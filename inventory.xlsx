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python_practice\cycle_count2\"/>
    </mc:Choice>
  </mc:AlternateContent>
  <xr:revisionPtr revIDLastSave="0" documentId="8_{78CC6850-9219-4E1C-B8EF-C4BAA29D1FF9}" xr6:coauthVersionLast="47" xr6:coauthVersionMax="47" xr10:uidLastSave="{00000000-0000-0000-0000-000000000000}"/>
  <bookViews>
    <workbookView xWindow="-120" yWindow="-120" windowWidth="19440" windowHeight="11520" xr2:uid="{F7BF054B-993D-4B39-AE38-319D7E2748D8}"/>
  </bookViews>
  <sheets>
    <sheet name="BRITA" sheetId="2" r:id="rId1"/>
    <sheet name="Sheet1" sheetId="1" r:id="rId2"/>
  </sheets>
  <externalReferences>
    <externalReference r:id="rId3"/>
  </externalReferences>
  <definedNames>
    <definedName name="_xlnm._FilterDatabase" localSheetId="0" hidden="1">BRITA!$A$1:$AQ$5108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4444" i="2" l="1"/>
  <c r="AM4444" i="2"/>
  <c r="AL4444" i="2"/>
  <c r="AK4444" i="2"/>
  <c r="AN4443" i="2"/>
  <c r="AM4443" i="2"/>
  <c r="AL4443" i="2"/>
  <c r="AK4443" i="2"/>
  <c r="AN4442" i="2"/>
  <c r="AM4442" i="2"/>
  <c r="AL4442" i="2"/>
  <c r="AK4442" i="2"/>
  <c r="AN4441" i="2"/>
  <c r="AM4441" i="2"/>
  <c r="AL4441" i="2"/>
  <c r="AK4441" i="2"/>
  <c r="AN4440" i="2"/>
  <c r="AM4440" i="2"/>
  <c r="AL4440" i="2"/>
  <c r="AK4440" i="2"/>
  <c r="AN4439" i="2"/>
  <c r="AM4439" i="2"/>
  <c r="AL4439" i="2"/>
  <c r="AK4439" i="2"/>
  <c r="AN4438" i="2"/>
  <c r="AM4438" i="2"/>
  <c r="AL4438" i="2"/>
  <c r="AK4438" i="2"/>
  <c r="AN4437" i="2"/>
  <c r="AM4437" i="2"/>
  <c r="AL4437" i="2"/>
  <c r="AK4437" i="2"/>
  <c r="AN4436" i="2"/>
  <c r="AM4436" i="2"/>
  <c r="AL4436" i="2"/>
  <c r="AK4436" i="2"/>
  <c r="AN4435" i="2"/>
  <c r="AM4435" i="2"/>
  <c r="AL4435" i="2"/>
  <c r="AK4435" i="2"/>
  <c r="AN4434" i="2"/>
  <c r="AM4434" i="2"/>
  <c r="AL4434" i="2"/>
  <c r="AK4434" i="2"/>
  <c r="AN4433" i="2"/>
  <c r="AM4433" i="2"/>
  <c r="AL4433" i="2"/>
  <c r="AK4433" i="2"/>
  <c r="AN4432" i="2"/>
  <c r="AM4432" i="2"/>
  <c r="AL4432" i="2"/>
  <c r="AK4432" i="2"/>
  <c r="AN4431" i="2"/>
  <c r="AM4431" i="2"/>
  <c r="AL4431" i="2"/>
  <c r="AK4431" i="2"/>
  <c r="AN4430" i="2"/>
  <c r="AM4430" i="2"/>
  <c r="AL4430" i="2"/>
  <c r="AK4430" i="2"/>
  <c r="AN4429" i="2"/>
  <c r="AM4429" i="2"/>
  <c r="AL4429" i="2"/>
  <c r="AK4429" i="2"/>
  <c r="AN4428" i="2"/>
  <c r="AM4428" i="2"/>
  <c r="AL4428" i="2"/>
  <c r="AK4428" i="2"/>
  <c r="AN4427" i="2"/>
  <c r="AM4427" i="2"/>
  <c r="AL4427" i="2"/>
  <c r="AK4427" i="2"/>
  <c r="AN4426" i="2"/>
  <c r="AM4426" i="2"/>
  <c r="AL4426" i="2"/>
  <c r="AK4426" i="2"/>
  <c r="AN4425" i="2"/>
  <c r="AM4425" i="2"/>
  <c r="AL4425" i="2"/>
  <c r="AK4425" i="2"/>
  <c r="AN4424" i="2"/>
  <c r="AM4424" i="2"/>
  <c r="AL4424" i="2"/>
  <c r="AK4424" i="2"/>
  <c r="AN4423" i="2"/>
  <c r="AM4423" i="2"/>
  <c r="AL4423" i="2"/>
  <c r="AK4423" i="2"/>
  <c r="AN4422" i="2"/>
  <c r="AM4422" i="2"/>
  <c r="AL4422" i="2"/>
  <c r="AK4422" i="2"/>
  <c r="AN4421" i="2"/>
  <c r="AM4421" i="2"/>
  <c r="AL4421" i="2"/>
  <c r="AK4421" i="2"/>
  <c r="AN4420" i="2"/>
  <c r="AM4420" i="2"/>
  <c r="AL4420" i="2"/>
  <c r="AK4420" i="2"/>
  <c r="AN4419" i="2"/>
  <c r="AM4419" i="2"/>
  <c r="AL4419" i="2"/>
  <c r="AK4419" i="2"/>
  <c r="AN4418" i="2"/>
  <c r="AM4418" i="2"/>
  <c r="AL4418" i="2"/>
  <c r="AK4418" i="2"/>
  <c r="AN4417" i="2"/>
  <c r="AM4417" i="2"/>
  <c r="AL4417" i="2"/>
  <c r="AK4417" i="2"/>
  <c r="AN4416" i="2"/>
  <c r="AM4416" i="2"/>
  <c r="AL4416" i="2"/>
  <c r="AK4416" i="2"/>
  <c r="AN4415" i="2"/>
  <c r="AM4415" i="2"/>
  <c r="AL4415" i="2"/>
  <c r="AK4415" i="2"/>
  <c r="AN4414" i="2"/>
  <c r="AM4414" i="2"/>
  <c r="AL4414" i="2"/>
  <c r="AK4414" i="2"/>
  <c r="AN4413" i="2"/>
  <c r="AM4413" i="2"/>
  <c r="AL4413" i="2"/>
  <c r="AK4413" i="2"/>
  <c r="AN4412" i="2"/>
  <c r="AM4412" i="2"/>
  <c r="AL4412" i="2"/>
  <c r="AK4412" i="2"/>
  <c r="AN4411" i="2"/>
  <c r="AM4411" i="2"/>
  <c r="AL4411" i="2"/>
  <c r="AK4411" i="2"/>
  <c r="AN4410" i="2"/>
  <c r="AM4410" i="2"/>
  <c r="AL4410" i="2"/>
  <c r="AK4410" i="2"/>
  <c r="AN4409" i="2"/>
  <c r="AM4409" i="2"/>
  <c r="AL4409" i="2"/>
  <c r="AK4409" i="2"/>
  <c r="AN4408" i="2"/>
  <c r="AM4408" i="2"/>
  <c r="AL4408" i="2"/>
  <c r="AK4408" i="2"/>
  <c r="AN4407" i="2"/>
  <c r="AM4407" i="2"/>
  <c r="AL4407" i="2"/>
  <c r="AK4407" i="2"/>
  <c r="AN4406" i="2"/>
  <c r="AM4406" i="2"/>
  <c r="AL4406" i="2"/>
  <c r="AK4406" i="2"/>
  <c r="AN4405" i="2"/>
  <c r="AM4405" i="2"/>
  <c r="AL4405" i="2"/>
  <c r="AK4405" i="2"/>
  <c r="AN4404" i="2"/>
  <c r="AM4404" i="2"/>
  <c r="AL4404" i="2"/>
  <c r="AK4404" i="2"/>
  <c r="AN4403" i="2"/>
  <c r="AM4403" i="2"/>
  <c r="AL4403" i="2"/>
  <c r="AK4403" i="2"/>
  <c r="AN4402" i="2"/>
  <c r="AM4402" i="2"/>
  <c r="AL4402" i="2"/>
  <c r="AK4402" i="2"/>
  <c r="AN4401" i="2"/>
  <c r="AM4401" i="2"/>
  <c r="AL4401" i="2"/>
  <c r="AK4401" i="2"/>
  <c r="AN4400" i="2"/>
  <c r="AM4400" i="2"/>
  <c r="AL4400" i="2"/>
  <c r="AK4400" i="2"/>
  <c r="AN4399" i="2"/>
  <c r="AM4399" i="2"/>
  <c r="AL4399" i="2"/>
  <c r="AK4399" i="2"/>
  <c r="AN4398" i="2"/>
  <c r="AM4398" i="2"/>
  <c r="AL4398" i="2"/>
  <c r="AK4398" i="2"/>
  <c r="AN4397" i="2"/>
  <c r="AM4397" i="2"/>
  <c r="AL4397" i="2"/>
  <c r="AK4397" i="2"/>
  <c r="AN4396" i="2"/>
  <c r="AM4396" i="2"/>
  <c r="AL4396" i="2"/>
  <c r="AK4396" i="2"/>
  <c r="AN4395" i="2"/>
  <c r="AM4395" i="2"/>
  <c r="AL4395" i="2"/>
  <c r="AK4395" i="2"/>
  <c r="AN4394" i="2"/>
  <c r="AM4394" i="2"/>
  <c r="AL4394" i="2"/>
  <c r="AK4394" i="2"/>
  <c r="AN4393" i="2"/>
  <c r="AM4393" i="2"/>
  <c r="AL4393" i="2"/>
  <c r="AK4393" i="2"/>
  <c r="AN4392" i="2"/>
  <c r="AM4392" i="2"/>
  <c r="AL4392" i="2"/>
  <c r="AK4392" i="2"/>
  <c r="AN4391" i="2"/>
  <c r="AM4391" i="2"/>
  <c r="AL4391" i="2"/>
  <c r="AK4391" i="2"/>
  <c r="AN4390" i="2"/>
  <c r="AM4390" i="2"/>
  <c r="AL4390" i="2"/>
  <c r="AK4390" i="2"/>
  <c r="AN4389" i="2"/>
  <c r="AM4389" i="2"/>
  <c r="AL4389" i="2"/>
  <c r="AK4389" i="2"/>
  <c r="AN4388" i="2"/>
  <c r="AM4388" i="2"/>
  <c r="AL4388" i="2"/>
  <c r="AK4388" i="2"/>
  <c r="AN4387" i="2"/>
  <c r="AM4387" i="2"/>
  <c r="AL4387" i="2"/>
  <c r="AK4387" i="2"/>
  <c r="AN4386" i="2"/>
  <c r="AM4386" i="2"/>
  <c r="AL4386" i="2"/>
  <c r="AK4386" i="2"/>
  <c r="AN4385" i="2"/>
  <c r="AM4385" i="2"/>
  <c r="AL4385" i="2"/>
  <c r="AK4385" i="2"/>
  <c r="AN4384" i="2"/>
  <c r="AM4384" i="2"/>
  <c r="AL4384" i="2"/>
  <c r="AK4384" i="2"/>
  <c r="AN4383" i="2"/>
  <c r="AM4383" i="2"/>
  <c r="AL4383" i="2"/>
  <c r="AK4383" i="2"/>
  <c r="AN4382" i="2"/>
  <c r="AM4382" i="2"/>
  <c r="AL4382" i="2"/>
  <c r="AK4382" i="2"/>
  <c r="AN4381" i="2"/>
  <c r="AM4381" i="2"/>
  <c r="AL4381" i="2"/>
  <c r="AK4381" i="2"/>
  <c r="AN4380" i="2"/>
  <c r="AM4380" i="2"/>
  <c r="AL4380" i="2"/>
  <c r="AK4380" i="2"/>
  <c r="AN4379" i="2"/>
  <c r="AM4379" i="2"/>
  <c r="AL4379" i="2"/>
  <c r="AK4379" i="2"/>
  <c r="AN4378" i="2"/>
  <c r="AM4378" i="2"/>
  <c r="AL4378" i="2"/>
  <c r="AK4378" i="2"/>
  <c r="AN4377" i="2"/>
  <c r="AM4377" i="2"/>
  <c r="AL4377" i="2"/>
  <c r="AK4377" i="2"/>
  <c r="AN4376" i="2"/>
  <c r="AM4376" i="2"/>
  <c r="AL4376" i="2"/>
  <c r="AK4376" i="2"/>
  <c r="AN4375" i="2"/>
  <c r="AM4375" i="2"/>
  <c r="AL4375" i="2"/>
  <c r="AK4375" i="2"/>
  <c r="AN4374" i="2"/>
  <c r="AM4374" i="2"/>
  <c r="AL4374" i="2"/>
  <c r="AK4374" i="2"/>
  <c r="AN4373" i="2"/>
  <c r="AM4373" i="2"/>
  <c r="AL4373" i="2"/>
  <c r="AK4373" i="2"/>
  <c r="AN4372" i="2"/>
  <c r="AM4372" i="2"/>
  <c r="AL4372" i="2"/>
  <c r="AK4372" i="2"/>
  <c r="AN4371" i="2"/>
  <c r="AM4371" i="2"/>
  <c r="AL4371" i="2"/>
  <c r="AK4371" i="2"/>
  <c r="AN4370" i="2"/>
  <c r="AM4370" i="2"/>
  <c r="AL4370" i="2"/>
  <c r="AK4370" i="2"/>
  <c r="AN4369" i="2"/>
  <c r="AM4369" i="2"/>
  <c r="AL4369" i="2"/>
  <c r="AK4369" i="2"/>
  <c r="AN4368" i="2"/>
  <c r="AM4368" i="2"/>
  <c r="AL4368" i="2"/>
  <c r="AK4368" i="2"/>
  <c r="AN4367" i="2"/>
  <c r="AM4367" i="2"/>
  <c r="AL4367" i="2"/>
  <c r="AK4367" i="2"/>
  <c r="AN4366" i="2"/>
  <c r="AM4366" i="2"/>
  <c r="AL4366" i="2"/>
  <c r="AK4366" i="2"/>
  <c r="AN4365" i="2"/>
  <c r="AM4365" i="2"/>
  <c r="AL4365" i="2"/>
  <c r="AK4365" i="2"/>
  <c r="AN4364" i="2"/>
  <c r="AM4364" i="2"/>
  <c r="AL4364" i="2"/>
  <c r="AK4364" i="2"/>
  <c r="AN4363" i="2"/>
  <c r="AM4363" i="2"/>
  <c r="AL4363" i="2"/>
  <c r="AK4363" i="2"/>
  <c r="AN4362" i="2"/>
  <c r="AM4362" i="2"/>
  <c r="AL4362" i="2"/>
  <c r="AK4362" i="2"/>
  <c r="AN4361" i="2"/>
  <c r="AM4361" i="2"/>
  <c r="AL4361" i="2"/>
  <c r="AK4361" i="2"/>
  <c r="AN4360" i="2"/>
  <c r="AM4360" i="2"/>
  <c r="AL4360" i="2"/>
  <c r="AK4360" i="2"/>
  <c r="AN4359" i="2"/>
  <c r="AM4359" i="2"/>
  <c r="AL4359" i="2"/>
  <c r="AK4359" i="2"/>
  <c r="AN4358" i="2"/>
  <c r="AM4358" i="2"/>
  <c r="AL4358" i="2"/>
  <c r="AK4358" i="2"/>
  <c r="AN4357" i="2"/>
  <c r="AM4357" i="2"/>
  <c r="AL4357" i="2"/>
  <c r="AK4357" i="2"/>
  <c r="AN4356" i="2"/>
  <c r="AM4356" i="2"/>
  <c r="AL4356" i="2"/>
  <c r="AK4356" i="2"/>
  <c r="AN4355" i="2"/>
  <c r="AM4355" i="2"/>
  <c r="AL4355" i="2"/>
  <c r="AK4355" i="2"/>
  <c r="AN4354" i="2"/>
  <c r="AM4354" i="2"/>
  <c r="AL4354" i="2"/>
  <c r="AK4354" i="2"/>
  <c r="AN4353" i="2"/>
  <c r="AM4353" i="2"/>
  <c r="AL4353" i="2"/>
  <c r="AK4353" i="2"/>
  <c r="AN4352" i="2"/>
  <c r="AM4352" i="2"/>
  <c r="AL4352" i="2"/>
  <c r="AK4352" i="2"/>
  <c r="AN4351" i="2"/>
  <c r="AM4351" i="2"/>
  <c r="AL4351" i="2"/>
  <c r="AK4351" i="2"/>
  <c r="AN4350" i="2"/>
  <c r="AM4350" i="2"/>
  <c r="AL4350" i="2"/>
  <c r="AK4350" i="2"/>
  <c r="AN4349" i="2"/>
  <c r="AM4349" i="2"/>
  <c r="AL4349" i="2"/>
  <c r="AK4349" i="2"/>
  <c r="AN4348" i="2"/>
  <c r="AM4348" i="2"/>
  <c r="AL4348" i="2"/>
  <c r="AK4348" i="2"/>
  <c r="AN4347" i="2"/>
  <c r="AM4347" i="2"/>
  <c r="AL4347" i="2"/>
  <c r="AK4347" i="2"/>
  <c r="AN4346" i="2"/>
  <c r="AM4346" i="2"/>
  <c r="AL4346" i="2"/>
  <c r="AK4346" i="2"/>
  <c r="AN4345" i="2"/>
  <c r="AM4345" i="2"/>
  <c r="AL4345" i="2"/>
  <c r="AK4345" i="2"/>
  <c r="AN4344" i="2"/>
  <c r="AM4344" i="2"/>
  <c r="AL4344" i="2"/>
  <c r="AK4344" i="2"/>
  <c r="AN4343" i="2"/>
  <c r="AM4343" i="2"/>
  <c r="AL4343" i="2"/>
  <c r="AK4343" i="2"/>
  <c r="AN4342" i="2"/>
  <c r="AM4342" i="2"/>
  <c r="AL4342" i="2"/>
  <c r="AK4342" i="2"/>
  <c r="AN4341" i="2"/>
  <c r="AM4341" i="2"/>
  <c r="AL4341" i="2"/>
  <c r="AK4341" i="2"/>
  <c r="AN4340" i="2"/>
  <c r="AM4340" i="2"/>
  <c r="AL4340" i="2"/>
  <c r="AK4340" i="2"/>
  <c r="AN4339" i="2"/>
  <c r="AM4339" i="2"/>
  <c r="AL4339" i="2"/>
  <c r="AK4339" i="2"/>
  <c r="AN4338" i="2"/>
  <c r="AM4338" i="2"/>
  <c r="AL4338" i="2"/>
  <c r="AK4338" i="2"/>
  <c r="AN4337" i="2"/>
  <c r="AM4337" i="2"/>
  <c r="AL4337" i="2"/>
  <c r="AK4337" i="2"/>
  <c r="AN4336" i="2"/>
  <c r="AM4336" i="2"/>
  <c r="AL4336" i="2"/>
  <c r="AK4336" i="2"/>
  <c r="AN4335" i="2"/>
  <c r="AM4335" i="2"/>
  <c r="AL4335" i="2"/>
  <c r="AK4335" i="2"/>
  <c r="AN4334" i="2"/>
  <c r="AM4334" i="2"/>
  <c r="AL4334" i="2"/>
  <c r="AK4334" i="2"/>
  <c r="AN4333" i="2"/>
  <c r="AM4333" i="2"/>
  <c r="AL4333" i="2"/>
  <c r="AK4333" i="2"/>
  <c r="AN4332" i="2"/>
  <c r="AM4332" i="2"/>
  <c r="AL4332" i="2"/>
  <c r="AK4332" i="2"/>
  <c r="AN4331" i="2"/>
  <c r="AM4331" i="2"/>
  <c r="AL4331" i="2"/>
  <c r="AK4331" i="2"/>
  <c r="AN4330" i="2"/>
  <c r="AM4330" i="2"/>
  <c r="AL4330" i="2"/>
  <c r="AK4330" i="2"/>
  <c r="AN4329" i="2"/>
  <c r="AM4329" i="2"/>
  <c r="AL4329" i="2"/>
  <c r="AK4329" i="2"/>
  <c r="AN4328" i="2"/>
  <c r="AM4328" i="2"/>
  <c r="AL4328" i="2"/>
  <c r="AK4328" i="2"/>
  <c r="AN4327" i="2"/>
  <c r="AM4327" i="2"/>
  <c r="AL4327" i="2"/>
  <c r="AK4327" i="2"/>
  <c r="AN4326" i="2"/>
  <c r="AM4326" i="2"/>
  <c r="AL4326" i="2"/>
  <c r="AK4326" i="2"/>
  <c r="AN4325" i="2"/>
  <c r="AM4325" i="2"/>
  <c r="AL4325" i="2"/>
  <c r="AK4325" i="2"/>
  <c r="AN4324" i="2"/>
  <c r="AM4324" i="2"/>
  <c r="AL4324" i="2"/>
  <c r="AK4324" i="2"/>
  <c r="AN4323" i="2"/>
  <c r="AM4323" i="2"/>
  <c r="AL4323" i="2"/>
  <c r="AK4323" i="2"/>
  <c r="AN4322" i="2"/>
  <c r="AM4322" i="2"/>
  <c r="AL4322" i="2"/>
  <c r="AK4322" i="2"/>
  <c r="AN4321" i="2"/>
  <c r="AM4321" i="2"/>
  <c r="AL4321" i="2"/>
  <c r="AK4321" i="2"/>
  <c r="AN4320" i="2"/>
  <c r="AM4320" i="2"/>
  <c r="AL4320" i="2"/>
  <c r="AK4320" i="2"/>
  <c r="AN4319" i="2"/>
  <c r="AM4319" i="2"/>
  <c r="AL4319" i="2"/>
  <c r="AK4319" i="2"/>
  <c r="AN4318" i="2"/>
  <c r="AM4318" i="2"/>
  <c r="AL4318" i="2"/>
  <c r="AK4318" i="2"/>
  <c r="AN4317" i="2"/>
  <c r="AM4317" i="2"/>
  <c r="AL4317" i="2"/>
  <c r="AK4317" i="2"/>
  <c r="AN4316" i="2"/>
  <c r="AM4316" i="2"/>
  <c r="AL4316" i="2"/>
  <c r="AK4316" i="2"/>
  <c r="AN4315" i="2"/>
  <c r="AM4315" i="2"/>
  <c r="AL4315" i="2"/>
  <c r="AK4315" i="2"/>
  <c r="AN4314" i="2"/>
  <c r="AM4314" i="2"/>
  <c r="AL4314" i="2"/>
  <c r="AK4314" i="2"/>
  <c r="AN4313" i="2"/>
  <c r="AM4313" i="2"/>
  <c r="AL4313" i="2"/>
  <c r="AK4313" i="2"/>
  <c r="AN4312" i="2"/>
  <c r="AM4312" i="2"/>
  <c r="AL4312" i="2"/>
  <c r="AK4312" i="2"/>
  <c r="AN4311" i="2"/>
  <c r="AM4311" i="2"/>
  <c r="AL4311" i="2"/>
  <c r="AK4311" i="2"/>
  <c r="AN4310" i="2"/>
  <c r="AM4310" i="2"/>
  <c r="AL4310" i="2"/>
  <c r="AK4310" i="2"/>
  <c r="AN4309" i="2"/>
  <c r="AM4309" i="2"/>
  <c r="AL4309" i="2"/>
  <c r="AK4309" i="2"/>
  <c r="AN4308" i="2"/>
  <c r="AM4308" i="2"/>
  <c r="AL4308" i="2"/>
  <c r="AK4308" i="2"/>
  <c r="AN4307" i="2"/>
  <c r="AM4307" i="2"/>
  <c r="AL4307" i="2"/>
  <c r="AK4307" i="2"/>
  <c r="AN4306" i="2"/>
  <c r="AM4306" i="2"/>
  <c r="AL4306" i="2"/>
  <c r="AK4306" i="2"/>
  <c r="AN4305" i="2"/>
  <c r="AM4305" i="2"/>
  <c r="AL4305" i="2"/>
  <c r="AK4305" i="2"/>
  <c r="AN4304" i="2"/>
  <c r="AM4304" i="2"/>
  <c r="AL4304" i="2"/>
  <c r="AK4304" i="2"/>
  <c r="AN4303" i="2"/>
  <c r="AM4303" i="2"/>
  <c r="AL4303" i="2"/>
  <c r="AK4303" i="2"/>
  <c r="AN4302" i="2"/>
  <c r="AM4302" i="2"/>
  <c r="AL4302" i="2"/>
  <c r="AK4302" i="2"/>
  <c r="AN4301" i="2"/>
  <c r="AM4301" i="2"/>
  <c r="AL4301" i="2"/>
  <c r="AK4301" i="2"/>
  <c r="AN4300" i="2"/>
  <c r="AM4300" i="2"/>
  <c r="AL4300" i="2"/>
  <c r="AK4300" i="2"/>
  <c r="AN4299" i="2"/>
  <c r="AM4299" i="2"/>
  <c r="AL4299" i="2"/>
  <c r="AK4299" i="2"/>
  <c r="AN4298" i="2"/>
  <c r="AM4298" i="2"/>
  <c r="AL4298" i="2"/>
  <c r="AK4298" i="2"/>
  <c r="AN4297" i="2"/>
  <c r="AM4297" i="2"/>
  <c r="AL4297" i="2"/>
  <c r="AK4297" i="2"/>
  <c r="AN4296" i="2"/>
  <c r="AM4296" i="2"/>
  <c r="AL4296" i="2"/>
  <c r="AK4296" i="2"/>
  <c r="AN4295" i="2"/>
  <c r="AM4295" i="2"/>
  <c r="AL4295" i="2"/>
  <c r="AK4295" i="2"/>
  <c r="AN4294" i="2"/>
  <c r="AM4294" i="2"/>
  <c r="AL4294" i="2"/>
  <c r="AK4294" i="2"/>
  <c r="AN4293" i="2"/>
  <c r="AM4293" i="2"/>
  <c r="AL4293" i="2"/>
  <c r="AK4293" i="2"/>
  <c r="AN4292" i="2"/>
  <c r="AM4292" i="2"/>
  <c r="AL4292" i="2"/>
  <c r="AK4292" i="2"/>
  <c r="AN4291" i="2"/>
  <c r="AM4291" i="2"/>
  <c r="AL4291" i="2"/>
  <c r="AK4291" i="2"/>
  <c r="AN4290" i="2"/>
  <c r="AM4290" i="2"/>
  <c r="AL4290" i="2"/>
  <c r="AK4290" i="2"/>
  <c r="AN4289" i="2"/>
  <c r="AM4289" i="2"/>
  <c r="AL4289" i="2"/>
  <c r="AK4289" i="2"/>
  <c r="AN4288" i="2"/>
  <c r="AM4288" i="2"/>
  <c r="AL4288" i="2"/>
  <c r="AK4288" i="2"/>
  <c r="AN4287" i="2"/>
  <c r="AM4287" i="2"/>
  <c r="AL4287" i="2"/>
  <c r="AK4287" i="2"/>
  <c r="AN4286" i="2"/>
  <c r="AM4286" i="2"/>
  <c r="AL4286" i="2"/>
  <c r="AK4286" i="2"/>
  <c r="AN4285" i="2"/>
  <c r="AM4285" i="2"/>
  <c r="AL4285" i="2"/>
  <c r="AK4285" i="2"/>
  <c r="AN4284" i="2"/>
  <c r="AM4284" i="2"/>
  <c r="AL4284" i="2"/>
  <c r="AK4284" i="2"/>
  <c r="AN4283" i="2"/>
  <c r="AM4283" i="2"/>
  <c r="AL4283" i="2"/>
  <c r="AK4283" i="2"/>
  <c r="AN4282" i="2"/>
  <c r="AM4282" i="2"/>
  <c r="AL4282" i="2"/>
  <c r="AK4282" i="2"/>
  <c r="AN4281" i="2"/>
  <c r="AM4281" i="2"/>
  <c r="AL4281" i="2"/>
  <c r="AK4281" i="2"/>
  <c r="AN4280" i="2"/>
  <c r="AM4280" i="2"/>
  <c r="AL4280" i="2"/>
  <c r="AK4280" i="2"/>
  <c r="AN4279" i="2"/>
  <c r="AM4279" i="2"/>
  <c r="AL4279" i="2"/>
  <c r="AK4279" i="2"/>
  <c r="AN4278" i="2"/>
  <c r="AM4278" i="2"/>
  <c r="AL4278" i="2"/>
  <c r="AK4278" i="2"/>
  <c r="AN4277" i="2"/>
  <c r="AM4277" i="2"/>
  <c r="AL4277" i="2"/>
  <c r="AK4277" i="2"/>
  <c r="AN4276" i="2"/>
  <c r="AM4276" i="2"/>
  <c r="AL4276" i="2"/>
  <c r="AK4276" i="2"/>
  <c r="AN4275" i="2"/>
  <c r="AM4275" i="2"/>
  <c r="AL4275" i="2"/>
  <c r="AK4275" i="2"/>
  <c r="AN4274" i="2"/>
  <c r="AM4274" i="2"/>
  <c r="AL4274" i="2"/>
  <c r="AK4274" i="2"/>
  <c r="AN4273" i="2"/>
  <c r="AM4273" i="2"/>
  <c r="AL4273" i="2"/>
  <c r="AK4273" i="2"/>
  <c r="AN4272" i="2"/>
  <c r="AM4272" i="2"/>
  <c r="AL4272" i="2"/>
  <c r="AK4272" i="2"/>
  <c r="AN4271" i="2"/>
  <c r="AM4271" i="2"/>
  <c r="AL4271" i="2"/>
  <c r="AK4271" i="2"/>
  <c r="AN4270" i="2"/>
  <c r="AM4270" i="2"/>
  <c r="AL4270" i="2"/>
  <c r="AK4270" i="2"/>
  <c r="AN4269" i="2"/>
  <c r="AM4269" i="2"/>
  <c r="AL4269" i="2"/>
  <c r="AK4269" i="2"/>
  <c r="AN4268" i="2"/>
  <c r="AM4268" i="2"/>
  <c r="AL4268" i="2"/>
  <c r="AK4268" i="2"/>
  <c r="AN4267" i="2"/>
  <c r="AM4267" i="2"/>
  <c r="AL4267" i="2"/>
  <c r="AK4267" i="2"/>
  <c r="AN4266" i="2"/>
  <c r="AM4266" i="2"/>
  <c r="AL4266" i="2"/>
  <c r="AK4266" i="2"/>
  <c r="AN4265" i="2"/>
  <c r="AM4265" i="2"/>
  <c r="AL4265" i="2"/>
  <c r="AK4265" i="2"/>
  <c r="AN4264" i="2"/>
  <c r="AM4264" i="2"/>
  <c r="AL4264" i="2"/>
  <c r="AK4264" i="2"/>
  <c r="AN4263" i="2"/>
  <c r="AM4263" i="2"/>
  <c r="AL4263" i="2"/>
  <c r="AK4263" i="2"/>
  <c r="AN4262" i="2"/>
  <c r="AM4262" i="2"/>
  <c r="AL4262" i="2"/>
  <c r="AK4262" i="2"/>
  <c r="AN4261" i="2"/>
  <c r="AM4261" i="2"/>
  <c r="AL4261" i="2"/>
  <c r="AK4261" i="2"/>
  <c r="AN4260" i="2"/>
  <c r="AM4260" i="2"/>
  <c r="AL4260" i="2"/>
  <c r="AK4260" i="2"/>
  <c r="AN4259" i="2"/>
  <c r="AM4259" i="2"/>
  <c r="AL4259" i="2"/>
  <c r="AK4259" i="2"/>
  <c r="AN4258" i="2"/>
  <c r="AM4258" i="2"/>
  <c r="AL4258" i="2"/>
  <c r="AK4258" i="2"/>
  <c r="AN4257" i="2"/>
  <c r="AM4257" i="2"/>
  <c r="AL4257" i="2"/>
  <c r="AK4257" i="2"/>
  <c r="AN4256" i="2"/>
  <c r="AM4256" i="2"/>
  <c r="AL4256" i="2"/>
  <c r="AK4256" i="2"/>
  <c r="AN4255" i="2"/>
  <c r="AM4255" i="2"/>
  <c r="AL4255" i="2"/>
  <c r="AK4255" i="2"/>
  <c r="AN4254" i="2"/>
  <c r="AM4254" i="2"/>
  <c r="AL4254" i="2"/>
  <c r="AK4254" i="2"/>
  <c r="AN4253" i="2"/>
  <c r="AM4253" i="2"/>
  <c r="AL4253" i="2"/>
  <c r="AK4253" i="2"/>
  <c r="AN4252" i="2"/>
  <c r="AM4252" i="2"/>
  <c r="AL4252" i="2"/>
  <c r="AK4252" i="2"/>
  <c r="AN4251" i="2"/>
  <c r="AM4251" i="2"/>
  <c r="AL4251" i="2"/>
  <c r="AK4251" i="2"/>
  <c r="AN4250" i="2"/>
  <c r="AM4250" i="2"/>
  <c r="AL4250" i="2"/>
  <c r="AK4250" i="2"/>
  <c r="AN4249" i="2"/>
  <c r="AM4249" i="2"/>
  <c r="AL4249" i="2"/>
  <c r="AK4249" i="2"/>
  <c r="AN4248" i="2"/>
  <c r="AM4248" i="2"/>
  <c r="AL4248" i="2"/>
  <c r="AK4248" i="2"/>
  <c r="AN4247" i="2"/>
  <c r="AM4247" i="2"/>
  <c r="AL4247" i="2"/>
  <c r="AK4247" i="2"/>
  <c r="AN4246" i="2"/>
  <c r="AM4246" i="2"/>
  <c r="AL4246" i="2"/>
  <c r="AK4246" i="2"/>
  <c r="AN4245" i="2"/>
  <c r="AM4245" i="2"/>
  <c r="AL4245" i="2"/>
  <c r="AK4245" i="2"/>
  <c r="AN4244" i="2"/>
  <c r="AM4244" i="2"/>
  <c r="AL4244" i="2"/>
  <c r="AK4244" i="2"/>
  <c r="AN4243" i="2"/>
  <c r="AM4243" i="2"/>
  <c r="AL4243" i="2"/>
  <c r="AK4243" i="2"/>
  <c r="AN4242" i="2"/>
  <c r="AM4242" i="2"/>
  <c r="AL4242" i="2"/>
  <c r="AK4242" i="2"/>
  <c r="AN4241" i="2"/>
  <c r="AM4241" i="2"/>
  <c r="AL4241" i="2"/>
  <c r="AK4241" i="2"/>
  <c r="AN4240" i="2"/>
  <c r="AM4240" i="2"/>
  <c r="AL4240" i="2"/>
  <c r="AK4240" i="2"/>
  <c r="AN4239" i="2"/>
  <c r="AM4239" i="2"/>
  <c r="AL4239" i="2"/>
  <c r="AK4239" i="2"/>
  <c r="AN4238" i="2"/>
  <c r="AM4238" i="2"/>
  <c r="AL4238" i="2"/>
  <c r="AK4238" i="2"/>
  <c r="AN4237" i="2"/>
  <c r="AM4237" i="2"/>
  <c r="AL4237" i="2"/>
  <c r="AK4237" i="2"/>
  <c r="AN4236" i="2"/>
  <c r="AM4236" i="2"/>
  <c r="AL4236" i="2"/>
  <c r="AK4236" i="2"/>
  <c r="AN4235" i="2"/>
  <c r="AM4235" i="2"/>
  <c r="AL4235" i="2"/>
  <c r="AK4235" i="2"/>
  <c r="AN4234" i="2"/>
  <c r="AM4234" i="2"/>
  <c r="AL4234" i="2"/>
  <c r="AK4234" i="2"/>
  <c r="AN4233" i="2"/>
  <c r="AM4233" i="2"/>
  <c r="AL4233" i="2"/>
  <c r="AK4233" i="2"/>
  <c r="AN4232" i="2"/>
  <c r="AM4232" i="2"/>
  <c r="AL4232" i="2"/>
  <c r="AK4232" i="2"/>
  <c r="AN4231" i="2"/>
  <c r="AM4231" i="2"/>
  <c r="AL4231" i="2"/>
  <c r="AK4231" i="2"/>
  <c r="AN4230" i="2"/>
  <c r="AM4230" i="2"/>
  <c r="AL4230" i="2"/>
  <c r="AK4230" i="2"/>
  <c r="AN4229" i="2"/>
  <c r="AM4229" i="2"/>
  <c r="AL4229" i="2"/>
  <c r="AK4229" i="2"/>
  <c r="AN4228" i="2"/>
  <c r="AM4228" i="2"/>
  <c r="AL4228" i="2"/>
  <c r="AK4228" i="2"/>
  <c r="AN4227" i="2"/>
  <c r="AM4227" i="2"/>
  <c r="AL4227" i="2"/>
  <c r="AK4227" i="2"/>
  <c r="AN4226" i="2"/>
  <c r="AM4226" i="2"/>
  <c r="AL4226" i="2"/>
  <c r="AK4226" i="2"/>
  <c r="AN4225" i="2"/>
  <c r="AM4225" i="2"/>
  <c r="AL4225" i="2"/>
  <c r="AK4225" i="2"/>
  <c r="AN4224" i="2"/>
  <c r="AM4224" i="2"/>
  <c r="AL4224" i="2"/>
  <c r="AK4224" i="2"/>
  <c r="AN4223" i="2"/>
  <c r="AM4223" i="2"/>
  <c r="AL4223" i="2"/>
  <c r="AK4223" i="2"/>
  <c r="AN4222" i="2"/>
  <c r="AM4222" i="2"/>
  <c r="AL4222" i="2"/>
  <c r="AK4222" i="2"/>
  <c r="AN4221" i="2"/>
  <c r="AM4221" i="2"/>
  <c r="AL4221" i="2"/>
  <c r="AK4221" i="2"/>
  <c r="AN4220" i="2"/>
  <c r="AM4220" i="2"/>
  <c r="AL4220" i="2"/>
  <c r="AK4220" i="2"/>
  <c r="AN4219" i="2"/>
  <c r="AM4219" i="2"/>
  <c r="AL4219" i="2"/>
  <c r="AK4219" i="2"/>
  <c r="AN4218" i="2"/>
  <c r="AM4218" i="2"/>
  <c r="AL4218" i="2"/>
  <c r="AK4218" i="2"/>
  <c r="AN4217" i="2"/>
  <c r="AM4217" i="2"/>
  <c r="AL4217" i="2"/>
  <c r="AK4217" i="2"/>
  <c r="AN4216" i="2"/>
  <c r="AM4216" i="2"/>
  <c r="AL4216" i="2"/>
  <c r="AK4216" i="2"/>
  <c r="AN4215" i="2"/>
  <c r="AM4215" i="2"/>
  <c r="AL4215" i="2"/>
  <c r="AK4215" i="2"/>
  <c r="AN4214" i="2"/>
  <c r="AM4214" i="2"/>
  <c r="AL4214" i="2"/>
  <c r="AK4214" i="2"/>
  <c r="AN4213" i="2"/>
  <c r="AM4213" i="2"/>
  <c r="AL4213" i="2"/>
  <c r="AK4213" i="2"/>
  <c r="AN4212" i="2"/>
  <c r="AM4212" i="2"/>
  <c r="AL4212" i="2"/>
  <c r="AK4212" i="2"/>
  <c r="AN4211" i="2"/>
  <c r="AM4211" i="2"/>
  <c r="AL4211" i="2"/>
  <c r="AK4211" i="2"/>
  <c r="AN4210" i="2"/>
  <c r="AM4210" i="2"/>
  <c r="AL4210" i="2"/>
  <c r="AK4210" i="2"/>
  <c r="AN4209" i="2"/>
  <c r="AM4209" i="2"/>
  <c r="AL4209" i="2"/>
  <c r="AK4209" i="2"/>
  <c r="AN4208" i="2"/>
  <c r="AM4208" i="2"/>
  <c r="AL4208" i="2"/>
  <c r="AK4208" i="2"/>
  <c r="AN4207" i="2"/>
  <c r="AM4207" i="2"/>
  <c r="AL4207" i="2"/>
  <c r="AK4207" i="2"/>
  <c r="AN4206" i="2"/>
  <c r="AM4206" i="2"/>
  <c r="AL4206" i="2"/>
  <c r="AK4206" i="2"/>
  <c r="AN4205" i="2"/>
  <c r="AM4205" i="2"/>
  <c r="AL4205" i="2"/>
  <c r="AK4205" i="2"/>
  <c r="AN4204" i="2"/>
  <c r="AM4204" i="2"/>
  <c r="AL4204" i="2"/>
  <c r="AK4204" i="2"/>
  <c r="AN4203" i="2"/>
  <c r="AM4203" i="2"/>
  <c r="AL4203" i="2"/>
  <c r="AK4203" i="2"/>
  <c r="AN4202" i="2"/>
  <c r="AM4202" i="2"/>
  <c r="AL4202" i="2"/>
  <c r="AK4202" i="2"/>
  <c r="AN4201" i="2"/>
  <c r="AM4201" i="2"/>
  <c r="AL4201" i="2"/>
  <c r="AK4201" i="2"/>
  <c r="AN4200" i="2"/>
  <c r="AM4200" i="2"/>
  <c r="AL4200" i="2"/>
  <c r="AK4200" i="2"/>
  <c r="AN4199" i="2"/>
  <c r="AM4199" i="2"/>
  <c r="AL4199" i="2"/>
  <c r="AK4199" i="2"/>
  <c r="AN4198" i="2"/>
  <c r="AM4198" i="2"/>
  <c r="AL4198" i="2"/>
  <c r="AK4198" i="2"/>
  <c r="AN4197" i="2"/>
  <c r="AM4197" i="2"/>
  <c r="AL4197" i="2"/>
  <c r="AK4197" i="2"/>
  <c r="AN4196" i="2"/>
  <c r="AM4196" i="2"/>
  <c r="AL4196" i="2"/>
  <c r="AK4196" i="2"/>
  <c r="AN4195" i="2"/>
  <c r="AM4195" i="2"/>
  <c r="AL4195" i="2"/>
  <c r="AK4195" i="2"/>
  <c r="AN4194" i="2"/>
  <c r="AM4194" i="2"/>
  <c r="AL4194" i="2"/>
  <c r="AK4194" i="2"/>
  <c r="AN4193" i="2"/>
  <c r="AM4193" i="2"/>
  <c r="AL4193" i="2"/>
  <c r="AK4193" i="2"/>
  <c r="AN4192" i="2"/>
  <c r="AM4192" i="2"/>
  <c r="AL4192" i="2"/>
  <c r="AK4192" i="2"/>
  <c r="AN4191" i="2"/>
  <c r="AM4191" i="2"/>
  <c r="AL4191" i="2"/>
  <c r="AK4191" i="2"/>
  <c r="AN4190" i="2"/>
  <c r="AM4190" i="2"/>
  <c r="AL4190" i="2"/>
  <c r="AK4190" i="2"/>
  <c r="AN4189" i="2"/>
  <c r="AM4189" i="2"/>
  <c r="AL4189" i="2"/>
  <c r="AK4189" i="2"/>
  <c r="AN4188" i="2"/>
  <c r="AM4188" i="2"/>
  <c r="AL4188" i="2"/>
  <c r="AK4188" i="2"/>
  <c r="AN4187" i="2"/>
  <c r="AM4187" i="2"/>
  <c r="AL4187" i="2"/>
  <c r="AK4187" i="2"/>
  <c r="AN4186" i="2"/>
  <c r="AM4186" i="2"/>
  <c r="AL4186" i="2"/>
  <c r="AK4186" i="2"/>
  <c r="AN4185" i="2"/>
  <c r="AM4185" i="2"/>
  <c r="AL4185" i="2"/>
  <c r="AK4185" i="2"/>
  <c r="AN4184" i="2"/>
  <c r="AM4184" i="2"/>
  <c r="AL4184" i="2"/>
  <c r="AK4184" i="2"/>
  <c r="AN4183" i="2"/>
  <c r="AM4183" i="2"/>
  <c r="AL4183" i="2"/>
  <c r="AK4183" i="2"/>
  <c r="AN4182" i="2"/>
  <c r="AM4182" i="2"/>
  <c r="AL4182" i="2"/>
  <c r="AK4182" i="2"/>
  <c r="AN4181" i="2"/>
  <c r="AM4181" i="2"/>
  <c r="AL4181" i="2"/>
  <c r="AK4181" i="2"/>
  <c r="AN4180" i="2"/>
  <c r="AM4180" i="2"/>
  <c r="AL4180" i="2"/>
  <c r="AK4180" i="2"/>
  <c r="AN4179" i="2"/>
  <c r="AM4179" i="2"/>
  <c r="AL4179" i="2"/>
  <c r="AK4179" i="2"/>
  <c r="AN4178" i="2"/>
  <c r="AM4178" i="2"/>
  <c r="AL4178" i="2"/>
  <c r="AK4178" i="2"/>
  <c r="AN4177" i="2"/>
  <c r="AM4177" i="2"/>
  <c r="AL4177" i="2"/>
  <c r="AK4177" i="2"/>
  <c r="AN4176" i="2"/>
  <c r="AM4176" i="2"/>
  <c r="AL4176" i="2"/>
  <c r="AK4176" i="2"/>
  <c r="AN4175" i="2"/>
  <c r="AM4175" i="2"/>
  <c r="AL4175" i="2"/>
  <c r="AK4175" i="2"/>
  <c r="AN4174" i="2"/>
  <c r="AM4174" i="2"/>
  <c r="AL4174" i="2"/>
  <c r="AK4174" i="2"/>
  <c r="AN4173" i="2"/>
  <c r="AM4173" i="2"/>
  <c r="AL4173" i="2"/>
  <c r="AK4173" i="2"/>
  <c r="AN4172" i="2"/>
  <c r="AM4172" i="2"/>
  <c r="AL4172" i="2"/>
  <c r="AK4172" i="2"/>
  <c r="AN4171" i="2"/>
  <c r="AM4171" i="2"/>
  <c r="AL4171" i="2"/>
  <c r="AK4171" i="2"/>
  <c r="AN4170" i="2"/>
  <c r="AM4170" i="2"/>
  <c r="AL4170" i="2"/>
  <c r="AK4170" i="2"/>
  <c r="AN4169" i="2"/>
  <c r="AM4169" i="2"/>
  <c r="AL4169" i="2"/>
  <c r="AK4169" i="2"/>
  <c r="AN4168" i="2"/>
  <c r="AM4168" i="2"/>
  <c r="AL4168" i="2"/>
  <c r="AK4168" i="2"/>
  <c r="AN4167" i="2"/>
  <c r="AM4167" i="2"/>
  <c r="AL4167" i="2"/>
  <c r="AK4167" i="2"/>
  <c r="AN4166" i="2"/>
  <c r="AM4166" i="2"/>
  <c r="AL4166" i="2"/>
  <c r="AK4166" i="2"/>
  <c r="AN4165" i="2"/>
  <c r="AM4165" i="2"/>
  <c r="AL4165" i="2"/>
  <c r="AK4165" i="2"/>
  <c r="AN4164" i="2"/>
  <c r="AM4164" i="2"/>
  <c r="AL4164" i="2"/>
  <c r="AK4164" i="2"/>
  <c r="AN4163" i="2"/>
  <c r="AM4163" i="2"/>
  <c r="AL4163" i="2"/>
  <c r="AK4163" i="2"/>
  <c r="AN4162" i="2"/>
  <c r="AM4162" i="2"/>
  <c r="AL4162" i="2"/>
  <c r="AK4162" i="2"/>
  <c r="AN4161" i="2"/>
  <c r="AM4161" i="2"/>
  <c r="AL4161" i="2"/>
  <c r="AK4161" i="2"/>
  <c r="AN4160" i="2"/>
  <c r="AM4160" i="2"/>
  <c r="AL4160" i="2"/>
  <c r="AK4160" i="2"/>
  <c r="AN4159" i="2"/>
  <c r="AM4159" i="2"/>
  <c r="AL4159" i="2"/>
  <c r="AK4159" i="2"/>
  <c r="AN4158" i="2"/>
  <c r="AM4158" i="2"/>
  <c r="AL4158" i="2"/>
  <c r="AK4158" i="2"/>
  <c r="AN4157" i="2"/>
  <c r="AM4157" i="2"/>
  <c r="AL4157" i="2"/>
  <c r="AK4157" i="2"/>
  <c r="AN4156" i="2"/>
  <c r="AM4156" i="2"/>
  <c r="AL4156" i="2"/>
  <c r="AK4156" i="2"/>
  <c r="AN4155" i="2"/>
  <c r="AM4155" i="2"/>
  <c r="AL4155" i="2"/>
  <c r="AK4155" i="2"/>
  <c r="AN4154" i="2"/>
  <c r="AM4154" i="2"/>
  <c r="AL4154" i="2"/>
  <c r="AK4154" i="2"/>
  <c r="AN4153" i="2"/>
  <c r="AM4153" i="2"/>
  <c r="AL4153" i="2"/>
  <c r="AK4153" i="2"/>
  <c r="AN4152" i="2"/>
  <c r="AM4152" i="2"/>
  <c r="AL4152" i="2"/>
  <c r="AK4152" i="2"/>
  <c r="AN4151" i="2"/>
  <c r="AM4151" i="2"/>
  <c r="AL4151" i="2"/>
  <c r="AK4151" i="2"/>
  <c r="AN4150" i="2"/>
  <c r="AM4150" i="2"/>
  <c r="AL4150" i="2"/>
  <c r="AK4150" i="2"/>
  <c r="AN4149" i="2"/>
  <c r="AM4149" i="2"/>
  <c r="AL4149" i="2"/>
  <c r="AK4149" i="2"/>
  <c r="AN4148" i="2"/>
  <c r="AM4148" i="2"/>
  <c r="AL4148" i="2"/>
  <c r="AK4148" i="2"/>
  <c r="AN4147" i="2"/>
  <c r="AM4147" i="2"/>
  <c r="AL4147" i="2"/>
  <c r="AK4147" i="2"/>
  <c r="AN4146" i="2"/>
  <c r="AM4146" i="2"/>
  <c r="AL4146" i="2"/>
  <c r="AK4146" i="2"/>
  <c r="AN4145" i="2"/>
  <c r="AM4145" i="2"/>
  <c r="AL4145" i="2"/>
  <c r="AK4145" i="2"/>
  <c r="AN4144" i="2"/>
  <c r="AM4144" i="2"/>
  <c r="AL4144" i="2"/>
  <c r="AK4144" i="2"/>
  <c r="AN4143" i="2"/>
  <c r="AM4143" i="2"/>
  <c r="AL4143" i="2"/>
  <c r="AK4143" i="2"/>
  <c r="AN4142" i="2"/>
  <c r="AM4142" i="2"/>
  <c r="AL4142" i="2"/>
  <c r="AK4142" i="2"/>
  <c r="AN4141" i="2"/>
  <c r="AM4141" i="2"/>
  <c r="AL4141" i="2"/>
  <c r="AK4141" i="2"/>
  <c r="AN4140" i="2"/>
  <c r="AM4140" i="2"/>
  <c r="AL4140" i="2"/>
  <c r="AK4140" i="2"/>
  <c r="AN4139" i="2"/>
  <c r="AM4139" i="2"/>
  <c r="AL4139" i="2"/>
  <c r="AK4139" i="2"/>
  <c r="AN4138" i="2"/>
  <c r="AM4138" i="2"/>
  <c r="AL4138" i="2"/>
  <c r="AK4138" i="2"/>
  <c r="AN4137" i="2"/>
  <c r="AM4137" i="2"/>
  <c r="AL4137" i="2"/>
  <c r="AK4137" i="2"/>
  <c r="AN4136" i="2"/>
  <c r="AM4136" i="2"/>
  <c r="AL4136" i="2"/>
  <c r="AK4136" i="2"/>
  <c r="AN4135" i="2"/>
  <c r="AM4135" i="2"/>
  <c r="AL4135" i="2"/>
  <c r="AK4135" i="2"/>
  <c r="AN4134" i="2"/>
  <c r="AM4134" i="2"/>
  <c r="AL4134" i="2"/>
  <c r="AK4134" i="2"/>
  <c r="AN4133" i="2"/>
  <c r="AM4133" i="2"/>
  <c r="AL4133" i="2"/>
  <c r="AK4133" i="2"/>
  <c r="AN4132" i="2"/>
  <c r="AM4132" i="2"/>
  <c r="AL4132" i="2"/>
  <c r="AK4132" i="2"/>
  <c r="AN4131" i="2"/>
  <c r="AM4131" i="2"/>
  <c r="AL4131" i="2"/>
  <c r="AK4131" i="2"/>
  <c r="AN4130" i="2"/>
  <c r="AM4130" i="2"/>
  <c r="AL4130" i="2"/>
  <c r="AK4130" i="2"/>
  <c r="AN4129" i="2"/>
  <c r="AM4129" i="2"/>
  <c r="AL4129" i="2"/>
  <c r="AK4129" i="2"/>
  <c r="AN4128" i="2"/>
  <c r="AM4128" i="2"/>
  <c r="AL4128" i="2"/>
  <c r="AK4128" i="2"/>
  <c r="AN4127" i="2"/>
  <c r="AM4127" i="2"/>
  <c r="AL4127" i="2"/>
  <c r="AK4127" i="2"/>
  <c r="AN4126" i="2"/>
  <c r="AM4126" i="2"/>
  <c r="AL4126" i="2"/>
  <c r="AK4126" i="2"/>
  <c r="AN4125" i="2"/>
  <c r="AM4125" i="2"/>
  <c r="AL4125" i="2"/>
  <c r="AK4125" i="2"/>
  <c r="AN4124" i="2"/>
  <c r="AM4124" i="2"/>
  <c r="AL4124" i="2"/>
  <c r="AK4124" i="2"/>
  <c r="AN4123" i="2"/>
  <c r="AM4123" i="2"/>
  <c r="AL4123" i="2"/>
  <c r="AK4123" i="2"/>
  <c r="AN4122" i="2"/>
  <c r="AM4122" i="2"/>
  <c r="AL4122" i="2"/>
  <c r="AK4122" i="2"/>
  <c r="AN4121" i="2"/>
  <c r="AM4121" i="2"/>
  <c r="AL4121" i="2"/>
  <c r="AK4121" i="2"/>
  <c r="AN4120" i="2"/>
  <c r="AM4120" i="2"/>
  <c r="AL4120" i="2"/>
  <c r="AK4120" i="2"/>
  <c r="AN4119" i="2"/>
  <c r="AM4119" i="2"/>
  <c r="AL4119" i="2"/>
  <c r="AK4119" i="2"/>
  <c r="AN4118" i="2"/>
  <c r="AM4118" i="2"/>
  <c r="AL4118" i="2"/>
  <c r="AK4118" i="2"/>
  <c r="AN4117" i="2"/>
  <c r="AM4117" i="2"/>
  <c r="AL4117" i="2"/>
  <c r="AK4117" i="2"/>
  <c r="AN4116" i="2"/>
  <c r="AM4116" i="2"/>
  <c r="AL4116" i="2"/>
  <c r="AK4116" i="2"/>
  <c r="AN4115" i="2"/>
  <c r="AM4115" i="2"/>
  <c r="AL4115" i="2"/>
  <c r="AK4115" i="2"/>
  <c r="AN4114" i="2"/>
  <c r="AM4114" i="2"/>
  <c r="AL4114" i="2"/>
  <c r="AK4114" i="2"/>
  <c r="AN4113" i="2"/>
  <c r="AM4113" i="2"/>
  <c r="AL4113" i="2"/>
  <c r="AK4113" i="2"/>
  <c r="AN4112" i="2"/>
  <c r="AM4112" i="2"/>
  <c r="AL4112" i="2"/>
  <c r="AK4112" i="2"/>
  <c r="AN4111" i="2"/>
  <c r="AM4111" i="2"/>
  <c r="AL4111" i="2"/>
  <c r="AK4111" i="2"/>
  <c r="AN4110" i="2"/>
  <c r="AM4110" i="2"/>
  <c r="AL4110" i="2"/>
  <c r="AK4110" i="2"/>
  <c r="AN4109" i="2"/>
  <c r="AM4109" i="2"/>
  <c r="AL4109" i="2"/>
  <c r="AK4109" i="2"/>
  <c r="AN4108" i="2"/>
  <c r="AM4108" i="2"/>
  <c r="AL4108" i="2"/>
  <c r="AK4108" i="2"/>
  <c r="AN4107" i="2"/>
  <c r="AM4107" i="2"/>
  <c r="AL4107" i="2"/>
  <c r="AK4107" i="2"/>
  <c r="AN4106" i="2"/>
  <c r="AM4106" i="2"/>
  <c r="AL4106" i="2"/>
  <c r="AK4106" i="2"/>
  <c r="AN4105" i="2"/>
  <c r="AM4105" i="2"/>
  <c r="AL4105" i="2"/>
  <c r="AK4105" i="2"/>
  <c r="AN4104" i="2"/>
  <c r="AM4104" i="2"/>
  <c r="AL4104" i="2"/>
  <c r="AK4104" i="2"/>
  <c r="AN4103" i="2"/>
  <c r="AM4103" i="2"/>
  <c r="AL4103" i="2"/>
  <c r="AK4103" i="2"/>
  <c r="AN4102" i="2"/>
  <c r="AM4102" i="2"/>
  <c r="AL4102" i="2"/>
  <c r="AK4102" i="2"/>
  <c r="AN4101" i="2"/>
  <c r="AM4101" i="2"/>
  <c r="AL4101" i="2"/>
  <c r="AK4101" i="2"/>
  <c r="AN4100" i="2"/>
  <c r="AM4100" i="2"/>
  <c r="AL4100" i="2"/>
  <c r="AK4100" i="2"/>
  <c r="AN4099" i="2"/>
  <c r="AM4099" i="2"/>
  <c r="AL4099" i="2"/>
  <c r="AK4099" i="2"/>
  <c r="AN4098" i="2"/>
  <c r="AM4098" i="2"/>
  <c r="AL4098" i="2"/>
  <c r="AK4098" i="2"/>
  <c r="AN4097" i="2"/>
  <c r="AM4097" i="2"/>
  <c r="AL4097" i="2"/>
  <c r="AK4097" i="2"/>
  <c r="AN4096" i="2"/>
  <c r="AM4096" i="2"/>
  <c r="AL4096" i="2"/>
  <c r="AK4096" i="2"/>
  <c r="AN4095" i="2"/>
  <c r="AM4095" i="2"/>
  <c r="AL4095" i="2"/>
  <c r="AK4095" i="2"/>
  <c r="AN4094" i="2"/>
  <c r="AM4094" i="2"/>
  <c r="AL4094" i="2"/>
  <c r="AK4094" i="2"/>
  <c r="AN4093" i="2"/>
  <c r="AM4093" i="2"/>
  <c r="AL4093" i="2"/>
  <c r="AK4093" i="2"/>
  <c r="AN4092" i="2"/>
  <c r="AM4092" i="2"/>
  <c r="AL4092" i="2"/>
  <c r="AK4092" i="2"/>
  <c r="AN4091" i="2"/>
  <c r="AM4091" i="2"/>
  <c r="AL4091" i="2"/>
  <c r="AK4091" i="2"/>
  <c r="AN4090" i="2"/>
  <c r="AM4090" i="2"/>
  <c r="AL4090" i="2"/>
  <c r="AK4090" i="2"/>
  <c r="AN4089" i="2"/>
  <c r="AM4089" i="2"/>
  <c r="AL4089" i="2"/>
  <c r="AK4089" i="2"/>
  <c r="AN4088" i="2"/>
  <c r="AM4088" i="2"/>
  <c r="AL4088" i="2"/>
  <c r="AK4088" i="2"/>
  <c r="AN4087" i="2"/>
  <c r="AM4087" i="2"/>
  <c r="AL4087" i="2"/>
  <c r="AK4087" i="2"/>
  <c r="AN4086" i="2"/>
  <c r="AM4086" i="2"/>
  <c r="AL4086" i="2"/>
  <c r="AK4086" i="2"/>
  <c r="AN4085" i="2"/>
  <c r="AM4085" i="2"/>
  <c r="AL4085" i="2"/>
  <c r="AK4085" i="2"/>
  <c r="AN4084" i="2"/>
  <c r="AM4084" i="2"/>
  <c r="AL4084" i="2"/>
  <c r="AK4084" i="2"/>
  <c r="AN4083" i="2"/>
  <c r="AM4083" i="2"/>
  <c r="AL4083" i="2"/>
  <c r="AK4083" i="2"/>
  <c r="AN4082" i="2"/>
  <c r="AM4082" i="2"/>
  <c r="AL4082" i="2"/>
  <c r="AK4082" i="2"/>
  <c r="AN4081" i="2"/>
  <c r="AM4081" i="2"/>
  <c r="AL4081" i="2"/>
  <c r="AK4081" i="2"/>
  <c r="AN4080" i="2"/>
  <c r="AM4080" i="2"/>
  <c r="AL4080" i="2"/>
  <c r="AK4080" i="2"/>
  <c r="AN4079" i="2"/>
  <c r="AM4079" i="2"/>
  <c r="AL4079" i="2"/>
  <c r="AK4079" i="2"/>
  <c r="AN4078" i="2"/>
  <c r="AM4078" i="2"/>
  <c r="AL4078" i="2"/>
  <c r="AK4078" i="2"/>
  <c r="AN4077" i="2"/>
  <c r="AM4077" i="2"/>
  <c r="AL4077" i="2"/>
  <c r="AK4077" i="2"/>
  <c r="AN4076" i="2"/>
  <c r="AM4076" i="2"/>
  <c r="AL4076" i="2"/>
  <c r="AK4076" i="2"/>
  <c r="AN4075" i="2"/>
  <c r="AM4075" i="2"/>
  <c r="AL4075" i="2"/>
  <c r="AK4075" i="2"/>
  <c r="AN4074" i="2"/>
  <c r="AM4074" i="2"/>
  <c r="AL4074" i="2"/>
  <c r="AK4074" i="2"/>
  <c r="AN4073" i="2"/>
  <c r="AM4073" i="2"/>
  <c r="AL4073" i="2"/>
  <c r="AK4073" i="2"/>
  <c r="AN4072" i="2"/>
  <c r="AM4072" i="2"/>
  <c r="AL4072" i="2"/>
  <c r="AK4072" i="2"/>
  <c r="AN4071" i="2"/>
  <c r="AM4071" i="2"/>
  <c r="AL4071" i="2"/>
  <c r="AK4071" i="2"/>
  <c r="AN4070" i="2"/>
  <c r="AM4070" i="2"/>
  <c r="AL4070" i="2"/>
  <c r="AK4070" i="2"/>
  <c r="AN4069" i="2"/>
  <c r="AM4069" i="2"/>
  <c r="AL4069" i="2"/>
  <c r="AK4069" i="2"/>
  <c r="AN4068" i="2"/>
  <c r="AM4068" i="2"/>
  <c r="AL4068" i="2"/>
  <c r="AK4068" i="2"/>
  <c r="AN4067" i="2"/>
  <c r="AM4067" i="2"/>
  <c r="AL4067" i="2"/>
  <c r="AK4067" i="2"/>
  <c r="AN4066" i="2"/>
  <c r="AM4066" i="2"/>
  <c r="AL4066" i="2"/>
  <c r="AK4066" i="2"/>
  <c r="AN4065" i="2"/>
  <c r="AM4065" i="2"/>
  <c r="AL4065" i="2"/>
  <c r="AK4065" i="2"/>
  <c r="AN4064" i="2"/>
  <c r="AM4064" i="2"/>
  <c r="AL4064" i="2"/>
  <c r="AK4064" i="2"/>
  <c r="AN4063" i="2"/>
  <c r="AM4063" i="2"/>
  <c r="AL4063" i="2"/>
  <c r="AK4063" i="2"/>
  <c r="AN4062" i="2"/>
  <c r="AM4062" i="2"/>
  <c r="AL4062" i="2"/>
  <c r="AK4062" i="2"/>
  <c r="AN4061" i="2"/>
  <c r="AM4061" i="2"/>
  <c r="AL4061" i="2"/>
  <c r="AK4061" i="2"/>
  <c r="AN4060" i="2"/>
  <c r="AM4060" i="2"/>
  <c r="AL4060" i="2"/>
  <c r="AK4060" i="2"/>
  <c r="AN4059" i="2"/>
  <c r="AM4059" i="2"/>
  <c r="AL4059" i="2"/>
  <c r="AK4059" i="2"/>
  <c r="AN4058" i="2"/>
  <c r="AM4058" i="2"/>
  <c r="AL4058" i="2"/>
  <c r="AK4058" i="2"/>
  <c r="AN4057" i="2"/>
  <c r="AM4057" i="2"/>
  <c r="AL4057" i="2"/>
  <c r="AK4057" i="2"/>
  <c r="AN4056" i="2"/>
  <c r="AM4056" i="2"/>
  <c r="AL4056" i="2"/>
  <c r="AK4056" i="2"/>
  <c r="AN4055" i="2"/>
  <c r="AM4055" i="2"/>
  <c r="AL4055" i="2"/>
  <c r="AK4055" i="2"/>
  <c r="AN4054" i="2"/>
  <c r="AM4054" i="2"/>
  <c r="AL4054" i="2"/>
  <c r="AK4054" i="2"/>
  <c r="AN4053" i="2"/>
  <c r="AM4053" i="2"/>
  <c r="AL4053" i="2"/>
  <c r="AK4053" i="2"/>
  <c r="AN4052" i="2"/>
  <c r="AM4052" i="2"/>
  <c r="AL4052" i="2"/>
  <c r="AK4052" i="2"/>
  <c r="AN4051" i="2"/>
  <c r="AM4051" i="2"/>
  <c r="AL4051" i="2"/>
  <c r="AK4051" i="2"/>
  <c r="AN4050" i="2"/>
  <c r="AM4050" i="2"/>
  <c r="AL4050" i="2"/>
  <c r="AK4050" i="2"/>
  <c r="AN4049" i="2"/>
  <c r="AM4049" i="2"/>
  <c r="AL4049" i="2"/>
  <c r="AK4049" i="2"/>
  <c r="AN4048" i="2"/>
  <c r="AM4048" i="2"/>
  <c r="AL4048" i="2"/>
  <c r="AK4048" i="2"/>
  <c r="AN4047" i="2"/>
  <c r="AM4047" i="2"/>
  <c r="AL4047" i="2"/>
  <c r="AK4047" i="2"/>
  <c r="AN4046" i="2"/>
  <c r="AM4046" i="2"/>
  <c r="AL4046" i="2"/>
  <c r="AK4046" i="2"/>
  <c r="AN4045" i="2"/>
  <c r="AM4045" i="2"/>
  <c r="AL4045" i="2"/>
  <c r="AK4045" i="2"/>
  <c r="AN4044" i="2"/>
  <c r="AM4044" i="2"/>
  <c r="AL4044" i="2"/>
  <c r="AK4044" i="2"/>
  <c r="AN4043" i="2"/>
  <c r="AM4043" i="2"/>
  <c r="AL4043" i="2"/>
  <c r="AK4043" i="2"/>
  <c r="AN4042" i="2"/>
  <c r="AM4042" i="2"/>
  <c r="AL4042" i="2"/>
  <c r="AK4042" i="2"/>
  <c r="AN4041" i="2"/>
  <c r="AM4041" i="2"/>
  <c r="AL4041" i="2"/>
  <c r="AK4041" i="2"/>
  <c r="AN4040" i="2"/>
  <c r="AM4040" i="2"/>
  <c r="AL4040" i="2"/>
  <c r="AK4040" i="2"/>
  <c r="AN4039" i="2"/>
  <c r="AM4039" i="2"/>
  <c r="AL4039" i="2"/>
  <c r="AK4039" i="2"/>
  <c r="AN4038" i="2"/>
  <c r="AM4038" i="2"/>
  <c r="AL4038" i="2"/>
  <c r="AK4038" i="2"/>
  <c r="AN4037" i="2"/>
  <c r="AM4037" i="2"/>
  <c r="AL4037" i="2"/>
  <c r="AK4037" i="2"/>
  <c r="AN4036" i="2"/>
  <c r="AM4036" i="2"/>
  <c r="AL4036" i="2"/>
  <c r="AK4036" i="2"/>
  <c r="AN4035" i="2"/>
  <c r="AM4035" i="2"/>
  <c r="AL4035" i="2"/>
  <c r="AK4035" i="2"/>
  <c r="AN4034" i="2"/>
  <c r="AM4034" i="2"/>
  <c r="AL4034" i="2"/>
  <c r="AK4034" i="2"/>
  <c r="AN4033" i="2"/>
  <c r="AM4033" i="2"/>
  <c r="AL4033" i="2"/>
  <c r="AK4033" i="2"/>
  <c r="AN4032" i="2"/>
  <c r="AM4032" i="2"/>
  <c r="AL4032" i="2"/>
  <c r="AK4032" i="2"/>
  <c r="AN4031" i="2"/>
  <c r="AM4031" i="2"/>
  <c r="AL4031" i="2"/>
  <c r="AK4031" i="2"/>
  <c r="AN4030" i="2"/>
  <c r="AM4030" i="2"/>
  <c r="AL4030" i="2"/>
  <c r="AK4030" i="2"/>
  <c r="AN4029" i="2"/>
  <c r="AM4029" i="2"/>
  <c r="AL4029" i="2"/>
  <c r="AK4029" i="2"/>
  <c r="AN4028" i="2"/>
  <c r="AM4028" i="2"/>
  <c r="AL4028" i="2"/>
  <c r="AK4028" i="2"/>
  <c r="AN4027" i="2"/>
  <c r="AM4027" i="2"/>
  <c r="AL4027" i="2"/>
  <c r="AK4027" i="2"/>
  <c r="AN4026" i="2"/>
  <c r="AM4026" i="2"/>
  <c r="AL4026" i="2"/>
  <c r="AK4026" i="2"/>
  <c r="AN4025" i="2"/>
  <c r="AM4025" i="2"/>
  <c r="AL4025" i="2"/>
  <c r="AK4025" i="2"/>
  <c r="AN4024" i="2"/>
  <c r="AM4024" i="2"/>
  <c r="AL4024" i="2"/>
  <c r="AK4024" i="2"/>
  <c r="AN4023" i="2"/>
  <c r="AM4023" i="2"/>
  <c r="AL4023" i="2"/>
  <c r="AK4023" i="2"/>
  <c r="AN4022" i="2"/>
  <c r="AM4022" i="2"/>
  <c r="AL4022" i="2"/>
  <c r="AK4022" i="2"/>
  <c r="AN4021" i="2"/>
  <c r="AM4021" i="2"/>
  <c r="AL4021" i="2"/>
  <c r="AK4021" i="2"/>
  <c r="AN4020" i="2"/>
  <c r="AM4020" i="2"/>
  <c r="AL4020" i="2"/>
  <c r="AK4020" i="2"/>
  <c r="AN4019" i="2"/>
  <c r="AM4019" i="2"/>
  <c r="AL4019" i="2"/>
  <c r="AK4019" i="2"/>
  <c r="AN4018" i="2"/>
  <c r="AM4018" i="2"/>
  <c r="AL4018" i="2"/>
  <c r="AK4018" i="2"/>
  <c r="AN4017" i="2"/>
  <c r="AM4017" i="2"/>
  <c r="AL4017" i="2"/>
  <c r="AK4017" i="2"/>
  <c r="AN4016" i="2"/>
  <c r="AM4016" i="2"/>
  <c r="AL4016" i="2"/>
  <c r="AK4016" i="2"/>
  <c r="AN4015" i="2"/>
  <c r="AM4015" i="2"/>
  <c r="AL4015" i="2"/>
  <c r="AK4015" i="2"/>
  <c r="AN4014" i="2"/>
  <c r="AM4014" i="2"/>
  <c r="AL4014" i="2"/>
  <c r="AK4014" i="2"/>
  <c r="AN4013" i="2"/>
  <c r="AM4013" i="2"/>
  <c r="AL4013" i="2"/>
  <c r="AK4013" i="2"/>
  <c r="AN4012" i="2"/>
  <c r="AM4012" i="2"/>
  <c r="AL4012" i="2"/>
  <c r="AK4012" i="2"/>
  <c r="AN4011" i="2"/>
  <c r="AM4011" i="2"/>
  <c r="AL4011" i="2"/>
  <c r="AK4011" i="2"/>
  <c r="AN4010" i="2"/>
  <c r="AM4010" i="2"/>
  <c r="AL4010" i="2"/>
  <c r="AK4010" i="2"/>
  <c r="AN4009" i="2"/>
  <c r="AM4009" i="2"/>
  <c r="AL4009" i="2"/>
  <c r="AK4009" i="2"/>
  <c r="AN4008" i="2"/>
  <c r="AM4008" i="2"/>
  <c r="AL4008" i="2"/>
  <c r="AK4008" i="2"/>
  <c r="AN4007" i="2"/>
  <c r="AM4007" i="2"/>
  <c r="AL4007" i="2"/>
  <c r="AK4007" i="2"/>
  <c r="AN4006" i="2"/>
  <c r="AM4006" i="2"/>
  <c r="AL4006" i="2"/>
  <c r="AK4006" i="2"/>
  <c r="AN4005" i="2"/>
  <c r="AM4005" i="2"/>
  <c r="AL4005" i="2"/>
  <c r="AK4005" i="2"/>
  <c r="AN4004" i="2"/>
  <c r="AM4004" i="2"/>
  <c r="AL4004" i="2"/>
  <c r="AK4004" i="2"/>
  <c r="AN4003" i="2"/>
  <c r="AM4003" i="2"/>
  <c r="AL4003" i="2"/>
  <c r="AK4003" i="2"/>
  <c r="AN4002" i="2"/>
  <c r="AM4002" i="2"/>
  <c r="AL4002" i="2"/>
  <c r="AK4002" i="2"/>
  <c r="AN4001" i="2"/>
  <c r="AM4001" i="2"/>
  <c r="AL4001" i="2"/>
  <c r="AK4001" i="2"/>
  <c r="AN4000" i="2"/>
  <c r="AM4000" i="2"/>
  <c r="AL4000" i="2"/>
  <c r="AK4000" i="2"/>
  <c r="AN3999" i="2"/>
  <c r="AM3999" i="2"/>
  <c r="AL3999" i="2"/>
  <c r="AK3999" i="2"/>
  <c r="AN3998" i="2"/>
  <c r="AM3998" i="2"/>
  <c r="AL3998" i="2"/>
  <c r="AK3998" i="2"/>
  <c r="AN3997" i="2"/>
  <c r="AM3997" i="2"/>
  <c r="AL3997" i="2"/>
  <c r="AK3997" i="2"/>
  <c r="AN3996" i="2"/>
  <c r="AM3996" i="2"/>
  <c r="AL3996" i="2"/>
  <c r="AK3996" i="2"/>
  <c r="AN3995" i="2"/>
  <c r="AM3995" i="2"/>
  <c r="AL3995" i="2"/>
  <c r="AK3995" i="2"/>
  <c r="AN3994" i="2"/>
  <c r="AM3994" i="2"/>
  <c r="AL3994" i="2"/>
  <c r="AK3994" i="2"/>
  <c r="AN3993" i="2"/>
  <c r="AM3993" i="2"/>
  <c r="AL3993" i="2"/>
  <c r="AK3993" i="2"/>
  <c r="AN3992" i="2"/>
  <c r="AM3992" i="2"/>
  <c r="AL3992" i="2"/>
  <c r="AK3992" i="2"/>
  <c r="AN3991" i="2"/>
  <c r="AM3991" i="2"/>
  <c r="AL3991" i="2"/>
  <c r="AK3991" i="2"/>
  <c r="AN3990" i="2"/>
  <c r="AM3990" i="2"/>
  <c r="AL3990" i="2"/>
  <c r="AK3990" i="2"/>
  <c r="AN3989" i="2"/>
  <c r="AM3989" i="2"/>
  <c r="AL3989" i="2"/>
  <c r="AK3989" i="2"/>
  <c r="AN3988" i="2"/>
  <c r="AM3988" i="2"/>
  <c r="AL3988" i="2"/>
  <c r="AK3988" i="2"/>
  <c r="AN3987" i="2"/>
  <c r="AM3987" i="2"/>
  <c r="AL3987" i="2"/>
  <c r="AK3987" i="2"/>
  <c r="AN3986" i="2"/>
  <c r="AM3986" i="2"/>
  <c r="AL3986" i="2"/>
  <c r="AK3986" i="2"/>
  <c r="AN3985" i="2"/>
  <c r="AM3985" i="2"/>
  <c r="AL3985" i="2"/>
  <c r="AK3985" i="2"/>
  <c r="AN3984" i="2"/>
  <c r="AM3984" i="2"/>
  <c r="AL3984" i="2"/>
  <c r="AK3984" i="2"/>
  <c r="AN3983" i="2"/>
  <c r="AM3983" i="2"/>
  <c r="AL3983" i="2"/>
  <c r="AK3983" i="2"/>
  <c r="AN3982" i="2"/>
  <c r="AM3982" i="2"/>
  <c r="AL3982" i="2"/>
  <c r="AK3982" i="2"/>
  <c r="AN3981" i="2"/>
  <c r="AM3981" i="2"/>
  <c r="AL3981" i="2"/>
  <c r="AK3981" i="2"/>
  <c r="AN3980" i="2"/>
  <c r="AM3980" i="2"/>
  <c r="AL3980" i="2"/>
  <c r="AK3980" i="2"/>
  <c r="AN3979" i="2"/>
  <c r="AM3979" i="2"/>
  <c r="AL3979" i="2"/>
  <c r="AK3979" i="2"/>
  <c r="AN3978" i="2"/>
  <c r="AM3978" i="2"/>
  <c r="AL3978" i="2"/>
  <c r="AK3978" i="2"/>
  <c r="AN3977" i="2"/>
  <c r="AM3977" i="2"/>
  <c r="AL3977" i="2"/>
  <c r="AK3977" i="2"/>
  <c r="AN3976" i="2"/>
  <c r="AM3976" i="2"/>
  <c r="AL3976" i="2"/>
  <c r="AK3976" i="2"/>
  <c r="AN3975" i="2"/>
  <c r="AM3975" i="2"/>
  <c r="AL3975" i="2"/>
  <c r="AK3975" i="2"/>
  <c r="AN3974" i="2"/>
  <c r="AM3974" i="2"/>
  <c r="AL3974" i="2"/>
  <c r="AK3974" i="2"/>
  <c r="AN3973" i="2"/>
  <c r="AM3973" i="2"/>
  <c r="AL3973" i="2"/>
  <c r="AK3973" i="2"/>
  <c r="AN3972" i="2"/>
  <c r="AM3972" i="2"/>
  <c r="AL3972" i="2"/>
  <c r="AK3972" i="2"/>
  <c r="AN3971" i="2"/>
  <c r="AM3971" i="2"/>
  <c r="AL3971" i="2"/>
  <c r="AK3971" i="2"/>
  <c r="AN3970" i="2"/>
  <c r="AM3970" i="2"/>
  <c r="AL3970" i="2"/>
  <c r="AK3970" i="2"/>
  <c r="AN3969" i="2"/>
  <c r="AM3969" i="2"/>
  <c r="AL3969" i="2"/>
  <c r="AK3969" i="2"/>
  <c r="AN3968" i="2"/>
  <c r="AM3968" i="2"/>
  <c r="AL3968" i="2"/>
  <c r="AK3968" i="2"/>
  <c r="AN3967" i="2"/>
  <c r="AM3967" i="2"/>
  <c r="AL3967" i="2"/>
  <c r="AK3967" i="2"/>
  <c r="AN3966" i="2"/>
  <c r="AM3966" i="2"/>
  <c r="AL3966" i="2"/>
  <c r="AK3966" i="2"/>
  <c r="AN3965" i="2"/>
  <c r="AM3965" i="2"/>
  <c r="AL3965" i="2"/>
  <c r="AK3965" i="2"/>
  <c r="AN3964" i="2"/>
  <c r="AM3964" i="2"/>
  <c r="AL3964" i="2"/>
  <c r="AK3964" i="2"/>
  <c r="AN3963" i="2"/>
  <c r="AM3963" i="2"/>
  <c r="AL3963" i="2"/>
  <c r="AK3963" i="2"/>
  <c r="AN3962" i="2"/>
  <c r="AM3962" i="2"/>
  <c r="AL3962" i="2"/>
  <c r="AK3962" i="2"/>
  <c r="AN3961" i="2"/>
  <c r="AM3961" i="2"/>
  <c r="AL3961" i="2"/>
  <c r="AK3961" i="2"/>
  <c r="AN3960" i="2"/>
  <c r="AM3960" i="2"/>
  <c r="AL3960" i="2"/>
  <c r="AK3960" i="2"/>
  <c r="AN3959" i="2"/>
  <c r="AM3959" i="2"/>
  <c r="AL3959" i="2"/>
  <c r="AK3959" i="2"/>
  <c r="AN3958" i="2"/>
  <c r="AM3958" i="2"/>
  <c r="AL3958" i="2"/>
  <c r="AK3958" i="2"/>
  <c r="AN3957" i="2"/>
  <c r="AM3957" i="2"/>
  <c r="AL3957" i="2"/>
  <c r="AK3957" i="2"/>
  <c r="AN3956" i="2"/>
  <c r="AM3956" i="2"/>
  <c r="AL3956" i="2"/>
  <c r="AK3956" i="2"/>
  <c r="AN3955" i="2"/>
  <c r="AM3955" i="2"/>
  <c r="AL3955" i="2"/>
  <c r="AK3955" i="2"/>
  <c r="AN3954" i="2"/>
  <c r="AM3954" i="2"/>
  <c r="AL3954" i="2"/>
  <c r="AK3954" i="2"/>
  <c r="AN3953" i="2"/>
  <c r="AM3953" i="2"/>
  <c r="AL3953" i="2"/>
  <c r="AK3953" i="2"/>
  <c r="AN3952" i="2"/>
  <c r="AM3952" i="2"/>
  <c r="AL3952" i="2"/>
  <c r="AK3952" i="2"/>
  <c r="AN3951" i="2"/>
  <c r="AM3951" i="2"/>
  <c r="AL3951" i="2"/>
  <c r="AK3951" i="2"/>
  <c r="AN3950" i="2"/>
  <c r="AM3950" i="2"/>
  <c r="AL3950" i="2"/>
  <c r="AK3950" i="2"/>
  <c r="AN3949" i="2"/>
  <c r="AM3949" i="2"/>
  <c r="AL3949" i="2"/>
  <c r="AK3949" i="2"/>
  <c r="AN3948" i="2"/>
  <c r="AM3948" i="2"/>
  <c r="AL3948" i="2"/>
  <c r="AK3948" i="2"/>
  <c r="AN3947" i="2"/>
  <c r="AM3947" i="2"/>
  <c r="AL3947" i="2"/>
  <c r="AK3947" i="2"/>
  <c r="AN3946" i="2"/>
  <c r="AM3946" i="2"/>
  <c r="AL3946" i="2"/>
  <c r="AK3946" i="2"/>
  <c r="AN3945" i="2"/>
  <c r="AM3945" i="2"/>
  <c r="AL3945" i="2"/>
  <c r="AK3945" i="2"/>
  <c r="AN3944" i="2"/>
  <c r="AM3944" i="2"/>
  <c r="AL3944" i="2"/>
  <c r="AK3944" i="2"/>
  <c r="AN3943" i="2"/>
  <c r="AM3943" i="2"/>
  <c r="AL3943" i="2"/>
  <c r="AK3943" i="2"/>
  <c r="AN3942" i="2"/>
  <c r="AM3942" i="2"/>
  <c r="AL3942" i="2"/>
  <c r="AK3942" i="2"/>
  <c r="AN3941" i="2"/>
  <c r="AM3941" i="2"/>
  <c r="AL3941" i="2"/>
  <c r="AK3941" i="2"/>
  <c r="AN3940" i="2"/>
  <c r="AM3940" i="2"/>
  <c r="AL3940" i="2"/>
  <c r="AK3940" i="2"/>
  <c r="AN3939" i="2"/>
  <c r="AM3939" i="2"/>
  <c r="AL3939" i="2"/>
  <c r="AK3939" i="2"/>
  <c r="AN3938" i="2"/>
  <c r="AM3938" i="2"/>
  <c r="AL3938" i="2"/>
  <c r="AK3938" i="2"/>
  <c r="AN3937" i="2"/>
  <c r="AM3937" i="2"/>
  <c r="AL3937" i="2"/>
  <c r="AK3937" i="2"/>
  <c r="AN3936" i="2"/>
  <c r="AM3936" i="2"/>
  <c r="AL3936" i="2"/>
  <c r="AK3936" i="2"/>
  <c r="AN3935" i="2"/>
  <c r="AM3935" i="2"/>
  <c r="AL3935" i="2"/>
  <c r="AK3935" i="2"/>
  <c r="AN3934" i="2"/>
  <c r="AM3934" i="2"/>
  <c r="AL3934" i="2"/>
  <c r="AK3934" i="2"/>
  <c r="AN3933" i="2"/>
  <c r="AM3933" i="2"/>
  <c r="AL3933" i="2"/>
  <c r="AK3933" i="2"/>
  <c r="AN3932" i="2"/>
  <c r="AM3932" i="2"/>
  <c r="AL3932" i="2"/>
  <c r="AK3932" i="2"/>
  <c r="AN3931" i="2"/>
  <c r="AM3931" i="2"/>
  <c r="AL3931" i="2"/>
  <c r="AK3931" i="2"/>
  <c r="AN3930" i="2"/>
  <c r="AM3930" i="2"/>
  <c r="AL3930" i="2"/>
  <c r="AK3930" i="2"/>
  <c r="AN3929" i="2"/>
  <c r="AM3929" i="2"/>
  <c r="AL3929" i="2"/>
  <c r="AK3929" i="2"/>
  <c r="AN3928" i="2"/>
  <c r="AM3928" i="2"/>
  <c r="AL3928" i="2"/>
  <c r="AK3928" i="2"/>
  <c r="AN3927" i="2"/>
  <c r="AM3927" i="2"/>
  <c r="AL3927" i="2"/>
  <c r="AK3927" i="2"/>
  <c r="AN3926" i="2"/>
  <c r="AM3926" i="2"/>
  <c r="AL3926" i="2"/>
  <c r="AK3926" i="2"/>
  <c r="AN3925" i="2"/>
  <c r="AM3925" i="2"/>
  <c r="AL3925" i="2"/>
  <c r="AK3925" i="2"/>
  <c r="AN3924" i="2"/>
  <c r="AM3924" i="2"/>
  <c r="AL3924" i="2"/>
  <c r="AK3924" i="2"/>
  <c r="AN3923" i="2"/>
  <c r="AM3923" i="2"/>
  <c r="AL3923" i="2"/>
  <c r="AK3923" i="2"/>
  <c r="AN3922" i="2"/>
  <c r="AM3922" i="2"/>
  <c r="AL3922" i="2"/>
  <c r="AK3922" i="2"/>
  <c r="AN3921" i="2"/>
  <c r="AM3921" i="2"/>
  <c r="AL3921" i="2"/>
  <c r="AK3921" i="2"/>
  <c r="AN3920" i="2"/>
  <c r="AM3920" i="2"/>
  <c r="AL3920" i="2"/>
  <c r="AK3920" i="2"/>
  <c r="AN3919" i="2"/>
  <c r="AM3919" i="2"/>
  <c r="AL3919" i="2"/>
  <c r="AK3919" i="2"/>
  <c r="AN3918" i="2"/>
  <c r="AM3918" i="2"/>
  <c r="AL3918" i="2"/>
  <c r="AK3918" i="2"/>
  <c r="AN3917" i="2"/>
  <c r="AM3917" i="2"/>
  <c r="AL3917" i="2"/>
  <c r="AK3917" i="2"/>
  <c r="AN3916" i="2"/>
  <c r="AM3916" i="2"/>
  <c r="AL3916" i="2"/>
  <c r="AK3916" i="2"/>
  <c r="AN3915" i="2"/>
  <c r="AM3915" i="2"/>
  <c r="AL3915" i="2"/>
  <c r="AK3915" i="2"/>
  <c r="AN3914" i="2"/>
  <c r="AM3914" i="2"/>
  <c r="AL3914" i="2"/>
  <c r="AK3914" i="2"/>
  <c r="AN3913" i="2"/>
  <c r="AM3913" i="2"/>
  <c r="AL3913" i="2"/>
  <c r="AK3913" i="2"/>
  <c r="AN3912" i="2"/>
  <c r="AM3912" i="2"/>
  <c r="AL3912" i="2"/>
  <c r="AK3912" i="2"/>
  <c r="AN3911" i="2"/>
  <c r="AM3911" i="2"/>
  <c r="AL3911" i="2"/>
  <c r="AK3911" i="2"/>
  <c r="AN3910" i="2"/>
  <c r="AM3910" i="2"/>
  <c r="AL3910" i="2"/>
  <c r="AK3910" i="2"/>
  <c r="AN3909" i="2"/>
  <c r="AM3909" i="2"/>
  <c r="AL3909" i="2"/>
  <c r="AK3909" i="2"/>
  <c r="AN3908" i="2"/>
  <c r="AM3908" i="2"/>
  <c r="AL3908" i="2"/>
  <c r="AK3908" i="2"/>
  <c r="AN3907" i="2"/>
  <c r="AM3907" i="2"/>
  <c r="AL3907" i="2"/>
  <c r="AK3907" i="2"/>
  <c r="AN3906" i="2"/>
  <c r="AM3906" i="2"/>
  <c r="AL3906" i="2"/>
  <c r="AK3906" i="2"/>
  <c r="AN3905" i="2"/>
  <c r="AM3905" i="2"/>
  <c r="AL3905" i="2"/>
  <c r="AK3905" i="2"/>
  <c r="AN3904" i="2"/>
  <c r="AM3904" i="2"/>
  <c r="AL3904" i="2"/>
  <c r="AK3904" i="2"/>
  <c r="AN3903" i="2"/>
  <c r="AM3903" i="2"/>
  <c r="AL3903" i="2"/>
  <c r="AK3903" i="2"/>
  <c r="AN3902" i="2"/>
  <c r="AM3902" i="2"/>
  <c r="AL3902" i="2"/>
  <c r="AK3902" i="2"/>
  <c r="AN3901" i="2"/>
  <c r="AM3901" i="2"/>
  <c r="AL3901" i="2"/>
  <c r="AK3901" i="2"/>
  <c r="AN3900" i="2"/>
  <c r="AM3900" i="2"/>
  <c r="AL3900" i="2"/>
  <c r="AK3900" i="2"/>
  <c r="AN3899" i="2"/>
  <c r="AM3899" i="2"/>
  <c r="AL3899" i="2"/>
  <c r="AK3899" i="2"/>
  <c r="AN3898" i="2"/>
  <c r="AM3898" i="2"/>
  <c r="AL3898" i="2"/>
  <c r="AK3898" i="2"/>
  <c r="AN3897" i="2"/>
  <c r="AM3897" i="2"/>
  <c r="AL3897" i="2"/>
  <c r="AK3897" i="2"/>
  <c r="AN3896" i="2"/>
  <c r="AM3896" i="2"/>
  <c r="AL3896" i="2"/>
  <c r="AK3896" i="2"/>
  <c r="AN3895" i="2"/>
  <c r="AM3895" i="2"/>
  <c r="AL3895" i="2"/>
  <c r="AK3895" i="2"/>
  <c r="AN3894" i="2"/>
  <c r="AM3894" i="2"/>
  <c r="AL3894" i="2"/>
  <c r="AK3894" i="2"/>
  <c r="AN3893" i="2"/>
  <c r="AM3893" i="2"/>
  <c r="AL3893" i="2"/>
  <c r="AK3893" i="2"/>
  <c r="AN3892" i="2"/>
  <c r="AM3892" i="2"/>
  <c r="AL3892" i="2"/>
  <c r="AK3892" i="2"/>
  <c r="AN3891" i="2"/>
  <c r="AM3891" i="2"/>
  <c r="AL3891" i="2"/>
  <c r="AK3891" i="2"/>
  <c r="AN3890" i="2"/>
  <c r="AM3890" i="2"/>
  <c r="AL3890" i="2"/>
  <c r="AK3890" i="2"/>
  <c r="AN3889" i="2"/>
  <c r="AM3889" i="2"/>
  <c r="AL3889" i="2"/>
  <c r="AK3889" i="2"/>
  <c r="AN3888" i="2"/>
  <c r="AM3888" i="2"/>
  <c r="AL3888" i="2"/>
  <c r="AK3888" i="2"/>
  <c r="AN3887" i="2"/>
  <c r="AM3887" i="2"/>
  <c r="AL3887" i="2"/>
  <c r="AK3887" i="2"/>
  <c r="AN3886" i="2"/>
  <c r="AM3886" i="2"/>
  <c r="AL3886" i="2"/>
  <c r="AK3886" i="2"/>
  <c r="AN3885" i="2"/>
  <c r="AM3885" i="2"/>
  <c r="AL3885" i="2"/>
  <c r="AK3885" i="2"/>
  <c r="AN3884" i="2"/>
  <c r="AM3884" i="2"/>
  <c r="AL3884" i="2"/>
  <c r="AK3884" i="2"/>
  <c r="AN3883" i="2"/>
  <c r="AM3883" i="2"/>
  <c r="AL3883" i="2"/>
  <c r="AK3883" i="2"/>
  <c r="AN3882" i="2"/>
  <c r="AM3882" i="2"/>
  <c r="AL3882" i="2"/>
  <c r="AK3882" i="2"/>
  <c r="AN3881" i="2"/>
  <c r="AM3881" i="2"/>
  <c r="AL3881" i="2"/>
  <c r="AK3881" i="2"/>
  <c r="AN3880" i="2"/>
  <c r="AM3880" i="2"/>
  <c r="AL3880" i="2"/>
  <c r="AK3880" i="2"/>
  <c r="AN3879" i="2"/>
  <c r="AM3879" i="2"/>
  <c r="AL3879" i="2"/>
  <c r="AK3879" i="2"/>
  <c r="AN3878" i="2"/>
  <c r="AM3878" i="2"/>
  <c r="AL3878" i="2"/>
  <c r="AK3878" i="2"/>
  <c r="AN3877" i="2"/>
  <c r="AM3877" i="2"/>
  <c r="AL3877" i="2"/>
  <c r="AK3877" i="2"/>
  <c r="AN3876" i="2"/>
  <c r="AM3876" i="2"/>
  <c r="AL3876" i="2"/>
  <c r="AK3876" i="2"/>
  <c r="AN3875" i="2"/>
  <c r="AM3875" i="2"/>
  <c r="AL3875" i="2"/>
  <c r="AK3875" i="2"/>
  <c r="AN3874" i="2"/>
  <c r="AM3874" i="2"/>
  <c r="AL3874" i="2"/>
  <c r="AK3874" i="2"/>
  <c r="AN3873" i="2"/>
  <c r="AM3873" i="2"/>
  <c r="AL3873" i="2"/>
  <c r="AK3873" i="2"/>
  <c r="AN3872" i="2"/>
  <c r="AM3872" i="2"/>
  <c r="AL3872" i="2"/>
  <c r="AK3872" i="2"/>
  <c r="AN3871" i="2"/>
  <c r="AM3871" i="2"/>
  <c r="AL3871" i="2"/>
  <c r="AK3871" i="2"/>
  <c r="AN3870" i="2"/>
  <c r="AM3870" i="2"/>
  <c r="AL3870" i="2"/>
  <c r="AK3870" i="2"/>
  <c r="AN3869" i="2"/>
  <c r="AM3869" i="2"/>
  <c r="AL3869" i="2"/>
  <c r="AK3869" i="2"/>
  <c r="AN3868" i="2"/>
  <c r="AM3868" i="2"/>
  <c r="AL3868" i="2"/>
  <c r="AK3868" i="2"/>
  <c r="AN3867" i="2"/>
  <c r="AM3867" i="2"/>
  <c r="AL3867" i="2"/>
  <c r="AK3867" i="2"/>
  <c r="AN3866" i="2"/>
  <c r="AM3866" i="2"/>
  <c r="AL3866" i="2"/>
  <c r="AK3866" i="2"/>
  <c r="AN3865" i="2"/>
  <c r="AM3865" i="2"/>
  <c r="AL3865" i="2"/>
  <c r="AK3865" i="2"/>
  <c r="AN3864" i="2"/>
  <c r="AM3864" i="2"/>
  <c r="AL3864" i="2"/>
  <c r="AK3864" i="2"/>
  <c r="AN3863" i="2"/>
  <c r="AM3863" i="2"/>
  <c r="AL3863" i="2"/>
  <c r="AK3863" i="2"/>
  <c r="AN3862" i="2"/>
  <c r="AM3862" i="2"/>
  <c r="AL3862" i="2"/>
  <c r="AK3862" i="2"/>
  <c r="AN3861" i="2"/>
  <c r="AM3861" i="2"/>
  <c r="AL3861" i="2"/>
  <c r="AK3861" i="2"/>
  <c r="AN3860" i="2"/>
  <c r="AM3860" i="2"/>
  <c r="AL3860" i="2"/>
  <c r="AK3860" i="2"/>
  <c r="AN3859" i="2"/>
  <c r="AM3859" i="2"/>
  <c r="AL3859" i="2"/>
  <c r="AK3859" i="2"/>
  <c r="AN3858" i="2"/>
  <c r="AM3858" i="2"/>
  <c r="AL3858" i="2"/>
  <c r="AK3858" i="2"/>
  <c r="AN3857" i="2"/>
  <c r="AM3857" i="2"/>
  <c r="AL3857" i="2"/>
  <c r="AK3857" i="2"/>
  <c r="AN3856" i="2"/>
  <c r="AM3856" i="2"/>
  <c r="AL3856" i="2"/>
  <c r="AK3856" i="2"/>
  <c r="AN3855" i="2"/>
  <c r="AM3855" i="2"/>
  <c r="AL3855" i="2"/>
  <c r="AK3855" i="2"/>
  <c r="AN3854" i="2"/>
  <c r="AM3854" i="2"/>
  <c r="AL3854" i="2"/>
  <c r="AK3854" i="2"/>
  <c r="AN3853" i="2"/>
  <c r="AM3853" i="2"/>
  <c r="AL3853" i="2"/>
  <c r="AK3853" i="2"/>
  <c r="AN3852" i="2"/>
  <c r="AM3852" i="2"/>
  <c r="AL3852" i="2"/>
  <c r="AK3852" i="2"/>
  <c r="AN3851" i="2"/>
  <c r="AM3851" i="2"/>
  <c r="AL3851" i="2"/>
  <c r="AK3851" i="2"/>
  <c r="AN3850" i="2"/>
  <c r="AM3850" i="2"/>
  <c r="AL3850" i="2"/>
  <c r="AK3850" i="2"/>
  <c r="AN3849" i="2"/>
  <c r="AM3849" i="2"/>
  <c r="AL3849" i="2"/>
  <c r="AK3849" i="2"/>
  <c r="AN3848" i="2"/>
  <c r="AM3848" i="2"/>
  <c r="AL3848" i="2"/>
  <c r="AK3848" i="2"/>
  <c r="AN3847" i="2"/>
  <c r="AM3847" i="2"/>
  <c r="AL3847" i="2"/>
  <c r="AK3847" i="2"/>
  <c r="AN3846" i="2"/>
  <c r="AM3846" i="2"/>
  <c r="AL3846" i="2"/>
  <c r="AK3846" i="2"/>
  <c r="AN3845" i="2"/>
  <c r="AM3845" i="2"/>
  <c r="AL3845" i="2"/>
  <c r="AK3845" i="2"/>
  <c r="AN3844" i="2"/>
  <c r="AM3844" i="2"/>
  <c r="AL3844" i="2"/>
  <c r="AK3844" i="2"/>
  <c r="AN3843" i="2"/>
  <c r="AM3843" i="2"/>
  <c r="AL3843" i="2"/>
  <c r="AK3843" i="2"/>
  <c r="AN3842" i="2"/>
  <c r="AM3842" i="2"/>
  <c r="AL3842" i="2"/>
  <c r="AK3842" i="2"/>
  <c r="AN3841" i="2"/>
  <c r="AM3841" i="2"/>
  <c r="AL3841" i="2"/>
  <c r="AK3841" i="2"/>
  <c r="AN3840" i="2"/>
  <c r="AM3840" i="2"/>
  <c r="AL3840" i="2"/>
  <c r="AK3840" i="2"/>
  <c r="AN3839" i="2"/>
  <c r="AM3839" i="2"/>
  <c r="AL3839" i="2"/>
  <c r="AK3839" i="2"/>
  <c r="AN3838" i="2"/>
  <c r="AM3838" i="2"/>
  <c r="AL3838" i="2"/>
  <c r="AK3838" i="2"/>
  <c r="AN3837" i="2"/>
  <c r="AM3837" i="2"/>
  <c r="AL3837" i="2"/>
  <c r="AK3837" i="2"/>
  <c r="AN3836" i="2"/>
  <c r="AM3836" i="2"/>
  <c r="AL3836" i="2"/>
  <c r="AK3836" i="2"/>
  <c r="AN3835" i="2"/>
  <c r="AM3835" i="2"/>
  <c r="AL3835" i="2"/>
  <c r="AK3835" i="2"/>
  <c r="AN3834" i="2"/>
  <c r="AM3834" i="2"/>
  <c r="AL3834" i="2"/>
  <c r="AK3834" i="2"/>
  <c r="AN3833" i="2"/>
  <c r="AM3833" i="2"/>
  <c r="AL3833" i="2"/>
  <c r="AK3833" i="2"/>
  <c r="AN3832" i="2"/>
  <c r="AM3832" i="2"/>
  <c r="AL3832" i="2"/>
  <c r="AK3832" i="2"/>
  <c r="AN3831" i="2"/>
  <c r="AM3831" i="2"/>
  <c r="AL3831" i="2"/>
  <c r="AK3831" i="2"/>
  <c r="AN3830" i="2"/>
  <c r="AM3830" i="2"/>
  <c r="AL3830" i="2"/>
  <c r="AK3830" i="2"/>
  <c r="AN3829" i="2"/>
  <c r="AM3829" i="2"/>
  <c r="AL3829" i="2"/>
  <c r="AK3829" i="2"/>
  <c r="AN3828" i="2"/>
  <c r="AM3828" i="2"/>
  <c r="AL3828" i="2"/>
  <c r="AK3828" i="2"/>
  <c r="AN3827" i="2"/>
  <c r="AM3827" i="2"/>
  <c r="AL3827" i="2"/>
  <c r="AK3827" i="2"/>
  <c r="AN3826" i="2"/>
  <c r="AM3826" i="2"/>
  <c r="AL3826" i="2"/>
  <c r="AK3826" i="2"/>
  <c r="AN3825" i="2"/>
  <c r="AM3825" i="2"/>
  <c r="AL3825" i="2"/>
  <c r="AK3825" i="2"/>
  <c r="AN3824" i="2"/>
  <c r="AM3824" i="2"/>
  <c r="AL3824" i="2"/>
  <c r="AK3824" i="2"/>
  <c r="AN3823" i="2"/>
  <c r="AM3823" i="2"/>
  <c r="AL3823" i="2"/>
  <c r="AK3823" i="2"/>
  <c r="AN3822" i="2"/>
  <c r="AM3822" i="2"/>
  <c r="AL3822" i="2"/>
  <c r="AK3822" i="2"/>
  <c r="AN3821" i="2"/>
  <c r="AM3821" i="2"/>
  <c r="AL3821" i="2"/>
  <c r="AK3821" i="2"/>
  <c r="AN3820" i="2"/>
  <c r="AM3820" i="2"/>
  <c r="AL3820" i="2"/>
  <c r="AK3820" i="2"/>
  <c r="AN3819" i="2"/>
  <c r="AM3819" i="2"/>
  <c r="AL3819" i="2"/>
  <c r="AK3819" i="2"/>
  <c r="AN3818" i="2"/>
  <c r="AM3818" i="2"/>
  <c r="AL3818" i="2"/>
  <c r="AK3818" i="2"/>
  <c r="AN3817" i="2"/>
  <c r="AM3817" i="2"/>
  <c r="AL3817" i="2"/>
  <c r="AK3817" i="2"/>
  <c r="AN3816" i="2"/>
  <c r="AM3816" i="2"/>
  <c r="AL3816" i="2"/>
  <c r="AK3816" i="2"/>
  <c r="AN3815" i="2"/>
  <c r="AM3815" i="2"/>
  <c r="AL3815" i="2"/>
  <c r="AK3815" i="2"/>
  <c r="AN3814" i="2"/>
  <c r="AM3814" i="2"/>
  <c r="AL3814" i="2"/>
  <c r="AK3814" i="2"/>
  <c r="AN3813" i="2"/>
  <c r="AM3813" i="2"/>
  <c r="AL3813" i="2"/>
  <c r="AK3813" i="2"/>
  <c r="AN3812" i="2"/>
  <c r="AM3812" i="2"/>
  <c r="AL3812" i="2"/>
  <c r="AK3812" i="2"/>
  <c r="AN3811" i="2"/>
  <c r="AM3811" i="2"/>
  <c r="AL3811" i="2"/>
  <c r="AK3811" i="2"/>
  <c r="AN3810" i="2"/>
  <c r="AM3810" i="2"/>
  <c r="AL3810" i="2"/>
  <c r="AK3810" i="2"/>
  <c r="AN3809" i="2"/>
  <c r="AM3809" i="2"/>
  <c r="AL3809" i="2"/>
  <c r="AK3809" i="2"/>
  <c r="AN3808" i="2"/>
  <c r="AM3808" i="2"/>
  <c r="AL3808" i="2"/>
  <c r="AK3808" i="2"/>
  <c r="AN3807" i="2"/>
  <c r="AM3807" i="2"/>
  <c r="AL3807" i="2"/>
  <c r="AK3807" i="2"/>
  <c r="AN3806" i="2"/>
  <c r="AM3806" i="2"/>
  <c r="AL3806" i="2"/>
  <c r="AK3806" i="2"/>
  <c r="AN3805" i="2"/>
  <c r="AM3805" i="2"/>
  <c r="AL3805" i="2"/>
  <c r="AK3805" i="2"/>
  <c r="AN3804" i="2"/>
  <c r="AM3804" i="2"/>
  <c r="AL3804" i="2"/>
  <c r="AK3804" i="2"/>
  <c r="AN3803" i="2"/>
  <c r="AM3803" i="2"/>
  <c r="AL3803" i="2"/>
  <c r="AK3803" i="2"/>
  <c r="AN3802" i="2"/>
  <c r="AM3802" i="2"/>
  <c r="AL3802" i="2"/>
  <c r="AK3802" i="2"/>
  <c r="AN3801" i="2"/>
  <c r="AM3801" i="2"/>
  <c r="AL3801" i="2"/>
  <c r="AK3801" i="2"/>
  <c r="AN3800" i="2"/>
  <c r="AM3800" i="2"/>
  <c r="AL3800" i="2"/>
  <c r="AK3800" i="2"/>
  <c r="AN3799" i="2"/>
  <c r="AM3799" i="2"/>
  <c r="AL3799" i="2"/>
  <c r="AK3799" i="2"/>
  <c r="AN3798" i="2"/>
  <c r="AM3798" i="2"/>
  <c r="AL3798" i="2"/>
  <c r="AK3798" i="2"/>
  <c r="AN3797" i="2"/>
  <c r="AM3797" i="2"/>
  <c r="AL3797" i="2"/>
  <c r="AK3797" i="2"/>
  <c r="AN3796" i="2"/>
  <c r="AM3796" i="2"/>
  <c r="AL3796" i="2"/>
  <c r="AK3796" i="2"/>
  <c r="AN3795" i="2"/>
  <c r="AM3795" i="2"/>
  <c r="AL3795" i="2"/>
  <c r="AK3795" i="2"/>
  <c r="AN3794" i="2"/>
  <c r="AM3794" i="2"/>
  <c r="AL3794" i="2"/>
  <c r="AK3794" i="2"/>
  <c r="AN3793" i="2"/>
  <c r="AM3793" i="2"/>
  <c r="AL3793" i="2"/>
  <c r="AK3793" i="2"/>
  <c r="AN3792" i="2"/>
  <c r="AM3792" i="2"/>
  <c r="AL3792" i="2"/>
  <c r="AK3792" i="2"/>
  <c r="AN3791" i="2"/>
  <c r="AM3791" i="2"/>
  <c r="AL3791" i="2"/>
  <c r="AK3791" i="2"/>
  <c r="AN3790" i="2"/>
  <c r="AM3790" i="2"/>
  <c r="AL3790" i="2"/>
  <c r="AK3790" i="2"/>
  <c r="AN3789" i="2"/>
  <c r="AM3789" i="2"/>
  <c r="AL3789" i="2"/>
  <c r="AK3789" i="2"/>
  <c r="AN3788" i="2"/>
  <c r="AM3788" i="2"/>
  <c r="AL3788" i="2"/>
  <c r="AK3788" i="2"/>
  <c r="AN3787" i="2"/>
  <c r="AM3787" i="2"/>
  <c r="AL3787" i="2"/>
  <c r="AK3787" i="2"/>
  <c r="AN3786" i="2"/>
  <c r="AM3786" i="2"/>
  <c r="AL3786" i="2"/>
  <c r="AK3786" i="2"/>
  <c r="AN3785" i="2"/>
  <c r="AM3785" i="2"/>
  <c r="AL3785" i="2"/>
  <c r="AK3785" i="2"/>
  <c r="AN3784" i="2"/>
  <c r="AM3784" i="2"/>
  <c r="AL3784" i="2"/>
  <c r="AK3784" i="2"/>
  <c r="AN3783" i="2"/>
  <c r="AM3783" i="2"/>
  <c r="AL3783" i="2"/>
  <c r="AK3783" i="2"/>
  <c r="AN3782" i="2"/>
  <c r="AM3782" i="2"/>
  <c r="AL3782" i="2"/>
  <c r="AK3782" i="2"/>
  <c r="AN3781" i="2"/>
  <c r="AM3781" i="2"/>
  <c r="AL3781" i="2"/>
  <c r="AK3781" i="2"/>
  <c r="AN3780" i="2"/>
  <c r="AM3780" i="2"/>
  <c r="AL3780" i="2"/>
  <c r="AK3780" i="2"/>
  <c r="AN3779" i="2"/>
  <c r="AM3779" i="2"/>
  <c r="AL3779" i="2"/>
  <c r="AK3779" i="2"/>
  <c r="AN3778" i="2"/>
  <c r="AM3778" i="2"/>
  <c r="AL3778" i="2"/>
  <c r="AK3778" i="2"/>
  <c r="AN3777" i="2"/>
  <c r="AM3777" i="2"/>
  <c r="AL3777" i="2"/>
  <c r="AK3777" i="2"/>
  <c r="AN3776" i="2"/>
  <c r="AM3776" i="2"/>
  <c r="AL3776" i="2"/>
  <c r="AK3776" i="2"/>
  <c r="AN3775" i="2"/>
  <c r="AM3775" i="2"/>
  <c r="AL3775" i="2"/>
  <c r="AK3775" i="2"/>
  <c r="AN3774" i="2"/>
  <c r="AM3774" i="2"/>
  <c r="AL3774" i="2"/>
  <c r="AK3774" i="2"/>
  <c r="AN3773" i="2"/>
  <c r="AM3773" i="2"/>
  <c r="AL3773" i="2"/>
  <c r="AK3773" i="2"/>
  <c r="AN3772" i="2"/>
  <c r="AM3772" i="2"/>
  <c r="AL3772" i="2"/>
  <c r="AK3772" i="2"/>
  <c r="AN3771" i="2"/>
  <c r="AM3771" i="2"/>
  <c r="AL3771" i="2"/>
  <c r="AK3771" i="2"/>
  <c r="AN3770" i="2"/>
  <c r="AM3770" i="2"/>
  <c r="AL3770" i="2"/>
  <c r="AK3770" i="2"/>
  <c r="AN3769" i="2"/>
  <c r="AM3769" i="2"/>
  <c r="AL3769" i="2"/>
  <c r="AK3769" i="2"/>
  <c r="AN3768" i="2"/>
  <c r="AM3768" i="2"/>
  <c r="AL3768" i="2"/>
  <c r="AK3768" i="2"/>
  <c r="AN3767" i="2"/>
  <c r="AM3767" i="2"/>
  <c r="AL3767" i="2"/>
  <c r="AK3767" i="2"/>
  <c r="AN3766" i="2"/>
  <c r="AM3766" i="2"/>
  <c r="AL3766" i="2"/>
  <c r="AK3766" i="2"/>
  <c r="AN3765" i="2"/>
  <c r="AM3765" i="2"/>
  <c r="AL3765" i="2"/>
  <c r="AK3765" i="2"/>
  <c r="AN3764" i="2"/>
  <c r="AM3764" i="2"/>
  <c r="AL3764" i="2"/>
  <c r="AK3764" i="2"/>
  <c r="AN3763" i="2"/>
  <c r="AM3763" i="2"/>
  <c r="AL3763" i="2"/>
  <c r="AK3763" i="2"/>
  <c r="AN3762" i="2"/>
  <c r="AM3762" i="2"/>
  <c r="AL3762" i="2"/>
  <c r="AK3762" i="2"/>
  <c r="AN3761" i="2"/>
  <c r="AM3761" i="2"/>
  <c r="AL3761" i="2"/>
  <c r="AK3761" i="2"/>
  <c r="AN3760" i="2"/>
  <c r="AM3760" i="2"/>
  <c r="AL3760" i="2"/>
  <c r="AK3760" i="2"/>
  <c r="AN3759" i="2"/>
  <c r="AM3759" i="2"/>
  <c r="AL3759" i="2"/>
  <c r="AK3759" i="2"/>
  <c r="AN3758" i="2"/>
  <c r="AM3758" i="2"/>
  <c r="AL3758" i="2"/>
  <c r="AK3758" i="2"/>
  <c r="AN3757" i="2"/>
  <c r="AM3757" i="2"/>
  <c r="AL3757" i="2"/>
  <c r="AK3757" i="2"/>
  <c r="AN3756" i="2"/>
  <c r="AM3756" i="2"/>
  <c r="AL3756" i="2"/>
  <c r="AK3756" i="2"/>
  <c r="AN3755" i="2"/>
  <c r="AM3755" i="2"/>
  <c r="AL3755" i="2"/>
  <c r="AK3755" i="2"/>
  <c r="AN3754" i="2"/>
  <c r="AM3754" i="2"/>
  <c r="AL3754" i="2"/>
  <c r="AK3754" i="2"/>
  <c r="AN3753" i="2"/>
  <c r="AM3753" i="2"/>
  <c r="AL3753" i="2"/>
  <c r="AK3753" i="2"/>
  <c r="AN3752" i="2"/>
  <c r="AM3752" i="2"/>
  <c r="AL3752" i="2"/>
  <c r="AK3752" i="2"/>
  <c r="AN3751" i="2"/>
  <c r="AM3751" i="2"/>
  <c r="AL3751" i="2"/>
  <c r="AK3751" i="2"/>
  <c r="AN3750" i="2"/>
  <c r="AM3750" i="2"/>
  <c r="AL3750" i="2"/>
  <c r="AK3750" i="2"/>
  <c r="AN3749" i="2"/>
  <c r="AM3749" i="2"/>
  <c r="AL3749" i="2"/>
  <c r="AK3749" i="2"/>
  <c r="AN3748" i="2"/>
  <c r="AM3748" i="2"/>
  <c r="AL3748" i="2"/>
  <c r="AK3748" i="2"/>
  <c r="AN3747" i="2"/>
  <c r="AM3747" i="2"/>
  <c r="AL3747" i="2"/>
  <c r="AK3747" i="2"/>
  <c r="AN3746" i="2"/>
  <c r="AM3746" i="2"/>
  <c r="AL3746" i="2"/>
  <c r="AK3746" i="2"/>
  <c r="AN3745" i="2"/>
  <c r="AM3745" i="2"/>
  <c r="AL3745" i="2"/>
  <c r="AK3745" i="2"/>
  <c r="AN3744" i="2"/>
  <c r="AM3744" i="2"/>
  <c r="AL3744" i="2"/>
  <c r="AK3744" i="2"/>
  <c r="AN3743" i="2"/>
  <c r="AM3743" i="2"/>
  <c r="AL3743" i="2"/>
  <c r="AK3743" i="2"/>
  <c r="AN3742" i="2"/>
  <c r="AM3742" i="2"/>
  <c r="AL3742" i="2"/>
  <c r="AK3742" i="2"/>
  <c r="AN3741" i="2"/>
  <c r="AM3741" i="2"/>
  <c r="AL3741" i="2"/>
  <c r="AK3741" i="2"/>
  <c r="AN3740" i="2"/>
  <c r="AM3740" i="2"/>
  <c r="AL3740" i="2"/>
  <c r="AK3740" i="2"/>
  <c r="AN3739" i="2"/>
  <c r="AM3739" i="2"/>
  <c r="AL3739" i="2"/>
  <c r="AK3739" i="2"/>
  <c r="AN3738" i="2"/>
  <c r="AM3738" i="2"/>
  <c r="AL3738" i="2"/>
  <c r="AK3738" i="2"/>
  <c r="AN3737" i="2"/>
  <c r="AM3737" i="2"/>
  <c r="AL3737" i="2"/>
  <c r="AK3737" i="2"/>
  <c r="AN3736" i="2"/>
  <c r="AM3736" i="2"/>
  <c r="AL3736" i="2"/>
  <c r="AK3736" i="2"/>
  <c r="AN3735" i="2"/>
  <c r="AM3735" i="2"/>
  <c r="AL3735" i="2"/>
  <c r="AK3735" i="2"/>
  <c r="AN3734" i="2"/>
  <c r="AM3734" i="2"/>
  <c r="AL3734" i="2"/>
  <c r="AK3734" i="2"/>
  <c r="AN3733" i="2"/>
  <c r="AM3733" i="2"/>
  <c r="AL3733" i="2"/>
  <c r="AK3733" i="2"/>
  <c r="AN3732" i="2"/>
  <c r="AM3732" i="2"/>
  <c r="AL3732" i="2"/>
  <c r="AK3732" i="2"/>
  <c r="AN3731" i="2"/>
  <c r="AM3731" i="2"/>
  <c r="AL3731" i="2"/>
  <c r="AK3731" i="2"/>
  <c r="AN3730" i="2"/>
  <c r="AM3730" i="2"/>
  <c r="AL3730" i="2"/>
  <c r="AK3730" i="2"/>
  <c r="AN3729" i="2"/>
  <c r="AM3729" i="2"/>
  <c r="AL3729" i="2"/>
  <c r="AK3729" i="2"/>
  <c r="AN3728" i="2"/>
  <c r="AM3728" i="2"/>
  <c r="AL3728" i="2"/>
  <c r="AK3728" i="2"/>
  <c r="AN3727" i="2"/>
  <c r="AM3727" i="2"/>
  <c r="AL3727" i="2"/>
  <c r="AK3727" i="2"/>
  <c r="AN3726" i="2"/>
  <c r="AM3726" i="2"/>
  <c r="AL3726" i="2"/>
  <c r="AK3726" i="2"/>
  <c r="AN3725" i="2"/>
  <c r="AM3725" i="2"/>
  <c r="AL3725" i="2"/>
  <c r="AK3725" i="2"/>
  <c r="AN3724" i="2"/>
  <c r="AM3724" i="2"/>
  <c r="AL3724" i="2"/>
  <c r="AK3724" i="2"/>
  <c r="AN3723" i="2"/>
  <c r="AM3723" i="2"/>
  <c r="AL3723" i="2"/>
  <c r="AK3723" i="2"/>
  <c r="AN3722" i="2"/>
  <c r="AM3722" i="2"/>
  <c r="AL3722" i="2"/>
  <c r="AK3722" i="2"/>
  <c r="AN3721" i="2"/>
  <c r="AM3721" i="2"/>
  <c r="AL3721" i="2"/>
  <c r="AK3721" i="2"/>
  <c r="AN3720" i="2"/>
  <c r="AM3720" i="2"/>
  <c r="AL3720" i="2"/>
  <c r="AK3720" i="2"/>
  <c r="AN3719" i="2"/>
  <c r="AM3719" i="2"/>
  <c r="AL3719" i="2"/>
  <c r="AK3719" i="2"/>
  <c r="AN3718" i="2"/>
  <c r="AM3718" i="2"/>
  <c r="AL3718" i="2"/>
  <c r="AK3718" i="2"/>
  <c r="AN3717" i="2"/>
  <c r="AM3717" i="2"/>
  <c r="AL3717" i="2"/>
  <c r="AK3717" i="2"/>
  <c r="AN3716" i="2"/>
  <c r="AM3716" i="2"/>
  <c r="AL3716" i="2"/>
  <c r="AK3716" i="2"/>
  <c r="AN3715" i="2"/>
  <c r="AM3715" i="2"/>
  <c r="AL3715" i="2"/>
  <c r="AK3715" i="2"/>
  <c r="AN3714" i="2"/>
  <c r="AM3714" i="2"/>
  <c r="AL3714" i="2"/>
  <c r="AK3714" i="2"/>
  <c r="AN3713" i="2"/>
  <c r="AM3713" i="2"/>
  <c r="AL3713" i="2"/>
  <c r="AK3713" i="2"/>
  <c r="AN3712" i="2"/>
  <c r="AM3712" i="2"/>
  <c r="AL3712" i="2"/>
  <c r="AK3712" i="2"/>
  <c r="AN3711" i="2"/>
  <c r="AM3711" i="2"/>
  <c r="AL3711" i="2"/>
  <c r="AK3711" i="2"/>
  <c r="AN3710" i="2"/>
  <c r="AM3710" i="2"/>
  <c r="AL3710" i="2"/>
  <c r="AK3710" i="2"/>
  <c r="AN3709" i="2"/>
  <c r="AM3709" i="2"/>
  <c r="AL3709" i="2"/>
  <c r="AK3709" i="2"/>
  <c r="AN3708" i="2"/>
  <c r="AM3708" i="2"/>
  <c r="AL3708" i="2"/>
  <c r="AK3708" i="2"/>
  <c r="AN3707" i="2"/>
  <c r="AM3707" i="2"/>
  <c r="AL3707" i="2"/>
  <c r="AK3707" i="2"/>
  <c r="AN3706" i="2"/>
  <c r="AM3706" i="2"/>
  <c r="AL3706" i="2"/>
  <c r="AK3706" i="2"/>
  <c r="AN3705" i="2"/>
  <c r="AM3705" i="2"/>
  <c r="AL3705" i="2"/>
  <c r="AK3705" i="2"/>
  <c r="AN3704" i="2"/>
  <c r="AM3704" i="2"/>
  <c r="AL3704" i="2"/>
  <c r="AK3704" i="2"/>
  <c r="AN3703" i="2"/>
  <c r="AM3703" i="2"/>
  <c r="AL3703" i="2"/>
  <c r="AK3703" i="2"/>
  <c r="AN3702" i="2"/>
  <c r="AM3702" i="2"/>
  <c r="AL3702" i="2"/>
  <c r="AK3702" i="2"/>
  <c r="AN3701" i="2"/>
  <c r="AM3701" i="2"/>
  <c r="AL3701" i="2"/>
  <c r="AK3701" i="2"/>
  <c r="AN3700" i="2"/>
  <c r="AM3700" i="2"/>
  <c r="AL3700" i="2"/>
  <c r="AK3700" i="2"/>
  <c r="AN3699" i="2"/>
  <c r="AM3699" i="2"/>
  <c r="AL3699" i="2"/>
  <c r="AK3699" i="2"/>
  <c r="AN3698" i="2"/>
  <c r="AM3698" i="2"/>
  <c r="AL3698" i="2"/>
  <c r="AK3698" i="2"/>
  <c r="AN3697" i="2"/>
  <c r="AM3697" i="2"/>
  <c r="AL3697" i="2"/>
  <c r="AK3697" i="2"/>
  <c r="AN3696" i="2"/>
  <c r="AM3696" i="2"/>
  <c r="AL3696" i="2"/>
  <c r="AK3696" i="2"/>
  <c r="AN3695" i="2"/>
  <c r="AM3695" i="2"/>
  <c r="AL3695" i="2"/>
  <c r="AK3695" i="2"/>
  <c r="AN3694" i="2"/>
  <c r="AM3694" i="2"/>
  <c r="AL3694" i="2"/>
  <c r="AK3694" i="2"/>
  <c r="AN3693" i="2"/>
  <c r="AM3693" i="2"/>
  <c r="AL3693" i="2"/>
  <c r="AK3693" i="2"/>
  <c r="AN3692" i="2"/>
  <c r="AM3692" i="2"/>
  <c r="AL3692" i="2"/>
  <c r="AK3692" i="2"/>
  <c r="AN3691" i="2"/>
  <c r="AM3691" i="2"/>
  <c r="AL3691" i="2"/>
  <c r="AK3691" i="2"/>
  <c r="AN3690" i="2"/>
  <c r="AM3690" i="2"/>
  <c r="AL3690" i="2"/>
  <c r="AK3690" i="2"/>
  <c r="AN3689" i="2"/>
  <c r="AM3689" i="2"/>
  <c r="AL3689" i="2"/>
  <c r="AK3689" i="2"/>
  <c r="AN3688" i="2"/>
  <c r="AM3688" i="2"/>
  <c r="AL3688" i="2"/>
  <c r="AK3688" i="2"/>
  <c r="AN3687" i="2"/>
  <c r="AM3687" i="2"/>
  <c r="AL3687" i="2"/>
  <c r="AK3687" i="2"/>
  <c r="AN3686" i="2"/>
  <c r="AM3686" i="2"/>
  <c r="AL3686" i="2"/>
  <c r="AK3686" i="2"/>
  <c r="AN3685" i="2"/>
  <c r="AM3685" i="2"/>
  <c r="AL3685" i="2"/>
  <c r="AK3685" i="2"/>
  <c r="AN3684" i="2"/>
  <c r="AM3684" i="2"/>
  <c r="AL3684" i="2"/>
  <c r="AK3684" i="2"/>
  <c r="AN3683" i="2"/>
  <c r="AM3683" i="2"/>
  <c r="AL3683" i="2"/>
  <c r="AK3683" i="2"/>
  <c r="AN3682" i="2"/>
  <c r="AM3682" i="2"/>
  <c r="AL3682" i="2"/>
  <c r="AK3682" i="2"/>
  <c r="AN3681" i="2"/>
  <c r="AM3681" i="2"/>
  <c r="AL3681" i="2"/>
  <c r="AK3681" i="2"/>
  <c r="AN3680" i="2"/>
  <c r="AM3680" i="2"/>
  <c r="AL3680" i="2"/>
  <c r="AK3680" i="2"/>
  <c r="AN3679" i="2"/>
  <c r="AM3679" i="2"/>
  <c r="AL3679" i="2"/>
  <c r="AK3679" i="2"/>
  <c r="AN3678" i="2"/>
  <c r="AM3678" i="2"/>
  <c r="AL3678" i="2"/>
  <c r="AK3678" i="2"/>
  <c r="AN3677" i="2"/>
  <c r="AM3677" i="2"/>
  <c r="AL3677" i="2"/>
  <c r="AK3677" i="2"/>
  <c r="AN3676" i="2"/>
  <c r="AM3676" i="2"/>
  <c r="AL3676" i="2"/>
  <c r="AK3676" i="2"/>
  <c r="AN3675" i="2"/>
  <c r="AM3675" i="2"/>
  <c r="AL3675" i="2"/>
  <c r="AK3675" i="2"/>
  <c r="AN3674" i="2"/>
  <c r="AM3674" i="2"/>
  <c r="AL3674" i="2"/>
  <c r="AK3674" i="2"/>
  <c r="AN3673" i="2"/>
  <c r="AM3673" i="2"/>
  <c r="AL3673" i="2"/>
  <c r="AK3673" i="2"/>
  <c r="AN3672" i="2"/>
  <c r="AM3672" i="2"/>
  <c r="AL3672" i="2"/>
  <c r="AK3672" i="2"/>
  <c r="AN3671" i="2"/>
  <c r="AM3671" i="2"/>
  <c r="AL3671" i="2"/>
  <c r="AK3671" i="2"/>
  <c r="AN3670" i="2"/>
  <c r="AM3670" i="2"/>
  <c r="AL3670" i="2"/>
  <c r="AK3670" i="2"/>
  <c r="AN3669" i="2"/>
  <c r="AM3669" i="2"/>
  <c r="AL3669" i="2"/>
  <c r="AK3669" i="2"/>
  <c r="AN3668" i="2"/>
  <c r="AM3668" i="2"/>
  <c r="AL3668" i="2"/>
  <c r="AK3668" i="2"/>
  <c r="AN3667" i="2"/>
  <c r="AM3667" i="2"/>
  <c r="AL3667" i="2"/>
  <c r="AK3667" i="2"/>
  <c r="AN3666" i="2"/>
  <c r="AM3666" i="2"/>
  <c r="AL3666" i="2"/>
  <c r="AK3666" i="2"/>
  <c r="AN3665" i="2"/>
  <c r="AM3665" i="2"/>
  <c r="AL3665" i="2"/>
  <c r="AK3665" i="2"/>
  <c r="AN3664" i="2"/>
  <c r="AM3664" i="2"/>
  <c r="AL3664" i="2"/>
  <c r="AK3664" i="2"/>
  <c r="AN3663" i="2"/>
  <c r="AM3663" i="2"/>
  <c r="AL3663" i="2"/>
  <c r="AK3663" i="2"/>
  <c r="AN3662" i="2"/>
  <c r="AM3662" i="2"/>
  <c r="AL3662" i="2"/>
  <c r="AK3662" i="2"/>
  <c r="AN3661" i="2"/>
  <c r="AM3661" i="2"/>
  <c r="AL3661" i="2"/>
  <c r="AK3661" i="2"/>
  <c r="AN3660" i="2"/>
  <c r="AM3660" i="2"/>
  <c r="AL3660" i="2"/>
  <c r="AK3660" i="2"/>
  <c r="AN3659" i="2"/>
  <c r="AM3659" i="2"/>
  <c r="AL3659" i="2"/>
  <c r="AK3659" i="2"/>
  <c r="AN3658" i="2"/>
  <c r="AM3658" i="2"/>
  <c r="AL3658" i="2"/>
  <c r="AK3658" i="2"/>
  <c r="AN3657" i="2"/>
  <c r="AM3657" i="2"/>
  <c r="AL3657" i="2"/>
  <c r="AK3657" i="2"/>
  <c r="AN3656" i="2"/>
  <c r="AM3656" i="2"/>
  <c r="AL3656" i="2"/>
  <c r="AK3656" i="2"/>
  <c r="AN3655" i="2"/>
  <c r="AM3655" i="2"/>
  <c r="AL3655" i="2"/>
  <c r="AK3655" i="2"/>
  <c r="AN3654" i="2"/>
  <c r="AM3654" i="2"/>
  <c r="AL3654" i="2"/>
  <c r="AK3654" i="2"/>
  <c r="AN3653" i="2"/>
  <c r="AM3653" i="2"/>
  <c r="AL3653" i="2"/>
  <c r="AK3653" i="2"/>
  <c r="AN3652" i="2"/>
  <c r="AM3652" i="2"/>
  <c r="AL3652" i="2"/>
  <c r="AK3652" i="2"/>
  <c r="AN3651" i="2"/>
  <c r="AM3651" i="2"/>
  <c r="AL3651" i="2"/>
  <c r="AK3651" i="2"/>
  <c r="AN3650" i="2"/>
  <c r="AM3650" i="2"/>
  <c r="AL3650" i="2"/>
  <c r="AK3650" i="2"/>
  <c r="AN3649" i="2"/>
  <c r="AM3649" i="2"/>
  <c r="AL3649" i="2"/>
  <c r="AK3649" i="2"/>
  <c r="AN3648" i="2"/>
  <c r="AM3648" i="2"/>
  <c r="AL3648" i="2"/>
  <c r="AK3648" i="2"/>
  <c r="AN3647" i="2"/>
  <c r="AM3647" i="2"/>
  <c r="AL3647" i="2"/>
  <c r="AK3647" i="2"/>
  <c r="AN3646" i="2"/>
  <c r="AM3646" i="2"/>
  <c r="AL3646" i="2"/>
  <c r="AK3646" i="2"/>
  <c r="AN3645" i="2"/>
  <c r="AM3645" i="2"/>
  <c r="AL3645" i="2"/>
  <c r="AK3645" i="2"/>
  <c r="AN3644" i="2"/>
  <c r="AM3644" i="2"/>
  <c r="AL3644" i="2"/>
  <c r="AK3644" i="2"/>
  <c r="AN3643" i="2"/>
  <c r="AM3643" i="2"/>
  <c r="AL3643" i="2"/>
  <c r="AK3643" i="2"/>
  <c r="AN3642" i="2"/>
  <c r="AM3642" i="2"/>
  <c r="AL3642" i="2"/>
  <c r="AK3642" i="2"/>
  <c r="AN3641" i="2"/>
  <c r="AM3641" i="2"/>
  <c r="AL3641" i="2"/>
  <c r="AK3641" i="2"/>
  <c r="AN3640" i="2"/>
  <c r="AM3640" i="2"/>
  <c r="AL3640" i="2"/>
  <c r="AK3640" i="2"/>
  <c r="AN3639" i="2"/>
  <c r="AM3639" i="2"/>
  <c r="AL3639" i="2"/>
  <c r="AK3639" i="2"/>
  <c r="AN3638" i="2"/>
  <c r="AM3638" i="2"/>
  <c r="AL3638" i="2"/>
  <c r="AK3638" i="2"/>
  <c r="AN3637" i="2"/>
  <c r="AM3637" i="2"/>
  <c r="AL3637" i="2"/>
  <c r="AK3637" i="2"/>
  <c r="AN3636" i="2"/>
  <c r="AM3636" i="2"/>
  <c r="AL3636" i="2"/>
  <c r="AK3636" i="2"/>
  <c r="AN3635" i="2"/>
  <c r="AM3635" i="2"/>
  <c r="AL3635" i="2"/>
  <c r="AK3635" i="2"/>
  <c r="AN3634" i="2"/>
  <c r="AM3634" i="2"/>
  <c r="AL3634" i="2"/>
  <c r="AK3634" i="2"/>
  <c r="AN3633" i="2"/>
  <c r="AM3633" i="2"/>
  <c r="AL3633" i="2"/>
  <c r="AK3633" i="2"/>
  <c r="AN3632" i="2"/>
  <c r="AM3632" i="2"/>
  <c r="AL3632" i="2"/>
  <c r="AK3632" i="2"/>
  <c r="AN3631" i="2"/>
  <c r="AM3631" i="2"/>
  <c r="AL3631" i="2"/>
  <c r="AK3631" i="2"/>
  <c r="AN3630" i="2"/>
  <c r="AM3630" i="2"/>
  <c r="AL3630" i="2"/>
  <c r="AK3630" i="2"/>
  <c r="AN3629" i="2"/>
  <c r="AM3629" i="2"/>
  <c r="AL3629" i="2"/>
  <c r="AK3629" i="2"/>
  <c r="AN3628" i="2"/>
  <c r="AM3628" i="2"/>
  <c r="AL3628" i="2"/>
  <c r="AK3628" i="2"/>
  <c r="AN3627" i="2"/>
  <c r="AM3627" i="2"/>
  <c r="AL3627" i="2"/>
  <c r="AK3627" i="2"/>
  <c r="AN3626" i="2"/>
  <c r="AM3626" i="2"/>
  <c r="AL3626" i="2"/>
  <c r="AK3626" i="2"/>
  <c r="AN3625" i="2"/>
  <c r="AM3625" i="2"/>
  <c r="AL3625" i="2"/>
  <c r="AK3625" i="2"/>
  <c r="AN3624" i="2"/>
  <c r="AM3624" i="2"/>
  <c r="AL3624" i="2"/>
  <c r="AK3624" i="2"/>
  <c r="AN3623" i="2"/>
  <c r="AM3623" i="2"/>
  <c r="AL3623" i="2"/>
  <c r="AK3623" i="2"/>
  <c r="AN3622" i="2"/>
  <c r="AM3622" i="2"/>
  <c r="AL3622" i="2"/>
  <c r="AK3622" i="2"/>
  <c r="AN3621" i="2"/>
  <c r="AM3621" i="2"/>
  <c r="AL3621" i="2"/>
  <c r="AK3621" i="2"/>
  <c r="AN3620" i="2"/>
  <c r="AM3620" i="2"/>
  <c r="AL3620" i="2"/>
  <c r="AK3620" i="2"/>
  <c r="AN3619" i="2"/>
  <c r="AM3619" i="2"/>
  <c r="AL3619" i="2"/>
  <c r="AK3619" i="2"/>
  <c r="AN3618" i="2"/>
  <c r="AM3618" i="2"/>
  <c r="AL3618" i="2"/>
  <c r="AK3618" i="2"/>
  <c r="AN3617" i="2"/>
  <c r="AM3617" i="2"/>
  <c r="AL3617" i="2"/>
  <c r="AK3617" i="2"/>
  <c r="AN3616" i="2"/>
  <c r="AM3616" i="2"/>
  <c r="AL3616" i="2"/>
  <c r="AK3616" i="2"/>
  <c r="AN3615" i="2"/>
  <c r="AM3615" i="2"/>
  <c r="AL3615" i="2"/>
  <c r="AK3615" i="2"/>
  <c r="AN3614" i="2"/>
  <c r="AM3614" i="2"/>
  <c r="AL3614" i="2"/>
  <c r="AK3614" i="2"/>
  <c r="AN3613" i="2"/>
  <c r="AM3613" i="2"/>
  <c r="AL3613" i="2"/>
  <c r="AK3613" i="2"/>
  <c r="AN3612" i="2"/>
  <c r="AM3612" i="2"/>
  <c r="AL3612" i="2"/>
  <c r="AK3612" i="2"/>
  <c r="AN3611" i="2"/>
  <c r="AM3611" i="2"/>
  <c r="AL3611" i="2"/>
  <c r="AK3611" i="2"/>
  <c r="AN3610" i="2"/>
  <c r="AM3610" i="2"/>
  <c r="AL3610" i="2"/>
  <c r="AK3610" i="2"/>
  <c r="AN3609" i="2"/>
  <c r="AM3609" i="2"/>
  <c r="AL3609" i="2"/>
  <c r="AK3609" i="2"/>
  <c r="AN3608" i="2"/>
  <c r="AM3608" i="2"/>
  <c r="AL3608" i="2"/>
  <c r="AK3608" i="2"/>
  <c r="AN3607" i="2"/>
  <c r="AM3607" i="2"/>
  <c r="AL3607" i="2"/>
  <c r="AK3607" i="2"/>
  <c r="AN3606" i="2"/>
  <c r="AM3606" i="2"/>
  <c r="AL3606" i="2"/>
  <c r="AK3606" i="2"/>
  <c r="AN3605" i="2"/>
  <c r="AM3605" i="2"/>
  <c r="AL3605" i="2"/>
  <c r="AK3605" i="2"/>
  <c r="AN3604" i="2"/>
  <c r="AM3604" i="2"/>
  <c r="AL3604" i="2"/>
  <c r="AK3604" i="2"/>
  <c r="AN3603" i="2"/>
  <c r="AM3603" i="2"/>
  <c r="AL3603" i="2"/>
  <c r="AK3603" i="2"/>
  <c r="AN3602" i="2"/>
  <c r="AM3602" i="2"/>
  <c r="AL3602" i="2"/>
  <c r="AK3602" i="2"/>
  <c r="AN3601" i="2"/>
  <c r="AM3601" i="2"/>
  <c r="AL3601" i="2"/>
  <c r="AK3601" i="2"/>
  <c r="AN3600" i="2"/>
  <c r="AM3600" i="2"/>
  <c r="AL3600" i="2"/>
  <c r="AK3600" i="2"/>
  <c r="AN3599" i="2"/>
  <c r="AM3599" i="2"/>
  <c r="AL3599" i="2"/>
  <c r="AK3599" i="2"/>
  <c r="AN3598" i="2"/>
  <c r="AM3598" i="2"/>
  <c r="AL3598" i="2"/>
  <c r="AK3598" i="2"/>
  <c r="AN3597" i="2"/>
  <c r="AM3597" i="2"/>
  <c r="AL3597" i="2"/>
  <c r="AK3597" i="2"/>
  <c r="AN3596" i="2"/>
  <c r="AM3596" i="2"/>
  <c r="AL3596" i="2"/>
  <c r="AK3596" i="2"/>
  <c r="AN3595" i="2"/>
  <c r="AM3595" i="2"/>
  <c r="AL3595" i="2"/>
  <c r="AK3595" i="2"/>
  <c r="AN3594" i="2"/>
  <c r="AM3594" i="2"/>
  <c r="AL3594" i="2"/>
  <c r="AK3594" i="2"/>
  <c r="AN3593" i="2"/>
  <c r="AM3593" i="2"/>
  <c r="AL3593" i="2"/>
  <c r="AK3593" i="2"/>
  <c r="AN3592" i="2"/>
  <c r="AM3592" i="2"/>
  <c r="AL3592" i="2"/>
  <c r="AK3592" i="2"/>
  <c r="AN3591" i="2"/>
  <c r="AM3591" i="2"/>
  <c r="AL3591" i="2"/>
  <c r="AK3591" i="2"/>
  <c r="AN3590" i="2"/>
  <c r="AM3590" i="2"/>
  <c r="AL3590" i="2"/>
  <c r="AK3590" i="2"/>
  <c r="AN3589" i="2"/>
  <c r="AM3589" i="2"/>
  <c r="AL3589" i="2"/>
  <c r="AK3589" i="2"/>
  <c r="AN3588" i="2"/>
  <c r="AM3588" i="2"/>
  <c r="AL3588" i="2"/>
  <c r="AK3588" i="2"/>
  <c r="AN3587" i="2"/>
  <c r="AM3587" i="2"/>
  <c r="AL3587" i="2"/>
  <c r="AK3587" i="2"/>
  <c r="AN3586" i="2"/>
  <c r="AM3586" i="2"/>
  <c r="AL3586" i="2"/>
  <c r="AK3586" i="2"/>
  <c r="AN3585" i="2"/>
  <c r="AM3585" i="2"/>
  <c r="AL3585" i="2"/>
  <c r="AK3585" i="2"/>
  <c r="AN3584" i="2"/>
  <c r="AM3584" i="2"/>
  <c r="AL3584" i="2"/>
  <c r="AK3584" i="2"/>
  <c r="AN3583" i="2"/>
  <c r="AM3583" i="2"/>
  <c r="AL3583" i="2"/>
  <c r="AK3583" i="2"/>
  <c r="AN3582" i="2"/>
  <c r="AM3582" i="2"/>
  <c r="AL3582" i="2"/>
  <c r="AK3582" i="2"/>
  <c r="AN3581" i="2"/>
  <c r="AM3581" i="2"/>
  <c r="AL3581" i="2"/>
  <c r="AK3581" i="2"/>
  <c r="AN3580" i="2"/>
  <c r="AM3580" i="2"/>
  <c r="AL3580" i="2"/>
  <c r="AK3580" i="2"/>
  <c r="AN3579" i="2"/>
  <c r="AM3579" i="2"/>
  <c r="AL3579" i="2"/>
  <c r="AK3579" i="2"/>
  <c r="AN3578" i="2"/>
  <c r="AM3578" i="2"/>
  <c r="AL3578" i="2"/>
  <c r="AK3578" i="2"/>
  <c r="AN3577" i="2"/>
  <c r="AM3577" i="2"/>
  <c r="AL3577" i="2"/>
  <c r="AK3577" i="2"/>
  <c r="AN3576" i="2"/>
  <c r="AM3576" i="2"/>
  <c r="AL3576" i="2"/>
  <c r="AK3576" i="2"/>
  <c r="AN3575" i="2"/>
  <c r="AM3575" i="2"/>
  <c r="AL3575" i="2"/>
  <c r="AK3575" i="2"/>
  <c r="AN3574" i="2"/>
  <c r="AM3574" i="2"/>
  <c r="AL3574" i="2"/>
  <c r="AK3574" i="2"/>
  <c r="AN3573" i="2"/>
  <c r="AM3573" i="2"/>
  <c r="AL3573" i="2"/>
  <c r="AK3573" i="2"/>
  <c r="AN3572" i="2"/>
  <c r="AM3572" i="2"/>
  <c r="AL3572" i="2"/>
  <c r="AK3572" i="2"/>
  <c r="AN3571" i="2"/>
  <c r="AM3571" i="2"/>
  <c r="AL3571" i="2"/>
  <c r="AK3571" i="2"/>
  <c r="AN3570" i="2"/>
  <c r="AM3570" i="2"/>
  <c r="AL3570" i="2"/>
  <c r="AK3570" i="2"/>
  <c r="AN3569" i="2"/>
  <c r="AM3569" i="2"/>
  <c r="AL3569" i="2"/>
  <c r="AK3569" i="2"/>
  <c r="AN3568" i="2"/>
  <c r="AM3568" i="2"/>
  <c r="AL3568" i="2"/>
  <c r="AK3568" i="2"/>
  <c r="AN3567" i="2"/>
  <c r="AM3567" i="2"/>
  <c r="AL3567" i="2"/>
  <c r="AK3567" i="2"/>
  <c r="AN3566" i="2"/>
  <c r="AM3566" i="2"/>
  <c r="AL3566" i="2"/>
  <c r="AK3566" i="2"/>
  <c r="AN3565" i="2"/>
  <c r="AM3565" i="2"/>
  <c r="AL3565" i="2"/>
  <c r="AK3565" i="2"/>
  <c r="AN3564" i="2"/>
  <c r="AM3564" i="2"/>
  <c r="AL3564" i="2"/>
  <c r="AK3564" i="2"/>
  <c r="AN3563" i="2"/>
  <c r="AM3563" i="2"/>
  <c r="AL3563" i="2"/>
  <c r="AK3563" i="2"/>
  <c r="AN3562" i="2"/>
  <c r="AM3562" i="2"/>
  <c r="AL3562" i="2"/>
  <c r="AK3562" i="2"/>
  <c r="AN3561" i="2"/>
  <c r="AM3561" i="2"/>
  <c r="AL3561" i="2"/>
  <c r="AK3561" i="2"/>
  <c r="AN3560" i="2"/>
  <c r="AM3560" i="2"/>
  <c r="AL3560" i="2"/>
  <c r="AK3560" i="2"/>
  <c r="AN3559" i="2"/>
  <c r="AM3559" i="2"/>
  <c r="AL3559" i="2"/>
  <c r="AK3559" i="2"/>
  <c r="AN3558" i="2"/>
  <c r="AM3558" i="2"/>
  <c r="AL3558" i="2"/>
  <c r="AK3558" i="2"/>
  <c r="AN3557" i="2"/>
  <c r="AM3557" i="2"/>
  <c r="AL3557" i="2"/>
  <c r="AK3557" i="2"/>
  <c r="AN3556" i="2"/>
  <c r="AM3556" i="2"/>
  <c r="AL3556" i="2"/>
  <c r="AK3556" i="2"/>
  <c r="AN3555" i="2"/>
  <c r="AM3555" i="2"/>
  <c r="AL3555" i="2"/>
  <c r="AK3555" i="2"/>
  <c r="AN3554" i="2"/>
  <c r="AM3554" i="2"/>
  <c r="AL3554" i="2"/>
  <c r="AK3554" i="2"/>
  <c r="AN3553" i="2"/>
  <c r="AM3553" i="2"/>
  <c r="AL3553" i="2"/>
  <c r="AK3553" i="2"/>
  <c r="AN3552" i="2"/>
  <c r="AM3552" i="2"/>
  <c r="AL3552" i="2"/>
  <c r="AK3552" i="2"/>
  <c r="AN3551" i="2"/>
  <c r="AM3551" i="2"/>
  <c r="AL3551" i="2"/>
  <c r="AK3551" i="2"/>
  <c r="AN3550" i="2"/>
  <c r="AM3550" i="2"/>
  <c r="AL3550" i="2"/>
  <c r="AK3550" i="2"/>
  <c r="AN3549" i="2"/>
  <c r="AM3549" i="2"/>
  <c r="AL3549" i="2"/>
  <c r="AK3549" i="2"/>
  <c r="AN3548" i="2"/>
  <c r="AM3548" i="2"/>
  <c r="AL3548" i="2"/>
  <c r="AK3548" i="2"/>
  <c r="AN3547" i="2"/>
  <c r="AM3547" i="2"/>
  <c r="AL3547" i="2"/>
  <c r="AK3547" i="2"/>
  <c r="AN3546" i="2"/>
  <c r="AM3546" i="2"/>
  <c r="AL3546" i="2"/>
  <c r="AK3546" i="2"/>
  <c r="AN3545" i="2"/>
  <c r="AM3545" i="2"/>
  <c r="AL3545" i="2"/>
  <c r="AK3545" i="2"/>
  <c r="AN3544" i="2"/>
  <c r="AM3544" i="2"/>
  <c r="AL3544" i="2"/>
  <c r="AK3544" i="2"/>
  <c r="AN3543" i="2"/>
  <c r="AM3543" i="2"/>
  <c r="AL3543" i="2"/>
  <c r="AK3543" i="2"/>
  <c r="AN3542" i="2"/>
  <c r="AM3542" i="2"/>
  <c r="AL3542" i="2"/>
  <c r="AK3542" i="2"/>
  <c r="AN3541" i="2"/>
  <c r="AM3541" i="2"/>
  <c r="AL3541" i="2"/>
  <c r="AK3541" i="2"/>
  <c r="AN3540" i="2"/>
  <c r="AM3540" i="2"/>
  <c r="AL3540" i="2"/>
  <c r="AK3540" i="2"/>
  <c r="AN3539" i="2"/>
  <c r="AM3539" i="2"/>
  <c r="AL3539" i="2"/>
  <c r="AK3539" i="2"/>
  <c r="AN3538" i="2"/>
  <c r="AM3538" i="2"/>
  <c r="AL3538" i="2"/>
  <c r="AK3538" i="2"/>
  <c r="AN3537" i="2"/>
  <c r="AM3537" i="2"/>
  <c r="AL3537" i="2"/>
  <c r="AK3537" i="2"/>
  <c r="AN3536" i="2"/>
  <c r="AM3536" i="2"/>
  <c r="AL3536" i="2"/>
  <c r="AK3536" i="2"/>
  <c r="AN3535" i="2"/>
  <c r="AM3535" i="2"/>
  <c r="AL3535" i="2"/>
  <c r="AK3535" i="2"/>
  <c r="AN3534" i="2"/>
  <c r="AM3534" i="2"/>
  <c r="AL3534" i="2"/>
  <c r="AK3534" i="2"/>
  <c r="AN3533" i="2"/>
  <c r="AM3533" i="2"/>
  <c r="AL3533" i="2"/>
  <c r="AK3533" i="2"/>
  <c r="AN3532" i="2"/>
  <c r="AM3532" i="2"/>
  <c r="AL3532" i="2"/>
  <c r="AK3532" i="2"/>
  <c r="AN3531" i="2"/>
  <c r="AM3531" i="2"/>
  <c r="AL3531" i="2"/>
  <c r="AK3531" i="2"/>
  <c r="AN3530" i="2"/>
  <c r="AM3530" i="2"/>
  <c r="AL3530" i="2"/>
  <c r="AK3530" i="2"/>
  <c r="AN3529" i="2"/>
  <c r="AM3529" i="2"/>
  <c r="AL3529" i="2"/>
  <c r="AK3529" i="2"/>
  <c r="AN3528" i="2"/>
  <c r="AM3528" i="2"/>
  <c r="AL3528" i="2"/>
  <c r="AK3528" i="2"/>
  <c r="AN3527" i="2"/>
  <c r="AM3527" i="2"/>
  <c r="AL3527" i="2"/>
  <c r="AK3527" i="2"/>
  <c r="AN3526" i="2"/>
  <c r="AM3526" i="2"/>
  <c r="AL3526" i="2"/>
  <c r="AK3526" i="2"/>
  <c r="AN3525" i="2"/>
  <c r="AM3525" i="2"/>
  <c r="AL3525" i="2"/>
  <c r="AK3525" i="2"/>
  <c r="AN3524" i="2"/>
  <c r="AM3524" i="2"/>
  <c r="AL3524" i="2"/>
  <c r="AK3524" i="2"/>
  <c r="AN3523" i="2"/>
  <c r="AM3523" i="2"/>
  <c r="AL3523" i="2"/>
  <c r="AK3523" i="2"/>
  <c r="AN3522" i="2"/>
  <c r="AM3522" i="2"/>
  <c r="AL3522" i="2"/>
  <c r="AK3522" i="2"/>
  <c r="AN3521" i="2"/>
  <c r="AM3521" i="2"/>
  <c r="AL3521" i="2"/>
  <c r="AK3521" i="2"/>
  <c r="AN3520" i="2"/>
  <c r="AM3520" i="2"/>
  <c r="AL3520" i="2"/>
  <c r="AK3520" i="2"/>
  <c r="AN3519" i="2"/>
  <c r="AM3519" i="2"/>
  <c r="AL3519" i="2"/>
  <c r="AK3519" i="2"/>
  <c r="AN3518" i="2"/>
  <c r="AM3518" i="2"/>
  <c r="AL3518" i="2"/>
  <c r="AK3518" i="2"/>
  <c r="AN3517" i="2"/>
  <c r="AM3517" i="2"/>
  <c r="AL3517" i="2"/>
  <c r="AK3517" i="2"/>
  <c r="AN3516" i="2"/>
  <c r="AM3516" i="2"/>
  <c r="AL3516" i="2"/>
  <c r="AK3516" i="2"/>
  <c r="AN3515" i="2"/>
  <c r="AM3515" i="2"/>
  <c r="AL3515" i="2"/>
  <c r="AK3515" i="2"/>
  <c r="AN3514" i="2"/>
  <c r="AM3514" i="2"/>
  <c r="AL3514" i="2"/>
  <c r="AK3514" i="2"/>
  <c r="AN3513" i="2"/>
  <c r="AM3513" i="2"/>
  <c r="AL3513" i="2"/>
  <c r="AK3513" i="2"/>
  <c r="AN3512" i="2"/>
  <c r="AM3512" i="2"/>
  <c r="AL3512" i="2"/>
  <c r="AK3512" i="2"/>
  <c r="AN3511" i="2"/>
  <c r="AM3511" i="2"/>
  <c r="AL3511" i="2"/>
  <c r="AK3511" i="2"/>
  <c r="AN3510" i="2"/>
  <c r="AM3510" i="2"/>
  <c r="AL3510" i="2"/>
  <c r="AK3510" i="2"/>
  <c r="AN3509" i="2"/>
  <c r="AM3509" i="2"/>
  <c r="AL3509" i="2"/>
  <c r="AK3509" i="2"/>
  <c r="AN3508" i="2"/>
  <c r="AM3508" i="2"/>
  <c r="AL3508" i="2"/>
  <c r="AK3508" i="2"/>
  <c r="AN3507" i="2"/>
  <c r="AM3507" i="2"/>
  <c r="AL3507" i="2"/>
  <c r="AK3507" i="2"/>
  <c r="AN3506" i="2"/>
  <c r="AM3506" i="2"/>
  <c r="AL3506" i="2"/>
  <c r="AK3506" i="2"/>
  <c r="AN3505" i="2"/>
  <c r="AM3505" i="2"/>
  <c r="AL3505" i="2"/>
  <c r="AK3505" i="2"/>
  <c r="AN3504" i="2"/>
  <c r="AM3504" i="2"/>
  <c r="AL3504" i="2"/>
  <c r="AK3504" i="2"/>
  <c r="AN3503" i="2"/>
  <c r="AM3503" i="2"/>
  <c r="AL3503" i="2"/>
  <c r="AK3503" i="2"/>
  <c r="AN3502" i="2"/>
  <c r="AM3502" i="2"/>
  <c r="AL3502" i="2"/>
  <c r="AK3502" i="2"/>
  <c r="AN3501" i="2"/>
  <c r="AM3501" i="2"/>
  <c r="AL3501" i="2"/>
  <c r="AK3501" i="2"/>
  <c r="AN3500" i="2"/>
  <c r="AM3500" i="2"/>
  <c r="AL3500" i="2"/>
  <c r="AK3500" i="2"/>
  <c r="AN3499" i="2"/>
  <c r="AM3499" i="2"/>
  <c r="AL3499" i="2"/>
  <c r="AK3499" i="2"/>
  <c r="AN3498" i="2"/>
  <c r="AM3498" i="2"/>
  <c r="AL3498" i="2"/>
  <c r="AK3498" i="2"/>
  <c r="AN3497" i="2"/>
  <c r="AM3497" i="2"/>
  <c r="AL3497" i="2"/>
  <c r="AK3497" i="2"/>
  <c r="AN3496" i="2"/>
  <c r="AM3496" i="2"/>
  <c r="AL3496" i="2"/>
  <c r="AK3496" i="2"/>
  <c r="AN3495" i="2"/>
  <c r="AM3495" i="2"/>
  <c r="AL3495" i="2"/>
  <c r="AK3495" i="2"/>
  <c r="AN3494" i="2"/>
  <c r="AM3494" i="2"/>
  <c r="AL3494" i="2"/>
  <c r="AK3494" i="2"/>
  <c r="AN3493" i="2"/>
  <c r="AM3493" i="2"/>
  <c r="AL3493" i="2"/>
  <c r="AK3493" i="2"/>
  <c r="AN3492" i="2"/>
  <c r="AM3492" i="2"/>
  <c r="AL3492" i="2"/>
  <c r="AK3492" i="2"/>
  <c r="AN3491" i="2"/>
  <c r="AM3491" i="2"/>
  <c r="AL3491" i="2"/>
  <c r="AK3491" i="2"/>
  <c r="AN3490" i="2"/>
  <c r="AM3490" i="2"/>
  <c r="AL3490" i="2"/>
  <c r="AK3490" i="2"/>
  <c r="AN3489" i="2"/>
  <c r="AM3489" i="2"/>
  <c r="AL3489" i="2"/>
  <c r="AK3489" i="2"/>
  <c r="AN3488" i="2"/>
  <c r="AM3488" i="2"/>
  <c r="AL3488" i="2"/>
  <c r="AK3488" i="2"/>
  <c r="AN3487" i="2"/>
  <c r="AM3487" i="2"/>
  <c r="AL3487" i="2"/>
  <c r="AK3487" i="2"/>
  <c r="AN3486" i="2"/>
  <c r="AM3486" i="2"/>
  <c r="AL3486" i="2"/>
  <c r="AK3486" i="2"/>
  <c r="AN3485" i="2"/>
  <c r="AM3485" i="2"/>
  <c r="AL3485" i="2"/>
  <c r="AK3485" i="2"/>
  <c r="AN3484" i="2"/>
  <c r="AM3484" i="2"/>
  <c r="AL3484" i="2"/>
  <c r="AK3484" i="2"/>
  <c r="AN3483" i="2"/>
  <c r="AM3483" i="2"/>
  <c r="AL3483" i="2"/>
  <c r="AK3483" i="2"/>
  <c r="AN3482" i="2"/>
  <c r="AM3482" i="2"/>
  <c r="AL3482" i="2"/>
  <c r="AK3482" i="2"/>
  <c r="AN3481" i="2"/>
  <c r="AM3481" i="2"/>
  <c r="AL3481" i="2"/>
  <c r="AK3481" i="2"/>
  <c r="AN3480" i="2"/>
  <c r="AM3480" i="2"/>
  <c r="AL3480" i="2"/>
  <c r="AK3480" i="2"/>
  <c r="AN3479" i="2"/>
  <c r="AM3479" i="2"/>
  <c r="AL3479" i="2"/>
  <c r="AK3479" i="2"/>
  <c r="AN3478" i="2"/>
  <c r="AM3478" i="2"/>
  <c r="AL3478" i="2"/>
  <c r="AK3478" i="2"/>
  <c r="AN3477" i="2"/>
  <c r="AM3477" i="2"/>
  <c r="AL3477" i="2"/>
  <c r="AK3477" i="2"/>
  <c r="AN3476" i="2"/>
  <c r="AM3476" i="2"/>
  <c r="AL3476" i="2"/>
  <c r="AK3476" i="2"/>
  <c r="AN3475" i="2"/>
  <c r="AM3475" i="2"/>
  <c r="AL3475" i="2"/>
  <c r="AK3475" i="2"/>
  <c r="AN3474" i="2"/>
  <c r="AM3474" i="2"/>
  <c r="AL3474" i="2"/>
  <c r="AK3474" i="2"/>
  <c r="AN3473" i="2"/>
  <c r="AM3473" i="2"/>
  <c r="AL3473" i="2"/>
  <c r="AK3473" i="2"/>
  <c r="AN3472" i="2"/>
  <c r="AM3472" i="2"/>
  <c r="AL3472" i="2"/>
  <c r="AK3472" i="2"/>
  <c r="AN3471" i="2"/>
  <c r="AM3471" i="2"/>
  <c r="AL3471" i="2"/>
  <c r="AK3471" i="2"/>
  <c r="AN3470" i="2"/>
  <c r="AM3470" i="2"/>
  <c r="AL3470" i="2"/>
  <c r="AK3470" i="2"/>
  <c r="AN3469" i="2"/>
  <c r="AM3469" i="2"/>
  <c r="AL3469" i="2"/>
  <c r="AK3469" i="2"/>
  <c r="AN3468" i="2"/>
  <c r="AM3468" i="2"/>
  <c r="AL3468" i="2"/>
  <c r="AK3468" i="2"/>
  <c r="AN3467" i="2"/>
  <c r="AM3467" i="2"/>
  <c r="AL3467" i="2"/>
  <c r="AK3467" i="2"/>
  <c r="AN3466" i="2"/>
  <c r="AM3466" i="2"/>
  <c r="AL3466" i="2"/>
  <c r="AK3466" i="2"/>
  <c r="AN3465" i="2"/>
  <c r="AM3465" i="2"/>
  <c r="AL3465" i="2"/>
  <c r="AK3465" i="2"/>
  <c r="AN3464" i="2"/>
  <c r="AM3464" i="2"/>
  <c r="AL3464" i="2"/>
  <c r="AK3464" i="2"/>
  <c r="AN3463" i="2"/>
  <c r="AM3463" i="2"/>
  <c r="AL3463" i="2"/>
  <c r="AK3463" i="2"/>
  <c r="AN3462" i="2"/>
  <c r="AM3462" i="2"/>
  <c r="AL3462" i="2"/>
  <c r="AK3462" i="2"/>
  <c r="AN3461" i="2"/>
  <c r="AM3461" i="2"/>
  <c r="AL3461" i="2"/>
  <c r="AK3461" i="2"/>
  <c r="AN3460" i="2"/>
  <c r="AM3460" i="2"/>
  <c r="AL3460" i="2"/>
  <c r="AK3460" i="2"/>
  <c r="AN3459" i="2"/>
  <c r="AM3459" i="2"/>
  <c r="AL3459" i="2"/>
  <c r="AK3459" i="2"/>
  <c r="AN3458" i="2"/>
  <c r="AM3458" i="2"/>
  <c r="AL3458" i="2"/>
  <c r="AK3458" i="2"/>
  <c r="AN3457" i="2"/>
  <c r="AM3457" i="2"/>
  <c r="AL3457" i="2"/>
  <c r="AK3457" i="2"/>
  <c r="AN3456" i="2"/>
  <c r="AM3456" i="2"/>
  <c r="AL3456" i="2"/>
  <c r="AK3456" i="2"/>
  <c r="AN3455" i="2"/>
  <c r="AM3455" i="2"/>
  <c r="AL3455" i="2"/>
  <c r="AK3455" i="2"/>
  <c r="AN3454" i="2"/>
  <c r="AM3454" i="2"/>
  <c r="AL3454" i="2"/>
  <c r="AK3454" i="2"/>
  <c r="AN3453" i="2"/>
  <c r="AM3453" i="2"/>
  <c r="AL3453" i="2"/>
  <c r="AK3453" i="2"/>
  <c r="AN3452" i="2"/>
  <c r="AM3452" i="2"/>
  <c r="AL3452" i="2"/>
  <c r="AK3452" i="2"/>
  <c r="AN3451" i="2"/>
  <c r="AM3451" i="2"/>
  <c r="AL3451" i="2"/>
  <c r="AK3451" i="2"/>
  <c r="AN3450" i="2"/>
  <c r="AM3450" i="2"/>
  <c r="AL3450" i="2"/>
  <c r="AK3450" i="2"/>
  <c r="AN3449" i="2"/>
  <c r="AM3449" i="2"/>
  <c r="AL3449" i="2"/>
  <c r="AK3449" i="2"/>
  <c r="AN3448" i="2"/>
  <c r="AM3448" i="2"/>
  <c r="AL3448" i="2"/>
  <c r="AK3448" i="2"/>
  <c r="AN3447" i="2"/>
  <c r="AM3447" i="2"/>
  <c r="AL3447" i="2"/>
  <c r="AK3447" i="2"/>
  <c r="AN3446" i="2"/>
  <c r="AM3446" i="2"/>
  <c r="AL3446" i="2"/>
  <c r="AK3446" i="2"/>
  <c r="AN3445" i="2"/>
  <c r="AM3445" i="2"/>
  <c r="AL3445" i="2"/>
  <c r="AK3445" i="2"/>
  <c r="AN3444" i="2"/>
  <c r="AM3444" i="2"/>
  <c r="AL3444" i="2"/>
  <c r="AK3444" i="2"/>
  <c r="AN3443" i="2"/>
  <c r="AM3443" i="2"/>
  <c r="AL3443" i="2"/>
  <c r="AK3443" i="2"/>
  <c r="AN3442" i="2"/>
  <c r="AM3442" i="2"/>
  <c r="AL3442" i="2"/>
  <c r="AK3442" i="2"/>
  <c r="AN3441" i="2"/>
  <c r="AM3441" i="2"/>
  <c r="AL3441" i="2"/>
  <c r="AK3441" i="2"/>
  <c r="AN3440" i="2"/>
  <c r="AM3440" i="2"/>
  <c r="AL3440" i="2"/>
  <c r="AK3440" i="2"/>
  <c r="AN3439" i="2"/>
  <c r="AM3439" i="2"/>
  <c r="AL3439" i="2"/>
  <c r="AK3439" i="2"/>
  <c r="AN3438" i="2"/>
  <c r="AM3438" i="2"/>
  <c r="AL3438" i="2"/>
  <c r="AK3438" i="2"/>
  <c r="AN3437" i="2"/>
  <c r="AM3437" i="2"/>
  <c r="AL3437" i="2"/>
  <c r="AK3437" i="2"/>
  <c r="AN3436" i="2"/>
  <c r="AM3436" i="2"/>
  <c r="AL3436" i="2"/>
  <c r="AK3436" i="2"/>
  <c r="AN3435" i="2"/>
  <c r="AM3435" i="2"/>
  <c r="AL3435" i="2"/>
  <c r="AK3435" i="2"/>
  <c r="AN3434" i="2"/>
  <c r="AM3434" i="2"/>
  <c r="AL3434" i="2"/>
  <c r="AK3434" i="2"/>
  <c r="AN3433" i="2"/>
  <c r="AM3433" i="2"/>
  <c r="AL3433" i="2"/>
  <c r="AK3433" i="2"/>
  <c r="AN3432" i="2"/>
  <c r="AM3432" i="2"/>
  <c r="AL3432" i="2"/>
  <c r="AK3432" i="2"/>
  <c r="AN3431" i="2"/>
  <c r="AM3431" i="2"/>
  <c r="AL3431" i="2"/>
  <c r="AK3431" i="2"/>
  <c r="AN3430" i="2"/>
  <c r="AM3430" i="2"/>
  <c r="AL3430" i="2"/>
  <c r="AK3430" i="2"/>
  <c r="AN3429" i="2"/>
  <c r="AM3429" i="2"/>
  <c r="AL3429" i="2"/>
  <c r="AK3429" i="2"/>
  <c r="AN3428" i="2"/>
  <c r="AM3428" i="2"/>
  <c r="AL3428" i="2"/>
  <c r="AK3428" i="2"/>
  <c r="AN3427" i="2"/>
  <c r="AM3427" i="2"/>
  <c r="AL3427" i="2"/>
  <c r="AK3427" i="2"/>
  <c r="AN3426" i="2"/>
  <c r="AM3426" i="2"/>
  <c r="AL3426" i="2"/>
  <c r="AK3426" i="2"/>
  <c r="AN3425" i="2"/>
  <c r="AM3425" i="2"/>
  <c r="AL3425" i="2"/>
  <c r="AK3425" i="2"/>
  <c r="AN3424" i="2"/>
  <c r="AM3424" i="2"/>
  <c r="AL3424" i="2"/>
  <c r="AK3424" i="2"/>
  <c r="AN3423" i="2"/>
  <c r="AM3423" i="2"/>
  <c r="AL3423" i="2"/>
  <c r="AK3423" i="2"/>
  <c r="AN3422" i="2"/>
  <c r="AM3422" i="2"/>
  <c r="AL3422" i="2"/>
  <c r="AK3422" i="2"/>
  <c r="AN3421" i="2"/>
  <c r="AM3421" i="2"/>
  <c r="AL3421" i="2"/>
  <c r="AK3421" i="2"/>
  <c r="AN3420" i="2"/>
  <c r="AM3420" i="2"/>
  <c r="AL3420" i="2"/>
  <c r="AK3420" i="2"/>
  <c r="AN3419" i="2"/>
  <c r="AM3419" i="2"/>
  <c r="AL3419" i="2"/>
  <c r="AK3419" i="2"/>
  <c r="AN3418" i="2"/>
  <c r="AM3418" i="2"/>
  <c r="AL3418" i="2"/>
  <c r="AK3418" i="2"/>
  <c r="AN3417" i="2"/>
  <c r="AM3417" i="2"/>
  <c r="AL3417" i="2"/>
  <c r="AK3417" i="2"/>
  <c r="AN3416" i="2"/>
  <c r="AM3416" i="2"/>
  <c r="AL3416" i="2"/>
  <c r="AK3416" i="2"/>
  <c r="AN3415" i="2"/>
  <c r="AM3415" i="2"/>
  <c r="AL3415" i="2"/>
  <c r="AK3415" i="2"/>
  <c r="AN3414" i="2"/>
  <c r="AM3414" i="2"/>
  <c r="AL3414" i="2"/>
  <c r="AK3414" i="2"/>
  <c r="AN3413" i="2"/>
  <c r="AM3413" i="2"/>
  <c r="AL3413" i="2"/>
  <c r="AK3413" i="2"/>
  <c r="AN3412" i="2"/>
  <c r="AM3412" i="2"/>
  <c r="AL3412" i="2"/>
  <c r="AK3412" i="2"/>
  <c r="AN3411" i="2"/>
  <c r="AM3411" i="2"/>
  <c r="AL3411" i="2"/>
  <c r="AK3411" i="2"/>
  <c r="AN3410" i="2"/>
  <c r="AM3410" i="2"/>
  <c r="AL3410" i="2"/>
  <c r="AK3410" i="2"/>
  <c r="AN3409" i="2"/>
  <c r="AM3409" i="2"/>
  <c r="AL3409" i="2"/>
  <c r="AK3409" i="2"/>
  <c r="AN3408" i="2"/>
  <c r="AM3408" i="2"/>
  <c r="AL3408" i="2"/>
  <c r="AK3408" i="2"/>
  <c r="AN3407" i="2"/>
  <c r="AM3407" i="2"/>
  <c r="AL3407" i="2"/>
  <c r="AK3407" i="2"/>
  <c r="AN3406" i="2"/>
  <c r="AM3406" i="2"/>
  <c r="AL3406" i="2"/>
  <c r="AK3406" i="2"/>
  <c r="AN3405" i="2"/>
  <c r="AM3405" i="2"/>
  <c r="AL3405" i="2"/>
  <c r="AK3405" i="2"/>
  <c r="AN3404" i="2"/>
  <c r="AM3404" i="2"/>
  <c r="AL3404" i="2"/>
  <c r="AK3404" i="2"/>
  <c r="AN3403" i="2"/>
  <c r="AM3403" i="2"/>
  <c r="AL3403" i="2"/>
  <c r="AK3403" i="2"/>
  <c r="AN3402" i="2"/>
  <c r="AM3402" i="2"/>
  <c r="AL3402" i="2"/>
  <c r="AK3402" i="2"/>
  <c r="AN3401" i="2"/>
  <c r="AM3401" i="2"/>
  <c r="AL3401" i="2"/>
  <c r="AK3401" i="2"/>
  <c r="AN3400" i="2"/>
  <c r="AM3400" i="2"/>
  <c r="AL3400" i="2"/>
  <c r="AK3400" i="2"/>
  <c r="AN3399" i="2"/>
  <c r="AM3399" i="2"/>
  <c r="AL3399" i="2"/>
  <c r="AK3399" i="2"/>
  <c r="AN3398" i="2"/>
  <c r="AM3398" i="2"/>
  <c r="AL3398" i="2"/>
  <c r="AK3398" i="2"/>
  <c r="AN3397" i="2"/>
  <c r="AM3397" i="2"/>
  <c r="AL3397" i="2"/>
  <c r="AK3397" i="2"/>
  <c r="AN3396" i="2"/>
  <c r="AM3396" i="2"/>
  <c r="AL3396" i="2"/>
  <c r="AK3396" i="2"/>
  <c r="AN3395" i="2"/>
  <c r="AM3395" i="2"/>
  <c r="AL3395" i="2"/>
  <c r="AK3395" i="2"/>
  <c r="AN3394" i="2"/>
  <c r="AM3394" i="2"/>
  <c r="AL3394" i="2"/>
  <c r="AK3394" i="2"/>
  <c r="AN3393" i="2"/>
  <c r="AM3393" i="2"/>
  <c r="AL3393" i="2"/>
  <c r="AK3393" i="2"/>
  <c r="AN3392" i="2"/>
  <c r="AM3392" i="2"/>
  <c r="AL3392" i="2"/>
  <c r="AK3392" i="2"/>
  <c r="AN3391" i="2"/>
  <c r="AM3391" i="2"/>
  <c r="AL3391" i="2"/>
  <c r="AK3391" i="2"/>
  <c r="AN3390" i="2"/>
  <c r="AM3390" i="2"/>
  <c r="AL3390" i="2"/>
  <c r="AK3390" i="2"/>
  <c r="AN3389" i="2"/>
  <c r="AM3389" i="2"/>
  <c r="AL3389" i="2"/>
  <c r="AK3389" i="2"/>
  <c r="AN3388" i="2"/>
  <c r="AM3388" i="2"/>
  <c r="AL3388" i="2"/>
  <c r="AK3388" i="2"/>
  <c r="AN3387" i="2"/>
  <c r="AM3387" i="2"/>
  <c r="AL3387" i="2"/>
  <c r="AK3387" i="2"/>
  <c r="AN3386" i="2"/>
  <c r="AM3386" i="2"/>
  <c r="AL3386" i="2"/>
  <c r="AK3386" i="2"/>
  <c r="AN3385" i="2"/>
  <c r="AM3385" i="2"/>
  <c r="AL3385" i="2"/>
  <c r="AK3385" i="2"/>
  <c r="AN3384" i="2"/>
  <c r="AM3384" i="2"/>
  <c r="AL3384" i="2"/>
  <c r="AK3384" i="2"/>
  <c r="AN3383" i="2"/>
  <c r="AM3383" i="2"/>
  <c r="AL3383" i="2"/>
  <c r="AK3383" i="2"/>
  <c r="AN3382" i="2"/>
  <c r="AM3382" i="2"/>
  <c r="AL3382" i="2"/>
  <c r="AK3382" i="2"/>
  <c r="AN3381" i="2"/>
  <c r="AM3381" i="2"/>
  <c r="AL3381" i="2"/>
  <c r="AK3381" i="2"/>
  <c r="AN3380" i="2"/>
  <c r="AM3380" i="2"/>
  <c r="AL3380" i="2"/>
  <c r="AK3380" i="2"/>
  <c r="AN3379" i="2"/>
  <c r="AM3379" i="2"/>
  <c r="AL3379" i="2"/>
  <c r="AK3379" i="2"/>
  <c r="AN3378" i="2"/>
  <c r="AM3378" i="2"/>
  <c r="AL3378" i="2"/>
  <c r="AK3378" i="2"/>
  <c r="AN3377" i="2"/>
  <c r="AM3377" i="2"/>
  <c r="AL3377" i="2"/>
  <c r="AK3377" i="2"/>
  <c r="AN3376" i="2"/>
  <c r="AM3376" i="2"/>
  <c r="AL3376" i="2"/>
  <c r="AK3376" i="2"/>
  <c r="AN3375" i="2"/>
  <c r="AM3375" i="2"/>
  <c r="AL3375" i="2"/>
  <c r="AK3375" i="2"/>
  <c r="AN3374" i="2"/>
  <c r="AM3374" i="2"/>
  <c r="AL3374" i="2"/>
  <c r="AK3374" i="2"/>
  <c r="AN3373" i="2"/>
  <c r="AM3373" i="2"/>
  <c r="AL3373" i="2"/>
  <c r="AK3373" i="2"/>
  <c r="AN3372" i="2"/>
  <c r="AM3372" i="2"/>
  <c r="AL3372" i="2"/>
  <c r="AK3372" i="2"/>
  <c r="AN3371" i="2"/>
  <c r="AM3371" i="2"/>
  <c r="AL3371" i="2"/>
  <c r="AK3371" i="2"/>
  <c r="AN3370" i="2"/>
  <c r="AM3370" i="2"/>
  <c r="AL3370" i="2"/>
  <c r="AK3370" i="2"/>
  <c r="AN3369" i="2"/>
  <c r="AM3369" i="2"/>
  <c r="AL3369" i="2"/>
  <c r="AK3369" i="2"/>
  <c r="AN3368" i="2"/>
  <c r="AM3368" i="2"/>
  <c r="AL3368" i="2"/>
  <c r="AK3368" i="2"/>
  <c r="AN3367" i="2"/>
  <c r="AM3367" i="2"/>
  <c r="AL3367" i="2"/>
  <c r="AK3367" i="2"/>
  <c r="AN3366" i="2"/>
  <c r="AM3366" i="2"/>
  <c r="AL3366" i="2"/>
  <c r="AK3366" i="2"/>
  <c r="AN3365" i="2"/>
  <c r="AM3365" i="2"/>
  <c r="AL3365" i="2"/>
  <c r="AK3365" i="2"/>
  <c r="AN3364" i="2"/>
  <c r="AM3364" i="2"/>
  <c r="AL3364" i="2"/>
  <c r="AK3364" i="2"/>
  <c r="AN3363" i="2"/>
  <c r="AM3363" i="2"/>
  <c r="AL3363" i="2"/>
  <c r="AK3363" i="2"/>
  <c r="AN3362" i="2"/>
  <c r="AM3362" i="2"/>
  <c r="AL3362" i="2"/>
  <c r="AK3362" i="2"/>
  <c r="AN3361" i="2"/>
  <c r="AM3361" i="2"/>
  <c r="AL3361" i="2"/>
  <c r="AK3361" i="2"/>
  <c r="AN3360" i="2"/>
  <c r="AM3360" i="2"/>
  <c r="AL3360" i="2"/>
  <c r="AK3360" i="2"/>
  <c r="AN3359" i="2"/>
  <c r="AM3359" i="2"/>
  <c r="AL3359" i="2"/>
  <c r="AK3359" i="2"/>
  <c r="AN3358" i="2"/>
  <c r="AM3358" i="2"/>
  <c r="AL3358" i="2"/>
  <c r="AK3358" i="2"/>
  <c r="AN3357" i="2"/>
  <c r="AM3357" i="2"/>
  <c r="AL3357" i="2"/>
  <c r="AK3357" i="2"/>
  <c r="AN3356" i="2"/>
  <c r="AM3356" i="2"/>
  <c r="AL3356" i="2"/>
  <c r="AK3356" i="2"/>
  <c r="AN3355" i="2"/>
  <c r="AM3355" i="2"/>
  <c r="AL3355" i="2"/>
  <c r="AK3355" i="2"/>
  <c r="AN3354" i="2"/>
  <c r="AM3354" i="2"/>
  <c r="AL3354" i="2"/>
  <c r="AK3354" i="2"/>
  <c r="AN3353" i="2"/>
  <c r="AM3353" i="2"/>
  <c r="AL3353" i="2"/>
  <c r="AK3353" i="2"/>
  <c r="AN3352" i="2"/>
  <c r="AM3352" i="2"/>
  <c r="AL3352" i="2"/>
  <c r="AK3352" i="2"/>
  <c r="AN3351" i="2"/>
  <c r="AM3351" i="2"/>
  <c r="AL3351" i="2"/>
  <c r="AK3351" i="2"/>
  <c r="AN3350" i="2"/>
  <c r="AM3350" i="2"/>
  <c r="AL3350" i="2"/>
  <c r="AK3350" i="2"/>
  <c r="AN3349" i="2"/>
  <c r="AM3349" i="2"/>
  <c r="AL3349" i="2"/>
  <c r="AK3349" i="2"/>
  <c r="AN3348" i="2"/>
  <c r="AM3348" i="2"/>
  <c r="AL3348" i="2"/>
  <c r="AK3348" i="2"/>
  <c r="AN3347" i="2"/>
  <c r="AM3347" i="2"/>
  <c r="AL3347" i="2"/>
  <c r="AK3347" i="2"/>
  <c r="AN3346" i="2"/>
  <c r="AM3346" i="2"/>
  <c r="AL3346" i="2"/>
  <c r="AK3346" i="2"/>
  <c r="AN3345" i="2"/>
  <c r="AM3345" i="2"/>
  <c r="AL3345" i="2"/>
  <c r="AK3345" i="2"/>
  <c r="AN3344" i="2"/>
  <c r="AM3344" i="2"/>
  <c r="AL3344" i="2"/>
  <c r="AK3344" i="2"/>
  <c r="AN3343" i="2"/>
  <c r="AM3343" i="2"/>
  <c r="AL3343" i="2"/>
  <c r="AK3343" i="2"/>
  <c r="AN3342" i="2"/>
  <c r="AM3342" i="2"/>
  <c r="AL3342" i="2"/>
  <c r="AK3342" i="2"/>
  <c r="AN3341" i="2"/>
  <c r="AM3341" i="2"/>
  <c r="AL3341" i="2"/>
  <c r="AK3341" i="2"/>
  <c r="AN3340" i="2"/>
  <c r="AM3340" i="2"/>
  <c r="AL3340" i="2"/>
  <c r="AK3340" i="2"/>
  <c r="AN3339" i="2"/>
  <c r="AM3339" i="2"/>
  <c r="AL3339" i="2"/>
  <c r="AK3339" i="2"/>
  <c r="AN3338" i="2"/>
  <c r="AM3338" i="2"/>
  <c r="AL3338" i="2"/>
  <c r="AK3338" i="2"/>
  <c r="AN3337" i="2"/>
  <c r="AM3337" i="2"/>
  <c r="AL3337" i="2"/>
  <c r="AK3337" i="2"/>
  <c r="AN3336" i="2"/>
  <c r="AM3336" i="2"/>
  <c r="AL3336" i="2"/>
  <c r="AK3336" i="2"/>
  <c r="AN3335" i="2"/>
  <c r="AM3335" i="2"/>
  <c r="AL3335" i="2"/>
  <c r="AK3335" i="2"/>
  <c r="AN3334" i="2"/>
  <c r="AM3334" i="2"/>
  <c r="AL3334" i="2"/>
  <c r="AK3334" i="2"/>
  <c r="AN3333" i="2"/>
  <c r="AM3333" i="2"/>
  <c r="AL3333" i="2"/>
  <c r="AK3333" i="2"/>
  <c r="AN3332" i="2"/>
  <c r="AM3332" i="2"/>
  <c r="AL3332" i="2"/>
  <c r="AK3332" i="2"/>
  <c r="AN3331" i="2"/>
  <c r="AM3331" i="2"/>
  <c r="AL3331" i="2"/>
  <c r="AK3331" i="2"/>
  <c r="AN3330" i="2"/>
  <c r="AM3330" i="2"/>
  <c r="AL3330" i="2"/>
  <c r="AK3330" i="2"/>
  <c r="AN3329" i="2"/>
  <c r="AM3329" i="2"/>
  <c r="AL3329" i="2"/>
  <c r="AK3329" i="2"/>
  <c r="AN3328" i="2"/>
  <c r="AM3328" i="2"/>
  <c r="AL3328" i="2"/>
  <c r="AK3328" i="2"/>
  <c r="AN3327" i="2"/>
  <c r="AM3327" i="2"/>
  <c r="AL3327" i="2"/>
  <c r="AK3327" i="2"/>
  <c r="AN3326" i="2"/>
  <c r="AM3326" i="2"/>
  <c r="AL3326" i="2"/>
  <c r="AK3326" i="2"/>
  <c r="AN3325" i="2"/>
  <c r="AM3325" i="2"/>
  <c r="AL3325" i="2"/>
  <c r="AK3325" i="2"/>
  <c r="AN3324" i="2"/>
  <c r="AM3324" i="2"/>
  <c r="AL3324" i="2"/>
  <c r="AK3324" i="2"/>
  <c r="AN3323" i="2"/>
  <c r="AM3323" i="2"/>
  <c r="AL3323" i="2"/>
  <c r="AK3323" i="2"/>
  <c r="AN3322" i="2"/>
  <c r="AM3322" i="2"/>
  <c r="AL3322" i="2"/>
  <c r="AK3322" i="2"/>
  <c r="AN3321" i="2"/>
  <c r="AM3321" i="2"/>
  <c r="AL3321" i="2"/>
  <c r="AK3321" i="2"/>
  <c r="AN3320" i="2"/>
  <c r="AM3320" i="2"/>
  <c r="AL3320" i="2"/>
  <c r="AK3320" i="2"/>
  <c r="AN3319" i="2"/>
  <c r="AM3319" i="2"/>
  <c r="AL3319" i="2"/>
  <c r="AK3319" i="2"/>
  <c r="AN3318" i="2"/>
  <c r="AM3318" i="2"/>
  <c r="AL3318" i="2"/>
  <c r="AK3318" i="2"/>
  <c r="AN3317" i="2"/>
  <c r="AM3317" i="2"/>
  <c r="AL3317" i="2"/>
  <c r="AK3317" i="2"/>
  <c r="AN3316" i="2"/>
  <c r="AM3316" i="2"/>
  <c r="AL3316" i="2"/>
  <c r="AK3316" i="2"/>
  <c r="AN3315" i="2"/>
  <c r="AM3315" i="2"/>
  <c r="AL3315" i="2"/>
  <c r="AK3315" i="2"/>
  <c r="AN3314" i="2"/>
  <c r="AM3314" i="2"/>
  <c r="AL3314" i="2"/>
  <c r="AK3314" i="2"/>
  <c r="AN3313" i="2"/>
  <c r="AM3313" i="2"/>
  <c r="AL3313" i="2"/>
  <c r="AK3313" i="2"/>
  <c r="AN3312" i="2"/>
  <c r="AM3312" i="2"/>
  <c r="AL3312" i="2"/>
  <c r="AK3312" i="2"/>
  <c r="AN3311" i="2"/>
  <c r="AM3311" i="2"/>
  <c r="AL3311" i="2"/>
  <c r="AK3311" i="2"/>
  <c r="AN3310" i="2"/>
  <c r="AM3310" i="2"/>
  <c r="AL3310" i="2"/>
  <c r="AK3310" i="2"/>
  <c r="AN3309" i="2"/>
  <c r="AM3309" i="2"/>
  <c r="AL3309" i="2"/>
  <c r="AK3309" i="2"/>
  <c r="AN3308" i="2"/>
  <c r="AM3308" i="2"/>
  <c r="AL3308" i="2"/>
  <c r="AK3308" i="2"/>
  <c r="AN3307" i="2"/>
  <c r="AM3307" i="2"/>
  <c r="AL3307" i="2"/>
  <c r="AK3307" i="2"/>
  <c r="AN3306" i="2"/>
  <c r="AM3306" i="2"/>
  <c r="AL3306" i="2"/>
  <c r="AK3306" i="2"/>
  <c r="AN3305" i="2"/>
  <c r="AM3305" i="2"/>
  <c r="AL3305" i="2"/>
  <c r="AK3305" i="2"/>
  <c r="AN3304" i="2"/>
  <c r="AM3304" i="2"/>
  <c r="AL3304" i="2"/>
  <c r="AK3304" i="2"/>
  <c r="AN3303" i="2"/>
  <c r="AM3303" i="2"/>
  <c r="AL3303" i="2"/>
  <c r="AK3303" i="2"/>
  <c r="AN3302" i="2"/>
  <c r="AM3302" i="2"/>
  <c r="AL3302" i="2"/>
  <c r="AK3302" i="2"/>
  <c r="AN3301" i="2"/>
  <c r="AM3301" i="2"/>
  <c r="AL3301" i="2"/>
  <c r="AK3301" i="2"/>
  <c r="AN3300" i="2"/>
  <c r="AM3300" i="2"/>
  <c r="AL3300" i="2"/>
  <c r="AK3300" i="2"/>
  <c r="AN3299" i="2"/>
  <c r="AM3299" i="2"/>
  <c r="AL3299" i="2"/>
  <c r="AK3299" i="2"/>
  <c r="AN3298" i="2"/>
  <c r="AM3298" i="2"/>
  <c r="AL3298" i="2"/>
  <c r="AK3298" i="2"/>
  <c r="AN3297" i="2"/>
  <c r="AM3297" i="2"/>
  <c r="AL3297" i="2"/>
  <c r="AK3297" i="2"/>
  <c r="AN3296" i="2"/>
  <c r="AM3296" i="2"/>
  <c r="AL3296" i="2"/>
  <c r="AK3296" i="2"/>
  <c r="AN3295" i="2"/>
  <c r="AM3295" i="2"/>
  <c r="AL3295" i="2"/>
  <c r="AK3295" i="2"/>
  <c r="AN3294" i="2"/>
  <c r="AM3294" i="2"/>
  <c r="AL3294" i="2"/>
  <c r="AK3294" i="2"/>
  <c r="AN3293" i="2"/>
  <c r="AM3293" i="2"/>
  <c r="AL3293" i="2"/>
  <c r="AK3293" i="2"/>
  <c r="AN3292" i="2"/>
  <c r="AM3292" i="2"/>
  <c r="AL3292" i="2"/>
  <c r="AK3292" i="2"/>
  <c r="AN3291" i="2"/>
  <c r="AM3291" i="2"/>
  <c r="AL3291" i="2"/>
  <c r="AK3291" i="2"/>
  <c r="AN3290" i="2"/>
  <c r="AM3290" i="2"/>
  <c r="AL3290" i="2"/>
  <c r="AK3290" i="2"/>
  <c r="AN3289" i="2"/>
  <c r="AM3289" i="2"/>
  <c r="AL3289" i="2"/>
  <c r="AK3289" i="2"/>
  <c r="AN3288" i="2"/>
  <c r="AM3288" i="2"/>
  <c r="AL3288" i="2"/>
  <c r="AK3288" i="2"/>
  <c r="AN3287" i="2"/>
  <c r="AM3287" i="2"/>
  <c r="AL3287" i="2"/>
  <c r="AK3287" i="2"/>
  <c r="AN3286" i="2"/>
  <c r="AM3286" i="2"/>
  <c r="AL3286" i="2"/>
  <c r="AK3286" i="2"/>
  <c r="AN3285" i="2"/>
  <c r="AM3285" i="2"/>
  <c r="AL3285" i="2"/>
  <c r="AK3285" i="2"/>
  <c r="AN3284" i="2"/>
  <c r="AM3284" i="2"/>
  <c r="AL3284" i="2"/>
  <c r="AK3284" i="2"/>
  <c r="AN3283" i="2"/>
  <c r="AM3283" i="2"/>
  <c r="AL3283" i="2"/>
  <c r="AK3283" i="2"/>
  <c r="AN3282" i="2"/>
  <c r="AM3282" i="2"/>
  <c r="AL3282" i="2"/>
  <c r="AK3282" i="2"/>
  <c r="AN3281" i="2"/>
  <c r="AM3281" i="2"/>
  <c r="AL3281" i="2"/>
  <c r="AK3281" i="2"/>
  <c r="AN3280" i="2"/>
  <c r="AM3280" i="2"/>
  <c r="AL3280" i="2"/>
  <c r="AK3280" i="2"/>
  <c r="AN3279" i="2"/>
  <c r="AM3279" i="2"/>
  <c r="AL3279" i="2"/>
  <c r="AK3279" i="2"/>
  <c r="AN3278" i="2"/>
  <c r="AM3278" i="2"/>
  <c r="AL3278" i="2"/>
  <c r="AK3278" i="2"/>
  <c r="AN3277" i="2"/>
  <c r="AM3277" i="2"/>
  <c r="AL3277" i="2"/>
  <c r="AK3277" i="2"/>
  <c r="AN3276" i="2"/>
  <c r="AM3276" i="2"/>
  <c r="AL3276" i="2"/>
  <c r="AK3276" i="2"/>
  <c r="AN3275" i="2"/>
  <c r="AM3275" i="2"/>
  <c r="AL3275" i="2"/>
  <c r="AK3275" i="2"/>
  <c r="AN3274" i="2"/>
  <c r="AM3274" i="2"/>
  <c r="AL3274" i="2"/>
  <c r="AK3274" i="2"/>
  <c r="AN3273" i="2"/>
  <c r="AM3273" i="2"/>
  <c r="AL3273" i="2"/>
  <c r="AK3273" i="2"/>
  <c r="AN3272" i="2"/>
  <c r="AM3272" i="2"/>
  <c r="AL3272" i="2"/>
  <c r="AK3272" i="2"/>
  <c r="AN3271" i="2"/>
  <c r="AM3271" i="2"/>
  <c r="AL3271" i="2"/>
  <c r="AK3271" i="2"/>
  <c r="AN3270" i="2"/>
  <c r="AM3270" i="2"/>
  <c r="AL3270" i="2"/>
  <c r="AK3270" i="2"/>
  <c r="AN3269" i="2"/>
  <c r="AM3269" i="2"/>
  <c r="AL3269" i="2"/>
  <c r="AK3269" i="2"/>
  <c r="AN3268" i="2"/>
  <c r="AM3268" i="2"/>
  <c r="AL3268" i="2"/>
  <c r="AK3268" i="2"/>
  <c r="AN3267" i="2"/>
  <c r="AM3267" i="2"/>
  <c r="AL3267" i="2"/>
  <c r="AK3267" i="2"/>
  <c r="AN3266" i="2"/>
  <c r="AM3266" i="2"/>
  <c r="AL3266" i="2"/>
  <c r="AK3266" i="2"/>
  <c r="AN3265" i="2"/>
  <c r="AM3265" i="2"/>
  <c r="AL3265" i="2"/>
  <c r="AK3265" i="2"/>
  <c r="AN3264" i="2"/>
  <c r="AM3264" i="2"/>
  <c r="AL3264" i="2"/>
  <c r="AK3264" i="2"/>
  <c r="AN3263" i="2"/>
  <c r="AM3263" i="2"/>
  <c r="AL3263" i="2"/>
  <c r="AK3263" i="2"/>
  <c r="AN3262" i="2"/>
  <c r="AM3262" i="2"/>
  <c r="AL3262" i="2"/>
  <c r="AK3262" i="2"/>
  <c r="AN3261" i="2"/>
  <c r="AM3261" i="2"/>
  <c r="AL3261" i="2"/>
  <c r="AK3261" i="2"/>
  <c r="AN3260" i="2"/>
  <c r="AM3260" i="2"/>
  <c r="AL3260" i="2"/>
  <c r="AK3260" i="2"/>
  <c r="AN3259" i="2"/>
  <c r="AM3259" i="2"/>
  <c r="AL3259" i="2"/>
  <c r="AK3259" i="2"/>
  <c r="AN3258" i="2"/>
  <c r="AM3258" i="2"/>
  <c r="AL3258" i="2"/>
  <c r="AK3258" i="2"/>
  <c r="AN3257" i="2"/>
  <c r="AM3257" i="2"/>
  <c r="AL3257" i="2"/>
  <c r="AK3257" i="2"/>
  <c r="AN3256" i="2"/>
  <c r="AM3256" i="2"/>
  <c r="AL3256" i="2"/>
  <c r="AK3256" i="2"/>
  <c r="AN3255" i="2"/>
  <c r="AM3255" i="2"/>
  <c r="AL3255" i="2"/>
  <c r="AK3255" i="2"/>
  <c r="AN3254" i="2"/>
  <c r="AM3254" i="2"/>
  <c r="AL3254" i="2"/>
  <c r="AK3254" i="2"/>
  <c r="AN3253" i="2"/>
  <c r="AM3253" i="2"/>
  <c r="AL3253" i="2"/>
  <c r="AK3253" i="2"/>
  <c r="AN3252" i="2"/>
  <c r="AM3252" i="2"/>
  <c r="AL3252" i="2"/>
  <c r="AK3252" i="2"/>
  <c r="AN3251" i="2"/>
  <c r="AM3251" i="2"/>
  <c r="AL3251" i="2"/>
  <c r="AK3251" i="2"/>
  <c r="AN3250" i="2"/>
  <c r="AM3250" i="2"/>
  <c r="AL3250" i="2"/>
  <c r="AK3250" i="2"/>
  <c r="AN3249" i="2"/>
  <c r="AM3249" i="2"/>
  <c r="AL3249" i="2"/>
  <c r="AK3249" i="2"/>
  <c r="AN3248" i="2"/>
  <c r="AM3248" i="2"/>
  <c r="AL3248" i="2"/>
  <c r="AK3248" i="2"/>
  <c r="AN3247" i="2"/>
  <c r="AM3247" i="2"/>
  <c r="AL3247" i="2"/>
  <c r="AK3247" i="2"/>
  <c r="AN3246" i="2"/>
  <c r="AM3246" i="2"/>
  <c r="AL3246" i="2"/>
  <c r="AK3246" i="2"/>
  <c r="AN3245" i="2"/>
  <c r="AM3245" i="2"/>
  <c r="AL3245" i="2"/>
  <c r="AK3245" i="2"/>
  <c r="AN3244" i="2"/>
  <c r="AM3244" i="2"/>
  <c r="AL3244" i="2"/>
  <c r="AK3244" i="2"/>
  <c r="AN3243" i="2"/>
  <c r="AM3243" i="2"/>
  <c r="AL3243" i="2"/>
  <c r="AK3243" i="2"/>
  <c r="AN3242" i="2"/>
  <c r="AM3242" i="2"/>
  <c r="AL3242" i="2"/>
  <c r="AK3242" i="2"/>
  <c r="AN3241" i="2"/>
  <c r="AM3241" i="2"/>
  <c r="AL3241" i="2"/>
  <c r="AK3241" i="2"/>
  <c r="AN3240" i="2"/>
  <c r="AM3240" i="2"/>
  <c r="AL3240" i="2"/>
  <c r="AK3240" i="2"/>
  <c r="AN3239" i="2"/>
  <c r="AM3239" i="2"/>
  <c r="AL3239" i="2"/>
  <c r="AK3239" i="2"/>
  <c r="AN3238" i="2"/>
  <c r="AM3238" i="2"/>
  <c r="AL3238" i="2"/>
  <c r="AK3238" i="2"/>
  <c r="AN3237" i="2"/>
  <c r="AM3237" i="2"/>
  <c r="AL3237" i="2"/>
  <c r="AK3237" i="2"/>
  <c r="AN3236" i="2"/>
  <c r="AM3236" i="2"/>
  <c r="AL3236" i="2"/>
  <c r="AK3236" i="2"/>
  <c r="AN3235" i="2"/>
  <c r="AM3235" i="2"/>
  <c r="AL3235" i="2"/>
  <c r="AK3235" i="2"/>
  <c r="AN3234" i="2"/>
  <c r="AM3234" i="2"/>
  <c r="AL3234" i="2"/>
  <c r="AK3234" i="2"/>
  <c r="AN3233" i="2"/>
  <c r="AM3233" i="2"/>
  <c r="AL3233" i="2"/>
  <c r="AK3233" i="2"/>
  <c r="AN3232" i="2"/>
  <c r="AM3232" i="2"/>
  <c r="AL3232" i="2"/>
  <c r="AK3232" i="2"/>
  <c r="AN3231" i="2"/>
  <c r="AM3231" i="2"/>
  <c r="AL3231" i="2"/>
  <c r="AK3231" i="2"/>
  <c r="AN3230" i="2"/>
  <c r="AM3230" i="2"/>
  <c r="AL3230" i="2"/>
  <c r="AK3230" i="2"/>
  <c r="AN3229" i="2"/>
  <c r="AM3229" i="2"/>
  <c r="AL3229" i="2"/>
  <c r="AK3229" i="2"/>
  <c r="AN3228" i="2"/>
  <c r="AM3228" i="2"/>
  <c r="AL3228" i="2"/>
  <c r="AK3228" i="2"/>
  <c r="AN3227" i="2"/>
  <c r="AM3227" i="2"/>
  <c r="AL3227" i="2"/>
  <c r="AK3227" i="2"/>
  <c r="AN3226" i="2"/>
  <c r="AM3226" i="2"/>
  <c r="AL3226" i="2"/>
  <c r="AK3226" i="2"/>
  <c r="AN3225" i="2"/>
  <c r="AM3225" i="2"/>
  <c r="AL3225" i="2"/>
  <c r="AK3225" i="2"/>
  <c r="AN3224" i="2"/>
  <c r="AM3224" i="2"/>
  <c r="AL3224" i="2"/>
  <c r="AK3224" i="2"/>
  <c r="AN3223" i="2"/>
  <c r="AM3223" i="2"/>
  <c r="AL3223" i="2"/>
  <c r="AK3223" i="2"/>
  <c r="AN3222" i="2"/>
  <c r="AM3222" i="2"/>
  <c r="AL3222" i="2"/>
  <c r="AK3222" i="2"/>
  <c r="AN3221" i="2"/>
  <c r="AM3221" i="2"/>
  <c r="AL3221" i="2"/>
  <c r="AK3221" i="2"/>
  <c r="AN3220" i="2"/>
  <c r="AM3220" i="2"/>
  <c r="AL3220" i="2"/>
  <c r="AK3220" i="2"/>
  <c r="AN3219" i="2"/>
  <c r="AM3219" i="2"/>
  <c r="AL3219" i="2"/>
  <c r="AK3219" i="2"/>
  <c r="AN3218" i="2"/>
  <c r="AM3218" i="2"/>
  <c r="AL3218" i="2"/>
  <c r="AK3218" i="2"/>
  <c r="AN3217" i="2"/>
  <c r="AM3217" i="2"/>
  <c r="AL3217" i="2"/>
  <c r="AK3217" i="2"/>
  <c r="AN3216" i="2"/>
  <c r="AM3216" i="2"/>
  <c r="AL3216" i="2"/>
  <c r="AK3216" i="2"/>
  <c r="AN3215" i="2"/>
  <c r="AM3215" i="2"/>
  <c r="AL3215" i="2"/>
  <c r="AK3215" i="2"/>
  <c r="AN3214" i="2"/>
  <c r="AM3214" i="2"/>
  <c r="AL3214" i="2"/>
  <c r="AK3214" i="2"/>
  <c r="AN3213" i="2"/>
  <c r="AM3213" i="2"/>
  <c r="AL3213" i="2"/>
  <c r="AK3213" i="2"/>
  <c r="AN3212" i="2"/>
  <c r="AM3212" i="2"/>
  <c r="AL3212" i="2"/>
  <c r="AK3212" i="2"/>
  <c r="AN3211" i="2"/>
  <c r="AM3211" i="2"/>
  <c r="AL3211" i="2"/>
  <c r="AK3211" i="2"/>
  <c r="AN3210" i="2"/>
  <c r="AM3210" i="2"/>
  <c r="AL3210" i="2"/>
  <c r="AK3210" i="2"/>
  <c r="AN3209" i="2"/>
  <c r="AM3209" i="2"/>
  <c r="AL3209" i="2"/>
  <c r="AK3209" i="2"/>
  <c r="AN3208" i="2"/>
  <c r="AM3208" i="2"/>
  <c r="AL3208" i="2"/>
  <c r="AK3208" i="2"/>
  <c r="AN3207" i="2"/>
  <c r="AM3207" i="2"/>
  <c r="AL3207" i="2"/>
  <c r="AK3207" i="2"/>
  <c r="AN3206" i="2"/>
  <c r="AM3206" i="2"/>
  <c r="AL3206" i="2"/>
  <c r="AK3206" i="2"/>
  <c r="AN3205" i="2"/>
  <c r="AM3205" i="2"/>
  <c r="AL3205" i="2"/>
  <c r="AK3205" i="2"/>
  <c r="AN3204" i="2"/>
  <c r="AM3204" i="2"/>
  <c r="AL3204" i="2"/>
  <c r="AK3204" i="2"/>
  <c r="AN3203" i="2"/>
  <c r="AM3203" i="2"/>
  <c r="AL3203" i="2"/>
  <c r="AK3203" i="2"/>
  <c r="AN3202" i="2"/>
  <c r="AM3202" i="2"/>
  <c r="AL3202" i="2"/>
  <c r="AK3202" i="2"/>
  <c r="AN3201" i="2"/>
  <c r="AM3201" i="2"/>
  <c r="AL3201" i="2"/>
  <c r="AK3201" i="2"/>
  <c r="AN3200" i="2"/>
  <c r="AM3200" i="2"/>
  <c r="AL3200" i="2"/>
  <c r="AK3200" i="2"/>
  <c r="AN3199" i="2"/>
  <c r="AM3199" i="2"/>
  <c r="AL3199" i="2"/>
  <c r="AK3199" i="2"/>
  <c r="AN3198" i="2"/>
  <c r="AM3198" i="2"/>
  <c r="AL3198" i="2"/>
  <c r="AK3198" i="2"/>
  <c r="AN3197" i="2"/>
  <c r="AM3197" i="2"/>
  <c r="AL3197" i="2"/>
  <c r="AK3197" i="2"/>
  <c r="AN3196" i="2"/>
  <c r="AM3196" i="2"/>
  <c r="AL3196" i="2"/>
  <c r="AK3196" i="2"/>
  <c r="AN3195" i="2"/>
  <c r="AM3195" i="2"/>
  <c r="AL3195" i="2"/>
  <c r="AK3195" i="2"/>
  <c r="AN3194" i="2"/>
  <c r="AM3194" i="2"/>
  <c r="AL3194" i="2"/>
  <c r="AK3194" i="2"/>
  <c r="AN3193" i="2"/>
  <c r="AM3193" i="2"/>
  <c r="AL3193" i="2"/>
  <c r="AK3193" i="2"/>
  <c r="AN3192" i="2"/>
  <c r="AM3192" i="2"/>
  <c r="AL3192" i="2"/>
  <c r="AK3192" i="2"/>
  <c r="AN3191" i="2"/>
  <c r="AM3191" i="2"/>
  <c r="AL3191" i="2"/>
  <c r="AK3191" i="2"/>
  <c r="AN3190" i="2"/>
  <c r="AM3190" i="2"/>
  <c r="AL3190" i="2"/>
  <c r="AK3190" i="2"/>
  <c r="AN3189" i="2"/>
  <c r="AM3189" i="2"/>
  <c r="AL3189" i="2"/>
  <c r="AK3189" i="2"/>
  <c r="AN3188" i="2"/>
  <c r="AM3188" i="2"/>
  <c r="AL3188" i="2"/>
  <c r="AK3188" i="2"/>
  <c r="AN3187" i="2"/>
  <c r="AM3187" i="2"/>
  <c r="AL3187" i="2"/>
  <c r="AK3187" i="2"/>
  <c r="AN3186" i="2"/>
  <c r="AM3186" i="2"/>
  <c r="AL3186" i="2"/>
  <c r="AK3186" i="2"/>
  <c r="AN3185" i="2"/>
  <c r="AM3185" i="2"/>
  <c r="AL3185" i="2"/>
  <c r="AK3185" i="2"/>
  <c r="AN3184" i="2"/>
  <c r="AM3184" i="2"/>
  <c r="AL3184" i="2"/>
  <c r="AK3184" i="2"/>
  <c r="AN3183" i="2"/>
  <c r="AM3183" i="2"/>
  <c r="AL3183" i="2"/>
  <c r="AK3183" i="2"/>
  <c r="AN3182" i="2"/>
  <c r="AM3182" i="2"/>
  <c r="AL3182" i="2"/>
  <c r="AK3182" i="2"/>
  <c r="AN3181" i="2"/>
  <c r="AM3181" i="2"/>
  <c r="AL3181" i="2"/>
  <c r="AK3181" i="2"/>
  <c r="AN3180" i="2"/>
  <c r="AM3180" i="2"/>
  <c r="AL3180" i="2"/>
  <c r="AK3180" i="2"/>
  <c r="AN3179" i="2"/>
  <c r="AM3179" i="2"/>
  <c r="AL3179" i="2"/>
  <c r="AK3179" i="2"/>
  <c r="AN3178" i="2"/>
  <c r="AM3178" i="2"/>
  <c r="AL3178" i="2"/>
  <c r="AK3178" i="2"/>
  <c r="AN3177" i="2"/>
  <c r="AM3177" i="2"/>
  <c r="AL3177" i="2"/>
  <c r="AK3177" i="2"/>
  <c r="AN3176" i="2"/>
  <c r="AM3176" i="2"/>
  <c r="AL3176" i="2"/>
  <c r="AK3176" i="2"/>
  <c r="AN3175" i="2"/>
  <c r="AM3175" i="2"/>
  <c r="AL3175" i="2"/>
  <c r="AK3175" i="2"/>
  <c r="AN3174" i="2"/>
  <c r="AM3174" i="2"/>
  <c r="AL3174" i="2"/>
  <c r="AK3174" i="2"/>
  <c r="AN3173" i="2"/>
  <c r="AM3173" i="2"/>
  <c r="AL3173" i="2"/>
  <c r="AK3173" i="2"/>
  <c r="AN3172" i="2"/>
  <c r="AM3172" i="2"/>
  <c r="AL3172" i="2"/>
  <c r="AK3172" i="2"/>
  <c r="AN3171" i="2"/>
  <c r="AM3171" i="2"/>
  <c r="AL3171" i="2"/>
  <c r="AK3171" i="2"/>
  <c r="AN3170" i="2"/>
  <c r="AM3170" i="2"/>
  <c r="AL3170" i="2"/>
  <c r="AK3170" i="2"/>
  <c r="AN3169" i="2"/>
  <c r="AM3169" i="2"/>
  <c r="AL3169" i="2"/>
  <c r="AK3169" i="2"/>
  <c r="AN3168" i="2"/>
  <c r="AM3168" i="2"/>
  <c r="AL3168" i="2"/>
  <c r="AK3168" i="2"/>
  <c r="AN3167" i="2"/>
  <c r="AM3167" i="2"/>
  <c r="AL3167" i="2"/>
  <c r="AK3167" i="2"/>
  <c r="AN3166" i="2"/>
  <c r="AM3166" i="2"/>
  <c r="AL3166" i="2"/>
  <c r="AK3166" i="2"/>
  <c r="AN3165" i="2"/>
  <c r="AM3165" i="2"/>
  <c r="AL3165" i="2"/>
  <c r="AK3165" i="2"/>
  <c r="AN3164" i="2"/>
  <c r="AM3164" i="2"/>
  <c r="AL3164" i="2"/>
  <c r="AK3164" i="2"/>
  <c r="AN3163" i="2"/>
  <c r="AM3163" i="2"/>
  <c r="AL3163" i="2"/>
  <c r="AK3163" i="2"/>
  <c r="AN3162" i="2"/>
  <c r="AM3162" i="2"/>
  <c r="AL3162" i="2"/>
  <c r="AK3162" i="2"/>
  <c r="AN3161" i="2"/>
  <c r="AM3161" i="2"/>
  <c r="AL3161" i="2"/>
  <c r="AK3161" i="2"/>
  <c r="AN3160" i="2"/>
  <c r="AM3160" i="2"/>
  <c r="AL3160" i="2"/>
  <c r="AK3160" i="2"/>
  <c r="AN3159" i="2"/>
  <c r="AM3159" i="2"/>
  <c r="AL3159" i="2"/>
  <c r="AK3159" i="2"/>
  <c r="AN3158" i="2"/>
  <c r="AM3158" i="2"/>
  <c r="AL3158" i="2"/>
  <c r="AK3158" i="2"/>
  <c r="AN3157" i="2"/>
  <c r="AM3157" i="2"/>
  <c r="AL3157" i="2"/>
  <c r="AK3157" i="2"/>
  <c r="AN3156" i="2"/>
  <c r="AM3156" i="2"/>
  <c r="AL3156" i="2"/>
  <c r="AK3156" i="2"/>
  <c r="AN3155" i="2"/>
  <c r="AM3155" i="2"/>
  <c r="AL3155" i="2"/>
  <c r="AK3155" i="2"/>
  <c r="AN3154" i="2"/>
  <c r="AM3154" i="2"/>
  <c r="AL3154" i="2"/>
  <c r="AK3154" i="2"/>
  <c r="AN3153" i="2"/>
  <c r="AM3153" i="2"/>
  <c r="AL3153" i="2"/>
  <c r="AK3153" i="2"/>
  <c r="AN3152" i="2"/>
  <c r="AM3152" i="2"/>
  <c r="AL3152" i="2"/>
  <c r="AK3152" i="2"/>
  <c r="AN3151" i="2"/>
  <c r="AM3151" i="2"/>
  <c r="AL3151" i="2"/>
  <c r="AK3151" i="2"/>
  <c r="AN3150" i="2"/>
  <c r="AM3150" i="2"/>
  <c r="AL3150" i="2"/>
  <c r="AK3150" i="2"/>
  <c r="AN3149" i="2"/>
  <c r="AM3149" i="2"/>
  <c r="AL3149" i="2"/>
  <c r="AK3149" i="2"/>
  <c r="AN3148" i="2"/>
  <c r="AM3148" i="2"/>
  <c r="AL3148" i="2"/>
  <c r="AK3148" i="2"/>
  <c r="AN3147" i="2"/>
  <c r="AM3147" i="2"/>
  <c r="AL3147" i="2"/>
  <c r="AK3147" i="2"/>
  <c r="AN3146" i="2"/>
  <c r="AM3146" i="2"/>
  <c r="AL3146" i="2"/>
  <c r="AK3146" i="2"/>
  <c r="AN3145" i="2"/>
  <c r="AM3145" i="2"/>
  <c r="AL3145" i="2"/>
  <c r="AK3145" i="2"/>
  <c r="AN3144" i="2"/>
  <c r="AM3144" i="2"/>
  <c r="AL3144" i="2"/>
  <c r="AK3144" i="2"/>
  <c r="AN3143" i="2"/>
  <c r="AM3143" i="2"/>
  <c r="AL3143" i="2"/>
  <c r="AK3143" i="2"/>
  <c r="AN3142" i="2"/>
  <c r="AM3142" i="2"/>
  <c r="AL3142" i="2"/>
  <c r="AK3142" i="2"/>
  <c r="AN3141" i="2"/>
  <c r="AM3141" i="2"/>
  <c r="AL3141" i="2"/>
  <c r="AK3141" i="2"/>
  <c r="AN3140" i="2"/>
  <c r="AM3140" i="2"/>
  <c r="AL3140" i="2"/>
  <c r="AK3140" i="2"/>
  <c r="AN3139" i="2"/>
  <c r="AM3139" i="2"/>
  <c r="AL3139" i="2"/>
  <c r="AK3139" i="2"/>
  <c r="AN3138" i="2"/>
  <c r="AM3138" i="2"/>
  <c r="AL3138" i="2"/>
  <c r="AK3138" i="2"/>
  <c r="AN3137" i="2"/>
  <c r="AM3137" i="2"/>
  <c r="AL3137" i="2"/>
  <c r="AK3137" i="2"/>
  <c r="AN3136" i="2"/>
  <c r="AM3136" i="2"/>
  <c r="AL3136" i="2"/>
  <c r="AK3136" i="2"/>
  <c r="AN3135" i="2"/>
  <c r="AM3135" i="2"/>
  <c r="AL3135" i="2"/>
  <c r="AK3135" i="2"/>
  <c r="AN3134" i="2"/>
  <c r="AM3134" i="2"/>
  <c r="AL3134" i="2"/>
  <c r="AK3134" i="2"/>
  <c r="AN3133" i="2"/>
  <c r="AM3133" i="2"/>
  <c r="AL3133" i="2"/>
  <c r="AK3133" i="2"/>
  <c r="AN3132" i="2"/>
  <c r="AM3132" i="2"/>
  <c r="AL3132" i="2"/>
  <c r="AK3132" i="2"/>
  <c r="AN3131" i="2"/>
  <c r="AM3131" i="2"/>
  <c r="AL3131" i="2"/>
  <c r="AK3131" i="2"/>
  <c r="AN3130" i="2"/>
  <c r="AM3130" i="2"/>
  <c r="AL3130" i="2"/>
  <c r="AK3130" i="2"/>
  <c r="AN3129" i="2"/>
  <c r="AM3129" i="2"/>
  <c r="AL3129" i="2"/>
  <c r="AK3129" i="2"/>
  <c r="AN3128" i="2"/>
  <c r="AM3128" i="2"/>
  <c r="AL3128" i="2"/>
  <c r="AK3128" i="2"/>
  <c r="AN3127" i="2"/>
  <c r="AM3127" i="2"/>
  <c r="AL3127" i="2"/>
  <c r="AK3127" i="2"/>
  <c r="AN3126" i="2"/>
  <c r="AM3126" i="2"/>
  <c r="AL3126" i="2"/>
  <c r="AK3126" i="2"/>
  <c r="AN3125" i="2"/>
  <c r="AM3125" i="2"/>
  <c r="AL3125" i="2"/>
  <c r="AK3125" i="2"/>
  <c r="AN3124" i="2"/>
  <c r="AM3124" i="2"/>
  <c r="AL3124" i="2"/>
  <c r="AK3124" i="2"/>
  <c r="AN3123" i="2"/>
  <c r="AM3123" i="2"/>
  <c r="AL3123" i="2"/>
  <c r="AK3123" i="2"/>
  <c r="AN3122" i="2"/>
  <c r="AM3122" i="2"/>
  <c r="AL3122" i="2"/>
  <c r="AK3122" i="2"/>
  <c r="AN3121" i="2"/>
  <c r="AM3121" i="2"/>
  <c r="AL3121" i="2"/>
  <c r="AK3121" i="2"/>
  <c r="AN3120" i="2"/>
  <c r="AM3120" i="2"/>
  <c r="AL3120" i="2"/>
  <c r="AK3120" i="2"/>
  <c r="AN3119" i="2"/>
  <c r="AM3119" i="2"/>
  <c r="AL3119" i="2"/>
  <c r="AK3119" i="2"/>
  <c r="AN3118" i="2"/>
  <c r="AM3118" i="2"/>
  <c r="AL3118" i="2"/>
  <c r="AK3118" i="2"/>
  <c r="AN3117" i="2"/>
  <c r="AM3117" i="2"/>
  <c r="AL3117" i="2"/>
  <c r="AK3117" i="2"/>
  <c r="AN3116" i="2"/>
  <c r="AM3116" i="2"/>
  <c r="AL3116" i="2"/>
  <c r="AK3116" i="2"/>
  <c r="AN3115" i="2"/>
  <c r="AM3115" i="2"/>
  <c r="AL3115" i="2"/>
  <c r="AK3115" i="2"/>
  <c r="AN3114" i="2"/>
  <c r="AM3114" i="2"/>
  <c r="AL3114" i="2"/>
  <c r="AK3114" i="2"/>
  <c r="AN3113" i="2"/>
  <c r="AM3113" i="2"/>
  <c r="AL3113" i="2"/>
  <c r="AK3113" i="2"/>
  <c r="AN3112" i="2"/>
  <c r="AM3112" i="2"/>
  <c r="AL3112" i="2"/>
  <c r="AK3112" i="2"/>
  <c r="AN3111" i="2"/>
  <c r="AM3111" i="2"/>
  <c r="AL3111" i="2"/>
  <c r="AK3111" i="2"/>
  <c r="AN3110" i="2"/>
  <c r="AM3110" i="2"/>
  <c r="AL3110" i="2"/>
  <c r="AK3110" i="2"/>
  <c r="AN3109" i="2"/>
  <c r="AM3109" i="2"/>
  <c r="AL3109" i="2"/>
  <c r="AK3109" i="2"/>
  <c r="AN3108" i="2"/>
  <c r="AM3108" i="2"/>
  <c r="AL3108" i="2"/>
  <c r="AK3108" i="2"/>
  <c r="AN3107" i="2"/>
  <c r="AM3107" i="2"/>
  <c r="AL3107" i="2"/>
  <c r="AK3107" i="2"/>
  <c r="AN3106" i="2"/>
  <c r="AM3106" i="2"/>
  <c r="AL3106" i="2"/>
  <c r="AK3106" i="2"/>
  <c r="AN3105" i="2"/>
  <c r="AM3105" i="2"/>
  <c r="AL3105" i="2"/>
  <c r="AK3105" i="2"/>
  <c r="AN3104" i="2"/>
  <c r="AM3104" i="2"/>
  <c r="AL3104" i="2"/>
  <c r="AK3104" i="2"/>
  <c r="AN3103" i="2"/>
  <c r="AM3103" i="2"/>
  <c r="AL3103" i="2"/>
  <c r="AK3103" i="2"/>
  <c r="AN3102" i="2"/>
  <c r="AM3102" i="2"/>
  <c r="AL3102" i="2"/>
  <c r="AK3102" i="2"/>
  <c r="AN3101" i="2"/>
  <c r="AM3101" i="2"/>
  <c r="AL3101" i="2"/>
  <c r="AK3101" i="2"/>
  <c r="AN3100" i="2"/>
  <c r="AM3100" i="2"/>
  <c r="AL3100" i="2"/>
  <c r="AK3100" i="2"/>
  <c r="AN3099" i="2"/>
  <c r="AM3099" i="2"/>
  <c r="AL3099" i="2"/>
  <c r="AK3099" i="2"/>
  <c r="AN3098" i="2"/>
  <c r="AM3098" i="2"/>
  <c r="AL3098" i="2"/>
  <c r="AK3098" i="2"/>
  <c r="AN3097" i="2"/>
  <c r="AM3097" i="2"/>
  <c r="AL3097" i="2"/>
  <c r="AK3097" i="2"/>
  <c r="AN3096" i="2"/>
  <c r="AM3096" i="2"/>
  <c r="AL3096" i="2"/>
  <c r="AK3096" i="2"/>
  <c r="AN3095" i="2"/>
  <c r="AM3095" i="2"/>
  <c r="AL3095" i="2"/>
  <c r="AK3095" i="2"/>
  <c r="AN3094" i="2"/>
  <c r="AM3094" i="2"/>
  <c r="AL3094" i="2"/>
  <c r="AK3094" i="2"/>
  <c r="AN3093" i="2"/>
  <c r="AM3093" i="2"/>
  <c r="AL3093" i="2"/>
  <c r="AK3093" i="2"/>
  <c r="AN3092" i="2"/>
  <c r="AM3092" i="2"/>
  <c r="AL3092" i="2"/>
  <c r="AK3092" i="2"/>
  <c r="AN3091" i="2"/>
  <c r="AM3091" i="2"/>
  <c r="AL3091" i="2"/>
  <c r="AK3091" i="2"/>
  <c r="AN3090" i="2"/>
  <c r="AM3090" i="2"/>
  <c r="AL3090" i="2"/>
  <c r="AK3090" i="2"/>
  <c r="AN3089" i="2"/>
  <c r="AM3089" i="2"/>
  <c r="AL3089" i="2"/>
  <c r="AK3089" i="2"/>
  <c r="AN3088" i="2"/>
  <c r="AM3088" i="2"/>
  <c r="AL3088" i="2"/>
  <c r="AK3088" i="2"/>
  <c r="AN3087" i="2"/>
  <c r="AM3087" i="2"/>
  <c r="AL3087" i="2"/>
  <c r="AK3087" i="2"/>
  <c r="AN3086" i="2"/>
  <c r="AM3086" i="2"/>
  <c r="AL3086" i="2"/>
  <c r="AK3086" i="2"/>
  <c r="AN3085" i="2"/>
  <c r="AM3085" i="2"/>
  <c r="AL3085" i="2"/>
  <c r="AK3085" i="2"/>
  <c r="AN3084" i="2"/>
  <c r="AM3084" i="2"/>
  <c r="AL3084" i="2"/>
  <c r="AK3084" i="2"/>
  <c r="AN3083" i="2"/>
  <c r="AM3083" i="2"/>
  <c r="AL3083" i="2"/>
  <c r="AK3083" i="2"/>
  <c r="AN3082" i="2"/>
  <c r="AM3082" i="2"/>
  <c r="AL3082" i="2"/>
  <c r="AK3082" i="2"/>
  <c r="AN3081" i="2"/>
  <c r="AM3081" i="2"/>
  <c r="AL3081" i="2"/>
  <c r="AK3081" i="2"/>
  <c r="AN3080" i="2"/>
  <c r="AM3080" i="2"/>
  <c r="AL3080" i="2"/>
  <c r="AK3080" i="2"/>
  <c r="AN3079" i="2"/>
  <c r="AM3079" i="2"/>
  <c r="AL3079" i="2"/>
  <c r="AK3079" i="2"/>
  <c r="AN3078" i="2"/>
  <c r="AM3078" i="2"/>
  <c r="AL3078" i="2"/>
  <c r="AK3078" i="2"/>
  <c r="AN3077" i="2"/>
  <c r="AM3077" i="2"/>
  <c r="AL3077" i="2"/>
  <c r="AK3077" i="2"/>
  <c r="AN3076" i="2"/>
  <c r="AM3076" i="2"/>
  <c r="AL3076" i="2"/>
  <c r="AK3076" i="2"/>
  <c r="AN3075" i="2"/>
  <c r="AM3075" i="2"/>
  <c r="AL3075" i="2"/>
  <c r="AK3075" i="2"/>
  <c r="AN3074" i="2"/>
  <c r="AM3074" i="2"/>
  <c r="AL3074" i="2"/>
  <c r="AK3074" i="2"/>
  <c r="AN3073" i="2"/>
  <c r="AM3073" i="2"/>
  <c r="AL3073" i="2"/>
  <c r="AK3073" i="2"/>
  <c r="AN3072" i="2"/>
  <c r="AM3072" i="2"/>
  <c r="AL3072" i="2"/>
  <c r="AK3072" i="2"/>
  <c r="AN3071" i="2"/>
  <c r="AM3071" i="2"/>
  <c r="AL3071" i="2"/>
  <c r="AK3071" i="2"/>
  <c r="AN3070" i="2"/>
  <c r="AM3070" i="2"/>
  <c r="AL3070" i="2"/>
  <c r="AK3070" i="2"/>
  <c r="AN3069" i="2"/>
  <c r="AM3069" i="2"/>
  <c r="AL3069" i="2"/>
  <c r="AK3069" i="2"/>
  <c r="AN3068" i="2"/>
  <c r="AM3068" i="2"/>
  <c r="AL3068" i="2"/>
  <c r="AK3068" i="2"/>
  <c r="AN3067" i="2"/>
  <c r="AM3067" i="2"/>
  <c r="AL3067" i="2"/>
  <c r="AK3067" i="2"/>
  <c r="AN3066" i="2"/>
  <c r="AM3066" i="2"/>
  <c r="AL3066" i="2"/>
  <c r="AK3066" i="2"/>
  <c r="AN3065" i="2"/>
  <c r="AM3065" i="2"/>
  <c r="AL3065" i="2"/>
  <c r="AK3065" i="2"/>
  <c r="AN3064" i="2"/>
  <c r="AM3064" i="2"/>
  <c r="AL3064" i="2"/>
  <c r="AK3064" i="2"/>
  <c r="AN3063" i="2"/>
  <c r="AM3063" i="2"/>
  <c r="AL3063" i="2"/>
  <c r="AK3063" i="2"/>
  <c r="AN3062" i="2"/>
  <c r="AM3062" i="2"/>
  <c r="AL3062" i="2"/>
  <c r="AK3062" i="2"/>
  <c r="AN3061" i="2"/>
  <c r="AM3061" i="2"/>
  <c r="AL3061" i="2"/>
  <c r="AK3061" i="2"/>
  <c r="AN3060" i="2"/>
  <c r="AM3060" i="2"/>
  <c r="AL3060" i="2"/>
  <c r="AK3060" i="2"/>
  <c r="AN3059" i="2"/>
  <c r="AM3059" i="2"/>
  <c r="AL3059" i="2"/>
  <c r="AK3059" i="2"/>
  <c r="AN3058" i="2"/>
  <c r="AM3058" i="2"/>
  <c r="AL3058" i="2"/>
  <c r="AK3058" i="2"/>
  <c r="AN3057" i="2"/>
  <c r="AM3057" i="2"/>
  <c r="AL3057" i="2"/>
  <c r="AK3057" i="2"/>
  <c r="AN3056" i="2"/>
  <c r="AM3056" i="2"/>
  <c r="AL3056" i="2"/>
  <c r="AK3056" i="2"/>
  <c r="AN3055" i="2"/>
  <c r="AM3055" i="2"/>
  <c r="AL3055" i="2"/>
  <c r="AK3055" i="2"/>
  <c r="AN3054" i="2"/>
  <c r="AM3054" i="2"/>
  <c r="AL3054" i="2"/>
  <c r="AK3054" i="2"/>
  <c r="AN3053" i="2"/>
  <c r="AM3053" i="2"/>
  <c r="AL3053" i="2"/>
  <c r="AK3053" i="2"/>
  <c r="AN3052" i="2"/>
  <c r="AM3052" i="2"/>
  <c r="AL3052" i="2"/>
  <c r="AK3052" i="2"/>
  <c r="AN3051" i="2"/>
  <c r="AM3051" i="2"/>
  <c r="AL3051" i="2"/>
  <c r="AK3051" i="2"/>
  <c r="AN3050" i="2"/>
  <c r="AM3050" i="2"/>
  <c r="AL3050" i="2"/>
  <c r="AK3050" i="2"/>
  <c r="AN3049" i="2"/>
  <c r="AM3049" i="2"/>
  <c r="AL3049" i="2"/>
  <c r="AK3049" i="2"/>
  <c r="AN3048" i="2"/>
  <c r="AM3048" i="2"/>
  <c r="AL3048" i="2"/>
  <c r="AK3048" i="2"/>
  <c r="AN3047" i="2"/>
  <c r="AM3047" i="2"/>
  <c r="AL3047" i="2"/>
  <c r="AK3047" i="2"/>
  <c r="AN3046" i="2"/>
  <c r="AM3046" i="2"/>
  <c r="AL3046" i="2"/>
  <c r="AK3046" i="2"/>
  <c r="AN3045" i="2"/>
  <c r="AM3045" i="2"/>
  <c r="AL3045" i="2"/>
  <c r="AK3045" i="2"/>
  <c r="AN3044" i="2"/>
  <c r="AM3044" i="2"/>
  <c r="AL3044" i="2"/>
  <c r="AK3044" i="2"/>
  <c r="AN3043" i="2"/>
  <c r="AM3043" i="2"/>
  <c r="AL3043" i="2"/>
  <c r="AK3043" i="2"/>
  <c r="AN3042" i="2"/>
  <c r="AM3042" i="2"/>
  <c r="AL3042" i="2"/>
  <c r="AK3042" i="2"/>
  <c r="AN3041" i="2"/>
  <c r="AM3041" i="2"/>
  <c r="AL3041" i="2"/>
  <c r="AK3041" i="2"/>
  <c r="AN3040" i="2"/>
  <c r="AM3040" i="2"/>
  <c r="AL3040" i="2"/>
  <c r="AK3040" i="2"/>
  <c r="AN3039" i="2"/>
  <c r="AM3039" i="2"/>
  <c r="AL3039" i="2"/>
  <c r="AK3039" i="2"/>
  <c r="AN3038" i="2"/>
  <c r="AM3038" i="2"/>
  <c r="AL3038" i="2"/>
  <c r="AK3038" i="2"/>
  <c r="AN3037" i="2"/>
  <c r="AM3037" i="2"/>
  <c r="AL3037" i="2"/>
  <c r="AK3037" i="2"/>
  <c r="AN3036" i="2"/>
  <c r="AM3036" i="2"/>
  <c r="AL3036" i="2"/>
  <c r="AK3036" i="2"/>
  <c r="AN3035" i="2"/>
  <c r="AM3035" i="2"/>
  <c r="AL3035" i="2"/>
  <c r="AK3035" i="2"/>
  <c r="AN3034" i="2"/>
  <c r="AM3034" i="2"/>
  <c r="AL3034" i="2"/>
  <c r="AK3034" i="2"/>
  <c r="AN3033" i="2"/>
  <c r="AM3033" i="2"/>
  <c r="AL3033" i="2"/>
  <c r="AK3033" i="2"/>
  <c r="AN3032" i="2"/>
  <c r="AM3032" i="2"/>
  <c r="AL3032" i="2"/>
  <c r="AK3032" i="2"/>
  <c r="AN3031" i="2"/>
  <c r="AM3031" i="2"/>
  <c r="AL3031" i="2"/>
  <c r="AK3031" i="2"/>
  <c r="AN3030" i="2"/>
  <c r="AM3030" i="2"/>
  <c r="AL3030" i="2"/>
  <c r="AK3030" i="2"/>
  <c r="AN3029" i="2"/>
  <c r="AM3029" i="2"/>
  <c r="AL3029" i="2"/>
  <c r="AK3029" i="2"/>
  <c r="AN3028" i="2"/>
  <c r="AM3028" i="2"/>
  <c r="AL3028" i="2"/>
  <c r="AK3028" i="2"/>
  <c r="AN3027" i="2"/>
  <c r="AM3027" i="2"/>
  <c r="AL3027" i="2"/>
  <c r="AK3027" i="2"/>
  <c r="AN3026" i="2"/>
  <c r="AM3026" i="2"/>
  <c r="AL3026" i="2"/>
  <c r="AK3026" i="2"/>
  <c r="AN3025" i="2"/>
  <c r="AM3025" i="2"/>
  <c r="AL3025" i="2"/>
  <c r="AK3025" i="2"/>
  <c r="AN3024" i="2"/>
  <c r="AM3024" i="2"/>
  <c r="AL3024" i="2"/>
  <c r="AK3024" i="2"/>
  <c r="AN3023" i="2"/>
  <c r="AM3023" i="2"/>
  <c r="AL3023" i="2"/>
  <c r="AK3023" i="2"/>
  <c r="AN3022" i="2"/>
  <c r="AM3022" i="2"/>
  <c r="AL3022" i="2"/>
  <c r="AK3022" i="2"/>
  <c r="AN3021" i="2"/>
  <c r="AM3021" i="2"/>
  <c r="AL3021" i="2"/>
  <c r="AK3021" i="2"/>
  <c r="AN3020" i="2"/>
  <c r="AM3020" i="2"/>
  <c r="AL3020" i="2"/>
  <c r="AK3020" i="2"/>
  <c r="AN3019" i="2"/>
  <c r="AM3019" i="2"/>
  <c r="AL3019" i="2"/>
  <c r="AK3019" i="2"/>
  <c r="AN3018" i="2"/>
  <c r="AM3018" i="2"/>
  <c r="AL3018" i="2"/>
  <c r="AK3018" i="2"/>
  <c r="AN3017" i="2"/>
  <c r="AM3017" i="2"/>
  <c r="AL3017" i="2"/>
  <c r="AK3017" i="2"/>
  <c r="AN3016" i="2"/>
  <c r="AM3016" i="2"/>
  <c r="AL3016" i="2"/>
  <c r="AK3016" i="2"/>
  <c r="AN3015" i="2"/>
  <c r="AM3015" i="2"/>
  <c r="AL3015" i="2"/>
  <c r="AK3015" i="2"/>
  <c r="AN3014" i="2"/>
  <c r="AM3014" i="2"/>
  <c r="AL3014" i="2"/>
  <c r="AK3014" i="2"/>
  <c r="AN3013" i="2"/>
  <c r="AM3013" i="2"/>
  <c r="AL3013" i="2"/>
  <c r="AK3013" i="2"/>
  <c r="AN3012" i="2"/>
  <c r="AM3012" i="2"/>
  <c r="AL3012" i="2"/>
  <c r="AK3012" i="2"/>
  <c r="AN3011" i="2"/>
  <c r="AM3011" i="2"/>
  <c r="AL3011" i="2"/>
  <c r="AK3011" i="2"/>
  <c r="AN3010" i="2"/>
  <c r="AM3010" i="2"/>
  <c r="AL3010" i="2"/>
  <c r="AK3010" i="2"/>
  <c r="AN3009" i="2"/>
  <c r="AM3009" i="2"/>
  <c r="AL3009" i="2"/>
  <c r="AK3009" i="2"/>
  <c r="AN3008" i="2"/>
  <c r="AM3008" i="2"/>
  <c r="AL3008" i="2"/>
  <c r="AK3008" i="2"/>
  <c r="AN3007" i="2"/>
  <c r="AM3007" i="2"/>
  <c r="AL3007" i="2"/>
  <c r="AK3007" i="2"/>
  <c r="AN3006" i="2"/>
  <c r="AM3006" i="2"/>
  <c r="AL3006" i="2"/>
  <c r="AK3006" i="2"/>
  <c r="AN3005" i="2"/>
  <c r="AM3005" i="2"/>
  <c r="AL3005" i="2"/>
  <c r="AK3005" i="2"/>
  <c r="AN3004" i="2"/>
  <c r="AM3004" i="2"/>
  <c r="AL3004" i="2"/>
  <c r="AK3004" i="2"/>
  <c r="AN3003" i="2"/>
  <c r="AM3003" i="2"/>
  <c r="AL3003" i="2"/>
  <c r="AK3003" i="2"/>
  <c r="AN3002" i="2"/>
  <c r="AM3002" i="2"/>
  <c r="AL3002" i="2"/>
  <c r="AK3002" i="2"/>
  <c r="AN3001" i="2"/>
  <c r="AM3001" i="2"/>
  <c r="AL3001" i="2"/>
  <c r="AK3001" i="2"/>
  <c r="AN3000" i="2"/>
  <c r="AM3000" i="2"/>
  <c r="AL3000" i="2"/>
  <c r="AK3000" i="2"/>
  <c r="AN2999" i="2"/>
  <c r="AM2999" i="2"/>
  <c r="AL2999" i="2"/>
  <c r="AK2999" i="2"/>
  <c r="AN2998" i="2"/>
  <c r="AM2998" i="2"/>
  <c r="AL2998" i="2"/>
  <c r="AK2998" i="2"/>
  <c r="AN2997" i="2"/>
  <c r="AM2997" i="2"/>
  <c r="AL2997" i="2"/>
  <c r="AK2997" i="2"/>
  <c r="AN2996" i="2"/>
  <c r="AM2996" i="2"/>
  <c r="AL2996" i="2"/>
  <c r="AK2996" i="2"/>
  <c r="AN2995" i="2"/>
  <c r="AM2995" i="2"/>
  <c r="AL2995" i="2"/>
  <c r="AK2995" i="2"/>
  <c r="AN2994" i="2"/>
  <c r="AM2994" i="2"/>
  <c r="AL2994" i="2"/>
  <c r="AK2994" i="2"/>
  <c r="AN2993" i="2"/>
  <c r="AM2993" i="2"/>
  <c r="AL2993" i="2"/>
  <c r="AK2993" i="2"/>
  <c r="AN2992" i="2"/>
  <c r="AM2992" i="2"/>
  <c r="AL2992" i="2"/>
  <c r="AK2992" i="2"/>
  <c r="AN2991" i="2"/>
  <c r="AM2991" i="2"/>
  <c r="AL2991" i="2"/>
  <c r="AK2991" i="2"/>
  <c r="AN2990" i="2"/>
  <c r="AM2990" i="2"/>
  <c r="AL2990" i="2"/>
  <c r="AK2990" i="2"/>
  <c r="AN2989" i="2"/>
  <c r="AM2989" i="2"/>
  <c r="AL2989" i="2"/>
  <c r="AK2989" i="2"/>
  <c r="AN2988" i="2"/>
  <c r="AM2988" i="2"/>
  <c r="AL2988" i="2"/>
  <c r="AK2988" i="2"/>
  <c r="AN2987" i="2"/>
  <c r="AM2987" i="2"/>
  <c r="AL2987" i="2"/>
  <c r="AK2987" i="2"/>
  <c r="AN2986" i="2"/>
  <c r="AM2986" i="2"/>
  <c r="AL2986" i="2"/>
  <c r="AK2986" i="2"/>
  <c r="AN2985" i="2"/>
  <c r="AM2985" i="2"/>
  <c r="AL2985" i="2"/>
  <c r="AK2985" i="2"/>
  <c r="AN2984" i="2"/>
  <c r="AM2984" i="2"/>
  <c r="AL2984" i="2"/>
  <c r="AK2984" i="2"/>
  <c r="AN2983" i="2"/>
  <c r="AM2983" i="2"/>
  <c r="AL2983" i="2"/>
  <c r="AK2983" i="2"/>
  <c r="AN2982" i="2"/>
  <c r="AM2982" i="2"/>
  <c r="AL2982" i="2"/>
  <c r="AK2982" i="2"/>
  <c r="AN2981" i="2"/>
  <c r="AM2981" i="2"/>
  <c r="AL2981" i="2"/>
  <c r="AK2981" i="2"/>
  <c r="AN2980" i="2"/>
  <c r="AM2980" i="2"/>
  <c r="AL2980" i="2"/>
  <c r="AK2980" i="2"/>
  <c r="AN2979" i="2"/>
  <c r="AM2979" i="2"/>
  <c r="AL2979" i="2"/>
  <c r="AK2979" i="2"/>
  <c r="AN2978" i="2"/>
  <c r="AM2978" i="2"/>
  <c r="AL2978" i="2"/>
  <c r="AK2978" i="2"/>
  <c r="AN2977" i="2"/>
  <c r="AM2977" i="2"/>
  <c r="AL2977" i="2"/>
  <c r="AK2977" i="2"/>
  <c r="AN2976" i="2"/>
  <c r="AM2976" i="2"/>
  <c r="AL2976" i="2"/>
  <c r="AK2976" i="2"/>
  <c r="AN2975" i="2"/>
  <c r="AM2975" i="2"/>
  <c r="AL2975" i="2"/>
  <c r="AK2975" i="2"/>
  <c r="AN2974" i="2"/>
  <c r="AM2974" i="2"/>
  <c r="AL2974" i="2"/>
  <c r="AK2974" i="2"/>
  <c r="AN2973" i="2"/>
  <c r="AM2973" i="2"/>
  <c r="AL2973" i="2"/>
  <c r="AK2973" i="2"/>
  <c r="AN2972" i="2"/>
  <c r="AM2972" i="2"/>
  <c r="AL2972" i="2"/>
  <c r="AK2972" i="2"/>
  <c r="AN2971" i="2"/>
  <c r="AM2971" i="2"/>
  <c r="AL2971" i="2"/>
  <c r="AK2971" i="2"/>
  <c r="AN2970" i="2"/>
  <c r="AM2970" i="2"/>
  <c r="AL2970" i="2"/>
  <c r="AK2970" i="2"/>
  <c r="AN2969" i="2"/>
  <c r="AM2969" i="2"/>
  <c r="AL2969" i="2"/>
  <c r="AK2969" i="2"/>
  <c r="AN2968" i="2"/>
  <c r="AM2968" i="2"/>
  <c r="AL2968" i="2"/>
  <c r="AK2968" i="2"/>
  <c r="AN2967" i="2"/>
  <c r="AM2967" i="2"/>
  <c r="AL2967" i="2"/>
  <c r="AK2967" i="2"/>
  <c r="AN2966" i="2"/>
  <c r="AM2966" i="2"/>
  <c r="AL2966" i="2"/>
  <c r="AK2966" i="2"/>
  <c r="AN2965" i="2"/>
  <c r="AM2965" i="2"/>
  <c r="AL2965" i="2"/>
  <c r="AK2965" i="2"/>
  <c r="AN2964" i="2"/>
  <c r="AM2964" i="2"/>
  <c r="AL2964" i="2"/>
  <c r="AK2964" i="2"/>
  <c r="AN2963" i="2"/>
  <c r="AM2963" i="2"/>
  <c r="AL2963" i="2"/>
  <c r="AK2963" i="2"/>
  <c r="AN2962" i="2"/>
  <c r="AM2962" i="2"/>
  <c r="AL2962" i="2"/>
  <c r="AK2962" i="2"/>
  <c r="AN2961" i="2"/>
  <c r="AM2961" i="2"/>
  <c r="AL2961" i="2"/>
  <c r="AK2961" i="2"/>
  <c r="AN2960" i="2"/>
  <c r="AM2960" i="2"/>
  <c r="AL2960" i="2"/>
  <c r="AK2960" i="2"/>
  <c r="AN2959" i="2"/>
  <c r="AM2959" i="2"/>
  <c r="AL2959" i="2"/>
  <c r="AK2959" i="2"/>
  <c r="AN2958" i="2"/>
  <c r="AM2958" i="2"/>
  <c r="AL2958" i="2"/>
  <c r="AK2958" i="2"/>
  <c r="AN2957" i="2"/>
  <c r="AM2957" i="2"/>
  <c r="AL2957" i="2"/>
  <c r="AK2957" i="2"/>
  <c r="AN2956" i="2"/>
  <c r="AM2956" i="2"/>
  <c r="AL2956" i="2"/>
  <c r="AK2956" i="2"/>
  <c r="AN2955" i="2"/>
  <c r="AM2955" i="2"/>
  <c r="AL2955" i="2"/>
  <c r="AK2955" i="2"/>
  <c r="AN2954" i="2"/>
  <c r="AM2954" i="2"/>
  <c r="AL2954" i="2"/>
  <c r="AK2954" i="2"/>
  <c r="AN2953" i="2"/>
  <c r="AM2953" i="2"/>
  <c r="AL2953" i="2"/>
  <c r="AK2953" i="2"/>
  <c r="AN2952" i="2"/>
  <c r="AM2952" i="2"/>
  <c r="AL2952" i="2"/>
  <c r="AK2952" i="2"/>
  <c r="AN2951" i="2"/>
  <c r="AM2951" i="2"/>
  <c r="AL2951" i="2"/>
  <c r="AK2951" i="2"/>
  <c r="AN2950" i="2"/>
  <c r="AM2950" i="2"/>
  <c r="AL2950" i="2"/>
  <c r="AK2950" i="2"/>
  <c r="AN2949" i="2"/>
  <c r="AM2949" i="2"/>
  <c r="AL2949" i="2"/>
  <c r="AK2949" i="2"/>
  <c r="AN2948" i="2"/>
  <c r="AM2948" i="2"/>
  <c r="AL2948" i="2"/>
  <c r="AK2948" i="2"/>
  <c r="AN2947" i="2"/>
  <c r="AM2947" i="2"/>
  <c r="AL2947" i="2"/>
  <c r="AK2947" i="2"/>
  <c r="AN2946" i="2"/>
  <c r="AM2946" i="2"/>
  <c r="AL2946" i="2"/>
  <c r="AK2946" i="2"/>
  <c r="AN2945" i="2"/>
  <c r="AM2945" i="2"/>
  <c r="AL2945" i="2"/>
  <c r="AK2945" i="2"/>
  <c r="AN2944" i="2"/>
  <c r="AM2944" i="2"/>
  <c r="AL2944" i="2"/>
  <c r="AK2944" i="2"/>
  <c r="AN2943" i="2"/>
  <c r="AM2943" i="2"/>
  <c r="AL2943" i="2"/>
  <c r="AK2943" i="2"/>
  <c r="AN2942" i="2"/>
  <c r="AM2942" i="2"/>
  <c r="AL2942" i="2"/>
  <c r="AK2942" i="2"/>
  <c r="AN2941" i="2"/>
  <c r="AM2941" i="2"/>
  <c r="AL2941" i="2"/>
  <c r="AK2941" i="2"/>
  <c r="AN2940" i="2"/>
  <c r="AM2940" i="2"/>
  <c r="AL2940" i="2"/>
  <c r="AK2940" i="2"/>
  <c r="AN2939" i="2"/>
  <c r="AM2939" i="2"/>
  <c r="AL2939" i="2"/>
  <c r="AK2939" i="2"/>
  <c r="AN2938" i="2"/>
  <c r="AM2938" i="2"/>
  <c r="AL2938" i="2"/>
  <c r="AK2938" i="2"/>
  <c r="AN2937" i="2"/>
  <c r="AM2937" i="2"/>
  <c r="AL2937" i="2"/>
  <c r="AK2937" i="2"/>
  <c r="AN2936" i="2"/>
  <c r="AM2936" i="2"/>
  <c r="AL2936" i="2"/>
  <c r="AK2936" i="2"/>
  <c r="AN2935" i="2"/>
  <c r="AM2935" i="2"/>
  <c r="AL2935" i="2"/>
  <c r="AK2935" i="2"/>
  <c r="AN2934" i="2"/>
  <c r="AM2934" i="2"/>
  <c r="AL2934" i="2"/>
  <c r="AK2934" i="2"/>
  <c r="AN2933" i="2"/>
  <c r="AM2933" i="2"/>
  <c r="AL2933" i="2"/>
  <c r="AK2933" i="2"/>
  <c r="AN2932" i="2"/>
  <c r="AM2932" i="2"/>
  <c r="AL2932" i="2"/>
  <c r="AK2932" i="2"/>
  <c r="AN2931" i="2"/>
  <c r="AM2931" i="2"/>
  <c r="AL2931" i="2"/>
  <c r="AK2931" i="2"/>
  <c r="AN2930" i="2"/>
  <c r="AM2930" i="2"/>
  <c r="AL2930" i="2"/>
  <c r="AK2930" i="2"/>
  <c r="AN2929" i="2"/>
  <c r="AM2929" i="2"/>
  <c r="AL2929" i="2"/>
  <c r="AK2929" i="2"/>
  <c r="AN2928" i="2"/>
  <c r="AM2928" i="2"/>
  <c r="AL2928" i="2"/>
  <c r="AK2928" i="2"/>
  <c r="AN2927" i="2"/>
  <c r="AM2927" i="2"/>
  <c r="AL2927" i="2"/>
  <c r="AK2927" i="2"/>
  <c r="AN2926" i="2"/>
  <c r="AM2926" i="2"/>
  <c r="AL2926" i="2"/>
  <c r="AK2926" i="2"/>
  <c r="AN2925" i="2"/>
  <c r="AM2925" i="2"/>
  <c r="AL2925" i="2"/>
  <c r="AK2925" i="2"/>
  <c r="AN2924" i="2"/>
  <c r="AM2924" i="2"/>
  <c r="AL2924" i="2"/>
  <c r="AK2924" i="2"/>
  <c r="AN2923" i="2"/>
  <c r="AM2923" i="2"/>
  <c r="AL2923" i="2"/>
  <c r="AK2923" i="2"/>
  <c r="AN2922" i="2"/>
  <c r="AM2922" i="2"/>
  <c r="AL2922" i="2"/>
  <c r="AK2922" i="2"/>
  <c r="AN2921" i="2"/>
  <c r="AM2921" i="2"/>
  <c r="AL2921" i="2"/>
  <c r="AK2921" i="2"/>
  <c r="AN2920" i="2"/>
  <c r="AM2920" i="2"/>
  <c r="AL2920" i="2"/>
  <c r="AK2920" i="2"/>
  <c r="AN2919" i="2"/>
  <c r="AM2919" i="2"/>
  <c r="AL2919" i="2"/>
  <c r="AK2919" i="2"/>
  <c r="AN2918" i="2"/>
  <c r="AM2918" i="2"/>
  <c r="AL2918" i="2"/>
  <c r="AK2918" i="2"/>
  <c r="AN2917" i="2"/>
  <c r="AM2917" i="2"/>
  <c r="AL2917" i="2"/>
  <c r="AK2917" i="2"/>
  <c r="AN2916" i="2"/>
  <c r="AM2916" i="2"/>
  <c r="AL2916" i="2"/>
  <c r="AK2916" i="2"/>
  <c r="AN2915" i="2"/>
  <c r="AM2915" i="2"/>
  <c r="AL2915" i="2"/>
  <c r="AK2915" i="2"/>
  <c r="AN2914" i="2"/>
  <c r="AM2914" i="2"/>
  <c r="AL2914" i="2"/>
  <c r="AK2914" i="2"/>
  <c r="AN2913" i="2"/>
  <c r="AM2913" i="2"/>
  <c r="AL2913" i="2"/>
  <c r="AK2913" i="2"/>
  <c r="AN2912" i="2"/>
  <c r="AM2912" i="2"/>
  <c r="AL2912" i="2"/>
  <c r="AK2912" i="2"/>
  <c r="AN2911" i="2"/>
  <c r="AM2911" i="2"/>
  <c r="AL2911" i="2"/>
  <c r="AK2911" i="2"/>
  <c r="AN2910" i="2"/>
  <c r="AM2910" i="2"/>
  <c r="AL2910" i="2"/>
  <c r="AK2910" i="2"/>
  <c r="AN2909" i="2"/>
  <c r="AM2909" i="2"/>
  <c r="AL2909" i="2"/>
  <c r="AK2909" i="2"/>
  <c r="AN2908" i="2"/>
  <c r="AM2908" i="2"/>
  <c r="AL2908" i="2"/>
  <c r="AK2908" i="2"/>
  <c r="AN2907" i="2"/>
  <c r="AM2907" i="2"/>
  <c r="AL2907" i="2"/>
  <c r="AK2907" i="2"/>
  <c r="AN2906" i="2"/>
  <c r="AM2906" i="2"/>
  <c r="AL2906" i="2"/>
  <c r="AK2906" i="2"/>
  <c r="AN2905" i="2"/>
  <c r="AM2905" i="2"/>
  <c r="AL2905" i="2"/>
  <c r="AK2905" i="2"/>
  <c r="AN2904" i="2"/>
  <c r="AM2904" i="2"/>
  <c r="AL2904" i="2"/>
  <c r="AK2904" i="2"/>
  <c r="AN2903" i="2"/>
  <c r="AM2903" i="2"/>
  <c r="AL2903" i="2"/>
  <c r="AK2903" i="2"/>
  <c r="AN2902" i="2"/>
  <c r="AM2902" i="2"/>
  <c r="AL2902" i="2"/>
  <c r="AK2902" i="2"/>
  <c r="AN2901" i="2"/>
  <c r="AM2901" i="2"/>
  <c r="AL2901" i="2"/>
  <c r="AK2901" i="2"/>
  <c r="AN2900" i="2"/>
  <c r="AM2900" i="2"/>
  <c r="AL2900" i="2"/>
  <c r="AK2900" i="2"/>
  <c r="AN2899" i="2"/>
  <c r="AM2899" i="2"/>
  <c r="AL2899" i="2"/>
  <c r="AK2899" i="2"/>
  <c r="AN2898" i="2"/>
  <c r="AM2898" i="2"/>
  <c r="AL2898" i="2"/>
  <c r="AK2898" i="2"/>
  <c r="AN2897" i="2"/>
  <c r="AM2897" i="2"/>
  <c r="AL2897" i="2"/>
  <c r="AK2897" i="2"/>
  <c r="AN2896" i="2"/>
  <c r="AM2896" i="2"/>
  <c r="AL2896" i="2"/>
  <c r="AK2896" i="2"/>
  <c r="AN2895" i="2"/>
  <c r="AM2895" i="2"/>
  <c r="AL2895" i="2"/>
  <c r="AK2895" i="2"/>
  <c r="AN2894" i="2"/>
  <c r="AM2894" i="2"/>
  <c r="AL2894" i="2"/>
  <c r="AK2894" i="2"/>
  <c r="AN2893" i="2"/>
  <c r="AM2893" i="2"/>
  <c r="AL2893" i="2"/>
  <c r="AK2893" i="2"/>
  <c r="AN2892" i="2"/>
  <c r="AM2892" i="2"/>
  <c r="AL2892" i="2"/>
  <c r="AK2892" i="2"/>
  <c r="AN2891" i="2"/>
  <c r="AM2891" i="2"/>
  <c r="AL2891" i="2"/>
  <c r="AK2891" i="2"/>
  <c r="AN2890" i="2"/>
  <c r="AM2890" i="2"/>
  <c r="AL2890" i="2"/>
  <c r="AK2890" i="2"/>
  <c r="AN2889" i="2"/>
  <c r="AM2889" i="2"/>
  <c r="AL2889" i="2"/>
  <c r="AK2889" i="2"/>
  <c r="AN2888" i="2"/>
  <c r="AM2888" i="2"/>
  <c r="AL2888" i="2"/>
  <c r="AK2888" i="2"/>
  <c r="AN2887" i="2"/>
  <c r="AM2887" i="2"/>
  <c r="AL2887" i="2"/>
  <c r="AK2887" i="2"/>
  <c r="AN2886" i="2"/>
  <c r="AM2886" i="2"/>
  <c r="AL2886" i="2"/>
  <c r="AK2886" i="2"/>
  <c r="AN2885" i="2"/>
  <c r="AM2885" i="2"/>
  <c r="AL2885" i="2"/>
  <c r="AK2885" i="2"/>
  <c r="AN2884" i="2"/>
  <c r="AM2884" i="2"/>
  <c r="AL2884" i="2"/>
  <c r="AK2884" i="2"/>
  <c r="AN2883" i="2"/>
  <c r="AM2883" i="2"/>
  <c r="AL2883" i="2"/>
  <c r="AK2883" i="2"/>
  <c r="AN2882" i="2"/>
  <c r="AM2882" i="2"/>
  <c r="AL2882" i="2"/>
  <c r="AK2882" i="2"/>
  <c r="AN2881" i="2"/>
  <c r="AM2881" i="2"/>
  <c r="AL2881" i="2"/>
  <c r="AK2881" i="2"/>
  <c r="AN2880" i="2"/>
  <c r="AM2880" i="2"/>
  <c r="AL2880" i="2"/>
  <c r="AK2880" i="2"/>
  <c r="AN2879" i="2"/>
  <c r="AM2879" i="2"/>
  <c r="AL2879" i="2"/>
  <c r="AK2879" i="2"/>
  <c r="AN2878" i="2"/>
  <c r="AM2878" i="2"/>
  <c r="AL2878" i="2"/>
  <c r="AK2878" i="2"/>
  <c r="AN2877" i="2"/>
  <c r="AM2877" i="2"/>
  <c r="AL2877" i="2"/>
  <c r="AK2877" i="2"/>
  <c r="AN2876" i="2"/>
  <c r="AM2876" i="2"/>
  <c r="AL2876" i="2"/>
  <c r="AK2876" i="2"/>
  <c r="AN2875" i="2"/>
  <c r="AM2875" i="2"/>
  <c r="AL2875" i="2"/>
  <c r="AK2875" i="2"/>
  <c r="AN2874" i="2"/>
  <c r="AM2874" i="2"/>
  <c r="AL2874" i="2"/>
  <c r="AK2874" i="2"/>
  <c r="AN2873" i="2"/>
  <c r="AM2873" i="2"/>
  <c r="AL2873" i="2"/>
  <c r="AK2873" i="2"/>
  <c r="AN2872" i="2"/>
  <c r="AM2872" i="2"/>
  <c r="AL2872" i="2"/>
  <c r="AK2872" i="2"/>
  <c r="AN2871" i="2"/>
  <c r="AM2871" i="2"/>
  <c r="AL2871" i="2"/>
  <c r="AK2871" i="2"/>
  <c r="AN2870" i="2"/>
  <c r="AM2870" i="2"/>
  <c r="AL2870" i="2"/>
  <c r="AK2870" i="2"/>
  <c r="AN2869" i="2"/>
  <c r="AM2869" i="2"/>
  <c r="AL2869" i="2"/>
  <c r="AK2869" i="2"/>
  <c r="AN2868" i="2"/>
  <c r="AM2868" i="2"/>
  <c r="AL2868" i="2"/>
  <c r="AK2868" i="2"/>
  <c r="AN2867" i="2"/>
  <c r="AM2867" i="2"/>
  <c r="AL2867" i="2"/>
  <c r="AK2867" i="2"/>
  <c r="AN2866" i="2"/>
  <c r="AM2866" i="2"/>
  <c r="AL2866" i="2"/>
  <c r="AK2866" i="2"/>
  <c r="AN2865" i="2"/>
  <c r="AM2865" i="2"/>
  <c r="AL2865" i="2"/>
  <c r="AK2865" i="2"/>
  <c r="AN2864" i="2"/>
  <c r="AM2864" i="2"/>
  <c r="AL2864" i="2"/>
  <c r="AK2864" i="2"/>
  <c r="AN2863" i="2"/>
  <c r="AM2863" i="2"/>
  <c r="AL2863" i="2"/>
  <c r="AK2863" i="2"/>
  <c r="AN2862" i="2"/>
  <c r="AM2862" i="2"/>
  <c r="AL2862" i="2"/>
  <c r="AK2862" i="2"/>
  <c r="AN2861" i="2"/>
  <c r="AM2861" i="2"/>
  <c r="AL2861" i="2"/>
  <c r="AK2861" i="2"/>
  <c r="AN2860" i="2"/>
  <c r="AM2860" i="2"/>
  <c r="AL2860" i="2"/>
  <c r="AK2860" i="2"/>
  <c r="AN2859" i="2"/>
  <c r="AM2859" i="2"/>
  <c r="AL2859" i="2"/>
  <c r="AK2859" i="2"/>
  <c r="AN2858" i="2"/>
  <c r="AM2858" i="2"/>
  <c r="AL2858" i="2"/>
  <c r="AK2858" i="2"/>
  <c r="AN2857" i="2"/>
  <c r="AM2857" i="2"/>
  <c r="AL2857" i="2"/>
  <c r="AK2857" i="2"/>
  <c r="AN2856" i="2"/>
  <c r="AM2856" i="2"/>
  <c r="AL2856" i="2"/>
  <c r="AK2856" i="2"/>
  <c r="AN2855" i="2"/>
  <c r="AM2855" i="2"/>
  <c r="AL2855" i="2"/>
  <c r="AK2855" i="2"/>
  <c r="AN2854" i="2"/>
  <c r="AM2854" i="2"/>
  <c r="AL2854" i="2"/>
  <c r="AK2854" i="2"/>
  <c r="AN2853" i="2"/>
  <c r="AM2853" i="2"/>
  <c r="AL2853" i="2"/>
  <c r="AK2853" i="2"/>
  <c r="AN2852" i="2"/>
  <c r="AM2852" i="2"/>
  <c r="AL2852" i="2"/>
  <c r="AK2852" i="2"/>
  <c r="AN2851" i="2"/>
  <c r="AM2851" i="2"/>
  <c r="AL2851" i="2"/>
  <c r="AK2851" i="2"/>
  <c r="AN2850" i="2"/>
  <c r="AM2850" i="2"/>
  <c r="AL2850" i="2"/>
  <c r="AK2850" i="2"/>
  <c r="AN2849" i="2"/>
  <c r="AM2849" i="2"/>
  <c r="AL2849" i="2"/>
  <c r="AK2849" i="2"/>
  <c r="AN2848" i="2"/>
  <c r="AM2848" i="2"/>
  <c r="AL2848" i="2"/>
  <c r="AK2848" i="2"/>
  <c r="AN2847" i="2"/>
  <c r="AM2847" i="2"/>
  <c r="AL2847" i="2"/>
  <c r="AK2847" i="2"/>
  <c r="AN2846" i="2"/>
  <c r="AM2846" i="2"/>
  <c r="AL2846" i="2"/>
  <c r="AK2846" i="2"/>
  <c r="AN2845" i="2"/>
  <c r="AM2845" i="2"/>
  <c r="AL2845" i="2"/>
  <c r="AK2845" i="2"/>
  <c r="AN2844" i="2"/>
  <c r="AM2844" i="2"/>
  <c r="AL2844" i="2"/>
  <c r="AK2844" i="2"/>
  <c r="AN2843" i="2"/>
  <c r="AM2843" i="2"/>
  <c r="AL2843" i="2"/>
  <c r="AK2843" i="2"/>
  <c r="AN2842" i="2"/>
  <c r="AM2842" i="2"/>
  <c r="AL2842" i="2"/>
  <c r="AK2842" i="2"/>
  <c r="AN2841" i="2"/>
  <c r="AM2841" i="2"/>
  <c r="AL2841" i="2"/>
  <c r="AK2841" i="2"/>
  <c r="AN2840" i="2"/>
  <c r="AM2840" i="2"/>
  <c r="AL2840" i="2"/>
  <c r="AK2840" i="2"/>
  <c r="AN2839" i="2"/>
  <c r="AM2839" i="2"/>
  <c r="AL2839" i="2"/>
  <c r="AK2839" i="2"/>
  <c r="AN2838" i="2"/>
  <c r="AM2838" i="2"/>
  <c r="AL2838" i="2"/>
  <c r="AK2838" i="2"/>
  <c r="AN2837" i="2"/>
  <c r="AM2837" i="2"/>
  <c r="AL2837" i="2"/>
  <c r="AK2837" i="2"/>
  <c r="AN2836" i="2"/>
  <c r="AM2836" i="2"/>
  <c r="AL2836" i="2"/>
  <c r="AK2836" i="2"/>
  <c r="AN2835" i="2"/>
  <c r="AM2835" i="2"/>
  <c r="AL2835" i="2"/>
  <c r="AK2835" i="2"/>
  <c r="AN2834" i="2"/>
  <c r="AM2834" i="2"/>
  <c r="AL2834" i="2"/>
  <c r="AK2834" i="2"/>
  <c r="AN2833" i="2"/>
  <c r="AM2833" i="2"/>
  <c r="AL2833" i="2"/>
  <c r="AK2833" i="2"/>
  <c r="AN2832" i="2"/>
  <c r="AM2832" i="2"/>
  <c r="AL2832" i="2"/>
  <c r="AK2832" i="2"/>
  <c r="AN2831" i="2"/>
  <c r="AM2831" i="2"/>
  <c r="AL2831" i="2"/>
  <c r="AK2831" i="2"/>
  <c r="AN2830" i="2"/>
  <c r="AM2830" i="2"/>
  <c r="AL2830" i="2"/>
  <c r="AK2830" i="2"/>
  <c r="AN2829" i="2"/>
  <c r="AM2829" i="2"/>
  <c r="AL2829" i="2"/>
  <c r="AK2829" i="2"/>
  <c r="AN2828" i="2"/>
  <c r="AM2828" i="2"/>
  <c r="AL2828" i="2"/>
  <c r="AK2828" i="2"/>
  <c r="AN2827" i="2"/>
  <c r="AM2827" i="2"/>
  <c r="AL2827" i="2"/>
  <c r="AK2827" i="2"/>
  <c r="AN2826" i="2"/>
  <c r="AM2826" i="2"/>
  <c r="AL2826" i="2"/>
  <c r="AK2826" i="2"/>
  <c r="AN2825" i="2"/>
  <c r="AM2825" i="2"/>
  <c r="AL2825" i="2"/>
  <c r="AK2825" i="2"/>
  <c r="AN2824" i="2"/>
  <c r="AM2824" i="2"/>
  <c r="AL2824" i="2"/>
  <c r="AK2824" i="2"/>
  <c r="AN2823" i="2"/>
  <c r="AM2823" i="2"/>
  <c r="AL2823" i="2"/>
  <c r="AK2823" i="2"/>
  <c r="AN2822" i="2"/>
  <c r="AM2822" i="2"/>
  <c r="AL2822" i="2"/>
  <c r="AK2822" i="2"/>
  <c r="AN2821" i="2"/>
  <c r="AM2821" i="2"/>
  <c r="AL2821" i="2"/>
  <c r="AK2821" i="2"/>
  <c r="AN2820" i="2"/>
  <c r="AM2820" i="2"/>
  <c r="AL2820" i="2"/>
  <c r="AK2820" i="2"/>
  <c r="AN2819" i="2"/>
  <c r="AM2819" i="2"/>
  <c r="AL2819" i="2"/>
  <c r="AK2819" i="2"/>
  <c r="AN2818" i="2"/>
  <c r="AM2818" i="2"/>
  <c r="AL2818" i="2"/>
  <c r="AK2818" i="2"/>
  <c r="AN2817" i="2"/>
  <c r="AM2817" i="2"/>
  <c r="AL2817" i="2"/>
  <c r="AK2817" i="2"/>
  <c r="AN2816" i="2"/>
  <c r="AM2816" i="2"/>
  <c r="AL2816" i="2"/>
  <c r="AK2816" i="2"/>
  <c r="AN2815" i="2"/>
  <c r="AM2815" i="2"/>
  <c r="AL2815" i="2"/>
  <c r="AK2815" i="2"/>
  <c r="AN2814" i="2"/>
  <c r="AM2814" i="2"/>
  <c r="AL2814" i="2"/>
  <c r="AK2814" i="2"/>
  <c r="AN2813" i="2"/>
  <c r="AM2813" i="2"/>
  <c r="AL2813" i="2"/>
  <c r="AK2813" i="2"/>
  <c r="AN2812" i="2"/>
  <c r="AM2812" i="2"/>
  <c r="AL2812" i="2"/>
  <c r="AK2812" i="2"/>
  <c r="AN2811" i="2"/>
  <c r="AM2811" i="2"/>
  <c r="AL2811" i="2"/>
  <c r="AK2811" i="2"/>
  <c r="AN2810" i="2"/>
  <c r="AM2810" i="2"/>
  <c r="AL2810" i="2"/>
  <c r="AK2810" i="2"/>
  <c r="AN2809" i="2"/>
  <c r="AM2809" i="2"/>
  <c r="AL2809" i="2"/>
  <c r="AK2809" i="2"/>
  <c r="AN2808" i="2"/>
  <c r="AM2808" i="2"/>
  <c r="AL2808" i="2"/>
  <c r="AK2808" i="2"/>
  <c r="AN2807" i="2"/>
  <c r="AM2807" i="2"/>
  <c r="AL2807" i="2"/>
  <c r="AK2807" i="2"/>
  <c r="AN2806" i="2"/>
  <c r="AM2806" i="2"/>
  <c r="AL2806" i="2"/>
  <c r="AK2806" i="2"/>
  <c r="AN2805" i="2"/>
  <c r="AM2805" i="2"/>
  <c r="AL2805" i="2"/>
  <c r="AK2805" i="2"/>
  <c r="AN2804" i="2"/>
  <c r="AM2804" i="2"/>
  <c r="AL2804" i="2"/>
  <c r="AK2804" i="2"/>
  <c r="AN2803" i="2"/>
  <c r="AM2803" i="2"/>
  <c r="AL2803" i="2"/>
  <c r="AK2803" i="2"/>
  <c r="AN2802" i="2"/>
  <c r="AM2802" i="2"/>
  <c r="AL2802" i="2"/>
  <c r="AK2802" i="2"/>
  <c r="AN2801" i="2"/>
  <c r="AM2801" i="2"/>
  <c r="AL2801" i="2"/>
  <c r="AK2801" i="2"/>
  <c r="AN2800" i="2"/>
  <c r="AM2800" i="2"/>
  <c r="AL2800" i="2"/>
  <c r="AK2800" i="2"/>
  <c r="AN2799" i="2"/>
  <c r="AM2799" i="2"/>
  <c r="AL2799" i="2"/>
  <c r="AK2799" i="2"/>
  <c r="AN2798" i="2"/>
  <c r="AM2798" i="2"/>
  <c r="AL2798" i="2"/>
  <c r="AK2798" i="2"/>
  <c r="AN2797" i="2"/>
  <c r="AM2797" i="2"/>
  <c r="AL2797" i="2"/>
  <c r="AK2797" i="2"/>
  <c r="AN2796" i="2"/>
  <c r="AM2796" i="2"/>
  <c r="AL2796" i="2"/>
  <c r="AK2796" i="2"/>
  <c r="AN2795" i="2"/>
  <c r="AM2795" i="2"/>
  <c r="AL2795" i="2"/>
  <c r="AK2795" i="2"/>
  <c r="AN2794" i="2"/>
  <c r="AM2794" i="2"/>
  <c r="AL2794" i="2"/>
  <c r="AK2794" i="2"/>
  <c r="AN2793" i="2"/>
  <c r="AM2793" i="2"/>
  <c r="AL2793" i="2"/>
  <c r="AK2793" i="2"/>
  <c r="AN2792" i="2"/>
  <c r="AM2792" i="2"/>
  <c r="AL2792" i="2"/>
  <c r="AK2792" i="2"/>
  <c r="AN2791" i="2"/>
  <c r="AM2791" i="2"/>
  <c r="AL2791" i="2"/>
  <c r="AK2791" i="2"/>
  <c r="AN2790" i="2"/>
  <c r="AM2790" i="2"/>
  <c r="AL2790" i="2"/>
  <c r="AK2790" i="2"/>
  <c r="AN2789" i="2"/>
  <c r="AM2789" i="2"/>
  <c r="AL2789" i="2"/>
  <c r="AK2789" i="2"/>
  <c r="AN2788" i="2"/>
  <c r="AM2788" i="2"/>
  <c r="AL2788" i="2"/>
  <c r="AK2788" i="2"/>
  <c r="AN2787" i="2"/>
  <c r="AM2787" i="2"/>
  <c r="AL2787" i="2"/>
  <c r="AK2787" i="2"/>
  <c r="AN2786" i="2"/>
  <c r="AM2786" i="2"/>
  <c r="AL2786" i="2"/>
  <c r="AK2786" i="2"/>
  <c r="AN2785" i="2"/>
  <c r="AM2785" i="2"/>
  <c r="AL2785" i="2"/>
  <c r="AK2785" i="2"/>
  <c r="AN2784" i="2"/>
  <c r="AM2784" i="2"/>
  <c r="AL2784" i="2"/>
  <c r="AK2784" i="2"/>
  <c r="AN2783" i="2"/>
  <c r="AM2783" i="2"/>
  <c r="AL2783" i="2"/>
  <c r="AK2783" i="2"/>
  <c r="AN2782" i="2"/>
  <c r="AM2782" i="2"/>
  <c r="AL2782" i="2"/>
  <c r="AK2782" i="2"/>
  <c r="AN2781" i="2"/>
  <c r="AM2781" i="2"/>
  <c r="AL2781" i="2"/>
  <c r="AK2781" i="2"/>
  <c r="AN2780" i="2"/>
  <c r="AM2780" i="2"/>
  <c r="AL2780" i="2"/>
  <c r="AK2780" i="2"/>
  <c r="AN2779" i="2"/>
  <c r="AM2779" i="2"/>
  <c r="AL2779" i="2"/>
  <c r="AK2779" i="2"/>
  <c r="AN2778" i="2"/>
  <c r="AM2778" i="2"/>
  <c r="AL2778" i="2"/>
  <c r="AK2778" i="2"/>
  <c r="AN2777" i="2"/>
  <c r="AM2777" i="2"/>
  <c r="AL2777" i="2"/>
  <c r="AK2777" i="2"/>
  <c r="AN2776" i="2"/>
  <c r="AM2776" i="2"/>
  <c r="AL2776" i="2"/>
  <c r="AK2776" i="2"/>
  <c r="AN2775" i="2"/>
  <c r="AM2775" i="2"/>
  <c r="AL2775" i="2"/>
  <c r="AK2775" i="2"/>
  <c r="AN2774" i="2"/>
  <c r="AM2774" i="2"/>
  <c r="AL2774" i="2"/>
  <c r="AK2774" i="2"/>
  <c r="AN2773" i="2"/>
  <c r="AM2773" i="2"/>
  <c r="AL2773" i="2"/>
  <c r="AK2773" i="2"/>
  <c r="AN2772" i="2"/>
  <c r="AM2772" i="2"/>
  <c r="AL2772" i="2"/>
  <c r="AK2772" i="2"/>
  <c r="AN2771" i="2"/>
  <c r="AM2771" i="2"/>
  <c r="AL2771" i="2"/>
  <c r="AK2771" i="2"/>
  <c r="AN2770" i="2"/>
  <c r="AM2770" i="2"/>
  <c r="AL2770" i="2"/>
  <c r="AK2770" i="2"/>
  <c r="AN2769" i="2"/>
  <c r="AM2769" i="2"/>
  <c r="AL2769" i="2"/>
  <c r="AK2769" i="2"/>
  <c r="AN2768" i="2"/>
  <c r="AM2768" i="2"/>
  <c r="AL2768" i="2"/>
  <c r="AK2768" i="2"/>
  <c r="AN2767" i="2"/>
  <c r="AM2767" i="2"/>
  <c r="AL2767" i="2"/>
  <c r="AK2767" i="2"/>
  <c r="AN2766" i="2"/>
  <c r="AM2766" i="2"/>
  <c r="AL2766" i="2"/>
  <c r="AK2766" i="2"/>
  <c r="AN2765" i="2"/>
  <c r="AM2765" i="2"/>
  <c r="AL2765" i="2"/>
  <c r="AK2765" i="2"/>
  <c r="AN2764" i="2"/>
  <c r="AM2764" i="2"/>
  <c r="AL2764" i="2"/>
  <c r="AK2764" i="2"/>
  <c r="AN2763" i="2"/>
  <c r="AM2763" i="2"/>
  <c r="AL2763" i="2"/>
  <c r="AK2763" i="2"/>
  <c r="AN2762" i="2"/>
  <c r="AM2762" i="2"/>
  <c r="AL2762" i="2"/>
  <c r="AK2762" i="2"/>
  <c r="AN2761" i="2"/>
  <c r="AM2761" i="2"/>
  <c r="AL2761" i="2"/>
  <c r="AK2761" i="2"/>
  <c r="AN2760" i="2"/>
  <c r="AM2760" i="2"/>
  <c r="AL2760" i="2"/>
  <c r="AK2760" i="2"/>
  <c r="AN2759" i="2"/>
  <c r="AM2759" i="2"/>
  <c r="AL2759" i="2"/>
  <c r="AK2759" i="2"/>
  <c r="AN2758" i="2"/>
  <c r="AM2758" i="2"/>
  <c r="AL2758" i="2"/>
  <c r="AK2758" i="2"/>
  <c r="AN2757" i="2"/>
  <c r="AM2757" i="2"/>
  <c r="AL2757" i="2"/>
  <c r="AK2757" i="2"/>
  <c r="AN2756" i="2"/>
  <c r="AM2756" i="2"/>
  <c r="AL2756" i="2"/>
  <c r="AK2756" i="2"/>
  <c r="AN2755" i="2"/>
  <c r="AM2755" i="2"/>
  <c r="AL2755" i="2"/>
  <c r="AK2755" i="2"/>
  <c r="AN2754" i="2"/>
  <c r="AM2754" i="2"/>
  <c r="AL2754" i="2"/>
  <c r="AK2754" i="2"/>
  <c r="AN2753" i="2"/>
  <c r="AM2753" i="2"/>
  <c r="AL2753" i="2"/>
  <c r="AK2753" i="2"/>
  <c r="AN2752" i="2"/>
  <c r="AM2752" i="2"/>
  <c r="AL2752" i="2"/>
  <c r="AK2752" i="2"/>
  <c r="AN2751" i="2"/>
  <c r="AM2751" i="2"/>
  <c r="AL2751" i="2"/>
  <c r="AK2751" i="2"/>
  <c r="AN2750" i="2"/>
  <c r="AM2750" i="2"/>
  <c r="AL2750" i="2"/>
  <c r="AK2750" i="2"/>
  <c r="AN2749" i="2"/>
  <c r="AM2749" i="2"/>
  <c r="AL2749" i="2"/>
  <c r="AK2749" i="2"/>
  <c r="AN2748" i="2"/>
  <c r="AM2748" i="2"/>
  <c r="AL2748" i="2"/>
  <c r="AK2748" i="2"/>
  <c r="AN2747" i="2"/>
  <c r="AM2747" i="2"/>
  <c r="AL2747" i="2"/>
  <c r="AK2747" i="2"/>
  <c r="AN2746" i="2"/>
  <c r="AM2746" i="2"/>
  <c r="AL2746" i="2"/>
  <c r="AK2746" i="2"/>
  <c r="AN2745" i="2"/>
  <c r="AM2745" i="2"/>
  <c r="AL2745" i="2"/>
  <c r="AK2745" i="2"/>
  <c r="AN2744" i="2"/>
  <c r="AM2744" i="2"/>
  <c r="AL2744" i="2"/>
  <c r="AK2744" i="2"/>
  <c r="AN2743" i="2"/>
  <c r="AM2743" i="2"/>
  <c r="AL2743" i="2"/>
  <c r="AK2743" i="2"/>
  <c r="AN2742" i="2"/>
  <c r="AM2742" i="2"/>
  <c r="AL2742" i="2"/>
  <c r="AK2742" i="2"/>
  <c r="AN2741" i="2"/>
  <c r="AM2741" i="2"/>
  <c r="AL2741" i="2"/>
  <c r="AK2741" i="2"/>
  <c r="AN2740" i="2"/>
  <c r="AM2740" i="2"/>
  <c r="AL2740" i="2"/>
  <c r="AK2740" i="2"/>
  <c r="AN2739" i="2"/>
  <c r="AM2739" i="2"/>
  <c r="AL2739" i="2"/>
  <c r="AK2739" i="2"/>
  <c r="AN2738" i="2"/>
  <c r="AM2738" i="2"/>
  <c r="AL2738" i="2"/>
  <c r="AK2738" i="2"/>
  <c r="AN2737" i="2"/>
  <c r="AM2737" i="2"/>
  <c r="AL2737" i="2"/>
  <c r="AK2737" i="2"/>
  <c r="AN2736" i="2"/>
  <c r="AM2736" i="2"/>
  <c r="AL2736" i="2"/>
  <c r="AK2736" i="2"/>
  <c r="AN2735" i="2"/>
  <c r="AM2735" i="2"/>
  <c r="AL2735" i="2"/>
  <c r="AK2735" i="2"/>
  <c r="AN2734" i="2"/>
  <c r="AM2734" i="2"/>
  <c r="AL2734" i="2"/>
  <c r="AK2734" i="2"/>
  <c r="AN2733" i="2"/>
  <c r="AM2733" i="2"/>
  <c r="AL2733" i="2"/>
  <c r="AK2733" i="2"/>
  <c r="AN2732" i="2"/>
  <c r="AM2732" i="2"/>
  <c r="AL2732" i="2"/>
  <c r="AK2732" i="2"/>
  <c r="AN2731" i="2"/>
  <c r="AM2731" i="2"/>
  <c r="AL2731" i="2"/>
  <c r="AK2731" i="2"/>
  <c r="AN2730" i="2"/>
  <c r="AM2730" i="2"/>
  <c r="AL2730" i="2"/>
  <c r="AK2730" i="2"/>
  <c r="AN2729" i="2"/>
  <c r="AM2729" i="2"/>
  <c r="AL2729" i="2"/>
  <c r="AK2729" i="2"/>
  <c r="AN2728" i="2"/>
  <c r="AM2728" i="2"/>
  <c r="AL2728" i="2"/>
  <c r="AK2728" i="2"/>
  <c r="AN2727" i="2"/>
  <c r="AM2727" i="2"/>
  <c r="AL2727" i="2"/>
  <c r="AK2727" i="2"/>
  <c r="AN2726" i="2"/>
  <c r="AM2726" i="2"/>
  <c r="AL2726" i="2"/>
  <c r="AK2726" i="2"/>
  <c r="AN2725" i="2"/>
  <c r="AM2725" i="2"/>
  <c r="AL2725" i="2"/>
  <c r="AK2725" i="2"/>
  <c r="AN2724" i="2"/>
  <c r="AM2724" i="2"/>
  <c r="AL2724" i="2"/>
  <c r="AK2724" i="2"/>
  <c r="AN2723" i="2"/>
  <c r="AM2723" i="2"/>
  <c r="AL2723" i="2"/>
  <c r="AK2723" i="2"/>
  <c r="AN2722" i="2"/>
  <c r="AM2722" i="2"/>
  <c r="AL2722" i="2"/>
  <c r="AK2722" i="2"/>
  <c r="AN2721" i="2"/>
  <c r="AM2721" i="2"/>
  <c r="AL2721" i="2"/>
  <c r="AK2721" i="2"/>
  <c r="AN2720" i="2"/>
  <c r="AM2720" i="2"/>
  <c r="AL2720" i="2"/>
  <c r="AK2720" i="2"/>
  <c r="AN2719" i="2"/>
  <c r="AM2719" i="2"/>
  <c r="AL2719" i="2"/>
  <c r="AK2719" i="2"/>
  <c r="AN2718" i="2"/>
  <c r="AM2718" i="2"/>
  <c r="AL2718" i="2"/>
  <c r="AK2718" i="2"/>
  <c r="AN2717" i="2"/>
  <c r="AM2717" i="2"/>
  <c r="AL2717" i="2"/>
  <c r="AK2717" i="2"/>
  <c r="AN2716" i="2"/>
  <c r="AM2716" i="2"/>
  <c r="AL2716" i="2"/>
  <c r="AK2716" i="2"/>
  <c r="AN2715" i="2"/>
  <c r="AM2715" i="2"/>
  <c r="AL2715" i="2"/>
  <c r="AK2715" i="2"/>
  <c r="AN2714" i="2"/>
  <c r="AM2714" i="2"/>
  <c r="AL2714" i="2"/>
  <c r="AK2714" i="2"/>
  <c r="AN2713" i="2"/>
  <c r="AM2713" i="2"/>
  <c r="AL2713" i="2"/>
  <c r="AK2713" i="2"/>
  <c r="AN2712" i="2"/>
  <c r="AM2712" i="2"/>
  <c r="AL2712" i="2"/>
  <c r="AK2712" i="2"/>
  <c r="AN2711" i="2"/>
  <c r="AM2711" i="2"/>
  <c r="AL2711" i="2"/>
  <c r="AK2711" i="2"/>
  <c r="AN2710" i="2"/>
  <c r="AM2710" i="2"/>
  <c r="AL2710" i="2"/>
  <c r="AK2710" i="2"/>
  <c r="AN2709" i="2"/>
  <c r="AM2709" i="2"/>
  <c r="AL2709" i="2"/>
  <c r="AK2709" i="2"/>
  <c r="AN2708" i="2"/>
  <c r="AM2708" i="2"/>
  <c r="AL2708" i="2"/>
  <c r="AK2708" i="2"/>
  <c r="AN2707" i="2"/>
  <c r="AM2707" i="2"/>
  <c r="AL2707" i="2"/>
  <c r="AK2707" i="2"/>
  <c r="AN2706" i="2"/>
  <c r="AM2706" i="2"/>
  <c r="AL2706" i="2"/>
  <c r="AK2706" i="2"/>
  <c r="AN2705" i="2"/>
  <c r="AM2705" i="2"/>
  <c r="AL2705" i="2"/>
  <c r="AK2705" i="2"/>
  <c r="AN2704" i="2"/>
  <c r="AM2704" i="2"/>
  <c r="AL2704" i="2"/>
  <c r="AK2704" i="2"/>
  <c r="AN2703" i="2"/>
  <c r="AM2703" i="2"/>
  <c r="AL2703" i="2"/>
  <c r="AK2703" i="2"/>
  <c r="AN2702" i="2"/>
  <c r="AM2702" i="2"/>
  <c r="AL2702" i="2"/>
  <c r="AK2702" i="2"/>
  <c r="AN2701" i="2"/>
  <c r="AM2701" i="2"/>
  <c r="AL2701" i="2"/>
  <c r="AK2701" i="2"/>
  <c r="AN2700" i="2"/>
  <c r="AM2700" i="2"/>
  <c r="AL2700" i="2"/>
  <c r="AK2700" i="2"/>
  <c r="AN2699" i="2"/>
  <c r="AM2699" i="2"/>
  <c r="AL2699" i="2"/>
  <c r="AK2699" i="2"/>
  <c r="AN2698" i="2"/>
  <c r="AM2698" i="2"/>
  <c r="AL2698" i="2"/>
  <c r="AK2698" i="2"/>
  <c r="AN2697" i="2"/>
  <c r="AM2697" i="2"/>
  <c r="AL2697" i="2"/>
  <c r="AK2697" i="2"/>
  <c r="AN2696" i="2"/>
  <c r="AM2696" i="2"/>
  <c r="AL2696" i="2"/>
  <c r="AK2696" i="2"/>
  <c r="AN2695" i="2"/>
  <c r="AM2695" i="2"/>
  <c r="AL2695" i="2"/>
  <c r="AK2695" i="2"/>
  <c r="AN2694" i="2"/>
  <c r="AM2694" i="2"/>
  <c r="AL2694" i="2"/>
  <c r="AK2694" i="2"/>
  <c r="AN2693" i="2"/>
  <c r="AM2693" i="2"/>
  <c r="AL2693" i="2"/>
  <c r="AK2693" i="2"/>
  <c r="AN2692" i="2"/>
  <c r="AM2692" i="2"/>
  <c r="AL2692" i="2"/>
  <c r="AK2692" i="2"/>
  <c r="AN2691" i="2"/>
  <c r="AM2691" i="2"/>
  <c r="AL2691" i="2"/>
  <c r="AK2691" i="2"/>
  <c r="AN2690" i="2"/>
  <c r="AM2690" i="2"/>
  <c r="AL2690" i="2"/>
  <c r="AK2690" i="2"/>
  <c r="AN2689" i="2"/>
  <c r="AM2689" i="2"/>
  <c r="AL2689" i="2"/>
  <c r="AK2689" i="2"/>
  <c r="AN2688" i="2"/>
  <c r="AM2688" i="2"/>
  <c r="AL2688" i="2"/>
  <c r="AK2688" i="2"/>
  <c r="AN2687" i="2"/>
  <c r="AM2687" i="2"/>
  <c r="AL2687" i="2"/>
  <c r="AK2687" i="2"/>
  <c r="AN2686" i="2"/>
  <c r="AM2686" i="2"/>
  <c r="AL2686" i="2"/>
  <c r="AK2686" i="2"/>
  <c r="AN2685" i="2"/>
  <c r="AM2685" i="2"/>
  <c r="AL2685" i="2"/>
  <c r="AK2685" i="2"/>
  <c r="AN2684" i="2"/>
  <c r="AM2684" i="2"/>
  <c r="AL2684" i="2"/>
  <c r="AK2684" i="2"/>
  <c r="AN2683" i="2"/>
  <c r="AM2683" i="2"/>
  <c r="AL2683" i="2"/>
  <c r="AK2683" i="2"/>
  <c r="AN2682" i="2"/>
  <c r="AM2682" i="2"/>
  <c r="AL2682" i="2"/>
  <c r="AK2682" i="2"/>
  <c r="AN2681" i="2"/>
  <c r="AM2681" i="2"/>
  <c r="AL2681" i="2"/>
  <c r="AK2681" i="2"/>
  <c r="AN2680" i="2"/>
  <c r="AM2680" i="2"/>
  <c r="AL2680" i="2"/>
  <c r="AK2680" i="2"/>
  <c r="AN2679" i="2"/>
  <c r="AM2679" i="2"/>
  <c r="AL2679" i="2"/>
  <c r="AK2679" i="2"/>
  <c r="AN2678" i="2"/>
  <c r="AM2678" i="2"/>
  <c r="AL2678" i="2"/>
  <c r="AK2678" i="2"/>
  <c r="AN2677" i="2"/>
  <c r="AM2677" i="2"/>
  <c r="AL2677" i="2"/>
  <c r="AK2677" i="2"/>
  <c r="AN2676" i="2"/>
  <c r="AM2676" i="2"/>
  <c r="AL2676" i="2"/>
  <c r="AK2676" i="2"/>
  <c r="AN2675" i="2"/>
  <c r="AM2675" i="2"/>
  <c r="AL2675" i="2"/>
  <c r="AK2675" i="2"/>
  <c r="AN2674" i="2"/>
  <c r="AM2674" i="2"/>
  <c r="AL2674" i="2"/>
  <c r="AK2674" i="2"/>
  <c r="AN2673" i="2"/>
  <c r="AM2673" i="2"/>
  <c r="AL2673" i="2"/>
  <c r="AK2673" i="2"/>
  <c r="AN2672" i="2"/>
  <c r="AM2672" i="2"/>
  <c r="AL2672" i="2"/>
  <c r="AK2672" i="2"/>
  <c r="AN2671" i="2"/>
  <c r="AM2671" i="2"/>
  <c r="AL2671" i="2"/>
  <c r="AK2671" i="2"/>
  <c r="AN2670" i="2"/>
  <c r="AM2670" i="2"/>
  <c r="AL2670" i="2"/>
  <c r="AK2670" i="2"/>
  <c r="AN2669" i="2"/>
  <c r="AM2669" i="2"/>
  <c r="AL2669" i="2"/>
  <c r="AK2669" i="2"/>
  <c r="AN2668" i="2"/>
  <c r="AM2668" i="2"/>
  <c r="AL2668" i="2"/>
  <c r="AK2668" i="2"/>
  <c r="AN2667" i="2"/>
  <c r="AM2667" i="2"/>
  <c r="AL2667" i="2"/>
  <c r="AK2667" i="2"/>
  <c r="AN2666" i="2"/>
  <c r="AM2666" i="2"/>
  <c r="AL2666" i="2"/>
  <c r="AK2666" i="2"/>
  <c r="AN2665" i="2"/>
  <c r="AM2665" i="2"/>
  <c r="AL2665" i="2"/>
  <c r="AK2665" i="2"/>
  <c r="AN2664" i="2"/>
  <c r="AM2664" i="2"/>
  <c r="AL2664" i="2"/>
  <c r="AK2664" i="2"/>
  <c r="AN2663" i="2"/>
  <c r="AM2663" i="2"/>
  <c r="AL2663" i="2"/>
  <c r="AK2663" i="2"/>
  <c r="AN2662" i="2"/>
  <c r="AM2662" i="2"/>
  <c r="AL2662" i="2"/>
  <c r="AK2662" i="2"/>
  <c r="AN2661" i="2"/>
  <c r="AM2661" i="2"/>
  <c r="AL2661" i="2"/>
  <c r="AK2661" i="2"/>
  <c r="AN2660" i="2"/>
  <c r="AM2660" i="2"/>
  <c r="AL2660" i="2"/>
  <c r="AK2660" i="2"/>
  <c r="AN2659" i="2"/>
  <c r="AM2659" i="2"/>
  <c r="AL2659" i="2"/>
  <c r="AK2659" i="2"/>
  <c r="AN2658" i="2"/>
  <c r="AM2658" i="2"/>
  <c r="AL2658" i="2"/>
  <c r="AK2658" i="2"/>
  <c r="AN2657" i="2"/>
  <c r="AM2657" i="2"/>
  <c r="AL2657" i="2"/>
  <c r="AK2657" i="2"/>
  <c r="AN2656" i="2"/>
  <c r="AM2656" i="2"/>
  <c r="AL2656" i="2"/>
  <c r="AK2656" i="2"/>
  <c r="AN2655" i="2"/>
  <c r="AM2655" i="2"/>
  <c r="AL2655" i="2"/>
  <c r="AK2655" i="2"/>
  <c r="AN2654" i="2"/>
  <c r="AM2654" i="2"/>
  <c r="AL2654" i="2"/>
  <c r="AK2654" i="2"/>
  <c r="AN2653" i="2"/>
  <c r="AM2653" i="2"/>
  <c r="AL2653" i="2"/>
  <c r="AK2653" i="2"/>
  <c r="AN2652" i="2"/>
  <c r="AM2652" i="2"/>
  <c r="AL2652" i="2"/>
  <c r="AK2652" i="2"/>
  <c r="AN2651" i="2"/>
  <c r="AM2651" i="2"/>
  <c r="AL2651" i="2"/>
  <c r="AK2651" i="2"/>
  <c r="AN2650" i="2"/>
  <c r="AM2650" i="2"/>
  <c r="AL2650" i="2"/>
  <c r="AK2650" i="2"/>
  <c r="AN2649" i="2"/>
  <c r="AM2649" i="2"/>
  <c r="AL2649" i="2"/>
  <c r="AK2649" i="2"/>
  <c r="AN2648" i="2"/>
  <c r="AM2648" i="2"/>
  <c r="AL2648" i="2"/>
  <c r="AK2648" i="2"/>
  <c r="AN2647" i="2"/>
  <c r="AM2647" i="2"/>
  <c r="AL2647" i="2"/>
  <c r="AK2647" i="2"/>
  <c r="AN2646" i="2"/>
  <c r="AM2646" i="2"/>
  <c r="AL2646" i="2"/>
  <c r="AK2646" i="2"/>
  <c r="AN2645" i="2"/>
  <c r="AM2645" i="2"/>
  <c r="AL2645" i="2"/>
  <c r="AK2645" i="2"/>
  <c r="AN2644" i="2"/>
  <c r="AM2644" i="2"/>
  <c r="AL2644" i="2"/>
  <c r="AK2644" i="2"/>
  <c r="AN2643" i="2"/>
  <c r="AM2643" i="2"/>
  <c r="AL2643" i="2"/>
  <c r="AK2643" i="2"/>
  <c r="AN2642" i="2"/>
  <c r="AM2642" i="2"/>
  <c r="AL2642" i="2"/>
  <c r="AK2642" i="2"/>
  <c r="AN2641" i="2"/>
  <c r="AM2641" i="2"/>
  <c r="AL2641" i="2"/>
  <c r="AK2641" i="2"/>
  <c r="AN2640" i="2"/>
  <c r="AM2640" i="2"/>
  <c r="AL2640" i="2"/>
  <c r="AK2640" i="2"/>
  <c r="AN2639" i="2"/>
  <c r="AM2639" i="2"/>
  <c r="AL2639" i="2"/>
  <c r="AK2639" i="2"/>
  <c r="AN2638" i="2"/>
  <c r="AM2638" i="2"/>
  <c r="AL2638" i="2"/>
  <c r="AK2638" i="2"/>
  <c r="AN2637" i="2"/>
  <c r="AM2637" i="2"/>
  <c r="AL2637" i="2"/>
  <c r="AK2637" i="2"/>
  <c r="AN2636" i="2"/>
  <c r="AM2636" i="2"/>
  <c r="AL2636" i="2"/>
  <c r="AK2636" i="2"/>
  <c r="AN2635" i="2"/>
  <c r="AM2635" i="2"/>
  <c r="AL2635" i="2"/>
  <c r="AK2635" i="2"/>
  <c r="AN2634" i="2"/>
  <c r="AM2634" i="2"/>
  <c r="AL2634" i="2"/>
  <c r="AK2634" i="2"/>
  <c r="AN2633" i="2"/>
  <c r="AM2633" i="2"/>
  <c r="AL2633" i="2"/>
  <c r="AK2633" i="2"/>
  <c r="AN2632" i="2"/>
  <c r="AM2632" i="2"/>
  <c r="AL2632" i="2"/>
  <c r="AK2632" i="2"/>
  <c r="AN2631" i="2"/>
  <c r="AM2631" i="2"/>
  <c r="AL2631" i="2"/>
  <c r="AK2631" i="2"/>
  <c r="AN2630" i="2"/>
  <c r="AM2630" i="2"/>
  <c r="AL2630" i="2"/>
  <c r="AK2630" i="2"/>
  <c r="AN2629" i="2"/>
  <c r="AM2629" i="2"/>
  <c r="AL2629" i="2"/>
  <c r="AK2629" i="2"/>
  <c r="AN2628" i="2"/>
  <c r="AM2628" i="2"/>
  <c r="AL2628" i="2"/>
  <c r="AK2628" i="2"/>
  <c r="AN2627" i="2"/>
  <c r="AM2627" i="2"/>
  <c r="AL2627" i="2"/>
  <c r="AK2627" i="2"/>
  <c r="AN2626" i="2"/>
  <c r="AM2626" i="2"/>
  <c r="AL2626" i="2"/>
  <c r="AK2626" i="2"/>
  <c r="AN2625" i="2"/>
  <c r="AM2625" i="2"/>
  <c r="AL2625" i="2"/>
  <c r="AK2625" i="2"/>
  <c r="AN2624" i="2"/>
  <c r="AM2624" i="2"/>
  <c r="AL2624" i="2"/>
  <c r="AK2624" i="2"/>
  <c r="AN2623" i="2"/>
  <c r="AM2623" i="2"/>
  <c r="AL2623" i="2"/>
  <c r="AK2623" i="2"/>
  <c r="AN2622" i="2"/>
  <c r="AM2622" i="2"/>
  <c r="AL2622" i="2"/>
  <c r="AK2622" i="2"/>
  <c r="AN2621" i="2"/>
  <c r="AM2621" i="2"/>
  <c r="AL2621" i="2"/>
  <c r="AK2621" i="2"/>
  <c r="AN2620" i="2"/>
  <c r="AM2620" i="2"/>
  <c r="AL2620" i="2"/>
  <c r="AK2620" i="2"/>
  <c r="AN2619" i="2"/>
  <c r="AM2619" i="2"/>
  <c r="AL2619" i="2"/>
  <c r="AK2619" i="2"/>
  <c r="AN2618" i="2"/>
  <c r="AM2618" i="2"/>
  <c r="AL2618" i="2"/>
  <c r="AK2618" i="2"/>
  <c r="AN2617" i="2"/>
  <c r="AM2617" i="2"/>
  <c r="AL2617" i="2"/>
  <c r="AK2617" i="2"/>
  <c r="AN2616" i="2"/>
  <c r="AM2616" i="2"/>
  <c r="AL2616" i="2"/>
  <c r="AK2616" i="2"/>
  <c r="AN2615" i="2"/>
  <c r="AM2615" i="2"/>
  <c r="AL2615" i="2"/>
  <c r="AK2615" i="2"/>
  <c r="AN2614" i="2"/>
  <c r="AM2614" i="2"/>
  <c r="AL2614" i="2"/>
  <c r="AK2614" i="2"/>
  <c r="AN2613" i="2"/>
  <c r="AM2613" i="2"/>
  <c r="AL2613" i="2"/>
  <c r="AK2613" i="2"/>
  <c r="AN2612" i="2"/>
  <c r="AM2612" i="2"/>
  <c r="AL2612" i="2"/>
  <c r="AK2612" i="2"/>
  <c r="AN2611" i="2"/>
  <c r="AM2611" i="2"/>
  <c r="AL2611" i="2"/>
  <c r="AK2611" i="2"/>
  <c r="AN2610" i="2"/>
  <c r="AM2610" i="2"/>
  <c r="AL2610" i="2"/>
  <c r="AK2610" i="2"/>
  <c r="AN2609" i="2"/>
  <c r="AM2609" i="2"/>
  <c r="AL2609" i="2"/>
  <c r="AK2609" i="2"/>
  <c r="AN2608" i="2"/>
  <c r="AM2608" i="2"/>
  <c r="AL2608" i="2"/>
  <c r="AK2608" i="2"/>
  <c r="AN2607" i="2"/>
  <c r="AM2607" i="2"/>
  <c r="AL2607" i="2"/>
  <c r="AK2607" i="2"/>
  <c r="AN2606" i="2"/>
  <c r="AM2606" i="2"/>
  <c r="AL2606" i="2"/>
  <c r="AK2606" i="2"/>
  <c r="AN2605" i="2"/>
  <c r="AM2605" i="2"/>
  <c r="AL2605" i="2"/>
  <c r="AK2605" i="2"/>
  <c r="AN2604" i="2"/>
  <c r="AM2604" i="2"/>
  <c r="AL2604" i="2"/>
  <c r="AK2604" i="2"/>
  <c r="AN2603" i="2"/>
  <c r="AM2603" i="2"/>
  <c r="AL2603" i="2"/>
  <c r="AK2603" i="2"/>
  <c r="AN2602" i="2"/>
  <c r="AM2602" i="2"/>
  <c r="AL2602" i="2"/>
  <c r="AK2602" i="2"/>
  <c r="AN2601" i="2"/>
  <c r="AM2601" i="2"/>
  <c r="AL2601" i="2"/>
  <c r="AK2601" i="2"/>
  <c r="AN2600" i="2"/>
  <c r="AM2600" i="2"/>
  <c r="AL2600" i="2"/>
  <c r="AK2600" i="2"/>
  <c r="AN2599" i="2"/>
  <c r="AM2599" i="2"/>
  <c r="AL2599" i="2"/>
  <c r="AK2599" i="2"/>
  <c r="AN2598" i="2"/>
  <c r="AM2598" i="2"/>
  <c r="AL2598" i="2"/>
  <c r="AK2598" i="2"/>
  <c r="AN2597" i="2"/>
  <c r="AM2597" i="2"/>
  <c r="AL2597" i="2"/>
  <c r="AK2597" i="2"/>
  <c r="AN2596" i="2"/>
  <c r="AM2596" i="2"/>
  <c r="AL2596" i="2"/>
  <c r="AK2596" i="2"/>
  <c r="AN2595" i="2"/>
  <c r="AM2595" i="2"/>
  <c r="AL2595" i="2"/>
  <c r="AK2595" i="2"/>
  <c r="AN2594" i="2"/>
  <c r="AM2594" i="2"/>
  <c r="AL2594" i="2"/>
  <c r="AK2594" i="2"/>
  <c r="AN2593" i="2"/>
  <c r="AM2593" i="2"/>
  <c r="AL2593" i="2"/>
  <c r="AK2593" i="2"/>
  <c r="AN2592" i="2"/>
  <c r="AM2592" i="2"/>
  <c r="AL2592" i="2"/>
  <c r="AK2592" i="2"/>
  <c r="AN2591" i="2"/>
  <c r="AM2591" i="2"/>
  <c r="AL2591" i="2"/>
  <c r="AK2591" i="2"/>
  <c r="AN2590" i="2"/>
  <c r="AM2590" i="2"/>
  <c r="AL2590" i="2"/>
  <c r="AK2590" i="2"/>
  <c r="AN2589" i="2"/>
  <c r="AM2589" i="2"/>
  <c r="AL2589" i="2"/>
  <c r="AK2589" i="2"/>
  <c r="AN2588" i="2"/>
  <c r="AM2588" i="2"/>
  <c r="AL2588" i="2"/>
  <c r="AK2588" i="2"/>
  <c r="AN2587" i="2"/>
  <c r="AM2587" i="2"/>
  <c r="AL2587" i="2"/>
  <c r="AK2587" i="2"/>
  <c r="AN2586" i="2"/>
  <c r="AM2586" i="2"/>
  <c r="AL2586" i="2"/>
  <c r="AK2586" i="2"/>
  <c r="AN2585" i="2"/>
  <c r="AM2585" i="2"/>
  <c r="AL2585" i="2"/>
  <c r="AK2585" i="2"/>
  <c r="AN2584" i="2"/>
  <c r="AM2584" i="2"/>
  <c r="AL2584" i="2"/>
  <c r="AK2584" i="2"/>
  <c r="AN2583" i="2"/>
  <c r="AM2583" i="2"/>
  <c r="AL2583" i="2"/>
  <c r="AK2583" i="2"/>
  <c r="AN2582" i="2"/>
  <c r="AM2582" i="2"/>
  <c r="AL2582" i="2"/>
  <c r="AK2582" i="2"/>
  <c r="AN2581" i="2"/>
  <c r="AM2581" i="2"/>
  <c r="AL2581" i="2"/>
  <c r="AK2581" i="2"/>
  <c r="AN2580" i="2"/>
  <c r="AM2580" i="2"/>
  <c r="AL2580" i="2"/>
  <c r="AK2580" i="2"/>
  <c r="AN2579" i="2"/>
  <c r="AM2579" i="2"/>
  <c r="AL2579" i="2"/>
  <c r="AK2579" i="2"/>
  <c r="AN2578" i="2"/>
  <c r="AM2578" i="2"/>
  <c r="AL2578" i="2"/>
  <c r="AK2578" i="2"/>
  <c r="AN2577" i="2"/>
  <c r="AM2577" i="2"/>
  <c r="AL2577" i="2"/>
  <c r="AK2577" i="2"/>
  <c r="AN2576" i="2"/>
  <c r="AM2576" i="2"/>
  <c r="AL2576" i="2"/>
  <c r="AK2576" i="2"/>
  <c r="AN2575" i="2"/>
  <c r="AM2575" i="2"/>
  <c r="AL2575" i="2"/>
  <c r="AK2575" i="2"/>
  <c r="AN2574" i="2"/>
  <c r="AM2574" i="2"/>
  <c r="AL2574" i="2"/>
  <c r="AK2574" i="2"/>
  <c r="AN2573" i="2"/>
  <c r="AM2573" i="2"/>
  <c r="AL2573" i="2"/>
  <c r="AK2573" i="2"/>
  <c r="AN2572" i="2"/>
  <c r="AM2572" i="2"/>
  <c r="AL2572" i="2"/>
  <c r="AK2572" i="2"/>
  <c r="AN2571" i="2"/>
  <c r="AM2571" i="2"/>
  <c r="AL2571" i="2"/>
  <c r="AK2571" i="2"/>
  <c r="AN2570" i="2"/>
  <c r="AM2570" i="2"/>
  <c r="AL2570" i="2"/>
  <c r="AK2570" i="2"/>
  <c r="AN2569" i="2"/>
  <c r="AM2569" i="2"/>
  <c r="AL2569" i="2"/>
  <c r="AK2569" i="2"/>
  <c r="AN2568" i="2"/>
  <c r="AM2568" i="2"/>
  <c r="AL2568" i="2"/>
  <c r="AK2568" i="2"/>
  <c r="AN2567" i="2"/>
  <c r="AM2567" i="2"/>
  <c r="AL2567" i="2"/>
  <c r="AK2567" i="2"/>
  <c r="AN2566" i="2"/>
  <c r="AM2566" i="2"/>
  <c r="AL2566" i="2"/>
  <c r="AK2566" i="2"/>
  <c r="AN2565" i="2"/>
  <c r="AM2565" i="2"/>
  <c r="AL2565" i="2"/>
  <c r="AK2565" i="2"/>
  <c r="AN2564" i="2"/>
  <c r="AM2564" i="2"/>
  <c r="AL2564" i="2"/>
  <c r="AK2564" i="2"/>
  <c r="AN2563" i="2"/>
  <c r="AM2563" i="2"/>
  <c r="AL2563" i="2"/>
  <c r="AK2563" i="2"/>
  <c r="AN2562" i="2"/>
  <c r="AM2562" i="2"/>
  <c r="AL2562" i="2"/>
  <c r="AK2562" i="2"/>
  <c r="AN2561" i="2"/>
  <c r="AM2561" i="2"/>
  <c r="AL2561" i="2"/>
  <c r="AK2561" i="2"/>
  <c r="AN2560" i="2"/>
  <c r="AM2560" i="2"/>
  <c r="AL2560" i="2"/>
  <c r="AK2560" i="2"/>
  <c r="AN2559" i="2"/>
  <c r="AM2559" i="2"/>
  <c r="AL2559" i="2"/>
  <c r="AK2559" i="2"/>
  <c r="AN2558" i="2"/>
  <c r="AM2558" i="2"/>
  <c r="AL2558" i="2"/>
  <c r="AK2558" i="2"/>
  <c r="AN2557" i="2"/>
  <c r="AM2557" i="2"/>
  <c r="AL2557" i="2"/>
  <c r="AK2557" i="2"/>
  <c r="AN2556" i="2"/>
  <c r="AM2556" i="2"/>
  <c r="AL2556" i="2"/>
  <c r="AK2556" i="2"/>
  <c r="AN2555" i="2"/>
  <c r="AM2555" i="2"/>
  <c r="AL2555" i="2"/>
  <c r="AK2555" i="2"/>
  <c r="AN2554" i="2"/>
  <c r="AM2554" i="2"/>
  <c r="AL2554" i="2"/>
  <c r="AK2554" i="2"/>
  <c r="AN2553" i="2"/>
  <c r="AM2553" i="2"/>
  <c r="AL2553" i="2"/>
  <c r="AK2553" i="2"/>
  <c r="AN2552" i="2"/>
  <c r="AM2552" i="2"/>
  <c r="AL2552" i="2"/>
  <c r="AK2552" i="2"/>
  <c r="AN2551" i="2"/>
  <c r="AM2551" i="2"/>
  <c r="AL2551" i="2"/>
  <c r="AK2551" i="2"/>
  <c r="AN2550" i="2"/>
  <c r="AM2550" i="2"/>
  <c r="AL2550" i="2"/>
  <c r="AK2550" i="2"/>
  <c r="AN2549" i="2"/>
  <c r="AM2549" i="2"/>
  <c r="AL2549" i="2"/>
  <c r="AK2549" i="2"/>
  <c r="AN2548" i="2"/>
  <c r="AM2548" i="2"/>
  <c r="AL2548" i="2"/>
  <c r="AK2548" i="2"/>
  <c r="AN2547" i="2"/>
  <c r="AM2547" i="2"/>
  <c r="AL2547" i="2"/>
  <c r="AK2547" i="2"/>
  <c r="AN2546" i="2"/>
  <c r="AM2546" i="2"/>
  <c r="AL2546" i="2"/>
  <c r="AK2546" i="2"/>
  <c r="AN2545" i="2"/>
  <c r="AM2545" i="2"/>
  <c r="AL2545" i="2"/>
  <c r="AK2545" i="2"/>
  <c r="AN2544" i="2"/>
  <c r="AM2544" i="2"/>
  <c r="AL2544" i="2"/>
  <c r="AK2544" i="2"/>
  <c r="AN2543" i="2"/>
  <c r="AM2543" i="2"/>
  <c r="AL2543" i="2"/>
  <c r="AK2543" i="2"/>
  <c r="AN2542" i="2"/>
  <c r="AM2542" i="2"/>
  <c r="AL2542" i="2"/>
  <c r="AK2542" i="2"/>
  <c r="AN2541" i="2"/>
  <c r="AM2541" i="2"/>
  <c r="AL2541" i="2"/>
  <c r="AK2541" i="2"/>
  <c r="AN2540" i="2"/>
  <c r="AM2540" i="2"/>
  <c r="AL2540" i="2"/>
  <c r="AK2540" i="2"/>
  <c r="AN2539" i="2"/>
  <c r="AM2539" i="2"/>
  <c r="AL2539" i="2"/>
  <c r="AK2539" i="2"/>
  <c r="AN2538" i="2"/>
  <c r="AM2538" i="2"/>
  <c r="AL2538" i="2"/>
  <c r="AK2538" i="2"/>
  <c r="AN2537" i="2"/>
  <c r="AM2537" i="2"/>
  <c r="AL2537" i="2"/>
  <c r="AK2537" i="2"/>
  <c r="AN2536" i="2"/>
  <c r="AM2536" i="2"/>
  <c r="AL2536" i="2"/>
  <c r="AK2536" i="2"/>
  <c r="AN2535" i="2"/>
  <c r="AM2535" i="2"/>
  <c r="AL2535" i="2"/>
  <c r="AK2535" i="2"/>
  <c r="AN2534" i="2"/>
  <c r="AM2534" i="2"/>
  <c r="AL2534" i="2"/>
  <c r="AK2534" i="2"/>
  <c r="AN2533" i="2"/>
  <c r="AM2533" i="2"/>
  <c r="AL2533" i="2"/>
  <c r="AK2533" i="2"/>
  <c r="AN2532" i="2"/>
  <c r="AM2532" i="2"/>
  <c r="AL2532" i="2"/>
  <c r="AK2532" i="2"/>
  <c r="AN2531" i="2"/>
  <c r="AM2531" i="2"/>
  <c r="AL2531" i="2"/>
  <c r="AK2531" i="2"/>
  <c r="AN2530" i="2"/>
  <c r="AM2530" i="2"/>
  <c r="AL2530" i="2"/>
  <c r="AK2530" i="2"/>
  <c r="AN2529" i="2"/>
  <c r="AM2529" i="2"/>
  <c r="AL2529" i="2"/>
  <c r="AK2529" i="2"/>
  <c r="AN2528" i="2"/>
  <c r="AM2528" i="2"/>
  <c r="AL2528" i="2"/>
  <c r="AK2528" i="2"/>
  <c r="AN2527" i="2"/>
  <c r="AM2527" i="2"/>
  <c r="AL2527" i="2"/>
  <c r="AK2527" i="2"/>
  <c r="AN2526" i="2"/>
  <c r="AM2526" i="2"/>
  <c r="AL2526" i="2"/>
  <c r="AK2526" i="2"/>
  <c r="AN2525" i="2"/>
  <c r="AM2525" i="2"/>
  <c r="AL2525" i="2"/>
  <c r="AK2525" i="2"/>
  <c r="AN2524" i="2"/>
  <c r="AM2524" i="2"/>
  <c r="AL2524" i="2"/>
  <c r="AK2524" i="2"/>
  <c r="AN2523" i="2"/>
  <c r="AM2523" i="2"/>
  <c r="AL2523" i="2"/>
  <c r="AK2523" i="2"/>
  <c r="AN2522" i="2"/>
  <c r="AM2522" i="2"/>
  <c r="AL2522" i="2"/>
  <c r="AK2522" i="2"/>
  <c r="AN2521" i="2"/>
  <c r="AM2521" i="2"/>
  <c r="AL2521" i="2"/>
  <c r="AK2521" i="2"/>
  <c r="AN2520" i="2"/>
  <c r="AM2520" i="2"/>
  <c r="AL2520" i="2"/>
  <c r="AK2520" i="2"/>
  <c r="AN2519" i="2"/>
  <c r="AM2519" i="2"/>
  <c r="AL2519" i="2"/>
  <c r="AK2519" i="2"/>
  <c r="AN2518" i="2"/>
  <c r="AM2518" i="2"/>
  <c r="AL2518" i="2"/>
  <c r="AK2518" i="2"/>
  <c r="AN2517" i="2"/>
  <c r="AM2517" i="2"/>
  <c r="AL2517" i="2"/>
  <c r="AK2517" i="2"/>
  <c r="AN2516" i="2"/>
  <c r="AM2516" i="2"/>
  <c r="AL2516" i="2"/>
  <c r="AK2516" i="2"/>
  <c r="AN2515" i="2"/>
  <c r="AM2515" i="2"/>
  <c r="AL2515" i="2"/>
  <c r="AK2515" i="2"/>
  <c r="AN2514" i="2"/>
  <c r="AM2514" i="2"/>
  <c r="AL2514" i="2"/>
  <c r="AK2514" i="2"/>
  <c r="AN2513" i="2"/>
  <c r="AM2513" i="2"/>
  <c r="AL2513" i="2"/>
  <c r="AK2513" i="2"/>
  <c r="AN2512" i="2"/>
  <c r="AM2512" i="2"/>
  <c r="AL2512" i="2"/>
  <c r="AK2512" i="2"/>
  <c r="AN2511" i="2"/>
  <c r="AM2511" i="2"/>
  <c r="AL2511" i="2"/>
  <c r="AK2511" i="2"/>
  <c r="AN2510" i="2"/>
  <c r="AM2510" i="2"/>
  <c r="AL2510" i="2"/>
  <c r="AK2510" i="2"/>
  <c r="AN2509" i="2"/>
  <c r="AM2509" i="2"/>
  <c r="AL2509" i="2"/>
  <c r="AK2509" i="2"/>
  <c r="AN2508" i="2"/>
  <c r="AM2508" i="2"/>
  <c r="AL2508" i="2"/>
  <c r="AK2508" i="2"/>
  <c r="AN2507" i="2"/>
  <c r="AM2507" i="2"/>
  <c r="AL2507" i="2"/>
  <c r="AK2507" i="2"/>
  <c r="AN2506" i="2"/>
  <c r="AM2506" i="2"/>
  <c r="AL2506" i="2"/>
  <c r="AK2506" i="2"/>
  <c r="AN2505" i="2"/>
  <c r="AM2505" i="2"/>
  <c r="AL2505" i="2"/>
  <c r="AK2505" i="2"/>
  <c r="AN2504" i="2"/>
  <c r="AM2504" i="2"/>
  <c r="AL2504" i="2"/>
  <c r="AK2504" i="2"/>
  <c r="AN2503" i="2"/>
  <c r="AM2503" i="2"/>
  <c r="AL2503" i="2"/>
  <c r="AK2503" i="2"/>
  <c r="AN2502" i="2"/>
  <c r="AM2502" i="2"/>
  <c r="AL2502" i="2"/>
  <c r="AK2502" i="2"/>
  <c r="AN2501" i="2"/>
  <c r="AM2501" i="2"/>
  <c r="AL2501" i="2"/>
  <c r="AK2501" i="2"/>
  <c r="AN2500" i="2"/>
  <c r="AM2500" i="2"/>
  <c r="AL2500" i="2"/>
  <c r="AK2500" i="2"/>
  <c r="AN2499" i="2"/>
  <c r="AM2499" i="2"/>
  <c r="AL2499" i="2"/>
  <c r="AK2499" i="2"/>
  <c r="AN2498" i="2"/>
  <c r="AM2498" i="2"/>
  <c r="AL2498" i="2"/>
  <c r="AK2498" i="2"/>
  <c r="AN2497" i="2"/>
  <c r="AM2497" i="2"/>
  <c r="AL2497" i="2"/>
  <c r="AK2497" i="2"/>
  <c r="AN2496" i="2"/>
  <c r="AM2496" i="2"/>
  <c r="AL2496" i="2"/>
  <c r="AK2496" i="2"/>
  <c r="AN2495" i="2"/>
  <c r="AM2495" i="2"/>
  <c r="AL2495" i="2"/>
  <c r="AK2495" i="2"/>
  <c r="AN2494" i="2"/>
  <c r="AM2494" i="2"/>
  <c r="AL2494" i="2"/>
  <c r="AK2494" i="2"/>
  <c r="AN2493" i="2"/>
  <c r="AM2493" i="2"/>
  <c r="AL2493" i="2"/>
  <c r="AK2493" i="2"/>
  <c r="AN2492" i="2"/>
  <c r="AM2492" i="2"/>
  <c r="AL2492" i="2"/>
  <c r="AK2492" i="2"/>
  <c r="AN2491" i="2"/>
  <c r="AM2491" i="2"/>
  <c r="AL2491" i="2"/>
  <c r="AK2491" i="2"/>
  <c r="AN2490" i="2"/>
  <c r="AM2490" i="2"/>
  <c r="AL2490" i="2"/>
  <c r="AK2490" i="2"/>
  <c r="AN2489" i="2"/>
  <c r="AM2489" i="2"/>
  <c r="AL2489" i="2"/>
  <c r="AK2489" i="2"/>
  <c r="AN2488" i="2"/>
  <c r="AM2488" i="2"/>
  <c r="AL2488" i="2"/>
  <c r="AK2488" i="2"/>
  <c r="AN2487" i="2"/>
  <c r="AM2487" i="2"/>
  <c r="AL2487" i="2"/>
  <c r="AK2487" i="2"/>
  <c r="AN2486" i="2"/>
  <c r="AM2486" i="2"/>
  <c r="AL2486" i="2"/>
  <c r="AK2486" i="2"/>
  <c r="AN2485" i="2"/>
  <c r="AM2485" i="2"/>
  <c r="AL2485" i="2"/>
  <c r="AK2485" i="2"/>
  <c r="AN2484" i="2"/>
  <c r="AM2484" i="2"/>
  <c r="AL2484" i="2"/>
  <c r="AK2484" i="2"/>
  <c r="AN2483" i="2"/>
  <c r="AM2483" i="2"/>
  <c r="AL2483" i="2"/>
  <c r="AK2483" i="2"/>
  <c r="AN2482" i="2"/>
  <c r="AM2482" i="2"/>
  <c r="AL2482" i="2"/>
  <c r="AK2482" i="2"/>
  <c r="AN2481" i="2"/>
  <c r="AM2481" i="2"/>
  <c r="AL2481" i="2"/>
  <c r="AK2481" i="2"/>
  <c r="AN2480" i="2"/>
  <c r="AM2480" i="2"/>
  <c r="AL2480" i="2"/>
  <c r="AK2480" i="2"/>
  <c r="AN2479" i="2"/>
  <c r="AM2479" i="2"/>
  <c r="AL2479" i="2"/>
  <c r="AK2479" i="2"/>
  <c r="AN2478" i="2"/>
  <c r="AM2478" i="2"/>
  <c r="AL2478" i="2"/>
  <c r="AK2478" i="2"/>
  <c r="AN2477" i="2"/>
  <c r="AM2477" i="2"/>
  <c r="AL2477" i="2"/>
  <c r="AK2477" i="2"/>
  <c r="AN2476" i="2"/>
  <c r="AM2476" i="2"/>
  <c r="AL2476" i="2"/>
  <c r="AK2476" i="2"/>
  <c r="AN2475" i="2"/>
  <c r="AM2475" i="2"/>
  <c r="AL2475" i="2"/>
  <c r="AK2475" i="2"/>
  <c r="AN2474" i="2"/>
  <c r="AM2474" i="2"/>
  <c r="AL2474" i="2"/>
  <c r="AK2474" i="2"/>
  <c r="AN2473" i="2"/>
  <c r="AM2473" i="2"/>
  <c r="AL2473" i="2"/>
  <c r="AK2473" i="2"/>
  <c r="AN2472" i="2"/>
  <c r="AM2472" i="2"/>
  <c r="AL2472" i="2"/>
  <c r="AK2472" i="2"/>
  <c r="AN2471" i="2"/>
  <c r="AM2471" i="2"/>
  <c r="AL2471" i="2"/>
  <c r="AK2471" i="2"/>
  <c r="AN2470" i="2"/>
  <c r="AM2470" i="2"/>
  <c r="AL2470" i="2"/>
  <c r="AK2470" i="2"/>
  <c r="AN2469" i="2"/>
  <c r="AM2469" i="2"/>
  <c r="AL2469" i="2"/>
  <c r="AK2469" i="2"/>
  <c r="AN2468" i="2"/>
  <c r="AM2468" i="2"/>
  <c r="AL2468" i="2"/>
  <c r="AK2468" i="2"/>
  <c r="AN2467" i="2"/>
  <c r="AM2467" i="2"/>
  <c r="AL2467" i="2"/>
  <c r="AK2467" i="2"/>
  <c r="AN2466" i="2"/>
  <c r="AM2466" i="2"/>
  <c r="AL2466" i="2"/>
  <c r="AK2466" i="2"/>
  <c r="AN2465" i="2"/>
  <c r="AM2465" i="2"/>
  <c r="AL2465" i="2"/>
  <c r="AK2465" i="2"/>
  <c r="AN2464" i="2"/>
  <c r="AM2464" i="2"/>
  <c r="AL2464" i="2"/>
  <c r="AK2464" i="2"/>
  <c r="AN2463" i="2"/>
  <c r="AM2463" i="2"/>
  <c r="AL2463" i="2"/>
  <c r="AK2463" i="2"/>
  <c r="AN2462" i="2"/>
  <c r="AM2462" i="2"/>
  <c r="AL2462" i="2"/>
  <c r="AK2462" i="2"/>
  <c r="AN2461" i="2"/>
  <c r="AM2461" i="2"/>
  <c r="AL2461" i="2"/>
  <c r="AK2461" i="2"/>
  <c r="AN2460" i="2"/>
  <c r="AM2460" i="2"/>
  <c r="AL2460" i="2"/>
  <c r="AK2460" i="2"/>
  <c r="AN2459" i="2"/>
  <c r="AM2459" i="2"/>
  <c r="AL2459" i="2"/>
  <c r="AK2459" i="2"/>
  <c r="AN2458" i="2"/>
  <c r="AM2458" i="2"/>
  <c r="AL2458" i="2"/>
  <c r="AK2458" i="2"/>
  <c r="AN2457" i="2"/>
  <c r="AM2457" i="2"/>
  <c r="AL2457" i="2"/>
  <c r="AK2457" i="2"/>
  <c r="AN2456" i="2"/>
  <c r="AM2456" i="2"/>
  <c r="AL2456" i="2"/>
  <c r="AK2456" i="2"/>
  <c r="AN2455" i="2"/>
  <c r="AM2455" i="2"/>
  <c r="AL2455" i="2"/>
  <c r="AK2455" i="2"/>
  <c r="AN2454" i="2"/>
  <c r="AM2454" i="2"/>
  <c r="AL2454" i="2"/>
  <c r="AK2454" i="2"/>
  <c r="AN2453" i="2"/>
  <c r="AM2453" i="2"/>
  <c r="AL2453" i="2"/>
  <c r="AK2453" i="2"/>
  <c r="AN2452" i="2"/>
  <c r="AM2452" i="2"/>
  <c r="AL2452" i="2"/>
  <c r="AK2452" i="2"/>
  <c r="AN2451" i="2"/>
  <c r="AM2451" i="2"/>
  <c r="AL2451" i="2"/>
  <c r="AK2451" i="2"/>
  <c r="AN2450" i="2"/>
  <c r="AM2450" i="2"/>
  <c r="AL2450" i="2"/>
  <c r="AK2450" i="2"/>
  <c r="AN2449" i="2"/>
  <c r="AM2449" i="2"/>
  <c r="AL2449" i="2"/>
  <c r="AK2449" i="2"/>
  <c r="AN2448" i="2"/>
  <c r="AM2448" i="2"/>
  <c r="AL2448" i="2"/>
  <c r="AK2448" i="2"/>
  <c r="AN2447" i="2"/>
  <c r="AM2447" i="2"/>
  <c r="AL2447" i="2"/>
  <c r="AK2447" i="2"/>
  <c r="AN2446" i="2"/>
  <c r="AM2446" i="2"/>
  <c r="AL2446" i="2"/>
  <c r="AK2446" i="2"/>
  <c r="AN2445" i="2"/>
  <c r="AM2445" i="2"/>
  <c r="AL2445" i="2"/>
  <c r="AK2445" i="2"/>
  <c r="AN2444" i="2"/>
  <c r="AM2444" i="2"/>
  <c r="AL2444" i="2"/>
  <c r="AK2444" i="2"/>
  <c r="AN2443" i="2"/>
  <c r="AM2443" i="2"/>
  <c r="AL2443" i="2"/>
  <c r="AK2443" i="2"/>
  <c r="AN2442" i="2"/>
  <c r="AM2442" i="2"/>
  <c r="AL2442" i="2"/>
  <c r="AK2442" i="2"/>
  <c r="AN2441" i="2"/>
  <c r="AM2441" i="2"/>
  <c r="AL2441" i="2"/>
  <c r="AK2441" i="2"/>
  <c r="AN2440" i="2"/>
  <c r="AM2440" i="2"/>
  <c r="AL2440" i="2"/>
  <c r="AK2440" i="2"/>
  <c r="AN2439" i="2"/>
  <c r="AM2439" i="2"/>
  <c r="AL2439" i="2"/>
  <c r="AK2439" i="2"/>
  <c r="AN2438" i="2"/>
  <c r="AM2438" i="2"/>
  <c r="AL2438" i="2"/>
  <c r="AK2438" i="2"/>
  <c r="AN2437" i="2"/>
  <c r="AM2437" i="2"/>
  <c r="AL2437" i="2"/>
  <c r="AK2437" i="2"/>
  <c r="AN2436" i="2"/>
  <c r="AM2436" i="2"/>
  <c r="AL2436" i="2"/>
  <c r="AK2436" i="2"/>
  <c r="AN2435" i="2"/>
  <c r="AM2435" i="2"/>
  <c r="AL2435" i="2"/>
  <c r="AK2435" i="2"/>
  <c r="AN2434" i="2"/>
  <c r="AM2434" i="2"/>
  <c r="AL2434" i="2"/>
  <c r="AK2434" i="2"/>
  <c r="AN2433" i="2"/>
  <c r="AM2433" i="2"/>
  <c r="AL2433" i="2"/>
  <c r="AK2433" i="2"/>
  <c r="AN2432" i="2"/>
  <c r="AM2432" i="2"/>
  <c r="AL2432" i="2"/>
  <c r="AK2432" i="2"/>
  <c r="AN2431" i="2"/>
  <c r="AM2431" i="2"/>
  <c r="AL2431" i="2"/>
  <c r="AK2431" i="2"/>
  <c r="AN2430" i="2"/>
  <c r="AM2430" i="2"/>
  <c r="AL2430" i="2"/>
  <c r="AK2430" i="2"/>
  <c r="AN2429" i="2"/>
  <c r="AM2429" i="2"/>
  <c r="AL2429" i="2"/>
  <c r="AK2429" i="2"/>
  <c r="AN2428" i="2"/>
  <c r="AM2428" i="2"/>
  <c r="AL2428" i="2"/>
  <c r="AK2428" i="2"/>
  <c r="AN2427" i="2"/>
  <c r="AM2427" i="2"/>
  <c r="AL2427" i="2"/>
  <c r="AK2427" i="2"/>
  <c r="AN2426" i="2"/>
  <c r="AM2426" i="2"/>
  <c r="AL2426" i="2"/>
  <c r="AK2426" i="2"/>
  <c r="AN2425" i="2"/>
  <c r="AM2425" i="2"/>
  <c r="AL2425" i="2"/>
  <c r="AK2425" i="2"/>
  <c r="AN2424" i="2"/>
  <c r="AM2424" i="2"/>
  <c r="AL2424" i="2"/>
  <c r="AK2424" i="2"/>
  <c r="AN2423" i="2"/>
  <c r="AM2423" i="2"/>
  <c r="AL2423" i="2"/>
  <c r="AK2423" i="2"/>
  <c r="AN2422" i="2"/>
  <c r="AM2422" i="2"/>
  <c r="AL2422" i="2"/>
  <c r="AK2422" i="2"/>
  <c r="AN2421" i="2"/>
  <c r="AM2421" i="2"/>
  <c r="AL2421" i="2"/>
  <c r="AK2421" i="2"/>
  <c r="AN2420" i="2"/>
  <c r="AM2420" i="2"/>
  <c r="AL2420" i="2"/>
  <c r="AK2420" i="2"/>
  <c r="AN2419" i="2"/>
  <c r="AM2419" i="2"/>
  <c r="AL2419" i="2"/>
  <c r="AK2419" i="2"/>
  <c r="AN2418" i="2"/>
  <c r="AM2418" i="2"/>
  <c r="AL2418" i="2"/>
  <c r="AK2418" i="2"/>
  <c r="AN2417" i="2"/>
  <c r="AM2417" i="2"/>
  <c r="AL2417" i="2"/>
  <c r="AK2417" i="2"/>
  <c r="AN2416" i="2"/>
  <c r="AM2416" i="2"/>
  <c r="AL2416" i="2"/>
  <c r="AK2416" i="2"/>
  <c r="AN2415" i="2"/>
  <c r="AM2415" i="2"/>
  <c r="AL2415" i="2"/>
  <c r="AK2415" i="2"/>
  <c r="AN2414" i="2"/>
  <c r="AM2414" i="2"/>
  <c r="AL2414" i="2"/>
  <c r="AK2414" i="2"/>
  <c r="AN2413" i="2"/>
  <c r="AM2413" i="2"/>
  <c r="AL2413" i="2"/>
  <c r="AK2413" i="2"/>
  <c r="AN2412" i="2"/>
  <c r="AM2412" i="2"/>
  <c r="AL2412" i="2"/>
  <c r="AK2412" i="2"/>
  <c r="AN2411" i="2"/>
  <c r="AM2411" i="2"/>
  <c r="AL2411" i="2"/>
  <c r="AK2411" i="2"/>
  <c r="AN2410" i="2"/>
  <c r="AM2410" i="2"/>
  <c r="AL2410" i="2"/>
  <c r="AK2410" i="2"/>
  <c r="AN2409" i="2"/>
  <c r="AM2409" i="2"/>
  <c r="AL2409" i="2"/>
  <c r="AK2409" i="2"/>
  <c r="AN2408" i="2"/>
  <c r="AM2408" i="2"/>
  <c r="AL2408" i="2"/>
  <c r="AK2408" i="2"/>
  <c r="AN2407" i="2"/>
  <c r="AM2407" i="2"/>
  <c r="AL2407" i="2"/>
  <c r="AK2407" i="2"/>
  <c r="AN2406" i="2"/>
  <c r="AM2406" i="2"/>
  <c r="AL2406" i="2"/>
  <c r="AK2406" i="2"/>
  <c r="AN2405" i="2"/>
  <c r="AM2405" i="2"/>
  <c r="AL2405" i="2"/>
  <c r="AK2405" i="2"/>
  <c r="AN2404" i="2"/>
  <c r="AM2404" i="2"/>
  <c r="AL2404" i="2"/>
  <c r="AK2404" i="2"/>
  <c r="AN2403" i="2"/>
  <c r="AM2403" i="2"/>
  <c r="AL2403" i="2"/>
  <c r="AK2403" i="2"/>
  <c r="AN2402" i="2"/>
  <c r="AM2402" i="2"/>
  <c r="AL2402" i="2"/>
  <c r="AK2402" i="2"/>
  <c r="AN2401" i="2"/>
  <c r="AM2401" i="2"/>
  <c r="AL2401" i="2"/>
  <c r="AK2401" i="2"/>
  <c r="AN2400" i="2"/>
  <c r="AM2400" i="2"/>
  <c r="AL2400" i="2"/>
  <c r="AK2400" i="2"/>
  <c r="AN2399" i="2"/>
  <c r="AM2399" i="2"/>
  <c r="AL2399" i="2"/>
  <c r="AK2399" i="2"/>
  <c r="AN2398" i="2"/>
  <c r="AM2398" i="2"/>
  <c r="AL2398" i="2"/>
  <c r="AK2398" i="2"/>
  <c r="AN2397" i="2"/>
  <c r="AM2397" i="2"/>
  <c r="AL2397" i="2"/>
  <c r="AK2397" i="2"/>
  <c r="AN2396" i="2"/>
  <c r="AM2396" i="2"/>
  <c r="AL2396" i="2"/>
  <c r="AK2396" i="2"/>
  <c r="AN2395" i="2"/>
  <c r="AM2395" i="2"/>
  <c r="AL2395" i="2"/>
  <c r="AK2395" i="2"/>
  <c r="AN2394" i="2"/>
  <c r="AM2394" i="2"/>
  <c r="AL2394" i="2"/>
  <c r="AK2394" i="2"/>
  <c r="AN2393" i="2"/>
  <c r="AM2393" i="2"/>
  <c r="AL2393" i="2"/>
  <c r="AK2393" i="2"/>
  <c r="AN2392" i="2"/>
  <c r="AM2392" i="2"/>
  <c r="AL2392" i="2"/>
  <c r="AK2392" i="2"/>
  <c r="AN2391" i="2"/>
  <c r="AM2391" i="2"/>
  <c r="AL2391" i="2"/>
  <c r="AK2391" i="2"/>
  <c r="AN2390" i="2"/>
  <c r="AM2390" i="2"/>
  <c r="AL2390" i="2"/>
  <c r="AK2390" i="2"/>
  <c r="AN2389" i="2"/>
  <c r="AM2389" i="2"/>
  <c r="AL2389" i="2"/>
  <c r="AK2389" i="2"/>
  <c r="AN2388" i="2"/>
  <c r="AM2388" i="2"/>
  <c r="AL2388" i="2"/>
  <c r="AK2388" i="2"/>
  <c r="AN2387" i="2"/>
  <c r="AM2387" i="2"/>
  <c r="AL2387" i="2"/>
  <c r="AK2387" i="2"/>
  <c r="AN2386" i="2"/>
  <c r="AM2386" i="2"/>
  <c r="AL2386" i="2"/>
  <c r="AK2386" i="2"/>
  <c r="AN2385" i="2"/>
  <c r="AM2385" i="2"/>
  <c r="AL2385" i="2"/>
  <c r="AK2385" i="2"/>
  <c r="AN2384" i="2"/>
  <c r="AM2384" i="2"/>
  <c r="AL2384" i="2"/>
  <c r="AK2384" i="2"/>
  <c r="AN2383" i="2"/>
  <c r="AM2383" i="2"/>
  <c r="AL2383" i="2"/>
  <c r="AK2383" i="2"/>
  <c r="AN2382" i="2"/>
  <c r="AM2382" i="2"/>
  <c r="AL2382" i="2"/>
  <c r="AK2382" i="2"/>
  <c r="AN2381" i="2"/>
  <c r="AM2381" i="2"/>
  <c r="AL2381" i="2"/>
  <c r="AK2381" i="2"/>
  <c r="AN2380" i="2"/>
  <c r="AM2380" i="2"/>
  <c r="AL2380" i="2"/>
  <c r="AK2380" i="2"/>
  <c r="AN2379" i="2"/>
  <c r="AM2379" i="2"/>
  <c r="AL2379" i="2"/>
  <c r="AK2379" i="2"/>
  <c r="AN2378" i="2"/>
  <c r="AM2378" i="2"/>
  <c r="AL2378" i="2"/>
  <c r="AK2378" i="2"/>
  <c r="AN2377" i="2"/>
  <c r="AM2377" i="2"/>
  <c r="AL2377" i="2"/>
  <c r="AK2377" i="2"/>
  <c r="AN2376" i="2"/>
  <c r="AM2376" i="2"/>
  <c r="AL2376" i="2"/>
  <c r="AK2376" i="2"/>
  <c r="AN2375" i="2"/>
  <c r="AM2375" i="2"/>
  <c r="AL2375" i="2"/>
  <c r="AK2375" i="2"/>
  <c r="AN2374" i="2"/>
  <c r="AM2374" i="2"/>
  <c r="AL2374" i="2"/>
  <c r="AK2374" i="2"/>
  <c r="AN2373" i="2"/>
  <c r="AM2373" i="2"/>
  <c r="AL2373" i="2"/>
  <c r="AK2373" i="2"/>
  <c r="AN2372" i="2"/>
  <c r="AM2372" i="2"/>
  <c r="AL2372" i="2"/>
  <c r="AK2372" i="2"/>
  <c r="AN2371" i="2"/>
  <c r="AM2371" i="2"/>
  <c r="AL2371" i="2"/>
  <c r="AK2371" i="2"/>
  <c r="AN2370" i="2"/>
  <c r="AM2370" i="2"/>
  <c r="AL2370" i="2"/>
  <c r="AK2370" i="2"/>
  <c r="AN2369" i="2"/>
  <c r="AM2369" i="2"/>
  <c r="AL2369" i="2"/>
  <c r="AK2369" i="2"/>
  <c r="AN2368" i="2"/>
  <c r="AM2368" i="2"/>
  <c r="AL2368" i="2"/>
  <c r="AK2368" i="2"/>
  <c r="AN2367" i="2"/>
  <c r="AM2367" i="2"/>
  <c r="AL2367" i="2"/>
  <c r="AK2367" i="2"/>
  <c r="AN2366" i="2"/>
  <c r="AM2366" i="2"/>
  <c r="AL2366" i="2"/>
  <c r="AK2366" i="2"/>
  <c r="AN2365" i="2"/>
  <c r="AM2365" i="2"/>
  <c r="AL2365" i="2"/>
  <c r="AK2365" i="2"/>
  <c r="AN2364" i="2"/>
  <c r="AM2364" i="2"/>
  <c r="AL2364" i="2"/>
  <c r="AK2364" i="2"/>
  <c r="AN2363" i="2"/>
  <c r="AM2363" i="2"/>
  <c r="AL2363" i="2"/>
  <c r="AK2363" i="2"/>
  <c r="AN2362" i="2"/>
  <c r="AM2362" i="2"/>
  <c r="AL2362" i="2"/>
  <c r="AK2362" i="2"/>
  <c r="AN2361" i="2"/>
  <c r="AM2361" i="2"/>
  <c r="AL2361" i="2"/>
  <c r="AK2361" i="2"/>
  <c r="AN2360" i="2"/>
  <c r="AM2360" i="2"/>
  <c r="AL2360" i="2"/>
  <c r="AK2360" i="2"/>
  <c r="AN2359" i="2"/>
  <c r="AM2359" i="2"/>
  <c r="AL2359" i="2"/>
  <c r="AK2359" i="2"/>
  <c r="AN2358" i="2"/>
  <c r="AM2358" i="2"/>
  <c r="AL2358" i="2"/>
  <c r="AK2358" i="2"/>
  <c r="AN2357" i="2"/>
  <c r="AM2357" i="2"/>
  <c r="AL2357" i="2"/>
  <c r="AK2357" i="2"/>
  <c r="AN2356" i="2"/>
  <c r="AM2356" i="2"/>
  <c r="AL2356" i="2"/>
  <c r="AK2356" i="2"/>
  <c r="AN2355" i="2"/>
  <c r="AM2355" i="2"/>
  <c r="AL2355" i="2"/>
  <c r="AK2355" i="2"/>
  <c r="AN2354" i="2"/>
  <c r="AM2354" i="2"/>
  <c r="AL2354" i="2"/>
  <c r="AK2354" i="2"/>
  <c r="AN2353" i="2"/>
  <c r="AM2353" i="2"/>
  <c r="AL2353" i="2"/>
  <c r="AK2353" i="2"/>
  <c r="AN2352" i="2"/>
  <c r="AM2352" i="2"/>
  <c r="AL2352" i="2"/>
  <c r="AK2352" i="2"/>
  <c r="AN2351" i="2"/>
  <c r="AM2351" i="2"/>
  <c r="AL2351" i="2"/>
  <c r="AK2351" i="2"/>
  <c r="AN2350" i="2"/>
  <c r="AM2350" i="2"/>
  <c r="AL2350" i="2"/>
  <c r="AK2350" i="2"/>
  <c r="AN2349" i="2"/>
  <c r="AM2349" i="2"/>
  <c r="AL2349" i="2"/>
  <c r="AK2349" i="2"/>
  <c r="AN2348" i="2"/>
  <c r="AM2348" i="2"/>
  <c r="AL2348" i="2"/>
  <c r="AK2348" i="2"/>
  <c r="AN2347" i="2"/>
  <c r="AM2347" i="2"/>
  <c r="AL2347" i="2"/>
  <c r="AK2347" i="2"/>
  <c r="AN2346" i="2"/>
  <c r="AM2346" i="2"/>
  <c r="AL2346" i="2"/>
  <c r="AK2346" i="2"/>
  <c r="AN2345" i="2"/>
  <c r="AM2345" i="2"/>
  <c r="AL2345" i="2"/>
  <c r="AK2345" i="2"/>
  <c r="AN2344" i="2"/>
  <c r="AM2344" i="2"/>
  <c r="AL2344" i="2"/>
  <c r="AK2344" i="2"/>
  <c r="AN2343" i="2"/>
  <c r="AM2343" i="2"/>
  <c r="AL2343" i="2"/>
  <c r="AK2343" i="2"/>
  <c r="AN2342" i="2"/>
  <c r="AM2342" i="2"/>
  <c r="AL2342" i="2"/>
  <c r="AK2342" i="2"/>
  <c r="AN2341" i="2"/>
  <c r="AM2341" i="2"/>
  <c r="AL2341" i="2"/>
  <c r="AK2341" i="2"/>
  <c r="AN2340" i="2"/>
  <c r="AM2340" i="2"/>
  <c r="AL2340" i="2"/>
  <c r="AK2340" i="2"/>
  <c r="AN2339" i="2"/>
  <c r="AM2339" i="2"/>
  <c r="AL2339" i="2"/>
  <c r="AK2339" i="2"/>
  <c r="AN2338" i="2"/>
  <c r="AM2338" i="2"/>
  <c r="AL2338" i="2"/>
  <c r="AK2338" i="2"/>
  <c r="AN2337" i="2"/>
  <c r="AM2337" i="2"/>
  <c r="AL2337" i="2"/>
  <c r="AK2337" i="2"/>
  <c r="AN2336" i="2"/>
  <c r="AM2336" i="2"/>
  <c r="AL2336" i="2"/>
  <c r="AK2336" i="2"/>
  <c r="AN2335" i="2"/>
  <c r="AM2335" i="2"/>
  <c r="AL2335" i="2"/>
  <c r="AK2335" i="2"/>
  <c r="AN2334" i="2"/>
  <c r="AM2334" i="2"/>
  <c r="AL2334" i="2"/>
  <c r="AK2334" i="2"/>
  <c r="AN2333" i="2"/>
  <c r="AM2333" i="2"/>
  <c r="AL2333" i="2"/>
  <c r="AK2333" i="2"/>
  <c r="AN2332" i="2"/>
  <c r="AM2332" i="2"/>
  <c r="AL2332" i="2"/>
  <c r="AK2332" i="2"/>
  <c r="AN2331" i="2"/>
  <c r="AM2331" i="2"/>
  <c r="AL2331" i="2"/>
  <c r="AK2331" i="2"/>
  <c r="AN2330" i="2"/>
  <c r="AM2330" i="2"/>
  <c r="AL2330" i="2"/>
  <c r="AK2330" i="2"/>
  <c r="AN2329" i="2"/>
  <c r="AM2329" i="2"/>
  <c r="AL2329" i="2"/>
  <c r="AK2329" i="2"/>
  <c r="AN2328" i="2"/>
  <c r="AM2328" i="2"/>
  <c r="AL2328" i="2"/>
  <c r="AK2328" i="2"/>
  <c r="AN2327" i="2"/>
  <c r="AM2327" i="2"/>
  <c r="AL2327" i="2"/>
  <c r="AK2327" i="2"/>
  <c r="AN2326" i="2"/>
  <c r="AM2326" i="2"/>
  <c r="AL2326" i="2"/>
  <c r="AK2326" i="2"/>
  <c r="AN2325" i="2"/>
  <c r="AM2325" i="2"/>
  <c r="AL2325" i="2"/>
  <c r="AK2325" i="2"/>
  <c r="AN2324" i="2"/>
  <c r="AM2324" i="2"/>
  <c r="AL2324" i="2"/>
  <c r="AK2324" i="2"/>
  <c r="AN2323" i="2"/>
  <c r="AM2323" i="2"/>
  <c r="AL2323" i="2"/>
  <c r="AK2323" i="2"/>
  <c r="AN2322" i="2"/>
  <c r="AM2322" i="2"/>
  <c r="AL2322" i="2"/>
  <c r="AK2322" i="2"/>
  <c r="AN2321" i="2"/>
  <c r="AM2321" i="2"/>
  <c r="AL2321" i="2"/>
  <c r="AK2321" i="2"/>
  <c r="AN2320" i="2"/>
  <c r="AM2320" i="2"/>
  <c r="AL2320" i="2"/>
  <c r="AK2320" i="2"/>
  <c r="AN2319" i="2"/>
  <c r="AM2319" i="2"/>
  <c r="AL2319" i="2"/>
  <c r="AK2319" i="2"/>
  <c r="AN2318" i="2"/>
  <c r="AM2318" i="2"/>
  <c r="AL2318" i="2"/>
  <c r="AK2318" i="2"/>
  <c r="AN2317" i="2"/>
  <c r="AM2317" i="2"/>
  <c r="AL2317" i="2"/>
  <c r="AK2317" i="2"/>
  <c r="AN2316" i="2"/>
  <c r="AM2316" i="2"/>
  <c r="AL2316" i="2"/>
  <c r="AK2316" i="2"/>
  <c r="AN2315" i="2"/>
  <c r="AM2315" i="2"/>
  <c r="AL2315" i="2"/>
  <c r="AK2315" i="2"/>
  <c r="AN2314" i="2"/>
  <c r="AM2314" i="2"/>
  <c r="AL2314" i="2"/>
  <c r="AK2314" i="2"/>
  <c r="AN2313" i="2"/>
  <c r="AM2313" i="2"/>
  <c r="AL2313" i="2"/>
  <c r="AK2313" i="2"/>
  <c r="AN2312" i="2"/>
  <c r="AM2312" i="2"/>
  <c r="AL2312" i="2"/>
  <c r="AK2312" i="2"/>
  <c r="AN2311" i="2"/>
  <c r="AM2311" i="2"/>
  <c r="AL2311" i="2"/>
  <c r="AK2311" i="2"/>
  <c r="AN2310" i="2"/>
  <c r="AM2310" i="2"/>
  <c r="AL2310" i="2"/>
  <c r="AK2310" i="2"/>
  <c r="AN2309" i="2"/>
  <c r="AM2309" i="2"/>
  <c r="AL2309" i="2"/>
  <c r="AK2309" i="2"/>
  <c r="AN2308" i="2"/>
  <c r="AM2308" i="2"/>
  <c r="AL2308" i="2"/>
  <c r="AK2308" i="2"/>
  <c r="AN2307" i="2"/>
  <c r="AM2307" i="2"/>
  <c r="AL2307" i="2"/>
  <c r="AK2307" i="2"/>
  <c r="AN2306" i="2"/>
  <c r="AM2306" i="2"/>
  <c r="AL2306" i="2"/>
  <c r="AK2306" i="2"/>
  <c r="AN2305" i="2"/>
  <c r="AM2305" i="2"/>
  <c r="AL2305" i="2"/>
  <c r="AK2305" i="2"/>
  <c r="AN2304" i="2"/>
  <c r="AM2304" i="2"/>
  <c r="AL2304" i="2"/>
  <c r="AK2304" i="2"/>
  <c r="AN2303" i="2"/>
  <c r="AM2303" i="2"/>
  <c r="AL2303" i="2"/>
  <c r="AK2303" i="2"/>
  <c r="AN2302" i="2"/>
  <c r="AM2302" i="2"/>
  <c r="AL2302" i="2"/>
  <c r="AK2302" i="2"/>
  <c r="AN2301" i="2"/>
  <c r="AM2301" i="2"/>
  <c r="AL2301" i="2"/>
  <c r="AK2301" i="2"/>
  <c r="AN2300" i="2"/>
  <c r="AM2300" i="2"/>
  <c r="AL2300" i="2"/>
  <c r="AK2300" i="2"/>
  <c r="AN2299" i="2"/>
  <c r="AM2299" i="2"/>
  <c r="AL2299" i="2"/>
  <c r="AK2299" i="2"/>
  <c r="AN2298" i="2"/>
  <c r="AM2298" i="2"/>
  <c r="AL2298" i="2"/>
  <c r="AK2298" i="2"/>
  <c r="AN2297" i="2"/>
  <c r="AM2297" i="2"/>
  <c r="AL2297" i="2"/>
  <c r="AK2297" i="2"/>
  <c r="AN2296" i="2"/>
  <c r="AM2296" i="2"/>
  <c r="AL2296" i="2"/>
  <c r="AK2296" i="2"/>
  <c r="AN2295" i="2"/>
  <c r="AM2295" i="2"/>
  <c r="AL2295" i="2"/>
  <c r="AK2295" i="2"/>
  <c r="AN2294" i="2"/>
  <c r="AM2294" i="2"/>
  <c r="AL2294" i="2"/>
  <c r="AK2294" i="2"/>
  <c r="AN2293" i="2"/>
  <c r="AM2293" i="2"/>
  <c r="AL2293" i="2"/>
  <c r="AK2293" i="2"/>
  <c r="AN2292" i="2"/>
  <c r="AM2292" i="2"/>
  <c r="AL2292" i="2"/>
  <c r="AK2292" i="2"/>
  <c r="AN2291" i="2"/>
  <c r="AM2291" i="2"/>
  <c r="AL2291" i="2"/>
  <c r="AK2291" i="2"/>
  <c r="AN2290" i="2"/>
  <c r="AM2290" i="2"/>
  <c r="AL2290" i="2"/>
  <c r="AK2290" i="2"/>
  <c r="AN2289" i="2"/>
  <c r="AM2289" i="2"/>
  <c r="AL2289" i="2"/>
  <c r="AK2289" i="2"/>
  <c r="AN2288" i="2"/>
  <c r="AM2288" i="2"/>
  <c r="AL2288" i="2"/>
  <c r="AK2288" i="2"/>
  <c r="AN2287" i="2"/>
  <c r="AM2287" i="2"/>
  <c r="AL2287" i="2"/>
  <c r="AK2287" i="2"/>
  <c r="AN2286" i="2"/>
  <c r="AM2286" i="2"/>
  <c r="AL2286" i="2"/>
  <c r="AK2286" i="2"/>
  <c r="AN2285" i="2"/>
  <c r="AM2285" i="2"/>
  <c r="AL2285" i="2"/>
  <c r="AK2285" i="2"/>
  <c r="AN2284" i="2"/>
  <c r="AM2284" i="2"/>
  <c r="AL2284" i="2"/>
  <c r="AK2284" i="2"/>
  <c r="AN2283" i="2"/>
  <c r="AM2283" i="2"/>
  <c r="AL2283" i="2"/>
  <c r="AK2283" i="2"/>
  <c r="AN2282" i="2"/>
  <c r="AM2282" i="2"/>
  <c r="AL2282" i="2"/>
  <c r="AK2282" i="2"/>
  <c r="AN2281" i="2"/>
  <c r="AM2281" i="2"/>
  <c r="AL2281" i="2"/>
  <c r="AK2281" i="2"/>
  <c r="AN2280" i="2"/>
  <c r="AM2280" i="2"/>
  <c r="AL2280" i="2"/>
  <c r="AK2280" i="2"/>
  <c r="AN2279" i="2"/>
  <c r="AM2279" i="2"/>
  <c r="AL2279" i="2"/>
  <c r="AK2279" i="2"/>
  <c r="AN2278" i="2"/>
  <c r="AM2278" i="2"/>
  <c r="AL2278" i="2"/>
  <c r="AK2278" i="2"/>
  <c r="AN2277" i="2"/>
  <c r="AM2277" i="2"/>
  <c r="AL2277" i="2"/>
  <c r="AK2277" i="2"/>
  <c r="AN2276" i="2"/>
  <c r="AM2276" i="2"/>
  <c r="AL2276" i="2"/>
  <c r="AK2276" i="2"/>
  <c r="AN2275" i="2"/>
  <c r="AM2275" i="2"/>
  <c r="AL2275" i="2"/>
  <c r="AK2275" i="2"/>
  <c r="AN2274" i="2"/>
  <c r="AM2274" i="2"/>
  <c r="AL2274" i="2"/>
  <c r="AK2274" i="2"/>
  <c r="AN2273" i="2"/>
  <c r="AM2273" i="2"/>
  <c r="AL2273" i="2"/>
  <c r="AK2273" i="2"/>
  <c r="AN2272" i="2"/>
  <c r="AM2272" i="2"/>
  <c r="AL2272" i="2"/>
  <c r="AK2272" i="2"/>
  <c r="AN2271" i="2"/>
  <c r="AM2271" i="2"/>
  <c r="AL2271" i="2"/>
  <c r="AK2271" i="2"/>
  <c r="AN2270" i="2"/>
  <c r="AM2270" i="2"/>
  <c r="AL2270" i="2"/>
  <c r="AK2270" i="2"/>
  <c r="AN2269" i="2"/>
  <c r="AM2269" i="2"/>
  <c r="AL2269" i="2"/>
  <c r="AK2269" i="2"/>
  <c r="AN2268" i="2"/>
  <c r="AM2268" i="2"/>
  <c r="AL2268" i="2"/>
  <c r="AK2268" i="2"/>
  <c r="AN2267" i="2"/>
  <c r="AM2267" i="2"/>
  <c r="AL2267" i="2"/>
  <c r="AK2267" i="2"/>
  <c r="AN2266" i="2"/>
  <c r="AM2266" i="2"/>
  <c r="AL2266" i="2"/>
  <c r="AK2266" i="2"/>
  <c r="AN2265" i="2"/>
  <c r="AM2265" i="2"/>
  <c r="AL2265" i="2"/>
  <c r="AK2265" i="2"/>
  <c r="AN2264" i="2"/>
  <c r="AM2264" i="2"/>
  <c r="AL2264" i="2"/>
  <c r="AK2264" i="2"/>
  <c r="AN2263" i="2"/>
  <c r="AM2263" i="2"/>
  <c r="AL2263" i="2"/>
  <c r="AK2263" i="2"/>
  <c r="AN2262" i="2"/>
  <c r="AM2262" i="2"/>
  <c r="AL2262" i="2"/>
  <c r="AK2262" i="2"/>
  <c r="AN2261" i="2"/>
  <c r="AM2261" i="2"/>
  <c r="AL2261" i="2"/>
  <c r="AK2261" i="2"/>
  <c r="AN2260" i="2"/>
  <c r="AM2260" i="2"/>
  <c r="AL2260" i="2"/>
  <c r="AK2260" i="2"/>
  <c r="AN2259" i="2"/>
  <c r="AM2259" i="2"/>
  <c r="AL2259" i="2"/>
  <c r="AK2259" i="2"/>
  <c r="AN2258" i="2"/>
  <c r="AM2258" i="2"/>
  <c r="AL2258" i="2"/>
  <c r="AK2258" i="2"/>
  <c r="AN2257" i="2"/>
  <c r="AM2257" i="2"/>
  <c r="AL2257" i="2"/>
  <c r="AK2257" i="2"/>
  <c r="AN2256" i="2"/>
  <c r="AM2256" i="2"/>
  <c r="AL2256" i="2"/>
  <c r="AK2256" i="2"/>
  <c r="AN2255" i="2"/>
  <c r="AM2255" i="2"/>
  <c r="AL2255" i="2"/>
  <c r="AK2255" i="2"/>
  <c r="AN2254" i="2"/>
  <c r="AM2254" i="2"/>
  <c r="AL2254" i="2"/>
  <c r="AK2254" i="2"/>
  <c r="AN2253" i="2"/>
  <c r="AM2253" i="2"/>
  <c r="AL2253" i="2"/>
  <c r="AK2253" i="2"/>
  <c r="AN2252" i="2"/>
  <c r="AM2252" i="2"/>
  <c r="AL2252" i="2"/>
  <c r="AK2252" i="2"/>
  <c r="AN2251" i="2"/>
  <c r="AM2251" i="2"/>
  <c r="AL2251" i="2"/>
  <c r="AK2251" i="2"/>
  <c r="AN2250" i="2"/>
  <c r="AM2250" i="2"/>
  <c r="AL2250" i="2"/>
  <c r="AK2250" i="2"/>
  <c r="AN2249" i="2"/>
  <c r="AM2249" i="2"/>
  <c r="AL2249" i="2"/>
  <c r="AK2249" i="2"/>
  <c r="AN2248" i="2"/>
  <c r="AM2248" i="2"/>
  <c r="AL2248" i="2"/>
  <c r="AK2248" i="2"/>
  <c r="AN2247" i="2"/>
  <c r="AM2247" i="2"/>
  <c r="AL2247" i="2"/>
  <c r="AK2247" i="2"/>
  <c r="AN2246" i="2"/>
  <c r="AM2246" i="2"/>
  <c r="AL2246" i="2"/>
  <c r="AK2246" i="2"/>
  <c r="AN2245" i="2"/>
  <c r="AM2245" i="2"/>
  <c r="AL2245" i="2"/>
  <c r="AK2245" i="2"/>
  <c r="AN2244" i="2"/>
  <c r="AM2244" i="2"/>
  <c r="AL2244" i="2"/>
  <c r="AK2244" i="2"/>
  <c r="AN2243" i="2"/>
  <c r="AM2243" i="2"/>
  <c r="AL2243" i="2"/>
  <c r="AK2243" i="2"/>
  <c r="AN2242" i="2"/>
  <c r="AM2242" i="2"/>
  <c r="AL2242" i="2"/>
  <c r="AK2242" i="2"/>
  <c r="AN2241" i="2"/>
  <c r="AM2241" i="2"/>
  <c r="AL2241" i="2"/>
  <c r="AK2241" i="2"/>
  <c r="AN2240" i="2"/>
  <c r="AM2240" i="2"/>
  <c r="AL2240" i="2"/>
  <c r="AK2240" i="2"/>
  <c r="AN2239" i="2"/>
  <c r="AM2239" i="2"/>
  <c r="AL2239" i="2"/>
  <c r="AK2239" i="2"/>
  <c r="AN2238" i="2"/>
  <c r="AM2238" i="2"/>
  <c r="AL2238" i="2"/>
  <c r="AK2238" i="2"/>
  <c r="AN2237" i="2"/>
  <c r="AM2237" i="2"/>
  <c r="AL2237" i="2"/>
  <c r="AK2237" i="2"/>
  <c r="AN2236" i="2"/>
  <c r="AM2236" i="2"/>
  <c r="AL2236" i="2"/>
  <c r="AK2236" i="2"/>
  <c r="AN2235" i="2"/>
  <c r="AM2235" i="2"/>
  <c r="AL2235" i="2"/>
  <c r="AK2235" i="2"/>
  <c r="AN2234" i="2"/>
  <c r="AM2234" i="2"/>
  <c r="AL2234" i="2"/>
  <c r="AK2234" i="2"/>
  <c r="AN2233" i="2"/>
  <c r="AM2233" i="2"/>
  <c r="AL2233" i="2"/>
  <c r="AK2233" i="2"/>
  <c r="AN2232" i="2"/>
  <c r="AM2232" i="2"/>
  <c r="AL2232" i="2"/>
  <c r="AK2232" i="2"/>
  <c r="AN2231" i="2"/>
  <c r="AM2231" i="2"/>
  <c r="AL2231" i="2"/>
  <c r="AK2231" i="2"/>
  <c r="AN2230" i="2"/>
  <c r="AM2230" i="2"/>
  <c r="AL2230" i="2"/>
  <c r="AK2230" i="2"/>
  <c r="AN2229" i="2"/>
  <c r="AM2229" i="2"/>
  <c r="AL2229" i="2"/>
  <c r="AK2229" i="2"/>
  <c r="AN2228" i="2"/>
  <c r="AM2228" i="2"/>
  <c r="AL2228" i="2"/>
  <c r="AK2228" i="2"/>
  <c r="AN2227" i="2"/>
  <c r="AM2227" i="2"/>
  <c r="AL2227" i="2"/>
  <c r="AK2227" i="2"/>
  <c r="AN2226" i="2"/>
  <c r="AM2226" i="2"/>
  <c r="AL2226" i="2"/>
  <c r="AK2226" i="2"/>
  <c r="AN2225" i="2"/>
  <c r="AM2225" i="2"/>
  <c r="AL2225" i="2"/>
  <c r="AK2225" i="2"/>
  <c r="AN2224" i="2"/>
  <c r="AM2224" i="2"/>
  <c r="AL2224" i="2"/>
  <c r="AK2224" i="2"/>
  <c r="AN2223" i="2"/>
  <c r="AM2223" i="2"/>
  <c r="AL2223" i="2"/>
  <c r="AK2223" i="2"/>
  <c r="AN2222" i="2"/>
  <c r="AM2222" i="2"/>
  <c r="AL2222" i="2"/>
  <c r="AK2222" i="2"/>
  <c r="AN2221" i="2"/>
  <c r="AM2221" i="2"/>
  <c r="AL2221" i="2"/>
  <c r="AK2221" i="2"/>
  <c r="AN2220" i="2"/>
  <c r="AM2220" i="2"/>
  <c r="AL2220" i="2"/>
  <c r="AK2220" i="2"/>
  <c r="AN2219" i="2"/>
  <c r="AM2219" i="2"/>
  <c r="AL2219" i="2"/>
  <c r="AK2219" i="2"/>
  <c r="AN2218" i="2"/>
  <c r="AM2218" i="2"/>
  <c r="AL2218" i="2"/>
  <c r="AK2218" i="2"/>
  <c r="AN2217" i="2"/>
  <c r="AM2217" i="2"/>
  <c r="AL2217" i="2"/>
  <c r="AK2217" i="2"/>
  <c r="AN2216" i="2"/>
  <c r="AM2216" i="2"/>
  <c r="AL2216" i="2"/>
  <c r="AK2216" i="2"/>
  <c r="AN2215" i="2"/>
  <c r="AM2215" i="2"/>
  <c r="AL2215" i="2"/>
  <c r="AK2215" i="2"/>
  <c r="AN2214" i="2"/>
  <c r="AM2214" i="2"/>
  <c r="AL2214" i="2"/>
  <c r="AK2214" i="2"/>
  <c r="AN2213" i="2"/>
  <c r="AM2213" i="2"/>
  <c r="AL2213" i="2"/>
  <c r="AK2213" i="2"/>
  <c r="AN2212" i="2"/>
  <c r="AM2212" i="2"/>
  <c r="AL2212" i="2"/>
  <c r="AK2212" i="2"/>
  <c r="AN2211" i="2"/>
  <c r="AM2211" i="2"/>
  <c r="AL2211" i="2"/>
  <c r="AK2211" i="2"/>
  <c r="AN2210" i="2"/>
  <c r="AM2210" i="2"/>
  <c r="AL2210" i="2"/>
  <c r="AK2210" i="2"/>
  <c r="AN2209" i="2"/>
  <c r="AM2209" i="2"/>
  <c r="AL2209" i="2"/>
  <c r="AK2209" i="2"/>
  <c r="AN2208" i="2"/>
  <c r="AM2208" i="2"/>
  <c r="AL2208" i="2"/>
  <c r="AK2208" i="2"/>
  <c r="AN2207" i="2"/>
  <c r="AM2207" i="2"/>
  <c r="AL2207" i="2"/>
  <c r="AK2207" i="2"/>
  <c r="AN2206" i="2"/>
  <c r="AM2206" i="2"/>
  <c r="AL2206" i="2"/>
  <c r="AK2206" i="2"/>
  <c r="AN2205" i="2"/>
  <c r="AM2205" i="2"/>
  <c r="AL2205" i="2"/>
  <c r="AK2205" i="2"/>
  <c r="AN2204" i="2"/>
  <c r="AM2204" i="2"/>
  <c r="AL2204" i="2"/>
  <c r="AK2204" i="2"/>
  <c r="AN2203" i="2"/>
  <c r="AM2203" i="2"/>
  <c r="AL2203" i="2"/>
  <c r="AK2203" i="2"/>
  <c r="AN2202" i="2"/>
  <c r="AM2202" i="2"/>
  <c r="AL2202" i="2"/>
  <c r="AK2202" i="2"/>
  <c r="AN2201" i="2"/>
  <c r="AM2201" i="2"/>
  <c r="AL2201" i="2"/>
  <c r="AK2201" i="2"/>
  <c r="AN2200" i="2"/>
  <c r="AM2200" i="2"/>
  <c r="AL2200" i="2"/>
  <c r="AK2200" i="2"/>
  <c r="AN2199" i="2"/>
  <c r="AM2199" i="2"/>
  <c r="AL2199" i="2"/>
  <c r="AK2199" i="2"/>
  <c r="AN2198" i="2"/>
  <c r="AM2198" i="2"/>
  <c r="AL2198" i="2"/>
  <c r="AK2198" i="2"/>
  <c r="AN2197" i="2"/>
  <c r="AM2197" i="2"/>
  <c r="AL2197" i="2"/>
  <c r="AK2197" i="2"/>
  <c r="AN2196" i="2"/>
  <c r="AM2196" i="2"/>
  <c r="AL2196" i="2"/>
  <c r="AK2196" i="2"/>
  <c r="AN2195" i="2"/>
  <c r="AM2195" i="2"/>
  <c r="AL2195" i="2"/>
  <c r="AK2195" i="2"/>
  <c r="AN2194" i="2"/>
  <c r="AM2194" i="2"/>
  <c r="AL2194" i="2"/>
  <c r="AK2194" i="2"/>
  <c r="AN2193" i="2"/>
  <c r="AM2193" i="2"/>
  <c r="AL2193" i="2"/>
  <c r="AK2193" i="2"/>
  <c r="AN2192" i="2"/>
  <c r="AM2192" i="2"/>
  <c r="AL2192" i="2"/>
  <c r="AK2192" i="2"/>
  <c r="AN2191" i="2"/>
  <c r="AM2191" i="2"/>
  <c r="AL2191" i="2"/>
  <c r="AK2191" i="2"/>
  <c r="AN2190" i="2"/>
  <c r="AM2190" i="2"/>
  <c r="AL2190" i="2"/>
  <c r="AK2190" i="2"/>
  <c r="AN2189" i="2"/>
  <c r="AM2189" i="2"/>
  <c r="AL2189" i="2"/>
  <c r="AK2189" i="2"/>
  <c r="AN2188" i="2"/>
  <c r="AM2188" i="2"/>
  <c r="AL2188" i="2"/>
  <c r="AK2188" i="2"/>
  <c r="AN2187" i="2"/>
  <c r="AM2187" i="2"/>
  <c r="AL2187" i="2"/>
  <c r="AK2187" i="2"/>
  <c r="AN2186" i="2"/>
  <c r="AM2186" i="2"/>
  <c r="AL2186" i="2"/>
  <c r="AK2186" i="2"/>
  <c r="AN2185" i="2"/>
  <c r="AM2185" i="2"/>
  <c r="AL2185" i="2"/>
  <c r="AK2185" i="2"/>
  <c r="AN2184" i="2"/>
  <c r="AM2184" i="2"/>
  <c r="AL2184" i="2"/>
  <c r="AK2184" i="2"/>
  <c r="AN2183" i="2"/>
  <c r="AM2183" i="2"/>
  <c r="AL2183" i="2"/>
  <c r="AK2183" i="2"/>
  <c r="AN2182" i="2"/>
  <c r="AM2182" i="2"/>
  <c r="AL2182" i="2"/>
  <c r="AK2182" i="2"/>
  <c r="AN2181" i="2"/>
  <c r="AM2181" i="2"/>
  <c r="AL2181" i="2"/>
  <c r="AK2181" i="2"/>
  <c r="AN2180" i="2"/>
  <c r="AM2180" i="2"/>
  <c r="AL2180" i="2"/>
  <c r="AK2180" i="2"/>
  <c r="AN2179" i="2"/>
  <c r="AM2179" i="2"/>
  <c r="AL2179" i="2"/>
  <c r="AK2179" i="2"/>
  <c r="AN2178" i="2"/>
  <c r="AM2178" i="2"/>
  <c r="AL2178" i="2"/>
  <c r="AK2178" i="2"/>
  <c r="AN2177" i="2"/>
  <c r="AM2177" i="2"/>
  <c r="AL2177" i="2"/>
  <c r="AK2177" i="2"/>
  <c r="AN2176" i="2"/>
  <c r="AM2176" i="2"/>
  <c r="AL2176" i="2"/>
  <c r="AK2176" i="2"/>
  <c r="AN2175" i="2"/>
  <c r="AM2175" i="2"/>
  <c r="AL2175" i="2"/>
  <c r="AK2175" i="2"/>
  <c r="AN2174" i="2"/>
  <c r="AM2174" i="2"/>
  <c r="AL2174" i="2"/>
  <c r="AK2174" i="2"/>
  <c r="AN2173" i="2"/>
  <c r="AM2173" i="2"/>
  <c r="AL2173" i="2"/>
  <c r="AK2173" i="2"/>
  <c r="AN2172" i="2"/>
  <c r="AM2172" i="2"/>
  <c r="AL2172" i="2"/>
  <c r="AK2172" i="2"/>
  <c r="AN2171" i="2"/>
  <c r="AM2171" i="2"/>
  <c r="AL2171" i="2"/>
  <c r="AK2171" i="2"/>
  <c r="AN2170" i="2"/>
  <c r="AM2170" i="2"/>
  <c r="AL2170" i="2"/>
  <c r="AK2170" i="2"/>
  <c r="AN2169" i="2"/>
  <c r="AM2169" i="2"/>
  <c r="AL2169" i="2"/>
  <c r="AK2169" i="2"/>
  <c r="AN2168" i="2"/>
  <c r="AM2168" i="2"/>
  <c r="AL2168" i="2"/>
  <c r="AK2168" i="2"/>
  <c r="AN2167" i="2"/>
  <c r="AM2167" i="2"/>
  <c r="AL2167" i="2"/>
  <c r="AK2167" i="2"/>
  <c r="AN2166" i="2"/>
  <c r="AM2166" i="2"/>
  <c r="AL2166" i="2"/>
  <c r="AK2166" i="2"/>
  <c r="AN2165" i="2"/>
  <c r="AM2165" i="2"/>
  <c r="AL2165" i="2"/>
  <c r="AK2165" i="2"/>
  <c r="AN2164" i="2"/>
  <c r="AM2164" i="2"/>
  <c r="AL2164" i="2"/>
  <c r="AK2164" i="2"/>
  <c r="AN2163" i="2"/>
  <c r="AM2163" i="2"/>
  <c r="AL2163" i="2"/>
  <c r="AK2163" i="2"/>
  <c r="AN2162" i="2"/>
  <c r="AM2162" i="2"/>
  <c r="AL2162" i="2"/>
  <c r="AK2162" i="2"/>
  <c r="AN2161" i="2"/>
  <c r="AM2161" i="2"/>
  <c r="AL2161" i="2"/>
  <c r="AK2161" i="2"/>
  <c r="AN2160" i="2"/>
  <c r="AM2160" i="2"/>
  <c r="AL2160" i="2"/>
  <c r="AK2160" i="2"/>
  <c r="AN2159" i="2"/>
  <c r="AM2159" i="2"/>
  <c r="AL2159" i="2"/>
  <c r="AK2159" i="2"/>
  <c r="AN2158" i="2"/>
  <c r="AM2158" i="2"/>
  <c r="AL2158" i="2"/>
  <c r="AK2158" i="2"/>
  <c r="AN2157" i="2"/>
  <c r="AM2157" i="2"/>
  <c r="AL2157" i="2"/>
  <c r="AK2157" i="2"/>
  <c r="AN2156" i="2"/>
  <c r="AM2156" i="2"/>
  <c r="AL2156" i="2"/>
  <c r="AK2156" i="2"/>
  <c r="AN2155" i="2"/>
  <c r="AM2155" i="2"/>
  <c r="AL2155" i="2"/>
  <c r="AK2155" i="2"/>
  <c r="AN2154" i="2"/>
  <c r="AM2154" i="2"/>
  <c r="AL2154" i="2"/>
  <c r="AK2154" i="2"/>
  <c r="AN2153" i="2"/>
  <c r="AM2153" i="2"/>
  <c r="AL2153" i="2"/>
  <c r="AK2153" i="2"/>
  <c r="AN2152" i="2"/>
  <c r="AM2152" i="2"/>
  <c r="AL2152" i="2"/>
  <c r="AK2152" i="2"/>
  <c r="AN2151" i="2"/>
  <c r="AM2151" i="2"/>
  <c r="AL2151" i="2"/>
  <c r="AK2151" i="2"/>
  <c r="AN2150" i="2"/>
  <c r="AM2150" i="2"/>
  <c r="AL2150" i="2"/>
  <c r="AK2150" i="2"/>
  <c r="AN2149" i="2"/>
  <c r="AM2149" i="2"/>
  <c r="AL2149" i="2"/>
  <c r="AK2149" i="2"/>
  <c r="AN2148" i="2"/>
  <c r="AM2148" i="2"/>
  <c r="AL2148" i="2"/>
  <c r="AK2148" i="2"/>
  <c r="AN2147" i="2"/>
  <c r="AM2147" i="2"/>
  <c r="AL2147" i="2"/>
  <c r="AK2147" i="2"/>
  <c r="AN2146" i="2"/>
  <c r="AM2146" i="2"/>
  <c r="AL2146" i="2"/>
  <c r="AK2146" i="2"/>
  <c r="AN2145" i="2"/>
  <c r="AM2145" i="2"/>
  <c r="AL2145" i="2"/>
  <c r="AK2145" i="2"/>
  <c r="AN2144" i="2"/>
  <c r="AM2144" i="2"/>
  <c r="AL2144" i="2"/>
  <c r="AK2144" i="2"/>
  <c r="AN2143" i="2"/>
  <c r="AM2143" i="2"/>
  <c r="AL2143" i="2"/>
  <c r="AK2143" i="2"/>
  <c r="AN2142" i="2"/>
  <c r="AM2142" i="2"/>
  <c r="AL2142" i="2"/>
  <c r="AK2142" i="2"/>
  <c r="AN2141" i="2"/>
  <c r="AM2141" i="2"/>
  <c r="AL2141" i="2"/>
  <c r="AK2141" i="2"/>
  <c r="AN2140" i="2"/>
  <c r="AM2140" i="2"/>
  <c r="AL2140" i="2"/>
  <c r="AK2140" i="2"/>
  <c r="AN2139" i="2"/>
  <c r="AM2139" i="2"/>
  <c r="AL2139" i="2"/>
  <c r="AK2139" i="2"/>
  <c r="AN2138" i="2"/>
  <c r="AM2138" i="2"/>
  <c r="AL2138" i="2"/>
  <c r="AK2138" i="2"/>
  <c r="AN2137" i="2"/>
  <c r="AM2137" i="2"/>
  <c r="AL2137" i="2"/>
  <c r="AK2137" i="2"/>
  <c r="AN2136" i="2"/>
  <c r="AM2136" i="2"/>
  <c r="AL2136" i="2"/>
  <c r="AK2136" i="2"/>
  <c r="AN2135" i="2"/>
  <c r="AM2135" i="2"/>
  <c r="AL2135" i="2"/>
  <c r="AK2135" i="2"/>
  <c r="AN2134" i="2"/>
  <c r="AM2134" i="2"/>
  <c r="AL2134" i="2"/>
  <c r="AK2134" i="2"/>
  <c r="AN2133" i="2"/>
  <c r="AM2133" i="2"/>
  <c r="AL2133" i="2"/>
  <c r="AK2133" i="2"/>
  <c r="AN2132" i="2"/>
  <c r="AM2132" i="2"/>
  <c r="AL2132" i="2"/>
  <c r="AK2132" i="2"/>
  <c r="AN2131" i="2"/>
  <c r="AM2131" i="2"/>
  <c r="AL2131" i="2"/>
  <c r="AK2131" i="2"/>
  <c r="AN2130" i="2"/>
  <c r="AM2130" i="2"/>
  <c r="AL2130" i="2"/>
  <c r="AK2130" i="2"/>
  <c r="AN2129" i="2"/>
  <c r="AM2129" i="2"/>
  <c r="AL2129" i="2"/>
  <c r="AK2129" i="2"/>
  <c r="AN2128" i="2"/>
  <c r="AM2128" i="2"/>
  <c r="AL2128" i="2"/>
  <c r="AK2128" i="2"/>
  <c r="AN2127" i="2"/>
  <c r="AM2127" i="2"/>
  <c r="AL2127" i="2"/>
  <c r="AK2127" i="2"/>
  <c r="AN2126" i="2"/>
  <c r="AM2126" i="2"/>
  <c r="AL2126" i="2"/>
  <c r="AK2126" i="2"/>
  <c r="AN2125" i="2"/>
  <c r="AM2125" i="2"/>
  <c r="AL2125" i="2"/>
  <c r="AK2125" i="2"/>
  <c r="AN2124" i="2"/>
  <c r="AM2124" i="2"/>
  <c r="AL2124" i="2"/>
  <c r="AK2124" i="2"/>
  <c r="AN2123" i="2"/>
  <c r="AM2123" i="2"/>
  <c r="AL2123" i="2"/>
  <c r="AK2123" i="2"/>
  <c r="AN2122" i="2"/>
  <c r="AM2122" i="2"/>
  <c r="AL2122" i="2"/>
  <c r="AK2122" i="2"/>
  <c r="AN2121" i="2"/>
  <c r="AM2121" i="2"/>
  <c r="AL2121" i="2"/>
  <c r="AK2121" i="2"/>
  <c r="AN2120" i="2"/>
  <c r="AM2120" i="2"/>
  <c r="AL2120" i="2"/>
  <c r="AK2120" i="2"/>
  <c r="AN2119" i="2"/>
  <c r="AM2119" i="2"/>
  <c r="AL2119" i="2"/>
  <c r="AK2119" i="2"/>
  <c r="AN2118" i="2"/>
  <c r="AM2118" i="2"/>
  <c r="AL2118" i="2"/>
  <c r="AK2118" i="2"/>
  <c r="AN2117" i="2"/>
  <c r="AM2117" i="2"/>
  <c r="AL2117" i="2"/>
  <c r="AK2117" i="2"/>
  <c r="AN2116" i="2"/>
  <c r="AM2116" i="2"/>
  <c r="AL2116" i="2"/>
  <c r="AK2116" i="2"/>
  <c r="AN2115" i="2"/>
  <c r="AM2115" i="2"/>
  <c r="AL2115" i="2"/>
  <c r="AK2115" i="2"/>
  <c r="AN2114" i="2"/>
  <c r="AM2114" i="2"/>
  <c r="AL2114" i="2"/>
  <c r="AK2114" i="2"/>
  <c r="AN2113" i="2"/>
  <c r="AM2113" i="2"/>
  <c r="AL2113" i="2"/>
  <c r="AK2113" i="2"/>
  <c r="AN2112" i="2"/>
  <c r="AM2112" i="2"/>
  <c r="AL2112" i="2"/>
  <c r="AK2112" i="2"/>
  <c r="AN2111" i="2"/>
  <c r="AM2111" i="2"/>
  <c r="AL2111" i="2"/>
  <c r="AK2111" i="2"/>
  <c r="AN2110" i="2"/>
  <c r="AM2110" i="2"/>
  <c r="AL2110" i="2"/>
  <c r="AK2110" i="2"/>
  <c r="AN2109" i="2"/>
  <c r="AM2109" i="2"/>
  <c r="AL2109" i="2"/>
  <c r="AK2109" i="2"/>
  <c r="AN2108" i="2"/>
  <c r="AM2108" i="2"/>
  <c r="AL2108" i="2"/>
  <c r="AK2108" i="2"/>
  <c r="AN2107" i="2"/>
  <c r="AM2107" i="2"/>
  <c r="AL2107" i="2"/>
  <c r="AK2107" i="2"/>
  <c r="AN2106" i="2"/>
  <c r="AM2106" i="2"/>
  <c r="AL2106" i="2"/>
  <c r="AK2106" i="2"/>
  <c r="AN2105" i="2"/>
  <c r="AM2105" i="2"/>
  <c r="AL2105" i="2"/>
  <c r="AK2105" i="2"/>
  <c r="AN2104" i="2"/>
  <c r="AM2104" i="2"/>
  <c r="AL2104" i="2"/>
  <c r="AK2104" i="2"/>
  <c r="AN2103" i="2"/>
  <c r="AM2103" i="2"/>
  <c r="AL2103" i="2"/>
  <c r="AK2103" i="2"/>
  <c r="AN2102" i="2"/>
  <c r="AM2102" i="2"/>
  <c r="AL2102" i="2"/>
  <c r="AK2102" i="2"/>
  <c r="AN2101" i="2"/>
  <c r="AM2101" i="2"/>
  <c r="AL2101" i="2"/>
  <c r="AK2101" i="2"/>
  <c r="AN2100" i="2"/>
  <c r="AM2100" i="2"/>
  <c r="AL2100" i="2"/>
  <c r="AK2100" i="2"/>
  <c r="AN2099" i="2"/>
  <c r="AM2099" i="2"/>
  <c r="AL2099" i="2"/>
  <c r="AK2099" i="2"/>
  <c r="AN2098" i="2"/>
  <c r="AM2098" i="2"/>
  <c r="AL2098" i="2"/>
  <c r="AK2098" i="2"/>
  <c r="AN2097" i="2"/>
  <c r="AM2097" i="2"/>
  <c r="AL2097" i="2"/>
  <c r="AK2097" i="2"/>
  <c r="AN2096" i="2"/>
  <c r="AM2096" i="2"/>
  <c r="AL2096" i="2"/>
  <c r="AK2096" i="2"/>
  <c r="AN2095" i="2"/>
  <c r="AM2095" i="2"/>
  <c r="AL2095" i="2"/>
  <c r="AK2095" i="2"/>
  <c r="AN2094" i="2"/>
  <c r="AM2094" i="2"/>
  <c r="AL2094" i="2"/>
  <c r="AK2094" i="2"/>
  <c r="AN2093" i="2"/>
  <c r="AM2093" i="2"/>
  <c r="AL2093" i="2"/>
  <c r="AK2093" i="2"/>
  <c r="AN2092" i="2"/>
  <c r="AM2092" i="2"/>
  <c r="AL2092" i="2"/>
  <c r="AK2092" i="2"/>
  <c r="AN2091" i="2"/>
  <c r="AM2091" i="2"/>
  <c r="AL2091" i="2"/>
  <c r="AK2091" i="2"/>
  <c r="AN2090" i="2"/>
  <c r="AM2090" i="2"/>
  <c r="AL2090" i="2"/>
  <c r="AK2090" i="2"/>
  <c r="AN2089" i="2"/>
  <c r="AM2089" i="2"/>
  <c r="AL2089" i="2"/>
  <c r="AK2089" i="2"/>
  <c r="AN2088" i="2"/>
  <c r="AM2088" i="2"/>
  <c r="AL2088" i="2"/>
  <c r="AK2088" i="2"/>
  <c r="AN2087" i="2"/>
  <c r="AM2087" i="2"/>
  <c r="AL2087" i="2"/>
  <c r="AK2087" i="2"/>
  <c r="AN2086" i="2"/>
  <c r="AM2086" i="2"/>
  <c r="AL2086" i="2"/>
  <c r="AK2086" i="2"/>
  <c r="AN2085" i="2"/>
  <c r="AM2085" i="2"/>
  <c r="AL2085" i="2"/>
  <c r="AK2085" i="2"/>
  <c r="AN2084" i="2"/>
  <c r="AM2084" i="2"/>
  <c r="AL2084" i="2"/>
  <c r="AK2084" i="2"/>
  <c r="AN2083" i="2"/>
  <c r="AM2083" i="2"/>
  <c r="AL2083" i="2"/>
  <c r="AK2083" i="2"/>
  <c r="AN2082" i="2"/>
  <c r="AM2082" i="2"/>
  <c r="AL2082" i="2"/>
  <c r="AK2082" i="2"/>
  <c r="AN2081" i="2"/>
  <c r="AM2081" i="2"/>
  <c r="AL2081" i="2"/>
  <c r="AK2081" i="2"/>
  <c r="AN2080" i="2"/>
  <c r="AM2080" i="2"/>
  <c r="AL2080" i="2"/>
  <c r="AK2080" i="2"/>
  <c r="AN2079" i="2"/>
  <c r="AM2079" i="2"/>
  <c r="AL2079" i="2"/>
  <c r="AK2079" i="2"/>
  <c r="AN2078" i="2"/>
  <c r="AM2078" i="2"/>
  <c r="AL2078" i="2"/>
  <c r="AK2078" i="2"/>
  <c r="AN2077" i="2"/>
  <c r="AM2077" i="2"/>
  <c r="AL2077" i="2"/>
  <c r="AK2077" i="2"/>
  <c r="AN2076" i="2"/>
  <c r="AM2076" i="2"/>
  <c r="AL2076" i="2"/>
  <c r="AK2076" i="2"/>
  <c r="AN2075" i="2"/>
  <c r="AM2075" i="2"/>
  <c r="AL2075" i="2"/>
  <c r="AK2075" i="2"/>
  <c r="AN2074" i="2"/>
  <c r="AM2074" i="2"/>
  <c r="AL2074" i="2"/>
  <c r="AK2074" i="2"/>
  <c r="AN2073" i="2"/>
  <c r="AM2073" i="2"/>
  <c r="AL2073" i="2"/>
  <c r="AK2073" i="2"/>
  <c r="AN2072" i="2"/>
  <c r="AM2072" i="2"/>
  <c r="AL2072" i="2"/>
  <c r="AK2072" i="2"/>
  <c r="AN2071" i="2"/>
  <c r="AM2071" i="2"/>
  <c r="AL2071" i="2"/>
  <c r="AK2071" i="2"/>
  <c r="AN2070" i="2"/>
  <c r="AM2070" i="2"/>
  <c r="AL2070" i="2"/>
  <c r="AK2070" i="2"/>
  <c r="AN2069" i="2"/>
  <c r="AM2069" i="2"/>
  <c r="AL2069" i="2"/>
  <c r="AK2069" i="2"/>
  <c r="AN2068" i="2"/>
  <c r="AM2068" i="2"/>
  <c r="AL2068" i="2"/>
  <c r="AK2068" i="2"/>
  <c r="AN2067" i="2"/>
  <c r="AM2067" i="2"/>
  <c r="AL2067" i="2"/>
  <c r="AK2067" i="2"/>
  <c r="AN2066" i="2"/>
  <c r="AM2066" i="2"/>
  <c r="AL2066" i="2"/>
  <c r="AK2066" i="2"/>
  <c r="AN2065" i="2"/>
  <c r="AM2065" i="2"/>
  <c r="AL2065" i="2"/>
  <c r="AK2065" i="2"/>
  <c r="AN2064" i="2"/>
  <c r="AM2064" i="2"/>
  <c r="AL2064" i="2"/>
  <c r="AK2064" i="2"/>
  <c r="AN2063" i="2"/>
  <c r="AM2063" i="2"/>
  <c r="AL2063" i="2"/>
  <c r="AK2063" i="2"/>
  <c r="AN2062" i="2"/>
  <c r="AM2062" i="2"/>
  <c r="AL2062" i="2"/>
  <c r="AK2062" i="2"/>
  <c r="AN2061" i="2"/>
  <c r="AM2061" i="2"/>
  <c r="AL2061" i="2"/>
  <c r="AK2061" i="2"/>
  <c r="AN2060" i="2"/>
  <c r="AM2060" i="2"/>
  <c r="AL2060" i="2"/>
  <c r="AK2060" i="2"/>
  <c r="AN2059" i="2"/>
  <c r="AM2059" i="2"/>
  <c r="AL2059" i="2"/>
  <c r="AK2059" i="2"/>
  <c r="AN2058" i="2"/>
  <c r="AM2058" i="2"/>
  <c r="AL2058" i="2"/>
  <c r="AK2058" i="2"/>
  <c r="AN2057" i="2"/>
  <c r="AM2057" i="2"/>
  <c r="AL2057" i="2"/>
  <c r="AK2057" i="2"/>
  <c r="AN2056" i="2"/>
  <c r="AM2056" i="2"/>
  <c r="AL2056" i="2"/>
  <c r="AK2056" i="2"/>
  <c r="AN2055" i="2"/>
  <c r="AM2055" i="2"/>
  <c r="AL2055" i="2"/>
  <c r="AK2055" i="2"/>
  <c r="AN2054" i="2"/>
  <c r="AM2054" i="2"/>
  <c r="AL2054" i="2"/>
  <c r="AK2054" i="2"/>
  <c r="AN2053" i="2"/>
  <c r="AM2053" i="2"/>
  <c r="AL2053" i="2"/>
  <c r="AK2053" i="2"/>
  <c r="AN2052" i="2"/>
  <c r="AM2052" i="2"/>
  <c r="AL2052" i="2"/>
  <c r="AK2052" i="2"/>
  <c r="AN2051" i="2"/>
  <c r="AM2051" i="2"/>
  <c r="AL2051" i="2"/>
  <c r="AK2051" i="2"/>
  <c r="AN2050" i="2"/>
  <c r="AM2050" i="2"/>
  <c r="AL2050" i="2"/>
  <c r="AK2050" i="2"/>
  <c r="AN2049" i="2"/>
  <c r="AM2049" i="2"/>
  <c r="AL2049" i="2"/>
  <c r="AK2049" i="2"/>
  <c r="AN2048" i="2"/>
  <c r="AM2048" i="2"/>
  <c r="AL2048" i="2"/>
  <c r="AK2048" i="2"/>
  <c r="AN2047" i="2"/>
  <c r="AM2047" i="2"/>
  <c r="AL2047" i="2"/>
  <c r="AK2047" i="2"/>
  <c r="AN2046" i="2"/>
  <c r="AM2046" i="2"/>
  <c r="AL2046" i="2"/>
  <c r="AK2046" i="2"/>
  <c r="AN2045" i="2"/>
  <c r="AM2045" i="2"/>
  <c r="AL2045" i="2"/>
  <c r="AK2045" i="2"/>
  <c r="AN2044" i="2"/>
  <c r="AM2044" i="2"/>
  <c r="AL2044" i="2"/>
  <c r="AK2044" i="2"/>
  <c r="AN2043" i="2"/>
  <c r="AM2043" i="2"/>
  <c r="AL2043" i="2"/>
  <c r="AK2043" i="2"/>
  <c r="AN2042" i="2"/>
  <c r="AM2042" i="2"/>
  <c r="AL2042" i="2"/>
  <c r="AK2042" i="2"/>
  <c r="AN2041" i="2"/>
  <c r="AM2041" i="2"/>
  <c r="AL2041" i="2"/>
  <c r="AK2041" i="2"/>
  <c r="AN2040" i="2"/>
  <c r="AM2040" i="2"/>
  <c r="AL2040" i="2"/>
  <c r="AK2040" i="2"/>
  <c r="AN2039" i="2"/>
  <c r="AM2039" i="2"/>
  <c r="AL2039" i="2"/>
  <c r="AK2039" i="2"/>
  <c r="AN2038" i="2"/>
  <c r="AM2038" i="2"/>
  <c r="AL2038" i="2"/>
  <c r="AK2038" i="2"/>
  <c r="AN2037" i="2"/>
  <c r="AM2037" i="2"/>
  <c r="AL2037" i="2"/>
  <c r="AK2037" i="2"/>
  <c r="AN2036" i="2"/>
  <c r="AM2036" i="2"/>
  <c r="AL2036" i="2"/>
  <c r="AK2036" i="2"/>
  <c r="AN2035" i="2"/>
  <c r="AM2035" i="2"/>
  <c r="AL2035" i="2"/>
  <c r="AK2035" i="2"/>
  <c r="AN2034" i="2"/>
  <c r="AM2034" i="2"/>
  <c r="AL2034" i="2"/>
  <c r="AK2034" i="2"/>
  <c r="AN2033" i="2"/>
  <c r="AM2033" i="2"/>
  <c r="AL2033" i="2"/>
  <c r="AK2033" i="2"/>
  <c r="AN2032" i="2"/>
  <c r="AM2032" i="2"/>
  <c r="AL2032" i="2"/>
  <c r="AK2032" i="2"/>
  <c r="AN2031" i="2"/>
  <c r="AM2031" i="2"/>
  <c r="AL2031" i="2"/>
  <c r="AK2031" i="2"/>
  <c r="AN2030" i="2"/>
  <c r="AM2030" i="2"/>
  <c r="AL2030" i="2"/>
  <c r="AK2030" i="2"/>
  <c r="AN2029" i="2"/>
  <c r="AM2029" i="2"/>
  <c r="AL2029" i="2"/>
  <c r="AK2029" i="2"/>
  <c r="AN2028" i="2"/>
  <c r="AM2028" i="2"/>
  <c r="AL2028" i="2"/>
  <c r="AK2028" i="2"/>
  <c r="AN2027" i="2"/>
  <c r="AM2027" i="2"/>
  <c r="AL2027" i="2"/>
  <c r="AK2027" i="2"/>
  <c r="AN2026" i="2"/>
  <c r="AM2026" i="2"/>
  <c r="AL2026" i="2"/>
  <c r="AK2026" i="2"/>
  <c r="AN2025" i="2"/>
  <c r="AM2025" i="2"/>
  <c r="AL2025" i="2"/>
  <c r="AK2025" i="2"/>
  <c r="AN2024" i="2"/>
  <c r="AM2024" i="2"/>
  <c r="AL2024" i="2"/>
  <c r="AK2024" i="2"/>
  <c r="AN2023" i="2"/>
  <c r="AM2023" i="2"/>
  <c r="AL2023" i="2"/>
  <c r="AK2023" i="2"/>
  <c r="AN2022" i="2"/>
  <c r="AM2022" i="2"/>
  <c r="AL2022" i="2"/>
  <c r="AK2022" i="2"/>
  <c r="AN2021" i="2"/>
  <c r="AM2021" i="2"/>
  <c r="AL2021" i="2"/>
  <c r="AK2021" i="2"/>
  <c r="AN2020" i="2"/>
  <c r="AM2020" i="2"/>
  <c r="AL2020" i="2"/>
  <c r="AK2020" i="2"/>
  <c r="AN2019" i="2"/>
  <c r="AM2019" i="2"/>
  <c r="AL2019" i="2"/>
  <c r="AK2019" i="2"/>
  <c r="AN2018" i="2"/>
  <c r="AM2018" i="2"/>
  <c r="AL2018" i="2"/>
  <c r="AK2018" i="2"/>
  <c r="AN2017" i="2"/>
  <c r="AM2017" i="2"/>
  <c r="AL2017" i="2"/>
  <c r="AK2017" i="2"/>
  <c r="AN2016" i="2"/>
  <c r="AM2016" i="2"/>
  <c r="AL2016" i="2"/>
  <c r="AK2016" i="2"/>
  <c r="AN2015" i="2"/>
  <c r="AM2015" i="2"/>
  <c r="AL2015" i="2"/>
  <c r="AK2015" i="2"/>
  <c r="AN2014" i="2"/>
  <c r="AM2014" i="2"/>
  <c r="AL2014" i="2"/>
  <c r="AK2014" i="2"/>
  <c r="AN2013" i="2"/>
  <c r="AM2013" i="2"/>
  <c r="AL2013" i="2"/>
  <c r="AK2013" i="2"/>
  <c r="AN2012" i="2"/>
  <c r="AM2012" i="2"/>
  <c r="AL2012" i="2"/>
  <c r="AK2012" i="2"/>
  <c r="AN2011" i="2"/>
  <c r="AM2011" i="2"/>
  <c r="AL2011" i="2"/>
  <c r="AK2011" i="2"/>
  <c r="AN2010" i="2"/>
  <c r="AM2010" i="2"/>
  <c r="AL2010" i="2"/>
  <c r="AK2010" i="2"/>
  <c r="AN2009" i="2"/>
  <c r="AM2009" i="2"/>
  <c r="AL2009" i="2"/>
  <c r="AK2009" i="2"/>
  <c r="AN2008" i="2"/>
  <c r="AM2008" i="2"/>
  <c r="AL2008" i="2"/>
  <c r="AK2008" i="2"/>
  <c r="AN2007" i="2"/>
  <c r="AM2007" i="2"/>
  <c r="AL2007" i="2"/>
  <c r="AK2007" i="2"/>
  <c r="AN2006" i="2"/>
  <c r="AM2006" i="2"/>
  <c r="AL2006" i="2"/>
  <c r="AK2006" i="2"/>
  <c r="AN2005" i="2"/>
  <c r="AM2005" i="2"/>
  <c r="AL2005" i="2"/>
  <c r="AK2005" i="2"/>
  <c r="AN2004" i="2"/>
  <c r="AM2004" i="2"/>
  <c r="AL2004" i="2"/>
  <c r="AK2004" i="2"/>
  <c r="AN2003" i="2"/>
  <c r="AM2003" i="2"/>
  <c r="AL2003" i="2"/>
  <c r="AK2003" i="2"/>
  <c r="AN2002" i="2"/>
  <c r="AM2002" i="2"/>
  <c r="AL2002" i="2"/>
  <c r="AK2002" i="2"/>
  <c r="AN2001" i="2"/>
  <c r="AM2001" i="2"/>
  <c r="AL2001" i="2"/>
  <c r="AK2001" i="2"/>
  <c r="AN2000" i="2"/>
  <c r="AM2000" i="2"/>
  <c r="AL2000" i="2"/>
  <c r="AK2000" i="2"/>
  <c r="AN1999" i="2"/>
  <c r="AM1999" i="2"/>
  <c r="AL1999" i="2"/>
  <c r="AK1999" i="2"/>
  <c r="AN1998" i="2"/>
  <c r="AM1998" i="2"/>
  <c r="AL1998" i="2"/>
  <c r="AK1998" i="2"/>
  <c r="AN1997" i="2"/>
  <c r="AM1997" i="2"/>
  <c r="AL1997" i="2"/>
  <c r="AK1997" i="2"/>
  <c r="AN1996" i="2"/>
  <c r="AM1996" i="2"/>
  <c r="AL1996" i="2"/>
  <c r="AK1996" i="2"/>
  <c r="AN1995" i="2"/>
  <c r="AM1995" i="2"/>
  <c r="AL1995" i="2"/>
  <c r="AK1995" i="2"/>
  <c r="AN1994" i="2"/>
  <c r="AM1994" i="2"/>
  <c r="AL1994" i="2"/>
  <c r="AK1994" i="2"/>
  <c r="AN1993" i="2"/>
  <c r="AM1993" i="2"/>
  <c r="AL1993" i="2"/>
  <c r="AK1993" i="2"/>
  <c r="AN1992" i="2"/>
  <c r="AM1992" i="2"/>
  <c r="AL1992" i="2"/>
  <c r="AK1992" i="2"/>
  <c r="AN1991" i="2"/>
  <c r="AM1991" i="2"/>
  <c r="AL1991" i="2"/>
  <c r="AK1991" i="2"/>
  <c r="AN1990" i="2"/>
  <c r="AM1990" i="2"/>
  <c r="AL1990" i="2"/>
  <c r="AK1990" i="2"/>
  <c r="AN1989" i="2"/>
  <c r="AM1989" i="2"/>
  <c r="AL1989" i="2"/>
  <c r="AK1989" i="2"/>
  <c r="AN1988" i="2"/>
  <c r="AM1988" i="2"/>
  <c r="AL1988" i="2"/>
  <c r="AK1988" i="2"/>
  <c r="AN1987" i="2"/>
  <c r="AM1987" i="2"/>
  <c r="AL1987" i="2"/>
  <c r="AK1987" i="2"/>
  <c r="AN1986" i="2"/>
  <c r="AM1986" i="2"/>
  <c r="AL1986" i="2"/>
  <c r="AK1986" i="2"/>
  <c r="AN1985" i="2"/>
  <c r="AM1985" i="2"/>
  <c r="AL1985" i="2"/>
  <c r="AK1985" i="2"/>
  <c r="AN1984" i="2"/>
  <c r="AM1984" i="2"/>
  <c r="AL1984" i="2"/>
  <c r="AK1984" i="2"/>
  <c r="AN1983" i="2"/>
  <c r="AM1983" i="2"/>
  <c r="AL1983" i="2"/>
  <c r="AK1983" i="2"/>
  <c r="AN1982" i="2"/>
  <c r="AM1982" i="2"/>
  <c r="AL1982" i="2"/>
  <c r="AK1982" i="2"/>
  <c r="AN1981" i="2"/>
  <c r="AM1981" i="2"/>
  <c r="AL1981" i="2"/>
  <c r="AK1981" i="2"/>
  <c r="AN1980" i="2"/>
  <c r="AM1980" i="2"/>
  <c r="AL1980" i="2"/>
  <c r="AK1980" i="2"/>
  <c r="AN1979" i="2"/>
  <c r="AM1979" i="2"/>
  <c r="AL1979" i="2"/>
  <c r="AK1979" i="2"/>
  <c r="AN1978" i="2"/>
  <c r="AM1978" i="2"/>
  <c r="AL1978" i="2"/>
  <c r="AK1978" i="2"/>
  <c r="AN1977" i="2"/>
  <c r="AM1977" i="2"/>
  <c r="AL1977" i="2"/>
  <c r="AK1977" i="2"/>
  <c r="AN1976" i="2"/>
  <c r="AM1976" i="2"/>
  <c r="AL1976" i="2"/>
  <c r="AK1976" i="2"/>
  <c r="AN1975" i="2"/>
  <c r="AM1975" i="2"/>
  <c r="AL1975" i="2"/>
  <c r="AK1975" i="2"/>
  <c r="AN1974" i="2"/>
  <c r="AM1974" i="2"/>
  <c r="AL1974" i="2"/>
  <c r="AK1974" i="2"/>
  <c r="AN1973" i="2"/>
  <c r="AM1973" i="2"/>
  <c r="AL1973" i="2"/>
  <c r="AK1973" i="2"/>
  <c r="AN1972" i="2"/>
  <c r="AM1972" i="2"/>
  <c r="AL1972" i="2"/>
  <c r="AK1972" i="2"/>
  <c r="AN1971" i="2"/>
  <c r="AM1971" i="2"/>
  <c r="AL1971" i="2"/>
  <c r="AK1971" i="2"/>
  <c r="AN1970" i="2"/>
  <c r="AM1970" i="2"/>
  <c r="AL1970" i="2"/>
  <c r="AK1970" i="2"/>
  <c r="AN1969" i="2"/>
  <c r="AM1969" i="2"/>
  <c r="AL1969" i="2"/>
  <c r="AK1969" i="2"/>
  <c r="AN1968" i="2"/>
  <c r="AM1968" i="2"/>
  <c r="AL1968" i="2"/>
  <c r="AK1968" i="2"/>
  <c r="AN1967" i="2"/>
  <c r="AM1967" i="2"/>
  <c r="AL1967" i="2"/>
  <c r="AK1967" i="2"/>
  <c r="AN1966" i="2"/>
  <c r="AM1966" i="2"/>
  <c r="AL1966" i="2"/>
  <c r="AK1966" i="2"/>
  <c r="AN1965" i="2"/>
  <c r="AM1965" i="2"/>
  <c r="AL1965" i="2"/>
  <c r="AK1965" i="2"/>
  <c r="AN1964" i="2"/>
  <c r="AM1964" i="2"/>
  <c r="AL1964" i="2"/>
  <c r="AK1964" i="2"/>
  <c r="AN1963" i="2"/>
  <c r="AM1963" i="2"/>
  <c r="AL1963" i="2"/>
  <c r="AK1963" i="2"/>
  <c r="AN1962" i="2"/>
  <c r="AM1962" i="2"/>
  <c r="AL1962" i="2"/>
  <c r="AK1962" i="2"/>
  <c r="AN1961" i="2"/>
  <c r="AM1961" i="2"/>
  <c r="AL1961" i="2"/>
  <c r="AK1961" i="2"/>
  <c r="AN1960" i="2"/>
  <c r="AM1960" i="2"/>
  <c r="AL1960" i="2"/>
  <c r="AK1960" i="2"/>
  <c r="AN1959" i="2"/>
  <c r="AM1959" i="2"/>
  <c r="AL1959" i="2"/>
  <c r="AK1959" i="2"/>
  <c r="AN1958" i="2"/>
  <c r="AM1958" i="2"/>
  <c r="AL1958" i="2"/>
  <c r="AK1958" i="2"/>
  <c r="AN1957" i="2"/>
  <c r="AM1957" i="2"/>
  <c r="AL1957" i="2"/>
  <c r="AK1957" i="2"/>
  <c r="AN1956" i="2"/>
  <c r="AM1956" i="2"/>
  <c r="AL1956" i="2"/>
  <c r="AK1956" i="2"/>
  <c r="AN1955" i="2"/>
  <c r="AM1955" i="2"/>
  <c r="AL1955" i="2"/>
  <c r="AK1955" i="2"/>
  <c r="AN1954" i="2"/>
  <c r="AM1954" i="2"/>
  <c r="AL1954" i="2"/>
  <c r="AK1954" i="2"/>
  <c r="AN1953" i="2"/>
  <c r="AM1953" i="2"/>
  <c r="AL1953" i="2"/>
  <c r="AK1953" i="2"/>
  <c r="AN1952" i="2"/>
  <c r="AM1952" i="2"/>
  <c r="AL1952" i="2"/>
  <c r="AK1952" i="2"/>
  <c r="AN1951" i="2"/>
  <c r="AM1951" i="2"/>
  <c r="AL1951" i="2"/>
  <c r="AK1951" i="2"/>
  <c r="AN1950" i="2"/>
  <c r="AM1950" i="2"/>
  <c r="AL1950" i="2"/>
  <c r="AK1950" i="2"/>
  <c r="AN1949" i="2"/>
  <c r="AM1949" i="2"/>
  <c r="AL1949" i="2"/>
  <c r="AK1949" i="2"/>
  <c r="AN1948" i="2"/>
  <c r="AM1948" i="2"/>
  <c r="AL1948" i="2"/>
  <c r="AK1948" i="2"/>
  <c r="AN1947" i="2"/>
  <c r="AM1947" i="2"/>
  <c r="AL1947" i="2"/>
  <c r="AK1947" i="2"/>
  <c r="AN1946" i="2"/>
  <c r="AM1946" i="2"/>
  <c r="AL1946" i="2"/>
  <c r="AK1946" i="2"/>
  <c r="AN1945" i="2"/>
  <c r="AM1945" i="2"/>
  <c r="AL1945" i="2"/>
  <c r="AK1945" i="2"/>
  <c r="AN1944" i="2"/>
  <c r="AM1944" i="2"/>
  <c r="AL1944" i="2"/>
  <c r="AK1944" i="2"/>
  <c r="AN1943" i="2"/>
  <c r="AM1943" i="2"/>
  <c r="AL1943" i="2"/>
  <c r="AK1943" i="2"/>
  <c r="AN1942" i="2"/>
  <c r="AM1942" i="2"/>
  <c r="AL1942" i="2"/>
  <c r="AK1942" i="2"/>
  <c r="AN1941" i="2"/>
  <c r="AM1941" i="2"/>
  <c r="AL1941" i="2"/>
  <c r="AK1941" i="2"/>
  <c r="AN1940" i="2"/>
  <c r="AM1940" i="2"/>
  <c r="AL1940" i="2"/>
  <c r="AK1940" i="2"/>
  <c r="AN1939" i="2"/>
  <c r="AM1939" i="2"/>
  <c r="AL1939" i="2"/>
  <c r="AK1939" i="2"/>
  <c r="AN1938" i="2"/>
  <c r="AM1938" i="2"/>
  <c r="AL1938" i="2"/>
  <c r="AK1938" i="2"/>
  <c r="AN1937" i="2"/>
  <c r="AM1937" i="2"/>
  <c r="AL1937" i="2"/>
  <c r="AK1937" i="2"/>
  <c r="AN1936" i="2"/>
  <c r="AM1936" i="2"/>
  <c r="AL1936" i="2"/>
  <c r="AK1936" i="2"/>
  <c r="AN1935" i="2"/>
  <c r="AM1935" i="2"/>
  <c r="AL1935" i="2"/>
  <c r="AK1935" i="2"/>
  <c r="AN1934" i="2"/>
  <c r="AM1934" i="2"/>
  <c r="AL1934" i="2"/>
  <c r="AK1934" i="2"/>
  <c r="AN1933" i="2"/>
  <c r="AM1933" i="2"/>
  <c r="AL1933" i="2"/>
  <c r="AK1933" i="2"/>
  <c r="AN1932" i="2"/>
  <c r="AM1932" i="2"/>
  <c r="AL1932" i="2"/>
  <c r="AK1932" i="2"/>
  <c r="AN1931" i="2"/>
  <c r="AM1931" i="2"/>
  <c r="AL1931" i="2"/>
  <c r="AK1931" i="2"/>
  <c r="AN1930" i="2"/>
  <c r="AM1930" i="2"/>
  <c r="AL1930" i="2"/>
  <c r="AK1930" i="2"/>
  <c r="AN1929" i="2"/>
  <c r="AM1929" i="2"/>
  <c r="AL1929" i="2"/>
  <c r="AK1929" i="2"/>
  <c r="AN1928" i="2"/>
  <c r="AM1928" i="2"/>
  <c r="AL1928" i="2"/>
  <c r="AK1928" i="2"/>
  <c r="AN1927" i="2"/>
  <c r="AM1927" i="2"/>
  <c r="AL1927" i="2"/>
  <c r="AK1927" i="2"/>
  <c r="AN1926" i="2"/>
  <c r="AM1926" i="2"/>
  <c r="AL1926" i="2"/>
  <c r="AK1926" i="2"/>
  <c r="AN1925" i="2"/>
  <c r="AM1925" i="2"/>
  <c r="AL1925" i="2"/>
  <c r="AK1925" i="2"/>
  <c r="AN1924" i="2"/>
  <c r="AM1924" i="2"/>
  <c r="AL1924" i="2"/>
  <c r="AK1924" i="2"/>
  <c r="AN1923" i="2"/>
  <c r="AM1923" i="2"/>
  <c r="AL1923" i="2"/>
  <c r="AK1923" i="2"/>
  <c r="AN1922" i="2"/>
  <c r="AM1922" i="2"/>
  <c r="AL1922" i="2"/>
  <c r="AK1922" i="2"/>
  <c r="AN1921" i="2"/>
  <c r="AM1921" i="2"/>
  <c r="AL1921" i="2"/>
  <c r="AK1921" i="2"/>
  <c r="AN1920" i="2"/>
  <c r="AM1920" i="2"/>
  <c r="AL1920" i="2"/>
  <c r="AK1920" i="2"/>
  <c r="AN1919" i="2"/>
  <c r="AM1919" i="2"/>
  <c r="AL1919" i="2"/>
  <c r="AK1919" i="2"/>
  <c r="AN1918" i="2"/>
  <c r="AM1918" i="2"/>
  <c r="AL1918" i="2"/>
  <c r="AK1918" i="2"/>
  <c r="AN1917" i="2"/>
  <c r="AM1917" i="2"/>
  <c r="AL1917" i="2"/>
  <c r="AK1917" i="2"/>
  <c r="AN1916" i="2"/>
  <c r="AM1916" i="2"/>
  <c r="AL1916" i="2"/>
  <c r="AK1916" i="2"/>
  <c r="AN1915" i="2"/>
  <c r="AM1915" i="2"/>
  <c r="AL1915" i="2"/>
  <c r="AK1915" i="2"/>
  <c r="AN1914" i="2"/>
  <c r="AM1914" i="2"/>
  <c r="AL1914" i="2"/>
  <c r="AK1914" i="2"/>
  <c r="AN1913" i="2"/>
  <c r="AM1913" i="2"/>
  <c r="AL1913" i="2"/>
  <c r="AK1913" i="2"/>
  <c r="AN1912" i="2"/>
  <c r="AM1912" i="2"/>
  <c r="AL1912" i="2"/>
  <c r="AK1912" i="2"/>
  <c r="AN1911" i="2"/>
  <c r="AM1911" i="2"/>
  <c r="AL1911" i="2"/>
  <c r="AK1911" i="2"/>
  <c r="AN1910" i="2"/>
  <c r="AM1910" i="2"/>
  <c r="AL1910" i="2"/>
  <c r="AK1910" i="2"/>
  <c r="AN1909" i="2"/>
  <c r="AM1909" i="2"/>
  <c r="AL1909" i="2"/>
  <c r="AK1909" i="2"/>
  <c r="AN1908" i="2"/>
  <c r="AM1908" i="2"/>
  <c r="AL1908" i="2"/>
  <c r="AK1908" i="2"/>
  <c r="AN1907" i="2"/>
  <c r="AM1907" i="2"/>
  <c r="AL1907" i="2"/>
  <c r="AK1907" i="2"/>
  <c r="AN1906" i="2"/>
  <c r="AM1906" i="2"/>
  <c r="AL1906" i="2"/>
  <c r="AK1906" i="2"/>
  <c r="AN1905" i="2"/>
  <c r="AM1905" i="2"/>
  <c r="AL1905" i="2"/>
  <c r="AK1905" i="2"/>
  <c r="AN1904" i="2"/>
  <c r="AM1904" i="2"/>
  <c r="AL1904" i="2"/>
  <c r="AK1904" i="2"/>
  <c r="AN1903" i="2"/>
  <c r="AM1903" i="2"/>
  <c r="AL1903" i="2"/>
  <c r="AK1903" i="2"/>
  <c r="AN1902" i="2"/>
  <c r="AM1902" i="2"/>
  <c r="AL1902" i="2"/>
  <c r="AK1902" i="2"/>
  <c r="AN1901" i="2"/>
  <c r="AM1901" i="2"/>
  <c r="AL1901" i="2"/>
  <c r="AK1901" i="2"/>
  <c r="AN1900" i="2"/>
  <c r="AM1900" i="2"/>
  <c r="AL1900" i="2"/>
  <c r="AK1900" i="2"/>
  <c r="AN1899" i="2"/>
  <c r="AM1899" i="2"/>
  <c r="AL1899" i="2"/>
  <c r="AK1899" i="2"/>
  <c r="AN1898" i="2"/>
  <c r="AM1898" i="2"/>
  <c r="AL1898" i="2"/>
  <c r="AK1898" i="2"/>
  <c r="AN1897" i="2"/>
  <c r="AM1897" i="2"/>
  <c r="AL1897" i="2"/>
  <c r="AK1897" i="2"/>
  <c r="AN1896" i="2"/>
  <c r="AM1896" i="2"/>
  <c r="AL1896" i="2"/>
  <c r="AK1896" i="2"/>
  <c r="AN1895" i="2"/>
  <c r="AM1895" i="2"/>
  <c r="AL1895" i="2"/>
  <c r="AK1895" i="2"/>
  <c r="AN1894" i="2"/>
  <c r="AM1894" i="2"/>
  <c r="AL1894" i="2"/>
  <c r="AK1894" i="2"/>
  <c r="AN1893" i="2"/>
  <c r="AM1893" i="2"/>
  <c r="AL1893" i="2"/>
  <c r="AK1893" i="2"/>
  <c r="AN1892" i="2"/>
  <c r="AM1892" i="2"/>
  <c r="AL1892" i="2"/>
  <c r="AK1892" i="2"/>
  <c r="AN1891" i="2"/>
  <c r="AM1891" i="2"/>
  <c r="AL1891" i="2"/>
  <c r="AK1891" i="2"/>
  <c r="AN1890" i="2"/>
  <c r="AM1890" i="2"/>
  <c r="AL1890" i="2"/>
  <c r="AK1890" i="2"/>
  <c r="AN1889" i="2"/>
  <c r="AM1889" i="2"/>
  <c r="AL1889" i="2"/>
  <c r="AK1889" i="2"/>
  <c r="AN1888" i="2"/>
  <c r="AM1888" i="2"/>
  <c r="AL1888" i="2"/>
  <c r="AK1888" i="2"/>
  <c r="AN1887" i="2"/>
  <c r="AM1887" i="2"/>
  <c r="AL1887" i="2"/>
  <c r="AK1887" i="2"/>
  <c r="AN1886" i="2"/>
  <c r="AM1886" i="2"/>
  <c r="AL1886" i="2"/>
  <c r="AK1886" i="2"/>
  <c r="AN1885" i="2"/>
  <c r="AM1885" i="2"/>
  <c r="AL1885" i="2"/>
  <c r="AK1885" i="2"/>
  <c r="AN1884" i="2"/>
  <c r="AM1884" i="2"/>
  <c r="AL1884" i="2"/>
  <c r="AK1884" i="2"/>
  <c r="AN1883" i="2"/>
  <c r="AM1883" i="2"/>
  <c r="AL1883" i="2"/>
  <c r="AK1883" i="2"/>
  <c r="AN1882" i="2"/>
  <c r="AM1882" i="2"/>
  <c r="AL1882" i="2"/>
  <c r="AK1882" i="2"/>
  <c r="AN1881" i="2"/>
  <c r="AM1881" i="2"/>
  <c r="AL1881" i="2"/>
  <c r="AK1881" i="2"/>
  <c r="AN1880" i="2"/>
  <c r="AM1880" i="2"/>
  <c r="AL1880" i="2"/>
  <c r="AK1880" i="2"/>
  <c r="AN1879" i="2"/>
  <c r="AM1879" i="2"/>
  <c r="AL1879" i="2"/>
  <c r="AK1879" i="2"/>
  <c r="AN1878" i="2"/>
  <c r="AM1878" i="2"/>
  <c r="AL1878" i="2"/>
  <c r="AK1878" i="2"/>
  <c r="AN1877" i="2"/>
  <c r="AM1877" i="2"/>
  <c r="AL1877" i="2"/>
  <c r="AK1877" i="2"/>
  <c r="AN1876" i="2"/>
  <c r="AM1876" i="2"/>
  <c r="AL1876" i="2"/>
  <c r="AK1876" i="2"/>
  <c r="AN1875" i="2"/>
  <c r="AM1875" i="2"/>
  <c r="AL1875" i="2"/>
  <c r="AK1875" i="2"/>
  <c r="AN1874" i="2"/>
  <c r="AM1874" i="2"/>
  <c r="AL1874" i="2"/>
  <c r="AK1874" i="2"/>
  <c r="AN1873" i="2"/>
  <c r="AM1873" i="2"/>
  <c r="AL1873" i="2"/>
  <c r="AK1873" i="2"/>
  <c r="AN1872" i="2"/>
  <c r="AM1872" i="2"/>
  <c r="AL1872" i="2"/>
  <c r="AK1872" i="2"/>
  <c r="AN1871" i="2"/>
  <c r="AM1871" i="2"/>
  <c r="AL1871" i="2"/>
  <c r="AK1871" i="2"/>
  <c r="AN1870" i="2"/>
  <c r="AM1870" i="2"/>
  <c r="AL1870" i="2"/>
  <c r="AK1870" i="2"/>
  <c r="AN1869" i="2"/>
  <c r="AM1869" i="2"/>
  <c r="AL1869" i="2"/>
  <c r="AK1869" i="2"/>
  <c r="AN1868" i="2"/>
  <c r="AM1868" i="2"/>
  <c r="AL1868" i="2"/>
  <c r="AK1868" i="2"/>
  <c r="AN1867" i="2"/>
  <c r="AM1867" i="2"/>
  <c r="AL1867" i="2"/>
  <c r="AK1867" i="2"/>
  <c r="AN1866" i="2"/>
  <c r="AM1866" i="2"/>
  <c r="AL1866" i="2"/>
  <c r="AK1866" i="2"/>
  <c r="AN1865" i="2"/>
  <c r="AM1865" i="2"/>
  <c r="AL1865" i="2"/>
  <c r="AK1865" i="2"/>
  <c r="AN1864" i="2"/>
  <c r="AM1864" i="2"/>
  <c r="AL1864" i="2"/>
  <c r="AK1864" i="2"/>
  <c r="AN1863" i="2"/>
  <c r="AM1863" i="2"/>
  <c r="AL1863" i="2"/>
  <c r="AK1863" i="2"/>
  <c r="AN1862" i="2"/>
  <c r="AM1862" i="2"/>
  <c r="AL1862" i="2"/>
  <c r="AK1862" i="2"/>
  <c r="AN1861" i="2"/>
  <c r="AM1861" i="2"/>
  <c r="AL1861" i="2"/>
  <c r="AK1861" i="2"/>
  <c r="AN1860" i="2"/>
  <c r="AM1860" i="2"/>
  <c r="AL1860" i="2"/>
  <c r="AK1860" i="2"/>
  <c r="AN1859" i="2"/>
  <c r="AM1859" i="2"/>
  <c r="AL1859" i="2"/>
  <c r="AK1859" i="2"/>
  <c r="AN1858" i="2"/>
  <c r="AM1858" i="2"/>
  <c r="AL1858" i="2"/>
  <c r="AK1858" i="2"/>
  <c r="AN1857" i="2"/>
  <c r="AM1857" i="2"/>
  <c r="AL1857" i="2"/>
  <c r="AK1857" i="2"/>
  <c r="AN1856" i="2"/>
  <c r="AM1856" i="2"/>
  <c r="AL1856" i="2"/>
  <c r="AK1856" i="2"/>
  <c r="AN1855" i="2"/>
  <c r="AM1855" i="2"/>
  <c r="AL1855" i="2"/>
  <c r="AK1855" i="2"/>
  <c r="AN1854" i="2"/>
  <c r="AM1854" i="2"/>
  <c r="AL1854" i="2"/>
  <c r="AK1854" i="2"/>
  <c r="AN1853" i="2"/>
  <c r="AM1853" i="2"/>
  <c r="AL1853" i="2"/>
  <c r="AK1853" i="2"/>
  <c r="AN1852" i="2"/>
  <c r="AM1852" i="2"/>
  <c r="AL1852" i="2"/>
  <c r="AK1852" i="2"/>
  <c r="AN1851" i="2"/>
  <c r="AM1851" i="2"/>
  <c r="AL1851" i="2"/>
  <c r="AK1851" i="2"/>
  <c r="AN1850" i="2"/>
  <c r="AM1850" i="2"/>
  <c r="AL1850" i="2"/>
  <c r="AK1850" i="2"/>
  <c r="AN1849" i="2"/>
  <c r="AM1849" i="2"/>
  <c r="AL1849" i="2"/>
  <c r="AK1849" i="2"/>
  <c r="AN1848" i="2"/>
  <c r="AM1848" i="2"/>
  <c r="AL1848" i="2"/>
  <c r="AK1848" i="2"/>
  <c r="AN1847" i="2"/>
  <c r="AM1847" i="2"/>
  <c r="AL1847" i="2"/>
  <c r="AK1847" i="2"/>
  <c r="AN1846" i="2"/>
  <c r="AM1846" i="2"/>
  <c r="AL1846" i="2"/>
  <c r="AK1846" i="2"/>
  <c r="AN1845" i="2"/>
  <c r="AM1845" i="2"/>
  <c r="AL1845" i="2"/>
  <c r="AK1845" i="2"/>
  <c r="AN1844" i="2"/>
  <c r="AM1844" i="2"/>
  <c r="AL1844" i="2"/>
  <c r="AK1844" i="2"/>
  <c r="AN1843" i="2"/>
  <c r="AM1843" i="2"/>
  <c r="AL1843" i="2"/>
  <c r="AK1843" i="2"/>
  <c r="AN1842" i="2"/>
  <c r="AM1842" i="2"/>
  <c r="AL1842" i="2"/>
  <c r="AK1842" i="2"/>
  <c r="AN1841" i="2"/>
  <c r="AM1841" i="2"/>
  <c r="AL1841" i="2"/>
  <c r="AK1841" i="2"/>
  <c r="AN1840" i="2"/>
  <c r="AM1840" i="2"/>
  <c r="AL1840" i="2"/>
  <c r="AK1840" i="2"/>
  <c r="AN1839" i="2"/>
  <c r="AM1839" i="2"/>
  <c r="AL1839" i="2"/>
  <c r="AK1839" i="2"/>
  <c r="AN1838" i="2"/>
  <c r="AM1838" i="2"/>
  <c r="AL1838" i="2"/>
  <c r="AK1838" i="2"/>
  <c r="AN1837" i="2"/>
  <c r="AM1837" i="2"/>
  <c r="AL1837" i="2"/>
  <c r="AK1837" i="2"/>
  <c r="AN1836" i="2"/>
  <c r="AM1836" i="2"/>
  <c r="AL1836" i="2"/>
  <c r="AK1836" i="2"/>
  <c r="AN1835" i="2"/>
  <c r="AM1835" i="2"/>
  <c r="AL1835" i="2"/>
  <c r="AK1835" i="2"/>
  <c r="AN1834" i="2"/>
  <c r="AM1834" i="2"/>
  <c r="AL1834" i="2"/>
  <c r="AK1834" i="2"/>
  <c r="AN1833" i="2"/>
  <c r="AM1833" i="2"/>
  <c r="AL1833" i="2"/>
  <c r="AK1833" i="2"/>
  <c r="AN1832" i="2"/>
  <c r="AM1832" i="2"/>
  <c r="AL1832" i="2"/>
  <c r="AK1832" i="2"/>
  <c r="AN1831" i="2"/>
  <c r="AM1831" i="2"/>
  <c r="AL1831" i="2"/>
  <c r="AK1831" i="2"/>
  <c r="AN1830" i="2"/>
  <c r="AM1830" i="2"/>
  <c r="AL1830" i="2"/>
  <c r="AK1830" i="2"/>
  <c r="AN1829" i="2"/>
  <c r="AM1829" i="2"/>
  <c r="AL1829" i="2"/>
  <c r="AK1829" i="2"/>
  <c r="AN1828" i="2"/>
  <c r="AM1828" i="2"/>
  <c r="AL1828" i="2"/>
  <c r="AK1828" i="2"/>
  <c r="AN1827" i="2"/>
  <c r="AM1827" i="2"/>
  <c r="AL1827" i="2"/>
  <c r="AK1827" i="2"/>
  <c r="AN1826" i="2"/>
  <c r="AM1826" i="2"/>
  <c r="AL1826" i="2"/>
  <c r="AK1826" i="2"/>
  <c r="AN1825" i="2"/>
  <c r="AM1825" i="2"/>
  <c r="AL1825" i="2"/>
  <c r="AK1825" i="2"/>
  <c r="AN1824" i="2"/>
  <c r="AM1824" i="2"/>
  <c r="AL1824" i="2"/>
  <c r="AK1824" i="2"/>
  <c r="AN1823" i="2"/>
  <c r="AM1823" i="2"/>
  <c r="AL1823" i="2"/>
  <c r="AK1823" i="2"/>
  <c r="AN1822" i="2"/>
  <c r="AM1822" i="2"/>
  <c r="AL1822" i="2"/>
  <c r="AK1822" i="2"/>
  <c r="AN1821" i="2"/>
  <c r="AM1821" i="2"/>
  <c r="AL1821" i="2"/>
  <c r="AK1821" i="2"/>
  <c r="AN1820" i="2"/>
  <c r="AM1820" i="2"/>
  <c r="AL1820" i="2"/>
  <c r="AK1820" i="2"/>
  <c r="AN1819" i="2"/>
  <c r="AM1819" i="2"/>
  <c r="AL1819" i="2"/>
  <c r="AK1819" i="2"/>
  <c r="AN1818" i="2"/>
  <c r="AM1818" i="2"/>
  <c r="AL1818" i="2"/>
  <c r="AK1818" i="2"/>
  <c r="AN1817" i="2"/>
  <c r="AM1817" i="2"/>
  <c r="AL1817" i="2"/>
  <c r="AK1817" i="2"/>
  <c r="AN1816" i="2"/>
  <c r="AM1816" i="2"/>
  <c r="AL1816" i="2"/>
  <c r="AK1816" i="2"/>
  <c r="AN1815" i="2"/>
  <c r="AM1815" i="2"/>
  <c r="AL1815" i="2"/>
  <c r="AK1815" i="2"/>
  <c r="AN1814" i="2"/>
  <c r="AM1814" i="2"/>
  <c r="AL1814" i="2"/>
  <c r="AK1814" i="2"/>
  <c r="AN1813" i="2"/>
  <c r="AM1813" i="2"/>
  <c r="AL1813" i="2"/>
  <c r="AK1813" i="2"/>
  <c r="AN1812" i="2"/>
  <c r="AM1812" i="2"/>
  <c r="AL1812" i="2"/>
  <c r="AK1812" i="2"/>
  <c r="AN1811" i="2"/>
  <c r="AM1811" i="2"/>
  <c r="AL1811" i="2"/>
  <c r="AK1811" i="2"/>
  <c r="AN1810" i="2"/>
  <c r="AM1810" i="2"/>
  <c r="AL1810" i="2"/>
  <c r="AK1810" i="2"/>
  <c r="AN1809" i="2"/>
  <c r="AM1809" i="2"/>
  <c r="AL1809" i="2"/>
  <c r="AK1809" i="2"/>
  <c r="AN1808" i="2"/>
  <c r="AM1808" i="2"/>
  <c r="AL1808" i="2"/>
  <c r="AK1808" i="2"/>
  <c r="AN1807" i="2"/>
  <c r="AM1807" i="2"/>
  <c r="AL1807" i="2"/>
  <c r="AK1807" i="2"/>
  <c r="AN1806" i="2"/>
  <c r="AM1806" i="2"/>
  <c r="AL1806" i="2"/>
  <c r="AK1806" i="2"/>
  <c r="AN1805" i="2"/>
  <c r="AM1805" i="2"/>
  <c r="AL1805" i="2"/>
  <c r="AK1805" i="2"/>
  <c r="AN1804" i="2"/>
  <c r="AM1804" i="2"/>
  <c r="AL1804" i="2"/>
  <c r="AK1804" i="2"/>
  <c r="AN1803" i="2"/>
  <c r="AM1803" i="2"/>
  <c r="AL1803" i="2"/>
  <c r="AK1803" i="2"/>
  <c r="AN1802" i="2"/>
  <c r="AM1802" i="2"/>
  <c r="AL1802" i="2"/>
  <c r="AK1802" i="2"/>
  <c r="AN1801" i="2"/>
  <c r="AM1801" i="2"/>
  <c r="AL1801" i="2"/>
  <c r="AK1801" i="2"/>
  <c r="AN1800" i="2"/>
  <c r="AM1800" i="2"/>
  <c r="AL1800" i="2"/>
  <c r="AK1800" i="2"/>
  <c r="AN1799" i="2"/>
  <c r="AM1799" i="2"/>
  <c r="AL1799" i="2"/>
  <c r="AK1799" i="2"/>
  <c r="AN1798" i="2"/>
  <c r="AM1798" i="2"/>
  <c r="AL1798" i="2"/>
  <c r="AK1798" i="2"/>
  <c r="AN1797" i="2"/>
  <c r="AM1797" i="2"/>
  <c r="AL1797" i="2"/>
  <c r="AK1797" i="2"/>
  <c r="AN1796" i="2"/>
  <c r="AM1796" i="2"/>
  <c r="AL1796" i="2"/>
  <c r="AK1796" i="2"/>
  <c r="AN1795" i="2"/>
  <c r="AM1795" i="2"/>
  <c r="AL1795" i="2"/>
  <c r="AK1795" i="2"/>
  <c r="AN1794" i="2"/>
  <c r="AM1794" i="2"/>
  <c r="AL1794" i="2"/>
  <c r="AK1794" i="2"/>
  <c r="AN1793" i="2"/>
  <c r="AM1793" i="2"/>
  <c r="AL1793" i="2"/>
  <c r="AK1793" i="2"/>
  <c r="AN1792" i="2"/>
  <c r="AM1792" i="2"/>
  <c r="AL1792" i="2"/>
  <c r="AK1792" i="2"/>
  <c r="AN1791" i="2"/>
  <c r="AM1791" i="2"/>
  <c r="AL1791" i="2"/>
  <c r="AK1791" i="2"/>
  <c r="AN1790" i="2"/>
  <c r="AM1790" i="2"/>
  <c r="AL1790" i="2"/>
  <c r="AK1790" i="2"/>
  <c r="AN1789" i="2"/>
  <c r="AM1789" i="2"/>
  <c r="AL1789" i="2"/>
  <c r="AK1789" i="2"/>
  <c r="AN1788" i="2"/>
  <c r="AM1788" i="2"/>
  <c r="AL1788" i="2"/>
  <c r="AK1788" i="2"/>
  <c r="AN1787" i="2"/>
  <c r="AM1787" i="2"/>
  <c r="AL1787" i="2"/>
  <c r="AK1787" i="2"/>
  <c r="AN1786" i="2"/>
  <c r="AM1786" i="2"/>
  <c r="AL1786" i="2"/>
  <c r="AK1786" i="2"/>
  <c r="AN1785" i="2"/>
  <c r="AM1785" i="2"/>
  <c r="AL1785" i="2"/>
  <c r="AK1785" i="2"/>
  <c r="AN1784" i="2"/>
  <c r="AM1784" i="2"/>
  <c r="AL1784" i="2"/>
  <c r="AK1784" i="2"/>
  <c r="AN1783" i="2"/>
  <c r="AM1783" i="2"/>
  <c r="AL1783" i="2"/>
  <c r="AK1783" i="2"/>
  <c r="AN1782" i="2"/>
  <c r="AM1782" i="2"/>
  <c r="AL1782" i="2"/>
  <c r="AK1782" i="2"/>
  <c r="AN1781" i="2"/>
  <c r="AM1781" i="2"/>
  <c r="AL1781" i="2"/>
  <c r="AK1781" i="2"/>
  <c r="AN1780" i="2"/>
  <c r="AM1780" i="2"/>
  <c r="AL1780" i="2"/>
  <c r="AK1780" i="2"/>
  <c r="AN1779" i="2"/>
  <c r="AM1779" i="2"/>
  <c r="AL1779" i="2"/>
  <c r="AK1779" i="2"/>
  <c r="AN1778" i="2"/>
  <c r="AM1778" i="2"/>
  <c r="AL1778" i="2"/>
  <c r="AK1778" i="2"/>
  <c r="AN1777" i="2"/>
  <c r="AM1777" i="2"/>
  <c r="AL1777" i="2"/>
  <c r="AK1777" i="2"/>
  <c r="AN1776" i="2"/>
  <c r="AM1776" i="2"/>
  <c r="AL1776" i="2"/>
  <c r="AK1776" i="2"/>
  <c r="AN1775" i="2"/>
  <c r="AM1775" i="2"/>
  <c r="AL1775" i="2"/>
  <c r="AK1775" i="2"/>
  <c r="AN1774" i="2"/>
  <c r="AM1774" i="2"/>
  <c r="AL1774" i="2"/>
  <c r="AK1774" i="2"/>
  <c r="AN1773" i="2"/>
  <c r="AM1773" i="2"/>
  <c r="AL1773" i="2"/>
  <c r="AK1773" i="2"/>
  <c r="AN1772" i="2"/>
  <c r="AM1772" i="2"/>
  <c r="AL1772" i="2"/>
  <c r="AK1772" i="2"/>
  <c r="AN1771" i="2"/>
  <c r="AM1771" i="2"/>
  <c r="AL1771" i="2"/>
  <c r="AK1771" i="2"/>
  <c r="AN1770" i="2"/>
  <c r="AM1770" i="2"/>
  <c r="AL1770" i="2"/>
  <c r="AK1770" i="2"/>
  <c r="AN1769" i="2"/>
  <c r="AM1769" i="2"/>
  <c r="AL1769" i="2"/>
  <c r="AK1769" i="2"/>
  <c r="AN1768" i="2"/>
  <c r="AM1768" i="2"/>
  <c r="AL1768" i="2"/>
  <c r="AK1768" i="2"/>
  <c r="AN1767" i="2"/>
  <c r="AM1767" i="2"/>
  <c r="AL1767" i="2"/>
  <c r="AK1767" i="2"/>
  <c r="AN1766" i="2"/>
  <c r="AM1766" i="2"/>
  <c r="AL1766" i="2"/>
  <c r="AK1766" i="2"/>
  <c r="AN1765" i="2"/>
  <c r="AM1765" i="2"/>
  <c r="AL1765" i="2"/>
  <c r="AK1765" i="2"/>
  <c r="AN1764" i="2"/>
  <c r="AM1764" i="2"/>
  <c r="AL1764" i="2"/>
  <c r="AK1764" i="2"/>
  <c r="AN1763" i="2"/>
  <c r="AM1763" i="2"/>
  <c r="AL1763" i="2"/>
  <c r="AK1763" i="2"/>
  <c r="AN1762" i="2"/>
  <c r="AM1762" i="2"/>
  <c r="AL1762" i="2"/>
  <c r="AK1762" i="2"/>
  <c r="AN1761" i="2"/>
  <c r="AM1761" i="2"/>
  <c r="AL1761" i="2"/>
  <c r="AK1761" i="2"/>
  <c r="AN1760" i="2"/>
  <c r="AM1760" i="2"/>
  <c r="AL1760" i="2"/>
  <c r="AK1760" i="2"/>
  <c r="AN1759" i="2"/>
  <c r="AM1759" i="2"/>
  <c r="AL1759" i="2"/>
  <c r="AK1759" i="2"/>
  <c r="AN1758" i="2"/>
  <c r="AM1758" i="2"/>
  <c r="AL1758" i="2"/>
  <c r="AK1758" i="2"/>
  <c r="AN1757" i="2"/>
  <c r="AM1757" i="2"/>
  <c r="AL1757" i="2"/>
  <c r="AK1757" i="2"/>
  <c r="AN1756" i="2"/>
  <c r="AM1756" i="2"/>
  <c r="AL1756" i="2"/>
  <c r="AK1756" i="2"/>
  <c r="AN1755" i="2"/>
  <c r="AM1755" i="2"/>
  <c r="AL1755" i="2"/>
  <c r="AK1755" i="2"/>
  <c r="AN1754" i="2"/>
  <c r="AM1754" i="2"/>
  <c r="AL1754" i="2"/>
  <c r="AK1754" i="2"/>
  <c r="AN1753" i="2"/>
  <c r="AM1753" i="2"/>
  <c r="AL1753" i="2"/>
  <c r="AK1753" i="2"/>
  <c r="AN1752" i="2"/>
  <c r="AM1752" i="2"/>
  <c r="AL1752" i="2"/>
  <c r="AK1752" i="2"/>
  <c r="AN1751" i="2"/>
  <c r="AM1751" i="2"/>
  <c r="AL1751" i="2"/>
  <c r="AK1751" i="2"/>
  <c r="AN1750" i="2"/>
  <c r="AM1750" i="2"/>
  <c r="AL1750" i="2"/>
  <c r="AK1750" i="2"/>
  <c r="AN1749" i="2"/>
  <c r="AM1749" i="2"/>
  <c r="AL1749" i="2"/>
  <c r="AK1749" i="2"/>
  <c r="AN1748" i="2"/>
  <c r="AM1748" i="2"/>
  <c r="AL1748" i="2"/>
  <c r="AK1748" i="2"/>
  <c r="AN1747" i="2"/>
  <c r="AM1747" i="2"/>
  <c r="AL1747" i="2"/>
  <c r="AK1747" i="2"/>
  <c r="AN1746" i="2"/>
  <c r="AM1746" i="2"/>
  <c r="AL1746" i="2"/>
  <c r="AK1746" i="2"/>
  <c r="AN1745" i="2"/>
  <c r="AM1745" i="2"/>
  <c r="AL1745" i="2"/>
  <c r="AK1745" i="2"/>
  <c r="AN1744" i="2"/>
  <c r="AM1744" i="2"/>
  <c r="AL1744" i="2"/>
  <c r="AK1744" i="2"/>
  <c r="AN1743" i="2"/>
  <c r="AM1743" i="2"/>
  <c r="AL1743" i="2"/>
  <c r="AK1743" i="2"/>
  <c r="AN1742" i="2"/>
  <c r="AM1742" i="2"/>
  <c r="AL1742" i="2"/>
  <c r="AK1742" i="2"/>
  <c r="AN1741" i="2"/>
  <c r="AM1741" i="2"/>
  <c r="AL1741" i="2"/>
  <c r="AK1741" i="2"/>
  <c r="AN1740" i="2"/>
  <c r="AM1740" i="2"/>
  <c r="AL1740" i="2"/>
  <c r="AK1740" i="2"/>
  <c r="AN1739" i="2"/>
  <c r="AM1739" i="2"/>
  <c r="AL1739" i="2"/>
  <c r="AK1739" i="2"/>
  <c r="AN1738" i="2"/>
  <c r="AM1738" i="2"/>
  <c r="AL1738" i="2"/>
  <c r="AK1738" i="2"/>
  <c r="AN1737" i="2"/>
  <c r="AM1737" i="2"/>
  <c r="AL1737" i="2"/>
  <c r="AK1737" i="2"/>
  <c r="AN1736" i="2"/>
  <c r="AM1736" i="2"/>
  <c r="AL1736" i="2"/>
  <c r="AK1736" i="2"/>
  <c r="AN1735" i="2"/>
  <c r="AM1735" i="2"/>
  <c r="AL1735" i="2"/>
  <c r="AK1735" i="2"/>
  <c r="AN1734" i="2"/>
  <c r="AM1734" i="2"/>
  <c r="AL1734" i="2"/>
  <c r="AK1734" i="2"/>
  <c r="AN1733" i="2"/>
  <c r="AM1733" i="2"/>
  <c r="AL1733" i="2"/>
  <c r="AK1733" i="2"/>
  <c r="AN1732" i="2"/>
  <c r="AM1732" i="2"/>
  <c r="AL1732" i="2"/>
  <c r="AK1732" i="2"/>
  <c r="AN1731" i="2"/>
  <c r="AM1731" i="2"/>
  <c r="AL1731" i="2"/>
  <c r="AK1731" i="2"/>
  <c r="AN1730" i="2"/>
  <c r="AM1730" i="2"/>
  <c r="AL1730" i="2"/>
  <c r="AK1730" i="2"/>
  <c r="AN1729" i="2"/>
  <c r="AM1729" i="2"/>
  <c r="AL1729" i="2"/>
  <c r="AK1729" i="2"/>
  <c r="AN1728" i="2"/>
  <c r="AM1728" i="2"/>
  <c r="AL1728" i="2"/>
  <c r="AK1728" i="2"/>
  <c r="AN1727" i="2"/>
  <c r="AM1727" i="2"/>
  <c r="AL1727" i="2"/>
  <c r="AK1727" i="2"/>
  <c r="AN1726" i="2"/>
  <c r="AM1726" i="2"/>
  <c r="AL1726" i="2"/>
  <c r="AK1726" i="2"/>
  <c r="AN1725" i="2"/>
  <c r="AM1725" i="2"/>
  <c r="AL1725" i="2"/>
  <c r="AK1725" i="2"/>
  <c r="AN1724" i="2"/>
  <c r="AM1724" i="2"/>
  <c r="AL1724" i="2"/>
  <c r="AK1724" i="2"/>
  <c r="AN1723" i="2"/>
  <c r="AM1723" i="2"/>
  <c r="AL1723" i="2"/>
  <c r="AK1723" i="2"/>
  <c r="AN1722" i="2"/>
  <c r="AM1722" i="2"/>
  <c r="AL1722" i="2"/>
  <c r="AK1722" i="2"/>
  <c r="AN1721" i="2"/>
  <c r="AM1721" i="2"/>
  <c r="AL1721" i="2"/>
  <c r="AK1721" i="2"/>
  <c r="AN1720" i="2"/>
  <c r="AM1720" i="2"/>
  <c r="AL1720" i="2"/>
  <c r="AK1720" i="2"/>
  <c r="AN1719" i="2"/>
  <c r="AM1719" i="2"/>
  <c r="AL1719" i="2"/>
  <c r="AK1719" i="2"/>
  <c r="AN1718" i="2"/>
  <c r="AM1718" i="2"/>
  <c r="AL1718" i="2"/>
  <c r="AK1718" i="2"/>
  <c r="AN1717" i="2"/>
  <c r="AM1717" i="2"/>
  <c r="AL1717" i="2"/>
  <c r="AK1717" i="2"/>
  <c r="AN1716" i="2"/>
  <c r="AM1716" i="2"/>
  <c r="AL1716" i="2"/>
  <c r="AK1716" i="2"/>
  <c r="AN1715" i="2"/>
  <c r="AM1715" i="2"/>
  <c r="AL1715" i="2"/>
  <c r="AK1715" i="2"/>
  <c r="AN1714" i="2"/>
  <c r="AM1714" i="2"/>
  <c r="AL1714" i="2"/>
  <c r="AK1714" i="2"/>
  <c r="AN1713" i="2"/>
  <c r="AM1713" i="2"/>
  <c r="AL1713" i="2"/>
  <c r="AK1713" i="2"/>
  <c r="AN1712" i="2"/>
  <c r="AM1712" i="2"/>
  <c r="AL1712" i="2"/>
  <c r="AK1712" i="2"/>
  <c r="AN1711" i="2"/>
  <c r="AM1711" i="2"/>
  <c r="AL1711" i="2"/>
  <c r="AK1711" i="2"/>
  <c r="AN1710" i="2"/>
  <c r="AM1710" i="2"/>
  <c r="AL1710" i="2"/>
  <c r="AK1710" i="2"/>
  <c r="AN1709" i="2"/>
  <c r="AM1709" i="2"/>
  <c r="AL1709" i="2"/>
  <c r="AK1709" i="2"/>
  <c r="AN1708" i="2"/>
  <c r="AM1708" i="2"/>
  <c r="AL1708" i="2"/>
  <c r="AK1708" i="2"/>
  <c r="AN1707" i="2"/>
  <c r="AM1707" i="2"/>
  <c r="AL1707" i="2"/>
  <c r="AK1707" i="2"/>
  <c r="AN1706" i="2"/>
  <c r="AM1706" i="2"/>
  <c r="AL1706" i="2"/>
  <c r="AK1706" i="2"/>
  <c r="AN1705" i="2"/>
  <c r="AM1705" i="2"/>
  <c r="AL1705" i="2"/>
  <c r="AK1705" i="2"/>
  <c r="AN1704" i="2"/>
  <c r="AM1704" i="2"/>
  <c r="AL1704" i="2"/>
  <c r="AK1704" i="2"/>
  <c r="AN1703" i="2"/>
  <c r="AM1703" i="2"/>
  <c r="AL1703" i="2"/>
  <c r="AK1703" i="2"/>
  <c r="AN1702" i="2"/>
  <c r="AM1702" i="2"/>
  <c r="AL1702" i="2"/>
  <c r="AK1702" i="2"/>
  <c r="AN1701" i="2"/>
  <c r="AM1701" i="2"/>
  <c r="AL1701" i="2"/>
  <c r="AK1701" i="2"/>
  <c r="AN1700" i="2"/>
  <c r="AM1700" i="2"/>
  <c r="AL1700" i="2"/>
  <c r="AK1700" i="2"/>
  <c r="AN1699" i="2"/>
  <c r="AM1699" i="2"/>
  <c r="AL1699" i="2"/>
  <c r="AK1699" i="2"/>
  <c r="AN1698" i="2"/>
  <c r="AM1698" i="2"/>
  <c r="AL1698" i="2"/>
  <c r="AK1698" i="2"/>
  <c r="AN1697" i="2"/>
  <c r="AM1697" i="2"/>
  <c r="AL1697" i="2"/>
  <c r="AK1697" i="2"/>
  <c r="AN1696" i="2"/>
  <c r="AM1696" i="2"/>
  <c r="AL1696" i="2"/>
  <c r="AK1696" i="2"/>
  <c r="AN1695" i="2"/>
  <c r="AM1695" i="2"/>
  <c r="AL1695" i="2"/>
  <c r="AK1695" i="2"/>
  <c r="AN1694" i="2"/>
  <c r="AM1694" i="2"/>
  <c r="AL1694" i="2"/>
  <c r="AK1694" i="2"/>
  <c r="AN1693" i="2"/>
  <c r="AM1693" i="2"/>
  <c r="AL1693" i="2"/>
  <c r="AK1693" i="2"/>
  <c r="AN1692" i="2"/>
  <c r="AM1692" i="2"/>
  <c r="AL1692" i="2"/>
  <c r="AK1692" i="2"/>
  <c r="AN1691" i="2"/>
  <c r="AM1691" i="2"/>
  <c r="AL1691" i="2"/>
  <c r="AK1691" i="2"/>
  <c r="AN1690" i="2"/>
  <c r="AM1690" i="2"/>
  <c r="AL1690" i="2"/>
  <c r="AK1690" i="2"/>
  <c r="AN1689" i="2"/>
  <c r="AM1689" i="2"/>
  <c r="AL1689" i="2"/>
  <c r="AK1689" i="2"/>
  <c r="AN1688" i="2"/>
  <c r="AM1688" i="2"/>
  <c r="AL1688" i="2"/>
  <c r="AK1688" i="2"/>
  <c r="AN1687" i="2"/>
  <c r="AM1687" i="2"/>
  <c r="AL1687" i="2"/>
  <c r="AK1687" i="2"/>
  <c r="AN1686" i="2"/>
  <c r="AM1686" i="2"/>
  <c r="AL1686" i="2"/>
  <c r="AK1686" i="2"/>
  <c r="AN1685" i="2"/>
  <c r="AM1685" i="2"/>
  <c r="AL1685" i="2"/>
  <c r="AK1685" i="2"/>
  <c r="AN1684" i="2"/>
  <c r="AM1684" i="2"/>
  <c r="AL1684" i="2"/>
  <c r="AK1684" i="2"/>
  <c r="AN1683" i="2"/>
  <c r="AM1683" i="2"/>
  <c r="AL1683" i="2"/>
  <c r="AK1683" i="2"/>
  <c r="AN1682" i="2"/>
  <c r="AM1682" i="2"/>
  <c r="AL1682" i="2"/>
  <c r="AK1682" i="2"/>
  <c r="AN1681" i="2"/>
  <c r="AM1681" i="2"/>
  <c r="AL1681" i="2"/>
  <c r="AK1681" i="2"/>
  <c r="AN1680" i="2"/>
  <c r="AM1680" i="2"/>
  <c r="AL1680" i="2"/>
  <c r="AK1680" i="2"/>
  <c r="AN1679" i="2"/>
  <c r="AM1679" i="2"/>
  <c r="AL1679" i="2"/>
  <c r="AK1679" i="2"/>
  <c r="AN1678" i="2"/>
  <c r="AM1678" i="2"/>
  <c r="AL1678" i="2"/>
  <c r="AK1678" i="2"/>
  <c r="AN1677" i="2"/>
  <c r="AM1677" i="2"/>
  <c r="AL1677" i="2"/>
  <c r="AK1677" i="2"/>
  <c r="AN1676" i="2"/>
  <c r="AM1676" i="2"/>
  <c r="AL1676" i="2"/>
  <c r="AK1676" i="2"/>
  <c r="AN1675" i="2"/>
  <c r="AM1675" i="2"/>
  <c r="AL1675" i="2"/>
  <c r="AK1675" i="2"/>
  <c r="AN1674" i="2"/>
  <c r="AM1674" i="2"/>
  <c r="AL1674" i="2"/>
  <c r="AK1674" i="2"/>
  <c r="AN1673" i="2"/>
  <c r="AM1673" i="2"/>
  <c r="AL1673" i="2"/>
  <c r="AK1673" i="2"/>
  <c r="AN1672" i="2"/>
  <c r="AM1672" i="2"/>
  <c r="AL1672" i="2"/>
  <c r="AK1672" i="2"/>
  <c r="AN1671" i="2"/>
  <c r="AM1671" i="2"/>
  <c r="AL1671" i="2"/>
  <c r="AK1671" i="2"/>
  <c r="AN1670" i="2"/>
  <c r="AM1670" i="2"/>
  <c r="AL1670" i="2"/>
  <c r="AK1670" i="2"/>
  <c r="AN1669" i="2"/>
  <c r="AM1669" i="2"/>
  <c r="AL1669" i="2"/>
  <c r="AK1669" i="2"/>
  <c r="AN1668" i="2"/>
  <c r="AM1668" i="2"/>
  <c r="AL1668" i="2"/>
  <c r="AK1668" i="2"/>
  <c r="AN1667" i="2"/>
  <c r="AM1667" i="2"/>
  <c r="AL1667" i="2"/>
  <c r="AK1667" i="2"/>
  <c r="AN1666" i="2"/>
  <c r="AM1666" i="2"/>
  <c r="AL1666" i="2"/>
  <c r="AK1666" i="2"/>
  <c r="AN1665" i="2"/>
  <c r="AM1665" i="2"/>
  <c r="AL1665" i="2"/>
  <c r="AK1665" i="2"/>
  <c r="AN1664" i="2"/>
  <c r="AM1664" i="2"/>
  <c r="AL1664" i="2"/>
  <c r="AK1664" i="2"/>
  <c r="AN1663" i="2"/>
  <c r="AM1663" i="2"/>
  <c r="AL1663" i="2"/>
  <c r="AK1663" i="2"/>
  <c r="AN1662" i="2"/>
  <c r="AM1662" i="2"/>
  <c r="AL1662" i="2"/>
  <c r="AK1662" i="2"/>
  <c r="AN1661" i="2"/>
  <c r="AM1661" i="2"/>
  <c r="AL1661" i="2"/>
  <c r="AK1661" i="2"/>
  <c r="AN1660" i="2"/>
  <c r="AM1660" i="2"/>
  <c r="AL1660" i="2"/>
  <c r="AK1660" i="2"/>
  <c r="AN1659" i="2"/>
  <c r="AM1659" i="2"/>
  <c r="AL1659" i="2"/>
  <c r="AK1659" i="2"/>
  <c r="AN1658" i="2"/>
  <c r="AM1658" i="2"/>
  <c r="AL1658" i="2"/>
  <c r="AK1658" i="2"/>
  <c r="AN1657" i="2"/>
  <c r="AM1657" i="2"/>
  <c r="AL1657" i="2"/>
  <c r="AK1657" i="2"/>
  <c r="AN1656" i="2"/>
  <c r="AM1656" i="2"/>
  <c r="AL1656" i="2"/>
  <c r="AK1656" i="2"/>
  <c r="AN1655" i="2"/>
  <c r="AM1655" i="2"/>
  <c r="AL1655" i="2"/>
  <c r="AK1655" i="2"/>
  <c r="AN1654" i="2"/>
  <c r="AM1654" i="2"/>
  <c r="AL1654" i="2"/>
  <c r="AK1654" i="2"/>
  <c r="AN1653" i="2"/>
  <c r="AM1653" i="2"/>
  <c r="AL1653" i="2"/>
  <c r="AK1653" i="2"/>
  <c r="AN1652" i="2"/>
  <c r="AM1652" i="2"/>
  <c r="AL1652" i="2"/>
  <c r="AK1652" i="2"/>
  <c r="AN1651" i="2"/>
  <c r="AM1651" i="2"/>
  <c r="AL1651" i="2"/>
  <c r="AK1651" i="2"/>
  <c r="AN1650" i="2"/>
  <c r="AM1650" i="2"/>
  <c r="AL1650" i="2"/>
  <c r="AK1650" i="2"/>
  <c r="AN1649" i="2"/>
  <c r="AM1649" i="2"/>
  <c r="AL1649" i="2"/>
  <c r="AK1649" i="2"/>
  <c r="AN1648" i="2"/>
  <c r="AM1648" i="2"/>
  <c r="AL1648" i="2"/>
  <c r="AK1648" i="2"/>
  <c r="AN1647" i="2"/>
  <c r="AM1647" i="2"/>
  <c r="AL1647" i="2"/>
  <c r="AK1647" i="2"/>
  <c r="AN1646" i="2"/>
  <c r="AM1646" i="2"/>
  <c r="AL1646" i="2"/>
  <c r="AK1646" i="2"/>
  <c r="AN1645" i="2"/>
  <c r="AM1645" i="2"/>
  <c r="AL1645" i="2"/>
  <c r="AK1645" i="2"/>
  <c r="AN1644" i="2"/>
  <c r="AM1644" i="2"/>
  <c r="AL1644" i="2"/>
  <c r="AK1644" i="2"/>
  <c r="AN1643" i="2"/>
  <c r="AM1643" i="2"/>
  <c r="AL1643" i="2"/>
  <c r="AK1643" i="2"/>
  <c r="AN1642" i="2"/>
  <c r="AM1642" i="2"/>
  <c r="AL1642" i="2"/>
  <c r="AK1642" i="2"/>
  <c r="AN1641" i="2"/>
  <c r="AM1641" i="2"/>
  <c r="AL1641" i="2"/>
  <c r="AK1641" i="2"/>
  <c r="AN1640" i="2"/>
  <c r="AM1640" i="2"/>
  <c r="AL1640" i="2"/>
  <c r="AK1640" i="2"/>
  <c r="AN1639" i="2"/>
  <c r="AM1639" i="2"/>
  <c r="AL1639" i="2"/>
  <c r="AK1639" i="2"/>
  <c r="AN1638" i="2"/>
  <c r="AM1638" i="2"/>
  <c r="AL1638" i="2"/>
  <c r="AK1638" i="2"/>
  <c r="AN1637" i="2"/>
  <c r="AM1637" i="2"/>
  <c r="AL1637" i="2"/>
  <c r="AK1637" i="2"/>
  <c r="AN1636" i="2"/>
  <c r="AM1636" i="2"/>
  <c r="AL1636" i="2"/>
  <c r="AK1636" i="2"/>
  <c r="AN1635" i="2"/>
  <c r="AM1635" i="2"/>
  <c r="AL1635" i="2"/>
  <c r="AK1635" i="2"/>
  <c r="AN1634" i="2"/>
  <c r="AM1634" i="2"/>
  <c r="AL1634" i="2"/>
  <c r="AK1634" i="2"/>
  <c r="AN1633" i="2"/>
  <c r="AM1633" i="2"/>
  <c r="AL1633" i="2"/>
  <c r="AK1633" i="2"/>
  <c r="AN1632" i="2"/>
  <c r="AM1632" i="2"/>
  <c r="AL1632" i="2"/>
  <c r="AK1632" i="2"/>
  <c r="AN1631" i="2"/>
  <c r="AM1631" i="2"/>
  <c r="AL1631" i="2"/>
  <c r="AK1631" i="2"/>
  <c r="AN1630" i="2"/>
  <c r="AM1630" i="2"/>
  <c r="AL1630" i="2"/>
  <c r="AK1630" i="2"/>
  <c r="AN1629" i="2"/>
  <c r="AM1629" i="2"/>
  <c r="AL1629" i="2"/>
  <c r="AK1629" i="2"/>
  <c r="AN1628" i="2"/>
  <c r="AM1628" i="2"/>
  <c r="AL1628" i="2"/>
  <c r="AK1628" i="2"/>
  <c r="AN1627" i="2"/>
  <c r="AM1627" i="2"/>
  <c r="AL1627" i="2"/>
  <c r="AK1627" i="2"/>
  <c r="AN1626" i="2"/>
  <c r="AM1626" i="2"/>
  <c r="AL1626" i="2"/>
  <c r="AK1626" i="2"/>
  <c r="AN1625" i="2"/>
  <c r="AM1625" i="2"/>
  <c r="AL1625" i="2"/>
  <c r="AK1625" i="2"/>
  <c r="AN1624" i="2"/>
  <c r="AM1624" i="2"/>
  <c r="AL1624" i="2"/>
  <c r="AK1624" i="2"/>
  <c r="AN1623" i="2"/>
  <c r="AM1623" i="2"/>
  <c r="AL1623" i="2"/>
  <c r="AK1623" i="2"/>
  <c r="AN1622" i="2"/>
  <c r="AM1622" i="2"/>
  <c r="AL1622" i="2"/>
  <c r="AK1622" i="2"/>
  <c r="AN1621" i="2"/>
  <c r="AM1621" i="2"/>
  <c r="AL1621" i="2"/>
  <c r="AK1621" i="2"/>
  <c r="AN1620" i="2"/>
  <c r="AM1620" i="2"/>
  <c r="AL1620" i="2"/>
  <c r="AK1620" i="2"/>
  <c r="AN1619" i="2"/>
  <c r="AM1619" i="2"/>
  <c r="AL1619" i="2"/>
  <c r="AK1619" i="2"/>
  <c r="AN1618" i="2"/>
  <c r="AM1618" i="2"/>
  <c r="AL1618" i="2"/>
  <c r="AK1618" i="2"/>
  <c r="AN1617" i="2"/>
  <c r="AM1617" i="2"/>
  <c r="AL1617" i="2"/>
  <c r="AK1617" i="2"/>
  <c r="AN1616" i="2"/>
  <c r="AM1616" i="2"/>
  <c r="AL1616" i="2"/>
  <c r="AK1616" i="2"/>
  <c r="AN1615" i="2"/>
  <c r="AM1615" i="2"/>
  <c r="AL1615" i="2"/>
  <c r="AK1615" i="2"/>
  <c r="AN1614" i="2"/>
  <c r="AM1614" i="2"/>
  <c r="AL1614" i="2"/>
  <c r="AK1614" i="2"/>
  <c r="AN1613" i="2"/>
  <c r="AM1613" i="2"/>
  <c r="AL1613" i="2"/>
  <c r="AK1613" i="2"/>
  <c r="AN1612" i="2"/>
  <c r="AM1612" i="2"/>
  <c r="AL1612" i="2"/>
  <c r="AK1612" i="2"/>
  <c r="AN1611" i="2"/>
  <c r="AM1611" i="2"/>
  <c r="AL1611" i="2"/>
  <c r="AK1611" i="2"/>
  <c r="AN1610" i="2"/>
  <c r="AM1610" i="2"/>
  <c r="AL1610" i="2"/>
  <c r="AK1610" i="2"/>
  <c r="AN1609" i="2"/>
  <c r="AM1609" i="2"/>
  <c r="AL1609" i="2"/>
  <c r="AK1609" i="2"/>
  <c r="AN1608" i="2"/>
  <c r="AM1608" i="2"/>
  <c r="AL1608" i="2"/>
  <c r="AK1608" i="2"/>
  <c r="AN1607" i="2"/>
  <c r="AM1607" i="2"/>
  <c r="AL1607" i="2"/>
  <c r="AK1607" i="2"/>
  <c r="AN1606" i="2"/>
  <c r="AM1606" i="2"/>
  <c r="AL1606" i="2"/>
  <c r="AK1606" i="2"/>
  <c r="AN1605" i="2"/>
  <c r="AM1605" i="2"/>
  <c r="AL1605" i="2"/>
  <c r="AK1605" i="2"/>
  <c r="AN1604" i="2"/>
  <c r="AM1604" i="2"/>
  <c r="AL1604" i="2"/>
  <c r="AK1604" i="2"/>
  <c r="AN1603" i="2"/>
  <c r="AM1603" i="2"/>
  <c r="AL1603" i="2"/>
  <c r="AK1603" i="2"/>
  <c r="AN1602" i="2"/>
  <c r="AM1602" i="2"/>
  <c r="AL1602" i="2"/>
  <c r="AK1602" i="2"/>
  <c r="AN1601" i="2"/>
  <c r="AM1601" i="2"/>
  <c r="AL1601" i="2"/>
  <c r="AK1601" i="2"/>
  <c r="AN1600" i="2"/>
  <c r="AM1600" i="2"/>
  <c r="AL1600" i="2"/>
  <c r="AK1600" i="2"/>
  <c r="AN1599" i="2"/>
  <c r="AM1599" i="2"/>
  <c r="AL1599" i="2"/>
  <c r="AK1599" i="2"/>
  <c r="AN1598" i="2"/>
  <c r="AM1598" i="2"/>
  <c r="AL1598" i="2"/>
  <c r="AK1598" i="2"/>
  <c r="AN1597" i="2"/>
  <c r="AM1597" i="2"/>
  <c r="AL1597" i="2"/>
  <c r="AK1597" i="2"/>
  <c r="AN1596" i="2"/>
  <c r="AM1596" i="2"/>
  <c r="AL1596" i="2"/>
  <c r="AK1596" i="2"/>
  <c r="AN1595" i="2"/>
  <c r="AM1595" i="2"/>
  <c r="AL1595" i="2"/>
  <c r="AK1595" i="2"/>
  <c r="AN1594" i="2"/>
  <c r="AM1594" i="2"/>
  <c r="AL1594" i="2"/>
  <c r="AK1594" i="2"/>
  <c r="AN1593" i="2"/>
  <c r="AM1593" i="2"/>
  <c r="AL1593" i="2"/>
  <c r="AK1593" i="2"/>
  <c r="AN1592" i="2"/>
  <c r="AM1592" i="2"/>
  <c r="AL1592" i="2"/>
  <c r="AK1592" i="2"/>
  <c r="AN1591" i="2"/>
  <c r="AM1591" i="2"/>
  <c r="AL1591" i="2"/>
  <c r="AK1591" i="2"/>
  <c r="AN1590" i="2"/>
  <c r="AM1590" i="2"/>
  <c r="AL1590" i="2"/>
  <c r="AK1590" i="2"/>
  <c r="AN1589" i="2"/>
  <c r="AM1589" i="2"/>
  <c r="AL1589" i="2"/>
  <c r="AK1589" i="2"/>
  <c r="AN1588" i="2"/>
  <c r="AM1588" i="2"/>
  <c r="AL1588" i="2"/>
  <c r="AK1588" i="2"/>
  <c r="AN1587" i="2"/>
  <c r="AM1587" i="2"/>
  <c r="AL1587" i="2"/>
  <c r="AK1587" i="2"/>
  <c r="AN1586" i="2"/>
  <c r="AM1586" i="2"/>
  <c r="AL1586" i="2"/>
  <c r="AK1586" i="2"/>
  <c r="AN1585" i="2"/>
  <c r="AM1585" i="2"/>
  <c r="AL1585" i="2"/>
  <c r="AK1585" i="2"/>
  <c r="AN1584" i="2"/>
  <c r="AM1584" i="2"/>
  <c r="AL1584" i="2"/>
  <c r="AK1584" i="2"/>
  <c r="AN1583" i="2"/>
  <c r="AM1583" i="2"/>
  <c r="AL1583" i="2"/>
  <c r="AK1583" i="2"/>
  <c r="AN1582" i="2"/>
  <c r="AM1582" i="2"/>
  <c r="AL1582" i="2"/>
  <c r="AK1582" i="2"/>
  <c r="AN1581" i="2"/>
  <c r="AM1581" i="2"/>
  <c r="AL1581" i="2"/>
  <c r="AK1581" i="2"/>
  <c r="AN1580" i="2"/>
  <c r="AM1580" i="2"/>
  <c r="AL1580" i="2"/>
  <c r="AK1580" i="2"/>
  <c r="AN1579" i="2"/>
  <c r="AM1579" i="2"/>
  <c r="AL1579" i="2"/>
  <c r="AK1579" i="2"/>
  <c r="AN1578" i="2"/>
  <c r="AM1578" i="2"/>
  <c r="AL1578" i="2"/>
  <c r="AK1578" i="2"/>
  <c r="AN1577" i="2"/>
  <c r="AM1577" i="2"/>
  <c r="AL1577" i="2"/>
  <c r="AK1577" i="2"/>
  <c r="AN1576" i="2"/>
  <c r="AM1576" i="2"/>
  <c r="AL1576" i="2"/>
  <c r="AK1576" i="2"/>
  <c r="AN1575" i="2"/>
  <c r="AM1575" i="2"/>
  <c r="AL1575" i="2"/>
  <c r="AK1575" i="2"/>
  <c r="AN1574" i="2"/>
  <c r="AM1574" i="2"/>
  <c r="AL1574" i="2"/>
  <c r="AK1574" i="2"/>
  <c r="AN1573" i="2"/>
  <c r="AM1573" i="2"/>
  <c r="AL1573" i="2"/>
  <c r="AK1573" i="2"/>
  <c r="AN1572" i="2"/>
  <c r="AM1572" i="2"/>
  <c r="AL1572" i="2"/>
  <c r="AK1572" i="2"/>
  <c r="AN1571" i="2"/>
  <c r="AM1571" i="2"/>
  <c r="AL1571" i="2"/>
  <c r="AK1571" i="2"/>
  <c r="AN1570" i="2"/>
  <c r="AM1570" i="2"/>
  <c r="AL1570" i="2"/>
  <c r="AK1570" i="2"/>
  <c r="AN1569" i="2"/>
  <c r="AM1569" i="2"/>
  <c r="AL1569" i="2"/>
  <c r="AK1569" i="2"/>
  <c r="AN1568" i="2"/>
  <c r="AM1568" i="2"/>
  <c r="AL1568" i="2"/>
  <c r="AK1568" i="2"/>
  <c r="AN1567" i="2"/>
  <c r="AM1567" i="2"/>
  <c r="AL1567" i="2"/>
  <c r="AK1567" i="2"/>
  <c r="AN1566" i="2"/>
  <c r="AM1566" i="2"/>
  <c r="AL1566" i="2"/>
  <c r="AK1566" i="2"/>
  <c r="AN1565" i="2"/>
  <c r="AM1565" i="2"/>
  <c r="AL1565" i="2"/>
  <c r="AK1565" i="2"/>
  <c r="AN1564" i="2"/>
  <c r="AM1564" i="2"/>
  <c r="AL1564" i="2"/>
  <c r="AK1564" i="2"/>
  <c r="AN1563" i="2"/>
  <c r="AM1563" i="2"/>
  <c r="AL1563" i="2"/>
  <c r="AK1563" i="2"/>
  <c r="AN1562" i="2"/>
  <c r="AM1562" i="2"/>
  <c r="AL1562" i="2"/>
  <c r="AK1562" i="2"/>
  <c r="AN1561" i="2"/>
  <c r="AM1561" i="2"/>
  <c r="AL1561" i="2"/>
  <c r="AK1561" i="2"/>
  <c r="AN1560" i="2"/>
  <c r="AM1560" i="2"/>
  <c r="AL1560" i="2"/>
  <c r="AK1560" i="2"/>
  <c r="AN1559" i="2"/>
  <c r="AM1559" i="2"/>
  <c r="AL1559" i="2"/>
  <c r="AK1559" i="2"/>
  <c r="AN1558" i="2"/>
  <c r="AM1558" i="2"/>
  <c r="AL1558" i="2"/>
  <c r="AK1558" i="2"/>
  <c r="AN1557" i="2"/>
  <c r="AM1557" i="2"/>
  <c r="AL1557" i="2"/>
  <c r="AK1557" i="2"/>
  <c r="AN1556" i="2"/>
  <c r="AM1556" i="2"/>
  <c r="AL1556" i="2"/>
  <c r="AK1556" i="2"/>
  <c r="AN1555" i="2"/>
  <c r="AM1555" i="2"/>
  <c r="AL1555" i="2"/>
  <c r="AK1555" i="2"/>
  <c r="AN1554" i="2"/>
  <c r="AM1554" i="2"/>
  <c r="AL1554" i="2"/>
  <c r="AK1554" i="2"/>
  <c r="AN1553" i="2"/>
  <c r="AM1553" i="2"/>
  <c r="AL1553" i="2"/>
  <c r="AK1553" i="2"/>
  <c r="AN1552" i="2"/>
  <c r="AM1552" i="2"/>
  <c r="AL1552" i="2"/>
  <c r="AK1552" i="2"/>
  <c r="AN1551" i="2"/>
  <c r="AM1551" i="2"/>
  <c r="AL1551" i="2"/>
  <c r="AK1551" i="2"/>
  <c r="AN1550" i="2"/>
  <c r="AM1550" i="2"/>
  <c r="AL1550" i="2"/>
  <c r="AK1550" i="2"/>
  <c r="AN1549" i="2"/>
  <c r="AM1549" i="2"/>
  <c r="AL1549" i="2"/>
  <c r="AK1549" i="2"/>
  <c r="AN1548" i="2"/>
  <c r="AM1548" i="2"/>
  <c r="AL1548" i="2"/>
  <c r="AK1548" i="2"/>
  <c r="AN1547" i="2"/>
  <c r="AM1547" i="2"/>
  <c r="AL1547" i="2"/>
  <c r="AK1547" i="2"/>
  <c r="AN1546" i="2"/>
  <c r="AM1546" i="2"/>
  <c r="AL1546" i="2"/>
  <c r="AK1546" i="2"/>
  <c r="AN1545" i="2"/>
  <c r="AM1545" i="2"/>
  <c r="AL1545" i="2"/>
  <c r="AK1545" i="2"/>
  <c r="AN1544" i="2"/>
  <c r="AM1544" i="2"/>
  <c r="AL1544" i="2"/>
  <c r="AK1544" i="2"/>
  <c r="AN1543" i="2"/>
  <c r="AM1543" i="2"/>
  <c r="AL1543" i="2"/>
  <c r="AK1543" i="2"/>
  <c r="AN1542" i="2"/>
  <c r="AM1542" i="2"/>
  <c r="AL1542" i="2"/>
  <c r="AK1542" i="2"/>
  <c r="AN1541" i="2"/>
  <c r="AM1541" i="2"/>
  <c r="AL1541" i="2"/>
  <c r="AK1541" i="2"/>
  <c r="AN1540" i="2"/>
  <c r="AM1540" i="2"/>
  <c r="AL1540" i="2"/>
  <c r="AK1540" i="2"/>
  <c r="AN1539" i="2"/>
  <c r="AM1539" i="2"/>
  <c r="AL1539" i="2"/>
  <c r="AK1539" i="2"/>
  <c r="AN1538" i="2"/>
  <c r="AM1538" i="2"/>
  <c r="AL1538" i="2"/>
  <c r="AK1538" i="2"/>
  <c r="AN1537" i="2"/>
  <c r="AM1537" i="2"/>
  <c r="AL1537" i="2"/>
  <c r="AK1537" i="2"/>
  <c r="AN1536" i="2"/>
  <c r="AM1536" i="2"/>
  <c r="AL1536" i="2"/>
  <c r="AK1536" i="2"/>
  <c r="AN1535" i="2"/>
  <c r="AM1535" i="2"/>
  <c r="AL1535" i="2"/>
  <c r="AK1535" i="2"/>
  <c r="AN1534" i="2"/>
  <c r="AM1534" i="2"/>
  <c r="AL1534" i="2"/>
  <c r="AK1534" i="2"/>
  <c r="AN1533" i="2"/>
  <c r="AM1533" i="2"/>
  <c r="AL1533" i="2"/>
  <c r="AK1533" i="2"/>
  <c r="AN1532" i="2"/>
  <c r="AM1532" i="2"/>
  <c r="AL1532" i="2"/>
  <c r="AK1532" i="2"/>
  <c r="AN1531" i="2"/>
  <c r="AM1531" i="2"/>
  <c r="AL1531" i="2"/>
  <c r="AK1531" i="2"/>
  <c r="AN1530" i="2"/>
  <c r="AM1530" i="2"/>
  <c r="AL1530" i="2"/>
  <c r="AK1530" i="2"/>
  <c r="AN1529" i="2"/>
  <c r="AM1529" i="2"/>
  <c r="AL1529" i="2"/>
  <c r="AK1529" i="2"/>
  <c r="AN1528" i="2"/>
  <c r="AM1528" i="2"/>
  <c r="AL1528" i="2"/>
  <c r="AK1528" i="2"/>
  <c r="AN1527" i="2"/>
  <c r="AM1527" i="2"/>
  <c r="AL1527" i="2"/>
  <c r="AK1527" i="2"/>
  <c r="AN1526" i="2"/>
  <c r="AM1526" i="2"/>
  <c r="AL1526" i="2"/>
  <c r="AK1526" i="2"/>
  <c r="AN1525" i="2"/>
  <c r="AM1525" i="2"/>
  <c r="AL1525" i="2"/>
  <c r="AK1525" i="2"/>
  <c r="AN1524" i="2"/>
  <c r="AM1524" i="2"/>
  <c r="AL1524" i="2"/>
  <c r="AK1524" i="2"/>
  <c r="AN1523" i="2"/>
  <c r="AM1523" i="2"/>
  <c r="AL1523" i="2"/>
  <c r="AK1523" i="2"/>
  <c r="AN1522" i="2"/>
  <c r="AM1522" i="2"/>
  <c r="AL1522" i="2"/>
  <c r="AK1522" i="2"/>
  <c r="AN1521" i="2"/>
  <c r="AM1521" i="2"/>
  <c r="AL1521" i="2"/>
  <c r="AK1521" i="2"/>
  <c r="AN1520" i="2"/>
  <c r="AM1520" i="2"/>
  <c r="AL1520" i="2"/>
  <c r="AK1520" i="2"/>
  <c r="AN1519" i="2"/>
  <c r="AM1519" i="2"/>
  <c r="AL1519" i="2"/>
  <c r="AK1519" i="2"/>
  <c r="AN1518" i="2"/>
  <c r="AM1518" i="2"/>
  <c r="AL1518" i="2"/>
  <c r="AK1518" i="2"/>
  <c r="AN1517" i="2"/>
  <c r="AM1517" i="2"/>
  <c r="AL1517" i="2"/>
  <c r="AK1517" i="2"/>
  <c r="AN1516" i="2"/>
  <c r="AM1516" i="2"/>
  <c r="AL1516" i="2"/>
  <c r="AK1516" i="2"/>
  <c r="AN1515" i="2"/>
  <c r="AM1515" i="2"/>
  <c r="AL1515" i="2"/>
  <c r="AK1515" i="2"/>
  <c r="AN1514" i="2"/>
  <c r="AM1514" i="2"/>
  <c r="AL1514" i="2"/>
  <c r="AK1514" i="2"/>
  <c r="AN1513" i="2"/>
  <c r="AM1513" i="2"/>
  <c r="AL1513" i="2"/>
  <c r="AK1513" i="2"/>
  <c r="AN1512" i="2"/>
  <c r="AM1512" i="2"/>
  <c r="AL1512" i="2"/>
  <c r="AK1512" i="2"/>
  <c r="AN1511" i="2"/>
  <c r="AM1511" i="2"/>
  <c r="AL1511" i="2"/>
  <c r="AK1511" i="2"/>
  <c r="AN1510" i="2"/>
  <c r="AM1510" i="2"/>
  <c r="AL1510" i="2"/>
  <c r="AK1510" i="2"/>
  <c r="AN1509" i="2"/>
  <c r="AM1509" i="2"/>
  <c r="AL1509" i="2"/>
  <c r="AK1509" i="2"/>
  <c r="AN1508" i="2"/>
  <c r="AM1508" i="2"/>
  <c r="AL1508" i="2"/>
  <c r="AK1508" i="2"/>
  <c r="AN1507" i="2"/>
  <c r="AM1507" i="2"/>
  <c r="AL1507" i="2"/>
  <c r="AK1507" i="2"/>
  <c r="AN1506" i="2"/>
  <c r="AM1506" i="2"/>
  <c r="AL1506" i="2"/>
  <c r="AK1506" i="2"/>
  <c r="AN1505" i="2"/>
  <c r="AM1505" i="2"/>
  <c r="AL1505" i="2"/>
  <c r="AK1505" i="2"/>
  <c r="AN1504" i="2"/>
  <c r="AM1504" i="2"/>
  <c r="AL1504" i="2"/>
  <c r="AK1504" i="2"/>
  <c r="AN1503" i="2"/>
  <c r="AM1503" i="2"/>
  <c r="AL1503" i="2"/>
  <c r="AK1503" i="2"/>
  <c r="AN1502" i="2"/>
  <c r="AM1502" i="2"/>
  <c r="AL1502" i="2"/>
  <c r="AK1502" i="2"/>
  <c r="AN1501" i="2"/>
  <c r="AM1501" i="2"/>
  <c r="AL1501" i="2"/>
  <c r="AK1501" i="2"/>
  <c r="AN1500" i="2"/>
  <c r="AM1500" i="2"/>
  <c r="AL1500" i="2"/>
  <c r="AK1500" i="2"/>
  <c r="AN1499" i="2"/>
  <c r="AM1499" i="2"/>
  <c r="AL1499" i="2"/>
  <c r="AK1499" i="2"/>
  <c r="AN1498" i="2"/>
  <c r="AM1498" i="2"/>
  <c r="AL1498" i="2"/>
  <c r="AK1498" i="2"/>
  <c r="AN1497" i="2"/>
  <c r="AM1497" i="2"/>
  <c r="AL1497" i="2"/>
  <c r="AK1497" i="2"/>
  <c r="AN1496" i="2"/>
  <c r="AM1496" i="2"/>
  <c r="AL1496" i="2"/>
  <c r="AK1496" i="2"/>
  <c r="AN1495" i="2"/>
  <c r="AM1495" i="2"/>
  <c r="AL1495" i="2"/>
  <c r="AK1495" i="2"/>
  <c r="AN1494" i="2"/>
  <c r="AM1494" i="2"/>
  <c r="AL1494" i="2"/>
  <c r="AK1494" i="2"/>
  <c r="AN1493" i="2"/>
  <c r="AM1493" i="2"/>
  <c r="AL1493" i="2"/>
  <c r="AK1493" i="2"/>
  <c r="AN1492" i="2"/>
  <c r="AM1492" i="2"/>
  <c r="AL1492" i="2"/>
  <c r="AK1492" i="2"/>
  <c r="AN1491" i="2"/>
  <c r="AM1491" i="2"/>
  <c r="AL1491" i="2"/>
  <c r="AK1491" i="2"/>
  <c r="AN1490" i="2"/>
  <c r="AM1490" i="2"/>
  <c r="AL1490" i="2"/>
  <c r="AK1490" i="2"/>
  <c r="AN1489" i="2"/>
  <c r="AM1489" i="2"/>
  <c r="AL1489" i="2"/>
  <c r="AK1489" i="2"/>
  <c r="AN1488" i="2"/>
  <c r="AM1488" i="2"/>
  <c r="AL1488" i="2"/>
  <c r="AK1488" i="2"/>
  <c r="AN1487" i="2"/>
  <c r="AM1487" i="2"/>
  <c r="AL1487" i="2"/>
  <c r="AK1487" i="2"/>
  <c r="AN1486" i="2"/>
  <c r="AM1486" i="2"/>
  <c r="AL1486" i="2"/>
  <c r="AK1486" i="2"/>
  <c r="AN1485" i="2"/>
  <c r="AM1485" i="2"/>
  <c r="AL1485" i="2"/>
  <c r="AK1485" i="2"/>
  <c r="AN1484" i="2"/>
  <c r="AM1484" i="2"/>
  <c r="AL1484" i="2"/>
  <c r="AK1484" i="2"/>
  <c r="AN1483" i="2"/>
  <c r="AM1483" i="2"/>
  <c r="AL1483" i="2"/>
  <c r="AK1483" i="2"/>
  <c r="AN1482" i="2"/>
  <c r="AM1482" i="2"/>
  <c r="AL1482" i="2"/>
  <c r="AK1482" i="2"/>
  <c r="AN1481" i="2"/>
  <c r="AM1481" i="2"/>
  <c r="AL1481" i="2"/>
  <c r="AK1481" i="2"/>
  <c r="AN1480" i="2"/>
  <c r="AM1480" i="2"/>
  <c r="AL1480" i="2"/>
  <c r="AK1480" i="2"/>
  <c r="AN1479" i="2"/>
  <c r="AM1479" i="2"/>
  <c r="AL1479" i="2"/>
  <c r="AK1479" i="2"/>
  <c r="AN1478" i="2"/>
  <c r="AM1478" i="2"/>
  <c r="AL1478" i="2"/>
  <c r="AK1478" i="2"/>
  <c r="AN1477" i="2"/>
  <c r="AM1477" i="2"/>
  <c r="AL1477" i="2"/>
  <c r="AK1477" i="2"/>
  <c r="AN1476" i="2"/>
  <c r="AM1476" i="2"/>
  <c r="AL1476" i="2"/>
  <c r="AK1476" i="2"/>
  <c r="AN1475" i="2"/>
  <c r="AM1475" i="2"/>
  <c r="AL1475" i="2"/>
  <c r="AK1475" i="2"/>
  <c r="AN1474" i="2"/>
  <c r="AM1474" i="2"/>
  <c r="AL1474" i="2"/>
  <c r="AK1474" i="2"/>
  <c r="AN1473" i="2"/>
  <c r="AM1473" i="2"/>
  <c r="AL1473" i="2"/>
  <c r="AK1473" i="2"/>
  <c r="AN1472" i="2"/>
  <c r="AM1472" i="2"/>
  <c r="AL1472" i="2"/>
  <c r="AK1472" i="2"/>
  <c r="AN1471" i="2"/>
  <c r="AM1471" i="2"/>
  <c r="AL1471" i="2"/>
  <c r="AK1471" i="2"/>
  <c r="AN1470" i="2"/>
  <c r="AM1470" i="2"/>
  <c r="AL1470" i="2"/>
  <c r="AK1470" i="2"/>
  <c r="AN1469" i="2"/>
  <c r="AM1469" i="2"/>
  <c r="AL1469" i="2"/>
  <c r="AK1469" i="2"/>
  <c r="AN1468" i="2"/>
  <c r="AM1468" i="2"/>
  <c r="AL1468" i="2"/>
  <c r="AK1468" i="2"/>
  <c r="AN1467" i="2"/>
  <c r="AM1467" i="2"/>
  <c r="AL1467" i="2"/>
  <c r="AK1467" i="2"/>
  <c r="AN1466" i="2"/>
  <c r="AM1466" i="2"/>
  <c r="AL1466" i="2"/>
  <c r="AK1466" i="2"/>
  <c r="AN1465" i="2"/>
  <c r="AM1465" i="2"/>
  <c r="AL1465" i="2"/>
  <c r="AK1465" i="2"/>
  <c r="AN1464" i="2"/>
  <c r="AM1464" i="2"/>
  <c r="AL1464" i="2"/>
  <c r="AK1464" i="2"/>
  <c r="AN1463" i="2"/>
  <c r="AM1463" i="2"/>
  <c r="AL1463" i="2"/>
  <c r="AK1463" i="2"/>
  <c r="AN1462" i="2"/>
  <c r="AM1462" i="2"/>
  <c r="AL1462" i="2"/>
  <c r="AK1462" i="2"/>
  <c r="AN1461" i="2"/>
  <c r="AM1461" i="2"/>
  <c r="AL1461" i="2"/>
  <c r="AK1461" i="2"/>
  <c r="AN1460" i="2"/>
  <c r="AM1460" i="2"/>
  <c r="AL1460" i="2"/>
  <c r="AK1460" i="2"/>
  <c r="AN1459" i="2"/>
  <c r="AM1459" i="2"/>
  <c r="AL1459" i="2"/>
  <c r="AK1459" i="2"/>
  <c r="AN1458" i="2"/>
  <c r="AM1458" i="2"/>
  <c r="AL1458" i="2"/>
  <c r="AK1458" i="2"/>
  <c r="AN1457" i="2"/>
  <c r="AM1457" i="2"/>
  <c r="AL1457" i="2"/>
  <c r="AK1457" i="2"/>
  <c r="AN1456" i="2"/>
  <c r="AM1456" i="2"/>
  <c r="AL1456" i="2"/>
  <c r="AK1456" i="2"/>
  <c r="AN1455" i="2"/>
  <c r="AM1455" i="2"/>
  <c r="AL1455" i="2"/>
  <c r="AK1455" i="2"/>
  <c r="AN1454" i="2"/>
  <c r="AM1454" i="2"/>
  <c r="AL1454" i="2"/>
  <c r="AK1454" i="2"/>
  <c r="AN1453" i="2"/>
  <c r="AM1453" i="2"/>
  <c r="AL1453" i="2"/>
  <c r="AK1453" i="2"/>
  <c r="AN1452" i="2"/>
  <c r="AM1452" i="2"/>
  <c r="AL1452" i="2"/>
  <c r="AK1452" i="2"/>
  <c r="AN1451" i="2"/>
  <c r="AM1451" i="2"/>
  <c r="AL1451" i="2"/>
  <c r="AK1451" i="2"/>
  <c r="AN1450" i="2"/>
  <c r="AM1450" i="2"/>
  <c r="AL1450" i="2"/>
  <c r="AK1450" i="2"/>
  <c r="AN1449" i="2"/>
  <c r="AM1449" i="2"/>
  <c r="AL1449" i="2"/>
  <c r="AK1449" i="2"/>
  <c r="AN1448" i="2"/>
  <c r="AM1448" i="2"/>
  <c r="AL1448" i="2"/>
  <c r="AK1448" i="2"/>
  <c r="AN1447" i="2"/>
  <c r="AM1447" i="2"/>
  <c r="AL1447" i="2"/>
  <c r="AK1447" i="2"/>
  <c r="AN1446" i="2"/>
  <c r="AM1446" i="2"/>
  <c r="AL1446" i="2"/>
  <c r="AK1446" i="2"/>
  <c r="AN1445" i="2"/>
  <c r="AM1445" i="2"/>
  <c r="AL1445" i="2"/>
  <c r="AK1445" i="2"/>
  <c r="AN1444" i="2"/>
  <c r="AM1444" i="2"/>
  <c r="AL1444" i="2"/>
  <c r="AK1444" i="2"/>
  <c r="AN1443" i="2"/>
  <c r="AM1443" i="2"/>
  <c r="AL1443" i="2"/>
  <c r="AK1443" i="2"/>
  <c r="AN1442" i="2"/>
  <c r="AM1442" i="2"/>
  <c r="AL1442" i="2"/>
  <c r="AK1442" i="2"/>
  <c r="AN1441" i="2"/>
  <c r="AM1441" i="2"/>
  <c r="AL1441" i="2"/>
  <c r="AK1441" i="2"/>
  <c r="AN1440" i="2"/>
  <c r="AM1440" i="2"/>
  <c r="AL1440" i="2"/>
  <c r="AK1440" i="2"/>
  <c r="AN1439" i="2"/>
  <c r="AM1439" i="2"/>
  <c r="AL1439" i="2"/>
  <c r="AK1439" i="2"/>
  <c r="AN1438" i="2"/>
  <c r="AM1438" i="2"/>
  <c r="AL1438" i="2"/>
  <c r="AK1438" i="2"/>
  <c r="AN1437" i="2"/>
  <c r="AM1437" i="2"/>
  <c r="AL1437" i="2"/>
  <c r="AK1437" i="2"/>
  <c r="AN1436" i="2"/>
  <c r="AM1436" i="2"/>
  <c r="AL1436" i="2"/>
  <c r="AK1436" i="2"/>
  <c r="AN1435" i="2"/>
  <c r="AM1435" i="2"/>
  <c r="AL1435" i="2"/>
  <c r="AK1435" i="2"/>
  <c r="AN1434" i="2"/>
  <c r="AM1434" i="2"/>
  <c r="AL1434" i="2"/>
  <c r="AK1434" i="2"/>
  <c r="AN1433" i="2"/>
  <c r="AM1433" i="2"/>
  <c r="AL1433" i="2"/>
  <c r="AK1433" i="2"/>
  <c r="AN1432" i="2"/>
  <c r="AM1432" i="2"/>
  <c r="AL1432" i="2"/>
  <c r="AK1432" i="2"/>
  <c r="AN1431" i="2"/>
  <c r="AM1431" i="2"/>
  <c r="AL1431" i="2"/>
  <c r="AK1431" i="2"/>
  <c r="AN1430" i="2"/>
  <c r="AM1430" i="2"/>
  <c r="AL1430" i="2"/>
  <c r="AK1430" i="2"/>
  <c r="AN1429" i="2"/>
  <c r="AM1429" i="2"/>
  <c r="AL1429" i="2"/>
  <c r="AK1429" i="2"/>
  <c r="AN1428" i="2"/>
  <c r="AM1428" i="2"/>
  <c r="AL1428" i="2"/>
  <c r="AK1428" i="2"/>
  <c r="AN1427" i="2"/>
  <c r="AM1427" i="2"/>
  <c r="AL1427" i="2"/>
  <c r="AK1427" i="2"/>
  <c r="AN1426" i="2"/>
  <c r="AM1426" i="2"/>
  <c r="AL1426" i="2"/>
  <c r="AK1426" i="2"/>
  <c r="AN1425" i="2"/>
  <c r="AM1425" i="2"/>
  <c r="AL1425" i="2"/>
  <c r="AK1425" i="2"/>
  <c r="AN1424" i="2"/>
  <c r="AM1424" i="2"/>
  <c r="AL1424" i="2"/>
  <c r="AK1424" i="2"/>
  <c r="AN1423" i="2"/>
  <c r="AM1423" i="2"/>
  <c r="AL1423" i="2"/>
  <c r="AK1423" i="2"/>
  <c r="AN1422" i="2"/>
  <c r="AM1422" i="2"/>
  <c r="AL1422" i="2"/>
  <c r="AK1422" i="2"/>
  <c r="AN1421" i="2"/>
  <c r="AM1421" i="2"/>
  <c r="AL1421" i="2"/>
  <c r="AK1421" i="2"/>
  <c r="AN1420" i="2"/>
  <c r="AM1420" i="2"/>
  <c r="AL1420" i="2"/>
  <c r="AK1420" i="2"/>
  <c r="AN1419" i="2"/>
  <c r="AM1419" i="2"/>
  <c r="AL1419" i="2"/>
  <c r="AK1419" i="2"/>
  <c r="AN1418" i="2"/>
  <c r="AM1418" i="2"/>
  <c r="AL1418" i="2"/>
  <c r="AK1418" i="2"/>
  <c r="AN1417" i="2"/>
  <c r="AM1417" i="2"/>
  <c r="AL1417" i="2"/>
  <c r="AK1417" i="2"/>
  <c r="AN1416" i="2"/>
  <c r="AM1416" i="2"/>
  <c r="AL1416" i="2"/>
  <c r="AK1416" i="2"/>
  <c r="AN1415" i="2"/>
  <c r="AM1415" i="2"/>
  <c r="AL1415" i="2"/>
  <c r="AK1415" i="2"/>
  <c r="AN1414" i="2"/>
  <c r="AM1414" i="2"/>
  <c r="AL1414" i="2"/>
  <c r="AK1414" i="2"/>
  <c r="AN1413" i="2"/>
  <c r="AM1413" i="2"/>
  <c r="AL1413" i="2"/>
  <c r="AK1413" i="2"/>
  <c r="AN1412" i="2"/>
  <c r="AM1412" i="2"/>
  <c r="AL1412" i="2"/>
  <c r="AK1412" i="2"/>
  <c r="AN1411" i="2"/>
  <c r="AM1411" i="2"/>
  <c r="AL1411" i="2"/>
  <c r="AK1411" i="2"/>
  <c r="AN1410" i="2"/>
  <c r="AM1410" i="2"/>
  <c r="AL1410" i="2"/>
  <c r="AK1410" i="2"/>
  <c r="AN1409" i="2"/>
  <c r="AM1409" i="2"/>
  <c r="AL1409" i="2"/>
  <c r="AK1409" i="2"/>
  <c r="AN1408" i="2"/>
  <c r="AM1408" i="2"/>
  <c r="AL1408" i="2"/>
  <c r="AK1408" i="2"/>
  <c r="AN1407" i="2"/>
  <c r="AM1407" i="2"/>
  <c r="AL1407" i="2"/>
  <c r="AK1407" i="2"/>
  <c r="AN1406" i="2"/>
  <c r="AM1406" i="2"/>
  <c r="AL1406" i="2"/>
  <c r="AK1406" i="2"/>
  <c r="AN1405" i="2"/>
  <c r="AM1405" i="2"/>
  <c r="AL1405" i="2"/>
  <c r="AK1405" i="2"/>
  <c r="AN1404" i="2"/>
  <c r="AM1404" i="2"/>
  <c r="AL1404" i="2"/>
  <c r="AK1404" i="2"/>
  <c r="AN1403" i="2"/>
  <c r="AM1403" i="2"/>
  <c r="AL1403" i="2"/>
  <c r="AK1403" i="2"/>
  <c r="AN1402" i="2"/>
  <c r="AM1402" i="2"/>
  <c r="AL1402" i="2"/>
  <c r="AK1402" i="2"/>
  <c r="AN1401" i="2"/>
  <c r="AM1401" i="2"/>
  <c r="AL1401" i="2"/>
  <c r="AK1401" i="2"/>
  <c r="AN1400" i="2"/>
  <c r="AM1400" i="2"/>
  <c r="AL1400" i="2"/>
  <c r="AK1400" i="2"/>
  <c r="AN1399" i="2"/>
  <c r="AM1399" i="2"/>
  <c r="AL1399" i="2"/>
  <c r="AK1399" i="2"/>
  <c r="AN1398" i="2"/>
  <c r="AM1398" i="2"/>
  <c r="AL1398" i="2"/>
  <c r="AK1398" i="2"/>
  <c r="AN1397" i="2"/>
  <c r="AM1397" i="2"/>
  <c r="AL1397" i="2"/>
  <c r="AK1397" i="2"/>
  <c r="AN1396" i="2"/>
  <c r="AM1396" i="2"/>
  <c r="AL1396" i="2"/>
  <c r="AK1396" i="2"/>
  <c r="AN1395" i="2"/>
  <c r="AM1395" i="2"/>
  <c r="AL1395" i="2"/>
  <c r="AK1395" i="2"/>
  <c r="AN1394" i="2"/>
  <c r="AM1394" i="2"/>
  <c r="AL1394" i="2"/>
  <c r="AK1394" i="2"/>
  <c r="AN1393" i="2"/>
  <c r="AM1393" i="2"/>
  <c r="AL1393" i="2"/>
  <c r="AK1393" i="2"/>
  <c r="AN1392" i="2"/>
  <c r="AM1392" i="2"/>
  <c r="AL1392" i="2"/>
  <c r="AK1392" i="2"/>
  <c r="AN1391" i="2"/>
  <c r="AM1391" i="2"/>
  <c r="AL1391" i="2"/>
  <c r="AK1391" i="2"/>
  <c r="AN1390" i="2"/>
  <c r="AM1390" i="2"/>
  <c r="AL1390" i="2"/>
  <c r="AK1390" i="2"/>
  <c r="AN1389" i="2"/>
  <c r="AM1389" i="2"/>
  <c r="AL1389" i="2"/>
  <c r="AK1389" i="2"/>
  <c r="AN1388" i="2"/>
  <c r="AM1388" i="2"/>
  <c r="AL1388" i="2"/>
  <c r="AK1388" i="2"/>
  <c r="AN1387" i="2"/>
  <c r="AM1387" i="2"/>
  <c r="AL1387" i="2"/>
  <c r="AK1387" i="2"/>
  <c r="AN1386" i="2"/>
  <c r="AM1386" i="2"/>
  <c r="AL1386" i="2"/>
  <c r="AK1386" i="2"/>
  <c r="AN1385" i="2"/>
  <c r="AM1385" i="2"/>
  <c r="AL1385" i="2"/>
  <c r="AK1385" i="2"/>
  <c r="AN1384" i="2"/>
  <c r="AM1384" i="2"/>
  <c r="AL1384" i="2"/>
  <c r="AK1384" i="2"/>
  <c r="AN1383" i="2"/>
  <c r="AM1383" i="2"/>
  <c r="AL1383" i="2"/>
  <c r="AK1383" i="2"/>
  <c r="AN1382" i="2"/>
  <c r="AM1382" i="2"/>
  <c r="AL1382" i="2"/>
  <c r="AK1382" i="2"/>
  <c r="AN1381" i="2"/>
  <c r="AM1381" i="2"/>
  <c r="AL1381" i="2"/>
  <c r="AK1381" i="2"/>
  <c r="AN1380" i="2"/>
  <c r="AM1380" i="2"/>
  <c r="AL1380" i="2"/>
  <c r="AK1380" i="2"/>
  <c r="AN1379" i="2"/>
  <c r="AM1379" i="2"/>
  <c r="AL1379" i="2"/>
  <c r="AK1379" i="2"/>
  <c r="AN1378" i="2"/>
  <c r="AM1378" i="2"/>
  <c r="AL1378" i="2"/>
  <c r="AK1378" i="2"/>
  <c r="AN1377" i="2"/>
  <c r="AM1377" i="2"/>
  <c r="AL1377" i="2"/>
  <c r="AK1377" i="2"/>
  <c r="AN1376" i="2"/>
  <c r="AM1376" i="2"/>
  <c r="AL1376" i="2"/>
  <c r="AK1376" i="2"/>
  <c r="AN1375" i="2"/>
  <c r="AM1375" i="2"/>
  <c r="AL1375" i="2"/>
  <c r="AK1375" i="2"/>
  <c r="AN1374" i="2"/>
  <c r="AM1374" i="2"/>
  <c r="AL1374" i="2"/>
  <c r="AK1374" i="2"/>
  <c r="AN1373" i="2"/>
  <c r="AM1373" i="2"/>
  <c r="AL1373" i="2"/>
  <c r="AK1373" i="2"/>
  <c r="AN1372" i="2"/>
  <c r="AM1372" i="2"/>
  <c r="AL1372" i="2"/>
  <c r="AK1372" i="2"/>
  <c r="AN1371" i="2"/>
  <c r="AM1371" i="2"/>
  <c r="AL1371" i="2"/>
  <c r="AK1371" i="2"/>
  <c r="AN1370" i="2"/>
  <c r="AM1370" i="2"/>
  <c r="AL1370" i="2"/>
  <c r="AK1370" i="2"/>
  <c r="AN1369" i="2"/>
  <c r="AM1369" i="2"/>
  <c r="AL1369" i="2"/>
  <c r="AK1369" i="2"/>
  <c r="AN1368" i="2"/>
  <c r="AM1368" i="2"/>
  <c r="AL1368" i="2"/>
  <c r="AK1368" i="2"/>
  <c r="AN1367" i="2"/>
  <c r="AM1367" i="2"/>
  <c r="AL1367" i="2"/>
  <c r="AK1367" i="2"/>
  <c r="AN1366" i="2"/>
  <c r="AM1366" i="2"/>
  <c r="AL1366" i="2"/>
  <c r="AK1366" i="2"/>
  <c r="AN1365" i="2"/>
  <c r="AM1365" i="2"/>
  <c r="AL1365" i="2"/>
  <c r="AK1365" i="2"/>
  <c r="AN1364" i="2"/>
  <c r="AM1364" i="2"/>
  <c r="AL1364" i="2"/>
  <c r="AK1364" i="2"/>
  <c r="AN1363" i="2"/>
  <c r="AM1363" i="2"/>
  <c r="AL1363" i="2"/>
  <c r="AK1363" i="2"/>
  <c r="AN1362" i="2"/>
  <c r="AM1362" i="2"/>
  <c r="AL1362" i="2"/>
  <c r="AK1362" i="2"/>
  <c r="AN1361" i="2"/>
  <c r="AM1361" i="2"/>
  <c r="AL1361" i="2"/>
  <c r="AK1361" i="2"/>
  <c r="AN1360" i="2"/>
  <c r="AM1360" i="2"/>
  <c r="AL1360" i="2"/>
  <c r="AK1360" i="2"/>
  <c r="AN1359" i="2"/>
  <c r="AM1359" i="2"/>
  <c r="AL1359" i="2"/>
  <c r="AK1359" i="2"/>
  <c r="AN1358" i="2"/>
  <c r="AM1358" i="2"/>
  <c r="AL1358" i="2"/>
  <c r="AK1358" i="2"/>
  <c r="AN1357" i="2"/>
  <c r="AM1357" i="2"/>
  <c r="AL1357" i="2"/>
  <c r="AK1357" i="2"/>
  <c r="AN1356" i="2"/>
  <c r="AM1356" i="2"/>
  <c r="AL1356" i="2"/>
  <c r="AK1356" i="2"/>
  <c r="AN1355" i="2"/>
  <c r="AM1355" i="2"/>
  <c r="AL1355" i="2"/>
  <c r="AK1355" i="2"/>
  <c r="AN1354" i="2"/>
  <c r="AM1354" i="2"/>
  <c r="AL1354" i="2"/>
  <c r="AK1354" i="2"/>
  <c r="AN1353" i="2"/>
  <c r="AM1353" i="2"/>
  <c r="AL1353" i="2"/>
  <c r="AK1353" i="2"/>
  <c r="AN1352" i="2"/>
  <c r="AM1352" i="2"/>
  <c r="AL1352" i="2"/>
  <c r="AK1352" i="2"/>
  <c r="AN1351" i="2"/>
  <c r="AM1351" i="2"/>
  <c r="AL1351" i="2"/>
  <c r="AK1351" i="2"/>
  <c r="AN1350" i="2"/>
  <c r="AM1350" i="2"/>
  <c r="AL1350" i="2"/>
  <c r="AK1350" i="2"/>
  <c r="AN1349" i="2"/>
  <c r="AM1349" i="2"/>
  <c r="AL1349" i="2"/>
  <c r="AK1349" i="2"/>
  <c r="AN1348" i="2"/>
  <c r="AM1348" i="2"/>
  <c r="AL1348" i="2"/>
  <c r="AK1348" i="2"/>
  <c r="AN1347" i="2"/>
  <c r="AM1347" i="2"/>
  <c r="AL1347" i="2"/>
  <c r="AK1347" i="2"/>
  <c r="AN1346" i="2"/>
  <c r="AM1346" i="2"/>
  <c r="AL1346" i="2"/>
  <c r="AK1346" i="2"/>
  <c r="AN1345" i="2"/>
  <c r="AM1345" i="2"/>
  <c r="AL1345" i="2"/>
  <c r="AK1345" i="2"/>
  <c r="AN1344" i="2"/>
  <c r="AM1344" i="2"/>
  <c r="AL1344" i="2"/>
  <c r="AK1344" i="2"/>
  <c r="AN1343" i="2"/>
  <c r="AM1343" i="2"/>
  <c r="AL1343" i="2"/>
  <c r="AK1343" i="2"/>
  <c r="AN1342" i="2"/>
  <c r="AM1342" i="2"/>
  <c r="AL1342" i="2"/>
  <c r="AK1342" i="2"/>
  <c r="AN1341" i="2"/>
  <c r="AM1341" i="2"/>
  <c r="AL1341" i="2"/>
  <c r="AK1341" i="2"/>
  <c r="AN1340" i="2"/>
  <c r="AM1340" i="2"/>
  <c r="AL1340" i="2"/>
  <c r="AK1340" i="2"/>
  <c r="AN1339" i="2"/>
  <c r="AM1339" i="2"/>
  <c r="AL1339" i="2"/>
  <c r="AK1339" i="2"/>
  <c r="AN1338" i="2"/>
  <c r="AM1338" i="2"/>
  <c r="AL1338" i="2"/>
  <c r="AK1338" i="2"/>
  <c r="AN1337" i="2"/>
  <c r="AM1337" i="2"/>
  <c r="AL1337" i="2"/>
  <c r="AK1337" i="2"/>
  <c r="AN1336" i="2"/>
  <c r="AM1336" i="2"/>
  <c r="AL1336" i="2"/>
  <c r="AK1336" i="2"/>
  <c r="AN1335" i="2"/>
  <c r="AM1335" i="2"/>
  <c r="AL1335" i="2"/>
  <c r="AK1335" i="2"/>
  <c r="AN1334" i="2"/>
  <c r="AM1334" i="2"/>
  <c r="AL1334" i="2"/>
  <c r="AK1334" i="2"/>
  <c r="AN1333" i="2"/>
  <c r="AM1333" i="2"/>
  <c r="AL1333" i="2"/>
  <c r="AK1333" i="2"/>
  <c r="AN1332" i="2"/>
  <c r="AM1332" i="2"/>
  <c r="AL1332" i="2"/>
  <c r="AK1332" i="2"/>
  <c r="AN1331" i="2"/>
  <c r="AM1331" i="2"/>
  <c r="AL1331" i="2"/>
  <c r="AK1331" i="2"/>
  <c r="AN1330" i="2"/>
  <c r="AM1330" i="2"/>
  <c r="AL1330" i="2"/>
  <c r="AK1330" i="2"/>
  <c r="AN1329" i="2"/>
  <c r="AM1329" i="2"/>
  <c r="AL1329" i="2"/>
  <c r="AK1329" i="2"/>
  <c r="AN1328" i="2"/>
  <c r="AM1328" i="2"/>
  <c r="AL1328" i="2"/>
  <c r="AK1328" i="2"/>
  <c r="AN1327" i="2"/>
  <c r="AM1327" i="2"/>
  <c r="AL1327" i="2"/>
  <c r="AK1327" i="2"/>
  <c r="AN1326" i="2"/>
  <c r="AM1326" i="2"/>
  <c r="AL1326" i="2"/>
  <c r="AK1326" i="2"/>
  <c r="AN1325" i="2"/>
  <c r="AM1325" i="2"/>
  <c r="AL1325" i="2"/>
  <c r="AK1325" i="2"/>
  <c r="AN1324" i="2"/>
  <c r="AM1324" i="2"/>
  <c r="AL1324" i="2"/>
  <c r="AK1324" i="2"/>
  <c r="AN1323" i="2"/>
  <c r="AM1323" i="2"/>
  <c r="AL1323" i="2"/>
  <c r="AK1323" i="2"/>
  <c r="AN1322" i="2"/>
  <c r="AM1322" i="2"/>
  <c r="AL1322" i="2"/>
  <c r="AK1322" i="2"/>
  <c r="AN1321" i="2"/>
  <c r="AM1321" i="2"/>
  <c r="AL1321" i="2"/>
  <c r="AK1321" i="2"/>
  <c r="AN1320" i="2"/>
  <c r="AM1320" i="2"/>
  <c r="AL1320" i="2"/>
  <c r="AK1320" i="2"/>
  <c r="AN1319" i="2"/>
  <c r="AM1319" i="2"/>
  <c r="AL1319" i="2"/>
  <c r="AK1319" i="2"/>
  <c r="AN1318" i="2"/>
  <c r="AM1318" i="2"/>
  <c r="AL1318" i="2"/>
  <c r="AK1318" i="2"/>
  <c r="AN1317" i="2"/>
  <c r="AM1317" i="2"/>
  <c r="AL1317" i="2"/>
  <c r="AK1317" i="2"/>
  <c r="AN1316" i="2"/>
  <c r="AM1316" i="2"/>
  <c r="AL1316" i="2"/>
  <c r="AK1316" i="2"/>
  <c r="AN1315" i="2"/>
  <c r="AM1315" i="2"/>
  <c r="AL1315" i="2"/>
  <c r="AK1315" i="2"/>
  <c r="AN1314" i="2"/>
  <c r="AM1314" i="2"/>
  <c r="AL1314" i="2"/>
  <c r="AK1314" i="2"/>
  <c r="AN1313" i="2"/>
  <c r="AM1313" i="2"/>
  <c r="AL1313" i="2"/>
  <c r="AK1313" i="2"/>
  <c r="AN1312" i="2"/>
  <c r="AM1312" i="2"/>
  <c r="AL1312" i="2"/>
  <c r="AK1312" i="2"/>
  <c r="AN1311" i="2"/>
  <c r="AM1311" i="2"/>
  <c r="AL1311" i="2"/>
  <c r="AK1311" i="2"/>
  <c r="AN1310" i="2"/>
  <c r="AM1310" i="2"/>
  <c r="AL1310" i="2"/>
  <c r="AK1310" i="2"/>
  <c r="AN1309" i="2"/>
  <c r="AM1309" i="2"/>
  <c r="AL1309" i="2"/>
  <c r="AK1309" i="2"/>
  <c r="AN1308" i="2"/>
  <c r="AM1308" i="2"/>
  <c r="AL1308" i="2"/>
  <c r="AK1308" i="2"/>
  <c r="AN1307" i="2"/>
  <c r="AM1307" i="2"/>
  <c r="AL1307" i="2"/>
  <c r="AK1307" i="2"/>
  <c r="AN1306" i="2"/>
  <c r="AM1306" i="2"/>
  <c r="AL1306" i="2"/>
  <c r="AK1306" i="2"/>
  <c r="AN1305" i="2"/>
  <c r="AM1305" i="2"/>
  <c r="AL1305" i="2"/>
  <c r="AK1305" i="2"/>
  <c r="AN1304" i="2"/>
  <c r="AM1304" i="2"/>
  <c r="AL1304" i="2"/>
  <c r="AK1304" i="2"/>
  <c r="AN1303" i="2"/>
  <c r="AM1303" i="2"/>
  <c r="AL1303" i="2"/>
  <c r="AK1303" i="2"/>
  <c r="AN1302" i="2"/>
  <c r="AM1302" i="2"/>
  <c r="AL1302" i="2"/>
  <c r="AK1302" i="2"/>
  <c r="AN1301" i="2"/>
  <c r="AM1301" i="2"/>
  <c r="AL1301" i="2"/>
  <c r="AK1301" i="2"/>
  <c r="AN1300" i="2"/>
  <c r="AM1300" i="2"/>
  <c r="AL1300" i="2"/>
  <c r="AK1300" i="2"/>
  <c r="AN1299" i="2"/>
  <c r="AM1299" i="2"/>
  <c r="AL1299" i="2"/>
  <c r="AK1299" i="2"/>
  <c r="AN1298" i="2"/>
  <c r="AM1298" i="2"/>
  <c r="AL1298" i="2"/>
  <c r="AK1298" i="2"/>
  <c r="AN1297" i="2"/>
  <c r="AM1297" i="2"/>
  <c r="AL1297" i="2"/>
  <c r="AK1297" i="2"/>
  <c r="AN1296" i="2"/>
  <c r="AM1296" i="2"/>
  <c r="AL1296" i="2"/>
  <c r="AK1296" i="2"/>
  <c r="AN1295" i="2"/>
  <c r="AM1295" i="2"/>
  <c r="AL1295" i="2"/>
  <c r="AK1295" i="2"/>
  <c r="AN1294" i="2"/>
  <c r="AM1294" i="2"/>
  <c r="AL1294" i="2"/>
  <c r="AK1294" i="2"/>
  <c r="AN1293" i="2"/>
  <c r="AM1293" i="2"/>
  <c r="AL1293" i="2"/>
  <c r="AK1293" i="2"/>
  <c r="AN1292" i="2"/>
  <c r="AM1292" i="2"/>
  <c r="AL1292" i="2"/>
  <c r="AK1292" i="2"/>
  <c r="AN1291" i="2"/>
  <c r="AM1291" i="2"/>
  <c r="AL1291" i="2"/>
  <c r="AK1291" i="2"/>
  <c r="AN1290" i="2"/>
  <c r="AM1290" i="2"/>
  <c r="AL1290" i="2"/>
  <c r="AK1290" i="2"/>
  <c r="AN1289" i="2"/>
  <c r="AM1289" i="2"/>
  <c r="AL1289" i="2"/>
  <c r="AK1289" i="2"/>
  <c r="AN1288" i="2"/>
  <c r="AM1288" i="2"/>
  <c r="AL1288" i="2"/>
  <c r="AK1288" i="2"/>
  <c r="AN1287" i="2"/>
  <c r="AM1287" i="2"/>
  <c r="AL1287" i="2"/>
  <c r="AK1287" i="2"/>
  <c r="AN1286" i="2"/>
  <c r="AM1286" i="2"/>
  <c r="AL1286" i="2"/>
  <c r="AK1286" i="2"/>
  <c r="AN1285" i="2"/>
  <c r="AM1285" i="2"/>
  <c r="AL1285" i="2"/>
  <c r="AK1285" i="2"/>
  <c r="AN1284" i="2"/>
  <c r="AM1284" i="2"/>
  <c r="AL1284" i="2"/>
  <c r="AK1284" i="2"/>
  <c r="AN1283" i="2"/>
  <c r="AM1283" i="2"/>
  <c r="AL1283" i="2"/>
  <c r="AK1283" i="2"/>
  <c r="AN1282" i="2"/>
  <c r="AM1282" i="2"/>
  <c r="AL1282" i="2"/>
  <c r="AK1282" i="2"/>
  <c r="AN1281" i="2"/>
  <c r="AM1281" i="2"/>
  <c r="AL1281" i="2"/>
  <c r="AK1281" i="2"/>
  <c r="AN1280" i="2"/>
  <c r="AM1280" i="2"/>
  <c r="AL1280" i="2"/>
  <c r="AK1280" i="2"/>
  <c r="AN1279" i="2"/>
  <c r="AM1279" i="2"/>
  <c r="AL1279" i="2"/>
  <c r="AK1279" i="2"/>
  <c r="AN1278" i="2"/>
  <c r="AM1278" i="2"/>
  <c r="AL1278" i="2"/>
  <c r="AK1278" i="2"/>
  <c r="AN1277" i="2"/>
  <c r="AM1277" i="2"/>
  <c r="AL1277" i="2"/>
  <c r="AK1277" i="2"/>
  <c r="AN1276" i="2"/>
  <c r="AM1276" i="2"/>
  <c r="AL1276" i="2"/>
  <c r="AK1276" i="2"/>
  <c r="AN1275" i="2"/>
  <c r="AM1275" i="2"/>
  <c r="AL1275" i="2"/>
  <c r="AK1275" i="2"/>
  <c r="AN1274" i="2"/>
  <c r="AM1274" i="2"/>
  <c r="AL1274" i="2"/>
  <c r="AK1274" i="2"/>
  <c r="AN1273" i="2"/>
  <c r="AM1273" i="2"/>
  <c r="AL1273" i="2"/>
  <c r="AK1273" i="2"/>
  <c r="AN1272" i="2"/>
  <c r="AM1272" i="2"/>
  <c r="AL1272" i="2"/>
  <c r="AK1272" i="2"/>
  <c r="AN1271" i="2"/>
  <c r="AM1271" i="2"/>
  <c r="AL1271" i="2"/>
  <c r="AK1271" i="2"/>
  <c r="AN1270" i="2"/>
  <c r="AM1270" i="2"/>
  <c r="AL1270" i="2"/>
  <c r="AK1270" i="2"/>
  <c r="AN1269" i="2"/>
  <c r="AM1269" i="2"/>
  <c r="AL1269" i="2"/>
  <c r="AK1269" i="2"/>
  <c r="AN1268" i="2"/>
  <c r="AM1268" i="2"/>
  <c r="AL1268" i="2"/>
  <c r="AK1268" i="2"/>
  <c r="AN1267" i="2"/>
  <c r="AM1267" i="2"/>
  <c r="AL1267" i="2"/>
  <c r="AK1267" i="2"/>
  <c r="AN1266" i="2"/>
  <c r="AM1266" i="2"/>
  <c r="AL1266" i="2"/>
  <c r="AK1266" i="2"/>
  <c r="AN1265" i="2"/>
  <c r="AM1265" i="2"/>
  <c r="AL1265" i="2"/>
  <c r="AK1265" i="2"/>
  <c r="AN1264" i="2"/>
  <c r="AM1264" i="2"/>
  <c r="AL1264" i="2"/>
  <c r="AK1264" i="2"/>
  <c r="AN1263" i="2"/>
  <c r="AM1263" i="2"/>
  <c r="AL1263" i="2"/>
  <c r="AK1263" i="2"/>
  <c r="AN1262" i="2"/>
  <c r="AM1262" i="2"/>
  <c r="AL1262" i="2"/>
  <c r="AK1262" i="2"/>
  <c r="AN1261" i="2"/>
  <c r="AM1261" i="2"/>
  <c r="AL1261" i="2"/>
  <c r="AK1261" i="2"/>
  <c r="AN1260" i="2"/>
  <c r="AM1260" i="2"/>
  <c r="AL1260" i="2"/>
  <c r="AK1260" i="2"/>
  <c r="AN1259" i="2"/>
  <c r="AM1259" i="2"/>
  <c r="AL1259" i="2"/>
  <c r="AK1259" i="2"/>
  <c r="AN1258" i="2"/>
  <c r="AM1258" i="2"/>
  <c r="AL1258" i="2"/>
  <c r="AK1258" i="2"/>
  <c r="AN1257" i="2"/>
  <c r="AM1257" i="2"/>
  <c r="AL1257" i="2"/>
  <c r="AK1257" i="2"/>
  <c r="AN1256" i="2"/>
  <c r="AM1256" i="2"/>
  <c r="AL1256" i="2"/>
  <c r="AK1256" i="2"/>
  <c r="AN1255" i="2"/>
  <c r="AM1255" i="2"/>
  <c r="AL1255" i="2"/>
  <c r="AK1255" i="2"/>
  <c r="AN1254" i="2"/>
  <c r="AM1254" i="2"/>
  <c r="AL1254" i="2"/>
  <c r="AK1254" i="2"/>
  <c r="AN1253" i="2"/>
  <c r="AM1253" i="2"/>
  <c r="AL1253" i="2"/>
  <c r="AK1253" i="2"/>
  <c r="AN1252" i="2"/>
  <c r="AM1252" i="2"/>
  <c r="AL1252" i="2"/>
  <c r="AK1252" i="2"/>
  <c r="AN1251" i="2"/>
  <c r="AM1251" i="2"/>
  <c r="AL1251" i="2"/>
  <c r="AK1251" i="2"/>
  <c r="AN1250" i="2"/>
  <c r="AM1250" i="2"/>
  <c r="AL1250" i="2"/>
  <c r="AK1250" i="2"/>
  <c r="AN1249" i="2"/>
  <c r="AM1249" i="2"/>
  <c r="AL1249" i="2"/>
  <c r="AK1249" i="2"/>
  <c r="AN1248" i="2"/>
  <c r="AM1248" i="2"/>
  <c r="AL1248" i="2"/>
  <c r="AK1248" i="2"/>
  <c r="AN1247" i="2"/>
  <c r="AM1247" i="2"/>
  <c r="AL1247" i="2"/>
  <c r="AK1247" i="2"/>
  <c r="AN1246" i="2"/>
  <c r="AM1246" i="2"/>
  <c r="AL1246" i="2"/>
  <c r="AK1246" i="2"/>
  <c r="AN1245" i="2"/>
  <c r="AM1245" i="2"/>
  <c r="AL1245" i="2"/>
  <c r="AK1245" i="2"/>
  <c r="AN1244" i="2"/>
  <c r="AM1244" i="2"/>
  <c r="AL1244" i="2"/>
  <c r="AK1244" i="2"/>
  <c r="AN1243" i="2"/>
  <c r="AM1243" i="2"/>
  <c r="AL1243" i="2"/>
  <c r="AK1243" i="2"/>
  <c r="AN1242" i="2"/>
  <c r="AM1242" i="2"/>
  <c r="AL1242" i="2"/>
  <c r="AK1242" i="2"/>
  <c r="AN1241" i="2"/>
  <c r="AM1241" i="2"/>
  <c r="AL1241" i="2"/>
  <c r="AK1241" i="2"/>
  <c r="AN1240" i="2"/>
  <c r="AM1240" i="2"/>
  <c r="AL1240" i="2"/>
  <c r="AK1240" i="2"/>
  <c r="AN1239" i="2"/>
  <c r="AM1239" i="2"/>
  <c r="AL1239" i="2"/>
  <c r="AK1239" i="2"/>
  <c r="AN1238" i="2"/>
  <c r="AM1238" i="2"/>
  <c r="AL1238" i="2"/>
  <c r="AK1238" i="2"/>
  <c r="AN1237" i="2"/>
  <c r="AM1237" i="2"/>
  <c r="AL1237" i="2"/>
  <c r="AK1237" i="2"/>
  <c r="AN1236" i="2"/>
  <c r="AM1236" i="2"/>
  <c r="AL1236" i="2"/>
  <c r="AK1236" i="2"/>
  <c r="AN1235" i="2"/>
  <c r="AM1235" i="2"/>
  <c r="AL1235" i="2"/>
  <c r="AK1235" i="2"/>
  <c r="AN1234" i="2"/>
  <c r="AM1234" i="2"/>
  <c r="AL1234" i="2"/>
  <c r="AK1234" i="2"/>
  <c r="AN1233" i="2"/>
  <c r="AM1233" i="2"/>
  <c r="AL1233" i="2"/>
  <c r="AK1233" i="2"/>
  <c r="AN1232" i="2"/>
  <c r="AM1232" i="2"/>
  <c r="AL1232" i="2"/>
  <c r="AK1232" i="2"/>
  <c r="AN1231" i="2"/>
  <c r="AM1231" i="2"/>
  <c r="AL1231" i="2"/>
  <c r="AK1231" i="2"/>
  <c r="AN1230" i="2"/>
  <c r="AM1230" i="2"/>
  <c r="AL1230" i="2"/>
  <c r="AK1230" i="2"/>
  <c r="AN1229" i="2"/>
  <c r="AM1229" i="2"/>
  <c r="AL1229" i="2"/>
  <c r="AK1229" i="2"/>
  <c r="AN1228" i="2"/>
  <c r="AM1228" i="2"/>
  <c r="AL1228" i="2"/>
  <c r="AK1228" i="2"/>
  <c r="AN1227" i="2"/>
  <c r="AM1227" i="2"/>
  <c r="AL1227" i="2"/>
  <c r="AK1227" i="2"/>
  <c r="AN1226" i="2"/>
  <c r="AM1226" i="2"/>
  <c r="AL1226" i="2"/>
  <c r="AK1226" i="2"/>
  <c r="AN1225" i="2"/>
  <c r="AM1225" i="2"/>
  <c r="AL1225" i="2"/>
  <c r="AK1225" i="2"/>
  <c r="AN1224" i="2"/>
  <c r="AM1224" i="2"/>
  <c r="AL1224" i="2"/>
  <c r="AK1224" i="2"/>
  <c r="AN1223" i="2"/>
  <c r="AM1223" i="2"/>
  <c r="AL1223" i="2"/>
  <c r="AK1223" i="2"/>
  <c r="AN1222" i="2"/>
  <c r="AM1222" i="2"/>
  <c r="AL1222" i="2"/>
  <c r="AK1222" i="2"/>
  <c r="AN1221" i="2"/>
  <c r="AM1221" i="2"/>
  <c r="AL1221" i="2"/>
  <c r="AK1221" i="2"/>
  <c r="AN1220" i="2"/>
  <c r="AM1220" i="2"/>
  <c r="AL1220" i="2"/>
  <c r="AK1220" i="2"/>
  <c r="AN1219" i="2"/>
  <c r="AM1219" i="2"/>
  <c r="AL1219" i="2"/>
  <c r="AK1219" i="2"/>
  <c r="AN1218" i="2"/>
  <c r="AM1218" i="2"/>
  <c r="AL1218" i="2"/>
  <c r="AK1218" i="2"/>
  <c r="AN1217" i="2"/>
  <c r="AM1217" i="2"/>
  <c r="AL1217" i="2"/>
  <c r="AK1217" i="2"/>
  <c r="AN1216" i="2"/>
  <c r="AM1216" i="2"/>
  <c r="AL1216" i="2"/>
  <c r="AK1216" i="2"/>
  <c r="AN1215" i="2"/>
  <c r="AM1215" i="2"/>
  <c r="AL1215" i="2"/>
  <c r="AK1215" i="2"/>
  <c r="AN1214" i="2"/>
  <c r="AM1214" i="2"/>
  <c r="AL1214" i="2"/>
  <c r="AK1214" i="2"/>
  <c r="AN1213" i="2"/>
  <c r="AM1213" i="2"/>
  <c r="AL1213" i="2"/>
  <c r="AK1213" i="2"/>
  <c r="AN1212" i="2"/>
  <c r="AM1212" i="2"/>
  <c r="AL1212" i="2"/>
  <c r="AK1212" i="2"/>
  <c r="AN1211" i="2"/>
  <c r="AM1211" i="2"/>
  <c r="AL1211" i="2"/>
  <c r="AK1211" i="2"/>
  <c r="AN1210" i="2"/>
  <c r="AM1210" i="2"/>
  <c r="AL1210" i="2"/>
  <c r="AK1210" i="2"/>
  <c r="AN1209" i="2"/>
  <c r="AM1209" i="2"/>
  <c r="AL1209" i="2"/>
  <c r="AK1209" i="2"/>
  <c r="AN1208" i="2"/>
  <c r="AM1208" i="2"/>
  <c r="AL1208" i="2"/>
  <c r="AK1208" i="2"/>
  <c r="AN1207" i="2"/>
  <c r="AM1207" i="2"/>
  <c r="AL1207" i="2"/>
  <c r="AK1207" i="2"/>
  <c r="AN1206" i="2"/>
  <c r="AM1206" i="2"/>
  <c r="AL1206" i="2"/>
  <c r="AK1206" i="2"/>
  <c r="AN1205" i="2"/>
  <c r="AM1205" i="2"/>
  <c r="AL1205" i="2"/>
  <c r="AK1205" i="2"/>
  <c r="AN1204" i="2"/>
  <c r="AM1204" i="2"/>
  <c r="AL1204" i="2"/>
  <c r="AK1204" i="2"/>
  <c r="AN1203" i="2"/>
  <c r="AM1203" i="2"/>
  <c r="AL1203" i="2"/>
  <c r="AK1203" i="2"/>
  <c r="AN1202" i="2"/>
  <c r="AM1202" i="2"/>
  <c r="AL1202" i="2"/>
  <c r="AK1202" i="2"/>
  <c r="AN1201" i="2"/>
  <c r="AM1201" i="2"/>
  <c r="AL1201" i="2"/>
  <c r="AK1201" i="2"/>
  <c r="AN1200" i="2"/>
  <c r="AM1200" i="2"/>
  <c r="AL1200" i="2"/>
  <c r="AK1200" i="2"/>
  <c r="AN1199" i="2"/>
  <c r="AM1199" i="2"/>
  <c r="AL1199" i="2"/>
  <c r="AK1199" i="2"/>
  <c r="AN1198" i="2"/>
  <c r="AM1198" i="2"/>
  <c r="AL1198" i="2"/>
  <c r="AK1198" i="2"/>
  <c r="AN1197" i="2"/>
  <c r="AM1197" i="2"/>
  <c r="AL1197" i="2"/>
  <c r="AK1197" i="2"/>
  <c r="AN1196" i="2"/>
  <c r="AM1196" i="2"/>
  <c r="AL1196" i="2"/>
  <c r="AK1196" i="2"/>
  <c r="AN1195" i="2"/>
  <c r="AM1195" i="2"/>
  <c r="AL1195" i="2"/>
  <c r="AK1195" i="2"/>
  <c r="AN1194" i="2"/>
  <c r="AM1194" i="2"/>
  <c r="AL1194" i="2"/>
  <c r="AK1194" i="2"/>
  <c r="AN1193" i="2"/>
  <c r="AM1193" i="2"/>
  <c r="AL1193" i="2"/>
  <c r="AK1193" i="2"/>
  <c r="AN1192" i="2"/>
  <c r="AM1192" i="2"/>
  <c r="AL1192" i="2"/>
  <c r="AK1192" i="2"/>
  <c r="AN1191" i="2"/>
  <c r="AM1191" i="2"/>
  <c r="AL1191" i="2"/>
  <c r="AK1191" i="2"/>
  <c r="AN1190" i="2"/>
  <c r="AM1190" i="2"/>
  <c r="AL1190" i="2"/>
  <c r="AK1190" i="2"/>
  <c r="AN1189" i="2"/>
  <c r="AM1189" i="2"/>
  <c r="AL1189" i="2"/>
  <c r="AK1189" i="2"/>
  <c r="AN1188" i="2"/>
  <c r="AM1188" i="2"/>
  <c r="AL1188" i="2"/>
  <c r="AK1188" i="2"/>
  <c r="AN1187" i="2"/>
  <c r="AM1187" i="2"/>
  <c r="AL1187" i="2"/>
  <c r="AK1187" i="2"/>
  <c r="AN1186" i="2"/>
  <c r="AM1186" i="2"/>
  <c r="AL1186" i="2"/>
  <c r="AK1186" i="2"/>
  <c r="AN1185" i="2"/>
  <c r="AM1185" i="2"/>
  <c r="AL1185" i="2"/>
  <c r="AK1185" i="2"/>
  <c r="AN1184" i="2"/>
  <c r="AM1184" i="2"/>
  <c r="AL1184" i="2"/>
  <c r="AK1184" i="2"/>
  <c r="AN1183" i="2"/>
  <c r="AM1183" i="2"/>
  <c r="AL1183" i="2"/>
  <c r="AK1183" i="2"/>
  <c r="AN1182" i="2"/>
  <c r="AM1182" i="2"/>
  <c r="AL1182" i="2"/>
  <c r="AK1182" i="2"/>
  <c r="AN1181" i="2"/>
  <c r="AM1181" i="2"/>
  <c r="AL1181" i="2"/>
  <c r="AK1181" i="2"/>
  <c r="AN1180" i="2"/>
  <c r="AM1180" i="2"/>
  <c r="AL1180" i="2"/>
  <c r="AK1180" i="2"/>
  <c r="AN1179" i="2"/>
  <c r="AM1179" i="2"/>
  <c r="AL1179" i="2"/>
  <c r="AK1179" i="2"/>
  <c r="AN1178" i="2"/>
  <c r="AM1178" i="2"/>
  <c r="AL1178" i="2"/>
  <c r="AK1178" i="2"/>
  <c r="AN1177" i="2"/>
  <c r="AM1177" i="2"/>
  <c r="AL1177" i="2"/>
  <c r="AK1177" i="2"/>
  <c r="AN1176" i="2"/>
  <c r="AM1176" i="2"/>
  <c r="AL1176" i="2"/>
  <c r="AK1176" i="2"/>
  <c r="AN1175" i="2"/>
  <c r="AM1175" i="2"/>
  <c r="AL1175" i="2"/>
  <c r="AK1175" i="2"/>
  <c r="AN1174" i="2"/>
  <c r="AM1174" i="2"/>
  <c r="AL1174" i="2"/>
  <c r="AK1174" i="2"/>
  <c r="AN1173" i="2"/>
  <c r="AM1173" i="2"/>
  <c r="AL1173" i="2"/>
  <c r="AK1173" i="2"/>
  <c r="AN1172" i="2"/>
  <c r="AM1172" i="2"/>
  <c r="AL1172" i="2"/>
  <c r="AK1172" i="2"/>
  <c r="AN1171" i="2"/>
  <c r="AM1171" i="2"/>
  <c r="AL1171" i="2"/>
  <c r="AK1171" i="2"/>
  <c r="AN1170" i="2"/>
  <c r="AM1170" i="2"/>
  <c r="AL1170" i="2"/>
  <c r="AK1170" i="2"/>
  <c r="AN1169" i="2"/>
  <c r="AM1169" i="2"/>
  <c r="AL1169" i="2"/>
  <c r="AK1169" i="2"/>
  <c r="AN1168" i="2"/>
  <c r="AM1168" i="2"/>
  <c r="AL1168" i="2"/>
  <c r="AK1168" i="2"/>
  <c r="AN1167" i="2"/>
  <c r="AM1167" i="2"/>
  <c r="AL1167" i="2"/>
  <c r="AK1167" i="2"/>
  <c r="AN1166" i="2"/>
  <c r="AM1166" i="2"/>
  <c r="AL1166" i="2"/>
  <c r="AK1166" i="2"/>
  <c r="AN1165" i="2"/>
  <c r="AM1165" i="2"/>
  <c r="AL1165" i="2"/>
  <c r="AK1165" i="2"/>
  <c r="AN1164" i="2"/>
  <c r="AM1164" i="2"/>
  <c r="AL1164" i="2"/>
  <c r="AK1164" i="2"/>
  <c r="AN1163" i="2"/>
  <c r="AM1163" i="2"/>
  <c r="AL1163" i="2"/>
  <c r="AK1163" i="2"/>
  <c r="AN1162" i="2"/>
  <c r="AM1162" i="2"/>
  <c r="AL1162" i="2"/>
  <c r="AK1162" i="2"/>
  <c r="AN1161" i="2"/>
  <c r="AM1161" i="2"/>
  <c r="AL1161" i="2"/>
  <c r="AK1161" i="2"/>
  <c r="AN1160" i="2"/>
  <c r="AM1160" i="2"/>
  <c r="AL1160" i="2"/>
  <c r="AK1160" i="2"/>
  <c r="AN1159" i="2"/>
  <c r="AM1159" i="2"/>
  <c r="AL1159" i="2"/>
  <c r="AK1159" i="2"/>
  <c r="AN1158" i="2"/>
  <c r="AM1158" i="2"/>
  <c r="AL1158" i="2"/>
  <c r="AK1158" i="2"/>
  <c r="AN1157" i="2"/>
  <c r="AM1157" i="2"/>
  <c r="AL1157" i="2"/>
  <c r="AK1157" i="2"/>
  <c r="AN1156" i="2"/>
  <c r="AM1156" i="2"/>
  <c r="AL1156" i="2"/>
  <c r="AK1156" i="2"/>
  <c r="AN1155" i="2"/>
  <c r="AM1155" i="2"/>
  <c r="AL1155" i="2"/>
  <c r="AK1155" i="2"/>
  <c r="AN1154" i="2"/>
  <c r="AM1154" i="2"/>
  <c r="AL1154" i="2"/>
  <c r="AK1154" i="2"/>
  <c r="AN1153" i="2"/>
  <c r="AM1153" i="2"/>
  <c r="AL1153" i="2"/>
  <c r="AK1153" i="2"/>
  <c r="AN1152" i="2"/>
  <c r="AM1152" i="2"/>
  <c r="AL1152" i="2"/>
  <c r="AK1152" i="2"/>
  <c r="AN1151" i="2"/>
  <c r="AM1151" i="2"/>
  <c r="AL1151" i="2"/>
  <c r="AK1151" i="2"/>
  <c r="AN1150" i="2"/>
  <c r="AM1150" i="2"/>
  <c r="AL1150" i="2"/>
  <c r="AK1150" i="2"/>
  <c r="AN1149" i="2"/>
  <c r="AM1149" i="2"/>
  <c r="AL1149" i="2"/>
  <c r="AK1149" i="2"/>
  <c r="AN1148" i="2"/>
  <c r="AM1148" i="2"/>
  <c r="AL1148" i="2"/>
  <c r="AK1148" i="2"/>
  <c r="AN1147" i="2"/>
  <c r="AM1147" i="2"/>
  <c r="AL1147" i="2"/>
  <c r="AK1147" i="2"/>
  <c r="AN1146" i="2"/>
  <c r="AM1146" i="2"/>
  <c r="AL1146" i="2"/>
  <c r="AK1146" i="2"/>
  <c r="AN1145" i="2"/>
  <c r="AM1145" i="2"/>
  <c r="AL1145" i="2"/>
  <c r="AK1145" i="2"/>
  <c r="AN1144" i="2"/>
  <c r="AM1144" i="2"/>
  <c r="AL1144" i="2"/>
  <c r="AK1144" i="2"/>
  <c r="AN1143" i="2"/>
  <c r="AM1143" i="2"/>
  <c r="AL1143" i="2"/>
  <c r="AK1143" i="2"/>
  <c r="AN1142" i="2"/>
  <c r="AM1142" i="2"/>
  <c r="AL1142" i="2"/>
  <c r="AK1142" i="2"/>
  <c r="AN1141" i="2"/>
  <c r="AM1141" i="2"/>
  <c r="AL1141" i="2"/>
  <c r="AK1141" i="2"/>
  <c r="AN1140" i="2"/>
  <c r="AM1140" i="2"/>
  <c r="AL1140" i="2"/>
  <c r="AK1140" i="2"/>
  <c r="AN1139" i="2"/>
  <c r="AM1139" i="2"/>
  <c r="AL1139" i="2"/>
  <c r="AK1139" i="2"/>
  <c r="AN1138" i="2"/>
  <c r="AM1138" i="2"/>
  <c r="AL1138" i="2"/>
  <c r="AK1138" i="2"/>
  <c r="AN1137" i="2"/>
  <c r="AM1137" i="2"/>
  <c r="AL1137" i="2"/>
  <c r="AK1137" i="2"/>
  <c r="AN1136" i="2"/>
  <c r="AM1136" i="2"/>
  <c r="AL1136" i="2"/>
  <c r="AK1136" i="2"/>
  <c r="AN1135" i="2"/>
  <c r="AM1135" i="2"/>
  <c r="AL1135" i="2"/>
  <c r="AK1135" i="2"/>
  <c r="AN1134" i="2"/>
  <c r="AM1134" i="2"/>
  <c r="AL1134" i="2"/>
  <c r="AK1134" i="2"/>
  <c r="AN1133" i="2"/>
  <c r="AM1133" i="2"/>
  <c r="AL1133" i="2"/>
  <c r="AK1133" i="2"/>
  <c r="AN1132" i="2"/>
  <c r="AM1132" i="2"/>
  <c r="AL1132" i="2"/>
  <c r="AK1132" i="2"/>
  <c r="AN1131" i="2"/>
  <c r="AM1131" i="2"/>
  <c r="AL1131" i="2"/>
  <c r="AK1131" i="2"/>
  <c r="AN1130" i="2"/>
  <c r="AM1130" i="2"/>
  <c r="AL1130" i="2"/>
  <c r="AK1130" i="2"/>
  <c r="AN1129" i="2"/>
  <c r="AM1129" i="2"/>
  <c r="AL1129" i="2"/>
  <c r="AK1129" i="2"/>
  <c r="AN1128" i="2"/>
  <c r="AM1128" i="2"/>
  <c r="AL1128" i="2"/>
  <c r="AK1128" i="2"/>
  <c r="AN1127" i="2"/>
  <c r="AM1127" i="2"/>
  <c r="AL1127" i="2"/>
  <c r="AK1127" i="2"/>
  <c r="AN1126" i="2"/>
  <c r="AM1126" i="2"/>
  <c r="AL1126" i="2"/>
  <c r="AK1126" i="2"/>
  <c r="AN1125" i="2"/>
  <c r="AM1125" i="2"/>
  <c r="AL1125" i="2"/>
  <c r="AK1125" i="2"/>
  <c r="AN1124" i="2"/>
  <c r="AM1124" i="2"/>
  <c r="AL1124" i="2"/>
  <c r="AK1124" i="2"/>
  <c r="AN1123" i="2"/>
  <c r="AM1123" i="2"/>
  <c r="AL1123" i="2"/>
  <c r="AK1123" i="2"/>
  <c r="AN1122" i="2"/>
  <c r="AM1122" i="2"/>
  <c r="AL1122" i="2"/>
  <c r="AK1122" i="2"/>
  <c r="AN1121" i="2"/>
  <c r="AM1121" i="2"/>
  <c r="AL1121" i="2"/>
  <c r="AK1121" i="2"/>
  <c r="AN1120" i="2"/>
  <c r="AM1120" i="2"/>
  <c r="AL1120" i="2"/>
  <c r="AK1120" i="2"/>
  <c r="AN1119" i="2"/>
  <c r="AM1119" i="2"/>
  <c r="AL1119" i="2"/>
  <c r="AK1119" i="2"/>
  <c r="AN1118" i="2"/>
  <c r="AM1118" i="2"/>
  <c r="AL1118" i="2"/>
  <c r="AK1118" i="2"/>
  <c r="AN1117" i="2"/>
  <c r="AM1117" i="2"/>
  <c r="AL1117" i="2"/>
  <c r="AK1117" i="2"/>
  <c r="AN1116" i="2"/>
  <c r="AM1116" i="2"/>
  <c r="AL1116" i="2"/>
  <c r="AK1116" i="2"/>
  <c r="AN1115" i="2"/>
  <c r="AM1115" i="2"/>
  <c r="AL1115" i="2"/>
  <c r="AK1115" i="2"/>
  <c r="AN1114" i="2"/>
  <c r="AM1114" i="2"/>
  <c r="AL1114" i="2"/>
  <c r="AK1114" i="2"/>
  <c r="AN1113" i="2"/>
  <c r="AM1113" i="2"/>
  <c r="AL1113" i="2"/>
  <c r="AK1113" i="2"/>
  <c r="AN1112" i="2"/>
  <c r="AM1112" i="2"/>
  <c r="AL1112" i="2"/>
  <c r="AK1112" i="2"/>
  <c r="AN1111" i="2"/>
  <c r="AM1111" i="2"/>
  <c r="AL1111" i="2"/>
  <c r="AK1111" i="2"/>
  <c r="AN1110" i="2"/>
  <c r="AM1110" i="2"/>
  <c r="AL1110" i="2"/>
  <c r="AK1110" i="2"/>
  <c r="AN1109" i="2"/>
  <c r="AM1109" i="2"/>
  <c r="AL1109" i="2"/>
  <c r="AK1109" i="2"/>
  <c r="AN1108" i="2"/>
  <c r="AM1108" i="2"/>
  <c r="AL1108" i="2"/>
  <c r="AK1108" i="2"/>
  <c r="AN1107" i="2"/>
  <c r="AM1107" i="2"/>
  <c r="AL1107" i="2"/>
  <c r="AK1107" i="2"/>
  <c r="AN1106" i="2"/>
  <c r="AM1106" i="2"/>
  <c r="AL1106" i="2"/>
  <c r="AK1106" i="2"/>
  <c r="AN1105" i="2"/>
  <c r="AM1105" i="2"/>
  <c r="AL1105" i="2"/>
  <c r="AK1105" i="2"/>
  <c r="AN1104" i="2"/>
  <c r="AM1104" i="2"/>
  <c r="AL1104" i="2"/>
  <c r="AK1104" i="2"/>
  <c r="AN1103" i="2"/>
  <c r="AM1103" i="2"/>
  <c r="AL1103" i="2"/>
  <c r="AK1103" i="2"/>
  <c r="AN1102" i="2"/>
  <c r="AM1102" i="2"/>
  <c r="AL1102" i="2"/>
  <c r="AK1102" i="2"/>
  <c r="AN1101" i="2"/>
  <c r="AM1101" i="2"/>
  <c r="AL1101" i="2"/>
  <c r="AK1101" i="2"/>
  <c r="AN1100" i="2"/>
  <c r="AM1100" i="2"/>
  <c r="AL1100" i="2"/>
  <c r="AK1100" i="2"/>
  <c r="AN1099" i="2"/>
  <c r="AM1099" i="2"/>
  <c r="AL1099" i="2"/>
  <c r="AK1099" i="2"/>
  <c r="AN1098" i="2"/>
  <c r="AM1098" i="2"/>
  <c r="AL1098" i="2"/>
  <c r="AK1098" i="2"/>
  <c r="AN1097" i="2"/>
  <c r="AM1097" i="2"/>
  <c r="AL1097" i="2"/>
  <c r="AK1097" i="2"/>
  <c r="AN1096" i="2"/>
  <c r="AM1096" i="2"/>
  <c r="AL1096" i="2"/>
  <c r="AK1096" i="2"/>
  <c r="AN1095" i="2"/>
  <c r="AM1095" i="2"/>
  <c r="AL1095" i="2"/>
  <c r="AK1095" i="2"/>
  <c r="AN1094" i="2"/>
  <c r="AM1094" i="2"/>
  <c r="AL1094" i="2"/>
  <c r="AK1094" i="2"/>
  <c r="AN1093" i="2"/>
  <c r="AM1093" i="2"/>
  <c r="AL1093" i="2"/>
  <c r="AK1093" i="2"/>
  <c r="AN1092" i="2"/>
  <c r="AM1092" i="2"/>
  <c r="AL1092" i="2"/>
  <c r="AK1092" i="2"/>
  <c r="AN1091" i="2"/>
  <c r="AM1091" i="2"/>
  <c r="AL1091" i="2"/>
  <c r="AK1091" i="2"/>
  <c r="AN1090" i="2"/>
  <c r="AM1090" i="2"/>
  <c r="AL1090" i="2"/>
  <c r="AK1090" i="2"/>
  <c r="AN1089" i="2"/>
  <c r="AM1089" i="2"/>
  <c r="AL1089" i="2"/>
  <c r="AK1089" i="2"/>
  <c r="AN1088" i="2"/>
  <c r="AM1088" i="2"/>
  <c r="AL1088" i="2"/>
  <c r="AK1088" i="2"/>
  <c r="AN1087" i="2"/>
  <c r="AM1087" i="2"/>
  <c r="AL1087" i="2"/>
  <c r="AK1087" i="2"/>
  <c r="AN1086" i="2"/>
  <c r="AM1086" i="2"/>
  <c r="AL1086" i="2"/>
  <c r="AK1086" i="2"/>
  <c r="AN1085" i="2"/>
  <c r="AM1085" i="2"/>
  <c r="AL1085" i="2"/>
  <c r="AK1085" i="2"/>
  <c r="AN1084" i="2"/>
  <c r="AM1084" i="2"/>
  <c r="AL1084" i="2"/>
  <c r="AK1084" i="2"/>
  <c r="AN1083" i="2"/>
  <c r="AM1083" i="2"/>
  <c r="AL1083" i="2"/>
  <c r="AK1083" i="2"/>
  <c r="AN1082" i="2"/>
  <c r="AM1082" i="2"/>
  <c r="AL1082" i="2"/>
  <c r="AK1082" i="2"/>
  <c r="AN1081" i="2"/>
  <c r="AM1081" i="2"/>
  <c r="AL1081" i="2"/>
  <c r="AK1081" i="2"/>
  <c r="AN1080" i="2"/>
  <c r="AM1080" i="2"/>
  <c r="AL1080" i="2"/>
  <c r="AK1080" i="2"/>
  <c r="AN1079" i="2"/>
  <c r="AM1079" i="2"/>
  <c r="AL1079" i="2"/>
  <c r="AK1079" i="2"/>
  <c r="AN1078" i="2"/>
  <c r="AM1078" i="2"/>
  <c r="AL1078" i="2"/>
  <c r="AK1078" i="2"/>
  <c r="AN1077" i="2"/>
  <c r="AM1077" i="2"/>
  <c r="AL1077" i="2"/>
  <c r="AK1077" i="2"/>
  <c r="AN1076" i="2"/>
  <c r="AM1076" i="2"/>
  <c r="AL1076" i="2"/>
  <c r="AK1076" i="2"/>
  <c r="AN1075" i="2"/>
  <c r="AM1075" i="2"/>
  <c r="AL1075" i="2"/>
  <c r="AK1075" i="2"/>
  <c r="AN1074" i="2"/>
  <c r="AM1074" i="2"/>
  <c r="AL1074" i="2"/>
  <c r="AK1074" i="2"/>
  <c r="AN1073" i="2"/>
  <c r="AM1073" i="2"/>
  <c r="AL1073" i="2"/>
  <c r="AK1073" i="2"/>
  <c r="AN1072" i="2"/>
  <c r="AM1072" i="2"/>
  <c r="AL1072" i="2"/>
  <c r="AK1072" i="2"/>
  <c r="AN1071" i="2"/>
  <c r="AM1071" i="2"/>
  <c r="AL1071" i="2"/>
  <c r="AK1071" i="2"/>
  <c r="AN1070" i="2"/>
  <c r="AM1070" i="2"/>
  <c r="AL1070" i="2"/>
  <c r="AK1070" i="2"/>
  <c r="AN1069" i="2"/>
  <c r="AM1069" i="2"/>
  <c r="AL1069" i="2"/>
  <c r="AK1069" i="2"/>
  <c r="AN1068" i="2"/>
  <c r="AM1068" i="2"/>
  <c r="AL1068" i="2"/>
  <c r="AK1068" i="2"/>
  <c r="AN1067" i="2"/>
  <c r="AM1067" i="2"/>
  <c r="AL1067" i="2"/>
  <c r="AK1067" i="2"/>
  <c r="AN1066" i="2"/>
  <c r="AM1066" i="2"/>
  <c r="AL1066" i="2"/>
  <c r="AK1066" i="2"/>
  <c r="AN1065" i="2"/>
  <c r="AM1065" i="2"/>
  <c r="AL1065" i="2"/>
  <c r="AK1065" i="2"/>
  <c r="AN1064" i="2"/>
  <c r="AM1064" i="2"/>
  <c r="AL1064" i="2"/>
  <c r="AK1064" i="2"/>
  <c r="AN1063" i="2"/>
  <c r="AM1063" i="2"/>
  <c r="AL1063" i="2"/>
  <c r="AK1063" i="2"/>
  <c r="AN1062" i="2"/>
  <c r="AM1062" i="2"/>
  <c r="AL1062" i="2"/>
  <c r="AK1062" i="2"/>
  <c r="AN1061" i="2"/>
  <c r="AM1061" i="2"/>
  <c r="AL1061" i="2"/>
  <c r="AK1061" i="2"/>
  <c r="AN1060" i="2"/>
  <c r="AM1060" i="2"/>
  <c r="AL1060" i="2"/>
  <c r="AK1060" i="2"/>
  <c r="AN1059" i="2"/>
  <c r="AM1059" i="2"/>
  <c r="AL1059" i="2"/>
  <c r="AK1059" i="2"/>
  <c r="AN1058" i="2"/>
  <c r="AM1058" i="2"/>
  <c r="AL1058" i="2"/>
  <c r="AK1058" i="2"/>
  <c r="AN1057" i="2"/>
  <c r="AM1057" i="2"/>
  <c r="AL1057" i="2"/>
  <c r="AK1057" i="2"/>
  <c r="AN1056" i="2"/>
  <c r="AM1056" i="2"/>
  <c r="AL1056" i="2"/>
  <c r="AK1056" i="2"/>
  <c r="AN1055" i="2"/>
  <c r="AM1055" i="2"/>
  <c r="AL1055" i="2"/>
  <c r="AK1055" i="2"/>
  <c r="AN1054" i="2"/>
  <c r="AM1054" i="2"/>
  <c r="AL1054" i="2"/>
  <c r="AK1054" i="2"/>
  <c r="AN1053" i="2"/>
  <c r="AM1053" i="2"/>
  <c r="AL1053" i="2"/>
  <c r="AK1053" i="2"/>
  <c r="AN1052" i="2"/>
  <c r="AM1052" i="2"/>
  <c r="AL1052" i="2"/>
  <c r="AK1052" i="2"/>
  <c r="AN1051" i="2"/>
  <c r="AM1051" i="2"/>
  <c r="AL1051" i="2"/>
  <c r="AK1051" i="2"/>
  <c r="AN1050" i="2"/>
  <c r="AM1050" i="2"/>
  <c r="AL1050" i="2"/>
  <c r="AK1050" i="2"/>
  <c r="AN1049" i="2"/>
  <c r="AM1049" i="2"/>
  <c r="AL1049" i="2"/>
  <c r="AK1049" i="2"/>
  <c r="AN1048" i="2"/>
  <c r="AM1048" i="2"/>
  <c r="AL1048" i="2"/>
  <c r="AK1048" i="2"/>
  <c r="AN1047" i="2"/>
  <c r="AM1047" i="2"/>
  <c r="AL1047" i="2"/>
  <c r="AK1047" i="2"/>
  <c r="AN1046" i="2"/>
  <c r="AM1046" i="2"/>
  <c r="AL1046" i="2"/>
  <c r="AK1046" i="2"/>
  <c r="AN1045" i="2"/>
  <c r="AM1045" i="2"/>
  <c r="AL1045" i="2"/>
  <c r="AK1045" i="2"/>
  <c r="AN1044" i="2"/>
  <c r="AM1044" i="2"/>
  <c r="AL1044" i="2"/>
  <c r="AK1044" i="2"/>
  <c r="AN1043" i="2"/>
  <c r="AM1043" i="2"/>
  <c r="AL1043" i="2"/>
  <c r="AK1043" i="2"/>
  <c r="AN1042" i="2"/>
  <c r="AM1042" i="2"/>
  <c r="AL1042" i="2"/>
  <c r="AK1042" i="2"/>
  <c r="AN1041" i="2"/>
  <c r="AM1041" i="2"/>
  <c r="AL1041" i="2"/>
  <c r="AK1041" i="2"/>
  <c r="AN1040" i="2"/>
  <c r="AM1040" i="2"/>
  <c r="AL1040" i="2"/>
  <c r="AK1040" i="2"/>
  <c r="AN1039" i="2"/>
  <c r="AM1039" i="2"/>
  <c r="AL1039" i="2"/>
  <c r="AK1039" i="2"/>
  <c r="AN1038" i="2"/>
  <c r="AM1038" i="2"/>
  <c r="AL1038" i="2"/>
  <c r="AK1038" i="2"/>
  <c r="AN1037" i="2"/>
  <c r="AM1037" i="2"/>
  <c r="AL1037" i="2"/>
  <c r="AK1037" i="2"/>
  <c r="AN1036" i="2"/>
  <c r="AM1036" i="2"/>
  <c r="AL1036" i="2"/>
  <c r="AK1036" i="2"/>
  <c r="AN1035" i="2"/>
  <c r="AM1035" i="2"/>
  <c r="AL1035" i="2"/>
  <c r="AK1035" i="2"/>
  <c r="AN1034" i="2"/>
  <c r="AM1034" i="2"/>
  <c r="AL1034" i="2"/>
  <c r="AK1034" i="2"/>
  <c r="AN1033" i="2"/>
  <c r="AM1033" i="2"/>
  <c r="AL1033" i="2"/>
  <c r="AK1033" i="2"/>
  <c r="AN1032" i="2"/>
  <c r="AM1032" i="2"/>
  <c r="AL1032" i="2"/>
  <c r="AK1032" i="2"/>
  <c r="AN1031" i="2"/>
  <c r="AM1031" i="2"/>
  <c r="AL1031" i="2"/>
  <c r="AK1031" i="2"/>
  <c r="AN1030" i="2"/>
  <c r="AM1030" i="2"/>
  <c r="AL1030" i="2"/>
  <c r="AK1030" i="2"/>
  <c r="AN1029" i="2"/>
  <c r="AM1029" i="2"/>
  <c r="AL1029" i="2"/>
  <c r="AK1029" i="2"/>
  <c r="AN1028" i="2"/>
  <c r="AM1028" i="2"/>
  <c r="AL1028" i="2"/>
  <c r="AK1028" i="2"/>
  <c r="AN1027" i="2"/>
  <c r="AM1027" i="2"/>
  <c r="AL1027" i="2"/>
  <c r="AK1027" i="2"/>
  <c r="AN1026" i="2"/>
  <c r="AM1026" i="2"/>
  <c r="AL1026" i="2"/>
  <c r="AK1026" i="2"/>
  <c r="AN1025" i="2"/>
  <c r="AM1025" i="2"/>
  <c r="AL1025" i="2"/>
  <c r="AK1025" i="2"/>
  <c r="AN1024" i="2"/>
  <c r="AM1024" i="2"/>
  <c r="AL1024" i="2"/>
  <c r="AK1024" i="2"/>
  <c r="AN1023" i="2"/>
  <c r="AM1023" i="2"/>
  <c r="AL1023" i="2"/>
  <c r="AK1023" i="2"/>
  <c r="AN1022" i="2"/>
  <c r="AM1022" i="2"/>
  <c r="AL1022" i="2"/>
  <c r="AK1022" i="2"/>
  <c r="AN1021" i="2"/>
  <c r="AM1021" i="2"/>
  <c r="AL1021" i="2"/>
  <c r="AK1021" i="2"/>
  <c r="AN1020" i="2"/>
  <c r="AM1020" i="2"/>
  <c r="AL1020" i="2"/>
  <c r="AK1020" i="2"/>
  <c r="AN1019" i="2"/>
  <c r="AM1019" i="2"/>
  <c r="AL1019" i="2"/>
  <c r="AK1019" i="2"/>
  <c r="AN1018" i="2"/>
  <c r="AM1018" i="2"/>
  <c r="AL1018" i="2"/>
  <c r="AK1018" i="2"/>
  <c r="AN1017" i="2"/>
  <c r="AM1017" i="2"/>
  <c r="AL1017" i="2"/>
  <c r="AK1017" i="2"/>
  <c r="AN1016" i="2"/>
  <c r="AM1016" i="2"/>
  <c r="AL1016" i="2"/>
  <c r="AK1016" i="2"/>
  <c r="AN1015" i="2"/>
  <c r="AM1015" i="2"/>
  <c r="AL1015" i="2"/>
  <c r="AK1015" i="2"/>
  <c r="AN1014" i="2"/>
  <c r="AM1014" i="2"/>
  <c r="AL1014" i="2"/>
  <c r="AK1014" i="2"/>
  <c r="AN1013" i="2"/>
  <c r="AM1013" i="2"/>
  <c r="AL1013" i="2"/>
  <c r="AK1013" i="2"/>
  <c r="AN1012" i="2"/>
  <c r="AM1012" i="2"/>
  <c r="AL1012" i="2"/>
  <c r="AK1012" i="2"/>
  <c r="AN1011" i="2"/>
  <c r="AM1011" i="2"/>
  <c r="AL1011" i="2"/>
  <c r="AK1011" i="2"/>
  <c r="AN1010" i="2"/>
  <c r="AM1010" i="2"/>
  <c r="AL1010" i="2"/>
  <c r="AK1010" i="2"/>
  <c r="AN1009" i="2"/>
  <c r="AM1009" i="2"/>
  <c r="AL1009" i="2"/>
  <c r="AK1009" i="2"/>
  <c r="AN1008" i="2"/>
  <c r="AM1008" i="2"/>
  <c r="AL1008" i="2"/>
  <c r="AK1008" i="2"/>
  <c r="AN1007" i="2"/>
  <c r="AM1007" i="2"/>
  <c r="AL1007" i="2"/>
  <c r="AK1007" i="2"/>
  <c r="AN1006" i="2"/>
  <c r="AM1006" i="2"/>
  <c r="AL1006" i="2"/>
  <c r="AK1006" i="2"/>
  <c r="AN1005" i="2"/>
  <c r="AM1005" i="2"/>
  <c r="AL1005" i="2"/>
  <c r="AK1005" i="2"/>
  <c r="AN1004" i="2"/>
  <c r="AM1004" i="2"/>
  <c r="AL1004" i="2"/>
  <c r="AK1004" i="2"/>
  <c r="AN1003" i="2"/>
  <c r="AM1003" i="2"/>
  <c r="AL1003" i="2"/>
  <c r="AK1003" i="2"/>
  <c r="AN1002" i="2"/>
  <c r="AM1002" i="2"/>
  <c r="AL1002" i="2"/>
  <c r="AK1002" i="2"/>
  <c r="AN1001" i="2"/>
  <c r="AM1001" i="2"/>
  <c r="AL1001" i="2"/>
  <c r="AK1001" i="2"/>
  <c r="AN1000" i="2"/>
  <c r="AM1000" i="2"/>
  <c r="AL1000" i="2"/>
  <c r="AK1000" i="2"/>
  <c r="AN999" i="2"/>
  <c r="AM999" i="2"/>
  <c r="AL999" i="2"/>
  <c r="AK999" i="2"/>
  <c r="AN998" i="2"/>
  <c r="AM998" i="2"/>
  <c r="AL998" i="2"/>
  <c r="AK998" i="2"/>
  <c r="AN997" i="2"/>
  <c r="AM997" i="2"/>
  <c r="AL997" i="2"/>
  <c r="AK997" i="2"/>
  <c r="AN996" i="2"/>
  <c r="AM996" i="2"/>
  <c r="AL996" i="2"/>
  <c r="AK996" i="2"/>
  <c r="AN995" i="2"/>
  <c r="AM995" i="2"/>
  <c r="AL995" i="2"/>
  <c r="AK995" i="2"/>
  <c r="AN994" i="2"/>
  <c r="AM994" i="2"/>
  <c r="AL994" i="2"/>
  <c r="AK994" i="2"/>
  <c r="AN993" i="2"/>
  <c r="AM993" i="2"/>
  <c r="AL993" i="2"/>
  <c r="AK993" i="2"/>
  <c r="AN992" i="2"/>
  <c r="AM992" i="2"/>
  <c r="AL992" i="2"/>
  <c r="AK992" i="2"/>
  <c r="AN991" i="2"/>
  <c r="AM991" i="2"/>
  <c r="AL991" i="2"/>
  <c r="AK991" i="2"/>
  <c r="AN990" i="2"/>
  <c r="AM990" i="2"/>
  <c r="AL990" i="2"/>
  <c r="AK990" i="2"/>
  <c r="AN989" i="2"/>
  <c r="AM989" i="2"/>
  <c r="AL989" i="2"/>
  <c r="AK989" i="2"/>
  <c r="AN988" i="2"/>
  <c r="AM988" i="2"/>
  <c r="AL988" i="2"/>
  <c r="AK988" i="2"/>
  <c r="AN987" i="2"/>
  <c r="AM987" i="2"/>
  <c r="AL987" i="2"/>
  <c r="AK987" i="2"/>
  <c r="AN986" i="2"/>
  <c r="AM986" i="2"/>
  <c r="AL986" i="2"/>
  <c r="AK986" i="2"/>
  <c r="AN985" i="2"/>
  <c r="AM985" i="2"/>
  <c r="AL985" i="2"/>
  <c r="AK985" i="2"/>
  <c r="AN984" i="2"/>
  <c r="AM984" i="2"/>
  <c r="AL984" i="2"/>
  <c r="AK984" i="2"/>
  <c r="AN983" i="2"/>
  <c r="AM983" i="2"/>
  <c r="AL983" i="2"/>
  <c r="AK983" i="2"/>
  <c r="AN982" i="2"/>
  <c r="AM982" i="2"/>
  <c r="AL982" i="2"/>
  <c r="AK982" i="2"/>
  <c r="AN981" i="2"/>
  <c r="AM981" i="2"/>
  <c r="AL981" i="2"/>
  <c r="AK981" i="2"/>
  <c r="AN980" i="2"/>
  <c r="AM980" i="2"/>
  <c r="AL980" i="2"/>
  <c r="AK980" i="2"/>
  <c r="AN979" i="2"/>
  <c r="AM979" i="2"/>
  <c r="AL979" i="2"/>
  <c r="AK979" i="2"/>
  <c r="AN978" i="2"/>
  <c r="AM978" i="2"/>
  <c r="AL978" i="2"/>
  <c r="AK978" i="2"/>
  <c r="AN977" i="2"/>
  <c r="AM977" i="2"/>
  <c r="AL977" i="2"/>
  <c r="AK977" i="2"/>
  <c r="AN976" i="2"/>
  <c r="AM976" i="2"/>
  <c r="AL976" i="2"/>
  <c r="AK976" i="2"/>
  <c r="AN975" i="2"/>
  <c r="AM975" i="2"/>
  <c r="AL975" i="2"/>
  <c r="AK975" i="2"/>
  <c r="AN974" i="2"/>
  <c r="AM974" i="2"/>
  <c r="AL974" i="2"/>
  <c r="AK974" i="2"/>
  <c r="AN973" i="2"/>
  <c r="AM973" i="2"/>
  <c r="AL973" i="2"/>
  <c r="AK973" i="2"/>
  <c r="AN972" i="2"/>
  <c r="AM972" i="2"/>
  <c r="AL972" i="2"/>
  <c r="AK972" i="2"/>
  <c r="AN971" i="2"/>
  <c r="AM971" i="2"/>
  <c r="AL971" i="2"/>
  <c r="AK971" i="2"/>
  <c r="AN970" i="2"/>
  <c r="AM970" i="2"/>
  <c r="AL970" i="2"/>
  <c r="AK970" i="2"/>
  <c r="AN969" i="2"/>
  <c r="AM969" i="2"/>
  <c r="AL969" i="2"/>
  <c r="AK969" i="2"/>
  <c r="AN968" i="2"/>
  <c r="AM968" i="2"/>
  <c r="AL968" i="2"/>
  <c r="AK968" i="2"/>
  <c r="AN967" i="2"/>
  <c r="AM967" i="2"/>
  <c r="AL967" i="2"/>
  <c r="AK967" i="2"/>
  <c r="AN966" i="2"/>
  <c r="AM966" i="2"/>
  <c r="AL966" i="2"/>
  <c r="AK966" i="2"/>
  <c r="AN965" i="2"/>
  <c r="AM965" i="2"/>
  <c r="AL965" i="2"/>
  <c r="AK965" i="2"/>
  <c r="AN964" i="2"/>
  <c r="AM964" i="2"/>
  <c r="AL964" i="2"/>
  <c r="AK964" i="2"/>
  <c r="AN963" i="2"/>
  <c r="AM963" i="2"/>
  <c r="AL963" i="2"/>
  <c r="AK963" i="2"/>
  <c r="AN962" i="2"/>
  <c r="AM962" i="2"/>
  <c r="AL962" i="2"/>
  <c r="AK962" i="2"/>
  <c r="AN961" i="2"/>
  <c r="AM961" i="2"/>
  <c r="AL961" i="2"/>
  <c r="AK961" i="2"/>
  <c r="AN960" i="2"/>
  <c r="AM960" i="2"/>
  <c r="AL960" i="2"/>
  <c r="AK960" i="2"/>
  <c r="AN959" i="2"/>
  <c r="AM959" i="2"/>
  <c r="AL959" i="2"/>
  <c r="AK959" i="2"/>
  <c r="AN958" i="2"/>
  <c r="AM958" i="2"/>
  <c r="AL958" i="2"/>
  <c r="AK958" i="2"/>
  <c r="AN957" i="2"/>
  <c r="AM957" i="2"/>
  <c r="AL957" i="2"/>
  <c r="AK957" i="2"/>
  <c r="AN956" i="2"/>
  <c r="AM956" i="2"/>
  <c r="AL956" i="2"/>
  <c r="AK956" i="2"/>
  <c r="AN955" i="2"/>
  <c r="AM955" i="2"/>
  <c r="AL955" i="2"/>
  <c r="AK955" i="2"/>
  <c r="AN954" i="2"/>
  <c r="AM954" i="2"/>
  <c r="AL954" i="2"/>
  <c r="AK954" i="2"/>
  <c r="AN953" i="2"/>
  <c r="AM953" i="2"/>
  <c r="AL953" i="2"/>
  <c r="AK953" i="2"/>
  <c r="AN952" i="2"/>
  <c r="AM952" i="2"/>
  <c r="AL952" i="2"/>
  <c r="AK952" i="2"/>
  <c r="AN951" i="2"/>
  <c r="AM951" i="2"/>
  <c r="AL951" i="2"/>
  <c r="AK951" i="2"/>
  <c r="AN950" i="2"/>
  <c r="AM950" i="2"/>
  <c r="AL950" i="2"/>
  <c r="AK950" i="2"/>
  <c r="AN949" i="2"/>
  <c r="AM949" i="2"/>
  <c r="AL949" i="2"/>
  <c r="AK949" i="2"/>
  <c r="AN948" i="2"/>
  <c r="AM948" i="2"/>
  <c r="AL948" i="2"/>
  <c r="AK948" i="2"/>
  <c r="AN947" i="2"/>
  <c r="AM947" i="2"/>
  <c r="AL947" i="2"/>
  <c r="AK947" i="2"/>
  <c r="AN946" i="2"/>
  <c r="AM946" i="2"/>
  <c r="AL946" i="2"/>
  <c r="AK946" i="2"/>
  <c r="AN945" i="2"/>
  <c r="AM945" i="2"/>
  <c r="AL945" i="2"/>
  <c r="AK945" i="2"/>
  <c r="AN944" i="2"/>
  <c r="AM944" i="2"/>
  <c r="AL944" i="2"/>
  <c r="AK944" i="2"/>
  <c r="AN943" i="2"/>
  <c r="AM943" i="2"/>
  <c r="AL943" i="2"/>
  <c r="AK943" i="2"/>
  <c r="AN942" i="2"/>
  <c r="AM942" i="2"/>
  <c r="AL942" i="2"/>
  <c r="AK942" i="2"/>
  <c r="AN941" i="2"/>
  <c r="AM941" i="2"/>
  <c r="AL941" i="2"/>
  <c r="AK941" i="2"/>
  <c r="AN940" i="2"/>
  <c r="AM940" i="2"/>
  <c r="AL940" i="2"/>
  <c r="AK940" i="2"/>
  <c r="AN939" i="2"/>
  <c r="AM939" i="2"/>
  <c r="AL939" i="2"/>
  <c r="AK939" i="2"/>
  <c r="AN938" i="2"/>
  <c r="AM938" i="2"/>
  <c r="AL938" i="2"/>
  <c r="AK938" i="2"/>
  <c r="AN937" i="2"/>
  <c r="AM937" i="2"/>
  <c r="AL937" i="2"/>
  <c r="AK937" i="2"/>
  <c r="AN936" i="2"/>
  <c r="AM936" i="2"/>
  <c r="AL936" i="2"/>
  <c r="AK936" i="2"/>
  <c r="AN935" i="2"/>
  <c r="AM935" i="2"/>
  <c r="AL935" i="2"/>
  <c r="AK935" i="2"/>
  <c r="AN934" i="2"/>
  <c r="AM934" i="2"/>
  <c r="AL934" i="2"/>
  <c r="AK934" i="2"/>
  <c r="AN933" i="2"/>
  <c r="AM933" i="2"/>
  <c r="AL933" i="2"/>
  <c r="AK933" i="2"/>
  <c r="AN932" i="2"/>
  <c r="AM932" i="2"/>
  <c r="AL932" i="2"/>
  <c r="AK932" i="2"/>
  <c r="AN931" i="2"/>
  <c r="AM931" i="2"/>
  <c r="AL931" i="2"/>
  <c r="AK931" i="2"/>
  <c r="AN930" i="2"/>
  <c r="AM930" i="2"/>
  <c r="AL930" i="2"/>
  <c r="AK930" i="2"/>
  <c r="AN929" i="2"/>
  <c r="AM929" i="2"/>
  <c r="AL929" i="2"/>
  <c r="AK929" i="2"/>
  <c r="AN928" i="2"/>
  <c r="AM928" i="2"/>
  <c r="AL928" i="2"/>
  <c r="AK928" i="2"/>
  <c r="AN927" i="2"/>
  <c r="AM927" i="2"/>
  <c r="AL927" i="2"/>
  <c r="AK927" i="2"/>
  <c r="AN926" i="2"/>
  <c r="AM926" i="2"/>
  <c r="AL926" i="2"/>
  <c r="AK926" i="2"/>
  <c r="AN925" i="2"/>
  <c r="AM925" i="2"/>
  <c r="AL925" i="2"/>
  <c r="AK925" i="2"/>
  <c r="AN924" i="2"/>
  <c r="AM924" i="2"/>
  <c r="AL924" i="2"/>
  <c r="AK924" i="2"/>
  <c r="AN923" i="2"/>
  <c r="AM923" i="2"/>
  <c r="AL923" i="2"/>
  <c r="AK923" i="2"/>
  <c r="AN922" i="2"/>
  <c r="AM922" i="2"/>
  <c r="AL922" i="2"/>
  <c r="AK922" i="2"/>
  <c r="AN921" i="2"/>
  <c r="AM921" i="2"/>
  <c r="AL921" i="2"/>
  <c r="AK921" i="2"/>
  <c r="AN920" i="2"/>
  <c r="AM920" i="2"/>
  <c r="AL920" i="2"/>
  <c r="AK920" i="2"/>
  <c r="AN919" i="2"/>
  <c r="AM919" i="2"/>
  <c r="AL919" i="2"/>
  <c r="AK919" i="2"/>
  <c r="AN918" i="2"/>
  <c r="AM918" i="2"/>
  <c r="AL918" i="2"/>
  <c r="AK918" i="2"/>
  <c r="AN917" i="2"/>
  <c r="AM917" i="2"/>
  <c r="AL917" i="2"/>
  <c r="AK917" i="2"/>
  <c r="AN916" i="2"/>
  <c r="AM916" i="2"/>
  <c r="AL916" i="2"/>
  <c r="AK916" i="2"/>
  <c r="AN915" i="2"/>
  <c r="AM915" i="2"/>
  <c r="AL915" i="2"/>
  <c r="AK915" i="2"/>
  <c r="AN914" i="2"/>
  <c r="AM914" i="2"/>
  <c r="AL914" i="2"/>
  <c r="AK914" i="2"/>
  <c r="AN913" i="2"/>
  <c r="AM913" i="2"/>
  <c r="AL913" i="2"/>
  <c r="AK913" i="2"/>
  <c r="AN912" i="2"/>
  <c r="AM912" i="2"/>
  <c r="AL912" i="2"/>
  <c r="AK912" i="2"/>
  <c r="AN911" i="2"/>
  <c r="AM911" i="2"/>
  <c r="AL911" i="2"/>
  <c r="AK911" i="2"/>
  <c r="AN910" i="2"/>
  <c r="AM910" i="2"/>
  <c r="AL910" i="2"/>
  <c r="AK910" i="2"/>
  <c r="AN909" i="2"/>
  <c r="AM909" i="2"/>
  <c r="AL909" i="2"/>
  <c r="AK909" i="2"/>
  <c r="AN908" i="2"/>
  <c r="AM908" i="2"/>
  <c r="AL908" i="2"/>
  <c r="AK908" i="2"/>
  <c r="AN907" i="2"/>
  <c r="AM907" i="2"/>
  <c r="AL907" i="2"/>
  <c r="AK907" i="2"/>
  <c r="AN906" i="2"/>
  <c r="AM906" i="2"/>
  <c r="AL906" i="2"/>
  <c r="AK906" i="2"/>
  <c r="AN905" i="2"/>
  <c r="AM905" i="2"/>
  <c r="AL905" i="2"/>
  <c r="AK905" i="2"/>
  <c r="AN904" i="2"/>
  <c r="AM904" i="2"/>
  <c r="AL904" i="2"/>
  <c r="AK904" i="2"/>
  <c r="AN903" i="2"/>
  <c r="AM903" i="2"/>
  <c r="AL903" i="2"/>
  <c r="AK903" i="2"/>
  <c r="AN902" i="2"/>
  <c r="AM902" i="2"/>
  <c r="AL902" i="2"/>
  <c r="AK902" i="2"/>
  <c r="AN901" i="2"/>
  <c r="AM901" i="2"/>
  <c r="AL901" i="2"/>
  <c r="AK901" i="2"/>
  <c r="AN900" i="2"/>
  <c r="AM900" i="2"/>
  <c r="AL900" i="2"/>
  <c r="AK900" i="2"/>
  <c r="AN899" i="2"/>
  <c r="AM899" i="2"/>
  <c r="AL899" i="2"/>
  <c r="AK899" i="2"/>
  <c r="AN898" i="2"/>
  <c r="AM898" i="2"/>
  <c r="AL898" i="2"/>
  <c r="AK898" i="2"/>
  <c r="AN897" i="2"/>
  <c r="AM897" i="2"/>
  <c r="AL897" i="2"/>
  <c r="AK897" i="2"/>
  <c r="AN896" i="2"/>
  <c r="AM896" i="2"/>
  <c r="AL896" i="2"/>
  <c r="AK896" i="2"/>
  <c r="AN895" i="2"/>
  <c r="AM895" i="2"/>
  <c r="AL895" i="2"/>
  <c r="AK895" i="2"/>
  <c r="AN894" i="2"/>
  <c r="AM894" i="2"/>
  <c r="AL894" i="2"/>
  <c r="AK894" i="2"/>
  <c r="AN893" i="2"/>
  <c r="AM893" i="2"/>
  <c r="AL893" i="2"/>
  <c r="AK893" i="2"/>
  <c r="AN892" i="2"/>
  <c r="AM892" i="2"/>
  <c r="AL892" i="2"/>
  <c r="AK892" i="2"/>
  <c r="AN891" i="2"/>
  <c r="AM891" i="2"/>
  <c r="AL891" i="2"/>
  <c r="AK891" i="2"/>
  <c r="AN890" i="2"/>
  <c r="AM890" i="2"/>
  <c r="AL890" i="2"/>
  <c r="AK890" i="2"/>
  <c r="AN889" i="2"/>
  <c r="AM889" i="2"/>
  <c r="AL889" i="2"/>
  <c r="AK889" i="2"/>
  <c r="AN888" i="2"/>
  <c r="AM888" i="2"/>
  <c r="AL888" i="2"/>
  <c r="AK888" i="2"/>
  <c r="AN887" i="2"/>
  <c r="AM887" i="2"/>
  <c r="AL887" i="2"/>
  <c r="AK887" i="2"/>
  <c r="AN886" i="2"/>
  <c r="AM886" i="2"/>
  <c r="AL886" i="2"/>
  <c r="AK886" i="2"/>
  <c r="AN885" i="2"/>
  <c r="AM885" i="2"/>
  <c r="AL885" i="2"/>
  <c r="AK885" i="2"/>
  <c r="AN884" i="2"/>
  <c r="AM884" i="2"/>
  <c r="AL884" i="2"/>
  <c r="AK884" i="2"/>
  <c r="AN883" i="2"/>
  <c r="AM883" i="2"/>
  <c r="AL883" i="2"/>
  <c r="AK883" i="2"/>
  <c r="AN882" i="2"/>
  <c r="AM882" i="2"/>
  <c r="AL882" i="2"/>
  <c r="AK882" i="2"/>
  <c r="AN881" i="2"/>
  <c r="AM881" i="2"/>
  <c r="AL881" i="2"/>
  <c r="AK881" i="2"/>
  <c r="AN880" i="2"/>
  <c r="AM880" i="2"/>
  <c r="AL880" i="2"/>
  <c r="AK880" i="2"/>
  <c r="AN879" i="2"/>
  <c r="AM879" i="2"/>
  <c r="AL879" i="2"/>
  <c r="AK879" i="2"/>
  <c r="AN878" i="2"/>
  <c r="AM878" i="2"/>
  <c r="AL878" i="2"/>
  <c r="AK878" i="2"/>
  <c r="AN877" i="2"/>
  <c r="AM877" i="2"/>
  <c r="AL877" i="2"/>
  <c r="AK877" i="2"/>
  <c r="AN876" i="2"/>
  <c r="AM876" i="2"/>
  <c r="AL876" i="2"/>
  <c r="AK876" i="2"/>
  <c r="AN875" i="2"/>
  <c r="AM875" i="2"/>
  <c r="AL875" i="2"/>
  <c r="AK875" i="2"/>
  <c r="AN874" i="2"/>
  <c r="AM874" i="2"/>
  <c r="AL874" i="2"/>
  <c r="AK874" i="2"/>
  <c r="AN873" i="2"/>
  <c r="AM873" i="2"/>
  <c r="AL873" i="2"/>
  <c r="AK873" i="2"/>
  <c r="AN872" i="2"/>
  <c r="AM872" i="2"/>
  <c r="AL872" i="2"/>
  <c r="AK872" i="2"/>
  <c r="AN871" i="2"/>
  <c r="AM871" i="2"/>
  <c r="AL871" i="2"/>
  <c r="AK871" i="2"/>
  <c r="AN870" i="2"/>
  <c r="AM870" i="2"/>
  <c r="AL870" i="2"/>
  <c r="AK870" i="2"/>
  <c r="AN869" i="2"/>
  <c r="AM869" i="2"/>
  <c r="AL869" i="2"/>
  <c r="AK869" i="2"/>
  <c r="AN868" i="2"/>
  <c r="AM868" i="2"/>
  <c r="AL868" i="2"/>
  <c r="AK868" i="2"/>
  <c r="AN867" i="2"/>
  <c r="AM867" i="2"/>
  <c r="AL867" i="2"/>
  <c r="AK867" i="2"/>
  <c r="AN866" i="2"/>
  <c r="AM866" i="2"/>
  <c r="AL866" i="2"/>
  <c r="AK866" i="2"/>
  <c r="AN865" i="2"/>
  <c r="AM865" i="2"/>
  <c r="AL865" i="2"/>
  <c r="AK865" i="2"/>
  <c r="AN864" i="2"/>
  <c r="AM864" i="2"/>
  <c r="AL864" i="2"/>
  <c r="AK864" i="2"/>
  <c r="AN863" i="2"/>
  <c r="AM863" i="2"/>
  <c r="AL863" i="2"/>
  <c r="AK863" i="2"/>
  <c r="AN862" i="2"/>
  <c r="AM862" i="2"/>
  <c r="AL862" i="2"/>
  <c r="AK862" i="2"/>
  <c r="AN861" i="2"/>
  <c r="AM861" i="2"/>
  <c r="AL861" i="2"/>
  <c r="AK861" i="2"/>
  <c r="AN860" i="2"/>
  <c r="AM860" i="2"/>
  <c r="AL860" i="2"/>
  <c r="AK860" i="2"/>
  <c r="AN859" i="2"/>
  <c r="AM859" i="2"/>
  <c r="AL859" i="2"/>
  <c r="AK859" i="2"/>
  <c r="AN858" i="2"/>
  <c r="AM858" i="2"/>
  <c r="AL858" i="2"/>
  <c r="AK858" i="2"/>
  <c r="AN857" i="2"/>
  <c r="AM857" i="2"/>
  <c r="AL857" i="2"/>
  <c r="AK857" i="2"/>
  <c r="AN856" i="2"/>
  <c r="AM856" i="2"/>
  <c r="AL856" i="2"/>
  <c r="AK856" i="2"/>
  <c r="AN855" i="2"/>
  <c r="AM855" i="2"/>
  <c r="AL855" i="2"/>
  <c r="AK855" i="2"/>
  <c r="AN854" i="2"/>
  <c r="AM854" i="2"/>
  <c r="AL854" i="2"/>
  <c r="AK854" i="2"/>
  <c r="AN853" i="2"/>
  <c r="AM853" i="2"/>
  <c r="AL853" i="2"/>
  <c r="AK853" i="2"/>
  <c r="AN852" i="2"/>
  <c r="AM852" i="2"/>
  <c r="AL852" i="2"/>
  <c r="AK852" i="2"/>
  <c r="AN851" i="2"/>
  <c r="AM851" i="2"/>
  <c r="AL851" i="2"/>
  <c r="AK851" i="2"/>
  <c r="AN850" i="2"/>
  <c r="AM850" i="2"/>
  <c r="AL850" i="2"/>
  <c r="AK850" i="2"/>
  <c r="AN849" i="2"/>
  <c r="AM849" i="2"/>
  <c r="AL849" i="2"/>
  <c r="AK849" i="2"/>
  <c r="AN848" i="2"/>
  <c r="AM848" i="2"/>
  <c r="AL848" i="2"/>
  <c r="AK848" i="2"/>
  <c r="AN847" i="2"/>
  <c r="AM847" i="2"/>
  <c r="AL847" i="2"/>
  <c r="AK847" i="2"/>
  <c r="AN846" i="2"/>
  <c r="AM846" i="2"/>
  <c r="AL846" i="2"/>
  <c r="AK846" i="2"/>
  <c r="AN845" i="2"/>
  <c r="AM845" i="2"/>
  <c r="AL845" i="2"/>
  <c r="AK845" i="2"/>
  <c r="AN844" i="2"/>
  <c r="AM844" i="2"/>
  <c r="AL844" i="2"/>
  <c r="AK844" i="2"/>
  <c r="AN843" i="2"/>
  <c r="AM843" i="2"/>
  <c r="AL843" i="2"/>
  <c r="AK843" i="2"/>
  <c r="AN842" i="2"/>
  <c r="AM842" i="2"/>
  <c r="AL842" i="2"/>
  <c r="AK842" i="2"/>
  <c r="AN841" i="2"/>
  <c r="AM841" i="2"/>
  <c r="AL841" i="2"/>
  <c r="AK841" i="2"/>
  <c r="AN840" i="2"/>
  <c r="AM840" i="2"/>
  <c r="AL840" i="2"/>
  <c r="AK840" i="2"/>
  <c r="AN839" i="2"/>
  <c r="AM839" i="2"/>
  <c r="AL839" i="2"/>
  <c r="AK839" i="2"/>
  <c r="AN838" i="2"/>
  <c r="AM838" i="2"/>
  <c r="AL838" i="2"/>
  <c r="AK838" i="2"/>
  <c r="AN837" i="2"/>
  <c r="AM837" i="2"/>
  <c r="AL837" i="2"/>
  <c r="AK837" i="2"/>
  <c r="AN836" i="2"/>
  <c r="AM836" i="2"/>
  <c r="AL836" i="2"/>
  <c r="AK836" i="2"/>
  <c r="AN835" i="2"/>
  <c r="AM835" i="2"/>
  <c r="AL835" i="2"/>
  <c r="AK835" i="2"/>
  <c r="AN834" i="2"/>
  <c r="AM834" i="2"/>
  <c r="AL834" i="2"/>
  <c r="AK834" i="2"/>
  <c r="AN833" i="2"/>
  <c r="AM833" i="2"/>
  <c r="AL833" i="2"/>
  <c r="AK833" i="2"/>
  <c r="AN832" i="2"/>
  <c r="AM832" i="2"/>
  <c r="AL832" i="2"/>
  <c r="AK832" i="2"/>
  <c r="AN831" i="2"/>
  <c r="AM831" i="2"/>
  <c r="AL831" i="2"/>
  <c r="AK831" i="2"/>
  <c r="AN830" i="2"/>
  <c r="AM830" i="2"/>
  <c r="AL830" i="2"/>
  <c r="AK830" i="2"/>
  <c r="AN829" i="2"/>
  <c r="AM829" i="2"/>
  <c r="AL829" i="2"/>
  <c r="AK829" i="2"/>
  <c r="AN828" i="2"/>
  <c r="AM828" i="2"/>
  <c r="AL828" i="2"/>
  <c r="AK828" i="2"/>
  <c r="AN827" i="2"/>
  <c r="AM827" i="2"/>
  <c r="AL827" i="2"/>
  <c r="AK827" i="2"/>
  <c r="AN826" i="2"/>
  <c r="AM826" i="2"/>
  <c r="AL826" i="2"/>
  <c r="AK826" i="2"/>
  <c r="AN825" i="2"/>
  <c r="AM825" i="2"/>
  <c r="AL825" i="2"/>
  <c r="AK825" i="2"/>
  <c r="AN824" i="2"/>
  <c r="AM824" i="2"/>
  <c r="AL824" i="2"/>
  <c r="AK824" i="2"/>
  <c r="AN823" i="2"/>
  <c r="AM823" i="2"/>
  <c r="AL823" i="2"/>
  <c r="AK823" i="2"/>
  <c r="AN822" i="2"/>
  <c r="AM822" i="2"/>
  <c r="AL822" i="2"/>
  <c r="AK822" i="2"/>
  <c r="AN821" i="2"/>
  <c r="AM821" i="2"/>
  <c r="AL821" i="2"/>
  <c r="AK821" i="2"/>
  <c r="AN820" i="2"/>
  <c r="AM820" i="2"/>
  <c r="AL820" i="2"/>
  <c r="AK820" i="2"/>
  <c r="AN819" i="2"/>
  <c r="AM819" i="2"/>
  <c r="AL819" i="2"/>
  <c r="AK819" i="2"/>
  <c r="AN818" i="2"/>
  <c r="AM818" i="2"/>
  <c r="AL818" i="2"/>
  <c r="AK818" i="2"/>
  <c r="AN817" i="2"/>
  <c r="AM817" i="2"/>
  <c r="AL817" i="2"/>
  <c r="AK817" i="2"/>
  <c r="AN816" i="2"/>
  <c r="AM816" i="2"/>
  <c r="AL816" i="2"/>
  <c r="AK816" i="2"/>
  <c r="AN815" i="2"/>
  <c r="AM815" i="2"/>
  <c r="AL815" i="2"/>
  <c r="AK815" i="2"/>
  <c r="AN814" i="2"/>
  <c r="AM814" i="2"/>
  <c r="AL814" i="2"/>
  <c r="AK814" i="2"/>
  <c r="AN813" i="2"/>
  <c r="AM813" i="2"/>
  <c r="AL813" i="2"/>
  <c r="AK813" i="2"/>
  <c r="AN812" i="2"/>
  <c r="AM812" i="2"/>
  <c r="AL812" i="2"/>
  <c r="AK812" i="2"/>
  <c r="AN811" i="2"/>
  <c r="AM811" i="2"/>
  <c r="AL811" i="2"/>
  <c r="AK811" i="2"/>
  <c r="AN810" i="2"/>
  <c r="AM810" i="2"/>
  <c r="AL810" i="2"/>
  <c r="AK810" i="2"/>
  <c r="AN809" i="2"/>
  <c r="AM809" i="2"/>
  <c r="AL809" i="2"/>
  <c r="AK809" i="2"/>
  <c r="AN808" i="2"/>
  <c r="AM808" i="2"/>
  <c r="AL808" i="2"/>
  <c r="AK808" i="2"/>
  <c r="AN807" i="2"/>
  <c r="AM807" i="2"/>
  <c r="AL807" i="2"/>
  <c r="AK807" i="2"/>
  <c r="AN806" i="2"/>
  <c r="AM806" i="2"/>
  <c r="AL806" i="2"/>
  <c r="AK806" i="2"/>
  <c r="AN805" i="2"/>
  <c r="AM805" i="2"/>
  <c r="AL805" i="2"/>
  <c r="AK805" i="2"/>
  <c r="AN804" i="2"/>
  <c r="AM804" i="2"/>
  <c r="AL804" i="2"/>
  <c r="AK804" i="2"/>
  <c r="AN803" i="2"/>
  <c r="AM803" i="2"/>
  <c r="AL803" i="2"/>
  <c r="AK803" i="2"/>
  <c r="AN802" i="2"/>
  <c r="AM802" i="2"/>
  <c r="AL802" i="2"/>
  <c r="AK802" i="2"/>
  <c r="AN801" i="2"/>
  <c r="AM801" i="2"/>
  <c r="AL801" i="2"/>
  <c r="AK801" i="2"/>
  <c r="AN800" i="2"/>
  <c r="AM800" i="2"/>
  <c r="AL800" i="2"/>
  <c r="AK800" i="2"/>
  <c r="AN799" i="2"/>
  <c r="AM799" i="2"/>
  <c r="AL799" i="2"/>
  <c r="AK799" i="2"/>
  <c r="AN798" i="2"/>
  <c r="AM798" i="2"/>
  <c r="AL798" i="2"/>
  <c r="AK798" i="2"/>
  <c r="AN797" i="2"/>
  <c r="AM797" i="2"/>
  <c r="AL797" i="2"/>
  <c r="AK797" i="2"/>
  <c r="AN796" i="2"/>
  <c r="AM796" i="2"/>
  <c r="AL796" i="2"/>
  <c r="AK796" i="2"/>
  <c r="AN795" i="2"/>
  <c r="AM795" i="2"/>
  <c r="AL795" i="2"/>
  <c r="AK795" i="2"/>
  <c r="AN794" i="2"/>
  <c r="AM794" i="2"/>
  <c r="AL794" i="2"/>
  <c r="AK794" i="2"/>
  <c r="AN793" i="2"/>
  <c r="AM793" i="2"/>
  <c r="AL793" i="2"/>
  <c r="AK793" i="2"/>
  <c r="AN792" i="2"/>
  <c r="AM792" i="2"/>
  <c r="AL792" i="2"/>
  <c r="AK792" i="2"/>
  <c r="AN791" i="2"/>
  <c r="AM791" i="2"/>
  <c r="AL791" i="2"/>
  <c r="AK791" i="2"/>
  <c r="AN790" i="2"/>
  <c r="AM790" i="2"/>
  <c r="AL790" i="2"/>
  <c r="AK790" i="2"/>
  <c r="AN789" i="2"/>
  <c r="AM789" i="2"/>
  <c r="AL789" i="2"/>
  <c r="AK789" i="2"/>
  <c r="AN788" i="2"/>
  <c r="AM788" i="2"/>
  <c r="AL788" i="2"/>
  <c r="AK788" i="2"/>
  <c r="AN787" i="2"/>
  <c r="AM787" i="2"/>
  <c r="AL787" i="2"/>
  <c r="AK787" i="2"/>
  <c r="AN786" i="2"/>
  <c r="AM786" i="2"/>
  <c r="AL786" i="2"/>
  <c r="AK786" i="2"/>
  <c r="AN785" i="2"/>
  <c r="AM785" i="2"/>
  <c r="AL785" i="2"/>
  <c r="AK785" i="2"/>
  <c r="AN784" i="2"/>
  <c r="AM784" i="2"/>
  <c r="AL784" i="2"/>
  <c r="AK784" i="2"/>
  <c r="AN783" i="2"/>
  <c r="AM783" i="2"/>
  <c r="AL783" i="2"/>
  <c r="AK783" i="2"/>
  <c r="AN782" i="2"/>
  <c r="AM782" i="2"/>
  <c r="AL782" i="2"/>
  <c r="AK782" i="2"/>
  <c r="AN781" i="2"/>
  <c r="AM781" i="2"/>
  <c r="AL781" i="2"/>
  <c r="AK781" i="2"/>
  <c r="AN780" i="2"/>
  <c r="AM780" i="2"/>
  <c r="AL780" i="2"/>
  <c r="AK780" i="2"/>
  <c r="AN779" i="2"/>
  <c r="AM779" i="2"/>
  <c r="AL779" i="2"/>
  <c r="AK779" i="2"/>
  <c r="AN778" i="2"/>
  <c r="AM778" i="2"/>
  <c r="AL778" i="2"/>
  <c r="AK778" i="2"/>
  <c r="AN777" i="2"/>
  <c r="AM777" i="2"/>
  <c r="AL777" i="2"/>
  <c r="AK777" i="2"/>
  <c r="AN776" i="2"/>
  <c r="AM776" i="2"/>
  <c r="AL776" i="2"/>
  <c r="AK776" i="2"/>
  <c r="AN775" i="2"/>
  <c r="AM775" i="2"/>
  <c r="AL775" i="2"/>
  <c r="AK775" i="2"/>
  <c r="AN774" i="2"/>
  <c r="AM774" i="2"/>
  <c r="AL774" i="2"/>
  <c r="AK774" i="2"/>
  <c r="AN773" i="2"/>
  <c r="AM773" i="2"/>
  <c r="AL773" i="2"/>
  <c r="AK773" i="2"/>
  <c r="AN772" i="2"/>
  <c r="AM772" i="2"/>
  <c r="AL772" i="2"/>
  <c r="AK772" i="2"/>
  <c r="AN771" i="2"/>
  <c r="AM771" i="2"/>
  <c r="AL771" i="2"/>
  <c r="AK771" i="2"/>
  <c r="AN770" i="2"/>
  <c r="AM770" i="2"/>
  <c r="AL770" i="2"/>
  <c r="AK770" i="2"/>
  <c r="AN769" i="2"/>
  <c r="AM769" i="2"/>
  <c r="AL769" i="2"/>
  <c r="AK769" i="2"/>
  <c r="AN768" i="2"/>
  <c r="AM768" i="2"/>
  <c r="AL768" i="2"/>
  <c r="AK768" i="2"/>
  <c r="AN767" i="2"/>
  <c r="AM767" i="2"/>
  <c r="AL767" i="2"/>
  <c r="AK767" i="2"/>
  <c r="AN766" i="2"/>
  <c r="AM766" i="2"/>
  <c r="AL766" i="2"/>
  <c r="AK766" i="2"/>
  <c r="AN765" i="2"/>
  <c r="AM765" i="2"/>
  <c r="AL765" i="2"/>
  <c r="AK765" i="2"/>
  <c r="AN764" i="2"/>
  <c r="AM764" i="2"/>
  <c r="AL764" i="2"/>
  <c r="AK764" i="2"/>
  <c r="AN763" i="2"/>
  <c r="AM763" i="2"/>
  <c r="AL763" i="2"/>
  <c r="AK763" i="2"/>
  <c r="AN762" i="2"/>
  <c r="AM762" i="2"/>
  <c r="AL762" i="2"/>
  <c r="AK762" i="2"/>
  <c r="AN761" i="2"/>
  <c r="AM761" i="2"/>
  <c r="AL761" i="2"/>
  <c r="AK761" i="2"/>
  <c r="AN760" i="2"/>
  <c r="AM760" i="2"/>
  <c r="AL760" i="2"/>
  <c r="AK760" i="2"/>
  <c r="AN759" i="2"/>
  <c r="AM759" i="2"/>
  <c r="AL759" i="2"/>
  <c r="AK759" i="2"/>
  <c r="AN758" i="2"/>
  <c r="AM758" i="2"/>
  <c r="AL758" i="2"/>
  <c r="AK758" i="2"/>
  <c r="AN757" i="2"/>
  <c r="AM757" i="2"/>
  <c r="AL757" i="2"/>
  <c r="AK757" i="2"/>
  <c r="AN756" i="2"/>
  <c r="AM756" i="2"/>
  <c r="AL756" i="2"/>
  <c r="AK756" i="2"/>
  <c r="AN755" i="2"/>
  <c r="AM755" i="2"/>
  <c r="AL755" i="2"/>
  <c r="AK755" i="2"/>
  <c r="AN754" i="2"/>
  <c r="AM754" i="2"/>
  <c r="AL754" i="2"/>
  <c r="AK754" i="2"/>
  <c r="AN753" i="2"/>
  <c r="AM753" i="2"/>
  <c r="AL753" i="2"/>
  <c r="AK753" i="2"/>
  <c r="AN752" i="2"/>
  <c r="AM752" i="2"/>
  <c r="AL752" i="2"/>
  <c r="AK752" i="2"/>
  <c r="AN751" i="2"/>
  <c r="AM751" i="2"/>
  <c r="AL751" i="2"/>
  <c r="AK751" i="2"/>
  <c r="AN750" i="2"/>
  <c r="AM750" i="2"/>
  <c r="AL750" i="2"/>
  <c r="AK750" i="2"/>
  <c r="AN749" i="2"/>
  <c r="AM749" i="2"/>
  <c r="AL749" i="2"/>
  <c r="AK749" i="2"/>
  <c r="AN748" i="2"/>
  <c r="AM748" i="2"/>
  <c r="AL748" i="2"/>
  <c r="AK748" i="2"/>
  <c r="AN747" i="2"/>
  <c r="AM747" i="2"/>
  <c r="AL747" i="2"/>
  <c r="AK747" i="2"/>
  <c r="AN746" i="2"/>
  <c r="AM746" i="2"/>
  <c r="AL746" i="2"/>
  <c r="AK746" i="2"/>
  <c r="AN745" i="2"/>
  <c r="AM745" i="2"/>
  <c r="AL745" i="2"/>
  <c r="AK745" i="2"/>
  <c r="AN744" i="2"/>
  <c r="AM744" i="2"/>
  <c r="AL744" i="2"/>
  <c r="AK744" i="2"/>
  <c r="AN743" i="2"/>
  <c r="AM743" i="2"/>
  <c r="AL743" i="2"/>
  <c r="AK743" i="2"/>
  <c r="AN742" i="2"/>
  <c r="AM742" i="2"/>
  <c r="AL742" i="2"/>
  <c r="AK742" i="2"/>
  <c r="AN741" i="2"/>
  <c r="AM741" i="2"/>
  <c r="AL741" i="2"/>
  <c r="AK741" i="2"/>
  <c r="AN740" i="2"/>
  <c r="AM740" i="2"/>
  <c r="AL740" i="2"/>
  <c r="AK740" i="2"/>
  <c r="AN739" i="2"/>
  <c r="AM739" i="2"/>
  <c r="AL739" i="2"/>
  <c r="AK739" i="2"/>
  <c r="AN738" i="2"/>
  <c r="AM738" i="2"/>
  <c r="AL738" i="2"/>
  <c r="AK738" i="2"/>
  <c r="AN737" i="2"/>
  <c r="AM737" i="2"/>
  <c r="AL737" i="2"/>
  <c r="AK737" i="2"/>
  <c r="AN736" i="2"/>
  <c r="AM736" i="2"/>
  <c r="AL736" i="2"/>
  <c r="AK736" i="2"/>
  <c r="AN735" i="2"/>
  <c r="AM735" i="2"/>
  <c r="AL735" i="2"/>
  <c r="AK735" i="2"/>
  <c r="AN734" i="2"/>
  <c r="AM734" i="2"/>
  <c r="AL734" i="2"/>
  <c r="AK734" i="2"/>
  <c r="AN733" i="2"/>
  <c r="AM733" i="2"/>
  <c r="AL733" i="2"/>
  <c r="AK733" i="2"/>
  <c r="AN732" i="2"/>
  <c r="AM732" i="2"/>
  <c r="AL732" i="2"/>
  <c r="AK732" i="2"/>
  <c r="AN731" i="2"/>
  <c r="AM731" i="2"/>
  <c r="AL731" i="2"/>
  <c r="AK731" i="2"/>
  <c r="AN730" i="2"/>
  <c r="AM730" i="2"/>
  <c r="AL730" i="2"/>
  <c r="AK730" i="2"/>
  <c r="AN729" i="2"/>
  <c r="AM729" i="2"/>
  <c r="AL729" i="2"/>
  <c r="AK729" i="2"/>
  <c r="AN728" i="2"/>
  <c r="AM728" i="2"/>
  <c r="AL728" i="2"/>
  <c r="AK728" i="2"/>
  <c r="AN727" i="2"/>
  <c r="AM727" i="2"/>
  <c r="AL727" i="2"/>
  <c r="AK727" i="2"/>
  <c r="AN726" i="2"/>
  <c r="AM726" i="2"/>
  <c r="AL726" i="2"/>
  <c r="AK726" i="2"/>
  <c r="AN725" i="2"/>
  <c r="AM725" i="2"/>
  <c r="AL725" i="2"/>
  <c r="AK725" i="2"/>
  <c r="AN724" i="2"/>
  <c r="AM724" i="2"/>
  <c r="AL724" i="2"/>
  <c r="AK724" i="2"/>
  <c r="AN723" i="2"/>
  <c r="AM723" i="2"/>
  <c r="AL723" i="2"/>
  <c r="AK723" i="2"/>
  <c r="AN722" i="2"/>
  <c r="AM722" i="2"/>
  <c r="AL722" i="2"/>
  <c r="AK722" i="2"/>
  <c r="AN721" i="2"/>
  <c r="AM721" i="2"/>
  <c r="AL721" i="2"/>
  <c r="AK721" i="2"/>
  <c r="AN720" i="2"/>
  <c r="AM720" i="2"/>
  <c r="AL720" i="2"/>
  <c r="AK720" i="2"/>
  <c r="AN719" i="2"/>
  <c r="AM719" i="2"/>
  <c r="AL719" i="2"/>
  <c r="AK719" i="2"/>
  <c r="AN718" i="2"/>
  <c r="AM718" i="2"/>
  <c r="AL718" i="2"/>
  <c r="AK718" i="2"/>
  <c r="AN717" i="2"/>
  <c r="AM717" i="2"/>
  <c r="AL717" i="2"/>
  <c r="AK717" i="2"/>
  <c r="AN716" i="2"/>
  <c r="AM716" i="2"/>
  <c r="AL716" i="2"/>
  <c r="AK716" i="2"/>
  <c r="AN715" i="2"/>
  <c r="AM715" i="2"/>
  <c r="AL715" i="2"/>
  <c r="AK715" i="2"/>
  <c r="AN714" i="2"/>
  <c r="AM714" i="2"/>
  <c r="AL714" i="2"/>
  <c r="AK714" i="2"/>
  <c r="AN713" i="2"/>
  <c r="AM713" i="2"/>
  <c r="AL713" i="2"/>
  <c r="AK713" i="2"/>
  <c r="AN712" i="2"/>
  <c r="AM712" i="2"/>
  <c r="AL712" i="2"/>
  <c r="AK712" i="2"/>
  <c r="AN711" i="2"/>
  <c r="AM711" i="2"/>
  <c r="AL711" i="2"/>
  <c r="AK711" i="2"/>
  <c r="AN710" i="2"/>
  <c r="AM710" i="2"/>
  <c r="AL710" i="2"/>
  <c r="AK710" i="2"/>
  <c r="AN709" i="2"/>
  <c r="AM709" i="2"/>
  <c r="AL709" i="2"/>
  <c r="AK709" i="2"/>
  <c r="AN708" i="2"/>
  <c r="AM708" i="2"/>
  <c r="AL708" i="2"/>
  <c r="AK708" i="2"/>
  <c r="AN707" i="2"/>
  <c r="AM707" i="2"/>
  <c r="AL707" i="2"/>
  <c r="AK707" i="2"/>
  <c r="AN706" i="2"/>
  <c r="AM706" i="2"/>
  <c r="AL706" i="2"/>
  <c r="AK706" i="2"/>
  <c r="AN705" i="2"/>
  <c r="AM705" i="2"/>
  <c r="AL705" i="2"/>
  <c r="AK705" i="2"/>
  <c r="AN704" i="2"/>
  <c r="AM704" i="2"/>
  <c r="AL704" i="2"/>
  <c r="AK704" i="2"/>
  <c r="AN703" i="2"/>
  <c r="AM703" i="2"/>
  <c r="AL703" i="2"/>
  <c r="AK703" i="2"/>
  <c r="AN702" i="2"/>
  <c r="AM702" i="2"/>
  <c r="AL702" i="2"/>
  <c r="AK702" i="2"/>
  <c r="AN701" i="2"/>
  <c r="AM701" i="2"/>
  <c r="AL701" i="2"/>
  <c r="AK701" i="2"/>
  <c r="AN700" i="2"/>
  <c r="AM700" i="2"/>
  <c r="AL700" i="2"/>
  <c r="AK700" i="2"/>
  <c r="AN699" i="2"/>
  <c r="AM699" i="2"/>
  <c r="AL699" i="2"/>
  <c r="AK699" i="2"/>
  <c r="AN698" i="2"/>
  <c r="AM698" i="2"/>
  <c r="AL698" i="2"/>
  <c r="AK698" i="2"/>
  <c r="AN697" i="2"/>
  <c r="AM697" i="2"/>
  <c r="AL697" i="2"/>
  <c r="AK697" i="2"/>
  <c r="AN696" i="2"/>
  <c r="AM696" i="2"/>
  <c r="AL696" i="2"/>
  <c r="AK696" i="2"/>
  <c r="AN695" i="2"/>
  <c r="AM695" i="2"/>
  <c r="AL695" i="2"/>
  <c r="AK695" i="2"/>
  <c r="AN694" i="2"/>
  <c r="AM694" i="2"/>
  <c r="AL694" i="2"/>
  <c r="AK694" i="2"/>
  <c r="AN693" i="2"/>
  <c r="AM693" i="2"/>
  <c r="AL693" i="2"/>
  <c r="AK693" i="2"/>
  <c r="AN692" i="2"/>
  <c r="AM692" i="2"/>
  <c r="AL692" i="2"/>
  <c r="AK692" i="2"/>
  <c r="AN691" i="2"/>
  <c r="AM691" i="2"/>
  <c r="AL691" i="2"/>
  <c r="AK691" i="2"/>
  <c r="AN690" i="2"/>
  <c r="AM690" i="2"/>
  <c r="AL690" i="2"/>
  <c r="AK690" i="2"/>
  <c r="AN689" i="2"/>
  <c r="AM689" i="2"/>
  <c r="AL689" i="2"/>
  <c r="AK689" i="2"/>
  <c r="AN688" i="2"/>
  <c r="AM688" i="2"/>
  <c r="AL688" i="2"/>
  <c r="AK688" i="2"/>
  <c r="AN687" i="2"/>
  <c r="AM687" i="2"/>
  <c r="AL687" i="2"/>
  <c r="AK687" i="2"/>
  <c r="AN686" i="2"/>
  <c r="AM686" i="2"/>
  <c r="AL686" i="2"/>
  <c r="AK686" i="2"/>
  <c r="AN685" i="2"/>
  <c r="AM685" i="2"/>
  <c r="AL685" i="2"/>
  <c r="AK685" i="2"/>
  <c r="AN684" i="2"/>
  <c r="AM684" i="2"/>
  <c r="AL684" i="2"/>
  <c r="AK684" i="2"/>
  <c r="AN683" i="2"/>
  <c r="AM683" i="2"/>
  <c r="AL683" i="2"/>
  <c r="AK683" i="2"/>
  <c r="AN682" i="2"/>
  <c r="AM682" i="2"/>
  <c r="AL682" i="2"/>
  <c r="AK682" i="2"/>
  <c r="AN681" i="2"/>
  <c r="AM681" i="2"/>
  <c r="AL681" i="2"/>
  <c r="AK681" i="2"/>
  <c r="AN680" i="2"/>
  <c r="AM680" i="2"/>
  <c r="AL680" i="2"/>
  <c r="AK680" i="2"/>
  <c r="AN679" i="2"/>
  <c r="AM679" i="2"/>
  <c r="AL679" i="2"/>
  <c r="AK679" i="2"/>
  <c r="AN678" i="2"/>
  <c r="AM678" i="2"/>
  <c r="AL678" i="2"/>
  <c r="AK678" i="2"/>
  <c r="AN677" i="2"/>
  <c r="AM677" i="2"/>
  <c r="AL677" i="2"/>
  <c r="AK677" i="2"/>
  <c r="AN676" i="2"/>
  <c r="AM676" i="2"/>
  <c r="AL676" i="2"/>
  <c r="AK676" i="2"/>
  <c r="AN675" i="2"/>
  <c r="AM675" i="2"/>
  <c r="AL675" i="2"/>
  <c r="AK675" i="2"/>
  <c r="AN674" i="2"/>
  <c r="AM674" i="2"/>
  <c r="AL674" i="2"/>
  <c r="AK674" i="2"/>
  <c r="AN673" i="2"/>
  <c r="AM673" i="2"/>
  <c r="AL673" i="2"/>
  <c r="AK673" i="2"/>
  <c r="AN672" i="2"/>
  <c r="AM672" i="2"/>
  <c r="AL672" i="2"/>
  <c r="AK672" i="2"/>
  <c r="AN671" i="2"/>
  <c r="AM671" i="2"/>
  <c r="AL671" i="2"/>
  <c r="AK671" i="2"/>
  <c r="AN670" i="2"/>
  <c r="AM670" i="2"/>
  <c r="AL670" i="2"/>
  <c r="AK670" i="2"/>
  <c r="AN669" i="2"/>
  <c r="AM669" i="2"/>
  <c r="AL669" i="2"/>
  <c r="AK669" i="2"/>
  <c r="AN668" i="2"/>
  <c r="AM668" i="2"/>
  <c r="AL668" i="2"/>
  <c r="AK668" i="2"/>
  <c r="AN667" i="2"/>
  <c r="AM667" i="2"/>
  <c r="AL667" i="2"/>
  <c r="AK667" i="2"/>
  <c r="AN666" i="2"/>
  <c r="AM666" i="2"/>
  <c r="AL666" i="2"/>
  <c r="AK666" i="2"/>
  <c r="AN665" i="2"/>
  <c r="AM665" i="2"/>
  <c r="AL665" i="2"/>
  <c r="AK665" i="2"/>
  <c r="AN664" i="2"/>
  <c r="AM664" i="2"/>
  <c r="AL664" i="2"/>
  <c r="AK664" i="2"/>
  <c r="AN663" i="2"/>
  <c r="AM663" i="2"/>
  <c r="AL663" i="2"/>
  <c r="AK663" i="2"/>
  <c r="AN662" i="2"/>
  <c r="AM662" i="2"/>
  <c r="AL662" i="2"/>
  <c r="AK662" i="2"/>
  <c r="AN661" i="2"/>
  <c r="AM661" i="2"/>
  <c r="AL661" i="2"/>
  <c r="AK661" i="2"/>
  <c r="AN660" i="2"/>
  <c r="AM660" i="2"/>
  <c r="AL660" i="2"/>
  <c r="AK660" i="2"/>
  <c r="AN659" i="2"/>
  <c r="AM659" i="2"/>
  <c r="AL659" i="2"/>
  <c r="AK659" i="2"/>
  <c r="AN658" i="2"/>
  <c r="AM658" i="2"/>
  <c r="AL658" i="2"/>
  <c r="AK658" i="2"/>
  <c r="AN657" i="2"/>
  <c r="AM657" i="2"/>
  <c r="AL657" i="2"/>
  <c r="AK657" i="2"/>
  <c r="AN656" i="2"/>
  <c r="AM656" i="2"/>
  <c r="AL656" i="2"/>
  <c r="AK656" i="2"/>
  <c r="AN655" i="2"/>
  <c r="AM655" i="2"/>
  <c r="AL655" i="2"/>
  <c r="AK655" i="2"/>
  <c r="AN654" i="2"/>
  <c r="AM654" i="2"/>
  <c r="AL654" i="2"/>
  <c r="AK654" i="2"/>
  <c r="AN653" i="2"/>
  <c r="AM653" i="2"/>
  <c r="AL653" i="2"/>
  <c r="AK653" i="2"/>
  <c r="AN652" i="2"/>
  <c r="AM652" i="2"/>
  <c r="AL652" i="2"/>
  <c r="AK652" i="2"/>
  <c r="AN651" i="2"/>
  <c r="AM651" i="2"/>
  <c r="AL651" i="2"/>
  <c r="AK651" i="2"/>
  <c r="AN650" i="2"/>
  <c r="AM650" i="2"/>
  <c r="AL650" i="2"/>
  <c r="AK650" i="2"/>
  <c r="AN649" i="2"/>
  <c r="AM649" i="2"/>
  <c r="AL649" i="2"/>
  <c r="AK649" i="2"/>
  <c r="AN648" i="2"/>
  <c r="AM648" i="2"/>
  <c r="AL648" i="2"/>
  <c r="AK648" i="2"/>
  <c r="AN647" i="2"/>
  <c r="AM647" i="2"/>
  <c r="AL647" i="2"/>
  <c r="AK647" i="2"/>
  <c r="AN646" i="2"/>
  <c r="AM646" i="2"/>
  <c r="AL646" i="2"/>
  <c r="AK646" i="2"/>
  <c r="AN645" i="2"/>
  <c r="AM645" i="2"/>
  <c r="AL645" i="2"/>
  <c r="AK645" i="2"/>
  <c r="AN644" i="2"/>
  <c r="AM644" i="2"/>
  <c r="AL644" i="2"/>
  <c r="AK644" i="2"/>
  <c r="AN643" i="2"/>
  <c r="AM643" i="2"/>
  <c r="AL643" i="2"/>
  <c r="AK643" i="2"/>
  <c r="AN642" i="2"/>
  <c r="AM642" i="2"/>
  <c r="AL642" i="2"/>
  <c r="AK642" i="2"/>
  <c r="AN641" i="2"/>
  <c r="AM641" i="2"/>
  <c r="AL641" i="2"/>
  <c r="AK641" i="2"/>
  <c r="AN640" i="2"/>
  <c r="AM640" i="2"/>
  <c r="AL640" i="2"/>
  <c r="AK640" i="2"/>
  <c r="AN639" i="2"/>
  <c r="AM639" i="2"/>
  <c r="AL639" i="2"/>
  <c r="AK639" i="2"/>
  <c r="AN638" i="2"/>
  <c r="AM638" i="2"/>
  <c r="AL638" i="2"/>
  <c r="AK638" i="2"/>
  <c r="AN637" i="2"/>
  <c r="AM637" i="2"/>
  <c r="AL637" i="2"/>
  <c r="AK637" i="2"/>
  <c r="AN636" i="2"/>
  <c r="AM636" i="2"/>
  <c r="AL636" i="2"/>
  <c r="AK636" i="2"/>
  <c r="AN635" i="2"/>
  <c r="AM635" i="2"/>
  <c r="AL635" i="2"/>
  <c r="AK635" i="2"/>
  <c r="AN634" i="2"/>
  <c r="AM634" i="2"/>
  <c r="AL634" i="2"/>
  <c r="AK634" i="2"/>
  <c r="AN633" i="2"/>
  <c r="AM633" i="2"/>
  <c r="AL633" i="2"/>
  <c r="AK633" i="2"/>
  <c r="AN632" i="2"/>
  <c r="AM632" i="2"/>
  <c r="AL632" i="2"/>
  <c r="AK632" i="2"/>
  <c r="AN631" i="2"/>
  <c r="AM631" i="2"/>
  <c r="AL631" i="2"/>
  <c r="AK631" i="2"/>
  <c r="AN630" i="2"/>
  <c r="AM630" i="2"/>
  <c r="AL630" i="2"/>
  <c r="AK630" i="2"/>
  <c r="AN629" i="2"/>
  <c r="AM629" i="2"/>
  <c r="AL629" i="2"/>
  <c r="AK629" i="2"/>
  <c r="AN628" i="2"/>
  <c r="AM628" i="2"/>
  <c r="AL628" i="2"/>
  <c r="AK628" i="2"/>
  <c r="AN627" i="2"/>
  <c r="AM627" i="2"/>
  <c r="AL627" i="2"/>
  <c r="AK627" i="2"/>
  <c r="AN626" i="2"/>
  <c r="AM626" i="2"/>
  <c r="AL626" i="2"/>
  <c r="AK626" i="2"/>
  <c r="AN625" i="2"/>
  <c r="AM625" i="2"/>
  <c r="AL625" i="2"/>
  <c r="AK625" i="2"/>
  <c r="AN624" i="2"/>
  <c r="AM624" i="2"/>
  <c r="AL624" i="2"/>
  <c r="AK624" i="2"/>
  <c r="AN623" i="2"/>
  <c r="AM623" i="2"/>
  <c r="AL623" i="2"/>
  <c r="AK623" i="2"/>
  <c r="AN622" i="2"/>
  <c r="AM622" i="2"/>
  <c r="AL622" i="2"/>
  <c r="AK622" i="2"/>
  <c r="AN621" i="2"/>
  <c r="AM621" i="2"/>
  <c r="AL621" i="2"/>
  <c r="AK621" i="2"/>
  <c r="AN620" i="2"/>
  <c r="AM620" i="2"/>
  <c r="AL620" i="2"/>
  <c r="AK620" i="2"/>
  <c r="AN619" i="2"/>
  <c r="AM619" i="2"/>
  <c r="AL619" i="2"/>
  <c r="AK619" i="2"/>
  <c r="AN618" i="2"/>
  <c r="AM618" i="2"/>
  <c r="AL618" i="2"/>
  <c r="AK618" i="2"/>
  <c r="AN617" i="2"/>
  <c r="AM617" i="2"/>
  <c r="AL617" i="2"/>
  <c r="AK617" i="2"/>
  <c r="AN616" i="2"/>
  <c r="AM616" i="2"/>
  <c r="AL616" i="2"/>
  <c r="AK616" i="2"/>
  <c r="AN615" i="2"/>
  <c r="AM615" i="2"/>
  <c r="AL615" i="2"/>
  <c r="AK615" i="2"/>
  <c r="AN614" i="2"/>
  <c r="AM614" i="2"/>
  <c r="AL614" i="2"/>
  <c r="AK614" i="2"/>
  <c r="AN613" i="2"/>
  <c r="AM613" i="2"/>
  <c r="AL613" i="2"/>
  <c r="AK613" i="2"/>
  <c r="AN612" i="2"/>
  <c r="AM612" i="2"/>
  <c r="AL612" i="2"/>
  <c r="AK612" i="2"/>
  <c r="AN611" i="2"/>
  <c r="AM611" i="2"/>
  <c r="AL611" i="2"/>
  <c r="AK611" i="2"/>
  <c r="AN610" i="2"/>
  <c r="AM610" i="2"/>
  <c r="AL610" i="2"/>
  <c r="AK610" i="2"/>
  <c r="AN609" i="2"/>
  <c r="AM609" i="2"/>
  <c r="AL609" i="2"/>
  <c r="AK609" i="2"/>
  <c r="AN608" i="2"/>
  <c r="AM608" i="2"/>
  <c r="AL608" i="2"/>
  <c r="AK608" i="2"/>
  <c r="AN607" i="2"/>
  <c r="AM607" i="2"/>
  <c r="AL607" i="2"/>
  <c r="AK607" i="2"/>
  <c r="AN606" i="2"/>
  <c r="AM606" i="2"/>
  <c r="AL606" i="2"/>
  <c r="AK606" i="2"/>
  <c r="AN605" i="2"/>
  <c r="AM605" i="2"/>
  <c r="AL605" i="2"/>
  <c r="AK605" i="2"/>
  <c r="AN604" i="2"/>
  <c r="AM604" i="2"/>
  <c r="AL604" i="2"/>
  <c r="AK604" i="2"/>
  <c r="AN603" i="2"/>
  <c r="AM603" i="2"/>
  <c r="AL603" i="2"/>
  <c r="AK603" i="2"/>
  <c r="AN602" i="2"/>
  <c r="AM602" i="2"/>
  <c r="AL602" i="2"/>
  <c r="AK602" i="2"/>
  <c r="AN601" i="2"/>
  <c r="AM601" i="2"/>
  <c r="AL601" i="2"/>
  <c r="AK601" i="2"/>
  <c r="AN600" i="2"/>
  <c r="AM600" i="2"/>
  <c r="AL600" i="2"/>
  <c r="AK600" i="2"/>
  <c r="AN599" i="2"/>
  <c r="AM599" i="2"/>
  <c r="AL599" i="2"/>
  <c r="AK599" i="2"/>
  <c r="AN598" i="2"/>
  <c r="AM598" i="2"/>
  <c r="AL598" i="2"/>
  <c r="AK598" i="2"/>
  <c r="AN597" i="2"/>
  <c r="AM597" i="2"/>
  <c r="AL597" i="2"/>
  <c r="AK597" i="2"/>
  <c r="AN596" i="2"/>
  <c r="AM596" i="2"/>
  <c r="AL596" i="2"/>
  <c r="AK596" i="2"/>
  <c r="AN595" i="2"/>
  <c r="AM595" i="2"/>
  <c r="AL595" i="2"/>
  <c r="AK595" i="2"/>
  <c r="AN594" i="2"/>
  <c r="AM594" i="2"/>
  <c r="AL594" i="2"/>
  <c r="AK594" i="2"/>
  <c r="AN593" i="2"/>
  <c r="AM593" i="2"/>
  <c r="AL593" i="2"/>
  <c r="AK593" i="2"/>
  <c r="AN592" i="2"/>
  <c r="AM592" i="2"/>
  <c r="AL592" i="2"/>
  <c r="AK592" i="2"/>
  <c r="AN591" i="2"/>
  <c r="AM591" i="2"/>
  <c r="AL591" i="2"/>
  <c r="AK591" i="2"/>
  <c r="AN590" i="2"/>
  <c r="AM590" i="2"/>
  <c r="AL590" i="2"/>
  <c r="AK590" i="2"/>
  <c r="AN589" i="2"/>
  <c r="AM589" i="2"/>
  <c r="AL589" i="2"/>
  <c r="AK589" i="2"/>
  <c r="AN588" i="2"/>
  <c r="AM588" i="2"/>
  <c r="AL588" i="2"/>
  <c r="AK588" i="2"/>
  <c r="AN587" i="2"/>
  <c r="AM587" i="2"/>
  <c r="AL587" i="2"/>
  <c r="AK587" i="2"/>
  <c r="AN586" i="2"/>
  <c r="AM586" i="2"/>
  <c r="AL586" i="2"/>
  <c r="AK586" i="2"/>
  <c r="AN585" i="2"/>
  <c r="AM585" i="2"/>
  <c r="AL585" i="2"/>
  <c r="AK585" i="2"/>
  <c r="AN584" i="2"/>
  <c r="AM584" i="2"/>
  <c r="AL584" i="2"/>
  <c r="AK584" i="2"/>
  <c r="AN583" i="2"/>
  <c r="AM583" i="2"/>
  <c r="AL583" i="2"/>
  <c r="AK583" i="2"/>
  <c r="AN582" i="2"/>
  <c r="AM582" i="2"/>
  <c r="AL582" i="2"/>
  <c r="AK582" i="2"/>
  <c r="AN581" i="2"/>
  <c r="AM581" i="2"/>
  <c r="AL581" i="2"/>
  <c r="AK581" i="2"/>
  <c r="AN580" i="2"/>
  <c r="AM580" i="2"/>
  <c r="AL580" i="2"/>
  <c r="AK580" i="2"/>
  <c r="AN579" i="2"/>
  <c r="AM579" i="2"/>
  <c r="AL579" i="2"/>
  <c r="AK579" i="2"/>
  <c r="AN578" i="2"/>
  <c r="AM578" i="2"/>
  <c r="AL578" i="2"/>
  <c r="AK578" i="2"/>
  <c r="AN577" i="2"/>
  <c r="AM577" i="2"/>
  <c r="AL577" i="2"/>
  <c r="AK577" i="2"/>
  <c r="AN576" i="2"/>
  <c r="AM576" i="2"/>
  <c r="AL576" i="2"/>
  <c r="AK576" i="2"/>
  <c r="AN575" i="2"/>
  <c r="AM575" i="2"/>
  <c r="AL575" i="2"/>
  <c r="AK575" i="2"/>
  <c r="AN574" i="2"/>
  <c r="AM574" i="2"/>
  <c r="AL574" i="2"/>
  <c r="AK574" i="2"/>
  <c r="AN573" i="2"/>
  <c r="AM573" i="2"/>
  <c r="AL573" i="2"/>
  <c r="AK573" i="2"/>
  <c r="AN572" i="2"/>
  <c r="AM572" i="2"/>
  <c r="AL572" i="2"/>
  <c r="AK572" i="2"/>
  <c r="AN571" i="2"/>
  <c r="AM571" i="2"/>
  <c r="AL571" i="2"/>
  <c r="AK571" i="2"/>
  <c r="AN570" i="2"/>
  <c r="AM570" i="2"/>
  <c r="AL570" i="2"/>
  <c r="AK570" i="2"/>
  <c r="AN569" i="2"/>
  <c r="AM569" i="2"/>
  <c r="AL569" i="2"/>
  <c r="AK569" i="2"/>
  <c r="AN568" i="2"/>
  <c r="AM568" i="2"/>
  <c r="AL568" i="2"/>
  <c r="AK568" i="2"/>
  <c r="AN567" i="2"/>
  <c r="AM567" i="2"/>
  <c r="AL567" i="2"/>
  <c r="AK567" i="2"/>
  <c r="AN566" i="2"/>
  <c r="AM566" i="2"/>
  <c r="AL566" i="2"/>
  <c r="AK566" i="2"/>
  <c r="AN565" i="2"/>
  <c r="AM565" i="2"/>
  <c r="AL565" i="2"/>
  <c r="AK565" i="2"/>
  <c r="AN564" i="2"/>
  <c r="AM564" i="2"/>
  <c r="AL564" i="2"/>
  <c r="AK564" i="2"/>
  <c r="AN563" i="2"/>
  <c r="AM563" i="2"/>
  <c r="AL563" i="2"/>
  <c r="AK563" i="2"/>
  <c r="AN562" i="2"/>
  <c r="AM562" i="2"/>
  <c r="AL562" i="2"/>
  <c r="AK562" i="2"/>
  <c r="AN561" i="2"/>
  <c r="AM561" i="2"/>
  <c r="AL561" i="2"/>
  <c r="AK561" i="2"/>
  <c r="AN560" i="2"/>
  <c r="AM560" i="2"/>
  <c r="AL560" i="2"/>
  <c r="AK560" i="2"/>
  <c r="AN559" i="2"/>
  <c r="AM559" i="2"/>
  <c r="AL559" i="2"/>
  <c r="AK559" i="2"/>
  <c r="AN558" i="2"/>
  <c r="AM558" i="2"/>
  <c r="AL558" i="2"/>
  <c r="AK558" i="2"/>
  <c r="AN557" i="2"/>
  <c r="AM557" i="2"/>
  <c r="AL557" i="2"/>
  <c r="AK557" i="2"/>
  <c r="AN556" i="2"/>
  <c r="AM556" i="2"/>
  <c r="AL556" i="2"/>
  <c r="AK556" i="2"/>
  <c r="AN555" i="2"/>
  <c r="AM555" i="2"/>
  <c r="AL555" i="2"/>
  <c r="AK555" i="2"/>
  <c r="AN554" i="2"/>
  <c r="AM554" i="2"/>
  <c r="AL554" i="2"/>
  <c r="AK554" i="2"/>
  <c r="AN553" i="2"/>
  <c r="AM553" i="2"/>
  <c r="AL553" i="2"/>
  <c r="AK553" i="2"/>
  <c r="AN552" i="2"/>
  <c r="AM552" i="2"/>
  <c r="AL552" i="2"/>
  <c r="AK552" i="2"/>
  <c r="AN551" i="2"/>
  <c r="AM551" i="2"/>
  <c r="AL551" i="2"/>
  <c r="AK551" i="2"/>
  <c r="AN550" i="2"/>
  <c r="AM550" i="2"/>
  <c r="AL550" i="2"/>
  <c r="AK550" i="2"/>
  <c r="AN549" i="2"/>
  <c r="AM549" i="2"/>
  <c r="AL549" i="2"/>
  <c r="AK549" i="2"/>
  <c r="AN548" i="2"/>
  <c r="AM548" i="2"/>
  <c r="AL548" i="2"/>
  <c r="AK548" i="2"/>
  <c r="AN547" i="2"/>
  <c r="AM547" i="2"/>
  <c r="AL547" i="2"/>
  <c r="AK547" i="2"/>
  <c r="AN546" i="2"/>
  <c r="AM546" i="2"/>
  <c r="AL546" i="2"/>
  <c r="AK546" i="2"/>
  <c r="AN545" i="2"/>
  <c r="AM545" i="2"/>
  <c r="AL545" i="2"/>
  <c r="AK545" i="2"/>
  <c r="AN544" i="2"/>
  <c r="AM544" i="2"/>
  <c r="AL544" i="2"/>
  <c r="AK544" i="2"/>
  <c r="AN543" i="2"/>
  <c r="AM543" i="2"/>
  <c r="AL543" i="2"/>
  <c r="AK543" i="2"/>
  <c r="AN542" i="2"/>
  <c r="AM542" i="2"/>
  <c r="AL542" i="2"/>
  <c r="AK542" i="2"/>
  <c r="AN541" i="2"/>
  <c r="AM541" i="2"/>
  <c r="AL541" i="2"/>
  <c r="AK541" i="2"/>
  <c r="AN540" i="2"/>
  <c r="AM540" i="2"/>
  <c r="AL540" i="2"/>
  <c r="AK540" i="2"/>
  <c r="AN539" i="2"/>
  <c r="AM539" i="2"/>
  <c r="AL539" i="2"/>
  <c r="AK539" i="2"/>
  <c r="AN538" i="2"/>
  <c r="AM538" i="2"/>
  <c r="AL538" i="2"/>
  <c r="AK538" i="2"/>
  <c r="AN537" i="2"/>
  <c r="AM537" i="2"/>
  <c r="AL537" i="2"/>
  <c r="AK537" i="2"/>
  <c r="AN536" i="2"/>
  <c r="AM536" i="2"/>
  <c r="AL536" i="2"/>
  <c r="AK536" i="2"/>
  <c r="AN535" i="2"/>
  <c r="AM535" i="2"/>
  <c r="AL535" i="2"/>
  <c r="AK535" i="2"/>
  <c r="AN534" i="2"/>
  <c r="AM534" i="2"/>
  <c r="AL534" i="2"/>
  <c r="AK534" i="2"/>
  <c r="AN533" i="2"/>
  <c r="AM533" i="2"/>
  <c r="AL533" i="2"/>
  <c r="AK533" i="2"/>
  <c r="AN532" i="2"/>
  <c r="AM532" i="2"/>
  <c r="AL532" i="2"/>
  <c r="AK532" i="2"/>
  <c r="AN531" i="2"/>
  <c r="AM531" i="2"/>
  <c r="AL531" i="2"/>
  <c r="AK531" i="2"/>
  <c r="AN530" i="2"/>
  <c r="AM530" i="2"/>
  <c r="AL530" i="2"/>
  <c r="AK530" i="2"/>
  <c r="AN529" i="2"/>
  <c r="AM529" i="2"/>
  <c r="AL529" i="2"/>
  <c r="AK529" i="2"/>
  <c r="AN528" i="2"/>
  <c r="AM528" i="2"/>
  <c r="AL528" i="2"/>
  <c r="AK528" i="2"/>
  <c r="AN527" i="2"/>
  <c r="AM527" i="2"/>
  <c r="AL527" i="2"/>
  <c r="AK527" i="2"/>
  <c r="AN526" i="2"/>
  <c r="AM526" i="2"/>
  <c r="AL526" i="2"/>
  <c r="AK526" i="2"/>
  <c r="AN525" i="2"/>
  <c r="AM525" i="2"/>
  <c r="AL525" i="2"/>
  <c r="AK525" i="2"/>
  <c r="AN524" i="2"/>
  <c r="AM524" i="2"/>
  <c r="AL524" i="2"/>
  <c r="AK524" i="2"/>
  <c r="AN523" i="2"/>
  <c r="AM523" i="2"/>
  <c r="AL523" i="2"/>
  <c r="AK523" i="2"/>
  <c r="AN522" i="2"/>
  <c r="AM522" i="2"/>
  <c r="AL522" i="2"/>
  <c r="AK522" i="2"/>
  <c r="AN521" i="2"/>
  <c r="AM521" i="2"/>
  <c r="AL521" i="2"/>
  <c r="AK521" i="2"/>
  <c r="AN520" i="2"/>
  <c r="AM520" i="2"/>
  <c r="AL520" i="2"/>
  <c r="AK520" i="2"/>
  <c r="AN519" i="2"/>
  <c r="AM519" i="2"/>
  <c r="AL519" i="2"/>
  <c r="AK519" i="2"/>
  <c r="AN518" i="2"/>
  <c r="AM518" i="2"/>
  <c r="AL518" i="2"/>
  <c r="AK518" i="2"/>
  <c r="AN517" i="2"/>
  <c r="AM517" i="2"/>
  <c r="AL517" i="2"/>
  <c r="AK517" i="2"/>
  <c r="AN516" i="2"/>
  <c r="AM516" i="2"/>
  <c r="AL516" i="2"/>
  <c r="AK516" i="2"/>
  <c r="AN515" i="2"/>
  <c r="AM515" i="2"/>
  <c r="AL515" i="2"/>
  <c r="AK515" i="2"/>
  <c r="AN514" i="2"/>
  <c r="AM514" i="2"/>
  <c r="AL514" i="2"/>
  <c r="AK514" i="2"/>
  <c r="AN513" i="2"/>
  <c r="AM513" i="2"/>
  <c r="AL513" i="2"/>
  <c r="AK513" i="2"/>
  <c r="AN512" i="2"/>
  <c r="AM512" i="2"/>
  <c r="AL512" i="2"/>
  <c r="AK512" i="2"/>
  <c r="AN511" i="2"/>
  <c r="AM511" i="2"/>
  <c r="AL511" i="2"/>
  <c r="AK511" i="2"/>
  <c r="AN510" i="2"/>
  <c r="AM510" i="2"/>
  <c r="AL510" i="2"/>
  <c r="AK510" i="2"/>
  <c r="AN509" i="2"/>
  <c r="AM509" i="2"/>
  <c r="AL509" i="2"/>
  <c r="AK509" i="2"/>
  <c r="AN508" i="2"/>
  <c r="AM508" i="2"/>
  <c r="AL508" i="2"/>
  <c r="AK508" i="2"/>
  <c r="AN507" i="2"/>
  <c r="AM507" i="2"/>
  <c r="AL507" i="2"/>
  <c r="AK507" i="2"/>
  <c r="AN506" i="2"/>
  <c r="AM506" i="2"/>
  <c r="AL506" i="2"/>
  <c r="AK506" i="2"/>
  <c r="AN505" i="2"/>
  <c r="AM505" i="2"/>
  <c r="AL505" i="2"/>
  <c r="AK505" i="2"/>
  <c r="AN504" i="2"/>
  <c r="AM504" i="2"/>
  <c r="AL504" i="2"/>
  <c r="AK504" i="2"/>
  <c r="AN503" i="2"/>
  <c r="AM503" i="2"/>
  <c r="AL503" i="2"/>
  <c r="AK503" i="2"/>
  <c r="AN502" i="2"/>
  <c r="AM502" i="2"/>
  <c r="AL502" i="2"/>
  <c r="AK502" i="2"/>
  <c r="AN501" i="2"/>
  <c r="AM501" i="2"/>
  <c r="AL501" i="2"/>
  <c r="AK501" i="2"/>
  <c r="AN500" i="2"/>
  <c r="AM500" i="2"/>
  <c r="AL500" i="2"/>
  <c r="AK500" i="2"/>
  <c r="AN499" i="2"/>
  <c r="AM499" i="2"/>
  <c r="AL499" i="2"/>
  <c r="AK499" i="2"/>
  <c r="AN498" i="2"/>
  <c r="AM498" i="2"/>
  <c r="AL498" i="2"/>
  <c r="AK498" i="2"/>
  <c r="AN497" i="2"/>
  <c r="AM497" i="2"/>
  <c r="AL497" i="2"/>
  <c r="AK497" i="2"/>
  <c r="AN496" i="2"/>
  <c r="AM496" i="2"/>
  <c r="AL496" i="2"/>
  <c r="AK496" i="2"/>
  <c r="AN495" i="2"/>
  <c r="AM495" i="2"/>
  <c r="AL495" i="2"/>
  <c r="AK495" i="2"/>
  <c r="AN494" i="2"/>
  <c r="AM494" i="2"/>
  <c r="AL494" i="2"/>
  <c r="AK494" i="2"/>
  <c r="AN493" i="2"/>
  <c r="AM493" i="2"/>
  <c r="AL493" i="2"/>
  <c r="AK493" i="2"/>
  <c r="AN492" i="2"/>
  <c r="AM492" i="2"/>
  <c r="AL492" i="2"/>
  <c r="AK492" i="2"/>
  <c r="AN491" i="2"/>
  <c r="AM491" i="2"/>
  <c r="AL491" i="2"/>
  <c r="AK491" i="2"/>
  <c r="AN490" i="2"/>
  <c r="AM490" i="2"/>
  <c r="AL490" i="2"/>
  <c r="AK490" i="2"/>
  <c r="AN489" i="2"/>
  <c r="AM489" i="2"/>
  <c r="AL489" i="2"/>
  <c r="AK489" i="2"/>
  <c r="AN488" i="2"/>
  <c r="AM488" i="2"/>
  <c r="AL488" i="2"/>
  <c r="AK488" i="2"/>
  <c r="AN487" i="2"/>
  <c r="AM487" i="2"/>
  <c r="AL487" i="2"/>
  <c r="AK487" i="2"/>
  <c r="AN486" i="2"/>
  <c r="AM486" i="2"/>
  <c r="AL486" i="2"/>
  <c r="AK486" i="2"/>
  <c r="AN485" i="2"/>
  <c r="AM485" i="2"/>
  <c r="AL485" i="2"/>
  <c r="AK485" i="2"/>
  <c r="AN484" i="2"/>
  <c r="AM484" i="2"/>
  <c r="AL484" i="2"/>
  <c r="AK484" i="2"/>
  <c r="AN483" i="2"/>
  <c r="AM483" i="2"/>
  <c r="AL483" i="2"/>
  <c r="AK483" i="2"/>
  <c r="AN482" i="2"/>
  <c r="AM482" i="2"/>
  <c r="AL482" i="2"/>
  <c r="AK482" i="2"/>
  <c r="AN481" i="2"/>
  <c r="AM481" i="2"/>
  <c r="AL481" i="2"/>
  <c r="AK481" i="2"/>
  <c r="AN480" i="2"/>
  <c r="AM480" i="2"/>
  <c r="AL480" i="2"/>
  <c r="AK480" i="2"/>
  <c r="AN479" i="2"/>
  <c r="AM479" i="2"/>
  <c r="AL479" i="2"/>
  <c r="AK479" i="2"/>
  <c r="AN478" i="2"/>
  <c r="AM478" i="2"/>
  <c r="AL478" i="2"/>
  <c r="AK478" i="2"/>
  <c r="AN477" i="2"/>
  <c r="AM477" i="2"/>
  <c r="AL477" i="2"/>
  <c r="AK477" i="2"/>
  <c r="AN476" i="2"/>
  <c r="AM476" i="2"/>
  <c r="AL476" i="2"/>
  <c r="AK476" i="2"/>
  <c r="AN475" i="2"/>
  <c r="AM475" i="2"/>
  <c r="AL475" i="2"/>
  <c r="AK475" i="2"/>
  <c r="AN474" i="2"/>
  <c r="AM474" i="2"/>
  <c r="AL474" i="2"/>
  <c r="AK474" i="2"/>
  <c r="AN473" i="2"/>
  <c r="AM473" i="2"/>
  <c r="AL473" i="2"/>
  <c r="AK473" i="2"/>
  <c r="AN472" i="2"/>
  <c r="AM472" i="2"/>
  <c r="AL472" i="2"/>
  <c r="AK472" i="2"/>
  <c r="AN471" i="2"/>
  <c r="AM471" i="2"/>
  <c r="AL471" i="2"/>
  <c r="AK471" i="2"/>
  <c r="AN470" i="2"/>
  <c r="AM470" i="2"/>
  <c r="AL470" i="2"/>
  <c r="AK470" i="2"/>
  <c r="AN469" i="2"/>
  <c r="AM469" i="2"/>
  <c r="AL469" i="2"/>
  <c r="AK469" i="2"/>
  <c r="AN468" i="2"/>
  <c r="AM468" i="2"/>
  <c r="AL468" i="2"/>
  <c r="AK468" i="2"/>
  <c r="AN467" i="2"/>
  <c r="AM467" i="2"/>
  <c r="AL467" i="2"/>
  <c r="AK467" i="2"/>
  <c r="AN466" i="2"/>
  <c r="AM466" i="2"/>
  <c r="AL466" i="2"/>
  <c r="AK466" i="2"/>
  <c r="AN465" i="2"/>
  <c r="AM465" i="2"/>
  <c r="AL465" i="2"/>
  <c r="AK465" i="2"/>
  <c r="AN464" i="2"/>
  <c r="AM464" i="2"/>
  <c r="AL464" i="2"/>
  <c r="AK464" i="2"/>
  <c r="AN463" i="2"/>
  <c r="AM463" i="2"/>
  <c r="AL463" i="2"/>
  <c r="AK463" i="2"/>
  <c r="AN462" i="2"/>
  <c r="AM462" i="2"/>
  <c r="AL462" i="2"/>
  <c r="AK462" i="2"/>
  <c r="AN461" i="2"/>
  <c r="AM461" i="2"/>
  <c r="AL461" i="2"/>
  <c r="AK461" i="2"/>
  <c r="AN460" i="2"/>
  <c r="AM460" i="2"/>
  <c r="AL460" i="2"/>
  <c r="AK460" i="2"/>
  <c r="AN459" i="2"/>
  <c r="AM459" i="2"/>
  <c r="AL459" i="2"/>
  <c r="AK459" i="2"/>
  <c r="AN458" i="2"/>
  <c r="AM458" i="2"/>
  <c r="AL458" i="2"/>
  <c r="AK458" i="2"/>
  <c r="AN457" i="2"/>
  <c r="AM457" i="2"/>
  <c r="AL457" i="2"/>
  <c r="AK457" i="2"/>
  <c r="AN456" i="2"/>
  <c r="AM456" i="2"/>
  <c r="AL456" i="2"/>
  <c r="AK456" i="2"/>
  <c r="AN455" i="2"/>
  <c r="AM455" i="2"/>
  <c r="AL455" i="2"/>
  <c r="AK455" i="2"/>
  <c r="AN454" i="2"/>
  <c r="AM454" i="2"/>
  <c r="AL454" i="2"/>
  <c r="AK454" i="2"/>
  <c r="AN453" i="2"/>
  <c r="AM453" i="2"/>
  <c r="AL453" i="2"/>
  <c r="AK453" i="2"/>
  <c r="AN452" i="2"/>
  <c r="AM452" i="2"/>
  <c r="AL452" i="2"/>
  <c r="AK452" i="2"/>
  <c r="AN451" i="2"/>
  <c r="AM451" i="2"/>
  <c r="AL451" i="2"/>
  <c r="AK451" i="2"/>
  <c r="AN450" i="2"/>
  <c r="AM450" i="2"/>
  <c r="AL450" i="2"/>
  <c r="AK450" i="2"/>
  <c r="AN449" i="2"/>
  <c r="AM449" i="2"/>
  <c r="AL449" i="2"/>
  <c r="AK449" i="2"/>
  <c r="AN448" i="2"/>
  <c r="AM448" i="2"/>
  <c r="AL448" i="2"/>
  <c r="AK448" i="2"/>
  <c r="AN447" i="2"/>
  <c r="AM447" i="2"/>
  <c r="AL447" i="2"/>
  <c r="AK447" i="2"/>
  <c r="AN446" i="2"/>
  <c r="AM446" i="2"/>
  <c r="AL446" i="2"/>
  <c r="AK446" i="2"/>
  <c r="AN445" i="2"/>
  <c r="AM445" i="2"/>
  <c r="AL445" i="2"/>
  <c r="AK445" i="2"/>
  <c r="AN444" i="2"/>
  <c r="AM444" i="2"/>
  <c r="AL444" i="2"/>
  <c r="AK444" i="2"/>
  <c r="AN443" i="2"/>
  <c r="AM443" i="2"/>
  <c r="AL443" i="2"/>
  <c r="AK443" i="2"/>
  <c r="AN442" i="2"/>
  <c r="AM442" i="2"/>
  <c r="AL442" i="2"/>
  <c r="AK442" i="2"/>
  <c r="AN441" i="2"/>
  <c r="AM441" i="2"/>
  <c r="AL441" i="2"/>
  <c r="AK441" i="2"/>
  <c r="AN440" i="2"/>
  <c r="AM440" i="2"/>
  <c r="AL440" i="2"/>
  <c r="AK440" i="2"/>
  <c r="AN439" i="2"/>
  <c r="AM439" i="2"/>
  <c r="AL439" i="2"/>
  <c r="AK439" i="2"/>
  <c r="AN438" i="2"/>
  <c r="AM438" i="2"/>
  <c r="AL438" i="2"/>
  <c r="AK438" i="2"/>
  <c r="AN437" i="2"/>
  <c r="AM437" i="2"/>
  <c r="AL437" i="2"/>
  <c r="AK437" i="2"/>
  <c r="AN436" i="2"/>
  <c r="AM436" i="2"/>
  <c r="AL436" i="2"/>
  <c r="AK436" i="2"/>
  <c r="AN435" i="2"/>
  <c r="AM435" i="2"/>
  <c r="AL435" i="2"/>
  <c r="AK435" i="2"/>
  <c r="AN434" i="2"/>
  <c r="AM434" i="2"/>
  <c r="AL434" i="2"/>
  <c r="AK434" i="2"/>
  <c r="AN433" i="2"/>
  <c r="AM433" i="2"/>
  <c r="AL433" i="2"/>
  <c r="AK433" i="2"/>
  <c r="AN432" i="2"/>
  <c r="AM432" i="2"/>
  <c r="AL432" i="2"/>
  <c r="AK432" i="2"/>
  <c r="AN431" i="2"/>
  <c r="AM431" i="2"/>
  <c r="AL431" i="2"/>
  <c r="AK431" i="2"/>
  <c r="AN430" i="2"/>
  <c r="AM430" i="2"/>
  <c r="AL430" i="2"/>
  <c r="AK430" i="2"/>
  <c r="AN429" i="2"/>
  <c r="AM429" i="2"/>
  <c r="AL429" i="2"/>
  <c r="AK429" i="2"/>
  <c r="AN428" i="2"/>
  <c r="AM428" i="2"/>
  <c r="AL428" i="2"/>
  <c r="AK428" i="2"/>
  <c r="AN427" i="2"/>
  <c r="AM427" i="2"/>
  <c r="AL427" i="2"/>
  <c r="AK427" i="2"/>
  <c r="AN426" i="2"/>
  <c r="AM426" i="2"/>
  <c r="AL426" i="2"/>
  <c r="AK426" i="2"/>
  <c r="AN425" i="2"/>
  <c r="AM425" i="2"/>
  <c r="AL425" i="2"/>
  <c r="AK425" i="2"/>
  <c r="AN424" i="2"/>
  <c r="AM424" i="2"/>
  <c r="AL424" i="2"/>
  <c r="AK424" i="2"/>
  <c r="AN423" i="2"/>
  <c r="AM423" i="2"/>
  <c r="AL423" i="2"/>
  <c r="AK423" i="2"/>
  <c r="AN422" i="2"/>
  <c r="AM422" i="2"/>
  <c r="AL422" i="2"/>
  <c r="AK422" i="2"/>
  <c r="AN421" i="2"/>
  <c r="AM421" i="2"/>
  <c r="AL421" i="2"/>
  <c r="AK421" i="2"/>
  <c r="AN420" i="2"/>
  <c r="AM420" i="2"/>
  <c r="AL420" i="2"/>
  <c r="AK420" i="2"/>
  <c r="AN419" i="2"/>
  <c r="AM419" i="2"/>
  <c r="AL419" i="2"/>
  <c r="AK419" i="2"/>
  <c r="AN418" i="2"/>
  <c r="AM418" i="2"/>
  <c r="AL418" i="2"/>
  <c r="AK418" i="2"/>
  <c r="AN417" i="2"/>
  <c r="AM417" i="2"/>
  <c r="AL417" i="2"/>
  <c r="AK417" i="2"/>
  <c r="AN416" i="2"/>
  <c r="AM416" i="2"/>
  <c r="AL416" i="2"/>
  <c r="AK416" i="2"/>
  <c r="AN415" i="2"/>
  <c r="AM415" i="2"/>
  <c r="AL415" i="2"/>
  <c r="AK415" i="2"/>
  <c r="AN414" i="2"/>
  <c r="AM414" i="2"/>
  <c r="AL414" i="2"/>
  <c r="AK414" i="2"/>
  <c r="AN413" i="2"/>
  <c r="AM413" i="2"/>
  <c r="AL413" i="2"/>
  <c r="AK413" i="2"/>
  <c r="AN412" i="2"/>
  <c r="AM412" i="2"/>
  <c r="AL412" i="2"/>
  <c r="AK412" i="2"/>
  <c r="AN411" i="2"/>
  <c r="AM411" i="2"/>
  <c r="AL411" i="2"/>
  <c r="AK411" i="2"/>
  <c r="AN410" i="2"/>
  <c r="AM410" i="2"/>
  <c r="AL410" i="2"/>
  <c r="AK410" i="2"/>
  <c r="AN409" i="2"/>
  <c r="AM409" i="2"/>
  <c r="AL409" i="2"/>
  <c r="AK409" i="2"/>
  <c r="AN408" i="2"/>
  <c r="AM408" i="2"/>
  <c r="AL408" i="2"/>
  <c r="AK408" i="2"/>
  <c r="AN407" i="2"/>
  <c r="AM407" i="2"/>
  <c r="AL407" i="2"/>
  <c r="AK407" i="2"/>
  <c r="AN406" i="2"/>
  <c r="AM406" i="2"/>
  <c r="AL406" i="2"/>
  <c r="AK406" i="2"/>
  <c r="AN405" i="2"/>
  <c r="AM405" i="2"/>
  <c r="AL405" i="2"/>
  <c r="AK405" i="2"/>
  <c r="AN404" i="2"/>
  <c r="AM404" i="2"/>
  <c r="AL404" i="2"/>
  <c r="AK404" i="2"/>
  <c r="AN403" i="2"/>
  <c r="AM403" i="2"/>
  <c r="AL403" i="2"/>
  <c r="AK403" i="2"/>
  <c r="AN402" i="2"/>
  <c r="AM402" i="2"/>
  <c r="AL402" i="2"/>
  <c r="AK402" i="2"/>
  <c r="AN401" i="2"/>
  <c r="AM401" i="2"/>
  <c r="AL401" i="2"/>
  <c r="AK401" i="2"/>
  <c r="AN400" i="2"/>
  <c r="AM400" i="2"/>
  <c r="AL400" i="2"/>
  <c r="AK400" i="2"/>
  <c r="AN399" i="2"/>
  <c r="AM399" i="2"/>
  <c r="AL399" i="2"/>
  <c r="AK399" i="2"/>
  <c r="AN398" i="2"/>
  <c r="AM398" i="2"/>
  <c r="AL398" i="2"/>
  <c r="AK398" i="2"/>
  <c r="AN397" i="2"/>
  <c r="AM397" i="2"/>
  <c r="AL397" i="2"/>
  <c r="AK397" i="2"/>
  <c r="AN396" i="2"/>
  <c r="AM396" i="2"/>
  <c r="AL396" i="2"/>
  <c r="AK396" i="2"/>
  <c r="AN395" i="2"/>
  <c r="AM395" i="2"/>
  <c r="AL395" i="2"/>
  <c r="AK395" i="2"/>
  <c r="AN394" i="2"/>
  <c r="AM394" i="2"/>
  <c r="AL394" i="2"/>
  <c r="AK394" i="2"/>
  <c r="AN393" i="2"/>
  <c r="AM393" i="2"/>
  <c r="AL393" i="2"/>
  <c r="AK393" i="2"/>
  <c r="AN392" i="2"/>
  <c r="AM392" i="2"/>
  <c r="AL392" i="2"/>
  <c r="AK392" i="2"/>
  <c r="AN391" i="2"/>
  <c r="AM391" i="2"/>
  <c r="AL391" i="2"/>
  <c r="AK391" i="2"/>
  <c r="AN390" i="2"/>
  <c r="AM390" i="2"/>
  <c r="AL390" i="2"/>
  <c r="AK390" i="2"/>
  <c r="AN389" i="2"/>
  <c r="AM389" i="2"/>
  <c r="AL389" i="2"/>
  <c r="AK389" i="2"/>
  <c r="AN388" i="2"/>
  <c r="AM388" i="2"/>
  <c r="AL388" i="2"/>
  <c r="AK388" i="2"/>
  <c r="AN387" i="2"/>
  <c r="AM387" i="2"/>
  <c r="AL387" i="2"/>
  <c r="AK387" i="2"/>
  <c r="AN386" i="2"/>
  <c r="AM386" i="2"/>
  <c r="AL386" i="2"/>
  <c r="AK386" i="2"/>
  <c r="AN385" i="2"/>
  <c r="AM385" i="2"/>
  <c r="AL385" i="2"/>
  <c r="AK385" i="2"/>
  <c r="AN384" i="2"/>
  <c r="AM384" i="2"/>
  <c r="AL384" i="2"/>
  <c r="AK384" i="2"/>
  <c r="AN383" i="2"/>
  <c r="AM383" i="2"/>
  <c r="AL383" i="2"/>
  <c r="AK383" i="2"/>
  <c r="AN382" i="2"/>
  <c r="AM382" i="2"/>
  <c r="AL382" i="2"/>
  <c r="AK382" i="2"/>
  <c r="AN381" i="2"/>
  <c r="AM381" i="2"/>
  <c r="AL381" i="2"/>
  <c r="AK381" i="2"/>
  <c r="AN380" i="2"/>
  <c r="AM380" i="2"/>
  <c r="AL380" i="2"/>
  <c r="AK380" i="2"/>
  <c r="AN379" i="2"/>
  <c r="AM379" i="2"/>
  <c r="AL379" i="2"/>
  <c r="AK379" i="2"/>
  <c r="AN378" i="2"/>
  <c r="AM378" i="2"/>
  <c r="AL378" i="2"/>
  <c r="AK378" i="2"/>
  <c r="AN377" i="2"/>
  <c r="AM377" i="2"/>
  <c r="AL377" i="2"/>
  <c r="AK377" i="2"/>
  <c r="AN376" i="2"/>
  <c r="AM376" i="2"/>
  <c r="AL376" i="2"/>
  <c r="AK376" i="2"/>
  <c r="AN375" i="2"/>
  <c r="AM375" i="2"/>
  <c r="AL375" i="2"/>
  <c r="AK375" i="2"/>
  <c r="AN374" i="2"/>
  <c r="AM374" i="2"/>
  <c r="AL374" i="2"/>
  <c r="AK374" i="2"/>
  <c r="AN373" i="2"/>
  <c r="AM373" i="2"/>
  <c r="AL373" i="2"/>
  <c r="AK373" i="2"/>
  <c r="AN372" i="2"/>
  <c r="AM372" i="2"/>
  <c r="AL372" i="2"/>
  <c r="AK372" i="2"/>
  <c r="AN371" i="2"/>
  <c r="AM371" i="2"/>
  <c r="AL371" i="2"/>
  <c r="AK371" i="2"/>
  <c r="AN370" i="2"/>
  <c r="AM370" i="2"/>
  <c r="AL370" i="2"/>
  <c r="AK370" i="2"/>
  <c r="AN369" i="2"/>
  <c r="AM369" i="2"/>
  <c r="AL369" i="2"/>
  <c r="AK369" i="2"/>
  <c r="AN368" i="2"/>
  <c r="AM368" i="2"/>
  <c r="AL368" i="2"/>
  <c r="AK368" i="2"/>
  <c r="AN367" i="2"/>
  <c r="AM367" i="2"/>
  <c r="AL367" i="2"/>
  <c r="AK367" i="2"/>
  <c r="AN366" i="2"/>
  <c r="AM366" i="2"/>
  <c r="AL366" i="2"/>
  <c r="AK366" i="2"/>
  <c r="AN365" i="2"/>
  <c r="AM365" i="2"/>
  <c r="AL365" i="2"/>
  <c r="AK365" i="2"/>
  <c r="AN364" i="2"/>
  <c r="AM364" i="2"/>
  <c r="AL364" i="2"/>
  <c r="AK364" i="2"/>
  <c r="AN363" i="2"/>
  <c r="AM363" i="2"/>
  <c r="AL363" i="2"/>
  <c r="AK363" i="2"/>
  <c r="AN362" i="2"/>
  <c r="AM362" i="2"/>
  <c r="AL362" i="2"/>
  <c r="AK362" i="2"/>
  <c r="AN361" i="2"/>
  <c r="AM361" i="2"/>
  <c r="AL361" i="2"/>
  <c r="AK361" i="2"/>
  <c r="AN360" i="2"/>
  <c r="AM360" i="2"/>
  <c r="AL360" i="2"/>
  <c r="AK360" i="2"/>
  <c r="AN359" i="2"/>
  <c r="AM359" i="2"/>
  <c r="AL359" i="2"/>
  <c r="AK359" i="2"/>
  <c r="AN358" i="2"/>
  <c r="AM358" i="2"/>
  <c r="AL358" i="2"/>
  <c r="AK358" i="2"/>
  <c r="AN357" i="2"/>
  <c r="AM357" i="2"/>
  <c r="AL357" i="2"/>
  <c r="AK357" i="2"/>
  <c r="AN356" i="2"/>
  <c r="AM356" i="2"/>
  <c r="AL356" i="2"/>
  <c r="AK356" i="2"/>
  <c r="AN355" i="2"/>
  <c r="AM355" i="2"/>
  <c r="AL355" i="2"/>
  <c r="AK355" i="2"/>
  <c r="AN354" i="2"/>
  <c r="AM354" i="2"/>
  <c r="AL354" i="2"/>
  <c r="AK354" i="2"/>
  <c r="AN353" i="2"/>
  <c r="AM353" i="2"/>
  <c r="AL353" i="2"/>
  <c r="AK353" i="2"/>
  <c r="AN352" i="2"/>
  <c r="AM352" i="2"/>
  <c r="AL352" i="2"/>
  <c r="AK352" i="2"/>
  <c r="AN351" i="2"/>
  <c r="AM351" i="2"/>
  <c r="AL351" i="2"/>
  <c r="AK351" i="2"/>
  <c r="AN350" i="2"/>
  <c r="AM350" i="2"/>
  <c r="AL350" i="2"/>
  <c r="AK350" i="2"/>
  <c r="AN349" i="2"/>
  <c r="AM349" i="2"/>
  <c r="AL349" i="2"/>
  <c r="AK349" i="2"/>
  <c r="AN348" i="2"/>
  <c r="AM348" i="2"/>
  <c r="AL348" i="2"/>
  <c r="AK348" i="2"/>
  <c r="AN347" i="2"/>
  <c r="AM347" i="2"/>
  <c r="AL347" i="2"/>
  <c r="AK347" i="2"/>
  <c r="AN346" i="2"/>
  <c r="AM346" i="2"/>
  <c r="AL346" i="2"/>
  <c r="AK346" i="2"/>
  <c r="AN345" i="2"/>
  <c r="AM345" i="2"/>
  <c r="AL345" i="2"/>
  <c r="AK345" i="2"/>
  <c r="AN344" i="2"/>
  <c r="AM344" i="2"/>
  <c r="AL344" i="2"/>
  <c r="AK344" i="2"/>
  <c r="AN343" i="2"/>
  <c r="AM343" i="2"/>
  <c r="AL343" i="2"/>
  <c r="AK343" i="2"/>
  <c r="AN342" i="2"/>
  <c r="AM342" i="2"/>
  <c r="AL342" i="2"/>
  <c r="AK342" i="2"/>
  <c r="AN341" i="2"/>
  <c r="AM341" i="2"/>
  <c r="AL341" i="2"/>
  <c r="AK341" i="2"/>
  <c r="AN340" i="2"/>
  <c r="AM340" i="2"/>
  <c r="AL340" i="2"/>
  <c r="AK340" i="2"/>
  <c r="AN339" i="2"/>
  <c r="AM339" i="2"/>
  <c r="AL339" i="2"/>
  <c r="AK339" i="2"/>
  <c r="AN338" i="2"/>
  <c r="AM338" i="2"/>
  <c r="AL338" i="2"/>
  <c r="AK338" i="2"/>
  <c r="AN337" i="2"/>
  <c r="AM337" i="2"/>
  <c r="AL337" i="2"/>
  <c r="AK337" i="2"/>
  <c r="AN336" i="2"/>
  <c r="AM336" i="2"/>
  <c r="AL336" i="2"/>
  <c r="AK336" i="2"/>
  <c r="AN335" i="2"/>
  <c r="AM335" i="2"/>
  <c r="AL335" i="2"/>
  <c r="AK335" i="2"/>
  <c r="AN334" i="2"/>
  <c r="AM334" i="2"/>
  <c r="AL334" i="2"/>
  <c r="AK334" i="2"/>
  <c r="AN333" i="2"/>
  <c r="AM333" i="2"/>
  <c r="AL333" i="2"/>
  <c r="AK333" i="2"/>
  <c r="AN332" i="2"/>
  <c r="AM332" i="2"/>
  <c r="AL332" i="2"/>
  <c r="AK332" i="2"/>
  <c r="AN331" i="2"/>
  <c r="AM331" i="2"/>
  <c r="AL331" i="2"/>
  <c r="AK331" i="2"/>
  <c r="AN330" i="2"/>
  <c r="AM330" i="2"/>
  <c r="AL330" i="2"/>
  <c r="AK330" i="2"/>
  <c r="AN329" i="2"/>
  <c r="AM329" i="2"/>
  <c r="AL329" i="2"/>
  <c r="AK329" i="2"/>
  <c r="AN328" i="2"/>
  <c r="AM328" i="2"/>
  <c r="AL328" i="2"/>
  <c r="AK328" i="2"/>
  <c r="AN327" i="2"/>
  <c r="AM327" i="2"/>
  <c r="AL327" i="2"/>
  <c r="AK327" i="2"/>
  <c r="AN326" i="2"/>
  <c r="AM326" i="2"/>
  <c r="AL326" i="2"/>
  <c r="AK326" i="2"/>
  <c r="AN325" i="2"/>
  <c r="AM325" i="2"/>
  <c r="AL325" i="2"/>
  <c r="AK325" i="2"/>
  <c r="AN324" i="2"/>
  <c r="AM324" i="2"/>
  <c r="AL324" i="2"/>
  <c r="AK324" i="2"/>
  <c r="AN323" i="2"/>
  <c r="AM323" i="2"/>
  <c r="AL323" i="2"/>
  <c r="AK323" i="2"/>
  <c r="AN322" i="2"/>
  <c r="AM322" i="2"/>
  <c r="AL322" i="2"/>
  <c r="AK322" i="2"/>
  <c r="AN321" i="2"/>
  <c r="AM321" i="2"/>
  <c r="AL321" i="2"/>
  <c r="AK321" i="2"/>
  <c r="AN320" i="2"/>
  <c r="AM320" i="2"/>
  <c r="AL320" i="2"/>
  <c r="AK320" i="2"/>
  <c r="AN319" i="2"/>
  <c r="AM319" i="2"/>
  <c r="AL319" i="2"/>
  <c r="AK319" i="2"/>
  <c r="AN318" i="2"/>
  <c r="AM318" i="2"/>
  <c r="AL318" i="2"/>
  <c r="AK318" i="2"/>
  <c r="AN317" i="2"/>
  <c r="AM317" i="2"/>
  <c r="AL317" i="2"/>
  <c r="AK317" i="2"/>
  <c r="AN316" i="2"/>
  <c r="AM316" i="2"/>
  <c r="AL316" i="2"/>
  <c r="AK316" i="2"/>
  <c r="AN315" i="2"/>
  <c r="AM315" i="2"/>
  <c r="AL315" i="2"/>
  <c r="AK315" i="2"/>
  <c r="AN314" i="2"/>
  <c r="AM314" i="2"/>
  <c r="AL314" i="2"/>
  <c r="AK314" i="2"/>
  <c r="AN313" i="2"/>
  <c r="AM313" i="2"/>
  <c r="AL313" i="2"/>
  <c r="AK313" i="2"/>
  <c r="AN312" i="2"/>
  <c r="AM312" i="2"/>
  <c r="AL312" i="2"/>
  <c r="AK312" i="2"/>
  <c r="AN311" i="2"/>
  <c r="AM311" i="2"/>
  <c r="AL311" i="2"/>
  <c r="AK311" i="2"/>
  <c r="AN310" i="2"/>
  <c r="AM310" i="2"/>
  <c r="AL310" i="2"/>
  <c r="AK310" i="2"/>
  <c r="AN309" i="2"/>
  <c r="AM309" i="2"/>
  <c r="AL309" i="2"/>
  <c r="AK309" i="2"/>
  <c r="AN308" i="2"/>
  <c r="AM308" i="2"/>
  <c r="AL308" i="2"/>
  <c r="AK308" i="2"/>
  <c r="AN307" i="2"/>
  <c r="AM307" i="2"/>
  <c r="AL307" i="2"/>
  <c r="AK307" i="2"/>
  <c r="AN306" i="2"/>
  <c r="AM306" i="2"/>
  <c r="AL306" i="2"/>
  <c r="AK306" i="2"/>
  <c r="AN305" i="2"/>
  <c r="AM305" i="2"/>
  <c r="AL305" i="2"/>
  <c r="AK305" i="2"/>
  <c r="AN304" i="2"/>
  <c r="AM304" i="2"/>
  <c r="AL304" i="2"/>
  <c r="AK304" i="2"/>
  <c r="AN303" i="2"/>
  <c r="AM303" i="2"/>
  <c r="AL303" i="2"/>
  <c r="AK303" i="2"/>
  <c r="AN302" i="2"/>
  <c r="AM302" i="2"/>
  <c r="AL302" i="2"/>
  <c r="AK302" i="2"/>
  <c r="AN301" i="2"/>
  <c r="AM301" i="2"/>
  <c r="AL301" i="2"/>
  <c r="AK301" i="2"/>
  <c r="AN300" i="2"/>
  <c r="AM300" i="2"/>
  <c r="AL300" i="2"/>
  <c r="AK300" i="2"/>
  <c r="AN299" i="2"/>
  <c r="AM299" i="2"/>
  <c r="AL299" i="2"/>
  <c r="AK299" i="2"/>
  <c r="AN298" i="2"/>
  <c r="AM298" i="2"/>
  <c r="AL298" i="2"/>
  <c r="AK298" i="2"/>
  <c r="AN297" i="2"/>
  <c r="AM297" i="2"/>
  <c r="AL297" i="2"/>
  <c r="AK297" i="2"/>
  <c r="AN296" i="2"/>
  <c r="AM296" i="2"/>
  <c r="AL296" i="2"/>
  <c r="AK296" i="2"/>
  <c r="AN295" i="2"/>
  <c r="AM295" i="2"/>
  <c r="AL295" i="2"/>
  <c r="AK295" i="2"/>
  <c r="AN294" i="2"/>
  <c r="AM294" i="2"/>
  <c r="AL294" i="2"/>
  <c r="AK294" i="2"/>
  <c r="AN293" i="2"/>
  <c r="AM293" i="2"/>
  <c r="AL293" i="2"/>
  <c r="AK293" i="2"/>
  <c r="AN292" i="2"/>
  <c r="AM292" i="2"/>
  <c r="AL292" i="2"/>
  <c r="AK292" i="2"/>
  <c r="AN291" i="2"/>
  <c r="AM291" i="2"/>
  <c r="AL291" i="2"/>
  <c r="AK291" i="2"/>
  <c r="AN290" i="2"/>
  <c r="AM290" i="2"/>
  <c r="AL290" i="2"/>
  <c r="AK290" i="2"/>
  <c r="AN289" i="2"/>
  <c r="AM289" i="2"/>
  <c r="AL289" i="2"/>
  <c r="AK289" i="2"/>
  <c r="AN288" i="2"/>
  <c r="AM288" i="2"/>
  <c r="AL288" i="2"/>
  <c r="AK288" i="2"/>
  <c r="AN287" i="2"/>
  <c r="AM287" i="2"/>
  <c r="AL287" i="2"/>
  <c r="AK287" i="2"/>
  <c r="AN286" i="2"/>
  <c r="AM286" i="2"/>
  <c r="AL286" i="2"/>
  <c r="AK286" i="2"/>
  <c r="AN285" i="2"/>
  <c r="AM285" i="2"/>
  <c r="AL285" i="2"/>
  <c r="AK285" i="2"/>
  <c r="AN284" i="2"/>
  <c r="AM284" i="2"/>
  <c r="AL284" i="2"/>
  <c r="AK284" i="2"/>
  <c r="AN283" i="2"/>
  <c r="AM283" i="2"/>
  <c r="AL283" i="2"/>
  <c r="AK283" i="2"/>
  <c r="AN282" i="2"/>
  <c r="AM282" i="2"/>
  <c r="AL282" i="2"/>
  <c r="AK282" i="2"/>
  <c r="AN281" i="2"/>
  <c r="AM281" i="2"/>
  <c r="AL281" i="2"/>
  <c r="AK281" i="2"/>
  <c r="AN280" i="2"/>
  <c r="AM280" i="2"/>
  <c r="AL280" i="2"/>
  <c r="AK280" i="2"/>
  <c r="AN279" i="2"/>
  <c r="AM279" i="2"/>
  <c r="AL279" i="2"/>
  <c r="AK279" i="2"/>
  <c r="AN278" i="2"/>
  <c r="AM278" i="2"/>
  <c r="AL278" i="2"/>
  <c r="AK278" i="2"/>
  <c r="AN277" i="2"/>
  <c r="AM277" i="2"/>
  <c r="AL277" i="2"/>
  <c r="AK277" i="2"/>
  <c r="AN276" i="2"/>
  <c r="AM276" i="2"/>
  <c r="AL276" i="2"/>
  <c r="AK276" i="2"/>
  <c r="AN275" i="2"/>
  <c r="AM275" i="2"/>
  <c r="AL275" i="2"/>
  <c r="AK275" i="2"/>
  <c r="AN274" i="2"/>
  <c r="AM274" i="2"/>
  <c r="AL274" i="2"/>
  <c r="AK274" i="2"/>
  <c r="AN273" i="2"/>
  <c r="AM273" i="2"/>
  <c r="AL273" i="2"/>
  <c r="AK273" i="2"/>
  <c r="AN272" i="2"/>
  <c r="AM272" i="2"/>
  <c r="AL272" i="2"/>
  <c r="AK272" i="2"/>
  <c r="AN271" i="2"/>
  <c r="AM271" i="2"/>
  <c r="AL271" i="2"/>
  <c r="AK271" i="2"/>
  <c r="AN270" i="2"/>
  <c r="AM270" i="2"/>
  <c r="AL270" i="2"/>
  <c r="AK270" i="2"/>
  <c r="AN269" i="2"/>
  <c r="AM269" i="2"/>
  <c r="AL269" i="2"/>
  <c r="AK269" i="2"/>
  <c r="AN268" i="2"/>
  <c r="AM268" i="2"/>
  <c r="AL268" i="2"/>
  <c r="AK268" i="2"/>
  <c r="AN267" i="2"/>
  <c r="AM267" i="2"/>
  <c r="AL267" i="2"/>
  <c r="AK267" i="2"/>
  <c r="AN266" i="2"/>
  <c r="AM266" i="2"/>
  <c r="AL266" i="2"/>
  <c r="AK266" i="2"/>
  <c r="AN265" i="2"/>
  <c r="AM265" i="2"/>
  <c r="AL265" i="2"/>
  <c r="AK265" i="2"/>
  <c r="AN264" i="2"/>
  <c r="AM264" i="2"/>
  <c r="AL264" i="2"/>
  <c r="AK264" i="2"/>
  <c r="AN263" i="2"/>
  <c r="AM263" i="2"/>
  <c r="AL263" i="2"/>
  <c r="AK263" i="2"/>
  <c r="AN262" i="2"/>
  <c r="AM262" i="2"/>
  <c r="AL262" i="2"/>
  <c r="AK262" i="2"/>
  <c r="AN261" i="2"/>
  <c r="AM261" i="2"/>
  <c r="AL261" i="2"/>
  <c r="AK261" i="2"/>
  <c r="AN260" i="2"/>
  <c r="AM260" i="2"/>
  <c r="AL260" i="2"/>
  <c r="AK260" i="2"/>
  <c r="AN259" i="2"/>
  <c r="AM259" i="2"/>
  <c r="AL259" i="2"/>
  <c r="AK259" i="2"/>
  <c r="AN258" i="2"/>
  <c r="AM258" i="2"/>
  <c r="AL258" i="2"/>
  <c r="AK258" i="2"/>
  <c r="AN257" i="2"/>
  <c r="AM257" i="2"/>
  <c r="AL257" i="2"/>
  <c r="AK257" i="2"/>
  <c r="AN256" i="2"/>
  <c r="AM256" i="2"/>
  <c r="AL256" i="2"/>
  <c r="AK256" i="2"/>
  <c r="AN255" i="2"/>
  <c r="AM255" i="2"/>
  <c r="AL255" i="2"/>
  <c r="AK255" i="2"/>
  <c r="AN254" i="2"/>
  <c r="AM254" i="2"/>
  <c r="AL254" i="2"/>
  <c r="AK254" i="2"/>
  <c r="AN253" i="2"/>
  <c r="AM253" i="2"/>
  <c r="AL253" i="2"/>
  <c r="AK253" i="2"/>
  <c r="AN252" i="2"/>
  <c r="AM252" i="2"/>
  <c r="AL252" i="2"/>
  <c r="AK252" i="2"/>
  <c r="AN251" i="2"/>
  <c r="AM251" i="2"/>
  <c r="AL251" i="2"/>
  <c r="AK251" i="2"/>
  <c r="AN250" i="2"/>
  <c r="AM250" i="2"/>
  <c r="AL250" i="2"/>
  <c r="AK250" i="2"/>
  <c r="AN249" i="2"/>
  <c r="AM249" i="2"/>
  <c r="AL249" i="2"/>
  <c r="AK249" i="2"/>
  <c r="AN248" i="2"/>
  <c r="AM248" i="2"/>
  <c r="AL248" i="2"/>
  <c r="AK248" i="2"/>
  <c r="AN247" i="2"/>
  <c r="AM247" i="2"/>
  <c r="AL247" i="2"/>
  <c r="AK247" i="2"/>
  <c r="AN246" i="2"/>
  <c r="AM246" i="2"/>
  <c r="AL246" i="2"/>
  <c r="AK246" i="2"/>
  <c r="AN245" i="2"/>
  <c r="AM245" i="2"/>
  <c r="AL245" i="2"/>
  <c r="AK245" i="2"/>
  <c r="AN244" i="2"/>
  <c r="AM244" i="2"/>
  <c r="AL244" i="2"/>
  <c r="AK244" i="2"/>
  <c r="AN243" i="2"/>
  <c r="AM243" i="2"/>
  <c r="AL243" i="2"/>
  <c r="AK243" i="2"/>
  <c r="AN242" i="2"/>
  <c r="AM242" i="2"/>
  <c r="AL242" i="2"/>
  <c r="AK242" i="2"/>
  <c r="AN241" i="2"/>
  <c r="AM241" i="2"/>
  <c r="AL241" i="2"/>
  <c r="AK241" i="2"/>
  <c r="AN240" i="2"/>
  <c r="AM240" i="2"/>
  <c r="AL240" i="2"/>
  <c r="AK240" i="2"/>
  <c r="AN239" i="2"/>
  <c r="AM239" i="2"/>
  <c r="AL239" i="2"/>
  <c r="AK239" i="2"/>
  <c r="AN238" i="2"/>
  <c r="AM238" i="2"/>
  <c r="AL238" i="2"/>
  <c r="AK238" i="2"/>
  <c r="AN237" i="2"/>
  <c r="AM237" i="2"/>
  <c r="AL237" i="2"/>
  <c r="AK237" i="2"/>
  <c r="AN236" i="2"/>
  <c r="AM236" i="2"/>
  <c r="AL236" i="2"/>
  <c r="AK236" i="2"/>
  <c r="AN235" i="2"/>
  <c r="AM235" i="2"/>
  <c r="AL235" i="2"/>
  <c r="AK235" i="2"/>
  <c r="AN234" i="2"/>
  <c r="AM234" i="2"/>
  <c r="AL234" i="2"/>
  <c r="AK234" i="2"/>
  <c r="AN233" i="2"/>
  <c r="AM233" i="2"/>
  <c r="AL233" i="2"/>
  <c r="AK233" i="2"/>
  <c r="AN232" i="2"/>
  <c r="AM232" i="2"/>
  <c r="AL232" i="2"/>
  <c r="AK232" i="2"/>
  <c r="AN231" i="2"/>
  <c r="AM231" i="2"/>
  <c r="AL231" i="2"/>
  <c r="AK231" i="2"/>
  <c r="AN230" i="2"/>
  <c r="AM230" i="2"/>
  <c r="AL230" i="2"/>
  <c r="AK230" i="2"/>
  <c r="AN229" i="2"/>
  <c r="AM229" i="2"/>
  <c r="AL229" i="2"/>
  <c r="AK229" i="2"/>
  <c r="AN228" i="2"/>
  <c r="AM228" i="2"/>
  <c r="AL228" i="2"/>
  <c r="AK228" i="2"/>
  <c r="AN227" i="2"/>
  <c r="AM227" i="2"/>
  <c r="AL227" i="2"/>
  <c r="AK227" i="2"/>
  <c r="AN226" i="2"/>
  <c r="AM226" i="2"/>
  <c r="AL226" i="2"/>
  <c r="AK226" i="2"/>
  <c r="AN225" i="2"/>
  <c r="AM225" i="2"/>
  <c r="AL225" i="2"/>
  <c r="AK225" i="2"/>
  <c r="AN224" i="2"/>
  <c r="AM224" i="2"/>
  <c r="AL224" i="2"/>
  <c r="AK224" i="2"/>
  <c r="AN223" i="2"/>
  <c r="AM223" i="2"/>
  <c r="AL223" i="2"/>
  <c r="AK223" i="2"/>
  <c r="AN222" i="2"/>
  <c r="AM222" i="2"/>
  <c r="AL222" i="2"/>
  <c r="AK222" i="2"/>
  <c r="AN221" i="2"/>
  <c r="AM221" i="2"/>
  <c r="AL221" i="2"/>
  <c r="AK221" i="2"/>
  <c r="AN220" i="2"/>
  <c r="AM220" i="2"/>
  <c r="AL220" i="2"/>
  <c r="AK220" i="2"/>
  <c r="AN219" i="2"/>
  <c r="AM219" i="2"/>
  <c r="AL219" i="2"/>
  <c r="AK219" i="2"/>
  <c r="AN218" i="2"/>
  <c r="AM218" i="2"/>
  <c r="AL218" i="2"/>
  <c r="AK218" i="2"/>
  <c r="AN217" i="2"/>
  <c r="AM217" i="2"/>
  <c r="AL217" i="2"/>
  <c r="AK217" i="2"/>
  <c r="AN216" i="2"/>
  <c r="AM216" i="2"/>
  <c r="AL216" i="2"/>
  <c r="AK216" i="2"/>
  <c r="AN215" i="2"/>
  <c r="AM215" i="2"/>
  <c r="AL215" i="2"/>
  <c r="AK215" i="2"/>
  <c r="AN214" i="2"/>
  <c r="AM214" i="2"/>
  <c r="AL214" i="2"/>
  <c r="AK214" i="2"/>
  <c r="AN213" i="2"/>
  <c r="AM213" i="2"/>
  <c r="AL213" i="2"/>
  <c r="AK213" i="2"/>
  <c r="AN212" i="2"/>
  <c r="AM212" i="2"/>
  <c r="AL212" i="2"/>
  <c r="AK212" i="2"/>
  <c r="AN211" i="2"/>
  <c r="AM211" i="2"/>
  <c r="AL211" i="2"/>
  <c r="AK211" i="2"/>
  <c r="AN210" i="2"/>
  <c r="AM210" i="2"/>
  <c r="AL210" i="2"/>
  <c r="AK210" i="2"/>
  <c r="AN209" i="2"/>
  <c r="AM209" i="2"/>
  <c r="AL209" i="2"/>
  <c r="AK209" i="2"/>
  <c r="AN208" i="2"/>
  <c r="AM208" i="2"/>
  <c r="AL208" i="2"/>
  <c r="AK208" i="2"/>
  <c r="AN207" i="2"/>
  <c r="AM207" i="2"/>
  <c r="AL207" i="2"/>
  <c r="AK207" i="2"/>
  <c r="AN206" i="2"/>
  <c r="AM206" i="2"/>
  <c r="AL206" i="2"/>
  <c r="AK206" i="2"/>
  <c r="AN205" i="2"/>
  <c r="AM205" i="2"/>
  <c r="AL205" i="2"/>
  <c r="AK205" i="2"/>
  <c r="AN204" i="2"/>
  <c r="AM204" i="2"/>
  <c r="AL204" i="2"/>
  <c r="AK204" i="2"/>
  <c r="AN203" i="2"/>
  <c r="AM203" i="2"/>
  <c r="AL203" i="2"/>
  <c r="AK203" i="2"/>
  <c r="AN202" i="2"/>
  <c r="AM202" i="2"/>
  <c r="AL202" i="2"/>
  <c r="AK202" i="2"/>
  <c r="AN201" i="2"/>
  <c r="AM201" i="2"/>
  <c r="AL201" i="2"/>
  <c r="AK201" i="2"/>
  <c r="AN200" i="2"/>
  <c r="AM200" i="2"/>
  <c r="AL200" i="2"/>
  <c r="AK200" i="2"/>
  <c r="AN199" i="2"/>
  <c r="AM199" i="2"/>
  <c r="AL199" i="2"/>
  <c r="AK199" i="2"/>
  <c r="AN198" i="2"/>
  <c r="AM198" i="2"/>
  <c r="AL198" i="2"/>
  <c r="AK198" i="2"/>
  <c r="AN197" i="2"/>
  <c r="AM197" i="2"/>
  <c r="AL197" i="2"/>
  <c r="AK197" i="2"/>
  <c r="AN196" i="2"/>
  <c r="AM196" i="2"/>
  <c r="AL196" i="2"/>
  <c r="AK196" i="2"/>
  <c r="AN195" i="2"/>
  <c r="AM195" i="2"/>
  <c r="AL195" i="2"/>
  <c r="AK195" i="2"/>
  <c r="AN194" i="2"/>
  <c r="AM194" i="2"/>
  <c r="AL194" i="2"/>
  <c r="AK194" i="2"/>
  <c r="AN193" i="2"/>
  <c r="AM193" i="2"/>
  <c r="AL193" i="2"/>
  <c r="AK193" i="2"/>
  <c r="AN192" i="2"/>
  <c r="AM192" i="2"/>
  <c r="AL192" i="2"/>
  <c r="AK192" i="2"/>
  <c r="AN191" i="2"/>
  <c r="AM191" i="2"/>
  <c r="AL191" i="2"/>
  <c r="AK191" i="2"/>
  <c r="AN190" i="2"/>
  <c r="AM190" i="2"/>
  <c r="AL190" i="2"/>
  <c r="AK190" i="2"/>
  <c r="AN189" i="2"/>
  <c r="AM189" i="2"/>
  <c r="AL189" i="2"/>
  <c r="AK189" i="2"/>
  <c r="AN188" i="2"/>
  <c r="AM188" i="2"/>
  <c r="AL188" i="2"/>
  <c r="AK188" i="2"/>
  <c r="AN187" i="2"/>
  <c r="AM187" i="2"/>
  <c r="AL187" i="2"/>
  <c r="AK187" i="2"/>
  <c r="AN186" i="2"/>
  <c r="AM186" i="2"/>
  <c r="AL186" i="2"/>
  <c r="AK186" i="2"/>
  <c r="AN185" i="2"/>
  <c r="AM185" i="2"/>
  <c r="AL185" i="2"/>
  <c r="AK185" i="2"/>
  <c r="AN184" i="2"/>
  <c r="AM184" i="2"/>
  <c r="AL184" i="2"/>
  <c r="AK184" i="2"/>
  <c r="AN183" i="2"/>
  <c r="AM183" i="2"/>
  <c r="AL183" i="2"/>
  <c r="AK183" i="2"/>
  <c r="AN182" i="2"/>
  <c r="AM182" i="2"/>
  <c r="AL182" i="2"/>
  <c r="AK182" i="2"/>
  <c r="AN181" i="2"/>
  <c r="AM181" i="2"/>
  <c r="AL181" i="2"/>
  <c r="AK181" i="2"/>
  <c r="AN180" i="2"/>
  <c r="AM180" i="2"/>
  <c r="AL180" i="2"/>
  <c r="AK180" i="2"/>
  <c r="AN179" i="2"/>
  <c r="AM179" i="2"/>
  <c r="AL179" i="2"/>
  <c r="AK179" i="2"/>
  <c r="AN178" i="2"/>
  <c r="AM178" i="2"/>
  <c r="AL178" i="2"/>
  <c r="AK178" i="2"/>
  <c r="AN177" i="2"/>
  <c r="AM177" i="2"/>
  <c r="AL177" i="2"/>
  <c r="AK177" i="2"/>
  <c r="AN176" i="2"/>
  <c r="AM176" i="2"/>
  <c r="AL176" i="2"/>
  <c r="AK176" i="2"/>
  <c r="AN175" i="2"/>
  <c r="AM175" i="2"/>
  <c r="AL175" i="2"/>
  <c r="AK175" i="2"/>
  <c r="AN174" i="2"/>
  <c r="AM174" i="2"/>
  <c r="AL174" i="2"/>
  <c r="AK174" i="2"/>
  <c r="AN173" i="2"/>
  <c r="AM173" i="2"/>
  <c r="AL173" i="2"/>
  <c r="AK173" i="2"/>
  <c r="AN172" i="2"/>
  <c r="AM172" i="2"/>
  <c r="AL172" i="2"/>
  <c r="AK172" i="2"/>
  <c r="AN171" i="2"/>
  <c r="AM171" i="2"/>
  <c r="AL171" i="2"/>
  <c r="AK171" i="2"/>
  <c r="AN170" i="2"/>
  <c r="AM170" i="2"/>
  <c r="AL170" i="2"/>
  <c r="AK170" i="2"/>
  <c r="AN169" i="2"/>
  <c r="AM169" i="2"/>
  <c r="AL169" i="2"/>
  <c r="AK169" i="2"/>
  <c r="AN168" i="2"/>
  <c r="AM168" i="2"/>
  <c r="AL168" i="2"/>
  <c r="AK168" i="2"/>
  <c r="AN167" i="2"/>
  <c r="AM167" i="2"/>
  <c r="AL167" i="2"/>
  <c r="AK167" i="2"/>
  <c r="AN166" i="2"/>
  <c r="AM166" i="2"/>
  <c r="AL166" i="2"/>
  <c r="AK166" i="2"/>
  <c r="AN165" i="2"/>
  <c r="AM165" i="2"/>
  <c r="AL165" i="2"/>
  <c r="AK165" i="2"/>
  <c r="AN164" i="2"/>
  <c r="AM164" i="2"/>
  <c r="AL164" i="2"/>
  <c r="AK164" i="2"/>
  <c r="AN163" i="2"/>
  <c r="AM163" i="2"/>
  <c r="AL163" i="2"/>
  <c r="AK163" i="2"/>
  <c r="AN162" i="2"/>
  <c r="AM162" i="2"/>
  <c r="AL162" i="2"/>
  <c r="AK162" i="2"/>
  <c r="AN161" i="2"/>
  <c r="AM161" i="2"/>
  <c r="AL161" i="2"/>
  <c r="AK161" i="2"/>
  <c r="AN160" i="2"/>
  <c r="AM160" i="2"/>
  <c r="AL160" i="2"/>
  <c r="AK160" i="2"/>
  <c r="AN159" i="2"/>
  <c r="AM159" i="2"/>
  <c r="AL159" i="2"/>
  <c r="AK159" i="2"/>
  <c r="AN158" i="2"/>
  <c r="AM158" i="2"/>
  <c r="AL158" i="2"/>
  <c r="AK158" i="2"/>
  <c r="AN157" i="2"/>
  <c r="AM157" i="2"/>
  <c r="AL157" i="2"/>
  <c r="AK157" i="2"/>
  <c r="AN156" i="2"/>
  <c r="AM156" i="2"/>
  <c r="AL156" i="2"/>
  <c r="AK156" i="2"/>
  <c r="AN155" i="2"/>
  <c r="AM155" i="2"/>
  <c r="AL155" i="2"/>
  <c r="AK155" i="2"/>
  <c r="AN154" i="2"/>
  <c r="AM154" i="2"/>
  <c r="AL154" i="2"/>
  <c r="AK154" i="2"/>
  <c r="AN153" i="2"/>
  <c r="AM153" i="2"/>
  <c r="AL153" i="2"/>
  <c r="AK153" i="2"/>
  <c r="AN152" i="2"/>
  <c r="AM152" i="2"/>
  <c r="AL152" i="2"/>
  <c r="AK152" i="2"/>
  <c r="AN151" i="2"/>
  <c r="AM151" i="2"/>
  <c r="AL151" i="2"/>
  <c r="AK151" i="2"/>
  <c r="AN150" i="2"/>
  <c r="AM150" i="2"/>
  <c r="AL150" i="2"/>
  <c r="AK150" i="2"/>
  <c r="AN149" i="2"/>
  <c r="AM149" i="2"/>
  <c r="AL149" i="2"/>
  <c r="AK149" i="2"/>
  <c r="AN148" i="2"/>
  <c r="AM148" i="2"/>
  <c r="AL148" i="2"/>
  <c r="AK148" i="2"/>
  <c r="AN147" i="2"/>
  <c r="AM147" i="2"/>
  <c r="AL147" i="2"/>
  <c r="AK147" i="2"/>
  <c r="AN146" i="2"/>
  <c r="AM146" i="2"/>
  <c r="AL146" i="2"/>
  <c r="AK146" i="2"/>
  <c r="AN145" i="2"/>
  <c r="AM145" i="2"/>
  <c r="AL145" i="2"/>
  <c r="AK145" i="2"/>
  <c r="AN144" i="2"/>
  <c r="AM144" i="2"/>
  <c r="AL144" i="2"/>
  <c r="AK144" i="2"/>
  <c r="AN143" i="2"/>
  <c r="AM143" i="2"/>
  <c r="AL143" i="2"/>
  <c r="AK143" i="2"/>
  <c r="AN142" i="2"/>
  <c r="AM142" i="2"/>
  <c r="AL142" i="2"/>
  <c r="AK142" i="2"/>
  <c r="AN141" i="2"/>
  <c r="AM141" i="2"/>
  <c r="AL141" i="2"/>
  <c r="AK141" i="2"/>
  <c r="AN140" i="2"/>
  <c r="AM140" i="2"/>
  <c r="AL140" i="2"/>
  <c r="AK140" i="2"/>
  <c r="AN139" i="2"/>
  <c r="AM139" i="2"/>
  <c r="AL139" i="2"/>
  <c r="AK139" i="2"/>
  <c r="AN138" i="2"/>
  <c r="AM138" i="2"/>
  <c r="AL138" i="2"/>
  <c r="AK138" i="2"/>
  <c r="AN137" i="2"/>
  <c r="AM137" i="2"/>
  <c r="AL137" i="2"/>
  <c r="AK137" i="2"/>
  <c r="AN136" i="2"/>
  <c r="AM136" i="2"/>
  <c r="AL136" i="2"/>
  <c r="AK136" i="2"/>
  <c r="AN135" i="2"/>
  <c r="AM135" i="2"/>
  <c r="AL135" i="2"/>
  <c r="AK135" i="2"/>
  <c r="AN134" i="2"/>
  <c r="AM134" i="2"/>
  <c r="AL134" i="2"/>
  <c r="AK134" i="2"/>
  <c r="AN133" i="2"/>
  <c r="AM133" i="2"/>
  <c r="AL133" i="2"/>
  <c r="AK133" i="2"/>
  <c r="AN132" i="2"/>
  <c r="AM132" i="2"/>
  <c r="AL132" i="2"/>
  <c r="AK132" i="2"/>
  <c r="AN131" i="2"/>
  <c r="AM131" i="2"/>
  <c r="AL131" i="2"/>
  <c r="AK131" i="2"/>
  <c r="AN130" i="2"/>
  <c r="AM130" i="2"/>
  <c r="AL130" i="2"/>
  <c r="AK130" i="2"/>
  <c r="AN129" i="2"/>
  <c r="AM129" i="2"/>
  <c r="AL129" i="2"/>
  <c r="AK129" i="2"/>
  <c r="AN128" i="2"/>
  <c r="AM128" i="2"/>
  <c r="AL128" i="2"/>
  <c r="AK128" i="2"/>
  <c r="AN127" i="2"/>
  <c r="AM127" i="2"/>
  <c r="AL127" i="2"/>
  <c r="AK127" i="2"/>
  <c r="AN126" i="2"/>
  <c r="AM126" i="2"/>
  <c r="AL126" i="2"/>
  <c r="AK126" i="2"/>
  <c r="AN125" i="2"/>
  <c r="AM125" i="2"/>
  <c r="AL125" i="2"/>
  <c r="AK125" i="2"/>
  <c r="AN124" i="2"/>
  <c r="AM124" i="2"/>
  <c r="AL124" i="2"/>
  <c r="AK124" i="2"/>
  <c r="AN123" i="2"/>
  <c r="AM123" i="2"/>
  <c r="AL123" i="2"/>
  <c r="AK123" i="2"/>
  <c r="AN122" i="2"/>
  <c r="AM122" i="2"/>
  <c r="AL122" i="2"/>
  <c r="AK122" i="2"/>
  <c r="AN121" i="2"/>
  <c r="AM121" i="2"/>
  <c r="AL121" i="2"/>
  <c r="AK121" i="2"/>
  <c r="AN120" i="2"/>
  <c r="AM120" i="2"/>
  <c r="AL120" i="2"/>
  <c r="AK120" i="2"/>
  <c r="AN119" i="2"/>
  <c r="AM119" i="2"/>
  <c r="AL119" i="2"/>
  <c r="AK119" i="2"/>
  <c r="AN118" i="2"/>
  <c r="AM118" i="2"/>
  <c r="AL118" i="2"/>
  <c r="AK118" i="2"/>
  <c r="AN117" i="2"/>
  <c r="AM117" i="2"/>
  <c r="AL117" i="2"/>
  <c r="AK117" i="2"/>
  <c r="AN116" i="2"/>
  <c r="AM116" i="2"/>
  <c r="AL116" i="2"/>
  <c r="AK116" i="2"/>
  <c r="AN115" i="2"/>
  <c r="AM115" i="2"/>
  <c r="AL115" i="2"/>
  <c r="AK115" i="2"/>
  <c r="AN114" i="2"/>
  <c r="AM114" i="2"/>
  <c r="AL114" i="2"/>
  <c r="AK114" i="2"/>
  <c r="AN113" i="2"/>
  <c r="AM113" i="2"/>
  <c r="AL113" i="2"/>
  <c r="AK113" i="2"/>
  <c r="AN112" i="2"/>
  <c r="AM112" i="2"/>
  <c r="AL112" i="2"/>
  <c r="AK112" i="2"/>
  <c r="AN111" i="2"/>
  <c r="AM111" i="2"/>
  <c r="AL111" i="2"/>
  <c r="AK111" i="2"/>
  <c r="AN110" i="2"/>
  <c r="AM110" i="2"/>
  <c r="AL110" i="2"/>
  <c r="AK110" i="2"/>
  <c r="AN109" i="2"/>
  <c r="AM109" i="2"/>
  <c r="AL109" i="2"/>
  <c r="AK109" i="2"/>
  <c r="AN108" i="2"/>
  <c r="AM108" i="2"/>
  <c r="AL108" i="2"/>
  <c r="AK108" i="2"/>
  <c r="AN107" i="2"/>
  <c r="AM107" i="2"/>
  <c r="AL107" i="2"/>
  <c r="AK107" i="2"/>
  <c r="AN106" i="2"/>
  <c r="AM106" i="2"/>
  <c r="AL106" i="2"/>
  <c r="AK106" i="2"/>
  <c r="AN105" i="2"/>
  <c r="AM105" i="2"/>
  <c r="AL105" i="2"/>
  <c r="AK105" i="2"/>
  <c r="AN104" i="2"/>
  <c r="AM104" i="2"/>
  <c r="AL104" i="2"/>
  <c r="AK104" i="2"/>
  <c r="AN103" i="2"/>
  <c r="AM103" i="2"/>
  <c r="AL103" i="2"/>
  <c r="AK103" i="2"/>
  <c r="AN102" i="2"/>
  <c r="AM102" i="2"/>
  <c r="AL102" i="2"/>
  <c r="AK102" i="2"/>
  <c r="AN101" i="2"/>
  <c r="AM101" i="2"/>
  <c r="AL101" i="2"/>
  <c r="AK101" i="2"/>
  <c r="AN100" i="2"/>
  <c r="AM100" i="2"/>
  <c r="AL100" i="2"/>
  <c r="AK100" i="2"/>
  <c r="AN99" i="2"/>
  <c r="AM99" i="2"/>
  <c r="AL99" i="2"/>
  <c r="AK99" i="2"/>
  <c r="AN98" i="2"/>
  <c r="AM98" i="2"/>
  <c r="AL98" i="2"/>
  <c r="AK98" i="2"/>
  <c r="AN97" i="2"/>
  <c r="AM97" i="2"/>
  <c r="AL97" i="2"/>
  <c r="AK97" i="2"/>
  <c r="AN96" i="2"/>
  <c r="AM96" i="2"/>
  <c r="AL96" i="2"/>
  <c r="AK96" i="2"/>
  <c r="AN95" i="2"/>
  <c r="AM95" i="2"/>
  <c r="AL95" i="2"/>
  <c r="AK95" i="2"/>
  <c r="AN94" i="2"/>
  <c r="AM94" i="2"/>
  <c r="AL94" i="2"/>
  <c r="AK94" i="2"/>
  <c r="AN93" i="2"/>
  <c r="AM93" i="2"/>
  <c r="AL93" i="2"/>
  <c r="AK93" i="2"/>
  <c r="AN92" i="2"/>
  <c r="AM92" i="2"/>
  <c r="AL92" i="2"/>
  <c r="AK92" i="2"/>
  <c r="AN91" i="2"/>
  <c r="AM91" i="2"/>
  <c r="AL91" i="2"/>
  <c r="AK91" i="2"/>
  <c r="AN90" i="2"/>
  <c r="AM90" i="2"/>
  <c r="AL90" i="2"/>
  <c r="AK90" i="2"/>
  <c r="AN89" i="2"/>
  <c r="AM89" i="2"/>
  <c r="AL89" i="2"/>
  <c r="AK89" i="2"/>
  <c r="AN88" i="2"/>
  <c r="AM88" i="2"/>
  <c r="AL88" i="2"/>
  <c r="AK88" i="2"/>
  <c r="AN87" i="2"/>
  <c r="AM87" i="2"/>
  <c r="AL87" i="2"/>
  <c r="AK87" i="2"/>
  <c r="AN86" i="2"/>
  <c r="AM86" i="2"/>
  <c r="AL86" i="2"/>
  <c r="AK86" i="2"/>
  <c r="AN85" i="2"/>
  <c r="AM85" i="2"/>
  <c r="AL85" i="2"/>
  <c r="AK85" i="2"/>
  <c r="AN84" i="2"/>
  <c r="AM84" i="2"/>
  <c r="AL84" i="2"/>
  <c r="AK84" i="2"/>
  <c r="AN83" i="2"/>
  <c r="AM83" i="2"/>
  <c r="AL83" i="2"/>
  <c r="AK83" i="2"/>
  <c r="AN82" i="2"/>
  <c r="AM82" i="2"/>
  <c r="AL82" i="2"/>
  <c r="AK82" i="2"/>
  <c r="AN81" i="2"/>
  <c r="AM81" i="2"/>
  <c r="AL81" i="2"/>
  <c r="AK81" i="2"/>
  <c r="AN80" i="2"/>
  <c r="AM80" i="2"/>
  <c r="AL80" i="2"/>
  <c r="AK80" i="2"/>
  <c r="AN79" i="2"/>
  <c r="AM79" i="2"/>
  <c r="AL79" i="2"/>
  <c r="AK79" i="2"/>
  <c r="AN78" i="2"/>
  <c r="AM78" i="2"/>
  <c r="AL78" i="2"/>
  <c r="AK78" i="2"/>
  <c r="AN77" i="2"/>
  <c r="AM77" i="2"/>
  <c r="AL77" i="2"/>
  <c r="AK77" i="2"/>
  <c r="AN76" i="2"/>
  <c r="AM76" i="2"/>
  <c r="AL76" i="2"/>
  <c r="AK76" i="2"/>
  <c r="AN75" i="2"/>
  <c r="AM75" i="2"/>
  <c r="AL75" i="2"/>
  <c r="AK75" i="2"/>
  <c r="AN74" i="2"/>
  <c r="AM74" i="2"/>
  <c r="AL74" i="2"/>
  <c r="AK74" i="2"/>
  <c r="AN73" i="2"/>
  <c r="AM73" i="2"/>
  <c r="AL73" i="2"/>
  <c r="AK73" i="2"/>
  <c r="AN72" i="2"/>
  <c r="AM72" i="2"/>
  <c r="AL72" i="2"/>
  <c r="AK72" i="2"/>
  <c r="AN71" i="2"/>
  <c r="AM71" i="2"/>
  <c r="AL71" i="2"/>
  <c r="AK71" i="2"/>
  <c r="AN70" i="2"/>
  <c r="AM70" i="2"/>
  <c r="AL70" i="2"/>
  <c r="AK70" i="2"/>
  <c r="AN69" i="2"/>
  <c r="AM69" i="2"/>
  <c r="AL69" i="2"/>
  <c r="AK69" i="2"/>
  <c r="AN68" i="2"/>
  <c r="AM68" i="2"/>
  <c r="AL68" i="2"/>
  <c r="AK68" i="2"/>
  <c r="AN67" i="2"/>
  <c r="AM67" i="2"/>
  <c r="AL67" i="2"/>
  <c r="AK67" i="2"/>
  <c r="AN66" i="2"/>
  <c r="AM66" i="2"/>
  <c r="AL66" i="2"/>
  <c r="AK66" i="2"/>
  <c r="AN65" i="2"/>
  <c r="AM65" i="2"/>
  <c r="AL65" i="2"/>
  <c r="AK65" i="2"/>
  <c r="AN64" i="2"/>
  <c r="AM64" i="2"/>
  <c r="AL64" i="2"/>
  <c r="AK64" i="2"/>
  <c r="AN63" i="2"/>
  <c r="AM63" i="2"/>
  <c r="AL63" i="2"/>
  <c r="AK63" i="2"/>
  <c r="AN62" i="2"/>
  <c r="AM62" i="2"/>
  <c r="AL62" i="2"/>
  <c r="AK62" i="2"/>
  <c r="AN61" i="2"/>
  <c r="AM61" i="2"/>
  <c r="AL61" i="2"/>
  <c r="AK61" i="2"/>
  <c r="AN60" i="2"/>
  <c r="AM60" i="2"/>
  <c r="AL60" i="2"/>
  <c r="AK60" i="2"/>
  <c r="AN59" i="2"/>
  <c r="AM59" i="2"/>
  <c r="AL59" i="2"/>
  <c r="AK59" i="2"/>
  <c r="AN58" i="2"/>
  <c r="AM58" i="2"/>
  <c r="AL58" i="2"/>
  <c r="AK58" i="2"/>
  <c r="AN57" i="2"/>
  <c r="AM57" i="2"/>
  <c r="AL57" i="2"/>
  <c r="AK57" i="2"/>
  <c r="AN56" i="2"/>
  <c r="AM56" i="2"/>
  <c r="AL56" i="2"/>
  <c r="AK56" i="2"/>
  <c r="AN55" i="2"/>
  <c r="AM55" i="2"/>
  <c r="AL55" i="2"/>
  <c r="AK55" i="2"/>
  <c r="AN54" i="2"/>
  <c r="AM54" i="2"/>
  <c r="AL54" i="2"/>
  <c r="AK54" i="2"/>
  <c r="AN53" i="2"/>
  <c r="AM53" i="2"/>
  <c r="AL53" i="2"/>
  <c r="AK53" i="2"/>
  <c r="AN52" i="2"/>
  <c r="AM52" i="2"/>
  <c r="AL52" i="2"/>
  <c r="AK52" i="2"/>
  <c r="AN51" i="2"/>
  <c r="AM51" i="2"/>
  <c r="AL51" i="2"/>
  <c r="AK51" i="2"/>
  <c r="AN50" i="2"/>
  <c r="AM50" i="2"/>
  <c r="AL50" i="2"/>
  <c r="AK50" i="2"/>
  <c r="AN49" i="2"/>
  <c r="AM49" i="2"/>
  <c r="AL49" i="2"/>
  <c r="AK49" i="2"/>
  <c r="AN48" i="2"/>
  <c r="AM48" i="2"/>
  <c r="AL48" i="2"/>
  <c r="AK48" i="2"/>
  <c r="AN47" i="2"/>
  <c r="AM47" i="2"/>
  <c r="AL47" i="2"/>
  <c r="AK47" i="2"/>
  <c r="AN46" i="2"/>
  <c r="AM46" i="2"/>
  <c r="AL46" i="2"/>
  <c r="AK46" i="2"/>
  <c r="AN45" i="2"/>
  <c r="AM45" i="2"/>
  <c r="AL45" i="2"/>
  <c r="AK45" i="2"/>
  <c r="AN44" i="2"/>
  <c r="AM44" i="2"/>
  <c r="AL44" i="2"/>
  <c r="AK44" i="2"/>
  <c r="AN43" i="2"/>
  <c r="AM43" i="2"/>
  <c r="AL43" i="2"/>
  <c r="AK43" i="2"/>
  <c r="AN42" i="2"/>
  <c r="AM42" i="2"/>
  <c r="AL42" i="2"/>
  <c r="AK42" i="2"/>
  <c r="AN41" i="2"/>
  <c r="AM41" i="2"/>
  <c r="AL41" i="2"/>
  <c r="AK41" i="2"/>
  <c r="AN40" i="2"/>
  <c r="AM40" i="2"/>
  <c r="AL40" i="2"/>
  <c r="AK40" i="2"/>
  <c r="AN39" i="2"/>
  <c r="AM39" i="2"/>
  <c r="AL39" i="2"/>
  <c r="AK39" i="2"/>
  <c r="AN38" i="2"/>
  <c r="AM38" i="2"/>
  <c r="AL38" i="2"/>
  <c r="AK38" i="2"/>
  <c r="AN37" i="2"/>
  <c r="AM37" i="2"/>
  <c r="AL37" i="2"/>
  <c r="AK37" i="2"/>
  <c r="AN36" i="2"/>
  <c r="AM36" i="2"/>
  <c r="AL36" i="2"/>
  <c r="AK36" i="2"/>
  <c r="AN35" i="2"/>
  <c r="AM35" i="2"/>
  <c r="AL35" i="2"/>
  <c r="AK35" i="2"/>
  <c r="AN34" i="2"/>
  <c r="AM34" i="2"/>
  <c r="AL34" i="2"/>
  <c r="AK34" i="2"/>
  <c r="AN33" i="2"/>
  <c r="AM33" i="2"/>
  <c r="AL33" i="2"/>
  <c r="AK33" i="2"/>
  <c r="AN32" i="2"/>
  <c r="AM32" i="2"/>
  <c r="AL32" i="2"/>
  <c r="AK32" i="2"/>
  <c r="AN31" i="2"/>
  <c r="AM31" i="2"/>
  <c r="AL31" i="2"/>
  <c r="AK31" i="2"/>
  <c r="AN30" i="2"/>
  <c r="AM30" i="2"/>
  <c r="AL30" i="2"/>
  <c r="AK30" i="2"/>
  <c r="AN29" i="2"/>
  <c r="AM29" i="2"/>
  <c r="AL29" i="2"/>
  <c r="AK29" i="2"/>
  <c r="AN28" i="2"/>
  <c r="AM28" i="2"/>
  <c r="AL28" i="2"/>
  <c r="AK28" i="2"/>
  <c r="AN27" i="2"/>
  <c r="AM27" i="2"/>
  <c r="AL27" i="2"/>
  <c r="AK27" i="2"/>
  <c r="AN26" i="2"/>
  <c r="AM26" i="2"/>
  <c r="AL26" i="2"/>
  <c r="AK26" i="2"/>
  <c r="AN25" i="2"/>
  <c r="AM25" i="2"/>
  <c r="AL25" i="2"/>
  <c r="AK25" i="2"/>
  <c r="AN24" i="2"/>
  <c r="AM24" i="2"/>
  <c r="AL24" i="2"/>
  <c r="AK24" i="2"/>
  <c r="AN23" i="2"/>
  <c r="AM23" i="2"/>
  <c r="AL23" i="2"/>
  <c r="AK23" i="2"/>
  <c r="AN22" i="2"/>
  <c r="AM22" i="2"/>
  <c r="AL22" i="2"/>
  <c r="AK22" i="2"/>
  <c r="AN21" i="2"/>
  <c r="AM21" i="2"/>
  <c r="AL21" i="2"/>
  <c r="AK21" i="2"/>
  <c r="AN20" i="2"/>
  <c r="AM20" i="2"/>
  <c r="AL20" i="2"/>
  <c r="AK20" i="2"/>
  <c r="AN19" i="2"/>
  <c r="AM19" i="2"/>
  <c r="AL19" i="2"/>
  <c r="AK19" i="2"/>
  <c r="AN18" i="2"/>
  <c r="AM18" i="2"/>
  <c r="AL18" i="2"/>
  <c r="AK18" i="2"/>
  <c r="AN17" i="2"/>
  <c r="AM17" i="2"/>
  <c r="AL17" i="2"/>
  <c r="AK17" i="2"/>
  <c r="AN16" i="2"/>
  <c r="AM16" i="2"/>
  <c r="AL16" i="2"/>
  <c r="AK16" i="2"/>
  <c r="AN15" i="2"/>
  <c r="AM15" i="2"/>
  <c r="AL15" i="2"/>
  <c r="AK15" i="2"/>
  <c r="AN14" i="2"/>
  <c r="AM14" i="2"/>
  <c r="AL14" i="2"/>
  <c r="AK14" i="2"/>
  <c r="AN13" i="2"/>
  <c r="AM13" i="2"/>
  <c r="AL13" i="2"/>
  <c r="AK13" i="2"/>
  <c r="AN12" i="2"/>
  <c r="AM12" i="2"/>
  <c r="AL12" i="2"/>
  <c r="AK12" i="2"/>
  <c r="AN11" i="2"/>
  <c r="AM11" i="2"/>
  <c r="AL11" i="2"/>
  <c r="AK11" i="2"/>
  <c r="AN10" i="2"/>
  <c r="AM10" i="2"/>
  <c r="AL10" i="2"/>
  <c r="AK10" i="2"/>
  <c r="AN9" i="2"/>
  <c r="AM9" i="2"/>
  <c r="AL9" i="2"/>
  <c r="AK9" i="2"/>
  <c r="AN8" i="2"/>
  <c r="AM8" i="2"/>
  <c r="AL8" i="2"/>
  <c r="AK8" i="2"/>
  <c r="AN7" i="2"/>
  <c r="AM7" i="2"/>
  <c r="AL7" i="2"/>
  <c r="AK7" i="2"/>
  <c r="AN6" i="2"/>
  <c r="AM6" i="2"/>
  <c r="AL6" i="2"/>
  <c r="AK6" i="2"/>
  <c r="AN5" i="2"/>
  <c r="AM5" i="2"/>
  <c r="AL5" i="2"/>
  <c r="AK5" i="2"/>
  <c r="AN4" i="2"/>
  <c r="AM4" i="2"/>
  <c r="AL4" i="2"/>
  <c r="AK4" i="2"/>
  <c r="AN3" i="2"/>
  <c r="AM3" i="2"/>
  <c r="AL3" i="2"/>
  <c r="AK3" i="2"/>
  <c r="AN2" i="2"/>
  <c r="AM2" i="2"/>
  <c r="AL2" i="2"/>
  <c r="AK2" i="2"/>
</calcChain>
</file>

<file path=xl/sharedStrings.xml><?xml version="1.0" encoding="utf-8"?>
<sst xmlns="http://schemas.openxmlformats.org/spreadsheetml/2006/main" count="88905" uniqueCount="9994">
  <si>
    <t>仓库ID</t>
  </si>
  <si>
    <t>客户</t>
  </si>
  <si>
    <t>产品</t>
  </si>
  <si>
    <t>中文描述</t>
  </si>
  <si>
    <t>英文描述</t>
  </si>
  <si>
    <t>批次</t>
  </si>
  <si>
    <t>库位</t>
  </si>
  <si>
    <t>跟踪号</t>
  </si>
  <si>
    <t>LPN</t>
  </si>
  <si>
    <t>单位</t>
  </si>
  <si>
    <t>库存数量</t>
  </si>
  <si>
    <t>分配数量</t>
  </si>
  <si>
    <t>冻结数量</t>
  </si>
  <si>
    <t>可用数量</t>
  </si>
  <si>
    <t>订单数</t>
  </si>
  <si>
    <t>补货待下架数量</t>
  </si>
  <si>
    <t>补货待上架数量</t>
  </si>
  <si>
    <t>待上架数量</t>
  </si>
  <si>
    <t>待移出数量</t>
  </si>
  <si>
    <t>待移入数量</t>
  </si>
  <si>
    <t>待调整数量</t>
  </si>
  <si>
    <t>体积</t>
  </si>
  <si>
    <t>毛重</t>
  </si>
  <si>
    <t>净重</t>
  </si>
  <si>
    <t>价值</t>
  </si>
  <si>
    <t>自定义1</t>
  </si>
  <si>
    <t>自定义2</t>
  </si>
  <si>
    <t>自定义3</t>
  </si>
  <si>
    <t>生产日期</t>
  </si>
  <si>
    <t>失效日期</t>
  </si>
  <si>
    <t>入库日期</t>
  </si>
  <si>
    <t>生产批号</t>
  </si>
  <si>
    <t>SAP库位</t>
  </si>
  <si>
    <t>特殊操作</t>
  </si>
  <si>
    <t>质量状态</t>
  </si>
  <si>
    <t>托数</t>
  </si>
  <si>
    <t>Age Range</t>
    <phoneticPr fontId="5" type="noConversion"/>
  </si>
  <si>
    <t>Category</t>
  </si>
  <si>
    <t>Product</t>
  </si>
  <si>
    <t>Color</t>
  </si>
  <si>
    <t>Age Range</t>
  </si>
  <si>
    <t>WH01</t>
  </si>
  <si>
    <t>BRITA</t>
  </si>
  <si>
    <t>1046726</t>
  </si>
  <si>
    <t>矿泉壶,PS透明壶身配亮黑色上盖1支装,Marella XL 1046726</t>
  </si>
  <si>
    <t>*</t>
  </si>
  <si>
    <t>LT00048387</t>
  </si>
  <si>
    <t>1A00101</t>
  </si>
  <si>
    <t>EA</t>
  </si>
  <si>
    <t/>
  </si>
  <si>
    <t>2024-04-02</t>
  </si>
  <si>
    <t>2033-04-02</t>
  </si>
  <si>
    <t>KI4121</t>
  </si>
  <si>
    <t>1020UR</t>
  </si>
  <si>
    <t>N</t>
  </si>
  <si>
    <t>&gt;360</t>
  </si>
  <si>
    <t>1049197</t>
  </si>
  <si>
    <t>矿泉壶,PS透明壶身配蓝色上盖12支装,,Green Pack 1049197</t>
  </si>
  <si>
    <t>LT00049548</t>
  </si>
  <si>
    <t>1A00102</t>
  </si>
  <si>
    <t>0000369439</t>
  </si>
  <si>
    <t>2024-04-28</t>
  </si>
  <si>
    <t>2031-04-28</t>
  </si>
  <si>
    <t>KI4174</t>
  </si>
  <si>
    <t>181-360</t>
  </si>
  <si>
    <t>1A00103</t>
  </si>
  <si>
    <t>0000369440</t>
  </si>
  <si>
    <t>91-180</t>
  </si>
  <si>
    <t>1053318</t>
  </si>
  <si>
    <t>F&amp;B Dispen Ladoga MXplus UVC Whi CU CN</t>
  </si>
  <si>
    <t>LT00052270</t>
  </si>
  <si>
    <t>1A00104</t>
  </si>
  <si>
    <t>0000372099</t>
  </si>
  <si>
    <t>2024-05-10</t>
  </si>
  <si>
    <t>2031-05-10</t>
  </si>
  <si>
    <t>WH4192</t>
  </si>
  <si>
    <t>1011UR</t>
  </si>
  <si>
    <t xml:space="preserve"> =&lt;90</t>
  </si>
  <si>
    <t>1A00105</t>
  </si>
  <si>
    <t>0000372100</t>
  </si>
  <si>
    <t>LT00052271</t>
  </si>
  <si>
    <t>1A00201</t>
  </si>
  <si>
    <t>WH4186</t>
  </si>
  <si>
    <t>1045641</t>
  </si>
  <si>
    <t>"Style XL LED4W Mxplus blue NT CU CNO_x000D_
滤水壶; Style 中国蓝 一壶一芯"</t>
  </si>
  <si>
    <t>LT00051320</t>
  </si>
  <si>
    <t>1A00202</t>
  </si>
  <si>
    <t>0000377378</t>
  </si>
  <si>
    <t>2024-06-15</t>
  </si>
  <si>
    <t>2031-06-15</t>
  </si>
  <si>
    <t>YE4236S2</t>
  </si>
  <si>
    <t>1A00203</t>
  </si>
  <si>
    <t>0000377379</t>
  </si>
  <si>
    <t>1036009</t>
  </si>
  <si>
    <t>Refill Fika mypure pro CB CN</t>
  </si>
  <si>
    <t>LT00045427</t>
  </si>
  <si>
    <t>1A00204</t>
  </si>
  <si>
    <t>0000353662</t>
  </si>
  <si>
    <t>2024-01-09</t>
  </si>
  <si>
    <t>2031-01-09</t>
  </si>
  <si>
    <t>2024-01-10</t>
  </si>
  <si>
    <t>0006207536</t>
  </si>
  <si>
    <t>1A00205</t>
  </si>
  <si>
    <t>0000372101</t>
  </si>
  <si>
    <t>1046537</t>
  </si>
  <si>
    <t>矿泉壶,PS透明壶身配蓝色上盖1支装,Marella XL 1046537</t>
  </si>
  <si>
    <t>LT00050853</t>
  </si>
  <si>
    <t>1A00302</t>
  </si>
  <si>
    <t>0000375652</t>
  </si>
  <si>
    <t>2024-06-01</t>
  </si>
  <si>
    <t>2031-06-01</t>
  </si>
  <si>
    <t>KI4227</t>
  </si>
  <si>
    <t>1036010</t>
  </si>
  <si>
    <t>Refill Fika mypure pro CB-UF CN</t>
  </si>
  <si>
    <t>LT00050982</t>
  </si>
  <si>
    <t>1A00303</t>
  </si>
  <si>
    <t>0000376239</t>
  </si>
  <si>
    <t>2024-06-06</t>
  </si>
  <si>
    <t>2031-06-06</t>
  </si>
  <si>
    <t>0006229620</t>
  </si>
  <si>
    <t>1A00304</t>
  </si>
  <si>
    <t>0000377380</t>
  </si>
  <si>
    <t>1A00305</t>
  </si>
  <si>
    <t>0000377381</t>
  </si>
  <si>
    <t>1A00401</t>
  </si>
  <si>
    <t>LT00050065</t>
  </si>
  <si>
    <t>1A00402</t>
  </si>
  <si>
    <t>0000372416</t>
  </si>
  <si>
    <t>2024-05-13</t>
  </si>
  <si>
    <t>2031-05-13</t>
  </si>
  <si>
    <t>KI4196</t>
  </si>
  <si>
    <t>1A00403</t>
  </si>
  <si>
    <t>0000377382</t>
  </si>
  <si>
    <t>1A00404</t>
  </si>
  <si>
    <t>0000375653</t>
  </si>
  <si>
    <t>1A00405</t>
  </si>
  <si>
    <t>0000372102</t>
  </si>
  <si>
    <t>1A00502</t>
  </si>
  <si>
    <t>0000375654</t>
  </si>
  <si>
    <t>1A00503</t>
  </si>
  <si>
    <t>0000377383</t>
  </si>
  <si>
    <t>LT00052264</t>
  </si>
  <si>
    <t>1A00504</t>
  </si>
  <si>
    <t>0000380812</t>
  </si>
  <si>
    <t>2024-07-09</t>
  </si>
  <si>
    <t>2031-07-09</t>
  </si>
  <si>
    <t>0006226547</t>
  </si>
  <si>
    <t>1A00505</t>
  </si>
  <si>
    <t>0000377384</t>
  </si>
  <si>
    <t>1A00602</t>
  </si>
  <si>
    <t>0000375655</t>
  </si>
  <si>
    <t>LT00050855</t>
  </si>
  <si>
    <t>1A00603</t>
  </si>
  <si>
    <t>0000375656</t>
  </si>
  <si>
    <t>2024-06-03</t>
  </si>
  <si>
    <t>2031-06-03</t>
  </si>
  <si>
    <t>1A00604</t>
  </si>
  <si>
    <t>0000375657</t>
  </si>
  <si>
    <t>1A00605</t>
  </si>
  <si>
    <t>0000375658</t>
  </si>
  <si>
    <t>1A00702</t>
  </si>
  <si>
    <t>0000372104</t>
  </si>
  <si>
    <t>1046582</t>
  </si>
  <si>
    <t>Style XL LED4W bl incl 1UN +5LE SIOC CNO</t>
  </si>
  <si>
    <t>LT00047350</t>
  </si>
  <si>
    <t>1A00703</t>
  </si>
  <si>
    <t>0000360561</t>
  </si>
  <si>
    <t>2024-03-06</t>
  </si>
  <si>
    <t>2030-03-06</t>
  </si>
  <si>
    <t>2024-03-07</t>
  </si>
  <si>
    <t>YE4036S2</t>
  </si>
  <si>
    <t>1A00704</t>
  </si>
  <si>
    <t>0000360562</t>
  </si>
  <si>
    <t>1A00705</t>
  </si>
  <si>
    <t>0000372105</t>
  </si>
  <si>
    <t>1A00802</t>
  </si>
  <si>
    <t>0000372417</t>
  </si>
  <si>
    <t>1A00803</t>
  </si>
  <si>
    <t>0000372106</t>
  </si>
  <si>
    <t>1A00804</t>
  </si>
  <si>
    <t>0000364327</t>
  </si>
  <si>
    <t>1A00805</t>
  </si>
  <si>
    <t>0000372107</t>
  </si>
  <si>
    <t>1A00902</t>
  </si>
  <si>
    <t>0000360563</t>
  </si>
  <si>
    <t>1A00903</t>
  </si>
  <si>
    <t>0000375659</t>
  </si>
  <si>
    <t>1A00904</t>
  </si>
  <si>
    <t>0000375660</t>
  </si>
  <si>
    <t>1A00905</t>
  </si>
  <si>
    <t>0000377385</t>
  </si>
  <si>
    <t>1A01002</t>
  </si>
  <si>
    <t>0000360564</t>
  </si>
  <si>
    <t>1A01003</t>
  </si>
  <si>
    <t>0000375661</t>
  </si>
  <si>
    <t>1A01004</t>
  </si>
  <si>
    <t>0000377386</t>
  </si>
  <si>
    <t>1A01005</t>
  </si>
  <si>
    <t>0000377387</t>
  </si>
  <si>
    <t>1A01102</t>
  </si>
  <si>
    <t>0000377388</t>
  </si>
  <si>
    <t>LT00051629</t>
  </si>
  <si>
    <t>1A01103</t>
  </si>
  <si>
    <t>0000378671</t>
  </si>
  <si>
    <t>2024-06-22</t>
  </si>
  <si>
    <t>2031-06-22</t>
  </si>
  <si>
    <t>2024-06-24</t>
  </si>
  <si>
    <t>WH4245</t>
  </si>
  <si>
    <t>1053517</t>
  </si>
  <si>
    <t>"Kalea XL ME4W grey MXpl SIOC CNO
滤水壶：Kalea XL 一壶一芯灰色"</t>
  </si>
  <si>
    <t>LT00050621</t>
  </si>
  <si>
    <t>1A01104</t>
  </si>
  <si>
    <t>0000374582</t>
  </si>
  <si>
    <t>2024-05-27</t>
  </si>
  <si>
    <t>2031-05-27</t>
  </si>
  <si>
    <t>2024-05-28</t>
  </si>
  <si>
    <t>YE4185K1</t>
  </si>
  <si>
    <t>1A01105</t>
  </si>
  <si>
    <t>0000377389</t>
  </si>
  <si>
    <t>1035761</t>
  </si>
  <si>
    <t>mypure pro X3 Dummy CU CN</t>
  </si>
  <si>
    <t>LT00033527</t>
  </si>
  <si>
    <t>1A01203</t>
  </si>
  <si>
    <t>0000259897</t>
  </si>
  <si>
    <t>2022-03-21</t>
  </si>
  <si>
    <t>2028-03-21</t>
  </si>
  <si>
    <t>0006140793</t>
  </si>
  <si>
    <t>1022UR</t>
  </si>
  <si>
    <t>1A01204</t>
  </si>
  <si>
    <t>0000378672</t>
  </si>
  <si>
    <t>1A01205</t>
  </si>
  <si>
    <t>0000377390</t>
  </si>
  <si>
    <t>1A01302</t>
  </si>
  <si>
    <t>0000380813</t>
  </si>
  <si>
    <t>1A01303</t>
  </si>
  <si>
    <t>0000375662</t>
  </si>
  <si>
    <t>1A01304</t>
  </si>
  <si>
    <t>0000375663</t>
  </si>
  <si>
    <t>1A01305</t>
  </si>
  <si>
    <t>0000380814</t>
  </si>
  <si>
    <t>1028474</t>
  </si>
  <si>
    <t>mypure pro X6 CU CN</t>
  </si>
  <si>
    <t>LT00047153</t>
  </si>
  <si>
    <t>1A01402</t>
  </si>
  <si>
    <t>0000359915</t>
  </si>
  <si>
    <t>2024-03-01</t>
  </si>
  <si>
    <t>2031-03-01</t>
  </si>
  <si>
    <t>2024-03-02</t>
  </si>
  <si>
    <t>0006214323</t>
  </si>
  <si>
    <t>1A01403</t>
  </si>
  <si>
    <t>0000375664</t>
  </si>
  <si>
    <t>1A01404</t>
  </si>
  <si>
    <t>0000375665</t>
  </si>
  <si>
    <t>1A01405</t>
  </si>
  <si>
    <t>0000375666</t>
  </si>
  <si>
    <t>1A01502</t>
  </si>
  <si>
    <t>0000375667</t>
  </si>
  <si>
    <t>1A01503</t>
  </si>
  <si>
    <t>0000375668</t>
  </si>
  <si>
    <t>1A01504</t>
  </si>
  <si>
    <t>0000375669</t>
  </si>
  <si>
    <t>1A01505</t>
  </si>
  <si>
    <t>0000375670</t>
  </si>
  <si>
    <t>1A01602</t>
  </si>
  <si>
    <t>0000375671</t>
  </si>
  <si>
    <t>LT00050856</t>
  </si>
  <si>
    <t>1A01603</t>
  </si>
  <si>
    <t>0000375672</t>
  </si>
  <si>
    <t>KI4221</t>
  </si>
  <si>
    <t>1A01604</t>
  </si>
  <si>
    <t>0000377391</t>
  </si>
  <si>
    <t>1A01605</t>
  </si>
  <si>
    <t>0000375673</t>
  </si>
  <si>
    <t>1A01702</t>
  </si>
  <si>
    <t>0000377392</t>
  </si>
  <si>
    <t>1A01703</t>
  </si>
  <si>
    <t>0000360565</t>
  </si>
  <si>
    <t>1A01704</t>
  </si>
  <si>
    <t>0000377393</t>
  </si>
  <si>
    <t>1A01705</t>
  </si>
  <si>
    <t>0000377394</t>
  </si>
  <si>
    <t>1A01801</t>
  </si>
  <si>
    <t>0000377395</t>
  </si>
  <si>
    <t>1A01802</t>
  </si>
  <si>
    <t>0000360566</t>
  </si>
  <si>
    <t>1049188</t>
  </si>
  <si>
    <t>矿泉壶,PS透明壶身配蓝色上盖6支装,,Green Pack 1049188</t>
  </si>
  <si>
    <t>LT00050093</t>
  </si>
  <si>
    <t>1A01803</t>
  </si>
  <si>
    <t>0000372763</t>
  </si>
  <si>
    <t>2024-05-14</t>
  </si>
  <si>
    <t>2031-05-14</t>
  </si>
  <si>
    <t>KI4182</t>
  </si>
  <si>
    <t>1A01804</t>
  </si>
  <si>
    <t>0000375674</t>
  </si>
  <si>
    <t>1A01805</t>
  </si>
  <si>
    <t>0000375675</t>
  </si>
  <si>
    <t>1A01901</t>
  </si>
  <si>
    <t>0000375676</t>
  </si>
  <si>
    <t>1A01902</t>
  </si>
  <si>
    <t>0000375677</t>
  </si>
  <si>
    <t>1043270</t>
  </si>
  <si>
    <t>"Aluna XL ME4W blue BCM CU CNO</t>
  </si>
  <si>
    <t>LT00047611</t>
  </si>
  <si>
    <t>1A01903</t>
  </si>
  <si>
    <t>2024-03-11</t>
  </si>
  <si>
    <t>2031-03-11</t>
  </si>
  <si>
    <t>YE4087A3</t>
  </si>
  <si>
    <t>1A01904</t>
  </si>
  <si>
    <t>1A01905</t>
  </si>
  <si>
    <t>1A02001</t>
  </si>
  <si>
    <t>0000372764</t>
  </si>
  <si>
    <t>1A02002</t>
  </si>
  <si>
    <t>0000375678</t>
  </si>
  <si>
    <t>1A02003</t>
  </si>
  <si>
    <t>0000375679</t>
  </si>
  <si>
    <t>1A02004</t>
  </si>
  <si>
    <t>0000377396</t>
  </si>
  <si>
    <t>1A02005</t>
  </si>
  <si>
    <t>1A02101</t>
  </si>
  <si>
    <t>1A02102</t>
  </si>
  <si>
    <t>0000375680</t>
  </si>
  <si>
    <t>1A02103</t>
  </si>
  <si>
    <t>0000377397</t>
  </si>
  <si>
    <t>1A02104</t>
  </si>
  <si>
    <t>0000377398</t>
  </si>
  <si>
    <t>1A02105</t>
  </si>
  <si>
    <t>0000377399</t>
  </si>
  <si>
    <t>1A02201</t>
  </si>
  <si>
    <t>0000377400</t>
  </si>
  <si>
    <t>1035120</t>
  </si>
  <si>
    <t>Style XL Lime incl 3MX+ sleeve CU CN</t>
  </si>
  <si>
    <t>LT00035998</t>
  </si>
  <si>
    <t>1A02202</t>
  </si>
  <si>
    <t>0000062186</t>
  </si>
  <si>
    <t>2020-01-12</t>
  </si>
  <si>
    <t>2026-01-12</t>
  </si>
  <si>
    <t>4500294665</t>
  </si>
  <si>
    <t>1024UR</t>
  </si>
  <si>
    <t>1A02203</t>
  </si>
  <si>
    <t>0000375681</t>
  </si>
  <si>
    <t>1044823</t>
  </si>
  <si>
    <t>矿泉壶,PS透明壶身配亮蓝色上盖6支装,Green Pack版本</t>
  </si>
  <si>
    <t>LT00042760</t>
  </si>
  <si>
    <t>1A02204</t>
  </si>
  <si>
    <t>0000256796</t>
  </si>
  <si>
    <t>2022-02-19</t>
  </si>
  <si>
    <t>2029-02-19</t>
  </si>
  <si>
    <t>KI2034</t>
  </si>
  <si>
    <t>LT00051321</t>
  </si>
  <si>
    <t>1A02205</t>
  </si>
  <si>
    <t>0000377401</t>
  </si>
  <si>
    <t>YE4235S2</t>
  </si>
  <si>
    <t>1A02301</t>
  </si>
  <si>
    <t>0000364328</t>
  </si>
  <si>
    <t>1A02302</t>
  </si>
  <si>
    <t>0000375682</t>
  </si>
  <si>
    <t>1A02303</t>
  </si>
  <si>
    <t>0000374583</t>
  </si>
  <si>
    <t>1055034</t>
  </si>
  <si>
    <t>矿泉壶,PS透明壶身配蓝色上盖3支装,Marella XL 1055034</t>
  </si>
  <si>
    <t>LT00049164</t>
  </si>
  <si>
    <t>1A02304</t>
  </si>
  <si>
    <t>0000367550</t>
  </si>
  <si>
    <t>2024-04-22</t>
  </si>
  <si>
    <t>2031-04-22</t>
  </si>
  <si>
    <t>KI4163</t>
  </si>
  <si>
    <t>1A02305</t>
  </si>
  <si>
    <t>0000375683</t>
  </si>
  <si>
    <t>1A02401</t>
  </si>
  <si>
    <t>0000360567</t>
  </si>
  <si>
    <t>1A02402</t>
  </si>
  <si>
    <t>0000374584</t>
  </si>
  <si>
    <t>LT00050143</t>
  </si>
  <si>
    <t>1A02403</t>
  </si>
  <si>
    <t>0000373090</t>
  </si>
  <si>
    <t>2024-05-16</t>
  </si>
  <si>
    <t>2031-05-16</t>
  </si>
  <si>
    <t>YE4182K1</t>
  </si>
  <si>
    <t>1A02404</t>
  </si>
  <si>
    <t>0000360568</t>
  </si>
  <si>
    <t>1A02405</t>
  </si>
  <si>
    <t>0000364329</t>
  </si>
  <si>
    <t>1A02501</t>
  </si>
  <si>
    <t>0000360569</t>
  </si>
  <si>
    <t>1A02502</t>
  </si>
  <si>
    <t>0000364330</t>
  </si>
  <si>
    <t>1A02503</t>
  </si>
  <si>
    <t>0000375684</t>
  </si>
  <si>
    <t>1A02504</t>
  </si>
  <si>
    <t>0000374585</t>
  </si>
  <si>
    <t>1A02505</t>
  </si>
  <si>
    <t>1A02601</t>
  </si>
  <si>
    <t>0000375685</t>
  </si>
  <si>
    <t>1A02602</t>
  </si>
  <si>
    <t>1A02603</t>
  </si>
  <si>
    <t>0000377402</t>
  </si>
  <si>
    <t>1A02604</t>
  </si>
  <si>
    <t>0000378673</t>
  </si>
  <si>
    <t>1A02605</t>
  </si>
  <si>
    <t>0000374586</t>
  </si>
  <si>
    <t>1A02701</t>
  </si>
  <si>
    <t>0000375686</t>
  </si>
  <si>
    <t>1035988</t>
  </si>
  <si>
    <t>Refill pack mypure pro X6 CU CN</t>
  </si>
  <si>
    <t>LT00052265</t>
  </si>
  <si>
    <t>1A02702</t>
  </si>
  <si>
    <t>0000380815</t>
  </si>
  <si>
    <t>0006236795</t>
  </si>
  <si>
    <t>1054682</t>
  </si>
  <si>
    <t>BRITA F款，1000G单出水，方款空壳机</t>
  </si>
  <si>
    <t>LT00052071</t>
  </si>
  <si>
    <t>1A02703</t>
  </si>
  <si>
    <t>0000379832</t>
  </si>
  <si>
    <t>2024-07-01</t>
  </si>
  <si>
    <t>2031-07-01</t>
  </si>
  <si>
    <t>2024-07-02</t>
  </si>
  <si>
    <t>1046728</t>
  </si>
  <si>
    <t>矿泉壶,PS透明壶身配亮银色上盖1支装,Marella XL 1046728</t>
  </si>
  <si>
    <t>LT00052072</t>
  </si>
  <si>
    <t>1A02704</t>
  </si>
  <si>
    <t>0000379833</t>
  </si>
  <si>
    <t>KI4225</t>
  </si>
  <si>
    <t>1A02705</t>
  </si>
  <si>
    <t>0000375687</t>
  </si>
  <si>
    <t>1A02803</t>
  </si>
  <si>
    <t>0000375688</t>
  </si>
  <si>
    <t>1A02804</t>
  </si>
  <si>
    <t>0000375689</t>
  </si>
  <si>
    <t>1A02805</t>
  </si>
  <si>
    <t>0000375690</t>
  </si>
  <si>
    <t>1A02903</t>
  </si>
  <si>
    <t>0000375691</t>
  </si>
  <si>
    <t>1A02904</t>
  </si>
  <si>
    <t>0000375692</t>
  </si>
  <si>
    <t>1A02905</t>
  </si>
  <si>
    <t>0000372765</t>
  </si>
  <si>
    <t>1A03003</t>
  </si>
  <si>
    <t>0000378674</t>
  </si>
  <si>
    <t>1A03004</t>
  </si>
  <si>
    <t>0000375693</t>
  </si>
  <si>
    <t>1A03005</t>
  </si>
  <si>
    <t>0000378675</t>
  </si>
  <si>
    <t>1A03101</t>
  </si>
  <si>
    <t>0000375694</t>
  </si>
  <si>
    <t>1A03102</t>
  </si>
  <si>
    <t>0000360570</t>
  </si>
  <si>
    <t>1A03103</t>
  </si>
  <si>
    <t>0000379834</t>
  </si>
  <si>
    <t>1A03104</t>
  </si>
  <si>
    <t>0000360571</t>
  </si>
  <si>
    <t>1022182</t>
  </si>
  <si>
    <t>mypure R8 CU CN</t>
  </si>
  <si>
    <t>LT00042813</t>
  </si>
  <si>
    <t>1A03105</t>
  </si>
  <si>
    <t>0000344772</t>
  </si>
  <si>
    <t>2023-10-25</t>
  </si>
  <si>
    <t>2030-10-25</t>
  </si>
  <si>
    <t>KI3293</t>
  </si>
  <si>
    <t>LT00042814</t>
  </si>
  <si>
    <t>1A03201</t>
  </si>
  <si>
    <t>0000344773</t>
  </si>
  <si>
    <t>KI3385</t>
  </si>
  <si>
    <t>1A03202</t>
  </si>
  <si>
    <t>0000344774</t>
  </si>
  <si>
    <t>1A03203</t>
  </si>
  <si>
    <t>0000375695</t>
  </si>
  <si>
    <t>LT00050020</t>
  </si>
  <si>
    <t>1A03204</t>
  </si>
  <si>
    <t>0000372194</t>
  </si>
  <si>
    <t>2024-05-11</t>
  </si>
  <si>
    <t>2031-05-11</t>
  </si>
  <si>
    <t>YE4174S2</t>
  </si>
  <si>
    <t>1A03205</t>
  </si>
  <si>
    <t>0000372195</t>
  </si>
  <si>
    <t>1A03301</t>
  </si>
  <si>
    <t>0000364331</t>
  </si>
  <si>
    <t>1A03302</t>
  </si>
  <si>
    <t>0000344775</t>
  </si>
  <si>
    <t>1A03303</t>
  </si>
  <si>
    <t>0000375696</t>
  </si>
  <si>
    <t>1043879</t>
  </si>
  <si>
    <t>Style LED4W MXPlUS blue CU CNO</t>
  </si>
  <si>
    <t>LT00042376</t>
  </si>
  <si>
    <t>1A03304</t>
  </si>
  <si>
    <t>0000342223</t>
  </si>
  <si>
    <t>2023-10-09</t>
  </si>
  <si>
    <t>2030-10-09</t>
  </si>
  <si>
    <t>00030576</t>
  </si>
  <si>
    <t>1A03305</t>
  </si>
  <si>
    <t>0000374587</t>
  </si>
  <si>
    <t>1A03402</t>
  </si>
  <si>
    <t>0000375697</t>
  </si>
  <si>
    <t>1A03403</t>
  </si>
  <si>
    <t>0000374588</t>
  </si>
  <si>
    <t>1A03404</t>
  </si>
  <si>
    <t>0000375698</t>
  </si>
  <si>
    <t>1A03405</t>
  </si>
  <si>
    <t>1A03501</t>
  </si>
  <si>
    <t>0000374589</t>
  </si>
  <si>
    <t>1A03502</t>
  </si>
  <si>
    <t>0000374590</t>
  </si>
  <si>
    <t>1046727</t>
  </si>
  <si>
    <t>矿泉壶,PS透明壶身配亮蓝色上盖1支装,Marella XL 1046727</t>
  </si>
  <si>
    <t>LT00040776</t>
  </si>
  <si>
    <t>1A03503</t>
  </si>
  <si>
    <t>0000324611</t>
  </si>
  <si>
    <t>2023-06-14</t>
  </si>
  <si>
    <t>2030-06-14</t>
  </si>
  <si>
    <t>KI3247</t>
  </si>
  <si>
    <t>1A03504</t>
  </si>
  <si>
    <t>0000324612</t>
  </si>
  <si>
    <t>1A03505</t>
  </si>
  <si>
    <t>0000324613</t>
  </si>
  <si>
    <t>1A03601</t>
  </si>
  <si>
    <t>0000324614</t>
  </si>
  <si>
    <t>1A03602</t>
  </si>
  <si>
    <t>0000324615</t>
  </si>
  <si>
    <t>1A03603</t>
  </si>
  <si>
    <t>0000372418</t>
  </si>
  <si>
    <t>1A03604</t>
  </si>
  <si>
    <t>0000372419</t>
  </si>
  <si>
    <t>1036011</t>
  </si>
  <si>
    <t>Refill Fika mypure pro CB-UP CN</t>
  </si>
  <si>
    <t>LT00052266</t>
  </si>
  <si>
    <t>1A03605</t>
  </si>
  <si>
    <t>0000380816</t>
  </si>
  <si>
    <t>0006231109</t>
  </si>
  <si>
    <t>1A03701</t>
  </si>
  <si>
    <t>0000372196</t>
  </si>
  <si>
    <t>1A03702</t>
  </si>
  <si>
    <t>0000360572</t>
  </si>
  <si>
    <t>1A03703</t>
  </si>
  <si>
    <t>0000360573</t>
  </si>
  <si>
    <t>1A03704</t>
  </si>
  <si>
    <t>0000360574</t>
  </si>
  <si>
    <t>1A03705</t>
  </si>
  <si>
    <t>0000375699</t>
  </si>
  <si>
    <t>1A03801</t>
  </si>
  <si>
    <t>0000360575</t>
  </si>
  <si>
    <t>1A03802</t>
  </si>
  <si>
    <t>0000379835</t>
  </si>
  <si>
    <t>1A03803</t>
  </si>
  <si>
    <t>0000379836</t>
  </si>
  <si>
    <t>1A03804</t>
  </si>
  <si>
    <t>0000324616</t>
  </si>
  <si>
    <t>1A03805</t>
  </si>
  <si>
    <t>0000324617</t>
  </si>
  <si>
    <t>1A03901</t>
  </si>
  <si>
    <t>0000324618</t>
  </si>
  <si>
    <t>1A03902</t>
  </si>
  <si>
    <t>0000324619</t>
  </si>
  <si>
    <t>1A03903</t>
  </si>
  <si>
    <t>0000324620</t>
  </si>
  <si>
    <t>1049191</t>
  </si>
  <si>
    <t>矿泉壶,PS透明壶身配蓝色上盖6支装,,Green Pack 1049191</t>
  </si>
  <si>
    <t>LT00052073</t>
  </si>
  <si>
    <t>1A03904</t>
  </si>
  <si>
    <t>0000379837</t>
  </si>
  <si>
    <t>KI4222</t>
  </si>
  <si>
    <t>1A03905</t>
  </si>
  <si>
    <t>0000324621</t>
  </si>
  <si>
    <t>1A04002</t>
  </si>
  <si>
    <t>0000324622</t>
  </si>
  <si>
    <t>1A04003</t>
  </si>
  <si>
    <t>0000375700</t>
  </si>
  <si>
    <t>1A04004</t>
  </si>
  <si>
    <t>0000324623</t>
  </si>
  <si>
    <t>1A04005</t>
  </si>
  <si>
    <t>0000324624</t>
  </si>
  <si>
    <t>1A04101</t>
  </si>
  <si>
    <t>0000375701</t>
  </si>
  <si>
    <t>1A04102</t>
  </si>
  <si>
    <t>0000324625</t>
  </si>
  <si>
    <t>1A04103</t>
  </si>
  <si>
    <t>0000324626</t>
  </si>
  <si>
    <t>1A04104</t>
  </si>
  <si>
    <t>0000324627</t>
  </si>
  <si>
    <t>1A04105</t>
  </si>
  <si>
    <t>0000360576</t>
  </si>
  <si>
    <t>1A04201</t>
  </si>
  <si>
    <t>0000360577</t>
  </si>
  <si>
    <t>1A04202</t>
  </si>
  <si>
    <t>1A04203</t>
  </si>
  <si>
    <t>0000372420</t>
  </si>
  <si>
    <t>1A04204</t>
  </si>
  <si>
    <t>0000324628</t>
  </si>
  <si>
    <t>1A04205</t>
  </si>
  <si>
    <t>0000372421</t>
  </si>
  <si>
    <t>1A04301</t>
  </si>
  <si>
    <t>0000372422</t>
  </si>
  <si>
    <t>1A04302</t>
  </si>
  <si>
    <t>0000324629</t>
  </si>
  <si>
    <t>1A04303</t>
  </si>
  <si>
    <t>0000372423</t>
  </si>
  <si>
    <t>1A04304</t>
  </si>
  <si>
    <t>0000324630</t>
  </si>
  <si>
    <t>1A04305</t>
  </si>
  <si>
    <t>0000372197</t>
  </si>
  <si>
    <t>1A04401</t>
  </si>
  <si>
    <t>0000379838</t>
  </si>
  <si>
    <t>1A04402</t>
  </si>
  <si>
    <t>0000324631</t>
  </si>
  <si>
    <t>1A04403</t>
  </si>
  <si>
    <t>0000379839</t>
  </si>
  <si>
    <t>1A04404</t>
  </si>
  <si>
    <t>0000372198</t>
  </si>
  <si>
    <t>1A04405</t>
  </si>
  <si>
    <t>0000379840</t>
  </si>
  <si>
    <t>1A04501</t>
  </si>
  <si>
    <t>0000360578</t>
  </si>
  <si>
    <t>1A04502</t>
  </si>
  <si>
    <t>0000372199</t>
  </si>
  <si>
    <t>1A04503</t>
  </si>
  <si>
    <t>0000360579</t>
  </si>
  <si>
    <t>1A04504</t>
  </si>
  <si>
    <t>0000379841</t>
  </si>
  <si>
    <t>1A04505</t>
  </si>
  <si>
    <t>0000342224</t>
  </si>
  <si>
    <t>1A04601</t>
  </si>
  <si>
    <t>0000342225</t>
  </si>
  <si>
    <t>1A04602</t>
  </si>
  <si>
    <t>0000342226</t>
  </si>
  <si>
    <t>1A04603</t>
  </si>
  <si>
    <t>0000379842</t>
  </si>
  <si>
    <t>1A04604</t>
  </si>
  <si>
    <t>0000342227</t>
  </si>
  <si>
    <t>1A04605</t>
  </si>
  <si>
    <t>0000342228</t>
  </si>
  <si>
    <t>1A04701</t>
  </si>
  <si>
    <t>0000378676</t>
  </si>
  <si>
    <t>1A04702</t>
  </si>
  <si>
    <t>0000372200</t>
  </si>
  <si>
    <t>1A04703</t>
  </si>
  <si>
    <t>0000372201</t>
  </si>
  <si>
    <t>1A04704</t>
  </si>
  <si>
    <t>0000372202</t>
  </si>
  <si>
    <t>1A04705</t>
  </si>
  <si>
    <t>0000379843</t>
  </si>
  <si>
    <t>1A04801</t>
  </si>
  <si>
    <t>0000375702</t>
  </si>
  <si>
    <t>1A04802</t>
  </si>
  <si>
    <t>0000379844</t>
  </si>
  <si>
    <t>1A04803</t>
  </si>
  <si>
    <t>0000372203</t>
  </si>
  <si>
    <t>1035987</t>
  </si>
  <si>
    <t>Refill pack mypure pro X3 CU CN</t>
  </si>
  <si>
    <t>LT00043434</t>
  </si>
  <si>
    <t>1A04804</t>
  </si>
  <si>
    <t>0000347906</t>
  </si>
  <si>
    <t>2023-11-17</t>
  </si>
  <si>
    <t>2030-11-17</t>
  </si>
  <si>
    <t>2023-11-18</t>
  </si>
  <si>
    <t>0006203784</t>
  </si>
  <si>
    <t>1A04805</t>
  </si>
  <si>
    <t>0000360580</t>
  </si>
  <si>
    <t>1A04901</t>
  </si>
  <si>
    <t>0000379845</t>
  </si>
  <si>
    <t>1A04902</t>
  </si>
  <si>
    <t>0000342229</t>
  </si>
  <si>
    <t>1A04903</t>
  </si>
  <si>
    <t>0000360581</t>
  </si>
  <si>
    <t>1A04904</t>
  </si>
  <si>
    <t>0000360582</t>
  </si>
  <si>
    <t>1A04905</t>
  </si>
  <si>
    <t>0000342230</t>
  </si>
  <si>
    <t>1A05001</t>
  </si>
  <si>
    <t>0000342231</t>
  </si>
  <si>
    <t>1A05002</t>
  </si>
  <si>
    <t>0000342232</t>
  </si>
  <si>
    <t>1A05003</t>
  </si>
  <si>
    <t>0000379846</t>
  </si>
  <si>
    <t>1A05004</t>
  </si>
  <si>
    <t>0000342233</t>
  </si>
  <si>
    <t>1A05005</t>
  </si>
  <si>
    <t>0000342234</t>
  </si>
  <si>
    <t>1A05101</t>
  </si>
  <si>
    <t>0000379847</t>
  </si>
  <si>
    <t>1A05102</t>
  </si>
  <si>
    <t>0000360583</t>
  </si>
  <si>
    <t>1A05103</t>
  </si>
  <si>
    <t>0000360584</t>
  </si>
  <si>
    <t>LT00043466</t>
  </si>
  <si>
    <t>1A05104</t>
  </si>
  <si>
    <t>0000348148</t>
  </si>
  <si>
    <t>2023-11-20</t>
  </si>
  <si>
    <t>2030-11-20</t>
  </si>
  <si>
    <t>0006203787</t>
  </si>
  <si>
    <t>1A05105</t>
  </si>
  <si>
    <t>0000360585</t>
  </si>
  <si>
    <t>1A05201</t>
  </si>
  <si>
    <t>0000342235</t>
  </si>
  <si>
    <t>1A05202</t>
  </si>
  <si>
    <t>0000360586</t>
  </si>
  <si>
    <t>1A05203</t>
  </si>
  <si>
    <t>0000360587</t>
  </si>
  <si>
    <t>1A05204</t>
  </si>
  <si>
    <t>0000372204</t>
  </si>
  <si>
    <t>1A05205</t>
  </si>
  <si>
    <t>0000377403</t>
  </si>
  <si>
    <t>1A05301</t>
  </si>
  <si>
    <t>0000379848</t>
  </si>
  <si>
    <t>1A05302</t>
  </si>
  <si>
    <t>0000379849</t>
  </si>
  <si>
    <t>1A05303</t>
  </si>
  <si>
    <t>0000360588</t>
  </si>
  <si>
    <t>LT00050983</t>
  </si>
  <si>
    <t>1A05304</t>
  </si>
  <si>
    <t>0000376240</t>
  </si>
  <si>
    <t>0006222805</t>
  </si>
  <si>
    <t>1A05401</t>
  </si>
  <si>
    <t>0000342236</t>
  </si>
  <si>
    <t>1A05402</t>
  </si>
  <si>
    <t>0000360589</t>
  </si>
  <si>
    <t>1A05403</t>
  </si>
  <si>
    <t>0000342237</t>
  </si>
  <si>
    <t>1A05404</t>
  </si>
  <si>
    <t>0000342238</t>
  </si>
  <si>
    <t>1A05405</t>
  </si>
  <si>
    <t>0000375703</t>
  </si>
  <si>
    <t>1A05502</t>
  </si>
  <si>
    <t>0000342239</t>
  </si>
  <si>
    <t>1034162</t>
  </si>
  <si>
    <t>Dispenser mypure RO + U5 sparepart</t>
  </si>
  <si>
    <t>LT00043606</t>
  </si>
  <si>
    <t>1A05503</t>
  </si>
  <si>
    <t>0000348866</t>
  </si>
  <si>
    <t>2023-11-28</t>
  </si>
  <si>
    <t>2030-11-28</t>
  </si>
  <si>
    <t>1A05504</t>
  </si>
  <si>
    <t>0000372205</t>
  </si>
  <si>
    <t>1A05505</t>
  </si>
  <si>
    <t>0000342240</t>
  </si>
  <si>
    <t>1A05601</t>
  </si>
  <si>
    <t>0000372206</t>
  </si>
  <si>
    <t>1A05602</t>
  </si>
  <si>
    <t>0000342241</t>
  </si>
  <si>
    <t>1A05603</t>
  </si>
  <si>
    <t>0000342242</t>
  </si>
  <si>
    <t>1A05604</t>
  </si>
  <si>
    <t>0000342243</t>
  </si>
  <si>
    <t>1A05605</t>
  </si>
  <si>
    <t>0000342244</t>
  </si>
  <si>
    <t>1A05701</t>
  </si>
  <si>
    <t>0000342245</t>
  </si>
  <si>
    <t>1A05702</t>
  </si>
  <si>
    <t>0000372207</t>
  </si>
  <si>
    <t>1A05703</t>
  </si>
  <si>
    <t>0000372208</t>
  </si>
  <si>
    <t>1A05704</t>
  </si>
  <si>
    <t>0000379850</t>
  </si>
  <si>
    <t>1A05705</t>
  </si>
  <si>
    <t>0000342246</t>
  </si>
  <si>
    <t>1A05801</t>
  </si>
  <si>
    <t>0000342247</t>
  </si>
  <si>
    <t>1A05802</t>
  </si>
  <si>
    <t>0000342248</t>
  </si>
  <si>
    <t>1A05803</t>
  </si>
  <si>
    <t>0000367551</t>
  </si>
  <si>
    <t>1A05804</t>
  </si>
  <si>
    <t>0000342249</t>
  </si>
  <si>
    <t>1A05805</t>
  </si>
  <si>
    <t>0000342250</t>
  </si>
  <si>
    <t>1A05901</t>
  </si>
  <si>
    <t>0000342251</t>
  </si>
  <si>
    <t>1A05902</t>
  </si>
  <si>
    <t>0000372209</t>
  </si>
  <si>
    <t>1A05903</t>
  </si>
  <si>
    <t>0000372210</t>
  </si>
  <si>
    <t>1A05904</t>
  </si>
  <si>
    <t>0000372211</t>
  </si>
  <si>
    <t>1A05905</t>
  </si>
  <si>
    <t>0000372212</t>
  </si>
  <si>
    <t>1A06001</t>
  </si>
  <si>
    <t>0000372213</t>
  </si>
  <si>
    <t>1A06002</t>
  </si>
  <si>
    <t>0000367552</t>
  </si>
  <si>
    <t>1A06003</t>
  </si>
  <si>
    <t>0000367553</t>
  </si>
  <si>
    <t>1A06004</t>
  </si>
  <si>
    <t>0000367554</t>
  </si>
  <si>
    <t>1A06005</t>
  </si>
  <si>
    <t>0000367555</t>
  </si>
  <si>
    <t>1A06101</t>
  </si>
  <si>
    <t>0000378677</t>
  </si>
  <si>
    <t>1A06102</t>
  </si>
  <si>
    <t>0000367556</t>
  </si>
  <si>
    <t>1A06103</t>
  </si>
  <si>
    <t>0000367557</t>
  </si>
  <si>
    <t>1A06104</t>
  </si>
  <si>
    <t>0000378678</t>
  </si>
  <si>
    <t>1A06105</t>
  </si>
  <si>
    <t>0000373091</t>
  </si>
  <si>
    <t>LT00050027</t>
  </si>
  <si>
    <t>1A06201</t>
  </si>
  <si>
    <t>0000372217</t>
  </si>
  <si>
    <t>0006219968</t>
  </si>
  <si>
    <t>1A06202</t>
  </si>
  <si>
    <t>0000374591</t>
  </si>
  <si>
    <t>1A06203</t>
  </si>
  <si>
    <t>0000374592</t>
  </si>
  <si>
    <t>1A06204</t>
  </si>
  <si>
    <t>0000367558</t>
  </si>
  <si>
    <t>1A06205</t>
  </si>
  <si>
    <t>0000372218</t>
  </si>
  <si>
    <t>1A06301</t>
  </si>
  <si>
    <t>0000375704</t>
  </si>
  <si>
    <t>1A06302</t>
  </si>
  <si>
    <t>0000375705</t>
  </si>
  <si>
    <t>1A06303</t>
  </si>
  <si>
    <t>0000374593</t>
  </si>
  <si>
    <t>1A06304</t>
  </si>
  <si>
    <t>0000375706</t>
  </si>
  <si>
    <t>1046839</t>
  </si>
  <si>
    <t>Aluna XL ME4W blue incl 3MXpl SIOC CNO</t>
  </si>
  <si>
    <t>LT00028381</t>
  </si>
  <si>
    <t>1A06305</t>
  </si>
  <si>
    <t>0000265628</t>
  </si>
  <si>
    <t>2022-05-16</t>
  </si>
  <si>
    <t>2029-05-16</t>
  </si>
  <si>
    <t>YE2196A2</t>
  </si>
  <si>
    <t>1A06401</t>
  </si>
  <si>
    <t>0000375707</t>
  </si>
  <si>
    <t>1A06402</t>
  </si>
  <si>
    <t>0000265629</t>
  </si>
  <si>
    <t>1A06403</t>
  </si>
  <si>
    <t>0000265630</t>
  </si>
  <si>
    <t>1A06404</t>
  </si>
  <si>
    <t>0000375708</t>
  </si>
  <si>
    <t>1A06405</t>
  </si>
  <si>
    <t>0000265631</t>
  </si>
  <si>
    <t>1A06501</t>
  </si>
  <si>
    <t>0000265632</t>
  </si>
  <si>
    <t>1A06502</t>
  </si>
  <si>
    <t>0000375709</t>
  </si>
  <si>
    <t>1A06503</t>
  </si>
  <si>
    <t>0000375710</t>
  </si>
  <si>
    <t>1A06504</t>
  </si>
  <si>
    <t>0000265633</t>
  </si>
  <si>
    <t>1A06505</t>
  </si>
  <si>
    <t>0000265634</t>
  </si>
  <si>
    <t>1A06601</t>
  </si>
  <si>
    <t>0000265635</t>
  </si>
  <si>
    <t>1A06602</t>
  </si>
  <si>
    <t>0000375711</t>
  </si>
  <si>
    <t>1A06603</t>
  </si>
  <si>
    <t>0000265636</t>
  </si>
  <si>
    <t>1A06604</t>
  </si>
  <si>
    <t>0000265637</t>
  </si>
  <si>
    <t>1A06605</t>
  </si>
  <si>
    <t>0000265638</t>
  </si>
  <si>
    <t>1A06701</t>
  </si>
  <si>
    <t>0000375712</t>
  </si>
  <si>
    <t>1A06702</t>
  </si>
  <si>
    <t>0000375713</t>
  </si>
  <si>
    <t>1A06703</t>
  </si>
  <si>
    <t>0000265639</t>
  </si>
  <si>
    <t>1A06704</t>
  </si>
  <si>
    <t>0000265640</t>
  </si>
  <si>
    <t>1A06705</t>
  </si>
  <si>
    <t>0000375714</t>
  </si>
  <si>
    <t>1A06801</t>
  </si>
  <si>
    <t>0000265641</t>
  </si>
  <si>
    <t>LT00050857</t>
  </si>
  <si>
    <t>1A06802</t>
  </si>
  <si>
    <t>0000375715</t>
  </si>
  <si>
    <t>1A06803</t>
  </si>
  <si>
    <t>0000265642</t>
  </si>
  <si>
    <t>1A06804</t>
  </si>
  <si>
    <t>0000375716</t>
  </si>
  <si>
    <t>1A06805</t>
  </si>
  <si>
    <t>0000265643</t>
  </si>
  <si>
    <t>1A06901</t>
  </si>
  <si>
    <t>0000375717</t>
  </si>
  <si>
    <t>1A06902</t>
  </si>
  <si>
    <t>0000375718</t>
  </si>
  <si>
    <t>1A06903</t>
  </si>
  <si>
    <t>0000377404</t>
  </si>
  <si>
    <t>1A06904</t>
  </si>
  <si>
    <t>0000377405</t>
  </si>
  <si>
    <t>LT00043472</t>
  </si>
  <si>
    <t>1A06905</t>
  </si>
  <si>
    <t>0000348254</t>
  </si>
  <si>
    <t>2023-11-21</t>
  </si>
  <si>
    <t>2030-11-21</t>
  </si>
  <si>
    <t>1A07001</t>
  </si>
  <si>
    <t>0000372424</t>
  </si>
  <si>
    <t>1A07002</t>
  </si>
  <si>
    <t>0000377406</t>
  </si>
  <si>
    <t>1A07003</t>
  </si>
  <si>
    <t>0000377407</t>
  </si>
  <si>
    <t>1A07004</t>
  </si>
  <si>
    <t>0000364332</t>
  </si>
  <si>
    <t>1A07005</t>
  </si>
  <si>
    <t>0000375719</t>
  </si>
  <si>
    <t>1A07103</t>
  </si>
  <si>
    <t>0000379851</t>
  </si>
  <si>
    <t>1A07105</t>
  </si>
  <si>
    <t>0000372425</t>
  </si>
  <si>
    <t>LT00036275</t>
  </si>
  <si>
    <t>1A07203</t>
  </si>
  <si>
    <t>0000308314</t>
  </si>
  <si>
    <t>2023-03-22</t>
  </si>
  <si>
    <t>2030-03-22</t>
  </si>
  <si>
    <t>KI3064</t>
  </si>
  <si>
    <t>1A07205</t>
  </si>
  <si>
    <t>0000377408</t>
  </si>
  <si>
    <t>1A07303</t>
  </si>
  <si>
    <t>0000308315</t>
  </si>
  <si>
    <t>1A07304</t>
  </si>
  <si>
    <t>0000308316</t>
  </si>
  <si>
    <t>1A07305</t>
  </si>
  <si>
    <t>0000308317</t>
  </si>
  <si>
    <t>1A07403</t>
  </si>
  <si>
    <t>0000377409</t>
  </si>
  <si>
    <t>1A07404</t>
  </si>
  <si>
    <t>0000377410</t>
  </si>
  <si>
    <t>1A07601</t>
  </si>
  <si>
    <t>0000377411</t>
  </si>
  <si>
    <t>1A07602</t>
  </si>
  <si>
    <t>0000377412</t>
  </si>
  <si>
    <t>1A07604</t>
  </si>
  <si>
    <t>0000377413</t>
  </si>
  <si>
    <t>1A07702</t>
  </si>
  <si>
    <t>0000377414</t>
  </si>
  <si>
    <t>1A07703</t>
  </si>
  <si>
    <t>0000377415</t>
  </si>
  <si>
    <t>1A07705</t>
  </si>
  <si>
    <t>0000367559</t>
  </si>
  <si>
    <t>1B00101</t>
  </si>
  <si>
    <t>0000377416</t>
  </si>
  <si>
    <t>1B00102</t>
  </si>
  <si>
    <t>0000367560</t>
  </si>
  <si>
    <t>1B00103</t>
  </si>
  <si>
    <t>0000367561</t>
  </si>
  <si>
    <t>LT00049800</t>
  </si>
  <si>
    <t>1B00104</t>
  </si>
  <si>
    <t>0000370727</t>
  </si>
  <si>
    <t>2024-05-06</t>
  </si>
  <si>
    <t>2031-05-06</t>
  </si>
  <si>
    <t>KI4181</t>
  </si>
  <si>
    <t>1B00105</t>
  </si>
  <si>
    <t>0000367562</t>
  </si>
  <si>
    <t>1037707</t>
  </si>
  <si>
    <t>Fun ME4W pink MX incl 12MXplus LE CU CN</t>
  </si>
  <si>
    <t>LT00034894</t>
  </si>
  <si>
    <t>1B00201</t>
  </si>
  <si>
    <t>0000160271</t>
  </si>
  <si>
    <t>2020-10-30</t>
  </si>
  <si>
    <t>2027-10-30</t>
  </si>
  <si>
    <t>4500318323</t>
  </si>
  <si>
    <t>1B00202</t>
  </si>
  <si>
    <t>0000374594</t>
  </si>
  <si>
    <t>1B00203</t>
  </si>
  <si>
    <t>0000377417</t>
  </si>
  <si>
    <t>1B00204</t>
  </si>
  <si>
    <t>0000373092</t>
  </si>
  <si>
    <t>1B00205</t>
  </si>
  <si>
    <t>0000373093</t>
  </si>
  <si>
    <t>1B00301</t>
  </si>
  <si>
    <t>0000373094</t>
  </si>
  <si>
    <t>1B00302</t>
  </si>
  <si>
    <t>0000373095</t>
  </si>
  <si>
    <t>1B00303</t>
  </si>
  <si>
    <t>0000373096</t>
  </si>
  <si>
    <t>1B00304</t>
  </si>
  <si>
    <t>0000370728</t>
  </si>
  <si>
    <t>1B00305</t>
  </si>
  <si>
    <t>0000370729</t>
  </si>
  <si>
    <t>1053516</t>
  </si>
  <si>
    <t>"Kalea XL ME4W blue MXpl SIOC CNO
滤水壶：Kalea XL 一壶一芯蓝色"</t>
  </si>
  <si>
    <t>LT00050062</t>
  </si>
  <si>
    <t>1B00401</t>
  </si>
  <si>
    <t>0000372301</t>
  </si>
  <si>
    <t>2024-05-12</t>
  </si>
  <si>
    <t>YE4173K1</t>
  </si>
  <si>
    <t>1B00402</t>
  </si>
  <si>
    <t>0000374595</t>
  </si>
  <si>
    <t>1B00403</t>
  </si>
  <si>
    <t>0000369441</t>
  </si>
  <si>
    <t>1B00404</t>
  </si>
  <si>
    <t>0000370730</t>
  </si>
  <si>
    <t>1B00405</t>
  </si>
  <si>
    <t>0000374596</t>
  </si>
  <si>
    <t>1B00501</t>
  </si>
  <si>
    <t>0000370731</t>
  </si>
  <si>
    <t>1B00502</t>
  </si>
  <si>
    <t>0000372302</t>
  </si>
  <si>
    <t>1B00503</t>
  </si>
  <si>
    <t>0000374597</t>
  </si>
  <si>
    <t>1B00504</t>
  </si>
  <si>
    <t>0000342252</t>
  </si>
  <si>
    <t>1B00505</t>
  </si>
  <si>
    <t>0000372303</t>
  </si>
  <si>
    <t>1B00601</t>
  </si>
  <si>
    <t>0000370732</t>
  </si>
  <si>
    <t>1B00602</t>
  </si>
  <si>
    <t>0000372304</t>
  </si>
  <si>
    <t>1B00603</t>
  </si>
  <si>
    <t>0000342253</t>
  </si>
  <si>
    <t>1B00604</t>
  </si>
  <si>
    <t>0000370733</t>
  </si>
  <si>
    <t>1B00605</t>
  </si>
  <si>
    <t>0000369442</t>
  </si>
  <si>
    <t>1022183</t>
  </si>
  <si>
    <t>mypure U5 Ultra Filtration System</t>
  </si>
  <si>
    <t>LT00049516</t>
  </si>
  <si>
    <t>1B00701</t>
  </si>
  <si>
    <t>2024-04-26</t>
  </si>
  <si>
    <t>2031-04-26</t>
  </si>
  <si>
    <t>1B00702</t>
  </si>
  <si>
    <t>0000342254</t>
  </si>
  <si>
    <t>1B00703</t>
  </si>
  <si>
    <t>0000342255</t>
  </si>
  <si>
    <t>1B00704</t>
  </si>
  <si>
    <t>0000342256</t>
  </si>
  <si>
    <t>1B00705</t>
  </si>
  <si>
    <t>0000342257</t>
  </si>
  <si>
    <t>1B00801</t>
  </si>
  <si>
    <t>0000342258</t>
  </si>
  <si>
    <t>1B00802</t>
  </si>
  <si>
    <t>0000342259</t>
  </si>
  <si>
    <t>1B00803</t>
  </si>
  <si>
    <t>0000369443</t>
  </si>
  <si>
    <t>1B00804</t>
  </si>
  <si>
    <t>0000370734</t>
  </si>
  <si>
    <t>1B00805</t>
  </si>
  <si>
    <t>0000374598</t>
  </si>
  <si>
    <t>1B00901</t>
  </si>
  <si>
    <t>0000342260</t>
  </si>
  <si>
    <t>1B00902</t>
  </si>
  <si>
    <t>0000369444</t>
  </si>
  <si>
    <t>1B00903</t>
  </si>
  <si>
    <t>0000373097</t>
  </si>
  <si>
    <t>1B00904</t>
  </si>
  <si>
    <t>0000370735</t>
  </si>
  <si>
    <t>1B00905</t>
  </si>
  <si>
    <t>0000370736</t>
  </si>
  <si>
    <t>1B01001</t>
  </si>
  <si>
    <t>0000369445</t>
  </si>
  <si>
    <t>1B01002</t>
  </si>
  <si>
    <t>0000369446</t>
  </si>
  <si>
    <t>1B01003</t>
  </si>
  <si>
    <t>0000369447</t>
  </si>
  <si>
    <t>1B01004</t>
  </si>
  <si>
    <t>0000370737</t>
  </si>
  <si>
    <t>1B01005</t>
  </si>
  <si>
    <t>0000374599</t>
  </si>
  <si>
    <t>1B01101</t>
  </si>
  <si>
    <t>0000374600</t>
  </si>
  <si>
    <t>1B01102</t>
  </si>
  <si>
    <t>0000374601</t>
  </si>
  <si>
    <t>1B01103</t>
  </si>
  <si>
    <t>0000374602</t>
  </si>
  <si>
    <t>1B01104</t>
  </si>
  <si>
    <t>0000374603</t>
  </si>
  <si>
    <t>1B01105</t>
  </si>
  <si>
    <t>0000374604</t>
  </si>
  <si>
    <t>1B01201</t>
  </si>
  <si>
    <t>0000369448</t>
  </si>
  <si>
    <t>1B01202</t>
  </si>
  <si>
    <t>0000372305</t>
  </si>
  <si>
    <t>1B01203</t>
  </si>
  <si>
    <t>0000372306</t>
  </si>
  <si>
    <t>1B01204</t>
  </si>
  <si>
    <t>0000370738</t>
  </si>
  <si>
    <t>1B01205</t>
  </si>
  <si>
    <t>0000377418</t>
  </si>
  <si>
    <t>1B01301</t>
  </si>
  <si>
    <t>0000378679</t>
  </si>
  <si>
    <t>1B01302</t>
  </si>
  <si>
    <t>0000378680</t>
  </si>
  <si>
    <t>1B01303</t>
  </si>
  <si>
    <t>0000370739</t>
  </si>
  <si>
    <t>1B01304</t>
  </si>
  <si>
    <t>0000370740</t>
  </si>
  <si>
    <t>1B01305</t>
  </si>
  <si>
    <t>0000378681</t>
  </si>
  <si>
    <t>1B01401</t>
  </si>
  <si>
    <t>0000374605</t>
  </si>
  <si>
    <t>1B01402</t>
  </si>
  <si>
    <t>0000374606</t>
  </si>
  <si>
    <t>1B01403</t>
  </si>
  <si>
    <t>0000374607</t>
  </si>
  <si>
    <t>1B01404</t>
  </si>
  <si>
    <t>0000375720</t>
  </si>
  <si>
    <t>1B01405</t>
  </si>
  <si>
    <t>0000375721</t>
  </si>
  <si>
    <t>1B01501</t>
  </si>
  <si>
    <t>0000372766</t>
  </si>
  <si>
    <t>1B01502</t>
  </si>
  <si>
    <t>0000375722</t>
  </si>
  <si>
    <t>1B01503</t>
  </si>
  <si>
    <t>0000375723</t>
  </si>
  <si>
    <t>1B01504</t>
  </si>
  <si>
    <t>0000372767</t>
  </si>
  <si>
    <t>LT00049802</t>
  </si>
  <si>
    <t>1B01505</t>
  </si>
  <si>
    <t>0000370745</t>
  </si>
  <si>
    <t>KI4186</t>
  </si>
  <si>
    <t>1B01601</t>
  </si>
  <si>
    <t>0000370746</t>
  </si>
  <si>
    <t>1B01602</t>
  </si>
  <si>
    <t>0000375724</t>
  </si>
  <si>
    <t>1B01603</t>
  </si>
  <si>
    <t>0000375725</t>
  </si>
  <si>
    <t>1B01604</t>
  </si>
  <si>
    <t>0000375726</t>
  </si>
  <si>
    <t>1B01605</t>
  </si>
  <si>
    <t>0000375727</t>
  </si>
  <si>
    <t>1B01701</t>
  </si>
  <si>
    <t>0000370747</t>
  </si>
  <si>
    <t>1B01703</t>
  </si>
  <si>
    <t>0000370748</t>
  </si>
  <si>
    <t>1B01704</t>
  </si>
  <si>
    <t>0000370749</t>
  </si>
  <si>
    <t>1036008</t>
  </si>
  <si>
    <t>Refill Fika mypure pro ION-X CN</t>
  </si>
  <si>
    <t>LT00009917</t>
  </si>
  <si>
    <t>1B01802</t>
  </si>
  <si>
    <t>0000095442</t>
  </si>
  <si>
    <t>2020-06-18</t>
  </si>
  <si>
    <t>2027-06-18</t>
  </si>
  <si>
    <t>0006095505</t>
  </si>
  <si>
    <t>1B01803</t>
  </si>
  <si>
    <t>0000372768</t>
  </si>
  <si>
    <t>LT00049803</t>
  </si>
  <si>
    <t>1B01804</t>
  </si>
  <si>
    <t>0000370752</t>
  </si>
  <si>
    <t>1B01805</t>
  </si>
  <si>
    <t>0000370753</t>
  </si>
  <si>
    <t>1B01901</t>
  </si>
  <si>
    <t>0000370754</t>
  </si>
  <si>
    <t>1B01902</t>
  </si>
  <si>
    <t>0000370755</t>
  </si>
  <si>
    <t>1B01903</t>
  </si>
  <si>
    <t>0000370756</t>
  </si>
  <si>
    <t>1B01904</t>
  </si>
  <si>
    <t>0000370757</t>
  </si>
  <si>
    <t>1B01905</t>
  </si>
  <si>
    <t>0000372769</t>
  </si>
  <si>
    <t>1B02001</t>
  </si>
  <si>
    <t>0000372770</t>
  </si>
  <si>
    <t>1B02002</t>
  </si>
  <si>
    <t>0000372771</t>
  </si>
  <si>
    <t>1B02003</t>
  </si>
  <si>
    <t>0000372772</t>
  </si>
  <si>
    <t>1B02004</t>
  </si>
  <si>
    <t>0000370758</t>
  </si>
  <si>
    <t>1B02005</t>
  </si>
  <si>
    <t>0000370759</t>
  </si>
  <si>
    <t>1B02101</t>
  </si>
  <si>
    <t>0000369449</t>
  </si>
  <si>
    <t>1B02102</t>
  </si>
  <si>
    <t>0000370760</t>
  </si>
  <si>
    <t>1B02103</t>
  </si>
  <si>
    <t>0000369450</t>
  </si>
  <si>
    <t>1B02104</t>
  </si>
  <si>
    <t>0000378682</t>
  </si>
  <si>
    <t>1B02105</t>
  </si>
  <si>
    <t>0000378683</t>
  </si>
  <si>
    <t>1B02201</t>
  </si>
  <si>
    <t>0000378684</t>
  </si>
  <si>
    <t>1B02205</t>
  </si>
  <si>
    <t>0000374608</t>
  </si>
  <si>
    <t>1B02301</t>
  </si>
  <si>
    <t>0000372773</t>
  </si>
  <si>
    <t>1B02302</t>
  </si>
  <si>
    <t>0000374609</t>
  </si>
  <si>
    <t>LT00050623</t>
  </si>
  <si>
    <t>1B02303</t>
  </si>
  <si>
    <t>0000374612</t>
  </si>
  <si>
    <t>YE4215S2</t>
  </si>
  <si>
    <t>1B02305</t>
  </si>
  <si>
    <t>0000372774</t>
  </si>
  <si>
    <t>LT00050988</t>
  </si>
  <si>
    <t>1B02404</t>
  </si>
  <si>
    <t>0000376251</t>
  </si>
  <si>
    <t>0006231108</t>
  </si>
  <si>
    <t>LT00050989</t>
  </si>
  <si>
    <t>1B02501</t>
  </si>
  <si>
    <t>0000376252</t>
  </si>
  <si>
    <t>0006222808</t>
  </si>
  <si>
    <t>1054861</t>
  </si>
  <si>
    <t>RO机800G,石墨灰,智能龙头单出水,Brita F款,大陆方款,简体字</t>
  </si>
  <si>
    <t>LT00051801</t>
  </si>
  <si>
    <t>1B02502</t>
  </si>
  <si>
    <t>0000379224</t>
  </si>
  <si>
    <t>2024-06-26</t>
  </si>
  <si>
    <t>2031-06-26</t>
  </si>
  <si>
    <t>KI4254</t>
  </si>
  <si>
    <t>1B02503</t>
  </si>
  <si>
    <t>0000370761</t>
  </si>
  <si>
    <t>1B02504</t>
  </si>
  <si>
    <t>0000372775</t>
  </si>
  <si>
    <t>1B02505</t>
  </si>
  <si>
    <t>0000370762</t>
  </si>
  <si>
    <t>1B02601</t>
  </si>
  <si>
    <t>0000375728</t>
  </si>
  <si>
    <t>1B02602</t>
  </si>
  <si>
    <t>0000370763</t>
  </si>
  <si>
    <t>LT00028134</t>
  </si>
  <si>
    <t>1B02603</t>
  </si>
  <si>
    <t>0000264520</t>
  </si>
  <si>
    <t>2022-05-10</t>
  </si>
  <si>
    <t>2029-05-10</t>
  </si>
  <si>
    <t>0006144479</t>
  </si>
  <si>
    <t>1B02604</t>
  </si>
  <si>
    <t>0000379852</t>
  </si>
  <si>
    <t>1B02605</t>
  </si>
  <si>
    <t>0000374613</t>
  </si>
  <si>
    <t>1B02701</t>
  </si>
  <si>
    <t>0000370764</t>
  </si>
  <si>
    <t>1B02702</t>
  </si>
  <si>
    <t>0000370765</t>
  </si>
  <si>
    <t>1B02703</t>
  </si>
  <si>
    <t>0000374614</t>
  </si>
  <si>
    <t>1B02704</t>
  </si>
  <si>
    <t>0000374615</t>
  </si>
  <si>
    <t>1B02705</t>
  </si>
  <si>
    <t>0000374616</t>
  </si>
  <si>
    <t>1B02802</t>
  </si>
  <si>
    <t>0000374617</t>
  </si>
  <si>
    <t>1B02803</t>
  </si>
  <si>
    <t>0000374618</t>
  </si>
  <si>
    <t>1B02804</t>
  </si>
  <si>
    <t>0000375729</t>
  </si>
  <si>
    <t>1B02805</t>
  </si>
  <si>
    <t>0000375730</t>
  </si>
  <si>
    <t>1B02902</t>
  </si>
  <si>
    <t>0000375731</t>
  </si>
  <si>
    <t>1B02903</t>
  </si>
  <si>
    <t>0000375732</t>
  </si>
  <si>
    <t>1B02904</t>
  </si>
  <si>
    <t>0000372776</t>
  </si>
  <si>
    <t>1B02905</t>
  </si>
  <si>
    <t>0000375733</t>
  </si>
  <si>
    <t>1B03002</t>
  </si>
  <si>
    <t>0000375734</t>
  </si>
  <si>
    <t>1B03003</t>
  </si>
  <si>
    <t>0000372777</t>
  </si>
  <si>
    <t>1B03004</t>
  </si>
  <si>
    <t>0000372778</t>
  </si>
  <si>
    <t>1B03005</t>
  </si>
  <si>
    <t>0000375735</t>
  </si>
  <si>
    <t>1B03101</t>
  </si>
  <si>
    <t>0000372779</t>
  </si>
  <si>
    <t>1B03102</t>
  </si>
  <si>
    <t>0000372780</t>
  </si>
  <si>
    <t>1B03103</t>
  </si>
  <si>
    <t>0000375736</t>
  </si>
  <si>
    <t>1B03104</t>
  </si>
  <si>
    <t>0000374619</t>
  </si>
  <si>
    <t>LT00050858</t>
  </si>
  <si>
    <t>1B03105</t>
  </si>
  <si>
    <t>0000375737</t>
  </si>
  <si>
    <t>KI4223</t>
  </si>
  <si>
    <t>1B03201</t>
  </si>
  <si>
    <t>0000375738</t>
  </si>
  <si>
    <t>1B03202</t>
  </si>
  <si>
    <t>0000375739</t>
  </si>
  <si>
    <t>1B03203</t>
  </si>
  <si>
    <t>0000375740</t>
  </si>
  <si>
    <t>1B03204</t>
  </si>
  <si>
    <t>0000375741</t>
  </si>
  <si>
    <t>1B03205</t>
  </si>
  <si>
    <t>0000370766</t>
  </si>
  <si>
    <t>1B03301</t>
  </si>
  <si>
    <t>0000370767</t>
  </si>
  <si>
    <t>1B03302</t>
  </si>
  <si>
    <t>0000379853</t>
  </si>
  <si>
    <t>1B03303</t>
  </si>
  <si>
    <t>0000370768</t>
  </si>
  <si>
    <t>1B03304</t>
  </si>
  <si>
    <t>0000375742</t>
  </si>
  <si>
    <t>1B03305</t>
  </si>
  <si>
    <t>0000379854</t>
  </si>
  <si>
    <t>1B03401</t>
  </si>
  <si>
    <t>0000379855</t>
  </si>
  <si>
    <t>1B03402</t>
  </si>
  <si>
    <t>0000379856</t>
  </si>
  <si>
    <t>1B03403</t>
  </si>
  <si>
    <t>0000379857</t>
  </si>
  <si>
    <t>1B03404</t>
  </si>
  <si>
    <t>0000375743</t>
  </si>
  <si>
    <t>1B03405</t>
  </si>
  <si>
    <t>0000375744</t>
  </si>
  <si>
    <t>LT00052074</t>
  </si>
  <si>
    <t>1B03501</t>
  </si>
  <si>
    <t>0000379858</t>
  </si>
  <si>
    <t>1B03502</t>
  </si>
  <si>
    <t>0000379859</t>
  </si>
  <si>
    <t>1B03503</t>
  </si>
  <si>
    <t>0000379860</t>
  </si>
  <si>
    <t>1B03504</t>
  </si>
  <si>
    <t>0000374620</t>
  </si>
  <si>
    <t>1B03505</t>
  </si>
  <si>
    <t>0000372781</t>
  </si>
  <si>
    <t>1B03601</t>
  </si>
  <si>
    <t>1B03602</t>
  </si>
  <si>
    <t>1B03603</t>
  </si>
  <si>
    <t>1B03604</t>
  </si>
  <si>
    <t>1B03605</t>
  </si>
  <si>
    <t>1B03701</t>
  </si>
  <si>
    <t>1B03702</t>
  </si>
  <si>
    <t>0000364333</t>
  </si>
  <si>
    <t>1B03703</t>
  </si>
  <si>
    <t>0000364334</t>
  </si>
  <si>
    <t>1B03704</t>
  </si>
  <si>
    <t>0000364335</t>
  </si>
  <si>
    <t>1B03705</t>
  </si>
  <si>
    <t>1B03801</t>
  </si>
  <si>
    <t>0000364336</t>
  </si>
  <si>
    <t>1B03802</t>
  </si>
  <si>
    <t>1B03803</t>
  </si>
  <si>
    <t>1B03804</t>
  </si>
  <si>
    <t>0000364337</t>
  </si>
  <si>
    <t>1B03805</t>
  </si>
  <si>
    <t>1B03901</t>
  </si>
  <si>
    <t>0000364338</t>
  </si>
  <si>
    <t>1B03902</t>
  </si>
  <si>
    <t>1B03903</t>
  </si>
  <si>
    <t>0000369451</t>
  </si>
  <si>
    <t>1B03904</t>
  </si>
  <si>
    <t>0000379861</t>
  </si>
  <si>
    <t>1B03905</t>
  </si>
  <si>
    <t>0000379862</t>
  </si>
  <si>
    <t>LT00052082</t>
  </si>
  <si>
    <t>1B04001</t>
  </si>
  <si>
    <t>0000380052</t>
  </si>
  <si>
    <t>2024-07-03</t>
  </si>
  <si>
    <t>2031-07-03</t>
  </si>
  <si>
    <t>YE4191K1</t>
  </si>
  <si>
    <t>1B04002</t>
  </si>
  <si>
    <t>0000380053</t>
  </si>
  <si>
    <t>1B04003</t>
  </si>
  <si>
    <t>0000380054</t>
  </si>
  <si>
    <t>1B04004</t>
  </si>
  <si>
    <t>0000380055</t>
  </si>
  <si>
    <t>1B04005</t>
  </si>
  <si>
    <t>0000256795</t>
  </si>
  <si>
    <t>1B04101</t>
  </si>
  <si>
    <t>1B04102</t>
  </si>
  <si>
    <t>0000364339</t>
  </si>
  <si>
    <t>1B04103</t>
  </si>
  <si>
    <t>0000364340</t>
  </si>
  <si>
    <t>1B04104</t>
  </si>
  <si>
    <t>0000364341</t>
  </si>
  <si>
    <t>1B04105</t>
  </si>
  <si>
    <t>0000364342</t>
  </si>
  <si>
    <t>1B04201</t>
  </si>
  <si>
    <t>0000373098</t>
  </si>
  <si>
    <t>1B04202</t>
  </si>
  <si>
    <t>0000373099</t>
  </si>
  <si>
    <t>1B04203</t>
  </si>
  <si>
    <t>0000375745</t>
  </si>
  <si>
    <t>1B04204</t>
  </si>
  <si>
    <t>0000375746</t>
  </si>
  <si>
    <t>1B04205</t>
  </si>
  <si>
    <t>0000375747</t>
  </si>
  <si>
    <t>1B04301</t>
  </si>
  <si>
    <t>0000377419</t>
  </si>
  <si>
    <t>1B04302</t>
  </si>
  <si>
    <t>0000377420</t>
  </si>
  <si>
    <t>1B04303</t>
  </si>
  <si>
    <t>0000377421</t>
  </si>
  <si>
    <t>1022188</t>
  </si>
  <si>
    <t>Refill mypure U5 CB-UF CU CN</t>
  </si>
  <si>
    <t>LT00051618</t>
  </si>
  <si>
    <t>1B04304</t>
  </si>
  <si>
    <t>0000378662</t>
  </si>
  <si>
    <t>KI4232</t>
  </si>
  <si>
    <t>1B04305</t>
  </si>
  <si>
    <t>0000379863</t>
  </si>
  <si>
    <t>LT00050882</t>
  </si>
  <si>
    <t>1B04401</t>
  </si>
  <si>
    <t>0000375868</t>
  </si>
  <si>
    <t>2024-06-04</t>
  </si>
  <si>
    <t>2031-06-04</t>
  </si>
  <si>
    <t>1B04402</t>
  </si>
  <si>
    <t>1B04403</t>
  </si>
  <si>
    <t>1B04404</t>
  </si>
  <si>
    <t>0000375869</t>
  </si>
  <si>
    <t>1043271</t>
  </si>
  <si>
    <t>Aluna XL ME4W Mxplus BCM white CU CNO</t>
  </si>
  <si>
    <t>LT00047612</t>
  </si>
  <si>
    <t>1B04405</t>
  </si>
  <si>
    <t>0000361194</t>
  </si>
  <si>
    <t>YE4085A3</t>
  </si>
  <si>
    <t>1B04501</t>
  </si>
  <si>
    <t>0000361195</t>
  </si>
  <si>
    <t>1B04502</t>
  </si>
  <si>
    <t>0000361196</t>
  </si>
  <si>
    <t>1B04503</t>
  </si>
  <si>
    <t>0000361197</t>
  </si>
  <si>
    <t>1B04504</t>
  </si>
  <si>
    <t>0000375870</t>
  </si>
  <si>
    <t>1B04505</t>
  </si>
  <si>
    <t>0000375871</t>
  </si>
  <si>
    <t>1B04601</t>
  </si>
  <si>
    <t>0000375872</t>
  </si>
  <si>
    <t>1B04602</t>
  </si>
  <si>
    <t>0000375873</t>
  </si>
  <si>
    <t>1B04603</t>
  </si>
  <si>
    <t>0000377422</t>
  </si>
  <si>
    <t>LT00051026</t>
  </si>
  <si>
    <t>1B04604</t>
  </si>
  <si>
    <t>0000376577</t>
  </si>
  <si>
    <t>2024-06-08</t>
  </si>
  <si>
    <t>2031-06-08</t>
  </si>
  <si>
    <t>YE4233A3</t>
  </si>
  <si>
    <t>LT00052083</t>
  </si>
  <si>
    <t>1B04605</t>
  </si>
  <si>
    <t>0000380056</t>
  </si>
  <si>
    <t>YE4186K1</t>
  </si>
  <si>
    <t>1B04701</t>
  </si>
  <si>
    <t>0000380057</t>
  </si>
  <si>
    <t>1B04702</t>
  </si>
  <si>
    <t>0000380058</t>
  </si>
  <si>
    <t>LT00050624</t>
  </si>
  <si>
    <t>1B04703</t>
  </si>
  <si>
    <t>0000374621</t>
  </si>
  <si>
    <t>YE4214S2</t>
  </si>
  <si>
    <t>1B04704</t>
  </si>
  <si>
    <t>0000361198</t>
  </si>
  <si>
    <t>1B04705</t>
  </si>
  <si>
    <t>0000361199</t>
  </si>
  <si>
    <t>1B04801</t>
  </si>
  <si>
    <t>0000361200</t>
  </si>
  <si>
    <t>1B04802</t>
  </si>
  <si>
    <t>0000361201</t>
  </si>
  <si>
    <t>1B04803</t>
  </si>
  <si>
    <t>0000361202</t>
  </si>
  <si>
    <t>1B04804</t>
  </si>
  <si>
    <t>0000361203</t>
  </si>
  <si>
    <t>1B04805</t>
  </si>
  <si>
    <t>0000372782</t>
  </si>
  <si>
    <t>1037001</t>
  </si>
  <si>
    <t>On Tap System ND 2019 CU CE</t>
  </si>
  <si>
    <t>LT00039097</t>
  </si>
  <si>
    <t>1B04901</t>
  </si>
  <si>
    <t>2023-06-28</t>
  </si>
  <si>
    <t>2030-06-28</t>
  </si>
  <si>
    <t>1B04902</t>
  </si>
  <si>
    <t>0000372783</t>
  </si>
  <si>
    <t>1B04903</t>
  </si>
  <si>
    <t>0000372784</t>
  </si>
  <si>
    <t>1B04904</t>
  </si>
  <si>
    <t>0000372785</t>
  </si>
  <si>
    <t>1B04905</t>
  </si>
  <si>
    <t>0000373100</t>
  </si>
  <si>
    <t>1B05001</t>
  </si>
  <si>
    <t>0000373101</t>
  </si>
  <si>
    <t>1B05002</t>
  </si>
  <si>
    <t>0000373102</t>
  </si>
  <si>
    <t>1B05003</t>
  </si>
  <si>
    <t>0000361204</t>
  </si>
  <si>
    <t>1B05004</t>
  </si>
  <si>
    <t>0000361205</t>
  </si>
  <si>
    <t>1B05005</t>
  </si>
  <si>
    <t>0000375874</t>
  </si>
  <si>
    <t>1B05101</t>
  </si>
  <si>
    <t>0000375875</t>
  </si>
  <si>
    <t>1B05102</t>
  </si>
  <si>
    <t>0000370769</t>
  </si>
  <si>
    <t>1B05103</t>
  </si>
  <si>
    <t>0000361206</t>
  </si>
  <si>
    <t>1B05104</t>
  </si>
  <si>
    <t>0000370770</t>
  </si>
  <si>
    <t>1B05105</t>
  </si>
  <si>
    <t>0000375876</t>
  </si>
  <si>
    <t>1B05201</t>
  </si>
  <si>
    <t>0000375877</t>
  </si>
  <si>
    <t>1B05202</t>
  </si>
  <si>
    <t>0000375878</t>
  </si>
  <si>
    <t>1B05203</t>
  </si>
  <si>
    <t>0000375879</t>
  </si>
  <si>
    <t>1B05204</t>
  </si>
  <si>
    <t>0000375880</t>
  </si>
  <si>
    <t>1B05205</t>
  </si>
  <si>
    <t>0000361207</t>
  </si>
  <si>
    <t>1B05301</t>
  </si>
  <si>
    <t>0000361208</t>
  </si>
  <si>
    <t>1B05302</t>
  </si>
  <si>
    <t>0000361209</t>
  </si>
  <si>
    <t>1B05303</t>
  </si>
  <si>
    <t>0000361210</t>
  </si>
  <si>
    <t>1B05304</t>
  </si>
  <si>
    <t>0000375881</t>
  </si>
  <si>
    <t>1B05305</t>
  </si>
  <si>
    <t>0000375882</t>
  </si>
  <si>
    <t>LT00043473</t>
  </si>
  <si>
    <t>1B05401</t>
  </si>
  <si>
    <t>0000348287</t>
  </si>
  <si>
    <t>00031348</t>
  </si>
  <si>
    <t>1B05402</t>
  </si>
  <si>
    <t>0000348288</t>
  </si>
  <si>
    <t>1B05403</t>
  </si>
  <si>
    <t>0000380059</t>
  </si>
  <si>
    <t>1B05404</t>
  </si>
  <si>
    <t>0000348289</t>
  </si>
  <si>
    <t>1B05405</t>
  </si>
  <si>
    <t>0000348290</t>
  </si>
  <si>
    <t>1B05501</t>
  </si>
  <si>
    <t>0000348291</t>
  </si>
  <si>
    <t>1B05502</t>
  </si>
  <si>
    <t>0000361211</t>
  </si>
  <si>
    <t>1B05503</t>
  </si>
  <si>
    <t>0000348292</t>
  </si>
  <si>
    <t>1B05504</t>
  </si>
  <si>
    <t>0000361212</t>
  </si>
  <si>
    <t>LT00047648</t>
  </si>
  <si>
    <t>1B05505</t>
  </si>
  <si>
    <t>0000361213</t>
  </si>
  <si>
    <t>2024-03-12</t>
  </si>
  <si>
    <t>YE4046A3</t>
  </si>
  <si>
    <t>1B05601</t>
  </si>
  <si>
    <t>0000348293</t>
  </si>
  <si>
    <t>1B05602</t>
  </si>
  <si>
    <t>0000361214</t>
  </si>
  <si>
    <t>1B05603</t>
  </si>
  <si>
    <t>0000361215</t>
  </si>
  <si>
    <t>1B05604</t>
  </si>
  <si>
    <t>0000361216</t>
  </si>
  <si>
    <t>1B05605</t>
  </si>
  <si>
    <t>0000361217</t>
  </si>
  <si>
    <t>1B05701</t>
  </si>
  <si>
    <t>0000361218</t>
  </si>
  <si>
    <t>1B05702</t>
  </si>
  <si>
    <t>0000361219</t>
  </si>
  <si>
    <t>1B05703</t>
  </si>
  <si>
    <t>0000361220</t>
  </si>
  <si>
    <t>1B05704</t>
  </si>
  <si>
    <t>0000361221</t>
  </si>
  <si>
    <t>1B05705</t>
  </si>
  <si>
    <t>0000361222</t>
  </si>
  <si>
    <t>1B05801</t>
  </si>
  <si>
    <t>0000361223</t>
  </si>
  <si>
    <t>1B05802</t>
  </si>
  <si>
    <t>0000361224</t>
  </si>
  <si>
    <t>1B05803</t>
  </si>
  <si>
    <t>0000361225</t>
  </si>
  <si>
    <t>1B05804</t>
  </si>
  <si>
    <t>0000348294</t>
  </si>
  <si>
    <t>1B05805</t>
  </si>
  <si>
    <t>0000348295</t>
  </si>
  <si>
    <t>1B05901</t>
  </si>
  <si>
    <t>0000348296</t>
  </si>
  <si>
    <t>LT00049377</t>
  </si>
  <si>
    <t>1B05902</t>
  </si>
  <si>
    <t>0000368289</t>
  </si>
  <si>
    <t>2024-04-25</t>
  </si>
  <si>
    <t>2031-04-25</t>
  </si>
  <si>
    <t>KI4171</t>
  </si>
  <si>
    <t>1B05903</t>
  </si>
  <si>
    <t>0000368290</t>
  </si>
  <si>
    <t>1B05904</t>
  </si>
  <si>
    <t>0000368291</t>
  </si>
  <si>
    <t>1B05905</t>
  </si>
  <si>
    <t>0000348297</t>
  </si>
  <si>
    <t>1B06001</t>
  </si>
  <si>
    <t>0000348298</t>
  </si>
  <si>
    <t>1B06002</t>
  </si>
  <si>
    <t>0000348299</t>
  </si>
  <si>
    <t>1B06003</t>
  </si>
  <si>
    <t>0000380060</t>
  </si>
  <si>
    <t>1B06004</t>
  </si>
  <si>
    <t>0000372461</t>
  </si>
  <si>
    <t>1B06005</t>
  </si>
  <si>
    <t>0000370771</t>
  </si>
  <si>
    <t>1B06101</t>
  </si>
  <si>
    <t>0000361226</t>
  </si>
  <si>
    <t>1B06102</t>
  </si>
  <si>
    <t>0000370772</t>
  </si>
  <si>
    <t>1B06103</t>
  </si>
  <si>
    <t>0000348310</t>
  </si>
  <si>
    <t>1B06104</t>
  </si>
  <si>
    <t>0000370773</t>
  </si>
  <si>
    <t>1B06105</t>
  </si>
  <si>
    <t>0000348311</t>
  </si>
  <si>
    <t>1B06201</t>
  </si>
  <si>
    <t>0000348312</t>
  </si>
  <si>
    <t>LT00047649</t>
  </si>
  <si>
    <t>1B06202</t>
  </si>
  <si>
    <t>0000361227</t>
  </si>
  <si>
    <t>YE4045A3</t>
  </si>
  <si>
    <t>1B06203</t>
  </si>
  <si>
    <t>0000361228</t>
  </si>
  <si>
    <t>1B06204</t>
  </si>
  <si>
    <t>0000361229</t>
  </si>
  <si>
    <t>1B06205</t>
  </si>
  <si>
    <t>0000375883</t>
  </si>
  <si>
    <t>1B06301</t>
  </si>
  <si>
    <t>0000374622</t>
  </si>
  <si>
    <t>1B06302</t>
  </si>
  <si>
    <t>0000374623</t>
  </si>
  <si>
    <t>1B06303</t>
  </si>
  <si>
    <t>0000370774</t>
  </si>
  <si>
    <t>1B06304</t>
  </si>
  <si>
    <t>0000370775</t>
  </si>
  <si>
    <t>1B06305</t>
  </si>
  <si>
    <t>0000370776</t>
  </si>
  <si>
    <t>LT00050067</t>
  </si>
  <si>
    <t>1B06403</t>
  </si>
  <si>
    <t>0000372464</t>
  </si>
  <si>
    <t>KI4194</t>
  </si>
  <si>
    <t>1B06404</t>
  </si>
  <si>
    <t>0000374624</t>
  </si>
  <si>
    <t>1B06405</t>
  </si>
  <si>
    <t>0000370777</t>
  </si>
  <si>
    <t>1B06501</t>
  </si>
  <si>
    <t>0000370778</t>
  </si>
  <si>
    <t>1B06502</t>
  </si>
  <si>
    <t>0000370779</t>
  </si>
  <si>
    <t>1B06503</t>
  </si>
  <si>
    <t>0000370780</t>
  </si>
  <si>
    <t>1B06504</t>
  </si>
  <si>
    <t>0000370781</t>
  </si>
  <si>
    <t>1B06505</t>
  </si>
  <si>
    <t>0000373103</t>
  </si>
  <si>
    <t>1B06601</t>
  </si>
  <si>
    <t>0000374625</t>
  </si>
  <si>
    <t>1B06602</t>
  </si>
  <si>
    <t>0000374626</t>
  </si>
  <si>
    <t>1B06603</t>
  </si>
  <si>
    <t>0000370782</t>
  </si>
  <si>
    <t>1B06604</t>
  </si>
  <si>
    <t>0000370783</t>
  </si>
  <si>
    <t>1B06605</t>
  </si>
  <si>
    <t>0000374627</t>
  </si>
  <si>
    <t>1B06701</t>
  </si>
  <si>
    <t>0000370784</t>
  </si>
  <si>
    <t>1041625</t>
  </si>
  <si>
    <t>Style XL LED4W lime 6 Mxplus LM CU CN</t>
  </si>
  <si>
    <t>LT00032994</t>
  </si>
  <si>
    <t>1B06702</t>
  </si>
  <si>
    <t>0000078291</t>
  </si>
  <si>
    <t>2020-04-17</t>
  </si>
  <si>
    <t>2027-04-17</t>
  </si>
  <si>
    <t>4500303713</t>
  </si>
  <si>
    <t>1B06703</t>
  </si>
  <si>
    <t>0000370785</t>
  </si>
  <si>
    <t>LT00050883</t>
  </si>
  <si>
    <t>1B06704</t>
  </si>
  <si>
    <t>0000375884</t>
  </si>
  <si>
    <t>1B06705</t>
  </si>
  <si>
    <t>0000375885</t>
  </si>
  <si>
    <t>1B06801</t>
  </si>
  <si>
    <t>0000095441</t>
  </si>
  <si>
    <t>1B06802</t>
  </si>
  <si>
    <t>0000372465</t>
  </si>
  <si>
    <t>1B06803</t>
  </si>
  <si>
    <t>0000370786</t>
  </si>
  <si>
    <t>1B06804</t>
  </si>
  <si>
    <t>0000370787</t>
  </si>
  <si>
    <t>1B06805</t>
  </si>
  <si>
    <t>0000364343</t>
  </si>
  <si>
    <t>1B06901</t>
  </si>
  <si>
    <t>0000372786</t>
  </si>
  <si>
    <t>1B06902</t>
  </si>
  <si>
    <t>0000373104</t>
  </si>
  <si>
    <t>1B06903</t>
  </si>
  <si>
    <t>0000372466</t>
  </si>
  <si>
    <t>1B06904</t>
  </si>
  <si>
    <t>0000372467</t>
  </si>
  <si>
    <t>1B06905</t>
  </si>
  <si>
    <t>0000373105</t>
  </si>
  <si>
    <t>LT00048389</t>
  </si>
  <si>
    <t>1B07001</t>
  </si>
  <si>
    <t>0000364349</t>
  </si>
  <si>
    <t>2031-04-02</t>
  </si>
  <si>
    <t>1B07002</t>
  </si>
  <si>
    <t>0000364350</t>
  </si>
  <si>
    <t>1B07003</t>
  </si>
  <si>
    <t>0000373106</t>
  </si>
  <si>
    <t>1B07004</t>
  </si>
  <si>
    <t>0000369452</t>
  </si>
  <si>
    <t>1B07005</t>
  </si>
  <si>
    <t>0000370788</t>
  </si>
  <si>
    <t>1B07101</t>
  </si>
  <si>
    <t>0000372468</t>
  </si>
  <si>
    <t>1B07102</t>
  </si>
  <si>
    <t>0000372469</t>
  </si>
  <si>
    <t>1B07103</t>
  </si>
  <si>
    <t>0000372470</t>
  </si>
  <si>
    <t>1B07104</t>
  </si>
  <si>
    <t>0000372471</t>
  </si>
  <si>
    <t>1B07105</t>
  </si>
  <si>
    <t>0000369453</t>
  </si>
  <si>
    <t>1B07201</t>
  </si>
  <si>
    <t>0000373107</t>
  </si>
  <si>
    <t>1B07202</t>
  </si>
  <si>
    <t>0000372472</t>
  </si>
  <si>
    <t>1B07203</t>
  </si>
  <si>
    <t>0000372473</t>
  </si>
  <si>
    <t>1B07204</t>
  </si>
  <si>
    <t>0000372474</t>
  </si>
  <si>
    <t>1B07301</t>
  </si>
  <si>
    <t>0000095440</t>
  </si>
  <si>
    <t>1B07302</t>
  </si>
  <si>
    <t>0000372475</t>
  </si>
  <si>
    <t>LT00050144</t>
  </si>
  <si>
    <t>1B07303</t>
  </si>
  <si>
    <t>0000373108</t>
  </si>
  <si>
    <t>1B07304</t>
  </si>
  <si>
    <t>0000372476</t>
  </si>
  <si>
    <t>1B07305</t>
  </si>
  <si>
    <t>0000372477</t>
  </si>
  <si>
    <t>1B07401</t>
  </si>
  <si>
    <t>0000374628</t>
  </si>
  <si>
    <t>1053518</t>
  </si>
  <si>
    <t>"Kalea XL ME4W gr inc 5 MXp 1LM SIOC CNO
滤水壶：Kalea XL 一壶六芯灰色"</t>
  </si>
  <si>
    <t>LT00049252</t>
  </si>
  <si>
    <t>1B07402</t>
  </si>
  <si>
    <t>0000367740</t>
  </si>
  <si>
    <t>2024-04-23</t>
  </si>
  <si>
    <t>2031-04-23</t>
  </si>
  <si>
    <t>YE4165K1</t>
  </si>
  <si>
    <t>1B07403</t>
  </si>
  <si>
    <t>0000367741</t>
  </si>
  <si>
    <t>1B07404</t>
  </si>
  <si>
    <t>0000370789</t>
  </si>
  <si>
    <t>1B07405</t>
  </si>
  <si>
    <t>0000370790</t>
  </si>
  <si>
    <t>1B07501</t>
  </si>
  <si>
    <t>0000370791</t>
  </si>
  <si>
    <t>1B07502</t>
  </si>
  <si>
    <t>0000376578</t>
  </si>
  <si>
    <t>1B07503</t>
  </si>
  <si>
    <t>0000370792</t>
  </si>
  <si>
    <t>1B07504</t>
  </si>
  <si>
    <t>0000370793</t>
  </si>
  <si>
    <t>1B07505</t>
  </si>
  <si>
    <t>0000370794</t>
  </si>
  <si>
    <t>LT00050145</t>
  </si>
  <si>
    <t>1B07601</t>
  </si>
  <si>
    <t>0000373109</t>
  </si>
  <si>
    <t>1B07602</t>
  </si>
  <si>
    <t>0000372478</t>
  </si>
  <si>
    <t>1B07603</t>
  </si>
  <si>
    <t>0000372479</t>
  </si>
  <si>
    <t>1B07604</t>
  </si>
  <si>
    <t>0000372480</t>
  </si>
  <si>
    <t>1B07605</t>
  </si>
  <si>
    <t>0000372481</t>
  </si>
  <si>
    <t>1B07701</t>
  </si>
  <si>
    <t>0000370795</t>
  </si>
  <si>
    <t>1B07702</t>
  </si>
  <si>
    <t>0000372482</t>
  </si>
  <si>
    <t>1B07703</t>
  </si>
  <si>
    <t>0000372483</t>
  </si>
  <si>
    <t>1B07704</t>
  </si>
  <si>
    <t>0000372484</t>
  </si>
  <si>
    <t>1B07705</t>
  </si>
  <si>
    <t>0000372485</t>
  </si>
  <si>
    <t>1B07801</t>
  </si>
  <si>
    <t>0000372486</t>
  </si>
  <si>
    <t>1B07802</t>
  </si>
  <si>
    <t>0000380061</t>
  </si>
  <si>
    <t>1B07803</t>
  </si>
  <si>
    <t>0000348313</t>
  </si>
  <si>
    <t>1B07804</t>
  </si>
  <si>
    <t>0000342261</t>
  </si>
  <si>
    <t>1B07805</t>
  </si>
  <si>
    <t>0000342262</t>
  </si>
  <si>
    <t>LT00050069</t>
  </si>
  <si>
    <t>1C00101</t>
  </si>
  <si>
    <t>0000372488</t>
  </si>
  <si>
    <t>YE4192K1</t>
  </si>
  <si>
    <t>1C00102</t>
  </si>
  <si>
    <t>0000372489</t>
  </si>
  <si>
    <t>1C00103</t>
  </si>
  <si>
    <t>0000372490</t>
  </si>
  <si>
    <t>1C00104</t>
  </si>
  <si>
    <t>0000370796</t>
  </si>
  <si>
    <t>1C00105</t>
  </si>
  <si>
    <t>0000370797</t>
  </si>
  <si>
    <t>1C00201</t>
  </si>
  <si>
    <t>0000373110</t>
  </si>
  <si>
    <t>1C00202</t>
  </si>
  <si>
    <t>0000372491</t>
  </si>
  <si>
    <t>1C00203</t>
  </si>
  <si>
    <t>0000372492</t>
  </si>
  <si>
    <t>1C00204</t>
  </si>
  <si>
    <t>0000372493</t>
  </si>
  <si>
    <t>1C00205</t>
  </si>
  <si>
    <t>0000372494</t>
  </si>
  <si>
    <t>LT00050070</t>
  </si>
  <si>
    <t>1C00301</t>
  </si>
  <si>
    <t>0000372495</t>
  </si>
  <si>
    <t>1C00302</t>
  </si>
  <si>
    <t>0000372496</t>
  </si>
  <si>
    <t>1C00303</t>
  </si>
  <si>
    <t>0000372497</t>
  </si>
  <si>
    <t>1C00304</t>
  </si>
  <si>
    <t>0000372498</t>
  </si>
  <si>
    <t>1C00305</t>
  </si>
  <si>
    <t>0000372499</t>
  </si>
  <si>
    <t>1C00401</t>
  </si>
  <si>
    <t>0000372500</t>
  </si>
  <si>
    <t>1C00402</t>
  </si>
  <si>
    <t>0000372501</t>
  </si>
  <si>
    <t>1C00403</t>
  </si>
  <si>
    <t>0000372502</t>
  </si>
  <si>
    <t>1C00404</t>
  </si>
  <si>
    <t>0000372503</t>
  </si>
  <si>
    <t>1C00405</t>
  </si>
  <si>
    <t>0000372504</t>
  </si>
  <si>
    <t>1C00501</t>
  </si>
  <si>
    <t>0000372505</t>
  </si>
  <si>
    <t>1C00502</t>
  </si>
  <si>
    <t>0000372506</t>
  </si>
  <si>
    <t>1C00503</t>
  </si>
  <si>
    <t>0000372507</t>
  </si>
  <si>
    <t>1C00504</t>
  </si>
  <si>
    <t>0000367742</t>
  </si>
  <si>
    <t>1C00505</t>
  </si>
  <si>
    <t>0000372508</t>
  </si>
  <si>
    <t>1C00601</t>
  </si>
  <si>
    <t>0000373111</t>
  </si>
  <si>
    <t>1C00602</t>
  </si>
  <si>
    <t>0000372509</t>
  </si>
  <si>
    <t>1C00603</t>
  </si>
  <si>
    <t>0000372510</t>
  </si>
  <si>
    <t>1C00604</t>
  </si>
  <si>
    <t>0000372511</t>
  </si>
  <si>
    <t>1C00605</t>
  </si>
  <si>
    <t>0000372512</t>
  </si>
  <si>
    <t>1C00701</t>
  </si>
  <si>
    <t>0000373112</t>
  </si>
  <si>
    <t>1C00702</t>
  </si>
  <si>
    <t>0000372513</t>
  </si>
  <si>
    <t>1C00703</t>
  </si>
  <si>
    <t>0000372514</t>
  </si>
  <si>
    <t>1C00704</t>
  </si>
  <si>
    <t>0000372515</t>
  </si>
  <si>
    <t>1C00705</t>
  </si>
  <si>
    <t>0000372516</t>
  </si>
  <si>
    <t>1C00801</t>
  </si>
  <si>
    <t>0000375886</t>
  </si>
  <si>
    <t>1C00802</t>
  </si>
  <si>
    <t>0000348314</t>
  </si>
  <si>
    <t>1C00803</t>
  </si>
  <si>
    <t>0000374629</t>
  </si>
  <si>
    <t>1C00804</t>
  </si>
  <si>
    <t>0000369454</t>
  </si>
  <si>
    <t>1C00805</t>
  </si>
  <si>
    <t>0000369455</t>
  </si>
  <si>
    <t>1C00901</t>
  </si>
  <si>
    <t>0000374630</t>
  </si>
  <si>
    <t>1C00902</t>
  </si>
  <si>
    <t>0000374631</t>
  </si>
  <si>
    <t>1C00903</t>
  </si>
  <si>
    <t>0000375887</t>
  </si>
  <si>
    <t>1C00904</t>
  </si>
  <si>
    <t>0000369456</t>
  </si>
  <si>
    <t>1C00905</t>
  </si>
  <si>
    <t>0000369457</t>
  </si>
  <si>
    <t>1C01001</t>
  </si>
  <si>
    <t>0000369458</t>
  </si>
  <si>
    <t>1C01002</t>
  </si>
  <si>
    <t>0000369459</t>
  </si>
  <si>
    <t>1C01003</t>
  </si>
  <si>
    <t>0000369460</t>
  </si>
  <si>
    <t>1C01004</t>
  </si>
  <si>
    <t>0000369461</t>
  </si>
  <si>
    <t>1C01005</t>
  </si>
  <si>
    <t>0000369462</t>
  </si>
  <si>
    <t>1C01101</t>
  </si>
  <si>
    <t>0000375888</t>
  </si>
  <si>
    <t>1C01102</t>
  </si>
  <si>
    <t>0000375889</t>
  </si>
  <si>
    <t>1C01201</t>
  </si>
  <si>
    <t>0000372517</t>
  </si>
  <si>
    <t>1C01202</t>
  </si>
  <si>
    <t>0000372518</t>
  </si>
  <si>
    <t>1C01203</t>
  </si>
  <si>
    <t>0000367743</t>
  </si>
  <si>
    <t>1C01204</t>
  </si>
  <si>
    <t>0000373113</t>
  </si>
  <si>
    <t>1C01205</t>
  </si>
  <si>
    <t>0000373114</t>
  </si>
  <si>
    <t>1C01301</t>
  </si>
  <si>
    <t>0000372519</t>
  </si>
  <si>
    <t>1C01302</t>
  </si>
  <si>
    <t>0000372520</t>
  </si>
  <si>
    <t>1C01303</t>
  </si>
  <si>
    <t>0000372521</t>
  </si>
  <si>
    <t>1C01304</t>
  </si>
  <si>
    <t>0000372522</t>
  </si>
  <si>
    <t>1C01305</t>
  </si>
  <si>
    <t>0000372523</t>
  </si>
  <si>
    <t>1C01401</t>
  </si>
  <si>
    <t>0000372524</t>
  </si>
  <si>
    <t>1C01402</t>
  </si>
  <si>
    <t>0000372525</t>
  </si>
  <si>
    <t>1C01404</t>
  </si>
  <si>
    <t>0000348315</t>
  </si>
  <si>
    <t>1C01405</t>
  </si>
  <si>
    <t>0000372526</t>
  </si>
  <si>
    <t>1C01501</t>
  </si>
  <si>
    <t>0000372527</t>
  </si>
  <si>
    <t>LT00049514</t>
  </si>
  <si>
    <t>1C01503</t>
  </si>
  <si>
    <t>0000369151</t>
  </si>
  <si>
    <t>YE4164A3</t>
  </si>
  <si>
    <t>1C01504</t>
  </si>
  <si>
    <t>0000372528</t>
  </si>
  <si>
    <t>1C01505</t>
  </si>
  <si>
    <t>0000372529</t>
  </si>
  <si>
    <t>1C01601</t>
  </si>
  <si>
    <t>0000370798</t>
  </si>
  <si>
    <t>1C01602</t>
  </si>
  <si>
    <t>0000373115</t>
  </si>
  <si>
    <t>1C01603</t>
  </si>
  <si>
    <t>0000373116</t>
  </si>
  <si>
    <t>1C01604</t>
  </si>
  <si>
    <t>0000372530</t>
  </si>
  <si>
    <t>1C01605</t>
  </si>
  <si>
    <t>0000373117</t>
  </si>
  <si>
    <t>1C01701</t>
  </si>
  <si>
    <t>0000372531</t>
  </si>
  <si>
    <t>1C01702</t>
  </si>
  <si>
    <t>0000372532</t>
  </si>
  <si>
    <t>1C01703</t>
  </si>
  <si>
    <t>0000373118</t>
  </si>
  <si>
    <t>LT00050073</t>
  </si>
  <si>
    <t>1C01704</t>
  </si>
  <si>
    <t>0000372538</t>
  </si>
  <si>
    <t>YE4174K1</t>
  </si>
  <si>
    <t>1C01705</t>
  </si>
  <si>
    <t>0000373119</t>
  </si>
  <si>
    <t>LT00038034</t>
  </si>
  <si>
    <t>1C01801</t>
  </si>
  <si>
    <t>0000321339</t>
  </si>
  <si>
    <t>2023-05-26</t>
  </si>
  <si>
    <t>2030-05-26</t>
  </si>
  <si>
    <t>KI3213</t>
  </si>
  <si>
    <t>1C01802</t>
  </si>
  <si>
    <t>0000369152</t>
  </si>
  <si>
    <t>1C01803</t>
  </si>
  <si>
    <t>0000373120</t>
  </si>
  <si>
    <t>1C01804</t>
  </si>
  <si>
    <t>0000372539</t>
  </si>
  <si>
    <t>1C01805</t>
  </si>
  <si>
    <t>0000370799</t>
  </si>
  <si>
    <t>1035105</t>
  </si>
  <si>
    <t>Pack 6 MAXTRAplus UNIV new CU CN 3</t>
  </si>
  <si>
    <t>LT00041631</t>
  </si>
  <si>
    <t>1C01901</t>
  </si>
  <si>
    <t>2023-09-12</t>
  </si>
  <si>
    <t>2030-09-12</t>
  </si>
  <si>
    <t>1012UR</t>
  </si>
  <si>
    <t>1C01903</t>
  </si>
  <si>
    <t>1C01904</t>
  </si>
  <si>
    <t>0000367744</t>
  </si>
  <si>
    <t>1C01905</t>
  </si>
  <si>
    <t>0000370800</t>
  </si>
  <si>
    <t>1C02001</t>
  </si>
  <si>
    <t>0000367745</t>
  </si>
  <si>
    <t>1C02002</t>
  </si>
  <si>
    <t>0000370801</t>
  </si>
  <si>
    <t>1C02003</t>
  </si>
  <si>
    <t>0000367746</t>
  </si>
  <si>
    <t>1C02004</t>
  </si>
  <si>
    <t>0000367747</t>
  </si>
  <si>
    <t>1C02005</t>
  </si>
  <si>
    <t>0000367748</t>
  </si>
  <si>
    <t>1C02101</t>
  </si>
  <si>
    <t>0000367749</t>
  </si>
  <si>
    <t>1C02102</t>
  </si>
  <si>
    <t>0000367750</t>
  </si>
  <si>
    <t>1C02103</t>
  </si>
  <si>
    <t>0000370802</t>
  </si>
  <si>
    <t>1C02104</t>
  </si>
  <si>
    <t>0000367751</t>
  </si>
  <si>
    <t>1C02105</t>
  </si>
  <si>
    <t>0000367752</t>
  </si>
  <si>
    <t>1C02201</t>
  </si>
  <si>
    <t>0000369153</t>
  </si>
  <si>
    <t>1C02202</t>
  </si>
  <si>
    <t>0000372540</t>
  </si>
  <si>
    <t>1C02203</t>
  </si>
  <si>
    <t>0000367753</t>
  </si>
  <si>
    <t>1C02204</t>
  </si>
  <si>
    <t>0000367754</t>
  </si>
  <si>
    <t>1C02205</t>
  </si>
  <si>
    <t>0000367755</t>
  </si>
  <si>
    <t>LT00041143</t>
  </si>
  <si>
    <t>1C02301</t>
  </si>
  <si>
    <t>0000334419</t>
  </si>
  <si>
    <t>2023-08-29</t>
  </si>
  <si>
    <t>2030-08-29</t>
  </si>
  <si>
    <t>1C02302</t>
  </si>
  <si>
    <t>0000334420</t>
  </si>
  <si>
    <t>1C02303</t>
  </si>
  <si>
    <t>0000372541</t>
  </si>
  <si>
    <t>LT00049864</t>
  </si>
  <si>
    <t>1C02304</t>
  </si>
  <si>
    <t>0000371473</t>
  </si>
  <si>
    <t>2024-05-08</t>
  </si>
  <si>
    <t>2031-05-08</t>
  </si>
  <si>
    <t>1C02305</t>
  </si>
  <si>
    <t>0000256797</t>
  </si>
  <si>
    <t>1046539</t>
  </si>
  <si>
    <t>矿泉壶,PS透明壶身配白色上盖1支装,Marella XL 1046539</t>
  </si>
  <si>
    <t>LT00050881</t>
  </si>
  <si>
    <t>1C02402</t>
  </si>
  <si>
    <t>0000375896</t>
  </si>
  <si>
    <t>1C02403</t>
  </si>
  <si>
    <t>0000372542</t>
  </si>
  <si>
    <t>1C02404</t>
  </si>
  <si>
    <t>0000375897</t>
  </si>
  <si>
    <t>1C02405</t>
  </si>
  <si>
    <t>0000377423</t>
  </si>
  <si>
    <t>1C02502</t>
  </si>
  <si>
    <t>0000367756</t>
  </si>
  <si>
    <t>1C02503</t>
  </si>
  <si>
    <t>0000370803</t>
  </si>
  <si>
    <t>LT00042562</t>
  </si>
  <si>
    <t>1C02504</t>
  </si>
  <si>
    <t>0000343639</t>
  </si>
  <si>
    <t>2023-10-16</t>
  </si>
  <si>
    <t>2030-10-16</t>
  </si>
  <si>
    <t>KI3415</t>
  </si>
  <si>
    <t>1C02505</t>
  </si>
  <si>
    <t>0000367757</t>
  </si>
  <si>
    <t>1C02601</t>
  </si>
  <si>
    <t>0000370804</t>
  </si>
  <si>
    <t>1C02602</t>
  </si>
  <si>
    <t>0000370805</t>
  </si>
  <si>
    <t>1C02603</t>
  </si>
  <si>
    <t>0000370806</t>
  </si>
  <si>
    <t>1C02604</t>
  </si>
  <si>
    <t>0000370807</t>
  </si>
  <si>
    <t>1C02605</t>
  </si>
  <si>
    <t>0000367758</t>
  </si>
  <si>
    <t>1C02701</t>
  </si>
  <si>
    <t>0000367759</t>
  </si>
  <si>
    <t>1C02702</t>
  </si>
  <si>
    <t>0000370808</t>
  </si>
  <si>
    <t>1C02703</t>
  </si>
  <si>
    <t>0000372543</t>
  </si>
  <si>
    <t>1C02704</t>
  </si>
  <si>
    <t>0000372544</t>
  </si>
  <si>
    <t>1C02705</t>
  </si>
  <si>
    <t>0000372545</t>
  </si>
  <si>
    <t>1C02802</t>
  </si>
  <si>
    <t>0000367760</t>
  </si>
  <si>
    <t>1C02803</t>
  </si>
  <si>
    <t>0000370809</t>
  </si>
  <si>
    <t>1C02804</t>
  </si>
  <si>
    <t>0000343640</t>
  </si>
  <si>
    <t>1C02805</t>
  </si>
  <si>
    <t>0000372546</t>
  </si>
  <si>
    <t>1C02902</t>
  </si>
  <si>
    <t>0000370810</t>
  </si>
  <si>
    <t>1C02903</t>
  </si>
  <si>
    <t>0000372547</t>
  </si>
  <si>
    <t>1C02904</t>
  </si>
  <si>
    <t>0000372548</t>
  </si>
  <si>
    <t>1C02905</t>
  </si>
  <si>
    <t>0000372549</t>
  </si>
  <si>
    <t>1C03002</t>
  </si>
  <si>
    <t>0000367761</t>
  </si>
  <si>
    <t>1C03003</t>
  </si>
  <si>
    <t>0000367762</t>
  </si>
  <si>
    <t>LT00040779</t>
  </si>
  <si>
    <t>1C03004</t>
  </si>
  <si>
    <t>0000313099</t>
  </si>
  <si>
    <t>2023-04-21</t>
  </si>
  <si>
    <t>2030-04-21</t>
  </si>
  <si>
    <t>KI3111</t>
  </si>
  <si>
    <t>1C03005</t>
  </si>
  <si>
    <t>0000369154</t>
  </si>
  <si>
    <t>1C03101</t>
  </si>
  <si>
    <t>0000313100</t>
  </si>
  <si>
    <t>1C03102</t>
  </si>
  <si>
    <t>0000369155</t>
  </si>
  <si>
    <t>1C03103</t>
  </si>
  <si>
    <t>0000369156</t>
  </si>
  <si>
    <t>1C03104</t>
  </si>
  <si>
    <t>0000313101</t>
  </si>
  <si>
    <t>1C03105</t>
  </si>
  <si>
    <t>0000369157</t>
  </si>
  <si>
    <t>1C03201</t>
  </si>
  <si>
    <t>0000372550</t>
  </si>
  <si>
    <t>1C03202</t>
  </si>
  <si>
    <t>0000369158</t>
  </si>
  <si>
    <t>1C03203</t>
  </si>
  <si>
    <t>0000374632</t>
  </si>
  <si>
    <t>1C03204</t>
  </si>
  <si>
    <t>0000374633</t>
  </si>
  <si>
    <t>1C03205</t>
  </si>
  <si>
    <t>0000367763</t>
  </si>
  <si>
    <t>1C03301</t>
  </si>
  <si>
    <t>0000372551</t>
  </si>
  <si>
    <t>1C03302</t>
  </si>
  <si>
    <t>0000372552</t>
  </si>
  <si>
    <t>1C03303</t>
  </si>
  <si>
    <t>0000372553</t>
  </si>
  <si>
    <t>1C03304</t>
  </si>
  <si>
    <t>0000372554</t>
  </si>
  <si>
    <t>1C03305</t>
  </si>
  <si>
    <t>0000372555</t>
  </si>
  <si>
    <t>1C03401</t>
  </si>
  <si>
    <t>0000374634</t>
  </si>
  <si>
    <t>1C03402</t>
  </si>
  <si>
    <t>0000374635</t>
  </si>
  <si>
    <t>1C03403</t>
  </si>
  <si>
    <t>0000374636</t>
  </si>
  <si>
    <t>1C03404</t>
  </si>
  <si>
    <t>0000367764</t>
  </si>
  <si>
    <t>1C03405</t>
  </si>
  <si>
    <t>0000373121</t>
  </si>
  <si>
    <t>1C03501</t>
  </si>
  <si>
    <t>0000374637</t>
  </si>
  <si>
    <t>1C03502</t>
  </si>
  <si>
    <t>0000373122</t>
  </si>
  <si>
    <t>1C03503</t>
  </si>
  <si>
    <t>0000370811</t>
  </si>
  <si>
    <t>1C03504</t>
  </si>
  <si>
    <t>0000373123</t>
  </si>
  <si>
    <t>1C03505</t>
  </si>
  <si>
    <t>0000373124</t>
  </si>
  <si>
    <t>1C03601</t>
  </si>
  <si>
    <t>0000373125</t>
  </si>
  <si>
    <t>1C03602</t>
  </si>
  <si>
    <t>0000373126</t>
  </si>
  <si>
    <t>1C03603</t>
  </si>
  <si>
    <t>0000373127</t>
  </si>
  <si>
    <t>1C03604</t>
  </si>
  <si>
    <t>0000373128</t>
  </si>
  <si>
    <t>1C03605</t>
  </si>
  <si>
    <t>0000373129</t>
  </si>
  <si>
    <t>1C03701</t>
  </si>
  <si>
    <t>0000372556</t>
  </si>
  <si>
    <t>1C03702</t>
  </si>
  <si>
    <t>0000373130</t>
  </si>
  <si>
    <t>1C03703</t>
  </si>
  <si>
    <t>0000373131</t>
  </si>
  <si>
    <t>1C03704</t>
  </si>
  <si>
    <t>0000373132</t>
  </si>
  <si>
    <t>1C03705</t>
  </si>
  <si>
    <t>0000373133</t>
  </si>
  <si>
    <t>1C03801</t>
  </si>
  <si>
    <t>0000373134</t>
  </si>
  <si>
    <t>1C03802</t>
  </si>
  <si>
    <t>0000373135</t>
  </si>
  <si>
    <t>1C03803</t>
  </si>
  <si>
    <t>0000372557</t>
  </si>
  <si>
    <t>LT00040778</t>
  </si>
  <si>
    <t>1C03804</t>
  </si>
  <si>
    <t>0000311121</t>
  </si>
  <si>
    <t>2023-04-12</t>
  </si>
  <si>
    <t>2030-04-12</t>
  </si>
  <si>
    <t>1C03805</t>
  </si>
  <si>
    <t>0000373136</t>
  </si>
  <si>
    <t>1C03901</t>
  </si>
  <si>
    <t>0000373137</t>
  </si>
  <si>
    <t>1C03902</t>
  </si>
  <si>
    <t>0000373138</t>
  </si>
  <si>
    <t>1C03903</t>
  </si>
  <si>
    <t>0000374638</t>
  </si>
  <si>
    <t>1C03904</t>
  </si>
  <si>
    <t>0000373139</t>
  </si>
  <si>
    <t>1053709</t>
  </si>
  <si>
    <t>RO机1000G，星空灰，智能龙头单出水，Brita F款?圆款</t>
  </si>
  <si>
    <t>LT00041099</t>
  </si>
  <si>
    <t>1C03905</t>
  </si>
  <si>
    <t>0000334114</t>
  </si>
  <si>
    <t>2023-08-26</t>
  </si>
  <si>
    <t>2030-08-26</t>
  </si>
  <si>
    <t>KI3283</t>
  </si>
  <si>
    <t>1C04001</t>
  </si>
  <si>
    <t>0000373140</t>
  </si>
  <si>
    <t>1C04002</t>
  </si>
  <si>
    <t>0000372558</t>
  </si>
  <si>
    <t>1C04003</t>
  </si>
  <si>
    <t>0000372559</t>
  </si>
  <si>
    <t>1C04004</t>
  </si>
  <si>
    <t>0000372560</t>
  </si>
  <si>
    <t>1C04005</t>
  </si>
  <si>
    <t>0000372561</t>
  </si>
  <si>
    <t>1C04101</t>
  </si>
  <si>
    <t>0000372562</t>
  </si>
  <si>
    <t>1C04102</t>
  </si>
  <si>
    <t>0000372563</t>
  </si>
  <si>
    <t>1C04103</t>
  </si>
  <si>
    <t>0000372564</t>
  </si>
  <si>
    <t>1C04104</t>
  </si>
  <si>
    <t>0000372565</t>
  </si>
  <si>
    <t>1C04105</t>
  </si>
  <si>
    <t>0000368313</t>
  </si>
  <si>
    <t>1C04201</t>
  </si>
  <si>
    <t>0000368314</t>
  </si>
  <si>
    <t>1C04202</t>
  </si>
  <si>
    <t>0000373141</t>
  </si>
  <si>
    <t>1C04203</t>
  </si>
  <si>
    <t>0000370812</t>
  </si>
  <si>
    <t>1C04204</t>
  </si>
  <si>
    <t>0000374639</t>
  </si>
  <si>
    <t>1C04205</t>
  </si>
  <si>
    <t>0000374640</t>
  </si>
  <si>
    <t>1C04301</t>
  </si>
  <si>
    <t>0000367765</t>
  </si>
  <si>
    <t>1C04302</t>
  </si>
  <si>
    <t>0000374641</t>
  </si>
  <si>
    <t>1C04303</t>
  </si>
  <si>
    <t>0000372566</t>
  </si>
  <si>
    <t>1C04304</t>
  </si>
  <si>
    <t>0000372567</t>
  </si>
  <si>
    <t>1C04305</t>
  </si>
  <si>
    <t>0000368315</t>
  </si>
  <si>
    <t>1C04401</t>
  </si>
  <si>
    <t>0000374642</t>
  </si>
  <si>
    <t>1C04402</t>
  </si>
  <si>
    <t>0000374643</t>
  </si>
  <si>
    <t>1033282</t>
  </si>
  <si>
    <t>Sample mypure U5 CU CN</t>
  </si>
  <si>
    <t>LT00033524</t>
  </si>
  <si>
    <t>1C04403</t>
  </si>
  <si>
    <t>0000257819</t>
  </si>
  <si>
    <t>2022-02-26</t>
  </si>
  <si>
    <t>2029-02-26</t>
  </si>
  <si>
    <t>KI2085</t>
  </si>
  <si>
    <t>1C04404</t>
  </si>
  <si>
    <t>0000367766</t>
  </si>
  <si>
    <t>1C04405</t>
  </si>
  <si>
    <t>0000370813</t>
  </si>
  <si>
    <t>1C04501</t>
  </si>
  <si>
    <t>0000370814</t>
  </si>
  <si>
    <t>1C04502</t>
  </si>
  <si>
    <t>0000367767</t>
  </si>
  <si>
    <t>1C04503</t>
  </si>
  <si>
    <t>0000370815</t>
  </si>
  <si>
    <t>1C04504</t>
  </si>
  <si>
    <t>0000367768</t>
  </si>
  <si>
    <t>1C04505</t>
  </si>
  <si>
    <t>0000370816</t>
  </si>
  <si>
    <t>1C04601</t>
  </si>
  <si>
    <t>0000372568</t>
  </si>
  <si>
    <t>1C04602</t>
  </si>
  <si>
    <t>0000373142</t>
  </si>
  <si>
    <t>1033281</t>
  </si>
  <si>
    <t>Sample mypure R8 CU CN</t>
  </si>
  <si>
    <t>LT00033523</t>
  </si>
  <si>
    <t>1C04603</t>
  </si>
  <si>
    <t>0000257820</t>
  </si>
  <si>
    <t>1C04604</t>
  </si>
  <si>
    <t>0000372569</t>
  </si>
  <si>
    <t>1C04605</t>
  </si>
  <si>
    <t>0000370817</t>
  </si>
  <si>
    <t>1C04701</t>
  </si>
  <si>
    <t>0000374644</t>
  </si>
  <si>
    <t>1C04702</t>
  </si>
  <si>
    <t>0000372570</t>
  </si>
  <si>
    <t>1C04703</t>
  </si>
  <si>
    <t>0000370818</t>
  </si>
  <si>
    <t>1C04704</t>
  </si>
  <si>
    <t>0000372571</t>
  </si>
  <si>
    <t>1C04705</t>
  </si>
  <si>
    <t>0000372572</t>
  </si>
  <si>
    <t>1C04801</t>
  </si>
  <si>
    <t>0000374645</t>
  </si>
  <si>
    <t>LT00050074</t>
  </si>
  <si>
    <t>1C04802</t>
  </si>
  <si>
    <t>0000372573</t>
  </si>
  <si>
    <t>1C04803</t>
  </si>
  <si>
    <t>0000372574</t>
  </si>
  <si>
    <t>1C04804</t>
  </si>
  <si>
    <t>0000372575</t>
  </si>
  <si>
    <t>1C04805</t>
  </si>
  <si>
    <t>0000370819</t>
  </si>
  <si>
    <t>1C04901</t>
  </si>
  <si>
    <t>0000374646</t>
  </si>
  <si>
    <t>1C04902</t>
  </si>
  <si>
    <t>0000374647</t>
  </si>
  <si>
    <t>1C04903</t>
  </si>
  <si>
    <t>0000372576</t>
  </si>
  <si>
    <t>1C04904</t>
  </si>
  <si>
    <t>0000374648</t>
  </si>
  <si>
    <t>1C04905</t>
  </si>
  <si>
    <t>0000374649</t>
  </si>
  <si>
    <t>1C05001</t>
  </si>
  <si>
    <t>0000374650</t>
  </si>
  <si>
    <t>1C05002</t>
  </si>
  <si>
    <t>0000372577</t>
  </si>
  <si>
    <t>1C05003</t>
  </si>
  <si>
    <t>0000372578</t>
  </si>
  <si>
    <t>1C05004</t>
  </si>
  <si>
    <t>0000372579</t>
  </si>
  <si>
    <t>1C05005</t>
  </si>
  <si>
    <t>0000367769</t>
  </si>
  <si>
    <t>1C05101</t>
  </si>
  <si>
    <t>0000348316</t>
  </si>
  <si>
    <t>1C05102</t>
  </si>
  <si>
    <t>0000372580</t>
  </si>
  <si>
    <t>1C05103</t>
  </si>
  <si>
    <t>0000372581</t>
  </si>
  <si>
    <t>1C05104</t>
  </si>
  <si>
    <t>0000372582</t>
  </si>
  <si>
    <t>1C05105</t>
  </si>
  <si>
    <t>0000372583</t>
  </si>
  <si>
    <t>1C05201</t>
  </si>
  <si>
    <t>0000372584</t>
  </si>
  <si>
    <t>1C05202</t>
  </si>
  <si>
    <t>0000367770</t>
  </si>
  <si>
    <t>1C05203</t>
  </si>
  <si>
    <t>0000367771</t>
  </si>
  <si>
    <t>1C05204</t>
  </si>
  <si>
    <t>0000367772</t>
  </si>
  <si>
    <t>1C05205</t>
  </si>
  <si>
    <t>0000367773</t>
  </si>
  <si>
    <t>1C05301</t>
  </si>
  <si>
    <t>0000372585</t>
  </si>
  <si>
    <t>1C05302</t>
  </si>
  <si>
    <t>0000372586</t>
  </si>
  <si>
    <t>1C05303</t>
  </si>
  <si>
    <t>0000372587</t>
  </si>
  <si>
    <t>1C05304</t>
  </si>
  <si>
    <t>0000372588</t>
  </si>
  <si>
    <t>1C05305</t>
  </si>
  <si>
    <t>0000373143</t>
  </si>
  <si>
    <t>1C05401</t>
  </si>
  <si>
    <t>0000372589</t>
  </si>
  <si>
    <t>1C05402</t>
  </si>
  <si>
    <t>0000372590</t>
  </si>
  <si>
    <t>1C05403</t>
  </si>
  <si>
    <t>0000372591</t>
  </si>
  <si>
    <t>1C05404</t>
  </si>
  <si>
    <t>0000372592</t>
  </si>
  <si>
    <t>1C05405</t>
  </si>
  <si>
    <t>0000373144</t>
  </si>
  <si>
    <t>1C05501</t>
  </si>
  <si>
    <t>0000373145</t>
  </si>
  <si>
    <t>1C05502</t>
  </si>
  <si>
    <t>0000367774</t>
  </si>
  <si>
    <t>1C05503</t>
  </si>
  <si>
    <t>0000367775</t>
  </si>
  <si>
    <t>1C05504</t>
  </si>
  <si>
    <t>0000367776</t>
  </si>
  <si>
    <t>1C05505</t>
  </si>
  <si>
    <t>0000367777</t>
  </si>
  <si>
    <t>1C05601</t>
  </si>
  <si>
    <t>0000372593</t>
  </si>
  <si>
    <t>1C05602</t>
  </si>
  <si>
    <t>0000372594</t>
  </si>
  <si>
    <t>1C05603</t>
  </si>
  <si>
    <t>0000372595</t>
  </si>
  <si>
    <t>1C05604</t>
  </si>
  <si>
    <t>0000367778</t>
  </si>
  <si>
    <t>1C05605</t>
  </si>
  <si>
    <t>0000367779</t>
  </si>
  <si>
    <t>1C05701</t>
  </si>
  <si>
    <t>0000372596</t>
  </si>
  <si>
    <t>1C05702</t>
  </si>
  <si>
    <t>0000372597</t>
  </si>
  <si>
    <t>1C05703</t>
  </si>
  <si>
    <t>0000372598</t>
  </si>
  <si>
    <t>1C05704</t>
  </si>
  <si>
    <t>0000372599</t>
  </si>
  <si>
    <t>1C05705</t>
  </si>
  <si>
    <t>0000367780</t>
  </si>
  <si>
    <t>1C05801</t>
  </si>
  <si>
    <t>0000367781</t>
  </si>
  <si>
    <t>1C05802</t>
  </si>
  <si>
    <t>0000372600</t>
  </si>
  <si>
    <t>1C05803</t>
  </si>
  <si>
    <t>0000367782</t>
  </si>
  <si>
    <t>1C05804</t>
  </si>
  <si>
    <t>0000367783</t>
  </si>
  <si>
    <t>1C05805</t>
  </si>
  <si>
    <t>0000372601</t>
  </si>
  <si>
    <t>1C05901</t>
  </si>
  <si>
    <t>0000370820</t>
  </si>
  <si>
    <t>1C05902</t>
  </si>
  <si>
    <t>0000372602</t>
  </si>
  <si>
    <t>1C05903</t>
  </si>
  <si>
    <t>0000370821</t>
  </si>
  <si>
    <t>1C05904</t>
  </si>
  <si>
    <t>0000372603</t>
  </si>
  <si>
    <t>1C05905</t>
  </si>
  <si>
    <t>0000372604</t>
  </si>
  <si>
    <t>1C06001</t>
  </si>
  <si>
    <t>0000372605</t>
  </si>
  <si>
    <t>1C06002</t>
  </si>
  <si>
    <t>0000372606</t>
  </si>
  <si>
    <t>1C06003</t>
  </si>
  <si>
    <t>0000372607</t>
  </si>
  <si>
    <t>1C06004</t>
  </si>
  <si>
    <t>0000370822</t>
  </si>
  <si>
    <t>1C06005</t>
  </si>
  <si>
    <t>0000372608</t>
  </si>
  <si>
    <t>1C06101</t>
  </si>
  <si>
    <t>0000368292</t>
  </si>
  <si>
    <t>1C06102</t>
  </si>
  <si>
    <t>0000372609</t>
  </si>
  <si>
    <t>1C06103</t>
  </si>
  <si>
    <t>0000370823</t>
  </si>
  <si>
    <t>LT00040523</t>
  </si>
  <si>
    <t>1C06104</t>
  </si>
  <si>
    <t>0000331631</t>
  </si>
  <si>
    <t>2023-08-09</t>
  </si>
  <si>
    <t>2030-08-09</t>
  </si>
  <si>
    <t>1C06105</t>
  </si>
  <si>
    <t>0000372610</t>
  </si>
  <si>
    <t>1C06201</t>
  </si>
  <si>
    <t>0000368293</t>
  </si>
  <si>
    <t>1C06202</t>
  </si>
  <si>
    <t>0000372611</t>
  </si>
  <si>
    <t>LT00049378</t>
  </si>
  <si>
    <t>1C06203</t>
  </si>
  <si>
    <t>0000368294</t>
  </si>
  <si>
    <t>KI4177</t>
  </si>
  <si>
    <t>1C06204</t>
  </si>
  <si>
    <t>0000368295</t>
  </si>
  <si>
    <t>1C06205</t>
  </si>
  <si>
    <t>0000368296</t>
  </si>
  <si>
    <t>1C06301</t>
  </si>
  <si>
    <t>0000373146</t>
  </si>
  <si>
    <t>1C06302</t>
  </si>
  <si>
    <t>0000370824</t>
  </si>
  <si>
    <t>1C06303</t>
  </si>
  <si>
    <t>0000373147</t>
  </si>
  <si>
    <t>1C06304</t>
  </si>
  <si>
    <t>0000373148</t>
  </si>
  <si>
    <t>1C06305</t>
  </si>
  <si>
    <t>0000373149</t>
  </si>
  <si>
    <t>1C06401</t>
  </si>
  <si>
    <t>0000370825</t>
  </si>
  <si>
    <t>1C06402</t>
  </si>
  <si>
    <t>0000370826</t>
  </si>
  <si>
    <t>1C06403</t>
  </si>
  <si>
    <t>0000370827</t>
  </si>
  <si>
    <t>1C06404</t>
  </si>
  <si>
    <t>0000379225</t>
  </si>
  <si>
    <t>1C06405</t>
  </si>
  <si>
    <t>0000379864</t>
  </si>
  <si>
    <t>1C06501</t>
  </si>
  <si>
    <t>0000379865</t>
  </si>
  <si>
    <t>LT00050094</t>
  </si>
  <si>
    <t>1C06502</t>
  </si>
  <si>
    <t>0000372819</t>
  </si>
  <si>
    <t>1C06503</t>
  </si>
  <si>
    <t>0000372820</t>
  </si>
  <si>
    <t>1C06504</t>
  </si>
  <si>
    <t>0000372821</t>
  </si>
  <si>
    <t>1C06505</t>
  </si>
  <si>
    <t>0000368297</t>
  </si>
  <si>
    <t>1C06601</t>
  </si>
  <si>
    <t>0000379866</t>
  </si>
  <si>
    <t>1C06602</t>
  </si>
  <si>
    <t>0000375898</t>
  </si>
  <si>
    <t>1C06603</t>
  </si>
  <si>
    <t>0000375899</t>
  </si>
  <si>
    <t>1C06604</t>
  </si>
  <si>
    <t>0000377424</t>
  </si>
  <si>
    <t>1C06605</t>
  </si>
  <si>
    <t>0000379867</t>
  </si>
  <si>
    <t>1C06701</t>
  </si>
  <si>
    <t>0000379868</t>
  </si>
  <si>
    <t>1C06702</t>
  </si>
  <si>
    <t>0000379869</t>
  </si>
  <si>
    <t>1C06703</t>
  </si>
  <si>
    <t>0000379870</t>
  </si>
  <si>
    <t>1C06704</t>
  </si>
  <si>
    <t>0000379871</t>
  </si>
  <si>
    <t>1C06705</t>
  </si>
  <si>
    <t>0000372822</t>
  </si>
  <si>
    <t>1C06801</t>
  </si>
  <si>
    <t>0000372823</t>
  </si>
  <si>
    <t>1C06802</t>
  </si>
  <si>
    <t>0000379872</t>
  </si>
  <si>
    <t>1C06803</t>
  </si>
  <si>
    <t>0000379873</t>
  </si>
  <si>
    <t>1C06804</t>
  </si>
  <si>
    <t>0000379874</t>
  </si>
  <si>
    <t>1C06805</t>
  </si>
  <si>
    <t>0000379875</t>
  </si>
  <si>
    <t>1C06901</t>
  </si>
  <si>
    <t>0000374651</t>
  </si>
  <si>
    <t>1C06902</t>
  </si>
  <si>
    <t>0000379876</t>
  </si>
  <si>
    <t>1C06903</t>
  </si>
  <si>
    <t>0000379877</t>
  </si>
  <si>
    <t>1C06904</t>
  </si>
  <si>
    <t>0000379879</t>
  </si>
  <si>
    <t>1C06905</t>
  </si>
  <si>
    <t>0000379880</t>
  </si>
  <si>
    <t>1C07001</t>
  </si>
  <si>
    <t>0000370828</t>
  </si>
  <si>
    <t>1C07002</t>
  </si>
  <si>
    <t>0000370829</t>
  </si>
  <si>
    <t>1C07003</t>
  </si>
  <si>
    <t>0000370830</t>
  </si>
  <si>
    <t>1C07004</t>
  </si>
  <si>
    <t>0000370831</t>
  </si>
  <si>
    <t>1C07005</t>
  </si>
  <si>
    <t>0000370832</t>
  </si>
  <si>
    <t>LT00040777</t>
  </si>
  <si>
    <t>1C07102</t>
  </si>
  <si>
    <t>0000307500</t>
  </si>
  <si>
    <t>2023-03-15</t>
  </si>
  <si>
    <t>2030-03-15</t>
  </si>
  <si>
    <t>1C07103</t>
  </si>
  <si>
    <t>0000374652</t>
  </si>
  <si>
    <t>1C07104</t>
  </si>
  <si>
    <t>0000307501</t>
  </si>
  <si>
    <t>1C07105</t>
  </si>
  <si>
    <t>0000374653</t>
  </si>
  <si>
    <t>1C07201</t>
  </si>
  <si>
    <t>0000307502</t>
  </si>
  <si>
    <t>1C07202</t>
  </si>
  <si>
    <t>0000307503</t>
  </si>
  <si>
    <t>1C07203</t>
  </si>
  <si>
    <t>0000379881</t>
  </si>
  <si>
    <t>1C07204</t>
  </si>
  <si>
    <t>0000374654</t>
  </si>
  <si>
    <t>1C07205</t>
  </si>
  <si>
    <t>0000367784</t>
  </si>
  <si>
    <t>1C07301</t>
  </si>
  <si>
    <t>0000370833</t>
  </si>
  <si>
    <t>1C07302</t>
  </si>
  <si>
    <t>0000370834</t>
  </si>
  <si>
    <t>1C07303</t>
  </si>
  <si>
    <t>0000368316</t>
  </si>
  <si>
    <t>1C07304</t>
  </si>
  <si>
    <t>0000374655</t>
  </si>
  <si>
    <t>1C07305</t>
  </si>
  <si>
    <t>0000348317</t>
  </si>
  <si>
    <t>1C07401</t>
  </si>
  <si>
    <t>0000374656</t>
  </si>
  <si>
    <t>1C07402</t>
  </si>
  <si>
    <t>0000307504</t>
  </si>
  <si>
    <t>1C07403</t>
  </si>
  <si>
    <t>0000374657</t>
  </si>
  <si>
    <t>1C07404</t>
  </si>
  <si>
    <t>0000374658</t>
  </si>
  <si>
    <t>1C07405</t>
  </si>
  <si>
    <t>0000374659</t>
  </si>
  <si>
    <t>1C07501</t>
  </si>
  <si>
    <t>0000379882</t>
  </si>
  <si>
    <t>1C07502</t>
  </si>
  <si>
    <t>0000374660</t>
  </si>
  <si>
    <t>1C07503</t>
  </si>
  <si>
    <t>0000368298</t>
  </si>
  <si>
    <t>LT00049379</t>
  </si>
  <si>
    <t>1C07504</t>
  </si>
  <si>
    <t>0000368299</t>
  </si>
  <si>
    <t>KI4172</t>
  </si>
  <si>
    <t>1C07505</t>
  </si>
  <si>
    <t>0000374661</t>
  </si>
  <si>
    <t>1C07601</t>
  </si>
  <si>
    <t>0000374662</t>
  </si>
  <si>
    <t>1C07602</t>
  </si>
  <si>
    <t>0000374663</t>
  </si>
  <si>
    <t>1C07603</t>
  </si>
  <si>
    <t>0000370835</t>
  </si>
  <si>
    <t>1C07604</t>
  </si>
  <si>
    <t>0000370836</t>
  </si>
  <si>
    <t>1C07605</t>
  </si>
  <si>
    <t>0000370837</t>
  </si>
  <si>
    <t>1C07701</t>
  </si>
  <si>
    <t>0000375900</t>
  </si>
  <si>
    <t>1C07702</t>
  </si>
  <si>
    <t>0000307505</t>
  </si>
  <si>
    <t>1C07703</t>
  </si>
  <si>
    <t>0000374664</t>
  </si>
  <si>
    <t>1C07704</t>
  </si>
  <si>
    <t>0000374665</t>
  </si>
  <si>
    <t>LT00050625</t>
  </si>
  <si>
    <t>1C07705</t>
  </si>
  <si>
    <t>0000374668</t>
  </si>
  <si>
    <t>YE4213S2</t>
  </si>
  <si>
    <t>1C07801</t>
  </si>
  <si>
    <t>0000369159</t>
  </si>
  <si>
    <t>1C07802</t>
  </si>
  <si>
    <t>0000369160</t>
  </si>
  <si>
    <t>1C07803</t>
  </si>
  <si>
    <t>0000369161</t>
  </si>
  <si>
    <t>1C07804</t>
  </si>
  <si>
    <t>0000369162</t>
  </si>
  <si>
    <t>1C07805</t>
  </si>
  <si>
    <t>0000369163</t>
  </si>
  <si>
    <t>LT00033507</t>
  </si>
  <si>
    <t>1D00101</t>
  </si>
  <si>
    <t>2022-05-11</t>
  </si>
  <si>
    <t>2029-05-11</t>
  </si>
  <si>
    <t>4500322095</t>
  </si>
  <si>
    <t>LT00049515</t>
  </si>
  <si>
    <t>1D00102</t>
  </si>
  <si>
    <t>0000369164</t>
  </si>
  <si>
    <t>YE4171K1</t>
  </si>
  <si>
    <t>1D00103</t>
  </si>
  <si>
    <t>0000372825</t>
  </si>
  <si>
    <t>1D00104</t>
  </si>
  <si>
    <t>0000369165</t>
  </si>
  <si>
    <t>1D00105</t>
  </si>
  <si>
    <t>0000369166</t>
  </si>
  <si>
    <t>1D00201</t>
  </si>
  <si>
    <t>0000379883</t>
  </si>
  <si>
    <t>1D00202</t>
  </si>
  <si>
    <t>0000368300</t>
  </si>
  <si>
    <t>1D00203</t>
  </si>
  <si>
    <t>0000368301</t>
  </si>
  <si>
    <t>1D00204</t>
  </si>
  <si>
    <t>0000368302</t>
  </si>
  <si>
    <t>1D00205</t>
  </si>
  <si>
    <t>0000368303</t>
  </si>
  <si>
    <t>1D00301</t>
  </si>
  <si>
    <t>0000372826</t>
  </si>
  <si>
    <t>1D00302</t>
  </si>
  <si>
    <t>0000368304</t>
  </si>
  <si>
    <t>1D00303</t>
  </si>
  <si>
    <t>0000368305</t>
  </si>
  <si>
    <t>1D00304</t>
  </si>
  <si>
    <t>0000368306</t>
  </si>
  <si>
    <t>1D00305</t>
  </si>
  <si>
    <t>0000372827</t>
  </si>
  <si>
    <t>1D00401</t>
  </si>
  <si>
    <t>0000368307</t>
  </si>
  <si>
    <t>1D00402</t>
  </si>
  <si>
    <t>0000368308</t>
  </si>
  <si>
    <t>1D00403</t>
  </si>
  <si>
    <t>0000368309</t>
  </si>
  <si>
    <t>1D00404</t>
  </si>
  <si>
    <t>0000372828</t>
  </si>
  <si>
    <t>1022186</t>
  </si>
  <si>
    <t>Refill mypure R8 PAC CU CN</t>
  </si>
  <si>
    <t>LT00049380</t>
  </si>
  <si>
    <t>1D00405</t>
  </si>
  <si>
    <t>0000368310</t>
  </si>
  <si>
    <t>KI4166</t>
  </si>
  <si>
    <t>1D00501</t>
  </si>
  <si>
    <t>0000368317</t>
  </si>
  <si>
    <t>1D00502</t>
  </si>
  <si>
    <t>0000368318</t>
  </si>
  <si>
    <t>1D00503</t>
  </si>
  <si>
    <t>0000373150</t>
  </si>
  <si>
    <t>1D00504</t>
  </si>
  <si>
    <t>0000373151</t>
  </si>
  <si>
    <t>1D00505</t>
  </si>
  <si>
    <t>0000373152</t>
  </si>
  <si>
    <t>1D00601</t>
  </si>
  <si>
    <t>0000373153</t>
  </si>
  <si>
    <t>1D00602</t>
  </si>
  <si>
    <t>0000367785</t>
  </si>
  <si>
    <t>1D00603</t>
  </si>
  <si>
    <t>0000367786</t>
  </si>
  <si>
    <t>1D00604</t>
  </si>
  <si>
    <t>0000367787</t>
  </si>
  <si>
    <t>1D00605</t>
  </si>
  <si>
    <t>0000367788</t>
  </si>
  <si>
    <t>1055881</t>
  </si>
  <si>
    <t>BOT LARQ Twist Top S-L-1L-PB-BL-NE CU CN</t>
  </si>
  <si>
    <t>LT00049161</t>
  </si>
  <si>
    <t>1D00701</t>
  </si>
  <si>
    <t>2024-04-20</t>
  </si>
  <si>
    <t>2031-04-20</t>
  </si>
  <si>
    <t>1D00702</t>
  </si>
  <si>
    <t>0000367789</t>
  </si>
  <si>
    <t>1D00703</t>
  </si>
  <si>
    <t>0000372829</t>
  </si>
  <si>
    <t>1D00704</t>
  </si>
  <si>
    <t>0000372830</t>
  </si>
  <si>
    <t>1D00705</t>
  </si>
  <si>
    <t>0000372831</t>
  </si>
  <si>
    <t>1D00801</t>
  </si>
  <si>
    <t>0000372832</t>
  </si>
  <si>
    <t>1D00802</t>
  </si>
  <si>
    <t>0000367790</t>
  </si>
  <si>
    <t>1D00803</t>
  </si>
  <si>
    <t>0000369167</t>
  </si>
  <si>
    <t>1D00804</t>
  </si>
  <si>
    <t>0000370838</t>
  </si>
  <si>
    <t>1D00805</t>
  </si>
  <si>
    <t>0000369168</t>
  </si>
  <si>
    <t>1D00901</t>
  </si>
  <si>
    <t>0000372833</t>
  </si>
  <si>
    <t>1D00902</t>
  </si>
  <si>
    <t>0000368319</t>
  </si>
  <si>
    <t>1D00903</t>
  </si>
  <si>
    <t>0000367791</t>
  </si>
  <si>
    <t>1D00904</t>
  </si>
  <si>
    <t>0000367792</t>
  </si>
  <si>
    <t>1D00905</t>
  </si>
  <si>
    <t>0000367793</t>
  </si>
  <si>
    <t>1D01001</t>
  </si>
  <si>
    <t>0000367794</t>
  </si>
  <si>
    <t>1D01002</t>
  </si>
  <si>
    <t>0000367795</t>
  </si>
  <si>
    <t>1D01003</t>
  </si>
  <si>
    <t>0000367796</t>
  </si>
  <si>
    <t>1D01004</t>
  </si>
  <si>
    <t>0000372834</t>
  </si>
  <si>
    <t>LT00050095</t>
  </si>
  <si>
    <t>1D01005</t>
  </si>
  <si>
    <t>0000372835</t>
  </si>
  <si>
    <t>1055882</t>
  </si>
  <si>
    <t>BOT LARQ Twist Top S-L-1L-PB-WH-NE CU CN</t>
  </si>
  <si>
    <t>LT00049162</t>
  </si>
  <si>
    <t>1D01101</t>
  </si>
  <si>
    <t>1D01102</t>
  </si>
  <si>
    <t>0000367797</t>
  </si>
  <si>
    <t>1D01103</t>
  </si>
  <si>
    <t>0000368320</t>
  </si>
  <si>
    <t>1D01104</t>
  </si>
  <si>
    <t>0000367798</t>
  </si>
  <si>
    <t>1D01105</t>
  </si>
  <si>
    <t>0000367799</t>
  </si>
  <si>
    <t>1D01201</t>
  </si>
  <si>
    <t>1D01202</t>
  </si>
  <si>
    <t>0000372836</t>
  </si>
  <si>
    <t>1D01203</t>
  </si>
  <si>
    <t>0000367800</t>
  </si>
  <si>
    <t>1D01204</t>
  </si>
  <si>
    <t>0000367801</t>
  </si>
  <si>
    <t>1D01205</t>
  </si>
  <si>
    <t>0000367802</t>
  </si>
  <si>
    <t>1D01301</t>
  </si>
  <si>
    <t>0000372837</t>
  </si>
  <si>
    <t>1D01302</t>
  </si>
  <si>
    <t>0000367803</t>
  </si>
  <si>
    <t>1D01303</t>
  </si>
  <si>
    <t>0000368321</t>
  </si>
  <si>
    <t>1D01304</t>
  </si>
  <si>
    <t>0000367804</t>
  </si>
  <si>
    <t>1D01305</t>
  </si>
  <si>
    <t>0000367805</t>
  </si>
  <si>
    <t>1D01401</t>
  </si>
  <si>
    <t>0000368322</t>
  </si>
  <si>
    <t>1D01402</t>
  </si>
  <si>
    <t>0000367806</t>
  </si>
  <si>
    <t>1D01403</t>
  </si>
  <si>
    <t>0000367807</t>
  </si>
  <si>
    <t>1D01404</t>
  </si>
  <si>
    <t>0000367808</t>
  </si>
  <si>
    <t>1D01405</t>
  </si>
  <si>
    <t>0000367809</t>
  </si>
  <si>
    <t>1D01501</t>
  </si>
  <si>
    <t>1D01502</t>
  </si>
  <si>
    <t>0000367810</t>
  </si>
  <si>
    <t>1D01503</t>
  </si>
  <si>
    <t>0000372838</t>
  </si>
  <si>
    <t>1D01504</t>
  </si>
  <si>
    <t>0000372839</t>
  </si>
  <si>
    <t>1D01505</t>
  </si>
  <si>
    <t>0000372840</t>
  </si>
  <si>
    <t>1055883</t>
  </si>
  <si>
    <t>LT00049163</t>
  </si>
  <si>
    <t>1D01601</t>
  </si>
  <si>
    <t>1D01602</t>
  </si>
  <si>
    <t>0000372841</t>
  </si>
  <si>
    <t>1D01603</t>
  </si>
  <si>
    <t>0000378663</t>
  </si>
  <si>
    <t>1D01604</t>
  </si>
  <si>
    <t>0000372842</t>
  </si>
  <si>
    <t>1D01605</t>
  </si>
  <si>
    <t>0000373154</t>
  </si>
  <si>
    <t>1022184</t>
  </si>
  <si>
    <t>Refill mypure R8 PF-CB CU CN</t>
  </si>
  <si>
    <t>LT00051620</t>
  </si>
  <si>
    <t>1D01701</t>
  </si>
  <si>
    <t>0000378667</t>
  </si>
  <si>
    <t>KI4246</t>
  </si>
  <si>
    <t>1D01702</t>
  </si>
  <si>
    <t>0000378668</t>
  </si>
  <si>
    <t>LT00051621</t>
  </si>
  <si>
    <t>1D01703</t>
  </si>
  <si>
    <t>0000378669</t>
  </si>
  <si>
    <t>KI4243</t>
  </si>
  <si>
    <t>1D01704</t>
  </si>
  <si>
    <t>0000379226</t>
  </si>
  <si>
    <t>1D01705</t>
  </si>
  <si>
    <t>0000379227</t>
  </si>
  <si>
    <t>1D01801</t>
  </si>
  <si>
    <t>0000379228</t>
  </si>
  <si>
    <t>1D01802</t>
  </si>
  <si>
    <t>0000374669</t>
  </si>
  <si>
    <t>1D01803</t>
  </si>
  <si>
    <t>0000374670</t>
  </si>
  <si>
    <t>1D01804</t>
  </si>
  <si>
    <t>0000374671</t>
  </si>
  <si>
    <t>1D01805</t>
  </si>
  <si>
    <t>0000374672</t>
  </si>
  <si>
    <t>1D01901</t>
  </si>
  <si>
    <t>1D01902</t>
  </si>
  <si>
    <t>0000374673</t>
  </si>
  <si>
    <t>1D01903</t>
  </si>
  <si>
    <t>0000374674</t>
  </si>
  <si>
    <t>1D01904</t>
  </si>
  <si>
    <t>0000374675</t>
  </si>
  <si>
    <t>1D01905</t>
  </si>
  <si>
    <t>0000374676</t>
  </si>
  <si>
    <t>1D02001</t>
  </si>
  <si>
    <t>0000370839</t>
  </si>
  <si>
    <t>LT00050149</t>
  </si>
  <si>
    <t>1D02002</t>
  </si>
  <si>
    <t>0000373157</t>
  </si>
  <si>
    <t>YE4176A3</t>
  </si>
  <si>
    <t>1D02003</t>
  </si>
  <si>
    <t>0000373158</t>
  </si>
  <si>
    <t>1D02004</t>
  </si>
  <si>
    <t>0000373159</t>
  </si>
  <si>
    <t>1D02005</t>
  </si>
  <si>
    <t>0000373160</t>
  </si>
  <si>
    <t>1D02101</t>
  </si>
  <si>
    <t>0000373161</t>
  </si>
  <si>
    <t>1D02102</t>
  </si>
  <si>
    <t>0000373162</t>
  </si>
  <si>
    <t>1D02103</t>
  </si>
  <si>
    <t>0000374677</t>
  </si>
  <si>
    <t>1D02104</t>
  </si>
  <si>
    <t>0000374678</t>
  </si>
  <si>
    <t>1D02105</t>
  </si>
  <si>
    <t>0000375901</t>
  </si>
  <si>
    <t>1D02201</t>
  </si>
  <si>
    <t>0000334421</t>
  </si>
  <si>
    <t>1D02202</t>
  </si>
  <si>
    <t>0000379229</t>
  </si>
  <si>
    <t>1D02203</t>
  </si>
  <si>
    <t>0000373163</t>
  </si>
  <si>
    <t>1D02204</t>
  </si>
  <si>
    <t>0000373164</t>
  </si>
  <si>
    <t>1D02205</t>
  </si>
  <si>
    <t>0000373165</t>
  </si>
  <si>
    <t>1D02301</t>
  </si>
  <si>
    <t>0000373166</t>
  </si>
  <si>
    <t>1D02302</t>
  </si>
  <si>
    <t>0000373167</t>
  </si>
  <si>
    <t>1D02303</t>
  </si>
  <si>
    <t>0000373168</t>
  </si>
  <si>
    <t>1D02304</t>
  </si>
  <si>
    <t>0000373169</t>
  </si>
  <si>
    <t>1D02305</t>
  </si>
  <si>
    <t>0000373170</t>
  </si>
  <si>
    <t>1D02401</t>
  </si>
  <si>
    <t>0000373171</t>
  </si>
  <si>
    <t>1D02402</t>
  </si>
  <si>
    <t>0000373172</t>
  </si>
  <si>
    <t>1D02403</t>
  </si>
  <si>
    <t>0000373173</t>
  </si>
  <si>
    <t>1D02404</t>
  </si>
  <si>
    <t>0000373174</t>
  </si>
  <si>
    <t>1D02405</t>
  </si>
  <si>
    <t>0000373175</t>
  </si>
  <si>
    <t>1D02501</t>
  </si>
  <si>
    <t>0000373176</t>
  </si>
  <si>
    <t>1D02502</t>
  </si>
  <si>
    <t>0000374679</t>
  </si>
  <si>
    <t>1D02503</t>
  </si>
  <si>
    <t>0000369169</t>
  </si>
  <si>
    <t>1D02504</t>
  </si>
  <si>
    <t>0000369170</t>
  </si>
  <si>
    <t>1D02505</t>
  </si>
  <si>
    <t>0000374680</t>
  </si>
  <si>
    <t>1D02601</t>
  </si>
  <si>
    <t>0000374681</t>
  </si>
  <si>
    <t>1D02602</t>
  </si>
  <si>
    <t>0000376579</t>
  </si>
  <si>
    <t>1D02603</t>
  </si>
  <si>
    <t>0000374682</t>
  </si>
  <si>
    <t>1D02604</t>
  </si>
  <si>
    <t>0000374683</t>
  </si>
  <si>
    <t>1D02605</t>
  </si>
  <si>
    <t>0000374684</t>
  </si>
  <si>
    <t>1D02701</t>
  </si>
  <si>
    <t>0000374685</t>
  </si>
  <si>
    <t>1D02702</t>
  </si>
  <si>
    <t>0000374686</t>
  </si>
  <si>
    <t>1D02703</t>
  </si>
  <si>
    <t>0000374687</t>
  </si>
  <si>
    <t>1D02704</t>
  </si>
  <si>
    <t>0000374688</t>
  </si>
  <si>
    <t>1D02705</t>
  </si>
  <si>
    <t>0000373177</t>
  </si>
  <si>
    <t>1D02802</t>
  </si>
  <si>
    <t>0000376580</t>
  </si>
  <si>
    <t>1038296</t>
  </si>
  <si>
    <t>Marella XL ME4W blue inkl3 MXp BCM CU CN</t>
  </si>
  <si>
    <t>LT00036003</t>
  </si>
  <si>
    <t>1D02803</t>
  </si>
  <si>
    <t>0000273559</t>
  </si>
  <si>
    <t>2022-07-01</t>
  </si>
  <si>
    <t>2029-07-01</t>
  </si>
  <si>
    <t>KI1176</t>
  </si>
  <si>
    <t>1D02804</t>
  </si>
  <si>
    <t>0000370840</t>
  </si>
  <si>
    <t>1D02805</t>
  </si>
  <si>
    <t>0000379230</t>
  </si>
  <si>
    <t>1D02902</t>
  </si>
  <si>
    <t>0000379884</t>
  </si>
  <si>
    <t>1043017</t>
  </si>
  <si>
    <t>Pack 1 MAXTRAplus UNIV CU CN XY</t>
  </si>
  <si>
    <t>LT00050257</t>
  </si>
  <si>
    <t>1D02903</t>
  </si>
  <si>
    <t>0000373252</t>
  </si>
  <si>
    <t>2024-05-17</t>
  </si>
  <si>
    <t>0006226621</t>
  </si>
  <si>
    <t>1D02904</t>
  </si>
  <si>
    <t>0000370841</t>
  </si>
  <si>
    <t>1D02905</t>
  </si>
  <si>
    <t>0000374689</t>
  </si>
  <si>
    <t>1D03002</t>
  </si>
  <si>
    <t>0000373254</t>
  </si>
  <si>
    <t>1D03003</t>
  </si>
  <si>
    <t>0000373255</t>
  </si>
  <si>
    <t>1D03004</t>
  </si>
  <si>
    <t>0000373256</t>
  </si>
  <si>
    <t>1D03005</t>
  </si>
  <si>
    <t>0000373257</t>
  </si>
  <si>
    <t>1D03101</t>
  </si>
  <si>
    <t>0000374690</t>
  </si>
  <si>
    <t>1D03102</t>
  </si>
  <si>
    <t>0000369171</t>
  </si>
  <si>
    <t>1D03103</t>
  </si>
  <si>
    <t>0000374691</t>
  </si>
  <si>
    <t>1D03104</t>
  </si>
  <si>
    <t>0000374692</t>
  </si>
  <si>
    <t>1D03105</t>
  </si>
  <si>
    <t>0000374693</t>
  </si>
  <si>
    <t>1D03201</t>
  </si>
  <si>
    <t>1D03202</t>
  </si>
  <si>
    <t>0000369172</t>
  </si>
  <si>
    <t>1D03203</t>
  </si>
  <si>
    <t>0000374694</t>
  </si>
  <si>
    <t>1D03204</t>
  </si>
  <si>
    <t>0000369173</t>
  </si>
  <si>
    <t>1D03205</t>
  </si>
  <si>
    <t>0000369174</t>
  </si>
  <si>
    <t>1D03301</t>
  </si>
  <si>
    <t>0000374695</t>
  </si>
  <si>
    <t>1D03302</t>
  </si>
  <si>
    <t>0000374696</t>
  </si>
  <si>
    <t>1D03303</t>
  </si>
  <si>
    <t>0000374697</t>
  </si>
  <si>
    <t>1D03304</t>
  </si>
  <si>
    <t>0000374698</t>
  </si>
  <si>
    <t>1D03305</t>
  </si>
  <si>
    <t>0000374699</t>
  </si>
  <si>
    <t>1D03401</t>
  </si>
  <si>
    <t>0000369175</t>
  </si>
  <si>
    <t>1D03402</t>
  </si>
  <si>
    <t>0000374700</t>
  </si>
  <si>
    <t>1D03403</t>
  </si>
  <si>
    <t>0000374701</t>
  </si>
  <si>
    <t>1D03404</t>
  </si>
  <si>
    <t>0000374702</t>
  </si>
  <si>
    <t>1D03405</t>
  </si>
  <si>
    <t>0000369176</t>
  </si>
  <si>
    <t>1D03501</t>
  </si>
  <si>
    <t>0000374703</t>
  </si>
  <si>
    <t>1D03502</t>
  </si>
  <si>
    <t>0000374704</t>
  </si>
  <si>
    <t>1D03503</t>
  </si>
  <si>
    <t>0000374705</t>
  </si>
  <si>
    <t>1D03504</t>
  </si>
  <si>
    <t>0000374706</t>
  </si>
  <si>
    <t>1D03505</t>
  </si>
  <si>
    <t>0000374707</t>
  </si>
  <si>
    <t>1D03601</t>
  </si>
  <si>
    <t>0000374708</t>
  </si>
  <si>
    <t>1D03602</t>
  </si>
  <si>
    <t>0000313102</t>
  </si>
  <si>
    <t>1D03603</t>
  </si>
  <si>
    <t>0000374709</t>
  </si>
  <si>
    <t>1D03604</t>
  </si>
  <si>
    <t>0000374710</t>
  </si>
  <si>
    <t>1D03605</t>
  </si>
  <si>
    <t>0000374711</t>
  </si>
  <si>
    <t>1D03701</t>
  </si>
  <si>
    <t>0000374712</t>
  </si>
  <si>
    <t>LT00050626</t>
  </si>
  <si>
    <t>1D03702</t>
  </si>
  <si>
    <t>0000374713</t>
  </si>
  <si>
    <t>YE4212S2</t>
  </si>
  <si>
    <t>1D03703</t>
  </si>
  <si>
    <t>0000374714</t>
  </si>
  <si>
    <t>1D03704</t>
  </si>
  <si>
    <t>0000374715</t>
  </si>
  <si>
    <t>1D03705</t>
  </si>
  <si>
    <t>0000374716</t>
  </si>
  <si>
    <t>1D03801</t>
  </si>
  <si>
    <t>0000374717</t>
  </si>
  <si>
    <t>1D03802</t>
  </si>
  <si>
    <t>0000374718</t>
  </si>
  <si>
    <t>1D03803</t>
  </si>
  <si>
    <t>0000374719</t>
  </si>
  <si>
    <t>1D03804</t>
  </si>
  <si>
    <t>0000374720</t>
  </si>
  <si>
    <t>1D03805</t>
  </si>
  <si>
    <t>0000374721</t>
  </si>
  <si>
    <t>1D03901</t>
  </si>
  <si>
    <t>1D03902</t>
  </si>
  <si>
    <t>0000374722</t>
  </si>
  <si>
    <t>1D03903</t>
  </si>
  <si>
    <t>0000374723</t>
  </si>
  <si>
    <t>1D03904</t>
  </si>
  <si>
    <t>0000374724</t>
  </si>
  <si>
    <t>1D03905</t>
  </si>
  <si>
    <t>0000374725</t>
  </si>
  <si>
    <t>1D04001</t>
  </si>
  <si>
    <t>0000369177</t>
  </si>
  <si>
    <t>1D04002</t>
  </si>
  <si>
    <t>0000374726</t>
  </si>
  <si>
    <t>1D04003</t>
  </si>
  <si>
    <t>0000369178</t>
  </si>
  <si>
    <t>1D04004</t>
  </si>
  <si>
    <t>0000369179</t>
  </si>
  <si>
    <t>1D04005</t>
  </si>
  <si>
    <t>0000374727</t>
  </si>
  <si>
    <t>1D04101</t>
  </si>
  <si>
    <t>0000374728</t>
  </si>
  <si>
    <t>1D04102</t>
  </si>
  <si>
    <t>0000374729</t>
  </si>
  <si>
    <t>1D04103</t>
  </si>
  <si>
    <t>0000374730</t>
  </si>
  <si>
    <t>1D04104</t>
  </si>
  <si>
    <t>0000374731</t>
  </si>
  <si>
    <t>1D04105</t>
  </si>
  <si>
    <t>0000374732</t>
  </si>
  <si>
    <t>LT00050628</t>
  </si>
  <si>
    <t>1D04201</t>
  </si>
  <si>
    <t>0000374944</t>
  </si>
  <si>
    <t>2031-05-28</t>
  </si>
  <si>
    <t>1D04202</t>
  </si>
  <si>
    <t>0000375902</t>
  </si>
  <si>
    <t>1D04203</t>
  </si>
  <si>
    <t>0000375903</t>
  </si>
  <si>
    <t>1D04204</t>
  </si>
  <si>
    <t>0000375904</t>
  </si>
  <si>
    <t>1D04205</t>
  </si>
  <si>
    <t>0000375905</t>
  </si>
  <si>
    <t>LT00050631</t>
  </si>
  <si>
    <t>1D04301</t>
  </si>
  <si>
    <t>0000374949</t>
  </si>
  <si>
    <t>KI4214</t>
  </si>
  <si>
    <t>LT00050633</t>
  </si>
  <si>
    <t>1D04302</t>
  </si>
  <si>
    <t>0000374952</t>
  </si>
  <si>
    <t>KI4202</t>
  </si>
  <si>
    <t>1D04303</t>
  </si>
  <si>
    <t>0000375906</t>
  </si>
  <si>
    <t>1D04304</t>
  </si>
  <si>
    <t>0000375907</t>
  </si>
  <si>
    <t>1D04305</t>
  </si>
  <si>
    <t>0000377425</t>
  </si>
  <si>
    <t>LT00051027</t>
  </si>
  <si>
    <t>1D04401</t>
  </si>
  <si>
    <t>0000376581</t>
  </si>
  <si>
    <t>YE4232A3</t>
  </si>
  <si>
    <t>1D04402</t>
  </si>
  <si>
    <t>0000376582</t>
  </si>
  <si>
    <t>1D04403</t>
  </si>
  <si>
    <t>0000313103</t>
  </si>
  <si>
    <t>1D04404</t>
  </si>
  <si>
    <t>0000313104</t>
  </si>
  <si>
    <t>1D04405</t>
  </si>
  <si>
    <t>0000376583</t>
  </si>
  <si>
    <t>1D04501</t>
  </si>
  <si>
    <t>0000376584</t>
  </si>
  <si>
    <t>1D04502</t>
  </si>
  <si>
    <t>0000376585</t>
  </si>
  <si>
    <t>1D04503</t>
  </si>
  <si>
    <t>0000376586</t>
  </si>
  <si>
    <t>1D04504</t>
  </si>
  <si>
    <t>0000376587</t>
  </si>
  <si>
    <t>1D04505</t>
  </si>
  <si>
    <t>0000376588</t>
  </si>
  <si>
    <t>1D04601</t>
  </si>
  <si>
    <t>1D04602</t>
  </si>
  <si>
    <t>0000376589</t>
  </si>
  <si>
    <t>1D04603</t>
  </si>
  <si>
    <t>0000376590</t>
  </si>
  <si>
    <t>1D04604</t>
  </si>
  <si>
    <t>0000376591</t>
  </si>
  <si>
    <t>1D04605</t>
  </si>
  <si>
    <t>0000313105</t>
  </si>
  <si>
    <t>1D04701</t>
  </si>
  <si>
    <t>0000376592</t>
  </si>
  <si>
    <t>1D04702</t>
  </si>
  <si>
    <t>0000376593</t>
  </si>
  <si>
    <t>1D04703</t>
  </si>
  <si>
    <t>0000369180</t>
  </si>
  <si>
    <t>1D04704</t>
  </si>
  <si>
    <t>0000376594</t>
  </si>
  <si>
    <t>1D04705</t>
  </si>
  <si>
    <t>0000376595</t>
  </si>
  <si>
    <t>1D04801</t>
  </si>
  <si>
    <t>0000376596</t>
  </si>
  <si>
    <t>1D04802</t>
  </si>
  <si>
    <t>0000376597</t>
  </si>
  <si>
    <t>1D04804</t>
  </si>
  <si>
    <t>0000376598</t>
  </si>
  <si>
    <t>LT00049324</t>
  </si>
  <si>
    <t>1D04805</t>
  </si>
  <si>
    <t>0000368084</t>
  </si>
  <si>
    <t>2024-04-24</t>
  </si>
  <si>
    <t>2031-04-24</t>
  </si>
  <si>
    <t>1D04901</t>
  </si>
  <si>
    <t>0000368085</t>
  </si>
  <si>
    <t>1D04902</t>
  </si>
  <si>
    <t>0000368086</t>
  </si>
  <si>
    <t>1D04903</t>
  </si>
  <si>
    <t>0000368087</t>
  </si>
  <si>
    <t>1D04904</t>
  </si>
  <si>
    <t>0000368088</t>
  </si>
  <si>
    <t>1D04905</t>
  </si>
  <si>
    <t>0000368089</t>
  </si>
  <si>
    <t>1D05001</t>
  </si>
  <si>
    <t>0000369181</t>
  </si>
  <si>
    <t>1D05002</t>
  </si>
  <si>
    <t>0000369182</t>
  </si>
  <si>
    <t>1D05003</t>
  </si>
  <si>
    <t>0000369183</t>
  </si>
  <si>
    <t>1D05004</t>
  </si>
  <si>
    <t>0000369184</t>
  </si>
  <si>
    <t>1D05005</t>
  </si>
  <si>
    <t>0000369185</t>
  </si>
  <si>
    <t>1D05101</t>
  </si>
  <si>
    <t>0000376599</t>
  </si>
  <si>
    <t>1D05102</t>
  </si>
  <si>
    <t>0000376600</t>
  </si>
  <si>
    <t>1D05103</t>
  </si>
  <si>
    <t>0000376601</t>
  </si>
  <si>
    <t>1D05104</t>
  </si>
  <si>
    <t>0000376602</t>
  </si>
  <si>
    <t>1D05105</t>
  </si>
  <si>
    <t>0000376603</t>
  </si>
  <si>
    <t>1D05201</t>
  </si>
  <si>
    <t>0000376604</t>
  </si>
  <si>
    <t>LT00051028</t>
  </si>
  <si>
    <t>1D05202</t>
  </si>
  <si>
    <t>0000376605</t>
  </si>
  <si>
    <t>1D05203</t>
  </si>
  <si>
    <t>0000376606</t>
  </si>
  <si>
    <t>1D05204</t>
  </si>
  <si>
    <t>0000376607</t>
  </si>
  <si>
    <t>1D05205</t>
  </si>
  <si>
    <t>0000376608</t>
  </si>
  <si>
    <t>1D05301</t>
  </si>
  <si>
    <t>0000376609</t>
  </si>
  <si>
    <t>1D05302</t>
  </si>
  <si>
    <t>0000376610</t>
  </si>
  <si>
    <t>1D05303</t>
  </si>
  <si>
    <t>0000376611</t>
  </si>
  <si>
    <t>1D05304</t>
  </si>
  <si>
    <t>0000376612</t>
  </si>
  <si>
    <t>1D05305</t>
  </si>
  <si>
    <t>0000376613</t>
  </si>
  <si>
    <t>1D05401</t>
  </si>
  <si>
    <t>0000348318</t>
  </si>
  <si>
    <t>1D05402</t>
  </si>
  <si>
    <t>0000376614</t>
  </si>
  <si>
    <t>1D05403</t>
  </si>
  <si>
    <t>0000348319</t>
  </si>
  <si>
    <t>1D05404</t>
  </si>
  <si>
    <t>0000376615</t>
  </si>
  <si>
    <t>LT00051029</t>
  </si>
  <si>
    <t>1D05405</t>
  </si>
  <si>
    <t>0000376616</t>
  </si>
  <si>
    <t>YE4231A3</t>
  </si>
  <si>
    <t>1D05501</t>
  </si>
  <si>
    <t>0000376617</t>
  </si>
  <si>
    <t>1D05502</t>
  </si>
  <si>
    <t>0000376618</t>
  </si>
  <si>
    <t>1D05503</t>
  </si>
  <si>
    <t>0000376619</t>
  </si>
  <si>
    <t>1D05504</t>
  </si>
  <si>
    <t>0000376620</t>
  </si>
  <si>
    <t>1D05505</t>
  </si>
  <si>
    <t>0000376621</t>
  </si>
  <si>
    <t>1D05601</t>
  </si>
  <si>
    <t>0000376622</t>
  </si>
  <si>
    <t>1D05602</t>
  </si>
  <si>
    <t>0000376623</t>
  </si>
  <si>
    <t>1D05603</t>
  </si>
  <si>
    <t>0000376624</t>
  </si>
  <si>
    <t>1D05604</t>
  </si>
  <si>
    <t>0000376625</t>
  </si>
  <si>
    <t>1D05605</t>
  </si>
  <si>
    <t>0000376626</t>
  </si>
  <si>
    <t>1D05701</t>
  </si>
  <si>
    <t>0000376627</t>
  </si>
  <si>
    <t>1D05702</t>
  </si>
  <si>
    <t>0000369186</t>
  </si>
  <si>
    <t>LT00051033</t>
  </si>
  <si>
    <t>1D05703</t>
  </si>
  <si>
    <t>0000376665</t>
  </si>
  <si>
    <t>2024-06-11</t>
  </si>
  <si>
    <t>1D05704</t>
  </si>
  <si>
    <t>0000376666</t>
  </si>
  <si>
    <t>1D05705</t>
  </si>
  <si>
    <t>0000376667</t>
  </si>
  <si>
    <t>1D05801</t>
  </si>
  <si>
    <t>0000376668</t>
  </si>
  <si>
    <t>1D05802</t>
  </si>
  <si>
    <t>0000376669</t>
  </si>
  <si>
    <t>1D05803</t>
  </si>
  <si>
    <t>0000376670</t>
  </si>
  <si>
    <t>1D05804</t>
  </si>
  <si>
    <t>0000376671</t>
  </si>
  <si>
    <t>1D05805</t>
  </si>
  <si>
    <t>0000376672</t>
  </si>
  <si>
    <t>1D05901</t>
  </si>
  <si>
    <t>0000376673</t>
  </si>
  <si>
    <t>1D05902</t>
  </si>
  <si>
    <t>0000376674</t>
  </si>
  <si>
    <t>LT00051034</t>
  </si>
  <si>
    <t>1D05903</t>
  </si>
  <si>
    <t>0000376675</t>
  </si>
  <si>
    <t>1D05904</t>
  </si>
  <si>
    <t>0000376676</t>
  </si>
  <si>
    <t>LT00043624</t>
  </si>
  <si>
    <t>1D05905</t>
  </si>
  <si>
    <t>0000348961</t>
  </si>
  <si>
    <t>2023-11-29</t>
  </si>
  <si>
    <t>2030-11-29</t>
  </si>
  <si>
    <t>KI3475</t>
  </si>
  <si>
    <t>1D06001</t>
  </si>
  <si>
    <t>0000376677</t>
  </si>
  <si>
    <t>1D06002</t>
  </si>
  <si>
    <t>0000376678</t>
  </si>
  <si>
    <t>1D06003</t>
  </si>
  <si>
    <t>0000376679</t>
  </si>
  <si>
    <t>1D06004</t>
  </si>
  <si>
    <t>0000376680</t>
  </si>
  <si>
    <t>1D06005</t>
  </si>
  <si>
    <t>0000376681</t>
  </si>
  <si>
    <t>1D06101</t>
  </si>
  <si>
    <t>0000376682</t>
  </si>
  <si>
    <t>1D06102</t>
  </si>
  <si>
    <t>0000376683</t>
  </si>
  <si>
    <t>1D06103</t>
  </si>
  <si>
    <t>0000376684</t>
  </si>
  <si>
    <t>LT00048017</t>
  </si>
  <si>
    <t>1D06104</t>
  </si>
  <si>
    <t>0000362770</t>
  </si>
  <si>
    <t>2024-03-21</t>
  </si>
  <si>
    <t>2031-03-21</t>
  </si>
  <si>
    <t>2024-03-22</t>
  </si>
  <si>
    <t>WH4122</t>
  </si>
  <si>
    <t>1D06105</t>
  </si>
  <si>
    <t>0000376685</t>
  </si>
  <si>
    <t>1D06201</t>
  </si>
  <si>
    <t>0000376686</t>
  </si>
  <si>
    <t>1D06202</t>
  </si>
  <si>
    <t>0000376687</t>
  </si>
  <si>
    <t>1D06203</t>
  </si>
  <si>
    <t>0000376688</t>
  </si>
  <si>
    <t>LT00051126</t>
  </si>
  <si>
    <t>1D06204</t>
  </si>
  <si>
    <t>0000376749</t>
  </si>
  <si>
    <t>2031-06-11</t>
  </si>
  <si>
    <t>2024-06-12</t>
  </si>
  <si>
    <t>0006222807</t>
  </si>
  <si>
    <t>LT00051127</t>
  </si>
  <si>
    <t>1D06205</t>
  </si>
  <si>
    <t>0000376750</t>
  </si>
  <si>
    <t>0006229614</t>
  </si>
  <si>
    <t>LT00051911</t>
  </si>
  <si>
    <t>1D06301</t>
  </si>
  <si>
    <t>0000379549</t>
  </si>
  <si>
    <t>2024-06-27</t>
  </si>
  <si>
    <t>2031-06-27</t>
  </si>
  <si>
    <t>0006226546</t>
  </si>
  <si>
    <t>LT00048036</t>
  </si>
  <si>
    <t>1D06302</t>
  </si>
  <si>
    <t>0000362825</t>
  </si>
  <si>
    <t>2031-03-22</t>
  </si>
  <si>
    <t>0006214963</t>
  </si>
  <si>
    <t>1D06303</t>
  </si>
  <si>
    <t>0000362826</t>
  </si>
  <si>
    <t>1D06304</t>
  </si>
  <si>
    <t>0000362827</t>
  </si>
  <si>
    <t>1D06305</t>
  </si>
  <si>
    <t>0000362828</t>
  </si>
  <si>
    <t>1D06401</t>
  </si>
  <si>
    <t>0000362829</t>
  </si>
  <si>
    <t>1D06402</t>
  </si>
  <si>
    <t>0000362830</t>
  </si>
  <si>
    <t>1D06403</t>
  </si>
  <si>
    <t>0000362831</t>
  </si>
  <si>
    <t>1D06404</t>
  </si>
  <si>
    <t>0000376751</t>
  </si>
  <si>
    <t>1D06405</t>
  </si>
  <si>
    <t>0000368090</t>
  </si>
  <si>
    <t>1D06501</t>
  </si>
  <si>
    <t>0000380062</t>
  </si>
  <si>
    <t>1D06502</t>
  </si>
  <si>
    <t>0000380063</t>
  </si>
  <si>
    <t>1D06503</t>
  </si>
  <si>
    <t>0000368091</t>
  </si>
  <si>
    <t>LT00051128</t>
  </si>
  <si>
    <t>1D06504</t>
  </si>
  <si>
    <t>0000376752</t>
  </si>
  <si>
    <t>0006229611</t>
  </si>
  <si>
    <t>LT00051129</t>
  </si>
  <si>
    <t>1D06505</t>
  </si>
  <si>
    <t>0000376753</t>
  </si>
  <si>
    <t>0006226545</t>
  </si>
  <si>
    <t>1D06601</t>
  </si>
  <si>
    <t>0000377426</t>
  </si>
  <si>
    <t>1D06602</t>
  </si>
  <si>
    <t>0000377427</t>
  </si>
  <si>
    <t>1D06603</t>
  </si>
  <si>
    <t>0000377428</t>
  </si>
  <si>
    <t>1D06604</t>
  </si>
  <si>
    <t>0000377429</t>
  </si>
  <si>
    <t>1D06605</t>
  </si>
  <si>
    <t>0000377430</t>
  </si>
  <si>
    <t>1D06701</t>
  </si>
  <si>
    <t>0000377431</t>
  </si>
  <si>
    <t>1D06702</t>
  </si>
  <si>
    <t>0000377432</t>
  </si>
  <si>
    <t>1D06703</t>
  </si>
  <si>
    <t>0000377433</t>
  </si>
  <si>
    <t>1D06704</t>
  </si>
  <si>
    <t>0000377434</t>
  </si>
  <si>
    <t>1D06705</t>
  </si>
  <si>
    <t>0000377435</t>
  </si>
  <si>
    <t>1D06801</t>
  </si>
  <si>
    <t>0000377436</t>
  </si>
  <si>
    <t>1D06802</t>
  </si>
  <si>
    <t>0000377437</t>
  </si>
  <si>
    <t>1D06803</t>
  </si>
  <si>
    <t>0000377438</t>
  </si>
  <si>
    <t>1D06804</t>
  </si>
  <si>
    <t>0000377439</t>
  </si>
  <si>
    <t>1D06805</t>
  </si>
  <si>
    <t>0000377440</t>
  </si>
  <si>
    <t>1D06901</t>
  </si>
  <si>
    <t>0000377441</t>
  </si>
  <si>
    <t>1D06902</t>
  </si>
  <si>
    <t>0000377442</t>
  </si>
  <si>
    <t>1D06903</t>
  </si>
  <si>
    <t>0000377443</t>
  </si>
  <si>
    <t>1D06904</t>
  </si>
  <si>
    <t>0000377444</t>
  </si>
  <si>
    <t>1D06905</t>
  </si>
  <si>
    <t>0000377445</t>
  </si>
  <si>
    <t>1D07001</t>
  </si>
  <si>
    <t>0000377446</t>
  </si>
  <si>
    <t>1D07002</t>
  </si>
  <si>
    <t>0000377447</t>
  </si>
  <si>
    <t>LT00051322</t>
  </si>
  <si>
    <t>1D07003</t>
  </si>
  <si>
    <t>0000377448</t>
  </si>
  <si>
    <t>YE4234S2</t>
  </si>
  <si>
    <t>1D07004</t>
  </si>
  <si>
    <t>0000377449</t>
  </si>
  <si>
    <t>1D07005</t>
  </si>
  <si>
    <t>0000377450</t>
  </si>
  <si>
    <t>1D07101</t>
  </si>
  <si>
    <t>0000377451</t>
  </si>
  <si>
    <t>1D07102</t>
  </si>
  <si>
    <t>0000377452</t>
  </si>
  <si>
    <t>LT00051412</t>
  </si>
  <si>
    <t>1D07103</t>
  </si>
  <si>
    <t>0000377860</t>
  </si>
  <si>
    <t>2024-06-18</t>
  </si>
  <si>
    <t>2031-06-18</t>
  </si>
  <si>
    <t>2024-06-19</t>
  </si>
  <si>
    <t>0006229598</t>
  </si>
  <si>
    <t>1D07104</t>
  </si>
  <si>
    <t>0000377861</t>
  </si>
  <si>
    <t>1D07105</t>
  </si>
  <si>
    <t>0000377862</t>
  </si>
  <si>
    <t>1D07201</t>
  </si>
  <si>
    <t>0000377863</t>
  </si>
  <si>
    <t>1D07202</t>
  </si>
  <si>
    <t>0000377864</t>
  </si>
  <si>
    <t>1D07203</t>
  </si>
  <si>
    <t>0000377865</t>
  </si>
  <si>
    <t>1D07204</t>
  </si>
  <si>
    <t>0000377866</t>
  </si>
  <si>
    <t>1D07205</t>
  </si>
  <si>
    <t>0000380064</t>
  </si>
  <si>
    <t>LT00052085</t>
  </si>
  <si>
    <t>1D07301</t>
  </si>
  <si>
    <t>0000380065</t>
  </si>
  <si>
    <t>YE4187K1</t>
  </si>
  <si>
    <t>1D07302</t>
  </si>
  <si>
    <t>0000380066</t>
  </si>
  <si>
    <t>1D07303</t>
  </si>
  <si>
    <t>0000380067</t>
  </si>
  <si>
    <t>1D07304</t>
  </si>
  <si>
    <t>0000380068</t>
  </si>
  <si>
    <t>1D07305</t>
  </si>
  <si>
    <t>0000380069</t>
  </si>
  <si>
    <t>1D07401</t>
  </si>
  <si>
    <t>0000380070</t>
  </si>
  <si>
    <t>1D07402</t>
  </si>
  <si>
    <t>0000380071</t>
  </si>
  <si>
    <t>1D07403</t>
  </si>
  <si>
    <t>0000380072</t>
  </si>
  <si>
    <t>1D07404</t>
  </si>
  <si>
    <t>0000380073</t>
  </si>
  <si>
    <t>1D07405</t>
  </si>
  <si>
    <t>0000380074</t>
  </si>
  <si>
    <t>1D07501</t>
  </si>
  <si>
    <t>0000380075</t>
  </si>
  <si>
    <t>1D07502</t>
  </si>
  <si>
    <t>0000380076</t>
  </si>
  <si>
    <t>1D07503</t>
  </si>
  <si>
    <t>0000380077</t>
  </si>
  <si>
    <t>1D07504</t>
  </si>
  <si>
    <t>0000380078</t>
  </si>
  <si>
    <t>1D07505</t>
  </si>
  <si>
    <t>0000379231</t>
  </si>
  <si>
    <t>1D07601</t>
  </si>
  <si>
    <t>0000379232</t>
  </si>
  <si>
    <t>1D07602</t>
  </si>
  <si>
    <t>0000379233</t>
  </si>
  <si>
    <t>1D07603</t>
  </si>
  <si>
    <t>0000379234</t>
  </si>
  <si>
    <t>1D07604</t>
  </si>
  <si>
    <t>0000379235</t>
  </si>
  <si>
    <t>1D07605</t>
  </si>
  <si>
    <t>0000379236</t>
  </si>
  <si>
    <t>1D07701</t>
  </si>
  <si>
    <t>0000372824</t>
  </si>
  <si>
    <t>1054681</t>
  </si>
  <si>
    <t>RO机1000G,石墨灰,单出水,无龙头,BRITA F款 大陆方款 简体字</t>
  </si>
  <si>
    <t>LT00051802</t>
  </si>
  <si>
    <t>1D07702</t>
  </si>
  <si>
    <t>0000379237</t>
  </si>
  <si>
    <t>1D07703</t>
  </si>
  <si>
    <t>0000379238</t>
  </si>
  <si>
    <t>1D07704</t>
  </si>
  <si>
    <t>0000379239</t>
  </si>
  <si>
    <t>1D07705</t>
  </si>
  <si>
    <t>0000379240</t>
  </si>
  <si>
    <t>1D07801</t>
  </si>
  <si>
    <t>0000379241</t>
  </si>
  <si>
    <t>LT00051803</t>
  </si>
  <si>
    <t>1D07802</t>
  </si>
  <si>
    <t>0000379242</t>
  </si>
  <si>
    <t>1D07803</t>
  </si>
  <si>
    <t>0000380079</t>
  </si>
  <si>
    <t>1D07804</t>
  </si>
  <si>
    <t>0000380080</t>
  </si>
  <si>
    <t>1D07805</t>
  </si>
  <si>
    <t>0000380081</t>
  </si>
  <si>
    <t>LT00042380</t>
  </si>
  <si>
    <t>1E00101</t>
  </si>
  <si>
    <t>2023-10-10</t>
  </si>
  <si>
    <t>2030-10-10</t>
  </si>
  <si>
    <t>3703F</t>
  </si>
  <si>
    <t>LT00048882</t>
  </si>
  <si>
    <t>1E00103</t>
  </si>
  <si>
    <t>0000365844</t>
  </si>
  <si>
    <t>2024-04-13</t>
  </si>
  <si>
    <t>2031-04-13</t>
  </si>
  <si>
    <t>WH4152</t>
  </si>
  <si>
    <t>1E00104</t>
  </si>
  <si>
    <t>0000380082</t>
  </si>
  <si>
    <t>1E00105</t>
  </si>
  <si>
    <t>0000380083</t>
  </si>
  <si>
    <t>LT00052008</t>
  </si>
  <si>
    <t>1E00201</t>
  </si>
  <si>
    <t>2024-06-29</t>
  </si>
  <si>
    <t>2031-06-29</t>
  </si>
  <si>
    <t>1023UR</t>
  </si>
  <si>
    <t>1E00203</t>
  </si>
  <si>
    <t>0000380084</t>
  </si>
  <si>
    <t>1E00204</t>
  </si>
  <si>
    <t>0000380085</t>
  </si>
  <si>
    <t>1E00205</t>
  </si>
  <si>
    <t>0000380086</t>
  </si>
  <si>
    <t>1E00301</t>
  </si>
  <si>
    <t>0000343635</t>
  </si>
  <si>
    <t>LT00052007</t>
  </si>
  <si>
    <t>1E00302</t>
  </si>
  <si>
    <t>1E00303</t>
  </si>
  <si>
    <t>0000380087</t>
  </si>
  <si>
    <t>1E00304</t>
  </si>
  <si>
    <t>0000380088</t>
  </si>
  <si>
    <t>1E00305</t>
  </si>
  <si>
    <t>0000369187</t>
  </si>
  <si>
    <t>1E00401</t>
  </si>
  <si>
    <t>1E00402</t>
  </si>
  <si>
    <t>0000334422</t>
  </si>
  <si>
    <t>1E00403</t>
  </si>
  <si>
    <t>0000334423</t>
  </si>
  <si>
    <t>1E00404</t>
  </si>
  <si>
    <t>0000334424</t>
  </si>
  <si>
    <t>1E00405</t>
  </si>
  <si>
    <t>0000334425</t>
  </si>
  <si>
    <t>1E00501</t>
  </si>
  <si>
    <t>0000369188</t>
  </si>
  <si>
    <t>1E00502</t>
  </si>
  <si>
    <t>0000334426</t>
  </si>
  <si>
    <t>1E00503</t>
  </si>
  <si>
    <t>0000334427</t>
  </si>
  <si>
    <t>1E00504</t>
  </si>
  <si>
    <t>0000380089</t>
  </si>
  <si>
    <t>1E00505</t>
  </si>
  <si>
    <t>0000369189</t>
  </si>
  <si>
    <t>LT00042905</t>
  </si>
  <si>
    <t>1E00601</t>
  </si>
  <si>
    <t>2023-10-27</t>
  </si>
  <si>
    <t>2030-10-27</t>
  </si>
  <si>
    <t>3914F</t>
  </si>
  <si>
    <t>1E00602</t>
  </si>
  <si>
    <t>1E00603</t>
  </si>
  <si>
    <t>0000380090</t>
  </si>
  <si>
    <t>1E00604</t>
  </si>
  <si>
    <t>0000380091</t>
  </si>
  <si>
    <t>1E00605</t>
  </si>
  <si>
    <t>0000380092</t>
  </si>
  <si>
    <t>1043018</t>
  </si>
  <si>
    <t>Pack 3 MAXTRAplus UNIV CU CN XY</t>
  </si>
  <si>
    <t>LT00052006</t>
  </si>
  <si>
    <t>1E00701</t>
  </si>
  <si>
    <t>1E00702</t>
  </si>
  <si>
    <t>1E00703</t>
  </si>
  <si>
    <t>0000380093</t>
  </si>
  <si>
    <t>1E00704</t>
  </si>
  <si>
    <t>0000380094</t>
  </si>
  <si>
    <t>1E00705</t>
  </si>
  <si>
    <t>0000380095</t>
  </si>
  <si>
    <t>1E00801</t>
  </si>
  <si>
    <t>0000365845</t>
  </si>
  <si>
    <t>1E00802</t>
  </si>
  <si>
    <t>1E00803</t>
  </si>
  <si>
    <t>0000365846</t>
  </si>
  <si>
    <t>1E00804</t>
  </si>
  <si>
    <t>0000365847</t>
  </si>
  <si>
    <t>1E00805</t>
  </si>
  <si>
    <t>0000365848</t>
  </si>
  <si>
    <t>1E00901</t>
  </si>
  <si>
    <t>0000365849</t>
  </si>
  <si>
    <t>1E00902</t>
  </si>
  <si>
    <t>0000365850</t>
  </si>
  <si>
    <t>1E00903</t>
  </si>
  <si>
    <t>0000380096</t>
  </si>
  <si>
    <t>1E00904</t>
  </si>
  <si>
    <t>0000380097</t>
  </si>
  <si>
    <t>1E00905</t>
  </si>
  <si>
    <t>0000365851</t>
  </si>
  <si>
    <t>LT00042904</t>
  </si>
  <si>
    <t>1E01001</t>
  </si>
  <si>
    <t>3912F</t>
  </si>
  <si>
    <t>1E01002</t>
  </si>
  <si>
    <t>0000365852</t>
  </si>
  <si>
    <t>1E01003</t>
  </si>
  <si>
    <t>0000380098</t>
  </si>
  <si>
    <t>1E01004</t>
  </si>
  <si>
    <t>0000380099</t>
  </si>
  <si>
    <t>1E01005</t>
  </si>
  <si>
    <t>0000380100</t>
  </si>
  <si>
    <t>1E01101</t>
  </si>
  <si>
    <t>1E01102</t>
  </si>
  <si>
    <t>0000380101</t>
  </si>
  <si>
    <t>1E01103</t>
  </si>
  <si>
    <t>0000380102</t>
  </si>
  <si>
    <t>1E01104</t>
  </si>
  <si>
    <t>0000380103</t>
  </si>
  <si>
    <t>1E01105</t>
  </si>
  <si>
    <t>0000380104</t>
  </si>
  <si>
    <t>1E01201</t>
  </si>
  <si>
    <t>1E01202</t>
  </si>
  <si>
    <t>0000380105</t>
  </si>
  <si>
    <t>1E01203</t>
  </si>
  <si>
    <t>0000380106</t>
  </si>
  <si>
    <t>1E01204</t>
  </si>
  <si>
    <t>0000380107</t>
  </si>
  <si>
    <t>1E01205</t>
  </si>
  <si>
    <t>0000380108</t>
  </si>
  <si>
    <t>LT00042381</t>
  </si>
  <si>
    <t>1E01301</t>
  </si>
  <si>
    <t>3705F</t>
  </si>
  <si>
    <t>1E01302</t>
  </si>
  <si>
    <t>0000380109</t>
  </si>
  <si>
    <t>1E01303</t>
  </si>
  <si>
    <t>0000380110</t>
  </si>
  <si>
    <t>1E01304</t>
  </si>
  <si>
    <t>0000380111</t>
  </si>
  <si>
    <t>1038306</t>
  </si>
  <si>
    <t>Marella XL ME4W wh inkl3 MXp BCM CU CN</t>
  </si>
  <si>
    <t>LT00040772</t>
  </si>
  <si>
    <t>1E01305</t>
  </si>
  <si>
    <t>0000171580</t>
  </si>
  <si>
    <t>2020-12-05</t>
  </si>
  <si>
    <t>2027-12-05</t>
  </si>
  <si>
    <t>KI0493</t>
  </si>
  <si>
    <t>1E01401</t>
  </si>
  <si>
    <t>0000171581</t>
  </si>
  <si>
    <t>LT00048141</t>
  </si>
  <si>
    <t>1E01402</t>
  </si>
  <si>
    <t>0000363327</t>
  </si>
  <si>
    <t>2024-03-26</t>
  </si>
  <si>
    <t>2031-03-26</t>
  </si>
  <si>
    <t>1E01403</t>
  </si>
  <si>
    <t>0000171582</t>
  </si>
  <si>
    <t>1E01404</t>
  </si>
  <si>
    <t>0000380112</t>
  </si>
  <si>
    <t>1E01405</t>
  </si>
  <si>
    <t>0000171583</t>
  </si>
  <si>
    <t>1055228</t>
  </si>
  <si>
    <t>Pack 1 MAXTRAplus CU CNL</t>
  </si>
  <si>
    <t>LT00052005</t>
  </si>
  <si>
    <t>1E01501</t>
  </si>
  <si>
    <t>1E01502</t>
  </si>
  <si>
    <t>0000380113</t>
  </si>
  <si>
    <t>1E01503</t>
  </si>
  <si>
    <t>0000380114</t>
  </si>
  <si>
    <t>1E01504</t>
  </si>
  <si>
    <t>0000380115</t>
  </si>
  <si>
    <t>1E01505</t>
  </si>
  <si>
    <t>0000171584</t>
  </si>
  <si>
    <t>1E01601</t>
  </si>
  <si>
    <t>0000171585</t>
  </si>
  <si>
    <t>1E01602</t>
  </si>
  <si>
    <t>0000363328</t>
  </si>
  <si>
    <t>LT00052086</t>
  </si>
  <si>
    <t>1E01603</t>
  </si>
  <si>
    <t>0000380116</t>
  </si>
  <si>
    <t>1E01604</t>
  </si>
  <si>
    <t>0000363329</t>
  </si>
  <si>
    <t>1E01605</t>
  </si>
  <si>
    <t>0000363330</t>
  </si>
  <si>
    <t>1E01701</t>
  </si>
  <si>
    <t>0000380117</t>
  </si>
  <si>
    <t>1E01702</t>
  </si>
  <si>
    <t>0000171586</t>
  </si>
  <si>
    <t>1E01703</t>
  </si>
  <si>
    <t>0000363331</t>
  </si>
  <si>
    <t>1E01704</t>
  </si>
  <si>
    <t>0000363332</t>
  </si>
  <si>
    <t>1E01705</t>
  </si>
  <si>
    <t>0000363333</t>
  </si>
  <si>
    <t>1E01801</t>
  </si>
  <si>
    <t>0000380118</t>
  </si>
  <si>
    <t>1E01802</t>
  </si>
  <si>
    <t>0000369190</t>
  </si>
  <si>
    <t>1E01803</t>
  </si>
  <si>
    <t>0000369191</t>
  </si>
  <si>
    <t>1E01804</t>
  </si>
  <si>
    <t>0000369192</t>
  </si>
  <si>
    <t>1E01805</t>
  </si>
  <si>
    <t>0000369193</t>
  </si>
  <si>
    <t>1E01901</t>
  </si>
  <si>
    <t>0000369194</t>
  </si>
  <si>
    <t>1E01902</t>
  </si>
  <si>
    <t>0000369195</t>
  </si>
  <si>
    <t>1E01903</t>
  </si>
  <si>
    <t>0000369196</t>
  </si>
  <si>
    <t>1E01904</t>
  </si>
  <si>
    <t>0000380119</t>
  </si>
  <si>
    <t>1E01905</t>
  </si>
  <si>
    <t>0000380120</t>
  </si>
  <si>
    <t>1E02001</t>
  </si>
  <si>
    <t>0000365853</t>
  </si>
  <si>
    <t>1E02002</t>
  </si>
  <si>
    <t>0000380121</t>
  </si>
  <si>
    <t>1E02003</t>
  </si>
  <si>
    <t>0000380122</t>
  </si>
  <si>
    <t>1E02004</t>
  </si>
  <si>
    <t>0000380123</t>
  </si>
  <si>
    <t>1E02005</t>
  </si>
  <si>
    <t>0000380124</t>
  </si>
  <si>
    <t>1E02101</t>
  </si>
  <si>
    <t>0000380125</t>
  </si>
  <si>
    <t>1E02102</t>
  </si>
  <si>
    <t>0000380126</t>
  </si>
  <si>
    <t>1E02103</t>
  </si>
  <si>
    <t>0000380127</t>
  </si>
  <si>
    <t>1E02104</t>
  </si>
  <si>
    <t>0000380128</t>
  </si>
  <si>
    <t>1E02105</t>
  </si>
  <si>
    <t>0000380129</t>
  </si>
  <si>
    <t>LT00042378</t>
  </si>
  <si>
    <t>1E02201</t>
  </si>
  <si>
    <t>3817F</t>
  </si>
  <si>
    <t>1E02202</t>
  </si>
  <si>
    <t>0000380130</t>
  </si>
  <si>
    <t>1E02203</t>
  </si>
  <si>
    <t>0000380131</t>
  </si>
  <si>
    <t>1E02204</t>
  </si>
  <si>
    <t>0000380132</t>
  </si>
  <si>
    <t>1E02205</t>
  </si>
  <si>
    <t>0000380133</t>
  </si>
  <si>
    <t>1E02301</t>
  </si>
  <si>
    <t>1E02302</t>
  </si>
  <si>
    <t>0000380134</t>
  </si>
  <si>
    <t>1E02303</t>
  </si>
  <si>
    <t>0000380135</t>
  </si>
  <si>
    <t>1E02304</t>
  </si>
  <si>
    <t>0000380136</t>
  </si>
  <si>
    <t>1E02305</t>
  </si>
  <si>
    <t>0000380137</t>
  </si>
  <si>
    <t>1E02401</t>
  </si>
  <si>
    <t>0000380138</t>
  </si>
  <si>
    <t>1E02402</t>
  </si>
  <si>
    <t>0000368323</t>
  </si>
  <si>
    <t>1E02403</t>
  </si>
  <si>
    <t>0000380139</t>
  </si>
  <si>
    <t>1E02404</t>
  </si>
  <si>
    <t>0000380140</t>
  </si>
  <si>
    <t>1E02405</t>
  </si>
  <si>
    <t>0000380141</t>
  </si>
  <si>
    <t>1E02501</t>
  </si>
  <si>
    <t>0000380142</t>
  </si>
  <si>
    <t>1E02502</t>
  </si>
  <si>
    <t>0000380143</t>
  </si>
  <si>
    <t>1E02503</t>
  </si>
  <si>
    <t>0000380144</t>
  </si>
  <si>
    <t>1E02504</t>
  </si>
  <si>
    <t>0000380145</t>
  </si>
  <si>
    <t>1E02505</t>
  </si>
  <si>
    <t>0000380146</t>
  </si>
  <si>
    <t>1E02601</t>
  </si>
  <si>
    <t>0000363334</t>
  </si>
  <si>
    <t>LT00052199</t>
  </si>
  <si>
    <t>1E02602</t>
  </si>
  <si>
    <t>0000380355</t>
  </si>
  <si>
    <t>2024-07-04</t>
  </si>
  <si>
    <t>2031-07-04</t>
  </si>
  <si>
    <t>KI4216</t>
  </si>
  <si>
    <t>LT00052200</t>
  </si>
  <si>
    <t>1E02603</t>
  </si>
  <si>
    <t>0000380356</t>
  </si>
  <si>
    <t>KI4256</t>
  </si>
  <si>
    <t>LT00052201</t>
  </si>
  <si>
    <t>LT00052202</t>
  </si>
  <si>
    <t>1E02604</t>
  </si>
  <si>
    <t>0000380357</t>
  </si>
  <si>
    <t>LT00052203</t>
  </si>
  <si>
    <t>1022185</t>
  </si>
  <si>
    <t>Refill mypure R8 RO CU CN</t>
  </si>
  <si>
    <t>LT00052204</t>
  </si>
  <si>
    <t>1E02605</t>
  </si>
  <si>
    <t>0000380358</t>
  </si>
  <si>
    <t>LT00052205</t>
  </si>
  <si>
    <t>1E02701</t>
  </si>
  <si>
    <t>0000380359</t>
  </si>
  <si>
    <t>LT00052207</t>
  </si>
  <si>
    <t>1E02702</t>
  </si>
  <si>
    <t>0000380361</t>
  </si>
  <si>
    <t>1E03002</t>
  </si>
  <si>
    <t>0000363335</t>
  </si>
  <si>
    <t>LT00042383</t>
  </si>
  <si>
    <t>1E03101</t>
  </si>
  <si>
    <t>3825F</t>
  </si>
  <si>
    <t>1E03201</t>
  </si>
  <si>
    <t>0000369197</t>
  </si>
  <si>
    <t>1E03202</t>
  </si>
  <si>
    <t>0000369198</t>
  </si>
  <si>
    <t>1E03204</t>
  </si>
  <si>
    <t>0000369199</t>
  </si>
  <si>
    <t>LT00045326</t>
  </si>
  <si>
    <t>1E03205</t>
  </si>
  <si>
    <t>0000353359</t>
  </si>
  <si>
    <t>2024-01-06</t>
  </si>
  <si>
    <t>2031-01-06</t>
  </si>
  <si>
    <t>2024-01-08</t>
  </si>
  <si>
    <t>YE3482S2</t>
  </si>
  <si>
    <t>1E03301</t>
  </si>
  <si>
    <t>0000353360</t>
  </si>
  <si>
    <t>1E03302</t>
  </si>
  <si>
    <t>0000369200</t>
  </si>
  <si>
    <t>1E03303</t>
  </si>
  <si>
    <t>0000353361</t>
  </si>
  <si>
    <t>1E03304</t>
  </si>
  <si>
    <t>0000353362</t>
  </si>
  <si>
    <t>1E03305</t>
  </si>
  <si>
    <t>0000353363</t>
  </si>
  <si>
    <t>1E03402</t>
  </si>
  <si>
    <t>0000369201</t>
  </si>
  <si>
    <t>1E03403</t>
  </si>
  <si>
    <t>0000353364</t>
  </si>
  <si>
    <t>1E03404</t>
  </si>
  <si>
    <t>0000353365</t>
  </si>
  <si>
    <t>1E03405</t>
  </si>
  <si>
    <t>0000353366</t>
  </si>
  <si>
    <t>1E03501</t>
  </si>
  <si>
    <t>0000353367</t>
  </si>
  <si>
    <t>1E03502</t>
  </si>
  <si>
    <t>0000369202</t>
  </si>
  <si>
    <t>1E03503</t>
  </si>
  <si>
    <t>0000353368</t>
  </si>
  <si>
    <t>1E03602</t>
  </si>
  <si>
    <t>0000369203</t>
  </si>
  <si>
    <t>1E03702</t>
  </si>
  <si>
    <t>0000369204</t>
  </si>
  <si>
    <t>1E03801</t>
  </si>
  <si>
    <t>0000369205</t>
  </si>
  <si>
    <t>1E03802</t>
  </si>
  <si>
    <t>0000369206</t>
  </si>
  <si>
    <t>1E03804</t>
  </si>
  <si>
    <t>0000369207</t>
  </si>
  <si>
    <t>1E03902</t>
  </si>
  <si>
    <t>0000369208</t>
  </si>
  <si>
    <t>1049470</t>
  </si>
  <si>
    <t>Aluna XL ME4W blue incl 1UN+2LE SIOC CNO</t>
  </si>
  <si>
    <t>LT00036471</t>
  </si>
  <si>
    <t>1E04001</t>
  </si>
  <si>
    <t>0000294851</t>
  </si>
  <si>
    <t>2022-11-25</t>
  </si>
  <si>
    <t>2029-11-25</t>
  </si>
  <si>
    <t>YE2471A3</t>
  </si>
  <si>
    <t>1E04002</t>
  </si>
  <si>
    <t>0000294852</t>
  </si>
  <si>
    <t>1E04203</t>
  </si>
  <si>
    <t>0000369209</t>
  </si>
  <si>
    <t>1E04205</t>
  </si>
  <si>
    <t>0000294853</t>
  </si>
  <si>
    <t>1E04301</t>
  </si>
  <si>
    <t>0000294854</t>
  </si>
  <si>
    <t>1E04302</t>
  </si>
  <si>
    <t>0000294855</t>
  </si>
  <si>
    <t>1E04303</t>
  </si>
  <si>
    <t>0000294856</t>
  </si>
  <si>
    <t>1E04304</t>
  </si>
  <si>
    <t>0000294857</t>
  </si>
  <si>
    <t>1E04305</t>
  </si>
  <si>
    <t>0000294858</t>
  </si>
  <si>
    <t>1E04602</t>
  </si>
  <si>
    <t>0000368324</t>
  </si>
  <si>
    <t>1E04903</t>
  </si>
  <si>
    <t>0000294859</t>
  </si>
  <si>
    <t>1E04904</t>
  </si>
  <si>
    <t>0000294860</t>
  </si>
  <si>
    <t>1049194</t>
  </si>
  <si>
    <t>矿泉壶,PS透明壶身配亮蓝色上盖6支装,,Green Pack 1049194</t>
  </si>
  <si>
    <t>LT00042765</t>
  </si>
  <si>
    <t>1E05003</t>
  </si>
  <si>
    <t>0000270622</t>
  </si>
  <si>
    <t>2022-06-13</t>
  </si>
  <si>
    <t>2028-06-13</t>
  </si>
  <si>
    <t>KI2246</t>
  </si>
  <si>
    <t>LT00041856</t>
  </si>
  <si>
    <t>1E05501</t>
  </si>
  <si>
    <t>2023-09-19</t>
  </si>
  <si>
    <t>2030-09-19</t>
  </si>
  <si>
    <t>3804F</t>
  </si>
  <si>
    <t>1E05603</t>
  </si>
  <si>
    <t>0000294861</t>
  </si>
  <si>
    <t>1E05703</t>
  </si>
  <si>
    <t>0000294862</t>
  </si>
  <si>
    <t>1E05704</t>
  </si>
  <si>
    <t>0000294863</t>
  </si>
  <si>
    <t>1E05705</t>
  </si>
  <si>
    <t>0000294864</t>
  </si>
  <si>
    <t>1E05803</t>
  </si>
  <si>
    <t>0000294865</t>
  </si>
  <si>
    <t>1E05804</t>
  </si>
  <si>
    <t>0000294866</t>
  </si>
  <si>
    <t>1E05805</t>
  </si>
  <si>
    <t>0000294867</t>
  </si>
  <si>
    <t>1E05902</t>
  </si>
  <si>
    <t>0000294868</t>
  </si>
  <si>
    <t>1E05904</t>
  </si>
  <si>
    <t>0000294869</t>
  </si>
  <si>
    <t>1E05905</t>
  </si>
  <si>
    <t>0000294870</t>
  </si>
  <si>
    <t>1E06001</t>
  </si>
  <si>
    <t>0000294871</t>
  </si>
  <si>
    <t>1E06002</t>
  </si>
  <si>
    <t>0000294872</t>
  </si>
  <si>
    <t>1E06005</t>
  </si>
  <si>
    <t>0000294873</t>
  </si>
  <si>
    <t>1E06102</t>
  </si>
  <si>
    <t>0000294874</t>
  </si>
  <si>
    <t>1E06105</t>
  </si>
  <si>
    <t>0000294875</t>
  </si>
  <si>
    <t>1E06201</t>
  </si>
  <si>
    <t>0000294876</t>
  </si>
  <si>
    <t>1E06301</t>
  </si>
  <si>
    <t>0000294877</t>
  </si>
  <si>
    <t>1E06303</t>
  </si>
  <si>
    <t>0000294878</t>
  </si>
  <si>
    <t>1E06305</t>
  </si>
  <si>
    <t>0000294879</t>
  </si>
  <si>
    <t>1E06401</t>
  </si>
  <si>
    <t>0000294880</t>
  </si>
  <si>
    <t>1E06404</t>
  </si>
  <si>
    <t>0000270631</t>
  </si>
  <si>
    <t>1E06502</t>
  </si>
  <si>
    <t>0000270633</t>
  </si>
  <si>
    <t>1E06503</t>
  </si>
  <si>
    <t>0000270634</t>
  </si>
  <si>
    <t>1E06504</t>
  </si>
  <si>
    <t>0000270635</t>
  </si>
  <si>
    <t>1E06505</t>
  </si>
  <si>
    <t>0000270636</t>
  </si>
  <si>
    <t>1E06602</t>
  </si>
  <si>
    <t>0000270637</t>
  </si>
  <si>
    <t>1E06603</t>
  </si>
  <si>
    <t>0000270638</t>
  </si>
  <si>
    <t>1E06604</t>
  </si>
  <si>
    <t>0000270639</t>
  </si>
  <si>
    <t>1E06605</t>
  </si>
  <si>
    <t>0000270640</t>
  </si>
  <si>
    <t>1E06701</t>
  </si>
  <si>
    <t>0000256798</t>
  </si>
  <si>
    <t>1E06702</t>
  </si>
  <si>
    <t>0000270641</t>
  </si>
  <si>
    <t>1E06703</t>
  </si>
  <si>
    <t>0000270642</t>
  </si>
  <si>
    <t>1E06705</t>
  </si>
  <si>
    <t>0000294881</t>
  </si>
  <si>
    <t>1E06801</t>
  </si>
  <si>
    <t>0000270643</t>
  </si>
  <si>
    <t>1E06802</t>
  </si>
  <si>
    <t>0000270644</t>
  </si>
  <si>
    <t>1E06803</t>
  </si>
  <si>
    <t>0000270645</t>
  </si>
  <si>
    <t>1E06804</t>
  </si>
  <si>
    <t>0000270646</t>
  </si>
  <si>
    <t>1E06805</t>
  </si>
  <si>
    <t>0000270647</t>
  </si>
  <si>
    <t>1E06901</t>
  </si>
  <si>
    <t>0000270648</t>
  </si>
  <si>
    <t>1E06902</t>
  </si>
  <si>
    <t>0000270649</t>
  </si>
  <si>
    <t>1E06903</t>
  </si>
  <si>
    <t>0000270650</t>
  </si>
  <si>
    <t>1E06904</t>
  </si>
  <si>
    <t>0000270651</t>
  </si>
  <si>
    <t>1E06905</t>
  </si>
  <si>
    <t>0000270652</t>
  </si>
  <si>
    <t>1E07001</t>
  </si>
  <si>
    <t>0000294882</t>
  </si>
  <si>
    <t>1E07002</t>
  </si>
  <si>
    <t>0000294883</t>
  </si>
  <si>
    <t>1E07101</t>
  </si>
  <si>
    <t>0000270653</t>
  </si>
  <si>
    <t>1E07104</t>
  </si>
  <si>
    <t>0000270654</t>
  </si>
  <si>
    <t>1E07105</t>
  </si>
  <si>
    <t>0000270655</t>
  </si>
  <si>
    <t>1E07201</t>
  </si>
  <si>
    <t>0000270656</t>
  </si>
  <si>
    <t>1E07202</t>
  </si>
  <si>
    <t>0000270657</t>
  </si>
  <si>
    <t>1E07203</t>
  </si>
  <si>
    <t>0000270658</t>
  </si>
  <si>
    <t>1E07204</t>
  </si>
  <si>
    <t>0000270659</t>
  </si>
  <si>
    <t>1E07205</t>
  </si>
  <si>
    <t>0000270660</t>
  </si>
  <si>
    <t>1E07301</t>
  </si>
  <si>
    <t>0000270661</t>
  </si>
  <si>
    <t>1E07302</t>
  </si>
  <si>
    <t>0000270662</t>
  </si>
  <si>
    <t>1E07303</t>
  </si>
  <si>
    <t>0000270663</t>
  </si>
  <si>
    <t>1E07304</t>
  </si>
  <si>
    <t>0000270664</t>
  </si>
  <si>
    <t>1E07401</t>
  </si>
  <si>
    <t>0000270665</t>
  </si>
  <si>
    <t>1E07405</t>
  </si>
  <si>
    <t>0000270666</t>
  </si>
  <si>
    <t>1E07501</t>
  </si>
  <si>
    <t>0000270667</t>
  </si>
  <si>
    <t>1E07502</t>
  </si>
  <si>
    <t>0000270668</t>
  </si>
  <si>
    <t>LT00049838</t>
  </si>
  <si>
    <t>1E07701</t>
  </si>
  <si>
    <t>0000371244</t>
  </si>
  <si>
    <t>2024-05-07</t>
  </si>
  <si>
    <t>2031-05-07</t>
  </si>
  <si>
    <t>1E07705</t>
  </si>
  <si>
    <t>0000371245</t>
  </si>
  <si>
    <t>1E07802</t>
  </si>
  <si>
    <t>1E07804</t>
  </si>
  <si>
    <t>0000371246</t>
  </si>
  <si>
    <t>1045642</t>
  </si>
  <si>
    <t>Style XL LED4W Mxplus lime NT CU CNO</t>
  </si>
  <si>
    <t>LT00051805</t>
  </si>
  <si>
    <t>1F00101</t>
  </si>
  <si>
    <t>2030-06-26</t>
  </si>
  <si>
    <t>YE4161S2</t>
  </si>
  <si>
    <t>1F00102</t>
  </si>
  <si>
    <t>0000371247</t>
  </si>
  <si>
    <t>1F00103</t>
  </si>
  <si>
    <t>0000365854</t>
  </si>
  <si>
    <t>LT00039758</t>
  </si>
  <si>
    <t>1F00105</t>
  </si>
  <si>
    <t>0000329724</t>
  </si>
  <si>
    <t>2023-07-22</t>
  </si>
  <si>
    <t>2030-07-22</t>
  </si>
  <si>
    <t>KI3282</t>
  </si>
  <si>
    <t>1F00205</t>
  </si>
  <si>
    <t>0000329725</t>
  </si>
  <si>
    <t>LT00042906</t>
  </si>
  <si>
    <t>1F00301</t>
  </si>
  <si>
    <t>3913F</t>
  </si>
  <si>
    <t>LT00039759</t>
  </si>
  <si>
    <t>1F00305</t>
  </si>
  <si>
    <t>0000329736</t>
  </si>
  <si>
    <t>LT00042907</t>
  </si>
  <si>
    <t>1F00401</t>
  </si>
  <si>
    <t>3911F</t>
  </si>
  <si>
    <t>1F00501</t>
  </si>
  <si>
    <t>1043604</t>
  </si>
  <si>
    <t>Aluna XL Blue incl 4Mxplus LE CU CN</t>
  </si>
  <si>
    <t>LT00046457</t>
  </si>
  <si>
    <t>1F00502</t>
  </si>
  <si>
    <t>2024-01-31</t>
  </si>
  <si>
    <t>2031-01-31</t>
  </si>
  <si>
    <t>1F00602</t>
  </si>
  <si>
    <t>0000371248</t>
  </si>
  <si>
    <t>1F00702</t>
  </si>
  <si>
    <t>0000371249</t>
  </si>
  <si>
    <t>1F00705</t>
  </si>
  <si>
    <t>0000329726</t>
  </si>
  <si>
    <t>LT00034297</t>
  </si>
  <si>
    <t>1F00805</t>
  </si>
  <si>
    <t>YE1156A2</t>
  </si>
  <si>
    <t>1F00901</t>
  </si>
  <si>
    <t>1F00905</t>
  </si>
  <si>
    <t>0000329727</t>
  </si>
  <si>
    <t>1F01003</t>
  </si>
  <si>
    <t>1F01005</t>
  </si>
  <si>
    <t>0000329728</t>
  </si>
  <si>
    <t>1F01101</t>
  </si>
  <si>
    <t>1F01103</t>
  </si>
  <si>
    <t>0000371250</t>
  </si>
  <si>
    <t>1F01105</t>
  </si>
  <si>
    <t>0000329729</t>
  </si>
  <si>
    <t>1F01201</t>
  </si>
  <si>
    <t>1F01205</t>
  </si>
  <si>
    <t>0000329730</t>
  </si>
  <si>
    <t>1F01303</t>
  </si>
  <si>
    <t>1F01305</t>
  </si>
  <si>
    <t>0000329731</t>
  </si>
  <si>
    <t>1F01401</t>
  </si>
  <si>
    <t>0000371251</t>
  </si>
  <si>
    <t>1F01405</t>
  </si>
  <si>
    <t>0000329735</t>
  </si>
  <si>
    <t>1F01501</t>
  </si>
  <si>
    <t>0000371252</t>
  </si>
  <si>
    <t>1042918</t>
  </si>
  <si>
    <t>Marella XL Glitter Black incl3 MXp CU CN</t>
  </si>
  <si>
    <t>LT00033510</t>
  </si>
  <si>
    <t>1F01504</t>
  </si>
  <si>
    <t>0000290171</t>
  </si>
  <si>
    <t>2022-10-21</t>
  </si>
  <si>
    <t>2029-10-21</t>
  </si>
  <si>
    <t>KI1134</t>
  </si>
  <si>
    <t>1F01505</t>
  </si>
  <si>
    <t>0000329734</t>
  </si>
  <si>
    <t>1F01601</t>
  </si>
  <si>
    <t>0000371253</t>
  </si>
  <si>
    <t>1F01605</t>
  </si>
  <si>
    <t>0000329732</t>
  </si>
  <si>
    <t>LT00048356</t>
  </si>
  <si>
    <t>1F01801</t>
  </si>
  <si>
    <t>2024-03-30</t>
  </si>
  <si>
    <t>2031-03-30</t>
  </si>
  <si>
    <t>1F02001</t>
  </si>
  <si>
    <t>0000371254</t>
  </si>
  <si>
    <t>1053711</t>
  </si>
  <si>
    <t>RO机1000G，石墨灰，智能龙头单出水，Brita F款?大陆方款?简体字</t>
  </si>
  <si>
    <t>LT00042192</t>
  </si>
  <si>
    <t>1F02004</t>
  </si>
  <si>
    <t>0000341036</t>
  </si>
  <si>
    <t>2023-09-28</t>
  </si>
  <si>
    <t>2030-09-28</t>
  </si>
  <si>
    <t>KI3376</t>
  </si>
  <si>
    <t>1F02005</t>
  </si>
  <si>
    <t>0000341037</t>
  </si>
  <si>
    <t>1F02101</t>
  </si>
  <si>
    <t>0000341038</t>
  </si>
  <si>
    <t>1F02105</t>
  </si>
  <si>
    <t>0000329733</t>
  </si>
  <si>
    <t>1F02201</t>
  </si>
  <si>
    <t>0000341039</t>
  </si>
  <si>
    <t>1F02205</t>
  </si>
  <si>
    <t>0000331629</t>
  </si>
  <si>
    <t>1F02301</t>
  </si>
  <si>
    <t>0000371255</t>
  </si>
  <si>
    <t>1053708</t>
  </si>
  <si>
    <t>RO机800G，星空灰，智能龙头单出水，Brita F款?圆款</t>
  </si>
  <si>
    <t>LT00040525</t>
  </si>
  <si>
    <t>1F02305</t>
  </si>
  <si>
    <t>0000331645</t>
  </si>
  <si>
    <t>KI3296</t>
  </si>
  <si>
    <t>1F02401</t>
  </si>
  <si>
    <t>0000371256</t>
  </si>
  <si>
    <t>1F02405</t>
  </si>
  <si>
    <t>0000331644</t>
  </si>
  <si>
    <t>1F02505</t>
  </si>
  <si>
    <t>0000331643</t>
  </si>
  <si>
    <t>LT00041854</t>
  </si>
  <si>
    <t>1F02601</t>
  </si>
  <si>
    <t>3807F</t>
  </si>
  <si>
    <t>LT00041857</t>
  </si>
  <si>
    <t>1F02605</t>
  </si>
  <si>
    <t>0000331641</t>
  </si>
  <si>
    <t>1F02705</t>
  </si>
  <si>
    <t>0000331640</t>
  </si>
  <si>
    <t>1F02805</t>
  </si>
  <si>
    <t>0000331638</t>
  </si>
  <si>
    <t>1F02905</t>
  </si>
  <si>
    <t>0000331637</t>
  </si>
  <si>
    <t>1F03005</t>
  </si>
  <si>
    <t>0000331636</t>
  </si>
  <si>
    <t>LT00048933</t>
  </si>
  <si>
    <t>1F03102</t>
  </si>
  <si>
    <t>0000366039</t>
  </si>
  <si>
    <t>2024-04-15</t>
  </si>
  <si>
    <t>2031-04-15</t>
  </si>
  <si>
    <t>2024-04-16</t>
  </si>
  <si>
    <t>1F03104</t>
  </si>
  <si>
    <t>0000366040</t>
  </si>
  <si>
    <t>1F03105</t>
  </si>
  <si>
    <t>0000331635</t>
  </si>
  <si>
    <t>1F03201</t>
  </si>
  <si>
    <t>0000366041</t>
  </si>
  <si>
    <t>1F03202</t>
  </si>
  <si>
    <t>0000368092</t>
  </si>
  <si>
    <t>1F03204</t>
  </si>
  <si>
    <t>0000366042</t>
  </si>
  <si>
    <t>1F03301</t>
  </si>
  <si>
    <t>0000366043</t>
  </si>
  <si>
    <t>1F03302</t>
  </si>
  <si>
    <t>0000366044</t>
  </si>
  <si>
    <t>1F03304</t>
  </si>
  <si>
    <t>0000366045</t>
  </si>
  <si>
    <t>1F03401</t>
  </si>
  <si>
    <t>0000366046</t>
  </si>
  <si>
    <t>1F03402</t>
  </si>
  <si>
    <t>0000366047</t>
  </si>
  <si>
    <t>1F03403</t>
  </si>
  <si>
    <t>0000366048</t>
  </si>
  <si>
    <t>1F03404</t>
  </si>
  <si>
    <t>0000366049</t>
  </si>
  <si>
    <t>1F03405</t>
  </si>
  <si>
    <t>0000366050</t>
  </si>
  <si>
    <t>1F03501</t>
  </si>
  <si>
    <t>0000366051</t>
  </si>
  <si>
    <t>1F03502</t>
  </si>
  <si>
    <t>0000366052</t>
  </si>
  <si>
    <t>1F03503</t>
  </si>
  <si>
    <t>0000366053</t>
  </si>
  <si>
    <t>1F03504</t>
  </si>
  <si>
    <t>0000366054</t>
  </si>
  <si>
    <t>1F03505</t>
  </si>
  <si>
    <t>0000368325</t>
  </si>
  <si>
    <t>1F03601</t>
  </si>
  <si>
    <t>0000369210</t>
  </si>
  <si>
    <t>1F03602</t>
  </si>
  <si>
    <t>0000369211</t>
  </si>
  <si>
    <t>1F03603</t>
  </si>
  <si>
    <t>0000369212</t>
  </si>
  <si>
    <t>1F03604</t>
  </si>
  <si>
    <t>0000366055</t>
  </si>
  <si>
    <t>1F03605</t>
  </si>
  <si>
    <t>0000366056</t>
  </si>
  <si>
    <t>1F03701</t>
  </si>
  <si>
    <t>0000366057</t>
  </si>
  <si>
    <t>1F03702</t>
  </si>
  <si>
    <t>0000366058</t>
  </si>
  <si>
    <t>1F03703</t>
  </si>
  <si>
    <t>0000366059</t>
  </si>
  <si>
    <t>1F03704</t>
  </si>
  <si>
    <t>0000369213</t>
  </si>
  <si>
    <t>1F03705</t>
  </si>
  <si>
    <t>0000369214</t>
  </si>
  <si>
    <t>LT00049517</t>
  </si>
  <si>
    <t>1F03801</t>
  </si>
  <si>
    <t>0000369216</t>
  </si>
  <si>
    <t>1F03802</t>
  </si>
  <si>
    <t>0000366060</t>
  </si>
  <si>
    <t>1F03803</t>
  </si>
  <si>
    <t>0000369217</t>
  </si>
  <si>
    <t>LT00049523</t>
  </si>
  <si>
    <t>1F03804</t>
  </si>
  <si>
    <t>1F03805</t>
  </si>
  <si>
    <t>1F03901</t>
  </si>
  <si>
    <t>1F03902</t>
  </si>
  <si>
    <t>LT00049152</t>
  </si>
  <si>
    <t>1F03903</t>
  </si>
  <si>
    <t>0000367352</t>
  </si>
  <si>
    <t>KI4152</t>
  </si>
  <si>
    <t>1F04001</t>
  </si>
  <si>
    <t>0000368326</t>
  </si>
  <si>
    <t>1F04002</t>
  </si>
  <si>
    <t>0000366092</t>
  </si>
  <si>
    <t>1F04003</t>
  </si>
  <si>
    <t>0000366093</t>
  </si>
  <si>
    <t>1F04004</t>
  </si>
  <si>
    <t>0000366094</t>
  </si>
  <si>
    <t>1F04005</t>
  </si>
  <si>
    <t>0000366095</t>
  </si>
  <si>
    <t>1F04101</t>
  </si>
  <si>
    <t>0000371257</t>
  </si>
  <si>
    <t>1F04102</t>
  </si>
  <si>
    <t>0000366096</t>
  </si>
  <si>
    <t>1F04103</t>
  </si>
  <si>
    <t>0000366097</t>
  </si>
  <si>
    <t>1F04104</t>
  </si>
  <si>
    <t>0000366098</t>
  </si>
  <si>
    <t>1F04105</t>
  </si>
  <si>
    <t>0000366099</t>
  </si>
  <si>
    <t>1F04201</t>
  </si>
  <si>
    <t>0000366100</t>
  </si>
  <si>
    <t>LT00049007</t>
  </si>
  <si>
    <t>1F05204</t>
  </si>
  <si>
    <t>0000366338</t>
  </si>
  <si>
    <t>2024-04-17</t>
  </si>
  <si>
    <t>2031-04-17</t>
  </si>
  <si>
    <t>LT00052254</t>
  </si>
  <si>
    <t>1F06801</t>
  </si>
  <si>
    <t>2023-01-06</t>
  </si>
  <si>
    <t>2030-01-06</t>
  </si>
  <si>
    <t>1F06901</t>
  </si>
  <si>
    <t>0000256799</t>
  </si>
  <si>
    <t>1F06902</t>
  </si>
  <si>
    <t>0000368093</t>
  </si>
  <si>
    <t>1042449</t>
  </si>
  <si>
    <t>"Aluna XL ME4W blue CU CNO_x000D_
滤水壶：Auna中国蓝一壶四芯"</t>
  </si>
  <si>
    <t>LT00038848</t>
  </si>
  <si>
    <t>1F07001</t>
  </si>
  <si>
    <t>YE1385A2</t>
  </si>
  <si>
    <t>LT00037265</t>
  </si>
  <si>
    <t>1F07105</t>
  </si>
  <si>
    <t>0000316073</t>
  </si>
  <si>
    <t>2023-04-28</t>
  </si>
  <si>
    <t>2030-04-28</t>
  </si>
  <si>
    <t>KI3173</t>
  </si>
  <si>
    <t>1F07201</t>
  </si>
  <si>
    <t>0000256800</t>
  </si>
  <si>
    <t>1F07205</t>
  </si>
  <si>
    <t>0000316072</t>
  </si>
  <si>
    <t>1F07305</t>
  </si>
  <si>
    <t>0000316071</t>
  </si>
  <si>
    <t>1F07501</t>
  </si>
  <si>
    <t>1F07601</t>
  </si>
  <si>
    <t>1F07702</t>
  </si>
  <si>
    <t>LT00052058</t>
  </si>
  <si>
    <t>1G00101</t>
  </si>
  <si>
    <t>LT00052060</t>
  </si>
  <si>
    <t>1G00102</t>
  </si>
  <si>
    <t>LT00050629</t>
  </si>
  <si>
    <t>1G00105</t>
  </si>
  <si>
    <t>0000374945</t>
  </si>
  <si>
    <t>1G00201</t>
  </si>
  <si>
    <t>0000368094</t>
  </si>
  <si>
    <t>1028321</t>
  </si>
  <si>
    <t>mypure pro X9 CU CN</t>
  </si>
  <si>
    <t>LT00044604</t>
  </si>
  <si>
    <t>1G00202</t>
  </si>
  <si>
    <t>2023-12-29</t>
  </si>
  <si>
    <t>2031-12-29</t>
  </si>
  <si>
    <t>1G00205</t>
  </si>
  <si>
    <t>0000374946</t>
  </si>
  <si>
    <t>1043019</t>
  </si>
  <si>
    <t>Pack 6 MAXTRAplus UNIV CU CN XY</t>
  </si>
  <si>
    <t>LT00052059</t>
  </si>
  <si>
    <t>1G00301</t>
  </si>
  <si>
    <t>1G00302</t>
  </si>
  <si>
    <t>1053712</t>
  </si>
  <si>
    <t>复合滤芯,PP+炭纤维炭棒,单出,简体字,Brita F款</t>
  </si>
  <si>
    <t>LT00050634</t>
  </si>
  <si>
    <t>1G00305</t>
  </si>
  <si>
    <t>0000374953</t>
  </si>
  <si>
    <t>KI4211</t>
  </si>
  <si>
    <t>1G00401</t>
  </si>
  <si>
    <t>1G00402</t>
  </si>
  <si>
    <t>LT00050630</t>
  </si>
  <si>
    <t>1G00405</t>
  </si>
  <si>
    <t>0000374947</t>
  </si>
  <si>
    <t>KI4213</t>
  </si>
  <si>
    <t>1G00501</t>
  </si>
  <si>
    <t>LT00052061</t>
  </si>
  <si>
    <t>1G00502</t>
  </si>
  <si>
    <t>1055230</t>
  </si>
  <si>
    <t>Pack 3 MAXTRAplus CU CNL</t>
  </si>
  <si>
    <t>LT00052068</t>
  </si>
  <si>
    <t>1G00601</t>
  </si>
  <si>
    <t>1G00602</t>
  </si>
  <si>
    <t>1G00701</t>
  </si>
  <si>
    <t>1G00702</t>
  </si>
  <si>
    <t>1G00801</t>
  </si>
  <si>
    <t>1G00802</t>
  </si>
  <si>
    <t>LT00046552</t>
  </si>
  <si>
    <t>1G00804</t>
  </si>
  <si>
    <t>0000357769</t>
  </si>
  <si>
    <t>2024-02-02</t>
  </si>
  <si>
    <t>2031-02-02</t>
  </si>
  <si>
    <t>KI4047</t>
  </si>
  <si>
    <t>1G00805</t>
  </si>
  <si>
    <t>0000357770</t>
  </si>
  <si>
    <t>1G00901</t>
  </si>
  <si>
    <t>1G00902</t>
  </si>
  <si>
    <t>1G00903</t>
  </si>
  <si>
    <t>0000357771</t>
  </si>
  <si>
    <t>1G00904</t>
  </si>
  <si>
    <t>0000357772</t>
  </si>
  <si>
    <t>1G00905</t>
  </si>
  <si>
    <t>0000357773</t>
  </si>
  <si>
    <t>LT00040505</t>
  </si>
  <si>
    <t>1G01001</t>
  </si>
  <si>
    <t>2023-08-08</t>
  </si>
  <si>
    <t>2030-08-08</t>
  </si>
  <si>
    <t>LT00038538</t>
  </si>
  <si>
    <t>1G01002</t>
  </si>
  <si>
    <t>2023-04-27</t>
  </si>
  <si>
    <t>2030-04-27</t>
  </si>
  <si>
    <t>YE2463A3</t>
  </si>
  <si>
    <t>1G01003</t>
  </si>
  <si>
    <t>0000357774</t>
  </si>
  <si>
    <t>1G01004</t>
  </si>
  <si>
    <t>0000357775</t>
  </si>
  <si>
    <t>1G01005</t>
  </si>
  <si>
    <t>0000357776</t>
  </si>
  <si>
    <t>1G01101</t>
  </si>
  <si>
    <t>0000357777</t>
  </si>
  <si>
    <t>1G01102</t>
  </si>
  <si>
    <t>1G01104</t>
  </si>
  <si>
    <t>0000357778</t>
  </si>
  <si>
    <t>1G01105</t>
  </si>
  <si>
    <t>0000357779</t>
  </si>
  <si>
    <t>1G01201</t>
  </si>
  <si>
    <t>1G01202</t>
  </si>
  <si>
    <t>1G01203</t>
  </si>
  <si>
    <t>0000357780</t>
  </si>
  <si>
    <t>1G01204</t>
  </si>
  <si>
    <t>0000357781</t>
  </si>
  <si>
    <t>1G01205</t>
  </si>
  <si>
    <t>0000357782</t>
  </si>
  <si>
    <t>1G01301</t>
  </si>
  <si>
    <t>0000357783</t>
  </si>
  <si>
    <t>1G01302</t>
  </si>
  <si>
    <t>1G01303</t>
  </si>
  <si>
    <t>0000357784</t>
  </si>
  <si>
    <t>1G01304</t>
  </si>
  <si>
    <t>0000357785</t>
  </si>
  <si>
    <t>1G01305</t>
  </si>
  <si>
    <t>0000357786</t>
  </si>
  <si>
    <t>LT00040503</t>
  </si>
  <si>
    <t>1G01401</t>
  </si>
  <si>
    <t>1G01402</t>
  </si>
  <si>
    <t>0000357787</t>
  </si>
  <si>
    <t>1G01501</t>
  </si>
  <si>
    <t>1054259</t>
  </si>
  <si>
    <t>ON TAP V-MF System CU CN</t>
  </si>
  <si>
    <t>LT00048020</t>
  </si>
  <si>
    <t>1G01601</t>
  </si>
  <si>
    <t>4213A</t>
  </si>
  <si>
    <t>LT00039238</t>
  </si>
  <si>
    <t>1G01701</t>
  </si>
  <si>
    <t>2023-07-01</t>
  </si>
  <si>
    <t>2030-07-01</t>
  </si>
  <si>
    <t>1G01702</t>
  </si>
  <si>
    <t>1055232</t>
  </si>
  <si>
    <t>Pack 6 MAXTRAplus CU CNL</t>
  </si>
  <si>
    <t>LT00052069</t>
  </si>
  <si>
    <t>1G01801</t>
  </si>
  <si>
    <t>1G01901</t>
  </si>
  <si>
    <t>1G02001</t>
  </si>
  <si>
    <t>1G02004</t>
  </si>
  <si>
    <t>0000357811</t>
  </si>
  <si>
    <t>1G02005</t>
  </si>
  <si>
    <t>0000357812</t>
  </si>
  <si>
    <t>LT00042551</t>
  </si>
  <si>
    <t>1G02201</t>
  </si>
  <si>
    <t>2023-10-14</t>
  </si>
  <si>
    <t>2030-10-14</t>
  </si>
  <si>
    <t>3907F</t>
  </si>
  <si>
    <t>LT00049047</t>
  </si>
  <si>
    <t>1G02204</t>
  </si>
  <si>
    <t>0000366827</t>
  </si>
  <si>
    <t>2024-04-18</t>
  </si>
  <si>
    <t>2031-04-18</t>
  </si>
  <si>
    <t>YE4161K1</t>
  </si>
  <si>
    <t>1G02205</t>
  </si>
  <si>
    <t>0000366828</t>
  </si>
  <si>
    <t>LT00042549</t>
  </si>
  <si>
    <t>1G02301</t>
  </si>
  <si>
    <t>3906F</t>
  </si>
  <si>
    <t>1043100</t>
  </si>
  <si>
    <t>Style XL lime incl6 MXplus LE CNY CU CN</t>
  </si>
  <si>
    <t>LT00032996</t>
  </si>
  <si>
    <t>1G02401</t>
  </si>
  <si>
    <t>0000169831</t>
  </si>
  <si>
    <t>2020-11-30</t>
  </si>
  <si>
    <t>2027-11-30</t>
  </si>
  <si>
    <t>4500322102</t>
  </si>
  <si>
    <t>1G02501</t>
  </si>
  <si>
    <t>1G02805</t>
  </si>
  <si>
    <t>0000366829</t>
  </si>
  <si>
    <t>1G02902</t>
  </si>
  <si>
    <t>0000366830</t>
  </si>
  <si>
    <t>1G02903</t>
  </si>
  <si>
    <t>0000366831</t>
  </si>
  <si>
    <t>LT00044317</t>
  </si>
  <si>
    <t>1G03101</t>
  </si>
  <si>
    <t>2023-12-21</t>
  </si>
  <si>
    <t>2030-12-21</t>
  </si>
  <si>
    <t>3Y02F</t>
  </si>
  <si>
    <t>LT00044316</t>
  </si>
  <si>
    <t>1G03501</t>
  </si>
  <si>
    <t>3Y07F</t>
  </si>
  <si>
    <t>1G03901</t>
  </si>
  <si>
    <t>1042442</t>
  </si>
  <si>
    <t>Style XL lime incl 4MXpl LM PHY-MA CU CN</t>
  </si>
  <si>
    <t>LT00034897</t>
  </si>
  <si>
    <t>1G04501</t>
  </si>
  <si>
    <t>0000156036</t>
  </si>
  <si>
    <t>2020-10-19</t>
  </si>
  <si>
    <t>2027-10-19</t>
  </si>
  <si>
    <t>4500317240</t>
  </si>
  <si>
    <t>1G04702</t>
  </si>
  <si>
    <t>1G04905</t>
  </si>
  <si>
    <t>0000256727</t>
  </si>
  <si>
    <t>LT00044315</t>
  </si>
  <si>
    <t>1G05101</t>
  </si>
  <si>
    <t>3X12F</t>
  </si>
  <si>
    <t>1G05203</t>
  </si>
  <si>
    <t>0000256721</t>
  </si>
  <si>
    <t>1G05501</t>
  </si>
  <si>
    <t>1G05601</t>
  </si>
  <si>
    <t>1G05603</t>
  </si>
  <si>
    <t>0000256722</t>
  </si>
  <si>
    <t>1G05701</t>
  </si>
  <si>
    <t>1G05801</t>
  </si>
  <si>
    <t>1G05802</t>
  </si>
  <si>
    <t>1G05805</t>
  </si>
  <si>
    <t>0000256723</t>
  </si>
  <si>
    <t>1G05901</t>
  </si>
  <si>
    <t>1G05902</t>
  </si>
  <si>
    <t>LT00052066</t>
  </si>
  <si>
    <t>1G06001</t>
  </si>
  <si>
    <t>1G06002</t>
  </si>
  <si>
    <t>LT00052067</t>
  </si>
  <si>
    <t>1G06101</t>
  </si>
  <si>
    <t>LT00052065</t>
  </si>
  <si>
    <t>1G06201</t>
  </si>
  <si>
    <t>LT00052063</t>
  </si>
  <si>
    <t>1G06301</t>
  </si>
  <si>
    <t>1053322</t>
  </si>
  <si>
    <t>Water Dispen One MXplus UVC green CU CN</t>
  </si>
  <si>
    <t>LT00052064</t>
  </si>
  <si>
    <t>1G06401</t>
  </si>
  <si>
    <t>LT00049153</t>
  </si>
  <si>
    <t>1G06404</t>
  </si>
  <si>
    <t>0000367384</t>
  </si>
  <si>
    <t>1G06405</t>
  </si>
  <si>
    <t>0000367385</t>
  </si>
  <si>
    <t>LT00042555</t>
  </si>
  <si>
    <t>1G06502</t>
  </si>
  <si>
    <t>1G06503</t>
  </si>
  <si>
    <t>0000367386</t>
  </si>
  <si>
    <t>1G06504</t>
  </si>
  <si>
    <t>0000367387</t>
  </si>
  <si>
    <t>1G06601</t>
  </si>
  <si>
    <t>0000367388</t>
  </si>
  <si>
    <t>LT00042164</t>
  </si>
  <si>
    <t>1G06602</t>
  </si>
  <si>
    <t>0000340799</t>
  </si>
  <si>
    <t>2023-09-27</t>
  </si>
  <si>
    <t>2030-09-27</t>
  </si>
  <si>
    <t>1G06603</t>
  </si>
  <si>
    <t>0000340805</t>
  </si>
  <si>
    <t>1G06604</t>
  </si>
  <si>
    <t>0000367389</t>
  </si>
  <si>
    <t>LT00046616</t>
  </si>
  <si>
    <t>1G06605</t>
  </si>
  <si>
    <t>0000358034</t>
  </si>
  <si>
    <t>2024-02-03</t>
  </si>
  <si>
    <t>2031-02-03</t>
  </si>
  <si>
    <t>KI3444</t>
  </si>
  <si>
    <t>翻新</t>
  </si>
  <si>
    <t>1G06701</t>
  </si>
  <si>
    <t>0000340790</t>
  </si>
  <si>
    <t>1G06703</t>
  </si>
  <si>
    <t>0000340806</t>
  </si>
  <si>
    <t>1G06704</t>
  </si>
  <si>
    <t>0000367390</t>
  </si>
  <si>
    <t>1G06705</t>
  </si>
  <si>
    <t>0000358036</t>
  </si>
  <si>
    <t>1G06801</t>
  </si>
  <si>
    <t>0000367391</t>
  </si>
  <si>
    <t>1G06803</t>
  </si>
  <si>
    <t>1G06804</t>
  </si>
  <si>
    <t>0000367392</t>
  </si>
  <si>
    <t>1G06805</t>
  </si>
  <si>
    <t>0000358039</t>
  </si>
  <si>
    <t>1G06901</t>
  </si>
  <si>
    <t>0000340791</t>
  </si>
  <si>
    <t>1G06902</t>
  </si>
  <si>
    <t>1G06903</t>
  </si>
  <si>
    <t>0000340807</t>
  </si>
  <si>
    <t>1G06904</t>
  </si>
  <si>
    <t>0000367393</t>
  </si>
  <si>
    <t>1G06905</t>
  </si>
  <si>
    <t>0000367394</t>
  </si>
  <si>
    <t>1G07001</t>
  </si>
  <si>
    <t>0000367395</t>
  </si>
  <si>
    <t>1G07003</t>
  </si>
  <si>
    <t>0000340808</t>
  </si>
  <si>
    <t>LT00049155</t>
  </si>
  <si>
    <t>1G07004</t>
  </si>
  <si>
    <t>0000367398</t>
  </si>
  <si>
    <t>YE4163A3</t>
  </si>
  <si>
    <t>LT00046620</t>
  </si>
  <si>
    <t>1G07005</t>
  </si>
  <si>
    <t>0000358044</t>
  </si>
  <si>
    <t>KI4033</t>
  </si>
  <si>
    <t>1G07101</t>
  </si>
  <si>
    <t>0000367399</t>
  </si>
  <si>
    <t>1G07102</t>
  </si>
  <si>
    <t>0000367400</t>
  </si>
  <si>
    <t>1G07104</t>
  </si>
  <si>
    <t>0000367401</t>
  </si>
  <si>
    <t>1G07105</t>
  </si>
  <si>
    <t>0000367402</t>
  </si>
  <si>
    <t>1G07201</t>
  </si>
  <si>
    <t>0000367403</t>
  </si>
  <si>
    <t>1G07202</t>
  </si>
  <si>
    <t>0000367404</t>
  </si>
  <si>
    <t>1G07203</t>
  </si>
  <si>
    <t>0000367405</t>
  </si>
  <si>
    <t>1G07204</t>
  </si>
  <si>
    <t>0000367406</t>
  </si>
  <si>
    <t>1G07205</t>
  </si>
  <si>
    <t>0000367407</t>
  </si>
  <si>
    <t>1G07301</t>
  </si>
  <si>
    <t>0000367408</t>
  </si>
  <si>
    <t>1G07302</t>
  </si>
  <si>
    <t>0000340800</t>
  </si>
  <si>
    <t>1G07303</t>
  </si>
  <si>
    <t>0000256789</t>
  </si>
  <si>
    <t>1G07304</t>
  </si>
  <si>
    <t>0000367409</t>
  </si>
  <si>
    <t>1G07305</t>
  </si>
  <si>
    <t>0000367410</t>
  </si>
  <si>
    <t>1G07401</t>
  </si>
  <si>
    <t>0000367411</t>
  </si>
  <si>
    <t>1G07402</t>
  </si>
  <si>
    <t>0000340801</t>
  </si>
  <si>
    <t>1G07403</t>
  </si>
  <si>
    <t>0000340809</t>
  </si>
  <si>
    <t>1G07404</t>
  </si>
  <si>
    <t>0000367412</t>
  </si>
  <si>
    <t>1G07405</t>
  </si>
  <si>
    <t>0000367413</t>
  </si>
  <si>
    <t>1G07501</t>
  </si>
  <si>
    <t>0000367414</t>
  </si>
  <si>
    <t>1G07504</t>
  </si>
  <si>
    <t>0000367415</t>
  </si>
  <si>
    <t>1G07505</t>
  </si>
  <si>
    <t>0000367416</t>
  </si>
  <si>
    <t>1G07601</t>
  </si>
  <si>
    <t>0000367417</t>
  </si>
  <si>
    <t>1G07602</t>
  </si>
  <si>
    <t>0000367418</t>
  </si>
  <si>
    <t>1G07603</t>
  </si>
  <si>
    <t>0000367419</t>
  </si>
  <si>
    <t>1G07604</t>
  </si>
  <si>
    <t>0000367420</t>
  </si>
  <si>
    <t>1G07605</t>
  </si>
  <si>
    <t>0000367421</t>
  </si>
  <si>
    <t>1G07701</t>
  </si>
  <si>
    <t>0000367422</t>
  </si>
  <si>
    <t>1G07702</t>
  </si>
  <si>
    <t>0000367423</t>
  </si>
  <si>
    <t>1G07703</t>
  </si>
  <si>
    <t>0000367424</t>
  </si>
  <si>
    <t>1G07704</t>
  </si>
  <si>
    <t>0000340768</t>
  </si>
  <si>
    <t>1G07705</t>
  </si>
  <si>
    <t>0000367425</t>
  </si>
  <si>
    <t>1G07801</t>
  </si>
  <si>
    <t>0000340769</t>
  </si>
  <si>
    <t>1G07802</t>
  </si>
  <si>
    <t>0000367426</t>
  </si>
  <si>
    <t>1G07803</t>
  </si>
  <si>
    <t>0000367427</t>
  </si>
  <si>
    <t>1G07804</t>
  </si>
  <si>
    <t>0000367428</t>
  </si>
  <si>
    <t>1G07805</t>
  </si>
  <si>
    <t>0000367429</t>
  </si>
  <si>
    <t>1H00101</t>
  </si>
  <si>
    <t>0000367430</t>
  </si>
  <si>
    <t>1H00102</t>
  </si>
  <si>
    <t>0000367431</t>
  </si>
  <si>
    <t>LT00042908</t>
  </si>
  <si>
    <t>1H00201</t>
  </si>
  <si>
    <t>1H00202</t>
  </si>
  <si>
    <t>0000367432</t>
  </si>
  <si>
    <t>1H00203</t>
  </si>
  <si>
    <t>0000367433</t>
  </si>
  <si>
    <t>1H00301</t>
  </si>
  <si>
    <t>1H00302</t>
  </si>
  <si>
    <t>0000367434</t>
  </si>
  <si>
    <t>1H00303</t>
  </si>
  <si>
    <t>1H00304</t>
  </si>
  <si>
    <t>0000367435</t>
  </si>
  <si>
    <t>1053707</t>
  </si>
  <si>
    <t>RO机600G，星空灰，智能龙头单出水，Brita F款?圆款</t>
  </si>
  <si>
    <t>LT00044391</t>
  </si>
  <si>
    <t>1H00305</t>
  </si>
  <si>
    <t>0000351488</t>
  </si>
  <si>
    <t>2023-12-23</t>
  </si>
  <si>
    <t>2030-12-23</t>
  </si>
  <si>
    <t>KI3472</t>
  </si>
  <si>
    <t>1028297</t>
  </si>
  <si>
    <t>Dispenser LED 2000 mypure pro</t>
  </si>
  <si>
    <t>LT00038707</t>
  </si>
  <si>
    <t>1H00401</t>
  </si>
  <si>
    <t>0000250390</t>
  </si>
  <si>
    <t>2021-12-22</t>
  </si>
  <si>
    <t>2028-12-22</t>
  </si>
  <si>
    <t>0000430817</t>
  </si>
  <si>
    <t>1049474</t>
  </si>
  <si>
    <t>StyleXL LED4W bl incl1UN+11LE SIOC CNO</t>
  </si>
  <si>
    <t>LT00049875</t>
  </si>
  <si>
    <t>1H00402</t>
  </si>
  <si>
    <t>0000371618</t>
  </si>
  <si>
    <t>YE4166S2</t>
  </si>
  <si>
    <t>1H00403</t>
  </si>
  <si>
    <t>0000367436</t>
  </si>
  <si>
    <t>1H00404</t>
  </si>
  <si>
    <t>0000367437</t>
  </si>
  <si>
    <t>1H00405</t>
  </si>
  <si>
    <t>0000367438</t>
  </si>
  <si>
    <t>LT00041201</t>
  </si>
  <si>
    <t>1H00501</t>
  </si>
  <si>
    <t>2023-08-30</t>
  </si>
  <si>
    <t>3206F</t>
  </si>
  <si>
    <t>1H00502</t>
  </si>
  <si>
    <t>0000371617</t>
  </si>
  <si>
    <t>LT00043626</t>
  </si>
  <si>
    <t>1H00505</t>
  </si>
  <si>
    <t>0000348969</t>
  </si>
  <si>
    <t>1H00601</t>
  </si>
  <si>
    <t>0000368327</t>
  </si>
  <si>
    <t>1035750</t>
  </si>
  <si>
    <t>mypure pro X9 Dummy CU CN</t>
  </si>
  <si>
    <t>LT00016683</t>
  </si>
  <si>
    <t>1H00602</t>
  </si>
  <si>
    <t>0000177929</t>
  </si>
  <si>
    <t>2020-12-12</t>
  </si>
  <si>
    <t>2027-12-12</t>
  </si>
  <si>
    <t>0006102739</t>
  </si>
  <si>
    <t>LT00043625</t>
  </si>
  <si>
    <t>1H00605</t>
  </si>
  <si>
    <t>0000348964</t>
  </si>
  <si>
    <t>KI3443</t>
  </si>
  <si>
    <t>LT00037155</t>
  </si>
  <si>
    <t>1H00701</t>
  </si>
  <si>
    <t>2023-04-25</t>
  </si>
  <si>
    <t>2030-04-25</t>
  </si>
  <si>
    <t>LT00052009</t>
  </si>
  <si>
    <t>1H00702</t>
  </si>
  <si>
    <t>1H00705</t>
  </si>
  <si>
    <t>0000348963</t>
  </si>
  <si>
    <t>1043102</t>
  </si>
  <si>
    <t>Marella XL blue incl5 MXp LE CNY CU ECN</t>
  </si>
  <si>
    <t>LT00040640</t>
  </si>
  <si>
    <t>1H00801</t>
  </si>
  <si>
    <t>2023-07-29</t>
  </si>
  <si>
    <t>2030-07-29</t>
  </si>
  <si>
    <t>账外</t>
  </si>
  <si>
    <t>C2京东补发仓转仓无系统库存</t>
  </si>
  <si>
    <t>LT00052010</t>
  </si>
  <si>
    <t>1H00802</t>
  </si>
  <si>
    <t>2030-06-29</t>
  </si>
  <si>
    <t>1H00805</t>
  </si>
  <si>
    <t>0000348962</t>
  </si>
  <si>
    <t>1H00901</t>
  </si>
  <si>
    <t>0000368328</t>
  </si>
  <si>
    <t>1H00902</t>
  </si>
  <si>
    <t>1H00905</t>
  </si>
  <si>
    <t>0000348973</t>
  </si>
  <si>
    <t>1H01002</t>
  </si>
  <si>
    <t>1H01005</t>
  </si>
  <si>
    <t>0000348972</t>
  </si>
  <si>
    <t>1H01101</t>
  </si>
  <si>
    <t>1H01102</t>
  </si>
  <si>
    <t>1H01105</t>
  </si>
  <si>
    <t>0000348967</t>
  </si>
  <si>
    <t>LT00052014</t>
  </si>
  <si>
    <t>1H01201</t>
  </si>
  <si>
    <t>1H01205</t>
  </si>
  <si>
    <t>0000348968</t>
  </si>
  <si>
    <t>1040192</t>
  </si>
  <si>
    <t>Power adapter pump mypure R8 sparepart</t>
  </si>
  <si>
    <t>LT00009471</t>
  </si>
  <si>
    <t>1H01301</t>
  </si>
  <si>
    <t>0000068161</t>
  </si>
  <si>
    <t>2020-03-17</t>
  </si>
  <si>
    <t>2027-03-17</t>
  </si>
  <si>
    <t>1H01305</t>
  </si>
  <si>
    <t>0000348971</t>
  </si>
  <si>
    <t>LT00048022</t>
  </si>
  <si>
    <t>1H01401</t>
  </si>
  <si>
    <t>4212A</t>
  </si>
  <si>
    <t>1H01403</t>
  </si>
  <si>
    <t>0000256793</t>
  </si>
  <si>
    <t>1H01405</t>
  </si>
  <si>
    <t>0000348966</t>
  </si>
  <si>
    <t>LT00048023</t>
  </si>
  <si>
    <t>1H01501</t>
  </si>
  <si>
    <t>4214A</t>
  </si>
  <si>
    <t>1H01505</t>
  </si>
  <si>
    <t>0000348970</t>
  </si>
  <si>
    <t>LT00049158</t>
  </si>
  <si>
    <t>1H01601</t>
  </si>
  <si>
    <t>0000367525</t>
  </si>
  <si>
    <t>YE4162K1</t>
  </si>
  <si>
    <t>1H01602</t>
  </si>
  <si>
    <t>0000367526</t>
  </si>
  <si>
    <t>1H01603</t>
  </si>
  <si>
    <t>0000367527</t>
  </si>
  <si>
    <t>1H01604</t>
  </si>
  <si>
    <t>0000367528</t>
  </si>
  <si>
    <t>1H01605</t>
  </si>
  <si>
    <t>0000348965</t>
  </si>
  <si>
    <t>1H01701</t>
  </si>
  <si>
    <t>0000367529</t>
  </si>
  <si>
    <t>1H01702</t>
  </si>
  <si>
    <t>0000367530</t>
  </si>
  <si>
    <t>1H01801</t>
  </si>
  <si>
    <t>0000177930</t>
  </si>
  <si>
    <t>1H01803</t>
  </si>
  <si>
    <t>0000256794</t>
  </si>
  <si>
    <t>LT00049949</t>
  </si>
  <si>
    <t>1H01901</t>
  </si>
  <si>
    <t>4401A</t>
  </si>
  <si>
    <t>LT00039546</t>
  </si>
  <si>
    <t>1H01905</t>
  </si>
  <si>
    <t>0000328657</t>
  </si>
  <si>
    <t>2023-07-14</t>
  </si>
  <si>
    <t>2030-07-14</t>
  </si>
  <si>
    <t>1H02001</t>
  </si>
  <si>
    <t>1H02005</t>
  </si>
  <si>
    <t>0000328656</t>
  </si>
  <si>
    <t>1H02101</t>
  </si>
  <si>
    <t>1H02105</t>
  </si>
  <si>
    <t>0000328654</t>
  </si>
  <si>
    <t>1H02201</t>
  </si>
  <si>
    <t>LT00049325</t>
  </si>
  <si>
    <t>1H02203</t>
  </si>
  <si>
    <t>0000368127</t>
  </si>
  <si>
    <t>1H02204</t>
  </si>
  <si>
    <t>0000368128</t>
  </si>
  <si>
    <t>1H02205</t>
  </si>
  <si>
    <t>0000328655</t>
  </si>
  <si>
    <t>1H02305</t>
  </si>
  <si>
    <t>0000328653</t>
  </si>
  <si>
    <t>1H02401</t>
  </si>
  <si>
    <t>1H02501</t>
  </si>
  <si>
    <t>1H02502</t>
  </si>
  <si>
    <t>0000368329</t>
  </si>
  <si>
    <t>1H02503</t>
  </si>
  <si>
    <t>0000368330</t>
  </si>
  <si>
    <t>1H02504</t>
  </si>
  <si>
    <t>0000368331</t>
  </si>
  <si>
    <t>1H02505</t>
  </si>
  <si>
    <t>0000328644</t>
  </si>
  <si>
    <t>1H02601</t>
  </si>
  <si>
    <t>0000368332</t>
  </si>
  <si>
    <t>1H02602</t>
  </si>
  <si>
    <t>0000368333</t>
  </si>
  <si>
    <t>1H02603</t>
  </si>
  <si>
    <t>0000368334</t>
  </si>
  <si>
    <t>1H02604</t>
  </si>
  <si>
    <t>0000368335</t>
  </si>
  <si>
    <t>1H02605</t>
  </si>
  <si>
    <t>0000328643</t>
  </si>
  <si>
    <t>LT00044314</t>
  </si>
  <si>
    <t>1H02701</t>
  </si>
  <si>
    <t>3X10F</t>
  </si>
  <si>
    <t>1H02702</t>
  </si>
  <si>
    <t>0000368336</t>
  </si>
  <si>
    <t>1H02703</t>
  </si>
  <si>
    <t>0000368337</t>
  </si>
  <si>
    <t>1H02704</t>
  </si>
  <si>
    <t>0000368338</t>
  </si>
  <si>
    <t>1H02705</t>
  </si>
  <si>
    <t>0000328645</t>
  </si>
  <si>
    <t>1H02802</t>
  </si>
  <si>
    <t>0000368339</t>
  </si>
  <si>
    <t>1H02803</t>
  </si>
  <si>
    <t>0000368340</t>
  </si>
  <si>
    <t>1H02804</t>
  </si>
  <si>
    <t>0000368341</t>
  </si>
  <si>
    <t>1H02805</t>
  </si>
  <si>
    <t>0000328646</t>
  </si>
  <si>
    <t>1H02902</t>
  </si>
  <si>
    <t>0000368342</t>
  </si>
  <si>
    <t>1H02903</t>
  </si>
  <si>
    <t>0000368343</t>
  </si>
  <si>
    <t>1H02904</t>
  </si>
  <si>
    <t>0000368344</t>
  </si>
  <si>
    <t>1H02905</t>
  </si>
  <si>
    <t>0000328647</t>
  </si>
  <si>
    <t>1H03002</t>
  </si>
  <si>
    <t>0000368345</t>
  </si>
  <si>
    <t>1H03003</t>
  </si>
  <si>
    <t>0000368346</t>
  </si>
  <si>
    <t>1H03004</t>
  </si>
  <si>
    <t>0000368347</t>
  </si>
  <si>
    <t>1H03005</t>
  </si>
  <si>
    <t>0000328648</t>
  </si>
  <si>
    <t>LT00048019</t>
  </si>
  <si>
    <t>1H03101</t>
  </si>
  <si>
    <t>4208A</t>
  </si>
  <si>
    <t>1H03102</t>
  </si>
  <si>
    <t>0000368348</t>
  </si>
  <si>
    <t>1H03103</t>
  </si>
  <si>
    <t>0000368349</t>
  </si>
  <si>
    <t>1H03104</t>
  </si>
  <si>
    <t>0000368350</t>
  </si>
  <si>
    <t>1H03105</t>
  </si>
  <si>
    <t>0000328649</t>
  </si>
  <si>
    <t>1H03201</t>
  </si>
  <si>
    <t>0000368109</t>
  </si>
  <si>
    <t>1H03202</t>
  </si>
  <si>
    <t>0000368351</t>
  </si>
  <si>
    <t>1H03203</t>
  </si>
  <si>
    <t>0000368352</t>
  </si>
  <si>
    <t>1H03204</t>
  </si>
  <si>
    <t>0000368353</t>
  </si>
  <si>
    <t>1H03205</t>
  </si>
  <si>
    <t>0000328650</t>
  </si>
  <si>
    <t>1H03301</t>
  </si>
  <si>
    <t>0000368354</t>
  </si>
  <si>
    <t>1H03303</t>
  </si>
  <si>
    <t>0000368355</t>
  </si>
  <si>
    <t>1H03304</t>
  </si>
  <si>
    <t>0000368356</t>
  </si>
  <si>
    <t>1H03305</t>
  </si>
  <si>
    <t>0000328651</t>
  </si>
  <si>
    <t>1H03401</t>
  </si>
  <si>
    <t>0000368357</t>
  </si>
  <si>
    <t>1H03402</t>
  </si>
  <si>
    <t>0000368358</t>
  </si>
  <si>
    <t>LT00049382</t>
  </si>
  <si>
    <t>1H03403</t>
  </si>
  <si>
    <t>0000368359</t>
  </si>
  <si>
    <t>1H03404</t>
  </si>
  <si>
    <t>0000368360</t>
  </si>
  <si>
    <t>1H03405</t>
  </si>
  <si>
    <t>0000328652</t>
  </si>
  <si>
    <t>1H03501</t>
  </si>
  <si>
    <t>0000368361</t>
  </si>
  <si>
    <t>1H03502</t>
  </si>
  <si>
    <t>0000368362</t>
  </si>
  <si>
    <t>1H03503</t>
  </si>
  <si>
    <t>0000368363</t>
  </si>
  <si>
    <t>1H03504</t>
  </si>
  <si>
    <t>0000368364</t>
  </si>
  <si>
    <t>1H03505</t>
  </si>
  <si>
    <t>0000334111</t>
  </si>
  <si>
    <t>1H03601</t>
  </si>
  <si>
    <t>0000368365</t>
  </si>
  <si>
    <t>1H03602</t>
  </si>
  <si>
    <t>0000368366</t>
  </si>
  <si>
    <t>1H03603</t>
  </si>
  <si>
    <t>0000340770</t>
  </si>
  <si>
    <t>1H03604</t>
  </si>
  <si>
    <t>0000340771</t>
  </si>
  <si>
    <t>1H03605</t>
  </si>
  <si>
    <t>0000340772</t>
  </si>
  <si>
    <t>1H03701</t>
  </si>
  <si>
    <t>0000368367</t>
  </si>
  <si>
    <t>1H03702</t>
  </si>
  <si>
    <t>0000368368</t>
  </si>
  <si>
    <t>1H03703</t>
  </si>
  <si>
    <t>0000368369</t>
  </si>
  <si>
    <t>1H03704</t>
  </si>
  <si>
    <t>0000368370</t>
  </si>
  <si>
    <t>1H03705</t>
  </si>
  <si>
    <t>0000368371</t>
  </si>
  <si>
    <t>1H03801</t>
  </si>
  <si>
    <t>1H03802</t>
  </si>
  <si>
    <t>0000368372</t>
  </si>
  <si>
    <t>1H03803</t>
  </si>
  <si>
    <t>0000368373</t>
  </si>
  <si>
    <t>1H03804</t>
  </si>
  <si>
    <t>0000368374</t>
  </si>
  <si>
    <t>1H03805</t>
  </si>
  <si>
    <t>0000368375</t>
  </si>
  <si>
    <t>1H03901</t>
  </si>
  <si>
    <t>0000368376</t>
  </si>
  <si>
    <t>1H03902</t>
  </si>
  <si>
    <t>0000368377</t>
  </si>
  <si>
    <t>1H03903</t>
  </si>
  <si>
    <t>0000368378</t>
  </si>
  <si>
    <t>1H03904</t>
  </si>
  <si>
    <t>0000368379</t>
  </si>
  <si>
    <t>1H03905</t>
  </si>
  <si>
    <t>0000368380</t>
  </si>
  <si>
    <t>LT00049383</t>
  </si>
  <si>
    <t>1H04001</t>
  </si>
  <si>
    <t>0000368382</t>
  </si>
  <si>
    <t>1H04002</t>
  </si>
  <si>
    <t>0000368383</t>
  </si>
  <si>
    <t>1H04003</t>
  </si>
  <si>
    <t>0000368384</t>
  </si>
  <si>
    <t>1H04004</t>
  </si>
  <si>
    <t>0000368385</t>
  </si>
  <si>
    <t>1H04005</t>
  </si>
  <si>
    <t>0000368386</t>
  </si>
  <si>
    <t>1H04101</t>
  </si>
  <si>
    <t>0000368387</t>
  </si>
  <si>
    <t>1H04102</t>
  </si>
  <si>
    <t>0000368388</t>
  </si>
  <si>
    <t>LT00049385</t>
  </si>
  <si>
    <t>1H04802</t>
  </si>
  <si>
    <t>0000368423</t>
  </si>
  <si>
    <t>YE4166K1</t>
  </si>
  <si>
    <t>1H04803</t>
  </si>
  <si>
    <t>0000368424</t>
  </si>
  <si>
    <t>1H04804</t>
  </si>
  <si>
    <t>0000368425</t>
  </si>
  <si>
    <t>1H04805</t>
  </si>
  <si>
    <t>0000368426</t>
  </si>
  <si>
    <t>1H04901</t>
  </si>
  <si>
    <t>0000368427</t>
  </si>
  <si>
    <t>1H04902</t>
  </si>
  <si>
    <t>0000368428</t>
  </si>
  <si>
    <t>1H04903</t>
  </si>
  <si>
    <t>0000368429</t>
  </si>
  <si>
    <t>1H04904</t>
  </si>
  <si>
    <t>0000368430</t>
  </si>
  <si>
    <t>1H04905</t>
  </si>
  <si>
    <t>0000368431</t>
  </si>
  <si>
    <t>1H05001</t>
  </si>
  <si>
    <t>0000368432</t>
  </si>
  <si>
    <t>1H05002</t>
  </si>
  <si>
    <t>0000368433</t>
  </si>
  <si>
    <t>1H05003</t>
  </si>
  <si>
    <t>0000368434</t>
  </si>
  <si>
    <t>1H05004</t>
  </si>
  <si>
    <t>0000368435</t>
  </si>
  <si>
    <t>1H05005</t>
  </si>
  <si>
    <t>0000368436</t>
  </si>
  <si>
    <t>1H05101</t>
  </si>
  <si>
    <t>0000368437</t>
  </si>
  <si>
    <t>1H05102</t>
  </si>
  <si>
    <t>0000368438</t>
  </si>
  <si>
    <t>1H05103</t>
  </si>
  <si>
    <t>0000368439</t>
  </si>
  <si>
    <t>1H05104</t>
  </si>
  <si>
    <t>0000368440</t>
  </si>
  <si>
    <t>1H05105</t>
  </si>
  <si>
    <t>0000368441</t>
  </si>
  <si>
    <t>1H05201</t>
  </si>
  <si>
    <t>0000368442</t>
  </si>
  <si>
    <t>1H05202</t>
  </si>
  <si>
    <t>0000368443</t>
  </si>
  <si>
    <t>1H05203</t>
  </si>
  <si>
    <t>0000368444</t>
  </si>
  <si>
    <t>1H05204</t>
  </si>
  <si>
    <t>0000368445</t>
  </si>
  <si>
    <t>1H05205</t>
  </si>
  <si>
    <t>0000368446</t>
  </si>
  <si>
    <t>1H05301</t>
  </si>
  <si>
    <t>0000368447</t>
  </si>
  <si>
    <t>1H05302</t>
  </si>
  <si>
    <t>0000368448</t>
  </si>
  <si>
    <t>1H05303</t>
  </si>
  <si>
    <t>0000368449</t>
  </si>
  <si>
    <t>LT00049387</t>
  </si>
  <si>
    <t>1H05305</t>
  </si>
  <si>
    <t>0000368452</t>
  </si>
  <si>
    <t>0006222587</t>
  </si>
  <si>
    <t>LT00049422</t>
  </si>
  <si>
    <t>1H05401</t>
  </si>
  <si>
    <t>0000368637</t>
  </si>
  <si>
    <t>1H05402</t>
  </si>
  <si>
    <t>0000368638</t>
  </si>
  <si>
    <t>1H05403</t>
  </si>
  <si>
    <t>0000368639</t>
  </si>
  <si>
    <t>LT00049423</t>
  </si>
  <si>
    <t>1H05404</t>
  </si>
  <si>
    <t>0000368640</t>
  </si>
  <si>
    <t>YE4167K1</t>
  </si>
  <si>
    <t>1H05405</t>
  </si>
  <si>
    <t>0000368641</t>
  </si>
  <si>
    <t>1H05501</t>
  </si>
  <si>
    <t>0000368642</t>
  </si>
  <si>
    <t>1H05502</t>
  </si>
  <si>
    <t>0000368643</t>
  </si>
  <si>
    <t>1H05503</t>
  </si>
  <si>
    <t>0000368644</t>
  </si>
  <si>
    <t>1H05504</t>
  </si>
  <si>
    <t>0000368645</t>
  </si>
  <si>
    <t>1H05505</t>
  </si>
  <si>
    <t>0000368646</t>
  </si>
  <si>
    <t>1H05601</t>
  </si>
  <si>
    <t>0000368647</t>
  </si>
  <si>
    <t>1H05602</t>
  </si>
  <si>
    <t>0000368648</t>
  </si>
  <si>
    <t>1H05603</t>
  </si>
  <si>
    <t>0000368649</t>
  </si>
  <si>
    <t>1H05604</t>
  </si>
  <si>
    <t>0000368650</t>
  </si>
  <si>
    <t>1H05605</t>
  </si>
  <si>
    <t>0000368651</t>
  </si>
  <si>
    <t>1H05701</t>
  </si>
  <si>
    <t>0000368652</t>
  </si>
  <si>
    <t>1H05702</t>
  </si>
  <si>
    <t>0000368653</t>
  </si>
  <si>
    <t>1H05703</t>
  </si>
  <si>
    <t>0000368654</t>
  </si>
  <si>
    <t>1H05704</t>
  </si>
  <si>
    <t>0000368655</t>
  </si>
  <si>
    <t>1H05705</t>
  </si>
  <si>
    <t>0000368656</t>
  </si>
  <si>
    <t>1H05801</t>
  </si>
  <si>
    <t>0000368657</t>
  </si>
  <si>
    <t>1H05802</t>
  </si>
  <si>
    <t>0000368658</t>
  </si>
  <si>
    <t>1H05803</t>
  </si>
  <si>
    <t>0000368659</t>
  </si>
  <si>
    <t>1H05804</t>
  </si>
  <si>
    <t>0000368660</t>
  </si>
  <si>
    <t>1H05805</t>
  </si>
  <si>
    <t>0000368661</t>
  </si>
  <si>
    <t>1H05902</t>
  </si>
  <si>
    <t>0000368662</t>
  </si>
  <si>
    <t>1H05903</t>
  </si>
  <si>
    <t>0000368663</t>
  </si>
  <si>
    <t>1H05904</t>
  </si>
  <si>
    <t>0000368664</t>
  </si>
  <si>
    <t>1H05905</t>
  </si>
  <si>
    <t>0000368665</t>
  </si>
  <si>
    <t>1H06002</t>
  </si>
  <si>
    <t>0000368666</t>
  </si>
  <si>
    <t>1H06003</t>
  </si>
  <si>
    <t>0000368667</t>
  </si>
  <si>
    <t>1H06004</t>
  </si>
  <si>
    <t>0000368668</t>
  </si>
  <si>
    <t>1H06005</t>
  </si>
  <si>
    <t>0000368669</t>
  </si>
  <si>
    <t>1H06102</t>
  </si>
  <si>
    <t>0000368670</t>
  </si>
  <si>
    <t>1H06103</t>
  </si>
  <si>
    <t>0000368671</t>
  </si>
  <si>
    <t>1H06104</t>
  </si>
  <si>
    <t>0000368672</t>
  </si>
  <si>
    <t>1H06105</t>
  </si>
  <si>
    <t>0000368673</t>
  </si>
  <si>
    <t>LT00052062</t>
  </si>
  <si>
    <t>1H06201</t>
  </si>
  <si>
    <t>1H06202</t>
  </si>
  <si>
    <t>0000368674</t>
  </si>
  <si>
    <t>1H06203</t>
  </si>
  <si>
    <t>0000368675</t>
  </si>
  <si>
    <t>1H06204</t>
  </si>
  <si>
    <t>0000368676</t>
  </si>
  <si>
    <t>1H06205</t>
  </si>
  <si>
    <t>0000368677</t>
  </si>
  <si>
    <t>LT00052057</t>
  </si>
  <si>
    <t>1H06301</t>
  </si>
  <si>
    <t>1H06302</t>
  </si>
  <si>
    <t>0000368678</t>
  </si>
  <si>
    <t>1H06303</t>
  </si>
  <si>
    <t>0000368679</t>
  </si>
  <si>
    <t>1H06304</t>
  </si>
  <si>
    <t>0000368680</t>
  </si>
  <si>
    <t>1H06305</t>
  </si>
  <si>
    <t>0000331646</t>
  </si>
  <si>
    <t>LT00052056</t>
  </si>
  <si>
    <t>1H06401</t>
  </si>
  <si>
    <t>1H06402</t>
  </si>
  <si>
    <t>0000368681</t>
  </si>
  <si>
    <t>1H06403</t>
  </si>
  <si>
    <t>0000368682</t>
  </si>
  <si>
    <t>1H06404</t>
  </si>
  <si>
    <t>0000368683</t>
  </si>
  <si>
    <t>1H06405</t>
  </si>
  <si>
    <t>0000331630</t>
  </si>
  <si>
    <t>1035986</t>
  </si>
  <si>
    <t>Refill Fica mypure pro PF CN</t>
  </si>
  <si>
    <t>LT00052055</t>
  </si>
  <si>
    <t>1H06501</t>
  </si>
  <si>
    <t>1H06502</t>
  </si>
  <si>
    <t>0000368684</t>
  </si>
  <si>
    <t>1H06503</t>
  </si>
  <si>
    <t>0000368685</t>
  </si>
  <si>
    <t>1H06504</t>
  </si>
  <si>
    <t>0000368686</t>
  </si>
  <si>
    <t>1H06505</t>
  </si>
  <si>
    <t>0000331628</t>
  </si>
  <si>
    <t>1H06601</t>
  </si>
  <si>
    <t>1H06602</t>
  </si>
  <si>
    <t>0000368687</t>
  </si>
  <si>
    <t>1H06603</t>
  </si>
  <si>
    <t>0000368688</t>
  </si>
  <si>
    <t>1H06604</t>
  </si>
  <si>
    <t>0000368689</t>
  </si>
  <si>
    <t>1H06605</t>
  </si>
  <si>
    <t>0000331642</t>
  </si>
  <si>
    <t>1H06701</t>
  </si>
  <si>
    <t>0000368690</t>
  </si>
  <si>
    <t>1H06702</t>
  </si>
  <si>
    <t>0000368691</t>
  </si>
  <si>
    <t>1H06704</t>
  </si>
  <si>
    <t>0000368692</t>
  </si>
  <si>
    <t>1H06705</t>
  </si>
  <si>
    <t>0000331639</t>
  </si>
  <si>
    <t>1028468</t>
  </si>
  <si>
    <t>mypure pro X3 CU CN</t>
  </si>
  <si>
    <t>LT00052054</t>
  </si>
  <si>
    <t>1H06801</t>
  </si>
  <si>
    <t>1H06802</t>
  </si>
  <si>
    <t>0000368693</t>
  </si>
  <si>
    <t>1H06805</t>
  </si>
  <si>
    <t>0000334113</t>
  </si>
  <si>
    <t>LT00052053</t>
  </si>
  <si>
    <t>1H06901</t>
  </si>
  <si>
    <t>1H06905</t>
  </si>
  <si>
    <t>0000334112</t>
  </si>
  <si>
    <t>1022187</t>
  </si>
  <si>
    <t>Refill mypure U5 PF CU CN</t>
  </si>
  <si>
    <t>LT00052052</t>
  </si>
  <si>
    <t>1H07001</t>
  </si>
  <si>
    <t>LT00052051</t>
  </si>
  <si>
    <t>1H07101</t>
  </si>
  <si>
    <t>LT00052050</t>
  </si>
  <si>
    <t>1H07201</t>
  </si>
  <si>
    <t>LT00052049</t>
  </si>
  <si>
    <t>1H07301</t>
  </si>
  <si>
    <t>1044992</t>
  </si>
  <si>
    <t>Style XL Lime incl6 MXplus CU CN</t>
  </si>
  <si>
    <t>LT00032997</t>
  </si>
  <si>
    <t>1H07302</t>
  </si>
  <si>
    <t>2021-04-25</t>
  </si>
  <si>
    <t>2028-04-25</t>
  </si>
  <si>
    <t>4500333753</t>
  </si>
  <si>
    <t>LT00052015</t>
  </si>
  <si>
    <t>1H07401</t>
  </si>
  <si>
    <t>1H07501</t>
  </si>
  <si>
    <t>LT00021513</t>
  </si>
  <si>
    <t>1H07502</t>
  </si>
  <si>
    <t>2021-06-19</t>
  </si>
  <si>
    <t>2028-06-19</t>
  </si>
  <si>
    <t>2021-06-21</t>
  </si>
  <si>
    <t>0006109162</t>
  </si>
  <si>
    <t>LT00052013</t>
  </si>
  <si>
    <t>1H07801</t>
  </si>
  <si>
    <t>LT00052262</t>
  </si>
  <si>
    <t>1I00101</t>
  </si>
  <si>
    <t>0000380792</t>
  </si>
  <si>
    <t>0006233670</t>
  </si>
  <si>
    <t>LT00051323</t>
  </si>
  <si>
    <t>1I00102</t>
  </si>
  <si>
    <t>0000377453</t>
  </si>
  <si>
    <t>1I00103</t>
  </si>
  <si>
    <t>0000377454</t>
  </si>
  <si>
    <t>1055506</t>
  </si>
  <si>
    <t>Pack 6 MAXTRAplus JD CNL</t>
  </si>
  <si>
    <t>LT00050717</t>
  </si>
  <si>
    <t>1I00104</t>
  </si>
  <si>
    <t>0000375141</t>
  </si>
  <si>
    <t>0006226626</t>
  </si>
  <si>
    <t>1I00105</t>
  </si>
  <si>
    <t>0000377455</t>
  </si>
  <si>
    <t>LT00050984</t>
  </si>
  <si>
    <t>1I00201</t>
  </si>
  <si>
    <t>0000376243</t>
  </si>
  <si>
    <t>0006226544</t>
  </si>
  <si>
    <t>LT00050622</t>
  </si>
  <si>
    <t>1I00202</t>
  </si>
  <si>
    <t>0000374611</t>
  </si>
  <si>
    <t>1I00203</t>
  </si>
  <si>
    <t>0000375142</t>
  </si>
  <si>
    <t>1I00204</t>
  </si>
  <si>
    <t>0000377456</t>
  </si>
  <si>
    <t>1I00205</t>
  </si>
  <si>
    <t>0000376244</t>
  </si>
  <si>
    <t>1I00301</t>
  </si>
  <si>
    <t>0000376245</t>
  </si>
  <si>
    <t>LT00050986</t>
  </si>
  <si>
    <t>1I00302</t>
  </si>
  <si>
    <t>0000376248</t>
  </si>
  <si>
    <t>0006231104</t>
  </si>
  <si>
    <t>LT00051487</t>
  </si>
  <si>
    <t>1I00303</t>
  </si>
  <si>
    <t>0000378226</t>
  </si>
  <si>
    <t>2024-06-20</t>
  </si>
  <si>
    <t>2031-06-20</t>
  </si>
  <si>
    <t>0006229605</t>
  </si>
  <si>
    <t>1I00304</t>
  </si>
  <si>
    <t>0000378227</t>
  </si>
  <si>
    <t>1I00305</t>
  </si>
  <si>
    <t>0000378228</t>
  </si>
  <si>
    <t>LT00050151</t>
  </si>
  <si>
    <t>1I00401</t>
  </si>
  <si>
    <t>0000373179</t>
  </si>
  <si>
    <t>YE4176S2</t>
  </si>
  <si>
    <t>1I00402</t>
  </si>
  <si>
    <t>0000378229</t>
  </si>
  <si>
    <t>LT00042893</t>
  </si>
  <si>
    <t>1I00403</t>
  </si>
  <si>
    <t>0000345147</t>
  </si>
  <si>
    <t>2023-10-26</t>
  </si>
  <si>
    <t>2030-10-26</t>
  </si>
  <si>
    <t>0006198205</t>
  </si>
  <si>
    <t>1I00404</t>
  </si>
  <si>
    <t>0000378230</t>
  </si>
  <si>
    <t>1I00405</t>
  </si>
  <si>
    <t>0000378231</t>
  </si>
  <si>
    <t>1I00501</t>
  </si>
  <si>
    <t>0000378232</t>
  </si>
  <si>
    <t>1I00502</t>
  </si>
  <si>
    <t>0000373180</t>
  </si>
  <si>
    <t>1I00503</t>
  </si>
  <si>
    <t>0000373181</t>
  </si>
  <si>
    <t>1I00504</t>
  </si>
  <si>
    <t>0000373182</t>
  </si>
  <si>
    <t>1I00505</t>
  </si>
  <si>
    <t>0000378233</t>
  </si>
  <si>
    <t>LT00048779</t>
  </si>
  <si>
    <t>1I00601</t>
  </si>
  <si>
    <t>0000365645</t>
  </si>
  <si>
    <t>2024-04-12</t>
  </si>
  <si>
    <t>2031-04-12</t>
  </si>
  <si>
    <t>0006223362</t>
  </si>
  <si>
    <t>1I00602</t>
  </si>
  <si>
    <t>0000373183</t>
  </si>
  <si>
    <t>LT00050303</t>
  </si>
  <si>
    <t>1I00604</t>
  </si>
  <si>
    <t>0000373649</t>
  </si>
  <si>
    <t>2024-05-18</t>
  </si>
  <si>
    <t>2031-05-18</t>
  </si>
  <si>
    <t>2024-05-20</t>
  </si>
  <si>
    <t>0006226624</t>
  </si>
  <si>
    <t>LT00050987</t>
  </si>
  <si>
    <t>1I00605</t>
  </si>
  <si>
    <t>0000376249</t>
  </si>
  <si>
    <t>0006229609</t>
  </si>
  <si>
    <t>1I00701</t>
  </si>
  <si>
    <t>0000376250</t>
  </si>
  <si>
    <t>1I00702</t>
  </si>
  <si>
    <t>0000345148</t>
  </si>
  <si>
    <t>1I00703</t>
  </si>
  <si>
    <t>0000373650</t>
  </si>
  <si>
    <t>LT00038534</t>
  </si>
  <si>
    <t>1I00704</t>
  </si>
  <si>
    <t>2023-03-31</t>
  </si>
  <si>
    <t>2030-03-31</t>
  </si>
  <si>
    <t>1I00705</t>
  </si>
  <si>
    <t>0000373651</t>
  </si>
  <si>
    <t>LT00048033</t>
  </si>
  <si>
    <t>1I00801</t>
  </si>
  <si>
    <t>0000362805</t>
  </si>
  <si>
    <t>0006214984</t>
  </si>
  <si>
    <t>1I00802</t>
  </si>
  <si>
    <t>0000378234</t>
  </si>
  <si>
    <t>1046605</t>
  </si>
  <si>
    <t>滤芯55包装 2022</t>
  </si>
  <si>
    <t>LT00050304</t>
  </si>
  <si>
    <t>1I00803</t>
  </si>
  <si>
    <t>0000373652</t>
  </si>
  <si>
    <t>0006228418</t>
  </si>
  <si>
    <t>1I00804</t>
  </si>
  <si>
    <t>LT00050305</t>
  </si>
  <si>
    <t>1I00805</t>
  </si>
  <si>
    <t>0000373653</t>
  </si>
  <si>
    <t>0006229328</t>
  </si>
  <si>
    <t>1I00901</t>
  </si>
  <si>
    <t>0000373654</t>
  </si>
  <si>
    <t>1I00902</t>
  </si>
  <si>
    <t>0000373655</t>
  </si>
  <si>
    <t>1I00903</t>
  </si>
  <si>
    <t>0000373656</t>
  </si>
  <si>
    <t>LT00050990</t>
  </si>
  <si>
    <t>1I00904</t>
  </si>
  <si>
    <t>0000376253</t>
  </si>
  <si>
    <t>0006227560</t>
  </si>
  <si>
    <t>1I00905</t>
  </si>
  <si>
    <t>0000376254</t>
  </si>
  <si>
    <t>LT00050991</t>
  </si>
  <si>
    <t>1I01001</t>
  </si>
  <si>
    <t>0000376255</t>
  </si>
  <si>
    <t>0006229601</t>
  </si>
  <si>
    <t>1I01002</t>
  </si>
  <si>
    <t>0000376256</t>
  </si>
  <si>
    <t>1I01003</t>
  </si>
  <si>
    <t>0000376257</t>
  </si>
  <si>
    <t>LT00050547</t>
  </si>
  <si>
    <t>1I01004</t>
  </si>
  <si>
    <t>0000374485</t>
  </si>
  <si>
    <t>2024-05-24</t>
  </si>
  <si>
    <t>2031-05-24</t>
  </si>
  <si>
    <t>2024-05-25</t>
  </si>
  <si>
    <t>1I01005</t>
  </si>
  <si>
    <t>0000374486</t>
  </si>
  <si>
    <t>LT00049393</t>
  </si>
  <si>
    <t>1I01101</t>
  </si>
  <si>
    <t>0006222590</t>
  </si>
  <si>
    <t>1I01102</t>
  </si>
  <si>
    <t>0000374487</t>
  </si>
  <si>
    <t>1I01103</t>
  </si>
  <si>
    <t>0000374488</t>
  </si>
  <si>
    <t>1I01105</t>
  </si>
  <si>
    <t>0000374489</t>
  </si>
  <si>
    <t>1I01201</t>
  </si>
  <si>
    <t>0000374490</t>
  </si>
  <si>
    <t>1I01202</t>
  </si>
  <si>
    <t>0000376258</t>
  </si>
  <si>
    <t>1I01203</t>
  </si>
  <si>
    <t>0000374491</t>
  </si>
  <si>
    <t>1I01204</t>
  </si>
  <si>
    <t>0000378235</t>
  </si>
  <si>
    <t>1I01205</t>
  </si>
  <si>
    <t>0000378236</t>
  </si>
  <si>
    <t>LT00038537</t>
  </si>
  <si>
    <t>1I01301</t>
  </si>
  <si>
    <t>LT00037278</t>
  </si>
  <si>
    <t>1I01302</t>
  </si>
  <si>
    <t>1I01303</t>
  </si>
  <si>
    <t>0000374492</t>
  </si>
  <si>
    <t>1I01304</t>
  </si>
  <si>
    <t>0000374493</t>
  </si>
  <si>
    <t>1I01305</t>
  </si>
  <si>
    <t>0000374494</t>
  </si>
  <si>
    <t>1I01401</t>
  </si>
  <si>
    <t>0000374495</t>
  </si>
  <si>
    <t>1I01402</t>
  </si>
  <si>
    <t>0000374496</t>
  </si>
  <si>
    <t>1I01403</t>
  </si>
  <si>
    <t>0000374497</t>
  </si>
  <si>
    <t>1I01404</t>
  </si>
  <si>
    <t>0000374498</t>
  </si>
  <si>
    <t>LT00045424</t>
  </si>
  <si>
    <t>1I01405</t>
  </si>
  <si>
    <t>0000353659</t>
  </si>
  <si>
    <t>0006209874</t>
  </si>
  <si>
    <t>LT00041202</t>
  </si>
  <si>
    <t>1I01501</t>
  </si>
  <si>
    <t>3202F</t>
  </si>
  <si>
    <t>1I01502</t>
  </si>
  <si>
    <t>0000374499</t>
  </si>
  <si>
    <t>1I01503</t>
  </si>
  <si>
    <t>0000377457</t>
  </si>
  <si>
    <t>1I01504</t>
  </si>
  <si>
    <t>0000374500</t>
  </si>
  <si>
    <t>1I01505</t>
  </si>
  <si>
    <t>0000374501</t>
  </si>
  <si>
    <t>LT00042503</t>
  </si>
  <si>
    <t>1I01601</t>
  </si>
  <si>
    <t>0000343061</t>
  </si>
  <si>
    <t>2023-10-12</t>
  </si>
  <si>
    <t>2030-10-12</t>
  </si>
  <si>
    <t>2023-10-13</t>
  </si>
  <si>
    <t>0006207114</t>
  </si>
  <si>
    <t>1I01602</t>
  </si>
  <si>
    <t>0000378237</t>
  </si>
  <si>
    <t>1I01603</t>
  </si>
  <si>
    <t>0000374502</t>
  </si>
  <si>
    <t>1I01604</t>
  </si>
  <si>
    <t>0000376259</t>
  </si>
  <si>
    <t>1I01605</t>
  </si>
  <si>
    <t>0000376260</t>
  </si>
  <si>
    <t>1I01701</t>
  </si>
  <si>
    <t>0000376261</t>
  </si>
  <si>
    <t>1I01702</t>
  </si>
  <si>
    <t>0000376262</t>
  </si>
  <si>
    <t>1I01703</t>
  </si>
  <si>
    <t>0000378238</t>
  </si>
  <si>
    <t>1I01704</t>
  </si>
  <si>
    <t>0000378239</t>
  </si>
  <si>
    <t>1I01705</t>
  </si>
  <si>
    <t>0000378240</t>
  </si>
  <si>
    <t>1I01801</t>
  </si>
  <si>
    <t>0000376263</t>
  </si>
  <si>
    <t>1I01802</t>
  </si>
  <si>
    <t>0000376264</t>
  </si>
  <si>
    <t>1I01803</t>
  </si>
  <si>
    <t>0000376265</t>
  </si>
  <si>
    <t>1I01804</t>
  </si>
  <si>
    <t>0000376266</t>
  </si>
  <si>
    <t>1I01805</t>
  </si>
  <si>
    <t>0000378241</t>
  </si>
  <si>
    <t>LT00051030</t>
  </si>
  <si>
    <t>1I01901</t>
  </si>
  <si>
    <t>0000376628</t>
  </si>
  <si>
    <t>1I01902</t>
  </si>
  <si>
    <t>0000376629</t>
  </si>
  <si>
    <t>1I01903</t>
  </si>
  <si>
    <t>0000376630</t>
  </si>
  <si>
    <t>1I01904</t>
  </si>
  <si>
    <t>0000376631</t>
  </si>
  <si>
    <t>1I01905</t>
  </si>
  <si>
    <t>0000376632</t>
  </si>
  <si>
    <t>1I02002</t>
  </si>
  <si>
    <t>0000376633</t>
  </si>
  <si>
    <t>1I02003</t>
  </si>
  <si>
    <t>0000378242</t>
  </si>
  <si>
    <t>1I02004</t>
  </si>
  <si>
    <t>0000376634</t>
  </si>
  <si>
    <t>1I02005</t>
  </si>
  <si>
    <t>0000378243</t>
  </si>
  <si>
    <t>1I02101</t>
  </si>
  <si>
    <t>0000376635</t>
  </si>
  <si>
    <t>1I02102</t>
  </si>
  <si>
    <t>0000376636</t>
  </si>
  <si>
    <t>1I02103</t>
  </si>
  <si>
    <t>0000378244</t>
  </si>
  <si>
    <t>1I02104</t>
  </si>
  <si>
    <t>0000377458</t>
  </si>
  <si>
    <t>LT00047043</t>
  </si>
  <si>
    <t>1I02105</t>
  </si>
  <si>
    <t>0000359701</t>
  </si>
  <si>
    <t>2024-02-29</t>
  </si>
  <si>
    <t>2031-02-28</t>
  </si>
  <si>
    <t>0006220711</t>
  </si>
  <si>
    <t>1I02201</t>
  </si>
  <si>
    <t>0000359702</t>
  </si>
  <si>
    <t>1I02202</t>
  </si>
  <si>
    <t>0000359703</t>
  </si>
  <si>
    <t>1I02203</t>
  </si>
  <si>
    <t>0000359704</t>
  </si>
  <si>
    <t>1I02204</t>
  </si>
  <si>
    <t>0000378245</t>
  </si>
  <si>
    <t>1I02205</t>
  </si>
  <si>
    <t>0000376637</t>
  </si>
  <si>
    <t>1I02301</t>
  </si>
  <si>
    <t>0000365646</t>
  </si>
  <si>
    <t>1I02302</t>
  </si>
  <si>
    <t>0000373184</t>
  </si>
  <si>
    <t>1I02303</t>
  </si>
  <si>
    <t>0000373185</t>
  </si>
  <si>
    <t>1I02304</t>
  </si>
  <si>
    <t>0000376638</t>
  </si>
  <si>
    <t>1I02305</t>
  </si>
  <si>
    <t>0000376639</t>
  </si>
  <si>
    <t>1I02401</t>
  </si>
  <si>
    <t>0000378246</t>
  </si>
  <si>
    <t>1I02402</t>
  </si>
  <si>
    <t>0000376640</t>
  </si>
  <si>
    <t>1I02403</t>
  </si>
  <si>
    <t>0000378247</t>
  </si>
  <si>
    <t>1I02404</t>
  </si>
  <si>
    <t>0000378248</t>
  </si>
  <si>
    <t>1I02405</t>
  </si>
  <si>
    <t>0000377459</t>
  </si>
  <si>
    <t>1I02501</t>
  </si>
  <si>
    <t>0000378249</t>
  </si>
  <si>
    <t>1I02502</t>
  </si>
  <si>
    <t>0000378250</t>
  </si>
  <si>
    <t>1I02503</t>
  </si>
  <si>
    <t>0000377460</t>
  </si>
  <si>
    <t>1I02504</t>
  </si>
  <si>
    <t>0000377461</t>
  </si>
  <si>
    <t>1I02505</t>
  </si>
  <si>
    <t>0000378251</t>
  </si>
  <si>
    <t>1I02601</t>
  </si>
  <si>
    <t>0000343062</t>
  </si>
  <si>
    <t>1I02602</t>
  </si>
  <si>
    <t>0000378252</t>
  </si>
  <si>
    <t>1I02603</t>
  </si>
  <si>
    <t>0000378253</t>
  </si>
  <si>
    <t>LT00051537</t>
  </si>
  <si>
    <t>1I02604</t>
  </si>
  <si>
    <t>0000378453</t>
  </si>
  <si>
    <t>2024-06-21</t>
  </si>
  <si>
    <t>0006229599</t>
  </si>
  <si>
    <t>1I02605</t>
  </si>
  <si>
    <t>0000378454</t>
  </si>
  <si>
    <t>1I02701</t>
  </si>
  <si>
    <t>0000378455</t>
  </si>
  <si>
    <t>1I02702</t>
  </si>
  <si>
    <t>0000378456</t>
  </si>
  <si>
    <t>1I02703</t>
  </si>
  <si>
    <t>0000378457</t>
  </si>
  <si>
    <t>1I02704</t>
  </si>
  <si>
    <t>0000359705</t>
  </si>
  <si>
    <t>1I02705</t>
  </si>
  <si>
    <t>0000359706</t>
  </si>
  <si>
    <t>1I02802</t>
  </si>
  <si>
    <t>0000359707</t>
  </si>
  <si>
    <t>1I02803</t>
  </si>
  <si>
    <t>0000359708</t>
  </si>
  <si>
    <t>LT00052134</t>
  </si>
  <si>
    <t>1I02804</t>
  </si>
  <si>
    <t>0000380158</t>
  </si>
  <si>
    <t>YE4243S2</t>
  </si>
  <si>
    <t>1I02805</t>
  </si>
  <si>
    <t>0000380159</t>
  </si>
  <si>
    <t>1I02902</t>
  </si>
  <si>
    <t>0000380160</t>
  </si>
  <si>
    <t>1I02903</t>
  </si>
  <si>
    <t>0000359709</t>
  </si>
  <si>
    <t>1I02904</t>
  </si>
  <si>
    <t>1I02905</t>
  </si>
  <si>
    <t>1I03002</t>
  </si>
  <si>
    <t>0000359710</t>
  </si>
  <si>
    <t>1I03003</t>
  </si>
  <si>
    <t>0000380161</t>
  </si>
  <si>
    <t>1I03004</t>
  </si>
  <si>
    <t>1I03005</t>
  </si>
  <si>
    <t>0000380162</t>
  </si>
  <si>
    <t>1I03101</t>
  </si>
  <si>
    <t>0000343063</t>
  </si>
  <si>
    <t>1I03102</t>
  </si>
  <si>
    <t>0000359711</t>
  </si>
  <si>
    <t>LT00043949</t>
  </si>
  <si>
    <t>1I03103</t>
  </si>
  <si>
    <t>0000350004</t>
  </si>
  <si>
    <t>2023-12-07</t>
  </si>
  <si>
    <t>2030-12-07</t>
  </si>
  <si>
    <t>0006212015</t>
  </si>
  <si>
    <t>1I03104</t>
  </si>
  <si>
    <t>0000380163</t>
  </si>
  <si>
    <t>1I03105</t>
  </si>
  <si>
    <t>0000380164</t>
  </si>
  <si>
    <t>1I03201</t>
  </si>
  <si>
    <t>0000380165</t>
  </si>
  <si>
    <t>1I03202</t>
  </si>
  <si>
    <t>0000380166</t>
  </si>
  <si>
    <t>1I03203</t>
  </si>
  <si>
    <t>0000359712</t>
  </si>
  <si>
    <t>LT00050017</t>
  </si>
  <si>
    <t>1I03204</t>
  </si>
  <si>
    <t>0000372156</t>
  </si>
  <si>
    <t>YE4175S2</t>
  </si>
  <si>
    <t>LT00050028</t>
  </si>
  <si>
    <t>1I03205</t>
  </si>
  <si>
    <t>0000372219</t>
  </si>
  <si>
    <t>0006226625</t>
  </si>
  <si>
    <t>1I03301</t>
  </si>
  <si>
    <t>0000343064</t>
  </si>
  <si>
    <t>LT00042504</t>
  </si>
  <si>
    <t>1I03302</t>
  </si>
  <si>
    <t>0000343065</t>
  </si>
  <si>
    <t>0006207115</t>
  </si>
  <si>
    <t>1I03303</t>
  </si>
  <si>
    <t>0000343066</t>
  </si>
  <si>
    <t>1I03304</t>
  </si>
  <si>
    <t>0000376641</t>
  </si>
  <si>
    <t>1I03401</t>
  </si>
  <si>
    <t>0000376642</t>
  </si>
  <si>
    <t>1I03402</t>
  </si>
  <si>
    <t>0000377462</t>
  </si>
  <si>
    <t>1I03403</t>
  </si>
  <si>
    <t>0000377463</t>
  </si>
  <si>
    <t>1I03501</t>
  </si>
  <si>
    <t>0000377464</t>
  </si>
  <si>
    <t>1I03502</t>
  </si>
  <si>
    <t>0000372220</t>
  </si>
  <si>
    <t>1I03503</t>
  </si>
  <si>
    <t>0000372221</t>
  </si>
  <si>
    <t>1I03601</t>
  </si>
  <si>
    <t>0000377465</t>
  </si>
  <si>
    <t>1I03602</t>
  </si>
  <si>
    <t>0000372222</t>
  </si>
  <si>
    <t>1I03603</t>
  </si>
  <si>
    <t>0000372223</t>
  </si>
  <si>
    <t>1I03604</t>
  </si>
  <si>
    <t>0000373186</t>
  </si>
  <si>
    <t>1I03701</t>
  </si>
  <si>
    <t>0000377466</t>
  </si>
  <si>
    <t>1I03702</t>
  </si>
  <si>
    <t>0000365647</t>
  </si>
  <si>
    <t>1I03703</t>
  </si>
  <si>
    <t>0000373187</t>
  </si>
  <si>
    <t>1I03704</t>
  </si>
  <si>
    <t>0000373188</t>
  </si>
  <si>
    <t>1I03801</t>
  </si>
  <si>
    <t>0000377467</t>
  </si>
  <si>
    <t>1I03803</t>
  </si>
  <si>
    <t>0000377468</t>
  </si>
  <si>
    <t>1I03804</t>
  </si>
  <si>
    <t>0000377469</t>
  </si>
  <si>
    <t>1I03805</t>
  </si>
  <si>
    <t>0000373189</t>
  </si>
  <si>
    <t>1I03901</t>
  </si>
  <si>
    <t>0000343067</t>
  </si>
  <si>
    <t>1I03902</t>
  </si>
  <si>
    <t>0000377470</t>
  </si>
  <si>
    <t>1I03903</t>
  </si>
  <si>
    <t>0000373190</t>
  </si>
  <si>
    <t>1I03904</t>
  </si>
  <si>
    <t>0000377471</t>
  </si>
  <si>
    <t>1I03905</t>
  </si>
  <si>
    <t>0000377472</t>
  </si>
  <si>
    <t>1I04002</t>
  </si>
  <si>
    <t>0000376643</t>
  </si>
  <si>
    <t>1I04003</t>
  </si>
  <si>
    <t>0000377473</t>
  </si>
  <si>
    <t>1I04004</t>
  </si>
  <si>
    <t>0000377474</t>
  </si>
  <si>
    <t>1I04005</t>
  </si>
  <si>
    <t>0000377475</t>
  </si>
  <si>
    <t>LT00041855</t>
  </si>
  <si>
    <t>1I04101</t>
  </si>
  <si>
    <t>3801F</t>
  </si>
  <si>
    <t>1I04103</t>
  </si>
  <si>
    <t>0000377476</t>
  </si>
  <si>
    <t>1I04105</t>
  </si>
  <si>
    <t>0000377477</t>
  </si>
  <si>
    <t>1I04201</t>
  </si>
  <si>
    <t>0000365648</t>
  </si>
  <si>
    <t>1I04202</t>
  </si>
  <si>
    <t>0000377478</t>
  </si>
  <si>
    <t>LT00049484</t>
  </si>
  <si>
    <t>1I04203</t>
  </si>
  <si>
    <t>0000368865</t>
  </si>
  <si>
    <t>YE4164S2</t>
  </si>
  <si>
    <t>LT00050152</t>
  </si>
  <si>
    <t>1I04204</t>
  </si>
  <si>
    <t>0000373191</t>
  </si>
  <si>
    <t>YE4177S2</t>
  </si>
  <si>
    <t>1I04205</t>
  </si>
  <si>
    <t>0000378458</t>
  </si>
  <si>
    <t>1I04301</t>
  </si>
  <si>
    <t>0000365649</t>
  </si>
  <si>
    <t>LT00051538</t>
  </si>
  <si>
    <t>1I04302</t>
  </si>
  <si>
    <t>0000378459</t>
  </si>
  <si>
    <t>1I04303</t>
  </si>
  <si>
    <t>0000373192</t>
  </si>
  <si>
    <t>1I04304</t>
  </si>
  <si>
    <t>0000378460</t>
  </si>
  <si>
    <t>1I04305</t>
  </si>
  <si>
    <t>0000372224</t>
  </si>
  <si>
    <t>1I04401</t>
  </si>
  <si>
    <t>0000372225</t>
  </si>
  <si>
    <t>1I04402</t>
  </si>
  <si>
    <t>0000365650</t>
  </si>
  <si>
    <t>1I04403</t>
  </si>
  <si>
    <t>0000376644</t>
  </si>
  <si>
    <t>1I04404</t>
  </si>
  <si>
    <t>0000376645</t>
  </si>
  <si>
    <t>1I04405</t>
  </si>
  <si>
    <t>0000377479</t>
  </si>
  <si>
    <t>1I04501</t>
  </si>
  <si>
    <t>0000376646</t>
  </si>
  <si>
    <t>1I04502</t>
  </si>
  <si>
    <t>0000373657</t>
  </si>
  <si>
    <t>1I04503</t>
  </si>
  <si>
    <t>0000373658</t>
  </si>
  <si>
    <t>1I04504</t>
  </si>
  <si>
    <t>0000373659</t>
  </si>
  <si>
    <t>1I04505</t>
  </si>
  <si>
    <t>0000373660</t>
  </si>
  <si>
    <t>1I04601</t>
  </si>
  <si>
    <t>0000376647</t>
  </si>
  <si>
    <t>1I04602</t>
  </si>
  <si>
    <t>0000373661</t>
  </si>
  <si>
    <t>1I04603</t>
  </si>
  <si>
    <t>0000373662</t>
  </si>
  <si>
    <t>1I04604</t>
  </si>
  <si>
    <t>0000373663</t>
  </si>
  <si>
    <t>1I04702</t>
  </si>
  <si>
    <t>0000373664</t>
  </si>
  <si>
    <t>1I04802</t>
  </si>
  <si>
    <t>0000373193</t>
  </si>
  <si>
    <t>1I04901</t>
  </si>
  <si>
    <t>0000376648</t>
  </si>
  <si>
    <t>1I04902</t>
  </si>
  <si>
    <t>0000365651</t>
  </si>
  <si>
    <t>1I04903</t>
  </si>
  <si>
    <t>0000365652</t>
  </si>
  <si>
    <t>1I04904</t>
  </si>
  <si>
    <t>0000365653</t>
  </si>
  <si>
    <t>1I04905</t>
  </si>
  <si>
    <t>0000377480</t>
  </si>
  <si>
    <t>1I05001</t>
  </si>
  <si>
    <t>0000377481</t>
  </si>
  <si>
    <t>1I05002</t>
  </si>
  <si>
    <t>0000377482</t>
  </si>
  <si>
    <t>1I05003</t>
  </si>
  <si>
    <t>0000365654</t>
  </si>
  <si>
    <t>1I05004</t>
  </si>
  <si>
    <t>0000365655</t>
  </si>
  <si>
    <t>1I05005</t>
  </si>
  <si>
    <t>0000377483</t>
  </si>
  <si>
    <t>1I05101</t>
  </si>
  <si>
    <t>0000378461</t>
  </si>
  <si>
    <t>1I05102</t>
  </si>
  <si>
    <t>0000372226</t>
  </si>
  <si>
    <t>1I05103</t>
  </si>
  <si>
    <t>0000373194</t>
  </si>
  <si>
    <t>1I05104</t>
  </si>
  <si>
    <t>0000373195</t>
  </si>
  <si>
    <t>1I05105</t>
  </si>
  <si>
    <t>0000377484</t>
  </si>
  <si>
    <t>1I05201</t>
  </si>
  <si>
    <t>0000377485</t>
  </si>
  <si>
    <t>1I05202</t>
  </si>
  <si>
    <t>0000377486</t>
  </si>
  <si>
    <t>1I05204</t>
  </si>
  <si>
    <t>0000377487</t>
  </si>
  <si>
    <t>1I05205</t>
  </si>
  <si>
    <t>0000377488</t>
  </si>
  <si>
    <t>1I05301</t>
  </si>
  <si>
    <t>0000376649</t>
  </si>
  <si>
    <t>1I05302</t>
  </si>
  <si>
    <t>0000376650</t>
  </si>
  <si>
    <t>1I05303</t>
  </si>
  <si>
    <t>0000376651</t>
  </si>
  <si>
    <t>1I05304</t>
  </si>
  <si>
    <t>0000376652</t>
  </si>
  <si>
    <t>LT00051324</t>
  </si>
  <si>
    <t>1I05305</t>
  </si>
  <si>
    <t>0000377489</t>
  </si>
  <si>
    <t>YE4233S2</t>
  </si>
  <si>
    <t>1I05401</t>
  </si>
  <si>
    <t>0000377490</t>
  </si>
  <si>
    <t>1I05402</t>
  </si>
  <si>
    <t>0000377491</t>
  </si>
  <si>
    <t>1I05403</t>
  </si>
  <si>
    <t>0000362806</t>
  </si>
  <si>
    <t>1I05404</t>
  </si>
  <si>
    <t>0000377492</t>
  </si>
  <si>
    <t>1I05405</t>
  </si>
  <si>
    <t>0000377493</t>
  </si>
  <si>
    <t>1I05501</t>
  </si>
  <si>
    <t>0000377494</t>
  </si>
  <si>
    <t>1I05502</t>
  </si>
  <si>
    <t>0000362807</t>
  </si>
  <si>
    <t>1I05503</t>
  </si>
  <si>
    <t>0000362808</t>
  </si>
  <si>
    <t>1I05504</t>
  </si>
  <si>
    <t>0000377495</t>
  </si>
  <si>
    <t>1I05505</t>
  </si>
  <si>
    <t>0000376653</t>
  </si>
  <si>
    <t>1I05601</t>
  </si>
  <si>
    <t>0000362809</t>
  </si>
  <si>
    <t>1I05602</t>
  </si>
  <si>
    <t>0000362810</t>
  </si>
  <si>
    <t>1I05603</t>
  </si>
  <si>
    <t>0000362811</t>
  </si>
  <si>
    <t>1I05604</t>
  </si>
  <si>
    <t>0000362812</t>
  </si>
  <si>
    <t>1I05605</t>
  </si>
  <si>
    <t>0000362813</t>
  </si>
  <si>
    <t>1I05701</t>
  </si>
  <si>
    <t>0000362814</t>
  </si>
  <si>
    <t>1I05702</t>
  </si>
  <si>
    <t>0000362815</t>
  </si>
  <si>
    <t>1I05703</t>
  </si>
  <si>
    <t>0000362816</t>
  </si>
  <si>
    <t>1I05704</t>
  </si>
  <si>
    <t>0000362817</t>
  </si>
  <si>
    <t>1I05705</t>
  </si>
  <si>
    <t>0000362818</t>
  </si>
  <si>
    <t>1I05801</t>
  </si>
  <si>
    <t>0000377496</t>
  </si>
  <si>
    <t>1I05802</t>
  </si>
  <si>
    <t>0000378462</t>
  </si>
  <si>
    <t>1I05803</t>
  </si>
  <si>
    <t>0000378463</t>
  </si>
  <si>
    <t>1I05804</t>
  </si>
  <si>
    <t>0000378464</t>
  </si>
  <si>
    <t>1I05805</t>
  </si>
  <si>
    <t>0000377497</t>
  </si>
  <si>
    <t>1I05901</t>
  </si>
  <si>
    <t>0000376654</t>
  </si>
  <si>
    <t>1I05902</t>
  </si>
  <si>
    <t>0000376655</t>
  </si>
  <si>
    <t>1I05903</t>
  </si>
  <si>
    <t>0000376656</t>
  </si>
  <si>
    <t>1I05904</t>
  </si>
  <si>
    <t>0000377498</t>
  </si>
  <si>
    <t>1I05905</t>
  </si>
  <si>
    <t>0000377499</t>
  </si>
  <si>
    <t>LT00051240</t>
  </si>
  <si>
    <t>1I06001</t>
  </si>
  <si>
    <t>0000374939</t>
  </si>
  <si>
    <t>0006226623</t>
  </si>
  <si>
    <t>1010UR</t>
  </si>
  <si>
    <t>1I06002</t>
  </si>
  <si>
    <t>0000376657</t>
  </si>
  <si>
    <t>1I06003</t>
  </si>
  <si>
    <t>0000376658</t>
  </si>
  <si>
    <t>1I06004</t>
  </si>
  <si>
    <t>0000376659</t>
  </si>
  <si>
    <t>1I06005</t>
  </si>
  <si>
    <t>0000376660</t>
  </si>
  <si>
    <t>1I06101</t>
  </si>
  <si>
    <t>0000376661</t>
  </si>
  <si>
    <t>1I06102</t>
  </si>
  <si>
    <t>0000376662</t>
  </si>
  <si>
    <t>1I06103</t>
  </si>
  <si>
    <t>0000365656</t>
  </si>
  <si>
    <t>1I06104</t>
  </si>
  <si>
    <t>0000365657</t>
  </si>
  <si>
    <t>1I06105</t>
  </si>
  <si>
    <t>0000372227</t>
  </si>
  <si>
    <t>1I06201</t>
  </si>
  <si>
    <t>0000376663</t>
  </si>
  <si>
    <t>1I06202</t>
  </si>
  <si>
    <t>0000374940</t>
  </si>
  <si>
    <t>LT00051634</t>
  </si>
  <si>
    <t>1I06203</t>
  </si>
  <si>
    <t>0000378685</t>
  </si>
  <si>
    <t>2031-06-24</t>
  </si>
  <si>
    <t>LT00051635</t>
  </si>
  <si>
    <t>1I06204</t>
  </si>
  <si>
    <t>0000378686</t>
  </si>
  <si>
    <t>0006229606</t>
  </si>
  <si>
    <t>1I06205</t>
  </si>
  <si>
    <t>0000378687</t>
  </si>
  <si>
    <t>LT00050632</t>
  </si>
  <si>
    <t>1I06301</t>
  </si>
  <si>
    <t>0000374950</t>
  </si>
  <si>
    <t>1I06302</t>
  </si>
  <si>
    <t>0000376664</t>
  </si>
  <si>
    <t>1I06303</t>
  </si>
  <si>
    <t>0000365658</t>
  </si>
  <si>
    <t>1I06304</t>
  </si>
  <si>
    <t>0000365659</t>
  </si>
  <si>
    <t>LT00051130</t>
  </si>
  <si>
    <t>1I06305</t>
  </si>
  <si>
    <t>0000376754</t>
  </si>
  <si>
    <t>1I06401</t>
  </si>
  <si>
    <t>0000365660</t>
  </si>
  <si>
    <t>LT00048780</t>
  </si>
  <si>
    <t>1I06402</t>
  </si>
  <si>
    <t>0000365661</t>
  </si>
  <si>
    <t>0006222588</t>
  </si>
  <si>
    <t>1I06403</t>
  </si>
  <si>
    <t>0000374951</t>
  </si>
  <si>
    <t>1I06404</t>
  </si>
  <si>
    <t>0000375143</t>
  </si>
  <si>
    <t>1I06405</t>
  </si>
  <si>
    <t>0000374954</t>
  </si>
  <si>
    <t>1I06501</t>
  </si>
  <si>
    <t>0000372228</t>
  </si>
  <si>
    <t>1I06502</t>
  </si>
  <si>
    <t>0000375144</t>
  </si>
  <si>
    <t>1I06503</t>
  </si>
  <si>
    <t>0000375145</t>
  </si>
  <si>
    <t>1I06504</t>
  </si>
  <si>
    <t>0000375146</t>
  </si>
  <si>
    <t>1I06505</t>
  </si>
  <si>
    <t>0000375147</t>
  </si>
  <si>
    <t>1I06601</t>
  </si>
  <si>
    <t>0000375148</t>
  </si>
  <si>
    <t>1I06602</t>
  </si>
  <si>
    <t>0000365662</t>
  </si>
  <si>
    <t>1I06603</t>
  </si>
  <si>
    <t>0000365663</t>
  </si>
  <si>
    <t>1I06604</t>
  </si>
  <si>
    <t>0000365664</t>
  </si>
  <si>
    <t>1I06605</t>
  </si>
  <si>
    <t>0000365665</t>
  </si>
  <si>
    <t>1I06701</t>
  </si>
  <si>
    <t>0000365666</t>
  </si>
  <si>
    <t>1I06702</t>
  </si>
  <si>
    <t>0000365667</t>
  </si>
  <si>
    <t>1I06703</t>
  </si>
  <si>
    <t>0000375149</t>
  </si>
  <si>
    <t>1I06705</t>
  </si>
  <si>
    <t>0000365668</t>
  </si>
  <si>
    <t>1I06801</t>
  </si>
  <si>
    <t>0000365669</t>
  </si>
  <si>
    <t>1I06802</t>
  </si>
  <si>
    <t>0000365670</t>
  </si>
  <si>
    <t>1I06803</t>
  </si>
  <si>
    <t>0000372229</t>
  </si>
  <si>
    <t>1I06804</t>
  </si>
  <si>
    <t>0000365671</t>
  </si>
  <si>
    <t>1I06805</t>
  </si>
  <si>
    <t>0000375150</t>
  </si>
  <si>
    <t>1I06901</t>
  </si>
  <si>
    <t>0000375151</t>
  </si>
  <si>
    <t>1I06902</t>
  </si>
  <si>
    <t>0000372230</t>
  </si>
  <si>
    <t>1I06903</t>
  </si>
  <si>
    <t>0000375152</t>
  </si>
  <si>
    <t>1I06904</t>
  </si>
  <si>
    <t>0000378465</t>
  </si>
  <si>
    <t>1I06905</t>
  </si>
  <si>
    <t>0000365672</t>
  </si>
  <si>
    <t>1I07001</t>
  </si>
  <si>
    <t>0000372231</t>
  </si>
  <si>
    <t>1I07002</t>
  </si>
  <si>
    <t>0000372232</t>
  </si>
  <si>
    <t>1I07003</t>
  </si>
  <si>
    <t>0000372233</t>
  </si>
  <si>
    <t>1I07004</t>
  </si>
  <si>
    <t>0000372234</t>
  </si>
  <si>
    <t>1I07005</t>
  </si>
  <si>
    <t>0000372235</t>
  </si>
  <si>
    <t>1I07101</t>
  </si>
  <si>
    <t>0000375153</t>
  </si>
  <si>
    <t>1I07102</t>
  </si>
  <si>
    <t>0000375154</t>
  </si>
  <si>
    <t>1I07103</t>
  </si>
  <si>
    <t>0000372236</t>
  </si>
  <si>
    <t>1I07104</t>
  </si>
  <si>
    <t>0000372237</t>
  </si>
  <si>
    <t>1I07105</t>
  </si>
  <si>
    <t>0000372238</t>
  </si>
  <si>
    <t>1I07201</t>
  </si>
  <si>
    <t>0000372239</t>
  </si>
  <si>
    <t>LT00047274</t>
  </si>
  <si>
    <t>1I07202</t>
  </si>
  <si>
    <t>0000360309</t>
  </si>
  <si>
    <t>2024-03-04</t>
  </si>
  <si>
    <t>2031-03-04</t>
  </si>
  <si>
    <t>2024-03-05</t>
  </si>
  <si>
    <t>0006215468</t>
  </si>
  <si>
    <t>1I07203</t>
  </si>
  <si>
    <t>0000372240</t>
  </si>
  <si>
    <t>LT00050029</t>
  </si>
  <si>
    <t>1I07205</t>
  </si>
  <si>
    <t>0000372241</t>
  </si>
  <si>
    <t>0006226622</t>
  </si>
  <si>
    <t>1I07301</t>
  </si>
  <si>
    <t>0000372242</t>
  </si>
  <si>
    <t>1I07302</t>
  </si>
  <si>
    <t>0000372243</t>
  </si>
  <si>
    <t>1I07303</t>
  </si>
  <si>
    <t>0000373196</t>
  </si>
  <si>
    <t>1I07304</t>
  </si>
  <si>
    <t>0000373197</t>
  </si>
  <si>
    <t>1I07305</t>
  </si>
  <si>
    <t>0000373198</t>
  </si>
  <si>
    <t>1I07401</t>
  </si>
  <si>
    <t>0000372244</t>
  </si>
  <si>
    <t>1I07402</t>
  </si>
  <si>
    <t>0000373199</t>
  </si>
  <si>
    <t>1I07403</t>
  </si>
  <si>
    <t>0000373200</t>
  </si>
  <si>
    <t>1I07404</t>
  </si>
  <si>
    <t>0000373201</t>
  </si>
  <si>
    <t>1I07405</t>
  </si>
  <si>
    <t>0000373202</t>
  </si>
  <si>
    <t>1I07501</t>
  </si>
  <si>
    <t>0000380167</t>
  </si>
  <si>
    <t>1I07502</t>
  </si>
  <si>
    <t>0000373203</t>
  </si>
  <si>
    <t>LT00051131</t>
  </si>
  <si>
    <t>1I07503</t>
  </si>
  <si>
    <t>0000376755</t>
  </si>
  <si>
    <t>0006230192</t>
  </si>
  <si>
    <t>1I07504</t>
  </si>
  <si>
    <t>0000376756</t>
  </si>
  <si>
    <t>LT00050060</t>
  </si>
  <si>
    <t>1I07505</t>
  </si>
  <si>
    <t>0000372245</t>
  </si>
  <si>
    <t>1I07601</t>
  </si>
  <si>
    <t>0000372246</t>
  </si>
  <si>
    <t>1I07602</t>
  </si>
  <si>
    <t>0000360310</t>
  </si>
  <si>
    <t>1I07603</t>
  </si>
  <si>
    <t>0000372247</t>
  </si>
  <si>
    <t>1I07604</t>
  </si>
  <si>
    <t>0000372248</t>
  </si>
  <si>
    <t>1I07605</t>
  </si>
  <si>
    <t>0000372249</t>
  </si>
  <si>
    <t>1I07701</t>
  </si>
  <si>
    <t>0000372250</t>
  </si>
  <si>
    <t>1I07702</t>
  </si>
  <si>
    <t>0000372251</t>
  </si>
  <si>
    <t>1I07703</t>
  </si>
  <si>
    <t>0000372252</t>
  </si>
  <si>
    <t>1I07704</t>
  </si>
  <si>
    <t>0000372253</t>
  </si>
  <si>
    <t>1I07705</t>
  </si>
  <si>
    <t>0000372254</t>
  </si>
  <si>
    <t>1I07801</t>
  </si>
  <si>
    <t>0000378466</t>
  </si>
  <si>
    <t>1I07802</t>
  </si>
  <si>
    <t>0000372255</t>
  </si>
  <si>
    <t>1I07803</t>
  </si>
  <si>
    <t>0000372256</t>
  </si>
  <si>
    <t>1I07804</t>
  </si>
  <si>
    <t>0000378467</t>
  </si>
  <si>
    <t>1I07805</t>
  </si>
  <si>
    <t>0000372257</t>
  </si>
  <si>
    <t>1J00101</t>
  </si>
  <si>
    <t>0000372258</t>
  </si>
  <si>
    <t>1J00102</t>
  </si>
  <si>
    <t>0000378468</t>
  </si>
  <si>
    <t>1J00103</t>
  </si>
  <si>
    <t>0000360311</t>
  </si>
  <si>
    <t>1J00104</t>
  </si>
  <si>
    <t>0000372259</t>
  </si>
  <si>
    <t>1J00105</t>
  </si>
  <si>
    <t>0000360312</t>
  </si>
  <si>
    <t>1J00201</t>
  </si>
  <si>
    <t>0000372260</t>
  </si>
  <si>
    <t>1J00202</t>
  </si>
  <si>
    <t>0000378469</t>
  </si>
  <si>
    <t>1J00203</t>
  </si>
  <si>
    <t>0000360313</t>
  </si>
  <si>
    <t>1J00204</t>
  </si>
  <si>
    <t>0000372261</t>
  </si>
  <si>
    <t>1J00205</t>
  </si>
  <si>
    <t>0000373204</t>
  </si>
  <si>
    <t>1J00301</t>
  </si>
  <si>
    <t>0000372262</t>
  </si>
  <si>
    <t>1J00302</t>
  </si>
  <si>
    <t>0000360314</t>
  </si>
  <si>
    <t>1J00303</t>
  </si>
  <si>
    <t>0000373205</t>
  </si>
  <si>
    <t>1J00304</t>
  </si>
  <si>
    <t>0000360315</t>
  </si>
  <si>
    <t>1J00305</t>
  </si>
  <si>
    <t>0000372263</t>
  </si>
  <si>
    <t>1J00401</t>
  </si>
  <si>
    <t>0000378470</t>
  </si>
  <si>
    <t>1J00402</t>
  </si>
  <si>
    <t>0000372264</t>
  </si>
  <si>
    <t>1J00403</t>
  </si>
  <si>
    <t>0000378471</t>
  </si>
  <si>
    <t>1J00404</t>
  </si>
  <si>
    <t>0000378472</t>
  </si>
  <si>
    <t>1J00405</t>
  </si>
  <si>
    <t>0000359713</t>
  </si>
  <si>
    <t>1J00501</t>
  </si>
  <si>
    <t>0000372265</t>
  </si>
  <si>
    <t>1J00502</t>
  </si>
  <si>
    <t>0000378473</t>
  </si>
  <si>
    <t>1J00503</t>
  </si>
  <si>
    <t>0000373206</t>
  </si>
  <si>
    <t>1J00505</t>
  </si>
  <si>
    <t>0000372266</t>
  </si>
  <si>
    <t>1J00601</t>
  </si>
  <si>
    <t>1J00602</t>
  </si>
  <si>
    <t>0000378474</t>
  </si>
  <si>
    <t>1J00603</t>
  </si>
  <si>
    <t>0000373207</t>
  </si>
  <si>
    <t>1J00604</t>
  </si>
  <si>
    <t>0000376757</t>
  </si>
  <si>
    <t>1J00605</t>
  </si>
  <si>
    <t>0000372267</t>
  </si>
  <si>
    <t>1J00701</t>
  </si>
  <si>
    <t>0000372268</t>
  </si>
  <si>
    <t>1J00702</t>
  </si>
  <si>
    <t>0000378688</t>
  </si>
  <si>
    <t>1J00703</t>
  </si>
  <si>
    <t>0000373208</t>
  </si>
  <si>
    <t>1J00704</t>
  </si>
  <si>
    <t>0000373209</t>
  </si>
  <si>
    <t>1J00705</t>
  </si>
  <si>
    <t>0000373210</t>
  </si>
  <si>
    <t>LT00037503</t>
  </si>
  <si>
    <t>1J00801</t>
  </si>
  <si>
    <t>2022-11-04</t>
  </si>
  <si>
    <t>2029-11-04</t>
  </si>
  <si>
    <t>YE2373A3</t>
  </si>
  <si>
    <t>1J00802</t>
  </si>
  <si>
    <t>0000377500</t>
  </si>
  <si>
    <t>1J00803</t>
  </si>
  <si>
    <t>0000373211</t>
  </si>
  <si>
    <t>LT00050256</t>
  </si>
  <si>
    <t>1J00804</t>
  </si>
  <si>
    <t>0000373241</t>
  </si>
  <si>
    <t>1J00805</t>
  </si>
  <si>
    <t>0000373242</t>
  </si>
  <si>
    <t>1J00901</t>
  </si>
  <si>
    <t>0000372269</t>
  </si>
  <si>
    <t>1J00902</t>
  </si>
  <si>
    <t>0000360316</t>
  </si>
  <si>
    <t>1J00903</t>
  </si>
  <si>
    <t>0000373243</t>
  </si>
  <si>
    <t>1J00904</t>
  </si>
  <si>
    <t>0000373244</t>
  </si>
  <si>
    <t>1J00905</t>
  </si>
  <si>
    <t>0000360317</t>
  </si>
  <si>
    <t>1J01001</t>
  </si>
  <si>
    <t>0000359714</t>
  </si>
  <si>
    <t>1J01002</t>
  </si>
  <si>
    <t>0000372270</t>
  </si>
  <si>
    <t>1J01003</t>
  </si>
  <si>
    <t>0000372271</t>
  </si>
  <si>
    <t>1J01004</t>
  </si>
  <si>
    <t>0000372272</t>
  </si>
  <si>
    <t>1J01005</t>
  </si>
  <si>
    <t>0000372273</t>
  </si>
  <si>
    <t>1J01101</t>
  </si>
  <si>
    <t>0000372274</t>
  </si>
  <si>
    <t>1J01102</t>
  </si>
  <si>
    <t>0000372275</t>
  </si>
  <si>
    <t>1J01103</t>
  </si>
  <si>
    <t>0000373245</t>
  </si>
  <si>
    <t>1J01104</t>
  </si>
  <si>
    <t>0000373246</t>
  </si>
  <si>
    <t>1J01105</t>
  </si>
  <si>
    <t>0000373247</t>
  </si>
  <si>
    <t>LT00051909</t>
  </si>
  <si>
    <t>1J01201</t>
  </si>
  <si>
    <t>0000379521</t>
  </si>
  <si>
    <t>0006229641</t>
  </si>
  <si>
    <t>1J01202</t>
  </si>
  <si>
    <t>0000379522</t>
  </si>
  <si>
    <t>1J01203</t>
  </si>
  <si>
    <t>0000379523</t>
  </si>
  <si>
    <t>1J01204</t>
  </si>
  <si>
    <t>0000373248</t>
  </si>
  <si>
    <t>LT00050258</t>
  </si>
  <si>
    <t>1J01205</t>
  </si>
  <si>
    <t>0000373253</t>
  </si>
  <si>
    <t>1J01301</t>
  </si>
  <si>
    <t>0000378689</t>
  </si>
  <si>
    <t>1J01302</t>
  </si>
  <si>
    <t>0000379524</t>
  </si>
  <si>
    <t>1J01303</t>
  </si>
  <si>
    <t>0000373258</t>
  </si>
  <si>
    <t>1J01304</t>
  </si>
  <si>
    <t>0000373665</t>
  </si>
  <si>
    <t>1J01305</t>
  </si>
  <si>
    <t>0000373666</t>
  </si>
  <si>
    <t>1037003</t>
  </si>
  <si>
    <t>On Tap Refill Cartridge 2019 CU CE</t>
  </si>
  <si>
    <t>LT00043970</t>
  </si>
  <si>
    <t>1J01401</t>
  </si>
  <si>
    <t>2023-12-08</t>
  </si>
  <si>
    <t>2030-12-08</t>
  </si>
  <si>
    <t>1J01402</t>
  </si>
  <si>
    <t>0000376758</t>
  </si>
  <si>
    <t>1J01403</t>
  </si>
  <si>
    <t>0000376759</t>
  </si>
  <si>
    <t>1J01404</t>
  </si>
  <si>
    <t>0000379525</t>
  </si>
  <si>
    <t>1J01405</t>
  </si>
  <si>
    <t>0000373667</t>
  </si>
  <si>
    <t>LT00047275</t>
  </si>
  <si>
    <t>1J01501</t>
  </si>
  <si>
    <t>0000360318</t>
  </si>
  <si>
    <t>0006216657</t>
  </si>
  <si>
    <t>1J01502</t>
  </si>
  <si>
    <t>0000379526</t>
  </si>
  <si>
    <t>1J01503</t>
  </si>
  <si>
    <t>0000375155</t>
  </si>
  <si>
    <t>LT00047276</t>
  </si>
  <si>
    <t>1J01505</t>
  </si>
  <si>
    <t>0000360319</t>
  </si>
  <si>
    <t>0006217792</t>
  </si>
  <si>
    <t>1J01601</t>
  </si>
  <si>
    <t>0000376760</t>
  </si>
  <si>
    <t>1J01602</t>
  </si>
  <si>
    <t>0000379527</t>
  </si>
  <si>
    <t>LT00050718</t>
  </si>
  <si>
    <t>1J01603</t>
  </si>
  <si>
    <t>0000375156</t>
  </si>
  <si>
    <t>0006226629</t>
  </si>
  <si>
    <t>1J01605</t>
  </si>
  <si>
    <t>0000375157</t>
  </si>
  <si>
    <t>1J01701</t>
  </si>
  <si>
    <t>0000359715</t>
  </si>
  <si>
    <t>1J01702</t>
  </si>
  <si>
    <t>0000376761</t>
  </si>
  <si>
    <t>1J01703</t>
  </si>
  <si>
    <t>0000376762</t>
  </si>
  <si>
    <t>1J01704</t>
  </si>
  <si>
    <t>0000376763</t>
  </si>
  <si>
    <t>1J01705</t>
  </si>
  <si>
    <t>0000377501</t>
  </si>
  <si>
    <t>1J01801</t>
  </si>
  <si>
    <t>0000377502</t>
  </si>
  <si>
    <t>1J01802</t>
  </si>
  <si>
    <t>0000375158</t>
  </si>
  <si>
    <t>1J01803</t>
  </si>
  <si>
    <t>0000379528</t>
  </si>
  <si>
    <t>1J01804</t>
  </si>
  <si>
    <t>0000379529</t>
  </si>
  <si>
    <t>LT00047277</t>
  </si>
  <si>
    <t>1J01805</t>
  </si>
  <si>
    <t>0000360320</t>
  </si>
  <si>
    <t>1J01901</t>
  </si>
  <si>
    <t>0000373668</t>
  </si>
  <si>
    <t>1J01902</t>
  </si>
  <si>
    <t>0000372276</t>
  </si>
  <si>
    <t>1J01903</t>
  </si>
  <si>
    <t>0000380168</t>
  </si>
  <si>
    <t>1J01904</t>
  </si>
  <si>
    <t>0000372277</t>
  </si>
  <si>
    <t>1J01905</t>
  </si>
  <si>
    <t>0000380169</t>
  </si>
  <si>
    <t>1J02001</t>
  </si>
  <si>
    <t>0000378475</t>
  </si>
  <si>
    <t>1J02002</t>
  </si>
  <si>
    <t>0000372278</t>
  </si>
  <si>
    <t>1J02003</t>
  </si>
  <si>
    <t>0000372279</t>
  </si>
  <si>
    <t>1J02004</t>
  </si>
  <si>
    <t>0000373669</t>
  </si>
  <si>
    <t>LT00050306</t>
  </si>
  <si>
    <t>1J02005</t>
  </si>
  <si>
    <t>0000373670</t>
  </si>
  <si>
    <t>LT00039278</t>
  </si>
  <si>
    <t>1J02101</t>
  </si>
  <si>
    <t>0000327241</t>
  </si>
  <si>
    <t>2023-07-04</t>
  </si>
  <si>
    <t>2030-07-04</t>
  </si>
  <si>
    <t>0006195243</t>
  </si>
  <si>
    <t>1J02102</t>
  </si>
  <si>
    <t>0000376764</t>
  </si>
  <si>
    <t>1J02103</t>
  </si>
  <si>
    <t>0000373671</t>
  </si>
  <si>
    <t>1J02104</t>
  </si>
  <si>
    <t>0000380170</t>
  </si>
  <si>
    <t>1J02105</t>
  </si>
  <si>
    <t>0000376765</t>
  </si>
  <si>
    <t>1J02201</t>
  </si>
  <si>
    <t>0000380171</t>
  </si>
  <si>
    <t>1J02202</t>
  </si>
  <si>
    <t>0000380172</t>
  </si>
  <si>
    <t>1J02203</t>
  </si>
  <si>
    <t>0000380173</t>
  </si>
  <si>
    <t>1J02204</t>
  </si>
  <si>
    <t>0000375165</t>
  </si>
  <si>
    <t>1J02205</t>
  </si>
  <si>
    <t>0000375166</t>
  </si>
  <si>
    <t>1J02301</t>
  </si>
  <si>
    <t>0000373672</t>
  </si>
  <si>
    <t>1J02302</t>
  </si>
  <si>
    <t>0000375167</t>
  </si>
  <si>
    <t>1J02303</t>
  </si>
  <si>
    <t>0000368866</t>
  </si>
  <si>
    <t>1J02304</t>
  </si>
  <si>
    <t>0000380174</t>
  </si>
  <si>
    <t>1J02305</t>
  </si>
  <si>
    <t>0000380175</t>
  </si>
  <si>
    <t>1J02401</t>
  </si>
  <si>
    <t>0000368867</t>
  </si>
  <si>
    <t>1J02402</t>
  </si>
  <si>
    <t>0000375168</t>
  </si>
  <si>
    <t>1J02403</t>
  </si>
  <si>
    <t>0000380176</t>
  </si>
  <si>
    <t>1J02404</t>
  </si>
  <si>
    <t>0000380177</t>
  </si>
  <si>
    <t>1J02405</t>
  </si>
  <si>
    <t>0000368868</t>
  </si>
  <si>
    <t>LT00038818</t>
  </si>
  <si>
    <t>1J02501</t>
  </si>
  <si>
    <t>0006082647</t>
  </si>
  <si>
    <t>1J02502</t>
  </si>
  <si>
    <t>0000368869</t>
  </si>
  <si>
    <t>1J02503</t>
  </si>
  <si>
    <t>0000368870</t>
  </si>
  <si>
    <t>1J02504</t>
  </si>
  <si>
    <t>0000368871</t>
  </si>
  <si>
    <t>1J02505</t>
  </si>
  <si>
    <t>0000368872</t>
  </si>
  <si>
    <t>1J02601</t>
  </si>
  <si>
    <t>0000368873</t>
  </si>
  <si>
    <t>1J02602</t>
  </si>
  <si>
    <t>0000376766</t>
  </si>
  <si>
    <t>LT00044272</t>
  </si>
  <si>
    <t>1J02603</t>
  </si>
  <si>
    <t>0000351052</t>
  </si>
  <si>
    <t>2023-12-20</t>
  </si>
  <si>
    <t>2030-12-20</t>
  </si>
  <si>
    <t>0006203782</t>
  </si>
  <si>
    <t>1J02604</t>
  </si>
  <si>
    <t>0000373673</t>
  </si>
  <si>
    <t>1J02605</t>
  </si>
  <si>
    <t>0000368874</t>
  </si>
  <si>
    <t>1J02701</t>
  </si>
  <si>
    <t>0000360321</t>
  </si>
  <si>
    <t>1J02702</t>
  </si>
  <si>
    <t>0000376767</t>
  </si>
  <si>
    <t>1J02703</t>
  </si>
  <si>
    <t>0000377503</t>
  </si>
  <si>
    <t>1J02704</t>
  </si>
  <si>
    <t>0000373674</t>
  </si>
  <si>
    <t>1J02705</t>
  </si>
  <si>
    <t>0000373675</t>
  </si>
  <si>
    <t>LT00044309</t>
  </si>
  <si>
    <t>1J02802</t>
  </si>
  <si>
    <t>0000351191</t>
  </si>
  <si>
    <t>0006209870</t>
  </si>
  <si>
    <t>1J02803</t>
  </si>
  <si>
    <t>0000373676</t>
  </si>
  <si>
    <t>1J02804</t>
  </si>
  <si>
    <t>0000377504</t>
  </si>
  <si>
    <t>1J02805</t>
  </si>
  <si>
    <t>0000377505</t>
  </si>
  <si>
    <t>LT00051413</t>
  </si>
  <si>
    <t>1J02902</t>
  </si>
  <si>
    <t>0000377867</t>
  </si>
  <si>
    <t>1J02903</t>
  </si>
  <si>
    <t>0000377868</t>
  </si>
  <si>
    <t>1J02904</t>
  </si>
  <si>
    <t>0000368875</t>
  </si>
  <si>
    <t>1J02905</t>
  </si>
  <si>
    <t>0000368876</t>
  </si>
  <si>
    <t>1J03002</t>
  </si>
  <si>
    <t>0000368877</t>
  </si>
  <si>
    <t>1J03003</t>
  </si>
  <si>
    <t>0000368878</t>
  </si>
  <si>
    <t>1J03004</t>
  </si>
  <si>
    <t>0000368879</t>
  </si>
  <si>
    <t>1J03005</t>
  </si>
  <si>
    <t>0000368880</t>
  </si>
  <si>
    <t>1J03101</t>
  </si>
  <si>
    <t>0000368881</t>
  </si>
  <si>
    <t>1J03102</t>
  </si>
  <si>
    <t>0000377869</t>
  </si>
  <si>
    <t>1J03103</t>
  </si>
  <si>
    <t>0000377870</t>
  </si>
  <si>
    <t>1J03104</t>
  </si>
  <si>
    <t>0000368882</t>
  </si>
  <si>
    <t>1J03105</t>
  </si>
  <si>
    <t>0000368883</t>
  </si>
  <si>
    <t>1J03201</t>
  </si>
  <si>
    <t>0000368884</t>
  </si>
  <si>
    <t>1J03202</t>
  </si>
  <si>
    <t>0000368885</t>
  </si>
  <si>
    <t>1J03203</t>
  </si>
  <si>
    <t>0000368886</t>
  </si>
  <si>
    <t>1J03204</t>
  </si>
  <si>
    <t>0000380178</t>
  </si>
  <si>
    <t>1J03205</t>
  </si>
  <si>
    <t>0000380179</t>
  </si>
  <si>
    <t>1J03301</t>
  </si>
  <si>
    <t>0000380180</t>
  </si>
  <si>
    <t>LT00052135</t>
  </si>
  <si>
    <t>1J03302</t>
  </si>
  <si>
    <t>0000380181</t>
  </si>
  <si>
    <t>YE4242S2</t>
  </si>
  <si>
    <t>LT00044310</t>
  </si>
  <si>
    <t>1J03303</t>
  </si>
  <si>
    <t>0000351192</t>
  </si>
  <si>
    <t>1J03304</t>
  </si>
  <si>
    <t>0000377871</t>
  </si>
  <si>
    <t>1J03305</t>
  </si>
  <si>
    <t>0000377872</t>
  </si>
  <si>
    <t>1J03401</t>
  </si>
  <si>
    <t>0000380182</t>
  </si>
  <si>
    <t>1J03402</t>
  </si>
  <si>
    <t>0000377873</t>
  </si>
  <si>
    <t>1J03403</t>
  </si>
  <si>
    <t>0000377874</t>
  </si>
  <si>
    <t>LT00051414</t>
  </si>
  <si>
    <t>1J03404</t>
  </si>
  <si>
    <t>0000377875</t>
  </si>
  <si>
    <t>0006233824</t>
  </si>
  <si>
    <t>1J03405</t>
  </si>
  <si>
    <t>0000377876</t>
  </si>
  <si>
    <t>1J03501</t>
  </si>
  <si>
    <t>0000377877</t>
  </si>
  <si>
    <t>1J03502</t>
  </si>
  <si>
    <t>0000377878</t>
  </si>
  <si>
    <t>1J03503</t>
  </si>
  <si>
    <t>0000377879</t>
  </si>
  <si>
    <t>1J03504</t>
  </si>
  <si>
    <t>0000377880</t>
  </si>
  <si>
    <t>1J03505</t>
  </si>
  <si>
    <t>0000380183</t>
  </si>
  <si>
    <t>1J03601</t>
  </si>
  <si>
    <t>0000380184</t>
  </si>
  <si>
    <t>1J03602</t>
  </si>
  <si>
    <t>0000377881</t>
  </si>
  <si>
    <t>1J03603</t>
  </si>
  <si>
    <t>0000377882</t>
  </si>
  <si>
    <t>1J03604</t>
  </si>
  <si>
    <t>0000380185</t>
  </si>
  <si>
    <t>1J03605</t>
  </si>
  <si>
    <t>0000380186</t>
  </si>
  <si>
    <t>1J03701</t>
  </si>
  <si>
    <t>0000380187</t>
  </si>
  <si>
    <t>1J03702</t>
  </si>
  <si>
    <t>0000380188</t>
  </si>
  <si>
    <t>1J03703</t>
  </si>
  <si>
    <t>0000380189</t>
  </si>
  <si>
    <t>1J03704</t>
  </si>
  <si>
    <t>0000380190</t>
  </si>
  <si>
    <t>1J03705</t>
  </si>
  <si>
    <t>0000380191</t>
  </si>
  <si>
    <t>1J03801</t>
  </si>
  <si>
    <t>0000380793</t>
  </si>
  <si>
    <t>1J03802</t>
  </si>
  <si>
    <t>0000380192</t>
  </si>
  <si>
    <t>1J03803</t>
  </si>
  <si>
    <t>0000380193</t>
  </si>
  <si>
    <t>1J03804</t>
  </si>
  <si>
    <t>0000380194</t>
  </si>
  <si>
    <t>1J03805</t>
  </si>
  <si>
    <t>0000351193</t>
  </si>
  <si>
    <t>1J03901</t>
  </si>
  <si>
    <t>0000380195</t>
  </si>
  <si>
    <t>1J03902</t>
  </si>
  <si>
    <t>0000351194</t>
  </si>
  <si>
    <t>1J03903</t>
  </si>
  <si>
    <t>0000380196</t>
  </si>
  <si>
    <t>1J03904</t>
  </si>
  <si>
    <t>0000380197</t>
  </si>
  <si>
    <t>1J03905</t>
  </si>
  <si>
    <t>0000380794</t>
  </si>
  <si>
    <t>1J04001</t>
  </si>
  <si>
    <t>0000380795</t>
  </si>
  <si>
    <t>1J04002</t>
  </si>
  <si>
    <t>0000380796</t>
  </si>
  <si>
    <t>1J04003</t>
  </si>
  <si>
    <t>0000380797</t>
  </si>
  <si>
    <t>1J04103</t>
  </si>
  <si>
    <t>0000380198</t>
  </si>
  <si>
    <t>1J04104</t>
  </si>
  <si>
    <t>0000380199</t>
  </si>
  <si>
    <t>1J04105</t>
  </si>
  <si>
    <t>0000380200</t>
  </si>
  <si>
    <t>1J04201</t>
  </si>
  <si>
    <t>0000380201</t>
  </si>
  <si>
    <t>1J04202</t>
  </si>
  <si>
    <t>0000380202</t>
  </si>
  <si>
    <t>1J04203</t>
  </si>
  <si>
    <t>0000380203</t>
  </si>
  <si>
    <t>1J04204</t>
  </si>
  <si>
    <t>0000380204</t>
  </si>
  <si>
    <t>1J04205</t>
  </si>
  <si>
    <t>0000380205</t>
  </si>
  <si>
    <t>1J04301</t>
  </si>
  <si>
    <t>0000380206</t>
  </si>
  <si>
    <t>1042161</t>
  </si>
  <si>
    <t>Style XL lime + LM inch 3 MX plus PHY CU CN</t>
  </si>
  <si>
    <t>LT00034896</t>
  </si>
  <si>
    <t>1J04302</t>
  </si>
  <si>
    <t>0000217417</t>
  </si>
  <si>
    <t>2028-06-21</t>
  </si>
  <si>
    <t>4500331113</t>
  </si>
  <si>
    <t>1J04304</t>
  </si>
  <si>
    <t>0000380207</t>
  </si>
  <si>
    <t>1J04305</t>
  </si>
  <si>
    <t>0000380208</t>
  </si>
  <si>
    <t>1J04401</t>
  </si>
  <si>
    <t>0000380209</t>
  </si>
  <si>
    <t>1J04402</t>
  </si>
  <si>
    <t>0000380210</t>
  </si>
  <si>
    <t>LT00052206</t>
  </si>
  <si>
    <t>1J04403</t>
  </si>
  <si>
    <t>0000380360</t>
  </si>
  <si>
    <t>1J04404</t>
  </si>
  <si>
    <t>0000380798</t>
  </si>
  <si>
    <t>1J04405</t>
  </si>
  <si>
    <t>0000380799</t>
  </si>
  <si>
    <t>1J04501</t>
  </si>
  <si>
    <t>0000380800</t>
  </si>
  <si>
    <t>1J04502</t>
  </si>
  <si>
    <t>0000380801</t>
  </si>
  <si>
    <t>1J04503</t>
  </si>
  <si>
    <t>0000380802</t>
  </si>
  <si>
    <t>1J04504</t>
  </si>
  <si>
    <t>0000380803</t>
  </si>
  <si>
    <t>LT00052263</t>
  </si>
  <si>
    <t>1J04505</t>
  </si>
  <si>
    <t>0000380804</t>
  </si>
  <si>
    <t>1J04601</t>
  </si>
  <si>
    <t>0000380805</t>
  </si>
  <si>
    <t>1J04602</t>
  </si>
  <si>
    <t>0000380806</t>
  </si>
  <si>
    <t>1J04603</t>
  </si>
  <si>
    <t>0000380807</t>
  </si>
  <si>
    <t>1J04604</t>
  </si>
  <si>
    <t>0000380808</t>
  </si>
  <si>
    <t>1J04605</t>
  </si>
  <si>
    <t>0000380809</t>
  </si>
  <si>
    <t>1J04701</t>
  </si>
  <si>
    <t>0000380810</t>
  </si>
  <si>
    <t>1J04702</t>
  </si>
  <si>
    <t>0000380811</t>
  </si>
  <si>
    <t>1J04703</t>
  </si>
  <si>
    <t>0000368887</t>
  </si>
  <si>
    <t>LT00052267</t>
  </si>
  <si>
    <t>1J04704</t>
  </si>
  <si>
    <t>0000380817</t>
  </si>
  <si>
    <t>0006229608</t>
  </si>
  <si>
    <t>1J04801</t>
  </si>
  <si>
    <t>0000380818</t>
  </si>
  <si>
    <t>1029340</t>
  </si>
  <si>
    <t>Aluna XL ME4W MXplus Yam blue CU CN</t>
  </si>
  <si>
    <t>LT00038715</t>
  </si>
  <si>
    <t>1J04802</t>
  </si>
  <si>
    <t>2023-01-13</t>
  </si>
  <si>
    <t>2030-01-13</t>
  </si>
  <si>
    <t>0009999999</t>
  </si>
  <si>
    <t>1J04804</t>
  </si>
  <si>
    <t>0000380819</t>
  </si>
  <si>
    <t>1J05002</t>
  </si>
  <si>
    <t>0000368888</t>
  </si>
  <si>
    <t>1J05005</t>
  </si>
  <si>
    <t>0000378476</t>
  </si>
  <si>
    <t>LT00051450</t>
  </si>
  <si>
    <t>1J05205</t>
  </si>
  <si>
    <t>0000378063</t>
  </si>
  <si>
    <t>2031-06-19</t>
  </si>
  <si>
    <t>1J05301</t>
  </si>
  <si>
    <t>0000378064</t>
  </si>
  <si>
    <t>1J05302</t>
  </si>
  <si>
    <t>0000378065</t>
  </si>
  <si>
    <t>1J05303</t>
  </si>
  <si>
    <t>0000378066</t>
  </si>
  <si>
    <t>1J05304</t>
  </si>
  <si>
    <t>0000378067</t>
  </si>
  <si>
    <t>1J05305</t>
  </si>
  <si>
    <t>0000378068</t>
  </si>
  <si>
    <t>1J05401</t>
  </si>
  <si>
    <t>1J05402</t>
  </si>
  <si>
    <t>0000378069</t>
  </si>
  <si>
    <t>1J05403</t>
  </si>
  <si>
    <t>0000378070</t>
  </si>
  <si>
    <t>1J05404</t>
  </si>
  <si>
    <t>0000378071</t>
  </si>
  <si>
    <t>1J05405</t>
  </si>
  <si>
    <t>0000378072</t>
  </si>
  <si>
    <t>1J05501</t>
  </si>
  <si>
    <t>0000378073</t>
  </si>
  <si>
    <t>1J05502</t>
  </si>
  <si>
    <t>0000378074</t>
  </si>
  <si>
    <t>1J05503</t>
  </si>
  <si>
    <t>0000378075</t>
  </si>
  <si>
    <t>1J05504</t>
  </si>
  <si>
    <t>0000378076</t>
  </si>
  <si>
    <t>1J05601</t>
  </si>
  <si>
    <t>0000378077</t>
  </si>
  <si>
    <t>1J05602</t>
  </si>
  <si>
    <t>0000378078</t>
  </si>
  <si>
    <t>LT00042294</t>
  </si>
  <si>
    <t>1J05603</t>
  </si>
  <si>
    <t>0000341662</t>
  </si>
  <si>
    <t>2023-10-07</t>
  </si>
  <si>
    <t>2030-10-07</t>
  </si>
  <si>
    <t>0006205568</t>
  </si>
  <si>
    <t>1J05604</t>
  </si>
  <si>
    <t>0000341663</t>
  </si>
  <si>
    <t>1J05605</t>
  </si>
  <si>
    <t>0000378079</t>
  </si>
  <si>
    <t>1J05701</t>
  </si>
  <si>
    <t>0000341664</t>
  </si>
  <si>
    <t>1J05702</t>
  </si>
  <si>
    <t>0000378080</t>
  </si>
  <si>
    <t>1J05703</t>
  </si>
  <si>
    <t>0000341665</t>
  </si>
  <si>
    <t>1J05704</t>
  </si>
  <si>
    <t>0000341666</t>
  </si>
  <si>
    <t>LT00042295</t>
  </si>
  <si>
    <t>1J05705</t>
  </si>
  <si>
    <t>0000341667</t>
  </si>
  <si>
    <t>0006205736</t>
  </si>
  <si>
    <t>1J05801</t>
  </si>
  <si>
    <t>0000378171</t>
  </si>
  <si>
    <t>1J05802</t>
  </si>
  <si>
    <t>0000378172</t>
  </si>
  <si>
    <t>1J05803</t>
  </si>
  <si>
    <t>0000378173</t>
  </si>
  <si>
    <t>1J05804</t>
  </si>
  <si>
    <t>0000378174</t>
  </si>
  <si>
    <t>1J05805</t>
  </si>
  <si>
    <t>0000378175</t>
  </si>
  <si>
    <t>1J05901</t>
  </si>
  <si>
    <t>0000378176</t>
  </si>
  <si>
    <t>1J05902</t>
  </si>
  <si>
    <t>0000378177</t>
  </si>
  <si>
    <t>1J05903</t>
  </si>
  <si>
    <t>0000378178</t>
  </si>
  <si>
    <t>1J05904</t>
  </si>
  <si>
    <t>0000378179</t>
  </si>
  <si>
    <t>1J05905</t>
  </si>
  <si>
    <t>0000378180</t>
  </si>
  <si>
    <t>1J06001</t>
  </si>
  <si>
    <t>0000378181</t>
  </si>
  <si>
    <t>1J06002</t>
  </si>
  <si>
    <t>0000378182</t>
  </si>
  <si>
    <t>1J06003</t>
  </si>
  <si>
    <t>0000378183</t>
  </si>
  <si>
    <t>1J06004</t>
  </si>
  <si>
    <t>0000378184</t>
  </si>
  <si>
    <t>1J06005</t>
  </si>
  <si>
    <t>0000378185</t>
  </si>
  <si>
    <t>1J06102</t>
  </si>
  <si>
    <t>0000378186</t>
  </si>
  <si>
    <t>1J06103</t>
  </si>
  <si>
    <t>0000378187</t>
  </si>
  <si>
    <t>1J06104</t>
  </si>
  <si>
    <t>0000378188</t>
  </si>
  <si>
    <t>1J06105</t>
  </si>
  <si>
    <t>0000378189</t>
  </si>
  <si>
    <t>1J06201</t>
  </si>
  <si>
    <t>0000378190</t>
  </si>
  <si>
    <t>1J06202</t>
  </si>
  <si>
    <t>0000378191</t>
  </si>
  <si>
    <t>1J06203</t>
  </si>
  <si>
    <t>0000378192</t>
  </si>
  <si>
    <t>1J06204</t>
  </si>
  <si>
    <t>0000378193</t>
  </si>
  <si>
    <t>1J06205</t>
  </si>
  <si>
    <t>0000378194</t>
  </si>
  <si>
    <t>1J06301</t>
  </si>
  <si>
    <t>0000378195</t>
  </si>
  <si>
    <t>1J06302</t>
  </si>
  <si>
    <t>0000378196</t>
  </si>
  <si>
    <t>1J06303</t>
  </si>
  <si>
    <t>0000378197</t>
  </si>
  <si>
    <t>1J06304</t>
  </si>
  <si>
    <t>0000378198</t>
  </si>
  <si>
    <t>1J06305</t>
  </si>
  <si>
    <t>0000378477</t>
  </si>
  <si>
    <t>1J06401</t>
  </si>
  <si>
    <t>0000378478</t>
  </si>
  <si>
    <t>1J06403</t>
  </si>
  <si>
    <t>0000378479</t>
  </si>
  <si>
    <t>1J06404</t>
  </si>
  <si>
    <t>0000378480</t>
  </si>
  <si>
    <t>LT00051539</t>
  </si>
  <si>
    <t>1J06405</t>
  </si>
  <si>
    <t>0000378481</t>
  </si>
  <si>
    <t>2031-06-21</t>
  </si>
  <si>
    <t>1J06501</t>
  </si>
  <si>
    <t>0000378482</t>
  </si>
  <si>
    <t>1J06502</t>
  </si>
  <si>
    <t>0000378483</t>
  </si>
  <si>
    <t>1J06503</t>
  </si>
  <si>
    <t>0000378484</t>
  </si>
  <si>
    <t>1J06504</t>
  </si>
  <si>
    <t>0000378485</t>
  </si>
  <si>
    <t>1J06505</t>
  </si>
  <si>
    <t>0000378486</t>
  </si>
  <si>
    <t>1J06601</t>
  </si>
  <si>
    <t>0000378487</t>
  </si>
  <si>
    <t>1J06602</t>
  </si>
  <si>
    <t>0000378488</t>
  </si>
  <si>
    <t>1J06603</t>
  </si>
  <si>
    <t>0000378489</t>
  </si>
  <si>
    <t>1J06604</t>
  </si>
  <si>
    <t>0000378490</t>
  </si>
  <si>
    <t>1J06605</t>
  </si>
  <si>
    <t>0000378491</t>
  </si>
  <si>
    <t>1J06701</t>
  </si>
  <si>
    <t>0000378492</t>
  </si>
  <si>
    <t>1J06702</t>
  </si>
  <si>
    <t>0000256792</t>
  </si>
  <si>
    <t>1J06703</t>
  </si>
  <si>
    <t>0000378493</t>
  </si>
  <si>
    <t>1J06704</t>
  </si>
  <si>
    <t>0000378494</t>
  </si>
  <si>
    <t>1J06705</t>
  </si>
  <si>
    <t>0000378495</t>
  </si>
  <si>
    <t>1J06801</t>
  </si>
  <si>
    <t>0000378496</t>
  </si>
  <si>
    <t>1J06802</t>
  </si>
  <si>
    <t>0000256791</t>
  </si>
  <si>
    <t>1J06803</t>
  </si>
  <si>
    <t>0000378497</t>
  </si>
  <si>
    <t>1J06804</t>
  </si>
  <si>
    <t>0000378498</t>
  </si>
  <si>
    <t>1J06805</t>
  </si>
  <si>
    <t>0000378499</t>
  </si>
  <si>
    <t>LT00051540</t>
  </si>
  <si>
    <t>1J06901</t>
  </si>
  <si>
    <t>0000378500</t>
  </si>
  <si>
    <t>1J06902</t>
  </si>
  <si>
    <t>0000256790</t>
  </si>
  <si>
    <t>1J06903</t>
  </si>
  <si>
    <t>0000378501</t>
  </si>
  <si>
    <t>1J06904</t>
  </si>
  <si>
    <t>0000378502</t>
  </si>
  <si>
    <t>1J06905</t>
  </si>
  <si>
    <t>0000378503</t>
  </si>
  <si>
    <t>LT00051541</t>
  </si>
  <si>
    <t>1J07001</t>
  </si>
  <si>
    <t>0000378504</t>
  </si>
  <si>
    <t>0006229602</t>
  </si>
  <si>
    <t>1J07002</t>
  </si>
  <si>
    <t>0000378505</t>
  </si>
  <si>
    <t>1J07003</t>
  </si>
  <si>
    <t>0000378506</t>
  </si>
  <si>
    <t>1J07004</t>
  </si>
  <si>
    <t>0000378507</t>
  </si>
  <si>
    <t>1J07005</t>
  </si>
  <si>
    <t>0000378508</t>
  </si>
  <si>
    <t>LT00051615</t>
  </si>
  <si>
    <t>1J07101</t>
  </si>
  <si>
    <t>0000378590</t>
  </si>
  <si>
    <t>1J07102</t>
  </si>
  <si>
    <t>0000378591</t>
  </si>
  <si>
    <t>1J07103</t>
  </si>
  <si>
    <t>0000378592</t>
  </si>
  <si>
    <t>1J07104</t>
  </si>
  <si>
    <t>0000378593</t>
  </si>
  <si>
    <t>1J07105</t>
  </si>
  <si>
    <t>0000378594</t>
  </si>
  <si>
    <t>1J07201</t>
  </si>
  <si>
    <t>1J07202</t>
  </si>
  <si>
    <t>0000378595</t>
  </si>
  <si>
    <t>1J07203</t>
  </si>
  <si>
    <t>0000378596</t>
  </si>
  <si>
    <t>1J07204</t>
  </si>
  <si>
    <t>0000378597</t>
  </si>
  <si>
    <t>1J07205</t>
  </si>
  <si>
    <t>0000378598</t>
  </si>
  <si>
    <t>1J07302</t>
  </si>
  <si>
    <t>0000378599</t>
  </si>
  <si>
    <t>LT00051616</t>
  </si>
  <si>
    <t>1J07303</t>
  </si>
  <si>
    <t>0000378600</t>
  </si>
  <si>
    <t>1J07304</t>
  </si>
  <si>
    <t>0000378601</t>
  </si>
  <si>
    <t>1J07305</t>
  </si>
  <si>
    <t>0000378602</t>
  </si>
  <si>
    <t>LT00041858</t>
  </si>
  <si>
    <t>1J07401</t>
  </si>
  <si>
    <t>3808F</t>
  </si>
  <si>
    <t>1J07402</t>
  </si>
  <si>
    <t>0000378603</t>
  </si>
  <si>
    <t>1J07403</t>
  </si>
  <si>
    <t>0000378604</t>
  </si>
  <si>
    <t>1J07404</t>
  </si>
  <si>
    <t>0000378605</t>
  </si>
  <si>
    <t>1J07405</t>
  </si>
  <si>
    <t>0000378606</t>
  </si>
  <si>
    <t>1J07501</t>
  </si>
  <si>
    <t>0000378607</t>
  </si>
  <si>
    <t>1J07502</t>
  </si>
  <si>
    <t>0000378608</t>
  </si>
  <si>
    <t>1J07503</t>
  </si>
  <si>
    <t>0000378609</t>
  </si>
  <si>
    <t>1J07504</t>
  </si>
  <si>
    <t>0000378610</t>
  </si>
  <si>
    <t>1J07505</t>
  </si>
  <si>
    <t>0000378611</t>
  </si>
  <si>
    <t>1J07601</t>
  </si>
  <si>
    <t>0000378612</t>
  </si>
  <si>
    <t>1J07602</t>
  </si>
  <si>
    <t>0000378613</t>
  </si>
  <si>
    <t>1J07603</t>
  </si>
  <si>
    <t>0000378614</t>
  </si>
  <si>
    <t>1J07604</t>
  </si>
  <si>
    <t>0000378615</t>
  </si>
  <si>
    <t>1J07605</t>
  </si>
  <si>
    <t>0000378616</t>
  </si>
  <si>
    <t>1037598</t>
  </si>
  <si>
    <t>Style XL LED4W MXplus BCM grey CU CN</t>
  </si>
  <si>
    <t>LT00038823</t>
  </si>
  <si>
    <t>1J07701</t>
  </si>
  <si>
    <t>2023-01-14</t>
  </si>
  <si>
    <t>YE1114S1</t>
  </si>
  <si>
    <t>1J07702</t>
  </si>
  <si>
    <t>0000368889</t>
  </si>
  <si>
    <t>1J07703</t>
  </si>
  <si>
    <t>0000378617</t>
  </si>
  <si>
    <t>LT00051619</t>
  </si>
  <si>
    <t>1J07704</t>
  </si>
  <si>
    <t>0000378664</t>
  </si>
  <si>
    <t>1J07705</t>
  </si>
  <si>
    <t>0000378665</t>
  </si>
  <si>
    <t>1J07801</t>
  </si>
  <si>
    <t>0000378666</t>
  </si>
  <si>
    <t>LT00051622</t>
  </si>
  <si>
    <t>1J07802</t>
  </si>
  <si>
    <t>0000378670</t>
  </si>
  <si>
    <t>1J07803</t>
  </si>
  <si>
    <t>0000378690</t>
  </si>
  <si>
    <t>1J07804</t>
  </si>
  <si>
    <t>0000378691</t>
  </si>
  <si>
    <t>1J07805</t>
  </si>
  <si>
    <t>0000378692</t>
  </si>
  <si>
    <t>1K00101</t>
  </si>
  <si>
    <t>1K00102</t>
  </si>
  <si>
    <t>0000378693</t>
  </si>
  <si>
    <t>1K00103</t>
  </si>
  <si>
    <t>0000378694</t>
  </si>
  <si>
    <t>1K00104</t>
  </si>
  <si>
    <t>0000378695</t>
  </si>
  <si>
    <t>1K00105</t>
  </si>
  <si>
    <t>0000378696</t>
  </si>
  <si>
    <t>LT00041199</t>
  </si>
  <si>
    <t>1K00201</t>
  </si>
  <si>
    <t>1Y01F</t>
  </si>
  <si>
    <t>LT00041200</t>
  </si>
  <si>
    <t>1K00202</t>
  </si>
  <si>
    <t>0000378697</t>
  </si>
  <si>
    <t>1K00203</t>
  </si>
  <si>
    <t>0000378698</t>
  </si>
  <si>
    <t>1K00204</t>
  </si>
  <si>
    <t>0000378699</t>
  </si>
  <si>
    <t>LT00042763</t>
  </si>
  <si>
    <t>1K00305</t>
  </si>
  <si>
    <t>0000256713</t>
  </si>
  <si>
    <t>KI2033</t>
  </si>
  <si>
    <t>1K00403</t>
  </si>
  <si>
    <t>0000378700</t>
  </si>
  <si>
    <t>LT00049836</t>
  </si>
  <si>
    <t>1K00404</t>
  </si>
  <si>
    <t>0000371056</t>
  </si>
  <si>
    <t>0006222602</t>
  </si>
  <si>
    <t>1K00405</t>
  </si>
  <si>
    <t>0000256687</t>
  </si>
  <si>
    <t>LT00051361</t>
  </si>
  <si>
    <t>1K00501</t>
  </si>
  <si>
    <t>4509A</t>
  </si>
  <si>
    <t>1K00502</t>
  </si>
  <si>
    <t>0000256686</t>
  </si>
  <si>
    <t>1K00503</t>
  </si>
  <si>
    <t>0000378701</t>
  </si>
  <si>
    <t>1K00504</t>
  </si>
  <si>
    <t>0000378702</t>
  </si>
  <si>
    <t>1K00505</t>
  </si>
  <si>
    <t>0000378703</t>
  </si>
  <si>
    <t>LT00037815</t>
  </si>
  <si>
    <t>1K00601</t>
  </si>
  <si>
    <t>2023-05-18</t>
  </si>
  <si>
    <t>2030-05-18</t>
  </si>
  <si>
    <t>3403F</t>
  </si>
  <si>
    <t>1K00602</t>
  </si>
  <si>
    <t>0000378704</t>
  </si>
  <si>
    <t>1K00603</t>
  </si>
  <si>
    <t>0000378705</t>
  </si>
  <si>
    <t>1K00604</t>
  </si>
  <si>
    <t>0000378706</t>
  </si>
  <si>
    <t>1K00605</t>
  </si>
  <si>
    <t>0000378707</t>
  </si>
  <si>
    <t>1052405</t>
  </si>
  <si>
    <t>Pack 1 ON TAP V-MF Refill CU CN</t>
  </si>
  <si>
    <t>LT00050777</t>
  </si>
  <si>
    <t>1K00701</t>
  </si>
  <si>
    <t>2024-05-31</t>
  </si>
  <si>
    <t>2031-05-31</t>
  </si>
  <si>
    <t>K4502</t>
  </si>
  <si>
    <t>1K00702</t>
  </si>
  <si>
    <t>0000378708</t>
  </si>
  <si>
    <t>1K00703</t>
  </si>
  <si>
    <t>0000378709</t>
  </si>
  <si>
    <t>LT00051636</t>
  </si>
  <si>
    <t>1K00704</t>
  </si>
  <si>
    <t>0000378710</t>
  </si>
  <si>
    <t>1K00705</t>
  </si>
  <si>
    <t>0000378711</t>
  </si>
  <si>
    <t>1K00801</t>
  </si>
  <si>
    <t>0000378712</t>
  </si>
  <si>
    <t>1K00802</t>
  </si>
  <si>
    <t>0000256685</t>
  </si>
  <si>
    <t>1K00803</t>
  </si>
  <si>
    <t>0000378749</t>
  </si>
  <si>
    <t>1K00804</t>
  </si>
  <si>
    <t>0000378750</t>
  </si>
  <si>
    <t>1K00805</t>
  </si>
  <si>
    <t>0000378751</t>
  </si>
  <si>
    <t>LT00050775</t>
  </si>
  <si>
    <t>1K00901</t>
  </si>
  <si>
    <t>K4507</t>
  </si>
  <si>
    <t>1K00902</t>
  </si>
  <si>
    <t>0000378752</t>
  </si>
  <si>
    <t>1K00903</t>
  </si>
  <si>
    <t>0000378753</t>
  </si>
  <si>
    <t>1K00904</t>
  </si>
  <si>
    <t>0000378754</t>
  </si>
  <si>
    <t>1K00905</t>
  </si>
  <si>
    <t>0000378755</t>
  </si>
  <si>
    <t>1K01001</t>
  </si>
  <si>
    <t>1K01002</t>
  </si>
  <si>
    <t>0000368890</t>
  </si>
  <si>
    <t>1K01003</t>
  </si>
  <si>
    <t>0000378756</t>
  </si>
  <si>
    <t>1K01004</t>
  </si>
  <si>
    <t>0000378757</t>
  </si>
  <si>
    <t>1K01005</t>
  </si>
  <si>
    <t>0000378758</t>
  </si>
  <si>
    <t>LT00046650</t>
  </si>
  <si>
    <t>1K01101</t>
  </si>
  <si>
    <t>2024-02-04</t>
  </si>
  <si>
    <t>2031-02-04</t>
  </si>
  <si>
    <t>1K01102</t>
  </si>
  <si>
    <t>0000378759</t>
  </si>
  <si>
    <t>1K01103</t>
  </si>
  <si>
    <t>0000378760</t>
  </si>
  <si>
    <t>1K01104</t>
  </si>
  <si>
    <t>0000378761</t>
  </si>
  <si>
    <t>1K01105</t>
  </si>
  <si>
    <t>0000378762</t>
  </si>
  <si>
    <t>1K01202</t>
  </si>
  <si>
    <t>0000378763</t>
  </si>
  <si>
    <t>1K01203</t>
  </si>
  <si>
    <t>0000378764</t>
  </si>
  <si>
    <t>1K01204</t>
  </si>
  <si>
    <t>0000378765</t>
  </si>
  <si>
    <t>1K01205</t>
  </si>
  <si>
    <t>0000378766</t>
  </si>
  <si>
    <t>1050712</t>
  </si>
  <si>
    <t>OnTap Bundle incl1 system+1refill Phy CN</t>
  </si>
  <si>
    <t>LT00050064</t>
  </si>
  <si>
    <t>1K01301</t>
  </si>
  <si>
    <t>1K01302</t>
  </si>
  <si>
    <t>0000378767</t>
  </si>
  <si>
    <t>1K01303</t>
  </si>
  <si>
    <t>0000378768</t>
  </si>
  <si>
    <t>1K01304</t>
  </si>
  <si>
    <t>0000378769</t>
  </si>
  <si>
    <t>1K01305</t>
  </si>
  <si>
    <t>0000378770</t>
  </si>
  <si>
    <t>LT00029623</t>
  </si>
  <si>
    <t>1K01401</t>
  </si>
  <si>
    <t>0000273555</t>
  </si>
  <si>
    <t>1K01402</t>
  </si>
  <si>
    <t>0000378771</t>
  </si>
  <si>
    <t>1K01501</t>
  </si>
  <si>
    <t>LT00015530</t>
  </si>
  <si>
    <t>1K01504</t>
  </si>
  <si>
    <t>0000162278</t>
  </si>
  <si>
    <t>2020-11-06</t>
  </si>
  <si>
    <t>2027-11-06</t>
  </si>
  <si>
    <t>KI0427</t>
  </si>
  <si>
    <t>1K01601</t>
  </si>
  <si>
    <t>1K01603</t>
  </si>
  <si>
    <t>0000378772</t>
  </si>
  <si>
    <t>1K01604</t>
  </si>
  <si>
    <t>0000378773</t>
  </si>
  <si>
    <t>1K01605</t>
  </si>
  <si>
    <t>0000378774</t>
  </si>
  <si>
    <t>1K01701</t>
  </si>
  <si>
    <t>1K01702</t>
  </si>
  <si>
    <t>0000378775</t>
  </si>
  <si>
    <t>1K01703</t>
  </si>
  <si>
    <t>0000378776</t>
  </si>
  <si>
    <t>LT00051720</t>
  </si>
  <si>
    <t>1K01704</t>
  </si>
  <si>
    <t>0000378939</t>
  </si>
  <si>
    <t>2024-06-25</t>
  </si>
  <si>
    <t>1K01705</t>
  </si>
  <si>
    <t>0000378940</t>
  </si>
  <si>
    <t>1042692</t>
  </si>
  <si>
    <t>Fi&amp;B Station incl.4 MXplus brushed CU CN</t>
  </si>
  <si>
    <t>LT00051546</t>
  </si>
  <si>
    <t>1K01801</t>
  </si>
  <si>
    <t>2021-04-27</t>
  </si>
  <si>
    <t>2028-04-27</t>
  </si>
  <si>
    <t>Q061201319</t>
  </si>
  <si>
    <t>1012B</t>
  </si>
  <si>
    <t>1K01803</t>
  </si>
  <si>
    <t>0000256714</t>
  </si>
  <si>
    <t>1K01804</t>
  </si>
  <si>
    <t>0000256715</t>
  </si>
  <si>
    <t>1K01901</t>
  </si>
  <si>
    <t>LT00033525</t>
  </si>
  <si>
    <t>1K02001</t>
  </si>
  <si>
    <t>0000249346</t>
  </si>
  <si>
    <t>2021-12-18</t>
  </si>
  <si>
    <t>2028-12-18</t>
  </si>
  <si>
    <t>2021-12-20</t>
  </si>
  <si>
    <t>1K02003</t>
  </si>
  <si>
    <t>0000378941</t>
  </si>
  <si>
    <t>LT00051721</t>
  </si>
  <si>
    <t>1K02004</t>
  </si>
  <si>
    <t>0000378977</t>
  </si>
  <si>
    <t>2031-06-25</t>
  </si>
  <si>
    <t>1K02005</t>
  </si>
  <si>
    <t>0000378978</t>
  </si>
  <si>
    <t>1K02101</t>
  </si>
  <si>
    <t>1056618</t>
  </si>
  <si>
    <t>ON TAP VMF Refill P4 Bundle CU</t>
  </si>
  <si>
    <t>LT00052178</t>
  </si>
  <si>
    <t>1K02201</t>
  </si>
  <si>
    <t>20240507</t>
  </si>
  <si>
    <t>1K02301</t>
  </si>
  <si>
    <t>1K02401</t>
  </si>
  <si>
    <t>LT00049546</t>
  </si>
  <si>
    <t>1K02405</t>
  </si>
  <si>
    <t>0000369386</t>
  </si>
  <si>
    <t>2024-04-27</t>
  </si>
  <si>
    <t>2031-04-27</t>
  </si>
  <si>
    <t>KI4173</t>
  </si>
  <si>
    <t>1K02501</t>
  </si>
  <si>
    <t>0000369387</t>
  </si>
  <si>
    <t>1K02502</t>
  </si>
  <si>
    <t>0000369388</t>
  </si>
  <si>
    <t>1K02503</t>
  </si>
  <si>
    <t>0000369389</t>
  </si>
  <si>
    <t>1K02504</t>
  </si>
  <si>
    <t>0000369390</t>
  </si>
  <si>
    <t>1K02505</t>
  </si>
  <si>
    <t>0000369391</t>
  </si>
  <si>
    <t>LT00048028</t>
  </si>
  <si>
    <t>1K02601</t>
  </si>
  <si>
    <t>3Y17F</t>
  </si>
  <si>
    <t>1K02602</t>
  </si>
  <si>
    <t>0000369392</t>
  </si>
  <si>
    <t>1K02603</t>
  </si>
  <si>
    <t>0000369393</t>
  </si>
  <si>
    <t>1K02604</t>
  </si>
  <si>
    <t>0000369394</t>
  </si>
  <si>
    <t>1K02605</t>
  </si>
  <si>
    <t>0000369395</t>
  </si>
  <si>
    <t>1K02701</t>
  </si>
  <si>
    <t>0000369396</t>
  </si>
  <si>
    <t>1K02702</t>
  </si>
  <si>
    <t>0000369397</t>
  </si>
  <si>
    <t>1K02703</t>
  </si>
  <si>
    <t>0000369398</t>
  </si>
  <si>
    <t>LT00051722</t>
  </si>
  <si>
    <t>1K02704</t>
  </si>
  <si>
    <t>0000378979</t>
  </si>
  <si>
    <t>0006229607</t>
  </si>
  <si>
    <t>1K02705</t>
  </si>
  <si>
    <t>0000378980</t>
  </si>
  <si>
    <t>1K02802</t>
  </si>
  <si>
    <t>0000378981</t>
  </si>
  <si>
    <t>1K02803</t>
  </si>
  <si>
    <t>0000378982</t>
  </si>
  <si>
    <t>1K02804</t>
  </si>
  <si>
    <t>0000378983</t>
  </si>
  <si>
    <t>1K02805</t>
  </si>
  <si>
    <t>0000378984</t>
  </si>
  <si>
    <t>1K02902</t>
  </si>
  <si>
    <t>0000378985</t>
  </si>
  <si>
    <t>1K02903</t>
  </si>
  <si>
    <t>0000378986</t>
  </si>
  <si>
    <t>1K02904</t>
  </si>
  <si>
    <t>0000371057</t>
  </si>
  <si>
    <t>1K02905</t>
  </si>
  <si>
    <t>0000371058</t>
  </si>
  <si>
    <t>1K03002</t>
  </si>
  <si>
    <t>0000378987</t>
  </si>
  <si>
    <t>1K03003</t>
  </si>
  <si>
    <t>0000378988</t>
  </si>
  <si>
    <t>1K03004</t>
  </si>
  <si>
    <t>0000378989</t>
  </si>
  <si>
    <t>1K03005</t>
  </si>
  <si>
    <t>0000378990</t>
  </si>
  <si>
    <t>1K03101</t>
  </si>
  <si>
    <t>0000378991</t>
  </si>
  <si>
    <t>1K03102</t>
  </si>
  <si>
    <t>0000378992</t>
  </si>
  <si>
    <t>1K03103</t>
  </si>
  <si>
    <t>0000378993</t>
  </si>
  <si>
    <t>1K03104</t>
  </si>
  <si>
    <t>0000368891</t>
  </si>
  <si>
    <t>1K03105</t>
  </si>
  <si>
    <t>0000368892</t>
  </si>
  <si>
    <t>LT00037029</t>
  </si>
  <si>
    <t>1K03201</t>
  </si>
  <si>
    <t>2023-04-23</t>
  </si>
  <si>
    <t>2030-04-23</t>
  </si>
  <si>
    <t>1K03202</t>
  </si>
  <si>
    <t>0000378994</t>
  </si>
  <si>
    <t>1K03203</t>
  </si>
  <si>
    <t>0000378995</t>
  </si>
  <si>
    <t>1K03204</t>
  </si>
  <si>
    <t>0000378996</t>
  </si>
  <si>
    <t>1K03205</t>
  </si>
  <si>
    <t>0000369399</t>
  </si>
  <si>
    <t>1K03301</t>
  </si>
  <si>
    <t>0000378997</t>
  </si>
  <si>
    <t>LT00051723</t>
  </si>
  <si>
    <t>1K03302</t>
  </si>
  <si>
    <t>0000378998</t>
  </si>
  <si>
    <t>0006229603</t>
  </si>
  <si>
    <t>1K03304</t>
  </si>
  <si>
    <t>0000369400</t>
  </si>
  <si>
    <t>1K03305</t>
  </si>
  <si>
    <t>0000369401</t>
  </si>
  <si>
    <t>1K03401</t>
  </si>
  <si>
    <t>0000369402</t>
  </si>
  <si>
    <t>LT00049088</t>
  </si>
  <si>
    <t>1K03402</t>
  </si>
  <si>
    <t>0000367129</t>
  </si>
  <si>
    <t>2024-04-19</t>
  </si>
  <si>
    <t>2031-04-19</t>
  </si>
  <si>
    <t>0006222591</t>
  </si>
  <si>
    <t>1K03403</t>
  </si>
  <si>
    <t>0000369403</t>
  </si>
  <si>
    <t>1K03404</t>
  </si>
  <si>
    <t>0000369404</t>
  </si>
  <si>
    <t>1K03405</t>
  </si>
  <si>
    <t>0000369405</t>
  </si>
  <si>
    <t>LT00048027</t>
  </si>
  <si>
    <t>1K03501</t>
  </si>
  <si>
    <t>1K03502</t>
  </si>
  <si>
    <t>0000369406</t>
  </si>
  <si>
    <t>1K03503</t>
  </si>
  <si>
    <t>0000369407</t>
  </si>
  <si>
    <t>1K03504</t>
  </si>
  <si>
    <t>0000369408</t>
  </si>
  <si>
    <t>1K04002</t>
  </si>
  <si>
    <t>0000378999</t>
  </si>
  <si>
    <t>LT00049089</t>
  </si>
  <si>
    <t>1K04003</t>
  </si>
  <si>
    <t>0000367131</t>
  </si>
  <si>
    <t>1K04005</t>
  </si>
  <si>
    <t>0000379000</t>
  </si>
  <si>
    <t>1K04101</t>
  </si>
  <si>
    <t>1K04102</t>
  </si>
  <si>
    <t>0000379001</t>
  </si>
  <si>
    <t>1K04103</t>
  </si>
  <si>
    <t>0000379002</t>
  </si>
  <si>
    <t>1K04104</t>
  </si>
  <si>
    <t>0000379003</t>
  </si>
  <si>
    <t>1K04105</t>
  </si>
  <si>
    <t>0000379004</t>
  </si>
  <si>
    <t>1K04201</t>
  </si>
  <si>
    <t>0000379060</t>
  </si>
  <si>
    <t>1K04202</t>
  </si>
  <si>
    <t>0000379061</t>
  </si>
  <si>
    <t>1K04203</t>
  </si>
  <si>
    <t>0000379062</t>
  </si>
  <si>
    <t>1K04204</t>
  </si>
  <si>
    <t>0000379063</t>
  </si>
  <si>
    <t>1K04205</t>
  </si>
  <si>
    <t>0000379064</t>
  </si>
  <si>
    <t>LT00037817</t>
  </si>
  <si>
    <t>1K04301</t>
  </si>
  <si>
    <t>3315F</t>
  </si>
  <si>
    <t>1K04302</t>
  </si>
  <si>
    <t>0000379065</t>
  </si>
  <si>
    <t>1K04303</t>
  </si>
  <si>
    <t>0000368893</t>
  </si>
  <si>
    <t>1K04304</t>
  </si>
  <si>
    <t>0000368894</t>
  </si>
  <si>
    <t>1K04305</t>
  </si>
  <si>
    <t>0000368895</t>
  </si>
  <si>
    <t>1K04401</t>
  </si>
  <si>
    <t>0000368896</t>
  </si>
  <si>
    <t>1K04402</t>
  </si>
  <si>
    <t>0000379066</t>
  </si>
  <si>
    <t>1K04403</t>
  </si>
  <si>
    <t>0000379067</t>
  </si>
  <si>
    <t>1K04404</t>
  </si>
  <si>
    <t>0000379068</t>
  </si>
  <si>
    <t>1K04405</t>
  </si>
  <si>
    <t>0000379069</t>
  </si>
  <si>
    <t>1K04501</t>
  </si>
  <si>
    <t>1K04502</t>
  </si>
  <si>
    <t>0000379070</t>
  </si>
  <si>
    <t>1K04503</t>
  </si>
  <si>
    <t>0000379071</t>
  </si>
  <si>
    <t>1K04601</t>
  </si>
  <si>
    <t>LT00049002</t>
  </si>
  <si>
    <t>1K04701</t>
  </si>
  <si>
    <t>2031-04-16</t>
  </si>
  <si>
    <t>4301A</t>
  </si>
  <si>
    <t>1K04704</t>
  </si>
  <si>
    <t>0000379072</t>
  </si>
  <si>
    <t>1K04802</t>
  </si>
  <si>
    <t>0000379073</t>
  </si>
  <si>
    <t>1K04803</t>
  </si>
  <si>
    <t>0000379074</t>
  </si>
  <si>
    <t>1K04805</t>
  </si>
  <si>
    <t>0000379075</t>
  </si>
  <si>
    <t>1K04905</t>
  </si>
  <si>
    <t>0000379076</t>
  </si>
  <si>
    <t>1K05001</t>
  </si>
  <si>
    <t>0000379077</t>
  </si>
  <si>
    <t>1K05002</t>
  </si>
  <si>
    <t>0000379078</t>
  </si>
  <si>
    <t>1K05003</t>
  </si>
  <si>
    <t>0000379079</t>
  </si>
  <si>
    <t>1K05004</t>
  </si>
  <si>
    <t>0000379080</t>
  </si>
  <si>
    <t>LT00049001</t>
  </si>
  <si>
    <t>1K05401</t>
  </si>
  <si>
    <t>4229A</t>
  </si>
  <si>
    <t>1K05403</t>
  </si>
  <si>
    <t>0000379081</t>
  </si>
  <si>
    <t>1K05404</t>
  </si>
  <si>
    <t>0000379082</t>
  </si>
  <si>
    <t>1K05405</t>
  </si>
  <si>
    <t>0000379083</t>
  </si>
  <si>
    <t>1K05501</t>
  </si>
  <si>
    <t>0000379084</t>
  </si>
  <si>
    <t>1K05502</t>
  </si>
  <si>
    <t>0000379085</t>
  </si>
  <si>
    <t>1K05503</t>
  </si>
  <si>
    <t>0000379086</t>
  </si>
  <si>
    <t>1K05504</t>
  </si>
  <si>
    <t>0000379087</t>
  </si>
  <si>
    <t>LT00051806</t>
  </si>
  <si>
    <t>1K05505</t>
  </si>
  <si>
    <t>0000379243</t>
  </si>
  <si>
    <t>1K05601</t>
  </si>
  <si>
    <t>0000379244</t>
  </si>
  <si>
    <t>1K05602</t>
  </si>
  <si>
    <t>0000379245</t>
  </si>
  <si>
    <t>1K05603</t>
  </si>
  <si>
    <t>0000379246</t>
  </si>
  <si>
    <t>1K05604</t>
  </si>
  <si>
    <t>0000379247</t>
  </si>
  <si>
    <t>1K05605</t>
  </si>
  <si>
    <t>0000379248</t>
  </si>
  <si>
    <t>1K05701</t>
  </si>
  <si>
    <t>0000379249</t>
  </si>
  <si>
    <t>1K05702</t>
  </si>
  <si>
    <t>0000379250</t>
  </si>
  <si>
    <t>1K05703</t>
  </si>
  <si>
    <t>0000379251</t>
  </si>
  <si>
    <t>1K05704</t>
  </si>
  <si>
    <t>0000379252</t>
  </si>
  <si>
    <t>LT00051807</t>
  </si>
  <si>
    <t>1K05705</t>
  </si>
  <si>
    <t>0000379253</t>
  </si>
  <si>
    <t>1K05801</t>
  </si>
  <si>
    <t>0000379254</t>
  </si>
  <si>
    <t>1K05802</t>
  </si>
  <si>
    <t>0000256716</t>
  </si>
  <si>
    <t>1K06101</t>
  </si>
  <si>
    <t>1K06205</t>
  </si>
  <si>
    <t>0000379255</t>
  </si>
  <si>
    <t>1K06301</t>
  </si>
  <si>
    <t>1K06302</t>
  </si>
  <si>
    <t>0000256717</t>
  </si>
  <si>
    <t>1K06303</t>
  </si>
  <si>
    <t>0000379256</t>
  </si>
  <si>
    <t>1K06304</t>
  </si>
  <si>
    <t>0000379257</t>
  </si>
  <si>
    <t>1K06305</t>
  </si>
  <si>
    <t>0000379258</t>
  </si>
  <si>
    <t>1K06401</t>
  </si>
  <si>
    <t>0000379259</t>
  </si>
  <si>
    <t>1K06402</t>
  </si>
  <si>
    <t>0000379260</t>
  </si>
  <si>
    <t>1K06403</t>
  </si>
  <si>
    <t>0000379261</t>
  </si>
  <si>
    <t>1K06404</t>
  </si>
  <si>
    <t>0000379262</t>
  </si>
  <si>
    <t>1K06405</t>
  </si>
  <si>
    <t>0000379263</t>
  </si>
  <si>
    <t>1K06501</t>
  </si>
  <si>
    <t>0000379264</t>
  </si>
  <si>
    <t>1K06502</t>
  </si>
  <si>
    <t>0000379265</t>
  </si>
  <si>
    <t>1K06503</t>
  </si>
  <si>
    <t>0000379266</t>
  </si>
  <si>
    <t>1K06504</t>
  </si>
  <si>
    <t>0000256712</t>
  </si>
  <si>
    <t>1K06505</t>
  </si>
  <si>
    <t>0000379267</t>
  </si>
  <si>
    <t>1K06601</t>
  </si>
  <si>
    <t>0000379268</t>
  </si>
  <si>
    <t>1K06602</t>
  </si>
  <si>
    <t>0000379269</t>
  </si>
  <si>
    <t>1K06603</t>
  </si>
  <si>
    <t>0000379270</t>
  </si>
  <si>
    <t>1K06604</t>
  </si>
  <si>
    <t>0000379271</t>
  </si>
  <si>
    <t>1K06605</t>
  </si>
  <si>
    <t>0000379272</t>
  </si>
  <si>
    <t>1K06701</t>
  </si>
  <si>
    <t>0000379273</t>
  </si>
  <si>
    <t>1K06702</t>
  </si>
  <si>
    <t>0000256718</t>
  </si>
  <si>
    <t>1K06703</t>
  </si>
  <si>
    <t>0000256726</t>
  </si>
  <si>
    <t>1K06704</t>
  </si>
  <si>
    <t>0000379274</t>
  </si>
  <si>
    <t>LT00051808</t>
  </si>
  <si>
    <t>1K06705</t>
  </si>
  <si>
    <t>0000379275</t>
  </si>
  <si>
    <t>1K06801</t>
  </si>
  <si>
    <t>0000379276</t>
  </si>
  <si>
    <t>1K06802</t>
  </si>
  <si>
    <t>0000379277</t>
  </si>
  <si>
    <t>1K06803</t>
  </si>
  <si>
    <t>0000379278</t>
  </si>
  <si>
    <t>1K06804</t>
  </si>
  <si>
    <t>0000379279</t>
  </si>
  <si>
    <t>1K06805</t>
  </si>
  <si>
    <t>0000379280</t>
  </si>
  <si>
    <t>1K06901</t>
  </si>
  <si>
    <t>0000379281</t>
  </si>
  <si>
    <t>1K06902</t>
  </si>
  <si>
    <t>0000379282</t>
  </si>
  <si>
    <t>1K07102</t>
  </si>
  <si>
    <t>0000256719</t>
  </si>
  <si>
    <t>1K07104</t>
  </si>
  <si>
    <t>0000379283</t>
  </si>
  <si>
    <t>1K07105</t>
  </si>
  <si>
    <t>0000379284</t>
  </si>
  <si>
    <t>1K07201</t>
  </si>
  <si>
    <t>0000379285</t>
  </si>
  <si>
    <t>1K07202</t>
  </si>
  <si>
    <t>0000379286</t>
  </si>
  <si>
    <t>1K07203</t>
  </si>
  <si>
    <t>0000379287</t>
  </si>
  <si>
    <t>1K07204</t>
  </si>
  <si>
    <t>0000379288</t>
  </si>
  <si>
    <t>1K07205</t>
  </si>
  <si>
    <t>0000379289</t>
  </si>
  <si>
    <t>1K07301</t>
  </si>
  <si>
    <t>0000379290</t>
  </si>
  <si>
    <t>1K07302</t>
  </si>
  <si>
    <t>0000379291</t>
  </si>
  <si>
    <t>1K07303</t>
  </si>
  <si>
    <t>0000379292</t>
  </si>
  <si>
    <t>1K07304</t>
  </si>
  <si>
    <t>0000379293</t>
  </si>
  <si>
    <t>1K07305</t>
  </si>
  <si>
    <t>0000379294</t>
  </si>
  <si>
    <t>1K07401</t>
  </si>
  <si>
    <t>0000379295</t>
  </si>
  <si>
    <t>1K07402</t>
  </si>
  <si>
    <t>0000379296</t>
  </si>
  <si>
    <t>1K07403</t>
  </si>
  <si>
    <t>0000379297</t>
  </si>
  <si>
    <t>LT00038535</t>
  </si>
  <si>
    <t>1K07501</t>
  </si>
  <si>
    <t>YE1157A2</t>
  </si>
  <si>
    <t>1K07502</t>
  </si>
  <si>
    <t>0000256720</t>
  </si>
  <si>
    <t>1K07504</t>
  </si>
  <si>
    <t>0000379298</t>
  </si>
  <si>
    <t>1K07505</t>
  </si>
  <si>
    <t>0000379361</t>
  </si>
  <si>
    <t>1K07601</t>
  </si>
  <si>
    <t>0000379362</t>
  </si>
  <si>
    <t>1K07602</t>
  </si>
  <si>
    <t>0000379363</t>
  </si>
  <si>
    <t>1K07603</t>
  </si>
  <si>
    <t>0000379364</t>
  </si>
  <si>
    <t>1K07604</t>
  </si>
  <si>
    <t>0000379365</t>
  </si>
  <si>
    <t>1K07605</t>
  </si>
  <si>
    <t>0000379366</t>
  </si>
  <si>
    <t>1K07701</t>
  </si>
  <si>
    <t>0000379367</t>
  </si>
  <si>
    <t>1K07702</t>
  </si>
  <si>
    <t>0000379368</t>
  </si>
  <si>
    <t>1K07703</t>
  </si>
  <si>
    <t>0000379369</t>
  </si>
  <si>
    <t>1K07704</t>
  </si>
  <si>
    <t>0000379370</t>
  </si>
  <si>
    <t>1K07705</t>
  </si>
  <si>
    <t>0000379371</t>
  </si>
  <si>
    <t>1K07801</t>
  </si>
  <si>
    <t>0000379372</t>
  </si>
  <si>
    <t>1K07802</t>
  </si>
  <si>
    <t>0000379373</t>
  </si>
  <si>
    <t>1K07803</t>
  </si>
  <si>
    <t>0000379374</t>
  </si>
  <si>
    <t>1K07804</t>
  </si>
  <si>
    <t>0000379375</t>
  </si>
  <si>
    <t>1K07805</t>
  </si>
  <si>
    <t>0000379376</t>
  </si>
  <si>
    <t>1L00102</t>
  </si>
  <si>
    <t>0000371467</t>
  </si>
  <si>
    <t>1L00103</t>
  </si>
  <si>
    <t>0000379377</t>
  </si>
  <si>
    <t>1L00104</t>
  </si>
  <si>
    <t>0000379378</t>
  </si>
  <si>
    <t>1L00105</t>
  </si>
  <si>
    <t>0000379379</t>
  </si>
  <si>
    <t>1L00202</t>
  </si>
  <si>
    <t>0000371466</t>
  </si>
  <si>
    <t>1L00203</t>
  </si>
  <si>
    <t>0000379380</t>
  </si>
  <si>
    <t>1L00204</t>
  </si>
  <si>
    <t>0000379381</t>
  </si>
  <si>
    <t>1L00205</t>
  </si>
  <si>
    <t>0000379382</t>
  </si>
  <si>
    <t>1L00302</t>
  </si>
  <si>
    <t>0000371469</t>
  </si>
  <si>
    <t>1L00303</t>
  </si>
  <si>
    <t>0000379383</t>
  </si>
  <si>
    <t>1L00304</t>
  </si>
  <si>
    <t>0000379384</t>
  </si>
  <si>
    <t>1L00305</t>
  </si>
  <si>
    <t>0000367132</t>
  </si>
  <si>
    <t>1L00402</t>
  </si>
  <si>
    <t>0000367133</t>
  </si>
  <si>
    <t>1L00403</t>
  </si>
  <si>
    <t>0000367134</t>
  </si>
  <si>
    <t>1L00404</t>
  </si>
  <si>
    <t>0000379385</t>
  </si>
  <si>
    <t>1L00405</t>
  </si>
  <si>
    <t>0000367135</t>
  </si>
  <si>
    <t>1L00502</t>
  </si>
  <si>
    <t>0000367136</t>
  </si>
  <si>
    <t>1L00503</t>
  </si>
  <si>
    <t>0000379386</t>
  </si>
  <si>
    <t>1L00504</t>
  </si>
  <si>
    <t>0000379387</t>
  </si>
  <si>
    <t>1L00505</t>
  </si>
  <si>
    <t>0000379388</t>
  </si>
  <si>
    <t>1L00602</t>
  </si>
  <si>
    <t>0000371470</t>
  </si>
  <si>
    <t>1L00603</t>
  </si>
  <si>
    <t>0000379530</t>
  </si>
  <si>
    <t>1L00604</t>
  </si>
  <si>
    <t>0000379531</t>
  </si>
  <si>
    <t>LT00049090</t>
  </si>
  <si>
    <t>1L00605</t>
  </si>
  <si>
    <t>0000367140</t>
  </si>
  <si>
    <t>1L00702</t>
  </si>
  <si>
    <t>0000371471</t>
  </si>
  <si>
    <t>1L00703</t>
  </si>
  <si>
    <t>0000379532</t>
  </si>
  <si>
    <t>1L00704</t>
  </si>
  <si>
    <t>0000379533</t>
  </si>
  <si>
    <t>1L00705</t>
  </si>
  <si>
    <t>0000379534</t>
  </si>
  <si>
    <t>1L00801</t>
  </si>
  <si>
    <t>0000379535</t>
  </si>
  <si>
    <t>1L00802</t>
  </si>
  <si>
    <t>0000371472</t>
  </si>
  <si>
    <t>1L00803</t>
  </si>
  <si>
    <t>0000379536</t>
  </si>
  <si>
    <t>1L00804</t>
  </si>
  <si>
    <t>0000379537</t>
  </si>
  <si>
    <t>LT00049151</t>
  </si>
  <si>
    <t>1L00805</t>
  </si>
  <si>
    <t>0000367350</t>
  </si>
  <si>
    <t>KI4167</t>
  </si>
  <si>
    <t>1L00902</t>
  </si>
  <si>
    <t>0000371474</t>
  </si>
  <si>
    <t>1L00903</t>
  </si>
  <si>
    <t>0000367351</t>
  </si>
  <si>
    <t>1L00904</t>
  </si>
  <si>
    <t>0000379538</t>
  </si>
  <si>
    <t>1L00905</t>
  </si>
  <si>
    <t>0000379539</t>
  </si>
  <si>
    <t>1L01002</t>
  </si>
  <si>
    <t>0000371475</t>
  </si>
  <si>
    <t>1L01102</t>
  </si>
  <si>
    <t>0000371476</t>
  </si>
  <si>
    <t>1L01103</t>
  </si>
  <si>
    <t>0000379540</t>
  </si>
  <si>
    <t>1L01104</t>
  </si>
  <si>
    <t>0000379541</t>
  </si>
  <si>
    <t>1L01105</t>
  </si>
  <si>
    <t>0000379542</t>
  </si>
  <si>
    <t>1L01202</t>
  </si>
  <si>
    <t>0000371478</t>
  </si>
  <si>
    <t>1L01203</t>
  </si>
  <si>
    <t>0000379543</t>
  </si>
  <si>
    <t>1L01204</t>
  </si>
  <si>
    <t>0000379544</t>
  </si>
  <si>
    <t>1L01205</t>
  </si>
  <si>
    <t>0000379545</t>
  </si>
  <si>
    <t>1L01302</t>
  </si>
  <si>
    <t>0000371479</t>
  </si>
  <si>
    <t>1L01303</t>
  </si>
  <si>
    <t>0000379546</t>
  </si>
  <si>
    <t>1L01304</t>
  </si>
  <si>
    <t>0000379547</t>
  </si>
  <si>
    <t>LT00051910</t>
  </si>
  <si>
    <t>1L01305</t>
  </si>
  <si>
    <t>0000379548</t>
  </si>
  <si>
    <t>1L01402</t>
  </si>
  <si>
    <t>0000371477</t>
  </si>
  <si>
    <t>1052063</t>
  </si>
  <si>
    <t>Style XL Lime incl 5MXplus LE Phy CNO</t>
  </si>
  <si>
    <t>LT00044246</t>
  </si>
  <si>
    <t>1L01501</t>
  </si>
  <si>
    <t>2023-04-04</t>
  </si>
  <si>
    <t>2030-04-04</t>
  </si>
  <si>
    <t>4500400638</t>
  </si>
  <si>
    <t>1L01502</t>
  </si>
  <si>
    <t>0000371468</t>
  </si>
  <si>
    <t>1L01602</t>
  </si>
  <si>
    <t>0000371480</t>
  </si>
  <si>
    <t>LT00046450</t>
  </si>
  <si>
    <t>1L02102</t>
  </si>
  <si>
    <t>0000357099</t>
  </si>
  <si>
    <t>2024-01-30</t>
  </si>
  <si>
    <t>2031-01-30</t>
  </si>
  <si>
    <t>0006207533</t>
  </si>
  <si>
    <t>LT00050859</t>
  </si>
  <si>
    <t>1L02301</t>
  </si>
  <si>
    <t>LT00043730</t>
  </si>
  <si>
    <t>1L02505</t>
  </si>
  <si>
    <t>0000349313</t>
  </si>
  <si>
    <t>2023-11-30</t>
  </si>
  <si>
    <t>2030-11-30</t>
  </si>
  <si>
    <t>0006209602</t>
  </si>
  <si>
    <t>LT00043731</t>
  </si>
  <si>
    <t>1L02604</t>
  </si>
  <si>
    <t>0000349314</t>
  </si>
  <si>
    <t>1L02605</t>
  </si>
  <si>
    <t>0000349315</t>
  </si>
  <si>
    <t>LT00041859</t>
  </si>
  <si>
    <t>1L03901</t>
  </si>
  <si>
    <t>3810F</t>
  </si>
  <si>
    <t>1L04201</t>
  </si>
  <si>
    <t>0000316070</t>
  </si>
  <si>
    <t>LT00041728</t>
  </si>
  <si>
    <t>1L04301</t>
  </si>
  <si>
    <t>0000338003</t>
  </si>
  <si>
    <t>2023-09-15</t>
  </si>
  <si>
    <t>2030-09-15</t>
  </si>
  <si>
    <t>KI3326</t>
  </si>
  <si>
    <t>1L04401</t>
  </si>
  <si>
    <t>0000338004</t>
  </si>
  <si>
    <t>1L04404</t>
  </si>
  <si>
    <t>0000256781</t>
  </si>
  <si>
    <t>1L04501</t>
  </si>
  <si>
    <t>0000338005</t>
  </si>
  <si>
    <t>1043280</t>
  </si>
  <si>
    <t>Elemaris XL BM4W Mxplus bla Rosti CU CNO</t>
  </si>
  <si>
    <t>LT00034901</t>
  </si>
  <si>
    <t>1L04701</t>
  </si>
  <si>
    <t>2064P</t>
  </si>
  <si>
    <t>1L04804</t>
  </si>
  <si>
    <t>0000256779</t>
  </si>
  <si>
    <t>1L05304</t>
  </si>
  <si>
    <t>0000256725</t>
  </si>
  <si>
    <t>1L05404</t>
  </si>
  <si>
    <t>0000256724</t>
  </si>
  <si>
    <t>1L05504</t>
  </si>
  <si>
    <t>0000256778</t>
  </si>
  <si>
    <t>1L05604</t>
  </si>
  <si>
    <t>0000256780</t>
  </si>
  <si>
    <t>1L05704</t>
  </si>
  <si>
    <t>0000256782</t>
  </si>
  <si>
    <t>LT00050779</t>
  </si>
  <si>
    <t>1L06102</t>
  </si>
  <si>
    <t>1L06202</t>
  </si>
  <si>
    <t>1L06302</t>
  </si>
  <si>
    <t>1L06402</t>
  </si>
  <si>
    <t>1L06502</t>
  </si>
  <si>
    <t>1L06602</t>
  </si>
  <si>
    <t>LT00049159</t>
  </si>
  <si>
    <t>1L07001</t>
  </si>
  <si>
    <t>0000367535</t>
  </si>
  <si>
    <t>1L07002</t>
  </si>
  <si>
    <t>0000367536</t>
  </si>
  <si>
    <t>1L07003</t>
  </si>
  <si>
    <t>0000367537</t>
  </si>
  <si>
    <t>1L07004</t>
  </si>
  <si>
    <t>0000367538</t>
  </si>
  <si>
    <t>1L07005</t>
  </si>
  <si>
    <t>0000367539</t>
  </si>
  <si>
    <t>LT00047048</t>
  </si>
  <si>
    <t>1L07101</t>
  </si>
  <si>
    <t>1L07102</t>
  </si>
  <si>
    <t>0000367540</t>
  </si>
  <si>
    <t>1L07103</t>
  </si>
  <si>
    <t>0000367541</t>
  </si>
  <si>
    <t>1L07104</t>
  </si>
  <si>
    <t>0000367542</t>
  </si>
  <si>
    <t>1L07105</t>
  </si>
  <si>
    <t>0000367543</t>
  </si>
  <si>
    <t>1L07201</t>
  </si>
  <si>
    <t>0000367544</t>
  </si>
  <si>
    <t>1L07202</t>
  </si>
  <si>
    <t>0000367545</t>
  </si>
  <si>
    <t>1L07203</t>
  </si>
  <si>
    <t>0000367546</t>
  </si>
  <si>
    <t>1L07204</t>
  </si>
  <si>
    <t>0000367547</t>
  </si>
  <si>
    <t>LT00036946</t>
  </si>
  <si>
    <t>1L07501</t>
  </si>
  <si>
    <t>2023-04-20</t>
  </si>
  <si>
    <t>2030-04-20</t>
  </si>
  <si>
    <t>YE9085A1</t>
  </si>
  <si>
    <t>LT00036947</t>
  </si>
  <si>
    <t>YE9125A1</t>
  </si>
  <si>
    <t>LT00049761</t>
  </si>
  <si>
    <t>1L07503</t>
  </si>
  <si>
    <t>0000370279</t>
  </si>
  <si>
    <t>2024-04-29</t>
  </si>
  <si>
    <t>2031-04-29</t>
  </si>
  <si>
    <t>2024-04-30</t>
  </si>
  <si>
    <t>0006222600</t>
  </si>
  <si>
    <t>1L07703</t>
  </si>
  <si>
    <t>0000370280</t>
  </si>
  <si>
    <t>LT00039545</t>
  </si>
  <si>
    <t>1L07802</t>
  </si>
  <si>
    <t>2023-07-13</t>
  </si>
  <si>
    <t>2030-07-13</t>
  </si>
  <si>
    <t>0006104577</t>
  </si>
  <si>
    <t>LT00043442</t>
  </si>
  <si>
    <t>1M00101</t>
  </si>
  <si>
    <t>2023-11-15</t>
  </si>
  <si>
    <t>2030-11-15</t>
  </si>
  <si>
    <t>YE3381A3</t>
  </si>
  <si>
    <t>1020Q</t>
  </si>
  <si>
    <t>LT00043443</t>
  </si>
  <si>
    <t>YE3377A3</t>
  </si>
  <si>
    <t>0000347446</t>
  </si>
  <si>
    <t>LT00046406</t>
  </si>
  <si>
    <t>2024-01-27</t>
  </si>
  <si>
    <t>2031-01-27</t>
  </si>
  <si>
    <t>2024-01-29</t>
  </si>
  <si>
    <t>LT00046408</t>
  </si>
  <si>
    <t>YE3382A3</t>
  </si>
  <si>
    <t>LT00047309</t>
  </si>
  <si>
    <t>2024-02-22</t>
  </si>
  <si>
    <t>2031-02-22</t>
  </si>
  <si>
    <t>YE4014A3</t>
  </si>
  <si>
    <t>LT00047659</t>
  </si>
  <si>
    <t>LT00048527</t>
  </si>
  <si>
    <t>LT00049254</t>
  </si>
  <si>
    <t>KI4155</t>
  </si>
  <si>
    <t>LT00049256</t>
  </si>
  <si>
    <t>YE4157S2</t>
  </si>
  <si>
    <t>LT00049472</t>
  </si>
  <si>
    <t>LT00049474</t>
  </si>
  <si>
    <t>LT00049476</t>
  </si>
  <si>
    <t>KI4164</t>
  </si>
  <si>
    <t>LT00049676</t>
  </si>
  <si>
    <t>1054680</t>
  </si>
  <si>
    <t>RO机600G,石墨灰,单出水,无龙头,Brita F款 大陆方款 简体字</t>
  </si>
  <si>
    <t>LT00052143</t>
  </si>
  <si>
    <t>1M00102</t>
  </si>
  <si>
    <t>KI3405</t>
  </si>
  <si>
    <t>1053715</t>
  </si>
  <si>
    <t>RO滤芯,800G,单出,简体字,Brita F款</t>
  </si>
  <si>
    <t>LT00050635</t>
  </si>
  <si>
    <t>1M00105</t>
  </si>
  <si>
    <t>0000374955</t>
  </si>
  <si>
    <t>1029323</t>
  </si>
  <si>
    <t>Marella XL ME4W MXplus blaglit BCM CU CN</t>
  </si>
  <si>
    <t>LT00031544</t>
  </si>
  <si>
    <t>1M00201</t>
  </si>
  <si>
    <t>2022-09-05</t>
  </si>
  <si>
    <t>2028-09-05</t>
  </si>
  <si>
    <t>KI1067</t>
  </si>
  <si>
    <t>LT00031754</t>
  </si>
  <si>
    <t>2022-09-13</t>
  </si>
  <si>
    <t>2029-09-13</t>
  </si>
  <si>
    <t>KI2375</t>
  </si>
  <si>
    <t>LT00036061</t>
  </si>
  <si>
    <t>2023-03-09</t>
  </si>
  <si>
    <t>2030-03-09</t>
  </si>
  <si>
    <t>KI3102</t>
  </si>
  <si>
    <t>LT00037223</t>
  </si>
  <si>
    <t>2023-04-26</t>
  </si>
  <si>
    <t>KI3166</t>
  </si>
  <si>
    <t>LT00041396</t>
  </si>
  <si>
    <t>2023-09-01</t>
  </si>
  <si>
    <t>2030-09-01</t>
  </si>
  <si>
    <t>KI3351</t>
  </si>
  <si>
    <t>LT00041829</t>
  </si>
  <si>
    <t>2023-09-14</t>
  </si>
  <si>
    <t>2030-09-14</t>
  </si>
  <si>
    <t>KI3371</t>
  </si>
  <si>
    <t>LT00041831</t>
  </si>
  <si>
    <t>2023-09-13</t>
  </si>
  <si>
    <t>2030-09-13</t>
  </si>
  <si>
    <t>YE3376A3</t>
  </si>
  <si>
    <t>LT00041832</t>
  </si>
  <si>
    <t>YE3375A3</t>
  </si>
  <si>
    <t>LT00041833</t>
  </si>
  <si>
    <t>LT00041835</t>
  </si>
  <si>
    <t>YE3374A3</t>
  </si>
  <si>
    <t>LT00042429</t>
  </si>
  <si>
    <t>2023-10-06</t>
  </si>
  <si>
    <t>2030-10-06</t>
  </si>
  <si>
    <t>KI3374</t>
  </si>
  <si>
    <t>LT00043092</t>
  </si>
  <si>
    <t>2023-11-01</t>
  </si>
  <si>
    <t>2030-11-01</t>
  </si>
  <si>
    <t>KI3435</t>
  </si>
  <si>
    <t>LT00045386</t>
  </si>
  <si>
    <t>2024-01-04</t>
  </si>
  <si>
    <t>2031-01-04</t>
  </si>
  <si>
    <t>2024-01-05</t>
  </si>
  <si>
    <t>KI3486</t>
  </si>
  <si>
    <t>LT00045387</t>
  </si>
  <si>
    <t>2024-01-03</t>
  </si>
  <si>
    <t>2031-01-03</t>
  </si>
  <si>
    <t>KI3471</t>
  </si>
  <si>
    <t>LT00048960</t>
  </si>
  <si>
    <t>LT00049051</t>
  </si>
  <si>
    <t>1M00203</t>
  </si>
  <si>
    <t>0000340811</t>
  </si>
  <si>
    <t>LT00049755</t>
  </si>
  <si>
    <t>1M00204</t>
  </si>
  <si>
    <t>0000370344</t>
  </si>
  <si>
    <t>2031-04-30</t>
  </si>
  <si>
    <t>1M00205</t>
  </si>
  <si>
    <t>0000340812</t>
  </si>
  <si>
    <t>LT00040868</t>
  </si>
  <si>
    <t>1M00301</t>
  </si>
  <si>
    <t>2023-08-16</t>
  </si>
  <si>
    <t>2030-08-16</t>
  </si>
  <si>
    <t>2023-08-17</t>
  </si>
  <si>
    <t>YE3306A3</t>
  </si>
  <si>
    <t>LT00041930</t>
  </si>
  <si>
    <t>2023-09-18</t>
  </si>
  <si>
    <t>2030-09-18</t>
  </si>
  <si>
    <t>YE3241K1</t>
  </si>
  <si>
    <t>LT00041932</t>
  </si>
  <si>
    <t>YE3373A3</t>
  </si>
  <si>
    <t>LT00041935</t>
  </si>
  <si>
    <t>LT00041936</t>
  </si>
  <si>
    <t>LT00049775</t>
  </si>
  <si>
    <t>KI4165</t>
  </si>
  <si>
    <t>LT00049868</t>
  </si>
  <si>
    <t>2024-05-05</t>
  </si>
  <si>
    <t>2031-05-05</t>
  </si>
  <si>
    <t>KI4187</t>
  </si>
  <si>
    <t>LT00049869</t>
  </si>
  <si>
    <t>LT00049871</t>
  </si>
  <si>
    <t>LT00050177</t>
  </si>
  <si>
    <t>YE4172K1</t>
  </si>
  <si>
    <t>LT00050179</t>
  </si>
  <si>
    <t>LT00050181</t>
  </si>
  <si>
    <t>LT00050183</t>
  </si>
  <si>
    <t>LT00050185</t>
  </si>
  <si>
    <t>LT00050190</t>
  </si>
  <si>
    <t>YE4123A3</t>
  </si>
  <si>
    <t>LT00050192</t>
  </si>
  <si>
    <t>LT00050322</t>
  </si>
  <si>
    <t>LT00051210</t>
  </si>
  <si>
    <t>LT00051211</t>
  </si>
  <si>
    <t>LT00046926</t>
  </si>
  <si>
    <t>1M00302</t>
  </si>
  <si>
    <t>2024-02-26</t>
  </si>
  <si>
    <t>2031-02-26</t>
  </si>
  <si>
    <t>KI4057</t>
  </si>
  <si>
    <t>LT00046619</t>
  </si>
  <si>
    <t>1M00305</t>
  </si>
  <si>
    <t>0000358051</t>
  </si>
  <si>
    <t>1M00405</t>
  </si>
  <si>
    <t>0000351489</t>
  </si>
  <si>
    <t>1053714</t>
  </si>
  <si>
    <t>LT00046928</t>
  </si>
  <si>
    <t>1M00502</t>
  </si>
  <si>
    <t>KI4056</t>
  </si>
  <si>
    <t>LT00046930</t>
  </si>
  <si>
    <t>1M00602</t>
  </si>
  <si>
    <t>KI4052</t>
  </si>
  <si>
    <t>1050124</t>
  </si>
  <si>
    <t>F&amp;B Dispen Ladoga MXplus UVC Whi CU CNO</t>
  </si>
  <si>
    <t>LT00052268</t>
  </si>
  <si>
    <t>1M00605</t>
  </si>
  <si>
    <t>0000372076</t>
  </si>
  <si>
    <t>LT00046932</t>
  </si>
  <si>
    <t>1M00702</t>
  </si>
  <si>
    <t>KI4054</t>
  </si>
  <si>
    <t>1M00705</t>
  </si>
  <si>
    <t>0000372077</t>
  </si>
  <si>
    <t>1M00802</t>
  </si>
  <si>
    <t>1M00902</t>
  </si>
  <si>
    <t>0000380364</t>
  </si>
  <si>
    <t>1050125</t>
  </si>
  <si>
    <t>F&amp;B Dispen Ladoga MXplus UVC bla CU CNO</t>
  </si>
  <si>
    <t>LT00040299</t>
  </si>
  <si>
    <t>1M01002</t>
  </si>
  <si>
    <t>0000331220</t>
  </si>
  <si>
    <t>2023-08-03</t>
  </si>
  <si>
    <t>2030-08-03</t>
  </si>
  <si>
    <t>WH2296</t>
  </si>
  <si>
    <t>1M01201</t>
  </si>
  <si>
    <t>1M01205</t>
  </si>
  <si>
    <t>0000372078</t>
  </si>
  <si>
    <t>1M01301</t>
  </si>
  <si>
    <t>1M01305</t>
  </si>
  <si>
    <t>0000372079</t>
  </si>
  <si>
    <t>LT00049357</t>
  </si>
  <si>
    <t>1M01401</t>
  </si>
  <si>
    <t>LT00049360</t>
  </si>
  <si>
    <t>0006091110</t>
  </si>
  <si>
    <t>LT00049361</t>
  </si>
  <si>
    <t>0006203783</t>
  </si>
  <si>
    <t>LT00049362</t>
  </si>
  <si>
    <t>0006198206</t>
  </si>
  <si>
    <t>1M01405</t>
  </si>
  <si>
    <t>0000372080</t>
  </si>
  <si>
    <t>LT00046176</t>
  </si>
  <si>
    <t>1M01501</t>
  </si>
  <si>
    <t>2024-01-25</t>
  </si>
  <si>
    <t>2031-01-25</t>
  </si>
  <si>
    <t>LT00051932</t>
  </si>
  <si>
    <t>1M01601</t>
  </si>
  <si>
    <t>1011B</t>
  </si>
  <si>
    <t>LT00051933</t>
  </si>
  <si>
    <t>LT00051934</t>
  </si>
  <si>
    <t>LT00051935</t>
  </si>
  <si>
    <t>LT00051617</t>
  </si>
  <si>
    <t>1M01701</t>
  </si>
  <si>
    <t>1M01805</t>
  </si>
  <si>
    <t>0000372081</t>
  </si>
  <si>
    <t>1029944</t>
  </si>
  <si>
    <t>Fika MAXTRAplus LM EXP CN 3</t>
  </si>
  <si>
    <t>LT00034272</t>
  </si>
  <si>
    <t>1M01901</t>
  </si>
  <si>
    <t>2021-09-13</t>
  </si>
  <si>
    <t>2028-09-13</t>
  </si>
  <si>
    <t>2020.10</t>
  </si>
  <si>
    <t>1053713</t>
  </si>
  <si>
    <t>RO滤芯,600G,单出,简体字,Brita F款</t>
  </si>
  <si>
    <t>LT00039078</t>
  </si>
  <si>
    <t>1M01905</t>
  </si>
  <si>
    <t>0000326209</t>
  </si>
  <si>
    <t>2023-06-26</t>
  </si>
  <si>
    <t>2023-06-27</t>
  </si>
  <si>
    <t>KI3245</t>
  </si>
  <si>
    <t>1M02002</t>
  </si>
  <si>
    <t>0000331634</t>
  </si>
  <si>
    <t>LT00050852</t>
  </si>
  <si>
    <t>1M02005</t>
  </si>
  <si>
    <t>0000375638</t>
  </si>
  <si>
    <t>LT00047838</t>
  </si>
  <si>
    <t>1M02101</t>
  </si>
  <si>
    <t>2024-03-18</t>
  </si>
  <si>
    <t>2031-03-18</t>
  </si>
  <si>
    <t>1M02103</t>
  </si>
  <si>
    <t>0000340813</t>
  </si>
  <si>
    <t>1053710</t>
  </si>
  <si>
    <t>RO机600G,石墨灰,智能龙头单出水,Brita F款,大陆方款,简体字</t>
  </si>
  <si>
    <t>LT00038564</t>
  </si>
  <si>
    <t>1M02105</t>
  </si>
  <si>
    <t>0000323834</t>
  </si>
  <si>
    <t>2023-06-09</t>
  </si>
  <si>
    <t>2030-06-09</t>
  </si>
  <si>
    <t>KI3223</t>
  </si>
  <si>
    <t>LT00050993</t>
  </si>
  <si>
    <t>1M02201</t>
  </si>
  <si>
    <t>0006229600</t>
  </si>
  <si>
    <t>1M02203</t>
  </si>
  <si>
    <t>0000323835</t>
  </si>
  <si>
    <t>1M02204</t>
  </si>
  <si>
    <t>0000323836</t>
  </si>
  <si>
    <t>1M02205</t>
  </si>
  <si>
    <t>0000375639</t>
  </si>
  <si>
    <t>LT00047002</t>
  </si>
  <si>
    <t>1M02301</t>
  </si>
  <si>
    <t>2024-02-27</t>
  </si>
  <si>
    <t>KI3202</t>
  </si>
  <si>
    <t>LT00047005</t>
  </si>
  <si>
    <t>K2Y14</t>
  </si>
  <si>
    <t>1M02305</t>
  </si>
  <si>
    <t>0000378661</t>
  </si>
  <si>
    <t>1M02405</t>
  </si>
  <si>
    <t>0000323837</t>
  </si>
  <si>
    <t>LT00043623</t>
  </si>
  <si>
    <t>1M02504</t>
  </si>
  <si>
    <t>0000348960</t>
  </si>
  <si>
    <t>1M02605</t>
  </si>
  <si>
    <t>0000375640</t>
  </si>
  <si>
    <t>LT00051963</t>
  </si>
  <si>
    <t>1M02701</t>
  </si>
  <si>
    <t>2024-06-13</t>
  </si>
  <si>
    <t>2031-06-13</t>
  </si>
  <si>
    <t>LT00051977</t>
  </si>
  <si>
    <t>1043021</t>
  </si>
  <si>
    <t>Pack 1 MAXTRAplus LM EXP CU CN XY</t>
  </si>
  <si>
    <t>LT00051980</t>
  </si>
  <si>
    <t>LT00051981</t>
  </si>
  <si>
    <t>1M02705</t>
  </si>
  <si>
    <t>0000375641</t>
  </si>
  <si>
    <t>LT00048886</t>
  </si>
  <si>
    <t>1M02904</t>
  </si>
  <si>
    <t>0000365864</t>
  </si>
  <si>
    <t>1M02905</t>
  </si>
  <si>
    <t>0000365865</t>
  </si>
  <si>
    <t>LT00038565</t>
  </si>
  <si>
    <t>1M03002</t>
  </si>
  <si>
    <t>0000323846</t>
  </si>
  <si>
    <t>1M03003</t>
  </si>
  <si>
    <t>0000365866</t>
  </si>
  <si>
    <t>1M03004</t>
  </si>
  <si>
    <t>0000365867</t>
  </si>
  <si>
    <t>1M03005</t>
  </si>
  <si>
    <t>0000375642</t>
  </si>
  <si>
    <t>1M03101</t>
  </si>
  <si>
    <t>LT00049003</t>
  </si>
  <si>
    <t>LT00049792</t>
  </si>
  <si>
    <t>2024-05-03</t>
  </si>
  <si>
    <t>2031-05-03</t>
  </si>
  <si>
    <t>LT00049951</t>
  </si>
  <si>
    <t>LT00050776</t>
  </si>
  <si>
    <t>LT00050781</t>
  </si>
  <si>
    <t>LT00051410</t>
  </si>
  <si>
    <t>LT00051411</t>
  </si>
  <si>
    <t>1M03103</t>
  </si>
  <si>
    <t>0000365868</t>
  </si>
  <si>
    <t>1M03104</t>
  </si>
  <si>
    <t>0000365869</t>
  </si>
  <si>
    <t>1043022</t>
  </si>
  <si>
    <t>Pack 3 MAXTRAplus LM EXP CU CN XY</t>
  </si>
  <si>
    <t>LT00051964</t>
  </si>
  <si>
    <t>1M03201</t>
  </si>
  <si>
    <t>LT00051979</t>
  </si>
  <si>
    <t>LT00051002</t>
  </si>
  <si>
    <t>1M03301</t>
  </si>
  <si>
    <t>2023-09-05</t>
  </si>
  <si>
    <t>2030-09-05</t>
  </si>
  <si>
    <t>1M03305</t>
  </si>
  <si>
    <t>0000372082</t>
  </si>
  <si>
    <t>1M03401</t>
  </si>
  <si>
    <t>LT00051978</t>
  </si>
  <si>
    <t>1M03405</t>
  </si>
  <si>
    <t>0000372083</t>
  </si>
  <si>
    <t>1M03505</t>
  </si>
  <si>
    <t>0000372084</t>
  </si>
  <si>
    <t>LT00049363</t>
  </si>
  <si>
    <t>1M03601</t>
  </si>
  <si>
    <t>0006112422</t>
  </si>
  <si>
    <t>LT00049364</t>
  </si>
  <si>
    <t>0006072209</t>
  </si>
  <si>
    <t>LT00049365</t>
  </si>
  <si>
    <t>0006103618</t>
  </si>
  <si>
    <t>LT00049366</t>
  </si>
  <si>
    <t>0006118902</t>
  </si>
  <si>
    <t>LT00049367</t>
  </si>
  <si>
    <t>0006135110</t>
  </si>
  <si>
    <t>1M03605</t>
  </si>
  <si>
    <t>0000372085</t>
  </si>
  <si>
    <t>1M03705</t>
  </si>
  <si>
    <t>0000372086</t>
  </si>
  <si>
    <t>LT00051003</t>
  </si>
  <si>
    <t>1M03801</t>
  </si>
  <si>
    <t>LT00039079</t>
  </si>
  <si>
    <t>1M03805</t>
  </si>
  <si>
    <t>0000326210</t>
  </si>
  <si>
    <t>1M03901</t>
  </si>
  <si>
    <t>1M03903</t>
  </si>
  <si>
    <t>0000370345</t>
  </si>
  <si>
    <t>1M03905</t>
  </si>
  <si>
    <t>0000372087</t>
  </si>
  <si>
    <t>1M04005</t>
  </si>
  <si>
    <t>0000375643</t>
  </si>
  <si>
    <t>LT00051936</t>
  </si>
  <si>
    <t>1M04101</t>
  </si>
  <si>
    <t>LT00051968</t>
  </si>
  <si>
    <t>1046177</t>
  </si>
  <si>
    <t>Bundle WaFiBo blue 4MD CU CN</t>
  </si>
  <si>
    <t>LT00051969</t>
  </si>
  <si>
    <t>LT00051970</t>
  </si>
  <si>
    <t>1M04105</t>
  </si>
  <si>
    <t>0000372088</t>
  </si>
  <si>
    <t>1M04205</t>
  </si>
  <si>
    <t>0000372089</t>
  </si>
  <si>
    <t>1M04305</t>
  </si>
  <si>
    <t>0000372090</t>
  </si>
  <si>
    <t>1M04405</t>
  </si>
  <si>
    <t>0000372091</t>
  </si>
  <si>
    <t>LT00041098</t>
  </si>
  <si>
    <t>1M04504</t>
  </si>
  <si>
    <t>0000334109</t>
  </si>
  <si>
    <t>1M04505</t>
  </si>
  <si>
    <t>0000372092</t>
  </si>
  <si>
    <t>LT00049381</t>
  </si>
  <si>
    <t>1M04601</t>
  </si>
  <si>
    <t>0000368311</t>
  </si>
  <si>
    <t>KI4154</t>
  </si>
  <si>
    <t>1M04605</t>
  </si>
  <si>
    <t>0000372093</t>
  </si>
  <si>
    <t>1043282</t>
  </si>
  <si>
    <t>Fun ME4W MXplus pink cu cno</t>
  </si>
  <si>
    <t>LT00050559</t>
  </si>
  <si>
    <t>1M04701</t>
  </si>
  <si>
    <t>2024-05-21</t>
  </si>
  <si>
    <t>2031-05-21</t>
  </si>
  <si>
    <t>C1</t>
  </si>
  <si>
    <t>LT00052269</t>
  </si>
  <si>
    <t>1M04705</t>
  </si>
  <si>
    <t>0000372094</t>
  </si>
  <si>
    <t>1M04805</t>
  </si>
  <si>
    <t>0000372095</t>
  </si>
  <si>
    <t>LT00050563</t>
  </si>
  <si>
    <t>1M04901</t>
  </si>
  <si>
    <t>1M04905</t>
  </si>
  <si>
    <t>0000372096</t>
  </si>
  <si>
    <t>1M05005</t>
  </si>
  <si>
    <t>0000372097</t>
  </si>
  <si>
    <t>LT00050554</t>
  </si>
  <si>
    <t>1M05101</t>
  </si>
  <si>
    <t>LT00051133</t>
  </si>
  <si>
    <t>1M05105</t>
  </si>
  <si>
    <t>0000372098</t>
  </si>
  <si>
    <t>LT00050555</t>
  </si>
  <si>
    <t>1M05201</t>
  </si>
  <si>
    <t>LT00052272</t>
  </si>
  <si>
    <t>1M05205</t>
  </si>
  <si>
    <t>0000372108</t>
  </si>
  <si>
    <t>1M05305</t>
  </si>
  <si>
    <t>0000372109</t>
  </si>
  <si>
    <t>1M05405</t>
  </si>
  <si>
    <t>0000372110</t>
  </si>
  <si>
    <t>1M05504</t>
  </si>
  <si>
    <t>0000371579</t>
  </si>
  <si>
    <t>1M05505</t>
  </si>
  <si>
    <t>0000372111</t>
  </si>
  <si>
    <t>1M05602</t>
  </si>
  <si>
    <t>0000371580</t>
  </si>
  <si>
    <t>1M05603</t>
  </si>
  <si>
    <t>0000371581</t>
  </si>
  <si>
    <t>1M05604</t>
  </si>
  <si>
    <t>0000334110</t>
  </si>
  <si>
    <t>1M05605</t>
  </si>
  <si>
    <t>0000372112</t>
  </si>
  <si>
    <t>1M05702</t>
  </si>
  <si>
    <t>0000371582</t>
  </si>
  <si>
    <t>1M05703</t>
  </si>
  <si>
    <t>0000371583</t>
  </si>
  <si>
    <t>1M05704</t>
  </si>
  <si>
    <t>0000371584</t>
  </si>
  <si>
    <t>1M05705</t>
  </si>
  <si>
    <t>0000372113</t>
  </si>
  <si>
    <t>1M05802</t>
  </si>
  <si>
    <t>0000371585</t>
  </si>
  <si>
    <t>1M05803</t>
  </si>
  <si>
    <t>0000371586</t>
  </si>
  <si>
    <t>1M05804</t>
  </si>
  <si>
    <t>0000371587</t>
  </si>
  <si>
    <t>1M05805</t>
  </si>
  <si>
    <t>0000372114</t>
  </si>
  <si>
    <t>1M05902</t>
  </si>
  <si>
    <t>0000371588</t>
  </si>
  <si>
    <t>1M05903</t>
  </si>
  <si>
    <t>0000371589</t>
  </si>
  <si>
    <t>1M05904</t>
  </si>
  <si>
    <t>0000371590</t>
  </si>
  <si>
    <t>1M05905</t>
  </si>
  <si>
    <t>0000372115</t>
  </si>
  <si>
    <t>1M06002</t>
  </si>
  <si>
    <t>0000371591</t>
  </si>
  <si>
    <t>1M06003</t>
  </si>
  <si>
    <t>0000371592</t>
  </si>
  <si>
    <t>1M06004</t>
  </si>
  <si>
    <t>0000371593</t>
  </si>
  <si>
    <t>1M06005</t>
  </si>
  <si>
    <t>0000372116</t>
  </si>
  <si>
    <t>1M06102</t>
  </si>
  <si>
    <t>0000371594</t>
  </si>
  <si>
    <t>1M06103</t>
  </si>
  <si>
    <t>0000371595</t>
  </si>
  <si>
    <t>1M06104</t>
  </si>
  <si>
    <t>0000371596</t>
  </si>
  <si>
    <t>LT00052273</t>
  </si>
  <si>
    <t>1M06105</t>
  </si>
  <si>
    <t>0000372117</t>
  </si>
  <si>
    <t>WH4185</t>
  </si>
  <si>
    <t>1M06202</t>
  </si>
  <si>
    <t>0000371597</t>
  </si>
  <si>
    <t>1M06203</t>
  </si>
  <si>
    <t>0000371598</t>
  </si>
  <si>
    <t>1M06204</t>
  </si>
  <si>
    <t>0000371599</t>
  </si>
  <si>
    <t>1M06205</t>
  </si>
  <si>
    <t>0000375644</t>
  </si>
  <si>
    <t>1055992</t>
  </si>
  <si>
    <t>Kalea XL FL ME4W bl  5 MXp + 1LM SIOC CU CNOKalea 中国蓝  一壶六芯</t>
  </si>
  <si>
    <t>LT00049643</t>
  </si>
  <si>
    <t>1M06302</t>
  </si>
  <si>
    <t>0000369923</t>
  </si>
  <si>
    <t>YE4175K1</t>
  </si>
  <si>
    <t>1M06303</t>
  </si>
  <si>
    <t>0000369924</t>
  </si>
  <si>
    <t>1M06304</t>
  </si>
  <si>
    <t>0000369925</t>
  </si>
  <si>
    <t>1M06305</t>
  </si>
  <si>
    <t>0000375645</t>
  </si>
  <si>
    <t>1M06402</t>
  </si>
  <si>
    <t>0000369926</t>
  </si>
  <si>
    <t>1M06403</t>
  </si>
  <si>
    <t>0000369927</t>
  </si>
  <si>
    <t>1M06404</t>
  </si>
  <si>
    <t>0000369928</t>
  </si>
  <si>
    <t>1M06405</t>
  </si>
  <si>
    <t>0000375646</t>
  </si>
  <si>
    <t>1M06502</t>
  </si>
  <si>
    <t>0000369929</t>
  </si>
  <si>
    <t>1M06503</t>
  </si>
  <si>
    <t>0000369930</t>
  </si>
  <si>
    <t>1M06504</t>
  </si>
  <si>
    <t>0000369931</t>
  </si>
  <si>
    <t>1M06505</t>
  </si>
  <si>
    <t>0000375647</t>
  </si>
  <si>
    <t>1M06602</t>
  </si>
  <si>
    <t>0000369932</t>
  </si>
  <si>
    <t>1M06603</t>
  </si>
  <si>
    <t>0000369933</t>
  </si>
  <si>
    <t>1M06604</t>
  </si>
  <si>
    <t>0000369934</t>
  </si>
  <si>
    <t>1M06605</t>
  </si>
  <si>
    <t>0000375648</t>
  </si>
  <si>
    <t>1M06702</t>
  </si>
  <si>
    <t>0000369935</t>
  </si>
  <si>
    <t>1M06703</t>
  </si>
  <si>
    <t>0000369936</t>
  </si>
  <si>
    <t>1M06704</t>
  </si>
  <si>
    <t>0000369937</t>
  </si>
  <si>
    <t>1M06705</t>
  </si>
  <si>
    <t>0000375649</t>
  </si>
  <si>
    <t>1M06802</t>
  </si>
  <si>
    <t>0000369938</t>
  </si>
  <si>
    <t>1M06803</t>
  </si>
  <si>
    <t>0000369939</t>
  </si>
  <si>
    <t>1M06804</t>
  </si>
  <si>
    <t>0000369940</t>
  </si>
  <si>
    <t>1M06805</t>
  </si>
  <si>
    <t>0000375650</t>
  </si>
  <si>
    <t>1M06902</t>
  </si>
  <si>
    <t>0000369941</t>
  </si>
  <si>
    <t>1M06903</t>
  </si>
  <si>
    <t>0000369942</t>
  </si>
  <si>
    <t>1M06904</t>
  </si>
  <si>
    <t>0000369943</t>
  </si>
  <si>
    <t>1M06905</t>
  </si>
  <si>
    <t>0000375651</t>
  </si>
  <si>
    <t>1M07002</t>
  </si>
  <si>
    <t>0000369944</t>
  </si>
  <si>
    <t>1M07003</t>
  </si>
  <si>
    <t>0000369945</t>
  </si>
  <si>
    <t>1M07004</t>
  </si>
  <si>
    <t>0000369946</t>
  </si>
  <si>
    <t>1M07102</t>
  </si>
  <si>
    <t>0000369947</t>
  </si>
  <si>
    <t>1M07103</t>
  </si>
  <si>
    <t>0000369948</t>
  </si>
  <si>
    <t>1M07104</t>
  </si>
  <si>
    <t>0000369949</t>
  </si>
  <si>
    <t>1M07202</t>
  </si>
  <si>
    <t>0000369950</t>
  </si>
  <si>
    <t>1M07203</t>
  </si>
  <si>
    <t>0000369951</t>
  </si>
  <si>
    <t>1M07204</t>
  </si>
  <si>
    <t>0000369952</t>
  </si>
  <si>
    <t>1M07302</t>
  </si>
  <si>
    <t>0000369953</t>
  </si>
  <si>
    <t>1M07303</t>
  </si>
  <si>
    <t>0000369954</t>
  </si>
  <si>
    <t>1M07304</t>
  </si>
  <si>
    <t>0000369955</t>
  </si>
  <si>
    <t>1M07402</t>
  </si>
  <si>
    <t>0000369956</t>
  </si>
  <si>
    <t>LT00043691</t>
  </si>
  <si>
    <t>1N00102</t>
  </si>
  <si>
    <t>00021469</t>
  </si>
  <si>
    <t>1N00105</t>
  </si>
  <si>
    <t>0000358050</t>
  </si>
  <si>
    <t>1037597</t>
  </si>
  <si>
    <t>Style XL LED4W MXplus BCM lime CU CN</t>
  </si>
  <si>
    <t>LT00043693</t>
  </si>
  <si>
    <t>1N00202</t>
  </si>
  <si>
    <t>YE0507S1</t>
  </si>
  <si>
    <t>1N00205</t>
  </si>
  <si>
    <t>0000358038</t>
  </si>
  <si>
    <t>LT00043696</t>
  </si>
  <si>
    <t>1N00302</t>
  </si>
  <si>
    <t>YE3311S2</t>
  </si>
  <si>
    <t>1N00305</t>
  </si>
  <si>
    <t>0000358037</t>
  </si>
  <si>
    <t>LT00043694</t>
  </si>
  <si>
    <t>1N00402</t>
  </si>
  <si>
    <t>00024985</t>
  </si>
  <si>
    <t>1N00405</t>
  </si>
  <si>
    <t>0000358040</t>
  </si>
  <si>
    <t>1043277</t>
  </si>
  <si>
    <t>"Style XL LED4W Mxplus blue CU CNO</t>
  </si>
  <si>
    <t>LT00043695</t>
  </si>
  <si>
    <t>1N00502</t>
  </si>
  <si>
    <t>YE1401S1</t>
  </si>
  <si>
    <t>LT00049653</t>
  </si>
  <si>
    <t>1N00505</t>
  </si>
  <si>
    <t>0000369857</t>
  </si>
  <si>
    <t>1N00605</t>
  </si>
  <si>
    <t>0000358042</t>
  </si>
  <si>
    <t>1N00705</t>
  </si>
  <si>
    <t>0000371600</t>
  </si>
  <si>
    <t>1N00805</t>
  </si>
  <si>
    <t>0000358043</t>
  </si>
  <si>
    <t>LT00043698</t>
  </si>
  <si>
    <t>1N00902</t>
  </si>
  <si>
    <t>YE3103S2</t>
  </si>
  <si>
    <t>1N00905</t>
  </si>
  <si>
    <t>0000340773</t>
  </si>
  <si>
    <t>1043279</t>
  </si>
  <si>
    <t>"Style XL LED4W Mxplus lime CU CN</t>
  </si>
  <si>
    <t>LT00043700</t>
  </si>
  <si>
    <t>1N01002</t>
  </si>
  <si>
    <t>YE1273S1</t>
  </si>
  <si>
    <t>1N01005</t>
  </si>
  <si>
    <t>0000340774</t>
  </si>
  <si>
    <t>1N01105</t>
  </si>
  <si>
    <t>0000340775</t>
  </si>
  <si>
    <t>1N01205</t>
  </si>
  <si>
    <t>0000340776</t>
  </si>
  <si>
    <t>LT00043701</t>
  </si>
  <si>
    <t>1N01302</t>
  </si>
  <si>
    <t>YE1344S1</t>
  </si>
  <si>
    <t>1N01305</t>
  </si>
  <si>
    <t>0000340777</t>
  </si>
  <si>
    <t>LT00052075</t>
  </si>
  <si>
    <t>1N01402</t>
  </si>
  <si>
    <t>2031-07-02</t>
  </si>
  <si>
    <t>1N01405</t>
  </si>
  <si>
    <t>0000340778</t>
  </si>
  <si>
    <t>1N01505</t>
  </si>
  <si>
    <t>0000358035</t>
  </si>
  <si>
    <t>LT00048930</t>
  </si>
  <si>
    <t>1N01602</t>
  </si>
  <si>
    <t>1N01605</t>
  </si>
  <si>
    <t>0000358045</t>
  </si>
  <si>
    <t>1N01705</t>
  </si>
  <si>
    <t>0000358033</t>
  </si>
  <si>
    <t>LT00051006</t>
  </si>
  <si>
    <t>1N01802</t>
  </si>
  <si>
    <t>1N01805</t>
  </si>
  <si>
    <t>0000358046</t>
  </si>
  <si>
    <t>1N01905</t>
  </si>
  <si>
    <t>0000358032</t>
  </si>
  <si>
    <t>LT00047839</t>
  </si>
  <si>
    <t>1N02002</t>
  </si>
  <si>
    <t>1N02005</t>
  </si>
  <si>
    <t>0000358047</t>
  </si>
  <si>
    <t>1055234</t>
  </si>
  <si>
    <t>三代滤芯</t>
  </si>
  <si>
    <t>LT00051965</t>
  </si>
  <si>
    <t>1N02102</t>
  </si>
  <si>
    <t>1N02105</t>
  </si>
  <si>
    <t>0000358030</t>
  </si>
  <si>
    <t>1N02205</t>
  </si>
  <si>
    <t>0000358029</t>
  </si>
  <si>
    <t>1043023</t>
  </si>
  <si>
    <t>Pack 6 MAXTRAplus LM EXP CU CN XY</t>
  </si>
  <si>
    <t>LT00051962</t>
  </si>
  <si>
    <t>1N02302</t>
  </si>
  <si>
    <t>LT00049646</t>
  </si>
  <si>
    <t>1N02305</t>
  </si>
  <si>
    <t>0000370004</t>
  </si>
  <si>
    <t>0006222598</t>
  </si>
  <si>
    <t>LT00051971</t>
  </si>
  <si>
    <t>1N02402</t>
  </si>
  <si>
    <t>1N02404</t>
  </si>
  <si>
    <t>0000370006</t>
  </si>
  <si>
    <t>1N02405</t>
  </si>
  <si>
    <t>0000370007</t>
  </si>
  <si>
    <t>LT00051837</t>
  </si>
  <si>
    <t>1N02502</t>
  </si>
  <si>
    <t>1038300</t>
  </si>
  <si>
    <t>Marella XL ME4W blue inkl4 MXp BCM CU CN</t>
  </si>
  <si>
    <t>LT00026128</t>
  </si>
  <si>
    <t>1N02503</t>
  </si>
  <si>
    <t>2021-03-16</t>
  </si>
  <si>
    <t>2028-03-16</t>
  </si>
  <si>
    <t>KI0212</t>
  </si>
  <si>
    <t>1N02504</t>
  </si>
  <si>
    <t>0000370008</t>
  </si>
  <si>
    <t>1N02505</t>
  </si>
  <si>
    <t>0000370009</t>
  </si>
  <si>
    <t>LT00051836</t>
  </si>
  <si>
    <t>1N02702</t>
  </si>
  <si>
    <t>LT00043431</t>
  </si>
  <si>
    <t>1N02703</t>
  </si>
  <si>
    <t>2021-12-09</t>
  </si>
  <si>
    <t>2028-12-09</t>
  </si>
  <si>
    <t>1N02704</t>
  </si>
  <si>
    <t>0000370346</t>
  </si>
  <si>
    <t>LT00046931</t>
  </si>
  <si>
    <t>1N02705</t>
  </si>
  <si>
    <t>KI4036</t>
  </si>
  <si>
    <t>LT00051088</t>
  </si>
  <si>
    <t>1N02802</t>
  </si>
  <si>
    <t>1N02803</t>
  </si>
  <si>
    <t>0000370347</t>
  </si>
  <si>
    <t>1N02804</t>
  </si>
  <si>
    <t>0000370348</t>
  </si>
  <si>
    <t>LT00051972</t>
  </si>
  <si>
    <t>1N02902</t>
  </si>
  <si>
    <t>LT00051974</t>
  </si>
  <si>
    <t>1N03002</t>
  </si>
  <si>
    <t>LT00051089</t>
  </si>
  <si>
    <t>1N03102</t>
  </si>
  <si>
    <t>KI4044</t>
  </si>
  <si>
    <t>LT00051091</t>
  </si>
  <si>
    <t>1N03202</t>
  </si>
  <si>
    <t>LT00051092</t>
  </si>
  <si>
    <t>PF</t>
  </si>
  <si>
    <t>1039720</t>
  </si>
  <si>
    <t>碧然德PURITY C500 Finest型净水器</t>
  </si>
  <si>
    <t>Pack 1 PURITY C500 Finest</t>
  </si>
  <si>
    <t>LT00044324</t>
  </si>
  <si>
    <t>1N03203</t>
  </si>
  <si>
    <t>2023-02-18</t>
  </si>
  <si>
    <t>2030-02-18</t>
  </si>
  <si>
    <t>0006099474</t>
  </si>
  <si>
    <t>1030UR</t>
  </si>
  <si>
    <t>LT00051973</t>
  </si>
  <si>
    <t>1N03302</t>
  </si>
  <si>
    <t>1N03303</t>
  </si>
  <si>
    <t>1N03402</t>
  </si>
  <si>
    <t>1N03502</t>
  </si>
  <si>
    <t>LT00051090</t>
  </si>
  <si>
    <t>1N03602</t>
  </si>
  <si>
    <t>LT00051004</t>
  </si>
  <si>
    <t>1N03702</t>
  </si>
  <si>
    <t>2023-12-11</t>
  </si>
  <si>
    <t>LT00038127</t>
  </si>
  <si>
    <t>1N03703</t>
  </si>
  <si>
    <t>LT00051966</t>
  </si>
  <si>
    <t>1N03802</t>
  </si>
  <si>
    <t>1N03803</t>
  </si>
  <si>
    <t>LT00051842</t>
  </si>
  <si>
    <t>1N04002</t>
  </si>
  <si>
    <t>LT00051848</t>
  </si>
  <si>
    <t>LT00051840</t>
  </si>
  <si>
    <t>1N04102</t>
  </si>
  <si>
    <t>LT00051841</t>
  </si>
  <si>
    <t>1N04202</t>
  </si>
  <si>
    <t>LT00049791</t>
  </si>
  <si>
    <t>1N04302</t>
  </si>
  <si>
    <t>1N04402</t>
  </si>
  <si>
    <t>1N04602</t>
  </si>
  <si>
    <t>LT00051005</t>
  </si>
  <si>
    <t>1N04702</t>
  </si>
  <si>
    <t>0006072208</t>
  </si>
  <si>
    <t>LT00051822</t>
  </si>
  <si>
    <t>1N04802</t>
  </si>
  <si>
    <t>LT00051823</t>
  </si>
  <si>
    <t>LT00051834</t>
  </si>
  <si>
    <t>1N04902</t>
  </si>
  <si>
    <t>1N05102</t>
  </si>
  <si>
    <t>LT00051845</t>
  </si>
  <si>
    <t>LT00051835</t>
  </si>
  <si>
    <t>1N05202</t>
  </si>
  <si>
    <t>LT00051838</t>
  </si>
  <si>
    <t>LT00051851</t>
  </si>
  <si>
    <t>LT00051937</t>
  </si>
  <si>
    <t>LT00051824</t>
  </si>
  <si>
    <t>1N05302</t>
  </si>
  <si>
    <t>LT00051825</t>
  </si>
  <si>
    <t>LT00051826</t>
  </si>
  <si>
    <t>LT00051827</t>
  </si>
  <si>
    <t>LT00051828</t>
  </si>
  <si>
    <t>1N05402</t>
  </si>
  <si>
    <t>LT00051829</t>
  </si>
  <si>
    <t>LT00051830</t>
  </si>
  <si>
    <t>LT00051833</t>
  </si>
  <si>
    <t>1N05502</t>
  </si>
  <si>
    <t>1N05602</t>
  </si>
  <si>
    <t>LT00051843</t>
  </si>
  <si>
    <t>1N05702</t>
  </si>
  <si>
    <t>POSM12405001</t>
  </si>
  <si>
    <t>挂耳咖啡礼盒-赠品</t>
  </si>
  <si>
    <t>LT00051849</t>
  </si>
  <si>
    <t>LT00051844</t>
  </si>
  <si>
    <t>1N05802</t>
  </si>
  <si>
    <t>1N06902</t>
  </si>
  <si>
    <t>LT00051839</t>
  </si>
  <si>
    <t>1N07402</t>
  </si>
  <si>
    <t>LT00049789</t>
  </si>
  <si>
    <t>1N07702</t>
  </si>
  <si>
    <t>K4403</t>
  </si>
  <si>
    <t>LT00049788</t>
  </si>
  <si>
    <t>1N07802</t>
  </si>
  <si>
    <t>新版本说明书</t>
  </si>
  <si>
    <t>1053590</t>
  </si>
  <si>
    <t>pack  1  PURITY C500 Minup CU CN</t>
  </si>
  <si>
    <t>LT00048496</t>
  </si>
  <si>
    <t>1O00101</t>
  </si>
  <si>
    <t>2024-04-05</t>
  </si>
  <si>
    <t>2031-04-05</t>
  </si>
  <si>
    <t>0006215458</t>
  </si>
  <si>
    <t>LT00042509</t>
  </si>
  <si>
    <t>1O00102</t>
  </si>
  <si>
    <t>2030-10-13</t>
  </si>
  <si>
    <t>0006197049</t>
  </si>
  <si>
    <t>LT00051959</t>
  </si>
  <si>
    <t>1O00103</t>
  </si>
  <si>
    <t>2030-06-21</t>
  </si>
  <si>
    <t>LT00051560</t>
  </si>
  <si>
    <t>1O00104</t>
  </si>
  <si>
    <t>1036333</t>
  </si>
  <si>
    <t>pack 1 AquaAroma Crema PU36 BRITA CU</t>
  </si>
  <si>
    <t>LT00018134</t>
  </si>
  <si>
    <t>1O00201</t>
  </si>
  <si>
    <t>2021-03-13</t>
  </si>
  <si>
    <t>2028-03-13</t>
  </si>
  <si>
    <t>2021-03-15</t>
  </si>
  <si>
    <t>0006108048</t>
  </si>
  <si>
    <t>1001368</t>
  </si>
  <si>
    <t>Pack 60 AquaAroma Crema BRITA CU</t>
  </si>
  <si>
    <t>LT00049609</t>
  </si>
  <si>
    <t>1O00202</t>
  </si>
  <si>
    <t>2021-10-21</t>
  </si>
  <si>
    <t>2028-10-21</t>
  </si>
  <si>
    <t>0006124124</t>
  </si>
  <si>
    <t>有LOGO</t>
  </si>
  <si>
    <t>LT00049768</t>
  </si>
  <si>
    <t>1O00203</t>
  </si>
  <si>
    <t>2023-09-04</t>
  </si>
  <si>
    <t>2030-09-04</t>
  </si>
  <si>
    <t>LT00051562</t>
  </si>
  <si>
    <t>1O00204</t>
  </si>
  <si>
    <t>1039886</t>
  </si>
  <si>
    <t>碧然德 10-100型流量计</t>
  </si>
  <si>
    <t>Pack 1 BRITA FlowMeter 10-100</t>
  </si>
  <si>
    <t>LT00042453</t>
  </si>
  <si>
    <t>1O00301</t>
  </si>
  <si>
    <t>2023-10-11</t>
  </si>
  <si>
    <t>2030-10-11</t>
  </si>
  <si>
    <t>LT00049610</t>
  </si>
  <si>
    <t>1O00302</t>
  </si>
  <si>
    <t>2022-06-24</t>
  </si>
  <si>
    <t>2029-06-24</t>
  </si>
  <si>
    <t>0006147917</t>
  </si>
  <si>
    <t>1052586</t>
  </si>
  <si>
    <t>F&amp;B Disp Ladoga MXplus UVC whi CNO Sam's</t>
  </si>
  <si>
    <t>LT00045632</t>
  </si>
  <si>
    <t>1O00304</t>
  </si>
  <si>
    <t>2024-01-15</t>
  </si>
  <si>
    <t>2031-01-15</t>
  </si>
  <si>
    <t>WH3084</t>
  </si>
  <si>
    <t>LT00049455</t>
  </si>
  <si>
    <t>1O00401</t>
  </si>
  <si>
    <t>0006150988</t>
  </si>
  <si>
    <t>1030-UR</t>
  </si>
  <si>
    <t>1041094</t>
  </si>
  <si>
    <t>带有整体防回流阀的3/8”止水阀</t>
  </si>
  <si>
    <t>Valve 3/8” with integrated BFP</t>
  </si>
  <si>
    <t>LT00049552</t>
  </si>
  <si>
    <t>1O00402</t>
  </si>
  <si>
    <t>LT00051552</t>
  </si>
  <si>
    <t>1O00403</t>
  </si>
  <si>
    <t>1039774</t>
  </si>
  <si>
    <t>碧然德PURITY C1000 AC型净水器</t>
  </si>
  <si>
    <t>Pack 1 PURITY C1000 AC</t>
  </si>
  <si>
    <t>LT00042513</t>
  </si>
  <si>
    <t>1O00501</t>
  </si>
  <si>
    <t>0006201101</t>
  </si>
  <si>
    <t>1039710</t>
  </si>
  <si>
    <t>碧然德PURITY C1100 Quell ST型净水器</t>
  </si>
  <si>
    <t>Pack 1 PURITY C1100 Quell ST CU CN</t>
  </si>
  <si>
    <t>LT00050479</t>
  </si>
  <si>
    <t>1O00502</t>
  </si>
  <si>
    <t>2024-05-23</t>
  </si>
  <si>
    <t>2031-05-23</t>
  </si>
  <si>
    <t>0006220263</t>
  </si>
  <si>
    <t>LT00051559</t>
  </si>
  <si>
    <t>1O00503</t>
  </si>
  <si>
    <t>LT00046872</t>
  </si>
  <si>
    <t>1O00601</t>
  </si>
  <si>
    <t>00062057084</t>
  </si>
  <si>
    <t>1039724</t>
  </si>
  <si>
    <t>碧然德PURITY C300 Finest型净水器</t>
  </si>
  <si>
    <t>Pack 1 PURITY C300 Finest</t>
  </si>
  <si>
    <t>LT00049554</t>
  </si>
  <si>
    <t>1O00602</t>
  </si>
  <si>
    <t>0006218574</t>
  </si>
  <si>
    <t>LT00049794</t>
  </si>
  <si>
    <t>1O00605</t>
  </si>
  <si>
    <t>0000370582</t>
  </si>
  <si>
    <t>1O00701</t>
  </si>
  <si>
    <t>LT00049611</t>
  </si>
  <si>
    <t>1O00702</t>
  </si>
  <si>
    <t>2022-08-30</t>
  </si>
  <si>
    <t>2029-08-30</t>
  </si>
  <si>
    <t>0006156057</t>
  </si>
  <si>
    <t>LT00051557</t>
  </si>
  <si>
    <t>1O00703</t>
  </si>
  <si>
    <t>LT00029497</t>
  </si>
  <si>
    <t>1O00704</t>
  </si>
  <si>
    <t>2021-09-07</t>
  </si>
  <si>
    <t>2028-09-07</t>
  </si>
  <si>
    <t>KI1331</t>
  </si>
  <si>
    <t>LT00030394</t>
  </si>
  <si>
    <t>2021-09-22</t>
  </si>
  <si>
    <t>2028-09-22</t>
  </si>
  <si>
    <t>1O00705</t>
  </si>
  <si>
    <t>0000370583</t>
  </si>
  <si>
    <t>LT00049612</t>
  </si>
  <si>
    <t>1O00801</t>
  </si>
  <si>
    <t>0006122403</t>
  </si>
  <si>
    <t>没LOGO</t>
  </si>
  <si>
    <t>LT00051793</t>
  </si>
  <si>
    <t>1O00802</t>
  </si>
  <si>
    <t>0006223958</t>
  </si>
  <si>
    <t>LT00049557</t>
  </si>
  <si>
    <t>1O00803</t>
  </si>
  <si>
    <t>0006218547</t>
  </si>
  <si>
    <t>1044822</t>
  </si>
  <si>
    <t>矿泉壶,PS透明壶身配蓝色上盖6支装,Mar XL Galaxy版本</t>
  </si>
  <si>
    <t>LT00032960</t>
  </si>
  <si>
    <t>1O00804</t>
  </si>
  <si>
    <t>2022-09-10</t>
  </si>
  <si>
    <t>2029-09-10</t>
  </si>
  <si>
    <t>LT00036787</t>
  </si>
  <si>
    <t>2022-07-11</t>
  </si>
  <si>
    <t>2029-07-11</t>
  </si>
  <si>
    <t>1O00805</t>
  </si>
  <si>
    <t>0000370584</t>
  </si>
  <si>
    <t>1O00901</t>
  </si>
  <si>
    <t>1039716</t>
  </si>
  <si>
    <t>碧然德PURITY C1100 Finest型净水器</t>
  </si>
  <si>
    <t>Pack 1 PURITY C1100 Finest</t>
  </si>
  <si>
    <t>LT00029363</t>
  </si>
  <si>
    <t>1O00902</t>
  </si>
  <si>
    <t>0006140632</t>
  </si>
  <si>
    <t>1O00903</t>
  </si>
  <si>
    <t>1O00905</t>
  </si>
  <si>
    <t>0000370585</t>
  </si>
  <si>
    <t>LT00049613</t>
  </si>
  <si>
    <t>1O01001</t>
  </si>
  <si>
    <t>2021-10-20</t>
  </si>
  <si>
    <t>2028-10-20</t>
  </si>
  <si>
    <t>0006121027</t>
  </si>
  <si>
    <t>1O01002</t>
  </si>
  <si>
    <t>1O01003</t>
  </si>
  <si>
    <t>1O01005</t>
  </si>
  <si>
    <t>0000370586</t>
  </si>
  <si>
    <t>LT00050478</t>
  </si>
  <si>
    <t>1O01101</t>
  </si>
  <si>
    <t>1039732</t>
  </si>
  <si>
    <t>碧然德PURITY C300 Quell ST型净水器</t>
  </si>
  <si>
    <t>LT00049555</t>
  </si>
  <si>
    <t>1O01102</t>
  </si>
  <si>
    <t>0006218546</t>
  </si>
  <si>
    <t>LT00051900</t>
  </si>
  <si>
    <t>1O01103</t>
  </si>
  <si>
    <t>1O01105</t>
  </si>
  <si>
    <t>0000370587</t>
  </si>
  <si>
    <t>LT00049614</t>
  </si>
  <si>
    <t>1O01202</t>
  </si>
  <si>
    <t>0006150989</t>
  </si>
  <si>
    <t>1O01205</t>
  </si>
  <si>
    <t>0000370588</t>
  </si>
  <si>
    <t>LT00049459</t>
  </si>
  <si>
    <t>1O01301</t>
  </si>
  <si>
    <t>LT00049619</t>
  </si>
  <si>
    <t>1O01302</t>
  </si>
  <si>
    <t>0006151072</t>
  </si>
  <si>
    <t>1O01303</t>
  </si>
  <si>
    <t>1O01305</t>
  </si>
  <si>
    <t>0000370658</t>
  </si>
  <si>
    <t>LT00048495</t>
  </si>
  <si>
    <t>1O01401</t>
  </si>
  <si>
    <t>0006211204</t>
  </si>
  <si>
    <t>1O01402</t>
  </si>
  <si>
    <t>1O01403</t>
  </si>
  <si>
    <t>1O01405</t>
  </si>
  <si>
    <t>0000370659</t>
  </si>
  <si>
    <t>LT00049622</t>
  </si>
  <si>
    <t>1O01501</t>
  </si>
  <si>
    <t>0006120629</t>
  </si>
  <si>
    <t>1030B</t>
  </si>
  <si>
    <t>1O01502</t>
  </si>
  <si>
    <t>1O01503</t>
  </si>
  <si>
    <t>1O01505</t>
  </si>
  <si>
    <t>0000370660</t>
  </si>
  <si>
    <t>1O01601</t>
  </si>
  <si>
    <t>LT00049460</t>
  </si>
  <si>
    <t>1O01602</t>
  </si>
  <si>
    <t>LT00051573</t>
  </si>
  <si>
    <t>1O01603</t>
  </si>
  <si>
    <t>1O01605</t>
  </si>
  <si>
    <t>0000370661</t>
  </si>
  <si>
    <t>LT00049456</t>
  </si>
  <si>
    <t>1O01701</t>
  </si>
  <si>
    <t>0006156056</t>
  </si>
  <si>
    <t>1O01703</t>
  </si>
  <si>
    <t>LT00051576</t>
  </si>
  <si>
    <t>LT00051579</t>
  </si>
  <si>
    <t>LT00026147</t>
  </si>
  <si>
    <t>1O01704</t>
  </si>
  <si>
    <t>2021-06-29</t>
  </si>
  <si>
    <t>2028-06-29</t>
  </si>
  <si>
    <t>LT00029534</t>
  </si>
  <si>
    <t>2022-02-18</t>
  </si>
  <si>
    <t>2028-02-18</t>
  </si>
  <si>
    <t>LT00030403</t>
  </si>
  <si>
    <t>2022-04-01</t>
  </si>
  <si>
    <t>2029-04-01</t>
  </si>
  <si>
    <t>LT00034518</t>
  </si>
  <si>
    <t>2021-10-18</t>
  </si>
  <si>
    <t>2028-10-18</t>
  </si>
  <si>
    <t>YE1292A2</t>
  </si>
  <si>
    <t>LT00037400</t>
  </si>
  <si>
    <t>1O01705</t>
  </si>
  <si>
    <t>0000370662</t>
  </si>
  <si>
    <t>1018872</t>
  </si>
  <si>
    <t>Pack 1 AquaGusto 100 CU</t>
  </si>
  <si>
    <t>LT00042507</t>
  </si>
  <si>
    <t>1O01801</t>
  </si>
  <si>
    <t>LT00051572</t>
  </si>
  <si>
    <t>1O01803</t>
  </si>
  <si>
    <t>LT00051578</t>
  </si>
  <si>
    <t>1O01805</t>
  </si>
  <si>
    <t>0000370663</t>
  </si>
  <si>
    <t>LT00049623</t>
  </si>
  <si>
    <t>1O01901</t>
  </si>
  <si>
    <t>0006156058</t>
  </si>
  <si>
    <t>1O01902</t>
  </si>
  <si>
    <t>LT00051566</t>
  </si>
  <si>
    <t>1O01903</t>
  </si>
  <si>
    <t>1O01905</t>
  </si>
  <si>
    <t>0000370664</t>
  </si>
  <si>
    <t>1004183</t>
  </si>
  <si>
    <t>Pack 60 AquaAroma Crema Lavazza CU</t>
  </si>
  <si>
    <t>LT00042009</t>
  </si>
  <si>
    <t>1O02001</t>
  </si>
  <si>
    <t>2023-09-23</t>
  </si>
  <si>
    <t>2030-09-23</t>
  </si>
  <si>
    <t>0006198273</t>
  </si>
  <si>
    <t>LT00035227</t>
  </si>
  <si>
    <t>1O02003</t>
  </si>
  <si>
    <t>2023-02-13</t>
  </si>
  <si>
    <t>2030-02-13</t>
  </si>
  <si>
    <t>1041918</t>
  </si>
  <si>
    <t>Marella XL Blue + LM Mxplus*5 BCM CU CN</t>
  </si>
  <si>
    <t>LT00040245</t>
  </si>
  <si>
    <t>1O02005</t>
  </si>
  <si>
    <t>2023-07-12</t>
  </si>
  <si>
    <t>2030-07-12</t>
  </si>
  <si>
    <t>4500330979</t>
  </si>
  <si>
    <t>1035801</t>
  </si>
  <si>
    <t>pack 1PURITY C500 MinUp CP</t>
  </si>
  <si>
    <t>LT00040943</t>
  </si>
  <si>
    <t>1O02101</t>
  </si>
  <si>
    <t>2023-08-19</t>
  </si>
  <si>
    <t>2030-08-19</t>
  </si>
  <si>
    <t>0006194294</t>
  </si>
  <si>
    <t>1O02102</t>
  </si>
  <si>
    <t>LT00049551</t>
  </si>
  <si>
    <t>1O02103</t>
  </si>
  <si>
    <t>0006219381</t>
  </si>
  <si>
    <t>LT00047417</t>
  </si>
  <si>
    <t>1O02104</t>
  </si>
  <si>
    <t>2023-11-11</t>
  </si>
  <si>
    <t>2030-11-11</t>
  </si>
  <si>
    <t>2023-11-13</t>
  </si>
  <si>
    <t>WH3021</t>
  </si>
  <si>
    <t>1O02105</t>
  </si>
  <si>
    <t>0000370665</t>
  </si>
  <si>
    <t>LT00051797</t>
  </si>
  <si>
    <t>1O02201</t>
  </si>
  <si>
    <t>0006226384</t>
  </si>
  <si>
    <t>1039738</t>
  </si>
  <si>
    <t>碧然德PURITY C50 Quell ST型净水器</t>
  </si>
  <si>
    <t>LT00051800</t>
  </si>
  <si>
    <t>0006224759</t>
  </si>
  <si>
    <t>LT00029364</t>
  </si>
  <si>
    <t>1O02202</t>
  </si>
  <si>
    <t>0006138311</t>
  </si>
  <si>
    <t>1027177Z</t>
  </si>
  <si>
    <t>二代滤芯（进口）</t>
  </si>
  <si>
    <t>LT00009762</t>
  </si>
  <si>
    <t>1O02203</t>
  </si>
  <si>
    <t>0000092078</t>
  </si>
  <si>
    <t>2020-06-10</t>
  </si>
  <si>
    <t>2027-06-10</t>
  </si>
  <si>
    <t>201801</t>
  </si>
  <si>
    <t>1O02205</t>
  </si>
  <si>
    <t>0000370666</t>
  </si>
  <si>
    <t>LT00051796</t>
  </si>
  <si>
    <t>1O02301</t>
  </si>
  <si>
    <t>1039713</t>
  </si>
  <si>
    <t>碧然德PURITY C50 Fresh型净水器</t>
  </si>
  <si>
    <t>Pack 1 PURITY C50 Fresh</t>
  </si>
  <si>
    <t>LT00049556</t>
  </si>
  <si>
    <t>1O02302</t>
  </si>
  <si>
    <t>0006218642</t>
  </si>
  <si>
    <t>1O02303</t>
  </si>
  <si>
    <t>0000092059</t>
  </si>
  <si>
    <t>1O02304</t>
  </si>
  <si>
    <t>0000092079</t>
  </si>
  <si>
    <t>1O02305</t>
  </si>
  <si>
    <t>0000370667</t>
  </si>
  <si>
    <t>LT00051792</t>
  </si>
  <si>
    <t>1O02401</t>
  </si>
  <si>
    <t>1O02402</t>
  </si>
  <si>
    <t>LT00049760</t>
  </si>
  <si>
    <t>1O02403</t>
  </si>
  <si>
    <t>无LOGO</t>
  </si>
  <si>
    <t>1O02404</t>
  </si>
  <si>
    <t>1O02405</t>
  </si>
  <si>
    <t>0000370668</t>
  </si>
  <si>
    <t>LT00046871</t>
  </si>
  <si>
    <t>1O02501</t>
  </si>
  <si>
    <t>0006208892</t>
  </si>
  <si>
    <t>LT00049624</t>
  </si>
  <si>
    <t>1O02502</t>
  </si>
  <si>
    <t>0006154214</t>
  </si>
  <si>
    <t>1O02505</t>
  </si>
  <si>
    <t>0000370669</t>
  </si>
  <si>
    <t>1O02601</t>
  </si>
  <si>
    <t>1039728</t>
  </si>
  <si>
    <t>碧然德PURITY C500 Quell ST型净水器</t>
  </si>
  <si>
    <t>Pack 1 PURITY C500 Quell ST CU CN</t>
  </si>
  <si>
    <t>LT00047709</t>
  </si>
  <si>
    <t>1O02602</t>
  </si>
  <si>
    <t>2024-03-14</t>
  </si>
  <si>
    <t>2031-03-14</t>
  </si>
  <si>
    <t>0006212504</t>
  </si>
  <si>
    <t>LT00042512</t>
  </si>
  <si>
    <t>1O02604</t>
  </si>
  <si>
    <t>0006197836</t>
  </si>
  <si>
    <t>1O02605</t>
  </si>
  <si>
    <t>0000370670</t>
  </si>
  <si>
    <t>LT00048494</t>
  </si>
  <si>
    <t>1O02701</t>
  </si>
  <si>
    <t>0006244203</t>
  </si>
  <si>
    <t>LT00049625</t>
  </si>
  <si>
    <t>1O02702</t>
  </si>
  <si>
    <t>1O02703</t>
  </si>
  <si>
    <t>0000092060</t>
  </si>
  <si>
    <t>LT00047416</t>
  </si>
  <si>
    <t>1O02704</t>
  </si>
  <si>
    <t>1O02705</t>
  </si>
  <si>
    <t>0000370671</t>
  </si>
  <si>
    <t>1052445</t>
  </si>
  <si>
    <t>Marella XL glit silver 2MX+ Sam's bundle</t>
  </si>
  <si>
    <t>LT00051574</t>
  </si>
  <si>
    <t>1O02803</t>
  </si>
  <si>
    <t>1O02804</t>
  </si>
  <si>
    <t>1O02805</t>
  </si>
  <si>
    <t>0000370672</t>
  </si>
  <si>
    <t>LT00049462</t>
  </si>
  <si>
    <t>1O02902</t>
  </si>
  <si>
    <t>LT00051564</t>
  </si>
  <si>
    <t>1O02903</t>
  </si>
  <si>
    <t>1O02905</t>
  </si>
  <si>
    <t>0000370673</t>
  </si>
  <si>
    <t>LT00049463</t>
  </si>
  <si>
    <t>1O03002</t>
  </si>
  <si>
    <t>LT00051568</t>
  </si>
  <si>
    <t>1O03003</t>
  </si>
  <si>
    <t>LT00047363</t>
  </si>
  <si>
    <t>1O03004</t>
  </si>
  <si>
    <t>2023-11-16</t>
  </si>
  <si>
    <t>2030-11-16</t>
  </si>
  <si>
    <t>1O03005</t>
  </si>
  <si>
    <t>0000370674</t>
  </si>
  <si>
    <t>1O03101</t>
  </si>
  <si>
    <t>LT00049626</t>
  </si>
  <si>
    <t>1O03102</t>
  </si>
  <si>
    <t>有LOGO说明书生锈</t>
  </si>
  <si>
    <t>LT00009400</t>
  </si>
  <si>
    <t>1O03104</t>
  </si>
  <si>
    <t>0000089769</t>
  </si>
  <si>
    <t>2020-05-29</t>
  </si>
  <si>
    <t>2027-05-29</t>
  </si>
  <si>
    <t>201808</t>
  </si>
  <si>
    <t>1O03105</t>
  </si>
  <si>
    <t>0000370675</t>
  </si>
  <si>
    <t>1O03201</t>
  </si>
  <si>
    <t>1O03202</t>
  </si>
  <si>
    <t>LT00009768</t>
  </si>
  <si>
    <t>1O03205</t>
  </si>
  <si>
    <t>0000092067</t>
  </si>
  <si>
    <t>201901</t>
  </si>
  <si>
    <t>1O03301</t>
  </si>
  <si>
    <t>1O03302</t>
  </si>
  <si>
    <t>LT00049759</t>
  </si>
  <si>
    <t>1O03303</t>
  </si>
  <si>
    <t>1O03305</t>
  </si>
  <si>
    <t>0000370676</t>
  </si>
  <si>
    <t>LT00051795</t>
  </si>
  <si>
    <t>1O03401</t>
  </si>
  <si>
    <t>0006224757</t>
  </si>
  <si>
    <t>LT00042011</t>
  </si>
  <si>
    <t>1O03402</t>
  </si>
  <si>
    <t>0006198272</t>
  </si>
  <si>
    <t>1O03403</t>
  </si>
  <si>
    <t>1O03405</t>
  </si>
  <si>
    <t>0000370677</t>
  </si>
  <si>
    <t>1O03501</t>
  </si>
  <si>
    <t>LT00042012</t>
  </si>
  <si>
    <t>1O03502</t>
  </si>
  <si>
    <t>0006194924</t>
  </si>
  <si>
    <t>1O03505</t>
  </si>
  <si>
    <t>0000370678</t>
  </si>
  <si>
    <t>1O03601</t>
  </si>
  <si>
    <t>LT00049464</t>
  </si>
  <si>
    <t>1O03602</t>
  </si>
  <si>
    <t>0000237800</t>
  </si>
  <si>
    <t>1039883</t>
  </si>
  <si>
    <t>碧然德 PURITY C G3/8滤头</t>
  </si>
  <si>
    <t>P1 PURITY C Filterkopf 0-70% G3/8</t>
  </si>
  <si>
    <t>LT00050146</t>
  </si>
  <si>
    <t>1O03603</t>
  </si>
  <si>
    <t>H4185</t>
  </si>
  <si>
    <t>LT00045631</t>
  </si>
  <si>
    <t>1O03604</t>
  </si>
  <si>
    <t>WH3052</t>
  </si>
  <si>
    <t>1O03605</t>
  </si>
  <si>
    <t>0000370679</t>
  </si>
  <si>
    <t>LT00049627</t>
  </si>
  <si>
    <t>1O03701</t>
  </si>
  <si>
    <t>LT00049628</t>
  </si>
  <si>
    <t>1O03702</t>
  </si>
  <si>
    <t>1O03705</t>
  </si>
  <si>
    <t>0000370680</t>
  </si>
  <si>
    <t>1O03801</t>
  </si>
  <si>
    <t>1O03803</t>
  </si>
  <si>
    <t>0000092066</t>
  </si>
  <si>
    <t>1O03901</t>
  </si>
  <si>
    <t>1O03902</t>
  </si>
  <si>
    <t>1O03903</t>
  </si>
  <si>
    <t>1O04001</t>
  </si>
  <si>
    <t>1O04002</t>
  </si>
  <si>
    <t>LT00051798</t>
  </si>
  <si>
    <t>1O04101</t>
  </si>
  <si>
    <t>LT00049629</t>
  </si>
  <si>
    <t>1O04102</t>
  </si>
  <si>
    <t>1O04103</t>
  </si>
  <si>
    <t>LT00040965</t>
  </si>
  <si>
    <t>1O04201</t>
  </si>
  <si>
    <t>2023-08-23</t>
  </si>
  <si>
    <t>2030-08-23</t>
  </si>
  <si>
    <t>LT00049630</t>
  </si>
  <si>
    <t>1O04202</t>
  </si>
  <si>
    <t>LT00009772</t>
  </si>
  <si>
    <t>1O04203</t>
  </si>
  <si>
    <t>0000092070</t>
  </si>
  <si>
    <t>201903</t>
  </si>
  <si>
    <t>1O04301</t>
  </si>
  <si>
    <t>1O04302</t>
  </si>
  <si>
    <t>LT00050477</t>
  </si>
  <si>
    <t>1O04303</t>
  </si>
  <si>
    <t>1O04401</t>
  </si>
  <si>
    <t>1O04402</t>
  </si>
  <si>
    <t>1O04501</t>
  </si>
  <si>
    <t>1O04502</t>
  </si>
  <si>
    <t>1029399</t>
  </si>
  <si>
    <t>Fica MAXTRAplus UNIV CN 3</t>
  </si>
  <si>
    <t>LT00042560</t>
  </si>
  <si>
    <t>1O04503</t>
  </si>
  <si>
    <t>坏滤芯</t>
  </si>
  <si>
    <t>1O04601</t>
  </si>
  <si>
    <t>LT00042006</t>
  </si>
  <si>
    <t>1O04602</t>
  </si>
  <si>
    <t>1O04603</t>
  </si>
  <si>
    <t>1O04701</t>
  </si>
  <si>
    <t>1O04702</t>
  </si>
  <si>
    <t>LT00050147</t>
  </si>
  <si>
    <t>1O04703</t>
  </si>
  <si>
    <t>H4182</t>
  </si>
  <si>
    <t>1O04801</t>
  </si>
  <si>
    <t>1O04802</t>
  </si>
  <si>
    <t>LT00042511</t>
  </si>
  <si>
    <t>1O04901</t>
  </si>
  <si>
    <t>0006200508</t>
  </si>
  <si>
    <t>LT00049631</t>
  </si>
  <si>
    <t>1O04902</t>
  </si>
  <si>
    <t>1O05001</t>
  </si>
  <si>
    <t>LT00049632</t>
  </si>
  <si>
    <t>1O05002</t>
  </si>
  <si>
    <t>LT00042385</t>
  </si>
  <si>
    <t>1O05003</t>
  </si>
  <si>
    <t>0006196290</t>
  </si>
  <si>
    <t>1039735</t>
  </si>
  <si>
    <t>碧然德PURITY C150 Quell ST型净水器</t>
  </si>
  <si>
    <t>LT00016058</t>
  </si>
  <si>
    <t>1O05101</t>
  </si>
  <si>
    <t>2020-12-24</t>
  </si>
  <si>
    <t>2027-12-24</t>
  </si>
  <si>
    <t>0006090886</t>
  </si>
  <si>
    <t>LT00047711</t>
  </si>
  <si>
    <t>1O05102</t>
  </si>
  <si>
    <t>0006213280</t>
  </si>
  <si>
    <t>LT00009770</t>
  </si>
  <si>
    <t>1O05103</t>
  </si>
  <si>
    <t>0000092068</t>
  </si>
  <si>
    <t>201902</t>
  </si>
  <si>
    <t>1O05201</t>
  </si>
  <si>
    <t>1O05202</t>
  </si>
  <si>
    <t>LT00050484</t>
  </si>
  <si>
    <t>1O05203</t>
  </si>
  <si>
    <t>0006221898</t>
  </si>
  <si>
    <t>1O05301</t>
  </si>
  <si>
    <t>1O05303</t>
  </si>
  <si>
    <t>LT00049633</t>
  </si>
  <si>
    <t>1O05401</t>
  </si>
  <si>
    <t>0000237799</t>
  </si>
  <si>
    <t>没LOGO说明书生锈</t>
  </si>
  <si>
    <t>1O05403</t>
  </si>
  <si>
    <t>LT00009409</t>
  </si>
  <si>
    <t>1O05405</t>
  </si>
  <si>
    <t>0000089782</t>
  </si>
  <si>
    <t>201807</t>
  </si>
  <si>
    <t>1O05501</t>
  </si>
  <si>
    <t>1O05502</t>
  </si>
  <si>
    <t>LT00049634</t>
  </si>
  <si>
    <t>1O05503</t>
  </si>
  <si>
    <t>1O05601</t>
  </si>
  <si>
    <t>1O05602</t>
  </si>
  <si>
    <t>LT00026640</t>
  </si>
  <si>
    <t>1O05701</t>
  </si>
  <si>
    <t>0000258461</t>
  </si>
  <si>
    <t>2022-03-02</t>
  </si>
  <si>
    <t>2028-03-02</t>
  </si>
  <si>
    <t>LT00029432</t>
  </si>
  <si>
    <t>1O05702</t>
  </si>
  <si>
    <t>2022-06-27</t>
  </si>
  <si>
    <t>2028-06-27</t>
  </si>
  <si>
    <t>LT00050476</t>
  </si>
  <si>
    <t>1O05703</t>
  </si>
  <si>
    <t>0006218895</t>
  </si>
  <si>
    <t>1O05801</t>
  </si>
  <si>
    <t>LT00025864</t>
  </si>
  <si>
    <t>1O05802</t>
  </si>
  <si>
    <t>0000255286</t>
  </si>
  <si>
    <t>2022-02-08</t>
  </si>
  <si>
    <t>2029-02-08</t>
  </si>
  <si>
    <t>2022-02-09</t>
  </si>
  <si>
    <t>0006099473</t>
  </si>
  <si>
    <t>LT00050475</t>
  </si>
  <si>
    <t>1O05803</t>
  </si>
  <si>
    <t>0006221281</t>
  </si>
  <si>
    <t>1O05901</t>
  </si>
  <si>
    <t>1O05902</t>
  </si>
  <si>
    <t>0000258460</t>
  </si>
  <si>
    <t>1O06001</t>
  </si>
  <si>
    <t>1O06002</t>
  </si>
  <si>
    <t>0000237801</t>
  </si>
  <si>
    <t>1O06101</t>
  </si>
  <si>
    <t>LT00049635</t>
  </si>
  <si>
    <t>1O06102</t>
  </si>
  <si>
    <t>0000237803</t>
  </si>
  <si>
    <t>1O06201</t>
  </si>
  <si>
    <t>1O06205</t>
  </si>
  <si>
    <t>0000371601</t>
  </si>
  <si>
    <t>LT00049636</t>
  </si>
  <si>
    <t>1O06301</t>
  </si>
  <si>
    <t>0000237417</t>
  </si>
  <si>
    <t>1O06302</t>
  </si>
  <si>
    <t>1O06303</t>
  </si>
  <si>
    <t>1O06305</t>
  </si>
  <si>
    <t>0000340779</t>
  </si>
  <si>
    <t>1O06401</t>
  </si>
  <si>
    <t>0000258457</t>
  </si>
  <si>
    <t>LT00050480</t>
  </si>
  <si>
    <t>1O06402</t>
  </si>
  <si>
    <t>0006215428</t>
  </si>
  <si>
    <t>1O06405</t>
  </si>
  <si>
    <t>0000371602</t>
  </si>
  <si>
    <t>LT00047712</t>
  </si>
  <si>
    <t>1O06501</t>
  </si>
  <si>
    <t>LT00050481</t>
  </si>
  <si>
    <t>1O06502</t>
  </si>
  <si>
    <t>0006221893</t>
  </si>
  <si>
    <t>1O06505</t>
  </si>
  <si>
    <t>0000371603</t>
  </si>
  <si>
    <t>1O06601</t>
  </si>
  <si>
    <t>0000258458</t>
  </si>
  <si>
    <t>LT00049558</t>
  </si>
  <si>
    <t>1O06602</t>
  </si>
  <si>
    <t>1O06604</t>
  </si>
  <si>
    <t>0000089781</t>
  </si>
  <si>
    <t>1O06605</t>
  </si>
  <si>
    <t>0000371604</t>
  </si>
  <si>
    <t>LT00049637</t>
  </si>
  <si>
    <t>1O06701</t>
  </si>
  <si>
    <t>LT00050482</t>
  </si>
  <si>
    <t>1O06702</t>
  </si>
  <si>
    <t>0006221892</t>
  </si>
  <si>
    <t>LT00050148</t>
  </si>
  <si>
    <t>1O06703</t>
  </si>
  <si>
    <t>4182</t>
  </si>
  <si>
    <t>1O06705</t>
  </si>
  <si>
    <t>0000371605</t>
  </si>
  <si>
    <t>1O06801</t>
  </si>
  <si>
    <t>LT00026642</t>
  </si>
  <si>
    <t>1O06802</t>
  </si>
  <si>
    <t>0006137126</t>
  </si>
  <si>
    <t>1O06803</t>
  </si>
  <si>
    <t>LT00009401</t>
  </si>
  <si>
    <t>1O06804</t>
  </si>
  <si>
    <t>0000089770</t>
  </si>
  <si>
    <t>201809</t>
  </si>
  <si>
    <t>1O06805</t>
  </si>
  <si>
    <t>0000371606</t>
  </si>
  <si>
    <t>LT00049638</t>
  </si>
  <si>
    <t>1O06901</t>
  </si>
  <si>
    <t>LT00050483</t>
  </si>
  <si>
    <t>1O06902</t>
  </si>
  <si>
    <t>1O06905</t>
  </si>
  <si>
    <t>0000371607</t>
  </si>
  <si>
    <t>1O07001</t>
  </si>
  <si>
    <t>1O07003</t>
  </si>
  <si>
    <t>1O07005</t>
  </si>
  <si>
    <t>0000371608</t>
  </si>
  <si>
    <t>LT00049465</t>
  </si>
  <si>
    <t>1O07101</t>
  </si>
  <si>
    <t>0000237421</t>
  </si>
  <si>
    <t>1O07105</t>
  </si>
  <si>
    <t>0000371609</t>
  </si>
  <si>
    <t>1O07201</t>
  </si>
  <si>
    <t>1O07205</t>
  </si>
  <si>
    <t>0000371610</t>
  </si>
  <si>
    <t>LT00049639</t>
  </si>
  <si>
    <t>1O07301</t>
  </si>
  <si>
    <t>0006154213</t>
  </si>
  <si>
    <t>1O07302</t>
  </si>
  <si>
    <t>1O07305</t>
  </si>
  <si>
    <t>0000371611</t>
  </si>
  <si>
    <t>1O07401</t>
  </si>
  <si>
    <t>0000258459</t>
  </si>
  <si>
    <t>1O07402</t>
  </si>
  <si>
    <t>1O07405</t>
  </si>
  <si>
    <t>0000371612</t>
  </si>
  <si>
    <t>1O07501</t>
  </si>
  <si>
    <t>1O07505</t>
  </si>
  <si>
    <t>0000371613</t>
  </si>
  <si>
    <t>1O07601</t>
  </si>
  <si>
    <t>1O07605</t>
  </si>
  <si>
    <t>0000371614</t>
  </si>
  <si>
    <t>1O07701</t>
  </si>
  <si>
    <t>1O07705</t>
  </si>
  <si>
    <t>0000371615</t>
  </si>
  <si>
    <t>1O07801</t>
  </si>
  <si>
    <t>1O07805</t>
  </si>
  <si>
    <t>0000371616</t>
  </si>
  <si>
    <t>LT00045799</t>
  </si>
  <si>
    <t>1P00101</t>
  </si>
  <si>
    <t>2024-01-17</t>
  </si>
  <si>
    <t>2031-01-17</t>
  </si>
  <si>
    <t>1023B</t>
  </si>
  <si>
    <t>LT00046361</t>
  </si>
  <si>
    <t>2024-01-23</t>
  </si>
  <si>
    <t>2031-01-23</t>
  </si>
  <si>
    <t>C2</t>
  </si>
  <si>
    <t>LT00046362</t>
  </si>
  <si>
    <t>LT00048024</t>
  </si>
  <si>
    <t>1046180</t>
  </si>
  <si>
    <t>Bundle WaFiBo pink 4MD CU CN</t>
  </si>
  <si>
    <t>LT00041037</t>
  </si>
  <si>
    <t>1P00102</t>
  </si>
  <si>
    <t>2023-07-11</t>
  </si>
  <si>
    <t>2030-07-11</t>
  </si>
  <si>
    <t>C</t>
  </si>
  <si>
    <t>LT00051588</t>
  </si>
  <si>
    <t>1P00103</t>
  </si>
  <si>
    <t>KI3373</t>
  </si>
  <si>
    <t>B</t>
  </si>
  <si>
    <t>LT00009782</t>
  </si>
  <si>
    <t>1P00105</t>
  </si>
  <si>
    <t>0000092073</t>
  </si>
  <si>
    <t>201802</t>
  </si>
  <si>
    <t>LT00046718</t>
  </si>
  <si>
    <t>1P00201</t>
  </si>
  <si>
    <t>2031-01-05</t>
  </si>
  <si>
    <t>A(PF)</t>
  </si>
  <si>
    <t>LT00051931</t>
  </si>
  <si>
    <t>1P00202</t>
  </si>
  <si>
    <t>LT00051415</t>
  </si>
  <si>
    <t>1P00203</t>
  </si>
  <si>
    <t>0000377883</t>
  </si>
  <si>
    <t>0006231106</t>
  </si>
  <si>
    <t>LT00048462</t>
  </si>
  <si>
    <t>1P00301</t>
  </si>
  <si>
    <t>2023-12-26</t>
  </si>
  <si>
    <t>2030-12-26</t>
  </si>
  <si>
    <t>2023-12-28</t>
  </si>
  <si>
    <t>LT00048758</t>
  </si>
  <si>
    <t>2023-12-04</t>
  </si>
  <si>
    <t>2030-12-04</t>
  </si>
  <si>
    <t>0006159516</t>
  </si>
  <si>
    <t>LT00051930</t>
  </si>
  <si>
    <t>1P00302</t>
  </si>
  <si>
    <t>LT00048242</t>
  </si>
  <si>
    <t>1P00303</t>
  </si>
  <si>
    <t>2024-03-27</t>
  </si>
  <si>
    <t>2030-03-27</t>
  </si>
  <si>
    <t>2024-03-28</t>
  </si>
  <si>
    <t>2023</t>
  </si>
  <si>
    <t>LT00051590</t>
  </si>
  <si>
    <t>1P00304</t>
  </si>
  <si>
    <t>KI3481</t>
  </si>
  <si>
    <t>LT00042650</t>
  </si>
  <si>
    <t>1P00402</t>
  </si>
  <si>
    <t>2023-10-18</t>
  </si>
  <si>
    <t>2030-10-18</t>
  </si>
  <si>
    <t>1P00403</t>
  </si>
  <si>
    <t>0000377884</t>
  </si>
  <si>
    <t>LT00051266</t>
  </si>
  <si>
    <t>1P00404</t>
  </si>
  <si>
    <t>2024-06-14</t>
  </si>
  <si>
    <t>已检测</t>
  </si>
  <si>
    <t>LT00051267</t>
  </si>
  <si>
    <t>LT00051929</t>
  </si>
  <si>
    <t>1P00502</t>
  </si>
  <si>
    <t>LT00051269</t>
  </si>
  <si>
    <t>1P00503</t>
  </si>
  <si>
    <t>LT00051589</t>
  </si>
  <si>
    <t>1P00504</t>
  </si>
  <si>
    <t>LT00049199</t>
  </si>
  <si>
    <t>1P00602</t>
  </si>
  <si>
    <t>2024-04-09</t>
  </si>
  <si>
    <t>2031-04-09</t>
  </si>
  <si>
    <t>1P00603</t>
  </si>
  <si>
    <t>LT00051595</t>
  </si>
  <si>
    <t>1P00604</t>
  </si>
  <si>
    <t>LT00042649</t>
  </si>
  <si>
    <t>1P00702</t>
  </si>
  <si>
    <t>LT00048243</t>
  </si>
  <si>
    <t>1P00703</t>
  </si>
  <si>
    <t>2021</t>
  </si>
  <si>
    <t>LT00048244</t>
  </si>
  <si>
    <t>2022</t>
  </si>
  <si>
    <t>LT00051591</t>
  </si>
  <si>
    <t>1P00704</t>
  </si>
  <si>
    <t>1P00802</t>
  </si>
  <si>
    <t>LT00051593</t>
  </si>
  <si>
    <t>1P00803</t>
  </si>
  <si>
    <t>LT00035332</t>
  </si>
  <si>
    <t>1P00804</t>
  </si>
  <si>
    <t>0000095659</t>
  </si>
  <si>
    <t>2020-06-19</t>
  </si>
  <si>
    <t>2027-06-19</t>
  </si>
  <si>
    <t>201909</t>
  </si>
  <si>
    <t>LT00042648</t>
  </si>
  <si>
    <t>1P00902</t>
  </si>
  <si>
    <t>1P00903</t>
  </si>
  <si>
    <t>LT00041269</t>
  </si>
  <si>
    <t>1P01002</t>
  </si>
  <si>
    <t>2023-07-17</t>
  </si>
  <si>
    <t>2030-07-17</t>
  </si>
  <si>
    <t>1P01003</t>
  </si>
  <si>
    <t>LT00050193</t>
  </si>
  <si>
    <t>1P01004</t>
  </si>
  <si>
    <t>KT</t>
  </si>
  <si>
    <t>D</t>
  </si>
  <si>
    <t>LT00050687</t>
  </si>
  <si>
    <t>1P01005</t>
  </si>
  <si>
    <t>2023-05-28</t>
  </si>
  <si>
    <t>LT00050782</t>
  </si>
  <si>
    <t>1P01102</t>
  </si>
  <si>
    <t>0006214300</t>
  </si>
  <si>
    <t>JS</t>
  </si>
  <si>
    <t>1029392</t>
  </si>
  <si>
    <t>Pack 1 MAXTRAplus LM EXP CU CN 3</t>
  </si>
  <si>
    <t>LT00039942</t>
  </si>
  <si>
    <t>1P01103</t>
  </si>
  <si>
    <t>2023-06-24</t>
  </si>
  <si>
    <t>2030-06-24</t>
  </si>
  <si>
    <t>LT00009776</t>
  </si>
  <si>
    <t>1P01202</t>
  </si>
  <si>
    <t>0000092071</t>
  </si>
  <si>
    <t>201806</t>
  </si>
  <si>
    <t>1P01203</t>
  </si>
  <si>
    <t>LT00049772</t>
  </si>
  <si>
    <t>1P01204</t>
  </si>
  <si>
    <t>1P01205</t>
  </si>
  <si>
    <t>0000092074</t>
  </si>
  <si>
    <t>LT00042872</t>
  </si>
  <si>
    <t>1P01302</t>
  </si>
  <si>
    <t>2023-08-15</t>
  </si>
  <si>
    <t>2030-08-15</t>
  </si>
  <si>
    <t>1P01303</t>
  </si>
  <si>
    <t>1P01305</t>
  </si>
  <si>
    <t>0000092075</t>
  </si>
  <si>
    <t>LT00042679</t>
  </si>
  <si>
    <t>1P01402</t>
  </si>
  <si>
    <t>2023-10-19</t>
  </si>
  <si>
    <t>2030-10-19</t>
  </si>
  <si>
    <t>LT00042680</t>
  </si>
  <si>
    <t>LT00051268</t>
  </si>
  <si>
    <t>1P01403</t>
  </si>
  <si>
    <t>1P01405</t>
  </si>
  <si>
    <t>0000092076</t>
  </si>
  <si>
    <t>LT00045147</t>
  </si>
  <si>
    <t>1P01502</t>
  </si>
  <si>
    <t>2023-12-30</t>
  </si>
  <si>
    <t>2030-12-30</t>
  </si>
  <si>
    <t>LT00045151</t>
  </si>
  <si>
    <t>LT00045154</t>
  </si>
  <si>
    <t>LT00051270</t>
  </si>
  <si>
    <t>1P01503</t>
  </si>
  <si>
    <t>1P01505</t>
  </si>
  <si>
    <t>0000092077</t>
  </si>
  <si>
    <t>LT00051927</t>
  </si>
  <si>
    <t>1P01602</t>
  </si>
  <si>
    <t>1P01603</t>
  </si>
  <si>
    <t>LT00051548</t>
  </si>
  <si>
    <t>1P01604</t>
  </si>
  <si>
    <t>LT00046037</t>
  </si>
  <si>
    <t>1P01702</t>
  </si>
  <si>
    <t>2024-01-22</t>
  </si>
  <si>
    <t>2031-01-22</t>
  </si>
  <si>
    <t>KT-D</t>
  </si>
  <si>
    <t>LT00051596</t>
  </si>
  <si>
    <t>1P01703</t>
  </si>
  <si>
    <t>1P01704</t>
  </si>
  <si>
    <t>1029397</t>
  </si>
  <si>
    <t>Pack 6 MAXTRAplus LM EXP CU CN 3</t>
  </si>
  <si>
    <t>LT00046039</t>
  </si>
  <si>
    <t>1P01802</t>
  </si>
  <si>
    <t>LT00048212</t>
  </si>
  <si>
    <t>1P01902</t>
  </si>
  <si>
    <t>LT00049203</t>
  </si>
  <si>
    <t>1P01903</t>
  </si>
  <si>
    <t>1042036</t>
  </si>
  <si>
    <t>Filter&amp;Boil Station MXp BCMbrushed CU CN</t>
  </si>
  <si>
    <t>LT00051904</t>
  </si>
  <si>
    <t>1P02002</t>
  </si>
  <si>
    <t>1029338</t>
  </si>
  <si>
    <t>Marella XL ME4W MXplus blue Yam CU CN</t>
  </si>
  <si>
    <t>LT00046048</t>
  </si>
  <si>
    <t>1P02102</t>
  </si>
  <si>
    <t>LT00036368</t>
  </si>
  <si>
    <t>1P02104</t>
  </si>
  <si>
    <t>2023-03-23</t>
  </si>
  <si>
    <t>2030-02-05</t>
  </si>
  <si>
    <t>2022.5</t>
  </si>
  <si>
    <t>LT00036369</t>
  </si>
  <si>
    <t>2022.6</t>
  </si>
  <si>
    <t>1P02105</t>
  </si>
  <si>
    <t>0000089766</t>
  </si>
  <si>
    <t>1026460</t>
  </si>
  <si>
    <t>Marella XL ME4W MXplus blau CU ROWO</t>
  </si>
  <si>
    <t>LT00049193</t>
  </si>
  <si>
    <t>1P02202</t>
  </si>
  <si>
    <t>LT00049194</t>
  </si>
  <si>
    <t>LT00049196</t>
  </si>
  <si>
    <t>LT00044405</t>
  </si>
  <si>
    <t>1P02203</t>
  </si>
  <si>
    <t>2030-12-11</t>
  </si>
  <si>
    <t>LT00052274</t>
  </si>
  <si>
    <t>1P02301</t>
  </si>
  <si>
    <t>2031-05-17</t>
  </si>
  <si>
    <t>LT00046074</t>
  </si>
  <si>
    <t>1P02302</t>
  </si>
  <si>
    <t>1029381</t>
  </si>
  <si>
    <t>Pack 1 MAXTRAplus UNIV CU CN 3</t>
  </si>
  <si>
    <t>LT00044357</t>
  </si>
  <si>
    <t>1P02303</t>
  </si>
  <si>
    <t>LT00036372</t>
  </si>
  <si>
    <t>1P02304</t>
  </si>
  <si>
    <t>2022.3</t>
  </si>
  <si>
    <t>LT00036373</t>
  </si>
  <si>
    <t>2022.7</t>
  </si>
  <si>
    <t>LT00036374</t>
  </si>
  <si>
    <t>2022.10</t>
  </si>
  <si>
    <t>LT00052275</t>
  </si>
  <si>
    <t>1P02401</t>
  </si>
  <si>
    <t>LT00049454</t>
  </si>
  <si>
    <t>1P02402</t>
  </si>
  <si>
    <t>2031-03-07</t>
  </si>
  <si>
    <t>LT00046044</t>
  </si>
  <si>
    <t>1P02403</t>
  </si>
  <si>
    <t>1P02404</t>
  </si>
  <si>
    <t>LT00051643</t>
  </si>
  <si>
    <t>1P02501</t>
  </si>
  <si>
    <t>LT00051644</t>
  </si>
  <si>
    <t>LT00051646</t>
  </si>
  <si>
    <t>LT00051647</t>
  </si>
  <si>
    <t>LT00051905</t>
  </si>
  <si>
    <t>1P02502</t>
  </si>
  <si>
    <t>LT00049189</t>
  </si>
  <si>
    <t>1P02503</t>
  </si>
  <si>
    <t>LT00049190</t>
  </si>
  <si>
    <t>LT00036378</t>
  </si>
  <si>
    <t>1P02504</t>
  </si>
  <si>
    <t>2021.10</t>
  </si>
  <si>
    <t>LT00036379</t>
  </si>
  <si>
    <t>2021.5</t>
  </si>
  <si>
    <t>LT00046663</t>
  </si>
  <si>
    <t>1P02601</t>
  </si>
  <si>
    <t>2024-02-05</t>
  </si>
  <si>
    <t>LT00048748</t>
  </si>
  <si>
    <t>LT00048749</t>
  </si>
  <si>
    <t>2023-01-01</t>
  </si>
  <si>
    <t>2031-01-01</t>
  </si>
  <si>
    <t>LT00051637</t>
  </si>
  <si>
    <t>2030-06-02</t>
  </si>
  <si>
    <t>LT00051640</t>
  </si>
  <si>
    <t>LT00043474</t>
  </si>
  <si>
    <t>1P02602</t>
  </si>
  <si>
    <t>2023-10-24</t>
  </si>
  <si>
    <t>2030-10-24</t>
  </si>
  <si>
    <t>LT00044358</t>
  </si>
  <si>
    <t>1P02603</t>
  </si>
  <si>
    <t>LT00044401</t>
  </si>
  <si>
    <t>2029-12-11</t>
  </si>
  <si>
    <t>1P02604</t>
  </si>
  <si>
    <t>LT00051638</t>
  </si>
  <si>
    <t>1P02701</t>
  </si>
  <si>
    <t>1P02702</t>
  </si>
  <si>
    <t>LT00043428</t>
  </si>
  <si>
    <t>1P02703</t>
  </si>
  <si>
    <t>1043094</t>
  </si>
  <si>
    <t>Style XL lime incl6 MXplus LE CNY CU ECN</t>
  </si>
  <si>
    <t>LT00043430</t>
  </si>
  <si>
    <t>LT00038799</t>
  </si>
  <si>
    <t>1P02704</t>
  </si>
  <si>
    <t>0000492648</t>
  </si>
  <si>
    <t>LT00051928</t>
  </si>
  <si>
    <t>1P02802</t>
  </si>
  <si>
    <t>LT00052276</t>
  </si>
  <si>
    <t>1P02804</t>
  </si>
  <si>
    <t>LT00048844</t>
  </si>
  <si>
    <t>1P02902</t>
  </si>
  <si>
    <t>2024-04-10</t>
  </si>
  <si>
    <t>2031-04-10</t>
  </si>
  <si>
    <t>1P03002</t>
  </si>
  <si>
    <t>LT00049188</t>
  </si>
  <si>
    <t>1P03003</t>
  </si>
  <si>
    <t>LT00050570</t>
  </si>
  <si>
    <t>1P03004</t>
  </si>
  <si>
    <t>LT00048010</t>
  </si>
  <si>
    <t>1P03101</t>
  </si>
  <si>
    <t>LT00048012</t>
  </si>
  <si>
    <t>LT00048497</t>
  </si>
  <si>
    <t>LT00049947</t>
  </si>
  <si>
    <t>2024-05-09</t>
  </si>
  <si>
    <t>2031-05-09</t>
  </si>
  <si>
    <t>LT00050298</t>
  </si>
  <si>
    <t>LT00050485</t>
  </si>
  <si>
    <t>LT00050774</t>
  </si>
  <si>
    <t>LT00051597</t>
  </si>
  <si>
    <t>LT00051598</t>
  </si>
  <si>
    <t>1013B</t>
  </si>
  <si>
    <t>D菜鸟客退638/BRITA/633</t>
  </si>
  <si>
    <t>LT00051599</t>
  </si>
  <si>
    <t>LT00051603</t>
  </si>
  <si>
    <t>LT00051604</t>
  </si>
  <si>
    <t>LT00051861</t>
  </si>
  <si>
    <t>LT00051630</t>
  </si>
  <si>
    <t>1P03102</t>
  </si>
  <si>
    <t>2030-03-07</t>
  </si>
  <si>
    <t>王伟已检测</t>
  </si>
  <si>
    <t>1P03103</t>
  </si>
  <si>
    <t>1P03104</t>
  </si>
  <si>
    <t>LT00043499</t>
  </si>
  <si>
    <t>1P03201</t>
  </si>
  <si>
    <t>2023-11-03</t>
  </si>
  <si>
    <t>2030-11-03</t>
  </si>
  <si>
    <t>LT00043503</t>
  </si>
  <si>
    <t>00030576KT</t>
  </si>
  <si>
    <t>1019421</t>
  </si>
  <si>
    <t>Fun ME4W pink CU CN</t>
  </si>
  <si>
    <t>LT00046768</t>
  </si>
  <si>
    <t>2021-12-07</t>
  </si>
  <si>
    <t>2028-12-07</t>
  </si>
  <si>
    <t>LT00049045</t>
  </si>
  <si>
    <t>KI3441</t>
  </si>
  <si>
    <t>LT00051860</t>
  </si>
  <si>
    <t>1010B</t>
  </si>
  <si>
    <t>LT00051862</t>
  </si>
  <si>
    <t>LT00051631</t>
  </si>
  <si>
    <t>1P03202</t>
  </si>
  <si>
    <t>LT00044378</t>
  </si>
  <si>
    <t>1P03203</t>
  </si>
  <si>
    <t>LT00050571</t>
  </si>
  <si>
    <t>1P03204</t>
  </si>
  <si>
    <t>LT00050345</t>
  </si>
  <si>
    <t>1P03301</t>
  </si>
  <si>
    <t>LT00051628</t>
  </si>
  <si>
    <t>LT00051809</t>
  </si>
  <si>
    <t>LT00051810</t>
  </si>
  <si>
    <t>LT00051899</t>
  </si>
  <si>
    <t>2031-06-14</t>
  </si>
  <si>
    <t>LT00046065</t>
  </si>
  <si>
    <t>1P03302</t>
  </si>
  <si>
    <t>LT00046068</t>
  </si>
  <si>
    <t>1029383</t>
  </si>
  <si>
    <t>Pack 3 MAXTRAplus UNIV CU CN 3</t>
  </si>
  <si>
    <t>LT00044361</t>
  </si>
  <si>
    <t>1P03303</t>
  </si>
  <si>
    <t>1P03304</t>
  </si>
  <si>
    <t>LT00051856</t>
  </si>
  <si>
    <t>1P03401</t>
  </si>
  <si>
    <t>LT00051632</t>
  </si>
  <si>
    <t>1P03402</t>
  </si>
  <si>
    <t>王伟检测</t>
  </si>
  <si>
    <t>1P03403</t>
  </si>
  <si>
    <t>LT00051570</t>
  </si>
  <si>
    <t>LT00051000</t>
  </si>
  <si>
    <t>1P03501</t>
  </si>
  <si>
    <t>LT00052133</t>
  </si>
  <si>
    <t>2030-07-03</t>
  </si>
  <si>
    <t>LT00052277</t>
  </si>
  <si>
    <t>LT00052279</t>
  </si>
  <si>
    <t>LT00051906</t>
  </si>
  <si>
    <t>1P03502</t>
  </si>
  <si>
    <t>LT00051592</t>
  </si>
  <si>
    <t>1P03503</t>
  </si>
  <si>
    <t>LT00051536</t>
  </si>
  <si>
    <t>1P03504</t>
  </si>
  <si>
    <t>LT00045942</t>
  </si>
  <si>
    <t>1P03601</t>
  </si>
  <si>
    <t>2030-12-28</t>
  </si>
  <si>
    <t>天猫转仓，转199账外</t>
  </si>
  <si>
    <t>LT00042918</t>
  </si>
  <si>
    <t>1P03602</t>
  </si>
  <si>
    <t>2023-09-21</t>
  </si>
  <si>
    <t>2030-09-21</t>
  </si>
  <si>
    <t>0006198223</t>
  </si>
  <si>
    <t>LT00042919</t>
  </si>
  <si>
    <t>YE3285S2</t>
  </si>
  <si>
    <t>LT00051594</t>
  </si>
  <si>
    <t>1P03603</t>
  </si>
  <si>
    <t>LT00039474</t>
  </si>
  <si>
    <t>1P03604</t>
  </si>
  <si>
    <t>2023-06-10</t>
  </si>
  <si>
    <t>2030-06-10</t>
  </si>
  <si>
    <t>YE3111S2</t>
  </si>
  <si>
    <t>LT00042070</t>
  </si>
  <si>
    <t>1P03701</t>
  </si>
  <si>
    <t>2023-09-25</t>
  </si>
  <si>
    <t>2030-09-25</t>
  </si>
  <si>
    <t>LT00042072</t>
  </si>
  <si>
    <t>1P03702</t>
  </si>
  <si>
    <t>1P03703</t>
  </si>
  <si>
    <t>LT00050579</t>
  </si>
  <si>
    <t>1P03704</t>
  </si>
  <si>
    <t>1P03801</t>
  </si>
  <si>
    <t>LT00048757</t>
  </si>
  <si>
    <t>2024-03-08</t>
  </si>
  <si>
    <t>2031-03-08</t>
  </si>
  <si>
    <t>LT00051907</t>
  </si>
  <si>
    <t>1P03802</t>
  </si>
  <si>
    <t>LT00042024</t>
  </si>
  <si>
    <t>1P03803</t>
  </si>
  <si>
    <t>0006192182</t>
  </si>
  <si>
    <t>1039021</t>
  </si>
  <si>
    <t>Aluna XL ME4W MXplus BCM white CU CN</t>
  </si>
  <si>
    <t>LT00048247</t>
  </si>
  <si>
    <t>1P03804</t>
  </si>
  <si>
    <t>LT00051555</t>
  </si>
  <si>
    <t>1P03901</t>
  </si>
  <si>
    <t>LT00049457</t>
  </si>
  <si>
    <t>1P03902</t>
  </si>
  <si>
    <t>LT00042675</t>
  </si>
  <si>
    <t>1P04001</t>
  </si>
  <si>
    <t>LT00052246</t>
  </si>
  <si>
    <t>1P04002</t>
  </si>
  <si>
    <t>2024-07-08</t>
  </si>
  <si>
    <t>2031-07-08</t>
  </si>
  <si>
    <t>1P04101</t>
  </si>
  <si>
    <t>LT00042861</t>
  </si>
  <si>
    <t>1P04102</t>
  </si>
  <si>
    <t>LT00044486</t>
  </si>
  <si>
    <t>1P04103</t>
  </si>
  <si>
    <t>1037403</t>
  </si>
  <si>
    <t>Marella XL ME4W MXplus blue BCM CU CN</t>
  </si>
  <si>
    <t>LT00051577</t>
  </si>
  <si>
    <t>LT00051549</t>
  </si>
  <si>
    <t>1P04104</t>
  </si>
  <si>
    <t>LT00051550</t>
  </si>
  <si>
    <t>LT00048744</t>
  </si>
  <si>
    <t>1P04201</t>
  </si>
  <si>
    <t>2031-01-29</t>
  </si>
  <si>
    <t>LT00050567</t>
  </si>
  <si>
    <t>1P04204</t>
  </si>
  <si>
    <t>1P04304</t>
  </si>
  <si>
    <t>1043025</t>
  </si>
  <si>
    <t>LT00050565</t>
  </si>
  <si>
    <t>LT00051554</t>
  </si>
  <si>
    <t>1P04401</t>
  </si>
  <si>
    <t>LT00052260</t>
  </si>
  <si>
    <t>1P04402</t>
  </si>
  <si>
    <t>1P04404</t>
  </si>
  <si>
    <t>1P04502</t>
  </si>
  <si>
    <t>1P04504</t>
  </si>
  <si>
    <t>LT00043504</t>
  </si>
  <si>
    <t>1P04601</t>
  </si>
  <si>
    <t>KI1481</t>
  </si>
  <si>
    <t>LT00046880</t>
  </si>
  <si>
    <t>YE3315S2ET</t>
  </si>
  <si>
    <t>LT00051483</t>
  </si>
  <si>
    <t>LT00051484</t>
  </si>
  <si>
    <t>LT00051485</t>
  </si>
  <si>
    <t>LT00051486</t>
  </si>
  <si>
    <t>LT00052258</t>
  </si>
  <si>
    <t>1P04602</t>
  </si>
  <si>
    <t>1P04604</t>
  </si>
  <si>
    <t>LT00048385</t>
  </si>
  <si>
    <t>1P04701</t>
  </si>
  <si>
    <t>K4307</t>
  </si>
  <si>
    <t>LT00050783</t>
  </si>
  <si>
    <t>1P04702</t>
  </si>
  <si>
    <t>LT00050784</t>
  </si>
  <si>
    <t>1053544</t>
  </si>
  <si>
    <t>ON TAP Refill Bundle JDSR/PHY CU CN</t>
  </si>
  <si>
    <t>LT00050789</t>
  </si>
  <si>
    <t>LT00050790</t>
  </si>
  <si>
    <t>LT00050791</t>
  </si>
  <si>
    <t>LT00051600</t>
  </si>
  <si>
    <t>LT00051601</t>
  </si>
  <si>
    <t>LT00051602</t>
  </si>
  <si>
    <t>LT00051606</t>
  </si>
  <si>
    <t>LT00049963</t>
  </si>
  <si>
    <t>1P04704</t>
  </si>
  <si>
    <t>LT00046086</t>
  </si>
  <si>
    <t>1P04801</t>
  </si>
  <si>
    <t>LT00043868</t>
  </si>
  <si>
    <t>1P04802</t>
  </si>
  <si>
    <t>LT00040684</t>
  </si>
  <si>
    <t>1P04803</t>
  </si>
  <si>
    <t>1015787</t>
  </si>
  <si>
    <t>Elemaris XL BM4W black CU CN</t>
  </si>
  <si>
    <t>LT00051053</t>
  </si>
  <si>
    <t>1037596</t>
  </si>
  <si>
    <t>Style XL LED4W MXplus BCM blue CU CN</t>
  </si>
  <si>
    <t>LT00043861</t>
  </si>
  <si>
    <t>1P04901</t>
  </si>
  <si>
    <t>2023-09-26</t>
  </si>
  <si>
    <t>2030-09-26</t>
  </si>
  <si>
    <t>1P04902</t>
  </si>
  <si>
    <t>LT00050006</t>
  </si>
  <si>
    <t>1P04904</t>
  </si>
  <si>
    <t>0006222596</t>
  </si>
  <si>
    <t>LT00052257</t>
  </si>
  <si>
    <t>1P05001</t>
  </si>
  <si>
    <t>LT00052261</t>
  </si>
  <si>
    <t>LT00045145</t>
  </si>
  <si>
    <t>1P05003</t>
  </si>
  <si>
    <t>LT00049954</t>
  </si>
  <si>
    <t>1P05004</t>
  </si>
  <si>
    <t>2024-03-29</t>
  </si>
  <si>
    <t>2031-03-29</t>
  </si>
  <si>
    <t>0006222592</t>
  </si>
  <si>
    <t>LT00051642</t>
  </si>
  <si>
    <t>1P05101</t>
  </si>
  <si>
    <t>LT00045143</t>
  </si>
  <si>
    <t>1P05102</t>
  </si>
  <si>
    <t>LT00051565</t>
  </si>
  <si>
    <t>1P05103</t>
  </si>
  <si>
    <t>LT00049956</t>
  </si>
  <si>
    <t>1P05104</t>
  </si>
  <si>
    <t>1037279</t>
  </si>
  <si>
    <t>Aluna XL ME4W MXplus BCM blue CU CN</t>
  </si>
  <si>
    <t>LT00046327</t>
  </si>
  <si>
    <t>1P05201</t>
  </si>
  <si>
    <t>LT00049200</t>
  </si>
  <si>
    <t>1P05202</t>
  </si>
  <si>
    <t>LT00050000</t>
  </si>
  <si>
    <t>1P05204</t>
  </si>
  <si>
    <t>0006222595</t>
  </si>
  <si>
    <t>LT00046346</t>
  </si>
  <si>
    <t>1P05301</t>
  </si>
  <si>
    <t>LT00049770</t>
  </si>
  <si>
    <t>LT00045941</t>
  </si>
  <si>
    <t>1P05302</t>
  </si>
  <si>
    <t>2023-12-16</t>
  </si>
  <si>
    <t>2030-12-16</t>
  </si>
  <si>
    <t>1P05303</t>
  </si>
  <si>
    <t>0000089767</t>
  </si>
  <si>
    <t>LT00049999</t>
  </si>
  <si>
    <t>1P05304</t>
  </si>
  <si>
    <t>2024-04-07</t>
  </si>
  <si>
    <t>2031-04-07</t>
  </si>
  <si>
    <t>0006222594</t>
  </si>
  <si>
    <t>1029395</t>
  </si>
  <si>
    <t>Pack 3 MAXTRAplus LM EXP CU CN 3</t>
  </si>
  <si>
    <t>LT00046332</t>
  </si>
  <si>
    <t>1P05401</t>
  </si>
  <si>
    <t>LT00046335</t>
  </si>
  <si>
    <t>LT00040642</t>
  </si>
  <si>
    <t>1P05402</t>
  </si>
  <si>
    <t>B京东补发仓转仓无系统库存</t>
  </si>
  <si>
    <t>LT00051567</t>
  </si>
  <si>
    <t>1P05403</t>
  </si>
  <si>
    <t>LT00051571</t>
  </si>
  <si>
    <t>LT00049997</t>
  </si>
  <si>
    <t>1P05404</t>
  </si>
  <si>
    <t>0006222593</t>
  </si>
  <si>
    <t>LT00040497</t>
  </si>
  <si>
    <t>1P05501</t>
  </si>
  <si>
    <t>2021-04-02</t>
  </si>
  <si>
    <t>2028-04-02</t>
  </si>
  <si>
    <t>2019</t>
  </si>
  <si>
    <t>漏沙</t>
  </si>
  <si>
    <t>LT00051558</t>
  </si>
  <si>
    <t>1P05503</t>
  </si>
  <si>
    <t>LT00051575</t>
  </si>
  <si>
    <t>LT00049966</t>
  </si>
  <si>
    <t>1P05504</t>
  </si>
  <si>
    <t>LT00051563</t>
  </si>
  <si>
    <t>1P05603</t>
  </si>
  <si>
    <t>LT00049958</t>
  </si>
  <si>
    <t>1P05604</t>
  </si>
  <si>
    <t>0006222601</t>
  </si>
  <si>
    <t>LT00052145</t>
  </si>
  <si>
    <t>1P05701</t>
  </si>
  <si>
    <t>LT00052146</t>
  </si>
  <si>
    <t>LT00050009</t>
  </si>
  <si>
    <t>1P05704</t>
  </si>
  <si>
    <t>LT00046329</t>
  </si>
  <si>
    <t>1P05801</t>
  </si>
  <si>
    <t>LT00051556</t>
  </si>
  <si>
    <t>1P05803</t>
  </si>
  <si>
    <t>LT00050008</t>
  </si>
  <si>
    <t>1P05804</t>
  </si>
  <si>
    <t>0006222597</t>
  </si>
  <si>
    <t>LT00049962</t>
  </si>
  <si>
    <t>1P05904</t>
  </si>
  <si>
    <t>0006222603</t>
  </si>
  <si>
    <t>LT00049973</t>
  </si>
  <si>
    <t>LT00036791</t>
  </si>
  <si>
    <t>1P05905</t>
  </si>
  <si>
    <t>2022-12-31</t>
  </si>
  <si>
    <t>2029-12-31</t>
  </si>
  <si>
    <t>LT00043936</t>
  </si>
  <si>
    <t>1P06001</t>
  </si>
  <si>
    <t>LT00042032</t>
  </si>
  <si>
    <t>1P06002</t>
  </si>
  <si>
    <t>2023-08-25</t>
  </si>
  <si>
    <t>2030-08-25</t>
  </si>
  <si>
    <t>LT00049970</t>
  </si>
  <si>
    <t>1P06004</t>
  </si>
  <si>
    <t>0006225686</t>
  </si>
  <si>
    <t>LT00051641</t>
  </si>
  <si>
    <t>1P06101</t>
  </si>
  <si>
    <t>1015783</t>
  </si>
  <si>
    <t>Elemaris XL BM4W white CU CN</t>
  </si>
  <si>
    <t>LT00051052</t>
  </si>
  <si>
    <t>1P06103</t>
  </si>
  <si>
    <t>LT00041986</t>
  </si>
  <si>
    <t>1P06104</t>
  </si>
  <si>
    <t>LT00052176</t>
  </si>
  <si>
    <t>1P06201</t>
  </si>
  <si>
    <t>1P06202</t>
  </si>
  <si>
    <t>LT00051272</t>
  </si>
  <si>
    <t>1P06301</t>
  </si>
  <si>
    <t>LT00049039</t>
  </si>
  <si>
    <t>1P06303</t>
  </si>
  <si>
    <t>LT00051901</t>
  </si>
  <si>
    <t>1P06401</t>
  </si>
  <si>
    <t>1P06501</t>
  </si>
  <si>
    <t>LT00051946</t>
  </si>
  <si>
    <t>1P06502</t>
  </si>
  <si>
    <t>LT00050694</t>
  </si>
  <si>
    <t>1P06503</t>
  </si>
  <si>
    <t>LT00041985</t>
  </si>
  <si>
    <t>1P06504</t>
  </si>
  <si>
    <t>1P06601</t>
  </si>
  <si>
    <t>LT00048756</t>
  </si>
  <si>
    <t>2024-01-18</t>
  </si>
  <si>
    <t>2031-01-18</t>
  </si>
  <si>
    <t>LT00051639</t>
  </si>
  <si>
    <t>1035989</t>
  </si>
  <si>
    <t>Refill pack mypure pro X9 CU CN</t>
  </si>
  <si>
    <t>LT00051645</t>
  </si>
  <si>
    <t>LT00051648</t>
  </si>
  <si>
    <t>LT00047922</t>
  </si>
  <si>
    <t>1P06701</t>
  </si>
  <si>
    <t>2024-03-19</t>
  </si>
  <si>
    <t>2031-03-19</t>
  </si>
  <si>
    <t>YE4041K1</t>
  </si>
  <si>
    <t>LT00051938</t>
  </si>
  <si>
    <t>1P06702</t>
  </si>
  <si>
    <t>LT00051939</t>
  </si>
  <si>
    <t>LT00051940</t>
  </si>
  <si>
    <t>LT00051941</t>
  </si>
  <si>
    <t>LT00051943</t>
  </si>
  <si>
    <t>LT00050752</t>
  </si>
  <si>
    <t>1P06801</t>
  </si>
  <si>
    <t>2024-05-30</t>
  </si>
  <si>
    <t>2031-05-30</t>
  </si>
  <si>
    <t>LT00050753</t>
  </si>
  <si>
    <t>LT00050913</t>
  </si>
  <si>
    <t>2024-06-05</t>
  </si>
  <si>
    <t>2031-06-05</t>
  </si>
  <si>
    <t>LT00050980</t>
  </si>
  <si>
    <t>LT00051054</t>
  </si>
  <si>
    <t>LT00051213</t>
  </si>
  <si>
    <t>LT00051214</t>
  </si>
  <si>
    <t>LT00051480</t>
  </si>
  <si>
    <t>LT00051481</t>
  </si>
  <si>
    <t>LT00051482</t>
  </si>
  <si>
    <t>LT00051607</t>
  </si>
  <si>
    <t>LT00052070</t>
  </si>
  <si>
    <t>LT00051945</t>
  </si>
  <si>
    <t>1P06802</t>
  </si>
  <si>
    <t>LT00044403</t>
  </si>
  <si>
    <t>1P06803</t>
  </si>
  <si>
    <t>LT00040694</t>
  </si>
  <si>
    <t>1P06902</t>
  </si>
  <si>
    <t>LT00040697</t>
  </si>
  <si>
    <t>1023341</t>
  </si>
  <si>
    <t>Marella XL ME4W blue incl 3 MX Kem CU CN</t>
  </si>
  <si>
    <t>LT00040644</t>
  </si>
  <si>
    <t>1P07102</t>
  </si>
  <si>
    <t>D京东补发仓转仓，无系统库存</t>
  </si>
  <si>
    <t>LT00041625</t>
  </si>
  <si>
    <t>1P07103</t>
  </si>
  <si>
    <t>2023-09-11</t>
  </si>
  <si>
    <t>2030-09-11</t>
  </si>
  <si>
    <t>不良品</t>
  </si>
  <si>
    <t>LT00040637</t>
  </si>
  <si>
    <t>1P07202</t>
  </si>
  <si>
    <t>京东补发仓转仓无系统库存</t>
  </si>
  <si>
    <t>LT00040689</t>
  </si>
  <si>
    <t>LT00040690</t>
  </si>
  <si>
    <t>LT00040693</t>
  </si>
  <si>
    <t>LT00041624</t>
  </si>
  <si>
    <t>1P07203</t>
  </si>
  <si>
    <t>2020</t>
  </si>
  <si>
    <t>1027177</t>
  </si>
  <si>
    <t>Maxtra+ (Universal) P55</t>
  </si>
  <si>
    <t>LT00035552</t>
  </si>
  <si>
    <t>1P07303</t>
  </si>
  <si>
    <t>LT00042121</t>
  </si>
  <si>
    <t>1P07304</t>
  </si>
  <si>
    <t>1P07403</t>
  </si>
  <si>
    <t>LT00052144</t>
  </si>
  <si>
    <t>1P07501</t>
  </si>
  <si>
    <t>1023344</t>
  </si>
  <si>
    <t>Marella XL ME4W wh incl 3 MX Kem CU CN</t>
  </si>
  <si>
    <t>LT00045844</t>
  </si>
  <si>
    <t>1P07503</t>
  </si>
  <si>
    <t>天猫转仓入库账外</t>
  </si>
  <si>
    <t>LT00047847</t>
  </si>
  <si>
    <t>1P07601</t>
  </si>
  <si>
    <t>2031-03-12</t>
  </si>
  <si>
    <t>LT00041666</t>
  </si>
  <si>
    <t>1P07703</t>
  </si>
  <si>
    <t>LT00041654</t>
  </si>
  <si>
    <t>1Q04005</t>
  </si>
  <si>
    <t>0000337493</t>
  </si>
  <si>
    <t>0006204101</t>
  </si>
  <si>
    <t>1Q04105</t>
  </si>
  <si>
    <t>0000337494</t>
  </si>
  <si>
    <t>1Q04205</t>
  </si>
  <si>
    <t>0000337495</t>
  </si>
  <si>
    <t>LT00048813</t>
  </si>
  <si>
    <t>1R00105</t>
  </si>
  <si>
    <t>LT00048814</t>
  </si>
  <si>
    <t>1R00205</t>
  </si>
  <si>
    <t>1R00305</t>
  </si>
  <si>
    <t>1R00405</t>
  </si>
  <si>
    <t>1R00505</t>
  </si>
  <si>
    <t>1R00605</t>
  </si>
  <si>
    <t>1R00705</t>
  </si>
  <si>
    <t>LT00048815</t>
  </si>
  <si>
    <t>1R00805</t>
  </si>
  <si>
    <t>1R00905</t>
  </si>
  <si>
    <t>LT00052255</t>
  </si>
  <si>
    <t>1R01105</t>
  </si>
  <si>
    <t>LT00052256</t>
  </si>
  <si>
    <t>LT00052259</t>
  </si>
  <si>
    <t>1R01805</t>
  </si>
  <si>
    <t>1R01905</t>
  </si>
  <si>
    <t>1R02005</t>
  </si>
  <si>
    <t>LT00048816</t>
  </si>
  <si>
    <t>LT00049783</t>
  </si>
  <si>
    <t>1R06603</t>
  </si>
  <si>
    <t>LT00049784</t>
  </si>
  <si>
    <t>LT00049785</t>
  </si>
  <si>
    <t>LT00035999</t>
  </si>
  <si>
    <t>1X00801</t>
  </si>
  <si>
    <t>0000060230</t>
  </si>
  <si>
    <t>2019-12-31</t>
  </si>
  <si>
    <t>2026-12-31</t>
  </si>
  <si>
    <t>4500265683</t>
  </si>
  <si>
    <t>1X00802</t>
  </si>
  <si>
    <t>LT00049776</t>
  </si>
  <si>
    <t>1X00901</t>
  </si>
  <si>
    <t>1X01001</t>
  </si>
  <si>
    <t>LT00043729</t>
  </si>
  <si>
    <t>1X01002</t>
  </si>
  <si>
    <t>LT00034898</t>
  </si>
  <si>
    <t>1X01101</t>
  </si>
  <si>
    <t>2021-03-27</t>
  </si>
  <si>
    <t>2028-03-27</t>
  </si>
  <si>
    <t>LT00051212</t>
  </si>
  <si>
    <t>1X01102</t>
  </si>
  <si>
    <t>LT00033133</t>
  </si>
  <si>
    <t>1X01103</t>
  </si>
  <si>
    <t>2022-09-22</t>
  </si>
  <si>
    <t>2029-09-22</t>
  </si>
  <si>
    <t>YE2383S2</t>
  </si>
  <si>
    <t>LT00049774</t>
  </si>
  <si>
    <t>1X01202</t>
  </si>
  <si>
    <t>1X01203</t>
  </si>
  <si>
    <t>LT00049870</t>
  </si>
  <si>
    <t>1X01302</t>
  </si>
  <si>
    <t>1041562</t>
  </si>
  <si>
    <t>Style XL Lime + LM Mxplus*5 CU CN</t>
  </si>
  <si>
    <t>LT00036004</t>
  </si>
  <si>
    <t>1X01303</t>
  </si>
  <si>
    <t>2020-04-13</t>
  </si>
  <si>
    <t>2027-04-13</t>
  </si>
  <si>
    <t>2020-04-14</t>
  </si>
  <si>
    <t>LT00034608</t>
  </si>
  <si>
    <t>1X01502</t>
  </si>
  <si>
    <t>LT00045542</t>
  </si>
  <si>
    <t>1X01602</t>
  </si>
  <si>
    <t>2031-01-10</t>
  </si>
  <si>
    <t>LT00045544</t>
  </si>
  <si>
    <t>1X01803</t>
  </si>
  <si>
    <t>YE0503S1</t>
  </si>
  <si>
    <t>LT00034895</t>
  </si>
  <si>
    <t>1X01901</t>
  </si>
  <si>
    <t>4500318934</t>
  </si>
  <si>
    <t>LT00049473</t>
  </si>
  <si>
    <t>1X01902</t>
  </si>
  <si>
    <t>LT00049475</t>
  </si>
  <si>
    <t>1X02002</t>
  </si>
  <si>
    <t>LT00050061</t>
  </si>
  <si>
    <t>1X02102</t>
  </si>
  <si>
    <t>1X02103</t>
  </si>
  <si>
    <t>LT00036000</t>
  </si>
  <si>
    <t>1X02702</t>
  </si>
  <si>
    <t>0000043059</t>
  </si>
  <si>
    <t>2019-11-27</t>
  </si>
  <si>
    <t>2026-11-27</t>
  </si>
  <si>
    <t>2019-11-29</t>
  </si>
  <si>
    <t>4500256632</t>
  </si>
  <si>
    <t>LT00051812</t>
  </si>
  <si>
    <t>5K00201</t>
  </si>
  <si>
    <t>1511B</t>
  </si>
  <si>
    <t>LT00051811</t>
  </si>
  <si>
    <t>5K00501</t>
  </si>
  <si>
    <t>1049270</t>
  </si>
  <si>
    <t>OnTap Bundle incl1 system+2refills CU CN</t>
  </si>
  <si>
    <t>LT00052026</t>
  </si>
  <si>
    <t>5K00601</t>
  </si>
  <si>
    <t>1052447</t>
  </si>
  <si>
    <t>Pack 12 Mxplus LE Sam's bundle</t>
  </si>
  <si>
    <t>LT00052024</t>
  </si>
  <si>
    <t>5K00901</t>
  </si>
  <si>
    <t>LT00051857</t>
  </si>
  <si>
    <t>5K01001</t>
  </si>
  <si>
    <t>LT00052025</t>
  </si>
  <si>
    <t>LT00052023</t>
  </si>
  <si>
    <t>5K01101</t>
  </si>
  <si>
    <t>LT00041165</t>
  </si>
  <si>
    <t>5N00101</t>
  </si>
  <si>
    <t>LT00052016</t>
  </si>
  <si>
    <t>5N00102</t>
  </si>
  <si>
    <t>LT00052076</t>
  </si>
  <si>
    <t>5N00103</t>
  </si>
  <si>
    <t>LT00052147</t>
  </si>
  <si>
    <t>5N00104</t>
  </si>
  <si>
    <t>LT00050524</t>
  </si>
  <si>
    <t>5N00105</t>
  </si>
  <si>
    <t>LT00035686</t>
  </si>
  <si>
    <t>5N00201</t>
  </si>
  <si>
    <t>2023-02-22</t>
  </si>
  <si>
    <t>2030-02-22</t>
  </si>
  <si>
    <t>KI3086</t>
  </si>
  <si>
    <t>5N00202</t>
  </si>
  <si>
    <t>5N00203</t>
  </si>
  <si>
    <t>5N00204</t>
  </si>
  <si>
    <t>5N00205</t>
  </si>
  <si>
    <t>LT00049757</t>
  </si>
  <si>
    <t>5N00301</t>
  </si>
  <si>
    <t>LT00051903</t>
  </si>
  <si>
    <t>5N00401</t>
  </si>
  <si>
    <t>5N00402</t>
  </si>
  <si>
    <t>5N00404</t>
  </si>
  <si>
    <t>5N00405</t>
  </si>
  <si>
    <t>LT00049862</t>
  </si>
  <si>
    <t>5N00406</t>
  </si>
  <si>
    <t>1054960</t>
  </si>
  <si>
    <t>Bundle MarXL glit bl+bla+P1 COSTCO CN</t>
  </si>
  <si>
    <t>LT00052302</t>
  </si>
  <si>
    <t>5N00502</t>
  </si>
  <si>
    <t>2024-07-10</t>
  </si>
  <si>
    <t>2031-07-10</t>
  </si>
  <si>
    <t>5N00504</t>
  </si>
  <si>
    <t>5N00505</t>
  </si>
  <si>
    <t>5N00506</t>
  </si>
  <si>
    <t>1055838</t>
  </si>
  <si>
    <t>ON TAP V-MF Bundle incl1 sys+2refill CN</t>
  </si>
  <si>
    <t>LT00049680</t>
  </si>
  <si>
    <t>5N00602</t>
  </si>
  <si>
    <t>5N00604</t>
  </si>
  <si>
    <t>5N00605</t>
  </si>
  <si>
    <t>5N00606</t>
  </si>
  <si>
    <t>5N00706</t>
  </si>
  <si>
    <t>5N00802</t>
  </si>
  <si>
    <t>5N00804</t>
  </si>
  <si>
    <t>5N00805</t>
  </si>
  <si>
    <t>5N00806</t>
  </si>
  <si>
    <t>5N00902</t>
  </si>
  <si>
    <t>5N00904</t>
  </si>
  <si>
    <t>5N00905</t>
  </si>
  <si>
    <t>5N00906</t>
  </si>
  <si>
    <t>5N01002</t>
  </si>
  <si>
    <t>5N01004</t>
  </si>
  <si>
    <t>5N01005</t>
  </si>
  <si>
    <t>5N01006</t>
  </si>
  <si>
    <t>5N01106</t>
  </si>
  <si>
    <t>5N01202</t>
  </si>
  <si>
    <t>LT00050307</t>
  </si>
  <si>
    <t>5N01203</t>
  </si>
  <si>
    <t>2031-05-20</t>
  </si>
  <si>
    <t>5N01204</t>
  </si>
  <si>
    <t>5N01205</t>
  </si>
  <si>
    <t>5N01206</t>
  </si>
  <si>
    <t>5N01302</t>
  </si>
  <si>
    <t>5N01303</t>
  </si>
  <si>
    <t>5N01304</t>
  </si>
  <si>
    <t>5N01305</t>
  </si>
  <si>
    <t>5N01306</t>
  </si>
  <si>
    <t>5N01402</t>
  </si>
  <si>
    <t>5N01403</t>
  </si>
  <si>
    <t>5N01404</t>
  </si>
  <si>
    <t>5N01405</t>
  </si>
  <si>
    <t>5N01406</t>
  </si>
  <si>
    <t>5N01506</t>
  </si>
  <si>
    <t>LT00050548</t>
  </si>
  <si>
    <t>5N01602</t>
  </si>
  <si>
    <t>2031-05-25</t>
  </si>
  <si>
    <t>5N01603</t>
  </si>
  <si>
    <t>5N01604</t>
  </si>
  <si>
    <t>5N01605</t>
  </si>
  <si>
    <t>5N01606</t>
  </si>
  <si>
    <t>5N01702</t>
  </si>
  <si>
    <t>5N01703</t>
  </si>
  <si>
    <t>5N01704</t>
  </si>
  <si>
    <t>5N01705</t>
  </si>
  <si>
    <t>5N01706</t>
  </si>
  <si>
    <t>5N01802</t>
  </si>
  <si>
    <t>5N01803</t>
  </si>
  <si>
    <t>5N01804</t>
  </si>
  <si>
    <t>5N01805</t>
  </si>
  <si>
    <t>5N01806</t>
  </si>
  <si>
    <t>5N01906</t>
  </si>
  <si>
    <t>5N02002</t>
  </si>
  <si>
    <t>5N02003</t>
  </si>
  <si>
    <t>5N02004</t>
  </si>
  <si>
    <t>5N02006</t>
  </si>
  <si>
    <t>5N02102</t>
  </si>
  <si>
    <t>5N02104</t>
  </si>
  <si>
    <t>5N02106</t>
  </si>
  <si>
    <t>5N02202</t>
  </si>
  <si>
    <t>LT00051926</t>
  </si>
  <si>
    <t>5N02203</t>
  </si>
  <si>
    <t>5N02204</t>
  </si>
  <si>
    <t>5N02402</t>
  </si>
  <si>
    <t>5N02403</t>
  </si>
  <si>
    <t>5N02404</t>
  </si>
  <si>
    <t>5N02502</t>
  </si>
  <si>
    <t>5N02504</t>
  </si>
  <si>
    <t>5N02702</t>
  </si>
  <si>
    <t>5N02703</t>
  </si>
  <si>
    <t>5N02704</t>
  </si>
  <si>
    <t>5N02802</t>
  </si>
  <si>
    <t>5N02803</t>
  </si>
  <si>
    <t>5N02804</t>
  </si>
  <si>
    <t>5N03002</t>
  </si>
  <si>
    <t>5N03003</t>
  </si>
  <si>
    <t>5N03004</t>
  </si>
  <si>
    <t>5N03102</t>
  </si>
  <si>
    <t>5N03103</t>
  </si>
  <si>
    <t>5N03104</t>
  </si>
  <si>
    <t>5N03202</t>
  </si>
  <si>
    <t>5N03203</t>
  </si>
  <si>
    <t>5N03204</t>
  </si>
  <si>
    <t>5N03403</t>
  </si>
  <si>
    <t>LT00051239</t>
  </si>
  <si>
    <t>5N03502</t>
  </si>
  <si>
    <t>5N03503</t>
  </si>
  <si>
    <t>5N03603</t>
  </si>
  <si>
    <t>LT00052131</t>
  </si>
  <si>
    <t>5N03803</t>
  </si>
  <si>
    <t>LT00049865</t>
  </si>
  <si>
    <t>5N03806</t>
  </si>
  <si>
    <t>5N03902</t>
  </si>
  <si>
    <t>5N03903</t>
  </si>
  <si>
    <t>5N03906</t>
  </si>
  <si>
    <t>5N04002</t>
  </si>
  <si>
    <t>5N04003</t>
  </si>
  <si>
    <t>5N04006</t>
  </si>
  <si>
    <t>5N04106</t>
  </si>
  <si>
    <t>5N04202</t>
  </si>
  <si>
    <t>5N04203</t>
  </si>
  <si>
    <t>5N04206</t>
  </si>
  <si>
    <t>5N04302</t>
  </si>
  <si>
    <t>5N04303</t>
  </si>
  <si>
    <t>5N04306</t>
  </si>
  <si>
    <t>5N04402</t>
  </si>
  <si>
    <t>5N04403</t>
  </si>
  <si>
    <t>5N04406</t>
  </si>
  <si>
    <t>5N04506</t>
  </si>
  <si>
    <t>5N04602</t>
  </si>
  <si>
    <t>5N04603</t>
  </si>
  <si>
    <t>5N04606</t>
  </si>
  <si>
    <t>5N04702</t>
  </si>
  <si>
    <t>5N04703</t>
  </si>
  <si>
    <t>5N04706</t>
  </si>
  <si>
    <t>5N04802</t>
  </si>
  <si>
    <t>5N04803</t>
  </si>
  <si>
    <t>5N04806</t>
  </si>
  <si>
    <t>5N04906</t>
  </si>
  <si>
    <t>5N05002</t>
  </si>
  <si>
    <t>5N05003</t>
  </si>
  <si>
    <t>5N05006</t>
  </si>
  <si>
    <t>5N05102</t>
  </si>
  <si>
    <t>5N05103</t>
  </si>
  <si>
    <t>5N05106</t>
  </si>
  <si>
    <t>5N05202</t>
  </si>
  <si>
    <t>5N05203</t>
  </si>
  <si>
    <t>5N05206</t>
  </si>
  <si>
    <t>5N05306</t>
  </si>
  <si>
    <t>5N05402</t>
  </si>
  <si>
    <t>5N05403</t>
  </si>
  <si>
    <t>5N05406</t>
  </si>
  <si>
    <t>5N05502</t>
  </si>
  <si>
    <t>5N05503</t>
  </si>
  <si>
    <t>5N05506</t>
  </si>
  <si>
    <t>5N05602</t>
  </si>
  <si>
    <t>5N05603</t>
  </si>
  <si>
    <t>5N05802</t>
  </si>
  <si>
    <t>5N05803</t>
  </si>
  <si>
    <t>5N05902</t>
  </si>
  <si>
    <t>5N06002</t>
  </si>
  <si>
    <t>5N06202</t>
  </si>
  <si>
    <t>5N06302</t>
  </si>
  <si>
    <t>1054962</t>
  </si>
  <si>
    <t>Pack 15 Mxplus LE Costco bundle</t>
  </si>
  <si>
    <t>LT00052077</t>
  </si>
  <si>
    <t>5N06602</t>
  </si>
  <si>
    <t>模具</t>
  </si>
  <si>
    <t>LT00006423</t>
  </si>
  <si>
    <t>5S03501</t>
  </si>
  <si>
    <t>0000053911</t>
  </si>
  <si>
    <t>2019-12-24</t>
  </si>
  <si>
    <t>2026-12-24</t>
  </si>
  <si>
    <t>5S03701</t>
  </si>
  <si>
    <t>0000053910</t>
  </si>
  <si>
    <t>5S03901</t>
  </si>
  <si>
    <t>0000053909</t>
  </si>
  <si>
    <t>0000053913</t>
  </si>
  <si>
    <t>5S04001</t>
  </si>
  <si>
    <t>0000053912</t>
  </si>
  <si>
    <t>LT00040477</t>
  </si>
  <si>
    <t>5S04201</t>
  </si>
  <si>
    <t>0000151143</t>
  </si>
  <si>
    <t>2020-10-10</t>
  </si>
  <si>
    <t>2027-10-10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</si>
</sst>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0"/>
      <name val="DengXian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4" fillId="2" borderId="0" xfId="1" applyFont="1" applyFill="1"/>
    <xf numFmtId="0" fontId="1" fillId="2" borderId="0" xfId="1" applyFill="1" applyAlignment="1">
      <alignment horizontal="left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quotePrefix="1" applyAlignment="1">
      <alignment vertical="center"/>
    </xf>
    <xf numFmtId="0" fontId="1" fillId="3" borderId="0" xfId="1" applyFill="1"/>
    <xf numFmtId="49" fontId="1" fillId="0" borderId="0" xfId="1" applyNumberFormat="1"/>
    <xf numFmtId="0" fontId="1" fillId="0" borderId="0" xfId="1" applyAlignment="1">
      <alignment horizontal="left"/>
    </xf>
  </cellXfs>
  <cellStyles count="2">
    <cellStyle name="常规" xfId="0" builtinId="0"/>
    <cellStyle name="常规 2" xfId="1" xr:uid="{FD289BE8-DA76-414F-8D64-F6E54C6389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tudy\python_practice\cycle_count2\inventory.xls" TargetMode="External"/><Relationship Id="rId1" Type="http://schemas.openxmlformats.org/officeDocument/2006/relationships/externalLinkPath" Target="invento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ITA"/>
      <sheetName val="PDD库存表"/>
      <sheetName val="抖音库存报表"/>
      <sheetName val="JDPOP库存"/>
      <sheetName val="天猫仓"/>
      <sheetName val="代发仓"/>
      <sheetName val="JD赠品仓"/>
      <sheetName val="Sheet2"/>
      <sheetName val="基础信息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>Article</v>
          </cell>
          <cell r="C2" t="str">
            <v>Description</v>
          </cell>
          <cell r="D2" t="str">
            <v>Category</v>
          </cell>
          <cell r="E2" t="str">
            <v>Product</v>
          </cell>
          <cell r="F2" t="str">
            <v>Color</v>
          </cell>
        </row>
        <row r="3">
          <cell r="B3" t="str">
            <v>1019093</v>
          </cell>
          <cell r="C3" t="str">
            <v xml:space="preserve">MicroDisc PU 600 TW                     </v>
          </cell>
          <cell r="D3" t="str">
            <v xml:space="preserve">Cartridge </v>
          </cell>
          <cell r="E3" t="str">
            <v>MicroDisc</v>
          </cell>
          <cell r="F3" t="str">
            <v>MicroDisc</v>
          </cell>
        </row>
        <row r="4">
          <cell r="B4" t="str">
            <v>1015796</v>
          </cell>
          <cell r="C4" t="str">
            <v xml:space="preserve">Filter cartridge MAXTRA CN              </v>
          </cell>
          <cell r="D4" t="str">
            <v xml:space="preserve">Cartridge </v>
          </cell>
          <cell r="E4" t="str">
            <v>UNIV</v>
          </cell>
          <cell r="F4" t="str">
            <v>P55</v>
          </cell>
        </row>
        <row r="5">
          <cell r="B5" t="str">
            <v>1029399</v>
          </cell>
          <cell r="C5" t="str">
            <v xml:space="preserve">Fica MAXTRAplus UNIV CN 3               </v>
          </cell>
          <cell r="D5" t="str">
            <v xml:space="preserve">Cartridge </v>
          </cell>
          <cell r="E5" t="str">
            <v>UNIV</v>
          </cell>
          <cell r="F5" t="str">
            <v>P55</v>
          </cell>
        </row>
        <row r="6">
          <cell r="B6" t="str">
            <v>1027177</v>
          </cell>
          <cell r="C6" t="str">
            <v>Maxtra+ (Universal) P55</v>
          </cell>
          <cell r="D6" t="str">
            <v xml:space="preserve">Cartridge </v>
          </cell>
          <cell r="E6" t="str">
            <v>UNIV</v>
          </cell>
          <cell r="F6" t="str">
            <v>P55</v>
          </cell>
        </row>
        <row r="7">
          <cell r="B7" t="str">
            <v>1029381</v>
          </cell>
          <cell r="C7" t="str">
            <v>Pack 1 MAXTRAplus UNIV CU CN 3</v>
          </cell>
          <cell r="D7" t="str">
            <v xml:space="preserve">Cartridge </v>
          </cell>
          <cell r="E7" t="str">
            <v>UNIV</v>
          </cell>
          <cell r="F7" t="str">
            <v>P1</v>
          </cell>
        </row>
        <row r="8">
          <cell r="B8" t="str">
            <v>1029383</v>
          </cell>
          <cell r="C8" t="str">
            <v>Pack 3 MAXTRAplus UNIV CU CN 3</v>
          </cell>
          <cell r="D8" t="str">
            <v xml:space="preserve">Cartridge </v>
          </cell>
          <cell r="E8" t="str">
            <v>UNIV</v>
          </cell>
          <cell r="F8" t="str">
            <v>P3</v>
          </cell>
        </row>
        <row r="9">
          <cell r="B9" t="str">
            <v>1035105</v>
          </cell>
          <cell r="C9" t="str">
            <v>Pack 6 MAXTRAplus UNIV new CU CN 3</v>
          </cell>
          <cell r="D9" t="str">
            <v xml:space="preserve">Cartridge </v>
          </cell>
          <cell r="E9" t="str">
            <v>UNIV</v>
          </cell>
          <cell r="F9" t="str">
            <v>P6</v>
          </cell>
        </row>
        <row r="10">
          <cell r="B10" t="str">
            <v>1035106</v>
          </cell>
          <cell r="C10" t="str">
            <v>Fika MAXTRAplus UNIV new CN 3</v>
          </cell>
          <cell r="D10" t="str">
            <v xml:space="preserve">Cartridge </v>
          </cell>
          <cell r="E10" t="str">
            <v>UNIV</v>
          </cell>
          <cell r="F10" t="str">
            <v>P55</v>
          </cell>
        </row>
        <row r="11">
          <cell r="B11" t="str">
            <v>1035352</v>
          </cell>
          <cell r="C11" t="str">
            <v>Pack 6 MAXTRAplus UNIV CU CN 3 INTERIM</v>
          </cell>
          <cell r="D11" t="str">
            <v xml:space="preserve">Cartridge </v>
          </cell>
          <cell r="E11" t="str">
            <v>UNIV</v>
          </cell>
          <cell r="F11" t="str">
            <v>P6</v>
          </cell>
        </row>
        <row r="12">
          <cell r="B12" t="str">
            <v>1035423</v>
          </cell>
          <cell r="C12" t="str">
            <v>Pack 3 MAXTRAplus UNIV CU CN 3 INTERIM</v>
          </cell>
          <cell r="D12" t="str">
            <v xml:space="preserve">Cartridge </v>
          </cell>
          <cell r="E12" t="str">
            <v>UNIV</v>
          </cell>
          <cell r="F12" t="str">
            <v>P3</v>
          </cell>
        </row>
        <row r="13">
          <cell r="B13" t="str">
            <v>1043017</v>
          </cell>
          <cell r="C13" t="str">
            <v>Pack 1 MAXTRAplus UNIV CU CN XY</v>
          </cell>
          <cell r="D13" t="str">
            <v xml:space="preserve">Cartridge </v>
          </cell>
          <cell r="E13" t="str">
            <v>UNIV</v>
          </cell>
          <cell r="F13" t="str">
            <v>P1</v>
          </cell>
        </row>
        <row r="14">
          <cell r="B14" t="str">
            <v>1043018</v>
          </cell>
          <cell r="C14" t="str">
            <v>Pack 3 MAXTRAplus UNIV CU CN XY</v>
          </cell>
          <cell r="D14" t="str">
            <v xml:space="preserve">Cartridge </v>
          </cell>
          <cell r="E14" t="str">
            <v>UNIV</v>
          </cell>
          <cell r="F14" t="str">
            <v>P3</v>
          </cell>
        </row>
        <row r="15">
          <cell r="B15" t="str">
            <v>1043019</v>
          </cell>
          <cell r="C15" t="str">
            <v>Pack 6 MAXTRAplus UNIV CU CN XY</v>
          </cell>
          <cell r="D15" t="str">
            <v xml:space="preserve">Cartridge </v>
          </cell>
          <cell r="E15" t="str">
            <v>UNIV</v>
          </cell>
          <cell r="F15" t="str">
            <v>P6</v>
          </cell>
        </row>
        <row r="16">
          <cell r="B16" t="str">
            <v>1029944</v>
          </cell>
          <cell r="C16" t="str">
            <v>Fika MAXTRAplus LM EXP CN 3</v>
          </cell>
          <cell r="D16" t="str">
            <v xml:space="preserve">Cartridge </v>
          </cell>
          <cell r="E16" t="str">
            <v>LM</v>
          </cell>
          <cell r="F16" t="str">
            <v>P55</v>
          </cell>
        </row>
        <row r="17">
          <cell r="B17" t="str">
            <v>1029392</v>
          </cell>
          <cell r="C17" t="str">
            <v>Pack 1 MAXTRAplus LM EXP CU CN 3</v>
          </cell>
          <cell r="D17" t="str">
            <v xml:space="preserve">Cartridge </v>
          </cell>
          <cell r="E17" t="str">
            <v>LM</v>
          </cell>
          <cell r="F17" t="str">
            <v>P1</v>
          </cell>
        </row>
        <row r="18">
          <cell r="B18" t="str">
            <v>1029395</v>
          </cell>
          <cell r="C18" t="str">
            <v>Pack 3 MAXTRAplus LM EXP CU CN 3</v>
          </cell>
          <cell r="D18" t="str">
            <v xml:space="preserve">Cartridge </v>
          </cell>
          <cell r="E18" t="str">
            <v>LM</v>
          </cell>
          <cell r="F18" t="str">
            <v>P3</v>
          </cell>
        </row>
        <row r="19">
          <cell r="B19" t="str">
            <v>1029397</v>
          </cell>
          <cell r="C19" t="str">
            <v>Pack 6 MAXTRAplus LM EXP CU CN 3</v>
          </cell>
          <cell r="D19" t="str">
            <v xml:space="preserve">Cartridge </v>
          </cell>
          <cell r="E19" t="str">
            <v>LM</v>
          </cell>
          <cell r="F19" t="str">
            <v>P6</v>
          </cell>
        </row>
        <row r="20">
          <cell r="B20" t="str">
            <v>1040856</v>
          </cell>
          <cell r="C20" t="str">
            <v>Pack 6 MAXTRAplus LM EXP JD CU CN 3</v>
          </cell>
          <cell r="D20" t="str">
            <v xml:space="preserve">Cartridge </v>
          </cell>
          <cell r="E20" t="str">
            <v>LM</v>
          </cell>
          <cell r="F20" t="str">
            <v>P6</v>
          </cell>
        </row>
        <row r="21">
          <cell r="B21" t="str">
            <v>1043022</v>
          </cell>
          <cell r="C21" t="str">
            <v>Pack 3 MAXTRAplus LM EXP CU CN XY</v>
          </cell>
          <cell r="D21" t="str">
            <v xml:space="preserve">Cartridge </v>
          </cell>
          <cell r="E21" t="str">
            <v>LM</v>
          </cell>
          <cell r="F21" t="str">
            <v>P3</v>
          </cell>
        </row>
        <row r="22">
          <cell r="B22" t="str">
            <v>1043023</v>
          </cell>
          <cell r="C22" t="str">
            <v>Pack 6 MAXTRAplus LM EXP CU CN XY</v>
          </cell>
          <cell r="D22" t="str">
            <v xml:space="preserve">Cartridge </v>
          </cell>
          <cell r="E22" t="str">
            <v>LM</v>
          </cell>
          <cell r="F22" t="str">
            <v>P6</v>
          </cell>
        </row>
        <row r="23">
          <cell r="B23" t="str">
            <v>1026627</v>
          </cell>
          <cell r="C23" t="str">
            <v xml:space="preserve">Pack 1 MAXTRAplus LM EXP CU CN 1        </v>
          </cell>
          <cell r="D23" t="str">
            <v xml:space="preserve">Cartridge </v>
          </cell>
          <cell r="E23" t="str">
            <v>LM</v>
          </cell>
          <cell r="F23" t="str">
            <v>P1</v>
          </cell>
        </row>
        <row r="24">
          <cell r="B24" t="str">
            <v>1026628</v>
          </cell>
          <cell r="C24" t="str">
            <v xml:space="preserve">Pack 3 MAXTRAplus LM EXP CU CN 1        </v>
          </cell>
          <cell r="D24" t="str">
            <v xml:space="preserve">Cartridge </v>
          </cell>
          <cell r="E24" t="str">
            <v>LM</v>
          </cell>
          <cell r="F24" t="str">
            <v>P3</v>
          </cell>
        </row>
        <row r="25">
          <cell r="B25" t="str">
            <v>1043025</v>
          </cell>
          <cell r="C25" t="str">
            <v>Pack 6 MAXTRAplus LM EXP CU CN XY</v>
          </cell>
          <cell r="D25" t="str">
            <v xml:space="preserve">Cartridge </v>
          </cell>
          <cell r="E25" t="str">
            <v>LM</v>
          </cell>
          <cell r="F25" t="str">
            <v>P6</v>
          </cell>
        </row>
        <row r="27">
          <cell r="B27" t="str">
            <v>1019421</v>
          </cell>
          <cell r="C27" t="str">
            <v>Fun ME4W pink CU CN</v>
          </cell>
          <cell r="D27" t="str">
            <v>Jug</v>
          </cell>
          <cell r="E27" t="str">
            <v>Fun</v>
          </cell>
          <cell r="F27" t="str">
            <v>Pink</v>
          </cell>
        </row>
        <row r="28">
          <cell r="B28" t="str">
            <v>1037707</v>
          </cell>
          <cell r="C28" t="str">
            <v>Fun ME4W pink MX incl 12MXplus LE CU CN</v>
          </cell>
          <cell r="D28" t="str">
            <v>Jug</v>
          </cell>
          <cell r="E28" t="str">
            <v>Fun</v>
          </cell>
          <cell r="F28" t="str">
            <v>Pink</v>
          </cell>
        </row>
        <row r="29">
          <cell r="B29" t="str">
            <v>1019422</v>
          </cell>
          <cell r="C29" t="str">
            <v>Fun ME4W blue CU CN</v>
          </cell>
          <cell r="D29" t="str">
            <v>Jug</v>
          </cell>
          <cell r="E29" t="str">
            <v>Fun</v>
          </cell>
          <cell r="F29" t="str">
            <v>Blue</v>
          </cell>
        </row>
        <row r="30">
          <cell r="B30" t="str">
            <v>1015783</v>
          </cell>
          <cell r="C30" t="str">
            <v xml:space="preserve">Elemaris XL BM4W white CU CN            </v>
          </cell>
          <cell r="D30" t="str">
            <v>Jug</v>
          </cell>
          <cell r="E30" t="str">
            <v>Elemaris</v>
          </cell>
          <cell r="F30" t="str">
            <v>White</v>
          </cell>
        </row>
        <row r="31">
          <cell r="B31" t="str">
            <v>1015787</v>
          </cell>
          <cell r="C31" t="str">
            <v>Elemaris XL BM4W black CU CN</v>
          </cell>
          <cell r="D31" t="str">
            <v>Jug</v>
          </cell>
          <cell r="E31" t="str">
            <v>Elemaris</v>
          </cell>
          <cell r="F31" t="str">
            <v>Black</v>
          </cell>
        </row>
        <row r="32">
          <cell r="B32" t="str">
            <v>1029313</v>
          </cell>
          <cell r="C32" t="str">
            <v>Elemaris XL BM4W MXplus white CU CN</v>
          </cell>
          <cell r="D32" t="str">
            <v>Jug</v>
          </cell>
          <cell r="E32" t="str">
            <v>Elemaris</v>
          </cell>
          <cell r="F32" t="str">
            <v>White</v>
          </cell>
        </row>
        <row r="33">
          <cell r="B33" t="str">
            <v>1029314</v>
          </cell>
          <cell r="C33" t="str">
            <v>Elemaris XL BM4W MXplus black CU CN</v>
          </cell>
          <cell r="D33" t="str">
            <v>Jug</v>
          </cell>
          <cell r="E33" t="str">
            <v>Elemaris</v>
          </cell>
          <cell r="F33" t="str">
            <v>Black</v>
          </cell>
        </row>
        <row r="34">
          <cell r="B34" t="str">
            <v>1029322</v>
          </cell>
          <cell r="C34" t="str">
            <v>Marella XL ME4W MXplus silvgli BCM CU CN</v>
          </cell>
          <cell r="D34" t="str">
            <v>Jug</v>
          </cell>
          <cell r="E34" t="str">
            <v>Marella</v>
          </cell>
          <cell r="F34" t="str">
            <v>Glitter</v>
          </cell>
        </row>
        <row r="35">
          <cell r="B35" t="str">
            <v>1029323</v>
          </cell>
          <cell r="C35" t="str">
            <v>Marella XL ME4W MXplus blaglit BCM CU CN</v>
          </cell>
          <cell r="D35" t="str">
            <v>Jug</v>
          </cell>
          <cell r="E35" t="str">
            <v>Marella</v>
          </cell>
          <cell r="F35" t="str">
            <v>Glitter</v>
          </cell>
        </row>
        <row r="36">
          <cell r="B36" t="str">
            <v>1029324</v>
          </cell>
          <cell r="C36" t="str">
            <v>Marella XL ME4W MXplus bluglit BCM CU CN</v>
          </cell>
          <cell r="D36" t="str">
            <v>Jug</v>
          </cell>
          <cell r="E36" t="str">
            <v>Marella</v>
          </cell>
          <cell r="F36" t="str">
            <v>Glitter</v>
          </cell>
        </row>
        <row r="37">
          <cell r="B37" t="str">
            <v>1042918</v>
          </cell>
          <cell r="C37" t="str">
            <v>矿泉壶,PS透明壶身配亮黑色上盖,Marella XL淘宝促销款,滤芯3支装</v>
          </cell>
          <cell r="D37" t="str">
            <v>Jug</v>
          </cell>
          <cell r="E37" t="str">
            <v>Marella</v>
          </cell>
          <cell r="F37" t="str">
            <v>Glitter</v>
          </cell>
        </row>
        <row r="38">
          <cell r="B38" t="str">
            <v>1044804</v>
          </cell>
          <cell r="C38" t="str">
            <v>矿泉壶,PS透明壶身配亮黑色上盖,Marella XL淘宝促销款,滤芯6支装</v>
          </cell>
          <cell r="D38" t="str">
            <v>Jug</v>
          </cell>
          <cell r="E38" t="str">
            <v>Marella</v>
          </cell>
          <cell r="F38" t="str">
            <v>Glitter</v>
          </cell>
        </row>
        <row r="39">
          <cell r="B39" t="str">
            <v>1044658</v>
          </cell>
          <cell r="C39" t="str">
            <v>Marella XL Glitter Blue incl 6 MXp CU CN</v>
          </cell>
          <cell r="D39" t="str">
            <v>Jug</v>
          </cell>
          <cell r="E39" t="str">
            <v>Marella</v>
          </cell>
          <cell r="F39" t="str">
            <v>Glitter</v>
          </cell>
        </row>
        <row r="40">
          <cell r="B40" t="str">
            <v>1037761</v>
          </cell>
          <cell r="C40" t="str">
            <v>Marella XL ME4W MXplus white BCM CU CN</v>
          </cell>
          <cell r="D40" t="str">
            <v>Jug</v>
          </cell>
          <cell r="E40" t="str">
            <v>Marella</v>
          </cell>
          <cell r="F40" t="str">
            <v>White</v>
          </cell>
        </row>
        <row r="41">
          <cell r="B41" t="str">
            <v>1038306</v>
          </cell>
          <cell r="C41" t="str">
            <v>Marella XL ME4W wh inkl3 MXp BCM CU CN</v>
          </cell>
          <cell r="D41" t="str">
            <v>Jug</v>
          </cell>
          <cell r="E41" t="str">
            <v>Marella</v>
          </cell>
          <cell r="F41" t="str">
            <v>White</v>
          </cell>
        </row>
        <row r="42">
          <cell r="B42" t="str">
            <v>1038309</v>
          </cell>
          <cell r="C42" t="str">
            <v>Marella XL ME4W wh inkl6 MXp BCM CU CN</v>
          </cell>
          <cell r="D42" t="str">
            <v>Jug</v>
          </cell>
          <cell r="E42" t="str">
            <v>Marella</v>
          </cell>
          <cell r="F42" t="str">
            <v>White</v>
          </cell>
        </row>
        <row r="43">
          <cell r="B43" t="str">
            <v>1029319</v>
          </cell>
          <cell r="C43" t="str">
            <v xml:space="preserve">Marella XL ME4W MXplus white KEM CU CN  </v>
          </cell>
          <cell r="D43" t="str">
            <v>Jug</v>
          </cell>
          <cell r="E43" t="str">
            <v>Marella</v>
          </cell>
          <cell r="F43" t="str">
            <v>White</v>
          </cell>
        </row>
        <row r="44">
          <cell r="B44" t="str">
            <v>1031956</v>
          </cell>
          <cell r="C44" t="str">
            <v xml:space="preserve">Marella XL ME4W wh inkl6 MXp KEM CU CN  </v>
          </cell>
          <cell r="D44" t="str">
            <v>Jug</v>
          </cell>
          <cell r="E44" t="str">
            <v>Marella</v>
          </cell>
          <cell r="F44" t="str">
            <v>White</v>
          </cell>
        </row>
        <row r="45">
          <cell r="B45" t="str">
            <v>1029320</v>
          </cell>
          <cell r="C45" t="str">
            <v>Marella XL ME4W MXplus blue KEM CU CN</v>
          </cell>
          <cell r="D45" t="str">
            <v>Jug</v>
          </cell>
          <cell r="E45" t="str">
            <v>Marella</v>
          </cell>
          <cell r="F45" t="str">
            <v>Blue</v>
          </cell>
        </row>
        <row r="46">
          <cell r="B46" t="str">
            <v>1031953</v>
          </cell>
          <cell r="C46" t="str">
            <v>Marella XL ME4W blue inkl3 MXp KEM CU CN</v>
          </cell>
          <cell r="D46" t="str">
            <v>Jug</v>
          </cell>
          <cell r="E46" t="str">
            <v>Marella</v>
          </cell>
          <cell r="F46" t="str">
            <v>Blue</v>
          </cell>
        </row>
        <row r="47">
          <cell r="B47" t="str">
            <v>1037403</v>
          </cell>
          <cell r="C47" t="str">
            <v>Marella XL ME4W MXplus blue BCM CU CN</v>
          </cell>
          <cell r="D47" t="str">
            <v>Jug</v>
          </cell>
          <cell r="E47" t="str">
            <v>Marella</v>
          </cell>
          <cell r="F47" t="str">
            <v>Blue</v>
          </cell>
        </row>
        <row r="48">
          <cell r="B48" t="str">
            <v>1038296</v>
          </cell>
          <cell r="C48" t="str">
            <v>Marella XL ME4W blue inkl3 MXp BCM CU CN</v>
          </cell>
          <cell r="D48" t="str">
            <v>Jug</v>
          </cell>
          <cell r="E48" t="str">
            <v>Marella</v>
          </cell>
          <cell r="F48" t="str">
            <v>Blue</v>
          </cell>
        </row>
        <row r="49">
          <cell r="B49" t="str">
            <v>1038300</v>
          </cell>
          <cell r="C49" t="str">
            <v>Marella XL ME4W blue inkl4 MXp BCM CU CN</v>
          </cell>
          <cell r="D49" t="str">
            <v>Jug</v>
          </cell>
          <cell r="E49" t="str">
            <v>Marella</v>
          </cell>
          <cell r="F49" t="str">
            <v>Blue</v>
          </cell>
        </row>
        <row r="50">
          <cell r="B50" t="str">
            <v>1038303</v>
          </cell>
          <cell r="C50" t="str">
            <v>Marella XL ME4W blue inkl6 MXp BCM CU CN</v>
          </cell>
          <cell r="D50" t="str">
            <v>Jug</v>
          </cell>
          <cell r="E50" t="str">
            <v>Marella</v>
          </cell>
          <cell r="F50" t="str">
            <v>Blue</v>
          </cell>
        </row>
        <row r="51">
          <cell r="B51" t="str">
            <v>1039877</v>
          </cell>
          <cell r="C51" t="str">
            <v>Marella XL bl 6MXplus Uni/LE CNY CU CN</v>
          </cell>
          <cell r="D51" t="str">
            <v>Jug</v>
          </cell>
          <cell r="E51" t="str">
            <v>Marella</v>
          </cell>
          <cell r="F51" t="str">
            <v>Blue</v>
          </cell>
        </row>
        <row r="52">
          <cell r="B52" t="str">
            <v>1041918</v>
          </cell>
          <cell r="C52" t="str">
            <v>Marella XL Blue + LM Mxplus*5 BCM CU CN</v>
          </cell>
          <cell r="D52" t="str">
            <v>Jug</v>
          </cell>
          <cell r="E52" t="str">
            <v>Marella</v>
          </cell>
          <cell r="F52" t="str">
            <v>Blue</v>
          </cell>
        </row>
        <row r="53">
          <cell r="B53" t="str">
            <v>1043102</v>
          </cell>
          <cell r="C53" t="str">
            <v>Marella XL blue incl5 MXp LE CNY CU ECN</v>
          </cell>
          <cell r="D53" t="str">
            <v>Jug</v>
          </cell>
          <cell r="E53" t="str">
            <v>Marella</v>
          </cell>
          <cell r="F53" t="str">
            <v>Blue</v>
          </cell>
        </row>
        <row r="54">
          <cell r="B54" t="str">
            <v>1029338</v>
          </cell>
          <cell r="C54" t="str">
            <v xml:space="preserve">Marella XL ME4W MXplus blue Yam CU CN   </v>
          </cell>
          <cell r="D54" t="str">
            <v>Jug</v>
          </cell>
          <cell r="E54" t="str">
            <v>Marella</v>
          </cell>
          <cell r="F54" t="str">
            <v>Blue</v>
          </cell>
        </row>
        <row r="55">
          <cell r="B55" t="str">
            <v>1030718</v>
          </cell>
          <cell r="C55" t="str">
            <v xml:space="preserve">Marella XL blue incl 2 MX CU CN         </v>
          </cell>
          <cell r="D55" t="str">
            <v>Jug</v>
          </cell>
          <cell r="E55" t="str">
            <v>Marella</v>
          </cell>
          <cell r="F55" t="str">
            <v>Blue</v>
          </cell>
        </row>
        <row r="56">
          <cell r="B56" t="str">
            <v>1031954</v>
          </cell>
          <cell r="C56" t="str">
            <v>Marella XL ME4W blue inkl6 MXp KEM CU CN</v>
          </cell>
          <cell r="D56" t="str">
            <v>Jug</v>
          </cell>
          <cell r="E56" t="str">
            <v>Marella</v>
          </cell>
          <cell r="F56" t="str">
            <v>Blue</v>
          </cell>
        </row>
        <row r="57">
          <cell r="B57" t="str">
            <v>1031957</v>
          </cell>
          <cell r="C57" t="str">
            <v>Marella XL ME4W blue inkl4 MXp KEM CU CN</v>
          </cell>
          <cell r="D57" t="str">
            <v>Jug</v>
          </cell>
          <cell r="E57" t="str">
            <v>Marella</v>
          </cell>
          <cell r="F57" t="str">
            <v>Blue</v>
          </cell>
        </row>
        <row r="58">
          <cell r="B58" t="str">
            <v>1038946</v>
          </cell>
          <cell r="C58" t="str">
            <v xml:space="preserve">Marella XL ME4W MXplus BCM CU CN+LM*5   </v>
          </cell>
          <cell r="D58" t="str">
            <v>Jug</v>
          </cell>
          <cell r="E58" t="str">
            <v>Marella</v>
          </cell>
          <cell r="F58" t="str">
            <v>Blue</v>
          </cell>
        </row>
        <row r="59">
          <cell r="B59" t="str">
            <v>1029340</v>
          </cell>
          <cell r="C59" t="str">
            <v xml:space="preserve">Aluna XL ME4W MXplus Yam blue CU CN     </v>
          </cell>
          <cell r="D59" t="str">
            <v>Jug</v>
          </cell>
          <cell r="E59" t="str">
            <v>Aluna</v>
          </cell>
          <cell r="F59" t="str">
            <v>Blue</v>
          </cell>
        </row>
        <row r="60">
          <cell r="B60" t="str">
            <v>1037279</v>
          </cell>
          <cell r="C60" t="str">
            <v>Aluna XL ME4W MXplus BCM blue CU CN</v>
          </cell>
          <cell r="D60" t="str">
            <v>Jug</v>
          </cell>
          <cell r="E60" t="str">
            <v>Aluna</v>
          </cell>
          <cell r="F60" t="str">
            <v>Blue</v>
          </cell>
        </row>
        <row r="61">
          <cell r="B61" t="str">
            <v>1042449</v>
          </cell>
          <cell r="C61" t="str">
            <v>Aluna XL ME4W blue CU CNO
滤水壶：Auna中国蓝一壶四芯</v>
          </cell>
          <cell r="D61" t="str">
            <v>Jug</v>
          </cell>
          <cell r="E61" t="str">
            <v>Aluna</v>
          </cell>
          <cell r="F61" t="str">
            <v>Blue</v>
          </cell>
        </row>
        <row r="62">
          <cell r="B62" t="str">
            <v>1043270</v>
          </cell>
          <cell r="C62" t="str">
            <v>Aluna XL ME4W blue BCM CU CNO
滤水壶：Aluna中国蓝</v>
          </cell>
          <cell r="D62" t="str">
            <v>Jug</v>
          </cell>
          <cell r="E62" t="str">
            <v>Aluna</v>
          </cell>
          <cell r="F62" t="str">
            <v>Blue</v>
          </cell>
        </row>
        <row r="63">
          <cell r="B63" t="str">
            <v>1043604</v>
          </cell>
          <cell r="C63" t="str">
            <v>Aluna XL Blue incl 4Mxplus LE CU CN</v>
          </cell>
          <cell r="D63" t="str">
            <v>Jug</v>
          </cell>
          <cell r="E63" t="str">
            <v>Aluna</v>
          </cell>
          <cell r="F63" t="str">
            <v>Blue</v>
          </cell>
        </row>
        <row r="64">
          <cell r="B64" t="str">
            <v>1039021</v>
          </cell>
          <cell r="C64" t="str">
            <v>Aluna XL ME4W MXplus BCM white CU CN</v>
          </cell>
          <cell r="D64" t="str">
            <v>Jug</v>
          </cell>
          <cell r="E64" t="str">
            <v>Aluna</v>
          </cell>
          <cell r="F64" t="str">
            <v>White</v>
          </cell>
        </row>
        <row r="65">
          <cell r="B65" t="str">
            <v>1035120</v>
          </cell>
          <cell r="C65" t="str">
            <v>Style XL Lime incl 3MX+ sleeve CU CN</v>
          </cell>
          <cell r="D65" t="str">
            <v>Jug</v>
          </cell>
          <cell r="E65" t="str">
            <v>Style</v>
          </cell>
          <cell r="F65" t="str">
            <v>Lime</v>
          </cell>
        </row>
        <row r="66">
          <cell r="B66" t="str">
            <v>1037596</v>
          </cell>
          <cell r="C66" t="str">
            <v>Style XL LED4W MXplus BCM blue CU CN</v>
          </cell>
          <cell r="D66" t="str">
            <v>Jug</v>
          </cell>
          <cell r="E66" t="str">
            <v>Style</v>
          </cell>
          <cell r="F66" t="str">
            <v>Blue</v>
          </cell>
        </row>
        <row r="67">
          <cell r="B67" t="str">
            <v>1037597</v>
          </cell>
          <cell r="C67" t="str">
            <v>Style XL LED4W MXplus BCM lime CU CN</v>
          </cell>
          <cell r="D67" t="str">
            <v>Jug</v>
          </cell>
          <cell r="E67" t="str">
            <v>Style</v>
          </cell>
          <cell r="F67" t="str">
            <v>Lime</v>
          </cell>
        </row>
        <row r="68">
          <cell r="B68" t="str">
            <v>1037598</v>
          </cell>
          <cell r="C68" t="str">
            <v>Style XL LED4W MXplus BCM grey CU CN</v>
          </cell>
          <cell r="D68" t="str">
            <v>Jug</v>
          </cell>
          <cell r="E68" t="str">
            <v>Style</v>
          </cell>
          <cell r="F68" t="str">
            <v>Grey</v>
          </cell>
        </row>
        <row r="69">
          <cell r="B69" t="str">
            <v>1021908</v>
          </cell>
          <cell r="C69" t="str">
            <v xml:space="preserve">Style XL LED4W MXplus grey CU CN        </v>
          </cell>
          <cell r="D69" t="str">
            <v>Jug</v>
          </cell>
          <cell r="E69" t="str">
            <v>Style</v>
          </cell>
          <cell r="F69" t="str">
            <v>Grey</v>
          </cell>
        </row>
        <row r="70">
          <cell r="B70" t="str">
            <v>1039873</v>
          </cell>
          <cell r="C70" t="str">
            <v>Style XL LED4W lime incl6MXp Sam's CU CN</v>
          </cell>
          <cell r="D70" t="str">
            <v>Jug</v>
          </cell>
          <cell r="E70" t="str">
            <v>Style</v>
          </cell>
          <cell r="F70" t="str">
            <v>Lime</v>
          </cell>
        </row>
        <row r="71">
          <cell r="B71" t="str">
            <v>1041562</v>
          </cell>
          <cell r="C71" t="str">
            <v>Style XL Lime + LM Mxplus*5 CU CN</v>
          </cell>
          <cell r="D71" t="str">
            <v>Jug</v>
          </cell>
          <cell r="E71" t="str">
            <v>Style</v>
          </cell>
          <cell r="F71" t="str">
            <v>Lime</v>
          </cell>
        </row>
        <row r="72">
          <cell r="B72" t="str">
            <v>1041625</v>
          </cell>
          <cell r="C72" t="str">
            <v>Style XL LED4W lime 6 Mxplus LM CU CN</v>
          </cell>
          <cell r="D72" t="str">
            <v>Jug</v>
          </cell>
          <cell r="E72" t="str">
            <v>Style</v>
          </cell>
          <cell r="F72" t="str">
            <v>Lime</v>
          </cell>
        </row>
        <row r="73">
          <cell r="B73" t="str">
            <v>1042161</v>
          </cell>
          <cell r="C73" t="str">
            <v>Style XL lime + LM inch 3 MX plus PHY CU CN</v>
          </cell>
          <cell r="D73" t="str">
            <v>Jug</v>
          </cell>
          <cell r="E73" t="str">
            <v>Style</v>
          </cell>
          <cell r="F73" t="str">
            <v>Lime</v>
          </cell>
        </row>
        <row r="74">
          <cell r="B74" t="str">
            <v>1042442</v>
          </cell>
          <cell r="C74" t="str">
            <v>Style XL lime incl 4MXpl LM PHY-MA CU CN</v>
          </cell>
          <cell r="D74" t="str">
            <v>Jug</v>
          </cell>
          <cell r="E74" t="str">
            <v>Style</v>
          </cell>
          <cell r="F74" t="str">
            <v>Lime</v>
          </cell>
        </row>
        <row r="75">
          <cell r="B75" t="str">
            <v>1043094</v>
          </cell>
          <cell r="C75" t="str">
            <v>Style XL lime incl6 MXplus LE CNY CU ECN</v>
          </cell>
          <cell r="D75" t="str">
            <v>Jug</v>
          </cell>
          <cell r="E75" t="str">
            <v>Style</v>
          </cell>
          <cell r="F75" t="str">
            <v>Lime</v>
          </cell>
        </row>
        <row r="76">
          <cell r="B76" t="str">
            <v>1044992</v>
          </cell>
          <cell r="C76" t="str">
            <v>Style XL Lime incl6 MXplus CU CN</v>
          </cell>
          <cell r="D76" t="str">
            <v>Jug</v>
          </cell>
          <cell r="E76" t="str">
            <v>Style</v>
          </cell>
          <cell r="F76" t="str">
            <v>Lime</v>
          </cell>
        </row>
        <row r="77">
          <cell r="B77" t="str">
            <v>1026691</v>
          </cell>
          <cell r="C77" t="str">
            <v xml:space="preserve">Style XL LED4W MXplus lime CU CN        </v>
          </cell>
          <cell r="D77" t="str">
            <v>Jug</v>
          </cell>
          <cell r="E77" t="str">
            <v>Style</v>
          </cell>
          <cell r="F77" t="str">
            <v>Lime</v>
          </cell>
        </row>
        <row r="78">
          <cell r="B78" t="str">
            <v>1034733</v>
          </cell>
          <cell r="C78" t="str">
            <v xml:space="preserve">Style XL LED4W MXplus lime Sleeve CU CN </v>
          </cell>
          <cell r="D78" t="str">
            <v>Jug</v>
          </cell>
          <cell r="E78" t="str">
            <v>Style</v>
          </cell>
          <cell r="F78" t="str">
            <v>Lime</v>
          </cell>
        </row>
        <row r="79">
          <cell r="B79" t="str">
            <v>1040080</v>
          </cell>
          <cell r="C79" t="str">
            <v>Style XL LED4W lime incl 6 MXplus CU ECN</v>
          </cell>
          <cell r="D79" t="str">
            <v>Jug</v>
          </cell>
          <cell r="E79" t="str">
            <v>Style</v>
          </cell>
          <cell r="F79" t="str">
            <v>Lime</v>
          </cell>
        </row>
        <row r="80">
          <cell r="B80" t="str">
            <v>1043100</v>
          </cell>
          <cell r="C80" t="str">
            <v xml:space="preserve">Style XL lime incl6 MXplus LE CNY CU CN </v>
          </cell>
          <cell r="D80" t="str">
            <v>Jug</v>
          </cell>
          <cell r="E80" t="str">
            <v>Style</v>
          </cell>
          <cell r="F80" t="str">
            <v>Lime</v>
          </cell>
        </row>
        <row r="81">
          <cell r="B81" t="str">
            <v>1043279</v>
          </cell>
          <cell r="C81" t="str">
            <v>Style XL LED4W Mxplus lime CU CN
滤水壶：Style中国黄绿色</v>
          </cell>
          <cell r="D81" t="str">
            <v>Jug</v>
          </cell>
          <cell r="E81" t="str">
            <v>Style</v>
          </cell>
          <cell r="F81" t="str">
            <v>Lime</v>
          </cell>
        </row>
        <row r="83">
          <cell r="B83" t="str">
            <v>1036539</v>
          </cell>
          <cell r="C83" t="str">
            <v>Filter&amp;Boil StationT5 MXplus white CU CN</v>
          </cell>
          <cell r="D83" t="str">
            <v>Hotcup</v>
          </cell>
          <cell r="E83" t="str">
            <v>Filtrino</v>
          </cell>
          <cell r="F83" t="str">
            <v>White</v>
          </cell>
        </row>
        <row r="84">
          <cell r="B84" t="str">
            <v>1036543</v>
          </cell>
          <cell r="C84" t="str">
            <v>Filter&amp;Boil StationT5 MXplus black CU CN</v>
          </cell>
          <cell r="D84" t="str">
            <v>Hotcup</v>
          </cell>
          <cell r="E84" t="str">
            <v>Filtrino</v>
          </cell>
          <cell r="F84" t="str">
            <v>Black</v>
          </cell>
        </row>
        <row r="85">
          <cell r="B85" t="str">
            <v>1042860</v>
          </cell>
          <cell r="C85" t="str">
            <v xml:space="preserve">F&amp;B StationT5 MXplus LE P6 black CU CN  </v>
          </cell>
          <cell r="D85" t="str">
            <v>Hotcup</v>
          </cell>
          <cell r="E85" t="str">
            <v>Filtrino</v>
          </cell>
          <cell r="F85" t="str">
            <v>Black</v>
          </cell>
        </row>
        <row r="86">
          <cell r="B86" t="str">
            <v>1037740</v>
          </cell>
          <cell r="C86" t="str">
            <v>Filter&amp;Boil Stat. incl.4MXplus br CU CN</v>
          </cell>
          <cell r="D86" t="str">
            <v>Hotcup</v>
          </cell>
          <cell r="E86" t="str">
            <v>Hotcup</v>
          </cell>
          <cell r="F86" t="str">
            <v>Silver</v>
          </cell>
        </row>
        <row r="87">
          <cell r="B87" t="str">
            <v>1042036</v>
          </cell>
          <cell r="C87" t="str">
            <v>Filter&amp;Boil Station MXp BCMbrushed CU CN</v>
          </cell>
          <cell r="D87" t="str">
            <v>Hotcup</v>
          </cell>
          <cell r="E87" t="str">
            <v>Hotcup</v>
          </cell>
          <cell r="F87" t="str">
            <v>Silver</v>
          </cell>
        </row>
        <row r="88">
          <cell r="B88" t="str">
            <v>1042692</v>
          </cell>
          <cell r="C88" t="str">
            <v>Fi&amp;B Station incl.4 MXplus brushed CU CN</v>
          </cell>
          <cell r="D88" t="str">
            <v>Hotcup</v>
          </cell>
          <cell r="E88" t="str">
            <v>Hotcup</v>
          </cell>
          <cell r="F88" t="str">
            <v>Silver</v>
          </cell>
        </row>
        <row r="89">
          <cell r="B89" t="str">
            <v>1042440</v>
          </cell>
          <cell r="C89" t="str">
            <v>Fi&amp;B Station incl.7 MXplus brushed CU CN</v>
          </cell>
          <cell r="D89" t="str">
            <v>Hotcup</v>
          </cell>
          <cell r="E89" t="str">
            <v>Hotcup</v>
          </cell>
          <cell r="F89" t="str">
            <v>Silver</v>
          </cell>
        </row>
        <row r="90">
          <cell r="B90" t="str">
            <v>1039875</v>
          </cell>
          <cell r="C90" t="str">
            <v xml:space="preserve">Filter&amp;Boil Stat br incl.7 MXplus CU CN </v>
          </cell>
          <cell r="D90" t="str">
            <v>Hotcup</v>
          </cell>
          <cell r="E90" t="str">
            <v>Hotcup</v>
          </cell>
          <cell r="F90" t="str">
            <v>Silver</v>
          </cell>
        </row>
        <row r="91">
          <cell r="B91" t="str">
            <v>1043092</v>
          </cell>
          <cell r="C91" t="str">
            <v xml:space="preserve">F&amp;B Station Hotcup incl7 MXp CNY CU CN  </v>
          </cell>
          <cell r="D91" t="str">
            <v>Hotcup</v>
          </cell>
          <cell r="E91" t="str">
            <v>Hotcup</v>
          </cell>
          <cell r="F91" t="str">
            <v>Silver</v>
          </cell>
        </row>
        <row r="93">
          <cell r="B93" t="str">
            <v>1028321</v>
          </cell>
          <cell r="C93" t="str">
            <v>mypure pro X9 CU CN</v>
          </cell>
          <cell r="D93" t="str">
            <v>UTS</v>
          </cell>
          <cell r="E93" t="str">
            <v>MyPure Pro</v>
          </cell>
          <cell r="F93" t="str">
            <v>X9</v>
          </cell>
        </row>
        <row r="94">
          <cell r="B94" t="str">
            <v>1028474</v>
          </cell>
          <cell r="C94" t="str">
            <v>mypure pro X6 CU CN</v>
          </cell>
          <cell r="D94" t="str">
            <v>UTS</v>
          </cell>
          <cell r="E94" t="str">
            <v>MyPure Pro</v>
          </cell>
          <cell r="F94" t="str">
            <v>X6</v>
          </cell>
        </row>
        <row r="95">
          <cell r="B95" t="str">
            <v>1028468</v>
          </cell>
          <cell r="C95" t="str">
            <v>mypure pro X3 CU CN</v>
          </cell>
          <cell r="D95" t="str">
            <v>UTS</v>
          </cell>
          <cell r="E95" t="str">
            <v>MyPure Pro</v>
          </cell>
          <cell r="F95" t="str">
            <v>X3</v>
          </cell>
        </row>
        <row r="96">
          <cell r="B96" t="str">
            <v>1022182</v>
          </cell>
          <cell r="C96" t="str">
            <v>mypure R8 CU CN</v>
          </cell>
          <cell r="D96" t="str">
            <v>UTS</v>
          </cell>
          <cell r="E96" t="str">
            <v>MyPure</v>
          </cell>
          <cell r="F96" t="str">
            <v>R8</v>
          </cell>
        </row>
        <row r="97">
          <cell r="B97" t="str">
            <v>1022183</v>
          </cell>
          <cell r="C97" t="str">
            <v>mypure U5 Ultra Filtration System</v>
          </cell>
          <cell r="D97" t="str">
            <v>UTS</v>
          </cell>
          <cell r="E97" t="str">
            <v>MyPure</v>
          </cell>
          <cell r="F97" t="str">
            <v>U5</v>
          </cell>
        </row>
        <row r="98">
          <cell r="B98" t="str">
            <v>1035986</v>
          </cell>
          <cell r="C98" t="str">
            <v>Refill Fica mypure pro PF CN</v>
          </cell>
          <cell r="D98" t="str">
            <v>UTS</v>
          </cell>
          <cell r="E98" t="str">
            <v>MyPure Pro</v>
          </cell>
          <cell r="F98" t="str">
            <v>Refill</v>
          </cell>
        </row>
        <row r="99">
          <cell r="B99" t="str">
            <v>1035987</v>
          </cell>
          <cell r="C99" t="str">
            <v>Refill pack mypure pro X3 CU CN</v>
          </cell>
          <cell r="D99" t="str">
            <v>UTS</v>
          </cell>
          <cell r="E99" t="str">
            <v>MyPure Pro</v>
          </cell>
          <cell r="F99" t="str">
            <v>Refill</v>
          </cell>
        </row>
        <row r="100">
          <cell r="B100" t="str">
            <v>1035988</v>
          </cell>
          <cell r="C100" t="str">
            <v>Refill pack mypure pro X6 CU CN</v>
          </cell>
          <cell r="D100" t="str">
            <v>UTS</v>
          </cell>
          <cell r="E100" t="str">
            <v>MyPure Pro</v>
          </cell>
          <cell r="F100" t="str">
            <v>Refill</v>
          </cell>
        </row>
        <row r="101">
          <cell r="B101" t="str">
            <v>1035989</v>
          </cell>
          <cell r="C101" t="str">
            <v>Refill pack mypure pro X9 CU CN</v>
          </cell>
          <cell r="D101" t="str">
            <v>UTS</v>
          </cell>
          <cell r="E101" t="str">
            <v>MyPure Pro</v>
          </cell>
          <cell r="F101" t="str">
            <v>Refill</v>
          </cell>
        </row>
        <row r="102">
          <cell r="B102" t="str">
            <v>1036008</v>
          </cell>
          <cell r="C102" t="str">
            <v>Refill Fika mypure pro ION-X CN</v>
          </cell>
          <cell r="D102" t="str">
            <v>UTS</v>
          </cell>
          <cell r="E102" t="str">
            <v>MyPure Pro</v>
          </cell>
          <cell r="F102" t="str">
            <v>Refill</v>
          </cell>
        </row>
        <row r="103">
          <cell r="B103" t="str">
            <v>1036009</v>
          </cell>
          <cell r="C103" t="str">
            <v>Refill Fika mypure pro CB CN</v>
          </cell>
          <cell r="D103" t="str">
            <v>UTS</v>
          </cell>
          <cell r="E103" t="str">
            <v>MyPure Pro</v>
          </cell>
          <cell r="F103" t="str">
            <v>Refill</v>
          </cell>
        </row>
        <row r="104">
          <cell r="B104" t="str">
            <v>1036010</v>
          </cell>
          <cell r="C104" t="str">
            <v>Refill Fika mypure pro CB-UF CN</v>
          </cell>
          <cell r="D104" t="str">
            <v>UTS</v>
          </cell>
          <cell r="E104" t="str">
            <v>MyPure Pro</v>
          </cell>
          <cell r="F104" t="str">
            <v>Refill</v>
          </cell>
        </row>
        <row r="105">
          <cell r="B105" t="str">
            <v>1036011</v>
          </cell>
          <cell r="C105" t="str">
            <v>Refill Fika mypure pro CB-UP CN</v>
          </cell>
          <cell r="D105" t="str">
            <v>UTS</v>
          </cell>
          <cell r="E105" t="str">
            <v>MyPure Pro</v>
          </cell>
          <cell r="F105" t="str">
            <v>Refill</v>
          </cell>
        </row>
        <row r="106">
          <cell r="B106" t="str">
            <v>1022184</v>
          </cell>
          <cell r="C106" t="str">
            <v>Refill mypure R8 PF-CB CU CN</v>
          </cell>
          <cell r="D106" t="str">
            <v>UTS</v>
          </cell>
          <cell r="E106" t="str">
            <v>MyPure</v>
          </cell>
          <cell r="F106" t="str">
            <v>Refill</v>
          </cell>
        </row>
        <row r="107">
          <cell r="B107" t="str">
            <v>1022185</v>
          </cell>
          <cell r="C107" t="str">
            <v>Refill mypure R8 RO CU CN</v>
          </cell>
          <cell r="D107" t="str">
            <v>UTS</v>
          </cell>
          <cell r="E107" t="str">
            <v>MyPure</v>
          </cell>
          <cell r="F107" t="str">
            <v>Refill</v>
          </cell>
        </row>
        <row r="108">
          <cell r="B108" t="str">
            <v>1022186</v>
          </cell>
          <cell r="C108" t="str">
            <v>Refill mypure R8 PAC CU CN</v>
          </cell>
          <cell r="D108" t="str">
            <v>UTS</v>
          </cell>
          <cell r="E108" t="str">
            <v>MyPure</v>
          </cell>
          <cell r="F108" t="str">
            <v>Refill</v>
          </cell>
        </row>
        <row r="109">
          <cell r="B109" t="str">
            <v>1022187</v>
          </cell>
          <cell r="C109" t="str">
            <v>Refill mypure U5 PF CU CN</v>
          </cell>
          <cell r="D109" t="str">
            <v>UTS</v>
          </cell>
          <cell r="E109" t="str">
            <v>MyPure</v>
          </cell>
          <cell r="F109" t="str">
            <v>Refill</v>
          </cell>
        </row>
        <row r="110">
          <cell r="B110" t="str">
            <v>1022188</v>
          </cell>
          <cell r="C110" t="str">
            <v>Refill mypure U5 CB-UF CU CN</v>
          </cell>
          <cell r="D110" t="str">
            <v>UTS</v>
          </cell>
          <cell r="E110" t="str">
            <v>MyPure</v>
          </cell>
          <cell r="F110" t="str">
            <v>Refill</v>
          </cell>
        </row>
        <row r="112">
          <cell r="B112" t="str">
            <v>1035750</v>
          </cell>
          <cell r="C112" t="str">
            <v>mypure pro X9 Dummy CU CN</v>
          </cell>
          <cell r="D112" t="str">
            <v>Spare Parts</v>
          </cell>
          <cell r="E112" t="str">
            <v>Spare Parts</v>
          </cell>
          <cell r="F112" t="str">
            <v>Spare Parts</v>
          </cell>
        </row>
        <row r="113">
          <cell r="B113" t="str">
            <v>1035760</v>
          </cell>
          <cell r="C113" t="str">
            <v>mypure pro X6 Dummy CU CN</v>
          </cell>
          <cell r="D113" t="str">
            <v>Spare Parts</v>
          </cell>
          <cell r="E113" t="str">
            <v>Spare Parts</v>
          </cell>
          <cell r="F113" t="str">
            <v>Spare Parts</v>
          </cell>
        </row>
        <row r="114">
          <cell r="B114" t="str">
            <v>1035761</v>
          </cell>
          <cell r="C114" t="str">
            <v>mypure pro X3 Dummy CU CN</v>
          </cell>
          <cell r="D114" t="str">
            <v>Spare Parts</v>
          </cell>
          <cell r="E114" t="str">
            <v>Spare Parts</v>
          </cell>
          <cell r="F114" t="str">
            <v>Spare Parts</v>
          </cell>
        </row>
        <row r="115">
          <cell r="B115" t="str">
            <v>1033281</v>
          </cell>
          <cell r="C115" t="str">
            <v>Sample mypure R8 CU CN</v>
          </cell>
          <cell r="D115" t="str">
            <v>Spare Parts</v>
          </cell>
          <cell r="E115" t="str">
            <v>Spare Parts</v>
          </cell>
          <cell r="F115" t="str">
            <v>Spare Parts</v>
          </cell>
        </row>
        <row r="116">
          <cell r="B116" t="str">
            <v>1033282</v>
          </cell>
          <cell r="C116" t="str">
            <v>Sample mypure U5 CU CN</v>
          </cell>
          <cell r="D116" t="str">
            <v>Spare Parts</v>
          </cell>
          <cell r="E116" t="str">
            <v>Spare Parts</v>
          </cell>
          <cell r="F116" t="str">
            <v>Spare Parts</v>
          </cell>
        </row>
        <row r="117">
          <cell r="B117" t="str">
            <v>1034163</v>
          </cell>
          <cell r="C117" t="str">
            <v>T-piece mypure U5 spare part</v>
          </cell>
          <cell r="D117" t="str">
            <v>Spare Parts</v>
          </cell>
          <cell r="E117" t="str">
            <v>Spare Parts</v>
          </cell>
          <cell r="F117" t="str">
            <v>Spare Parts</v>
          </cell>
        </row>
        <row r="118">
          <cell r="B118" t="str">
            <v>1028297</v>
          </cell>
          <cell r="C118" t="str">
            <v>Dispenser LED 2000 mypure pro</v>
          </cell>
          <cell r="D118" t="str">
            <v>Spare Parts</v>
          </cell>
          <cell r="E118" t="str">
            <v>Spare Parts</v>
          </cell>
          <cell r="F118" t="str">
            <v>Spare Parts</v>
          </cell>
        </row>
        <row r="119">
          <cell r="B119" t="str">
            <v>1040192</v>
          </cell>
          <cell r="C119" t="str">
            <v>电源适配器,科里诚KLC-2400500</v>
          </cell>
          <cell r="D119" t="str">
            <v>Spare Parts</v>
          </cell>
          <cell r="E119" t="str">
            <v>Spare Parts</v>
          </cell>
          <cell r="F119" t="str">
            <v>Spare Parts</v>
          </cell>
        </row>
        <row r="120">
          <cell r="B120" t="str">
            <v>1034162</v>
          </cell>
          <cell r="C120" t="str">
            <v>水龙头</v>
          </cell>
          <cell r="D120" t="str">
            <v>Spare Parts</v>
          </cell>
          <cell r="E120" t="str">
            <v>Spare Parts</v>
          </cell>
          <cell r="F120" t="str">
            <v>Spare Parts</v>
          </cell>
        </row>
        <row r="121">
          <cell r="B121" t="str">
            <v>1034167</v>
          </cell>
          <cell r="C121" t="str">
            <v>Safety clip 1/4 mypure U5 spare part</v>
          </cell>
          <cell r="D121" t="str">
            <v>Spare Parts</v>
          </cell>
          <cell r="E121" t="str">
            <v>Spare Parts</v>
          </cell>
          <cell r="F121" t="str">
            <v>Spare Parts</v>
          </cell>
        </row>
        <row r="122">
          <cell r="B122" t="str">
            <v>1034168</v>
          </cell>
          <cell r="C122" t="str">
            <v>Safety clip 3/8 mypure U5 spare part</v>
          </cell>
          <cell r="D122" t="str">
            <v>Spare Parts</v>
          </cell>
          <cell r="E122" t="str">
            <v>Spare Parts</v>
          </cell>
          <cell r="F122" t="str">
            <v>Spare Parts</v>
          </cell>
        </row>
        <row r="123">
          <cell r="B123" t="str">
            <v>1034173</v>
          </cell>
          <cell r="C123" t="str">
            <v>Time counter mypure U5 sparepart</v>
          </cell>
          <cell r="D123" t="str">
            <v>Spare Parts</v>
          </cell>
          <cell r="E123" t="str">
            <v>Spare Parts</v>
          </cell>
          <cell r="F123" t="str">
            <v>Spare Parts</v>
          </cell>
        </row>
        <row r="124">
          <cell r="B124" t="str">
            <v>1042962</v>
          </cell>
          <cell r="C124" t="str">
            <v>壶盖组件,PS亮蓝色款</v>
          </cell>
          <cell r="D124" t="str">
            <v>Spare Parts</v>
          </cell>
          <cell r="E124" t="str">
            <v>Spare Parts</v>
          </cell>
          <cell r="F124" t="str">
            <v>Spare Parts</v>
          </cell>
        </row>
        <row r="125">
          <cell r="B125" t="str">
            <v>107299</v>
          </cell>
          <cell r="C125" t="str">
            <v>Lid w/o Memo Filter &amp; Boil Station CN</v>
          </cell>
          <cell r="D125" t="str">
            <v>Spare Parts</v>
          </cell>
          <cell r="E125" t="str">
            <v>Spare Parts</v>
          </cell>
          <cell r="F125" t="str">
            <v>Spare Parts</v>
          </cell>
        </row>
        <row r="126">
          <cell r="B126" t="str">
            <v>1033044</v>
          </cell>
          <cell r="C126" t="str">
            <v>Filter change announcement ME4W bla spar</v>
          </cell>
          <cell r="D126" t="str">
            <v>Spare Parts</v>
          </cell>
          <cell r="E126" t="str">
            <v>Spare Parts</v>
          </cell>
          <cell r="F126" t="str">
            <v>Spare Parts</v>
          </cell>
        </row>
        <row r="127">
          <cell r="B127" t="str">
            <v>1042959</v>
          </cell>
          <cell r="C127" t="str">
            <v>Lid Aluna XL blue spare part CN</v>
          </cell>
          <cell r="D127" t="str">
            <v>Spare Parts</v>
          </cell>
          <cell r="E127" t="str">
            <v>Spare Parts</v>
          </cell>
          <cell r="F127" t="str">
            <v>Spare Parts</v>
          </cell>
        </row>
        <row r="128">
          <cell r="B128" t="str">
            <v>1027952</v>
          </cell>
          <cell r="C128" t="str">
            <v>LTI智能灯</v>
          </cell>
          <cell r="D128" t="str">
            <v>Spare Parts</v>
          </cell>
          <cell r="E128" t="str">
            <v>Spare Parts</v>
          </cell>
          <cell r="F128" t="str">
            <v>Spare Parts</v>
          </cell>
        </row>
        <row r="129">
          <cell r="B129" t="str">
            <v>1042963</v>
          </cell>
          <cell r="C129" t="str">
            <v>壶盖组件,PS亮黑色款,BRITA,单独出货</v>
          </cell>
          <cell r="D129" t="str">
            <v>Spare Parts</v>
          </cell>
          <cell r="E129" t="str">
            <v>Spare Parts</v>
          </cell>
          <cell r="F129" t="str">
            <v>Spare Parts</v>
          </cell>
        </row>
        <row r="130">
          <cell r="B130" t="str">
            <v>1030201</v>
          </cell>
          <cell r="C130" t="str">
            <v>马达1022182-400G</v>
          </cell>
          <cell r="D130" t="str">
            <v>Spare Parts</v>
          </cell>
          <cell r="E130" t="str">
            <v>Spare Parts</v>
          </cell>
          <cell r="F130" t="str">
            <v>Spare Parts</v>
          </cell>
        </row>
        <row r="131">
          <cell r="B131" t="str">
            <v>1037001</v>
          </cell>
          <cell r="C131" t="str">
            <v>On Tap System ND 2019 CU CE</v>
          </cell>
          <cell r="D131" t="str">
            <v>On tap</v>
          </cell>
          <cell r="E131" t="str">
            <v>On tap</v>
          </cell>
          <cell r="F131" t="str">
            <v>On tap</v>
          </cell>
        </row>
        <row r="132">
          <cell r="B132" t="str">
            <v>1037003</v>
          </cell>
          <cell r="C132" t="str">
            <v>On Tap Refill Cartridge 2019 CU CE</v>
          </cell>
          <cell r="D132" t="str">
            <v>On tap</v>
          </cell>
          <cell r="E132" t="str">
            <v>On tap</v>
          </cell>
          <cell r="F132" t="str">
            <v>Refill</v>
          </cell>
        </row>
        <row r="133">
          <cell r="B133" t="str">
            <v>1043021</v>
          </cell>
          <cell r="C133" t="str">
            <v>Pack 1 MAXTRAplus LM EXP CU CN XY</v>
          </cell>
          <cell r="D133" t="str">
            <v xml:space="preserve">Cartridge </v>
          </cell>
          <cell r="E133" t="str">
            <v>LM</v>
          </cell>
          <cell r="F133" t="str">
            <v>P1</v>
          </cell>
        </row>
        <row r="134">
          <cell r="B134" t="str">
            <v>1044823</v>
          </cell>
          <cell r="C134" t="str">
            <v>矿泉壶,PS透明壶身配亮蓝色上盖6支装,Green Pack版本</v>
          </cell>
          <cell r="D134" t="str">
            <v>Jug</v>
          </cell>
          <cell r="E134" t="str">
            <v>Marella</v>
          </cell>
          <cell r="F134" t="str">
            <v>Blue Glitter</v>
          </cell>
        </row>
        <row r="135">
          <cell r="B135" t="str">
            <v>1043879</v>
          </cell>
          <cell r="C135" t="str">
            <v>Style LED4W MXPlUS blue CU CNO</v>
          </cell>
          <cell r="D135" t="str">
            <v>Jug</v>
          </cell>
          <cell r="E135" t="str">
            <v>Style COOL</v>
          </cell>
          <cell r="F135" t="str">
            <v>Cool Blue</v>
          </cell>
        </row>
        <row r="136">
          <cell r="B136" t="str">
            <v>1044820</v>
          </cell>
          <cell r="C136" t="str">
            <v>矿泉壶,PS透明壶身配蓝色上盖6支装,Mar XL Galaxy版本</v>
          </cell>
          <cell r="D136" t="str">
            <v>Jug</v>
          </cell>
          <cell r="E136" t="str">
            <v>Marella XL</v>
          </cell>
          <cell r="F136" t="str">
            <v>Blue</v>
          </cell>
        </row>
        <row r="137">
          <cell r="B137" t="str">
            <v>1044821</v>
          </cell>
          <cell r="C137" t="str">
            <v>矿泉壶,PS透明壶身配蓝色上盖12支装,Green Pack版本</v>
          </cell>
          <cell r="D137" t="str">
            <v>Jug</v>
          </cell>
          <cell r="E137" t="str">
            <v>Marella XL</v>
          </cell>
          <cell r="F137" t="str">
            <v>Blue</v>
          </cell>
        </row>
        <row r="138">
          <cell r="B138" t="str">
            <v>1044822</v>
          </cell>
          <cell r="C138" t="str">
            <v>矿泉壶,PS透明壶身配蓝色上盖6支装,Mar XL Galaxy版本</v>
          </cell>
          <cell r="D138" t="str">
            <v>Jug</v>
          </cell>
          <cell r="E138" t="str">
            <v>Marella XL</v>
          </cell>
          <cell r="F138" t="str">
            <v>Blue</v>
          </cell>
        </row>
        <row r="139">
          <cell r="B139" t="str">
            <v>1043277</v>
          </cell>
          <cell r="C139" t="str">
            <v>"Style XL LED4W Mxplus blue CU CNO</v>
          </cell>
          <cell r="D139" t="str">
            <v>Jug</v>
          </cell>
          <cell r="E139" t="str">
            <v>Mxplus</v>
          </cell>
          <cell r="F139" t="str">
            <v>Blue</v>
          </cell>
        </row>
        <row r="140">
          <cell r="B140" t="str">
            <v>1046164</v>
          </cell>
          <cell r="C140" t="str">
            <v>矿泉壶,PS透明壶身配蓝色上盖1035106滤芯12支,Green Pack版本</v>
          </cell>
          <cell r="D140" t="str">
            <v>Jug</v>
          </cell>
          <cell r="E140" t="str">
            <v>Mxplus</v>
          </cell>
          <cell r="F140" t="str">
            <v>Blue</v>
          </cell>
        </row>
        <row r="141">
          <cell r="B141" t="str">
            <v>1046145</v>
          </cell>
          <cell r="C141" t="str">
            <v>矿泉壶,PS透明壶身配蓝色上盖1035106滤芯7支,Green Pack版本</v>
          </cell>
          <cell r="D141" t="str">
            <v>Jug</v>
          </cell>
          <cell r="E141" t="str">
            <v>Marella XL</v>
          </cell>
          <cell r="F141" t="str">
            <v>Blue</v>
          </cell>
        </row>
        <row r="142">
          <cell r="B142" t="str">
            <v>1046177</v>
          </cell>
          <cell r="C142" t="str">
            <v>Bundle WaFiBo blue 4MD CU CN</v>
          </cell>
          <cell r="D142" t="str">
            <v>Bundle</v>
          </cell>
          <cell r="E142" t="str">
            <v>WaFiBo</v>
          </cell>
          <cell r="F142" t="str">
            <v>Blue</v>
          </cell>
        </row>
        <row r="143">
          <cell r="B143" t="str">
            <v>1046180</v>
          </cell>
          <cell r="C143" t="str">
            <v>Bundle WaFiBo pink 4MD CU CN</v>
          </cell>
          <cell r="D143" t="str">
            <v>Bundle</v>
          </cell>
          <cell r="E143" t="str">
            <v>WaFiBo</v>
          </cell>
          <cell r="F143" t="str">
            <v>Pink</v>
          </cell>
        </row>
        <row r="144">
          <cell r="B144" t="str">
            <v>1046653</v>
          </cell>
          <cell r="C144" t="str">
            <v>Style XL Lime incl 5MXplus CNY Phy CNO</v>
          </cell>
          <cell r="D144" t="str">
            <v>Jug</v>
          </cell>
          <cell r="E144" t="str">
            <v>Style</v>
          </cell>
          <cell r="F144" t="str">
            <v>Lime</v>
          </cell>
        </row>
        <row r="145">
          <cell r="B145" t="str">
            <v>1046649</v>
          </cell>
          <cell r="C145" t="str">
            <v>F&amp;B Station incl 5MXplus CNY Phy CNO</v>
          </cell>
          <cell r="D145" t="str">
            <v>Hotcup</v>
          </cell>
          <cell r="E145" t="str">
            <v>Hotcup</v>
          </cell>
          <cell r="F145" t="str">
            <v>Silver</v>
          </cell>
        </row>
        <row r="146">
          <cell r="B146" t="str">
            <v>1046655</v>
          </cell>
          <cell r="C146" t="str">
            <v>Style XL Blue incl 5MXplus CNY Ecom CNO</v>
          </cell>
          <cell r="D146" t="str">
            <v>Jug</v>
          </cell>
          <cell r="E146" t="str">
            <v>Style</v>
          </cell>
          <cell r="F146" t="str">
            <v>Blue</v>
          </cell>
        </row>
        <row r="147">
          <cell r="B147" t="str">
            <v>1046651</v>
          </cell>
          <cell r="C147" t="str">
            <v>F&amp;B Station incl 5MXplus CNY Ecom CNO</v>
          </cell>
          <cell r="D147" t="str">
            <v>Hotcup</v>
          </cell>
          <cell r="E147" t="str">
            <v>Hotcup</v>
          </cell>
          <cell r="F147" t="str">
            <v>Silver</v>
          </cell>
        </row>
        <row r="148">
          <cell r="B148" t="str">
            <v>1046177</v>
          </cell>
          <cell r="C148" t="str">
            <v>Bundle WaFiBo blue 4MD CU CN</v>
          </cell>
          <cell r="D148" t="str">
            <v>Jug</v>
          </cell>
          <cell r="E148" t="str">
            <v>Style</v>
          </cell>
          <cell r="F148" t="str">
            <v>Blue</v>
          </cell>
        </row>
        <row r="149">
          <cell r="B149" t="str">
            <v>1046180</v>
          </cell>
          <cell r="C149" t="str">
            <v>Bundle WaFiBo pink 4MD CU CN</v>
          </cell>
          <cell r="D149" t="str">
            <v>Jug</v>
          </cell>
          <cell r="E149" t="str">
            <v>Style</v>
          </cell>
          <cell r="F149" t="str">
            <v>Pink</v>
          </cell>
        </row>
        <row r="150">
          <cell r="B150" t="str">
            <v>1043272</v>
          </cell>
          <cell r="C150" t="str">
            <v>矿泉壶,PS透明壶身配蓝色色上盖1支装,Marella XL Galaxy版本</v>
          </cell>
          <cell r="D150" t="str">
            <v>Jug</v>
          </cell>
          <cell r="E150" t="str">
            <v>Style</v>
          </cell>
          <cell r="F150" t="str">
            <v>Blue</v>
          </cell>
        </row>
        <row r="151">
          <cell r="B151" t="str">
            <v>1043275</v>
          </cell>
          <cell r="C151" t="str">
            <v>矿泉壶,PS透明壶身配亮蓝色上盖1支装,MARELLA XL GALAXY版本</v>
          </cell>
          <cell r="D151" t="str">
            <v>Jug</v>
          </cell>
          <cell r="E151" t="str">
            <v>Style</v>
          </cell>
          <cell r="F151" t="str">
            <v>Blue</v>
          </cell>
        </row>
        <row r="152">
          <cell r="B152" t="str">
            <v>1043273</v>
          </cell>
          <cell r="C152" t="str">
            <v>Marella XL ME4W MXplus white BCM CU CNO</v>
          </cell>
          <cell r="D152" t="str">
            <v>Jug</v>
          </cell>
          <cell r="E152" t="str">
            <v>Marella XL</v>
          </cell>
          <cell r="F152" t="str">
            <v>White</v>
          </cell>
        </row>
        <row r="153">
          <cell r="B153" t="str">
            <v>1046592</v>
          </cell>
          <cell r="C153" t="str">
            <v>滤水壶Style 中国蓝一壶12芯"</v>
          </cell>
          <cell r="D153" t="str">
            <v>Jug</v>
          </cell>
          <cell r="E153" t="str">
            <v>Style</v>
          </cell>
          <cell r="F153" t="str">
            <v>Blue</v>
          </cell>
        </row>
        <row r="154">
          <cell r="B154" t="str">
            <v>1049474</v>
          </cell>
          <cell r="C154" t="str">
            <v>StyleXL LED4W bl incl1UN+11LE SIOC CNO</v>
          </cell>
          <cell r="D154" t="str">
            <v>Jug</v>
          </cell>
          <cell r="E154" t="str">
            <v>Style</v>
          </cell>
          <cell r="F154" t="str">
            <v>Blue</v>
          </cell>
        </row>
        <row r="155">
          <cell r="B155" t="str">
            <v>1043280</v>
          </cell>
          <cell r="C155" t="str">
            <v>Elemaris XL BM4W Mxplus bla Rosti CU CNO</v>
          </cell>
          <cell r="D155" t="str">
            <v>Jug</v>
          </cell>
          <cell r="E155" t="str">
            <v>Mxplus</v>
          </cell>
          <cell r="F155" t="str">
            <v>Blue</v>
          </cell>
        </row>
        <row r="156">
          <cell r="B156" t="str">
            <v>1049470</v>
          </cell>
          <cell r="C156" t="str">
            <v>Aluna XL ME4W blue incl 1UN+2LE SIOC CNO</v>
          </cell>
          <cell r="D156" t="str">
            <v>Jug</v>
          </cell>
          <cell r="E156" t="str">
            <v>Aluna</v>
          </cell>
          <cell r="F156" t="str">
            <v>Blue</v>
          </cell>
        </row>
        <row r="157">
          <cell r="B157" t="str">
            <v>1046537</v>
          </cell>
          <cell r="C157" t="str">
            <v>矿泉壶,PS透明壶身配蓝色上盖1支装,Marella XL 1046537</v>
          </cell>
          <cell r="D157" t="str">
            <v>Jug</v>
          </cell>
          <cell r="E157" t="str">
            <v>Marella XL</v>
          </cell>
          <cell r="F157" t="str">
            <v>Blue</v>
          </cell>
        </row>
        <row r="158">
          <cell r="B158" t="str">
            <v>1046539</v>
          </cell>
          <cell r="C158" t="str">
            <v>矿泉壶,PS透明壶身配白色上盖1支装,Marella XL 1046539</v>
          </cell>
          <cell r="D158" t="str">
            <v>Jug</v>
          </cell>
          <cell r="E158" t="str">
            <v>Marella XL</v>
          </cell>
          <cell r="F158" t="str">
            <v>Mxplus</v>
          </cell>
        </row>
        <row r="159">
          <cell r="B159" t="str">
            <v>1046727</v>
          </cell>
          <cell r="C159" t="str">
            <v>矿泉壶,PS透明壶身配亮蓝色上盖1支装,Marella XL 1046727</v>
          </cell>
          <cell r="D159" t="str">
            <v>Jug</v>
          </cell>
          <cell r="E159" t="str">
            <v>Marella XL</v>
          </cell>
          <cell r="F159" t="str">
            <v>Blue</v>
          </cell>
        </row>
        <row r="160">
          <cell r="B160" t="str">
            <v>1046839</v>
          </cell>
          <cell r="C160" t="str">
            <v>Aluna XL ME4W blue incl 3MXpl SIOC CNO</v>
          </cell>
          <cell r="D160" t="str">
            <v>Jug</v>
          </cell>
          <cell r="E160" t="str">
            <v>Mxplus</v>
          </cell>
          <cell r="F160" t="str">
            <v>Blue</v>
          </cell>
        </row>
        <row r="161">
          <cell r="B161" t="str">
            <v>1049191</v>
          </cell>
          <cell r="C161" t="str">
            <v>矿泉壶,PS透明壶身配蓝色上盖6支装,,Green Pack 1049191</v>
          </cell>
          <cell r="D161" t="str">
            <v>Jug</v>
          </cell>
          <cell r="E161" t="str">
            <v>Green Pack</v>
          </cell>
          <cell r="F161" t="str">
            <v>Blue</v>
          </cell>
        </row>
        <row r="162">
          <cell r="B162" t="str">
            <v>1043282</v>
          </cell>
          <cell r="C162" t="str">
            <v>Fun ME4W MXplus pink cu cno</v>
          </cell>
          <cell r="D162" t="str">
            <v>Jug</v>
          </cell>
          <cell r="E162" t="str">
            <v>Mxplus</v>
          </cell>
          <cell r="F162" t="str">
            <v>Pink</v>
          </cell>
        </row>
        <row r="163">
          <cell r="B163" t="str">
            <v>1043271</v>
          </cell>
          <cell r="C163" t="str">
            <v>Aluna XL ME4W Mxplus BCM white CU CNO</v>
          </cell>
          <cell r="D163" t="str">
            <v>Jug</v>
          </cell>
          <cell r="E163" t="str">
            <v>Mxplus</v>
          </cell>
          <cell r="F163" t="str">
            <v>White</v>
          </cell>
        </row>
        <row r="164">
          <cell r="B164" t="str">
            <v>1049194</v>
          </cell>
          <cell r="C164" t="str">
            <v>矿泉壶,PS透明壶身配亮蓝色上盖6支装,,Green Pack 1049194</v>
          </cell>
          <cell r="D164" t="str">
            <v>Jug</v>
          </cell>
          <cell r="E164" t="str">
            <v>Marella XL</v>
          </cell>
          <cell r="F164" t="str">
            <v>Blue</v>
          </cell>
        </row>
        <row r="165">
          <cell r="B165" t="str">
            <v>1049188</v>
          </cell>
          <cell r="C165" t="str">
            <v>矿泉壶,PS透明壶身配蓝色上盖6支装,,Green Pack 1049188</v>
          </cell>
          <cell r="D165" t="str">
            <v>Jug</v>
          </cell>
          <cell r="E165" t="str">
            <v>Marella XL</v>
          </cell>
          <cell r="F165" t="str">
            <v>Blue</v>
          </cell>
        </row>
        <row r="166">
          <cell r="B166" t="str">
            <v>1049197</v>
          </cell>
          <cell r="C166" t="str">
            <v>矿泉壶,PS透明壶身配蓝色上盖12支装,,Green Pack 1049197</v>
          </cell>
          <cell r="D166" t="str">
            <v>Jug</v>
          </cell>
          <cell r="E166" t="str">
            <v>Marella XL</v>
          </cell>
          <cell r="F166" t="str">
            <v>Blue</v>
          </cell>
        </row>
        <row r="167">
          <cell r="B167" t="str">
            <v>1042958</v>
          </cell>
          <cell r="C167" t="str">
            <v>Lid Aluna XL white spare part CN</v>
          </cell>
          <cell r="D167" t="str">
            <v>Spare Parts</v>
          </cell>
          <cell r="E167" t="str">
            <v>Spare Parts</v>
          </cell>
          <cell r="F167" t="str">
            <v>Spare Parts</v>
          </cell>
        </row>
        <row r="168">
          <cell r="B168" t="str">
            <v>1046582</v>
          </cell>
          <cell r="C168" t="str">
            <v>Style XL LED4W bl incl 1UN +5LE SIOC CNO</v>
          </cell>
          <cell r="D168" t="str">
            <v>Jug</v>
          </cell>
          <cell r="E168" t="str">
            <v>Style</v>
          </cell>
          <cell r="F168" t="str">
            <v>Blue</v>
          </cell>
        </row>
        <row r="169">
          <cell r="B169" t="str">
            <v>1050125</v>
          </cell>
          <cell r="C169" t="str">
            <v>F&amp;B Dispen Ladoga MXplus UVC bla CU CNO</v>
          </cell>
          <cell r="D169" t="str">
            <v>Hotcup</v>
          </cell>
          <cell r="E169" t="str">
            <v>Hotcup</v>
          </cell>
          <cell r="F169" t="str">
            <v>Silver</v>
          </cell>
        </row>
        <row r="170">
          <cell r="B170" t="str">
            <v>1050124</v>
          </cell>
          <cell r="C170" t="str">
            <v>F&amp;B Dispen Ladoga MXplus UVC Whi CU CNO</v>
          </cell>
          <cell r="D170" t="str">
            <v>Hotcup</v>
          </cell>
          <cell r="E170" t="str">
            <v>Hotcup</v>
          </cell>
          <cell r="F170" t="str">
            <v>Silver</v>
          </cell>
        </row>
        <row r="171">
          <cell r="B171" t="str">
            <v>1049270</v>
          </cell>
          <cell r="C171" t="str">
            <v>OnTap Bundle incl1 system+2refills CU CN</v>
          </cell>
          <cell r="D171" t="str">
            <v>On tap</v>
          </cell>
          <cell r="E171" t="str">
            <v>On tap</v>
          </cell>
          <cell r="F171" t="str">
            <v>On tap</v>
          </cell>
        </row>
        <row r="172">
          <cell r="B172" t="str">
            <v>1046726</v>
          </cell>
          <cell r="C172" t="str">
            <v>矿泉壶,PS透明壶身配亮黑色上盖1支装,Marella XL 1046726</v>
          </cell>
          <cell r="D172" t="str">
            <v>Jug</v>
          </cell>
          <cell r="E172" t="str">
            <v>Marella XL</v>
          </cell>
          <cell r="F172" t="str">
            <v>Black</v>
          </cell>
        </row>
        <row r="173">
          <cell r="B173" t="str">
            <v>1045642</v>
          </cell>
          <cell r="C173" t="str">
            <v>Style XL LED4W Mxplus lime NT CU CNO</v>
          </cell>
          <cell r="D173" t="str">
            <v>Jug</v>
          </cell>
          <cell r="E173" t="str">
            <v>Mxplus</v>
          </cell>
          <cell r="F173" t="str">
            <v xml:space="preserve"> lime</v>
          </cell>
        </row>
        <row r="174">
          <cell r="B174" t="str">
            <v>1045641</v>
          </cell>
          <cell r="C174" t="str">
            <v>"Style XL LED4W Mxplus blue NT CU CNO
滤水壶; Style 中国蓝 一壶一芯"</v>
          </cell>
          <cell r="D174" t="str">
            <v>Jug</v>
          </cell>
          <cell r="E174" t="str">
            <v>Mxplus</v>
          </cell>
          <cell r="F174" t="str">
            <v>Blue</v>
          </cell>
        </row>
        <row r="175">
          <cell r="B175" t="str">
            <v>1046728</v>
          </cell>
          <cell r="C175" t="str">
            <v>矿泉壶,PS透明壶身配亮银色上盖1支装,Marella XL 1046728</v>
          </cell>
          <cell r="D175" t="str">
            <v>Jug</v>
          </cell>
          <cell r="E175" t="str">
            <v>Marella XL</v>
          </cell>
          <cell r="F175" t="str">
            <v>Silver</v>
          </cell>
        </row>
        <row r="176">
          <cell r="B176" t="str">
            <v>1052063</v>
          </cell>
          <cell r="C176" t="str">
            <v>Style XL Lime incl 5MXplus LE Phy CNO</v>
          </cell>
          <cell r="D176" t="str">
            <v>Jug</v>
          </cell>
          <cell r="E176" t="str">
            <v>Mxplus</v>
          </cell>
          <cell r="F176" t="str">
            <v xml:space="preserve"> lime</v>
          </cell>
        </row>
        <row r="177">
          <cell r="B177" t="str">
            <v>1052445</v>
          </cell>
          <cell r="C177" t="str">
            <v>Marella XL glit silver 2MX+ Sam's bundle</v>
          </cell>
          <cell r="D177" t="str">
            <v>Jug</v>
          </cell>
          <cell r="E177" t="str">
            <v>Marella XL</v>
          </cell>
          <cell r="F177" t="str">
            <v xml:space="preserve"> silver</v>
          </cell>
        </row>
        <row r="178">
          <cell r="B178" t="str">
            <v>1046606</v>
          </cell>
          <cell r="C178" t="str">
            <v>Fica MAXTRAplus LM EXP CN XY 2022</v>
          </cell>
          <cell r="D178" t="str">
            <v xml:space="preserve">Cartridge </v>
          </cell>
          <cell r="E178" t="str">
            <v>LM</v>
          </cell>
          <cell r="F178" t="str">
            <v>P55</v>
          </cell>
        </row>
        <row r="179">
          <cell r="B179" t="str">
            <v>1052447</v>
          </cell>
          <cell r="C179" t="str">
            <v>Pack 12 Mxplus LE Sam's bundle</v>
          </cell>
          <cell r="D179" t="str">
            <v xml:space="preserve">Cartridge </v>
          </cell>
          <cell r="E179" t="str">
            <v>LE</v>
          </cell>
          <cell r="F179" t="str">
            <v>P12</v>
          </cell>
        </row>
        <row r="180">
          <cell r="B180" t="str">
            <v>1052586</v>
          </cell>
          <cell r="C180" t="str">
            <v>F&amp;B Disp Ladoga MXplus UVC whi CNO Sam's</v>
          </cell>
          <cell r="D180" t="str">
            <v>Hotcup</v>
          </cell>
          <cell r="E180" t="str">
            <v>Hotcup</v>
          </cell>
          <cell r="F180" t="str">
            <v>whi</v>
          </cell>
        </row>
        <row r="181">
          <cell r="B181" t="str">
            <v>1053322</v>
          </cell>
          <cell r="C181" t="str">
            <v>Water Dispen One MXplus UVC green CU CN</v>
          </cell>
          <cell r="D181" t="str">
            <v>Hotcup</v>
          </cell>
          <cell r="E181" t="str">
            <v>Hotcup</v>
          </cell>
          <cell r="F181" t="str">
            <v xml:space="preserve"> green</v>
          </cell>
        </row>
        <row r="182">
          <cell r="B182" t="str">
            <v>1029385</v>
          </cell>
          <cell r="C182" t="str">
            <v>Pack 6 MAXTRAplus UNIV CU CN 3</v>
          </cell>
          <cell r="D182" t="str">
            <v xml:space="preserve">Cartridge </v>
          </cell>
          <cell r="E182" t="str">
            <v>UNIV</v>
          </cell>
          <cell r="F182" t="str">
            <v>P6</v>
          </cell>
        </row>
        <row r="183">
          <cell r="B183" t="str">
            <v>1053709</v>
          </cell>
          <cell r="C183" t="str">
            <v>RO机1000G，星空灰，智能龙头单出水，Brita F款?圆款</v>
          </cell>
          <cell r="D183" t="str">
            <v>UTS</v>
          </cell>
          <cell r="E183" t="str">
            <v>RO</v>
          </cell>
          <cell r="F183" t="str">
            <v>Starry Grey Color</v>
          </cell>
        </row>
        <row r="184">
          <cell r="B184" t="str">
            <v>1053708</v>
          </cell>
          <cell r="C184" t="str">
            <v>RO机800G，星空灰，智能龙头单出水，Brita F款?圆款</v>
          </cell>
          <cell r="D184" t="str">
            <v>UTS</v>
          </cell>
          <cell r="E184" t="str">
            <v>RO</v>
          </cell>
          <cell r="F184" t="str">
            <v>Starry Grey Color</v>
          </cell>
        </row>
        <row r="185">
          <cell r="B185" t="str">
            <v>1053318</v>
          </cell>
          <cell r="C185" t="str">
            <v>F&amp;B Dispen Ladoga MXplus UVC Whi CU CN</v>
          </cell>
          <cell r="D185" t="str">
            <v>Hotcup</v>
          </cell>
          <cell r="E185" t="str">
            <v>Hotcup</v>
          </cell>
          <cell r="F185" t="str">
            <v xml:space="preserve"> Whi</v>
          </cell>
        </row>
        <row r="186">
          <cell r="B186" t="str">
            <v>1034725</v>
          </cell>
          <cell r="C186" t="str">
            <v>Lid Style XL bl sparepart CN</v>
          </cell>
          <cell r="D186" t="str">
            <v>Style XL</v>
          </cell>
          <cell r="E186" t="str">
            <v xml:space="preserve"> sparepart</v>
          </cell>
          <cell r="F186" t="str">
            <v>Lid</v>
          </cell>
        </row>
        <row r="187">
          <cell r="B187" t="str">
            <v>1034727</v>
          </cell>
          <cell r="C187" t="str">
            <v>Lid Style XL lime sparepart CN</v>
          </cell>
          <cell r="D187" t="str">
            <v>Style XL</v>
          </cell>
          <cell r="E187" t="str">
            <v xml:space="preserve"> sparepart</v>
          </cell>
          <cell r="F187" t="str">
            <v xml:space="preserve"> lime</v>
          </cell>
        </row>
        <row r="188">
          <cell r="B188" t="str">
            <v>1046605</v>
          </cell>
          <cell r="C188" t="str">
            <v>滤芯55包装 2022</v>
          </cell>
          <cell r="D188" t="str">
            <v xml:space="preserve">Cartridge </v>
          </cell>
          <cell r="E188" t="str">
            <v>UNIV</v>
          </cell>
          <cell r="F188" t="str">
            <v>P55</v>
          </cell>
        </row>
        <row r="189">
          <cell r="B189" t="str">
            <v>1031710</v>
          </cell>
          <cell r="C189" t="str">
            <v>Filter&amp;Boil Station MXplus brushed CU CN</v>
          </cell>
          <cell r="D189" t="str">
            <v>Hotcup</v>
          </cell>
          <cell r="E189" t="str">
            <v>Hotcup</v>
          </cell>
          <cell r="F189" t="str">
            <v>Hotcup</v>
          </cell>
        </row>
        <row r="190">
          <cell r="B190" t="str">
            <v>1053516</v>
          </cell>
          <cell r="C190" t="str">
            <v>"Kalea XL ME4W blue MXpl SIOC CNO
滤水壶：Kalea XL 一壶一芯蓝色"</v>
          </cell>
          <cell r="D190" t="str">
            <v>Jug</v>
          </cell>
          <cell r="E190" t="str">
            <v>Mxplus</v>
          </cell>
          <cell r="F190" t="str">
            <v xml:space="preserve"> blue</v>
          </cell>
        </row>
        <row r="191">
          <cell r="B191" t="str">
            <v>1053517</v>
          </cell>
          <cell r="C191" t="str">
            <v>"Kalea XL ME4W grey MXpl SIOC CNO
滤水壶：Kalea XL 一壶一芯灰色"</v>
          </cell>
          <cell r="D191" t="str">
            <v>Jug</v>
          </cell>
          <cell r="E191" t="str">
            <v>MXpl</v>
          </cell>
          <cell r="F191" t="str">
            <v>grey</v>
          </cell>
        </row>
        <row r="192">
          <cell r="B192" t="str">
            <v>1053518</v>
          </cell>
          <cell r="C192" t="str">
            <v>"Kalea XL ME4W gr inc 5 MXp 1LM SIOC CNO
滤水壶：Kalea XL 一壶六芯灰色"</v>
          </cell>
          <cell r="D192" t="str">
            <v>Jug</v>
          </cell>
          <cell r="E192" t="str">
            <v>Kalea XL ME4W</v>
          </cell>
          <cell r="F192" t="str">
            <v>grey</v>
          </cell>
        </row>
        <row r="193">
          <cell r="B193" t="str">
            <v>1053521</v>
          </cell>
          <cell r="C193" t="str">
            <v>"Kalea XL ME4W gr inc 5 MXp 1Uni SIOC CNO
滤水壶：Kalea XL 一壶六芯灰色"</v>
          </cell>
          <cell r="D193" t="str">
            <v>Jug</v>
          </cell>
          <cell r="E193" t="str">
            <v>Kalea XL ME4W</v>
          </cell>
          <cell r="F193" t="str">
            <v>grey</v>
          </cell>
        </row>
        <row r="194">
          <cell r="B194" t="str">
            <v>1050712</v>
          </cell>
          <cell r="C194" t="str">
            <v>OnTap Bundle incl1 system+1refill Phy CN</v>
          </cell>
          <cell r="D194" t="str">
            <v>OnTap</v>
          </cell>
          <cell r="E194" t="str">
            <v>OnTap</v>
          </cell>
          <cell r="F194" t="str">
            <v>OnTap</v>
          </cell>
        </row>
        <row r="195">
          <cell r="B195" t="str">
            <v>1053544</v>
          </cell>
          <cell r="C195" t="str">
            <v>ON TAP Refill Bundle JDSR/PHY CU CN</v>
          </cell>
          <cell r="D195" t="str">
            <v>ON TAP</v>
          </cell>
          <cell r="E195" t="str">
            <v>ON TAP</v>
          </cell>
          <cell r="F195" t="str">
            <v>ON TAP</v>
          </cell>
        </row>
        <row r="196">
          <cell r="B196" t="str">
            <v>1027177Z</v>
          </cell>
          <cell r="C196" t="str">
            <v>二代滤芯（进口）</v>
          </cell>
          <cell r="D196" t="str">
            <v xml:space="preserve">Cartridge </v>
          </cell>
          <cell r="E196" t="str">
            <v>UNIV</v>
          </cell>
          <cell r="F196" t="str">
            <v>P55</v>
          </cell>
        </row>
        <row r="197">
          <cell r="B197" t="str">
            <v>1039871</v>
          </cell>
          <cell r="C197" t="str">
            <v>Style XL LED4W lime incl 6 MXplus CU CN</v>
          </cell>
          <cell r="D197" t="str">
            <v>Jug</v>
          </cell>
          <cell r="E197" t="str">
            <v xml:space="preserve"> MXplus</v>
          </cell>
          <cell r="F197" t="str">
            <v xml:space="preserve"> lime</v>
          </cell>
        </row>
        <row r="198">
          <cell r="B198" t="str">
            <v>1036461</v>
          </cell>
          <cell r="C198" t="str">
            <v>Bundle Hotcup 2019 CN</v>
          </cell>
          <cell r="D198" t="str">
            <v xml:space="preserve"> Hotcup</v>
          </cell>
          <cell r="E198" t="str">
            <v xml:space="preserve"> Hotcup</v>
          </cell>
          <cell r="F198" t="str">
            <v xml:space="preserve"> Hotcup</v>
          </cell>
        </row>
        <row r="199">
          <cell r="B199" t="str">
            <v>模具</v>
          </cell>
          <cell r="C199" t="str">
            <v>模具</v>
          </cell>
          <cell r="D199" t="str">
            <v>mold</v>
          </cell>
          <cell r="E199" t="str">
            <v>mold</v>
          </cell>
          <cell r="F199" t="str">
            <v>mold</v>
          </cell>
        </row>
        <row r="200">
          <cell r="B200" t="str">
            <v>1023344</v>
          </cell>
          <cell r="C200" t="str">
            <v>Marella XL ME4W wh incl 3 MX Kem CU CN</v>
          </cell>
          <cell r="D200" t="str">
            <v>Jug</v>
          </cell>
          <cell r="E200" t="str">
            <v>Marella XL</v>
          </cell>
          <cell r="F200" t="str">
            <v xml:space="preserve"> Whi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1507-D8BA-492F-8071-00EDE69880ED}">
  <dimension ref="A1:AQ11077"/>
  <sheetViews>
    <sheetView tabSelected="1" topLeftCell="A10" zoomScaleNormal="100" workbookViewId="0">
      <selection activeCell="D25" sqref="D25"/>
    </sheetView>
  </sheetViews>
  <sheetFormatPr defaultRowHeight="12.75"/>
  <cols>
    <col min="1" max="3" width="9" style="1"/>
    <col min="4" max="4" width="31.375" style="1" customWidth="1"/>
    <col min="5" max="6" width="9" style="1"/>
    <col min="7" max="7" width="11.875" style="1" bestFit="1" customWidth="1"/>
    <col min="8" max="13" width="9" style="1"/>
    <col min="14" max="14" width="8" style="1" customWidth="1"/>
    <col min="15" max="26" width="8" style="1" hidden="1" customWidth="1"/>
    <col min="27" max="28" width="10" style="1" hidden="1" customWidth="1"/>
    <col min="29" max="29" width="10" style="1" customWidth="1"/>
    <col min="30" max="30" width="10" style="10" customWidth="1"/>
    <col min="31" max="31" width="10" style="1" bestFit="1" customWidth="1"/>
    <col min="32" max="32" width="10.875" style="1" customWidth="1"/>
    <col min="33" max="33" width="8" style="1" customWidth="1"/>
    <col min="34" max="34" width="6.5" style="1" customWidth="1"/>
    <col min="35" max="35" width="8" style="1" customWidth="1"/>
    <col min="36" max="36" width="8.625" style="1" bestFit="1" customWidth="1"/>
    <col min="37" max="37" width="13.625" style="1" bestFit="1" customWidth="1"/>
    <col min="38" max="40" width="10.25" style="1" bestFit="1" customWidth="1"/>
    <col min="41" max="259" width="9" style="1"/>
    <col min="260" max="260" width="31.375" style="1" customWidth="1"/>
    <col min="261" max="262" width="9" style="1"/>
    <col min="263" max="263" width="11.875" style="1" bestFit="1" customWidth="1"/>
    <col min="264" max="269" width="9" style="1"/>
    <col min="270" max="270" width="8" style="1" customWidth="1"/>
    <col min="271" max="284" width="0" style="1" hidden="1" customWidth="1"/>
    <col min="285" max="286" width="10" style="1" customWidth="1"/>
    <col min="287" max="287" width="10" style="1" bestFit="1" customWidth="1"/>
    <col min="288" max="288" width="10.875" style="1" customWidth="1"/>
    <col min="289" max="289" width="8" style="1" customWidth="1"/>
    <col min="290" max="290" width="6.5" style="1" customWidth="1"/>
    <col min="291" max="291" width="8" style="1" customWidth="1"/>
    <col min="292" max="292" width="8.625" style="1" bestFit="1" customWidth="1"/>
    <col min="293" max="293" width="13.625" style="1" bestFit="1" customWidth="1"/>
    <col min="294" max="296" width="10.25" style="1" bestFit="1" customWidth="1"/>
    <col min="297" max="515" width="9" style="1"/>
    <col min="516" max="516" width="31.375" style="1" customWidth="1"/>
    <col min="517" max="518" width="9" style="1"/>
    <col min="519" max="519" width="11.875" style="1" bestFit="1" customWidth="1"/>
    <col min="520" max="525" width="9" style="1"/>
    <col min="526" max="526" width="8" style="1" customWidth="1"/>
    <col min="527" max="540" width="0" style="1" hidden="1" customWidth="1"/>
    <col min="541" max="542" width="10" style="1" customWidth="1"/>
    <col min="543" max="543" width="10" style="1" bestFit="1" customWidth="1"/>
    <col min="544" max="544" width="10.875" style="1" customWidth="1"/>
    <col min="545" max="545" width="8" style="1" customWidth="1"/>
    <col min="546" max="546" width="6.5" style="1" customWidth="1"/>
    <col min="547" max="547" width="8" style="1" customWidth="1"/>
    <col min="548" max="548" width="8.625" style="1" bestFit="1" customWidth="1"/>
    <col min="549" max="549" width="13.625" style="1" bestFit="1" customWidth="1"/>
    <col min="550" max="552" width="10.25" style="1" bestFit="1" customWidth="1"/>
    <col min="553" max="771" width="9" style="1"/>
    <col min="772" max="772" width="31.375" style="1" customWidth="1"/>
    <col min="773" max="774" width="9" style="1"/>
    <col min="775" max="775" width="11.875" style="1" bestFit="1" customWidth="1"/>
    <col min="776" max="781" width="9" style="1"/>
    <col min="782" max="782" width="8" style="1" customWidth="1"/>
    <col min="783" max="796" width="0" style="1" hidden="1" customWidth="1"/>
    <col min="797" max="798" width="10" style="1" customWidth="1"/>
    <col min="799" max="799" width="10" style="1" bestFit="1" customWidth="1"/>
    <col min="800" max="800" width="10.875" style="1" customWidth="1"/>
    <col min="801" max="801" width="8" style="1" customWidth="1"/>
    <col min="802" max="802" width="6.5" style="1" customWidth="1"/>
    <col min="803" max="803" width="8" style="1" customWidth="1"/>
    <col min="804" max="804" width="8.625" style="1" bestFit="1" customWidth="1"/>
    <col min="805" max="805" width="13.625" style="1" bestFit="1" customWidth="1"/>
    <col min="806" max="808" width="10.25" style="1" bestFit="1" customWidth="1"/>
    <col min="809" max="1027" width="9" style="1"/>
    <col min="1028" max="1028" width="31.375" style="1" customWidth="1"/>
    <col min="1029" max="1030" width="9" style="1"/>
    <col min="1031" max="1031" width="11.875" style="1" bestFit="1" customWidth="1"/>
    <col min="1032" max="1037" width="9" style="1"/>
    <col min="1038" max="1038" width="8" style="1" customWidth="1"/>
    <col min="1039" max="1052" width="0" style="1" hidden="1" customWidth="1"/>
    <col min="1053" max="1054" width="10" style="1" customWidth="1"/>
    <col min="1055" max="1055" width="10" style="1" bestFit="1" customWidth="1"/>
    <col min="1056" max="1056" width="10.875" style="1" customWidth="1"/>
    <col min="1057" max="1057" width="8" style="1" customWidth="1"/>
    <col min="1058" max="1058" width="6.5" style="1" customWidth="1"/>
    <col min="1059" max="1059" width="8" style="1" customWidth="1"/>
    <col min="1060" max="1060" width="8.625" style="1" bestFit="1" customWidth="1"/>
    <col min="1061" max="1061" width="13.625" style="1" bestFit="1" customWidth="1"/>
    <col min="1062" max="1064" width="10.25" style="1" bestFit="1" customWidth="1"/>
    <col min="1065" max="1283" width="9" style="1"/>
    <col min="1284" max="1284" width="31.375" style="1" customWidth="1"/>
    <col min="1285" max="1286" width="9" style="1"/>
    <col min="1287" max="1287" width="11.875" style="1" bestFit="1" customWidth="1"/>
    <col min="1288" max="1293" width="9" style="1"/>
    <col min="1294" max="1294" width="8" style="1" customWidth="1"/>
    <col min="1295" max="1308" width="0" style="1" hidden="1" customWidth="1"/>
    <col min="1309" max="1310" width="10" style="1" customWidth="1"/>
    <col min="1311" max="1311" width="10" style="1" bestFit="1" customWidth="1"/>
    <col min="1312" max="1312" width="10.875" style="1" customWidth="1"/>
    <col min="1313" max="1313" width="8" style="1" customWidth="1"/>
    <col min="1314" max="1314" width="6.5" style="1" customWidth="1"/>
    <col min="1315" max="1315" width="8" style="1" customWidth="1"/>
    <col min="1316" max="1316" width="8.625" style="1" bestFit="1" customWidth="1"/>
    <col min="1317" max="1317" width="13.625" style="1" bestFit="1" customWidth="1"/>
    <col min="1318" max="1320" width="10.25" style="1" bestFit="1" customWidth="1"/>
    <col min="1321" max="1539" width="9" style="1"/>
    <col min="1540" max="1540" width="31.375" style="1" customWidth="1"/>
    <col min="1541" max="1542" width="9" style="1"/>
    <col min="1543" max="1543" width="11.875" style="1" bestFit="1" customWidth="1"/>
    <col min="1544" max="1549" width="9" style="1"/>
    <col min="1550" max="1550" width="8" style="1" customWidth="1"/>
    <col min="1551" max="1564" width="0" style="1" hidden="1" customWidth="1"/>
    <col min="1565" max="1566" width="10" style="1" customWidth="1"/>
    <col min="1567" max="1567" width="10" style="1" bestFit="1" customWidth="1"/>
    <col min="1568" max="1568" width="10.875" style="1" customWidth="1"/>
    <col min="1569" max="1569" width="8" style="1" customWidth="1"/>
    <col min="1570" max="1570" width="6.5" style="1" customWidth="1"/>
    <col min="1571" max="1571" width="8" style="1" customWidth="1"/>
    <col min="1572" max="1572" width="8.625" style="1" bestFit="1" customWidth="1"/>
    <col min="1573" max="1573" width="13.625" style="1" bestFit="1" customWidth="1"/>
    <col min="1574" max="1576" width="10.25" style="1" bestFit="1" customWidth="1"/>
    <col min="1577" max="1795" width="9" style="1"/>
    <col min="1796" max="1796" width="31.375" style="1" customWidth="1"/>
    <col min="1797" max="1798" width="9" style="1"/>
    <col min="1799" max="1799" width="11.875" style="1" bestFit="1" customWidth="1"/>
    <col min="1800" max="1805" width="9" style="1"/>
    <col min="1806" max="1806" width="8" style="1" customWidth="1"/>
    <col min="1807" max="1820" width="0" style="1" hidden="1" customWidth="1"/>
    <col min="1821" max="1822" width="10" style="1" customWidth="1"/>
    <col min="1823" max="1823" width="10" style="1" bestFit="1" customWidth="1"/>
    <col min="1824" max="1824" width="10.875" style="1" customWidth="1"/>
    <col min="1825" max="1825" width="8" style="1" customWidth="1"/>
    <col min="1826" max="1826" width="6.5" style="1" customWidth="1"/>
    <col min="1827" max="1827" width="8" style="1" customWidth="1"/>
    <col min="1828" max="1828" width="8.625" style="1" bestFit="1" customWidth="1"/>
    <col min="1829" max="1829" width="13.625" style="1" bestFit="1" customWidth="1"/>
    <col min="1830" max="1832" width="10.25" style="1" bestFit="1" customWidth="1"/>
    <col min="1833" max="2051" width="9" style="1"/>
    <col min="2052" max="2052" width="31.375" style="1" customWidth="1"/>
    <col min="2053" max="2054" width="9" style="1"/>
    <col min="2055" max="2055" width="11.875" style="1" bestFit="1" customWidth="1"/>
    <col min="2056" max="2061" width="9" style="1"/>
    <col min="2062" max="2062" width="8" style="1" customWidth="1"/>
    <col min="2063" max="2076" width="0" style="1" hidden="1" customWidth="1"/>
    <col min="2077" max="2078" width="10" style="1" customWidth="1"/>
    <col min="2079" max="2079" width="10" style="1" bestFit="1" customWidth="1"/>
    <col min="2080" max="2080" width="10.875" style="1" customWidth="1"/>
    <col min="2081" max="2081" width="8" style="1" customWidth="1"/>
    <col min="2082" max="2082" width="6.5" style="1" customWidth="1"/>
    <col min="2083" max="2083" width="8" style="1" customWidth="1"/>
    <col min="2084" max="2084" width="8.625" style="1" bestFit="1" customWidth="1"/>
    <col min="2085" max="2085" width="13.625" style="1" bestFit="1" customWidth="1"/>
    <col min="2086" max="2088" width="10.25" style="1" bestFit="1" customWidth="1"/>
    <col min="2089" max="2307" width="9" style="1"/>
    <col min="2308" max="2308" width="31.375" style="1" customWidth="1"/>
    <col min="2309" max="2310" width="9" style="1"/>
    <col min="2311" max="2311" width="11.875" style="1" bestFit="1" customWidth="1"/>
    <col min="2312" max="2317" width="9" style="1"/>
    <col min="2318" max="2318" width="8" style="1" customWidth="1"/>
    <col min="2319" max="2332" width="0" style="1" hidden="1" customWidth="1"/>
    <col min="2333" max="2334" width="10" style="1" customWidth="1"/>
    <col min="2335" max="2335" width="10" style="1" bestFit="1" customWidth="1"/>
    <col min="2336" max="2336" width="10.875" style="1" customWidth="1"/>
    <col min="2337" max="2337" width="8" style="1" customWidth="1"/>
    <col min="2338" max="2338" width="6.5" style="1" customWidth="1"/>
    <col min="2339" max="2339" width="8" style="1" customWidth="1"/>
    <col min="2340" max="2340" width="8.625" style="1" bestFit="1" customWidth="1"/>
    <col min="2341" max="2341" width="13.625" style="1" bestFit="1" customWidth="1"/>
    <col min="2342" max="2344" width="10.25" style="1" bestFit="1" customWidth="1"/>
    <col min="2345" max="2563" width="9" style="1"/>
    <col min="2564" max="2564" width="31.375" style="1" customWidth="1"/>
    <col min="2565" max="2566" width="9" style="1"/>
    <col min="2567" max="2567" width="11.875" style="1" bestFit="1" customWidth="1"/>
    <col min="2568" max="2573" width="9" style="1"/>
    <col min="2574" max="2574" width="8" style="1" customWidth="1"/>
    <col min="2575" max="2588" width="0" style="1" hidden="1" customWidth="1"/>
    <col min="2589" max="2590" width="10" style="1" customWidth="1"/>
    <col min="2591" max="2591" width="10" style="1" bestFit="1" customWidth="1"/>
    <col min="2592" max="2592" width="10.875" style="1" customWidth="1"/>
    <col min="2593" max="2593" width="8" style="1" customWidth="1"/>
    <col min="2594" max="2594" width="6.5" style="1" customWidth="1"/>
    <col min="2595" max="2595" width="8" style="1" customWidth="1"/>
    <col min="2596" max="2596" width="8.625" style="1" bestFit="1" customWidth="1"/>
    <col min="2597" max="2597" width="13.625" style="1" bestFit="1" customWidth="1"/>
    <col min="2598" max="2600" width="10.25" style="1" bestFit="1" customWidth="1"/>
    <col min="2601" max="2819" width="9" style="1"/>
    <col min="2820" max="2820" width="31.375" style="1" customWidth="1"/>
    <col min="2821" max="2822" width="9" style="1"/>
    <col min="2823" max="2823" width="11.875" style="1" bestFit="1" customWidth="1"/>
    <col min="2824" max="2829" width="9" style="1"/>
    <col min="2830" max="2830" width="8" style="1" customWidth="1"/>
    <col min="2831" max="2844" width="0" style="1" hidden="1" customWidth="1"/>
    <col min="2845" max="2846" width="10" style="1" customWidth="1"/>
    <col min="2847" max="2847" width="10" style="1" bestFit="1" customWidth="1"/>
    <col min="2848" max="2848" width="10.875" style="1" customWidth="1"/>
    <col min="2849" max="2849" width="8" style="1" customWidth="1"/>
    <col min="2850" max="2850" width="6.5" style="1" customWidth="1"/>
    <col min="2851" max="2851" width="8" style="1" customWidth="1"/>
    <col min="2852" max="2852" width="8.625" style="1" bestFit="1" customWidth="1"/>
    <col min="2853" max="2853" width="13.625" style="1" bestFit="1" customWidth="1"/>
    <col min="2854" max="2856" width="10.25" style="1" bestFit="1" customWidth="1"/>
    <col min="2857" max="3075" width="9" style="1"/>
    <col min="3076" max="3076" width="31.375" style="1" customWidth="1"/>
    <col min="3077" max="3078" width="9" style="1"/>
    <col min="3079" max="3079" width="11.875" style="1" bestFit="1" customWidth="1"/>
    <col min="3080" max="3085" width="9" style="1"/>
    <col min="3086" max="3086" width="8" style="1" customWidth="1"/>
    <col min="3087" max="3100" width="0" style="1" hidden="1" customWidth="1"/>
    <col min="3101" max="3102" width="10" style="1" customWidth="1"/>
    <col min="3103" max="3103" width="10" style="1" bestFit="1" customWidth="1"/>
    <col min="3104" max="3104" width="10.875" style="1" customWidth="1"/>
    <col min="3105" max="3105" width="8" style="1" customWidth="1"/>
    <col min="3106" max="3106" width="6.5" style="1" customWidth="1"/>
    <col min="3107" max="3107" width="8" style="1" customWidth="1"/>
    <col min="3108" max="3108" width="8.625" style="1" bestFit="1" customWidth="1"/>
    <col min="3109" max="3109" width="13.625" style="1" bestFit="1" customWidth="1"/>
    <col min="3110" max="3112" width="10.25" style="1" bestFit="1" customWidth="1"/>
    <col min="3113" max="3331" width="9" style="1"/>
    <col min="3332" max="3332" width="31.375" style="1" customWidth="1"/>
    <col min="3333" max="3334" width="9" style="1"/>
    <col min="3335" max="3335" width="11.875" style="1" bestFit="1" customWidth="1"/>
    <col min="3336" max="3341" width="9" style="1"/>
    <col min="3342" max="3342" width="8" style="1" customWidth="1"/>
    <col min="3343" max="3356" width="0" style="1" hidden="1" customWidth="1"/>
    <col min="3357" max="3358" width="10" style="1" customWidth="1"/>
    <col min="3359" max="3359" width="10" style="1" bestFit="1" customWidth="1"/>
    <col min="3360" max="3360" width="10.875" style="1" customWidth="1"/>
    <col min="3361" max="3361" width="8" style="1" customWidth="1"/>
    <col min="3362" max="3362" width="6.5" style="1" customWidth="1"/>
    <col min="3363" max="3363" width="8" style="1" customWidth="1"/>
    <col min="3364" max="3364" width="8.625" style="1" bestFit="1" customWidth="1"/>
    <col min="3365" max="3365" width="13.625" style="1" bestFit="1" customWidth="1"/>
    <col min="3366" max="3368" width="10.25" style="1" bestFit="1" customWidth="1"/>
    <col min="3369" max="3587" width="9" style="1"/>
    <col min="3588" max="3588" width="31.375" style="1" customWidth="1"/>
    <col min="3589" max="3590" width="9" style="1"/>
    <col min="3591" max="3591" width="11.875" style="1" bestFit="1" customWidth="1"/>
    <col min="3592" max="3597" width="9" style="1"/>
    <col min="3598" max="3598" width="8" style="1" customWidth="1"/>
    <col min="3599" max="3612" width="0" style="1" hidden="1" customWidth="1"/>
    <col min="3613" max="3614" width="10" style="1" customWidth="1"/>
    <col min="3615" max="3615" width="10" style="1" bestFit="1" customWidth="1"/>
    <col min="3616" max="3616" width="10.875" style="1" customWidth="1"/>
    <col min="3617" max="3617" width="8" style="1" customWidth="1"/>
    <col min="3618" max="3618" width="6.5" style="1" customWidth="1"/>
    <col min="3619" max="3619" width="8" style="1" customWidth="1"/>
    <col min="3620" max="3620" width="8.625" style="1" bestFit="1" customWidth="1"/>
    <col min="3621" max="3621" width="13.625" style="1" bestFit="1" customWidth="1"/>
    <col min="3622" max="3624" width="10.25" style="1" bestFit="1" customWidth="1"/>
    <col min="3625" max="3843" width="9" style="1"/>
    <col min="3844" max="3844" width="31.375" style="1" customWidth="1"/>
    <col min="3845" max="3846" width="9" style="1"/>
    <col min="3847" max="3847" width="11.875" style="1" bestFit="1" customWidth="1"/>
    <col min="3848" max="3853" width="9" style="1"/>
    <col min="3854" max="3854" width="8" style="1" customWidth="1"/>
    <col min="3855" max="3868" width="0" style="1" hidden="1" customWidth="1"/>
    <col min="3869" max="3870" width="10" style="1" customWidth="1"/>
    <col min="3871" max="3871" width="10" style="1" bestFit="1" customWidth="1"/>
    <col min="3872" max="3872" width="10.875" style="1" customWidth="1"/>
    <col min="3873" max="3873" width="8" style="1" customWidth="1"/>
    <col min="3874" max="3874" width="6.5" style="1" customWidth="1"/>
    <col min="3875" max="3875" width="8" style="1" customWidth="1"/>
    <col min="3876" max="3876" width="8.625" style="1" bestFit="1" customWidth="1"/>
    <col min="3877" max="3877" width="13.625" style="1" bestFit="1" customWidth="1"/>
    <col min="3878" max="3880" width="10.25" style="1" bestFit="1" customWidth="1"/>
    <col min="3881" max="4099" width="9" style="1"/>
    <col min="4100" max="4100" width="31.375" style="1" customWidth="1"/>
    <col min="4101" max="4102" width="9" style="1"/>
    <col min="4103" max="4103" width="11.875" style="1" bestFit="1" customWidth="1"/>
    <col min="4104" max="4109" width="9" style="1"/>
    <col min="4110" max="4110" width="8" style="1" customWidth="1"/>
    <col min="4111" max="4124" width="0" style="1" hidden="1" customWidth="1"/>
    <col min="4125" max="4126" width="10" style="1" customWidth="1"/>
    <col min="4127" max="4127" width="10" style="1" bestFit="1" customWidth="1"/>
    <col min="4128" max="4128" width="10.875" style="1" customWidth="1"/>
    <col min="4129" max="4129" width="8" style="1" customWidth="1"/>
    <col min="4130" max="4130" width="6.5" style="1" customWidth="1"/>
    <col min="4131" max="4131" width="8" style="1" customWidth="1"/>
    <col min="4132" max="4132" width="8.625" style="1" bestFit="1" customWidth="1"/>
    <col min="4133" max="4133" width="13.625" style="1" bestFit="1" customWidth="1"/>
    <col min="4134" max="4136" width="10.25" style="1" bestFit="1" customWidth="1"/>
    <col min="4137" max="4355" width="9" style="1"/>
    <col min="4356" max="4356" width="31.375" style="1" customWidth="1"/>
    <col min="4357" max="4358" width="9" style="1"/>
    <col min="4359" max="4359" width="11.875" style="1" bestFit="1" customWidth="1"/>
    <col min="4360" max="4365" width="9" style="1"/>
    <col min="4366" max="4366" width="8" style="1" customWidth="1"/>
    <col min="4367" max="4380" width="0" style="1" hidden="1" customWidth="1"/>
    <col min="4381" max="4382" width="10" style="1" customWidth="1"/>
    <col min="4383" max="4383" width="10" style="1" bestFit="1" customWidth="1"/>
    <col min="4384" max="4384" width="10.875" style="1" customWidth="1"/>
    <col min="4385" max="4385" width="8" style="1" customWidth="1"/>
    <col min="4386" max="4386" width="6.5" style="1" customWidth="1"/>
    <col min="4387" max="4387" width="8" style="1" customWidth="1"/>
    <col min="4388" max="4388" width="8.625" style="1" bestFit="1" customWidth="1"/>
    <col min="4389" max="4389" width="13.625" style="1" bestFit="1" customWidth="1"/>
    <col min="4390" max="4392" width="10.25" style="1" bestFit="1" customWidth="1"/>
    <col min="4393" max="4611" width="9" style="1"/>
    <col min="4612" max="4612" width="31.375" style="1" customWidth="1"/>
    <col min="4613" max="4614" width="9" style="1"/>
    <col min="4615" max="4615" width="11.875" style="1" bestFit="1" customWidth="1"/>
    <col min="4616" max="4621" width="9" style="1"/>
    <col min="4622" max="4622" width="8" style="1" customWidth="1"/>
    <col min="4623" max="4636" width="0" style="1" hidden="1" customWidth="1"/>
    <col min="4637" max="4638" width="10" style="1" customWidth="1"/>
    <col min="4639" max="4639" width="10" style="1" bestFit="1" customWidth="1"/>
    <col min="4640" max="4640" width="10.875" style="1" customWidth="1"/>
    <col min="4641" max="4641" width="8" style="1" customWidth="1"/>
    <col min="4642" max="4642" width="6.5" style="1" customWidth="1"/>
    <col min="4643" max="4643" width="8" style="1" customWidth="1"/>
    <col min="4644" max="4644" width="8.625" style="1" bestFit="1" customWidth="1"/>
    <col min="4645" max="4645" width="13.625" style="1" bestFit="1" customWidth="1"/>
    <col min="4646" max="4648" width="10.25" style="1" bestFit="1" customWidth="1"/>
    <col min="4649" max="4867" width="9" style="1"/>
    <col min="4868" max="4868" width="31.375" style="1" customWidth="1"/>
    <col min="4869" max="4870" width="9" style="1"/>
    <col min="4871" max="4871" width="11.875" style="1" bestFit="1" customWidth="1"/>
    <col min="4872" max="4877" width="9" style="1"/>
    <col min="4878" max="4878" width="8" style="1" customWidth="1"/>
    <col min="4879" max="4892" width="0" style="1" hidden="1" customWidth="1"/>
    <col min="4893" max="4894" width="10" style="1" customWidth="1"/>
    <col min="4895" max="4895" width="10" style="1" bestFit="1" customWidth="1"/>
    <col min="4896" max="4896" width="10.875" style="1" customWidth="1"/>
    <col min="4897" max="4897" width="8" style="1" customWidth="1"/>
    <col min="4898" max="4898" width="6.5" style="1" customWidth="1"/>
    <col min="4899" max="4899" width="8" style="1" customWidth="1"/>
    <col min="4900" max="4900" width="8.625" style="1" bestFit="1" customWidth="1"/>
    <col min="4901" max="4901" width="13.625" style="1" bestFit="1" customWidth="1"/>
    <col min="4902" max="4904" width="10.25" style="1" bestFit="1" customWidth="1"/>
    <col min="4905" max="5123" width="9" style="1"/>
    <col min="5124" max="5124" width="31.375" style="1" customWidth="1"/>
    <col min="5125" max="5126" width="9" style="1"/>
    <col min="5127" max="5127" width="11.875" style="1" bestFit="1" customWidth="1"/>
    <col min="5128" max="5133" width="9" style="1"/>
    <col min="5134" max="5134" width="8" style="1" customWidth="1"/>
    <col min="5135" max="5148" width="0" style="1" hidden="1" customWidth="1"/>
    <col min="5149" max="5150" width="10" style="1" customWidth="1"/>
    <col min="5151" max="5151" width="10" style="1" bestFit="1" customWidth="1"/>
    <col min="5152" max="5152" width="10.875" style="1" customWidth="1"/>
    <col min="5153" max="5153" width="8" style="1" customWidth="1"/>
    <col min="5154" max="5154" width="6.5" style="1" customWidth="1"/>
    <col min="5155" max="5155" width="8" style="1" customWidth="1"/>
    <col min="5156" max="5156" width="8.625" style="1" bestFit="1" customWidth="1"/>
    <col min="5157" max="5157" width="13.625" style="1" bestFit="1" customWidth="1"/>
    <col min="5158" max="5160" width="10.25" style="1" bestFit="1" customWidth="1"/>
    <col min="5161" max="5379" width="9" style="1"/>
    <col min="5380" max="5380" width="31.375" style="1" customWidth="1"/>
    <col min="5381" max="5382" width="9" style="1"/>
    <col min="5383" max="5383" width="11.875" style="1" bestFit="1" customWidth="1"/>
    <col min="5384" max="5389" width="9" style="1"/>
    <col min="5390" max="5390" width="8" style="1" customWidth="1"/>
    <col min="5391" max="5404" width="0" style="1" hidden="1" customWidth="1"/>
    <col min="5405" max="5406" width="10" style="1" customWidth="1"/>
    <col min="5407" max="5407" width="10" style="1" bestFit="1" customWidth="1"/>
    <col min="5408" max="5408" width="10.875" style="1" customWidth="1"/>
    <col min="5409" max="5409" width="8" style="1" customWidth="1"/>
    <col min="5410" max="5410" width="6.5" style="1" customWidth="1"/>
    <col min="5411" max="5411" width="8" style="1" customWidth="1"/>
    <col min="5412" max="5412" width="8.625" style="1" bestFit="1" customWidth="1"/>
    <col min="5413" max="5413" width="13.625" style="1" bestFit="1" customWidth="1"/>
    <col min="5414" max="5416" width="10.25" style="1" bestFit="1" customWidth="1"/>
    <col min="5417" max="5635" width="9" style="1"/>
    <col min="5636" max="5636" width="31.375" style="1" customWidth="1"/>
    <col min="5637" max="5638" width="9" style="1"/>
    <col min="5639" max="5639" width="11.875" style="1" bestFit="1" customWidth="1"/>
    <col min="5640" max="5645" width="9" style="1"/>
    <col min="5646" max="5646" width="8" style="1" customWidth="1"/>
    <col min="5647" max="5660" width="0" style="1" hidden="1" customWidth="1"/>
    <col min="5661" max="5662" width="10" style="1" customWidth="1"/>
    <col min="5663" max="5663" width="10" style="1" bestFit="1" customWidth="1"/>
    <col min="5664" max="5664" width="10.875" style="1" customWidth="1"/>
    <col min="5665" max="5665" width="8" style="1" customWidth="1"/>
    <col min="5666" max="5666" width="6.5" style="1" customWidth="1"/>
    <col min="5667" max="5667" width="8" style="1" customWidth="1"/>
    <col min="5668" max="5668" width="8.625" style="1" bestFit="1" customWidth="1"/>
    <col min="5669" max="5669" width="13.625" style="1" bestFit="1" customWidth="1"/>
    <col min="5670" max="5672" width="10.25" style="1" bestFit="1" customWidth="1"/>
    <col min="5673" max="5891" width="9" style="1"/>
    <col min="5892" max="5892" width="31.375" style="1" customWidth="1"/>
    <col min="5893" max="5894" width="9" style="1"/>
    <col min="5895" max="5895" width="11.875" style="1" bestFit="1" customWidth="1"/>
    <col min="5896" max="5901" width="9" style="1"/>
    <col min="5902" max="5902" width="8" style="1" customWidth="1"/>
    <col min="5903" max="5916" width="0" style="1" hidden="1" customWidth="1"/>
    <col min="5917" max="5918" width="10" style="1" customWidth="1"/>
    <col min="5919" max="5919" width="10" style="1" bestFit="1" customWidth="1"/>
    <col min="5920" max="5920" width="10.875" style="1" customWidth="1"/>
    <col min="5921" max="5921" width="8" style="1" customWidth="1"/>
    <col min="5922" max="5922" width="6.5" style="1" customWidth="1"/>
    <col min="5923" max="5923" width="8" style="1" customWidth="1"/>
    <col min="5924" max="5924" width="8.625" style="1" bestFit="1" customWidth="1"/>
    <col min="5925" max="5925" width="13.625" style="1" bestFit="1" customWidth="1"/>
    <col min="5926" max="5928" width="10.25" style="1" bestFit="1" customWidth="1"/>
    <col min="5929" max="6147" width="9" style="1"/>
    <col min="6148" max="6148" width="31.375" style="1" customWidth="1"/>
    <col min="6149" max="6150" width="9" style="1"/>
    <col min="6151" max="6151" width="11.875" style="1" bestFit="1" customWidth="1"/>
    <col min="6152" max="6157" width="9" style="1"/>
    <col min="6158" max="6158" width="8" style="1" customWidth="1"/>
    <col min="6159" max="6172" width="0" style="1" hidden="1" customWidth="1"/>
    <col min="6173" max="6174" width="10" style="1" customWidth="1"/>
    <col min="6175" max="6175" width="10" style="1" bestFit="1" customWidth="1"/>
    <col min="6176" max="6176" width="10.875" style="1" customWidth="1"/>
    <col min="6177" max="6177" width="8" style="1" customWidth="1"/>
    <col min="6178" max="6178" width="6.5" style="1" customWidth="1"/>
    <col min="6179" max="6179" width="8" style="1" customWidth="1"/>
    <col min="6180" max="6180" width="8.625" style="1" bestFit="1" customWidth="1"/>
    <col min="6181" max="6181" width="13.625" style="1" bestFit="1" customWidth="1"/>
    <col min="6182" max="6184" width="10.25" style="1" bestFit="1" customWidth="1"/>
    <col min="6185" max="6403" width="9" style="1"/>
    <col min="6404" max="6404" width="31.375" style="1" customWidth="1"/>
    <col min="6405" max="6406" width="9" style="1"/>
    <col min="6407" max="6407" width="11.875" style="1" bestFit="1" customWidth="1"/>
    <col min="6408" max="6413" width="9" style="1"/>
    <col min="6414" max="6414" width="8" style="1" customWidth="1"/>
    <col min="6415" max="6428" width="0" style="1" hidden="1" customWidth="1"/>
    <col min="6429" max="6430" width="10" style="1" customWidth="1"/>
    <col min="6431" max="6431" width="10" style="1" bestFit="1" customWidth="1"/>
    <col min="6432" max="6432" width="10.875" style="1" customWidth="1"/>
    <col min="6433" max="6433" width="8" style="1" customWidth="1"/>
    <col min="6434" max="6434" width="6.5" style="1" customWidth="1"/>
    <col min="6435" max="6435" width="8" style="1" customWidth="1"/>
    <col min="6436" max="6436" width="8.625" style="1" bestFit="1" customWidth="1"/>
    <col min="6437" max="6437" width="13.625" style="1" bestFit="1" customWidth="1"/>
    <col min="6438" max="6440" width="10.25" style="1" bestFit="1" customWidth="1"/>
    <col min="6441" max="6659" width="9" style="1"/>
    <col min="6660" max="6660" width="31.375" style="1" customWidth="1"/>
    <col min="6661" max="6662" width="9" style="1"/>
    <col min="6663" max="6663" width="11.875" style="1" bestFit="1" customWidth="1"/>
    <col min="6664" max="6669" width="9" style="1"/>
    <col min="6670" max="6670" width="8" style="1" customWidth="1"/>
    <col min="6671" max="6684" width="0" style="1" hidden="1" customWidth="1"/>
    <col min="6685" max="6686" width="10" style="1" customWidth="1"/>
    <col min="6687" max="6687" width="10" style="1" bestFit="1" customWidth="1"/>
    <col min="6688" max="6688" width="10.875" style="1" customWidth="1"/>
    <col min="6689" max="6689" width="8" style="1" customWidth="1"/>
    <col min="6690" max="6690" width="6.5" style="1" customWidth="1"/>
    <col min="6691" max="6691" width="8" style="1" customWidth="1"/>
    <col min="6692" max="6692" width="8.625" style="1" bestFit="1" customWidth="1"/>
    <col min="6693" max="6693" width="13.625" style="1" bestFit="1" customWidth="1"/>
    <col min="6694" max="6696" width="10.25" style="1" bestFit="1" customWidth="1"/>
    <col min="6697" max="6915" width="9" style="1"/>
    <col min="6916" max="6916" width="31.375" style="1" customWidth="1"/>
    <col min="6917" max="6918" width="9" style="1"/>
    <col min="6919" max="6919" width="11.875" style="1" bestFit="1" customWidth="1"/>
    <col min="6920" max="6925" width="9" style="1"/>
    <col min="6926" max="6926" width="8" style="1" customWidth="1"/>
    <col min="6927" max="6940" width="0" style="1" hidden="1" customWidth="1"/>
    <col min="6941" max="6942" width="10" style="1" customWidth="1"/>
    <col min="6943" max="6943" width="10" style="1" bestFit="1" customWidth="1"/>
    <col min="6944" max="6944" width="10.875" style="1" customWidth="1"/>
    <col min="6945" max="6945" width="8" style="1" customWidth="1"/>
    <col min="6946" max="6946" width="6.5" style="1" customWidth="1"/>
    <col min="6947" max="6947" width="8" style="1" customWidth="1"/>
    <col min="6948" max="6948" width="8.625" style="1" bestFit="1" customWidth="1"/>
    <col min="6949" max="6949" width="13.625" style="1" bestFit="1" customWidth="1"/>
    <col min="6950" max="6952" width="10.25" style="1" bestFit="1" customWidth="1"/>
    <col min="6953" max="7171" width="9" style="1"/>
    <col min="7172" max="7172" width="31.375" style="1" customWidth="1"/>
    <col min="7173" max="7174" width="9" style="1"/>
    <col min="7175" max="7175" width="11.875" style="1" bestFit="1" customWidth="1"/>
    <col min="7176" max="7181" width="9" style="1"/>
    <col min="7182" max="7182" width="8" style="1" customWidth="1"/>
    <col min="7183" max="7196" width="0" style="1" hidden="1" customWidth="1"/>
    <col min="7197" max="7198" width="10" style="1" customWidth="1"/>
    <col min="7199" max="7199" width="10" style="1" bestFit="1" customWidth="1"/>
    <col min="7200" max="7200" width="10.875" style="1" customWidth="1"/>
    <col min="7201" max="7201" width="8" style="1" customWidth="1"/>
    <col min="7202" max="7202" width="6.5" style="1" customWidth="1"/>
    <col min="7203" max="7203" width="8" style="1" customWidth="1"/>
    <col min="7204" max="7204" width="8.625" style="1" bestFit="1" customWidth="1"/>
    <col min="7205" max="7205" width="13.625" style="1" bestFit="1" customWidth="1"/>
    <col min="7206" max="7208" width="10.25" style="1" bestFit="1" customWidth="1"/>
    <col min="7209" max="7427" width="9" style="1"/>
    <col min="7428" max="7428" width="31.375" style="1" customWidth="1"/>
    <col min="7429" max="7430" width="9" style="1"/>
    <col min="7431" max="7431" width="11.875" style="1" bestFit="1" customWidth="1"/>
    <col min="7432" max="7437" width="9" style="1"/>
    <col min="7438" max="7438" width="8" style="1" customWidth="1"/>
    <col min="7439" max="7452" width="0" style="1" hidden="1" customWidth="1"/>
    <col min="7453" max="7454" width="10" style="1" customWidth="1"/>
    <col min="7455" max="7455" width="10" style="1" bestFit="1" customWidth="1"/>
    <col min="7456" max="7456" width="10.875" style="1" customWidth="1"/>
    <col min="7457" max="7457" width="8" style="1" customWidth="1"/>
    <col min="7458" max="7458" width="6.5" style="1" customWidth="1"/>
    <col min="7459" max="7459" width="8" style="1" customWidth="1"/>
    <col min="7460" max="7460" width="8.625" style="1" bestFit="1" customWidth="1"/>
    <col min="7461" max="7461" width="13.625" style="1" bestFit="1" customWidth="1"/>
    <col min="7462" max="7464" width="10.25" style="1" bestFit="1" customWidth="1"/>
    <col min="7465" max="7683" width="9" style="1"/>
    <col min="7684" max="7684" width="31.375" style="1" customWidth="1"/>
    <col min="7685" max="7686" width="9" style="1"/>
    <col min="7687" max="7687" width="11.875" style="1" bestFit="1" customWidth="1"/>
    <col min="7688" max="7693" width="9" style="1"/>
    <col min="7694" max="7694" width="8" style="1" customWidth="1"/>
    <col min="7695" max="7708" width="0" style="1" hidden="1" customWidth="1"/>
    <col min="7709" max="7710" width="10" style="1" customWidth="1"/>
    <col min="7711" max="7711" width="10" style="1" bestFit="1" customWidth="1"/>
    <col min="7712" max="7712" width="10.875" style="1" customWidth="1"/>
    <col min="7713" max="7713" width="8" style="1" customWidth="1"/>
    <col min="7714" max="7714" width="6.5" style="1" customWidth="1"/>
    <col min="7715" max="7715" width="8" style="1" customWidth="1"/>
    <col min="7716" max="7716" width="8.625" style="1" bestFit="1" customWidth="1"/>
    <col min="7717" max="7717" width="13.625" style="1" bestFit="1" customWidth="1"/>
    <col min="7718" max="7720" width="10.25" style="1" bestFit="1" customWidth="1"/>
    <col min="7721" max="7939" width="9" style="1"/>
    <col min="7940" max="7940" width="31.375" style="1" customWidth="1"/>
    <col min="7941" max="7942" width="9" style="1"/>
    <col min="7943" max="7943" width="11.875" style="1" bestFit="1" customWidth="1"/>
    <col min="7944" max="7949" width="9" style="1"/>
    <col min="7950" max="7950" width="8" style="1" customWidth="1"/>
    <col min="7951" max="7964" width="0" style="1" hidden="1" customWidth="1"/>
    <col min="7965" max="7966" width="10" style="1" customWidth="1"/>
    <col min="7967" max="7967" width="10" style="1" bestFit="1" customWidth="1"/>
    <col min="7968" max="7968" width="10.875" style="1" customWidth="1"/>
    <col min="7969" max="7969" width="8" style="1" customWidth="1"/>
    <col min="7970" max="7970" width="6.5" style="1" customWidth="1"/>
    <col min="7971" max="7971" width="8" style="1" customWidth="1"/>
    <col min="7972" max="7972" width="8.625" style="1" bestFit="1" customWidth="1"/>
    <col min="7973" max="7973" width="13.625" style="1" bestFit="1" customWidth="1"/>
    <col min="7974" max="7976" width="10.25" style="1" bestFit="1" customWidth="1"/>
    <col min="7977" max="8195" width="9" style="1"/>
    <col min="8196" max="8196" width="31.375" style="1" customWidth="1"/>
    <col min="8197" max="8198" width="9" style="1"/>
    <col min="8199" max="8199" width="11.875" style="1" bestFit="1" customWidth="1"/>
    <col min="8200" max="8205" width="9" style="1"/>
    <col min="8206" max="8206" width="8" style="1" customWidth="1"/>
    <col min="8207" max="8220" width="0" style="1" hidden="1" customWidth="1"/>
    <col min="8221" max="8222" width="10" style="1" customWidth="1"/>
    <col min="8223" max="8223" width="10" style="1" bestFit="1" customWidth="1"/>
    <col min="8224" max="8224" width="10.875" style="1" customWidth="1"/>
    <col min="8225" max="8225" width="8" style="1" customWidth="1"/>
    <col min="8226" max="8226" width="6.5" style="1" customWidth="1"/>
    <col min="8227" max="8227" width="8" style="1" customWidth="1"/>
    <col min="8228" max="8228" width="8.625" style="1" bestFit="1" customWidth="1"/>
    <col min="8229" max="8229" width="13.625" style="1" bestFit="1" customWidth="1"/>
    <col min="8230" max="8232" width="10.25" style="1" bestFit="1" customWidth="1"/>
    <col min="8233" max="8451" width="9" style="1"/>
    <col min="8452" max="8452" width="31.375" style="1" customWidth="1"/>
    <col min="8453" max="8454" width="9" style="1"/>
    <col min="8455" max="8455" width="11.875" style="1" bestFit="1" customWidth="1"/>
    <col min="8456" max="8461" width="9" style="1"/>
    <col min="8462" max="8462" width="8" style="1" customWidth="1"/>
    <col min="8463" max="8476" width="0" style="1" hidden="1" customWidth="1"/>
    <col min="8477" max="8478" width="10" style="1" customWidth="1"/>
    <col min="8479" max="8479" width="10" style="1" bestFit="1" customWidth="1"/>
    <col min="8480" max="8480" width="10.875" style="1" customWidth="1"/>
    <col min="8481" max="8481" width="8" style="1" customWidth="1"/>
    <col min="8482" max="8482" width="6.5" style="1" customWidth="1"/>
    <col min="8483" max="8483" width="8" style="1" customWidth="1"/>
    <col min="8484" max="8484" width="8.625" style="1" bestFit="1" customWidth="1"/>
    <col min="8485" max="8485" width="13.625" style="1" bestFit="1" customWidth="1"/>
    <col min="8486" max="8488" width="10.25" style="1" bestFit="1" customWidth="1"/>
    <col min="8489" max="8707" width="9" style="1"/>
    <col min="8708" max="8708" width="31.375" style="1" customWidth="1"/>
    <col min="8709" max="8710" width="9" style="1"/>
    <col min="8711" max="8711" width="11.875" style="1" bestFit="1" customWidth="1"/>
    <col min="8712" max="8717" width="9" style="1"/>
    <col min="8718" max="8718" width="8" style="1" customWidth="1"/>
    <col min="8719" max="8732" width="0" style="1" hidden="1" customWidth="1"/>
    <col min="8733" max="8734" width="10" style="1" customWidth="1"/>
    <col min="8735" max="8735" width="10" style="1" bestFit="1" customWidth="1"/>
    <col min="8736" max="8736" width="10.875" style="1" customWidth="1"/>
    <col min="8737" max="8737" width="8" style="1" customWidth="1"/>
    <col min="8738" max="8738" width="6.5" style="1" customWidth="1"/>
    <col min="8739" max="8739" width="8" style="1" customWidth="1"/>
    <col min="8740" max="8740" width="8.625" style="1" bestFit="1" customWidth="1"/>
    <col min="8741" max="8741" width="13.625" style="1" bestFit="1" customWidth="1"/>
    <col min="8742" max="8744" width="10.25" style="1" bestFit="1" customWidth="1"/>
    <col min="8745" max="8963" width="9" style="1"/>
    <col min="8964" max="8964" width="31.375" style="1" customWidth="1"/>
    <col min="8965" max="8966" width="9" style="1"/>
    <col min="8967" max="8967" width="11.875" style="1" bestFit="1" customWidth="1"/>
    <col min="8968" max="8973" width="9" style="1"/>
    <col min="8974" max="8974" width="8" style="1" customWidth="1"/>
    <col min="8975" max="8988" width="0" style="1" hidden="1" customWidth="1"/>
    <col min="8989" max="8990" width="10" style="1" customWidth="1"/>
    <col min="8991" max="8991" width="10" style="1" bestFit="1" customWidth="1"/>
    <col min="8992" max="8992" width="10.875" style="1" customWidth="1"/>
    <col min="8993" max="8993" width="8" style="1" customWidth="1"/>
    <col min="8994" max="8994" width="6.5" style="1" customWidth="1"/>
    <col min="8995" max="8995" width="8" style="1" customWidth="1"/>
    <col min="8996" max="8996" width="8.625" style="1" bestFit="1" customWidth="1"/>
    <col min="8997" max="8997" width="13.625" style="1" bestFit="1" customWidth="1"/>
    <col min="8998" max="9000" width="10.25" style="1" bestFit="1" customWidth="1"/>
    <col min="9001" max="9219" width="9" style="1"/>
    <col min="9220" max="9220" width="31.375" style="1" customWidth="1"/>
    <col min="9221" max="9222" width="9" style="1"/>
    <col min="9223" max="9223" width="11.875" style="1" bestFit="1" customWidth="1"/>
    <col min="9224" max="9229" width="9" style="1"/>
    <col min="9230" max="9230" width="8" style="1" customWidth="1"/>
    <col min="9231" max="9244" width="0" style="1" hidden="1" customWidth="1"/>
    <col min="9245" max="9246" width="10" style="1" customWidth="1"/>
    <col min="9247" max="9247" width="10" style="1" bestFit="1" customWidth="1"/>
    <col min="9248" max="9248" width="10.875" style="1" customWidth="1"/>
    <col min="9249" max="9249" width="8" style="1" customWidth="1"/>
    <col min="9250" max="9250" width="6.5" style="1" customWidth="1"/>
    <col min="9251" max="9251" width="8" style="1" customWidth="1"/>
    <col min="9252" max="9252" width="8.625" style="1" bestFit="1" customWidth="1"/>
    <col min="9253" max="9253" width="13.625" style="1" bestFit="1" customWidth="1"/>
    <col min="9254" max="9256" width="10.25" style="1" bestFit="1" customWidth="1"/>
    <col min="9257" max="9475" width="9" style="1"/>
    <col min="9476" max="9476" width="31.375" style="1" customWidth="1"/>
    <col min="9477" max="9478" width="9" style="1"/>
    <col min="9479" max="9479" width="11.875" style="1" bestFit="1" customWidth="1"/>
    <col min="9480" max="9485" width="9" style="1"/>
    <col min="9486" max="9486" width="8" style="1" customWidth="1"/>
    <col min="9487" max="9500" width="0" style="1" hidden="1" customWidth="1"/>
    <col min="9501" max="9502" width="10" style="1" customWidth="1"/>
    <col min="9503" max="9503" width="10" style="1" bestFit="1" customWidth="1"/>
    <col min="9504" max="9504" width="10.875" style="1" customWidth="1"/>
    <col min="9505" max="9505" width="8" style="1" customWidth="1"/>
    <col min="9506" max="9506" width="6.5" style="1" customWidth="1"/>
    <col min="9507" max="9507" width="8" style="1" customWidth="1"/>
    <col min="9508" max="9508" width="8.625" style="1" bestFit="1" customWidth="1"/>
    <col min="9509" max="9509" width="13.625" style="1" bestFit="1" customWidth="1"/>
    <col min="9510" max="9512" width="10.25" style="1" bestFit="1" customWidth="1"/>
    <col min="9513" max="9731" width="9" style="1"/>
    <col min="9732" max="9732" width="31.375" style="1" customWidth="1"/>
    <col min="9733" max="9734" width="9" style="1"/>
    <col min="9735" max="9735" width="11.875" style="1" bestFit="1" customWidth="1"/>
    <col min="9736" max="9741" width="9" style="1"/>
    <col min="9742" max="9742" width="8" style="1" customWidth="1"/>
    <col min="9743" max="9756" width="0" style="1" hidden="1" customWidth="1"/>
    <col min="9757" max="9758" width="10" style="1" customWidth="1"/>
    <col min="9759" max="9759" width="10" style="1" bestFit="1" customWidth="1"/>
    <col min="9760" max="9760" width="10.875" style="1" customWidth="1"/>
    <col min="9761" max="9761" width="8" style="1" customWidth="1"/>
    <col min="9762" max="9762" width="6.5" style="1" customWidth="1"/>
    <col min="9763" max="9763" width="8" style="1" customWidth="1"/>
    <col min="9764" max="9764" width="8.625" style="1" bestFit="1" customWidth="1"/>
    <col min="9765" max="9765" width="13.625" style="1" bestFit="1" customWidth="1"/>
    <col min="9766" max="9768" width="10.25" style="1" bestFit="1" customWidth="1"/>
    <col min="9769" max="9987" width="9" style="1"/>
    <col min="9988" max="9988" width="31.375" style="1" customWidth="1"/>
    <col min="9989" max="9990" width="9" style="1"/>
    <col min="9991" max="9991" width="11.875" style="1" bestFit="1" customWidth="1"/>
    <col min="9992" max="9997" width="9" style="1"/>
    <col min="9998" max="9998" width="8" style="1" customWidth="1"/>
    <col min="9999" max="10012" width="0" style="1" hidden="1" customWidth="1"/>
    <col min="10013" max="10014" width="10" style="1" customWidth="1"/>
    <col min="10015" max="10015" width="10" style="1" bestFit="1" customWidth="1"/>
    <col min="10016" max="10016" width="10.875" style="1" customWidth="1"/>
    <col min="10017" max="10017" width="8" style="1" customWidth="1"/>
    <col min="10018" max="10018" width="6.5" style="1" customWidth="1"/>
    <col min="10019" max="10019" width="8" style="1" customWidth="1"/>
    <col min="10020" max="10020" width="8.625" style="1" bestFit="1" customWidth="1"/>
    <col min="10021" max="10021" width="13.625" style="1" bestFit="1" customWidth="1"/>
    <col min="10022" max="10024" width="10.25" style="1" bestFit="1" customWidth="1"/>
    <col min="10025" max="10243" width="9" style="1"/>
    <col min="10244" max="10244" width="31.375" style="1" customWidth="1"/>
    <col min="10245" max="10246" width="9" style="1"/>
    <col min="10247" max="10247" width="11.875" style="1" bestFit="1" customWidth="1"/>
    <col min="10248" max="10253" width="9" style="1"/>
    <col min="10254" max="10254" width="8" style="1" customWidth="1"/>
    <col min="10255" max="10268" width="0" style="1" hidden="1" customWidth="1"/>
    <col min="10269" max="10270" width="10" style="1" customWidth="1"/>
    <col min="10271" max="10271" width="10" style="1" bestFit="1" customWidth="1"/>
    <col min="10272" max="10272" width="10.875" style="1" customWidth="1"/>
    <col min="10273" max="10273" width="8" style="1" customWidth="1"/>
    <col min="10274" max="10274" width="6.5" style="1" customWidth="1"/>
    <col min="10275" max="10275" width="8" style="1" customWidth="1"/>
    <col min="10276" max="10276" width="8.625" style="1" bestFit="1" customWidth="1"/>
    <col min="10277" max="10277" width="13.625" style="1" bestFit="1" customWidth="1"/>
    <col min="10278" max="10280" width="10.25" style="1" bestFit="1" customWidth="1"/>
    <col min="10281" max="10499" width="9" style="1"/>
    <col min="10500" max="10500" width="31.375" style="1" customWidth="1"/>
    <col min="10501" max="10502" width="9" style="1"/>
    <col min="10503" max="10503" width="11.875" style="1" bestFit="1" customWidth="1"/>
    <col min="10504" max="10509" width="9" style="1"/>
    <col min="10510" max="10510" width="8" style="1" customWidth="1"/>
    <col min="10511" max="10524" width="0" style="1" hidden="1" customWidth="1"/>
    <col min="10525" max="10526" width="10" style="1" customWidth="1"/>
    <col min="10527" max="10527" width="10" style="1" bestFit="1" customWidth="1"/>
    <col min="10528" max="10528" width="10.875" style="1" customWidth="1"/>
    <col min="10529" max="10529" width="8" style="1" customWidth="1"/>
    <col min="10530" max="10530" width="6.5" style="1" customWidth="1"/>
    <col min="10531" max="10531" width="8" style="1" customWidth="1"/>
    <col min="10532" max="10532" width="8.625" style="1" bestFit="1" customWidth="1"/>
    <col min="10533" max="10533" width="13.625" style="1" bestFit="1" customWidth="1"/>
    <col min="10534" max="10536" width="10.25" style="1" bestFit="1" customWidth="1"/>
    <col min="10537" max="10755" width="9" style="1"/>
    <col min="10756" max="10756" width="31.375" style="1" customWidth="1"/>
    <col min="10757" max="10758" width="9" style="1"/>
    <col min="10759" max="10759" width="11.875" style="1" bestFit="1" customWidth="1"/>
    <col min="10760" max="10765" width="9" style="1"/>
    <col min="10766" max="10766" width="8" style="1" customWidth="1"/>
    <col min="10767" max="10780" width="0" style="1" hidden="1" customWidth="1"/>
    <col min="10781" max="10782" width="10" style="1" customWidth="1"/>
    <col min="10783" max="10783" width="10" style="1" bestFit="1" customWidth="1"/>
    <col min="10784" max="10784" width="10.875" style="1" customWidth="1"/>
    <col min="10785" max="10785" width="8" style="1" customWidth="1"/>
    <col min="10786" max="10786" width="6.5" style="1" customWidth="1"/>
    <col min="10787" max="10787" width="8" style="1" customWidth="1"/>
    <col min="10788" max="10788" width="8.625" style="1" bestFit="1" customWidth="1"/>
    <col min="10789" max="10789" width="13.625" style="1" bestFit="1" customWidth="1"/>
    <col min="10790" max="10792" width="10.25" style="1" bestFit="1" customWidth="1"/>
    <col min="10793" max="11011" width="9" style="1"/>
    <col min="11012" max="11012" width="31.375" style="1" customWidth="1"/>
    <col min="11013" max="11014" width="9" style="1"/>
    <col min="11015" max="11015" width="11.875" style="1" bestFit="1" customWidth="1"/>
    <col min="11016" max="11021" width="9" style="1"/>
    <col min="11022" max="11022" width="8" style="1" customWidth="1"/>
    <col min="11023" max="11036" width="0" style="1" hidden="1" customWidth="1"/>
    <col min="11037" max="11038" width="10" style="1" customWidth="1"/>
    <col min="11039" max="11039" width="10" style="1" bestFit="1" customWidth="1"/>
    <col min="11040" max="11040" width="10.875" style="1" customWidth="1"/>
    <col min="11041" max="11041" width="8" style="1" customWidth="1"/>
    <col min="11042" max="11042" width="6.5" style="1" customWidth="1"/>
    <col min="11043" max="11043" width="8" style="1" customWidth="1"/>
    <col min="11044" max="11044" width="8.625" style="1" bestFit="1" customWidth="1"/>
    <col min="11045" max="11045" width="13.625" style="1" bestFit="1" customWidth="1"/>
    <col min="11046" max="11048" width="10.25" style="1" bestFit="1" customWidth="1"/>
    <col min="11049" max="11267" width="9" style="1"/>
    <col min="11268" max="11268" width="31.375" style="1" customWidth="1"/>
    <col min="11269" max="11270" width="9" style="1"/>
    <col min="11271" max="11271" width="11.875" style="1" bestFit="1" customWidth="1"/>
    <col min="11272" max="11277" width="9" style="1"/>
    <col min="11278" max="11278" width="8" style="1" customWidth="1"/>
    <col min="11279" max="11292" width="0" style="1" hidden="1" customWidth="1"/>
    <col min="11293" max="11294" width="10" style="1" customWidth="1"/>
    <col min="11295" max="11295" width="10" style="1" bestFit="1" customWidth="1"/>
    <col min="11296" max="11296" width="10.875" style="1" customWidth="1"/>
    <col min="11297" max="11297" width="8" style="1" customWidth="1"/>
    <col min="11298" max="11298" width="6.5" style="1" customWidth="1"/>
    <col min="11299" max="11299" width="8" style="1" customWidth="1"/>
    <col min="11300" max="11300" width="8.625" style="1" bestFit="1" customWidth="1"/>
    <col min="11301" max="11301" width="13.625" style="1" bestFit="1" customWidth="1"/>
    <col min="11302" max="11304" width="10.25" style="1" bestFit="1" customWidth="1"/>
    <col min="11305" max="11523" width="9" style="1"/>
    <col min="11524" max="11524" width="31.375" style="1" customWidth="1"/>
    <col min="11525" max="11526" width="9" style="1"/>
    <col min="11527" max="11527" width="11.875" style="1" bestFit="1" customWidth="1"/>
    <col min="11528" max="11533" width="9" style="1"/>
    <col min="11534" max="11534" width="8" style="1" customWidth="1"/>
    <col min="11535" max="11548" width="0" style="1" hidden="1" customWidth="1"/>
    <col min="11549" max="11550" width="10" style="1" customWidth="1"/>
    <col min="11551" max="11551" width="10" style="1" bestFit="1" customWidth="1"/>
    <col min="11552" max="11552" width="10.875" style="1" customWidth="1"/>
    <col min="11553" max="11553" width="8" style="1" customWidth="1"/>
    <col min="11554" max="11554" width="6.5" style="1" customWidth="1"/>
    <col min="11555" max="11555" width="8" style="1" customWidth="1"/>
    <col min="11556" max="11556" width="8.625" style="1" bestFit="1" customWidth="1"/>
    <col min="11557" max="11557" width="13.625" style="1" bestFit="1" customWidth="1"/>
    <col min="11558" max="11560" width="10.25" style="1" bestFit="1" customWidth="1"/>
    <col min="11561" max="11779" width="9" style="1"/>
    <col min="11780" max="11780" width="31.375" style="1" customWidth="1"/>
    <col min="11781" max="11782" width="9" style="1"/>
    <col min="11783" max="11783" width="11.875" style="1" bestFit="1" customWidth="1"/>
    <col min="11784" max="11789" width="9" style="1"/>
    <col min="11790" max="11790" width="8" style="1" customWidth="1"/>
    <col min="11791" max="11804" width="0" style="1" hidden="1" customWidth="1"/>
    <col min="11805" max="11806" width="10" style="1" customWidth="1"/>
    <col min="11807" max="11807" width="10" style="1" bestFit="1" customWidth="1"/>
    <col min="11808" max="11808" width="10.875" style="1" customWidth="1"/>
    <col min="11809" max="11809" width="8" style="1" customWidth="1"/>
    <col min="11810" max="11810" width="6.5" style="1" customWidth="1"/>
    <col min="11811" max="11811" width="8" style="1" customWidth="1"/>
    <col min="11812" max="11812" width="8.625" style="1" bestFit="1" customWidth="1"/>
    <col min="11813" max="11813" width="13.625" style="1" bestFit="1" customWidth="1"/>
    <col min="11814" max="11816" width="10.25" style="1" bestFit="1" customWidth="1"/>
    <col min="11817" max="12035" width="9" style="1"/>
    <col min="12036" max="12036" width="31.375" style="1" customWidth="1"/>
    <col min="12037" max="12038" width="9" style="1"/>
    <col min="12039" max="12039" width="11.875" style="1" bestFit="1" customWidth="1"/>
    <col min="12040" max="12045" width="9" style="1"/>
    <col min="12046" max="12046" width="8" style="1" customWidth="1"/>
    <col min="12047" max="12060" width="0" style="1" hidden="1" customWidth="1"/>
    <col min="12061" max="12062" width="10" style="1" customWidth="1"/>
    <col min="12063" max="12063" width="10" style="1" bestFit="1" customWidth="1"/>
    <col min="12064" max="12064" width="10.875" style="1" customWidth="1"/>
    <col min="12065" max="12065" width="8" style="1" customWidth="1"/>
    <col min="12066" max="12066" width="6.5" style="1" customWidth="1"/>
    <col min="12067" max="12067" width="8" style="1" customWidth="1"/>
    <col min="12068" max="12068" width="8.625" style="1" bestFit="1" customWidth="1"/>
    <col min="12069" max="12069" width="13.625" style="1" bestFit="1" customWidth="1"/>
    <col min="12070" max="12072" width="10.25" style="1" bestFit="1" customWidth="1"/>
    <col min="12073" max="12291" width="9" style="1"/>
    <col min="12292" max="12292" width="31.375" style="1" customWidth="1"/>
    <col min="12293" max="12294" width="9" style="1"/>
    <col min="12295" max="12295" width="11.875" style="1" bestFit="1" customWidth="1"/>
    <col min="12296" max="12301" width="9" style="1"/>
    <col min="12302" max="12302" width="8" style="1" customWidth="1"/>
    <col min="12303" max="12316" width="0" style="1" hidden="1" customWidth="1"/>
    <col min="12317" max="12318" width="10" style="1" customWidth="1"/>
    <col min="12319" max="12319" width="10" style="1" bestFit="1" customWidth="1"/>
    <col min="12320" max="12320" width="10.875" style="1" customWidth="1"/>
    <col min="12321" max="12321" width="8" style="1" customWidth="1"/>
    <col min="12322" max="12322" width="6.5" style="1" customWidth="1"/>
    <col min="12323" max="12323" width="8" style="1" customWidth="1"/>
    <col min="12324" max="12324" width="8.625" style="1" bestFit="1" customWidth="1"/>
    <col min="12325" max="12325" width="13.625" style="1" bestFit="1" customWidth="1"/>
    <col min="12326" max="12328" width="10.25" style="1" bestFit="1" customWidth="1"/>
    <col min="12329" max="12547" width="9" style="1"/>
    <col min="12548" max="12548" width="31.375" style="1" customWidth="1"/>
    <col min="12549" max="12550" width="9" style="1"/>
    <col min="12551" max="12551" width="11.875" style="1" bestFit="1" customWidth="1"/>
    <col min="12552" max="12557" width="9" style="1"/>
    <col min="12558" max="12558" width="8" style="1" customWidth="1"/>
    <col min="12559" max="12572" width="0" style="1" hidden="1" customWidth="1"/>
    <col min="12573" max="12574" width="10" style="1" customWidth="1"/>
    <col min="12575" max="12575" width="10" style="1" bestFit="1" customWidth="1"/>
    <col min="12576" max="12576" width="10.875" style="1" customWidth="1"/>
    <col min="12577" max="12577" width="8" style="1" customWidth="1"/>
    <col min="12578" max="12578" width="6.5" style="1" customWidth="1"/>
    <col min="12579" max="12579" width="8" style="1" customWidth="1"/>
    <col min="12580" max="12580" width="8.625" style="1" bestFit="1" customWidth="1"/>
    <col min="12581" max="12581" width="13.625" style="1" bestFit="1" customWidth="1"/>
    <col min="12582" max="12584" width="10.25" style="1" bestFit="1" customWidth="1"/>
    <col min="12585" max="12803" width="9" style="1"/>
    <col min="12804" max="12804" width="31.375" style="1" customWidth="1"/>
    <col min="12805" max="12806" width="9" style="1"/>
    <col min="12807" max="12807" width="11.875" style="1" bestFit="1" customWidth="1"/>
    <col min="12808" max="12813" width="9" style="1"/>
    <col min="12814" max="12814" width="8" style="1" customWidth="1"/>
    <col min="12815" max="12828" width="0" style="1" hidden="1" customWidth="1"/>
    <col min="12829" max="12830" width="10" style="1" customWidth="1"/>
    <col min="12831" max="12831" width="10" style="1" bestFit="1" customWidth="1"/>
    <col min="12832" max="12832" width="10.875" style="1" customWidth="1"/>
    <col min="12833" max="12833" width="8" style="1" customWidth="1"/>
    <col min="12834" max="12834" width="6.5" style="1" customWidth="1"/>
    <col min="12835" max="12835" width="8" style="1" customWidth="1"/>
    <col min="12836" max="12836" width="8.625" style="1" bestFit="1" customWidth="1"/>
    <col min="12837" max="12837" width="13.625" style="1" bestFit="1" customWidth="1"/>
    <col min="12838" max="12840" width="10.25" style="1" bestFit="1" customWidth="1"/>
    <col min="12841" max="13059" width="9" style="1"/>
    <col min="13060" max="13060" width="31.375" style="1" customWidth="1"/>
    <col min="13061" max="13062" width="9" style="1"/>
    <col min="13063" max="13063" width="11.875" style="1" bestFit="1" customWidth="1"/>
    <col min="13064" max="13069" width="9" style="1"/>
    <col min="13070" max="13070" width="8" style="1" customWidth="1"/>
    <col min="13071" max="13084" width="0" style="1" hidden="1" customWidth="1"/>
    <col min="13085" max="13086" width="10" style="1" customWidth="1"/>
    <col min="13087" max="13087" width="10" style="1" bestFit="1" customWidth="1"/>
    <col min="13088" max="13088" width="10.875" style="1" customWidth="1"/>
    <col min="13089" max="13089" width="8" style="1" customWidth="1"/>
    <col min="13090" max="13090" width="6.5" style="1" customWidth="1"/>
    <col min="13091" max="13091" width="8" style="1" customWidth="1"/>
    <col min="13092" max="13092" width="8.625" style="1" bestFit="1" customWidth="1"/>
    <col min="13093" max="13093" width="13.625" style="1" bestFit="1" customWidth="1"/>
    <col min="13094" max="13096" width="10.25" style="1" bestFit="1" customWidth="1"/>
    <col min="13097" max="13315" width="9" style="1"/>
    <col min="13316" max="13316" width="31.375" style="1" customWidth="1"/>
    <col min="13317" max="13318" width="9" style="1"/>
    <col min="13319" max="13319" width="11.875" style="1" bestFit="1" customWidth="1"/>
    <col min="13320" max="13325" width="9" style="1"/>
    <col min="13326" max="13326" width="8" style="1" customWidth="1"/>
    <col min="13327" max="13340" width="0" style="1" hidden="1" customWidth="1"/>
    <col min="13341" max="13342" width="10" style="1" customWidth="1"/>
    <col min="13343" max="13343" width="10" style="1" bestFit="1" customWidth="1"/>
    <col min="13344" max="13344" width="10.875" style="1" customWidth="1"/>
    <col min="13345" max="13345" width="8" style="1" customWidth="1"/>
    <col min="13346" max="13346" width="6.5" style="1" customWidth="1"/>
    <col min="13347" max="13347" width="8" style="1" customWidth="1"/>
    <col min="13348" max="13348" width="8.625" style="1" bestFit="1" customWidth="1"/>
    <col min="13349" max="13349" width="13.625" style="1" bestFit="1" customWidth="1"/>
    <col min="13350" max="13352" width="10.25" style="1" bestFit="1" customWidth="1"/>
    <col min="13353" max="13571" width="9" style="1"/>
    <col min="13572" max="13572" width="31.375" style="1" customWidth="1"/>
    <col min="13573" max="13574" width="9" style="1"/>
    <col min="13575" max="13575" width="11.875" style="1" bestFit="1" customWidth="1"/>
    <col min="13576" max="13581" width="9" style="1"/>
    <col min="13582" max="13582" width="8" style="1" customWidth="1"/>
    <col min="13583" max="13596" width="0" style="1" hidden="1" customWidth="1"/>
    <col min="13597" max="13598" width="10" style="1" customWidth="1"/>
    <col min="13599" max="13599" width="10" style="1" bestFit="1" customWidth="1"/>
    <col min="13600" max="13600" width="10.875" style="1" customWidth="1"/>
    <col min="13601" max="13601" width="8" style="1" customWidth="1"/>
    <col min="13602" max="13602" width="6.5" style="1" customWidth="1"/>
    <col min="13603" max="13603" width="8" style="1" customWidth="1"/>
    <col min="13604" max="13604" width="8.625" style="1" bestFit="1" customWidth="1"/>
    <col min="13605" max="13605" width="13.625" style="1" bestFit="1" customWidth="1"/>
    <col min="13606" max="13608" width="10.25" style="1" bestFit="1" customWidth="1"/>
    <col min="13609" max="13827" width="9" style="1"/>
    <col min="13828" max="13828" width="31.375" style="1" customWidth="1"/>
    <col min="13829" max="13830" width="9" style="1"/>
    <col min="13831" max="13831" width="11.875" style="1" bestFit="1" customWidth="1"/>
    <col min="13832" max="13837" width="9" style="1"/>
    <col min="13838" max="13838" width="8" style="1" customWidth="1"/>
    <col min="13839" max="13852" width="0" style="1" hidden="1" customWidth="1"/>
    <col min="13853" max="13854" width="10" style="1" customWidth="1"/>
    <col min="13855" max="13855" width="10" style="1" bestFit="1" customWidth="1"/>
    <col min="13856" max="13856" width="10.875" style="1" customWidth="1"/>
    <col min="13857" max="13857" width="8" style="1" customWidth="1"/>
    <col min="13858" max="13858" width="6.5" style="1" customWidth="1"/>
    <col min="13859" max="13859" width="8" style="1" customWidth="1"/>
    <col min="13860" max="13860" width="8.625" style="1" bestFit="1" customWidth="1"/>
    <col min="13861" max="13861" width="13.625" style="1" bestFit="1" customWidth="1"/>
    <col min="13862" max="13864" width="10.25" style="1" bestFit="1" customWidth="1"/>
    <col min="13865" max="14083" width="9" style="1"/>
    <col min="14084" max="14084" width="31.375" style="1" customWidth="1"/>
    <col min="14085" max="14086" width="9" style="1"/>
    <col min="14087" max="14087" width="11.875" style="1" bestFit="1" customWidth="1"/>
    <col min="14088" max="14093" width="9" style="1"/>
    <col min="14094" max="14094" width="8" style="1" customWidth="1"/>
    <col min="14095" max="14108" width="0" style="1" hidden="1" customWidth="1"/>
    <col min="14109" max="14110" width="10" style="1" customWidth="1"/>
    <col min="14111" max="14111" width="10" style="1" bestFit="1" customWidth="1"/>
    <col min="14112" max="14112" width="10.875" style="1" customWidth="1"/>
    <col min="14113" max="14113" width="8" style="1" customWidth="1"/>
    <col min="14114" max="14114" width="6.5" style="1" customWidth="1"/>
    <col min="14115" max="14115" width="8" style="1" customWidth="1"/>
    <col min="14116" max="14116" width="8.625" style="1" bestFit="1" customWidth="1"/>
    <col min="14117" max="14117" width="13.625" style="1" bestFit="1" customWidth="1"/>
    <col min="14118" max="14120" width="10.25" style="1" bestFit="1" customWidth="1"/>
    <col min="14121" max="14339" width="9" style="1"/>
    <col min="14340" max="14340" width="31.375" style="1" customWidth="1"/>
    <col min="14341" max="14342" width="9" style="1"/>
    <col min="14343" max="14343" width="11.875" style="1" bestFit="1" customWidth="1"/>
    <col min="14344" max="14349" width="9" style="1"/>
    <col min="14350" max="14350" width="8" style="1" customWidth="1"/>
    <col min="14351" max="14364" width="0" style="1" hidden="1" customWidth="1"/>
    <col min="14365" max="14366" width="10" style="1" customWidth="1"/>
    <col min="14367" max="14367" width="10" style="1" bestFit="1" customWidth="1"/>
    <col min="14368" max="14368" width="10.875" style="1" customWidth="1"/>
    <col min="14369" max="14369" width="8" style="1" customWidth="1"/>
    <col min="14370" max="14370" width="6.5" style="1" customWidth="1"/>
    <col min="14371" max="14371" width="8" style="1" customWidth="1"/>
    <col min="14372" max="14372" width="8.625" style="1" bestFit="1" customWidth="1"/>
    <col min="14373" max="14373" width="13.625" style="1" bestFit="1" customWidth="1"/>
    <col min="14374" max="14376" width="10.25" style="1" bestFit="1" customWidth="1"/>
    <col min="14377" max="14595" width="9" style="1"/>
    <col min="14596" max="14596" width="31.375" style="1" customWidth="1"/>
    <col min="14597" max="14598" width="9" style="1"/>
    <col min="14599" max="14599" width="11.875" style="1" bestFit="1" customWidth="1"/>
    <col min="14600" max="14605" width="9" style="1"/>
    <col min="14606" max="14606" width="8" style="1" customWidth="1"/>
    <col min="14607" max="14620" width="0" style="1" hidden="1" customWidth="1"/>
    <col min="14621" max="14622" width="10" style="1" customWidth="1"/>
    <col min="14623" max="14623" width="10" style="1" bestFit="1" customWidth="1"/>
    <col min="14624" max="14624" width="10.875" style="1" customWidth="1"/>
    <col min="14625" max="14625" width="8" style="1" customWidth="1"/>
    <col min="14626" max="14626" width="6.5" style="1" customWidth="1"/>
    <col min="14627" max="14627" width="8" style="1" customWidth="1"/>
    <col min="14628" max="14628" width="8.625" style="1" bestFit="1" customWidth="1"/>
    <col min="14629" max="14629" width="13.625" style="1" bestFit="1" customWidth="1"/>
    <col min="14630" max="14632" width="10.25" style="1" bestFit="1" customWidth="1"/>
    <col min="14633" max="14851" width="9" style="1"/>
    <col min="14852" max="14852" width="31.375" style="1" customWidth="1"/>
    <col min="14853" max="14854" width="9" style="1"/>
    <col min="14855" max="14855" width="11.875" style="1" bestFit="1" customWidth="1"/>
    <col min="14856" max="14861" width="9" style="1"/>
    <col min="14862" max="14862" width="8" style="1" customWidth="1"/>
    <col min="14863" max="14876" width="0" style="1" hidden="1" customWidth="1"/>
    <col min="14877" max="14878" width="10" style="1" customWidth="1"/>
    <col min="14879" max="14879" width="10" style="1" bestFit="1" customWidth="1"/>
    <col min="14880" max="14880" width="10.875" style="1" customWidth="1"/>
    <col min="14881" max="14881" width="8" style="1" customWidth="1"/>
    <col min="14882" max="14882" width="6.5" style="1" customWidth="1"/>
    <col min="14883" max="14883" width="8" style="1" customWidth="1"/>
    <col min="14884" max="14884" width="8.625" style="1" bestFit="1" customWidth="1"/>
    <col min="14885" max="14885" width="13.625" style="1" bestFit="1" customWidth="1"/>
    <col min="14886" max="14888" width="10.25" style="1" bestFit="1" customWidth="1"/>
    <col min="14889" max="15107" width="9" style="1"/>
    <col min="15108" max="15108" width="31.375" style="1" customWidth="1"/>
    <col min="15109" max="15110" width="9" style="1"/>
    <col min="15111" max="15111" width="11.875" style="1" bestFit="1" customWidth="1"/>
    <col min="15112" max="15117" width="9" style="1"/>
    <col min="15118" max="15118" width="8" style="1" customWidth="1"/>
    <col min="15119" max="15132" width="0" style="1" hidden="1" customWidth="1"/>
    <col min="15133" max="15134" width="10" style="1" customWidth="1"/>
    <col min="15135" max="15135" width="10" style="1" bestFit="1" customWidth="1"/>
    <col min="15136" max="15136" width="10.875" style="1" customWidth="1"/>
    <col min="15137" max="15137" width="8" style="1" customWidth="1"/>
    <col min="15138" max="15138" width="6.5" style="1" customWidth="1"/>
    <col min="15139" max="15139" width="8" style="1" customWidth="1"/>
    <col min="15140" max="15140" width="8.625" style="1" bestFit="1" customWidth="1"/>
    <col min="15141" max="15141" width="13.625" style="1" bestFit="1" customWidth="1"/>
    <col min="15142" max="15144" width="10.25" style="1" bestFit="1" customWidth="1"/>
    <col min="15145" max="15363" width="9" style="1"/>
    <col min="15364" max="15364" width="31.375" style="1" customWidth="1"/>
    <col min="15365" max="15366" width="9" style="1"/>
    <col min="15367" max="15367" width="11.875" style="1" bestFit="1" customWidth="1"/>
    <col min="15368" max="15373" width="9" style="1"/>
    <col min="15374" max="15374" width="8" style="1" customWidth="1"/>
    <col min="15375" max="15388" width="0" style="1" hidden="1" customWidth="1"/>
    <col min="15389" max="15390" width="10" style="1" customWidth="1"/>
    <col min="15391" max="15391" width="10" style="1" bestFit="1" customWidth="1"/>
    <col min="15392" max="15392" width="10.875" style="1" customWidth="1"/>
    <col min="15393" max="15393" width="8" style="1" customWidth="1"/>
    <col min="15394" max="15394" width="6.5" style="1" customWidth="1"/>
    <col min="15395" max="15395" width="8" style="1" customWidth="1"/>
    <col min="15396" max="15396" width="8.625" style="1" bestFit="1" customWidth="1"/>
    <col min="15397" max="15397" width="13.625" style="1" bestFit="1" customWidth="1"/>
    <col min="15398" max="15400" width="10.25" style="1" bestFit="1" customWidth="1"/>
    <col min="15401" max="15619" width="9" style="1"/>
    <col min="15620" max="15620" width="31.375" style="1" customWidth="1"/>
    <col min="15621" max="15622" width="9" style="1"/>
    <col min="15623" max="15623" width="11.875" style="1" bestFit="1" customWidth="1"/>
    <col min="15624" max="15629" width="9" style="1"/>
    <col min="15630" max="15630" width="8" style="1" customWidth="1"/>
    <col min="15631" max="15644" width="0" style="1" hidden="1" customWidth="1"/>
    <col min="15645" max="15646" width="10" style="1" customWidth="1"/>
    <col min="15647" max="15647" width="10" style="1" bestFit="1" customWidth="1"/>
    <col min="15648" max="15648" width="10.875" style="1" customWidth="1"/>
    <col min="15649" max="15649" width="8" style="1" customWidth="1"/>
    <col min="15650" max="15650" width="6.5" style="1" customWidth="1"/>
    <col min="15651" max="15651" width="8" style="1" customWidth="1"/>
    <col min="15652" max="15652" width="8.625" style="1" bestFit="1" customWidth="1"/>
    <col min="15653" max="15653" width="13.625" style="1" bestFit="1" customWidth="1"/>
    <col min="15654" max="15656" width="10.25" style="1" bestFit="1" customWidth="1"/>
    <col min="15657" max="15875" width="9" style="1"/>
    <col min="15876" max="15876" width="31.375" style="1" customWidth="1"/>
    <col min="15877" max="15878" width="9" style="1"/>
    <col min="15879" max="15879" width="11.875" style="1" bestFit="1" customWidth="1"/>
    <col min="15880" max="15885" width="9" style="1"/>
    <col min="15886" max="15886" width="8" style="1" customWidth="1"/>
    <col min="15887" max="15900" width="0" style="1" hidden="1" customWidth="1"/>
    <col min="15901" max="15902" width="10" style="1" customWidth="1"/>
    <col min="15903" max="15903" width="10" style="1" bestFit="1" customWidth="1"/>
    <col min="15904" max="15904" width="10.875" style="1" customWidth="1"/>
    <col min="15905" max="15905" width="8" style="1" customWidth="1"/>
    <col min="15906" max="15906" width="6.5" style="1" customWidth="1"/>
    <col min="15907" max="15907" width="8" style="1" customWidth="1"/>
    <col min="15908" max="15908" width="8.625" style="1" bestFit="1" customWidth="1"/>
    <col min="15909" max="15909" width="13.625" style="1" bestFit="1" customWidth="1"/>
    <col min="15910" max="15912" width="10.25" style="1" bestFit="1" customWidth="1"/>
    <col min="15913" max="16131" width="9" style="1"/>
    <col min="16132" max="16132" width="31.375" style="1" customWidth="1"/>
    <col min="16133" max="16134" width="9" style="1"/>
    <col min="16135" max="16135" width="11.875" style="1" bestFit="1" customWidth="1"/>
    <col min="16136" max="16141" width="9" style="1"/>
    <col min="16142" max="16142" width="8" style="1" customWidth="1"/>
    <col min="16143" max="16156" width="0" style="1" hidden="1" customWidth="1"/>
    <col min="16157" max="16158" width="10" style="1" customWidth="1"/>
    <col min="16159" max="16159" width="10" style="1" bestFit="1" customWidth="1"/>
    <col min="16160" max="16160" width="10.875" style="1" customWidth="1"/>
    <col min="16161" max="16161" width="8" style="1" customWidth="1"/>
    <col min="16162" max="16162" width="6.5" style="1" customWidth="1"/>
    <col min="16163" max="16163" width="8" style="1" customWidth="1"/>
    <col min="16164" max="16164" width="8.625" style="1" bestFit="1" customWidth="1"/>
    <col min="16165" max="16165" width="13.625" style="1" bestFit="1" customWidth="1"/>
    <col min="16166" max="16168" width="10.25" style="1" bestFit="1" customWidth="1"/>
    <col min="16169" max="16384" width="9" style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3" t="s">
        <v>36</v>
      </c>
      <c r="AL1" s="4" t="s">
        <v>37</v>
      </c>
      <c r="AM1" s="4" t="s">
        <v>38</v>
      </c>
      <c r="AN1" s="4" t="s">
        <v>39</v>
      </c>
      <c r="AP1" s="5" t="s">
        <v>40</v>
      </c>
      <c r="AQ1" s="5"/>
    </row>
    <row r="2" spans="1:4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45</v>
      </c>
      <c r="I2" s="1" t="s">
        <v>45</v>
      </c>
      <c r="J2" s="1" t="s">
        <v>48</v>
      </c>
      <c r="K2" s="1">
        <v>96</v>
      </c>
      <c r="L2" s="1">
        <v>0</v>
      </c>
      <c r="M2" s="1">
        <v>0</v>
      </c>
      <c r="N2" s="1">
        <v>96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 t="s">
        <v>49</v>
      </c>
      <c r="AA2" s="1" t="s">
        <v>49</v>
      </c>
      <c r="AB2" s="1" t="s">
        <v>49</v>
      </c>
      <c r="AC2" s="1" t="s">
        <v>50</v>
      </c>
      <c r="AD2" s="1" t="s">
        <v>51</v>
      </c>
      <c r="AE2" s="1" t="s">
        <v>50</v>
      </c>
      <c r="AF2" s="1" t="s">
        <v>52</v>
      </c>
      <c r="AG2" s="1" t="s">
        <v>53</v>
      </c>
      <c r="AH2" s="1" t="s">
        <v>49</v>
      </c>
      <c r="AI2" s="1" t="s">
        <v>54</v>
      </c>
      <c r="AJ2" s="1">
        <v>1</v>
      </c>
      <c r="AK2" s="1" t="str">
        <f t="shared" ref="AK2:AK65" si="0">IF(AJ2&gt;$AP$2,$AQ$2,IF(AJ2&gt;$AP$3,$AQ$3,IF(AJ2&gt;$AP$4,$AQ$4,$AQ$5)))</f>
        <v xml:space="preserve"> =&lt;90</v>
      </c>
      <c r="AL2" s="1" t="str">
        <f>VLOOKUP(C:C,[1]基础信息!B$1:D$65536,3,0)</f>
        <v>Jug</v>
      </c>
      <c r="AM2" s="1" t="str">
        <f>VLOOKUP(C:C,[1]基础信息!B$1:E$65536,4,0)</f>
        <v>Marella XL</v>
      </c>
      <c r="AN2" s="1" t="str">
        <f>VLOOKUP(C:C,[1]基础信息!B$1:F$65536,5,0)</f>
        <v>Black</v>
      </c>
      <c r="AP2" s="6">
        <v>360</v>
      </c>
      <c r="AQ2" s="6" t="s">
        <v>55</v>
      </c>
    </row>
    <row r="3" spans="1:43">
      <c r="A3" s="1" t="s">
        <v>41</v>
      </c>
      <c r="B3" s="1" t="s">
        <v>42</v>
      </c>
      <c r="C3" s="1" t="s">
        <v>56</v>
      </c>
      <c r="D3" s="1" t="s">
        <v>57</v>
      </c>
      <c r="E3" s="1" t="s">
        <v>45</v>
      </c>
      <c r="F3" s="1" t="s">
        <v>58</v>
      </c>
      <c r="G3" s="1" t="s">
        <v>59</v>
      </c>
      <c r="H3" s="1" t="s">
        <v>60</v>
      </c>
      <c r="I3" s="1" t="s">
        <v>49</v>
      </c>
      <c r="J3" s="1" t="s">
        <v>48</v>
      </c>
      <c r="K3" s="1">
        <v>31</v>
      </c>
      <c r="L3" s="1">
        <v>0</v>
      </c>
      <c r="M3" s="1">
        <v>0</v>
      </c>
      <c r="N3" s="1">
        <v>31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 t="s">
        <v>49</v>
      </c>
      <c r="AA3" s="1" t="s">
        <v>49</v>
      </c>
      <c r="AB3" s="1" t="s">
        <v>49</v>
      </c>
      <c r="AC3" s="1" t="s">
        <v>61</v>
      </c>
      <c r="AD3" s="1" t="s">
        <v>62</v>
      </c>
      <c r="AE3" s="1" t="s">
        <v>61</v>
      </c>
      <c r="AF3" s="1" t="s">
        <v>63</v>
      </c>
      <c r="AG3" s="1" t="s">
        <v>53</v>
      </c>
      <c r="AH3" s="1" t="s">
        <v>49</v>
      </c>
      <c r="AI3" s="1" t="s">
        <v>54</v>
      </c>
      <c r="AJ3" s="1">
        <v>1</v>
      </c>
      <c r="AK3" s="1" t="str">
        <f t="shared" si="0"/>
        <v xml:space="preserve"> =&lt;90</v>
      </c>
      <c r="AL3" s="1" t="str">
        <f>VLOOKUP(C:C,[1]基础信息!B$1:D$65536,3,0)</f>
        <v>Jug</v>
      </c>
      <c r="AM3" s="1" t="str">
        <f>VLOOKUP(C:C,[1]基础信息!B$1:E$65536,4,0)</f>
        <v>Marella XL</v>
      </c>
      <c r="AN3" s="1" t="str">
        <f>VLOOKUP(C:C,[1]基础信息!B$1:F$65536,5,0)</f>
        <v>Blue</v>
      </c>
      <c r="AP3" s="6">
        <v>180</v>
      </c>
      <c r="AQ3" s="6" t="s">
        <v>64</v>
      </c>
    </row>
    <row r="4" spans="1:43">
      <c r="A4" s="1" t="s">
        <v>41</v>
      </c>
      <c r="B4" s="1" t="s">
        <v>42</v>
      </c>
      <c r="C4" s="1" t="s">
        <v>56</v>
      </c>
      <c r="D4" s="1" t="s">
        <v>57</v>
      </c>
      <c r="E4" s="1" t="s">
        <v>45</v>
      </c>
      <c r="F4" s="1" t="s">
        <v>58</v>
      </c>
      <c r="G4" s="1" t="s">
        <v>65</v>
      </c>
      <c r="H4" s="1" t="s">
        <v>66</v>
      </c>
      <c r="I4" s="1" t="s">
        <v>49</v>
      </c>
      <c r="J4" s="1" t="s">
        <v>48</v>
      </c>
      <c r="K4" s="1">
        <v>72</v>
      </c>
      <c r="L4" s="1">
        <v>0</v>
      </c>
      <c r="M4" s="1">
        <v>0</v>
      </c>
      <c r="N4" s="1">
        <v>72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 t="s">
        <v>49</v>
      </c>
      <c r="AA4" s="1" t="s">
        <v>49</v>
      </c>
      <c r="AB4" s="1" t="s">
        <v>49</v>
      </c>
      <c r="AC4" s="1" t="s">
        <v>61</v>
      </c>
      <c r="AD4" s="1" t="s">
        <v>62</v>
      </c>
      <c r="AE4" s="1" t="s">
        <v>61</v>
      </c>
      <c r="AF4" s="1" t="s">
        <v>63</v>
      </c>
      <c r="AG4" s="1" t="s">
        <v>53</v>
      </c>
      <c r="AH4" s="1" t="s">
        <v>49</v>
      </c>
      <c r="AI4" s="1" t="s">
        <v>54</v>
      </c>
      <c r="AJ4" s="1">
        <v>1</v>
      </c>
      <c r="AK4" s="1" t="str">
        <f t="shared" si="0"/>
        <v xml:space="preserve"> =&lt;90</v>
      </c>
      <c r="AL4" s="1" t="str">
        <f>VLOOKUP(C:C,[1]基础信息!B$1:D$65536,3,0)</f>
        <v>Jug</v>
      </c>
      <c r="AM4" s="1" t="str">
        <f>VLOOKUP(C:C,[1]基础信息!B$1:E$65536,4,0)</f>
        <v>Marella XL</v>
      </c>
      <c r="AN4" s="1" t="str">
        <f>VLOOKUP(C:C,[1]基础信息!B$1:F$65536,5,0)</f>
        <v>Blue</v>
      </c>
      <c r="AP4" s="6">
        <v>90</v>
      </c>
      <c r="AQ4" s="6" t="s">
        <v>67</v>
      </c>
    </row>
    <row r="5" spans="1:43">
      <c r="A5" s="1" t="s">
        <v>41</v>
      </c>
      <c r="B5" s="1" t="s">
        <v>42</v>
      </c>
      <c r="C5" s="1" t="s">
        <v>68</v>
      </c>
      <c r="D5" s="1" t="s">
        <v>69</v>
      </c>
      <c r="E5" s="1" t="s">
        <v>45</v>
      </c>
      <c r="F5" s="1" t="s">
        <v>70</v>
      </c>
      <c r="G5" s="1" t="s">
        <v>71</v>
      </c>
      <c r="H5" s="1" t="s">
        <v>72</v>
      </c>
      <c r="I5" s="1" t="s">
        <v>49</v>
      </c>
      <c r="J5" s="1" t="s">
        <v>48</v>
      </c>
      <c r="K5" s="1">
        <v>36</v>
      </c>
      <c r="L5" s="1">
        <v>0</v>
      </c>
      <c r="M5" s="1">
        <v>0</v>
      </c>
      <c r="N5" s="1">
        <v>36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 t="s">
        <v>49</v>
      </c>
      <c r="AA5" s="1" t="s">
        <v>49</v>
      </c>
      <c r="AB5" s="1" t="s">
        <v>49</v>
      </c>
      <c r="AC5" s="1" t="s">
        <v>73</v>
      </c>
      <c r="AD5" s="1" t="s">
        <v>74</v>
      </c>
      <c r="AE5" s="1" t="s">
        <v>73</v>
      </c>
      <c r="AF5" s="1" t="s">
        <v>75</v>
      </c>
      <c r="AG5" s="1" t="s">
        <v>76</v>
      </c>
      <c r="AH5" s="1" t="s">
        <v>49</v>
      </c>
      <c r="AI5" s="1" t="s">
        <v>54</v>
      </c>
      <c r="AJ5" s="1">
        <v>1</v>
      </c>
      <c r="AK5" s="1" t="str">
        <f t="shared" si="0"/>
        <v xml:space="preserve"> =&lt;90</v>
      </c>
      <c r="AL5" s="1" t="str">
        <f>VLOOKUP(C:C,[1]基础信息!B$1:D$65536,3,0)</f>
        <v>Hotcup</v>
      </c>
      <c r="AM5" s="1" t="str">
        <f>VLOOKUP(C:C,[1]基础信息!B$1:E$65536,4,0)</f>
        <v>Hotcup</v>
      </c>
      <c r="AN5" s="1" t="str">
        <f>VLOOKUP(C:C,[1]基础信息!B$1:F$65536,5,0)</f>
        <v xml:space="preserve"> Whi</v>
      </c>
      <c r="AP5" s="6"/>
      <c r="AQ5" s="7" t="s">
        <v>77</v>
      </c>
    </row>
    <row r="6" spans="1:43">
      <c r="A6" s="1" t="s">
        <v>41</v>
      </c>
      <c r="B6" s="1" t="s">
        <v>42</v>
      </c>
      <c r="C6" s="1" t="s">
        <v>68</v>
      </c>
      <c r="D6" s="1" t="s">
        <v>69</v>
      </c>
      <c r="E6" s="1" t="s">
        <v>45</v>
      </c>
      <c r="F6" s="1" t="s">
        <v>70</v>
      </c>
      <c r="G6" s="1" t="s">
        <v>78</v>
      </c>
      <c r="H6" s="1" t="s">
        <v>79</v>
      </c>
      <c r="I6" s="1" t="s">
        <v>49</v>
      </c>
      <c r="J6" s="1" t="s">
        <v>48</v>
      </c>
      <c r="K6" s="1">
        <v>36</v>
      </c>
      <c r="L6" s="1">
        <v>0</v>
      </c>
      <c r="M6" s="1">
        <v>0</v>
      </c>
      <c r="N6" s="1">
        <v>36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 t="s">
        <v>49</v>
      </c>
      <c r="AA6" s="1" t="s">
        <v>49</v>
      </c>
      <c r="AB6" s="1" t="s">
        <v>49</v>
      </c>
      <c r="AC6" s="1" t="s">
        <v>73</v>
      </c>
      <c r="AD6" s="1" t="s">
        <v>74</v>
      </c>
      <c r="AE6" s="1" t="s">
        <v>73</v>
      </c>
      <c r="AF6" s="1" t="s">
        <v>75</v>
      </c>
      <c r="AG6" s="1" t="s">
        <v>76</v>
      </c>
      <c r="AH6" s="1" t="s">
        <v>49</v>
      </c>
      <c r="AI6" s="1" t="s">
        <v>54</v>
      </c>
      <c r="AJ6" s="1">
        <v>1</v>
      </c>
      <c r="AK6" s="1" t="str">
        <f t="shared" si="0"/>
        <v xml:space="preserve"> =&lt;90</v>
      </c>
      <c r="AL6" s="1" t="str">
        <f>VLOOKUP(C:C,[1]基础信息!B$1:D$65536,3,0)</f>
        <v>Hotcup</v>
      </c>
      <c r="AM6" s="1" t="str">
        <f>VLOOKUP(C:C,[1]基础信息!B$1:E$65536,4,0)</f>
        <v>Hotcup</v>
      </c>
      <c r="AN6" s="1" t="str">
        <f>VLOOKUP(C:C,[1]基础信息!B$1:F$65536,5,0)</f>
        <v xml:space="preserve"> Whi</v>
      </c>
    </row>
    <row r="7" spans="1:43">
      <c r="A7" s="1" t="s">
        <v>41</v>
      </c>
      <c r="B7" s="1" t="s">
        <v>42</v>
      </c>
      <c r="C7" s="1" t="s">
        <v>68</v>
      </c>
      <c r="D7" s="1" t="s">
        <v>69</v>
      </c>
      <c r="E7" s="1" t="s">
        <v>45</v>
      </c>
      <c r="F7" s="1" t="s">
        <v>80</v>
      </c>
      <c r="G7" s="1" t="s">
        <v>81</v>
      </c>
      <c r="H7" s="1" t="s">
        <v>45</v>
      </c>
      <c r="I7" s="1" t="s">
        <v>49</v>
      </c>
      <c r="J7" s="1" t="s">
        <v>48</v>
      </c>
      <c r="K7" s="1">
        <v>36</v>
      </c>
      <c r="L7" s="1">
        <v>0</v>
      </c>
      <c r="M7" s="1">
        <v>0</v>
      </c>
      <c r="N7" s="1">
        <v>36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 t="s">
        <v>49</v>
      </c>
      <c r="AA7" s="1" t="s">
        <v>49</v>
      </c>
      <c r="AB7" s="1" t="s">
        <v>49</v>
      </c>
      <c r="AC7" s="1" t="s">
        <v>73</v>
      </c>
      <c r="AD7" s="1" t="s">
        <v>74</v>
      </c>
      <c r="AE7" s="1" t="s">
        <v>73</v>
      </c>
      <c r="AF7" s="1" t="s">
        <v>82</v>
      </c>
      <c r="AG7" s="1" t="s">
        <v>76</v>
      </c>
      <c r="AH7" s="1" t="s">
        <v>49</v>
      </c>
      <c r="AI7" s="1" t="s">
        <v>54</v>
      </c>
      <c r="AJ7" s="1">
        <v>1</v>
      </c>
      <c r="AK7" s="1" t="str">
        <f t="shared" si="0"/>
        <v xml:space="preserve"> =&lt;90</v>
      </c>
      <c r="AL7" s="1" t="str">
        <f>VLOOKUP(C:C,[1]基础信息!B$1:D$65536,3,0)</f>
        <v>Hotcup</v>
      </c>
      <c r="AM7" s="1" t="str">
        <f>VLOOKUP(C:C,[1]基础信息!B$1:E$65536,4,0)</f>
        <v>Hotcup</v>
      </c>
      <c r="AN7" s="1" t="str">
        <f>VLOOKUP(C:C,[1]基础信息!B$1:F$65536,5,0)</f>
        <v xml:space="preserve"> Whi</v>
      </c>
    </row>
    <row r="8" spans="1:43">
      <c r="A8" s="1" t="s">
        <v>41</v>
      </c>
      <c r="B8" s="1" t="s">
        <v>42</v>
      </c>
      <c r="C8" s="1" t="s">
        <v>83</v>
      </c>
      <c r="D8" s="1" t="s">
        <v>84</v>
      </c>
      <c r="E8" s="1" t="s">
        <v>45</v>
      </c>
      <c r="F8" s="1" t="s">
        <v>85</v>
      </c>
      <c r="G8" s="1" t="s">
        <v>86</v>
      </c>
      <c r="H8" s="1" t="s">
        <v>87</v>
      </c>
      <c r="I8" s="1" t="s">
        <v>49</v>
      </c>
      <c r="J8" s="1" t="s">
        <v>48</v>
      </c>
      <c r="K8" s="1">
        <v>96</v>
      </c>
      <c r="L8" s="1">
        <v>0</v>
      </c>
      <c r="M8" s="1">
        <v>0</v>
      </c>
      <c r="N8" s="1">
        <v>96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 t="s">
        <v>49</v>
      </c>
      <c r="AA8" s="1" t="s">
        <v>49</v>
      </c>
      <c r="AB8" s="1" t="s">
        <v>49</v>
      </c>
      <c r="AC8" s="1" t="s">
        <v>88</v>
      </c>
      <c r="AD8" s="1" t="s">
        <v>89</v>
      </c>
      <c r="AE8" s="1" t="s">
        <v>88</v>
      </c>
      <c r="AF8" s="1" t="s">
        <v>90</v>
      </c>
      <c r="AG8" s="1" t="s">
        <v>53</v>
      </c>
      <c r="AH8" s="1" t="s">
        <v>49</v>
      </c>
      <c r="AI8" s="1" t="s">
        <v>54</v>
      </c>
      <c r="AJ8" s="1">
        <v>1</v>
      </c>
      <c r="AK8" s="1" t="str">
        <f t="shared" si="0"/>
        <v xml:space="preserve"> =&lt;90</v>
      </c>
      <c r="AL8" s="1" t="str">
        <f>VLOOKUP(C:C,[1]基础信息!B$1:D$65536,3,0)</f>
        <v>Jug</v>
      </c>
      <c r="AM8" s="1" t="str">
        <f>VLOOKUP(C:C,[1]基础信息!B$1:E$65536,4,0)</f>
        <v>Mxplus</v>
      </c>
      <c r="AN8" s="1" t="str">
        <f>VLOOKUP(C:C,[1]基础信息!B$1:F$65536,5,0)</f>
        <v>Blue</v>
      </c>
    </row>
    <row r="9" spans="1:43">
      <c r="A9" s="1" t="s">
        <v>41</v>
      </c>
      <c r="B9" s="1" t="s">
        <v>42</v>
      </c>
      <c r="C9" s="1" t="s">
        <v>83</v>
      </c>
      <c r="D9" s="1" t="s">
        <v>84</v>
      </c>
      <c r="E9" s="1" t="s">
        <v>45</v>
      </c>
      <c r="F9" s="1" t="s">
        <v>85</v>
      </c>
      <c r="G9" s="1" t="s">
        <v>91</v>
      </c>
      <c r="H9" s="1" t="s">
        <v>92</v>
      </c>
      <c r="I9" s="1" t="s">
        <v>49</v>
      </c>
      <c r="J9" s="1" t="s">
        <v>48</v>
      </c>
      <c r="K9" s="1">
        <v>96</v>
      </c>
      <c r="L9" s="1">
        <v>0</v>
      </c>
      <c r="M9" s="1">
        <v>0</v>
      </c>
      <c r="N9" s="1">
        <v>96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 t="s">
        <v>49</v>
      </c>
      <c r="AA9" s="1" t="s">
        <v>49</v>
      </c>
      <c r="AB9" s="1" t="s">
        <v>49</v>
      </c>
      <c r="AC9" s="1" t="s">
        <v>88</v>
      </c>
      <c r="AD9" s="1" t="s">
        <v>89</v>
      </c>
      <c r="AE9" s="1" t="s">
        <v>88</v>
      </c>
      <c r="AF9" s="1" t="s">
        <v>90</v>
      </c>
      <c r="AG9" s="1" t="s">
        <v>53</v>
      </c>
      <c r="AH9" s="1" t="s">
        <v>49</v>
      </c>
      <c r="AI9" s="1" t="s">
        <v>54</v>
      </c>
      <c r="AJ9" s="1">
        <v>1</v>
      </c>
      <c r="AK9" s="1" t="str">
        <f t="shared" si="0"/>
        <v xml:space="preserve"> =&lt;90</v>
      </c>
      <c r="AL9" s="1" t="str">
        <f>VLOOKUP(C:C,[1]基础信息!B$1:D$65536,3,0)</f>
        <v>Jug</v>
      </c>
      <c r="AM9" s="1" t="str">
        <f>VLOOKUP(C:C,[1]基础信息!B$1:E$65536,4,0)</f>
        <v>Mxplus</v>
      </c>
      <c r="AN9" s="1" t="str">
        <f>VLOOKUP(C:C,[1]基础信息!B$1:F$65536,5,0)</f>
        <v>Blue</v>
      </c>
    </row>
    <row r="10" spans="1:43">
      <c r="A10" s="1" t="s">
        <v>41</v>
      </c>
      <c r="B10" s="1" t="s">
        <v>42</v>
      </c>
      <c r="C10" s="1" t="s">
        <v>93</v>
      </c>
      <c r="D10" s="1" t="s">
        <v>94</v>
      </c>
      <c r="E10" s="1" t="s">
        <v>45</v>
      </c>
      <c r="F10" s="1" t="s">
        <v>95</v>
      </c>
      <c r="G10" s="1" t="s">
        <v>96</v>
      </c>
      <c r="H10" s="1" t="s">
        <v>97</v>
      </c>
      <c r="I10" s="1" t="s">
        <v>49</v>
      </c>
      <c r="J10" s="1" t="s">
        <v>48</v>
      </c>
      <c r="K10" s="1">
        <v>20</v>
      </c>
      <c r="L10" s="1">
        <v>0</v>
      </c>
      <c r="M10" s="1">
        <v>0</v>
      </c>
      <c r="N10" s="1">
        <v>20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 t="s">
        <v>49</v>
      </c>
      <c r="AA10" s="1" t="s">
        <v>49</v>
      </c>
      <c r="AB10" s="1" t="s">
        <v>49</v>
      </c>
      <c r="AC10" s="1" t="s">
        <v>98</v>
      </c>
      <c r="AD10" s="1" t="s">
        <v>99</v>
      </c>
      <c r="AE10" s="1" t="s">
        <v>100</v>
      </c>
      <c r="AF10" s="1" t="s">
        <v>101</v>
      </c>
      <c r="AG10" s="1" t="s">
        <v>53</v>
      </c>
      <c r="AH10" s="1" t="s">
        <v>49</v>
      </c>
      <c r="AI10" s="1" t="s">
        <v>54</v>
      </c>
      <c r="AJ10" s="1">
        <v>1</v>
      </c>
      <c r="AK10" s="1" t="str">
        <f t="shared" si="0"/>
        <v xml:space="preserve"> =&lt;90</v>
      </c>
      <c r="AL10" s="1" t="str">
        <f>VLOOKUP(C:C,[1]基础信息!B$1:D$65536,3,0)</f>
        <v>UTS</v>
      </c>
      <c r="AM10" s="1" t="str">
        <f>VLOOKUP(C:C,[1]基础信息!B$1:E$65536,4,0)</f>
        <v>MyPure Pro</v>
      </c>
      <c r="AN10" s="1" t="str">
        <f>VLOOKUP(C:C,[1]基础信息!B$1:F$65536,5,0)</f>
        <v>Refill</v>
      </c>
    </row>
    <row r="11" spans="1:43">
      <c r="A11" s="1" t="s">
        <v>41</v>
      </c>
      <c r="B11" s="1" t="s">
        <v>42</v>
      </c>
      <c r="C11" s="1" t="s">
        <v>68</v>
      </c>
      <c r="D11" s="1" t="s">
        <v>69</v>
      </c>
      <c r="E11" s="1" t="s">
        <v>45</v>
      </c>
      <c r="F11" s="1" t="s">
        <v>70</v>
      </c>
      <c r="G11" s="1" t="s">
        <v>102</v>
      </c>
      <c r="H11" s="1" t="s">
        <v>103</v>
      </c>
      <c r="I11" s="1" t="s">
        <v>49</v>
      </c>
      <c r="J11" s="1" t="s">
        <v>48</v>
      </c>
      <c r="K11" s="1">
        <v>36</v>
      </c>
      <c r="L11" s="1">
        <v>0</v>
      </c>
      <c r="M11" s="1">
        <v>0</v>
      </c>
      <c r="N11" s="1">
        <v>36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 t="s">
        <v>49</v>
      </c>
      <c r="AA11" s="1" t="s">
        <v>49</v>
      </c>
      <c r="AB11" s="1" t="s">
        <v>49</v>
      </c>
      <c r="AC11" s="1" t="s">
        <v>73</v>
      </c>
      <c r="AD11" s="1" t="s">
        <v>74</v>
      </c>
      <c r="AE11" s="1" t="s">
        <v>73</v>
      </c>
      <c r="AF11" s="1" t="s">
        <v>75</v>
      </c>
      <c r="AG11" s="1" t="s">
        <v>76</v>
      </c>
      <c r="AH11" s="1" t="s">
        <v>49</v>
      </c>
      <c r="AI11" s="1" t="s">
        <v>54</v>
      </c>
      <c r="AJ11" s="1">
        <v>1</v>
      </c>
      <c r="AK11" s="1" t="str">
        <f t="shared" si="0"/>
        <v xml:space="preserve"> =&lt;90</v>
      </c>
      <c r="AL11" s="1" t="str">
        <f>VLOOKUP(C:C,[1]基础信息!B$1:D$65536,3,0)</f>
        <v>Hotcup</v>
      </c>
      <c r="AM11" s="1" t="str">
        <f>VLOOKUP(C:C,[1]基础信息!B$1:E$65536,4,0)</f>
        <v>Hotcup</v>
      </c>
      <c r="AN11" s="1" t="str">
        <f>VLOOKUP(C:C,[1]基础信息!B$1:F$65536,5,0)</f>
        <v xml:space="preserve"> Whi</v>
      </c>
    </row>
    <row r="12" spans="1:43">
      <c r="A12" s="1" t="s">
        <v>41</v>
      </c>
      <c r="B12" s="1" t="s">
        <v>42</v>
      </c>
      <c r="C12" s="1" t="s">
        <v>104</v>
      </c>
      <c r="D12" s="1" t="s">
        <v>105</v>
      </c>
      <c r="E12" s="1" t="s">
        <v>104</v>
      </c>
      <c r="F12" s="1" t="s">
        <v>106</v>
      </c>
      <c r="G12" s="1" t="s">
        <v>107</v>
      </c>
      <c r="H12" s="1" t="s">
        <v>108</v>
      </c>
      <c r="I12" s="1" t="s">
        <v>49</v>
      </c>
      <c r="J12" s="1" t="s">
        <v>48</v>
      </c>
      <c r="K12" s="1">
        <v>96</v>
      </c>
      <c r="L12" s="1">
        <v>0</v>
      </c>
      <c r="M12" s="1">
        <v>0</v>
      </c>
      <c r="N12" s="1">
        <v>96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 t="s">
        <v>49</v>
      </c>
      <c r="AA12" s="1" t="s">
        <v>49</v>
      </c>
      <c r="AB12" s="1" t="s">
        <v>49</v>
      </c>
      <c r="AC12" s="1" t="s">
        <v>109</v>
      </c>
      <c r="AD12" s="1" t="s">
        <v>110</v>
      </c>
      <c r="AE12" s="1" t="s">
        <v>109</v>
      </c>
      <c r="AF12" s="1" t="s">
        <v>111</v>
      </c>
      <c r="AG12" s="1" t="s">
        <v>53</v>
      </c>
      <c r="AH12" s="1" t="s">
        <v>49</v>
      </c>
      <c r="AI12" s="1" t="s">
        <v>54</v>
      </c>
      <c r="AJ12" s="1">
        <v>1</v>
      </c>
      <c r="AK12" s="1" t="str">
        <f t="shared" si="0"/>
        <v xml:space="preserve"> =&lt;90</v>
      </c>
      <c r="AL12" s="1" t="str">
        <f>VLOOKUP(C:C,[1]基础信息!B$1:D$65536,3,0)</f>
        <v>Jug</v>
      </c>
      <c r="AM12" s="1" t="str">
        <f>VLOOKUP(C:C,[1]基础信息!B$1:E$65536,4,0)</f>
        <v>Marella XL</v>
      </c>
      <c r="AN12" s="1" t="str">
        <f>VLOOKUP(C:C,[1]基础信息!B$1:F$65536,5,0)</f>
        <v>Blue</v>
      </c>
    </row>
    <row r="13" spans="1:43">
      <c r="A13" s="1" t="s">
        <v>41</v>
      </c>
      <c r="B13" s="1" t="s">
        <v>42</v>
      </c>
      <c r="C13" s="1" t="s">
        <v>112</v>
      </c>
      <c r="D13" s="1" t="s">
        <v>113</v>
      </c>
      <c r="E13" s="1" t="s">
        <v>45</v>
      </c>
      <c r="F13" s="1" t="s">
        <v>114</v>
      </c>
      <c r="G13" s="1" t="s">
        <v>115</v>
      </c>
      <c r="H13" s="1" t="s">
        <v>116</v>
      </c>
      <c r="I13" s="1" t="s">
        <v>49</v>
      </c>
      <c r="J13" s="1" t="s">
        <v>48</v>
      </c>
      <c r="K13" s="1">
        <v>20</v>
      </c>
      <c r="L13" s="1">
        <v>0</v>
      </c>
      <c r="M13" s="1">
        <v>0</v>
      </c>
      <c r="N13" s="1">
        <v>20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 t="s">
        <v>49</v>
      </c>
      <c r="AA13" s="1" t="s">
        <v>49</v>
      </c>
      <c r="AB13" s="1" t="s">
        <v>49</v>
      </c>
      <c r="AC13" s="1" t="s">
        <v>117</v>
      </c>
      <c r="AD13" s="1" t="s">
        <v>118</v>
      </c>
      <c r="AE13" s="1" t="s">
        <v>117</v>
      </c>
      <c r="AF13" s="1" t="s">
        <v>119</v>
      </c>
      <c r="AG13" s="1" t="s">
        <v>53</v>
      </c>
      <c r="AH13" s="1" t="s">
        <v>49</v>
      </c>
      <c r="AI13" s="1" t="s">
        <v>54</v>
      </c>
      <c r="AJ13" s="1">
        <v>1</v>
      </c>
      <c r="AK13" s="1" t="str">
        <f t="shared" si="0"/>
        <v xml:space="preserve"> =&lt;90</v>
      </c>
      <c r="AL13" s="1" t="str">
        <f>VLOOKUP(C:C,[1]基础信息!B$1:D$65536,3,0)</f>
        <v>UTS</v>
      </c>
      <c r="AM13" s="1" t="str">
        <f>VLOOKUP(C:C,[1]基础信息!B$1:E$65536,4,0)</f>
        <v>MyPure Pro</v>
      </c>
      <c r="AN13" s="1" t="str">
        <f>VLOOKUP(C:C,[1]基础信息!B$1:F$65536,5,0)</f>
        <v>Refill</v>
      </c>
    </row>
    <row r="14" spans="1:43">
      <c r="A14" s="1" t="s">
        <v>41</v>
      </c>
      <c r="B14" s="1" t="s">
        <v>42</v>
      </c>
      <c r="C14" s="1" t="s">
        <v>83</v>
      </c>
      <c r="D14" s="1" t="s">
        <v>84</v>
      </c>
      <c r="E14" s="1" t="s">
        <v>45</v>
      </c>
      <c r="F14" s="1" t="s">
        <v>85</v>
      </c>
      <c r="G14" s="1" t="s">
        <v>120</v>
      </c>
      <c r="H14" s="1" t="s">
        <v>121</v>
      </c>
      <c r="I14" s="1" t="s">
        <v>49</v>
      </c>
      <c r="J14" s="1" t="s">
        <v>48</v>
      </c>
      <c r="K14" s="1">
        <v>96</v>
      </c>
      <c r="L14" s="1">
        <v>0</v>
      </c>
      <c r="M14" s="1">
        <v>0</v>
      </c>
      <c r="N14" s="1">
        <v>96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 t="s">
        <v>49</v>
      </c>
      <c r="AA14" s="1" t="s">
        <v>49</v>
      </c>
      <c r="AB14" s="1" t="s">
        <v>49</v>
      </c>
      <c r="AC14" s="1" t="s">
        <v>88</v>
      </c>
      <c r="AD14" s="1" t="s">
        <v>89</v>
      </c>
      <c r="AE14" s="1" t="s">
        <v>88</v>
      </c>
      <c r="AF14" s="1" t="s">
        <v>90</v>
      </c>
      <c r="AG14" s="1" t="s">
        <v>53</v>
      </c>
      <c r="AH14" s="1" t="s">
        <v>49</v>
      </c>
      <c r="AI14" s="1" t="s">
        <v>54</v>
      </c>
      <c r="AJ14" s="1">
        <v>1</v>
      </c>
      <c r="AK14" s="1" t="str">
        <f t="shared" si="0"/>
        <v xml:space="preserve"> =&lt;90</v>
      </c>
      <c r="AL14" s="1" t="str">
        <f>VLOOKUP(C:C,[1]基础信息!B$1:D$65536,3,0)</f>
        <v>Jug</v>
      </c>
      <c r="AM14" s="1" t="str">
        <f>VLOOKUP(C:C,[1]基础信息!B$1:E$65536,4,0)</f>
        <v>Mxplus</v>
      </c>
      <c r="AN14" s="1" t="str">
        <f>VLOOKUP(C:C,[1]基础信息!B$1:F$65536,5,0)</f>
        <v>Blue</v>
      </c>
    </row>
    <row r="15" spans="1:43" s="8" customFormat="1">
      <c r="A15" s="1" t="s">
        <v>41</v>
      </c>
      <c r="B15" s="1" t="s">
        <v>42</v>
      </c>
      <c r="C15" s="1" t="s">
        <v>83</v>
      </c>
      <c r="D15" s="1" t="s">
        <v>84</v>
      </c>
      <c r="E15" s="1" t="s">
        <v>45</v>
      </c>
      <c r="F15" s="1" t="s">
        <v>85</v>
      </c>
      <c r="G15" s="1" t="s">
        <v>122</v>
      </c>
      <c r="H15" s="1" t="s">
        <v>123</v>
      </c>
      <c r="I15" s="1" t="s">
        <v>49</v>
      </c>
      <c r="J15" s="1" t="s">
        <v>48</v>
      </c>
      <c r="K15" s="1">
        <v>96</v>
      </c>
      <c r="L15" s="1">
        <v>0</v>
      </c>
      <c r="M15" s="1">
        <v>0</v>
      </c>
      <c r="N15" s="1">
        <v>96</v>
      </c>
      <c r="O15" s="1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 t="s">
        <v>49</v>
      </c>
      <c r="AA15" s="1" t="s">
        <v>49</v>
      </c>
      <c r="AB15" s="1" t="s">
        <v>49</v>
      </c>
      <c r="AC15" s="1" t="s">
        <v>88</v>
      </c>
      <c r="AD15" s="1" t="s">
        <v>89</v>
      </c>
      <c r="AE15" s="1" t="s">
        <v>88</v>
      </c>
      <c r="AF15" s="1" t="s">
        <v>90</v>
      </c>
      <c r="AG15" s="1" t="s">
        <v>53</v>
      </c>
      <c r="AH15" s="1" t="s">
        <v>49</v>
      </c>
      <c r="AI15" s="1" t="s">
        <v>54</v>
      </c>
      <c r="AJ15" s="1">
        <v>1</v>
      </c>
      <c r="AK15" s="8" t="str">
        <f t="shared" si="0"/>
        <v xml:space="preserve"> =&lt;90</v>
      </c>
      <c r="AL15" s="8" t="str">
        <f>VLOOKUP(C:C,[1]基础信息!B$1:D$65536,3,0)</f>
        <v>Jug</v>
      </c>
      <c r="AM15" s="8" t="str">
        <f>VLOOKUP(C:C,[1]基础信息!B$1:E$65536,4,0)</f>
        <v>Mxplus</v>
      </c>
      <c r="AN15" s="8" t="str">
        <f>VLOOKUP(C:C,[1]基础信息!B$1:F$65536,5,0)</f>
        <v>Blue</v>
      </c>
    </row>
    <row r="16" spans="1:43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45</v>
      </c>
      <c r="F16" s="1" t="s">
        <v>46</v>
      </c>
      <c r="G16" s="1" t="s">
        <v>124</v>
      </c>
      <c r="H16" s="1" t="s">
        <v>45</v>
      </c>
      <c r="I16" s="1" t="s">
        <v>45</v>
      </c>
      <c r="J16" s="1" t="s">
        <v>48</v>
      </c>
      <c r="K16" s="1">
        <v>96</v>
      </c>
      <c r="L16" s="1">
        <v>0</v>
      </c>
      <c r="M16" s="1">
        <v>0</v>
      </c>
      <c r="N16" s="1">
        <v>96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 t="s">
        <v>49</v>
      </c>
      <c r="AA16" s="1" t="s">
        <v>49</v>
      </c>
      <c r="AB16" s="1" t="s">
        <v>49</v>
      </c>
      <c r="AC16" s="1" t="s">
        <v>50</v>
      </c>
      <c r="AD16" s="1" t="s">
        <v>51</v>
      </c>
      <c r="AE16" s="1" t="s">
        <v>50</v>
      </c>
      <c r="AF16" s="1" t="s">
        <v>52</v>
      </c>
      <c r="AG16" s="1" t="s">
        <v>53</v>
      </c>
      <c r="AH16" s="1" t="s">
        <v>49</v>
      </c>
      <c r="AI16" s="1" t="s">
        <v>54</v>
      </c>
      <c r="AJ16" s="1">
        <v>1</v>
      </c>
      <c r="AK16" s="1" t="str">
        <f t="shared" si="0"/>
        <v xml:space="preserve"> =&lt;90</v>
      </c>
      <c r="AL16" s="1" t="str">
        <f>VLOOKUP(C:C,[1]基础信息!B$1:D$65536,3,0)</f>
        <v>Jug</v>
      </c>
      <c r="AM16" s="1" t="str">
        <f>VLOOKUP(C:C,[1]基础信息!B$1:E$65536,4,0)</f>
        <v>Marella XL</v>
      </c>
      <c r="AN16" s="1" t="str">
        <f>VLOOKUP(C:C,[1]基础信息!B$1:F$65536,5,0)</f>
        <v>Black</v>
      </c>
    </row>
    <row r="17" spans="1:40">
      <c r="A17" s="1" t="s">
        <v>41</v>
      </c>
      <c r="B17" s="1" t="s">
        <v>42</v>
      </c>
      <c r="C17" s="1" t="s">
        <v>104</v>
      </c>
      <c r="D17" s="1" t="s">
        <v>105</v>
      </c>
      <c r="E17" s="1" t="s">
        <v>104</v>
      </c>
      <c r="F17" s="1" t="s">
        <v>125</v>
      </c>
      <c r="G17" s="1" t="s">
        <v>126</v>
      </c>
      <c r="H17" s="1" t="s">
        <v>127</v>
      </c>
      <c r="I17" s="1" t="s">
        <v>49</v>
      </c>
      <c r="J17" s="1" t="s">
        <v>48</v>
      </c>
      <c r="K17" s="1">
        <v>92</v>
      </c>
      <c r="L17" s="1">
        <v>0</v>
      </c>
      <c r="M17" s="1">
        <v>0</v>
      </c>
      <c r="N17" s="1">
        <v>92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 t="s">
        <v>49</v>
      </c>
      <c r="AA17" s="1" t="s">
        <v>49</v>
      </c>
      <c r="AB17" s="1" t="s">
        <v>49</v>
      </c>
      <c r="AC17" s="1" t="s">
        <v>128</v>
      </c>
      <c r="AD17" s="1" t="s">
        <v>129</v>
      </c>
      <c r="AE17" s="1" t="s">
        <v>128</v>
      </c>
      <c r="AF17" s="1" t="s">
        <v>130</v>
      </c>
      <c r="AG17" s="1" t="s">
        <v>53</v>
      </c>
      <c r="AH17" s="1" t="s">
        <v>49</v>
      </c>
      <c r="AI17" s="1" t="s">
        <v>54</v>
      </c>
      <c r="AJ17" s="1">
        <v>1</v>
      </c>
      <c r="AK17" s="1" t="str">
        <f t="shared" si="0"/>
        <v xml:space="preserve"> =&lt;90</v>
      </c>
      <c r="AL17" s="1" t="str">
        <f>VLOOKUP(C:C,[1]基础信息!B$1:D$65536,3,0)</f>
        <v>Jug</v>
      </c>
      <c r="AM17" s="1" t="str">
        <f>VLOOKUP(C:C,[1]基础信息!B$1:E$65536,4,0)</f>
        <v>Marella XL</v>
      </c>
      <c r="AN17" s="1" t="str">
        <f>VLOOKUP(C:C,[1]基础信息!B$1:F$65536,5,0)</f>
        <v>Blue</v>
      </c>
    </row>
    <row r="18" spans="1:40">
      <c r="A18" s="1" t="s">
        <v>41</v>
      </c>
      <c r="B18" s="1" t="s">
        <v>42</v>
      </c>
      <c r="C18" s="1" t="s">
        <v>83</v>
      </c>
      <c r="D18" s="1" t="s">
        <v>84</v>
      </c>
      <c r="E18" s="1" t="s">
        <v>45</v>
      </c>
      <c r="F18" s="1" t="s">
        <v>85</v>
      </c>
      <c r="G18" s="1" t="s">
        <v>131</v>
      </c>
      <c r="H18" s="1" t="s">
        <v>132</v>
      </c>
      <c r="I18" s="1" t="s">
        <v>49</v>
      </c>
      <c r="J18" s="1" t="s">
        <v>48</v>
      </c>
      <c r="K18" s="1">
        <v>96</v>
      </c>
      <c r="L18" s="1">
        <v>0</v>
      </c>
      <c r="M18" s="1">
        <v>0</v>
      </c>
      <c r="N18" s="1">
        <v>96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 t="s">
        <v>49</v>
      </c>
      <c r="AA18" s="1" t="s">
        <v>49</v>
      </c>
      <c r="AB18" s="1" t="s">
        <v>49</v>
      </c>
      <c r="AC18" s="1" t="s">
        <v>88</v>
      </c>
      <c r="AD18" s="1" t="s">
        <v>89</v>
      </c>
      <c r="AE18" s="1" t="s">
        <v>88</v>
      </c>
      <c r="AF18" s="1" t="s">
        <v>90</v>
      </c>
      <c r="AG18" s="1" t="s">
        <v>53</v>
      </c>
      <c r="AH18" s="1" t="s">
        <v>49</v>
      </c>
      <c r="AI18" s="1" t="s">
        <v>54</v>
      </c>
      <c r="AJ18" s="1">
        <v>1</v>
      </c>
      <c r="AK18" s="1" t="str">
        <f t="shared" si="0"/>
        <v xml:space="preserve"> =&lt;90</v>
      </c>
      <c r="AL18" s="1" t="str">
        <f>VLOOKUP(C:C,[1]基础信息!B$1:D$65536,3,0)</f>
        <v>Jug</v>
      </c>
      <c r="AM18" s="1" t="str">
        <f>VLOOKUP(C:C,[1]基础信息!B$1:E$65536,4,0)</f>
        <v>Mxplus</v>
      </c>
      <c r="AN18" s="1" t="str">
        <f>VLOOKUP(C:C,[1]基础信息!B$1:F$65536,5,0)</f>
        <v>Blue</v>
      </c>
    </row>
    <row r="19" spans="1:40">
      <c r="A19" s="1" t="s">
        <v>41</v>
      </c>
      <c r="B19" s="1" t="s">
        <v>42</v>
      </c>
      <c r="C19" s="1" t="s">
        <v>104</v>
      </c>
      <c r="D19" s="1" t="s">
        <v>105</v>
      </c>
      <c r="E19" s="1" t="s">
        <v>104</v>
      </c>
      <c r="F19" s="1" t="s">
        <v>106</v>
      </c>
      <c r="G19" s="1" t="s">
        <v>133</v>
      </c>
      <c r="H19" s="1" t="s">
        <v>134</v>
      </c>
      <c r="I19" s="1" t="s">
        <v>49</v>
      </c>
      <c r="J19" s="1" t="s">
        <v>48</v>
      </c>
      <c r="K19" s="1">
        <v>96</v>
      </c>
      <c r="L19" s="1">
        <v>0</v>
      </c>
      <c r="M19" s="1">
        <v>0</v>
      </c>
      <c r="N19" s="1">
        <v>96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 t="s">
        <v>49</v>
      </c>
      <c r="AA19" s="1" t="s">
        <v>49</v>
      </c>
      <c r="AB19" s="1" t="s">
        <v>49</v>
      </c>
      <c r="AC19" s="1" t="s">
        <v>109</v>
      </c>
      <c r="AD19" s="1" t="s">
        <v>110</v>
      </c>
      <c r="AE19" s="1" t="s">
        <v>109</v>
      </c>
      <c r="AF19" s="1" t="s">
        <v>111</v>
      </c>
      <c r="AG19" s="1" t="s">
        <v>53</v>
      </c>
      <c r="AH19" s="1" t="s">
        <v>49</v>
      </c>
      <c r="AI19" s="1" t="s">
        <v>54</v>
      </c>
      <c r="AJ19" s="1">
        <v>1</v>
      </c>
      <c r="AK19" s="1" t="str">
        <f t="shared" si="0"/>
        <v xml:space="preserve"> =&lt;90</v>
      </c>
      <c r="AL19" s="1" t="str">
        <f>VLOOKUP(C:C,[1]基础信息!B$1:D$65536,3,0)</f>
        <v>Jug</v>
      </c>
      <c r="AM19" s="1" t="str">
        <f>VLOOKUP(C:C,[1]基础信息!B$1:E$65536,4,0)</f>
        <v>Marella XL</v>
      </c>
      <c r="AN19" s="1" t="str">
        <f>VLOOKUP(C:C,[1]基础信息!B$1:F$65536,5,0)</f>
        <v>Blue</v>
      </c>
    </row>
    <row r="20" spans="1:40">
      <c r="A20" s="1" t="s">
        <v>41</v>
      </c>
      <c r="B20" s="1" t="s">
        <v>42</v>
      </c>
      <c r="C20" s="1" t="s">
        <v>68</v>
      </c>
      <c r="D20" s="1" t="s">
        <v>69</v>
      </c>
      <c r="E20" s="1" t="s">
        <v>45</v>
      </c>
      <c r="F20" s="1" t="s">
        <v>80</v>
      </c>
      <c r="G20" s="1" t="s">
        <v>135</v>
      </c>
      <c r="H20" s="1" t="s">
        <v>136</v>
      </c>
      <c r="I20" s="1" t="s">
        <v>49</v>
      </c>
      <c r="J20" s="1" t="s">
        <v>48</v>
      </c>
      <c r="K20" s="1">
        <v>36</v>
      </c>
      <c r="L20" s="1">
        <v>0</v>
      </c>
      <c r="M20" s="1">
        <v>0</v>
      </c>
      <c r="N20" s="1">
        <v>36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 t="s">
        <v>49</v>
      </c>
      <c r="AA20" s="1" t="s">
        <v>49</v>
      </c>
      <c r="AB20" s="1" t="s">
        <v>49</v>
      </c>
      <c r="AC20" s="1" t="s">
        <v>73</v>
      </c>
      <c r="AD20" s="1" t="s">
        <v>74</v>
      </c>
      <c r="AE20" s="1" t="s">
        <v>73</v>
      </c>
      <c r="AF20" s="1" t="s">
        <v>82</v>
      </c>
      <c r="AG20" s="1" t="s">
        <v>76</v>
      </c>
      <c r="AH20" s="1" t="s">
        <v>49</v>
      </c>
      <c r="AI20" s="1" t="s">
        <v>54</v>
      </c>
      <c r="AJ20" s="1">
        <v>1</v>
      </c>
      <c r="AK20" s="1" t="str">
        <f t="shared" si="0"/>
        <v xml:space="preserve"> =&lt;90</v>
      </c>
      <c r="AL20" s="1" t="str">
        <f>VLOOKUP(C:C,[1]基础信息!B$1:D$65536,3,0)</f>
        <v>Hotcup</v>
      </c>
      <c r="AM20" s="1" t="str">
        <f>VLOOKUP(C:C,[1]基础信息!B$1:E$65536,4,0)</f>
        <v>Hotcup</v>
      </c>
      <c r="AN20" s="1" t="str">
        <f>VLOOKUP(C:C,[1]基础信息!B$1:F$65536,5,0)</f>
        <v xml:space="preserve"> Whi</v>
      </c>
    </row>
    <row r="21" spans="1:40">
      <c r="A21" s="1" t="s">
        <v>41</v>
      </c>
      <c r="B21" s="1" t="s">
        <v>42</v>
      </c>
      <c r="C21" s="1" t="s">
        <v>104</v>
      </c>
      <c r="D21" s="1" t="s">
        <v>105</v>
      </c>
      <c r="E21" s="1" t="s">
        <v>104</v>
      </c>
      <c r="F21" s="1" t="s">
        <v>106</v>
      </c>
      <c r="G21" s="1" t="s">
        <v>137</v>
      </c>
      <c r="H21" s="1" t="s">
        <v>138</v>
      </c>
      <c r="I21" s="1" t="s">
        <v>49</v>
      </c>
      <c r="J21" s="1" t="s">
        <v>48</v>
      </c>
      <c r="K21" s="1">
        <v>96</v>
      </c>
      <c r="L21" s="1">
        <v>0</v>
      </c>
      <c r="M21" s="1">
        <v>0</v>
      </c>
      <c r="N21" s="1">
        <v>96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 t="s">
        <v>49</v>
      </c>
      <c r="AA21" s="1" t="s">
        <v>49</v>
      </c>
      <c r="AB21" s="1" t="s">
        <v>49</v>
      </c>
      <c r="AC21" s="1" t="s">
        <v>109</v>
      </c>
      <c r="AD21" s="1" t="s">
        <v>110</v>
      </c>
      <c r="AE21" s="1" t="s">
        <v>109</v>
      </c>
      <c r="AF21" s="1" t="s">
        <v>111</v>
      </c>
      <c r="AG21" s="1" t="s">
        <v>53</v>
      </c>
      <c r="AH21" s="1" t="s">
        <v>49</v>
      </c>
      <c r="AI21" s="1" t="s">
        <v>54</v>
      </c>
      <c r="AJ21" s="1">
        <v>1</v>
      </c>
      <c r="AK21" s="1" t="str">
        <f t="shared" si="0"/>
        <v xml:space="preserve"> =&lt;90</v>
      </c>
      <c r="AL21" s="1" t="str">
        <f>VLOOKUP(C:C,[1]基础信息!B$1:D$65536,3,0)</f>
        <v>Jug</v>
      </c>
      <c r="AM21" s="1" t="str">
        <f>VLOOKUP(C:C,[1]基础信息!B$1:E$65536,4,0)</f>
        <v>Marella XL</v>
      </c>
      <c r="AN21" s="1" t="str">
        <f>VLOOKUP(C:C,[1]基础信息!B$1:F$65536,5,0)</f>
        <v>Blue</v>
      </c>
    </row>
    <row r="22" spans="1:40">
      <c r="A22" s="1" t="s">
        <v>41</v>
      </c>
      <c r="B22" s="1" t="s">
        <v>42</v>
      </c>
      <c r="C22" s="1" t="s">
        <v>83</v>
      </c>
      <c r="D22" s="1" t="s">
        <v>84</v>
      </c>
      <c r="E22" s="1" t="s">
        <v>45</v>
      </c>
      <c r="F22" s="1" t="s">
        <v>85</v>
      </c>
      <c r="G22" s="1" t="s">
        <v>139</v>
      </c>
      <c r="H22" s="1" t="s">
        <v>140</v>
      </c>
      <c r="I22" s="1" t="s">
        <v>49</v>
      </c>
      <c r="J22" s="1" t="s">
        <v>48</v>
      </c>
      <c r="K22" s="1">
        <v>96</v>
      </c>
      <c r="L22" s="1">
        <v>0</v>
      </c>
      <c r="M22" s="1">
        <v>0</v>
      </c>
      <c r="N22" s="1">
        <v>96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 t="s">
        <v>49</v>
      </c>
      <c r="AA22" s="1" t="s">
        <v>49</v>
      </c>
      <c r="AB22" s="1" t="s">
        <v>49</v>
      </c>
      <c r="AC22" s="1" t="s">
        <v>88</v>
      </c>
      <c r="AD22" s="1" t="s">
        <v>89</v>
      </c>
      <c r="AE22" s="1" t="s">
        <v>88</v>
      </c>
      <c r="AF22" s="1" t="s">
        <v>90</v>
      </c>
      <c r="AG22" s="1" t="s">
        <v>53</v>
      </c>
      <c r="AH22" s="1" t="s">
        <v>49</v>
      </c>
      <c r="AI22" s="1" t="s">
        <v>54</v>
      </c>
      <c r="AJ22" s="1">
        <v>1</v>
      </c>
      <c r="AK22" s="1" t="str">
        <f t="shared" si="0"/>
        <v xml:space="preserve"> =&lt;90</v>
      </c>
      <c r="AL22" s="1" t="str">
        <f>VLOOKUP(C:C,[1]基础信息!B$1:D$65536,3,0)</f>
        <v>Jug</v>
      </c>
      <c r="AM22" s="1" t="str">
        <f>VLOOKUP(C:C,[1]基础信息!B$1:E$65536,4,0)</f>
        <v>Mxplus</v>
      </c>
      <c r="AN22" s="1" t="str">
        <f>VLOOKUP(C:C,[1]基础信息!B$1:F$65536,5,0)</f>
        <v>Blue</v>
      </c>
    </row>
    <row r="23" spans="1:40">
      <c r="A23" s="1" t="s">
        <v>41</v>
      </c>
      <c r="B23" s="1" t="s">
        <v>42</v>
      </c>
      <c r="C23" s="1" t="s">
        <v>112</v>
      </c>
      <c r="D23" s="1" t="s">
        <v>113</v>
      </c>
      <c r="E23" s="1" t="s">
        <v>45</v>
      </c>
      <c r="F23" s="1" t="s">
        <v>141</v>
      </c>
      <c r="G23" s="1" t="s">
        <v>142</v>
      </c>
      <c r="H23" s="1" t="s">
        <v>143</v>
      </c>
      <c r="I23" s="1" t="s">
        <v>49</v>
      </c>
      <c r="J23" s="1" t="s">
        <v>48</v>
      </c>
      <c r="K23" s="1">
        <v>120</v>
      </c>
      <c r="L23" s="1">
        <v>0</v>
      </c>
      <c r="M23" s="1">
        <v>0</v>
      </c>
      <c r="N23" s="1">
        <v>120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 t="s">
        <v>49</v>
      </c>
      <c r="AA23" s="1" t="s">
        <v>49</v>
      </c>
      <c r="AB23" s="1" t="s">
        <v>49</v>
      </c>
      <c r="AC23" s="1" t="s">
        <v>144</v>
      </c>
      <c r="AD23" s="1" t="s">
        <v>145</v>
      </c>
      <c r="AE23" s="1" t="s">
        <v>144</v>
      </c>
      <c r="AF23" s="1" t="s">
        <v>146</v>
      </c>
      <c r="AG23" s="1" t="s">
        <v>53</v>
      </c>
      <c r="AH23" s="1" t="s">
        <v>49</v>
      </c>
      <c r="AI23" s="1" t="s">
        <v>54</v>
      </c>
      <c r="AJ23" s="1">
        <v>1</v>
      </c>
      <c r="AK23" s="1" t="str">
        <f t="shared" si="0"/>
        <v xml:space="preserve"> =&lt;90</v>
      </c>
      <c r="AL23" s="1" t="str">
        <f>VLOOKUP(C:C,[1]基础信息!B$1:D$65536,3,0)</f>
        <v>UTS</v>
      </c>
      <c r="AM23" s="1" t="str">
        <f>VLOOKUP(C:C,[1]基础信息!B$1:E$65536,4,0)</f>
        <v>MyPure Pro</v>
      </c>
      <c r="AN23" s="1" t="str">
        <f>VLOOKUP(C:C,[1]基础信息!B$1:F$65536,5,0)</f>
        <v>Refill</v>
      </c>
    </row>
    <row r="24" spans="1:40">
      <c r="A24" s="1" t="s">
        <v>41</v>
      </c>
      <c r="B24" s="1" t="s">
        <v>42</v>
      </c>
      <c r="C24" s="1" t="s">
        <v>83</v>
      </c>
      <c r="D24" s="1" t="s">
        <v>84</v>
      </c>
      <c r="E24" s="1" t="s">
        <v>45</v>
      </c>
      <c r="F24" s="1" t="s">
        <v>85</v>
      </c>
      <c r="G24" s="1" t="s">
        <v>147</v>
      </c>
      <c r="H24" s="1" t="s">
        <v>148</v>
      </c>
      <c r="I24" s="1" t="s">
        <v>49</v>
      </c>
      <c r="J24" s="1" t="s">
        <v>48</v>
      </c>
      <c r="K24" s="1">
        <v>96</v>
      </c>
      <c r="L24" s="1">
        <v>0</v>
      </c>
      <c r="M24" s="1">
        <v>0</v>
      </c>
      <c r="N24" s="1">
        <v>96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 t="s">
        <v>49</v>
      </c>
      <c r="AA24" s="1" t="s">
        <v>49</v>
      </c>
      <c r="AB24" s="1" t="s">
        <v>49</v>
      </c>
      <c r="AC24" s="1" t="s">
        <v>88</v>
      </c>
      <c r="AD24" s="1" t="s">
        <v>89</v>
      </c>
      <c r="AE24" s="1" t="s">
        <v>88</v>
      </c>
      <c r="AF24" s="1" t="s">
        <v>90</v>
      </c>
      <c r="AG24" s="1" t="s">
        <v>53</v>
      </c>
      <c r="AH24" s="1" t="s">
        <v>49</v>
      </c>
      <c r="AI24" s="1" t="s">
        <v>54</v>
      </c>
      <c r="AJ24" s="1">
        <v>1</v>
      </c>
      <c r="AK24" s="1" t="str">
        <f t="shared" si="0"/>
        <v xml:space="preserve"> =&lt;90</v>
      </c>
      <c r="AL24" s="1" t="str">
        <f>VLOOKUP(C:C,[1]基础信息!B$1:D$65536,3,0)</f>
        <v>Jug</v>
      </c>
      <c r="AM24" s="1" t="str">
        <f>VLOOKUP(C:C,[1]基础信息!B$1:E$65536,4,0)</f>
        <v>Mxplus</v>
      </c>
      <c r="AN24" s="1" t="str">
        <f>VLOOKUP(C:C,[1]基础信息!B$1:F$65536,5,0)</f>
        <v>Blue</v>
      </c>
    </row>
    <row r="25" spans="1:40">
      <c r="A25" s="1" t="s">
        <v>41</v>
      </c>
      <c r="B25" s="1" t="s">
        <v>42</v>
      </c>
      <c r="C25" s="1" t="s">
        <v>104</v>
      </c>
      <c r="D25" s="1" t="s">
        <v>105</v>
      </c>
      <c r="E25" s="1" t="s">
        <v>104</v>
      </c>
      <c r="F25" s="1" t="s">
        <v>106</v>
      </c>
      <c r="G25" s="1" t="s">
        <v>149</v>
      </c>
      <c r="H25" s="1" t="s">
        <v>150</v>
      </c>
      <c r="I25" s="1" t="s">
        <v>49</v>
      </c>
      <c r="J25" s="1" t="s">
        <v>48</v>
      </c>
      <c r="K25" s="1">
        <v>96</v>
      </c>
      <c r="L25" s="1">
        <v>0</v>
      </c>
      <c r="M25" s="1">
        <v>0</v>
      </c>
      <c r="N25" s="1">
        <v>96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 t="s">
        <v>49</v>
      </c>
      <c r="AA25" s="1" t="s">
        <v>49</v>
      </c>
      <c r="AB25" s="1" t="s">
        <v>49</v>
      </c>
      <c r="AC25" s="1" t="s">
        <v>109</v>
      </c>
      <c r="AD25" s="1" t="s">
        <v>110</v>
      </c>
      <c r="AE25" s="1" t="s">
        <v>109</v>
      </c>
      <c r="AF25" s="1" t="s">
        <v>111</v>
      </c>
      <c r="AG25" s="1" t="s">
        <v>53</v>
      </c>
      <c r="AH25" s="1" t="s">
        <v>49</v>
      </c>
      <c r="AI25" s="1" t="s">
        <v>54</v>
      </c>
      <c r="AJ25" s="1">
        <v>1</v>
      </c>
      <c r="AK25" s="1" t="str">
        <f t="shared" si="0"/>
        <v xml:space="preserve"> =&lt;90</v>
      </c>
      <c r="AL25" s="1" t="str">
        <f>VLOOKUP(C:C,[1]基础信息!B$1:D$65536,3,0)</f>
        <v>Jug</v>
      </c>
      <c r="AM25" s="1" t="str">
        <f>VLOOKUP(C:C,[1]基础信息!B$1:E$65536,4,0)</f>
        <v>Marella XL</v>
      </c>
      <c r="AN25" s="1" t="str">
        <f>VLOOKUP(C:C,[1]基础信息!B$1:F$65536,5,0)</f>
        <v>Blue</v>
      </c>
    </row>
    <row r="26" spans="1:40">
      <c r="A26" s="1" t="s">
        <v>41</v>
      </c>
      <c r="B26" s="1" t="s">
        <v>42</v>
      </c>
      <c r="C26" s="1" t="s">
        <v>104</v>
      </c>
      <c r="D26" s="1" t="s">
        <v>105</v>
      </c>
      <c r="E26" s="1" t="s">
        <v>104</v>
      </c>
      <c r="F26" s="1" t="s">
        <v>151</v>
      </c>
      <c r="G26" s="1" t="s">
        <v>152</v>
      </c>
      <c r="H26" s="1" t="s">
        <v>153</v>
      </c>
      <c r="I26" s="1" t="s">
        <v>49</v>
      </c>
      <c r="J26" s="1" t="s">
        <v>48</v>
      </c>
      <c r="K26" s="1">
        <v>96</v>
      </c>
      <c r="L26" s="1">
        <v>0</v>
      </c>
      <c r="M26" s="1">
        <v>0</v>
      </c>
      <c r="N26" s="1">
        <v>96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 t="s">
        <v>49</v>
      </c>
      <c r="AA26" s="1" t="s">
        <v>49</v>
      </c>
      <c r="AB26" s="1" t="s">
        <v>49</v>
      </c>
      <c r="AC26" s="1" t="s">
        <v>154</v>
      </c>
      <c r="AD26" s="1" t="s">
        <v>155</v>
      </c>
      <c r="AE26" s="1" t="s">
        <v>154</v>
      </c>
      <c r="AF26" s="1" t="s">
        <v>111</v>
      </c>
      <c r="AG26" s="1" t="s">
        <v>53</v>
      </c>
      <c r="AH26" s="1" t="s">
        <v>49</v>
      </c>
      <c r="AI26" s="1" t="s">
        <v>54</v>
      </c>
      <c r="AJ26" s="1">
        <v>1</v>
      </c>
      <c r="AK26" s="1" t="str">
        <f t="shared" si="0"/>
        <v xml:space="preserve"> =&lt;90</v>
      </c>
      <c r="AL26" s="1" t="str">
        <f>VLOOKUP(C:C,[1]基础信息!B$1:D$65536,3,0)</f>
        <v>Jug</v>
      </c>
      <c r="AM26" s="1" t="str">
        <f>VLOOKUP(C:C,[1]基础信息!B$1:E$65536,4,0)</f>
        <v>Marella XL</v>
      </c>
      <c r="AN26" s="1" t="str">
        <f>VLOOKUP(C:C,[1]基础信息!B$1:F$65536,5,0)</f>
        <v>Blue</v>
      </c>
    </row>
    <row r="27" spans="1:40">
      <c r="A27" s="1" t="s">
        <v>41</v>
      </c>
      <c r="B27" s="1" t="s">
        <v>42</v>
      </c>
      <c r="C27" s="1" t="s">
        <v>104</v>
      </c>
      <c r="D27" s="1" t="s">
        <v>105</v>
      </c>
      <c r="E27" s="1" t="s">
        <v>104</v>
      </c>
      <c r="F27" s="1" t="s">
        <v>151</v>
      </c>
      <c r="G27" s="1" t="s">
        <v>156</v>
      </c>
      <c r="H27" s="1" t="s">
        <v>157</v>
      </c>
      <c r="I27" s="1" t="s">
        <v>49</v>
      </c>
      <c r="J27" s="1" t="s">
        <v>48</v>
      </c>
      <c r="K27" s="1">
        <v>96</v>
      </c>
      <c r="L27" s="1">
        <v>0</v>
      </c>
      <c r="M27" s="1">
        <v>0</v>
      </c>
      <c r="N27" s="1">
        <v>96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 t="s">
        <v>49</v>
      </c>
      <c r="AA27" s="1" t="s">
        <v>49</v>
      </c>
      <c r="AB27" s="1" t="s">
        <v>49</v>
      </c>
      <c r="AC27" s="1" t="s">
        <v>154</v>
      </c>
      <c r="AD27" s="1" t="s">
        <v>155</v>
      </c>
      <c r="AE27" s="1" t="s">
        <v>154</v>
      </c>
      <c r="AF27" s="1" t="s">
        <v>111</v>
      </c>
      <c r="AG27" s="1" t="s">
        <v>53</v>
      </c>
      <c r="AH27" s="1" t="s">
        <v>49</v>
      </c>
      <c r="AI27" s="1" t="s">
        <v>54</v>
      </c>
      <c r="AJ27" s="1">
        <v>1</v>
      </c>
      <c r="AK27" s="1" t="str">
        <f t="shared" si="0"/>
        <v xml:space="preserve"> =&lt;90</v>
      </c>
      <c r="AL27" s="1" t="str">
        <f>VLOOKUP(C:C,[1]基础信息!B$1:D$65536,3,0)</f>
        <v>Jug</v>
      </c>
      <c r="AM27" s="1" t="str">
        <f>VLOOKUP(C:C,[1]基础信息!B$1:E$65536,4,0)</f>
        <v>Marella XL</v>
      </c>
      <c r="AN27" s="1" t="str">
        <f>VLOOKUP(C:C,[1]基础信息!B$1:F$65536,5,0)</f>
        <v>Blue</v>
      </c>
    </row>
    <row r="28" spans="1:40" s="8" customFormat="1">
      <c r="A28" s="1" t="s">
        <v>41</v>
      </c>
      <c r="B28" s="1" t="s">
        <v>42</v>
      </c>
      <c r="C28" s="1" t="s">
        <v>104</v>
      </c>
      <c r="D28" s="1" t="s">
        <v>105</v>
      </c>
      <c r="E28" s="1" t="s">
        <v>104</v>
      </c>
      <c r="F28" s="1" t="s">
        <v>151</v>
      </c>
      <c r="G28" s="1" t="s">
        <v>158</v>
      </c>
      <c r="H28" s="1" t="s">
        <v>159</v>
      </c>
      <c r="I28" s="1" t="s">
        <v>49</v>
      </c>
      <c r="J28" s="1" t="s">
        <v>48</v>
      </c>
      <c r="K28" s="1">
        <v>96</v>
      </c>
      <c r="L28" s="1">
        <v>0</v>
      </c>
      <c r="M28" s="1">
        <v>0</v>
      </c>
      <c r="N28" s="1">
        <v>96</v>
      </c>
      <c r="O28" s="1"/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 t="s">
        <v>49</v>
      </c>
      <c r="AA28" s="1" t="s">
        <v>49</v>
      </c>
      <c r="AB28" s="1" t="s">
        <v>49</v>
      </c>
      <c r="AC28" s="1" t="s">
        <v>154</v>
      </c>
      <c r="AD28" s="1" t="s">
        <v>155</v>
      </c>
      <c r="AE28" s="1" t="s">
        <v>154</v>
      </c>
      <c r="AF28" s="1" t="s">
        <v>111</v>
      </c>
      <c r="AG28" s="1" t="s">
        <v>53</v>
      </c>
      <c r="AH28" s="1" t="s">
        <v>49</v>
      </c>
      <c r="AI28" s="1" t="s">
        <v>54</v>
      </c>
      <c r="AJ28" s="1">
        <v>1</v>
      </c>
      <c r="AK28" s="8" t="str">
        <f t="shared" si="0"/>
        <v xml:space="preserve"> =&lt;90</v>
      </c>
      <c r="AL28" s="8" t="str">
        <f>VLOOKUP(C:C,[1]基础信息!B$1:D$65536,3,0)</f>
        <v>Jug</v>
      </c>
      <c r="AM28" s="8" t="str">
        <f>VLOOKUP(C:C,[1]基础信息!B$1:E$65536,4,0)</f>
        <v>Marella XL</v>
      </c>
      <c r="AN28" s="8" t="str">
        <f>VLOOKUP(C:C,[1]基础信息!B$1:F$65536,5,0)</f>
        <v>Blue</v>
      </c>
    </row>
    <row r="29" spans="1:40">
      <c r="A29" s="1" t="s">
        <v>41</v>
      </c>
      <c r="B29" s="1" t="s">
        <v>42</v>
      </c>
      <c r="C29" s="1" t="s">
        <v>68</v>
      </c>
      <c r="D29" s="1" t="s">
        <v>69</v>
      </c>
      <c r="E29" s="1" t="s">
        <v>45</v>
      </c>
      <c r="F29" s="1" t="s">
        <v>80</v>
      </c>
      <c r="G29" s="1" t="s">
        <v>160</v>
      </c>
      <c r="H29" s="1" t="s">
        <v>161</v>
      </c>
      <c r="I29" s="1" t="s">
        <v>49</v>
      </c>
      <c r="J29" s="1" t="s">
        <v>48</v>
      </c>
      <c r="K29" s="1">
        <v>36</v>
      </c>
      <c r="L29" s="1">
        <v>0</v>
      </c>
      <c r="M29" s="1">
        <v>0</v>
      </c>
      <c r="N29" s="1">
        <v>36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 t="s">
        <v>49</v>
      </c>
      <c r="AA29" s="1" t="s">
        <v>49</v>
      </c>
      <c r="AB29" s="1" t="s">
        <v>49</v>
      </c>
      <c r="AC29" s="1" t="s">
        <v>73</v>
      </c>
      <c r="AD29" s="1" t="s">
        <v>74</v>
      </c>
      <c r="AE29" s="1" t="s">
        <v>73</v>
      </c>
      <c r="AF29" s="1" t="s">
        <v>82</v>
      </c>
      <c r="AG29" s="1" t="s">
        <v>76</v>
      </c>
      <c r="AH29" s="1" t="s">
        <v>49</v>
      </c>
      <c r="AI29" s="1" t="s">
        <v>54</v>
      </c>
      <c r="AJ29" s="1">
        <v>1</v>
      </c>
      <c r="AK29" s="1" t="str">
        <f t="shared" si="0"/>
        <v xml:space="preserve"> =&lt;90</v>
      </c>
      <c r="AL29" s="1" t="str">
        <f>VLOOKUP(C:C,[1]基础信息!B$1:D$65536,3,0)</f>
        <v>Hotcup</v>
      </c>
      <c r="AM29" s="1" t="str">
        <f>VLOOKUP(C:C,[1]基础信息!B$1:E$65536,4,0)</f>
        <v>Hotcup</v>
      </c>
      <c r="AN29" s="1" t="str">
        <f>VLOOKUP(C:C,[1]基础信息!B$1:F$65536,5,0)</f>
        <v xml:space="preserve"> Whi</v>
      </c>
    </row>
    <row r="30" spans="1:40">
      <c r="A30" s="1" t="s">
        <v>41</v>
      </c>
      <c r="B30" s="1" t="s">
        <v>42</v>
      </c>
      <c r="C30" s="1" t="s">
        <v>162</v>
      </c>
      <c r="D30" s="1" t="s">
        <v>163</v>
      </c>
      <c r="E30" s="1" t="s">
        <v>45</v>
      </c>
      <c r="F30" s="1" t="s">
        <v>164</v>
      </c>
      <c r="G30" s="1" t="s">
        <v>165</v>
      </c>
      <c r="H30" s="1" t="s">
        <v>166</v>
      </c>
      <c r="I30" s="1" t="s">
        <v>49</v>
      </c>
      <c r="J30" s="1" t="s">
        <v>48</v>
      </c>
      <c r="K30" s="1">
        <v>7</v>
      </c>
      <c r="L30" s="1">
        <v>0</v>
      </c>
      <c r="M30" s="1">
        <v>0</v>
      </c>
      <c r="N30" s="1">
        <v>7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 t="s">
        <v>49</v>
      </c>
      <c r="AA30" s="1" t="s">
        <v>49</v>
      </c>
      <c r="AB30" s="1" t="s">
        <v>49</v>
      </c>
      <c r="AC30" s="1" t="s">
        <v>167</v>
      </c>
      <c r="AD30" s="1" t="s">
        <v>168</v>
      </c>
      <c r="AE30" s="1" t="s">
        <v>169</v>
      </c>
      <c r="AF30" s="1" t="s">
        <v>170</v>
      </c>
      <c r="AG30" s="1" t="s">
        <v>53</v>
      </c>
      <c r="AH30" s="1" t="s">
        <v>49</v>
      </c>
      <c r="AI30" s="1" t="s">
        <v>54</v>
      </c>
      <c r="AJ30" s="1">
        <v>1</v>
      </c>
      <c r="AK30" s="1" t="str">
        <f t="shared" si="0"/>
        <v xml:space="preserve"> =&lt;90</v>
      </c>
      <c r="AL30" s="1" t="str">
        <f>VLOOKUP(C:C,[1]基础信息!B$1:D$65536,3,0)</f>
        <v>Jug</v>
      </c>
      <c r="AM30" s="1" t="str">
        <f>VLOOKUP(C:C,[1]基础信息!B$1:E$65536,4,0)</f>
        <v>Style</v>
      </c>
      <c r="AN30" s="1" t="str">
        <f>VLOOKUP(C:C,[1]基础信息!B$1:F$65536,5,0)</f>
        <v>Blue</v>
      </c>
    </row>
    <row r="31" spans="1:40">
      <c r="A31" s="1" t="s">
        <v>41</v>
      </c>
      <c r="B31" s="1" t="s">
        <v>42</v>
      </c>
      <c r="C31" s="1" t="s">
        <v>162</v>
      </c>
      <c r="D31" s="1" t="s">
        <v>163</v>
      </c>
      <c r="E31" s="1" t="s">
        <v>45</v>
      </c>
      <c r="F31" s="1" t="s">
        <v>164</v>
      </c>
      <c r="G31" s="1" t="s">
        <v>171</v>
      </c>
      <c r="H31" s="1" t="s">
        <v>172</v>
      </c>
      <c r="I31" s="1" t="s">
        <v>49</v>
      </c>
      <c r="J31" s="1" t="s">
        <v>48</v>
      </c>
      <c r="K31" s="1">
        <v>60</v>
      </c>
      <c r="L31" s="1">
        <v>0</v>
      </c>
      <c r="M31" s="1">
        <v>0</v>
      </c>
      <c r="N31" s="1">
        <v>60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 t="s">
        <v>49</v>
      </c>
      <c r="AA31" s="1" t="s">
        <v>49</v>
      </c>
      <c r="AB31" s="1" t="s">
        <v>49</v>
      </c>
      <c r="AC31" s="1" t="s">
        <v>167</v>
      </c>
      <c r="AD31" s="1" t="s">
        <v>168</v>
      </c>
      <c r="AE31" s="1" t="s">
        <v>169</v>
      </c>
      <c r="AF31" s="1" t="s">
        <v>170</v>
      </c>
      <c r="AG31" s="1" t="s">
        <v>53</v>
      </c>
      <c r="AH31" s="1" t="s">
        <v>49</v>
      </c>
      <c r="AI31" s="1" t="s">
        <v>54</v>
      </c>
      <c r="AJ31" s="1">
        <v>1</v>
      </c>
      <c r="AK31" s="1" t="str">
        <f t="shared" si="0"/>
        <v xml:space="preserve"> =&lt;90</v>
      </c>
      <c r="AL31" s="1" t="str">
        <f>VLOOKUP(C:C,[1]基础信息!B$1:D$65536,3,0)</f>
        <v>Jug</v>
      </c>
      <c r="AM31" s="1" t="str">
        <f>VLOOKUP(C:C,[1]基础信息!B$1:E$65536,4,0)</f>
        <v>Style</v>
      </c>
      <c r="AN31" s="1" t="str">
        <f>VLOOKUP(C:C,[1]基础信息!B$1:F$65536,5,0)</f>
        <v>Blue</v>
      </c>
    </row>
    <row r="32" spans="1:40">
      <c r="A32" s="1" t="s">
        <v>41</v>
      </c>
      <c r="B32" s="1" t="s">
        <v>42</v>
      </c>
      <c r="C32" s="1" t="s">
        <v>68</v>
      </c>
      <c r="D32" s="1" t="s">
        <v>69</v>
      </c>
      <c r="E32" s="1" t="s">
        <v>45</v>
      </c>
      <c r="F32" s="1" t="s">
        <v>80</v>
      </c>
      <c r="G32" s="1" t="s">
        <v>173</v>
      </c>
      <c r="H32" s="1" t="s">
        <v>174</v>
      </c>
      <c r="I32" s="1" t="s">
        <v>49</v>
      </c>
      <c r="J32" s="1" t="s">
        <v>48</v>
      </c>
      <c r="K32" s="1">
        <v>36</v>
      </c>
      <c r="L32" s="1">
        <v>0</v>
      </c>
      <c r="M32" s="1">
        <v>0</v>
      </c>
      <c r="N32" s="1">
        <v>36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 t="s">
        <v>49</v>
      </c>
      <c r="AA32" s="1" t="s">
        <v>49</v>
      </c>
      <c r="AB32" s="1" t="s">
        <v>49</v>
      </c>
      <c r="AC32" s="1" t="s">
        <v>73</v>
      </c>
      <c r="AD32" s="1" t="s">
        <v>74</v>
      </c>
      <c r="AE32" s="1" t="s">
        <v>73</v>
      </c>
      <c r="AF32" s="1" t="s">
        <v>82</v>
      </c>
      <c r="AG32" s="1" t="s">
        <v>76</v>
      </c>
      <c r="AH32" s="1" t="s">
        <v>49</v>
      </c>
      <c r="AI32" s="1" t="s">
        <v>54</v>
      </c>
      <c r="AJ32" s="1">
        <v>1</v>
      </c>
      <c r="AK32" s="1" t="str">
        <f t="shared" si="0"/>
        <v xml:space="preserve"> =&lt;90</v>
      </c>
      <c r="AL32" s="1" t="str">
        <f>VLOOKUP(C:C,[1]基础信息!B$1:D$65536,3,0)</f>
        <v>Hotcup</v>
      </c>
      <c r="AM32" s="1" t="str">
        <f>VLOOKUP(C:C,[1]基础信息!B$1:E$65536,4,0)</f>
        <v>Hotcup</v>
      </c>
      <c r="AN32" s="1" t="str">
        <f>VLOOKUP(C:C,[1]基础信息!B$1:F$65536,5,0)</f>
        <v xml:space="preserve"> Whi</v>
      </c>
    </row>
    <row r="33" spans="1:40">
      <c r="A33" s="1" t="s">
        <v>41</v>
      </c>
      <c r="B33" s="1" t="s">
        <v>42</v>
      </c>
      <c r="C33" s="1" t="s">
        <v>104</v>
      </c>
      <c r="D33" s="1" t="s">
        <v>105</v>
      </c>
      <c r="E33" s="1" t="s">
        <v>104</v>
      </c>
      <c r="F33" s="1" t="s">
        <v>125</v>
      </c>
      <c r="G33" s="1" t="s">
        <v>175</v>
      </c>
      <c r="H33" s="1" t="s">
        <v>176</v>
      </c>
      <c r="I33" s="1" t="s">
        <v>49</v>
      </c>
      <c r="J33" s="1" t="s">
        <v>48</v>
      </c>
      <c r="K33" s="1">
        <v>96</v>
      </c>
      <c r="L33" s="1">
        <v>0</v>
      </c>
      <c r="M33" s="1">
        <v>0</v>
      </c>
      <c r="N33" s="1">
        <v>96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 t="s">
        <v>49</v>
      </c>
      <c r="AA33" s="1" t="s">
        <v>49</v>
      </c>
      <c r="AB33" s="1" t="s">
        <v>49</v>
      </c>
      <c r="AC33" s="1" t="s">
        <v>128</v>
      </c>
      <c r="AD33" s="1" t="s">
        <v>129</v>
      </c>
      <c r="AE33" s="1" t="s">
        <v>128</v>
      </c>
      <c r="AF33" s="1" t="s">
        <v>130</v>
      </c>
      <c r="AG33" s="1" t="s">
        <v>53</v>
      </c>
      <c r="AH33" s="1" t="s">
        <v>49</v>
      </c>
      <c r="AI33" s="1" t="s">
        <v>54</v>
      </c>
      <c r="AJ33" s="1">
        <v>1</v>
      </c>
      <c r="AK33" s="1" t="str">
        <f t="shared" si="0"/>
        <v xml:space="preserve"> =&lt;90</v>
      </c>
      <c r="AL33" s="1" t="str">
        <f>VLOOKUP(C:C,[1]基础信息!B$1:D$65536,3,0)</f>
        <v>Jug</v>
      </c>
      <c r="AM33" s="1" t="str">
        <f>VLOOKUP(C:C,[1]基础信息!B$1:E$65536,4,0)</f>
        <v>Marella XL</v>
      </c>
      <c r="AN33" s="1" t="str">
        <f>VLOOKUP(C:C,[1]基础信息!B$1:F$65536,5,0)</f>
        <v>Blue</v>
      </c>
    </row>
    <row r="34" spans="1:40">
      <c r="A34" s="1" t="s">
        <v>41</v>
      </c>
      <c r="B34" s="1" t="s">
        <v>42</v>
      </c>
      <c r="C34" s="1" t="s">
        <v>68</v>
      </c>
      <c r="D34" s="1" t="s">
        <v>69</v>
      </c>
      <c r="E34" s="1" t="s">
        <v>45</v>
      </c>
      <c r="F34" s="1" t="s">
        <v>80</v>
      </c>
      <c r="G34" s="1" t="s">
        <v>177</v>
      </c>
      <c r="H34" s="1" t="s">
        <v>178</v>
      </c>
      <c r="I34" s="1" t="s">
        <v>49</v>
      </c>
      <c r="J34" s="1" t="s">
        <v>48</v>
      </c>
      <c r="K34" s="1">
        <v>36</v>
      </c>
      <c r="L34" s="1">
        <v>0</v>
      </c>
      <c r="M34" s="1">
        <v>0</v>
      </c>
      <c r="N34" s="1">
        <v>36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 t="s">
        <v>49</v>
      </c>
      <c r="AA34" s="1" t="s">
        <v>49</v>
      </c>
      <c r="AB34" s="1" t="s">
        <v>49</v>
      </c>
      <c r="AC34" s="1" t="s">
        <v>73</v>
      </c>
      <c r="AD34" s="1" t="s">
        <v>74</v>
      </c>
      <c r="AE34" s="1" t="s">
        <v>73</v>
      </c>
      <c r="AF34" s="1" t="s">
        <v>82</v>
      </c>
      <c r="AG34" s="1" t="s">
        <v>76</v>
      </c>
      <c r="AH34" s="1" t="s">
        <v>49</v>
      </c>
      <c r="AI34" s="1" t="s">
        <v>54</v>
      </c>
      <c r="AJ34" s="1">
        <v>1</v>
      </c>
      <c r="AK34" s="1" t="str">
        <f t="shared" si="0"/>
        <v xml:space="preserve"> =&lt;90</v>
      </c>
      <c r="AL34" s="1" t="str">
        <f>VLOOKUP(C:C,[1]基础信息!B$1:D$65536,3,0)</f>
        <v>Hotcup</v>
      </c>
      <c r="AM34" s="1" t="str">
        <f>VLOOKUP(C:C,[1]基础信息!B$1:E$65536,4,0)</f>
        <v>Hotcup</v>
      </c>
      <c r="AN34" s="1" t="str">
        <f>VLOOKUP(C:C,[1]基础信息!B$1:F$65536,5,0)</f>
        <v xml:space="preserve"> Whi</v>
      </c>
    </row>
    <row r="35" spans="1:40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45</v>
      </c>
      <c r="F35" s="1" t="s">
        <v>46</v>
      </c>
      <c r="G35" s="1" t="s">
        <v>179</v>
      </c>
      <c r="H35" s="1" t="s">
        <v>180</v>
      </c>
      <c r="I35" s="1" t="s">
        <v>49</v>
      </c>
      <c r="J35" s="1" t="s">
        <v>48</v>
      </c>
      <c r="K35" s="1">
        <v>92</v>
      </c>
      <c r="L35" s="1">
        <v>0</v>
      </c>
      <c r="M35" s="1">
        <v>0</v>
      </c>
      <c r="N35" s="1">
        <v>92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 t="s">
        <v>49</v>
      </c>
      <c r="AA35" s="1" t="s">
        <v>49</v>
      </c>
      <c r="AB35" s="1" t="s">
        <v>49</v>
      </c>
      <c r="AC35" s="1" t="s">
        <v>50</v>
      </c>
      <c r="AD35" s="1" t="s">
        <v>51</v>
      </c>
      <c r="AE35" s="1" t="s">
        <v>50</v>
      </c>
      <c r="AF35" s="1" t="s">
        <v>52</v>
      </c>
      <c r="AG35" s="1" t="s">
        <v>53</v>
      </c>
      <c r="AH35" s="1" t="s">
        <v>49</v>
      </c>
      <c r="AI35" s="1" t="s">
        <v>54</v>
      </c>
      <c r="AJ35" s="1">
        <v>1</v>
      </c>
      <c r="AK35" s="1" t="str">
        <f t="shared" si="0"/>
        <v xml:space="preserve"> =&lt;90</v>
      </c>
      <c r="AL35" s="1" t="str">
        <f>VLOOKUP(C:C,[1]基础信息!B$1:D$65536,3,0)</f>
        <v>Jug</v>
      </c>
      <c r="AM35" s="1" t="str">
        <f>VLOOKUP(C:C,[1]基础信息!B$1:E$65536,4,0)</f>
        <v>Marella XL</v>
      </c>
      <c r="AN35" s="1" t="str">
        <f>VLOOKUP(C:C,[1]基础信息!B$1:F$65536,5,0)</f>
        <v>Black</v>
      </c>
    </row>
    <row r="36" spans="1:40">
      <c r="A36" s="1" t="s">
        <v>41</v>
      </c>
      <c r="B36" s="1" t="s">
        <v>42</v>
      </c>
      <c r="C36" s="1" t="s">
        <v>68</v>
      </c>
      <c r="D36" s="1" t="s">
        <v>69</v>
      </c>
      <c r="E36" s="1" t="s">
        <v>45</v>
      </c>
      <c r="F36" s="1" t="s">
        <v>80</v>
      </c>
      <c r="G36" s="1" t="s">
        <v>181</v>
      </c>
      <c r="H36" s="1" t="s">
        <v>182</v>
      </c>
      <c r="I36" s="1" t="s">
        <v>49</v>
      </c>
      <c r="J36" s="1" t="s">
        <v>48</v>
      </c>
      <c r="K36" s="1">
        <v>1</v>
      </c>
      <c r="L36" s="1">
        <v>0</v>
      </c>
      <c r="M36" s="1">
        <v>0</v>
      </c>
      <c r="N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 t="s">
        <v>49</v>
      </c>
      <c r="AA36" s="1" t="s">
        <v>49</v>
      </c>
      <c r="AB36" s="1" t="s">
        <v>49</v>
      </c>
      <c r="AC36" s="1" t="s">
        <v>73</v>
      </c>
      <c r="AD36" s="1" t="s">
        <v>74</v>
      </c>
      <c r="AE36" s="1" t="s">
        <v>73</v>
      </c>
      <c r="AF36" s="1" t="s">
        <v>82</v>
      </c>
      <c r="AG36" s="1" t="s">
        <v>76</v>
      </c>
      <c r="AH36" s="1" t="s">
        <v>49</v>
      </c>
      <c r="AI36" s="1" t="s">
        <v>54</v>
      </c>
      <c r="AJ36" s="1">
        <v>1</v>
      </c>
      <c r="AK36" s="1" t="str">
        <f t="shared" si="0"/>
        <v xml:space="preserve"> =&lt;90</v>
      </c>
      <c r="AL36" s="1" t="str">
        <f>VLOOKUP(C:C,[1]基础信息!B$1:D$65536,3,0)</f>
        <v>Hotcup</v>
      </c>
      <c r="AM36" s="1" t="str">
        <f>VLOOKUP(C:C,[1]基础信息!B$1:E$65536,4,0)</f>
        <v>Hotcup</v>
      </c>
      <c r="AN36" s="1" t="str">
        <f>VLOOKUP(C:C,[1]基础信息!B$1:F$65536,5,0)</f>
        <v xml:space="preserve"> Whi</v>
      </c>
    </row>
    <row r="37" spans="1:40">
      <c r="A37" s="1" t="s">
        <v>41</v>
      </c>
      <c r="B37" s="1" t="s">
        <v>42</v>
      </c>
      <c r="C37" s="1" t="s">
        <v>162</v>
      </c>
      <c r="D37" s="1" t="s">
        <v>163</v>
      </c>
      <c r="E37" s="1" t="s">
        <v>45</v>
      </c>
      <c r="F37" s="1" t="s">
        <v>164</v>
      </c>
      <c r="G37" s="1" t="s">
        <v>183</v>
      </c>
      <c r="H37" s="1" t="s">
        <v>184</v>
      </c>
      <c r="I37" s="1" t="s">
        <v>49</v>
      </c>
      <c r="J37" s="1" t="s">
        <v>48</v>
      </c>
      <c r="K37" s="1">
        <v>60</v>
      </c>
      <c r="L37" s="1">
        <v>0</v>
      </c>
      <c r="M37" s="1">
        <v>0</v>
      </c>
      <c r="N37" s="1">
        <v>60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 t="s">
        <v>49</v>
      </c>
      <c r="AA37" s="1" t="s">
        <v>49</v>
      </c>
      <c r="AB37" s="1" t="s">
        <v>49</v>
      </c>
      <c r="AC37" s="1" t="s">
        <v>167</v>
      </c>
      <c r="AD37" s="1" t="s">
        <v>168</v>
      </c>
      <c r="AE37" s="1" t="s">
        <v>169</v>
      </c>
      <c r="AF37" s="1" t="s">
        <v>170</v>
      </c>
      <c r="AG37" s="1" t="s">
        <v>53</v>
      </c>
      <c r="AH37" s="1" t="s">
        <v>49</v>
      </c>
      <c r="AI37" s="1" t="s">
        <v>54</v>
      </c>
      <c r="AJ37" s="1">
        <v>1</v>
      </c>
      <c r="AK37" s="1" t="str">
        <f t="shared" si="0"/>
        <v xml:space="preserve"> =&lt;90</v>
      </c>
      <c r="AL37" s="1" t="str">
        <f>VLOOKUP(C:C,[1]基础信息!B$1:D$65536,3,0)</f>
        <v>Jug</v>
      </c>
      <c r="AM37" s="1" t="str">
        <f>VLOOKUP(C:C,[1]基础信息!B$1:E$65536,4,0)</f>
        <v>Style</v>
      </c>
      <c r="AN37" s="1" t="str">
        <f>VLOOKUP(C:C,[1]基础信息!B$1:F$65536,5,0)</f>
        <v>Blue</v>
      </c>
    </row>
    <row r="38" spans="1:40">
      <c r="A38" s="1" t="s">
        <v>41</v>
      </c>
      <c r="B38" s="1" t="s">
        <v>42</v>
      </c>
      <c r="C38" s="1" t="s">
        <v>104</v>
      </c>
      <c r="D38" s="1" t="s">
        <v>105</v>
      </c>
      <c r="E38" s="1" t="s">
        <v>104</v>
      </c>
      <c r="F38" s="1" t="s">
        <v>151</v>
      </c>
      <c r="G38" s="1" t="s">
        <v>185</v>
      </c>
      <c r="H38" s="1" t="s">
        <v>186</v>
      </c>
      <c r="I38" s="1" t="s">
        <v>49</v>
      </c>
      <c r="J38" s="1" t="s">
        <v>48</v>
      </c>
      <c r="K38" s="1">
        <v>96</v>
      </c>
      <c r="L38" s="1">
        <v>0</v>
      </c>
      <c r="M38" s="1">
        <v>0</v>
      </c>
      <c r="N38" s="1">
        <v>96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 t="s">
        <v>49</v>
      </c>
      <c r="AA38" s="1" t="s">
        <v>49</v>
      </c>
      <c r="AB38" s="1" t="s">
        <v>49</v>
      </c>
      <c r="AC38" s="1" t="s">
        <v>154</v>
      </c>
      <c r="AD38" s="1" t="s">
        <v>155</v>
      </c>
      <c r="AE38" s="1" t="s">
        <v>154</v>
      </c>
      <c r="AF38" s="1" t="s">
        <v>111</v>
      </c>
      <c r="AG38" s="1" t="s">
        <v>53</v>
      </c>
      <c r="AH38" s="1" t="s">
        <v>49</v>
      </c>
      <c r="AI38" s="1" t="s">
        <v>54</v>
      </c>
      <c r="AJ38" s="1">
        <v>1</v>
      </c>
      <c r="AK38" s="1" t="str">
        <f t="shared" si="0"/>
        <v xml:space="preserve"> =&lt;90</v>
      </c>
      <c r="AL38" s="1" t="str">
        <f>VLOOKUP(C:C,[1]基础信息!B$1:D$65536,3,0)</f>
        <v>Jug</v>
      </c>
      <c r="AM38" s="1" t="str">
        <f>VLOOKUP(C:C,[1]基础信息!B$1:E$65536,4,0)</f>
        <v>Marella XL</v>
      </c>
      <c r="AN38" s="1" t="str">
        <f>VLOOKUP(C:C,[1]基础信息!B$1:F$65536,5,0)</f>
        <v>Blue</v>
      </c>
    </row>
    <row r="39" spans="1:40">
      <c r="A39" s="1" t="s">
        <v>41</v>
      </c>
      <c r="B39" s="1" t="s">
        <v>42</v>
      </c>
      <c r="C39" s="1" t="s">
        <v>104</v>
      </c>
      <c r="D39" s="1" t="s">
        <v>105</v>
      </c>
      <c r="E39" s="1" t="s">
        <v>104</v>
      </c>
      <c r="F39" s="1" t="s">
        <v>151</v>
      </c>
      <c r="G39" s="1" t="s">
        <v>187</v>
      </c>
      <c r="H39" s="1" t="s">
        <v>188</v>
      </c>
      <c r="I39" s="1" t="s">
        <v>49</v>
      </c>
      <c r="J39" s="1" t="s">
        <v>48</v>
      </c>
      <c r="K39" s="1">
        <v>96</v>
      </c>
      <c r="L39" s="1">
        <v>0</v>
      </c>
      <c r="M39" s="1">
        <v>0</v>
      </c>
      <c r="N39" s="1">
        <v>96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 t="s">
        <v>49</v>
      </c>
      <c r="AA39" s="1" t="s">
        <v>49</v>
      </c>
      <c r="AB39" s="1" t="s">
        <v>49</v>
      </c>
      <c r="AC39" s="1" t="s">
        <v>154</v>
      </c>
      <c r="AD39" s="1" t="s">
        <v>155</v>
      </c>
      <c r="AE39" s="1" t="s">
        <v>154</v>
      </c>
      <c r="AF39" s="1" t="s">
        <v>111</v>
      </c>
      <c r="AG39" s="1" t="s">
        <v>53</v>
      </c>
      <c r="AH39" s="1" t="s">
        <v>49</v>
      </c>
      <c r="AI39" s="1" t="s">
        <v>54</v>
      </c>
      <c r="AJ39" s="1">
        <v>1</v>
      </c>
      <c r="AK39" s="1" t="str">
        <f t="shared" si="0"/>
        <v xml:space="preserve"> =&lt;90</v>
      </c>
      <c r="AL39" s="1" t="str">
        <f>VLOOKUP(C:C,[1]基础信息!B$1:D$65536,3,0)</f>
        <v>Jug</v>
      </c>
      <c r="AM39" s="1" t="str">
        <f>VLOOKUP(C:C,[1]基础信息!B$1:E$65536,4,0)</f>
        <v>Marella XL</v>
      </c>
      <c r="AN39" s="1" t="str">
        <f>VLOOKUP(C:C,[1]基础信息!B$1:F$65536,5,0)</f>
        <v>Blue</v>
      </c>
    </row>
    <row r="40" spans="1:40">
      <c r="A40" s="1" t="s">
        <v>41</v>
      </c>
      <c r="B40" s="1" t="s">
        <v>42</v>
      </c>
      <c r="C40" s="1" t="s">
        <v>83</v>
      </c>
      <c r="D40" s="1" t="s">
        <v>84</v>
      </c>
      <c r="E40" s="1" t="s">
        <v>45</v>
      </c>
      <c r="F40" s="1" t="s">
        <v>85</v>
      </c>
      <c r="G40" s="1" t="s">
        <v>189</v>
      </c>
      <c r="H40" s="1" t="s">
        <v>190</v>
      </c>
      <c r="I40" s="1" t="s">
        <v>49</v>
      </c>
      <c r="J40" s="1" t="s">
        <v>48</v>
      </c>
      <c r="K40" s="1">
        <v>96</v>
      </c>
      <c r="L40" s="1">
        <v>0</v>
      </c>
      <c r="M40" s="1">
        <v>0</v>
      </c>
      <c r="N40" s="1">
        <v>96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 t="s">
        <v>49</v>
      </c>
      <c r="AA40" s="1" t="s">
        <v>49</v>
      </c>
      <c r="AB40" s="1" t="s">
        <v>49</v>
      </c>
      <c r="AC40" s="1" t="s">
        <v>88</v>
      </c>
      <c r="AD40" s="1" t="s">
        <v>89</v>
      </c>
      <c r="AE40" s="1" t="s">
        <v>88</v>
      </c>
      <c r="AF40" s="1" t="s">
        <v>90</v>
      </c>
      <c r="AG40" s="1" t="s">
        <v>53</v>
      </c>
      <c r="AH40" s="1" t="s">
        <v>49</v>
      </c>
      <c r="AI40" s="1" t="s">
        <v>54</v>
      </c>
      <c r="AJ40" s="1">
        <v>1</v>
      </c>
      <c r="AK40" s="1" t="str">
        <f t="shared" si="0"/>
        <v xml:space="preserve"> =&lt;90</v>
      </c>
      <c r="AL40" s="1" t="str">
        <f>VLOOKUP(C:C,[1]基础信息!B$1:D$65536,3,0)</f>
        <v>Jug</v>
      </c>
      <c r="AM40" s="1" t="str">
        <f>VLOOKUP(C:C,[1]基础信息!B$1:E$65536,4,0)</f>
        <v>Mxplus</v>
      </c>
      <c r="AN40" s="1" t="str">
        <f>VLOOKUP(C:C,[1]基础信息!B$1:F$65536,5,0)</f>
        <v>Blue</v>
      </c>
    </row>
    <row r="41" spans="1:40">
      <c r="A41" s="1" t="s">
        <v>41</v>
      </c>
      <c r="B41" s="1" t="s">
        <v>42</v>
      </c>
      <c r="C41" s="1" t="s">
        <v>162</v>
      </c>
      <c r="D41" s="1" t="s">
        <v>163</v>
      </c>
      <c r="E41" s="1" t="s">
        <v>45</v>
      </c>
      <c r="F41" s="1" t="s">
        <v>164</v>
      </c>
      <c r="G41" s="1" t="s">
        <v>191</v>
      </c>
      <c r="H41" s="1" t="s">
        <v>192</v>
      </c>
      <c r="I41" s="1" t="s">
        <v>49</v>
      </c>
      <c r="J41" s="1" t="s">
        <v>48</v>
      </c>
      <c r="K41" s="1">
        <v>60</v>
      </c>
      <c r="L41" s="1">
        <v>0</v>
      </c>
      <c r="M41" s="1">
        <v>0</v>
      </c>
      <c r="N41" s="1">
        <v>60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 t="s">
        <v>49</v>
      </c>
      <c r="AA41" s="1" t="s">
        <v>49</v>
      </c>
      <c r="AB41" s="1" t="s">
        <v>49</v>
      </c>
      <c r="AC41" s="1" t="s">
        <v>167</v>
      </c>
      <c r="AD41" s="1" t="s">
        <v>168</v>
      </c>
      <c r="AE41" s="1" t="s">
        <v>169</v>
      </c>
      <c r="AF41" s="1" t="s">
        <v>170</v>
      </c>
      <c r="AG41" s="1" t="s">
        <v>53</v>
      </c>
      <c r="AH41" s="1" t="s">
        <v>49</v>
      </c>
      <c r="AI41" s="1" t="s">
        <v>54</v>
      </c>
      <c r="AJ41" s="1">
        <v>1</v>
      </c>
      <c r="AK41" s="1" t="str">
        <f t="shared" si="0"/>
        <v xml:space="preserve"> =&lt;90</v>
      </c>
      <c r="AL41" s="1" t="str">
        <f>VLOOKUP(C:C,[1]基础信息!B$1:D$65536,3,0)</f>
        <v>Jug</v>
      </c>
      <c r="AM41" s="1" t="str">
        <f>VLOOKUP(C:C,[1]基础信息!B$1:E$65536,4,0)</f>
        <v>Style</v>
      </c>
      <c r="AN41" s="1" t="str">
        <f>VLOOKUP(C:C,[1]基础信息!B$1:F$65536,5,0)</f>
        <v>Blue</v>
      </c>
    </row>
    <row r="42" spans="1:40">
      <c r="A42" s="1" t="s">
        <v>41</v>
      </c>
      <c r="B42" s="1" t="s">
        <v>42</v>
      </c>
      <c r="C42" s="1" t="s">
        <v>104</v>
      </c>
      <c r="D42" s="1" t="s">
        <v>105</v>
      </c>
      <c r="E42" s="1" t="s">
        <v>104</v>
      </c>
      <c r="F42" s="1" t="s">
        <v>151</v>
      </c>
      <c r="G42" s="1" t="s">
        <v>193</v>
      </c>
      <c r="H42" s="1" t="s">
        <v>194</v>
      </c>
      <c r="I42" s="1" t="s">
        <v>49</v>
      </c>
      <c r="J42" s="1" t="s">
        <v>48</v>
      </c>
      <c r="K42" s="1">
        <v>96</v>
      </c>
      <c r="L42" s="1">
        <v>0</v>
      </c>
      <c r="M42" s="1">
        <v>0</v>
      </c>
      <c r="N42" s="1">
        <v>96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 t="s">
        <v>49</v>
      </c>
      <c r="AA42" s="1" t="s">
        <v>49</v>
      </c>
      <c r="AB42" s="1" t="s">
        <v>49</v>
      </c>
      <c r="AC42" s="1" t="s">
        <v>154</v>
      </c>
      <c r="AD42" s="1" t="s">
        <v>155</v>
      </c>
      <c r="AE42" s="1" t="s">
        <v>154</v>
      </c>
      <c r="AF42" s="1" t="s">
        <v>111</v>
      </c>
      <c r="AG42" s="1" t="s">
        <v>53</v>
      </c>
      <c r="AH42" s="1" t="s">
        <v>49</v>
      </c>
      <c r="AI42" s="1" t="s">
        <v>54</v>
      </c>
      <c r="AJ42" s="1">
        <v>1</v>
      </c>
      <c r="AK42" s="1" t="str">
        <f t="shared" si="0"/>
        <v xml:space="preserve"> =&lt;90</v>
      </c>
      <c r="AL42" s="1" t="str">
        <f>VLOOKUP(C:C,[1]基础信息!B$1:D$65536,3,0)</f>
        <v>Jug</v>
      </c>
      <c r="AM42" s="1" t="str">
        <f>VLOOKUP(C:C,[1]基础信息!B$1:E$65536,4,0)</f>
        <v>Marella XL</v>
      </c>
      <c r="AN42" s="1" t="str">
        <f>VLOOKUP(C:C,[1]基础信息!B$1:F$65536,5,0)</f>
        <v>Blue</v>
      </c>
    </row>
    <row r="43" spans="1:40">
      <c r="A43" s="1" t="s">
        <v>41</v>
      </c>
      <c r="B43" s="1" t="s">
        <v>42</v>
      </c>
      <c r="C43" s="1" t="s">
        <v>83</v>
      </c>
      <c r="D43" s="1" t="s">
        <v>84</v>
      </c>
      <c r="E43" s="1" t="s">
        <v>45</v>
      </c>
      <c r="F43" s="1" t="s">
        <v>85</v>
      </c>
      <c r="G43" s="1" t="s">
        <v>195</v>
      </c>
      <c r="H43" s="1" t="s">
        <v>196</v>
      </c>
      <c r="I43" s="1" t="s">
        <v>49</v>
      </c>
      <c r="J43" s="1" t="s">
        <v>48</v>
      </c>
      <c r="K43" s="1">
        <v>96</v>
      </c>
      <c r="L43" s="1">
        <v>0</v>
      </c>
      <c r="M43" s="1">
        <v>0</v>
      </c>
      <c r="N43" s="1">
        <v>96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 t="s">
        <v>49</v>
      </c>
      <c r="AA43" s="1" t="s">
        <v>49</v>
      </c>
      <c r="AB43" s="1" t="s">
        <v>49</v>
      </c>
      <c r="AC43" s="1" t="s">
        <v>88</v>
      </c>
      <c r="AD43" s="1" t="s">
        <v>89</v>
      </c>
      <c r="AE43" s="1" t="s">
        <v>88</v>
      </c>
      <c r="AF43" s="1" t="s">
        <v>90</v>
      </c>
      <c r="AG43" s="1" t="s">
        <v>53</v>
      </c>
      <c r="AH43" s="1" t="s">
        <v>49</v>
      </c>
      <c r="AI43" s="1" t="s">
        <v>54</v>
      </c>
      <c r="AJ43" s="1">
        <v>1</v>
      </c>
      <c r="AK43" s="1" t="str">
        <f t="shared" si="0"/>
        <v xml:space="preserve"> =&lt;90</v>
      </c>
      <c r="AL43" s="1" t="str">
        <f>VLOOKUP(C:C,[1]基础信息!B$1:D$65536,3,0)</f>
        <v>Jug</v>
      </c>
      <c r="AM43" s="1" t="str">
        <f>VLOOKUP(C:C,[1]基础信息!B$1:E$65536,4,0)</f>
        <v>Mxplus</v>
      </c>
      <c r="AN43" s="1" t="str">
        <f>VLOOKUP(C:C,[1]基础信息!B$1:F$65536,5,0)</f>
        <v>Blue</v>
      </c>
    </row>
    <row r="44" spans="1:40">
      <c r="A44" s="1" t="s">
        <v>41</v>
      </c>
      <c r="B44" s="1" t="s">
        <v>42</v>
      </c>
      <c r="C44" s="1" t="s">
        <v>83</v>
      </c>
      <c r="D44" s="1" t="s">
        <v>84</v>
      </c>
      <c r="E44" s="1" t="s">
        <v>45</v>
      </c>
      <c r="F44" s="1" t="s">
        <v>85</v>
      </c>
      <c r="G44" s="1" t="s">
        <v>197</v>
      </c>
      <c r="H44" s="1" t="s">
        <v>198</v>
      </c>
      <c r="I44" s="1" t="s">
        <v>49</v>
      </c>
      <c r="J44" s="1" t="s">
        <v>48</v>
      </c>
      <c r="K44" s="1">
        <v>96</v>
      </c>
      <c r="L44" s="1">
        <v>0</v>
      </c>
      <c r="M44" s="1">
        <v>0</v>
      </c>
      <c r="N44" s="1">
        <v>96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 t="s">
        <v>49</v>
      </c>
      <c r="AA44" s="1" t="s">
        <v>49</v>
      </c>
      <c r="AB44" s="1" t="s">
        <v>49</v>
      </c>
      <c r="AC44" s="1" t="s">
        <v>88</v>
      </c>
      <c r="AD44" s="1" t="s">
        <v>89</v>
      </c>
      <c r="AE44" s="1" t="s">
        <v>88</v>
      </c>
      <c r="AF44" s="1" t="s">
        <v>90</v>
      </c>
      <c r="AG44" s="1" t="s">
        <v>53</v>
      </c>
      <c r="AH44" s="1" t="s">
        <v>49</v>
      </c>
      <c r="AI44" s="1" t="s">
        <v>54</v>
      </c>
      <c r="AJ44" s="1">
        <v>1</v>
      </c>
      <c r="AK44" s="1" t="str">
        <f t="shared" si="0"/>
        <v xml:space="preserve"> =&lt;90</v>
      </c>
      <c r="AL44" s="1" t="str">
        <f>VLOOKUP(C:C,[1]基础信息!B$1:D$65536,3,0)</f>
        <v>Jug</v>
      </c>
      <c r="AM44" s="1" t="str">
        <f>VLOOKUP(C:C,[1]基础信息!B$1:E$65536,4,0)</f>
        <v>Mxplus</v>
      </c>
      <c r="AN44" s="1" t="str">
        <f>VLOOKUP(C:C,[1]基础信息!B$1:F$65536,5,0)</f>
        <v>Blue</v>
      </c>
    </row>
    <row r="45" spans="1:40">
      <c r="A45" s="1" t="s">
        <v>41</v>
      </c>
      <c r="B45" s="1" t="s">
        <v>42</v>
      </c>
      <c r="C45" s="1" t="s">
        <v>83</v>
      </c>
      <c r="D45" s="1" t="s">
        <v>84</v>
      </c>
      <c r="E45" s="1" t="s">
        <v>45</v>
      </c>
      <c r="F45" s="1" t="s">
        <v>85</v>
      </c>
      <c r="G45" s="1" t="s">
        <v>199</v>
      </c>
      <c r="H45" s="1" t="s">
        <v>200</v>
      </c>
      <c r="I45" s="1" t="s">
        <v>49</v>
      </c>
      <c r="J45" s="1" t="s">
        <v>48</v>
      </c>
      <c r="K45" s="1">
        <v>96</v>
      </c>
      <c r="L45" s="1">
        <v>0</v>
      </c>
      <c r="M45" s="1">
        <v>0</v>
      </c>
      <c r="N45" s="1">
        <v>96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 t="s">
        <v>49</v>
      </c>
      <c r="AA45" s="1" t="s">
        <v>49</v>
      </c>
      <c r="AB45" s="1" t="s">
        <v>49</v>
      </c>
      <c r="AC45" s="1" t="s">
        <v>88</v>
      </c>
      <c r="AD45" s="1" t="s">
        <v>89</v>
      </c>
      <c r="AE45" s="1" t="s">
        <v>88</v>
      </c>
      <c r="AF45" s="1" t="s">
        <v>90</v>
      </c>
      <c r="AG45" s="1" t="s">
        <v>53</v>
      </c>
      <c r="AH45" s="1" t="s">
        <v>49</v>
      </c>
      <c r="AI45" s="1" t="s">
        <v>54</v>
      </c>
      <c r="AJ45" s="1">
        <v>1</v>
      </c>
      <c r="AK45" s="1" t="str">
        <f t="shared" si="0"/>
        <v xml:space="preserve"> =&lt;90</v>
      </c>
      <c r="AL45" s="1" t="str">
        <f>VLOOKUP(C:C,[1]基础信息!B$1:D$65536,3,0)</f>
        <v>Jug</v>
      </c>
      <c r="AM45" s="1" t="str">
        <f>VLOOKUP(C:C,[1]基础信息!B$1:E$65536,4,0)</f>
        <v>Mxplus</v>
      </c>
      <c r="AN45" s="1" t="str">
        <f>VLOOKUP(C:C,[1]基础信息!B$1:F$65536,5,0)</f>
        <v>Blue</v>
      </c>
    </row>
    <row r="46" spans="1:40">
      <c r="A46" s="1" t="s">
        <v>41</v>
      </c>
      <c r="B46" s="1" t="s">
        <v>42</v>
      </c>
      <c r="C46" s="1" t="s">
        <v>68</v>
      </c>
      <c r="D46" s="1" t="s">
        <v>69</v>
      </c>
      <c r="E46" s="1" t="s">
        <v>45</v>
      </c>
      <c r="F46" s="1" t="s">
        <v>201</v>
      </c>
      <c r="G46" s="1" t="s">
        <v>202</v>
      </c>
      <c r="H46" s="1" t="s">
        <v>203</v>
      </c>
      <c r="I46" s="1" t="s">
        <v>49</v>
      </c>
      <c r="J46" s="1" t="s">
        <v>48</v>
      </c>
      <c r="K46" s="1">
        <v>36</v>
      </c>
      <c r="L46" s="1">
        <v>0</v>
      </c>
      <c r="M46" s="1">
        <v>0</v>
      </c>
      <c r="N46" s="1">
        <v>36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 t="s">
        <v>49</v>
      </c>
      <c r="AA46" s="1" t="s">
        <v>49</v>
      </c>
      <c r="AB46" s="1" t="s">
        <v>49</v>
      </c>
      <c r="AC46" s="1" t="s">
        <v>204</v>
      </c>
      <c r="AD46" s="1" t="s">
        <v>205</v>
      </c>
      <c r="AE46" s="1" t="s">
        <v>206</v>
      </c>
      <c r="AF46" s="1" t="s">
        <v>207</v>
      </c>
      <c r="AG46" s="1" t="s">
        <v>53</v>
      </c>
      <c r="AH46" s="1" t="s">
        <v>49</v>
      </c>
      <c r="AI46" s="1" t="s">
        <v>54</v>
      </c>
      <c r="AJ46" s="1">
        <v>1</v>
      </c>
      <c r="AK46" s="1" t="str">
        <f t="shared" si="0"/>
        <v xml:space="preserve"> =&lt;90</v>
      </c>
      <c r="AL46" s="1" t="str">
        <f>VLOOKUP(C:C,[1]基础信息!B$1:D$65536,3,0)</f>
        <v>Hotcup</v>
      </c>
      <c r="AM46" s="1" t="str">
        <f>VLOOKUP(C:C,[1]基础信息!B$1:E$65536,4,0)</f>
        <v>Hotcup</v>
      </c>
      <c r="AN46" s="1" t="str">
        <f>VLOOKUP(C:C,[1]基础信息!B$1:F$65536,5,0)</f>
        <v xml:space="preserve"> Whi</v>
      </c>
    </row>
    <row r="47" spans="1:40">
      <c r="A47" s="1" t="s">
        <v>41</v>
      </c>
      <c r="B47" s="1" t="s">
        <v>42</v>
      </c>
      <c r="C47" s="1" t="s">
        <v>208</v>
      </c>
      <c r="D47" s="1" t="s">
        <v>209</v>
      </c>
      <c r="E47" s="1" t="s">
        <v>208</v>
      </c>
      <c r="F47" s="1" t="s">
        <v>210</v>
      </c>
      <c r="G47" s="1" t="s">
        <v>211</v>
      </c>
      <c r="H47" s="1" t="s">
        <v>212</v>
      </c>
      <c r="I47" s="1" t="s">
        <v>49</v>
      </c>
      <c r="J47" s="1" t="s">
        <v>48</v>
      </c>
      <c r="K47" s="1">
        <v>80</v>
      </c>
      <c r="L47" s="1">
        <v>0</v>
      </c>
      <c r="M47" s="1">
        <v>0</v>
      </c>
      <c r="N47" s="1">
        <v>80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 t="s">
        <v>49</v>
      </c>
      <c r="AA47" s="1" t="s">
        <v>49</v>
      </c>
      <c r="AB47" s="1" t="s">
        <v>49</v>
      </c>
      <c r="AC47" s="1" t="s">
        <v>213</v>
      </c>
      <c r="AD47" s="1" t="s">
        <v>214</v>
      </c>
      <c r="AE47" s="1" t="s">
        <v>215</v>
      </c>
      <c r="AF47" s="1" t="s">
        <v>216</v>
      </c>
      <c r="AG47" s="1" t="s">
        <v>53</v>
      </c>
      <c r="AH47" s="1" t="s">
        <v>49</v>
      </c>
      <c r="AI47" s="1" t="s">
        <v>54</v>
      </c>
      <c r="AJ47" s="1">
        <v>1</v>
      </c>
      <c r="AK47" s="1" t="str">
        <f t="shared" si="0"/>
        <v xml:space="preserve"> =&lt;90</v>
      </c>
      <c r="AL47" s="1" t="str">
        <f>VLOOKUP(C:C,[1]基础信息!B$1:D$65536,3,0)</f>
        <v>Jug</v>
      </c>
      <c r="AM47" s="1" t="str">
        <f>VLOOKUP(C:C,[1]基础信息!B$1:E$65536,4,0)</f>
        <v>MXpl</v>
      </c>
      <c r="AN47" s="1" t="str">
        <f>VLOOKUP(C:C,[1]基础信息!B$1:F$65536,5,0)</f>
        <v>grey</v>
      </c>
    </row>
    <row r="48" spans="1:40">
      <c r="A48" s="1" t="s">
        <v>41</v>
      </c>
      <c r="B48" s="1" t="s">
        <v>42</v>
      </c>
      <c r="C48" s="1" t="s">
        <v>83</v>
      </c>
      <c r="D48" s="1" t="s">
        <v>84</v>
      </c>
      <c r="E48" s="1" t="s">
        <v>45</v>
      </c>
      <c r="F48" s="1" t="s">
        <v>85</v>
      </c>
      <c r="G48" s="1" t="s">
        <v>217</v>
      </c>
      <c r="H48" s="1" t="s">
        <v>218</v>
      </c>
      <c r="I48" s="1" t="s">
        <v>49</v>
      </c>
      <c r="J48" s="1" t="s">
        <v>48</v>
      </c>
      <c r="K48" s="1">
        <v>96</v>
      </c>
      <c r="L48" s="1">
        <v>0</v>
      </c>
      <c r="M48" s="1">
        <v>0</v>
      </c>
      <c r="N48" s="1">
        <v>96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 t="s">
        <v>49</v>
      </c>
      <c r="AA48" s="1" t="s">
        <v>49</v>
      </c>
      <c r="AB48" s="1" t="s">
        <v>49</v>
      </c>
      <c r="AC48" s="1" t="s">
        <v>88</v>
      </c>
      <c r="AD48" s="1" t="s">
        <v>89</v>
      </c>
      <c r="AE48" s="1" t="s">
        <v>88</v>
      </c>
      <c r="AF48" s="1" t="s">
        <v>90</v>
      </c>
      <c r="AG48" s="1" t="s">
        <v>53</v>
      </c>
      <c r="AH48" s="1" t="s">
        <v>49</v>
      </c>
      <c r="AI48" s="1" t="s">
        <v>54</v>
      </c>
      <c r="AJ48" s="1">
        <v>1</v>
      </c>
      <c r="AK48" s="1" t="str">
        <f t="shared" si="0"/>
        <v xml:space="preserve"> =&lt;90</v>
      </c>
      <c r="AL48" s="1" t="str">
        <f>VLOOKUP(C:C,[1]基础信息!B$1:D$65536,3,0)</f>
        <v>Jug</v>
      </c>
      <c r="AM48" s="1" t="str">
        <f>VLOOKUP(C:C,[1]基础信息!B$1:E$65536,4,0)</f>
        <v>Mxplus</v>
      </c>
      <c r="AN48" s="1" t="str">
        <f>VLOOKUP(C:C,[1]基础信息!B$1:F$65536,5,0)</f>
        <v>Blue</v>
      </c>
    </row>
    <row r="49" spans="1:40">
      <c r="A49" s="1" t="s">
        <v>41</v>
      </c>
      <c r="B49" s="1" t="s">
        <v>42</v>
      </c>
      <c r="C49" s="1" t="s">
        <v>219</v>
      </c>
      <c r="D49" s="1" t="s">
        <v>220</v>
      </c>
      <c r="E49" s="1" t="s">
        <v>219</v>
      </c>
      <c r="F49" s="1" t="s">
        <v>221</v>
      </c>
      <c r="G49" s="1" t="s">
        <v>222</v>
      </c>
      <c r="H49" s="1" t="s">
        <v>223</v>
      </c>
      <c r="I49" s="1" t="s">
        <v>49</v>
      </c>
      <c r="J49" s="1" t="s">
        <v>48</v>
      </c>
      <c r="K49" s="1">
        <v>14</v>
      </c>
      <c r="L49" s="1">
        <v>0</v>
      </c>
      <c r="M49" s="1">
        <v>0</v>
      </c>
      <c r="N49" s="1">
        <v>14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 t="s">
        <v>49</v>
      </c>
      <c r="AA49" s="1" t="s">
        <v>49</v>
      </c>
      <c r="AB49" s="1" t="s">
        <v>49</v>
      </c>
      <c r="AC49" s="1" t="s">
        <v>224</v>
      </c>
      <c r="AD49" s="1" t="s">
        <v>225</v>
      </c>
      <c r="AE49" s="1" t="s">
        <v>224</v>
      </c>
      <c r="AF49" s="1" t="s">
        <v>226</v>
      </c>
      <c r="AG49" s="1" t="s">
        <v>227</v>
      </c>
      <c r="AH49" s="1" t="s">
        <v>49</v>
      </c>
      <c r="AI49" s="1" t="s">
        <v>54</v>
      </c>
      <c r="AJ49" s="1">
        <v>1</v>
      </c>
      <c r="AK49" s="1" t="str">
        <f t="shared" si="0"/>
        <v xml:space="preserve"> =&lt;90</v>
      </c>
      <c r="AL49" s="1" t="str">
        <f>VLOOKUP(C:C,[1]基础信息!B$1:D$65536,3,0)</f>
        <v>Spare Parts</v>
      </c>
      <c r="AM49" s="1" t="str">
        <f>VLOOKUP(C:C,[1]基础信息!B$1:E$65536,4,0)</f>
        <v>Spare Parts</v>
      </c>
      <c r="AN49" s="1" t="str">
        <f>VLOOKUP(C:C,[1]基础信息!B$1:F$65536,5,0)</f>
        <v>Spare Parts</v>
      </c>
    </row>
    <row r="50" spans="1:40">
      <c r="A50" s="1" t="s">
        <v>41</v>
      </c>
      <c r="B50" s="1" t="s">
        <v>42</v>
      </c>
      <c r="C50" s="1" t="s">
        <v>68</v>
      </c>
      <c r="D50" s="1" t="s">
        <v>69</v>
      </c>
      <c r="E50" s="1" t="s">
        <v>45</v>
      </c>
      <c r="F50" s="1" t="s">
        <v>201</v>
      </c>
      <c r="G50" s="1" t="s">
        <v>228</v>
      </c>
      <c r="H50" s="1" t="s">
        <v>229</v>
      </c>
      <c r="I50" s="1" t="s">
        <v>49</v>
      </c>
      <c r="J50" s="1" t="s">
        <v>48</v>
      </c>
      <c r="K50" s="1">
        <v>36</v>
      </c>
      <c r="L50" s="1">
        <v>0</v>
      </c>
      <c r="M50" s="1">
        <v>0</v>
      </c>
      <c r="N50" s="1">
        <v>36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 t="s">
        <v>49</v>
      </c>
      <c r="AA50" s="1" t="s">
        <v>49</v>
      </c>
      <c r="AB50" s="1" t="s">
        <v>49</v>
      </c>
      <c r="AC50" s="1" t="s">
        <v>204</v>
      </c>
      <c r="AD50" s="1" t="s">
        <v>205</v>
      </c>
      <c r="AE50" s="1" t="s">
        <v>206</v>
      </c>
      <c r="AF50" s="1" t="s">
        <v>207</v>
      </c>
      <c r="AG50" s="1" t="s">
        <v>53</v>
      </c>
      <c r="AH50" s="1" t="s">
        <v>49</v>
      </c>
      <c r="AI50" s="1" t="s">
        <v>54</v>
      </c>
      <c r="AJ50" s="1">
        <v>1</v>
      </c>
      <c r="AK50" s="1" t="str">
        <f t="shared" si="0"/>
        <v xml:space="preserve"> =&lt;90</v>
      </c>
      <c r="AL50" s="1" t="str">
        <f>VLOOKUP(C:C,[1]基础信息!B$1:D$65536,3,0)</f>
        <v>Hotcup</v>
      </c>
      <c r="AM50" s="1" t="str">
        <f>VLOOKUP(C:C,[1]基础信息!B$1:E$65536,4,0)</f>
        <v>Hotcup</v>
      </c>
      <c r="AN50" s="1" t="str">
        <f>VLOOKUP(C:C,[1]基础信息!B$1:F$65536,5,0)</f>
        <v xml:space="preserve"> Whi</v>
      </c>
    </row>
    <row r="51" spans="1:40">
      <c r="A51" s="1" t="s">
        <v>41</v>
      </c>
      <c r="B51" s="1" t="s">
        <v>42</v>
      </c>
      <c r="C51" s="1" t="s">
        <v>83</v>
      </c>
      <c r="D51" s="1" t="s">
        <v>84</v>
      </c>
      <c r="E51" s="1" t="s">
        <v>45</v>
      </c>
      <c r="F51" s="1" t="s">
        <v>85</v>
      </c>
      <c r="G51" s="1" t="s">
        <v>230</v>
      </c>
      <c r="H51" s="1" t="s">
        <v>231</v>
      </c>
      <c r="I51" s="1" t="s">
        <v>49</v>
      </c>
      <c r="J51" s="1" t="s">
        <v>48</v>
      </c>
      <c r="K51" s="1">
        <v>96</v>
      </c>
      <c r="L51" s="1">
        <v>0</v>
      </c>
      <c r="M51" s="1">
        <v>0</v>
      </c>
      <c r="N51" s="1">
        <v>96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 t="s">
        <v>49</v>
      </c>
      <c r="AA51" s="1" t="s">
        <v>49</v>
      </c>
      <c r="AB51" s="1" t="s">
        <v>49</v>
      </c>
      <c r="AC51" s="1" t="s">
        <v>88</v>
      </c>
      <c r="AD51" s="1" t="s">
        <v>89</v>
      </c>
      <c r="AE51" s="1" t="s">
        <v>88</v>
      </c>
      <c r="AF51" s="1" t="s">
        <v>90</v>
      </c>
      <c r="AG51" s="1" t="s">
        <v>53</v>
      </c>
      <c r="AH51" s="1" t="s">
        <v>49</v>
      </c>
      <c r="AI51" s="1" t="s">
        <v>54</v>
      </c>
      <c r="AJ51" s="1">
        <v>1</v>
      </c>
      <c r="AK51" s="1" t="str">
        <f t="shared" si="0"/>
        <v xml:space="preserve"> =&lt;90</v>
      </c>
      <c r="AL51" s="1" t="str">
        <f>VLOOKUP(C:C,[1]基础信息!B$1:D$65536,3,0)</f>
        <v>Jug</v>
      </c>
      <c r="AM51" s="1" t="str">
        <f>VLOOKUP(C:C,[1]基础信息!B$1:E$65536,4,0)</f>
        <v>Mxplus</v>
      </c>
      <c r="AN51" s="1" t="str">
        <f>VLOOKUP(C:C,[1]基础信息!B$1:F$65536,5,0)</f>
        <v>Blue</v>
      </c>
    </row>
    <row r="52" spans="1:40">
      <c r="A52" s="1" t="s">
        <v>41</v>
      </c>
      <c r="B52" s="1" t="s">
        <v>42</v>
      </c>
      <c r="C52" s="1" t="s">
        <v>112</v>
      </c>
      <c r="D52" s="1" t="s">
        <v>113</v>
      </c>
      <c r="E52" s="1" t="s">
        <v>45</v>
      </c>
      <c r="F52" s="1" t="s">
        <v>141</v>
      </c>
      <c r="G52" s="1" t="s">
        <v>232</v>
      </c>
      <c r="H52" s="1" t="s">
        <v>233</v>
      </c>
      <c r="I52" s="1" t="s">
        <v>49</v>
      </c>
      <c r="J52" s="1" t="s">
        <v>48</v>
      </c>
      <c r="K52" s="1">
        <v>120</v>
      </c>
      <c r="L52" s="1">
        <v>0</v>
      </c>
      <c r="M52" s="1">
        <v>0</v>
      </c>
      <c r="N52" s="1">
        <v>120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 t="s">
        <v>49</v>
      </c>
      <c r="AA52" s="1" t="s">
        <v>49</v>
      </c>
      <c r="AB52" s="1" t="s">
        <v>49</v>
      </c>
      <c r="AC52" s="1" t="s">
        <v>144</v>
      </c>
      <c r="AD52" s="1" t="s">
        <v>145</v>
      </c>
      <c r="AE52" s="1" t="s">
        <v>144</v>
      </c>
      <c r="AF52" s="1" t="s">
        <v>146</v>
      </c>
      <c r="AG52" s="1" t="s">
        <v>53</v>
      </c>
      <c r="AH52" s="1" t="s">
        <v>49</v>
      </c>
      <c r="AI52" s="1" t="s">
        <v>54</v>
      </c>
      <c r="AJ52" s="1">
        <v>1</v>
      </c>
      <c r="AK52" s="1" t="str">
        <f t="shared" si="0"/>
        <v xml:space="preserve"> =&lt;90</v>
      </c>
      <c r="AL52" s="1" t="str">
        <f>VLOOKUP(C:C,[1]基础信息!B$1:D$65536,3,0)</f>
        <v>UTS</v>
      </c>
      <c r="AM52" s="1" t="str">
        <f>VLOOKUP(C:C,[1]基础信息!B$1:E$65536,4,0)</f>
        <v>MyPure Pro</v>
      </c>
      <c r="AN52" s="1" t="str">
        <f>VLOOKUP(C:C,[1]基础信息!B$1:F$65536,5,0)</f>
        <v>Refill</v>
      </c>
    </row>
    <row r="53" spans="1:40">
      <c r="A53" s="1" t="s">
        <v>41</v>
      </c>
      <c r="B53" s="1" t="s">
        <v>42</v>
      </c>
      <c r="C53" s="1" t="s">
        <v>104</v>
      </c>
      <c r="D53" s="1" t="s">
        <v>105</v>
      </c>
      <c r="E53" s="1" t="s">
        <v>104</v>
      </c>
      <c r="F53" s="1" t="s">
        <v>151</v>
      </c>
      <c r="G53" s="1" t="s">
        <v>234</v>
      </c>
      <c r="H53" s="1" t="s">
        <v>235</v>
      </c>
      <c r="I53" s="1" t="s">
        <v>49</v>
      </c>
      <c r="J53" s="1" t="s">
        <v>48</v>
      </c>
      <c r="K53" s="1">
        <v>96</v>
      </c>
      <c r="L53" s="1">
        <v>0</v>
      </c>
      <c r="M53" s="1">
        <v>0</v>
      </c>
      <c r="N53" s="1">
        <v>96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 t="s">
        <v>49</v>
      </c>
      <c r="AA53" s="1" t="s">
        <v>49</v>
      </c>
      <c r="AB53" s="1" t="s">
        <v>49</v>
      </c>
      <c r="AC53" s="1" t="s">
        <v>154</v>
      </c>
      <c r="AD53" s="1" t="s">
        <v>155</v>
      </c>
      <c r="AE53" s="1" t="s">
        <v>154</v>
      </c>
      <c r="AF53" s="1" t="s">
        <v>111</v>
      </c>
      <c r="AG53" s="1" t="s">
        <v>53</v>
      </c>
      <c r="AH53" s="1" t="s">
        <v>49</v>
      </c>
      <c r="AI53" s="1" t="s">
        <v>54</v>
      </c>
      <c r="AJ53" s="1">
        <v>1</v>
      </c>
      <c r="AK53" s="1" t="str">
        <f t="shared" si="0"/>
        <v xml:space="preserve"> =&lt;90</v>
      </c>
      <c r="AL53" s="1" t="str">
        <f>VLOOKUP(C:C,[1]基础信息!B$1:D$65536,3,0)</f>
        <v>Jug</v>
      </c>
      <c r="AM53" s="1" t="str">
        <f>VLOOKUP(C:C,[1]基础信息!B$1:E$65536,4,0)</f>
        <v>Marella XL</v>
      </c>
      <c r="AN53" s="1" t="str">
        <f>VLOOKUP(C:C,[1]基础信息!B$1:F$65536,5,0)</f>
        <v>Blue</v>
      </c>
    </row>
    <row r="54" spans="1:40">
      <c r="A54" s="1" t="s">
        <v>41</v>
      </c>
      <c r="B54" s="1" t="s">
        <v>42</v>
      </c>
      <c r="C54" s="1" t="s">
        <v>104</v>
      </c>
      <c r="D54" s="1" t="s">
        <v>105</v>
      </c>
      <c r="E54" s="1" t="s">
        <v>104</v>
      </c>
      <c r="F54" s="1" t="s">
        <v>151</v>
      </c>
      <c r="G54" s="1" t="s">
        <v>236</v>
      </c>
      <c r="H54" s="1" t="s">
        <v>237</v>
      </c>
      <c r="I54" s="1" t="s">
        <v>49</v>
      </c>
      <c r="J54" s="1" t="s">
        <v>48</v>
      </c>
      <c r="K54" s="1">
        <v>96</v>
      </c>
      <c r="L54" s="1">
        <v>0</v>
      </c>
      <c r="M54" s="1">
        <v>0</v>
      </c>
      <c r="N54" s="1">
        <v>96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 t="s">
        <v>49</v>
      </c>
      <c r="AA54" s="1" t="s">
        <v>49</v>
      </c>
      <c r="AB54" s="1" t="s">
        <v>49</v>
      </c>
      <c r="AC54" s="1" t="s">
        <v>154</v>
      </c>
      <c r="AD54" s="1" t="s">
        <v>155</v>
      </c>
      <c r="AE54" s="1" t="s">
        <v>154</v>
      </c>
      <c r="AF54" s="1" t="s">
        <v>111</v>
      </c>
      <c r="AG54" s="1" t="s">
        <v>53</v>
      </c>
      <c r="AH54" s="1" t="s">
        <v>49</v>
      </c>
      <c r="AI54" s="1" t="s">
        <v>54</v>
      </c>
      <c r="AJ54" s="1">
        <v>1</v>
      </c>
      <c r="AK54" s="1" t="str">
        <f t="shared" si="0"/>
        <v xml:space="preserve"> =&lt;90</v>
      </c>
      <c r="AL54" s="1" t="str">
        <f>VLOOKUP(C:C,[1]基础信息!B$1:D$65536,3,0)</f>
        <v>Jug</v>
      </c>
      <c r="AM54" s="1" t="str">
        <f>VLOOKUP(C:C,[1]基础信息!B$1:E$65536,4,0)</f>
        <v>Marella XL</v>
      </c>
      <c r="AN54" s="1" t="str">
        <f>VLOOKUP(C:C,[1]基础信息!B$1:F$65536,5,0)</f>
        <v>Blue</v>
      </c>
    </row>
    <row r="55" spans="1:40">
      <c r="A55" s="1" t="s">
        <v>41</v>
      </c>
      <c r="B55" s="1" t="s">
        <v>42</v>
      </c>
      <c r="C55" s="1" t="s">
        <v>112</v>
      </c>
      <c r="D55" s="1" t="s">
        <v>113</v>
      </c>
      <c r="E55" s="1" t="s">
        <v>45</v>
      </c>
      <c r="F55" s="1" t="s">
        <v>141</v>
      </c>
      <c r="G55" s="1" t="s">
        <v>238</v>
      </c>
      <c r="H55" s="1" t="s">
        <v>239</v>
      </c>
      <c r="I55" s="1" t="s">
        <v>49</v>
      </c>
      <c r="J55" s="1" t="s">
        <v>48</v>
      </c>
      <c r="K55" s="1">
        <v>120</v>
      </c>
      <c r="L55" s="1">
        <v>0</v>
      </c>
      <c r="M55" s="1">
        <v>0</v>
      </c>
      <c r="N55" s="1">
        <v>120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 t="s">
        <v>49</v>
      </c>
      <c r="AA55" s="1" t="s">
        <v>49</v>
      </c>
      <c r="AB55" s="1" t="s">
        <v>49</v>
      </c>
      <c r="AC55" s="1" t="s">
        <v>144</v>
      </c>
      <c r="AD55" s="1" t="s">
        <v>145</v>
      </c>
      <c r="AE55" s="1" t="s">
        <v>144</v>
      </c>
      <c r="AF55" s="1" t="s">
        <v>146</v>
      </c>
      <c r="AG55" s="1" t="s">
        <v>53</v>
      </c>
      <c r="AH55" s="1" t="s">
        <v>49</v>
      </c>
      <c r="AI55" s="1" t="s">
        <v>54</v>
      </c>
      <c r="AJ55" s="1">
        <v>1</v>
      </c>
      <c r="AK55" s="1" t="str">
        <f t="shared" si="0"/>
        <v xml:space="preserve"> =&lt;90</v>
      </c>
      <c r="AL55" s="1" t="str">
        <f>VLOOKUP(C:C,[1]基础信息!B$1:D$65536,3,0)</f>
        <v>UTS</v>
      </c>
      <c r="AM55" s="1" t="str">
        <f>VLOOKUP(C:C,[1]基础信息!B$1:E$65536,4,0)</f>
        <v>MyPure Pro</v>
      </c>
      <c r="AN55" s="1" t="str">
        <f>VLOOKUP(C:C,[1]基础信息!B$1:F$65536,5,0)</f>
        <v>Refill</v>
      </c>
    </row>
    <row r="56" spans="1:40">
      <c r="A56" s="1" t="s">
        <v>41</v>
      </c>
      <c r="B56" s="1" t="s">
        <v>42</v>
      </c>
      <c r="C56" s="1" t="s">
        <v>240</v>
      </c>
      <c r="D56" s="1" t="s">
        <v>241</v>
      </c>
      <c r="E56" s="1" t="s">
        <v>45</v>
      </c>
      <c r="F56" s="1" t="s">
        <v>242</v>
      </c>
      <c r="G56" s="1" t="s">
        <v>243</v>
      </c>
      <c r="H56" s="1" t="s">
        <v>244</v>
      </c>
      <c r="I56" s="1" t="s">
        <v>49</v>
      </c>
      <c r="J56" s="1" t="s">
        <v>48</v>
      </c>
      <c r="K56" s="1">
        <v>7</v>
      </c>
      <c r="L56" s="1">
        <v>1</v>
      </c>
      <c r="M56" s="1">
        <v>0</v>
      </c>
      <c r="N56" s="1">
        <v>6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 t="s">
        <v>49</v>
      </c>
      <c r="AA56" s="1" t="s">
        <v>49</v>
      </c>
      <c r="AB56" s="1" t="s">
        <v>49</v>
      </c>
      <c r="AC56" s="1" t="s">
        <v>245</v>
      </c>
      <c r="AD56" s="1" t="s">
        <v>246</v>
      </c>
      <c r="AE56" s="1" t="s">
        <v>247</v>
      </c>
      <c r="AF56" s="1" t="s">
        <v>248</v>
      </c>
      <c r="AG56" s="1" t="s">
        <v>53</v>
      </c>
      <c r="AH56" s="1" t="s">
        <v>49</v>
      </c>
      <c r="AI56" s="1" t="s">
        <v>54</v>
      </c>
      <c r="AJ56" s="1">
        <v>1</v>
      </c>
      <c r="AK56" s="1" t="str">
        <f t="shared" si="0"/>
        <v xml:space="preserve"> =&lt;90</v>
      </c>
      <c r="AL56" s="1" t="str">
        <f>VLOOKUP(C:C,[1]基础信息!B$1:D$65536,3,0)</f>
        <v>UTS</v>
      </c>
      <c r="AM56" s="1" t="str">
        <f>VLOOKUP(C:C,[1]基础信息!B$1:E$65536,4,0)</f>
        <v>MyPure Pro</v>
      </c>
      <c r="AN56" s="1" t="str">
        <f>VLOOKUP(C:C,[1]基础信息!B$1:F$65536,5,0)</f>
        <v>X6</v>
      </c>
    </row>
    <row r="57" spans="1:40">
      <c r="A57" s="1" t="s">
        <v>41</v>
      </c>
      <c r="B57" s="1" t="s">
        <v>42</v>
      </c>
      <c r="C57" s="1" t="s">
        <v>104</v>
      </c>
      <c r="D57" s="1" t="s">
        <v>105</v>
      </c>
      <c r="E57" s="1" t="s">
        <v>104</v>
      </c>
      <c r="F57" s="1" t="s">
        <v>151</v>
      </c>
      <c r="G57" s="1" t="s">
        <v>249</v>
      </c>
      <c r="H57" s="1" t="s">
        <v>250</v>
      </c>
      <c r="I57" s="1" t="s">
        <v>49</v>
      </c>
      <c r="J57" s="1" t="s">
        <v>48</v>
      </c>
      <c r="K57" s="1">
        <v>96</v>
      </c>
      <c r="L57" s="1">
        <v>0</v>
      </c>
      <c r="M57" s="1">
        <v>0</v>
      </c>
      <c r="N57" s="1">
        <v>96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 t="s">
        <v>49</v>
      </c>
      <c r="AA57" s="1" t="s">
        <v>49</v>
      </c>
      <c r="AB57" s="1" t="s">
        <v>49</v>
      </c>
      <c r="AC57" s="1" t="s">
        <v>154</v>
      </c>
      <c r="AD57" s="1" t="s">
        <v>155</v>
      </c>
      <c r="AE57" s="1" t="s">
        <v>154</v>
      </c>
      <c r="AF57" s="1" t="s">
        <v>111</v>
      </c>
      <c r="AG57" s="1" t="s">
        <v>53</v>
      </c>
      <c r="AH57" s="1" t="s">
        <v>49</v>
      </c>
      <c r="AI57" s="1" t="s">
        <v>54</v>
      </c>
      <c r="AJ57" s="1">
        <v>1</v>
      </c>
      <c r="AK57" s="1" t="str">
        <f t="shared" si="0"/>
        <v xml:space="preserve"> =&lt;90</v>
      </c>
      <c r="AL57" s="1" t="str">
        <f>VLOOKUP(C:C,[1]基础信息!B$1:D$65536,3,0)</f>
        <v>Jug</v>
      </c>
      <c r="AM57" s="1" t="str">
        <f>VLOOKUP(C:C,[1]基础信息!B$1:E$65536,4,0)</f>
        <v>Marella XL</v>
      </c>
      <c r="AN57" s="1" t="str">
        <f>VLOOKUP(C:C,[1]基础信息!B$1:F$65536,5,0)</f>
        <v>Blue</v>
      </c>
    </row>
    <row r="58" spans="1:40">
      <c r="A58" s="1" t="s">
        <v>41</v>
      </c>
      <c r="B58" s="1" t="s">
        <v>42</v>
      </c>
      <c r="C58" s="1" t="s">
        <v>104</v>
      </c>
      <c r="D58" s="1" t="s">
        <v>105</v>
      </c>
      <c r="E58" s="1" t="s">
        <v>104</v>
      </c>
      <c r="F58" s="1" t="s">
        <v>151</v>
      </c>
      <c r="G58" s="1" t="s">
        <v>251</v>
      </c>
      <c r="H58" s="1" t="s">
        <v>252</v>
      </c>
      <c r="I58" s="1" t="s">
        <v>49</v>
      </c>
      <c r="J58" s="1" t="s">
        <v>48</v>
      </c>
      <c r="K58" s="1">
        <v>96</v>
      </c>
      <c r="L58" s="1">
        <v>0</v>
      </c>
      <c r="M58" s="1">
        <v>0</v>
      </c>
      <c r="N58" s="1">
        <v>96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 t="s">
        <v>49</v>
      </c>
      <c r="AA58" s="1" t="s">
        <v>49</v>
      </c>
      <c r="AB58" s="1" t="s">
        <v>49</v>
      </c>
      <c r="AC58" s="1" t="s">
        <v>154</v>
      </c>
      <c r="AD58" s="1" t="s">
        <v>155</v>
      </c>
      <c r="AE58" s="1" t="s">
        <v>154</v>
      </c>
      <c r="AF58" s="1" t="s">
        <v>111</v>
      </c>
      <c r="AG58" s="1" t="s">
        <v>53</v>
      </c>
      <c r="AH58" s="1" t="s">
        <v>49</v>
      </c>
      <c r="AI58" s="1" t="s">
        <v>54</v>
      </c>
      <c r="AJ58" s="1">
        <v>1</v>
      </c>
      <c r="AK58" s="1" t="str">
        <f t="shared" si="0"/>
        <v xml:space="preserve"> =&lt;90</v>
      </c>
      <c r="AL58" s="1" t="str">
        <f>VLOOKUP(C:C,[1]基础信息!B$1:D$65536,3,0)</f>
        <v>Jug</v>
      </c>
      <c r="AM58" s="1" t="str">
        <f>VLOOKUP(C:C,[1]基础信息!B$1:E$65536,4,0)</f>
        <v>Marella XL</v>
      </c>
      <c r="AN58" s="1" t="str">
        <f>VLOOKUP(C:C,[1]基础信息!B$1:F$65536,5,0)</f>
        <v>Blue</v>
      </c>
    </row>
    <row r="59" spans="1:40">
      <c r="A59" s="1" t="s">
        <v>41</v>
      </c>
      <c r="B59" s="1" t="s">
        <v>42</v>
      </c>
      <c r="C59" s="1" t="s">
        <v>104</v>
      </c>
      <c r="D59" s="1" t="s">
        <v>105</v>
      </c>
      <c r="E59" s="1" t="s">
        <v>104</v>
      </c>
      <c r="F59" s="1" t="s">
        <v>151</v>
      </c>
      <c r="G59" s="1" t="s">
        <v>253</v>
      </c>
      <c r="H59" s="1" t="s">
        <v>254</v>
      </c>
      <c r="I59" s="1" t="s">
        <v>49</v>
      </c>
      <c r="J59" s="1" t="s">
        <v>48</v>
      </c>
      <c r="K59" s="1">
        <v>96</v>
      </c>
      <c r="L59" s="1">
        <v>0</v>
      </c>
      <c r="M59" s="1">
        <v>0</v>
      </c>
      <c r="N59" s="1">
        <v>96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 t="s">
        <v>49</v>
      </c>
      <c r="AA59" s="1" t="s">
        <v>49</v>
      </c>
      <c r="AB59" s="1" t="s">
        <v>49</v>
      </c>
      <c r="AC59" s="1" t="s">
        <v>154</v>
      </c>
      <c r="AD59" s="1" t="s">
        <v>155</v>
      </c>
      <c r="AE59" s="1" t="s">
        <v>154</v>
      </c>
      <c r="AF59" s="1" t="s">
        <v>111</v>
      </c>
      <c r="AG59" s="1" t="s">
        <v>53</v>
      </c>
      <c r="AH59" s="1" t="s">
        <v>49</v>
      </c>
      <c r="AI59" s="1" t="s">
        <v>54</v>
      </c>
      <c r="AJ59" s="1">
        <v>1</v>
      </c>
      <c r="AK59" s="1" t="str">
        <f t="shared" si="0"/>
        <v xml:space="preserve"> =&lt;90</v>
      </c>
      <c r="AL59" s="1" t="str">
        <f>VLOOKUP(C:C,[1]基础信息!B$1:D$65536,3,0)</f>
        <v>Jug</v>
      </c>
      <c r="AM59" s="1" t="str">
        <f>VLOOKUP(C:C,[1]基础信息!B$1:E$65536,4,0)</f>
        <v>Marella XL</v>
      </c>
      <c r="AN59" s="1" t="str">
        <f>VLOOKUP(C:C,[1]基础信息!B$1:F$65536,5,0)</f>
        <v>Blue</v>
      </c>
    </row>
    <row r="60" spans="1:40">
      <c r="A60" s="1" t="s">
        <v>41</v>
      </c>
      <c r="B60" s="1" t="s">
        <v>42</v>
      </c>
      <c r="C60" s="1" t="s">
        <v>104</v>
      </c>
      <c r="D60" s="1" t="s">
        <v>105</v>
      </c>
      <c r="E60" s="1" t="s">
        <v>104</v>
      </c>
      <c r="F60" s="1" t="s">
        <v>151</v>
      </c>
      <c r="G60" s="1" t="s">
        <v>255</v>
      </c>
      <c r="H60" s="1" t="s">
        <v>256</v>
      </c>
      <c r="I60" s="1" t="s">
        <v>49</v>
      </c>
      <c r="J60" s="1" t="s">
        <v>48</v>
      </c>
      <c r="K60" s="1">
        <v>96</v>
      </c>
      <c r="L60" s="1">
        <v>0</v>
      </c>
      <c r="M60" s="1">
        <v>0</v>
      </c>
      <c r="N60" s="1">
        <v>96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 t="s">
        <v>49</v>
      </c>
      <c r="AA60" s="1" t="s">
        <v>49</v>
      </c>
      <c r="AB60" s="1" t="s">
        <v>49</v>
      </c>
      <c r="AC60" s="1" t="s">
        <v>154</v>
      </c>
      <c r="AD60" s="1" t="s">
        <v>155</v>
      </c>
      <c r="AE60" s="1" t="s">
        <v>154</v>
      </c>
      <c r="AF60" s="1" t="s">
        <v>111</v>
      </c>
      <c r="AG60" s="1" t="s">
        <v>53</v>
      </c>
      <c r="AH60" s="1" t="s">
        <v>49</v>
      </c>
      <c r="AI60" s="1" t="s">
        <v>54</v>
      </c>
      <c r="AJ60" s="1">
        <v>1</v>
      </c>
      <c r="AK60" s="1" t="str">
        <f t="shared" si="0"/>
        <v xml:space="preserve"> =&lt;90</v>
      </c>
      <c r="AL60" s="1" t="str">
        <f>VLOOKUP(C:C,[1]基础信息!B$1:D$65536,3,0)</f>
        <v>Jug</v>
      </c>
      <c r="AM60" s="1" t="str">
        <f>VLOOKUP(C:C,[1]基础信息!B$1:E$65536,4,0)</f>
        <v>Marella XL</v>
      </c>
      <c r="AN60" s="1" t="str">
        <f>VLOOKUP(C:C,[1]基础信息!B$1:F$65536,5,0)</f>
        <v>Blue</v>
      </c>
    </row>
    <row r="61" spans="1:40">
      <c r="A61" s="1" t="s">
        <v>41</v>
      </c>
      <c r="B61" s="1" t="s">
        <v>42</v>
      </c>
      <c r="C61" s="1" t="s">
        <v>104</v>
      </c>
      <c r="D61" s="1" t="s">
        <v>105</v>
      </c>
      <c r="E61" s="1" t="s">
        <v>104</v>
      </c>
      <c r="F61" s="1" t="s">
        <v>151</v>
      </c>
      <c r="G61" s="1" t="s">
        <v>257</v>
      </c>
      <c r="H61" s="1" t="s">
        <v>258</v>
      </c>
      <c r="I61" s="1" t="s">
        <v>49</v>
      </c>
      <c r="J61" s="1" t="s">
        <v>48</v>
      </c>
      <c r="K61" s="1">
        <v>96</v>
      </c>
      <c r="L61" s="1">
        <v>0</v>
      </c>
      <c r="M61" s="1">
        <v>0</v>
      </c>
      <c r="N61" s="1">
        <v>96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 t="s">
        <v>49</v>
      </c>
      <c r="AA61" s="1" t="s">
        <v>49</v>
      </c>
      <c r="AB61" s="1" t="s">
        <v>49</v>
      </c>
      <c r="AC61" s="1" t="s">
        <v>154</v>
      </c>
      <c r="AD61" s="1" t="s">
        <v>155</v>
      </c>
      <c r="AE61" s="1" t="s">
        <v>154</v>
      </c>
      <c r="AF61" s="1" t="s">
        <v>111</v>
      </c>
      <c r="AG61" s="1" t="s">
        <v>53</v>
      </c>
      <c r="AH61" s="1" t="s">
        <v>49</v>
      </c>
      <c r="AI61" s="1" t="s">
        <v>54</v>
      </c>
      <c r="AJ61" s="1">
        <v>1</v>
      </c>
      <c r="AK61" s="1" t="str">
        <f t="shared" si="0"/>
        <v xml:space="preserve"> =&lt;90</v>
      </c>
      <c r="AL61" s="1" t="str">
        <f>VLOOKUP(C:C,[1]基础信息!B$1:D$65536,3,0)</f>
        <v>Jug</v>
      </c>
      <c r="AM61" s="1" t="str">
        <f>VLOOKUP(C:C,[1]基础信息!B$1:E$65536,4,0)</f>
        <v>Marella XL</v>
      </c>
      <c r="AN61" s="1" t="str">
        <f>VLOOKUP(C:C,[1]基础信息!B$1:F$65536,5,0)</f>
        <v>Blue</v>
      </c>
    </row>
    <row r="62" spans="1:40">
      <c r="A62" s="1" t="s">
        <v>41</v>
      </c>
      <c r="B62" s="1" t="s">
        <v>42</v>
      </c>
      <c r="C62" s="1" t="s">
        <v>104</v>
      </c>
      <c r="D62" s="1" t="s">
        <v>105</v>
      </c>
      <c r="E62" s="1" t="s">
        <v>104</v>
      </c>
      <c r="F62" s="1" t="s">
        <v>151</v>
      </c>
      <c r="G62" s="1" t="s">
        <v>259</v>
      </c>
      <c r="H62" s="1" t="s">
        <v>260</v>
      </c>
      <c r="I62" s="1" t="s">
        <v>49</v>
      </c>
      <c r="J62" s="1" t="s">
        <v>48</v>
      </c>
      <c r="K62" s="1">
        <v>96</v>
      </c>
      <c r="L62" s="1">
        <v>0</v>
      </c>
      <c r="M62" s="1">
        <v>0</v>
      </c>
      <c r="N62" s="1">
        <v>96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 t="s">
        <v>49</v>
      </c>
      <c r="AA62" s="1" t="s">
        <v>49</v>
      </c>
      <c r="AB62" s="1" t="s">
        <v>49</v>
      </c>
      <c r="AC62" s="1" t="s">
        <v>154</v>
      </c>
      <c r="AD62" s="1" t="s">
        <v>155</v>
      </c>
      <c r="AE62" s="1" t="s">
        <v>154</v>
      </c>
      <c r="AF62" s="1" t="s">
        <v>111</v>
      </c>
      <c r="AG62" s="1" t="s">
        <v>53</v>
      </c>
      <c r="AH62" s="1" t="s">
        <v>49</v>
      </c>
      <c r="AI62" s="1" t="s">
        <v>54</v>
      </c>
      <c r="AJ62" s="1">
        <v>1</v>
      </c>
      <c r="AK62" s="1" t="str">
        <f t="shared" si="0"/>
        <v xml:space="preserve"> =&lt;90</v>
      </c>
      <c r="AL62" s="1" t="str">
        <f>VLOOKUP(C:C,[1]基础信息!B$1:D$65536,3,0)</f>
        <v>Jug</v>
      </c>
      <c r="AM62" s="1" t="str">
        <f>VLOOKUP(C:C,[1]基础信息!B$1:E$65536,4,0)</f>
        <v>Marella XL</v>
      </c>
      <c r="AN62" s="1" t="str">
        <f>VLOOKUP(C:C,[1]基础信息!B$1:F$65536,5,0)</f>
        <v>Blue</v>
      </c>
    </row>
    <row r="63" spans="1:40">
      <c r="A63" s="1" t="s">
        <v>41</v>
      </c>
      <c r="B63" s="1" t="s">
        <v>42</v>
      </c>
      <c r="C63" s="1" t="s">
        <v>104</v>
      </c>
      <c r="D63" s="1" t="s">
        <v>105</v>
      </c>
      <c r="E63" s="1" t="s">
        <v>104</v>
      </c>
      <c r="F63" s="1" t="s">
        <v>151</v>
      </c>
      <c r="G63" s="1" t="s">
        <v>261</v>
      </c>
      <c r="H63" s="1" t="s">
        <v>262</v>
      </c>
      <c r="I63" s="1" t="s">
        <v>49</v>
      </c>
      <c r="J63" s="1" t="s">
        <v>48</v>
      </c>
      <c r="K63" s="1">
        <v>96</v>
      </c>
      <c r="L63" s="1">
        <v>0</v>
      </c>
      <c r="M63" s="1">
        <v>0</v>
      </c>
      <c r="N63" s="1">
        <v>96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 t="s">
        <v>49</v>
      </c>
      <c r="AA63" s="1" t="s">
        <v>49</v>
      </c>
      <c r="AB63" s="1" t="s">
        <v>49</v>
      </c>
      <c r="AC63" s="1" t="s">
        <v>154</v>
      </c>
      <c r="AD63" s="1" t="s">
        <v>155</v>
      </c>
      <c r="AE63" s="1" t="s">
        <v>154</v>
      </c>
      <c r="AF63" s="1" t="s">
        <v>111</v>
      </c>
      <c r="AG63" s="1" t="s">
        <v>53</v>
      </c>
      <c r="AH63" s="1" t="s">
        <v>49</v>
      </c>
      <c r="AI63" s="1" t="s">
        <v>54</v>
      </c>
      <c r="AJ63" s="1">
        <v>1</v>
      </c>
      <c r="AK63" s="1" t="str">
        <f t="shared" si="0"/>
        <v xml:space="preserve"> =&lt;90</v>
      </c>
      <c r="AL63" s="1" t="str">
        <f>VLOOKUP(C:C,[1]基础信息!B$1:D$65536,3,0)</f>
        <v>Jug</v>
      </c>
      <c r="AM63" s="1" t="str">
        <f>VLOOKUP(C:C,[1]基础信息!B$1:E$65536,4,0)</f>
        <v>Marella XL</v>
      </c>
      <c r="AN63" s="1" t="str">
        <f>VLOOKUP(C:C,[1]基础信息!B$1:F$65536,5,0)</f>
        <v>Blue</v>
      </c>
    </row>
    <row r="64" spans="1:40">
      <c r="A64" s="1" t="s">
        <v>41</v>
      </c>
      <c r="B64" s="1" t="s">
        <v>42</v>
      </c>
      <c r="C64" s="1" t="s">
        <v>104</v>
      </c>
      <c r="D64" s="1" t="s">
        <v>105</v>
      </c>
      <c r="E64" s="1" t="s">
        <v>104</v>
      </c>
      <c r="F64" s="1" t="s">
        <v>151</v>
      </c>
      <c r="G64" s="1" t="s">
        <v>263</v>
      </c>
      <c r="H64" s="1" t="s">
        <v>264</v>
      </c>
      <c r="I64" s="1" t="s">
        <v>49</v>
      </c>
      <c r="J64" s="1" t="s">
        <v>48</v>
      </c>
      <c r="K64" s="1">
        <v>96</v>
      </c>
      <c r="L64" s="1">
        <v>0</v>
      </c>
      <c r="M64" s="1">
        <v>0</v>
      </c>
      <c r="N64" s="1">
        <v>96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 t="s">
        <v>49</v>
      </c>
      <c r="AA64" s="1" t="s">
        <v>49</v>
      </c>
      <c r="AB64" s="1" t="s">
        <v>49</v>
      </c>
      <c r="AC64" s="1" t="s">
        <v>154</v>
      </c>
      <c r="AD64" s="1" t="s">
        <v>155</v>
      </c>
      <c r="AE64" s="1" t="s">
        <v>154</v>
      </c>
      <c r="AF64" s="1" t="s">
        <v>111</v>
      </c>
      <c r="AG64" s="1" t="s">
        <v>53</v>
      </c>
      <c r="AH64" s="1" t="s">
        <v>49</v>
      </c>
      <c r="AI64" s="1" t="s">
        <v>54</v>
      </c>
      <c r="AJ64" s="1">
        <v>1</v>
      </c>
      <c r="AK64" s="1" t="str">
        <f t="shared" si="0"/>
        <v xml:space="preserve"> =&lt;90</v>
      </c>
      <c r="AL64" s="1" t="str">
        <f>VLOOKUP(C:C,[1]基础信息!B$1:D$65536,3,0)</f>
        <v>Jug</v>
      </c>
      <c r="AM64" s="1" t="str">
        <f>VLOOKUP(C:C,[1]基础信息!B$1:E$65536,4,0)</f>
        <v>Marella XL</v>
      </c>
      <c r="AN64" s="1" t="str">
        <f>VLOOKUP(C:C,[1]基础信息!B$1:F$65536,5,0)</f>
        <v>Blue</v>
      </c>
    </row>
    <row r="65" spans="1:40">
      <c r="A65" s="1" t="s">
        <v>41</v>
      </c>
      <c r="B65" s="1" t="s">
        <v>42</v>
      </c>
      <c r="C65" s="1" t="s">
        <v>104</v>
      </c>
      <c r="D65" s="1" t="s">
        <v>105</v>
      </c>
      <c r="E65" s="1" t="s">
        <v>104</v>
      </c>
      <c r="F65" s="1" t="s">
        <v>265</v>
      </c>
      <c r="G65" s="1" t="s">
        <v>266</v>
      </c>
      <c r="H65" s="1" t="s">
        <v>267</v>
      </c>
      <c r="I65" s="1" t="s">
        <v>49</v>
      </c>
      <c r="J65" s="1" t="s">
        <v>48</v>
      </c>
      <c r="K65" s="1">
        <v>96</v>
      </c>
      <c r="L65" s="1">
        <v>0</v>
      </c>
      <c r="M65" s="1">
        <v>0</v>
      </c>
      <c r="N65" s="1">
        <v>96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 t="s">
        <v>49</v>
      </c>
      <c r="AA65" s="1" t="s">
        <v>49</v>
      </c>
      <c r="AB65" s="1" t="s">
        <v>49</v>
      </c>
      <c r="AC65" s="1" t="s">
        <v>154</v>
      </c>
      <c r="AD65" s="1" t="s">
        <v>155</v>
      </c>
      <c r="AE65" s="1" t="s">
        <v>154</v>
      </c>
      <c r="AF65" s="1" t="s">
        <v>268</v>
      </c>
      <c r="AG65" s="1" t="s">
        <v>53</v>
      </c>
      <c r="AH65" s="1" t="s">
        <v>49</v>
      </c>
      <c r="AI65" s="1" t="s">
        <v>54</v>
      </c>
      <c r="AJ65" s="1">
        <v>1</v>
      </c>
      <c r="AK65" s="1" t="str">
        <f t="shared" si="0"/>
        <v xml:space="preserve"> =&lt;90</v>
      </c>
      <c r="AL65" s="1" t="str">
        <f>VLOOKUP(C:C,[1]基础信息!B$1:D$65536,3,0)</f>
        <v>Jug</v>
      </c>
      <c r="AM65" s="1" t="str">
        <f>VLOOKUP(C:C,[1]基础信息!B$1:E$65536,4,0)</f>
        <v>Marella XL</v>
      </c>
      <c r="AN65" s="1" t="str">
        <f>VLOOKUP(C:C,[1]基础信息!B$1:F$65536,5,0)</f>
        <v>Blue</v>
      </c>
    </row>
    <row r="66" spans="1:40">
      <c r="A66" s="1" t="s">
        <v>41</v>
      </c>
      <c r="B66" s="1" t="s">
        <v>42</v>
      </c>
      <c r="C66" s="1" t="s">
        <v>83</v>
      </c>
      <c r="D66" s="1" t="s">
        <v>84</v>
      </c>
      <c r="E66" s="1" t="s">
        <v>45</v>
      </c>
      <c r="F66" s="1" t="s">
        <v>85</v>
      </c>
      <c r="G66" s="1" t="s">
        <v>269</v>
      </c>
      <c r="H66" s="1" t="s">
        <v>270</v>
      </c>
      <c r="I66" s="1" t="s">
        <v>49</v>
      </c>
      <c r="J66" s="1" t="s">
        <v>48</v>
      </c>
      <c r="K66" s="1">
        <v>96</v>
      </c>
      <c r="L66" s="1">
        <v>0</v>
      </c>
      <c r="M66" s="1">
        <v>0</v>
      </c>
      <c r="N66" s="1">
        <v>96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 t="s">
        <v>49</v>
      </c>
      <c r="AA66" s="1" t="s">
        <v>49</v>
      </c>
      <c r="AB66" s="1" t="s">
        <v>49</v>
      </c>
      <c r="AC66" s="1" t="s">
        <v>88</v>
      </c>
      <c r="AD66" s="1" t="s">
        <v>89</v>
      </c>
      <c r="AE66" s="1" t="s">
        <v>88</v>
      </c>
      <c r="AF66" s="1" t="s">
        <v>90</v>
      </c>
      <c r="AG66" s="1" t="s">
        <v>53</v>
      </c>
      <c r="AH66" s="1" t="s">
        <v>49</v>
      </c>
      <c r="AI66" s="1" t="s">
        <v>54</v>
      </c>
      <c r="AJ66" s="1">
        <v>1</v>
      </c>
      <c r="AK66" s="1" t="str">
        <f t="shared" ref="AK66:AK129" si="1">IF(AJ66&gt;$AP$2,$AQ$2,IF(AJ66&gt;$AP$3,$AQ$3,IF(AJ66&gt;$AP$4,$AQ$4,$AQ$5)))</f>
        <v xml:space="preserve"> =&lt;90</v>
      </c>
      <c r="AL66" s="1" t="str">
        <f>VLOOKUP(C:C,[1]基础信息!B$1:D$65536,3,0)</f>
        <v>Jug</v>
      </c>
      <c r="AM66" s="1" t="str">
        <f>VLOOKUP(C:C,[1]基础信息!B$1:E$65536,4,0)</f>
        <v>Mxplus</v>
      </c>
      <c r="AN66" s="1" t="str">
        <f>VLOOKUP(C:C,[1]基础信息!B$1:F$65536,5,0)</f>
        <v>Blue</v>
      </c>
    </row>
    <row r="67" spans="1:40">
      <c r="A67" s="1" t="s">
        <v>41</v>
      </c>
      <c r="B67" s="1" t="s">
        <v>42</v>
      </c>
      <c r="C67" s="1" t="s">
        <v>104</v>
      </c>
      <c r="D67" s="1" t="s">
        <v>105</v>
      </c>
      <c r="E67" s="1" t="s">
        <v>104</v>
      </c>
      <c r="F67" s="1" t="s">
        <v>265</v>
      </c>
      <c r="G67" s="1" t="s">
        <v>271</v>
      </c>
      <c r="H67" s="1" t="s">
        <v>272</v>
      </c>
      <c r="I67" s="1" t="s">
        <v>49</v>
      </c>
      <c r="J67" s="1" t="s">
        <v>48</v>
      </c>
      <c r="K67" s="1">
        <v>96</v>
      </c>
      <c r="L67" s="1">
        <v>0</v>
      </c>
      <c r="M67" s="1">
        <v>0</v>
      </c>
      <c r="N67" s="1">
        <v>96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 t="s">
        <v>49</v>
      </c>
      <c r="AA67" s="1" t="s">
        <v>49</v>
      </c>
      <c r="AB67" s="1" t="s">
        <v>49</v>
      </c>
      <c r="AC67" s="1" t="s">
        <v>154</v>
      </c>
      <c r="AD67" s="1" t="s">
        <v>155</v>
      </c>
      <c r="AE67" s="1" t="s">
        <v>154</v>
      </c>
      <c r="AF67" s="1" t="s">
        <v>268</v>
      </c>
      <c r="AG67" s="1" t="s">
        <v>53</v>
      </c>
      <c r="AH67" s="1" t="s">
        <v>49</v>
      </c>
      <c r="AI67" s="1" t="s">
        <v>54</v>
      </c>
      <c r="AJ67" s="1">
        <v>1</v>
      </c>
      <c r="AK67" s="1" t="str">
        <f t="shared" si="1"/>
        <v xml:space="preserve"> =&lt;90</v>
      </c>
      <c r="AL67" s="1" t="str">
        <f>VLOOKUP(C:C,[1]基础信息!B$1:D$65536,3,0)</f>
        <v>Jug</v>
      </c>
      <c r="AM67" s="1" t="str">
        <f>VLOOKUP(C:C,[1]基础信息!B$1:E$65536,4,0)</f>
        <v>Marella XL</v>
      </c>
      <c r="AN67" s="1" t="str">
        <f>VLOOKUP(C:C,[1]基础信息!B$1:F$65536,5,0)</f>
        <v>Blue</v>
      </c>
    </row>
    <row r="68" spans="1:40">
      <c r="A68" s="1" t="s">
        <v>41</v>
      </c>
      <c r="B68" s="1" t="s">
        <v>42</v>
      </c>
      <c r="C68" s="1" t="s">
        <v>83</v>
      </c>
      <c r="D68" s="1" t="s">
        <v>84</v>
      </c>
      <c r="E68" s="1" t="s">
        <v>45</v>
      </c>
      <c r="F68" s="1" t="s">
        <v>85</v>
      </c>
      <c r="G68" s="1" t="s">
        <v>273</v>
      </c>
      <c r="H68" s="1" t="s">
        <v>274</v>
      </c>
      <c r="I68" s="1" t="s">
        <v>49</v>
      </c>
      <c r="J68" s="1" t="s">
        <v>48</v>
      </c>
      <c r="K68" s="1">
        <v>96</v>
      </c>
      <c r="L68" s="1">
        <v>0</v>
      </c>
      <c r="M68" s="1">
        <v>0</v>
      </c>
      <c r="N68" s="1">
        <v>96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 t="s">
        <v>49</v>
      </c>
      <c r="AA68" s="1" t="s">
        <v>49</v>
      </c>
      <c r="AB68" s="1" t="s">
        <v>49</v>
      </c>
      <c r="AC68" s="1" t="s">
        <v>88</v>
      </c>
      <c r="AD68" s="1" t="s">
        <v>89</v>
      </c>
      <c r="AE68" s="1" t="s">
        <v>88</v>
      </c>
      <c r="AF68" s="1" t="s">
        <v>90</v>
      </c>
      <c r="AG68" s="1" t="s">
        <v>53</v>
      </c>
      <c r="AH68" s="1" t="s">
        <v>49</v>
      </c>
      <c r="AI68" s="1" t="s">
        <v>54</v>
      </c>
      <c r="AJ68" s="1">
        <v>1</v>
      </c>
      <c r="AK68" s="1" t="str">
        <f t="shared" si="1"/>
        <v xml:space="preserve"> =&lt;90</v>
      </c>
      <c r="AL68" s="1" t="str">
        <f>VLOOKUP(C:C,[1]基础信息!B$1:D$65536,3,0)</f>
        <v>Jug</v>
      </c>
      <c r="AM68" s="1" t="str">
        <f>VLOOKUP(C:C,[1]基础信息!B$1:E$65536,4,0)</f>
        <v>Mxplus</v>
      </c>
      <c r="AN68" s="1" t="str">
        <f>VLOOKUP(C:C,[1]基础信息!B$1:F$65536,5,0)</f>
        <v>Blue</v>
      </c>
    </row>
    <row r="69" spans="1:40">
      <c r="A69" s="1" t="s">
        <v>41</v>
      </c>
      <c r="B69" s="1" t="s">
        <v>42</v>
      </c>
      <c r="C69" s="1" t="s">
        <v>162</v>
      </c>
      <c r="D69" s="1" t="s">
        <v>163</v>
      </c>
      <c r="E69" s="1" t="s">
        <v>45</v>
      </c>
      <c r="F69" s="1" t="s">
        <v>164</v>
      </c>
      <c r="G69" s="1" t="s">
        <v>275</v>
      </c>
      <c r="H69" s="1" t="s">
        <v>276</v>
      </c>
      <c r="I69" s="1" t="s">
        <v>49</v>
      </c>
      <c r="J69" s="1" t="s">
        <v>48</v>
      </c>
      <c r="K69" s="1">
        <v>60</v>
      </c>
      <c r="L69" s="1">
        <v>0</v>
      </c>
      <c r="M69" s="1">
        <v>0</v>
      </c>
      <c r="N69" s="1">
        <v>60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 t="s">
        <v>49</v>
      </c>
      <c r="AA69" s="1" t="s">
        <v>49</v>
      </c>
      <c r="AB69" s="1" t="s">
        <v>49</v>
      </c>
      <c r="AC69" s="1" t="s">
        <v>167</v>
      </c>
      <c r="AD69" s="1" t="s">
        <v>168</v>
      </c>
      <c r="AE69" s="1" t="s">
        <v>169</v>
      </c>
      <c r="AF69" s="1" t="s">
        <v>170</v>
      </c>
      <c r="AG69" s="1" t="s">
        <v>53</v>
      </c>
      <c r="AH69" s="1" t="s">
        <v>49</v>
      </c>
      <c r="AI69" s="1" t="s">
        <v>54</v>
      </c>
      <c r="AJ69" s="1">
        <v>1</v>
      </c>
      <c r="AK69" s="1" t="str">
        <f t="shared" si="1"/>
        <v xml:space="preserve"> =&lt;90</v>
      </c>
      <c r="AL69" s="1" t="str">
        <f>VLOOKUP(C:C,[1]基础信息!B$1:D$65536,3,0)</f>
        <v>Jug</v>
      </c>
      <c r="AM69" s="1" t="str">
        <f>VLOOKUP(C:C,[1]基础信息!B$1:E$65536,4,0)</f>
        <v>Style</v>
      </c>
      <c r="AN69" s="1" t="str">
        <f>VLOOKUP(C:C,[1]基础信息!B$1:F$65536,5,0)</f>
        <v>Blue</v>
      </c>
    </row>
    <row r="70" spans="1:40">
      <c r="A70" s="1" t="s">
        <v>41</v>
      </c>
      <c r="B70" s="1" t="s">
        <v>42</v>
      </c>
      <c r="C70" s="1" t="s">
        <v>83</v>
      </c>
      <c r="D70" s="1" t="s">
        <v>84</v>
      </c>
      <c r="E70" s="1" t="s">
        <v>45</v>
      </c>
      <c r="F70" s="1" t="s">
        <v>85</v>
      </c>
      <c r="G70" s="1" t="s">
        <v>277</v>
      </c>
      <c r="H70" s="1" t="s">
        <v>278</v>
      </c>
      <c r="I70" s="1" t="s">
        <v>49</v>
      </c>
      <c r="J70" s="1" t="s">
        <v>48</v>
      </c>
      <c r="K70" s="1">
        <v>96</v>
      </c>
      <c r="L70" s="1">
        <v>0</v>
      </c>
      <c r="M70" s="1">
        <v>0</v>
      </c>
      <c r="N70" s="1">
        <v>96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 t="s">
        <v>49</v>
      </c>
      <c r="AA70" s="1" t="s">
        <v>49</v>
      </c>
      <c r="AB70" s="1" t="s">
        <v>49</v>
      </c>
      <c r="AC70" s="1" t="s">
        <v>88</v>
      </c>
      <c r="AD70" s="1" t="s">
        <v>89</v>
      </c>
      <c r="AE70" s="1" t="s">
        <v>88</v>
      </c>
      <c r="AF70" s="1" t="s">
        <v>90</v>
      </c>
      <c r="AG70" s="1" t="s">
        <v>53</v>
      </c>
      <c r="AH70" s="1" t="s">
        <v>49</v>
      </c>
      <c r="AI70" s="1" t="s">
        <v>54</v>
      </c>
      <c r="AJ70" s="1">
        <v>1</v>
      </c>
      <c r="AK70" s="1" t="str">
        <f t="shared" si="1"/>
        <v xml:space="preserve"> =&lt;90</v>
      </c>
      <c r="AL70" s="1" t="str">
        <f>VLOOKUP(C:C,[1]基础信息!B$1:D$65536,3,0)</f>
        <v>Jug</v>
      </c>
      <c r="AM70" s="1" t="str">
        <f>VLOOKUP(C:C,[1]基础信息!B$1:E$65536,4,0)</f>
        <v>Mxplus</v>
      </c>
      <c r="AN70" s="1" t="str">
        <f>VLOOKUP(C:C,[1]基础信息!B$1:F$65536,5,0)</f>
        <v>Blue</v>
      </c>
    </row>
    <row r="71" spans="1:40">
      <c r="A71" s="1" t="s">
        <v>41</v>
      </c>
      <c r="B71" s="1" t="s">
        <v>42</v>
      </c>
      <c r="C71" s="1" t="s">
        <v>83</v>
      </c>
      <c r="D71" s="1" t="s">
        <v>84</v>
      </c>
      <c r="E71" s="1" t="s">
        <v>45</v>
      </c>
      <c r="F71" s="1" t="s">
        <v>85</v>
      </c>
      <c r="G71" s="1" t="s">
        <v>279</v>
      </c>
      <c r="H71" s="1" t="s">
        <v>280</v>
      </c>
      <c r="I71" s="1" t="s">
        <v>49</v>
      </c>
      <c r="J71" s="1" t="s">
        <v>48</v>
      </c>
      <c r="K71" s="1">
        <v>96</v>
      </c>
      <c r="L71" s="1">
        <v>0</v>
      </c>
      <c r="M71" s="1">
        <v>0</v>
      </c>
      <c r="N71" s="1">
        <v>96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 t="s">
        <v>49</v>
      </c>
      <c r="AA71" s="1" t="s">
        <v>49</v>
      </c>
      <c r="AB71" s="1" t="s">
        <v>49</v>
      </c>
      <c r="AC71" s="1" t="s">
        <v>88</v>
      </c>
      <c r="AD71" s="1" t="s">
        <v>89</v>
      </c>
      <c r="AE71" s="1" t="s">
        <v>88</v>
      </c>
      <c r="AF71" s="1" t="s">
        <v>90</v>
      </c>
      <c r="AG71" s="1" t="s">
        <v>53</v>
      </c>
      <c r="AH71" s="1" t="s">
        <v>49</v>
      </c>
      <c r="AI71" s="1" t="s">
        <v>54</v>
      </c>
      <c r="AJ71" s="1">
        <v>1</v>
      </c>
      <c r="AK71" s="1" t="str">
        <f t="shared" si="1"/>
        <v xml:space="preserve"> =&lt;90</v>
      </c>
      <c r="AL71" s="1" t="str">
        <f>VLOOKUP(C:C,[1]基础信息!B$1:D$65536,3,0)</f>
        <v>Jug</v>
      </c>
      <c r="AM71" s="1" t="str">
        <f>VLOOKUP(C:C,[1]基础信息!B$1:E$65536,4,0)</f>
        <v>Mxplus</v>
      </c>
      <c r="AN71" s="1" t="str">
        <f>VLOOKUP(C:C,[1]基础信息!B$1:F$65536,5,0)</f>
        <v>Blue</v>
      </c>
    </row>
    <row r="72" spans="1:40">
      <c r="A72" s="1" t="s">
        <v>41</v>
      </c>
      <c r="B72" s="1" t="s">
        <v>42</v>
      </c>
      <c r="C72" s="1" t="s">
        <v>83</v>
      </c>
      <c r="D72" s="1" t="s">
        <v>84</v>
      </c>
      <c r="E72" s="1" t="s">
        <v>45</v>
      </c>
      <c r="F72" s="1" t="s">
        <v>85</v>
      </c>
      <c r="G72" s="1" t="s">
        <v>281</v>
      </c>
      <c r="H72" s="1" t="s">
        <v>282</v>
      </c>
      <c r="I72" s="1" t="s">
        <v>49</v>
      </c>
      <c r="J72" s="1" t="s">
        <v>48</v>
      </c>
      <c r="K72" s="1">
        <v>96</v>
      </c>
      <c r="L72" s="1">
        <v>0</v>
      </c>
      <c r="M72" s="1">
        <v>0</v>
      </c>
      <c r="N72" s="1">
        <v>96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 t="s">
        <v>49</v>
      </c>
      <c r="AA72" s="1" t="s">
        <v>49</v>
      </c>
      <c r="AB72" s="1" t="s">
        <v>49</v>
      </c>
      <c r="AC72" s="1" t="s">
        <v>88</v>
      </c>
      <c r="AD72" s="1" t="s">
        <v>89</v>
      </c>
      <c r="AE72" s="1" t="s">
        <v>88</v>
      </c>
      <c r="AF72" s="1" t="s">
        <v>90</v>
      </c>
      <c r="AG72" s="1" t="s">
        <v>53</v>
      </c>
      <c r="AH72" s="1" t="s">
        <v>49</v>
      </c>
      <c r="AI72" s="1" t="s">
        <v>54</v>
      </c>
      <c r="AJ72" s="1">
        <v>1</v>
      </c>
      <c r="AK72" s="1" t="str">
        <f t="shared" si="1"/>
        <v xml:space="preserve"> =&lt;90</v>
      </c>
      <c r="AL72" s="1" t="str">
        <f>VLOOKUP(C:C,[1]基础信息!B$1:D$65536,3,0)</f>
        <v>Jug</v>
      </c>
      <c r="AM72" s="1" t="str">
        <f>VLOOKUP(C:C,[1]基础信息!B$1:E$65536,4,0)</f>
        <v>Mxplus</v>
      </c>
      <c r="AN72" s="1" t="str">
        <f>VLOOKUP(C:C,[1]基础信息!B$1:F$65536,5,0)</f>
        <v>Blue</v>
      </c>
    </row>
    <row r="73" spans="1:40">
      <c r="A73" s="1" t="s">
        <v>41</v>
      </c>
      <c r="B73" s="1" t="s">
        <v>42</v>
      </c>
      <c r="C73" s="1" t="s">
        <v>162</v>
      </c>
      <c r="D73" s="1" t="s">
        <v>163</v>
      </c>
      <c r="E73" s="1" t="s">
        <v>45</v>
      </c>
      <c r="F73" s="1" t="s">
        <v>164</v>
      </c>
      <c r="G73" s="1" t="s">
        <v>283</v>
      </c>
      <c r="H73" s="1" t="s">
        <v>284</v>
      </c>
      <c r="I73" s="1" t="s">
        <v>49</v>
      </c>
      <c r="J73" s="1" t="s">
        <v>48</v>
      </c>
      <c r="K73" s="1">
        <v>60</v>
      </c>
      <c r="L73" s="1">
        <v>0</v>
      </c>
      <c r="M73" s="1">
        <v>0</v>
      </c>
      <c r="N73" s="1">
        <v>60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 t="s">
        <v>49</v>
      </c>
      <c r="AA73" s="1" t="s">
        <v>49</v>
      </c>
      <c r="AB73" s="1" t="s">
        <v>49</v>
      </c>
      <c r="AC73" s="1" t="s">
        <v>167</v>
      </c>
      <c r="AD73" s="1" t="s">
        <v>168</v>
      </c>
      <c r="AE73" s="1" t="s">
        <v>169</v>
      </c>
      <c r="AF73" s="1" t="s">
        <v>170</v>
      </c>
      <c r="AG73" s="1" t="s">
        <v>53</v>
      </c>
      <c r="AH73" s="1" t="s">
        <v>49</v>
      </c>
      <c r="AI73" s="1" t="s">
        <v>54</v>
      </c>
      <c r="AJ73" s="1">
        <v>1</v>
      </c>
      <c r="AK73" s="1" t="str">
        <f t="shared" si="1"/>
        <v xml:space="preserve"> =&lt;90</v>
      </c>
      <c r="AL73" s="1" t="str">
        <f>VLOOKUP(C:C,[1]基础信息!B$1:D$65536,3,0)</f>
        <v>Jug</v>
      </c>
      <c r="AM73" s="1" t="str">
        <f>VLOOKUP(C:C,[1]基础信息!B$1:E$65536,4,0)</f>
        <v>Style</v>
      </c>
      <c r="AN73" s="1" t="str">
        <f>VLOOKUP(C:C,[1]基础信息!B$1:F$65536,5,0)</f>
        <v>Blue</v>
      </c>
    </row>
    <row r="74" spans="1:40">
      <c r="A74" s="1" t="s">
        <v>41</v>
      </c>
      <c r="B74" s="1" t="s">
        <v>42</v>
      </c>
      <c r="C74" s="1" t="s">
        <v>285</v>
      </c>
      <c r="D74" s="1" t="s">
        <v>286</v>
      </c>
      <c r="E74" s="1" t="s">
        <v>45</v>
      </c>
      <c r="F74" s="1" t="s">
        <v>287</v>
      </c>
      <c r="G74" s="1" t="s">
        <v>288</v>
      </c>
      <c r="H74" s="1" t="s">
        <v>289</v>
      </c>
      <c r="I74" s="1" t="s">
        <v>49</v>
      </c>
      <c r="J74" s="1" t="s">
        <v>48</v>
      </c>
      <c r="K74" s="1">
        <v>70</v>
      </c>
      <c r="L74" s="1">
        <v>0</v>
      </c>
      <c r="M74" s="1">
        <v>0</v>
      </c>
      <c r="N74" s="1">
        <v>70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 t="s">
        <v>49</v>
      </c>
      <c r="AA74" s="1" t="s">
        <v>49</v>
      </c>
      <c r="AB74" s="1" t="s">
        <v>49</v>
      </c>
      <c r="AC74" s="1" t="s">
        <v>290</v>
      </c>
      <c r="AD74" s="1" t="s">
        <v>291</v>
      </c>
      <c r="AE74" s="1" t="s">
        <v>290</v>
      </c>
      <c r="AF74" s="1" t="s">
        <v>292</v>
      </c>
      <c r="AG74" s="1" t="s">
        <v>53</v>
      </c>
      <c r="AH74" s="1" t="s">
        <v>49</v>
      </c>
      <c r="AI74" s="1" t="s">
        <v>54</v>
      </c>
      <c r="AJ74" s="1">
        <v>1</v>
      </c>
      <c r="AK74" s="1" t="str">
        <f t="shared" si="1"/>
        <v xml:space="preserve"> =&lt;90</v>
      </c>
      <c r="AL74" s="1" t="str">
        <f>VLOOKUP(C:C,[1]基础信息!B$1:D$65536,3,0)</f>
        <v>Jug</v>
      </c>
      <c r="AM74" s="1" t="str">
        <f>VLOOKUP(C:C,[1]基础信息!B$1:E$65536,4,0)</f>
        <v>Marella XL</v>
      </c>
      <c r="AN74" s="1" t="str">
        <f>VLOOKUP(C:C,[1]基础信息!B$1:F$65536,5,0)</f>
        <v>Blue</v>
      </c>
    </row>
    <row r="75" spans="1:40">
      <c r="A75" s="1" t="s">
        <v>41</v>
      </c>
      <c r="B75" s="1" t="s">
        <v>42</v>
      </c>
      <c r="C75" s="1" t="s">
        <v>104</v>
      </c>
      <c r="D75" s="1" t="s">
        <v>105</v>
      </c>
      <c r="E75" s="1" t="s">
        <v>104</v>
      </c>
      <c r="F75" s="1" t="s">
        <v>265</v>
      </c>
      <c r="G75" s="1" t="s">
        <v>293</v>
      </c>
      <c r="H75" s="1" t="s">
        <v>294</v>
      </c>
      <c r="I75" s="1" t="s">
        <v>49</v>
      </c>
      <c r="J75" s="1" t="s">
        <v>48</v>
      </c>
      <c r="K75" s="1">
        <v>96</v>
      </c>
      <c r="L75" s="1">
        <v>0</v>
      </c>
      <c r="M75" s="1">
        <v>0</v>
      </c>
      <c r="N75" s="1">
        <v>96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 t="s">
        <v>49</v>
      </c>
      <c r="AA75" s="1" t="s">
        <v>49</v>
      </c>
      <c r="AB75" s="1" t="s">
        <v>49</v>
      </c>
      <c r="AC75" s="1" t="s">
        <v>154</v>
      </c>
      <c r="AD75" s="1" t="s">
        <v>155</v>
      </c>
      <c r="AE75" s="1" t="s">
        <v>154</v>
      </c>
      <c r="AF75" s="1" t="s">
        <v>268</v>
      </c>
      <c r="AG75" s="1" t="s">
        <v>53</v>
      </c>
      <c r="AH75" s="1" t="s">
        <v>49</v>
      </c>
      <c r="AI75" s="1" t="s">
        <v>54</v>
      </c>
      <c r="AJ75" s="1">
        <v>1</v>
      </c>
      <c r="AK75" s="1" t="str">
        <f t="shared" si="1"/>
        <v xml:space="preserve"> =&lt;90</v>
      </c>
      <c r="AL75" s="1" t="str">
        <f>VLOOKUP(C:C,[1]基础信息!B$1:D$65536,3,0)</f>
        <v>Jug</v>
      </c>
      <c r="AM75" s="1" t="str">
        <f>VLOOKUP(C:C,[1]基础信息!B$1:E$65536,4,0)</f>
        <v>Marella XL</v>
      </c>
      <c r="AN75" s="1" t="str">
        <f>VLOOKUP(C:C,[1]基础信息!B$1:F$65536,5,0)</f>
        <v>Blue</v>
      </c>
    </row>
    <row r="76" spans="1:40">
      <c r="A76" s="1" t="s">
        <v>41</v>
      </c>
      <c r="B76" s="1" t="s">
        <v>42</v>
      </c>
      <c r="C76" s="1" t="s">
        <v>104</v>
      </c>
      <c r="D76" s="1" t="s">
        <v>105</v>
      </c>
      <c r="E76" s="1" t="s">
        <v>104</v>
      </c>
      <c r="F76" s="1" t="s">
        <v>265</v>
      </c>
      <c r="G76" s="1" t="s">
        <v>295</v>
      </c>
      <c r="H76" s="1" t="s">
        <v>296</v>
      </c>
      <c r="I76" s="1" t="s">
        <v>49</v>
      </c>
      <c r="J76" s="1" t="s">
        <v>48</v>
      </c>
      <c r="K76" s="1">
        <v>96</v>
      </c>
      <c r="L76" s="1">
        <v>0</v>
      </c>
      <c r="M76" s="1">
        <v>0</v>
      </c>
      <c r="N76" s="1">
        <v>96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 t="s">
        <v>49</v>
      </c>
      <c r="AA76" s="1" t="s">
        <v>49</v>
      </c>
      <c r="AB76" s="1" t="s">
        <v>49</v>
      </c>
      <c r="AC76" s="1" t="s">
        <v>154</v>
      </c>
      <c r="AD76" s="1" t="s">
        <v>155</v>
      </c>
      <c r="AE76" s="1" t="s">
        <v>154</v>
      </c>
      <c r="AF76" s="1" t="s">
        <v>268</v>
      </c>
      <c r="AG76" s="1" t="s">
        <v>53</v>
      </c>
      <c r="AH76" s="1" t="s">
        <v>49</v>
      </c>
      <c r="AI76" s="1" t="s">
        <v>54</v>
      </c>
      <c r="AJ76" s="1">
        <v>1</v>
      </c>
      <c r="AK76" s="1" t="str">
        <f t="shared" si="1"/>
        <v xml:space="preserve"> =&lt;90</v>
      </c>
      <c r="AL76" s="1" t="str">
        <f>VLOOKUP(C:C,[1]基础信息!B$1:D$65536,3,0)</f>
        <v>Jug</v>
      </c>
      <c r="AM76" s="1" t="str">
        <f>VLOOKUP(C:C,[1]基础信息!B$1:E$65536,4,0)</f>
        <v>Marella XL</v>
      </c>
      <c r="AN76" s="1" t="str">
        <f>VLOOKUP(C:C,[1]基础信息!B$1:F$65536,5,0)</f>
        <v>Blue</v>
      </c>
    </row>
    <row r="77" spans="1:40">
      <c r="A77" s="1" t="s">
        <v>41</v>
      </c>
      <c r="B77" s="1" t="s">
        <v>42</v>
      </c>
      <c r="C77" s="1" t="s">
        <v>104</v>
      </c>
      <c r="D77" s="1" t="s">
        <v>105</v>
      </c>
      <c r="E77" s="1" t="s">
        <v>104</v>
      </c>
      <c r="F77" s="1" t="s">
        <v>265</v>
      </c>
      <c r="G77" s="1" t="s">
        <v>297</v>
      </c>
      <c r="H77" s="1" t="s">
        <v>298</v>
      </c>
      <c r="I77" s="1" t="s">
        <v>49</v>
      </c>
      <c r="J77" s="1" t="s">
        <v>48</v>
      </c>
      <c r="K77" s="1">
        <v>96</v>
      </c>
      <c r="L77" s="1">
        <v>0</v>
      </c>
      <c r="M77" s="1">
        <v>0</v>
      </c>
      <c r="N77" s="1">
        <v>96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 t="s">
        <v>49</v>
      </c>
      <c r="AA77" s="1" t="s">
        <v>49</v>
      </c>
      <c r="AB77" s="1" t="s">
        <v>49</v>
      </c>
      <c r="AC77" s="1" t="s">
        <v>154</v>
      </c>
      <c r="AD77" s="1" t="s">
        <v>155</v>
      </c>
      <c r="AE77" s="1" t="s">
        <v>154</v>
      </c>
      <c r="AF77" s="1" t="s">
        <v>268</v>
      </c>
      <c r="AG77" s="1" t="s">
        <v>53</v>
      </c>
      <c r="AH77" s="1" t="s">
        <v>49</v>
      </c>
      <c r="AI77" s="1" t="s">
        <v>54</v>
      </c>
      <c r="AJ77" s="1">
        <v>1</v>
      </c>
      <c r="AK77" s="1" t="str">
        <f t="shared" si="1"/>
        <v xml:space="preserve"> =&lt;90</v>
      </c>
      <c r="AL77" s="1" t="str">
        <f>VLOOKUP(C:C,[1]基础信息!B$1:D$65536,3,0)</f>
        <v>Jug</v>
      </c>
      <c r="AM77" s="1" t="str">
        <f>VLOOKUP(C:C,[1]基础信息!B$1:E$65536,4,0)</f>
        <v>Marella XL</v>
      </c>
      <c r="AN77" s="1" t="str">
        <f>VLOOKUP(C:C,[1]基础信息!B$1:F$65536,5,0)</f>
        <v>Blue</v>
      </c>
    </row>
    <row r="78" spans="1:40">
      <c r="A78" s="1" t="s">
        <v>41</v>
      </c>
      <c r="B78" s="1" t="s">
        <v>42</v>
      </c>
      <c r="C78" s="1" t="s">
        <v>104</v>
      </c>
      <c r="D78" s="1" t="s">
        <v>105</v>
      </c>
      <c r="E78" s="1" t="s">
        <v>104</v>
      </c>
      <c r="F78" s="1" t="s">
        <v>265</v>
      </c>
      <c r="G78" s="1" t="s">
        <v>299</v>
      </c>
      <c r="H78" s="1" t="s">
        <v>300</v>
      </c>
      <c r="I78" s="1" t="s">
        <v>49</v>
      </c>
      <c r="J78" s="1" t="s">
        <v>48</v>
      </c>
      <c r="K78" s="1">
        <v>96</v>
      </c>
      <c r="L78" s="1">
        <v>0</v>
      </c>
      <c r="M78" s="1">
        <v>0</v>
      </c>
      <c r="N78" s="1">
        <v>96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 t="s">
        <v>49</v>
      </c>
      <c r="AA78" s="1" t="s">
        <v>49</v>
      </c>
      <c r="AB78" s="1" t="s">
        <v>49</v>
      </c>
      <c r="AC78" s="1" t="s">
        <v>154</v>
      </c>
      <c r="AD78" s="1" t="s">
        <v>155</v>
      </c>
      <c r="AE78" s="1" t="s">
        <v>154</v>
      </c>
      <c r="AF78" s="1" t="s">
        <v>268</v>
      </c>
      <c r="AG78" s="1" t="s">
        <v>53</v>
      </c>
      <c r="AH78" s="1" t="s">
        <v>49</v>
      </c>
      <c r="AI78" s="1" t="s">
        <v>54</v>
      </c>
      <c r="AJ78" s="1">
        <v>1</v>
      </c>
      <c r="AK78" s="1" t="str">
        <f t="shared" si="1"/>
        <v xml:space="preserve"> =&lt;90</v>
      </c>
      <c r="AL78" s="1" t="str">
        <f>VLOOKUP(C:C,[1]基础信息!B$1:D$65536,3,0)</f>
        <v>Jug</v>
      </c>
      <c r="AM78" s="1" t="str">
        <f>VLOOKUP(C:C,[1]基础信息!B$1:E$65536,4,0)</f>
        <v>Marella XL</v>
      </c>
      <c r="AN78" s="1" t="str">
        <f>VLOOKUP(C:C,[1]基础信息!B$1:F$65536,5,0)</f>
        <v>Blue</v>
      </c>
    </row>
    <row r="79" spans="1:40">
      <c r="A79" s="1" t="s">
        <v>41</v>
      </c>
      <c r="B79" s="1" t="s">
        <v>42</v>
      </c>
      <c r="C79" s="1" t="s">
        <v>301</v>
      </c>
      <c r="D79" s="1" t="s">
        <v>302</v>
      </c>
      <c r="E79" s="1" t="s">
        <v>45</v>
      </c>
      <c r="F79" s="1" t="s">
        <v>303</v>
      </c>
      <c r="G79" s="1" t="s">
        <v>304</v>
      </c>
      <c r="H79" s="1" t="s">
        <v>45</v>
      </c>
      <c r="I79" s="1" t="s">
        <v>45</v>
      </c>
      <c r="J79" s="1" t="s">
        <v>48</v>
      </c>
      <c r="K79" s="1">
        <v>13</v>
      </c>
      <c r="L79" s="1">
        <v>0</v>
      </c>
      <c r="M79" s="1">
        <v>0</v>
      </c>
      <c r="N79" s="1">
        <v>13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 t="s">
        <v>49</v>
      </c>
      <c r="AA79" s="1" t="s">
        <v>49</v>
      </c>
      <c r="AB79" s="1" t="s">
        <v>49</v>
      </c>
      <c r="AC79" s="1" t="s">
        <v>305</v>
      </c>
      <c r="AD79" s="1" t="s">
        <v>306</v>
      </c>
      <c r="AE79" s="1" t="s">
        <v>305</v>
      </c>
      <c r="AF79" s="1" t="s">
        <v>307</v>
      </c>
      <c r="AG79" s="1" t="s">
        <v>53</v>
      </c>
      <c r="AH79" s="1" t="s">
        <v>49</v>
      </c>
      <c r="AI79" s="1" t="s">
        <v>54</v>
      </c>
      <c r="AJ79" s="1">
        <v>1</v>
      </c>
      <c r="AK79" s="1" t="str">
        <f t="shared" si="1"/>
        <v xml:space="preserve"> =&lt;90</v>
      </c>
      <c r="AL79" s="1" t="str">
        <f>VLOOKUP(C:C,[1]基础信息!B$1:D$65536,3,0)</f>
        <v>Jug</v>
      </c>
      <c r="AM79" s="1" t="str">
        <f>VLOOKUP(C:C,[1]基础信息!B$1:E$65536,4,0)</f>
        <v>Aluna</v>
      </c>
      <c r="AN79" s="1" t="str">
        <f>VLOOKUP(C:C,[1]基础信息!B$1:F$65536,5,0)</f>
        <v>Blue</v>
      </c>
    </row>
    <row r="80" spans="1:40">
      <c r="A80" s="1" t="s">
        <v>41</v>
      </c>
      <c r="B80" s="1" t="s">
        <v>42</v>
      </c>
      <c r="C80" s="1" t="s">
        <v>301</v>
      </c>
      <c r="D80" s="1" t="s">
        <v>302</v>
      </c>
      <c r="E80" s="1" t="s">
        <v>45</v>
      </c>
      <c r="F80" s="1" t="s">
        <v>303</v>
      </c>
      <c r="G80" s="1" t="s">
        <v>308</v>
      </c>
      <c r="H80" s="1" t="s">
        <v>45</v>
      </c>
      <c r="I80" s="1" t="s">
        <v>45</v>
      </c>
      <c r="J80" s="1" t="s">
        <v>48</v>
      </c>
      <c r="K80" s="1">
        <v>96</v>
      </c>
      <c r="L80" s="1">
        <v>0</v>
      </c>
      <c r="M80" s="1">
        <v>0</v>
      </c>
      <c r="N80" s="1">
        <v>96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 t="s">
        <v>49</v>
      </c>
      <c r="AA80" s="1" t="s">
        <v>49</v>
      </c>
      <c r="AB80" s="1" t="s">
        <v>49</v>
      </c>
      <c r="AC80" s="1" t="s">
        <v>305</v>
      </c>
      <c r="AD80" s="1" t="s">
        <v>306</v>
      </c>
      <c r="AE80" s="1" t="s">
        <v>305</v>
      </c>
      <c r="AF80" s="1" t="s">
        <v>307</v>
      </c>
      <c r="AG80" s="1" t="s">
        <v>53</v>
      </c>
      <c r="AH80" s="1" t="s">
        <v>49</v>
      </c>
      <c r="AI80" s="1" t="s">
        <v>54</v>
      </c>
      <c r="AJ80" s="1">
        <v>1</v>
      </c>
      <c r="AK80" s="1" t="str">
        <f t="shared" si="1"/>
        <v xml:space="preserve"> =&lt;90</v>
      </c>
      <c r="AL80" s="1" t="str">
        <f>VLOOKUP(C:C,[1]基础信息!B$1:D$65536,3,0)</f>
        <v>Jug</v>
      </c>
      <c r="AM80" s="1" t="str">
        <f>VLOOKUP(C:C,[1]基础信息!B$1:E$65536,4,0)</f>
        <v>Aluna</v>
      </c>
      <c r="AN80" s="1" t="str">
        <f>VLOOKUP(C:C,[1]基础信息!B$1:F$65536,5,0)</f>
        <v>Blue</v>
      </c>
    </row>
    <row r="81" spans="1:40">
      <c r="A81" s="1" t="s">
        <v>41</v>
      </c>
      <c r="B81" s="1" t="s">
        <v>42</v>
      </c>
      <c r="C81" s="1" t="s">
        <v>301</v>
      </c>
      <c r="D81" s="1" t="s">
        <v>302</v>
      </c>
      <c r="E81" s="1" t="s">
        <v>45</v>
      </c>
      <c r="F81" s="1" t="s">
        <v>303</v>
      </c>
      <c r="G81" s="1" t="s">
        <v>309</v>
      </c>
      <c r="H81" s="1" t="s">
        <v>45</v>
      </c>
      <c r="I81" s="1" t="s">
        <v>45</v>
      </c>
      <c r="J81" s="1" t="s">
        <v>48</v>
      </c>
      <c r="K81" s="1">
        <v>96</v>
      </c>
      <c r="L81" s="1">
        <v>0</v>
      </c>
      <c r="M81" s="1">
        <v>0</v>
      </c>
      <c r="N81" s="1">
        <v>96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 t="s">
        <v>49</v>
      </c>
      <c r="AA81" s="1" t="s">
        <v>49</v>
      </c>
      <c r="AB81" s="1" t="s">
        <v>49</v>
      </c>
      <c r="AC81" s="1" t="s">
        <v>305</v>
      </c>
      <c r="AD81" s="1" t="s">
        <v>306</v>
      </c>
      <c r="AE81" s="1" t="s">
        <v>305</v>
      </c>
      <c r="AF81" s="1" t="s">
        <v>307</v>
      </c>
      <c r="AG81" s="1" t="s">
        <v>53</v>
      </c>
      <c r="AH81" s="1" t="s">
        <v>49</v>
      </c>
      <c r="AI81" s="1" t="s">
        <v>54</v>
      </c>
      <c r="AJ81" s="1">
        <v>1</v>
      </c>
      <c r="AK81" s="1" t="str">
        <f t="shared" si="1"/>
        <v xml:space="preserve"> =&lt;90</v>
      </c>
      <c r="AL81" s="1" t="str">
        <f>VLOOKUP(C:C,[1]基础信息!B$1:D$65536,3,0)</f>
        <v>Jug</v>
      </c>
      <c r="AM81" s="1" t="str">
        <f>VLOOKUP(C:C,[1]基础信息!B$1:E$65536,4,0)</f>
        <v>Aluna</v>
      </c>
      <c r="AN81" s="1" t="str">
        <f>VLOOKUP(C:C,[1]基础信息!B$1:F$65536,5,0)</f>
        <v>Blue</v>
      </c>
    </row>
    <row r="82" spans="1:40">
      <c r="A82" s="1" t="s">
        <v>41</v>
      </c>
      <c r="B82" s="1" t="s">
        <v>42</v>
      </c>
      <c r="C82" s="1" t="s">
        <v>285</v>
      </c>
      <c r="D82" s="1" t="s">
        <v>286</v>
      </c>
      <c r="E82" s="1" t="s">
        <v>45</v>
      </c>
      <c r="F82" s="1" t="s">
        <v>287</v>
      </c>
      <c r="G82" s="1" t="s">
        <v>310</v>
      </c>
      <c r="H82" s="1" t="s">
        <v>311</v>
      </c>
      <c r="I82" s="1" t="s">
        <v>49</v>
      </c>
      <c r="J82" s="1" t="s">
        <v>48</v>
      </c>
      <c r="K82" s="1">
        <v>70</v>
      </c>
      <c r="L82" s="1">
        <v>0</v>
      </c>
      <c r="M82" s="1">
        <v>0</v>
      </c>
      <c r="N82" s="1">
        <v>70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 t="s">
        <v>49</v>
      </c>
      <c r="AA82" s="1" t="s">
        <v>49</v>
      </c>
      <c r="AB82" s="1" t="s">
        <v>49</v>
      </c>
      <c r="AC82" s="1" t="s">
        <v>290</v>
      </c>
      <c r="AD82" s="1" t="s">
        <v>291</v>
      </c>
      <c r="AE82" s="1" t="s">
        <v>290</v>
      </c>
      <c r="AF82" s="1" t="s">
        <v>292</v>
      </c>
      <c r="AG82" s="1" t="s">
        <v>53</v>
      </c>
      <c r="AH82" s="1" t="s">
        <v>49</v>
      </c>
      <c r="AI82" s="1" t="s">
        <v>54</v>
      </c>
      <c r="AJ82" s="1">
        <v>1</v>
      </c>
      <c r="AK82" s="1" t="str">
        <f t="shared" si="1"/>
        <v xml:space="preserve"> =&lt;90</v>
      </c>
      <c r="AL82" s="1" t="str">
        <f>VLOOKUP(C:C,[1]基础信息!B$1:D$65536,3,0)</f>
        <v>Jug</v>
      </c>
      <c r="AM82" s="1" t="str">
        <f>VLOOKUP(C:C,[1]基础信息!B$1:E$65536,4,0)</f>
        <v>Marella XL</v>
      </c>
      <c r="AN82" s="1" t="str">
        <f>VLOOKUP(C:C,[1]基础信息!B$1:F$65536,5,0)</f>
        <v>Blue</v>
      </c>
    </row>
    <row r="83" spans="1:40">
      <c r="A83" s="1" t="s">
        <v>41</v>
      </c>
      <c r="B83" s="1" t="s">
        <v>42</v>
      </c>
      <c r="C83" s="1" t="s">
        <v>104</v>
      </c>
      <c r="D83" s="1" t="s">
        <v>105</v>
      </c>
      <c r="E83" s="1" t="s">
        <v>104</v>
      </c>
      <c r="F83" s="1" t="s">
        <v>265</v>
      </c>
      <c r="G83" s="1" t="s">
        <v>312</v>
      </c>
      <c r="H83" s="1" t="s">
        <v>313</v>
      </c>
      <c r="I83" s="1" t="s">
        <v>49</v>
      </c>
      <c r="J83" s="1" t="s">
        <v>48</v>
      </c>
      <c r="K83" s="1">
        <v>96</v>
      </c>
      <c r="L83" s="1">
        <v>0</v>
      </c>
      <c r="M83" s="1">
        <v>0</v>
      </c>
      <c r="N83" s="1">
        <v>96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 t="s">
        <v>49</v>
      </c>
      <c r="AA83" s="1" t="s">
        <v>49</v>
      </c>
      <c r="AB83" s="1" t="s">
        <v>49</v>
      </c>
      <c r="AC83" s="1" t="s">
        <v>154</v>
      </c>
      <c r="AD83" s="1" t="s">
        <v>155</v>
      </c>
      <c r="AE83" s="1" t="s">
        <v>154</v>
      </c>
      <c r="AF83" s="1" t="s">
        <v>268</v>
      </c>
      <c r="AG83" s="1" t="s">
        <v>53</v>
      </c>
      <c r="AH83" s="1" t="s">
        <v>49</v>
      </c>
      <c r="AI83" s="1" t="s">
        <v>54</v>
      </c>
      <c r="AJ83" s="1">
        <v>1</v>
      </c>
      <c r="AK83" s="1" t="str">
        <f t="shared" si="1"/>
        <v xml:space="preserve"> =&lt;90</v>
      </c>
      <c r="AL83" s="1" t="str">
        <f>VLOOKUP(C:C,[1]基础信息!B$1:D$65536,3,0)</f>
        <v>Jug</v>
      </c>
      <c r="AM83" s="1" t="str">
        <f>VLOOKUP(C:C,[1]基础信息!B$1:E$65536,4,0)</f>
        <v>Marella XL</v>
      </c>
      <c r="AN83" s="1" t="str">
        <f>VLOOKUP(C:C,[1]基础信息!B$1:F$65536,5,0)</f>
        <v>Blue</v>
      </c>
    </row>
    <row r="84" spans="1:40">
      <c r="A84" s="1" t="s">
        <v>41</v>
      </c>
      <c r="B84" s="1" t="s">
        <v>42</v>
      </c>
      <c r="C84" s="1" t="s">
        <v>104</v>
      </c>
      <c r="D84" s="1" t="s">
        <v>105</v>
      </c>
      <c r="E84" s="1" t="s">
        <v>104</v>
      </c>
      <c r="F84" s="1" t="s">
        <v>151</v>
      </c>
      <c r="G84" s="1" t="s">
        <v>314</v>
      </c>
      <c r="H84" s="1" t="s">
        <v>315</v>
      </c>
      <c r="I84" s="1" t="s">
        <v>49</v>
      </c>
      <c r="J84" s="1" t="s">
        <v>48</v>
      </c>
      <c r="K84" s="1">
        <v>96</v>
      </c>
      <c r="L84" s="1">
        <v>0</v>
      </c>
      <c r="M84" s="1">
        <v>0</v>
      </c>
      <c r="N84" s="1">
        <v>96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 t="s">
        <v>49</v>
      </c>
      <c r="AA84" s="1" t="s">
        <v>49</v>
      </c>
      <c r="AB84" s="1" t="s">
        <v>49</v>
      </c>
      <c r="AC84" s="1" t="s">
        <v>154</v>
      </c>
      <c r="AD84" s="1" t="s">
        <v>155</v>
      </c>
      <c r="AE84" s="1" t="s">
        <v>154</v>
      </c>
      <c r="AF84" s="1" t="s">
        <v>111</v>
      </c>
      <c r="AG84" s="1" t="s">
        <v>53</v>
      </c>
      <c r="AH84" s="1" t="s">
        <v>49</v>
      </c>
      <c r="AI84" s="1" t="s">
        <v>54</v>
      </c>
      <c r="AJ84" s="1">
        <v>1</v>
      </c>
      <c r="AK84" s="1" t="str">
        <f t="shared" si="1"/>
        <v xml:space="preserve"> =&lt;90</v>
      </c>
      <c r="AL84" s="1" t="str">
        <f>VLOOKUP(C:C,[1]基础信息!B$1:D$65536,3,0)</f>
        <v>Jug</v>
      </c>
      <c r="AM84" s="1" t="str">
        <f>VLOOKUP(C:C,[1]基础信息!B$1:E$65536,4,0)</f>
        <v>Marella XL</v>
      </c>
      <c r="AN84" s="1" t="str">
        <f>VLOOKUP(C:C,[1]基础信息!B$1:F$65536,5,0)</f>
        <v>Blue</v>
      </c>
    </row>
    <row r="85" spans="1:40">
      <c r="A85" s="1" t="s">
        <v>41</v>
      </c>
      <c r="B85" s="1" t="s">
        <v>42</v>
      </c>
      <c r="C85" s="1" t="s">
        <v>83</v>
      </c>
      <c r="D85" s="1" t="s">
        <v>84</v>
      </c>
      <c r="E85" s="1" t="s">
        <v>45</v>
      </c>
      <c r="F85" s="1" t="s">
        <v>85</v>
      </c>
      <c r="G85" s="1" t="s">
        <v>316</v>
      </c>
      <c r="H85" s="1" t="s">
        <v>317</v>
      </c>
      <c r="I85" s="1" t="s">
        <v>49</v>
      </c>
      <c r="J85" s="1" t="s">
        <v>48</v>
      </c>
      <c r="K85" s="1">
        <v>96</v>
      </c>
      <c r="L85" s="1">
        <v>0</v>
      </c>
      <c r="M85" s="1">
        <v>0</v>
      </c>
      <c r="N85" s="1">
        <v>96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 t="s">
        <v>49</v>
      </c>
      <c r="AA85" s="1" t="s">
        <v>49</v>
      </c>
      <c r="AB85" s="1" t="s">
        <v>49</v>
      </c>
      <c r="AC85" s="1" t="s">
        <v>88</v>
      </c>
      <c r="AD85" s="1" t="s">
        <v>89</v>
      </c>
      <c r="AE85" s="1" t="s">
        <v>88</v>
      </c>
      <c r="AF85" s="1" t="s">
        <v>90</v>
      </c>
      <c r="AG85" s="1" t="s">
        <v>53</v>
      </c>
      <c r="AH85" s="1" t="s">
        <v>49</v>
      </c>
      <c r="AI85" s="1" t="s">
        <v>54</v>
      </c>
      <c r="AJ85" s="1">
        <v>1</v>
      </c>
      <c r="AK85" s="1" t="str">
        <f t="shared" si="1"/>
        <v xml:space="preserve"> =&lt;90</v>
      </c>
      <c r="AL85" s="1" t="str">
        <f>VLOOKUP(C:C,[1]基础信息!B$1:D$65536,3,0)</f>
        <v>Jug</v>
      </c>
      <c r="AM85" s="1" t="str">
        <f>VLOOKUP(C:C,[1]基础信息!B$1:E$65536,4,0)</f>
        <v>Mxplus</v>
      </c>
      <c r="AN85" s="1" t="str">
        <f>VLOOKUP(C:C,[1]基础信息!B$1:F$65536,5,0)</f>
        <v>Blue</v>
      </c>
    </row>
    <row r="86" spans="1:40">
      <c r="A86" s="1" t="s">
        <v>41</v>
      </c>
      <c r="B86" s="1" t="s">
        <v>42</v>
      </c>
      <c r="C86" s="1" t="s">
        <v>301</v>
      </c>
      <c r="D86" s="1" t="s">
        <v>302</v>
      </c>
      <c r="E86" s="1" t="s">
        <v>45</v>
      </c>
      <c r="F86" s="1" t="s">
        <v>303</v>
      </c>
      <c r="G86" s="1" t="s">
        <v>318</v>
      </c>
      <c r="H86" s="1" t="s">
        <v>45</v>
      </c>
      <c r="I86" s="1" t="s">
        <v>45</v>
      </c>
      <c r="J86" s="1" t="s">
        <v>48</v>
      </c>
      <c r="K86" s="1">
        <v>96</v>
      </c>
      <c r="L86" s="1">
        <v>0</v>
      </c>
      <c r="M86" s="1">
        <v>0</v>
      </c>
      <c r="N86" s="1">
        <v>96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 t="s">
        <v>49</v>
      </c>
      <c r="AA86" s="1" t="s">
        <v>49</v>
      </c>
      <c r="AB86" s="1" t="s">
        <v>49</v>
      </c>
      <c r="AC86" s="1" t="s">
        <v>305</v>
      </c>
      <c r="AD86" s="1" t="s">
        <v>306</v>
      </c>
      <c r="AE86" s="1" t="s">
        <v>305</v>
      </c>
      <c r="AF86" s="1" t="s">
        <v>307</v>
      </c>
      <c r="AG86" s="1" t="s">
        <v>53</v>
      </c>
      <c r="AH86" s="1" t="s">
        <v>49</v>
      </c>
      <c r="AI86" s="1" t="s">
        <v>54</v>
      </c>
      <c r="AJ86" s="1">
        <v>1</v>
      </c>
      <c r="AK86" s="1" t="str">
        <f t="shared" si="1"/>
        <v xml:space="preserve"> =&lt;90</v>
      </c>
      <c r="AL86" s="1" t="str">
        <f>VLOOKUP(C:C,[1]基础信息!B$1:D$65536,3,0)</f>
        <v>Jug</v>
      </c>
      <c r="AM86" s="1" t="str">
        <f>VLOOKUP(C:C,[1]基础信息!B$1:E$65536,4,0)</f>
        <v>Aluna</v>
      </c>
      <c r="AN86" s="1" t="str">
        <f>VLOOKUP(C:C,[1]基础信息!B$1:F$65536,5,0)</f>
        <v>Blue</v>
      </c>
    </row>
    <row r="87" spans="1:40">
      <c r="A87" s="1" t="s">
        <v>41</v>
      </c>
      <c r="B87" s="1" t="s">
        <v>42</v>
      </c>
      <c r="C87" s="1" t="s">
        <v>301</v>
      </c>
      <c r="D87" s="1" t="s">
        <v>302</v>
      </c>
      <c r="E87" s="1" t="s">
        <v>45</v>
      </c>
      <c r="F87" s="1" t="s">
        <v>303</v>
      </c>
      <c r="G87" s="1" t="s">
        <v>319</v>
      </c>
      <c r="H87" s="1" t="s">
        <v>45</v>
      </c>
      <c r="I87" s="1" t="s">
        <v>45</v>
      </c>
      <c r="J87" s="1" t="s">
        <v>48</v>
      </c>
      <c r="K87" s="1">
        <v>96</v>
      </c>
      <c r="L87" s="1">
        <v>0</v>
      </c>
      <c r="M87" s="1">
        <v>0</v>
      </c>
      <c r="N87" s="1">
        <v>96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 t="s">
        <v>49</v>
      </c>
      <c r="AA87" s="1" t="s">
        <v>49</v>
      </c>
      <c r="AB87" s="1" t="s">
        <v>49</v>
      </c>
      <c r="AC87" s="1" t="s">
        <v>305</v>
      </c>
      <c r="AD87" s="1" t="s">
        <v>306</v>
      </c>
      <c r="AE87" s="1" t="s">
        <v>305</v>
      </c>
      <c r="AF87" s="1" t="s">
        <v>307</v>
      </c>
      <c r="AG87" s="1" t="s">
        <v>53</v>
      </c>
      <c r="AH87" s="1" t="s">
        <v>49</v>
      </c>
      <c r="AI87" s="1" t="s">
        <v>54</v>
      </c>
      <c r="AJ87" s="1">
        <v>1</v>
      </c>
      <c r="AK87" s="1" t="str">
        <f t="shared" si="1"/>
        <v xml:space="preserve"> =&lt;90</v>
      </c>
      <c r="AL87" s="1" t="str">
        <f>VLOOKUP(C:C,[1]基础信息!B$1:D$65536,3,0)</f>
        <v>Jug</v>
      </c>
      <c r="AM87" s="1" t="str">
        <f>VLOOKUP(C:C,[1]基础信息!B$1:E$65536,4,0)</f>
        <v>Aluna</v>
      </c>
      <c r="AN87" s="1" t="str">
        <f>VLOOKUP(C:C,[1]基础信息!B$1:F$65536,5,0)</f>
        <v>Blue</v>
      </c>
    </row>
    <row r="88" spans="1:40">
      <c r="A88" s="1" t="s">
        <v>41</v>
      </c>
      <c r="B88" s="1" t="s">
        <v>42</v>
      </c>
      <c r="C88" s="1" t="s">
        <v>104</v>
      </c>
      <c r="D88" s="1" t="s">
        <v>105</v>
      </c>
      <c r="E88" s="1" t="s">
        <v>104</v>
      </c>
      <c r="F88" s="1" t="s">
        <v>151</v>
      </c>
      <c r="G88" s="1" t="s">
        <v>320</v>
      </c>
      <c r="H88" s="1" t="s">
        <v>321</v>
      </c>
      <c r="I88" s="1" t="s">
        <v>49</v>
      </c>
      <c r="J88" s="1" t="s">
        <v>48</v>
      </c>
      <c r="K88" s="1">
        <v>96</v>
      </c>
      <c r="L88" s="1">
        <v>0</v>
      </c>
      <c r="M88" s="1">
        <v>0</v>
      </c>
      <c r="N88" s="1">
        <v>96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 t="s">
        <v>49</v>
      </c>
      <c r="AA88" s="1" t="s">
        <v>49</v>
      </c>
      <c r="AB88" s="1" t="s">
        <v>49</v>
      </c>
      <c r="AC88" s="1" t="s">
        <v>154</v>
      </c>
      <c r="AD88" s="1" t="s">
        <v>155</v>
      </c>
      <c r="AE88" s="1" t="s">
        <v>154</v>
      </c>
      <c r="AF88" s="1" t="s">
        <v>111</v>
      </c>
      <c r="AG88" s="1" t="s">
        <v>53</v>
      </c>
      <c r="AH88" s="1" t="s">
        <v>49</v>
      </c>
      <c r="AI88" s="1" t="s">
        <v>54</v>
      </c>
      <c r="AJ88" s="1">
        <v>1</v>
      </c>
      <c r="AK88" s="1" t="str">
        <f t="shared" si="1"/>
        <v xml:space="preserve"> =&lt;90</v>
      </c>
      <c r="AL88" s="1" t="str">
        <f>VLOOKUP(C:C,[1]基础信息!B$1:D$65536,3,0)</f>
        <v>Jug</v>
      </c>
      <c r="AM88" s="1" t="str">
        <f>VLOOKUP(C:C,[1]基础信息!B$1:E$65536,4,0)</f>
        <v>Marella XL</v>
      </c>
      <c r="AN88" s="1" t="str">
        <f>VLOOKUP(C:C,[1]基础信息!B$1:F$65536,5,0)</f>
        <v>Blue</v>
      </c>
    </row>
    <row r="89" spans="1:40">
      <c r="A89" s="1" t="s">
        <v>41</v>
      </c>
      <c r="B89" s="1" t="s">
        <v>42</v>
      </c>
      <c r="C89" s="1" t="s">
        <v>83</v>
      </c>
      <c r="D89" s="1" t="s">
        <v>84</v>
      </c>
      <c r="E89" s="1" t="s">
        <v>45</v>
      </c>
      <c r="F89" s="1" t="s">
        <v>85</v>
      </c>
      <c r="G89" s="1" t="s">
        <v>322</v>
      </c>
      <c r="H89" s="1" t="s">
        <v>323</v>
      </c>
      <c r="I89" s="1" t="s">
        <v>49</v>
      </c>
      <c r="J89" s="1" t="s">
        <v>48</v>
      </c>
      <c r="K89" s="1">
        <v>96</v>
      </c>
      <c r="L89" s="1">
        <v>0</v>
      </c>
      <c r="M89" s="1">
        <v>0</v>
      </c>
      <c r="N89" s="1">
        <v>96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 t="s">
        <v>49</v>
      </c>
      <c r="AA89" s="1" t="s">
        <v>49</v>
      </c>
      <c r="AB89" s="1" t="s">
        <v>49</v>
      </c>
      <c r="AC89" s="1" t="s">
        <v>88</v>
      </c>
      <c r="AD89" s="1" t="s">
        <v>89</v>
      </c>
      <c r="AE89" s="1" t="s">
        <v>88</v>
      </c>
      <c r="AF89" s="1" t="s">
        <v>90</v>
      </c>
      <c r="AG89" s="1" t="s">
        <v>53</v>
      </c>
      <c r="AH89" s="1" t="s">
        <v>49</v>
      </c>
      <c r="AI89" s="1" t="s">
        <v>54</v>
      </c>
      <c r="AJ89" s="1">
        <v>1</v>
      </c>
      <c r="AK89" s="1" t="str">
        <f t="shared" si="1"/>
        <v xml:space="preserve"> =&lt;90</v>
      </c>
      <c r="AL89" s="1" t="str">
        <f>VLOOKUP(C:C,[1]基础信息!B$1:D$65536,3,0)</f>
        <v>Jug</v>
      </c>
      <c r="AM89" s="1" t="str">
        <f>VLOOKUP(C:C,[1]基础信息!B$1:E$65536,4,0)</f>
        <v>Mxplus</v>
      </c>
      <c r="AN89" s="1" t="str">
        <f>VLOOKUP(C:C,[1]基础信息!B$1:F$65536,5,0)</f>
        <v>Blue</v>
      </c>
    </row>
    <row r="90" spans="1:40">
      <c r="A90" s="1" t="s">
        <v>41</v>
      </c>
      <c r="B90" s="1" t="s">
        <v>42</v>
      </c>
      <c r="C90" s="1" t="s">
        <v>83</v>
      </c>
      <c r="D90" s="1" t="s">
        <v>84</v>
      </c>
      <c r="E90" s="1" t="s">
        <v>45</v>
      </c>
      <c r="F90" s="1" t="s">
        <v>85</v>
      </c>
      <c r="G90" s="1" t="s">
        <v>324</v>
      </c>
      <c r="H90" s="1" t="s">
        <v>325</v>
      </c>
      <c r="I90" s="1" t="s">
        <v>49</v>
      </c>
      <c r="J90" s="1" t="s">
        <v>48</v>
      </c>
      <c r="K90" s="1">
        <v>96</v>
      </c>
      <c r="L90" s="1">
        <v>0</v>
      </c>
      <c r="M90" s="1">
        <v>0</v>
      </c>
      <c r="N90" s="1">
        <v>96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 t="s">
        <v>49</v>
      </c>
      <c r="AA90" s="1" t="s">
        <v>49</v>
      </c>
      <c r="AB90" s="1" t="s">
        <v>49</v>
      </c>
      <c r="AC90" s="1" t="s">
        <v>88</v>
      </c>
      <c r="AD90" s="1" t="s">
        <v>89</v>
      </c>
      <c r="AE90" s="1" t="s">
        <v>88</v>
      </c>
      <c r="AF90" s="1" t="s">
        <v>90</v>
      </c>
      <c r="AG90" s="1" t="s">
        <v>53</v>
      </c>
      <c r="AH90" s="1" t="s">
        <v>49</v>
      </c>
      <c r="AI90" s="1" t="s">
        <v>54</v>
      </c>
      <c r="AJ90" s="1">
        <v>1</v>
      </c>
      <c r="AK90" s="1" t="str">
        <f t="shared" si="1"/>
        <v xml:space="preserve"> =&lt;90</v>
      </c>
      <c r="AL90" s="1" t="str">
        <f>VLOOKUP(C:C,[1]基础信息!B$1:D$65536,3,0)</f>
        <v>Jug</v>
      </c>
      <c r="AM90" s="1" t="str">
        <f>VLOOKUP(C:C,[1]基础信息!B$1:E$65536,4,0)</f>
        <v>Mxplus</v>
      </c>
      <c r="AN90" s="1" t="str">
        <f>VLOOKUP(C:C,[1]基础信息!B$1:F$65536,5,0)</f>
        <v>Blue</v>
      </c>
    </row>
    <row r="91" spans="1:40">
      <c r="A91" s="1" t="s">
        <v>41</v>
      </c>
      <c r="B91" s="1" t="s">
        <v>42</v>
      </c>
      <c r="C91" s="1" t="s">
        <v>83</v>
      </c>
      <c r="D91" s="1" t="s">
        <v>84</v>
      </c>
      <c r="E91" s="1" t="s">
        <v>45</v>
      </c>
      <c r="F91" s="1" t="s">
        <v>85</v>
      </c>
      <c r="G91" s="1" t="s">
        <v>326</v>
      </c>
      <c r="H91" s="1" t="s">
        <v>327</v>
      </c>
      <c r="I91" s="1" t="s">
        <v>49</v>
      </c>
      <c r="J91" s="1" t="s">
        <v>48</v>
      </c>
      <c r="K91" s="1">
        <v>96</v>
      </c>
      <c r="L91" s="1">
        <v>0</v>
      </c>
      <c r="M91" s="1">
        <v>0</v>
      </c>
      <c r="N91" s="1">
        <v>96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 t="s">
        <v>49</v>
      </c>
      <c r="AA91" s="1" t="s">
        <v>49</v>
      </c>
      <c r="AB91" s="1" t="s">
        <v>49</v>
      </c>
      <c r="AC91" s="1" t="s">
        <v>88</v>
      </c>
      <c r="AD91" s="1" t="s">
        <v>89</v>
      </c>
      <c r="AE91" s="1" t="s">
        <v>88</v>
      </c>
      <c r="AF91" s="1" t="s">
        <v>90</v>
      </c>
      <c r="AG91" s="1" t="s">
        <v>53</v>
      </c>
      <c r="AH91" s="1" t="s">
        <v>49</v>
      </c>
      <c r="AI91" s="1" t="s">
        <v>54</v>
      </c>
      <c r="AJ91" s="1">
        <v>1</v>
      </c>
      <c r="AK91" s="1" t="str">
        <f t="shared" si="1"/>
        <v xml:space="preserve"> =&lt;90</v>
      </c>
      <c r="AL91" s="1" t="str">
        <f>VLOOKUP(C:C,[1]基础信息!B$1:D$65536,3,0)</f>
        <v>Jug</v>
      </c>
      <c r="AM91" s="1" t="str">
        <f>VLOOKUP(C:C,[1]基础信息!B$1:E$65536,4,0)</f>
        <v>Mxplus</v>
      </c>
      <c r="AN91" s="1" t="str">
        <f>VLOOKUP(C:C,[1]基础信息!B$1:F$65536,5,0)</f>
        <v>Blue</v>
      </c>
    </row>
    <row r="92" spans="1:40">
      <c r="A92" s="1" t="s">
        <v>41</v>
      </c>
      <c r="B92" s="1" t="s">
        <v>42</v>
      </c>
      <c r="C92" s="1" t="s">
        <v>83</v>
      </c>
      <c r="D92" s="1" t="s">
        <v>84</v>
      </c>
      <c r="E92" s="1" t="s">
        <v>45</v>
      </c>
      <c r="F92" s="1" t="s">
        <v>85</v>
      </c>
      <c r="G92" s="1" t="s">
        <v>328</v>
      </c>
      <c r="H92" s="1" t="s">
        <v>329</v>
      </c>
      <c r="I92" s="1" t="s">
        <v>49</v>
      </c>
      <c r="J92" s="1" t="s">
        <v>48</v>
      </c>
      <c r="K92" s="1">
        <v>28</v>
      </c>
      <c r="L92" s="1">
        <v>0</v>
      </c>
      <c r="M92" s="1">
        <v>0</v>
      </c>
      <c r="N92" s="1">
        <v>28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 t="s">
        <v>49</v>
      </c>
      <c r="AA92" s="1" t="s">
        <v>49</v>
      </c>
      <c r="AB92" s="1" t="s">
        <v>49</v>
      </c>
      <c r="AC92" s="1" t="s">
        <v>88</v>
      </c>
      <c r="AD92" s="1" t="s">
        <v>89</v>
      </c>
      <c r="AE92" s="1" t="s">
        <v>88</v>
      </c>
      <c r="AF92" s="1" t="s">
        <v>90</v>
      </c>
      <c r="AG92" s="1" t="s">
        <v>53</v>
      </c>
      <c r="AH92" s="1" t="s">
        <v>49</v>
      </c>
      <c r="AI92" s="1" t="s">
        <v>54</v>
      </c>
      <c r="AJ92" s="1">
        <v>1</v>
      </c>
      <c r="AK92" s="1" t="str">
        <f t="shared" si="1"/>
        <v xml:space="preserve"> =&lt;90</v>
      </c>
      <c r="AL92" s="1" t="str">
        <f>VLOOKUP(C:C,[1]基础信息!B$1:D$65536,3,0)</f>
        <v>Jug</v>
      </c>
      <c r="AM92" s="1" t="str">
        <f>VLOOKUP(C:C,[1]基础信息!B$1:E$65536,4,0)</f>
        <v>Mxplus</v>
      </c>
      <c r="AN92" s="1" t="str">
        <f>VLOOKUP(C:C,[1]基础信息!B$1:F$65536,5,0)</f>
        <v>Blue</v>
      </c>
    </row>
    <row r="93" spans="1:40">
      <c r="A93" s="1" t="s">
        <v>41</v>
      </c>
      <c r="B93" s="1" t="s">
        <v>42</v>
      </c>
      <c r="C93" s="1" t="s">
        <v>330</v>
      </c>
      <c r="D93" s="1" t="s">
        <v>331</v>
      </c>
      <c r="E93" s="1" t="s">
        <v>330</v>
      </c>
      <c r="F93" s="1" t="s">
        <v>332</v>
      </c>
      <c r="G93" s="1" t="s">
        <v>333</v>
      </c>
      <c r="H93" s="1" t="s">
        <v>334</v>
      </c>
      <c r="I93" s="1" t="s">
        <v>49</v>
      </c>
      <c r="J93" s="1" t="s">
        <v>48</v>
      </c>
      <c r="K93" s="1">
        <v>20</v>
      </c>
      <c r="L93" s="1">
        <v>0</v>
      </c>
      <c r="M93" s="1">
        <v>0</v>
      </c>
      <c r="N93" s="1">
        <v>20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 t="s">
        <v>49</v>
      </c>
      <c r="AA93" s="1" t="s">
        <v>49</v>
      </c>
      <c r="AB93" s="1" t="s">
        <v>49</v>
      </c>
      <c r="AC93" s="1" t="s">
        <v>335</v>
      </c>
      <c r="AD93" s="1" t="s">
        <v>336</v>
      </c>
      <c r="AE93" s="1" t="s">
        <v>335</v>
      </c>
      <c r="AF93" s="1" t="s">
        <v>337</v>
      </c>
      <c r="AG93" s="1" t="s">
        <v>338</v>
      </c>
      <c r="AH93" s="1" t="s">
        <v>49</v>
      </c>
      <c r="AI93" s="1" t="s">
        <v>54</v>
      </c>
      <c r="AJ93" s="1">
        <v>1</v>
      </c>
      <c r="AK93" s="1" t="str">
        <f t="shared" si="1"/>
        <v xml:space="preserve"> =&lt;90</v>
      </c>
      <c r="AL93" s="1" t="str">
        <f>VLOOKUP(C:C,[1]基础信息!B$1:D$65536,3,0)</f>
        <v>Jug</v>
      </c>
      <c r="AM93" s="1" t="str">
        <f>VLOOKUP(C:C,[1]基础信息!B$1:E$65536,4,0)</f>
        <v>Style</v>
      </c>
      <c r="AN93" s="1" t="str">
        <f>VLOOKUP(C:C,[1]基础信息!B$1:F$65536,5,0)</f>
        <v>Lime</v>
      </c>
    </row>
    <row r="94" spans="1:40">
      <c r="A94" s="1" t="s">
        <v>41</v>
      </c>
      <c r="B94" s="1" t="s">
        <v>42</v>
      </c>
      <c r="C94" s="1" t="s">
        <v>104</v>
      </c>
      <c r="D94" s="1" t="s">
        <v>105</v>
      </c>
      <c r="E94" s="1" t="s">
        <v>104</v>
      </c>
      <c r="F94" s="1" t="s">
        <v>151</v>
      </c>
      <c r="G94" s="1" t="s">
        <v>339</v>
      </c>
      <c r="H94" s="1" t="s">
        <v>340</v>
      </c>
      <c r="I94" s="1" t="s">
        <v>49</v>
      </c>
      <c r="J94" s="1" t="s">
        <v>48</v>
      </c>
      <c r="K94" s="1">
        <v>96</v>
      </c>
      <c r="L94" s="1">
        <v>0</v>
      </c>
      <c r="M94" s="1">
        <v>0</v>
      </c>
      <c r="N94" s="1">
        <v>96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 t="s">
        <v>49</v>
      </c>
      <c r="AA94" s="1" t="s">
        <v>49</v>
      </c>
      <c r="AB94" s="1" t="s">
        <v>49</v>
      </c>
      <c r="AC94" s="1" t="s">
        <v>154</v>
      </c>
      <c r="AD94" s="1" t="s">
        <v>155</v>
      </c>
      <c r="AE94" s="1" t="s">
        <v>154</v>
      </c>
      <c r="AF94" s="1" t="s">
        <v>111</v>
      </c>
      <c r="AG94" s="1" t="s">
        <v>53</v>
      </c>
      <c r="AH94" s="1" t="s">
        <v>49</v>
      </c>
      <c r="AI94" s="1" t="s">
        <v>54</v>
      </c>
      <c r="AJ94" s="1">
        <v>1</v>
      </c>
      <c r="AK94" s="1" t="str">
        <f t="shared" si="1"/>
        <v xml:space="preserve"> =&lt;90</v>
      </c>
      <c r="AL94" s="1" t="str">
        <f>VLOOKUP(C:C,[1]基础信息!B$1:D$65536,3,0)</f>
        <v>Jug</v>
      </c>
      <c r="AM94" s="1" t="str">
        <f>VLOOKUP(C:C,[1]基础信息!B$1:E$65536,4,0)</f>
        <v>Marella XL</v>
      </c>
      <c r="AN94" s="1" t="str">
        <f>VLOOKUP(C:C,[1]基础信息!B$1:F$65536,5,0)</f>
        <v>Blue</v>
      </c>
    </row>
    <row r="95" spans="1:40">
      <c r="A95" s="1" t="s">
        <v>41</v>
      </c>
      <c r="B95" s="1" t="s">
        <v>42</v>
      </c>
      <c r="C95" s="1" t="s">
        <v>341</v>
      </c>
      <c r="D95" s="1" t="s">
        <v>342</v>
      </c>
      <c r="E95" s="1" t="s">
        <v>45</v>
      </c>
      <c r="F95" s="1" t="s">
        <v>343</v>
      </c>
      <c r="G95" s="1" t="s">
        <v>344</v>
      </c>
      <c r="H95" s="1" t="s">
        <v>345</v>
      </c>
      <c r="I95" s="1" t="s">
        <v>49</v>
      </c>
      <c r="J95" s="1" t="s">
        <v>48</v>
      </c>
      <c r="K95" s="1">
        <v>70</v>
      </c>
      <c r="L95" s="1">
        <v>0</v>
      </c>
      <c r="M95" s="1">
        <v>0</v>
      </c>
      <c r="N95" s="1">
        <v>70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 t="s">
        <v>49</v>
      </c>
      <c r="AA95" s="1" t="s">
        <v>49</v>
      </c>
      <c r="AB95" s="1" t="s">
        <v>49</v>
      </c>
      <c r="AC95" s="1" t="s">
        <v>346</v>
      </c>
      <c r="AD95" s="1" t="s">
        <v>347</v>
      </c>
      <c r="AE95" s="1" t="s">
        <v>346</v>
      </c>
      <c r="AF95" s="1" t="s">
        <v>348</v>
      </c>
      <c r="AG95" s="1" t="s">
        <v>338</v>
      </c>
      <c r="AH95" s="1" t="s">
        <v>49</v>
      </c>
      <c r="AI95" s="1" t="s">
        <v>54</v>
      </c>
      <c r="AJ95" s="1">
        <v>1</v>
      </c>
      <c r="AK95" s="1" t="str">
        <f t="shared" si="1"/>
        <v xml:space="preserve"> =&lt;90</v>
      </c>
      <c r="AL95" s="1" t="str">
        <f>VLOOKUP(C:C,[1]基础信息!B$1:D$65536,3,0)</f>
        <v>Jug</v>
      </c>
      <c r="AM95" s="1" t="str">
        <f>VLOOKUP(C:C,[1]基础信息!B$1:E$65536,4,0)</f>
        <v>Marella</v>
      </c>
      <c r="AN95" s="1" t="str">
        <f>VLOOKUP(C:C,[1]基础信息!B$1:F$65536,5,0)</f>
        <v>Blue Glitter</v>
      </c>
    </row>
    <row r="96" spans="1:40">
      <c r="A96" s="1" t="s">
        <v>41</v>
      </c>
      <c r="B96" s="1" t="s">
        <v>42</v>
      </c>
      <c r="C96" s="1" t="s">
        <v>83</v>
      </c>
      <c r="D96" s="1" t="s">
        <v>84</v>
      </c>
      <c r="E96" s="1" t="s">
        <v>45</v>
      </c>
      <c r="F96" s="1" t="s">
        <v>349</v>
      </c>
      <c r="G96" s="1" t="s">
        <v>350</v>
      </c>
      <c r="H96" s="1" t="s">
        <v>351</v>
      </c>
      <c r="I96" s="1" t="s">
        <v>49</v>
      </c>
      <c r="J96" s="1" t="s">
        <v>48</v>
      </c>
      <c r="K96" s="1">
        <v>96</v>
      </c>
      <c r="L96" s="1">
        <v>0</v>
      </c>
      <c r="M96" s="1">
        <v>0</v>
      </c>
      <c r="N96" s="1">
        <v>96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 t="s">
        <v>49</v>
      </c>
      <c r="AA96" s="1" t="s">
        <v>49</v>
      </c>
      <c r="AB96" s="1" t="s">
        <v>49</v>
      </c>
      <c r="AC96" s="1" t="s">
        <v>88</v>
      </c>
      <c r="AD96" s="1" t="s">
        <v>89</v>
      </c>
      <c r="AE96" s="1" t="s">
        <v>88</v>
      </c>
      <c r="AF96" s="1" t="s">
        <v>352</v>
      </c>
      <c r="AG96" s="1" t="s">
        <v>53</v>
      </c>
      <c r="AH96" s="1" t="s">
        <v>49</v>
      </c>
      <c r="AI96" s="1" t="s">
        <v>54</v>
      </c>
      <c r="AJ96" s="1">
        <v>1</v>
      </c>
      <c r="AK96" s="1" t="str">
        <f t="shared" si="1"/>
        <v xml:space="preserve"> =&lt;90</v>
      </c>
      <c r="AL96" s="1" t="str">
        <f>VLOOKUP(C:C,[1]基础信息!B$1:D$65536,3,0)</f>
        <v>Jug</v>
      </c>
      <c r="AM96" s="1" t="str">
        <f>VLOOKUP(C:C,[1]基础信息!B$1:E$65536,4,0)</f>
        <v>Mxplus</v>
      </c>
      <c r="AN96" s="1" t="str">
        <f>VLOOKUP(C:C,[1]基础信息!B$1:F$65536,5,0)</f>
        <v>Blue</v>
      </c>
    </row>
    <row r="97" spans="1:40">
      <c r="A97" s="1" t="s">
        <v>41</v>
      </c>
      <c r="B97" s="1" t="s">
        <v>42</v>
      </c>
      <c r="C97" s="1" t="s">
        <v>43</v>
      </c>
      <c r="D97" s="1" t="s">
        <v>44</v>
      </c>
      <c r="E97" s="1" t="s">
        <v>45</v>
      </c>
      <c r="F97" s="1" t="s">
        <v>46</v>
      </c>
      <c r="G97" s="1" t="s">
        <v>353</v>
      </c>
      <c r="H97" s="1" t="s">
        <v>354</v>
      </c>
      <c r="I97" s="1" t="s">
        <v>49</v>
      </c>
      <c r="J97" s="1" t="s">
        <v>48</v>
      </c>
      <c r="K97" s="1">
        <v>96</v>
      </c>
      <c r="L97" s="1">
        <v>0</v>
      </c>
      <c r="M97" s="1">
        <v>0</v>
      </c>
      <c r="N97" s="1">
        <v>96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 t="s">
        <v>49</v>
      </c>
      <c r="AA97" s="1" t="s">
        <v>49</v>
      </c>
      <c r="AB97" s="1" t="s">
        <v>49</v>
      </c>
      <c r="AC97" s="1" t="s">
        <v>50</v>
      </c>
      <c r="AD97" s="1" t="s">
        <v>51</v>
      </c>
      <c r="AE97" s="1" t="s">
        <v>50</v>
      </c>
      <c r="AF97" s="1" t="s">
        <v>52</v>
      </c>
      <c r="AG97" s="1" t="s">
        <v>53</v>
      </c>
      <c r="AH97" s="1" t="s">
        <v>49</v>
      </c>
      <c r="AI97" s="1" t="s">
        <v>54</v>
      </c>
      <c r="AJ97" s="1">
        <v>1</v>
      </c>
      <c r="AK97" s="1" t="str">
        <f t="shared" si="1"/>
        <v xml:space="preserve"> =&lt;90</v>
      </c>
      <c r="AL97" s="1" t="str">
        <f>VLOOKUP(C:C,[1]基础信息!B$1:D$65536,3,0)</f>
        <v>Jug</v>
      </c>
      <c r="AM97" s="1" t="str">
        <f>VLOOKUP(C:C,[1]基础信息!B$1:E$65536,4,0)</f>
        <v>Marella XL</v>
      </c>
      <c r="AN97" s="1" t="str">
        <f>VLOOKUP(C:C,[1]基础信息!B$1:F$65536,5,0)</f>
        <v>Black</v>
      </c>
    </row>
    <row r="98" spans="1:40">
      <c r="A98" s="1" t="s">
        <v>41</v>
      </c>
      <c r="B98" s="1" t="s">
        <v>42</v>
      </c>
      <c r="C98" s="1" t="s">
        <v>104</v>
      </c>
      <c r="D98" s="1" t="s">
        <v>105</v>
      </c>
      <c r="E98" s="1" t="s">
        <v>104</v>
      </c>
      <c r="F98" s="1" t="s">
        <v>151</v>
      </c>
      <c r="G98" s="1" t="s">
        <v>355</v>
      </c>
      <c r="H98" s="1" t="s">
        <v>356</v>
      </c>
      <c r="I98" s="1" t="s">
        <v>49</v>
      </c>
      <c r="J98" s="1" t="s">
        <v>48</v>
      </c>
      <c r="K98" s="1">
        <v>96</v>
      </c>
      <c r="L98" s="1">
        <v>0</v>
      </c>
      <c r="M98" s="1">
        <v>0</v>
      </c>
      <c r="N98" s="1">
        <v>96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 t="s">
        <v>49</v>
      </c>
      <c r="AA98" s="1" t="s">
        <v>49</v>
      </c>
      <c r="AB98" s="1" t="s">
        <v>49</v>
      </c>
      <c r="AC98" s="1" t="s">
        <v>154</v>
      </c>
      <c r="AD98" s="1" t="s">
        <v>155</v>
      </c>
      <c r="AE98" s="1" t="s">
        <v>154</v>
      </c>
      <c r="AF98" s="1" t="s">
        <v>111</v>
      </c>
      <c r="AG98" s="1" t="s">
        <v>53</v>
      </c>
      <c r="AH98" s="1" t="s">
        <v>49</v>
      </c>
      <c r="AI98" s="1" t="s">
        <v>54</v>
      </c>
      <c r="AJ98" s="1">
        <v>1</v>
      </c>
      <c r="AK98" s="1" t="str">
        <f t="shared" si="1"/>
        <v xml:space="preserve"> =&lt;90</v>
      </c>
      <c r="AL98" s="1" t="str">
        <f>VLOOKUP(C:C,[1]基础信息!B$1:D$65536,3,0)</f>
        <v>Jug</v>
      </c>
      <c r="AM98" s="1" t="str">
        <f>VLOOKUP(C:C,[1]基础信息!B$1:E$65536,4,0)</f>
        <v>Marella XL</v>
      </c>
      <c r="AN98" s="1" t="str">
        <f>VLOOKUP(C:C,[1]基础信息!B$1:F$65536,5,0)</f>
        <v>Blue</v>
      </c>
    </row>
    <row r="99" spans="1:40">
      <c r="A99" s="1" t="s">
        <v>41</v>
      </c>
      <c r="B99" s="1" t="s">
        <v>42</v>
      </c>
      <c r="C99" s="1" t="s">
        <v>208</v>
      </c>
      <c r="D99" s="1" t="s">
        <v>209</v>
      </c>
      <c r="E99" s="1" t="s">
        <v>208</v>
      </c>
      <c r="F99" s="1" t="s">
        <v>210</v>
      </c>
      <c r="G99" s="1" t="s">
        <v>357</v>
      </c>
      <c r="H99" s="1" t="s">
        <v>358</v>
      </c>
      <c r="I99" s="1" t="s">
        <v>49</v>
      </c>
      <c r="J99" s="1" t="s">
        <v>48</v>
      </c>
      <c r="K99" s="1">
        <v>80</v>
      </c>
      <c r="L99" s="1">
        <v>0</v>
      </c>
      <c r="M99" s="1">
        <v>0</v>
      </c>
      <c r="N99" s="1">
        <v>80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 t="s">
        <v>49</v>
      </c>
      <c r="AA99" s="1" t="s">
        <v>49</v>
      </c>
      <c r="AB99" s="1" t="s">
        <v>49</v>
      </c>
      <c r="AC99" s="1" t="s">
        <v>213</v>
      </c>
      <c r="AD99" s="1" t="s">
        <v>214</v>
      </c>
      <c r="AE99" s="1" t="s">
        <v>215</v>
      </c>
      <c r="AF99" s="1" t="s">
        <v>216</v>
      </c>
      <c r="AG99" s="1" t="s">
        <v>53</v>
      </c>
      <c r="AH99" s="1" t="s">
        <v>49</v>
      </c>
      <c r="AI99" s="1" t="s">
        <v>54</v>
      </c>
      <c r="AJ99" s="1">
        <v>1</v>
      </c>
      <c r="AK99" s="1" t="str">
        <f t="shared" si="1"/>
        <v xml:space="preserve"> =&lt;90</v>
      </c>
      <c r="AL99" s="1" t="str">
        <f>VLOOKUP(C:C,[1]基础信息!B$1:D$65536,3,0)</f>
        <v>Jug</v>
      </c>
      <c r="AM99" s="1" t="str">
        <f>VLOOKUP(C:C,[1]基础信息!B$1:E$65536,4,0)</f>
        <v>MXpl</v>
      </c>
      <c r="AN99" s="1" t="str">
        <f>VLOOKUP(C:C,[1]基础信息!B$1:F$65536,5,0)</f>
        <v>grey</v>
      </c>
    </row>
    <row r="100" spans="1:40">
      <c r="A100" s="1" t="s">
        <v>41</v>
      </c>
      <c r="B100" s="1" t="s">
        <v>42</v>
      </c>
      <c r="C100" s="1" t="s">
        <v>359</v>
      </c>
      <c r="D100" s="1" t="s">
        <v>360</v>
      </c>
      <c r="E100" s="1" t="s">
        <v>45</v>
      </c>
      <c r="F100" s="1" t="s">
        <v>361</v>
      </c>
      <c r="G100" s="1" t="s">
        <v>362</v>
      </c>
      <c r="H100" s="1" t="s">
        <v>363</v>
      </c>
      <c r="I100" s="1" t="s">
        <v>49</v>
      </c>
      <c r="J100" s="1" t="s">
        <v>48</v>
      </c>
      <c r="K100" s="1">
        <v>95</v>
      </c>
      <c r="L100" s="1">
        <v>0</v>
      </c>
      <c r="M100" s="1">
        <v>0</v>
      </c>
      <c r="N100" s="1">
        <v>95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 t="s">
        <v>49</v>
      </c>
      <c r="AA100" s="1" t="s">
        <v>49</v>
      </c>
      <c r="AB100" s="1" t="s">
        <v>49</v>
      </c>
      <c r="AC100" s="1" t="s">
        <v>364</v>
      </c>
      <c r="AD100" s="1" t="s">
        <v>365</v>
      </c>
      <c r="AE100" s="1" t="s">
        <v>364</v>
      </c>
      <c r="AF100" s="1" t="s">
        <v>366</v>
      </c>
      <c r="AG100" s="1" t="s">
        <v>53</v>
      </c>
      <c r="AH100" s="1" t="s">
        <v>49</v>
      </c>
      <c r="AI100" s="1" t="s">
        <v>54</v>
      </c>
      <c r="AJ100" s="1">
        <v>1</v>
      </c>
      <c r="AK100" s="1" t="str">
        <f t="shared" si="1"/>
        <v xml:space="preserve"> =&lt;90</v>
      </c>
      <c r="AL100" s="1" t="e">
        <f>VLOOKUP(C:C,[1]基础信息!B$1:D$65536,3,0)</f>
        <v>#N/A</v>
      </c>
      <c r="AM100" s="1" t="e">
        <f>VLOOKUP(C:C,[1]基础信息!B$1:E$65536,4,0)</f>
        <v>#N/A</v>
      </c>
      <c r="AN100" s="1" t="e">
        <f>VLOOKUP(C:C,[1]基础信息!B$1:F$65536,5,0)</f>
        <v>#N/A</v>
      </c>
    </row>
    <row r="101" spans="1:40">
      <c r="A101" s="1" t="s">
        <v>41</v>
      </c>
      <c r="B101" s="1" t="s">
        <v>42</v>
      </c>
      <c r="C101" s="1" t="s">
        <v>104</v>
      </c>
      <c r="D101" s="1" t="s">
        <v>105</v>
      </c>
      <c r="E101" s="1" t="s">
        <v>104</v>
      </c>
      <c r="F101" s="1" t="s">
        <v>151</v>
      </c>
      <c r="G101" s="1" t="s">
        <v>367</v>
      </c>
      <c r="H101" s="1" t="s">
        <v>368</v>
      </c>
      <c r="I101" s="1" t="s">
        <v>49</v>
      </c>
      <c r="J101" s="1" t="s">
        <v>48</v>
      </c>
      <c r="K101" s="1">
        <v>96</v>
      </c>
      <c r="L101" s="1">
        <v>0</v>
      </c>
      <c r="M101" s="1">
        <v>0</v>
      </c>
      <c r="N101" s="1">
        <v>96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 t="s">
        <v>49</v>
      </c>
      <c r="AA101" s="1" t="s">
        <v>49</v>
      </c>
      <c r="AB101" s="1" t="s">
        <v>49</v>
      </c>
      <c r="AC101" s="1" t="s">
        <v>154</v>
      </c>
      <c r="AD101" s="1" t="s">
        <v>155</v>
      </c>
      <c r="AE101" s="1" t="s">
        <v>154</v>
      </c>
      <c r="AF101" s="1" t="s">
        <v>111</v>
      </c>
      <c r="AG101" s="1" t="s">
        <v>53</v>
      </c>
      <c r="AH101" s="1" t="s">
        <v>49</v>
      </c>
      <c r="AI101" s="1" t="s">
        <v>54</v>
      </c>
      <c r="AJ101" s="1">
        <v>1</v>
      </c>
      <c r="AK101" s="1" t="str">
        <f t="shared" si="1"/>
        <v xml:space="preserve"> =&lt;90</v>
      </c>
      <c r="AL101" s="1" t="str">
        <f>VLOOKUP(C:C,[1]基础信息!B$1:D$65536,3,0)</f>
        <v>Jug</v>
      </c>
      <c r="AM101" s="1" t="str">
        <f>VLOOKUP(C:C,[1]基础信息!B$1:E$65536,4,0)</f>
        <v>Marella XL</v>
      </c>
      <c r="AN101" s="1" t="str">
        <f>VLOOKUP(C:C,[1]基础信息!B$1:F$65536,5,0)</f>
        <v>Blue</v>
      </c>
    </row>
    <row r="102" spans="1:40">
      <c r="A102" s="1" t="s">
        <v>41</v>
      </c>
      <c r="B102" s="1" t="s">
        <v>42</v>
      </c>
      <c r="C102" s="1" t="s">
        <v>162</v>
      </c>
      <c r="D102" s="1" t="s">
        <v>163</v>
      </c>
      <c r="E102" s="1" t="s">
        <v>45</v>
      </c>
      <c r="F102" s="1" t="s">
        <v>164</v>
      </c>
      <c r="G102" s="1" t="s">
        <v>369</v>
      </c>
      <c r="H102" s="1" t="s">
        <v>370</v>
      </c>
      <c r="I102" s="1" t="s">
        <v>49</v>
      </c>
      <c r="J102" s="1" t="s">
        <v>48</v>
      </c>
      <c r="K102" s="1">
        <v>60</v>
      </c>
      <c r="L102" s="1">
        <v>0</v>
      </c>
      <c r="M102" s="1">
        <v>0</v>
      </c>
      <c r="N102" s="1">
        <v>60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 t="s">
        <v>49</v>
      </c>
      <c r="AA102" s="1" t="s">
        <v>49</v>
      </c>
      <c r="AB102" s="1" t="s">
        <v>49</v>
      </c>
      <c r="AC102" s="1" t="s">
        <v>167</v>
      </c>
      <c r="AD102" s="1" t="s">
        <v>168</v>
      </c>
      <c r="AE102" s="1" t="s">
        <v>169</v>
      </c>
      <c r="AF102" s="1" t="s">
        <v>170</v>
      </c>
      <c r="AG102" s="1" t="s">
        <v>53</v>
      </c>
      <c r="AH102" s="1" t="s">
        <v>49</v>
      </c>
      <c r="AI102" s="1" t="s">
        <v>54</v>
      </c>
      <c r="AJ102" s="1">
        <v>1</v>
      </c>
      <c r="AK102" s="1" t="str">
        <f t="shared" si="1"/>
        <v xml:space="preserve"> =&lt;90</v>
      </c>
      <c r="AL102" s="1" t="str">
        <f>VLOOKUP(C:C,[1]基础信息!B$1:D$65536,3,0)</f>
        <v>Jug</v>
      </c>
      <c r="AM102" s="1" t="str">
        <f>VLOOKUP(C:C,[1]基础信息!B$1:E$65536,4,0)</f>
        <v>Style</v>
      </c>
      <c r="AN102" s="1" t="str">
        <f>VLOOKUP(C:C,[1]基础信息!B$1:F$65536,5,0)</f>
        <v>Blue</v>
      </c>
    </row>
    <row r="103" spans="1:40">
      <c r="A103" s="1" t="s">
        <v>41</v>
      </c>
      <c r="B103" s="1" t="s">
        <v>42</v>
      </c>
      <c r="C103" s="1" t="s">
        <v>208</v>
      </c>
      <c r="D103" s="1" t="s">
        <v>209</v>
      </c>
      <c r="E103" s="1" t="s">
        <v>208</v>
      </c>
      <c r="F103" s="1" t="s">
        <v>210</v>
      </c>
      <c r="G103" s="1" t="s">
        <v>371</v>
      </c>
      <c r="H103" s="1" t="s">
        <v>372</v>
      </c>
      <c r="I103" s="1" t="s">
        <v>49</v>
      </c>
      <c r="J103" s="1" t="s">
        <v>48</v>
      </c>
      <c r="K103" s="1">
        <v>80</v>
      </c>
      <c r="L103" s="1">
        <v>0</v>
      </c>
      <c r="M103" s="1">
        <v>0</v>
      </c>
      <c r="N103" s="1">
        <v>80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 t="s">
        <v>49</v>
      </c>
      <c r="AA103" s="1" t="s">
        <v>49</v>
      </c>
      <c r="AB103" s="1" t="s">
        <v>49</v>
      </c>
      <c r="AC103" s="1" t="s">
        <v>213</v>
      </c>
      <c r="AD103" s="1" t="s">
        <v>214</v>
      </c>
      <c r="AE103" s="1" t="s">
        <v>215</v>
      </c>
      <c r="AF103" s="1" t="s">
        <v>216</v>
      </c>
      <c r="AG103" s="1" t="s">
        <v>53</v>
      </c>
      <c r="AH103" s="1" t="s">
        <v>49</v>
      </c>
      <c r="AI103" s="1" t="s">
        <v>54</v>
      </c>
      <c r="AJ103" s="1">
        <v>1</v>
      </c>
      <c r="AK103" s="1" t="str">
        <f t="shared" si="1"/>
        <v xml:space="preserve"> =&lt;90</v>
      </c>
      <c r="AL103" s="1" t="str">
        <f>VLOOKUP(C:C,[1]基础信息!B$1:D$65536,3,0)</f>
        <v>Jug</v>
      </c>
      <c r="AM103" s="1" t="str">
        <f>VLOOKUP(C:C,[1]基础信息!B$1:E$65536,4,0)</f>
        <v>MXpl</v>
      </c>
      <c r="AN103" s="1" t="str">
        <f>VLOOKUP(C:C,[1]基础信息!B$1:F$65536,5,0)</f>
        <v>grey</v>
      </c>
    </row>
    <row r="104" spans="1:40">
      <c r="A104" s="1" t="s">
        <v>41</v>
      </c>
      <c r="B104" s="1" t="s">
        <v>42</v>
      </c>
      <c r="C104" s="1" t="s">
        <v>208</v>
      </c>
      <c r="D104" s="1" t="s">
        <v>209</v>
      </c>
      <c r="E104" s="1" t="s">
        <v>208</v>
      </c>
      <c r="F104" s="1" t="s">
        <v>373</v>
      </c>
      <c r="G104" s="1" t="s">
        <v>374</v>
      </c>
      <c r="H104" s="1" t="s">
        <v>375</v>
      </c>
      <c r="I104" s="1" t="s">
        <v>49</v>
      </c>
      <c r="J104" s="1" t="s">
        <v>48</v>
      </c>
      <c r="K104" s="1">
        <v>1</v>
      </c>
      <c r="L104" s="1">
        <v>0</v>
      </c>
      <c r="M104" s="1">
        <v>0</v>
      </c>
      <c r="N104" s="1">
        <v>1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 t="s">
        <v>49</v>
      </c>
      <c r="AA104" s="1" t="s">
        <v>49</v>
      </c>
      <c r="AB104" s="1" t="s">
        <v>49</v>
      </c>
      <c r="AC104" s="1" t="s">
        <v>376</v>
      </c>
      <c r="AD104" s="1" t="s">
        <v>377</v>
      </c>
      <c r="AE104" s="1" t="s">
        <v>376</v>
      </c>
      <c r="AF104" s="1" t="s">
        <v>378</v>
      </c>
      <c r="AG104" s="1" t="s">
        <v>53</v>
      </c>
      <c r="AH104" s="1" t="s">
        <v>49</v>
      </c>
      <c r="AI104" s="1" t="s">
        <v>54</v>
      </c>
      <c r="AJ104" s="1">
        <v>1</v>
      </c>
      <c r="AK104" s="1" t="str">
        <f t="shared" si="1"/>
        <v xml:space="preserve"> =&lt;90</v>
      </c>
      <c r="AL104" s="1" t="str">
        <f>VLOOKUP(C:C,[1]基础信息!B$1:D$65536,3,0)</f>
        <v>Jug</v>
      </c>
      <c r="AM104" s="1" t="str">
        <f>VLOOKUP(C:C,[1]基础信息!B$1:E$65536,4,0)</f>
        <v>MXpl</v>
      </c>
      <c r="AN104" s="1" t="str">
        <f>VLOOKUP(C:C,[1]基础信息!B$1:F$65536,5,0)</f>
        <v>grey</v>
      </c>
    </row>
    <row r="105" spans="1:40">
      <c r="A105" s="1" t="s">
        <v>41</v>
      </c>
      <c r="B105" s="1" t="s">
        <v>42</v>
      </c>
      <c r="C105" s="1" t="s">
        <v>162</v>
      </c>
      <c r="D105" s="1" t="s">
        <v>163</v>
      </c>
      <c r="E105" s="1" t="s">
        <v>45</v>
      </c>
      <c r="F105" s="1" t="s">
        <v>164</v>
      </c>
      <c r="G105" s="1" t="s">
        <v>379</v>
      </c>
      <c r="H105" s="1" t="s">
        <v>380</v>
      </c>
      <c r="I105" s="1" t="s">
        <v>49</v>
      </c>
      <c r="J105" s="1" t="s">
        <v>48</v>
      </c>
      <c r="K105" s="1">
        <v>60</v>
      </c>
      <c r="L105" s="1">
        <v>0</v>
      </c>
      <c r="M105" s="1">
        <v>0</v>
      </c>
      <c r="N105" s="1">
        <v>60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 t="s">
        <v>49</v>
      </c>
      <c r="AA105" s="1" t="s">
        <v>49</v>
      </c>
      <c r="AB105" s="1" t="s">
        <v>49</v>
      </c>
      <c r="AC105" s="1" t="s">
        <v>167</v>
      </c>
      <c r="AD105" s="1" t="s">
        <v>168</v>
      </c>
      <c r="AE105" s="1" t="s">
        <v>169</v>
      </c>
      <c r="AF105" s="1" t="s">
        <v>170</v>
      </c>
      <c r="AG105" s="1" t="s">
        <v>53</v>
      </c>
      <c r="AH105" s="1" t="s">
        <v>49</v>
      </c>
      <c r="AI105" s="1" t="s">
        <v>54</v>
      </c>
      <c r="AJ105" s="1">
        <v>1</v>
      </c>
      <c r="AK105" s="1" t="str">
        <f t="shared" si="1"/>
        <v xml:space="preserve"> =&lt;90</v>
      </c>
      <c r="AL105" s="1" t="str">
        <f>VLOOKUP(C:C,[1]基础信息!B$1:D$65536,3,0)</f>
        <v>Jug</v>
      </c>
      <c r="AM105" s="1" t="str">
        <f>VLOOKUP(C:C,[1]基础信息!B$1:E$65536,4,0)</f>
        <v>Style</v>
      </c>
      <c r="AN105" s="1" t="str">
        <f>VLOOKUP(C:C,[1]基础信息!B$1:F$65536,5,0)</f>
        <v>Blue</v>
      </c>
    </row>
    <row r="106" spans="1:40">
      <c r="A106" s="1" t="s">
        <v>41</v>
      </c>
      <c r="B106" s="1" t="s">
        <v>42</v>
      </c>
      <c r="C106" s="1" t="s">
        <v>43</v>
      </c>
      <c r="D106" s="1" t="s">
        <v>44</v>
      </c>
      <c r="E106" s="1" t="s">
        <v>45</v>
      </c>
      <c r="F106" s="1" t="s">
        <v>46</v>
      </c>
      <c r="G106" s="1" t="s">
        <v>381</v>
      </c>
      <c r="H106" s="1" t="s">
        <v>382</v>
      </c>
      <c r="I106" s="1" t="s">
        <v>49</v>
      </c>
      <c r="J106" s="1" t="s">
        <v>48</v>
      </c>
      <c r="K106" s="1">
        <v>96</v>
      </c>
      <c r="L106" s="1">
        <v>0</v>
      </c>
      <c r="M106" s="1">
        <v>0</v>
      </c>
      <c r="N106" s="1">
        <v>96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 t="s">
        <v>49</v>
      </c>
      <c r="AA106" s="1" t="s">
        <v>49</v>
      </c>
      <c r="AB106" s="1" t="s">
        <v>49</v>
      </c>
      <c r="AC106" s="1" t="s">
        <v>50</v>
      </c>
      <c r="AD106" s="1" t="s">
        <v>51</v>
      </c>
      <c r="AE106" s="1" t="s">
        <v>50</v>
      </c>
      <c r="AF106" s="1" t="s">
        <v>52</v>
      </c>
      <c r="AG106" s="1" t="s">
        <v>53</v>
      </c>
      <c r="AH106" s="1" t="s">
        <v>49</v>
      </c>
      <c r="AI106" s="1" t="s">
        <v>54</v>
      </c>
      <c r="AJ106" s="1">
        <v>1</v>
      </c>
      <c r="AK106" s="1" t="str">
        <f t="shared" si="1"/>
        <v xml:space="preserve"> =&lt;90</v>
      </c>
      <c r="AL106" s="1" t="str">
        <f>VLOOKUP(C:C,[1]基础信息!B$1:D$65536,3,0)</f>
        <v>Jug</v>
      </c>
      <c r="AM106" s="1" t="str">
        <f>VLOOKUP(C:C,[1]基础信息!B$1:E$65536,4,0)</f>
        <v>Marella XL</v>
      </c>
      <c r="AN106" s="1" t="str">
        <f>VLOOKUP(C:C,[1]基础信息!B$1:F$65536,5,0)</f>
        <v>Black</v>
      </c>
    </row>
    <row r="107" spans="1:40">
      <c r="A107" s="1" t="s">
        <v>41</v>
      </c>
      <c r="B107" s="1" t="s">
        <v>42</v>
      </c>
      <c r="C107" s="1" t="s">
        <v>162</v>
      </c>
      <c r="D107" s="1" t="s">
        <v>163</v>
      </c>
      <c r="E107" s="1" t="s">
        <v>45</v>
      </c>
      <c r="F107" s="1" t="s">
        <v>164</v>
      </c>
      <c r="G107" s="1" t="s">
        <v>383</v>
      </c>
      <c r="H107" s="1" t="s">
        <v>384</v>
      </c>
      <c r="I107" s="1" t="s">
        <v>49</v>
      </c>
      <c r="J107" s="1" t="s">
        <v>48</v>
      </c>
      <c r="K107" s="1">
        <v>60</v>
      </c>
      <c r="L107" s="1">
        <v>0</v>
      </c>
      <c r="M107" s="1">
        <v>0</v>
      </c>
      <c r="N107" s="1">
        <v>60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 t="s">
        <v>49</v>
      </c>
      <c r="AA107" s="1" t="s">
        <v>49</v>
      </c>
      <c r="AB107" s="1" t="s">
        <v>49</v>
      </c>
      <c r="AC107" s="1" t="s">
        <v>167</v>
      </c>
      <c r="AD107" s="1" t="s">
        <v>168</v>
      </c>
      <c r="AE107" s="1" t="s">
        <v>169</v>
      </c>
      <c r="AF107" s="1" t="s">
        <v>170</v>
      </c>
      <c r="AG107" s="1" t="s">
        <v>53</v>
      </c>
      <c r="AH107" s="1" t="s">
        <v>49</v>
      </c>
      <c r="AI107" s="1" t="s">
        <v>54</v>
      </c>
      <c r="AJ107" s="1">
        <v>1</v>
      </c>
      <c r="AK107" s="1" t="str">
        <f t="shared" si="1"/>
        <v xml:space="preserve"> =&lt;90</v>
      </c>
      <c r="AL107" s="1" t="str">
        <f>VLOOKUP(C:C,[1]基础信息!B$1:D$65536,3,0)</f>
        <v>Jug</v>
      </c>
      <c r="AM107" s="1" t="str">
        <f>VLOOKUP(C:C,[1]基础信息!B$1:E$65536,4,0)</f>
        <v>Style</v>
      </c>
      <c r="AN107" s="1" t="str">
        <f>VLOOKUP(C:C,[1]基础信息!B$1:F$65536,5,0)</f>
        <v>Blue</v>
      </c>
    </row>
    <row r="108" spans="1:40">
      <c r="A108" s="1" t="s">
        <v>41</v>
      </c>
      <c r="B108" s="1" t="s">
        <v>42</v>
      </c>
      <c r="C108" s="1" t="s">
        <v>43</v>
      </c>
      <c r="D108" s="1" t="s">
        <v>44</v>
      </c>
      <c r="E108" s="1" t="s">
        <v>45</v>
      </c>
      <c r="F108" s="1" t="s">
        <v>46</v>
      </c>
      <c r="G108" s="1" t="s">
        <v>385</v>
      </c>
      <c r="H108" s="1" t="s">
        <v>386</v>
      </c>
      <c r="I108" s="1" t="s">
        <v>49</v>
      </c>
      <c r="J108" s="1" t="s">
        <v>48</v>
      </c>
      <c r="K108" s="1">
        <v>96</v>
      </c>
      <c r="L108" s="1">
        <v>0</v>
      </c>
      <c r="M108" s="1">
        <v>0</v>
      </c>
      <c r="N108" s="1">
        <v>96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 t="s">
        <v>49</v>
      </c>
      <c r="AA108" s="1" t="s">
        <v>49</v>
      </c>
      <c r="AB108" s="1" t="s">
        <v>49</v>
      </c>
      <c r="AC108" s="1" t="s">
        <v>50</v>
      </c>
      <c r="AD108" s="1" t="s">
        <v>51</v>
      </c>
      <c r="AE108" s="1" t="s">
        <v>50</v>
      </c>
      <c r="AF108" s="1" t="s">
        <v>52</v>
      </c>
      <c r="AG108" s="1" t="s">
        <v>53</v>
      </c>
      <c r="AH108" s="1" t="s">
        <v>49</v>
      </c>
      <c r="AI108" s="1" t="s">
        <v>54</v>
      </c>
      <c r="AJ108" s="1">
        <v>1</v>
      </c>
      <c r="AK108" s="1" t="str">
        <f t="shared" si="1"/>
        <v xml:space="preserve"> =&lt;90</v>
      </c>
      <c r="AL108" s="1" t="str">
        <f>VLOOKUP(C:C,[1]基础信息!B$1:D$65536,3,0)</f>
        <v>Jug</v>
      </c>
      <c r="AM108" s="1" t="str">
        <f>VLOOKUP(C:C,[1]基础信息!B$1:E$65536,4,0)</f>
        <v>Marella XL</v>
      </c>
      <c r="AN108" s="1" t="str">
        <f>VLOOKUP(C:C,[1]基础信息!B$1:F$65536,5,0)</f>
        <v>Black</v>
      </c>
    </row>
    <row r="109" spans="1:40">
      <c r="A109" s="1" t="s">
        <v>41</v>
      </c>
      <c r="B109" s="1" t="s">
        <v>42</v>
      </c>
      <c r="C109" s="1" t="s">
        <v>104</v>
      </c>
      <c r="D109" s="1" t="s">
        <v>105</v>
      </c>
      <c r="E109" s="1" t="s">
        <v>104</v>
      </c>
      <c r="F109" s="1" t="s">
        <v>151</v>
      </c>
      <c r="G109" s="1" t="s">
        <v>387</v>
      </c>
      <c r="H109" s="1" t="s">
        <v>388</v>
      </c>
      <c r="I109" s="1" t="s">
        <v>49</v>
      </c>
      <c r="J109" s="1" t="s">
        <v>48</v>
      </c>
      <c r="K109" s="1">
        <v>96</v>
      </c>
      <c r="L109" s="1">
        <v>0</v>
      </c>
      <c r="M109" s="1">
        <v>0</v>
      </c>
      <c r="N109" s="1">
        <v>96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 t="s">
        <v>49</v>
      </c>
      <c r="AA109" s="1" t="s">
        <v>49</v>
      </c>
      <c r="AB109" s="1" t="s">
        <v>49</v>
      </c>
      <c r="AC109" s="1" t="s">
        <v>154</v>
      </c>
      <c r="AD109" s="1" t="s">
        <v>155</v>
      </c>
      <c r="AE109" s="1" t="s">
        <v>154</v>
      </c>
      <c r="AF109" s="1" t="s">
        <v>111</v>
      </c>
      <c r="AG109" s="1" t="s">
        <v>53</v>
      </c>
      <c r="AH109" s="1" t="s">
        <v>49</v>
      </c>
      <c r="AI109" s="1" t="s">
        <v>54</v>
      </c>
      <c r="AJ109" s="1">
        <v>1</v>
      </c>
      <c r="AK109" s="1" t="str">
        <f t="shared" si="1"/>
        <v xml:space="preserve"> =&lt;90</v>
      </c>
      <c r="AL109" s="1" t="str">
        <f>VLOOKUP(C:C,[1]基础信息!B$1:D$65536,3,0)</f>
        <v>Jug</v>
      </c>
      <c r="AM109" s="1" t="str">
        <f>VLOOKUP(C:C,[1]基础信息!B$1:E$65536,4,0)</f>
        <v>Marella XL</v>
      </c>
      <c r="AN109" s="1" t="str">
        <f>VLOOKUP(C:C,[1]基础信息!B$1:F$65536,5,0)</f>
        <v>Blue</v>
      </c>
    </row>
    <row r="110" spans="1:40">
      <c r="A110" s="1" t="s">
        <v>41</v>
      </c>
      <c r="B110" s="1" t="s">
        <v>42</v>
      </c>
      <c r="C110" s="1" t="s">
        <v>208</v>
      </c>
      <c r="D110" s="1" t="s">
        <v>209</v>
      </c>
      <c r="E110" s="1" t="s">
        <v>208</v>
      </c>
      <c r="F110" s="1" t="s">
        <v>210</v>
      </c>
      <c r="G110" s="1" t="s">
        <v>389</v>
      </c>
      <c r="H110" s="1" t="s">
        <v>390</v>
      </c>
      <c r="I110" s="1" t="s">
        <v>49</v>
      </c>
      <c r="J110" s="1" t="s">
        <v>48</v>
      </c>
      <c r="K110" s="1">
        <v>80</v>
      </c>
      <c r="L110" s="1">
        <v>0</v>
      </c>
      <c r="M110" s="1">
        <v>0</v>
      </c>
      <c r="N110" s="1">
        <v>80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 t="s">
        <v>49</v>
      </c>
      <c r="AA110" s="1" t="s">
        <v>49</v>
      </c>
      <c r="AB110" s="1" t="s">
        <v>49</v>
      </c>
      <c r="AC110" s="1" t="s">
        <v>213</v>
      </c>
      <c r="AD110" s="1" t="s">
        <v>214</v>
      </c>
      <c r="AE110" s="1" t="s">
        <v>215</v>
      </c>
      <c r="AF110" s="1" t="s">
        <v>216</v>
      </c>
      <c r="AG110" s="1" t="s">
        <v>53</v>
      </c>
      <c r="AH110" s="1" t="s">
        <v>49</v>
      </c>
      <c r="AI110" s="1" t="s">
        <v>54</v>
      </c>
      <c r="AJ110" s="1">
        <v>1</v>
      </c>
      <c r="AK110" s="1" t="str">
        <f t="shared" si="1"/>
        <v xml:space="preserve"> =&lt;90</v>
      </c>
      <c r="AL110" s="1" t="str">
        <f>VLOOKUP(C:C,[1]基础信息!B$1:D$65536,3,0)</f>
        <v>Jug</v>
      </c>
      <c r="AM110" s="1" t="str">
        <f>VLOOKUP(C:C,[1]基础信息!B$1:E$65536,4,0)</f>
        <v>MXpl</v>
      </c>
      <c r="AN110" s="1" t="str">
        <f>VLOOKUP(C:C,[1]基础信息!B$1:F$65536,5,0)</f>
        <v>grey</v>
      </c>
    </row>
    <row r="111" spans="1:40">
      <c r="A111" s="1" t="s">
        <v>41</v>
      </c>
      <c r="B111" s="1" t="s">
        <v>42</v>
      </c>
      <c r="C111" s="1" t="s">
        <v>301</v>
      </c>
      <c r="D111" s="1" t="s">
        <v>302</v>
      </c>
      <c r="E111" s="1" t="s">
        <v>45</v>
      </c>
      <c r="F111" s="1" t="s">
        <v>303</v>
      </c>
      <c r="G111" s="1" t="s">
        <v>391</v>
      </c>
      <c r="H111" s="1" t="s">
        <v>45</v>
      </c>
      <c r="I111" s="1" t="s">
        <v>45</v>
      </c>
      <c r="J111" s="1" t="s">
        <v>48</v>
      </c>
      <c r="K111" s="1">
        <v>96</v>
      </c>
      <c r="L111" s="1">
        <v>0</v>
      </c>
      <c r="M111" s="1">
        <v>0</v>
      </c>
      <c r="N111" s="1">
        <v>96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 t="s">
        <v>49</v>
      </c>
      <c r="AA111" s="1" t="s">
        <v>49</v>
      </c>
      <c r="AB111" s="1" t="s">
        <v>49</v>
      </c>
      <c r="AC111" s="1" t="s">
        <v>305</v>
      </c>
      <c r="AD111" s="1" t="s">
        <v>306</v>
      </c>
      <c r="AE111" s="1" t="s">
        <v>305</v>
      </c>
      <c r="AF111" s="1" t="s">
        <v>307</v>
      </c>
      <c r="AG111" s="1" t="s">
        <v>53</v>
      </c>
      <c r="AH111" s="1" t="s">
        <v>49</v>
      </c>
      <c r="AI111" s="1" t="s">
        <v>54</v>
      </c>
      <c r="AJ111" s="1">
        <v>1</v>
      </c>
      <c r="AK111" s="1" t="str">
        <f t="shared" si="1"/>
        <v xml:space="preserve"> =&lt;90</v>
      </c>
      <c r="AL111" s="1" t="str">
        <f>VLOOKUP(C:C,[1]基础信息!B$1:D$65536,3,0)</f>
        <v>Jug</v>
      </c>
      <c r="AM111" s="1" t="str">
        <f>VLOOKUP(C:C,[1]基础信息!B$1:E$65536,4,0)</f>
        <v>Aluna</v>
      </c>
      <c r="AN111" s="1" t="str">
        <f>VLOOKUP(C:C,[1]基础信息!B$1:F$65536,5,0)</f>
        <v>Blue</v>
      </c>
    </row>
    <row r="112" spans="1:40">
      <c r="A112" s="1" t="s">
        <v>41</v>
      </c>
      <c r="B112" s="1" t="s">
        <v>42</v>
      </c>
      <c r="C112" s="1" t="s">
        <v>104</v>
      </c>
      <c r="D112" s="1" t="s">
        <v>105</v>
      </c>
      <c r="E112" s="1" t="s">
        <v>104</v>
      </c>
      <c r="F112" s="1" t="s">
        <v>151</v>
      </c>
      <c r="G112" s="1" t="s">
        <v>392</v>
      </c>
      <c r="H112" s="1" t="s">
        <v>393</v>
      </c>
      <c r="I112" s="1" t="s">
        <v>49</v>
      </c>
      <c r="J112" s="1" t="s">
        <v>48</v>
      </c>
      <c r="K112" s="1">
        <v>96</v>
      </c>
      <c r="L112" s="1">
        <v>0</v>
      </c>
      <c r="M112" s="1">
        <v>0</v>
      </c>
      <c r="N112" s="1">
        <v>96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 t="s">
        <v>49</v>
      </c>
      <c r="AA112" s="1" t="s">
        <v>49</v>
      </c>
      <c r="AB112" s="1" t="s">
        <v>49</v>
      </c>
      <c r="AC112" s="1" t="s">
        <v>154</v>
      </c>
      <c r="AD112" s="1" t="s">
        <v>155</v>
      </c>
      <c r="AE112" s="1" t="s">
        <v>154</v>
      </c>
      <c r="AF112" s="1" t="s">
        <v>111</v>
      </c>
      <c r="AG112" s="1" t="s">
        <v>53</v>
      </c>
      <c r="AH112" s="1" t="s">
        <v>49</v>
      </c>
      <c r="AI112" s="1" t="s">
        <v>54</v>
      </c>
      <c r="AJ112" s="1">
        <v>1</v>
      </c>
      <c r="AK112" s="1" t="str">
        <f t="shared" si="1"/>
        <v xml:space="preserve"> =&lt;90</v>
      </c>
      <c r="AL112" s="1" t="str">
        <f>VLOOKUP(C:C,[1]基础信息!B$1:D$65536,3,0)</f>
        <v>Jug</v>
      </c>
      <c r="AM112" s="1" t="str">
        <f>VLOOKUP(C:C,[1]基础信息!B$1:E$65536,4,0)</f>
        <v>Marella XL</v>
      </c>
      <c r="AN112" s="1" t="str">
        <f>VLOOKUP(C:C,[1]基础信息!B$1:F$65536,5,0)</f>
        <v>Blue</v>
      </c>
    </row>
    <row r="113" spans="1:40">
      <c r="A113" s="1" t="s">
        <v>41</v>
      </c>
      <c r="B113" s="1" t="s">
        <v>42</v>
      </c>
      <c r="C113" s="1" t="s">
        <v>301</v>
      </c>
      <c r="D113" s="1" t="s">
        <v>302</v>
      </c>
      <c r="E113" s="1" t="s">
        <v>45</v>
      </c>
      <c r="F113" s="1" t="s">
        <v>303</v>
      </c>
      <c r="G113" s="1" t="s">
        <v>394</v>
      </c>
      <c r="H113" s="1" t="s">
        <v>45</v>
      </c>
      <c r="I113" s="1" t="s">
        <v>45</v>
      </c>
      <c r="J113" s="1" t="s">
        <v>48</v>
      </c>
      <c r="K113" s="1">
        <v>96</v>
      </c>
      <c r="L113" s="1">
        <v>0</v>
      </c>
      <c r="M113" s="1">
        <v>0</v>
      </c>
      <c r="N113" s="1">
        <v>96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 t="s">
        <v>49</v>
      </c>
      <c r="AA113" s="1" t="s">
        <v>49</v>
      </c>
      <c r="AB113" s="1" t="s">
        <v>49</v>
      </c>
      <c r="AC113" s="1" t="s">
        <v>305</v>
      </c>
      <c r="AD113" s="1" t="s">
        <v>306</v>
      </c>
      <c r="AE113" s="1" t="s">
        <v>305</v>
      </c>
      <c r="AF113" s="1" t="s">
        <v>307</v>
      </c>
      <c r="AG113" s="1" t="s">
        <v>53</v>
      </c>
      <c r="AH113" s="1" t="s">
        <v>49</v>
      </c>
      <c r="AI113" s="1" t="s">
        <v>54</v>
      </c>
      <c r="AJ113" s="1">
        <v>1</v>
      </c>
      <c r="AK113" s="1" t="str">
        <f t="shared" si="1"/>
        <v xml:space="preserve"> =&lt;90</v>
      </c>
      <c r="AL113" s="1" t="str">
        <f>VLOOKUP(C:C,[1]基础信息!B$1:D$65536,3,0)</f>
        <v>Jug</v>
      </c>
      <c r="AM113" s="1" t="str">
        <f>VLOOKUP(C:C,[1]基础信息!B$1:E$65536,4,0)</f>
        <v>Aluna</v>
      </c>
      <c r="AN113" s="1" t="str">
        <f>VLOOKUP(C:C,[1]基础信息!B$1:F$65536,5,0)</f>
        <v>Blue</v>
      </c>
    </row>
    <row r="114" spans="1:40">
      <c r="A114" s="1" t="s">
        <v>41</v>
      </c>
      <c r="B114" s="1" t="s">
        <v>42</v>
      </c>
      <c r="C114" s="1" t="s">
        <v>83</v>
      </c>
      <c r="D114" s="1" t="s">
        <v>84</v>
      </c>
      <c r="E114" s="1" t="s">
        <v>45</v>
      </c>
      <c r="F114" s="1" t="s">
        <v>349</v>
      </c>
      <c r="G114" s="1" t="s">
        <v>395</v>
      </c>
      <c r="H114" s="1" t="s">
        <v>396</v>
      </c>
      <c r="I114" s="1" t="s">
        <v>49</v>
      </c>
      <c r="J114" s="1" t="s">
        <v>48</v>
      </c>
      <c r="K114" s="1">
        <v>96</v>
      </c>
      <c r="L114" s="1">
        <v>0</v>
      </c>
      <c r="M114" s="1">
        <v>0</v>
      </c>
      <c r="N114" s="1">
        <v>96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 t="s">
        <v>49</v>
      </c>
      <c r="AA114" s="1" t="s">
        <v>49</v>
      </c>
      <c r="AB114" s="1" t="s">
        <v>49</v>
      </c>
      <c r="AC114" s="1" t="s">
        <v>88</v>
      </c>
      <c r="AD114" s="1" t="s">
        <v>89</v>
      </c>
      <c r="AE114" s="1" t="s">
        <v>88</v>
      </c>
      <c r="AF114" s="1" t="s">
        <v>352</v>
      </c>
      <c r="AG114" s="1" t="s">
        <v>53</v>
      </c>
      <c r="AH114" s="1" t="s">
        <v>49</v>
      </c>
      <c r="AI114" s="1" t="s">
        <v>54</v>
      </c>
      <c r="AJ114" s="1">
        <v>1</v>
      </c>
      <c r="AK114" s="1" t="str">
        <f t="shared" si="1"/>
        <v xml:space="preserve"> =&lt;90</v>
      </c>
      <c r="AL114" s="1" t="str">
        <f>VLOOKUP(C:C,[1]基础信息!B$1:D$65536,3,0)</f>
        <v>Jug</v>
      </c>
      <c r="AM114" s="1" t="str">
        <f>VLOOKUP(C:C,[1]基础信息!B$1:E$65536,4,0)</f>
        <v>Mxplus</v>
      </c>
      <c r="AN114" s="1" t="str">
        <f>VLOOKUP(C:C,[1]基础信息!B$1:F$65536,5,0)</f>
        <v>Blue</v>
      </c>
    </row>
    <row r="115" spans="1:40">
      <c r="A115" s="1" t="s">
        <v>41</v>
      </c>
      <c r="B115" s="1" t="s">
        <v>42</v>
      </c>
      <c r="C115" s="1" t="s">
        <v>68</v>
      </c>
      <c r="D115" s="1" t="s">
        <v>69</v>
      </c>
      <c r="E115" s="1" t="s">
        <v>45</v>
      </c>
      <c r="F115" s="1" t="s">
        <v>201</v>
      </c>
      <c r="G115" s="1" t="s">
        <v>397</v>
      </c>
      <c r="H115" s="1" t="s">
        <v>398</v>
      </c>
      <c r="I115" s="1" t="s">
        <v>49</v>
      </c>
      <c r="J115" s="1" t="s">
        <v>48</v>
      </c>
      <c r="K115" s="1">
        <v>36</v>
      </c>
      <c r="L115" s="1">
        <v>0</v>
      </c>
      <c r="M115" s="1">
        <v>0</v>
      </c>
      <c r="N115" s="1">
        <v>36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 t="s">
        <v>49</v>
      </c>
      <c r="AA115" s="1" t="s">
        <v>49</v>
      </c>
      <c r="AB115" s="1" t="s">
        <v>49</v>
      </c>
      <c r="AC115" s="1" t="s">
        <v>204</v>
      </c>
      <c r="AD115" s="1" t="s">
        <v>205</v>
      </c>
      <c r="AE115" s="1" t="s">
        <v>206</v>
      </c>
      <c r="AF115" s="1" t="s">
        <v>207</v>
      </c>
      <c r="AG115" s="1" t="s">
        <v>53</v>
      </c>
      <c r="AH115" s="1" t="s">
        <v>49</v>
      </c>
      <c r="AI115" s="1" t="s">
        <v>54</v>
      </c>
      <c r="AJ115" s="1">
        <v>1</v>
      </c>
      <c r="AK115" s="1" t="str">
        <f t="shared" si="1"/>
        <v xml:space="preserve"> =&lt;90</v>
      </c>
      <c r="AL115" s="1" t="str">
        <f>VLOOKUP(C:C,[1]基础信息!B$1:D$65536,3,0)</f>
        <v>Hotcup</v>
      </c>
      <c r="AM115" s="1" t="str">
        <f>VLOOKUP(C:C,[1]基础信息!B$1:E$65536,4,0)</f>
        <v>Hotcup</v>
      </c>
      <c r="AN115" s="1" t="str">
        <f>VLOOKUP(C:C,[1]基础信息!B$1:F$65536,5,0)</f>
        <v xml:space="preserve"> Whi</v>
      </c>
    </row>
    <row r="116" spans="1:40">
      <c r="A116" s="1" t="s">
        <v>41</v>
      </c>
      <c r="B116" s="1" t="s">
        <v>42</v>
      </c>
      <c r="C116" s="1" t="s">
        <v>208</v>
      </c>
      <c r="D116" s="1" t="s">
        <v>209</v>
      </c>
      <c r="E116" s="1" t="s">
        <v>208</v>
      </c>
      <c r="F116" s="1" t="s">
        <v>210</v>
      </c>
      <c r="G116" s="1" t="s">
        <v>399</v>
      </c>
      <c r="H116" s="1" t="s">
        <v>400</v>
      </c>
      <c r="I116" s="1" t="s">
        <v>49</v>
      </c>
      <c r="J116" s="1" t="s">
        <v>48</v>
      </c>
      <c r="K116" s="1">
        <v>80</v>
      </c>
      <c r="L116" s="1">
        <v>0</v>
      </c>
      <c r="M116" s="1">
        <v>0</v>
      </c>
      <c r="N116" s="1">
        <v>80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 t="s">
        <v>49</v>
      </c>
      <c r="AA116" s="1" t="s">
        <v>49</v>
      </c>
      <c r="AB116" s="1" t="s">
        <v>49</v>
      </c>
      <c r="AC116" s="1" t="s">
        <v>213</v>
      </c>
      <c r="AD116" s="1" t="s">
        <v>214</v>
      </c>
      <c r="AE116" s="1" t="s">
        <v>215</v>
      </c>
      <c r="AF116" s="1" t="s">
        <v>216</v>
      </c>
      <c r="AG116" s="1" t="s">
        <v>53</v>
      </c>
      <c r="AH116" s="1" t="s">
        <v>49</v>
      </c>
      <c r="AI116" s="1" t="s">
        <v>54</v>
      </c>
      <c r="AJ116" s="1">
        <v>1</v>
      </c>
      <c r="AK116" s="1" t="str">
        <f t="shared" si="1"/>
        <v xml:space="preserve"> =&lt;90</v>
      </c>
      <c r="AL116" s="1" t="str">
        <f>VLOOKUP(C:C,[1]基础信息!B$1:D$65536,3,0)</f>
        <v>Jug</v>
      </c>
      <c r="AM116" s="1" t="str">
        <f>VLOOKUP(C:C,[1]基础信息!B$1:E$65536,4,0)</f>
        <v>MXpl</v>
      </c>
      <c r="AN116" s="1" t="str">
        <f>VLOOKUP(C:C,[1]基础信息!B$1:F$65536,5,0)</f>
        <v>grey</v>
      </c>
    </row>
    <row r="117" spans="1:40">
      <c r="A117" s="1" t="s">
        <v>41</v>
      </c>
      <c r="B117" s="1" t="s">
        <v>42</v>
      </c>
      <c r="C117" s="1" t="s">
        <v>104</v>
      </c>
      <c r="D117" s="1" t="s">
        <v>105</v>
      </c>
      <c r="E117" s="1" t="s">
        <v>104</v>
      </c>
      <c r="F117" s="1" t="s">
        <v>151</v>
      </c>
      <c r="G117" s="1" t="s">
        <v>401</v>
      </c>
      <c r="H117" s="1" t="s">
        <v>402</v>
      </c>
      <c r="I117" s="1" t="s">
        <v>49</v>
      </c>
      <c r="J117" s="1" t="s">
        <v>48</v>
      </c>
      <c r="K117" s="1">
        <v>96</v>
      </c>
      <c r="L117" s="1">
        <v>0</v>
      </c>
      <c r="M117" s="1">
        <v>0</v>
      </c>
      <c r="N117" s="1">
        <v>96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 t="s">
        <v>49</v>
      </c>
      <c r="AA117" s="1" t="s">
        <v>49</v>
      </c>
      <c r="AB117" s="1" t="s">
        <v>49</v>
      </c>
      <c r="AC117" s="1" t="s">
        <v>154</v>
      </c>
      <c r="AD117" s="1" t="s">
        <v>155</v>
      </c>
      <c r="AE117" s="1" t="s">
        <v>154</v>
      </c>
      <c r="AF117" s="1" t="s">
        <v>111</v>
      </c>
      <c r="AG117" s="1" t="s">
        <v>53</v>
      </c>
      <c r="AH117" s="1" t="s">
        <v>49</v>
      </c>
      <c r="AI117" s="1" t="s">
        <v>54</v>
      </c>
      <c r="AJ117" s="1">
        <v>1</v>
      </c>
      <c r="AK117" s="1" t="str">
        <f t="shared" si="1"/>
        <v xml:space="preserve"> =&lt;90</v>
      </c>
      <c r="AL117" s="1" t="str">
        <f>VLOOKUP(C:C,[1]基础信息!B$1:D$65536,3,0)</f>
        <v>Jug</v>
      </c>
      <c r="AM117" s="1" t="str">
        <f>VLOOKUP(C:C,[1]基础信息!B$1:E$65536,4,0)</f>
        <v>Marella XL</v>
      </c>
      <c r="AN117" s="1" t="str">
        <f>VLOOKUP(C:C,[1]基础信息!B$1:F$65536,5,0)</f>
        <v>Blue</v>
      </c>
    </row>
    <row r="118" spans="1:40">
      <c r="A118" s="1" t="s">
        <v>41</v>
      </c>
      <c r="B118" s="1" t="s">
        <v>42</v>
      </c>
      <c r="C118" s="1" t="s">
        <v>403</v>
      </c>
      <c r="D118" s="1" t="s">
        <v>404</v>
      </c>
      <c r="E118" s="1" t="s">
        <v>403</v>
      </c>
      <c r="F118" s="1" t="s">
        <v>405</v>
      </c>
      <c r="G118" s="1" t="s">
        <v>406</v>
      </c>
      <c r="H118" s="1" t="s">
        <v>407</v>
      </c>
      <c r="I118" s="1" t="s">
        <v>49</v>
      </c>
      <c r="J118" s="1" t="s">
        <v>48</v>
      </c>
      <c r="K118" s="1">
        <v>15</v>
      </c>
      <c r="L118" s="1">
        <v>0</v>
      </c>
      <c r="M118" s="1">
        <v>0</v>
      </c>
      <c r="N118" s="1">
        <v>15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 t="s">
        <v>49</v>
      </c>
      <c r="AA118" s="1" t="s">
        <v>49</v>
      </c>
      <c r="AB118" s="1" t="s">
        <v>49</v>
      </c>
      <c r="AC118" s="1" t="s">
        <v>144</v>
      </c>
      <c r="AD118" s="1" t="s">
        <v>145</v>
      </c>
      <c r="AE118" s="1" t="s">
        <v>144</v>
      </c>
      <c r="AF118" s="1" t="s">
        <v>408</v>
      </c>
      <c r="AG118" s="1" t="s">
        <v>53</v>
      </c>
      <c r="AH118" s="1" t="s">
        <v>49</v>
      </c>
      <c r="AI118" s="1" t="s">
        <v>54</v>
      </c>
      <c r="AJ118" s="1">
        <v>1</v>
      </c>
      <c r="AK118" s="1" t="str">
        <f t="shared" si="1"/>
        <v xml:space="preserve"> =&lt;90</v>
      </c>
      <c r="AL118" s="1" t="str">
        <f>VLOOKUP(C:C,[1]基础信息!B$1:D$65536,3,0)</f>
        <v>UTS</v>
      </c>
      <c r="AM118" s="1" t="str">
        <f>VLOOKUP(C:C,[1]基础信息!B$1:E$65536,4,0)</f>
        <v>MyPure Pro</v>
      </c>
      <c r="AN118" s="1" t="str">
        <f>VLOOKUP(C:C,[1]基础信息!B$1:F$65536,5,0)</f>
        <v>Refill</v>
      </c>
    </row>
    <row r="119" spans="1:40">
      <c r="A119" s="1" t="s">
        <v>41</v>
      </c>
      <c r="B119" s="1" t="s">
        <v>42</v>
      </c>
      <c r="C119" s="1" t="s">
        <v>409</v>
      </c>
      <c r="D119" s="1" t="s">
        <v>410</v>
      </c>
      <c r="E119" s="1" t="s">
        <v>45</v>
      </c>
      <c r="F119" s="1" t="s">
        <v>411</v>
      </c>
      <c r="G119" s="1" t="s">
        <v>412</v>
      </c>
      <c r="H119" s="1" t="s">
        <v>413</v>
      </c>
      <c r="I119" s="1" t="s">
        <v>49</v>
      </c>
      <c r="J119" s="1" t="s">
        <v>48</v>
      </c>
      <c r="K119" s="1">
        <v>6</v>
      </c>
      <c r="L119" s="1">
        <v>0</v>
      </c>
      <c r="M119" s="1">
        <v>0</v>
      </c>
      <c r="N119" s="1">
        <v>6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 t="s">
        <v>49</v>
      </c>
      <c r="AA119" s="1" t="s">
        <v>49</v>
      </c>
      <c r="AB119" s="1" t="s">
        <v>49</v>
      </c>
      <c r="AC119" s="1" t="s">
        <v>414</v>
      </c>
      <c r="AD119" s="1" t="s">
        <v>415</v>
      </c>
      <c r="AE119" s="1" t="s">
        <v>416</v>
      </c>
      <c r="AF119" s="1" t="s">
        <v>49</v>
      </c>
      <c r="AG119" s="1" t="s">
        <v>53</v>
      </c>
      <c r="AH119" s="1" t="s">
        <v>49</v>
      </c>
      <c r="AI119" s="1" t="s">
        <v>54</v>
      </c>
      <c r="AJ119" s="1">
        <v>1</v>
      </c>
      <c r="AK119" s="1" t="str">
        <f t="shared" si="1"/>
        <v xml:space="preserve"> =&lt;90</v>
      </c>
      <c r="AL119" s="1" t="e">
        <f>VLOOKUP(C:C,[1]基础信息!B$1:D$65536,3,0)</f>
        <v>#N/A</v>
      </c>
      <c r="AM119" s="1" t="e">
        <f>VLOOKUP(C:C,[1]基础信息!B$1:E$65536,4,0)</f>
        <v>#N/A</v>
      </c>
      <c r="AN119" s="1" t="e">
        <f>VLOOKUP(C:C,[1]基础信息!B$1:F$65536,5,0)</f>
        <v>#N/A</v>
      </c>
    </row>
    <row r="120" spans="1:40">
      <c r="A120" s="1" t="s">
        <v>41</v>
      </c>
      <c r="B120" s="1" t="s">
        <v>42</v>
      </c>
      <c r="C120" s="1" t="s">
        <v>417</v>
      </c>
      <c r="D120" s="1" t="s">
        <v>418</v>
      </c>
      <c r="E120" s="1" t="s">
        <v>45</v>
      </c>
      <c r="F120" s="1" t="s">
        <v>419</v>
      </c>
      <c r="G120" s="1" t="s">
        <v>420</v>
      </c>
      <c r="H120" s="1" t="s">
        <v>421</v>
      </c>
      <c r="I120" s="1" t="s">
        <v>49</v>
      </c>
      <c r="J120" s="1" t="s">
        <v>48</v>
      </c>
      <c r="K120" s="1">
        <v>96</v>
      </c>
      <c r="L120" s="1">
        <v>0</v>
      </c>
      <c r="M120" s="1">
        <v>0</v>
      </c>
      <c r="N120" s="1">
        <v>96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 t="s">
        <v>49</v>
      </c>
      <c r="AA120" s="1" t="s">
        <v>49</v>
      </c>
      <c r="AB120" s="1" t="s">
        <v>49</v>
      </c>
      <c r="AC120" s="1" t="s">
        <v>414</v>
      </c>
      <c r="AD120" s="1" t="s">
        <v>415</v>
      </c>
      <c r="AE120" s="1" t="s">
        <v>416</v>
      </c>
      <c r="AF120" s="1" t="s">
        <v>422</v>
      </c>
      <c r="AG120" s="1" t="s">
        <v>53</v>
      </c>
      <c r="AH120" s="1" t="s">
        <v>49</v>
      </c>
      <c r="AI120" s="1" t="s">
        <v>54</v>
      </c>
      <c r="AJ120" s="1">
        <v>1</v>
      </c>
      <c r="AK120" s="1" t="str">
        <f t="shared" si="1"/>
        <v xml:space="preserve"> =&lt;90</v>
      </c>
      <c r="AL120" s="1" t="str">
        <f>VLOOKUP(C:C,[1]基础信息!B$1:D$65536,3,0)</f>
        <v>Jug</v>
      </c>
      <c r="AM120" s="1" t="str">
        <f>VLOOKUP(C:C,[1]基础信息!B$1:E$65536,4,0)</f>
        <v>Marella XL</v>
      </c>
      <c r="AN120" s="1" t="str">
        <f>VLOOKUP(C:C,[1]基础信息!B$1:F$65536,5,0)</f>
        <v>Silver</v>
      </c>
    </row>
    <row r="121" spans="1:40">
      <c r="A121" s="1" t="s">
        <v>41</v>
      </c>
      <c r="B121" s="1" t="s">
        <v>42</v>
      </c>
      <c r="C121" s="1" t="s">
        <v>104</v>
      </c>
      <c r="D121" s="1" t="s">
        <v>105</v>
      </c>
      <c r="E121" s="1" t="s">
        <v>104</v>
      </c>
      <c r="F121" s="1" t="s">
        <v>151</v>
      </c>
      <c r="G121" s="1" t="s">
        <v>423</v>
      </c>
      <c r="H121" s="1" t="s">
        <v>424</v>
      </c>
      <c r="I121" s="1" t="s">
        <v>49</v>
      </c>
      <c r="J121" s="1" t="s">
        <v>48</v>
      </c>
      <c r="K121" s="1">
        <v>96</v>
      </c>
      <c r="L121" s="1">
        <v>0</v>
      </c>
      <c r="M121" s="1">
        <v>0</v>
      </c>
      <c r="N121" s="1">
        <v>96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 t="s">
        <v>49</v>
      </c>
      <c r="AA121" s="1" t="s">
        <v>49</v>
      </c>
      <c r="AB121" s="1" t="s">
        <v>49</v>
      </c>
      <c r="AC121" s="1" t="s">
        <v>154</v>
      </c>
      <c r="AD121" s="1" t="s">
        <v>155</v>
      </c>
      <c r="AE121" s="1" t="s">
        <v>154</v>
      </c>
      <c r="AF121" s="1" t="s">
        <v>111</v>
      </c>
      <c r="AG121" s="1" t="s">
        <v>53</v>
      </c>
      <c r="AH121" s="1" t="s">
        <v>49</v>
      </c>
      <c r="AI121" s="1" t="s">
        <v>54</v>
      </c>
      <c r="AJ121" s="1">
        <v>1</v>
      </c>
      <c r="AK121" s="1" t="str">
        <f t="shared" si="1"/>
        <v xml:space="preserve"> =&lt;90</v>
      </c>
      <c r="AL121" s="1" t="str">
        <f>VLOOKUP(C:C,[1]基础信息!B$1:D$65536,3,0)</f>
        <v>Jug</v>
      </c>
      <c r="AM121" s="1" t="str">
        <f>VLOOKUP(C:C,[1]基础信息!B$1:E$65536,4,0)</f>
        <v>Marella XL</v>
      </c>
      <c r="AN121" s="1" t="str">
        <f>VLOOKUP(C:C,[1]基础信息!B$1:F$65536,5,0)</f>
        <v>Blue</v>
      </c>
    </row>
    <row r="122" spans="1:40">
      <c r="A122" s="1" t="s">
        <v>41</v>
      </c>
      <c r="B122" s="1" t="s">
        <v>42</v>
      </c>
      <c r="C122" s="1" t="s">
        <v>104</v>
      </c>
      <c r="D122" s="1" t="s">
        <v>105</v>
      </c>
      <c r="E122" s="1" t="s">
        <v>104</v>
      </c>
      <c r="F122" s="1" t="s">
        <v>151</v>
      </c>
      <c r="G122" s="1" t="s">
        <v>425</v>
      </c>
      <c r="H122" s="1" t="s">
        <v>426</v>
      </c>
      <c r="I122" s="1" t="s">
        <v>49</v>
      </c>
      <c r="J122" s="1" t="s">
        <v>48</v>
      </c>
      <c r="K122" s="1">
        <v>96</v>
      </c>
      <c r="L122" s="1">
        <v>0</v>
      </c>
      <c r="M122" s="1">
        <v>0</v>
      </c>
      <c r="N122" s="1">
        <v>96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 t="s">
        <v>49</v>
      </c>
      <c r="AA122" s="1" t="s">
        <v>49</v>
      </c>
      <c r="AB122" s="1" t="s">
        <v>49</v>
      </c>
      <c r="AC122" s="1" t="s">
        <v>154</v>
      </c>
      <c r="AD122" s="1" t="s">
        <v>155</v>
      </c>
      <c r="AE122" s="1" t="s">
        <v>154</v>
      </c>
      <c r="AF122" s="1" t="s">
        <v>111</v>
      </c>
      <c r="AG122" s="1" t="s">
        <v>53</v>
      </c>
      <c r="AH122" s="1" t="s">
        <v>49</v>
      </c>
      <c r="AI122" s="1" t="s">
        <v>54</v>
      </c>
      <c r="AJ122" s="1">
        <v>1</v>
      </c>
      <c r="AK122" s="1" t="str">
        <f t="shared" si="1"/>
        <v xml:space="preserve"> =&lt;90</v>
      </c>
      <c r="AL122" s="1" t="str">
        <f>VLOOKUP(C:C,[1]基础信息!B$1:D$65536,3,0)</f>
        <v>Jug</v>
      </c>
      <c r="AM122" s="1" t="str">
        <f>VLOOKUP(C:C,[1]基础信息!B$1:E$65536,4,0)</f>
        <v>Marella XL</v>
      </c>
      <c r="AN122" s="1" t="str">
        <f>VLOOKUP(C:C,[1]基础信息!B$1:F$65536,5,0)</f>
        <v>Blue</v>
      </c>
    </row>
    <row r="123" spans="1:40">
      <c r="A123" s="1" t="s">
        <v>41</v>
      </c>
      <c r="B123" s="1" t="s">
        <v>42</v>
      </c>
      <c r="C123" s="1" t="s">
        <v>104</v>
      </c>
      <c r="D123" s="1" t="s">
        <v>105</v>
      </c>
      <c r="E123" s="1" t="s">
        <v>104</v>
      </c>
      <c r="F123" s="1" t="s">
        <v>151</v>
      </c>
      <c r="G123" s="1" t="s">
        <v>427</v>
      </c>
      <c r="H123" s="1" t="s">
        <v>428</v>
      </c>
      <c r="I123" s="1" t="s">
        <v>49</v>
      </c>
      <c r="J123" s="1" t="s">
        <v>48</v>
      </c>
      <c r="K123" s="1">
        <v>96</v>
      </c>
      <c r="L123" s="1">
        <v>0</v>
      </c>
      <c r="M123" s="1">
        <v>0</v>
      </c>
      <c r="N123" s="1">
        <v>96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 t="s">
        <v>49</v>
      </c>
      <c r="AA123" s="1" t="s">
        <v>49</v>
      </c>
      <c r="AB123" s="1" t="s">
        <v>49</v>
      </c>
      <c r="AC123" s="1" t="s">
        <v>154</v>
      </c>
      <c r="AD123" s="1" t="s">
        <v>155</v>
      </c>
      <c r="AE123" s="1" t="s">
        <v>154</v>
      </c>
      <c r="AF123" s="1" t="s">
        <v>111</v>
      </c>
      <c r="AG123" s="1" t="s">
        <v>53</v>
      </c>
      <c r="AH123" s="1" t="s">
        <v>49</v>
      </c>
      <c r="AI123" s="1" t="s">
        <v>54</v>
      </c>
      <c r="AJ123" s="1">
        <v>1</v>
      </c>
      <c r="AK123" s="1" t="str">
        <f t="shared" si="1"/>
        <v xml:space="preserve"> =&lt;90</v>
      </c>
      <c r="AL123" s="1" t="str">
        <f>VLOOKUP(C:C,[1]基础信息!B$1:D$65536,3,0)</f>
        <v>Jug</v>
      </c>
      <c r="AM123" s="1" t="str">
        <f>VLOOKUP(C:C,[1]基础信息!B$1:E$65536,4,0)</f>
        <v>Marella XL</v>
      </c>
      <c r="AN123" s="1" t="str">
        <f>VLOOKUP(C:C,[1]基础信息!B$1:F$65536,5,0)</f>
        <v>Blue</v>
      </c>
    </row>
    <row r="124" spans="1:40">
      <c r="A124" s="1" t="s">
        <v>41</v>
      </c>
      <c r="B124" s="1" t="s">
        <v>42</v>
      </c>
      <c r="C124" s="1" t="s">
        <v>104</v>
      </c>
      <c r="D124" s="1" t="s">
        <v>105</v>
      </c>
      <c r="E124" s="1" t="s">
        <v>104</v>
      </c>
      <c r="F124" s="1" t="s">
        <v>151</v>
      </c>
      <c r="G124" s="1" t="s">
        <v>429</v>
      </c>
      <c r="H124" s="1" t="s">
        <v>430</v>
      </c>
      <c r="I124" s="1" t="s">
        <v>49</v>
      </c>
      <c r="J124" s="1" t="s">
        <v>48</v>
      </c>
      <c r="K124" s="1">
        <v>96</v>
      </c>
      <c r="L124" s="1">
        <v>0</v>
      </c>
      <c r="M124" s="1">
        <v>0</v>
      </c>
      <c r="N124" s="1">
        <v>96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 t="s">
        <v>49</v>
      </c>
      <c r="AA124" s="1" t="s">
        <v>49</v>
      </c>
      <c r="AB124" s="1" t="s">
        <v>49</v>
      </c>
      <c r="AC124" s="1" t="s">
        <v>154</v>
      </c>
      <c r="AD124" s="1" t="s">
        <v>155</v>
      </c>
      <c r="AE124" s="1" t="s">
        <v>154</v>
      </c>
      <c r="AF124" s="1" t="s">
        <v>111</v>
      </c>
      <c r="AG124" s="1" t="s">
        <v>53</v>
      </c>
      <c r="AH124" s="1" t="s">
        <v>49</v>
      </c>
      <c r="AI124" s="1" t="s">
        <v>54</v>
      </c>
      <c r="AJ124" s="1">
        <v>1</v>
      </c>
      <c r="AK124" s="1" t="str">
        <f t="shared" si="1"/>
        <v xml:space="preserve"> =&lt;90</v>
      </c>
      <c r="AL124" s="1" t="str">
        <f>VLOOKUP(C:C,[1]基础信息!B$1:D$65536,3,0)</f>
        <v>Jug</v>
      </c>
      <c r="AM124" s="1" t="str">
        <f>VLOOKUP(C:C,[1]基础信息!B$1:E$65536,4,0)</f>
        <v>Marella XL</v>
      </c>
      <c r="AN124" s="1" t="str">
        <f>VLOOKUP(C:C,[1]基础信息!B$1:F$65536,5,0)</f>
        <v>Blue</v>
      </c>
    </row>
    <row r="125" spans="1:40">
      <c r="A125" s="1" t="s">
        <v>41</v>
      </c>
      <c r="B125" s="1" t="s">
        <v>42</v>
      </c>
      <c r="C125" s="1" t="s">
        <v>104</v>
      </c>
      <c r="D125" s="1" t="s">
        <v>105</v>
      </c>
      <c r="E125" s="1" t="s">
        <v>104</v>
      </c>
      <c r="F125" s="1" t="s">
        <v>151</v>
      </c>
      <c r="G125" s="1" t="s">
        <v>431</v>
      </c>
      <c r="H125" s="1" t="s">
        <v>432</v>
      </c>
      <c r="I125" s="1" t="s">
        <v>49</v>
      </c>
      <c r="J125" s="1" t="s">
        <v>48</v>
      </c>
      <c r="K125" s="1">
        <v>96</v>
      </c>
      <c r="L125" s="1">
        <v>0</v>
      </c>
      <c r="M125" s="1">
        <v>0</v>
      </c>
      <c r="N125" s="1">
        <v>96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 t="s">
        <v>49</v>
      </c>
      <c r="AA125" s="1" t="s">
        <v>49</v>
      </c>
      <c r="AB125" s="1" t="s">
        <v>49</v>
      </c>
      <c r="AC125" s="1" t="s">
        <v>154</v>
      </c>
      <c r="AD125" s="1" t="s">
        <v>155</v>
      </c>
      <c r="AE125" s="1" t="s">
        <v>154</v>
      </c>
      <c r="AF125" s="1" t="s">
        <v>111</v>
      </c>
      <c r="AG125" s="1" t="s">
        <v>53</v>
      </c>
      <c r="AH125" s="1" t="s">
        <v>49</v>
      </c>
      <c r="AI125" s="1" t="s">
        <v>54</v>
      </c>
      <c r="AJ125" s="1">
        <v>1</v>
      </c>
      <c r="AK125" s="1" t="str">
        <f t="shared" si="1"/>
        <v xml:space="preserve"> =&lt;90</v>
      </c>
      <c r="AL125" s="1" t="str">
        <f>VLOOKUP(C:C,[1]基础信息!B$1:D$65536,3,0)</f>
        <v>Jug</v>
      </c>
      <c r="AM125" s="1" t="str">
        <f>VLOOKUP(C:C,[1]基础信息!B$1:E$65536,4,0)</f>
        <v>Marella XL</v>
      </c>
      <c r="AN125" s="1" t="str">
        <f>VLOOKUP(C:C,[1]基础信息!B$1:F$65536,5,0)</f>
        <v>Blue</v>
      </c>
    </row>
    <row r="126" spans="1:40">
      <c r="A126" s="1" t="s">
        <v>41</v>
      </c>
      <c r="B126" s="1" t="s">
        <v>42</v>
      </c>
      <c r="C126" s="1" t="s">
        <v>104</v>
      </c>
      <c r="D126" s="1" t="s">
        <v>105</v>
      </c>
      <c r="E126" s="1" t="s">
        <v>104</v>
      </c>
      <c r="F126" s="1" t="s">
        <v>151</v>
      </c>
      <c r="G126" s="1" t="s">
        <v>433</v>
      </c>
      <c r="H126" s="1" t="s">
        <v>434</v>
      </c>
      <c r="I126" s="1" t="s">
        <v>49</v>
      </c>
      <c r="J126" s="1" t="s">
        <v>48</v>
      </c>
      <c r="K126" s="1">
        <v>96</v>
      </c>
      <c r="L126" s="1">
        <v>0</v>
      </c>
      <c r="M126" s="1">
        <v>0</v>
      </c>
      <c r="N126" s="1">
        <v>96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 t="s">
        <v>49</v>
      </c>
      <c r="AA126" s="1" t="s">
        <v>49</v>
      </c>
      <c r="AB126" s="1" t="s">
        <v>49</v>
      </c>
      <c r="AC126" s="1" t="s">
        <v>154</v>
      </c>
      <c r="AD126" s="1" t="s">
        <v>155</v>
      </c>
      <c r="AE126" s="1" t="s">
        <v>154</v>
      </c>
      <c r="AF126" s="1" t="s">
        <v>111</v>
      </c>
      <c r="AG126" s="1" t="s">
        <v>53</v>
      </c>
      <c r="AH126" s="1" t="s">
        <v>49</v>
      </c>
      <c r="AI126" s="1" t="s">
        <v>54</v>
      </c>
      <c r="AJ126" s="1">
        <v>1</v>
      </c>
      <c r="AK126" s="1" t="str">
        <f t="shared" si="1"/>
        <v xml:space="preserve"> =&lt;90</v>
      </c>
      <c r="AL126" s="1" t="str">
        <f>VLOOKUP(C:C,[1]基础信息!B$1:D$65536,3,0)</f>
        <v>Jug</v>
      </c>
      <c r="AM126" s="1" t="str">
        <f>VLOOKUP(C:C,[1]基础信息!B$1:E$65536,4,0)</f>
        <v>Marella XL</v>
      </c>
      <c r="AN126" s="1" t="str">
        <f>VLOOKUP(C:C,[1]基础信息!B$1:F$65536,5,0)</f>
        <v>Blue</v>
      </c>
    </row>
    <row r="127" spans="1:40">
      <c r="A127" s="1" t="s">
        <v>41</v>
      </c>
      <c r="B127" s="1" t="s">
        <v>42</v>
      </c>
      <c r="C127" s="1" t="s">
        <v>285</v>
      </c>
      <c r="D127" s="1" t="s">
        <v>286</v>
      </c>
      <c r="E127" s="1" t="s">
        <v>45</v>
      </c>
      <c r="F127" s="1" t="s">
        <v>287</v>
      </c>
      <c r="G127" s="1" t="s">
        <v>435</v>
      </c>
      <c r="H127" s="1" t="s">
        <v>436</v>
      </c>
      <c r="I127" s="1" t="s">
        <v>49</v>
      </c>
      <c r="J127" s="1" t="s">
        <v>48</v>
      </c>
      <c r="K127" s="1">
        <v>70</v>
      </c>
      <c r="L127" s="1">
        <v>0</v>
      </c>
      <c r="M127" s="1">
        <v>0</v>
      </c>
      <c r="N127" s="1">
        <v>70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 t="s">
        <v>49</v>
      </c>
      <c r="AA127" s="1" t="s">
        <v>49</v>
      </c>
      <c r="AB127" s="1" t="s">
        <v>49</v>
      </c>
      <c r="AC127" s="1" t="s">
        <v>290</v>
      </c>
      <c r="AD127" s="1" t="s">
        <v>291</v>
      </c>
      <c r="AE127" s="1" t="s">
        <v>290</v>
      </c>
      <c r="AF127" s="1" t="s">
        <v>292</v>
      </c>
      <c r="AG127" s="1" t="s">
        <v>53</v>
      </c>
      <c r="AH127" s="1" t="s">
        <v>49</v>
      </c>
      <c r="AI127" s="1" t="s">
        <v>54</v>
      </c>
      <c r="AJ127" s="1">
        <v>1</v>
      </c>
      <c r="AK127" s="1" t="str">
        <f t="shared" si="1"/>
        <v xml:space="preserve"> =&lt;90</v>
      </c>
      <c r="AL127" s="1" t="str">
        <f>VLOOKUP(C:C,[1]基础信息!B$1:D$65536,3,0)</f>
        <v>Jug</v>
      </c>
      <c r="AM127" s="1" t="str">
        <f>VLOOKUP(C:C,[1]基础信息!B$1:E$65536,4,0)</f>
        <v>Marella XL</v>
      </c>
      <c r="AN127" s="1" t="str">
        <f>VLOOKUP(C:C,[1]基础信息!B$1:F$65536,5,0)</f>
        <v>Blue</v>
      </c>
    </row>
    <row r="128" spans="1:40">
      <c r="A128" s="1" t="s">
        <v>41</v>
      </c>
      <c r="B128" s="1" t="s">
        <v>42</v>
      </c>
      <c r="C128" s="1" t="s">
        <v>68</v>
      </c>
      <c r="D128" s="1" t="s">
        <v>69</v>
      </c>
      <c r="E128" s="1" t="s">
        <v>45</v>
      </c>
      <c r="F128" s="1" t="s">
        <v>201</v>
      </c>
      <c r="G128" s="1" t="s">
        <v>437</v>
      </c>
      <c r="H128" s="1" t="s">
        <v>438</v>
      </c>
      <c r="I128" s="1" t="s">
        <v>49</v>
      </c>
      <c r="J128" s="1" t="s">
        <v>48</v>
      </c>
      <c r="K128" s="1">
        <v>36</v>
      </c>
      <c r="L128" s="1">
        <v>0</v>
      </c>
      <c r="M128" s="1">
        <v>0</v>
      </c>
      <c r="N128" s="1">
        <v>36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 t="s">
        <v>49</v>
      </c>
      <c r="AA128" s="1" t="s">
        <v>49</v>
      </c>
      <c r="AB128" s="1" t="s">
        <v>49</v>
      </c>
      <c r="AC128" s="1" t="s">
        <v>204</v>
      </c>
      <c r="AD128" s="1" t="s">
        <v>205</v>
      </c>
      <c r="AE128" s="1" t="s">
        <v>206</v>
      </c>
      <c r="AF128" s="1" t="s">
        <v>207</v>
      </c>
      <c r="AG128" s="1" t="s">
        <v>53</v>
      </c>
      <c r="AH128" s="1" t="s">
        <v>49</v>
      </c>
      <c r="AI128" s="1" t="s">
        <v>54</v>
      </c>
      <c r="AJ128" s="1">
        <v>1</v>
      </c>
      <c r="AK128" s="1" t="str">
        <f t="shared" si="1"/>
        <v xml:space="preserve"> =&lt;90</v>
      </c>
      <c r="AL128" s="1" t="str">
        <f>VLOOKUP(C:C,[1]基础信息!B$1:D$65536,3,0)</f>
        <v>Hotcup</v>
      </c>
      <c r="AM128" s="1" t="str">
        <f>VLOOKUP(C:C,[1]基础信息!B$1:E$65536,4,0)</f>
        <v>Hotcup</v>
      </c>
      <c r="AN128" s="1" t="str">
        <f>VLOOKUP(C:C,[1]基础信息!B$1:F$65536,5,0)</f>
        <v xml:space="preserve"> Whi</v>
      </c>
    </row>
    <row r="129" spans="1:40">
      <c r="A129" s="1" t="s">
        <v>41</v>
      </c>
      <c r="B129" s="1" t="s">
        <v>42</v>
      </c>
      <c r="C129" s="1" t="s">
        <v>104</v>
      </c>
      <c r="D129" s="1" t="s">
        <v>105</v>
      </c>
      <c r="E129" s="1" t="s">
        <v>104</v>
      </c>
      <c r="F129" s="1" t="s">
        <v>151</v>
      </c>
      <c r="G129" s="1" t="s">
        <v>439</v>
      </c>
      <c r="H129" s="1" t="s">
        <v>440</v>
      </c>
      <c r="I129" s="1" t="s">
        <v>49</v>
      </c>
      <c r="J129" s="1" t="s">
        <v>48</v>
      </c>
      <c r="K129" s="1">
        <v>96</v>
      </c>
      <c r="L129" s="1">
        <v>0</v>
      </c>
      <c r="M129" s="1">
        <v>0</v>
      </c>
      <c r="N129" s="1">
        <v>96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 t="s">
        <v>49</v>
      </c>
      <c r="AA129" s="1" t="s">
        <v>49</v>
      </c>
      <c r="AB129" s="1" t="s">
        <v>49</v>
      </c>
      <c r="AC129" s="1" t="s">
        <v>154</v>
      </c>
      <c r="AD129" s="1" t="s">
        <v>155</v>
      </c>
      <c r="AE129" s="1" t="s">
        <v>154</v>
      </c>
      <c r="AF129" s="1" t="s">
        <v>111</v>
      </c>
      <c r="AG129" s="1" t="s">
        <v>53</v>
      </c>
      <c r="AH129" s="1" t="s">
        <v>49</v>
      </c>
      <c r="AI129" s="1" t="s">
        <v>54</v>
      </c>
      <c r="AJ129" s="1">
        <v>1</v>
      </c>
      <c r="AK129" s="1" t="str">
        <f t="shared" si="1"/>
        <v xml:space="preserve"> =&lt;90</v>
      </c>
      <c r="AL129" s="1" t="str">
        <f>VLOOKUP(C:C,[1]基础信息!B$1:D$65536,3,0)</f>
        <v>Jug</v>
      </c>
      <c r="AM129" s="1" t="str">
        <f>VLOOKUP(C:C,[1]基础信息!B$1:E$65536,4,0)</f>
        <v>Marella XL</v>
      </c>
      <c r="AN129" s="1" t="str">
        <f>VLOOKUP(C:C,[1]基础信息!B$1:F$65536,5,0)</f>
        <v>Blue</v>
      </c>
    </row>
    <row r="130" spans="1:40">
      <c r="A130" s="1" t="s">
        <v>41</v>
      </c>
      <c r="B130" s="1" t="s">
        <v>42</v>
      </c>
      <c r="C130" s="1" t="s">
        <v>68</v>
      </c>
      <c r="D130" s="1" t="s">
        <v>69</v>
      </c>
      <c r="E130" s="1" t="s">
        <v>45</v>
      </c>
      <c r="F130" s="1" t="s">
        <v>201</v>
      </c>
      <c r="G130" s="1" t="s">
        <v>441</v>
      </c>
      <c r="H130" s="1" t="s">
        <v>442</v>
      </c>
      <c r="I130" s="1" t="s">
        <v>49</v>
      </c>
      <c r="J130" s="1" t="s">
        <v>48</v>
      </c>
      <c r="K130" s="1">
        <v>36</v>
      </c>
      <c r="L130" s="1">
        <v>0</v>
      </c>
      <c r="M130" s="1">
        <v>0</v>
      </c>
      <c r="N130" s="1">
        <v>36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 t="s">
        <v>49</v>
      </c>
      <c r="AA130" s="1" t="s">
        <v>49</v>
      </c>
      <c r="AB130" s="1" t="s">
        <v>49</v>
      </c>
      <c r="AC130" s="1" t="s">
        <v>204</v>
      </c>
      <c r="AD130" s="1" t="s">
        <v>205</v>
      </c>
      <c r="AE130" s="1" t="s">
        <v>206</v>
      </c>
      <c r="AF130" s="1" t="s">
        <v>207</v>
      </c>
      <c r="AG130" s="1" t="s">
        <v>53</v>
      </c>
      <c r="AH130" s="1" t="s">
        <v>49</v>
      </c>
      <c r="AI130" s="1" t="s">
        <v>54</v>
      </c>
      <c r="AJ130" s="1">
        <v>1</v>
      </c>
      <c r="AK130" s="1" t="str">
        <f t="shared" ref="AK130:AK193" si="2">IF(AJ130&gt;$AP$2,$AQ$2,IF(AJ130&gt;$AP$3,$AQ$3,IF(AJ130&gt;$AP$4,$AQ$4,$AQ$5)))</f>
        <v xml:space="preserve"> =&lt;90</v>
      </c>
      <c r="AL130" s="1" t="str">
        <f>VLOOKUP(C:C,[1]基础信息!B$1:D$65536,3,0)</f>
        <v>Hotcup</v>
      </c>
      <c r="AM130" s="1" t="str">
        <f>VLOOKUP(C:C,[1]基础信息!B$1:E$65536,4,0)</f>
        <v>Hotcup</v>
      </c>
      <c r="AN130" s="1" t="str">
        <f>VLOOKUP(C:C,[1]基础信息!B$1:F$65536,5,0)</f>
        <v xml:space="preserve"> Whi</v>
      </c>
    </row>
    <row r="131" spans="1:40">
      <c r="A131" s="1" t="s">
        <v>41</v>
      </c>
      <c r="B131" s="1" t="s">
        <v>42</v>
      </c>
      <c r="C131" s="1" t="s">
        <v>104</v>
      </c>
      <c r="D131" s="1" t="s">
        <v>105</v>
      </c>
      <c r="E131" s="1" t="s">
        <v>104</v>
      </c>
      <c r="F131" s="1" t="s">
        <v>151</v>
      </c>
      <c r="G131" s="1" t="s">
        <v>443</v>
      </c>
      <c r="H131" s="1" t="s">
        <v>444</v>
      </c>
      <c r="I131" s="1" t="s">
        <v>49</v>
      </c>
      <c r="J131" s="1" t="s">
        <v>48</v>
      </c>
      <c r="K131" s="1">
        <v>96</v>
      </c>
      <c r="L131" s="1">
        <v>0</v>
      </c>
      <c r="M131" s="1">
        <v>0</v>
      </c>
      <c r="N131" s="1">
        <v>96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 t="s">
        <v>49</v>
      </c>
      <c r="AA131" s="1" t="s">
        <v>49</v>
      </c>
      <c r="AB131" s="1" t="s">
        <v>49</v>
      </c>
      <c r="AC131" s="1" t="s">
        <v>154</v>
      </c>
      <c r="AD131" s="1" t="s">
        <v>155</v>
      </c>
      <c r="AE131" s="1" t="s">
        <v>154</v>
      </c>
      <c r="AF131" s="1" t="s">
        <v>111</v>
      </c>
      <c r="AG131" s="1" t="s">
        <v>53</v>
      </c>
      <c r="AH131" s="1" t="s">
        <v>49</v>
      </c>
      <c r="AI131" s="1" t="s">
        <v>54</v>
      </c>
      <c r="AJ131" s="1">
        <v>1</v>
      </c>
      <c r="AK131" s="1" t="str">
        <f t="shared" si="2"/>
        <v xml:space="preserve"> =&lt;90</v>
      </c>
      <c r="AL131" s="1" t="str">
        <f>VLOOKUP(C:C,[1]基础信息!B$1:D$65536,3,0)</f>
        <v>Jug</v>
      </c>
      <c r="AM131" s="1" t="str">
        <f>VLOOKUP(C:C,[1]基础信息!B$1:E$65536,4,0)</f>
        <v>Marella XL</v>
      </c>
      <c r="AN131" s="1" t="str">
        <f>VLOOKUP(C:C,[1]基础信息!B$1:F$65536,5,0)</f>
        <v>Blue</v>
      </c>
    </row>
    <row r="132" spans="1:40">
      <c r="A132" s="1" t="s">
        <v>41</v>
      </c>
      <c r="B132" s="1" t="s">
        <v>42</v>
      </c>
      <c r="C132" s="1" t="s">
        <v>162</v>
      </c>
      <c r="D132" s="1" t="s">
        <v>163</v>
      </c>
      <c r="E132" s="1" t="s">
        <v>45</v>
      </c>
      <c r="F132" s="1" t="s">
        <v>164</v>
      </c>
      <c r="G132" s="1" t="s">
        <v>445</v>
      </c>
      <c r="H132" s="1" t="s">
        <v>446</v>
      </c>
      <c r="I132" s="1" t="s">
        <v>49</v>
      </c>
      <c r="J132" s="1" t="s">
        <v>48</v>
      </c>
      <c r="K132" s="1">
        <v>60</v>
      </c>
      <c r="L132" s="1">
        <v>0</v>
      </c>
      <c r="M132" s="1">
        <v>0</v>
      </c>
      <c r="N132" s="1">
        <v>60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 t="s">
        <v>49</v>
      </c>
      <c r="AA132" s="1" t="s">
        <v>49</v>
      </c>
      <c r="AB132" s="1" t="s">
        <v>49</v>
      </c>
      <c r="AC132" s="1" t="s">
        <v>167</v>
      </c>
      <c r="AD132" s="1" t="s">
        <v>168</v>
      </c>
      <c r="AE132" s="1" t="s">
        <v>169</v>
      </c>
      <c r="AF132" s="1" t="s">
        <v>170</v>
      </c>
      <c r="AG132" s="1" t="s">
        <v>53</v>
      </c>
      <c r="AH132" s="1" t="s">
        <v>49</v>
      </c>
      <c r="AI132" s="1" t="s">
        <v>54</v>
      </c>
      <c r="AJ132" s="1">
        <v>1</v>
      </c>
      <c r="AK132" s="1" t="str">
        <f t="shared" si="2"/>
        <v xml:space="preserve"> =&lt;90</v>
      </c>
      <c r="AL132" s="1" t="str">
        <f>VLOOKUP(C:C,[1]基础信息!B$1:D$65536,3,0)</f>
        <v>Jug</v>
      </c>
      <c r="AM132" s="1" t="str">
        <f>VLOOKUP(C:C,[1]基础信息!B$1:E$65536,4,0)</f>
        <v>Style</v>
      </c>
      <c r="AN132" s="1" t="str">
        <f>VLOOKUP(C:C,[1]基础信息!B$1:F$65536,5,0)</f>
        <v>Blue</v>
      </c>
    </row>
    <row r="133" spans="1:40">
      <c r="A133" s="1" t="s">
        <v>41</v>
      </c>
      <c r="B133" s="1" t="s">
        <v>42</v>
      </c>
      <c r="C133" s="1" t="s">
        <v>417</v>
      </c>
      <c r="D133" s="1" t="s">
        <v>418</v>
      </c>
      <c r="E133" s="1" t="s">
        <v>45</v>
      </c>
      <c r="F133" s="1" t="s">
        <v>419</v>
      </c>
      <c r="G133" s="1" t="s">
        <v>447</v>
      </c>
      <c r="H133" s="1" t="s">
        <v>448</v>
      </c>
      <c r="I133" s="1" t="s">
        <v>49</v>
      </c>
      <c r="J133" s="1" t="s">
        <v>48</v>
      </c>
      <c r="K133" s="1">
        <v>96</v>
      </c>
      <c r="L133" s="1">
        <v>0</v>
      </c>
      <c r="M133" s="1">
        <v>0</v>
      </c>
      <c r="N133" s="1">
        <v>96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 t="s">
        <v>49</v>
      </c>
      <c r="AA133" s="1" t="s">
        <v>49</v>
      </c>
      <c r="AB133" s="1" t="s">
        <v>49</v>
      </c>
      <c r="AC133" s="1" t="s">
        <v>414</v>
      </c>
      <c r="AD133" s="1" t="s">
        <v>415</v>
      </c>
      <c r="AE133" s="1" t="s">
        <v>416</v>
      </c>
      <c r="AF133" s="1" t="s">
        <v>422</v>
      </c>
      <c r="AG133" s="1" t="s">
        <v>53</v>
      </c>
      <c r="AH133" s="1" t="s">
        <v>49</v>
      </c>
      <c r="AI133" s="1" t="s">
        <v>54</v>
      </c>
      <c r="AJ133" s="1">
        <v>1</v>
      </c>
      <c r="AK133" s="1" t="str">
        <f t="shared" si="2"/>
        <v xml:space="preserve"> =&lt;90</v>
      </c>
      <c r="AL133" s="1" t="str">
        <f>VLOOKUP(C:C,[1]基础信息!B$1:D$65536,3,0)</f>
        <v>Jug</v>
      </c>
      <c r="AM133" s="1" t="str">
        <f>VLOOKUP(C:C,[1]基础信息!B$1:E$65536,4,0)</f>
        <v>Marella XL</v>
      </c>
      <c r="AN133" s="1" t="str">
        <f>VLOOKUP(C:C,[1]基础信息!B$1:F$65536,5,0)</f>
        <v>Silver</v>
      </c>
    </row>
    <row r="134" spans="1:40">
      <c r="A134" s="1" t="s">
        <v>41</v>
      </c>
      <c r="B134" s="1" t="s">
        <v>42</v>
      </c>
      <c r="C134" s="1" t="s">
        <v>162</v>
      </c>
      <c r="D134" s="1" t="s">
        <v>163</v>
      </c>
      <c r="E134" s="1" t="s">
        <v>45</v>
      </c>
      <c r="F134" s="1" t="s">
        <v>164</v>
      </c>
      <c r="G134" s="1" t="s">
        <v>449</v>
      </c>
      <c r="H134" s="1" t="s">
        <v>450</v>
      </c>
      <c r="I134" s="1" t="s">
        <v>49</v>
      </c>
      <c r="J134" s="1" t="s">
        <v>48</v>
      </c>
      <c r="K134" s="1">
        <v>60</v>
      </c>
      <c r="L134" s="1">
        <v>0</v>
      </c>
      <c r="M134" s="1">
        <v>0</v>
      </c>
      <c r="N134" s="1">
        <v>60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 t="s">
        <v>49</v>
      </c>
      <c r="AA134" s="1" t="s">
        <v>49</v>
      </c>
      <c r="AB134" s="1" t="s">
        <v>49</v>
      </c>
      <c r="AC134" s="1" t="s">
        <v>167</v>
      </c>
      <c r="AD134" s="1" t="s">
        <v>168</v>
      </c>
      <c r="AE134" s="1" t="s">
        <v>169</v>
      </c>
      <c r="AF134" s="1" t="s">
        <v>170</v>
      </c>
      <c r="AG134" s="1" t="s">
        <v>53</v>
      </c>
      <c r="AH134" s="1" t="s">
        <v>49</v>
      </c>
      <c r="AI134" s="1" t="s">
        <v>54</v>
      </c>
      <c r="AJ134" s="1">
        <v>1</v>
      </c>
      <c r="AK134" s="1" t="str">
        <f t="shared" si="2"/>
        <v xml:space="preserve"> =&lt;90</v>
      </c>
      <c r="AL134" s="1" t="str">
        <f>VLOOKUP(C:C,[1]基础信息!B$1:D$65536,3,0)</f>
        <v>Jug</v>
      </c>
      <c r="AM134" s="1" t="str">
        <f>VLOOKUP(C:C,[1]基础信息!B$1:E$65536,4,0)</f>
        <v>Style</v>
      </c>
      <c r="AN134" s="1" t="str">
        <f>VLOOKUP(C:C,[1]基础信息!B$1:F$65536,5,0)</f>
        <v>Blue</v>
      </c>
    </row>
    <row r="135" spans="1:40">
      <c r="A135" s="1" t="s">
        <v>41</v>
      </c>
      <c r="B135" s="1" t="s">
        <v>42</v>
      </c>
      <c r="C135" s="1" t="s">
        <v>451</v>
      </c>
      <c r="D135" s="1" t="s">
        <v>452</v>
      </c>
      <c r="E135" s="1" t="s">
        <v>45</v>
      </c>
      <c r="F135" s="1" t="s">
        <v>453</v>
      </c>
      <c r="G135" s="1" t="s">
        <v>454</v>
      </c>
      <c r="H135" s="1" t="s">
        <v>455</v>
      </c>
      <c r="I135" s="1" t="s">
        <v>49</v>
      </c>
      <c r="J135" s="1" t="s">
        <v>48</v>
      </c>
      <c r="K135" s="1">
        <v>4</v>
      </c>
      <c r="L135" s="1">
        <v>0</v>
      </c>
      <c r="M135" s="1">
        <v>0</v>
      </c>
      <c r="N135" s="1">
        <v>4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 t="s">
        <v>49</v>
      </c>
      <c r="AA135" s="1" t="s">
        <v>49</v>
      </c>
      <c r="AB135" s="1" t="s">
        <v>49</v>
      </c>
      <c r="AC135" s="1" t="s">
        <v>456</v>
      </c>
      <c r="AD135" s="1" t="s">
        <v>457</v>
      </c>
      <c r="AE135" s="1" t="s">
        <v>456</v>
      </c>
      <c r="AF135" s="1" t="s">
        <v>458</v>
      </c>
      <c r="AG135" s="1" t="s">
        <v>53</v>
      </c>
      <c r="AH135" s="1" t="s">
        <v>49</v>
      </c>
      <c r="AI135" s="1" t="s">
        <v>54</v>
      </c>
      <c r="AJ135" s="1">
        <v>1</v>
      </c>
      <c r="AK135" s="1" t="str">
        <f t="shared" si="2"/>
        <v xml:space="preserve"> =&lt;90</v>
      </c>
      <c r="AL135" s="1" t="str">
        <f>VLOOKUP(C:C,[1]基础信息!B$1:D$65536,3,0)</f>
        <v>UTS</v>
      </c>
      <c r="AM135" s="1" t="str">
        <f>VLOOKUP(C:C,[1]基础信息!B$1:E$65536,4,0)</f>
        <v>MyPure</v>
      </c>
      <c r="AN135" s="1" t="str">
        <f>VLOOKUP(C:C,[1]基础信息!B$1:F$65536,5,0)</f>
        <v>R8</v>
      </c>
    </row>
    <row r="136" spans="1:40">
      <c r="A136" s="1" t="s">
        <v>41</v>
      </c>
      <c r="B136" s="1" t="s">
        <v>42</v>
      </c>
      <c r="C136" s="1" t="s">
        <v>451</v>
      </c>
      <c r="D136" s="1" t="s">
        <v>452</v>
      </c>
      <c r="E136" s="1" t="s">
        <v>45</v>
      </c>
      <c r="F136" s="1" t="s">
        <v>459</v>
      </c>
      <c r="G136" s="1" t="s">
        <v>460</v>
      </c>
      <c r="H136" s="1" t="s">
        <v>461</v>
      </c>
      <c r="I136" s="1" t="s">
        <v>49</v>
      </c>
      <c r="J136" s="1" t="s">
        <v>48</v>
      </c>
      <c r="K136" s="1">
        <v>25</v>
      </c>
      <c r="L136" s="1">
        <v>0</v>
      </c>
      <c r="M136" s="1">
        <v>0</v>
      </c>
      <c r="N136" s="1">
        <v>25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 t="s">
        <v>49</v>
      </c>
      <c r="AA136" s="1" t="s">
        <v>49</v>
      </c>
      <c r="AB136" s="1" t="s">
        <v>49</v>
      </c>
      <c r="AC136" s="1" t="s">
        <v>456</v>
      </c>
      <c r="AD136" s="1" t="s">
        <v>457</v>
      </c>
      <c r="AE136" s="1" t="s">
        <v>456</v>
      </c>
      <c r="AF136" s="1" t="s">
        <v>462</v>
      </c>
      <c r="AG136" s="1" t="s">
        <v>53</v>
      </c>
      <c r="AH136" s="1" t="s">
        <v>49</v>
      </c>
      <c r="AI136" s="1" t="s">
        <v>54</v>
      </c>
      <c r="AJ136" s="1">
        <v>1</v>
      </c>
      <c r="AK136" s="1" t="str">
        <f t="shared" si="2"/>
        <v xml:space="preserve"> =&lt;90</v>
      </c>
      <c r="AL136" s="1" t="str">
        <f>VLOOKUP(C:C,[1]基础信息!B$1:D$65536,3,0)</f>
        <v>UTS</v>
      </c>
      <c r="AM136" s="1" t="str">
        <f>VLOOKUP(C:C,[1]基础信息!B$1:E$65536,4,0)</f>
        <v>MyPure</v>
      </c>
      <c r="AN136" s="1" t="str">
        <f>VLOOKUP(C:C,[1]基础信息!B$1:F$65536,5,0)</f>
        <v>R8</v>
      </c>
    </row>
    <row r="137" spans="1:40">
      <c r="A137" s="1" t="s">
        <v>41</v>
      </c>
      <c r="B137" s="1" t="s">
        <v>42</v>
      </c>
      <c r="C137" s="1" t="s">
        <v>451</v>
      </c>
      <c r="D137" s="1" t="s">
        <v>452</v>
      </c>
      <c r="E137" s="1" t="s">
        <v>45</v>
      </c>
      <c r="F137" s="1" t="s">
        <v>459</v>
      </c>
      <c r="G137" s="1" t="s">
        <v>463</v>
      </c>
      <c r="H137" s="1" t="s">
        <v>464</v>
      </c>
      <c r="I137" s="1" t="s">
        <v>49</v>
      </c>
      <c r="J137" s="1" t="s">
        <v>48</v>
      </c>
      <c r="K137" s="1">
        <v>8</v>
      </c>
      <c r="L137" s="1">
        <v>0</v>
      </c>
      <c r="M137" s="1">
        <v>0</v>
      </c>
      <c r="N137" s="1">
        <v>8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 t="s">
        <v>49</v>
      </c>
      <c r="AA137" s="1" t="s">
        <v>49</v>
      </c>
      <c r="AB137" s="1" t="s">
        <v>49</v>
      </c>
      <c r="AC137" s="1" t="s">
        <v>456</v>
      </c>
      <c r="AD137" s="1" t="s">
        <v>457</v>
      </c>
      <c r="AE137" s="1" t="s">
        <v>456</v>
      </c>
      <c r="AF137" s="1" t="s">
        <v>462</v>
      </c>
      <c r="AG137" s="1" t="s">
        <v>53</v>
      </c>
      <c r="AH137" s="1" t="s">
        <v>49</v>
      </c>
      <c r="AI137" s="1" t="s">
        <v>54</v>
      </c>
      <c r="AJ137" s="1">
        <v>1</v>
      </c>
      <c r="AK137" s="1" t="str">
        <f t="shared" si="2"/>
        <v xml:space="preserve"> =&lt;90</v>
      </c>
      <c r="AL137" s="1" t="str">
        <f>VLOOKUP(C:C,[1]基础信息!B$1:D$65536,3,0)</f>
        <v>UTS</v>
      </c>
      <c r="AM137" s="1" t="str">
        <f>VLOOKUP(C:C,[1]基础信息!B$1:E$65536,4,0)</f>
        <v>MyPure</v>
      </c>
      <c r="AN137" s="1" t="str">
        <f>VLOOKUP(C:C,[1]基础信息!B$1:F$65536,5,0)</f>
        <v>R8</v>
      </c>
    </row>
    <row r="138" spans="1:40">
      <c r="A138" s="1" t="s">
        <v>41</v>
      </c>
      <c r="B138" s="1" t="s">
        <v>42</v>
      </c>
      <c r="C138" s="1" t="s">
        <v>104</v>
      </c>
      <c r="D138" s="1" t="s">
        <v>105</v>
      </c>
      <c r="E138" s="1" t="s">
        <v>104</v>
      </c>
      <c r="F138" s="1" t="s">
        <v>151</v>
      </c>
      <c r="G138" s="1" t="s">
        <v>465</v>
      </c>
      <c r="H138" s="1" t="s">
        <v>466</v>
      </c>
      <c r="I138" s="1" t="s">
        <v>49</v>
      </c>
      <c r="J138" s="1" t="s">
        <v>48</v>
      </c>
      <c r="K138" s="1">
        <v>96</v>
      </c>
      <c r="L138" s="1">
        <v>0</v>
      </c>
      <c r="M138" s="1">
        <v>0</v>
      </c>
      <c r="N138" s="1">
        <v>96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 t="s">
        <v>49</v>
      </c>
      <c r="AA138" s="1" t="s">
        <v>49</v>
      </c>
      <c r="AB138" s="1" t="s">
        <v>49</v>
      </c>
      <c r="AC138" s="1" t="s">
        <v>154</v>
      </c>
      <c r="AD138" s="1" t="s">
        <v>155</v>
      </c>
      <c r="AE138" s="1" t="s">
        <v>154</v>
      </c>
      <c r="AF138" s="1" t="s">
        <v>111</v>
      </c>
      <c r="AG138" s="1" t="s">
        <v>53</v>
      </c>
      <c r="AH138" s="1" t="s">
        <v>49</v>
      </c>
      <c r="AI138" s="1" t="s">
        <v>54</v>
      </c>
      <c r="AJ138" s="1">
        <v>1</v>
      </c>
      <c r="AK138" s="1" t="str">
        <f t="shared" si="2"/>
        <v xml:space="preserve"> =&lt;90</v>
      </c>
      <c r="AL138" s="1" t="str">
        <f>VLOOKUP(C:C,[1]基础信息!B$1:D$65536,3,0)</f>
        <v>Jug</v>
      </c>
      <c r="AM138" s="1" t="str">
        <f>VLOOKUP(C:C,[1]基础信息!B$1:E$65536,4,0)</f>
        <v>Marella XL</v>
      </c>
      <c r="AN138" s="1" t="str">
        <f>VLOOKUP(C:C,[1]基础信息!B$1:F$65536,5,0)</f>
        <v>Blue</v>
      </c>
    </row>
    <row r="139" spans="1:40">
      <c r="A139" s="1" t="s">
        <v>41</v>
      </c>
      <c r="B139" s="1" t="s">
        <v>42</v>
      </c>
      <c r="C139" s="1" t="s">
        <v>83</v>
      </c>
      <c r="D139" s="1" t="s">
        <v>84</v>
      </c>
      <c r="E139" s="1" t="s">
        <v>45</v>
      </c>
      <c r="F139" s="1" t="s">
        <v>467</v>
      </c>
      <c r="G139" s="1" t="s">
        <v>468</v>
      </c>
      <c r="H139" s="1" t="s">
        <v>469</v>
      </c>
      <c r="I139" s="1" t="s">
        <v>49</v>
      </c>
      <c r="J139" s="1" t="s">
        <v>48</v>
      </c>
      <c r="K139" s="1">
        <v>3</v>
      </c>
      <c r="L139" s="1">
        <v>0</v>
      </c>
      <c r="M139" s="1">
        <v>0</v>
      </c>
      <c r="N139" s="1">
        <v>3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 t="s">
        <v>49</v>
      </c>
      <c r="AA139" s="1" t="s">
        <v>49</v>
      </c>
      <c r="AB139" s="1" t="s">
        <v>49</v>
      </c>
      <c r="AC139" s="1" t="s">
        <v>470</v>
      </c>
      <c r="AD139" s="1" t="s">
        <v>471</v>
      </c>
      <c r="AE139" s="1" t="s">
        <v>470</v>
      </c>
      <c r="AF139" s="1" t="s">
        <v>472</v>
      </c>
      <c r="AG139" s="1" t="s">
        <v>53</v>
      </c>
      <c r="AH139" s="1" t="s">
        <v>49</v>
      </c>
      <c r="AI139" s="1" t="s">
        <v>54</v>
      </c>
      <c r="AJ139" s="1">
        <v>1</v>
      </c>
      <c r="AK139" s="1" t="str">
        <f t="shared" si="2"/>
        <v xml:space="preserve"> =&lt;90</v>
      </c>
      <c r="AL139" s="1" t="str">
        <f>VLOOKUP(C:C,[1]基础信息!B$1:D$65536,3,0)</f>
        <v>Jug</v>
      </c>
      <c r="AM139" s="1" t="str">
        <f>VLOOKUP(C:C,[1]基础信息!B$1:E$65536,4,0)</f>
        <v>Mxplus</v>
      </c>
      <c r="AN139" s="1" t="str">
        <f>VLOOKUP(C:C,[1]基础信息!B$1:F$65536,5,0)</f>
        <v>Blue</v>
      </c>
    </row>
    <row r="140" spans="1:40">
      <c r="A140" s="1" t="s">
        <v>41</v>
      </c>
      <c r="B140" s="1" t="s">
        <v>42</v>
      </c>
      <c r="C140" s="1" t="s">
        <v>83</v>
      </c>
      <c r="D140" s="1" t="s">
        <v>84</v>
      </c>
      <c r="E140" s="1" t="s">
        <v>45</v>
      </c>
      <c r="F140" s="1" t="s">
        <v>467</v>
      </c>
      <c r="G140" s="1" t="s">
        <v>473</v>
      </c>
      <c r="H140" s="1" t="s">
        <v>474</v>
      </c>
      <c r="I140" s="1" t="s">
        <v>49</v>
      </c>
      <c r="J140" s="1" t="s">
        <v>48</v>
      </c>
      <c r="K140" s="1">
        <v>96</v>
      </c>
      <c r="L140" s="1">
        <v>0</v>
      </c>
      <c r="M140" s="1">
        <v>0</v>
      </c>
      <c r="N140" s="1">
        <v>96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 t="s">
        <v>49</v>
      </c>
      <c r="AA140" s="1" t="s">
        <v>49</v>
      </c>
      <c r="AB140" s="1" t="s">
        <v>49</v>
      </c>
      <c r="AC140" s="1" t="s">
        <v>470</v>
      </c>
      <c r="AD140" s="1" t="s">
        <v>471</v>
      </c>
      <c r="AE140" s="1" t="s">
        <v>470</v>
      </c>
      <c r="AF140" s="1" t="s">
        <v>472</v>
      </c>
      <c r="AG140" s="1" t="s">
        <v>53</v>
      </c>
      <c r="AH140" s="1" t="s">
        <v>49</v>
      </c>
      <c r="AI140" s="1" t="s">
        <v>54</v>
      </c>
      <c r="AJ140" s="1">
        <v>1</v>
      </c>
      <c r="AK140" s="1" t="str">
        <f t="shared" si="2"/>
        <v xml:space="preserve"> =&lt;90</v>
      </c>
      <c r="AL140" s="1" t="str">
        <f>VLOOKUP(C:C,[1]基础信息!B$1:D$65536,3,0)</f>
        <v>Jug</v>
      </c>
      <c r="AM140" s="1" t="str">
        <f>VLOOKUP(C:C,[1]基础信息!B$1:E$65536,4,0)</f>
        <v>Mxplus</v>
      </c>
      <c r="AN140" s="1" t="str">
        <f>VLOOKUP(C:C,[1]基础信息!B$1:F$65536,5,0)</f>
        <v>Blue</v>
      </c>
    </row>
    <row r="141" spans="1:40">
      <c r="A141" s="1" t="s">
        <v>41</v>
      </c>
      <c r="B141" s="1" t="s">
        <v>42</v>
      </c>
      <c r="C141" s="1" t="s">
        <v>43</v>
      </c>
      <c r="D141" s="1" t="s">
        <v>44</v>
      </c>
      <c r="E141" s="1" t="s">
        <v>45</v>
      </c>
      <c r="F141" s="1" t="s">
        <v>46</v>
      </c>
      <c r="G141" s="1" t="s">
        <v>475</v>
      </c>
      <c r="H141" s="1" t="s">
        <v>476</v>
      </c>
      <c r="I141" s="1" t="s">
        <v>49</v>
      </c>
      <c r="J141" s="1" t="s">
        <v>48</v>
      </c>
      <c r="K141" s="1">
        <v>96</v>
      </c>
      <c r="L141" s="1">
        <v>0</v>
      </c>
      <c r="M141" s="1">
        <v>0</v>
      </c>
      <c r="N141" s="1">
        <v>96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 t="s">
        <v>49</v>
      </c>
      <c r="AA141" s="1" t="s">
        <v>49</v>
      </c>
      <c r="AB141" s="1" t="s">
        <v>49</v>
      </c>
      <c r="AC141" s="1" t="s">
        <v>50</v>
      </c>
      <c r="AD141" s="1" t="s">
        <v>51</v>
      </c>
      <c r="AE141" s="1" t="s">
        <v>50</v>
      </c>
      <c r="AF141" s="1" t="s">
        <v>52</v>
      </c>
      <c r="AG141" s="1" t="s">
        <v>53</v>
      </c>
      <c r="AH141" s="1" t="s">
        <v>49</v>
      </c>
      <c r="AI141" s="1" t="s">
        <v>54</v>
      </c>
      <c r="AJ141" s="1">
        <v>1</v>
      </c>
      <c r="AK141" s="1" t="str">
        <f t="shared" si="2"/>
        <v xml:space="preserve"> =&lt;90</v>
      </c>
      <c r="AL141" s="1" t="str">
        <f>VLOOKUP(C:C,[1]基础信息!B$1:D$65536,3,0)</f>
        <v>Jug</v>
      </c>
      <c r="AM141" s="1" t="str">
        <f>VLOOKUP(C:C,[1]基础信息!B$1:E$65536,4,0)</f>
        <v>Marella XL</v>
      </c>
      <c r="AN141" s="1" t="str">
        <f>VLOOKUP(C:C,[1]基础信息!B$1:F$65536,5,0)</f>
        <v>Black</v>
      </c>
    </row>
    <row r="142" spans="1:40">
      <c r="A142" s="1" t="s">
        <v>41</v>
      </c>
      <c r="B142" s="1" t="s">
        <v>42</v>
      </c>
      <c r="C142" s="1" t="s">
        <v>451</v>
      </c>
      <c r="D142" s="1" t="s">
        <v>452</v>
      </c>
      <c r="E142" s="1" t="s">
        <v>45</v>
      </c>
      <c r="F142" s="1" t="s">
        <v>459</v>
      </c>
      <c r="G142" s="1" t="s">
        <v>477</v>
      </c>
      <c r="H142" s="1" t="s">
        <v>478</v>
      </c>
      <c r="I142" s="1" t="s">
        <v>49</v>
      </c>
      <c r="J142" s="1" t="s">
        <v>48</v>
      </c>
      <c r="K142" s="1">
        <v>10</v>
      </c>
      <c r="L142" s="1">
        <v>0</v>
      </c>
      <c r="M142" s="1">
        <v>0</v>
      </c>
      <c r="N142" s="1">
        <v>10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 t="s">
        <v>49</v>
      </c>
      <c r="AA142" s="1" t="s">
        <v>49</v>
      </c>
      <c r="AB142" s="1" t="s">
        <v>49</v>
      </c>
      <c r="AC142" s="1" t="s">
        <v>456</v>
      </c>
      <c r="AD142" s="1" t="s">
        <v>457</v>
      </c>
      <c r="AE142" s="1" t="s">
        <v>456</v>
      </c>
      <c r="AF142" s="1" t="s">
        <v>462</v>
      </c>
      <c r="AG142" s="1" t="s">
        <v>53</v>
      </c>
      <c r="AH142" s="1" t="s">
        <v>49</v>
      </c>
      <c r="AI142" s="1" t="s">
        <v>54</v>
      </c>
      <c r="AJ142" s="1">
        <v>1</v>
      </c>
      <c r="AK142" s="1" t="str">
        <f t="shared" si="2"/>
        <v xml:space="preserve"> =&lt;90</v>
      </c>
      <c r="AL142" s="1" t="str">
        <f>VLOOKUP(C:C,[1]基础信息!B$1:D$65536,3,0)</f>
        <v>UTS</v>
      </c>
      <c r="AM142" s="1" t="str">
        <f>VLOOKUP(C:C,[1]基础信息!B$1:E$65536,4,0)</f>
        <v>MyPure</v>
      </c>
      <c r="AN142" s="1" t="str">
        <f>VLOOKUP(C:C,[1]基础信息!B$1:F$65536,5,0)</f>
        <v>R8</v>
      </c>
    </row>
    <row r="143" spans="1:40">
      <c r="A143" s="1" t="s">
        <v>41</v>
      </c>
      <c r="B143" s="1" t="s">
        <v>42</v>
      </c>
      <c r="C143" s="1" t="s">
        <v>104</v>
      </c>
      <c r="D143" s="1" t="s">
        <v>105</v>
      </c>
      <c r="E143" s="1" t="s">
        <v>104</v>
      </c>
      <c r="F143" s="1" t="s">
        <v>265</v>
      </c>
      <c r="G143" s="1" t="s">
        <v>479</v>
      </c>
      <c r="H143" s="1" t="s">
        <v>480</v>
      </c>
      <c r="I143" s="1" t="s">
        <v>49</v>
      </c>
      <c r="J143" s="1" t="s">
        <v>48</v>
      </c>
      <c r="K143" s="1">
        <v>96</v>
      </c>
      <c r="L143" s="1">
        <v>0</v>
      </c>
      <c r="M143" s="1">
        <v>0</v>
      </c>
      <c r="N143" s="1">
        <v>96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 t="s">
        <v>49</v>
      </c>
      <c r="AA143" s="1" t="s">
        <v>49</v>
      </c>
      <c r="AB143" s="1" t="s">
        <v>49</v>
      </c>
      <c r="AC143" s="1" t="s">
        <v>154</v>
      </c>
      <c r="AD143" s="1" t="s">
        <v>155</v>
      </c>
      <c r="AE143" s="1" t="s">
        <v>154</v>
      </c>
      <c r="AF143" s="1" t="s">
        <v>268</v>
      </c>
      <c r="AG143" s="1" t="s">
        <v>53</v>
      </c>
      <c r="AH143" s="1" t="s">
        <v>49</v>
      </c>
      <c r="AI143" s="1" t="s">
        <v>54</v>
      </c>
      <c r="AJ143" s="1">
        <v>1</v>
      </c>
      <c r="AK143" s="1" t="str">
        <f t="shared" si="2"/>
        <v xml:space="preserve"> =&lt;90</v>
      </c>
      <c r="AL143" s="1" t="str">
        <f>VLOOKUP(C:C,[1]基础信息!B$1:D$65536,3,0)</f>
        <v>Jug</v>
      </c>
      <c r="AM143" s="1" t="str">
        <f>VLOOKUP(C:C,[1]基础信息!B$1:E$65536,4,0)</f>
        <v>Marella XL</v>
      </c>
      <c r="AN143" s="1" t="str">
        <f>VLOOKUP(C:C,[1]基础信息!B$1:F$65536,5,0)</f>
        <v>Blue</v>
      </c>
    </row>
    <row r="144" spans="1:40">
      <c r="A144" s="1" t="s">
        <v>41</v>
      </c>
      <c r="B144" s="1" t="s">
        <v>42</v>
      </c>
      <c r="C144" s="1" t="s">
        <v>481</v>
      </c>
      <c r="D144" s="1" t="s">
        <v>482</v>
      </c>
      <c r="E144" s="1" t="s">
        <v>45</v>
      </c>
      <c r="F144" s="1" t="s">
        <v>483</v>
      </c>
      <c r="G144" s="1" t="s">
        <v>484</v>
      </c>
      <c r="H144" s="1" t="s">
        <v>485</v>
      </c>
      <c r="I144" s="1" t="s">
        <v>49</v>
      </c>
      <c r="J144" s="1" t="s">
        <v>48</v>
      </c>
      <c r="K144" s="1">
        <v>168</v>
      </c>
      <c r="L144" s="1">
        <v>0</v>
      </c>
      <c r="M144" s="1">
        <v>0</v>
      </c>
      <c r="N144" s="1">
        <v>168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 t="s">
        <v>49</v>
      </c>
      <c r="AA144" s="1" t="s">
        <v>49</v>
      </c>
      <c r="AB144" s="1" t="s">
        <v>49</v>
      </c>
      <c r="AC144" s="1" t="s">
        <v>486</v>
      </c>
      <c r="AD144" s="1" t="s">
        <v>487</v>
      </c>
      <c r="AE144" s="1" t="s">
        <v>486</v>
      </c>
      <c r="AF144" s="1" t="s">
        <v>488</v>
      </c>
      <c r="AG144" s="1" t="s">
        <v>53</v>
      </c>
      <c r="AH144" s="1" t="s">
        <v>49</v>
      </c>
      <c r="AI144" s="1" t="s">
        <v>54</v>
      </c>
      <c r="AJ144" s="1">
        <v>1</v>
      </c>
      <c r="AK144" s="1" t="str">
        <f t="shared" si="2"/>
        <v xml:space="preserve"> =&lt;90</v>
      </c>
      <c r="AL144" s="1" t="str">
        <f>VLOOKUP(C:C,[1]基础信息!B$1:D$65536,3,0)</f>
        <v>Jug</v>
      </c>
      <c r="AM144" s="1" t="str">
        <f>VLOOKUP(C:C,[1]基础信息!B$1:E$65536,4,0)</f>
        <v>Style COOL</v>
      </c>
      <c r="AN144" s="1" t="str">
        <f>VLOOKUP(C:C,[1]基础信息!B$1:F$65536,5,0)</f>
        <v>Cool Blue</v>
      </c>
    </row>
    <row r="145" spans="1:40">
      <c r="A145" s="1" t="s">
        <v>41</v>
      </c>
      <c r="B145" s="1" t="s">
        <v>42</v>
      </c>
      <c r="C145" s="1" t="s">
        <v>208</v>
      </c>
      <c r="D145" s="1" t="s">
        <v>209</v>
      </c>
      <c r="E145" s="1" t="s">
        <v>208</v>
      </c>
      <c r="F145" s="1" t="s">
        <v>210</v>
      </c>
      <c r="G145" s="1" t="s">
        <v>489</v>
      </c>
      <c r="H145" s="1" t="s">
        <v>490</v>
      </c>
      <c r="I145" s="1" t="s">
        <v>49</v>
      </c>
      <c r="J145" s="1" t="s">
        <v>48</v>
      </c>
      <c r="K145" s="1">
        <v>80</v>
      </c>
      <c r="L145" s="1">
        <v>0</v>
      </c>
      <c r="M145" s="1">
        <v>0</v>
      </c>
      <c r="N145" s="1">
        <v>80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 t="s">
        <v>49</v>
      </c>
      <c r="AA145" s="1" t="s">
        <v>49</v>
      </c>
      <c r="AB145" s="1" t="s">
        <v>49</v>
      </c>
      <c r="AC145" s="1" t="s">
        <v>213</v>
      </c>
      <c r="AD145" s="1" t="s">
        <v>214</v>
      </c>
      <c r="AE145" s="1" t="s">
        <v>215</v>
      </c>
      <c r="AF145" s="1" t="s">
        <v>216</v>
      </c>
      <c r="AG145" s="1" t="s">
        <v>53</v>
      </c>
      <c r="AH145" s="1" t="s">
        <v>49</v>
      </c>
      <c r="AI145" s="1" t="s">
        <v>54</v>
      </c>
      <c r="AJ145" s="1">
        <v>1</v>
      </c>
      <c r="AK145" s="1" t="str">
        <f t="shared" si="2"/>
        <v xml:space="preserve"> =&lt;90</v>
      </c>
      <c r="AL145" s="1" t="str">
        <f>VLOOKUP(C:C,[1]基础信息!B$1:D$65536,3,0)</f>
        <v>Jug</v>
      </c>
      <c r="AM145" s="1" t="str">
        <f>VLOOKUP(C:C,[1]基础信息!B$1:E$65536,4,0)</f>
        <v>MXpl</v>
      </c>
      <c r="AN145" s="1" t="str">
        <f>VLOOKUP(C:C,[1]基础信息!B$1:F$65536,5,0)</f>
        <v>grey</v>
      </c>
    </row>
    <row r="146" spans="1:40">
      <c r="A146" s="1" t="s">
        <v>41</v>
      </c>
      <c r="B146" s="1" t="s">
        <v>42</v>
      </c>
      <c r="C146" s="1" t="s">
        <v>104</v>
      </c>
      <c r="D146" s="1" t="s">
        <v>105</v>
      </c>
      <c r="E146" s="1" t="s">
        <v>104</v>
      </c>
      <c r="F146" s="1" t="s">
        <v>265</v>
      </c>
      <c r="G146" s="1" t="s">
        <v>491</v>
      </c>
      <c r="H146" s="1" t="s">
        <v>492</v>
      </c>
      <c r="I146" s="1" t="s">
        <v>49</v>
      </c>
      <c r="J146" s="1" t="s">
        <v>48</v>
      </c>
      <c r="K146" s="1">
        <v>96</v>
      </c>
      <c r="L146" s="1">
        <v>0</v>
      </c>
      <c r="M146" s="1">
        <v>0</v>
      </c>
      <c r="N146" s="1">
        <v>96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 t="s">
        <v>49</v>
      </c>
      <c r="AA146" s="1" t="s">
        <v>49</v>
      </c>
      <c r="AB146" s="1" t="s">
        <v>49</v>
      </c>
      <c r="AC146" s="1" t="s">
        <v>154</v>
      </c>
      <c r="AD146" s="1" t="s">
        <v>155</v>
      </c>
      <c r="AE146" s="1" t="s">
        <v>154</v>
      </c>
      <c r="AF146" s="1" t="s">
        <v>268</v>
      </c>
      <c r="AG146" s="1" t="s">
        <v>53</v>
      </c>
      <c r="AH146" s="1" t="s">
        <v>49</v>
      </c>
      <c r="AI146" s="1" t="s">
        <v>54</v>
      </c>
      <c r="AJ146" s="1">
        <v>1</v>
      </c>
      <c r="AK146" s="1" t="str">
        <f t="shared" si="2"/>
        <v xml:space="preserve"> =&lt;90</v>
      </c>
      <c r="AL146" s="1" t="str">
        <f>VLOOKUP(C:C,[1]基础信息!B$1:D$65536,3,0)</f>
        <v>Jug</v>
      </c>
      <c r="AM146" s="1" t="str">
        <f>VLOOKUP(C:C,[1]基础信息!B$1:E$65536,4,0)</f>
        <v>Marella XL</v>
      </c>
      <c r="AN146" s="1" t="str">
        <f>VLOOKUP(C:C,[1]基础信息!B$1:F$65536,5,0)</f>
        <v>Blue</v>
      </c>
    </row>
    <row r="147" spans="1:40">
      <c r="A147" s="1" t="s">
        <v>41</v>
      </c>
      <c r="B147" s="1" t="s">
        <v>42</v>
      </c>
      <c r="C147" s="1" t="s">
        <v>208</v>
      </c>
      <c r="D147" s="1" t="s">
        <v>209</v>
      </c>
      <c r="E147" s="1" t="s">
        <v>208</v>
      </c>
      <c r="F147" s="1" t="s">
        <v>210</v>
      </c>
      <c r="G147" s="1" t="s">
        <v>493</v>
      </c>
      <c r="H147" s="1" t="s">
        <v>494</v>
      </c>
      <c r="I147" s="1" t="s">
        <v>49</v>
      </c>
      <c r="J147" s="1" t="s">
        <v>48</v>
      </c>
      <c r="K147" s="1">
        <v>80</v>
      </c>
      <c r="L147" s="1">
        <v>0</v>
      </c>
      <c r="M147" s="1">
        <v>0</v>
      </c>
      <c r="N147" s="1">
        <v>80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 t="s">
        <v>49</v>
      </c>
      <c r="AA147" s="1" t="s">
        <v>49</v>
      </c>
      <c r="AB147" s="1" t="s">
        <v>49</v>
      </c>
      <c r="AC147" s="1" t="s">
        <v>213</v>
      </c>
      <c r="AD147" s="1" t="s">
        <v>214</v>
      </c>
      <c r="AE147" s="1" t="s">
        <v>215</v>
      </c>
      <c r="AF147" s="1" t="s">
        <v>216</v>
      </c>
      <c r="AG147" s="1" t="s">
        <v>53</v>
      </c>
      <c r="AH147" s="1" t="s">
        <v>49</v>
      </c>
      <c r="AI147" s="1" t="s">
        <v>54</v>
      </c>
      <c r="AJ147" s="1">
        <v>1</v>
      </c>
      <c r="AK147" s="1" t="str">
        <f t="shared" si="2"/>
        <v xml:space="preserve"> =&lt;90</v>
      </c>
      <c r="AL147" s="1" t="str">
        <f>VLOOKUP(C:C,[1]基础信息!B$1:D$65536,3,0)</f>
        <v>Jug</v>
      </c>
      <c r="AM147" s="1" t="str">
        <f>VLOOKUP(C:C,[1]基础信息!B$1:E$65536,4,0)</f>
        <v>MXpl</v>
      </c>
      <c r="AN147" s="1" t="str">
        <f>VLOOKUP(C:C,[1]基础信息!B$1:F$65536,5,0)</f>
        <v>grey</v>
      </c>
    </row>
    <row r="148" spans="1:40">
      <c r="A148" s="1" t="s">
        <v>41</v>
      </c>
      <c r="B148" s="1" t="s">
        <v>42</v>
      </c>
      <c r="C148" s="1" t="s">
        <v>104</v>
      </c>
      <c r="D148" s="1" t="s">
        <v>105</v>
      </c>
      <c r="E148" s="1" t="s">
        <v>104</v>
      </c>
      <c r="F148" s="1" t="s">
        <v>265</v>
      </c>
      <c r="G148" s="1" t="s">
        <v>495</v>
      </c>
      <c r="H148" s="1" t="s">
        <v>496</v>
      </c>
      <c r="I148" s="1" t="s">
        <v>49</v>
      </c>
      <c r="J148" s="1" t="s">
        <v>48</v>
      </c>
      <c r="K148" s="1">
        <v>96</v>
      </c>
      <c r="L148" s="1">
        <v>0</v>
      </c>
      <c r="M148" s="1">
        <v>0</v>
      </c>
      <c r="N148" s="1">
        <v>96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 t="s">
        <v>49</v>
      </c>
      <c r="AA148" s="1" t="s">
        <v>49</v>
      </c>
      <c r="AB148" s="1" t="s">
        <v>49</v>
      </c>
      <c r="AC148" s="1" t="s">
        <v>154</v>
      </c>
      <c r="AD148" s="1" t="s">
        <v>155</v>
      </c>
      <c r="AE148" s="1" t="s">
        <v>154</v>
      </c>
      <c r="AF148" s="1" t="s">
        <v>268</v>
      </c>
      <c r="AG148" s="1" t="s">
        <v>53</v>
      </c>
      <c r="AH148" s="1" t="s">
        <v>49</v>
      </c>
      <c r="AI148" s="1" t="s">
        <v>54</v>
      </c>
      <c r="AJ148" s="1">
        <v>1</v>
      </c>
      <c r="AK148" s="1" t="str">
        <f t="shared" si="2"/>
        <v xml:space="preserve"> =&lt;90</v>
      </c>
      <c r="AL148" s="1" t="str">
        <f>VLOOKUP(C:C,[1]基础信息!B$1:D$65536,3,0)</f>
        <v>Jug</v>
      </c>
      <c r="AM148" s="1" t="str">
        <f>VLOOKUP(C:C,[1]基础信息!B$1:E$65536,4,0)</f>
        <v>Marella XL</v>
      </c>
      <c r="AN148" s="1" t="str">
        <f>VLOOKUP(C:C,[1]基础信息!B$1:F$65536,5,0)</f>
        <v>Blue</v>
      </c>
    </row>
    <row r="149" spans="1:40">
      <c r="A149" s="1" t="s">
        <v>41</v>
      </c>
      <c r="B149" s="1" t="s">
        <v>42</v>
      </c>
      <c r="C149" s="1" t="s">
        <v>451</v>
      </c>
      <c r="D149" s="1" t="s">
        <v>452</v>
      </c>
      <c r="E149" s="1" t="s">
        <v>45</v>
      </c>
      <c r="F149" s="1" t="s">
        <v>459</v>
      </c>
      <c r="G149" s="1" t="s">
        <v>497</v>
      </c>
      <c r="H149" s="1" t="s">
        <v>45</v>
      </c>
      <c r="I149" s="1" t="s">
        <v>49</v>
      </c>
      <c r="J149" s="1" t="s">
        <v>48</v>
      </c>
      <c r="K149" s="1">
        <v>2</v>
      </c>
      <c r="L149" s="1">
        <v>0</v>
      </c>
      <c r="M149" s="1">
        <v>0</v>
      </c>
      <c r="N149" s="1">
        <v>2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 t="s">
        <v>49</v>
      </c>
      <c r="AA149" s="1" t="s">
        <v>49</v>
      </c>
      <c r="AB149" s="1" t="s">
        <v>49</v>
      </c>
      <c r="AC149" s="1" t="s">
        <v>456</v>
      </c>
      <c r="AD149" s="1" t="s">
        <v>457</v>
      </c>
      <c r="AE149" s="1" t="s">
        <v>456</v>
      </c>
      <c r="AF149" s="1" t="s">
        <v>462</v>
      </c>
      <c r="AG149" s="1" t="s">
        <v>53</v>
      </c>
      <c r="AH149" s="1" t="s">
        <v>49</v>
      </c>
      <c r="AI149" s="1" t="s">
        <v>54</v>
      </c>
      <c r="AJ149" s="1">
        <v>1</v>
      </c>
      <c r="AK149" s="1" t="str">
        <f t="shared" si="2"/>
        <v xml:space="preserve"> =&lt;90</v>
      </c>
      <c r="AL149" s="1" t="str">
        <f>VLOOKUP(C:C,[1]基础信息!B$1:D$65536,3,0)</f>
        <v>UTS</v>
      </c>
      <c r="AM149" s="1" t="str">
        <f>VLOOKUP(C:C,[1]基础信息!B$1:E$65536,4,0)</f>
        <v>MyPure</v>
      </c>
      <c r="AN149" s="1" t="str">
        <f>VLOOKUP(C:C,[1]基础信息!B$1:F$65536,5,0)</f>
        <v>R8</v>
      </c>
    </row>
    <row r="150" spans="1:40">
      <c r="A150" s="1" t="s">
        <v>41</v>
      </c>
      <c r="B150" s="1" t="s">
        <v>42</v>
      </c>
      <c r="C150" s="1" t="s">
        <v>208</v>
      </c>
      <c r="D150" s="1" t="s">
        <v>209</v>
      </c>
      <c r="E150" s="1" t="s">
        <v>208</v>
      </c>
      <c r="F150" s="1" t="s">
        <v>210</v>
      </c>
      <c r="G150" s="1" t="s">
        <v>498</v>
      </c>
      <c r="H150" s="1" t="s">
        <v>499</v>
      </c>
      <c r="I150" s="1" t="s">
        <v>49</v>
      </c>
      <c r="J150" s="1" t="s">
        <v>48</v>
      </c>
      <c r="K150" s="1">
        <v>80</v>
      </c>
      <c r="L150" s="1">
        <v>0</v>
      </c>
      <c r="M150" s="1">
        <v>0</v>
      </c>
      <c r="N150" s="1">
        <v>80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 t="s">
        <v>49</v>
      </c>
      <c r="AA150" s="1" t="s">
        <v>49</v>
      </c>
      <c r="AB150" s="1" t="s">
        <v>49</v>
      </c>
      <c r="AC150" s="1" t="s">
        <v>213</v>
      </c>
      <c r="AD150" s="1" t="s">
        <v>214</v>
      </c>
      <c r="AE150" s="1" t="s">
        <v>215</v>
      </c>
      <c r="AF150" s="1" t="s">
        <v>216</v>
      </c>
      <c r="AG150" s="1" t="s">
        <v>53</v>
      </c>
      <c r="AH150" s="1" t="s">
        <v>49</v>
      </c>
      <c r="AI150" s="1" t="s">
        <v>54</v>
      </c>
      <c r="AJ150" s="1">
        <v>1</v>
      </c>
      <c r="AK150" s="1" t="str">
        <f t="shared" si="2"/>
        <v xml:space="preserve"> =&lt;90</v>
      </c>
      <c r="AL150" s="1" t="str">
        <f>VLOOKUP(C:C,[1]基础信息!B$1:D$65536,3,0)</f>
        <v>Jug</v>
      </c>
      <c r="AM150" s="1" t="str">
        <f>VLOOKUP(C:C,[1]基础信息!B$1:E$65536,4,0)</f>
        <v>MXpl</v>
      </c>
      <c r="AN150" s="1" t="str">
        <f>VLOOKUP(C:C,[1]基础信息!B$1:F$65536,5,0)</f>
        <v>grey</v>
      </c>
    </row>
    <row r="151" spans="1:40">
      <c r="A151" s="1" t="s">
        <v>41</v>
      </c>
      <c r="B151" s="1" t="s">
        <v>42</v>
      </c>
      <c r="C151" s="1" t="s">
        <v>208</v>
      </c>
      <c r="D151" s="1" t="s">
        <v>209</v>
      </c>
      <c r="E151" s="1" t="s">
        <v>208</v>
      </c>
      <c r="F151" s="1" t="s">
        <v>210</v>
      </c>
      <c r="G151" s="1" t="s">
        <v>500</v>
      </c>
      <c r="H151" s="1" t="s">
        <v>501</v>
      </c>
      <c r="I151" s="1" t="s">
        <v>49</v>
      </c>
      <c r="J151" s="1" t="s">
        <v>48</v>
      </c>
      <c r="K151" s="1">
        <v>80</v>
      </c>
      <c r="L151" s="1">
        <v>0</v>
      </c>
      <c r="M151" s="1">
        <v>0</v>
      </c>
      <c r="N151" s="1">
        <v>80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 t="s">
        <v>49</v>
      </c>
      <c r="AA151" s="1" t="s">
        <v>49</v>
      </c>
      <c r="AB151" s="1" t="s">
        <v>49</v>
      </c>
      <c r="AC151" s="1" t="s">
        <v>213</v>
      </c>
      <c r="AD151" s="1" t="s">
        <v>214</v>
      </c>
      <c r="AE151" s="1" t="s">
        <v>215</v>
      </c>
      <c r="AF151" s="1" t="s">
        <v>216</v>
      </c>
      <c r="AG151" s="1" t="s">
        <v>53</v>
      </c>
      <c r="AH151" s="1" t="s">
        <v>49</v>
      </c>
      <c r="AI151" s="1" t="s">
        <v>54</v>
      </c>
      <c r="AJ151" s="1">
        <v>1</v>
      </c>
      <c r="AK151" s="1" t="str">
        <f t="shared" si="2"/>
        <v xml:space="preserve"> =&lt;90</v>
      </c>
      <c r="AL151" s="1" t="str">
        <f>VLOOKUP(C:C,[1]基础信息!B$1:D$65536,3,0)</f>
        <v>Jug</v>
      </c>
      <c r="AM151" s="1" t="str">
        <f>VLOOKUP(C:C,[1]基础信息!B$1:E$65536,4,0)</f>
        <v>MXpl</v>
      </c>
      <c r="AN151" s="1" t="str">
        <f>VLOOKUP(C:C,[1]基础信息!B$1:F$65536,5,0)</f>
        <v>grey</v>
      </c>
    </row>
    <row r="152" spans="1:40">
      <c r="A152" s="1" t="s">
        <v>41</v>
      </c>
      <c r="B152" s="1" t="s">
        <v>42</v>
      </c>
      <c r="C152" s="1" t="s">
        <v>502</v>
      </c>
      <c r="D152" s="1" t="s">
        <v>503</v>
      </c>
      <c r="E152" s="1" t="s">
        <v>502</v>
      </c>
      <c r="F152" s="1" t="s">
        <v>504</v>
      </c>
      <c r="G152" s="1" t="s">
        <v>505</v>
      </c>
      <c r="H152" s="1" t="s">
        <v>506</v>
      </c>
      <c r="I152" s="1" t="s">
        <v>49</v>
      </c>
      <c r="J152" s="1" t="s">
        <v>48</v>
      </c>
      <c r="K152" s="1">
        <v>96</v>
      </c>
      <c r="L152" s="1">
        <v>0</v>
      </c>
      <c r="M152" s="1">
        <v>0</v>
      </c>
      <c r="N152" s="1">
        <v>96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 t="s">
        <v>49</v>
      </c>
      <c r="AA152" s="1" t="s">
        <v>49</v>
      </c>
      <c r="AB152" s="1" t="s">
        <v>49</v>
      </c>
      <c r="AC152" s="1" t="s">
        <v>507</v>
      </c>
      <c r="AD152" s="1" t="s">
        <v>508</v>
      </c>
      <c r="AE152" s="1" t="s">
        <v>507</v>
      </c>
      <c r="AF152" s="1" t="s">
        <v>509</v>
      </c>
      <c r="AG152" s="1" t="s">
        <v>338</v>
      </c>
      <c r="AH152" s="1" t="s">
        <v>49</v>
      </c>
      <c r="AI152" s="1" t="s">
        <v>54</v>
      </c>
      <c r="AJ152" s="1">
        <v>1</v>
      </c>
      <c r="AK152" s="1" t="str">
        <f t="shared" si="2"/>
        <v xml:space="preserve"> =&lt;90</v>
      </c>
      <c r="AL152" s="1" t="str">
        <f>VLOOKUP(C:C,[1]基础信息!B$1:D$65536,3,0)</f>
        <v>Jug</v>
      </c>
      <c r="AM152" s="1" t="str">
        <f>VLOOKUP(C:C,[1]基础信息!B$1:E$65536,4,0)</f>
        <v>Marella XL</v>
      </c>
      <c r="AN152" s="1" t="str">
        <f>VLOOKUP(C:C,[1]基础信息!B$1:F$65536,5,0)</f>
        <v>Blue</v>
      </c>
    </row>
    <row r="153" spans="1:40">
      <c r="A153" s="1" t="s">
        <v>41</v>
      </c>
      <c r="B153" s="1" t="s">
        <v>42</v>
      </c>
      <c r="C153" s="1" t="s">
        <v>502</v>
      </c>
      <c r="D153" s="1" t="s">
        <v>503</v>
      </c>
      <c r="E153" s="1" t="s">
        <v>502</v>
      </c>
      <c r="F153" s="1" t="s">
        <v>504</v>
      </c>
      <c r="G153" s="1" t="s">
        <v>510</v>
      </c>
      <c r="H153" s="1" t="s">
        <v>511</v>
      </c>
      <c r="I153" s="1" t="s">
        <v>49</v>
      </c>
      <c r="J153" s="1" t="s">
        <v>48</v>
      </c>
      <c r="K153" s="1">
        <v>96</v>
      </c>
      <c r="L153" s="1">
        <v>0</v>
      </c>
      <c r="M153" s="1">
        <v>0</v>
      </c>
      <c r="N153" s="1">
        <v>96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 t="s">
        <v>49</v>
      </c>
      <c r="AA153" s="1" t="s">
        <v>49</v>
      </c>
      <c r="AB153" s="1" t="s">
        <v>49</v>
      </c>
      <c r="AC153" s="1" t="s">
        <v>507</v>
      </c>
      <c r="AD153" s="1" t="s">
        <v>508</v>
      </c>
      <c r="AE153" s="1" t="s">
        <v>507</v>
      </c>
      <c r="AF153" s="1" t="s">
        <v>509</v>
      </c>
      <c r="AG153" s="1" t="s">
        <v>338</v>
      </c>
      <c r="AH153" s="1" t="s">
        <v>49</v>
      </c>
      <c r="AI153" s="1" t="s">
        <v>54</v>
      </c>
      <c r="AJ153" s="1">
        <v>1</v>
      </c>
      <c r="AK153" s="1" t="str">
        <f t="shared" si="2"/>
        <v xml:space="preserve"> =&lt;90</v>
      </c>
      <c r="AL153" s="1" t="str">
        <f>VLOOKUP(C:C,[1]基础信息!B$1:D$65536,3,0)</f>
        <v>Jug</v>
      </c>
      <c r="AM153" s="1" t="str">
        <f>VLOOKUP(C:C,[1]基础信息!B$1:E$65536,4,0)</f>
        <v>Marella XL</v>
      </c>
      <c r="AN153" s="1" t="str">
        <f>VLOOKUP(C:C,[1]基础信息!B$1:F$65536,5,0)</f>
        <v>Blue</v>
      </c>
    </row>
    <row r="154" spans="1:40">
      <c r="A154" s="1" t="s">
        <v>41</v>
      </c>
      <c r="B154" s="1" t="s">
        <v>42</v>
      </c>
      <c r="C154" s="1" t="s">
        <v>502</v>
      </c>
      <c r="D154" s="1" t="s">
        <v>503</v>
      </c>
      <c r="E154" s="1" t="s">
        <v>502</v>
      </c>
      <c r="F154" s="1" t="s">
        <v>504</v>
      </c>
      <c r="G154" s="1" t="s">
        <v>512</v>
      </c>
      <c r="H154" s="1" t="s">
        <v>513</v>
      </c>
      <c r="I154" s="1" t="s">
        <v>49</v>
      </c>
      <c r="J154" s="1" t="s">
        <v>48</v>
      </c>
      <c r="K154" s="1">
        <v>96</v>
      </c>
      <c r="L154" s="1">
        <v>0</v>
      </c>
      <c r="M154" s="1">
        <v>0</v>
      </c>
      <c r="N154" s="1">
        <v>96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 t="s">
        <v>49</v>
      </c>
      <c r="AA154" s="1" t="s">
        <v>49</v>
      </c>
      <c r="AB154" s="1" t="s">
        <v>49</v>
      </c>
      <c r="AC154" s="1" t="s">
        <v>507</v>
      </c>
      <c r="AD154" s="1" t="s">
        <v>508</v>
      </c>
      <c r="AE154" s="1" t="s">
        <v>507</v>
      </c>
      <c r="AF154" s="1" t="s">
        <v>509</v>
      </c>
      <c r="AG154" s="1" t="s">
        <v>338</v>
      </c>
      <c r="AH154" s="1" t="s">
        <v>49</v>
      </c>
      <c r="AI154" s="1" t="s">
        <v>54</v>
      </c>
      <c r="AJ154" s="1">
        <v>1</v>
      </c>
      <c r="AK154" s="1" t="str">
        <f t="shared" si="2"/>
        <v xml:space="preserve"> =&lt;90</v>
      </c>
      <c r="AL154" s="1" t="str">
        <f>VLOOKUP(C:C,[1]基础信息!B$1:D$65536,3,0)</f>
        <v>Jug</v>
      </c>
      <c r="AM154" s="1" t="str">
        <f>VLOOKUP(C:C,[1]基础信息!B$1:E$65536,4,0)</f>
        <v>Marella XL</v>
      </c>
      <c r="AN154" s="1" t="str">
        <f>VLOOKUP(C:C,[1]基础信息!B$1:F$65536,5,0)</f>
        <v>Blue</v>
      </c>
    </row>
    <row r="155" spans="1:40">
      <c r="A155" s="1" t="s">
        <v>41</v>
      </c>
      <c r="B155" s="1" t="s">
        <v>42</v>
      </c>
      <c r="C155" s="1" t="s">
        <v>502</v>
      </c>
      <c r="D155" s="1" t="s">
        <v>503</v>
      </c>
      <c r="E155" s="1" t="s">
        <v>502</v>
      </c>
      <c r="F155" s="1" t="s">
        <v>504</v>
      </c>
      <c r="G155" s="1" t="s">
        <v>514</v>
      </c>
      <c r="H155" s="1" t="s">
        <v>515</v>
      </c>
      <c r="I155" s="1" t="s">
        <v>49</v>
      </c>
      <c r="J155" s="1" t="s">
        <v>48</v>
      </c>
      <c r="K155" s="1">
        <v>96</v>
      </c>
      <c r="L155" s="1">
        <v>0</v>
      </c>
      <c r="M155" s="1">
        <v>0</v>
      </c>
      <c r="N155" s="1">
        <v>96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 t="s">
        <v>49</v>
      </c>
      <c r="AA155" s="1" t="s">
        <v>49</v>
      </c>
      <c r="AB155" s="1" t="s">
        <v>49</v>
      </c>
      <c r="AC155" s="1" t="s">
        <v>507</v>
      </c>
      <c r="AD155" s="1" t="s">
        <v>508</v>
      </c>
      <c r="AE155" s="1" t="s">
        <v>507</v>
      </c>
      <c r="AF155" s="1" t="s">
        <v>509</v>
      </c>
      <c r="AG155" s="1" t="s">
        <v>338</v>
      </c>
      <c r="AH155" s="1" t="s">
        <v>49</v>
      </c>
      <c r="AI155" s="1" t="s">
        <v>54</v>
      </c>
      <c r="AJ155" s="1">
        <v>1</v>
      </c>
      <c r="AK155" s="1" t="str">
        <f t="shared" si="2"/>
        <v xml:space="preserve"> =&lt;90</v>
      </c>
      <c r="AL155" s="1" t="str">
        <f>VLOOKUP(C:C,[1]基础信息!B$1:D$65536,3,0)</f>
        <v>Jug</v>
      </c>
      <c r="AM155" s="1" t="str">
        <f>VLOOKUP(C:C,[1]基础信息!B$1:E$65536,4,0)</f>
        <v>Marella XL</v>
      </c>
      <c r="AN155" s="1" t="str">
        <f>VLOOKUP(C:C,[1]基础信息!B$1:F$65536,5,0)</f>
        <v>Blue</v>
      </c>
    </row>
    <row r="156" spans="1:40">
      <c r="A156" s="1" t="s">
        <v>41</v>
      </c>
      <c r="B156" s="1" t="s">
        <v>42</v>
      </c>
      <c r="C156" s="1" t="s">
        <v>502</v>
      </c>
      <c r="D156" s="1" t="s">
        <v>503</v>
      </c>
      <c r="E156" s="1" t="s">
        <v>502</v>
      </c>
      <c r="F156" s="1" t="s">
        <v>504</v>
      </c>
      <c r="G156" s="1" t="s">
        <v>516</v>
      </c>
      <c r="H156" s="1" t="s">
        <v>517</v>
      </c>
      <c r="I156" s="1" t="s">
        <v>49</v>
      </c>
      <c r="J156" s="1" t="s">
        <v>48</v>
      </c>
      <c r="K156" s="1">
        <v>96</v>
      </c>
      <c r="L156" s="1">
        <v>0</v>
      </c>
      <c r="M156" s="1">
        <v>0</v>
      </c>
      <c r="N156" s="1">
        <v>96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 t="s">
        <v>49</v>
      </c>
      <c r="AA156" s="1" t="s">
        <v>49</v>
      </c>
      <c r="AB156" s="1" t="s">
        <v>49</v>
      </c>
      <c r="AC156" s="1" t="s">
        <v>507</v>
      </c>
      <c r="AD156" s="1" t="s">
        <v>508</v>
      </c>
      <c r="AE156" s="1" t="s">
        <v>507</v>
      </c>
      <c r="AF156" s="1" t="s">
        <v>509</v>
      </c>
      <c r="AG156" s="1" t="s">
        <v>338</v>
      </c>
      <c r="AH156" s="1" t="s">
        <v>49</v>
      </c>
      <c r="AI156" s="1" t="s">
        <v>54</v>
      </c>
      <c r="AJ156" s="1">
        <v>1</v>
      </c>
      <c r="AK156" s="1" t="str">
        <f t="shared" si="2"/>
        <v xml:space="preserve"> =&lt;90</v>
      </c>
      <c r="AL156" s="1" t="str">
        <f>VLOOKUP(C:C,[1]基础信息!B$1:D$65536,3,0)</f>
        <v>Jug</v>
      </c>
      <c r="AM156" s="1" t="str">
        <f>VLOOKUP(C:C,[1]基础信息!B$1:E$65536,4,0)</f>
        <v>Marella XL</v>
      </c>
      <c r="AN156" s="1" t="str">
        <f>VLOOKUP(C:C,[1]基础信息!B$1:F$65536,5,0)</f>
        <v>Blue</v>
      </c>
    </row>
    <row r="157" spans="1:40">
      <c r="A157" s="1" t="s">
        <v>41</v>
      </c>
      <c r="B157" s="1" t="s">
        <v>42</v>
      </c>
      <c r="C157" s="1" t="s">
        <v>104</v>
      </c>
      <c r="D157" s="1" t="s">
        <v>105</v>
      </c>
      <c r="E157" s="1" t="s">
        <v>104</v>
      </c>
      <c r="F157" s="1" t="s">
        <v>125</v>
      </c>
      <c r="G157" s="1" t="s">
        <v>518</v>
      </c>
      <c r="H157" s="1" t="s">
        <v>519</v>
      </c>
      <c r="I157" s="1" t="s">
        <v>49</v>
      </c>
      <c r="J157" s="1" t="s">
        <v>48</v>
      </c>
      <c r="K157" s="1">
        <v>96</v>
      </c>
      <c r="L157" s="1">
        <v>0</v>
      </c>
      <c r="M157" s="1">
        <v>0</v>
      </c>
      <c r="N157" s="1">
        <v>96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 t="s">
        <v>49</v>
      </c>
      <c r="AA157" s="1" t="s">
        <v>49</v>
      </c>
      <c r="AB157" s="1" t="s">
        <v>49</v>
      </c>
      <c r="AC157" s="1" t="s">
        <v>128</v>
      </c>
      <c r="AD157" s="1" t="s">
        <v>129</v>
      </c>
      <c r="AE157" s="1" t="s">
        <v>128</v>
      </c>
      <c r="AF157" s="1" t="s">
        <v>130</v>
      </c>
      <c r="AG157" s="1" t="s">
        <v>53</v>
      </c>
      <c r="AH157" s="1" t="s">
        <v>49</v>
      </c>
      <c r="AI157" s="1" t="s">
        <v>54</v>
      </c>
      <c r="AJ157" s="1">
        <v>1</v>
      </c>
      <c r="AK157" s="1" t="str">
        <f t="shared" si="2"/>
        <v xml:space="preserve"> =&lt;90</v>
      </c>
      <c r="AL157" s="1" t="str">
        <f>VLOOKUP(C:C,[1]基础信息!B$1:D$65536,3,0)</f>
        <v>Jug</v>
      </c>
      <c r="AM157" s="1" t="str">
        <f>VLOOKUP(C:C,[1]基础信息!B$1:E$65536,4,0)</f>
        <v>Marella XL</v>
      </c>
      <c r="AN157" s="1" t="str">
        <f>VLOOKUP(C:C,[1]基础信息!B$1:F$65536,5,0)</f>
        <v>Blue</v>
      </c>
    </row>
    <row r="158" spans="1:40">
      <c r="A158" s="1" t="s">
        <v>41</v>
      </c>
      <c r="B158" s="1" t="s">
        <v>42</v>
      </c>
      <c r="C158" s="1" t="s">
        <v>104</v>
      </c>
      <c r="D158" s="1" t="s">
        <v>105</v>
      </c>
      <c r="E158" s="1" t="s">
        <v>104</v>
      </c>
      <c r="F158" s="1" t="s">
        <v>125</v>
      </c>
      <c r="G158" s="1" t="s">
        <v>520</v>
      </c>
      <c r="H158" s="1" t="s">
        <v>521</v>
      </c>
      <c r="I158" s="1" t="s">
        <v>49</v>
      </c>
      <c r="J158" s="1" t="s">
        <v>48</v>
      </c>
      <c r="K158" s="1">
        <v>96</v>
      </c>
      <c r="L158" s="1">
        <v>0</v>
      </c>
      <c r="M158" s="1">
        <v>0</v>
      </c>
      <c r="N158" s="1">
        <v>96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 t="s">
        <v>49</v>
      </c>
      <c r="AA158" s="1" t="s">
        <v>49</v>
      </c>
      <c r="AB158" s="1" t="s">
        <v>49</v>
      </c>
      <c r="AC158" s="1" t="s">
        <v>128</v>
      </c>
      <c r="AD158" s="1" t="s">
        <v>129</v>
      </c>
      <c r="AE158" s="1" t="s">
        <v>128</v>
      </c>
      <c r="AF158" s="1" t="s">
        <v>130</v>
      </c>
      <c r="AG158" s="1" t="s">
        <v>53</v>
      </c>
      <c r="AH158" s="1" t="s">
        <v>49</v>
      </c>
      <c r="AI158" s="1" t="s">
        <v>54</v>
      </c>
      <c r="AJ158" s="1">
        <v>1</v>
      </c>
      <c r="AK158" s="1" t="str">
        <f t="shared" si="2"/>
        <v xml:space="preserve"> =&lt;90</v>
      </c>
      <c r="AL158" s="1" t="str">
        <f>VLOOKUP(C:C,[1]基础信息!B$1:D$65536,3,0)</f>
        <v>Jug</v>
      </c>
      <c r="AM158" s="1" t="str">
        <f>VLOOKUP(C:C,[1]基础信息!B$1:E$65536,4,0)</f>
        <v>Marella XL</v>
      </c>
      <c r="AN158" s="1" t="str">
        <f>VLOOKUP(C:C,[1]基础信息!B$1:F$65536,5,0)</f>
        <v>Blue</v>
      </c>
    </row>
    <row r="159" spans="1:40">
      <c r="A159" s="1" t="s">
        <v>41</v>
      </c>
      <c r="B159" s="1" t="s">
        <v>42</v>
      </c>
      <c r="C159" s="1" t="s">
        <v>522</v>
      </c>
      <c r="D159" s="1" t="s">
        <v>523</v>
      </c>
      <c r="E159" s="1" t="s">
        <v>45</v>
      </c>
      <c r="F159" s="1" t="s">
        <v>524</v>
      </c>
      <c r="G159" s="1" t="s">
        <v>525</v>
      </c>
      <c r="H159" s="1" t="s">
        <v>526</v>
      </c>
      <c r="I159" s="1" t="s">
        <v>49</v>
      </c>
      <c r="J159" s="1" t="s">
        <v>48</v>
      </c>
      <c r="K159" s="1">
        <v>72</v>
      </c>
      <c r="L159" s="1">
        <v>0</v>
      </c>
      <c r="M159" s="1">
        <v>0</v>
      </c>
      <c r="N159" s="1">
        <v>72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 t="s">
        <v>49</v>
      </c>
      <c r="AA159" s="1" t="s">
        <v>49</v>
      </c>
      <c r="AB159" s="1" t="s">
        <v>49</v>
      </c>
      <c r="AC159" s="1" t="s">
        <v>144</v>
      </c>
      <c r="AD159" s="1" t="s">
        <v>145</v>
      </c>
      <c r="AE159" s="1" t="s">
        <v>144</v>
      </c>
      <c r="AF159" s="1" t="s">
        <v>527</v>
      </c>
      <c r="AG159" s="1" t="s">
        <v>53</v>
      </c>
      <c r="AH159" s="1" t="s">
        <v>49</v>
      </c>
      <c r="AI159" s="1" t="s">
        <v>54</v>
      </c>
      <c r="AJ159" s="1">
        <v>1</v>
      </c>
      <c r="AK159" s="1" t="str">
        <f t="shared" si="2"/>
        <v xml:space="preserve"> =&lt;90</v>
      </c>
      <c r="AL159" s="1" t="str">
        <f>VLOOKUP(C:C,[1]基础信息!B$1:D$65536,3,0)</f>
        <v>UTS</v>
      </c>
      <c r="AM159" s="1" t="str">
        <f>VLOOKUP(C:C,[1]基础信息!B$1:E$65536,4,0)</f>
        <v>MyPure Pro</v>
      </c>
      <c r="AN159" s="1" t="str">
        <f>VLOOKUP(C:C,[1]基础信息!B$1:F$65536,5,0)</f>
        <v>Refill</v>
      </c>
    </row>
    <row r="160" spans="1:40">
      <c r="A160" s="1" t="s">
        <v>41</v>
      </c>
      <c r="B160" s="1" t="s">
        <v>42</v>
      </c>
      <c r="C160" s="1" t="s">
        <v>83</v>
      </c>
      <c r="D160" s="1" t="s">
        <v>84</v>
      </c>
      <c r="E160" s="1" t="s">
        <v>45</v>
      </c>
      <c r="F160" s="1" t="s">
        <v>467</v>
      </c>
      <c r="G160" s="1" t="s">
        <v>528</v>
      </c>
      <c r="H160" s="1" t="s">
        <v>529</v>
      </c>
      <c r="I160" s="1" t="s">
        <v>49</v>
      </c>
      <c r="J160" s="1" t="s">
        <v>48</v>
      </c>
      <c r="K160" s="1">
        <v>96</v>
      </c>
      <c r="L160" s="1">
        <v>0</v>
      </c>
      <c r="M160" s="1">
        <v>0</v>
      </c>
      <c r="N160" s="1">
        <v>96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 t="s">
        <v>49</v>
      </c>
      <c r="AA160" s="1" t="s">
        <v>49</v>
      </c>
      <c r="AB160" s="1" t="s">
        <v>49</v>
      </c>
      <c r="AC160" s="1" t="s">
        <v>470</v>
      </c>
      <c r="AD160" s="1" t="s">
        <v>471</v>
      </c>
      <c r="AE160" s="1" t="s">
        <v>470</v>
      </c>
      <c r="AF160" s="1" t="s">
        <v>472</v>
      </c>
      <c r="AG160" s="1" t="s">
        <v>53</v>
      </c>
      <c r="AH160" s="1" t="s">
        <v>49</v>
      </c>
      <c r="AI160" s="1" t="s">
        <v>54</v>
      </c>
      <c r="AJ160" s="1">
        <v>1</v>
      </c>
      <c r="AK160" s="1" t="str">
        <f t="shared" si="2"/>
        <v xml:space="preserve"> =&lt;90</v>
      </c>
      <c r="AL160" s="1" t="str">
        <f>VLOOKUP(C:C,[1]基础信息!B$1:D$65536,3,0)</f>
        <v>Jug</v>
      </c>
      <c r="AM160" s="1" t="str">
        <f>VLOOKUP(C:C,[1]基础信息!B$1:E$65536,4,0)</f>
        <v>Mxplus</v>
      </c>
      <c r="AN160" s="1" t="str">
        <f>VLOOKUP(C:C,[1]基础信息!B$1:F$65536,5,0)</f>
        <v>Blue</v>
      </c>
    </row>
    <row r="161" spans="1:40">
      <c r="A161" s="1" t="s">
        <v>41</v>
      </c>
      <c r="B161" s="1" t="s">
        <v>42</v>
      </c>
      <c r="C161" s="1" t="s">
        <v>162</v>
      </c>
      <c r="D161" s="1" t="s">
        <v>163</v>
      </c>
      <c r="E161" s="1" t="s">
        <v>45</v>
      </c>
      <c r="F161" s="1" t="s">
        <v>164</v>
      </c>
      <c r="G161" s="1" t="s">
        <v>530</v>
      </c>
      <c r="H161" s="1" t="s">
        <v>531</v>
      </c>
      <c r="I161" s="1" t="s">
        <v>49</v>
      </c>
      <c r="J161" s="1" t="s">
        <v>48</v>
      </c>
      <c r="K161" s="1">
        <v>60</v>
      </c>
      <c r="L161" s="1">
        <v>0</v>
      </c>
      <c r="M161" s="1">
        <v>0</v>
      </c>
      <c r="N161" s="1">
        <v>60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 t="s">
        <v>49</v>
      </c>
      <c r="AA161" s="1" t="s">
        <v>49</v>
      </c>
      <c r="AB161" s="1" t="s">
        <v>49</v>
      </c>
      <c r="AC161" s="1" t="s">
        <v>167</v>
      </c>
      <c r="AD161" s="1" t="s">
        <v>168</v>
      </c>
      <c r="AE161" s="1" t="s">
        <v>169</v>
      </c>
      <c r="AF161" s="1" t="s">
        <v>170</v>
      </c>
      <c r="AG161" s="1" t="s">
        <v>53</v>
      </c>
      <c r="AH161" s="1" t="s">
        <v>49</v>
      </c>
      <c r="AI161" s="1" t="s">
        <v>54</v>
      </c>
      <c r="AJ161" s="1">
        <v>1</v>
      </c>
      <c r="AK161" s="1" t="str">
        <f t="shared" si="2"/>
        <v xml:space="preserve"> =&lt;90</v>
      </c>
      <c r="AL161" s="1" t="str">
        <f>VLOOKUP(C:C,[1]基础信息!B$1:D$65536,3,0)</f>
        <v>Jug</v>
      </c>
      <c r="AM161" s="1" t="str">
        <f>VLOOKUP(C:C,[1]基础信息!B$1:E$65536,4,0)</f>
        <v>Style</v>
      </c>
      <c r="AN161" s="1" t="str">
        <f>VLOOKUP(C:C,[1]基础信息!B$1:F$65536,5,0)</f>
        <v>Blue</v>
      </c>
    </row>
    <row r="162" spans="1:40">
      <c r="A162" s="1" t="s">
        <v>41</v>
      </c>
      <c r="B162" s="1" t="s">
        <v>42</v>
      </c>
      <c r="C162" s="1" t="s">
        <v>162</v>
      </c>
      <c r="D162" s="1" t="s">
        <v>163</v>
      </c>
      <c r="E162" s="1" t="s">
        <v>45</v>
      </c>
      <c r="F162" s="1" t="s">
        <v>164</v>
      </c>
      <c r="G162" s="1" t="s">
        <v>532</v>
      </c>
      <c r="H162" s="1" t="s">
        <v>533</v>
      </c>
      <c r="I162" s="1" t="s">
        <v>49</v>
      </c>
      <c r="J162" s="1" t="s">
        <v>48</v>
      </c>
      <c r="K162" s="1">
        <v>60</v>
      </c>
      <c r="L162" s="1">
        <v>0</v>
      </c>
      <c r="M162" s="1">
        <v>0</v>
      </c>
      <c r="N162" s="1">
        <v>60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 t="s">
        <v>49</v>
      </c>
      <c r="AA162" s="1" t="s">
        <v>49</v>
      </c>
      <c r="AB162" s="1" t="s">
        <v>49</v>
      </c>
      <c r="AC162" s="1" t="s">
        <v>167</v>
      </c>
      <c r="AD162" s="1" t="s">
        <v>168</v>
      </c>
      <c r="AE162" s="1" t="s">
        <v>169</v>
      </c>
      <c r="AF162" s="1" t="s">
        <v>170</v>
      </c>
      <c r="AG162" s="1" t="s">
        <v>53</v>
      </c>
      <c r="AH162" s="1" t="s">
        <v>49</v>
      </c>
      <c r="AI162" s="1" t="s">
        <v>54</v>
      </c>
      <c r="AJ162" s="1">
        <v>1</v>
      </c>
      <c r="AK162" s="1" t="str">
        <f t="shared" si="2"/>
        <v xml:space="preserve"> =&lt;90</v>
      </c>
      <c r="AL162" s="1" t="str">
        <f>VLOOKUP(C:C,[1]基础信息!B$1:D$65536,3,0)</f>
        <v>Jug</v>
      </c>
      <c r="AM162" s="1" t="str">
        <f>VLOOKUP(C:C,[1]基础信息!B$1:E$65536,4,0)</f>
        <v>Style</v>
      </c>
      <c r="AN162" s="1" t="str">
        <f>VLOOKUP(C:C,[1]基础信息!B$1:F$65536,5,0)</f>
        <v>Blue</v>
      </c>
    </row>
    <row r="163" spans="1:40">
      <c r="A163" s="1" t="s">
        <v>41</v>
      </c>
      <c r="B163" s="1" t="s">
        <v>42</v>
      </c>
      <c r="C163" s="1" t="s">
        <v>162</v>
      </c>
      <c r="D163" s="1" t="s">
        <v>163</v>
      </c>
      <c r="E163" s="1" t="s">
        <v>45</v>
      </c>
      <c r="F163" s="1" t="s">
        <v>164</v>
      </c>
      <c r="G163" s="1" t="s">
        <v>534</v>
      </c>
      <c r="H163" s="1" t="s">
        <v>535</v>
      </c>
      <c r="I163" s="1" t="s">
        <v>49</v>
      </c>
      <c r="J163" s="1" t="s">
        <v>48</v>
      </c>
      <c r="K163" s="1">
        <v>60</v>
      </c>
      <c r="L163" s="1">
        <v>0</v>
      </c>
      <c r="M163" s="1">
        <v>0</v>
      </c>
      <c r="N163" s="1">
        <v>60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 t="s">
        <v>49</v>
      </c>
      <c r="AA163" s="1" t="s">
        <v>49</v>
      </c>
      <c r="AB163" s="1" t="s">
        <v>49</v>
      </c>
      <c r="AC163" s="1" t="s">
        <v>167</v>
      </c>
      <c r="AD163" s="1" t="s">
        <v>168</v>
      </c>
      <c r="AE163" s="1" t="s">
        <v>169</v>
      </c>
      <c r="AF163" s="1" t="s">
        <v>170</v>
      </c>
      <c r="AG163" s="1" t="s">
        <v>53</v>
      </c>
      <c r="AH163" s="1" t="s">
        <v>49</v>
      </c>
      <c r="AI163" s="1" t="s">
        <v>54</v>
      </c>
      <c r="AJ163" s="1">
        <v>1</v>
      </c>
      <c r="AK163" s="1" t="str">
        <f t="shared" si="2"/>
        <v xml:space="preserve"> =&lt;90</v>
      </c>
      <c r="AL163" s="1" t="str">
        <f>VLOOKUP(C:C,[1]基础信息!B$1:D$65536,3,0)</f>
        <v>Jug</v>
      </c>
      <c r="AM163" s="1" t="str">
        <f>VLOOKUP(C:C,[1]基础信息!B$1:E$65536,4,0)</f>
        <v>Style</v>
      </c>
      <c r="AN163" s="1" t="str">
        <f>VLOOKUP(C:C,[1]基础信息!B$1:F$65536,5,0)</f>
        <v>Blue</v>
      </c>
    </row>
    <row r="164" spans="1:40">
      <c r="A164" s="1" t="s">
        <v>41</v>
      </c>
      <c r="B164" s="1" t="s">
        <v>42</v>
      </c>
      <c r="C164" s="1" t="s">
        <v>104</v>
      </c>
      <c r="D164" s="1" t="s">
        <v>105</v>
      </c>
      <c r="E164" s="1" t="s">
        <v>104</v>
      </c>
      <c r="F164" s="1" t="s">
        <v>265</v>
      </c>
      <c r="G164" s="1" t="s">
        <v>536</v>
      </c>
      <c r="H164" s="1" t="s">
        <v>537</v>
      </c>
      <c r="I164" s="1" t="s">
        <v>49</v>
      </c>
      <c r="J164" s="1" t="s">
        <v>48</v>
      </c>
      <c r="K164" s="1">
        <v>96</v>
      </c>
      <c r="L164" s="1">
        <v>0</v>
      </c>
      <c r="M164" s="1">
        <v>0</v>
      </c>
      <c r="N164" s="1">
        <v>96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 t="s">
        <v>49</v>
      </c>
      <c r="AA164" s="1" t="s">
        <v>49</v>
      </c>
      <c r="AB164" s="1" t="s">
        <v>49</v>
      </c>
      <c r="AC164" s="1" t="s">
        <v>154</v>
      </c>
      <c r="AD164" s="1" t="s">
        <v>155</v>
      </c>
      <c r="AE164" s="1" t="s">
        <v>154</v>
      </c>
      <c r="AF164" s="1" t="s">
        <v>268</v>
      </c>
      <c r="AG164" s="1" t="s">
        <v>53</v>
      </c>
      <c r="AH164" s="1" t="s">
        <v>49</v>
      </c>
      <c r="AI164" s="1" t="s">
        <v>54</v>
      </c>
      <c r="AJ164" s="1">
        <v>1</v>
      </c>
      <c r="AK164" s="1" t="str">
        <f t="shared" si="2"/>
        <v xml:space="preserve"> =&lt;90</v>
      </c>
      <c r="AL164" s="1" t="str">
        <f>VLOOKUP(C:C,[1]基础信息!B$1:D$65536,3,0)</f>
        <v>Jug</v>
      </c>
      <c r="AM164" s="1" t="str">
        <f>VLOOKUP(C:C,[1]基础信息!B$1:E$65536,4,0)</f>
        <v>Marella XL</v>
      </c>
      <c r="AN164" s="1" t="str">
        <f>VLOOKUP(C:C,[1]基础信息!B$1:F$65536,5,0)</f>
        <v>Blue</v>
      </c>
    </row>
    <row r="165" spans="1:40">
      <c r="A165" s="1" t="s">
        <v>41</v>
      </c>
      <c r="B165" s="1" t="s">
        <v>42</v>
      </c>
      <c r="C165" s="1" t="s">
        <v>162</v>
      </c>
      <c r="D165" s="1" t="s">
        <v>163</v>
      </c>
      <c r="E165" s="1" t="s">
        <v>45</v>
      </c>
      <c r="F165" s="1" t="s">
        <v>164</v>
      </c>
      <c r="G165" s="1" t="s">
        <v>538</v>
      </c>
      <c r="H165" s="1" t="s">
        <v>539</v>
      </c>
      <c r="I165" s="1" t="s">
        <v>49</v>
      </c>
      <c r="J165" s="1" t="s">
        <v>48</v>
      </c>
      <c r="K165" s="1">
        <v>60</v>
      </c>
      <c r="L165" s="1">
        <v>0</v>
      </c>
      <c r="M165" s="1">
        <v>0</v>
      </c>
      <c r="N165" s="1">
        <v>60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 t="s">
        <v>49</v>
      </c>
      <c r="AA165" s="1" t="s">
        <v>49</v>
      </c>
      <c r="AB165" s="1" t="s">
        <v>49</v>
      </c>
      <c r="AC165" s="1" t="s">
        <v>167</v>
      </c>
      <c r="AD165" s="1" t="s">
        <v>168</v>
      </c>
      <c r="AE165" s="1" t="s">
        <v>169</v>
      </c>
      <c r="AF165" s="1" t="s">
        <v>170</v>
      </c>
      <c r="AG165" s="1" t="s">
        <v>53</v>
      </c>
      <c r="AH165" s="1" t="s">
        <v>49</v>
      </c>
      <c r="AI165" s="1" t="s">
        <v>54</v>
      </c>
      <c r="AJ165" s="1">
        <v>1</v>
      </c>
      <c r="AK165" s="1" t="str">
        <f t="shared" si="2"/>
        <v xml:space="preserve"> =&lt;90</v>
      </c>
      <c r="AL165" s="1" t="str">
        <f>VLOOKUP(C:C,[1]基础信息!B$1:D$65536,3,0)</f>
        <v>Jug</v>
      </c>
      <c r="AM165" s="1" t="str">
        <f>VLOOKUP(C:C,[1]基础信息!B$1:E$65536,4,0)</f>
        <v>Style</v>
      </c>
      <c r="AN165" s="1" t="str">
        <f>VLOOKUP(C:C,[1]基础信息!B$1:F$65536,5,0)</f>
        <v>Blue</v>
      </c>
    </row>
    <row r="166" spans="1:40">
      <c r="A166" s="1" t="s">
        <v>41</v>
      </c>
      <c r="B166" s="1" t="s">
        <v>42</v>
      </c>
      <c r="C166" s="1" t="s">
        <v>417</v>
      </c>
      <c r="D166" s="1" t="s">
        <v>418</v>
      </c>
      <c r="E166" s="1" t="s">
        <v>45</v>
      </c>
      <c r="F166" s="1" t="s">
        <v>419</v>
      </c>
      <c r="G166" s="1" t="s">
        <v>540</v>
      </c>
      <c r="H166" s="1" t="s">
        <v>541</v>
      </c>
      <c r="I166" s="1" t="s">
        <v>49</v>
      </c>
      <c r="J166" s="1" t="s">
        <v>48</v>
      </c>
      <c r="K166" s="1">
        <v>96</v>
      </c>
      <c r="L166" s="1">
        <v>0</v>
      </c>
      <c r="M166" s="1">
        <v>0</v>
      </c>
      <c r="N166" s="1">
        <v>96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 t="s">
        <v>49</v>
      </c>
      <c r="AA166" s="1" t="s">
        <v>49</v>
      </c>
      <c r="AB166" s="1" t="s">
        <v>49</v>
      </c>
      <c r="AC166" s="1" t="s">
        <v>414</v>
      </c>
      <c r="AD166" s="1" t="s">
        <v>415</v>
      </c>
      <c r="AE166" s="1" t="s">
        <v>416</v>
      </c>
      <c r="AF166" s="1" t="s">
        <v>422</v>
      </c>
      <c r="AG166" s="1" t="s">
        <v>53</v>
      </c>
      <c r="AH166" s="1" t="s">
        <v>49</v>
      </c>
      <c r="AI166" s="1" t="s">
        <v>54</v>
      </c>
      <c r="AJ166" s="1">
        <v>1</v>
      </c>
      <c r="AK166" s="1" t="str">
        <f t="shared" si="2"/>
        <v xml:space="preserve"> =&lt;90</v>
      </c>
      <c r="AL166" s="1" t="str">
        <f>VLOOKUP(C:C,[1]基础信息!B$1:D$65536,3,0)</f>
        <v>Jug</v>
      </c>
      <c r="AM166" s="1" t="str">
        <f>VLOOKUP(C:C,[1]基础信息!B$1:E$65536,4,0)</f>
        <v>Marella XL</v>
      </c>
      <c r="AN166" s="1" t="str">
        <f>VLOOKUP(C:C,[1]基础信息!B$1:F$65536,5,0)</f>
        <v>Silver</v>
      </c>
    </row>
    <row r="167" spans="1:40">
      <c r="A167" s="1" t="s">
        <v>41</v>
      </c>
      <c r="B167" s="1" t="s">
        <v>42</v>
      </c>
      <c r="C167" s="1" t="s">
        <v>417</v>
      </c>
      <c r="D167" s="1" t="s">
        <v>418</v>
      </c>
      <c r="E167" s="1" t="s">
        <v>45</v>
      </c>
      <c r="F167" s="1" t="s">
        <v>419</v>
      </c>
      <c r="G167" s="1" t="s">
        <v>542</v>
      </c>
      <c r="H167" s="1" t="s">
        <v>543</v>
      </c>
      <c r="I167" s="1" t="s">
        <v>49</v>
      </c>
      <c r="J167" s="1" t="s">
        <v>48</v>
      </c>
      <c r="K167" s="1">
        <v>96</v>
      </c>
      <c r="L167" s="1">
        <v>0</v>
      </c>
      <c r="M167" s="1">
        <v>0</v>
      </c>
      <c r="N167" s="1">
        <v>96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 t="s">
        <v>49</v>
      </c>
      <c r="AA167" s="1" t="s">
        <v>49</v>
      </c>
      <c r="AB167" s="1" t="s">
        <v>49</v>
      </c>
      <c r="AC167" s="1" t="s">
        <v>414</v>
      </c>
      <c r="AD167" s="1" t="s">
        <v>415</v>
      </c>
      <c r="AE167" s="1" t="s">
        <v>416</v>
      </c>
      <c r="AF167" s="1" t="s">
        <v>422</v>
      </c>
      <c r="AG167" s="1" t="s">
        <v>53</v>
      </c>
      <c r="AH167" s="1" t="s">
        <v>49</v>
      </c>
      <c r="AI167" s="1" t="s">
        <v>54</v>
      </c>
      <c r="AJ167" s="1">
        <v>1</v>
      </c>
      <c r="AK167" s="1" t="str">
        <f t="shared" si="2"/>
        <v xml:space="preserve"> =&lt;90</v>
      </c>
      <c r="AL167" s="1" t="str">
        <f>VLOOKUP(C:C,[1]基础信息!B$1:D$65536,3,0)</f>
        <v>Jug</v>
      </c>
      <c r="AM167" s="1" t="str">
        <f>VLOOKUP(C:C,[1]基础信息!B$1:E$65536,4,0)</f>
        <v>Marella XL</v>
      </c>
      <c r="AN167" s="1" t="str">
        <f>VLOOKUP(C:C,[1]基础信息!B$1:F$65536,5,0)</f>
        <v>Silver</v>
      </c>
    </row>
    <row r="168" spans="1:40">
      <c r="A168" s="1" t="s">
        <v>41</v>
      </c>
      <c r="B168" s="1" t="s">
        <v>42</v>
      </c>
      <c r="C168" s="1" t="s">
        <v>502</v>
      </c>
      <c r="D168" s="1" t="s">
        <v>503</v>
      </c>
      <c r="E168" s="1" t="s">
        <v>502</v>
      </c>
      <c r="F168" s="1" t="s">
        <v>504</v>
      </c>
      <c r="G168" s="1" t="s">
        <v>544</v>
      </c>
      <c r="H168" s="1" t="s">
        <v>545</v>
      </c>
      <c r="I168" s="1" t="s">
        <v>49</v>
      </c>
      <c r="J168" s="1" t="s">
        <v>48</v>
      </c>
      <c r="K168" s="1">
        <v>96</v>
      </c>
      <c r="L168" s="1">
        <v>0</v>
      </c>
      <c r="M168" s="1">
        <v>0</v>
      </c>
      <c r="N168" s="1">
        <v>96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 t="s">
        <v>49</v>
      </c>
      <c r="AA168" s="1" t="s">
        <v>49</v>
      </c>
      <c r="AB168" s="1" t="s">
        <v>49</v>
      </c>
      <c r="AC168" s="1" t="s">
        <v>507</v>
      </c>
      <c r="AD168" s="1" t="s">
        <v>508</v>
      </c>
      <c r="AE168" s="1" t="s">
        <v>507</v>
      </c>
      <c r="AF168" s="1" t="s">
        <v>509</v>
      </c>
      <c r="AG168" s="1" t="s">
        <v>338</v>
      </c>
      <c r="AH168" s="1" t="s">
        <v>49</v>
      </c>
      <c r="AI168" s="1" t="s">
        <v>54</v>
      </c>
      <c r="AJ168" s="1">
        <v>1</v>
      </c>
      <c r="AK168" s="1" t="str">
        <f t="shared" si="2"/>
        <v xml:space="preserve"> =&lt;90</v>
      </c>
      <c r="AL168" s="1" t="str">
        <f>VLOOKUP(C:C,[1]基础信息!B$1:D$65536,3,0)</f>
        <v>Jug</v>
      </c>
      <c r="AM168" s="1" t="str">
        <f>VLOOKUP(C:C,[1]基础信息!B$1:E$65536,4,0)</f>
        <v>Marella XL</v>
      </c>
      <c r="AN168" s="1" t="str">
        <f>VLOOKUP(C:C,[1]基础信息!B$1:F$65536,5,0)</f>
        <v>Blue</v>
      </c>
    </row>
    <row r="169" spans="1:40">
      <c r="A169" s="1" t="s">
        <v>41</v>
      </c>
      <c r="B169" s="1" t="s">
        <v>42</v>
      </c>
      <c r="C169" s="1" t="s">
        <v>502</v>
      </c>
      <c r="D169" s="1" t="s">
        <v>503</v>
      </c>
      <c r="E169" s="1" t="s">
        <v>502</v>
      </c>
      <c r="F169" s="1" t="s">
        <v>504</v>
      </c>
      <c r="G169" s="1" t="s">
        <v>546</v>
      </c>
      <c r="H169" s="1" t="s">
        <v>547</v>
      </c>
      <c r="I169" s="1" t="s">
        <v>49</v>
      </c>
      <c r="J169" s="1" t="s">
        <v>48</v>
      </c>
      <c r="K169" s="1">
        <v>96</v>
      </c>
      <c r="L169" s="1">
        <v>0</v>
      </c>
      <c r="M169" s="1">
        <v>0</v>
      </c>
      <c r="N169" s="1">
        <v>96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 t="s">
        <v>49</v>
      </c>
      <c r="AA169" s="1" t="s">
        <v>49</v>
      </c>
      <c r="AB169" s="1" t="s">
        <v>49</v>
      </c>
      <c r="AC169" s="1" t="s">
        <v>507</v>
      </c>
      <c r="AD169" s="1" t="s">
        <v>508</v>
      </c>
      <c r="AE169" s="1" t="s">
        <v>507</v>
      </c>
      <c r="AF169" s="1" t="s">
        <v>509</v>
      </c>
      <c r="AG169" s="1" t="s">
        <v>338</v>
      </c>
      <c r="AH169" s="1" t="s">
        <v>49</v>
      </c>
      <c r="AI169" s="1" t="s">
        <v>54</v>
      </c>
      <c r="AJ169" s="1">
        <v>1</v>
      </c>
      <c r="AK169" s="1" t="str">
        <f t="shared" si="2"/>
        <v xml:space="preserve"> =&lt;90</v>
      </c>
      <c r="AL169" s="1" t="str">
        <f>VLOOKUP(C:C,[1]基础信息!B$1:D$65536,3,0)</f>
        <v>Jug</v>
      </c>
      <c r="AM169" s="1" t="str">
        <f>VLOOKUP(C:C,[1]基础信息!B$1:E$65536,4,0)</f>
        <v>Marella XL</v>
      </c>
      <c r="AN169" s="1" t="str">
        <f>VLOOKUP(C:C,[1]基础信息!B$1:F$65536,5,0)</f>
        <v>Blue</v>
      </c>
    </row>
    <row r="170" spans="1:40">
      <c r="A170" s="1" t="s">
        <v>41</v>
      </c>
      <c r="B170" s="1" t="s">
        <v>42</v>
      </c>
      <c r="C170" s="1" t="s">
        <v>502</v>
      </c>
      <c r="D170" s="1" t="s">
        <v>503</v>
      </c>
      <c r="E170" s="1" t="s">
        <v>502</v>
      </c>
      <c r="F170" s="1" t="s">
        <v>504</v>
      </c>
      <c r="G170" s="1" t="s">
        <v>548</v>
      </c>
      <c r="H170" s="1" t="s">
        <v>549</v>
      </c>
      <c r="I170" s="1" t="s">
        <v>49</v>
      </c>
      <c r="J170" s="1" t="s">
        <v>48</v>
      </c>
      <c r="K170" s="1">
        <v>96</v>
      </c>
      <c r="L170" s="1">
        <v>0</v>
      </c>
      <c r="M170" s="1">
        <v>0</v>
      </c>
      <c r="N170" s="1">
        <v>96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 t="s">
        <v>49</v>
      </c>
      <c r="AA170" s="1" t="s">
        <v>49</v>
      </c>
      <c r="AB170" s="1" t="s">
        <v>49</v>
      </c>
      <c r="AC170" s="1" t="s">
        <v>507</v>
      </c>
      <c r="AD170" s="1" t="s">
        <v>508</v>
      </c>
      <c r="AE170" s="1" t="s">
        <v>507</v>
      </c>
      <c r="AF170" s="1" t="s">
        <v>509</v>
      </c>
      <c r="AG170" s="1" t="s">
        <v>338</v>
      </c>
      <c r="AH170" s="1" t="s">
        <v>49</v>
      </c>
      <c r="AI170" s="1" t="s">
        <v>54</v>
      </c>
      <c r="AJ170" s="1">
        <v>1</v>
      </c>
      <c r="AK170" s="1" t="str">
        <f t="shared" si="2"/>
        <v xml:space="preserve"> =&lt;90</v>
      </c>
      <c r="AL170" s="1" t="str">
        <f>VLOOKUP(C:C,[1]基础信息!B$1:D$65536,3,0)</f>
        <v>Jug</v>
      </c>
      <c r="AM170" s="1" t="str">
        <f>VLOOKUP(C:C,[1]基础信息!B$1:E$65536,4,0)</f>
        <v>Marella XL</v>
      </c>
      <c r="AN170" s="1" t="str">
        <f>VLOOKUP(C:C,[1]基础信息!B$1:F$65536,5,0)</f>
        <v>Blue</v>
      </c>
    </row>
    <row r="171" spans="1:40">
      <c r="A171" s="1" t="s">
        <v>41</v>
      </c>
      <c r="B171" s="1" t="s">
        <v>42</v>
      </c>
      <c r="C171" s="1" t="s">
        <v>502</v>
      </c>
      <c r="D171" s="1" t="s">
        <v>503</v>
      </c>
      <c r="E171" s="1" t="s">
        <v>502</v>
      </c>
      <c r="F171" s="1" t="s">
        <v>504</v>
      </c>
      <c r="G171" s="1" t="s">
        <v>550</v>
      </c>
      <c r="H171" s="1" t="s">
        <v>551</v>
      </c>
      <c r="I171" s="1" t="s">
        <v>49</v>
      </c>
      <c r="J171" s="1" t="s">
        <v>48</v>
      </c>
      <c r="K171" s="1">
        <v>96</v>
      </c>
      <c r="L171" s="1">
        <v>0</v>
      </c>
      <c r="M171" s="1">
        <v>0</v>
      </c>
      <c r="N171" s="1">
        <v>96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 t="s">
        <v>49</v>
      </c>
      <c r="AA171" s="1" t="s">
        <v>49</v>
      </c>
      <c r="AB171" s="1" t="s">
        <v>49</v>
      </c>
      <c r="AC171" s="1" t="s">
        <v>507</v>
      </c>
      <c r="AD171" s="1" t="s">
        <v>508</v>
      </c>
      <c r="AE171" s="1" t="s">
        <v>507</v>
      </c>
      <c r="AF171" s="1" t="s">
        <v>509</v>
      </c>
      <c r="AG171" s="1" t="s">
        <v>338</v>
      </c>
      <c r="AH171" s="1" t="s">
        <v>49</v>
      </c>
      <c r="AI171" s="1" t="s">
        <v>54</v>
      </c>
      <c r="AJ171" s="1">
        <v>1</v>
      </c>
      <c r="AK171" s="1" t="str">
        <f t="shared" si="2"/>
        <v xml:space="preserve"> =&lt;90</v>
      </c>
      <c r="AL171" s="1" t="str">
        <f>VLOOKUP(C:C,[1]基础信息!B$1:D$65536,3,0)</f>
        <v>Jug</v>
      </c>
      <c r="AM171" s="1" t="str">
        <f>VLOOKUP(C:C,[1]基础信息!B$1:E$65536,4,0)</f>
        <v>Marella XL</v>
      </c>
      <c r="AN171" s="1" t="str">
        <f>VLOOKUP(C:C,[1]基础信息!B$1:F$65536,5,0)</f>
        <v>Blue</v>
      </c>
    </row>
    <row r="172" spans="1:40">
      <c r="A172" s="1" t="s">
        <v>41</v>
      </c>
      <c r="B172" s="1" t="s">
        <v>42</v>
      </c>
      <c r="C172" s="1" t="s">
        <v>502</v>
      </c>
      <c r="D172" s="1" t="s">
        <v>503</v>
      </c>
      <c r="E172" s="1" t="s">
        <v>502</v>
      </c>
      <c r="F172" s="1" t="s">
        <v>504</v>
      </c>
      <c r="G172" s="1" t="s">
        <v>552</v>
      </c>
      <c r="H172" s="1" t="s">
        <v>553</v>
      </c>
      <c r="I172" s="1" t="s">
        <v>49</v>
      </c>
      <c r="J172" s="1" t="s">
        <v>48</v>
      </c>
      <c r="K172" s="1">
        <v>96</v>
      </c>
      <c r="L172" s="1">
        <v>0</v>
      </c>
      <c r="M172" s="1">
        <v>0</v>
      </c>
      <c r="N172" s="1">
        <v>96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 t="s">
        <v>49</v>
      </c>
      <c r="AA172" s="1" t="s">
        <v>49</v>
      </c>
      <c r="AB172" s="1" t="s">
        <v>49</v>
      </c>
      <c r="AC172" s="1" t="s">
        <v>507</v>
      </c>
      <c r="AD172" s="1" t="s">
        <v>508</v>
      </c>
      <c r="AE172" s="1" t="s">
        <v>507</v>
      </c>
      <c r="AF172" s="1" t="s">
        <v>509</v>
      </c>
      <c r="AG172" s="1" t="s">
        <v>338</v>
      </c>
      <c r="AH172" s="1" t="s">
        <v>49</v>
      </c>
      <c r="AI172" s="1" t="s">
        <v>54</v>
      </c>
      <c r="AJ172" s="1">
        <v>1</v>
      </c>
      <c r="AK172" s="1" t="str">
        <f t="shared" si="2"/>
        <v xml:space="preserve"> =&lt;90</v>
      </c>
      <c r="AL172" s="1" t="str">
        <f>VLOOKUP(C:C,[1]基础信息!B$1:D$65536,3,0)</f>
        <v>Jug</v>
      </c>
      <c r="AM172" s="1" t="str">
        <f>VLOOKUP(C:C,[1]基础信息!B$1:E$65536,4,0)</f>
        <v>Marella XL</v>
      </c>
      <c r="AN172" s="1" t="str">
        <f>VLOOKUP(C:C,[1]基础信息!B$1:F$65536,5,0)</f>
        <v>Blue</v>
      </c>
    </row>
    <row r="173" spans="1:40">
      <c r="A173" s="1" t="s">
        <v>41</v>
      </c>
      <c r="B173" s="1" t="s">
        <v>42</v>
      </c>
      <c r="C173" s="1" t="s">
        <v>554</v>
      </c>
      <c r="D173" s="1" t="s">
        <v>555</v>
      </c>
      <c r="E173" s="1" t="s">
        <v>45</v>
      </c>
      <c r="F173" s="1" t="s">
        <v>556</v>
      </c>
      <c r="G173" s="1" t="s">
        <v>557</v>
      </c>
      <c r="H173" s="1" t="s">
        <v>558</v>
      </c>
      <c r="I173" s="1" t="s">
        <v>49</v>
      </c>
      <c r="J173" s="1" t="s">
        <v>48</v>
      </c>
      <c r="K173" s="1">
        <v>70</v>
      </c>
      <c r="L173" s="1">
        <v>0</v>
      </c>
      <c r="M173" s="1">
        <v>0</v>
      </c>
      <c r="N173" s="1">
        <v>70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 t="s">
        <v>49</v>
      </c>
      <c r="AA173" s="1" t="s">
        <v>49</v>
      </c>
      <c r="AB173" s="1" t="s">
        <v>49</v>
      </c>
      <c r="AC173" s="1" t="s">
        <v>414</v>
      </c>
      <c r="AD173" s="1" t="s">
        <v>415</v>
      </c>
      <c r="AE173" s="1" t="s">
        <v>416</v>
      </c>
      <c r="AF173" s="1" t="s">
        <v>559</v>
      </c>
      <c r="AG173" s="1" t="s">
        <v>53</v>
      </c>
      <c r="AH173" s="1" t="s">
        <v>49</v>
      </c>
      <c r="AI173" s="1" t="s">
        <v>54</v>
      </c>
      <c r="AJ173" s="1">
        <v>1</v>
      </c>
      <c r="AK173" s="1" t="str">
        <f t="shared" si="2"/>
        <v xml:space="preserve"> =&lt;90</v>
      </c>
      <c r="AL173" s="1" t="str">
        <f>VLOOKUP(C:C,[1]基础信息!B$1:D$65536,3,0)</f>
        <v>Jug</v>
      </c>
      <c r="AM173" s="1" t="str">
        <f>VLOOKUP(C:C,[1]基础信息!B$1:E$65536,4,0)</f>
        <v>Green Pack</v>
      </c>
      <c r="AN173" s="1" t="str">
        <f>VLOOKUP(C:C,[1]基础信息!B$1:F$65536,5,0)</f>
        <v>Blue</v>
      </c>
    </row>
    <row r="174" spans="1:40">
      <c r="A174" s="1" t="s">
        <v>41</v>
      </c>
      <c r="B174" s="1" t="s">
        <v>42</v>
      </c>
      <c r="C174" s="1" t="s">
        <v>502</v>
      </c>
      <c r="D174" s="1" t="s">
        <v>503</v>
      </c>
      <c r="E174" s="1" t="s">
        <v>502</v>
      </c>
      <c r="F174" s="1" t="s">
        <v>504</v>
      </c>
      <c r="G174" s="1" t="s">
        <v>560</v>
      </c>
      <c r="H174" s="1" t="s">
        <v>561</v>
      </c>
      <c r="I174" s="1" t="s">
        <v>49</v>
      </c>
      <c r="J174" s="1" t="s">
        <v>48</v>
      </c>
      <c r="K174" s="1">
        <v>96</v>
      </c>
      <c r="L174" s="1">
        <v>0</v>
      </c>
      <c r="M174" s="1">
        <v>0</v>
      </c>
      <c r="N174" s="1">
        <v>96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 t="s">
        <v>49</v>
      </c>
      <c r="AA174" s="1" t="s">
        <v>49</v>
      </c>
      <c r="AB174" s="1" t="s">
        <v>49</v>
      </c>
      <c r="AC174" s="1" t="s">
        <v>507</v>
      </c>
      <c r="AD174" s="1" t="s">
        <v>508</v>
      </c>
      <c r="AE174" s="1" t="s">
        <v>507</v>
      </c>
      <c r="AF174" s="1" t="s">
        <v>509</v>
      </c>
      <c r="AG174" s="1" t="s">
        <v>338</v>
      </c>
      <c r="AH174" s="1" t="s">
        <v>49</v>
      </c>
      <c r="AI174" s="1" t="s">
        <v>54</v>
      </c>
      <c r="AJ174" s="1">
        <v>1</v>
      </c>
      <c r="AK174" s="1" t="str">
        <f t="shared" si="2"/>
        <v xml:space="preserve"> =&lt;90</v>
      </c>
      <c r="AL174" s="1" t="str">
        <f>VLOOKUP(C:C,[1]基础信息!B$1:D$65536,3,0)</f>
        <v>Jug</v>
      </c>
      <c r="AM174" s="1" t="str">
        <f>VLOOKUP(C:C,[1]基础信息!B$1:E$65536,4,0)</f>
        <v>Marella XL</v>
      </c>
      <c r="AN174" s="1" t="str">
        <f>VLOOKUP(C:C,[1]基础信息!B$1:F$65536,5,0)</f>
        <v>Blue</v>
      </c>
    </row>
    <row r="175" spans="1:40">
      <c r="A175" s="1" t="s">
        <v>41</v>
      </c>
      <c r="B175" s="1" t="s">
        <v>42</v>
      </c>
      <c r="C175" s="1" t="s">
        <v>502</v>
      </c>
      <c r="D175" s="1" t="s">
        <v>503</v>
      </c>
      <c r="E175" s="1" t="s">
        <v>502</v>
      </c>
      <c r="F175" s="1" t="s">
        <v>504</v>
      </c>
      <c r="G175" s="1" t="s">
        <v>562</v>
      </c>
      <c r="H175" s="1" t="s">
        <v>563</v>
      </c>
      <c r="I175" s="1" t="s">
        <v>49</v>
      </c>
      <c r="J175" s="1" t="s">
        <v>48</v>
      </c>
      <c r="K175" s="1">
        <v>96</v>
      </c>
      <c r="L175" s="1">
        <v>0</v>
      </c>
      <c r="M175" s="1">
        <v>0</v>
      </c>
      <c r="N175" s="1">
        <v>96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 t="s">
        <v>49</v>
      </c>
      <c r="AA175" s="1" t="s">
        <v>49</v>
      </c>
      <c r="AB175" s="1" t="s">
        <v>49</v>
      </c>
      <c r="AC175" s="1" t="s">
        <v>507</v>
      </c>
      <c r="AD175" s="1" t="s">
        <v>508</v>
      </c>
      <c r="AE175" s="1" t="s">
        <v>507</v>
      </c>
      <c r="AF175" s="1" t="s">
        <v>509</v>
      </c>
      <c r="AG175" s="1" t="s">
        <v>338</v>
      </c>
      <c r="AH175" s="1" t="s">
        <v>49</v>
      </c>
      <c r="AI175" s="1" t="s">
        <v>54</v>
      </c>
      <c r="AJ175" s="1">
        <v>1</v>
      </c>
      <c r="AK175" s="1" t="str">
        <f t="shared" si="2"/>
        <v xml:space="preserve"> =&lt;90</v>
      </c>
      <c r="AL175" s="1" t="str">
        <f>VLOOKUP(C:C,[1]基础信息!B$1:D$65536,3,0)</f>
        <v>Jug</v>
      </c>
      <c r="AM175" s="1" t="str">
        <f>VLOOKUP(C:C,[1]基础信息!B$1:E$65536,4,0)</f>
        <v>Marella XL</v>
      </c>
      <c r="AN175" s="1" t="str">
        <f>VLOOKUP(C:C,[1]基础信息!B$1:F$65536,5,0)</f>
        <v>Blue</v>
      </c>
    </row>
    <row r="176" spans="1:40">
      <c r="A176" s="1" t="s">
        <v>41</v>
      </c>
      <c r="B176" s="1" t="s">
        <v>42</v>
      </c>
      <c r="C176" s="1" t="s">
        <v>104</v>
      </c>
      <c r="D176" s="1" t="s">
        <v>105</v>
      </c>
      <c r="E176" s="1" t="s">
        <v>104</v>
      </c>
      <c r="F176" s="1" t="s">
        <v>265</v>
      </c>
      <c r="G176" s="1" t="s">
        <v>564</v>
      </c>
      <c r="H176" s="1" t="s">
        <v>565</v>
      </c>
      <c r="I176" s="1" t="s">
        <v>49</v>
      </c>
      <c r="J176" s="1" t="s">
        <v>48</v>
      </c>
      <c r="K176" s="1">
        <v>96</v>
      </c>
      <c r="L176" s="1">
        <v>0</v>
      </c>
      <c r="M176" s="1">
        <v>0</v>
      </c>
      <c r="N176" s="1">
        <v>96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 t="s">
        <v>49</v>
      </c>
      <c r="AA176" s="1" t="s">
        <v>49</v>
      </c>
      <c r="AB176" s="1" t="s">
        <v>49</v>
      </c>
      <c r="AC176" s="1" t="s">
        <v>154</v>
      </c>
      <c r="AD176" s="1" t="s">
        <v>155</v>
      </c>
      <c r="AE176" s="1" t="s">
        <v>154</v>
      </c>
      <c r="AF176" s="1" t="s">
        <v>268</v>
      </c>
      <c r="AG176" s="1" t="s">
        <v>53</v>
      </c>
      <c r="AH176" s="1" t="s">
        <v>49</v>
      </c>
      <c r="AI176" s="1" t="s">
        <v>54</v>
      </c>
      <c r="AJ176" s="1">
        <v>1</v>
      </c>
      <c r="AK176" s="1" t="str">
        <f t="shared" si="2"/>
        <v xml:space="preserve"> =&lt;90</v>
      </c>
      <c r="AL176" s="1" t="str">
        <f>VLOOKUP(C:C,[1]基础信息!B$1:D$65536,3,0)</f>
        <v>Jug</v>
      </c>
      <c r="AM176" s="1" t="str">
        <f>VLOOKUP(C:C,[1]基础信息!B$1:E$65536,4,0)</f>
        <v>Marella XL</v>
      </c>
      <c r="AN176" s="1" t="str">
        <f>VLOOKUP(C:C,[1]基础信息!B$1:F$65536,5,0)</f>
        <v>Blue</v>
      </c>
    </row>
    <row r="177" spans="1:40">
      <c r="A177" s="1" t="s">
        <v>41</v>
      </c>
      <c r="B177" s="1" t="s">
        <v>42</v>
      </c>
      <c r="C177" s="1" t="s">
        <v>502</v>
      </c>
      <c r="D177" s="1" t="s">
        <v>503</v>
      </c>
      <c r="E177" s="1" t="s">
        <v>502</v>
      </c>
      <c r="F177" s="1" t="s">
        <v>504</v>
      </c>
      <c r="G177" s="1" t="s">
        <v>566</v>
      </c>
      <c r="H177" s="1" t="s">
        <v>567</v>
      </c>
      <c r="I177" s="1" t="s">
        <v>49</v>
      </c>
      <c r="J177" s="1" t="s">
        <v>48</v>
      </c>
      <c r="K177" s="1">
        <v>96</v>
      </c>
      <c r="L177" s="1">
        <v>0</v>
      </c>
      <c r="M177" s="1">
        <v>0</v>
      </c>
      <c r="N177" s="1">
        <v>96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 t="s">
        <v>49</v>
      </c>
      <c r="AA177" s="1" t="s">
        <v>49</v>
      </c>
      <c r="AB177" s="1" t="s">
        <v>49</v>
      </c>
      <c r="AC177" s="1" t="s">
        <v>507</v>
      </c>
      <c r="AD177" s="1" t="s">
        <v>508</v>
      </c>
      <c r="AE177" s="1" t="s">
        <v>507</v>
      </c>
      <c r="AF177" s="1" t="s">
        <v>509</v>
      </c>
      <c r="AG177" s="1" t="s">
        <v>338</v>
      </c>
      <c r="AH177" s="1" t="s">
        <v>49</v>
      </c>
      <c r="AI177" s="1" t="s">
        <v>54</v>
      </c>
      <c r="AJ177" s="1">
        <v>1</v>
      </c>
      <c r="AK177" s="1" t="str">
        <f t="shared" si="2"/>
        <v xml:space="preserve"> =&lt;90</v>
      </c>
      <c r="AL177" s="1" t="str">
        <f>VLOOKUP(C:C,[1]基础信息!B$1:D$65536,3,0)</f>
        <v>Jug</v>
      </c>
      <c r="AM177" s="1" t="str">
        <f>VLOOKUP(C:C,[1]基础信息!B$1:E$65536,4,0)</f>
        <v>Marella XL</v>
      </c>
      <c r="AN177" s="1" t="str">
        <f>VLOOKUP(C:C,[1]基础信息!B$1:F$65536,5,0)</f>
        <v>Blue</v>
      </c>
    </row>
    <row r="178" spans="1:40">
      <c r="A178" s="1" t="s">
        <v>41</v>
      </c>
      <c r="B178" s="1" t="s">
        <v>42</v>
      </c>
      <c r="C178" s="1" t="s">
        <v>502</v>
      </c>
      <c r="D178" s="1" t="s">
        <v>503</v>
      </c>
      <c r="E178" s="1" t="s">
        <v>502</v>
      </c>
      <c r="F178" s="1" t="s">
        <v>504</v>
      </c>
      <c r="G178" s="1" t="s">
        <v>568</v>
      </c>
      <c r="H178" s="1" t="s">
        <v>569</v>
      </c>
      <c r="I178" s="1" t="s">
        <v>49</v>
      </c>
      <c r="J178" s="1" t="s">
        <v>48</v>
      </c>
      <c r="K178" s="1">
        <v>96</v>
      </c>
      <c r="L178" s="1">
        <v>0</v>
      </c>
      <c r="M178" s="1">
        <v>0</v>
      </c>
      <c r="N178" s="1">
        <v>96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 t="s">
        <v>49</v>
      </c>
      <c r="AA178" s="1" t="s">
        <v>49</v>
      </c>
      <c r="AB178" s="1" t="s">
        <v>49</v>
      </c>
      <c r="AC178" s="1" t="s">
        <v>507</v>
      </c>
      <c r="AD178" s="1" t="s">
        <v>508</v>
      </c>
      <c r="AE178" s="1" t="s">
        <v>507</v>
      </c>
      <c r="AF178" s="1" t="s">
        <v>509</v>
      </c>
      <c r="AG178" s="1" t="s">
        <v>338</v>
      </c>
      <c r="AH178" s="1" t="s">
        <v>49</v>
      </c>
      <c r="AI178" s="1" t="s">
        <v>54</v>
      </c>
      <c r="AJ178" s="1">
        <v>1</v>
      </c>
      <c r="AK178" s="1" t="str">
        <f t="shared" si="2"/>
        <v xml:space="preserve"> =&lt;90</v>
      </c>
      <c r="AL178" s="1" t="str">
        <f>VLOOKUP(C:C,[1]基础信息!B$1:D$65536,3,0)</f>
        <v>Jug</v>
      </c>
      <c r="AM178" s="1" t="str">
        <f>VLOOKUP(C:C,[1]基础信息!B$1:E$65536,4,0)</f>
        <v>Marella XL</v>
      </c>
      <c r="AN178" s="1" t="str">
        <f>VLOOKUP(C:C,[1]基础信息!B$1:F$65536,5,0)</f>
        <v>Blue</v>
      </c>
    </row>
    <row r="179" spans="1:40">
      <c r="A179" s="1" t="s">
        <v>41</v>
      </c>
      <c r="B179" s="1" t="s">
        <v>42</v>
      </c>
      <c r="C179" s="1" t="s">
        <v>104</v>
      </c>
      <c r="D179" s="1" t="s">
        <v>105</v>
      </c>
      <c r="E179" s="1" t="s">
        <v>104</v>
      </c>
      <c r="F179" s="1" t="s">
        <v>265</v>
      </c>
      <c r="G179" s="1" t="s">
        <v>570</v>
      </c>
      <c r="H179" s="1" t="s">
        <v>571</v>
      </c>
      <c r="I179" s="1" t="s">
        <v>49</v>
      </c>
      <c r="J179" s="1" t="s">
        <v>48</v>
      </c>
      <c r="K179" s="1">
        <v>96</v>
      </c>
      <c r="L179" s="1">
        <v>0</v>
      </c>
      <c r="M179" s="1">
        <v>0</v>
      </c>
      <c r="N179" s="1">
        <v>96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 t="s">
        <v>49</v>
      </c>
      <c r="AA179" s="1" t="s">
        <v>49</v>
      </c>
      <c r="AB179" s="1" t="s">
        <v>49</v>
      </c>
      <c r="AC179" s="1" t="s">
        <v>154</v>
      </c>
      <c r="AD179" s="1" t="s">
        <v>155</v>
      </c>
      <c r="AE179" s="1" t="s">
        <v>154</v>
      </c>
      <c r="AF179" s="1" t="s">
        <v>268</v>
      </c>
      <c r="AG179" s="1" t="s">
        <v>53</v>
      </c>
      <c r="AH179" s="1" t="s">
        <v>49</v>
      </c>
      <c r="AI179" s="1" t="s">
        <v>54</v>
      </c>
      <c r="AJ179" s="1">
        <v>1</v>
      </c>
      <c r="AK179" s="1" t="str">
        <f t="shared" si="2"/>
        <v xml:space="preserve"> =&lt;90</v>
      </c>
      <c r="AL179" s="1" t="str">
        <f>VLOOKUP(C:C,[1]基础信息!B$1:D$65536,3,0)</f>
        <v>Jug</v>
      </c>
      <c r="AM179" s="1" t="str">
        <f>VLOOKUP(C:C,[1]基础信息!B$1:E$65536,4,0)</f>
        <v>Marella XL</v>
      </c>
      <c r="AN179" s="1" t="str">
        <f>VLOOKUP(C:C,[1]基础信息!B$1:F$65536,5,0)</f>
        <v>Blue</v>
      </c>
    </row>
    <row r="180" spans="1:40">
      <c r="A180" s="1" t="s">
        <v>41</v>
      </c>
      <c r="B180" s="1" t="s">
        <v>42</v>
      </c>
      <c r="C180" s="1" t="s">
        <v>502</v>
      </c>
      <c r="D180" s="1" t="s">
        <v>503</v>
      </c>
      <c r="E180" s="1" t="s">
        <v>502</v>
      </c>
      <c r="F180" s="1" t="s">
        <v>504</v>
      </c>
      <c r="G180" s="1" t="s">
        <v>572</v>
      </c>
      <c r="H180" s="1" t="s">
        <v>573</v>
      </c>
      <c r="I180" s="1" t="s">
        <v>49</v>
      </c>
      <c r="J180" s="1" t="s">
        <v>48</v>
      </c>
      <c r="K180" s="1">
        <v>96</v>
      </c>
      <c r="L180" s="1">
        <v>0</v>
      </c>
      <c r="M180" s="1">
        <v>0</v>
      </c>
      <c r="N180" s="1">
        <v>96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 t="s">
        <v>49</v>
      </c>
      <c r="AA180" s="1" t="s">
        <v>49</v>
      </c>
      <c r="AB180" s="1" t="s">
        <v>49</v>
      </c>
      <c r="AC180" s="1" t="s">
        <v>507</v>
      </c>
      <c r="AD180" s="1" t="s">
        <v>508</v>
      </c>
      <c r="AE180" s="1" t="s">
        <v>507</v>
      </c>
      <c r="AF180" s="1" t="s">
        <v>509</v>
      </c>
      <c r="AG180" s="1" t="s">
        <v>338</v>
      </c>
      <c r="AH180" s="1" t="s">
        <v>49</v>
      </c>
      <c r="AI180" s="1" t="s">
        <v>54</v>
      </c>
      <c r="AJ180" s="1">
        <v>1</v>
      </c>
      <c r="AK180" s="1" t="str">
        <f t="shared" si="2"/>
        <v xml:space="preserve"> =&lt;90</v>
      </c>
      <c r="AL180" s="1" t="str">
        <f>VLOOKUP(C:C,[1]基础信息!B$1:D$65536,3,0)</f>
        <v>Jug</v>
      </c>
      <c r="AM180" s="1" t="str">
        <f>VLOOKUP(C:C,[1]基础信息!B$1:E$65536,4,0)</f>
        <v>Marella XL</v>
      </c>
      <c r="AN180" s="1" t="str">
        <f>VLOOKUP(C:C,[1]基础信息!B$1:F$65536,5,0)</f>
        <v>Blue</v>
      </c>
    </row>
    <row r="181" spans="1:40">
      <c r="A181" s="1" t="s">
        <v>41</v>
      </c>
      <c r="B181" s="1" t="s">
        <v>42</v>
      </c>
      <c r="C181" s="1" t="s">
        <v>502</v>
      </c>
      <c r="D181" s="1" t="s">
        <v>503</v>
      </c>
      <c r="E181" s="1" t="s">
        <v>502</v>
      </c>
      <c r="F181" s="1" t="s">
        <v>504</v>
      </c>
      <c r="G181" s="1" t="s">
        <v>574</v>
      </c>
      <c r="H181" s="1" t="s">
        <v>575</v>
      </c>
      <c r="I181" s="1" t="s">
        <v>49</v>
      </c>
      <c r="J181" s="1" t="s">
        <v>48</v>
      </c>
      <c r="K181" s="1">
        <v>96</v>
      </c>
      <c r="L181" s="1">
        <v>0</v>
      </c>
      <c r="M181" s="1">
        <v>0</v>
      </c>
      <c r="N181" s="1">
        <v>96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 t="s">
        <v>49</v>
      </c>
      <c r="AA181" s="1" t="s">
        <v>49</v>
      </c>
      <c r="AB181" s="1" t="s">
        <v>49</v>
      </c>
      <c r="AC181" s="1" t="s">
        <v>507</v>
      </c>
      <c r="AD181" s="1" t="s">
        <v>508</v>
      </c>
      <c r="AE181" s="1" t="s">
        <v>507</v>
      </c>
      <c r="AF181" s="1" t="s">
        <v>509</v>
      </c>
      <c r="AG181" s="1" t="s">
        <v>338</v>
      </c>
      <c r="AH181" s="1" t="s">
        <v>49</v>
      </c>
      <c r="AI181" s="1" t="s">
        <v>54</v>
      </c>
      <c r="AJ181" s="1">
        <v>1</v>
      </c>
      <c r="AK181" s="1" t="str">
        <f t="shared" si="2"/>
        <v xml:space="preserve"> =&lt;90</v>
      </c>
      <c r="AL181" s="1" t="str">
        <f>VLOOKUP(C:C,[1]基础信息!B$1:D$65536,3,0)</f>
        <v>Jug</v>
      </c>
      <c r="AM181" s="1" t="str">
        <f>VLOOKUP(C:C,[1]基础信息!B$1:E$65536,4,0)</f>
        <v>Marella XL</v>
      </c>
      <c r="AN181" s="1" t="str">
        <f>VLOOKUP(C:C,[1]基础信息!B$1:F$65536,5,0)</f>
        <v>Blue</v>
      </c>
    </row>
    <row r="182" spans="1:40">
      <c r="A182" s="1" t="s">
        <v>41</v>
      </c>
      <c r="B182" s="1" t="s">
        <v>42</v>
      </c>
      <c r="C182" s="1" t="s">
        <v>502</v>
      </c>
      <c r="D182" s="1" t="s">
        <v>503</v>
      </c>
      <c r="E182" s="1" t="s">
        <v>502</v>
      </c>
      <c r="F182" s="1" t="s">
        <v>504</v>
      </c>
      <c r="G182" s="1" t="s">
        <v>576</v>
      </c>
      <c r="H182" s="1" t="s">
        <v>577</v>
      </c>
      <c r="I182" s="1" t="s">
        <v>49</v>
      </c>
      <c r="J182" s="1" t="s">
        <v>48</v>
      </c>
      <c r="K182" s="1">
        <v>96</v>
      </c>
      <c r="L182" s="1">
        <v>0</v>
      </c>
      <c r="M182" s="1">
        <v>0</v>
      </c>
      <c r="N182" s="1">
        <v>96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 t="s">
        <v>49</v>
      </c>
      <c r="AA182" s="1" t="s">
        <v>49</v>
      </c>
      <c r="AB182" s="1" t="s">
        <v>49</v>
      </c>
      <c r="AC182" s="1" t="s">
        <v>507</v>
      </c>
      <c r="AD182" s="1" t="s">
        <v>508</v>
      </c>
      <c r="AE182" s="1" t="s">
        <v>507</v>
      </c>
      <c r="AF182" s="1" t="s">
        <v>509</v>
      </c>
      <c r="AG182" s="1" t="s">
        <v>338</v>
      </c>
      <c r="AH182" s="1" t="s">
        <v>49</v>
      </c>
      <c r="AI182" s="1" t="s">
        <v>54</v>
      </c>
      <c r="AJ182" s="1">
        <v>1</v>
      </c>
      <c r="AK182" s="1" t="str">
        <f t="shared" si="2"/>
        <v xml:space="preserve"> =&lt;90</v>
      </c>
      <c r="AL182" s="1" t="str">
        <f>VLOOKUP(C:C,[1]基础信息!B$1:D$65536,3,0)</f>
        <v>Jug</v>
      </c>
      <c r="AM182" s="1" t="str">
        <f>VLOOKUP(C:C,[1]基础信息!B$1:E$65536,4,0)</f>
        <v>Marella XL</v>
      </c>
      <c r="AN182" s="1" t="str">
        <f>VLOOKUP(C:C,[1]基础信息!B$1:F$65536,5,0)</f>
        <v>Blue</v>
      </c>
    </row>
    <row r="183" spans="1:40">
      <c r="A183" s="1" t="s">
        <v>41</v>
      </c>
      <c r="B183" s="1" t="s">
        <v>42</v>
      </c>
      <c r="C183" s="1" t="s">
        <v>162</v>
      </c>
      <c r="D183" s="1" t="s">
        <v>163</v>
      </c>
      <c r="E183" s="1" t="s">
        <v>45</v>
      </c>
      <c r="F183" s="1" t="s">
        <v>164</v>
      </c>
      <c r="G183" s="1" t="s">
        <v>578</v>
      </c>
      <c r="H183" s="1" t="s">
        <v>579</v>
      </c>
      <c r="I183" s="1" t="s">
        <v>49</v>
      </c>
      <c r="J183" s="1" t="s">
        <v>48</v>
      </c>
      <c r="K183" s="1">
        <v>60</v>
      </c>
      <c r="L183" s="1">
        <v>0</v>
      </c>
      <c r="M183" s="1">
        <v>0</v>
      </c>
      <c r="N183" s="1">
        <v>60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 t="s">
        <v>49</v>
      </c>
      <c r="AA183" s="1" t="s">
        <v>49</v>
      </c>
      <c r="AB183" s="1" t="s">
        <v>49</v>
      </c>
      <c r="AC183" s="1" t="s">
        <v>167</v>
      </c>
      <c r="AD183" s="1" t="s">
        <v>168</v>
      </c>
      <c r="AE183" s="1" t="s">
        <v>169</v>
      </c>
      <c r="AF183" s="1" t="s">
        <v>170</v>
      </c>
      <c r="AG183" s="1" t="s">
        <v>53</v>
      </c>
      <c r="AH183" s="1" t="s">
        <v>49</v>
      </c>
      <c r="AI183" s="1" t="s">
        <v>54</v>
      </c>
      <c r="AJ183" s="1">
        <v>1</v>
      </c>
      <c r="AK183" s="1" t="str">
        <f t="shared" si="2"/>
        <v xml:space="preserve"> =&lt;90</v>
      </c>
      <c r="AL183" s="1" t="str">
        <f>VLOOKUP(C:C,[1]基础信息!B$1:D$65536,3,0)</f>
        <v>Jug</v>
      </c>
      <c r="AM183" s="1" t="str">
        <f>VLOOKUP(C:C,[1]基础信息!B$1:E$65536,4,0)</f>
        <v>Style</v>
      </c>
      <c r="AN183" s="1" t="str">
        <f>VLOOKUP(C:C,[1]基础信息!B$1:F$65536,5,0)</f>
        <v>Blue</v>
      </c>
    </row>
    <row r="184" spans="1:40">
      <c r="A184" s="1" t="s">
        <v>41</v>
      </c>
      <c r="B184" s="1" t="s">
        <v>42</v>
      </c>
      <c r="C184" s="1" t="s">
        <v>162</v>
      </c>
      <c r="D184" s="1" t="s">
        <v>163</v>
      </c>
      <c r="E184" s="1" t="s">
        <v>45</v>
      </c>
      <c r="F184" s="1" t="s">
        <v>164</v>
      </c>
      <c r="G184" s="1" t="s">
        <v>580</v>
      </c>
      <c r="H184" s="1" t="s">
        <v>581</v>
      </c>
      <c r="I184" s="1" t="s">
        <v>49</v>
      </c>
      <c r="J184" s="1" t="s">
        <v>48</v>
      </c>
      <c r="K184" s="1">
        <v>60</v>
      </c>
      <c r="L184" s="1">
        <v>0</v>
      </c>
      <c r="M184" s="1">
        <v>0</v>
      </c>
      <c r="N184" s="1">
        <v>60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 t="s">
        <v>49</v>
      </c>
      <c r="AA184" s="1" t="s">
        <v>49</v>
      </c>
      <c r="AB184" s="1" t="s">
        <v>49</v>
      </c>
      <c r="AC184" s="1" t="s">
        <v>167</v>
      </c>
      <c r="AD184" s="1" t="s">
        <v>168</v>
      </c>
      <c r="AE184" s="1" t="s">
        <v>169</v>
      </c>
      <c r="AF184" s="1" t="s">
        <v>170</v>
      </c>
      <c r="AG184" s="1" t="s">
        <v>53</v>
      </c>
      <c r="AH184" s="1" t="s">
        <v>49</v>
      </c>
      <c r="AI184" s="1" t="s">
        <v>54</v>
      </c>
      <c r="AJ184" s="1">
        <v>1</v>
      </c>
      <c r="AK184" s="1" t="str">
        <f t="shared" si="2"/>
        <v xml:space="preserve"> =&lt;90</v>
      </c>
      <c r="AL184" s="1" t="str">
        <f>VLOOKUP(C:C,[1]基础信息!B$1:D$65536,3,0)</f>
        <v>Jug</v>
      </c>
      <c r="AM184" s="1" t="str">
        <f>VLOOKUP(C:C,[1]基础信息!B$1:E$65536,4,0)</f>
        <v>Style</v>
      </c>
      <c r="AN184" s="1" t="str">
        <f>VLOOKUP(C:C,[1]基础信息!B$1:F$65536,5,0)</f>
        <v>Blue</v>
      </c>
    </row>
    <row r="185" spans="1:40">
      <c r="A185" s="1" t="s">
        <v>41</v>
      </c>
      <c r="B185" s="1" t="s">
        <v>42</v>
      </c>
      <c r="C185" s="1" t="s">
        <v>301</v>
      </c>
      <c r="D185" s="1" t="s">
        <v>302</v>
      </c>
      <c r="E185" s="1" t="s">
        <v>45</v>
      </c>
      <c r="F185" s="1" t="s">
        <v>303</v>
      </c>
      <c r="G185" s="1" t="s">
        <v>582</v>
      </c>
      <c r="H185" s="1" t="s">
        <v>45</v>
      </c>
      <c r="I185" s="1" t="s">
        <v>45</v>
      </c>
      <c r="J185" s="1" t="s">
        <v>48</v>
      </c>
      <c r="K185" s="1">
        <v>96</v>
      </c>
      <c r="L185" s="1">
        <v>0</v>
      </c>
      <c r="M185" s="1">
        <v>0</v>
      </c>
      <c r="N185" s="1">
        <v>96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 t="s">
        <v>49</v>
      </c>
      <c r="AA185" s="1" t="s">
        <v>49</v>
      </c>
      <c r="AB185" s="1" t="s">
        <v>49</v>
      </c>
      <c r="AC185" s="1" t="s">
        <v>305</v>
      </c>
      <c r="AD185" s="1" t="s">
        <v>306</v>
      </c>
      <c r="AE185" s="1" t="s">
        <v>305</v>
      </c>
      <c r="AF185" s="1" t="s">
        <v>307</v>
      </c>
      <c r="AG185" s="1" t="s">
        <v>53</v>
      </c>
      <c r="AH185" s="1" t="s">
        <v>49</v>
      </c>
      <c r="AI185" s="1" t="s">
        <v>54</v>
      </c>
      <c r="AJ185" s="1">
        <v>1</v>
      </c>
      <c r="AK185" s="1" t="str">
        <f t="shared" si="2"/>
        <v xml:space="preserve"> =&lt;90</v>
      </c>
      <c r="AL185" s="1" t="str">
        <f>VLOOKUP(C:C,[1]基础信息!B$1:D$65536,3,0)</f>
        <v>Jug</v>
      </c>
      <c r="AM185" s="1" t="str">
        <f>VLOOKUP(C:C,[1]基础信息!B$1:E$65536,4,0)</f>
        <v>Aluna</v>
      </c>
      <c r="AN185" s="1" t="str">
        <f>VLOOKUP(C:C,[1]基础信息!B$1:F$65536,5,0)</f>
        <v>Blue</v>
      </c>
    </row>
    <row r="186" spans="1:40">
      <c r="A186" s="1" t="s">
        <v>41</v>
      </c>
      <c r="B186" s="1" t="s">
        <v>42</v>
      </c>
      <c r="C186" s="1" t="s">
        <v>104</v>
      </c>
      <c r="D186" s="1" t="s">
        <v>105</v>
      </c>
      <c r="E186" s="1" t="s">
        <v>104</v>
      </c>
      <c r="F186" s="1" t="s">
        <v>125</v>
      </c>
      <c r="G186" s="1" t="s">
        <v>583</v>
      </c>
      <c r="H186" s="1" t="s">
        <v>584</v>
      </c>
      <c r="I186" s="1" t="s">
        <v>49</v>
      </c>
      <c r="J186" s="1" t="s">
        <v>48</v>
      </c>
      <c r="K186" s="1">
        <v>96</v>
      </c>
      <c r="L186" s="1">
        <v>0</v>
      </c>
      <c r="M186" s="1">
        <v>0</v>
      </c>
      <c r="N186" s="1">
        <v>96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 t="s">
        <v>49</v>
      </c>
      <c r="AA186" s="1" t="s">
        <v>49</v>
      </c>
      <c r="AB186" s="1" t="s">
        <v>49</v>
      </c>
      <c r="AC186" s="1" t="s">
        <v>128</v>
      </c>
      <c r="AD186" s="1" t="s">
        <v>129</v>
      </c>
      <c r="AE186" s="1" t="s">
        <v>128</v>
      </c>
      <c r="AF186" s="1" t="s">
        <v>130</v>
      </c>
      <c r="AG186" s="1" t="s">
        <v>53</v>
      </c>
      <c r="AH186" s="1" t="s">
        <v>49</v>
      </c>
      <c r="AI186" s="1" t="s">
        <v>54</v>
      </c>
      <c r="AJ186" s="1">
        <v>1</v>
      </c>
      <c r="AK186" s="1" t="str">
        <f t="shared" si="2"/>
        <v xml:space="preserve"> =&lt;90</v>
      </c>
      <c r="AL186" s="1" t="str">
        <f>VLOOKUP(C:C,[1]基础信息!B$1:D$65536,3,0)</f>
        <v>Jug</v>
      </c>
      <c r="AM186" s="1" t="str">
        <f>VLOOKUP(C:C,[1]基础信息!B$1:E$65536,4,0)</f>
        <v>Marella XL</v>
      </c>
      <c r="AN186" s="1" t="str">
        <f>VLOOKUP(C:C,[1]基础信息!B$1:F$65536,5,0)</f>
        <v>Blue</v>
      </c>
    </row>
    <row r="187" spans="1:40">
      <c r="A187" s="1" t="s">
        <v>41</v>
      </c>
      <c r="B187" s="1" t="s">
        <v>42</v>
      </c>
      <c r="C187" s="1" t="s">
        <v>502</v>
      </c>
      <c r="D187" s="1" t="s">
        <v>503</v>
      </c>
      <c r="E187" s="1" t="s">
        <v>502</v>
      </c>
      <c r="F187" s="1" t="s">
        <v>504</v>
      </c>
      <c r="G187" s="1" t="s">
        <v>585</v>
      </c>
      <c r="H187" s="1" t="s">
        <v>586</v>
      </c>
      <c r="I187" s="1" t="s">
        <v>49</v>
      </c>
      <c r="J187" s="1" t="s">
        <v>48</v>
      </c>
      <c r="K187" s="1">
        <v>96</v>
      </c>
      <c r="L187" s="1">
        <v>0</v>
      </c>
      <c r="M187" s="1">
        <v>0</v>
      </c>
      <c r="N187" s="1">
        <v>96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 t="s">
        <v>49</v>
      </c>
      <c r="AA187" s="1" t="s">
        <v>49</v>
      </c>
      <c r="AB187" s="1" t="s">
        <v>49</v>
      </c>
      <c r="AC187" s="1" t="s">
        <v>507</v>
      </c>
      <c r="AD187" s="1" t="s">
        <v>508</v>
      </c>
      <c r="AE187" s="1" t="s">
        <v>507</v>
      </c>
      <c r="AF187" s="1" t="s">
        <v>509</v>
      </c>
      <c r="AG187" s="1" t="s">
        <v>338</v>
      </c>
      <c r="AH187" s="1" t="s">
        <v>49</v>
      </c>
      <c r="AI187" s="1" t="s">
        <v>54</v>
      </c>
      <c r="AJ187" s="1">
        <v>1</v>
      </c>
      <c r="AK187" s="1" t="str">
        <f t="shared" si="2"/>
        <v xml:space="preserve"> =&lt;90</v>
      </c>
      <c r="AL187" s="1" t="str">
        <f>VLOOKUP(C:C,[1]基础信息!B$1:D$65536,3,0)</f>
        <v>Jug</v>
      </c>
      <c r="AM187" s="1" t="str">
        <f>VLOOKUP(C:C,[1]基础信息!B$1:E$65536,4,0)</f>
        <v>Marella XL</v>
      </c>
      <c r="AN187" s="1" t="str">
        <f>VLOOKUP(C:C,[1]基础信息!B$1:F$65536,5,0)</f>
        <v>Blue</v>
      </c>
    </row>
    <row r="188" spans="1:40">
      <c r="A188" s="1" t="s">
        <v>41</v>
      </c>
      <c r="B188" s="1" t="s">
        <v>42</v>
      </c>
      <c r="C188" s="1" t="s">
        <v>104</v>
      </c>
      <c r="D188" s="1" t="s">
        <v>105</v>
      </c>
      <c r="E188" s="1" t="s">
        <v>104</v>
      </c>
      <c r="F188" s="1" t="s">
        <v>125</v>
      </c>
      <c r="G188" s="1" t="s">
        <v>587</v>
      </c>
      <c r="H188" s="1" t="s">
        <v>588</v>
      </c>
      <c r="I188" s="1" t="s">
        <v>49</v>
      </c>
      <c r="J188" s="1" t="s">
        <v>48</v>
      </c>
      <c r="K188" s="1">
        <v>96</v>
      </c>
      <c r="L188" s="1">
        <v>0</v>
      </c>
      <c r="M188" s="1">
        <v>0</v>
      </c>
      <c r="N188" s="1">
        <v>96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 t="s">
        <v>49</v>
      </c>
      <c r="AA188" s="1" t="s">
        <v>49</v>
      </c>
      <c r="AB188" s="1" t="s">
        <v>49</v>
      </c>
      <c r="AC188" s="1" t="s">
        <v>128</v>
      </c>
      <c r="AD188" s="1" t="s">
        <v>129</v>
      </c>
      <c r="AE188" s="1" t="s">
        <v>128</v>
      </c>
      <c r="AF188" s="1" t="s">
        <v>130</v>
      </c>
      <c r="AG188" s="1" t="s">
        <v>53</v>
      </c>
      <c r="AH188" s="1" t="s">
        <v>49</v>
      </c>
      <c r="AI188" s="1" t="s">
        <v>54</v>
      </c>
      <c r="AJ188" s="1">
        <v>1</v>
      </c>
      <c r="AK188" s="1" t="str">
        <f t="shared" si="2"/>
        <v xml:space="preserve"> =&lt;90</v>
      </c>
      <c r="AL188" s="1" t="str">
        <f>VLOOKUP(C:C,[1]基础信息!B$1:D$65536,3,0)</f>
        <v>Jug</v>
      </c>
      <c r="AM188" s="1" t="str">
        <f>VLOOKUP(C:C,[1]基础信息!B$1:E$65536,4,0)</f>
        <v>Marella XL</v>
      </c>
      <c r="AN188" s="1" t="str">
        <f>VLOOKUP(C:C,[1]基础信息!B$1:F$65536,5,0)</f>
        <v>Blue</v>
      </c>
    </row>
    <row r="189" spans="1:40">
      <c r="A189" s="1" t="s">
        <v>41</v>
      </c>
      <c r="B189" s="1" t="s">
        <v>42</v>
      </c>
      <c r="C189" s="1" t="s">
        <v>104</v>
      </c>
      <c r="D189" s="1" t="s">
        <v>105</v>
      </c>
      <c r="E189" s="1" t="s">
        <v>104</v>
      </c>
      <c r="F189" s="1" t="s">
        <v>125</v>
      </c>
      <c r="G189" s="1" t="s">
        <v>589</v>
      </c>
      <c r="H189" s="1" t="s">
        <v>590</v>
      </c>
      <c r="I189" s="1" t="s">
        <v>49</v>
      </c>
      <c r="J189" s="1" t="s">
        <v>48</v>
      </c>
      <c r="K189" s="1">
        <v>96</v>
      </c>
      <c r="L189" s="1">
        <v>0</v>
      </c>
      <c r="M189" s="1">
        <v>0</v>
      </c>
      <c r="N189" s="1">
        <v>96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 t="s">
        <v>49</v>
      </c>
      <c r="AA189" s="1" t="s">
        <v>49</v>
      </c>
      <c r="AB189" s="1" t="s">
        <v>49</v>
      </c>
      <c r="AC189" s="1" t="s">
        <v>128</v>
      </c>
      <c r="AD189" s="1" t="s">
        <v>129</v>
      </c>
      <c r="AE189" s="1" t="s">
        <v>128</v>
      </c>
      <c r="AF189" s="1" t="s">
        <v>130</v>
      </c>
      <c r="AG189" s="1" t="s">
        <v>53</v>
      </c>
      <c r="AH189" s="1" t="s">
        <v>49</v>
      </c>
      <c r="AI189" s="1" t="s">
        <v>54</v>
      </c>
      <c r="AJ189" s="1">
        <v>1</v>
      </c>
      <c r="AK189" s="1" t="str">
        <f t="shared" si="2"/>
        <v xml:space="preserve"> =&lt;90</v>
      </c>
      <c r="AL189" s="1" t="str">
        <f>VLOOKUP(C:C,[1]基础信息!B$1:D$65536,3,0)</f>
        <v>Jug</v>
      </c>
      <c r="AM189" s="1" t="str">
        <f>VLOOKUP(C:C,[1]基础信息!B$1:E$65536,4,0)</f>
        <v>Marella XL</v>
      </c>
      <c r="AN189" s="1" t="str">
        <f>VLOOKUP(C:C,[1]基础信息!B$1:F$65536,5,0)</f>
        <v>Blue</v>
      </c>
    </row>
    <row r="190" spans="1:40">
      <c r="A190" s="1" t="s">
        <v>41</v>
      </c>
      <c r="B190" s="1" t="s">
        <v>42</v>
      </c>
      <c r="C190" s="1" t="s">
        <v>502</v>
      </c>
      <c r="D190" s="1" t="s">
        <v>503</v>
      </c>
      <c r="E190" s="1" t="s">
        <v>502</v>
      </c>
      <c r="F190" s="1" t="s">
        <v>504</v>
      </c>
      <c r="G190" s="1" t="s">
        <v>591</v>
      </c>
      <c r="H190" s="1" t="s">
        <v>592</v>
      </c>
      <c r="I190" s="1" t="s">
        <v>49</v>
      </c>
      <c r="J190" s="1" t="s">
        <v>48</v>
      </c>
      <c r="K190" s="1">
        <v>96</v>
      </c>
      <c r="L190" s="1">
        <v>0</v>
      </c>
      <c r="M190" s="1">
        <v>0</v>
      </c>
      <c r="N190" s="1">
        <v>96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 t="s">
        <v>49</v>
      </c>
      <c r="AA190" s="1" t="s">
        <v>49</v>
      </c>
      <c r="AB190" s="1" t="s">
        <v>49</v>
      </c>
      <c r="AC190" s="1" t="s">
        <v>507</v>
      </c>
      <c r="AD190" s="1" t="s">
        <v>508</v>
      </c>
      <c r="AE190" s="1" t="s">
        <v>507</v>
      </c>
      <c r="AF190" s="1" t="s">
        <v>509</v>
      </c>
      <c r="AG190" s="1" t="s">
        <v>338</v>
      </c>
      <c r="AH190" s="1" t="s">
        <v>49</v>
      </c>
      <c r="AI190" s="1" t="s">
        <v>54</v>
      </c>
      <c r="AJ190" s="1">
        <v>1</v>
      </c>
      <c r="AK190" s="1" t="str">
        <f t="shared" si="2"/>
        <v xml:space="preserve"> =&lt;90</v>
      </c>
      <c r="AL190" s="1" t="str">
        <f>VLOOKUP(C:C,[1]基础信息!B$1:D$65536,3,0)</f>
        <v>Jug</v>
      </c>
      <c r="AM190" s="1" t="str">
        <f>VLOOKUP(C:C,[1]基础信息!B$1:E$65536,4,0)</f>
        <v>Marella XL</v>
      </c>
      <c r="AN190" s="1" t="str">
        <f>VLOOKUP(C:C,[1]基础信息!B$1:F$65536,5,0)</f>
        <v>Blue</v>
      </c>
    </row>
    <row r="191" spans="1:40">
      <c r="A191" s="1" t="s">
        <v>41</v>
      </c>
      <c r="B191" s="1" t="s">
        <v>42</v>
      </c>
      <c r="C191" s="1" t="s">
        <v>104</v>
      </c>
      <c r="D191" s="1" t="s">
        <v>105</v>
      </c>
      <c r="E191" s="1" t="s">
        <v>104</v>
      </c>
      <c r="F191" s="1" t="s">
        <v>125</v>
      </c>
      <c r="G191" s="1" t="s">
        <v>593</v>
      </c>
      <c r="H191" s="1" t="s">
        <v>594</v>
      </c>
      <c r="I191" s="1" t="s">
        <v>49</v>
      </c>
      <c r="J191" s="1" t="s">
        <v>48</v>
      </c>
      <c r="K191" s="1">
        <v>96</v>
      </c>
      <c r="L191" s="1">
        <v>0</v>
      </c>
      <c r="M191" s="1">
        <v>0</v>
      </c>
      <c r="N191" s="1">
        <v>96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 t="s">
        <v>49</v>
      </c>
      <c r="AA191" s="1" t="s">
        <v>49</v>
      </c>
      <c r="AB191" s="1" t="s">
        <v>49</v>
      </c>
      <c r="AC191" s="1" t="s">
        <v>128</v>
      </c>
      <c r="AD191" s="1" t="s">
        <v>129</v>
      </c>
      <c r="AE191" s="1" t="s">
        <v>128</v>
      </c>
      <c r="AF191" s="1" t="s">
        <v>130</v>
      </c>
      <c r="AG191" s="1" t="s">
        <v>53</v>
      </c>
      <c r="AH191" s="1" t="s">
        <v>49</v>
      </c>
      <c r="AI191" s="1" t="s">
        <v>54</v>
      </c>
      <c r="AJ191" s="1">
        <v>1</v>
      </c>
      <c r="AK191" s="1" t="str">
        <f t="shared" si="2"/>
        <v xml:space="preserve"> =&lt;90</v>
      </c>
      <c r="AL191" s="1" t="str">
        <f>VLOOKUP(C:C,[1]基础信息!B$1:D$65536,3,0)</f>
        <v>Jug</v>
      </c>
      <c r="AM191" s="1" t="str">
        <f>VLOOKUP(C:C,[1]基础信息!B$1:E$65536,4,0)</f>
        <v>Marella XL</v>
      </c>
      <c r="AN191" s="1" t="str">
        <f>VLOOKUP(C:C,[1]基础信息!B$1:F$65536,5,0)</f>
        <v>Blue</v>
      </c>
    </row>
    <row r="192" spans="1:40">
      <c r="A192" s="1" t="s">
        <v>41</v>
      </c>
      <c r="B192" s="1" t="s">
        <v>42</v>
      </c>
      <c r="C192" s="1" t="s">
        <v>502</v>
      </c>
      <c r="D192" s="1" t="s">
        <v>503</v>
      </c>
      <c r="E192" s="1" t="s">
        <v>502</v>
      </c>
      <c r="F192" s="1" t="s">
        <v>504</v>
      </c>
      <c r="G192" s="1" t="s">
        <v>595</v>
      </c>
      <c r="H192" s="1" t="s">
        <v>596</v>
      </c>
      <c r="I192" s="1" t="s">
        <v>49</v>
      </c>
      <c r="J192" s="1" t="s">
        <v>48</v>
      </c>
      <c r="K192" s="1">
        <v>96</v>
      </c>
      <c r="L192" s="1">
        <v>0</v>
      </c>
      <c r="M192" s="1">
        <v>0</v>
      </c>
      <c r="N192" s="1">
        <v>96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 t="s">
        <v>49</v>
      </c>
      <c r="AA192" s="1" t="s">
        <v>49</v>
      </c>
      <c r="AB192" s="1" t="s">
        <v>49</v>
      </c>
      <c r="AC192" s="1" t="s">
        <v>507</v>
      </c>
      <c r="AD192" s="1" t="s">
        <v>508</v>
      </c>
      <c r="AE192" s="1" t="s">
        <v>507</v>
      </c>
      <c r="AF192" s="1" t="s">
        <v>509</v>
      </c>
      <c r="AG192" s="1" t="s">
        <v>338</v>
      </c>
      <c r="AH192" s="1" t="s">
        <v>49</v>
      </c>
      <c r="AI192" s="1" t="s">
        <v>54</v>
      </c>
      <c r="AJ192" s="1">
        <v>1</v>
      </c>
      <c r="AK192" s="1" t="str">
        <f t="shared" si="2"/>
        <v xml:space="preserve"> =&lt;90</v>
      </c>
      <c r="AL192" s="1" t="str">
        <f>VLOOKUP(C:C,[1]基础信息!B$1:D$65536,3,0)</f>
        <v>Jug</v>
      </c>
      <c r="AM192" s="1" t="str">
        <f>VLOOKUP(C:C,[1]基础信息!B$1:E$65536,4,0)</f>
        <v>Marella XL</v>
      </c>
      <c r="AN192" s="1" t="str">
        <f>VLOOKUP(C:C,[1]基础信息!B$1:F$65536,5,0)</f>
        <v>Blue</v>
      </c>
    </row>
    <row r="193" spans="1:40">
      <c r="A193" s="1" t="s">
        <v>41</v>
      </c>
      <c r="B193" s="1" t="s">
        <v>42</v>
      </c>
      <c r="C193" s="1" t="s">
        <v>83</v>
      </c>
      <c r="D193" s="1" t="s">
        <v>84</v>
      </c>
      <c r="E193" s="1" t="s">
        <v>45</v>
      </c>
      <c r="F193" s="1" t="s">
        <v>467</v>
      </c>
      <c r="G193" s="1" t="s">
        <v>597</v>
      </c>
      <c r="H193" s="1" t="s">
        <v>598</v>
      </c>
      <c r="I193" s="1" t="s">
        <v>49</v>
      </c>
      <c r="J193" s="1" t="s">
        <v>48</v>
      </c>
      <c r="K193" s="1">
        <v>96</v>
      </c>
      <c r="L193" s="1">
        <v>0</v>
      </c>
      <c r="M193" s="1">
        <v>0</v>
      </c>
      <c r="N193" s="1">
        <v>96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 t="s">
        <v>49</v>
      </c>
      <c r="AA193" s="1" t="s">
        <v>49</v>
      </c>
      <c r="AB193" s="1" t="s">
        <v>49</v>
      </c>
      <c r="AC193" s="1" t="s">
        <v>470</v>
      </c>
      <c r="AD193" s="1" t="s">
        <v>471</v>
      </c>
      <c r="AE193" s="1" t="s">
        <v>470</v>
      </c>
      <c r="AF193" s="1" t="s">
        <v>472</v>
      </c>
      <c r="AG193" s="1" t="s">
        <v>53</v>
      </c>
      <c r="AH193" s="1" t="s">
        <v>49</v>
      </c>
      <c r="AI193" s="1" t="s">
        <v>54</v>
      </c>
      <c r="AJ193" s="1">
        <v>1</v>
      </c>
      <c r="AK193" s="1" t="str">
        <f t="shared" si="2"/>
        <v xml:space="preserve"> =&lt;90</v>
      </c>
      <c r="AL193" s="1" t="str">
        <f>VLOOKUP(C:C,[1]基础信息!B$1:D$65536,3,0)</f>
        <v>Jug</v>
      </c>
      <c r="AM193" s="1" t="str">
        <f>VLOOKUP(C:C,[1]基础信息!B$1:E$65536,4,0)</f>
        <v>Mxplus</v>
      </c>
      <c r="AN193" s="1" t="str">
        <f>VLOOKUP(C:C,[1]基础信息!B$1:F$65536,5,0)</f>
        <v>Blue</v>
      </c>
    </row>
    <row r="194" spans="1:40">
      <c r="A194" s="1" t="s">
        <v>41</v>
      </c>
      <c r="B194" s="1" t="s">
        <v>42</v>
      </c>
      <c r="C194" s="1" t="s">
        <v>554</v>
      </c>
      <c r="D194" s="1" t="s">
        <v>555</v>
      </c>
      <c r="E194" s="1" t="s">
        <v>45</v>
      </c>
      <c r="F194" s="1" t="s">
        <v>556</v>
      </c>
      <c r="G194" s="1" t="s">
        <v>599</v>
      </c>
      <c r="H194" s="1" t="s">
        <v>600</v>
      </c>
      <c r="I194" s="1" t="s">
        <v>49</v>
      </c>
      <c r="J194" s="1" t="s">
        <v>48</v>
      </c>
      <c r="K194" s="1">
        <v>70</v>
      </c>
      <c r="L194" s="1">
        <v>0</v>
      </c>
      <c r="M194" s="1">
        <v>0</v>
      </c>
      <c r="N194" s="1">
        <v>70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 t="s">
        <v>49</v>
      </c>
      <c r="AA194" s="1" t="s">
        <v>49</v>
      </c>
      <c r="AB194" s="1" t="s">
        <v>49</v>
      </c>
      <c r="AC194" s="1" t="s">
        <v>414</v>
      </c>
      <c r="AD194" s="1" t="s">
        <v>415</v>
      </c>
      <c r="AE194" s="1" t="s">
        <v>416</v>
      </c>
      <c r="AF194" s="1" t="s">
        <v>559</v>
      </c>
      <c r="AG194" s="1" t="s">
        <v>53</v>
      </c>
      <c r="AH194" s="1" t="s">
        <v>49</v>
      </c>
      <c r="AI194" s="1" t="s">
        <v>54</v>
      </c>
      <c r="AJ194" s="1">
        <v>1</v>
      </c>
      <c r="AK194" s="1" t="str">
        <f t="shared" ref="AK194:AK257" si="3">IF(AJ194&gt;$AP$2,$AQ$2,IF(AJ194&gt;$AP$3,$AQ$3,IF(AJ194&gt;$AP$4,$AQ$4,$AQ$5)))</f>
        <v xml:space="preserve"> =&lt;90</v>
      </c>
      <c r="AL194" s="1" t="str">
        <f>VLOOKUP(C:C,[1]基础信息!B$1:D$65536,3,0)</f>
        <v>Jug</v>
      </c>
      <c r="AM194" s="1" t="str">
        <f>VLOOKUP(C:C,[1]基础信息!B$1:E$65536,4,0)</f>
        <v>Green Pack</v>
      </c>
      <c r="AN194" s="1" t="str">
        <f>VLOOKUP(C:C,[1]基础信息!B$1:F$65536,5,0)</f>
        <v>Blue</v>
      </c>
    </row>
    <row r="195" spans="1:40">
      <c r="A195" s="1" t="s">
        <v>41</v>
      </c>
      <c r="B195" s="1" t="s">
        <v>42</v>
      </c>
      <c r="C195" s="1" t="s">
        <v>502</v>
      </c>
      <c r="D195" s="1" t="s">
        <v>503</v>
      </c>
      <c r="E195" s="1" t="s">
        <v>502</v>
      </c>
      <c r="F195" s="1" t="s">
        <v>504</v>
      </c>
      <c r="G195" s="1" t="s">
        <v>601</v>
      </c>
      <c r="H195" s="1" t="s">
        <v>602</v>
      </c>
      <c r="I195" s="1" t="s">
        <v>49</v>
      </c>
      <c r="J195" s="1" t="s">
        <v>48</v>
      </c>
      <c r="K195" s="1">
        <v>96</v>
      </c>
      <c r="L195" s="1">
        <v>0</v>
      </c>
      <c r="M195" s="1">
        <v>0</v>
      </c>
      <c r="N195" s="1">
        <v>96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 t="s">
        <v>49</v>
      </c>
      <c r="AA195" s="1" t="s">
        <v>49</v>
      </c>
      <c r="AB195" s="1" t="s">
        <v>49</v>
      </c>
      <c r="AC195" s="1" t="s">
        <v>507</v>
      </c>
      <c r="AD195" s="1" t="s">
        <v>508</v>
      </c>
      <c r="AE195" s="1" t="s">
        <v>507</v>
      </c>
      <c r="AF195" s="1" t="s">
        <v>509</v>
      </c>
      <c r="AG195" s="1" t="s">
        <v>338</v>
      </c>
      <c r="AH195" s="1" t="s">
        <v>49</v>
      </c>
      <c r="AI195" s="1" t="s">
        <v>54</v>
      </c>
      <c r="AJ195" s="1">
        <v>1</v>
      </c>
      <c r="AK195" s="1" t="str">
        <f t="shared" si="3"/>
        <v xml:space="preserve"> =&lt;90</v>
      </c>
      <c r="AL195" s="1" t="str">
        <f>VLOOKUP(C:C,[1]基础信息!B$1:D$65536,3,0)</f>
        <v>Jug</v>
      </c>
      <c r="AM195" s="1" t="str">
        <f>VLOOKUP(C:C,[1]基础信息!B$1:E$65536,4,0)</f>
        <v>Marella XL</v>
      </c>
      <c r="AN195" s="1" t="str">
        <f>VLOOKUP(C:C,[1]基础信息!B$1:F$65536,5,0)</f>
        <v>Blue</v>
      </c>
    </row>
    <row r="196" spans="1:40">
      <c r="A196" s="1" t="s">
        <v>41</v>
      </c>
      <c r="B196" s="1" t="s">
        <v>42</v>
      </c>
      <c r="C196" s="1" t="s">
        <v>554</v>
      </c>
      <c r="D196" s="1" t="s">
        <v>555</v>
      </c>
      <c r="E196" s="1" t="s">
        <v>45</v>
      </c>
      <c r="F196" s="1" t="s">
        <v>556</v>
      </c>
      <c r="G196" s="1" t="s">
        <v>603</v>
      </c>
      <c r="H196" s="1" t="s">
        <v>604</v>
      </c>
      <c r="I196" s="1" t="s">
        <v>49</v>
      </c>
      <c r="J196" s="1" t="s">
        <v>48</v>
      </c>
      <c r="K196" s="1">
        <v>70</v>
      </c>
      <c r="L196" s="1">
        <v>0</v>
      </c>
      <c r="M196" s="1">
        <v>0</v>
      </c>
      <c r="N196" s="1">
        <v>70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 t="s">
        <v>49</v>
      </c>
      <c r="AA196" s="1" t="s">
        <v>49</v>
      </c>
      <c r="AB196" s="1" t="s">
        <v>49</v>
      </c>
      <c r="AC196" s="1" t="s">
        <v>414</v>
      </c>
      <c r="AD196" s="1" t="s">
        <v>415</v>
      </c>
      <c r="AE196" s="1" t="s">
        <v>416</v>
      </c>
      <c r="AF196" s="1" t="s">
        <v>559</v>
      </c>
      <c r="AG196" s="1" t="s">
        <v>53</v>
      </c>
      <c r="AH196" s="1" t="s">
        <v>49</v>
      </c>
      <c r="AI196" s="1" t="s">
        <v>54</v>
      </c>
      <c r="AJ196" s="1">
        <v>1</v>
      </c>
      <c r="AK196" s="1" t="str">
        <f t="shared" si="3"/>
        <v xml:space="preserve"> =&lt;90</v>
      </c>
      <c r="AL196" s="1" t="str">
        <f>VLOOKUP(C:C,[1]基础信息!B$1:D$65536,3,0)</f>
        <v>Jug</v>
      </c>
      <c r="AM196" s="1" t="str">
        <f>VLOOKUP(C:C,[1]基础信息!B$1:E$65536,4,0)</f>
        <v>Green Pack</v>
      </c>
      <c r="AN196" s="1" t="str">
        <f>VLOOKUP(C:C,[1]基础信息!B$1:F$65536,5,0)</f>
        <v>Blue</v>
      </c>
    </row>
    <row r="197" spans="1:40">
      <c r="A197" s="1" t="s">
        <v>41</v>
      </c>
      <c r="B197" s="1" t="s">
        <v>42</v>
      </c>
      <c r="C197" s="1" t="s">
        <v>83</v>
      </c>
      <c r="D197" s="1" t="s">
        <v>84</v>
      </c>
      <c r="E197" s="1" t="s">
        <v>45</v>
      </c>
      <c r="F197" s="1" t="s">
        <v>467</v>
      </c>
      <c r="G197" s="1" t="s">
        <v>605</v>
      </c>
      <c r="H197" s="1" t="s">
        <v>606</v>
      </c>
      <c r="I197" s="1" t="s">
        <v>49</v>
      </c>
      <c r="J197" s="1" t="s">
        <v>48</v>
      </c>
      <c r="K197" s="1">
        <v>96</v>
      </c>
      <c r="L197" s="1">
        <v>0</v>
      </c>
      <c r="M197" s="1">
        <v>0</v>
      </c>
      <c r="N197" s="1">
        <v>96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 t="s">
        <v>49</v>
      </c>
      <c r="AA197" s="1" t="s">
        <v>49</v>
      </c>
      <c r="AB197" s="1" t="s">
        <v>49</v>
      </c>
      <c r="AC197" s="1" t="s">
        <v>470</v>
      </c>
      <c r="AD197" s="1" t="s">
        <v>471</v>
      </c>
      <c r="AE197" s="1" t="s">
        <v>470</v>
      </c>
      <c r="AF197" s="1" t="s">
        <v>472</v>
      </c>
      <c r="AG197" s="1" t="s">
        <v>53</v>
      </c>
      <c r="AH197" s="1" t="s">
        <v>49</v>
      </c>
      <c r="AI197" s="1" t="s">
        <v>54</v>
      </c>
      <c r="AJ197" s="1">
        <v>1</v>
      </c>
      <c r="AK197" s="1" t="str">
        <f t="shared" si="3"/>
        <v xml:space="preserve"> =&lt;90</v>
      </c>
      <c r="AL197" s="1" t="str">
        <f>VLOOKUP(C:C,[1]基础信息!B$1:D$65536,3,0)</f>
        <v>Jug</v>
      </c>
      <c r="AM197" s="1" t="str">
        <f>VLOOKUP(C:C,[1]基础信息!B$1:E$65536,4,0)</f>
        <v>Mxplus</v>
      </c>
      <c r="AN197" s="1" t="str">
        <f>VLOOKUP(C:C,[1]基础信息!B$1:F$65536,5,0)</f>
        <v>Blue</v>
      </c>
    </row>
    <row r="198" spans="1:40">
      <c r="A198" s="1" t="s">
        <v>41</v>
      </c>
      <c r="B198" s="1" t="s">
        <v>42</v>
      </c>
      <c r="C198" s="1" t="s">
        <v>554</v>
      </c>
      <c r="D198" s="1" t="s">
        <v>555</v>
      </c>
      <c r="E198" s="1" t="s">
        <v>45</v>
      </c>
      <c r="F198" s="1" t="s">
        <v>556</v>
      </c>
      <c r="G198" s="1" t="s">
        <v>607</v>
      </c>
      <c r="H198" s="1" t="s">
        <v>608</v>
      </c>
      <c r="I198" s="1" t="s">
        <v>49</v>
      </c>
      <c r="J198" s="1" t="s">
        <v>48</v>
      </c>
      <c r="K198" s="1">
        <v>70</v>
      </c>
      <c r="L198" s="1">
        <v>0</v>
      </c>
      <c r="M198" s="1">
        <v>0</v>
      </c>
      <c r="N198" s="1">
        <v>70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 t="s">
        <v>49</v>
      </c>
      <c r="AA198" s="1" t="s">
        <v>49</v>
      </c>
      <c r="AB198" s="1" t="s">
        <v>49</v>
      </c>
      <c r="AC198" s="1" t="s">
        <v>414</v>
      </c>
      <c r="AD198" s="1" t="s">
        <v>415</v>
      </c>
      <c r="AE198" s="1" t="s">
        <v>416</v>
      </c>
      <c r="AF198" s="1" t="s">
        <v>559</v>
      </c>
      <c r="AG198" s="1" t="s">
        <v>53</v>
      </c>
      <c r="AH198" s="1" t="s">
        <v>49</v>
      </c>
      <c r="AI198" s="1" t="s">
        <v>54</v>
      </c>
      <c r="AJ198" s="1">
        <v>1</v>
      </c>
      <c r="AK198" s="1" t="str">
        <f t="shared" si="3"/>
        <v xml:space="preserve"> =&lt;90</v>
      </c>
      <c r="AL198" s="1" t="str">
        <f>VLOOKUP(C:C,[1]基础信息!B$1:D$65536,3,0)</f>
        <v>Jug</v>
      </c>
      <c r="AM198" s="1" t="str">
        <f>VLOOKUP(C:C,[1]基础信息!B$1:E$65536,4,0)</f>
        <v>Green Pack</v>
      </c>
      <c r="AN198" s="1" t="str">
        <f>VLOOKUP(C:C,[1]基础信息!B$1:F$65536,5,0)</f>
        <v>Blue</v>
      </c>
    </row>
    <row r="199" spans="1:40">
      <c r="A199" s="1" t="s">
        <v>41</v>
      </c>
      <c r="B199" s="1" t="s">
        <v>42</v>
      </c>
      <c r="C199" s="1" t="s">
        <v>162</v>
      </c>
      <c r="D199" s="1" t="s">
        <v>163</v>
      </c>
      <c r="E199" s="1" t="s">
        <v>45</v>
      </c>
      <c r="F199" s="1" t="s">
        <v>164</v>
      </c>
      <c r="G199" s="1" t="s">
        <v>609</v>
      </c>
      <c r="H199" s="1" t="s">
        <v>610</v>
      </c>
      <c r="I199" s="1" t="s">
        <v>49</v>
      </c>
      <c r="J199" s="1" t="s">
        <v>48</v>
      </c>
      <c r="K199" s="1">
        <v>60</v>
      </c>
      <c r="L199" s="1">
        <v>0</v>
      </c>
      <c r="M199" s="1">
        <v>0</v>
      </c>
      <c r="N199" s="1">
        <v>60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 t="s">
        <v>49</v>
      </c>
      <c r="AA199" s="1" t="s">
        <v>49</v>
      </c>
      <c r="AB199" s="1" t="s">
        <v>49</v>
      </c>
      <c r="AC199" s="1" t="s">
        <v>167</v>
      </c>
      <c r="AD199" s="1" t="s">
        <v>168</v>
      </c>
      <c r="AE199" s="1" t="s">
        <v>169</v>
      </c>
      <c r="AF199" s="1" t="s">
        <v>170</v>
      </c>
      <c r="AG199" s="1" t="s">
        <v>53</v>
      </c>
      <c r="AH199" s="1" t="s">
        <v>49</v>
      </c>
      <c r="AI199" s="1" t="s">
        <v>54</v>
      </c>
      <c r="AJ199" s="1">
        <v>1</v>
      </c>
      <c r="AK199" s="1" t="str">
        <f t="shared" si="3"/>
        <v xml:space="preserve"> =&lt;90</v>
      </c>
      <c r="AL199" s="1" t="str">
        <f>VLOOKUP(C:C,[1]基础信息!B$1:D$65536,3,0)</f>
        <v>Jug</v>
      </c>
      <c r="AM199" s="1" t="str">
        <f>VLOOKUP(C:C,[1]基础信息!B$1:E$65536,4,0)</f>
        <v>Style</v>
      </c>
      <c r="AN199" s="1" t="str">
        <f>VLOOKUP(C:C,[1]基础信息!B$1:F$65536,5,0)</f>
        <v>Blue</v>
      </c>
    </row>
    <row r="200" spans="1:40">
      <c r="A200" s="1" t="s">
        <v>41</v>
      </c>
      <c r="B200" s="1" t="s">
        <v>42</v>
      </c>
      <c r="C200" s="1" t="s">
        <v>83</v>
      </c>
      <c r="D200" s="1" t="s">
        <v>84</v>
      </c>
      <c r="E200" s="1" t="s">
        <v>45</v>
      </c>
      <c r="F200" s="1" t="s">
        <v>467</v>
      </c>
      <c r="G200" s="1" t="s">
        <v>611</v>
      </c>
      <c r="H200" s="1" t="s">
        <v>612</v>
      </c>
      <c r="I200" s="1" t="s">
        <v>49</v>
      </c>
      <c r="J200" s="1" t="s">
        <v>48</v>
      </c>
      <c r="K200" s="1">
        <v>96</v>
      </c>
      <c r="L200" s="1">
        <v>0</v>
      </c>
      <c r="M200" s="1">
        <v>0</v>
      </c>
      <c r="N200" s="1">
        <v>96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 t="s">
        <v>49</v>
      </c>
      <c r="AA200" s="1" t="s">
        <v>49</v>
      </c>
      <c r="AB200" s="1" t="s">
        <v>49</v>
      </c>
      <c r="AC200" s="1" t="s">
        <v>470</v>
      </c>
      <c r="AD200" s="1" t="s">
        <v>471</v>
      </c>
      <c r="AE200" s="1" t="s">
        <v>470</v>
      </c>
      <c r="AF200" s="1" t="s">
        <v>472</v>
      </c>
      <c r="AG200" s="1" t="s">
        <v>53</v>
      </c>
      <c r="AH200" s="1" t="s">
        <v>49</v>
      </c>
      <c r="AI200" s="1" t="s">
        <v>54</v>
      </c>
      <c r="AJ200" s="1">
        <v>1</v>
      </c>
      <c r="AK200" s="1" t="str">
        <f t="shared" si="3"/>
        <v xml:space="preserve"> =&lt;90</v>
      </c>
      <c r="AL200" s="1" t="str">
        <f>VLOOKUP(C:C,[1]基础信息!B$1:D$65536,3,0)</f>
        <v>Jug</v>
      </c>
      <c r="AM200" s="1" t="str">
        <f>VLOOKUP(C:C,[1]基础信息!B$1:E$65536,4,0)</f>
        <v>Mxplus</v>
      </c>
      <c r="AN200" s="1" t="str">
        <f>VLOOKUP(C:C,[1]基础信息!B$1:F$65536,5,0)</f>
        <v>Blue</v>
      </c>
    </row>
    <row r="201" spans="1:40">
      <c r="A201" s="1" t="s">
        <v>41</v>
      </c>
      <c r="B201" s="1" t="s">
        <v>42</v>
      </c>
      <c r="C201" s="1" t="s">
        <v>162</v>
      </c>
      <c r="D201" s="1" t="s">
        <v>163</v>
      </c>
      <c r="E201" s="1" t="s">
        <v>45</v>
      </c>
      <c r="F201" s="1" t="s">
        <v>164</v>
      </c>
      <c r="G201" s="1" t="s">
        <v>613</v>
      </c>
      <c r="H201" s="1" t="s">
        <v>614</v>
      </c>
      <c r="I201" s="1" t="s">
        <v>49</v>
      </c>
      <c r="J201" s="1" t="s">
        <v>48</v>
      </c>
      <c r="K201" s="1">
        <v>60</v>
      </c>
      <c r="L201" s="1">
        <v>0</v>
      </c>
      <c r="M201" s="1">
        <v>0</v>
      </c>
      <c r="N201" s="1">
        <v>60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 t="s">
        <v>49</v>
      </c>
      <c r="AA201" s="1" t="s">
        <v>49</v>
      </c>
      <c r="AB201" s="1" t="s">
        <v>49</v>
      </c>
      <c r="AC201" s="1" t="s">
        <v>167</v>
      </c>
      <c r="AD201" s="1" t="s">
        <v>168</v>
      </c>
      <c r="AE201" s="1" t="s">
        <v>169</v>
      </c>
      <c r="AF201" s="1" t="s">
        <v>170</v>
      </c>
      <c r="AG201" s="1" t="s">
        <v>53</v>
      </c>
      <c r="AH201" s="1" t="s">
        <v>49</v>
      </c>
      <c r="AI201" s="1" t="s">
        <v>54</v>
      </c>
      <c r="AJ201" s="1">
        <v>1</v>
      </c>
      <c r="AK201" s="1" t="str">
        <f t="shared" si="3"/>
        <v xml:space="preserve"> =&lt;90</v>
      </c>
      <c r="AL201" s="1" t="str">
        <f>VLOOKUP(C:C,[1]基础信息!B$1:D$65536,3,0)</f>
        <v>Jug</v>
      </c>
      <c r="AM201" s="1" t="str">
        <f>VLOOKUP(C:C,[1]基础信息!B$1:E$65536,4,0)</f>
        <v>Style</v>
      </c>
      <c r="AN201" s="1" t="str">
        <f>VLOOKUP(C:C,[1]基础信息!B$1:F$65536,5,0)</f>
        <v>Blue</v>
      </c>
    </row>
    <row r="202" spans="1:40">
      <c r="A202" s="1" t="s">
        <v>41</v>
      </c>
      <c r="B202" s="1" t="s">
        <v>42</v>
      </c>
      <c r="C202" s="1" t="s">
        <v>554</v>
      </c>
      <c r="D202" s="1" t="s">
        <v>555</v>
      </c>
      <c r="E202" s="1" t="s">
        <v>45</v>
      </c>
      <c r="F202" s="1" t="s">
        <v>556</v>
      </c>
      <c r="G202" s="1" t="s">
        <v>615</v>
      </c>
      <c r="H202" s="1" t="s">
        <v>616</v>
      </c>
      <c r="I202" s="1" t="s">
        <v>49</v>
      </c>
      <c r="J202" s="1" t="s">
        <v>48</v>
      </c>
      <c r="K202" s="1">
        <v>70</v>
      </c>
      <c r="L202" s="1">
        <v>0</v>
      </c>
      <c r="M202" s="1">
        <v>0</v>
      </c>
      <c r="N202" s="1">
        <v>70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 t="s">
        <v>49</v>
      </c>
      <c r="AA202" s="1" t="s">
        <v>49</v>
      </c>
      <c r="AB202" s="1" t="s">
        <v>49</v>
      </c>
      <c r="AC202" s="1" t="s">
        <v>414</v>
      </c>
      <c r="AD202" s="1" t="s">
        <v>415</v>
      </c>
      <c r="AE202" s="1" t="s">
        <v>416</v>
      </c>
      <c r="AF202" s="1" t="s">
        <v>559</v>
      </c>
      <c r="AG202" s="1" t="s">
        <v>53</v>
      </c>
      <c r="AH202" s="1" t="s">
        <v>49</v>
      </c>
      <c r="AI202" s="1" t="s">
        <v>54</v>
      </c>
      <c r="AJ202" s="1">
        <v>1</v>
      </c>
      <c r="AK202" s="1" t="str">
        <f t="shared" si="3"/>
        <v xml:space="preserve"> =&lt;90</v>
      </c>
      <c r="AL202" s="1" t="str">
        <f>VLOOKUP(C:C,[1]基础信息!B$1:D$65536,3,0)</f>
        <v>Jug</v>
      </c>
      <c r="AM202" s="1" t="str">
        <f>VLOOKUP(C:C,[1]基础信息!B$1:E$65536,4,0)</f>
        <v>Green Pack</v>
      </c>
      <c r="AN202" s="1" t="str">
        <f>VLOOKUP(C:C,[1]基础信息!B$1:F$65536,5,0)</f>
        <v>Blue</v>
      </c>
    </row>
    <row r="203" spans="1:40">
      <c r="A203" s="1" t="s">
        <v>41</v>
      </c>
      <c r="B203" s="1" t="s">
        <v>42</v>
      </c>
      <c r="C203" s="1" t="s">
        <v>481</v>
      </c>
      <c r="D203" s="1" t="s">
        <v>482</v>
      </c>
      <c r="E203" s="1" t="s">
        <v>45</v>
      </c>
      <c r="F203" s="1" t="s">
        <v>483</v>
      </c>
      <c r="G203" s="1" t="s">
        <v>617</v>
      </c>
      <c r="H203" s="1" t="s">
        <v>618</v>
      </c>
      <c r="I203" s="1" t="s">
        <v>49</v>
      </c>
      <c r="J203" s="1" t="s">
        <v>48</v>
      </c>
      <c r="K203" s="1">
        <v>168</v>
      </c>
      <c r="L203" s="1">
        <v>0</v>
      </c>
      <c r="M203" s="1">
        <v>0</v>
      </c>
      <c r="N203" s="1">
        <v>168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 t="s">
        <v>49</v>
      </c>
      <c r="AA203" s="1" t="s">
        <v>49</v>
      </c>
      <c r="AB203" s="1" t="s">
        <v>49</v>
      </c>
      <c r="AC203" s="1" t="s">
        <v>486</v>
      </c>
      <c r="AD203" s="1" t="s">
        <v>487</v>
      </c>
      <c r="AE203" s="1" t="s">
        <v>486</v>
      </c>
      <c r="AF203" s="1" t="s">
        <v>488</v>
      </c>
      <c r="AG203" s="1" t="s">
        <v>53</v>
      </c>
      <c r="AH203" s="1" t="s">
        <v>49</v>
      </c>
      <c r="AI203" s="1" t="s">
        <v>54</v>
      </c>
      <c r="AJ203" s="1">
        <v>1</v>
      </c>
      <c r="AK203" s="1" t="str">
        <f t="shared" si="3"/>
        <v xml:space="preserve"> =&lt;90</v>
      </c>
      <c r="AL203" s="1" t="str">
        <f>VLOOKUP(C:C,[1]基础信息!B$1:D$65536,3,0)</f>
        <v>Jug</v>
      </c>
      <c r="AM203" s="1" t="str">
        <f>VLOOKUP(C:C,[1]基础信息!B$1:E$65536,4,0)</f>
        <v>Style COOL</v>
      </c>
      <c r="AN203" s="1" t="str">
        <f>VLOOKUP(C:C,[1]基础信息!B$1:F$65536,5,0)</f>
        <v>Cool Blue</v>
      </c>
    </row>
    <row r="204" spans="1:40">
      <c r="A204" s="1" t="s">
        <v>41</v>
      </c>
      <c r="B204" s="1" t="s">
        <v>42</v>
      </c>
      <c r="C204" s="1" t="s">
        <v>481</v>
      </c>
      <c r="D204" s="1" t="s">
        <v>482</v>
      </c>
      <c r="E204" s="1" t="s">
        <v>45</v>
      </c>
      <c r="F204" s="1" t="s">
        <v>483</v>
      </c>
      <c r="G204" s="1" t="s">
        <v>619</v>
      </c>
      <c r="H204" s="1" t="s">
        <v>620</v>
      </c>
      <c r="I204" s="1" t="s">
        <v>49</v>
      </c>
      <c r="J204" s="1" t="s">
        <v>48</v>
      </c>
      <c r="K204" s="1">
        <v>168</v>
      </c>
      <c r="L204" s="1">
        <v>0</v>
      </c>
      <c r="M204" s="1">
        <v>0</v>
      </c>
      <c r="N204" s="1">
        <v>168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 t="s">
        <v>49</v>
      </c>
      <c r="AA204" s="1" t="s">
        <v>49</v>
      </c>
      <c r="AB204" s="1" t="s">
        <v>49</v>
      </c>
      <c r="AC204" s="1" t="s">
        <v>486</v>
      </c>
      <c r="AD204" s="1" t="s">
        <v>487</v>
      </c>
      <c r="AE204" s="1" t="s">
        <v>486</v>
      </c>
      <c r="AF204" s="1" t="s">
        <v>488</v>
      </c>
      <c r="AG204" s="1" t="s">
        <v>53</v>
      </c>
      <c r="AH204" s="1" t="s">
        <v>49</v>
      </c>
      <c r="AI204" s="1" t="s">
        <v>54</v>
      </c>
      <c r="AJ204" s="1">
        <v>1</v>
      </c>
      <c r="AK204" s="1" t="str">
        <f t="shared" si="3"/>
        <v xml:space="preserve"> =&lt;90</v>
      </c>
      <c r="AL204" s="1" t="str">
        <f>VLOOKUP(C:C,[1]基础信息!B$1:D$65536,3,0)</f>
        <v>Jug</v>
      </c>
      <c r="AM204" s="1" t="str">
        <f>VLOOKUP(C:C,[1]基础信息!B$1:E$65536,4,0)</f>
        <v>Style COOL</v>
      </c>
      <c r="AN204" s="1" t="str">
        <f>VLOOKUP(C:C,[1]基础信息!B$1:F$65536,5,0)</f>
        <v>Cool Blue</v>
      </c>
    </row>
    <row r="205" spans="1:40">
      <c r="A205" s="1" t="s">
        <v>41</v>
      </c>
      <c r="B205" s="1" t="s">
        <v>42</v>
      </c>
      <c r="C205" s="1" t="s">
        <v>481</v>
      </c>
      <c r="D205" s="1" t="s">
        <v>482</v>
      </c>
      <c r="E205" s="1" t="s">
        <v>45</v>
      </c>
      <c r="F205" s="1" t="s">
        <v>483</v>
      </c>
      <c r="G205" s="1" t="s">
        <v>621</v>
      </c>
      <c r="H205" s="1" t="s">
        <v>622</v>
      </c>
      <c r="I205" s="1" t="s">
        <v>49</v>
      </c>
      <c r="J205" s="1" t="s">
        <v>48</v>
      </c>
      <c r="K205" s="1">
        <v>168</v>
      </c>
      <c r="L205" s="1">
        <v>0</v>
      </c>
      <c r="M205" s="1">
        <v>0</v>
      </c>
      <c r="N205" s="1">
        <v>168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 t="s">
        <v>49</v>
      </c>
      <c r="AA205" s="1" t="s">
        <v>49</v>
      </c>
      <c r="AB205" s="1" t="s">
        <v>49</v>
      </c>
      <c r="AC205" s="1" t="s">
        <v>486</v>
      </c>
      <c r="AD205" s="1" t="s">
        <v>487</v>
      </c>
      <c r="AE205" s="1" t="s">
        <v>486</v>
      </c>
      <c r="AF205" s="1" t="s">
        <v>488</v>
      </c>
      <c r="AG205" s="1" t="s">
        <v>53</v>
      </c>
      <c r="AH205" s="1" t="s">
        <v>49</v>
      </c>
      <c r="AI205" s="1" t="s">
        <v>54</v>
      </c>
      <c r="AJ205" s="1">
        <v>1</v>
      </c>
      <c r="AK205" s="1" t="str">
        <f t="shared" si="3"/>
        <v xml:space="preserve"> =&lt;90</v>
      </c>
      <c r="AL205" s="1" t="str">
        <f>VLOOKUP(C:C,[1]基础信息!B$1:D$65536,3,0)</f>
        <v>Jug</v>
      </c>
      <c r="AM205" s="1" t="str">
        <f>VLOOKUP(C:C,[1]基础信息!B$1:E$65536,4,0)</f>
        <v>Style COOL</v>
      </c>
      <c r="AN205" s="1" t="str">
        <f>VLOOKUP(C:C,[1]基础信息!B$1:F$65536,5,0)</f>
        <v>Cool Blue</v>
      </c>
    </row>
    <row r="206" spans="1:40">
      <c r="A206" s="1" t="s">
        <v>41</v>
      </c>
      <c r="B206" s="1" t="s">
        <v>42</v>
      </c>
      <c r="C206" s="1" t="s">
        <v>554</v>
      </c>
      <c r="D206" s="1" t="s">
        <v>555</v>
      </c>
      <c r="E206" s="1" t="s">
        <v>45</v>
      </c>
      <c r="F206" s="1" t="s">
        <v>556</v>
      </c>
      <c r="G206" s="1" t="s">
        <v>623</v>
      </c>
      <c r="H206" s="1" t="s">
        <v>624</v>
      </c>
      <c r="I206" s="1" t="s">
        <v>49</v>
      </c>
      <c r="J206" s="1" t="s">
        <v>48</v>
      </c>
      <c r="K206" s="1">
        <v>70</v>
      </c>
      <c r="L206" s="1">
        <v>0</v>
      </c>
      <c r="M206" s="1">
        <v>0</v>
      </c>
      <c r="N206" s="1">
        <v>70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 t="s">
        <v>49</v>
      </c>
      <c r="AA206" s="1" t="s">
        <v>49</v>
      </c>
      <c r="AB206" s="1" t="s">
        <v>49</v>
      </c>
      <c r="AC206" s="1" t="s">
        <v>414</v>
      </c>
      <c r="AD206" s="1" t="s">
        <v>415</v>
      </c>
      <c r="AE206" s="1" t="s">
        <v>416</v>
      </c>
      <c r="AF206" s="1" t="s">
        <v>559</v>
      </c>
      <c r="AG206" s="1" t="s">
        <v>53</v>
      </c>
      <c r="AH206" s="1" t="s">
        <v>49</v>
      </c>
      <c r="AI206" s="1" t="s">
        <v>54</v>
      </c>
      <c r="AJ206" s="1">
        <v>1</v>
      </c>
      <c r="AK206" s="1" t="str">
        <f t="shared" si="3"/>
        <v xml:space="preserve"> =&lt;90</v>
      </c>
      <c r="AL206" s="1" t="str">
        <f>VLOOKUP(C:C,[1]基础信息!B$1:D$65536,3,0)</f>
        <v>Jug</v>
      </c>
      <c r="AM206" s="1" t="str">
        <f>VLOOKUP(C:C,[1]基础信息!B$1:E$65536,4,0)</f>
        <v>Green Pack</v>
      </c>
      <c r="AN206" s="1" t="str">
        <f>VLOOKUP(C:C,[1]基础信息!B$1:F$65536,5,0)</f>
        <v>Blue</v>
      </c>
    </row>
    <row r="207" spans="1:40">
      <c r="A207" s="1" t="s">
        <v>41</v>
      </c>
      <c r="B207" s="1" t="s">
        <v>42</v>
      </c>
      <c r="C207" s="1" t="s">
        <v>481</v>
      </c>
      <c r="D207" s="1" t="s">
        <v>482</v>
      </c>
      <c r="E207" s="1" t="s">
        <v>45</v>
      </c>
      <c r="F207" s="1" t="s">
        <v>483</v>
      </c>
      <c r="G207" s="1" t="s">
        <v>625</v>
      </c>
      <c r="H207" s="1" t="s">
        <v>626</v>
      </c>
      <c r="I207" s="1" t="s">
        <v>49</v>
      </c>
      <c r="J207" s="1" t="s">
        <v>48</v>
      </c>
      <c r="K207" s="1">
        <v>168</v>
      </c>
      <c r="L207" s="1">
        <v>0</v>
      </c>
      <c r="M207" s="1">
        <v>0</v>
      </c>
      <c r="N207" s="1">
        <v>168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 t="s">
        <v>49</v>
      </c>
      <c r="AA207" s="1" t="s">
        <v>49</v>
      </c>
      <c r="AB207" s="1" t="s">
        <v>49</v>
      </c>
      <c r="AC207" s="1" t="s">
        <v>486</v>
      </c>
      <c r="AD207" s="1" t="s">
        <v>487</v>
      </c>
      <c r="AE207" s="1" t="s">
        <v>486</v>
      </c>
      <c r="AF207" s="1" t="s">
        <v>488</v>
      </c>
      <c r="AG207" s="1" t="s">
        <v>53</v>
      </c>
      <c r="AH207" s="1" t="s">
        <v>49</v>
      </c>
      <c r="AI207" s="1" t="s">
        <v>54</v>
      </c>
      <c r="AJ207" s="1">
        <v>1</v>
      </c>
      <c r="AK207" s="1" t="str">
        <f t="shared" si="3"/>
        <v xml:space="preserve"> =&lt;90</v>
      </c>
      <c r="AL207" s="1" t="str">
        <f>VLOOKUP(C:C,[1]基础信息!B$1:D$65536,3,0)</f>
        <v>Jug</v>
      </c>
      <c r="AM207" s="1" t="str">
        <f>VLOOKUP(C:C,[1]基础信息!B$1:E$65536,4,0)</f>
        <v>Style COOL</v>
      </c>
      <c r="AN207" s="1" t="str">
        <f>VLOOKUP(C:C,[1]基础信息!B$1:F$65536,5,0)</f>
        <v>Cool Blue</v>
      </c>
    </row>
    <row r="208" spans="1:40">
      <c r="A208" s="1" t="s">
        <v>41</v>
      </c>
      <c r="B208" s="1" t="s">
        <v>42</v>
      </c>
      <c r="C208" s="1" t="s">
        <v>481</v>
      </c>
      <c r="D208" s="1" t="s">
        <v>482</v>
      </c>
      <c r="E208" s="1" t="s">
        <v>45</v>
      </c>
      <c r="F208" s="1" t="s">
        <v>483</v>
      </c>
      <c r="G208" s="1" t="s">
        <v>627</v>
      </c>
      <c r="H208" s="1" t="s">
        <v>628</v>
      </c>
      <c r="I208" s="1" t="s">
        <v>49</v>
      </c>
      <c r="J208" s="1" t="s">
        <v>48</v>
      </c>
      <c r="K208" s="1">
        <v>168</v>
      </c>
      <c r="L208" s="1">
        <v>0</v>
      </c>
      <c r="M208" s="1">
        <v>0</v>
      </c>
      <c r="N208" s="1">
        <v>168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 t="s">
        <v>49</v>
      </c>
      <c r="AA208" s="1" t="s">
        <v>49</v>
      </c>
      <c r="AB208" s="1" t="s">
        <v>49</v>
      </c>
      <c r="AC208" s="1" t="s">
        <v>486</v>
      </c>
      <c r="AD208" s="1" t="s">
        <v>487</v>
      </c>
      <c r="AE208" s="1" t="s">
        <v>486</v>
      </c>
      <c r="AF208" s="1" t="s">
        <v>488</v>
      </c>
      <c r="AG208" s="1" t="s">
        <v>53</v>
      </c>
      <c r="AH208" s="1" t="s">
        <v>49</v>
      </c>
      <c r="AI208" s="1" t="s">
        <v>54</v>
      </c>
      <c r="AJ208" s="1">
        <v>1</v>
      </c>
      <c r="AK208" s="1" t="str">
        <f t="shared" si="3"/>
        <v xml:space="preserve"> =&lt;90</v>
      </c>
      <c r="AL208" s="1" t="str">
        <f>VLOOKUP(C:C,[1]基础信息!B$1:D$65536,3,0)</f>
        <v>Jug</v>
      </c>
      <c r="AM208" s="1" t="str">
        <f>VLOOKUP(C:C,[1]基础信息!B$1:E$65536,4,0)</f>
        <v>Style COOL</v>
      </c>
      <c r="AN208" s="1" t="str">
        <f>VLOOKUP(C:C,[1]基础信息!B$1:F$65536,5,0)</f>
        <v>Cool Blue</v>
      </c>
    </row>
    <row r="209" spans="1:40">
      <c r="A209" s="1" t="s">
        <v>41</v>
      </c>
      <c r="B209" s="1" t="s">
        <v>42</v>
      </c>
      <c r="C209" s="1" t="s">
        <v>68</v>
      </c>
      <c r="D209" s="1" t="s">
        <v>69</v>
      </c>
      <c r="E209" s="1" t="s">
        <v>45</v>
      </c>
      <c r="F209" s="1" t="s">
        <v>201</v>
      </c>
      <c r="G209" s="1" t="s">
        <v>629</v>
      </c>
      <c r="H209" s="1" t="s">
        <v>630</v>
      </c>
      <c r="I209" s="1" t="s">
        <v>49</v>
      </c>
      <c r="J209" s="1" t="s">
        <v>48</v>
      </c>
      <c r="K209" s="1">
        <v>36</v>
      </c>
      <c r="L209" s="1">
        <v>0</v>
      </c>
      <c r="M209" s="1">
        <v>0</v>
      </c>
      <c r="N209" s="1">
        <v>36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 t="s">
        <v>49</v>
      </c>
      <c r="AA209" s="1" t="s">
        <v>49</v>
      </c>
      <c r="AB209" s="1" t="s">
        <v>49</v>
      </c>
      <c r="AC209" s="1" t="s">
        <v>204</v>
      </c>
      <c r="AD209" s="1" t="s">
        <v>205</v>
      </c>
      <c r="AE209" s="1" t="s">
        <v>206</v>
      </c>
      <c r="AF209" s="1" t="s">
        <v>207</v>
      </c>
      <c r="AG209" s="1" t="s">
        <v>53</v>
      </c>
      <c r="AH209" s="1" t="s">
        <v>49</v>
      </c>
      <c r="AI209" s="1" t="s">
        <v>54</v>
      </c>
      <c r="AJ209" s="1">
        <v>1</v>
      </c>
      <c r="AK209" s="1" t="str">
        <f t="shared" si="3"/>
        <v xml:space="preserve"> =&lt;90</v>
      </c>
      <c r="AL209" s="1" t="str">
        <f>VLOOKUP(C:C,[1]基础信息!B$1:D$65536,3,0)</f>
        <v>Hotcup</v>
      </c>
      <c r="AM209" s="1" t="str">
        <f>VLOOKUP(C:C,[1]基础信息!B$1:E$65536,4,0)</f>
        <v>Hotcup</v>
      </c>
      <c r="AN209" s="1" t="str">
        <f>VLOOKUP(C:C,[1]基础信息!B$1:F$65536,5,0)</f>
        <v xml:space="preserve"> Whi</v>
      </c>
    </row>
    <row r="210" spans="1:40">
      <c r="A210" s="1" t="s">
        <v>41</v>
      </c>
      <c r="B210" s="1" t="s">
        <v>42</v>
      </c>
      <c r="C210" s="1" t="s">
        <v>83</v>
      </c>
      <c r="D210" s="1" t="s">
        <v>84</v>
      </c>
      <c r="E210" s="1" t="s">
        <v>45</v>
      </c>
      <c r="F210" s="1" t="s">
        <v>467</v>
      </c>
      <c r="G210" s="1" t="s">
        <v>631</v>
      </c>
      <c r="H210" s="1" t="s">
        <v>632</v>
      </c>
      <c r="I210" s="1" t="s">
        <v>49</v>
      </c>
      <c r="J210" s="1" t="s">
        <v>48</v>
      </c>
      <c r="K210" s="1">
        <v>96</v>
      </c>
      <c r="L210" s="1">
        <v>0</v>
      </c>
      <c r="M210" s="1">
        <v>0</v>
      </c>
      <c r="N210" s="1">
        <v>96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 t="s">
        <v>49</v>
      </c>
      <c r="AA210" s="1" t="s">
        <v>49</v>
      </c>
      <c r="AB210" s="1" t="s">
        <v>49</v>
      </c>
      <c r="AC210" s="1" t="s">
        <v>470</v>
      </c>
      <c r="AD210" s="1" t="s">
        <v>471</v>
      </c>
      <c r="AE210" s="1" t="s">
        <v>470</v>
      </c>
      <c r="AF210" s="1" t="s">
        <v>472</v>
      </c>
      <c r="AG210" s="1" t="s">
        <v>53</v>
      </c>
      <c r="AH210" s="1" t="s">
        <v>49</v>
      </c>
      <c r="AI210" s="1" t="s">
        <v>54</v>
      </c>
      <c r="AJ210" s="1">
        <v>1</v>
      </c>
      <c r="AK210" s="1" t="str">
        <f t="shared" si="3"/>
        <v xml:space="preserve"> =&lt;90</v>
      </c>
      <c r="AL210" s="1" t="str">
        <f>VLOOKUP(C:C,[1]基础信息!B$1:D$65536,3,0)</f>
        <v>Jug</v>
      </c>
      <c r="AM210" s="1" t="str">
        <f>VLOOKUP(C:C,[1]基础信息!B$1:E$65536,4,0)</f>
        <v>Mxplus</v>
      </c>
      <c r="AN210" s="1" t="str">
        <f>VLOOKUP(C:C,[1]基础信息!B$1:F$65536,5,0)</f>
        <v>Blue</v>
      </c>
    </row>
    <row r="211" spans="1:40">
      <c r="A211" s="1" t="s">
        <v>41</v>
      </c>
      <c r="B211" s="1" t="s">
        <v>42</v>
      </c>
      <c r="C211" s="1" t="s">
        <v>83</v>
      </c>
      <c r="D211" s="1" t="s">
        <v>84</v>
      </c>
      <c r="E211" s="1" t="s">
        <v>45</v>
      </c>
      <c r="F211" s="1" t="s">
        <v>467</v>
      </c>
      <c r="G211" s="1" t="s">
        <v>633</v>
      </c>
      <c r="H211" s="1" t="s">
        <v>634</v>
      </c>
      <c r="I211" s="1" t="s">
        <v>49</v>
      </c>
      <c r="J211" s="1" t="s">
        <v>48</v>
      </c>
      <c r="K211" s="1">
        <v>96</v>
      </c>
      <c r="L211" s="1">
        <v>0</v>
      </c>
      <c r="M211" s="1">
        <v>0</v>
      </c>
      <c r="N211" s="1">
        <v>96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 t="s">
        <v>49</v>
      </c>
      <c r="AA211" s="1" t="s">
        <v>49</v>
      </c>
      <c r="AB211" s="1" t="s">
        <v>49</v>
      </c>
      <c r="AC211" s="1" t="s">
        <v>470</v>
      </c>
      <c r="AD211" s="1" t="s">
        <v>471</v>
      </c>
      <c r="AE211" s="1" t="s">
        <v>470</v>
      </c>
      <c r="AF211" s="1" t="s">
        <v>472</v>
      </c>
      <c r="AG211" s="1" t="s">
        <v>53</v>
      </c>
      <c r="AH211" s="1" t="s">
        <v>49</v>
      </c>
      <c r="AI211" s="1" t="s">
        <v>54</v>
      </c>
      <c r="AJ211" s="1">
        <v>1</v>
      </c>
      <c r="AK211" s="1" t="str">
        <f t="shared" si="3"/>
        <v xml:space="preserve"> =&lt;90</v>
      </c>
      <c r="AL211" s="1" t="str">
        <f>VLOOKUP(C:C,[1]基础信息!B$1:D$65536,3,0)</f>
        <v>Jug</v>
      </c>
      <c r="AM211" s="1" t="str">
        <f>VLOOKUP(C:C,[1]基础信息!B$1:E$65536,4,0)</f>
        <v>Mxplus</v>
      </c>
      <c r="AN211" s="1" t="str">
        <f>VLOOKUP(C:C,[1]基础信息!B$1:F$65536,5,0)</f>
        <v>Blue</v>
      </c>
    </row>
    <row r="212" spans="1:40">
      <c r="A212" s="1" t="s">
        <v>41</v>
      </c>
      <c r="B212" s="1" t="s">
        <v>42</v>
      </c>
      <c r="C212" s="1" t="s">
        <v>83</v>
      </c>
      <c r="D212" s="1" t="s">
        <v>84</v>
      </c>
      <c r="E212" s="1" t="s">
        <v>45</v>
      </c>
      <c r="F212" s="1" t="s">
        <v>467</v>
      </c>
      <c r="G212" s="1" t="s">
        <v>635</v>
      </c>
      <c r="H212" s="1" t="s">
        <v>636</v>
      </c>
      <c r="I212" s="1" t="s">
        <v>49</v>
      </c>
      <c r="J212" s="1" t="s">
        <v>48</v>
      </c>
      <c r="K212" s="1">
        <v>96</v>
      </c>
      <c r="L212" s="1">
        <v>0</v>
      </c>
      <c r="M212" s="1">
        <v>0</v>
      </c>
      <c r="N212" s="1">
        <v>96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 t="s">
        <v>49</v>
      </c>
      <c r="AA212" s="1" t="s">
        <v>49</v>
      </c>
      <c r="AB212" s="1" t="s">
        <v>49</v>
      </c>
      <c r="AC212" s="1" t="s">
        <v>470</v>
      </c>
      <c r="AD212" s="1" t="s">
        <v>471</v>
      </c>
      <c r="AE212" s="1" t="s">
        <v>470</v>
      </c>
      <c r="AF212" s="1" t="s">
        <v>472</v>
      </c>
      <c r="AG212" s="1" t="s">
        <v>53</v>
      </c>
      <c r="AH212" s="1" t="s">
        <v>49</v>
      </c>
      <c r="AI212" s="1" t="s">
        <v>54</v>
      </c>
      <c r="AJ212" s="1">
        <v>1</v>
      </c>
      <c r="AK212" s="1" t="str">
        <f t="shared" si="3"/>
        <v xml:space="preserve"> =&lt;90</v>
      </c>
      <c r="AL212" s="1" t="str">
        <f>VLOOKUP(C:C,[1]基础信息!B$1:D$65536,3,0)</f>
        <v>Jug</v>
      </c>
      <c r="AM212" s="1" t="str">
        <f>VLOOKUP(C:C,[1]基础信息!B$1:E$65536,4,0)</f>
        <v>Mxplus</v>
      </c>
      <c r="AN212" s="1" t="str">
        <f>VLOOKUP(C:C,[1]基础信息!B$1:F$65536,5,0)</f>
        <v>Blue</v>
      </c>
    </row>
    <row r="213" spans="1:40">
      <c r="A213" s="1" t="s">
        <v>41</v>
      </c>
      <c r="B213" s="1" t="s">
        <v>42</v>
      </c>
      <c r="C213" s="1" t="s">
        <v>554</v>
      </c>
      <c r="D213" s="1" t="s">
        <v>555</v>
      </c>
      <c r="E213" s="1" t="s">
        <v>45</v>
      </c>
      <c r="F213" s="1" t="s">
        <v>556</v>
      </c>
      <c r="G213" s="1" t="s">
        <v>637</v>
      </c>
      <c r="H213" s="1" t="s">
        <v>638</v>
      </c>
      <c r="I213" s="1" t="s">
        <v>49</v>
      </c>
      <c r="J213" s="1" t="s">
        <v>48</v>
      </c>
      <c r="K213" s="1">
        <v>70</v>
      </c>
      <c r="L213" s="1">
        <v>0</v>
      </c>
      <c r="M213" s="1">
        <v>0</v>
      </c>
      <c r="N213" s="1">
        <v>70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 t="s">
        <v>49</v>
      </c>
      <c r="AA213" s="1" t="s">
        <v>49</v>
      </c>
      <c r="AB213" s="1" t="s">
        <v>49</v>
      </c>
      <c r="AC213" s="1" t="s">
        <v>414</v>
      </c>
      <c r="AD213" s="1" t="s">
        <v>415</v>
      </c>
      <c r="AE213" s="1" t="s">
        <v>416</v>
      </c>
      <c r="AF213" s="1" t="s">
        <v>559</v>
      </c>
      <c r="AG213" s="1" t="s">
        <v>53</v>
      </c>
      <c r="AH213" s="1" t="s">
        <v>49</v>
      </c>
      <c r="AI213" s="1" t="s">
        <v>54</v>
      </c>
      <c r="AJ213" s="1">
        <v>1</v>
      </c>
      <c r="AK213" s="1" t="str">
        <f t="shared" si="3"/>
        <v xml:space="preserve"> =&lt;90</v>
      </c>
      <c r="AL213" s="1" t="str">
        <f>VLOOKUP(C:C,[1]基础信息!B$1:D$65536,3,0)</f>
        <v>Jug</v>
      </c>
      <c r="AM213" s="1" t="str">
        <f>VLOOKUP(C:C,[1]基础信息!B$1:E$65536,4,0)</f>
        <v>Green Pack</v>
      </c>
      <c r="AN213" s="1" t="str">
        <f>VLOOKUP(C:C,[1]基础信息!B$1:F$65536,5,0)</f>
        <v>Blue</v>
      </c>
    </row>
    <row r="214" spans="1:40">
      <c r="A214" s="1" t="s">
        <v>41</v>
      </c>
      <c r="B214" s="1" t="s">
        <v>42</v>
      </c>
      <c r="C214" s="1" t="s">
        <v>104</v>
      </c>
      <c r="D214" s="1" t="s">
        <v>105</v>
      </c>
      <c r="E214" s="1" t="s">
        <v>104</v>
      </c>
      <c r="F214" s="1" t="s">
        <v>151</v>
      </c>
      <c r="G214" s="1" t="s">
        <v>639</v>
      </c>
      <c r="H214" s="1" t="s">
        <v>640</v>
      </c>
      <c r="I214" s="1" t="s">
        <v>49</v>
      </c>
      <c r="J214" s="1" t="s">
        <v>48</v>
      </c>
      <c r="K214" s="1">
        <v>96</v>
      </c>
      <c r="L214" s="1">
        <v>0</v>
      </c>
      <c r="M214" s="1">
        <v>0</v>
      </c>
      <c r="N214" s="1">
        <v>96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 t="s">
        <v>49</v>
      </c>
      <c r="AA214" s="1" t="s">
        <v>49</v>
      </c>
      <c r="AB214" s="1" t="s">
        <v>49</v>
      </c>
      <c r="AC214" s="1" t="s">
        <v>154</v>
      </c>
      <c r="AD214" s="1" t="s">
        <v>155</v>
      </c>
      <c r="AE214" s="1" t="s">
        <v>154</v>
      </c>
      <c r="AF214" s="1" t="s">
        <v>111</v>
      </c>
      <c r="AG214" s="1" t="s">
        <v>53</v>
      </c>
      <c r="AH214" s="1" t="s">
        <v>49</v>
      </c>
      <c r="AI214" s="1" t="s">
        <v>54</v>
      </c>
      <c r="AJ214" s="1">
        <v>1</v>
      </c>
      <c r="AK214" s="1" t="str">
        <f t="shared" si="3"/>
        <v xml:space="preserve"> =&lt;90</v>
      </c>
      <c r="AL214" s="1" t="str">
        <f>VLOOKUP(C:C,[1]基础信息!B$1:D$65536,3,0)</f>
        <v>Jug</v>
      </c>
      <c r="AM214" s="1" t="str">
        <f>VLOOKUP(C:C,[1]基础信息!B$1:E$65536,4,0)</f>
        <v>Marella XL</v>
      </c>
      <c r="AN214" s="1" t="str">
        <f>VLOOKUP(C:C,[1]基础信息!B$1:F$65536,5,0)</f>
        <v>Blue</v>
      </c>
    </row>
    <row r="215" spans="1:40">
      <c r="A215" s="1" t="s">
        <v>41</v>
      </c>
      <c r="B215" s="1" t="s">
        <v>42</v>
      </c>
      <c r="C215" s="1" t="s">
        <v>554</v>
      </c>
      <c r="D215" s="1" t="s">
        <v>555</v>
      </c>
      <c r="E215" s="1" t="s">
        <v>45</v>
      </c>
      <c r="F215" s="1" t="s">
        <v>556</v>
      </c>
      <c r="G215" s="1" t="s">
        <v>641</v>
      </c>
      <c r="H215" s="1" t="s">
        <v>642</v>
      </c>
      <c r="I215" s="1" t="s">
        <v>49</v>
      </c>
      <c r="J215" s="1" t="s">
        <v>48</v>
      </c>
      <c r="K215" s="1">
        <v>70</v>
      </c>
      <c r="L215" s="1">
        <v>0</v>
      </c>
      <c r="M215" s="1">
        <v>0</v>
      </c>
      <c r="N215" s="1">
        <v>70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 t="s">
        <v>49</v>
      </c>
      <c r="AA215" s="1" t="s">
        <v>49</v>
      </c>
      <c r="AB215" s="1" t="s">
        <v>49</v>
      </c>
      <c r="AC215" s="1" t="s">
        <v>414</v>
      </c>
      <c r="AD215" s="1" t="s">
        <v>415</v>
      </c>
      <c r="AE215" s="1" t="s">
        <v>416</v>
      </c>
      <c r="AF215" s="1" t="s">
        <v>559</v>
      </c>
      <c r="AG215" s="1" t="s">
        <v>53</v>
      </c>
      <c r="AH215" s="1" t="s">
        <v>49</v>
      </c>
      <c r="AI215" s="1" t="s">
        <v>54</v>
      </c>
      <c r="AJ215" s="1">
        <v>1</v>
      </c>
      <c r="AK215" s="1" t="str">
        <f t="shared" si="3"/>
        <v xml:space="preserve"> =&lt;90</v>
      </c>
      <c r="AL215" s="1" t="str">
        <f>VLOOKUP(C:C,[1]基础信息!B$1:D$65536,3,0)</f>
        <v>Jug</v>
      </c>
      <c r="AM215" s="1" t="str">
        <f>VLOOKUP(C:C,[1]基础信息!B$1:E$65536,4,0)</f>
        <v>Green Pack</v>
      </c>
      <c r="AN215" s="1" t="str">
        <f>VLOOKUP(C:C,[1]基础信息!B$1:F$65536,5,0)</f>
        <v>Blue</v>
      </c>
    </row>
    <row r="216" spans="1:40">
      <c r="A216" s="1" t="s">
        <v>41</v>
      </c>
      <c r="B216" s="1" t="s">
        <v>42</v>
      </c>
      <c r="C216" s="1" t="s">
        <v>83</v>
      </c>
      <c r="D216" s="1" t="s">
        <v>84</v>
      </c>
      <c r="E216" s="1" t="s">
        <v>45</v>
      </c>
      <c r="F216" s="1" t="s">
        <v>467</v>
      </c>
      <c r="G216" s="1" t="s">
        <v>643</v>
      </c>
      <c r="H216" s="1" t="s">
        <v>644</v>
      </c>
      <c r="I216" s="1" t="s">
        <v>49</v>
      </c>
      <c r="J216" s="1" t="s">
        <v>48</v>
      </c>
      <c r="K216" s="1">
        <v>96</v>
      </c>
      <c r="L216" s="1">
        <v>0</v>
      </c>
      <c r="M216" s="1">
        <v>0</v>
      </c>
      <c r="N216" s="1">
        <v>96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 t="s">
        <v>49</v>
      </c>
      <c r="AA216" s="1" t="s">
        <v>49</v>
      </c>
      <c r="AB216" s="1" t="s">
        <v>49</v>
      </c>
      <c r="AC216" s="1" t="s">
        <v>470</v>
      </c>
      <c r="AD216" s="1" t="s">
        <v>471</v>
      </c>
      <c r="AE216" s="1" t="s">
        <v>470</v>
      </c>
      <c r="AF216" s="1" t="s">
        <v>472</v>
      </c>
      <c r="AG216" s="1" t="s">
        <v>53</v>
      </c>
      <c r="AH216" s="1" t="s">
        <v>49</v>
      </c>
      <c r="AI216" s="1" t="s">
        <v>54</v>
      </c>
      <c r="AJ216" s="1">
        <v>1</v>
      </c>
      <c r="AK216" s="1" t="str">
        <f t="shared" si="3"/>
        <v xml:space="preserve"> =&lt;90</v>
      </c>
      <c r="AL216" s="1" t="str">
        <f>VLOOKUP(C:C,[1]基础信息!B$1:D$65536,3,0)</f>
        <v>Jug</v>
      </c>
      <c r="AM216" s="1" t="str">
        <f>VLOOKUP(C:C,[1]基础信息!B$1:E$65536,4,0)</f>
        <v>Mxplus</v>
      </c>
      <c r="AN216" s="1" t="str">
        <f>VLOOKUP(C:C,[1]基础信息!B$1:F$65536,5,0)</f>
        <v>Blue</v>
      </c>
    </row>
    <row r="217" spans="1:40">
      <c r="A217" s="1" t="s">
        <v>41</v>
      </c>
      <c r="B217" s="1" t="s">
        <v>42</v>
      </c>
      <c r="C217" s="1" t="s">
        <v>645</v>
      </c>
      <c r="D217" s="1" t="s">
        <v>646</v>
      </c>
      <c r="E217" s="1" t="s">
        <v>645</v>
      </c>
      <c r="F217" s="1" t="s">
        <v>647</v>
      </c>
      <c r="G217" s="1" t="s">
        <v>648</v>
      </c>
      <c r="H217" s="1" t="s">
        <v>649</v>
      </c>
      <c r="I217" s="1" t="s">
        <v>49</v>
      </c>
      <c r="J217" s="1" t="s">
        <v>48</v>
      </c>
      <c r="K217" s="1">
        <v>7</v>
      </c>
      <c r="L217" s="1">
        <v>0</v>
      </c>
      <c r="M217" s="1">
        <v>0</v>
      </c>
      <c r="N217" s="1">
        <v>7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 t="s">
        <v>49</v>
      </c>
      <c r="AA217" s="1" t="s">
        <v>49</v>
      </c>
      <c r="AB217" s="1" t="s">
        <v>49</v>
      </c>
      <c r="AC217" s="1" t="s">
        <v>650</v>
      </c>
      <c r="AD217" s="1" t="s">
        <v>651</v>
      </c>
      <c r="AE217" s="1" t="s">
        <v>652</v>
      </c>
      <c r="AF217" s="1" t="s">
        <v>653</v>
      </c>
      <c r="AG217" s="1" t="s">
        <v>53</v>
      </c>
      <c r="AH217" s="1" t="s">
        <v>49</v>
      </c>
      <c r="AI217" s="1" t="s">
        <v>54</v>
      </c>
      <c r="AJ217" s="1">
        <v>1</v>
      </c>
      <c r="AK217" s="1" t="str">
        <f t="shared" si="3"/>
        <v xml:space="preserve"> =&lt;90</v>
      </c>
      <c r="AL217" s="1" t="str">
        <f>VLOOKUP(C:C,[1]基础信息!B$1:D$65536,3,0)</f>
        <v>UTS</v>
      </c>
      <c r="AM217" s="1" t="str">
        <f>VLOOKUP(C:C,[1]基础信息!B$1:E$65536,4,0)</f>
        <v>MyPure Pro</v>
      </c>
      <c r="AN217" s="1" t="str">
        <f>VLOOKUP(C:C,[1]基础信息!B$1:F$65536,5,0)</f>
        <v>Refill</v>
      </c>
    </row>
    <row r="218" spans="1:40">
      <c r="A218" s="1" t="s">
        <v>41</v>
      </c>
      <c r="B218" s="1" t="s">
        <v>42</v>
      </c>
      <c r="C218" s="1" t="s">
        <v>162</v>
      </c>
      <c r="D218" s="1" t="s">
        <v>163</v>
      </c>
      <c r="E218" s="1" t="s">
        <v>45</v>
      </c>
      <c r="F218" s="1" t="s">
        <v>164</v>
      </c>
      <c r="G218" s="1" t="s">
        <v>654</v>
      </c>
      <c r="H218" s="1" t="s">
        <v>655</v>
      </c>
      <c r="I218" s="1" t="s">
        <v>49</v>
      </c>
      <c r="J218" s="1" t="s">
        <v>48</v>
      </c>
      <c r="K218" s="1">
        <v>60</v>
      </c>
      <c r="L218" s="1">
        <v>0</v>
      </c>
      <c r="M218" s="1">
        <v>0</v>
      </c>
      <c r="N218" s="1">
        <v>60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 t="s">
        <v>49</v>
      </c>
      <c r="AA218" s="1" t="s">
        <v>49</v>
      </c>
      <c r="AB218" s="1" t="s">
        <v>49</v>
      </c>
      <c r="AC218" s="1" t="s">
        <v>167</v>
      </c>
      <c r="AD218" s="1" t="s">
        <v>168</v>
      </c>
      <c r="AE218" s="1" t="s">
        <v>169</v>
      </c>
      <c r="AF218" s="1" t="s">
        <v>170</v>
      </c>
      <c r="AG218" s="1" t="s">
        <v>53</v>
      </c>
      <c r="AH218" s="1" t="s">
        <v>49</v>
      </c>
      <c r="AI218" s="1" t="s">
        <v>54</v>
      </c>
      <c r="AJ218" s="1">
        <v>1</v>
      </c>
      <c r="AK218" s="1" t="str">
        <f t="shared" si="3"/>
        <v xml:space="preserve"> =&lt;90</v>
      </c>
      <c r="AL218" s="1" t="str">
        <f>VLOOKUP(C:C,[1]基础信息!B$1:D$65536,3,0)</f>
        <v>Jug</v>
      </c>
      <c r="AM218" s="1" t="str">
        <f>VLOOKUP(C:C,[1]基础信息!B$1:E$65536,4,0)</f>
        <v>Style</v>
      </c>
      <c r="AN218" s="1" t="str">
        <f>VLOOKUP(C:C,[1]基础信息!B$1:F$65536,5,0)</f>
        <v>Blue</v>
      </c>
    </row>
    <row r="219" spans="1:40">
      <c r="A219" s="1" t="s">
        <v>41</v>
      </c>
      <c r="B219" s="1" t="s">
        <v>42</v>
      </c>
      <c r="C219" s="1" t="s">
        <v>554</v>
      </c>
      <c r="D219" s="1" t="s">
        <v>555</v>
      </c>
      <c r="E219" s="1" t="s">
        <v>45</v>
      </c>
      <c r="F219" s="1" t="s">
        <v>556</v>
      </c>
      <c r="G219" s="1" t="s">
        <v>656</v>
      </c>
      <c r="H219" s="1" t="s">
        <v>657</v>
      </c>
      <c r="I219" s="1" t="s">
        <v>49</v>
      </c>
      <c r="J219" s="1" t="s">
        <v>48</v>
      </c>
      <c r="K219" s="1">
        <v>70</v>
      </c>
      <c r="L219" s="1">
        <v>0</v>
      </c>
      <c r="M219" s="1">
        <v>0</v>
      </c>
      <c r="N219" s="1">
        <v>70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 t="s">
        <v>49</v>
      </c>
      <c r="AA219" s="1" t="s">
        <v>49</v>
      </c>
      <c r="AB219" s="1" t="s">
        <v>49</v>
      </c>
      <c r="AC219" s="1" t="s">
        <v>414</v>
      </c>
      <c r="AD219" s="1" t="s">
        <v>415</v>
      </c>
      <c r="AE219" s="1" t="s">
        <v>416</v>
      </c>
      <c r="AF219" s="1" t="s">
        <v>559</v>
      </c>
      <c r="AG219" s="1" t="s">
        <v>53</v>
      </c>
      <c r="AH219" s="1" t="s">
        <v>49</v>
      </c>
      <c r="AI219" s="1" t="s">
        <v>54</v>
      </c>
      <c r="AJ219" s="1">
        <v>1</v>
      </c>
      <c r="AK219" s="1" t="str">
        <f t="shared" si="3"/>
        <v xml:space="preserve"> =&lt;90</v>
      </c>
      <c r="AL219" s="1" t="str">
        <f>VLOOKUP(C:C,[1]基础信息!B$1:D$65536,3,0)</f>
        <v>Jug</v>
      </c>
      <c r="AM219" s="1" t="str">
        <f>VLOOKUP(C:C,[1]基础信息!B$1:E$65536,4,0)</f>
        <v>Green Pack</v>
      </c>
      <c r="AN219" s="1" t="str">
        <f>VLOOKUP(C:C,[1]基础信息!B$1:F$65536,5,0)</f>
        <v>Blue</v>
      </c>
    </row>
    <row r="220" spans="1:40">
      <c r="A220" s="1" t="s">
        <v>41</v>
      </c>
      <c r="B220" s="1" t="s">
        <v>42</v>
      </c>
      <c r="C220" s="1" t="s">
        <v>481</v>
      </c>
      <c r="D220" s="1" t="s">
        <v>482</v>
      </c>
      <c r="E220" s="1" t="s">
        <v>45</v>
      </c>
      <c r="F220" s="1" t="s">
        <v>483</v>
      </c>
      <c r="G220" s="1" t="s">
        <v>658</v>
      </c>
      <c r="H220" s="1" t="s">
        <v>659</v>
      </c>
      <c r="I220" s="1" t="s">
        <v>49</v>
      </c>
      <c r="J220" s="1" t="s">
        <v>48</v>
      </c>
      <c r="K220" s="1">
        <v>168</v>
      </c>
      <c r="L220" s="1">
        <v>0</v>
      </c>
      <c r="M220" s="1">
        <v>0</v>
      </c>
      <c r="N220" s="1">
        <v>168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 t="s">
        <v>49</v>
      </c>
      <c r="AA220" s="1" t="s">
        <v>49</v>
      </c>
      <c r="AB220" s="1" t="s">
        <v>49</v>
      </c>
      <c r="AC220" s="1" t="s">
        <v>486</v>
      </c>
      <c r="AD220" s="1" t="s">
        <v>487</v>
      </c>
      <c r="AE220" s="1" t="s">
        <v>486</v>
      </c>
      <c r="AF220" s="1" t="s">
        <v>488</v>
      </c>
      <c r="AG220" s="1" t="s">
        <v>53</v>
      </c>
      <c r="AH220" s="1" t="s">
        <v>49</v>
      </c>
      <c r="AI220" s="1" t="s">
        <v>54</v>
      </c>
      <c r="AJ220" s="1">
        <v>1</v>
      </c>
      <c r="AK220" s="1" t="str">
        <f t="shared" si="3"/>
        <v xml:space="preserve"> =&lt;90</v>
      </c>
      <c r="AL220" s="1" t="str">
        <f>VLOOKUP(C:C,[1]基础信息!B$1:D$65536,3,0)</f>
        <v>Jug</v>
      </c>
      <c r="AM220" s="1" t="str">
        <f>VLOOKUP(C:C,[1]基础信息!B$1:E$65536,4,0)</f>
        <v>Style COOL</v>
      </c>
      <c r="AN220" s="1" t="str">
        <f>VLOOKUP(C:C,[1]基础信息!B$1:F$65536,5,0)</f>
        <v>Cool Blue</v>
      </c>
    </row>
    <row r="221" spans="1:40">
      <c r="A221" s="1" t="s">
        <v>41</v>
      </c>
      <c r="B221" s="1" t="s">
        <v>42</v>
      </c>
      <c r="C221" s="1" t="s">
        <v>162</v>
      </c>
      <c r="D221" s="1" t="s">
        <v>163</v>
      </c>
      <c r="E221" s="1" t="s">
        <v>45</v>
      </c>
      <c r="F221" s="1" t="s">
        <v>164</v>
      </c>
      <c r="G221" s="1" t="s">
        <v>660</v>
      </c>
      <c r="H221" s="1" t="s">
        <v>661</v>
      </c>
      <c r="I221" s="1" t="s">
        <v>49</v>
      </c>
      <c r="J221" s="1" t="s">
        <v>48</v>
      </c>
      <c r="K221" s="1">
        <v>60</v>
      </c>
      <c r="L221" s="1">
        <v>0</v>
      </c>
      <c r="M221" s="1">
        <v>0</v>
      </c>
      <c r="N221" s="1">
        <v>60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 t="s">
        <v>49</v>
      </c>
      <c r="AA221" s="1" t="s">
        <v>49</v>
      </c>
      <c r="AB221" s="1" t="s">
        <v>49</v>
      </c>
      <c r="AC221" s="1" t="s">
        <v>167</v>
      </c>
      <c r="AD221" s="1" t="s">
        <v>168</v>
      </c>
      <c r="AE221" s="1" t="s">
        <v>169</v>
      </c>
      <c r="AF221" s="1" t="s">
        <v>170</v>
      </c>
      <c r="AG221" s="1" t="s">
        <v>53</v>
      </c>
      <c r="AH221" s="1" t="s">
        <v>49</v>
      </c>
      <c r="AI221" s="1" t="s">
        <v>54</v>
      </c>
      <c r="AJ221" s="1">
        <v>1</v>
      </c>
      <c r="AK221" s="1" t="str">
        <f t="shared" si="3"/>
        <v xml:space="preserve"> =&lt;90</v>
      </c>
      <c r="AL221" s="1" t="str">
        <f>VLOOKUP(C:C,[1]基础信息!B$1:D$65536,3,0)</f>
        <v>Jug</v>
      </c>
      <c r="AM221" s="1" t="str">
        <f>VLOOKUP(C:C,[1]基础信息!B$1:E$65536,4,0)</f>
        <v>Style</v>
      </c>
      <c r="AN221" s="1" t="str">
        <f>VLOOKUP(C:C,[1]基础信息!B$1:F$65536,5,0)</f>
        <v>Blue</v>
      </c>
    </row>
    <row r="222" spans="1:40">
      <c r="A222" s="1" t="s">
        <v>41</v>
      </c>
      <c r="B222" s="1" t="s">
        <v>42</v>
      </c>
      <c r="C222" s="1" t="s">
        <v>162</v>
      </c>
      <c r="D222" s="1" t="s">
        <v>163</v>
      </c>
      <c r="E222" s="1" t="s">
        <v>45</v>
      </c>
      <c r="F222" s="1" t="s">
        <v>164</v>
      </c>
      <c r="G222" s="1" t="s">
        <v>662</v>
      </c>
      <c r="H222" s="1" t="s">
        <v>663</v>
      </c>
      <c r="I222" s="1" t="s">
        <v>49</v>
      </c>
      <c r="J222" s="1" t="s">
        <v>48</v>
      </c>
      <c r="K222" s="1">
        <v>60</v>
      </c>
      <c r="L222" s="1">
        <v>0</v>
      </c>
      <c r="M222" s="1">
        <v>0</v>
      </c>
      <c r="N222" s="1">
        <v>60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 t="s">
        <v>49</v>
      </c>
      <c r="AA222" s="1" t="s">
        <v>49</v>
      </c>
      <c r="AB222" s="1" t="s">
        <v>49</v>
      </c>
      <c r="AC222" s="1" t="s">
        <v>167</v>
      </c>
      <c r="AD222" s="1" t="s">
        <v>168</v>
      </c>
      <c r="AE222" s="1" t="s">
        <v>169</v>
      </c>
      <c r="AF222" s="1" t="s">
        <v>170</v>
      </c>
      <c r="AG222" s="1" t="s">
        <v>53</v>
      </c>
      <c r="AH222" s="1" t="s">
        <v>49</v>
      </c>
      <c r="AI222" s="1" t="s">
        <v>54</v>
      </c>
      <c r="AJ222" s="1">
        <v>1</v>
      </c>
      <c r="AK222" s="1" t="str">
        <f t="shared" si="3"/>
        <v xml:space="preserve"> =&lt;90</v>
      </c>
      <c r="AL222" s="1" t="str">
        <f>VLOOKUP(C:C,[1]基础信息!B$1:D$65536,3,0)</f>
        <v>Jug</v>
      </c>
      <c r="AM222" s="1" t="str">
        <f>VLOOKUP(C:C,[1]基础信息!B$1:E$65536,4,0)</f>
        <v>Style</v>
      </c>
      <c r="AN222" s="1" t="str">
        <f>VLOOKUP(C:C,[1]基础信息!B$1:F$65536,5,0)</f>
        <v>Blue</v>
      </c>
    </row>
    <row r="223" spans="1:40">
      <c r="A223" s="1" t="s">
        <v>41</v>
      </c>
      <c r="B223" s="1" t="s">
        <v>42</v>
      </c>
      <c r="C223" s="1" t="s">
        <v>481</v>
      </c>
      <c r="D223" s="1" t="s">
        <v>482</v>
      </c>
      <c r="E223" s="1" t="s">
        <v>45</v>
      </c>
      <c r="F223" s="1" t="s">
        <v>483</v>
      </c>
      <c r="G223" s="1" t="s">
        <v>664</v>
      </c>
      <c r="H223" s="1" t="s">
        <v>665</v>
      </c>
      <c r="I223" s="1" t="s">
        <v>49</v>
      </c>
      <c r="J223" s="1" t="s">
        <v>48</v>
      </c>
      <c r="K223" s="1">
        <v>168</v>
      </c>
      <c r="L223" s="1">
        <v>0</v>
      </c>
      <c r="M223" s="1">
        <v>0</v>
      </c>
      <c r="N223" s="1">
        <v>168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 t="s">
        <v>49</v>
      </c>
      <c r="AA223" s="1" t="s">
        <v>49</v>
      </c>
      <c r="AB223" s="1" t="s">
        <v>49</v>
      </c>
      <c r="AC223" s="1" t="s">
        <v>486</v>
      </c>
      <c r="AD223" s="1" t="s">
        <v>487</v>
      </c>
      <c r="AE223" s="1" t="s">
        <v>486</v>
      </c>
      <c r="AF223" s="1" t="s">
        <v>488</v>
      </c>
      <c r="AG223" s="1" t="s">
        <v>53</v>
      </c>
      <c r="AH223" s="1" t="s">
        <v>49</v>
      </c>
      <c r="AI223" s="1" t="s">
        <v>54</v>
      </c>
      <c r="AJ223" s="1">
        <v>1</v>
      </c>
      <c r="AK223" s="1" t="str">
        <f t="shared" si="3"/>
        <v xml:space="preserve"> =&lt;90</v>
      </c>
      <c r="AL223" s="1" t="str">
        <f>VLOOKUP(C:C,[1]基础信息!B$1:D$65536,3,0)</f>
        <v>Jug</v>
      </c>
      <c r="AM223" s="1" t="str">
        <f>VLOOKUP(C:C,[1]基础信息!B$1:E$65536,4,0)</f>
        <v>Style COOL</v>
      </c>
      <c r="AN223" s="1" t="str">
        <f>VLOOKUP(C:C,[1]基础信息!B$1:F$65536,5,0)</f>
        <v>Cool Blue</v>
      </c>
    </row>
    <row r="224" spans="1:40">
      <c r="A224" s="1" t="s">
        <v>41</v>
      </c>
      <c r="B224" s="1" t="s">
        <v>42</v>
      </c>
      <c r="C224" s="1" t="s">
        <v>481</v>
      </c>
      <c r="D224" s="1" t="s">
        <v>482</v>
      </c>
      <c r="E224" s="1" t="s">
        <v>45</v>
      </c>
      <c r="F224" s="1" t="s">
        <v>483</v>
      </c>
      <c r="G224" s="1" t="s">
        <v>666</v>
      </c>
      <c r="H224" s="1" t="s">
        <v>667</v>
      </c>
      <c r="I224" s="1" t="s">
        <v>49</v>
      </c>
      <c r="J224" s="1" t="s">
        <v>48</v>
      </c>
      <c r="K224" s="1">
        <v>168</v>
      </c>
      <c r="L224" s="1">
        <v>0</v>
      </c>
      <c r="M224" s="1">
        <v>0</v>
      </c>
      <c r="N224" s="1">
        <v>168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 t="s">
        <v>49</v>
      </c>
      <c r="AA224" s="1" t="s">
        <v>49</v>
      </c>
      <c r="AB224" s="1" t="s">
        <v>49</v>
      </c>
      <c r="AC224" s="1" t="s">
        <v>486</v>
      </c>
      <c r="AD224" s="1" t="s">
        <v>487</v>
      </c>
      <c r="AE224" s="1" t="s">
        <v>486</v>
      </c>
      <c r="AF224" s="1" t="s">
        <v>488</v>
      </c>
      <c r="AG224" s="1" t="s">
        <v>53</v>
      </c>
      <c r="AH224" s="1" t="s">
        <v>49</v>
      </c>
      <c r="AI224" s="1" t="s">
        <v>54</v>
      </c>
      <c r="AJ224" s="1">
        <v>1</v>
      </c>
      <c r="AK224" s="1" t="str">
        <f t="shared" si="3"/>
        <v xml:space="preserve"> =&lt;90</v>
      </c>
      <c r="AL224" s="1" t="str">
        <f>VLOOKUP(C:C,[1]基础信息!B$1:D$65536,3,0)</f>
        <v>Jug</v>
      </c>
      <c r="AM224" s="1" t="str">
        <f>VLOOKUP(C:C,[1]基础信息!B$1:E$65536,4,0)</f>
        <v>Style COOL</v>
      </c>
      <c r="AN224" s="1" t="str">
        <f>VLOOKUP(C:C,[1]基础信息!B$1:F$65536,5,0)</f>
        <v>Cool Blue</v>
      </c>
    </row>
    <row r="225" spans="1:40">
      <c r="A225" s="1" t="s">
        <v>41</v>
      </c>
      <c r="B225" s="1" t="s">
        <v>42</v>
      </c>
      <c r="C225" s="1" t="s">
        <v>481</v>
      </c>
      <c r="D225" s="1" t="s">
        <v>482</v>
      </c>
      <c r="E225" s="1" t="s">
        <v>45</v>
      </c>
      <c r="F225" s="1" t="s">
        <v>483</v>
      </c>
      <c r="G225" s="1" t="s">
        <v>668</v>
      </c>
      <c r="H225" s="1" t="s">
        <v>669</v>
      </c>
      <c r="I225" s="1" t="s">
        <v>49</v>
      </c>
      <c r="J225" s="1" t="s">
        <v>48</v>
      </c>
      <c r="K225" s="1">
        <v>168</v>
      </c>
      <c r="L225" s="1">
        <v>0</v>
      </c>
      <c r="M225" s="1">
        <v>0</v>
      </c>
      <c r="N225" s="1">
        <v>168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 t="s">
        <v>49</v>
      </c>
      <c r="AA225" s="1" t="s">
        <v>49</v>
      </c>
      <c r="AB225" s="1" t="s">
        <v>49</v>
      </c>
      <c r="AC225" s="1" t="s">
        <v>486</v>
      </c>
      <c r="AD225" s="1" t="s">
        <v>487</v>
      </c>
      <c r="AE225" s="1" t="s">
        <v>486</v>
      </c>
      <c r="AF225" s="1" t="s">
        <v>488</v>
      </c>
      <c r="AG225" s="1" t="s">
        <v>53</v>
      </c>
      <c r="AH225" s="1" t="s">
        <v>49</v>
      </c>
      <c r="AI225" s="1" t="s">
        <v>54</v>
      </c>
      <c r="AJ225" s="1">
        <v>1</v>
      </c>
      <c r="AK225" s="1" t="str">
        <f t="shared" si="3"/>
        <v xml:space="preserve"> =&lt;90</v>
      </c>
      <c r="AL225" s="1" t="str">
        <f>VLOOKUP(C:C,[1]基础信息!B$1:D$65536,3,0)</f>
        <v>Jug</v>
      </c>
      <c r="AM225" s="1" t="str">
        <f>VLOOKUP(C:C,[1]基础信息!B$1:E$65536,4,0)</f>
        <v>Style COOL</v>
      </c>
      <c r="AN225" s="1" t="str">
        <f>VLOOKUP(C:C,[1]基础信息!B$1:F$65536,5,0)</f>
        <v>Cool Blue</v>
      </c>
    </row>
    <row r="226" spans="1:40">
      <c r="A226" s="1" t="s">
        <v>41</v>
      </c>
      <c r="B226" s="1" t="s">
        <v>42</v>
      </c>
      <c r="C226" s="1" t="s">
        <v>554</v>
      </c>
      <c r="D226" s="1" t="s">
        <v>555</v>
      </c>
      <c r="E226" s="1" t="s">
        <v>45</v>
      </c>
      <c r="F226" s="1" t="s">
        <v>556</v>
      </c>
      <c r="G226" s="1" t="s">
        <v>670</v>
      </c>
      <c r="H226" s="1" t="s">
        <v>671</v>
      </c>
      <c r="I226" s="1" t="s">
        <v>49</v>
      </c>
      <c r="J226" s="1" t="s">
        <v>48</v>
      </c>
      <c r="K226" s="1">
        <v>70</v>
      </c>
      <c r="L226" s="1">
        <v>0</v>
      </c>
      <c r="M226" s="1">
        <v>0</v>
      </c>
      <c r="N226" s="1">
        <v>70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 t="s">
        <v>49</v>
      </c>
      <c r="AA226" s="1" t="s">
        <v>49</v>
      </c>
      <c r="AB226" s="1" t="s">
        <v>49</v>
      </c>
      <c r="AC226" s="1" t="s">
        <v>414</v>
      </c>
      <c r="AD226" s="1" t="s">
        <v>415</v>
      </c>
      <c r="AE226" s="1" t="s">
        <v>416</v>
      </c>
      <c r="AF226" s="1" t="s">
        <v>559</v>
      </c>
      <c r="AG226" s="1" t="s">
        <v>53</v>
      </c>
      <c r="AH226" s="1" t="s">
        <v>49</v>
      </c>
      <c r="AI226" s="1" t="s">
        <v>54</v>
      </c>
      <c r="AJ226" s="1">
        <v>1</v>
      </c>
      <c r="AK226" s="1" t="str">
        <f t="shared" si="3"/>
        <v xml:space="preserve"> =&lt;90</v>
      </c>
      <c r="AL226" s="1" t="str">
        <f>VLOOKUP(C:C,[1]基础信息!B$1:D$65536,3,0)</f>
        <v>Jug</v>
      </c>
      <c r="AM226" s="1" t="str">
        <f>VLOOKUP(C:C,[1]基础信息!B$1:E$65536,4,0)</f>
        <v>Green Pack</v>
      </c>
      <c r="AN226" s="1" t="str">
        <f>VLOOKUP(C:C,[1]基础信息!B$1:F$65536,5,0)</f>
        <v>Blue</v>
      </c>
    </row>
    <row r="227" spans="1:40">
      <c r="A227" s="1" t="s">
        <v>41</v>
      </c>
      <c r="B227" s="1" t="s">
        <v>42</v>
      </c>
      <c r="C227" s="1" t="s">
        <v>481</v>
      </c>
      <c r="D227" s="1" t="s">
        <v>482</v>
      </c>
      <c r="E227" s="1" t="s">
        <v>45</v>
      </c>
      <c r="F227" s="1" t="s">
        <v>483</v>
      </c>
      <c r="G227" s="1" t="s">
        <v>672</v>
      </c>
      <c r="H227" s="1" t="s">
        <v>673</v>
      </c>
      <c r="I227" s="1" t="s">
        <v>49</v>
      </c>
      <c r="J227" s="1" t="s">
        <v>48</v>
      </c>
      <c r="K227" s="1">
        <v>168</v>
      </c>
      <c r="L227" s="1">
        <v>0</v>
      </c>
      <c r="M227" s="1">
        <v>0</v>
      </c>
      <c r="N227" s="1">
        <v>168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 t="s">
        <v>49</v>
      </c>
      <c r="AA227" s="1" t="s">
        <v>49</v>
      </c>
      <c r="AB227" s="1" t="s">
        <v>49</v>
      </c>
      <c r="AC227" s="1" t="s">
        <v>486</v>
      </c>
      <c r="AD227" s="1" t="s">
        <v>487</v>
      </c>
      <c r="AE227" s="1" t="s">
        <v>486</v>
      </c>
      <c r="AF227" s="1" t="s">
        <v>488</v>
      </c>
      <c r="AG227" s="1" t="s">
        <v>53</v>
      </c>
      <c r="AH227" s="1" t="s">
        <v>49</v>
      </c>
      <c r="AI227" s="1" t="s">
        <v>54</v>
      </c>
      <c r="AJ227" s="1">
        <v>1</v>
      </c>
      <c r="AK227" s="1" t="str">
        <f t="shared" si="3"/>
        <v xml:space="preserve"> =&lt;90</v>
      </c>
      <c r="AL227" s="1" t="str">
        <f>VLOOKUP(C:C,[1]基础信息!B$1:D$65536,3,0)</f>
        <v>Jug</v>
      </c>
      <c r="AM227" s="1" t="str">
        <f>VLOOKUP(C:C,[1]基础信息!B$1:E$65536,4,0)</f>
        <v>Style COOL</v>
      </c>
      <c r="AN227" s="1" t="str">
        <f>VLOOKUP(C:C,[1]基础信息!B$1:F$65536,5,0)</f>
        <v>Cool Blue</v>
      </c>
    </row>
    <row r="228" spans="1:40">
      <c r="A228" s="1" t="s">
        <v>41</v>
      </c>
      <c r="B228" s="1" t="s">
        <v>42</v>
      </c>
      <c r="C228" s="1" t="s">
        <v>481</v>
      </c>
      <c r="D228" s="1" t="s">
        <v>482</v>
      </c>
      <c r="E228" s="1" t="s">
        <v>45</v>
      </c>
      <c r="F228" s="1" t="s">
        <v>483</v>
      </c>
      <c r="G228" s="1" t="s">
        <v>674</v>
      </c>
      <c r="H228" s="1" t="s">
        <v>675</v>
      </c>
      <c r="I228" s="1" t="s">
        <v>49</v>
      </c>
      <c r="J228" s="1" t="s">
        <v>48</v>
      </c>
      <c r="K228" s="1">
        <v>168</v>
      </c>
      <c r="L228" s="1">
        <v>0</v>
      </c>
      <c r="M228" s="1">
        <v>0</v>
      </c>
      <c r="N228" s="1">
        <v>168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 t="s">
        <v>49</v>
      </c>
      <c r="AA228" s="1" t="s">
        <v>49</v>
      </c>
      <c r="AB228" s="1" t="s">
        <v>49</v>
      </c>
      <c r="AC228" s="1" t="s">
        <v>486</v>
      </c>
      <c r="AD228" s="1" t="s">
        <v>487</v>
      </c>
      <c r="AE228" s="1" t="s">
        <v>486</v>
      </c>
      <c r="AF228" s="1" t="s">
        <v>488</v>
      </c>
      <c r="AG228" s="1" t="s">
        <v>53</v>
      </c>
      <c r="AH228" s="1" t="s">
        <v>49</v>
      </c>
      <c r="AI228" s="1" t="s">
        <v>54</v>
      </c>
      <c r="AJ228" s="1">
        <v>1</v>
      </c>
      <c r="AK228" s="1" t="str">
        <f t="shared" si="3"/>
        <v xml:space="preserve"> =&lt;90</v>
      </c>
      <c r="AL228" s="1" t="str">
        <f>VLOOKUP(C:C,[1]基础信息!B$1:D$65536,3,0)</f>
        <v>Jug</v>
      </c>
      <c r="AM228" s="1" t="str">
        <f>VLOOKUP(C:C,[1]基础信息!B$1:E$65536,4,0)</f>
        <v>Style COOL</v>
      </c>
      <c r="AN228" s="1" t="str">
        <f>VLOOKUP(C:C,[1]基础信息!B$1:F$65536,5,0)</f>
        <v>Cool Blue</v>
      </c>
    </row>
    <row r="229" spans="1:40">
      <c r="A229" s="1" t="s">
        <v>41</v>
      </c>
      <c r="B229" s="1" t="s">
        <v>42</v>
      </c>
      <c r="C229" s="1" t="s">
        <v>554</v>
      </c>
      <c r="D229" s="1" t="s">
        <v>555</v>
      </c>
      <c r="E229" s="1" t="s">
        <v>45</v>
      </c>
      <c r="F229" s="1" t="s">
        <v>556</v>
      </c>
      <c r="G229" s="1" t="s">
        <v>676</v>
      </c>
      <c r="H229" s="1" t="s">
        <v>677</v>
      </c>
      <c r="I229" s="1" t="s">
        <v>49</v>
      </c>
      <c r="J229" s="1" t="s">
        <v>48</v>
      </c>
      <c r="K229" s="1">
        <v>70</v>
      </c>
      <c r="L229" s="1">
        <v>0</v>
      </c>
      <c r="M229" s="1">
        <v>0</v>
      </c>
      <c r="N229" s="1">
        <v>70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 t="s">
        <v>49</v>
      </c>
      <c r="AA229" s="1" t="s">
        <v>49</v>
      </c>
      <c r="AB229" s="1" t="s">
        <v>49</v>
      </c>
      <c r="AC229" s="1" t="s">
        <v>414</v>
      </c>
      <c r="AD229" s="1" t="s">
        <v>415</v>
      </c>
      <c r="AE229" s="1" t="s">
        <v>416</v>
      </c>
      <c r="AF229" s="1" t="s">
        <v>559</v>
      </c>
      <c r="AG229" s="1" t="s">
        <v>53</v>
      </c>
      <c r="AH229" s="1" t="s">
        <v>49</v>
      </c>
      <c r="AI229" s="1" t="s">
        <v>54</v>
      </c>
      <c r="AJ229" s="1">
        <v>1</v>
      </c>
      <c r="AK229" s="1" t="str">
        <f t="shared" si="3"/>
        <v xml:space="preserve"> =&lt;90</v>
      </c>
      <c r="AL229" s="1" t="str">
        <f>VLOOKUP(C:C,[1]基础信息!B$1:D$65536,3,0)</f>
        <v>Jug</v>
      </c>
      <c r="AM229" s="1" t="str">
        <f>VLOOKUP(C:C,[1]基础信息!B$1:E$65536,4,0)</f>
        <v>Green Pack</v>
      </c>
      <c r="AN229" s="1" t="str">
        <f>VLOOKUP(C:C,[1]基础信息!B$1:F$65536,5,0)</f>
        <v>Blue</v>
      </c>
    </row>
    <row r="230" spans="1:40">
      <c r="A230" s="1" t="s">
        <v>41</v>
      </c>
      <c r="B230" s="1" t="s">
        <v>42</v>
      </c>
      <c r="C230" s="1" t="s">
        <v>162</v>
      </c>
      <c r="D230" s="1" t="s">
        <v>163</v>
      </c>
      <c r="E230" s="1" t="s">
        <v>45</v>
      </c>
      <c r="F230" s="1" t="s">
        <v>164</v>
      </c>
      <c r="G230" s="1" t="s">
        <v>678</v>
      </c>
      <c r="H230" s="1" t="s">
        <v>679</v>
      </c>
      <c r="I230" s="1" t="s">
        <v>49</v>
      </c>
      <c r="J230" s="1" t="s">
        <v>48</v>
      </c>
      <c r="K230" s="1">
        <v>60</v>
      </c>
      <c r="L230" s="1">
        <v>0</v>
      </c>
      <c r="M230" s="1">
        <v>0</v>
      </c>
      <c r="N230" s="1">
        <v>60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 t="s">
        <v>49</v>
      </c>
      <c r="AA230" s="1" t="s">
        <v>49</v>
      </c>
      <c r="AB230" s="1" t="s">
        <v>49</v>
      </c>
      <c r="AC230" s="1" t="s">
        <v>167</v>
      </c>
      <c r="AD230" s="1" t="s">
        <v>168</v>
      </c>
      <c r="AE230" s="1" t="s">
        <v>169</v>
      </c>
      <c r="AF230" s="1" t="s">
        <v>170</v>
      </c>
      <c r="AG230" s="1" t="s">
        <v>53</v>
      </c>
      <c r="AH230" s="1" t="s">
        <v>49</v>
      </c>
      <c r="AI230" s="1" t="s">
        <v>54</v>
      </c>
      <c r="AJ230" s="1">
        <v>1</v>
      </c>
      <c r="AK230" s="1" t="str">
        <f t="shared" si="3"/>
        <v xml:space="preserve"> =&lt;90</v>
      </c>
      <c r="AL230" s="1" t="str">
        <f>VLOOKUP(C:C,[1]基础信息!B$1:D$65536,3,0)</f>
        <v>Jug</v>
      </c>
      <c r="AM230" s="1" t="str">
        <f>VLOOKUP(C:C,[1]基础信息!B$1:E$65536,4,0)</f>
        <v>Style</v>
      </c>
      <c r="AN230" s="1" t="str">
        <f>VLOOKUP(C:C,[1]基础信息!B$1:F$65536,5,0)</f>
        <v>Blue</v>
      </c>
    </row>
    <row r="231" spans="1:40">
      <c r="A231" s="1" t="s">
        <v>41</v>
      </c>
      <c r="B231" s="1" t="s">
        <v>42</v>
      </c>
      <c r="C231" s="1" t="s">
        <v>162</v>
      </c>
      <c r="D231" s="1" t="s">
        <v>163</v>
      </c>
      <c r="E231" s="1" t="s">
        <v>45</v>
      </c>
      <c r="F231" s="1" t="s">
        <v>164</v>
      </c>
      <c r="G231" s="1" t="s">
        <v>680</v>
      </c>
      <c r="H231" s="1" t="s">
        <v>681</v>
      </c>
      <c r="I231" s="1" t="s">
        <v>49</v>
      </c>
      <c r="J231" s="1" t="s">
        <v>48</v>
      </c>
      <c r="K231" s="1">
        <v>60</v>
      </c>
      <c r="L231" s="1">
        <v>0</v>
      </c>
      <c r="M231" s="1">
        <v>0</v>
      </c>
      <c r="N231" s="1">
        <v>60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 t="s">
        <v>49</v>
      </c>
      <c r="AA231" s="1" t="s">
        <v>49</v>
      </c>
      <c r="AB231" s="1" t="s">
        <v>49</v>
      </c>
      <c r="AC231" s="1" t="s">
        <v>167</v>
      </c>
      <c r="AD231" s="1" t="s">
        <v>168</v>
      </c>
      <c r="AE231" s="1" t="s">
        <v>169</v>
      </c>
      <c r="AF231" s="1" t="s">
        <v>170</v>
      </c>
      <c r="AG231" s="1" t="s">
        <v>53</v>
      </c>
      <c r="AH231" s="1" t="s">
        <v>49</v>
      </c>
      <c r="AI231" s="1" t="s">
        <v>54</v>
      </c>
      <c r="AJ231" s="1">
        <v>1</v>
      </c>
      <c r="AK231" s="1" t="str">
        <f t="shared" si="3"/>
        <v xml:space="preserve"> =&lt;90</v>
      </c>
      <c r="AL231" s="1" t="str">
        <f>VLOOKUP(C:C,[1]基础信息!B$1:D$65536,3,0)</f>
        <v>Jug</v>
      </c>
      <c r="AM231" s="1" t="str">
        <f>VLOOKUP(C:C,[1]基础信息!B$1:E$65536,4,0)</f>
        <v>Style</v>
      </c>
      <c r="AN231" s="1" t="str">
        <f>VLOOKUP(C:C,[1]基础信息!B$1:F$65536,5,0)</f>
        <v>Blue</v>
      </c>
    </row>
    <row r="232" spans="1:40">
      <c r="A232" s="1" t="s">
        <v>41</v>
      </c>
      <c r="B232" s="1" t="s">
        <v>42</v>
      </c>
      <c r="C232" s="1" t="s">
        <v>93</v>
      </c>
      <c r="D232" s="1" t="s">
        <v>94</v>
      </c>
      <c r="E232" s="1" t="s">
        <v>45</v>
      </c>
      <c r="F232" s="1" t="s">
        <v>682</v>
      </c>
      <c r="G232" s="1" t="s">
        <v>683</v>
      </c>
      <c r="H232" s="1" t="s">
        <v>684</v>
      </c>
      <c r="I232" s="1" t="s">
        <v>49</v>
      </c>
      <c r="J232" s="1" t="s">
        <v>48</v>
      </c>
      <c r="K232" s="1">
        <v>20</v>
      </c>
      <c r="L232" s="1">
        <v>0</v>
      </c>
      <c r="M232" s="1">
        <v>0</v>
      </c>
      <c r="N232" s="1">
        <v>20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 t="s">
        <v>49</v>
      </c>
      <c r="AA232" s="1" t="s">
        <v>49</v>
      </c>
      <c r="AB232" s="1" t="s">
        <v>49</v>
      </c>
      <c r="AC232" s="1" t="s">
        <v>685</v>
      </c>
      <c r="AD232" s="1" t="s">
        <v>686</v>
      </c>
      <c r="AE232" s="1" t="s">
        <v>685</v>
      </c>
      <c r="AF232" s="1" t="s">
        <v>687</v>
      </c>
      <c r="AG232" s="1" t="s">
        <v>53</v>
      </c>
      <c r="AH232" s="1" t="s">
        <v>49</v>
      </c>
      <c r="AI232" s="1" t="s">
        <v>54</v>
      </c>
      <c r="AJ232" s="1">
        <v>1</v>
      </c>
      <c r="AK232" s="1" t="str">
        <f t="shared" si="3"/>
        <v xml:space="preserve"> =&lt;90</v>
      </c>
      <c r="AL232" s="1" t="str">
        <f>VLOOKUP(C:C,[1]基础信息!B$1:D$65536,3,0)</f>
        <v>UTS</v>
      </c>
      <c r="AM232" s="1" t="str">
        <f>VLOOKUP(C:C,[1]基础信息!B$1:E$65536,4,0)</f>
        <v>MyPure Pro</v>
      </c>
      <c r="AN232" s="1" t="str">
        <f>VLOOKUP(C:C,[1]基础信息!B$1:F$65536,5,0)</f>
        <v>Refill</v>
      </c>
    </row>
    <row r="233" spans="1:40">
      <c r="A233" s="1" t="s">
        <v>41</v>
      </c>
      <c r="B233" s="1" t="s">
        <v>42</v>
      </c>
      <c r="C233" s="1" t="s">
        <v>162</v>
      </c>
      <c r="D233" s="1" t="s">
        <v>163</v>
      </c>
      <c r="E233" s="1" t="s">
        <v>45</v>
      </c>
      <c r="F233" s="1" t="s">
        <v>164</v>
      </c>
      <c r="G233" s="1" t="s">
        <v>688</v>
      </c>
      <c r="H233" s="1" t="s">
        <v>689</v>
      </c>
      <c r="I233" s="1" t="s">
        <v>49</v>
      </c>
      <c r="J233" s="1" t="s">
        <v>48</v>
      </c>
      <c r="K233" s="1">
        <v>60</v>
      </c>
      <c r="L233" s="1">
        <v>0</v>
      </c>
      <c r="M233" s="1">
        <v>0</v>
      </c>
      <c r="N233" s="1">
        <v>60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 t="s">
        <v>49</v>
      </c>
      <c r="AA233" s="1" t="s">
        <v>49</v>
      </c>
      <c r="AB233" s="1" t="s">
        <v>49</v>
      </c>
      <c r="AC233" s="1" t="s">
        <v>167</v>
      </c>
      <c r="AD233" s="1" t="s">
        <v>168</v>
      </c>
      <c r="AE233" s="1" t="s">
        <v>169</v>
      </c>
      <c r="AF233" s="1" t="s">
        <v>170</v>
      </c>
      <c r="AG233" s="1" t="s">
        <v>53</v>
      </c>
      <c r="AH233" s="1" t="s">
        <v>49</v>
      </c>
      <c r="AI233" s="1" t="s">
        <v>54</v>
      </c>
      <c r="AJ233" s="1">
        <v>1</v>
      </c>
      <c r="AK233" s="1" t="str">
        <f t="shared" si="3"/>
        <v xml:space="preserve"> =&lt;90</v>
      </c>
      <c r="AL233" s="1" t="str">
        <f>VLOOKUP(C:C,[1]基础信息!B$1:D$65536,3,0)</f>
        <v>Jug</v>
      </c>
      <c r="AM233" s="1" t="str">
        <f>VLOOKUP(C:C,[1]基础信息!B$1:E$65536,4,0)</f>
        <v>Style</v>
      </c>
      <c r="AN233" s="1" t="str">
        <f>VLOOKUP(C:C,[1]基础信息!B$1:F$65536,5,0)</f>
        <v>Blue</v>
      </c>
    </row>
    <row r="234" spans="1:40">
      <c r="A234" s="1" t="s">
        <v>41</v>
      </c>
      <c r="B234" s="1" t="s">
        <v>42</v>
      </c>
      <c r="C234" s="1" t="s">
        <v>481</v>
      </c>
      <c r="D234" s="1" t="s">
        <v>482</v>
      </c>
      <c r="E234" s="1" t="s">
        <v>45</v>
      </c>
      <c r="F234" s="1" t="s">
        <v>483</v>
      </c>
      <c r="G234" s="1" t="s">
        <v>690</v>
      </c>
      <c r="H234" s="1" t="s">
        <v>691</v>
      </c>
      <c r="I234" s="1" t="s">
        <v>49</v>
      </c>
      <c r="J234" s="1" t="s">
        <v>48</v>
      </c>
      <c r="K234" s="1">
        <v>168</v>
      </c>
      <c r="L234" s="1">
        <v>0</v>
      </c>
      <c r="M234" s="1">
        <v>0</v>
      </c>
      <c r="N234" s="1">
        <v>168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 t="s">
        <v>49</v>
      </c>
      <c r="AA234" s="1" t="s">
        <v>49</v>
      </c>
      <c r="AB234" s="1" t="s">
        <v>49</v>
      </c>
      <c r="AC234" s="1" t="s">
        <v>486</v>
      </c>
      <c r="AD234" s="1" t="s">
        <v>487</v>
      </c>
      <c r="AE234" s="1" t="s">
        <v>486</v>
      </c>
      <c r="AF234" s="1" t="s">
        <v>488</v>
      </c>
      <c r="AG234" s="1" t="s">
        <v>53</v>
      </c>
      <c r="AH234" s="1" t="s">
        <v>49</v>
      </c>
      <c r="AI234" s="1" t="s">
        <v>54</v>
      </c>
      <c r="AJ234" s="1">
        <v>1</v>
      </c>
      <c r="AK234" s="1" t="str">
        <f t="shared" si="3"/>
        <v xml:space="preserve"> =&lt;90</v>
      </c>
      <c r="AL234" s="1" t="str">
        <f>VLOOKUP(C:C,[1]基础信息!B$1:D$65536,3,0)</f>
        <v>Jug</v>
      </c>
      <c r="AM234" s="1" t="str">
        <f>VLOOKUP(C:C,[1]基础信息!B$1:E$65536,4,0)</f>
        <v>Style COOL</v>
      </c>
      <c r="AN234" s="1" t="str">
        <f>VLOOKUP(C:C,[1]基础信息!B$1:F$65536,5,0)</f>
        <v>Cool Blue</v>
      </c>
    </row>
    <row r="235" spans="1:40">
      <c r="A235" s="1" t="s">
        <v>41</v>
      </c>
      <c r="B235" s="1" t="s">
        <v>42</v>
      </c>
      <c r="C235" s="1" t="s">
        <v>162</v>
      </c>
      <c r="D235" s="1" t="s">
        <v>163</v>
      </c>
      <c r="E235" s="1" t="s">
        <v>45</v>
      </c>
      <c r="F235" s="1" t="s">
        <v>164</v>
      </c>
      <c r="G235" s="1" t="s">
        <v>692</v>
      </c>
      <c r="H235" s="1" t="s">
        <v>693</v>
      </c>
      <c r="I235" s="1" t="s">
        <v>49</v>
      </c>
      <c r="J235" s="1" t="s">
        <v>48</v>
      </c>
      <c r="K235" s="1">
        <v>60</v>
      </c>
      <c r="L235" s="1">
        <v>0</v>
      </c>
      <c r="M235" s="1">
        <v>0</v>
      </c>
      <c r="N235" s="1">
        <v>60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 t="s">
        <v>49</v>
      </c>
      <c r="AA235" s="1" t="s">
        <v>49</v>
      </c>
      <c r="AB235" s="1" t="s">
        <v>49</v>
      </c>
      <c r="AC235" s="1" t="s">
        <v>167</v>
      </c>
      <c r="AD235" s="1" t="s">
        <v>168</v>
      </c>
      <c r="AE235" s="1" t="s">
        <v>169</v>
      </c>
      <c r="AF235" s="1" t="s">
        <v>170</v>
      </c>
      <c r="AG235" s="1" t="s">
        <v>53</v>
      </c>
      <c r="AH235" s="1" t="s">
        <v>49</v>
      </c>
      <c r="AI235" s="1" t="s">
        <v>54</v>
      </c>
      <c r="AJ235" s="1">
        <v>1</v>
      </c>
      <c r="AK235" s="1" t="str">
        <f t="shared" si="3"/>
        <v xml:space="preserve"> =&lt;90</v>
      </c>
      <c r="AL235" s="1" t="str">
        <f>VLOOKUP(C:C,[1]基础信息!B$1:D$65536,3,0)</f>
        <v>Jug</v>
      </c>
      <c r="AM235" s="1" t="str">
        <f>VLOOKUP(C:C,[1]基础信息!B$1:E$65536,4,0)</f>
        <v>Style</v>
      </c>
      <c r="AN235" s="1" t="str">
        <f>VLOOKUP(C:C,[1]基础信息!B$1:F$65536,5,0)</f>
        <v>Blue</v>
      </c>
    </row>
    <row r="236" spans="1:40">
      <c r="A236" s="1" t="s">
        <v>41</v>
      </c>
      <c r="B236" s="1" t="s">
        <v>42</v>
      </c>
      <c r="C236" s="1" t="s">
        <v>162</v>
      </c>
      <c r="D236" s="1" t="s">
        <v>163</v>
      </c>
      <c r="E236" s="1" t="s">
        <v>45</v>
      </c>
      <c r="F236" s="1" t="s">
        <v>164</v>
      </c>
      <c r="G236" s="1" t="s">
        <v>694</v>
      </c>
      <c r="H236" s="1" t="s">
        <v>695</v>
      </c>
      <c r="I236" s="1" t="s">
        <v>49</v>
      </c>
      <c r="J236" s="1" t="s">
        <v>48</v>
      </c>
      <c r="K236" s="1">
        <v>60</v>
      </c>
      <c r="L236" s="1">
        <v>0</v>
      </c>
      <c r="M236" s="1">
        <v>0</v>
      </c>
      <c r="N236" s="1">
        <v>60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 t="s">
        <v>49</v>
      </c>
      <c r="AA236" s="1" t="s">
        <v>49</v>
      </c>
      <c r="AB236" s="1" t="s">
        <v>49</v>
      </c>
      <c r="AC236" s="1" t="s">
        <v>167</v>
      </c>
      <c r="AD236" s="1" t="s">
        <v>168</v>
      </c>
      <c r="AE236" s="1" t="s">
        <v>169</v>
      </c>
      <c r="AF236" s="1" t="s">
        <v>170</v>
      </c>
      <c r="AG236" s="1" t="s">
        <v>53</v>
      </c>
      <c r="AH236" s="1" t="s">
        <v>49</v>
      </c>
      <c r="AI236" s="1" t="s">
        <v>54</v>
      </c>
      <c r="AJ236" s="1">
        <v>1</v>
      </c>
      <c r="AK236" s="1" t="str">
        <f t="shared" si="3"/>
        <v xml:space="preserve"> =&lt;90</v>
      </c>
      <c r="AL236" s="1" t="str">
        <f>VLOOKUP(C:C,[1]基础信息!B$1:D$65536,3,0)</f>
        <v>Jug</v>
      </c>
      <c r="AM236" s="1" t="str">
        <f>VLOOKUP(C:C,[1]基础信息!B$1:E$65536,4,0)</f>
        <v>Style</v>
      </c>
      <c r="AN236" s="1" t="str">
        <f>VLOOKUP(C:C,[1]基础信息!B$1:F$65536,5,0)</f>
        <v>Blue</v>
      </c>
    </row>
    <row r="237" spans="1:40">
      <c r="A237" s="1" t="s">
        <v>41</v>
      </c>
      <c r="B237" s="1" t="s">
        <v>42</v>
      </c>
      <c r="C237" s="1" t="s">
        <v>83</v>
      </c>
      <c r="D237" s="1" t="s">
        <v>84</v>
      </c>
      <c r="E237" s="1" t="s">
        <v>45</v>
      </c>
      <c r="F237" s="1" t="s">
        <v>467</v>
      </c>
      <c r="G237" s="1" t="s">
        <v>696</v>
      </c>
      <c r="H237" s="1" t="s">
        <v>697</v>
      </c>
      <c r="I237" s="1" t="s">
        <v>49</v>
      </c>
      <c r="J237" s="1" t="s">
        <v>48</v>
      </c>
      <c r="K237" s="1">
        <v>96</v>
      </c>
      <c r="L237" s="1">
        <v>0</v>
      </c>
      <c r="M237" s="1">
        <v>0</v>
      </c>
      <c r="N237" s="1">
        <v>96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 t="s">
        <v>49</v>
      </c>
      <c r="AA237" s="1" t="s">
        <v>49</v>
      </c>
      <c r="AB237" s="1" t="s">
        <v>49</v>
      </c>
      <c r="AC237" s="1" t="s">
        <v>470</v>
      </c>
      <c r="AD237" s="1" t="s">
        <v>471</v>
      </c>
      <c r="AE237" s="1" t="s">
        <v>470</v>
      </c>
      <c r="AF237" s="1" t="s">
        <v>472</v>
      </c>
      <c r="AG237" s="1" t="s">
        <v>53</v>
      </c>
      <c r="AH237" s="1" t="s">
        <v>49</v>
      </c>
      <c r="AI237" s="1" t="s">
        <v>54</v>
      </c>
      <c r="AJ237" s="1">
        <v>1</v>
      </c>
      <c r="AK237" s="1" t="str">
        <f t="shared" si="3"/>
        <v xml:space="preserve"> =&lt;90</v>
      </c>
      <c r="AL237" s="1" t="str">
        <f>VLOOKUP(C:C,[1]基础信息!B$1:D$65536,3,0)</f>
        <v>Jug</v>
      </c>
      <c r="AM237" s="1" t="str">
        <f>VLOOKUP(C:C,[1]基础信息!B$1:E$65536,4,0)</f>
        <v>Mxplus</v>
      </c>
      <c r="AN237" s="1" t="str">
        <f>VLOOKUP(C:C,[1]基础信息!B$1:F$65536,5,0)</f>
        <v>Blue</v>
      </c>
    </row>
    <row r="238" spans="1:40">
      <c r="A238" s="1" t="s">
        <v>41</v>
      </c>
      <c r="B238" s="1" t="s">
        <v>42</v>
      </c>
      <c r="C238" s="1" t="s">
        <v>83</v>
      </c>
      <c r="D238" s="1" t="s">
        <v>84</v>
      </c>
      <c r="E238" s="1" t="s">
        <v>45</v>
      </c>
      <c r="F238" s="1" t="s">
        <v>349</v>
      </c>
      <c r="G238" s="1" t="s">
        <v>698</v>
      </c>
      <c r="H238" s="1" t="s">
        <v>699</v>
      </c>
      <c r="I238" s="1" t="s">
        <v>49</v>
      </c>
      <c r="J238" s="1" t="s">
        <v>48</v>
      </c>
      <c r="K238" s="1">
        <v>96</v>
      </c>
      <c r="L238" s="1">
        <v>0</v>
      </c>
      <c r="M238" s="1">
        <v>0</v>
      </c>
      <c r="N238" s="1">
        <v>96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 t="s">
        <v>49</v>
      </c>
      <c r="AA238" s="1" t="s">
        <v>49</v>
      </c>
      <c r="AB238" s="1" t="s">
        <v>49</v>
      </c>
      <c r="AC238" s="1" t="s">
        <v>88</v>
      </c>
      <c r="AD238" s="1" t="s">
        <v>89</v>
      </c>
      <c r="AE238" s="1" t="s">
        <v>88</v>
      </c>
      <c r="AF238" s="1" t="s">
        <v>352</v>
      </c>
      <c r="AG238" s="1" t="s">
        <v>53</v>
      </c>
      <c r="AH238" s="1" t="s">
        <v>49</v>
      </c>
      <c r="AI238" s="1" t="s">
        <v>54</v>
      </c>
      <c r="AJ238" s="1">
        <v>1</v>
      </c>
      <c r="AK238" s="1" t="str">
        <f t="shared" si="3"/>
        <v xml:space="preserve"> =&lt;90</v>
      </c>
      <c r="AL238" s="1" t="str">
        <f>VLOOKUP(C:C,[1]基础信息!B$1:D$65536,3,0)</f>
        <v>Jug</v>
      </c>
      <c r="AM238" s="1" t="str">
        <f>VLOOKUP(C:C,[1]基础信息!B$1:E$65536,4,0)</f>
        <v>Mxplus</v>
      </c>
      <c r="AN238" s="1" t="str">
        <f>VLOOKUP(C:C,[1]基础信息!B$1:F$65536,5,0)</f>
        <v>Blue</v>
      </c>
    </row>
    <row r="239" spans="1:40">
      <c r="A239" s="1" t="s">
        <v>41</v>
      </c>
      <c r="B239" s="1" t="s">
        <v>42</v>
      </c>
      <c r="C239" s="1" t="s">
        <v>554</v>
      </c>
      <c r="D239" s="1" t="s">
        <v>555</v>
      </c>
      <c r="E239" s="1" t="s">
        <v>45</v>
      </c>
      <c r="F239" s="1" t="s">
        <v>556</v>
      </c>
      <c r="G239" s="1" t="s">
        <v>700</v>
      </c>
      <c r="H239" s="1" t="s">
        <v>701</v>
      </c>
      <c r="I239" s="1" t="s">
        <v>49</v>
      </c>
      <c r="J239" s="1" t="s">
        <v>48</v>
      </c>
      <c r="K239" s="1">
        <v>70</v>
      </c>
      <c r="L239" s="1">
        <v>0</v>
      </c>
      <c r="M239" s="1">
        <v>0</v>
      </c>
      <c r="N239" s="1">
        <v>70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 t="s">
        <v>49</v>
      </c>
      <c r="AA239" s="1" t="s">
        <v>49</v>
      </c>
      <c r="AB239" s="1" t="s">
        <v>49</v>
      </c>
      <c r="AC239" s="1" t="s">
        <v>414</v>
      </c>
      <c r="AD239" s="1" t="s">
        <v>415</v>
      </c>
      <c r="AE239" s="1" t="s">
        <v>416</v>
      </c>
      <c r="AF239" s="1" t="s">
        <v>559</v>
      </c>
      <c r="AG239" s="1" t="s">
        <v>53</v>
      </c>
      <c r="AH239" s="1" t="s">
        <v>49</v>
      </c>
      <c r="AI239" s="1" t="s">
        <v>54</v>
      </c>
      <c r="AJ239" s="1">
        <v>1</v>
      </c>
      <c r="AK239" s="1" t="str">
        <f t="shared" si="3"/>
        <v xml:space="preserve"> =&lt;90</v>
      </c>
      <c r="AL239" s="1" t="str">
        <f>VLOOKUP(C:C,[1]基础信息!B$1:D$65536,3,0)</f>
        <v>Jug</v>
      </c>
      <c r="AM239" s="1" t="str">
        <f>VLOOKUP(C:C,[1]基础信息!B$1:E$65536,4,0)</f>
        <v>Green Pack</v>
      </c>
      <c r="AN239" s="1" t="str">
        <f>VLOOKUP(C:C,[1]基础信息!B$1:F$65536,5,0)</f>
        <v>Blue</v>
      </c>
    </row>
    <row r="240" spans="1:40">
      <c r="A240" s="1" t="s">
        <v>41</v>
      </c>
      <c r="B240" s="1" t="s">
        <v>42</v>
      </c>
      <c r="C240" s="1" t="s">
        <v>554</v>
      </c>
      <c r="D240" s="1" t="s">
        <v>555</v>
      </c>
      <c r="E240" s="1" t="s">
        <v>45</v>
      </c>
      <c r="F240" s="1" t="s">
        <v>556</v>
      </c>
      <c r="G240" s="1" t="s">
        <v>702</v>
      </c>
      <c r="H240" s="1" t="s">
        <v>703</v>
      </c>
      <c r="I240" s="1" t="s">
        <v>49</v>
      </c>
      <c r="J240" s="1" t="s">
        <v>48</v>
      </c>
      <c r="K240" s="1">
        <v>70</v>
      </c>
      <c r="L240" s="1">
        <v>0</v>
      </c>
      <c r="M240" s="1">
        <v>0</v>
      </c>
      <c r="N240" s="1">
        <v>70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 t="s">
        <v>49</v>
      </c>
      <c r="AA240" s="1" t="s">
        <v>49</v>
      </c>
      <c r="AB240" s="1" t="s">
        <v>49</v>
      </c>
      <c r="AC240" s="1" t="s">
        <v>414</v>
      </c>
      <c r="AD240" s="1" t="s">
        <v>415</v>
      </c>
      <c r="AE240" s="1" t="s">
        <v>416</v>
      </c>
      <c r="AF240" s="1" t="s">
        <v>559</v>
      </c>
      <c r="AG240" s="1" t="s">
        <v>53</v>
      </c>
      <c r="AH240" s="1" t="s">
        <v>49</v>
      </c>
      <c r="AI240" s="1" t="s">
        <v>54</v>
      </c>
      <c r="AJ240" s="1">
        <v>1</v>
      </c>
      <c r="AK240" s="1" t="str">
        <f t="shared" si="3"/>
        <v xml:space="preserve"> =&lt;90</v>
      </c>
      <c r="AL240" s="1" t="str">
        <f>VLOOKUP(C:C,[1]基础信息!B$1:D$65536,3,0)</f>
        <v>Jug</v>
      </c>
      <c r="AM240" s="1" t="str">
        <f>VLOOKUP(C:C,[1]基础信息!B$1:E$65536,4,0)</f>
        <v>Green Pack</v>
      </c>
      <c r="AN240" s="1" t="str">
        <f>VLOOKUP(C:C,[1]基础信息!B$1:F$65536,5,0)</f>
        <v>Blue</v>
      </c>
    </row>
    <row r="241" spans="1:40">
      <c r="A241" s="1" t="s">
        <v>41</v>
      </c>
      <c r="B241" s="1" t="s">
        <v>42</v>
      </c>
      <c r="C241" s="1" t="s">
        <v>162</v>
      </c>
      <c r="D241" s="1" t="s">
        <v>163</v>
      </c>
      <c r="E241" s="1" t="s">
        <v>45</v>
      </c>
      <c r="F241" s="1" t="s">
        <v>164</v>
      </c>
      <c r="G241" s="1" t="s">
        <v>704</v>
      </c>
      <c r="H241" s="1" t="s">
        <v>705</v>
      </c>
      <c r="I241" s="1" t="s">
        <v>49</v>
      </c>
      <c r="J241" s="1" t="s">
        <v>48</v>
      </c>
      <c r="K241" s="1">
        <v>60</v>
      </c>
      <c r="L241" s="1">
        <v>0</v>
      </c>
      <c r="M241" s="1">
        <v>0</v>
      </c>
      <c r="N241" s="1">
        <v>60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 t="s">
        <v>49</v>
      </c>
      <c r="AA241" s="1" t="s">
        <v>49</v>
      </c>
      <c r="AB241" s="1" t="s">
        <v>49</v>
      </c>
      <c r="AC241" s="1" t="s">
        <v>167</v>
      </c>
      <c r="AD241" s="1" t="s">
        <v>168</v>
      </c>
      <c r="AE241" s="1" t="s">
        <v>169</v>
      </c>
      <c r="AF241" s="1" t="s">
        <v>170</v>
      </c>
      <c r="AG241" s="1" t="s">
        <v>53</v>
      </c>
      <c r="AH241" s="1" t="s">
        <v>49</v>
      </c>
      <c r="AI241" s="1" t="s">
        <v>54</v>
      </c>
      <c r="AJ241" s="1">
        <v>1</v>
      </c>
      <c r="AK241" s="1" t="str">
        <f t="shared" si="3"/>
        <v xml:space="preserve"> =&lt;90</v>
      </c>
      <c r="AL241" s="1" t="str">
        <f>VLOOKUP(C:C,[1]基础信息!B$1:D$65536,3,0)</f>
        <v>Jug</v>
      </c>
      <c r="AM241" s="1" t="str">
        <f>VLOOKUP(C:C,[1]基础信息!B$1:E$65536,4,0)</f>
        <v>Style</v>
      </c>
      <c r="AN241" s="1" t="str">
        <f>VLOOKUP(C:C,[1]基础信息!B$1:F$65536,5,0)</f>
        <v>Blue</v>
      </c>
    </row>
    <row r="242" spans="1:40">
      <c r="A242" s="1" t="s">
        <v>41</v>
      </c>
      <c r="B242" s="1" t="s">
        <v>42</v>
      </c>
      <c r="C242" s="1" t="s">
        <v>112</v>
      </c>
      <c r="D242" s="1" t="s">
        <v>113</v>
      </c>
      <c r="E242" s="1" t="s">
        <v>45</v>
      </c>
      <c r="F242" s="1" t="s">
        <v>706</v>
      </c>
      <c r="G242" s="1" t="s">
        <v>707</v>
      </c>
      <c r="H242" s="1" t="s">
        <v>708</v>
      </c>
      <c r="I242" s="1" t="s">
        <v>49</v>
      </c>
      <c r="J242" s="1" t="s">
        <v>48</v>
      </c>
      <c r="K242" s="1">
        <v>20</v>
      </c>
      <c r="L242" s="1">
        <v>0</v>
      </c>
      <c r="M242" s="1">
        <v>0</v>
      </c>
      <c r="N242" s="1">
        <v>20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 t="s">
        <v>49</v>
      </c>
      <c r="AA242" s="1" t="s">
        <v>49</v>
      </c>
      <c r="AB242" s="1" t="s">
        <v>49</v>
      </c>
      <c r="AC242" s="1" t="s">
        <v>117</v>
      </c>
      <c r="AD242" s="1" t="s">
        <v>118</v>
      </c>
      <c r="AE242" s="1" t="s">
        <v>117</v>
      </c>
      <c r="AF242" s="1" t="s">
        <v>709</v>
      </c>
      <c r="AG242" s="1" t="s">
        <v>53</v>
      </c>
      <c r="AH242" s="1" t="s">
        <v>49</v>
      </c>
      <c r="AI242" s="1" t="s">
        <v>54</v>
      </c>
      <c r="AJ242" s="1">
        <v>1</v>
      </c>
      <c r="AK242" s="1" t="str">
        <f t="shared" si="3"/>
        <v xml:space="preserve"> =&lt;90</v>
      </c>
      <c r="AL242" s="1" t="str">
        <f>VLOOKUP(C:C,[1]基础信息!B$1:D$65536,3,0)</f>
        <v>UTS</v>
      </c>
      <c r="AM242" s="1" t="str">
        <f>VLOOKUP(C:C,[1]基础信息!B$1:E$65536,4,0)</f>
        <v>MyPure Pro</v>
      </c>
      <c r="AN242" s="1" t="str">
        <f>VLOOKUP(C:C,[1]基础信息!B$1:F$65536,5,0)</f>
        <v>Refill</v>
      </c>
    </row>
    <row r="243" spans="1:40">
      <c r="A243" s="1" t="s">
        <v>41</v>
      </c>
      <c r="B243" s="1" t="s">
        <v>42</v>
      </c>
      <c r="C243" s="1" t="s">
        <v>481</v>
      </c>
      <c r="D243" s="1" t="s">
        <v>482</v>
      </c>
      <c r="E243" s="1" t="s">
        <v>45</v>
      </c>
      <c r="F243" s="1" t="s">
        <v>483</v>
      </c>
      <c r="G243" s="1" t="s">
        <v>710</v>
      </c>
      <c r="H243" s="1" t="s">
        <v>711</v>
      </c>
      <c r="I243" s="1" t="s">
        <v>49</v>
      </c>
      <c r="J243" s="1" t="s">
        <v>48</v>
      </c>
      <c r="K243" s="1">
        <v>168</v>
      </c>
      <c r="L243" s="1">
        <v>0</v>
      </c>
      <c r="M243" s="1">
        <v>0</v>
      </c>
      <c r="N243" s="1">
        <v>168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 t="s">
        <v>49</v>
      </c>
      <c r="AA243" s="1" t="s">
        <v>49</v>
      </c>
      <c r="AB243" s="1" t="s">
        <v>49</v>
      </c>
      <c r="AC243" s="1" t="s">
        <v>486</v>
      </c>
      <c r="AD243" s="1" t="s">
        <v>487</v>
      </c>
      <c r="AE243" s="1" t="s">
        <v>486</v>
      </c>
      <c r="AF243" s="1" t="s">
        <v>488</v>
      </c>
      <c r="AG243" s="1" t="s">
        <v>53</v>
      </c>
      <c r="AH243" s="1" t="s">
        <v>49</v>
      </c>
      <c r="AI243" s="1" t="s">
        <v>54</v>
      </c>
      <c r="AJ243" s="1">
        <v>1</v>
      </c>
      <c r="AK243" s="1" t="str">
        <f t="shared" si="3"/>
        <v xml:space="preserve"> =&lt;90</v>
      </c>
      <c r="AL243" s="1" t="str">
        <f>VLOOKUP(C:C,[1]基础信息!B$1:D$65536,3,0)</f>
        <v>Jug</v>
      </c>
      <c r="AM243" s="1" t="str">
        <f>VLOOKUP(C:C,[1]基础信息!B$1:E$65536,4,0)</f>
        <v>Style COOL</v>
      </c>
      <c r="AN243" s="1" t="str">
        <f>VLOOKUP(C:C,[1]基础信息!B$1:F$65536,5,0)</f>
        <v>Cool Blue</v>
      </c>
    </row>
    <row r="244" spans="1:40">
      <c r="A244" s="1" t="s">
        <v>41</v>
      </c>
      <c r="B244" s="1" t="s">
        <v>42</v>
      </c>
      <c r="C244" s="1" t="s">
        <v>162</v>
      </c>
      <c r="D244" s="1" t="s">
        <v>163</v>
      </c>
      <c r="E244" s="1" t="s">
        <v>45</v>
      </c>
      <c r="F244" s="1" t="s">
        <v>164</v>
      </c>
      <c r="G244" s="1" t="s">
        <v>712</v>
      </c>
      <c r="H244" s="1" t="s">
        <v>713</v>
      </c>
      <c r="I244" s="1" t="s">
        <v>49</v>
      </c>
      <c r="J244" s="1" t="s">
        <v>48</v>
      </c>
      <c r="K244" s="1">
        <v>60</v>
      </c>
      <c r="L244" s="1">
        <v>0</v>
      </c>
      <c r="M244" s="1">
        <v>0</v>
      </c>
      <c r="N244" s="1">
        <v>60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 t="s">
        <v>49</v>
      </c>
      <c r="AA244" s="1" t="s">
        <v>49</v>
      </c>
      <c r="AB244" s="1" t="s">
        <v>49</v>
      </c>
      <c r="AC244" s="1" t="s">
        <v>167</v>
      </c>
      <c r="AD244" s="1" t="s">
        <v>168</v>
      </c>
      <c r="AE244" s="1" t="s">
        <v>169</v>
      </c>
      <c r="AF244" s="1" t="s">
        <v>170</v>
      </c>
      <c r="AG244" s="1" t="s">
        <v>53</v>
      </c>
      <c r="AH244" s="1" t="s">
        <v>49</v>
      </c>
      <c r="AI244" s="1" t="s">
        <v>54</v>
      </c>
      <c r="AJ244" s="1">
        <v>1</v>
      </c>
      <c r="AK244" s="1" t="str">
        <f t="shared" si="3"/>
        <v xml:space="preserve"> =&lt;90</v>
      </c>
      <c r="AL244" s="1" t="str">
        <f>VLOOKUP(C:C,[1]基础信息!B$1:D$65536,3,0)</f>
        <v>Jug</v>
      </c>
      <c r="AM244" s="1" t="str">
        <f>VLOOKUP(C:C,[1]基础信息!B$1:E$65536,4,0)</f>
        <v>Style</v>
      </c>
      <c r="AN244" s="1" t="str">
        <f>VLOOKUP(C:C,[1]基础信息!B$1:F$65536,5,0)</f>
        <v>Blue</v>
      </c>
    </row>
    <row r="245" spans="1:40">
      <c r="A245" s="1" t="s">
        <v>41</v>
      </c>
      <c r="B245" s="1" t="s">
        <v>42</v>
      </c>
      <c r="C245" s="1" t="s">
        <v>481</v>
      </c>
      <c r="D245" s="1" t="s">
        <v>482</v>
      </c>
      <c r="E245" s="1" t="s">
        <v>45</v>
      </c>
      <c r="F245" s="1" t="s">
        <v>483</v>
      </c>
      <c r="G245" s="1" t="s">
        <v>714</v>
      </c>
      <c r="H245" s="1" t="s">
        <v>715</v>
      </c>
      <c r="I245" s="1" t="s">
        <v>49</v>
      </c>
      <c r="J245" s="1" t="s">
        <v>48</v>
      </c>
      <c r="K245" s="1">
        <v>168</v>
      </c>
      <c r="L245" s="1">
        <v>0</v>
      </c>
      <c r="M245" s="1">
        <v>0</v>
      </c>
      <c r="N245" s="1">
        <v>168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 t="s">
        <v>49</v>
      </c>
      <c r="AA245" s="1" t="s">
        <v>49</v>
      </c>
      <c r="AB245" s="1" t="s">
        <v>49</v>
      </c>
      <c r="AC245" s="1" t="s">
        <v>486</v>
      </c>
      <c r="AD245" s="1" t="s">
        <v>487</v>
      </c>
      <c r="AE245" s="1" t="s">
        <v>486</v>
      </c>
      <c r="AF245" s="1" t="s">
        <v>488</v>
      </c>
      <c r="AG245" s="1" t="s">
        <v>53</v>
      </c>
      <c r="AH245" s="1" t="s">
        <v>49</v>
      </c>
      <c r="AI245" s="1" t="s">
        <v>54</v>
      </c>
      <c r="AJ245" s="1">
        <v>1</v>
      </c>
      <c r="AK245" s="1" t="str">
        <f t="shared" si="3"/>
        <v xml:space="preserve"> =&lt;90</v>
      </c>
      <c r="AL245" s="1" t="str">
        <f>VLOOKUP(C:C,[1]基础信息!B$1:D$65536,3,0)</f>
        <v>Jug</v>
      </c>
      <c r="AM245" s="1" t="str">
        <f>VLOOKUP(C:C,[1]基础信息!B$1:E$65536,4,0)</f>
        <v>Style COOL</v>
      </c>
      <c r="AN245" s="1" t="str">
        <f>VLOOKUP(C:C,[1]基础信息!B$1:F$65536,5,0)</f>
        <v>Cool Blue</v>
      </c>
    </row>
    <row r="246" spans="1:40">
      <c r="A246" s="1" t="s">
        <v>41</v>
      </c>
      <c r="B246" s="1" t="s">
        <v>42</v>
      </c>
      <c r="C246" s="1" t="s">
        <v>481</v>
      </c>
      <c r="D246" s="1" t="s">
        <v>482</v>
      </c>
      <c r="E246" s="1" t="s">
        <v>45</v>
      </c>
      <c r="F246" s="1" t="s">
        <v>483</v>
      </c>
      <c r="G246" s="1" t="s">
        <v>716</v>
      </c>
      <c r="H246" s="1" t="s">
        <v>717</v>
      </c>
      <c r="I246" s="1" t="s">
        <v>49</v>
      </c>
      <c r="J246" s="1" t="s">
        <v>48</v>
      </c>
      <c r="K246" s="1">
        <v>168</v>
      </c>
      <c r="L246" s="1">
        <v>0</v>
      </c>
      <c r="M246" s="1">
        <v>0</v>
      </c>
      <c r="N246" s="1">
        <v>168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 t="s">
        <v>49</v>
      </c>
      <c r="AA246" s="1" t="s">
        <v>49</v>
      </c>
      <c r="AB246" s="1" t="s">
        <v>49</v>
      </c>
      <c r="AC246" s="1" t="s">
        <v>486</v>
      </c>
      <c r="AD246" s="1" t="s">
        <v>487</v>
      </c>
      <c r="AE246" s="1" t="s">
        <v>486</v>
      </c>
      <c r="AF246" s="1" t="s">
        <v>488</v>
      </c>
      <c r="AG246" s="1" t="s">
        <v>53</v>
      </c>
      <c r="AH246" s="1" t="s">
        <v>49</v>
      </c>
      <c r="AI246" s="1" t="s">
        <v>54</v>
      </c>
      <c r="AJ246" s="1">
        <v>1</v>
      </c>
      <c r="AK246" s="1" t="str">
        <f t="shared" si="3"/>
        <v xml:space="preserve"> =&lt;90</v>
      </c>
      <c r="AL246" s="1" t="str">
        <f>VLOOKUP(C:C,[1]基础信息!B$1:D$65536,3,0)</f>
        <v>Jug</v>
      </c>
      <c r="AM246" s="1" t="str">
        <f>VLOOKUP(C:C,[1]基础信息!B$1:E$65536,4,0)</f>
        <v>Style COOL</v>
      </c>
      <c r="AN246" s="1" t="str">
        <f>VLOOKUP(C:C,[1]基础信息!B$1:F$65536,5,0)</f>
        <v>Cool Blue</v>
      </c>
    </row>
    <row r="247" spans="1:40">
      <c r="A247" s="1" t="s">
        <v>41</v>
      </c>
      <c r="B247" s="1" t="s">
        <v>42</v>
      </c>
      <c r="C247" s="1" t="s">
        <v>104</v>
      </c>
      <c r="D247" s="1" t="s">
        <v>105</v>
      </c>
      <c r="E247" s="1" t="s">
        <v>104</v>
      </c>
      <c r="F247" s="1" t="s">
        <v>151</v>
      </c>
      <c r="G247" s="1" t="s">
        <v>718</v>
      </c>
      <c r="H247" s="1" t="s">
        <v>719</v>
      </c>
      <c r="I247" s="1" t="s">
        <v>49</v>
      </c>
      <c r="J247" s="1" t="s">
        <v>48</v>
      </c>
      <c r="K247" s="1">
        <v>96</v>
      </c>
      <c r="L247" s="1">
        <v>0</v>
      </c>
      <c r="M247" s="1">
        <v>0</v>
      </c>
      <c r="N247" s="1">
        <v>96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 t="s">
        <v>49</v>
      </c>
      <c r="AA247" s="1" t="s">
        <v>49</v>
      </c>
      <c r="AB247" s="1" t="s">
        <v>49</v>
      </c>
      <c r="AC247" s="1" t="s">
        <v>154</v>
      </c>
      <c r="AD247" s="1" t="s">
        <v>155</v>
      </c>
      <c r="AE247" s="1" t="s">
        <v>154</v>
      </c>
      <c r="AF247" s="1" t="s">
        <v>111</v>
      </c>
      <c r="AG247" s="1" t="s">
        <v>53</v>
      </c>
      <c r="AH247" s="1" t="s">
        <v>49</v>
      </c>
      <c r="AI247" s="1" t="s">
        <v>54</v>
      </c>
      <c r="AJ247" s="1">
        <v>1</v>
      </c>
      <c r="AK247" s="1" t="str">
        <f t="shared" si="3"/>
        <v xml:space="preserve"> =&lt;90</v>
      </c>
      <c r="AL247" s="1" t="str">
        <f>VLOOKUP(C:C,[1]基础信息!B$1:D$65536,3,0)</f>
        <v>Jug</v>
      </c>
      <c r="AM247" s="1" t="str">
        <f>VLOOKUP(C:C,[1]基础信息!B$1:E$65536,4,0)</f>
        <v>Marella XL</v>
      </c>
      <c r="AN247" s="1" t="str">
        <f>VLOOKUP(C:C,[1]基础信息!B$1:F$65536,5,0)</f>
        <v>Blue</v>
      </c>
    </row>
    <row r="248" spans="1:40">
      <c r="A248" s="1" t="s">
        <v>41</v>
      </c>
      <c r="B248" s="1" t="s">
        <v>42</v>
      </c>
      <c r="C248" s="1" t="s">
        <v>481</v>
      </c>
      <c r="D248" s="1" t="s">
        <v>482</v>
      </c>
      <c r="E248" s="1" t="s">
        <v>45</v>
      </c>
      <c r="F248" s="1" t="s">
        <v>483</v>
      </c>
      <c r="G248" s="1" t="s">
        <v>720</v>
      </c>
      <c r="H248" s="1" t="s">
        <v>721</v>
      </c>
      <c r="I248" s="1" t="s">
        <v>49</v>
      </c>
      <c r="J248" s="1" t="s">
        <v>48</v>
      </c>
      <c r="K248" s="1">
        <v>168</v>
      </c>
      <c r="L248" s="1">
        <v>0</v>
      </c>
      <c r="M248" s="1">
        <v>0</v>
      </c>
      <c r="N248" s="1">
        <v>168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 t="s">
        <v>49</v>
      </c>
      <c r="AA248" s="1" t="s">
        <v>49</v>
      </c>
      <c r="AB248" s="1" t="s">
        <v>49</v>
      </c>
      <c r="AC248" s="1" t="s">
        <v>486</v>
      </c>
      <c r="AD248" s="1" t="s">
        <v>487</v>
      </c>
      <c r="AE248" s="1" t="s">
        <v>486</v>
      </c>
      <c r="AF248" s="1" t="s">
        <v>488</v>
      </c>
      <c r="AG248" s="1" t="s">
        <v>53</v>
      </c>
      <c r="AH248" s="1" t="s">
        <v>49</v>
      </c>
      <c r="AI248" s="1" t="s">
        <v>54</v>
      </c>
      <c r="AJ248" s="1">
        <v>1</v>
      </c>
      <c r="AK248" s="1" t="str">
        <f t="shared" si="3"/>
        <v xml:space="preserve"> =&lt;90</v>
      </c>
      <c r="AL248" s="1" t="str">
        <f>VLOOKUP(C:C,[1]基础信息!B$1:D$65536,3,0)</f>
        <v>Jug</v>
      </c>
      <c r="AM248" s="1" t="str">
        <f>VLOOKUP(C:C,[1]基础信息!B$1:E$65536,4,0)</f>
        <v>Style COOL</v>
      </c>
      <c r="AN248" s="1" t="str">
        <f>VLOOKUP(C:C,[1]基础信息!B$1:F$65536,5,0)</f>
        <v>Cool Blue</v>
      </c>
    </row>
    <row r="249" spans="1:40">
      <c r="A249" s="1" t="s">
        <v>41</v>
      </c>
      <c r="B249" s="1" t="s">
        <v>42</v>
      </c>
      <c r="C249" s="1" t="s">
        <v>722</v>
      </c>
      <c r="D249" s="1" t="s">
        <v>723</v>
      </c>
      <c r="E249" s="1" t="s">
        <v>45</v>
      </c>
      <c r="F249" s="1" t="s">
        <v>724</v>
      </c>
      <c r="G249" s="1" t="s">
        <v>725</v>
      </c>
      <c r="H249" s="1" t="s">
        <v>726</v>
      </c>
      <c r="I249" s="1" t="s">
        <v>49</v>
      </c>
      <c r="J249" s="1" t="s">
        <v>48</v>
      </c>
      <c r="K249" s="1">
        <v>17</v>
      </c>
      <c r="L249" s="1">
        <v>0</v>
      </c>
      <c r="M249" s="1">
        <v>0</v>
      </c>
      <c r="N249" s="1">
        <v>17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 t="s">
        <v>49</v>
      </c>
      <c r="AA249" s="1" t="s">
        <v>49</v>
      </c>
      <c r="AB249" s="1" t="s">
        <v>49</v>
      </c>
      <c r="AC249" s="1" t="s">
        <v>727</v>
      </c>
      <c r="AD249" s="1" t="s">
        <v>728</v>
      </c>
      <c r="AE249" s="1" t="s">
        <v>727</v>
      </c>
      <c r="AF249" s="1" t="s">
        <v>49</v>
      </c>
      <c r="AG249" s="1" t="s">
        <v>53</v>
      </c>
      <c r="AH249" s="1" t="s">
        <v>49</v>
      </c>
      <c r="AI249" s="1" t="s">
        <v>54</v>
      </c>
      <c r="AJ249" s="1">
        <v>1</v>
      </c>
      <c r="AK249" s="1" t="str">
        <f t="shared" si="3"/>
        <v xml:space="preserve"> =&lt;90</v>
      </c>
      <c r="AL249" s="1" t="str">
        <f>VLOOKUP(C:C,[1]基础信息!B$1:D$65536,3,0)</f>
        <v>Spare Parts</v>
      </c>
      <c r="AM249" s="1" t="str">
        <f>VLOOKUP(C:C,[1]基础信息!B$1:E$65536,4,0)</f>
        <v>Spare Parts</v>
      </c>
      <c r="AN249" s="1" t="str">
        <f>VLOOKUP(C:C,[1]基础信息!B$1:F$65536,5,0)</f>
        <v>Spare Parts</v>
      </c>
    </row>
    <row r="250" spans="1:40">
      <c r="A250" s="1" t="s">
        <v>41</v>
      </c>
      <c r="B250" s="1" t="s">
        <v>42</v>
      </c>
      <c r="C250" s="1" t="s">
        <v>83</v>
      </c>
      <c r="D250" s="1" t="s">
        <v>84</v>
      </c>
      <c r="E250" s="1" t="s">
        <v>45</v>
      </c>
      <c r="F250" s="1" t="s">
        <v>467</v>
      </c>
      <c r="G250" s="1" t="s">
        <v>729</v>
      </c>
      <c r="H250" s="1" t="s">
        <v>730</v>
      </c>
      <c r="I250" s="1" t="s">
        <v>49</v>
      </c>
      <c r="J250" s="1" t="s">
        <v>48</v>
      </c>
      <c r="K250" s="1">
        <v>96</v>
      </c>
      <c r="L250" s="1">
        <v>0</v>
      </c>
      <c r="M250" s="1">
        <v>0</v>
      </c>
      <c r="N250" s="1">
        <v>96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 t="s">
        <v>49</v>
      </c>
      <c r="AA250" s="1" t="s">
        <v>49</v>
      </c>
      <c r="AB250" s="1" t="s">
        <v>49</v>
      </c>
      <c r="AC250" s="1" t="s">
        <v>470</v>
      </c>
      <c r="AD250" s="1" t="s">
        <v>471</v>
      </c>
      <c r="AE250" s="1" t="s">
        <v>470</v>
      </c>
      <c r="AF250" s="1" t="s">
        <v>472</v>
      </c>
      <c r="AG250" s="1" t="s">
        <v>53</v>
      </c>
      <c r="AH250" s="1" t="s">
        <v>49</v>
      </c>
      <c r="AI250" s="1" t="s">
        <v>54</v>
      </c>
      <c r="AJ250" s="1">
        <v>1</v>
      </c>
      <c r="AK250" s="1" t="str">
        <f t="shared" si="3"/>
        <v xml:space="preserve"> =&lt;90</v>
      </c>
      <c r="AL250" s="1" t="str">
        <f>VLOOKUP(C:C,[1]基础信息!B$1:D$65536,3,0)</f>
        <v>Jug</v>
      </c>
      <c r="AM250" s="1" t="str">
        <f>VLOOKUP(C:C,[1]基础信息!B$1:E$65536,4,0)</f>
        <v>Mxplus</v>
      </c>
      <c r="AN250" s="1" t="str">
        <f>VLOOKUP(C:C,[1]基础信息!B$1:F$65536,5,0)</f>
        <v>Blue</v>
      </c>
    </row>
    <row r="251" spans="1:40">
      <c r="A251" s="1" t="s">
        <v>41</v>
      </c>
      <c r="B251" s="1" t="s">
        <v>42</v>
      </c>
      <c r="C251" s="1" t="s">
        <v>481</v>
      </c>
      <c r="D251" s="1" t="s">
        <v>482</v>
      </c>
      <c r="E251" s="1" t="s">
        <v>45</v>
      </c>
      <c r="F251" s="1" t="s">
        <v>483</v>
      </c>
      <c r="G251" s="1" t="s">
        <v>731</v>
      </c>
      <c r="H251" s="1" t="s">
        <v>732</v>
      </c>
      <c r="I251" s="1" t="s">
        <v>49</v>
      </c>
      <c r="J251" s="1" t="s">
        <v>48</v>
      </c>
      <c r="K251" s="1">
        <v>7</v>
      </c>
      <c r="L251" s="1">
        <v>0</v>
      </c>
      <c r="M251" s="1">
        <v>0</v>
      </c>
      <c r="N251" s="1">
        <v>7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 t="s">
        <v>49</v>
      </c>
      <c r="AA251" s="1" t="s">
        <v>49</v>
      </c>
      <c r="AB251" s="1" t="s">
        <v>49</v>
      </c>
      <c r="AC251" s="1" t="s">
        <v>486</v>
      </c>
      <c r="AD251" s="1" t="s">
        <v>487</v>
      </c>
      <c r="AE251" s="1" t="s">
        <v>486</v>
      </c>
      <c r="AF251" s="1" t="s">
        <v>488</v>
      </c>
      <c r="AG251" s="1" t="s">
        <v>53</v>
      </c>
      <c r="AH251" s="1" t="s">
        <v>49</v>
      </c>
      <c r="AI251" s="1" t="s">
        <v>54</v>
      </c>
      <c r="AJ251" s="1">
        <v>1</v>
      </c>
      <c r="AK251" s="1" t="str">
        <f t="shared" si="3"/>
        <v xml:space="preserve"> =&lt;90</v>
      </c>
      <c r="AL251" s="1" t="str">
        <f>VLOOKUP(C:C,[1]基础信息!B$1:D$65536,3,0)</f>
        <v>Jug</v>
      </c>
      <c r="AM251" s="1" t="str">
        <f>VLOOKUP(C:C,[1]基础信息!B$1:E$65536,4,0)</f>
        <v>Style COOL</v>
      </c>
      <c r="AN251" s="1" t="str">
        <f>VLOOKUP(C:C,[1]基础信息!B$1:F$65536,5,0)</f>
        <v>Cool Blue</v>
      </c>
    </row>
    <row r="252" spans="1:40">
      <c r="A252" s="1" t="s">
        <v>41</v>
      </c>
      <c r="B252" s="1" t="s">
        <v>42</v>
      </c>
      <c r="C252" s="1" t="s">
        <v>83</v>
      </c>
      <c r="D252" s="1" t="s">
        <v>84</v>
      </c>
      <c r="E252" s="1" t="s">
        <v>45</v>
      </c>
      <c r="F252" s="1" t="s">
        <v>467</v>
      </c>
      <c r="G252" s="1" t="s">
        <v>733</v>
      </c>
      <c r="H252" s="1" t="s">
        <v>734</v>
      </c>
      <c r="I252" s="1" t="s">
        <v>49</v>
      </c>
      <c r="J252" s="1" t="s">
        <v>48</v>
      </c>
      <c r="K252" s="1">
        <v>96</v>
      </c>
      <c r="L252" s="1">
        <v>0</v>
      </c>
      <c r="M252" s="1">
        <v>0</v>
      </c>
      <c r="N252" s="1">
        <v>96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 t="s">
        <v>49</v>
      </c>
      <c r="AA252" s="1" t="s">
        <v>49</v>
      </c>
      <c r="AB252" s="1" t="s">
        <v>49</v>
      </c>
      <c r="AC252" s="1" t="s">
        <v>470</v>
      </c>
      <c r="AD252" s="1" t="s">
        <v>471</v>
      </c>
      <c r="AE252" s="1" t="s">
        <v>470</v>
      </c>
      <c r="AF252" s="1" t="s">
        <v>472</v>
      </c>
      <c r="AG252" s="1" t="s">
        <v>53</v>
      </c>
      <c r="AH252" s="1" t="s">
        <v>49</v>
      </c>
      <c r="AI252" s="1" t="s">
        <v>54</v>
      </c>
      <c r="AJ252" s="1">
        <v>1</v>
      </c>
      <c r="AK252" s="1" t="str">
        <f t="shared" si="3"/>
        <v xml:space="preserve"> =&lt;90</v>
      </c>
      <c r="AL252" s="1" t="str">
        <f>VLOOKUP(C:C,[1]基础信息!B$1:D$65536,3,0)</f>
        <v>Jug</v>
      </c>
      <c r="AM252" s="1" t="str">
        <f>VLOOKUP(C:C,[1]基础信息!B$1:E$65536,4,0)</f>
        <v>Mxplus</v>
      </c>
      <c r="AN252" s="1" t="str">
        <f>VLOOKUP(C:C,[1]基础信息!B$1:F$65536,5,0)</f>
        <v>Blue</v>
      </c>
    </row>
    <row r="253" spans="1:40">
      <c r="A253" s="1" t="s">
        <v>41</v>
      </c>
      <c r="B253" s="1" t="s">
        <v>42</v>
      </c>
      <c r="C253" s="1" t="s">
        <v>481</v>
      </c>
      <c r="D253" s="1" t="s">
        <v>482</v>
      </c>
      <c r="E253" s="1" t="s">
        <v>45</v>
      </c>
      <c r="F253" s="1" t="s">
        <v>483</v>
      </c>
      <c r="G253" s="1" t="s">
        <v>735</v>
      </c>
      <c r="H253" s="1" t="s">
        <v>736</v>
      </c>
      <c r="I253" s="1" t="s">
        <v>49</v>
      </c>
      <c r="J253" s="1" t="s">
        <v>48</v>
      </c>
      <c r="K253" s="1">
        <v>168</v>
      </c>
      <c r="L253" s="1">
        <v>0</v>
      </c>
      <c r="M253" s="1">
        <v>0</v>
      </c>
      <c r="N253" s="1">
        <v>168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 t="s">
        <v>49</v>
      </c>
      <c r="AA253" s="1" t="s">
        <v>49</v>
      </c>
      <c r="AB253" s="1" t="s">
        <v>49</v>
      </c>
      <c r="AC253" s="1" t="s">
        <v>486</v>
      </c>
      <c r="AD253" s="1" t="s">
        <v>487</v>
      </c>
      <c r="AE253" s="1" t="s">
        <v>486</v>
      </c>
      <c r="AF253" s="1" t="s">
        <v>488</v>
      </c>
      <c r="AG253" s="1" t="s">
        <v>53</v>
      </c>
      <c r="AH253" s="1" t="s">
        <v>49</v>
      </c>
      <c r="AI253" s="1" t="s">
        <v>54</v>
      </c>
      <c r="AJ253" s="1">
        <v>1</v>
      </c>
      <c r="AK253" s="1" t="str">
        <f t="shared" si="3"/>
        <v xml:space="preserve"> =&lt;90</v>
      </c>
      <c r="AL253" s="1" t="str">
        <f>VLOOKUP(C:C,[1]基础信息!B$1:D$65536,3,0)</f>
        <v>Jug</v>
      </c>
      <c r="AM253" s="1" t="str">
        <f>VLOOKUP(C:C,[1]基础信息!B$1:E$65536,4,0)</f>
        <v>Style COOL</v>
      </c>
      <c r="AN253" s="1" t="str">
        <f>VLOOKUP(C:C,[1]基础信息!B$1:F$65536,5,0)</f>
        <v>Cool Blue</v>
      </c>
    </row>
    <row r="254" spans="1:40">
      <c r="A254" s="1" t="s">
        <v>41</v>
      </c>
      <c r="B254" s="1" t="s">
        <v>42</v>
      </c>
      <c r="C254" s="1" t="s">
        <v>481</v>
      </c>
      <c r="D254" s="1" t="s">
        <v>482</v>
      </c>
      <c r="E254" s="1" t="s">
        <v>45</v>
      </c>
      <c r="F254" s="1" t="s">
        <v>483</v>
      </c>
      <c r="G254" s="1" t="s">
        <v>737</v>
      </c>
      <c r="H254" s="1" t="s">
        <v>738</v>
      </c>
      <c r="I254" s="1" t="s">
        <v>49</v>
      </c>
      <c r="J254" s="1" t="s">
        <v>48</v>
      </c>
      <c r="K254" s="1">
        <v>168</v>
      </c>
      <c r="L254" s="1">
        <v>0</v>
      </c>
      <c r="M254" s="1">
        <v>0</v>
      </c>
      <c r="N254" s="1">
        <v>168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 t="s">
        <v>49</v>
      </c>
      <c r="AA254" s="1" t="s">
        <v>49</v>
      </c>
      <c r="AB254" s="1" t="s">
        <v>49</v>
      </c>
      <c r="AC254" s="1" t="s">
        <v>486</v>
      </c>
      <c r="AD254" s="1" t="s">
        <v>487</v>
      </c>
      <c r="AE254" s="1" t="s">
        <v>486</v>
      </c>
      <c r="AF254" s="1" t="s">
        <v>488</v>
      </c>
      <c r="AG254" s="1" t="s">
        <v>53</v>
      </c>
      <c r="AH254" s="1" t="s">
        <v>49</v>
      </c>
      <c r="AI254" s="1" t="s">
        <v>54</v>
      </c>
      <c r="AJ254" s="1">
        <v>1</v>
      </c>
      <c r="AK254" s="1" t="str">
        <f t="shared" si="3"/>
        <v xml:space="preserve"> =&lt;90</v>
      </c>
      <c r="AL254" s="1" t="str">
        <f>VLOOKUP(C:C,[1]基础信息!B$1:D$65536,3,0)</f>
        <v>Jug</v>
      </c>
      <c r="AM254" s="1" t="str">
        <f>VLOOKUP(C:C,[1]基础信息!B$1:E$65536,4,0)</f>
        <v>Style COOL</v>
      </c>
      <c r="AN254" s="1" t="str">
        <f>VLOOKUP(C:C,[1]基础信息!B$1:F$65536,5,0)</f>
        <v>Cool Blue</v>
      </c>
    </row>
    <row r="255" spans="1:40">
      <c r="A255" s="1" t="s">
        <v>41</v>
      </c>
      <c r="B255" s="1" t="s">
        <v>42</v>
      </c>
      <c r="C255" s="1" t="s">
        <v>481</v>
      </c>
      <c r="D255" s="1" t="s">
        <v>482</v>
      </c>
      <c r="E255" s="1" t="s">
        <v>45</v>
      </c>
      <c r="F255" s="1" t="s">
        <v>483</v>
      </c>
      <c r="G255" s="1" t="s">
        <v>739</v>
      </c>
      <c r="H255" s="1" t="s">
        <v>740</v>
      </c>
      <c r="I255" s="1" t="s">
        <v>49</v>
      </c>
      <c r="J255" s="1" t="s">
        <v>48</v>
      </c>
      <c r="K255" s="1">
        <v>168</v>
      </c>
      <c r="L255" s="1">
        <v>0</v>
      </c>
      <c r="M255" s="1">
        <v>0</v>
      </c>
      <c r="N255" s="1">
        <v>168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 t="s">
        <v>49</v>
      </c>
      <c r="AA255" s="1" t="s">
        <v>49</v>
      </c>
      <c r="AB255" s="1" t="s">
        <v>49</v>
      </c>
      <c r="AC255" s="1" t="s">
        <v>486</v>
      </c>
      <c r="AD255" s="1" t="s">
        <v>487</v>
      </c>
      <c r="AE255" s="1" t="s">
        <v>486</v>
      </c>
      <c r="AF255" s="1" t="s">
        <v>488</v>
      </c>
      <c r="AG255" s="1" t="s">
        <v>53</v>
      </c>
      <c r="AH255" s="1" t="s">
        <v>49</v>
      </c>
      <c r="AI255" s="1" t="s">
        <v>54</v>
      </c>
      <c r="AJ255" s="1">
        <v>1</v>
      </c>
      <c r="AK255" s="1" t="str">
        <f t="shared" si="3"/>
        <v xml:space="preserve"> =&lt;90</v>
      </c>
      <c r="AL255" s="1" t="str">
        <f>VLOOKUP(C:C,[1]基础信息!B$1:D$65536,3,0)</f>
        <v>Jug</v>
      </c>
      <c r="AM255" s="1" t="str">
        <f>VLOOKUP(C:C,[1]基础信息!B$1:E$65536,4,0)</f>
        <v>Style COOL</v>
      </c>
      <c r="AN255" s="1" t="str">
        <f>VLOOKUP(C:C,[1]基础信息!B$1:F$65536,5,0)</f>
        <v>Cool Blue</v>
      </c>
    </row>
    <row r="256" spans="1:40">
      <c r="A256" s="1" t="s">
        <v>41</v>
      </c>
      <c r="B256" s="1" t="s">
        <v>42</v>
      </c>
      <c r="C256" s="1" t="s">
        <v>481</v>
      </c>
      <c r="D256" s="1" t="s">
        <v>482</v>
      </c>
      <c r="E256" s="1" t="s">
        <v>45</v>
      </c>
      <c r="F256" s="1" t="s">
        <v>483</v>
      </c>
      <c r="G256" s="1" t="s">
        <v>741</v>
      </c>
      <c r="H256" s="1" t="s">
        <v>742</v>
      </c>
      <c r="I256" s="1" t="s">
        <v>49</v>
      </c>
      <c r="J256" s="1" t="s">
        <v>48</v>
      </c>
      <c r="K256" s="1">
        <v>168</v>
      </c>
      <c r="L256" s="1">
        <v>0</v>
      </c>
      <c r="M256" s="1">
        <v>0</v>
      </c>
      <c r="N256" s="1">
        <v>168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 t="s">
        <v>49</v>
      </c>
      <c r="AA256" s="1" t="s">
        <v>49</v>
      </c>
      <c r="AB256" s="1" t="s">
        <v>49</v>
      </c>
      <c r="AC256" s="1" t="s">
        <v>486</v>
      </c>
      <c r="AD256" s="1" t="s">
        <v>487</v>
      </c>
      <c r="AE256" s="1" t="s">
        <v>486</v>
      </c>
      <c r="AF256" s="1" t="s">
        <v>488</v>
      </c>
      <c r="AG256" s="1" t="s">
        <v>53</v>
      </c>
      <c r="AH256" s="1" t="s">
        <v>49</v>
      </c>
      <c r="AI256" s="1" t="s">
        <v>54</v>
      </c>
      <c r="AJ256" s="1">
        <v>1</v>
      </c>
      <c r="AK256" s="1" t="str">
        <f t="shared" si="3"/>
        <v xml:space="preserve"> =&lt;90</v>
      </c>
      <c r="AL256" s="1" t="str">
        <f>VLOOKUP(C:C,[1]基础信息!B$1:D$65536,3,0)</f>
        <v>Jug</v>
      </c>
      <c r="AM256" s="1" t="str">
        <f>VLOOKUP(C:C,[1]基础信息!B$1:E$65536,4,0)</f>
        <v>Style COOL</v>
      </c>
      <c r="AN256" s="1" t="str">
        <f>VLOOKUP(C:C,[1]基础信息!B$1:F$65536,5,0)</f>
        <v>Cool Blue</v>
      </c>
    </row>
    <row r="257" spans="1:40">
      <c r="A257" s="1" t="s">
        <v>41</v>
      </c>
      <c r="B257" s="1" t="s">
        <v>42</v>
      </c>
      <c r="C257" s="1" t="s">
        <v>481</v>
      </c>
      <c r="D257" s="1" t="s">
        <v>482</v>
      </c>
      <c r="E257" s="1" t="s">
        <v>45</v>
      </c>
      <c r="F257" s="1" t="s">
        <v>483</v>
      </c>
      <c r="G257" s="1" t="s">
        <v>743</v>
      </c>
      <c r="H257" s="1" t="s">
        <v>744</v>
      </c>
      <c r="I257" s="1" t="s">
        <v>49</v>
      </c>
      <c r="J257" s="1" t="s">
        <v>48</v>
      </c>
      <c r="K257" s="1">
        <v>168</v>
      </c>
      <c r="L257" s="1">
        <v>0</v>
      </c>
      <c r="M257" s="1">
        <v>0</v>
      </c>
      <c r="N257" s="1">
        <v>168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 t="s">
        <v>49</v>
      </c>
      <c r="AA257" s="1" t="s">
        <v>49</v>
      </c>
      <c r="AB257" s="1" t="s">
        <v>49</v>
      </c>
      <c r="AC257" s="1" t="s">
        <v>486</v>
      </c>
      <c r="AD257" s="1" t="s">
        <v>487</v>
      </c>
      <c r="AE257" s="1" t="s">
        <v>486</v>
      </c>
      <c r="AF257" s="1" t="s">
        <v>488</v>
      </c>
      <c r="AG257" s="1" t="s">
        <v>53</v>
      </c>
      <c r="AH257" s="1" t="s">
        <v>49</v>
      </c>
      <c r="AI257" s="1" t="s">
        <v>54</v>
      </c>
      <c r="AJ257" s="1">
        <v>1</v>
      </c>
      <c r="AK257" s="1" t="str">
        <f t="shared" si="3"/>
        <v xml:space="preserve"> =&lt;90</v>
      </c>
      <c r="AL257" s="1" t="str">
        <f>VLOOKUP(C:C,[1]基础信息!B$1:D$65536,3,0)</f>
        <v>Jug</v>
      </c>
      <c r="AM257" s="1" t="str">
        <f>VLOOKUP(C:C,[1]基础信息!B$1:E$65536,4,0)</f>
        <v>Style COOL</v>
      </c>
      <c r="AN257" s="1" t="str">
        <f>VLOOKUP(C:C,[1]基础信息!B$1:F$65536,5,0)</f>
        <v>Cool Blue</v>
      </c>
    </row>
    <row r="258" spans="1:40">
      <c r="A258" s="1" t="s">
        <v>41</v>
      </c>
      <c r="B258" s="1" t="s">
        <v>42</v>
      </c>
      <c r="C258" s="1" t="s">
        <v>83</v>
      </c>
      <c r="D258" s="1" t="s">
        <v>84</v>
      </c>
      <c r="E258" s="1" t="s">
        <v>45</v>
      </c>
      <c r="F258" s="1" t="s">
        <v>467</v>
      </c>
      <c r="G258" s="1" t="s">
        <v>745</v>
      </c>
      <c r="H258" s="1" t="s">
        <v>746</v>
      </c>
      <c r="I258" s="1" t="s">
        <v>49</v>
      </c>
      <c r="J258" s="1" t="s">
        <v>48</v>
      </c>
      <c r="K258" s="1">
        <v>96</v>
      </c>
      <c r="L258" s="1">
        <v>0</v>
      </c>
      <c r="M258" s="1">
        <v>0</v>
      </c>
      <c r="N258" s="1">
        <v>96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 t="s">
        <v>49</v>
      </c>
      <c r="AA258" s="1" t="s">
        <v>49</v>
      </c>
      <c r="AB258" s="1" t="s">
        <v>49</v>
      </c>
      <c r="AC258" s="1" t="s">
        <v>470</v>
      </c>
      <c r="AD258" s="1" t="s">
        <v>471</v>
      </c>
      <c r="AE258" s="1" t="s">
        <v>470</v>
      </c>
      <c r="AF258" s="1" t="s">
        <v>472</v>
      </c>
      <c r="AG258" s="1" t="s">
        <v>53</v>
      </c>
      <c r="AH258" s="1" t="s">
        <v>49</v>
      </c>
      <c r="AI258" s="1" t="s">
        <v>54</v>
      </c>
      <c r="AJ258" s="1">
        <v>1</v>
      </c>
      <c r="AK258" s="1" t="str">
        <f t="shared" ref="AK258:AK321" si="4">IF(AJ258&gt;$AP$2,$AQ$2,IF(AJ258&gt;$AP$3,$AQ$3,IF(AJ258&gt;$AP$4,$AQ$4,$AQ$5)))</f>
        <v xml:space="preserve"> =&lt;90</v>
      </c>
      <c r="AL258" s="1" t="str">
        <f>VLOOKUP(C:C,[1]基础信息!B$1:D$65536,3,0)</f>
        <v>Jug</v>
      </c>
      <c r="AM258" s="1" t="str">
        <f>VLOOKUP(C:C,[1]基础信息!B$1:E$65536,4,0)</f>
        <v>Mxplus</v>
      </c>
      <c r="AN258" s="1" t="str">
        <f>VLOOKUP(C:C,[1]基础信息!B$1:F$65536,5,0)</f>
        <v>Blue</v>
      </c>
    </row>
    <row r="259" spans="1:40">
      <c r="A259" s="1" t="s">
        <v>41</v>
      </c>
      <c r="B259" s="1" t="s">
        <v>42</v>
      </c>
      <c r="C259" s="1" t="s">
        <v>83</v>
      </c>
      <c r="D259" s="1" t="s">
        <v>84</v>
      </c>
      <c r="E259" s="1" t="s">
        <v>45</v>
      </c>
      <c r="F259" s="1" t="s">
        <v>467</v>
      </c>
      <c r="G259" s="1" t="s">
        <v>747</v>
      </c>
      <c r="H259" s="1" t="s">
        <v>748</v>
      </c>
      <c r="I259" s="1" t="s">
        <v>49</v>
      </c>
      <c r="J259" s="1" t="s">
        <v>48</v>
      </c>
      <c r="K259" s="1">
        <v>96</v>
      </c>
      <c r="L259" s="1">
        <v>0</v>
      </c>
      <c r="M259" s="1">
        <v>0</v>
      </c>
      <c r="N259" s="1">
        <v>96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 t="s">
        <v>49</v>
      </c>
      <c r="AA259" s="1" t="s">
        <v>49</v>
      </c>
      <c r="AB259" s="1" t="s">
        <v>49</v>
      </c>
      <c r="AC259" s="1" t="s">
        <v>470</v>
      </c>
      <c r="AD259" s="1" t="s">
        <v>471</v>
      </c>
      <c r="AE259" s="1" t="s">
        <v>470</v>
      </c>
      <c r="AF259" s="1" t="s">
        <v>472</v>
      </c>
      <c r="AG259" s="1" t="s">
        <v>53</v>
      </c>
      <c r="AH259" s="1" t="s">
        <v>49</v>
      </c>
      <c r="AI259" s="1" t="s">
        <v>54</v>
      </c>
      <c r="AJ259" s="1">
        <v>1</v>
      </c>
      <c r="AK259" s="1" t="str">
        <f t="shared" si="4"/>
        <v xml:space="preserve"> =&lt;90</v>
      </c>
      <c r="AL259" s="1" t="str">
        <f>VLOOKUP(C:C,[1]基础信息!B$1:D$65536,3,0)</f>
        <v>Jug</v>
      </c>
      <c r="AM259" s="1" t="str">
        <f>VLOOKUP(C:C,[1]基础信息!B$1:E$65536,4,0)</f>
        <v>Mxplus</v>
      </c>
      <c r="AN259" s="1" t="str">
        <f>VLOOKUP(C:C,[1]基础信息!B$1:F$65536,5,0)</f>
        <v>Blue</v>
      </c>
    </row>
    <row r="260" spans="1:40">
      <c r="A260" s="1" t="s">
        <v>41</v>
      </c>
      <c r="B260" s="1" t="s">
        <v>42</v>
      </c>
      <c r="C260" s="1" t="s">
        <v>554</v>
      </c>
      <c r="D260" s="1" t="s">
        <v>555</v>
      </c>
      <c r="E260" s="1" t="s">
        <v>45</v>
      </c>
      <c r="F260" s="1" t="s">
        <v>556</v>
      </c>
      <c r="G260" s="1" t="s">
        <v>749</v>
      </c>
      <c r="H260" s="1" t="s">
        <v>750</v>
      </c>
      <c r="I260" s="1" t="s">
        <v>49</v>
      </c>
      <c r="J260" s="1" t="s">
        <v>48</v>
      </c>
      <c r="K260" s="1">
        <v>70</v>
      </c>
      <c r="L260" s="1">
        <v>0</v>
      </c>
      <c r="M260" s="1">
        <v>0</v>
      </c>
      <c r="N260" s="1">
        <v>70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 t="s">
        <v>49</v>
      </c>
      <c r="AA260" s="1" t="s">
        <v>49</v>
      </c>
      <c r="AB260" s="1" t="s">
        <v>49</v>
      </c>
      <c r="AC260" s="1" t="s">
        <v>414</v>
      </c>
      <c r="AD260" s="1" t="s">
        <v>415</v>
      </c>
      <c r="AE260" s="1" t="s">
        <v>416</v>
      </c>
      <c r="AF260" s="1" t="s">
        <v>559</v>
      </c>
      <c r="AG260" s="1" t="s">
        <v>53</v>
      </c>
      <c r="AH260" s="1" t="s">
        <v>49</v>
      </c>
      <c r="AI260" s="1" t="s">
        <v>54</v>
      </c>
      <c r="AJ260" s="1">
        <v>1</v>
      </c>
      <c r="AK260" s="1" t="str">
        <f t="shared" si="4"/>
        <v xml:space="preserve"> =&lt;90</v>
      </c>
      <c r="AL260" s="1" t="str">
        <f>VLOOKUP(C:C,[1]基础信息!B$1:D$65536,3,0)</f>
        <v>Jug</v>
      </c>
      <c r="AM260" s="1" t="str">
        <f>VLOOKUP(C:C,[1]基础信息!B$1:E$65536,4,0)</f>
        <v>Green Pack</v>
      </c>
      <c r="AN260" s="1" t="str">
        <f>VLOOKUP(C:C,[1]基础信息!B$1:F$65536,5,0)</f>
        <v>Blue</v>
      </c>
    </row>
    <row r="261" spans="1:40">
      <c r="A261" s="1" t="s">
        <v>41</v>
      </c>
      <c r="B261" s="1" t="s">
        <v>42</v>
      </c>
      <c r="C261" s="1" t="s">
        <v>481</v>
      </c>
      <c r="D261" s="1" t="s">
        <v>482</v>
      </c>
      <c r="E261" s="1" t="s">
        <v>45</v>
      </c>
      <c r="F261" s="1" t="s">
        <v>483</v>
      </c>
      <c r="G261" s="1" t="s">
        <v>751</v>
      </c>
      <c r="H261" s="1" t="s">
        <v>752</v>
      </c>
      <c r="I261" s="1" t="s">
        <v>49</v>
      </c>
      <c r="J261" s="1" t="s">
        <v>48</v>
      </c>
      <c r="K261" s="1">
        <v>168</v>
      </c>
      <c r="L261" s="1">
        <v>0</v>
      </c>
      <c r="M261" s="1">
        <v>0</v>
      </c>
      <c r="N261" s="1">
        <v>168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 t="s">
        <v>49</v>
      </c>
      <c r="AA261" s="1" t="s">
        <v>49</v>
      </c>
      <c r="AB261" s="1" t="s">
        <v>49</v>
      </c>
      <c r="AC261" s="1" t="s">
        <v>486</v>
      </c>
      <c r="AD261" s="1" t="s">
        <v>487</v>
      </c>
      <c r="AE261" s="1" t="s">
        <v>486</v>
      </c>
      <c r="AF261" s="1" t="s">
        <v>488</v>
      </c>
      <c r="AG261" s="1" t="s">
        <v>53</v>
      </c>
      <c r="AH261" s="1" t="s">
        <v>49</v>
      </c>
      <c r="AI261" s="1" t="s">
        <v>54</v>
      </c>
      <c r="AJ261" s="1">
        <v>1</v>
      </c>
      <c r="AK261" s="1" t="str">
        <f t="shared" si="4"/>
        <v xml:space="preserve"> =&lt;90</v>
      </c>
      <c r="AL261" s="1" t="str">
        <f>VLOOKUP(C:C,[1]基础信息!B$1:D$65536,3,0)</f>
        <v>Jug</v>
      </c>
      <c r="AM261" s="1" t="str">
        <f>VLOOKUP(C:C,[1]基础信息!B$1:E$65536,4,0)</f>
        <v>Style COOL</v>
      </c>
      <c r="AN261" s="1" t="str">
        <f>VLOOKUP(C:C,[1]基础信息!B$1:F$65536,5,0)</f>
        <v>Cool Blue</v>
      </c>
    </row>
    <row r="262" spans="1:40">
      <c r="A262" s="1" t="s">
        <v>41</v>
      </c>
      <c r="B262" s="1" t="s">
        <v>42</v>
      </c>
      <c r="C262" s="1" t="s">
        <v>481</v>
      </c>
      <c r="D262" s="1" t="s">
        <v>482</v>
      </c>
      <c r="E262" s="1" t="s">
        <v>45</v>
      </c>
      <c r="F262" s="1" t="s">
        <v>483</v>
      </c>
      <c r="G262" s="1" t="s">
        <v>753</v>
      </c>
      <c r="H262" s="1" t="s">
        <v>754</v>
      </c>
      <c r="I262" s="1" t="s">
        <v>49</v>
      </c>
      <c r="J262" s="1" t="s">
        <v>48</v>
      </c>
      <c r="K262" s="1">
        <v>168</v>
      </c>
      <c r="L262" s="1">
        <v>0</v>
      </c>
      <c r="M262" s="1">
        <v>0</v>
      </c>
      <c r="N262" s="1">
        <v>168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 t="s">
        <v>49</v>
      </c>
      <c r="AA262" s="1" t="s">
        <v>49</v>
      </c>
      <c r="AB262" s="1" t="s">
        <v>49</v>
      </c>
      <c r="AC262" s="1" t="s">
        <v>486</v>
      </c>
      <c r="AD262" s="1" t="s">
        <v>487</v>
      </c>
      <c r="AE262" s="1" t="s">
        <v>486</v>
      </c>
      <c r="AF262" s="1" t="s">
        <v>488</v>
      </c>
      <c r="AG262" s="1" t="s">
        <v>53</v>
      </c>
      <c r="AH262" s="1" t="s">
        <v>49</v>
      </c>
      <c r="AI262" s="1" t="s">
        <v>54</v>
      </c>
      <c r="AJ262" s="1">
        <v>1</v>
      </c>
      <c r="AK262" s="1" t="str">
        <f t="shared" si="4"/>
        <v xml:space="preserve"> =&lt;90</v>
      </c>
      <c r="AL262" s="1" t="str">
        <f>VLOOKUP(C:C,[1]基础信息!B$1:D$65536,3,0)</f>
        <v>Jug</v>
      </c>
      <c r="AM262" s="1" t="str">
        <f>VLOOKUP(C:C,[1]基础信息!B$1:E$65536,4,0)</f>
        <v>Style COOL</v>
      </c>
      <c r="AN262" s="1" t="str">
        <f>VLOOKUP(C:C,[1]基础信息!B$1:F$65536,5,0)</f>
        <v>Cool Blue</v>
      </c>
    </row>
    <row r="263" spans="1:40">
      <c r="A263" s="1" t="s">
        <v>41</v>
      </c>
      <c r="B263" s="1" t="s">
        <v>42</v>
      </c>
      <c r="C263" s="1" t="s">
        <v>481</v>
      </c>
      <c r="D263" s="1" t="s">
        <v>482</v>
      </c>
      <c r="E263" s="1" t="s">
        <v>45</v>
      </c>
      <c r="F263" s="1" t="s">
        <v>483</v>
      </c>
      <c r="G263" s="1" t="s">
        <v>755</v>
      </c>
      <c r="H263" s="1" t="s">
        <v>756</v>
      </c>
      <c r="I263" s="1" t="s">
        <v>49</v>
      </c>
      <c r="J263" s="1" t="s">
        <v>48</v>
      </c>
      <c r="K263" s="1">
        <v>168</v>
      </c>
      <c r="L263" s="1">
        <v>0</v>
      </c>
      <c r="M263" s="1">
        <v>0</v>
      </c>
      <c r="N263" s="1">
        <v>168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 t="s">
        <v>49</v>
      </c>
      <c r="AA263" s="1" t="s">
        <v>49</v>
      </c>
      <c r="AB263" s="1" t="s">
        <v>49</v>
      </c>
      <c r="AC263" s="1" t="s">
        <v>486</v>
      </c>
      <c r="AD263" s="1" t="s">
        <v>487</v>
      </c>
      <c r="AE263" s="1" t="s">
        <v>486</v>
      </c>
      <c r="AF263" s="1" t="s">
        <v>488</v>
      </c>
      <c r="AG263" s="1" t="s">
        <v>53</v>
      </c>
      <c r="AH263" s="1" t="s">
        <v>49</v>
      </c>
      <c r="AI263" s="1" t="s">
        <v>54</v>
      </c>
      <c r="AJ263" s="1">
        <v>1</v>
      </c>
      <c r="AK263" s="1" t="str">
        <f t="shared" si="4"/>
        <v xml:space="preserve"> =&lt;90</v>
      </c>
      <c r="AL263" s="1" t="str">
        <f>VLOOKUP(C:C,[1]基础信息!B$1:D$65536,3,0)</f>
        <v>Jug</v>
      </c>
      <c r="AM263" s="1" t="str">
        <f>VLOOKUP(C:C,[1]基础信息!B$1:E$65536,4,0)</f>
        <v>Style COOL</v>
      </c>
      <c r="AN263" s="1" t="str">
        <f>VLOOKUP(C:C,[1]基础信息!B$1:F$65536,5,0)</f>
        <v>Cool Blue</v>
      </c>
    </row>
    <row r="264" spans="1:40">
      <c r="A264" s="1" t="s">
        <v>41</v>
      </c>
      <c r="B264" s="1" t="s">
        <v>42</v>
      </c>
      <c r="C264" s="1" t="s">
        <v>359</v>
      </c>
      <c r="D264" s="1" t="s">
        <v>360</v>
      </c>
      <c r="E264" s="1" t="s">
        <v>45</v>
      </c>
      <c r="F264" s="1" t="s">
        <v>361</v>
      </c>
      <c r="G264" s="1" t="s">
        <v>757</v>
      </c>
      <c r="H264" s="1" t="s">
        <v>758</v>
      </c>
      <c r="I264" s="1" t="s">
        <v>49</v>
      </c>
      <c r="J264" s="1" t="s">
        <v>48</v>
      </c>
      <c r="K264" s="1">
        <v>95</v>
      </c>
      <c r="L264" s="1">
        <v>0</v>
      </c>
      <c r="M264" s="1">
        <v>0</v>
      </c>
      <c r="N264" s="1">
        <v>95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 t="s">
        <v>49</v>
      </c>
      <c r="AA264" s="1" t="s">
        <v>49</v>
      </c>
      <c r="AB264" s="1" t="s">
        <v>49</v>
      </c>
      <c r="AC264" s="1" t="s">
        <v>364</v>
      </c>
      <c r="AD264" s="1" t="s">
        <v>365</v>
      </c>
      <c r="AE264" s="1" t="s">
        <v>364</v>
      </c>
      <c r="AF264" s="1" t="s">
        <v>366</v>
      </c>
      <c r="AG264" s="1" t="s">
        <v>53</v>
      </c>
      <c r="AH264" s="1" t="s">
        <v>49</v>
      </c>
      <c r="AI264" s="1" t="s">
        <v>54</v>
      </c>
      <c r="AJ264" s="1">
        <v>1</v>
      </c>
      <c r="AK264" s="1" t="str">
        <f t="shared" si="4"/>
        <v xml:space="preserve"> =&lt;90</v>
      </c>
      <c r="AL264" s="1" t="e">
        <f>VLOOKUP(C:C,[1]基础信息!B$1:D$65536,3,0)</f>
        <v>#N/A</v>
      </c>
      <c r="AM264" s="1" t="e">
        <f>VLOOKUP(C:C,[1]基础信息!B$1:E$65536,4,0)</f>
        <v>#N/A</v>
      </c>
      <c r="AN264" s="1" t="e">
        <f>VLOOKUP(C:C,[1]基础信息!B$1:F$65536,5,0)</f>
        <v>#N/A</v>
      </c>
    </row>
    <row r="265" spans="1:40">
      <c r="A265" s="1" t="s">
        <v>41</v>
      </c>
      <c r="B265" s="1" t="s">
        <v>42</v>
      </c>
      <c r="C265" s="1" t="s">
        <v>481</v>
      </c>
      <c r="D265" s="1" t="s">
        <v>482</v>
      </c>
      <c r="E265" s="1" t="s">
        <v>45</v>
      </c>
      <c r="F265" s="1" t="s">
        <v>483</v>
      </c>
      <c r="G265" s="1" t="s">
        <v>759</v>
      </c>
      <c r="H265" s="1" t="s">
        <v>760</v>
      </c>
      <c r="I265" s="1" t="s">
        <v>49</v>
      </c>
      <c r="J265" s="1" t="s">
        <v>48</v>
      </c>
      <c r="K265" s="1">
        <v>168</v>
      </c>
      <c r="L265" s="1">
        <v>0</v>
      </c>
      <c r="M265" s="1">
        <v>0</v>
      </c>
      <c r="N265" s="1">
        <v>168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 t="s">
        <v>49</v>
      </c>
      <c r="AA265" s="1" t="s">
        <v>49</v>
      </c>
      <c r="AB265" s="1" t="s">
        <v>49</v>
      </c>
      <c r="AC265" s="1" t="s">
        <v>486</v>
      </c>
      <c r="AD265" s="1" t="s">
        <v>487</v>
      </c>
      <c r="AE265" s="1" t="s">
        <v>486</v>
      </c>
      <c r="AF265" s="1" t="s">
        <v>488</v>
      </c>
      <c r="AG265" s="1" t="s">
        <v>53</v>
      </c>
      <c r="AH265" s="1" t="s">
        <v>49</v>
      </c>
      <c r="AI265" s="1" t="s">
        <v>54</v>
      </c>
      <c r="AJ265" s="1">
        <v>1</v>
      </c>
      <c r="AK265" s="1" t="str">
        <f t="shared" si="4"/>
        <v xml:space="preserve"> =&lt;90</v>
      </c>
      <c r="AL265" s="1" t="str">
        <f>VLOOKUP(C:C,[1]基础信息!B$1:D$65536,3,0)</f>
        <v>Jug</v>
      </c>
      <c r="AM265" s="1" t="str">
        <f>VLOOKUP(C:C,[1]基础信息!B$1:E$65536,4,0)</f>
        <v>Style COOL</v>
      </c>
      <c r="AN265" s="1" t="str">
        <f>VLOOKUP(C:C,[1]基础信息!B$1:F$65536,5,0)</f>
        <v>Cool Blue</v>
      </c>
    </row>
    <row r="266" spans="1:40">
      <c r="A266" s="1" t="s">
        <v>41</v>
      </c>
      <c r="B266" s="1" t="s">
        <v>42</v>
      </c>
      <c r="C266" s="1" t="s">
        <v>481</v>
      </c>
      <c r="D266" s="1" t="s">
        <v>482</v>
      </c>
      <c r="E266" s="1" t="s">
        <v>45</v>
      </c>
      <c r="F266" s="1" t="s">
        <v>483</v>
      </c>
      <c r="G266" s="1" t="s">
        <v>761</v>
      </c>
      <c r="H266" s="1" t="s">
        <v>762</v>
      </c>
      <c r="I266" s="1" t="s">
        <v>49</v>
      </c>
      <c r="J266" s="1" t="s">
        <v>48</v>
      </c>
      <c r="K266" s="1">
        <v>168</v>
      </c>
      <c r="L266" s="1">
        <v>0</v>
      </c>
      <c r="M266" s="1">
        <v>0</v>
      </c>
      <c r="N266" s="1">
        <v>168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 t="s">
        <v>49</v>
      </c>
      <c r="AA266" s="1" t="s">
        <v>49</v>
      </c>
      <c r="AB266" s="1" t="s">
        <v>49</v>
      </c>
      <c r="AC266" s="1" t="s">
        <v>486</v>
      </c>
      <c r="AD266" s="1" t="s">
        <v>487</v>
      </c>
      <c r="AE266" s="1" t="s">
        <v>486</v>
      </c>
      <c r="AF266" s="1" t="s">
        <v>488</v>
      </c>
      <c r="AG266" s="1" t="s">
        <v>53</v>
      </c>
      <c r="AH266" s="1" t="s">
        <v>49</v>
      </c>
      <c r="AI266" s="1" t="s">
        <v>54</v>
      </c>
      <c r="AJ266" s="1">
        <v>1</v>
      </c>
      <c r="AK266" s="1" t="str">
        <f t="shared" si="4"/>
        <v xml:space="preserve"> =&lt;90</v>
      </c>
      <c r="AL266" s="1" t="str">
        <f>VLOOKUP(C:C,[1]基础信息!B$1:D$65536,3,0)</f>
        <v>Jug</v>
      </c>
      <c r="AM266" s="1" t="str">
        <f>VLOOKUP(C:C,[1]基础信息!B$1:E$65536,4,0)</f>
        <v>Style COOL</v>
      </c>
      <c r="AN266" s="1" t="str">
        <f>VLOOKUP(C:C,[1]基础信息!B$1:F$65536,5,0)</f>
        <v>Cool Blue</v>
      </c>
    </row>
    <row r="267" spans="1:40">
      <c r="A267" s="1" t="s">
        <v>41</v>
      </c>
      <c r="B267" s="1" t="s">
        <v>42</v>
      </c>
      <c r="C267" s="1" t="s">
        <v>481</v>
      </c>
      <c r="D267" s="1" t="s">
        <v>482</v>
      </c>
      <c r="E267" s="1" t="s">
        <v>45</v>
      </c>
      <c r="F267" s="1" t="s">
        <v>483</v>
      </c>
      <c r="G267" s="1" t="s">
        <v>763</v>
      </c>
      <c r="H267" s="1" t="s">
        <v>764</v>
      </c>
      <c r="I267" s="1" t="s">
        <v>49</v>
      </c>
      <c r="J267" s="1" t="s">
        <v>48</v>
      </c>
      <c r="K267" s="1">
        <v>168</v>
      </c>
      <c r="L267" s="1">
        <v>0</v>
      </c>
      <c r="M267" s="1">
        <v>0</v>
      </c>
      <c r="N267" s="1">
        <v>168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 t="s">
        <v>49</v>
      </c>
      <c r="AA267" s="1" t="s">
        <v>49</v>
      </c>
      <c r="AB267" s="1" t="s">
        <v>49</v>
      </c>
      <c r="AC267" s="1" t="s">
        <v>486</v>
      </c>
      <c r="AD267" s="1" t="s">
        <v>487</v>
      </c>
      <c r="AE267" s="1" t="s">
        <v>486</v>
      </c>
      <c r="AF267" s="1" t="s">
        <v>488</v>
      </c>
      <c r="AG267" s="1" t="s">
        <v>53</v>
      </c>
      <c r="AH267" s="1" t="s">
        <v>49</v>
      </c>
      <c r="AI267" s="1" t="s">
        <v>54</v>
      </c>
      <c r="AJ267" s="1">
        <v>1</v>
      </c>
      <c r="AK267" s="1" t="str">
        <f t="shared" si="4"/>
        <v xml:space="preserve"> =&lt;90</v>
      </c>
      <c r="AL267" s="1" t="str">
        <f>VLOOKUP(C:C,[1]基础信息!B$1:D$65536,3,0)</f>
        <v>Jug</v>
      </c>
      <c r="AM267" s="1" t="str">
        <f>VLOOKUP(C:C,[1]基础信息!B$1:E$65536,4,0)</f>
        <v>Style COOL</v>
      </c>
      <c r="AN267" s="1" t="str">
        <f>VLOOKUP(C:C,[1]基础信息!B$1:F$65536,5,0)</f>
        <v>Cool Blue</v>
      </c>
    </row>
    <row r="268" spans="1:40">
      <c r="A268" s="1" t="s">
        <v>41</v>
      </c>
      <c r="B268" s="1" t="s">
        <v>42</v>
      </c>
      <c r="C268" s="1" t="s">
        <v>83</v>
      </c>
      <c r="D268" s="1" t="s">
        <v>84</v>
      </c>
      <c r="E268" s="1" t="s">
        <v>45</v>
      </c>
      <c r="F268" s="1" t="s">
        <v>467</v>
      </c>
      <c r="G268" s="1" t="s">
        <v>765</v>
      </c>
      <c r="H268" s="1" t="s">
        <v>766</v>
      </c>
      <c r="I268" s="1" t="s">
        <v>49</v>
      </c>
      <c r="J268" s="1" t="s">
        <v>48</v>
      </c>
      <c r="K268" s="1">
        <v>96</v>
      </c>
      <c r="L268" s="1">
        <v>0</v>
      </c>
      <c r="M268" s="1">
        <v>0</v>
      </c>
      <c r="N268" s="1">
        <v>96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 t="s">
        <v>49</v>
      </c>
      <c r="AA268" s="1" t="s">
        <v>49</v>
      </c>
      <c r="AB268" s="1" t="s">
        <v>49</v>
      </c>
      <c r="AC268" s="1" t="s">
        <v>470</v>
      </c>
      <c r="AD268" s="1" t="s">
        <v>471</v>
      </c>
      <c r="AE268" s="1" t="s">
        <v>470</v>
      </c>
      <c r="AF268" s="1" t="s">
        <v>472</v>
      </c>
      <c r="AG268" s="1" t="s">
        <v>53</v>
      </c>
      <c r="AH268" s="1" t="s">
        <v>49</v>
      </c>
      <c r="AI268" s="1" t="s">
        <v>54</v>
      </c>
      <c r="AJ268" s="1">
        <v>1</v>
      </c>
      <c r="AK268" s="1" t="str">
        <f t="shared" si="4"/>
        <v xml:space="preserve"> =&lt;90</v>
      </c>
      <c r="AL268" s="1" t="str">
        <f>VLOOKUP(C:C,[1]基础信息!B$1:D$65536,3,0)</f>
        <v>Jug</v>
      </c>
      <c r="AM268" s="1" t="str">
        <f>VLOOKUP(C:C,[1]基础信息!B$1:E$65536,4,0)</f>
        <v>Mxplus</v>
      </c>
      <c r="AN268" s="1" t="str">
        <f>VLOOKUP(C:C,[1]基础信息!B$1:F$65536,5,0)</f>
        <v>Blue</v>
      </c>
    </row>
    <row r="269" spans="1:40">
      <c r="A269" s="1" t="s">
        <v>41</v>
      </c>
      <c r="B269" s="1" t="s">
        <v>42</v>
      </c>
      <c r="C269" s="1" t="s">
        <v>83</v>
      </c>
      <c r="D269" s="1" t="s">
        <v>84</v>
      </c>
      <c r="E269" s="1" t="s">
        <v>45</v>
      </c>
      <c r="F269" s="1" t="s">
        <v>467</v>
      </c>
      <c r="G269" s="1" t="s">
        <v>767</v>
      </c>
      <c r="H269" s="1" t="s">
        <v>768</v>
      </c>
      <c r="I269" s="1" t="s">
        <v>49</v>
      </c>
      <c r="J269" s="1" t="s">
        <v>48</v>
      </c>
      <c r="K269" s="1">
        <v>96</v>
      </c>
      <c r="L269" s="1">
        <v>0</v>
      </c>
      <c r="M269" s="1">
        <v>0</v>
      </c>
      <c r="N269" s="1">
        <v>96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 t="s">
        <v>49</v>
      </c>
      <c r="AA269" s="1" t="s">
        <v>49</v>
      </c>
      <c r="AB269" s="1" t="s">
        <v>49</v>
      </c>
      <c r="AC269" s="1" t="s">
        <v>470</v>
      </c>
      <c r="AD269" s="1" t="s">
        <v>471</v>
      </c>
      <c r="AE269" s="1" t="s">
        <v>470</v>
      </c>
      <c r="AF269" s="1" t="s">
        <v>472</v>
      </c>
      <c r="AG269" s="1" t="s">
        <v>53</v>
      </c>
      <c r="AH269" s="1" t="s">
        <v>49</v>
      </c>
      <c r="AI269" s="1" t="s">
        <v>54</v>
      </c>
      <c r="AJ269" s="1">
        <v>1</v>
      </c>
      <c r="AK269" s="1" t="str">
        <f t="shared" si="4"/>
        <v xml:space="preserve"> =&lt;90</v>
      </c>
      <c r="AL269" s="1" t="str">
        <f>VLOOKUP(C:C,[1]基础信息!B$1:D$65536,3,0)</f>
        <v>Jug</v>
      </c>
      <c r="AM269" s="1" t="str">
        <f>VLOOKUP(C:C,[1]基础信息!B$1:E$65536,4,0)</f>
        <v>Mxplus</v>
      </c>
      <c r="AN269" s="1" t="str">
        <f>VLOOKUP(C:C,[1]基础信息!B$1:F$65536,5,0)</f>
        <v>Blue</v>
      </c>
    </row>
    <row r="270" spans="1:40">
      <c r="A270" s="1" t="s">
        <v>41</v>
      </c>
      <c r="B270" s="1" t="s">
        <v>42</v>
      </c>
      <c r="C270" s="1" t="s">
        <v>83</v>
      </c>
      <c r="D270" s="1" t="s">
        <v>84</v>
      </c>
      <c r="E270" s="1" t="s">
        <v>45</v>
      </c>
      <c r="F270" s="1" t="s">
        <v>467</v>
      </c>
      <c r="G270" s="1" t="s">
        <v>769</v>
      </c>
      <c r="H270" s="1" t="s">
        <v>770</v>
      </c>
      <c r="I270" s="1" t="s">
        <v>49</v>
      </c>
      <c r="J270" s="1" t="s">
        <v>48</v>
      </c>
      <c r="K270" s="1">
        <v>96</v>
      </c>
      <c r="L270" s="1">
        <v>0</v>
      </c>
      <c r="M270" s="1">
        <v>0</v>
      </c>
      <c r="N270" s="1">
        <v>96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 t="s">
        <v>49</v>
      </c>
      <c r="AA270" s="1" t="s">
        <v>49</v>
      </c>
      <c r="AB270" s="1" t="s">
        <v>49</v>
      </c>
      <c r="AC270" s="1" t="s">
        <v>470</v>
      </c>
      <c r="AD270" s="1" t="s">
        <v>471</v>
      </c>
      <c r="AE270" s="1" t="s">
        <v>470</v>
      </c>
      <c r="AF270" s="1" t="s">
        <v>472</v>
      </c>
      <c r="AG270" s="1" t="s">
        <v>53</v>
      </c>
      <c r="AH270" s="1" t="s">
        <v>49</v>
      </c>
      <c r="AI270" s="1" t="s">
        <v>54</v>
      </c>
      <c r="AJ270" s="1">
        <v>1</v>
      </c>
      <c r="AK270" s="1" t="str">
        <f t="shared" si="4"/>
        <v xml:space="preserve"> =&lt;90</v>
      </c>
      <c r="AL270" s="1" t="str">
        <f>VLOOKUP(C:C,[1]基础信息!B$1:D$65536,3,0)</f>
        <v>Jug</v>
      </c>
      <c r="AM270" s="1" t="str">
        <f>VLOOKUP(C:C,[1]基础信息!B$1:E$65536,4,0)</f>
        <v>Mxplus</v>
      </c>
      <c r="AN270" s="1" t="str">
        <f>VLOOKUP(C:C,[1]基础信息!B$1:F$65536,5,0)</f>
        <v>Blue</v>
      </c>
    </row>
    <row r="271" spans="1:40">
      <c r="A271" s="1" t="s">
        <v>41</v>
      </c>
      <c r="B271" s="1" t="s">
        <v>42</v>
      </c>
      <c r="C271" s="1" t="s">
        <v>83</v>
      </c>
      <c r="D271" s="1" t="s">
        <v>84</v>
      </c>
      <c r="E271" s="1" t="s">
        <v>45</v>
      </c>
      <c r="F271" s="1" t="s">
        <v>467</v>
      </c>
      <c r="G271" s="1" t="s">
        <v>771</v>
      </c>
      <c r="H271" s="1" t="s">
        <v>772</v>
      </c>
      <c r="I271" s="1" t="s">
        <v>49</v>
      </c>
      <c r="J271" s="1" t="s">
        <v>48</v>
      </c>
      <c r="K271" s="1">
        <v>96</v>
      </c>
      <c r="L271" s="1">
        <v>0</v>
      </c>
      <c r="M271" s="1">
        <v>0</v>
      </c>
      <c r="N271" s="1">
        <v>96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 t="s">
        <v>49</v>
      </c>
      <c r="AA271" s="1" t="s">
        <v>49</v>
      </c>
      <c r="AB271" s="1" t="s">
        <v>49</v>
      </c>
      <c r="AC271" s="1" t="s">
        <v>470</v>
      </c>
      <c r="AD271" s="1" t="s">
        <v>471</v>
      </c>
      <c r="AE271" s="1" t="s">
        <v>470</v>
      </c>
      <c r="AF271" s="1" t="s">
        <v>472</v>
      </c>
      <c r="AG271" s="1" t="s">
        <v>53</v>
      </c>
      <c r="AH271" s="1" t="s">
        <v>49</v>
      </c>
      <c r="AI271" s="1" t="s">
        <v>54</v>
      </c>
      <c r="AJ271" s="1">
        <v>1</v>
      </c>
      <c r="AK271" s="1" t="str">
        <f t="shared" si="4"/>
        <v xml:space="preserve"> =&lt;90</v>
      </c>
      <c r="AL271" s="1" t="str">
        <f>VLOOKUP(C:C,[1]基础信息!B$1:D$65536,3,0)</f>
        <v>Jug</v>
      </c>
      <c r="AM271" s="1" t="str">
        <f>VLOOKUP(C:C,[1]基础信息!B$1:E$65536,4,0)</f>
        <v>Mxplus</v>
      </c>
      <c r="AN271" s="1" t="str">
        <f>VLOOKUP(C:C,[1]基础信息!B$1:F$65536,5,0)</f>
        <v>Blue</v>
      </c>
    </row>
    <row r="272" spans="1:40">
      <c r="A272" s="1" t="s">
        <v>41</v>
      </c>
      <c r="B272" s="1" t="s">
        <v>42</v>
      </c>
      <c r="C272" s="1" t="s">
        <v>83</v>
      </c>
      <c r="D272" s="1" t="s">
        <v>84</v>
      </c>
      <c r="E272" s="1" t="s">
        <v>45</v>
      </c>
      <c r="F272" s="1" t="s">
        <v>467</v>
      </c>
      <c r="G272" s="1" t="s">
        <v>773</v>
      </c>
      <c r="H272" s="1" t="s">
        <v>774</v>
      </c>
      <c r="I272" s="1" t="s">
        <v>49</v>
      </c>
      <c r="J272" s="1" t="s">
        <v>48</v>
      </c>
      <c r="K272" s="1">
        <v>96</v>
      </c>
      <c r="L272" s="1">
        <v>0</v>
      </c>
      <c r="M272" s="1">
        <v>0</v>
      </c>
      <c r="N272" s="1">
        <v>96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 t="s">
        <v>49</v>
      </c>
      <c r="AA272" s="1" t="s">
        <v>49</v>
      </c>
      <c r="AB272" s="1" t="s">
        <v>49</v>
      </c>
      <c r="AC272" s="1" t="s">
        <v>470</v>
      </c>
      <c r="AD272" s="1" t="s">
        <v>471</v>
      </c>
      <c r="AE272" s="1" t="s">
        <v>470</v>
      </c>
      <c r="AF272" s="1" t="s">
        <v>472</v>
      </c>
      <c r="AG272" s="1" t="s">
        <v>53</v>
      </c>
      <c r="AH272" s="1" t="s">
        <v>49</v>
      </c>
      <c r="AI272" s="1" t="s">
        <v>54</v>
      </c>
      <c r="AJ272" s="1">
        <v>1</v>
      </c>
      <c r="AK272" s="1" t="str">
        <f t="shared" si="4"/>
        <v xml:space="preserve"> =&lt;90</v>
      </c>
      <c r="AL272" s="1" t="str">
        <f>VLOOKUP(C:C,[1]基础信息!B$1:D$65536,3,0)</f>
        <v>Jug</v>
      </c>
      <c r="AM272" s="1" t="str">
        <f>VLOOKUP(C:C,[1]基础信息!B$1:E$65536,4,0)</f>
        <v>Mxplus</v>
      </c>
      <c r="AN272" s="1" t="str">
        <f>VLOOKUP(C:C,[1]基础信息!B$1:F$65536,5,0)</f>
        <v>Blue</v>
      </c>
    </row>
    <row r="273" spans="1:40">
      <c r="A273" s="1" t="s">
        <v>41</v>
      </c>
      <c r="B273" s="1" t="s">
        <v>42</v>
      </c>
      <c r="C273" s="1" t="s">
        <v>359</v>
      </c>
      <c r="D273" s="1" t="s">
        <v>360</v>
      </c>
      <c r="E273" s="1" t="s">
        <v>45</v>
      </c>
      <c r="F273" s="1" t="s">
        <v>361</v>
      </c>
      <c r="G273" s="1" t="s">
        <v>775</v>
      </c>
      <c r="H273" s="1" t="s">
        <v>776</v>
      </c>
      <c r="I273" s="1" t="s">
        <v>49</v>
      </c>
      <c r="J273" s="1" t="s">
        <v>48</v>
      </c>
      <c r="K273" s="1">
        <v>95</v>
      </c>
      <c r="L273" s="1">
        <v>0</v>
      </c>
      <c r="M273" s="1">
        <v>0</v>
      </c>
      <c r="N273" s="1">
        <v>95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 t="s">
        <v>49</v>
      </c>
      <c r="AA273" s="1" t="s">
        <v>49</v>
      </c>
      <c r="AB273" s="1" t="s">
        <v>49</v>
      </c>
      <c r="AC273" s="1" t="s">
        <v>364</v>
      </c>
      <c r="AD273" s="1" t="s">
        <v>365</v>
      </c>
      <c r="AE273" s="1" t="s">
        <v>364</v>
      </c>
      <c r="AF273" s="1" t="s">
        <v>366</v>
      </c>
      <c r="AG273" s="1" t="s">
        <v>53</v>
      </c>
      <c r="AH273" s="1" t="s">
        <v>49</v>
      </c>
      <c r="AI273" s="1" t="s">
        <v>54</v>
      </c>
      <c r="AJ273" s="1">
        <v>1</v>
      </c>
      <c r="AK273" s="1" t="str">
        <f t="shared" si="4"/>
        <v xml:space="preserve"> =&lt;90</v>
      </c>
      <c r="AL273" s="1" t="e">
        <f>VLOOKUP(C:C,[1]基础信息!B$1:D$65536,3,0)</f>
        <v>#N/A</v>
      </c>
      <c r="AM273" s="1" t="e">
        <f>VLOOKUP(C:C,[1]基础信息!B$1:E$65536,4,0)</f>
        <v>#N/A</v>
      </c>
      <c r="AN273" s="1" t="e">
        <f>VLOOKUP(C:C,[1]基础信息!B$1:F$65536,5,0)</f>
        <v>#N/A</v>
      </c>
    </row>
    <row r="274" spans="1:40">
      <c r="A274" s="1" t="s">
        <v>41</v>
      </c>
      <c r="B274" s="1" t="s">
        <v>42</v>
      </c>
      <c r="C274" s="1" t="s">
        <v>359</v>
      </c>
      <c r="D274" s="1" t="s">
        <v>360</v>
      </c>
      <c r="E274" s="1" t="s">
        <v>45</v>
      </c>
      <c r="F274" s="1" t="s">
        <v>361</v>
      </c>
      <c r="G274" s="1" t="s">
        <v>777</v>
      </c>
      <c r="H274" s="1" t="s">
        <v>778</v>
      </c>
      <c r="I274" s="1" t="s">
        <v>49</v>
      </c>
      <c r="J274" s="1" t="s">
        <v>48</v>
      </c>
      <c r="K274" s="1">
        <v>95</v>
      </c>
      <c r="L274" s="1">
        <v>0</v>
      </c>
      <c r="M274" s="1">
        <v>0</v>
      </c>
      <c r="N274" s="1">
        <v>95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 t="s">
        <v>49</v>
      </c>
      <c r="AA274" s="1" t="s">
        <v>49</v>
      </c>
      <c r="AB274" s="1" t="s">
        <v>49</v>
      </c>
      <c r="AC274" s="1" t="s">
        <v>364</v>
      </c>
      <c r="AD274" s="1" t="s">
        <v>365</v>
      </c>
      <c r="AE274" s="1" t="s">
        <v>364</v>
      </c>
      <c r="AF274" s="1" t="s">
        <v>366</v>
      </c>
      <c r="AG274" s="1" t="s">
        <v>53</v>
      </c>
      <c r="AH274" s="1" t="s">
        <v>49</v>
      </c>
      <c r="AI274" s="1" t="s">
        <v>54</v>
      </c>
      <c r="AJ274" s="1">
        <v>1</v>
      </c>
      <c r="AK274" s="1" t="str">
        <f t="shared" si="4"/>
        <v xml:space="preserve"> =&lt;90</v>
      </c>
      <c r="AL274" s="1" t="e">
        <f>VLOOKUP(C:C,[1]基础信息!B$1:D$65536,3,0)</f>
        <v>#N/A</v>
      </c>
      <c r="AM274" s="1" t="e">
        <f>VLOOKUP(C:C,[1]基础信息!B$1:E$65536,4,0)</f>
        <v>#N/A</v>
      </c>
      <c r="AN274" s="1" t="e">
        <f>VLOOKUP(C:C,[1]基础信息!B$1:F$65536,5,0)</f>
        <v>#N/A</v>
      </c>
    </row>
    <row r="275" spans="1:40">
      <c r="A275" s="1" t="s">
        <v>41</v>
      </c>
      <c r="B275" s="1" t="s">
        <v>42</v>
      </c>
      <c r="C275" s="1" t="s">
        <v>359</v>
      </c>
      <c r="D275" s="1" t="s">
        <v>360</v>
      </c>
      <c r="E275" s="1" t="s">
        <v>45</v>
      </c>
      <c r="F275" s="1" t="s">
        <v>361</v>
      </c>
      <c r="G275" s="1" t="s">
        <v>779</v>
      </c>
      <c r="H275" s="1" t="s">
        <v>780</v>
      </c>
      <c r="I275" s="1" t="s">
        <v>49</v>
      </c>
      <c r="J275" s="1" t="s">
        <v>48</v>
      </c>
      <c r="K275" s="1">
        <v>95</v>
      </c>
      <c r="L275" s="1">
        <v>0</v>
      </c>
      <c r="M275" s="1">
        <v>0</v>
      </c>
      <c r="N275" s="1">
        <v>95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 t="s">
        <v>49</v>
      </c>
      <c r="AA275" s="1" t="s">
        <v>49</v>
      </c>
      <c r="AB275" s="1" t="s">
        <v>49</v>
      </c>
      <c r="AC275" s="1" t="s">
        <v>364</v>
      </c>
      <c r="AD275" s="1" t="s">
        <v>365</v>
      </c>
      <c r="AE275" s="1" t="s">
        <v>364</v>
      </c>
      <c r="AF275" s="1" t="s">
        <v>366</v>
      </c>
      <c r="AG275" s="1" t="s">
        <v>53</v>
      </c>
      <c r="AH275" s="1" t="s">
        <v>49</v>
      </c>
      <c r="AI275" s="1" t="s">
        <v>54</v>
      </c>
      <c r="AJ275" s="1">
        <v>1</v>
      </c>
      <c r="AK275" s="1" t="str">
        <f t="shared" si="4"/>
        <v xml:space="preserve"> =&lt;90</v>
      </c>
      <c r="AL275" s="1" t="e">
        <f>VLOOKUP(C:C,[1]基础信息!B$1:D$65536,3,0)</f>
        <v>#N/A</v>
      </c>
      <c r="AM275" s="1" t="e">
        <f>VLOOKUP(C:C,[1]基础信息!B$1:E$65536,4,0)</f>
        <v>#N/A</v>
      </c>
      <c r="AN275" s="1" t="e">
        <f>VLOOKUP(C:C,[1]基础信息!B$1:F$65536,5,0)</f>
        <v>#N/A</v>
      </c>
    </row>
    <row r="276" spans="1:40">
      <c r="A276" s="1" t="s">
        <v>41</v>
      </c>
      <c r="B276" s="1" t="s">
        <v>42</v>
      </c>
      <c r="C276" s="1" t="s">
        <v>359</v>
      </c>
      <c r="D276" s="1" t="s">
        <v>360</v>
      </c>
      <c r="E276" s="1" t="s">
        <v>45</v>
      </c>
      <c r="F276" s="1" t="s">
        <v>361</v>
      </c>
      <c r="G276" s="1" t="s">
        <v>781</v>
      </c>
      <c r="H276" s="1" t="s">
        <v>782</v>
      </c>
      <c r="I276" s="1" t="s">
        <v>49</v>
      </c>
      <c r="J276" s="1" t="s">
        <v>48</v>
      </c>
      <c r="K276" s="1">
        <v>95</v>
      </c>
      <c r="L276" s="1">
        <v>0</v>
      </c>
      <c r="M276" s="1">
        <v>0</v>
      </c>
      <c r="N276" s="1">
        <v>95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 t="s">
        <v>49</v>
      </c>
      <c r="AA276" s="1" t="s">
        <v>49</v>
      </c>
      <c r="AB276" s="1" t="s">
        <v>49</v>
      </c>
      <c r="AC276" s="1" t="s">
        <v>364</v>
      </c>
      <c r="AD276" s="1" t="s">
        <v>365</v>
      </c>
      <c r="AE276" s="1" t="s">
        <v>364</v>
      </c>
      <c r="AF276" s="1" t="s">
        <v>366</v>
      </c>
      <c r="AG276" s="1" t="s">
        <v>53</v>
      </c>
      <c r="AH276" s="1" t="s">
        <v>49</v>
      </c>
      <c r="AI276" s="1" t="s">
        <v>54</v>
      </c>
      <c r="AJ276" s="1">
        <v>1</v>
      </c>
      <c r="AK276" s="1" t="str">
        <f t="shared" si="4"/>
        <v xml:space="preserve"> =&lt;90</v>
      </c>
      <c r="AL276" s="1" t="e">
        <f>VLOOKUP(C:C,[1]基础信息!B$1:D$65536,3,0)</f>
        <v>#N/A</v>
      </c>
      <c r="AM276" s="1" t="e">
        <f>VLOOKUP(C:C,[1]基础信息!B$1:E$65536,4,0)</f>
        <v>#N/A</v>
      </c>
      <c r="AN276" s="1" t="e">
        <f>VLOOKUP(C:C,[1]基础信息!B$1:F$65536,5,0)</f>
        <v>#N/A</v>
      </c>
    </row>
    <row r="277" spans="1:40">
      <c r="A277" s="1" t="s">
        <v>41</v>
      </c>
      <c r="B277" s="1" t="s">
        <v>42</v>
      </c>
      <c r="C277" s="1" t="s">
        <v>68</v>
      </c>
      <c r="D277" s="1" t="s">
        <v>69</v>
      </c>
      <c r="E277" s="1" t="s">
        <v>45</v>
      </c>
      <c r="F277" s="1" t="s">
        <v>201</v>
      </c>
      <c r="G277" s="1" t="s">
        <v>783</v>
      </c>
      <c r="H277" s="1" t="s">
        <v>784</v>
      </c>
      <c r="I277" s="1" t="s">
        <v>49</v>
      </c>
      <c r="J277" s="1" t="s">
        <v>48</v>
      </c>
      <c r="K277" s="1">
        <v>36</v>
      </c>
      <c r="L277" s="1">
        <v>0</v>
      </c>
      <c r="M277" s="1">
        <v>0</v>
      </c>
      <c r="N277" s="1">
        <v>36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 t="s">
        <v>49</v>
      </c>
      <c r="AA277" s="1" t="s">
        <v>49</v>
      </c>
      <c r="AB277" s="1" t="s">
        <v>49</v>
      </c>
      <c r="AC277" s="1" t="s">
        <v>204</v>
      </c>
      <c r="AD277" s="1" t="s">
        <v>205</v>
      </c>
      <c r="AE277" s="1" t="s">
        <v>206</v>
      </c>
      <c r="AF277" s="1" t="s">
        <v>207</v>
      </c>
      <c r="AG277" s="1" t="s">
        <v>53</v>
      </c>
      <c r="AH277" s="1" t="s">
        <v>49</v>
      </c>
      <c r="AI277" s="1" t="s">
        <v>54</v>
      </c>
      <c r="AJ277" s="1">
        <v>1</v>
      </c>
      <c r="AK277" s="1" t="str">
        <f t="shared" si="4"/>
        <v xml:space="preserve"> =&lt;90</v>
      </c>
      <c r="AL277" s="1" t="str">
        <f>VLOOKUP(C:C,[1]基础信息!B$1:D$65536,3,0)</f>
        <v>Hotcup</v>
      </c>
      <c r="AM277" s="1" t="str">
        <f>VLOOKUP(C:C,[1]基础信息!B$1:E$65536,4,0)</f>
        <v>Hotcup</v>
      </c>
      <c r="AN277" s="1" t="str">
        <f>VLOOKUP(C:C,[1]基础信息!B$1:F$65536,5,0)</f>
        <v xml:space="preserve"> Whi</v>
      </c>
    </row>
    <row r="278" spans="1:40">
      <c r="A278" s="1" t="s">
        <v>41</v>
      </c>
      <c r="B278" s="1" t="s">
        <v>42</v>
      </c>
      <c r="C278" s="1" t="s">
        <v>359</v>
      </c>
      <c r="D278" s="1" t="s">
        <v>360</v>
      </c>
      <c r="E278" s="1" t="s">
        <v>45</v>
      </c>
      <c r="F278" s="1" t="s">
        <v>361</v>
      </c>
      <c r="G278" s="1" t="s">
        <v>785</v>
      </c>
      <c r="H278" s="1" t="s">
        <v>786</v>
      </c>
      <c r="I278" s="1" t="s">
        <v>49</v>
      </c>
      <c r="J278" s="1" t="s">
        <v>48</v>
      </c>
      <c r="K278" s="1">
        <v>95</v>
      </c>
      <c r="L278" s="1">
        <v>0</v>
      </c>
      <c r="M278" s="1">
        <v>0</v>
      </c>
      <c r="N278" s="1">
        <v>95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 t="s">
        <v>49</v>
      </c>
      <c r="AA278" s="1" t="s">
        <v>49</v>
      </c>
      <c r="AB278" s="1" t="s">
        <v>49</v>
      </c>
      <c r="AC278" s="1" t="s">
        <v>364</v>
      </c>
      <c r="AD278" s="1" t="s">
        <v>365</v>
      </c>
      <c r="AE278" s="1" t="s">
        <v>364</v>
      </c>
      <c r="AF278" s="1" t="s">
        <v>366</v>
      </c>
      <c r="AG278" s="1" t="s">
        <v>53</v>
      </c>
      <c r="AH278" s="1" t="s">
        <v>49</v>
      </c>
      <c r="AI278" s="1" t="s">
        <v>54</v>
      </c>
      <c r="AJ278" s="1">
        <v>1</v>
      </c>
      <c r="AK278" s="1" t="str">
        <f t="shared" si="4"/>
        <v xml:space="preserve"> =&lt;90</v>
      </c>
      <c r="AL278" s="1" t="e">
        <f>VLOOKUP(C:C,[1]基础信息!B$1:D$65536,3,0)</f>
        <v>#N/A</v>
      </c>
      <c r="AM278" s="1" t="e">
        <f>VLOOKUP(C:C,[1]基础信息!B$1:E$65536,4,0)</f>
        <v>#N/A</v>
      </c>
      <c r="AN278" s="1" t="e">
        <f>VLOOKUP(C:C,[1]基础信息!B$1:F$65536,5,0)</f>
        <v>#N/A</v>
      </c>
    </row>
    <row r="279" spans="1:40">
      <c r="A279" s="1" t="s">
        <v>41</v>
      </c>
      <c r="B279" s="1" t="s">
        <v>42</v>
      </c>
      <c r="C279" s="1" t="s">
        <v>359</v>
      </c>
      <c r="D279" s="1" t="s">
        <v>360</v>
      </c>
      <c r="E279" s="1" t="s">
        <v>45</v>
      </c>
      <c r="F279" s="1" t="s">
        <v>361</v>
      </c>
      <c r="G279" s="1" t="s">
        <v>787</v>
      </c>
      <c r="H279" s="1" t="s">
        <v>788</v>
      </c>
      <c r="I279" s="1" t="s">
        <v>49</v>
      </c>
      <c r="J279" s="1" t="s">
        <v>48</v>
      </c>
      <c r="K279" s="1">
        <v>95</v>
      </c>
      <c r="L279" s="1">
        <v>0</v>
      </c>
      <c r="M279" s="1">
        <v>0</v>
      </c>
      <c r="N279" s="1">
        <v>95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 t="s">
        <v>49</v>
      </c>
      <c r="AA279" s="1" t="s">
        <v>49</v>
      </c>
      <c r="AB279" s="1" t="s">
        <v>49</v>
      </c>
      <c r="AC279" s="1" t="s">
        <v>364</v>
      </c>
      <c r="AD279" s="1" t="s">
        <v>365</v>
      </c>
      <c r="AE279" s="1" t="s">
        <v>364</v>
      </c>
      <c r="AF279" s="1" t="s">
        <v>366</v>
      </c>
      <c r="AG279" s="1" t="s">
        <v>53</v>
      </c>
      <c r="AH279" s="1" t="s">
        <v>49</v>
      </c>
      <c r="AI279" s="1" t="s">
        <v>54</v>
      </c>
      <c r="AJ279" s="1">
        <v>1</v>
      </c>
      <c r="AK279" s="1" t="str">
        <f t="shared" si="4"/>
        <v xml:space="preserve"> =&lt;90</v>
      </c>
      <c r="AL279" s="1" t="e">
        <f>VLOOKUP(C:C,[1]基础信息!B$1:D$65536,3,0)</f>
        <v>#N/A</v>
      </c>
      <c r="AM279" s="1" t="e">
        <f>VLOOKUP(C:C,[1]基础信息!B$1:E$65536,4,0)</f>
        <v>#N/A</v>
      </c>
      <c r="AN279" s="1" t="e">
        <f>VLOOKUP(C:C,[1]基础信息!B$1:F$65536,5,0)</f>
        <v>#N/A</v>
      </c>
    </row>
    <row r="280" spans="1:40">
      <c r="A280" s="1" t="s">
        <v>41</v>
      </c>
      <c r="B280" s="1" t="s">
        <v>42</v>
      </c>
      <c r="C280" s="1" t="s">
        <v>68</v>
      </c>
      <c r="D280" s="1" t="s">
        <v>69</v>
      </c>
      <c r="E280" s="1" t="s">
        <v>45</v>
      </c>
      <c r="F280" s="1" t="s">
        <v>201</v>
      </c>
      <c r="G280" s="1" t="s">
        <v>789</v>
      </c>
      <c r="H280" s="1" t="s">
        <v>790</v>
      </c>
      <c r="I280" s="1" t="s">
        <v>49</v>
      </c>
      <c r="J280" s="1" t="s">
        <v>48</v>
      </c>
      <c r="K280" s="1">
        <v>36</v>
      </c>
      <c r="L280" s="1">
        <v>0</v>
      </c>
      <c r="M280" s="1">
        <v>0</v>
      </c>
      <c r="N280" s="1">
        <v>36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 t="s">
        <v>49</v>
      </c>
      <c r="AA280" s="1" t="s">
        <v>49</v>
      </c>
      <c r="AB280" s="1" t="s">
        <v>49</v>
      </c>
      <c r="AC280" s="1" t="s">
        <v>204</v>
      </c>
      <c r="AD280" s="1" t="s">
        <v>205</v>
      </c>
      <c r="AE280" s="1" t="s">
        <v>206</v>
      </c>
      <c r="AF280" s="1" t="s">
        <v>207</v>
      </c>
      <c r="AG280" s="1" t="s">
        <v>53</v>
      </c>
      <c r="AH280" s="1" t="s">
        <v>49</v>
      </c>
      <c r="AI280" s="1" t="s">
        <v>54</v>
      </c>
      <c r="AJ280" s="1">
        <v>1</v>
      </c>
      <c r="AK280" s="1" t="str">
        <f t="shared" si="4"/>
        <v xml:space="preserve"> =&lt;90</v>
      </c>
      <c r="AL280" s="1" t="str">
        <f>VLOOKUP(C:C,[1]基础信息!B$1:D$65536,3,0)</f>
        <v>Hotcup</v>
      </c>
      <c r="AM280" s="1" t="str">
        <f>VLOOKUP(C:C,[1]基础信息!B$1:E$65536,4,0)</f>
        <v>Hotcup</v>
      </c>
      <c r="AN280" s="1" t="str">
        <f>VLOOKUP(C:C,[1]基础信息!B$1:F$65536,5,0)</f>
        <v xml:space="preserve"> Whi</v>
      </c>
    </row>
    <row r="281" spans="1:40">
      <c r="A281" s="1" t="s">
        <v>41</v>
      </c>
      <c r="B281" s="1" t="s">
        <v>42</v>
      </c>
      <c r="C281" s="1" t="s">
        <v>208</v>
      </c>
      <c r="D281" s="1" t="s">
        <v>209</v>
      </c>
      <c r="E281" s="1" t="s">
        <v>208</v>
      </c>
      <c r="F281" s="1" t="s">
        <v>373</v>
      </c>
      <c r="G281" s="1" t="s">
        <v>791</v>
      </c>
      <c r="H281" s="1" t="s">
        <v>792</v>
      </c>
      <c r="I281" s="1" t="s">
        <v>49</v>
      </c>
      <c r="J281" s="1" t="s">
        <v>48</v>
      </c>
      <c r="K281" s="1">
        <v>80</v>
      </c>
      <c r="L281" s="1">
        <v>0</v>
      </c>
      <c r="M281" s="1">
        <v>0</v>
      </c>
      <c r="N281" s="1">
        <v>80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 t="s">
        <v>49</v>
      </c>
      <c r="AA281" s="1" t="s">
        <v>49</v>
      </c>
      <c r="AB281" s="1" t="s">
        <v>49</v>
      </c>
      <c r="AC281" s="1" t="s">
        <v>376</v>
      </c>
      <c r="AD281" s="1" t="s">
        <v>377</v>
      </c>
      <c r="AE281" s="1" t="s">
        <v>376</v>
      </c>
      <c r="AF281" s="1" t="s">
        <v>378</v>
      </c>
      <c r="AG281" s="1" t="s">
        <v>53</v>
      </c>
      <c r="AH281" s="1" t="s">
        <v>49</v>
      </c>
      <c r="AI281" s="1" t="s">
        <v>54</v>
      </c>
      <c r="AJ281" s="1">
        <v>1</v>
      </c>
      <c r="AK281" s="1" t="str">
        <f t="shared" si="4"/>
        <v xml:space="preserve"> =&lt;90</v>
      </c>
      <c r="AL281" s="1" t="str">
        <f>VLOOKUP(C:C,[1]基础信息!B$1:D$65536,3,0)</f>
        <v>Jug</v>
      </c>
      <c r="AM281" s="1" t="str">
        <f>VLOOKUP(C:C,[1]基础信息!B$1:E$65536,4,0)</f>
        <v>MXpl</v>
      </c>
      <c r="AN281" s="1" t="str">
        <f>VLOOKUP(C:C,[1]基础信息!B$1:F$65536,5,0)</f>
        <v>grey</v>
      </c>
    </row>
    <row r="282" spans="1:40">
      <c r="A282" s="1" t="s">
        <v>41</v>
      </c>
      <c r="B282" s="1" t="s">
        <v>42</v>
      </c>
      <c r="C282" s="1" t="s">
        <v>240</v>
      </c>
      <c r="D282" s="1" t="s">
        <v>241</v>
      </c>
      <c r="E282" s="1" t="s">
        <v>45</v>
      </c>
      <c r="F282" s="1" t="s">
        <v>793</v>
      </c>
      <c r="G282" s="1" t="s">
        <v>794</v>
      </c>
      <c r="H282" s="1" t="s">
        <v>795</v>
      </c>
      <c r="I282" s="1" t="s">
        <v>49</v>
      </c>
      <c r="J282" s="1" t="s">
        <v>48</v>
      </c>
      <c r="K282" s="1">
        <v>20</v>
      </c>
      <c r="L282" s="1">
        <v>0</v>
      </c>
      <c r="M282" s="1">
        <v>0</v>
      </c>
      <c r="N282" s="1">
        <v>20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 t="s">
        <v>49</v>
      </c>
      <c r="AA282" s="1" t="s">
        <v>49</v>
      </c>
      <c r="AB282" s="1" t="s">
        <v>49</v>
      </c>
      <c r="AC282" s="1" t="s">
        <v>470</v>
      </c>
      <c r="AD282" s="1" t="s">
        <v>471</v>
      </c>
      <c r="AE282" s="1" t="s">
        <v>470</v>
      </c>
      <c r="AF282" s="1" t="s">
        <v>796</v>
      </c>
      <c r="AG282" s="1" t="s">
        <v>53</v>
      </c>
      <c r="AH282" s="1" t="s">
        <v>49</v>
      </c>
      <c r="AI282" s="1" t="s">
        <v>54</v>
      </c>
      <c r="AJ282" s="1">
        <v>1</v>
      </c>
      <c r="AK282" s="1" t="str">
        <f t="shared" si="4"/>
        <v xml:space="preserve"> =&lt;90</v>
      </c>
      <c r="AL282" s="1" t="str">
        <f>VLOOKUP(C:C,[1]基础信息!B$1:D$65536,3,0)</f>
        <v>UTS</v>
      </c>
      <c r="AM282" s="1" t="str">
        <f>VLOOKUP(C:C,[1]基础信息!B$1:E$65536,4,0)</f>
        <v>MyPure Pro</v>
      </c>
      <c r="AN282" s="1" t="str">
        <f>VLOOKUP(C:C,[1]基础信息!B$1:F$65536,5,0)</f>
        <v>X6</v>
      </c>
    </row>
    <row r="283" spans="1:40">
      <c r="A283" s="1" t="s">
        <v>41</v>
      </c>
      <c r="B283" s="1" t="s">
        <v>42</v>
      </c>
      <c r="C283" s="1" t="s">
        <v>208</v>
      </c>
      <c r="D283" s="1" t="s">
        <v>209</v>
      </c>
      <c r="E283" s="1" t="s">
        <v>208</v>
      </c>
      <c r="F283" s="1" t="s">
        <v>210</v>
      </c>
      <c r="G283" s="1" t="s">
        <v>797</v>
      </c>
      <c r="H283" s="1" t="s">
        <v>798</v>
      </c>
      <c r="I283" s="1" t="s">
        <v>49</v>
      </c>
      <c r="J283" s="1" t="s">
        <v>48</v>
      </c>
      <c r="K283" s="1">
        <v>80</v>
      </c>
      <c r="L283" s="1">
        <v>0</v>
      </c>
      <c r="M283" s="1">
        <v>0</v>
      </c>
      <c r="N283" s="1">
        <v>80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 t="s">
        <v>49</v>
      </c>
      <c r="AA283" s="1" t="s">
        <v>49</v>
      </c>
      <c r="AB283" s="1" t="s">
        <v>49</v>
      </c>
      <c r="AC283" s="1" t="s">
        <v>213</v>
      </c>
      <c r="AD283" s="1" t="s">
        <v>214</v>
      </c>
      <c r="AE283" s="1" t="s">
        <v>215</v>
      </c>
      <c r="AF283" s="1" t="s">
        <v>216</v>
      </c>
      <c r="AG283" s="1" t="s">
        <v>53</v>
      </c>
      <c r="AH283" s="1" t="s">
        <v>49</v>
      </c>
      <c r="AI283" s="1" t="s">
        <v>54</v>
      </c>
      <c r="AJ283" s="1">
        <v>1</v>
      </c>
      <c r="AK283" s="1" t="str">
        <f t="shared" si="4"/>
        <v xml:space="preserve"> =&lt;90</v>
      </c>
      <c r="AL283" s="1" t="str">
        <f>VLOOKUP(C:C,[1]基础信息!B$1:D$65536,3,0)</f>
        <v>Jug</v>
      </c>
      <c r="AM283" s="1" t="str">
        <f>VLOOKUP(C:C,[1]基础信息!B$1:E$65536,4,0)</f>
        <v>MXpl</v>
      </c>
      <c r="AN283" s="1" t="str">
        <f>VLOOKUP(C:C,[1]基础信息!B$1:F$65536,5,0)</f>
        <v>grey</v>
      </c>
    </row>
    <row r="284" spans="1:40">
      <c r="A284" s="1" t="s">
        <v>41</v>
      </c>
      <c r="B284" s="1" t="s">
        <v>42</v>
      </c>
      <c r="C284" s="1" t="s">
        <v>208</v>
      </c>
      <c r="D284" s="1" t="s">
        <v>209</v>
      </c>
      <c r="E284" s="1" t="s">
        <v>208</v>
      </c>
      <c r="F284" s="1" t="s">
        <v>210</v>
      </c>
      <c r="G284" s="1" t="s">
        <v>799</v>
      </c>
      <c r="H284" s="1" t="s">
        <v>800</v>
      </c>
      <c r="I284" s="1" t="s">
        <v>49</v>
      </c>
      <c r="J284" s="1" t="s">
        <v>48</v>
      </c>
      <c r="K284" s="1">
        <v>80</v>
      </c>
      <c r="L284" s="1">
        <v>0</v>
      </c>
      <c r="M284" s="1">
        <v>0</v>
      </c>
      <c r="N284" s="1">
        <v>80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 t="s">
        <v>49</v>
      </c>
      <c r="AA284" s="1" t="s">
        <v>49</v>
      </c>
      <c r="AB284" s="1" t="s">
        <v>49</v>
      </c>
      <c r="AC284" s="1" t="s">
        <v>213</v>
      </c>
      <c r="AD284" s="1" t="s">
        <v>214</v>
      </c>
      <c r="AE284" s="1" t="s">
        <v>215</v>
      </c>
      <c r="AF284" s="1" t="s">
        <v>216</v>
      </c>
      <c r="AG284" s="1" t="s">
        <v>53</v>
      </c>
      <c r="AH284" s="1" t="s">
        <v>49</v>
      </c>
      <c r="AI284" s="1" t="s">
        <v>54</v>
      </c>
      <c r="AJ284" s="1">
        <v>1</v>
      </c>
      <c r="AK284" s="1" t="str">
        <f t="shared" si="4"/>
        <v xml:space="preserve"> =&lt;90</v>
      </c>
      <c r="AL284" s="1" t="str">
        <f>VLOOKUP(C:C,[1]基础信息!B$1:D$65536,3,0)</f>
        <v>Jug</v>
      </c>
      <c r="AM284" s="1" t="str">
        <f>VLOOKUP(C:C,[1]基础信息!B$1:E$65536,4,0)</f>
        <v>MXpl</v>
      </c>
      <c r="AN284" s="1" t="str">
        <f>VLOOKUP(C:C,[1]基础信息!B$1:F$65536,5,0)</f>
        <v>grey</v>
      </c>
    </row>
    <row r="285" spans="1:40">
      <c r="A285" s="1" t="s">
        <v>41</v>
      </c>
      <c r="B285" s="1" t="s">
        <v>42</v>
      </c>
      <c r="C285" s="1" t="s">
        <v>359</v>
      </c>
      <c r="D285" s="1" t="s">
        <v>360</v>
      </c>
      <c r="E285" s="1" t="s">
        <v>45</v>
      </c>
      <c r="F285" s="1" t="s">
        <v>361</v>
      </c>
      <c r="G285" s="1" t="s">
        <v>801</v>
      </c>
      <c r="H285" s="1" t="s">
        <v>802</v>
      </c>
      <c r="I285" s="1" t="s">
        <v>49</v>
      </c>
      <c r="J285" s="1" t="s">
        <v>48</v>
      </c>
      <c r="K285" s="1">
        <v>95</v>
      </c>
      <c r="L285" s="1">
        <v>0</v>
      </c>
      <c r="M285" s="1">
        <v>0</v>
      </c>
      <c r="N285" s="1">
        <v>95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 t="s">
        <v>49</v>
      </c>
      <c r="AA285" s="1" t="s">
        <v>49</v>
      </c>
      <c r="AB285" s="1" t="s">
        <v>49</v>
      </c>
      <c r="AC285" s="1" t="s">
        <v>364</v>
      </c>
      <c r="AD285" s="1" t="s">
        <v>365</v>
      </c>
      <c r="AE285" s="1" t="s">
        <v>364</v>
      </c>
      <c r="AF285" s="1" t="s">
        <v>366</v>
      </c>
      <c r="AG285" s="1" t="s">
        <v>53</v>
      </c>
      <c r="AH285" s="1" t="s">
        <v>49</v>
      </c>
      <c r="AI285" s="1" t="s">
        <v>54</v>
      </c>
      <c r="AJ285" s="1">
        <v>1</v>
      </c>
      <c r="AK285" s="1" t="str">
        <f t="shared" si="4"/>
        <v xml:space="preserve"> =&lt;90</v>
      </c>
      <c r="AL285" s="1" t="e">
        <f>VLOOKUP(C:C,[1]基础信息!B$1:D$65536,3,0)</f>
        <v>#N/A</v>
      </c>
      <c r="AM285" s="1" t="e">
        <f>VLOOKUP(C:C,[1]基础信息!B$1:E$65536,4,0)</f>
        <v>#N/A</v>
      </c>
      <c r="AN285" s="1" t="e">
        <f>VLOOKUP(C:C,[1]基础信息!B$1:F$65536,5,0)</f>
        <v>#N/A</v>
      </c>
    </row>
    <row r="286" spans="1:40">
      <c r="A286" s="1" t="s">
        <v>41</v>
      </c>
      <c r="B286" s="1" t="s">
        <v>42</v>
      </c>
      <c r="C286" s="1" t="s">
        <v>240</v>
      </c>
      <c r="D286" s="1" t="s">
        <v>241</v>
      </c>
      <c r="E286" s="1" t="s">
        <v>45</v>
      </c>
      <c r="F286" s="1" t="s">
        <v>793</v>
      </c>
      <c r="G286" s="1" t="s">
        <v>803</v>
      </c>
      <c r="H286" s="1" t="s">
        <v>804</v>
      </c>
      <c r="I286" s="1" t="s">
        <v>49</v>
      </c>
      <c r="J286" s="1" t="s">
        <v>48</v>
      </c>
      <c r="K286" s="1">
        <v>20</v>
      </c>
      <c r="L286" s="1">
        <v>0</v>
      </c>
      <c r="M286" s="1">
        <v>0</v>
      </c>
      <c r="N286" s="1">
        <v>20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 t="s">
        <v>49</v>
      </c>
      <c r="AA286" s="1" t="s">
        <v>49</v>
      </c>
      <c r="AB286" s="1" t="s">
        <v>49</v>
      </c>
      <c r="AC286" s="1" t="s">
        <v>470</v>
      </c>
      <c r="AD286" s="1" t="s">
        <v>471</v>
      </c>
      <c r="AE286" s="1" t="s">
        <v>470</v>
      </c>
      <c r="AF286" s="1" t="s">
        <v>796</v>
      </c>
      <c r="AG286" s="1" t="s">
        <v>53</v>
      </c>
      <c r="AH286" s="1" t="s">
        <v>49</v>
      </c>
      <c r="AI286" s="1" t="s">
        <v>54</v>
      </c>
      <c r="AJ286" s="1">
        <v>1</v>
      </c>
      <c r="AK286" s="1" t="str">
        <f t="shared" si="4"/>
        <v xml:space="preserve"> =&lt;90</v>
      </c>
      <c r="AL286" s="1" t="str">
        <f>VLOOKUP(C:C,[1]基础信息!B$1:D$65536,3,0)</f>
        <v>UTS</v>
      </c>
      <c r="AM286" s="1" t="str">
        <f>VLOOKUP(C:C,[1]基础信息!B$1:E$65536,4,0)</f>
        <v>MyPure Pro</v>
      </c>
      <c r="AN286" s="1" t="str">
        <f>VLOOKUP(C:C,[1]基础信息!B$1:F$65536,5,0)</f>
        <v>X6</v>
      </c>
    </row>
    <row r="287" spans="1:40">
      <c r="A287" s="1" t="s">
        <v>41</v>
      </c>
      <c r="B287" s="1" t="s">
        <v>42</v>
      </c>
      <c r="C287" s="1" t="s">
        <v>104</v>
      </c>
      <c r="D287" s="1" t="s">
        <v>105</v>
      </c>
      <c r="E287" s="1" t="s">
        <v>104</v>
      </c>
      <c r="F287" s="1" t="s">
        <v>151</v>
      </c>
      <c r="G287" s="1" t="s">
        <v>805</v>
      </c>
      <c r="H287" s="1" t="s">
        <v>806</v>
      </c>
      <c r="I287" s="1" t="s">
        <v>49</v>
      </c>
      <c r="J287" s="1" t="s">
        <v>48</v>
      </c>
      <c r="K287" s="1">
        <v>96</v>
      </c>
      <c r="L287" s="1">
        <v>0</v>
      </c>
      <c r="M287" s="1">
        <v>0</v>
      </c>
      <c r="N287" s="1">
        <v>96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 t="s">
        <v>49</v>
      </c>
      <c r="AA287" s="1" t="s">
        <v>49</v>
      </c>
      <c r="AB287" s="1" t="s">
        <v>49</v>
      </c>
      <c r="AC287" s="1" t="s">
        <v>154</v>
      </c>
      <c r="AD287" s="1" t="s">
        <v>155</v>
      </c>
      <c r="AE287" s="1" t="s">
        <v>154</v>
      </c>
      <c r="AF287" s="1" t="s">
        <v>111</v>
      </c>
      <c r="AG287" s="1" t="s">
        <v>53</v>
      </c>
      <c r="AH287" s="1" t="s">
        <v>49</v>
      </c>
      <c r="AI287" s="1" t="s">
        <v>54</v>
      </c>
      <c r="AJ287" s="1">
        <v>1</v>
      </c>
      <c r="AK287" s="1" t="str">
        <f t="shared" si="4"/>
        <v xml:space="preserve"> =&lt;90</v>
      </c>
      <c r="AL287" s="1" t="str">
        <f>VLOOKUP(C:C,[1]基础信息!B$1:D$65536,3,0)</f>
        <v>Jug</v>
      </c>
      <c r="AM287" s="1" t="str">
        <f>VLOOKUP(C:C,[1]基础信息!B$1:E$65536,4,0)</f>
        <v>Marella XL</v>
      </c>
      <c r="AN287" s="1" t="str">
        <f>VLOOKUP(C:C,[1]基础信息!B$1:F$65536,5,0)</f>
        <v>Blue</v>
      </c>
    </row>
    <row r="288" spans="1:40">
      <c r="A288" s="1" t="s">
        <v>41</v>
      </c>
      <c r="B288" s="1" t="s">
        <v>42</v>
      </c>
      <c r="C288" s="1" t="s">
        <v>104</v>
      </c>
      <c r="D288" s="1" t="s">
        <v>105</v>
      </c>
      <c r="E288" s="1" t="s">
        <v>104</v>
      </c>
      <c r="F288" s="1" t="s">
        <v>151</v>
      </c>
      <c r="G288" s="1" t="s">
        <v>807</v>
      </c>
      <c r="H288" s="1" t="s">
        <v>808</v>
      </c>
      <c r="I288" s="1" t="s">
        <v>49</v>
      </c>
      <c r="J288" s="1" t="s">
        <v>48</v>
      </c>
      <c r="K288" s="1">
        <v>96</v>
      </c>
      <c r="L288" s="1">
        <v>0</v>
      </c>
      <c r="M288" s="1">
        <v>0</v>
      </c>
      <c r="N288" s="1">
        <v>96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 t="s">
        <v>49</v>
      </c>
      <c r="AA288" s="1" t="s">
        <v>49</v>
      </c>
      <c r="AB288" s="1" t="s">
        <v>49</v>
      </c>
      <c r="AC288" s="1" t="s">
        <v>154</v>
      </c>
      <c r="AD288" s="1" t="s">
        <v>155</v>
      </c>
      <c r="AE288" s="1" t="s">
        <v>154</v>
      </c>
      <c r="AF288" s="1" t="s">
        <v>111</v>
      </c>
      <c r="AG288" s="1" t="s">
        <v>53</v>
      </c>
      <c r="AH288" s="1" t="s">
        <v>49</v>
      </c>
      <c r="AI288" s="1" t="s">
        <v>54</v>
      </c>
      <c r="AJ288" s="1">
        <v>1</v>
      </c>
      <c r="AK288" s="1" t="str">
        <f t="shared" si="4"/>
        <v xml:space="preserve"> =&lt;90</v>
      </c>
      <c r="AL288" s="1" t="str">
        <f>VLOOKUP(C:C,[1]基础信息!B$1:D$65536,3,0)</f>
        <v>Jug</v>
      </c>
      <c r="AM288" s="1" t="str">
        <f>VLOOKUP(C:C,[1]基础信息!B$1:E$65536,4,0)</f>
        <v>Marella XL</v>
      </c>
      <c r="AN288" s="1" t="str">
        <f>VLOOKUP(C:C,[1]基础信息!B$1:F$65536,5,0)</f>
        <v>Blue</v>
      </c>
    </row>
    <row r="289" spans="1:40">
      <c r="A289" s="1" t="s">
        <v>41</v>
      </c>
      <c r="B289" s="1" t="s">
        <v>42</v>
      </c>
      <c r="C289" s="1" t="s">
        <v>208</v>
      </c>
      <c r="D289" s="1" t="s">
        <v>209</v>
      </c>
      <c r="E289" s="1" t="s">
        <v>208</v>
      </c>
      <c r="F289" s="1" t="s">
        <v>210</v>
      </c>
      <c r="G289" s="1" t="s">
        <v>809</v>
      </c>
      <c r="H289" s="1" t="s">
        <v>810</v>
      </c>
      <c r="I289" s="1" t="s">
        <v>49</v>
      </c>
      <c r="J289" s="1" t="s">
        <v>48</v>
      </c>
      <c r="K289" s="1">
        <v>80</v>
      </c>
      <c r="L289" s="1">
        <v>0</v>
      </c>
      <c r="M289" s="1">
        <v>0</v>
      </c>
      <c r="N289" s="1">
        <v>80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 t="s">
        <v>49</v>
      </c>
      <c r="AA289" s="1" t="s">
        <v>49</v>
      </c>
      <c r="AB289" s="1" t="s">
        <v>49</v>
      </c>
      <c r="AC289" s="1" t="s">
        <v>213</v>
      </c>
      <c r="AD289" s="1" t="s">
        <v>214</v>
      </c>
      <c r="AE289" s="1" t="s">
        <v>215</v>
      </c>
      <c r="AF289" s="1" t="s">
        <v>216</v>
      </c>
      <c r="AG289" s="1" t="s">
        <v>53</v>
      </c>
      <c r="AH289" s="1" t="s">
        <v>49</v>
      </c>
      <c r="AI289" s="1" t="s">
        <v>54</v>
      </c>
      <c r="AJ289" s="1">
        <v>1</v>
      </c>
      <c r="AK289" s="1" t="str">
        <f t="shared" si="4"/>
        <v xml:space="preserve"> =&lt;90</v>
      </c>
      <c r="AL289" s="1" t="str">
        <f>VLOOKUP(C:C,[1]基础信息!B$1:D$65536,3,0)</f>
        <v>Jug</v>
      </c>
      <c r="AM289" s="1" t="str">
        <f>VLOOKUP(C:C,[1]基础信息!B$1:E$65536,4,0)</f>
        <v>MXpl</v>
      </c>
      <c r="AN289" s="1" t="str">
        <f>VLOOKUP(C:C,[1]基础信息!B$1:F$65536,5,0)</f>
        <v>grey</v>
      </c>
    </row>
    <row r="290" spans="1:40">
      <c r="A290" s="1" t="s">
        <v>41</v>
      </c>
      <c r="B290" s="1" t="s">
        <v>42</v>
      </c>
      <c r="C290" s="1" t="s">
        <v>104</v>
      </c>
      <c r="D290" s="1" t="s">
        <v>105</v>
      </c>
      <c r="E290" s="1" t="s">
        <v>104</v>
      </c>
      <c r="F290" s="1" t="s">
        <v>151</v>
      </c>
      <c r="G290" s="1" t="s">
        <v>811</v>
      </c>
      <c r="H290" s="1" t="s">
        <v>812</v>
      </c>
      <c r="I290" s="1" t="s">
        <v>49</v>
      </c>
      <c r="J290" s="1" t="s">
        <v>48</v>
      </c>
      <c r="K290" s="1">
        <v>96</v>
      </c>
      <c r="L290" s="1">
        <v>0</v>
      </c>
      <c r="M290" s="1">
        <v>0</v>
      </c>
      <c r="N290" s="1">
        <v>96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 t="s">
        <v>49</v>
      </c>
      <c r="AA290" s="1" t="s">
        <v>49</v>
      </c>
      <c r="AB290" s="1" t="s">
        <v>49</v>
      </c>
      <c r="AC290" s="1" t="s">
        <v>154</v>
      </c>
      <c r="AD290" s="1" t="s">
        <v>155</v>
      </c>
      <c r="AE290" s="1" t="s">
        <v>154</v>
      </c>
      <c r="AF290" s="1" t="s">
        <v>111</v>
      </c>
      <c r="AG290" s="1" t="s">
        <v>53</v>
      </c>
      <c r="AH290" s="1" t="s">
        <v>49</v>
      </c>
      <c r="AI290" s="1" t="s">
        <v>54</v>
      </c>
      <c r="AJ290" s="1">
        <v>1</v>
      </c>
      <c r="AK290" s="1" t="str">
        <f t="shared" si="4"/>
        <v xml:space="preserve"> =&lt;90</v>
      </c>
      <c r="AL290" s="1" t="str">
        <f>VLOOKUP(C:C,[1]基础信息!B$1:D$65536,3,0)</f>
        <v>Jug</v>
      </c>
      <c r="AM290" s="1" t="str">
        <f>VLOOKUP(C:C,[1]基础信息!B$1:E$65536,4,0)</f>
        <v>Marella XL</v>
      </c>
      <c r="AN290" s="1" t="str">
        <f>VLOOKUP(C:C,[1]基础信息!B$1:F$65536,5,0)</f>
        <v>Blue</v>
      </c>
    </row>
    <row r="291" spans="1:40">
      <c r="A291" s="1" t="s">
        <v>41</v>
      </c>
      <c r="B291" s="1" t="s">
        <v>42</v>
      </c>
      <c r="C291" s="1" t="s">
        <v>813</v>
      </c>
      <c r="D291" s="1" t="s">
        <v>814</v>
      </c>
      <c r="E291" s="1" t="s">
        <v>45</v>
      </c>
      <c r="F291" s="1" t="s">
        <v>815</v>
      </c>
      <c r="G291" s="1" t="s">
        <v>816</v>
      </c>
      <c r="H291" s="1" t="s">
        <v>817</v>
      </c>
      <c r="I291" s="1" t="s">
        <v>49</v>
      </c>
      <c r="J291" s="1" t="s">
        <v>48</v>
      </c>
      <c r="K291" s="1">
        <v>3</v>
      </c>
      <c r="L291" s="1">
        <v>0</v>
      </c>
      <c r="M291" s="1">
        <v>0</v>
      </c>
      <c r="N291" s="1">
        <v>3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 t="s">
        <v>49</v>
      </c>
      <c r="AA291" s="1" t="s">
        <v>49</v>
      </c>
      <c r="AB291" s="1" t="s">
        <v>49</v>
      </c>
      <c r="AC291" s="1" t="s">
        <v>818</v>
      </c>
      <c r="AD291" s="1" t="s">
        <v>819</v>
      </c>
      <c r="AE291" s="1" t="s">
        <v>818</v>
      </c>
      <c r="AF291" s="1" t="s">
        <v>820</v>
      </c>
      <c r="AG291" s="1" t="s">
        <v>53</v>
      </c>
      <c r="AH291" s="1" t="s">
        <v>49</v>
      </c>
      <c r="AI291" s="1" t="s">
        <v>54</v>
      </c>
      <c r="AJ291" s="1">
        <v>1</v>
      </c>
      <c r="AK291" s="1" t="str">
        <f t="shared" si="4"/>
        <v xml:space="preserve"> =&lt;90</v>
      </c>
      <c r="AL291" s="1" t="str">
        <f>VLOOKUP(C:C,[1]基础信息!B$1:D$65536,3,0)</f>
        <v>Jug</v>
      </c>
      <c r="AM291" s="1" t="str">
        <f>VLOOKUP(C:C,[1]基础信息!B$1:E$65536,4,0)</f>
        <v>Mxplus</v>
      </c>
      <c r="AN291" s="1" t="str">
        <f>VLOOKUP(C:C,[1]基础信息!B$1:F$65536,5,0)</f>
        <v>Blue</v>
      </c>
    </row>
    <row r="292" spans="1:40">
      <c r="A292" s="1" t="s">
        <v>41</v>
      </c>
      <c r="B292" s="1" t="s">
        <v>42</v>
      </c>
      <c r="C292" s="1" t="s">
        <v>104</v>
      </c>
      <c r="D292" s="1" t="s">
        <v>105</v>
      </c>
      <c r="E292" s="1" t="s">
        <v>104</v>
      </c>
      <c r="F292" s="1" t="s">
        <v>151</v>
      </c>
      <c r="G292" s="1" t="s">
        <v>821</v>
      </c>
      <c r="H292" s="1" t="s">
        <v>822</v>
      </c>
      <c r="I292" s="1" t="s">
        <v>49</v>
      </c>
      <c r="J292" s="1" t="s">
        <v>48</v>
      </c>
      <c r="K292" s="1">
        <v>96</v>
      </c>
      <c r="L292" s="1">
        <v>0</v>
      </c>
      <c r="M292" s="1">
        <v>0</v>
      </c>
      <c r="N292" s="1">
        <v>96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 t="s">
        <v>49</v>
      </c>
      <c r="AA292" s="1" t="s">
        <v>49</v>
      </c>
      <c r="AB292" s="1" t="s">
        <v>49</v>
      </c>
      <c r="AC292" s="1" t="s">
        <v>154</v>
      </c>
      <c r="AD292" s="1" t="s">
        <v>155</v>
      </c>
      <c r="AE292" s="1" t="s">
        <v>154</v>
      </c>
      <c r="AF292" s="1" t="s">
        <v>111</v>
      </c>
      <c r="AG292" s="1" t="s">
        <v>53</v>
      </c>
      <c r="AH292" s="1" t="s">
        <v>49</v>
      </c>
      <c r="AI292" s="1" t="s">
        <v>54</v>
      </c>
      <c r="AJ292" s="1">
        <v>1</v>
      </c>
      <c r="AK292" s="1" t="str">
        <f t="shared" si="4"/>
        <v xml:space="preserve"> =&lt;90</v>
      </c>
      <c r="AL292" s="1" t="str">
        <f>VLOOKUP(C:C,[1]基础信息!B$1:D$65536,3,0)</f>
        <v>Jug</v>
      </c>
      <c r="AM292" s="1" t="str">
        <f>VLOOKUP(C:C,[1]基础信息!B$1:E$65536,4,0)</f>
        <v>Marella XL</v>
      </c>
      <c r="AN292" s="1" t="str">
        <f>VLOOKUP(C:C,[1]基础信息!B$1:F$65536,5,0)</f>
        <v>Blue</v>
      </c>
    </row>
    <row r="293" spans="1:40">
      <c r="A293" s="1" t="s">
        <v>41</v>
      </c>
      <c r="B293" s="1" t="s">
        <v>42</v>
      </c>
      <c r="C293" s="1" t="s">
        <v>813</v>
      </c>
      <c r="D293" s="1" t="s">
        <v>814</v>
      </c>
      <c r="E293" s="1" t="s">
        <v>45</v>
      </c>
      <c r="F293" s="1" t="s">
        <v>815</v>
      </c>
      <c r="G293" s="1" t="s">
        <v>823</v>
      </c>
      <c r="H293" s="1" t="s">
        <v>824</v>
      </c>
      <c r="I293" s="1" t="s">
        <v>49</v>
      </c>
      <c r="J293" s="1" t="s">
        <v>48</v>
      </c>
      <c r="K293" s="1">
        <v>80</v>
      </c>
      <c r="L293" s="1">
        <v>0</v>
      </c>
      <c r="M293" s="1">
        <v>0</v>
      </c>
      <c r="N293" s="1">
        <v>80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 t="s">
        <v>49</v>
      </c>
      <c r="AA293" s="1" t="s">
        <v>49</v>
      </c>
      <c r="AB293" s="1" t="s">
        <v>49</v>
      </c>
      <c r="AC293" s="1" t="s">
        <v>818</v>
      </c>
      <c r="AD293" s="1" t="s">
        <v>819</v>
      </c>
      <c r="AE293" s="1" t="s">
        <v>818</v>
      </c>
      <c r="AF293" s="1" t="s">
        <v>820</v>
      </c>
      <c r="AG293" s="1" t="s">
        <v>53</v>
      </c>
      <c r="AH293" s="1" t="s">
        <v>49</v>
      </c>
      <c r="AI293" s="1" t="s">
        <v>54</v>
      </c>
      <c r="AJ293" s="1">
        <v>1</v>
      </c>
      <c r="AK293" s="1" t="str">
        <f t="shared" si="4"/>
        <v xml:space="preserve"> =&lt;90</v>
      </c>
      <c r="AL293" s="1" t="str">
        <f>VLOOKUP(C:C,[1]基础信息!B$1:D$65536,3,0)</f>
        <v>Jug</v>
      </c>
      <c r="AM293" s="1" t="str">
        <f>VLOOKUP(C:C,[1]基础信息!B$1:E$65536,4,0)</f>
        <v>Mxplus</v>
      </c>
      <c r="AN293" s="1" t="str">
        <f>VLOOKUP(C:C,[1]基础信息!B$1:F$65536,5,0)</f>
        <v>Blue</v>
      </c>
    </row>
    <row r="294" spans="1:40">
      <c r="A294" s="1" t="s">
        <v>41</v>
      </c>
      <c r="B294" s="1" t="s">
        <v>42</v>
      </c>
      <c r="C294" s="1" t="s">
        <v>813</v>
      </c>
      <c r="D294" s="1" t="s">
        <v>814</v>
      </c>
      <c r="E294" s="1" t="s">
        <v>45</v>
      </c>
      <c r="F294" s="1" t="s">
        <v>815</v>
      </c>
      <c r="G294" s="1" t="s">
        <v>825</v>
      </c>
      <c r="H294" s="1" t="s">
        <v>826</v>
      </c>
      <c r="I294" s="1" t="s">
        <v>49</v>
      </c>
      <c r="J294" s="1" t="s">
        <v>48</v>
      </c>
      <c r="K294" s="1">
        <v>80</v>
      </c>
      <c r="L294" s="1">
        <v>0</v>
      </c>
      <c r="M294" s="1">
        <v>0</v>
      </c>
      <c r="N294" s="1">
        <v>80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 t="s">
        <v>49</v>
      </c>
      <c r="AA294" s="1" t="s">
        <v>49</v>
      </c>
      <c r="AB294" s="1" t="s">
        <v>49</v>
      </c>
      <c r="AC294" s="1" t="s">
        <v>818</v>
      </c>
      <c r="AD294" s="1" t="s">
        <v>819</v>
      </c>
      <c r="AE294" s="1" t="s">
        <v>818</v>
      </c>
      <c r="AF294" s="1" t="s">
        <v>820</v>
      </c>
      <c r="AG294" s="1" t="s">
        <v>53</v>
      </c>
      <c r="AH294" s="1" t="s">
        <v>49</v>
      </c>
      <c r="AI294" s="1" t="s">
        <v>54</v>
      </c>
      <c r="AJ294" s="1">
        <v>1</v>
      </c>
      <c r="AK294" s="1" t="str">
        <f t="shared" si="4"/>
        <v xml:space="preserve"> =&lt;90</v>
      </c>
      <c r="AL294" s="1" t="str">
        <f>VLOOKUP(C:C,[1]基础信息!B$1:D$65536,3,0)</f>
        <v>Jug</v>
      </c>
      <c r="AM294" s="1" t="str">
        <f>VLOOKUP(C:C,[1]基础信息!B$1:E$65536,4,0)</f>
        <v>Mxplus</v>
      </c>
      <c r="AN294" s="1" t="str">
        <f>VLOOKUP(C:C,[1]基础信息!B$1:F$65536,5,0)</f>
        <v>Blue</v>
      </c>
    </row>
    <row r="295" spans="1:40">
      <c r="A295" s="1" t="s">
        <v>41</v>
      </c>
      <c r="B295" s="1" t="s">
        <v>42</v>
      </c>
      <c r="C295" s="1" t="s">
        <v>104</v>
      </c>
      <c r="D295" s="1" t="s">
        <v>105</v>
      </c>
      <c r="E295" s="1" t="s">
        <v>104</v>
      </c>
      <c r="F295" s="1" t="s">
        <v>151</v>
      </c>
      <c r="G295" s="1" t="s">
        <v>827</v>
      </c>
      <c r="H295" s="1" t="s">
        <v>828</v>
      </c>
      <c r="I295" s="1" t="s">
        <v>49</v>
      </c>
      <c r="J295" s="1" t="s">
        <v>48</v>
      </c>
      <c r="K295" s="1">
        <v>96</v>
      </c>
      <c r="L295" s="1">
        <v>0</v>
      </c>
      <c r="M295" s="1">
        <v>0</v>
      </c>
      <c r="N295" s="1">
        <v>96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 t="s">
        <v>49</v>
      </c>
      <c r="AA295" s="1" t="s">
        <v>49</v>
      </c>
      <c r="AB295" s="1" t="s">
        <v>49</v>
      </c>
      <c r="AC295" s="1" t="s">
        <v>154</v>
      </c>
      <c r="AD295" s="1" t="s">
        <v>155</v>
      </c>
      <c r="AE295" s="1" t="s">
        <v>154</v>
      </c>
      <c r="AF295" s="1" t="s">
        <v>111</v>
      </c>
      <c r="AG295" s="1" t="s">
        <v>53</v>
      </c>
      <c r="AH295" s="1" t="s">
        <v>49</v>
      </c>
      <c r="AI295" s="1" t="s">
        <v>54</v>
      </c>
      <c r="AJ295" s="1">
        <v>1</v>
      </c>
      <c r="AK295" s="1" t="str">
        <f t="shared" si="4"/>
        <v xml:space="preserve"> =&lt;90</v>
      </c>
      <c r="AL295" s="1" t="str">
        <f>VLOOKUP(C:C,[1]基础信息!B$1:D$65536,3,0)</f>
        <v>Jug</v>
      </c>
      <c r="AM295" s="1" t="str">
        <f>VLOOKUP(C:C,[1]基础信息!B$1:E$65536,4,0)</f>
        <v>Marella XL</v>
      </c>
      <c r="AN295" s="1" t="str">
        <f>VLOOKUP(C:C,[1]基础信息!B$1:F$65536,5,0)</f>
        <v>Blue</v>
      </c>
    </row>
    <row r="296" spans="1:40">
      <c r="A296" s="1" t="s">
        <v>41</v>
      </c>
      <c r="B296" s="1" t="s">
        <v>42</v>
      </c>
      <c r="C296" s="1" t="s">
        <v>813</v>
      </c>
      <c r="D296" s="1" t="s">
        <v>814</v>
      </c>
      <c r="E296" s="1" t="s">
        <v>45</v>
      </c>
      <c r="F296" s="1" t="s">
        <v>815</v>
      </c>
      <c r="G296" s="1" t="s">
        <v>829</v>
      </c>
      <c r="H296" s="1" t="s">
        <v>830</v>
      </c>
      <c r="I296" s="1" t="s">
        <v>49</v>
      </c>
      <c r="J296" s="1" t="s">
        <v>48</v>
      </c>
      <c r="K296" s="1">
        <v>80</v>
      </c>
      <c r="L296" s="1">
        <v>0</v>
      </c>
      <c r="M296" s="1">
        <v>0</v>
      </c>
      <c r="N296" s="1">
        <v>80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 t="s">
        <v>49</v>
      </c>
      <c r="AA296" s="1" t="s">
        <v>49</v>
      </c>
      <c r="AB296" s="1" t="s">
        <v>49</v>
      </c>
      <c r="AC296" s="1" t="s">
        <v>818</v>
      </c>
      <c r="AD296" s="1" t="s">
        <v>819</v>
      </c>
      <c r="AE296" s="1" t="s">
        <v>818</v>
      </c>
      <c r="AF296" s="1" t="s">
        <v>820</v>
      </c>
      <c r="AG296" s="1" t="s">
        <v>53</v>
      </c>
      <c r="AH296" s="1" t="s">
        <v>49</v>
      </c>
      <c r="AI296" s="1" t="s">
        <v>54</v>
      </c>
      <c r="AJ296" s="1">
        <v>1</v>
      </c>
      <c r="AK296" s="1" t="str">
        <f t="shared" si="4"/>
        <v xml:space="preserve"> =&lt;90</v>
      </c>
      <c r="AL296" s="1" t="str">
        <f>VLOOKUP(C:C,[1]基础信息!B$1:D$65536,3,0)</f>
        <v>Jug</v>
      </c>
      <c r="AM296" s="1" t="str">
        <f>VLOOKUP(C:C,[1]基础信息!B$1:E$65536,4,0)</f>
        <v>Mxplus</v>
      </c>
      <c r="AN296" s="1" t="str">
        <f>VLOOKUP(C:C,[1]基础信息!B$1:F$65536,5,0)</f>
        <v>Blue</v>
      </c>
    </row>
    <row r="297" spans="1:40">
      <c r="A297" s="1" t="s">
        <v>41</v>
      </c>
      <c r="B297" s="1" t="s">
        <v>42</v>
      </c>
      <c r="C297" s="1" t="s">
        <v>813</v>
      </c>
      <c r="D297" s="1" t="s">
        <v>814</v>
      </c>
      <c r="E297" s="1" t="s">
        <v>45</v>
      </c>
      <c r="F297" s="1" t="s">
        <v>815</v>
      </c>
      <c r="G297" s="1" t="s">
        <v>831</v>
      </c>
      <c r="H297" s="1" t="s">
        <v>832</v>
      </c>
      <c r="I297" s="1" t="s">
        <v>49</v>
      </c>
      <c r="J297" s="1" t="s">
        <v>48</v>
      </c>
      <c r="K297" s="1">
        <v>80</v>
      </c>
      <c r="L297" s="1">
        <v>0</v>
      </c>
      <c r="M297" s="1">
        <v>0</v>
      </c>
      <c r="N297" s="1">
        <v>80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 t="s">
        <v>49</v>
      </c>
      <c r="AA297" s="1" t="s">
        <v>49</v>
      </c>
      <c r="AB297" s="1" t="s">
        <v>49</v>
      </c>
      <c r="AC297" s="1" t="s">
        <v>818</v>
      </c>
      <c r="AD297" s="1" t="s">
        <v>819</v>
      </c>
      <c r="AE297" s="1" t="s">
        <v>818</v>
      </c>
      <c r="AF297" s="1" t="s">
        <v>820</v>
      </c>
      <c r="AG297" s="1" t="s">
        <v>53</v>
      </c>
      <c r="AH297" s="1" t="s">
        <v>49</v>
      </c>
      <c r="AI297" s="1" t="s">
        <v>54</v>
      </c>
      <c r="AJ297" s="1">
        <v>1</v>
      </c>
      <c r="AK297" s="1" t="str">
        <f t="shared" si="4"/>
        <v xml:space="preserve"> =&lt;90</v>
      </c>
      <c r="AL297" s="1" t="str">
        <f>VLOOKUP(C:C,[1]基础信息!B$1:D$65536,3,0)</f>
        <v>Jug</v>
      </c>
      <c r="AM297" s="1" t="str">
        <f>VLOOKUP(C:C,[1]基础信息!B$1:E$65536,4,0)</f>
        <v>Mxplus</v>
      </c>
      <c r="AN297" s="1" t="str">
        <f>VLOOKUP(C:C,[1]基础信息!B$1:F$65536,5,0)</f>
        <v>Blue</v>
      </c>
    </row>
    <row r="298" spans="1:40">
      <c r="A298" s="1" t="s">
        <v>41</v>
      </c>
      <c r="B298" s="1" t="s">
        <v>42</v>
      </c>
      <c r="C298" s="1" t="s">
        <v>104</v>
      </c>
      <c r="D298" s="1" t="s">
        <v>105</v>
      </c>
      <c r="E298" s="1" t="s">
        <v>104</v>
      </c>
      <c r="F298" s="1" t="s">
        <v>151</v>
      </c>
      <c r="G298" s="1" t="s">
        <v>833</v>
      </c>
      <c r="H298" s="1" t="s">
        <v>834</v>
      </c>
      <c r="I298" s="1" t="s">
        <v>49</v>
      </c>
      <c r="J298" s="1" t="s">
        <v>48</v>
      </c>
      <c r="K298" s="1">
        <v>96</v>
      </c>
      <c r="L298" s="1">
        <v>0</v>
      </c>
      <c r="M298" s="1">
        <v>0</v>
      </c>
      <c r="N298" s="1">
        <v>96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 t="s">
        <v>49</v>
      </c>
      <c r="AA298" s="1" t="s">
        <v>49</v>
      </c>
      <c r="AB298" s="1" t="s">
        <v>49</v>
      </c>
      <c r="AC298" s="1" t="s">
        <v>154</v>
      </c>
      <c r="AD298" s="1" t="s">
        <v>155</v>
      </c>
      <c r="AE298" s="1" t="s">
        <v>154</v>
      </c>
      <c r="AF298" s="1" t="s">
        <v>111</v>
      </c>
      <c r="AG298" s="1" t="s">
        <v>53</v>
      </c>
      <c r="AH298" s="1" t="s">
        <v>49</v>
      </c>
      <c r="AI298" s="1" t="s">
        <v>54</v>
      </c>
      <c r="AJ298" s="1">
        <v>1</v>
      </c>
      <c r="AK298" s="1" t="str">
        <f t="shared" si="4"/>
        <v xml:space="preserve"> =&lt;90</v>
      </c>
      <c r="AL298" s="1" t="str">
        <f>VLOOKUP(C:C,[1]基础信息!B$1:D$65536,3,0)</f>
        <v>Jug</v>
      </c>
      <c r="AM298" s="1" t="str">
        <f>VLOOKUP(C:C,[1]基础信息!B$1:E$65536,4,0)</f>
        <v>Marella XL</v>
      </c>
      <c r="AN298" s="1" t="str">
        <f>VLOOKUP(C:C,[1]基础信息!B$1:F$65536,5,0)</f>
        <v>Blue</v>
      </c>
    </row>
    <row r="299" spans="1:40">
      <c r="A299" s="1" t="s">
        <v>41</v>
      </c>
      <c r="B299" s="1" t="s">
        <v>42</v>
      </c>
      <c r="C299" s="1" t="s">
        <v>104</v>
      </c>
      <c r="D299" s="1" t="s">
        <v>105</v>
      </c>
      <c r="E299" s="1" t="s">
        <v>104</v>
      </c>
      <c r="F299" s="1" t="s">
        <v>151</v>
      </c>
      <c r="G299" s="1" t="s">
        <v>835</v>
      </c>
      <c r="H299" s="1" t="s">
        <v>836</v>
      </c>
      <c r="I299" s="1" t="s">
        <v>49</v>
      </c>
      <c r="J299" s="1" t="s">
        <v>48</v>
      </c>
      <c r="K299" s="1">
        <v>96</v>
      </c>
      <c r="L299" s="1">
        <v>0</v>
      </c>
      <c r="M299" s="1">
        <v>0</v>
      </c>
      <c r="N299" s="1">
        <v>96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 t="s">
        <v>49</v>
      </c>
      <c r="AA299" s="1" t="s">
        <v>49</v>
      </c>
      <c r="AB299" s="1" t="s">
        <v>49</v>
      </c>
      <c r="AC299" s="1" t="s">
        <v>154</v>
      </c>
      <c r="AD299" s="1" t="s">
        <v>155</v>
      </c>
      <c r="AE299" s="1" t="s">
        <v>154</v>
      </c>
      <c r="AF299" s="1" t="s">
        <v>111</v>
      </c>
      <c r="AG299" s="1" t="s">
        <v>53</v>
      </c>
      <c r="AH299" s="1" t="s">
        <v>49</v>
      </c>
      <c r="AI299" s="1" t="s">
        <v>54</v>
      </c>
      <c r="AJ299" s="1">
        <v>1</v>
      </c>
      <c r="AK299" s="1" t="str">
        <f t="shared" si="4"/>
        <v xml:space="preserve"> =&lt;90</v>
      </c>
      <c r="AL299" s="1" t="str">
        <f>VLOOKUP(C:C,[1]基础信息!B$1:D$65536,3,0)</f>
        <v>Jug</v>
      </c>
      <c r="AM299" s="1" t="str">
        <f>VLOOKUP(C:C,[1]基础信息!B$1:E$65536,4,0)</f>
        <v>Marella XL</v>
      </c>
      <c r="AN299" s="1" t="str">
        <f>VLOOKUP(C:C,[1]基础信息!B$1:F$65536,5,0)</f>
        <v>Blue</v>
      </c>
    </row>
    <row r="300" spans="1:40">
      <c r="A300" s="1" t="s">
        <v>41</v>
      </c>
      <c r="B300" s="1" t="s">
        <v>42</v>
      </c>
      <c r="C300" s="1" t="s">
        <v>813</v>
      </c>
      <c r="D300" s="1" t="s">
        <v>814</v>
      </c>
      <c r="E300" s="1" t="s">
        <v>45</v>
      </c>
      <c r="F300" s="1" t="s">
        <v>815</v>
      </c>
      <c r="G300" s="1" t="s">
        <v>837</v>
      </c>
      <c r="H300" s="1" t="s">
        <v>838</v>
      </c>
      <c r="I300" s="1" t="s">
        <v>49</v>
      </c>
      <c r="J300" s="1" t="s">
        <v>48</v>
      </c>
      <c r="K300" s="1">
        <v>80</v>
      </c>
      <c r="L300" s="1">
        <v>0</v>
      </c>
      <c r="M300" s="1">
        <v>0</v>
      </c>
      <c r="N300" s="1">
        <v>80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 t="s">
        <v>49</v>
      </c>
      <c r="AA300" s="1" t="s">
        <v>49</v>
      </c>
      <c r="AB300" s="1" t="s">
        <v>49</v>
      </c>
      <c r="AC300" s="1" t="s">
        <v>818</v>
      </c>
      <c r="AD300" s="1" t="s">
        <v>819</v>
      </c>
      <c r="AE300" s="1" t="s">
        <v>818</v>
      </c>
      <c r="AF300" s="1" t="s">
        <v>820</v>
      </c>
      <c r="AG300" s="1" t="s">
        <v>53</v>
      </c>
      <c r="AH300" s="1" t="s">
        <v>49</v>
      </c>
      <c r="AI300" s="1" t="s">
        <v>54</v>
      </c>
      <c r="AJ300" s="1">
        <v>1</v>
      </c>
      <c r="AK300" s="1" t="str">
        <f t="shared" si="4"/>
        <v xml:space="preserve"> =&lt;90</v>
      </c>
      <c r="AL300" s="1" t="str">
        <f>VLOOKUP(C:C,[1]基础信息!B$1:D$65536,3,0)</f>
        <v>Jug</v>
      </c>
      <c r="AM300" s="1" t="str">
        <f>VLOOKUP(C:C,[1]基础信息!B$1:E$65536,4,0)</f>
        <v>Mxplus</v>
      </c>
      <c r="AN300" s="1" t="str">
        <f>VLOOKUP(C:C,[1]基础信息!B$1:F$65536,5,0)</f>
        <v>Blue</v>
      </c>
    </row>
    <row r="301" spans="1:40">
      <c r="A301" s="1" t="s">
        <v>41</v>
      </c>
      <c r="B301" s="1" t="s">
        <v>42</v>
      </c>
      <c r="C301" s="1" t="s">
        <v>813</v>
      </c>
      <c r="D301" s="1" t="s">
        <v>814</v>
      </c>
      <c r="E301" s="1" t="s">
        <v>45</v>
      </c>
      <c r="F301" s="1" t="s">
        <v>815</v>
      </c>
      <c r="G301" s="1" t="s">
        <v>839</v>
      </c>
      <c r="H301" s="1" t="s">
        <v>840</v>
      </c>
      <c r="I301" s="1" t="s">
        <v>49</v>
      </c>
      <c r="J301" s="1" t="s">
        <v>48</v>
      </c>
      <c r="K301" s="1">
        <v>80</v>
      </c>
      <c r="L301" s="1">
        <v>0</v>
      </c>
      <c r="M301" s="1">
        <v>0</v>
      </c>
      <c r="N301" s="1">
        <v>80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 t="s">
        <v>49</v>
      </c>
      <c r="AA301" s="1" t="s">
        <v>49</v>
      </c>
      <c r="AB301" s="1" t="s">
        <v>49</v>
      </c>
      <c r="AC301" s="1" t="s">
        <v>818</v>
      </c>
      <c r="AD301" s="1" t="s">
        <v>819</v>
      </c>
      <c r="AE301" s="1" t="s">
        <v>818</v>
      </c>
      <c r="AF301" s="1" t="s">
        <v>820</v>
      </c>
      <c r="AG301" s="1" t="s">
        <v>53</v>
      </c>
      <c r="AH301" s="1" t="s">
        <v>49</v>
      </c>
      <c r="AI301" s="1" t="s">
        <v>54</v>
      </c>
      <c r="AJ301" s="1">
        <v>1</v>
      </c>
      <c r="AK301" s="1" t="str">
        <f t="shared" si="4"/>
        <v xml:space="preserve"> =&lt;90</v>
      </c>
      <c r="AL301" s="1" t="str">
        <f>VLOOKUP(C:C,[1]基础信息!B$1:D$65536,3,0)</f>
        <v>Jug</v>
      </c>
      <c r="AM301" s="1" t="str">
        <f>VLOOKUP(C:C,[1]基础信息!B$1:E$65536,4,0)</f>
        <v>Mxplus</v>
      </c>
      <c r="AN301" s="1" t="str">
        <f>VLOOKUP(C:C,[1]基础信息!B$1:F$65536,5,0)</f>
        <v>Blue</v>
      </c>
    </row>
    <row r="302" spans="1:40">
      <c r="A302" s="1" t="s">
        <v>41</v>
      </c>
      <c r="B302" s="1" t="s">
        <v>42</v>
      </c>
      <c r="C302" s="1" t="s">
        <v>813</v>
      </c>
      <c r="D302" s="1" t="s">
        <v>814</v>
      </c>
      <c r="E302" s="1" t="s">
        <v>45</v>
      </c>
      <c r="F302" s="1" t="s">
        <v>815</v>
      </c>
      <c r="G302" s="1" t="s">
        <v>841</v>
      </c>
      <c r="H302" s="1" t="s">
        <v>842</v>
      </c>
      <c r="I302" s="1" t="s">
        <v>49</v>
      </c>
      <c r="J302" s="1" t="s">
        <v>48</v>
      </c>
      <c r="K302" s="1">
        <v>80</v>
      </c>
      <c r="L302" s="1">
        <v>0</v>
      </c>
      <c r="M302" s="1">
        <v>0</v>
      </c>
      <c r="N302" s="1">
        <v>80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 t="s">
        <v>49</v>
      </c>
      <c r="AA302" s="1" t="s">
        <v>49</v>
      </c>
      <c r="AB302" s="1" t="s">
        <v>49</v>
      </c>
      <c r="AC302" s="1" t="s">
        <v>818</v>
      </c>
      <c r="AD302" s="1" t="s">
        <v>819</v>
      </c>
      <c r="AE302" s="1" t="s">
        <v>818</v>
      </c>
      <c r="AF302" s="1" t="s">
        <v>820</v>
      </c>
      <c r="AG302" s="1" t="s">
        <v>53</v>
      </c>
      <c r="AH302" s="1" t="s">
        <v>49</v>
      </c>
      <c r="AI302" s="1" t="s">
        <v>54</v>
      </c>
      <c r="AJ302" s="1">
        <v>1</v>
      </c>
      <c r="AK302" s="1" t="str">
        <f t="shared" si="4"/>
        <v xml:space="preserve"> =&lt;90</v>
      </c>
      <c r="AL302" s="1" t="str">
        <f>VLOOKUP(C:C,[1]基础信息!B$1:D$65536,3,0)</f>
        <v>Jug</v>
      </c>
      <c r="AM302" s="1" t="str">
        <f>VLOOKUP(C:C,[1]基础信息!B$1:E$65536,4,0)</f>
        <v>Mxplus</v>
      </c>
      <c r="AN302" s="1" t="str">
        <f>VLOOKUP(C:C,[1]基础信息!B$1:F$65536,5,0)</f>
        <v>Blue</v>
      </c>
    </row>
    <row r="303" spans="1:40">
      <c r="A303" s="1" t="s">
        <v>41</v>
      </c>
      <c r="B303" s="1" t="s">
        <v>42</v>
      </c>
      <c r="C303" s="1" t="s">
        <v>104</v>
      </c>
      <c r="D303" s="1" t="s">
        <v>105</v>
      </c>
      <c r="E303" s="1" t="s">
        <v>104</v>
      </c>
      <c r="F303" s="1" t="s">
        <v>151</v>
      </c>
      <c r="G303" s="1" t="s">
        <v>843</v>
      </c>
      <c r="H303" s="1" t="s">
        <v>844</v>
      </c>
      <c r="I303" s="1" t="s">
        <v>49</v>
      </c>
      <c r="J303" s="1" t="s">
        <v>48</v>
      </c>
      <c r="K303" s="1">
        <v>96</v>
      </c>
      <c r="L303" s="1">
        <v>0</v>
      </c>
      <c r="M303" s="1">
        <v>0</v>
      </c>
      <c r="N303" s="1">
        <v>96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 t="s">
        <v>49</v>
      </c>
      <c r="AA303" s="1" t="s">
        <v>49</v>
      </c>
      <c r="AB303" s="1" t="s">
        <v>49</v>
      </c>
      <c r="AC303" s="1" t="s">
        <v>154</v>
      </c>
      <c r="AD303" s="1" t="s">
        <v>155</v>
      </c>
      <c r="AE303" s="1" t="s">
        <v>154</v>
      </c>
      <c r="AF303" s="1" t="s">
        <v>111</v>
      </c>
      <c r="AG303" s="1" t="s">
        <v>53</v>
      </c>
      <c r="AH303" s="1" t="s">
        <v>49</v>
      </c>
      <c r="AI303" s="1" t="s">
        <v>54</v>
      </c>
      <c r="AJ303" s="1">
        <v>1</v>
      </c>
      <c r="AK303" s="1" t="str">
        <f t="shared" si="4"/>
        <v xml:space="preserve"> =&lt;90</v>
      </c>
      <c r="AL303" s="1" t="str">
        <f>VLOOKUP(C:C,[1]基础信息!B$1:D$65536,3,0)</f>
        <v>Jug</v>
      </c>
      <c r="AM303" s="1" t="str">
        <f>VLOOKUP(C:C,[1]基础信息!B$1:E$65536,4,0)</f>
        <v>Marella XL</v>
      </c>
      <c r="AN303" s="1" t="str">
        <f>VLOOKUP(C:C,[1]基础信息!B$1:F$65536,5,0)</f>
        <v>Blue</v>
      </c>
    </row>
    <row r="304" spans="1:40">
      <c r="A304" s="1" t="s">
        <v>41</v>
      </c>
      <c r="B304" s="1" t="s">
        <v>42</v>
      </c>
      <c r="C304" s="1" t="s">
        <v>813</v>
      </c>
      <c r="D304" s="1" t="s">
        <v>814</v>
      </c>
      <c r="E304" s="1" t="s">
        <v>45</v>
      </c>
      <c r="F304" s="1" t="s">
        <v>815</v>
      </c>
      <c r="G304" s="1" t="s">
        <v>845</v>
      </c>
      <c r="H304" s="1" t="s">
        <v>846</v>
      </c>
      <c r="I304" s="1" t="s">
        <v>49</v>
      </c>
      <c r="J304" s="1" t="s">
        <v>48</v>
      </c>
      <c r="K304" s="1">
        <v>80</v>
      </c>
      <c r="L304" s="1">
        <v>0</v>
      </c>
      <c r="M304" s="1">
        <v>0</v>
      </c>
      <c r="N304" s="1">
        <v>80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 t="s">
        <v>49</v>
      </c>
      <c r="AA304" s="1" t="s">
        <v>49</v>
      </c>
      <c r="AB304" s="1" t="s">
        <v>49</v>
      </c>
      <c r="AC304" s="1" t="s">
        <v>818</v>
      </c>
      <c r="AD304" s="1" t="s">
        <v>819</v>
      </c>
      <c r="AE304" s="1" t="s">
        <v>818</v>
      </c>
      <c r="AF304" s="1" t="s">
        <v>820</v>
      </c>
      <c r="AG304" s="1" t="s">
        <v>53</v>
      </c>
      <c r="AH304" s="1" t="s">
        <v>49</v>
      </c>
      <c r="AI304" s="1" t="s">
        <v>54</v>
      </c>
      <c r="AJ304" s="1">
        <v>1</v>
      </c>
      <c r="AK304" s="1" t="str">
        <f t="shared" si="4"/>
        <v xml:space="preserve"> =&lt;90</v>
      </c>
      <c r="AL304" s="1" t="str">
        <f>VLOOKUP(C:C,[1]基础信息!B$1:D$65536,3,0)</f>
        <v>Jug</v>
      </c>
      <c r="AM304" s="1" t="str">
        <f>VLOOKUP(C:C,[1]基础信息!B$1:E$65536,4,0)</f>
        <v>Mxplus</v>
      </c>
      <c r="AN304" s="1" t="str">
        <f>VLOOKUP(C:C,[1]基础信息!B$1:F$65536,5,0)</f>
        <v>Blue</v>
      </c>
    </row>
    <row r="305" spans="1:40">
      <c r="A305" s="1" t="s">
        <v>41</v>
      </c>
      <c r="B305" s="1" t="s">
        <v>42</v>
      </c>
      <c r="C305" s="1" t="s">
        <v>813</v>
      </c>
      <c r="D305" s="1" t="s">
        <v>814</v>
      </c>
      <c r="E305" s="1" t="s">
        <v>45</v>
      </c>
      <c r="F305" s="1" t="s">
        <v>815</v>
      </c>
      <c r="G305" s="1" t="s">
        <v>847</v>
      </c>
      <c r="H305" s="1" t="s">
        <v>848</v>
      </c>
      <c r="I305" s="1" t="s">
        <v>49</v>
      </c>
      <c r="J305" s="1" t="s">
        <v>48</v>
      </c>
      <c r="K305" s="1">
        <v>80</v>
      </c>
      <c r="L305" s="1">
        <v>0</v>
      </c>
      <c r="M305" s="1">
        <v>0</v>
      </c>
      <c r="N305" s="1">
        <v>80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 t="s">
        <v>49</v>
      </c>
      <c r="AA305" s="1" t="s">
        <v>49</v>
      </c>
      <c r="AB305" s="1" t="s">
        <v>49</v>
      </c>
      <c r="AC305" s="1" t="s">
        <v>818</v>
      </c>
      <c r="AD305" s="1" t="s">
        <v>819</v>
      </c>
      <c r="AE305" s="1" t="s">
        <v>818</v>
      </c>
      <c r="AF305" s="1" t="s">
        <v>820</v>
      </c>
      <c r="AG305" s="1" t="s">
        <v>53</v>
      </c>
      <c r="AH305" s="1" t="s">
        <v>49</v>
      </c>
      <c r="AI305" s="1" t="s">
        <v>54</v>
      </c>
      <c r="AJ305" s="1">
        <v>1</v>
      </c>
      <c r="AK305" s="1" t="str">
        <f t="shared" si="4"/>
        <v xml:space="preserve"> =&lt;90</v>
      </c>
      <c r="AL305" s="1" t="str">
        <f>VLOOKUP(C:C,[1]基础信息!B$1:D$65536,3,0)</f>
        <v>Jug</v>
      </c>
      <c r="AM305" s="1" t="str">
        <f>VLOOKUP(C:C,[1]基础信息!B$1:E$65536,4,0)</f>
        <v>Mxplus</v>
      </c>
      <c r="AN305" s="1" t="str">
        <f>VLOOKUP(C:C,[1]基础信息!B$1:F$65536,5,0)</f>
        <v>Blue</v>
      </c>
    </row>
    <row r="306" spans="1:40">
      <c r="A306" s="1" t="s">
        <v>41</v>
      </c>
      <c r="B306" s="1" t="s">
        <v>42</v>
      </c>
      <c r="C306" s="1" t="s">
        <v>813</v>
      </c>
      <c r="D306" s="1" t="s">
        <v>814</v>
      </c>
      <c r="E306" s="1" t="s">
        <v>45</v>
      </c>
      <c r="F306" s="1" t="s">
        <v>815</v>
      </c>
      <c r="G306" s="1" t="s">
        <v>849</v>
      </c>
      <c r="H306" s="1" t="s">
        <v>850</v>
      </c>
      <c r="I306" s="1" t="s">
        <v>49</v>
      </c>
      <c r="J306" s="1" t="s">
        <v>48</v>
      </c>
      <c r="K306" s="1">
        <v>80</v>
      </c>
      <c r="L306" s="1">
        <v>0</v>
      </c>
      <c r="M306" s="1">
        <v>0</v>
      </c>
      <c r="N306" s="1">
        <v>80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 t="s">
        <v>49</v>
      </c>
      <c r="AA306" s="1" t="s">
        <v>49</v>
      </c>
      <c r="AB306" s="1" t="s">
        <v>49</v>
      </c>
      <c r="AC306" s="1" t="s">
        <v>818</v>
      </c>
      <c r="AD306" s="1" t="s">
        <v>819</v>
      </c>
      <c r="AE306" s="1" t="s">
        <v>818</v>
      </c>
      <c r="AF306" s="1" t="s">
        <v>820</v>
      </c>
      <c r="AG306" s="1" t="s">
        <v>53</v>
      </c>
      <c r="AH306" s="1" t="s">
        <v>49</v>
      </c>
      <c r="AI306" s="1" t="s">
        <v>54</v>
      </c>
      <c r="AJ306" s="1">
        <v>1</v>
      </c>
      <c r="AK306" s="1" t="str">
        <f t="shared" si="4"/>
        <v xml:space="preserve"> =&lt;90</v>
      </c>
      <c r="AL306" s="1" t="str">
        <f>VLOOKUP(C:C,[1]基础信息!B$1:D$65536,3,0)</f>
        <v>Jug</v>
      </c>
      <c r="AM306" s="1" t="str">
        <f>VLOOKUP(C:C,[1]基础信息!B$1:E$65536,4,0)</f>
        <v>Mxplus</v>
      </c>
      <c r="AN306" s="1" t="str">
        <f>VLOOKUP(C:C,[1]基础信息!B$1:F$65536,5,0)</f>
        <v>Blue</v>
      </c>
    </row>
    <row r="307" spans="1:40">
      <c r="A307" s="1" t="s">
        <v>41</v>
      </c>
      <c r="B307" s="1" t="s">
        <v>42</v>
      </c>
      <c r="C307" s="1" t="s">
        <v>104</v>
      </c>
      <c r="D307" s="1" t="s">
        <v>105</v>
      </c>
      <c r="E307" s="1" t="s">
        <v>104</v>
      </c>
      <c r="F307" s="1" t="s">
        <v>151</v>
      </c>
      <c r="G307" s="1" t="s">
        <v>851</v>
      </c>
      <c r="H307" s="1" t="s">
        <v>852</v>
      </c>
      <c r="I307" s="1" t="s">
        <v>49</v>
      </c>
      <c r="J307" s="1" t="s">
        <v>48</v>
      </c>
      <c r="K307" s="1">
        <v>96</v>
      </c>
      <c r="L307" s="1">
        <v>0</v>
      </c>
      <c r="M307" s="1">
        <v>0</v>
      </c>
      <c r="N307" s="1">
        <v>96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 t="s">
        <v>49</v>
      </c>
      <c r="AA307" s="1" t="s">
        <v>49</v>
      </c>
      <c r="AB307" s="1" t="s">
        <v>49</v>
      </c>
      <c r="AC307" s="1" t="s">
        <v>154</v>
      </c>
      <c r="AD307" s="1" t="s">
        <v>155</v>
      </c>
      <c r="AE307" s="1" t="s">
        <v>154</v>
      </c>
      <c r="AF307" s="1" t="s">
        <v>111</v>
      </c>
      <c r="AG307" s="1" t="s">
        <v>53</v>
      </c>
      <c r="AH307" s="1" t="s">
        <v>49</v>
      </c>
      <c r="AI307" s="1" t="s">
        <v>54</v>
      </c>
      <c r="AJ307" s="1">
        <v>1</v>
      </c>
      <c r="AK307" s="1" t="str">
        <f t="shared" si="4"/>
        <v xml:space="preserve"> =&lt;90</v>
      </c>
      <c r="AL307" s="1" t="str">
        <f>VLOOKUP(C:C,[1]基础信息!B$1:D$65536,3,0)</f>
        <v>Jug</v>
      </c>
      <c r="AM307" s="1" t="str">
        <f>VLOOKUP(C:C,[1]基础信息!B$1:E$65536,4,0)</f>
        <v>Marella XL</v>
      </c>
      <c r="AN307" s="1" t="str">
        <f>VLOOKUP(C:C,[1]基础信息!B$1:F$65536,5,0)</f>
        <v>Blue</v>
      </c>
    </row>
    <row r="308" spans="1:40">
      <c r="A308" s="1" t="s">
        <v>41</v>
      </c>
      <c r="B308" s="1" t="s">
        <v>42</v>
      </c>
      <c r="C308" s="1" t="s">
        <v>104</v>
      </c>
      <c r="D308" s="1" t="s">
        <v>105</v>
      </c>
      <c r="E308" s="1" t="s">
        <v>104</v>
      </c>
      <c r="F308" s="1" t="s">
        <v>151</v>
      </c>
      <c r="G308" s="1" t="s">
        <v>853</v>
      </c>
      <c r="H308" s="1" t="s">
        <v>854</v>
      </c>
      <c r="I308" s="1" t="s">
        <v>49</v>
      </c>
      <c r="J308" s="1" t="s">
        <v>48</v>
      </c>
      <c r="K308" s="1">
        <v>96</v>
      </c>
      <c r="L308" s="1">
        <v>0</v>
      </c>
      <c r="M308" s="1">
        <v>0</v>
      </c>
      <c r="N308" s="1">
        <v>96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 t="s">
        <v>49</v>
      </c>
      <c r="AA308" s="1" t="s">
        <v>49</v>
      </c>
      <c r="AB308" s="1" t="s">
        <v>49</v>
      </c>
      <c r="AC308" s="1" t="s">
        <v>154</v>
      </c>
      <c r="AD308" s="1" t="s">
        <v>155</v>
      </c>
      <c r="AE308" s="1" t="s">
        <v>154</v>
      </c>
      <c r="AF308" s="1" t="s">
        <v>111</v>
      </c>
      <c r="AG308" s="1" t="s">
        <v>53</v>
      </c>
      <c r="AH308" s="1" t="s">
        <v>49</v>
      </c>
      <c r="AI308" s="1" t="s">
        <v>54</v>
      </c>
      <c r="AJ308" s="1">
        <v>1</v>
      </c>
      <c r="AK308" s="1" t="str">
        <f t="shared" si="4"/>
        <v xml:space="preserve"> =&lt;90</v>
      </c>
      <c r="AL308" s="1" t="str">
        <f>VLOOKUP(C:C,[1]基础信息!B$1:D$65536,3,0)</f>
        <v>Jug</v>
      </c>
      <c r="AM308" s="1" t="str">
        <f>VLOOKUP(C:C,[1]基础信息!B$1:E$65536,4,0)</f>
        <v>Marella XL</v>
      </c>
      <c r="AN308" s="1" t="str">
        <f>VLOOKUP(C:C,[1]基础信息!B$1:F$65536,5,0)</f>
        <v>Blue</v>
      </c>
    </row>
    <row r="309" spans="1:40">
      <c r="A309" s="1" t="s">
        <v>41</v>
      </c>
      <c r="B309" s="1" t="s">
        <v>42</v>
      </c>
      <c r="C309" s="1" t="s">
        <v>813</v>
      </c>
      <c r="D309" s="1" t="s">
        <v>814</v>
      </c>
      <c r="E309" s="1" t="s">
        <v>45</v>
      </c>
      <c r="F309" s="1" t="s">
        <v>815</v>
      </c>
      <c r="G309" s="1" t="s">
        <v>855</v>
      </c>
      <c r="H309" s="1" t="s">
        <v>856</v>
      </c>
      <c r="I309" s="1" t="s">
        <v>49</v>
      </c>
      <c r="J309" s="1" t="s">
        <v>48</v>
      </c>
      <c r="K309" s="1">
        <v>80</v>
      </c>
      <c r="L309" s="1">
        <v>0</v>
      </c>
      <c r="M309" s="1">
        <v>0</v>
      </c>
      <c r="N309" s="1">
        <v>80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 t="s">
        <v>49</v>
      </c>
      <c r="AA309" s="1" t="s">
        <v>49</v>
      </c>
      <c r="AB309" s="1" t="s">
        <v>49</v>
      </c>
      <c r="AC309" s="1" t="s">
        <v>818</v>
      </c>
      <c r="AD309" s="1" t="s">
        <v>819</v>
      </c>
      <c r="AE309" s="1" t="s">
        <v>818</v>
      </c>
      <c r="AF309" s="1" t="s">
        <v>820</v>
      </c>
      <c r="AG309" s="1" t="s">
        <v>53</v>
      </c>
      <c r="AH309" s="1" t="s">
        <v>49</v>
      </c>
      <c r="AI309" s="1" t="s">
        <v>54</v>
      </c>
      <c r="AJ309" s="1">
        <v>1</v>
      </c>
      <c r="AK309" s="1" t="str">
        <f t="shared" si="4"/>
        <v xml:space="preserve"> =&lt;90</v>
      </c>
      <c r="AL309" s="1" t="str">
        <f>VLOOKUP(C:C,[1]基础信息!B$1:D$65536,3,0)</f>
        <v>Jug</v>
      </c>
      <c r="AM309" s="1" t="str">
        <f>VLOOKUP(C:C,[1]基础信息!B$1:E$65536,4,0)</f>
        <v>Mxplus</v>
      </c>
      <c r="AN309" s="1" t="str">
        <f>VLOOKUP(C:C,[1]基础信息!B$1:F$65536,5,0)</f>
        <v>Blue</v>
      </c>
    </row>
    <row r="310" spans="1:40">
      <c r="A310" s="1" t="s">
        <v>41</v>
      </c>
      <c r="B310" s="1" t="s">
        <v>42</v>
      </c>
      <c r="C310" s="1" t="s">
        <v>813</v>
      </c>
      <c r="D310" s="1" t="s">
        <v>814</v>
      </c>
      <c r="E310" s="1" t="s">
        <v>45</v>
      </c>
      <c r="F310" s="1" t="s">
        <v>815</v>
      </c>
      <c r="G310" s="1" t="s">
        <v>857</v>
      </c>
      <c r="H310" s="1" t="s">
        <v>858</v>
      </c>
      <c r="I310" s="1" t="s">
        <v>49</v>
      </c>
      <c r="J310" s="1" t="s">
        <v>48</v>
      </c>
      <c r="K310" s="1">
        <v>80</v>
      </c>
      <c r="L310" s="1">
        <v>0</v>
      </c>
      <c r="M310" s="1">
        <v>0</v>
      </c>
      <c r="N310" s="1">
        <v>80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 t="s">
        <v>49</v>
      </c>
      <c r="AA310" s="1" t="s">
        <v>49</v>
      </c>
      <c r="AB310" s="1" t="s">
        <v>49</v>
      </c>
      <c r="AC310" s="1" t="s">
        <v>818</v>
      </c>
      <c r="AD310" s="1" t="s">
        <v>819</v>
      </c>
      <c r="AE310" s="1" t="s">
        <v>818</v>
      </c>
      <c r="AF310" s="1" t="s">
        <v>820</v>
      </c>
      <c r="AG310" s="1" t="s">
        <v>53</v>
      </c>
      <c r="AH310" s="1" t="s">
        <v>49</v>
      </c>
      <c r="AI310" s="1" t="s">
        <v>54</v>
      </c>
      <c r="AJ310" s="1">
        <v>1</v>
      </c>
      <c r="AK310" s="1" t="str">
        <f t="shared" si="4"/>
        <v xml:space="preserve"> =&lt;90</v>
      </c>
      <c r="AL310" s="1" t="str">
        <f>VLOOKUP(C:C,[1]基础信息!B$1:D$65536,3,0)</f>
        <v>Jug</v>
      </c>
      <c r="AM310" s="1" t="str">
        <f>VLOOKUP(C:C,[1]基础信息!B$1:E$65536,4,0)</f>
        <v>Mxplus</v>
      </c>
      <c r="AN310" s="1" t="str">
        <f>VLOOKUP(C:C,[1]基础信息!B$1:F$65536,5,0)</f>
        <v>Blue</v>
      </c>
    </row>
    <row r="311" spans="1:40">
      <c r="A311" s="1" t="s">
        <v>41</v>
      </c>
      <c r="B311" s="1" t="s">
        <v>42</v>
      </c>
      <c r="C311" s="1" t="s">
        <v>104</v>
      </c>
      <c r="D311" s="1" t="s">
        <v>105</v>
      </c>
      <c r="E311" s="1" t="s">
        <v>104</v>
      </c>
      <c r="F311" s="1" t="s">
        <v>151</v>
      </c>
      <c r="G311" s="1" t="s">
        <v>859</v>
      </c>
      <c r="H311" s="1" t="s">
        <v>860</v>
      </c>
      <c r="I311" s="1" t="s">
        <v>49</v>
      </c>
      <c r="J311" s="1" t="s">
        <v>48</v>
      </c>
      <c r="K311" s="1">
        <v>96</v>
      </c>
      <c r="L311" s="1">
        <v>0</v>
      </c>
      <c r="M311" s="1">
        <v>0</v>
      </c>
      <c r="N311" s="1">
        <v>96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 t="s">
        <v>49</v>
      </c>
      <c r="AA311" s="1" t="s">
        <v>49</v>
      </c>
      <c r="AB311" s="1" t="s">
        <v>49</v>
      </c>
      <c r="AC311" s="1" t="s">
        <v>154</v>
      </c>
      <c r="AD311" s="1" t="s">
        <v>155</v>
      </c>
      <c r="AE311" s="1" t="s">
        <v>154</v>
      </c>
      <c r="AF311" s="1" t="s">
        <v>111</v>
      </c>
      <c r="AG311" s="1" t="s">
        <v>53</v>
      </c>
      <c r="AH311" s="1" t="s">
        <v>49</v>
      </c>
      <c r="AI311" s="1" t="s">
        <v>54</v>
      </c>
      <c r="AJ311" s="1">
        <v>1</v>
      </c>
      <c r="AK311" s="1" t="str">
        <f t="shared" si="4"/>
        <v xml:space="preserve"> =&lt;90</v>
      </c>
      <c r="AL311" s="1" t="str">
        <f>VLOOKUP(C:C,[1]基础信息!B$1:D$65536,3,0)</f>
        <v>Jug</v>
      </c>
      <c r="AM311" s="1" t="str">
        <f>VLOOKUP(C:C,[1]基础信息!B$1:E$65536,4,0)</f>
        <v>Marella XL</v>
      </c>
      <c r="AN311" s="1" t="str">
        <f>VLOOKUP(C:C,[1]基础信息!B$1:F$65536,5,0)</f>
        <v>Blue</v>
      </c>
    </row>
    <row r="312" spans="1:40">
      <c r="A312" s="1" t="s">
        <v>41</v>
      </c>
      <c r="B312" s="1" t="s">
        <v>42</v>
      </c>
      <c r="C312" s="1" t="s">
        <v>813</v>
      </c>
      <c r="D312" s="1" t="s">
        <v>814</v>
      </c>
      <c r="E312" s="1" t="s">
        <v>45</v>
      </c>
      <c r="F312" s="1" t="s">
        <v>815</v>
      </c>
      <c r="G312" s="1" t="s">
        <v>861</v>
      </c>
      <c r="H312" s="1" t="s">
        <v>862</v>
      </c>
      <c r="I312" s="1" t="s">
        <v>49</v>
      </c>
      <c r="J312" s="1" t="s">
        <v>48</v>
      </c>
      <c r="K312" s="1">
        <v>80</v>
      </c>
      <c r="L312" s="1">
        <v>0</v>
      </c>
      <c r="M312" s="1">
        <v>0</v>
      </c>
      <c r="N312" s="1">
        <v>80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 t="s">
        <v>49</v>
      </c>
      <c r="AA312" s="1" t="s">
        <v>49</v>
      </c>
      <c r="AB312" s="1" t="s">
        <v>49</v>
      </c>
      <c r="AC312" s="1" t="s">
        <v>818</v>
      </c>
      <c r="AD312" s="1" t="s">
        <v>819</v>
      </c>
      <c r="AE312" s="1" t="s">
        <v>818</v>
      </c>
      <c r="AF312" s="1" t="s">
        <v>820</v>
      </c>
      <c r="AG312" s="1" t="s">
        <v>53</v>
      </c>
      <c r="AH312" s="1" t="s">
        <v>49</v>
      </c>
      <c r="AI312" s="1" t="s">
        <v>54</v>
      </c>
      <c r="AJ312" s="1">
        <v>1</v>
      </c>
      <c r="AK312" s="1" t="str">
        <f t="shared" si="4"/>
        <v xml:space="preserve"> =&lt;90</v>
      </c>
      <c r="AL312" s="1" t="str">
        <f>VLOOKUP(C:C,[1]基础信息!B$1:D$65536,3,0)</f>
        <v>Jug</v>
      </c>
      <c r="AM312" s="1" t="str">
        <f>VLOOKUP(C:C,[1]基础信息!B$1:E$65536,4,0)</f>
        <v>Mxplus</v>
      </c>
      <c r="AN312" s="1" t="str">
        <f>VLOOKUP(C:C,[1]基础信息!B$1:F$65536,5,0)</f>
        <v>Blue</v>
      </c>
    </row>
    <row r="313" spans="1:40">
      <c r="A313" s="1" t="s">
        <v>41</v>
      </c>
      <c r="B313" s="1" t="s">
        <v>42</v>
      </c>
      <c r="C313" s="1" t="s">
        <v>554</v>
      </c>
      <c r="D313" s="1" t="s">
        <v>555</v>
      </c>
      <c r="E313" s="1" t="s">
        <v>45</v>
      </c>
      <c r="F313" s="1" t="s">
        <v>863</v>
      </c>
      <c r="G313" s="1" t="s">
        <v>864</v>
      </c>
      <c r="H313" s="1" t="s">
        <v>865</v>
      </c>
      <c r="I313" s="1" t="s">
        <v>49</v>
      </c>
      <c r="J313" s="1" t="s">
        <v>48</v>
      </c>
      <c r="K313" s="1">
        <v>70</v>
      </c>
      <c r="L313" s="1">
        <v>0</v>
      </c>
      <c r="M313" s="1">
        <v>0</v>
      </c>
      <c r="N313" s="1">
        <v>70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 t="s">
        <v>49</v>
      </c>
      <c r="AA313" s="1" t="s">
        <v>49</v>
      </c>
      <c r="AB313" s="1" t="s">
        <v>49</v>
      </c>
      <c r="AC313" s="1" t="s">
        <v>154</v>
      </c>
      <c r="AD313" s="1" t="s">
        <v>155</v>
      </c>
      <c r="AE313" s="1" t="s">
        <v>154</v>
      </c>
      <c r="AF313" s="1" t="s">
        <v>559</v>
      </c>
      <c r="AG313" s="1" t="s">
        <v>53</v>
      </c>
      <c r="AH313" s="1" t="s">
        <v>49</v>
      </c>
      <c r="AI313" s="1" t="s">
        <v>54</v>
      </c>
      <c r="AJ313" s="1">
        <v>1</v>
      </c>
      <c r="AK313" s="1" t="str">
        <f t="shared" si="4"/>
        <v xml:space="preserve"> =&lt;90</v>
      </c>
      <c r="AL313" s="1" t="str">
        <f>VLOOKUP(C:C,[1]基础信息!B$1:D$65536,3,0)</f>
        <v>Jug</v>
      </c>
      <c r="AM313" s="1" t="str">
        <f>VLOOKUP(C:C,[1]基础信息!B$1:E$65536,4,0)</f>
        <v>Green Pack</v>
      </c>
      <c r="AN313" s="1" t="str">
        <f>VLOOKUP(C:C,[1]基础信息!B$1:F$65536,5,0)</f>
        <v>Blue</v>
      </c>
    </row>
    <row r="314" spans="1:40">
      <c r="A314" s="1" t="s">
        <v>41</v>
      </c>
      <c r="B314" s="1" t="s">
        <v>42</v>
      </c>
      <c r="C314" s="1" t="s">
        <v>813</v>
      </c>
      <c r="D314" s="1" t="s">
        <v>814</v>
      </c>
      <c r="E314" s="1" t="s">
        <v>45</v>
      </c>
      <c r="F314" s="1" t="s">
        <v>815</v>
      </c>
      <c r="G314" s="1" t="s">
        <v>866</v>
      </c>
      <c r="H314" s="1" t="s">
        <v>867</v>
      </c>
      <c r="I314" s="1" t="s">
        <v>49</v>
      </c>
      <c r="J314" s="1" t="s">
        <v>48</v>
      </c>
      <c r="K314" s="1">
        <v>80</v>
      </c>
      <c r="L314" s="1">
        <v>0</v>
      </c>
      <c r="M314" s="1">
        <v>0</v>
      </c>
      <c r="N314" s="1">
        <v>80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 t="s">
        <v>49</v>
      </c>
      <c r="AA314" s="1" t="s">
        <v>49</v>
      </c>
      <c r="AB314" s="1" t="s">
        <v>49</v>
      </c>
      <c r="AC314" s="1" t="s">
        <v>818</v>
      </c>
      <c r="AD314" s="1" t="s">
        <v>819</v>
      </c>
      <c r="AE314" s="1" t="s">
        <v>818</v>
      </c>
      <c r="AF314" s="1" t="s">
        <v>820</v>
      </c>
      <c r="AG314" s="1" t="s">
        <v>53</v>
      </c>
      <c r="AH314" s="1" t="s">
        <v>49</v>
      </c>
      <c r="AI314" s="1" t="s">
        <v>54</v>
      </c>
      <c r="AJ314" s="1">
        <v>1</v>
      </c>
      <c r="AK314" s="1" t="str">
        <f t="shared" si="4"/>
        <v xml:space="preserve"> =&lt;90</v>
      </c>
      <c r="AL314" s="1" t="str">
        <f>VLOOKUP(C:C,[1]基础信息!B$1:D$65536,3,0)</f>
        <v>Jug</v>
      </c>
      <c r="AM314" s="1" t="str">
        <f>VLOOKUP(C:C,[1]基础信息!B$1:E$65536,4,0)</f>
        <v>Mxplus</v>
      </c>
      <c r="AN314" s="1" t="str">
        <f>VLOOKUP(C:C,[1]基础信息!B$1:F$65536,5,0)</f>
        <v>Blue</v>
      </c>
    </row>
    <row r="315" spans="1:40">
      <c r="A315" s="1" t="s">
        <v>41</v>
      </c>
      <c r="B315" s="1" t="s">
        <v>42</v>
      </c>
      <c r="C315" s="1" t="s">
        <v>554</v>
      </c>
      <c r="D315" s="1" t="s">
        <v>555</v>
      </c>
      <c r="E315" s="1" t="s">
        <v>45</v>
      </c>
      <c r="F315" s="1" t="s">
        <v>863</v>
      </c>
      <c r="G315" s="1" t="s">
        <v>868</v>
      </c>
      <c r="H315" s="1" t="s">
        <v>869</v>
      </c>
      <c r="I315" s="1" t="s">
        <v>49</v>
      </c>
      <c r="J315" s="1" t="s">
        <v>48</v>
      </c>
      <c r="K315" s="1">
        <v>70</v>
      </c>
      <c r="L315" s="1">
        <v>0</v>
      </c>
      <c r="M315" s="1">
        <v>0</v>
      </c>
      <c r="N315" s="1">
        <v>70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 t="s">
        <v>49</v>
      </c>
      <c r="AA315" s="1" t="s">
        <v>49</v>
      </c>
      <c r="AB315" s="1" t="s">
        <v>49</v>
      </c>
      <c r="AC315" s="1" t="s">
        <v>154</v>
      </c>
      <c r="AD315" s="1" t="s">
        <v>155</v>
      </c>
      <c r="AE315" s="1" t="s">
        <v>154</v>
      </c>
      <c r="AF315" s="1" t="s">
        <v>559</v>
      </c>
      <c r="AG315" s="1" t="s">
        <v>53</v>
      </c>
      <c r="AH315" s="1" t="s">
        <v>49</v>
      </c>
      <c r="AI315" s="1" t="s">
        <v>54</v>
      </c>
      <c r="AJ315" s="1">
        <v>1</v>
      </c>
      <c r="AK315" s="1" t="str">
        <f t="shared" si="4"/>
        <v xml:space="preserve"> =&lt;90</v>
      </c>
      <c r="AL315" s="1" t="str">
        <f>VLOOKUP(C:C,[1]基础信息!B$1:D$65536,3,0)</f>
        <v>Jug</v>
      </c>
      <c r="AM315" s="1" t="str">
        <f>VLOOKUP(C:C,[1]基础信息!B$1:E$65536,4,0)</f>
        <v>Green Pack</v>
      </c>
      <c r="AN315" s="1" t="str">
        <f>VLOOKUP(C:C,[1]基础信息!B$1:F$65536,5,0)</f>
        <v>Blue</v>
      </c>
    </row>
    <row r="316" spans="1:40">
      <c r="A316" s="1" t="s">
        <v>41</v>
      </c>
      <c r="B316" s="1" t="s">
        <v>42</v>
      </c>
      <c r="C316" s="1" t="s">
        <v>813</v>
      </c>
      <c r="D316" s="1" t="s">
        <v>814</v>
      </c>
      <c r="E316" s="1" t="s">
        <v>45</v>
      </c>
      <c r="F316" s="1" t="s">
        <v>815</v>
      </c>
      <c r="G316" s="1" t="s">
        <v>870</v>
      </c>
      <c r="H316" s="1" t="s">
        <v>871</v>
      </c>
      <c r="I316" s="1" t="s">
        <v>49</v>
      </c>
      <c r="J316" s="1" t="s">
        <v>48</v>
      </c>
      <c r="K316" s="1">
        <v>80</v>
      </c>
      <c r="L316" s="1">
        <v>0</v>
      </c>
      <c r="M316" s="1">
        <v>0</v>
      </c>
      <c r="N316" s="1">
        <v>80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 t="s">
        <v>49</v>
      </c>
      <c r="AA316" s="1" t="s">
        <v>49</v>
      </c>
      <c r="AB316" s="1" t="s">
        <v>49</v>
      </c>
      <c r="AC316" s="1" t="s">
        <v>818</v>
      </c>
      <c r="AD316" s="1" t="s">
        <v>819</v>
      </c>
      <c r="AE316" s="1" t="s">
        <v>818</v>
      </c>
      <c r="AF316" s="1" t="s">
        <v>820</v>
      </c>
      <c r="AG316" s="1" t="s">
        <v>53</v>
      </c>
      <c r="AH316" s="1" t="s">
        <v>49</v>
      </c>
      <c r="AI316" s="1" t="s">
        <v>54</v>
      </c>
      <c r="AJ316" s="1">
        <v>1</v>
      </c>
      <c r="AK316" s="1" t="str">
        <f t="shared" si="4"/>
        <v xml:space="preserve"> =&lt;90</v>
      </c>
      <c r="AL316" s="1" t="str">
        <f>VLOOKUP(C:C,[1]基础信息!B$1:D$65536,3,0)</f>
        <v>Jug</v>
      </c>
      <c r="AM316" s="1" t="str">
        <f>VLOOKUP(C:C,[1]基础信息!B$1:E$65536,4,0)</f>
        <v>Mxplus</v>
      </c>
      <c r="AN316" s="1" t="str">
        <f>VLOOKUP(C:C,[1]基础信息!B$1:F$65536,5,0)</f>
        <v>Blue</v>
      </c>
    </row>
    <row r="317" spans="1:40">
      <c r="A317" s="1" t="s">
        <v>41</v>
      </c>
      <c r="B317" s="1" t="s">
        <v>42</v>
      </c>
      <c r="C317" s="1" t="s">
        <v>554</v>
      </c>
      <c r="D317" s="1" t="s">
        <v>555</v>
      </c>
      <c r="E317" s="1" t="s">
        <v>45</v>
      </c>
      <c r="F317" s="1" t="s">
        <v>863</v>
      </c>
      <c r="G317" s="1" t="s">
        <v>872</v>
      </c>
      <c r="H317" s="1" t="s">
        <v>873</v>
      </c>
      <c r="I317" s="1" t="s">
        <v>49</v>
      </c>
      <c r="J317" s="1" t="s">
        <v>48</v>
      </c>
      <c r="K317" s="1">
        <v>70</v>
      </c>
      <c r="L317" s="1">
        <v>0</v>
      </c>
      <c r="M317" s="1">
        <v>0</v>
      </c>
      <c r="N317" s="1">
        <v>70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 t="s">
        <v>49</v>
      </c>
      <c r="AA317" s="1" t="s">
        <v>49</v>
      </c>
      <c r="AB317" s="1" t="s">
        <v>49</v>
      </c>
      <c r="AC317" s="1" t="s">
        <v>154</v>
      </c>
      <c r="AD317" s="1" t="s">
        <v>155</v>
      </c>
      <c r="AE317" s="1" t="s">
        <v>154</v>
      </c>
      <c r="AF317" s="1" t="s">
        <v>559</v>
      </c>
      <c r="AG317" s="1" t="s">
        <v>53</v>
      </c>
      <c r="AH317" s="1" t="s">
        <v>49</v>
      </c>
      <c r="AI317" s="1" t="s">
        <v>54</v>
      </c>
      <c r="AJ317" s="1">
        <v>1</v>
      </c>
      <c r="AK317" s="1" t="str">
        <f t="shared" si="4"/>
        <v xml:space="preserve"> =&lt;90</v>
      </c>
      <c r="AL317" s="1" t="str">
        <f>VLOOKUP(C:C,[1]基础信息!B$1:D$65536,3,0)</f>
        <v>Jug</v>
      </c>
      <c r="AM317" s="1" t="str">
        <f>VLOOKUP(C:C,[1]基础信息!B$1:E$65536,4,0)</f>
        <v>Green Pack</v>
      </c>
      <c r="AN317" s="1" t="str">
        <f>VLOOKUP(C:C,[1]基础信息!B$1:F$65536,5,0)</f>
        <v>Blue</v>
      </c>
    </row>
    <row r="318" spans="1:40">
      <c r="A318" s="1" t="s">
        <v>41</v>
      </c>
      <c r="B318" s="1" t="s">
        <v>42</v>
      </c>
      <c r="C318" s="1" t="s">
        <v>554</v>
      </c>
      <c r="D318" s="1" t="s">
        <v>555</v>
      </c>
      <c r="E318" s="1" t="s">
        <v>45</v>
      </c>
      <c r="F318" s="1" t="s">
        <v>863</v>
      </c>
      <c r="G318" s="1" t="s">
        <v>874</v>
      </c>
      <c r="H318" s="1" t="s">
        <v>875</v>
      </c>
      <c r="I318" s="1" t="s">
        <v>49</v>
      </c>
      <c r="J318" s="1" t="s">
        <v>48</v>
      </c>
      <c r="K318" s="1">
        <v>70</v>
      </c>
      <c r="L318" s="1">
        <v>0</v>
      </c>
      <c r="M318" s="1">
        <v>0</v>
      </c>
      <c r="N318" s="1">
        <v>70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 t="s">
        <v>49</v>
      </c>
      <c r="AA318" s="1" t="s">
        <v>49</v>
      </c>
      <c r="AB318" s="1" t="s">
        <v>49</v>
      </c>
      <c r="AC318" s="1" t="s">
        <v>154</v>
      </c>
      <c r="AD318" s="1" t="s">
        <v>155</v>
      </c>
      <c r="AE318" s="1" t="s">
        <v>154</v>
      </c>
      <c r="AF318" s="1" t="s">
        <v>559</v>
      </c>
      <c r="AG318" s="1" t="s">
        <v>53</v>
      </c>
      <c r="AH318" s="1" t="s">
        <v>49</v>
      </c>
      <c r="AI318" s="1" t="s">
        <v>54</v>
      </c>
      <c r="AJ318" s="1">
        <v>1</v>
      </c>
      <c r="AK318" s="1" t="str">
        <f t="shared" si="4"/>
        <v xml:space="preserve"> =&lt;90</v>
      </c>
      <c r="AL318" s="1" t="str">
        <f>VLOOKUP(C:C,[1]基础信息!B$1:D$65536,3,0)</f>
        <v>Jug</v>
      </c>
      <c r="AM318" s="1" t="str">
        <f>VLOOKUP(C:C,[1]基础信息!B$1:E$65536,4,0)</f>
        <v>Green Pack</v>
      </c>
      <c r="AN318" s="1" t="str">
        <f>VLOOKUP(C:C,[1]基础信息!B$1:F$65536,5,0)</f>
        <v>Blue</v>
      </c>
    </row>
    <row r="319" spans="1:40">
      <c r="A319" s="1" t="s">
        <v>41</v>
      </c>
      <c r="B319" s="1" t="s">
        <v>42</v>
      </c>
      <c r="C319" s="1" t="s">
        <v>83</v>
      </c>
      <c r="D319" s="1" t="s">
        <v>84</v>
      </c>
      <c r="E319" s="1" t="s">
        <v>45</v>
      </c>
      <c r="F319" s="1" t="s">
        <v>349</v>
      </c>
      <c r="G319" s="1" t="s">
        <v>876</v>
      </c>
      <c r="H319" s="1" t="s">
        <v>877</v>
      </c>
      <c r="I319" s="1" t="s">
        <v>49</v>
      </c>
      <c r="J319" s="1" t="s">
        <v>48</v>
      </c>
      <c r="K319" s="1">
        <v>96</v>
      </c>
      <c r="L319" s="1">
        <v>0</v>
      </c>
      <c r="M319" s="1">
        <v>0</v>
      </c>
      <c r="N319" s="1">
        <v>96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 t="s">
        <v>49</v>
      </c>
      <c r="AA319" s="1" t="s">
        <v>49</v>
      </c>
      <c r="AB319" s="1" t="s">
        <v>49</v>
      </c>
      <c r="AC319" s="1" t="s">
        <v>88</v>
      </c>
      <c r="AD319" s="1" t="s">
        <v>89</v>
      </c>
      <c r="AE319" s="1" t="s">
        <v>88</v>
      </c>
      <c r="AF319" s="1" t="s">
        <v>352</v>
      </c>
      <c r="AG319" s="1" t="s">
        <v>53</v>
      </c>
      <c r="AH319" s="1" t="s">
        <v>49</v>
      </c>
      <c r="AI319" s="1" t="s">
        <v>54</v>
      </c>
      <c r="AJ319" s="1">
        <v>1</v>
      </c>
      <c r="AK319" s="1" t="str">
        <f t="shared" si="4"/>
        <v xml:space="preserve"> =&lt;90</v>
      </c>
      <c r="AL319" s="1" t="str">
        <f>VLOOKUP(C:C,[1]基础信息!B$1:D$65536,3,0)</f>
        <v>Jug</v>
      </c>
      <c r="AM319" s="1" t="str">
        <f>VLOOKUP(C:C,[1]基础信息!B$1:E$65536,4,0)</f>
        <v>Mxplus</v>
      </c>
      <c r="AN319" s="1" t="str">
        <f>VLOOKUP(C:C,[1]基础信息!B$1:F$65536,5,0)</f>
        <v>Blue</v>
      </c>
    </row>
    <row r="320" spans="1:40">
      <c r="A320" s="1" t="s">
        <v>41</v>
      </c>
      <c r="B320" s="1" t="s">
        <v>42</v>
      </c>
      <c r="C320" s="1" t="s">
        <v>83</v>
      </c>
      <c r="D320" s="1" t="s">
        <v>84</v>
      </c>
      <c r="E320" s="1" t="s">
        <v>45</v>
      </c>
      <c r="F320" s="1" t="s">
        <v>349</v>
      </c>
      <c r="G320" s="1" t="s">
        <v>878</v>
      </c>
      <c r="H320" s="1" t="s">
        <v>879</v>
      </c>
      <c r="I320" s="1" t="s">
        <v>49</v>
      </c>
      <c r="J320" s="1" t="s">
        <v>48</v>
      </c>
      <c r="K320" s="1">
        <v>96</v>
      </c>
      <c r="L320" s="1">
        <v>0</v>
      </c>
      <c r="M320" s="1">
        <v>0</v>
      </c>
      <c r="N320" s="1">
        <v>96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 t="s">
        <v>49</v>
      </c>
      <c r="AA320" s="1" t="s">
        <v>49</v>
      </c>
      <c r="AB320" s="1" t="s">
        <v>49</v>
      </c>
      <c r="AC320" s="1" t="s">
        <v>88</v>
      </c>
      <c r="AD320" s="1" t="s">
        <v>89</v>
      </c>
      <c r="AE320" s="1" t="s">
        <v>88</v>
      </c>
      <c r="AF320" s="1" t="s">
        <v>352</v>
      </c>
      <c r="AG320" s="1" t="s">
        <v>53</v>
      </c>
      <c r="AH320" s="1" t="s">
        <v>49</v>
      </c>
      <c r="AI320" s="1" t="s">
        <v>54</v>
      </c>
      <c r="AJ320" s="1">
        <v>1</v>
      </c>
      <c r="AK320" s="1" t="str">
        <f t="shared" si="4"/>
        <v xml:space="preserve"> =&lt;90</v>
      </c>
      <c r="AL320" s="1" t="str">
        <f>VLOOKUP(C:C,[1]基础信息!B$1:D$65536,3,0)</f>
        <v>Jug</v>
      </c>
      <c r="AM320" s="1" t="str">
        <f>VLOOKUP(C:C,[1]基础信息!B$1:E$65536,4,0)</f>
        <v>Mxplus</v>
      </c>
      <c r="AN320" s="1" t="str">
        <f>VLOOKUP(C:C,[1]基础信息!B$1:F$65536,5,0)</f>
        <v>Blue</v>
      </c>
    </row>
    <row r="321" spans="1:40">
      <c r="A321" s="1" t="s">
        <v>41</v>
      </c>
      <c r="B321" s="1" t="s">
        <v>42</v>
      </c>
      <c r="C321" s="1" t="s">
        <v>481</v>
      </c>
      <c r="D321" s="1" t="s">
        <v>482</v>
      </c>
      <c r="E321" s="1" t="s">
        <v>45</v>
      </c>
      <c r="F321" s="1" t="s">
        <v>880</v>
      </c>
      <c r="G321" s="1" t="s">
        <v>881</v>
      </c>
      <c r="H321" s="1" t="s">
        <v>882</v>
      </c>
      <c r="I321" s="1" t="s">
        <v>49</v>
      </c>
      <c r="J321" s="1" t="s">
        <v>48</v>
      </c>
      <c r="K321" s="1">
        <v>156</v>
      </c>
      <c r="L321" s="1">
        <v>0</v>
      </c>
      <c r="M321" s="1">
        <v>0</v>
      </c>
      <c r="N321" s="1">
        <v>156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 t="s">
        <v>49</v>
      </c>
      <c r="AA321" s="1" t="s">
        <v>49</v>
      </c>
      <c r="AB321" s="1" t="s">
        <v>49</v>
      </c>
      <c r="AC321" s="1" t="s">
        <v>883</v>
      </c>
      <c r="AD321" s="1" t="s">
        <v>884</v>
      </c>
      <c r="AE321" s="1" t="s">
        <v>883</v>
      </c>
      <c r="AF321" s="1" t="s">
        <v>488</v>
      </c>
      <c r="AG321" s="1" t="s">
        <v>53</v>
      </c>
      <c r="AH321" s="1" t="s">
        <v>49</v>
      </c>
      <c r="AI321" s="1" t="s">
        <v>54</v>
      </c>
      <c r="AJ321" s="1">
        <v>1</v>
      </c>
      <c r="AK321" s="1" t="str">
        <f t="shared" si="4"/>
        <v xml:space="preserve"> =&lt;90</v>
      </c>
      <c r="AL321" s="1" t="str">
        <f>VLOOKUP(C:C,[1]基础信息!B$1:D$65536,3,0)</f>
        <v>Jug</v>
      </c>
      <c r="AM321" s="1" t="str">
        <f>VLOOKUP(C:C,[1]基础信息!B$1:E$65536,4,0)</f>
        <v>Style COOL</v>
      </c>
      <c r="AN321" s="1" t="str">
        <f>VLOOKUP(C:C,[1]基础信息!B$1:F$65536,5,0)</f>
        <v>Cool Blue</v>
      </c>
    </row>
    <row r="322" spans="1:40">
      <c r="A322" s="1" t="s">
        <v>41</v>
      </c>
      <c r="B322" s="1" t="s">
        <v>42</v>
      </c>
      <c r="C322" s="1" t="s">
        <v>104</v>
      </c>
      <c r="D322" s="1" t="s">
        <v>105</v>
      </c>
      <c r="E322" s="1" t="s">
        <v>104</v>
      </c>
      <c r="F322" s="1" t="s">
        <v>125</v>
      </c>
      <c r="G322" s="1" t="s">
        <v>885</v>
      </c>
      <c r="H322" s="1" t="s">
        <v>886</v>
      </c>
      <c r="I322" s="1" t="s">
        <v>49</v>
      </c>
      <c r="J322" s="1" t="s">
        <v>48</v>
      </c>
      <c r="K322" s="1">
        <v>96</v>
      </c>
      <c r="L322" s="1">
        <v>0</v>
      </c>
      <c r="M322" s="1">
        <v>0</v>
      </c>
      <c r="N322" s="1">
        <v>96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 t="s">
        <v>49</v>
      </c>
      <c r="AA322" s="1" t="s">
        <v>49</v>
      </c>
      <c r="AB322" s="1" t="s">
        <v>49</v>
      </c>
      <c r="AC322" s="1" t="s">
        <v>128</v>
      </c>
      <c r="AD322" s="1" t="s">
        <v>129</v>
      </c>
      <c r="AE322" s="1" t="s">
        <v>128</v>
      </c>
      <c r="AF322" s="1" t="s">
        <v>130</v>
      </c>
      <c r="AG322" s="1" t="s">
        <v>53</v>
      </c>
      <c r="AH322" s="1" t="s">
        <v>49</v>
      </c>
      <c r="AI322" s="1" t="s">
        <v>54</v>
      </c>
      <c r="AJ322" s="1">
        <v>1</v>
      </c>
      <c r="AK322" s="1" t="str">
        <f t="shared" ref="AK322:AK385" si="5">IF(AJ322&gt;$AP$2,$AQ$2,IF(AJ322&gt;$AP$3,$AQ$3,IF(AJ322&gt;$AP$4,$AQ$4,$AQ$5)))</f>
        <v xml:space="preserve"> =&lt;90</v>
      </c>
      <c r="AL322" s="1" t="str">
        <f>VLOOKUP(C:C,[1]基础信息!B$1:D$65536,3,0)</f>
        <v>Jug</v>
      </c>
      <c r="AM322" s="1" t="str">
        <f>VLOOKUP(C:C,[1]基础信息!B$1:E$65536,4,0)</f>
        <v>Marella XL</v>
      </c>
      <c r="AN322" s="1" t="str">
        <f>VLOOKUP(C:C,[1]基础信息!B$1:F$65536,5,0)</f>
        <v>Blue</v>
      </c>
    </row>
    <row r="323" spans="1:40">
      <c r="A323" s="1" t="s">
        <v>41</v>
      </c>
      <c r="B323" s="1" t="s">
        <v>42</v>
      </c>
      <c r="C323" s="1" t="s">
        <v>83</v>
      </c>
      <c r="D323" s="1" t="s">
        <v>84</v>
      </c>
      <c r="E323" s="1" t="s">
        <v>45</v>
      </c>
      <c r="F323" s="1" t="s">
        <v>349</v>
      </c>
      <c r="G323" s="1" t="s">
        <v>887</v>
      </c>
      <c r="H323" s="1" t="s">
        <v>888</v>
      </c>
      <c r="I323" s="1" t="s">
        <v>49</v>
      </c>
      <c r="J323" s="1" t="s">
        <v>48</v>
      </c>
      <c r="K323" s="1">
        <v>96</v>
      </c>
      <c r="L323" s="1">
        <v>0</v>
      </c>
      <c r="M323" s="1">
        <v>0</v>
      </c>
      <c r="N323" s="1">
        <v>96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 t="s">
        <v>49</v>
      </c>
      <c r="AA323" s="1" t="s">
        <v>49</v>
      </c>
      <c r="AB323" s="1" t="s">
        <v>49</v>
      </c>
      <c r="AC323" s="1" t="s">
        <v>88</v>
      </c>
      <c r="AD323" s="1" t="s">
        <v>89</v>
      </c>
      <c r="AE323" s="1" t="s">
        <v>88</v>
      </c>
      <c r="AF323" s="1" t="s">
        <v>352</v>
      </c>
      <c r="AG323" s="1" t="s">
        <v>53</v>
      </c>
      <c r="AH323" s="1" t="s">
        <v>49</v>
      </c>
      <c r="AI323" s="1" t="s">
        <v>54</v>
      </c>
      <c r="AJ323" s="1">
        <v>1</v>
      </c>
      <c r="AK323" s="1" t="str">
        <f t="shared" si="5"/>
        <v xml:space="preserve"> =&lt;90</v>
      </c>
      <c r="AL323" s="1" t="str">
        <f>VLOOKUP(C:C,[1]基础信息!B$1:D$65536,3,0)</f>
        <v>Jug</v>
      </c>
      <c r="AM323" s="1" t="str">
        <f>VLOOKUP(C:C,[1]基础信息!B$1:E$65536,4,0)</f>
        <v>Mxplus</v>
      </c>
      <c r="AN323" s="1" t="str">
        <f>VLOOKUP(C:C,[1]基础信息!B$1:F$65536,5,0)</f>
        <v>Blue</v>
      </c>
    </row>
    <row r="324" spans="1:40">
      <c r="A324" s="1" t="s">
        <v>41</v>
      </c>
      <c r="B324" s="1" t="s">
        <v>42</v>
      </c>
      <c r="C324" s="1" t="s">
        <v>83</v>
      </c>
      <c r="D324" s="1" t="s">
        <v>84</v>
      </c>
      <c r="E324" s="1" t="s">
        <v>45</v>
      </c>
      <c r="F324" s="1" t="s">
        <v>349</v>
      </c>
      <c r="G324" s="1" t="s">
        <v>889</v>
      </c>
      <c r="H324" s="1" t="s">
        <v>890</v>
      </c>
      <c r="I324" s="1" t="s">
        <v>49</v>
      </c>
      <c r="J324" s="1" t="s">
        <v>48</v>
      </c>
      <c r="K324" s="1">
        <v>96</v>
      </c>
      <c r="L324" s="1">
        <v>0</v>
      </c>
      <c r="M324" s="1">
        <v>0</v>
      </c>
      <c r="N324" s="1">
        <v>96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 t="s">
        <v>49</v>
      </c>
      <c r="AA324" s="1" t="s">
        <v>49</v>
      </c>
      <c r="AB324" s="1" t="s">
        <v>49</v>
      </c>
      <c r="AC324" s="1" t="s">
        <v>88</v>
      </c>
      <c r="AD324" s="1" t="s">
        <v>89</v>
      </c>
      <c r="AE324" s="1" t="s">
        <v>88</v>
      </c>
      <c r="AF324" s="1" t="s">
        <v>352</v>
      </c>
      <c r="AG324" s="1" t="s">
        <v>53</v>
      </c>
      <c r="AH324" s="1" t="s">
        <v>49</v>
      </c>
      <c r="AI324" s="1" t="s">
        <v>54</v>
      </c>
      <c r="AJ324" s="1">
        <v>1</v>
      </c>
      <c r="AK324" s="1" t="str">
        <f t="shared" si="5"/>
        <v xml:space="preserve"> =&lt;90</v>
      </c>
      <c r="AL324" s="1" t="str">
        <f>VLOOKUP(C:C,[1]基础信息!B$1:D$65536,3,0)</f>
        <v>Jug</v>
      </c>
      <c r="AM324" s="1" t="str">
        <f>VLOOKUP(C:C,[1]基础信息!B$1:E$65536,4,0)</f>
        <v>Mxplus</v>
      </c>
      <c r="AN324" s="1" t="str">
        <f>VLOOKUP(C:C,[1]基础信息!B$1:F$65536,5,0)</f>
        <v>Blue</v>
      </c>
    </row>
    <row r="325" spans="1:40">
      <c r="A325" s="1" t="s">
        <v>41</v>
      </c>
      <c r="B325" s="1" t="s">
        <v>42</v>
      </c>
      <c r="C325" s="1" t="s">
        <v>43</v>
      </c>
      <c r="D325" s="1" t="s">
        <v>44</v>
      </c>
      <c r="E325" s="1" t="s">
        <v>45</v>
      </c>
      <c r="F325" s="1" t="s">
        <v>46</v>
      </c>
      <c r="G325" s="1" t="s">
        <v>891</v>
      </c>
      <c r="H325" s="1" t="s">
        <v>892</v>
      </c>
      <c r="I325" s="1" t="s">
        <v>49</v>
      </c>
      <c r="J325" s="1" t="s">
        <v>48</v>
      </c>
      <c r="K325" s="1">
        <v>96</v>
      </c>
      <c r="L325" s="1">
        <v>0</v>
      </c>
      <c r="M325" s="1">
        <v>0</v>
      </c>
      <c r="N325" s="1">
        <v>96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 t="s">
        <v>49</v>
      </c>
      <c r="AA325" s="1" t="s">
        <v>49</v>
      </c>
      <c r="AB325" s="1" t="s">
        <v>49</v>
      </c>
      <c r="AC325" s="1" t="s">
        <v>50</v>
      </c>
      <c r="AD325" s="1" t="s">
        <v>51</v>
      </c>
      <c r="AE325" s="1" t="s">
        <v>50</v>
      </c>
      <c r="AF325" s="1" t="s">
        <v>52</v>
      </c>
      <c r="AG325" s="1" t="s">
        <v>53</v>
      </c>
      <c r="AH325" s="1" t="s">
        <v>49</v>
      </c>
      <c r="AI325" s="1" t="s">
        <v>54</v>
      </c>
      <c r="AJ325" s="1">
        <v>1</v>
      </c>
      <c r="AK325" s="1" t="str">
        <f t="shared" si="5"/>
        <v xml:space="preserve"> =&lt;90</v>
      </c>
      <c r="AL325" s="1" t="str">
        <f>VLOOKUP(C:C,[1]基础信息!B$1:D$65536,3,0)</f>
        <v>Jug</v>
      </c>
      <c r="AM325" s="1" t="str">
        <f>VLOOKUP(C:C,[1]基础信息!B$1:E$65536,4,0)</f>
        <v>Marella XL</v>
      </c>
      <c r="AN325" s="1" t="str">
        <f>VLOOKUP(C:C,[1]基础信息!B$1:F$65536,5,0)</f>
        <v>Black</v>
      </c>
    </row>
    <row r="326" spans="1:40">
      <c r="A326" s="1" t="s">
        <v>41</v>
      </c>
      <c r="B326" s="1" t="s">
        <v>42</v>
      </c>
      <c r="C326" s="1" t="s">
        <v>554</v>
      </c>
      <c r="D326" s="1" t="s">
        <v>555</v>
      </c>
      <c r="E326" s="1" t="s">
        <v>45</v>
      </c>
      <c r="F326" s="1" t="s">
        <v>863</v>
      </c>
      <c r="G326" s="1" t="s">
        <v>893</v>
      </c>
      <c r="H326" s="1" t="s">
        <v>894</v>
      </c>
      <c r="I326" s="1" t="s">
        <v>49</v>
      </c>
      <c r="J326" s="1" t="s">
        <v>48</v>
      </c>
      <c r="K326" s="1">
        <v>70</v>
      </c>
      <c r="L326" s="1">
        <v>0</v>
      </c>
      <c r="M326" s="1">
        <v>0</v>
      </c>
      <c r="N326" s="1">
        <v>70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 t="s">
        <v>49</v>
      </c>
      <c r="AA326" s="1" t="s">
        <v>49</v>
      </c>
      <c r="AB326" s="1" t="s">
        <v>49</v>
      </c>
      <c r="AC326" s="1" t="s">
        <v>154</v>
      </c>
      <c r="AD326" s="1" t="s">
        <v>155</v>
      </c>
      <c r="AE326" s="1" t="s">
        <v>154</v>
      </c>
      <c r="AF326" s="1" t="s">
        <v>559</v>
      </c>
      <c r="AG326" s="1" t="s">
        <v>53</v>
      </c>
      <c r="AH326" s="1" t="s">
        <v>49</v>
      </c>
      <c r="AI326" s="1" t="s">
        <v>54</v>
      </c>
      <c r="AJ326" s="1">
        <v>1</v>
      </c>
      <c r="AK326" s="1" t="str">
        <f t="shared" si="5"/>
        <v xml:space="preserve"> =&lt;90</v>
      </c>
      <c r="AL326" s="1" t="str">
        <f>VLOOKUP(C:C,[1]基础信息!B$1:D$65536,3,0)</f>
        <v>Jug</v>
      </c>
      <c r="AM326" s="1" t="str">
        <f>VLOOKUP(C:C,[1]基础信息!B$1:E$65536,4,0)</f>
        <v>Green Pack</v>
      </c>
      <c r="AN326" s="1" t="str">
        <f>VLOOKUP(C:C,[1]基础信息!B$1:F$65536,5,0)</f>
        <v>Blue</v>
      </c>
    </row>
    <row r="327" spans="1:40">
      <c r="A327" s="1" t="s">
        <v>41</v>
      </c>
      <c r="B327" s="1" t="s">
        <v>42</v>
      </c>
      <c r="C327" s="1" t="s">
        <v>554</v>
      </c>
      <c r="D327" s="1" t="s">
        <v>555</v>
      </c>
      <c r="E327" s="1" t="s">
        <v>45</v>
      </c>
      <c r="F327" s="1" t="s">
        <v>556</v>
      </c>
      <c r="G327" s="1" t="s">
        <v>895</v>
      </c>
      <c r="H327" s="1" t="s">
        <v>896</v>
      </c>
      <c r="I327" s="1" t="s">
        <v>49</v>
      </c>
      <c r="J327" s="1" t="s">
        <v>48</v>
      </c>
      <c r="K327" s="1">
        <v>70</v>
      </c>
      <c r="L327" s="1">
        <v>0</v>
      </c>
      <c r="M327" s="1">
        <v>0</v>
      </c>
      <c r="N327" s="1">
        <v>70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 t="s">
        <v>49</v>
      </c>
      <c r="AA327" s="1" t="s">
        <v>49</v>
      </c>
      <c r="AB327" s="1" t="s">
        <v>49</v>
      </c>
      <c r="AC327" s="1" t="s">
        <v>414</v>
      </c>
      <c r="AD327" s="1" t="s">
        <v>415</v>
      </c>
      <c r="AE327" s="1" t="s">
        <v>416</v>
      </c>
      <c r="AF327" s="1" t="s">
        <v>559</v>
      </c>
      <c r="AG327" s="1" t="s">
        <v>53</v>
      </c>
      <c r="AH327" s="1" t="s">
        <v>49</v>
      </c>
      <c r="AI327" s="1" t="s">
        <v>54</v>
      </c>
      <c r="AJ327" s="1">
        <v>1</v>
      </c>
      <c r="AK327" s="1" t="str">
        <f t="shared" si="5"/>
        <v xml:space="preserve"> =&lt;90</v>
      </c>
      <c r="AL327" s="1" t="str">
        <f>VLOOKUP(C:C,[1]基础信息!B$1:D$65536,3,0)</f>
        <v>Jug</v>
      </c>
      <c r="AM327" s="1" t="str">
        <f>VLOOKUP(C:C,[1]基础信息!B$1:E$65536,4,0)</f>
        <v>Green Pack</v>
      </c>
      <c r="AN327" s="1" t="str">
        <f>VLOOKUP(C:C,[1]基础信息!B$1:F$65536,5,0)</f>
        <v>Blue</v>
      </c>
    </row>
    <row r="328" spans="1:40">
      <c r="A328" s="1" t="s">
        <v>41</v>
      </c>
      <c r="B328" s="1" t="s">
        <v>42</v>
      </c>
      <c r="C328" s="1" t="s">
        <v>104</v>
      </c>
      <c r="D328" s="1" t="s">
        <v>105</v>
      </c>
      <c r="E328" s="1" t="s">
        <v>104</v>
      </c>
      <c r="F328" s="1" t="s">
        <v>125</v>
      </c>
      <c r="G328" s="1" t="s">
        <v>897</v>
      </c>
      <c r="H328" s="1" t="s">
        <v>898</v>
      </c>
      <c r="I328" s="1" t="s">
        <v>49</v>
      </c>
      <c r="J328" s="1" t="s">
        <v>48</v>
      </c>
      <c r="K328" s="1">
        <v>96</v>
      </c>
      <c r="L328" s="1">
        <v>0</v>
      </c>
      <c r="M328" s="1">
        <v>0</v>
      </c>
      <c r="N328" s="1">
        <v>96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 t="s">
        <v>49</v>
      </c>
      <c r="AA328" s="1" t="s">
        <v>49</v>
      </c>
      <c r="AB328" s="1" t="s">
        <v>49</v>
      </c>
      <c r="AC328" s="1" t="s">
        <v>128</v>
      </c>
      <c r="AD328" s="1" t="s">
        <v>129</v>
      </c>
      <c r="AE328" s="1" t="s">
        <v>128</v>
      </c>
      <c r="AF328" s="1" t="s">
        <v>130</v>
      </c>
      <c r="AG328" s="1" t="s">
        <v>53</v>
      </c>
      <c r="AH328" s="1" t="s">
        <v>49</v>
      </c>
      <c r="AI328" s="1" t="s">
        <v>54</v>
      </c>
      <c r="AJ328" s="1">
        <v>1</v>
      </c>
      <c r="AK328" s="1" t="str">
        <f t="shared" si="5"/>
        <v xml:space="preserve"> =&lt;90</v>
      </c>
      <c r="AL328" s="1" t="str">
        <f>VLOOKUP(C:C,[1]基础信息!B$1:D$65536,3,0)</f>
        <v>Jug</v>
      </c>
      <c r="AM328" s="1" t="str">
        <f>VLOOKUP(C:C,[1]基础信息!B$1:E$65536,4,0)</f>
        <v>Marella XL</v>
      </c>
      <c r="AN328" s="1" t="str">
        <f>VLOOKUP(C:C,[1]基础信息!B$1:F$65536,5,0)</f>
        <v>Blue</v>
      </c>
    </row>
    <row r="329" spans="1:40">
      <c r="A329" s="1" t="s">
        <v>41</v>
      </c>
      <c r="B329" s="1" t="s">
        <v>42</v>
      </c>
      <c r="C329" s="1" t="s">
        <v>451</v>
      </c>
      <c r="D329" s="1" t="s">
        <v>452</v>
      </c>
      <c r="E329" s="1" t="s">
        <v>45</v>
      </c>
      <c r="F329" s="1" t="s">
        <v>899</v>
      </c>
      <c r="G329" s="1" t="s">
        <v>900</v>
      </c>
      <c r="H329" s="1" t="s">
        <v>901</v>
      </c>
      <c r="I329" s="1" t="s">
        <v>49</v>
      </c>
      <c r="J329" s="1" t="s">
        <v>48</v>
      </c>
      <c r="K329" s="1">
        <v>6</v>
      </c>
      <c r="L329" s="1">
        <v>0</v>
      </c>
      <c r="M329" s="1">
        <v>0</v>
      </c>
      <c r="N329" s="1">
        <v>6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 t="s">
        <v>49</v>
      </c>
      <c r="AA329" s="1" t="s">
        <v>49</v>
      </c>
      <c r="AB329" s="1" t="s">
        <v>49</v>
      </c>
      <c r="AC329" s="1" t="s">
        <v>902</v>
      </c>
      <c r="AD329" s="1" t="s">
        <v>903</v>
      </c>
      <c r="AE329" s="1" t="s">
        <v>902</v>
      </c>
      <c r="AF329" s="1" t="s">
        <v>904</v>
      </c>
      <c r="AG329" s="1" t="s">
        <v>53</v>
      </c>
      <c r="AH329" s="1" t="s">
        <v>49</v>
      </c>
      <c r="AI329" s="1" t="s">
        <v>54</v>
      </c>
      <c r="AJ329" s="1">
        <v>1</v>
      </c>
      <c r="AK329" s="1" t="str">
        <f t="shared" si="5"/>
        <v xml:space="preserve"> =&lt;90</v>
      </c>
      <c r="AL329" s="1" t="str">
        <f>VLOOKUP(C:C,[1]基础信息!B$1:D$65536,3,0)</f>
        <v>UTS</v>
      </c>
      <c r="AM329" s="1" t="str">
        <f>VLOOKUP(C:C,[1]基础信息!B$1:E$65536,4,0)</f>
        <v>MyPure</v>
      </c>
      <c r="AN329" s="1" t="str">
        <f>VLOOKUP(C:C,[1]基础信息!B$1:F$65536,5,0)</f>
        <v>R8</v>
      </c>
    </row>
    <row r="330" spans="1:40">
      <c r="A330" s="1" t="s">
        <v>41</v>
      </c>
      <c r="B330" s="1" t="s">
        <v>42</v>
      </c>
      <c r="C330" s="1" t="s">
        <v>83</v>
      </c>
      <c r="D330" s="1" t="s">
        <v>84</v>
      </c>
      <c r="E330" s="1" t="s">
        <v>45</v>
      </c>
      <c r="F330" s="1" t="s">
        <v>349</v>
      </c>
      <c r="G330" s="1" t="s">
        <v>905</v>
      </c>
      <c r="H330" s="1" t="s">
        <v>906</v>
      </c>
      <c r="I330" s="1" t="s">
        <v>49</v>
      </c>
      <c r="J330" s="1" t="s">
        <v>48</v>
      </c>
      <c r="K330" s="1">
        <v>96</v>
      </c>
      <c r="L330" s="1">
        <v>0</v>
      </c>
      <c r="M330" s="1">
        <v>0</v>
      </c>
      <c r="N330" s="1">
        <v>96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 t="s">
        <v>49</v>
      </c>
      <c r="AA330" s="1" t="s">
        <v>49</v>
      </c>
      <c r="AB330" s="1" t="s">
        <v>49</v>
      </c>
      <c r="AC330" s="1" t="s">
        <v>88</v>
      </c>
      <c r="AD330" s="1" t="s">
        <v>89</v>
      </c>
      <c r="AE330" s="1" t="s">
        <v>88</v>
      </c>
      <c r="AF330" s="1" t="s">
        <v>352</v>
      </c>
      <c r="AG330" s="1" t="s">
        <v>53</v>
      </c>
      <c r="AH330" s="1" t="s">
        <v>49</v>
      </c>
      <c r="AI330" s="1" t="s">
        <v>54</v>
      </c>
      <c r="AJ330" s="1">
        <v>1</v>
      </c>
      <c r="AK330" s="1" t="str">
        <f t="shared" si="5"/>
        <v xml:space="preserve"> =&lt;90</v>
      </c>
      <c r="AL330" s="1" t="str">
        <f>VLOOKUP(C:C,[1]基础信息!B$1:D$65536,3,0)</f>
        <v>Jug</v>
      </c>
      <c r="AM330" s="1" t="str">
        <f>VLOOKUP(C:C,[1]基础信息!B$1:E$65536,4,0)</f>
        <v>Mxplus</v>
      </c>
      <c r="AN330" s="1" t="str">
        <f>VLOOKUP(C:C,[1]基础信息!B$1:F$65536,5,0)</f>
        <v>Blue</v>
      </c>
    </row>
    <row r="331" spans="1:40">
      <c r="A331" s="1" t="s">
        <v>41</v>
      </c>
      <c r="B331" s="1" t="s">
        <v>42</v>
      </c>
      <c r="C331" s="1" t="s">
        <v>451</v>
      </c>
      <c r="D331" s="1" t="s">
        <v>452</v>
      </c>
      <c r="E331" s="1" t="s">
        <v>45</v>
      </c>
      <c r="F331" s="1" t="s">
        <v>899</v>
      </c>
      <c r="G331" s="1" t="s">
        <v>907</v>
      </c>
      <c r="H331" s="1" t="s">
        <v>908</v>
      </c>
      <c r="I331" s="1" t="s">
        <v>49</v>
      </c>
      <c r="J331" s="1" t="s">
        <v>48</v>
      </c>
      <c r="K331" s="1">
        <v>20</v>
      </c>
      <c r="L331" s="1">
        <v>0</v>
      </c>
      <c r="M331" s="1">
        <v>0</v>
      </c>
      <c r="N331" s="1">
        <v>20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 t="s">
        <v>49</v>
      </c>
      <c r="AA331" s="1" t="s">
        <v>49</v>
      </c>
      <c r="AB331" s="1" t="s">
        <v>49</v>
      </c>
      <c r="AC331" s="1" t="s">
        <v>902</v>
      </c>
      <c r="AD331" s="1" t="s">
        <v>903</v>
      </c>
      <c r="AE331" s="1" t="s">
        <v>902</v>
      </c>
      <c r="AF331" s="1" t="s">
        <v>904</v>
      </c>
      <c r="AG331" s="1" t="s">
        <v>53</v>
      </c>
      <c r="AH331" s="1" t="s">
        <v>49</v>
      </c>
      <c r="AI331" s="1" t="s">
        <v>54</v>
      </c>
      <c r="AJ331" s="1">
        <v>1</v>
      </c>
      <c r="AK331" s="1" t="str">
        <f t="shared" si="5"/>
        <v xml:space="preserve"> =&lt;90</v>
      </c>
      <c r="AL331" s="1" t="str">
        <f>VLOOKUP(C:C,[1]基础信息!B$1:D$65536,3,0)</f>
        <v>UTS</v>
      </c>
      <c r="AM331" s="1" t="str">
        <f>VLOOKUP(C:C,[1]基础信息!B$1:E$65536,4,0)</f>
        <v>MyPure</v>
      </c>
      <c r="AN331" s="1" t="str">
        <f>VLOOKUP(C:C,[1]基础信息!B$1:F$65536,5,0)</f>
        <v>R8</v>
      </c>
    </row>
    <row r="332" spans="1:40">
      <c r="A332" s="1" t="s">
        <v>41</v>
      </c>
      <c r="B332" s="1" t="s">
        <v>42</v>
      </c>
      <c r="C332" s="1" t="s">
        <v>451</v>
      </c>
      <c r="D332" s="1" t="s">
        <v>452</v>
      </c>
      <c r="E332" s="1" t="s">
        <v>45</v>
      </c>
      <c r="F332" s="1" t="s">
        <v>899</v>
      </c>
      <c r="G332" s="1" t="s">
        <v>909</v>
      </c>
      <c r="H332" s="1" t="s">
        <v>910</v>
      </c>
      <c r="I332" s="1" t="s">
        <v>49</v>
      </c>
      <c r="J332" s="1" t="s">
        <v>48</v>
      </c>
      <c r="K332" s="1">
        <v>20</v>
      </c>
      <c r="L332" s="1">
        <v>0</v>
      </c>
      <c r="M332" s="1">
        <v>0</v>
      </c>
      <c r="N332" s="1">
        <v>20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 t="s">
        <v>49</v>
      </c>
      <c r="AA332" s="1" t="s">
        <v>49</v>
      </c>
      <c r="AB332" s="1" t="s">
        <v>49</v>
      </c>
      <c r="AC332" s="1" t="s">
        <v>902</v>
      </c>
      <c r="AD332" s="1" t="s">
        <v>903</v>
      </c>
      <c r="AE332" s="1" t="s">
        <v>902</v>
      </c>
      <c r="AF332" s="1" t="s">
        <v>904</v>
      </c>
      <c r="AG332" s="1" t="s">
        <v>53</v>
      </c>
      <c r="AH332" s="1" t="s">
        <v>49</v>
      </c>
      <c r="AI332" s="1" t="s">
        <v>54</v>
      </c>
      <c r="AJ332" s="1">
        <v>1</v>
      </c>
      <c r="AK332" s="1" t="str">
        <f t="shared" si="5"/>
        <v xml:space="preserve"> =&lt;90</v>
      </c>
      <c r="AL332" s="1" t="str">
        <f>VLOOKUP(C:C,[1]基础信息!B$1:D$65536,3,0)</f>
        <v>UTS</v>
      </c>
      <c r="AM332" s="1" t="str">
        <f>VLOOKUP(C:C,[1]基础信息!B$1:E$65536,4,0)</f>
        <v>MyPure</v>
      </c>
      <c r="AN332" s="1" t="str">
        <f>VLOOKUP(C:C,[1]基础信息!B$1:F$65536,5,0)</f>
        <v>R8</v>
      </c>
    </row>
    <row r="333" spans="1:40">
      <c r="A333" s="1" t="s">
        <v>41</v>
      </c>
      <c r="B333" s="1" t="s">
        <v>42</v>
      </c>
      <c r="C333" s="1" t="s">
        <v>451</v>
      </c>
      <c r="D333" s="1" t="s">
        <v>452</v>
      </c>
      <c r="E333" s="1" t="s">
        <v>45</v>
      </c>
      <c r="F333" s="1" t="s">
        <v>899</v>
      </c>
      <c r="G333" s="1" t="s">
        <v>911</v>
      </c>
      <c r="H333" s="1" t="s">
        <v>912</v>
      </c>
      <c r="I333" s="1" t="s">
        <v>49</v>
      </c>
      <c r="J333" s="1" t="s">
        <v>48</v>
      </c>
      <c r="K333" s="1">
        <v>20</v>
      </c>
      <c r="L333" s="1">
        <v>0</v>
      </c>
      <c r="M333" s="1">
        <v>0</v>
      </c>
      <c r="N333" s="1">
        <v>20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 t="s">
        <v>49</v>
      </c>
      <c r="AA333" s="1" t="s">
        <v>49</v>
      </c>
      <c r="AB333" s="1" t="s">
        <v>49</v>
      </c>
      <c r="AC333" s="1" t="s">
        <v>902</v>
      </c>
      <c r="AD333" s="1" t="s">
        <v>903</v>
      </c>
      <c r="AE333" s="1" t="s">
        <v>902</v>
      </c>
      <c r="AF333" s="1" t="s">
        <v>904</v>
      </c>
      <c r="AG333" s="1" t="s">
        <v>53</v>
      </c>
      <c r="AH333" s="1" t="s">
        <v>49</v>
      </c>
      <c r="AI333" s="1" t="s">
        <v>54</v>
      </c>
      <c r="AJ333" s="1">
        <v>1</v>
      </c>
      <c r="AK333" s="1" t="str">
        <f t="shared" si="5"/>
        <v xml:space="preserve"> =&lt;90</v>
      </c>
      <c r="AL333" s="1" t="str">
        <f>VLOOKUP(C:C,[1]基础信息!B$1:D$65536,3,0)</f>
        <v>UTS</v>
      </c>
      <c r="AM333" s="1" t="str">
        <f>VLOOKUP(C:C,[1]基础信息!B$1:E$65536,4,0)</f>
        <v>MyPure</v>
      </c>
      <c r="AN333" s="1" t="str">
        <f>VLOOKUP(C:C,[1]基础信息!B$1:F$65536,5,0)</f>
        <v>R8</v>
      </c>
    </row>
    <row r="334" spans="1:40">
      <c r="A334" s="1" t="s">
        <v>41</v>
      </c>
      <c r="B334" s="1" t="s">
        <v>42</v>
      </c>
      <c r="C334" s="1" t="s">
        <v>83</v>
      </c>
      <c r="D334" s="1" t="s">
        <v>84</v>
      </c>
      <c r="E334" s="1" t="s">
        <v>45</v>
      </c>
      <c r="F334" s="1" t="s">
        <v>349</v>
      </c>
      <c r="G334" s="1" t="s">
        <v>913</v>
      </c>
      <c r="H334" s="1" t="s">
        <v>914</v>
      </c>
      <c r="I334" s="1" t="s">
        <v>49</v>
      </c>
      <c r="J334" s="1" t="s">
        <v>48</v>
      </c>
      <c r="K334" s="1">
        <v>96</v>
      </c>
      <c r="L334" s="1">
        <v>0</v>
      </c>
      <c r="M334" s="1">
        <v>0</v>
      </c>
      <c r="N334" s="1">
        <v>96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 t="s">
        <v>49</v>
      </c>
      <c r="AA334" s="1" t="s">
        <v>49</v>
      </c>
      <c r="AB334" s="1" t="s">
        <v>49</v>
      </c>
      <c r="AC334" s="1" t="s">
        <v>88</v>
      </c>
      <c r="AD334" s="1" t="s">
        <v>89</v>
      </c>
      <c r="AE334" s="1" t="s">
        <v>88</v>
      </c>
      <c r="AF334" s="1" t="s">
        <v>352</v>
      </c>
      <c r="AG334" s="1" t="s">
        <v>53</v>
      </c>
      <c r="AH334" s="1" t="s">
        <v>49</v>
      </c>
      <c r="AI334" s="1" t="s">
        <v>54</v>
      </c>
      <c r="AJ334" s="1">
        <v>1</v>
      </c>
      <c r="AK334" s="1" t="str">
        <f t="shared" si="5"/>
        <v xml:space="preserve"> =&lt;90</v>
      </c>
      <c r="AL334" s="1" t="str">
        <f>VLOOKUP(C:C,[1]基础信息!B$1:D$65536,3,0)</f>
        <v>Jug</v>
      </c>
      <c r="AM334" s="1" t="str">
        <f>VLOOKUP(C:C,[1]基础信息!B$1:E$65536,4,0)</f>
        <v>Mxplus</v>
      </c>
      <c r="AN334" s="1" t="str">
        <f>VLOOKUP(C:C,[1]基础信息!B$1:F$65536,5,0)</f>
        <v>Blue</v>
      </c>
    </row>
    <row r="335" spans="1:40">
      <c r="A335" s="1" t="s">
        <v>41</v>
      </c>
      <c r="B335" s="1" t="s">
        <v>42</v>
      </c>
      <c r="C335" s="1" t="s">
        <v>83</v>
      </c>
      <c r="D335" s="1" t="s">
        <v>84</v>
      </c>
      <c r="E335" s="1" t="s">
        <v>45</v>
      </c>
      <c r="F335" s="1" t="s">
        <v>349</v>
      </c>
      <c r="G335" s="1" t="s">
        <v>915</v>
      </c>
      <c r="H335" s="1" t="s">
        <v>916</v>
      </c>
      <c r="I335" s="1" t="s">
        <v>49</v>
      </c>
      <c r="J335" s="1" t="s">
        <v>48</v>
      </c>
      <c r="K335" s="1">
        <v>96</v>
      </c>
      <c r="L335" s="1">
        <v>0</v>
      </c>
      <c r="M335" s="1">
        <v>0</v>
      </c>
      <c r="N335" s="1">
        <v>96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 t="s">
        <v>49</v>
      </c>
      <c r="AA335" s="1" t="s">
        <v>49</v>
      </c>
      <c r="AB335" s="1" t="s">
        <v>49</v>
      </c>
      <c r="AC335" s="1" t="s">
        <v>88</v>
      </c>
      <c r="AD335" s="1" t="s">
        <v>89</v>
      </c>
      <c r="AE335" s="1" t="s">
        <v>88</v>
      </c>
      <c r="AF335" s="1" t="s">
        <v>352</v>
      </c>
      <c r="AG335" s="1" t="s">
        <v>53</v>
      </c>
      <c r="AH335" s="1" t="s">
        <v>49</v>
      </c>
      <c r="AI335" s="1" t="s">
        <v>54</v>
      </c>
      <c r="AJ335" s="1">
        <v>1</v>
      </c>
      <c r="AK335" s="1" t="str">
        <f t="shared" si="5"/>
        <v xml:space="preserve"> =&lt;90</v>
      </c>
      <c r="AL335" s="1" t="str">
        <f>VLOOKUP(C:C,[1]基础信息!B$1:D$65536,3,0)</f>
        <v>Jug</v>
      </c>
      <c r="AM335" s="1" t="str">
        <f>VLOOKUP(C:C,[1]基础信息!B$1:E$65536,4,0)</f>
        <v>Mxplus</v>
      </c>
      <c r="AN335" s="1" t="str">
        <f>VLOOKUP(C:C,[1]基础信息!B$1:F$65536,5,0)</f>
        <v>Blue</v>
      </c>
    </row>
    <row r="336" spans="1:40">
      <c r="A336" s="1" t="s">
        <v>41</v>
      </c>
      <c r="B336" s="1" t="s">
        <v>42</v>
      </c>
      <c r="C336" s="1" t="s">
        <v>83</v>
      </c>
      <c r="D336" s="1" t="s">
        <v>84</v>
      </c>
      <c r="E336" s="1" t="s">
        <v>45</v>
      </c>
      <c r="F336" s="1" t="s">
        <v>349</v>
      </c>
      <c r="G336" s="1" t="s">
        <v>917</v>
      </c>
      <c r="H336" s="1" t="s">
        <v>918</v>
      </c>
      <c r="I336" s="1" t="s">
        <v>49</v>
      </c>
      <c r="J336" s="1" t="s">
        <v>48</v>
      </c>
      <c r="K336" s="1">
        <v>96</v>
      </c>
      <c r="L336" s="1">
        <v>0</v>
      </c>
      <c r="M336" s="1">
        <v>0</v>
      </c>
      <c r="N336" s="1">
        <v>96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 t="s">
        <v>49</v>
      </c>
      <c r="AA336" s="1" t="s">
        <v>49</v>
      </c>
      <c r="AB336" s="1" t="s">
        <v>49</v>
      </c>
      <c r="AC336" s="1" t="s">
        <v>88</v>
      </c>
      <c r="AD336" s="1" t="s">
        <v>89</v>
      </c>
      <c r="AE336" s="1" t="s">
        <v>88</v>
      </c>
      <c r="AF336" s="1" t="s">
        <v>352</v>
      </c>
      <c r="AG336" s="1" t="s">
        <v>53</v>
      </c>
      <c r="AH336" s="1" t="s">
        <v>49</v>
      </c>
      <c r="AI336" s="1" t="s">
        <v>54</v>
      </c>
      <c r="AJ336" s="1">
        <v>1</v>
      </c>
      <c r="AK336" s="1" t="str">
        <f t="shared" si="5"/>
        <v xml:space="preserve"> =&lt;90</v>
      </c>
      <c r="AL336" s="1" t="str">
        <f>VLOOKUP(C:C,[1]基础信息!B$1:D$65536,3,0)</f>
        <v>Jug</v>
      </c>
      <c r="AM336" s="1" t="str">
        <f>VLOOKUP(C:C,[1]基础信息!B$1:E$65536,4,0)</f>
        <v>Mxplus</v>
      </c>
      <c r="AN336" s="1" t="str">
        <f>VLOOKUP(C:C,[1]基础信息!B$1:F$65536,5,0)</f>
        <v>Blue</v>
      </c>
    </row>
    <row r="337" spans="1:40">
      <c r="A337" s="1" t="s">
        <v>41</v>
      </c>
      <c r="B337" s="1" t="s">
        <v>42</v>
      </c>
      <c r="C337" s="1" t="s">
        <v>83</v>
      </c>
      <c r="D337" s="1" t="s">
        <v>84</v>
      </c>
      <c r="E337" s="1" t="s">
        <v>45</v>
      </c>
      <c r="F337" s="1" t="s">
        <v>349</v>
      </c>
      <c r="G337" s="1" t="s">
        <v>919</v>
      </c>
      <c r="H337" s="1" t="s">
        <v>920</v>
      </c>
      <c r="I337" s="1" t="s">
        <v>49</v>
      </c>
      <c r="J337" s="1" t="s">
        <v>48</v>
      </c>
      <c r="K337" s="1">
        <v>96</v>
      </c>
      <c r="L337" s="1">
        <v>0</v>
      </c>
      <c r="M337" s="1">
        <v>0</v>
      </c>
      <c r="N337" s="1">
        <v>96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 t="s">
        <v>49</v>
      </c>
      <c r="AA337" s="1" t="s">
        <v>49</v>
      </c>
      <c r="AB337" s="1" t="s">
        <v>49</v>
      </c>
      <c r="AC337" s="1" t="s">
        <v>88</v>
      </c>
      <c r="AD337" s="1" t="s">
        <v>89</v>
      </c>
      <c r="AE337" s="1" t="s">
        <v>88</v>
      </c>
      <c r="AF337" s="1" t="s">
        <v>352</v>
      </c>
      <c r="AG337" s="1" t="s">
        <v>53</v>
      </c>
      <c r="AH337" s="1" t="s">
        <v>49</v>
      </c>
      <c r="AI337" s="1" t="s">
        <v>54</v>
      </c>
      <c r="AJ337" s="1">
        <v>1</v>
      </c>
      <c r="AK337" s="1" t="str">
        <f t="shared" si="5"/>
        <v xml:space="preserve"> =&lt;90</v>
      </c>
      <c r="AL337" s="1" t="str">
        <f>VLOOKUP(C:C,[1]基础信息!B$1:D$65536,3,0)</f>
        <v>Jug</v>
      </c>
      <c r="AM337" s="1" t="str">
        <f>VLOOKUP(C:C,[1]基础信息!B$1:E$65536,4,0)</f>
        <v>Mxplus</v>
      </c>
      <c r="AN337" s="1" t="str">
        <f>VLOOKUP(C:C,[1]基础信息!B$1:F$65536,5,0)</f>
        <v>Blue</v>
      </c>
    </row>
    <row r="338" spans="1:40">
      <c r="A338" s="1" t="s">
        <v>41</v>
      </c>
      <c r="B338" s="1" t="s">
        <v>42</v>
      </c>
      <c r="C338" s="1" t="s">
        <v>83</v>
      </c>
      <c r="D338" s="1" t="s">
        <v>84</v>
      </c>
      <c r="E338" s="1" t="s">
        <v>45</v>
      </c>
      <c r="F338" s="1" t="s">
        <v>349</v>
      </c>
      <c r="G338" s="1" t="s">
        <v>921</v>
      </c>
      <c r="H338" s="1" t="s">
        <v>922</v>
      </c>
      <c r="I338" s="1" t="s">
        <v>49</v>
      </c>
      <c r="J338" s="1" t="s">
        <v>48</v>
      </c>
      <c r="K338" s="1">
        <v>96</v>
      </c>
      <c r="L338" s="1">
        <v>0</v>
      </c>
      <c r="M338" s="1">
        <v>0</v>
      </c>
      <c r="N338" s="1">
        <v>96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 t="s">
        <v>49</v>
      </c>
      <c r="AA338" s="1" t="s">
        <v>49</v>
      </c>
      <c r="AB338" s="1" t="s">
        <v>49</v>
      </c>
      <c r="AC338" s="1" t="s">
        <v>88</v>
      </c>
      <c r="AD338" s="1" t="s">
        <v>89</v>
      </c>
      <c r="AE338" s="1" t="s">
        <v>88</v>
      </c>
      <c r="AF338" s="1" t="s">
        <v>352</v>
      </c>
      <c r="AG338" s="1" t="s">
        <v>53</v>
      </c>
      <c r="AH338" s="1" t="s">
        <v>49</v>
      </c>
      <c r="AI338" s="1" t="s">
        <v>54</v>
      </c>
      <c r="AJ338" s="1">
        <v>1</v>
      </c>
      <c r="AK338" s="1" t="str">
        <f t="shared" si="5"/>
        <v xml:space="preserve"> =&lt;90</v>
      </c>
      <c r="AL338" s="1" t="str">
        <f>VLOOKUP(C:C,[1]基础信息!B$1:D$65536,3,0)</f>
        <v>Jug</v>
      </c>
      <c r="AM338" s="1" t="str">
        <f>VLOOKUP(C:C,[1]基础信息!B$1:E$65536,4,0)</f>
        <v>Mxplus</v>
      </c>
      <c r="AN338" s="1" t="str">
        <f>VLOOKUP(C:C,[1]基础信息!B$1:F$65536,5,0)</f>
        <v>Blue</v>
      </c>
    </row>
    <row r="339" spans="1:40">
      <c r="A339" s="1" t="s">
        <v>41</v>
      </c>
      <c r="B339" s="1" t="s">
        <v>42</v>
      </c>
      <c r="C339" s="1" t="s">
        <v>83</v>
      </c>
      <c r="D339" s="1" t="s">
        <v>84</v>
      </c>
      <c r="E339" s="1" t="s">
        <v>45</v>
      </c>
      <c r="F339" s="1" t="s">
        <v>349</v>
      </c>
      <c r="G339" s="1" t="s">
        <v>923</v>
      </c>
      <c r="H339" s="1" t="s">
        <v>924</v>
      </c>
      <c r="I339" s="1" t="s">
        <v>49</v>
      </c>
      <c r="J339" s="1" t="s">
        <v>48</v>
      </c>
      <c r="K339" s="1">
        <v>96</v>
      </c>
      <c r="L339" s="1">
        <v>0</v>
      </c>
      <c r="M339" s="1">
        <v>0</v>
      </c>
      <c r="N339" s="1">
        <v>96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 t="s">
        <v>49</v>
      </c>
      <c r="AA339" s="1" t="s">
        <v>49</v>
      </c>
      <c r="AB339" s="1" t="s">
        <v>49</v>
      </c>
      <c r="AC339" s="1" t="s">
        <v>88</v>
      </c>
      <c r="AD339" s="1" t="s">
        <v>89</v>
      </c>
      <c r="AE339" s="1" t="s">
        <v>88</v>
      </c>
      <c r="AF339" s="1" t="s">
        <v>352</v>
      </c>
      <c r="AG339" s="1" t="s">
        <v>53</v>
      </c>
      <c r="AH339" s="1" t="s">
        <v>49</v>
      </c>
      <c r="AI339" s="1" t="s">
        <v>54</v>
      </c>
      <c r="AJ339" s="1">
        <v>1</v>
      </c>
      <c r="AK339" s="1" t="str">
        <f t="shared" si="5"/>
        <v xml:space="preserve"> =&lt;90</v>
      </c>
      <c r="AL339" s="1" t="str">
        <f>VLOOKUP(C:C,[1]基础信息!B$1:D$65536,3,0)</f>
        <v>Jug</v>
      </c>
      <c r="AM339" s="1" t="str">
        <f>VLOOKUP(C:C,[1]基础信息!B$1:E$65536,4,0)</f>
        <v>Mxplus</v>
      </c>
      <c r="AN339" s="1" t="str">
        <f>VLOOKUP(C:C,[1]基础信息!B$1:F$65536,5,0)</f>
        <v>Blue</v>
      </c>
    </row>
    <row r="340" spans="1:40">
      <c r="A340" s="1" t="s">
        <v>41</v>
      </c>
      <c r="B340" s="1" t="s">
        <v>42</v>
      </c>
      <c r="C340" s="1" t="s">
        <v>83</v>
      </c>
      <c r="D340" s="1" t="s">
        <v>84</v>
      </c>
      <c r="E340" s="1" t="s">
        <v>45</v>
      </c>
      <c r="F340" s="1" t="s">
        <v>349</v>
      </c>
      <c r="G340" s="1" t="s">
        <v>925</v>
      </c>
      <c r="H340" s="1" t="s">
        <v>926</v>
      </c>
      <c r="I340" s="1" t="s">
        <v>49</v>
      </c>
      <c r="J340" s="1" t="s">
        <v>48</v>
      </c>
      <c r="K340" s="1">
        <v>96</v>
      </c>
      <c r="L340" s="1">
        <v>0</v>
      </c>
      <c r="M340" s="1">
        <v>0</v>
      </c>
      <c r="N340" s="1">
        <v>96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 t="s">
        <v>49</v>
      </c>
      <c r="AA340" s="1" t="s">
        <v>49</v>
      </c>
      <c r="AB340" s="1" t="s">
        <v>49</v>
      </c>
      <c r="AC340" s="1" t="s">
        <v>88</v>
      </c>
      <c r="AD340" s="1" t="s">
        <v>89</v>
      </c>
      <c r="AE340" s="1" t="s">
        <v>88</v>
      </c>
      <c r="AF340" s="1" t="s">
        <v>352</v>
      </c>
      <c r="AG340" s="1" t="s">
        <v>53</v>
      </c>
      <c r="AH340" s="1" t="s">
        <v>49</v>
      </c>
      <c r="AI340" s="1" t="s">
        <v>54</v>
      </c>
      <c r="AJ340" s="1">
        <v>1</v>
      </c>
      <c r="AK340" s="1" t="str">
        <f t="shared" si="5"/>
        <v xml:space="preserve"> =&lt;90</v>
      </c>
      <c r="AL340" s="1" t="str">
        <f>VLOOKUP(C:C,[1]基础信息!B$1:D$65536,3,0)</f>
        <v>Jug</v>
      </c>
      <c r="AM340" s="1" t="str">
        <f>VLOOKUP(C:C,[1]基础信息!B$1:E$65536,4,0)</f>
        <v>Mxplus</v>
      </c>
      <c r="AN340" s="1" t="str">
        <f>VLOOKUP(C:C,[1]基础信息!B$1:F$65536,5,0)</f>
        <v>Blue</v>
      </c>
    </row>
    <row r="341" spans="1:40">
      <c r="A341" s="1" t="s">
        <v>41</v>
      </c>
      <c r="B341" s="1" t="s">
        <v>42</v>
      </c>
      <c r="C341" s="1" t="s">
        <v>359</v>
      </c>
      <c r="D341" s="1" t="s">
        <v>360</v>
      </c>
      <c r="E341" s="1" t="s">
        <v>45</v>
      </c>
      <c r="F341" s="1" t="s">
        <v>361</v>
      </c>
      <c r="G341" s="1" t="s">
        <v>927</v>
      </c>
      <c r="H341" s="1" t="s">
        <v>928</v>
      </c>
      <c r="I341" s="1" t="s">
        <v>49</v>
      </c>
      <c r="J341" s="1" t="s">
        <v>48</v>
      </c>
      <c r="K341" s="1">
        <v>95</v>
      </c>
      <c r="L341" s="1">
        <v>0</v>
      </c>
      <c r="M341" s="1">
        <v>0</v>
      </c>
      <c r="N341" s="1">
        <v>95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 t="s">
        <v>49</v>
      </c>
      <c r="AA341" s="1" t="s">
        <v>49</v>
      </c>
      <c r="AB341" s="1" t="s">
        <v>49</v>
      </c>
      <c r="AC341" s="1" t="s">
        <v>364</v>
      </c>
      <c r="AD341" s="1" t="s">
        <v>365</v>
      </c>
      <c r="AE341" s="1" t="s">
        <v>364</v>
      </c>
      <c r="AF341" s="1" t="s">
        <v>366</v>
      </c>
      <c r="AG341" s="1" t="s">
        <v>53</v>
      </c>
      <c r="AH341" s="1" t="s">
        <v>49</v>
      </c>
      <c r="AI341" s="1" t="s">
        <v>54</v>
      </c>
      <c r="AJ341" s="1">
        <v>1</v>
      </c>
      <c r="AK341" s="1" t="str">
        <f t="shared" si="5"/>
        <v xml:space="preserve"> =&lt;90</v>
      </c>
      <c r="AL341" s="1" t="e">
        <f>VLOOKUP(C:C,[1]基础信息!B$1:D$65536,3,0)</f>
        <v>#N/A</v>
      </c>
      <c r="AM341" s="1" t="e">
        <f>VLOOKUP(C:C,[1]基础信息!B$1:E$65536,4,0)</f>
        <v>#N/A</v>
      </c>
      <c r="AN341" s="1" t="e">
        <f>VLOOKUP(C:C,[1]基础信息!B$1:F$65536,5,0)</f>
        <v>#N/A</v>
      </c>
    </row>
    <row r="342" spans="1:40">
      <c r="A342" s="1" t="s">
        <v>41</v>
      </c>
      <c r="B342" s="1" t="s">
        <v>42</v>
      </c>
      <c r="C342" s="1" t="s">
        <v>83</v>
      </c>
      <c r="D342" s="1" t="s">
        <v>84</v>
      </c>
      <c r="E342" s="1" t="s">
        <v>45</v>
      </c>
      <c r="F342" s="1" t="s">
        <v>349</v>
      </c>
      <c r="G342" s="1" t="s">
        <v>929</v>
      </c>
      <c r="H342" s="1" t="s">
        <v>930</v>
      </c>
      <c r="I342" s="1" t="s">
        <v>49</v>
      </c>
      <c r="J342" s="1" t="s">
        <v>48</v>
      </c>
      <c r="K342" s="1">
        <v>96</v>
      </c>
      <c r="L342" s="1">
        <v>0</v>
      </c>
      <c r="M342" s="1">
        <v>0</v>
      </c>
      <c r="N342" s="1">
        <v>96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 t="s">
        <v>49</v>
      </c>
      <c r="AA342" s="1" t="s">
        <v>49</v>
      </c>
      <c r="AB342" s="1" t="s">
        <v>49</v>
      </c>
      <c r="AC342" s="1" t="s">
        <v>88</v>
      </c>
      <c r="AD342" s="1" t="s">
        <v>89</v>
      </c>
      <c r="AE342" s="1" t="s">
        <v>88</v>
      </c>
      <c r="AF342" s="1" t="s">
        <v>352</v>
      </c>
      <c r="AG342" s="1" t="s">
        <v>53</v>
      </c>
      <c r="AH342" s="1" t="s">
        <v>49</v>
      </c>
      <c r="AI342" s="1" t="s">
        <v>54</v>
      </c>
      <c r="AJ342" s="1">
        <v>1</v>
      </c>
      <c r="AK342" s="1" t="str">
        <f t="shared" si="5"/>
        <v xml:space="preserve"> =&lt;90</v>
      </c>
      <c r="AL342" s="1" t="str">
        <f>VLOOKUP(C:C,[1]基础信息!B$1:D$65536,3,0)</f>
        <v>Jug</v>
      </c>
      <c r="AM342" s="1" t="str">
        <f>VLOOKUP(C:C,[1]基础信息!B$1:E$65536,4,0)</f>
        <v>Mxplus</v>
      </c>
      <c r="AN342" s="1" t="str">
        <f>VLOOKUP(C:C,[1]基础信息!B$1:F$65536,5,0)</f>
        <v>Blue</v>
      </c>
    </row>
    <row r="343" spans="1:40">
      <c r="A343" s="1" t="s">
        <v>41</v>
      </c>
      <c r="B343" s="1" t="s">
        <v>42</v>
      </c>
      <c r="C343" s="1" t="s">
        <v>359</v>
      </c>
      <c r="D343" s="1" t="s">
        <v>360</v>
      </c>
      <c r="E343" s="1" t="s">
        <v>45</v>
      </c>
      <c r="F343" s="1" t="s">
        <v>361</v>
      </c>
      <c r="G343" s="1" t="s">
        <v>931</v>
      </c>
      <c r="H343" s="1" t="s">
        <v>932</v>
      </c>
      <c r="I343" s="1" t="s">
        <v>49</v>
      </c>
      <c r="J343" s="1" t="s">
        <v>48</v>
      </c>
      <c r="K343" s="1">
        <v>95</v>
      </c>
      <c r="L343" s="1">
        <v>0</v>
      </c>
      <c r="M343" s="1">
        <v>0</v>
      </c>
      <c r="N343" s="1">
        <v>95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 t="s">
        <v>49</v>
      </c>
      <c r="AA343" s="1" t="s">
        <v>49</v>
      </c>
      <c r="AB343" s="1" t="s">
        <v>49</v>
      </c>
      <c r="AC343" s="1" t="s">
        <v>364</v>
      </c>
      <c r="AD343" s="1" t="s">
        <v>365</v>
      </c>
      <c r="AE343" s="1" t="s">
        <v>364</v>
      </c>
      <c r="AF343" s="1" t="s">
        <v>366</v>
      </c>
      <c r="AG343" s="1" t="s">
        <v>53</v>
      </c>
      <c r="AH343" s="1" t="s">
        <v>49</v>
      </c>
      <c r="AI343" s="1" t="s">
        <v>54</v>
      </c>
      <c r="AJ343" s="1">
        <v>1</v>
      </c>
      <c r="AK343" s="1" t="str">
        <f t="shared" si="5"/>
        <v xml:space="preserve"> =&lt;90</v>
      </c>
      <c r="AL343" s="1" t="e">
        <f>VLOOKUP(C:C,[1]基础信息!B$1:D$65536,3,0)</f>
        <v>#N/A</v>
      </c>
      <c r="AM343" s="1" t="e">
        <f>VLOOKUP(C:C,[1]基础信息!B$1:E$65536,4,0)</f>
        <v>#N/A</v>
      </c>
      <c r="AN343" s="1" t="e">
        <f>VLOOKUP(C:C,[1]基础信息!B$1:F$65536,5,0)</f>
        <v>#N/A</v>
      </c>
    </row>
    <row r="344" spans="1:40">
      <c r="A344" s="1" t="s">
        <v>41</v>
      </c>
      <c r="B344" s="1" t="s">
        <v>42</v>
      </c>
      <c r="C344" s="1" t="s">
        <v>359</v>
      </c>
      <c r="D344" s="1" t="s">
        <v>360</v>
      </c>
      <c r="E344" s="1" t="s">
        <v>45</v>
      </c>
      <c r="F344" s="1" t="s">
        <v>361</v>
      </c>
      <c r="G344" s="1" t="s">
        <v>933</v>
      </c>
      <c r="H344" s="1" t="s">
        <v>934</v>
      </c>
      <c r="I344" s="1" t="s">
        <v>49</v>
      </c>
      <c r="J344" s="1" t="s">
        <v>48</v>
      </c>
      <c r="K344" s="1">
        <v>95</v>
      </c>
      <c r="L344" s="1">
        <v>0</v>
      </c>
      <c r="M344" s="1">
        <v>0</v>
      </c>
      <c r="N344" s="1">
        <v>95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 t="s">
        <v>49</v>
      </c>
      <c r="AA344" s="1" t="s">
        <v>49</v>
      </c>
      <c r="AB344" s="1" t="s">
        <v>49</v>
      </c>
      <c r="AC344" s="1" t="s">
        <v>364</v>
      </c>
      <c r="AD344" s="1" t="s">
        <v>365</v>
      </c>
      <c r="AE344" s="1" t="s">
        <v>364</v>
      </c>
      <c r="AF344" s="1" t="s">
        <v>366</v>
      </c>
      <c r="AG344" s="1" t="s">
        <v>53</v>
      </c>
      <c r="AH344" s="1" t="s">
        <v>49</v>
      </c>
      <c r="AI344" s="1" t="s">
        <v>54</v>
      </c>
      <c r="AJ344" s="1">
        <v>1</v>
      </c>
      <c r="AK344" s="1" t="str">
        <f t="shared" si="5"/>
        <v xml:space="preserve"> =&lt;90</v>
      </c>
      <c r="AL344" s="1" t="e">
        <f>VLOOKUP(C:C,[1]基础信息!B$1:D$65536,3,0)</f>
        <v>#N/A</v>
      </c>
      <c r="AM344" s="1" t="e">
        <f>VLOOKUP(C:C,[1]基础信息!B$1:E$65536,4,0)</f>
        <v>#N/A</v>
      </c>
      <c r="AN344" s="1" t="e">
        <f>VLOOKUP(C:C,[1]基础信息!B$1:F$65536,5,0)</f>
        <v>#N/A</v>
      </c>
    </row>
    <row r="345" spans="1:40">
      <c r="A345" s="1" t="s">
        <v>41</v>
      </c>
      <c r="B345" s="1" t="s">
        <v>42</v>
      </c>
      <c r="C345" s="1" t="s">
        <v>554</v>
      </c>
      <c r="D345" s="1" t="s">
        <v>555</v>
      </c>
      <c r="E345" s="1" t="s">
        <v>45</v>
      </c>
      <c r="F345" s="1" t="s">
        <v>935</v>
      </c>
      <c r="G345" s="1" t="s">
        <v>936</v>
      </c>
      <c r="H345" s="1" t="s">
        <v>937</v>
      </c>
      <c r="I345" s="1" t="s">
        <v>49</v>
      </c>
      <c r="J345" s="1" t="s">
        <v>48</v>
      </c>
      <c r="K345" s="1">
        <v>70</v>
      </c>
      <c r="L345" s="1">
        <v>0</v>
      </c>
      <c r="M345" s="1">
        <v>0</v>
      </c>
      <c r="N345" s="1">
        <v>70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 t="s">
        <v>49</v>
      </c>
      <c r="AA345" s="1" t="s">
        <v>49</v>
      </c>
      <c r="AB345" s="1" t="s">
        <v>49</v>
      </c>
      <c r="AC345" s="1" t="s">
        <v>938</v>
      </c>
      <c r="AD345" s="1" t="s">
        <v>939</v>
      </c>
      <c r="AE345" s="1" t="s">
        <v>938</v>
      </c>
      <c r="AF345" s="1" t="s">
        <v>940</v>
      </c>
      <c r="AG345" s="1" t="s">
        <v>53</v>
      </c>
      <c r="AH345" s="1" t="s">
        <v>49</v>
      </c>
      <c r="AI345" s="1" t="s">
        <v>54</v>
      </c>
      <c r="AJ345" s="1">
        <v>1</v>
      </c>
      <c r="AK345" s="1" t="str">
        <f t="shared" si="5"/>
        <v xml:space="preserve"> =&lt;90</v>
      </c>
      <c r="AL345" s="1" t="str">
        <f>VLOOKUP(C:C,[1]基础信息!B$1:D$65536,3,0)</f>
        <v>Jug</v>
      </c>
      <c r="AM345" s="1" t="str">
        <f>VLOOKUP(C:C,[1]基础信息!B$1:E$65536,4,0)</f>
        <v>Green Pack</v>
      </c>
      <c r="AN345" s="1" t="str">
        <f>VLOOKUP(C:C,[1]基础信息!B$1:F$65536,5,0)</f>
        <v>Blue</v>
      </c>
    </row>
    <row r="346" spans="1:40">
      <c r="A346" s="1" t="s">
        <v>41</v>
      </c>
      <c r="B346" s="1" t="s">
        <v>42</v>
      </c>
      <c r="C346" s="1" t="s">
        <v>359</v>
      </c>
      <c r="D346" s="1" t="s">
        <v>360</v>
      </c>
      <c r="E346" s="1" t="s">
        <v>45</v>
      </c>
      <c r="F346" s="1" t="s">
        <v>361</v>
      </c>
      <c r="G346" s="1" t="s">
        <v>941</v>
      </c>
      <c r="H346" s="1" t="s">
        <v>942</v>
      </c>
      <c r="I346" s="1" t="s">
        <v>49</v>
      </c>
      <c r="J346" s="1" t="s">
        <v>48</v>
      </c>
      <c r="K346" s="1">
        <v>95</v>
      </c>
      <c r="L346" s="1">
        <v>0</v>
      </c>
      <c r="M346" s="1">
        <v>0</v>
      </c>
      <c r="N346" s="1">
        <v>95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 t="s">
        <v>49</v>
      </c>
      <c r="AA346" s="1" t="s">
        <v>49</v>
      </c>
      <c r="AB346" s="1" t="s">
        <v>49</v>
      </c>
      <c r="AC346" s="1" t="s">
        <v>364</v>
      </c>
      <c r="AD346" s="1" t="s">
        <v>365</v>
      </c>
      <c r="AE346" s="1" t="s">
        <v>364</v>
      </c>
      <c r="AF346" s="1" t="s">
        <v>366</v>
      </c>
      <c r="AG346" s="1" t="s">
        <v>53</v>
      </c>
      <c r="AH346" s="1" t="s">
        <v>49</v>
      </c>
      <c r="AI346" s="1" t="s">
        <v>54</v>
      </c>
      <c r="AJ346" s="1">
        <v>1</v>
      </c>
      <c r="AK346" s="1" t="str">
        <f t="shared" si="5"/>
        <v xml:space="preserve"> =&lt;90</v>
      </c>
      <c r="AL346" s="1" t="e">
        <f>VLOOKUP(C:C,[1]基础信息!B$1:D$65536,3,0)</f>
        <v>#N/A</v>
      </c>
      <c r="AM346" s="1" t="e">
        <f>VLOOKUP(C:C,[1]基础信息!B$1:E$65536,4,0)</f>
        <v>#N/A</v>
      </c>
      <c r="AN346" s="1" t="e">
        <f>VLOOKUP(C:C,[1]基础信息!B$1:F$65536,5,0)</f>
        <v>#N/A</v>
      </c>
    </row>
    <row r="347" spans="1:40">
      <c r="A347" s="1" t="s">
        <v>41</v>
      </c>
      <c r="B347" s="1" t="s">
        <v>42</v>
      </c>
      <c r="C347" s="1" t="s">
        <v>943</v>
      </c>
      <c r="D347" s="1" t="s">
        <v>944</v>
      </c>
      <c r="E347" s="1" t="s">
        <v>943</v>
      </c>
      <c r="F347" s="1" t="s">
        <v>945</v>
      </c>
      <c r="G347" s="1" t="s">
        <v>946</v>
      </c>
      <c r="H347" s="1" t="s">
        <v>947</v>
      </c>
      <c r="I347" s="1" t="s">
        <v>45</v>
      </c>
      <c r="J347" s="1" t="s">
        <v>48</v>
      </c>
      <c r="K347" s="1">
        <v>1</v>
      </c>
      <c r="L347" s="1">
        <v>0</v>
      </c>
      <c r="M347" s="1">
        <v>0</v>
      </c>
      <c r="N347" s="1">
        <v>1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 t="s">
        <v>49</v>
      </c>
      <c r="AA347" s="1" t="s">
        <v>49</v>
      </c>
      <c r="AB347" s="1" t="s">
        <v>49</v>
      </c>
      <c r="AC347" s="1" t="s">
        <v>948</v>
      </c>
      <c r="AD347" s="1" t="s">
        <v>949</v>
      </c>
      <c r="AE347" s="1" t="s">
        <v>948</v>
      </c>
      <c r="AF347" s="1" t="s">
        <v>950</v>
      </c>
      <c r="AG347" s="1" t="s">
        <v>338</v>
      </c>
      <c r="AH347" s="1" t="s">
        <v>49</v>
      </c>
      <c r="AI347" s="1" t="s">
        <v>54</v>
      </c>
      <c r="AJ347" s="1">
        <v>1</v>
      </c>
      <c r="AK347" s="1" t="str">
        <f t="shared" si="5"/>
        <v xml:space="preserve"> =&lt;90</v>
      </c>
      <c r="AL347" s="1" t="str">
        <f>VLOOKUP(C:C,[1]基础信息!B$1:D$65536,3,0)</f>
        <v>Jug</v>
      </c>
      <c r="AM347" s="1" t="str">
        <f>VLOOKUP(C:C,[1]基础信息!B$1:E$65536,4,0)</f>
        <v>Fun</v>
      </c>
      <c r="AN347" s="1" t="str">
        <f>VLOOKUP(C:C,[1]基础信息!B$1:F$65536,5,0)</f>
        <v>Pink</v>
      </c>
    </row>
    <row r="348" spans="1:40">
      <c r="A348" s="1" t="s">
        <v>41</v>
      </c>
      <c r="B348" s="1" t="s">
        <v>42</v>
      </c>
      <c r="C348" s="1" t="s">
        <v>208</v>
      </c>
      <c r="D348" s="1" t="s">
        <v>209</v>
      </c>
      <c r="E348" s="1" t="s">
        <v>208</v>
      </c>
      <c r="F348" s="1" t="s">
        <v>210</v>
      </c>
      <c r="G348" s="1" t="s">
        <v>951</v>
      </c>
      <c r="H348" s="1" t="s">
        <v>952</v>
      </c>
      <c r="I348" s="1" t="s">
        <v>49</v>
      </c>
      <c r="J348" s="1" t="s">
        <v>48</v>
      </c>
      <c r="K348" s="1">
        <v>80</v>
      </c>
      <c r="L348" s="1">
        <v>0</v>
      </c>
      <c r="M348" s="1">
        <v>0</v>
      </c>
      <c r="N348" s="1">
        <v>80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 t="s">
        <v>49</v>
      </c>
      <c r="AA348" s="1" t="s">
        <v>49</v>
      </c>
      <c r="AB348" s="1" t="s">
        <v>49</v>
      </c>
      <c r="AC348" s="1" t="s">
        <v>213</v>
      </c>
      <c r="AD348" s="1" t="s">
        <v>214</v>
      </c>
      <c r="AE348" s="1" t="s">
        <v>215</v>
      </c>
      <c r="AF348" s="1" t="s">
        <v>216</v>
      </c>
      <c r="AG348" s="1" t="s">
        <v>53</v>
      </c>
      <c r="AH348" s="1" t="s">
        <v>49</v>
      </c>
      <c r="AI348" s="1" t="s">
        <v>54</v>
      </c>
      <c r="AJ348" s="1">
        <v>1</v>
      </c>
      <c r="AK348" s="1" t="str">
        <f t="shared" si="5"/>
        <v xml:space="preserve"> =&lt;90</v>
      </c>
      <c r="AL348" s="1" t="str">
        <f>VLOOKUP(C:C,[1]基础信息!B$1:D$65536,3,0)</f>
        <v>Jug</v>
      </c>
      <c r="AM348" s="1" t="str">
        <f>VLOOKUP(C:C,[1]基础信息!B$1:E$65536,4,0)</f>
        <v>MXpl</v>
      </c>
      <c r="AN348" s="1" t="str">
        <f>VLOOKUP(C:C,[1]基础信息!B$1:F$65536,5,0)</f>
        <v>grey</v>
      </c>
    </row>
    <row r="349" spans="1:40">
      <c r="A349" s="1" t="s">
        <v>41</v>
      </c>
      <c r="B349" s="1" t="s">
        <v>42</v>
      </c>
      <c r="C349" s="1" t="s">
        <v>83</v>
      </c>
      <c r="D349" s="1" t="s">
        <v>84</v>
      </c>
      <c r="E349" s="1" t="s">
        <v>45</v>
      </c>
      <c r="F349" s="1" t="s">
        <v>349</v>
      </c>
      <c r="G349" s="1" t="s">
        <v>953</v>
      </c>
      <c r="H349" s="1" t="s">
        <v>954</v>
      </c>
      <c r="I349" s="1" t="s">
        <v>49</v>
      </c>
      <c r="J349" s="1" t="s">
        <v>48</v>
      </c>
      <c r="K349" s="1">
        <v>96</v>
      </c>
      <c r="L349" s="1">
        <v>0</v>
      </c>
      <c r="M349" s="1">
        <v>0</v>
      </c>
      <c r="N349" s="1">
        <v>96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 t="s">
        <v>49</v>
      </c>
      <c r="AA349" s="1" t="s">
        <v>49</v>
      </c>
      <c r="AB349" s="1" t="s">
        <v>49</v>
      </c>
      <c r="AC349" s="1" t="s">
        <v>88</v>
      </c>
      <c r="AD349" s="1" t="s">
        <v>89</v>
      </c>
      <c r="AE349" s="1" t="s">
        <v>88</v>
      </c>
      <c r="AF349" s="1" t="s">
        <v>352</v>
      </c>
      <c r="AG349" s="1" t="s">
        <v>53</v>
      </c>
      <c r="AH349" s="1" t="s">
        <v>49</v>
      </c>
      <c r="AI349" s="1" t="s">
        <v>54</v>
      </c>
      <c r="AJ349" s="1">
        <v>1</v>
      </c>
      <c r="AK349" s="1" t="str">
        <f t="shared" si="5"/>
        <v xml:space="preserve"> =&lt;90</v>
      </c>
      <c r="AL349" s="1" t="str">
        <f>VLOOKUP(C:C,[1]基础信息!B$1:D$65536,3,0)</f>
        <v>Jug</v>
      </c>
      <c r="AM349" s="1" t="str">
        <f>VLOOKUP(C:C,[1]基础信息!B$1:E$65536,4,0)</f>
        <v>Mxplus</v>
      </c>
      <c r="AN349" s="1" t="str">
        <f>VLOOKUP(C:C,[1]基础信息!B$1:F$65536,5,0)</f>
        <v>Blue</v>
      </c>
    </row>
    <row r="350" spans="1:40">
      <c r="A350" s="1" t="s">
        <v>41</v>
      </c>
      <c r="B350" s="1" t="s">
        <v>42</v>
      </c>
      <c r="C350" s="1" t="s">
        <v>208</v>
      </c>
      <c r="D350" s="1" t="s">
        <v>209</v>
      </c>
      <c r="E350" s="1" t="s">
        <v>208</v>
      </c>
      <c r="F350" s="1" t="s">
        <v>373</v>
      </c>
      <c r="G350" s="1" t="s">
        <v>955</v>
      </c>
      <c r="H350" s="1" t="s">
        <v>956</v>
      </c>
      <c r="I350" s="1" t="s">
        <v>49</v>
      </c>
      <c r="J350" s="1" t="s">
        <v>48</v>
      </c>
      <c r="K350" s="1">
        <v>80</v>
      </c>
      <c r="L350" s="1">
        <v>0</v>
      </c>
      <c r="M350" s="1">
        <v>0</v>
      </c>
      <c r="N350" s="1">
        <v>80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 t="s">
        <v>49</v>
      </c>
      <c r="AA350" s="1" t="s">
        <v>49</v>
      </c>
      <c r="AB350" s="1" t="s">
        <v>49</v>
      </c>
      <c r="AC350" s="1" t="s">
        <v>376</v>
      </c>
      <c r="AD350" s="1" t="s">
        <v>377</v>
      </c>
      <c r="AE350" s="1" t="s">
        <v>376</v>
      </c>
      <c r="AF350" s="1" t="s">
        <v>378</v>
      </c>
      <c r="AG350" s="1" t="s">
        <v>53</v>
      </c>
      <c r="AH350" s="1" t="s">
        <v>49</v>
      </c>
      <c r="AI350" s="1" t="s">
        <v>54</v>
      </c>
      <c r="AJ350" s="1">
        <v>1</v>
      </c>
      <c r="AK350" s="1" t="str">
        <f t="shared" si="5"/>
        <v xml:space="preserve"> =&lt;90</v>
      </c>
      <c r="AL350" s="1" t="str">
        <f>VLOOKUP(C:C,[1]基础信息!B$1:D$65536,3,0)</f>
        <v>Jug</v>
      </c>
      <c r="AM350" s="1" t="str">
        <f>VLOOKUP(C:C,[1]基础信息!B$1:E$65536,4,0)</f>
        <v>MXpl</v>
      </c>
      <c r="AN350" s="1" t="str">
        <f>VLOOKUP(C:C,[1]基础信息!B$1:F$65536,5,0)</f>
        <v>grey</v>
      </c>
    </row>
    <row r="351" spans="1:40">
      <c r="A351" s="1" t="s">
        <v>41</v>
      </c>
      <c r="B351" s="1" t="s">
        <v>42</v>
      </c>
      <c r="C351" s="1" t="s">
        <v>208</v>
      </c>
      <c r="D351" s="1" t="s">
        <v>209</v>
      </c>
      <c r="E351" s="1" t="s">
        <v>208</v>
      </c>
      <c r="F351" s="1" t="s">
        <v>373</v>
      </c>
      <c r="G351" s="1" t="s">
        <v>957</v>
      </c>
      <c r="H351" s="1" t="s">
        <v>958</v>
      </c>
      <c r="I351" s="1" t="s">
        <v>49</v>
      </c>
      <c r="J351" s="1" t="s">
        <v>48</v>
      </c>
      <c r="K351" s="1">
        <v>80</v>
      </c>
      <c r="L351" s="1">
        <v>0</v>
      </c>
      <c r="M351" s="1">
        <v>0</v>
      </c>
      <c r="N351" s="1">
        <v>80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 t="s">
        <v>49</v>
      </c>
      <c r="AA351" s="1" t="s">
        <v>49</v>
      </c>
      <c r="AB351" s="1" t="s">
        <v>49</v>
      </c>
      <c r="AC351" s="1" t="s">
        <v>376</v>
      </c>
      <c r="AD351" s="1" t="s">
        <v>377</v>
      </c>
      <c r="AE351" s="1" t="s">
        <v>376</v>
      </c>
      <c r="AF351" s="1" t="s">
        <v>378</v>
      </c>
      <c r="AG351" s="1" t="s">
        <v>53</v>
      </c>
      <c r="AH351" s="1" t="s">
        <v>49</v>
      </c>
      <c r="AI351" s="1" t="s">
        <v>54</v>
      </c>
      <c r="AJ351" s="1">
        <v>1</v>
      </c>
      <c r="AK351" s="1" t="str">
        <f t="shared" si="5"/>
        <v xml:space="preserve"> =&lt;90</v>
      </c>
      <c r="AL351" s="1" t="str">
        <f>VLOOKUP(C:C,[1]基础信息!B$1:D$65536,3,0)</f>
        <v>Jug</v>
      </c>
      <c r="AM351" s="1" t="str">
        <f>VLOOKUP(C:C,[1]基础信息!B$1:E$65536,4,0)</f>
        <v>MXpl</v>
      </c>
      <c r="AN351" s="1" t="str">
        <f>VLOOKUP(C:C,[1]基础信息!B$1:F$65536,5,0)</f>
        <v>grey</v>
      </c>
    </row>
    <row r="352" spans="1:40">
      <c r="A352" s="1" t="s">
        <v>41</v>
      </c>
      <c r="B352" s="1" t="s">
        <v>42</v>
      </c>
      <c r="C352" s="1" t="s">
        <v>208</v>
      </c>
      <c r="D352" s="1" t="s">
        <v>209</v>
      </c>
      <c r="E352" s="1" t="s">
        <v>208</v>
      </c>
      <c r="F352" s="1" t="s">
        <v>373</v>
      </c>
      <c r="G352" s="1" t="s">
        <v>959</v>
      </c>
      <c r="H352" s="1" t="s">
        <v>960</v>
      </c>
      <c r="I352" s="1" t="s">
        <v>49</v>
      </c>
      <c r="J352" s="1" t="s">
        <v>48</v>
      </c>
      <c r="K352" s="1">
        <v>80</v>
      </c>
      <c r="L352" s="1">
        <v>0</v>
      </c>
      <c r="M352" s="1">
        <v>0</v>
      </c>
      <c r="N352" s="1">
        <v>80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 t="s">
        <v>49</v>
      </c>
      <c r="AA352" s="1" t="s">
        <v>49</v>
      </c>
      <c r="AB352" s="1" t="s">
        <v>49</v>
      </c>
      <c r="AC352" s="1" t="s">
        <v>376</v>
      </c>
      <c r="AD352" s="1" t="s">
        <v>377</v>
      </c>
      <c r="AE352" s="1" t="s">
        <v>376</v>
      </c>
      <c r="AF352" s="1" t="s">
        <v>378</v>
      </c>
      <c r="AG352" s="1" t="s">
        <v>53</v>
      </c>
      <c r="AH352" s="1" t="s">
        <v>49</v>
      </c>
      <c r="AI352" s="1" t="s">
        <v>54</v>
      </c>
      <c r="AJ352" s="1">
        <v>1</v>
      </c>
      <c r="AK352" s="1" t="str">
        <f t="shared" si="5"/>
        <v xml:space="preserve"> =&lt;90</v>
      </c>
      <c r="AL352" s="1" t="str">
        <f>VLOOKUP(C:C,[1]基础信息!B$1:D$65536,3,0)</f>
        <v>Jug</v>
      </c>
      <c r="AM352" s="1" t="str">
        <f>VLOOKUP(C:C,[1]基础信息!B$1:E$65536,4,0)</f>
        <v>MXpl</v>
      </c>
      <c r="AN352" s="1" t="str">
        <f>VLOOKUP(C:C,[1]基础信息!B$1:F$65536,5,0)</f>
        <v>grey</v>
      </c>
    </row>
    <row r="353" spans="1:40">
      <c r="A353" s="1" t="s">
        <v>41</v>
      </c>
      <c r="B353" s="1" t="s">
        <v>42</v>
      </c>
      <c r="C353" s="1" t="s">
        <v>208</v>
      </c>
      <c r="D353" s="1" t="s">
        <v>209</v>
      </c>
      <c r="E353" s="1" t="s">
        <v>208</v>
      </c>
      <c r="F353" s="1" t="s">
        <v>373</v>
      </c>
      <c r="G353" s="1" t="s">
        <v>961</v>
      </c>
      <c r="H353" s="1" t="s">
        <v>962</v>
      </c>
      <c r="I353" s="1" t="s">
        <v>49</v>
      </c>
      <c r="J353" s="1" t="s">
        <v>48</v>
      </c>
      <c r="K353" s="1">
        <v>80</v>
      </c>
      <c r="L353" s="1">
        <v>0</v>
      </c>
      <c r="M353" s="1">
        <v>0</v>
      </c>
      <c r="N353" s="1">
        <v>80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 t="s">
        <v>49</v>
      </c>
      <c r="AA353" s="1" t="s">
        <v>49</v>
      </c>
      <c r="AB353" s="1" t="s">
        <v>49</v>
      </c>
      <c r="AC353" s="1" t="s">
        <v>376</v>
      </c>
      <c r="AD353" s="1" t="s">
        <v>377</v>
      </c>
      <c r="AE353" s="1" t="s">
        <v>376</v>
      </c>
      <c r="AF353" s="1" t="s">
        <v>378</v>
      </c>
      <c r="AG353" s="1" t="s">
        <v>53</v>
      </c>
      <c r="AH353" s="1" t="s">
        <v>49</v>
      </c>
      <c r="AI353" s="1" t="s">
        <v>54</v>
      </c>
      <c r="AJ353" s="1">
        <v>1</v>
      </c>
      <c r="AK353" s="1" t="str">
        <f t="shared" si="5"/>
        <v xml:space="preserve"> =&lt;90</v>
      </c>
      <c r="AL353" s="1" t="str">
        <f>VLOOKUP(C:C,[1]基础信息!B$1:D$65536,3,0)</f>
        <v>Jug</v>
      </c>
      <c r="AM353" s="1" t="str">
        <f>VLOOKUP(C:C,[1]基础信息!B$1:E$65536,4,0)</f>
        <v>MXpl</v>
      </c>
      <c r="AN353" s="1" t="str">
        <f>VLOOKUP(C:C,[1]基础信息!B$1:F$65536,5,0)</f>
        <v>grey</v>
      </c>
    </row>
    <row r="354" spans="1:40">
      <c r="A354" s="1" t="s">
        <v>41</v>
      </c>
      <c r="B354" s="1" t="s">
        <v>42</v>
      </c>
      <c r="C354" s="1" t="s">
        <v>208</v>
      </c>
      <c r="D354" s="1" t="s">
        <v>209</v>
      </c>
      <c r="E354" s="1" t="s">
        <v>208</v>
      </c>
      <c r="F354" s="1" t="s">
        <v>373</v>
      </c>
      <c r="G354" s="1" t="s">
        <v>963</v>
      </c>
      <c r="H354" s="1" t="s">
        <v>964</v>
      </c>
      <c r="I354" s="1" t="s">
        <v>49</v>
      </c>
      <c r="J354" s="1" t="s">
        <v>48</v>
      </c>
      <c r="K354" s="1">
        <v>80</v>
      </c>
      <c r="L354" s="1">
        <v>0</v>
      </c>
      <c r="M354" s="1">
        <v>0</v>
      </c>
      <c r="N354" s="1">
        <v>80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 t="s">
        <v>49</v>
      </c>
      <c r="AA354" s="1" t="s">
        <v>49</v>
      </c>
      <c r="AB354" s="1" t="s">
        <v>49</v>
      </c>
      <c r="AC354" s="1" t="s">
        <v>376</v>
      </c>
      <c r="AD354" s="1" t="s">
        <v>377</v>
      </c>
      <c r="AE354" s="1" t="s">
        <v>376</v>
      </c>
      <c r="AF354" s="1" t="s">
        <v>378</v>
      </c>
      <c r="AG354" s="1" t="s">
        <v>53</v>
      </c>
      <c r="AH354" s="1" t="s">
        <v>49</v>
      </c>
      <c r="AI354" s="1" t="s">
        <v>54</v>
      </c>
      <c r="AJ354" s="1">
        <v>1</v>
      </c>
      <c r="AK354" s="1" t="str">
        <f t="shared" si="5"/>
        <v xml:space="preserve"> =&lt;90</v>
      </c>
      <c r="AL354" s="1" t="str">
        <f>VLOOKUP(C:C,[1]基础信息!B$1:D$65536,3,0)</f>
        <v>Jug</v>
      </c>
      <c r="AM354" s="1" t="str">
        <f>VLOOKUP(C:C,[1]基础信息!B$1:E$65536,4,0)</f>
        <v>MXpl</v>
      </c>
      <c r="AN354" s="1" t="str">
        <f>VLOOKUP(C:C,[1]基础信息!B$1:F$65536,5,0)</f>
        <v>grey</v>
      </c>
    </row>
    <row r="355" spans="1:40">
      <c r="A355" s="1" t="s">
        <v>41</v>
      </c>
      <c r="B355" s="1" t="s">
        <v>42</v>
      </c>
      <c r="C355" s="1" t="s">
        <v>554</v>
      </c>
      <c r="D355" s="1" t="s">
        <v>555</v>
      </c>
      <c r="E355" s="1" t="s">
        <v>45</v>
      </c>
      <c r="F355" s="1" t="s">
        <v>935</v>
      </c>
      <c r="G355" s="1" t="s">
        <v>965</v>
      </c>
      <c r="H355" s="1" t="s">
        <v>966</v>
      </c>
      <c r="I355" s="1" t="s">
        <v>49</v>
      </c>
      <c r="J355" s="1" t="s">
        <v>48</v>
      </c>
      <c r="K355" s="1">
        <v>70</v>
      </c>
      <c r="L355" s="1">
        <v>0</v>
      </c>
      <c r="M355" s="1">
        <v>0</v>
      </c>
      <c r="N355" s="1">
        <v>70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 t="s">
        <v>49</v>
      </c>
      <c r="AA355" s="1" t="s">
        <v>49</v>
      </c>
      <c r="AB355" s="1" t="s">
        <v>49</v>
      </c>
      <c r="AC355" s="1" t="s">
        <v>938</v>
      </c>
      <c r="AD355" s="1" t="s">
        <v>939</v>
      </c>
      <c r="AE355" s="1" t="s">
        <v>938</v>
      </c>
      <c r="AF355" s="1" t="s">
        <v>940</v>
      </c>
      <c r="AG355" s="1" t="s">
        <v>53</v>
      </c>
      <c r="AH355" s="1" t="s">
        <v>49</v>
      </c>
      <c r="AI355" s="1" t="s">
        <v>54</v>
      </c>
      <c r="AJ355" s="1">
        <v>1</v>
      </c>
      <c r="AK355" s="1" t="str">
        <f t="shared" si="5"/>
        <v xml:space="preserve"> =&lt;90</v>
      </c>
      <c r="AL355" s="1" t="str">
        <f>VLOOKUP(C:C,[1]基础信息!B$1:D$65536,3,0)</f>
        <v>Jug</v>
      </c>
      <c r="AM355" s="1" t="str">
        <f>VLOOKUP(C:C,[1]基础信息!B$1:E$65536,4,0)</f>
        <v>Green Pack</v>
      </c>
      <c r="AN355" s="1" t="str">
        <f>VLOOKUP(C:C,[1]基础信息!B$1:F$65536,5,0)</f>
        <v>Blue</v>
      </c>
    </row>
    <row r="356" spans="1:40">
      <c r="A356" s="1" t="s">
        <v>41</v>
      </c>
      <c r="B356" s="1" t="s">
        <v>42</v>
      </c>
      <c r="C356" s="1" t="s">
        <v>554</v>
      </c>
      <c r="D356" s="1" t="s">
        <v>555</v>
      </c>
      <c r="E356" s="1" t="s">
        <v>45</v>
      </c>
      <c r="F356" s="1" t="s">
        <v>935</v>
      </c>
      <c r="G356" s="1" t="s">
        <v>967</v>
      </c>
      <c r="H356" s="1" t="s">
        <v>968</v>
      </c>
      <c r="I356" s="1" t="s">
        <v>49</v>
      </c>
      <c r="J356" s="1" t="s">
        <v>48</v>
      </c>
      <c r="K356" s="1">
        <v>70</v>
      </c>
      <c r="L356" s="1">
        <v>0</v>
      </c>
      <c r="M356" s="1">
        <v>0</v>
      </c>
      <c r="N356" s="1">
        <v>70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 t="s">
        <v>49</v>
      </c>
      <c r="AA356" s="1" t="s">
        <v>49</v>
      </c>
      <c r="AB356" s="1" t="s">
        <v>49</v>
      </c>
      <c r="AC356" s="1" t="s">
        <v>938</v>
      </c>
      <c r="AD356" s="1" t="s">
        <v>939</v>
      </c>
      <c r="AE356" s="1" t="s">
        <v>938</v>
      </c>
      <c r="AF356" s="1" t="s">
        <v>940</v>
      </c>
      <c r="AG356" s="1" t="s">
        <v>53</v>
      </c>
      <c r="AH356" s="1" t="s">
        <v>49</v>
      </c>
      <c r="AI356" s="1" t="s">
        <v>54</v>
      </c>
      <c r="AJ356" s="1">
        <v>1</v>
      </c>
      <c r="AK356" s="1" t="str">
        <f t="shared" si="5"/>
        <v xml:space="preserve"> =&lt;90</v>
      </c>
      <c r="AL356" s="1" t="str">
        <f>VLOOKUP(C:C,[1]基础信息!B$1:D$65536,3,0)</f>
        <v>Jug</v>
      </c>
      <c r="AM356" s="1" t="str">
        <f>VLOOKUP(C:C,[1]基础信息!B$1:E$65536,4,0)</f>
        <v>Green Pack</v>
      </c>
      <c r="AN356" s="1" t="str">
        <f>VLOOKUP(C:C,[1]基础信息!B$1:F$65536,5,0)</f>
        <v>Blue</v>
      </c>
    </row>
    <row r="357" spans="1:40">
      <c r="A357" s="1" t="s">
        <v>41</v>
      </c>
      <c r="B357" s="1" t="s">
        <v>42</v>
      </c>
      <c r="C357" s="1" t="s">
        <v>969</v>
      </c>
      <c r="D357" s="1" t="s">
        <v>970</v>
      </c>
      <c r="E357" s="1" t="s">
        <v>45</v>
      </c>
      <c r="F357" s="1" t="s">
        <v>971</v>
      </c>
      <c r="G357" s="1" t="s">
        <v>972</v>
      </c>
      <c r="H357" s="1" t="s">
        <v>973</v>
      </c>
      <c r="I357" s="1" t="s">
        <v>49</v>
      </c>
      <c r="J357" s="1" t="s">
        <v>48</v>
      </c>
      <c r="K357" s="1">
        <v>38</v>
      </c>
      <c r="L357" s="1">
        <v>0</v>
      </c>
      <c r="M357" s="1">
        <v>0</v>
      </c>
      <c r="N357" s="1">
        <v>38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 t="s">
        <v>49</v>
      </c>
      <c r="AA357" s="1" t="s">
        <v>49</v>
      </c>
      <c r="AB357" s="1" t="s">
        <v>49</v>
      </c>
      <c r="AC357" s="1" t="s">
        <v>470</v>
      </c>
      <c r="AD357" s="1" t="s">
        <v>471</v>
      </c>
      <c r="AE357" s="1" t="s">
        <v>974</v>
      </c>
      <c r="AF357" s="1" t="s">
        <v>975</v>
      </c>
      <c r="AG357" s="1" t="s">
        <v>53</v>
      </c>
      <c r="AH357" s="1" t="s">
        <v>49</v>
      </c>
      <c r="AI357" s="1" t="s">
        <v>54</v>
      </c>
      <c r="AJ357" s="1">
        <v>1</v>
      </c>
      <c r="AK357" s="1" t="str">
        <f t="shared" si="5"/>
        <v xml:space="preserve"> =&lt;90</v>
      </c>
      <c r="AL357" s="1" t="str">
        <f>VLOOKUP(C:C,[1]基础信息!B$1:D$65536,3,0)</f>
        <v>Jug</v>
      </c>
      <c r="AM357" s="1" t="str">
        <f>VLOOKUP(C:C,[1]基础信息!B$1:E$65536,4,0)</f>
        <v>Mxplus</v>
      </c>
      <c r="AN357" s="1" t="str">
        <f>VLOOKUP(C:C,[1]基础信息!B$1:F$65536,5,0)</f>
        <v xml:space="preserve"> blue</v>
      </c>
    </row>
    <row r="358" spans="1:40">
      <c r="A358" s="1" t="s">
        <v>41</v>
      </c>
      <c r="B358" s="1" t="s">
        <v>42</v>
      </c>
      <c r="C358" s="1" t="s">
        <v>208</v>
      </c>
      <c r="D358" s="1" t="s">
        <v>209</v>
      </c>
      <c r="E358" s="1" t="s">
        <v>208</v>
      </c>
      <c r="F358" s="1" t="s">
        <v>210</v>
      </c>
      <c r="G358" s="1" t="s">
        <v>976</v>
      </c>
      <c r="H358" s="1" t="s">
        <v>977</v>
      </c>
      <c r="I358" s="1" t="s">
        <v>49</v>
      </c>
      <c r="J358" s="1" t="s">
        <v>48</v>
      </c>
      <c r="K358" s="1">
        <v>80</v>
      </c>
      <c r="L358" s="1">
        <v>0</v>
      </c>
      <c r="M358" s="1">
        <v>0</v>
      </c>
      <c r="N358" s="1">
        <v>80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 t="s">
        <v>49</v>
      </c>
      <c r="AA358" s="1" t="s">
        <v>49</v>
      </c>
      <c r="AB358" s="1" t="s">
        <v>49</v>
      </c>
      <c r="AC358" s="1" t="s">
        <v>213</v>
      </c>
      <c r="AD358" s="1" t="s">
        <v>214</v>
      </c>
      <c r="AE358" s="1" t="s">
        <v>215</v>
      </c>
      <c r="AF358" s="1" t="s">
        <v>216</v>
      </c>
      <c r="AG358" s="1" t="s">
        <v>53</v>
      </c>
      <c r="AH358" s="1" t="s">
        <v>49</v>
      </c>
      <c r="AI358" s="1" t="s">
        <v>54</v>
      </c>
      <c r="AJ358" s="1">
        <v>1</v>
      </c>
      <c r="AK358" s="1" t="str">
        <f t="shared" si="5"/>
        <v xml:space="preserve"> =&lt;90</v>
      </c>
      <c r="AL358" s="1" t="str">
        <f>VLOOKUP(C:C,[1]基础信息!B$1:D$65536,3,0)</f>
        <v>Jug</v>
      </c>
      <c r="AM358" s="1" t="str">
        <f>VLOOKUP(C:C,[1]基础信息!B$1:E$65536,4,0)</f>
        <v>MXpl</v>
      </c>
      <c r="AN358" s="1" t="str">
        <f>VLOOKUP(C:C,[1]基础信息!B$1:F$65536,5,0)</f>
        <v>grey</v>
      </c>
    </row>
    <row r="359" spans="1:40">
      <c r="A359" s="1" t="s">
        <v>41</v>
      </c>
      <c r="B359" s="1" t="s">
        <v>42</v>
      </c>
      <c r="C359" s="1" t="s">
        <v>56</v>
      </c>
      <c r="D359" s="1" t="s">
        <v>57</v>
      </c>
      <c r="E359" s="1" t="s">
        <v>45</v>
      </c>
      <c r="F359" s="1" t="s">
        <v>58</v>
      </c>
      <c r="G359" s="1" t="s">
        <v>978</v>
      </c>
      <c r="H359" s="1" t="s">
        <v>979</v>
      </c>
      <c r="I359" s="1" t="s">
        <v>49</v>
      </c>
      <c r="J359" s="1" t="s">
        <v>48</v>
      </c>
      <c r="K359" s="1">
        <v>72</v>
      </c>
      <c r="L359" s="1">
        <v>0</v>
      </c>
      <c r="M359" s="1">
        <v>0</v>
      </c>
      <c r="N359" s="1">
        <v>72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 t="s">
        <v>49</v>
      </c>
      <c r="AA359" s="1" t="s">
        <v>49</v>
      </c>
      <c r="AB359" s="1" t="s">
        <v>49</v>
      </c>
      <c r="AC359" s="1" t="s">
        <v>61</v>
      </c>
      <c r="AD359" s="1" t="s">
        <v>62</v>
      </c>
      <c r="AE359" s="1" t="s">
        <v>61</v>
      </c>
      <c r="AF359" s="1" t="s">
        <v>63</v>
      </c>
      <c r="AG359" s="1" t="s">
        <v>53</v>
      </c>
      <c r="AH359" s="1" t="s">
        <v>49</v>
      </c>
      <c r="AI359" s="1" t="s">
        <v>54</v>
      </c>
      <c r="AJ359" s="1">
        <v>1</v>
      </c>
      <c r="AK359" s="1" t="str">
        <f t="shared" si="5"/>
        <v xml:space="preserve"> =&lt;90</v>
      </c>
      <c r="AL359" s="1" t="str">
        <f>VLOOKUP(C:C,[1]基础信息!B$1:D$65536,3,0)</f>
        <v>Jug</v>
      </c>
      <c r="AM359" s="1" t="str">
        <f>VLOOKUP(C:C,[1]基础信息!B$1:E$65536,4,0)</f>
        <v>Marella XL</v>
      </c>
      <c r="AN359" s="1" t="str">
        <f>VLOOKUP(C:C,[1]基础信息!B$1:F$65536,5,0)</f>
        <v>Blue</v>
      </c>
    </row>
    <row r="360" spans="1:40">
      <c r="A360" s="1" t="s">
        <v>41</v>
      </c>
      <c r="B360" s="1" t="s">
        <v>42</v>
      </c>
      <c r="C360" s="1" t="s">
        <v>554</v>
      </c>
      <c r="D360" s="1" t="s">
        <v>555</v>
      </c>
      <c r="E360" s="1" t="s">
        <v>45</v>
      </c>
      <c r="F360" s="1" t="s">
        <v>935</v>
      </c>
      <c r="G360" s="1" t="s">
        <v>980</v>
      </c>
      <c r="H360" s="1" t="s">
        <v>981</v>
      </c>
      <c r="I360" s="1" t="s">
        <v>49</v>
      </c>
      <c r="J360" s="1" t="s">
        <v>48</v>
      </c>
      <c r="K360" s="1">
        <v>70</v>
      </c>
      <c r="L360" s="1">
        <v>0</v>
      </c>
      <c r="M360" s="1">
        <v>0</v>
      </c>
      <c r="N360" s="1">
        <v>70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 t="s">
        <v>49</v>
      </c>
      <c r="AA360" s="1" t="s">
        <v>49</v>
      </c>
      <c r="AB360" s="1" t="s">
        <v>49</v>
      </c>
      <c r="AC360" s="1" t="s">
        <v>938</v>
      </c>
      <c r="AD360" s="1" t="s">
        <v>939</v>
      </c>
      <c r="AE360" s="1" t="s">
        <v>938</v>
      </c>
      <c r="AF360" s="1" t="s">
        <v>940</v>
      </c>
      <c r="AG360" s="1" t="s">
        <v>53</v>
      </c>
      <c r="AH360" s="1" t="s">
        <v>49</v>
      </c>
      <c r="AI360" s="1" t="s">
        <v>54</v>
      </c>
      <c r="AJ360" s="1">
        <v>1</v>
      </c>
      <c r="AK360" s="1" t="str">
        <f t="shared" si="5"/>
        <v xml:space="preserve"> =&lt;90</v>
      </c>
      <c r="AL360" s="1" t="str">
        <f>VLOOKUP(C:C,[1]基础信息!B$1:D$65536,3,0)</f>
        <v>Jug</v>
      </c>
      <c r="AM360" s="1" t="str">
        <f>VLOOKUP(C:C,[1]基础信息!B$1:E$65536,4,0)</f>
        <v>Green Pack</v>
      </c>
      <c r="AN360" s="1" t="str">
        <f>VLOOKUP(C:C,[1]基础信息!B$1:F$65536,5,0)</f>
        <v>Blue</v>
      </c>
    </row>
    <row r="361" spans="1:40">
      <c r="A361" s="1" t="s">
        <v>41</v>
      </c>
      <c r="B361" s="1" t="s">
        <v>42</v>
      </c>
      <c r="C361" s="1" t="s">
        <v>208</v>
      </c>
      <c r="D361" s="1" t="s">
        <v>209</v>
      </c>
      <c r="E361" s="1" t="s">
        <v>208</v>
      </c>
      <c r="F361" s="1" t="s">
        <v>210</v>
      </c>
      <c r="G361" s="1" t="s">
        <v>982</v>
      </c>
      <c r="H361" s="1" t="s">
        <v>983</v>
      </c>
      <c r="I361" s="1" t="s">
        <v>49</v>
      </c>
      <c r="J361" s="1" t="s">
        <v>48</v>
      </c>
      <c r="K361" s="1">
        <v>80</v>
      </c>
      <c r="L361" s="1">
        <v>0</v>
      </c>
      <c r="M361" s="1">
        <v>0</v>
      </c>
      <c r="N361" s="1">
        <v>80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 t="s">
        <v>49</v>
      </c>
      <c r="AA361" s="1" t="s">
        <v>49</v>
      </c>
      <c r="AB361" s="1" t="s">
        <v>49</v>
      </c>
      <c r="AC361" s="1" t="s">
        <v>213</v>
      </c>
      <c r="AD361" s="1" t="s">
        <v>214</v>
      </c>
      <c r="AE361" s="1" t="s">
        <v>215</v>
      </c>
      <c r="AF361" s="1" t="s">
        <v>216</v>
      </c>
      <c r="AG361" s="1" t="s">
        <v>53</v>
      </c>
      <c r="AH361" s="1" t="s">
        <v>49</v>
      </c>
      <c r="AI361" s="1" t="s">
        <v>54</v>
      </c>
      <c r="AJ361" s="1">
        <v>1</v>
      </c>
      <c r="AK361" s="1" t="str">
        <f t="shared" si="5"/>
        <v xml:space="preserve"> =&lt;90</v>
      </c>
      <c r="AL361" s="1" t="str">
        <f>VLOOKUP(C:C,[1]基础信息!B$1:D$65536,3,0)</f>
        <v>Jug</v>
      </c>
      <c r="AM361" s="1" t="str">
        <f>VLOOKUP(C:C,[1]基础信息!B$1:E$65536,4,0)</f>
        <v>MXpl</v>
      </c>
      <c r="AN361" s="1" t="str">
        <f>VLOOKUP(C:C,[1]基础信息!B$1:F$65536,5,0)</f>
        <v>grey</v>
      </c>
    </row>
    <row r="362" spans="1:40">
      <c r="A362" s="1" t="s">
        <v>41</v>
      </c>
      <c r="B362" s="1" t="s">
        <v>42</v>
      </c>
      <c r="C362" s="1" t="s">
        <v>554</v>
      </c>
      <c r="D362" s="1" t="s">
        <v>555</v>
      </c>
      <c r="E362" s="1" t="s">
        <v>45</v>
      </c>
      <c r="F362" s="1" t="s">
        <v>935</v>
      </c>
      <c r="G362" s="1" t="s">
        <v>984</v>
      </c>
      <c r="H362" s="1" t="s">
        <v>985</v>
      </c>
      <c r="I362" s="1" t="s">
        <v>49</v>
      </c>
      <c r="J362" s="1" t="s">
        <v>48</v>
      </c>
      <c r="K362" s="1">
        <v>70</v>
      </c>
      <c r="L362" s="1">
        <v>0</v>
      </c>
      <c r="M362" s="1">
        <v>0</v>
      </c>
      <c r="N362" s="1">
        <v>70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 t="s">
        <v>49</v>
      </c>
      <c r="AA362" s="1" t="s">
        <v>49</v>
      </c>
      <c r="AB362" s="1" t="s">
        <v>49</v>
      </c>
      <c r="AC362" s="1" t="s">
        <v>938</v>
      </c>
      <c r="AD362" s="1" t="s">
        <v>939</v>
      </c>
      <c r="AE362" s="1" t="s">
        <v>938</v>
      </c>
      <c r="AF362" s="1" t="s">
        <v>940</v>
      </c>
      <c r="AG362" s="1" t="s">
        <v>53</v>
      </c>
      <c r="AH362" s="1" t="s">
        <v>49</v>
      </c>
      <c r="AI362" s="1" t="s">
        <v>54</v>
      </c>
      <c r="AJ362" s="1">
        <v>1</v>
      </c>
      <c r="AK362" s="1" t="str">
        <f t="shared" si="5"/>
        <v xml:space="preserve"> =&lt;90</v>
      </c>
      <c r="AL362" s="1" t="str">
        <f>VLOOKUP(C:C,[1]基础信息!B$1:D$65536,3,0)</f>
        <v>Jug</v>
      </c>
      <c r="AM362" s="1" t="str">
        <f>VLOOKUP(C:C,[1]基础信息!B$1:E$65536,4,0)</f>
        <v>Green Pack</v>
      </c>
      <c r="AN362" s="1" t="str">
        <f>VLOOKUP(C:C,[1]基础信息!B$1:F$65536,5,0)</f>
        <v>Blue</v>
      </c>
    </row>
    <row r="363" spans="1:40">
      <c r="A363" s="1" t="s">
        <v>41</v>
      </c>
      <c r="B363" s="1" t="s">
        <v>42</v>
      </c>
      <c r="C363" s="1" t="s">
        <v>969</v>
      </c>
      <c r="D363" s="1" t="s">
        <v>970</v>
      </c>
      <c r="E363" s="1" t="s">
        <v>45</v>
      </c>
      <c r="F363" s="1" t="s">
        <v>971</v>
      </c>
      <c r="G363" s="1" t="s">
        <v>986</v>
      </c>
      <c r="H363" s="1" t="s">
        <v>987</v>
      </c>
      <c r="I363" s="1" t="s">
        <v>49</v>
      </c>
      <c r="J363" s="1" t="s">
        <v>48</v>
      </c>
      <c r="K363" s="1">
        <v>80</v>
      </c>
      <c r="L363" s="1">
        <v>0</v>
      </c>
      <c r="M363" s="1">
        <v>0</v>
      </c>
      <c r="N363" s="1">
        <v>80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 t="s">
        <v>49</v>
      </c>
      <c r="AA363" s="1" t="s">
        <v>49</v>
      </c>
      <c r="AB363" s="1" t="s">
        <v>49</v>
      </c>
      <c r="AC363" s="1" t="s">
        <v>470</v>
      </c>
      <c r="AD363" s="1" t="s">
        <v>471</v>
      </c>
      <c r="AE363" s="1" t="s">
        <v>974</v>
      </c>
      <c r="AF363" s="1" t="s">
        <v>975</v>
      </c>
      <c r="AG363" s="1" t="s">
        <v>53</v>
      </c>
      <c r="AH363" s="1" t="s">
        <v>49</v>
      </c>
      <c r="AI363" s="1" t="s">
        <v>54</v>
      </c>
      <c r="AJ363" s="1">
        <v>1</v>
      </c>
      <c r="AK363" s="1" t="str">
        <f t="shared" si="5"/>
        <v xml:space="preserve"> =&lt;90</v>
      </c>
      <c r="AL363" s="1" t="str">
        <f>VLOOKUP(C:C,[1]基础信息!B$1:D$65536,3,0)</f>
        <v>Jug</v>
      </c>
      <c r="AM363" s="1" t="str">
        <f>VLOOKUP(C:C,[1]基础信息!B$1:E$65536,4,0)</f>
        <v>Mxplus</v>
      </c>
      <c r="AN363" s="1" t="str">
        <f>VLOOKUP(C:C,[1]基础信息!B$1:F$65536,5,0)</f>
        <v xml:space="preserve"> blue</v>
      </c>
    </row>
    <row r="364" spans="1:40">
      <c r="A364" s="1" t="s">
        <v>41</v>
      </c>
      <c r="B364" s="1" t="s">
        <v>42</v>
      </c>
      <c r="C364" s="1" t="s">
        <v>208</v>
      </c>
      <c r="D364" s="1" t="s">
        <v>209</v>
      </c>
      <c r="E364" s="1" t="s">
        <v>208</v>
      </c>
      <c r="F364" s="1" t="s">
        <v>210</v>
      </c>
      <c r="G364" s="1" t="s">
        <v>988</v>
      </c>
      <c r="H364" s="1" t="s">
        <v>989</v>
      </c>
      <c r="I364" s="1" t="s">
        <v>49</v>
      </c>
      <c r="J364" s="1" t="s">
        <v>48</v>
      </c>
      <c r="K364" s="1">
        <v>80</v>
      </c>
      <c r="L364" s="1">
        <v>0</v>
      </c>
      <c r="M364" s="1">
        <v>0</v>
      </c>
      <c r="N364" s="1">
        <v>80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 t="s">
        <v>49</v>
      </c>
      <c r="AA364" s="1" t="s">
        <v>49</v>
      </c>
      <c r="AB364" s="1" t="s">
        <v>49</v>
      </c>
      <c r="AC364" s="1" t="s">
        <v>213</v>
      </c>
      <c r="AD364" s="1" t="s">
        <v>214</v>
      </c>
      <c r="AE364" s="1" t="s">
        <v>215</v>
      </c>
      <c r="AF364" s="1" t="s">
        <v>216</v>
      </c>
      <c r="AG364" s="1" t="s">
        <v>53</v>
      </c>
      <c r="AH364" s="1" t="s">
        <v>49</v>
      </c>
      <c r="AI364" s="1" t="s">
        <v>54</v>
      </c>
      <c r="AJ364" s="1">
        <v>1</v>
      </c>
      <c r="AK364" s="1" t="str">
        <f t="shared" si="5"/>
        <v xml:space="preserve"> =&lt;90</v>
      </c>
      <c r="AL364" s="1" t="str">
        <f>VLOOKUP(C:C,[1]基础信息!B$1:D$65536,3,0)</f>
        <v>Jug</v>
      </c>
      <c r="AM364" s="1" t="str">
        <f>VLOOKUP(C:C,[1]基础信息!B$1:E$65536,4,0)</f>
        <v>MXpl</v>
      </c>
      <c r="AN364" s="1" t="str">
        <f>VLOOKUP(C:C,[1]基础信息!B$1:F$65536,5,0)</f>
        <v>grey</v>
      </c>
    </row>
    <row r="365" spans="1:40">
      <c r="A365" s="1" t="s">
        <v>41</v>
      </c>
      <c r="B365" s="1" t="s">
        <v>42</v>
      </c>
      <c r="C365" s="1" t="s">
        <v>481</v>
      </c>
      <c r="D365" s="1" t="s">
        <v>482</v>
      </c>
      <c r="E365" s="1" t="s">
        <v>45</v>
      </c>
      <c r="F365" s="1" t="s">
        <v>483</v>
      </c>
      <c r="G365" s="1" t="s">
        <v>990</v>
      </c>
      <c r="H365" s="1" t="s">
        <v>991</v>
      </c>
      <c r="I365" s="1" t="s">
        <v>49</v>
      </c>
      <c r="J365" s="1" t="s">
        <v>48</v>
      </c>
      <c r="K365" s="1">
        <v>168</v>
      </c>
      <c r="L365" s="1">
        <v>0</v>
      </c>
      <c r="M365" s="1">
        <v>0</v>
      </c>
      <c r="N365" s="1">
        <v>168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 t="s">
        <v>49</v>
      </c>
      <c r="AA365" s="1" t="s">
        <v>49</v>
      </c>
      <c r="AB365" s="1" t="s">
        <v>49</v>
      </c>
      <c r="AC365" s="1" t="s">
        <v>486</v>
      </c>
      <c r="AD365" s="1" t="s">
        <v>487</v>
      </c>
      <c r="AE365" s="1" t="s">
        <v>486</v>
      </c>
      <c r="AF365" s="1" t="s">
        <v>488</v>
      </c>
      <c r="AG365" s="1" t="s">
        <v>53</v>
      </c>
      <c r="AH365" s="1" t="s">
        <v>49</v>
      </c>
      <c r="AI365" s="1" t="s">
        <v>54</v>
      </c>
      <c r="AJ365" s="1">
        <v>1</v>
      </c>
      <c r="AK365" s="1" t="str">
        <f t="shared" si="5"/>
        <v xml:space="preserve"> =&lt;90</v>
      </c>
      <c r="AL365" s="1" t="str">
        <f>VLOOKUP(C:C,[1]基础信息!B$1:D$65536,3,0)</f>
        <v>Jug</v>
      </c>
      <c r="AM365" s="1" t="str">
        <f>VLOOKUP(C:C,[1]基础信息!B$1:E$65536,4,0)</f>
        <v>Style COOL</v>
      </c>
      <c r="AN365" s="1" t="str">
        <f>VLOOKUP(C:C,[1]基础信息!B$1:F$65536,5,0)</f>
        <v>Cool Blue</v>
      </c>
    </row>
    <row r="366" spans="1:40">
      <c r="A366" s="1" t="s">
        <v>41</v>
      </c>
      <c r="B366" s="1" t="s">
        <v>42</v>
      </c>
      <c r="C366" s="1" t="s">
        <v>969</v>
      </c>
      <c r="D366" s="1" t="s">
        <v>970</v>
      </c>
      <c r="E366" s="1" t="s">
        <v>45</v>
      </c>
      <c r="F366" s="1" t="s">
        <v>971</v>
      </c>
      <c r="G366" s="1" t="s">
        <v>992</v>
      </c>
      <c r="H366" s="1" t="s">
        <v>993</v>
      </c>
      <c r="I366" s="1" t="s">
        <v>49</v>
      </c>
      <c r="J366" s="1" t="s">
        <v>48</v>
      </c>
      <c r="K366" s="1">
        <v>80</v>
      </c>
      <c r="L366" s="1">
        <v>0</v>
      </c>
      <c r="M366" s="1">
        <v>0</v>
      </c>
      <c r="N366" s="1">
        <v>80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 t="s">
        <v>49</v>
      </c>
      <c r="AA366" s="1" t="s">
        <v>49</v>
      </c>
      <c r="AB366" s="1" t="s">
        <v>49</v>
      </c>
      <c r="AC366" s="1" t="s">
        <v>470</v>
      </c>
      <c r="AD366" s="1" t="s">
        <v>471</v>
      </c>
      <c r="AE366" s="1" t="s">
        <v>974</v>
      </c>
      <c r="AF366" s="1" t="s">
        <v>975</v>
      </c>
      <c r="AG366" s="1" t="s">
        <v>53</v>
      </c>
      <c r="AH366" s="1" t="s">
        <v>49</v>
      </c>
      <c r="AI366" s="1" t="s">
        <v>54</v>
      </c>
      <c r="AJ366" s="1">
        <v>1</v>
      </c>
      <c r="AK366" s="1" t="str">
        <f t="shared" si="5"/>
        <v xml:space="preserve"> =&lt;90</v>
      </c>
      <c r="AL366" s="1" t="str">
        <f>VLOOKUP(C:C,[1]基础信息!B$1:D$65536,3,0)</f>
        <v>Jug</v>
      </c>
      <c r="AM366" s="1" t="str">
        <f>VLOOKUP(C:C,[1]基础信息!B$1:E$65536,4,0)</f>
        <v>Mxplus</v>
      </c>
      <c r="AN366" s="1" t="str">
        <f>VLOOKUP(C:C,[1]基础信息!B$1:F$65536,5,0)</f>
        <v xml:space="preserve"> blue</v>
      </c>
    </row>
    <row r="367" spans="1:40">
      <c r="A367" s="1" t="s">
        <v>41</v>
      </c>
      <c r="B367" s="1" t="s">
        <v>42</v>
      </c>
      <c r="C367" s="1" t="s">
        <v>554</v>
      </c>
      <c r="D367" s="1" t="s">
        <v>555</v>
      </c>
      <c r="E367" s="1" t="s">
        <v>45</v>
      </c>
      <c r="F367" s="1" t="s">
        <v>935</v>
      </c>
      <c r="G367" s="1" t="s">
        <v>994</v>
      </c>
      <c r="H367" s="1" t="s">
        <v>995</v>
      </c>
      <c r="I367" s="1" t="s">
        <v>49</v>
      </c>
      <c r="J367" s="1" t="s">
        <v>48</v>
      </c>
      <c r="K367" s="1">
        <v>70</v>
      </c>
      <c r="L367" s="1">
        <v>0</v>
      </c>
      <c r="M367" s="1">
        <v>0</v>
      </c>
      <c r="N367" s="1">
        <v>70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 t="s">
        <v>49</v>
      </c>
      <c r="AA367" s="1" t="s">
        <v>49</v>
      </c>
      <c r="AB367" s="1" t="s">
        <v>49</v>
      </c>
      <c r="AC367" s="1" t="s">
        <v>938</v>
      </c>
      <c r="AD367" s="1" t="s">
        <v>939</v>
      </c>
      <c r="AE367" s="1" t="s">
        <v>938</v>
      </c>
      <c r="AF367" s="1" t="s">
        <v>940</v>
      </c>
      <c r="AG367" s="1" t="s">
        <v>53</v>
      </c>
      <c r="AH367" s="1" t="s">
        <v>49</v>
      </c>
      <c r="AI367" s="1" t="s">
        <v>54</v>
      </c>
      <c r="AJ367" s="1">
        <v>1</v>
      </c>
      <c r="AK367" s="1" t="str">
        <f t="shared" si="5"/>
        <v xml:space="preserve"> =&lt;90</v>
      </c>
      <c r="AL367" s="1" t="str">
        <f>VLOOKUP(C:C,[1]基础信息!B$1:D$65536,3,0)</f>
        <v>Jug</v>
      </c>
      <c r="AM367" s="1" t="str">
        <f>VLOOKUP(C:C,[1]基础信息!B$1:E$65536,4,0)</f>
        <v>Green Pack</v>
      </c>
      <c r="AN367" s="1" t="str">
        <f>VLOOKUP(C:C,[1]基础信息!B$1:F$65536,5,0)</f>
        <v>Blue</v>
      </c>
    </row>
    <row r="368" spans="1:40">
      <c r="A368" s="1" t="s">
        <v>41</v>
      </c>
      <c r="B368" s="1" t="s">
        <v>42</v>
      </c>
      <c r="C368" s="1" t="s">
        <v>969</v>
      </c>
      <c r="D368" s="1" t="s">
        <v>970</v>
      </c>
      <c r="E368" s="1" t="s">
        <v>45</v>
      </c>
      <c r="F368" s="1" t="s">
        <v>971</v>
      </c>
      <c r="G368" s="1" t="s">
        <v>996</v>
      </c>
      <c r="H368" s="1" t="s">
        <v>997</v>
      </c>
      <c r="I368" s="1" t="s">
        <v>49</v>
      </c>
      <c r="J368" s="1" t="s">
        <v>48</v>
      </c>
      <c r="K368" s="1">
        <v>80</v>
      </c>
      <c r="L368" s="1">
        <v>0</v>
      </c>
      <c r="M368" s="1">
        <v>0</v>
      </c>
      <c r="N368" s="1">
        <v>80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 t="s">
        <v>49</v>
      </c>
      <c r="AA368" s="1" t="s">
        <v>49</v>
      </c>
      <c r="AB368" s="1" t="s">
        <v>49</v>
      </c>
      <c r="AC368" s="1" t="s">
        <v>470</v>
      </c>
      <c r="AD368" s="1" t="s">
        <v>471</v>
      </c>
      <c r="AE368" s="1" t="s">
        <v>974</v>
      </c>
      <c r="AF368" s="1" t="s">
        <v>975</v>
      </c>
      <c r="AG368" s="1" t="s">
        <v>53</v>
      </c>
      <c r="AH368" s="1" t="s">
        <v>49</v>
      </c>
      <c r="AI368" s="1" t="s">
        <v>54</v>
      </c>
      <c r="AJ368" s="1">
        <v>1</v>
      </c>
      <c r="AK368" s="1" t="str">
        <f t="shared" si="5"/>
        <v xml:space="preserve"> =&lt;90</v>
      </c>
      <c r="AL368" s="1" t="str">
        <f>VLOOKUP(C:C,[1]基础信息!B$1:D$65536,3,0)</f>
        <v>Jug</v>
      </c>
      <c r="AM368" s="1" t="str">
        <f>VLOOKUP(C:C,[1]基础信息!B$1:E$65536,4,0)</f>
        <v>Mxplus</v>
      </c>
      <c r="AN368" s="1" t="str">
        <f>VLOOKUP(C:C,[1]基础信息!B$1:F$65536,5,0)</f>
        <v xml:space="preserve"> blue</v>
      </c>
    </row>
    <row r="369" spans="1:40">
      <c r="A369" s="1" t="s">
        <v>41</v>
      </c>
      <c r="B369" s="1" t="s">
        <v>42</v>
      </c>
      <c r="C369" s="1" t="s">
        <v>481</v>
      </c>
      <c r="D369" s="1" t="s">
        <v>482</v>
      </c>
      <c r="E369" s="1" t="s">
        <v>45</v>
      </c>
      <c r="F369" s="1" t="s">
        <v>483</v>
      </c>
      <c r="G369" s="1" t="s">
        <v>998</v>
      </c>
      <c r="H369" s="1" t="s">
        <v>999</v>
      </c>
      <c r="I369" s="1" t="s">
        <v>49</v>
      </c>
      <c r="J369" s="1" t="s">
        <v>48</v>
      </c>
      <c r="K369" s="1">
        <v>168</v>
      </c>
      <c r="L369" s="1">
        <v>0</v>
      </c>
      <c r="M369" s="1">
        <v>0</v>
      </c>
      <c r="N369" s="1">
        <v>168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 t="s">
        <v>49</v>
      </c>
      <c r="AA369" s="1" t="s">
        <v>49</v>
      </c>
      <c r="AB369" s="1" t="s">
        <v>49</v>
      </c>
      <c r="AC369" s="1" t="s">
        <v>486</v>
      </c>
      <c r="AD369" s="1" t="s">
        <v>487</v>
      </c>
      <c r="AE369" s="1" t="s">
        <v>486</v>
      </c>
      <c r="AF369" s="1" t="s">
        <v>488</v>
      </c>
      <c r="AG369" s="1" t="s">
        <v>53</v>
      </c>
      <c r="AH369" s="1" t="s">
        <v>49</v>
      </c>
      <c r="AI369" s="1" t="s">
        <v>54</v>
      </c>
      <c r="AJ369" s="1">
        <v>1</v>
      </c>
      <c r="AK369" s="1" t="str">
        <f t="shared" si="5"/>
        <v xml:space="preserve"> =&lt;90</v>
      </c>
      <c r="AL369" s="1" t="str">
        <f>VLOOKUP(C:C,[1]基础信息!B$1:D$65536,3,0)</f>
        <v>Jug</v>
      </c>
      <c r="AM369" s="1" t="str">
        <f>VLOOKUP(C:C,[1]基础信息!B$1:E$65536,4,0)</f>
        <v>Style COOL</v>
      </c>
      <c r="AN369" s="1" t="str">
        <f>VLOOKUP(C:C,[1]基础信息!B$1:F$65536,5,0)</f>
        <v>Cool Blue</v>
      </c>
    </row>
    <row r="370" spans="1:40">
      <c r="A370" s="1" t="s">
        <v>41</v>
      </c>
      <c r="B370" s="1" t="s">
        <v>42</v>
      </c>
      <c r="C370" s="1" t="s">
        <v>554</v>
      </c>
      <c r="D370" s="1" t="s">
        <v>555</v>
      </c>
      <c r="E370" s="1" t="s">
        <v>45</v>
      </c>
      <c r="F370" s="1" t="s">
        <v>935</v>
      </c>
      <c r="G370" s="1" t="s">
        <v>1000</v>
      </c>
      <c r="H370" s="1" t="s">
        <v>1001</v>
      </c>
      <c r="I370" s="1" t="s">
        <v>49</v>
      </c>
      <c r="J370" s="1" t="s">
        <v>48</v>
      </c>
      <c r="K370" s="1">
        <v>70</v>
      </c>
      <c r="L370" s="1">
        <v>0</v>
      </c>
      <c r="M370" s="1">
        <v>0</v>
      </c>
      <c r="N370" s="1">
        <v>70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 t="s">
        <v>49</v>
      </c>
      <c r="AA370" s="1" t="s">
        <v>49</v>
      </c>
      <c r="AB370" s="1" t="s">
        <v>49</v>
      </c>
      <c r="AC370" s="1" t="s">
        <v>938</v>
      </c>
      <c r="AD370" s="1" t="s">
        <v>939</v>
      </c>
      <c r="AE370" s="1" t="s">
        <v>938</v>
      </c>
      <c r="AF370" s="1" t="s">
        <v>940</v>
      </c>
      <c r="AG370" s="1" t="s">
        <v>53</v>
      </c>
      <c r="AH370" s="1" t="s">
        <v>49</v>
      </c>
      <c r="AI370" s="1" t="s">
        <v>54</v>
      </c>
      <c r="AJ370" s="1">
        <v>1</v>
      </c>
      <c r="AK370" s="1" t="str">
        <f t="shared" si="5"/>
        <v xml:space="preserve"> =&lt;90</v>
      </c>
      <c r="AL370" s="1" t="str">
        <f>VLOOKUP(C:C,[1]基础信息!B$1:D$65536,3,0)</f>
        <v>Jug</v>
      </c>
      <c r="AM370" s="1" t="str">
        <f>VLOOKUP(C:C,[1]基础信息!B$1:E$65536,4,0)</f>
        <v>Green Pack</v>
      </c>
      <c r="AN370" s="1" t="str">
        <f>VLOOKUP(C:C,[1]基础信息!B$1:F$65536,5,0)</f>
        <v>Blue</v>
      </c>
    </row>
    <row r="371" spans="1:40">
      <c r="A371" s="1" t="s">
        <v>41</v>
      </c>
      <c r="B371" s="1" t="s">
        <v>42</v>
      </c>
      <c r="C371" s="1" t="s">
        <v>56</v>
      </c>
      <c r="D371" s="1" t="s">
        <v>57</v>
      </c>
      <c r="E371" s="1" t="s">
        <v>45</v>
      </c>
      <c r="F371" s="1" t="s">
        <v>58</v>
      </c>
      <c r="G371" s="1" t="s">
        <v>1002</v>
      </c>
      <c r="H371" s="1" t="s">
        <v>1003</v>
      </c>
      <c r="I371" s="1" t="s">
        <v>49</v>
      </c>
      <c r="J371" s="1" t="s">
        <v>48</v>
      </c>
      <c r="K371" s="1">
        <v>72</v>
      </c>
      <c r="L371" s="1">
        <v>0</v>
      </c>
      <c r="M371" s="1">
        <v>0</v>
      </c>
      <c r="N371" s="1">
        <v>72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 t="s">
        <v>49</v>
      </c>
      <c r="AA371" s="1" t="s">
        <v>49</v>
      </c>
      <c r="AB371" s="1" t="s">
        <v>49</v>
      </c>
      <c r="AC371" s="1" t="s">
        <v>61</v>
      </c>
      <c r="AD371" s="1" t="s">
        <v>62</v>
      </c>
      <c r="AE371" s="1" t="s">
        <v>61</v>
      </c>
      <c r="AF371" s="1" t="s">
        <v>63</v>
      </c>
      <c r="AG371" s="1" t="s">
        <v>53</v>
      </c>
      <c r="AH371" s="1" t="s">
        <v>49</v>
      </c>
      <c r="AI371" s="1" t="s">
        <v>54</v>
      </c>
      <c r="AJ371" s="1">
        <v>1</v>
      </c>
      <c r="AK371" s="1" t="str">
        <f t="shared" si="5"/>
        <v xml:space="preserve"> =&lt;90</v>
      </c>
      <c r="AL371" s="1" t="str">
        <f>VLOOKUP(C:C,[1]基础信息!B$1:D$65536,3,0)</f>
        <v>Jug</v>
      </c>
      <c r="AM371" s="1" t="str">
        <f>VLOOKUP(C:C,[1]基础信息!B$1:E$65536,4,0)</f>
        <v>Marella XL</v>
      </c>
      <c r="AN371" s="1" t="str">
        <f>VLOOKUP(C:C,[1]基础信息!B$1:F$65536,5,0)</f>
        <v>Blue</v>
      </c>
    </row>
    <row r="372" spans="1:40">
      <c r="A372" s="1" t="s">
        <v>41</v>
      </c>
      <c r="B372" s="1" t="s">
        <v>42</v>
      </c>
      <c r="C372" s="1" t="s">
        <v>1004</v>
      </c>
      <c r="D372" s="1" t="s">
        <v>1005</v>
      </c>
      <c r="E372" s="1" t="s">
        <v>1004</v>
      </c>
      <c r="F372" s="1" t="s">
        <v>1006</v>
      </c>
      <c r="G372" s="1" t="s">
        <v>1007</v>
      </c>
      <c r="H372" s="1" t="s">
        <v>45</v>
      </c>
      <c r="I372" s="1" t="s">
        <v>45</v>
      </c>
      <c r="J372" s="1" t="s">
        <v>48</v>
      </c>
      <c r="K372" s="1">
        <v>32</v>
      </c>
      <c r="L372" s="1">
        <v>0</v>
      </c>
      <c r="M372" s="1">
        <v>0</v>
      </c>
      <c r="N372" s="1">
        <v>32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 t="s">
        <v>49</v>
      </c>
      <c r="AA372" s="1" t="s">
        <v>49</v>
      </c>
      <c r="AB372" s="1" t="s">
        <v>49</v>
      </c>
      <c r="AC372" s="1" t="s">
        <v>1008</v>
      </c>
      <c r="AD372" s="1" t="s">
        <v>1009</v>
      </c>
      <c r="AE372" s="1" t="s">
        <v>1008</v>
      </c>
      <c r="AF372" s="1" t="s">
        <v>49</v>
      </c>
      <c r="AG372" s="1" t="s">
        <v>53</v>
      </c>
      <c r="AH372" s="1" t="s">
        <v>49</v>
      </c>
      <c r="AI372" s="1" t="s">
        <v>54</v>
      </c>
      <c r="AJ372" s="1">
        <v>1</v>
      </c>
      <c r="AK372" s="1" t="str">
        <f t="shared" si="5"/>
        <v xml:space="preserve"> =&lt;90</v>
      </c>
      <c r="AL372" s="1" t="str">
        <f>VLOOKUP(C:C,[1]基础信息!B$1:D$65536,3,0)</f>
        <v>UTS</v>
      </c>
      <c r="AM372" s="1" t="str">
        <f>VLOOKUP(C:C,[1]基础信息!B$1:E$65536,4,0)</f>
        <v>MyPure</v>
      </c>
      <c r="AN372" s="1" t="str">
        <f>VLOOKUP(C:C,[1]基础信息!B$1:F$65536,5,0)</f>
        <v>U5</v>
      </c>
    </row>
    <row r="373" spans="1:40">
      <c r="A373" s="1" t="s">
        <v>41</v>
      </c>
      <c r="B373" s="1" t="s">
        <v>42</v>
      </c>
      <c r="C373" s="1" t="s">
        <v>481</v>
      </c>
      <c r="D373" s="1" t="s">
        <v>482</v>
      </c>
      <c r="E373" s="1" t="s">
        <v>45</v>
      </c>
      <c r="F373" s="1" t="s">
        <v>483</v>
      </c>
      <c r="G373" s="1" t="s">
        <v>1010</v>
      </c>
      <c r="H373" s="1" t="s">
        <v>1011</v>
      </c>
      <c r="I373" s="1" t="s">
        <v>49</v>
      </c>
      <c r="J373" s="1" t="s">
        <v>48</v>
      </c>
      <c r="K373" s="1">
        <v>168</v>
      </c>
      <c r="L373" s="1">
        <v>0</v>
      </c>
      <c r="M373" s="1">
        <v>0</v>
      </c>
      <c r="N373" s="1">
        <v>168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 t="s">
        <v>49</v>
      </c>
      <c r="AA373" s="1" t="s">
        <v>49</v>
      </c>
      <c r="AB373" s="1" t="s">
        <v>49</v>
      </c>
      <c r="AC373" s="1" t="s">
        <v>486</v>
      </c>
      <c r="AD373" s="1" t="s">
        <v>487</v>
      </c>
      <c r="AE373" s="1" t="s">
        <v>486</v>
      </c>
      <c r="AF373" s="1" t="s">
        <v>488</v>
      </c>
      <c r="AG373" s="1" t="s">
        <v>53</v>
      </c>
      <c r="AH373" s="1" t="s">
        <v>49</v>
      </c>
      <c r="AI373" s="1" t="s">
        <v>54</v>
      </c>
      <c r="AJ373" s="1">
        <v>1</v>
      </c>
      <c r="AK373" s="1" t="str">
        <f t="shared" si="5"/>
        <v xml:space="preserve"> =&lt;90</v>
      </c>
      <c r="AL373" s="1" t="str">
        <f>VLOOKUP(C:C,[1]基础信息!B$1:D$65536,3,0)</f>
        <v>Jug</v>
      </c>
      <c r="AM373" s="1" t="str">
        <f>VLOOKUP(C:C,[1]基础信息!B$1:E$65536,4,0)</f>
        <v>Style COOL</v>
      </c>
      <c r="AN373" s="1" t="str">
        <f>VLOOKUP(C:C,[1]基础信息!B$1:F$65536,5,0)</f>
        <v>Cool Blue</v>
      </c>
    </row>
    <row r="374" spans="1:40">
      <c r="A374" s="1" t="s">
        <v>41</v>
      </c>
      <c r="B374" s="1" t="s">
        <v>42</v>
      </c>
      <c r="C374" s="1" t="s">
        <v>481</v>
      </c>
      <c r="D374" s="1" t="s">
        <v>482</v>
      </c>
      <c r="E374" s="1" t="s">
        <v>45</v>
      </c>
      <c r="F374" s="1" t="s">
        <v>483</v>
      </c>
      <c r="G374" s="1" t="s">
        <v>1012</v>
      </c>
      <c r="H374" s="1" t="s">
        <v>1013</v>
      </c>
      <c r="I374" s="1" t="s">
        <v>49</v>
      </c>
      <c r="J374" s="1" t="s">
        <v>48</v>
      </c>
      <c r="K374" s="1">
        <v>168</v>
      </c>
      <c r="L374" s="1">
        <v>0</v>
      </c>
      <c r="M374" s="1">
        <v>0</v>
      </c>
      <c r="N374" s="1">
        <v>168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 t="s">
        <v>49</v>
      </c>
      <c r="AA374" s="1" t="s">
        <v>49</v>
      </c>
      <c r="AB374" s="1" t="s">
        <v>49</v>
      </c>
      <c r="AC374" s="1" t="s">
        <v>486</v>
      </c>
      <c r="AD374" s="1" t="s">
        <v>487</v>
      </c>
      <c r="AE374" s="1" t="s">
        <v>486</v>
      </c>
      <c r="AF374" s="1" t="s">
        <v>488</v>
      </c>
      <c r="AG374" s="1" t="s">
        <v>53</v>
      </c>
      <c r="AH374" s="1" t="s">
        <v>49</v>
      </c>
      <c r="AI374" s="1" t="s">
        <v>54</v>
      </c>
      <c r="AJ374" s="1">
        <v>1</v>
      </c>
      <c r="AK374" s="1" t="str">
        <f t="shared" si="5"/>
        <v xml:space="preserve"> =&lt;90</v>
      </c>
      <c r="AL374" s="1" t="str">
        <f>VLOOKUP(C:C,[1]基础信息!B$1:D$65536,3,0)</f>
        <v>Jug</v>
      </c>
      <c r="AM374" s="1" t="str">
        <f>VLOOKUP(C:C,[1]基础信息!B$1:E$65536,4,0)</f>
        <v>Style COOL</v>
      </c>
      <c r="AN374" s="1" t="str">
        <f>VLOOKUP(C:C,[1]基础信息!B$1:F$65536,5,0)</f>
        <v>Cool Blue</v>
      </c>
    </row>
    <row r="375" spans="1:40">
      <c r="A375" s="1" t="s">
        <v>41</v>
      </c>
      <c r="B375" s="1" t="s">
        <v>42</v>
      </c>
      <c r="C375" s="1" t="s">
        <v>481</v>
      </c>
      <c r="D375" s="1" t="s">
        <v>482</v>
      </c>
      <c r="E375" s="1" t="s">
        <v>45</v>
      </c>
      <c r="F375" s="1" t="s">
        <v>483</v>
      </c>
      <c r="G375" s="1" t="s">
        <v>1014</v>
      </c>
      <c r="H375" s="1" t="s">
        <v>1015</v>
      </c>
      <c r="I375" s="1" t="s">
        <v>49</v>
      </c>
      <c r="J375" s="1" t="s">
        <v>48</v>
      </c>
      <c r="K375" s="1">
        <v>168</v>
      </c>
      <c r="L375" s="1">
        <v>0</v>
      </c>
      <c r="M375" s="1">
        <v>0</v>
      </c>
      <c r="N375" s="1">
        <v>168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 t="s">
        <v>49</v>
      </c>
      <c r="AA375" s="1" t="s">
        <v>49</v>
      </c>
      <c r="AB375" s="1" t="s">
        <v>49</v>
      </c>
      <c r="AC375" s="1" t="s">
        <v>486</v>
      </c>
      <c r="AD375" s="1" t="s">
        <v>487</v>
      </c>
      <c r="AE375" s="1" t="s">
        <v>486</v>
      </c>
      <c r="AF375" s="1" t="s">
        <v>488</v>
      </c>
      <c r="AG375" s="1" t="s">
        <v>53</v>
      </c>
      <c r="AH375" s="1" t="s">
        <v>49</v>
      </c>
      <c r="AI375" s="1" t="s">
        <v>54</v>
      </c>
      <c r="AJ375" s="1">
        <v>1</v>
      </c>
      <c r="AK375" s="1" t="str">
        <f t="shared" si="5"/>
        <v xml:space="preserve"> =&lt;90</v>
      </c>
      <c r="AL375" s="1" t="str">
        <f>VLOOKUP(C:C,[1]基础信息!B$1:D$65536,3,0)</f>
        <v>Jug</v>
      </c>
      <c r="AM375" s="1" t="str">
        <f>VLOOKUP(C:C,[1]基础信息!B$1:E$65536,4,0)</f>
        <v>Style COOL</v>
      </c>
      <c r="AN375" s="1" t="str">
        <f>VLOOKUP(C:C,[1]基础信息!B$1:F$65536,5,0)</f>
        <v>Cool Blue</v>
      </c>
    </row>
    <row r="376" spans="1:40">
      <c r="A376" s="1" t="s">
        <v>41</v>
      </c>
      <c r="B376" s="1" t="s">
        <v>42</v>
      </c>
      <c r="C376" s="1" t="s">
        <v>481</v>
      </c>
      <c r="D376" s="1" t="s">
        <v>482</v>
      </c>
      <c r="E376" s="1" t="s">
        <v>45</v>
      </c>
      <c r="F376" s="1" t="s">
        <v>483</v>
      </c>
      <c r="G376" s="1" t="s">
        <v>1016</v>
      </c>
      <c r="H376" s="1" t="s">
        <v>1017</v>
      </c>
      <c r="I376" s="1" t="s">
        <v>49</v>
      </c>
      <c r="J376" s="1" t="s">
        <v>48</v>
      </c>
      <c r="K376" s="1">
        <v>168</v>
      </c>
      <c r="L376" s="1">
        <v>0</v>
      </c>
      <c r="M376" s="1">
        <v>0</v>
      </c>
      <c r="N376" s="1">
        <v>168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 t="s">
        <v>49</v>
      </c>
      <c r="AA376" s="1" t="s">
        <v>49</v>
      </c>
      <c r="AB376" s="1" t="s">
        <v>49</v>
      </c>
      <c r="AC376" s="1" t="s">
        <v>486</v>
      </c>
      <c r="AD376" s="1" t="s">
        <v>487</v>
      </c>
      <c r="AE376" s="1" t="s">
        <v>486</v>
      </c>
      <c r="AF376" s="1" t="s">
        <v>488</v>
      </c>
      <c r="AG376" s="1" t="s">
        <v>53</v>
      </c>
      <c r="AH376" s="1" t="s">
        <v>49</v>
      </c>
      <c r="AI376" s="1" t="s">
        <v>54</v>
      </c>
      <c r="AJ376" s="1">
        <v>1</v>
      </c>
      <c r="AK376" s="1" t="str">
        <f t="shared" si="5"/>
        <v xml:space="preserve"> =&lt;90</v>
      </c>
      <c r="AL376" s="1" t="str">
        <f>VLOOKUP(C:C,[1]基础信息!B$1:D$65536,3,0)</f>
        <v>Jug</v>
      </c>
      <c r="AM376" s="1" t="str">
        <f>VLOOKUP(C:C,[1]基础信息!B$1:E$65536,4,0)</f>
        <v>Style COOL</v>
      </c>
      <c r="AN376" s="1" t="str">
        <f>VLOOKUP(C:C,[1]基础信息!B$1:F$65536,5,0)</f>
        <v>Cool Blue</v>
      </c>
    </row>
    <row r="377" spans="1:40">
      <c r="A377" s="1" t="s">
        <v>41</v>
      </c>
      <c r="B377" s="1" t="s">
        <v>42</v>
      </c>
      <c r="C377" s="1" t="s">
        <v>481</v>
      </c>
      <c r="D377" s="1" t="s">
        <v>482</v>
      </c>
      <c r="E377" s="1" t="s">
        <v>45</v>
      </c>
      <c r="F377" s="1" t="s">
        <v>483</v>
      </c>
      <c r="G377" s="1" t="s">
        <v>1018</v>
      </c>
      <c r="H377" s="1" t="s">
        <v>1019</v>
      </c>
      <c r="I377" s="1" t="s">
        <v>49</v>
      </c>
      <c r="J377" s="1" t="s">
        <v>48</v>
      </c>
      <c r="K377" s="1">
        <v>168</v>
      </c>
      <c r="L377" s="1">
        <v>0</v>
      </c>
      <c r="M377" s="1">
        <v>0</v>
      </c>
      <c r="N377" s="1">
        <v>168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 t="s">
        <v>49</v>
      </c>
      <c r="AA377" s="1" t="s">
        <v>49</v>
      </c>
      <c r="AB377" s="1" t="s">
        <v>49</v>
      </c>
      <c r="AC377" s="1" t="s">
        <v>486</v>
      </c>
      <c r="AD377" s="1" t="s">
        <v>487</v>
      </c>
      <c r="AE377" s="1" t="s">
        <v>486</v>
      </c>
      <c r="AF377" s="1" t="s">
        <v>488</v>
      </c>
      <c r="AG377" s="1" t="s">
        <v>53</v>
      </c>
      <c r="AH377" s="1" t="s">
        <v>49</v>
      </c>
      <c r="AI377" s="1" t="s">
        <v>54</v>
      </c>
      <c r="AJ377" s="1">
        <v>1</v>
      </c>
      <c r="AK377" s="1" t="str">
        <f t="shared" si="5"/>
        <v xml:space="preserve"> =&lt;90</v>
      </c>
      <c r="AL377" s="1" t="str">
        <f>VLOOKUP(C:C,[1]基础信息!B$1:D$65536,3,0)</f>
        <v>Jug</v>
      </c>
      <c r="AM377" s="1" t="str">
        <f>VLOOKUP(C:C,[1]基础信息!B$1:E$65536,4,0)</f>
        <v>Style COOL</v>
      </c>
      <c r="AN377" s="1" t="str">
        <f>VLOOKUP(C:C,[1]基础信息!B$1:F$65536,5,0)</f>
        <v>Cool Blue</v>
      </c>
    </row>
    <row r="378" spans="1:40">
      <c r="A378" s="1" t="s">
        <v>41</v>
      </c>
      <c r="B378" s="1" t="s">
        <v>42</v>
      </c>
      <c r="C378" s="1" t="s">
        <v>481</v>
      </c>
      <c r="D378" s="1" t="s">
        <v>482</v>
      </c>
      <c r="E378" s="1" t="s">
        <v>45</v>
      </c>
      <c r="F378" s="1" t="s">
        <v>483</v>
      </c>
      <c r="G378" s="1" t="s">
        <v>1020</v>
      </c>
      <c r="H378" s="1" t="s">
        <v>1021</v>
      </c>
      <c r="I378" s="1" t="s">
        <v>49</v>
      </c>
      <c r="J378" s="1" t="s">
        <v>48</v>
      </c>
      <c r="K378" s="1">
        <v>168</v>
      </c>
      <c r="L378" s="1">
        <v>0</v>
      </c>
      <c r="M378" s="1">
        <v>0</v>
      </c>
      <c r="N378" s="1">
        <v>168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 t="s">
        <v>49</v>
      </c>
      <c r="AA378" s="1" t="s">
        <v>49</v>
      </c>
      <c r="AB378" s="1" t="s">
        <v>49</v>
      </c>
      <c r="AC378" s="1" t="s">
        <v>486</v>
      </c>
      <c r="AD378" s="1" t="s">
        <v>487</v>
      </c>
      <c r="AE378" s="1" t="s">
        <v>486</v>
      </c>
      <c r="AF378" s="1" t="s">
        <v>488</v>
      </c>
      <c r="AG378" s="1" t="s">
        <v>53</v>
      </c>
      <c r="AH378" s="1" t="s">
        <v>49</v>
      </c>
      <c r="AI378" s="1" t="s">
        <v>54</v>
      </c>
      <c r="AJ378" s="1">
        <v>1</v>
      </c>
      <c r="AK378" s="1" t="str">
        <f t="shared" si="5"/>
        <v xml:space="preserve"> =&lt;90</v>
      </c>
      <c r="AL378" s="1" t="str">
        <f>VLOOKUP(C:C,[1]基础信息!B$1:D$65536,3,0)</f>
        <v>Jug</v>
      </c>
      <c r="AM378" s="1" t="str">
        <f>VLOOKUP(C:C,[1]基础信息!B$1:E$65536,4,0)</f>
        <v>Style COOL</v>
      </c>
      <c r="AN378" s="1" t="str">
        <f>VLOOKUP(C:C,[1]基础信息!B$1:F$65536,5,0)</f>
        <v>Cool Blue</v>
      </c>
    </row>
    <row r="379" spans="1:40">
      <c r="A379" s="1" t="s">
        <v>41</v>
      </c>
      <c r="B379" s="1" t="s">
        <v>42</v>
      </c>
      <c r="C379" s="1" t="s">
        <v>56</v>
      </c>
      <c r="D379" s="1" t="s">
        <v>57</v>
      </c>
      <c r="E379" s="1" t="s">
        <v>45</v>
      </c>
      <c r="F379" s="1" t="s">
        <v>58</v>
      </c>
      <c r="G379" s="1" t="s">
        <v>1022</v>
      </c>
      <c r="H379" s="1" t="s">
        <v>1023</v>
      </c>
      <c r="I379" s="1" t="s">
        <v>49</v>
      </c>
      <c r="J379" s="1" t="s">
        <v>48</v>
      </c>
      <c r="K379" s="1">
        <v>72</v>
      </c>
      <c r="L379" s="1">
        <v>0</v>
      </c>
      <c r="M379" s="1">
        <v>0</v>
      </c>
      <c r="N379" s="1">
        <v>72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 t="s">
        <v>49</v>
      </c>
      <c r="AA379" s="1" t="s">
        <v>49</v>
      </c>
      <c r="AB379" s="1" t="s">
        <v>49</v>
      </c>
      <c r="AC379" s="1" t="s">
        <v>61</v>
      </c>
      <c r="AD379" s="1" t="s">
        <v>62</v>
      </c>
      <c r="AE379" s="1" t="s">
        <v>61</v>
      </c>
      <c r="AF379" s="1" t="s">
        <v>63</v>
      </c>
      <c r="AG379" s="1" t="s">
        <v>53</v>
      </c>
      <c r="AH379" s="1" t="s">
        <v>49</v>
      </c>
      <c r="AI379" s="1" t="s">
        <v>54</v>
      </c>
      <c r="AJ379" s="1">
        <v>1</v>
      </c>
      <c r="AK379" s="1" t="str">
        <f t="shared" si="5"/>
        <v xml:space="preserve"> =&lt;90</v>
      </c>
      <c r="AL379" s="1" t="str">
        <f>VLOOKUP(C:C,[1]基础信息!B$1:D$65536,3,0)</f>
        <v>Jug</v>
      </c>
      <c r="AM379" s="1" t="str">
        <f>VLOOKUP(C:C,[1]基础信息!B$1:E$65536,4,0)</f>
        <v>Marella XL</v>
      </c>
      <c r="AN379" s="1" t="str">
        <f>VLOOKUP(C:C,[1]基础信息!B$1:F$65536,5,0)</f>
        <v>Blue</v>
      </c>
    </row>
    <row r="380" spans="1:40">
      <c r="A380" s="1" t="s">
        <v>41</v>
      </c>
      <c r="B380" s="1" t="s">
        <v>42</v>
      </c>
      <c r="C380" s="1" t="s">
        <v>554</v>
      </c>
      <c r="D380" s="1" t="s">
        <v>555</v>
      </c>
      <c r="E380" s="1" t="s">
        <v>45</v>
      </c>
      <c r="F380" s="1" t="s">
        <v>935</v>
      </c>
      <c r="G380" s="1" t="s">
        <v>1024</v>
      </c>
      <c r="H380" s="1" t="s">
        <v>1025</v>
      </c>
      <c r="I380" s="1" t="s">
        <v>49</v>
      </c>
      <c r="J380" s="1" t="s">
        <v>48</v>
      </c>
      <c r="K380" s="1">
        <v>70</v>
      </c>
      <c r="L380" s="1">
        <v>0</v>
      </c>
      <c r="M380" s="1">
        <v>0</v>
      </c>
      <c r="N380" s="1">
        <v>70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 t="s">
        <v>49</v>
      </c>
      <c r="AA380" s="1" t="s">
        <v>49</v>
      </c>
      <c r="AB380" s="1" t="s">
        <v>49</v>
      </c>
      <c r="AC380" s="1" t="s">
        <v>938</v>
      </c>
      <c r="AD380" s="1" t="s">
        <v>939</v>
      </c>
      <c r="AE380" s="1" t="s">
        <v>938</v>
      </c>
      <c r="AF380" s="1" t="s">
        <v>940</v>
      </c>
      <c r="AG380" s="1" t="s">
        <v>53</v>
      </c>
      <c r="AH380" s="1" t="s">
        <v>49</v>
      </c>
      <c r="AI380" s="1" t="s">
        <v>54</v>
      </c>
      <c r="AJ380" s="1">
        <v>1</v>
      </c>
      <c r="AK380" s="1" t="str">
        <f t="shared" si="5"/>
        <v xml:space="preserve"> =&lt;90</v>
      </c>
      <c r="AL380" s="1" t="str">
        <f>VLOOKUP(C:C,[1]基础信息!B$1:D$65536,3,0)</f>
        <v>Jug</v>
      </c>
      <c r="AM380" s="1" t="str">
        <f>VLOOKUP(C:C,[1]基础信息!B$1:E$65536,4,0)</f>
        <v>Green Pack</v>
      </c>
      <c r="AN380" s="1" t="str">
        <f>VLOOKUP(C:C,[1]基础信息!B$1:F$65536,5,0)</f>
        <v>Blue</v>
      </c>
    </row>
    <row r="381" spans="1:40">
      <c r="A381" s="1" t="s">
        <v>41</v>
      </c>
      <c r="B381" s="1" t="s">
        <v>42</v>
      </c>
      <c r="C381" s="1" t="s">
        <v>208</v>
      </c>
      <c r="D381" s="1" t="s">
        <v>209</v>
      </c>
      <c r="E381" s="1" t="s">
        <v>208</v>
      </c>
      <c r="F381" s="1" t="s">
        <v>210</v>
      </c>
      <c r="G381" s="1" t="s">
        <v>1026</v>
      </c>
      <c r="H381" s="1" t="s">
        <v>1027</v>
      </c>
      <c r="I381" s="1" t="s">
        <v>49</v>
      </c>
      <c r="J381" s="1" t="s">
        <v>48</v>
      </c>
      <c r="K381" s="1">
        <v>80</v>
      </c>
      <c r="L381" s="1">
        <v>0</v>
      </c>
      <c r="M381" s="1">
        <v>0</v>
      </c>
      <c r="N381" s="1">
        <v>80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 t="s">
        <v>49</v>
      </c>
      <c r="AA381" s="1" t="s">
        <v>49</v>
      </c>
      <c r="AB381" s="1" t="s">
        <v>49</v>
      </c>
      <c r="AC381" s="1" t="s">
        <v>213</v>
      </c>
      <c r="AD381" s="1" t="s">
        <v>214</v>
      </c>
      <c r="AE381" s="1" t="s">
        <v>215</v>
      </c>
      <c r="AF381" s="1" t="s">
        <v>216</v>
      </c>
      <c r="AG381" s="1" t="s">
        <v>53</v>
      </c>
      <c r="AH381" s="1" t="s">
        <v>49</v>
      </c>
      <c r="AI381" s="1" t="s">
        <v>54</v>
      </c>
      <c r="AJ381" s="1">
        <v>1</v>
      </c>
      <c r="AK381" s="1" t="str">
        <f t="shared" si="5"/>
        <v xml:space="preserve"> =&lt;90</v>
      </c>
      <c r="AL381" s="1" t="str">
        <f>VLOOKUP(C:C,[1]基础信息!B$1:D$65536,3,0)</f>
        <v>Jug</v>
      </c>
      <c r="AM381" s="1" t="str">
        <f>VLOOKUP(C:C,[1]基础信息!B$1:E$65536,4,0)</f>
        <v>MXpl</v>
      </c>
      <c r="AN381" s="1" t="str">
        <f>VLOOKUP(C:C,[1]基础信息!B$1:F$65536,5,0)</f>
        <v>grey</v>
      </c>
    </row>
    <row r="382" spans="1:40">
      <c r="A382" s="1" t="s">
        <v>41</v>
      </c>
      <c r="B382" s="1" t="s">
        <v>42</v>
      </c>
      <c r="C382" s="1" t="s">
        <v>481</v>
      </c>
      <c r="D382" s="1" t="s">
        <v>482</v>
      </c>
      <c r="E382" s="1" t="s">
        <v>45</v>
      </c>
      <c r="F382" s="1" t="s">
        <v>483</v>
      </c>
      <c r="G382" s="1" t="s">
        <v>1028</v>
      </c>
      <c r="H382" s="1" t="s">
        <v>1029</v>
      </c>
      <c r="I382" s="1" t="s">
        <v>49</v>
      </c>
      <c r="J382" s="1" t="s">
        <v>48</v>
      </c>
      <c r="K382" s="1">
        <v>168</v>
      </c>
      <c r="L382" s="1">
        <v>0</v>
      </c>
      <c r="M382" s="1">
        <v>0</v>
      </c>
      <c r="N382" s="1">
        <v>168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 t="s">
        <v>49</v>
      </c>
      <c r="AA382" s="1" t="s">
        <v>49</v>
      </c>
      <c r="AB382" s="1" t="s">
        <v>49</v>
      </c>
      <c r="AC382" s="1" t="s">
        <v>486</v>
      </c>
      <c r="AD382" s="1" t="s">
        <v>487</v>
      </c>
      <c r="AE382" s="1" t="s">
        <v>486</v>
      </c>
      <c r="AF382" s="1" t="s">
        <v>488</v>
      </c>
      <c r="AG382" s="1" t="s">
        <v>53</v>
      </c>
      <c r="AH382" s="1" t="s">
        <v>49</v>
      </c>
      <c r="AI382" s="1" t="s">
        <v>54</v>
      </c>
      <c r="AJ382" s="1">
        <v>1</v>
      </c>
      <c r="AK382" s="1" t="str">
        <f t="shared" si="5"/>
        <v xml:space="preserve"> =&lt;90</v>
      </c>
      <c r="AL382" s="1" t="str">
        <f>VLOOKUP(C:C,[1]基础信息!B$1:D$65536,3,0)</f>
        <v>Jug</v>
      </c>
      <c r="AM382" s="1" t="str">
        <f>VLOOKUP(C:C,[1]基础信息!B$1:E$65536,4,0)</f>
        <v>Style COOL</v>
      </c>
      <c r="AN382" s="1" t="str">
        <f>VLOOKUP(C:C,[1]基础信息!B$1:F$65536,5,0)</f>
        <v>Cool Blue</v>
      </c>
    </row>
    <row r="383" spans="1:40">
      <c r="A383" s="1" t="s">
        <v>41</v>
      </c>
      <c r="B383" s="1" t="s">
        <v>42</v>
      </c>
      <c r="C383" s="1" t="s">
        <v>56</v>
      </c>
      <c r="D383" s="1" t="s">
        <v>57</v>
      </c>
      <c r="E383" s="1" t="s">
        <v>45</v>
      </c>
      <c r="F383" s="1" t="s">
        <v>58</v>
      </c>
      <c r="G383" s="1" t="s">
        <v>1030</v>
      </c>
      <c r="H383" s="1" t="s">
        <v>1031</v>
      </c>
      <c r="I383" s="1" t="s">
        <v>49</v>
      </c>
      <c r="J383" s="1" t="s">
        <v>48</v>
      </c>
      <c r="K383" s="1">
        <v>72</v>
      </c>
      <c r="L383" s="1">
        <v>0</v>
      </c>
      <c r="M383" s="1">
        <v>0</v>
      </c>
      <c r="N383" s="1">
        <v>72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 t="s">
        <v>49</v>
      </c>
      <c r="AA383" s="1" t="s">
        <v>49</v>
      </c>
      <c r="AB383" s="1" t="s">
        <v>49</v>
      </c>
      <c r="AC383" s="1" t="s">
        <v>61</v>
      </c>
      <c r="AD383" s="1" t="s">
        <v>62</v>
      </c>
      <c r="AE383" s="1" t="s">
        <v>61</v>
      </c>
      <c r="AF383" s="1" t="s">
        <v>63</v>
      </c>
      <c r="AG383" s="1" t="s">
        <v>53</v>
      </c>
      <c r="AH383" s="1" t="s">
        <v>49</v>
      </c>
      <c r="AI383" s="1" t="s">
        <v>54</v>
      </c>
      <c r="AJ383" s="1">
        <v>1</v>
      </c>
      <c r="AK383" s="1" t="str">
        <f t="shared" si="5"/>
        <v xml:space="preserve"> =&lt;90</v>
      </c>
      <c r="AL383" s="1" t="str">
        <f>VLOOKUP(C:C,[1]基础信息!B$1:D$65536,3,0)</f>
        <v>Jug</v>
      </c>
      <c r="AM383" s="1" t="str">
        <f>VLOOKUP(C:C,[1]基础信息!B$1:E$65536,4,0)</f>
        <v>Marella XL</v>
      </c>
      <c r="AN383" s="1" t="str">
        <f>VLOOKUP(C:C,[1]基础信息!B$1:F$65536,5,0)</f>
        <v>Blue</v>
      </c>
    </row>
    <row r="384" spans="1:40">
      <c r="A384" s="1" t="s">
        <v>41</v>
      </c>
      <c r="B384" s="1" t="s">
        <v>42</v>
      </c>
      <c r="C384" s="1" t="s">
        <v>208</v>
      </c>
      <c r="D384" s="1" t="s">
        <v>209</v>
      </c>
      <c r="E384" s="1" t="s">
        <v>208</v>
      </c>
      <c r="F384" s="1" t="s">
        <v>373</v>
      </c>
      <c r="G384" s="1" t="s">
        <v>1032</v>
      </c>
      <c r="H384" s="1" t="s">
        <v>1033</v>
      </c>
      <c r="I384" s="1" t="s">
        <v>49</v>
      </c>
      <c r="J384" s="1" t="s">
        <v>48</v>
      </c>
      <c r="K384" s="1">
        <v>80</v>
      </c>
      <c r="L384" s="1">
        <v>0</v>
      </c>
      <c r="M384" s="1">
        <v>0</v>
      </c>
      <c r="N384" s="1">
        <v>80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 t="s">
        <v>49</v>
      </c>
      <c r="AA384" s="1" t="s">
        <v>49</v>
      </c>
      <c r="AB384" s="1" t="s">
        <v>49</v>
      </c>
      <c r="AC384" s="1" t="s">
        <v>376</v>
      </c>
      <c r="AD384" s="1" t="s">
        <v>377</v>
      </c>
      <c r="AE384" s="1" t="s">
        <v>376</v>
      </c>
      <c r="AF384" s="1" t="s">
        <v>378</v>
      </c>
      <c r="AG384" s="1" t="s">
        <v>53</v>
      </c>
      <c r="AH384" s="1" t="s">
        <v>49</v>
      </c>
      <c r="AI384" s="1" t="s">
        <v>54</v>
      </c>
      <c r="AJ384" s="1">
        <v>1</v>
      </c>
      <c r="AK384" s="1" t="str">
        <f t="shared" si="5"/>
        <v xml:space="preserve"> =&lt;90</v>
      </c>
      <c r="AL384" s="1" t="str">
        <f>VLOOKUP(C:C,[1]基础信息!B$1:D$65536,3,0)</f>
        <v>Jug</v>
      </c>
      <c r="AM384" s="1" t="str">
        <f>VLOOKUP(C:C,[1]基础信息!B$1:E$65536,4,0)</f>
        <v>MXpl</v>
      </c>
      <c r="AN384" s="1" t="str">
        <f>VLOOKUP(C:C,[1]基础信息!B$1:F$65536,5,0)</f>
        <v>grey</v>
      </c>
    </row>
    <row r="385" spans="1:40">
      <c r="A385" s="1" t="s">
        <v>41</v>
      </c>
      <c r="B385" s="1" t="s">
        <v>42</v>
      </c>
      <c r="C385" s="1" t="s">
        <v>554</v>
      </c>
      <c r="D385" s="1" t="s">
        <v>555</v>
      </c>
      <c r="E385" s="1" t="s">
        <v>45</v>
      </c>
      <c r="F385" s="1" t="s">
        <v>935</v>
      </c>
      <c r="G385" s="1" t="s">
        <v>1034</v>
      </c>
      <c r="H385" s="1" t="s">
        <v>1035</v>
      </c>
      <c r="I385" s="1" t="s">
        <v>49</v>
      </c>
      <c r="J385" s="1" t="s">
        <v>48</v>
      </c>
      <c r="K385" s="1">
        <v>70</v>
      </c>
      <c r="L385" s="1">
        <v>0</v>
      </c>
      <c r="M385" s="1">
        <v>0</v>
      </c>
      <c r="N385" s="1">
        <v>70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 t="s">
        <v>49</v>
      </c>
      <c r="AA385" s="1" t="s">
        <v>49</v>
      </c>
      <c r="AB385" s="1" t="s">
        <v>49</v>
      </c>
      <c r="AC385" s="1" t="s">
        <v>938</v>
      </c>
      <c r="AD385" s="1" t="s">
        <v>939</v>
      </c>
      <c r="AE385" s="1" t="s">
        <v>938</v>
      </c>
      <c r="AF385" s="1" t="s">
        <v>940</v>
      </c>
      <c r="AG385" s="1" t="s">
        <v>53</v>
      </c>
      <c r="AH385" s="1" t="s">
        <v>49</v>
      </c>
      <c r="AI385" s="1" t="s">
        <v>54</v>
      </c>
      <c r="AJ385" s="1">
        <v>1</v>
      </c>
      <c r="AK385" s="1" t="str">
        <f t="shared" si="5"/>
        <v xml:space="preserve"> =&lt;90</v>
      </c>
      <c r="AL385" s="1" t="str">
        <f>VLOOKUP(C:C,[1]基础信息!B$1:D$65536,3,0)</f>
        <v>Jug</v>
      </c>
      <c r="AM385" s="1" t="str">
        <f>VLOOKUP(C:C,[1]基础信息!B$1:E$65536,4,0)</f>
        <v>Green Pack</v>
      </c>
      <c r="AN385" s="1" t="str">
        <f>VLOOKUP(C:C,[1]基础信息!B$1:F$65536,5,0)</f>
        <v>Blue</v>
      </c>
    </row>
    <row r="386" spans="1:40">
      <c r="A386" s="1" t="s">
        <v>41</v>
      </c>
      <c r="B386" s="1" t="s">
        <v>42</v>
      </c>
      <c r="C386" s="1" t="s">
        <v>554</v>
      </c>
      <c r="D386" s="1" t="s">
        <v>555</v>
      </c>
      <c r="E386" s="1" t="s">
        <v>45</v>
      </c>
      <c r="F386" s="1" t="s">
        <v>935</v>
      </c>
      <c r="G386" s="1" t="s">
        <v>1036</v>
      </c>
      <c r="H386" s="1" t="s">
        <v>1037</v>
      </c>
      <c r="I386" s="1" t="s">
        <v>49</v>
      </c>
      <c r="J386" s="1" t="s">
        <v>48</v>
      </c>
      <c r="K386" s="1">
        <v>70</v>
      </c>
      <c r="L386" s="1">
        <v>0</v>
      </c>
      <c r="M386" s="1">
        <v>0</v>
      </c>
      <c r="N386" s="1">
        <v>70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 t="s">
        <v>49</v>
      </c>
      <c r="AA386" s="1" t="s">
        <v>49</v>
      </c>
      <c r="AB386" s="1" t="s">
        <v>49</v>
      </c>
      <c r="AC386" s="1" t="s">
        <v>938</v>
      </c>
      <c r="AD386" s="1" t="s">
        <v>939</v>
      </c>
      <c r="AE386" s="1" t="s">
        <v>938</v>
      </c>
      <c r="AF386" s="1" t="s">
        <v>940</v>
      </c>
      <c r="AG386" s="1" t="s">
        <v>53</v>
      </c>
      <c r="AH386" s="1" t="s">
        <v>49</v>
      </c>
      <c r="AI386" s="1" t="s">
        <v>54</v>
      </c>
      <c r="AJ386" s="1">
        <v>1</v>
      </c>
      <c r="AK386" s="1" t="str">
        <f t="shared" ref="AK386:AK449" si="6">IF(AJ386&gt;$AP$2,$AQ$2,IF(AJ386&gt;$AP$3,$AQ$3,IF(AJ386&gt;$AP$4,$AQ$4,$AQ$5)))</f>
        <v xml:space="preserve"> =&lt;90</v>
      </c>
      <c r="AL386" s="1" t="str">
        <f>VLOOKUP(C:C,[1]基础信息!B$1:D$65536,3,0)</f>
        <v>Jug</v>
      </c>
      <c r="AM386" s="1" t="str">
        <f>VLOOKUP(C:C,[1]基础信息!B$1:E$65536,4,0)</f>
        <v>Green Pack</v>
      </c>
      <c r="AN386" s="1" t="str">
        <f>VLOOKUP(C:C,[1]基础信息!B$1:F$65536,5,0)</f>
        <v>Blue</v>
      </c>
    </row>
    <row r="387" spans="1:40">
      <c r="A387" s="1" t="s">
        <v>41</v>
      </c>
      <c r="B387" s="1" t="s">
        <v>42</v>
      </c>
      <c r="C387" s="1" t="s">
        <v>56</v>
      </c>
      <c r="D387" s="1" t="s">
        <v>57</v>
      </c>
      <c r="E387" s="1" t="s">
        <v>45</v>
      </c>
      <c r="F387" s="1" t="s">
        <v>58</v>
      </c>
      <c r="G387" s="1" t="s">
        <v>1038</v>
      </c>
      <c r="H387" s="1" t="s">
        <v>1039</v>
      </c>
      <c r="I387" s="1" t="s">
        <v>49</v>
      </c>
      <c r="J387" s="1" t="s">
        <v>48</v>
      </c>
      <c r="K387" s="1">
        <v>72</v>
      </c>
      <c r="L387" s="1">
        <v>0</v>
      </c>
      <c r="M387" s="1">
        <v>0</v>
      </c>
      <c r="N387" s="1">
        <v>72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 t="s">
        <v>49</v>
      </c>
      <c r="AA387" s="1" t="s">
        <v>49</v>
      </c>
      <c r="AB387" s="1" t="s">
        <v>49</v>
      </c>
      <c r="AC387" s="1" t="s">
        <v>61</v>
      </c>
      <c r="AD387" s="1" t="s">
        <v>62</v>
      </c>
      <c r="AE387" s="1" t="s">
        <v>61</v>
      </c>
      <c r="AF387" s="1" t="s">
        <v>63</v>
      </c>
      <c r="AG387" s="1" t="s">
        <v>53</v>
      </c>
      <c r="AH387" s="1" t="s">
        <v>49</v>
      </c>
      <c r="AI387" s="1" t="s">
        <v>54</v>
      </c>
      <c r="AJ387" s="1">
        <v>1</v>
      </c>
      <c r="AK387" s="1" t="str">
        <f t="shared" si="6"/>
        <v xml:space="preserve"> =&lt;90</v>
      </c>
      <c r="AL387" s="1" t="str">
        <f>VLOOKUP(C:C,[1]基础信息!B$1:D$65536,3,0)</f>
        <v>Jug</v>
      </c>
      <c r="AM387" s="1" t="str">
        <f>VLOOKUP(C:C,[1]基础信息!B$1:E$65536,4,0)</f>
        <v>Marella XL</v>
      </c>
      <c r="AN387" s="1" t="str">
        <f>VLOOKUP(C:C,[1]基础信息!B$1:F$65536,5,0)</f>
        <v>Blue</v>
      </c>
    </row>
    <row r="388" spans="1:40">
      <c r="A388" s="1" t="s">
        <v>41</v>
      </c>
      <c r="B388" s="1" t="s">
        <v>42</v>
      </c>
      <c r="C388" s="1" t="s">
        <v>56</v>
      </c>
      <c r="D388" s="1" t="s">
        <v>57</v>
      </c>
      <c r="E388" s="1" t="s">
        <v>45</v>
      </c>
      <c r="F388" s="1" t="s">
        <v>58</v>
      </c>
      <c r="G388" s="1" t="s">
        <v>1040</v>
      </c>
      <c r="H388" s="1" t="s">
        <v>1041</v>
      </c>
      <c r="I388" s="1" t="s">
        <v>49</v>
      </c>
      <c r="J388" s="1" t="s">
        <v>48</v>
      </c>
      <c r="K388" s="1">
        <v>72</v>
      </c>
      <c r="L388" s="1">
        <v>0</v>
      </c>
      <c r="M388" s="1">
        <v>0</v>
      </c>
      <c r="N388" s="1">
        <v>72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 t="s">
        <v>49</v>
      </c>
      <c r="AA388" s="1" t="s">
        <v>49</v>
      </c>
      <c r="AB388" s="1" t="s">
        <v>49</v>
      </c>
      <c r="AC388" s="1" t="s">
        <v>61</v>
      </c>
      <c r="AD388" s="1" t="s">
        <v>62</v>
      </c>
      <c r="AE388" s="1" t="s">
        <v>61</v>
      </c>
      <c r="AF388" s="1" t="s">
        <v>63</v>
      </c>
      <c r="AG388" s="1" t="s">
        <v>53</v>
      </c>
      <c r="AH388" s="1" t="s">
        <v>49</v>
      </c>
      <c r="AI388" s="1" t="s">
        <v>54</v>
      </c>
      <c r="AJ388" s="1">
        <v>1</v>
      </c>
      <c r="AK388" s="1" t="str">
        <f t="shared" si="6"/>
        <v xml:space="preserve"> =&lt;90</v>
      </c>
      <c r="AL388" s="1" t="str">
        <f>VLOOKUP(C:C,[1]基础信息!B$1:D$65536,3,0)</f>
        <v>Jug</v>
      </c>
      <c r="AM388" s="1" t="str">
        <f>VLOOKUP(C:C,[1]基础信息!B$1:E$65536,4,0)</f>
        <v>Marella XL</v>
      </c>
      <c r="AN388" s="1" t="str">
        <f>VLOOKUP(C:C,[1]基础信息!B$1:F$65536,5,0)</f>
        <v>Blue</v>
      </c>
    </row>
    <row r="389" spans="1:40">
      <c r="A389" s="1" t="s">
        <v>41</v>
      </c>
      <c r="B389" s="1" t="s">
        <v>42</v>
      </c>
      <c r="C389" s="1" t="s">
        <v>56</v>
      </c>
      <c r="D389" s="1" t="s">
        <v>57</v>
      </c>
      <c r="E389" s="1" t="s">
        <v>45</v>
      </c>
      <c r="F389" s="1" t="s">
        <v>58</v>
      </c>
      <c r="G389" s="1" t="s">
        <v>1042</v>
      </c>
      <c r="H389" s="1" t="s">
        <v>1043</v>
      </c>
      <c r="I389" s="1" t="s">
        <v>49</v>
      </c>
      <c r="J389" s="1" t="s">
        <v>48</v>
      </c>
      <c r="K389" s="1">
        <v>72</v>
      </c>
      <c r="L389" s="1">
        <v>0</v>
      </c>
      <c r="M389" s="1">
        <v>0</v>
      </c>
      <c r="N389" s="1">
        <v>72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 t="s">
        <v>49</v>
      </c>
      <c r="AA389" s="1" t="s">
        <v>49</v>
      </c>
      <c r="AB389" s="1" t="s">
        <v>49</v>
      </c>
      <c r="AC389" s="1" t="s">
        <v>61</v>
      </c>
      <c r="AD389" s="1" t="s">
        <v>62</v>
      </c>
      <c r="AE389" s="1" t="s">
        <v>61</v>
      </c>
      <c r="AF389" s="1" t="s">
        <v>63</v>
      </c>
      <c r="AG389" s="1" t="s">
        <v>53</v>
      </c>
      <c r="AH389" s="1" t="s">
        <v>49</v>
      </c>
      <c r="AI389" s="1" t="s">
        <v>54</v>
      </c>
      <c r="AJ389" s="1">
        <v>1</v>
      </c>
      <c r="AK389" s="1" t="str">
        <f t="shared" si="6"/>
        <v xml:space="preserve"> =&lt;90</v>
      </c>
      <c r="AL389" s="1" t="str">
        <f>VLOOKUP(C:C,[1]基础信息!B$1:D$65536,3,0)</f>
        <v>Jug</v>
      </c>
      <c r="AM389" s="1" t="str">
        <f>VLOOKUP(C:C,[1]基础信息!B$1:E$65536,4,0)</f>
        <v>Marella XL</v>
      </c>
      <c r="AN389" s="1" t="str">
        <f>VLOOKUP(C:C,[1]基础信息!B$1:F$65536,5,0)</f>
        <v>Blue</v>
      </c>
    </row>
    <row r="390" spans="1:40">
      <c r="A390" s="1" t="s">
        <v>41</v>
      </c>
      <c r="B390" s="1" t="s">
        <v>42</v>
      </c>
      <c r="C390" s="1" t="s">
        <v>554</v>
      </c>
      <c r="D390" s="1" t="s">
        <v>555</v>
      </c>
      <c r="E390" s="1" t="s">
        <v>45</v>
      </c>
      <c r="F390" s="1" t="s">
        <v>935</v>
      </c>
      <c r="G390" s="1" t="s">
        <v>1044</v>
      </c>
      <c r="H390" s="1" t="s">
        <v>1045</v>
      </c>
      <c r="I390" s="1" t="s">
        <v>49</v>
      </c>
      <c r="J390" s="1" t="s">
        <v>48</v>
      </c>
      <c r="K390" s="1">
        <v>70</v>
      </c>
      <c r="L390" s="1">
        <v>0</v>
      </c>
      <c r="M390" s="1">
        <v>0</v>
      </c>
      <c r="N390" s="1">
        <v>70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 t="s">
        <v>49</v>
      </c>
      <c r="AA390" s="1" t="s">
        <v>49</v>
      </c>
      <c r="AB390" s="1" t="s">
        <v>49</v>
      </c>
      <c r="AC390" s="1" t="s">
        <v>938</v>
      </c>
      <c r="AD390" s="1" t="s">
        <v>939</v>
      </c>
      <c r="AE390" s="1" t="s">
        <v>938</v>
      </c>
      <c r="AF390" s="1" t="s">
        <v>940</v>
      </c>
      <c r="AG390" s="1" t="s">
        <v>53</v>
      </c>
      <c r="AH390" s="1" t="s">
        <v>49</v>
      </c>
      <c r="AI390" s="1" t="s">
        <v>54</v>
      </c>
      <c r="AJ390" s="1">
        <v>1</v>
      </c>
      <c r="AK390" s="1" t="str">
        <f t="shared" si="6"/>
        <v xml:space="preserve"> =&lt;90</v>
      </c>
      <c r="AL390" s="1" t="str">
        <f>VLOOKUP(C:C,[1]基础信息!B$1:D$65536,3,0)</f>
        <v>Jug</v>
      </c>
      <c r="AM390" s="1" t="str">
        <f>VLOOKUP(C:C,[1]基础信息!B$1:E$65536,4,0)</f>
        <v>Green Pack</v>
      </c>
      <c r="AN390" s="1" t="str">
        <f>VLOOKUP(C:C,[1]基础信息!B$1:F$65536,5,0)</f>
        <v>Blue</v>
      </c>
    </row>
    <row r="391" spans="1:40">
      <c r="A391" s="1" t="s">
        <v>41</v>
      </c>
      <c r="B391" s="1" t="s">
        <v>42</v>
      </c>
      <c r="C391" s="1" t="s">
        <v>208</v>
      </c>
      <c r="D391" s="1" t="s">
        <v>209</v>
      </c>
      <c r="E391" s="1" t="s">
        <v>208</v>
      </c>
      <c r="F391" s="1" t="s">
        <v>210</v>
      </c>
      <c r="G391" s="1" t="s">
        <v>1046</v>
      </c>
      <c r="H391" s="1" t="s">
        <v>1047</v>
      </c>
      <c r="I391" s="1" t="s">
        <v>49</v>
      </c>
      <c r="J391" s="1" t="s">
        <v>48</v>
      </c>
      <c r="K391" s="1">
        <v>80</v>
      </c>
      <c r="L391" s="1">
        <v>0</v>
      </c>
      <c r="M391" s="1">
        <v>0</v>
      </c>
      <c r="N391" s="1">
        <v>80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 t="s">
        <v>49</v>
      </c>
      <c r="AA391" s="1" t="s">
        <v>49</v>
      </c>
      <c r="AB391" s="1" t="s">
        <v>49</v>
      </c>
      <c r="AC391" s="1" t="s">
        <v>213</v>
      </c>
      <c r="AD391" s="1" t="s">
        <v>214</v>
      </c>
      <c r="AE391" s="1" t="s">
        <v>215</v>
      </c>
      <c r="AF391" s="1" t="s">
        <v>216</v>
      </c>
      <c r="AG391" s="1" t="s">
        <v>53</v>
      </c>
      <c r="AH391" s="1" t="s">
        <v>49</v>
      </c>
      <c r="AI391" s="1" t="s">
        <v>54</v>
      </c>
      <c r="AJ391" s="1">
        <v>1</v>
      </c>
      <c r="AK391" s="1" t="str">
        <f t="shared" si="6"/>
        <v xml:space="preserve"> =&lt;90</v>
      </c>
      <c r="AL391" s="1" t="str">
        <f>VLOOKUP(C:C,[1]基础信息!B$1:D$65536,3,0)</f>
        <v>Jug</v>
      </c>
      <c r="AM391" s="1" t="str">
        <f>VLOOKUP(C:C,[1]基础信息!B$1:E$65536,4,0)</f>
        <v>MXpl</v>
      </c>
      <c r="AN391" s="1" t="str">
        <f>VLOOKUP(C:C,[1]基础信息!B$1:F$65536,5,0)</f>
        <v>grey</v>
      </c>
    </row>
    <row r="392" spans="1:40">
      <c r="A392" s="1" t="s">
        <v>41</v>
      </c>
      <c r="B392" s="1" t="s">
        <v>42</v>
      </c>
      <c r="C392" s="1" t="s">
        <v>208</v>
      </c>
      <c r="D392" s="1" t="s">
        <v>209</v>
      </c>
      <c r="E392" s="1" t="s">
        <v>208</v>
      </c>
      <c r="F392" s="1" t="s">
        <v>210</v>
      </c>
      <c r="G392" s="1" t="s">
        <v>1048</v>
      </c>
      <c r="H392" s="1" t="s">
        <v>1049</v>
      </c>
      <c r="I392" s="1" t="s">
        <v>49</v>
      </c>
      <c r="J392" s="1" t="s">
        <v>48</v>
      </c>
      <c r="K392" s="1">
        <v>80</v>
      </c>
      <c r="L392" s="1">
        <v>0</v>
      </c>
      <c r="M392" s="1">
        <v>0</v>
      </c>
      <c r="N392" s="1">
        <v>80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 t="s">
        <v>49</v>
      </c>
      <c r="AA392" s="1" t="s">
        <v>49</v>
      </c>
      <c r="AB392" s="1" t="s">
        <v>49</v>
      </c>
      <c r="AC392" s="1" t="s">
        <v>213</v>
      </c>
      <c r="AD392" s="1" t="s">
        <v>214</v>
      </c>
      <c r="AE392" s="1" t="s">
        <v>215</v>
      </c>
      <c r="AF392" s="1" t="s">
        <v>216</v>
      </c>
      <c r="AG392" s="1" t="s">
        <v>53</v>
      </c>
      <c r="AH392" s="1" t="s">
        <v>49</v>
      </c>
      <c r="AI392" s="1" t="s">
        <v>54</v>
      </c>
      <c r="AJ392" s="1">
        <v>1</v>
      </c>
      <c r="AK392" s="1" t="str">
        <f t="shared" si="6"/>
        <v xml:space="preserve"> =&lt;90</v>
      </c>
      <c r="AL392" s="1" t="str">
        <f>VLOOKUP(C:C,[1]基础信息!B$1:D$65536,3,0)</f>
        <v>Jug</v>
      </c>
      <c r="AM392" s="1" t="str">
        <f>VLOOKUP(C:C,[1]基础信息!B$1:E$65536,4,0)</f>
        <v>MXpl</v>
      </c>
      <c r="AN392" s="1" t="str">
        <f>VLOOKUP(C:C,[1]基础信息!B$1:F$65536,5,0)</f>
        <v>grey</v>
      </c>
    </row>
    <row r="393" spans="1:40">
      <c r="A393" s="1" t="s">
        <v>41</v>
      </c>
      <c r="B393" s="1" t="s">
        <v>42</v>
      </c>
      <c r="C393" s="1" t="s">
        <v>208</v>
      </c>
      <c r="D393" s="1" t="s">
        <v>209</v>
      </c>
      <c r="E393" s="1" t="s">
        <v>208</v>
      </c>
      <c r="F393" s="1" t="s">
        <v>210</v>
      </c>
      <c r="G393" s="1" t="s">
        <v>1050</v>
      </c>
      <c r="H393" s="1" t="s">
        <v>1051</v>
      </c>
      <c r="I393" s="1" t="s">
        <v>49</v>
      </c>
      <c r="J393" s="1" t="s">
        <v>48</v>
      </c>
      <c r="K393" s="1">
        <v>80</v>
      </c>
      <c r="L393" s="1">
        <v>0</v>
      </c>
      <c r="M393" s="1">
        <v>0</v>
      </c>
      <c r="N393" s="1">
        <v>80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 t="s">
        <v>49</v>
      </c>
      <c r="AA393" s="1" t="s">
        <v>49</v>
      </c>
      <c r="AB393" s="1" t="s">
        <v>49</v>
      </c>
      <c r="AC393" s="1" t="s">
        <v>213</v>
      </c>
      <c r="AD393" s="1" t="s">
        <v>214</v>
      </c>
      <c r="AE393" s="1" t="s">
        <v>215</v>
      </c>
      <c r="AF393" s="1" t="s">
        <v>216</v>
      </c>
      <c r="AG393" s="1" t="s">
        <v>53</v>
      </c>
      <c r="AH393" s="1" t="s">
        <v>49</v>
      </c>
      <c r="AI393" s="1" t="s">
        <v>54</v>
      </c>
      <c r="AJ393" s="1">
        <v>1</v>
      </c>
      <c r="AK393" s="1" t="str">
        <f t="shared" si="6"/>
        <v xml:space="preserve"> =&lt;90</v>
      </c>
      <c r="AL393" s="1" t="str">
        <f>VLOOKUP(C:C,[1]基础信息!B$1:D$65536,3,0)</f>
        <v>Jug</v>
      </c>
      <c r="AM393" s="1" t="str">
        <f>VLOOKUP(C:C,[1]基础信息!B$1:E$65536,4,0)</f>
        <v>MXpl</v>
      </c>
      <c r="AN393" s="1" t="str">
        <f>VLOOKUP(C:C,[1]基础信息!B$1:F$65536,5,0)</f>
        <v>grey</v>
      </c>
    </row>
    <row r="394" spans="1:40">
      <c r="A394" s="1" t="s">
        <v>41</v>
      </c>
      <c r="B394" s="1" t="s">
        <v>42</v>
      </c>
      <c r="C394" s="1" t="s">
        <v>208</v>
      </c>
      <c r="D394" s="1" t="s">
        <v>209</v>
      </c>
      <c r="E394" s="1" t="s">
        <v>208</v>
      </c>
      <c r="F394" s="1" t="s">
        <v>210</v>
      </c>
      <c r="G394" s="1" t="s">
        <v>1052</v>
      </c>
      <c r="H394" s="1" t="s">
        <v>1053</v>
      </c>
      <c r="I394" s="1" t="s">
        <v>49</v>
      </c>
      <c r="J394" s="1" t="s">
        <v>48</v>
      </c>
      <c r="K394" s="1">
        <v>80</v>
      </c>
      <c r="L394" s="1">
        <v>0</v>
      </c>
      <c r="M394" s="1">
        <v>0</v>
      </c>
      <c r="N394" s="1">
        <v>80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 t="s">
        <v>49</v>
      </c>
      <c r="AA394" s="1" t="s">
        <v>49</v>
      </c>
      <c r="AB394" s="1" t="s">
        <v>49</v>
      </c>
      <c r="AC394" s="1" t="s">
        <v>213</v>
      </c>
      <c r="AD394" s="1" t="s">
        <v>214</v>
      </c>
      <c r="AE394" s="1" t="s">
        <v>215</v>
      </c>
      <c r="AF394" s="1" t="s">
        <v>216</v>
      </c>
      <c r="AG394" s="1" t="s">
        <v>53</v>
      </c>
      <c r="AH394" s="1" t="s">
        <v>49</v>
      </c>
      <c r="AI394" s="1" t="s">
        <v>54</v>
      </c>
      <c r="AJ394" s="1">
        <v>1</v>
      </c>
      <c r="AK394" s="1" t="str">
        <f t="shared" si="6"/>
        <v xml:space="preserve"> =&lt;90</v>
      </c>
      <c r="AL394" s="1" t="str">
        <f>VLOOKUP(C:C,[1]基础信息!B$1:D$65536,3,0)</f>
        <v>Jug</v>
      </c>
      <c r="AM394" s="1" t="str">
        <f>VLOOKUP(C:C,[1]基础信息!B$1:E$65536,4,0)</f>
        <v>MXpl</v>
      </c>
      <c r="AN394" s="1" t="str">
        <f>VLOOKUP(C:C,[1]基础信息!B$1:F$65536,5,0)</f>
        <v>grey</v>
      </c>
    </row>
    <row r="395" spans="1:40">
      <c r="A395" s="1" t="s">
        <v>41</v>
      </c>
      <c r="B395" s="1" t="s">
        <v>42</v>
      </c>
      <c r="C395" s="1" t="s">
        <v>208</v>
      </c>
      <c r="D395" s="1" t="s">
        <v>209</v>
      </c>
      <c r="E395" s="1" t="s">
        <v>208</v>
      </c>
      <c r="F395" s="1" t="s">
        <v>210</v>
      </c>
      <c r="G395" s="1" t="s">
        <v>1054</v>
      </c>
      <c r="H395" s="1" t="s">
        <v>1055</v>
      </c>
      <c r="I395" s="1" t="s">
        <v>49</v>
      </c>
      <c r="J395" s="1" t="s">
        <v>48</v>
      </c>
      <c r="K395" s="1">
        <v>80</v>
      </c>
      <c r="L395" s="1">
        <v>0</v>
      </c>
      <c r="M395" s="1">
        <v>0</v>
      </c>
      <c r="N395" s="1">
        <v>80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 t="s">
        <v>49</v>
      </c>
      <c r="AA395" s="1" t="s">
        <v>49</v>
      </c>
      <c r="AB395" s="1" t="s">
        <v>49</v>
      </c>
      <c r="AC395" s="1" t="s">
        <v>213</v>
      </c>
      <c r="AD395" s="1" t="s">
        <v>214</v>
      </c>
      <c r="AE395" s="1" t="s">
        <v>215</v>
      </c>
      <c r="AF395" s="1" t="s">
        <v>216</v>
      </c>
      <c r="AG395" s="1" t="s">
        <v>53</v>
      </c>
      <c r="AH395" s="1" t="s">
        <v>49</v>
      </c>
      <c r="AI395" s="1" t="s">
        <v>54</v>
      </c>
      <c r="AJ395" s="1">
        <v>1</v>
      </c>
      <c r="AK395" s="1" t="str">
        <f t="shared" si="6"/>
        <v xml:space="preserve"> =&lt;90</v>
      </c>
      <c r="AL395" s="1" t="str">
        <f>VLOOKUP(C:C,[1]基础信息!B$1:D$65536,3,0)</f>
        <v>Jug</v>
      </c>
      <c r="AM395" s="1" t="str">
        <f>VLOOKUP(C:C,[1]基础信息!B$1:E$65536,4,0)</f>
        <v>MXpl</v>
      </c>
      <c r="AN395" s="1" t="str">
        <f>VLOOKUP(C:C,[1]基础信息!B$1:F$65536,5,0)</f>
        <v>grey</v>
      </c>
    </row>
    <row r="396" spans="1:40">
      <c r="A396" s="1" t="s">
        <v>41</v>
      </c>
      <c r="B396" s="1" t="s">
        <v>42</v>
      </c>
      <c r="C396" s="1" t="s">
        <v>208</v>
      </c>
      <c r="D396" s="1" t="s">
        <v>209</v>
      </c>
      <c r="E396" s="1" t="s">
        <v>208</v>
      </c>
      <c r="F396" s="1" t="s">
        <v>210</v>
      </c>
      <c r="G396" s="1" t="s">
        <v>1056</v>
      </c>
      <c r="H396" s="1" t="s">
        <v>1057</v>
      </c>
      <c r="I396" s="1" t="s">
        <v>49</v>
      </c>
      <c r="J396" s="1" t="s">
        <v>48</v>
      </c>
      <c r="K396" s="1">
        <v>80</v>
      </c>
      <c r="L396" s="1">
        <v>0</v>
      </c>
      <c r="M396" s="1">
        <v>0</v>
      </c>
      <c r="N396" s="1">
        <v>80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 t="s">
        <v>49</v>
      </c>
      <c r="AA396" s="1" t="s">
        <v>49</v>
      </c>
      <c r="AB396" s="1" t="s">
        <v>49</v>
      </c>
      <c r="AC396" s="1" t="s">
        <v>213</v>
      </c>
      <c r="AD396" s="1" t="s">
        <v>214</v>
      </c>
      <c r="AE396" s="1" t="s">
        <v>215</v>
      </c>
      <c r="AF396" s="1" t="s">
        <v>216</v>
      </c>
      <c r="AG396" s="1" t="s">
        <v>53</v>
      </c>
      <c r="AH396" s="1" t="s">
        <v>49</v>
      </c>
      <c r="AI396" s="1" t="s">
        <v>54</v>
      </c>
      <c r="AJ396" s="1">
        <v>1</v>
      </c>
      <c r="AK396" s="1" t="str">
        <f t="shared" si="6"/>
        <v xml:space="preserve"> =&lt;90</v>
      </c>
      <c r="AL396" s="1" t="str">
        <f>VLOOKUP(C:C,[1]基础信息!B$1:D$65536,3,0)</f>
        <v>Jug</v>
      </c>
      <c r="AM396" s="1" t="str">
        <f>VLOOKUP(C:C,[1]基础信息!B$1:E$65536,4,0)</f>
        <v>MXpl</v>
      </c>
      <c r="AN396" s="1" t="str">
        <f>VLOOKUP(C:C,[1]基础信息!B$1:F$65536,5,0)</f>
        <v>grey</v>
      </c>
    </row>
    <row r="397" spans="1:40">
      <c r="A397" s="1" t="s">
        <v>41</v>
      </c>
      <c r="B397" s="1" t="s">
        <v>42</v>
      </c>
      <c r="C397" s="1" t="s">
        <v>56</v>
      </c>
      <c r="D397" s="1" t="s">
        <v>57</v>
      </c>
      <c r="E397" s="1" t="s">
        <v>45</v>
      </c>
      <c r="F397" s="1" t="s">
        <v>58</v>
      </c>
      <c r="G397" s="1" t="s">
        <v>1058</v>
      </c>
      <c r="H397" s="1" t="s">
        <v>1059</v>
      </c>
      <c r="I397" s="1" t="s">
        <v>49</v>
      </c>
      <c r="J397" s="1" t="s">
        <v>48</v>
      </c>
      <c r="K397" s="1">
        <v>72</v>
      </c>
      <c r="L397" s="1">
        <v>0</v>
      </c>
      <c r="M397" s="1">
        <v>0</v>
      </c>
      <c r="N397" s="1">
        <v>72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 t="s">
        <v>49</v>
      </c>
      <c r="AA397" s="1" t="s">
        <v>49</v>
      </c>
      <c r="AB397" s="1" t="s">
        <v>49</v>
      </c>
      <c r="AC397" s="1" t="s">
        <v>61</v>
      </c>
      <c r="AD397" s="1" t="s">
        <v>62</v>
      </c>
      <c r="AE397" s="1" t="s">
        <v>61</v>
      </c>
      <c r="AF397" s="1" t="s">
        <v>63</v>
      </c>
      <c r="AG397" s="1" t="s">
        <v>53</v>
      </c>
      <c r="AH397" s="1" t="s">
        <v>49</v>
      </c>
      <c r="AI397" s="1" t="s">
        <v>54</v>
      </c>
      <c r="AJ397" s="1">
        <v>1</v>
      </c>
      <c r="AK397" s="1" t="str">
        <f t="shared" si="6"/>
        <v xml:space="preserve"> =&lt;90</v>
      </c>
      <c r="AL397" s="1" t="str">
        <f>VLOOKUP(C:C,[1]基础信息!B$1:D$65536,3,0)</f>
        <v>Jug</v>
      </c>
      <c r="AM397" s="1" t="str">
        <f>VLOOKUP(C:C,[1]基础信息!B$1:E$65536,4,0)</f>
        <v>Marella XL</v>
      </c>
      <c r="AN397" s="1" t="str">
        <f>VLOOKUP(C:C,[1]基础信息!B$1:F$65536,5,0)</f>
        <v>Blue</v>
      </c>
    </row>
    <row r="398" spans="1:40">
      <c r="A398" s="1" t="s">
        <v>41</v>
      </c>
      <c r="B398" s="1" t="s">
        <v>42</v>
      </c>
      <c r="C398" s="1" t="s">
        <v>969</v>
      </c>
      <c r="D398" s="1" t="s">
        <v>970</v>
      </c>
      <c r="E398" s="1" t="s">
        <v>45</v>
      </c>
      <c r="F398" s="1" t="s">
        <v>971</v>
      </c>
      <c r="G398" s="1" t="s">
        <v>1060</v>
      </c>
      <c r="H398" s="1" t="s">
        <v>1061</v>
      </c>
      <c r="I398" s="1" t="s">
        <v>49</v>
      </c>
      <c r="J398" s="1" t="s">
        <v>48</v>
      </c>
      <c r="K398" s="1">
        <v>80</v>
      </c>
      <c r="L398" s="1">
        <v>0</v>
      </c>
      <c r="M398" s="1">
        <v>0</v>
      </c>
      <c r="N398" s="1">
        <v>80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 t="s">
        <v>49</v>
      </c>
      <c r="AA398" s="1" t="s">
        <v>49</v>
      </c>
      <c r="AB398" s="1" t="s">
        <v>49</v>
      </c>
      <c r="AC398" s="1" t="s">
        <v>470</v>
      </c>
      <c r="AD398" s="1" t="s">
        <v>471</v>
      </c>
      <c r="AE398" s="1" t="s">
        <v>974</v>
      </c>
      <c r="AF398" s="1" t="s">
        <v>975</v>
      </c>
      <c r="AG398" s="1" t="s">
        <v>53</v>
      </c>
      <c r="AH398" s="1" t="s">
        <v>49</v>
      </c>
      <c r="AI398" s="1" t="s">
        <v>54</v>
      </c>
      <c r="AJ398" s="1">
        <v>1</v>
      </c>
      <c r="AK398" s="1" t="str">
        <f t="shared" si="6"/>
        <v xml:space="preserve"> =&lt;90</v>
      </c>
      <c r="AL398" s="1" t="str">
        <f>VLOOKUP(C:C,[1]基础信息!B$1:D$65536,3,0)</f>
        <v>Jug</v>
      </c>
      <c r="AM398" s="1" t="str">
        <f>VLOOKUP(C:C,[1]基础信息!B$1:E$65536,4,0)</f>
        <v>Mxplus</v>
      </c>
      <c r="AN398" s="1" t="str">
        <f>VLOOKUP(C:C,[1]基础信息!B$1:F$65536,5,0)</f>
        <v xml:space="preserve"> blue</v>
      </c>
    </row>
    <row r="399" spans="1:40">
      <c r="A399" s="1" t="s">
        <v>41</v>
      </c>
      <c r="B399" s="1" t="s">
        <v>42</v>
      </c>
      <c r="C399" s="1" t="s">
        <v>969</v>
      </c>
      <c r="D399" s="1" t="s">
        <v>970</v>
      </c>
      <c r="E399" s="1" t="s">
        <v>45</v>
      </c>
      <c r="F399" s="1" t="s">
        <v>971</v>
      </c>
      <c r="G399" s="1" t="s">
        <v>1062</v>
      </c>
      <c r="H399" s="1" t="s">
        <v>1063</v>
      </c>
      <c r="I399" s="1" t="s">
        <v>49</v>
      </c>
      <c r="J399" s="1" t="s">
        <v>48</v>
      </c>
      <c r="K399" s="1">
        <v>80</v>
      </c>
      <c r="L399" s="1">
        <v>0</v>
      </c>
      <c r="M399" s="1">
        <v>0</v>
      </c>
      <c r="N399" s="1">
        <v>80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 t="s">
        <v>49</v>
      </c>
      <c r="AA399" s="1" t="s">
        <v>49</v>
      </c>
      <c r="AB399" s="1" t="s">
        <v>49</v>
      </c>
      <c r="AC399" s="1" t="s">
        <v>470</v>
      </c>
      <c r="AD399" s="1" t="s">
        <v>471</v>
      </c>
      <c r="AE399" s="1" t="s">
        <v>974</v>
      </c>
      <c r="AF399" s="1" t="s">
        <v>975</v>
      </c>
      <c r="AG399" s="1" t="s">
        <v>53</v>
      </c>
      <c r="AH399" s="1" t="s">
        <v>49</v>
      </c>
      <c r="AI399" s="1" t="s">
        <v>54</v>
      </c>
      <c r="AJ399" s="1">
        <v>1</v>
      </c>
      <c r="AK399" s="1" t="str">
        <f t="shared" si="6"/>
        <v xml:space="preserve"> =&lt;90</v>
      </c>
      <c r="AL399" s="1" t="str">
        <f>VLOOKUP(C:C,[1]基础信息!B$1:D$65536,3,0)</f>
        <v>Jug</v>
      </c>
      <c r="AM399" s="1" t="str">
        <f>VLOOKUP(C:C,[1]基础信息!B$1:E$65536,4,0)</f>
        <v>Mxplus</v>
      </c>
      <c r="AN399" s="1" t="str">
        <f>VLOOKUP(C:C,[1]基础信息!B$1:F$65536,5,0)</f>
        <v xml:space="preserve"> blue</v>
      </c>
    </row>
    <row r="400" spans="1:40">
      <c r="A400" s="1" t="s">
        <v>41</v>
      </c>
      <c r="B400" s="1" t="s">
        <v>42</v>
      </c>
      <c r="C400" s="1" t="s">
        <v>554</v>
      </c>
      <c r="D400" s="1" t="s">
        <v>555</v>
      </c>
      <c r="E400" s="1" t="s">
        <v>45</v>
      </c>
      <c r="F400" s="1" t="s">
        <v>935</v>
      </c>
      <c r="G400" s="1" t="s">
        <v>1064</v>
      </c>
      <c r="H400" s="1" t="s">
        <v>1065</v>
      </c>
      <c r="I400" s="1" t="s">
        <v>49</v>
      </c>
      <c r="J400" s="1" t="s">
        <v>48</v>
      </c>
      <c r="K400" s="1">
        <v>70</v>
      </c>
      <c r="L400" s="1">
        <v>0</v>
      </c>
      <c r="M400" s="1">
        <v>0</v>
      </c>
      <c r="N400" s="1">
        <v>70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 t="s">
        <v>49</v>
      </c>
      <c r="AA400" s="1" t="s">
        <v>49</v>
      </c>
      <c r="AB400" s="1" t="s">
        <v>49</v>
      </c>
      <c r="AC400" s="1" t="s">
        <v>938</v>
      </c>
      <c r="AD400" s="1" t="s">
        <v>939</v>
      </c>
      <c r="AE400" s="1" t="s">
        <v>938</v>
      </c>
      <c r="AF400" s="1" t="s">
        <v>940</v>
      </c>
      <c r="AG400" s="1" t="s">
        <v>53</v>
      </c>
      <c r="AH400" s="1" t="s">
        <v>49</v>
      </c>
      <c r="AI400" s="1" t="s">
        <v>54</v>
      </c>
      <c r="AJ400" s="1">
        <v>1</v>
      </c>
      <c r="AK400" s="1" t="str">
        <f t="shared" si="6"/>
        <v xml:space="preserve"> =&lt;90</v>
      </c>
      <c r="AL400" s="1" t="str">
        <f>VLOOKUP(C:C,[1]基础信息!B$1:D$65536,3,0)</f>
        <v>Jug</v>
      </c>
      <c r="AM400" s="1" t="str">
        <f>VLOOKUP(C:C,[1]基础信息!B$1:E$65536,4,0)</f>
        <v>Green Pack</v>
      </c>
      <c r="AN400" s="1" t="str">
        <f>VLOOKUP(C:C,[1]基础信息!B$1:F$65536,5,0)</f>
        <v>Blue</v>
      </c>
    </row>
    <row r="401" spans="1:40">
      <c r="A401" s="1" t="s">
        <v>41</v>
      </c>
      <c r="B401" s="1" t="s">
        <v>42</v>
      </c>
      <c r="C401" s="1" t="s">
        <v>83</v>
      </c>
      <c r="D401" s="1" t="s">
        <v>84</v>
      </c>
      <c r="E401" s="1" t="s">
        <v>45</v>
      </c>
      <c r="F401" s="1" t="s">
        <v>349</v>
      </c>
      <c r="G401" s="1" t="s">
        <v>1066</v>
      </c>
      <c r="H401" s="1" t="s">
        <v>1067</v>
      </c>
      <c r="I401" s="1" t="s">
        <v>49</v>
      </c>
      <c r="J401" s="1" t="s">
        <v>48</v>
      </c>
      <c r="K401" s="1">
        <v>96</v>
      </c>
      <c r="L401" s="1">
        <v>0</v>
      </c>
      <c r="M401" s="1">
        <v>0</v>
      </c>
      <c r="N401" s="1">
        <v>96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 t="s">
        <v>49</v>
      </c>
      <c r="AA401" s="1" t="s">
        <v>49</v>
      </c>
      <c r="AB401" s="1" t="s">
        <v>49</v>
      </c>
      <c r="AC401" s="1" t="s">
        <v>88</v>
      </c>
      <c r="AD401" s="1" t="s">
        <v>89</v>
      </c>
      <c r="AE401" s="1" t="s">
        <v>88</v>
      </c>
      <c r="AF401" s="1" t="s">
        <v>352</v>
      </c>
      <c r="AG401" s="1" t="s">
        <v>53</v>
      </c>
      <c r="AH401" s="1" t="s">
        <v>49</v>
      </c>
      <c r="AI401" s="1" t="s">
        <v>54</v>
      </c>
      <c r="AJ401" s="1">
        <v>1</v>
      </c>
      <c r="AK401" s="1" t="str">
        <f t="shared" si="6"/>
        <v xml:space="preserve"> =&lt;90</v>
      </c>
      <c r="AL401" s="1" t="str">
        <f>VLOOKUP(C:C,[1]基础信息!B$1:D$65536,3,0)</f>
        <v>Jug</v>
      </c>
      <c r="AM401" s="1" t="str">
        <f>VLOOKUP(C:C,[1]基础信息!B$1:E$65536,4,0)</f>
        <v>Mxplus</v>
      </c>
      <c r="AN401" s="1" t="str">
        <f>VLOOKUP(C:C,[1]基础信息!B$1:F$65536,5,0)</f>
        <v>Blue</v>
      </c>
    </row>
    <row r="402" spans="1:40">
      <c r="A402" s="1" t="s">
        <v>41</v>
      </c>
      <c r="B402" s="1" t="s">
        <v>42</v>
      </c>
      <c r="C402" s="1" t="s">
        <v>68</v>
      </c>
      <c r="D402" s="1" t="s">
        <v>69</v>
      </c>
      <c r="E402" s="1" t="s">
        <v>45</v>
      </c>
      <c r="F402" s="1" t="s">
        <v>201</v>
      </c>
      <c r="G402" s="1" t="s">
        <v>1068</v>
      </c>
      <c r="H402" s="1" t="s">
        <v>1069</v>
      </c>
      <c r="I402" s="1" t="s">
        <v>49</v>
      </c>
      <c r="J402" s="1" t="s">
        <v>48</v>
      </c>
      <c r="K402" s="1">
        <v>36</v>
      </c>
      <c r="L402" s="1">
        <v>0</v>
      </c>
      <c r="M402" s="1">
        <v>0</v>
      </c>
      <c r="N402" s="1">
        <v>36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 t="s">
        <v>49</v>
      </c>
      <c r="AA402" s="1" t="s">
        <v>49</v>
      </c>
      <c r="AB402" s="1" t="s">
        <v>49</v>
      </c>
      <c r="AC402" s="1" t="s">
        <v>204</v>
      </c>
      <c r="AD402" s="1" t="s">
        <v>205</v>
      </c>
      <c r="AE402" s="1" t="s">
        <v>206</v>
      </c>
      <c r="AF402" s="1" t="s">
        <v>207</v>
      </c>
      <c r="AG402" s="1" t="s">
        <v>53</v>
      </c>
      <c r="AH402" s="1" t="s">
        <v>49</v>
      </c>
      <c r="AI402" s="1" t="s">
        <v>54</v>
      </c>
      <c r="AJ402" s="1">
        <v>1</v>
      </c>
      <c r="AK402" s="1" t="str">
        <f t="shared" si="6"/>
        <v xml:space="preserve"> =&lt;90</v>
      </c>
      <c r="AL402" s="1" t="str">
        <f>VLOOKUP(C:C,[1]基础信息!B$1:D$65536,3,0)</f>
        <v>Hotcup</v>
      </c>
      <c r="AM402" s="1" t="str">
        <f>VLOOKUP(C:C,[1]基础信息!B$1:E$65536,4,0)</f>
        <v>Hotcup</v>
      </c>
      <c r="AN402" s="1" t="str">
        <f>VLOOKUP(C:C,[1]基础信息!B$1:F$65536,5,0)</f>
        <v xml:space="preserve"> Whi</v>
      </c>
    </row>
    <row r="403" spans="1:40">
      <c r="A403" s="1" t="s">
        <v>41</v>
      </c>
      <c r="B403" s="1" t="s">
        <v>42</v>
      </c>
      <c r="C403" s="1" t="s">
        <v>68</v>
      </c>
      <c r="D403" s="1" t="s">
        <v>69</v>
      </c>
      <c r="E403" s="1" t="s">
        <v>45</v>
      </c>
      <c r="F403" s="1" t="s">
        <v>201</v>
      </c>
      <c r="G403" s="1" t="s">
        <v>1070</v>
      </c>
      <c r="H403" s="1" t="s">
        <v>1071</v>
      </c>
      <c r="I403" s="1" t="s">
        <v>49</v>
      </c>
      <c r="J403" s="1" t="s">
        <v>48</v>
      </c>
      <c r="K403" s="1">
        <v>36</v>
      </c>
      <c r="L403" s="1">
        <v>0</v>
      </c>
      <c r="M403" s="1">
        <v>0</v>
      </c>
      <c r="N403" s="1">
        <v>36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 t="s">
        <v>49</v>
      </c>
      <c r="AA403" s="1" t="s">
        <v>49</v>
      </c>
      <c r="AB403" s="1" t="s">
        <v>49</v>
      </c>
      <c r="AC403" s="1" t="s">
        <v>204</v>
      </c>
      <c r="AD403" s="1" t="s">
        <v>205</v>
      </c>
      <c r="AE403" s="1" t="s">
        <v>206</v>
      </c>
      <c r="AF403" s="1" t="s">
        <v>207</v>
      </c>
      <c r="AG403" s="1" t="s">
        <v>53</v>
      </c>
      <c r="AH403" s="1" t="s">
        <v>49</v>
      </c>
      <c r="AI403" s="1" t="s">
        <v>54</v>
      </c>
      <c r="AJ403" s="1">
        <v>1</v>
      </c>
      <c r="AK403" s="1" t="str">
        <f t="shared" si="6"/>
        <v xml:space="preserve"> =&lt;90</v>
      </c>
      <c r="AL403" s="1" t="str">
        <f>VLOOKUP(C:C,[1]基础信息!B$1:D$65536,3,0)</f>
        <v>Hotcup</v>
      </c>
      <c r="AM403" s="1" t="str">
        <f>VLOOKUP(C:C,[1]基础信息!B$1:E$65536,4,0)</f>
        <v>Hotcup</v>
      </c>
      <c r="AN403" s="1" t="str">
        <f>VLOOKUP(C:C,[1]基础信息!B$1:F$65536,5,0)</f>
        <v xml:space="preserve"> Whi</v>
      </c>
    </row>
    <row r="404" spans="1:40">
      <c r="A404" s="1" t="s">
        <v>41</v>
      </c>
      <c r="B404" s="1" t="s">
        <v>42</v>
      </c>
      <c r="C404" s="1" t="s">
        <v>554</v>
      </c>
      <c r="D404" s="1" t="s">
        <v>555</v>
      </c>
      <c r="E404" s="1" t="s">
        <v>45</v>
      </c>
      <c r="F404" s="1" t="s">
        <v>935</v>
      </c>
      <c r="G404" s="1" t="s">
        <v>1072</v>
      </c>
      <c r="H404" s="1" t="s">
        <v>1073</v>
      </c>
      <c r="I404" s="1" t="s">
        <v>49</v>
      </c>
      <c r="J404" s="1" t="s">
        <v>48</v>
      </c>
      <c r="K404" s="1">
        <v>70</v>
      </c>
      <c r="L404" s="1">
        <v>0</v>
      </c>
      <c r="M404" s="1">
        <v>0</v>
      </c>
      <c r="N404" s="1">
        <v>70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 t="s">
        <v>49</v>
      </c>
      <c r="AA404" s="1" t="s">
        <v>49</v>
      </c>
      <c r="AB404" s="1" t="s">
        <v>49</v>
      </c>
      <c r="AC404" s="1" t="s">
        <v>938</v>
      </c>
      <c r="AD404" s="1" t="s">
        <v>939</v>
      </c>
      <c r="AE404" s="1" t="s">
        <v>938</v>
      </c>
      <c r="AF404" s="1" t="s">
        <v>940</v>
      </c>
      <c r="AG404" s="1" t="s">
        <v>53</v>
      </c>
      <c r="AH404" s="1" t="s">
        <v>49</v>
      </c>
      <c r="AI404" s="1" t="s">
        <v>54</v>
      </c>
      <c r="AJ404" s="1">
        <v>1</v>
      </c>
      <c r="AK404" s="1" t="str">
        <f t="shared" si="6"/>
        <v xml:space="preserve"> =&lt;90</v>
      </c>
      <c r="AL404" s="1" t="str">
        <f>VLOOKUP(C:C,[1]基础信息!B$1:D$65536,3,0)</f>
        <v>Jug</v>
      </c>
      <c r="AM404" s="1" t="str">
        <f>VLOOKUP(C:C,[1]基础信息!B$1:E$65536,4,0)</f>
        <v>Green Pack</v>
      </c>
      <c r="AN404" s="1" t="str">
        <f>VLOOKUP(C:C,[1]基础信息!B$1:F$65536,5,0)</f>
        <v>Blue</v>
      </c>
    </row>
    <row r="405" spans="1:40">
      <c r="A405" s="1" t="s">
        <v>41</v>
      </c>
      <c r="B405" s="1" t="s">
        <v>42</v>
      </c>
      <c r="C405" s="1" t="s">
        <v>554</v>
      </c>
      <c r="D405" s="1" t="s">
        <v>555</v>
      </c>
      <c r="E405" s="1" t="s">
        <v>45</v>
      </c>
      <c r="F405" s="1" t="s">
        <v>935</v>
      </c>
      <c r="G405" s="1" t="s">
        <v>1074</v>
      </c>
      <c r="H405" s="1" t="s">
        <v>1075</v>
      </c>
      <c r="I405" s="1" t="s">
        <v>49</v>
      </c>
      <c r="J405" s="1" t="s">
        <v>48</v>
      </c>
      <c r="K405" s="1">
        <v>70</v>
      </c>
      <c r="L405" s="1">
        <v>0</v>
      </c>
      <c r="M405" s="1">
        <v>0</v>
      </c>
      <c r="N405" s="1">
        <v>70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 t="s">
        <v>49</v>
      </c>
      <c r="AA405" s="1" t="s">
        <v>49</v>
      </c>
      <c r="AB405" s="1" t="s">
        <v>49</v>
      </c>
      <c r="AC405" s="1" t="s">
        <v>938</v>
      </c>
      <c r="AD405" s="1" t="s">
        <v>939</v>
      </c>
      <c r="AE405" s="1" t="s">
        <v>938</v>
      </c>
      <c r="AF405" s="1" t="s">
        <v>940</v>
      </c>
      <c r="AG405" s="1" t="s">
        <v>53</v>
      </c>
      <c r="AH405" s="1" t="s">
        <v>49</v>
      </c>
      <c r="AI405" s="1" t="s">
        <v>54</v>
      </c>
      <c r="AJ405" s="1">
        <v>1</v>
      </c>
      <c r="AK405" s="1" t="str">
        <f t="shared" si="6"/>
        <v xml:space="preserve"> =&lt;90</v>
      </c>
      <c r="AL405" s="1" t="str">
        <f>VLOOKUP(C:C,[1]基础信息!B$1:D$65536,3,0)</f>
        <v>Jug</v>
      </c>
      <c r="AM405" s="1" t="str">
        <f>VLOOKUP(C:C,[1]基础信息!B$1:E$65536,4,0)</f>
        <v>Green Pack</v>
      </c>
      <c r="AN405" s="1" t="str">
        <f>VLOOKUP(C:C,[1]基础信息!B$1:F$65536,5,0)</f>
        <v>Blue</v>
      </c>
    </row>
    <row r="406" spans="1:40">
      <c r="A406" s="1" t="s">
        <v>41</v>
      </c>
      <c r="B406" s="1" t="s">
        <v>42</v>
      </c>
      <c r="C406" s="1" t="s">
        <v>68</v>
      </c>
      <c r="D406" s="1" t="s">
        <v>69</v>
      </c>
      <c r="E406" s="1" t="s">
        <v>45</v>
      </c>
      <c r="F406" s="1" t="s">
        <v>201</v>
      </c>
      <c r="G406" s="1" t="s">
        <v>1076</v>
      </c>
      <c r="H406" s="1" t="s">
        <v>1077</v>
      </c>
      <c r="I406" s="1" t="s">
        <v>49</v>
      </c>
      <c r="J406" s="1" t="s">
        <v>48</v>
      </c>
      <c r="K406" s="1">
        <v>36</v>
      </c>
      <c r="L406" s="1">
        <v>0</v>
      </c>
      <c r="M406" s="1">
        <v>0</v>
      </c>
      <c r="N406" s="1">
        <v>36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 t="s">
        <v>49</v>
      </c>
      <c r="AA406" s="1" t="s">
        <v>49</v>
      </c>
      <c r="AB406" s="1" t="s">
        <v>49</v>
      </c>
      <c r="AC406" s="1" t="s">
        <v>204</v>
      </c>
      <c r="AD406" s="1" t="s">
        <v>205</v>
      </c>
      <c r="AE406" s="1" t="s">
        <v>206</v>
      </c>
      <c r="AF406" s="1" t="s">
        <v>207</v>
      </c>
      <c r="AG406" s="1" t="s">
        <v>53</v>
      </c>
      <c r="AH406" s="1" t="s">
        <v>49</v>
      </c>
      <c r="AI406" s="1" t="s">
        <v>54</v>
      </c>
      <c r="AJ406" s="1">
        <v>1</v>
      </c>
      <c r="AK406" s="1" t="str">
        <f t="shared" si="6"/>
        <v xml:space="preserve"> =&lt;90</v>
      </c>
      <c r="AL406" s="1" t="str">
        <f>VLOOKUP(C:C,[1]基础信息!B$1:D$65536,3,0)</f>
        <v>Hotcup</v>
      </c>
      <c r="AM406" s="1" t="str">
        <f>VLOOKUP(C:C,[1]基础信息!B$1:E$65536,4,0)</f>
        <v>Hotcup</v>
      </c>
      <c r="AN406" s="1" t="str">
        <f>VLOOKUP(C:C,[1]基础信息!B$1:F$65536,5,0)</f>
        <v xml:space="preserve"> Whi</v>
      </c>
    </row>
    <row r="407" spans="1:40">
      <c r="A407" s="1" t="s">
        <v>41</v>
      </c>
      <c r="B407" s="1" t="s">
        <v>42</v>
      </c>
      <c r="C407" s="1" t="s">
        <v>208</v>
      </c>
      <c r="D407" s="1" t="s">
        <v>209</v>
      </c>
      <c r="E407" s="1" t="s">
        <v>208</v>
      </c>
      <c r="F407" s="1" t="s">
        <v>210</v>
      </c>
      <c r="G407" s="1" t="s">
        <v>1078</v>
      </c>
      <c r="H407" s="1" t="s">
        <v>1079</v>
      </c>
      <c r="I407" s="1" t="s">
        <v>49</v>
      </c>
      <c r="J407" s="1" t="s">
        <v>48</v>
      </c>
      <c r="K407" s="1">
        <v>80</v>
      </c>
      <c r="L407" s="1">
        <v>0</v>
      </c>
      <c r="M407" s="1">
        <v>0</v>
      </c>
      <c r="N407" s="1">
        <v>80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 t="s">
        <v>49</v>
      </c>
      <c r="AA407" s="1" t="s">
        <v>49</v>
      </c>
      <c r="AB407" s="1" t="s">
        <v>49</v>
      </c>
      <c r="AC407" s="1" t="s">
        <v>213</v>
      </c>
      <c r="AD407" s="1" t="s">
        <v>214</v>
      </c>
      <c r="AE407" s="1" t="s">
        <v>215</v>
      </c>
      <c r="AF407" s="1" t="s">
        <v>216</v>
      </c>
      <c r="AG407" s="1" t="s">
        <v>53</v>
      </c>
      <c r="AH407" s="1" t="s">
        <v>49</v>
      </c>
      <c r="AI407" s="1" t="s">
        <v>54</v>
      </c>
      <c r="AJ407" s="1">
        <v>1</v>
      </c>
      <c r="AK407" s="1" t="str">
        <f t="shared" si="6"/>
        <v xml:space="preserve"> =&lt;90</v>
      </c>
      <c r="AL407" s="1" t="str">
        <f>VLOOKUP(C:C,[1]基础信息!B$1:D$65536,3,0)</f>
        <v>Jug</v>
      </c>
      <c r="AM407" s="1" t="str">
        <f>VLOOKUP(C:C,[1]基础信息!B$1:E$65536,4,0)</f>
        <v>MXpl</v>
      </c>
      <c r="AN407" s="1" t="str">
        <f>VLOOKUP(C:C,[1]基础信息!B$1:F$65536,5,0)</f>
        <v>grey</v>
      </c>
    </row>
    <row r="408" spans="1:40">
      <c r="A408" s="1" t="s">
        <v>41</v>
      </c>
      <c r="B408" s="1" t="s">
        <v>42</v>
      </c>
      <c r="C408" s="1" t="s">
        <v>208</v>
      </c>
      <c r="D408" s="1" t="s">
        <v>209</v>
      </c>
      <c r="E408" s="1" t="s">
        <v>208</v>
      </c>
      <c r="F408" s="1" t="s">
        <v>210</v>
      </c>
      <c r="G408" s="1" t="s">
        <v>1080</v>
      </c>
      <c r="H408" s="1" t="s">
        <v>1081</v>
      </c>
      <c r="I408" s="1" t="s">
        <v>49</v>
      </c>
      <c r="J408" s="1" t="s">
        <v>48</v>
      </c>
      <c r="K408" s="1">
        <v>80</v>
      </c>
      <c r="L408" s="1">
        <v>0</v>
      </c>
      <c r="M408" s="1">
        <v>0</v>
      </c>
      <c r="N408" s="1">
        <v>80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 t="s">
        <v>49</v>
      </c>
      <c r="AA408" s="1" t="s">
        <v>49</v>
      </c>
      <c r="AB408" s="1" t="s">
        <v>49</v>
      </c>
      <c r="AC408" s="1" t="s">
        <v>213</v>
      </c>
      <c r="AD408" s="1" t="s">
        <v>214</v>
      </c>
      <c r="AE408" s="1" t="s">
        <v>215</v>
      </c>
      <c r="AF408" s="1" t="s">
        <v>216</v>
      </c>
      <c r="AG408" s="1" t="s">
        <v>53</v>
      </c>
      <c r="AH408" s="1" t="s">
        <v>49</v>
      </c>
      <c r="AI408" s="1" t="s">
        <v>54</v>
      </c>
      <c r="AJ408" s="1">
        <v>1</v>
      </c>
      <c r="AK408" s="1" t="str">
        <f t="shared" si="6"/>
        <v xml:space="preserve"> =&lt;90</v>
      </c>
      <c r="AL408" s="1" t="str">
        <f>VLOOKUP(C:C,[1]基础信息!B$1:D$65536,3,0)</f>
        <v>Jug</v>
      </c>
      <c r="AM408" s="1" t="str">
        <f>VLOOKUP(C:C,[1]基础信息!B$1:E$65536,4,0)</f>
        <v>MXpl</v>
      </c>
      <c r="AN408" s="1" t="str">
        <f>VLOOKUP(C:C,[1]基础信息!B$1:F$65536,5,0)</f>
        <v>grey</v>
      </c>
    </row>
    <row r="409" spans="1:40">
      <c r="A409" s="1" t="s">
        <v>41</v>
      </c>
      <c r="B409" s="1" t="s">
        <v>42</v>
      </c>
      <c r="C409" s="1" t="s">
        <v>208</v>
      </c>
      <c r="D409" s="1" t="s">
        <v>209</v>
      </c>
      <c r="E409" s="1" t="s">
        <v>208</v>
      </c>
      <c r="F409" s="1" t="s">
        <v>210</v>
      </c>
      <c r="G409" s="1" t="s">
        <v>1082</v>
      </c>
      <c r="H409" s="1" t="s">
        <v>1083</v>
      </c>
      <c r="I409" s="1" t="s">
        <v>49</v>
      </c>
      <c r="J409" s="1" t="s">
        <v>48</v>
      </c>
      <c r="K409" s="1">
        <v>80</v>
      </c>
      <c r="L409" s="1">
        <v>0</v>
      </c>
      <c r="M409" s="1">
        <v>0</v>
      </c>
      <c r="N409" s="1">
        <v>80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 t="s">
        <v>49</v>
      </c>
      <c r="AA409" s="1" t="s">
        <v>49</v>
      </c>
      <c r="AB409" s="1" t="s">
        <v>49</v>
      </c>
      <c r="AC409" s="1" t="s">
        <v>213</v>
      </c>
      <c r="AD409" s="1" t="s">
        <v>214</v>
      </c>
      <c r="AE409" s="1" t="s">
        <v>215</v>
      </c>
      <c r="AF409" s="1" t="s">
        <v>216</v>
      </c>
      <c r="AG409" s="1" t="s">
        <v>53</v>
      </c>
      <c r="AH409" s="1" t="s">
        <v>49</v>
      </c>
      <c r="AI409" s="1" t="s">
        <v>54</v>
      </c>
      <c r="AJ409" s="1">
        <v>1</v>
      </c>
      <c r="AK409" s="1" t="str">
        <f t="shared" si="6"/>
        <v xml:space="preserve"> =&lt;90</v>
      </c>
      <c r="AL409" s="1" t="str">
        <f>VLOOKUP(C:C,[1]基础信息!B$1:D$65536,3,0)</f>
        <v>Jug</v>
      </c>
      <c r="AM409" s="1" t="str">
        <f>VLOOKUP(C:C,[1]基础信息!B$1:E$65536,4,0)</f>
        <v>MXpl</v>
      </c>
      <c r="AN409" s="1" t="str">
        <f>VLOOKUP(C:C,[1]基础信息!B$1:F$65536,5,0)</f>
        <v>grey</v>
      </c>
    </row>
    <row r="410" spans="1:40">
      <c r="A410" s="1" t="s">
        <v>41</v>
      </c>
      <c r="B410" s="1" t="s">
        <v>42</v>
      </c>
      <c r="C410" s="1" t="s">
        <v>554</v>
      </c>
      <c r="D410" s="1" t="s">
        <v>555</v>
      </c>
      <c r="E410" s="1" t="s">
        <v>45</v>
      </c>
      <c r="F410" s="1" t="s">
        <v>863</v>
      </c>
      <c r="G410" s="1" t="s">
        <v>1084</v>
      </c>
      <c r="H410" s="1" t="s">
        <v>1085</v>
      </c>
      <c r="I410" s="1" t="s">
        <v>49</v>
      </c>
      <c r="J410" s="1" t="s">
        <v>48</v>
      </c>
      <c r="K410" s="1">
        <v>70</v>
      </c>
      <c r="L410" s="1">
        <v>0</v>
      </c>
      <c r="M410" s="1">
        <v>0</v>
      </c>
      <c r="N410" s="1">
        <v>70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 t="s">
        <v>49</v>
      </c>
      <c r="AA410" s="1" t="s">
        <v>49</v>
      </c>
      <c r="AB410" s="1" t="s">
        <v>49</v>
      </c>
      <c r="AC410" s="1" t="s">
        <v>154</v>
      </c>
      <c r="AD410" s="1" t="s">
        <v>155</v>
      </c>
      <c r="AE410" s="1" t="s">
        <v>154</v>
      </c>
      <c r="AF410" s="1" t="s">
        <v>559</v>
      </c>
      <c r="AG410" s="1" t="s">
        <v>53</v>
      </c>
      <c r="AH410" s="1" t="s">
        <v>49</v>
      </c>
      <c r="AI410" s="1" t="s">
        <v>54</v>
      </c>
      <c r="AJ410" s="1">
        <v>1</v>
      </c>
      <c r="AK410" s="1" t="str">
        <f t="shared" si="6"/>
        <v xml:space="preserve"> =&lt;90</v>
      </c>
      <c r="AL410" s="1" t="str">
        <f>VLOOKUP(C:C,[1]基础信息!B$1:D$65536,3,0)</f>
        <v>Jug</v>
      </c>
      <c r="AM410" s="1" t="str">
        <f>VLOOKUP(C:C,[1]基础信息!B$1:E$65536,4,0)</f>
        <v>Green Pack</v>
      </c>
      <c r="AN410" s="1" t="str">
        <f>VLOOKUP(C:C,[1]基础信息!B$1:F$65536,5,0)</f>
        <v>Blue</v>
      </c>
    </row>
    <row r="411" spans="1:40">
      <c r="A411" s="1" t="s">
        <v>41</v>
      </c>
      <c r="B411" s="1" t="s">
        <v>42</v>
      </c>
      <c r="C411" s="1" t="s">
        <v>554</v>
      </c>
      <c r="D411" s="1" t="s">
        <v>555</v>
      </c>
      <c r="E411" s="1" t="s">
        <v>45</v>
      </c>
      <c r="F411" s="1" t="s">
        <v>863</v>
      </c>
      <c r="G411" s="1" t="s">
        <v>1086</v>
      </c>
      <c r="H411" s="1" t="s">
        <v>1087</v>
      </c>
      <c r="I411" s="1" t="s">
        <v>49</v>
      </c>
      <c r="J411" s="1" t="s">
        <v>48</v>
      </c>
      <c r="K411" s="1">
        <v>70</v>
      </c>
      <c r="L411" s="1">
        <v>0</v>
      </c>
      <c r="M411" s="1">
        <v>0</v>
      </c>
      <c r="N411" s="1">
        <v>70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 t="s">
        <v>49</v>
      </c>
      <c r="AA411" s="1" t="s">
        <v>49</v>
      </c>
      <c r="AB411" s="1" t="s">
        <v>49</v>
      </c>
      <c r="AC411" s="1" t="s">
        <v>154</v>
      </c>
      <c r="AD411" s="1" t="s">
        <v>155</v>
      </c>
      <c r="AE411" s="1" t="s">
        <v>154</v>
      </c>
      <c r="AF411" s="1" t="s">
        <v>559</v>
      </c>
      <c r="AG411" s="1" t="s">
        <v>53</v>
      </c>
      <c r="AH411" s="1" t="s">
        <v>49</v>
      </c>
      <c r="AI411" s="1" t="s">
        <v>54</v>
      </c>
      <c r="AJ411" s="1">
        <v>1</v>
      </c>
      <c r="AK411" s="1" t="str">
        <f t="shared" si="6"/>
        <v xml:space="preserve"> =&lt;90</v>
      </c>
      <c r="AL411" s="1" t="str">
        <f>VLOOKUP(C:C,[1]基础信息!B$1:D$65536,3,0)</f>
        <v>Jug</v>
      </c>
      <c r="AM411" s="1" t="str">
        <f>VLOOKUP(C:C,[1]基础信息!B$1:E$65536,4,0)</f>
        <v>Green Pack</v>
      </c>
      <c r="AN411" s="1" t="str">
        <f>VLOOKUP(C:C,[1]基础信息!B$1:F$65536,5,0)</f>
        <v>Blue</v>
      </c>
    </row>
    <row r="412" spans="1:40">
      <c r="A412" s="1" t="s">
        <v>41</v>
      </c>
      <c r="B412" s="1" t="s">
        <v>42</v>
      </c>
      <c r="C412" s="1" t="s">
        <v>285</v>
      </c>
      <c r="D412" s="1" t="s">
        <v>286</v>
      </c>
      <c r="E412" s="1" t="s">
        <v>45</v>
      </c>
      <c r="F412" s="1" t="s">
        <v>287</v>
      </c>
      <c r="G412" s="1" t="s">
        <v>1088</v>
      </c>
      <c r="H412" s="1" t="s">
        <v>1089</v>
      </c>
      <c r="I412" s="1" t="s">
        <v>49</v>
      </c>
      <c r="J412" s="1" t="s">
        <v>48</v>
      </c>
      <c r="K412" s="1">
        <v>70</v>
      </c>
      <c r="L412" s="1">
        <v>0</v>
      </c>
      <c r="M412" s="1">
        <v>0</v>
      </c>
      <c r="N412" s="1">
        <v>70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 t="s">
        <v>49</v>
      </c>
      <c r="AA412" s="1" t="s">
        <v>49</v>
      </c>
      <c r="AB412" s="1" t="s">
        <v>49</v>
      </c>
      <c r="AC412" s="1" t="s">
        <v>290</v>
      </c>
      <c r="AD412" s="1" t="s">
        <v>291</v>
      </c>
      <c r="AE412" s="1" t="s">
        <v>290</v>
      </c>
      <c r="AF412" s="1" t="s">
        <v>292</v>
      </c>
      <c r="AG412" s="1" t="s">
        <v>53</v>
      </c>
      <c r="AH412" s="1" t="s">
        <v>49</v>
      </c>
      <c r="AI412" s="1" t="s">
        <v>54</v>
      </c>
      <c r="AJ412" s="1">
        <v>1</v>
      </c>
      <c r="AK412" s="1" t="str">
        <f t="shared" si="6"/>
        <v xml:space="preserve"> =&lt;90</v>
      </c>
      <c r="AL412" s="1" t="str">
        <f>VLOOKUP(C:C,[1]基础信息!B$1:D$65536,3,0)</f>
        <v>Jug</v>
      </c>
      <c r="AM412" s="1" t="str">
        <f>VLOOKUP(C:C,[1]基础信息!B$1:E$65536,4,0)</f>
        <v>Marella XL</v>
      </c>
      <c r="AN412" s="1" t="str">
        <f>VLOOKUP(C:C,[1]基础信息!B$1:F$65536,5,0)</f>
        <v>Blue</v>
      </c>
    </row>
    <row r="413" spans="1:40">
      <c r="A413" s="1" t="s">
        <v>41</v>
      </c>
      <c r="B413" s="1" t="s">
        <v>42</v>
      </c>
      <c r="C413" s="1" t="s">
        <v>554</v>
      </c>
      <c r="D413" s="1" t="s">
        <v>555</v>
      </c>
      <c r="E413" s="1" t="s">
        <v>45</v>
      </c>
      <c r="F413" s="1" t="s">
        <v>863</v>
      </c>
      <c r="G413" s="1" t="s">
        <v>1090</v>
      </c>
      <c r="H413" s="1" t="s">
        <v>1091</v>
      </c>
      <c r="I413" s="1" t="s">
        <v>49</v>
      </c>
      <c r="J413" s="1" t="s">
        <v>48</v>
      </c>
      <c r="K413" s="1">
        <v>70</v>
      </c>
      <c r="L413" s="1">
        <v>0</v>
      </c>
      <c r="M413" s="1">
        <v>0</v>
      </c>
      <c r="N413" s="1">
        <v>70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 t="s">
        <v>49</v>
      </c>
      <c r="AA413" s="1" t="s">
        <v>49</v>
      </c>
      <c r="AB413" s="1" t="s">
        <v>49</v>
      </c>
      <c r="AC413" s="1" t="s">
        <v>154</v>
      </c>
      <c r="AD413" s="1" t="s">
        <v>155</v>
      </c>
      <c r="AE413" s="1" t="s">
        <v>154</v>
      </c>
      <c r="AF413" s="1" t="s">
        <v>559</v>
      </c>
      <c r="AG413" s="1" t="s">
        <v>53</v>
      </c>
      <c r="AH413" s="1" t="s">
        <v>49</v>
      </c>
      <c r="AI413" s="1" t="s">
        <v>54</v>
      </c>
      <c r="AJ413" s="1">
        <v>1</v>
      </c>
      <c r="AK413" s="1" t="str">
        <f t="shared" si="6"/>
        <v xml:space="preserve"> =&lt;90</v>
      </c>
      <c r="AL413" s="1" t="str">
        <f>VLOOKUP(C:C,[1]基础信息!B$1:D$65536,3,0)</f>
        <v>Jug</v>
      </c>
      <c r="AM413" s="1" t="str">
        <f>VLOOKUP(C:C,[1]基础信息!B$1:E$65536,4,0)</f>
        <v>Green Pack</v>
      </c>
      <c r="AN413" s="1" t="str">
        <f>VLOOKUP(C:C,[1]基础信息!B$1:F$65536,5,0)</f>
        <v>Blue</v>
      </c>
    </row>
    <row r="414" spans="1:40">
      <c r="A414" s="1" t="s">
        <v>41</v>
      </c>
      <c r="B414" s="1" t="s">
        <v>42</v>
      </c>
      <c r="C414" s="1" t="s">
        <v>554</v>
      </c>
      <c r="D414" s="1" t="s">
        <v>555</v>
      </c>
      <c r="E414" s="1" t="s">
        <v>45</v>
      </c>
      <c r="F414" s="1" t="s">
        <v>863</v>
      </c>
      <c r="G414" s="1" t="s">
        <v>1092</v>
      </c>
      <c r="H414" s="1" t="s">
        <v>1093</v>
      </c>
      <c r="I414" s="1" t="s">
        <v>49</v>
      </c>
      <c r="J414" s="1" t="s">
        <v>48</v>
      </c>
      <c r="K414" s="1">
        <v>70</v>
      </c>
      <c r="L414" s="1">
        <v>0</v>
      </c>
      <c r="M414" s="1">
        <v>0</v>
      </c>
      <c r="N414" s="1">
        <v>70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 t="s">
        <v>49</v>
      </c>
      <c r="AA414" s="1" t="s">
        <v>49</v>
      </c>
      <c r="AB414" s="1" t="s">
        <v>49</v>
      </c>
      <c r="AC414" s="1" t="s">
        <v>154</v>
      </c>
      <c r="AD414" s="1" t="s">
        <v>155</v>
      </c>
      <c r="AE414" s="1" t="s">
        <v>154</v>
      </c>
      <c r="AF414" s="1" t="s">
        <v>559</v>
      </c>
      <c r="AG414" s="1" t="s">
        <v>53</v>
      </c>
      <c r="AH414" s="1" t="s">
        <v>49</v>
      </c>
      <c r="AI414" s="1" t="s">
        <v>54</v>
      </c>
      <c r="AJ414" s="1">
        <v>1</v>
      </c>
      <c r="AK414" s="1" t="str">
        <f t="shared" si="6"/>
        <v xml:space="preserve"> =&lt;90</v>
      </c>
      <c r="AL414" s="1" t="str">
        <f>VLOOKUP(C:C,[1]基础信息!B$1:D$65536,3,0)</f>
        <v>Jug</v>
      </c>
      <c r="AM414" s="1" t="str">
        <f>VLOOKUP(C:C,[1]基础信息!B$1:E$65536,4,0)</f>
        <v>Green Pack</v>
      </c>
      <c r="AN414" s="1" t="str">
        <f>VLOOKUP(C:C,[1]基础信息!B$1:F$65536,5,0)</f>
        <v>Blue</v>
      </c>
    </row>
    <row r="415" spans="1:40">
      <c r="A415" s="1" t="s">
        <v>41</v>
      </c>
      <c r="B415" s="1" t="s">
        <v>42</v>
      </c>
      <c r="C415" s="1" t="s">
        <v>285</v>
      </c>
      <c r="D415" s="1" t="s">
        <v>286</v>
      </c>
      <c r="E415" s="1" t="s">
        <v>45</v>
      </c>
      <c r="F415" s="1" t="s">
        <v>287</v>
      </c>
      <c r="G415" s="1" t="s">
        <v>1094</v>
      </c>
      <c r="H415" s="1" t="s">
        <v>1095</v>
      </c>
      <c r="I415" s="1" t="s">
        <v>49</v>
      </c>
      <c r="J415" s="1" t="s">
        <v>48</v>
      </c>
      <c r="K415" s="1">
        <v>70</v>
      </c>
      <c r="L415" s="1">
        <v>0</v>
      </c>
      <c r="M415" s="1">
        <v>0</v>
      </c>
      <c r="N415" s="1">
        <v>70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 t="s">
        <v>49</v>
      </c>
      <c r="AA415" s="1" t="s">
        <v>49</v>
      </c>
      <c r="AB415" s="1" t="s">
        <v>49</v>
      </c>
      <c r="AC415" s="1" t="s">
        <v>290</v>
      </c>
      <c r="AD415" s="1" t="s">
        <v>291</v>
      </c>
      <c r="AE415" s="1" t="s">
        <v>290</v>
      </c>
      <c r="AF415" s="1" t="s">
        <v>292</v>
      </c>
      <c r="AG415" s="1" t="s">
        <v>53</v>
      </c>
      <c r="AH415" s="1" t="s">
        <v>49</v>
      </c>
      <c r="AI415" s="1" t="s">
        <v>54</v>
      </c>
      <c r="AJ415" s="1">
        <v>1</v>
      </c>
      <c r="AK415" s="1" t="str">
        <f t="shared" si="6"/>
        <v xml:space="preserve"> =&lt;90</v>
      </c>
      <c r="AL415" s="1" t="str">
        <f>VLOOKUP(C:C,[1]基础信息!B$1:D$65536,3,0)</f>
        <v>Jug</v>
      </c>
      <c r="AM415" s="1" t="str">
        <f>VLOOKUP(C:C,[1]基础信息!B$1:E$65536,4,0)</f>
        <v>Marella XL</v>
      </c>
      <c r="AN415" s="1" t="str">
        <f>VLOOKUP(C:C,[1]基础信息!B$1:F$65536,5,0)</f>
        <v>Blue</v>
      </c>
    </row>
    <row r="416" spans="1:40">
      <c r="A416" s="1" t="s">
        <v>41</v>
      </c>
      <c r="B416" s="1" t="s">
        <v>42</v>
      </c>
      <c r="C416" s="1" t="s">
        <v>56</v>
      </c>
      <c r="D416" s="1" t="s">
        <v>57</v>
      </c>
      <c r="E416" s="1" t="s">
        <v>45</v>
      </c>
      <c r="F416" s="1" t="s">
        <v>1096</v>
      </c>
      <c r="G416" s="1" t="s">
        <v>1097</v>
      </c>
      <c r="H416" s="1" t="s">
        <v>1098</v>
      </c>
      <c r="I416" s="1" t="s">
        <v>49</v>
      </c>
      <c r="J416" s="1" t="s">
        <v>48</v>
      </c>
      <c r="K416" s="1">
        <v>72</v>
      </c>
      <c r="L416" s="1">
        <v>0</v>
      </c>
      <c r="M416" s="1">
        <v>0</v>
      </c>
      <c r="N416" s="1">
        <v>72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 t="s">
        <v>49</v>
      </c>
      <c r="AA416" s="1" t="s">
        <v>49</v>
      </c>
      <c r="AB416" s="1" t="s">
        <v>49</v>
      </c>
      <c r="AC416" s="1" t="s">
        <v>938</v>
      </c>
      <c r="AD416" s="1" t="s">
        <v>939</v>
      </c>
      <c r="AE416" s="1" t="s">
        <v>938</v>
      </c>
      <c r="AF416" s="1" t="s">
        <v>1099</v>
      </c>
      <c r="AG416" s="1" t="s">
        <v>53</v>
      </c>
      <c r="AH416" s="1" t="s">
        <v>49</v>
      </c>
      <c r="AI416" s="1" t="s">
        <v>54</v>
      </c>
      <c r="AJ416" s="1">
        <v>1</v>
      </c>
      <c r="AK416" s="1" t="str">
        <f t="shared" si="6"/>
        <v xml:space="preserve"> =&lt;90</v>
      </c>
      <c r="AL416" s="1" t="str">
        <f>VLOOKUP(C:C,[1]基础信息!B$1:D$65536,3,0)</f>
        <v>Jug</v>
      </c>
      <c r="AM416" s="1" t="str">
        <f>VLOOKUP(C:C,[1]基础信息!B$1:E$65536,4,0)</f>
        <v>Marella XL</v>
      </c>
      <c r="AN416" s="1" t="str">
        <f>VLOOKUP(C:C,[1]基础信息!B$1:F$65536,5,0)</f>
        <v>Blue</v>
      </c>
    </row>
    <row r="417" spans="1:40">
      <c r="A417" s="1" t="s">
        <v>41</v>
      </c>
      <c r="B417" s="1" t="s">
        <v>42</v>
      </c>
      <c r="C417" s="1" t="s">
        <v>56</v>
      </c>
      <c r="D417" s="1" t="s">
        <v>57</v>
      </c>
      <c r="E417" s="1" t="s">
        <v>45</v>
      </c>
      <c r="F417" s="1" t="s">
        <v>1096</v>
      </c>
      <c r="G417" s="1" t="s">
        <v>1100</v>
      </c>
      <c r="H417" s="1" t="s">
        <v>1101</v>
      </c>
      <c r="I417" s="1" t="s">
        <v>49</v>
      </c>
      <c r="J417" s="1" t="s">
        <v>48</v>
      </c>
      <c r="K417" s="1">
        <v>72</v>
      </c>
      <c r="L417" s="1">
        <v>0</v>
      </c>
      <c r="M417" s="1">
        <v>0</v>
      </c>
      <c r="N417" s="1">
        <v>72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 t="s">
        <v>49</v>
      </c>
      <c r="AA417" s="1" t="s">
        <v>49</v>
      </c>
      <c r="AB417" s="1" t="s">
        <v>49</v>
      </c>
      <c r="AC417" s="1" t="s">
        <v>938</v>
      </c>
      <c r="AD417" s="1" t="s">
        <v>939</v>
      </c>
      <c r="AE417" s="1" t="s">
        <v>938</v>
      </c>
      <c r="AF417" s="1" t="s">
        <v>1099</v>
      </c>
      <c r="AG417" s="1" t="s">
        <v>53</v>
      </c>
      <c r="AH417" s="1" t="s">
        <v>49</v>
      </c>
      <c r="AI417" s="1" t="s">
        <v>54</v>
      </c>
      <c r="AJ417" s="1">
        <v>1</v>
      </c>
      <c r="AK417" s="1" t="str">
        <f t="shared" si="6"/>
        <v xml:space="preserve"> =&lt;90</v>
      </c>
      <c r="AL417" s="1" t="str">
        <f>VLOOKUP(C:C,[1]基础信息!B$1:D$65536,3,0)</f>
        <v>Jug</v>
      </c>
      <c r="AM417" s="1" t="str">
        <f>VLOOKUP(C:C,[1]基础信息!B$1:E$65536,4,0)</f>
        <v>Marella XL</v>
      </c>
      <c r="AN417" s="1" t="str">
        <f>VLOOKUP(C:C,[1]基础信息!B$1:F$65536,5,0)</f>
        <v>Blue</v>
      </c>
    </row>
    <row r="418" spans="1:40">
      <c r="A418" s="1" t="s">
        <v>41</v>
      </c>
      <c r="B418" s="1" t="s">
        <v>42</v>
      </c>
      <c r="C418" s="1" t="s">
        <v>554</v>
      </c>
      <c r="D418" s="1" t="s">
        <v>555</v>
      </c>
      <c r="E418" s="1" t="s">
        <v>45</v>
      </c>
      <c r="F418" s="1" t="s">
        <v>863</v>
      </c>
      <c r="G418" s="1" t="s">
        <v>1102</v>
      </c>
      <c r="H418" s="1" t="s">
        <v>1103</v>
      </c>
      <c r="I418" s="1" t="s">
        <v>49</v>
      </c>
      <c r="J418" s="1" t="s">
        <v>48</v>
      </c>
      <c r="K418" s="1">
        <v>70</v>
      </c>
      <c r="L418" s="1">
        <v>0</v>
      </c>
      <c r="M418" s="1">
        <v>0</v>
      </c>
      <c r="N418" s="1">
        <v>70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 t="s">
        <v>49</v>
      </c>
      <c r="AA418" s="1" t="s">
        <v>49</v>
      </c>
      <c r="AB418" s="1" t="s">
        <v>49</v>
      </c>
      <c r="AC418" s="1" t="s">
        <v>154</v>
      </c>
      <c r="AD418" s="1" t="s">
        <v>155</v>
      </c>
      <c r="AE418" s="1" t="s">
        <v>154</v>
      </c>
      <c r="AF418" s="1" t="s">
        <v>559</v>
      </c>
      <c r="AG418" s="1" t="s">
        <v>53</v>
      </c>
      <c r="AH418" s="1" t="s">
        <v>49</v>
      </c>
      <c r="AI418" s="1" t="s">
        <v>54</v>
      </c>
      <c r="AJ418" s="1">
        <v>1</v>
      </c>
      <c r="AK418" s="1" t="str">
        <f t="shared" si="6"/>
        <v xml:space="preserve"> =&lt;90</v>
      </c>
      <c r="AL418" s="1" t="str">
        <f>VLOOKUP(C:C,[1]基础信息!B$1:D$65536,3,0)</f>
        <v>Jug</v>
      </c>
      <c r="AM418" s="1" t="str">
        <f>VLOOKUP(C:C,[1]基础信息!B$1:E$65536,4,0)</f>
        <v>Green Pack</v>
      </c>
      <c r="AN418" s="1" t="str">
        <f>VLOOKUP(C:C,[1]基础信息!B$1:F$65536,5,0)</f>
        <v>Blue</v>
      </c>
    </row>
    <row r="419" spans="1:40">
      <c r="A419" s="1" t="s">
        <v>41</v>
      </c>
      <c r="B419" s="1" t="s">
        <v>42</v>
      </c>
      <c r="C419" s="1" t="s">
        <v>554</v>
      </c>
      <c r="D419" s="1" t="s">
        <v>555</v>
      </c>
      <c r="E419" s="1" t="s">
        <v>45</v>
      </c>
      <c r="F419" s="1" t="s">
        <v>863</v>
      </c>
      <c r="G419" s="1" t="s">
        <v>1104</v>
      </c>
      <c r="H419" s="1" t="s">
        <v>1105</v>
      </c>
      <c r="I419" s="1" t="s">
        <v>49</v>
      </c>
      <c r="J419" s="1" t="s">
        <v>48</v>
      </c>
      <c r="K419" s="1">
        <v>70</v>
      </c>
      <c r="L419" s="1">
        <v>0</v>
      </c>
      <c r="M419" s="1">
        <v>0</v>
      </c>
      <c r="N419" s="1">
        <v>70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 t="s">
        <v>49</v>
      </c>
      <c r="AA419" s="1" t="s">
        <v>49</v>
      </c>
      <c r="AB419" s="1" t="s">
        <v>49</v>
      </c>
      <c r="AC419" s="1" t="s">
        <v>154</v>
      </c>
      <c r="AD419" s="1" t="s">
        <v>155</v>
      </c>
      <c r="AE419" s="1" t="s">
        <v>154</v>
      </c>
      <c r="AF419" s="1" t="s">
        <v>559</v>
      </c>
      <c r="AG419" s="1" t="s">
        <v>53</v>
      </c>
      <c r="AH419" s="1" t="s">
        <v>49</v>
      </c>
      <c r="AI419" s="1" t="s">
        <v>54</v>
      </c>
      <c r="AJ419" s="1">
        <v>1</v>
      </c>
      <c r="AK419" s="1" t="str">
        <f t="shared" si="6"/>
        <v xml:space="preserve"> =&lt;90</v>
      </c>
      <c r="AL419" s="1" t="str">
        <f>VLOOKUP(C:C,[1]基础信息!B$1:D$65536,3,0)</f>
        <v>Jug</v>
      </c>
      <c r="AM419" s="1" t="str">
        <f>VLOOKUP(C:C,[1]基础信息!B$1:E$65536,4,0)</f>
        <v>Green Pack</v>
      </c>
      <c r="AN419" s="1" t="str">
        <f>VLOOKUP(C:C,[1]基础信息!B$1:F$65536,5,0)</f>
        <v>Blue</v>
      </c>
    </row>
    <row r="420" spans="1:40">
      <c r="A420" s="1" t="s">
        <v>41</v>
      </c>
      <c r="B420" s="1" t="s">
        <v>42</v>
      </c>
      <c r="C420" s="1" t="s">
        <v>554</v>
      </c>
      <c r="D420" s="1" t="s">
        <v>555</v>
      </c>
      <c r="E420" s="1" t="s">
        <v>45</v>
      </c>
      <c r="F420" s="1" t="s">
        <v>863</v>
      </c>
      <c r="G420" s="1" t="s">
        <v>1106</v>
      </c>
      <c r="H420" s="1" t="s">
        <v>1107</v>
      </c>
      <c r="I420" s="1" t="s">
        <v>49</v>
      </c>
      <c r="J420" s="1" t="s">
        <v>48</v>
      </c>
      <c r="K420" s="1">
        <v>70</v>
      </c>
      <c r="L420" s="1">
        <v>0</v>
      </c>
      <c r="M420" s="1">
        <v>0</v>
      </c>
      <c r="N420" s="1">
        <v>70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 t="s">
        <v>49</v>
      </c>
      <c r="AA420" s="1" t="s">
        <v>49</v>
      </c>
      <c r="AB420" s="1" t="s">
        <v>49</v>
      </c>
      <c r="AC420" s="1" t="s">
        <v>154</v>
      </c>
      <c r="AD420" s="1" t="s">
        <v>155</v>
      </c>
      <c r="AE420" s="1" t="s">
        <v>154</v>
      </c>
      <c r="AF420" s="1" t="s">
        <v>559</v>
      </c>
      <c r="AG420" s="1" t="s">
        <v>53</v>
      </c>
      <c r="AH420" s="1" t="s">
        <v>49</v>
      </c>
      <c r="AI420" s="1" t="s">
        <v>54</v>
      </c>
      <c r="AJ420" s="1">
        <v>1</v>
      </c>
      <c r="AK420" s="1" t="str">
        <f t="shared" si="6"/>
        <v xml:space="preserve"> =&lt;90</v>
      </c>
      <c r="AL420" s="1" t="str">
        <f>VLOOKUP(C:C,[1]基础信息!B$1:D$65536,3,0)</f>
        <v>Jug</v>
      </c>
      <c r="AM420" s="1" t="str">
        <f>VLOOKUP(C:C,[1]基础信息!B$1:E$65536,4,0)</f>
        <v>Green Pack</v>
      </c>
      <c r="AN420" s="1" t="str">
        <f>VLOOKUP(C:C,[1]基础信息!B$1:F$65536,5,0)</f>
        <v>Blue</v>
      </c>
    </row>
    <row r="421" spans="1:40">
      <c r="A421" s="1" t="s">
        <v>41</v>
      </c>
      <c r="B421" s="1" t="s">
        <v>42</v>
      </c>
      <c r="C421" s="1" t="s">
        <v>554</v>
      </c>
      <c r="D421" s="1" t="s">
        <v>555</v>
      </c>
      <c r="E421" s="1" t="s">
        <v>45</v>
      </c>
      <c r="F421" s="1" t="s">
        <v>863</v>
      </c>
      <c r="G421" s="1" t="s">
        <v>1108</v>
      </c>
      <c r="H421" s="1" t="s">
        <v>1109</v>
      </c>
      <c r="I421" s="1" t="s">
        <v>49</v>
      </c>
      <c r="J421" s="1" t="s">
        <v>48</v>
      </c>
      <c r="K421" s="1">
        <v>70</v>
      </c>
      <c r="L421" s="1">
        <v>0</v>
      </c>
      <c r="M421" s="1">
        <v>0</v>
      </c>
      <c r="N421" s="1">
        <v>70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 t="s">
        <v>49</v>
      </c>
      <c r="AA421" s="1" t="s">
        <v>49</v>
      </c>
      <c r="AB421" s="1" t="s">
        <v>49</v>
      </c>
      <c r="AC421" s="1" t="s">
        <v>154</v>
      </c>
      <c r="AD421" s="1" t="s">
        <v>155</v>
      </c>
      <c r="AE421" s="1" t="s">
        <v>154</v>
      </c>
      <c r="AF421" s="1" t="s">
        <v>559</v>
      </c>
      <c r="AG421" s="1" t="s">
        <v>53</v>
      </c>
      <c r="AH421" s="1" t="s">
        <v>49</v>
      </c>
      <c r="AI421" s="1" t="s">
        <v>54</v>
      </c>
      <c r="AJ421" s="1">
        <v>1</v>
      </c>
      <c r="AK421" s="1" t="str">
        <f t="shared" si="6"/>
        <v xml:space="preserve"> =&lt;90</v>
      </c>
      <c r="AL421" s="1" t="str">
        <f>VLOOKUP(C:C,[1]基础信息!B$1:D$65536,3,0)</f>
        <v>Jug</v>
      </c>
      <c r="AM421" s="1" t="str">
        <f>VLOOKUP(C:C,[1]基础信息!B$1:E$65536,4,0)</f>
        <v>Green Pack</v>
      </c>
      <c r="AN421" s="1" t="str">
        <f>VLOOKUP(C:C,[1]基础信息!B$1:F$65536,5,0)</f>
        <v>Blue</v>
      </c>
    </row>
    <row r="422" spans="1:40">
      <c r="A422" s="1" t="s">
        <v>41</v>
      </c>
      <c r="B422" s="1" t="s">
        <v>42</v>
      </c>
      <c r="C422" s="1" t="s">
        <v>56</v>
      </c>
      <c r="D422" s="1" t="s">
        <v>57</v>
      </c>
      <c r="E422" s="1" t="s">
        <v>45</v>
      </c>
      <c r="F422" s="1" t="s">
        <v>1096</v>
      </c>
      <c r="G422" s="1" t="s">
        <v>1110</v>
      </c>
      <c r="H422" s="1" t="s">
        <v>1111</v>
      </c>
      <c r="I422" s="1" t="s">
        <v>49</v>
      </c>
      <c r="J422" s="1" t="s">
        <v>48</v>
      </c>
      <c r="K422" s="1">
        <v>72</v>
      </c>
      <c r="L422" s="1">
        <v>0</v>
      </c>
      <c r="M422" s="1">
        <v>0</v>
      </c>
      <c r="N422" s="1">
        <v>72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 t="s">
        <v>49</v>
      </c>
      <c r="AA422" s="1" t="s">
        <v>49</v>
      </c>
      <c r="AB422" s="1" t="s">
        <v>49</v>
      </c>
      <c r="AC422" s="1" t="s">
        <v>938</v>
      </c>
      <c r="AD422" s="1" t="s">
        <v>939</v>
      </c>
      <c r="AE422" s="1" t="s">
        <v>938</v>
      </c>
      <c r="AF422" s="1" t="s">
        <v>1099</v>
      </c>
      <c r="AG422" s="1" t="s">
        <v>53</v>
      </c>
      <c r="AH422" s="1" t="s">
        <v>49</v>
      </c>
      <c r="AI422" s="1" t="s">
        <v>54</v>
      </c>
      <c r="AJ422" s="1">
        <v>1</v>
      </c>
      <c r="AK422" s="1" t="str">
        <f t="shared" si="6"/>
        <v xml:space="preserve"> =&lt;90</v>
      </c>
      <c r="AL422" s="1" t="str">
        <f>VLOOKUP(C:C,[1]基础信息!B$1:D$65536,3,0)</f>
        <v>Jug</v>
      </c>
      <c r="AM422" s="1" t="str">
        <f>VLOOKUP(C:C,[1]基础信息!B$1:E$65536,4,0)</f>
        <v>Marella XL</v>
      </c>
      <c r="AN422" s="1" t="str">
        <f>VLOOKUP(C:C,[1]基础信息!B$1:F$65536,5,0)</f>
        <v>Blue</v>
      </c>
    </row>
    <row r="423" spans="1:40">
      <c r="A423" s="1" t="s">
        <v>41</v>
      </c>
      <c r="B423" s="1" t="s">
        <v>42</v>
      </c>
      <c r="C423" s="1" t="s">
        <v>56</v>
      </c>
      <c r="D423" s="1" t="s">
        <v>57</v>
      </c>
      <c r="E423" s="1" t="s">
        <v>45</v>
      </c>
      <c r="F423" s="1" t="s">
        <v>1096</v>
      </c>
      <c r="G423" s="1" t="s">
        <v>1112</v>
      </c>
      <c r="H423" s="1" t="s">
        <v>1113</v>
      </c>
      <c r="I423" s="1" t="s">
        <v>49</v>
      </c>
      <c r="J423" s="1" t="s">
        <v>48</v>
      </c>
      <c r="K423" s="1">
        <v>72</v>
      </c>
      <c r="L423" s="1">
        <v>0</v>
      </c>
      <c r="M423" s="1">
        <v>0</v>
      </c>
      <c r="N423" s="1">
        <v>72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 t="s">
        <v>49</v>
      </c>
      <c r="AA423" s="1" t="s">
        <v>49</v>
      </c>
      <c r="AB423" s="1" t="s">
        <v>49</v>
      </c>
      <c r="AC423" s="1" t="s">
        <v>938</v>
      </c>
      <c r="AD423" s="1" t="s">
        <v>939</v>
      </c>
      <c r="AE423" s="1" t="s">
        <v>938</v>
      </c>
      <c r="AF423" s="1" t="s">
        <v>1099</v>
      </c>
      <c r="AG423" s="1" t="s">
        <v>53</v>
      </c>
      <c r="AH423" s="1" t="s">
        <v>49</v>
      </c>
      <c r="AI423" s="1" t="s">
        <v>54</v>
      </c>
      <c r="AJ423" s="1">
        <v>1</v>
      </c>
      <c r="AK423" s="1" t="str">
        <f t="shared" si="6"/>
        <v xml:space="preserve"> =&lt;90</v>
      </c>
      <c r="AL423" s="1" t="str">
        <f>VLOOKUP(C:C,[1]基础信息!B$1:D$65536,3,0)</f>
        <v>Jug</v>
      </c>
      <c r="AM423" s="1" t="str">
        <f>VLOOKUP(C:C,[1]基础信息!B$1:E$65536,4,0)</f>
        <v>Marella XL</v>
      </c>
      <c r="AN423" s="1" t="str">
        <f>VLOOKUP(C:C,[1]基础信息!B$1:F$65536,5,0)</f>
        <v>Blue</v>
      </c>
    </row>
    <row r="424" spans="1:40">
      <c r="A424" s="1" t="s">
        <v>41</v>
      </c>
      <c r="B424" s="1" t="s">
        <v>42</v>
      </c>
      <c r="C424" s="1" t="s">
        <v>56</v>
      </c>
      <c r="D424" s="1" t="s">
        <v>57</v>
      </c>
      <c r="E424" s="1" t="s">
        <v>45</v>
      </c>
      <c r="F424" s="1" t="s">
        <v>1096</v>
      </c>
      <c r="G424" s="1" t="s">
        <v>1114</v>
      </c>
      <c r="H424" s="1" t="s">
        <v>1115</v>
      </c>
      <c r="I424" s="1" t="s">
        <v>49</v>
      </c>
      <c r="J424" s="1" t="s">
        <v>48</v>
      </c>
      <c r="K424" s="1">
        <v>72</v>
      </c>
      <c r="L424" s="1">
        <v>0</v>
      </c>
      <c r="M424" s="1">
        <v>0</v>
      </c>
      <c r="N424" s="1">
        <v>72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 t="s">
        <v>49</v>
      </c>
      <c r="AA424" s="1" t="s">
        <v>49</v>
      </c>
      <c r="AB424" s="1" t="s">
        <v>49</v>
      </c>
      <c r="AC424" s="1" t="s">
        <v>938</v>
      </c>
      <c r="AD424" s="1" t="s">
        <v>939</v>
      </c>
      <c r="AE424" s="1" t="s">
        <v>938</v>
      </c>
      <c r="AF424" s="1" t="s">
        <v>1099</v>
      </c>
      <c r="AG424" s="1" t="s">
        <v>53</v>
      </c>
      <c r="AH424" s="1" t="s">
        <v>49</v>
      </c>
      <c r="AI424" s="1" t="s">
        <v>54</v>
      </c>
      <c r="AJ424" s="1">
        <v>1</v>
      </c>
      <c r="AK424" s="1" t="str">
        <f t="shared" si="6"/>
        <v xml:space="preserve"> =&lt;90</v>
      </c>
      <c r="AL424" s="1" t="str">
        <f>VLOOKUP(C:C,[1]基础信息!B$1:D$65536,3,0)</f>
        <v>Jug</v>
      </c>
      <c r="AM424" s="1" t="str">
        <f>VLOOKUP(C:C,[1]基础信息!B$1:E$65536,4,0)</f>
        <v>Marella XL</v>
      </c>
      <c r="AN424" s="1" t="str">
        <f>VLOOKUP(C:C,[1]基础信息!B$1:F$65536,5,0)</f>
        <v>Blue</v>
      </c>
    </row>
    <row r="425" spans="1:40">
      <c r="A425" s="1" t="s">
        <v>41</v>
      </c>
      <c r="B425" s="1" t="s">
        <v>42</v>
      </c>
      <c r="C425" s="1" t="s">
        <v>1116</v>
      </c>
      <c r="D425" s="1" t="s">
        <v>1117</v>
      </c>
      <c r="E425" s="1" t="s">
        <v>1116</v>
      </c>
      <c r="F425" s="1" t="s">
        <v>1118</v>
      </c>
      <c r="G425" s="1" t="s">
        <v>1119</v>
      </c>
      <c r="H425" s="1" t="s">
        <v>1120</v>
      </c>
      <c r="I425" s="1" t="s">
        <v>49</v>
      </c>
      <c r="J425" s="1" t="s">
        <v>48</v>
      </c>
      <c r="K425" s="1">
        <v>78</v>
      </c>
      <c r="L425" s="1">
        <v>0</v>
      </c>
      <c r="M425" s="1">
        <v>0</v>
      </c>
      <c r="N425" s="1">
        <v>78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 t="s">
        <v>49</v>
      </c>
      <c r="AA425" s="1" t="s">
        <v>49</v>
      </c>
      <c r="AB425" s="1" t="s">
        <v>49</v>
      </c>
      <c r="AC425" s="1" t="s">
        <v>1121</v>
      </c>
      <c r="AD425" s="1" t="s">
        <v>1122</v>
      </c>
      <c r="AE425" s="1" t="s">
        <v>1121</v>
      </c>
      <c r="AF425" s="1" t="s">
        <v>1123</v>
      </c>
      <c r="AG425" s="1" t="s">
        <v>53</v>
      </c>
      <c r="AH425" s="1" t="s">
        <v>49</v>
      </c>
      <c r="AI425" s="1" t="s">
        <v>54</v>
      </c>
      <c r="AJ425" s="1">
        <v>1</v>
      </c>
      <c r="AK425" s="1" t="str">
        <f t="shared" si="6"/>
        <v xml:space="preserve"> =&lt;90</v>
      </c>
      <c r="AL425" s="1" t="str">
        <f>VLOOKUP(C:C,[1]基础信息!B$1:D$65536,3,0)</f>
        <v>UTS</v>
      </c>
      <c r="AM425" s="1" t="str">
        <f>VLOOKUP(C:C,[1]基础信息!B$1:E$65536,4,0)</f>
        <v>MyPure Pro</v>
      </c>
      <c r="AN425" s="1" t="str">
        <f>VLOOKUP(C:C,[1]基础信息!B$1:F$65536,5,0)</f>
        <v>Refill</v>
      </c>
    </row>
    <row r="426" spans="1:40">
      <c r="A426" s="1" t="s">
        <v>41</v>
      </c>
      <c r="B426" s="1" t="s">
        <v>42</v>
      </c>
      <c r="C426" s="1" t="s">
        <v>285</v>
      </c>
      <c r="D426" s="1" t="s">
        <v>286</v>
      </c>
      <c r="E426" s="1" t="s">
        <v>45</v>
      </c>
      <c r="F426" s="1" t="s">
        <v>287</v>
      </c>
      <c r="G426" s="1" t="s">
        <v>1124</v>
      </c>
      <c r="H426" s="1" t="s">
        <v>1125</v>
      </c>
      <c r="I426" s="1" t="s">
        <v>49</v>
      </c>
      <c r="J426" s="1" t="s">
        <v>48</v>
      </c>
      <c r="K426" s="1">
        <v>70</v>
      </c>
      <c r="L426" s="1">
        <v>0</v>
      </c>
      <c r="M426" s="1">
        <v>0</v>
      </c>
      <c r="N426" s="1">
        <v>70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 t="s">
        <v>49</v>
      </c>
      <c r="AA426" s="1" t="s">
        <v>49</v>
      </c>
      <c r="AB426" s="1" t="s">
        <v>49</v>
      </c>
      <c r="AC426" s="1" t="s">
        <v>290</v>
      </c>
      <c r="AD426" s="1" t="s">
        <v>291</v>
      </c>
      <c r="AE426" s="1" t="s">
        <v>290</v>
      </c>
      <c r="AF426" s="1" t="s">
        <v>292</v>
      </c>
      <c r="AG426" s="1" t="s">
        <v>53</v>
      </c>
      <c r="AH426" s="1" t="s">
        <v>49</v>
      </c>
      <c r="AI426" s="1" t="s">
        <v>54</v>
      </c>
      <c r="AJ426" s="1">
        <v>1</v>
      </c>
      <c r="AK426" s="1" t="str">
        <f t="shared" si="6"/>
        <v xml:space="preserve"> =&lt;90</v>
      </c>
      <c r="AL426" s="1" t="str">
        <f>VLOOKUP(C:C,[1]基础信息!B$1:D$65536,3,0)</f>
        <v>Jug</v>
      </c>
      <c r="AM426" s="1" t="str">
        <f>VLOOKUP(C:C,[1]基础信息!B$1:E$65536,4,0)</f>
        <v>Marella XL</v>
      </c>
      <c r="AN426" s="1" t="str">
        <f>VLOOKUP(C:C,[1]基础信息!B$1:F$65536,5,0)</f>
        <v>Blue</v>
      </c>
    </row>
    <row r="427" spans="1:40">
      <c r="A427" s="1" t="s">
        <v>41</v>
      </c>
      <c r="B427" s="1" t="s">
        <v>42</v>
      </c>
      <c r="C427" s="1" t="s">
        <v>417</v>
      </c>
      <c r="D427" s="1" t="s">
        <v>418</v>
      </c>
      <c r="E427" s="1" t="s">
        <v>45</v>
      </c>
      <c r="F427" s="1" t="s">
        <v>1126</v>
      </c>
      <c r="G427" s="1" t="s">
        <v>1127</v>
      </c>
      <c r="H427" s="1" t="s">
        <v>1128</v>
      </c>
      <c r="I427" s="1" t="s">
        <v>49</v>
      </c>
      <c r="J427" s="1" t="s">
        <v>48</v>
      </c>
      <c r="K427" s="1">
        <v>72</v>
      </c>
      <c r="L427" s="1">
        <v>0</v>
      </c>
      <c r="M427" s="1">
        <v>0</v>
      </c>
      <c r="N427" s="1">
        <v>72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 t="s">
        <v>49</v>
      </c>
      <c r="AA427" s="1" t="s">
        <v>49</v>
      </c>
      <c r="AB427" s="1" t="s">
        <v>49</v>
      </c>
      <c r="AC427" s="1" t="s">
        <v>938</v>
      </c>
      <c r="AD427" s="1" t="s">
        <v>939</v>
      </c>
      <c r="AE427" s="1" t="s">
        <v>938</v>
      </c>
      <c r="AF427" s="1" t="s">
        <v>940</v>
      </c>
      <c r="AG427" s="1" t="s">
        <v>53</v>
      </c>
      <c r="AH427" s="1" t="s">
        <v>49</v>
      </c>
      <c r="AI427" s="1" t="s">
        <v>54</v>
      </c>
      <c r="AJ427" s="1">
        <v>1</v>
      </c>
      <c r="AK427" s="1" t="str">
        <f t="shared" si="6"/>
        <v xml:space="preserve"> =&lt;90</v>
      </c>
      <c r="AL427" s="1" t="str">
        <f>VLOOKUP(C:C,[1]基础信息!B$1:D$65536,3,0)</f>
        <v>Jug</v>
      </c>
      <c r="AM427" s="1" t="str">
        <f>VLOOKUP(C:C,[1]基础信息!B$1:E$65536,4,0)</f>
        <v>Marella XL</v>
      </c>
      <c r="AN427" s="1" t="str">
        <f>VLOOKUP(C:C,[1]基础信息!B$1:F$65536,5,0)</f>
        <v>Silver</v>
      </c>
    </row>
    <row r="428" spans="1:40">
      <c r="A428" s="1" t="s">
        <v>41</v>
      </c>
      <c r="B428" s="1" t="s">
        <v>42</v>
      </c>
      <c r="C428" s="1" t="s">
        <v>417</v>
      </c>
      <c r="D428" s="1" t="s">
        <v>418</v>
      </c>
      <c r="E428" s="1" t="s">
        <v>45</v>
      </c>
      <c r="F428" s="1" t="s">
        <v>1126</v>
      </c>
      <c r="G428" s="1" t="s">
        <v>1129</v>
      </c>
      <c r="H428" s="1" t="s">
        <v>1130</v>
      </c>
      <c r="I428" s="1" t="s">
        <v>49</v>
      </c>
      <c r="J428" s="1" t="s">
        <v>48</v>
      </c>
      <c r="K428" s="1">
        <v>96</v>
      </c>
      <c r="L428" s="1">
        <v>0</v>
      </c>
      <c r="M428" s="1">
        <v>0</v>
      </c>
      <c r="N428" s="1">
        <v>96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 t="s">
        <v>49</v>
      </c>
      <c r="AA428" s="1" t="s">
        <v>49</v>
      </c>
      <c r="AB428" s="1" t="s">
        <v>49</v>
      </c>
      <c r="AC428" s="1" t="s">
        <v>938</v>
      </c>
      <c r="AD428" s="1" t="s">
        <v>939</v>
      </c>
      <c r="AE428" s="1" t="s">
        <v>938</v>
      </c>
      <c r="AF428" s="1" t="s">
        <v>940</v>
      </c>
      <c r="AG428" s="1" t="s">
        <v>53</v>
      </c>
      <c r="AH428" s="1" t="s">
        <v>49</v>
      </c>
      <c r="AI428" s="1" t="s">
        <v>54</v>
      </c>
      <c r="AJ428" s="1">
        <v>1</v>
      </c>
      <c r="AK428" s="1" t="str">
        <f t="shared" si="6"/>
        <v xml:space="preserve"> =&lt;90</v>
      </c>
      <c r="AL428" s="1" t="str">
        <f>VLOOKUP(C:C,[1]基础信息!B$1:D$65536,3,0)</f>
        <v>Jug</v>
      </c>
      <c r="AM428" s="1" t="str">
        <f>VLOOKUP(C:C,[1]基础信息!B$1:E$65536,4,0)</f>
        <v>Marella XL</v>
      </c>
      <c r="AN428" s="1" t="str">
        <f>VLOOKUP(C:C,[1]基础信息!B$1:F$65536,5,0)</f>
        <v>Silver</v>
      </c>
    </row>
    <row r="429" spans="1:40">
      <c r="A429" s="1" t="s">
        <v>41</v>
      </c>
      <c r="B429" s="1" t="s">
        <v>42</v>
      </c>
      <c r="C429" s="1" t="s">
        <v>417</v>
      </c>
      <c r="D429" s="1" t="s">
        <v>418</v>
      </c>
      <c r="E429" s="1" t="s">
        <v>45</v>
      </c>
      <c r="F429" s="1" t="s">
        <v>1126</v>
      </c>
      <c r="G429" s="1" t="s">
        <v>1131</v>
      </c>
      <c r="H429" s="1" t="s">
        <v>1132</v>
      </c>
      <c r="I429" s="1" t="s">
        <v>49</v>
      </c>
      <c r="J429" s="1" t="s">
        <v>48</v>
      </c>
      <c r="K429" s="1">
        <v>96</v>
      </c>
      <c r="L429" s="1">
        <v>0</v>
      </c>
      <c r="M429" s="1">
        <v>0</v>
      </c>
      <c r="N429" s="1">
        <v>96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 t="s">
        <v>49</v>
      </c>
      <c r="AA429" s="1" t="s">
        <v>49</v>
      </c>
      <c r="AB429" s="1" t="s">
        <v>49</v>
      </c>
      <c r="AC429" s="1" t="s">
        <v>938</v>
      </c>
      <c r="AD429" s="1" t="s">
        <v>939</v>
      </c>
      <c r="AE429" s="1" t="s">
        <v>938</v>
      </c>
      <c r="AF429" s="1" t="s">
        <v>940</v>
      </c>
      <c r="AG429" s="1" t="s">
        <v>53</v>
      </c>
      <c r="AH429" s="1" t="s">
        <v>49</v>
      </c>
      <c r="AI429" s="1" t="s">
        <v>54</v>
      </c>
      <c r="AJ429" s="1">
        <v>1</v>
      </c>
      <c r="AK429" s="1" t="str">
        <f t="shared" si="6"/>
        <v xml:space="preserve"> =&lt;90</v>
      </c>
      <c r="AL429" s="1" t="str">
        <f>VLOOKUP(C:C,[1]基础信息!B$1:D$65536,3,0)</f>
        <v>Jug</v>
      </c>
      <c r="AM429" s="1" t="str">
        <f>VLOOKUP(C:C,[1]基础信息!B$1:E$65536,4,0)</f>
        <v>Marella XL</v>
      </c>
      <c r="AN429" s="1" t="str">
        <f>VLOOKUP(C:C,[1]基础信息!B$1:F$65536,5,0)</f>
        <v>Silver</v>
      </c>
    </row>
    <row r="430" spans="1:40">
      <c r="A430" s="1" t="s">
        <v>41</v>
      </c>
      <c r="B430" s="1" t="s">
        <v>42</v>
      </c>
      <c r="C430" s="1" t="s">
        <v>417</v>
      </c>
      <c r="D430" s="1" t="s">
        <v>418</v>
      </c>
      <c r="E430" s="1" t="s">
        <v>45</v>
      </c>
      <c r="F430" s="1" t="s">
        <v>1126</v>
      </c>
      <c r="G430" s="1" t="s">
        <v>1133</v>
      </c>
      <c r="H430" s="1" t="s">
        <v>1134</v>
      </c>
      <c r="I430" s="1" t="s">
        <v>49</v>
      </c>
      <c r="J430" s="1" t="s">
        <v>48</v>
      </c>
      <c r="K430" s="1">
        <v>96</v>
      </c>
      <c r="L430" s="1">
        <v>0</v>
      </c>
      <c r="M430" s="1">
        <v>0</v>
      </c>
      <c r="N430" s="1">
        <v>96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 t="s">
        <v>49</v>
      </c>
      <c r="AA430" s="1" t="s">
        <v>49</v>
      </c>
      <c r="AB430" s="1" t="s">
        <v>49</v>
      </c>
      <c r="AC430" s="1" t="s">
        <v>938</v>
      </c>
      <c r="AD430" s="1" t="s">
        <v>939</v>
      </c>
      <c r="AE430" s="1" t="s">
        <v>938</v>
      </c>
      <c r="AF430" s="1" t="s">
        <v>940</v>
      </c>
      <c r="AG430" s="1" t="s">
        <v>53</v>
      </c>
      <c r="AH430" s="1" t="s">
        <v>49</v>
      </c>
      <c r="AI430" s="1" t="s">
        <v>54</v>
      </c>
      <c r="AJ430" s="1">
        <v>1</v>
      </c>
      <c r="AK430" s="1" t="str">
        <f t="shared" si="6"/>
        <v xml:space="preserve"> =&lt;90</v>
      </c>
      <c r="AL430" s="1" t="str">
        <f>VLOOKUP(C:C,[1]基础信息!B$1:D$65536,3,0)</f>
        <v>Jug</v>
      </c>
      <c r="AM430" s="1" t="str">
        <f>VLOOKUP(C:C,[1]基础信息!B$1:E$65536,4,0)</f>
        <v>Marella XL</v>
      </c>
      <c r="AN430" s="1" t="str">
        <f>VLOOKUP(C:C,[1]基础信息!B$1:F$65536,5,0)</f>
        <v>Silver</v>
      </c>
    </row>
    <row r="431" spans="1:40">
      <c r="A431" s="1" t="s">
        <v>41</v>
      </c>
      <c r="B431" s="1" t="s">
        <v>42</v>
      </c>
      <c r="C431" s="1" t="s">
        <v>417</v>
      </c>
      <c r="D431" s="1" t="s">
        <v>418</v>
      </c>
      <c r="E431" s="1" t="s">
        <v>45</v>
      </c>
      <c r="F431" s="1" t="s">
        <v>1126</v>
      </c>
      <c r="G431" s="1" t="s">
        <v>1135</v>
      </c>
      <c r="H431" s="1" t="s">
        <v>1136</v>
      </c>
      <c r="I431" s="1" t="s">
        <v>49</v>
      </c>
      <c r="J431" s="1" t="s">
        <v>48</v>
      </c>
      <c r="K431" s="1">
        <v>96</v>
      </c>
      <c r="L431" s="1">
        <v>0</v>
      </c>
      <c r="M431" s="1">
        <v>0</v>
      </c>
      <c r="N431" s="1">
        <v>96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 t="s">
        <v>49</v>
      </c>
      <c r="AA431" s="1" t="s">
        <v>49</v>
      </c>
      <c r="AB431" s="1" t="s">
        <v>49</v>
      </c>
      <c r="AC431" s="1" t="s">
        <v>938</v>
      </c>
      <c r="AD431" s="1" t="s">
        <v>939</v>
      </c>
      <c r="AE431" s="1" t="s">
        <v>938</v>
      </c>
      <c r="AF431" s="1" t="s">
        <v>940</v>
      </c>
      <c r="AG431" s="1" t="s">
        <v>53</v>
      </c>
      <c r="AH431" s="1" t="s">
        <v>49</v>
      </c>
      <c r="AI431" s="1" t="s">
        <v>54</v>
      </c>
      <c r="AJ431" s="1">
        <v>1</v>
      </c>
      <c r="AK431" s="1" t="str">
        <f t="shared" si="6"/>
        <v xml:space="preserve"> =&lt;90</v>
      </c>
      <c r="AL431" s="1" t="str">
        <f>VLOOKUP(C:C,[1]基础信息!B$1:D$65536,3,0)</f>
        <v>Jug</v>
      </c>
      <c r="AM431" s="1" t="str">
        <f>VLOOKUP(C:C,[1]基础信息!B$1:E$65536,4,0)</f>
        <v>Marella XL</v>
      </c>
      <c r="AN431" s="1" t="str">
        <f>VLOOKUP(C:C,[1]基础信息!B$1:F$65536,5,0)</f>
        <v>Silver</v>
      </c>
    </row>
    <row r="432" spans="1:40">
      <c r="A432" s="1" t="s">
        <v>41</v>
      </c>
      <c r="B432" s="1" t="s">
        <v>42</v>
      </c>
      <c r="C432" s="1" t="s">
        <v>417</v>
      </c>
      <c r="D432" s="1" t="s">
        <v>418</v>
      </c>
      <c r="E432" s="1" t="s">
        <v>45</v>
      </c>
      <c r="F432" s="1" t="s">
        <v>1126</v>
      </c>
      <c r="G432" s="1" t="s">
        <v>1137</v>
      </c>
      <c r="H432" s="1" t="s">
        <v>1138</v>
      </c>
      <c r="I432" s="1" t="s">
        <v>49</v>
      </c>
      <c r="J432" s="1" t="s">
        <v>48</v>
      </c>
      <c r="K432" s="1">
        <v>96</v>
      </c>
      <c r="L432" s="1">
        <v>0</v>
      </c>
      <c r="M432" s="1">
        <v>0</v>
      </c>
      <c r="N432" s="1">
        <v>96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 t="s">
        <v>49</v>
      </c>
      <c r="AA432" s="1" t="s">
        <v>49</v>
      </c>
      <c r="AB432" s="1" t="s">
        <v>49</v>
      </c>
      <c r="AC432" s="1" t="s">
        <v>938</v>
      </c>
      <c r="AD432" s="1" t="s">
        <v>939</v>
      </c>
      <c r="AE432" s="1" t="s">
        <v>938</v>
      </c>
      <c r="AF432" s="1" t="s">
        <v>940</v>
      </c>
      <c r="AG432" s="1" t="s">
        <v>53</v>
      </c>
      <c r="AH432" s="1" t="s">
        <v>49</v>
      </c>
      <c r="AI432" s="1" t="s">
        <v>54</v>
      </c>
      <c r="AJ432" s="1">
        <v>1</v>
      </c>
      <c r="AK432" s="1" t="str">
        <f t="shared" si="6"/>
        <v xml:space="preserve"> =&lt;90</v>
      </c>
      <c r="AL432" s="1" t="str">
        <f>VLOOKUP(C:C,[1]基础信息!B$1:D$65536,3,0)</f>
        <v>Jug</v>
      </c>
      <c r="AM432" s="1" t="str">
        <f>VLOOKUP(C:C,[1]基础信息!B$1:E$65536,4,0)</f>
        <v>Marella XL</v>
      </c>
      <c r="AN432" s="1" t="str">
        <f>VLOOKUP(C:C,[1]基础信息!B$1:F$65536,5,0)</f>
        <v>Silver</v>
      </c>
    </row>
    <row r="433" spans="1:40">
      <c r="A433" s="1" t="s">
        <v>41</v>
      </c>
      <c r="B433" s="1" t="s">
        <v>42</v>
      </c>
      <c r="C433" s="1" t="s">
        <v>285</v>
      </c>
      <c r="D433" s="1" t="s">
        <v>286</v>
      </c>
      <c r="E433" s="1" t="s">
        <v>45</v>
      </c>
      <c r="F433" s="1" t="s">
        <v>287</v>
      </c>
      <c r="G433" s="1" t="s">
        <v>1139</v>
      </c>
      <c r="H433" s="1" t="s">
        <v>1140</v>
      </c>
      <c r="I433" s="1" t="s">
        <v>49</v>
      </c>
      <c r="J433" s="1" t="s">
        <v>48</v>
      </c>
      <c r="K433" s="1">
        <v>70</v>
      </c>
      <c r="L433" s="1">
        <v>0</v>
      </c>
      <c r="M433" s="1">
        <v>0</v>
      </c>
      <c r="N433" s="1">
        <v>70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 t="s">
        <v>49</v>
      </c>
      <c r="AA433" s="1" t="s">
        <v>49</v>
      </c>
      <c r="AB433" s="1" t="s">
        <v>49</v>
      </c>
      <c r="AC433" s="1" t="s">
        <v>290</v>
      </c>
      <c r="AD433" s="1" t="s">
        <v>291</v>
      </c>
      <c r="AE433" s="1" t="s">
        <v>290</v>
      </c>
      <c r="AF433" s="1" t="s">
        <v>292</v>
      </c>
      <c r="AG433" s="1" t="s">
        <v>53</v>
      </c>
      <c r="AH433" s="1" t="s">
        <v>49</v>
      </c>
      <c r="AI433" s="1" t="s">
        <v>54</v>
      </c>
      <c r="AJ433" s="1">
        <v>1</v>
      </c>
      <c r="AK433" s="1" t="str">
        <f t="shared" si="6"/>
        <v xml:space="preserve"> =&lt;90</v>
      </c>
      <c r="AL433" s="1" t="str">
        <f>VLOOKUP(C:C,[1]基础信息!B$1:D$65536,3,0)</f>
        <v>Jug</v>
      </c>
      <c r="AM433" s="1" t="str">
        <f>VLOOKUP(C:C,[1]基础信息!B$1:E$65536,4,0)</f>
        <v>Marella XL</v>
      </c>
      <c r="AN433" s="1" t="str">
        <f>VLOOKUP(C:C,[1]基础信息!B$1:F$65536,5,0)</f>
        <v>Blue</v>
      </c>
    </row>
    <row r="434" spans="1:40">
      <c r="A434" s="1" t="s">
        <v>41</v>
      </c>
      <c r="B434" s="1" t="s">
        <v>42</v>
      </c>
      <c r="C434" s="1" t="s">
        <v>285</v>
      </c>
      <c r="D434" s="1" t="s">
        <v>286</v>
      </c>
      <c r="E434" s="1" t="s">
        <v>45</v>
      </c>
      <c r="F434" s="1" t="s">
        <v>287</v>
      </c>
      <c r="G434" s="1" t="s">
        <v>1141</v>
      </c>
      <c r="H434" s="1" t="s">
        <v>1142</v>
      </c>
      <c r="I434" s="1" t="s">
        <v>49</v>
      </c>
      <c r="J434" s="1" t="s">
        <v>48</v>
      </c>
      <c r="K434" s="1">
        <v>70</v>
      </c>
      <c r="L434" s="1">
        <v>0</v>
      </c>
      <c r="M434" s="1">
        <v>0</v>
      </c>
      <c r="N434" s="1">
        <v>70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 t="s">
        <v>49</v>
      </c>
      <c r="AA434" s="1" t="s">
        <v>49</v>
      </c>
      <c r="AB434" s="1" t="s">
        <v>49</v>
      </c>
      <c r="AC434" s="1" t="s">
        <v>290</v>
      </c>
      <c r="AD434" s="1" t="s">
        <v>291</v>
      </c>
      <c r="AE434" s="1" t="s">
        <v>290</v>
      </c>
      <c r="AF434" s="1" t="s">
        <v>292</v>
      </c>
      <c r="AG434" s="1" t="s">
        <v>53</v>
      </c>
      <c r="AH434" s="1" t="s">
        <v>49</v>
      </c>
      <c r="AI434" s="1" t="s">
        <v>54</v>
      </c>
      <c r="AJ434" s="1">
        <v>1</v>
      </c>
      <c r="AK434" s="1" t="str">
        <f t="shared" si="6"/>
        <v xml:space="preserve"> =&lt;90</v>
      </c>
      <c r="AL434" s="1" t="str">
        <f>VLOOKUP(C:C,[1]基础信息!B$1:D$65536,3,0)</f>
        <v>Jug</v>
      </c>
      <c r="AM434" s="1" t="str">
        <f>VLOOKUP(C:C,[1]基础信息!B$1:E$65536,4,0)</f>
        <v>Marella XL</v>
      </c>
      <c r="AN434" s="1" t="str">
        <f>VLOOKUP(C:C,[1]基础信息!B$1:F$65536,5,0)</f>
        <v>Blue</v>
      </c>
    </row>
    <row r="435" spans="1:40">
      <c r="A435" s="1" t="s">
        <v>41</v>
      </c>
      <c r="B435" s="1" t="s">
        <v>42</v>
      </c>
      <c r="C435" s="1" t="s">
        <v>285</v>
      </c>
      <c r="D435" s="1" t="s">
        <v>286</v>
      </c>
      <c r="E435" s="1" t="s">
        <v>45</v>
      </c>
      <c r="F435" s="1" t="s">
        <v>287</v>
      </c>
      <c r="G435" s="1" t="s">
        <v>1143</v>
      </c>
      <c r="H435" s="1" t="s">
        <v>1144</v>
      </c>
      <c r="I435" s="1" t="s">
        <v>49</v>
      </c>
      <c r="J435" s="1" t="s">
        <v>48</v>
      </c>
      <c r="K435" s="1">
        <v>70</v>
      </c>
      <c r="L435" s="1">
        <v>0</v>
      </c>
      <c r="M435" s="1">
        <v>0</v>
      </c>
      <c r="N435" s="1">
        <v>70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 t="s">
        <v>49</v>
      </c>
      <c r="AA435" s="1" t="s">
        <v>49</v>
      </c>
      <c r="AB435" s="1" t="s">
        <v>49</v>
      </c>
      <c r="AC435" s="1" t="s">
        <v>290</v>
      </c>
      <c r="AD435" s="1" t="s">
        <v>291</v>
      </c>
      <c r="AE435" s="1" t="s">
        <v>290</v>
      </c>
      <c r="AF435" s="1" t="s">
        <v>292</v>
      </c>
      <c r="AG435" s="1" t="s">
        <v>53</v>
      </c>
      <c r="AH435" s="1" t="s">
        <v>49</v>
      </c>
      <c r="AI435" s="1" t="s">
        <v>54</v>
      </c>
      <c r="AJ435" s="1">
        <v>1</v>
      </c>
      <c r="AK435" s="1" t="str">
        <f t="shared" si="6"/>
        <v xml:space="preserve"> =&lt;90</v>
      </c>
      <c r="AL435" s="1" t="str">
        <f>VLOOKUP(C:C,[1]基础信息!B$1:D$65536,3,0)</f>
        <v>Jug</v>
      </c>
      <c r="AM435" s="1" t="str">
        <f>VLOOKUP(C:C,[1]基础信息!B$1:E$65536,4,0)</f>
        <v>Marella XL</v>
      </c>
      <c r="AN435" s="1" t="str">
        <f>VLOOKUP(C:C,[1]基础信息!B$1:F$65536,5,0)</f>
        <v>Blue</v>
      </c>
    </row>
    <row r="436" spans="1:40">
      <c r="A436" s="1" t="s">
        <v>41</v>
      </c>
      <c r="B436" s="1" t="s">
        <v>42</v>
      </c>
      <c r="C436" s="1" t="s">
        <v>285</v>
      </c>
      <c r="D436" s="1" t="s">
        <v>286</v>
      </c>
      <c r="E436" s="1" t="s">
        <v>45</v>
      </c>
      <c r="F436" s="1" t="s">
        <v>287</v>
      </c>
      <c r="G436" s="1" t="s">
        <v>1145</v>
      </c>
      <c r="H436" s="1" t="s">
        <v>1146</v>
      </c>
      <c r="I436" s="1" t="s">
        <v>49</v>
      </c>
      <c r="J436" s="1" t="s">
        <v>48</v>
      </c>
      <c r="K436" s="1">
        <v>70</v>
      </c>
      <c r="L436" s="1">
        <v>0</v>
      </c>
      <c r="M436" s="1">
        <v>0</v>
      </c>
      <c r="N436" s="1">
        <v>70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 t="s">
        <v>49</v>
      </c>
      <c r="AA436" s="1" t="s">
        <v>49</v>
      </c>
      <c r="AB436" s="1" t="s">
        <v>49</v>
      </c>
      <c r="AC436" s="1" t="s">
        <v>290</v>
      </c>
      <c r="AD436" s="1" t="s">
        <v>291</v>
      </c>
      <c r="AE436" s="1" t="s">
        <v>290</v>
      </c>
      <c r="AF436" s="1" t="s">
        <v>292</v>
      </c>
      <c r="AG436" s="1" t="s">
        <v>53</v>
      </c>
      <c r="AH436" s="1" t="s">
        <v>49</v>
      </c>
      <c r="AI436" s="1" t="s">
        <v>54</v>
      </c>
      <c r="AJ436" s="1">
        <v>1</v>
      </c>
      <c r="AK436" s="1" t="str">
        <f t="shared" si="6"/>
        <v xml:space="preserve"> =&lt;90</v>
      </c>
      <c r="AL436" s="1" t="str">
        <f>VLOOKUP(C:C,[1]基础信息!B$1:D$65536,3,0)</f>
        <v>Jug</v>
      </c>
      <c r="AM436" s="1" t="str">
        <f>VLOOKUP(C:C,[1]基础信息!B$1:E$65536,4,0)</f>
        <v>Marella XL</v>
      </c>
      <c r="AN436" s="1" t="str">
        <f>VLOOKUP(C:C,[1]基础信息!B$1:F$65536,5,0)</f>
        <v>Blue</v>
      </c>
    </row>
    <row r="437" spans="1:40">
      <c r="A437" s="1" t="s">
        <v>41</v>
      </c>
      <c r="B437" s="1" t="s">
        <v>42</v>
      </c>
      <c r="C437" s="1" t="s">
        <v>417</v>
      </c>
      <c r="D437" s="1" t="s">
        <v>418</v>
      </c>
      <c r="E437" s="1" t="s">
        <v>45</v>
      </c>
      <c r="F437" s="1" t="s">
        <v>1126</v>
      </c>
      <c r="G437" s="1" t="s">
        <v>1147</v>
      </c>
      <c r="H437" s="1" t="s">
        <v>1148</v>
      </c>
      <c r="I437" s="1" t="s">
        <v>49</v>
      </c>
      <c r="J437" s="1" t="s">
        <v>48</v>
      </c>
      <c r="K437" s="1">
        <v>96</v>
      </c>
      <c r="L437" s="1">
        <v>0</v>
      </c>
      <c r="M437" s="1">
        <v>0</v>
      </c>
      <c r="N437" s="1">
        <v>96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 t="s">
        <v>49</v>
      </c>
      <c r="AA437" s="1" t="s">
        <v>49</v>
      </c>
      <c r="AB437" s="1" t="s">
        <v>49</v>
      </c>
      <c r="AC437" s="1" t="s">
        <v>938</v>
      </c>
      <c r="AD437" s="1" t="s">
        <v>939</v>
      </c>
      <c r="AE437" s="1" t="s">
        <v>938</v>
      </c>
      <c r="AF437" s="1" t="s">
        <v>940</v>
      </c>
      <c r="AG437" s="1" t="s">
        <v>53</v>
      </c>
      <c r="AH437" s="1" t="s">
        <v>49</v>
      </c>
      <c r="AI437" s="1" t="s">
        <v>54</v>
      </c>
      <c r="AJ437" s="1">
        <v>1</v>
      </c>
      <c r="AK437" s="1" t="str">
        <f t="shared" si="6"/>
        <v xml:space="preserve"> =&lt;90</v>
      </c>
      <c r="AL437" s="1" t="str">
        <f>VLOOKUP(C:C,[1]基础信息!B$1:D$65536,3,0)</f>
        <v>Jug</v>
      </c>
      <c r="AM437" s="1" t="str">
        <f>VLOOKUP(C:C,[1]基础信息!B$1:E$65536,4,0)</f>
        <v>Marella XL</v>
      </c>
      <c r="AN437" s="1" t="str">
        <f>VLOOKUP(C:C,[1]基础信息!B$1:F$65536,5,0)</f>
        <v>Silver</v>
      </c>
    </row>
    <row r="438" spans="1:40">
      <c r="A438" s="1" t="s">
        <v>41</v>
      </c>
      <c r="B438" s="1" t="s">
        <v>42</v>
      </c>
      <c r="C438" s="1" t="s">
        <v>417</v>
      </c>
      <c r="D438" s="1" t="s">
        <v>418</v>
      </c>
      <c r="E438" s="1" t="s">
        <v>45</v>
      </c>
      <c r="F438" s="1" t="s">
        <v>1126</v>
      </c>
      <c r="G438" s="1" t="s">
        <v>1149</v>
      </c>
      <c r="H438" s="1" t="s">
        <v>1150</v>
      </c>
      <c r="I438" s="1" t="s">
        <v>49</v>
      </c>
      <c r="J438" s="1" t="s">
        <v>48</v>
      </c>
      <c r="K438" s="1">
        <v>96</v>
      </c>
      <c r="L438" s="1">
        <v>0</v>
      </c>
      <c r="M438" s="1">
        <v>0</v>
      </c>
      <c r="N438" s="1">
        <v>96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 t="s">
        <v>49</v>
      </c>
      <c r="AA438" s="1" t="s">
        <v>49</v>
      </c>
      <c r="AB438" s="1" t="s">
        <v>49</v>
      </c>
      <c r="AC438" s="1" t="s">
        <v>938</v>
      </c>
      <c r="AD438" s="1" t="s">
        <v>939</v>
      </c>
      <c r="AE438" s="1" t="s">
        <v>938</v>
      </c>
      <c r="AF438" s="1" t="s">
        <v>940</v>
      </c>
      <c r="AG438" s="1" t="s">
        <v>53</v>
      </c>
      <c r="AH438" s="1" t="s">
        <v>49</v>
      </c>
      <c r="AI438" s="1" t="s">
        <v>54</v>
      </c>
      <c r="AJ438" s="1">
        <v>1</v>
      </c>
      <c r="AK438" s="1" t="str">
        <f t="shared" si="6"/>
        <v xml:space="preserve"> =&lt;90</v>
      </c>
      <c r="AL438" s="1" t="str">
        <f>VLOOKUP(C:C,[1]基础信息!B$1:D$65536,3,0)</f>
        <v>Jug</v>
      </c>
      <c r="AM438" s="1" t="str">
        <f>VLOOKUP(C:C,[1]基础信息!B$1:E$65536,4,0)</f>
        <v>Marella XL</v>
      </c>
      <c r="AN438" s="1" t="str">
        <f>VLOOKUP(C:C,[1]基础信息!B$1:F$65536,5,0)</f>
        <v>Silver</v>
      </c>
    </row>
    <row r="439" spans="1:40">
      <c r="A439" s="1" t="s">
        <v>41</v>
      </c>
      <c r="B439" s="1" t="s">
        <v>42</v>
      </c>
      <c r="C439" s="1" t="s">
        <v>56</v>
      </c>
      <c r="D439" s="1" t="s">
        <v>57</v>
      </c>
      <c r="E439" s="1" t="s">
        <v>45</v>
      </c>
      <c r="F439" s="1" t="s">
        <v>58</v>
      </c>
      <c r="G439" s="1" t="s">
        <v>1151</v>
      </c>
      <c r="H439" s="1" t="s">
        <v>1152</v>
      </c>
      <c r="I439" s="1" t="s">
        <v>49</v>
      </c>
      <c r="J439" s="1" t="s">
        <v>48</v>
      </c>
      <c r="K439" s="1">
        <v>72</v>
      </c>
      <c r="L439" s="1">
        <v>0</v>
      </c>
      <c r="M439" s="1">
        <v>0</v>
      </c>
      <c r="N439" s="1">
        <v>72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 t="s">
        <v>49</v>
      </c>
      <c r="AA439" s="1" t="s">
        <v>49</v>
      </c>
      <c r="AB439" s="1" t="s">
        <v>49</v>
      </c>
      <c r="AC439" s="1" t="s">
        <v>61</v>
      </c>
      <c r="AD439" s="1" t="s">
        <v>62</v>
      </c>
      <c r="AE439" s="1" t="s">
        <v>61</v>
      </c>
      <c r="AF439" s="1" t="s">
        <v>63</v>
      </c>
      <c r="AG439" s="1" t="s">
        <v>53</v>
      </c>
      <c r="AH439" s="1" t="s">
        <v>49</v>
      </c>
      <c r="AI439" s="1" t="s">
        <v>54</v>
      </c>
      <c r="AJ439" s="1">
        <v>1</v>
      </c>
      <c r="AK439" s="1" t="str">
        <f t="shared" si="6"/>
        <v xml:space="preserve"> =&lt;90</v>
      </c>
      <c r="AL439" s="1" t="str">
        <f>VLOOKUP(C:C,[1]基础信息!B$1:D$65536,3,0)</f>
        <v>Jug</v>
      </c>
      <c r="AM439" s="1" t="str">
        <f>VLOOKUP(C:C,[1]基础信息!B$1:E$65536,4,0)</f>
        <v>Marella XL</v>
      </c>
      <c r="AN439" s="1" t="str">
        <f>VLOOKUP(C:C,[1]基础信息!B$1:F$65536,5,0)</f>
        <v>Blue</v>
      </c>
    </row>
    <row r="440" spans="1:40">
      <c r="A440" s="1" t="s">
        <v>41</v>
      </c>
      <c r="B440" s="1" t="s">
        <v>42</v>
      </c>
      <c r="C440" s="1" t="s">
        <v>417</v>
      </c>
      <c r="D440" s="1" t="s">
        <v>418</v>
      </c>
      <c r="E440" s="1" t="s">
        <v>45</v>
      </c>
      <c r="F440" s="1" t="s">
        <v>1126</v>
      </c>
      <c r="G440" s="1" t="s">
        <v>1153</v>
      </c>
      <c r="H440" s="1" t="s">
        <v>1154</v>
      </c>
      <c r="I440" s="1" t="s">
        <v>49</v>
      </c>
      <c r="J440" s="1" t="s">
        <v>48</v>
      </c>
      <c r="K440" s="1">
        <v>96</v>
      </c>
      <c r="L440" s="1">
        <v>0</v>
      </c>
      <c r="M440" s="1">
        <v>0</v>
      </c>
      <c r="N440" s="1">
        <v>96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 t="s">
        <v>49</v>
      </c>
      <c r="AA440" s="1" t="s">
        <v>49</v>
      </c>
      <c r="AB440" s="1" t="s">
        <v>49</v>
      </c>
      <c r="AC440" s="1" t="s">
        <v>938</v>
      </c>
      <c r="AD440" s="1" t="s">
        <v>939</v>
      </c>
      <c r="AE440" s="1" t="s">
        <v>938</v>
      </c>
      <c r="AF440" s="1" t="s">
        <v>940</v>
      </c>
      <c r="AG440" s="1" t="s">
        <v>53</v>
      </c>
      <c r="AH440" s="1" t="s">
        <v>49</v>
      </c>
      <c r="AI440" s="1" t="s">
        <v>54</v>
      </c>
      <c r="AJ440" s="1">
        <v>1</v>
      </c>
      <c r="AK440" s="1" t="str">
        <f t="shared" si="6"/>
        <v xml:space="preserve"> =&lt;90</v>
      </c>
      <c r="AL440" s="1" t="str">
        <f>VLOOKUP(C:C,[1]基础信息!B$1:D$65536,3,0)</f>
        <v>Jug</v>
      </c>
      <c r="AM440" s="1" t="str">
        <f>VLOOKUP(C:C,[1]基础信息!B$1:E$65536,4,0)</f>
        <v>Marella XL</v>
      </c>
      <c r="AN440" s="1" t="str">
        <f>VLOOKUP(C:C,[1]基础信息!B$1:F$65536,5,0)</f>
        <v>Silver</v>
      </c>
    </row>
    <row r="441" spans="1:40">
      <c r="A441" s="1" t="s">
        <v>41</v>
      </c>
      <c r="B441" s="1" t="s">
        <v>42</v>
      </c>
      <c r="C441" s="1" t="s">
        <v>56</v>
      </c>
      <c r="D441" s="1" t="s">
        <v>57</v>
      </c>
      <c r="E441" s="1" t="s">
        <v>45</v>
      </c>
      <c r="F441" s="1" t="s">
        <v>58</v>
      </c>
      <c r="G441" s="1" t="s">
        <v>1155</v>
      </c>
      <c r="H441" s="1" t="s">
        <v>1156</v>
      </c>
      <c r="I441" s="1" t="s">
        <v>49</v>
      </c>
      <c r="J441" s="1" t="s">
        <v>48</v>
      </c>
      <c r="K441" s="1">
        <v>72</v>
      </c>
      <c r="L441" s="1">
        <v>0</v>
      </c>
      <c r="M441" s="1">
        <v>0</v>
      </c>
      <c r="N441" s="1">
        <v>72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 t="s">
        <v>49</v>
      </c>
      <c r="AA441" s="1" t="s">
        <v>49</v>
      </c>
      <c r="AB441" s="1" t="s">
        <v>49</v>
      </c>
      <c r="AC441" s="1" t="s">
        <v>61</v>
      </c>
      <c r="AD441" s="1" t="s">
        <v>62</v>
      </c>
      <c r="AE441" s="1" t="s">
        <v>61</v>
      </c>
      <c r="AF441" s="1" t="s">
        <v>63</v>
      </c>
      <c r="AG441" s="1" t="s">
        <v>53</v>
      </c>
      <c r="AH441" s="1" t="s">
        <v>49</v>
      </c>
      <c r="AI441" s="1" t="s">
        <v>54</v>
      </c>
      <c r="AJ441" s="1">
        <v>1</v>
      </c>
      <c r="AK441" s="1" t="str">
        <f t="shared" si="6"/>
        <v xml:space="preserve"> =&lt;90</v>
      </c>
      <c r="AL441" s="1" t="str">
        <f>VLOOKUP(C:C,[1]基础信息!B$1:D$65536,3,0)</f>
        <v>Jug</v>
      </c>
      <c r="AM441" s="1" t="str">
        <f>VLOOKUP(C:C,[1]基础信息!B$1:E$65536,4,0)</f>
        <v>Marella XL</v>
      </c>
      <c r="AN441" s="1" t="str">
        <f>VLOOKUP(C:C,[1]基础信息!B$1:F$65536,5,0)</f>
        <v>Blue</v>
      </c>
    </row>
    <row r="442" spans="1:40">
      <c r="A442" s="1" t="s">
        <v>41</v>
      </c>
      <c r="B442" s="1" t="s">
        <v>42</v>
      </c>
      <c r="C442" s="1" t="s">
        <v>68</v>
      </c>
      <c r="D442" s="1" t="s">
        <v>69</v>
      </c>
      <c r="E442" s="1" t="s">
        <v>45</v>
      </c>
      <c r="F442" s="1" t="s">
        <v>201</v>
      </c>
      <c r="G442" s="1" t="s">
        <v>1157</v>
      </c>
      <c r="H442" s="1" t="s">
        <v>1158</v>
      </c>
      <c r="I442" s="1" t="s">
        <v>49</v>
      </c>
      <c r="J442" s="1" t="s">
        <v>48</v>
      </c>
      <c r="K442" s="1">
        <v>36</v>
      </c>
      <c r="L442" s="1">
        <v>0</v>
      </c>
      <c r="M442" s="1">
        <v>0</v>
      </c>
      <c r="N442" s="1">
        <v>36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 t="s">
        <v>49</v>
      </c>
      <c r="AA442" s="1" t="s">
        <v>49</v>
      </c>
      <c r="AB442" s="1" t="s">
        <v>49</v>
      </c>
      <c r="AC442" s="1" t="s">
        <v>204</v>
      </c>
      <c r="AD442" s="1" t="s">
        <v>205</v>
      </c>
      <c r="AE442" s="1" t="s">
        <v>206</v>
      </c>
      <c r="AF442" s="1" t="s">
        <v>207</v>
      </c>
      <c r="AG442" s="1" t="s">
        <v>53</v>
      </c>
      <c r="AH442" s="1" t="s">
        <v>49</v>
      </c>
      <c r="AI442" s="1" t="s">
        <v>54</v>
      </c>
      <c r="AJ442" s="1">
        <v>1</v>
      </c>
      <c r="AK442" s="1" t="str">
        <f t="shared" si="6"/>
        <v xml:space="preserve"> =&lt;90</v>
      </c>
      <c r="AL442" s="1" t="str">
        <f>VLOOKUP(C:C,[1]基础信息!B$1:D$65536,3,0)</f>
        <v>Hotcup</v>
      </c>
      <c r="AM442" s="1" t="str">
        <f>VLOOKUP(C:C,[1]基础信息!B$1:E$65536,4,0)</f>
        <v>Hotcup</v>
      </c>
      <c r="AN442" s="1" t="str">
        <f>VLOOKUP(C:C,[1]基础信息!B$1:F$65536,5,0)</f>
        <v xml:space="preserve"> Whi</v>
      </c>
    </row>
    <row r="443" spans="1:40">
      <c r="A443" s="1" t="s">
        <v>41</v>
      </c>
      <c r="B443" s="1" t="s">
        <v>42</v>
      </c>
      <c r="C443" s="1" t="s">
        <v>68</v>
      </c>
      <c r="D443" s="1" t="s">
        <v>69</v>
      </c>
      <c r="E443" s="1" t="s">
        <v>45</v>
      </c>
      <c r="F443" s="1" t="s">
        <v>201</v>
      </c>
      <c r="G443" s="1" t="s">
        <v>1159</v>
      </c>
      <c r="H443" s="1" t="s">
        <v>1160</v>
      </c>
      <c r="I443" s="1" t="s">
        <v>49</v>
      </c>
      <c r="J443" s="1" t="s">
        <v>48</v>
      </c>
      <c r="K443" s="1">
        <v>36</v>
      </c>
      <c r="L443" s="1">
        <v>0</v>
      </c>
      <c r="M443" s="1">
        <v>0</v>
      </c>
      <c r="N443" s="1">
        <v>36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 t="s">
        <v>49</v>
      </c>
      <c r="AA443" s="1" t="s">
        <v>49</v>
      </c>
      <c r="AB443" s="1" t="s">
        <v>49</v>
      </c>
      <c r="AC443" s="1" t="s">
        <v>204</v>
      </c>
      <c r="AD443" s="1" t="s">
        <v>205</v>
      </c>
      <c r="AE443" s="1" t="s">
        <v>206</v>
      </c>
      <c r="AF443" s="1" t="s">
        <v>207</v>
      </c>
      <c r="AG443" s="1" t="s">
        <v>53</v>
      </c>
      <c r="AH443" s="1" t="s">
        <v>49</v>
      </c>
      <c r="AI443" s="1" t="s">
        <v>54</v>
      </c>
      <c r="AJ443" s="1">
        <v>1</v>
      </c>
      <c r="AK443" s="1" t="str">
        <f t="shared" si="6"/>
        <v xml:space="preserve"> =&lt;90</v>
      </c>
      <c r="AL443" s="1" t="str">
        <f>VLOOKUP(C:C,[1]基础信息!B$1:D$65536,3,0)</f>
        <v>Hotcup</v>
      </c>
      <c r="AM443" s="1" t="str">
        <f>VLOOKUP(C:C,[1]基础信息!B$1:E$65536,4,0)</f>
        <v>Hotcup</v>
      </c>
      <c r="AN443" s="1" t="str">
        <f>VLOOKUP(C:C,[1]基础信息!B$1:F$65536,5,0)</f>
        <v xml:space="preserve"> Whi</v>
      </c>
    </row>
    <row r="444" spans="1:40">
      <c r="A444" s="1" t="s">
        <v>41</v>
      </c>
      <c r="B444" s="1" t="s">
        <v>42</v>
      </c>
      <c r="C444" s="1" t="s">
        <v>68</v>
      </c>
      <c r="D444" s="1" t="s">
        <v>69</v>
      </c>
      <c r="E444" s="1" t="s">
        <v>45</v>
      </c>
      <c r="F444" s="1" t="s">
        <v>201</v>
      </c>
      <c r="G444" s="1" t="s">
        <v>1161</v>
      </c>
      <c r="H444" s="1" t="s">
        <v>1162</v>
      </c>
      <c r="I444" s="1" t="s">
        <v>49</v>
      </c>
      <c r="J444" s="1" t="s">
        <v>48</v>
      </c>
      <c r="K444" s="1">
        <v>36</v>
      </c>
      <c r="L444" s="1">
        <v>0</v>
      </c>
      <c r="M444" s="1">
        <v>0</v>
      </c>
      <c r="N444" s="1">
        <v>36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 t="s">
        <v>49</v>
      </c>
      <c r="AA444" s="1" t="s">
        <v>49</v>
      </c>
      <c r="AB444" s="1" t="s">
        <v>49</v>
      </c>
      <c r="AC444" s="1" t="s">
        <v>204</v>
      </c>
      <c r="AD444" s="1" t="s">
        <v>205</v>
      </c>
      <c r="AE444" s="1" t="s">
        <v>206</v>
      </c>
      <c r="AF444" s="1" t="s">
        <v>207</v>
      </c>
      <c r="AG444" s="1" t="s">
        <v>53</v>
      </c>
      <c r="AH444" s="1" t="s">
        <v>49</v>
      </c>
      <c r="AI444" s="1" t="s">
        <v>54</v>
      </c>
      <c r="AJ444" s="1">
        <v>1</v>
      </c>
      <c r="AK444" s="1" t="str">
        <f t="shared" si="6"/>
        <v xml:space="preserve"> =&lt;90</v>
      </c>
      <c r="AL444" s="1" t="str">
        <f>VLOOKUP(C:C,[1]基础信息!B$1:D$65536,3,0)</f>
        <v>Hotcup</v>
      </c>
      <c r="AM444" s="1" t="str">
        <f>VLOOKUP(C:C,[1]基础信息!B$1:E$65536,4,0)</f>
        <v>Hotcup</v>
      </c>
      <c r="AN444" s="1" t="str">
        <f>VLOOKUP(C:C,[1]基础信息!B$1:F$65536,5,0)</f>
        <v xml:space="preserve"> Whi</v>
      </c>
    </row>
    <row r="445" spans="1:40">
      <c r="A445" s="1" t="s">
        <v>41</v>
      </c>
      <c r="B445" s="1" t="s">
        <v>42</v>
      </c>
      <c r="C445" s="1" t="s">
        <v>208</v>
      </c>
      <c r="D445" s="1" t="s">
        <v>209</v>
      </c>
      <c r="E445" s="1" t="s">
        <v>208</v>
      </c>
      <c r="F445" s="1" t="s">
        <v>210</v>
      </c>
      <c r="G445" s="1" t="s">
        <v>1163</v>
      </c>
      <c r="H445" s="1" t="s">
        <v>1164</v>
      </c>
      <c r="I445" s="1" t="s">
        <v>49</v>
      </c>
      <c r="J445" s="1" t="s">
        <v>48</v>
      </c>
      <c r="K445" s="1">
        <v>80</v>
      </c>
      <c r="L445" s="1">
        <v>0</v>
      </c>
      <c r="M445" s="1">
        <v>0</v>
      </c>
      <c r="N445" s="1">
        <v>80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 t="s">
        <v>49</v>
      </c>
      <c r="AA445" s="1" t="s">
        <v>49</v>
      </c>
      <c r="AB445" s="1" t="s">
        <v>49</v>
      </c>
      <c r="AC445" s="1" t="s">
        <v>213</v>
      </c>
      <c r="AD445" s="1" t="s">
        <v>214</v>
      </c>
      <c r="AE445" s="1" t="s">
        <v>215</v>
      </c>
      <c r="AF445" s="1" t="s">
        <v>216</v>
      </c>
      <c r="AG445" s="1" t="s">
        <v>53</v>
      </c>
      <c r="AH445" s="1" t="s">
        <v>49</v>
      </c>
      <c r="AI445" s="1" t="s">
        <v>54</v>
      </c>
      <c r="AJ445" s="1">
        <v>1</v>
      </c>
      <c r="AK445" s="1" t="str">
        <f t="shared" si="6"/>
        <v xml:space="preserve"> =&lt;90</v>
      </c>
      <c r="AL445" s="1" t="str">
        <f>VLOOKUP(C:C,[1]基础信息!B$1:D$65536,3,0)</f>
        <v>Jug</v>
      </c>
      <c r="AM445" s="1" t="str">
        <f>VLOOKUP(C:C,[1]基础信息!B$1:E$65536,4,0)</f>
        <v>MXpl</v>
      </c>
      <c r="AN445" s="1" t="str">
        <f>VLOOKUP(C:C,[1]基础信息!B$1:F$65536,5,0)</f>
        <v>grey</v>
      </c>
    </row>
    <row r="446" spans="1:40">
      <c r="A446" s="1" t="s">
        <v>41</v>
      </c>
      <c r="B446" s="1" t="s">
        <v>42</v>
      </c>
      <c r="C446" s="1" t="s">
        <v>285</v>
      </c>
      <c r="D446" s="1" t="s">
        <v>286</v>
      </c>
      <c r="E446" s="1" t="s">
        <v>45</v>
      </c>
      <c r="F446" s="1" t="s">
        <v>287</v>
      </c>
      <c r="G446" s="1" t="s">
        <v>1165</v>
      </c>
      <c r="H446" s="1" t="s">
        <v>1166</v>
      </c>
      <c r="I446" s="1" t="s">
        <v>49</v>
      </c>
      <c r="J446" s="1" t="s">
        <v>48</v>
      </c>
      <c r="K446" s="1">
        <v>70</v>
      </c>
      <c r="L446" s="1">
        <v>0</v>
      </c>
      <c r="M446" s="1">
        <v>0</v>
      </c>
      <c r="N446" s="1">
        <v>70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 t="s">
        <v>49</v>
      </c>
      <c r="AA446" s="1" t="s">
        <v>49</v>
      </c>
      <c r="AB446" s="1" t="s">
        <v>49</v>
      </c>
      <c r="AC446" s="1" t="s">
        <v>290</v>
      </c>
      <c r="AD446" s="1" t="s">
        <v>291</v>
      </c>
      <c r="AE446" s="1" t="s">
        <v>290</v>
      </c>
      <c r="AF446" s="1" t="s">
        <v>292</v>
      </c>
      <c r="AG446" s="1" t="s">
        <v>53</v>
      </c>
      <c r="AH446" s="1" t="s">
        <v>49</v>
      </c>
      <c r="AI446" s="1" t="s">
        <v>54</v>
      </c>
      <c r="AJ446" s="1">
        <v>1</v>
      </c>
      <c r="AK446" s="1" t="str">
        <f t="shared" si="6"/>
        <v xml:space="preserve"> =&lt;90</v>
      </c>
      <c r="AL446" s="1" t="str">
        <f>VLOOKUP(C:C,[1]基础信息!B$1:D$65536,3,0)</f>
        <v>Jug</v>
      </c>
      <c r="AM446" s="1" t="str">
        <f>VLOOKUP(C:C,[1]基础信息!B$1:E$65536,4,0)</f>
        <v>Marella XL</v>
      </c>
      <c r="AN446" s="1" t="str">
        <f>VLOOKUP(C:C,[1]基础信息!B$1:F$65536,5,0)</f>
        <v>Blue</v>
      </c>
    </row>
    <row r="447" spans="1:40">
      <c r="A447" s="1" t="s">
        <v>41</v>
      </c>
      <c r="B447" s="1" t="s">
        <v>42</v>
      </c>
      <c r="C447" s="1" t="s">
        <v>208</v>
      </c>
      <c r="D447" s="1" t="s">
        <v>209</v>
      </c>
      <c r="E447" s="1" t="s">
        <v>208</v>
      </c>
      <c r="F447" s="1" t="s">
        <v>210</v>
      </c>
      <c r="G447" s="1" t="s">
        <v>1167</v>
      </c>
      <c r="H447" s="1" t="s">
        <v>1168</v>
      </c>
      <c r="I447" s="1" t="s">
        <v>49</v>
      </c>
      <c r="J447" s="1" t="s">
        <v>48</v>
      </c>
      <c r="K447" s="1">
        <v>36</v>
      </c>
      <c r="L447" s="1">
        <v>0</v>
      </c>
      <c r="M447" s="1">
        <v>0</v>
      </c>
      <c r="N447" s="1">
        <v>36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 t="s">
        <v>49</v>
      </c>
      <c r="AA447" s="1" t="s">
        <v>49</v>
      </c>
      <c r="AB447" s="1" t="s">
        <v>49</v>
      </c>
      <c r="AC447" s="1" t="s">
        <v>213</v>
      </c>
      <c r="AD447" s="1" t="s">
        <v>214</v>
      </c>
      <c r="AE447" s="1" t="s">
        <v>215</v>
      </c>
      <c r="AF447" s="1" t="s">
        <v>216</v>
      </c>
      <c r="AG447" s="1" t="s">
        <v>53</v>
      </c>
      <c r="AH447" s="1" t="s">
        <v>49</v>
      </c>
      <c r="AI447" s="1" t="s">
        <v>54</v>
      </c>
      <c r="AJ447" s="1">
        <v>1</v>
      </c>
      <c r="AK447" s="1" t="str">
        <f t="shared" si="6"/>
        <v xml:space="preserve"> =&lt;90</v>
      </c>
      <c r="AL447" s="1" t="str">
        <f>VLOOKUP(C:C,[1]基础信息!B$1:D$65536,3,0)</f>
        <v>Jug</v>
      </c>
      <c r="AM447" s="1" t="str">
        <f>VLOOKUP(C:C,[1]基础信息!B$1:E$65536,4,0)</f>
        <v>MXpl</v>
      </c>
      <c r="AN447" s="1" t="str">
        <f>VLOOKUP(C:C,[1]基础信息!B$1:F$65536,5,0)</f>
        <v>grey</v>
      </c>
    </row>
    <row r="448" spans="1:40">
      <c r="A448" s="1" t="s">
        <v>41</v>
      </c>
      <c r="B448" s="1" t="s">
        <v>42</v>
      </c>
      <c r="C448" s="1" t="s">
        <v>83</v>
      </c>
      <c r="D448" s="1" t="s">
        <v>84</v>
      </c>
      <c r="E448" s="1" t="s">
        <v>45</v>
      </c>
      <c r="F448" s="1" t="s">
        <v>1169</v>
      </c>
      <c r="G448" s="1" t="s">
        <v>1170</v>
      </c>
      <c r="H448" s="1" t="s">
        <v>1171</v>
      </c>
      <c r="I448" s="1" t="s">
        <v>49</v>
      </c>
      <c r="J448" s="1" t="s">
        <v>48</v>
      </c>
      <c r="K448" s="1">
        <v>96</v>
      </c>
      <c r="L448" s="1">
        <v>0</v>
      </c>
      <c r="M448" s="1">
        <v>0</v>
      </c>
      <c r="N448" s="1">
        <v>96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 t="s">
        <v>49</v>
      </c>
      <c r="AA448" s="1" t="s">
        <v>49</v>
      </c>
      <c r="AB448" s="1" t="s">
        <v>49</v>
      </c>
      <c r="AC448" s="1" t="s">
        <v>213</v>
      </c>
      <c r="AD448" s="1" t="s">
        <v>214</v>
      </c>
      <c r="AE448" s="1" t="s">
        <v>215</v>
      </c>
      <c r="AF448" s="1" t="s">
        <v>1172</v>
      </c>
      <c r="AG448" s="1" t="s">
        <v>53</v>
      </c>
      <c r="AH448" s="1" t="s">
        <v>49</v>
      </c>
      <c r="AI448" s="1" t="s">
        <v>54</v>
      </c>
      <c r="AJ448" s="1">
        <v>1</v>
      </c>
      <c r="AK448" s="1" t="str">
        <f t="shared" si="6"/>
        <v xml:space="preserve"> =&lt;90</v>
      </c>
      <c r="AL448" s="1" t="str">
        <f>VLOOKUP(C:C,[1]基础信息!B$1:D$65536,3,0)</f>
        <v>Jug</v>
      </c>
      <c r="AM448" s="1" t="str">
        <f>VLOOKUP(C:C,[1]基础信息!B$1:E$65536,4,0)</f>
        <v>Mxplus</v>
      </c>
      <c r="AN448" s="1" t="str">
        <f>VLOOKUP(C:C,[1]基础信息!B$1:F$65536,5,0)</f>
        <v>Blue</v>
      </c>
    </row>
    <row r="449" spans="1:40">
      <c r="A449" s="1" t="s">
        <v>41</v>
      </c>
      <c r="B449" s="1" t="s">
        <v>42</v>
      </c>
      <c r="C449" s="1" t="s">
        <v>285</v>
      </c>
      <c r="D449" s="1" t="s">
        <v>286</v>
      </c>
      <c r="E449" s="1" t="s">
        <v>45</v>
      </c>
      <c r="F449" s="1" t="s">
        <v>287</v>
      </c>
      <c r="G449" s="1" t="s">
        <v>1173</v>
      </c>
      <c r="H449" s="1" t="s">
        <v>1174</v>
      </c>
      <c r="I449" s="1" t="s">
        <v>49</v>
      </c>
      <c r="J449" s="1" t="s">
        <v>48</v>
      </c>
      <c r="K449" s="1">
        <v>70</v>
      </c>
      <c r="L449" s="1">
        <v>0</v>
      </c>
      <c r="M449" s="1">
        <v>0</v>
      </c>
      <c r="N449" s="1">
        <v>70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 t="s">
        <v>49</v>
      </c>
      <c r="AA449" s="1" t="s">
        <v>49</v>
      </c>
      <c r="AB449" s="1" t="s">
        <v>49</v>
      </c>
      <c r="AC449" s="1" t="s">
        <v>290</v>
      </c>
      <c r="AD449" s="1" t="s">
        <v>291</v>
      </c>
      <c r="AE449" s="1" t="s">
        <v>290</v>
      </c>
      <c r="AF449" s="1" t="s">
        <v>292</v>
      </c>
      <c r="AG449" s="1" t="s">
        <v>53</v>
      </c>
      <c r="AH449" s="1" t="s">
        <v>49</v>
      </c>
      <c r="AI449" s="1" t="s">
        <v>54</v>
      </c>
      <c r="AJ449" s="1">
        <v>1</v>
      </c>
      <c r="AK449" s="1" t="str">
        <f t="shared" si="6"/>
        <v xml:space="preserve"> =&lt;90</v>
      </c>
      <c r="AL449" s="1" t="str">
        <f>VLOOKUP(C:C,[1]基础信息!B$1:D$65536,3,0)</f>
        <v>Jug</v>
      </c>
      <c r="AM449" s="1" t="str">
        <f>VLOOKUP(C:C,[1]基础信息!B$1:E$65536,4,0)</f>
        <v>Marella XL</v>
      </c>
      <c r="AN449" s="1" t="str">
        <f>VLOOKUP(C:C,[1]基础信息!B$1:F$65536,5,0)</f>
        <v>Blue</v>
      </c>
    </row>
    <row r="450" spans="1:40">
      <c r="A450" s="1" t="s">
        <v>41</v>
      </c>
      <c r="B450" s="1" t="s">
        <v>42</v>
      </c>
      <c r="C450" s="1" t="s">
        <v>522</v>
      </c>
      <c r="D450" s="1" t="s">
        <v>523</v>
      </c>
      <c r="E450" s="1" t="s">
        <v>45</v>
      </c>
      <c r="F450" s="1" t="s">
        <v>1175</v>
      </c>
      <c r="G450" s="1" t="s">
        <v>1176</v>
      </c>
      <c r="H450" s="1" t="s">
        <v>1177</v>
      </c>
      <c r="I450" s="1" t="s">
        <v>49</v>
      </c>
      <c r="J450" s="1" t="s">
        <v>48</v>
      </c>
      <c r="K450" s="1">
        <v>117</v>
      </c>
      <c r="L450" s="1">
        <v>0</v>
      </c>
      <c r="M450" s="1">
        <v>0</v>
      </c>
      <c r="N450" s="1">
        <v>117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 t="s">
        <v>49</v>
      </c>
      <c r="AA450" s="1" t="s">
        <v>49</v>
      </c>
      <c r="AB450" s="1" t="s">
        <v>49</v>
      </c>
      <c r="AC450" s="1" t="s">
        <v>117</v>
      </c>
      <c r="AD450" s="1" t="s">
        <v>118</v>
      </c>
      <c r="AE450" s="1" t="s">
        <v>117</v>
      </c>
      <c r="AF450" s="1" t="s">
        <v>1178</v>
      </c>
      <c r="AG450" s="1" t="s">
        <v>53</v>
      </c>
      <c r="AH450" s="1" t="s">
        <v>49</v>
      </c>
      <c r="AI450" s="1" t="s">
        <v>54</v>
      </c>
      <c r="AJ450" s="1">
        <v>1</v>
      </c>
      <c r="AK450" s="1" t="str">
        <f t="shared" ref="AK450:AK513" si="7">IF(AJ450&gt;$AP$2,$AQ$2,IF(AJ450&gt;$AP$3,$AQ$3,IF(AJ450&gt;$AP$4,$AQ$4,$AQ$5)))</f>
        <v xml:space="preserve"> =&lt;90</v>
      </c>
      <c r="AL450" s="1" t="str">
        <f>VLOOKUP(C:C,[1]基础信息!B$1:D$65536,3,0)</f>
        <v>UTS</v>
      </c>
      <c r="AM450" s="1" t="str">
        <f>VLOOKUP(C:C,[1]基础信息!B$1:E$65536,4,0)</f>
        <v>MyPure Pro</v>
      </c>
      <c r="AN450" s="1" t="str">
        <f>VLOOKUP(C:C,[1]基础信息!B$1:F$65536,5,0)</f>
        <v>Refill</v>
      </c>
    </row>
    <row r="451" spans="1:40">
      <c r="A451" s="1" t="s">
        <v>41</v>
      </c>
      <c r="B451" s="1" t="s">
        <v>42</v>
      </c>
      <c r="C451" s="1" t="s">
        <v>522</v>
      </c>
      <c r="D451" s="1" t="s">
        <v>523</v>
      </c>
      <c r="E451" s="1" t="s">
        <v>45</v>
      </c>
      <c r="F451" s="1" t="s">
        <v>1179</v>
      </c>
      <c r="G451" s="1" t="s">
        <v>1180</v>
      </c>
      <c r="H451" s="1" t="s">
        <v>1181</v>
      </c>
      <c r="I451" s="1" t="s">
        <v>49</v>
      </c>
      <c r="J451" s="1" t="s">
        <v>48</v>
      </c>
      <c r="K451" s="1">
        <v>64</v>
      </c>
      <c r="L451" s="1">
        <v>0</v>
      </c>
      <c r="M451" s="1">
        <v>0</v>
      </c>
      <c r="N451" s="1">
        <v>64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 t="s">
        <v>49</v>
      </c>
      <c r="AA451" s="1" t="s">
        <v>49</v>
      </c>
      <c r="AB451" s="1" t="s">
        <v>49</v>
      </c>
      <c r="AC451" s="1" t="s">
        <v>117</v>
      </c>
      <c r="AD451" s="1" t="s">
        <v>118</v>
      </c>
      <c r="AE451" s="1" t="s">
        <v>117</v>
      </c>
      <c r="AF451" s="1" t="s">
        <v>1182</v>
      </c>
      <c r="AG451" s="1" t="s">
        <v>53</v>
      </c>
      <c r="AH451" s="1" t="s">
        <v>49</v>
      </c>
      <c r="AI451" s="1" t="s">
        <v>54</v>
      </c>
      <c r="AJ451" s="1">
        <v>1</v>
      </c>
      <c r="AK451" s="1" t="str">
        <f t="shared" si="7"/>
        <v xml:space="preserve"> =&lt;90</v>
      </c>
      <c r="AL451" s="1" t="str">
        <f>VLOOKUP(C:C,[1]基础信息!B$1:D$65536,3,0)</f>
        <v>UTS</v>
      </c>
      <c r="AM451" s="1" t="str">
        <f>VLOOKUP(C:C,[1]基础信息!B$1:E$65536,4,0)</f>
        <v>MyPure Pro</v>
      </c>
      <c r="AN451" s="1" t="str">
        <f>VLOOKUP(C:C,[1]基础信息!B$1:F$65536,5,0)</f>
        <v>Refill</v>
      </c>
    </row>
    <row r="452" spans="1:40">
      <c r="A452" s="1" t="s">
        <v>41</v>
      </c>
      <c r="B452" s="1" t="s">
        <v>42</v>
      </c>
      <c r="C452" s="1" t="s">
        <v>1183</v>
      </c>
      <c r="D452" s="1" t="s">
        <v>1184</v>
      </c>
      <c r="E452" s="1" t="s">
        <v>45</v>
      </c>
      <c r="F452" s="1" t="s">
        <v>1185</v>
      </c>
      <c r="G452" s="1" t="s">
        <v>1186</v>
      </c>
      <c r="H452" s="1" t="s">
        <v>1187</v>
      </c>
      <c r="I452" s="1" t="s">
        <v>49</v>
      </c>
      <c r="J452" s="1" t="s">
        <v>48</v>
      </c>
      <c r="K452" s="1">
        <v>12</v>
      </c>
      <c r="L452" s="1">
        <v>0</v>
      </c>
      <c r="M452" s="1">
        <v>0</v>
      </c>
      <c r="N452" s="1">
        <v>12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 t="s">
        <v>49</v>
      </c>
      <c r="AA452" s="1" t="s">
        <v>49</v>
      </c>
      <c r="AB452" s="1" t="s">
        <v>49</v>
      </c>
      <c r="AC452" s="1" t="s">
        <v>1188</v>
      </c>
      <c r="AD452" s="1" t="s">
        <v>1189</v>
      </c>
      <c r="AE452" s="1" t="s">
        <v>1188</v>
      </c>
      <c r="AF452" s="1" t="s">
        <v>1190</v>
      </c>
      <c r="AG452" s="1" t="s">
        <v>53</v>
      </c>
      <c r="AH452" s="1" t="s">
        <v>49</v>
      </c>
      <c r="AI452" s="1" t="s">
        <v>54</v>
      </c>
      <c r="AJ452" s="1">
        <v>1</v>
      </c>
      <c r="AK452" s="1" t="str">
        <f t="shared" si="7"/>
        <v xml:space="preserve"> =&lt;90</v>
      </c>
      <c r="AL452" s="1" t="e">
        <f>VLOOKUP(C:C,[1]基础信息!B$1:D$65536,3,0)</f>
        <v>#N/A</v>
      </c>
      <c r="AM452" s="1" t="e">
        <f>VLOOKUP(C:C,[1]基础信息!B$1:E$65536,4,0)</f>
        <v>#N/A</v>
      </c>
      <c r="AN452" s="1" t="e">
        <f>VLOOKUP(C:C,[1]基础信息!B$1:F$65536,5,0)</f>
        <v>#N/A</v>
      </c>
    </row>
    <row r="453" spans="1:40">
      <c r="A453" s="1" t="s">
        <v>41</v>
      </c>
      <c r="B453" s="1" t="s">
        <v>42</v>
      </c>
      <c r="C453" s="1" t="s">
        <v>417</v>
      </c>
      <c r="D453" s="1" t="s">
        <v>418</v>
      </c>
      <c r="E453" s="1" t="s">
        <v>45</v>
      </c>
      <c r="F453" s="1" t="s">
        <v>1126</v>
      </c>
      <c r="G453" s="1" t="s">
        <v>1191</v>
      </c>
      <c r="H453" s="1" t="s">
        <v>1192</v>
      </c>
      <c r="I453" s="1" t="s">
        <v>49</v>
      </c>
      <c r="J453" s="1" t="s">
        <v>48</v>
      </c>
      <c r="K453" s="1">
        <v>96</v>
      </c>
      <c r="L453" s="1">
        <v>0</v>
      </c>
      <c r="M453" s="1">
        <v>0</v>
      </c>
      <c r="N453" s="1">
        <v>96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 t="s">
        <v>49</v>
      </c>
      <c r="AA453" s="1" t="s">
        <v>49</v>
      </c>
      <c r="AB453" s="1" t="s">
        <v>49</v>
      </c>
      <c r="AC453" s="1" t="s">
        <v>938</v>
      </c>
      <c r="AD453" s="1" t="s">
        <v>939</v>
      </c>
      <c r="AE453" s="1" t="s">
        <v>938</v>
      </c>
      <c r="AF453" s="1" t="s">
        <v>940</v>
      </c>
      <c r="AG453" s="1" t="s">
        <v>53</v>
      </c>
      <c r="AH453" s="1" t="s">
        <v>49</v>
      </c>
      <c r="AI453" s="1" t="s">
        <v>54</v>
      </c>
      <c r="AJ453" s="1">
        <v>1</v>
      </c>
      <c r="AK453" s="1" t="str">
        <f t="shared" si="7"/>
        <v xml:space="preserve"> =&lt;90</v>
      </c>
      <c r="AL453" s="1" t="str">
        <f>VLOOKUP(C:C,[1]基础信息!B$1:D$65536,3,0)</f>
        <v>Jug</v>
      </c>
      <c r="AM453" s="1" t="str">
        <f>VLOOKUP(C:C,[1]基础信息!B$1:E$65536,4,0)</f>
        <v>Marella XL</v>
      </c>
      <c r="AN453" s="1" t="str">
        <f>VLOOKUP(C:C,[1]基础信息!B$1:F$65536,5,0)</f>
        <v>Silver</v>
      </c>
    </row>
    <row r="454" spans="1:40">
      <c r="A454" s="1" t="s">
        <v>41</v>
      </c>
      <c r="B454" s="1" t="s">
        <v>42</v>
      </c>
      <c r="C454" s="1" t="s">
        <v>285</v>
      </c>
      <c r="D454" s="1" t="s">
        <v>286</v>
      </c>
      <c r="E454" s="1" t="s">
        <v>45</v>
      </c>
      <c r="F454" s="1" t="s">
        <v>287</v>
      </c>
      <c r="G454" s="1" t="s">
        <v>1193</v>
      </c>
      <c r="H454" s="1" t="s">
        <v>1194</v>
      </c>
      <c r="I454" s="1" t="s">
        <v>49</v>
      </c>
      <c r="J454" s="1" t="s">
        <v>48</v>
      </c>
      <c r="K454" s="1">
        <v>70</v>
      </c>
      <c r="L454" s="1">
        <v>0</v>
      </c>
      <c r="M454" s="1">
        <v>0</v>
      </c>
      <c r="N454" s="1">
        <v>70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 t="s">
        <v>49</v>
      </c>
      <c r="AA454" s="1" t="s">
        <v>49</v>
      </c>
      <c r="AB454" s="1" t="s">
        <v>49</v>
      </c>
      <c r="AC454" s="1" t="s">
        <v>290</v>
      </c>
      <c r="AD454" s="1" t="s">
        <v>291</v>
      </c>
      <c r="AE454" s="1" t="s">
        <v>290</v>
      </c>
      <c r="AF454" s="1" t="s">
        <v>292</v>
      </c>
      <c r="AG454" s="1" t="s">
        <v>53</v>
      </c>
      <c r="AH454" s="1" t="s">
        <v>49</v>
      </c>
      <c r="AI454" s="1" t="s">
        <v>54</v>
      </c>
      <c r="AJ454" s="1">
        <v>1</v>
      </c>
      <c r="AK454" s="1" t="str">
        <f t="shared" si="7"/>
        <v xml:space="preserve"> =&lt;90</v>
      </c>
      <c r="AL454" s="1" t="str">
        <f>VLOOKUP(C:C,[1]基础信息!B$1:D$65536,3,0)</f>
        <v>Jug</v>
      </c>
      <c r="AM454" s="1" t="str">
        <f>VLOOKUP(C:C,[1]基础信息!B$1:E$65536,4,0)</f>
        <v>Marella XL</v>
      </c>
      <c r="AN454" s="1" t="str">
        <f>VLOOKUP(C:C,[1]基础信息!B$1:F$65536,5,0)</f>
        <v>Blue</v>
      </c>
    </row>
    <row r="455" spans="1:40">
      <c r="A455" s="1" t="s">
        <v>41</v>
      </c>
      <c r="B455" s="1" t="s">
        <v>42</v>
      </c>
      <c r="C455" s="1" t="s">
        <v>417</v>
      </c>
      <c r="D455" s="1" t="s">
        <v>418</v>
      </c>
      <c r="E455" s="1" t="s">
        <v>45</v>
      </c>
      <c r="F455" s="1" t="s">
        <v>1126</v>
      </c>
      <c r="G455" s="1" t="s">
        <v>1195</v>
      </c>
      <c r="H455" s="1" t="s">
        <v>1196</v>
      </c>
      <c r="I455" s="1" t="s">
        <v>49</v>
      </c>
      <c r="J455" s="1" t="s">
        <v>48</v>
      </c>
      <c r="K455" s="1">
        <v>96</v>
      </c>
      <c r="L455" s="1">
        <v>0</v>
      </c>
      <c r="M455" s="1">
        <v>0</v>
      </c>
      <c r="N455" s="1">
        <v>96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 t="s">
        <v>49</v>
      </c>
      <c r="AA455" s="1" t="s">
        <v>49</v>
      </c>
      <c r="AB455" s="1" t="s">
        <v>49</v>
      </c>
      <c r="AC455" s="1" t="s">
        <v>938</v>
      </c>
      <c r="AD455" s="1" t="s">
        <v>939</v>
      </c>
      <c r="AE455" s="1" t="s">
        <v>938</v>
      </c>
      <c r="AF455" s="1" t="s">
        <v>940</v>
      </c>
      <c r="AG455" s="1" t="s">
        <v>53</v>
      </c>
      <c r="AH455" s="1" t="s">
        <v>49</v>
      </c>
      <c r="AI455" s="1" t="s">
        <v>54</v>
      </c>
      <c r="AJ455" s="1">
        <v>1</v>
      </c>
      <c r="AK455" s="1" t="str">
        <f t="shared" si="7"/>
        <v xml:space="preserve"> =&lt;90</v>
      </c>
      <c r="AL455" s="1" t="str">
        <f>VLOOKUP(C:C,[1]基础信息!B$1:D$65536,3,0)</f>
        <v>Jug</v>
      </c>
      <c r="AM455" s="1" t="str">
        <f>VLOOKUP(C:C,[1]基础信息!B$1:E$65536,4,0)</f>
        <v>Marella XL</v>
      </c>
      <c r="AN455" s="1" t="str">
        <f>VLOOKUP(C:C,[1]基础信息!B$1:F$65536,5,0)</f>
        <v>Silver</v>
      </c>
    </row>
    <row r="456" spans="1:40">
      <c r="A456" s="1" t="s">
        <v>41</v>
      </c>
      <c r="B456" s="1" t="s">
        <v>42</v>
      </c>
      <c r="C456" s="1" t="s">
        <v>554</v>
      </c>
      <c r="D456" s="1" t="s">
        <v>555</v>
      </c>
      <c r="E456" s="1" t="s">
        <v>45</v>
      </c>
      <c r="F456" s="1" t="s">
        <v>863</v>
      </c>
      <c r="G456" s="1" t="s">
        <v>1197</v>
      </c>
      <c r="H456" s="1" t="s">
        <v>1198</v>
      </c>
      <c r="I456" s="1" t="s">
        <v>49</v>
      </c>
      <c r="J456" s="1" t="s">
        <v>48</v>
      </c>
      <c r="K456" s="1">
        <v>70</v>
      </c>
      <c r="L456" s="1">
        <v>0</v>
      </c>
      <c r="M456" s="1">
        <v>0</v>
      </c>
      <c r="N456" s="1">
        <v>70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 t="s">
        <v>49</v>
      </c>
      <c r="AA456" s="1" t="s">
        <v>49</v>
      </c>
      <c r="AB456" s="1" t="s">
        <v>49</v>
      </c>
      <c r="AC456" s="1" t="s">
        <v>154</v>
      </c>
      <c r="AD456" s="1" t="s">
        <v>155</v>
      </c>
      <c r="AE456" s="1" t="s">
        <v>154</v>
      </c>
      <c r="AF456" s="1" t="s">
        <v>559</v>
      </c>
      <c r="AG456" s="1" t="s">
        <v>53</v>
      </c>
      <c r="AH456" s="1" t="s">
        <v>49</v>
      </c>
      <c r="AI456" s="1" t="s">
        <v>54</v>
      </c>
      <c r="AJ456" s="1">
        <v>1</v>
      </c>
      <c r="AK456" s="1" t="str">
        <f t="shared" si="7"/>
        <v xml:space="preserve"> =&lt;90</v>
      </c>
      <c r="AL456" s="1" t="str">
        <f>VLOOKUP(C:C,[1]基础信息!B$1:D$65536,3,0)</f>
        <v>Jug</v>
      </c>
      <c r="AM456" s="1" t="str">
        <f>VLOOKUP(C:C,[1]基础信息!B$1:E$65536,4,0)</f>
        <v>Green Pack</v>
      </c>
      <c r="AN456" s="1" t="str">
        <f>VLOOKUP(C:C,[1]基础信息!B$1:F$65536,5,0)</f>
        <v>Blue</v>
      </c>
    </row>
    <row r="457" spans="1:40">
      <c r="A457" s="1" t="s">
        <v>41</v>
      </c>
      <c r="B457" s="1" t="s">
        <v>42</v>
      </c>
      <c r="C457" s="1" t="s">
        <v>417</v>
      </c>
      <c r="D457" s="1" t="s">
        <v>418</v>
      </c>
      <c r="E457" s="1" t="s">
        <v>45</v>
      </c>
      <c r="F457" s="1" t="s">
        <v>1126</v>
      </c>
      <c r="G457" s="1" t="s">
        <v>1199</v>
      </c>
      <c r="H457" s="1" t="s">
        <v>1200</v>
      </c>
      <c r="I457" s="1" t="s">
        <v>49</v>
      </c>
      <c r="J457" s="1" t="s">
        <v>48</v>
      </c>
      <c r="K457" s="1">
        <v>96</v>
      </c>
      <c r="L457" s="1">
        <v>0</v>
      </c>
      <c r="M457" s="1">
        <v>0</v>
      </c>
      <c r="N457" s="1">
        <v>96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 t="s">
        <v>49</v>
      </c>
      <c r="AA457" s="1" t="s">
        <v>49</v>
      </c>
      <c r="AB457" s="1" t="s">
        <v>49</v>
      </c>
      <c r="AC457" s="1" t="s">
        <v>938</v>
      </c>
      <c r="AD457" s="1" t="s">
        <v>939</v>
      </c>
      <c r="AE457" s="1" t="s">
        <v>938</v>
      </c>
      <c r="AF457" s="1" t="s">
        <v>940</v>
      </c>
      <c r="AG457" s="1" t="s">
        <v>53</v>
      </c>
      <c r="AH457" s="1" t="s">
        <v>49</v>
      </c>
      <c r="AI457" s="1" t="s">
        <v>54</v>
      </c>
      <c r="AJ457" s="1">
        <v>1</v>
      </c>
      <c r="AK457" s="1" t="str">
        <f t="shared" si="7"/>
        <v xml:space="preserve"> =&lt;90</v>
      </c>
      <c r="AL457" s="1" t="str">
        <f>VLOOKUP(C:C,[1]基础信息!B$1:D$65536,3,0)</f>
        <v>Jug</v>
      </c>
      <c r="AM457" s="1" t="str">
        <f>VLOOKUP(C:C,[1]基础信息!B$1:E$65536,4,0)</f>
        <v>Marella XL</v>
      </c>
      <c r="AN457" s="1" t="str">
        <f>VLOOKUP(C:C,[1]基础信息!B$1:F$65536,5,0)</f>
        <v>Silver</v>
      </c>
    </row>
    <row r="458" spans="1:40">
      <c r="A458" s="1" t="s">
        <v>41</v>
      </c>
      <c r="B458" s="1" t="s">
        <v>42</v>
      </c>
      <c r="C458" s="1" t="s">
        <v>93</v>
      </c>
      <c r="D458" s="1" t="s">
        <v>94</v>
      </c>
      <c r="E458" s="1" t="s">
        <v>45</v>
      </c>
      <c r="F458" s="1" t="s">
        <v>1201</v>
      </c>
      <c r="G458" s="1" t="s">
        <v>1202</v>
      </c>
      <c r="H458" s="1" t="s">
        <v>1203</v>
      </c>
      <c r="I458" s="1" t="s">
        <v>49</v>
      </c>
      <c r="J458" s="1" t="s">
        <v>48</v>
      </c>
      <c r="K458" s="1">
        <v>31</v>
      </c>
      <c r="L458" s="1">
        <v>0</v>
      </c>
      <c r="M458" s="1">
        <v>0</v>
      </c>
      <c r="N458" s="1">
        <v>31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 t="s">
        <v>49</v>
      </c>
      <c r="AA458" s="1" t="s">
        <v>49</v>
      </c>
      <c r="AB458" s="1" t="s">
        <v>49</v>
      </c>
      <c r="AC458" s="1" t="s">
        <v>1204</v>
      </c>
      <c r="AD458" s="1" t="s">
        <v>1205</v>
      </c>
      <c r="AE458" s="1" t="s">
        <v>1204</v>
      </c>
      <c r="AF458" s="1" t="s">
        <v>1206</v>
      </c>
      <c r="AG458" s="1" t="s">
        <v>53</v>
      </c>
      <c r="AH458" s="1" t="s">
        <v>49</v>
      </c>
      <c r="AI458" s="1" t="s">
        <v>54</v>
      </c>
      <c r="AJ458" s="1">
        <v>1</v>
      </c>
      <c r="AK458" s="1" t="str">
        <f t="shared" si="7"/>
        <v xml:space="preserve"> =&lt;90</v>
      </c>
      <c r="AL458" s="1" t="str">
        <f>VLOOKUP(C:C,[1]基础信息!B$1:D$65536,3,0)</f>
        <v>UTS</v>
      </c>
      <c r="AM458" s="1" t="str">
        <f>VLOOKUP(C:C,[1]基础信息!B$1:E$65536,4,0)</f>
        <v>MyPure Pro</v>
      </c>
      <c r="AN458" s="1" t="str">
        <f>VLOOKUP(C:C,[1]基础信息!B$1:F$65536,5,0)</f>
        <v>Refill</v>
      </c>
    </row>
    <row r="459" spans="1:40">
      <c r="A459" s="1" t="s">
        <v>41</v>
      </c>
      <c r="B459" s="1" t="s">
        <v>42</v>
      </c>
      <c r="C459" s="1" t="s">
        <v>554</v>
      </c>
      <c r="D459" s="1" t="s">
        <v>555</v>
      </c>
      <c r="E459" s="1" t="s">
        <v>45</v>
      </c>
      <c r="F459" s="1" t="s">
        <v>556</v>
      </c>
      <c r="G459" s="1" t="s">
        <v>1207</v>
      </c>
      <c r="H459" s="1" t="s">
        <v>1208</v>
      </c>
      <c r="I459" s="1" t="s">
        <v>49</v>
      </c>
      <c r="J459" s="1" t="s">
        <v>48</v>
      </c>
      <c r="K459" s="1">
        <v>70</v>
      </c>
      <c r="L459" s="1">
        <v>0</v>
      </c>
      <c r="M459" s="1">
        <v>0</v>
      </c>
      <c r="N459" s="1">
        <v>70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 t="s">
        <v>49</v>
      </c>
      <c r="AA459" s="1" t="s">
        <v>49</v>
      </c>
      <c r="AB459" s="1" t="s">
        <v>49</v>
      </c>
      <c r="AC459" s="1" t="s">
        <v>414</v>
      </c>
      <c r="AD459" s="1" t="s">
        <v>415</v>
      </c>
      <c r="AE459" s="1" t="s">
        <v>416</v>
      </c>
      <c r="AF459" s="1" t="s">
        <v>559</v>
      </c>
      <c r="AG459" s="1" t="s">
        <v>53</v>
      </c>
      <c r="AH459" s="1" t="s">
        <v>49</v>
      </c>
      <c r="AI459" s="1" t="s">
        <v>54</v>
      </c>
      <c r="AJ459" s="1">
        <v>1</v>
      </c>
      <c r="AK459" s="1" t="str">
        <f t="shared" si="7"/>
        <v xml:space="preserve"> =&lt;90</v>
      </c>
      <c r="AL459" s="1" t="str">
        <f>VLOOKUP(C:C,[1]基础信息!B$1:D$65536,3,0)</f>
        <v>Jug</v>
      </c>
      <c r="AM459" s="1" t="str">
        <f>VLOOKUP(C:C,[1]基础信息!B$1:E$65536,4,0)</f>
        <v>Green Pack</v>
      </c>
      <c r="AN459" s="1" t="str">
        <f>VLOOKUP(C:C,[1]基础信息!B$1:F$65536,5,0)</f>
        <v>Blue</v>
      </c>
    </row>
    <row r="460" spans="1:40">
      <c r="A460" s="1" t="s">
        <v>41</v>
      </c>
      <c r="B460" s="1" t="s">
        <v>42</v>
      </c>
      <c r="C460" s="1" t="s">
        <v>83</v>
      </c>
      <c r="D460" s="1" t="s">
        <v>84</v>
      </c>
      <c r="E460" s="1" t="s">
        <v>45</v>
      </c>
      <c r="F460" s="1" t="s">
        <v>1169</v>
      </c>
      <c r="G460" s="1" t="s">
        <v>1209</v>
      </c>
      <c r="H460" s="1" t="s">
        <v>1210</v>
      </c>
      <c r="I460" s="1" t="s">
        <v>49</v>
      </c>
      <c r="J460" s="1" t="s">
        <v>48</v>
      </c>
      <c r="K460" s="1">
        <v>96</v>
      </c>
      <c r="L460" s="1">
        <v>0</v>
      </c>
      <c r="M460" s="1">
        <v>0</v>
      </c>
      <c r="N460" s="1">
        <v>96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 t="s">
        <v>49</v>
      </c>
      <c r="AA460" s="1" t="s">
        <v>49</v>
      </c>
      <c r="AB460" s="1" t="s">
        <v>49</v>
      </c>
      <c r="AC460" s="1" t="s">
        <v>213</v>
      </c>
      <c r="AD460" s="1" t="s">
        <v>214</v>
      </c>
      <c r="AE460" s="1" t="s">
        <v>215</v>
      </c>
      <c r="AF460" s="1" t="s">
        <v>1172</v>
      </c>
      <c r="AG460" s="1" t="s">
        <v>53</v>
      </c>
      <c r="AH460" s="1" t="s">
        <v>49</v>
      </c>
      <c r="AI460" s="1" t="s">
        <v>54</v>
      </c>
      <c r="AJ460" s="1">
        <v>1</v>
      </c>
      <c r="AK460" s="1" t="str">
        <f t="shared" si="7"/>
        <v xml:space="preserve"> =&lt;90</v>
      </c>
      <c r="AL460" s="1" t="str">
        <f>VLOOKUP(C:C,[1]基础信息!B$1:D$65536,3,0)</f>
        <v>Jug</v>
      </c>
      <c r="AM460" s="1" t="str">
        <f>VLOOKUP(C:C,[1]基础信息!B$1:E$65536,4,0)</f>
        <v>Mxplus</v>
      </c>
      <c r="AN460" s="1" t="str">
        <f>VLOOKUP(C:C,[1]基础信息!B$1:F$65536,5,0)</f>
        <v>Blue</v>
      </c>
    </row>
    <row r="461" spans="1:40">
      <c r="A461" s="1" t="s">
        <v>41</v>
      </c>
      <c r="B461" s="1" t="s">
        <v>42</v>
      </c>
      <c r="C461" s="1" t="s">
        <v>417</v>
      </c>
      <c r="D461" s="1" t="s">
        <v>418</v>
      </c>
      <c r="E461" s="1" t="s">
        <v>45</v>
      </c>
      <c r="F461" s="1" t="s">
        <v>1126</v>
      </c>
      <c r="G461" s="1" t="s">
        <v>1211</v>
      </c>
      <c r="H461" s="1" t="s">
        <v>1212</v>
      </c>
      <c r="I461" s="1" t="s">
        <v>49</v>
      </c>
      <c r="J461" s="1" t="s">
        <v>48</v>
      </c>
      <c r="K461" s="1">
        <v>96</v>
      </c>
      <c r="L461" s="1">
        <v>0</v>
      </c>
      <c r="M461" s="1">
        <v>0</v>
      </c>
      <c r="N461" s="1">
        <v>96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 t="s">
        <v>49</v>
      </c>
      <c r="AA461" s="1" t="s">
        <v>49</v>
      </c>
      <c r="AB461" s="1" t="s">
        <v>49</v>
      </c>
      <c r="AC461" s="1" t="s">
        <v>938</v>
      </c>
      <c r="AD461" s="1" t="s">
        <v>939</v>
      </c>
      <c r="AE461" s="1" t="s">
        <v>938</v>
      </c>
      <c r="AF461" s="1" t="s">
        <v>940</v>
      </c>
      <c r="AG461" s="1" t="s">
        <v>53</v>
      </c>
      <c r="AH461" s="1" t="s">
        <v>49</v>
      </c>
      <c r="AI461" s="1" t="s">
        <v>54</v>
      </c>
      <c r="AJ461" s="1">
        <v>1</v>
      </c>
      <c r="AK461" s="1" t="str">
        <f t="shared" si="7"/>
        <v xml:space="preserve"> =&lt;90</v>
      </c>
      <c r="AL461" s="1" t="str">
        <f>VLOOKUP(C:C,[1]基础信息!B$1:D$65536,3,0)</f>
        <v>Jug</v>
      </c>
      <c r="AM461" s="1" t="str">
        <f>VLOOKUP(C:C,[1]基础信息!B$1:E$65536,4,0)</f>
        <v>Marella XL</v>
      </c>
      <c r="AN461" s="1" t="str">
        <f>VLOOKUP(C:C,[1]基础信息!B$1:F$65536,5,0)</f>
        <v>Silver</v>
      </c>
    </row>
    <row r="462" spans="1:40">
      <c r="A462" s="1" t="s">
        <v>41</v>
      </c>
      <c r="B462" s="1" t="s">
        <v>42</v>
      </c>
      <c r="C462" s="1" t="s">
        <v>417</v>
      </c>
      <c r="D462" s="1" t="s">
        <v>418</v>
      </c>
      <c r="E462" s="1" t="s">
        <v>45</v>
      </c>
      <c r="F462" s="1" t="s">
        <v>1126</v>
      </c>
      <c r="G462" s="1" t="s">
        <v>1213</v>
      </c>
      <c r="H462" s="1" t="s">
        <v>1214</v>
      </c>
      <c r="I462" s="1" t="s">
        <v>49</v>
      </c>
      <c r="J462" s="1" t="s">
        <v>48</v>
      </c>
      <c r="K462" s="1">
        <v>96</v>
      </c>
      <c r="L462" s="1">
        <v>0</v>
      </c>
      <c r="M462" s="1">
        <v>0</v>
      </c>
      <c r="N462" s="1">
        <v>96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 t="s">
        <v>49</v>
      </c>
      <c r="AA462" s="1" t="s">
        <v>49</v>
      </c>
      <c r="AB462" s="1" t="s">
        <v>49</v>
      </c>
      <c r="AC462" s="1" t="s">
        <v>938</v>
      </c>
      <c r="AD462" s="1" t="s">
        <v>939</v>
      </c>
      <c r="AE462" s="1" t="s">
        <v>938</v>
      </c>
      <c r="AF462" s="1" t="s">
        <v>940</v>
      </c>
      <c r="AG462" s="1" t="s">
        <v>53</v>
      </c>
      <c r="AH462" s="1" t="s">
        <v>49</v>
      </c>
      <c r="AI462" s="1" t="s">
        <v>54</v>
      </c>
      <c r="AJ462" s="1">
        <v>1</v>
      </c>
      <c r="AK462" s="1" t="str">
        <f t="shared" si="7"/>
        <v xml:space="preserve"> =&lt;90</v>
      </c>
      <c r="AL462" s="1" t="str">
        <f>VLOOKUP(C:C,[1]基础信息!B$1:D$65536,3,0)</f>
        <v>Jug</v>
      </c>
      <c r="AM462" s="1" t="str">
        <f>VLOOKUP(C:C,[1]基础信息!B$1:E$65536,4,0)</f>
        <v>Marella XL</v>
      </c>
      <c r="AN462" s="1" t="str">
        <f>VLOOKUP(C:C,[1]基础信息!B$1:F$65536,5,0)</f>
        <v>Silver</v>
      </c>
    </row>
    <row r="463" spans="1:40">
      <c r="A463" s="1" t="s">
        <v>41</v>
      </c>
      <c r="B463" s="1" t="s">
        <v>42</v>
      </c>
      <c r="C463" s="1" t="s">
        <v>83</v>
      </c>
      <c r="D463" s="1" t="s">
        <v>84</v>
      </c>
      <c r="E463" s="1" t="s">
        <v>45</v>
      </c>
      <c r="F463" s="1" t="s">
        <v>1169</v>
      </c>
      <c r="G463" s="1" t="s">
        <v>1215</v>
      </c>
      <c r="H463" s="1" t="s">
        <v>1216</v>
      </c>
      <c r="I463" s="1" t="s">
        <v>49</v>
      </c>
      <c r="J463" s="1" t="s">
        <v>48</v>
      </c>
      <c r="K463" s="1">
        <v>96</v>
      </c>
      <c r="L463" s="1">
        <v>0</v>
      </c>
      <c r="M463" s="1">
        <v>0</v>
      </c>
      <c r="N463" s="1">
        <v>96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 t="s">
        <v>49</v>
      </c>
      <c r="AA463" s="1" t="s">
        <v>49</v>
      </c>
      <c r="AB463" s="1" t="s">
        <v>49</v>
      </c>
      <c r="AC463" s="1" t="s">
        <v>213</v>
      </c>
      <c r="AD463" s="1" t="s">
        <v>214</v>
      </c>
      <c r="AE463" s="1" t="s">
        <v>215</v>
      </c>
      <c r="AF463" s="1" t="s">
        <v>1172</v>
      </c>
      <c r="AG463" s="1" t="s">
        <v>53</v>
      </c>
      <c r="AH463" s="1" t="s">
        <v>49</v>
      </c>
      <c r="AI463" s="1" t="s">
        <v>54</v>
      </c>
      <c r="AJ463" s="1">
        <v>1</v>
      </c>
      <c r="AK463" s="1" t="str">
        <f t="shared" si="7"/>
        <v xml:space="preserve"> =&lt;90</v>
      </c>
      <c r="AL463" s="1" t="str">
        <f>VLOOKUP(C:C,[1]基础信息!B$1:D$65536,3,0)</f>
        <v>Jug</v>
      </c>
      <c r="AM463" s="1" t="str">
        <f>VLOOKUP(C:C,[1]基础信息!B$1:E$65536,4,0)</f>
        <v>Mxplus</v>
      </c>
      <c r="AN463" s="1" t="str">
        <f>VLOOKUP(C:C,[1]基础信息!B$1:F$65536,5,0)</f>
        <v>Blue</v>
      </c>
    </row>
    <row r="464" spans="1:40">
      <c r="A464" s="1" t="s">
        <v>41</v>
      </c>
      <c r="B464" s="1" t="s">
        <v>42</v>
      </c>
      <c r="C464" s="1" t="s">
        <v>83</v>
      </c>
      <c r="D464" s="1" t="s">
        <v>84</v>
      </c>
      <c r="E464" s="1" t="s">
        <v>45</v>
      </c>
      <c r="F464" s="1" t="s">
        <v>1169</v>
      </c>
      <c r="G464" s="1" t="s">
        <v>1217</v>
      </c>
      <c r="H464" s="1" t="s">
        <v>1218</v>
      </c>
      <c r="I464" s="1" t="s">
        <v>49</v>
      </c>
      <c r="J464" s="1" t="s">
        <v>48</v>
      </c>
      <c r="K464" s="1">
        <v>96</v>
      </c>
      <c r="L464" s="1">
        <v>0</v>
      </c>
      <c r="M464" s="1">
        <v>0</v>
      </c>
      <c r="N464" s="1">
        <v>96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 t="s">
        <v>49</v>
      </c>
      <c r="AA464" s="1" t="s">
        <v>49</v>
      </c>
      <c r="AB464" s="1" t="s">
        <v>49</v>
      </c>
      <c r="AC464" s="1" t="s">
        <v>213</v>
      </c>
      <c r="AD464" s="1" t="s">
        <v>214</v>
      </c>
      <c r="AE464" s="1" t="s">
        <v>215</v>
      </c>
      <c r="AF464" s="1" t="s">
        <v>1172</v>
      </c>
      <c r="AG464" s="1" t="s">
        <v>53</v>
      </c>
      <c r="AH464" s="1" t="s">
        <v>49</v>
      </c>
      <c r="AI464" s="1" t="s">
        <v>54</v>
      </c>
      <c r="AJ464" s="1">
        <v>1</v>
      </c>
      <c r="AK464" s="1" t="str">
        <f t="shared" si="7"/>
        <v xml:space="preserve"> =&lt;90</v>
      </c>
      <c r="AL464" s="1" t="str">
        <f>VLOOKUP(C:C,[1]基础信息!B$1:D$65536,3,0)</f>
        <v>Jug</v>
      </c>
      <c r="AM464" s="1" t="str">
        <f>VLOOKUP(C:C,[1]基础信息!B$1:E$65536,4,0)</f>
        <v>Mxplus</v>
      </c>
      <c r="AN464" s="1" t="str">
        <f>VLOOKUP(C:C,[1]基础信息!B$1:F$65536,5,0)</f>
        <v>Blue</v>
      </c>
    </row>
    <row r="465" spans="1:40">
      <c r="A465" s="1" t="s">
        <v>41</v>
      </c>
      <c r="B465" s="1" t="s">
        <v>42</v>
      </c>
      <c r="C465" s="1" t="s">
        <v>83</v>
      </c>
      <c r="D465" s="1" t="s">
        <v>84</v>
      </c>
      <c r="E465" s="1" t="s">
        <v>45</v>
      </c>
      <c r="F465" s="1" t="s">
        <v>1169</v>
      </c>
      <c r="G465" s="1" t="s">
        <v>1219</v>
      </c>
      <c r="H465" s="1" t="s">
        <v>1220</v>
      </c>
      <c r="I465" s="1" t="s">
        <v>49</v>
      </c>
      <c r="J465" s="1" t="s">
        <v>48</v>
      </c>
      <c r="K465" s="1">
        <v>96</v>
      </c>
      <c r="L465" s="1">
        <v>0</v>
      </c>
      <c r="M465" s="1">
        <v>0</v>
      </c>
      <c r="N465" s="1">
        <v>96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 t="s">
        <v>49</v>
      </c>
      <c r="AA465" s="1" t="s">
        <v>49</v>
      </c>
      <c r="AB465" s="1" t="s">
        <v>49</v>
      </c>
      <c r="AC465" s="1" t="s">
        <v>213</v>
      </c>
      <c r="AD465" s="1" t="s">
        <v>214</v>
      </c>
      <c r="AE465" s="1" t="s">
        <v>215</v>
      </c>
      <c r="AF465" s="1" t="s">
        <v>1172</v>
      </c>
      <c r="AG465" s="1" t="s">
        <v>53</v>
      </c>
      <c r="AH465" s="1" t="s">
        <v>49</v>
      </c>
      <c r="AI465" s="1" t="s">
        <v>54</v>
      </c>
      <c r="AJ465" s="1">
        <v>1</v>
      </c>
      <c r="AK465" s="1" t="str">
        <f t="shared" si="7"/>
        <v xml:space="preserve"> =&lt;90</v>
      </c>
      <c r="AL465" s="1" t="str">
        <f>VLOOKUP(C:C,[1]基础信息!B$1:D$65536,3,0)</f>
        <v>Jug</v>
      </c>
      <c r="AM465" s="1" t="str">
        <f>VLOOKUP(C:C,[1]基础信息!B$1:E$65536,4,0)</f>
        <v>Mxplus</v>
      </c>
      <c r="AN465" s="1" t="str">
        <f>VLOOKUP(C:C,[1]基础信息!B$1:F$65536,5,0)</f>
        <v>Blue</v>
      </c>
    </row>
    <row r="466" spans="1:40">
      <c r="A466" s="1" t="s">
        <v>41</v>
      </c>
      <c r="B466" s="1" t="s">
        <v>42</v>
      </c>
      <c r="C466" s="1" t="s">
        <v>83</v>
      </c>
      <c r="D466" s="1" t="s">
        <v>84</v>
      </c>
      <c r="E466" s="1" t="s">
        <v>45</v>
      </c>
      <c r="F466" s="1" t="s">
        <v>1169</v>
      </c>
      <c r="G466" s="1" t="s">
        <v>1221</v>
      </c>
      <c r="H466" s="1" t="s">
        <v>1222</v>
      </c>
      <c r="I466" s="1" t="s">
        <v>49</v>
      </c>
      <c r="J466" s="1" t="s">
        <v>48</v>
      </c>
      <c r="K466" s="1">
        <v>96</v>
      </c>
      <c r="L466" s="1">
        <v>0</v>
      </c>
      <c r="M466" s="1">
        <v>0</v>
      </c>
      <c r="N466" s="1">
        <v>96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 t="s">
        <v>49</v>
      </c>
      <c r="AA466" s="1" t="s">
        <v>49</v>
      </c>
      <c r="AB466" s="1" t="s">
        <v>49</v>
      </c>
      <c r="AC466" s="1" t="s">
        <v>213</v>
      </c>
      <c r="AD466" s="1" t="s">
        <v>214</v>
      </c>
      <c r="AE466" s="1" t="s">
        <v>215</v>
      </c>
      <c r="AF466" s="1" t="s">
        <v>1172</v>
      </c>
      <c r="AG466" s="1" t="s">
        <v>53</v>
      </c>
      <c r="AH466" s="1" t="s">
        <v>49</v>
      </c>
      <c r="AI466" s="1" t="s">
        <v>54</v>
      </c>
      <c r="AJ466" s="1">
        <v>1</v>
      </c>
      <c r="AK466" s="1" t="str">
        <f t="shared" si="7"/>
        <v xml:space="preserve"> =&lt;90</v>
      </c>
      <c r="AL466" s="1" t="str">
        <f>VLOOKUP(C:C,[1]基础信息!B$1:D$65536,3,0)</f>
        <v>Jug</v>
      </c>
      <c r="AM466" s="1" t="str">
        <f>VLOOKUP(C:C,[1]基础信息!B$1:E$65536,4,0)</f>
        <v>Mxplus</v>
      </c>
      <c r="AN466" s="1" t="str">
        <f>VLOOKUP(C:C,[1]基础信息!B$1:F$65536,5,0)</f>
        <v>Blue</v>
      </c>
    </row>
    <row r="467" spans="1:40">
      <c r="A467" s="1" t="s">
        <v>41</v>
      </c>
      <c r="B467" s="1" t="s">
        <v>42</v>
      </c>
      <c r="C467" s="1" t="s">
        <v>83</v>
      </c>
      <c r="D467" s="1" t="s">
        <v>84</v>
      </c>
      <c r="E467" s="1" t="s">
        <v>45</v>
      </c>
      <c r="F467" s="1" t="s">
        <v>1169</v>
      </c>
      <c r="G467" s="1" t="s">
        <v>1223</v>
      </c>
      <c r="H467" s="1" t="s">
        <v>1224</v>
      </c>
      <c r="I467" s="1" t="s">
        <v>49</v>
      </c>
      <c r="J467" s="1" t="s">
        <v>48</v>
      </c>
      <c r="K467" s="1">
        <v>96</v>
      </c>
      <c r="L467" s="1">
        <v>0</v>
      </c>
      <c r="M467" s="1">
        <v>0</v>
      </c>
      <c r="N467" s="1">
        <v>96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 t="s">
        <v>49</v>
      </c>
      <c r="AA467" s="1" t="s">
        <v>49</v>
      </c>
      <c r="AB467" s="1" t="s">
        <v>49</v>
      </c>
      <c r="AC467" s="1" t="s">
        <v>213</v>
      </c>
      <c r="AD467" s="1" t="s">
        <v>214</v>
      </c>
      <c r="AE467" s="1" t="s">
        <v>215</v>
      </c>
      <c r="AF467" s="1" t="s">
        <v>1172</v>
      </c>
      <c r="AG467" s="1" t="s">
        <v>53</v>
      </c>
      <c r="AH467" s="1" t="s">
        <v>49</v>
      </c>
      <c r="AI467" s="1" t="s">
        <v>54</v>
      </c>
      <c r="AJ467" s="1">
        <v>1</v>
      </c>
      <c r="AK467" s="1" t="str">
        <f t="shared" si="7"/>
        <v xml:space="preserve"> =&lt;90</v>
      </c>
      <c r="AL467" s="1" t="str">
        <f>VLOOKUP(C:C,[1]基础信息!B$1:D$65536,3,0)</f>
        <v>Jug</v>
      </c>
      <c r="AM467" s="1" t="str">
        <f>VLOOKUP(C:C,[1]基础信息!B$1:E$65536,4,0)</f>
        <v>Mxplus</v>
      </c>
      <c r="AN467" s="1" t="str">
        <f>VLOOKUP(C:C,[1]基础信息!B$1:F$65536,5,0)</f>
        <v>Blue</v>
      </c>
    </row>
    <row r="468" spans="1:40">
      <c r="A468" s="1" t="s">
        <v>41</v>
      </c>
      <c r="B468" s="1" t="s">
        <v>42</v>
      </c>
      <c r="C468" s="1" t="s">
        <v>554</v>
      </c>
      <c r="D468" s="1" t="s">
        <v>555</v>
      </c>
      <c r="E468" s="1" t="s">
        <v>45</v>
      </c>
      <c r="F468" s="1" t="s">
        <v>863</v>
      </c>
      <c r="G468" s="1" t="s">
        <v>1225</v>
      </c>
      <c r="H468" s="1" t="s">
        <v>1226</v>
      </c>
      <c r="I468" s="1" t="s">
        <v>49</v>
      </c>
      <c r="J468" s="1" t="s">
        <v>48</v>
      </c>
      <c r="K468" s="1">
        <v>70</v>
      </c>
      <c r="L468" s="1">
        <v>0</v>
      </c>
      <c r="M468" s="1">
        <v>0</v>
      </c>
      <c r="N468" s="1">
        <v>70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 t="s">
        <v>49</v>
      </c>
      <c r="AA468" s="1" t="s">
        <v>49</v>
      </c>
      <c r="AB468" s="1" t="s">
        <v>49</v>
      </c>
      <c r="AC468" s="1" t="s">
        <v>154</v>
      </c>
      <c r="AD468" s="1" t="s">
        <v>155</v>
      </c>
      <c r="AE468" s="1" t="s">
        <v>154</v>
      </c>
      <c r="AF468" s="1" t="s">
        <v>559</v>
      </c>
      <c r="AG468" s="1" t="s">
        <v>53</v>
      </c>
      <c r="AH468" s="1" t="s">
        <v>49</v>
      </c>
      <c r="AI468" s="1" t="s">
        <v>54</v>
      </c>
      <c r="AJ468" s="1">
        <v>1</v>
      </c>
      <c r="AK468" s="1" t="str">
        <f t="shared" si="7"/>
        <v xml:space="preserve"> =&lt;90</v>
      </c>
      <c r="AL468" s="1" t="str">
        <f>VLOOKUP(C:C,[1]基础信息!B$1:D$65536,3,0)</f>
        <v>Jug</v>
      </c>
      <c r="AM468" s="1" t="str">
        <f>VLOOKUP(C:C,[1]基础信息!B$1:E$65536,4,0)</f>
        <v>Green Pack</v>
      </c>
      <c r="AN468" s="1" t="str">
        <f>VLOOKUP(C:C,[1]基础信息!B$1:F$65536,5,0)</f>
        <v>Blue</v>
      </c>
    </row>
    <row r="469" spans="1:40">
      <c r="A469" s="1" t="s">
        <v>41</v>
      </c>
      <c r="B469" s="1" t="s">
        <v>42</v>
      </c>
      <c r="C469" s="1" t="s">
        <v>554</v>
      </c>
      <c r="D469" s="1" t="s">
        <v>555</v>
      </c>
      <c r="E469" s="1" t="s">
        <v>45</v>
      </c>
      <c r="F469" s="1" t="s">
        <v>863</v>
      </c>
      <c r="G469" s="1" t="s">
        <v>1227</v>
      </c>
      <c r="H469" s="1" t="s">
        <v>1228</v>
      </c>
      <c r="I469" s="1" t="s">
        <v>49</v>
      </c>
      <c r="J469" s="1" t="s">
        <v>48</v>
      </c>
      <c r="K469" s="1">
        <v>70</v>
      </c>
      <c r="L469" s="1">
        <v>0</v>
      </c>
      <c r="M469" s="1">
        <v>0</v>
      </c>
      <c r="N469" s="1">
        <v>70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 t="s">
        <v>49</v>
      </c>
      <c r="AA469" s="1" t="s">
        <v>49</v>
      </c>
      <c r="AB469" s="1" t="s">
        <v>49</v>
      </c>
      <c r="AC469" s="1" t="s">
        <v>154</v>
      </c>
      <c r="AD469" s="1" t="s">
        <v>155</v>
      </c>
      <c r="AE469" s="1" t="s">
        <v>154</v>
      </c>
      <c r="AF469" s="1" t="s">
        <v>559</v>
      </c>
      <c r="AG469" s="1" t="s">
        <v>53</v>
      </c>
      <c r="AH469" s="1" t="s">
        <v>49</v>
      </c>
      <c r="AI469" s="1" t="s">
        <v>54</v>
      </c>
      <c r="AJ469" s="1">
        <v>1</v>
      </c>
      <c r="AK469" s="1" t="str">
        <f t="shared" si="7"/>
        <v xml:space="preserve"> =&lt;90</v>
      </c>
      <c r="AL469" s="1" t="str">
        <f>VLOOKUP(C:C,[1]基础信息!B$1:D$65536,3,0)</f>
        <v>Jug</v>
      </c>
      <c r="AM469" s="1" t="str">
        <f>VLOOKUP(C:C,[1]基础信息!B$1:E$65536,4,0)</f>
        <v>Green Pack</v>
      </c>
      <c r="AN469" s="1" t="str">
        <f>VLOOKUP(C:C,[1]基础信息!B$1:F$65536,5,0)</f>
        <v>Blue</v>
      </c>
    </row>
    <row r="470" spans="1:40">
      <c r="A470" s="1" t="s">
        <v>41</v>
      </c>
      <c r="B470" s="1" t="s">
        <v>42</v>
      </c>
      <c r="C470" s="1" t="s">
        <v>554</v>
      </c>
      <c r="D470" s="1" t="s">
        <v>555</v>
      </c>
      <c r="E470" s="1" t="s">
        <v>45</v>
      </c>
      <c r="F470" s="1" t="s">
        <v>863</v>
      </c>
      <c r="G470" s="1" t="s">
        <v>1229</v>
      </c>
      <c r="H470" s="1" t="s">
        <v>1230</v>
      </c>
      <c r="I470" s="1" t="s">
        <v>49</v>
      </c>
      <c r="J470" s="1" t="s">
        <v>48</v>
      </c>
      <c r="K470" s="1">
        <v>70</v>
      </c>
      <c r="L470" s="1">
        <v>0</v>
      </c>
      <c r="M470" s="1">
        <v>0</v>
      </c>
      <c r="N470" s="1">
        <v>70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 t="s">
        <v>49</v>
      </c>
      <c r="AA470" s="1" t="s">
        <v>49</v>
      </c>
      <c r="AB470" s="1" t="s">
        <v>49</v>
      </c>
      <c r="AC470" s="1" t="s">
        <v>154</v>
      </c>
      <c r="AD470" s="1" t="s">
        <v>155</v>
      </c>
      <c r="AE470" s="1" t="s">
        <v>154</v>
      </c>
      <c r="AF470" s="1" t="s">
        <v>559</v>
      </c>
      <c r="AG470" s="1" t="s">
        <v>53</v>
      </c>
      <c r="AH470" s="1" t="s">
        <v>49</v>
      </c>
      <c r="AI470" s="1" t="s">
        <v>54</v>
      </c>
      <c r="AJ470" s="1">
        <v>1</v>
      </c>
      <c r="AK470" s="1" t="str">
        <f t="shared" si="7"/>
        <v xml:space="preserve"> =&lt;90</v>
      </c>
      <c r="AL470" s="1" t="str">
        <f>VLOOKUP(C:C,[1]基础信息!B$1:D$65536,3,0)</f>
        <v>Jug</v>
      </c>
      <c r="AM470" s="1" t="str">
        <f>VLOOKUP(C:C,[1]基础信息!B$1:E$65536,4,0)</f>
        <v>Green Pack</v>
      </c>
      <c r="AN470" s="1" t="str">
        <f>VLOOKUP(C:C,[1]基础信息!B$1:F$65536,5,0)</f>
        <v>Blue</v>
      </c>
    </row>
    <row r="471" spans="1:40">
      <c r="A471" s="1" t="s">
        <v>41</v>
      </c>
      <c r="B471" s="1" t="s">
        <v>42</v>
      </c>
      <c r="C471" s="1" t="s">
        <v>554</v>
      </c>
      <c r="D471" s="1" t="s">
        <v>555</v>
      </c>
      <c r="E471" s="1" t="s">
        <v>45</v>
      </c>
      <c r="F471" s="1" t="s">
        <v>863</v>
      </c>
      <c r="G471" s="1" t="s">
        <v>1231</v>
      </c>
      <c r="H471" s="1" t="s">
        <v>1232</v>
      </c>
      <c r="I471" s="1" t="s">
        <v>49</v>
      </c>
      <c r="J471" s="1" t="s">
        <v>48</v>
      </c>
      <c r="K471" s="1">
        <v>70</v>
      </c>
      <c r="L471" s="1">
        <v>0</v>
      </c>
      <c r="M471" s="1">
        <v>0</v>
      </c>
      <c r="N471" s="1">
        <v>70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 t="s">
        <v>49</v>
      </c>
      <c r="AA471" s="1" t="s">
        <v>49</v>
      </c>
      <c r="AB471" s="1" t="s">
        <v>49</v>
      </c>
      <c r="AC471" s="1" t="s">
        <v>154</v>
      </c>
      <c r="AD471" s="1" t="s">
        <v>155</v>
      </c>
      <c r="AE471" s="1" t="s">
        <v>154</v>
      </c>
      <c r="AF471" s="1" t="s">
        <v>559</v>
      </c>
      <c r="AG471" s="1" t="s">
        <v>53</v>
      </c>
      <c r="AH471" s="1" t="s">
        <v>49</v>
      </c>
      <c r="AI471" s="1" t="s">
        <v>54</v>
      </c>
      <c r="AJ471" s="1">
        <v>1</v>
      </c>
      <c r="AK471" s="1" t="str">
        <f t="shared" si="7"/>
        <v xml:space="preserve"> =&lt;90</v>
      </c>
      <c r="AL471" s="1" t="str">
        <f>VLOOKUP(C:C,[1]基础信息!B$1:D$65536,3,0)</f>
        <v>Jug</v>
      </c>
      <c r="AM471" s="1" t="str">
        <f>VLOOKUP(C:C,[1]基础信息!B$1:E$65536,4,0)</f>
        <v>Green Pack</v>
      </c>
      <c r="AN471" s="1" t="str">
        <f>VLOOKUP(C:C,[1]基础信息!B$1:F$65536,5,0)</f>
        <v>Blue</v>
      </c>
    </row>
    <row r="472" spans="1:40">
      <c r="A472" s="1" t="s">
        <v>41</v>
      </c>
      <c r="B472" s="1" t="s">
        <v>42</v>
      </c>
      <c r="C472" s="1" t="s">
        <v>285</v>
      </c>
      <c r="D472" s="1" t="s">
        <v>286</v>
      </c>
      <c r="E472" s="1" t="s">
        <v>45</v>
      </c>
      <c r="F472" s="1" t="s">
        <v>287</v>
      </c>
      <c r="G472" s="1" t="s">
        <v>1233</v>
      </c>
      <c r="H472" s="1" t="s">
        <v>1234</v>
      </c>
      <c r="I472" s="1" t="s">
        <v>49</v>
      </c>
      <c r="J472" s="1" t="s">
        <v>48</v>
      </c>
      <c r="K472" s="1">
        <v>70</v>
      </c>
      <c r="L472" s="1">
        <v>0</v>
      </c>
      <c r="M472" s="1">
        <v>0</v>
      </c>
      <c r="N472" s="1">
        <v>70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 t="s">
        <v>49</v>
      </c>
      <c r="AA472" s="1" t="s">
        <v>49</v>
      </c>
      <c r="AB472" s="1" t="s">
        <v>49</v>
      </c>
      <c r="AC472" s="1" t="s">
        <v>290</v>
      </c>
      <c r="AD472" s="1" t="s">
        <v>291</v>
      </c>
      <c r="AE472" s="1" t="s">
        <v>290</v>
      </c>
      <c r="AF472" s="1" t="s">
        <v>292</v>
      </c>
      <c r="AG472" s="1" t="s">
        <v>53</v>
      </c>
      <c r="AH472" s="1" t="s">
        <v>49</v>
      </c>
      <c r="AI472" s="1" t="s">
        <v>54</v>
      </c>
      <c r="AJ472" s="1">
        <v>1</v>
      </c>
      <c r="AK472" s="1" t="str">
        <f t="shared" si="7"/>
        <v xml:space="preserve"> =&lt;90</v>
      </c>
      <c r="AL472" s="1" t="str">
        <f>VLOOKUP(C:C,[1]基础信息!B$1:D$65536,3,0)</f>
        <v>Jug</v>
      </c>
      <c r="AM472" s="1" t="str">
        <f>VLOOKUP(C:C,[1]基础信息!B$1:E$65536,4,0)</f>
        <v>Marella XL</v>
      </c>
      <c r="AN472" s="1" t="str">
        <f>VLOOKUP(C:C,[1]基础信息!B$1:F$65536,5,0)</f>
        <v>Blue</v>
      </c>
    </row>
    <row r="473" spans="1:40">
      <c r="A473" s="1" t="s">
        <v>41</v>
      </c>
      <c r="B473" s="1" t="s">
        <v>42</v>
      </c>
      <c r="C473" s="1" t="s">
        <v>554</v>
      </c>
      <c r="D473" s="1" t="s">
        <v>555</v>
      </c>
      <c r="E473" s="1" t="s">
        <v>45</v>
      </c>
      <c r="F473" s="1" t="s">
        <v>863</v>
      </c>
      <c r="G473" s="1" t="s">
        <v>1235</v>
      </c>
      <c r="H473" s="1" t="s">
        <v>1236</v>
      </c>
      <c r="I473" s="1" t="s">
        <v>49</v>
      </c>
      <c r="J473" s="1" t="s">
        <v>48</v>
      </c>
      <c r="K473" s="1">
        <v>70</v>
      </c>
      <c r="L473" s="1">
        <v>0</v>
      </c>
      <c r="M473" s="1">
        <v>0</v>
      </c>
      <c r="N473" s="1">
        <v>70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 t="s">
        <v>49</v>
      </c>
      <c r="AA473" s="1" t="s">
        <v>49</v>
      </c>
      <c r="AB473" s="1" t="s">
        <v>49</v>
      </c>
      <c r="AC473" s="1" t="s">
        <v>154</v>
      </c>
      <c r="AD473" s="1" t="s">
        <v>155</v>
      </c>
      <c r="AE473" s="1" t="s">
        <v>154</v>
      </c>
      <c r="AF473" s="1" t="s">
        <v>559</v>
      </c>
      <c r="AG473" s="1" t="s">
        <v>53</v>
      </c>
      <c r="AH473" s="1" t="s">
        <v>49</v>
      </c>
      <c r="AI473" s="1" t="s">
        <v>54</v>
      </c>
      <c r="AJ473" s="1">
        <v>1</v>
      </c>
      <c r="AK473" s="1" t="str">
        <f t="shared" si="7"/>
        <v xml:space="preserve"> =&lt;90</v>
      </c>
      <c r="AL473" s="1" t="str">
        <f>VLOOKUP(C:C,[1]基础信息!B$1:D$65536,3,0)</f>
        <v>Jug</v>
      </c>
      <c r="AM473" s="1" t="str">
        <f>VLOOKUP(C:C,[1]基础信息!B$1:E$65536,4,0)</f>
        <v>Green Pack</v>
      </c>
      <c r="AN473" s="1" t="str">
        <f>VLOOKUP(C:C,[1]基础信息!B$1:F$65536,5,0)</f>
        <v>Blue</v>
      </c>
    </row>
    <row r="474" spans="1:40">
      <c r="A474" s="1" t="s">
        <v>41</v>
      </c>
      <c r="B474" s="1" t="s">
        <v>42</v>
      </c>
      <c r="C474" s="1" t="s">
        <v>554</v>
      </c>
      <c r="D474" s="1" t="s">
        <v>555</v>
      </c>
      <c r="E474" s="1" t="s">
        <v>45</v>
      </c>
      <c r="F474" s="1" t="s">
        <v>863</v>
      </c>
      <c r="G474" s="1" t="s">
        <v>1237</v>
      </c>
      <c r="H474" s="1" t="s">
        <v>1238</v>
      </c>
      <c r="I474" s="1" t="s">
        <v>49</v>
      </c>
      <c r="J474" s="1" t="s">
        <v>48</v>
      </c>
      <c r="K474" s="1">
        <v>70</v>
      </c>
      <c r="L474" s="1">
        <v>0</v>
      </c>
      <c r="M474" s="1">
        <v>0</v>
      </c>
      <c r="N474" s="1">
        <v>70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 t="s">
        <v>49</v>
      </c>
      <c r="AA474" s="1" t="s">
        <v>49</v>
      </c>
      <c r="AB474" s="1" t="s">
        <v>49</v>
      </c>
      <c r="AC474" s="1" t="s">
        <v>154</v>
      </c>
      <c r="AD474" s="1" t="s">
        <v>155</v>
      </c>
      <c r="AE474" s="1" t="s">
        <v>154</v>
      </c>
      <c r="AF474" s="1" t="s">
        <v>559</v>
      </c>
      <c r="AG474" s="1" t="s">
        <v>53</v>
      </c>
      <c r="AH474" s="1" t="s">
        <v>49</v>
      </c>
      <c r="AI474" s="1" t="s">
        <v>54</v>
      </c>
      <c r="AJ474" s="1">
        <v>1</v>
      </c>
      <c r="AK474" s="1" t="str">
        <f t="shared" si="7"/>
        <v xml:space="preserve"> =&lt;90</v>
      </c>
      <c r="AL474" s="1" t="str">
        <f>VLOOKUP(C:C,[1]基础信息!B$1:D$65536,3,0)</f>
        <v>Jug</v>
      </c>
      <c r="AM474" s="1" t="str">
        <f>VLOOKUP(C:C,[1]基础信息!B$1:E$65536,4,0)</f>
        <v>Green Pack</v>
      </c>
      <c r="AN474" s="1" t="str">
        <f>VLOOKUP(C:C,[1]基础信息!B$1:F$65536,5,0)</f>
        <v>Blue</v>
      </c>
    </row>
    <row r="475" spans="1:40">
      <c r="A475" s="1" t="s">
        <v>41</v>
      </c>
      <c r="B475" s="1" t="s">
        <v>42</v>
      </c>
      <c r="C475" s="1" t="s">
        <v>285</v>
      </c>
      <c r="D475" s="1" t="s">
        <v>286</v>
      </c>
      <c r="E475" s="1" t="s">
        <v>45</v>
      </c>
      <c r="F475" s="1" t="s">
        <v>287</v>
      </c>
      <c r="G475" s="1" t="s">
        <v>1239</v>
      </c>
      <c r="H475" s="1" t="s">
        <v>1240</v>
      </c>
      <c r="I475" s="1" t="s">
        <v>49</v>
      </c>
      <c r="J475" s="1" t="s">
        <v>48</v>
      </c>
      <c r="K475" s="1">
        <v>70</v>
      </c>
      <c r="L475" s="1">
        <v>0</v>
      </c>
      <c r="M475" s="1">
        <v>0</v>
      </c>
      <c r="N475" s="1">
        <v>70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 t="s">
        <v>49</v>
      </c>
      <c r="AA475" s="1" t="s">
        <v>49</v>
      </c>
      <c r="AB475" s="1" t="s">
        <v>49</v>
      </c>
      <c r="AC475" s="1" t="s">
        <v>290</v>
      </c>
      <c r="AD475" s="1" t="s">
        <v>291</v>
      </c>
      <c r="AE475" s="1" t="s">
        <v>290</v>
      </c>
      <c r="AF475" s="1" t="s">
        <v>292</v>
      </c>
      <c r="AG475" s="1" t="s">
        <v>53</v>
      </c>
      <c r="AH475" s="1" t="s">
        <v>49</v>
      </c>
      <c r="AI475" s="1" t="s">
        <v>54</v>
      </c>
      <c r="AJ475" s="1">
        <v>1</v>
      </c>
      <c r="AK475" s="1" t="str">
        <f t="shared" si="7"/>
        <v xml:space="preserve"> =&lt;90</v>
      </c>
      <c r="AL475" s="1" t="str">
        <f>VLOOKUP(C:C,[1]基础信息!B$1:D$65536,3,0)</f>
        <v>Jug</v>
      </c>
      <c r="AM475" s="1" t="str">
        <f>VLOOKUP(C:C,[1]基础信息!B$1:E$65536,4,0)</f>
        <v>Marella XL</v>
      </c>
      <c r="AN475" s="1" t="str">
        <f>VLOOKUP(C:C,[1]基础信息!B$1:F$65536,5,0)</f>
        <v>Blue</v>
      </c>
    </row>
    <row r="476" spans="1:40">
      <c r="A476" s="1" t="s">
        <v>41</v>
      </c>
      <c r="B476" s="1" t="s">
        <v>42</v>
      </c>
      <c r="C476" s="1" t="s">
        <v>285</v>
      </c>
      <c r="D476" s="1" t="s">
        <v>286</v>
      </c>
      <c r="E476" s="1" t="s">
        <v>45</v>
      </c>
      <c r="F476" s="1" t="s">
        <v>287</v>
      </c>
      <c r="G476" s="1" t="s">
        <v>1241</v>
      </c>
      <c r="H476" s="1" t="s">
        <v>1242</v>
      </c>
      <c r="I476" s="1" t="s">
        <v>49</v>
      </c>
      <c r="J476" s="1" t="s">
        <v>48</v>
      </c>
      <c r="K476" s="1">
        <v>70</v>
      </c>
      <c r="L476" s="1">
        <v>0</v>
      </c>
      <c r="M476" s="1">
        <v>0</v>
      </c>
      <c r="N476" s="1">
        <v>70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 t="s">
        <v>49</v>
      </c>
      <c r="AA476" s="1" t="s">
        <v>49</v>
      </c>
      <c r="AB476" s="1" t="s">
        <v>49</v>
      </c>
      <c r="AC476" s="1" t="s">
        <v>290</v>
      </c>
      <c r="AD476" s="1" t="s">
        <v>291</v>
      </c>
      <c r="AE476" s="1" t="s">
        <v>290</v>
      </c>
      <c r="AF476" s="1" t="s">
        <v>292</v>
      </c>
      <c r="AG476" s="1" t="s">
        <v>53</v>
      </c>
      <c r="AH476" s="1" t="s">
        <v>49</v>
      </c>
      <c r="AI476" s="1" t="s">
        <v>54</v>
      </c>
      <c r="AJ476" s="1">
        <v>1</v>
      </c>
      <c r="AK476" s="1" t="str">
        <f t="shared" si="7"/>
        <v xml:space="preserve"> =&lt;90</v>
      </c>
      <c r="AL476" s="1" t="str">
        <f>VLOOKUP(C:C,[1]基础信息!B$1:D$65536,3,0)</f>
        <v>Jug</v>
      </c>
      <c r="AM476" s="1" t="str">
        <f>VLOOKUP(C:C,[1]基础信息!B$1:E$65536,4,0)</f>
        <v>Marella XL</v>
      </c>
      <c r="AN476" s="1" t="str">
        <f>VLOOKUP(C:C,[1]基础信息!B$1:F$65536,5,0)</f>
        <v>Blue</v>
      </c>
    </row>
    <row r="477" spans="1:40">
      <c r="A477" s="1" t="s">
        <v>41</v>
      </c>
      <c r="B477" s="1" t="s">
        <v>42</v>
      </c>
      <c r="C477" s="1" t="s">
        <v>554</v>
      </c>
      <c r="D477" s="1" t="s">
        <v>555</v>
      </c>
      <c r="E477" s="1" t="s">
        <v>45</v>
      </c>
      <c r="F477" s="1" t="s">
        <v>863</v>
      </c>
      <c r="G477" s="1" t="s">
        <v>1243</v>
      </c>
      <c r="H477" s="1" t="s">
        <v>1244</v>
      </c>
      <c r="I477" s="1" t="s">
        <v>49</v>
      </c>
      <c r="J477" s="1" t="s">
        <v>48</v>
      </c>
      <c r="K477" s="1">
        <v>70</v>
      </c>
      <c r="L477" s="1">
        <v>0</v>
      </c>
      <c r="M477" s="1">
        <v>0</v>
      </c>
      <c r="N477" s="1">
        <v>70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 t="s">
        <v>49</v>
      </c>
      <c r="AA477" s="1" t="s">
        <v>49</v>
      </c>
      <c r="AB477" s="1" t="s">
        <v>49</v>
      </c>
      <c r="AC477" s="1" t="s">
        <v>154</v>
      </c>
      <c r="AD477" s="1" t="s">
        <v>155</v>
      </c>
      <c r="AE477" s="1" t="s">
        <v>154</v>
      </c>
      <c r="AF477" s="1" t="s">
        <v>559</v>
      </c>
      <c r="AG477" s="1" t="s">
        <v>53</v>
      </c>
      <c r="AH477" s="1" t="s">
        <v>49</v>
      </c>
      <c r="AI477" s="1" t="s">
        <v>54</v>
      </c>
      <c r="AJ477" s="1">
        <v>1</v>
      </c>
      <c r="AK477" s="1" t="str">
        <f t="shared" si="7"/>
        <v xml:space="preserve"> =&lt;90</v>
      </c>
      <c r="AL477" s="1" t="str">
        <f>VLOOKUP(C:C,[1]基础信息!B$1:D$65536,3,0)</f>
        <v>Jug</v>
      </c>
      <c r="AM477" s="1" t="str">
        <f>VLOOKUP(C:C,[1]基础信息!B$1:E$65536,4,0)</f>
        <v>Green Pack</v>
      </c>
      <c r="AN477" s="1" t="str">
        <f>VLOOKUP(C:C,[1]基础信息!B$1:F$65536,5,0)</f>
        <v>Blue</v>
      </c>
    </row>
    <row r="478" spans="1:40">
      <c r="A478" s="1" t="s">
        <v>41</v>
      </c>
      <c r="B478" s="1" t="s">
        <v>42</v>
      </c>
      <c r="C478" s="1" t="s">
        <v>285</v>
      </c>
      <c r="D478" s="1" t="s">
        <v>286</v>
      </c>
      <c r="E478" s="1" t="s">
        <v>45</v>
      </c>
      <c r="F478" s="1" t="s">
        <v>287</v>
      </c>
      <c r="G478" s="1" t="s">
        <v>1245</v>
      </c>
      <c r="H478" s="1" t="s">
        <v>1246</v>
      </c>
      <c r="I478" s="1" t="s">
        <v>49</v>
      </c>
      <c r="J478" s="1" t="s">
        <v>48</v>
      </c>
      <c r="K478" s="1">
        <v>70</v>
      </c>
      <c r="L478" s="1">
        <v>0</v>
      </c>
      <c r="M478" s="1">
        <v>0</v>
      </c>
      <c r="N478" s="1">
        <v>70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 t="s">
        <v>49</v>
      </c>
      <c r="AA478" s="1" t="s">
        <v>49</v>
      </c>
      <c r="AB478" s="1" t="s">
        <v>49</v>
      </c>
      <c r="AC478" s="1" t="s">
        <v>290</v>
      </c>
      <c r="AD478" s="1" t="s">
        <v>291</v>
      </c>
      <c r="AE478" s="1" t="s">
        <v>290</v>
      </c>
      <c r="AF478" s="1" t="s">
        <v>292</v>
      </c>
      <c r="AG478" s="1" t="s">
        <v>53</v>
      </c>
      <c r="AH478" s="1" t="s">
        <v>49</v>
      </c>
      <c r="AI478" s="1" t="s">
        <v>54</v>
      </c>
      <c r="AJ478" s="1">
        <v>1</v>
      </c>
      <c r="AK478" s="1" t="str">
        <f t="shared" si="7"/>
        <v xml:space="preserve"> =&lt;90</v>
      </c>
      <c r="AL478" s="1" t="str">
        <f>VLOOKUP(C:C,[1]基础信息!B$1:D$65536,3,0)</f>
        <v>Jug</v>
      </c>
      <c r="AM478" s="1" t="str">
        <f>VLOOKUP(C:C,[1]基础信息!B$1:E$65536,4,0)</f>
        <v>Marella XL</v>
      </c>
      <c r="AN478" s="1" t="str">
        <f>VLOOKUP(C:C,[1]基础信息!B$1:F$65536,5,0)</f>
        <v>Blue</v>
      </c>
    </row>
    <row r="479" spans="1:40">
      <c r="A479" s="1" t="s">
        <v>41</v>
      </c>
      <c r="B479" s="1" t="s">
        <v>42</v>
      </c>
      <c r="C479" s="1" t="s">
        <v>285</v>
      </c>
      <c r="D479" s="1" t="s">
        <v>286</v>
      </c>
      <c r="E479" s="1" t="s">
        <v>45</v>
      </c>
      <c r="F479" s="1" t="s">
        <v>287</v>
      </c>
      <c r="G479" s="1" t="s">
        <v>1247</v>
      </c>
      <c r="H479" s="1" t="s">
        <v>1248</v>
      </c>
      <c r="I479" s="1" t="s">
        <v>49</v>
      </c>
      <c r="J479" s="1" t="s">
        <v>48</v>
      </c>
      <c r="K479" s="1">
        <v>70</v>
      </c>
      <c r="L479" s="1">
        <v>0</v>
      </c>
      <c r="M479" s="1">
        <v>0</v>
      </c>
      <c r="N479" s="1">
        <v>70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 t="s">
        <v>49</v>
      </c>
      <c r="AA479" s="1" t="s">
        <v>49</v>
      </c>
      <c r="AB479" s="1" t="s">
        <v>49</v>
      </c>
      <c r="AC479" s="1" t="s">
        <v>290</v>
      </c>
      <c r="AD479" s="1" t="s">
        <v>291</v>
      </c>
      <c r="AE479" s="1" t="s">
        <v>290</v>
      </c>
      <c r="AF479" s="1" t="s">
        <v>292</v>
      </c>
      <c r="AG479" s="1" t="s">
        <v>53</v>
      </c>
      <c r="AH479" s="1" t="s">
        <v>49</v>
      </c>
      <c r="AI479" s="1" t="s">
        <v>54</v>
      </c>
      <c r="AJ479" s="1">
        <v>1</v>
      </c>
      <c r="AK479" s="1" t="str">
        <f t="shared" si="7"/>
        <v xml:space="preserve"> =&lt;90</v>
      </c>
      <c r="AL479" s="1" t="str">
        <f>VLOOKUP(C:C,[1]基础信息!B$1:D$65536,3,0)</f>
        <v>Jug</v>
      </c>
      <c r="AM479" s="1" t="str">
        <f>VLOOKUP(C:C,[1]基础信息!B$1:E$65536,4,0)</f>
        <v>Marella XL</v>
      </c>
      <c r="AN479" s="1" t="str">
        <f>VLOOKUP(C:C,[1]基础信息!B$1:F$65536,5,0)</f>
        <v>Blue</v>
      </c>
    </row>
    <row r="480" spans="1:40">
      <c r="A480" s="1" t="s">
        <v>41</v>
      </c>
      <c r="B480" s="1" t="s">
        <v>42</v>
      </c>
      <c r="C480" s="1" t="s">
        <v>554</v>
      </c>
      <c r="D480" s="1" t="s">
        <v>555</v>
      </c>
      <c r="E480" s="1" t="s">
        <v>45</v>
      </c>
      <c r="F480" s="1" t="s">
        <v>863</v>
      </c>
      <c r="G480" s="1" t="s">
        <v>1249</v>
      </c>
      <c r="H480" s="1" t="s">
        <v>1250</v>
      </c>
      <c r="I480" s="1" t="s">
        <v>49</v>
      </c>
      <c r="J480" s="1" t="s">
        <v>48</v>
      </c>
      <c r="K480" s="1">
        <v>70</v>
      </c>
      <c r="L480" s="1">
        <v>0</v>
      </c>
      <c r="M480" s="1">
        <v>0</v>
      </c>
      <c r="N480" s="1">
        <v>70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 t="s">
        <v>49</v>
      </c>
      <c r="AA480" s="1" t="s">
        <v>49</v>
      </c>
      <c r="AB480" s="1" t="s">
        <v>49</v>
      </c>
      <c r="AC480" s="1" t="s">
        <v>154</v>
      </c>
      <c r="AD480" s="1" t="s">
        <v>155</v>
      </c>
      <c r="AE480" s="1" t="s">
        <v>154</v>
      </c>
      <c r="AF480" s="1" t="s">
        <v>559</v>
      </c>
      <c r="AG480" s="1" t="s">
        <v>53</v>
      </c>
      <c r="AH480" s="1" t="s">
        <v>49</v>
      </c>
      <c r="AI480" s="1" t="s">
        <v>54</v>
      </c>
      <c r="AJ480" s="1">
        <v>1</v>
      </c>
      <c r="AK480" s="1" t="str">
        <f t="shared" si="7"/>
        <v xml:space="preserve"> =&lt;90</v>
      </c>
      <c r="AL480" s="1" t="str">
        <f>VLOOKUP(C:C,[1]基础信息!B$1:D$65536,3,0)</f>
        <v>Jug</v>
      </c>
      <c r="AM480" s="1" t="str">
        <f>VLOOKUP(C:C,[1]基础信息!B$1:E$65536,4,0)</f>
        <v>Green Pack</v>
      </c>
      <c r="AN480" s="1" t="str">
        <f>VLOOKUP(C:C,[1]基础信息!B$1:F$65536,5,0)</f>
        <v>Blue</v>
      </c>
    </row>
    <row r="481" spans="1:40">
      <c r="A481" s="1" t="s">
        <v>41</v>
      </c>
      <c r="B481" s="1" t="s">
        <v>42</v>
      </c>
      <c r="C481" s="1" t="s">
        <v>83</v>
      </c>
      <c r="D481" s="1" t="s">
        <v>84</v>
      </c>
      <c r="E481" s="1" t="s">
        <v>45</v>
      </c>
      <c r="F481" s="1" t="s">
        <v>1169</v>
      </c>
      <c r="G481" s="1" t="s">
        <v>1251</v>
      </c>
      <c r="H481" s="1" t="s">
        <v>1252</v>
      </c>
      <c r="I481" s="1" t="s">
        <v>49</v>
      </c>
      <c r="J481" s="1" t="s">
        <v>48</v>
      </c>
      <c r="K481" s="1">
        <v>96</v>
      </c>
      <c r="L481" s="1">
        <v>0</v>
      </c>
      <c r="M481" s="1">
        <v>0</v>
      </c>
      <c r="N481" s="1">
        <v>96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 t="s">
        <v>49</v>
      </c>
      <c r="AA481" s="1" t="s">
        <v>49</v>
      </c>
      <c r="AB481" s="1" t="s">
        <v>49</v>
      </c>
      <c r="AC481" s="1" t="s">
        <v>213</v>
      </c>
      <c r="AD481" s="1" t="s">
        <v>214</v>
      </c>
      <c r="AE481" s="1" t="s">
        <v>215</v>
      </c>
      <c r="AF481" s="1" t="s">
        <v>1172</v>
      </c>
      <c r="AG481" s="1" t="s">
        <v>53</v>
      </c>
      <c r="AH481" s="1" t="s">
        <v>49</v>
      </c>
      <c r="AI481" s="1" t="s">
        <v>54</v>
      </c>
      <c r="AJ481" s="1">
        <v>1</v>
      </c>
      <c r="AK481" s="1" t="str">
        <f t="shared" si="7"/>
        <v xml:space="preserve"> =&lt;90</v>
      </c>
      <c r="AL481" s="1" t="str">
        <f>VLOOKUP(C:C,[1]基础信息!B$1:D$65536,3,0)</f>
        <v>Jug</v>
      </c>
      <c r="AM481" s="1" t="str">
        <f>VLOOKUP(C:C,[1]基础信息!B$1:E$65536,4,0)</f>
        <v>Mxplus</v>
      </c>
      <c r="AN481" s="1" t="str">
        <f>VLOOKUP(C:C,[1]基础信息!B$1:F$65536,5,0)</f>
        <v>Blue</v>
      </c>
    </row>
    <row r="482" spans="1:40">
      <c r="A482" s="1" t="s">
        <v>41</v>
      </c>
      <c r="B482" s="1" t="s">
        <v>42</v>
      </c>
      <c r="C482" s="1" t="s">
        <v>359</v>
      </c>
      <c r="D482" s="1" t="s">
        <v>360</v>
      </c>
      <c r="E482" s="1" t="s">
        <v>45</v>
      </c>
      <c r="F482" s="1" t="s">
        <v>1253</v>
      </c>
      <c r="G482" s="1" t="s">
        <v>1254</v>
      </c>
      <c r="H482" s="1" t="s">
        <v>1255</v>
      </c>
      <c r="I482" s="1" t="s">
        <v>49</v>
      </c>
      <c r="J482" s="1" t="s">
        <v>48</v>
      </c>
      <c r="K482" s="1">
        <v>95</v>
      </c>
      <c r="L482" s="1">
        <v>0</v>
      </c>
      <c r="M482" s="1">
        <v>0</v>
      </c>
      <c r="N482" s="1">
        <v>95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 t="s">
        <v>49</v>
      </c>
      <c r="AA482" s="1" t="s">
        <v>49</v>
      </c>
      <c r="AB482" s="1" t="s">
        <v>49</v>
      </c>
      <c r="AC482" s="1" t="s">
        <v>154</v>
      </c>
      <c r="AD482" s="1" t="s">
        <v>155</v>
      </c>
      <c r="AE482" s="1" t="s">
        <v>154</v>
      </c>
      <c r="AF482" s="1" t="s">
        <v>1256</v>
      </c>
      <c r="AG482" s="1" t="s">
        <v>53</v>
      </c>
      <c r="AH482" s="1" t="s">
        <v>49</v>
      </c>
      <c r="AI482" s="1" t="s">
        <v>54</v>
      </c>
      <c r="AJ482" s="1">
        <v>1</v>
      </c>
      <c r="AK482" s="1" t="str">
        <f t="shared" si="7"/>
        <v xml:space="preserve"> =&lt;90</v>
      </c>
      <c r="AL482" s="1" t="e">
        <f>VLOOKUP(C:C,[1]基础信息!B$1:D$65536,3,0)</f>
        <v>#N/A</v>
      </c>
      <c r="AM482" s="1" t="e">
        <f>VLOOKUP(C:C,[1]基础信息!B$1:E$65536,4,0)</f>
        <v>#N/A</v>
      </c>
      <c r="AN482" s="1" t="e">
        <f>VLOOKUP(C:C,[1]基础信息!B$1:F$65536,5,0)</f>
        <v>#N/A</v>
      </c>
    </row>
    <row r="483" spans="1:40">
      <c r="A483" s="1" t="s">
        <v>41</v>
      </c>
      <c r="B483" s="1" t="s">
        <v>42</v>
      </c>
      <c r="C483" s="1" t="s">
        <v>359</v>
      </c>
      <c r="D483" s="1" t="s">
        <v>360</v>
      </c>
      <c r="E483" s="1" t="s">
        <v>45</v>
      </c>
      <c r="F483" s="1" t="s">
        <v>1253</v>
      </c>
      <c r="G483" s="1" t="s">
        <v>1257</v>
      </c>
      <c r="H483" s="1" t="s">
        <v>1258</v>
      </c>
      <c r="I483" s="1" t="s">
        <v>49</v>
      </c>
      <c r="J483" s="1" t="s">
        <v>48</v>
      </c>
      <c r="K483" s="1">
        <v>95</v>
      </c>
      <c r="L483" s="1">
        <v>0</v>
      </c>
      <c r="M483" s="1">
        <v>0</v>
      </c>
      <c r="N483" s="1">
        <v>95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 t="s">
        <v>49</v>
      </c>
      <c r="AA483" s="1" t="s">
        <v>49</v>
      </c>
      <c r="AB483" s="1" t="s">
        <v>49</v>
      </c>
      <c r="AC483" s="1" t="s">
        <v>154</v>
      </c>
      <c r="AD483" s="1" t="s">
        <v>155</v>
      </c>
      <c r="AE483" s="1" t="s">
        <v>154</v>
      </c>
      <c r="AF483" s="1" t="s">
        <v>1256</v>
      </c>
      <c r="AG483" s="1" t="s">
        <v>53</v>
      </c>
      <c r="AH483" s="1" t="s">
        <v>49</v>
      </c>
      <c r="AI483" s="1" t="s">
        <v>54</v>
      </c>
      <c r="AJ483" s="1">
        <v>1</v>
      </c>
      <c r="AK483" s="1" t="str">
        <f t="shared" si="7"/>
        <v xml:space="preserve"> =&lt;90</v>
      </c>
      <c r="AL483" s="1" t="e">
        <f>VLOOKUP(C:C,[1]基础信息!B$1:D$65536,3,0)</f>
        <v>#N/A</v>
      </c>
      <c r="AM483" s="1" t="e">
        <f>VLOOKUP(C:C,[1]基础信息!B$1:E$65536,4,0)</f>
        <v>#N/A</v>
      </c>
      <c r="AN483" s="1" t="e">
        <f>VLOOKUP(C:C,[1]基础信息!B$1:F$65536,5,0)</f>
        <v>#N/A</v>
      </c>
    </row>
    <row r="484" spans="1:40">
      <c r="A484" s="1" t="s">
        <v>41</v>
      </c>
      <c r="B484" s="1" t="s">
        <v>42</v>
      </c>
      <c r="C484" s="1" t="s">
        <v>359</v>
      </c>
      <c r="D484" s="1" t="s">
        <v>360</v>
      </c>
      <c r="E484" s="1" t="s">
        <v>45</v>
      </c>
      <c r="F484" s="1" t="s">
        <v>1253</v>
      </c>
      <c r="G484" s="1" t="s">
        <v>1259</v>
      </c>
      <c r="H484" s="1" t="s">
        <v>1260</v>
      </c>
      <c r="I484" s="1" t="s">
        <v>49</v>
      </c>
      <c r="J484" s="1" t="s">
        <v>48</v>
      </c>
      <c r="K484" s="1">
        <v>95</v>
      </c>
      <c r="L484" s="1">
        <v>0</v>
      </c>
      <c r="M484" s="1">
        <v>0</v>
      </c>
      <c r="N484" s="1">
        <v>95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 t="s">
        <v>49</v>
      </c>
      <c r="AA484" s="1" t="s">
        <v>49</v>
      </c>
      <c r="AB484" s="1" t="s">
        <v>49</v>
      </c>
      <c r="AC484" s="1" t="s">
        <v>154</v>
      </c>
      <c r="AD484" s="1" t="s">
        <v>155</v>
      </c>
      <c r="AE484" s="1" t="s">
        <v>154</v>
      </c>
      <c r="AF484" s="1" t="s">
        <v>1256</v>
      </c>
      <c r="AG484" s="1" t="s">
        <v>53</v>
      </c>
      <c r="AH484" s="1" t="s">
        <v>49</v>
      </c>
      <c r="AI484" s="1" t="s">
        <v>54</v>
      </c>
      <c r="AJ484" s="1">
        <v>1</v>
      </c>
      <c r="AK484" s="1" t="str">
        <f t="shared" si="7"/>
        <v xml:space="preserve"> =&lt;90</v>
      </c>
      <c r="AL484" s="1" t="e">
        <f>VLOOKUP(C:C,[1]基础信息!B$1:D$65536,3,0)</f>
        <v>#N/A</v>
      </c>
      <c r="AM484" s="1" t="e">
        <f>VLOOKUP(C:C,[1]基础信息!B$1:E$65536,4,0)</f>
        <v>#N/A</v>
      </c>
      <c r="AN484" s="1" t="e">
        <f>VLOOKUP(C:C,[1]基础信息!B$1:F$65536,5,0)</f>
        <v>#N/A</v>
      </c>
    </row>
    <row r="485" spans="1:40">
      <c r="A485" s="1" t="s">
        <v>41</v>
      </c>
      <c r="B485" s="1" t="s">
        <v>42</v>
      </c>
      <c r="C485" s="1" t="s">
        <v>359</v>
      </c>
      <c r="D485" s="1" t="s">
        <v>360</v>
      </c>
      <c r="E485" s="1" t="s">
        <v>45</v>
      </c>
      <c r="F485" s="1" t="s">
        <v>1253</v>
      </c>
      <c r="G485" s="1" t="s">
        <v>1261</v>
      </c>
      <c r="H485" s="1" t="s">
        <v>1262</v>
      </c>
      <c r="I485" s="1" t="s">
        <v>49</v>
      </c>
      <c r="J485" s="1" t="s">
        <v>48</v>
      </c>
      <c r="K485" s="1">
        <v>95</v>
      </c>
      <c r="L485" s="1">
        <v>0</v>
      </c>
      <c r="M485" s="1">
        <v>0</v>
      </c>
      <c r="N485" s="1">
        <v>95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 t="s">
        <v>49</v>
      </c>
      <c r="AA485" s="1" t="s">
        <v>49</v>
      </c>
      <c r="AB485" s="1" t="s">
        <v>49</v>
      </c>
      <c r="AC485" s="1" t="s">
        <v>154</v>
      </c>
      <c r="AD485" s="1" t="s">
        <v>155</v>
      </c>
      <c r="AE485" s="1" t="s">
        <v>154</v>
      </c>
      <c r="AF485" s="1" t="s">
        <v>1256</v>
      </c>
      <c r="AG485" s="1" t="s">
        <v>53</v>
      </c>
      <c r="AH485" s="1" t="s">
        <v>49</v>
      </c>
      <c r="AI485" s="1" t="s">
        <v>54</v>
      </c>
      <c r="AJ485" s="1">
        <v>1</v>
      </c>
      <c r="AK485" s="1" t="str">
        <f t="shared" si="7"/>
        <v xml:space="preserve"> =&lt;90</v>
      </c>
      <c r="AL485" s="1" t="e">
        <f>VLOOKUP(C:C,[1]基础信息!B$1:D$65536,3,0)</f>
        <v>#N/A</v>
      </c>
      <c r="AM485" s="1" t="e">
        <f>VLOOKUP(C:C,[1]基础信息!B$1:E$65536,4,0)</f>
        <v>#N/A</v>
      </c>
      <c r="AN485" s="1" t="e">
        <f>VLOOKUP(C:C,[1]基础信息!B$1:F$65536,5,0)</f>
        <v>#N/A</v>
      </c>
    </row>
    <row r="486" spans="1:40">
      <c r="A486" s="1" t="s">
        <v>41</v>
      </c>
      <c r="B486" s="1" t="s">
        <v>42</v>
      </c>
      <c r="C486" s="1" t="s">
        <v>359</v>
      </c>
      <c r="D486" s="1" t="s">
        <v>360</v>
      </c>
      <c r="E486" s="1" t="s">
        <v>45</v>
      </c>
      <c r="F486" s="1" t="s">
        <v>1253</v>
      </c>
      <c r="G486" s="1" t="s">
        <v>1263</v>
      </c>
      <c r="H486" s="1" t="s">
        <v>1264</v>
      </c>
      <c r="I486" s="1" t="s">
        <v>49</v>
      </c>
      <c r="J486" s="1" t="s">
        <v>48</v>
      </c>
      <c r="K486" s="1">
        <v>95</v>
      </c>
      <c r="L486" s="1">
        <v>0</v>
      </c>
      <c r="M486" s="1">
        <v>0</v>
      </c>
      <c r="N486" s="1">
        <v>95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 t="s">
        <v>49</v>
      </c>
      <c r="AA486" s="1" t="s">
        <v>49</v>
      </c>
      <c r="AB486" s="1" t="s">
        <v>49</v>
      </c>
      <c r="AC486" s="1" t="s">
        <v>154</v>
      </c>
      <c r="AD486" s="1" t="s">
        <v>155</v>
      </c>
      <c r="AE486" s="1" t="s">
        <v>154</v>
      </c>
      <c r="AF486" s="1" t="s">
        <v>1256</v>
      </c>
      <c r="AG486" s="1" t="s">
        <v>53</v>
      </c>
      <c r="AH486" s="1" t="s">
        <v>49</v>
      </c>
      <c r="AI486" s="1" t="s">
        <v>54</v>
      </c>
      <c r="AJ486" s="1">
        <v>1</v>
      </c>
      <c r="AK486" s="1" t="str">
        <f t="shared" si="7"/>
        <v xml:space="preserve"> =&lt;90</v>
      </c>
      <c r="AL486" s="1" t="e">
        <f>VLOOKUP(C:C,[1]基础信息!B$1:D$65536,3,0)</f>
        <v>#N/A</v>
      </c>
      <c r="AM486" s="1" t="e">
        <f>VLOOKUP(C:C,[1]基础信息!B$1:E$65536,4,0)</f>
        <v>#N/A</v>
      </c>
      <c r="AN486" s="1" t="e">
        <f>VLOOKUP(C:C,[1]基础信息!B$1:F$65536,5,0)</f>
        <v>#N/A</v>
      </c>
    </row>
    <row r="487" spans="1:40">
      <c r="A487" s="1" t="s">
        <v>41</v>
      </c>
      <c r="B487" s="1" t="s">
        <v>42</v>
      </c>
      <c r="C487" s="1" t="s">
        <v>417</v>
      </c>
      <c r="D487" s="1" t="s">
        <v>418</v>
      </c>
      <c r="E487" s="1" t="s">
        <v>45</v>
      </c>
      <c r="F487" s="1" t="s">
        <v>1126</v>
      </c>
      <c r="G487" s="1" t="s">
        <v>1265</v>
      </c>
      <c r="H487" s="1" t="s">
        <v>1266</v>
      </c>
      <c r="I487" s="1" t="s">
        <v>49</v>
      </c>
      <c r="J487" s="1" t="s">
        <v>48</v>
      </c>
      <c r="K487" s="1">
        <v>96</v>
      </c>
      <c r="L487" s="1">
        <v>0</v>
      </c>
      <c r="M487" s="1">
        <v>0</v>
      </c>
      <c r="N487" s="1">
        <v>96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 t="s">
        <v>49</v>
      </c>
      <c r="AA487" s="1" t="s">
        <v>49</v>
      </c>
      <c r="AB487" s="1" t="s">
        <v>49</v>
      </c>
      <c r="AC487" s="1" t="s">
        <v>938</v>
      </c>
      <c r="AD487" s="1" t="s">
        <v>939</v>
      </c>
      <c r="AE487" s="1" t="s">
        <v>938</v>
      </c>
      <c r="AF487" s="1" t="s">
        <v>940</v>
      </c>
      <c r="AG487" s="1" t="s">
        <v>53</v>
      </c>
      <c r="AH487" s="1" t="s">
        <v>49</v>
      </c>
      <c r="AI487" s="1" t="s">
        <v>54</v>
      </c>
      <c r="AJ487" s="1">
        <v>1</v>
      </c>
      <c r="AK487" s="1" t="str">
        <f t="shared" si="7"/>
        <v xml:space="preserve"> =&lt;90</v>
      </c>
      <c r="AL487" s="1" t="str">
        <f>VLOOKUP(C:C,[1]基础信息!B$1:D$65536,3,0)</f>
        <v>Jug</v>
      </c>
      <c r="AM487" s="1" t="str">
        <f>VLOOKUP(C:C,[1]基础信息!B$1:E$65536,4,0)</f>
        <v>Marella XL</v>
      </c>
      <c r="AN487" s="1" t="str">
        <f>VLOOKUP(C:C,[1]基础信息!B$1:F$65536,5,0)</f>
        <v>Silver</v>
      </c>
    </row>
    <row r="488" spans="1:40">
      <c r="A488" s="1" t="s">
        <v>41</v>
      </c>
      <c r="B488" s="1" t="s">
        <v>42</v>
      </c>
      <c r="C488" s="1" t="s">
        <v>554</v>
      </c>
      <c r="D488" s="1" t="s">
        <v>555</v>
      </c>
      <c r="E488" s="1" t="s">
        <v>45</v>
      </c>
      <c r="F488" s="1" t="s">
        <v>935</v>
      </c>
      <c r="G488" s="1" t="s">
        <v>1267</v>
      </c>
      <c r="H488" s="1" t="s">
        <v>1268</v>
      </c>
      <c r="I488" s="1" t="s">
        <v>49</v>
      </c>
      <c r="J488" s="1" t="s">
        <v>48</v>
      </c>
      <c r="K488" s="1">
        <v>70</v>
      </c>
      <c r="L488" s="1">
        <v>0</v>
      </c>
      <c r="M488" s="1">
        <v>0</v>
      </c>
      <c r="N488" s="1">
        <v>70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 t="s">
        <v>49</v>
      </c>
      <c r="AA488" s="1" t="s">
        <v>49</v>
      </c>
      <c r="AB488" s="1" t="s">
        <v>49</v>
      </c>
      <c r="AC488" s="1" t="s">
        <v>938</v>
      </c>
      <c r="AD488" s="1" t="s">
        <v>939</v>
      </c>
      <c r="AE488" s="1" t="s">
        <v>938</v>
      </c>
      <c r="AF488" s="1" t="s">
        <v>940</v>
      </c>
      <c r="AG488" s="1" t="s">
        <v>53</v>
      </c>
      <c r="AH488" s="1" t="s">
        <v>49</v>
      </c>
      <c r="AI488" s="1" t="s">
        <v>54</v>
      </c>
      <c r="AJ488" s="1">
        <v>1</v>
      </c>
      <c r="AK488" s="1" t="str">
        <f t="shared" si="7"/>
        <v xml:space="preserve"> =&lt;90</v>
      </c>
      <c r="AL488" s="1" t="str">
        <f>VLOOKUP(C:C,[1]基础信息!B$1:D$65536,3,0)</f>
        <v>Jug</v>
      </c>
      <c r="AM488" s="1" t="str">
        <f>VLOOKUP(C:C,[1]基础信息!B$1:E$65536,4,0)</f>
        <v>Green Pack</v>
      </c>
      <c r="AN488" s="1" t="str">
        <f>VLOOKUP(C:C,[1]基础信息!B$1:F$65536,5,0)</f>
        <v>Blue</v>
      </c>
    </row>
    <row r="489" spans="1:40">
      <c r="A489" s="1" t="s">
        <v>41</v>
      </c>
      <c r="B489" s="1" t="s">
        <v>42</v>
      </c>
      <c r="C489" s="1" t="s">
        <v>554</v>
      </c>
      <c r="D489" s="1" t="s">
        <v>555</v>
      </c>
      <c r="E489" s="1" t="s">
        <v>45</v>
      </c>
      <c r="F489" s="1" t="s">
        <v>556</v>
      </c>
      <c r="G489" s="1" t="s">
        <v>1269</v>
      </c>
      <c r="H489" s="1" t="s">
        <v>1270</v>
      </c>
      <c r="I489" s="1" t="s">
        <v>49</v>
      </c>
      <c r="J489" s="1" t="s">
        <v>48</v>
      </c>
      <c r="K489" s="1">
        <v>70</v>
      </c>
      <c r="L489" s="1">
        <v>0</v>
      </c>
      <c r="M489" s="1">
        <v>0</v>
      </c>
      <c r="N489" s="1">
        <v>70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 t="s">
        <v>49</v>
      </c>
      <c r="AA489" s="1" t="s">
        <v>49</v>
      </c>
      <c r="AB489" s="1" t="s">
        <v>49</v>
      </c>
      <c r="AC489" s="1" t="s">
        <v>414</v>
      </c>
      <c r="AD489" s="1" t="s">
        <v>415</v>
      </c>
      <c r="AE489" s="1" t="s">
        <v>416</v>
      </c>
      <c r="AF489" s="1" t="s">
        <v>559</v>
      </c>
      <c r="AG489" s="1" t="s">
        <v>53</v>
      </c>
      <c r="AH489" s="1" t="s">
        <v>49</v>
      </c>
      <c r="AI489" s="1" t="s">
        <v>54</v>
      </c>
      <c r="AJ489" s="1">
        <v>1</v>
      </c>
      <c r="AK489" s="1" t="str">
        <f t="shared" si="7"/>
        <v xml:space="preserve"> =&lt;90</v>
      </c>
      <c r="AL489" s="1" t="str">
        <f>VLOOKUP(C:C,[1]基础信息!B$1:D$65536,3,0)</f>
        <v>Jug</v>
      </c>
      <c r="AM489" s="1" t="str">
        <f>VLOOKUP(C:C,[1]基础信息!B$1:E$65536,4,0)</f>
        <v>Green Pack</v>
      </c>
      <c r="AN489" s="1" t="str">
        <f>VLOOKUP(C:C,[1]基础信息!B$1:F$65536,5,0)</f>
        <v>Blue</v>
      </c>
    </row>
    <row r="490" spans="1:40">
      <c r="A490" s="1" t="s">
        <v>41</v>
      </c>
      <c r="B490" s="1" t="s">
        <v>42</v>
      </c>
      <c r="C490" s="1" t="s">
        <v>554</v>
      </c>
      <c r="D490" s="1" t="s">
        <v>555</v>
      </c>
      <c r="E490" s="1" t="s">
        <v>45</v>
      </c>
      <c r="F490" s="1" t="s">
        <v>935</v>
      </c>
      <c r="G490" s="1" t="s">
        <v>1271</v>
      </c>
      <c r="H490" s="1" t="s">
        <v>1272</v>
      </c>
      <c r="I490" s="1" t="s">
        <v>49</v>
      </c>
      <c r="J490" s="1" t="s">
        <v>48</v>
      </c>
      <c r="K490" s="1">
        <v>70</v>
      </c>
      <c r="L490" s="1">
        <v>0</v>
      </c>
      <c r="M490" s="1">
        <v>0</v>
      </c>
      <c r="N490" s="1">
        <v>70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 t="s">
        <v>49</v>
      </c>
      <c r="AA490" s="1" t="s">
        <v>49</v>
      </c>
      <c r="AB490" s="1" t="s">
        <v>49</v>
      </c>
      <c r="AC490" s="1" t="s">
        <v>938</v>
      </c>
      <c r="AD490" s="1" t="s">
        <v>939</v>
      </c>
      <c r="AE490" s="1" t="s">
        <v>938</v>
      </c>
      <c r="AF490" s="1" t="s">
        <v>940</v>
      </c>
      <c r="AG490" s="1" t="s">
        <v>53</v>
      </c>
      <c r="AH490" s="1" t="s">
        <v>49</v>
      </c>
      <c r="AI490" s="1" t="s">
        <v>54</v>
      </c>
      <c r="AJ490" s="1">
        <v>1</v>
      </c>
      <c r="AK490" s="1" t="str">
        <f t="shared" si="7"/>
        <v xml:space="preserve"> =&lt;90</v>
      </c>
      <c r="AL490" s="1" t="str">
        <f>VLOOKUP(C:C,[1]基础信息!B$1:D$65536,3,0)</f>
        <v>Jug</v>
      </c>
      <c r="AM490" s="1" t="str">
        <f>VLOOKUP(C:C,[1]基础信息!B$1:E$65536,4,0)</f>
        <v>Green Pack</v>
      </c>
      <c r="AN490" s="1" t="str">
        <f>VLOOKUP(C:C,[1]基础信息!B$1:F$65536,5,0)</f>
        <v>Blue</v>
      </c>
    </row>
    <row r="491" spans="1:40">
      <c r="A491" s="1" t="s">
        <v>41</v>
      </c>
      <c r="B491" s="1" t="s">
        <v>42</v>
      </c>
      <c r="C491" s="1" t="s">
        <v>359</v>
      </c>
      <c r="D491" s="1" t="s">
        <v>360</v>
      </c>
      <c r="E491" s="1" t="s">
        <v>45</v>
      </c>
      <c r="F491" s="1" t="s">
        <v>1253</v>
      </c>
      <c r="G491" s="1" t="s">
        <v>1273</v>
      </c>
      <c r="H491" s="1" t="s">
        <v>1274</v>
      </c>
      <c r="I491" s="1" t="s">
        <v>49</v>
      </c>
      <c r="J491" s="1" t="s">
        <v>48</v>
      </c>
      <c r="K491" s="1">
        <v>95</v>
      </c>
      <c r="L491" s="1">
        <v>0</v>
      </c>
      <c r="M491" s="1">
        <v>0</v>
      </c>
      <c r="N491" s="1">
        <v>95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 t="s">
        <v>49</v>
      </c>
      <c r="AA491" s="1" t="s">
        <v>49</v>
      </c>
      <c r="AB491" s="1" t="s">
        <v>49</v>
      </c>
      <c r="AC491" s="1" t="s">
        <v>154</v>
      </c>
      <c r="AD491" s="1" t="s">
        <v>155</v>
      </c>
      <c r="AE491" s="1" t="s">
        <v>154</v>
      </c>
      <c r="AF491" s="1" t="s">
        <v>1256</v>
      </c>
      <c r="AG491" s="1" t="s">
        <v>53</v>
      </c>
      <c r="AH491" s="1" t="s">
        <v>49</v>
      </c>
      <c r="AI491" s="1" t="s">
        <v>54</v>
      </c>
      <c r="AJ491" s="1">
        <v>1</v>
      </c>
      <c r="AK491" s="1" t="str">
        <f t="shared" si="7"/>
        <v xml:space="preserve"> =&lt;90</v>
      </c>
      <c r="AL491" s="1" t="e">
        <f>VLOOKUP(C:C,[1]基础信息!B$1:D$65536,3,0)</f>
        <v>#N/A</v>
      </c>
      <c r="AM491" s="1" t="e">
        <f>VLOOKUP(C:C,[1]基础信息!B$1:E$65536,4,0)</f>
        <v>#N/A</v>
      </c>
      <c r="AN491" s="1" t="e">
        <f>VLOOKUP(C:C,[1]基础信息!B$1:F$65536,5,0)</f>
        <v>#N/A</v>
      </c>
    </row>
    <row r="492" spans="1:40">
      <c r="A492" s="1" t="s">
        <v>41</v>
      </c>
      <c r="B492" s="1" t="s">
        <v>42</v>
      </c>
      <c r="C492" s="1" t="s">
        <v>554</v>
      </c>
      <c r="D492" s="1" t="s">
        <v>555</v>
      </c>
      <c r="E492" s="1" t="s">
        <v>45</v>
      </c>
      <c r="F492" s="1" t="s">
        <v>556</v>
      </c>
      <c r="G492" s="1" t="s">
        <v>1275</v>
      </c>
      <c r="H492" s="1" t="s">
        <v>1276</v>
      </c>
      <c r="I492" s="1" t="s">
        <v>49</v>
      </c>
      <c r="J492" s="1" t="s">
        <v>48</v>
      </c>
      <c r="K492" s="1">
        <v>70</v>
      </c>
      <c r="L492" s="1">
        <v>0</v>
      </c>
      <c r="M492" s="1">
        <v>0</v>
      </c>
      <c r="N492" s="1">
        <v>70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 t="s">
        <v>49</v>
      </c>
      <c r="AA492" s="1" t="s">
        <v>49</v>
      </c>
      <c r="AB492" s="1" t="s">
        <v>49</v>
      </c>
      <c r="AC492" s="1" t="s">
        <v>414</v>
      </c>
      <c r="AD492" s="1" t="s">
        <v>415</v>
      </c>
      <c r="AE492" s="1" t="s">
        <v>416</v>
      </c>
      <c r="AF492" s="1" t="s">
        <v>559</v>
      </c>
      <c r="AG492" s="1" t="s">
        <v>53</v>
      </c>
      <c r="AH492" s="1" t="s">
        <v>49</v>
      </c>
      <c r="AI492" s="1" t="s">
        <v>54</v>
      </c>
      <c r="AJ492" s="1">
        <v>1</v>
      </c>
      <c r="AK492" s="1" t="str">
        <f t="shared" si="7"/>
        <v xml:space="preserve"> =&lt;90</v>
      </c>
      <c r="AL492" s="1" t="str">
        <f>VLOOKUP(C:C,[1]基础信息!B$1:D$65536,3,0)</f>
        <v>Jug</v>
      </c>
      <c r="AM492" s="1" t="str">
        <f>VLOOKUP(C:C,[1]基础信息!B$1:E$65536,4,0)</f>
        <v>Green Pack</v>
      </c>
      <c r="AN492" s="1" t="str">
        <f>VLOOKUP(C:C,[1]基础信息!B$1:F$65536,5,0)</f>
        <v>Blue</v>
      </c>
    </row>
    <row r="493" spans="1:40">
      <c r="A493" s="1" t="s">
        <v>41</v>
      </c>
      <c r="B493" s="1" t="s">
        <v>42</v>
      </c>
      <c r="C493" s="1" t="s">
        <v>554</v>
      </c>
      <c r="D493" s="1" t="s">
        <v>555</v>
      </c>
      <c r="E493" s="1" t="s">
        <v>45</v>
      </c>
      <c r="F493" s="1" t="s">
        <v>556</v>
      </c>
      <c r="G493" s="1" t="s">
        <v>1277</v>
      </c>
      <c r="H493" s="1" t="s">
        <v>1278</v>
      </c>
      <c r="I493" s="1" t="s">
        <v>49</v>
      </c>
      <c r="J493" s="1" t="s">
        <v>48</v>
      </c>
      <c r="K493" s="1">
        <v>70</v>
      </c>
      <c r="L493" s="1">
        <v>0</v>
      </c>
      <c r="M493" s="1">
        <v>0</v>
      </c>
      <c r="N493" s="1">
        <v>70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 t="s">
        <v>49</v>
      </c>
      <c r="AA493" s="1" t="s">
        <v>49</v>
      </c>
      <c r="AB493" s="1" t="s">
        <v>49</v>
      </c>
      <c r="AC493" s="1" t="s">
        <v>414</v>
      </c>
      <c r="AD493" s="1" t="s">
        <v>415</v>
      </c>
      <c r="AE493" s="1" t="s">
        <v>416</v>
      </c>
      <c r="AF493" s="1" t="s">
        <v>559</v>
      </c>
      <c r="AG493" s="1" t="s">
        <v>53</v>
      </c>
      <c r="AH493" s="1" t="s">
        <v>49</v>
      </c>
      <c r="AI493" s="1" t="s">
        <v>54</v>
      </c>
      <c r="AJ493" s="1">
        <v>1</v>
      </c>
      <c r="AK493" s="1" t="str">
        <f t="shared" si="7"/>
        <v xml:space="preserve"> =&lt;90</v>
      </c>
      <c r="AL493" s="1" t="str">
        <f>VLOOKUP(C:C,[1]基础信息!B$1:D$65536,3,0)</f>
        <v>Jug</v>
      </c>
      <c r="AM493" s="1" t="str">
        <f>VLOOKUP(C:C,[1]基础信息!B$1:E$65536,4,0)</f>
        <v>Green Pack</v>
      </c>
      <c r="AN493" s="1" t="str">
        <f>VLOOKUP(C:C,[1]基础信息!B$1:F$65536,5,0)</f>
        <v>Blue</v>
      </c>
    </row>
    <row r="494" spans="1:40">
      <c r="A494" s="1" t="s">
        <v>41</v>
      </c>
      <c r="B494" s="1" t="s">
        <v>42</v>
      </c>
      <c r="C494" s="1" t="s">
        <v>554</v>
      </c>
      <c r="D494" s="1" t="s">
        <v>555</v>
      </c>
      <c r="E494" s="1" t="s">
        <v>45</v>
      </c>
      <c r="F494" s="1" t="s">
        <v>556</v>
      </c>
      <c r="G494" s="1" t="s">
        <v>1279</v>
      </c>
      <c r="H494" s="1" t="s">
        <v>1280</v>
      </c>
      <c r="I494" s="1" t="s">
        <v>49</v>
      </c>
      <c r="J494" s="1" t="s">
        <v>48</v>
      </c>
      <c r="K494" s="1">
        <v>70</v>
      </c>
      <c r="L494" s="1">
        <v>0</v>
      </c>
      <c r="M494" s="1">
        <v>0</v>
      </c>
      <c r="N494" s="1">
        <v>70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 t="s">
        <v>49</v>
      </c>
      <c r="AA494" s="1" t="s">
        <v>49</v>
      </c>
      <c r="AB494" s="1" t="s">
        <v>49</v>
      </c>
      <c r="AC494" s="1" t="s">
        <v>414</v>
      </c>
      <c r="AD494" s="1" t="s">
        <v>415</v>
      </c>
      <c r="AE494" s="1" t="s">
        <v>416</v>
      </c>
      <c r="AF494" s="1" t="s">
        <v>559</v>
      </c>
      <c r="AG494" s="1" t="s">
        <v>53</v>
      </c>
      <c r="AH494" s="1" t="s">
        <v>49</v>
      </c>
      <c r="AI494" s="1" t="s">
        <v>54</v>
      </c>
      <c r="AJ494" s="1">
        <v>1</v>
      </c>
      <c r="AK494" s="1" t="str">
        <f t="shared" si="7"/>
        <v xml:space="preserve"> =&lt;90</v>
      </c>
      <c r="AL494" s="1" t="str">
        <f>VLOOKUP(C:C,[1]基础信息!B$1:D$65536,3,0)</f>
        <v>Jug</v>
      </c>
      <c r="AM494" s="1" t="str">
        <f>VLOOKUP(C:C,[1]基础信息!B$1:E$65536,4,0)</f>
        <v>Green Pack</v>
      </c>
      <c r="AN494" s="1" t="str">
        <f>VLOOKUP(C:C,[1]基础信息!B$1:F$65536,5,0)</f>
        <v>Blue</v>
      </c>
    </row>
    <row r="495" spans="1:40">
      <c r="A495" s="1" t="s">
        <v>41</v>
      </c>
      <c r="B495" s="1" t="s">
        <v>42</v>
      </c>
      <c r="C495" s="1" t="s">
        <v>554</v>
      </c>
      <c r="D495" s="1" t="s">
        <v>555</v>
      </c>
      <c r="E495" s="1" t="s">
        <v>45</v>
      </c>
      <c r="F495" s="1" t="s">
        <v>556</v>
      </c>
      <c r="G495" s="1" t="s">
        <v>1281</v>
      </c>
      <c r="H495" s="1" t="s">
        <v>1282</v>
      </c>
      <c r="I495" s="1" t="s">
        <v>49</v>
      </c>
      <c r="J495" s="1" t="s">
        <v>48</v>
      </c>
      <c r="K495" s="1">
        <v>70</v>
      </c>
      <c r="L495" s="1">
        <v>0</v>
      </c>
      <c r="M495" s="1">
        <v>0</v>
      </c>
      <c r="N495" s="1">
        <v>70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 t="s">
        <v>49</v>
      </c>
      <c r="AA495" s="1" t="s">
        <v>49</v>
      </c>
      <c r="AB495" s="1" t="s">
        <v>49</v>
      </c>
      <c r="AC495" s="1" t="s">
        <v>414</v>
      </c>
      <c r="AD495" s="1" t="s">
        <v>415</v>
      </c>
      <c r="AE495" s="1" t="s">
        <v>416</v>
      </c>
      <c r="AF495" s="1" t="s">
        <v>559</v>
      </c>
      <c r="AG495" s="1" t="s">
        <v>53</v>
      </c>
      <c r="AH495" s="1" t="s">
        <v>49</v>
      </c>
      <c r="AI495" s="1" t="s">
        <v>54</v>
      </c>
      <c r="AJ495" s="1">
        <v>1</v>
      </c>
      <c r="AK495" s="1" t="str">
        <f t="shared" si="7"/>
        <v xml:space="preserve"> =&lt;90</v>
      </c>
      <c r="AL495" s="1" t="str">
        <f>VLOOKUP(C:C,[1]基础信息!B$1:D$65536,3,0)</f>
        <v>Jug</v>
      </c>
      <c r="AM495" s="1" t="str">
        <f>VLOOKUP(C:C,[1]基础信息!B$1:E$65536,4,0)</f>
        <v>Green Pack</v>
      </c>
      <c r="AN495" s="1" t="str">
        <f>VLOOKUP(C:C,[1]基础信息!B$1:F$65536,5,0)</f>
        <v>Blue</v>
      </c>
    </row>
    <row r="496" spans="1:40">
      <c r="A496" s="1" t="s">
        <v>41</v>
      </c>
      <c r="B496" s="1" t="s">
        <v>42</v>
      </c>
      <c r="C496" s="1" t="s">
        <v>359</v>
      </c>
      <c r="D496" s="1" t="s">
        <v>360</v>
      </c>
      <c r="E496" s="1" t="s">
        <v>45</v>
      </c>
      <c r="F496" s="1" t="s">
        <v>1253</v>
      </c>
      <c r="G496" s="1" t="s">
        <v>1283</v>
      </c>
      <c r="H496" s="1" t="s">
        <v>1284</v>
      </c>
      <c r="I496" s="1" t="s">
        <v>49</v>
      </c>
      <c r="J496" s="1" t="s">
        <v>48</v>
      </c>
      <c r="K496" s="1">
        <v>95</v>
      </c>
      <c r="L496" s="1">
        <v>0</v>
      </c>
      <c r="M496" s="1">
        <v>0</v>
      </c>
      <c r="N496" s="1">
        <v>95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 t="s">
        <v>49</v>
      </c>
      <c r="AA496" s="1" t="s">
        <v>49</v>
      </c>
      <c r="AB496" s="1" t="s">
        <v>49</v>
      </c>
      <c r="AC496" s="1" t="s">
        <v>154</v>
      </c>
      <c r="AD496" s="1" t="s">
        <v>155</v>
      </c>
      <c r="AE496" s="1" t="s">
        <v>154</v>
      </c>
      <c r="AF496" s="1" t="s">
        <v>1256</v>
      </c>
      <c r="AG496" s="1" t="s">
        <v>53</v>
      </c>
      <c r="AH496" s="1" t="s">
        <v>49</v>
      </c>
      <c r="AI496" s="1" t="s">
        <v>54</v>
      </c>
      <c r="AJ496" s="1">
        <v>1</v>
      </c>
      <c r="AK496" s="1" t="str">
        <f t="shared" si="7"/>
        <v xml:space="preserve"> =&lt;90</v>
      </c>
      <c r="AL496" s="1" t="e">
        <f>VLOOKUP(C:C,[1]基础信息!B$1:D$65536,3,0)</f>
        <v>#N/A</v>
      </c>
      <c r="AM496" s="1" t="e">
        <f>VLOOKUP(C:C,[1]基础信息!B$1:E$65536,4,0)</f>
        <v>#N/A</v>
      </c>
      <c r="AN496" s="1" t="e">
        <f>VLOOKUP(C:C,[1]基础信息!B$1:F$65536,5,0)</f>
        <v>#N/A</v>
      </c>
    </row>
    <row r="497" spans="1:40">
      <c r="A497" s="1" t="s">
        <v>41</v>
      </c>
      <c r="B497" s="1" t="s">
        <v>42</v>
      </c>
      <c r="C497" s="1" t="s">
        <v>359</v>
      </c>
      <c r="D497" s="1" t="s">
        <v>360</v>
      </c>
      <c r="E497" s="1" t="s">
        <v>45</v>
      </c>
      <c r="F497" s="1" t="s">
        <v>1253</v>
      </c>
      <c r="G497" s="1" t="s">
        <v>1285</v>
      </c>
      <c r="H497" s="1" t="s">
        <v>1286</v>
      </c>
      <c r="I497" s="1" t="s">
        <v>49</v>
      </c>
      <c r="J497" s="1" t="s">
        <v>48</v>
      </c>
      <c r="K497" s="1">
        <v>95</v>
      </c>
      <c r="L497" s="1">
        <v>0</v>
      </c>
      <c r="M497" s="1">
        <v>0</v>
      </c>
      <c r="N497" s="1">
        <v>95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 t="s">
        <v>49</v>
      </c>
      <c r="AA497" s="1" t="s">
        <v>49</v>
      </c>
      <c r="AB497" s="1" t="s">
        <v>49</v>
      </c>
      <c r="AC497" s="1" t="s">
        <v>154</v>
      </c>
      <c r="AD497" s="1" t="s">
        <v>155</v>
      </c>
      <c r="AE497" s="1" t="s">
        <v>154</v>
      </c>
      <c r="AF497" s="1" t="s">
        <v>1256</v>
      </c>
      <c r="AG497" s="1" t="s">
        <v>53</v>
      </c>
      <c r="AH497" s="1" t="s">
        <v>49</v>
      </c>
      <c r="AI497" s="1" t="s">
        <v>54</v>
      </c>
      <c r="AJ497" s="1">
        <v>1</v>
      </c>
      <c r="AK497" s="1" t="str">
        <f t="shared" si="7"/>
        <v xml:space="preserve"> =&lt;90</v>
      </c>
      <c r="AL497" s="1" t="e">
        <f>VLOOKUP(C:C,[1]基础信息!B$1:D$65536,3,0)</f>
        <v>#N/A</v>
      </c>
      <c r="AM497" s="1" t="e">
        <f>VLOOKUP(C:C,[1]基础信息!B$1:E$65536,4,0)</f>
        <v>#N/A</v>
      </c>
      <c r="AN497" s="1" t="e">
        <f>VLOOKUP(C:C,[1]基础信息!B$1:F$65536,5,0)</f>
        <v>#N/A</v>
      </c>
    </row>
    <row r="498" spans="1:40">
      <c r="A498" s="1" t="s">
        <v>41</v>
      </c>
      <c r="B498" s="1" t="s">
        <v>42</v>
      </c>
      <c r="C498" s="1" t="s">
        <v>359</v>
      </c>
      <c r="D498" s="1" t="s">
        <v>360</v>
      </c>
      <c r="E498" s="1" t="s">
        <v>45</v>
      </c>
      <c r="F498" s="1" t="s">
        <v>1287</v>
      </c>
      <c r="G498" s="1" t="s">
        <v>1288</v>
      </c>
      <c r="H498" s="1" t="s">
        <v>1289</v>
      </c>
      <c r="I498" s="1" t="s">
        <v>49</v>
      </c>
      <c r="J498" s="1" t="s">
        <v>48</v>
      </c>
      <c r="K498" s="1">
        <v>95</v>
      </c>
      <c r="L498" s="1">
        <v>0</v>
      </c>
      <c r="M498" s="1">
        <v>0</v>
      </c>
      <c r="N498" s="1">
        <v>95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 t="s">
        <v>49</v>
      </c>
      <c r="AA498" s="1" t="s">
        <v>49</v>
      </c>
      <c r="AB498" s="1" t="s">
        <v>49</v>
      </c>
      <c r="AC498" s="1" t="s">
        <v>414</v>
      </c>
      <c r="AD498" s="1" t="s">
        <v>415</v>
      </c>
      <c r="AE498" s="1" t="s">
        <v>416</v>
      </c>
      <c r="AF498" s="1" t="s">
        <v>1256</v>
      </c>
      <c r="AG498" s="1" t="s">
        <v>53</v>
      </c>
      <c r="AH498" s="1" t="s">
        <v>49</v>
      </c>
      <c r="AI498" s="1" t="s">
        <v>54</v>
      </c>
      <c r="AJ498" s="1">
        <v>1</v>
      </c>
      <c r="AK498" s="1" t="str">
        <f t="shared" si="7"/>
        <v xml:space="preserve"> =&lt;90</v>
      </c>
      <c r="AL498" s="1" t="e">
        <f>VLOOKUP(C:C,[1]基础信息!B$1:D$65536,3,0)</f>
        <v>#N/A</v>
      </c>
      <c r="AM498" s="1" t="e">
        <f>VLOOKUP(C:C,[1]基础信息!B$1:E$65536,4,0)</f>
        <v>#N/A</v>
      </c>
      <c r="AN498" s="1" t="e">
        <f>VLOOKUP(C:C,[1]基础信息!B$1:F$65536,5,0)</f>
        <v>#N/A</v>
      </c>
    </row>
    <row r="499" spans="1:40">
      <c r="A499" s="1" t="s">
        <v>41</v>
      </c>
      <c r="B499" s="1" t="s">
        <v>42</v>
      </c>
      <c r="C499" s="1" t="s">
        <v>359</v>
      </c>
      <c r="D499" s="1" t="s">
        <v>360</v>
      </c>
      <c r="E499" s="1" t="s">
        <v>45</v>
      </c>
      <c r="F499" s="1" t="s">
        <v>1287</v>
      </c>
      <c r="G499" s="1" t="s">
        <v>1290</v>
      </c>
      <c r="H499" s="1" t="s">
        <v>1291</v>
      </c>
      <c r="I499" s="1" t="s">
        <v>49</v>
      </c>
      <c r="J499" s="1" t="s">
        <v>48</v>
      </c>
      <c r="K499" s="1">
        <v>95</v>
      </c>
      <c r="L499" s="1">
        <v>0</v>
      </c>
      <c r="M499" s="1">
        <v>0</v>
      </c>
      <c r="N499" s="1">
        <v>95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 t="s">
        <v>49</v>
      </c>
      <c r="AA499" s="1" t="s">
        <v>49</v>
      </c>
      <c r="AB499" s="1" t="s">
        <v>49</v>
      </c>
      <c r="AC499" s="1" t="s">
        <v>414</v>
      </c>
      <c r="AD499" s="1" t="s">
        <v>415</v>
      </c>
      <c r="AE499" s="1" t="s">
        <v>416</v>
      </c>
      <c r="AF499" s="1" t="s">
        <v>1256</v>
      </c>
      <c r="AG499" s="1" t="s">
        <v>53</v>
      </c>
      <c r="AH499" s="1" t="s">
        <v>49</v>
      </c>
      <c r="AI499" s="1" t="s">
        <v>54</v>
      </c>
      <c r="AJ499" s="1">
        <v>1</v>
      </c>
      <c r="AK499" s="1" t="str">
        <f t="shared" si="7"/>
        <v xml:space="preserve"> =&lt;90</v>
      </c>
      <c r="AL499" s="1" t="e">
        <f>VLOOKUP(C:C,[1]基础信息!B$1:D$65536,3,0)</f>
        <v>#N/A</v>
      </c>
      <c r="AM499" s="1" t="e">
        <f>VLOOKUP(C:C,[1]基础信息!B$1:E$65536,4,0)</f>
        <v>#N/A</v>
      </c>
      <c r="AN499" s="1" t="e">
        <f>VLOOKUP(C:C,[1]基础信息!B$1:F$65536,5,0)</f>
        <v>#N/A</v>
      </c>
    </row>
    <row r="500" spans="1:40">
      <c r="A500" s="1" t="s">
        <v>41</v>
      </c>
      <c r="B500" s="1" t="s">
        <v>42</v>
      </c>
      <c r="C500" s="1" t="s">
        <v>359</v>
      </c>
      <c r="D500" s="1" t="s">
        <v>360</v>
      </c>
      <c r="E500" s="1" t="s">
        <v>45</v>
      </c>
      <c r="F500" s="1" t="s">
        <v>1287</v>
      </c>
      <c r="G500" s="1" t="s">
        <v>1292</v>
      </c>
      <c r="H500" s="1" t="s">
        <v>1293</v>
      </c>
      <c r="I500" s="1" t="s">
        <v>49</v>
      </c>
      <c r="J500" s="1" t="s">
        <v>48</v>
      </c>
      <c r="K500" s="1">
        <v>95</v>
      </c>
      <c r="L500" s="1">
        <v>0</v>
      </c>
      <c r="M500" s="1">
        <v>0</v>
      </c>
      <c r="N500" s="1">
        <v>95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 t="s">
        <v>49</v>
      </c>
      <c r="AA500" s="1" t="s">
        <v>49</v>
      </c>
      <c r="AB500" s="1" t="s">
        <v>49</v>
      </c>
      <c r="AC500" s="1" t="s">
        <v>414</v>
      </c>
      <c r="AD500" s="1" t="s">
        <v>415</v>
      </c>
      <c r="AE500" s="1" t="s">
        <v>416</v>
      </c>
      <c r="AF500" s="1" t="s">
        <v>1256</v>
      </c>
      <c r="AG500" s="1" t="s">
        <v>53</v>
      </c>
      <c r="AH500" s="1" t="s">
        <v>49</v>
      </c>
      <c r="AI500" s="1" t="s">
        <v>54</v>
      </c>
      <c r="AJ500" s="1">
        <v>1</v>
      </c>
      <c r="AK500" s="1" t="str">
        <f t="shared" si="7"/>
        <v xml:space="preserve"> =&lt;90</v>
      </c>
      <c r="AL500" s="1" t="e">
        <f>VLOOKUP(C:C,[1]基础信息!B$1:D$65536,3,0)</f>
        <v>#N/A</v>
      </c>
      <c r="AM500" s="1" t="e">
        <f>VLOOKUP(C:C,[1]基础信息!B$1:E$65536,4,0)</f>
        <v>#N/A</v>
      </c>
      <c r="AN500" s="1" t="e">
        <f>VLOOKUP(C:C,[1]基础信息!B$1:F$65536,5,0)</f>
        <v>#N/A</v>
      </c>
    </row>
    <row r="501" spans="1:40">
      <c r="A501" s="1" t="s">
        <v>41</v>
      </c>
      <c r="B501" s="1" t="s">
        <v>42</v>
      </c>
      <c r="C501" s="1" t="s">
        <v>83</v>
      </c>
      <c r="D501" s="1" t="s">
        <v>84</v>
      </c>
      <c r="E501" s="1" t="s">
        <v>45</v>
      </c>
      <c r="F501" s="1" t="s">
        <v>1169</v>
      </c>
      <c r="G501" s="1" t="s">
        <v>1294</v>
      </c>
      <c r="H501" s="1" t="s">
        <v>1295</v>
      </c>
      <c r="I501" s="1" t="s">
        <v>49</v>
      </c>
      <c r="J501" s="1" t="s">
        <v>48</v>
      </c>
      <c r="K501" s="1">
        <v>72</v>
      </c>
      <c r="L501" s="1">
        <v>0</v>
      </c>
      <c r="M501" s="1">
        <v>0</v>
      </c>
      <c r="N501" s="1">
        <v>72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 t="s">
        <v>49</v>
      </c>
      <c r="AA501" s="1" t="s">
        <v>49</v>
      </c>
      <c r="AB501" s="1" t="s">
        <v>49</v>
      </c>
      <c r="AC501" s="1" t="s">
        <v>213</v>
      </c>
      <c r="AD501" s="1" t="s">
        <v>214</v>
      </c>
      <c r="AE501" s="1" t="s">
        <v>215</v>
      </c>
      <c r="AF501" s="1" t="s">
        <v>1172</v>
      </c>
      <c r="AG501" s="1" t="s">
        <v>53</v>
      </c>
      <c r="AH501" s="1" t="s">
        <v>49</v>
      </c>
      <c r="AI501" s="1" t="s">
        <v>54</v>
      </c>
      <c r="AJ501" s="1">
        <v>1</v>
      </c>
      <c r="AK501" s="1" t="str">
        <f t="shared" si="7"/>
        <v xml:space="preserve"> =&lt;90</v>
      </c>
      <c r="AL501" s="1" t="str">
        <f>VLOOKUP(C:C,[1]基础信息!B$1:D$65536,3,0)</f>
        <v>Jug</v>
      </c>
      <c r="AM501" s="1" t="str">
        <f>VLOOKUP(C:C,[1]基础信息!B$1:E$65536,4,0)</f>
        <v>Mxplus</v>
      </c>
      <c r="AN501" s="1" t="str">
        <f>VLOOKUP(C:C,[1]基础信息!B$1:F$65536,5,0)</f>
        <v>Blue</v>
      </c>
    </row>
    <row r="502" spans="1:40">
      <c r="A502" s="1" t="s">
        <v>41</v>
      </c>
      <c r="B502" s="1" t="s">
        <v>42</v>
      </c>
      <c r="C502" s="1" t="s">
        <v>285</v>
      </c>
      <c r="D502" s="1" t="s">
        <v>286</v>
      </c>
      <c r="E502" s="1" t="s">
        <v>45</v>
      </c>
      <c r="F502" s="1" t="s">
        <v>287</v>
      </c>
      <c r="G502" s="1" t="s">
        <v>1296</v>
      </c>
      <c r="H502" s="1" t="s">
        <v>1297</v>
      </c>
      <c r="I502" s="1" t="s">
        <v>49</v>
      </c>
      <c r="J502" s="1" t="s">
        <v>48</v>
      </c>
      <c r="K502" s="1">
        <v>70</v>
      </c>
      <c r="L502" s="1">
        <v>0</v>
      </c>
      <c r="M502" s="1">
        <v>0</v>
      </c>
      <c r="N502" s="1">
        <v>70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 t="s">
        <v>49</v>
      </c>
      <c r="AA502" s="1" t="s">
        <v>49</v>
      </c>
      <c r="AB502" s="1" t="s">
        <v>49</v>
      </c>
      <c r="AC502" s="1" t="s">
        <v>290</v>
      </c>
      <c r="AD502" s="1" t="s">
        <v>291</v>
      </c>
      <c r="AE502" s="1" t="s">
        <v>290</v>
      </c>
      <c r="AF502" s="1" t="s">
        <v>292</v>
      </c>
      <c r="AG502" s="1" t="s">
        <v>53</v>
      </c>
      <c r="AH502" s="1" t="s">
        <v>49</v>
      </c>
      <c r="AI502" s="1" t="s">
        <v>54</v>
      </c>
      <c r="AJ502" s="1">
        <v>1</v>
      </c>
      <c r="AK502" s="1" t="str">
        <f t="shared" si="7"/>
        <v xml:space="preserve"> =&lt;90</v>
      </c>
      <c r="AL502" s="1" t="str">
        <f>VLOOKUP(C:C,[1]基础信息!B$1:D$65536,3,0)</f>
        <v>Jug</v>
      </c>
      <c r="AM502" s="1" t="str">
        <f>VLOOKUP(C:C,[1]基础信息!B$1:E$65536,4,0)</f>
        <v>Marella XL</v>
      </c>
      <c r="AN502" s="1" t="str">
        <f>VLOOKUP(C:C,[1]基础信息!B$1:F$65536,5,0)</f>
        <v>Blue</v>
      </c>
    </row>
    <row r="503" spans="1:40">
      <c r="A503" s="1" t="s">
        <v>41</v>
      </c>
      <c r="B503" s="1" t="s">
        <v>42</v>
      </c>
      <c r="C503" s="1" t="s">
        <v>301</v>
      </c>
      <c r="D503" s="1" t="s">
        <v>302</v>
      </c>
      <c r="E503" s="1" t="s">
        <v>45</v>
      </c>
      <c r="F503" s="1" t="s">
        <v>303</v>
      </c>
      <c r="G503" s="1" t="s">
        <v>1298</v>
      </c>
      <c r="H503" s="1" t="s">
        <v>45</v>
      </c>
      <c r="I503" s="1" t="s">
        <v>45</v>
      </c>
      <c r="J503" s="1" t="s">
        <v>48</v>
      </c>
      <c r="K503" s="1">
        <v>96</v>
      </c>
      <c r="L503" s="1">
        <v>0</v>
      </c>
      <c r="M503" s="1">
        <v>0</v>
      </c>
      <c r="N503" s="1">
        <v>96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 t="s">
        <v>49</v>
      </c>
      <c r="AA503" s="1" t="s">
        <v>49</v>
      </c>
      <c r="AB503" s="1" t="s">
        <v>49</v>
      </c>
      <c r="AC503" s="1" t="s">
        <v>305</v>
      </c>
      <c r="AD503" s="1" t="s">
        <v>306</v>
      </c>
      <c r="AE503" s="1" t="s">
        <v>305</v>
      </c>
      <c r="AF503" s="1" t="s">
        <v>307</v>
      </c>
      <c r="AG503" s="1" t="s">
        <v>53</v>
      </c>
      <c r="AH503" s="1" t="s">
        <v>49</v>
      </c>
      <c r="AI503" s="1" t="s">
        <v>54</v>
      </c>
      <c r="AJ503" s="1">
        <v>1</v>
      </c>
      <c r="AK503" s="1" t="str">
        <f t="shared" si="7"/>
        <v xml:space="preserve"> =&lt;90</v>
      </c>
      <c r="AL503" s="1" t="str">
        <f>VLOOKUP(C:C,[1]基础信息!B$1:D$65536,3,0)</f>
        <v>Jug</v>
      </c>
      <c r="AM503" s="1" t="str">
        <f>VLOOKUP(C:C,[1]基础信息!B$1:E$65536,4,0)</f>
        <v>Aluna</v>
      </c>
      <c r="AN503" s="1" t="str">
        <f>VLOOKUP(C:C,[1]基础信息!B$1:F$65536,5,0)</f>
        <v>Blue</v>
      </c>
    </row>
    <row r="504" spans="1:40">
      <c r="A504" s="1" t="s">
        <v>41</v>
      </c>
      <c r="B504" s="1" t="s">
        <v>42</v>
      </c>
      <c r="C504" s="1" t="s">
        <v>301</v>
      </c>
      <c r="D504" s="1" t="s">
        <v>302</v>
      </c>
      <c r="E504" s="1" t="s">
        <v>45</v>
      </c>
      <c r="F504" s="1" t="s">
        <v>303</v>
      </c>
      <c r="G504" s="1" t="s">
        <v>1299</v>
      </c>
      <c r="H504" s="1" t="s">
        <v>45</v>
      </c>
      <c r="I504" s="1" t="s">
        <v>45</v>
      </c>
      <c r="J504" s="1" t="s">
        <v>48</v>
      </c>
      <c r="K504" s="1">
        <v>96</v>
      </c>
      <c r="L504" s="1">
        <v>0</v>
      </c>
      <c r="M504" s="1">
        <v>0</v>
      </c>
      <c r="N504" s="1">
        <v>96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 t="s">
        <v>49</v>
      </c>
      <c r="AA504" s="1" t="s">
        <v>49</v>
      </c>
      <c r="AB504" s="1" t="s">
        <v>49</v>
      </c>
      <c r="AC504" s="1" t="s">
        <v>305</v>
      </c>
      <c r="AD504" s="1" t="s">
        <v>306</v>
      </c>
      <c r="AE504" s="1" t="s">
        <v>305</v>
      </c>
      <c r="AF504" s="1" t="s">
        <v>307</v>
      </c>
      <c r="AG504" s="1" t="s">
        <v>53</v>
      </c>
      <c r="AH504" s="1" t="s">
        <v>49</v>
      </c>
      <c r="AI504" s="1" t="s">
        <v>54</v>
      </c>
      <c r="AJ504" s="1">
        <v>1</v>
      </c>
      <c r="AK504" s="1" t="str">
        <f t="shared" si="7"/>
        <v xml:space="preserve"> =&lt;90</v>
      </c>
      <c r="AL504" s="1" t="str">
        <f>VLOOKUP(C:C,[1]基础信息!B$1:D$65536,3,0)</f>
        <v>Jug</v>
      </c>
      <c r="AM504" s="1" t="str">
        <f>VLOOKUP(C:C,[1]基础信息!B$1:E$65536,4,0)</f>
        <v>Aluna</v>
      </c>
      <c r="AN504" s="1" t="str">
        <f>VLOOKUP(C:C,[1]基础信息!B$1:F$65536,5,0)</f>
        <v>Blue</v>
      </c>
    </row>
    <row r="505" spans="1:40">
      <c r="A505" s="1" t="s">
        <v>41</v>
      </c>
      <c r="B505" s="1" t="s">
        <v>42</v>
      </c>
      <c r="C505" s="1" t="s">
        <v>301</v>
      </c>
      <c r="D505" s="1" t="s">
        <v>302</v>
      </c>
      <c r="E505" s="1" t="s">
        <v>45</v>
      </c>
      <c r="F505" s="1" t="s">
        <v>303</v>
      </c>
      <c r="G505" s="1" t="s">
        <v>1300</v>
      </c>
      <c r="H505" s="1" t="s">
        <v>45</v>
      </c>
      <c r="I505" s="1" t="s">
        <v>45</v>
      </c>
      <c r="J505" s="1" t="s">
        <v>48</v>
      </c>
      <c r="K505" s="1">
        <v>96</v>
      </c>
      <c r="L505" s="1">
        <v>0</v>
      </c>
      <c r="M505" s="1">
        <v>0</v>
      </c>
      <c r="N505" s="1">
        <v>96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 t="s">
        <v>49</v>
      </c>
      <c r="AA505" s="1" t="s">
        <v>49</v>
      </c>
      <c r="AB505" s="1" t="s">
        <v>49</v>
      </c>
      <c r="AC505" s="1" t="s">
        <v>305</v>
      </c>
      <c r="AD505" s="1" t="s">
        <v>306</v>
      </c>
      <c r="AE505" s="1" t="s">
        <v>305</v>
      </c>
      <c r="AF505" s="1" t="s">
        <v>307</v>
      </c>
      <c r="AG505" s="1" t="s">
        <v>53</v>
      </c>
      <c r="AH505" s="1" t="s">
        <v>49</v>
      </c>
      <c r="AI505" s="1" t="s">
        <v>54</v>
      </c>
      <c r="AJ505" s="1">
        <v>1</v>
      </c>
      <c r="AK505" s="1" t="str">
        <f t="shared" si="7"/>
        <v xml:space="preserve"> =&lt;90</v>
      </c>
      <c r="AL505" s="1" t="str">
        <f>VLOOKUP(C:C,[1]基础信息!B$1:D$65536,3,0)</f>
        <v>Jug</v>
      </c>
      <c r="AM505" s="1" t="str">
        <f>VLOOKUP(C:C,[1]基础信息!B$1:E$65536,4,0)</f>
        <v>Aluna</v>
      </c>
      <c r="AN505" s="1" t="str">
        <f>VLOOKUP(C:C,[1]基础信息!B$1:F$65536,5,0)</f>
        <v>Blue</v>
      </c>
    </row>
    <row r="506" spans="1:40">
      <c r="A506" s="1" t="s">
        <v>41</v>
      </c>
      <c r="B506" s="1" t="s">
        <v>42</v>
      </c>
      <c r="C506" s="1" t="s">
        <v>301</v>
      </c>
      <c r="D506" s="1" t="s">
        <v>302</v>
      </c>
      <c r="E506" s="1" t="s">
        <v>45</v>
      </c>
      <c r="F506" s="1" t="s">
        <v>303</v>
      </c>
      <c r="G506" s="1" t="s">
        <v>1301</v>
      </c>
      <c r="H506" s="1" t="s">
        <v>45</v>
      </c>
      <c r="I506" s="1" t="s">
        <v>45</v>
      </c>
      <c r="J506" s="1" t="s">
        <v>48</v>
      </c>
      <c r="K506" s="1">
        <v>96</v>
      </c>
      <c r="L506" s="1">
        <v>0</v>
      </c>
      <c r="M506" s="1">
        <v>0</v>
      </c>
      <c r="N506" s="1">
        <v>96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 t="s">
        <v>49</v>
      </c>
      <c r="AA506" s="1" t="s">
        <v>49</v>
      </c>
      <c r="AB506" s="1" t="s">
        <v>49</v>
      </c>
      <c r="AC506" s="1" t="s">
        <v>305</v>
      </c>
      <c r="AD506" s="1" t="s">
        <v>306</v>
      </c>
      <c r="AE506" s="1" t="s">
        <v>305</v>
      </c>
      <c r="AF506" s="1" t="s">
        <v>307</v>
      </c>
      <c r="AG506" s="1" t="s">
        <v>53</v>
      </c>
      <c r="AH506" s="1" t="s">
        <v>49</v>
      </c>
      <c r="AI506" s="1" t="s">
        <v>54</v>
      </c>
      <c r="AJ506" s="1">
        <v>1</v>
      </c>
      <c r="AK506" s="1" t="str">
        <f t="shared" si="7"/>
        <v xml:space="preserve"> =&lt;90</v>
      </c>
      <c r="AL506" s="1" t="str">
        <f>VLOOKUP(C:C,[1]基础信息!B$1:D$65536,3,0)</f>
        <v>Jug</v>
      </c>
      <c r="AM506" s="1" t="str">
        <f>VLOOKUP(C:C,[1]基础信息!B$1:E$65536,4,0)</f>
        <v>Aluna</v>
      </c>
      <c r="AN506" s="1" t="str">
        <f>VLOOKUP(C:C,[1]基础信息!B$1:F$65536,5,0)</f>
        <v>Blue</v>
      </c>
    </row>
    <row r="507" spans="1:40">
      <c r="A507" s="1" t="s">
        <v>41</v>
      </c>
      <c r="B507" s="1" t="s">
        <v>42</v>
      </c>
      <c r="C507" s="1" t="s">
        <v>301</v>
      </c>
      <c r="D507" s="1" t="s">
        <v>302</v>
      </c>
      <c r="E507" s="1" t="s">
        <v>45</v>
      </c>
      <c r="F507" s="1" t="s">
        <v>303</v>
      </c>
      <c r="G507" s="1" t="s">
        <v>1302</v>
      </c>
      <c r="H507" s="1" t="s">
        <v>45</v>
      </c>
      <c r="I507" s="1" t="s">
        <v>45</v>
      </c>
      <c r="J507" s="1" t="s">
        <v>48</v>
      </c>
      <c r="K507" s="1">
        <v>96</v>
      </c>
      <c r="L507" s="1">
        <v>0</v>
      </c>
      <c r="M507" s="1">
        <v>0</v>
      </c>
      <c r="N507" s="1">
        <v>96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 t="s">
        <v>49</v>
      </c>
      <c r="AA507" s="1" t="s">
        <v>49</v>
      </c>
      <c r="AB507" s="1" t="s">
        <v>49</v>
      </c>
      <c r="AC507" s="1" t="s">
        <v>305</v>
      </c>
      <c r="AD507" s="1" t="s">
        <v>306</v>
      </c>
      <c r="AE507" s="1" t="s">
        <v>305</v>
      </c>
      <c r="AF507" s="1" t="s">
        <v>307</v>
      </c>
      <c r="AG507" s="1" t="s">
        <v>53</v>
      </c>
      <c r="AH507" s="1" t="s">
        <v>49</v>
      </c>
      <c r="AI507" s="1" t="s">
        <v>54</v>
      </c>
      <c r="AJ507" s="1">
        <v>1</v>
      </c>
      <c r="AK507" s="1" t="str">
        <f t="shared" si="7"/>
        <v xml:space="preserve"> =&lt;90</v>
      </c>
      <c r="AL507" s="1" t="str">
        <f>VLOOKUP(C:C,[1]基础信息!B$1:D$65536,3,0)</f>
        <v>Jug</v>
      </c>
      <c r="AM507" s="1" t="str">
        <f>VLOOKUP(C:C,[1]基础信息!B$1:E$65536,4,0)</f>
        <v>Aluna</v>
      </c>
      <c r="AN507" s="1" t="str">
        <f>VLOOKUP(C:C,[1]基础信息!B$1:F$65536,5,0)</f>
        <v>Blue</v>
      </c>
    </row>
    <row r="508" spans="1:40">
      <c r="A508" s="1" t="s">
        <v>41</v>
      </c>
      <c r="B508" s="1" t="s">
        <v>42</v>
      </c>
      <c r="C508" s="1" t="s">
        <v>301</v>
      </c>
      <c r="D508" s="1" t="s">
        <v>302</v>
      </c>
      <c r="E508" s="1" t="s">
        <v>45</v>
      </c>
      <c r="F508" s="1" t="s">
        <v>303</v>
      </c>
      <c r="G508" s="1" t="s">
        <v>1303</v>
      </c>
      <c r="H508" s="1" t="s">
        <v>45</v>
      </c>
      <c r="I508" s="1" t="s">
        <v>45</v>
      </c>
      <c r="J508" s="1" t="s">
        <v>48</v>
      </c>
      <c r="K508" s="1">
        <v>96</v>
      </c>
      <c r="L508" s="1">
        <v>0</v>
      </c>
      <c r="M508" s="1">
        <v>0</v>
      </c>
      <c r="N508" s="1">
        <v>96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 t="s">
        <v>49</v>
      </c>
      <c r="AA508" s="1" t="s">
        <v>49</v>
      </c>
      <c r="AB508" s="1" t="s">
        <v>49</v>
      </c>
      <c r="AC508" s="1" t="s">
        <v>305</v>
      </c>
      <c r="AD508" s="1" t="s">
        <v>306</v>
      </c>
      <c r="AE508" s="1" t="s">
        <v>305</v>
      </c>
      <c r="AF508" s="1" t="s">
        <v>307</v>
      </c>
      <c r="AG508" s="1" t="s">
        <v>53</v>
      </c>
      <c r="AH508" s="1" t="s">
        <v>49</v>
      </c>
      <c r="AI508" s="1" t="s">
        <v>54</v>
      </c>
      <c r="AJ508" s="1">
        <v>1</v>
      </c>
      <c r="AK508" s="1" t="str">
        <f t="shared" si="7"/>
        <v xml:space="preserve"> =&lt;90</v>
      </c>
      <c r="AL508" s="1" t="str">
        <f>VLOOKUP(C:C,[1]基础信息!B$1:D$65536,3,0)</f>
        <v>Jug</v>
      </c>
      <c r="AM508" s="1" t="str">
        <f>VLOOKUP(C:C,[1]基础信息!B$1:E$65536,4,0)</f>
        <v>Aluna</v>
      </c>
      <c r="AN508" s="1" t="str">
        <f>VLOOKUP(C:C,[1]基础信息!B$1:F$65536,5,0)</f>
        <v>Blue</v>
      </c>
    </row>
    <row r="509" spans="1:40">
      <c r="A509" s="1" t="s">
        <v>41</v>
      </c>
      <c r="B509" s="1" t="s">
        <v>42</v>
      </c>
      <c r="C509" s="1" t="s">
        <v>43</v>
      </c>
      <c r="D509" s="1" t="s">
        <v>44</v>
      </c>
      <c r="E509" s="1" t="s">
        <v>45</v>
      </c>
      <c r="F509" s="1" t="s">
        <v>46</v>
      </c>
      <c r="G509" s="1" t="s">
        <v>1304</v>
      </c>
      <c r="H509" s="1" t="s">
        <v>1305</v>
      </c>
      <c r="I509" s="1" t="s">
        <v>49</v>
      </c>
      <c r="J509" s="1" t="s">
        <v>48</v>
      </c>
      <c r="K509" s="1">
        <v>96</v>
      </c>
      <c r="L509" s="1">
        <v>0</v>
      </c>
      <c r="M509" s="1">
        <v>0</v>
      </c>
      <c r="N509" s="1">
        <v>96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 t="s">
        <v>49</v>
      </c>
      <c r="AA509" s="1" t="s">
        <v>49</v>
      </c>
      <c r="AB509" s="1" t="s">
        <v>49</v>
      </c>
      <c r="AC509" s="1" t="s">
        <v>50</v>
      </c>
      <c r="AD509" s="1" t="s">
        <v>51</v>
      </c>
      <c r="AE509" s="1" t="s">
        <v>50</v>
      </c>
      <c r="AF509" s="1" t="s">
        <v>52</v>
      </c>
      <c r="AG509" s="1" t="s">
        <v>53</v>
      </c>
      <c r="AH509" s="1" t="s">
        <v>49</v>
      </c>
      <c r="AI509" s="1" t="s">
        <v>54</v>
      </c>
      <c r="AJ509" s="1">
        <v>1</v>
      </c>
      <c r="AK509" s="1" t="str">
        <f t="shared" si="7"/>
        <v xml:space="preserve"> =&lt;90</v>
      </c>
      <c r="AL509" s="1" t="str">
        <f>VLOOKUP(C:C,[1]基础信息!B$1:D$65536,3,0)</f>
        <v>Jug</v>
      </c>
      <c r="AM509" s="1" t="str">
        <f>VLOOKUP(C:C,[1]基础信息!B$1:E$65536,4,0)</f>
        <v>Marella XL</v>
      </c>
      <c r="AN509" s="1" t="str">
        <f>VLOOKUP(C:C,[1]基础信息!B$1:F$65536,5,0)</f>
        <v>Black</v>
      </c>
    </row>
    <row r="510" spans="1:40">
      <c r="A510" s="1" t="s">
        <v>41</v>
      </c>
      <c r="B510" s="1" t="s">
        <v>42</v>
      </c>
      <c r="C510" s="1" t="s">
        <v>43</v>
      </c>
      <c r="D510" s="1" t="s">
        <v>44</v>
      </c>
      <c r="E510" s="1" t="s">
        <v>45</v>
      </c>
      <c r="F510" s="1" t="s">
        <v>46</v>
      </c>
      <c r="G510" s="1" t="s">
        <v>1306</v>
      </c>
      <c r="H510" s="1" t="s">
        <v>1307</v>
      </c>
      <c r="I510" s="1" t="s">
        <v>49</v>
      </c>
      <c r="J510" s="1" t="s">
        <v>48</v>
      </c>
      <c r="K510" s="1">
        <v>96</v>
      </c>
      <c r="L510" s="1">
        <v>0</v>
      </c>
      <c r="M510" s="1">
        <v>0</v>
      </c>
      <c r="N510" s="1">
        <v>96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 t="s">
        <v>49</v>
      </c>
      <c r="AA510" s="1" t="s">
        <v>49</v>
      </c>
      <c r="AB510" s="1" t="s">
        <v>49</v>
      </c>
      <c r="AC510" s="1" t="s">
        <v>50</v>
      </c>
      <c r="AD510" s="1" t="s">
        <v>51</v>
      </c>
      <c r="AE510" s="1" t="s">
        <v>50</v>
      </c>
      <c r="AF510" s="1" t="s">
        <v>52</v>
      </c>
      <c r="AG510" s="1" t="s">
        <v>53</v>
      </c>
      <c r="AH510" s="1" t="s">
        <v>49</v>
      </c>
      <c r="AI510" s="1" t="s">
        <v>54</v>
      </c>
      <c r="AJ510" s="1">
        <v>1</v>
      </c>
      <c r="AK510" s="1" t="str">
        <f t="shared" si="7"/>
        <v xml:space="preserve"> =&lt;90</v>
      </c>
      <c r="AL510" s="1" t="str">
        <f>VLOOKUP(C:C,[1]基础信息!B$1:D$65536,3,0)</f>
        <v>Jug</v>
      </c>
      <c r="AM510" s="1" t="str">
        <f>VLOOKUP(C:C,[1]基础信息!B$1:E$65536,4,0)</f>
        <v>Marella XL</v>
      </c>
      <c r="AN510" s="1" t="str">
        <f>VLOOKUP(C:C,[1]基础信息!B$1:F$65536,5,0)</f>
        <v>Black</v>
      </c>
    </row>
    <row r="511" spans="1:40">
      <c r="A511" s="1" t="s">
        <v>41</v>
      </c>
      <c r="B511" s="1" t="s">
        <v>42</v>
      </c>
      <c r="C511" s="1" t="s">
        <v>43</v>
      </c>
      <c r="D511" s="1" t="s">
        <v>44</v>
      </c>
      <c r="E511" s="1" t="s">
        <v>45</v>
      </c>
      <c r="F511" s="1" t="s">
        <v>46</v>
      </c>
      <c r="G511" s="1" t="s">
        <v>1308</v>
      </c>
      <c r="H511" s="1" t="s">
        <v>1309</v>
      </c>
      <c r="I511" s="1" t="s">
        <v>49</v>
      </c>
      <c r="J511" s="1" t="s">
        <v>48</v>
      </c>
      <c r="K511" s="1">
        <v>96</v>
      </c>
      <c r="L511" s="1">
        <v>0</v>
      </c>
      <c r="M511" s="1">
        <v>0</v>
      </c>
      <c r="N511" s="1">
        <v>96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 t="s">
        <v>49</v>
      </c>
      <c r="AA511" s="1" t="s">
        <v>49</v>
      </c>
      <c r="AB511" s="1" t="s">
        <v>49</v>
      </c>
      <c r="AC511" s="1" t="s">
        <v>50</v>
      </c>
      <c r="AD511" s="1" t="s">
        <v>51</v>
      </c>
      <c r="AE511" s="1" t="s">
        <v>50</v>
      </c>
      <c r="AF511" s="1" t="s">
        <v>52</v>
      </c>
      <c r="AG511" s="1" t="s">
        <v>53</v>
      </c>
      <c r="AH511" s="1" t="s">
        <v>49</v>
      </c>
      <c r="AI511" s="1" t="s">
        <v>54</v>
      </c>
      <c r="AJ511" s="1">
        <v>1</v>
      </c>
      <c r="AK511" s="1" t="str">
        <f t="shared" si="7"/>
        <v xml:space="preserve"> =&lt;90</v>
      </c>
      <c r="AL511" s="1" t="str">
        <f>VLOOKUP(C:C,[1]基础信息!B$1:D$65536,3,0)</f>
        <v>Jug</v>
      </c>
      <c r="AM511" s="1" t="str">
        <f>VLOOKUP(C:C,[1]基础信息!B$1:E$65536,4,0)</f>
        <v>Marella XL</v>
      </c>
      <c r="AN511" s="1" t="str">
        <f>VLOOKUP(C:C,[1]基础信息!B$1:F$65536,5,0)</f>
        <v>Black</v>
      </c>
    </row>
    <row r="512" spans="1:40">
      <c r="A512" s="1" t="s">
        <v>41</v>
      </c>
      <c r="B512" s="1" t="s">
        <v>42</v>
      </c>
      <c r="C512" s="1" t="s">
        <v>301</v>
      </c>
      <c r="D512" s="1" t="s">
        <v>302</v>
      </c>
      <c r="E512" s="1" t="s">
        <v>45</v>
      </c>
      <c r="F512" s="1" t="s">
        <v>303</v>
      </c>
      <c r="G512" s="1" t="s">
        <v>1310</v>
      </c>
      <c r="H512" s="1" t="s">
        <v>45</v>
      </c>
      <c r="I512" s="1" t="s">
        <v>45</v>
      </c>
      <c r="J512" s="1" t="s">
        <v>48</v>
      </c>
      <c r="K512" s="1">
        <v>96</v>
      </c>
      <c r="L512" s="1">
        <v>0</v>
      </c>
      <c r="M512" s="1">
        <v>0</v>
      </c>
      <c r="N512" s="1">
        <v>96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 t="s">
        <v>49</v>
      </c>
      <c r="AA512" s="1" t="s">
        <v>49</v>
      </c>
      <c r="AB512" s="1" t="s">
        <v>49</v>
      </c>
      <c r="AC512" s="1" t="s">
        <v>305</v>
      </c>
      <c r="AD512" s="1" t="s">
        <v>306</v>
      </c>
      <c r="AE512" s="1" t="s">
        <v>305</v>
      </c>
      <c r="AF512" s="1" t="s">
        <v>307</v>
      </c>
      <c r="AG512" s="1" t="s">
        <v>53</v>
      </c>
      <c r="AH512" s="1" t="s">
        <v>49</v>
      </c>
      <c r="AI512" s="1" t="s">
        <v>54</v>
      </c>
      <c r="AJ512" s="1">
        <v>1</v>
      </c>
      <c r="AK512" s="1" t="str">
        <f t="shared" si="7"/>
        <v xml:space="preserve"> =&lt;90</v>
      </c>
      <c r="AL512" s="1" t="str">
        <f>VLOOKUP(C:C,[1]基础信息!B$1:D$65536,3,0)</f>
        <v>Jug</v>
      </c>
      <c r="AM512" s="1" t="str">
        <f>VLOOKUP(C:C,[1]基础信息!B$1:E$65536,4,0)</f>
        <v>Aluna</v>
      </c>
      <c r="AN512" s="1" t="str">
        <f>VLOOKUP(C:C,[1]基础信息!B$1:F$65536,5,0)</f>
        <v>Blue</v>
      </c>
    </row>
    <row r="513" spans="1:40">
      <c r="A513" s="1" t="s">
        <v>41</v>
      </c>
      <c r="B513" s="1" t="s">
        <v>42</v>
      </c>
      <c r="C513" s="1" t="s">
        <v>43</v>
      </c>
      <c r="D513" s="1" t="s">
        <v>44</v>
      </c>
      <c r="E513" s="1" t="s">
        <v>45</v>
      </c>
      <c r="F513" s="1" t="s">
        <v>46</v>
      </c>
      <c r="G513" s="1" t="s">
        <v>1311</v>
      </c>
      <c r="H513" s="1" t="s">
        <v>1312</v>
      </c>
      <c r="I513" s="1" t="s">
        <v>49</v>
      </c>
      <c r="J513" s="1" t="s">
        <v>48</v>
      </c>
      <c r="K513" s="1">
        <v>96</v>
      </c>
      <c r="L513" s="1">
        <v>0</v>
      </c>
      <c r="M513" s="1">
        <v>0</v>
      </c>
      <c r="N513" s="1">
        <v>96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 t="s">
        <v>49</v>
      </c>
      <c r="AA513" s="1" t="s">
        <v>49</v>
      </c>
      <c r="AB513" s="1" t="s">
        <v>49</v>
      </c>
      <c r="AC513" s="1" t="s">
        <v>50</v>
      </c>
      <c r="AD513" s="1" t="s">
        <v>51</v>
      </c>
      <c r="AE513" s="1" t="s">
        <v>50</v>
      </c>
      <c r="AF513" s="1" t="s">
        <v>52</v>
      </c>
      <c r="AG513" s="1" t="s">
        <v>53</v>
      </c>
      <c r="AH513" s="1" t="s">
        <v>49</v>
      </c>
      <c r="AI513" s="1" t="s">
        <v>54</v>
      </c>
      <c r="AJ513" s="1">
        <v>1</v>
      </c>
      <c r="AK513" s="1" t="str">
        <f t="shared" si="7"/>
        <v xml:space="preserve"> =&lt;90</v>
      </c>
      <c r="AL513" s="1" t="str">
        <f>VLOOKUP(C:C,[1]基础信息!B$1:D$65536,3,0)</f>
        <v>Jug</v>
      </c>
      <c r="AM513" s="1" t="str">
        <f>VLOOKUP(C:C,[1]基础信息!B$1:E$65536,4,0)</f>
        <v>Marella XL</v>
      </c>
      <c r="AN513" s="1" t="str">
        <f>VLOOKUP(C:C,[1]基础信息!B$1:F$65536,5,0)</f>
        <v>Black</v>
      </c>
    </row>
    <row r="514" spans="1:40">
      <c r="A514" s="1" t="s">
        <v>41</v>
      </c>
      <c r="B514" s="1" t="s">
        <v>42</v>
      </c>
      <c r="C514" s="1" t="s">
        <v>301</v>
      </c>
      <c r="D514" s="1" t="s">
        <v>302</v>
      </c>
      <c r="E514" s="1" t="s">
        <v>45</v>
      </c>
      <c r="F514" s="1" t="s">
        <v>303</v>
      </c>
      <c r="G514" s="1" t="s">
        <v>1313</v>
      </c>
      <c r="H514" s="1" t="s">
        <v>45</v>
      </c>
      <c r="I514" s="1" t="s">
        <v>45</v>
      </c>
      <c r="J514" s="1" t="s">
        <v>48</v>
      </c>
      <c r="K514" s="1">
        <v>96</v>
      </c>
      <c r="L514" s="1">
        <v>0</v>
      </c>
      <c r="M514" s="1">
        <v>0</v>
      </c>
      <c r="N514" s="1">
        <v>96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 t="s">
        <v>49</v>
      </c>
      <c r="AA514" s="1" t="s">
        <v>49</v>
      </c>
      <c r="AB514" s="1" t="s">
        <v>49</v>
      </c>
      <c r="AC514" s="1" t="s">
        <v>305</v>
      </c>
      <c r="AD514" s="1" t="s">
        <v>306</v>
      </c>
      <c r="AE514" s="1" t="s">
        <v>305</v>
      </c>
      <c r="AF514" s="1" t="s">
        <v>307</v>
      </c>
      <c r="AG514" s="1" t="s">
        <v>53</v>
      </c>
      <c r="AH514" s="1" t="s">
        <v>49</v>
      </c>
      <c r="AI514" s="1" t="s">
        <v>54</v>
      </c>
      <c r="AJ514" s="1">
        <v>1</v>
      </c>
      <c r="AK514" s="1" t="str">
        <f t="shared" ref="AK514:AK577" si="8">IF(AJ514&gt;$AP$2,$AQ$2,IF(AJ514&gt;$AP$3,$AQ$3,IF(AJ514&gt;$AP$4,$AQ$4,$AQ$5)))</f>
        <v xml:space="preserve"> =&lt;90</v>
      </c>
      <c r="AL514" s="1" t="str">
        <f>VLOOKUP(C:C,[1]基础信息!B$1:D$65536,3,0)</f>
        <v>Jug</v>
      </c>
      <c r="AM514" s="1" t="str">
        <f>VLOOKUP(C:C,[1]基础信息!B$1:E$65536,4,0)</f>
        <v>Aluna</v>
      </c>
      <c r="AN514" s="1" t="str">
        <f>VLOOKUP(C:C,[1]基础信息!B$1:F$65536,5,0)</f>
        <v>Blue</v>
      </c>
    </row>
    <row r="515" spans="1:40">
      <c r="A515" s="1" t="s">
        <v>41</v>
      </c>
      <c r="B515" s="1" t="s">
        <v>42</v>
      </c>
      <c r="C515" s="1" t="s">
        <v>301</v>
      </c>
      <c r="D515" s="1" t="s">
        <v>302</v>
      </c>
      <c r="E515" s="1" t="s">
        <v>45</v>
      </c>
      <c r="F515" s="1" t="s">
        <v>303</v>
      </c>
      <c r="G515" s="1" t="s">
        <v>1314</v>
      </c>
      <c r="H515" s="1" t="s">
        <v>45</v>
      </c>
      <c r="I515" s="1" t="s">
        <v>45</v>
      </c>
      <c r="J515" s="1" t="s">
        <v>48</v>
      </c>
      <c r="K515" s="1">
        <v>96</v>
      </c>
      <c r="L515" s="1">
        <v>0</v>
      </c>
      <c r="M515" s="1">
        <v>0</v>
      </c>
      <c r="N515" s="1">
        <v>96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 t="s">
        <v>49</v>
      </c>
      <c r="AA515" s="1" t="s">
        <v>49</v>
      </c>
      <c r="AB515" s="1" t="s">
        <v>49</v>
      </c>
      <c r="AC515" s="1" t="s">
        <v>305</v>
      </c>
      <c r="AD515" s="1" t="s">
        <v>306</v>
      </c>
      <c r="AE515" s="1" t="s">
        <v>305</v>
      </c>
      <c r="AF515" s="1" t="s">
        <v>307</v>
      </c>
      <c r="AG515" s="1" t="s">
        <v>53</v>
      </c>
      <c r="AH515" s="1" t="s">
        <v>49</v>
      </c>
      <c r="AI515" s="1" t="s">
        <v>54</v>
      </c>
      <c r="AJ515" s="1">
        <v>1</v>
      </c>
      <c r="AK515" s="1" t="str">
        <f t="shared" si="8"/>
        <v xml:space="preserve"> =&lt;90</v>
      </c>
      <c r="AL515" s="1" t="str">
        <f>VLOOKUP(C:C,[1]基础信息!B$1:D$65536,3,0)</f>
        <v>Jug</v>
      </c>
      <c r="AM515" s="1" t="str">
        <f>VLOOKUP(C:C,[1]基础信息!B$1:E$65536,4,0)</f>
        <v>Aluna</v>
      </c>
      <c r="AN515" s="1" t="str">
        <f>VLOOKUP(C:C,[1]基础信息!B$1:F$65536,5,0)</f>
        <v>Blue</v>
      </c>
    </row>
    <row r="516" spans="1:40">
      <c r="A516" s="1" t="s">
        <v>41</v>
      </c>
      <c r="B516" s="1" t="s">
        <v>42</v>
      </c>
      <c r="C516" s="1" t="s">
        <v>43</v>
      </c>
      <c r="D516" s="1" t="s">
        <v>44</v>
      </c>
      <c r="E516" s="1" t="s">
        <v>45</v>
      </c>
      <c r="F516" s="1" t="s">
        <v>46</v>
      </c>
      <c r="G516" s="1" t="s">
        <v>1315</v>
      </c>
      <c r="H516" s="1" t="s">
        <v>1316</v>
      </c>
      <c r="I516" s="1" t="s">
        <v>49</v>
      </c>
      <c r="J516" s="1" t="s">
        <v>48</v>
      </c>
      <c r="K516" s="1">
        <v>96</v>
      </c>
      <c r="L516" s="1">
        <v>0</v>
      </c>
      <c r="M516" s="1">
        <v>0</v>
      </c>
      <c r="N516" s="1">
        <v>96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 t="s">
        <v>49</v>
      </c>
      <c r="AA516" s="1" t="s">
        <v>49</v>
      </c>
      <c r="AB516" s="1" t="s">
        <v>49</v>
      </c>
      <c r="AC516" s="1" t="s">
        <v>50</v>
      </c>
      <c r="AD516" s="1" t="s">
        <v>51</v>
      </c>
      <c r="AE516" s="1" t="s">
        <v>50</v>
      </c>
      <c r="AF516" s="1" t="s">
        <v>52</v>
      </c>
      <c r="AG516" s="1" t="s">
        <v>53</v>
      </c>
      <c r="AH516" s="1" t="s">
        <v>49</v>
      </c>
      <c r="AI516" s="1" t="s">
        <v>54</v>
      </c>
      <c r="AJ516" s="1">
        <v>1</v>
      </c>
      <c r="AK516" s="1" t="str">
        <f t="shared" si="8"/>
        <v xml:space="preserve"> =&lt;90</v>
      </c>
      <c r="AL516" s="1" t="str">
        <f>VLOOKUP(C:C,[1]基础信息!B$1:D$65536,3,0)</f>
        <v>Jug</v>
      </c>
      <c r="AM516" s="1" t="str">
        <f>VLOOKUP(C:C,[1]基础信息!B$1:E$65536,4,0)</f>
        <v>Marella XL</v>
      </c>
      <c r="AN516" s="1" t="str">
        <f>VLOOKUP(C:C,[1]基础信息!B$1:F$65536,5,0)</f>
        <v>Black</v>
      </c>
    </row>
    <row r="517" spans="1:40">
      <c r="A517" s="1" t="s">
        <v>41</v>
      </c>
      <c r="B517" s="1" t="s">
        <v>42</v>
      </c>
      <c r="C517" s="1" t="s">
        <v>301</v>
      </c>
      <c r="D517" s="1" t="s">
        <v>302</v>
      </c>
      <c r="E517" s="1" t="s">
        <v>45</v>
      </c>
      <c r="F517" s="1" t="s">
        <v>303</v>
      </c>
      <c r="G517" s="1" t="s">
        <v>1317</v>
      </c>
      <c r="H517" s="1" t="s">
        <v>45</v>
      </c>
      <c r="I517" s="1" t="s">
        <v>45</v>
      </c>
      <c r="J517" s="1" t="s">
        <v>48</v>
      </c>
      <c r="K517" s="1">
        <v>96</v>
      </c>
      <c r="L517" s="1">
        <v>0</v>
      </c>
      <c r="M517" s="1">
        <v>0</v>
      </c>
      <c r="N517" s="1">
        <v>96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 t="s">
        <v>49</v>
      </c>
      <c r="AA517" s="1" t="s">
        <v>49</v>
      </c>
      <c r="AB517" s="1" t="s">
        <v>49</v>
      </c>
      <c r="AC517" s="1" t="s">
        <v>305</v>
      </c>
      <c r="AD517" s="1" t="s">
        <v>306</v>
      </c>
      <c r="AE517" s="1" t="s">
        <v>305</v>
      </c>
      <c r="AF517" s="1" t="s">
        <v>307</v>
      </c>
      <c r="AG517" s="1" t="s">
        <v>53</v>
      </c>
      <c r="AH517" s="1" t="s">
        <v>49</v>
      </c>
      <c r="AI517" s="1" t="s">
        <v>54</v>
      </c>
      <c r="AJ517" s="1">
        <v>1</v>
      </c>
      <c r="AK517" s="1" t="str">
        <f t="shared" si="8"/>
        <v xml:space="preserve"> =&lt;90</v>
      </c>
      <c r="AL517" s="1" t="str">
        <f>VLOOKUP(C:C,[1]基础信息!B$1:D$65536,3,0)</f>
        <v>Jug</v>
      </c>
      <c r="AM517" s="1" t="str">
        <f>VLOOKUP(C:C,[1]基础信息!B$1:E$65536,4,0)</f>
        <v>Aluna</v>
      </c>
      <c r="AN517" s="1" t="str">
        <f>VLOOKUP(C:C,[1]基础信息!B$1:F$65536,5,0)</f>
        <v>Blue</v>
      </c>
    </row>
    <row r="518" spans="1:40">
      <c r="A518" s="1" t="s">
        <v>41</v>
      </c>
      <c r="B518" s="1" t="s">
        <v>42</v>
      </c>
      <c r="C518" s="1" t="s">
        <v>43</v>
      </c>
      <c r="D518" s="1" t="s">
        <v>44</v>
      </c>
      <c r="E518" s="1" t="s">
        <v>45</v>
      </c>
      <c r="F518" s="1" t="s">
        <v>46</v>
      </c>
      <c r="G518" s="1" t="s">
        <v>1318</v>
      </c>
      <c r="H518" s="1" t="s">
        <v>1319</v>
      </c>
      <c r="I518" s="1" t="s">
        <v>49</v>
      </c>
      <c r="J518" s="1" t="s">
        <v>48</v>
      </c>
      <c r="K518" s="1">
        <v>96</v>
      </c>
      <c r="L518" s="1">
        <v>0</v>
      </c>
      <c r="M518" s="1">
        <v>0</v>
      </c>
      <c r="N518" s="1">
        <v>96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 t="s">
        <v>49</v>
      </c>
      <c r="AA518" s="1" t="s">
        <v>49</v>
      </c>
      <c r="AB518" s="1" t="s">
        <v>49</v>
      </c>
      <c r="AC518" s="1" t="s">
        <v>50</v>
      </c>
      <c r="AD518" s="1" t="s">
        <v>51</v>
      </c>
      <c r="AE518" s="1" t="s">
        <v>50</v>
      </c>
      <c r="AF518" s="1" t="s">
        <v>52</v>
      </c>
      <c r="AG518" s="1" t="s">
        <v>53</v>
      </c>
      <c r="AH518" s="1" t="s">
        <v>49</v>
      </c>
      <c r="AI518" s="1" t="s">
        <v>54</v>
      </c>
      <c r="AJ518" s="1">
        <v>1</v>
      </c>
      <c r="AK518" s="1" t="str">
        <f t="shared" si="8"/>
        <v xml:space="preserve"> =&lt;90</v>
      </c>
      <c r="AL518" s="1" t="str">
        <f>VLOOKUP(C:C,[1]基础信息!B$1:D$65536,3,0)</f>
        <v>Jug</v>
      </c>
      <c r="AM518" s="1" t="str">
        <f>VLOOKUP(C:C,[1]基础信息!B$1:E$65536,4,0)</f>
        <v>Marella XL</v>
      </c>
      <c r="AN518" s="1" t="str">
        <f>VLOOKUP(C:C,[1]基础信息!B$1:F$65536,5,0)</f>
        <v>Black</v>
      </c>
    </row>
    <row r="519" spans="1:40">
      <c r="A519" s="1" t="s">
        <v>41</v>
      </c>
      <c r="B519" s="1" t="s">
        <v>42</v>
      </c>
      <c r="C519" s="1" t="s">
        <v>301</v>
      </c>
      <c r="D519" s="1" t="s">
        <v>302</v>
      </c>
      <c r="E519" s="1" t="s">
        <v>45</v>
      </c>
      <c r="F519" s="1" t="s">
        <v>303</v>
      </c>
      <c r="G519" s="1" t="s">
        <v>1320</v>
      </c>
      <c r="H519" s="1" t="s">
        <v>45</v>
      </c>
      <c r="I519" s="1" t="s">
        <v>45</v>
      </c>
      <c r="J519" s="1" t="s">
        <v>48</v>
      </c>
      <c r="K519" s="1">
        <v>96</v>
      </c>
      <c r="L519" s="1">
        <v>0</v>
      </c>
      <c r="M519" s="1">
        <v>0</v>
      </c>
      <c r="N519" s="1">
        <v>96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 t="s">
        <v>49</v>
      </c>
      <c r="AA519" s="1" t="s">
        <v>49</v>
      </c>
      <c r="AB519" s="1" t="s">
        <v>49</v>
      </c>
      <c r="AC519" s="1" t="s">
        <v>305</v>
      </c>
      <c r="AD519" s="1" t="s">
        <v>306</v>
      </c>
      <c r="AE519" s="1" t="s">
        <v>305</v>
      </c>
      <c r="AF519" s="1" t="s">
        <v>307</v>
      </c>
      <c r="AG519" s="1" t="s">
        <v>53</v>
      </c>
      <c r="AH519" s="1" t="s">
        <v>49</v>
      </c>
      <c r="AI519" s="1" t="s">
        <v>54</v>
      </c>
      <c r="AJ519" s="1">
        <v>1</v>
      </c>
      <c r="AK519" s="1" t="str">
        <f t="shared" si="8"/>
        <v xml:space="preserve"> =&lt;90</v>
      </c>
      <c r="AL519" s="1" t="str">
        <f>VLOOKUP(C:C,[1]基础信息!B$1:D$65536,3,0)</f>
        <v>Jug</v>
      </c>
      <c r="AM519" s="1" t="str">
        <f>VLOOKUP(C:C,[1]基础信息!B$1:E$65536,4,0)</f>
        <v>Aluna</v>
      </c>
      <c r="AN519" s="1" t="str">
        <f>VLOOKUP(C:C,[1]基础信息!B$1:F$65536,5,0)</f>
        <v>Blue</v>
      </c>
    </row>
    <row r="520" spans="1:40">
      <c r="A520" s="1" t="s">
        <v>41</v>
      </c>
      <c r="B520" s="1" t="s">
        <v>42</v>
      </c>
      <c r="C520" s="1" t="s">
        <v>56</v>
      </c>
      <c r="D520" s="1" t="s">
        <v>57</v>
      </c>
      <c r="E520" s="1" t="s">
        <v>45</v>
      </c>
      <c r="F520" s="1" t="s">
        <v>58</v>
      </c>
      <c r="G520" s="1" t="s">
        <v>1321</v>
      </c>
      <c r="H520" s="1" t="s">
        <v>1322</v>
      </c>
      <c r="I520" s="1" t="s">
        <v>49</v>
      </c>
      <c r="J520" s="1" t="s">
        <v>48</v>
      </c>
      <c r="K520" s="1">
        <v>72</v>
      </c>
      <c r="L520" s="1">
        <v>0</v>
      </c>
      <c r="M520" s="1">
        <v>0</v>
      </c>
      <c r="N520" s="1">
        <v>72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 t="s">
        <v>49</v>
      </c>
      <c r="AA520" s="1" t="s">
        <v>49</v>
      </c>
      <c r="AB520" s="1" t="s">
        <v>49</v>
      </c>
      <c r="AC520" s="1" t="s">
        <v>61</v>
      </c>
      <c r="AD520" s="1" t="s">
        <v>62</v>
      </c>
      <c r="AE520" s="1" t="s">
        <v>61</v>
      </c>
      <c r="AF520" s="1" t="s">
        <v>63</v>
      </c>
      <c r="AG520" s="1" t="s">
        <v>53</v>
      </c>
      <c r="AH520" s="1" t="s">
        <v>49</v>
      </c>
      <c r="AI520" s="1" t="s">
        <v>54</v>
      </c>
      <c r="AJ520" s="1">
        <v>1</v>
      </c>
      <c r="AK520" s="1" t="str">
        <f t="shared" si="8"/>
        <v xml:space="preserve"> =&lt;90</v>
      </c>
      <c r="AL520" s="1" t="str">
        <f>VLOOKUP(C:C,[1]基础信息!B$1:D$65536,3,0)</f>
        <v>Jug</v>
      </c>
      <c r="AM520" s="1" t="str">
        <f>VLOOKUP(C:C,[1]基础信息!B$1:E$65536,4,0)</f>
        <v>Marella XL</v>
      </c>
      <c r="AN520" s="1" t="str">
        <f>VLOOKUP(C:C,[1]基础信息!B$1:F$65536,5,0)</f>
        <v>Blue</v>
      </c>
    </row>
    <row r="521" spans="1:40">
      <c r="A521" s="1" t="s">
        <v>41</v>
      </c>
      <c r="B521" s="1" t="s">
        <v>42</v>
      </c>
      <c r="C521" s="1" t="s">
        <v>359</v>
      </c>
      <c r="D521" s="1" t="s">
        <v>360</v>
      </c>
      <c r="E521" s="1" t="s">
        <v>45</v>
      </c>
      <c r="F521" s="1" t="s">
        <v>1287</v>
      </c>
      <c r="G521" s="1" t="s">
        <v>1323</v>
      </c>
      <c r="H521" s="1" t="s">
        <v>1324</v>
      </c>
      <c r="I521" s="1" t="s">
        <v>49</v>
      </c>
      <c r="J521" s="1" t="s">
        <v>48</v>
      </c>
      <c r="K521" s="1">
        <v>95</v>
      </c>
      <c r="L521" s="1">
        <v>0</v>
      </c>
      <c r="M521" s="1">
        <v>0</v>
      </c>
      <c r="N521" s="1">
        <v>95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 t="s">
        <v>49</v>
      </c>
      <c r="AA521" s="1" t="s">
        <v>49</v>
      </c>
      <c r="AB521" s="1" t="s">
        <v>49</v>
      </c>
      <c r="AC521" s="1" t="s">
        <v>414</v>
      </c>
      <c r="AD521" s="1" t="s">
        <v>415</v>
      </c>
      <c r="AE521" s="1" t="s">
        <v>416</v>
      </c>
      <c r="AF521" s="1" t="s">
        <v>1256</v>
      </c>
      <c r="AG521" s="1" t="s">
        <v>53</v>
      </c>
      <c r="AH521" s="1" t="s">
        <v>49</v>
      </c>
      <c r="AI521" s="1" t="s">
        <v>54</v>
      </c>
      <c r="AJ521" s="1">
        <v>1</v>
      </c>
      <c r="AK521" s="1" t="str">
        <f t="shared" si="8"/>
        <v xml:space="preserve"> =&lt;90</v>
      </c>
      <c r="AL521" s="1" t="e">
        <f>VLOOKUP(C:C,[1]基础信息!B$1:D$65536,3,0)</f>
        <v>#N/A</v>
      </c>
      <c r="AM521" s="1" t="e">
        <f>VLOOKUP(C:C,[1]基础信息!B$1:E$65536,4,0)</f>
        <v>#N/A</v>
      </c>
      <c r="AN521" s="1" t="e">
        <f>VLOOKUP(C:C,[1]基础信息!B$1:F$65536,5,0)</f>
        <v>#N/A</v>
      </c>
    </row>
    <row r="522" spans="1:40">
      <c r="A522" s="1" t="s">
        <v>41</v>
      </c>
      <c r="B522" s="1" t="s">
        <v>42</v>
      </c>
      <c r="C522" s="1" t="s">
        <v>359</v>
      </c>
      <c r="D522" s="1" t="s">
        <v>360</v>
      </c>
      <c r="E522" s="1" t="s">
        <v>45</v>
      </c>
      <c r="F522" s="1" t="s">
        <v>1287</v>
      </c>
      <c r="G522" s="1" t="s">
        <v>1325</v>
      </c>
      <c r="H522" s="1" t="s">
        <v>1326</v>
      </c>
      <c r="I522" s="1" t="s">
        <v>49</v>
      </c>
      <c r="J522" s="1" t="s">
        <v>48</v>
      </c>
      <c r="K522" s="1">
        <v>95</v>
      </c>
      <c r="L522" s="1">
        <v>0</v>
      </c>
      <c r="M522" s="1">
        <v>0</v>
      </c>
      <c r="N522" s="1">
        <v>95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 t="s">
        <v>49</v>
      </c>
      <c r="AA522" s="1" t="s">
        <v>49</v>
      </c>
      <c r="AB522" s="1" t="s">
        <v>49</v>
      </c>
      <c r="AC522" s="1" t="s">
        <v>414</v>
      </c>
      <c r="AD522" s="1" t="s">
        <v>415</v>
      </c>
      <c r="AE522" s="1" t="s">
        <v>416</v>
      </c>
      <c r="AF522" s="1" t="s">
        <v>1256</v>
      </c>
      <c r="AG522" s="1" t="s">
        <v>53</v>
      </c>
      <c r="AH522" s="1" t="s">
        <v>49</v>
      </c>
      <c r="AI522" s="1" t="s">
        <v>54</v>
      </c>
      <c r="AJ522" s="1">
        <v>1</v>
      </c>
      <c r="AK522" s="1" t="str">
        <f t="shared" si="8"/>
        <v xml:space="preserve"> =&lt;90</v>
      </c>
      <c r="AL522" s="1" t="e">
        <f>VLOOKUP(C:C,[1]基础信息!B$1:D$65536,3,0)</f>
        <v>#N/A</v>
      </c>
      <c r="AM522" s="1" t="e">
        <f>VLOOKUP(C:C,[1]基础信息!B$1:E$65536,4,0)</f>
        <v>#N/A</v>
      </c>
      <c r="AN522" s="1" t="e">
        <f>VLOOKUP(C:C,[1]基础信息!B$1:F$65536,5,0)</f>
        <v>#N/A</v>
      </c>
    </row>
    <row r="523" spans="1:40">
      <c r="A523" s="1" t="s">
        <v>41</v>
      </c>
      <c r="B523" s="1" t="s">
        <v>42</v>
      </c>
      <c r="C523" s="1" t="s">
        <v>208</v>
      </c>
      <c r="D523" s="1" t="s">
        <v>209</v>
      </c>
      <c r="E523" s="1" t="s">
        <v>208</v>
      </c>
      <c r="F523" s="1" t="s">
        <v>1327</v>
      </c>
      <c r="G523" s="1" t="s">
        <v>1328</v>
      </c>
      <c r="H523" s="1" t="s">
        <v>1329</v>
      </c>
      <c r="I523" s="1" t="s">
        <v>49</v>
      </c>
      <c r="J523" s="1" t="s">
        <v>48</v>
      </c>
      <c r="K523" s="1">
        <v>80</v>
      </c>
      <c r="L523" s="1">
        <v>0</v>
      </c>
      <c r="M523" s="1">
        <v>0</v>
      </c>
      <c r="N523" s="1">
        <v>80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 t="s">
        <v>49</v>
      </c>
      <c r="AA523" s="1" t="s">
        <v>49</v>
      </c>
      <c r="AB523" s="1" t="s">
        <v>49</v>
      </c>
      <c r="AC523" s="1" t="s">
        <v>1330</v>
      </c>
      <c r="AD523" s="1" t="s">
        <v>1331</v>
      </c>
      <c r="AE523" s="1" t="s">
        <v>1330</v>
      </c>
      <c r="AF523" s="1" t="s">
        <v>1332</v>
      </c>
      <c r="AG523" s="1" t="s">
        <v>53</v>
      </c>
      <c r="AH523" s="1" t="s">
        <v>49</v>
      </c>
      <c r="AI523" s="1" t="s">
        <v>54</v>
      </c>
      <c r="AJ523" s="1">
        <v>1</v>
      </c>
      <c r="AK523" s="1" t="str">
        <f t="shared" si="8"/>
        <v xml:space="preserve"> =&lt;90</v>
      </c>
      <c r="AL523" s="1" t="str">
        <f>VLOOKUP(C:C,[1]基础信息!B$1:D$65536,3,0)</f>
        <v>Jug</v>
      </c>
      <c r="AM523" s="1" t="str">
        <f>VLOOKUP(C:C,[1]基础信息!B$1:E$65536,4,0)</f>
        <v>MXpl</v>
      </c>
      <c r="AN523" s="1" t="str">
        <f>VLOOKUP(C:C,[1]基础信息!B$1:F$65536,5,0)</f>
        <v>grey</v>
      </c>
    </row>
    <row r="524" spans="1:40">
      <c r="A524" s="1" t="s">
        <v>41</v>
      </c>
      <c r="B524" s="1" t="s">
        <v>42</v>
      </c>
      <c r="C524" s="1" t="s">
        <v>208</v>
      </c>
      <c r="D524" s="1" t="s">
        <v>209</v>
      </c>
      <c r="E524" s="1" t="s">
        <v>208</v>
      </c>
      <c r="F524" s="1" t="s">
        <v>1327</v>
      </c>
      <c r="G524" s="1" t="s">
        <v>1333</v>
      </c>
      <c r="H524" s="1" t="s">
        <v>1334</v>
      </c>
      <c r="I524" s="1" t="s">
        <v>49</v>
      </c>
      <c r="J524" s="1" t="s">
        <v>48</v>
      </c>
      <c r="K524" s="1">
        <v>80</v>
      </c>
      <c r="L524" s="1">
        <v>0</v>
      </c>
      <c r="M524" s="1">
        <v>0</v>
      </c>
      <c r="N524" s="1">
        <v>80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 t="s">
        <v>49</v>
      </c>
      <c r="AA524" s="1" t="s">
        <v>49</v>
      </c>
      <c r="AB524" s="1" t="s">
        <v>49</v>
      </c>
      <c r="AC524" s="1" t="s">
        <v>1330</v>
      </c>
      <c r="AD524" s="1" t="s">
        <v>1331</v>
      </c>
      <c r="AE524" s="1" t="s">
        <v>1330</v>
      </c>
      <c r="AF524" s="1" t="s">
        <v>1332</v>
      </c>
      <c r="AG524" s="1" t="s">
        <v>53</v>
      </c>
      <c r="AH524" s="1" t="s">
        <v>49</v>
      </c>
      <c r="AI524" s="1" t="s">
        <v>54</v>
      </c>
      <c r="AJ524" s="1">
        <v>1</v>
      </c>
      <c r="AK524" s="1" t="str">
        <f t="shared" si="8"/>
        <v xml:space="preserve"> =&lt;90</v>
      </c>
      <c r="AL524" s="1" t="str">
        <f>VLOOKUP(C:C,[1]基础信息!B$1:D$65536,3,0)</f>
        <v>Jug</v>
      </c>
      <c r="AM524" s="1" t="str">
        <f>VLOOKUP(C:C,[1]基础信息!B$1:E$65536,4,0)</f>
        <v>MXpl</v>
      </c>
      <c r="AN524" s="1" t="str">
        <f>VLOOKUP(C:C,[1]基础信息!B$1:F$65536,5,0)</f>
        <v>grey</v>
      </c>
    </row>
    <row r="525" spans="1:40">
      <c r="A525" s="1" t="s">
        <v>41</v>
      </c>
      <c r="B525" s="1" t="s">
        <v>42</v>
      </c>
      <c r="C525" s="1" t="s">
        <v>208</v>
      </c>
      <c r="D525" s="1" t="s">
        <v>209</v>
      </c>
      <c r="E525" s="1" t="s">
        <v>208</v>
      </c>
      <c r="F525" s="1" t="s">
        <v>1327</v>
      </c>
      <c r="G525" s="1" t="s">
        <v>1335</v>
      </c>
      <c r="H525" s="1" t="s">
        <v>1336</v>
      </c>
      <c r="I525" s="1" t="s">
        <v>49</v>
      </c>
      <c r="J525" s="1" t="s">
        <v>48</v>
      </c>
      <c r="K525" s="1">
        <v>80</v>
      </c>
      <c r="L525" s="1">
        <v>0</v>
      </c>
      <c r="M525" s="1">
        <v>0</v>
      </c>
      <c r="N525" s="1">
        <v>80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 t="s">
        <v>49</v>
      </c>
      <c r="AA525" s="1" t="s">
        <v>49</v>
      </c>
      <c r="AB525" s="1" t="s">
        <v>49</v>
      </c>
      <c r="AC525" s="1" t="s">
        <v>1330</v>
      </c>
      <c r="AD525" s="1" t="s">
        <v>1331</v>
      </c>
      <c r="AE525" s="1" t="s">
        <v>1330</v>
      </c>
      <c r="AF525" s="1" t="s">
        <v>1332</v>
      </c>
      <c r="AG525" s="1" t="s">
        <v>53</v>
      </c>
      <c r="AH525" s="1" t="s">
        <v>49</v>
      </c>
      <c r="AI525" s="1" t="s">
        <v>54</v>
      </c>
      <c r="AJ525" s="1">
        <v>1</v>
      </c>
      <c r="AK525" s="1" t="str">
        <f t="shared" si="8"/>
        <v xml:space="preserve"> =&lt;90</v>
      </c>
      <c r="AL525" s="1" t="str">
        <f>VLOOKUP(C:C,[1]基础信息!B$1:D$65536,3,0)</f>
        <v>Jug</v>
      </c>
      <c r="AM525" s="1" t="str">
        <f>VLOOKUP(C:C,[1]基础信息!B$1:E$65536,4,0)</f>
        <v>MXpl</v>
      </c>
      <c r="AN525" s="1" t="str">
        <f>VLOOKUP(C:C,[1]基础信息!B$1:F$65536,5,0)</f>
        <v>grey</v>
      </c>
    </row>
    <row r="526" spans="1:40">
      <c r="A526" s="1" t="s">
        <v>41</v>
      </c>
      <c r="B526" s="1" t="s">
        <v>42</v>
      </c>
      <c r="C526" s="1" t="s">
        <v>208</v>
      </c>
      <c r="D526" s="1" t="s">
        <v>209</v>
      </c>
      <c r="E526" s="1" t="s">
        <v>208</v>
      </c>
      <c r="F526" s="1" t="s">
        <v>1327</v>
      </c>
      <c r="G526" s="1" t="s">
        <v>1337</v>
      </c>
      <c r="H526" s="1" t="s">
        <v>1338</v>
      </c>
      <c r="I526" s="1" t="s">
        <v>49</v>
      </c>
      <c r="J526" s="1" t="s">
        <v>48</v>
      </c>
      <c r="K526" s="1">
        <v>32</v>
      </c>
      <c r="L526" s="1">
        <v>0</v>
      </c>
      <c r="M526" s="1">
        <v>0</v>
      </c>
      <c r="N526" s="1">
        <v>32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 t="s">
        <v>49</v>
      </c>
      <c r="AA526" s="1" t="s">
        <v>49</v>
      </c>
      <c r="AB526" s="1" t="s">
        <v>49</v>
      </c>
      <c r="AC526" s="1" t="s">
        <v>1330</v>
      </c>
      <c r="AD526" s="1" t="s">
        <v>1331</v>
      </c>
      <c r="AE526" s="1" t="s">
        <v>1330</v>
      </c>
      <c r="AF526" s="1" t="s">
        <v>1332</v>
      </c>
      <c r="AG526" s="1" t="s">
        <v>53</v>
      </c>
      <c r="AH526" s="1" t="s">
        <v>49</v>
      </c>
      <c r="AI526" s="1" t="s">
        <v>54</v>
      </c>
      <c r="AJ526" s="1">
        <v>1</v>
      </c>
      <c r="AK526" s="1" t="str">
        <f t="shared" si="8"/>
        <v xml:space="preserve"> =&lt;90</v>
      </c>
      <c r="AL526" s="1" t="str">
        <f>VLOOKUP(C:C,[1]基础信息!B$1:D$65536,3,0)</f>
        <v>Jug</v>
      </c>
      <c r="AM526" s="1" t="str">
        <f>VLOOKUP(C:C,[1]基础信息!B$1:E$65536,4,0)</f>
        <v>MXpl</v>
      </c>
      <c r="AN526" s="1" t="str">
        <f>VLOOKUP(C:C,[1]基础信息!B$1:F$65536,5,0)</f>
        <v>grey</v>
      </c>
    </row>
    <row r="527" spans="1:40">
      <c r="A527" s="1" t="s">
        <v>41</v>
      </c>
      <c r="B527" s="1" t="s">
        <v>42</v>
      </c>
      <c r="C527" s="1" t="s">
        <v>341</v>
      </c>
      <c r="D527" s="1" t="s">
        <v>342</v>
      </c>
      <c r="E527" s="1" t="s">
        <v>45</v>
      </c>
      <c r="F527" s="1" t="s">
        <v>343</v>
      </c>
      <c r="G527" s="1" t="s">
        <v>1339</v>
      </c>
      <c r="H527" s="1" t="s">
        <v>1340</v>
      </c>
      <c r="I527" s="1" t="s">
        <v>49</v>
      </c>
      <c r="J527" s="1" t="s">
        <v>48</v>
      </c>
      <c r="K527" s="1">
        <v>70</v>
      </c>
      <c r="L527" s="1">
        <v>0</v>
      </c>
      <c r="M527" s="1">
        <v>0</v>
      </c>
      <c r="N527" s="1">
        <v>70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 t="s">
        <v>49</v>
      </c>
      <c r="AA527" s="1" t="s">
        <v>49</v>
      </c>
      <c r="AB527" s="1" t="s">
        <v>49</v>
      </c>
      <c r="AC527" s="1" t="s">
        <v>346</v>
      </c>
      <c r="AD527" s="1" t="s">
        <v>347</v>
      </c>
      <c r="AE527" s="1" t="s">
        <v>346</v>
      </c>
      <c r="AF527" s="1" t="s">
        <v>348</v>
      </c>
      <c r="AG527" s="1" t="s">
        <v>338</v>
      </c>
      <c r="AH527" s="1" t="s">
        <v>49</v>
      </c>
      <c r="AI527" s="1" t="s">
        <v>54</v>
      </c>
      <c r="AJ527" s="1">
        <v>1</v>
      </c>
      <c r="AK527" s="1" t="str">
        <f t="shared" si="8"/>
        <v xml:space="preserve"> =&lt;90</v>
      </c>
      <c r="AL527" s="1" t="str">
        <f>VLOOKUP(C:C,[1]基础信息!B$1:D$65536,3,0)</f>
        <v>Jug</v>
      </c>
      <c r="AM527" s="1" t="str">
        <f>VLOOKUP(C:C,[1]基础信息!B$1:E$65536,4,0)</f>
        <v>Marella</v>
      </c>
      <c r="AN527" s="1" t="str">
        <f>VLOOKUP(C:C,[1]基础信息!B$1:F$65536,5,0)</f>
        <v>Blue Glitter</v>
      </c>
    </row>
    <row r="528" spans="1:40">
      <c r="A528" s="1" t="s">
        <v>41</v>
      </c>
      <c r="B528" s="1" t="s">
        <v>42</v>
      </c>
      <c r="C528" s="1" t="s">
        <v>301</v>
      </c>
      <c r="D528" s="1" t="s">
        <v>302</v>
      </c>
      <c r="E528" s="1" t="s">
        <v>45</v>
      </c>
      <c r="F528" s="1" t="s">
        <v>303</v>
      </c>
      <c r="G528" s="1" t="s">
        <v>1341</v>
      </c>
      <c r="H528" s="1" t="s">
        <v>45</v>
      </c>
      <c r="I528" s="1" t="s">
        <v>45</v>
      </c>
      <c r="J528" s="1" t="s">
        <v>48</v>
      </c>
      <c r="K528" s="1">
        <v>96</v>
      </c>
      <c r="L528" s="1">
        <v>0</v>
      </c>
      <c r="M528" s="1">
        <v>0</v>
      </c>
      <c r="N528" s="1">
        <v>96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 t="s">
        <v>49</v>
      </c>
      <c r="AA528" s="1" t="s">
        <v>49</v>
      </c>
      <c r="AB528" s="1" t="s">
        <v>49</v>
      </c>
      <c r="AC528" s="1" t="s">
        <v>305</v>
      </c>
      <c r="AD528" s="1" t="s">
        <v>306</v>
      </c>
      <c r="AE528" s="1" t="s">
        <v>305</v>
      </c>
      <c r="AF528" s="1" t="s">
        <v>307</v>
      </c>
      <c r="AG528" s="1" t="s">
        <v>53</v>
      </c>
      <c r="AH528" s="1" t="s">
        <v>49</v>
      </c>
      <c r="AI528" s="1" t="s">
        <v>54</v>
      </c>
      <c r="AJ528" s="1">
        <v>1</v>
      </c>
      <c r="AK528" s="1" t="str">
        <f t="shared" si="8"/>
        <v xml:space="preserve"> =&lt;90</v>
      </c>
      <c r="AL528" s="1" t="str">
        <f>VLOOKUP(C:C,[1]基础信息!B$1:D$65536,3,0)</f>
        <v>Jug</v>
      </c>
      <c r="AM528" s="1" t="str">
        <f>VLOOKUP(C:C,[1]基础信息!B$1:E$65536,4,0)</f>
        <v>Aluna</v>
      </c>
      <c r="AN528" s="1" t="str">
        <f>VLOOKUP(C:C,[1]基础信息!B$1:F$65536,5,0)</f>
        <v>Blue</v>
      </c>
    </row>
    <row r="529" spans="1:40">
      <c r="A529" s="1" t="s">
        <v>41</v>
      </c>
      <c r="B529" s="1" t="s">
        <v>42</v>
      </c>
      <c r="C529" s="1" t="s">
        <v>43</v>
      </c>
      <c r="D529" s="1" t="s">
        <v>44</v>
      </c>
      <c r="E529" s="1" t="s">
        <v>45</v>
      </c>
      <c r="F529" s="1" t="s">
        <v>46</v>
      </c>
      <c r="G529" s="1" t="s">
        <v>1342</v>
      </c>
      <c r="H529" s="1" t="s">
        <v>1343</v>
      </c>
      <c r="I529" s="1" t="s">
        <v>49</v>
      </c>
      <c r="J529" s="1" t="s">
        <v>48</v>
      </c>
      <c r="K529" s="1">
        <v>96</v>
      </c>
      <c r="L529" s="1">
        <v>0</v>
      </c>
      <c r="M529" s="1">
        <v>0</v>
      </c>
      <c r="N529" s="1">
        <v>96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 t="s">
        <v>49</v>
      </c>
      <c r="AA529" s="1" t="s">
        <v>49</v>
      </c>
      <c r="AB529" s="1" t="s">
        <v>49</v>
      </c>
      <c r="AC529" s="1" t="s">
        <v>50</v>
      </c>
      <c r="AD529" s="1" t="s">
        <v>51</v>
      </c>
      <c r="AE529" s="1" t="s">
        <v>50</v>
      </c>
      <c r="AF529" s="1" t="s">
        <v>52</v>
      </c>
      <c r="AG529" s="1" t="s">
        <v>53</v>
      </c>
      <c r="AH529" s="1" t="s">
        <v>49</v>
      </c>
      <c r="AI529" s="1" t="s">
        <v>54</v>
      </c>
      <c r="AJ529" s="1">
        <v>1</v>
      </c>
      <c r="AK529" s="1" t="str">
        <f t="shared" si="8"/>
        <v xml:space="preserve"> =&lt;90</v>
      </c>
      <c r="AL529" s="1" t="str">
        <f>VLOOKUP(C:C,[1]基础信息!B$1:D$65536,3,0)</f>
        <v>Jug</v>
      </c>
      <c r="AM529" s="1" t="str">
        <f>VLOOKUP(C:C,[1]基础信息!B$1:E$65536,4,0)</f>
        <v>Marella XL</v>
      </c>
      <c r="AN529" s="1" t="str">
        <f>VLOOKUP(C:C,[1]基础信息!B$1:F$65536,5,0)</f>
        <v>Black</v>
      </c>
    </row>
    <row r="530" spans="1:40">
      <c r="A530" s="1" t="s">
        <v>41</v>
      </c>
      <c r="B530" s="1" t="s">
        <v>42</v>
      </c>
      <c r="C530" s="1" t="s">
        <v>43</v>
      </c>
      <c r="D530" s="1" t="s">
        <v>44</v>
      </c>
      <c r="E530" s="1" t="s">
        <v>45</v>
      </c>
      <c r="F530" s="1" t="s">
        <v>46</v>
      </c>
      <c r="G530" s="1" t="s">
        <v>1344</v>
      </c>
      <c r="H530" s="1" t="s">
        <v>1345</v>
      </c>
      <c r="I530" s="1" t="s">
        <v>49</v>
      </c>
      <c r="J530" s="1" t="s">
        <v>48</v>
      </c>
      <c r="K530" s="1">
        <v>96</v>
      </c>
      <c r="L530" s="1">
        <v>0</v>
      </c>
      <c r="M530" s="1">
        <v>0</v>
      </c>
      <c r="N530" s="1">
        <v>96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 t="s">
        <v>49</v>
      </c>
      <c r="AA530" s="1" t="s">
        <v>49</v>
      </c>
      <c r="AB530" s="1" t="s">
        <v>49</v>
      </c>
      <c r="AC530" s="1" t="s">
        <v>50</v>
      </c>
      <c r="AD530" s="1" t="s">
        <v>51</v>
      </c>
      <c r="AE530" s="1" t="s">
        <v>50</v>
      </c>
      <c r="AF530" s="1" t="s">
        <v>52</v>
      </c>
      <c r="AG530" s="1" t="s">
        <v>53</v>
      </c>
      <c r="AH530" s="1" t="s">
        <v>49</v>
      </c>
      <c r="AI530" s="1" t="s">
        <v>54</v>
      </c>
      <c r="AJ530" s="1">
        <v>1</v>
      </c>
      <c r="AK530" s="1" t="str">
        <f t="shared" si="8"/>
        <v xml:space="preserve"> =&lt;90</v>
      </c>
      <c r="AL530" s="1" t="str">
        <f>VLOOKUP(C:C,[1]基础信息!B$1:D$65536,3,0)</f>
        <v>Jug</v>
      </c>
      <c r="AM530" s="1" t="str">
        <f>VLOOKUP(C:C,[1]基础信息!B$1:E$65536,4,0)</f>
        <v>Marella XL</v>
      </c>
      <c r="AN530" s="1" t="str">
        <f>VLOOKUP(C:C,[1]基础信息!B$1:F$65536,5,0)</f>
        <v>Black</v>
      </c>
    </row>
    <row r="531" spans="1:40">
      <c r="A531" s="1" t="s">
        <v>41</v>
      </c>
      <c r="B531" s="1" t="s">
        <v>42</v>
      </c>
      <c r="C531" s="1" t="s">
        <v>43</v>
      </c>
      <c r="D531" s="1" t="s">
        <v>44</v>
      </c>
      <c r="E531" s="1" t="s">
        <v>45</v>
      </c>
      <c r="F531" s="1" t="s">
        <v>46</v>
      </c>
      <c r="G531" s="1" t="s">
        <v>1346</v>
      </c>
      <c r="H531" s="1" t="s">
        <v>1347</v>
      </c>
      <c r="I531" s="1" t="s">
        <v>49</v>
      </c>
      <c r="J531" s="1" t="s">
        <v>48</v>
      </c>
      <c r="K531" s="1">
        <v>96</v>
      </c>
      <c r="L531" s="1">
        <v>0</v>
      </c>
      <c r="M531" s="1">
        <v>0</v>
      </c>
      <c r="N531" s="1">
        <v>96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 t="s">
        <v>49</v>
      </c>
      <c r="AA531" s="1" t="s">
        <v>49</v>
      </c>
      <c r="AB531" s="1" t="s">
        <v>49</v>
      </c>
      <c r="AC531" s="1" t="s">
        <v>50</v>
      </c>
      <c r="AD531" s="1" t="s">
        <v>51</v>
      </c>
      <c r="AE531" s="1" t="s">
        <v>50</v>
      </c>
      <c r="AF531" s="1" t="s">
        <v>52</v>
      </c>
      <c r="AG531" s="1" t="s">
        <v>53</v>
      </c>
      <c r="AH531" s="1" t="s">
        <v>49</v>
      </c>
      <c r="AI531" s="1" t="s">
        <v>54</v>
      </c>
      <c r="AJ531" s="1">
        <v>1</v>
      </c>
      <c r="AK531" s="1" t="str">
        <f t="shared" si="8"/>
        <v xml:space="preserve"> =&lt;90</v>
      </c>
      <c r="AL531" s="1" t="str">
        <f>VLOOKUP(C:C,[1]基础信息!B$1:D$65536,3,0)</f>
        <v>Jug</v>
      </c>
      <c r="AM531" s="1" t="str">
        <f>VLOOKUP(C:C,[1]基础信息!B$1:E$65536,4,0)</f>
        <v>Marella XL</v>
      </c>
      <c r="AN531" s="1" t="str">
        <f>VLOOKUP(C:C,[1]基础信息!B$1:F$65536,5,0)</f>
        <v>Black</v>
      </c>
    </row>
    <row r="532" spans="1:40">
      <c r="A532" s="1" t="s">
        <v>41</v>
      </c>
      <c r="B532" s="1" t="s">
        <v>42</v>
      </c>
      <c r="C532" s="1" t="s">
        <v>43</v>
      </c>
      <c r="D532" s="1" t="s">
        <v>44</v>
      </c>
      <c r="E532" s="1" t="s">
        <v>45</v>
      </c>
      <c r="F532" s="1" t="s">
        <v>46</v>
      </c>
      <c r="G532" s="1" t="s">
        <v>1348</v>
      </c>
      <c r="H532" s="1" t="s">
        <v>1349</v>
      </c>
      <c r="I532" s="1" t="s">
        <v>49</v>
      </c>
      <c r="J532" s="1" t="s">
        <v>48</v>
      </c>
      <c r="K532" s="1">
        <v>96</v>
      </c>
      <c r="L532" s="1">
        <v>0</v>
      </c>
      <c r="M532" s="1">
        <v>0</v>
      </c>
      <c r="N532" s="1">
        <v>96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 t="s">
        <v>49</v>
      </c>
      <c r="AA532" s="1" t="s">
        <v>49</v>
      </c>
      <c r="AB532" s="1" t="s">
        <v>49</v>
      </c>
      <c r="AC532" s="1" t="s">
        <v>50</v>
      </c>
      <c r="AD532" s="1" t="s">
        <v>51</v>
      </c>
      <c r="AE532" s="1" t="s">
        <v>50</v>
      </c>
      <c r="AF532" s="1" t="s">
        <v>52</v>
      </c>
      <c r="AG532" s="1" t="s">
        <v>53</v>
      </c>
      <c r="AH532" s="1" t="s">
        <v>49</v>
      </c>
      <c r="AI532" s="1" t="s">
        <v>54</v>
      </c>
      <c r="AJ532" s="1">
        <v>1</v>
      </c>
      <c r="AK532" s="1" t="str">
        <f t="shared" si="8"/>
        <v xml:space="preserve"> =&lt;90</v>
      </c>
      <c r="AL532" s="1" t="str">
        <f>VLOOKUP(C:C,[1]基础信息!B$1:D$65536,3,0)</f>
        <v>Jug</v>
      </c>
      <c r="AM532" s="1" t="str">
        <f>VLOOKUP(C:C,[1]基础信息!B$1:E$65536,4,0)</f>
        <v>Marella XL</v>
      </c>
      <c r="AN532" s="1" t="str">
        <f>VLOOKUP(C:C,[1]基础信息!B$1:F$65536,5,0)</f>
        <v>Black</v>
      </c>
    </row>
    <row r="533" spans="1:40">
      <c r="A533" s="1" t="s">
        <v>41</v>
      </c>
      <c r="B533" s="1" t="s">
        <v>42</v>
      </c>
      <c r="C533" s="1" t="s">
        <v>208</v>
      </c>
      <c r="D533" s="1" t="s">
        <v>209</v>
      </c>
      <c r="E533" s="1" t="s">
        <v>208</v>
      </c>
      <c r="F533" s="1" t="s">
        <v>373</v>
      </c>
      <c r="G533" s="1" t="s">
        <v>1350</v>
      </c>
      <c r="H533" s="1" t="s">
        <v>1351</v>
      </c>
      <c r="I533" s="1" t="s">
        <v>49</v>
      </c>
      <c r="J533" s="1" t="s">
        <v>48</v>
      </c>
      <c r="K533" s="1">
        <v>80</v>
      </c>
      <c r="L533" s="1">
        <v>0</v>
      </c>
      <c r="M533" s="1">
        <v>0</v>
      </c>
      <c r="N533" s="1">
        <v>80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 t="s">
        <v>49</v>
      </c>
      <c r="AA533" s="1" t="s">
        <v>49</v>
      </c>
      <c r="AB533" s="1" t="s">
        <v>49</v>
      </c>
      <c r="AC533" s="1" t="s">
        <v>376</v>
      </c>
      <c r="AD533" s="1" t="s">
        <v>377</v>
      </c>
      <c r="AE533" s="1" t="s">
        <v>376</v>
      </c>
      <c r="AF533" s="1" t="s">
        <v>378</v>
      </c>
      <c r="AG533" s="1" t="s">
        <v>53</v>
      </c>
      <c r="AH533" s="1" t="s">
        <v>49</v>
      </c>
      <c r="AI533" s="1" t="s">
        <v>54</v>
      </c>
      <c r="AJ533" s="1">
        <v>1</v>
      </c>
      <c r="AK533" s="1" t="str">
        <f t="shared" si="8"/>
        <v xml:space="preserve"> =&lt;90</v>
      </c>
      <c r="AL533" s="1" t="str">
        <f>VLOOKUP(C:C,[1]基础信息!B$1:D$65536,3,0)</f>
        <v>Jug</v>
      </c>
      <c r="AM533" s="1" t="str">
        <f>VLOOKUP(C:C,[1]基础信息!B$1:E$65536,4,0)</f>
        <v>MXpl</v>
      </c>
      <c r="AN533" s="1" t="str">
        <f>VLOOKUP(C:C,[1]基础信息!B$1:F$65536,5,0)</f>
        <v>grey</v>
      </c>
    </row>
    <row r="534" spans="1:40">
      <c r="A534" s="1" t="s">
        <v>41</v>
      </c>
      <c r="B534" s="1" t="s">
        <v>42</v>
      </c>
      <c r="C534" s="1" t="s">
        <v>208</v>
      </c>
      <c r="D534" s="1" t="s">
        <v>209</v>
      </c>
      <c r="E534" s="1" t="s">
        <v>208</v>
      </c>
      <c r="F534" s="1" t="s">
        <v>373</v>
      </c>
      <c r="G534" s="1" t="s">
        <v>1352</v>
      </c>
      <c r="H534" s="1" t="s">
        <v>1353</v>
      </c>
      <c r="I534" s="1" t="s">
        <v>49</v>
      </c>
      <c r="J534" s="1" t="s">
        <v>48</v>
      </c>
      <c r="K534" s="1">
        <v>80</v>
      </c>
      <c r="L534" s="1">
        <v>0</v>
      </c>
      <c r="M534" s="1">
        <v>0</v>
      </c>
      <c r="N534" s="1">
        <v>80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 t="s">
        <v>49</v>
      </c>
      <c r="AA534" s="1" t="s">
        <v>49</v>
      </c>
      <c r="AB534" s="1" t="s">
        <v>49</v>
      </c>
      <c r="AC534" s="1" t="s">
        <v>376</v>
      </c>
      <c r="AD534" s="1" t="s">
        <v>377</v>
      </c>
      <c r="AE534" s="1" t="s">
        <v>376</v>
      </c>
      <c r="AF534" s="1" t="s">
        <v>378</v>
      </c>
      <c r="AG534" s="1" t="s">
        <v>53</v>
      </c>
      <c r="AH534" s="1" t="s">
        <v>49</v>
      </c>
      <c r="AI534" s="1" t="s">
        <v>54</v>
      </c>
      <c r="AJ534" s="1">
        <v>1</v>
      </c>
      <c r="AK534" s="1" t="str">
        <f t="shared" si="8"/>
        <v xml:space="preserve"> =&lt;90</v>
      </c>
      <c r="AL534" s="1" t="str">
        <f>VLOOKUP(C:C,[1]基础信息!B$1:D$65536,3,0)</f>
        <v>Jug</v>
      </c>
      <c r="AM534" s="1" t="str">
        <f>VLOOKUP(C:C,[1]基础信息!B$1:E$65536,4,0)</f>
        <v>MXpl</v>
      </c>
      <c r="AN534" s="1" t="str">
        <f>VLOOKUP(C:C,[1]基础信息!B$1:F$65536,5,0)</f>
        <v>grey</v>
      </c>
    </row>
    <row r="535" spans="1:40">
      <c r="A535" s="1" t="s">
        <v>41</v>
      </c>
      <c r="B535" s="1" t="s">
        <v>42</v>
      </c>
      <c r="C535" s="1" t="s">
        <v>359</v>
      </c>
      <c r="D535" s="1" t="s">
        <v>360</v>
      </c>
      <c r="E535" s="1" t="s">
        <v>45</v>
      </c>
      <c r="F535" s="1" t="s">
        <v>1253</v>
      </c>
      <c r="G535" s="1" t="s">
        <v>1354</v>
      </c>
      <c r="H535" s="1" t="s">
        <v>1355</v>
      </c>
      <c r="I535" s="1" t="s">
        <v>49</v>
      </c>
      <c r="J535" s="1" t="s">
        <v>48</v>
      </c>
      <c r="K535" s="1">
        <v>95</v>
      </c>
      <c r="L535" s="1">
        <v>0</v>
      </c>
      <c r="M535" s="1">
        <v>0</v>
      </c>
      <c r="N535" s="1">
        <v>95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 t="s">
        <v>49</v>
      </c>
      <c r="AA535" s="1" t="s">
        <v>49</v>
      </c>
      <c r="AB535" s="1" t="s">
        <v>49</v>
      </c>
      <c r="AC535" s="1" t="s">
        <v>154</v>
      </c>
      <c r="AD535" s="1" t="s">
        <v>155</v>
      </c>
      <c r="AE535" s="1" t="s">
        <v>154</v>
      </c>
      <c r="AF535" s="1" t="s">
        <v>1256</v>
      </c>
      <c r="AG535" s="1" t="s">
        <v>53</v>
      </c>
      <c r="AH535" s="1" t="s">
        <v>49</v>
      </c>
      <c r="AI535" s="1" t="s">
        <v>54</v>
      </c>
      <c r="AJ535" s="1">
        <v>1</v>
      </c>
      <c r="AK535" s="1" t="str">
        <f t="shared" si="8"/>
        <v xml:space="preserve"> =&lt;90</v>
      </c>
      <c r="AL535" s="1" t="e">
        <f>VLOOKUP(C:C,[1]基础信息!B$1:D$65536,3,0)</f>
        <v>#N/A</v>
      </c>
      <c r="AM535" s="1" t="e">
        <f>VLOOKUP(C:C,[1]基础信息!B$1:E$65536,4,0)</f>
        <v>#N/A</v>
      </c>
      <c r="AN535" s="1" t="e">
        <f>VLOOKUP(C:C,[1]基础信息!B$1:F$65536,5,0)</f>
        <v>#N/A</v>
      </c>
    </row>
    <row r="536" spans="1:40">
      <c r="A536" s="1" t="s">
        <v>41</v>
      </c>
      <c r="B536" s="1" t="s">
        <v>42</v>
      </c>
      <c r="C536" s="1" t="s">
        <v>359</v>
      </c>
      <c r="D536" s="1" t="s">
        <v>360</v>
      </c>
      <c r="E536" s="1" t="s">
        <v>45</v>
      </c>
      <c r="F536" s="1" t="s">
        <v>1253</v>
      </c>
      <c r="G536" s="1" t="s">
        <v>1356</v>
      </c>
      <c r="H536" s="1" t="s">
        <v>1357</v>
      </c>
      <c r="I536" s="1" t="s">
        <v>49</v>
      </c>
      <c r="J536" s="1" t="s">
        <v>48</v>
      </c>
      <c r="K536" s="1">
        <v>95</v>
      </c>
      <c r="L536" s="1">
        <v>0</v>
      </c>
      <c r="M536" s="1">
        <v>0</v>
      </c>
      <c r="N536" s="1">
        <v>95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 t="s">
        <v>49</v>
      </c>
      <c r="AA536" s="1" t="s">
        <v>49</v>
      </c>
      <c r="AB536" s="1" t="s">
        <v>49</v>
      </c>
      <c r="AC536" s="1" t="s">
        <v>154</v>
      </c>
      <c r="AD536" s="1" t="s">
        <v>155</v>
      </c>
      <c r="AE536" s="1" t="s">
        <v>154</v>
      </c>
      <c r="AF536" s="1" t="s">
        <v>1256</v>
      </c>
      <c r="AG536" s="1" t="s">
        <v>53</v>
      </c>
      <c r="AH536" s="1" t="s">
        <v>49</v>
      </c>
      <c r="AI536" s="1" t="s">
        <v>54</v>
      </c>
      <c r="AJ536" s="1">
        <v>1</v>
      </c>
      <c r="AK536" s="1" t="str">
        <f t="shared" si="8"/>
        <v xml:space="preserve"> =&lt;90</v>
      </c>
      <c r="AL536" s="1" t="e">
        <f>VLOOKUP(C:C,[1]基础信息!B$1:D$65536,3,0)</f>
        <v>#N/A</v>
      </c>
      <c r="AM536" s="1" t="e">
        <f>VLOOKUP(C:C,[1]基础信息!B$1:E$65536,4,0)</f>
        <v>#N/A</v>
      </c>
      <c r="AN536" s="1" t="e">
        <f>VLOOKUP(C:C,[1]基础信息!B$1:F$65536,5,0)</f>
        <v>#N/A</v>
      </c>
    </row>
    <row r="537" spans="1:40">
      <c r="A537" s="1" t="s">
        <v>41</v>
      </c>
      <c r="B537" s="1" t="s">
        <v>42</v>
      </c>
      <c r="C537" s="1" t="s">
        <v>359</v>
      </c>
      <c r="D537" s="1" t="s">
        <v>360</v>
      </c>
      <c r="E537" s="1" t="s">
        <v>45</v>
      </c>
      <c r="F537" s="1" t="s">
        <v>1253</v>
      </c>
      <c r="G537" s="1" t="s">
        <v>1358</v>
      </c>
      <c r="H537" s="1" t="s">
        <v>1359</v>
      </c>
      <c r="I537" s="1" t="s">
        <v>49</v>
      </c>
      <c r="J537" s="1" t="s">
        <v>48</v>
      </c>
      <c r="K537" s="1">
        <v>95</v>
      </c>
      <c r="L537" s="1">
        <v>0</v>
      </c>
      <c r="M537" s="1">
        <v>0</v>
      </c>
      <c r="N537" s="1">
        <v>95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 t="s">
        <v>49</v>
      </c>
      <c r="AA537" s="1" t="s">
        <v>49</v>
      </c>
      <c r="AB537" s="1" t="s">
        <v>49</v>
      </c>
      <c r="AC537" s="1" t="s">
        <v>154</v>
      </c>
      <c r="AD537" s="1" t="s">
        <v>155</v>
      </c>
      <c r="AE537" s="1" t="s">
        <v>154</v>
      </c>
      <c r="AF537" s="1" t="s">
        <v>1256</v>
      </c>
      <c r="AG537" s="1" t="s">
        <v>53</v>
      </c>
      <c r="AH537" s="1" t="s">
        <v>49</v>
      </c>
      <c r="AI537" s="1" t="s">
        <v>54</v>
      </c>
      <c r="AJ537" s="1">
        <v>1</v>
      </c>
      <c r="AK537" s="1" t="str">
        <f t="shared" si="8"/>
        <v xml:space="preserve"> =&lt;90</v>
      </c>
      <c r="AL537" s="1" t="e">
        <f>VLOOKUP(C:C,[1]基础信息!B$1:D$65536,3,0)</f>
        <v>#N/A</v>
      </c>
      <c r="AM537" s="1" t="e">
        <f>VLOOKUP(C:C,[1]基础信息!B$1:E$65536,4,0)</f>
        <v>#N/A</v>
      </c>
      <c r="AN537" s="1" t="e">
        <f>VLOOKUP(C:C,[1]基础信息!B$1:F$65536,5,0)</f>
        <v>#N/A</v>
      </c>
    </row>
    <row r="538" spans="1:40">
      <c r="A538" s="1" t="s">
        <v>41</v>
      </c>
      <c r="B538" s="1" t="s">
        <v>42</v>
      </c>
      <c r="C538" s="1" t="s">
        <v>83</v>
      </c>
      <c r="D538" s="1" t="s">
        <v>84</v>
      </c>
      <c r="E538" s="1" t="s">
        <v>45</v>
      </c>
      <c r="F538" s="1" t="s">
        <v>349</v>
      </c>
      <c r="G538" s="1" t="s">
        <v>1360</v>
      </c>
      <c r="H538" s="1" t="s">
        <v>1361</v>
      </c>
      <c r="I538" s="1" t="s">
        <v>49</v>
      </c>
      <c r="J538" s="1" t="s">
        <v>48</v>
      </c>
      <c r="K538" s="1">
        <v>96</v>
      </c>
      <c r="L538" s="1">
        <v>0</v>
      </c>
      <c r="M538" s="1">
        <v>0</v>
      </c>
      <c r="N538" s="1">
        <v>96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 t="s">
        <v>49</v>
      </c>
      <c r="AA538" s="1" t="s">
        <v>49</v>
      </c>
      <c r="AB538" s="1" t="s">
        <v>49</v>
      </c>
      <c r="AC538" s="1" t="s">
        <v>88</v>
      </c>
      <c r="AD538" s="1" t="s">
        <v>89</v>
      </c>
      <c r="AE538" s="1" t="s">
        <v>88</v>
      </c>
      <c r="AF538" s="1" t="s">
        <v>352</v>
      </c>
      <c r="AG538" s="1" t="s">
        <v>53</v>
      </c>
      <c r="AH538" s="1" t="s">
        <v>49</v>
      </c>
      <c r="AI538" s="1" t="s">
        <v>54</v>
      </c>
      <c r="AJ538" s="1">
        <v>1</v>
      </c>
      <c r="AK538" s="1" t="str">
        <f t="shared" si="8"/>
        <v xml:space="preserve"> =&lt;90</v>
      </c>
      <c r="AL538" s="1" t="str">
        <f>VLOOKUP(C:C,[1]基础信息!B$1:D$65536,3,0)</f>
        <v>Jug</v>
      </c>
      <c r="AM538" s="1" t="str">
        <f>VLOOKUP(C:C,[1]基础信息!B$1:E$65536,4,0)</f>
        <v>Mxplus</v>
      </c>
      <c r="AN538" s="1" t="str">
        <f>VLOOKUP(C:C,[1]基础信息!B$1:F$65536,5,0)</f>
        <v>Blue</v>
      </c>
    </row>
    <row r="539" spans="1:40">
      <c r="A539" s="1" t="s">
        <v>41</v>
      </c>
      <c r="B539" s="1" t="s">
        <v>42</v>
      </c>
      <c r="C539" s="1" t="s">
        <v>83</v>
      </c>
      <c r="D539" s="1" t="s">
        <v>84</v>
      </c>
      <c r="E539" s="1" t="s">
        <v>45</v>
      </c>
      <c r="F539" s="1" t="s">
        <v>349</v>
      </c>
      <c r="G539" s="1" t="s">
        <v>1362</v>
      </c>
      <c r="H539" s="1" t="s">
        <v>1363</v>
      </c>
      <c r="I539" s="1" t="s">
        <v>49</v>
      </c>
      <c r="J539" s="1" t="s">
        <v>48</v>
      </c>
      <c r="K539" s="1">
        <v>96</v>
      </c>
      <c r="L539" s="1">
        <v>0</v>
      </c>
      <c r="M539" s="1">
        <v>0</v>
      </c>
      <c r="N539" s="1">
        <v>96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 t="s">
        <v>49</v>
      </c>
      <c r="AA539" s="1" t="s">
        <v>49</v>
      </c>
      <c r="AB539" s="1" t="s">
        <v>49</v>
      </c>
      <c r="AC539" s="1" t="s">
        <v>88</v>
      </c>
      <c r="AD539" s="1" t="s">
        <v>89</v>
      </c>
      <c r="AE539" s="1" t="s">
        <v>88</v>
      </c>
      <c r="AF539" s="1" t="s">
        <v>352</v>
      </c>
      <c r="AG539" s="1" t="s">
        <v>53</v>
      </c>
      <c r="AH539" s="1" t="s">
        <v>49</v>
      </c>
      <c r="AI539" s="1" t="s">
        <v>54</v>
      </c>
      <c r="AJ539" s="1">
        <v>1</v>
      </c>
      <c r="AK539" s="1" t="str">
        <f t="shared" si="8"/>
        <v xml:space="preserve"> =&lt;90</v>
      </c>
      <c r="AL539" s="1" t="str">
        <f>VLOOKUP(C:C,[1]基础信息!B$1:D$65536,3,0)</f>
        <v>Jug</v>
      </c>
      <c r="AM539" s="1" t="str">
        <f>VLOOKUP(C:C,[1]基础信息!B$1:E$65536,4,0)</f>
        <v>Mxplus</v>
      </c>
      <c r="AN539" s="1" t="str">
        <f>VLOOKUP(C:C,[1]基础信息!B$1:F$65536,5,0)</f>
        <v>Blue</v>
      </c>
    </row>
    <row r="540" spans="1:40">
      <c r="A540" s="1" t="s">
        <v>41</v>
      </c>
      <c r="B540" s="1" t="s">
        <v>42</v>
      </c>
      <c r="C540" s="1" t="s">
        <v>83</v>
      </c>
      <c r="D540" s="1" t="s">
        <v>84</v>
      </c>
      <c r="E540" s="1" t="s">
        <v>45</v>
      </c>
      <c r="F540" s="1" t="s">
        <v>349</v>
      </c>
      <c r="G540" s="1" t="s">
        <v>1364</v>
      </c>
      <c r="H540" s="1" t="s">
        <v>1365</v>
      </c>
      <c r="I540" s="1" t="s">
        <v>49</v>
      </c>
      <c r="J540" s="1" t="s">
        <v>48</v>
      </c>
      <c r="K540" s="1">
        <v>96</v>
      </c>
      <c r="L540" s="1">
        <v>0</v>
      </c>
      <c r="M540" s="1">
        <v>0</v>
      </c>
      <c r="N540" s="1">
        <v>96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 t="s">
        <v>49</v>
      </c>
      <c r="AA540" s="1" t="s">
        <v>49</v>
      </c>
      <c r="AB540" s="1" t="s">
        <v>49</v>
      </c>
      <c r="AC540" s="1" t="s">
        <v>88</v>
      </c>
      <c r="AD540" s="1" t="s">
        <v>89</v>
      </c>
      <c r="AE540" s="1" t="s">
        <v>88</v>
      </c>
      <c r="AF540" s="1" t="s">
        <v>352</v>
      </c>
      <c r="AG540" s="1" t="s">
        <v>53</v>
      </c>
      <c r="AH540" s="1" t="s">
        <v>49</v>
      </c>
      <c r="AI540" s="1" t="s">
        <v>54</v>
      </c>
      <c r="AJ540" s="1">
        <v>1</v>
      </c>
      <c r="AK540" s="1" t="str">
        <f t="shared" si="8"/>
        <v xml:space="preserve"> =&lt;90</v>
      </c>
      <c r="AL540" s="1" t="str">
        <f>VLOOKUP(C:C,[1]基础信息!B$1:D$65536,3,0)</f>
        <v>Jug</v>
      </c>
      <c r="AM540" s="1" t="str">
        <f>VLOOKUP(C:C,[1]基础信息!B$1:E$65536,4,0)</f>
        <v>Mxplus</v>
      </c>
      <c r="AN540" s="1" t="str">
        <f>VLOOKUP(C:C,[1]基础信息!B$1:F$65536,5,0)</f>
        <v>Blue</v>
      </c>
    </row>
    <row r="541" spans="1:40">
      <c r="A541" s="1" t="s">
        <v>41</v>
      </c>
      <c r="B541" s="1" t="s">
        <v>42</v>
      </c>
      <c r="C541" s="1" t="s">
        <v>1366</v>
      </c>
      <c r="D541" s="1" t="s">
        <v>1367</v>
      </c>
      <c r="E541" s="1" t="s">
        <v>45</v>
      </c>
      <c r="F541" s="1" t="s">
        <v>1368</v>
      </c>
      <c r="G541" s="1" t="s">
        <v>1369</v>
      </c>
      <c r="H541" s="1" t="s">
        <v>1370</v>
      </c>
      <c r="I541" s="1" t="s">
        <v>49</v>
      </c>
      <c r="J541" s="1" t="s">
        <v>48</v>
      </c>
      <c r="K541" s="1">
        <v>384</v>
      </c>
      <c r="L541" s="1">
        <v>0</v>
      </c>
      <c r="M541" s="1">
        <v>0</v>
      </c>
      <c r="N541" s="1">
        <v>384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 t="s">
        <v>49</v>
      </c>
      <c r="AA541" s="1" t="s">
        <v>49</v>
      </c>
      <c r="AB541" s="1" t="s">
        <v>49</v>
      </c>
      <c r="AC541" s="1" t="s">
        <v>204</v>
      </c>
      <c r="AD541" s="1" t="s">
        <v>205</v>
      </c>
      <c r="AE541" s="1" t="s">
        <v>204</v>
      </c>
      <c r="AF541" s="1" t="s">
        <v>1371</v>
      </c>
      <c r="AG541" s="1" t="s">
        <v>53</v>
      </c>
      <c r="AH541" s="1" t="s">
        <v>49</v>
      </c>
      <c r="AI541" s="1" t="s">
        <v>54</v>
      </c>
      <c r="AJ541" s="1">
        <v>1</v>
      </c>
      <c r="AK541" s="1" t="str">
        <f t="shared" si="8"/>
        <v xml:space="preserve"> =&lt;90</v>
      </c>
      <c r="AL541" s="1" t="str">
        <f>VLOOKUP(C:C,[1]基础信息!B$1:D$65536,3,0)</f>
        <v>UTS</v>
      </c>
      <c r="AM541" s="1" t="str">
        <f>VLOOKUP(C:C,[1]基础信息!B$1:E$65536,4,0)</f>
        <v>MyPure</v>
      </c>
      <c r="AN541" s="1" t="str">
        <f>VLOOKUP(C:C,[1]基础信息!B$1:F$65536,5,0)</f>
        <v>Refill</v>
      </c>
    </row>
    <row r="542" spans="1:40">
      <c r="A542" s="1" t="s">
        <v>41</v>
      </c>
      <c r="B542" s="1" t="s">
        <v>42</v>
      </c>
      <c r="C542" s="1" t="s">
        <v>359</v>
      </c>
      <c r="D542" s="1" t="s">
        <v>360</v>
      </c>
      <c r="E542" s="1" t="s">
        <v>45</v>
      </c>
      <c r="F542" s="1" t="s">
        <v>1287</v>
      </c>
      <c r="G542" s="1" t="s">
        <v>1372</v>
      </c>
      <c r="H542" s="1" t="s">
        <v>1373</v>
      </c>
      <c r="I542" s="1" t="s">
        <v>49</v>
      </c>
      <c r="J542" s="1" t="s">
        <v>48</v>
      </c>
      <c r="K542" s="1">
        <v>95</v>
      </c>
      <c r="L542" s="1">
        <v>0</v>
      </c>
      <c r="M542" s="1">
        <v>0</v>
      </c>
      <c r="N542" s="1">
        <v>95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 t="s">
        <v>49</v>
      </c>
      <c r="AA542" s="1" t="s">
        <v>49</v>
      </c>
      <c r="AB542" s="1" t="s">
        <v>49</v>
      </c>
      <c r="AC542" s="1" t="s">
        <v>414</v>
      </c>
      <c r="AD542" s="1" t="s">
        <v>415</v>
      </c>
      <c r="AE542" s="1" t="s">
        <v>416</v>
      </c>
      <c r="AF542" s="1" t="s">
        <v>1256</v>
      </c>
      <c r="AG542" s="1" t="s">
        <v>53</v>
      </c>
      <c r="AH542" s="1" t="s">
        <v>49</v>
      </c>
      <c r="AI542" s="1" t="s">
        <v>54</v>
      </c>
      <c r="AJ542" s="1">
        <v>1</v>
      </c>
      <c r="AK542" s="1" t="str">
        <f t="shared" si="8"/>
        <v xml:space="preserve"> =&lt;90</v>
      </c>
      <c r="AL542" s="1" t="e">
        <f>VLOOKUP(C:C,[1]基础信息!B$1:D$65536,3,0)</f>
        <v>#N/A</v>
      </c>
      <c r="AM542" s="1" t="e">
        <f>VLOOKUP(C:C,[1]基础信息!B$1:E$65536,4,0)</f>
        <v>#N/A</v>
      </c>
      <c r="AN542" s="1" t="e">
        <f>VLOOKUP(C:C,[1]基础信息!B$1:F$65536,5,0)</f>
        <v>#N/A</v>
      </c>
    </row>
    <row r="543" spans="1:40">
      <c r="A543" s="1" t="s">
        <v>41</v>
      </c>
      <c r="B543" s="1" t="s">
        <v>42</v>
      </c>
      <c r="C543" s="1" t="s">
        <v>417</v>
      </c>
      <c r="D543" s="1" t="s">
        <v>418</v>
      </c>
      <c r="E543" s="1" t="s">
        <v>45</v>
      </c>
      <c r="F543" s="1" t="s">
        <v>1374</v>
      </c>
      <c r="G543" s="1" t="s">
        <v>1375</v>
      </c>
      <c r="H543" s="1" t="s">
        <v>1376</v>
      </c>
      <c r="I543" s="1" t="s">
        <v>49</v>
      </c>
      <c r="J543" s="1" t="s">
        <v>48</v>
      </c>
      <c r="K543" s="1">
        <v>96</v>
      </c>
      <c r="L543" s="1">
        <v>0</v>
      </c>
      <c r="M543" s="1">
        <v>0</v>
      </c>
      <c r="N543" s="1">
        <v>96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 t="s">
        <v>49</v>
      </c>
      <c r="AA543" s="1" t="s">
        <v>49</v>
      </c>
      <c r="AB543" s="1" t="s">
        <v>49</v>
      </c>
      <c r="AC543" s="1" t="s">
        <v>1377</v>
      </c>
      <c r="AD543" s="1" t="s">
        <v>1378</v>
      </c>
      <c r="AE543" s="1" t="s">
        <v>1377</v>
      </c>
      <c r="AF543" s="1" t="s">
        <v>422</v>
      </c>
      <c r="AG543" s="1" t="s">
        <v>53</v>
      </c>
      <c r="AH543" s="1" t="s">
        <v>49</v>
      </c>
      <c r="AI543" s="1" t="s">
        <v>54</v>
      </c>
      <c r="AJ543" s="1">
        <v>1</v>
      </c>
      <c r="AK543" s="1" t="str">
        <f t="shared" si="8"/>
        <v xml:space="preserve"> =&lt;90</v>
      </c>
      <c r="AL543" s="1" t="str">
        <f>VLOOKUP(C:C,[1]基础信息!B$1:D$65536,3,0)</f>
        <v>Jug</v>
      </c>
      <c r="AM543" s="1" t="str">
        <f>VLOOKUP(C:C,[1]基础信息!B$1:E$65536,4,0)</f>
        <v>Marella XL</v>
      </c>
      <c r="AN543" s="1" t="str">
        <f>VLOOKUP(C:C,[1]基础信息!B$1:F$65536,5,0)</f>
        <v>Silver</v>
      </c>
    </row>
    <row r="544" spans="1:40">
      <c r="A544" s="1" t="s">
        <v>41</v>
      </c>
      <c r="B544" s="1" t="s">
        <v>42</v>
      </c>
      <c r="C544" s="1" t="s">
        <v>301</v>
      </c>
      <c r="D544" s="1" t="s">
        <v>302</v>
      </c>
      <c r="E544" s="1" t="s">
        <v>45</v>
      </c>
      <c r="F544" s="1" t="s">
        <v>303</v>
      </c>
      <c r="G544" s="1" t="s">
        <v>1379</v>
      </c>
      <c r="H544" s="1" t="s">
        <v>45</v>
      </c>
      <c r="I544" s="1" t="s">
        <v>45</v>
      </c>
      <c r="J544" s="1" t="s">
        <v>48</v>
      </c>
      <c r="K544" s="1">
        <v>96</v>
      </c>
      <c r="L544" s="1">
        <v>0</v>
      </c>
      <c r="M544" s="1">
        <v>0</v>
      </c>
      <c r="N544" s="1">
        <v>96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 t="s">
        <v>49</v>
      </c>
      <c r="AA544" s="1" t="s">
        <v>49</v>
      </c>
      <c r="AB544" s="1" t="s">
        <v>49</v>
      </c>
      <c r="AC544" s="1" t="s">
        <v>305</v>
      </c>
      <c r="AD544" s="1" t="s">
        <v>306</v>
      </c>
      <c r="AE544" s="1" t="s">
        <v>305</v>
      </c>
      <c r="AF544" s="1" t="s">
        <v>307</v>
      </c>
      <c r="AG544" s="1" t="s">
        <v>53</v>
      </c>
      <c r="AH544" s="1" t="s">
        <v>49</v>
      </c>
      <c r="AI544" s="1" t="s">
        <v>54</v>
      </c>
      <c r="AJ544" s="1">
        <v>1</v>
      </c>
      <c r="AK544" s="1" t="str">
        <f t="shared" si="8"/>
        <v xml:space="preserve"> =&lt;90</v>
      </c>
      <c r="AL544" s="1" t="str">
        <f>VLOOKUP(C:C,[1]基础信息!B$1:D$65536,3,0)</f>
        <v>Jug</v>
      </c>
      <c r="AM544" s="1" t="str">
        <f>VLOOKUP(C:C,[1]基础信息!B$1:E$65536,4,0)</f>
        <v>Aluna</v>
      </c>
      <c r="AN544" s="1" t="str">
        <f>VLOOKUP(C:C,[1]基础信息!B$1:F$65536,5,0)</f>
        <v>Blue</v>
      </c>
    </row>
    <row r="545" spans="1:40">
      <c r="A545" s="1" t="s">
        <v>41</v>
      </c>
      <c r="B545" s="1" t="s">
        <v>42</v>
      </c>
      <c r="C545" s="1" t="s">
        <v>301</v>
      </c>
      <c r="D545" s="1" t="s">
        <v>302</v>
      </c>
      <c r="E545" s="1" t="s">
        <v>45</v>
      </c>
      <c r="F545" s="1" t="s">
        <v>303</v>
      </c>
      <c r="G545" s="1" t="s">
        <v>1380</v>
      </c>
      <c r="H545" s="1" t="s">
        <v>45</v>
      </c>
      <c r="I545" s="1" t="s">
        <v>45</v>
      </c>
      <c r="J545" s="1" t="s">
        <v>48</v>
      </c>
      <c r="K545" s="1">
        <v>96</v>
      </c>
      <c r="L545" s="1">
        <v>0</v>
      </c>
      <c r="M545" s="1">
        <v>0</v>
      </c>
      <c r="N545" s="1">
        <v>96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 t="s">
        <v>49</v>
      </c>
      <c r="AA545" s="1" t="s">
        <v>49</v>
      </c>
      <c r="AB545" s="1" t="s">
        <v>49</v>
      </c>
      <c r="AC545" s="1" t="s">
        <v>305</v>
      </c>
      <c r="AD545" s="1" t="s">
        <v>306</v>
      </c>
      <c r="AE545" s="1" t="s">
        <v>305</v>
      </c>
      <c r="AF545" s="1" t="s">
        <v>307</v>
      </c>
      <c r="AG545" s="1" t="s">
        <v>53</v>
      </c>
      <c r="AH545" s="1" t="s">
        <v>49</v>
      </c>
      <c r="AI545" s="1" t="s">
        <v>54</v>
      </c>
      <c r="AJ545" s="1">
        <v>1</v>
      </c>
      <c r="AK545" s="1" t="str">
        <f t="shared" si="8"/>
        <v xml:space="preserve"> =&lt;90</v>
      </c>
      <c r="AL545" s="1" t="str">
        <f>VLOOKUP(C:C,[1]基础信息!B$1:D$65536,3,0)</f>
        <v>Jug</v>
      </c>
      <c r="AM545" s="1" t="str">
        <f>VLOOKUP(C:C,[1]基础信息!B$1:E$65536,4,0)</f>
        <v>Aluna</v>
      </c>
      <c r="AN545" s="1" t="str">
        <f>VLOOKUP(C:C,[1]基础信息!B$1:F$65536,5,0)</f>
        <v>Blue</v>
      </c>
    </row>
    <row r="546" spans="1:40">
      <c r="A546" s="1" t="s">
        <v>41</v>
      </c>
      <c r="B546" s="1" t="s">
        <v>42</v>
      </c>
      <c r="C546" s="1" t="s">
        <v>417</v>
      </c>
      <c r="D546" s="1" t="s">
        <v>418</v>
      </c>
      <c r="E546" s="1" t="s">
        <v>45</v>
      </c>
      <c r="F546" s="1" t="s">
        <v>1374</v>
      </c>
      <c r="G546" s="1" t="s">
        <v>1381</v>
      </c>
      <c r="H546" s="1" t="s">
        <v>1382</v>
      </c>
      <c r="I546" s="1" t="s">
        <v>49</v>
      </c>
      <c r="J546" s="1" t="s">
        <v>48</v>
      </c>
      <c r="K546" s="1">
        <v>96</v>
      </c>
      <c r="L546" s="1">
        <v>0</v>
      </c>
      <c r="M546" s="1">
        <v>0</v>
      </c>
      <c r="N546" s="1">
        <v>96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 t="s">
        <v>49</v>
      </c>
      <c r="AA546" s="1" t="s">
        <v>49</v>
      </c>
      <c r="AB546" s="1" t="s">
        <v>49</v>
      </c>
      <c r="AC546" s="1" t="s">
        <v>1377</v>
      </c>
      <c r="AD546" s="1" t="s">
        <v>1378</v>
      </c>
      <c r="AE546" s="1" t="s">
        <v>1377</v>
      </c>
      <c r="AF546" s="1" t="s">
        <v>422</v>
      </c>
      <c r="AG546" s="1" t="s">
        <v>53</v>
      </c>
      <c r="AH546" s="1" t="s">
        <v>49</v>
      </c>
      <c r="AI546" s="1" t="s">
        <v>54</v>
      </c>
      <c r="AJ546" s="1">
        <v>1</v>
      </c>
      <c r="AK546" s="1" t="str">
        <f t="shared" si="8"/>
        <v xml:space="preserve"> =&lt;90</v>
      </c>
      <c r="AL546" s="1" t="str">
        <f>VLOOKUP(C:C,[1]基础信息!B$1:D$65536,3,0)</f>
        <v>Jug</v>
      </c>
      <c r="AM546" s="1" t="str">
        <f>VLOOKUP(C:C,[1]基础信息!B$1:E$65536,4,0)</f>
        <v>Marella XL</v>
      </c>
      <c r="AN546" s="1" t="str">
        <f>VLOOKUP(C:C,[1]基础信息!B$1:F$65536,5,0)</f>
        <v>Silver</v>
      </c>
    </row>
    <row r="547" spans="1:40">
      <c r="A547" s="1" t="s">
        <v>41</v>
      </c>
      <c r="B547" s="1" t="s">
        <v>42</v>
      </c>
      <c r="C547" s="1" t="s">
        <v>1383</v>
      </c>
      <c r="D547" s="1" t="s">
        <v>1384</v>
      </c>
      <c r="E547" s="1" t="s">
        <v>45</v>
      </c>
      <c r="F547" s="1" t="s">
        <v>1385</v>
      </c>
      <c r="G547" s="1" t="s">
        <v>1386</v>
      </c>
      <c r="H547" s="1" t="s">
        <v>1387</v>
      </c>
      <c r="I547" s="1" t="s">
        <v>49</v>
      </c>
      <c r="J547" s="1" t="s">
        <v>48</v>
      </c>
      <c r="K547" s="1">
        <v>96</v>
      </c>
      <c r="L547" s="1">
        <v>0</v>
      </c>
      <c r="M547" s="1">
        <v>0</v>
      </c>
      <c r="N547" s="1">
        <v>96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 t="s">
        <v>49</v>
      </c>
      <c r="AA547" s="1" t="s">
        <v>49</v>
      </c>
      <c r="AB547" s="1" t="s">
        <v>49</v>
      </c>
      <c r="AC547" s="1" t="s">
        <v>305</v>
      </c>
      <c r="AD547" s="1" t="s">
        <v>306</v>
      </c>
      <c r="AE547" s="1" t="s">
        <v>305</v>
      </c>
      <c r="AF547" s="1" t="s">
        <v>1388</v>
      </c>
      <c r="AG547" s="1" t="s">
        <v>53</v>
      </c>
      <c r="AH547" s="1" t="s">
        <v>49</v>
      </c>
      <c r="AI547" s="1" t="s">
        <v>54</v>
      </c>
      <c r="AJ547" s="1">
        <v>1</v>
      </c>
      <c r="AK547" s="1" t="str">
        <f t="shared" si="8"/>
        <v xml:space="preserve"> =&lt;90</v>
      </c>
      <c r="AL547" s="1" t="str">
        <f>VLOOKUP(C:C,[1]基础信息!B$1:D$65536,3,0)</f>
        <v>Jug</v>
      </c>
      <c r="AM547" s="1" t="str">
        <f>VLOOKUP(C:C,[1]基础信息!B$1:E$65536,4,0)</f>
        <v>Mxplus</v>
      </c>
      <c r="AN547" s="1" t="str">
        <f>VLOOKUP(C:C,[1]基础信息!B$1:F$65536,5,0)</f>
        <v>White</v>
      </c>
    </row>
    <row r="548" spans="1:40">
      <c r="A548" s="1" t="s">
        <v>41</v>
      </c>
      <c r="B548" s="1" t="s">
        <v>42</v>
      </c>
      <c r="C548" s="1" t="s">
        <v>1383</v>
      </c>
      <c r="D548" s="1" t="s">
        <v>1384</v>
      </c>
      <c r="E548" s="1" t="s">
        <v>45</v>
      </c>
      <c r="F548" s="1" t="s">
        <v>1385</v>
      </c>
      <c r="G548" s="1" t="s">
        <v>1389</v>
      </c>
      <c r="H548" s="1" t="s">
        <v>1390</v>
      </c>
      <c r="I548" s="1" t="s">
        <v>49</v>
      </c>
      <c r="J548" s="1" t="s">
        <v>48</v>
      </c>
      <c r="K548" s="1">
        <v>96</v>
      </c>
      <c r="L548" s="1">
        <v>0</v>
      </c>
      <c r="M548" s="1">
        <v>0</v>
      </c>
      <c r="N548" s="1">
        <v>96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 t="s">
        <v>49</v>
      </c>
      <c r="AA548" s="1" t="s">
        <v>49</v>
      </c>
      <c r="AB548" s="1" t="s">
        <v>49</v>
      </c>
      <c r="AC548" s="1" t="s">
        <v>305</v>
      </c>
      <c r="AD548" s="1" t="s">
        <v>306</v>
      </c>
      <c r="AE548" s="1" t="s">
        <v>305</v>
      </c>
      <c r="AF548" s="1" t="s">
        <v>1388</v>
      </c>
      <c r="AG548" s="1" t="s">
        <v>53</v>
      </c>
      <c r="AH548" s="1" t="s">
        <v>49</v>
      </c>
      <c r="AI548" s="1" t="s">
        <v>54</v>
      </c>
      <c r="AJ548" s="1">
        <v>1</v>
      </c>
      <c r="AK548" s="1" t="str">
        <f t="shared" si="8"/>
        <v xml:space="preserve"> =&lt;90</v>
      </c>
      <c r="AL548" s="1" t="str">
        <f>VLOOKUP(C:C,[1]基础信息!B$1:D$65536,3,0)</f>
        <v>Jug</v>
      </c>
      <c r="AM548" s="1" t="str">
        <f>VLOOKUP(C:C,[1]基础信息!B$1:E$65536,4,0)</f>
        <v>Mxplus</v>
      </c>
      <c r="AN548" s="1" t="str">
        <f>VLOOKUP(C:C,[1]基础信息!B$1:F$65536,5,0)</f>
        <v>White</v>
      </c>
    </row>
    <row r="549" spans="1:40">
      <c r="A549" s="1" t="s">
        <v>41</v>
      </c>
      <c r="B549" s="1" t="s">
        <v>42</v>
      </c>
      <c r="C549" s="1" t="s">
        <v>1383</v>
      </c>
      <c r="D549" s="1" t="s">
        <v>1384</v>
      </c>
      <c r="E549" s="1" t="s">
        <v>45</v>
      </c>
      <c r="F549" s="1" t="s">
        <v>1385</v>
      </c>
      <c r="G549" s="1" t="s">
        <v>1391</v>
      </c>
      <c r="H549" s="1" t="s">
        <v>1392</v>
      </c>
      <c r="I549" s="1" t="s">
        <v>49</v>
      </c>
      <c r="J549" s="1" t="s">
        <v>48</v>
      </c>
      <c r="K549" s="1">
        <v>96</v>
      </c>
      <c r="L549" s="1">
        <v>0</v>
      </c>
      <c r="M549" s="1">
        <v>0</v>
      </c>
      <c r="N549" s="1">
        <v>96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 t="s">
        <v>49</v>
      </c>
      <c r="AA549" s="1" t="s">
        <v>49</v>
      </c>
      <c r="AB549" s="1" t="s">
        <v>49</v>
      </c>
      <c r="AC549" s="1" t="s">
        <v>305</v>
      </c>
      <c r="AD549" s="1" t="s">
        <v>306</v>
      </c>
      <c r="AE549" s="1" t="s">
        <v>305</v>
      </c>
      <c r="AF549" s="1" t="s">
        <v>1388</v>
      </c>
      <c r="AG549" s="1" t="s">
        <v>53</v>
      </c>
      <c r="AH549" s="1" t="s">
        <v>49</v>
      </c>
      <c r="AI549" s="1" t="s">
        <v>54</v>
      </c>
      <c r="AJ549" s="1">
        <v>1</v>
      </c>
      <c r="AK549" s="1" t="str">
        <f t="shared" si="8"/>
        <v xml:space="preserve"> =&lt;90</v>
      </c>
      <c r="AL549" s="1" t="str">
        <f>VLOOKUP(C:C,[1]基础信息!B$1:D$65536,3,0)</f>
        <v>Jug</v>
      </c>
      <c r="AM549" s="1" t="str">
        <f>VLOOKUP(C:C,[1]基础信息!B$1:E$65536,4,0)</f>
        <v>Mxplus</v>
      </c>
      <c r="AN549" s="1" t="str">
        <f>VLOOKUP(C:C,[1]基础信息!B$1:F$65536,5,0)</f>
        <v>White</v>
      </c>
    </row>
    <row r="550" spans="1:40">
      <c r="A550" s="1" t="s">
        <v>41</v>
      </c>
      <c r="B550" s="1" t="s">
        <v>42</v>
      </c>
      <c r="C550" s="1" t="s">
        <v>1383</v>
      </c>
      <c r="D550" s="1" t="s">
        <v>1384</v>
      </c>
      <c r="E550" s="1" t="s">
        <v>45</v>
      </c>
      <c r="F550" s="1" t="s">
        <v>1385</v>
      </c>
      <c r="G550" s="1" t="s">
        <v>1393</v>
      </c>
      <c r="H550" s="1" t="s">
        <v>1394</v>
      </c>
      <c r="I550" s="1" t="s">
        <v>49</v>
      </c>
      <c r="J550" s="1" t="s">
        <v>48</v>
      </c>
      <c r="K550" s="1">
        <v>96</v>
      </c>
      <c r="L550" s="1">
        <v>0</v>
      </c>
      <c r="M550" s="1">
        <v>0</v>
      </c>
      <c r="N550" s="1">
        <v>96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 t="s">
        <v>49</v>
      </c>
      <c r="AA550" s="1" t="s">
        <v>49</v>
      </c>
      <c r="AB550" s="1" t="s">
        <v>49</v>
      </c>
      <c r="AC550" s="1" t="s">
        <v>305</v>
      </c>
      <c r="AD550" s="1" t="s">
        <v>306</v>
      </c>
      <c r="AE550" s="1" t="s">
        <v>305</v>
      </c>
      <c r="AF550" s="1" t="s">
        <v>1388</v>
      </c>
      <c r="AG550" s="1" t="s">
        <v>53</v>
      </c>
      <c r="AH550" s="1" t="s">
        <v>49</v>
      </c>
      <c r="AI550" s="1" t="s">
        <v>54</v>
      </c>
      <c r="AJ550" s="1">
        <v>1</v>
      </c>
      <c r="AK550" s="1" t="str">
        <f t="shared" si="8"/>
        <v xml:space="preserve"> =&lt;90</v>
      </c>
      <c r="AL550" s="1" t="str">
        <f>VLOOKUP(C:C,[1]基础信息!B$1:D$65536,3,0)</f>
        <v>Jug</v>
      </c>
      <c r="AM550" s="1" t="str">
        <f>VLOOKUP(C:C,[1]基础信息!B$1:E$65536,4,0)</f>
        <v>Mxplus</v>
      </c>
      <c r="AN550" s="1" t="str">
        <f>VLOOKUP(C:C,[1]基础信息!B$1:F$65536,5,0)</f>
        <v>White</v>
      </c>
    </row>
    <row r="551" spans="1:40">
      <c r="A551" s="1" t="s">
        <v>41</v>
      </c>
      <c r="B551" s="1" t="s">
        <v>42</v>
      </c>
      <c r="C551" s="1" t="s">
        <v>417</v>
      </c>
      <c r="D551" s="1" t="s">
        <v>418</v>
      </c>
      <c r="E551" s="1" t="s">
        <v>45</v>
      </c>
      <c r="F551" s="1" t="s">
        <v>1374</v>
      </c>
      <c r="G551" s="1" t="s">
        <v>1395</v>
      </c>
      <c r="H551" s="1" t="s">
        <v>1396</v>
      </c>
      <c r="I551" s="1" t="s">
        <v>49</v>
      </c>
      <c r="J551" s="1" t="s">
        <v>48</v>
      </c>
      <c r="K551" s="1">
        <v>96</v>
      </c>
      <c r="L551" s="1">
        <v>0</v>
      </c>
      <c r="M551" s="1">
        <v>0</v>
      </c>
      <c r="N551" s="1">
        <v>96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 t="s">
        <v>49</v>
      </c>
      <c r="AA551" s="1" t="s">
        <v>49</v>
      </c>
      <c r="AB551" s="1" t="s">
        <v>49</v>
      </c>
      <c r="AC551" s="1" t="s">
        <v>1377</v>
      </c>
      <c r="AD551" s="1" t="s">
        <v>1378</v>
      </c>
      <c r="AE551" s="1" t="s">
        <v>1377</v>
      </c>
      <c r="AF551" s="1" t="s">
        <v>422</v>
      </c>
      <c r="AG551" s="1" t="s">
        <v>53</v>
      </c>
      <c r="AH551" s="1" t="s">
        <v>49</v>
      </c>
      <c r="AI551" s="1" t="s">
        <v>54</v>
      </c>
      <c r="AJ551" s="1">
        <v>1</v>
      </c>
      <c r="AK551" s="1" t="str">
        <f t="shared" si="8"/>
        <v xml:space="preserve"> =&lt;90</v>
      </c>
      <c r="AL551" s="1" t="str">
        <f>VLOOKUP(C:C,[1]基础信息!B$1:D$65536,3,0)</f>
        <v>Jug</v>
      </c>
      <c r="AM551" s="1" t="str">
        <f>VLOOKUP(C:C,[1]基础信息!B$1:E$65536,4,0)</f>
        <v>Marella XL</v>
      </c>
      <c r="AN551" s="1" t="str">
        <f>VLOOKUP(C:C,[1]基础信息!B$1:F$65536,5,0)</f>
        <v>Silver</v>
      </c>
    </row>
    <row r="552" spans="1:40">
      <c r="A552" s="1" t="s">
        <v>41</v>
      </c>
      <c r="B552" s="1" t="s">
        <v>42</v>
      </c>
      <c r="C552" s="1" t="s">
        <v>417</v>
      </c>
      <c r="D552" s="1" t="s">
        <v>418</v>
      </c>
      <c r="E552" s="1" t="s">
        <v>45</v>
      </c>
      <c r="F552" s="1" t="s">
        <v>1374</v>
      </c>
      <c r="G552" s="1" t="s">
        <v>1397</v>
      </c>
      <c r="H552" s="1" t="s">
        <v>1398</v>
      </c>
      <c r="I552" s="1" t="s">
        <v>49</v>
      </c>
      <c r="J552" s="1" t="s">
        <v>48</v>
      </c>
      <c r="K552" s="1">
        <v>96</v>
      </c>
      <c r="L552" s="1">
        <v>0</v>
      </c>
      <c r="M552" s="1">
        <v>0</v>
      </c>
      <c r="N552" s="1">
        <v>96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 t="s">
        <v>49</v>
      </c>
      <c r="AA552" s="1" t="s">
        <v>49</v>
      </c>
      <c r="AB552" s="1" t="s">
        <v>49</v>
      </c>
      <c r="AC552" s="1" t="s">
        <v>1377</v>
      </c>
      <c r="AD552" s="1" t="s">
        <v>1378</v>
      </c>
      <c r="AE552" s="1" t="s">
        <v>1377</v>
      </c>
      <c r="AF552" s="1" t="s">
        <v>422</v>
      </c>
      <c r="AG552" s="1" t="s">
        <v>53</v>
      </c>
      <c r="AH552" s="1" t="s">
        <v>49</v>
      </c>
      <c r="AI552" s="1" t="s">
        <v>54</v>
      </c>
      <c r="AJ552" s="1">
        <v>1</v>
      </c>
      <c r="AK552" s="1" t="str">
        <f t="shared" si="8"/>
        <v xml:space="preserve"> =&lt;90</v>
      </c>
      <c r="AL552" s="1" t="str">
        <f>VLOOKUP(C:C,[1]基础信息!B$1:D$65536,3,0)</f>
        <v>Jug</v>
      </c>
      <c r="AM552" s="1" t="str">
        <f>VLOOKUP(C:C,[1]基础信息!B$1:E$65536,4,0)</f>
        <v>Marella XL</v>
      </c>
      <c r="AN552" s="1" t="str">
        <f>VLOOKUP(C:C,[1]基础信息!B$1:F$65536,5,0)</f>
        <v>Silver</v>
      </c>
    </row>
    <row r="553" spans="1:40">
      <c r="A553" s="1" t="s">
        <v>41</v>
      </c>
      <c r="B553" s="1" t="s">
        <v>42</v>
      </c>
      <c r="C553" s="1" t="s">
        <v>417</v>
      </c>
      <c r="D553" s="1" t="s">
        <v>418</v>
      </c>
      <c r="E553" s="1" t="s">
        <v>45</v>
      </c>
      <c r="F553" s="1" t="s">
        <v>1374</v>
      </c>
      <c r="G553" s="1" t="s">
        <v>1399</v>
      </c>
      <c r="H553" s="1" t="s">
        <v>1400</v>
      </c>
      <c r="I553" s="1" t="s">
        <v>49</v>
      </c>
      <c r="J553" s="1" t="s">
        <v>48</v>
      </c>
      <c r="K553" s="1">
        <v>96</v>
      </c>
      <c r="L553" s="1">
        <v>0</v>
      </c>
      <c r="M553" s="1">
        <v>0</v>
      </c>
      <c r="N553" s="1">
        <v>96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 t="s">
        <v>49</v>
      </c>
      <c r="AA553" s="1" t="s">
        <v>49</v>
      </c>
      <c r="AB553" s="1" t="s">
        <v>49</v>
      </c>
      <c r="AC553" s="1" t="s">
        <v>1377</v>
      </c>
      <c r="AD553" s="1" t="s">
        <v>1378</v>
      </c>
      <c r="AE553" s="1" t="s">
        <v>1377</v>
      </c>
      <c r="AF553" s="1" t="s">
        <v>422</v>
      </c>
      <c r="AG553" s="1" t="s">
        <v>53</v>
      </c>
      <c r="AH553" s="1" t="s">
        <v>49</v>
      </c>
      <c r="AI553" s="1" t="s">
        <v>54</v>
      </c>
      <c r="AJ553" s="1">
        <v>1</v>
      </c>
      <c r="AK553" s="1" t="str">
        <f t="shared" si="8"/>
        <v xml:space="preserve"> =&lt;90</v>
      </c>
      <c r="AL553" s="1" t="str">
        <f>VLOOKUP(C:C,[1]基础信息!B$1:D$65536,3,0)</f>
        <v>Jug</v>
      </c>
      <c r="AM553" s="1" t="str">
        <f>VLOOKUP(C:C,[1]基础信息!B$1:E$65536,4,0)</f>
        <v>Marella XL</v>
      </c>
      <c r="AN553" s="1" t="str">
        <f>VLOOKUP(C:C,[1]基础信息!B$1:F$65536,5,0)</f>
        <v>Silver</v>
      </c>
    </row>
    <row r="554" spans="1:40">
      <c r="A554" s="1" t="s">
        <v>41</v>
      </c>
      <c r="B554" s="1" t="s">
        <v>42</v>
      </c>
      <c r="C554" s="1" t="s">
        <v>417</v>
      </c>
      <c r="D554" s="1" t="s">
        <v>418</v>
      </c>
      <c r="E554" s="1" t="s">
        <v>45</v>
      </c>
      <c r="F554" s="1" t="s">
        <v>1374</v>
      </c>
      <c r="G554" s="1" t="s">
        <v>1401</v>
      </c>
      <c r="H554" s="1" t="s">
        <v>1402</v>
      </c>
      <c r="I554" s="1" t="s">
        <v>49</v>
      </c>
      <c r="J554" s="1" t="s">
        <v>48</v>
      </c>
      <c r="K554" s="1">
        <v>96</v>
      </c>
      <c r="L554" s="1">
        <v>0</v>
      </c>
      <c r="M554" s="1">
        <v>0</v>
      </c>
      <c r="N554" s="1">
        <v>96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 t="s">
        <v>49</v>
      </c>
      <c r="AA554" s="1" t="s">
        <v>49</v>
      </c>
      <c r="AB554" s="1" t="s">
        <v>49</v>
      </c>
      <c r="AC554" s="1" t="s">
        <v>1377</v>
      </c>
      <c r="AD554" s="1" t="s">
        <v>1378</v>
      </c>
      <c r="AE554" s="1" t="s">
        <v>1377</v>
      </c>
      <c r="AF554" s="1" t="s">
        <v>422</v>
      </c>
      <c r="AG554" s="1" t="s">
        <v>53</v>
      </c>
      <c r="AH554" s="1" t="s">
        <v>49</v>
      </c>
      <c r="AI554" s="1" t="s">
        <v>54</v>
      </c>
      <c r="AJ554" s="1">
        <v>1</v>
      </c>
      <c r="AK554" s="1" t="str">
        <f t="shared" si="8"/>
        <v xml:space="preserve"> =&lt;90</v>
      </c>
      <c r="AL554" s="1" t="str">
        <f>VLOOKUP(C:C,[1]基础信息!B$1:D$65536,3,0)</f>
        <v>Jug</v>
      </c>
      <c r="AM554" s="1" t="str">
        <f>VLOOKUP(C:C,[1]基础信息!B$1:E$65536,4,0)</f>
        <v>Marella XL</v>
      </c>
      <c r="AN554" s="1" t="str">
        <f>VLOOKUP(C:C,[1]基础信息!B$1:F$65536,5,0)</f>
        <v>Silver</v>
      </c>
    </row>
    <row r="555" spans="1:40">
      <c r="A555" s="1" t="s">
        <v>41</v>
      </c>
      <c r="B555" s="1" t="s">
        <v>42</v>
      </c>
      <c r="C555" s="1" t="s">
        <v>83</v>
      </c>
      <c r="D555" s="1" t="s">
        <v>84</v>
      </c>
      <c r="E555" s="1" t="s">
        <v>45</v>
      </c>
      <c r="F555" s="1" t="s">
        <v>349</v>
      </c>
      <c r="G555" s="1" t="s">
        <v>1403</v>
      </c>
      <c r="H555" s="1" t="s">
        <v>1404</v>
      </c>
      <c r="I555" s="1" t="s">
        <v>49</v>
      </c>
      <c r="J555" s="1" t="s">
        <v>48</v>
      </c>
      <c r="K555" s="1">
        <v>96</v>
      </c>
      <c r="L555" s="1">
        <v>0</v>
      </c>
      <c r="M555" s="1">
        <v>0</v>
      </c>
      <c r="N555" s="1">
        <v>96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 t="s">
        <v>49</v>
      </c>
      <c r="AA555" s="1" t="s">
        <v>49</v>
      </c>
      <c r="AB555" s="1" t="s">
        <v>49</v>
      </c>
      <c r="AC555" s="1" t="s">
        <v>88</v>
      </c>
      <c r="AD555" s="1" t="s">
        <v>89</v>
      </c>
      <c r="AE555" s="1" t="s">
        <v>88</v>
      </c>
      <c r="AF555" s="1" t="s">
        <v>352</v>
      </c>
      <c r="AG555" s="1" t="s">
        <v>53</v>
      </c>
      <c r="AH555" s="1" t="s">
        <v>49</v>
      </c>
      <c r="AI555" s="1" t="s">
        <v>54</v>
      </c>
      <c r="AJ555" s="1">
        <v>1</v>
      </c>
      <c r="AK555" s="1" t="str">
        <f t="shared" si="8"/>
        <v xml:space="preserve"> =&lt;90</v>
      </c>
      <c r="AL555" s="1" t="str">
        <f>VLOOKUP(C:C,[1]基础信息!B$1:D$65536,3,0)</f>
        <v>Jug</v>
      </c>
      <c r="AM555" s="1" t="str">
        <f>VLOOKUP(C:C,[1]基础信息!B$1:E$65536,4,0)</f>
        <v>Mxplus</v>
      </c>
      <c r="AN555" s="1" t="str">
        <f>VLOOKUP(C:C,[1]基础信息!B$1:F$65536,5,0)</f>
        <v>Blue</v>
      </c>
    </row>
    <row r="556" spans="1:40">
      <c r="A556" s="1" t="s">
        <v>41</v>
      </c>
      <c r="B556" s="1" t="s">
        <v>42</v>
      </c>
      <c r="C556" s="1" t="s">
        <v>301</v>
      </c>
      <c r="D556" s="1" t="s">
        <v>302</v>
      </c>
      <c r="E556" s="1" t="s">
        <v>45</v>
      </c>
      <c r="F556" s="1" t="s">
        <v>1405</v>
      </c>
      <c r="G556" s="1" t="s">
        <v>1406</v>
      </c>
      <c r="H556" s="1" t="s">
        <v>1407</v>
      </c>
      <c r="I556" s="1" t="s">
        <v>49</v>
      </c>
      <c r="J556" s="1" t="s">
        <v>48</v>
      </c>
      <c r="K556" s="1">
        <v>96</v>
      </c>
      <c r="L556" s="1">
        <v>0</v>
      </c>
      <c r="M556" s="1">
        <v>0</v>
      </c>
      <c r="N556" s="1">
        <v>96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 t="s">
        <v>49</v>
      </c>
      <c r="AA556" s="1" t="s">
        <v>49</v>
      </c>
      <c r="AB556" s="1" t="s">
        <v>49</v>
      </c>
      <c r="AC556" s="1" t="s">
        <v>1408</v>
      </c>
      <c r="AD556" s="1" t="s">
        <v>1409</v>
      </c>
      <c r="AE556" s="1" t="s">
        <v>1408</v>
      </c>
      <c r="AF556" s="1" t="s">
        <v>1410</v>
      </c>
      <c r="AG556" s="1" t="s">
        <v>53</v>
      </c>
      <c r="AH556" s="1" t="s">
        <v>49</v>
      </c>
      <c r="AI556" s="1" t="s">
        <v>54</v>
      </c>
      <c r="AJ556" s="1">
        <v>1</v>
      </c>
      <c r="AK556" s="1" t="str">
        <f t="shared" si="8"/>
        <v xml:space="preserve"> =&lt;90</v>
      </c>
      <c r="AL556" s="1" t="str">
        <f>VLOOKUP(C:C,[1]基础信息!B$1:D$65536,3,0)</f>
        <v>Jug</v>
      </c>
      <c r="AM556" s="1" t="str">
        <f>VLOOKUP(C:C,[1]基础信息!B$1:E$65536,4,0)</f>
        <v>Aluna</v>
      </c>
      <c r="AN556" s="1" t="str">
        <f>VLOOKUP(C:C,[1]基础信息!B$1:F$65536,5,0)</f>
        <v>Blue</v>
      </c>
    </row>
    <row r="557" spans="1:40">
      <c r="A557" s="1" t="s">
        <v>41</v>
      </c>
      <c r="B557" s="1" t="s">
        <v>42</v>
      </c>
      <c r="C557" s="1" t="s">
        <v>208</v>
      </c>
      <c r="D557" s="1" t="s">
        <v>209</v>
      </c>
      <c r="E557" s="1" t="s">
        <v>208</v>
      </c>
      <c r="F557" s="1" t="s">
        <v>1411</v>
      </c>
      <c r="G557" s="1" t="s">
        <v>1412</v>
      </c>
      <c r="H557" s="1" t="s">
        <v>1413</v>
      </c>
      <c r="I557" s="1" t="s">
        <v>49</v>
      </c>
      <c r="J557" s="1" t="s">
        <v>48</v>
      </c>
      <c r="K557" s="1">
        <v>80</v>
      </c>
      <c r="L557" s="1">
        <v>0</v>
      </c>
      <c r="M557" s="1">
        <v>0</v>
      </c>
      <c r="N557" s="1">
        <v>80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 t="s">
        <v>49</v>
      </c>
      <c r="AA557" s="1" t="s">
        <v>49</v>
      </c>
      <c r="AB557" s="1" t="s">
        <v>49</v>
      </c>
      <c r="AC557" s="1" t="s">
        <v>1330</v>
      </c>
      <c r="AD557" s="1" t="s">
        <v>1331</v>
      </c>
      <c r="AE557" s="1" t="s">
        <v>1330</v>
      </c>
      <c r="AF557" s="1" t="s">
        <v>1414</v>
      </c>
      <c r="AG557" s="1" t="s">
        <v>53</v>
      </c>
      <c r="AH557" s="1" t="s">
        <v>49</v>
      </c>
      <c r="AI557" s="1" t="s">
        <v>54</v>
      </c>
      <c r="AJ557" s="1">
        <v>1</v>
      </c>
      <c r="AK557" s="1" t="str">
        <f t="shared" si="8"/>
        <v xml:space="preserve"> =&lt;90</v>
      </c>
      <c r="AL557" s="1" t="str">
        <f>VLOOKUP(C:C,[1]基础信息!B$1:D$65536,3,0)</f>
        <v>Jug</v>
      </c>
      <c r="AM557" s="1" t="str">
        <f>VLOOKUP(C:C,[1]基础信息!B$1:E$65536,4,0)</f>
        <v>MXpl</v>
      </c>
      <c r="AN557" s="1" t="str">
        <f>VLOOKUP(C:C,[1]基础信息!B$1:F$65536,5,0)</f>
        <v>grey</v>
      </c>
    </row>
    <row r="558" spans="1:40">
      <c r="A558" s="1" t="s">
        <v>41</v>
      </c>
      <c r="B558" s="1" t="s">
        <v>42</v>
      </c>
      <c r="C558" s="1" t="s">
        <v>208</v>
      </c>
      <c r="D558" s="1" t="s">
        <v>209</v>
      </c>
      <c r="E558" s="1" t="s">
        <v>208</v>
      </c>
      <c r="F558" s="1" t="s">
        <v>1411</v>
      </c>
      <c r="G558" s="1" t="s">
        <v>1415</v>
      </c>
      <c r="H558" s="1" t="s">
        <v>1416</v>
      </c>
      <c r="I558" s="1" t="s">
        <v>49</v>
      </c>
      <c r="J558" s="1" t="s">
        <v>48</v>
      </c>
      <c r="K558" s="1">
        <v>80</v>
      </c>
      <c r="L558" s="1">
        <v>0</v>
      </c>
      <c r="M558" s="1">
        <v>0</v>
      </c>
      <c r="N558" s="1">
        <v>80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 t="s">
        <v>49</v>
      </c>
      <c r="AA558" s="1" t="s">
        <v>49</v>
      </c>
      <c r="AB558" s="1" t="s">
        <v>49</v>
      </c>
      <c r="AC558" s="1" t="s">
        <v>1330</v>
      </c>
      <c r="AD558" s="1" t="s">
        <v>1331</v>
      </c>
      <c r="AE558" s="1" t="s">
        <v>1330</v>
      </c>
      <c r="AF558" s="1" t="s">
        <v>1414</v>
      </c>
      <c r="AG558" s="1" t="s">
        <v>53</v>
      </c>
      <c r="AH558" s="1" t="s">
        <v>49</v>
      </c>
      <c r="AI558" s="1" t="s">
        <v>54</v>
      </c>
      <c r="AJ558" s="1">
        <v>1</v>
      </c>
      <c r="AK558" s="1" t="str">
        <f t="shared" si="8"/>
        <v xml:space="preserve"> =&lt;90</v>
      </c>
      <c r="AL558" s="1" t="str">
        <f>VLOOKUP(C:C,[1]基础信息!B$1:D$65536,3,0)</f>
        <v>Jug</v>
      </c>
      <c r="AM558" s="1" t="str">
        <f>VLOOKUP(C:C,[1]基础信息!B$1:E$65536,4,0)</f>
        <v>MXpl</v>
      </c>
      <c r="AN558" s="1" t="str">
        <f>VLOOKUP(C:C,[1]基础信息!B$1:F$65536,5,0)</f>
        <v>grey</v>
      </c>
    </row>
    <row r="559" spans="1:40">
      <c r="A559" s="1" t="s">
        <v>41</v>
      </c>
      <c r="B559" s="1" t="s">
        <v>42</v>
      </c>
      <c r="C559" s="1" t="s">
        <v>208</v>
      </c>
      <c r="D559" s="1" t="s">
        <v>209</v>
      </c>
      <c r="E559" s="1" t="s">
        <v>208</v>
      </c>
      <c r="F559" s="1" t="s">
        <v>1411</v>
      </c>
      <c r="G559" s="1" t="s">
        <v>1417</v>
      </c>
      <c r="H559" s="1" t="s">
        <v>1418</v>
      </c>
      <c r="I559" s="1" t="s">
        <v>49</v>
      </c>
      <c r="J559" s="1" t="s">
        <v>48</v>
      </c>
      <c r="K559" s="1">
        <v>80</v>
      </c>
      <c r="L559" s="1">
        <v>0</v>
      </c>
      <c r="M559" s="1">
        <v>0</v>
      </c>
      <c r="N559" s="1">
        <v>80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 t="s">
        <v>49</v>
      </c>
      <c r="AA559" s="1" t="s">
        <v>49</v>
      </c>
      <c r="AB559" s="1" t="s">
        <v>49</v>
      </c>
      <c r="AC559" s="1" t="s">
        <v>1330</v>
      </c>
      <c r="AD559" s="1" t="s">
        <v>1331</v>
      </c>
      <c r="AE559" s="1" t="s">
        <v>1330</v>
      </c>
      <c r="AF559" s="1" t="s">
        <v>1414</v>
      </c>
      <c r="AG559" s="1" t="s">
        <v>53</v>
      </c>
      <c r="AH559" s="1" t="s">
        <v>49</v>
      </c>
      <c r="AI559" s="1" t="s">
        <v>54</v>
      </c>
      <c r="AJ559" s="1">
        <v>1</v>
      </c>
      <c r="AK559" s="1" t="str">
        <f t="shared" si="8"/>
        <v xml:space="preserve"> =&lt;90</v>
      </c>
      <c r="AL559" s="1" t="str">
        <f>VLOOKUP(C:C,[1]基础信息!B$1:D$65536,3,0)</f>
        <v>Jug</v>
      </c>
      <c r="AM559" s="1" t="str">
        <f>VLOOKUP(C:C,[1]基础信息!B$1:E$65536,4,0)</f>
        <v>MXpl</v>
      </c>
      <c r="AN559" s="1" t="str">
        <f>VLOOKUP(C:C,[1]基础信息!B$1:F$65536,5,0)</f>
        <v>grey</v>
      </c>
    </row>
    <row r="560" spans="1:40">
      <c r="A560" s="1" t="s">
        <v>41</v>
      </c>
      <c r="B560" s="1" t="s">
        <v>42</v>
      </c>
      <c r="C560" s="1" t="s">
        <v>83</v>
      </c>
      <c r="D560" s="1" t="s">
        <v>84</v>
      </c>
      <c r="E560" s="1" t="s">
        <v>45</v>
      </c>
      <c r="F560" s="1" t="s">
        <v>1419</v>
      </c>
      <c r="G560" s="1" t="s">
        <v>1420</v>
      </c>
      <c r="H560" s="1" t="s">
        <v>1421</v>
      </c>
      <c r="I560" s="1" t="s">
        <v>49</v>
      </c>
      <c r="J560" s="1" t="s">
        <v>48</v>
      </c>
      <c r="K560" s="1">
        <v>86</v>
      </c>
      <c r="L560" s="1">
        <v>0</v>
      </c>
      <c r="M560" s="1">
        <v>0</v>
      </c>
      <c r="N560" s="1">
        <v>86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 t="s">
        <v>49</v>
      </c>
      <c r="AA560" s="1" t="s">
        <v>49</v>
      </c>
      <c r="AB560" s="1" t="s">
        <v>49</v>
      </c>
      <c r="AC560" s="1" t="s">
        <v>213</v>
      </c>
      <c r="AD560" s="1" t="s">
        <v>214</v>
      </c>
      <c r="AE560" s="1" t="s">
        <v>215</v>
      </c>
      <c r="AF560" s="1" t="s">
        <v>1422</v>
      </c>
      <c r="AG560" s="1" t="s">
        <v>53</v>
      </c>
      <c r="AH560" s="1" t="s">
        <v>49</v>
      </c>
      <c r="AI560" s="1" t="s">
        <v>54</v>
      </c>
      <c r="AJ560" s="1">
        <v>1</v>
      </c>
      <c r="AK560" s="1" t="str">
        <f t="shared" si="8"/>
        <v xml:space="preserve"> =&lt;90</v>
      </c>
      <c r="AL560" s="1" t="str">
        <f>VLOOKUP(C:C,[1]基础信息!B$1:D$65536,3,0)</f>
        <v>Jug</v>
      </c>
      <c r="AM560" s="1" t="str">
        <f>VLOOKUP(C:C,[1]基础信息!B$1:E$65536,4,0)</f>
        <v>Mxplus</v>
      </c>
      <c r="AN560" s="1" t="str">
        <f>VLOOKUP(C:C,[1]基础信息!B$1:F$65536,5,0)</f>
        <v>Blue</v>
      </c>
    </row>
    <row r="561" spans="1:40">
      <c r="A561" s="1" t="s">
        <v>41</v>
      </c>
      <c r="B561" s="1" t="s">
        <v>42</v>
      </c>
      <c r="C561" s="1" t="s">
        <v>1383</v>
      </c>
      <c r="D561" s="1" t="s">
        <v>1384</v>
      </c>
      <c r="E561" s="1" t="s">
        <v>45</v>
      </c>
      <c r="F561" s="1" t="s">
        <v>1385</v>
      </c>
      <c r="G561" s="1" t="s">
        <v>1423</v>
      </c>
      <c r="H561" s="1" t="s">
        <v>1424</v>
      </c>
      <c r="I561" s="1" t="s">
        <v>49</v>
      </c>
      <c r="J561" s="1" t="s">
        <v>48</v>
      </c>
      <c r="K561" s="1">
        <v>96</v>
      </c>
      <c r="L561" s="1">
        <v>0</v>
      </c>
      <c r="M561" s="1">
        <v>0</v>
      </c>
      <c r="N561" s="1">
        <v>96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 t="s">
        <v>49</v>
      </c>
      <c r="AA561" s="1" t="s">
        <v>49</v>
      </c>
      <c r="AB561" s="1" t="s">
        <v>49</v>
      </c>
      <c r="AC561" s="1" t="s">
        <v>305</v>
      </c>
      <c r="AD561" s="1" t="s">
        <v>306</v>
      </c>
      <c r="AE561" s="1" t="s">
        <v>305</v>
      </c>
      <c r="AF561" s="1" t="s">
        <v>1388</v>
      </c>
      <c r="AG561" s="1" t="s">
        <v>53</v>
      </c>
      <c r="AH561" s="1" t="s">
        <v>49</v>
      </c>
      <c r="AI561" s="1" t="s">
        <v>54</v>
      </c>
      <c r="AJ561" s="1">
        <v>1</v>
      </c>
      <c r="AK561" s="1" t="str">
        <f t="shared" si="8"/>
        <v xml:space="preserve"> =&lt;90</v>
      </c>
      <c r="AL561" s="1" t="str">
        <f>VLOOKUP(C:C,[1]基础信息!B$1:D$65536,3,0)</f>
        <v>Jug</v>
      </c>
      <c r="AM561" s="1" t="str">
        <f>VLOOKUP(C:C,[1]基础信息!B$1:E$65536,4,0)</f>
        <v>Mxplus</v>
      </c>
      <c r="AN561" s="1" t="str">
        <f>VLOOKUP(C:C,[1]基础信息!B$1:F$65536,5,0)</f>
        <v>White</v>
      </c>
    </row>
    <row r="562" spans="1:40">
      <c r="A562" s="1" t="s">
        <v>41</v>
      </c>
      <c r="B562" s="1" t="s">
        <v>42</v>
      </c>
      <c r="C562" s="1" t="s">
        <v>1383</v>
      </c>
      <c r="D562" s="1" t="s">
        <v>1384</v>
      </c>
      <c r="E562" s="1" t="s">
        <v>45</v>
      </c>
      <c r="F562" s="1" t="s">
        <v>1385</v>
      </c>
      <c r="G562" s="1" t="s">
        <v>1425</v>
      </c>
      <c r="H562" s="1" t="s">
        <v>1426</v>
      </c>
      <c r="I562" s="1" t="s">
        <v>49</v>
      </c>
      <c r="J562" s="1" t="s">
        <v>48</v>
      </c>
      <c r="K562" s="1">
        <v>96</v>
      </c>
      <c r="L562" s="1">
        <v>0</v>
      </c>
      <c r="M562" s="1">
        <v>0</v>
      </c>
      <c r="N562" s="1">
        <v>96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 t="s">
        <v>49</v>
      </c>
      <c r="AA562" s="1" t="s">
        <v>49</v>
      </c>
      <c r="AB562" s="1" t="s">
        <v>49</v>
      </c>
      <c r="AC562" s="1" t="s">
        <v>305</v>
      </c>
      <c r="AD562" s="1" t="s">
        <v>306</v>
      </c>
      <c r="AE562" s="1" t="s">
        <v>305</v>
      </c>
      <c r="AF562" s="1" t="s">
        <v>1388</v>
      </c>
      <c r="AG562" s="1" t="s">
        <v>53</v>
      </c>
      <c r="AH562" s="1" t="s">
        <v>49</v>
      </c>
      <c r="AI562" s="1" t="s">
        <v>54</v>
      </c>
      <c r="AJ562" s="1">
        <v>1</v>
      </c>
      <c r="AK562" s="1" t="str">
        <f t="shared" si="8"/>
        <v xml:space="preserve"> =&lt;90</v>
      </c>
      <c r="AL562" s="1" t="str">
        <f>VLOOKUP(C:C,[1]基础信息!B$1:D$65536,3,0)</f>
        <v>Jug</v>
      </c>
      <c r="AM562" s="1" t="str">
        <f>VLOOKUP(C:C,[1]基础信息!B$1:E$65536,4,0)</f>
        <v>Mxplus</v>
      </c>
      <c r="AN562" s="1" t="str">
        <f>VLOOKUP(C:C,[1]基础信息!B$1:F$65536,5,0)</f>
        <v>White</v>
      </c>
    </row>
    <row r="563" spans="1:40">
      <c r="A563" s="1" t="s">
        <v>41</v>
      </c>
      <c r="B563" s="1" t="s">
        <v>42</v>
      </c>
      <c r="C563" s="1" t="s">
        <v>1383</v>
      </c>
      <c r="D563" s="1" t="s">
        <v>1384</v>
      </c>
      <c r="E563" s="1" t="s">
        <v>45</v>
      </c>
      <c r="F563" s="1" t="s">
        <v>1385</v>
      </c>
      <c r="G563" s="1" t="s">
        <v>1427</v>
      </c>
      <c r="H563" s="1" t="s">
        <v>1428</v>
      </c>
      <c r="I563" s="1" t="s">
        <v>49</v>
      </c>
      <c r="J563" s="1" t="s">
        <v>48</v>
      </c>
      <c r="K563" s="1">
        <v>96</v>
      </c>
      <c r="L563" s="1">
        <v>0</v>
      </c>
      <c r="M563" s="1">
        <v>0</v>
      </c>
      <c r="N563" s="1">
        <v>96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 t="s">
        <v>49</v>
      </c>
      <c r="AA563" s="1" t="s">
        <v>49</v>
      </c>
      <c r="AB563" s="1" t="s">
        <v>49</v>
      </c>
      <c r="AC563" s="1" t="s">
        <v>305</v>
      </c>
      <c r="AD563" s="1" t="s">
        <v>306</v>
      </c>
      <c r="AE563" s="1" t="s">
        <v>305</v>
      </c>
      <c r="AF563" s="1" t="s">
        <v>1388</v>
      </c>
      <c r="AG563" s="1" t="s">
        <v>53</v>
      </c>
      <c r="AH563" s="1" t="s">
        <v>49</v>
      </c>
      <c r="AI563" s="1" t="s">
        <v>54</v>
      </c>
      <c r="AJ563" s="1">
        <v>1</v>
      </c>
      <c r="AK563" s="1" t="str">
        <f t="shared" si="8"/>
        <v xml:space="preserve"> =&lt;90</v>
      </c>
      <c r="AL563" s="1" t="str">
        <f>VLOOKUP(C:C,[1]基础信息!B$1:D$65536,3,0)</f>
        <v>Jug</v>
      </c>
      <c r="AM563" s="1" t="str">
        <f>VLOOKUP(C:C,[1]基础信息!B$1:E$65536,4,0)</f>
        <v>Mxplus</v>
      </c>
      <c r="AN563" s="1" t="str">
        <f>VLOOKUP(C:C,[1]基础信息!B$1:F$65536,5,0)</f>
        <v>White</v>
      </c>
    </row>
    <row r="564" spans="1:40">
      <c r="A564" s="1" t="s">
        <v>41</v>
      </c>
      <c r="B564" s="1" t="s">
        <v>42</v>
      </c>
      <c r="C564" s="1" t="s">
        <v>1383</v>
      </c>
      <c r="D564" s="1" t="s">
        <v>1384</v>
      </c>
      <c r="E564" s="1" t="s">
        <v>45</v>
      </c>
      <c r="F564" s="1" t="s">
        <v>1385</v>
      </c>
      <c r="G564" s="1" t="s">
        <v>1429</v>
      </c>
      <c r="H564" s="1" t="s">
        <v>1430</v>
      </c>
      <c r="I564" s="1" t="s">
        <v>49</v>
      </c>
      <c r="J564" s="1" t="s">
        <v>48</v>
      </c>
      <c r="K564" s="1">
        <v>96</v>
      </c>
      <c r="L564" s="1">
        <v>0</v>
      </c>
      <c r="M564" s="1">
        <v>0</v>
      </c>
      <c r="N564" s="1">
        <v>96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 t="s">
        <v>49</v>
      </c>
      <c r="AA564" s="1" t="s">
        <v>49</v>
      </c>
      <c r="AB564" s="1" t="s">
        <v>49</v>
      </c>
      <c r="AC564" s="1" t="s">
        <v>305</v>
      </c>
      <c r="AD564" s="1" t="s">
        <v>306</v>
      </c>
      <c r="AE564" s="1" t="s">
        <v>305</v>
      </c>
      <c r="AF564" s="1" t="s">
        <v>1388</v>
      </c>
      <c r="AG564" s="1" t="s">
        <v>53</v>
      </c>
      <c r="AH564" s="1" t="s">
        <v>49</v>
      </c>
      <c r="AI564" s="1" t="s">
        <v>54</v>
      </c>
      <c r="AJ564" s="1">
        <v>1</v>
      </c>
      <c r="AK564" s="1" t="str">
        <f t="shared" si="8"/>
        <v xml:space="preserve"> =&lt;90</v>
      </c>
      <c r="AL564" s="1" t="str">
        <f>VLOOKUP(C:C,[1]基础信息!B$1:D$65536,3,0)</f>
        <v>Jug</v>
      </c>
      <c r="AM564" s="1" t="str">
        <f>VLOOKUP(C:C,[1]基础信息!B$1:E$65536,4,0)</f>
        <v>Mxplus</v>
      </c>
      <c r="AN564" s="1" t="str">
        <f>VLOOKUP(C:C,[1]基础信息!B$1:F$65536,5,0)</f>
        <v>White</v>
      </c>
    </row>
    <row r="565" spans="1:40">
      <c r="A565" s="1" t="s">
        <v>41</v>
      </c>
      <c r="B565" s="1" t="s">
        <v>42</v>
      </c>
      <c r="C565" s="1" t="s">
        <v>1383</v>
      </c>
      <c r="D565" s="1" t="s">
        <v>1384</v>
      </c>
      <c r="E565" s="1" t="s">
        <v>45</v>
      </c>
      <c r="F565" s="1" t="s">
        <v>1385</v>
      </c>
      <c r="G565" s="1" t="s">
        <v>1431</v>
      </c>
      <c r="H565" s="1" t="s">
        <v>1432</v>
      </c>
      <c r="I565" s="1" t="s">
        <v>49</v>
      </c>
      <c r="J565" s="1" t="s">
        <v>48</v>
      </c>
      <c r="K565" s="1">
        <v>96</v>
      </c>
      <c r="L565" s="1">
        <v>0</v>
      </c>
      <c r="M565" s="1">
        <v>0</v>
      </c>
      <c r="N565" s="1">
        <v>96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 t="s">
        <v>49</v>
      </c>
      <c r="AA565" s="1" t="s">
        <v>49</v>
      </c>
      <c r="AB565" s="1" t="s">
        <v>49</v>
      </c>
      <c r="AC565" s="1" t="s">
        <v>305</v>
      </c>
      <c r="AD565" s="1" t="s">
        <v>306</v>
      </c>
      <c r="AE565" s="1" t="s">
        <v>305</v>
      </c>
      <c r="AF565" s="1" t="s">
        <v>1388</v>
      </c>
      <c r="AG565" s="1" t="s">
        <v>53</v>
      </c>
      <c r="AH565" s="1" t="s">
        <v>49</v>
      </c>
      <c r="AI565" s="1" t="s">
        <v>54</v>
      </c>
      <c r="AJ565" s="1">
        <v>1</v>
      </c>
      <c r="AK565" s="1" t="str">
        <f t="shared" si="8"/>
        <v xml:space="preserve"> =&lt;90</v>
      </c>
      <c r="AL565" s="1" t="str">
        <f>VLOOKUP(C:C,[1]基础信息!B$1:D$65536,3,0)</f>
        <v>Jug</v>
      </c>
      <c r="AM565" s="1" t="str">
        <f>VLOOKUP(C:C,[1]基础信息!B$1:E$65536,4,0)</f>
        <v>Mxplus</v>
      </c>
      <c r="AN565" s="1" t="str">
        <f>VLOOKUP(C:C,[1]基础信息!B$1:F$65536,5,0)</f>
        <v>White</v>
      </c>
    </row>
    <row r="566" spans="1:40">
      <c r="A566" s="1" t="s">
        <v>41</v>
      </c>
      <c r="B566" s="1" t="s">
        <v>42</v>
      </c>
      <c r="C566" s="1" t="s">
        <v>1383</v>
      </c>
      <c r="D566" s="1" t="s">
        <v>1384</v>
      </c>
      <c r="E566" s="1" t="s">
        <v>45</v>
      </c>
      <c r="F566" s="1" t="s">
        <v>1385</v>
      </c>
      <c r="G566" s="1" t="s">
        <v>1433</v>
      </c>
      <c r="H566" s="1" t="s">
        <v>1434</v>
      </c>
      <c r="I566" s="1" t="s">
        <v>49</v>
      </c>
      <c r="J566" s="1" t="s">
        <v>48</v>
      </c>
      <c r="K566" s="1">
        <v>96</v>
      </c>
      <c r="L566" s="1">
        <v>0</v>
      </c>
      <c r="M566" s="1">
        <v>0</v>
      </c>
      <c r="N566" s="1">
        <v>96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 t="s">
        <v>49</v>
      </c>
      <c r="AA566" s="1" t="s">
        <v>49</v>
      </c>
      <c r="AB566" s="1" t="s">
        <v>49</v>
      </c>
      <c r="AC566" s="1" t="s">
        <v>305</v>
      </c>
      <c r="AD566" s="1" t="s">
        <v>306</v>
      </c>
      <c r="AE566" s="1" t="s">
        <v>305</v>
      </c>
      <c r="AF566" s="1" t="s">
        <v>1388</v>
      </c>
      <c r="AG566" s="1" t="s">
        <v>53</v>
      </c>
      <c r="AH566" s="1" t="s">
        <v>49</v>
      </c>
      <c r="AI566" s="1" t="s">
        <v>54</v>
      </c>
      <c r="AJ566" s="1">
        <v>1</v>
      </c>
      <c r="AK566" s="1" t="str">
        <f t="shared" si="8"/>
        <v xml:space="preserve"> =&lt;90</v>
      </c>
      <c r="AL566" s="1" t="str">
        <f>VLOOKUP(C:C,[1]基础信息!B$1:D$65536,3,0)</f>
        <v>Jug</v>
      </c>
      <c r="AM566" s="1" t="str">
        <f>VLOOKUP(C:C,[1]基础信息!B$1:E$65536,4,0)</f>
        <v>Mxplus</v>
      </c>
      <c r="AN566" s="1" t="str">
        <f>VLOOKUP(C:C,[1]基础信息!B$1:F$65536,5,0)</f>
        <v>White</v>
      </c>
    </row>
    <row r="567" spans="1:40">
      <c r="A567" s="1" t="s">
        <v>41</v>
      </c>
      <c r="B567" s="1" t="s">
        <v>42</v>
      </c>
      <c r="C567" s="1" t="s">
        <v>285</v>
      </c>
      <c r="D567" s="1" t="s">
        <v>286</v>
      </c>
      <c r="E567" s="1" t="s">
        <v>45</v>
      </c>
      <c r="F567" s="1" t="s">
        <v>287</v>
      </c>
      <c r="G567" s="1" t="s">
        <v>1435</v>
      </c>
      <c r="H567" s="1" t="s">
        <v>1436</v>
      </c>
      <c r="I567" s="1" t="s">
        <v>49</v>
      </c>
      <c r="J567" s="1" t="s">
        <v>48</v>
      </c>
      <c r="K567" s="1">
        <v>70</v>
      </c>
      <c r="L567" s="1">
        <v>0</v>
      </c>
      <c r="M567" s="1">
        <v>0</v>
      </c>
      <c r="N567" s="1">
        <v>70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 t="s">
        <v>49</v>
      </c>
      <c r="AA567" s="1" t="s">
        <v>49</v>
      </c>
      <c r="AB567" s="1" t="s">
        <v>49</v>
      </c>
      <c r="AC567" s="1" t="s">
        <v>290</v>
      </c>
      <c r="AD567" s="1" t="s">
        <v>291</v>
      </c>
      <c r="AE567" s="1" t="s">
        <v>290</v>
      </c>
      <c r="AF567" s="1" t="s">
        <v>292</v>
      </c>
      <c r="AG567" s="1" t="s">
        <v>53</v>
      </c>
      <c r="AH567" s="1" t="s">
        <v>49</v>
      </c>
      <c r="AI567" s="1" t="s">
        <v>54</v>
      </c>
      <c r="AJ567" s="1">
        <v>1</v>
      </c>
      <c r="AK567" s="1" t="str">
        <f t="shared" si="8"/>
        <v xml:space="preserve"> =&lt;90</v>
      </c>
      <c r="AL567" s="1" t="str">
        <f>VLOOKUP(C:C,[1]基础信息!B$1:D$65536,3,0)</f>
        <v>Jug</v>
      </c>
      <c r="AM567" s="1" t="str">
        <f>VLOOKUP(C:C,[1]基础信息!B$1:E$65536,4,0)</f>
        <v>Marella XL</v>
      </c>
      <c r="AN567" s="1" t="str">
        <f>VLOOKUP(C:C,[1]基础信息!B$1:F$65536,5,0)</f>
        <v>Blue</v>
      </c>
    </row>
    <row r="568" spans="1:40">
      <c r="A568" s="1" t="s">
        <v>41</v>
      </c>
      <c r="B568" s="1" t="s">
        <v>42</v>
      </c>
      <c r="C568" s="1" t="s">
        <v>1437</v>
      </c>
      <c r="D568" s="1" t="s">
        <v>1438</v>
      </c>
      <c r="E568" s="1" t="s">
        <v>45</v>
      </c>
      <c r="F568" s="1" t="s">
        <v>1439</v>
      </c>
      <c r="G568" s="1" t="s">
        <v>1440</v>
      </c>
      <c r="H568" s="1" t="s">
        <v>45</v>
      </c>
      <c r="I568" s="1" t="s">
        <v>45</v>
      </c>
      <c r="J568" s="1" t="s">
        <v>48</v>
      </c>
      <c r="K568" s="1">
        <v>257</v>
      </c>
      <c r="L568" s="1">
        <v>0</v>
      </c>
      <c r="M568" s="1">
        <v>0</v>
      </c>
      <c r="N568" s="1">
        <v>257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 t="s">
        <v>49</v>
      </c>
      <c r="AA568" s="1" t="s">
        <v>49</v>
      </c>
      <c r="AB568" s="1" t="s">
        <v>49</v>
      </c>
      <c r="AC568" s="1" t="s">
        <v>1441</v>
      </c>
      <c r="AD568" s="1" t="s">
        <v>1442</v>
      </c>
      <c r="AE568" s="1" t="s">
        <v>1441</v>
      </c>
      <c r="AF568" s="1" t="s">
        <v>49</v>
      </c>
      <c r="AG568" s="1" t="s">
        <v>227</v>
      </c>
      <c r="AH568" s="1" t="s">
        <v>49</v>
      </c>
      <c r="AI568" s="1" t="s">
        <v>54</v>
      </c>
      <c r="AJ568" s="1">
        <v>1</v>
      </c>
      <c r="AK568" s="1" t="str">
        <f t="shared" si="8"/>
        <v xml:space="preserve"> =&lt;90</v>
      </c>
      <c r="AL568" s="1" t="str">
        <f>VLOOKUP(C:C,[1]基础信息!B$1:D$65536,3,0)</f>
        <v>On tap</v>
      </c>
      <c r="AM568" s="1" t="str">
        <f>VLOOKUP(C:C,[1]基础信息!B$1:E$65536,4,0)</f>
        <v>On tap</v>
      </c>
      <c r="AN568" s="1" t="str">
        <f>VLOOKUP(C:C,[1]基础信息!B$1:F$65536,5,0)</f>
        <v>On tap</v>
      </c>
    </row>
    <row r="569" spans="1:40">
      <c r="A569" s="1" t="s">
        <v>41</v>
      </c>
      <c r="B569" s="1" t="s">
        <v>42</v>
      </c>
      <c r="C569" s="1" t="s">
        <v>285</v>
      </c>
      <c r="D569" s="1" t="s">
        <v>286</v>
      </c>
      <c r="E569" s="1" t="s">
        <v>45</v>
      </c>
      <c r="F569" s="1" t="s">
        <v>287</v>
      </c>
      <c r="G569" s="1" t="s">
        <v>1443</v>
      </c>
      <c r="H569" s="1" t="s">
        <v>1444</v>
      </c>
      <c r="I569" s="1" t="s">
        <v>49</v>
      </c>
      <c r="J569" s="1" t="s">
        <v>48</v>
      </c>
      <c r="K569" s="1">
        <v>70</v>
      </c>
      <c r="L569" s="1">
        <v>0</v>
      </c>
      <c r="M569" s="1">
        <v>0</v>
      </c>
      <c r="N569" s="1">
        <v>70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 t="s">
        <v>49</v>
      </c>
      <c r="AA569" s="1" t="s">
        <v>49</v>
      </c>
      <c r="AB569" s="1" t="s">
        <v>49</v>
      </c>
      <c r="AC569" s="1" t="s">
        <v>290</v>
      </c>
      <c r="AD569" s="1" t="s">
        <v>291</v>
      </c>
      <c r="AE569" s="1" t="s">
        <v>290</v>
      </c>
      <c r="AF569" s="1" t="s">
        <v>292</v>
      </c>
      <c r="AG569" s="1" t="s">
        <v>53</v>
      </c>
      <c r="AH569" s="1" t="s">
        <v>49</v>
      </c>
      <c r="AI569" s="1" t="s">
        <v>54</v>
      </c>
      <c r="AJ569" s="1">
        <v>1</v>
      </c>
      <c r="AK569" s="1" t="str">
        <f t="shared" si="8"/>
        <v xml:space="preserve"> =&lt;90</v>
      </c>
      <c r="AL569" s="1" t="str">
        <f>VLOOKUP(C:C,[1]基础信息!B$1:D$65536,3,0)</f>
        <v>Jug</v>
      </c>
      <c r="AM569" s="1" t="str">
        <f>VLOOKUP(C:C,[1]基础信息!B$1:E$65536,4,0)</f>
        <v>Marella XL</v>
      </c>
      <c r="AN569" s="1" t="str">
        <f>VLOOKUP(C:C,[1]基础信息!B$1:F$65536,5,0)</f>
        <v>Blue</v>
      </c>
    </row>
    <row r="570" spans="1:40">
      <c r="A570" s="1" t="s">
        <v>41</v>
      </c>
      <c r="B570" s="1" t="s">
        <v>42</v>
      </c>
      <c r="C570" s="1" t="s">
        <v>285</v>
      </c>
      <c r="D570" s="1" t="s">
        <v>286</v>
      </c>
      <c r="E570" s="1" t="s">
        <v>45</v>
      </c>
      <c r="F570" s="1" t="s">
        <v>287</v>
      </c>
      <c r="G570" s="1" t="s">
        <v>1445</v>
      </c>
      <c r="H570" s="1" t="s">
        <v>1446</v>
      </c>
      <c r="I570" s="1" t="s">
        <v>49</v>
      </c>
      <c r="J570" s="1" t="s">
        <v>48</v>
      </c>
      <c r="K570" s="1">
        <v>70</v>
      </c>
      <c r="L570" s="1">
        <v>0</v>
      </c>
      <c r="M570" s="1">
        <v>0</v>
      </c>
      <c r="N570" s="1">
        <v>70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 t="s">
        <v>49</v>
      </c>
      <c r="AA570" s="1" t="s">
        <v>49</v>
      </c>
      <c r="AB570" s="1" t="s">
        <v>49</v>
      </c>
      <c r="AC570" s="1" t="s">
        <v>290</v>
      </c>
      <c r="AD570" s="1" t="s">
        <v>291</v>
      </c>
      <c r="AE570" s="1" t="s">
        <v>290</v>
      </c>
      <c r="AF570" s="1" t="s">
        <v>292</v>
      </c>
      <c r="AG570" s="1" t="s">
        <v>53</v>
      </c>
      <c r="AH570" s="1" t="s">
        <v>49</v>
      </c>
      <c r="AI570" s="1" t="s">
        <v>54</v>
      </c>
      <c r="AJ570" s="1">
        <v>1</v>
      </c>
      <c r="AK570" s="1" t="str">
        <f t="shared" si="8"/>
        <v xml:space="preserve"> =&lt;90</v>
      </c>
      <c r="AL570" s="1" t="str">
        <f>VLOOKUP(C:C,[1]基础信息!B$1:D$65536,3,0)</f>
        <v>Jug</v>
      </c>
      <c r="AM570" s="1" t="str">
        <f>VLOOKUP(C:C,[1]基础信息!B$1:E$65536,4,0)</f>
        <v>Marella XL</v>
      </c>
      <c r="AN570" s="1" t="str">
        <f>VLOOKUP(C:C,[1]基础信息!B$1:F$65536,5,0)</f>
        <v>Blue</v>
      </c>
    </row>
    <row r="571" spans="1:40">
      <c r="A571" s="1" t="s">
        <v>41</v>
      </c>
      <c r="B571" s="1" t="s">
        <v>42</v>
      </c>
      <c r="C571" s="1" t="s">
        <v>285</v>
      </c>
      <c r="D571" s="1" t="s">
        <v>286</v>
      </c>
      <c r="E571" s="1" t="s">
        <v>45</v>
      </c>
      <c r="F571" s="1" t="s">
        <v>287</v>
      </c>
      <c r="G571" s="1" t="s">
        <v>1447</v>
      </c>
      <c r="H571" s="1" t="s">
        <v>1448</v>
      </c>
      <c r="I571" s="1" t="s">
        <v>49</v>
      </c>
      <c r="J571" s="1" t="s">
        <v>48</v>
      </c>
      <c r="K571" s="1">
        <v>70</v>
      </c>
      <c r="L571" s="1">
        <v>0</v>
      </c>
      <c r="M571" s="1">
        <v>0</v>
      </c>
      <c r="N571" s="1">
        <v>70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 t="s">
        <v>49</v>
      </c>
      <c r="AA571" s="1" t="s">
        <v>49</v>
      </c>
      <c r="AB571" s="1" t="s">
        <v>49</v>
      </c>
      <c r="AC571" s="1" t="s">
        <v>290</v>
      </c>
      <c r="AD571" s="1" t="s">
        <v>291</v>
      </c>
      <c r="AE571" s="1" t="s">
        <v>290</v>
      </c>
      <c r="AF571" s="1" t="s">
        <v>292</v>
      </c>
      <c r="AG571" s="1" t="s">
        <v>53</v>
      </c>
      <c r="AH571" s="1" t="s">
        <v>49</v>
      </c>
      <c r="AI571" s="1" t="s">
        <v>54</v>
      </c>
      <c r="AJ571" s="1">
        <v>1</v>
      </c>
      <c r="AK571" s="1" t="str">
        <f t="shared" si="8"/>
        <v xml:space="preserve"> =&lt;90</v>
      </c>
      <c r="AL571" s="1" t="str">
        <f>VLOOKUP(C:C,[1]基础信息!B$1:D$65536,3,0)</f>
        <v>Jug</v>
      </c>
      <c r="AM571" s="1" t="str">
        <f>VLOOKUP(C:C,[1]基础信息!B$1:E$65536,4,0)</f>
        <v>Marella XL</v>
      </c>
      <c r="AN571" s="1" t="str">
        <f>VLOOKUP(C:C,[1]基础信息!B$1:F$65536,5,0)</f>
        <v>Blue</v>
      </c>
    </row>
    <row r="572" spans="1:40">
      <c r="A572" s="1" t="s">
        <v>41</v>
      </c>
      <c r="B572" s="1" t="s">
        <v>42</v>
      </c>
      <c r="C572" s="1" t="s">
        <v>208</v>
      </c>
      <c r="D572" s="1" t="s">
        <v>209</v>
      </c>
      <c r="E572" s="1" t="s">
        <v>208</v>
      </c>
      <c r="F572" s="1" t="s">
        <v>373</v>
      </c>
      <c r="G572" s="1" t="s">
        <v>1449</v>
      </c>
      <c r="H572" s="1" t="s">
        <v>1450</v>
      </c>
      <c r="I572" s="1" t="s">
        <v>49</v>
      </c>
      <c r="J572" s="1" t="s">
        <v>48</v>
      </c>
      <c r="K572" s="1">
        <v>80</v>
      </c>
      <c r="L572" s="1">
        <v>0</v>
      </c>
      <c r="M572" s="1">
        <v>0</v>
      </c>
      <c r="N572" s="1">
        <v>80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 t="s">
        <v>49</v>
      </c>
      <c r="AA572" s="1" t="s">
        <v>49</v>
      </c>
      <c r="AB572" s="1" t="s">
        <v>49</v>
      </c>
      <c r="AC572" s="1" t="s">
        <v>376</v>
      </c>
      <c r="AD572" s="1" t="s">
        <v>377</v>
      </c>
      <c r="AE572" s="1" t="s">
        <v>376</v>
      </c>
      <c r="AF572" s="1" t="s">
        <v>378</v>
      </c>
      <c r="AG572" s="1" t="s">
        <v>53</v>
      </c>
      <c r="AH572" s="1" t="s">
        <v>49</v>
      </c>
      <c r="AI572" s="1" t="s">
        <v>54</v>
      </c>
      <c r="AJ572" s="1">
        <v>1</v>
      </c>
      <c r="AK572" s="1" t="str">
        <f t="shared" si="8"/>
        <v xml:space="preserve"> =&lt;90</v>
      </c>
      <c r="AL572" s="1" t="str">
        <f>VLOOKUP(C:C,[1]基础信息!B$1:D$65536,3,0)</f>
        <v>Jug</v>
      </c>
      <c r="AM572" s="1" t="str">
        <f>VLOOKUP(C:C,[1]基础信息!B$1:E$65536,4,0)</f>
        <v>MXpl</v>
      </c>
      <c r="AN572" s="1" t="str">
        <f>VLOOKUP(C:C,[1]基础信息!B$1:F$65536,5,0)</f>
        <v>grey</v>
      </c>
    </row>
    <row r="573" spans="1:40">
      <c r="A573" s="1" t="s">
        <v>41</v>
      </c>
      <c r="B573" s="1" t="s">
        <v>42</v>
      </c>
      <c r="C573" s="1" t="s">
        <v>208</v>
      </c>
      <c r="D573" s="1" t="s">
        <v>209</v>
      </c>
      <c r="E573" s="1" t="s">
        <v>208</v>
      </c>
      <c r="F573" s="1" t="s">
        <v>373</v>
      </c>
      <c r="G573" s="1" t="s">
        <v>1451</v>
      </c>
      <c r="H573" s="1" t="s">
        <v>1452</v>
      </c>
      <c r="I573" s="1" t="s">
        <v>49</v>
      </c>
      <c r="J573" s="1" t="s">
        <v>48</v>
      </c>
      <c r="K573" s="1">
        <v>80</v>
      </c>
      <c r="L573" s="1">
        <v>0</v>
      </c>
      <c r="M573" s="1">
        <v>0</v>
      </c>
      <c r="N573" s="1">
        <v>80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 t="s">
        <v>49</v>
      </c>
      <c r="AA573" s="1" t="s">
        <v>49</v>
      </c>
      <c r="AB573" s="1" t="s">
        <v>49</v>
      </c>
      <c r="AC573" s="1" t="s">
        <v>376</v>
      </c>
      <c r="AD573" s="1" t="s">
        <v>377</v>
      </c>
      <c r="AE573" s="1" t="s">
        <v>376</v>
      </c>
      <c r="AF573" s="1" t="s">
        <v>378</v>
      </c>
      <c r="AG573" s="1" t="s">
        <v>53</v>
      </c>
      <c r="AH573" s="1" t="s">
        <v>49</v>
      </c>
      <c r="AI573" s="1" t="s">
        <v>54</v>
      </c>
      <c r="AJ573" s="1">
        <v>1</v>
      </c>
      <c r="AK573" s="1" t="str">
        <f t="shared" si="8"/>
        <v xml:space="preserve"> =&lt;90</v>
      </c>
      <c r="AL573" s="1" t="str">
        <f>VLOOKUP(C:C,[1]基础信息!B$1:D$65536,3,0)</f>
        <v>Jug</v>
      </c>
      <c r="AM573" s="1" t="str">
        <f>VLOOKUP(C:C,[1]基础信息!B$1:E$65536,4,0)</f>
        <v>MXpl</v>
      </c>
      <c r="AN573" s="1" t="str">
        <f>VLOOKUP(C:C,[1]基础信息!B$1:F$65536,5,0)</f>
        <v>grey</v>
      </c>
    </row>
    <row r="574" spans="1:40">
      <c r="A574" s="1" t="s">
        <v>41</v>
      </c>
      <c r="B574" s="1" t="s">
        <v>42</v>
      </c>
      <c r="C574" s="1" t="s">
        <v>208</v>
      </c>
      <c r="D574" s="1" t="s">
        <v>209</v>
      </c>
      <c r="E574" s="1" t="s">
        <v>208</v>
      </c>
      <c r="F574" s="1" t="s">
        <v>373</v>
      </c>
      <c r="G574" s="1" t="s">
        <v>1453</v>
      </c>
      <c r="H574" s="1" t="s">
        <v>1454</v>
      </c>
      <c r="I574" s="1" t="s">
        <v>49</v>
      </c>
      <c r="J574" s="1" t="s">
        <v>48</v>
      </c>
      <c r="K574" s="1">
        <v>80</v>
      </c>
      <c r="L574" s="1">
        <v>0</v>
      </c>
      <c r="M574" s="1">
        <v>0</v>
      </c>
      <c r="N574" s="1">
        <v>80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 t="s">
        <v>49</v>
      </c>
      <c r="AA574" s="1" t="s">
        <v>49</v>
      </c>
      <c r="AB574" s="1" t="s">
        <v>49</v>
      </c>
      <c r="AC574" s="1" t="s">
        <v>376</v>
      </c>
      <c r="AD574" s="1" t="s">
        <v>377</v>
      </c>
      <c r="AE574" s="1" t="s">
        <v>376</v>
      </c>
      <c r="AF574" s="1" t="s">
        <v>378</v>
      </c>
      <c r="AG574" s="1" t="s">
        <v>53</v>
      </c>
      <c r="AH574" s="1" t="s">
        <v>49</v>
      </c>
      <c r="AI574" s="1" t="s">
        <v>54</v>
      </c>
      <c r="AJ574" s="1">
        <v>1</v>
      </c>
      <c r="AK574" s="1" t="str">
        <f t="shared" si="8"/>
        <v xml:space="preserve"> =&lt;90</v>
      </c>
      <c r="AL574" s="1" t="str">
        <f>VLOOKUP(C:C,[1]基础信息!B$1:D$65536,3,0)</f>
        <v>Jug</v>
      </c>
      <c r="AM574" s="1" t="str">
        <f>VLOOKUP(C:C,[1]基础信息!B$1:E$65536,4,0)</f>
        <v>MXpl</v>
      </c>
      <c r="AN574" s="1" t="str">
        <f>VLOOKUP(C:C,[1]基础信息!B$1:F$65536,5,0)</f>
        <v>grey</v>
      </c>
    </row>
    <row r="575" spans="1:40">
      <c r="A575" s="1" t="s">
        <v>41</v>
      </c>
      <c r="B575" s="1" t="s">
        <v>42</v>
      </c>
      <c r="C575" s="1" t="s">
        <v>1383</v>
      </c>
      <c r="D575" s="1" t="s">
        <v>1384</v>
      </c>
      <c r="E575" s="1" t="s">
        <v>45</v>
      </c>
      <c r="F575" s="1" t="s">
        <v>1385</v>
      </c>
      <c r="G575" s="1" t="s">
        <v>1455</v>
      </c>
      <c r="H575" s="1" t="s">
        <v>1456</v>
      </c>
      <c r="I575" s="1" t="s">
        <v>49</v>
      </c>
      <c r="J575" s="1" t="s">
        <v>48</v>
      </c>
      <c r="K575" s="1">
        <v>96</v>
      </c>
      <c r="L575" s="1">
        <v>0</v>
      </c>
      <c r="M575" s="1">
        <v>0</v>
      </c>
      <c r="N575" s="1">
        <v>96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 t="s">
        <v>49</v>
      </c>
      <c r="AA575" s="1" t="s">
        <v>49</v>
      </c>
      <c r="AB575" s="1" t="s">
        <v>49</v>
      </c>
      <c r="AC575" s="1" t="s">
        <v>305</v>
      </c>
      <c r="AD575" s="1" t="s">
        <v>306</v>
      </c>
      <c r="AE575" s="1" t="s">
        <v>305</v>
      </c>
      <c r="AF575" s="1" t="s">
        <v>1388</v>
      </c>
      <c r="AG575" s="1" t="s">
        <v>53</v>
      </c>
      <c r="AH575" s="1" t="s">
        <v>49</v>
      </c>
      <c r="AI575" s="1" t="s">
        <v>54</v>
      </c>
      <c r="AJ575" s="1">
        <v>1</v>
      </c>
      <c r="AK575" s="1" t="str">
        <f t="shared" si="8"/>
        <v xml:space="preserve"> =&lt;90</v>
      </c>
      <c r="AL575" s="1" t="str">
        <f>VLOOKUP(C:C,[1]基础信息!B$1:D$65536,3,0)</f>
        <v>Jug</v>
      </c>
      <c r="AM575" s="1" t="str">
        <f>VLOOKUP(C:C,[1]基础信息!B$1:E$65536,4,0)</f>
        <v>Mxplus</v>
      </c>
      <c r="AN575" s="1" t="str">
        <f>VLOOKUP(C:C,[1]基础信息!B$1:F$65536,5,0)</f>
        <v>White</v>
      </c>
    </row>
    <row r="576" spans="1:40">
      <c r="A576" s="1" t="s">
        <v>41</v>
      </c>
      <c r="B576" s="1" t="s">
        <v>42</v>
      </c>
      <c r="C576" s="1" t="s">
        <v>1383</v>
      </c>
      <c r="D576" s="1" t="s">
        <v>1384</v>
      </c>
      <c r="E576" s="1" t="s">
        <v>45</v>
      </c>
      <c r="F576" s="1" t="s">
        <v>1385</v>
      </c>
      <c r="G576" s="1" t="s">
        <v>1457</v>
      </c>
      <c r="H576" s="1" t="s">
        <v>1458</v>
      </c>
      <c r="I576" s="1" t="s">
        <v>49</v>
      </c>
      <c r="J576" s="1" t="s">
        <v>48</v>
      </c>
      <c r="K576" s="1">
        <v>96</v>
      </c>
      <c r="L576" s="1">
        <v>0</v>
      </c>
      <c r="M576" s="1">
        <v>0</v>
      </c>
      <c r="N576" s="1">
        <v>96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 t="s">
        <v>49</v>
      </c>
      <c r="AA576" s="1" t="s">
        <v>49</v>
      </c>
      <c r="AB576" s="1" t="s">
        <v>49</v>
      </c>
      <c r="AC576" s="1" t="s">
        <v>305</v>
      </c>
      <c r="AD576" s="1" t="s">
        <v>306</v>
      </c>
      <c r="AE576" s="1" t="s">
        <v>305</v>
      </c>
      <c r="AF576" s="1" t="s">
        <v>1388</v>
      </c>
      <c r="AG576" s="1" t="s">
        <v>53</v>
      </c>
      <c r="AH576" s="1" t="s">
        <v>49</v>
      </c>
      <c r="AI576" s="1" t="s">
        <v>54</v>
      </c>
      <c r="AJ576" s="1">
        <v>1</v>
      </c>
      <c r="AK576" s="1" t="str">
        <f t="shared" si="8"/>
        <v xml:space="preserve"> =&lt;90</v>
      </c>
      <c r="AL576" s="1" t="str">
        <f>VLOOKUP(C:C,[1]基础信息!B$1:D$65536,3,0)</f>
        <v>Jug</v>
      </c>
      <c r="AM576" s="1" t="str">
        <f>VLOOKUP(C:C,[1]基础信息!B$1:E$65536,4,0)</f>
        <v>Mxplus</v>
      </c>
      <c r="AN576" s="1" t="str">
        <f>VLOOKUP(C:C,[1]基础信息!B$1:F$65536,5,0)</f>
        <v>White</v>
      </c>
    </row>
    <row r="577" spans="1:40">
      <c r="A577" s="1" t="s">
        <v>41</v>
      </c>
      <c r="B577" s="1" t="s">
        <v>42</v>
      </c>
      <c r="C577" s="1" t="s">
        <v>417</v>
      </c>
      <c r="D577" s="1" t="s">
        <v>418</v>
      </c>
      <c r="E577" s="1" t="s">
        <v>45</v>
      </c>
      <c r="F577" s="1" t="s">
        <v>1374</v>
      </c>
      <c r="G577" s="1" t="s">
        <v>1459</v>
      </c>
      <c r="H577" s="1" t="s">
        <v>1460</v>
      </c>
      <c r="I577" s="1" t="s">
        <v>49</v>
      </c>
      <c r="J577" s="1" t="s">
        <v>48</v>
      </c>
      <c r="K577" s="1">
        <v>96</v>
      </c>
      <c r="L577" s="1">
        <v>0</v>
      </c>
      <c r="M577" s="1">
        <v>0</v>
      </c>
      <c r="N577" s="1">
        <v>96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 t="s">
        <v>49</v>
      </c>
      <c r="AA577" s="1" t="s">
        <v>49</v>
      </c>
      <c r="AB577" s="1" t="s">
        <v>49</v>
      </c>
      <c r="AC577" s="1" t="s">
        <v>1377</v>
      </c>
      <c r="AD577" s="1" t="s">
        <v>1378</v>
      </c>
      <c r="AE577" s="1" t="s">
        <v>1377</v>
      </c>
      <c r="AF577" s="1" t="s">
        <v>422</v>
      </c>
      <c r="AG577" s="1" t="s">
        <v>53</v>
      </c>
      <c r="AH577" s="1" t="s">
        <v>49</v>
      </c>
      <c r="AI577" s="1" t="s">
        <v>54</v>
      </c>
      <c r="AJ577" s="1">
        <v>1</v>
      </c>
      <c r="AK577" s="1" t="str">
        <f t="shared" si="8"/>
        <v xml:space="preserve"> =&lt;90</v>
      </c>
      <c r="AL577" s="1" t="str">
        <f>VLOOKUP(C:C,[1]基础信息!B$1:D$65536,3,0)</f>
        <v>Jug</v>
      </c>
      <c r="AM577" s="1" t="str">
        <f>VLOOKUP(C:C,[1]基础信息!B$1:E$65536,4,0)</f>
        <v>Marella XL</v>
      </c>
      <c r="AN577" s="1" t="str">
        <f>VLOOKUP(C:C,[1]基础信息!B$1:F$65536,5,0)</f>
        <v>Silver</v>
      </c>
    </row>
    <row r="578" spans="1:40">
      <c r="A578" s="1" t="s">
        <v>41</v>
      </c>
      <c r="B578" s="1" t="s">
        <v>42</v>
      </c>
      <c r="C578" s="1" t="s">
        <v>417</v>
      </c>
      <c r="D578" s="1" t="s">
        <v>418</v>
      </c>
      <c r="E578" s="1" t="s">
        <v>45</v>
      </c>
      <c r="F578" s="1" t="s">
        <v>1374</v>
      </c>
      <c r="G578" s="1" t="s">
        <v>1461</v>
      </c>
      <c r="H578" s="1" t="s">
        <v>1462</v>
      </c>
      <c r="I578" s="1" t="s">
        <v>49</v>
      </c>
      <c r="J578" s="1" t="s">
        <v>48</v>
      </c>
      <c r="K578" s="1">
        <v>96</v>
      </c>
      <c r="L578" s="1">
        <v>0</v>
      </c>
      <c r="M578" s="1">
        <v>0</v>
      </c>
      <c r="N578" s="1">
        <v>96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 t="s">
        <v>49</v>
      </c>
      <c r="AA578" s="1" t="s">
        <v>49</v>
      </c>
      <c r="AB578" s="1" t="s">
        <v>49</v>
      </c>
      <c r="AC578" s="1" t="s">
        <v>1377</v>
      </c>
      <c r="AD578" s="1" t="s">
        <v>1378</v>
      </c>
      <c r="AE578" s="1" t="s">
        <v>1377</v>
      </c>
      <c r="AF578" s="1" t="s">
        <v>422</v>
      </c>
      <c r="AG578" s="1" t="s">
        <v>53</v>
      </c>
      <c r="AH578" s="1" t="s">
        <v>49</v>
      </c>
      <c r="AI578" s="1" t="s">
        <v>54</v>
      </c>
      <c r="AJ578" s="1">
        <v>1</v>
      </c>
      <c r="AK578" s="1" t="str">
        <f t="shared" ref="AK578:AK641" si="9">IF(AJ578&gt;$AP$2,$AQ$2,IF(AJ578&gt;$AP$3,$AQ$3,IF(AJ578&gt;$AP$4,$AQ$4,$AQ$5)))</f>
        <v xml:space="preserve"> =&lt;90</v>
      </c>
      <c r="AL578" s="1" t="str">
        <f>VLOOKUP(C:C,[1]基础信息!B$1:D$65536,3,0)</f>
        <v>Jug</v>
      </c>
      <c r="AM578" s="1" t="str">
        <f>VLOOKUP(C:C,[1]基础信息!B$1:E$65536,4,0)</f>
        <v>Marella XL</v>
      </c>
      <c r="AN578" s="1" t="str">
        <f>VLOOKUP(C:C,[1]基础信息!B$1:F$65536,5,0)</f>
        <v>Silver</v>
      </c>
    </row>
    <row r="579" spans="1:40">
      <c r="A579" s="1" t="s">
        <v>41</v>
      </c>
      <c r="B579" s="1" t="s">
        <v>42</v>
      </c>
      <c r="C579" s="1" t="s">
        <v>554</v>
      </c>
      <c r="D579" s="1" t="s">
        <v>555</v>
      </c>
      <c r="E579" s="1" t="s">
        <v>45</v>
      </c>
      <c r="F579" s="1" t="s">
        <v>935</v>
      </c>
      <c r="G579" s="1" t="s">
        <v>1463</v>
      </c>
      <c r="H579" s="1" t="s">
        <v>1464</v>
      </c>
      <c r="I579" s="1" t="s">
        <v>49</v>
      </c>
      <c r="J579" s="1" t="s">
        <v>48</v>
      </c>
      <c r="K579" s="1">
        <v>70</v>
      </c>
      <c r="L579" s="1">
        <v>0</v>
      </c>
      <c r="M579" s="1">
        <v>0</v>
      </c>
      <c r="N579" s="1">
        <v>70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 t="s">
        <v>49</v>
      </c>
      <c r="AA579" s="1" t="s">
        <v>49</v>
      </c>
      <c r="AB579" s="1" t="s">
        <v>49</v>
      </c>
      <c r="AC579" s="1" t="s">
        <v>938</v>
      </c>
      <c r="AD579" s="1" t="s">
        <v>939</v>
      </c>
      <c r="AE579" s="1" t="s">
        <v>938</v>
      </c>
      <c r="AF579" s="1" t="s">
        <v>940</v>
      </c>
      <c r="AG579" s="1" t="s">
        <v>53</v>
      </c>
      <c r="AH579" s="1" t="s">
        <v>49</v>
      </c>
      <c r="AI579" s="1" t="s">
        <v>54</v>
      </c>
      <c r="AJ579" s="1">
        <v>1</v>
      </c>
      <c r="AK579" s="1" t="str">
        <f t="shared" si="9"/>
        <v xml:space="preserve"> =&lt;90</v>
      </c>
      <c r="AL579" s="1" t="str">
        <f>VLOOKUP(C:C,[1]基础信息!B$1:D$65536,3,0)</f>
        <v>Jug</v>
      </c>
      <c r="AM579" s="1" t="str">
        <f>VLOOKUP(C:C,[1]基础信息!B$1:E$65536,4,0)</f>
        <v>Green Pack</v>
      </c>
      <c r="AN579" s="1" t="str">
        <f>VLOOKUP(C:C,[1]基础信息!B$1:F$65536,5,0)</f>
        <v>Blue</v>
      </c>
    </row>
    <row r="580" spans="1:40">
      <c r="A580" s="1" t="s">
        <v>41</v>
      </c>
      <c r="B580" s="1" t="s">
        <v>42</v>
      </c>
      <c r="C580" s="1" t="s">
        <v>1383</v>
      </c>
      <c r="D580" s="1" t="s">
        <v>1384</v>
      </c>
      <c r="E580" s="1" t="s">
        <v>45</v>
      </c>
      <c r="F580" s="1" t="s">
        <v>1385</v>
      </c>
      <c r="G580" s="1" t="s">
        <v>1465</v>
      </c>
      <c r="H580" s="1" t="s">
        <v>1466</v>
      </c>
      <c r="I580" s="1" t="s">
        <v>49</v>
      </c>
      <c r="J580" s="1" t="s">
        <v>48</v>
      </c>
      <c r="K580" s="1">
        <v>96</v>
      </c>
      <c r="L580" s="1">
        <v>0</v>
      </c>
      <c r="M580" s="1">
        <v>0</v>
      </c>
      <c r="N580" s="1">
        <v>96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 t="s">
        <v>49</v>
      </c>
      <c r="AA580" s="1" t="s">
        <v>49</v>
      </c>
      <c r="AB580" s="1" t="s">
        <v>49</v>
      </c>
      <c r="AC580" s="1" t="s">
        <v>305</v>
      </c>
      <c r="AD580" s="1" t="s">
        <v>306</v>
      </c>
      <c r="AE580" s="1" t="s">
        <v>305</v>
      </c>
      <c r="AF580" s="1" t="s">
        <v>1388</v>
      </c>
      <c r="AG580" s="1" t="s">
        <v>53</v>
      </c>
      <c r="AH580" s="1" t="s">
        <v>49</v>
      </c>
      <c r="AI580" s="1" t="s">
        <v>54</v>
      </c>
      <c r="AJ580" s="1">
        <v>1</v>
      </c>
      <c r="AK580" s="1" t="str">
        <f t="shared" si="9"/>
        <v xml:space="preserve"> =&lt;90</v>
      </c>
      <c r="AL580" s="1" t="str">
        <f>VLOOKUP(C:C,[1]基础信息!B$1:D$65536,3,0)</f>
        <v>Jug</v>
      </c>
      <c r="AM580" s="1" t="str">
        <f>VLOOKUP(C:C,[1]基础信息!B$1:E$65536,4,0)</f>
        <v>Mxplus</v>
      </c>
      <c r="AN580" s="1" t="str">
        <f>VLOOKUP(C:C,[1]基础信息!B$1:F$65536,5,0)</f>
        <v>White</v>
      </c>
    </row>
    <row r="581" spans="1:40">
      <c r="A581" s="1" t="s">
        <v>41</v>
      </c>
      <c r="B581" s="1" t="s">
        <v>42</v>
      </c>
      <c r="C581" s="1" t="s">
        <v>554</v>
      </c>
      <c r="D581" s="1" t="s">
        <v>555</v>
      </c>
      <c r="E581" s="1" t="s">
        <v>45</v>
      </c>
      <c r="F581" s="1" t="s">
        <v>935</v>
      </c>
      <c r="G581" s="1" t="s">
        <v>1467</v>
      </c>
      <c r="H581" s="1" t="s">
        <v>1468</v>
      </c>
      <c r="I581" s="1" t="s">
        <v>49</v>
      </c>
      <c r="J581" s="1" t="s">
        <v>48</v>
      </c>
      <c r="K581" s="1">
        <v>70</v>
      </c>
      <c r="L581" s="1">
        <v>0</v>
      </c>
      <c r="M581" s="1">
        <v>0</v>
      </c>
      <c r="N581" s="1">
        <v>70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 t="s">
        <v>49</v>
      </c>
      <c r="AA581" s="1" t="s">
        <v>49</v>
      </c>
      <c r="AB581" s="1" t="s">
        <v>49</v>
      </c>
      <c r="AC581" s="1" t="s">
        <v>938</v>
      </c>
      <c r="AD581" s="1" t="s">
        <v>939</v>
      </c>
      <c r="AE581" s="1" t="s">
        <v>938</v>
      </c>
      <c r="AF581" s="1" t="s">
        <v>940</v>
      </c>
      <c r="AG581" s="1" t="s">
        <v>53</v>
      </c>
      <c r="AH581" s="1" t="s">
        <v>49</v>
      </c>
      <c r="AI581" s="1" t="s">
        <v>54</v>
      </c>
      <c r="AJ581" s="1">
        <v>1</v>
      </c>
      <c r="AK581" s="1" t="str">
        <f t="shared" si="9"/>
        <v xml:space="preserve"> =&lt;90</v>
      </c>
      <c r="AL581" s="1" t="str">
        <f>VLOOKUP(C:C,[1]基础信息!B$1:D$65536,3,0)</f>
        <v>Jug</v>
      </c>
      <c r="AM581" s="1" t="str">
        <f>VLOOKUP(C:C,[1]基础信息!B$1:E$65536,4,0)</f>
        <v>Green Pack</v>
      </c>
      <c r="AN581" s="1" t="str">
        <f>VLOOKUP(C:C,[1]基础信息!B$1:F$65536,5,0)</f>
        <v>Blue</v>
      </c>
    </row>
    <row r="582" spans="1:40">
      <c r="A582" s="1" t="s">
        <v>41</v>
      </c>
      <c r="B582" s="1" t="s">
        <v>42</v>
      </c>
      <c r="C582" s="1" t="s">
        <v>417</v>
      </c>
      <c r="D582" s="1" t="s">
        <v>418</v>
      </c>
      <c r="E582" s="1" t="s">
        <v>45</v>
      </c>
      <c r="F582" s="1" t="s">
        <v>1374</v>
      </c>
      <c r="G582" s="1" t="s">
        <v>1469</v>
      </c>
      <c r="H582" s="1" t="s">
        <v>1470</v>
      </c>
      <c r="I582" s="1" t="s">
        <v>49</v>
      </c>
      <c r="J582" s="1" t="s">
        <v>48</v>
      </c>
      <c r="K582" s="1">
        <v>96</v>
      </c>
      <c r="L582" s="1">
        <v>0</v>
      </c>
      <c r="M582" s="1">
        <v>0</v>
      </c>
      <c r="N582" s="1">
        <v>96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 t="s">
        <v>49</v>
      </c>
      <c r="AA582" s="1" t="s">
        <v>49</v>
      </c>
      <c r="AB582" s="1" t="s">
        <v>49</v>
      </c>
      <c r="AC582" s="1" t="s">
        <v>1377</v>
      </c>
      <c r="AD582" s="1" t="s">
        <v>1378</v>
      </c>
      <c r="AE582" s="1" t="s">
        <v>1377</v>
      </c>
      <c r="AF582" s="1" t="s">
        <v>422</v>
      </c>
      <c r="AG582" s="1" t="s">
        <v>53</v>
      </c>
      <c r="AH582" s="1" t="s">
        <v>49</v>
      </c>
      <c r="AI582" s="1" t="s">
        <v>54</v>
      </c>
      <c r="AJ582" s="1">
        <v>1</v>
      </c>
      <c r="AK582" s="1" t="str">
        <f t="shared" si="9"/>
        <v xml:space="preserve"> =&lt;90</v>
      </c>
      <c r="AL582" s="1" t="str">
        <f>VLOOKUP(C:C,[1]基础信息!B$1:D$65536,3,0)</f>
        <v>Jug</v>
      </c>
      <c r="AM582" s="1" t="str">
        <f>VLOOKUP(C:C,[1]基础信息!B$1:E$65536,4,0)</f>
        <v>Marella XL</v>
      </c>
      <c r="AN582" s="1" t="str">
        <f>VLOOKUP(C:C,[1]基础信息!B$1:F$65536,5,0)</f>
        <v>Silver</v>
      </c>
    </row>
    <row r="583" spans="1:40">
      <c r="A583" s="1" t="s">
        <v>41</v>
      </c>
      <c r="B583" s="1" t="s">
        <v>42</v>
      </c>
      <c r="C583" s="1" t="s">
        <v>417</v>
      </c>
      <c r="D583" s="1" t="s">
        <v>418</v>
      </c>
      <c r="E583" s="1" t="s">
        <v>45</v>
      </c>
      <c r="F583" s="1" t="s">
        <v>1374</v>
      </c>
      <c r="G583" s="1" t="s">
        <v>1471</v>
      </c>
      <c r="H583" s="1" t="s">
        <v>1472</v>
      </c>
      <c r="I583" s="1" t="s">
        <v>49</v>
      </c>
      <c r="J583" s="1" t="s">
        <v>48</v>
      </c>
      <c r="K583" s="1">
        <v>96</v>
      </c>
      <c r="L583" s="1">
        <v>0</v>
      </c>
      <c r="M583" s="1">
        <v>0</v>
      </c>
      <c r="N583" s="1">
        <v>96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 t="s">
        <v>49</v>
      </c>
      <c r="AA583" s="1" t="s">
        <v>49</v>
      </c>
      <c r="AB583" s="1" t="s">
        <v>49</v>
      </c>
      <c r="AC583" s="1" t="s">
        <v>1377</v>
      </c>
      <c r="AD583" s="1" t="s">
        <v>1378</v>
      </c>
      <c r="AE583" s="1" t="s">
        <v>1377</v>
      </c>
      <c r="AF583" s="1" t="s">
        <v>422</v>
      </c>
      <c r="AG583" s="1" t="s">
        <v>53</v>
      </c>
      <c r="AH583" s="1" t="s">
        <v>49</v>
      </c>
      <c r="AI583" s="1" t="s">
        <v>54</v>
      </c>
      <c r="AJ583" s="1">
        <v>1</v>
      </c>
      <c r="AK583" s="1" t="str">
        <f t="shared" si="9"/>
        <v xml:space="preserve"> =&lt;90</v>
      </c>
      <c r="AL583" s="1" t="str">
        <f>VLOOKUP(C:C,[1]基础信息!B$1:D$65536,3,0)</f>
        <v>Jug</v>
      </c>
      <c r="AM583" s="1" t="str">
        <f>VLOOKUP(C:C,[1]基础信息!B$1:E$65536,4,0)</f>
        <v>Marella XL</v>
      </c>
      <c r="AN583" s="1" t="str">
        <f>VLOOKUP(C:C,[1]基础信息!B$1:F$65536,5,0)</f>
        <v>Silver</v>
      </c>
    </row>
    <row r="584" spans="1:40">
      <c r="A584" s="1" t="s">
        <v>41</v>
      </c>
      <c r="B584" s="1" t="s">
        <v>42</v>
      </c>
      <c r="C584" s="1" t="s">
        <v>417</v>
      </c>
      <c r="D584" s="1" t="s">
        <v>418</v>
      </c>
      <c r="E584" s="1" t="s">
        <v>45</v>
      </c>
      <c r="F584" s="1" t="s">
        <v>1374</v>
      </c>
      <c r="G584" s="1" t="s">
        <v>1473</v>
      </c>
      <c r="H584" s="1" t="s">
        <v>1474</v>
      </c>
      <c r="I584" s="1" t="s">
        <v>49</v>
      </c>
      <c r="J584" s="1" t="s">
        <v>48</v>
      </c>
      <c r="K584" s="1">
        <v>96</v>
      </c>
      <c r="L584" s="1">
        <v>0</v>
      </c>
      <c r="M584" s="1">
        <v>0</v>
      </c>
      <c r="N584" s="1">
        <v>96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 t="s">
        <v>49</v>
      </c>
      <c r="AA584" s="1" t="s">
        <v>49</v>
      </c>
      <c r="AB584" s="1" t="s">
        <v>49</v>
      </c>
      <c r="AC584" s="1" t="s">
        <v>1377</v>
      </c>
      <c r="AD584" s="1" t="s">
        <v>1378</v>
      </c>
      <c r="AE584" s="1" t="s">
        <v>1377</v>
      </c>
      <c r="AF584" s="1" t="s">
        <v>422</v>
      </c>
      <c r="AG584" s="1" t="s">
        <v>53</v>
      </c>
      <c r="AH584" s="1" t="s">
        <v>49</v>
      </c>
      <c r="AI584" s="1" t="s">
        <v>54</v>
      </c>
      <c r="AJ584" s="1">
        <v>1</v>
      </c>
      <c r="AK584" s="1" t="str">
        <f t="shared" si="9"/>
        <v xml:space="preserve"> =&lt;90</v>
      </c>
      <c r="AL584" s="1" t="str">
        <f>VLOOKUP(C:C,[1]基础信息!B$1:D$65536,3,0)</f>
        <v>Jug</v>
      </c>
      <c r="AM584" s="1" t="str">
        <f>VLOOKUP(C:C,[1]基础信息!B$1:E$65536,4,0)</f>
        <v>Marella XL</v>
      </c>
      <c r="AN584" s="1" t="str">
        <f>VLOOKUP(C:C,[1]基础信息!B$1:F$65536,5,0)</f>
        <v>Silver</v>
      </c>
    </row>
    <row r="585" spans="1:40">
      <c r="A585" s="1" t="s">
        <v>41</v>
      </c>
      <c r="B585" s="1" t="s">
        <v>42</v>
      </c>
      <c r="C585" s="1" t="s">
        <v>417</v>
      </c>
      <c r="D585" s="1" t="s">
        <v>418</v>
      </c>
      <c r="E585" s="1" t="s">
        <v>45</v>
      </c>
      <c r="F585" s="1" t="s">
        <v>1374</v>
      </c>
      <c r="G585" s="1" t="s">
        <v>1475</v>
      </c>
      <c r="H585" s="1" t="s">
        <v>1476</v>
      </c>
      <c r="I585" s="1" t="s">
        <v>49</v>
      </c>
      <c r="J585" s="1" t="s">
        <v>48</v>
      </c>
      <c r="K585" s="1">
        <v>96</v>
      </c>
      <c r="L585" s="1">
        <v>0</v>
      </c>
      <c r="M585" s="1">
        <v>0</v>
      </c>
      <c r="N585" s="1">
        <v>96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 t="s">
        <v>49</v>
      </c>
      <c r="AA585" s="1" t="s">
        <v>49</v>
      </c>
      <c r="AB585" s="1" t="s">
        <v>49</v>
      </c>
      <c r="AC585" s="1" t="s">
        <v>1377</v>
      </c>
      <c r="AD585" s="1" t="s">
        <v>1378</v>
      </c>
      <c r="AE585" s="1" t="s">
        <v>1377</v>
      </c>
      <c r="AF585" s="1" t="s">
        <v>422</v>
      </c>
      <c r="AG585" s="1" t="s">
        <v>53</v>
      </c>
      <c r="AH585" s="1" t="s">
        <v>49</v>
      </c>
      <c r="AI585" s="1" t="s">
        <v>54</v>
      </c>
      <c r="AJ585" s="1">
        <v>1</v>
      </c>
      <c r="AK585" s="1" t="str">
        <f t="shared" si="9"/>
        <v xml:space="preserve"> =&lt;90</v>
      </c>
      <c r="AL585" s="1" t="str">
        <f>VLOOKUP(C:C,[1]基础信息!B$1:D$65536,3,0)</f>
        <v>Jug</v>
      </c>
      <c r="AM585" s="1" t="str">
        <f>VLOOKUP(C:C,[1]基础信息!B$1:E$65536,4,0)</f>
        <v>Marella XL</v>
      </c>
      <c r="AN585" s="1" t="str">
        <f>VLOOKUP(C:C,[1]基础信息!B$1:F$65536,5,0)</f>
        <v>Silver</v>
      </c>
    </row>
    <row r="586" spans="1:40">
      <c r="A586" s="1" t="s">
        <v>41</v>
      </c>
      <c r="B586" s="1" t="s">
        <v>42</v>
      </c>
      <c r="C586" s="1" t="s">
        <v>417</v>
      </c>
      <c r="D586" s="1" t="s">
        <v>418</v>
      </c>
      <c r="E586" s="1" t="s">
        <v>45</v>
      </c>
      <c r="F586" s="1" t="s">
        <v>1374</v>
      </c>
      <c r="G586" s="1" t="s">
        <v>1477</v>
      </c>
      <c r="H586" s="1" t="s">
        <v>1478</v>
      </c>
      <c r="I586" s="1" t="s">
        <v>49</v>
      </c>
      <c r="J586" s="1" t="s">
        <v>48</v>
      </c>
      <c r="K586" s="1">
        <v>96</v>
      </c>
      <c r="L586" s="1">
        <v>0</v>
      </c>
      <c r="M586" s="1">
        <v>0</v>
      </c>
      <c r="N586" s="1">
        <v>96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 t="s">
        <v>49</v>
      </c>
      <c r="AA586" s="1" t="s">
        <v>49</v>
      </c>
      <c r="AB586" s="1" t="s">
        <v>49</v>
      </c>
      <c r="AC586" s="1" t="s">
        <v>1377</v>
      </c>
      <c r="AD586" s="1" t="s">
        <v>1378</v>
      </c>
      <c r="AE586" s="1" t="s">
        <v>1377</v>
      </c>
      <c r="AF586" s="1" t="s">
        <v>422</v>
      </c>
      <c r="AG586" s="1" t="s">
        <v>53</v>
      </c>
      <c r="AH586" s="1" t="s">
        <v>49</v>
      </c>
      <c r="AI586" s="1" t="s">
        <v>54</v>
      </c>
      <c r="AJ586" s="1">
        <v>1</v>
      </c>
      <c r="AK586" s="1" t="str">
        <f t="shared" si="9"/>
        <v xml:space="preserve"> =&lt;90</v>
      </c>
      <c r="AL586" s="1" t="str">
        <f>VLOOKUP(C:C,[1]基础信息!B$1:D$65536,3,0)</f>
        <v>Jug</v>
      </c>
      <c r="AM586" s="1" t="str">
        <f>VLOOKUP(C:C,[1]基础信息!B$1:E$65536,4,0)</f>
        <v>Marella XL</v>
      </c>
      <c r="AN586" s="1" t="str">
        <f>VLOOKUP(C:C,[1]基础信息!B$1:F$65536,5,0)</f>
        <v>Silver</v>
      </c>
    </row>
    <row r="587" spans="1:40">
      <c r="A587" s="1" t="s">
        <v>41</v>
      </c>
      <c r="B587" s="1" t="s">
        <v>42</v>
      </c>
      <c r="C587" s="1" t="s">
        <v>1383</v>
      </c>
      <c r="D587" s="1" t="s">
        <v>1384</v>
      </c>
      <c r="E587" s="1" t="s">
        <v>45</v>
      </c>
      <c r="F587" s="1" t="s">
        <v>1385</v>
      </c>
      <c r="G587" s="1" t="s">
        <v>1479</v>
      </c>
      <c r="H587" s="1" t="s">
        <v>1480</v>
      </c>
      <c r="I587" s="1" t="s">
        <v>49</v>
      </c>
      <c r="J587" s="1" t="s">
        <v>48</v>
      </c>
      <c r="K587" s="1">
        <v>96</v>
      </c>
      <c r="L587" s="1">
        <v>0</v>
      </c>
      <c r="M587" s="1">
        <v>0</v>
      </c>
      <c r="N587" s="1">
        <v>96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 t="s">
        <v>49</v>
      </c>
      <c r="AA587" s="1" t="s">
        <v>49</v>
      </c>
      <c r="AB587" s="1" t="s">
        <v>49</v>
      </c>
      <c r="AC587" s="1" t="s">
        <v>305</v>
      </c>
      <c r="AD587" s="1" t="s">
        <v>306</v>
      </c>
      <c r="AE587" s="1" t="s">
        <v>305</v>
      </c>
      <c r="AF587" s="1" t="s">
        <v>1388</v>
      </c>
      <c r="AG587" s="1" t="s">
        <v>53</v>
      </c>
      <c r="AH587" s="1" t="s">
        <v>49</v>
      </c>
      <c r="AI587" s="1" t="s">
        <v>54</v>
      </c>
      <c r="AJ587" s="1">
        <v>1</v>
      </c>
      <c r="AK587" s="1" t="str">
        <f t="shared" si="9"/>
        <v xml:space="preserve"> =&lt;90</v>
      </c>
      <c r="AL587" s="1" t="str">
        <f>VLOOKUP(C:C,[1]基础信息!B$1:D$65536,3,0)</f>
        <v>Jug</v>
      </c>
      <c r="AM587" s="1" t="str">
        <f>VLOOKUP(C:C,[1]基础信息!B$1:E$65536,4,0)</f>
        <v>Mxplus</v>
      </c>
      <c r="AN587" s="1" t="str">
        <f>VLOOKUP(C:C,[1]基础信息!B$1:F$65536,5,0)</f>
        <v>White</v>
      </c>
    </row>
    <row r="588" spans="1:40">
      <c r="A588" s="1" t="s">
        <v>41</v>
      </c>
      <c r="B588" s="1" t="s">
        <v>42</v>
      </c>
      <c r="C588" s="1" t="s">
        <v>1383</v>
      </c>
      <c r="D588" s="1" t="s">
        <v>1384</v>
      </c>
      <c r="E588" s="1" t="s">
        <v>45</v>
      </c>
      <c r="F588" s="1" t="s">
        <v>1385</v>
      </c>
      <c r="G588" s="1" t="s">
        <v>1481</v>
      </c>
      <c r="H588" s="1" t="s">
        <v>1482</v>
      </c>
      <c r="I588" s="1" t="s">
        <v>49</v>
      </c>
      <c r="J588" s="1" t="s">
        <v>48</v>
      </c>
      <c r="K588" s="1">
        <v>96</v>
      </c>
      <c r="L588" s="1">
        <v>0</v>
      </c>
      <c r="M588" s="1">
        <v>0</v>
      </c>
      <c r="N588" s="1">
        <v>96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 t="s">
        <v>49</v>
      </c>
      <c r="AA588" s="1" t="s">
        <v>49</v>
      </c>
      <c r="AB588" s="1" t="s">
        <v>49</v>
      </c>
      <c r="AC588" s="1" t="s">
        <v>305</v>
      </c>
      <c r="AD588" s="1" t="s">
        <v>306</v>
      </c>
      <c r="AE588" s="1" t="s">
        <v>305</v>
      </c>
      <c r="AF588" s="1" t="s">
        <v>1388</v>
      </c>
      <c r="AG588" s="1" t="s">
        <v>53</v>
      </c>
      <c r="AH588" s="1" t="s">
        <v>49</v>
      </c>
      <c r="AI588" s="1" t="s">
        <v>54</v>
      </c>
      <c r="AJ588" s="1">
        <v>1</v>
      </c>
      <c r="AK588" s="1" t="str">
        <f t="shared" si="9"/>
        <v xml:space="preserve"> =&lt;90</v>
      </c>
      <c r="AL588" s="1" t="str">
        <f>VLOOKUP(C:C,[1]基础信息!B$1:D$65536,3,0)</f>
        <v>Jug</v>
      </c>
      <c r="AM588" s="1" t="str">
        <f>VLOOKUP(C:C,[1]基础信息!B$1:E$65536,4,0)</f>
        <v>Mxplus</v>
      </c>
      <c r="AN588" s="1" t="str">
        <f>VLOOKUP(C:C,[1]基础信息!B$1:F$65536,5,0)</f>
        <v>White</v>
      </c>
    </row>
    <row r="589" spans="1:40">
      <c r="A589" s="1" t="s">
        <v>41</v>
      </c>
      <c r="B589" s="1" t="s">
        <v>42</v>
      </c>
      <c r="C589" s="1" t="s">
        <v>1383</v>
      </c>
      <c r="D589" s="1" t="s">
        <v>1384</v>
      </c>
      <c r="E589" s="1" t="s">
        <v>45</v>
      </c>
      <c r="F589" s="1" t="s">
        <v>1385</v>
      </c>
      <c r="G589" s="1" t="s">
        <v>1483</v>
      </c>
      <c r="H589" s="1" t="s">
        <v>1484</v>
      </c>
      <c r="I589" s="1" t="s">
        <v>49</v>
      </c>
      <c r="J589" s="1" t="s">
        <v>48</v>
      </c>
      <c r="K589" s="1">
        <v>96</v>
      </c>
      <c r="L589" s="1">
        <v>0</v>
      </c>
      <c r="M589" s="1">
        <v>0</v>
      </c>
      <c r="N589" s="1">
        <v>96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 t="s">
        <v>49</v>
      </c>
      <c r="AA589" s="1" t="s">
        <v>49</v>
      </c>
      <c r="AB589" s="1" t="s">
        <v>49</v>
      </c>
      <c r="AC589" s="1" t="s">
        <v>305</v>
      </c>
      <c r="AD589" s="1" t="s">
        <v>306</v>
      </c>
      <c r="AE589" s="1" t="s">
        <v>305</v>
      </c>
      <c r="AF589" s="1" t="s">
        <v>1388</v>
      </c>
      <c r="AG589" s="1" t="s">
        <v>53</v>
      </c>
      <c r="AH589" s="1" t="s">
        <v>49</v>
      </c>
      <c r="AI589" s="1" t="s">
        <v>54</v>
      </c>
      <c r="AJ589" s="1">
        <v>1</v>
      </c>
      <c r="AK589" s="1" t="str">
        <f t="shared" si="9"/>
        <v xml:space="preserve"> =&lt;90</v>
      </c>
      <c r="AL589" s="1" t="str">
        <f>VLOOKUP(C:C,[1]基础信息!B$1:D$65536,3,0)</f>
        <v>Jug</v>
      </c>
      <c r="AM589" s="1" t="str">
        <f>VLOOKUP(C:C,[1]基础信息!B$1:E$65536,4,0)</f>
        <v>Mxplus</v>
      </c>
      <c r="AN589" s="1" t="str">
        <f>VLOOKUP(C:C,[1]基础信息!B$1:F$65536,5,0)</f>
        <v>White</v>
      </c>
    </row>
    <row r="590" spans="1:40">
      <c r="A590" s="1" t="s">
        <v>41</v>
      </c>
      <c r="B590" s="1" t="s">
        <v>42</v>
      </c>
      <c r="C590" s="1" t="s">
        <v>1383</v>
      </c>
      <c r="D590" s="1" t="s">
        <v>1384</v>
      </c>
      <c r="E590" s="1" t="s">
        <v>45</v>
      </c>
      <c r="F590" s="1" t="s">
        <v>1385</v>
      </c>
      <c r="G590" s="1" t="s">
        <v>1485</v>
      </c>
      <c r="H590" s="1" t="s">
        <v>1486</v>
      </c>
      <c r="I590" s="1" t="s">
        <v>49</v>
      </c>
      <c r="J590" s="1" t="s">
        <v>48</v>
      </c>
      <c r="K590" s="1">
        <v>96</v>
      </c>
      <c r="L590" s="1">
        <v>0</v>
      </c>
      <c r="M590" s="1">
        <v>0</v>
      </c>
      <c r="N590" s="1">
        <v>96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 t="s">
        <v>49</v>
      </c>
      <c r="AA590" s="1" t="s">
        <v>49</v>
      </c>
      <c r="AB590" s="1" t="s">
        <v>49</v>
      </c>
      <c r="AC590" s="1" t="s">
        <v>305</v>
      </c>
      <c r="AD590" s="1" t="s">
        <v>306</v>
      </c>
      <c r="AE590" s="1" t="s">
        <v>305</v>
      </c>
      <c r="AF590" s="1" t="s">
        <v>1388</v>
      </c>
      <c r="AG590" s="1" t="s">
        <v>53</v>
      </c>
      <c r="AH590" s="1" t="s">
        <v>49</v>
      </c>
      <c r="AI590" s="1" t="s">
        <v>54</v>
      </c>
      <c r="AJ590" s="1">
        <v>1</v>
      </c>
      <c r="AK590" s="1" t="str">
        <f t="shared" si="9"/>
        <v xml:space="preserve"> =&lt;90</v>
      </c>
      <c r="AL590" s="1" t="str">
        <f>VLOOKUP(C:C,[1]基础信息!B$1:D$65536,3,0)</f>
        <v>Jug</v>
      </c>
      <c r="AM590" s="1" t="str">
        <f>VLOOKUP(C:C,[1]基础信息!B$1:E$65536,4,0)</f>
        <v>Mxplus</v>
      </c>
      <c r="AN590" s="1" t="str">
        <f>VLOOKUP(C:C,[1]基础信息!B$1:F$65536,5,0)</f>
        <v>White</v>
      </c>
    </row>
    <row r="591" spans="1:40">
      <c r="A591" s="1" t="s">
        <v>41</v>
      </c>
      <c r="B591" s="1" t="s">
        <v>42</v>
      </c>
      <c r="C591" s="1" t="s">
        <v>417</v>
      </c>
      <c r="D591" s="1" t="s">
        <v>418</v>
      </c>
      <c r="E591" s="1" t="s">
        <v>45</v>
      </c>
      <c r="F591" s="1" t="s">
        <v>1374</v>
      </c>
      <c r="G591" s="1" t="s">
        <v>1487</v>
      </c>
      <c r="H591" s="1" t="s">
        <v>1488</v>
      </c>
      <c r="I591" s="1" t="s">
        <v>49</v>
      </c>
      <c r="J591" s="1" t="s">
        <v>48</v>
      </c>
      <c r="K591" s="1">
        <v>96</v>
      </c>
      <c r="L591" s="1">
        <v>0</v>
      </c>
      <c r="M591" s="1">
        <v>0</v>
      </c>
      <c r="N591" s="1">
        <v>96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 t="s">
        <v>49</v>
      </c>
      <c r="AA591" s="1" t="s">
        <v>49</v>
      </c>
      <c r="AB591" s="1" t="s">
        <v>49</v>
      </c>
      <c r="AC591" s="1" t="s">
        <v>1377</v>
      </c>
      <c r="AD591" s="1" t="s">
        <v>1378</v>
      </c>
      <c r="AE591" s="1" t="s">
        <v>1377</v>
      </c>
      <c r="AF591" s="1" t="s">
        <v>422</v>
      </c>
      <c r="AG591" s="1" t="s">
        <v>53</v>
      </c>
      <c r="AH591" s="1" t="s">
        <v>49</v>
      </c>
      <c r="AI591" s="1" t="s">
        <v>54</v>
      </c>
      <c r="AJ591" s="1">
        <v>1</v>
      </c>
      <c r="AK591" s="1" t="str">
        <f t="shared" si="9"/>
        <v xml:space="preserve"> =&lt;90</v>
      </c>
      <c r="AL591" s="1" t="str">
        <f>VLOOKUP(C:C,[1]基础信息!B$1:D$65536,3,0)</f>
        <v>Jug</v>
      </c>
      <c r="AM591" s="1" t="str">
        <f>VLOOKUP(C:C,[1]基础信息!B$1:E$65536,4,0)</f>
        <v>Marella XL</v>
      </c>
      <c r="AN591" s="1" t="str">
        <f>VLOOKUP(C:C,[1]基础信息!B$1:F$65536,5,0)</f>
        <v>Silver</v>
      </c>
    </row>
    <row r="592" spans="1:40">
      <c r="A592" s="1" t="s">
        <v>41</v>
      </c>
      <c r="B592" s="1" t="s">
        <v>42</v>
      </c>
      <c r="C592" s="1" t="s">
        <v>417</v>
      </c>
      <c r="D592" s="1" t="s">
        <v>418</v>
      </c>
      <c r="E592" s="1" t="s">
        <v>45</v>
      </c>
      <c r="F592" s="1" t="s">
        <v>1374</v>
      </c>
      <c r="G592" s="1" t="s">
        <v>1489</v>
      </c>
      <c r="H592" s="1" t="s">
        <v>1490</v>
      </c>
      <c r="I592" s="1" t="s">
        <v>49</v>
      </c>
      <c r="J592" s="1" t="s">
        <v>48</v>
      </c>
      <c r="K592" s="1">
        <v>96</v>
      </c>
      <c r="L592" s="1">
        <v>0</v>
      </c>
      <c r="M592" s="1">
        <v>0</v>
      </c>
      <c r="N592" s="1">
        <v>96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 t="s">
        <v>49</v>
      </c>
      <c r="AA592" s="1" t="s">
        <v>49</v>
      </c>
      <c r="AB592" s="1" t="s">
        <v>49</v>
      </c>
      <c r="AC592" s="1" t="s">
        <v>1377</v>
      </c>
      <c r="AD592" s="1" t="s">
        <v>1378</v>
      </c>
      <c r="AE592" s="1" t="s">
        <v>1377</v>
      </c>
      <c r="AF592" s="1" t="s">
        <v>422</v>
      </c>
      <c r="AG592" s="1" t="s">
        <v>53</v>
      </c>
      <c r="AH592" s="1" t="s">
        <v>49</v>
      </c>
      <c r="AI592" s="1" t="s">
        <v>54</v>
      </c>
      <c r="AJ592" s="1">
        <v>1</v>
      </c>
      <c r="AK592" s="1" t="str">
        <f t="shared" si="9"/>
        <v xml:space="preserve"> =&lt;90</v>
      </c>
      <c r="AL592" s="1" t="str">
        <f>VLOOKUP(C:C,[1]基础信息!B$1:D$65536,3,0)</f>
        <v>Jug</v>
      </c>
      <c r="AM592" s="1" t="str">
        <f>VLOOKUP(C:C,[1]基础信息!B$1:E$65536,4,0)</f>
        <v>Marella XL</v>
      </c>
      <c r="AN592" s="1" t="str">
        <f>VLOOKUP(C:C,[1]基础信息!B$1:F$65536,5,0)</f>
        <v>Silver</v>
      </c>
    </row>
    <row r="593" spans="1:40">
      <c r="A593" s="1" t="s">
        <v>41</v>
      </c>
      <c r="B593" s="1" t="s">
        <v>42</v>
      </c>
      <c r="C593" s="1" t="s">
        <v>481</v>
      </c>
      <c r="D593" s="1" t="s">
        <v>482</v>
      </c>
      <c r="E593" s="1" t="s">
        <v>45</v>
      </c>
      <c r="F593" s="1" t="s">
        <v>1491</v>
      </c>
      <c r="G593" s="1" t="s">
        <v>1492</v>
      </c>
      <c r="H593" s="1" t="s">
        <v>1493</v>
      </c>
      <c r="I593" s="1" t="s">
        <v>49</v>
      </c>
      <c r="J593" s="1" t="s">
        <v>48</v>
      </c>
      <c r="K593" s="1">
        <v>92</v>
      </c>
      <c r="L593" s="1">
        <v>0</v>
      </c>
      <c r="M593" s="1">
        <v>0</v>
      </c>
      <c r="N593" s="1">
        <v>92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 t="s">
        <v>49</v>
      </c>
      <c r="AA593" s="1" t="s">
        <v>49</v>
      </c>
      <c r="AB593" s="1" t="s">
        <v>49</v>
      </c>
      <c r="AC593" s="1" t="s">
        <v>883</v>
      </c>
      <c r="AD593" s="1" t="s">
        <v>884</v>
      </c>
      <c r="AE593" s="1" t="s">
        <v>883</v>
      </c>
      <c r="AF593" s="1" t="s">
        <v>1494</v>
      </c>
      <c r="AG593" s="1" t="s">
        <v>53</v>
      </c>
      <c r="AH593" s="1" t="s">
        <v>49</v>
      </c>
      <c r="AI593" s="1" t="s">
        <v>54</v>
      </c>
      <c r="AJ593" s="1">
        <v>1</v>
      </c>
      <c r="AK593" s="1" t="str">
        <f t="shared" si="9"/>
        <v xml:space="preserve"> =&lt;90</v>
      </c>
      <c r="AL593" s="1" t="str">
        <f>VLOOKUP(C:C,[1]基础信息!B$1:D$65536,3,0)</f>
        <v>Jug</v>
      </c>
      <c r="AM593" s="1" t="str">
        <f>VLOOKUP(C:C,[1]基础信息!B$1:E$65536,4,0)</f>
        <v>Style COOL</v>
      </c>
      <c r="AN593" s="1" t="str">
        <f>VLOOKUP(C:C,[1]基础信息!B$1:F$65536,5,0)</f>
        <v>Cool Blue</v>
      </c>
    </row>
    <row r="594" spans="1:40">
      <c r="A594" s="1" t="s">
        <v>41</v>
      </c>
      <c r="B594" s="1" t="s">
        <v>42</v>
      </c>
      <c r="C594" s="1" t="s">
        <v>481</v>
      </c>
      <c r="D594" s="1" t="s">
        <v>482</v>
      </c>
      <c r="E594" s="1" t="s">
        <v>45</v>
      </c>
      <c r="F594" s="1" t="s">
        <v>1491</v>
      </c>
      <c r="G594" s="1" t="s">
        <v>1495</v>
      </c>
      <c r="H594" s="1" t="s">
        <v>1496</v>
      </c>
      <c r="I594" s="1" t="s">
        <v>49</v>
      </c>
      <c r="J594" s="1" t="s">
        <v>48</v>
      </c>
      <c r="K594" s="1">
        <v>168</v>
      </c>
      <c r="L594" s="1">
        <v>0</v>
      </c>
      <c r="M594" s="1">
        <v>0</v>
      </c>
      <c r="N594" s="1">
        <v>168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 t="s">
        <v>49</v>
      </c>
      <c r="AA594" s="1" t="s">
        <v>49</v>
      </c>
      <c r="AB594" s="1" t="s">
        <v>49</v>
      </c>
      <c r="AC594" s="1" t="s">
        <v>883</v>
      </c>
      <c r="AD594" s="1" t="s">
        <v>884</v>
      </c>
      <c r="AE594" s="1" t="s">
        <v>883</v>
      </c>
      <c r="AF594" s="1" t="s">
        <v>1494</v>
      </c>
      <c r="AG594" s="1" t="s">
        <v>53</v>
      </c>
      <c r="AH594" s="1" t="s">
        <v>49</v>
      </c>
      <c r="AI594" s="1" t="s">
        <v>54</v>
      </c>
      <c r="AJ594" s="1">
        <v>1</v>
      </c>
      <c r="AK594" s="1" t="str">
        <f t="shared" si="9"/>
        <v xml:space="preserve"> =&lt;90</v>
      </c>
      <c r="AL594" s="1" t="str">
        <f>VLOOKUP(C:C,[1]基础信息!B$1:D$65536,3,0)</f>
        <v>Jug</v>
      </c>
      <c r="AM594" s="1" t="str">
        <f>VLOOKUP(C:C,[1]基础信息!B$1:E$65536,4,0)</f>
        <v>Style COOL</v>
      </c>
      <c r="AN594" s="1" t="str">
        <f>VLOOKUP(C:C,[1]基础信息!B$1:F$65536,5,0)</f>
        <v>Cool Blue</v>
      </c>
    </row>
    <row r="595" spans="1:40">
      <c r="A595" s="1" t="s">
        <v>41</v>
      </c>
      <c r="B595" s="1" t="s">
        <v>42</v>
      </c>
      <c r="C595" s="1" t="s">
        <v>208</v>
      </c>
      <c r="D595" s="1" t="s">
        <v>209</v>
      </c>
      <c r="E595" s="1" t="s">
        <v>208</v>
      </c>
      <c r="F595" s="1" t="s">
        <v>1411</v>
      </c>
      <c r="G595" s="1" t="s">
        <v>1497</v>
      </c>
      <c r="H595" s="1" t="s">
        <v>1498</v>
      </c>
      <c r="I595" s="1" t="s">
        <v>49</v>
      </c>
      <c r="J595" s="1" t="s">
        <v>48</v>
      </c>
      <c r="K595" s="1">
        <v>80</v>
      </c>
      <c r="L595" s="1">
        <v>0</v>
      </c>
      <c r="M595" s="1">
        <v>0</v>
      </c>
      <c r="N595" s="1">
        <v>80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 t="s">
        <v>49</v>
      </c>
      <c r="AA595" s="1" t="s">
        <v>49</v>
      </c>
      <c r="AB595" s="1" t="s">
        <v>49</v>
      </c>
      <c r="AC595" s="1" t="s">
        <v>1330</v>
      </c>
      <c r="AD595" s="1" t="s">
        <v>1331</v>
      </c>
      <c r="AE595" s="1" t="s">
        <v>1330</v>
      </c>
      <c r="AF595" s="1" t="s">
        <v>1414</v>
      </c>
      <c r="AG595" s="1" t="s">
        <v>53</v>
      </c>
      <c r="AH595" s="1" t="s">
        <v>49</v>
      </c>
      <c r="AI595" s="1" t="s">
        <v>54</v>
      </c>
      <c r="AJ595" s="1">
        <v>1</v>
      </c>
      <c r="AK595" s="1" t="str">
        <f t="shared" si="9"/>
        <v xml:space="preserve"> =&lt;90</v>
      </c>
      <c r="AL595" s="1" t="str">
        <f>VLOOKUP(C:C,[1]基础信息!B$1:D$65536,3,0)</f>
        <v>Jug</v>
      </c>
      <c r="AM595" s="1" t="str">
        <f>VLOOKUP(C:C,[1]基础信息!B$1:E$65536,4,0)</f>
        <v>MXpl</v>
      </c>
      <c r="AN595" s="1" t="str">
        <f>VLOOKUP(C:C,[1]基础信息!B$1:F$65536,5,0)</f>
        <v>grey</v>
      </c>
    </row>
    <row r="596" spans="1:40">
      <c r="A596" s="1" t="s">
        <v>41</v>
      </c>
      <c r="B596" s="1" t="s">
        <v>42</v>
      </c>
      <c r="C596" s="1" t="s">
        <v>481</v>
      </c>
      <c r="D596" s="1" t="s">
        <v>482</v>
      </c>
      <c r="E596" s="1" t="s">
        <v>45</v>
      </c>
      <c r="F596" s="1" t="s">
        <v>1491</v>
      </c>
      <c r="G596" s="1" t="s">
        <v>1499</v>
      </c>
      <c r="H596" s="1" t="s">
        <v>1500</v>
      </c>
      <c r="I596" s="1" t="s">
        <v>49</v>
      </c>
      <c r="J596" s="1" t="s">
        <v>48</v>
      </c>
      <c r="K596" s="1">
        <v>168</v>
      </c>
      <c r="L596" s="1">
        <v>0</v>
      </c>
      <c r="M596" s="1">
        <v>0</v>
      </c>
      <c r="N596" s="1">
        <v>168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 t="s">
        <v>49</v>
      </c>
      <c r="AA596" s="1" t="s">
        <v>49</v>
      </c>
      <c r="AB596" s="1" t="s">
        <v>49</v>
      </c>
      <c r="AC596" s="1" t="s">
        <v>883</v>
      </c>
      <c r="AD596" s="1" t="s">
        <v>884</v>
      </c>
      <c r="AE596" s="1" t="s">
        <v>883</v>
      </c>
      <c r="AF596" s="1" t="s">
        <v>1494</v>
      </c>
      <c r="AG596" s="1" t="s">
        <v>53</v>
      </c>
      <c r="AH596" s="1" t="s">
        <v>49</v>
      </c>
      <c r="AI596" s="1" t="s">
        <v>54</v>
      </c>
      <c r="AJ596" s="1">
        <v>1</v>
      </c>
      <c r="AK596" s="1" t="str">
        <f t="shared" si="9"/>
        <v xml:space="preserve"> =&lt;90</v>
      </c>
      <c r="AL596" s="1" t="str">
        <f>VLOOKUP(C:C,[1]基础信息!B$1:D$65536,3,0)</f>
        <v>Jug</v>
      </c>
      <c r="AM596" s="1" t="str">
        <f>VLOOKUP(C:C,[1]基础信息!B$1:E$65536,4,0)</f>
        <v>Style COOL</v>
      </c>
      <c r="AN596" s="1" t="str">
        <f>VLOOKUP(C:C,[1]基础信息!B$1:F$65536,5,0)</f>
        <v>Cool Blue</v>
      </c>
    </row>
    <row r="597" spans="1:40">
      <c r="A597" s="1" t="s">
        <v>41</v>
      </c>
      <c r="B597" s="1" t="s">
        <v>42</v>
      </c>
      <c r="C597" s="1" t="s">
        <v>481</v>
      </c>
      <c r="D597" s="1" t="s">
        <v>482</v>
      </c>
      <c r="E597" s="1" t="s">
        <v>45</v>
      </c>
      <c r="F597" s="1" t="s">
        <v>1491</v>
      </c>
      <c r="G597" s="1" t="s">
        <v>1501</v>
      </c>
      <c r="H597" s="1" t="s">
        <v>1502</v>
      </c>
      <c r="I597" s="1" t="s">
        <v>49</v>
      </c>
      <c r="J597" s="1" t="s">
        <v>48</v>
      </c>
      <c r="K597" s="1">
        <v>168</v>
      </c>
      <c r="L597" s="1">
        <v>0</v>
      </c>
      <c r="M597" s="1">
        <v>0</v>
      </c>
      <c r="N597" s="1">
        <v>168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 t="s">
        <v>49</v>
      </c>
      <c r="AA597" s="1" t="s">
        <v>49</v>
      </c>
      <c r="AB597" s="1" t="s">
        <v>49</v>
      </c>
      <c r="AC597" s="1" t="s">
        <v>883</v>
      </c>
      <c r="AD597" s="1" t="s">
        <v>884</v>
      </c>
      <c r="AE597" s="1" t="s">
        <v>883</v>
      </c>
      <c r="AF597" s="1" t="s">
        <v>1494</v>
      </c>
      <c r="AG597" s="1" t="s">
        <v>53</v>
      </c>
      <c r="AH597" s="1" t="s">
        <v>49</v>
      </c>
      <c r="AI597" s="1" t="s">
        <v>54</v>
      </c>
      <c r="AJ597" s="1">
        <v>1</v>
      </c>
      <c r="AK597" s="1" t="str">
        <f t="shared" si="9"/>
        <v xml:space="preserve"> =&lt;90</v>
      </c>
      <c r="AL597" s="1" t="str">
        <f>VLOOKUP(C:C,[1]基础信息!B$1:D$65536,3,0)</f>
        <v>Jug</v>
      </c>
      <c r="AM597" s="1" t="str">
        <f>VLOOKUP(C:C,[1]基础信息!B$1:E$65536,4,0)</f>
        <v>Style COOL</v>
      </c>
      <c r="AN597" s="1" t="str">
        <f>VLOOKUP(C:C,[1]基础信息!B$1:F$65536,5,0)</f>
        <v>Cool Blue</v>
      </c>
    </row>
    <row r="598" spans="1:40">
      <c r="A598" s="1" t="s">
        <v>41</v>
      </c>
      <c r="B598" s="1" t="s">
        <v>42</v>
      </c>
      <c r="C598" s="1" t="s">
        <v>481</v>
      </c>
      <c r="D598" s="1" t="s">
        <v>482</v>
      </c>
      <c r="E598" s="1" t="s">
        <v>45</v>
      </c>
      <c r="F598" s="1" t="s">
        <v>1491</v>
      </c>
      <c r="G598" s="1" t="s">
        <v>1503</v>
      </c>
      <c r="H598" s="1" t="s">
        <v>1504</v>
      </c>
      <c r="I598" s="1" t="s">
        <v>49</v>
      </c>
      <c r="J598" s="1" t="s">
        <v>48</v>
      </c>
      <c r="K598" s="1">
        <v>168</v>
      </c>
      <c r="L598" s="1">
        <v>0</v>
      </c>
      <c r="M598" s="1">
        <v>0</v>
      </c>
      <c r="N598" s="1">
        <v>168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 t="s">
        <v>49</v>
      </c>
      <c r="AA598" s="1" t="s">
        <v>49</v>
      </c>
      <c r="AB598" s="1" t="s">
        <v>49</v>
      </c>
      <c r="AC598" s="1" t="s">
        <v>883</v>
      </c>
      <c r="AD598" s="1" t="s">
        <v>884</v>
      </c>
      <c r="AE598" s="1" t="s">
        <v>883</v>
      </c>
      <c r="AF598" s="1" t="s">
        <v>1494</v>
      </c>
      <c r="AG598" s="1" t="s">
        <v>53</v>
      </c>
      <c r="AH598" s="1" t="s">
        <v>49</v>
      </c>
      <c r="AI598" s="1" t="s">
        <v>54</v>
      </c>
      <c r="AJ598" s="1">
        <v>1</v>
      </c>
      <c r="AK598" s="1" t="str">
        <f t="shared" si="9"/>
        <v xml:space="preserve"> =&lt;90</v>
      </c>
      <c r="AL598" s="1" t="str">
        <f>VLOOKUP(C:C,[1]基础信息!B$1:D$65536,3,0)</f>
        <v>Jug</v>
      </c>
      <c r="AM598" s="1" t="str">
        <f>VLOOKUP(C:C,[1]基础信息!B$1:E$65536,4,0)</f>
        <v>Style COOL</v>
      </c>
      <c r="AN598" s="1" t="str">
        <f>VLOOKUP(C:C,[1]基础信息!B$1:F$65536,5,0)</f>
        <v>Cool Blue</v>
      </c>
    </row>
    <row r="599" spans="1:40">
      <c r="A599" s="1" t="s">
        <v>41</v>
      </c>
      <c r="B599" s="1" t="s">
        <v>42</v>
      </c>
      <c r="C599" s="1" t="s">
        <v>1383</v>
      </c>
      <c r="D599" s="1" t="s">
        <v>1384</v>
      </c>
      <c r="E599" s="1" t="s">
        <v>45</v>
      </c>
      <c r="F599" s="1" t="s">
        <v>1385</v>
      </c>
      <c r="G599" s="1" t="s">
        <v>1505</v>
      </c>
      <c r="H599" s="1" t="s">
        <v>1506</v>
      </c>
      <c r="I599" s="1" t="s">
        <v>49</v>
      </c>
      <c r="J599" s="1" t="s">
        <v>48</v>
      </c>
      <c r="K599" s="1">
        <v>96</v>
      </c>
      <c r="L599" s="1">
        <v>0</v>
      </c>
      <c r="M599" s="1">
        <v>0</v>
      </c>
      <c r="N599" s="1">
        <v>96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 t="s">
        <v>49</v>
      </c>
      <c r="AA599" s="1" t="s">
        <v>49</v>
      </c>
      <c r="AB599" s="1" t="s">
        <v>49</v>
      </c>
      <c r="AC599" s="1" t="s">
        <v>305</v>
      </c>
      <c r="AD599" s="1" t="s">
        <v>306</v>
      </c>
      <c r="AE599" s="1" t="s">
        <v>305</v>
      </c>
      <c r="AF599" s="1" t="s">
        <v>1388</v>
      </c>
      <c r="AG599" s="1" t="s">
        <v>53</v>
      </c>
      <c r="AH599" s="1" t="s">
        <v>49</v>
      </c>
      <c r="AI599" s="1" t="s">
        <v>54</v>
      </c>
      <c r="AJ599" s="1">
        <v>1</v>
      </c>
      <c r="AK599" s="1" t="str">
        <f t="shared" si="9"/>
        <v xml:space="preserve"> =&lt;90</v>
      </c>
      <c r="AL599" s="1" t="str">
        <f>VLOOKUP(C:C,[1]基础信息!B$1:D$65536,3,0)</f>
        <v>Jug</v>
      </c>
      <c r="AM599" s="1" t="str">
        <f>VLOOKUP(C:C,[1]基础信息!B$1:E$65536,4,0)</f>
        <v>Mxplus</v>
      </c>
      <c r="AN599" s="1" t="str">
        <f>VLOOKUP(C:C,[1]基础信息!B$1:F$65536,5,0)</f>
        <v>White</v>
      </c>
    </row>
    <row r="600" spans="1:40">
      <c r="A600" s="1" t="s">
        <v>41</v>
      </c>
      <c r="B600" s="1" t="s">
        <v>42</v>
      </c>
      <c r="C600" s="1" t="s">
        <v>481</v>
      </c>
      <c r="D600" s="1" t="s">
        <v>482</v>
      </c>
      <c r="E600" s="1" t="s">
        <v>45</v>
      </c>
      <c r="F600" s="1" t="s">
        <v>1491</v>
      </c>
      <c r="G600" s="1" t="s">
        <v>1507</v>
      </c>
      <c r="H600" s="1" t="s">
        <v>1508</v>
      </c>
      <c r="I600" s="1" t="s">
        <v>49</v>
      </c>
      <c r="J600" s="1" t="s">
        <v>48</v>
      </c>
      <c r="K600" s="1">
        <v>168</v>
      </c>
      <c r="L600" s="1">
        <v>0</v>
      </c>
      <c r="M600" s="1">
        <v>0</v>
      </c>
      <c r="N600" s="1">
        <v>168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 t="s">
        <v>49</v>
      </c>
      <c r="AA600" s="1" t="s">
        <v>49</v>
      </c>
      <c r="AB600" s="1" t="s">
        <v>49</v>
      </c>
      <c r="AC600" s="1" t="s">
        <v>883</v>
      </c>
      <c r="AD600" s="1" t="s">
        <v>884</v>
      </c>
      <c r="AE600" s="1" t="s">
        <v>883</v>
      </c>
      <c r="AF600" s="1" t="s">
        <v>1494</v>
      </c>
      <c r="AG600" s="1" t="s">
        <v>53</v>
      </c>
      <c r="AH600" s="1" t="s">
        <v>49</v>
      </c>
      <c r="AI600" s="1" t="s">
        <v>54</v>
      </c>
      <c r="AJ600" s="1">
        <v>1</v>
      </c>
      <c r="AK600" s="1" t="str">
        <f t="shared" si="9"/>
        <v xml:space="preserve"> =&lt;90</v>
      </c>
      <c r="AL600" s="1" t="str">
        <f>VLOOKUP(C:C,[1]基础信息!B$1:D$65536,3,0)</f>
        <v>Jug</v>
      </c>
      <c r="AM600" s="1" t="str">
        <f>VLOOKUP(C:C,[1]基础信息!B$1:E$65536,4,0)</f>
        <v>Style COOL</v>
      </c>
      <c r="AN600" s="1" t="str">
        <f>VLOOKUP(C:C,[1]基础信息!B$1:F$65536,5,0)</f>
        <v>Cool Blue</v>
      </c>
    </row>
    <row r="601" spans="1:40">
      <c r="A601" s="1" t="s">
        <v>41</v>
      </c>
      <c r="B601" s="1" t="s">
        <v>42</v>
      </c>
      <c r="C601" s="1" t="s">
        <v>1383</v>
      </c>
      <c r="D601" s="1" t="s">
        <v>1384</v>
      </c>
      <c r="E601" s="1" t="s">
        <v>45</v>
      </c>
      <c r="F601" s="1" t="s">
        <v>1385</v>
      </c>
      <c r="G601" s="1" t="s">
        <v>1509</v>
      </c>
      <c r="H601" s="1" t="s">
        <v>1510</v>
      </c>
      <c r="I601" s="1" t="s">
        <v>49</v>
      </c>
      <c r="J601" s="1" t="s">
        <v>48</v>
      </c>
      <c r="K601" s="1">
        <v>48</v>
      </c>
      <c r="L601" s="1">
        <v>0</v>
      </c>
      <c r="M601" s="1">
        <v>0</v>
      </c>
      <c r="N601" s="1">
        <v>48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 t="s">
        <v>49</v>
      </c>
      <c r="AA601" s="1" t="s">
        <v>49</v>
      </c>
      <c r="AB601" s="1" t="s">
        <v>49</v>
      </c>
      <c r="AC601" s="1" t="s">
        <v>305</v>
      </c>
      <c r="AD601" s="1" t="s">
        <v>306</v>
      </c>
      <c r="AE601" s="1" t="s">
        <v>305</v>
      </c>
      <c r="AF601" s="1" t="s">
        <v>1388</v>
      </c>
      <c r="AG601" s="1" t="s">
        <v>53</v>
      </c>
      <c r="AH601" s="1" t="s">
        <v>49</v>
      </c>
      <c r="AI601" s="1" t="s">
        <v>54</v>
      </c>
      <c r="AJ601" s="1">
        <v>1</v>
      </c>
      <c r="AK601" s="1" t="str">
        <f t="shared" si="9"/>
        <v xml:space="preserve"> =&lt;90</v>
      </c>
      <c r="AL601" s="1" t="str">
        <f>VLOOKUP(C:C,[1]基础信息!B$1:D$65536,3,0)</f>
        <v>Jug</v>
      </c>
      <c r="AM601" s="1" t="str">
        <f>VLOOKUP(C:C,[1]基础信息!B$1:E$65536,4,0)</f>
        <v>Mxplus</v>
      </c>
      <c r="AN601" s="1" t="str">
        <f>VLOOKUP(C:C,[1]基础信息!B$1:F$65536,5,0)</f>
        <v>White</v>
      </c>
    </row>
    <row r="602" spans="1:40">
      <c r="A602" s="1" t="s">
        <v>41</v>
      </c>
      <c r="B602" s="1" t="s">
        <v>42</v>
      </c>
      <c r="C602" s="1" t="s">
        <v>1383</v>
      </c>
      <c r="D602" s="1" t="s">
        <v>1384</v>
      </c>
      <c r="E602" s="1" t="s">
        <v>45</v>
      </c>
      <c r="F602" s="1" t="s">
        <v>1511</v>
      </c>
      <c r="G602" s="1" t="s">
        <v>1512</v>
      </c>
      <c r="H602" s="1" t="s">
        <v>1513</v>
      </c>
      <c r="I602" s="1" t="s">
        <v>49</v>
      </c>
      <c r="J602" s="1" t="s">
        <v>48</v>
      </c>
      <c r="K602" s="1">
        <v>96</v>
      </c>
      <c r="L602" s="1">
        <v>0</v>
      </c>
      <c r="M602" s="1">
        <v>0</v>
      </c>
      <c r="N602" s="1">
        <v>96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 t="s">
        <v>49</v>
      </c>
      <c r="AA602" s="1" t="s">
        <v>49</v>
      </c>
      <c r="AB602" s="1" t="s">
        <v>49</v>
      </c>
      <c r="AC602" s="1" t="s">
        <v>305</v>
      </c>
      <c r="AD602" s="1" t="s">
        <v>306</v>
      </c>
      <c r="AE602" s="1" t="s">
        <v>1514</v>
      </c>
      <c r="AF602" s="1" t="s">
        <v>1515</v>
      </c>
      <c r="AG602" s="1" t="s">
        <v>53</v>
      </c>
      <c r="AH602" s="1" t="s">
        <v>49</v>
      </c>
      <c r="AI602" s="1" t="s">
        <v>54</v>
      </c>
      <c r="AJ602" s="1">
        <v>1</v>
      </c>
      <c r="AK602" s="1" t="str">
        <f t="shared" si="9"/>
        <v xml:space="preserve"> =&lt;90</v>
      </c>
      <c r="AL602" s="1" t="str">
        <f>VLOOKUP(C:C,[1]基础信息!B$1:D$65536,3,0)</f>
        <v>Jug</v>
      </c>
      <c r="AM602" s="1" t="str">
        <f>VLOOKUP(C:C,[1]基础信息!B$1:E$65536,4,0)</f>
        <v>Mxplus</v>
      </c>
      <c r="AN602" s="1" t="str">
        <f>VLOOKUP(C:C,[1]基础信息!B$1:F$65536,5,0)</f>
        <v>White</v>
      </c>
    </row>
    <row r="603" spans="1:40">
      <c r="A603" s="1" t="s">
        <v>41</v>
      </c>
      <c r="B603" s="1" t="s">
        <v>42</v>
      </c>
      <c r="C603" s="1" t="s">
        <v>481</v>
      </c>
      <c r="D603" s="1" t="s">
        <v>482</v>
      </c>
      <c r="E603" s="1" t="s">
        <v>45</v>
      </c>
      <c r="F603" s="1" t="s">
        <v>1491</v>
      </c>
      <c r="G603" s="1" t="s">
        <v>1516</v>
      </c>
      <c r="H603" s="1" t="s">
        <v>1517</v>
      </c>
      <c r="I603" s="1" t="s">
        <v>49</v>
      </c>
      <c r="J603" s="1" t="s">
        <v>48</v>
      </c>
      <c r="K603" s="1">
        <v>168</v>
      </c>
      <c r="L603" s="1">
        <v>0</v>
      </c>
      <c r="M603" s="1">
        <v>0</v>
      </c>
      <c r="N603" s="1">
        <v>168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 t="s">
        <v>49</v>
      </c>
      <c r="AA603" s="1" t="s">
        <v>49</v>
      </c>
      <c r="AB603" s="1" t="s">
        <v>49</v>
      </c>
      <c r="AC603" s="1" t="s">
        <v>883</v>
      </c>
      <c r="AD603" s="1" t="s">
        <v>884</v>
      </c>
      <c r="AE603" s="1" t="s">
        <v>883</v>
      </c>
      <c r="AF603" s="1" t="s">
        <v>1494</v>
      </c>
      <c r="AG603" s="1" t="s">
        <v>53</v>
      </c>
      <c r="AH603" s="1" t="s">
        <v>49</v>
      </c>
      <c r="AI603" s="1" t="s">
        <v>54</v>
      </c>
      <c r="AJ603" s="1">
        <v>1</v>
      </c>
      <c r="AK603" s="1" t="str">
        <f t="shared" si="9"/>
        <v xml:space="preserve"> =&lt;90</v>
      </c>
      <c r="AL603" s="1" t="str">
        <f>VLOOKUP(C:C,[1]基础信息!B$1:D$65536,3,0)</f>
        <v>Jug</v>
      </c>
      <c r="AM603" s="1" t="str">
        <f>VLOOKUP(C:C,[1]基础信息!B$1:E$65536,4,0)</f>
        <v>Style COOL</v>
      </c>
      <c r="AN603" s="1" t="str">
        <f>VLOOKUP(C:C,[1]基础信息!B$1:F$65536,5,0)</f>
        <v>Cool Blue</v>
      </c>
    </row>
    <row r="604" spans="1:40">
      <c r="A604" s="1" t="s">
        <v>41</v>
      </c>
      <c r="B604" s="1" t="s">
        <v>42</v>
      </c>
      <c r="C604" s="1" t="s">
        <v>1383</v>
      </c>
      <c r="D604" s="1" t="s">
        <v>1384</v>
      </c>
      <c r="E604" s="1" t="s">
        <v>45</v>
      </c>
      <c r="F604" s="1" t="s">
        <v>1511</v>
      </c>
      <c r="G604" s="1" t="s">
        <v>1518</v>
      </c>
      <c r="H604" s="1" t="s">
        <v>1519</v>
      </c>
      <c r="I604" s="1" t="s">
        <v>49</v>
      </c>
      <c r="J604" s="1" t="s">
        <v>48</v>
      </c>
      <c r="K604" s="1">
        <v>96</v>
      </c>
      <c r="L604" s="1">
        <v>0</v>
      </c>
      <c r="M604" s="1">
        <v>0</v>
      </c>
      <c r="N604" s="1">
        <v>96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 t="s">
        <v>49</v>
      </c>
      <c r="AA604" s="1" t="s">
        <v>49</v>
      </c>
      <c r="AB604" s="1" t="s">
        <v>49</v>
      </c>
      <c r="AC604" s="1" t="s">
        <v>305</v>
      </c>
      <c r="AD604" s="1" t="s">
        <v>306</v>
      </c>
      <c r="AE604" s="1" t="s">
        <v>1514</v>
      </c>
      <c r="AF604" s="1" t="s">
        <v>1515</v>
      </c>
      <c r="AG604" s="1" t="s">
        <v>53</v>
      </c>
      <c r="AH604" s="1" t="s">
        <v>49</v>
      </c>
      <c r="AI604" s="1" t="s">
        <v>54</v>
      </c>
      <c r="AJ604" s="1">
        <v>1</v>
      </c>
      <c r="AK604" s="1" t="str">
        <f t="shared" si="9"/>
        <v xml:space="preserve"> =&lt;90</v>
      </c>
      <c r="AL604" s="1" t="str">
        <f>VLOOKUP(C:C,[1]基础信息!B$1:D$65536,3,0)</f>
        <v>Jug</v>
      </c>
      <c r="AM604" s="1" t="str">
        <f>VLOOKUP(C:C,[1]基础信息!B$1:E$65536,4,0)</f>
        <v>Mxplus</v>
      </c>
      <c r="AN604" s="1" t="str">
        <f>VLOOKUP(C:C,[1]基础信息!B$1:F$65536,5,0)</f>
        <v>White</v>
      </c>
    </row>
    <row r="605" spans="1:40">
      <c r="A605" s="1" t="s">
        <v>41</v>
      </c>
      <c r="B605" s="1" t="s">
        <v>42</v>
      </c>
      <c r="C605" s="1" t="s">
        <v>1383</v>
      </c>
      <c r="D605" s="1" t="s">
        <v>1384</v>
      </c>
      <c r="E605" s="1" t="s">
        <v>45</v>
      </c>
      <c r="F605" s="1" t="s">
        <v>1511</v>
      </c>
      <c r="G605" s="1" t="s">
        <v>1520</v>
      </c>
      <c r="H605" s="1" t="s">
        <v>1521</v>
      </c>
      <c r="I605" s="1" t="s">
        <v>49</v>
      </c>
      <c r="J605" s="1" t="s">
        <v>48</v>
      </c>
      <c r="K605" s="1">
        <v>96</v>
      </c>
      <c r="L605" s="1">
        <v>0</v>
      </c>
      <c r="M605" s="1">
        <v>0</v>
      </c>
      <c r="N605" s="1">
        <v>96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 t="s">
        <v>49</v>
      </c>
      <c r="AA605" s="1" t="s">
        <v>49</v>
      </c>
      <c r="AB605" s="1" t="s">
        <v>49</v>
      </c>
      <c r="AC605" s="1" t="s">
        <v>305</v>
      </c>
      <c r="AD605" s="1" t="s">
        <v>306</v>
      </c>
      <c r="AE605" s="1" t="s">
        <v>1514</v>
      </c>
      <c r="AF605" s="1" t="s">
        <v>1515</v>
      </c>
      <c r="AG605" s="1" t="s">
        <v>53</v>
      </c>
      <c r="AH605" s="1" t="s">
        <v>49</v>
      </c>
      <c r="AI605" s="1" t="s">
        <v>54</v>
      </c>
      <c r="AJ605" s="1">
        <v>1</v>
      </c>
      <c r="AK605" s="1" t="str">
        <f t="shared" si="9"/>
        <v xml:space="preserve"> =&lt;90</v>
      </c>
      <c r="AL605" s="1" t="str">
        <f>VLOOKUP(C:C,[1]基础信息!B$1:D$65536,3,0)</f>
        <v>Jug</v>
      </c>
      <c r="AM605" s="1" t="str">
        <f>VLOOKUP(C:C,[1]基础信息!B$1:E$65536,4,0)</f>
        <v>Mxplus</v>
      </c>
      <c r="AN605" s="1" t="str">
        <f>VLOOKUP(C:C,[1]基础信息!B$1:F$65536,5,0)</f>
        <v>White</v>
      </c>
    </row>
    <row r="606" spans="1:40">
      <c r="A606" s="1" t="s">
        <v>41</v>
      </c>
      <c r="B606" s="1" t="s">
        <v>42</v>
      </c>
      <c r="C606" s="1" t="s">
        <v>1383</v>
      </c>
      <c r="D606" s="1" t="s">
        <v>1384</v>
      </c>
      <c r="E606" s="1" t="s">
        <v>45</v>
      </c>
      <c r="F606" s="1" t="s">
        <v>1511</v>
      </c>
      <c r="G606" s="1" t="s">
        <v>1522</v>
      </c>
      <c r="H606" s="1" t="s">
        <v>1523</v>
      </c>
      <c r="I606" s="1" t="s">
        <v>49</v>
      </c>
      <c r="J606" s="1" t="s">
        <v>48</v>
      </c>
      <c r="K606" s="1">
        <v>96</v>
      </c>
      <c r="L606" s="1">
        <v>0</v>
      </c>
      <c r="M606" s="1">
        <v>0</v>
      </c>
      <c r="N606" s="1">
        <v>96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 t="s">
        <v>49</v>
      </c>
      <c r="AA606" s="1" t="s">
        <v>49</v>
      </c>
      <c r="AB606" s="1" t="s">
        <v>49</v>
      </c>
      <c r="AC606" s="1" t="s">
        <v>305</v>
      </c>
      <c r="AD606" s="1" t="s">
        <v>306</v>
      </c>
      <c r="AE606" s="1" t="s">
        <v>1514</v>
      </c>
      <c r="AF606" s="1" t="s">
        <v>1515</v>
      </c>
      <c r="AG606" s="1" t="s">
        <v>53</v>
      </c>
      <c r="AH606" s="1" t="s">
        <v>49</v>
      </c>
      <c r="AI606" s="1" t="s">
        <v>54</v>
      </c>
      <c r="AJ606" s="1">
        <v>1</v>
      </c>
      <c r="AK606" s="1" t="str">
        <f t="shared" si="9"/>
        <v xml:space="preserve"> =&lt;90</v>
      </c>
      <c r="AL606" s="1" t="str">
        <f>VLOOKUP(C:C,[1]基础信息!B$1:D$65536,3,0)</f>
        <v>Jug</v>
      </c>
      <c r="AM606" s="1" t="str">
        <f>VLOOKUP(C:C,[1]基础信息!B$1:E$65536,4,0)</f>
        <v>Mxplus</v>
      </c>
      <c r="AN606" s="1" t="str">
        <f>VLOOKUP(C:C,[1]基础信息!B$1:F$65536,5,0)</f>
        <v>White</v>
      </c>
    </row>
    <row r="607" spans="1:40">
      <c r="A607" s="1" t="s">
        <v>41</v>
      </c>
      <c r="B607" s="1" t="s">
        <v>42</v>
      </c>
      <c r="C607" s="1" t="s">
        <v>1383</v>
      </c>
      <c r="D607" s="1" t="s">
        <v>1384</v>
      </c>
      <c r="E607" s="1" t="s">
        <v>45</v>
      </c>
      <c r="F607" s="1" t="s">
        <v>1511</v>
      </c>
      <c r="G607" s="1" t="s">
        <v>1524</v>
      </c>
      <c r="H607" s="1" t="s">
        <v>1525</v>
      </c>
      <c r="I607" s="1" t="s">
        <v>49</v>
      </c>
      <c r="J607" s="1" t="s">
        <v>48</v>
      </c>
      <c r="K607" s="1">
        <v>96</v>
      </c>
      <c r="L607" s="1">
        <v>0</v>
      </c>
      <c r="M607" s="1">
        <v>0</v>
      </c>
      <c r="N607" s="1">
        <v>96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 t="s">
        <v>49</v>
      </c>
      <c r="AA607" s="1" t="s">
        <v>49</v>
      </c>
      <c r="AB607" s="1" t="s">
        <v>49</v>
      </c>
      <c r="AC607" s="1" t="s">
        <v>305</v>
      </c>
      <c r="AD607" s="1" t="s">
        <v>306</v>
      </c>
      <c r="AE607" s="1" t="s">
        <v>1514</v>
      </c>
      <c r="AF607" s="1" t="s">
        <v>1515</v>
      </c>
      <c r="AG607" s="1" t="s">
        <v>53</v>
      </c>
      <c r="AH607" s="1" t="s">
        <v>49</v>
      </c>
      <c r="AI607" s="1" t="s">
        <v>54</v>
      </c>
      <c r="AJ607" s="1">
        <v>1</v>
      </c>
      <c r="AK607" s="1" t="str">
        <f t="shared" si="9"/>
        <v xml:space="preserve"> =&lt;90</v>
      </c>
      <c r="AL607" s="1" t="str">
        <f>VLOOKUP(C:C,[1]基础信息!B$1:D$65536,3,0)</f>
        <v>Jug</v>
      </c>
      <c r="AM607" s="1" t="str">
        <f>VLOOKUP(C:C,[1]基础信息!B$1:E$65536,4,0)</f>
        <v>Mxplus</v>
      </c>
      <c r="AN607" s="1" t="str">
        <f>VLOOKUP(C:C,[1]基础信息!B$1:F$65536,5,0)</f>
        <v>White</v>
      </c>
    </row>
    <row r="608" spans="1:40">
      <c r="A608" s="1" t="s">
        <v>41</v>
      </c>
      <c r="B608" s="1" t="s">
        <v>42</v>
      </c>
      <c r="C608" s="1" t="s">
        <v>1383</v>
      </c>
      <c r="D608" s="1" t="s">
        <v>1384</v>
      </c>
      <c r="E608" s="1" t="s">
        <v>45</v>
      </c>
      <c r="F608" s="1" t="s">
        <v>1511</v>
      </c>
      <c r="G608" s="1" t="s">
        <v>1526</v>
      </c>
      <c r="H608" s="1" t="s">
        <v>1527</v>
      </c>
      <c r="I608" s="1" t="s">
        <v>49</v>
      </c>
      <c r="J608" s="1" t="s">
        <v>48</v>
      </c>
      <c r="K608" s="1">
        <v>96</v>
      </c>
      <c r="L608" s="1">
        <v>0</v>
      </c>
      <c r="M608" s="1">
        <v>0</v>
      </c>
      <c r="N608" s="1">
        <v>96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 t="s">
        <v>49</v>
      </c>
      <c r="AA608" s="1" t="s">
        <v>49</v>
      </c>
      <c r="AB608" s="1" t="s">
        <v>49</v>
      </c>
      <c r="AC608" s="1" t="s">
        <v>305</v>
      </c>
      <c r="AD608" s="1" t="s">
        <v>306</v>
      </c>
      <c r="AE608" s="1" t="s">
        <v>1514</v>
      </c>
      <c r="AF608" s="1" t="s">
        <v>1515</v>
      </c>
      <c r="AG608" s="1" t="s">
        <v>53</v>
      </c>
      <c r="AH608" s="1" t="s">
        <v>49</v>
      </c>
      <c r="AI608" s="1" t="s">
        <v>54</v>
      </c>
      <c r="AJ608" s="1">
        <v>1</v>
      </c>
      <c r="AK608" s="1" t="str">
        <f t="shared" si="9"/>
        <v xml:space="preserve"> =&lt;90</v>
      </c>
      <c r="AL608" s="1" t="str">
        <f>VLOOKUP(C:C,[1]基础信息!B$1:D$65536,3,0)</f>
        <v>Jug</v>
      </c>
      <c r="AM608" s="1" t="str">
        <f>VLOOKUP(C:C,[1]基础信息!B$1:E$65536,4,0)</f>
        <v>Mxplus</v>
      </c>
      <c r="AN608" s="1" t="str">
        <f>VLOOKUP(C:C,[1]基础信息!B$1:F$65536,5,0)</f>
        <v>White</v>
      </c>
    </row>
    <row r="609" spans="1:40">
      <c r="A609" s="1" t="s">
        <v>41</v>
      </c>
      <c r="B609" s="1" t="s">
        <v>42</v>
      </c>
      <c r="C609" s="1" t="s">
        <v>1383</v>
      </c>
      <c r="D609" s="1" t="s">
        <v>1384</v>
      </c>
      <c r="E609" s="1" t="s">
        <v>45</v>
      </c>
      <c r="F609" s="1" t="s">
        <v>1511</v>
      </c>
      <c r="G609" s="1" t="s">
        <v>1528</v>
      </c>
      <c r="H609" s="1" t="s">
        <v>1529</v>
      </c>
      <c r="I609" s="1" t="s">
        <v>49</v>
      </c>
      <c r="J609" s="1" t="s">
        <v>48</v>
      </c>
      <c r="K609" s="1">
        <v>96</v>
      </c>
      <c r="L609" s="1">
        <v>0</v>
      </c>
      <c r="M609" s="1">
        <v>0</v>
      </c>
      <c r="N609" s="1">
        <v>96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 t="s">
        <v>49</v>
      </c>
      <c r="AA609" s="1" t="s">
        <v>49</v>
      </c>
      <c r="AB609" s="1" t="s">
        <v>49</v>
      </c>
      <c r="AC609" s="1" t="s">
        <v>305</v>
      </c>
      <c r="AD609" s="1" t="s">
        <v>306</v>
      </c>
      <c r="AE609" s="1" t="s">
        <v>1514</v>
      </c>
      <c r="AF609" s="1" t="s">
        <v>1515</v>
      </c>
      <c r="AG609" s="1" t="s">
        <v>53</v>
      </c>
      <c r="AH609" s="1" t="s">
        <v>49</v>
      </c>
      <c r="AI609" s="1" t="s">
        <v>54</v>
      </c>
      <c r="AJ609" s="1">
        <v>1</v>
      </c>
      <c r="AK609" s="1" t="str">
        <f t="shared" si="9"/>
        <v xml:space="preserve"> =&lt;90</v>
      </c>
      <c r="AL609" s="1" t="str">
        <f>VLOOKUP(C:C,[1]基础信息!B$1:D$65536,3,0)</f>
        <v>Jug</v>
      </c>
      <c r="AM609" s="1" t="str">
        <f>VLOOKUP(C:C,[1]基础信息!B$1:E$65536,4,0)</f>
        <v>Mxplus</v>
      </c>
      <c r="AN609" s="1" t="str">
        <f>VLOOKUP(C:C,[1]基础信息!B$1:F$65536,5,0)</f>
        <v>White</v>
      </c>
    </row>
    <row r="610" spans="1:40">
      <c r="A610" s="1" t="s">
        <v>41</v>
      </c>
      <c r="B610" s="1" t="s">
        <v>42</v>
      </c>
      <c r="C610" s="1" t="s">
        <v>1383</v>
      </c>
      <c r="D610" s="1" t="s">
        <v>1384</v>
      </c>
      <c r="E610" s="1" t="s">
        <v>45</v>
      </c>
      <c r="F610" s="1" t="s">
        <v>1511</v>
      </c>
      <c r="G610" s="1" t="s">
        <v>1530</v>
      </c>
      <c r="H610" s="1" t="s">
        <v>1531</v>
      </c>
      <c r="I610" s="1" t="s">
        <v>49</v>
      </c>
      <c r="J610" s="1" t="s">
        <v>48</v>
      </c>
      <c r="K610" s="1">
        <v>96</v>
      </c>
      <c r="L610" s="1">
        <v>0</v>
      </c>
      <c r="M610" s="1">
        <v>0</v>
      </c>
      <c r="N610" s="1">
        <v>96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 t="s">
        <v>49</v>
      </c>
      <c r="AA610" s="1" t="s">
        <v>49</v>
      </c>
      <c r="AB610" s="1" t="s">
        <v>49</v>
      </c>
      <c r="AC610" s="1" t="s">
        <v>305</v>
      </c>
      <c r="AD610" s="1" t="s">
        <v>306</v>
      </c>
      <c r="AE610" s="1" t="s">
        <v>1514</v>
      </c>
      <c r="AF610" s="1" t="s">
        <v>1515</v>
      </c>
      <c r="AG610" s="1" t="s">
        <v>53</v>
      </c>
      <c r="AH610" s="1" t="s">
        <v>49</v>
      </c>
      <c r="AI610" s="1" t="s">
        <v>54</v>
      </c>
      <c r="AJ610" s="1">
        <v>1</v>
      </c>
      <c r="AK610" s="1" t="str">
        <f t="shared" si="9"/>
        <v xml:space="preserve"> =&lt;90</v>
      </c>
      <c r="AL610" s="1" t="str">
        <f>VLOOKUP(C:C,[1]基础信息!B$1:D$65536,3,0)</f>
        <v>Jug</v>
      </c>
      <c r="AM610" s="1" t="str">
        <f>VLOOKUP(C:C,[1]基础信息!B$1:E$65536,4,0)</f>
        <v>Mxplus</v>
      </c>
      <c r="AN610" s="1" t="str">
        <f>VLOOKUP(C:C,[1]基础信息!B$1:F$65536,5,0)</f>
        <v>White</v>
      </c>
    </row>
    <row r="611" spans="1:40">
      <c r="A611" s="1" t="s">
        <v>41</v>
      </c>
      <c r="B611" s="1" t="s">
        <v>42</v>
      </c>
      <c r="C611" s="1" t="s">
        <v>1383</v>
      </c>
      <c r="D611" s="1" t="s">
        <v>1384</v>
      </c>
      <c r="E611" s="1" t="s">
        <v>45</v>
      </c>
      <c r="F611" s="1" t="s">
        <v>1511</v>
      </c>
      <c r="G611" s="1" t="s">
        <v>1532</v>
      </c>
      <c r="H611" s="1" t="s">
        <v>1533</v>
      </c>
      <c r="I611" s="1" t="s">
        <v>49</v>
      </c>
      <c r="J611" s="1" t="s">
        <v>48</v>
      </c>
      <c r="K611" s="1">
        <v>96</v>
      </c>
      <c r="L611" s="1">
        <v>0</v>
      </c>
      <c r="M611" s="1">
        <v>0</v>
      </c>
      <c r="N611" s="1">
        <v>96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 t="s">
        <v>49</v>
      </c>
      <c r="AA611" s="1" t="s">
        <v>49</v>
      </c>
      <c r="AB611" s="1" t="s">
        <v>49</v>
      </c>
      <c r="AC611" s="1" t="s">
        <v>305</v>
      </c>
      <c r="AD611" s="1" t="s">
        <v>306</v>
      </c>
      <c r="AE611" s="1" t="s">
        <v>1514</v>
      </c>
      <c r="AF611" s="1" t="s">
        <v>1515</v>
      </c>
      <c r="AG611" s="1" t="s">
        <v>53</v>
      </c>
      <c r="AH611" s="1" t="s">
        <v>49</v>
      </c>
      <c r="AI611" s="1" t="s">
        <v>54</v>
      </c>
      <c r="AJ611" s="1">
        <v>1</v>
      </c>
      <c r="AK611" s="1" t="str">
        <f t="shared" si="9"/>
        <v xml:space="preserve"> =&lt;90</v>
      </c>
      <c r="AL611" s="1" t="str">
        <f>VLOOKUP(C:C,[1]基础信息!B$1:D$65536,3,0)</f>
        <v>Jug</v>
      </c>
      <c r="AM611" s="1" t="str">
        <f>VLOOKUP(C:C,[1]基础信息!B$1:E$65536,4,0)</f>
        <v>Mxplus</v>
      </c>
      <c r="AN611" s="1" t="str">
        <f>VLOOKUP(C:C,[1]基础信息!B$1:F$65536,5,0)</f>
        <v>White</v>
      </c>
    </row>
    <row r="612" spans="1:40">
      <c r="A612" s="1" t="s">
        <v>41</v>
      </c>
      <c r="B612" s="1" t="s">
        <v>42</v>
      </c>
      <c r="C612" s="1" t="s">
        <v>1383</v>
      </c>
      <c r="D612" s="1" t="s">
        <v>1384</v>
      </c>
      <c r="E612" s="1" t="s">
        <v>45</v>
      </c>
      <c r="F612" s="1" t="s">
        <v>1511</v>
      </c>
      <c r="G612" s="1" t="s">
        <v>1534</v>
      </c>
      <c r="H612" s="1" t="s">
        <v>1535</v>
      </c>
      <c r="I612" s="1" t="s">
        <v>49</v>
      </c>
      <c r="J612" s="1" t="s">
        <v>48</v>
      </c>
      <c r="K612" s="1">
        <v>96</v>
      </c>
      <c r="L612" s="1">
        <v>0</v>
      </c>
      <c r="M612" s="1">
        <v>0</v>
      </c>
      <c r="N612" s="1">
        <v>96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 t="s">
        <v>49</v>
      </c>
      <c r="AA612" s="1" t="s">
        <v>49</v>
      </c>
      <c r="AB612" s="1" t="s">
        <v>49</v>
      </c>
      <c r="AC612" s="1" t="s">
        <v>305</v>
      </c>
      <c r="AD612" s="1" t="s">
        <v>306</v>
      </c>
      <c r="AE612" s="1" t="s">
        <v>1514</v>
      </c>
      <c r="AF612" s="1" t="s">
        <v>1515</v>
      </c>
      <c r="AG612" s="1" t="s">
        <v>53</v>
      </c>
      <c r="AH612" s="1" t="s">
        <v>49</v>
      </c>
      <c r="AI612" s="1" t="s">
        <v>54</v>
      </c>
      <c r="AJ612" s="1">
        <v>1</v>
      </c>
      <c r="AK612" s="1" t="str">
        <f t="shared" si="9"/>
        <v xml:space="preserve"> =&lt;90</v>
      </c>
      <c r="AL612" s="1" t="str">
        <f>VLOOKUP(C:C,[1]基础信息!B$1:D$65536,3,0)</f>
        <v>Jug</v>
      </c>
      <c r="AM612" s="1" t="str">
        <f>VLOOKUP(C:C,[1]基础信息!B$1:E$65536,4,0)</f>
        <v>Mxplus</v>
      </c>
      <c r="AN612" s="1" t="str">
        <f>VLOOKUP(C:C,[1]基础信息!B$1:F$65536,5,0)</f>
        <v>White</v>
      </c>
    </row>
    <row r="613" spans="1:40">
      <c r="A613" s="1" t="s">
        <v>41</v>
      </c>
      <c r="B613" s="1" t="s">
        <v>42</v>
      </c>
      <c r="C613" s="1" t="s">
        <v>1383</v>
      </c>
      <c r="D613" s="1" t="s">
        <v>1384</v>
      </c>
      <c r="E613" s="1" t="s">
        <v>45</v>
      </c>
      <c r="F613" s="1" t="s">
        <v>1511</v>
      </c>
      <c r="G613" s="1" t="s">
        <v>1536</v>
      </c>
      <c r="H613" s="1" t="s">
        <v>1537</v>
      </c>
      <c r="I613" s="1" t="s">
        <v>49</v>
      </c>
      <c r="J613" s="1" t="s">
        <v>48</v>
      </c>
      <c r="K613" s="1">
        <v>96</v>
      </c>
      <c r="L613" s="1">
        <v>0</v>
      </c>
      <c r="M613" s="1">
        <v>0</v>
      </c>
      <c r="N613" s="1">
        <v>96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 t="s">
        <v>49</v>
      </c>
      <c r="AA613" s="1" t="s">
        <v>49</v>
      </c>
      <c r="AB613" s="1" t="s">
        <v>49</v>
      </c>
      <c r="AC613" s="1" t="s">
        <v>305</v>
      </c>
      <c r="AD613" s="1" t="s">
        <v>306</v>
      </c>
      <c r="AE613" s="1" t="s">
        <v>1514</v>
      </c>
      <c r="AF613" s="1" t="s">
        <v>1515</v>
      </c>
      <c r="AG613" s="1" t="s">
        <v>53</v>
      </c>
      <c r="AH613" s="1" t="s">
        <v>49</v>
      </c>
      <c r="AI613" s="1" t="s">
        <v>54</v>
      </c>
      <c r="AJ613" s="1">
        <v>1</v>
      </c>
      <c r="AK613" s="1" t="str">
        <f t="shared" si="9"/>
        <v xml:space="preserve"> =&lt;90</v>
      </c>
      <c r="AL613" s="1" t="str">
        <f>VLOOKUP(C:C,[1]基础信息!B$1:D$65536,3,0)</f>
        <v>Jug</v>
      </c>
      <c r="AM613" s="1" t="str">
        <f>VLOOKUP(C:C,[1]基础信息!B$1:E$65536,4,0)</f>
        <v>Mxplus</v>
      </c>
      <c r="AN613" s="1" t="str">
        <f>VLOOKUP(C:C,[1]基础信息!B$1:F$65536,5,0)</f>
        <v>White</v>
      </c>
    </row>
    <row r="614" spans="1:40">
      <c r="A614" s="1" t="s">
        <v>41</v>
      </c>
      <c r="B614" s="1" t="s">
        <v>42</v>
      </c>
      <c r="C614" s="1" t="s">
        <v>1383</v>
      </c>
      <c r="D614" s="1" t="s">
        <v>1384</v>
      </c>
      <c r="E614" s="1" t="s">
        <v>45</v>
      </c>
      <c r="F614" s="1" t="s">
        <v>1511</v>
      </c>
      <c r="G614" s="1" t="s">
        <v>1538</v>
      </c>
      <c r="H614" s="1" t="s">
        <v>1539</v>
      </c>
      <c r="I614" s="1" t="s">
        <v>49</v>
      </c>
      <c r="J614" s="1" t="s">
        <v>48</v>
      </c>
      <c r="K614" s="1">
        <v>96</v>
      </c>
      <c r="L614" s="1">
        <v>0</v>
      </c>
      <c r="M614" s="1">
        <v>0</v>
      </c>
      <c r="N614" s="1">
        <v>96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 t="s">
        <v>49</v>
      </c>
      <c r="AA614" s="1" t="s">
        <v>49</v>
      </c>
      <c r="AB614" s="1" t="s">
        <v>49</v>
      </c>
      <c r="AC614" s="1" t="s">
        <v>305</v>
      </c>
      <c r="AD614" s="1" t="s">
        <v>306</v>
      </c>
      <c r="AE614" s="1" t="s">
        <v>1514</v>
      </c>
      <c r="AF614" s="1" t="s">
        <v>1515</v>
      </c>
      <c r="AG614" s="1" t="s">
        <v>53</v>
      </c>
      <c r="AH614" s="1" t="s">
        <v>49</v>
      </c>
      <c r="AI614" s="1" t="s">
        <v>54</v>
      </c>
      <c r="AJ614" s="1">
        <v>1</v>
      </c>
      <c r="AK614" s="1" t="str">
        <f t="shared" si="9"/>
        <v xml:space="preserve"> =&lt;90</v>
      </c>
      <c r="AL614" s="1" t="str">
        <f>VLOOKUP(C:C,[1]基础信息!B$1:D$65536,3,0)</f>
        <v>Jug</v>
      </c>
      <c r="AM614" s="1" t="str">
        <f>VLOOKUP(C:C,[1]基础信息!B$1:E$65536,4,0)</f>
        <v>Mxplus</v>
      </c>
      <c r="AN614" s="1" t="str">
        <f>VLOOKUP(C:C,[1]基础信息!B$1:F$65536,5,0)</f>
        <v>White</v>
      </c>
    </row>
    <row r="615" spans="1:40">
      <c r="A615" s="1" t="s">
        <v>41</v>
      </c>
      <c r="B615" s="1" t="s">
        <v>42</v>
      </c>
      <c r="C615" s="1" t="s">
        <v>1383</v>
      </c>
      <c r="D615" s="1" t="s">
        <v>1384</v>
      </c>
      <c r="E615" s="1" t="s">
        <v>45</v>
      </c>
      <c r="F615" s="1" t="s">
        <v>1511</v>
      </c>
      <c r="G615" s="1" t="s">
        <v>1540</v>
      </c>
      <c r="H615" s="1" t="s">
        <v>1541</v>
      </c>
      <c r="I615" s="1" t="s">
        <v>49</v>
      </c>
      <c r="J615" s="1" t="s">
        <v>48</v>
      </c>
      <c r="K615" s="1">
        <v>96</v>
      </c>
      <c r="L615" s="1">
        <v>0</v>
      </c>
      <c r="M615" s="1">
        <v>0</v>
      </c>
      <c r="N615" s="1">
        <v>96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 t="s">
        <v>49</v>
      </c>
      <c r="AA615" s="1" t="s">
        <v>49</v>
      </c>
      <c r="AB615" s="1" t="s">
        <v>49</v>
      </c>
      <c r="AC615" s="1" t="s">
        <v>305</v>
      </c>
      <c r="AD615" s="1" t="s">
        <v>306</v>
      </c>
      <c r="AE615" s="1" t="s">
        <v>1514</v>
      </c>
      <c r="AF615" s="1" t="s">
        <v>1515</v>
      </c>
      <c r="AG615" s="1" t="s">
        <v>53</v>
      </c>
      <c r="AH615" s="1" t="s">
        <v>49</v>
      </c>
      <c r="AI615" s="1" t="s">
        <v>54</v>
      </c>
      <c r="AJ615" s="1">
        <v>1</v>
      </c>
      <c r="AK615" s="1" t="str">
        <f t="shared" si="9"/>
        <v xml:space="preserve"> =&lt;90</v>
      </c>
      <c r="AL615" s="1" t="str">
        <f>VLOOKUP(C:C,[1]基础信息!B$1:D$65536,3,0)</f>
        <v>Jug</v>
      </c>
      <c r="AM615" s="1" t="str">
        <f>VLOOKUP(C:C,[1]基础信息!B$1:E$65536,4,0)</f>
        <v>Mxplus</v>
      </c>
      <c r="AN615" s="1" t="str">
        <f>VLOOKUP(C:C,[1]基础信息!B$1:F$65536,5,0)</f>
        <v>White</v>
      </c>
    </row>
    <row r="616" spans="1:40">
      <c r="A616" s="1" t="s">
        <v>41</v>
      </c>
      <c r="B616" s="1" t="s">
        <v>42</v>
      </c>
      <c r="C616" s="1" t="s">
        <v>481</v>
      </c>
      <c r="D616" s="1" t="s">
        <v>482</v>
      </c>
      <c r="E616" s="1" t="s">
        <v>45</v>
      </c>
      <c r="F616" s="1" t="s">
        <v>1491</v>
      </c>
      <c r="G616" s="1" t="s">
        <v>1542</v>
      </c>
      <c r="H616" s="1" t="s">
        <v>1543</v>
      </c>
      <c r="I616" s="1" t="s">
        <v>49</v>
      </c>
      <c r="J616" s="1" t="s">
        <v>48</v>
      </c>
      <c r="K616" s="1">
        <v>168</v>
      </c>
      <c r="L616" s="1">
        <v>0</v>
      </c>
      <c r="M616" s="1">
        <v>0</v>
      </c>
      <c r="N616" s="1">
        <v>168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 t="s">
        <v>49</v>
      </c>
      <c r="AA616" s="1" t="s">
        <v>49</v>
      </c>
      <c r="AB616" s="1" t="s">
        <v>49</v>
      </c>
      <c r="AC616" s="1" t="s">
        <v>883</v>
      </c>
      <c r="AD616" s="1" t="s">
        <v>884</v>
      </c>
      <c r="AE616" s="1" t="s">
        <v>883</v>
      </c>
      <c r="AF616" s="1" t="s">
        <v>1494</v>
      </c>
      <c r="AG616" s="1" t="s">
        <v>53</v>
      </c>
      <c r="AH616" s="1" t="s">
        <v>49</v>
      </c>
      <c r="AI616" s="1" t="s">
        <v>54</v>
      </c>
      <c r="AJ616" s="1">
        <v>1</v>
      </c>
      <c r="AK616" s="1" t="str">
        <f t="shared" si="9"/>
        <v xml:space="preserve"> =&lt;90</v>
      </c>
      <c r="AL616" s="1" t="str">
        <f>VLOOKUP(C:C,[1]基础信息!B$1:D$65536,3,0)</f>
        <v>Jug</v>
      </c>
      <c r="AM616" s="1" t="str">
        <f>VLOOKUP(C:C,[1]基础信息!B$1:E$65536,4,0)</f>
        <v>Style COOL</v>
      </c>
      <c r="AN616" s="1" t="str">
        <f>VLOOKUP(C:C,[1]基础信息!B$1:F$65536,5,0)</f>
        <v>Cool Blue</v>
      </c>
    </row>
    <row r="617" spans="1:40">
      <c r="A617" s="1" t="s">
        <v>41</v>
      </c>
      <c r="B617" s="1" t="s">
        <v>42</v>
      </c>
      <c r="C617" s="1" t="s">
        <v>481</v>
      </c>
      <c r="D617" s="1" t="s">
        <v>482</v>
      </c>
      <c r="E617" s="1" t="s">
        <v>45</v>
      </c>
      <c r="F617" s="1" t="s">
        <v>1491</v>
      </c>
      <c r="G617" s="1" t="s">
        <v>1544</v>
      </c>
      <c r="H617" s="1" t="s">
        <v>1545</v>
      </c>
      <c r="I617" s="1" t="s">
        <v>49</v>
      </c>
      <c r="J617" s="1" t="s">
        <v>48</v>
      </c>
      <c r="K617" s="1">
        <v>168</v>
      </c>
      <c r="L617" s="1">
        <v>0</v>
      </c>
      <c r="M617" s="1">
        <v>0</v>
      </c>
      <c r="N617" s="1">
        <v>168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 t="s">
        <v>49</v>
      </c>
      <c r="AA617" s="1" t="s">
        <v>49</v>
      </c>
      <c r="AB617" s="1" t="s">
        <v>49</v>
      </c>
      <c r="AC617" s="1" t="s">
        <v>883</v>
      </c>
      <c r="AD617" s="1" t="s">
        <v>884</v>
      </c>
      <c r="AE617" s="1" t="s">
        <v>883</v>
      </c>
      <c r="AF617" s="1" t="s">
        <v>1494</v>
      </c>
      <c r="AG617" s="1" t="s">
        <v>53</v>
      </c>
      <c r="AH617" s="1" t="s">
        <v>49</v>
      </c>
      <c r="AI617" s="1" t="s">
        <v>54</v>
      </c>
      <c r="AJ617" s="1">
        <v>1</v>
      </c>
      <c r="AK617" s="1" t="str">
        <f t="shared" si="9"/>
        <v xml:space="preserve"> =&lt;90</v>
      </c>
      <c r="AL617" s="1" t="str">
        <f>VLOOKUP(C:C,[1]基础信息!B$1:D$65536,3,0)</f>
        <v>Jug</v>
      </c>
      <c r="AM617" s="1" t="str">
        <f>VLOOKUP(C:C,[1]基础信息!B$1:E$65536,4,0)</f>
        <v>Style COOL</v>
      </c>
      <c r="AN617" s="1" t="str">
        <f>VLOOKUP(C:C,[1]基础信息!B$1:F$65536,5,0)</f>
        <v>Cool Blue</v>
      </c>
    </row>
    <row r="618" spans="1:40">
      <c r="A618" s="1" t="s">
        <v>41</v>
      </c>
      <c r="B618" s="1" t="s">
        <v>42</v>
      </c>
      <c r="C618" s="1" t="s">
        <v>481</v>
      </c>
      <c r="D618" s="1" t="s">
        <v>482</v>
      </c>
      <c r="E618" s="1" t="s">
        <v>45</v>
      </c>
      <c r="F618" s="1" t="s">
        <v>1491</v>
      </c>
      <c r="G618" s="1" t="s">
        <v>1546</v>
      </c>
      <c r="H618" s="1" t="s">
        <v>1547</v>
      </c>
      <c r="I618" s="1" t="s">
        <v>49</v>
      </c>
      <c r="J618" s="1" t="s">
        <v>48</v>
      </c>
      <c r="K618" s="1">
        <v>168</v>
      </c>
      <c r="L618" s="1">
        <v>0</v>
      </c>
      <c r="M618" s="1">
        <v>0</v>
      </c>
      <c r="N618" s="1">
        <v>168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 t="s">
        <v>49</v>
      </c>
      <c r="AA618" s="1" t="s">
        <v>49</v>
      </c>
      <c r="AB618" s="1" t="s">
        <v>49</v>
      </c>
      <c r="AC618" s="1" t="s">
        <v>883</v>
      </c>
      <c r="AD618" s="1" t="s">
        <v>884</v>
      </c>
      <c r="AE618" s="1" t="s">
        <v>883</v>
      </c>
      <c r="AF618" s="1" t="s">
        <v>1494</v>
      </c>
      <c r="AG618" s="1" t="s">
        <v>53</v>
      </c>
      <c r="AH618" s="1" t="s">
        <v>49</v>
      </c>
      <c r="AI618" s="1" t="s">
        <v>54</v>
      </c>
      <c r="AJ618" s="1">
        <v>1</v>
      </c>
      <c r="AK618" s="1" t="str">
        <f t="shared" si="9"/>
        <v xml:space="preserve"> =&lt;90</v>
      </c>
      <c r="AL618" s="1" t="str">
        <f>VLOOKUP(C:C,[1]基础信息!B$1:D$65536,3,0)</f>
        <v>Jug</v>
      </c>
      <c r="AM618" s="1" t="str">
        <f>VLOOKUP(C:C,[1]基础信息!B$1:E$65536,4,0)</f>
        <v>Style COOL</v>
      </c>
      <c r="AN618" s="1" t="str">
        <f>VLOOKUP(C:C,[1]基础信息!B$1:F$65536,5,0)</f>
        <v>Cool Blue</v>
      </c>
    </row>
    <row r="619" spans="1:40">
      <c r="A619" s="1" t="s">
        <v>41</v>
      </c>
      <c r="B619" s="1" t="s">
        <v>42</v>
      </c>
      <c r="C619" s="1" t="s">
        <v>285</v>
      </c>
      <c r="D619" s="1" t="s">
        <v>286</v>
      </c>
      <c r="E619" s="1" t="s">
        <v>45</v>
      </c>
      <c r="F619" s="1" t="s">
        <v>1548</v>
      </c>
      <c r="G619" s="1" t="s">
        <v>1549</v>
      </c>
      <c r="H619" s="1" t="s">
        <v>1550</v>
      </c>
      <c r="I619" s="1" t="s">
        <v>49</v>
      </c>
      <c r="J619" s="1" t="s">
        <v>48</v>
      </c>
      <c r="K619" s="1">
        <v>70</v>
      </c>
      <c r="L619" s="1">
        <v>0</v>
      </c>
      <c r="M619" s="1">
        <v>0</v>
      </c>
      <c r="N619" s="1">
        <v>70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 t="s">
        <v>49</v>
      </c>
      <c r="AA619" s="1" t="s">
        <v>49</v>
      </c>
      <c r="AB619" s="1" t="s">
        <v>49</v>
      </c>
      <c r="AC619" s="1" t="s">
        <v>1551</v>
      </c>
      <c r="AD619" s="1" t="s">
        <v>1552</v>
      </c>
      <c r="AE619" s="1" t="s">
        <v>1551</v>
      </c>
      <c r="AF619" s="1" t="s">
        <v>1553</v>
      </c>
      <c r="AG619" s="1" t="s">
        <v>53</v>
      </c>
      <c r="AH619" s="1" t="s">
        <v>49</v>
      </c>
      <c r="AI619" s="1" t="s">
        <v>54</v>
      </c>
      <c r="AJ619" s="1">
        <v>1</v>
      </c>
      <c r="AK619" s="1" t="str">
        <f t="shared" si="9"/>
        <v xml:space="preserve"> =&lt;90</v>
      </c>
      <c r="AL619" s="1" t="str">
        <f>VLOOKUP(C:C,[1]基础信息!B$1:D$65536,3,0)</f>
        <v>Jug</v>
      </c>
      <c r="AM619" s="1" t="str">
        <f>VLOOKUP(C:C,[1]基础信息!B$1:E$65536,4,0)</f>
        <v>Marella XL</v>
      </c>
      <c r="AN619" s="1" t="str">
        <f>VLOOKUP(C:C,[1]基础信息!B$1:F$65536,5,0)</f>
        <v>Blue</v>
      </c>
    </row>
    <row r="620" spans="1:40">
      <c r="A620" s="1" t="s">
        <v>41</v>
      </c>
      <c r="B620" s="1" t="s">
        <v>42</v>
      </c>
      <c r="C620" s="1" t="s">
        <v>285</v>
      </c>
      <c r="D620" s="1" t="s">
        <v>286</v>
      </c>
      <c r="E620" s="1" t="s">
        <v>45</v>
      </c>
      <c r="F620" s="1" t="s">
        <v>1548</v>
      </c>
      <c r="G620" s="1" t="s">
        <v>1554</v>
      </c>
      <c r="H620" s="1" t="s">
        <v>1555</v>
      </c>
      <c r="I620" s="1" t="s">
        <v>49</v>
      </c>
      <c r="J620" s="1" t="s">
        <v>48</v>
      </c>
      <c r="K620" s="1">
        <v>70</v>
      </c>
      <c r="L620" s="1">
        <v>0</v>
      </c>
      <c r="M620" s="1">
        <v>0</v>
      </c>
      <c r="N620" s="1">
        <v>70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 t="s">
        <v>49</v>
      </c>
      <c r="AA620" s="1" t="s">
        <v>49</v>
      </c>
      <c r="AB620" s="1" t="s">
        <v>49</v>
      </c>
      <c r="AC620" s="1" t="s">
        <v>1551</v>
      </c>
      <c r="AD620" s="1" t="s">
        <v>1552</v>
      </c>
      <c r="AE620" s="1" t="s">
        <v>1551</v>
      </c>
      <c r="AF620" s="1" t="s">
        <v>1553</v>
      </c>
      <c r="AG620" s="1" t="s">
        <v>53</v>
      </c>
      <c r="AH620" s="1" t="s">
        <v>49</v>
      </c>
      <c r="AI620" s="1" t="s">
        <v>54</v>
      </c>
      <c r="AJ620" s="1">
        <v>1</v>
      </c>
      <c r="AK620" s="1" t="str">
        <f t="shared" si="9"/>
        <v xml:space="preserve"> =&lt;90</v>
      </c>
      <c r="AL620" s="1" t="str">
        <f>VLOOKUP(C:C,[1]基础信息!B$1:D$65536,3,0)</f>
        <v>Jug</v>
      </c>
      <c r="AM620" s="1" t="str">
        <f>VLOOKUP(C:C,[1]基础信息!B$1:E$65536,4,0)</f>
        <v>Marella XL</v>
      </c>
      <c r="AN620" s="1" t="str">
        <f>VLOOKUP(C:C,[1]基础信息!B$1:F$65536,5,0)</f>
        <v>Blue</v>
      </c>
    </row>
    <row r="621" spans="1:40">
      <c r="A621" s="1" t="s">
        <v>41</v>
      </c>
      <c r="B621" s="1" t="s">
        <v>42</v>
      </c>
      <c r="C621" s="1" t="s">
        <v>285</v>
      </c>
      <c r="D621" s="1" t="s">
        <v>286</v>
      </c>
      <c r="E621" s="1" t="s">
        <v>45</v>
      </c>
      <c r="F621" s="1" t="s">
        <v>1548</v>
      </c>
      <c r="G621" s="1" t="s">
        <v>1556</v>
      </c>
      <c r="H621" s="1" t="s">
        <v>1557</v>
      </c>
      <c r="I621" s="1" t="s">
        <v>49</v>
      </c>
      <c r="J621" s="1" t="s">
        <v>48</v>
      </c>
      <c r="K621" s="1">
        <v>70</v>
      </c>
      <c r="L621" s="1">
        <v>0</v>
      </c>
      <c r="M621" s="1">
        <v>0</v>
      </c>
      <c r="N621" s="1">
        <v>70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 t="s">
        <v>49</v>
      </c>
      <c r="AA621" s="1" t="s">
        <v>49</v>
      </c>
      <c r="AB621" s="1" t="s">
        <v>49</v>
      </c>
      <c r="AC621" s="1" t="s">
        <v>1551</v>
      </c>
      <c r="AD621" s="1" t="s">
        <v>1552</v>
      </c>
      <c r="AE621" s="1" t="s">
        <v>1551</v>
      </c>
      <c r="AF621" s="1" t="s">
        <v>1553</v>
      </c>
      <c r="AG621" s="1" t="s">
        <v>53</v>
      </c>
      <c r="AH621" s="1" t="s">
        <v>49</v>
      </c>
      <c r="AI621" s="1" t="s">
        <v>54</v>
      </c>
      <c r="AJ621" s="1">
        <v>1</v>
      </c>
      <c r="AK621" s="1" t="str">
        <f t="shared" si="9"/>
        <v xml:space="preserve"> =&lt;90</v>
      </c>
      <c r="AL621" s="1" t="str">
        <f>VLOOKUP(C:C,[1]基础信息!B$1:D$65536,3,0)</f>
        <v>Jug</v>
      </c>
      <c r="AM621" s="1" t="str">
        <f>VLOOKUP(C:C,[1]基础信息!B$1:E$65536,4,0)</f>
        <v>Marella XL</v>
      </c>
      <c r="AN621" s="1" t="str">
        <f>VLOOKUP(C:C,[1]基础信息!B$1:F$65536,5,0)</f>
        <v>Blue</v>
      </c>
    </row>
    <row r="622" spans="1:40">
      <c r="A622" s="1" t="s">
        <v>41</v>
      </c>
      <c r="B622" s="1" t="s">
        <v>42</v>
      </c>
      <c r="C622" s="1" t="s">
        <v>481</v>
      </c>
      <c r="D622" s="1" t="s">
        <v>482</v>
      </c>
      <c r="E622" s="1" t="s">
        <v>45</v>
      </c>
      <c r="F622" s="1" t="s">
        <v>1491</v>
      </c>
      <c r="G622" s="1" t="s">
        <v>1558</v>
      </c>
      <c r="H622" s="1" t="s">
        <v>1559</v>
      </c>
      <c r="I622" s="1" t="s">
        <v>49</v>
      </c>
      <c r="J622" s="1" t="s">
        <v>48</v>
      </c>
      <c r="K622" s="1">
        <v>168</v>
      </c>
      <c r="L622" s="1">
        <v>0</v>
      </c>
      <c r="M622" s="1">
        <v>0</v>
      </c>
      <c r="N622" s="1">
        <v>168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 t="s">
        <v>49</v>
      </c>
      <c r="AA622" s="1" t="s">
        <v>49</v>
      </c>
      <c r="AB622" s="1" t="s">
        <v>49</v>
      </c>
      <c r="AC622" s="1" t="s">
        <v>883</v>
      </c>
      <c r="AD622" s="1" t="s">
        <v>884</v>
      </c>
      <c r="AE622" s="1" t="s">
        <v>883</v>
      </c>
      <c r="AF622" s="1" t="s">
        <v>1494</v>
      </c>
      <c r="AG622" s="1" t="s">
        <v>53</v>
      </c>
      <c r="AH622" s="1" t="s">
        <v>49</v>
      </c>
      <c r="AI622" s="1" t="s">
        <v>54</v>
      </c>
      <c r="AJ622" s="1">
        <v>1</v>
      </c>
      <c r="AK622" s="1" t="str">
        <f t="shared" si="9"/>
        <v xml:space="preserve"> =&lt;90</v>
      </c>
      <c r="AL622" s="1" t="str">
        <f>VLOOKUP(C:C,[1]基础信息!B$1:D$65536,3,0)</f>
        <v>Jug</v>
      </c>
      <c r="AM622" s="1" t="str">
        <f>VLOOKUP(C:C,[1]基础信息!B$1:E$65536,4,0)</f>
        <v>Style COOL</v>
      </c>
      <c r="AN622" s="1" t="str">
        <f>VLOOKUP(C:C,[1]基础信息!B$1:F$65536,5,0)</f>
        <v>Cool Blue</v>
      </c>
    </row>
    <row r="623" spans="1:40">
      <c r="A623" s="1" t="s">
        <v>41</v>
      </c>
      <c r="B623" s="1" t="s">
        <v>42</v>
      </c>
      <c r="C623" s="1" t="s">
        <v>481</v>
      </c>
      <c r="D623" s="1" t="s">
        <v>482</v>
      </c>
      <c r="E623" s="1" t="s">
        <v>45</v>
      </c>
      <c r="F623" s="1" t="s">
        <v>1491</v>
      </c>
      <c r="G623" s="1" t="s">
        <v>1560</v>
      </c>
      <c r="H623" s="1" t="s">
        <v>1561</v>
      </c>
      <c r="I623" s="1" t="s">
        <v>49</v>
      </c>
      <c r="J623" s="1" t="s">
        <v>48</v>
      </c>
      <c r="K623" s="1">
        <v>168</v>
      </c>
      <c r="L623" s="1">
        <v>0</v>
      </c>
      <c r="M623" s="1">
        <v>0</v>
      </c>
      <c r="N623" s="1">
        <v>168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 t="s">
        <v>49</v>
      </c>
      <c r="AA623" s="1" t="s">
        <v>49</v>
      </c>
      <c r="AB623" s="1" t="s">
        <v>49</v>
      </c>
      <c r="AC623" s="1" t="s">
        <v>883</v>
      </c>
      <c r="AD623" s="1" t="s">
        <v>884</v>
      </c>
      <c r="AE623" s="1" t="s">
        <v>883</v>
      </c>
      <c r="AF623" s="1" t="s">
        <v>1494</v>
      </c>
      <c r="AG623" s="1" t="s">
        <v>53</v>
      </c>
      <c r="AH623" s="1" t="s">
        <v>49</v>
      </c>
      <c r="AI623" s="1" t="s">
        <v>54</v>
      </c>
      <c r="AJ623" s="1">
        <v>1</v>
      </c>
      <c r="AK623" s="1" t="str">
        <f t="shared" si="9"/>
        <v xml:space="preserve"> =&lt;90</v>
      </c>
      <c r="AL623" s="1" t="str">
        <f>VLOOKUP(C:C,[1]基础信息!B$1:D$65536,3,0)</f>
        <v>Jug</v>
      </c>
      <c r="AM623" s="1" t="str">
        <f>VLOOKUP(C:C,[1]基础信息!B$1:E$65536,4,0)</f>
        <v>Style COOL</v>
      </c>
      <c r="AN623" s="1" t="str">
        <f>VLOOKUP(C:C,[1]基础信息!B$1:F$65536,5,0)</f>
        <v>Cool Blue</v>
      </c>
    </row>
    <row r="624" spans="1:40">
      <c r="A624" s="1" t="s">
        <v>41</v>
      </c>
      <c r="B624" s="1" t="s">
        <v>42</v>
      </c>
      <c r="C624" s="1" t="s">
        <v>481</v>
      </c>
      <c r="D624" s="1" t="s">
        <v>482</v>
      </c>
      <c r="E624" s="1" t="s">
        <v>45</v>
      </c>
      <c r="F624" s="1" t="s">
        <v>1491</v>
      </c>
      <c r="G624" s="1" t="s">
        <v>1562</v>
      </c>
      <c r="H624" s="1" t="s">
        <v>1563</v>
      </c>
      <c r="I624" s="1" t="s">
        <v>49</v>
      </c>
      <c r="J624" s="1" t="s">
        <v>48</v>
      </c>
      <c r="K624" s="1">
        <v>168</v>
      </c>
      <c r="L624" s="1">
        <v>0</v>
      </c>
      <c r="M624" s="1">
        <v>0</v>
      </c>
      <c r="N624" s="1">
        <v>168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 t="s">
        <v>49</v>
      </c>
      <c r="AA624" s="1" t="s">
        <v>49</v>
      </c>
      <c r="AB624" s="1" t="s">
        <v>49</v>
      </c>
      <c r="AC624" s="1" t="s">
        <v>883</v>
      </c>
      <c r="AD624" s="1" t="s">
        <v>884</v>
      </c>
      <c r="AE624" s="1" t="s">
        <v>883</v>
      </c>
      <c r="AF624" s="1" t="s">
        <v>1494</v>
      </c>
      <c r="AG624" s="1" t="s">
        <v>53</v>
      </c>
      <c r="AH624" s="1" t="s">
        <v>49</v>
      </c>
      <c r="AI624" s="1" t="s">
        <v>54</v>
      </c>
      <c r="AJ624" s="1">
        <v>1</v>
      </c>
      <c r="AK624" s="1" t="str">
        <f t="shared" si="9"/>
        <v xml:space="preserve"> =&lt;90</v>
      </c>
      <c r="AL624" s="1" t="str">
        <f>VLOOKUP(C:C,[1]基础信息!B$1:D$65536,3,0)</f>
        <v>Jug</v>
      </c>
      <c r="AM624" s="1" t="str">
        <f>VLOOKUP(C:C,[1]基础信息!B$1:E$65536,4,0)</f>
        <v>Style COOL</v>
      </c>
      <c r="AN624" s="1" t="str">
        <f>VLOOKUP(C:C,[1]基础信息!B$1:F$65536,5,0)</f>
        <v>Cool Blue</v>
      </c>
    </row>
    <row r="625" spans="1:40">
      <c r="A625" s="1" t="s">
        <v>41</v>
      </c>
      <c r="B625" s="1" t="s">
        <v>42</v>
      </c>
      <c r="C625" s="1" t="s">
        <v>208</v>
      </c>
      <c r="D625" s="1" t="s">
        <v>209</v>
      </c>
      <c r="E625" s="1" t="s">
        <v>208</v>
      </c>
      <c r="F625" s="1" t="s">
        <v>1411</v>
      </c>
      <c r="G625" s="1" t="s">
        <v>1564</v>
      </c>
      <c r="H625" s="1" t="s">
        <v>1565</v>
      </c>
      <c r="I625" s="1" t="s">
        <v>49</v>
      </c>
      <c r="J625" s="1" t="s">
        <v>48</v>
      </c>
      <c r="K625" s="1">
        <v>80</v>
      </c>
      <c r="L625" s="1">
        <v>0</v>
      </c>
      <c r="M625" s="1">
        <v>0</v>
      </c>
      <c r="N625" s="1">
        <v>80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 t="s">
        <v>49</v>
      </c>
      <c r="AA625" s="1" t="s">
        <v>49</v>
      </c>
      <c r="AB625" s="1" t="s">
        <v>49</v>
      </c>
      <c r="AC625" s="1" t="s">
        <v>1330</v>
      </c>
      <c r="AD625" s="1" t="s">
        <v>1331</v>
      </c>
      <c r="AE625" s="1" t="s">
        <v>1330</v>
      </c>
      <c r="AF625" s="1" t="s">
        <v>1414</v>
      </c>
      <c r="AG625" s="1" t="s">
        <v>53</v>
      </c>
      <c r="AH625" s="1" t="s">
        <v>49</v>
      </c>
      <c r="AI625" s="1" t="s">
        <v>54</v>
      </c>
      <c r="AJ625" s="1">
        <v>1</v>
      </c>
      <c r="AK625" s="1" t="str">
        <f t="shared" si="9"/>
        <v xml:space="preserve"> =&lt;90</v>
      </c>
      <c r="AL625" s="1" t="str">
        <f>VLOOKUP(C:C,[1]基础信息!B$1:D$65536,3,0)</f>
        <v>Jug</v>
      </c>
      <c r="AM625" s="1" t="str">
        <f>VLOOKUP(C:C,[1]基础信息!B$1:E$65536,4,0)</f>
        <v>MXpl</v>
      </c>
      <c r="AN625" s="1" t="str">
        <f>VLOOKUP(C:C,[1]基础信息!B$1:F$65536,5,0)</f>
        <v>grey</v>
      </c>
    </row>
    <row r="626" spans="1:40">
      <c r="A626" s="1" t="s">
        <v>41</v>
      </c>
      <c r="B626" s="1" t="s">
        <v>42</v>
      </c>
      <c r="C626" s="1" t="s">
        <v>104</v>
      </c>
      <c r="D626" s="1" t="s">
        <v>105</v>
      </c>
      <c r="E626" s="1" t="s">
        <v>104</v>
      </c>
      <c r="F626" s="1" t="s">
        <v>125</v>
      </c>
      <c r="G626" s="1" t="s">
        <v>1566</v>
      </c>
      <c r="H626" s="1" t="s">
        <v>1567</v>
      </c>
      <c r="I626" s="1" t="s">
        <v>49</v>
      </c>
      <c r="J626" s="1" t="s">
        <v>48</v>
      </c>
      <c r="K626" s="1">
        <v>96</v>
      </c>
      <c r="L626" s="1">
        <v>0</v>
      </c>
      <c r="M626" s="1">
        <v>0</v>
      </c>
      <c r="N626" s="1">
        <v>96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 t="s">
        <v>49</v>
      </c>
      <c r="AA626" s="1" t="s">
        <v>49</v>
      </c>
      <c r="AB626" s="1" t="s">
        <v>49</v>
      </c>
      <c r="AC626" s="1" t="s">
        <v>128</v>
      </c>
      <c r="AD626" s="1" t="s">
        <v>129</v>
      </c>
      <c r="AE626" s="1" t="s">
        <v>128</v>
      </c>
      <c r="AF626" s="1" t="s">
        <v>130</v>
      </c>
      <c r="AG626" s="1" t="s">
        <v>53</v>
      </c>
      <c r="AH626" s="1" t="s">
        <v>49</v>
      </c>
      <c r="AI626" s="1" t="s">
        <v>54</v>
      </c>
      <c r="AJ626" s="1">
        <v>1</v>
      </c>
      <c r="AK626" s="1" t="str">
        <f t="shared" si="9"/>
        <v xml:space="preserve"> =&lt;90</v>
      </c>
      <c r="AL626" s="1" t="str">
        <f>VLOOKUP(C:C,[1]基础信息!B$1:D$65536,3,0)</f>
        <v>Jug</v>
      </c>
      <c r="AM626" s="1" t="str">
        <f>VLOOKUP(C:C,[1]基础信息!B$1:E$65536,4,0)</f>
        <v>Marella XL</v>
      </c>
      <c r="AN626" s="1" t="str">
        <f>VLOOKUP(C:C,[1]基础信息!B$1:F$65536,5,0)</f>
        <v>Blue</v>
      </c>
    </row>
    <row r="627" spans="1:40">
      <c r="A627" s="1" t="s">
        <v>41</v>
      </c>
      <c r="B627" s="1" t="s">
        <v>42</v>
      </c>
      <c r="C627" s="1" t="s">
        <v>554</v>
      </c>
      <c r="D627" s="1" t="s">
        <v>555</v>
      </c>
      <c r="E627" s="1" t="s">
        <v>45</v>
      </c>
      <c r="F627" s="1" t="s">
        <v>935</v>
      </c>
      <c r="G627" s="1" t="s">
        <v>1568</v>
      </c>
      <c r="H627" s="1" t="s">
        <v>1569</v>
      </c>
      <c r="I627" s="1" t="s">
        <v>49</v>
      </c>
      <c r="J627" s="1" t="s">
        <v>48</v>
      </c>
      <c r="K627" s="1">
        <v>70</v>
      </c>
      <c r="L627" s="1">
        <v>0</v>
      </c>
      <c r="M627" s="1">
        <v>0</v>
      </c>
      <c r="N627" s="1">
        <v>70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 t="s">
        <v>49</v>
      </c>
      <c r="AA627" s="1" t="s">
        <v>49</v>
      </c>
      <c r="AB627" s="1" t="s">
        <v>49</v>
      </c>
      <c r="AC627" s="1" t="s">
        <v>938</v>
      </c>
      <c r="AD627" s="1" t="s">
        <v>939</v>
      </c>
      <c r="AE627" s="1" t="s">
        <v>938</v>
      </c>
      <c r="AF627" s="1" t="s">
        <v>940</v>
      </c>
      <c r="AG627" s="1" t="s">
        <v>53</v>
      </c>
      <c r="AH627" s="1" t="s">
        <v>49</v>
      </c>
      <c r="AI627" s="1" t="s">
        <v>54</v>
      </c>
      <c r="AJ627" s="1">
        <v>1</v>
      </c>
      <c r="AK627" s="1" t="str">
        <f t="shared" si="9"/>
        <v xml:space="preserve"> =&lt;90</v>
      </c>
      <c r="AL627" s="1" t="str">
        <f>VLOOKUP(C:C,[1]基础信息!B$1:D$65536,3,0)</f>
        <v>Jug</v>
      </c>
      <c r="AM627" s="1" t="str">
        <f>VLOOKUP(C:C,[1]基础信息!B$1:E$65536,4,0)</f>
        <v>Green Pack</v>
      </c>
      <c r="AN627" s="1" t="str">
        <f>VLOOKUP(C:C,[1]基础信息!B$1:F$65536,5,0)</f>
        <v>Blue</v>
      </c>
    </row>
    <row r="628" spans="1:40">
      <c r="A628" s="1" t="s">
        <v>41</v>
      </c>
      <c r="B628" s="1" t="s">
        <v>42</v>
      </c>
      <c r="C628" s="1" t="s">
        <v>1383</v>
      </c>
      <c r="D628" s="1" t="s">
        <v>1384</v>
      </c>
      <c r="E628" s="1" t="s">
        <v>45</v>
      </c>
      <c r="F628" s="1" t="s">
        <v>1511</v>
      </c>
      <c r="G628" s="1" t="s">
        <v>1570</v>
      </c>
      <c r="H628" s="1" t="s">
        <v>1571</v>
      </c>
      <c r="I628" s="1" t="s">
        <v>49</v>
      </c>
      <c r="J628" s="1" t="s">
        <v>48</v>
      </c>
      <c r="K628" s="1">
        <v>48</v>
      </c>
      <c r="L628" s="1">
        <v>0</v>
      </c>
      <c r="M628" s="1">
        <v>0</v>
      </c>
      <c r="N628" s="1">
        <v>48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 t="s">
        <v>49</v>
      </c>
      <c r="AA628" s="1" t="s">
        <v>49</v>
      </c>
      <c r="AB628" s="1" t="s">
        <v>49</v>
      </c>
      <c r="AC628" s="1" t="s">
        <v>305</v>
      </c>
      <c r="AD628" s="1" t="s">
        <v>306</v>
      </c>
      <c r="AE628" s="1" t="s">
        <v>1514</v>
      </c>
      <c r="AF628" s="1" t="s">
        <v>1515</v>
      </c>
      <c r="AG628" s="1" t="s">
        <v>53</v>
      </c>
      <c r="AH628" s="1" t="s">
        <v>49</v>
      </c>
      <c r="AI628" s="1" t="s">
        <v>54</v>
      </c>
      <c r="AJ628" s="1">
        <v>1</v>
      </c>
      <c r="AK628" s="1" t="str">
        <f t="shared" si="9"/>
        <v xml:space="preserve"> =&lt;90</v>
      </c>
      <c r="AL628" s="1" t="str">
        <f>VLOOKUP(C:C,[1]基础信息!B$1:D$65536,3,0)</f>
        <v>Jug</v>
      </c>
      <c r="AM628" s="1" t="str">
        <f>VLOOKUP(C:C,[1]基础信息!B$1:E$65536,4,0)</f>
        <v>Mxplus</v>
      </c>
      <c r="AN628" s="1" t="str">
        <f>VLOOKUP(C:C,[1]基础信息!B$1:F$65536,5,0)</f>
        <v>White</v>
      </c>
    </row>
    <row r="629" spans="1:40">
      <c r="A629" s="1" t="s">
        <v>41</v>
      </c>
      <c r="B629" s="1" t="s">
        <v>42</v>
      </c>
      <c r="C629" s="1" t="s">
        <v>554</v>
      </c>
      <c r="D629" s="1" t="s">
        <v>555</v>
      </c>
      <c r="E629" s="1" t="s">
        <v>45</v>
      </c>
      <c r="F629" s="1" t="s">
        <v>935</v>
      </c>
      <c r="G629" s="1" t="s">
        <v>1572</v>
      </c>
      <c r="H629" s="1" t="s">
        <v>1573</v>
      </c>
      <c r="I629" s="1" t="s">
        <v>49</v>
      </c>
      <c r="J629" s="1" t="s">
        <v>48</v>
      </c>
      <c r="K629" s="1">
        <v>70</v>
      </c>
      <c r="L629" s="1">
        <v>0</v>
      </c>
      <c r="M629" s="1">
        <v>0</v>
      </c>
      <c r="N629" s="1">
        <v>70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 t="s">
        <v>49</v>
      </c>
      <c r="AA629" s="1" t="s">
        <v>49</v>
      </c>
      <c r="AB629" s="1" t="s">
        <v>49</v>
      </c>
      <c r="AC629" s="1" t="s">
        <v>938</v>
      </c>
      <c r="AD629" s="1" t="s">
        <v>939</v>
      </c>
      <c r="AE629" s="1" t="s">
        <v>938</v>
      </c>
      <c r="AF629" s="1" t="s">
        <v>940</v>
      </c>
      <c r="AG629" s="1" t="s">
        <v>53</v>
      </c>
      <c r="AH629" s="1" t="s">
        <v>49</v>
      </c>
      <c r="AI629" s="1" t="s">
        <v>54</v>
      </c>
      <c r="AJ629" s="1">
        <v>1</v>
      </c>
      <c r="AK629" s="1" t="str">
        <f t="shared" si="9"/>
        <v xml:space="preserve"> =&lt;90</v>
      </c>
      <c r="AL629" s="1" t="str">
        <f>VLOOKUP(C:C,[1]基础信息!B$1:D$65536,3,0)</f>
        <v>Jug</v>
      </c>
      <c r="AM629" s="1" t="str">
        <f>VLOOKUP(C:C,[1]基础信息!B$1:E$65536,4,0)</f>
        <v>Green Pack</v>
      </c>
      <c r="AN629" s="1" t="str">
        <f>VLOOKUP(C:C,[1]基础信息!B$1:F$65536,5,0)</f>
        <v>Blue</v>
      </c>
    </row>
    <row r="630" spans="1:40">
      <c r="A630" s="1" t="s">
        <v>41</v>
      </c>
      <c r="B630" s="1" t="s">
        <v>42</v>
      </c>
      <c r="C630" s="1" t="s">
        <v>481</v>
      </c>
      <c r="D630" s="1" t="s">
        <v>482</v>
      </c>
      <c r="E630" s="1" t="s">
        <v>45</v>
      </c>
      <c r="F630" s="1" t="s">
        <v>1491</v>
      </c>
      <c r="G630" s="1" t="s">
        <v>1574</v>
      </c>
      <c r="H630" s="1" t="s">
        <v>1575</v>
      </c>
      <c r="I630" s="1" t="s">
        <v>49</v>
      </c>
      <c r="J630" s="1" t="s">
        <v>48</v>
      </c>
      <c r="K630" s="1">
        <v>168</v>
      </c>
      <c r="L630" s="1">
        <v>0</v>
      </c>
      <c r="M630" s="1">
        <v>0</v>
      </c>
      <c r="N630" s="1">
        <v>168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 t="s">
        <v>49</v>
      </c>
      <c r="AA630" s="1" t="s">
        <v>49</v>
      </c>
      <c r="AB630" s="1" t="s">
        <v>49</v>
      </c>
      <c r="AC630" s="1" t="s">
        <v>883</v>
      </c>
      <c r="AD630" s="1" t="s">
        <v>884</v>
      </c>
      <c r="AE630" s="1" t="s">
        <v>883</v>
      </c>
      <c r="AF630" s="1" t="s">
        <v>1494</v>
      </c>
      <c r="AG630" s="1" t="s">
        <v>53</v>
      </c>
      <c r="AH630" s="1" t="s">
        <v>49</v>
      </c>
      <c r="AI630" s="1" t="s">
        <v>54</v>
      </c>
      <c r="AJ630" s="1">
        <v>1</v>
      </c>
      <c r="AK630" s="1" t="str">
        <f t="shared" si="9"/>
        <v xml:space="preserve"> =&lt;90</v>
      </c>
      <c r="AL630" s="1" t="str">
        <f>VLOOKUP(C:C,[1]基础信息!B$1:D$65536,3,0)</f>
        <v>Jug</v>
      </c>
      <c r="AM630" s="1" t="str">
        <f>VLOOKUP(C:C,[1]基础信息!B$1:E$65536,4,0)</f>
        <v>Style COOL</v>
      </c>
      <c r="AN630" s="1" t="str">
        <f>VLOOKUP(C:C,[1]基础信息!B$1:F$65536,5,0)</f>
        <v>Cool Blue</v>
      </c>
    </row>
    <row r="631" spans="1:40">
      <c r="A631" s="1" t="s">
        <v>41</v>
      </c>
      <c r="B631" s="1" t="s">
        <v>42</v>
      </c>
      <c r="C631" s="1" t="s">
        <v>554</v>
      </c>
      <c r="D631" s="1" t="s">
        <v>555</v>
      </c>
      <c r="E631" s="1" t="s">
        <v>45</v>
      </c>
      <c r="F631" s="1" t="s">
        <v>935</v>
      </c>
      <c r="G631" s="1" t="s">
        <v>1576</v>
      </c>
      <c r="H631" s="1" t="s">
        <v>1577</v>
      </c>
      <c r="I631" s="1" t="s">
        <v>49</v>
      </c>
      <c r="J631" s="1" t="s">
        <v>48</v>
      </c>
      <c r="K631" s="1">
        <v>70</v>
      </c>
      <c r="L631" s="1">
        <v>0</v>
      </c>
      <c r="M631" s="1">
        <v>0</v>
      </c>
      <c r="N631" s="1">
        <v>70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 t="s">
        <v>49</v>
      </c>
      <c r="AA631" s="1" t="s">
        <v>49</v>
      </c>
      <c r="AB631" s="1" t="s">
        <v>49</v>
      </c>
      <c r="AC631" s="1" t="s">
        <v>938</v>
      </c>
      <c r="AD631" s="1" t="s">
        <v>939</v>
      </c>
      <c r="AE631" s="1" t="s">
        <v>938</v>
      </c>
      <c r="AF631" s="1" t="s">
        <v>940</v>
      </c>
      <c r="AG631" s="1" t="s">
        <v>53</v>
      </c>
      <c r="AH631" s="1" t="s">
        <v>49</v>
      </c>
      <c r="AI631" s="1" t="s">
        <v>54</v>
      </c>
      <c r="AJ631" s="1">
        <v>1</v>
      </c>
      <c r="AK631" s="1" t="str">
        <f t="shared" si="9"/>
        <v xml:space="preserve"> =&lt;90</v>
      </c>
      <c r="AL631" s="1" t="str">
        <f>VLOOKUP(C:C,[1]基础信息!B$1:D$65536,3,0)</f>
        <v>Jug</v>
      </c>
      <c r="AM631" s="1" t="str">
        <f>VLOOKUP(C:C,[1]基础信息!B$1:E$65536,4,0)</f>
        <v>Green Pack</v>
      </c>
      <c r="AN631" s="1" t="str">
        <f>VLOOKUP(C:C,[1]基础信息!B$1:F$65536,5,0)</f>
        <v>Blue</v>
      </c>
    </row>
    <row r="632" spans="1:40">
      <c r="A632" s="1" t="s">
        <v>41</v>
      </c>
      <c r="B632" s="1" t="s">
        <v>42</v>
      </c>
      <c r="C632" s="1" t="s">
        <v>481</v>
      </c>
      <c r="D632" s="1" t="s">
        <v>482</v>
      </c>
      <c r="E632" s="1" t="s">
        <v>45</v>
      </c>
      <c r="F632" s="1" t="s">
        <v>1491</v>
      </c>
      <c r="G632" s="1" t="s">
        <v>1578</v>
      </c>
      <c r="H632" s="1" t="s">
        <v>1579</v>
      </c>
      <c r="I632" s="1" t="s">
        <v>49</v>
      </c>
      <c r="J632" s="1" t="s">
        <v>48</v>
      </c>
      <c r="K632" s="1">
        <v>168</v>
      </c>
      <c r="L632" s="1">
        <v>0</v>
      </c>
      <c r="M632" s="1">
        <v>0</v>
      </c>
      <c r="N632" s="1">
        <v>168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 t="s">
        <v>49</v>
      </c>
      <c r="AA632" s="1" t="s">
        <v>49</v>
      </c>
      <c r="AB632" s="1" t="s">
        <v>49</v>
      </c>
      <c r="AC632" s="1" t="s">
        <v>883</v>
      </c>
      <c r="AD632" s="1" t="s">
        <v>884</v>
      </c>
      <c r="AE632" s="1" t="s">
        <v>883</v>
      </c>
      <c r="AF632" s="1" t="s">
        <v>1494</v>
      </c>
      <c r="AG632" s="1" t="s">
        <v>53</v>
      </c>
      <c r="AH632" s="1" t="s">
        <v>49</v>
      </c>
      <c r="AI632" s="1" t="s">
        <v>54</v>
      </c>
      <c r="AJ632" s="1">
        <v>1</v>
      </c>
      <c r="AK632" s="1" t="str">
        <f t="shared" si="9"/>
        <v xml:space="preserve"> =&lt;90</v>
      </c>
      <c r="AL632" s="1" t="str">
        <f>VLOOKUP(C:C,[1]基础信息!B$1:D$65536,3,0)</f>
        <v>Jug</v>
      </c>
      <c r="AM632" s="1" t="str">
        <f>VLOOKUP(C:C,[1]基础信息!B$1:E$65536,4,0)</f>
        <v>Style COOL</v>
      </c>
      <c r="AN632" s="1" t="str">
        <f>VLOOKUP(C:C,[1]基础信息!B$1:F$65536,5,0)</f>
        <v>Cool Blue</v>
      </c>
    </row>
    <row r="633" spans="1:40">
      <c r="A633" s="1" t="s">
        <v>41</v>
      </c>
      <c r="B633" s="1" t="s">
        <v>42</v>
      </c>
      <c r="C633" s="1" t="s">
        <v>481</v>
      </c>
      <c r="D633" s="1" t="s">
        <v>482</v>
      </c>
      <c r="E633" s="1" t="s">
        <v>45</v>
      </c>
      <c r="F633" s="1" t="s">
        <v>1491</v>
      </c>
      <c r="G633" s="1" t="s">
        <v>1580</v>
      </c>
      <c r="H633" s="1" t="s">
        <v>1581</v>
      </c>
      <c r="I633" s="1" t="s">
        <v>49</v>
      </c>
      <c r="J633" s="1" t="s">
        <v>48</v>
      </c>
      <c r="K633" s="1">
        <v>168</v>
      </c>
      <c r="L633" s="1">
        <v>0</v>
      </c>
      <c r="M633" s="1">
        <v>0</v>
      </c>
      <c r="N633" s="1">
        <v>168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 t="s">
        <v>49</v>
      </c>
      <c r="AA633" s="1" t="s">
        <v>49</v>
      </c>
      <c r="AB633" s="1" t="s">
        <v>49</v>
      </c>
      <c r="AC633" s="1" t="s">
        <v>883</v>
      </c>
      <c r="AD633" s="1" t="s">
        <v>884</v>
      </c>
      <c r="AE633" s="1" t="s">
        <v>883</v>
      </c>
      <c r="AF633" s="1" t="s">
        <v>1494</v>
      </c>
      <c r="AG633" s="1" t="s">
        <v>53</v>
      </c>
      <c r="AH633" s="1" t="s">
        <v>49</v>
      </c>
      <c r="AI633" s="1" t="s">
        <v>54</v>
      </c>
      <c r="AJ633" s="1">
        <v>1</v>
      </c>
      <c r="AK633" s="1" t="str">
        <f t="shared" si="9"/>
        <v xml:space="preserve"> =&lt;90</v>
      </c>
      <c r="AL633" s="1" t="str">
        <f>VLOOKUP(C:C,[1]基础信息!B$1:D$65536,3,0)</f>
        <v>Jug</v>
      </c>
      <c r="AM633" s="1" t="str">
        <f>VLOOKUP(C:C,[1]基础信息!B$1:E$65536,4,0)</f>
        <v>Style COOL</v>
      </c>
      <c r="AN633" s="1" t="str">
        <f>VLOOKUP(C:C,[1]基础信息!B$1:F$65536,5,0)</f>
        <v>Cool Blue</v>
      </c>
    </row>
    <row r="634" spans="1:40">
      <c r="A634" s="1" t="s">
        <v>41</v>
      </c>
      <c r="B634" s="1" t="s">
        <v>42</v>
      </c>
      <c r="C634" s="1" t="s">
        <v>1383</v>
      </c>
      <c r="D634" s="1" t="s">
        <v>1384</v>
      </c>
      <c r="E634" s="1" t="s">
        <v>45</v>
      </c>
      <c r="F634" s="1" t="s">
        <v>1582</v>
      </c>
      <c r="G634" s="1" t="s">
        <v>1583</v>
      </c>
      <c r="H634" s="1" t="s">
        <v>1584</v>
      </c>
      <c r="I634" s="1" t="s">
        <v>49</v>
      </c>
      <c r="J634" s="1" t="s">
        <v>48</v>
      </c>
      <c r="K634" s="1">
        <v>67</v>
      </c>
      <c r="L634" s="1">
        <v>0</v>
      </c>
      <c r="M634" s="1">
        <v>0</v>
      </c>
      <c r="N634" s="1">
        <v>67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 t="s">
        <v>49</v>
      </c>
      <c r="AA634" s="1" t="s">
        <v>49</v>
      </c>
      <c r="AB634" s="1" t="s">
        <v>49</v>
      </c>
      <c r="AC634" s="1" t="s">
        <v>305</v>
      </c>
      <c r="AD634" s="1" t="s">
        <v>306</v>
      </c>
      <c r="AE634" s="1" t="s">
        <v>1514</v>
      </c>
      <c r="AF634" s="1" t="s">
        <v>1585</v>
      </c>
      <c r="AG634" s="1" t="s">
        <v>53</v>
      </c>
      <c r="AH634" s="1" t="s">
        <v>49</v>
      </c>
      <c r="AI634" s="1" t="s">
        <v>54</v>
      </c>
      <c r="AJ634" s="1">
        <v>1</v>
      </c>
      <c r="AK634" s="1" t="str">
        <f t="shared" si="9"/>
        <v xml:space="preserve"> =&lt;90</v>
      </c>
      <c r="AL634" s="1" t="str">
        <f>VLOOKUP(C:C,[1]基础信息!B$1:D$65536,3,0)</f>
        <v>Jug</v>
      </c>
      <c r="AM634" s="1" t="str">
        <f>VLOOKUP(C:C,[1]基础信息!B$1:E$65536,4,0)</f>
        <v>Mxplus</v>
      </c>
      <c r="AN634" s="1" t="str">
        <f>VLOOKUP(C:C,[1]基础信息!B$1:F$65536,5,0)</f>
        <v>White</v>
      </c>
    </row>
    <row r="635" spans="1:40">
      <c r="A635" s="1" t="s">
        <v>41</v>
      </c>
      <c r="B635" s="1" t="s">
        <v>42</v>
      </c>
      <c r="C635" s="1" t="s">
        <v>1383</v>
      </c>
      <c r="D635" s="1" t="s">
        <v>1384</v>
      </c>
      <c r="E635" s="1" t="s">
        <v>45</v>
      </c>
      <c r="F635" s="1" t="s">
        <v>1582</v>
      </c>
      <c r="G635" s="1" t="s">
        <v>1586</v>
      </c>
      <c r="H635" s="1" t="s">
        <v>1587</v>
      </c>
      <c r="I635" s="1" t="s">
        <v>49</v>
      </c>
      <c r="J635" s="1" t="s">
        <v>48</v>
      </c>
      <c r="K635" s="1">
        <v>96</v>
      </c>
      <c r="L635" s="1">
        <v>0</v>
      </c>
      <c r="M635" s="1">
        <v>0</v>
      </c>
      <c r="N635" s="1">
        <v>96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 t="s">
        <v>49</v>
      </c>
      <c r="AA635" s="1" t="s">
        <v>49</v>
      </c>
      <c r="AB635" s="1" t="s">
        <v>49</v>
      </c>
      <c r="AC635" s="1" t="s">
        <v>305</v>
      </c>
      <c r="AD635" s="1" t="s">
        <v>306</v>
      </c>
      <c r="AE635" s="1" t="s">
        <v>1514</v>
      </c>
      <c r="AF635" s="1" t="s">
        <v>1585</v>
      </c>
      <c r="AG635" s="1" t="s">
        <v>53</v>
      </c>
      <c r="AH635" s="1" t="s">
        <v>49</v>
      </c>
      <c r="AI635" s="1" t="s">
        <v>54</v>
      </c>
      <c r="AJ635" s="1">
        <v>1</v>
      </c>
      <c r="AK635" s="1" t="str">
        <f t="shared" si="9"/>
        <v xml:space="preserve"> =&lt;90</v>
      </c>
      <c r="AL635" s="1" t="str">
        <f>VLOOKUP(C:C,[1]基础信息!B$1:D$65536,3,0)</f>
        <v>Jug</v>
      </c>
      <c r="AM635" s="1" t="str">
        <f>VLOOKUP(C:C,[1]基础信息!B$1:E$65536,4,0)</f>
        <v>Mxplus</v>
      </c>
      <c r="AN635" s="1" t="str">
        <f>VLOOKUP(C:C,[1]基础信息!B$1:F$65536,5,0)</f>
        <v>White</v>
      </c>
    </row>
    <row r="636" spans="1:40">
      <c r="A636" s="1" t="s">
        <v>41</v>
      </c>
      <c r="B636" s="1" t="s">
        <v>42</v>
      </c>
      <c r="C636" s="1" t="s">
        <v>1383</v>
      </c>
      <c r="D636" s="1" t="s">
        <v>1384</v>
      </c>
      <c r="E636" s="1" t="s">
        <v>45</v>
      </c>
      <c r="F636" s="1" t="s">
        <v>1582</v>
      </c>
      <c r="G636" s="1" t="s">
        <v>1588</v>
      </c>
      <c r="H636" s="1" t="s">
        <v>1589</v>
      </c>
      <c r="I636" s="1" t="s">
        <v>49</v>
      </c>
      <c r="J636" s="1" t="s">
        <v>48</v>
      </c>
      <c r="K636" s="1">
        <v>96</v>
      </c>
      <c r="L636" s="1">
        <v>0</v>
      </c>
      <c r="M636" s="1">
        <v>0</v>
      </c>
      <c r="N636" s="1">
        <v>96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 t="s">
        <v>49</v>
      </c>
      <c r="AA636" s="1" t="s">
        <v>49</v>
      </c>
      <c r="AB636" s="1" t="s">
        <v>49</v>
      </c>
      <c r="AC636" s="1" t="s">
        <v>305</v>
      </c>
      <c r="AD636" s="1" t="s">
        <v>306</v>
      </c>
      <c r="AE636" s="1" t="s">
        <v>1514</v>
      </c>
      <c r="AF636" s="1" t="s">
        <v>1585</v>
      </c>
      <c r="AG636" s="1" t="s">
        <v>53</v>
      </c>
      <c r="AH636" s="1" t="s">
        <v>49</v>
      </c>
      <c r="AI636" s="1" t="s">
        <v>54</v>
      </c>
      <c r="AJ636" s="1">
        <v>1</v>
      </c>
      <c r="AK636" s="1" t="str">
        <f t="shared" si="9"/>
        <v xml:space="preserve"> =&lt;90</v>
      </c>
      <c r="AL636" s="1" t="str">
        <f>VLOOKUP(C:C,[1]基础信息!B$1:D$65536,3,0)</f>
        <v>Jug</v>
      </c>
      <c r="AM636" s="1" t="str">
        <f>VLOOKUP(C:C,[1]基础信息!B$1:E$65536,4,0)</f>
        <v>Mxplus</v>
      </c>
      <c r="AN636" s="1" t="str">
        <f>VLOOKUP(C:C,[1]基础信息!B$1:F$65536,5,0)</f>
        <v>White</v>
      </c>
    </row>
    <row r="637" spans="1:40">
      <c r="A637" s="1" t="s">
        <v>41</v>
      </c>
      <c r="B637" s="1" t="s">
        <v>42</v>
      </c>
      <c r="C637" s="1" t="s">
        <v>417</v>
      </c>
      <c r="D637" s="1" t="s">
        <v>418</v>
      </c>
      <c r="E637" s="1" t="s">
        <v>45</v>
      </c>
      <c r="F637" s="1" t="s">
        <v>1374</v>
      </c>
      <c r="G637" s="1" t="s">
        <v>1590</v>
      </c>
      <c r="H637" s="1" t="s">
        <v>1591</v>
      </c>
      <c r="I637" s="1" t="s">
        <v>49</v>
      </c>
      <c r="J637" s="1" t="s">
        <v>48</v>
      </c>
      <c r="K637" s="1">
        <v>96</v>
      </c>
      <c r="L637" s="1">
        <v>0</v>
      </c>
      <c r="M637" s="1">
        <v>0</v>
      </c>
      <c r="N637" s="1">
        <v>96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 t="s">
        <v>49</v>
      </c>
      <c r="AA637" s="1" t="s">
        <v>49</v>
      </c>
      <c r="AB637" s="1" t="s">
        <v>49</v>
      </c>
      <c r="AC637" s="1" t="s">
        <v>1377</v>
      </c>
      <c r="AD637" s="1" t="s">
        <v>1378</v>
      </c>
      <c r="AE637" s="1" t="s">
        <v>1377</v>
      </c>
      <c r="AF637" s="1" t="s">
        <v>422</v>
      </c>
      <c r="AG637" s="1" t="s">
        <v>53</v>
      </c>
      <c r="AH637" s="1" t="s">
        <v>49</v>
      </c>
      <c r="AI637" s="1" t="s">
        <v>54</v>
      </c>
      <c r="AJ637" s="1">
        <v>1</v>
      </c>
      <c r="AK637" s="1" t="str">
        <f t="shared" si="9"/>
        <v xml:space="preserve"> =&lt;90</v>
      </c>
      <c r="AL637" s="1" t="str">
        <f>VLOOKUP(C:C,[1]基础信息!B$1:D$65536,3,0)</f>
        <v>Jug</v>
      </c>
      <c r="AM637" s="1" t="str">
        <f>VLOOKUP(C:C,[1]基础信息!B$1:E$65536,4,0)</f>
        <v>Marella XL</v>
      </c>
      <c r="AN637" s="1" t="str">
        <f>VLOOKUP(C:C,[1]基础信息!B$1:F$65536,5,0)</f>
        <v>Silver</v>
      </c>
    </row>
    <row r="638" spans="1:40">
      <c r="A638" s="1" t="s">
        <v>41</v>
      </c>
      <c r="B638" s="1" t="s">
        <v>42</v>
      </c>
      <c r="C638" s="1" t="s">
        <v>83</v>
      </c>
      <c r="D638" s="1" t="s">
        <v>84</v>
      </c>
      <c r="E638" s="1" t="s">
        <v>45</v>
      </c>
      <c r="F638" s="1" t="s">
        <v>1419</v>
      </c>
      <c r="G638" s="1" t="s">
        <v>1592</v>
      </c>
      <c r="H638" s="1" t="s">
        <v>1593</v>
      </c>
      <c r="I638" s="1" t="s">
        <v>49</v>
      </c>
      <c r="J638" s="1" t="s">
        <v>48</v>
      </c>
      <c r="K638" s="1">
        <v>96</v>
      </c>
      <c r="L638" s="1">
        <v>0</v>
      </c>
      <c r="M638" s="1">
        <v>0</v>
      </c>
      <c r="N638" s="1">
        <v>96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 t="s">
        <v>49</v>
      </c>
      <c r="AA638" s="1" t="s">
        <v>49</v>
      </c>
      <c r="AB638" s="1" t="s">
        <v>49</v>
      </c>
      <c r="AC638" s="1" t="s">
        <v>213</v>
      </c>
      <c r="AD638" s="1" t="s">
        <v>214</v>
      </c>
      <c r="AE638" s="1" t="s">
        <v>215</v>
      </c>
      <c r="AF638" s="1" t="s">
        <v>1422</v>
      </c>
      <c r="AG638" s="1" t="s">
        <v>53</v>
      </c>
      <c r="AH638" s="1" t="s">
        <v>49</v>
      </c>
      <c r="AI638" s="1" t="s">
        <v>54</v>
      </c>
      <c r="AJ638" s="1">
        <v>1</v>
      </c>
      <c r="AK638" s="1" t="str">
        <f t="shared" si="9"/>
        <v xml:space="preserve"> =&lt;90</v>
      </c>
      <c r="AL638" s="1" t="str">
        <f>VLOOKUP(C:C,[1]基础信息!B$1:D$65536,3,0)</f>
        <v>Jug</v>
      </c>
      <c r="AM638" s="1" t="str">
        <f>VLOOKUP(C:C,[1]基础信息!B$1:E$65536,4,0)</f>
        <v>Mxplus</v>
      </c>
      <c r="AN638" s="1" t="str">
        <f>VLOOKUP(C:C,[1]基础信息!B$1:F$65536,5,0)</f>
        <v>Blue</v>
      </c>
    </row>
    <row r="639" spans="1:40">
      <c r="A639" s="1" t="s">
        <v>41</v>
      </c>
      <c r="B639" s="1" t="s">
        <v>42</v>
      </c>
      <c r="C639" s="1" t="s">
        <v>83</v>
      </c>
      <c r="D639" s="1" t="s">
        <v>84</v>
      </c>
      <c r="E639" s="1" t="s">
        <v>45</v>
      </c>
      <c r="F639" s="1" t="s">
        <v>1419</v>
      </c>
      <c r="G639" s="1" t="s">
        <v>1594</v>
      </c>
      <c r="H639" s="1" t="s">
        <v>1595</v>
      </c>
      <c r="I639" s="1" t="s">
        <v>49</v>
      </c>
      <c r="J639" s="1" t="s">
        <v>48</v>
      </c>
      <c r="K639" s="1">
        <v>96</v>
      </c>
      <c r="L639" s="1">
        <v>0</v>
      </c>
      <c r="M639" s="1">
        <v>0</v>
      </c>
      <c r="N639" s="1">
        <v>96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 t="s">
        <v>49</v>
      </c>
      <c r="AA639" s="1" t="s">
        <v>49</v>
      </c>
      <c r="AB639" s="1" t="s">
        <v>49</v>
      </c>
      <c r="AC639" s="1" t="s">
        <v>213</v>
      </c>
      <c r="AD639" s="1" t="s">
        <v>214</v>
      </c>
      <c r="AE639" s="1" t="s">
        <v>215</v>
      </c>
      <c r="AF639" s="1" t="s">
        <v>1422</v>
      </c>
      <c r="AG639" s="1" t="s">
        <v>53</v>
      </c>
      <c r="AH639" s="1" t="s">
        <v>49</v>
      </c>
      <c r="AI639" s="1" t="s">
        <v>54</v>
      </c>
      <c r="AJ639" s="1">
        <v>1</v>
      </c>
      <c r="AK639" s="1" t="str">
        <f t="shared" si="9"/>
        <v xml:space="preserve"> =&lt;90</v>
      </c>
      <c r="AL639" s="1" t="str">
        <f>VLOOKUP(C:C,[1]基础信息!B$1:D$65536,3,0)</f>
        <v>Jug</v>
      </c>
      <c r="AM639" s="1" t="str">
        <f>VLOOKUP(C:C,[1]基础信息!B$1:E$65536,4,0)</f>
        <v>Mxplus</v>
      </c>
      <c r="AN639" s="1" t="str">
        <f>VLOOKUP(C:C,[1]基础信息!B$1:F$65536,5,0)</f>
        <v>Blue</v>
      </c>
    </row>
    <row r="640" spans="1:40">
      <c r="A640" s="1" t="s">
        <v>41</v>
      </c>
      <c r="B640" s="1" t="s">
        <v>42</v>
      </c>
      <c r="C640" s="1" t="s">
        <v>554</v>
      </c>
      <c r="D640" s="1" t="s">
        <v>555</v>
      </c>
      <c r="E640" s="1" t="s">
        <v>45</v>
      </c>
      <c r="F640" s="1" t="s">
        <v>935</v>
      </c>
      <c r="G640" s="1" t="s">
        <v>1596</v>
      </c>
      <c r="H640" s="1" t="s">
        <v>1597</v>
      </c>
      <c r="I640" s="1" t="s">
        <v>49</v>
      </c>
      <c r="J640" s="1" t="s">
        <v>48</v>
      </c>
      <c r="K640" s="1">
        <v>70</v>
      </c>
      <c r="L640" s="1">
        <v>0</v>
      </c>
      <c r="M640" s="1">
        <v>0</v>
      </c>
      <c r="N640" s="1">
        <v>70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 t="s">
        <v>49</v>
      </c>
      <c r="AA640" s="1" t="s">
        <v>49</v>
      </c>
      <c r="AB640" s="1" t="s">
        <v>49</v>
      </c>
      <c r="AC640" s="1" t="s">
        <v>938</v>
      </c>
      <c r="AD640" s="1" t="s">
        <v>939</v>
      </c>
      <c r="AE640" s="1" t="s">
        <v>938</v>
      </c>
      <c r="AF640" s="1" t="s">
        <v>940</v>
      </c>
      <c r="AG640" s="1" t="s">
        <v>53</v>
      </c>
      <c r="AH640" s="1" t="s">
        <v>49</v>
      </c>
      <c r="AI640" s="1" t="s">
        <v>54</v>
      </c>
      <c r="AJ640" s="1">
        <v>1</v>
      </c>
      <c r="AK640" s="1" t="str">
        <f t="shared" si="9"/>
        <v xml:space="preserve"> =&lt;90</v>
      </c>
      <c r="AL640" s="1" t="str">
        <f>VLOOKUP(C:C,[1]基础信息!B$1:D$65536,3,0)</f>
        <v>Jug</v>
      </c>
      <c r="AM640" s="1" t="str">
        <f>VLOOKUP(C:C,[1]基础信息!B$1:E$65536,4,0)</f>
        <v>Green Pack</v>
      </c>
      <c r="AN640" s="1" t="str">
        <f>VLOOKUP(C:C,[1]基础信息!B$1:F$65536,5,0)</f>
        <v>Blue</v>
      </c>
    </row>
    <row r="641" spans="1:40">
      <c r="A641" s="1" t="s">
        <v>41</v>
      </c>
      <c r="B641" s="1" t="s">
        <v>42</v>
      </c>
      <c r="C641" s="1" t="s">
        <v>554</v>
      </c>
      <c r="D641" s="1" t="s">
        <v>555</v>
      </c>
      <c r="E641" s="1" t="s">
        <v>45</v>
      </c>
      <c r="F641" s="1" t="s">
        <v>935</v>
      </c>
      <c r="G641" s="1" t="s">
        <v>1598</v>
      </c>
      <c r="H641" s="1" t="s">
        <v>1599</v>
      </c>
      <c r="I641" s="1" t="s">
        <v>49</v>
      </c>
      <c r="J641" s="1" t="s">
        <v>48</v>
      </c>
      <c r="K641" s="1">
        <v>70</v>
      </c>
      <c r="L641" s="1">
        <v>0</v>
      </c>
      <c r="M641" s="1">
        <v>0</v>
      </c>
      <c r="N641" s="1">
        <v>70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 t="s">
        <v>49</v>
      </c>
      <c r="AA641" s="1" t="s">
        <v>49</v>
      </c>
      <c r="AB641" s="1" t="s">
        <v>49</v>
      </c>
      <c r="AC641" s="1" t="s">
        <v>938</v>
      </c>
      <c r="AD641" s="1" t="s">
        <v>939</v>
      </c>
      <c r="AE641" s="1" t="s">
        <v>938</v>
      </c>
      <c r="AF641" s="1" t="s">
        <v>940</v>
      </c>
      <c r="AG641" s="1" t="s">
        <v>53</v>
      </c>
      <c r="AH641" s="1" t="s">
        <v>49</v>
      </c>
      <c r="AI641" s="1" t="s">
        <v>54</v>
      </c>
      <c r="AJ641" s="1">
        <v>1</v>
      </c>
      <c r="AK641" s="1" t="str">
        <f t="shared" si="9"/>
        <v xml:space="preserve"> =&lt;90</v>
      </c>
      <c r="AL641" s="1" t="str">
        <f>VLOOKUP(C:C,[1]基础信息!B$1:D$65536,3,0)</f>
        <v>Jug</v>
      </c>
      <c r="AM641" s="1" t="str">
        <f>VLOOKUP(C:C,[1]基础信息!B$1:E$65536,4,0)</f>
        <v>Green Pack</v>
      </c>
      <c r="AN641" s="1" t="str">
        <f>VLOOKUP(C:C,[1]基础信息!B$1:F$65536,5,0)</f>
        <v>Blue</v>
      </c>
    </row>
    <row r="642" spans="1:40">
      <c r="A642" s="1" t="s">
        <v>41</v>
      </c>
      <c r="B642" s="1" t="s">
        <v>42</v>
      </c>
      <c r="C642" s="1" t="s">
        <v>554</v>
      </c>
      <c r="D642" s="1" t="s">
        <v>555</v>
      </c>
      <c r="E642" s="1" t="s">
        <v>45</v>
      </c>
      <c r="F642" s="1" t="s">
        <v>935</v>
      </c>
      <c r="G642" s="1" t="s">
        <v>1600</v>
      </c>
      <c r="H642" s="1" t="s">
        <v>1601</v>
      </c>
      <c r="I642" s="1" t="s">
        <v>49</v>
      </c>
      <c r="J642" s="1" t="s">
        <v>48</v>
      </c>
      <c r="K642" s="1">
        <v>70</v>
      </c>
      <c r="L642" s="1">
        <v>0</v>
      </c>
      <c r="M642" s="1">
        <v>0</v>
      </c>
      <c r="N642" s="1">
        <v>70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 t="s">
        <v>49</v>
      </c>
      <c r="AA642" s="1" t="s">
        <v>49</v>
      </c>
      <c r="AB642" s="1" t="s">
        <v>49</v>
      </c>
      <c r="AC642" s="1" t="s">
        <v>938</v>
      </c>
      <c r="AD642" s="1" t="s">
        <v>939</v>
      </c>
      <c r="AE642" s="1" t="s">
        <v>938</v>
      </c>
      <c r="AF642" s="1" t="s">
        <v>940</v>
      </c>
      <c r="AG642" s="1" t="s">
        <v>53</v>
      </c>
      <c r="AH642" s="1" t="s">
        <v>49</v>
      </c>
      <c r="AI642" s="1" t="s">
        <v>54</v>
      </c>
      <c r="AJ642" s="1">
        <v>1</v>
      </c>
      <c r="AK642" s="1" t="str">
        <f t="shared" ref="AK642:AK705" si="10">IF(AJ642&gt;$AP$2,$AQ$2,IF(AJ642&gt;$AP$3,$AQ$3,IF(AJ642&gt;$AP$4,$AQ$4,$AQ$5)))</f>
        <v xml:space="preserve"> =&lt;90</v>
      </c>
      <c r="AL642" s="1" t="str">
        <f>VLOOKUP(C:C,[1]基础信息!B$1:D$65536,3,0)</f>
        <v>Jug</v>
      </c>
      <c r="AM642" s="1" t="str">
        <f>VLOOKUP(C:C,[1]基础信息!B$1:E$65536,4,0)</f>
        <v>Green Pack</v>
      </c>
      <c r="AN642" s="1" t="str">
        <f>VLOOKUP(C:C,[1]基础信息!B$1:F$65536,5,0)</f>
        <v>Blue</v>
      </c>
    </row>
    <row r="643" spans="1:40">
      <c r="A643" s="1" t="s">
        <v>41</v>
      </c>
      <c r="B643" s="1" t="s">
        <v>42</v>
      </c>
      <c r="C643" s="1" t="s">
        <v>104</v>
      </c>
      <c r="D643" s="1" t="s">
        <v>105</v>
      </c>
      <c r="E643" s="1" t="s">
        <v>104</v>
      </c>
      <c r="F643" s="1" t="s">
        <v>1602</v>
      </c>
      <c r="G643" s="1" t="s">
        <v>1603</v>
      </c>
      <c r="H643" s="1" t="s">
        <v>1604</v>
      </c>
      <c r="I643" s="1" t="s">
        <v>49</v>
      </c>
      <c r="J643" s="1" t="s">
        <v>48</v>
      </c>
      <c r="K643" s="1">
        <v>68</v>
      </c>
      <c r="L643" s="1">
        <v>60</v>
      </c>
      <c r="M643" s="1">
        <v>0</v>
      </c>
      <c r="N643" s="1">
        <v>8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 t="s">
        <v>49</v>
      </c>
      <c r="AA643" s="1" t="s">
        <v>49</v>
      </c>
      <c r="AB643" s="1" t="s">
        <v>49</v>
      </c>
      <c r="AC643" s="1" t="s">
        <v>128</v>
      </c>
      <c r="AD643" s="1" t="s">
        <v>129</v>
      </c>
      <c r="AE643" s="1" t="s">
        <v>128</v>
      </c>
      <c r="AF643" s="1" t="s">
        <v>1605</v>
      </c>
      <c r="AG643" s="1" t="s">
        <v>53</v>
      </c>
      <c r="AH643" s="1" t="s">
        <v>49</v>
      </c>
      <c r="AI643" s="1" t="s">
        <v>54</v>
      </c>
      <c r="AJ643" s="1">
        <v>1</v>
      </c>
      <c r="AK643" s="1" t="str">
        <f t="shared" si="10"/>
        <v xml:space="preserve"> =&lt;90</v>
      </c>
      <c r="AL643" s="1" t="str">
        <f>VLOOKUP(C:C,[1]基础信息!B$1:D$65536,3,0)</f>
        <v>Jug</v>
      </c>
      <c r="AM643" s="1" t="str">
        <f>VLOOKUP(C:C,[1]基础信息!B$1:E$65536,4,0)</f>
        <v>Marella XL</v>
      </c>
      <c r="AN643" s="1" t="str">
        <f>VLOOKUP(C:C,[1]基础信息!B$1:F$65536,5,0)</f>
        <v>Blue</v>
      </c>
    </row>
    <row r="644" spans="1:40">
      <c r="A644" s="1" t="s">
        <v>41</v>
      </c>
      <c r="B644" s="1" t="s">
        <v>42</v>
      </c>
      <c r="C644" s="1" t="s">
        <v>83</v>
      </c>
      <c r="D644" s="1" t="s">
        <v>84</v>
      </c>
      <c r="E644" s="1" t="s">
        <v>45</v>
      </c>
      <c r="F644" s="1" t="s">
        <v>1419</v>
      </c>
      <c r="G644" s="1" t="s">
        <v>1606</v>
      </c>
      <c r="H644" s="1" t="s">
        <v>1607</v>
      </c>
      <c r="I644" s="1" t="s">
        <v>49</v>
      </c>
      <c r="J644" s="1" t="s">
        <v>48</v>
      </c>
      <c r="K644" s="1">
        <v>96</v>
      </c>
      <c r="L644" s="1">
        <v>0</v>
      </c>
      <c r="M644" s="1">
        <v>0</v>
      </c>
      <c r="N644" s="1">
        <v>96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 t="s">
        <v>49</v>
      </c>
      <c r="AA644" s="1" t="s">
        <v>49</v>
      </c>
      <c r="AB644" s="1" t="s">
        <v>49</v>
      </c>
      <c r="AC644" s="1" t="s">
        <v>213</v>
      </c>
      <c r="AD644" s="1" t="s">
        <v>214</v>
      </c>
      <c r="AE644" s="1" t="s">
        <v>215</v>
      </c>
      <c r="AF644" s="1" t="s">
        <v>1422</v>
      </c>
      <c r="AG644" s="1" t="s">
        <v>53</v>
      </c>
      <c r="AH644" s="1" t="s">
        <v>49</v>
      </c>
      <c r="AI644" s="1" t="s">
        <v>54</v>
      </c>
      <c r="AJ644" s="1">
        <v>1</v>
      </c>
      <c r="AK644" s="1" t="str">
        <f t="shared" si="10"/>
        <v xml:space="preserve"> =&lt;90</v>
      </c>
      <c r="AL644" s="1" t="str">
        <f>VLOOKUP(C:C,[1]基础信息!B$1:D$65536,3,0)</f>
        <v>Jug</v>
      </c>
      <c r="AM644" s="1" t="str">
        <f>VLOOKUP(C:C,[1]基础信息!B$1:E$65536,4,0)</f>
        <v>Mxplus</v>
      </c>
      <c r="AN644" s="1" t="str">
        <f>VLOOKUP(C:C,[1]基础信息!B$1:F$65536,5,0)</f>
        <v>Blue</v>
      </c>
    </row>
    <row r="645" spans="1:40">
      <c r="A645" s="1" t="s">
        <v>41</v>
      </c>
      <c r="B645" s="1" t="s">
        <v>42</v>
      </c>
      <c r="C645" s="1" t="s">
        <v>554</v>
      </c>
      <c r="D645" s="1" t="s">
        <v>555</v>
      </c>
      <c r="E645" s="1" t="s">
        <v>45</v>
      </c>
      <c r="F645" s="1" t="s">
        <v>935</v>
      </c>
      <c r="G645" s="1" t="s">
        <v>1608</v>
      </c>
      <c r="H645" s="1" t="s">
        <v>1609</v>
      </c>
      <c r="I645" s="1" t="s">
        <v>49</v>
      </c>
      <c r="J645" s="1" t="s">
        <v>48</v>
      </c>
      <c r="K645" s="1">
        <v>70</v>
      </c>
      <c r="L645" s="1">
        <v>0</v>
      </c>
      <c r="M645" s="1">
        <v>0</v>
      </c>
      <c r="N645" s="1">
        <v>70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 t="s">
        <v>49</v>
      </c>
      <c r="AA645" s="1" t="s">
        <v>49</v>
      </c>
      <c r="AB645" s="1" t="s">
        <v>49</v>
      </c>
      <c r="AC645" s="1" t="s">
        <v>938</v>
      </c>
      <c r="AD645" s="1" t="s">
        <v>939</v>
      </c>
      <c r="AE645" s="1" t="s">
        <v>938</v>
      </c>
      <c r="AF645" s="1" t="s">
        <v>940</v>
      </c>
      <c r="AG645" s="1" t="s">
        <v>53</v>
      </c>
      <c r="AH645" s="1" t="s">
        <v>49</v>
      </c>
      <c r="AI645" s="1" t="s">
        <v>54</v>
      </c>
      <c r="AJ645" s="1">
        <v>1</v>
      </c>
      <c r="AK645" s="1" t="str">
        <f t="shared" si="10"/>
        <v xml:space="preserve"> =&lt;90</v>
      </c>
      <c r="AL645" s="1" t="str">
        <f>VLOOKUP(C:C,[1]基础信息!B$1:D$65536,3,0)</f>
        <v>Jug</v>
      </c>
      <c r="AM645" s="1" t="str">
        <f>VLOOKUP(C:C,[1]基础信息!B$1:E$65536,4,0)</f>
        <v>Green Pack</v>
      </c>
      <c r="AN645" s="1" t="str">
        <f>VLOOKUP(C:C,[1]基础信息!B$1:F$65536,5,0)</f>
        <v>Blue</v>
      </c>
    </row>
    <row r="646" spans="1:40">
      <c r="A646" s="1" t="s">
        <v>41</v>
      </c>
      <c r="B646" s="1" t="s">
        <v>42</v>
      </c>
      <c r="C646" s="1" t="s">
        <v>554</v>
      </c>
      <c r="D646" s="1" t="s">
        <v>555</v>
      </c>
      <c r="E646" s="1" t="s">
        <v>45</v>
      </c>
      <c r="F646" s="1" t="s">
        <v>935</v>
      </c>
      <c r="G646" s="1" t="s">
        <v>1610</v>
      </c>
      <c r="H646" s="1" t="s">
        <v>1611</v>
      </c>
      <c r="I646" s="1" t="s">
        <v>49</v>
      </c>
      <c r="J646" s="1" t="s">
        <v>48</v>
      </c>
      <c r="K646" s="1">
        <v>70</v>
      </c>
      <c r="L646" s="1">
        <v>0</v>
      </c>
      <c r="M646" s="1">
        <v>0</v>
      </c>
      <c r="N646" s="1">
        <v>70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 t="s">
        <v>49</v>
      </c>
      <c r="AA646" s="1" t="s">
        <v>49</v>
      </c>
      <c r="AB646" s="1" t="s">
        <v>49</v>
      </c>
      <c r="AC646" s="1" t="s">
        <v>938</v>
      </c>
      <c r="AD646" s="1" t="s">
        <v>939</v>
      </c>
      <c r="AE646" s="1" t="s">
        <v>938</v>
      </c>
      <c r="AF646" s="1" t="s">
        <v>940</v>
      </c>
      <c r="AG646" s="1" t="s">
        <v>53</v>
      </c>
      <c r="AH646" s="1" t="s">
        <v>49</v>
      </c>
      <c r="AI646" s="1" t="s">
        <v>54</v>
      </c>
      <c r="AJ646" s="1">
        <v>1</v>
      </c>
      <c r="AK646" s="1" t="str">
        <f t="shared" si="10"/>
        <v xml:space="preserve"> =&lt;90</v>
      </c>
      <c r="AL646" s="1" t="str">
        <f>VLOOKUP(C:C,[1]基础信息!B$1:D$65536,3,0)</f>
        <v>Jug</v>
      </c>
      <c r="AM646" s="1" t="str">
        <f>VLOOKUP(C:C,[1]基础信息!B$1:E$65536,4,0)</f>
        <v>Green Pack</v>
      </c>
      <c r="AN646" s="1" t="str">
        <f>VLOOKUP(C:C,[1]基础信息!B$1:F$65536,5,0)</f>
        <v>Blue</v>
      </c>
    </row>
    <row r="647" spans="1:40">
      <c r="A647" s="1" t="s">
        <v>41</v>
      </c>
      <c r="B647" s="1" t="s">
        <v>42</v>
      </c>
      <c r="C647" s="1" t="s">
        <v>554</v>
      </c>
      <c r="D647" s="1" t="s">
        <v>555</v>
      </c>
      <c r="E647" s="1" t="s">
        <v>45</v>
      </c>
      <c r="F647" s="1" t="s">
        <v>935</v>
      </c>
      <c r="G647" s="1" t="s">
        <v>1612</v>
      </c>
      <c r="H647" s="1" t="s">
        <v>1613</v>
      </c>
      <c r="I647" s="1" t="s">
        <v>49</v>
      </c>
      <c r="J647" s="1" t="s">
        <v>48</v>
      </c>
      <c r="K647" s="1">
        <v>70</v>
      </c>
      <c r="L647" s="1">
        <v>0</v>
      </c>
      <c r="M647" s="1">
        <v>0</v>
      </c>
      <c r="N647" s="1">
        <v>70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 t="s">
        <v>49</v>
      </c>
      <c r="AA647" s="1" t="s">
        <v>49</v>
      </c>
      <c r="AB647" s="1" t="s">
        <v>49</v>
      </c>
      <c r="AC647" s="1" t="s">
        <v>938</v>
      </c>
      <c r="AD647" s="1" t="s">
        <v>939</v>
      </c>
      <c r="AE647" s="1" t="s">
        <v>938</v>
      </c>
      <c r="AF647" s="1" t="s">
        <v>940</v>
      </c>
      <c r="AG647" s="1" t="s">
        <v>53</v>
      </c>
      <c r="AH647" s="1" t="s">
        <v>49</v>
      </c>
      <c r="AI647" s="1" t="s">
        <v>54</v>
      </c>
      <c r="AJ647" s="1">
        <v>1</v>
      </c>
      <c r="AK647" s="1" t="str">
        <f t="shared" si="10"/>
        <v xml:space="preserve"> =&lt;90</v>
      </c>
      <c r="AL647" s="1" t="str">
        <f>VLOOKUP(C:C,[1]基础信息!B$1:D$65536,3,0)</f>
        <v>Jug</v>
      </c>
      <c r="AM647" s="1" t="str">
        <f>VLOOKUP(C:C,[1]基础信息!B$1:E$65536,4,0)</f>
        <v>Green Pack</v>
      </c>
      <c r="AN647" s="1" t="str">
        <f>VLOOKUP(C:C,[1]基础信息!B$1:F$65536,5,0)</f>
        <v>Blue</v>
      </c>
    </row>
    <row r="648" spans="1:40">
      <c r="A648" s="1" t="s">
        <v>41</v>
      </c>
      <c r="B648" s="1" t="s">
        <v>42</v>
      </c>
      <c r="C648" s="1" t="s">
        <v>554</v>
      </c>
      <c r="D648" s="1" t="s">
        <v>555</v>
      </c>
      <c r="E648" s="1" t="s">
        <v>45</v>
      </c>
      <c r="F648" s="1" t="s">
        <v>935</v>
      </c>
      <c r="G648" s="1" t="s">
        <v>1614</v>
      </c>
      <c r="H648" s="1" t="s">
        <v>1615</v>
      </c>
      <c r="I648" s="1" t="s">
        <v>49</v>
      </c>
      <c r="J648" s="1" t="s">
        <v>48</v>
      </c>
      <c r="K648" s="1">
        <v>70</v>
      </c>
      <c r="L648" s="1">
        <v>0</v>
      </c>
      <c r="M648" s="1">
        <v>0</v>
      </c>
      <c r="N648" s="1">
        <v>70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 t="s">
        <v>49</v>
      </c>
      <c r="AA648" s="1" t="s">
        <v>49</v>
      </c>
      <c r="AB648" s="1" t="s">
        <v>49</v>
      </c>
      <c r="AC648" s="1" t="s">
        <v>938</v>
      </c>
      <c r="AD648" s="1" t="s">
        <v>939</v>
      </c>
      <c r="AE648" s="1" t="s">
        <v>938</v>
      </c>
      <c r="AF648" s="1" t="s">
        <v>940</v>
      </c>
      <c r="AG648" s="1" t="s">
        <v>53</v>
      </c>
      <c r="AH648" s="1" t="s">
        <v>49</v>
      </c>
      <c r="AI648" s="1" t="s">
        <v>54</v>
      </c>
      <c r="AJ648" s="1">
        <v>1</v>
      </c>
      <c r="AK648" s="1" t="str">
        <f t="shared" si="10"/>
        <v xml:space="preserve"> =&lt;90</v>
      </c>
      <c r="AL648" s="1" t="str">
        <f>VLOOKUP(C:C,[1]基础信息!B$1:D$65536,3,0)</f>
        <v>Jug</v>
      </c>
      <c r="AM648" s="1" t="str">
        <f>VLOOKUP(C:C,[1]基础信息!B$1:E$65536,4,0)</f>
        <v>Green Pack</v>
      </c>
      <c r="AN648" s="1" t="str">
        <f>VLOOKUP(C:C,[1]基础信息!B$1:F$65536,5,0)</f>
        <v>Blue</v>
      </c>
    </row>
    <row r="649" spans="1:40">
      <c r="A649" s="1" t="s">
        <v>41</v>
      </c>
      <c r="B649" s="1" t="s">
        <v>42</v>
      </c>
      <c r="C649" s="1" t="s">
        <v>554</v>
      </c>
      <c r="D649" s="1" t="s">
        <v>555</v>
      </c>
      <c r="E649" s="1" t="s">
        <v>45</v>
      </c>
      <c r="F649" s="1" t="s">
        <v>935</v>
      </c>
      <c r="G649" s="1" t="s">
        <v>1616</v>
      </c>
      <c r="H649" s="1" t="s">
        <v>1617</v>
      </c>
      <c r="I649" s="1" t="s">
        <v>49</v>
      </c>
      <c r="J649" s="1" t="s">
        <v>48</v>
      </c>
      <c r="K649" s="1">
        <v>70</v>
      </c>
      <c r="L649" s="1">
        <v>0</v>
      </c>
      <c r="M649" s="1">
        <v>0</v>
      </c>
      <c r="N649" s="1">
        <v>70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 t="s">
        <v>49</v>
      </c>
      <c r="AA649" s="1" t="s">
        <v>49</v>
      </c>
      <c r="AB649" s="1" t="s">
        <v>49</v>
      </c>
      <c r="AC649" s="1" t="s">
        <v>938</v>
      </c>
      <c r="AD649" s="1" t="s">
        <v>939</v>
      </c>
      <c r="AE649" s="1" t="s">
        <v>938</v>
      </c>
      <c r="AF649" s="1" t="s">
        <v>940</v>
      </c>
      <c r="AG649" s="1" t="s">
        <v>53</v>
      </c>
      <c r="AH649" s="1" t="s">
        <v>49</v>
      </c>
      <c r="AI649" s="1" t="s">
        <v>54</v>
      </c>
      <c r="AJ649" s="1">
        <v>1</v>
      </c>
      <c r="AK649" s="1" t="str">
        <f t="shared" si="10"/>
        <v xml:space="preserve"> =&lt;90</v>
      </c>
      <c r="AL649" s="1" t="str">
        <f>VLOOKUP(C:C,[1]基础信息!B$1:D$65536,3,0)</f>
        <v>Jug</v>
      </c>
      <c r="AM649" s="1" t="str">
        <f>VLOOKUP(C:C,[1]基础信息!B$1:E$65536,4,0)</f>
        <v>Green Pack</v>
      </c>
      <c r="AN649" s="1" t="str">
        <f>VLOOKUP(C:C,[1]基础信息!B$1:F$65536,5,0)</f>
        <v>Blue</v>
      </c>
    </row>
    <row r="650" spans="1:40">
      <c r="A650" s="1" t="s">
        <v>41</v>
      </c>
      <c r="B650" s="1" t="s">
        <v>42</v>
      </c>
      <c r="C650" s="1" t="s">
        <v>208</v>
      </c>
      <c r="D650" s="1" t="s">
        <v>209</v>
      </c>
      <c r="E650" s="1" t="s">
        <v>208</v>
      </c>
      <c r="F650" s="1" t="s">
        <v>373</v>
      </c>
      <c r="G650" s="1" t="s">
        <v>1618</v>
      </c>
      <c r="H650" s="1" t="s">
        <v>1619</v>
      </c>
      <c r="I650" s="1" t="s">
        <v>49</v>
      </c>
      <c r="J650" s="1" t="s">
        <v>48</v>
      </c>
      <c r="K650" s="1">
        <v>80</v>
      </c>
      <c r="L650" s="1">
        <v>0</v>
      </c>
      <c r="M650" s="1">
        <v>0</v>
      </c>
      <c r="N650" s="1">
        <v>80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 t="s">
        <v>49</v>
      </c>
      <c r="AA650" s="1" t="s">
        <v>49</v>
      </c>
      <c r="AB650" s="1" t="s">
        <v>49</v>
      </c>
      <c r="AC650" s="1" t="s">
        <v>376</v>
      </c>
      <c r="AD650" s="1" t="s">
        <v>377</v>
      </c>
      <c r="AE650" s="1" t="s">
        <v>376</v>
      </c>
      <c r="AF650" s="1" t="s">
        <v>378</v>
      </c>
      <c r="AG650" s="1" t="s">
        <v>53</v>
      </c>
      <c r="AH650" s="1" t="s">
        <v>49</v>
      </c>
      <c r="AI650" s="1" t="s">
        <v>54</v>
      </c>
      <c r="AJ650" s="1">
        <v>1</v>
      </c>
      <c r="AK650" s="1" t="str">
        <f t="shared" si="10"/>
        <v xml:space="preserve"> =&lt;90</v>
      </c>
      <c r="AL650" s="1" t="str">
        <f>VLOOKUP(C:C,[1]基础信息!B$1:D$65536,3,0)</f>
        <v>Jug</v>
      </c>
      <c r="AM650" s="1" t="str">
        <f>VLOOKUP(C:C,[1]基础信息!B$1:E$65536,4,0)</f>
        <v>MXpl</v>
      </c>
      <c r="AN650" s="1" t="str">
        <f>VLOOKUP(C:C,[1]基础信息!B$1:F$65536,5,0)</f>
        <v>grey</v>
      </c>
    </row>
    <row r="651" spans="1:40">
      <c r="A651" s="1" t="s">
        <v>41</v>
      </c>
      <c r="B651" s="1" t="s">
        <v>42</v>
      </c>
      <c r="C651" s="1" t="s">
        <v>83</v>
      </c>
      <c r="D651" s="1" t="s">
        <v>84</v>
      </c>
      <c r="E651" s="1" t="s">
        <v>45</v>
      </c>
      <c r="F651" s="1" t="s">
        <v>1419</v>
      </c>
      <c r="G651" s="1" t="s">
        <v>1620</v>
      </c>
      <c r="H651" s="1" t="s">
        <v>1621</v>
      </c>
      <c r="I651" s="1" t="s">
        <v>49</v>
      </c>
      <c r="J651" s="1" t="s">
        <v>48</v>
      </c>
      <c r="K651" s="1">
        <v>96</v>
      </c>
      <c r="L651" s="1">
        <v>0</v>
      </c>
      <c r="M651" s="1">
        <v>0</v>
      </c>
      <c r="N651" s="1">
        <v>96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 t="s">
        <v>49</v>
      </c>
      <c r="AA651" s="1" t="s">
        <v>49</v>
      </c>
      <c r="AB651" s="1" t="s">
        <v>49</v>
      </c>
      <c r="AC651" s="1" t="s">
        <v>213</v>
      </c>
      <c r="AD651" s="1" t="s">
        <v>214</v>
      </c>
      <c r="AE651" s="1" t="s">
        <v>215</v>
      </c>
      <c r="AF651" s="1" t="s">
        <v>1422</v>
      </c>
      <c r="AG651" s="1" t="s">
        <v>53</v>
      </c>
      <c r="AH651" s="1" t="s">
        <v>49</v>
      </c>
      <c r="AI651" s="1" t="s">
        <v>54</v>
      </c>
      <c r="AJ651" s="1">
        <v>1</v>
      </c>
      <c r="AK651" s="1" t="str">
        <f t="shared" si="10"/>
        <v xml:space="preserve"> =&lt;90</v>
      </c>
      <c r="AL651" s="1" t="str">
        <f>VLOOKUP(C:C,[1]基础信息!B$1:D$65536,3,0)</f>
        <v>Jug</v>
      </c>
      <c r="AM651" s="1" t="str">
        <f>VLOOKUP(C:C,[1]基础信息!B$1:E$65536,4,0)</f>
        <v>Mxplus</v>
      </c>
      <c r="AN651" s="1" t="str">
        <f>VLOOKUP(C:C,[1]基础信息!B$1:F$65536,5,0)</f>
        <v>Blue</v>
      </c>
    </row>
    <row r="652" spans="1:40">
      <c r="A652" s="1" t="s">
        <v>41</v>
      </c>
      <c r="B652" s="1" t="s">
        <v>42</v>
      </c>
      <c r="C652" s="1" t="s">
        <v>83</v>
      </c>
      <c r="D652" s="1" t="s">
        <v>84</v>
      </c>
      <c r="E652" s="1" t="s">
        <v>45</v>
      </c>
      <c r="F652" s="1" t="s">
        <v>1419</v>
      </c>
      <c r="G652" s="1" t="s">
        <v>1622</v>
      </c>
      <c r="H652" s="1" t="s">
        <v>1623</v>
      </c>
      <c r="I652" s="1" t="s">
        <v>49</v>
      </c>
      <c r="J652" s="1" t="s">
        <v>48</v>
      </c>
      <c r="K652" s="1">
        <v>96</v>
      </c>
      <c r="L652" s="1">
        <v>0</v>
      </c>
      <c r="M652" s="1">
        <v>0</v>
      </c>
      <c r="N652" s="1">
        <v>96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 t="s">
        <v>49</v>
      </c>
      <c r="AA652" s="1" t="s">
        <v>49</v>
      </c>
      <c r="AB652" s="1" t="s">
        <v>49</v>
      </c>
      <c r="AC652" s="1" t="s">
        <v>213</v>
      </c>
      <c r="AD652" s="1" t="s">
        <v>214</v>
      </c>
      <c r="AE652" s="1" t="s">
        <v>215</v>
      </c>
      <c r="AF652" s="1" t="s">
        <v>1422</v>
      </c>
      <c r="AG652" s="1" t="s">
        <v>53</v>
      </c>
      <c r="AH652" s="1" t="s">
        <v>49</v>
      </c>
      <c r="AI652" s="1" t="s">
        <v>54</v>
      </c>
      <c r="AJ652" s="1">
        <v>1</v>
      </c>
      <c r="AK652" s="1" t="str">
        <f t="shared" si="10"/>
        <v xml:space="preserve"> =&lt;90</v>
      </c>
      <c r="AL652" s="1" t="str">
        <f>VLOOKUP(C:C,[1]基础信息!B$1:D$65536,3,0)</f>
        <v>Jug</v>
      </c>
      <c r="AM652" s="1" t="str">
        <f>VLOOKUP(C:C,[1]基础信息!B$1:E$65536,4,0)</f>
        <v>Mxplus</v>
      </c>
      <c r="AN652" s="1" t="str">
        <f>VLOOKUP(C:C,[1]基础信息!B$1:F$65536,5,0)</f>
        <v>Blue</v>
      </c>
    </row>
    <row r="653" spans="1:40">
      <c r="A653" s="1" t="s">
        <v>41</v>
      </c>
      <c r="B653" s="1" t="s">
        <v>42</v>
      </c>
      <c r="C653" s="1" t="s">
        <v>554</v>
      </c>
      <c r="D653" s="1" t="s">
        <v>555</v>
      </c>
      <c r="E653" s="1" t="s">
        <v>45</v>
      </c>
      <c r="F653" s="1" t="s">
        <v>935</v>
      </c>
      <c r="G653" s="1" t="s">
        <v>1624</v>
      </c>
      <c r="H653" s="1" t="s">
        <v>1625</v>
      </c>
      <c r="I653" s="1" t="s">
        <v>49</v>
      </c>
      <c r="J653" s="1" t="s">
        <v>48</v>
      </c>
      <c r="K653" s="1">
        <v>70</v>
      </c>
      <c r="L653" s="1">
        <v>0</v>
      </c>
      <c r="M653" s="1">
        <v>0</v>
      </c>
      <c r="N653" s="1">
        <v>70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 t="s">
        <v>49</v>
      </c>
      <c r="AA653" s="1" t="s">
        <v>49</v>
      </c>
      <c r="AB653" s="1" t="s">
        <v>49</v>
      </c>
      <c r="AC653" s="1" t="s">
        <v>938</v>
      </c>
      <c r="AD653" s="1" t="s">
        <v>939</v>
      </c>
      <c r="AE653" s="1" t="s">
        <v>938</v>
      </c>
      <c r="AF653" s="1" t="s">
        <v>940</v>
      </c>
      <c r="AG653" s="1" t="s">
        <v>53</v>
      </c>
      <c r="AH653" s="1" t="s">
        <v>49</v>
      </c>
      <c r="AI653" s="1" t="s">
        <v>54</v>
      </c>
      <c r="AJ653" s="1">
        <v>1</v>
      </c>
      <c r="AK653" s="1" t="str">
        <f t="shared" si="10"/>
        <v xml:space="preserve"> =&lt;90</v>
      </c>
      <c r="AL653" s="1" t="str">
        <f>VLOOKUP(C:C,[1]基础信息!B$1:D$65536,3,0)</f>
        <v>Jug</v>
      </c>
      <c r="AM653" s="1" t="str">
        <f>VLOOKUP(C:C,[1]基础信息!B$1:E$65536,4,0)</f>
        <v>Green Pack</v>
      </c>
      <c r="AN653" s="1" t="str">
        <f>VLOOKUP(C:C,[1]基础信息!B$1:F$65536,5,0)</f>
        <v>Blue</v>
      </c>
    </row>
    <row r="654" spans="1:40">
      <c r="A654" s="1" t="s">
        <v>41</v>
      </c>
      <c r="B654" s="1" t="s">
        <v>42</v>
      </c>
      <c r="C654" s="1" t="s">
        <v>554</v>
      </c>
      <c r="D654" s="1" t="s">
        <v>555</v>
      </c>
      <c r="E654" s="1" t="s">
        <v>45</v>
      </c>
      <c r="F654" s="1" t="s">
        <v>935</v>
      </c>
      <c r="G654" s="1" t="s">
        <v>1626</v>
      </c>
      <c r="H654" s="1" t="s">
        <v>1627</v>
      </c>
      <c r="I654" s="1" t="s">
        <v>49</v>
      </c>
      <c r="J654" s="1" t="s">
        <v>48</v>
      </c>
      <c r="K654" s="1">
        <v>70</v>
      </c>
      <c r="L654" s="1">
        <v>0</v>
      </c>
      <c r="M654" s="1">
        <v>0</v>
      </c>
      <c r="N654" s="1">
        <v>70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 t="s">
        <v>49</v>
      </c>
      <c r="AA654" s="1" t="s">
        <v>49</v>
      </c>
      <c r="AB654" s="1" t="s">
        <v>49</v>
      </c>
      <c r="AC654" s="1" t="s">
        <v>938</v>
      </c>
      <c r="AD654" s="1" t="s">
        <v>939</v>
      </c>
      <c r="AE654" s="1" t="s">
        <v>938</v>
      </c>
      <c r="AF654" s="1" t="s">
        <v>940</v>
      </c>
      <c r="AG654" s="1" t="s">
        <v>53</v>
      </c>
      <c r="AH654" s="1" t="s">
        <v>49</v>
      </c>
      <c r="AI654" s="1" t="s">
        <v>54</v>
      </c>
      <c r="AJ654" s="1">
        <v>1</v>
      </c>
      <c r="AK654" s="1" t="str">
        <f t="shared" si="10"/>
        <v xml:space="preserve"> =&lt;90</v>
      </c>
      <c r="AL654" s="1" t="str">
        <f>VLOOKUP(C:C,[1]基础信息!B$1:D$65536,3,0)</f>
        <v>Jug</v>
      </c>
      <c r="AM654" s="1" t="str">
        <f>VLOOKUP(C:C,[1]基础信息!B$1:E$65536,4,0)</f>
        <v>Green Pack</v>
      </c>
      <c r="AN654" s="1" t="str">
        <f>VLOOKUP(C:C,[1]基础信息!B$1:F$65536,5,0)</f>
        <v>Blue</v>
      </c>
    </row>
    <row r="655" spans="1:40">
      <c r="A655" s="1" t="s">
        <v>41</v>
      </c>
      <c r="B655" s="1" t="s">
        <v>42</v>
      </c>
      <c r="C655" s="1" t="s">
        <v>83</v>
      </c>
      <c r="D655" s="1" t="s">
        <v>84</v>
      </c>
      <c r="E655" s="1" t="s">
        <v>45</v>
      </c>
      <c r="F655" s="1" t="s">
        <v>1419</v>
      </c>
      <c r="G655" s="1" t="s">
        <v>1628</v>
      </c>
      <c r="H655" s="1" t="s">
        <v>1629</v>
      </c>
      <c r="I655" s="1" t="s">
        <v>49</v>
      </c>
      <c r="J655" s="1" t="s">
        <v>48</v>
      </c>
      <c r="K655" s="1">
        <v>96</v>
      </c>
      <c r="L655" s="1">
        <v>0</v>
      </c>
      <c r="M655" s="1">
        <v>0</v>
      </c>
      <c r="N655" s="1">
        <v>96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 t="s">
        <v>49</v>
      </c>
      <c r="AA655" s="1" t="s">
        <v>49</v>
      </c>
      <c r="AB655" s="1" t="s">
        <v>49</v>
      </c>
      <c r="AC655" s="1" t="s">
        <v>213</v>
      </c>
      <c r="AD655" s="1" t="s">
        <v>214</v>
      </c>
      <c r="AE655" s="1" t="s">
        <v>215</v>
      </c>
      <c r="AF655" s="1" t="s">
        <v>1422</v>
      </c>
      <c r="AG655" s="1" t="s">
        <v>53</v>
      </c>
      <c r="AH655" s="1" t="s">
        <v>49</v>
      </c>
      <c r="AI655" s="1" t="s">
        <v>54</v>
      </c>
      <c r="AJ655" s="1">
        <v>1</v>
      </c>
      <c r="AK655" s="1" t="str">
        <f t="shared" si="10"/>
        <v xml:space="preserve"> =&lt;90</v>
      </c>
      <c r="AL655" s="1" t="str">
        <f>VLOOKUP(C:C,[1]基础信息!B$1:D$65536,3,0)</f>
        <v>Jug</v>
      </c>
      <c r="AM655" s="1" t="str">
        <f>VLOOKUP(C:C,[1]基础信息!B$1:E$65536,4,0)</f>
        <v>Mxplus</v>
      </c>
      <c r="AN655" s="1" t="str">
        <f>VLOOKUP(C:C,[1]基础信息!B$1:F$65536,5,0)</f>
        <v>Blue</v>
      </c>
    </row>
    <row r="656" spans="1:40">
      <c r="A656" s="1" t="s">
        <v>41</v>
      </c>
      <c r="B656" s="1" t="s">
        <v>42</v>
      </c>
      <c r="C656" s="1" t="s">
        <v>554</v>
      </c>
      <c r="D656" s="1" t="s">
        <v>555</v>
      </c>
      <c r="E656" s="1" t="s">
        <v>45</v>
      </c>
      <c r="F656" s="1" t="s">
        <v>935</v>
      </c>
      <c r="G656" s="1" t="s">
        <v>1630</v>
      </c>
      <c r="H656" s="1" t="s">
        <v>1631</v>
      </c>
      <c r="I656" s="1" t="s">
        <v>49</v>
      </c>
      <c r="J656" s="1" t="s">
        <v>48</v>
      </c>
      <c r="K656" s="1">
        <v>70</v>
      </c>
      <c r="L656" s="1">
        <v>0</v>
      </c>
      <c r="M656" s="1">
        <v>0</v>
      </c>
      <c r="N656" s="1">
        <v>70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 t="s">
        <v>49</v>
      </c>
      <c r="AA656" s="1" t="s">
        <v>49</v>
      </c>
      <c r="AB656" s="1" t="s">
        <v>49</v>
      </c>
      <c r="AC656" s="1" t="s">
        <v>938</v>
      </c>
      <c r="AD656" s="1" t="s">
        <v>939</v>
      </c>
      <c r="AE656" s="1" t="s">
        <v>938</v>
      </c>
      <c r="AF656" s="1" t="s">
        <v>940</v>
      </c>
      <c r="AG656" s="1" t="s">
        <v>53</v>
      </c>
      <c r="AH656" s="1" t="s">
        <v>49</v>
      </c>
      <c r="AI656" s="1" t="s">
        <v>54</v>
      </c>
      <c r="AJ656" s="1">
        <v>1</v>
      </c>
      <c r="AK656" s="1" t="str">
        <f t="shared" si="10"/>
        <v xml:space="preserve"> =&lt;90</v>
      </c>
      <c r="AL656" s="1" t="str">
        <f>VLOOKUP(C:C,[1]基础信息!B$1:D$65536,3,0)</f>
        <v>Jug</v>
      </c>
      <c r="AM656" s="1" t="str">
        <f>VLOOKUP(C:C,[1]基础信息!B$1:E$65536,4,0)</f>
        <v>Green Pack</v>
      </c>
      <c r="AN656" s="1" t="str">
        <f>VLOOKUP(C:C,[1]基础信息!B$1:F$65536,5,0)</f>
        <v>Blue</v>
      </c>
    </row>
    <row r="657" spans="1:40">
      <c r="A657" s="1" t="s">
        <v>41</v>
      </c>
      <c r="B657" s="1" t="s">
        <v>42</v>
      </c>
      <c r="C657" s="1" t="s">
        <v>1632</v>
      </c>
      <c r="D657" s="1" t="s">
        <v>1633</v>
      </c>
      <c r="E657" s="1" t="s">
        <v>45</v>
      </c>
      <c r="F657" s="1" t="s">
        <v>1634</v>
      </c>
      <c r="G657" s="1" t="s">
        <v>1635</v>
      </c>
      <c r="H657" s="1" t="s">
        <v>1636</v>
      </c>
      <c r="I657" s="1" t="s">
        <v>45</v>
      </c>
      <c r="J657" s="1" t="s">
        <v>48</v>
      </c>
      <c r="K657" s="1">
        <v>60</v>
      </c>
      <c r="L657" s="1">
        <v>0</v>
      </c>
      <c r="M657" s="1">
        <v>0</v>
      </c>
      <c r="N657" s="1">
        <v>60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 t="s">
        <v>49</v>
      </c>
      <c r="AA657" s="1" t="s">
        <v>49</v>
      </c>
      <c r="AB657" s="1" t="s">
        <v>49</v>
      </c>
      <c r="AC657" s="1" t="s">
        <v>1637</v>
      </c>
      <c r="AD657" s="1" t="s">
        <v>1638</v>
      </c>
      <c r="AE657" s="1" t="s">
        <v>1637</v>
      </c>
      <c r="AF657" s="1" t="s">
        <v>1639</v>
      </c>
      <c r="AG657" s="1" t="s">
        <v>338</v>
      </c>
      <c r="AH657" s="1" t="s">
        <v>49</v>
      </c>
      <c r="AI657" s="1" t="s">
        <v>54</v>
      </c>
      <c r="AJ657" s="1">
        <v>1</v>
      </c>
      <c r="AK657" s="1" t="str">
        <f t="shared" si="10"/>
        <v xml:space="preserve"> =&lt;90</v>
      </c>
      <c r="AL657" s="1" t="str">
        <f>VLOOKUP(C:C,[1]基础信息!B$1:D$65536,3,0)</f>
        <v>Jug</v>
      </c>
      <c r="AM657" s="1" t="str">
        <f>VLOOKUP(C:C,[1]基础信息!B$1:E$65536,4,0)</f>
        <v>Style</v>
      </c>
      <c r="AN657" s="1" t="str">
        <f>VLOOKUP(C:C,[1]基础信息!B$1:F$65536,5,0)</f>
        <v>Lime</v>
      </c>
    </row>
    <row r="658" spans="1:40">
      <c r="A658" s="1" t="s">
        <v>41</v>
      </c>
      <c r="B658" s="1" t="s">
        <v>42</v>
      </c>
      <c r="C658" s="1" t="s">
        <v>554</v>
      </c>
      <c r="D658" s="1" t="s">
        <v>555</v>
      </c>
      <c r="E658" s="1" t="s">
        <v>45</v>
      </c>
      <c r="F658" s="1" t="s">
        <v>935</v>
      </c>
      <c r="G658" s="1" t="s">
        <v>1640</v>
      </c>
      <c r="H658" s="1" t="s">
        <v>1641</v>
      </c>
      <c r="I658" s="1" t="s">
        <v>49</v>
      </c>
      <c r="J658" s="1" t="s">
        <v>48</v>
      </c>
      <c r="K658" s="1">
        <v>70</v>
      </c>
      <c r="L658" s="1">
        <v>0</v>
      </c>
      <c r="M658" s="1">
        <v>0</v>
      </c>
      <c r="N658" s="1">
        <v>70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 t="s">
        <v>49</v>
      </c>
      <c r="AA658" s="1" t="s">
        <v>49</v>
      </c>
      <c r="AB658" s="1" t="s">
        <v>49</v>
      </c>
      <c r="AC658" s="1" t="s">
        <v>938</v>
      </c>
      <c r="AD658" s="1" t="s">
        <v>939</v>
      </c>
      <c r="AE658" s="1" t="s">
        <v>938</v>
      </c>
      <c r="AF658" s="1" t="s">
        <v>940</v>
      </c>
      <c r="AG658" s="1" t="s">
        <v>53</v>
      </c>
      <c r="AH658" s="1" t="s">
        <v>49</v>
      </c>
      <c r="AI658" s="1" t="s">
        <v>54</v>
      </c>
      <c r="AJ658" s="1">
        <v>1</v>
      </c>
      <c r="AK658" s="1" t="str">
        <f t="shared" si="10"/>
        <v xml:space="preserve"> =&lt;90</v>
      </c>
      <c r="AL658" s="1" t="str">
        <f>VLOOKUP(C:C,[1]基础信息!B$1:D$65536,3,0)</f>
        <v>Jug</v>
      </c>
      <c r="AM658" s="1" t="str">
        <f>VLOOKUP(C:C,[1]基础信息!B$1:E$65536,4,0)</f>
        <v>Green Pack</v>
      </c>
      <c r="AN658" s="1" t="str">
        <f>VLOOKUP(C:C,[1]基础信息!B$1:F$65536,5,0)</f>
        <v>Blue</v>
      </c>
    </row>
    <row r="659" spans="1:40">
      <c r="A659" s="1" t="s">
        <v>41</v>
      </c>
      <c r="B659" s="1" t="s">
        <v>42</v>
      </c>
      <c r="C659" s="1" t="s">
        <v>359</v>
      </c>
      <c r="D659" s="1" t="s">
        <v>360</v>
      </c>
      <c r="E659" s="1" t="s">
        <v>45</v>
      </c>
      <c r="F659" s="1" t="s">
        <v>1642</v>
      </c>
      <c r="G659" s="1" t="s">
        <v>1643</v>
      </c>
      <c r="H659" s="1" t="s">
        <v>1644</v>
      </c>
      <c r="I659" s="1" t="s">
        <v>49</v>
      </c>
      <c r="J659" s="1" t="s">
        <v>48</v>
      </c>
      <c r="K659" s="1">
        <v>95</v>
      </c>
      <c r="L659" s="1">
        <v>0</v>
      </c>
      <c r="M659" s="1">
        <v>0</v>
      </c>
      <c r="N659" s="1">
        <v>95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 t="s">
        <v>49</v>
      </c>
      <c r="AA659" s="1" t="s">
        <v>49</v>
      </c>
      <c r="AB659" s="1" t="s">
        <v>49</v>
      </c>
      <c r="AC659" s="1" t="s">
        <v>1377</v>
      </c>
      <c r="AD659" s="1" t="s">
        <v>1378</v>
      </c>
      <c r="AE659" s="1" t="s">
        <v>1377</v>
      </c>
      <c r="AF659" s="1" t="s">
        <v>1256</v>
      </c>
      <c r="AG659" s="1" t="s">
        <v>53</v>
      </c>
      <c r="AH659" s="1" t="s">
        <v>49</v>
      </c>
      <c r="AI659" s="1" t="s">
        <v>54</v>
      </c>
      <c r="AJ659" s="1">
        <v>1</v>
      </c>
      <c r="AK659" s="1" t="str">
        <f t="shared" si="10"/>
        <v xml:space="preserve"> =&lt;90</v>
      </c>
      <c r="AL659" s="1" t="e">
        <f>VLOOKUP(C:C,[1]基础信息!B$1:D$65536,3,0)</f>
        <v>#N/A</v>
      </c>
      <c r="AM659" s="1" t="e">
        <f>VLOOKUP(C:C,[1]基础信息!B$1:E$65536,4,0)</f>
        <v>#N/A</v>
      </c>
      <c r="AN659" s="1" t="e">
        <f>VLOOKUP(C:C,[1]基础信息!B$1:F$65536,5,0)</f>
        <v>#N/A</v>
      </c>
    </row>
    <row r="660" spans="1:40">
      <c r="A660" s="1" t="s">
        <v>41</v>
      </c>
      <c r="B660" s="1" t="s">
        <v>42</v>
      </c>
      <c r="C660" s="1" t="s">
        <v>359</v>
      </c>
      <c r="D660" s="1" t="s">
        <v>360</v>
      </c>
      <c r="E660" s="1" t="s">
        <v>45</v>
      </c>
      <c r="F660" s="1" t="s">
        <v>1642</v>
      </c>
      <c r="G660" s="1" t="s">
        <v>1645</v>
      </c>
      <c r="H660" s="1" t="s">
        <v>1646</v>
      </c>
      <c r="I660" s="1" t="s">
        <v>49</v>
      </c>
      <c r="J660" s="1" t="s">
        <v>48</v>
      </c>
      <c r="K660" s="1">
        <v>95</v>
      </c>
      <c r="L660" s="1">
        <v>0</v>
      </c>
      <c r="M660" s="1">
        <v>0</v>
      </c>
      <c r="N660" s="1">
        <v>95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 t="s">
        <v>49</v>
      </c>
      <c r="AA660" s="1" t="s">
        <v>49</v>
      </c>
      <c r="AB660" s="1" t="s">
        <v>49</v>
      </c>
      <c r="AC660" s="1" t="s">
        <v>1377</v>
      </c>
      <c r="AD660" s="1" t="s">
        <v>1378</v>
      </c>
      <c r="AE660" s="1" t="s">
        <v>1377</v>
      </c>
      <c r="AF660" s="1" t="s">
        <v>1256</v>
      </c>
      <c r="AG660" s="1" t="s">
        <v>53</v>
      </c>
      <c r="AH660" s="1" t="s">
        <v>49</v>
      </c>
      <c r="AI660" s="1" t="s">
        <v>54</v>
      </c>
      <c r="AJ660" s="1">
        <v>1</v>
      </c>
      <c r="AK660" s="1" t="str">
        <f t="shared" si="10"/>
        <v xml:space="preserve"> =&lt;90</v>
      </c>
      <c r="AL660" s="1" t="e">
        <f>VLOOKUP(C:C,[1]基础信息!B$1:D$65536,3,0)</f>
        <v>#N/A</v>
      </c>
      <c r="AM660" s="1" t="e">
        <f>VLOOKUP(C:C,[1]基础信息!B$1:E$65536,4,0)</f>
        <v>#N/A</v>
      </c>
      <c r="AN660" s="1" t="e">
        <f>VLOOKUP(C:C,[1]基础信息!B$1:F$65536,5,0)</f>
        <v>#N/A</v>
      </c>
    </row>
    <row r="661" spans="1:40">
      <c r="A661" s="1" t="s">
        <v>41</v>
      </c>
      <c r="B661" s="1" t="s">
        <v>42</v>
      </c>
      <c r="C661" s="1" t="s">
        <v>1116</v>
      </c>
      <c r="D661" s="1" t="s">
        <v>1117</v>
      </c>
      <c r="E661" s="1" t="s">
        <v>1116</v>
      </c>
      <c r="F661" s="1" t="s">
        <v>1118</v>
      </c>
      <c r="G661" s="1" t="s">
        <v>1647</v>
      </c>
      <c r="H661" s="1" t="s">
        <v>1648</v>
      </c>
      <c r="I661" s="1" t="s">
        <v>49</v>
      </c>
      <c r="J661" s="1" t="s">
        <v>48</v>
      </c>
      <c r="K661" s="1">
        <v>120</v>
      </c>
      <c r="L661" s="1">
        <v>0</v>
      </c>
      <c r="M661" s="1">
        <v>0</v>
      </c>
      <c r="N661" s="1">
        <v>120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 t="s">
        <v>49</v>
      </c>
      <c r="AA661" s="1" t="s">
        <v>49</v>
      </c>
      <c r="AB661" s="1" t="s">
        <v>49</v>
      </c>
      <c r="AC661" s="1" t="s">
        <v>1121</v>
      </c>
      <c r="AD661" s="1" t="s">
        <v>1122</v>
      </c>
      <c r="AE661" s="1" t="s">
        <v>1121</v>
      </c>
      <c r="AF661" s="1" t="s">
        <v>1123</v>
      </c>
      <c r="AG661" s="1" t="s">
        <v>53</v>
      </c>
      <c r="AH661" s="1" t="s">
        <v>49</v>
      </c>
      <c r="AI661" s="1" t="s">
        <v>54</v>
      </c>
      <c r="AJ661" s="1">
        <v>1</v>
      </c>
      <c r="AK661" s="1" t="str">
        <f t="shared" si="10"/>
        <v xml:space="preserve"> =&lt;90</v>
      </c>
      <c r="AL661" s="1" t="str">
        <f>VLOOKUP(C:C,[1]基础信息!B$1:D$65536,3,0)</f>
        <v>UTS</v>
      </c>
      <c r="AM661" s="1" t="str">
        <f>VLOOKUP(C:C,[1]基础信息!B$1:E$65536,4,0)</f>
        <v>MyPure Pro</v>
      </c>
      <c r="AN661" s="1" t="str">
        <f>VLOOKUP(C:C,[1]基础信息!B$1:F$65536,5,0)</f>
        <v>Refill</v>
      </c>
    </row>
    <row r="662" spans="1:40">
      <c r="A662" s="1" t="s">
        <v>41</v>
      </c>
      <c r="B662" s="1" t="s">
        <v>42</v>
      </c>
      <c r="C662" s="1" t="s">
        <v>104</v>
      </c>
      <c r="D662" s="1" t="s">
        <v>105</v>
      </c>
      <c r="E662" s="1" t="s">
        <v>104</v>
      </c>
      <c r="F662" s="1" t="s">
        <v>1602</v>
      </c>
      <c r="G662" s="1" t="s">
        <v>1649</v>
      </c>
      <c r="H662" s="1" t="s">
        <v>1650</v>
      </c>
      <c r="I662" s="1" t="s">
        <v>49</v>
      </c>
      <c r="J662" s="1" t="s">
        <v>48</v>
      </c>
      <c r="K662" s="1">
        <v>96</v>
      </c>
      <c r="L662" s="1">
        <v>0</v>
      </c>
      <c r="M662" s="1">
        <v>0</v>
      </c>
      <c r="N662" s="1">
        <v>96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 t="s">
        <v>49</v>
      </c>
      <c r="AA662" s="1" t="s">
        <v>49</v>
      </c>
      <c r="AB662" s="1" t="s">
        <v>49</v>
      </c>
      <c r="AC662" s="1" t="s">
        <v>128</v>
      </c>
      <c r="AD662" s="1" t="s">
        <v>129</v>
      </c>
      <c r="AE662" s="1" t="s">
        <v>128</v>
      </c>
      <c r="AF662" s="1" t="s">
        <v>1605</v>
      </c>
      <c r="AG662" s="1" t="s">
        <v>53</v>
      </c>
      <c r="AH662" s="1" t="s">
        <v>49</v>
      </c>
      <c r="AI662" s="1" t="s">
        <v>54</v>
      </c>
      <c r="AJ662" s="1">
        <v>1</v>
      </c>
      <c r="AK662" s="1" t="str">
        <f t="shared" si="10"/>
        <v xml:space="preserve"> =&lt;90</v>
      </c>
      <c r="AL662" s="1" t="str">
        <f>VLOOKUP(C:C,[1]基础信息!B$1:D$65536,3,0)</f>
        <v>Jug</v>
      </c>
      <c r="AM662" s="1" t="str">
        <f>VLOOKUP(C:C,[1]基础信息!B$1:E$65536,4,0)</f>
        <v>Marella XL</v>
      </c>
      <c r="AN662" s="1" t="str">
        <f>VLOOKUP(C:C,[1]基础信息!B$1:F$65536,5,0)</f>
        <v>Blue</v>
      </c>
    </row>
    <row r="663" spans="1:40">
      <c r="A663" s="1" t="s">
        <v>41</v>
      </c>
      <c r="B663" s="1" t="s">
        <v>42</v>
      </c>
      <c r="C663" s="1" t="s">
        <v>554</v>
      </c>
      <c r="D663" s="1" t="s">
        <v>555</v>
      </c>
      <c r="E663" s="1" t="s">
        <v>45</v>
      </c>
      <c r="F663" s="1" t="s">
        <v>935</v>
      </c>
      <c r="G663" s="1" t="s">
        <v>1651</v>
      </c>
      <c r="H663" s="1" t="s">
        <v>1652</v>
      </c>
      <c r="I663" s="1" t="s">
        <v>49</v>
      </c>
      <c r="J663" s="1" t="s">
        <v>48</v>
      </c>
      <c r="K663" s="1">
        <v>70</v>
      </c>
      <c r="L663" s="1">
        <v>0</v>
      </c>
      <c r="M663" s="1">
        <v>0</v>
      </c>
      <c r="N663" s="1">
        <v>70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 t="s">
        <v>49</v>
      </c>
      <c r="AA663" s="1" t="s">
        <v>49</v>
      </c>
      <c r="AB663" s="1" t="s">
        <v>49</v>
      </c>
      <c r="AC663" s="1" t="s">
        <v>938</v>
      </c>
      <c r="AD663" s="1" t="s">
        <v>939</v>
      </c>
      <c r="AE663" s="1" t="s">
        <v>938</v>
      </c>
      <c r="AF663" s="1" t="s">
        <v>940</v>
      </c>
      <c r="AG663" s="1" t="s">
        <v>53</v>
      </c>
      <c r="AH663" s="1" t="s">
        <v>49</v>
      </c>
      <c r="AI663" s="1" t="s">
        <v>54</v>
      </c>
      <c r="AJ663" s="1">
        <v>1</v>
      </c>
      <c r="AK663" s="1" t="str">
        <f t="shared" si="10"/>
        <v xml:space="preserve"> =&lt;90</v>
      </c>
      <c r="AL663" s="1" t="str">
        <f>VLOOKUP(C:C,[1]基础信息!B$1:D$65536,3,0)</f>
        <v>Jug</v>
      </c>
      <c r="AM663" s="1" t="str">
        <f>VLOOKUP(C:C,[1]基础信息!B$1:E$65536,4,0)</f>
        <v>Green Pack</v>
      </c>
      <c r="AN663" s="1" t="str">
        <f>VLOOKUP(C:C,[1]基础信息!B$1:F$65536,5,0)</f>
        <v>Blue</v>
      </c>
    </row>
    <row r="664" spans="1:40">
      <c r="A664" s="1" t="s">
        <v>41</v>
      </c>
      <c r="B664" s="1" t="s">
        <v>42</v>
      </c>
      <c r="C664" s="1" t="s">
        <v>554</v>
      </c>
      <c r="D664" s="1" t="s">
        <v>555</v>
      </c>
      <c r="E664" s="1" t="s">
        <v>45</v>
      </c>
      <c r="F664" s="1" t="s">
        <v>935</v>
      </c>
      <c r="G664" s="1" t="s">
        <v>1653</v>
      </c>
      <c r="H664" s="1" t="s">
        <v>1654</v>
      </c>
      <c r="I664" s="1" t="s">
        <v>49</v>
      </c>
      <c r="J664" s="1" t="s">
        <v>48</v>
      </c>
      <c r="K664" s="1">
        <v>70</v>
      </c>
      <c r="L664" s="1">
        <v>0</v>
      </c>
      <c r="M664" s="1">
        <v>0</v>
      </c>
      <c r="N664" s="1">
        <v>70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 t="s">
        <v>49</v>
      </c>
      <c r="AA664" s="1" t="s">
        <v>49</v>
      </c>
      <c r="AB664" s="1" t="s">
        <v>49</v>
      </c>
      <c r="AC664" s="1" t="s">
        <v>938</v>
      </c>
      <c r="AD664" s="1" t="s">
        <v>939</v>
      </c>
      <c r="AE664" s="1" t="s">
        <v>938</v>
      </c>
      <c r="AF664" s="1" t="s">
        <v>940</v>
      </c>
      <c r="AG664" s="1" t="s">
        <v>53</v>
      </c>
      <c r="AH664" s="1" t="s">
        <v>49</v>
      </c>
      <c r="AI664" s="1" t="s">
        <v>54</v>
      </c>
      <c r="AJ664" s="1">
        <v>1</v>
      </c>
      <c r="AK664" s="1" t="str">
        <f t="shared" si="10"/>
        <v xml:space="preserve"> =&lt;90</v>
      </c>
      <c r="AL664" s="1" t="str">
        <f>VLOOKUP(C:C,[1]基础信息!B$1:D$65536,3,0)</f>
        <v>Jug</v>
      </c>
      <c r="AM664" s="1" t="str">
        <f>VLOOKUP(C:C,[1]基础信息!B$1:E$65536,4,0)</f>
        <v>Green Pack</v>
      </c>
      <c r="AN664" s="1" t="str">
        <f>VLOOKUP(C:C,[1]基础信息!B$1:F$65536,5,0)</f>
        <v>Blue</v>
      </c>
    </row>
    <row r="665" spans="1:40">
      <c r="A665" s="1" t="s">
        <v>41</v>
      </c>
      <c r="B665" s="1" t="s">
        <v>42</v>
      </c>
      <c r="C665" s="1" t="s">
        <v>43</v>
      </c>
      <c r="D665" s="1" t="s">
        <v>44</v>
      </c>
      <c r="E665" s="1" t="s">
        <v>45</v>
      </c>
      <c r="F665" s="1" t="s">
        <v>46</v>
      </c>
      <c r="G665" s="1" t="s">
        <v>1655</v>
      </c>
      <c r="H665" s="1" t="s">
        <v>1656</v>
      </c>
      <c r="I665" s="1" t="s">
        <v>49</v>
      </c>
      <c r="J665" s="1" t="s">
        <v>48</v>
      </c>
      <c r="K665" s="1">
        <v>96</v>
      </c>
      <c r="L665" s="1">
        <v>0</v>
      </c>
      <c r="M665" s="1">
        <v>0</v>
      </c>
      <c r="N665" s="1">
        <v>96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 t="s">
        <v>49</v>
      </c>
      <c r="AA665" s="1" t="s">
        <v>49</v>
      </c>
      <c r="AB665" s="1" t="s">
        <v>49</v>
      </c>
      <c r="AC665" s="1" t="s">
        <v>50</v>
      </c>
      <c r="AD665" s="1" t="s">
        <v>51</v>
      </c>
      <c r="AE665" s="1" t="s">
        <v>50</v>
      </c>
      <c r="AF665" s="1" t="s">
        <v>52</v>
      </c>
      <c r="AG665" s="1" t="s">
        <v>53</v>
      </c>
      <c r="AH665" s="1" t="s">
        <v>49</v>
      </c>
      <c r="AI665" s="1" t="s">
        <v>54</v>
      </c>
      <c r="AJ665" s="1">
        <v>1</v>
      </c>
      <c r="AK665" s="1" t="str">
        <f t="shared" si="10"/>
        <v xml:space="preserve"> =&lt;90</v>
      </c>
      <c r="AL665" s="1" t="str">
        <f>VLOOKUP(C:C,[1]基础信息!B$1:D$65536,3,0)</f>
        <v>Jug</v>
      </c>
      <c r="AM665" s="1" t="str">
        <f>VLOOKUP(C:C,[1]基础信息!B$1:E$65536,4,0)</f>
        <v>Marella XL</v>
      </c>
      <c r="AN665" s="1" t="str">
        <f>VLOOKUP(C:C,[1]基础信息!B$1:F$65536,5,0)</f>
        <v>Black</v>
      </c>
    </row>
    <row r="666" spans="1:40">
      <c r="A666" s="1" t="s">
        <v>41</v>
      </c>
      <c r="B666" s="1" t="s">
        <v>42</v>
      </c>
      <c r="C666" s="1" t="s">
        <v>285</v>
      </c>
      <c r="D666" s="1" t="s">
        <v>286</v>
      </c>
      <c r="E666" s="1" t="s">
        <v>45</v>
      </c>
      <c r="F666" s="1" t="s">
        <v>287</v>
      </c>
      <c r="G666" s="1" t="s">
        <v>1657</v>
      </c>
      <c r="H666" s="1" t="s">
        <v>1658</v>
      </c>
      <c r="I666" s="1" t="s">
        <v>49</v>
      </c>
      <c r="J666" s="1" t="s">
        <v>48</v>
      </c>
      <c r="K666" s="1">
        <v>70</v>
      </c>
      <c r="L666" s="1">
        <v>0</v>
      </c>
      <c r="M666" s="1">
        <v>0</v>
      </c>
      <c r="N666" s="1">
        <v>70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 t="s">
        <v>49</v>
      </c>
      <c r="AA666" s="1" t="s">
        <v>49</v>
      </c>
      <c r="AB666" s="1" t="s">
        <v>49</v>
      </c>
      <c r="AC666" s="1" t="s">
        <v>290</v>
      </c>
      <c r="AD666" s="1" t="s">
        <v>291</v>
      </c>
      <c r="AE666" s="1" t="s">
        <v>290</v>
      </c>
      <c r="AF666" s="1" t="s">
        <v>292</v>
      </c>
      <c r="AG666" s="1" t="s">
        <v>53</v>
      </c>
      <c r="AH666" s="1" t="s">
        <v>49</v>
      </c>
      <c r="AI666" s="1" t="s">
        <v>54</v>
      </c>
      <c r="AJ666" s="1">
        <v>1</v>
      </c>
      <c r="AK666" s="1" t="str">
        <f t="shared" si="10"/>
        <v xml:space="preserve"> =&lt;90</v>
      </c>
      <c r="AL666" s="1" t="str">
        <f>VLOOKUP(C:C,[1]基础信息!B$1:D$65536,3,0)</f>
        <v>Jug</v>
      </c>
      <c r="AM666" s="1" t="str">
        <f>VLOOKUP(C:C,[1]基础信息!B$1:E$65536,4,0)</f>
        <v>Marella XL</v>
      </c>
      <c r="AN666" s="1" t="str">
        <f>VLOOKUP(C:C,[1]基础信息!B$1:F$65536,5,0)</f>
        <v>Blue</v>
      </c>
    </row>
    <row r="667" spans="1:40">
      <c r="A667" s="1" t="s">
        <v>41</v>
      </c>
      <c r="B667" s="1" t="s">
        <v>42</v>
      </c>
      <c r="C667" s="1" t="s">
        <v>208</v>
      </c>
      <c r="D667" s="1" t="s">
        <v>209</v>
      </c>
      <c r="E667" s="1" t="s">
        <v>208</v>
      </c>
      <c r="F667" s="1" t="s">
        <v>373</v>
      </c>
      <c r="G667" s="1" t="s">
        <v>1659</v>
      </c>
      <c r="H667" s="1" t="s">
        <v>1660</v>
      </c>
      <c r="I667" s="1" t="s">
        <v>49</v>
      </c>
      <c r="J667" s="1" t="s">
        <v>48</v>
      </c>
      <c r="K667" s="1">
        <v>80</v>
      </c>
      <c r="L667" s="1">
        <v>0</v>
      </c>
      <c r="M667" s="1">
        <v>0</v>
      </c>
      <c r="N667" s="1">
        <v>80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 t="s">
        <v>49</v>
      </c>
      <c r="AA667" s="1" t="s">
        <v>49</v>
      </c>
      <c r="AB667" s="1" t="s">
        <v>49</v>
      </c>
      <c r="AC667" s="1" t="s">
        <v>376</v>
      </c>
      <c r="AD667" s="1" t="s">
        <v>377</v>
      </c>
      <c r="AE667" s="1" t="s">
        <v>376</v>
      </c>
      <c r="AF667" s="1" t="s">
        <v>378</v>
      </c>
      <c r="AG667" s="1" t="s">
        <v>53</v>
      </c>
      <c r="AH667" s="1" t="s">
        <v>49</v>
      </c>
      <c r="AI667" s="1" t="s">
        <v>54</v>
      </c>
      <c r="AJ667" s="1">
        <v>1</v>
      </c>
      <c r="AK667" s="1" t="str">
        <f t="shared" si="10"/>
        <v xml:space="preserve"> =&lt;90</v>
      </c>
      <c r="AL667" s="1" t="str">
        <f>VLOOKUP(C:C,[1]基础信息!B$1:D$65536,3,0)</f>
        <v>Jug</v>
      </c>
      <c r="AM667" s="1" t="str">
        <f>VLOOKUP(C:C,[1]基础信息!B$1:E$65536,4,0)</f>
        <v>MXpl</v>
      </c>
      <c r="AN667" s="1" t="str">
        <f>VLOOKUP(C:C,[1]基础信息!B$1:F$65536,5,0)</f>
        <v>grey</v>
      </c>
    </row>
    <row r="668" spans="1:40">
      <c r="A668" s="1" t="s">
        <v>41</v>
      </c>
      <c r="B668" s="1" t="s">
        <v>42</v>
      </c>
      <c r="C668" s="1" t="s">
        <v>104</v>
      </c>
      <c r="D668" s="1" t="s">
        <v>105</v>
      </c>
      <c r="E668" s="1" t="s">
        <v>104</v>
      </c>
      <c r="F668" s="1" t="s">
        <v>1602</v>
      </c>
      <c r="G668" s="1" t="s">
        <v>1661</v>
      </c>
      <c r="H668" s="1" t="s">
        <v>1662</v>
      </c>
      <c r="I668" s="1" t="s">
        <v>49</v>
      </c>
      <c r="J668" s="1" t="s">
        <v>48</v>
      </c>
      <c r="K668" s="1">
        <v>96</v>
      </c>
      <c r="L668" s="1">
        <v>0</v>
      </c>
      <c r="M668" s="1">
        <v>0</v>
      </c>
      <c r="N668" s="1">
        <v>96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 t="s">
        <v>49</v>
      </c>
      <c r="AA668" s="1" t="s">
        <v>49</v>
      </c>
      <c r="AB668" s="1" t="s">
        <v>49</v>
      </c>
      <c r="AC668" s="1" t="s">
        <v>128</v>
      </c>
      <c r="AD668" s="1" t="s">
        <v>129</v>
      </c>
      <c r="AE668" s="1" t="s">
        <v>128</v>
      </c>
      <c r="AF668" s="1" t="s">
        <v>1605</v>
      </c>
      <c r="AG668" s="1" t="s">
        <v>53</v>
      </c>
      <c r="AH668" s="1" t="s">
        <v>49</v>
      </c>
      <c r="AI668" s="1" t="s">
        <v>54</v>
      </c>
      <c r="AJ668" s="1">
        <v>1</v>
      </c>
      <c r="AK668" s="1" t="str">
        <f t="shared" si="10"/>
        <v xml:space="preserve"> =&lt;90</v>
      </c>
      <c r="AL668" s="1" t="str">
        <f>VLOOKUP(C:C,[1]基础信息!B$1:D$65536,3,0)</f>
        <v>Jug</v>
      </c>
      <c r="AM668" s="1" t="str">
        <f>VLOOKUP(C:C,[1]基础信息!B$1:E$65536,4,0)</f>
        <v>Marella XL</v>
      </c>
      <c r="AN668" s="1" t="str">
        <f>VLOOKUP(C:C,[1]基础信息!B$1:F$65536,5,0)</f>
        <v>Blue</v>
      </c>
    </row>
    <row r="669" spans="1:40">
      <c r="A669" s="1" t="s">
        <v>41</v>
      </c>
      <c r="B669" s="1" t="s">
        <v>42</v>
      </c>
      <c r="C669" s="1" t="s">
        <v>104</v>
      </c>
      <c r="D669" s="1" t="s">
        <v>105</v>
      </c>
      <c r="E669" s="1" t="s">
        <v>104</v>
      </c>
      <c r="F669" s="1" t="s">
        <v>1602</v>
      </c>
      <c r="G669" s="1" t="s">
        <v>1663</v>
      </c>
      <c r="H669" s="1" t="s">
        <v>1664</v>
      </c>
      <c r="I669" s="1" t="s">
        <v>49</v>
      </c>
      <c r="J669" s="1" t="s">
        <v>48</v>
      </c>
      <c r="K669" s="1">
        <v>96</v>
      </c>
      <c r="L669" s="1">
        <v>0</v>
      </c>
      <c r="M669" s="1">
        <v>0</v>
      </c>
      <c r="N669" s="1">
        <v>96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 t="s">
        <v>49</v>
      </c>
      <c r="AA669" s="1" t="s">
        <v>49</v>
      </c>
      <c r="AB669" s="1" t="s">
        <v>49</v>
      </c>
      <c r="AC669" s="1" t="s">
        <v>128</v>
      </c>
      <c r="AD669" s="1" t="s">
        <v>129</v>
      </c>
      <c r="AE669" s="1" t="s">
        <v>128</v>
      </c>
      <c r="AF669" s="1" t="s">
        <v>1605</v>
      </c>
      <c r="AG669" s="1" t="s">
        <v>53</v>
      </c>
      <c r="AH669" s="1" t="s">
        <v>49</v>
      </c>
      <c r="AI669" s="1" t="s">
        <v>54</v>
      </c>
      <c r="AJ669" s="1">
        <v>1</v>
      </c>
      <c r="AK669" s="1" t="str">
        <f t="shared" si="10"/>
        <v xml:space="preserve"> =&lt;90</v>
      </c>
      <c r="AL669" s="1" t="str">
        <f>VLOOKUP(C:C,[1]基础信息!B$1:D$65536,3,0)</f>
        <v>Jug</v>
      </c>
      <c r="AM669" s="1" t="str">
        <f>VLOOKUP(C:C,[1]基础信息!B$1:E$65536,4,0)</f>
        <v>Marella XL</v>
      </c>
      <c r="AN669" s="1" t="str">
        <f>VLOOKUP(C:C,[1]基础信息!B$1:F$65536,5,0)</f>
        <v>Blue</v>
      </c>
    </row>
    <row r="670" spans="1:40">
      <c r="A670" s="1" t="s">
        <v>41</v>
      </c>
      <c r="B670" s="1" t="s">
        <v>42</v>
      </c>
      <c r="C670" s="1" t="s">
        <v>208</v>
      </c>
      <c r="D670" s="1" t="s">
        <v>209</v>
      </c>
      <c r="E670" s="1" t="s">
        <v>208</v>
      </c>
      <c r="F670" s="1" t="s">
        <v>373</v>
      </c>
      <c r="G670" s="1" t="s">
        <v>1665</v>
      </c>
      <c r="H670" s="1" t="s">
        <v>1666</v>
      </c>
      <c r="I670" s="1" t="s">
        <v>49</v>
      </c>
      <c r="J670" s="1" t="s">
        <v>48</v>
      </c>
      <c r="K670" s="1">
        <v>80</v>
      </c>
      <c r="L670" s="1">
        <v>0</v>
      </c>
      <c r="M670" s="1">
        <v>0</v>
      </c>
      <c r="N670" s="1">
        <v>80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 t="s">
        <v>49</v>
      </c>
      <c r="AA670" s="1" t="s">
        <v>49</v>
      </c>
      <c r="AB670" s="1" t="s">
        <v>49</v>
      </c>
      <c r="AC670" s="1" t="s">
        <v>376</v>
      </c>
      <c r="AD670" s="1" t="s">
        <v>377</v>
      </c>
      <c r="AE670" s="1" t="s">
        <v>376</v>
      </c>
      <c r="AF670" s="1" t="s">
        <v>378</v>
      </c>
      <c r="AG670" s="1" t="s">
        <v>53</v>
      </c>
      <c r="AH670" s="1" t="s">
        <v>49</v>
      </c>
      <c r="AI670" s="1" t="s">
        <v>54</v>
      </c>
      <c r="AJ670" s="1">
        <v>1</v>
      </c>
      <c r="AK670" s="1" t="str">
        <f t="shared" si="10"/>
        <v xml:space="preserve"> =&lt;90</v>
      </c>
      <c r="AL670" s="1" t="str">
        <f>VLOOKUP(C:C,[1]基础信息!B$1:D$65536,3,0)</f>
        <v>Jug</v>
      </c>
      <c r="AM670" s="1" t="str">
        <f>VLOOKUP(C:C,[1]基础信息!B$1:E$65536,4,0)</f>
        <v>MXpl</v>
      </c>
      <c r="AN670" s="1" t="str">
        <f>VLOOKUP(C:C,[1]基础信息!B$1:F$65536,5,0)</f>
        <v>grey</v>
      </c>
    </row>
    <row r="671" spans="1:40">
      <c r="A671" s="1" t="s">
        <v>41</v>
      </c>
      <c r="B671" s="1" t="s">
        <v>42</v>
      </c>
      <c r="C671" s="1" t="s">
        <v>43</v>
      </c>
      <c r="D671" s="1" t="s">
        <v>44</v>
      </c>
      <c r="E671" s="1" t="s">
        <v>45</v>
      </c>
      <c r="F671" s="1" t="s">
        <v>1667</v>
      </c>
      <c r="G671" s="1" t="s">
        <v>1668</v>
      </c>
      <c r="H671" s="1" t="s">
        <v>1669</v>
      </c>
      <c r="I671" s="1" t="s">
        <v>49</v>
      </c>
      <c r="J671" s="1" t="s">
        <v>48</v>
      </c>
      <c r="K671" s="1">
        <v>96</v>
      </c>
      <c r="L671" s="1">
        <v>0</v>
      </c>
      <c r="M671" s="1">
        <v>0</v>
      </c>
      <c r="N671" s="1">
        <v>96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 t="s">
        <v>49</v>
      </c>
      <c r="AA671" s="1" t="s">
        <v>49</v>
      </c>
      <c r="AB671" s="1" t="s">
        <v>49</v>
      </c>
      <c r="AC671" s="1" t="s">
        <v>50</v>
      </c>
      <c r="AD671" s="1" t="s">
        <v>1670</v>
      </c>
      <c r="AE671" s="1" t="s">
        <v>50</v>
      </c>
      <c r="AF671" s="1" t="s">
        <v>52</v>
      </c>
      <c r="AG671" s="1" t="s">
        <v>53</v>
      </c>
      <c r="AH671" s="1" t="s">
        <v>49</v>
      </c>
      <c r="AI671" s="1" t="s">
        <v>54</v>
      </c>
      <c r="AJ671" s="1">
        <v>1</v>
      </c>
      <c r="AK671" s="1" t="str">
        <f t="shared" si="10"/>
        <v xml:space="preserve"> =&lt;90</v>
      </c>
      <c r="AL671" s="1" t="str">
        <f>VLOOKUP(C:C,[1]基础信息!B$1:D$65536,3,0)</f>
        <v>Jug</v>
      </c>
      <c r="AM671" s="1" t="str">
        <f>VLOOKUP(C:C,[1]基础信息!B$1:E$65536,4,0)</f>
        <v>Marella XL</v>
      </c>
      <c r="AN671" s="1" t="str">
        <f>VLOOKUP(C:C,[1]基础信息!B$1:F$65536,5,0)</f>
        <v>Black</v>
      </c>
    </row>
    <row r="672" spans="1:40">
      <c r="A672" s="1" t="s">
        <v>41</v>
      </c>
      <c r="B672" s="1" t="s">
        <v>42</v>
      </c>
      <c r="C672" s="1" t="s">
        <v>43</v>
      </c>
      <c r="D672" s="1" t="s">
        <v>44</v>
      </c>
      <c r="E672" s="1" t="s">
        <v>45</v>
      </c>
      <c r="F672" s="1" t="s">
        <v>1667</v>
      </c>
      <c r="G672" s="1" t="s">
        <v>1671</v>
      </c>
      <c r="H672" s="1" t="s">
        <v>1672</v>
      </c>
      <c r="I672" s="1" t="s">
        <v>49</v>
      </c>
      <c r="J672" s="1" t="s">
        <v>48</v>
      </c>
      <c r="K672" s="1">
        <v>96</v>
      </c>
      <c r="L672" s="1">
        <v>0</v>
      </c>
      <c r="M672" s="1">
        <v>0</v>
      </c>
      <c r="N672" s="1">
        <v>96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 t="s">
        <v>49</v>
      </c>
      <c r="AA672" s="1" t="s">
        <v>49</v>
      </c>
      <c r="AB672" s="1" t="s">
        <v>49</v>
      </c>
      <c r="AC672" s="1" t="s">
        <v>50</v>
      </c>
      <c r="AD672" s="1" t="s">
        <v>1670</v>
      </c>
      <c r="AE672" s="1" t="s">
        <v>50</v>
      </c>
      <c r="AF672" s="1" t="s">
        <v>52</v>
      </c>
      <c r="AG672" s="1" t="s">
        <v>53</v>
      </c>
      <c r="AH672" s="1" t="s">
        <v>49</v>
      </c>
      <c r="AI672" s="1" t="s">
        <v>54</v>
      </c>
      <c r="AJ672" s="1">
        <v>1</v>
      </c>
      <c r="AK672" s="1" t="str">
        <f t="shared" si="10"/>
        <v xml:space="preserve"> =&lt;90</v>
      </c>
      <c r="AL672" s="1" t="str">
        <f>VLOOKUP(C:C,[1]基础信息!B$1:D$65536,3,0)</f>
        <v>Jug</v>
      </c>
      <c r="AM672" s="1" t="str">
        <f>VLOOKUP(C:C,[1]基础信息!B$1:E$65536,4,0)</f>
        <v>Marella XL</v>
      </c>
      <c r="AN672" s="1" t="str">
        <f>VLOOKUP(C:C,[1]基础信息!B$1:F$65536,5,0)</f>
        <v>Black</v>
      </c>
    </row>
    <row r="673" spans="1:40">
      <c r="A673" s="1" t="s">
        <v>41</v>
      </c>
      <c r="B673" s="1" t="s">
        <v>42</v>
      </c>
      <c r="C673" s="1" t="s">
        <v>208</v>
      </c>
      <c r="D673" s="1" t="s">
        <v>209</v>
      </c>
      <c r="E673" s="1" t="s">
        <v>208</v>
      </c>
      <c r="F673" s="1" t="s">
        <v>373</v>
      </c>
      <c r="G673" s="1" t="s">
        <v>1673</v>
      </c>
      <c r="H673" s="1" t="s">
        <v>1674</v>
      </c>
      <c r="I673" s="1" t="s">
        <v>49</v>
      </c>
      <c r="J673" s="1" t="s">
        <v>48</v>
      </c>
      <c r="K673" s="1">
        <v>80</v>
      </c>
      <c r="L673" s="1">
        <v>0</v>
      </c>
      <c r="M673" s="1">
        <v>0</v>
      </c>
      <c r="N673" s="1">
        <v>80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 t="s">
        <v>49</v>
      </c>
      <c r="AA673" s="1" t="s">
        <v>49</v>
      </c>
      <c r="AB673" s="1" t="s">
        <v>49</v>
      </c>
      <c r="AC673" s="1" t="s">
        <v>376</v>
      </c>
      <c r="AD673" s="1" t="s">
        <v>377</v>
      </c>
      <c r="AE673" s="1" t="s">
        <v>376</v>
      </c>
      <c r="AF673" s="1" t="s">
        <v>378</v>
      </c>
      <c r="AG673" s="1" t="s">
        <v>53</v>
      </c>
      <c r="AH673" s="1" t="s">
        <v>49</v>
      </c>
      <c r="AI673" s="1" t="s">
        <v>54</v>
      </c>
      <c r="AJ673" s="1">
        <v>1</v>
      </c>
      <c r="AK673" s="1" t="str">
        <f t="shared" si="10"/>
        <v xml:space="preserve"> =&lt;90</v>
      </c>
      <c r="AL673" s="1" t="str">
        <f>VLOOKUP(C:C,[1]基础信息!B$1:D$65536,3,0)</f>
        <v>Jug</v>
      </c>
      <c r="AM673" s="1" t="str">
        <f>VLOOKUP(C:C,[1]基础信息!B$1:E$65536,4,0)</f>
        <v>MXpl</v>
      </c>
      <c r="AN673" s="1" t="str">
        <f>VLOOKUP(C:C,[1]基础信息!B$1:F$65536,5,0)</f>
        <v>grey</v>
      </c>
    </row>
    <row r="674" spans="1:40">
      <c r="A674" s="1" t="s">
        <v>41</v>
      </c>
      <c r="B674" s="1" t="s">
        <v>42</v>
      </c>
      <c r="C674" s="1" t="s">
        <v>56</v>
      </c>
      <c r="D674" s="1" t="s">
        <v>57</v>
      </c>
      <c r="E674" s="1" t="s">
        <v>45</v>
      </c>
      <c r="F674" s="1" t="s">
        <v>58</v>
      </c>
      <c r="G674" s="1" t="s">
        <v>1675</v>
      </c>
      <c r="H674" s="1" t="s">
        <v>1676</v>
      </c>
      <c r="I674" s="1" t="s">
        <v>49</v>
      </c>
      <c r="J674" s="1" t="s">
        <v>48</v>
      </c>
      <c r="K674" s="1">
        <v>72</v>
      </c>
      <c r="L674" s="1">
        <v>0</v>
      </c>
      <c r="M674" s="1">
        <v>0</v>
      </c>
      <c r="N674" s="1">
        <v>72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 t="s">
        <v>49</v>
      </c>
      <c r="AA674" s="1" t="s">
        <v>49</v>
      </c>
      <c r="AB674" s="1" t="s">
        <v>49</v>
      </c>
      <c r="AC674" s="1" t="s">
        <v>61</v>
      </c>
      <c r="AD674" s="1" t="s">
        <v>62</v>
      </c>
      <c r="AE674" s="1" t="s">
        <v>61</v>
      </c>
      <c r="AF674" s="1" t="s">
        <v>63</v>
      </c>
      <c r="AG674" s="1" t="s">
        <v>53</v>
      </c>
      <c r="AH674" s="1" t="s">
        <v>49</v>
      </c>
      <c r="AI674" s="1" t="s">
        <v>54</v>
      </c>
      <c r="AJ674" s="1">
        <v>1</v>
      </c>
      <c r="AK674" s="1" t="str">
        <f t="shared" si="10"/>
        <v xml:space="preserve"> =&lt;90</v>
      </c>
      <c r="AL674" s="1" t="str">
        <f>VLOOKUP(C:C,[1]基础信息!B$1:D$65536,3,0)</f>
        <v>Jug</v>
      </c>
      <c r="AM674" s="1" t="str">
        <f>VLOOKUP(C:C,[1]基础信息!B$1:E$65536,4,0)</f>
        <v>Marella XL</v>
      </c>
      <c r="AN674" s="1" t="str">
        <f>VLOOKUP(C:C,[1]基础信息!B$1:F$65536,5,0)</f>
        <v>Blue</v>
      </c>
    </row>
    <row r="675" spans="1:40">
      <c r="A675" s="1" t="s">
        <v>41</v>
      </c>
      <c r="B675" s="1" t="s">
        <v>42</v>
      </c>
      <c r="C675" s="1" t="s">
        <v>554</v>
      </c>
      <c r="D675" s="1" t="s">
        <v>555</v>
      </c>
      <c r="E675" s="1" t="s">
        <v>45</v>
      </c>
      <c r="F675" s="1" t="s">
        <v>935</v>
      </c>
      <c r="G675" s="1" t="s">
        <v>1677</v>
      </c>
      <c r="H675" s="1" t="s">
        <v>1678</v>
      </c>
      <c r="I675" s="1" t="s">
        <v>49</v>
      </c>
      <c r="J675" s="1" t="s">
        <v>48</v>
      </c>
      <c r="K675" s="1">
        <v>70</v>
      </c>
      <c r="L675" s="1">
        <v>0</v>
      </c>
      <c r="M675" s="1">
        <v>0</v>
      </c>
      <c r="N675" s="1">
        <v>70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 t="s">
        <v>49</v>
      </c>
      <c r="AA675" s="1" t="s">
        <v>49</v>
      </c>
      <c r="AB675" s="1" t="s">
        <v>49</v>
      </c>
      <c r="AC675" s="1" t="s">
        <v>938</v>
      </c>
      <c r="AD675" s="1" t="s">
        <v>939</v>
      </c>
      <c r="AE675" s="1" t="s">
        <v>938</v>
      </c>
      <c r="AF675" s="1" t="s">
        <v>940</v>
      </c>
      <c r="AG675" s="1" t="s">
        <v>53</v>
      </c>
      <c r="AH675" s="1" t="s">
        <v>49</v>
      </c>
      <c r="AI675" s="1" t="s">
        <v>54</v>
      </c>
      <c r="AJ675" s="1">
        <v>1</v>
      </c>
      <c r="AK675" s="1" t="str">
        <f t="shared" si="10"/>
        <v xml:space="preserve"> =&lt;90</v>
      </c>
      <c r="AL675" s="1" t="str">
        <f>VLOOKUP(C:C,[1]基础信息!B$1:D$65536,3,0)</f>
        <v>Jug</v>
      </c>
      <c r="AM675" s="1" t="str">
        <f>VLOOKUP(C:C,[1]基础信息!B$1:E$65536,4,0)</f>
        <v>Green Pack</v>
      </c>
      <c r="AN675" s="1" t="str">
        <f>VLOOKUP(C:C,[1]基础信息!B$1:F$65536,5,0)</f>
        <v>Blue</v>
      </c>
    </row>
    <row r="676" spans="1:40">
      <c r="A676" s="1" t="s">
        <v>41</v>
      </c>
      <c r="B676" s="1" t="s">
        <v>42</v>
      </c>
      <c r="C676" s="1" t="s">
        <v>104</v>
      </c>
      <c r="D676" s="1" t="s">
        <v>105</v>
      </c>
      <c r="E676" s="1" t="s">
        <v>104</v>
      </c>
      <c r="F676" s="1" t="s">
        <v>1602</v>
      </c>
      <c r="G676" s="1" t="s">
        <v>1679</v>
      </c>
      <c r="H676" s="1" t="s">
        <v>1680</v>
      </c>
      <c r="I676" s="1" t="s">
        <v>49</v>
      </c>
      <c r="J676" s="1" t="s">
        <v>48</v>
      </c>
      <c r="K676" s="1">
        <v>96</v>
      </c>
      <c r="L676" s="1">
        <v>0</v>
      </c>
      <c r="M676" s="1">
        <v>0</v>
      </c>
      <c r="N676" s="1">
        <v>96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 t="s">
        <v>49</v>
      </c>
      <c r="AA676" s="1" t="s">
        <v>49</v>
      </c>
      <c r="AB676" s="1" t="s">
        <v>49</v>
      </c>
      <c r="AC676" s="1" t="s">
        <v>128</v>
      </c>
      <c r="AD676" s="1" t="s">
        <v>129</v>
      </c>
      <c r="AE676" s="1" t="s">
        <v>128</v>
      </c>
      <c r="AF676" s="1" t="s">
        <v>1605</v>
      </c>
      <c r="AG676" s="1" t="s">
        <v>53</v>
      </c>
      <c r="AH676" s="1" t="s">
        <v>49</v>
      </c>
      <c r="AI676" s="1" t="s">
        <v>54</v>
      </c>
      <c r="AJ676" s="1">
        <v>1</v>
      </c>
      <c r="AK676" s="1" t="str">
        <f t="shared" si="10"/>
        <v xml:space="preserve"> =&lt;90</v>
      </c>
      <c r="AL676" s="1" t="str">
        <f>VLOOKUP(C:C,[1]基础信息!B$1:D$65536,3,0)</f>
        <v>Jug</v>
      </c>
      <c r="AM676" s="1" t="str">
        <f>VLOOKUP(C:C,[1]基础信息!B$1:E$65536,4,0)</f>
        <v>Marella XL</v>
      </c>
      <c r="AN676" s="1" t="str">
        <f>VLOOKUP(C:C,[1]基础信息!B$1:F$65536,5,0)</f>
        <v>Blue</v>
      </c>
    </row>
    <row r="677" spans="1:40">
      <c r="A677" s="1" t="s">
        <v>41</v>
      </c>
      <c r="B677" s="1" t="s">
        <v>42</v>
      </c>
      <c r="C677" s="1" t="s">
        <v>104</v>
      </c>
      <c r="D677" s="1" t="s">
        <v>105</v>
      </c>
      <c r="E677" s="1" t="s">
        <v>104</v>
      </c>
      <c r="F677" s="1" t="s">
        <v>1602</v>
      </c>
      <c r="G677" s="1" t="s">
        <v>1681</v>
      </c>
      <c r="H677" s="1" t="s">
        <v>1682</v>
      </c>
      <c r="I677" s="1" t="s">
        <v>49</v>
      </c>
      <c r="J677" s="1" t="s">
        <v>48</v>
      </c>
      <c r="K677" s="1">
        <v>96</v>
      </c>
      <c r="L677" s="1">
        <v>0</v>
      </c>
      <c r="M677" s="1">
        <v>0</v>
      </c>
      <c r="N677" s="1">
        <v>96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 t="s">
        <v>49</v>
      </c>
      <c r="AA677" s="1" t="s">
        <v>49</v>
      </c>
      <c r="AB677" s="1" t="s">
        <v>49</v>
      </c>
      <c r="AC677" s="1" t="s">
        <v>128</v>
      </c>
      <c r="AD677" s="1" t="s">
        <v>129</v>
      </c>
      <c r="AE677" s="1" t="s">
        <v>128</v>
      </c>
      <c r="AF677" s="1" t="s">
        <v>1605</v>
      </c>
      <c r="AG677" s="1" t="s">
        <v>53</v>
      </c>
      <c r="AH677" s="1" t="s">
        <v>49</v>
      </c>
      <c r="AI677" s="1" t="s">
        <v>54</v>
      </c>
      <c r="AJ677" s="1">
        <v>1</v>
      </c>
      <c r="AK677" s="1" t="str">
        <f t="shared" si="10"/>
        <v xml:space="preserve"> =&lt;90</v>
      </c>
      <c r="AL677" s="1" t="str">
        <f>VLOOKUP(C:C,[1]基础信息!B$1:D$65536,3,0)</f>
        <v>Jug</v>
      </c>
      <c r="AM677" s="1" t="str">
        <f>VLOOKUP(C:C,[1]基础信息!B$1:E$65536,4,0)</f>
        <v>Marella XL</v>
      </c>
      <c r="AN677" s="1" t="str">
        <f>VLOOKUP(C:C,[1]基础信息!B$1:F$65536,5,0)</f>
        <v>Blue</v>
      </c>
    </row>
    <row r="678" spans="1:40">
      <c r="A678" s="1" t="s">
        <v>41</v>
      </c>
      <c r="B678" s="1" t="s">
        <v>42</v>
      </c>
      <c r="C678" s="1" t="s">
        <v>104</v>
      </c>
      <c r="D678" s="1" t="s">
        <v>105</v>
      </c>
      <c r="E678" s="1" t="s">
        <v>104</v>
      </c>
      <c r="F678" s="1" t="s">
        <v>1602</v>
      </c>
      <c r="G678" s="1" t="s">
        <v>1683</v>
      </c>
      <c r="H678" s="1" t="s">
        <v>1684</v>
      </c>
      <c r="I678" s="1" t="s">
        <v>49</v>
      </c>
      <c r="J678" s="1" t="s">
        <v>48</v>
      </c>
      <c r="K678" s="1">
        <v>96</v>
      </c>
      <c r="L678" s="1">
        <v>0</v>
      </c>
      <c r="M678" s="1">
        <v>0</v>
      </c>
      <c r="N678" s="1">
        <v>96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 t="s">
        <v>49</v>
      </c>
      <c r="AA678" s="1" t="s">
        <v>49</v>
      </c>
      <c r="AB678" s="1" t="s">
        <v>49</v>
      </c>
      <c r="AC678" s="1" t="s">
        <v>128</v>
      </c>
      <c r="AD678" s="1" t="s">
        <v>129</v>
      </c>
      <c r="AE678" s="1" t="s">
        <v>128</v>
      </c>
      <c r="AF678" s="1" t="s">
        <v>1605</v>
      </c>
      <c r="AG678" s="1" t="s">
        <v>53</v>
      </c>
      <c r="AH678" s="1" t="s">
        <v>49</v>
      </c>
      <c r="AI678" s="1" t="s">
        <v>54</v>
      </c>
      <c r="AJ678" s="1">
        <v>1</v>
      </c>
      <c r="AK678" s="1" t="str">
        <f t="shared" si="10"/>
        <v xml:space="preserve"> =&lt;90</v>
      </c>
      <c r="AL678" s="1" t="str">
        <f>VLOOKUP(C:C,[1]基础信息!B$1:D$65536,3,0)</f>
        <v>Jug</v>
      </c>
      <c r="AM678" s="1" t="str">
        <f>VLOOKUP(C:C,[1]基础信息!B$1:E$65536,4,0)</f>
        <v>Marella XL</v>
      </c>
      <c r="AN678" s="1" t="str">
        <f>VLOOKUP(C:C,[1]基础信息!B$1:F$65536,5,0)</f>
        <v>Blue</v>
      </c>
    </row>
    <row r="679" spans="1:40">
      <c r="A679" s="1" t="s">
        <v>41</v>
      </c>
      <c r="B679" s="1" t="s">
        <v>42</v>
      </c>
      <c r="C679" s="1" t="s">
        <v>104</v>
      </c>
      <c r="D679" s="1" t="s">
        <v>105</v>
      </c>
      <c r="E679" s="1" t="s">
        <v>104</v>
      </c>
      <c r="F679" s="1" t="s">
        <v>1602</v>
      </c>
      <c r="G679" s="1" t="s">
        <v>1685</v>
      </c>
      <c r="H679" s="1" t="s">
        <v>1686</v>
      </c>
      <c r="I679" s="1" t="s">
        <v>49</v>
      </c>
      <c r="J679" s="1" t="s">
        <v>48</v>
      </c>
      <c r="K679" s="1">
        <v>96</v>
      </c>
      <c r="L679" s="1">
        <v>0</v>
      </c>
      <c r="M679" s="1">
        <v>0</v>
      </c>
      <c r="N679" s="1">
        <v>96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 t="s">
        <v>49</v>
      </c>
      <c r="AA679" s="1" t="s">
        <v>49</v>
      </c>
      <c r="AB679" s="1" t="s">
        <v>49</v>
      </c>
      <c r="AC679" s="1" t="s">
        <v>128</v>
      </c>
      <c r="AD679" s="1" t="s">
        <v>129</v>
      </c>
      <c r="AE679" s="1" t="s">
        <v>128</v>
      </c>
      <c r="AF679" s="1" t="s">
        <v>1605</v>
      </c>
      <c r="AG679" s="1" t="s">
        <v>53</v>
      </c>
      <c r="AH679" s="1" t="s">
        <v>49</v>
      </c>
      <c r="AI679" s="1" t="s">
        <v>54</v>
      </c>
      <c r="AJ679" s="1">
        <v>1</v>
      </c>
      <c r="AK679" s="1" t="str">
        <f t="shared" si="10"/>
        <v xml:space="preserve"> =&lt;90</v>
      </c>
      <c r="AL679" s="1" t="str">
        <f>VLOOKUP(C:C,[1]基础信息!B$1:D$65536,3,0)</f>
        <v>Jug</v>
      </c>
      <c r="AM679" s="1" t="str">
        <f>VLOOKUP(C:C,[1]基础信息!B$1:E$65536,4,0)</f>
        <v>Marella XL</v>
      </c>
      <c r="AN679" s="1" t="str">
        <f>VLOOKUP(C:C,[1]基础信息!B$1:F$65536,5,0)</f>
        <v>Blue</v>
      </c>
    </row>
    <row r="680" spans="1:40">
      <c r="A680" s="1" t="s">
        <v>41</v>
      </c>
      <c r="B680" s="1" t="s">
        <v>42</v>
      </c>
      <c r="C680" s="1" t="s">
        <v>56</v>
      </c>
      <c r="D680" s="1" t="s">
        <v>57</v>
      </c>
      <c r="E680" s="1" t="s">
        <v>45</v>
      </c>
      <c r="F680" s="1" t="s">
        <v>58</v>
      </c>
      <c r="G680" s="1" t="s">
        <v>1687</v>
      </c>
      <c r="H680" s="1" t="s">
        <v>1688</v>
      </c>
      <c r="I680" s="1" t="s">
        <v>49</v>
      </c>
      <c r="J680" s="1" t="s">
        <v>48</v>
      </c>
      <c r="K680" s="1">
        <v>72</v>
      </c>
      <c r="L680" s="1">
        <v>0</v>
      </c>
      <c r="M680" s="1">
        <v>0</v>
      </c>
      <c r="N680" s="1">
        <v>72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 t="s">
        <v>49</v>
      </c>
      <c r="AA680" s="1" t="s">
        <v>49</v>
      </c>
      <c r="AB680" s="1" t="s">
        <v>49</v>
      </c>
      <c r="AC680" s="1" t="s">
        <v>61</v>
      </c>
      <c r="AD680" s="1" t="s">
        <v>62</v>
      </c>
      <c r="AE680" s="1" t="s">
        <v>61</v>
      </c>
      <c r="AF680" s="1" t="s">
        <v>63</v>
      </c>
      <c r="AG680" s="1" t="s">
        <v>53</v>
      </c>
      <c r="AH680" s="1" t="s">
        <v>49</v>
      </c>
      <c r="AI680" s="1" t="s">
        <v>54</v>
      </c>
      <c r="AJ680" s="1">
        <v>1</v>
      </c>
      <c r="AK680" s="1" t="str">
        <f t="shared" si="10"/>
        <v xml:space="preserve"> =&lt;90</v>
      </c>
      <c r="AL680" s="1" t="str">
        <f>VLOOKUP(C:C,[1]基础信息!B$1:D$65536,3,0)</f>
        <v>Jug</v>
      </c>
      <c r="AM680" s="1" t="str">
        <f>VLOOKUP(C:C,[1]基础信息!B$1:E$65536,4,0)</f>
        <v>Marella XL</v>
      </c>
      <c r="AN680" s="1" t="str">
        <f>VLOOKUP(C:C,[1]基础信息!B$1:F$65536,5,0)</f>
        <v>Blue</v>
      </c>
    </row>
    <row r="681" spans="1:40">
      <c r="A681" s="1" t="s">
        <v>41</v>
      </c>
      <c r="B681" s="1" t="s">
        <v>42</v>
      </c>
      <c r="C681" s="1" t="s">
        <v>208</v>
      </c>
      <c r="D681" s="1" t="s">
        <v>209</v>
      </c>
      <c r="E681" s="1" t="s">
        <v>208</v>
      </c>
      <c r="F681" s="1" t="s">
        <v>373</v>
      </c>
      <c r="G681" s="1" t="s">
        <v>1689</v>
      </c>
      <c r="H681" s="1" t="s">
        <v>1690</v>
      </c>
      <c r="I681" s="1" t="s">
        <v>49</v>
      </c>
      <c r="J681" s="1" t="s">
        <v>48</v>
      </c>
      <c r="K681" s="1">
        <v>80</v>
      </c>
      <c r="L681" s="1">
        <v>0</v>
      </c>
      <c r="M681" s="1">
        <v>0</v>
      </c>
      <c r="N681" s="1">
        <v>80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 t="s">
        <v>49</v>
      </c>
      <c r="AA681" s="1" t="s">
        <v>49</v>
      </c>
      <c r="AB681" s="1" t="s">
        <v>49</v>
      </c>
      <c r="AC681" s="1" t="s">
        <v>376</v>
      </c>
      <c r="AD681" s="1" t="s">
        <v>377</v>
      </c>
      <c r="AE681" s="1" t="s">
        <v>376</v>
      </c>
      <c r="AF681" s="1" t="s">
        <v>378</v>
      </c>
      <c r="AG681" s="1" t="s">
        <v>53</v>
      </c>
      <c r="AH681" s="1" t="s">
        <v>49</v>
      </c>
      <c r="AI681" s="1" t="s">
        <v>54</v>
      </c>
      <c r="AJ681" s="1">
        <v>1</v>
      </c>
      <c r="AK681" s="1" t="str">
        <f t="shared" si="10"/>
        <v xml:space="preserve"> =&lt;90</v>
      </c>
      <c r="AL681" s="1" t="str">
        <f>VLOOKUP(C:C,[1]基础信息!B$1:D$65536,3,0)</f>
        <v>Jug</v>
      </c>
      <c r="AM681" s="1" t="str">
        <f>VLOOKUP(C:C,[1]基础信息!B$1:E$65536,4,0)</f>
        <v>MXpl</v>
      </c>
      <c r="AN681" s="1" t="str">
        <f>VLOOKUP(C:C,[1]基础信息!B$1:F$65536,5,0)</f>
        <v>grey</v>
      </c>
    </row>
    <row r="682" spans="1:40">
      <c r="A682" s="1" t="s">
        <v>41</v>
      </c>
      <c r="B682" s="1" t="s">
        <v>42</v>
      </c>
      <c r="C682" s="1" t="s">
        <v>104</v>
      </c>
      <c r="D682" s="1" t="s">
        <v>105</v>
      </c>
      <c r="E682" s="1" t="s">
        <v>104</v>
      </c>
      <c r="F682" s="1" t="s">
        <v>1602</v>
      </c>
      <c r="G682" s="1" t="s">
        <v>1691</v>
      </c>
      <c r="H682" s="1" t="s">
        <v>1692</v>
      </c>
      <c r="I682" s="1" t="s">
        <v>49</v>
      </c>
      <c r="J682" s="1" t="s">
        <v>48</v>
      </c>
      <c r="K682" s="1">
        <v>96</v>
      </c>
      <c r="L682" s="1">
        <v>0</v>
      </c>
      <c r="M682" s="1">
        <v>0</v>
      </c>
      <c r="N682" s="1">
        <v>96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 t="s">
        <v>49</v>
      </c>
      <c r="AA682" s="1" t="s">
        <v>49</v>
      </c>
      <c r="AB682" s="1" t="s">
        <v>49</v>
      </c>
      <c r="AC682" s="1" t="s">
        <v>128</v>
      </c>
      <c r="AD682" s="1" t="s">
        <v>129</v>
      </c>
      <c r="AE682" s="1" t="s">
        <v>128</v>
      </c>
      <c r="AF682" s="1" t="s">
        <v>1605</v>
      </c>
      <c r="AG682" s="1" t="s">
        <v>53</v>
      </c>
      <c r="AH682" s="1" t="s">
        <v>49</v>
      </c>
      <c r="AI682" s="1" t="s">
        <v>54</v>
      </c>
      <c r="AJ682" s="1">
        <v>1</v>
      </c>
      <c r="AK682" s="1" t="str">
        <f t="shared" si="10"/>
        <v xml:space="preserve"> =&lt;90</v>
      </c>
      <c r="AL682" s="1" t="str">
        <f>VLOOKUP(C:C,[1]基础信息!B$1:D$65536,3,0)</f>
        <v>Jug</v>
      </c>
      <c r="AM682" s="1" t="str">
        <f>VLOOKUP(C:C,[1]基础信息!B$1:E$65536,4,0)</f>
        <v>Marella XL</v>
      </c>
      <c r="AN682" s="1" t="str">
        <f>VLOOKUP(C:C,[1]基础信息!B$1:F$65536,5,0)</f>
        <v>Blue</v>
      </c>
    </row>
    <row r="683" spans="1:40">
      <c r="A683" s="1" t="s">
        <v>41</v>
      </c>
      <c r="B683" s="1" t="s">
        <v>42</v>
      </c>
      <c r="C683" s="1" t="s">
        <v>104</v>
      </c>
      <c r="D683" s="1" t="s">
        <v>105</v>
      </c>
      <c r="E683" s="1" t="s">
        <v>104</v>
      </c>
      <c r="F683" s="1" t="s">
        <v>1602</v>
      </c>
      <c r="G683" s="1" t="s">
        <v>1693</v>
      </c>
      <c r="H683" s="1" t="s">
        <v>1694</v>
      </c>
      <c r="I683" s="1" t="s">
        <v>49</v>
      </c>
      <c r="J683" s="1" t="s">
        <v>48</v>
      </c>
      <c r="K683" s="1">
        <v>96</v>
      </c>
      <c r="L683" s="1">
        <v>0</v>
      </c>
      <c r="M683" s="1">
        <v>0</v>
      </c>
      <c r="N683" s="1">
        <v>96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 t="s">
        <v>49</v>
      </c>
      <c r="AA683" s="1" t="s">
        <v>49</v>
      </c>
      <c r="AB683" s="1" t="s">
        <v>49</v>
      </c>
      <c r="AC683" s="1" t="s">
        <v>128</v>
      </c>
      <c r="AD683" s="1" t="s">
        <v>129</v>
      </c>
      <c r="AE683" s="1" t="s">
        <v>128</v>
      </c>
      <c r="AF683" s="1" t="s">
        <v>1605</v>
      </c>
      <c r="AG683" s="1" t="s">
        <v>53</v>
      </c>
      <c r="AH683" s="1" t="s">
        <v>49</v>
      </c>
      <c r="AI683" s="1" t="s">
        <v>54</v>
      </c>
      <c r="AJ683" s="1">
        <v>1</v>
      </c>
      <c r="AK683" s="1" t="str">
        <f t="shared" si="10"/>
        <v xml:space="preserve"> =&lt;90</v>
      </c>
      <c r="AL683" s="1" t="str">
        <f>VLOOKUP(C:C,[1]基础信息!B$1:D$65536,3,0)</f>
        <v>Jug</v>
      </c>
      <c r="AM683" s="1" t="str">
        <f>VLOOKUP(C:C,[1]基础信息!B$1:E$65536,4,0)</f>
        <v>Marella XL</v>
      </c>
      <c r="AN683" s="1" t="str">
        <f>VLOOKUP(C:C,[1]基础信息!B$1:F$65536,5,0)</f>
        <v>Blue</v>
      </c>
    </row>
    <row r="684" spans="1:40">
      <c r="A684" s="1" t="s">
        <v>41</v>
      </c>
      <c r="B684" s="1" t="s">
        <v>42</v>
      </c>
      <c r="C684" s="1" t="s">
        <v>104</v>
      </c>
      <c r="D684" s="1" t="s">
        <v>105</v>
      </c>
      <c r="E684" s="1" t="s">
        <v>104</v>
      </c>
      <c r="F684" s="1" t="s">
        <v>1602</v>
      </c>
      <c r="G684" s="1" t="s">
        <v>1695</v>
      </c>
      <c r="H684" s="1" t="s">
        <v>1696</v>
      </c>
      <c r="I684" s="1" t="s">
        <v>49</v>
      </c>
      <c r="J684" s="1" t="s">
        <v>48</v>
      </c>
      <c r="K684" s="1">
        <v>96</v>
      </c>
      <c r="L684" s="1">
        <v>0</v>
      </c>
      <c r="M684" s="1">
        <v>0</v>
      </c>
      <c r="N684" s="1">
        <v>96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 t="s">
        <v>49</v>
      </c>
      <c r="AA684" s="1" t="s">
        <v>49</v>
      </c>
      <c r="AB684" s="1" t="s">
        <v>49</v>
      </c>
      <c r="AC684" s="1" t="s">
        <v>128</v>
      </c>
      <c r="AD684" s="1" t="s">
        <v>129</v>
      </c>
      <c r="AE684" s="1" t="s">
        <v>128</v>
      </c>
      <c r="AF684" s="1" t="s">
        <v>1605</v>
      </c>
      <c r="AG684" s="1" t="s">
        <v>53</v>
      </c>
      <c r="AH684" s="1" t="s">
        <v>49</v>
      </c>
      <c r="AI684" s="1" t="s">
        <v>54</v>
      </c>
      <c r="AJ684" s="1">
        <v>1</v>
      </c>
      <c r="AK684" s="1" t="str">
        <f t="shared" si="10"/>
        <v xml:space="preserve"> =&lt;90</v>
      </c>
      <c r="AL684" s="1" t="str">
        <f>VLOOKUP(C:C,[1]基础信息!B$1:D$65536,3,0)</f>
        <v>Jug</v>
      </c>
      <c r="AM684" s="1" t="str">
        <f>VLOOKUP(C:C,[1]基础信息!B$1:E$65536,4,0)</f>
        <v>Marella XL</v>
      </c>
      <c r="AN684" s="1" t="str">
        <f>VLOOKUP(C:C,[1]基础信息!B$1:F$65536,5,0)</f>
        <v>Blue</v>
      </c>
    </row>
    <row r="685" spans="1:40">
      <c r="A685" s="1" t="s">
        <v>41</v>
      </c>
      <c r="B685" s="1" t="s">
        <v>42</v>
      </c>
      <c r="C685" s="1" t="s">
        <v>1116</v>
      </c>
      <c r="D685" s="1" t="s">
        <v>1117</v>
      </c>
      <c r="E685" s="1" t="s">
        <v>1116</v>
      </c>
      <c r="F685" s="1" t="s">
        <v>1118</v>
      </c>
      <c r="G685" s="1" t="s">
        <v>1697</v>
      </c>
      <c r="H685" s="1" t="s">
        <v>1698</v>
      </c>
      <c r="I685" s="1" t="s">
        <v>49</v>
      </c>
      <c r="J685" s="1" t="s">
        <v>48</v>
      </c>
      <c r="K685" s="1">
        <v>120</v>
      </c>
      <c r="L685" s="1">
        <v>0</v>
      </c>
      <c r="M685" s="1">
        <v>0</v>
      </c>
      <c r="N685" s="1">
        <v>120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 t="s">
        <v>49</v>
      </c>
      <c r="AA685" s="1" t="s">
        <v>49</v>
      </c>
      <c r="AB685" s="1" t="s">
        <v>49</v>
      </c>
      <c r="AC685" s="1" t="s">
        <v>1121</v>
      </c>
      <c r="AD685" s="1" t="s">
        <v>1122</v>
      </c>
      <c r="AE685" s="1" t="s">
        <v>1121</v>
      </c>
      <c r="AF685" s="1" t="s">
        <v>1123</v>
      </c>
      <c r="AG685" s="1" t="s">
        <v>53</v>
      </c>
      <c r="AH685" s="1" t="s">
        <v>49</v>
      </c>
      <c r="AI685" s="1" t="s">
        <v>54</v>
      </c>
      <c r="AJ685" s="1">
        <v>1</v>
      </c>
      <c r="AK685" s="1" t="str">
        <f t="shared" si="10"/>
        <v xml:space="preserve"> =&lt;90</v>
      </c>
      <c r="AL685" s="1" t="str">
        <f>VLOOKUP(C:C,[1]基础信息!B$1:D$65536,3,0)</f>
        <v>UTS</v>
      </c>
      <c r="AM685" s="1" t="str">
        <f>VLOOKUP(C:C,[1]基础信息!B$1:E$65536,4,0)</f>
        <v>MyPure Pro</v>
      </c>
      <c r="AN685" s="1" t="str">
        <f>VLOOKUP(C:C,[1]基础信息!B$1:F$65536,5,0)</f>
        <v>Refill</v>
      </c>
    </row>
    <row r="686" spans="1:40">
      <c r="A686" s="1" t="s">
        <v>41</v>
      </c>
      <c r="B686" s="1" t="s">
        <v>42</v>
      </c>
      <c r="C686" s="1" t="s">
        <v>104</v>
      </c>
      <c r="D686" s="1" t="s">
        <v>105</v>
      </c>
      <c r="E686" s="1" t="s">
        <v>104</v>
      </c>
      <c r="F686" s="1" t="s">
        <v>1602</v>
      </c>
      <c r="G686" s="1" t="s">
        <v>1699</v>
      </c>
      <c r="H686" s="1" t="s">
        <v>1700</v>
      </c>
      <c r="I686" s="1" t="s">
        <v>49</v>
      </c>
      <c r="J686" s="1" t="s">
        <v>48</v>
      </c>
      <c r="K686" s="1">
        <v>96</v>
      </c>
      <c r="L686" s="1">
        <v>0</v>
      </c>
      <c r="M686" s="1">
        <v>0</v>
      </c>
      <c r="N686" s="1">
        <v>96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 t="s">
        <v>49</v>
      </c>
      <c r="AA686" s="1" t="s">
        <v>49</v>
      </c>
      <c r="AB686" s="1" t="s">
        <v>49</v>
      </c>
      <c r="AC686" s="1" t="s">
        <v>128</v>
      </c>
      <c r="AD686" s="1" t="s">
        <v>129</v>
      </c>
      <c r="AE686" s="1" t="s">
        <v>128</v>
      </c>
      <c r="AF686" s="1" t="s">
        <v>1605</v>
      </c>
      <c r="AG686" s="1" t="s">
        <v>53</v>
      </c>
      <c r="AH686" s="1" t="s">
        <v>49</v>
      </c>
      <c r="AI686" s="1" t="s">
        <v>54</v>
      </c>
      <c r="AJ686" s="1">
        <v>1</v>
      </c>
      <c r="AK686" s="1" t="str">
        <f t="shared" si="10"/>
        <v xml:space="preserve"> =&lt;90</v>
      </c>
      <c r="AL686" s="1" t="str">
        <f>VLOOKUP(C:C,[1]基础信息!B$1:D$65536,3,0)</f>
        <v>Jug</v>
      </c>
      <c r="AM686" s="1" t="str">
        <f>VLOOKUP(C:C,[1]基础信息!B$1:E$65536,4,0)</f>
        <v>Marella XL</v>
      </c>
      <c r="AN686" s="1" t="str">
        <f>VLOOKUP(C:C,[1]基础信息!B$1:F$65536,5,0)</f>
        <v>Blue</v>
      </c>
    </row>
    <row r="687" spans="1:40">
      <c r="A687" s="1" t="s">
        <v>41</v>
      </c>
      <c r="B687" s="1" t="s">
        <v>42</v>
      </c>
      <c r="C687" s="1" t="s">
        <v>208</v>
      </c>
      <c r="D687" s="1" t="s">
        <v>209</v>
      </c>
      <c r="E687" s="1" t="s">
        <v>208</v>
      </c>
      <c r="F687" s="1" t="s">
        <v>1701</v>
      </c>
      <c r="G687" s="1" t="s">
        <v>1702</v>
      </c>
      <c r="H687" s="1" t="s">
        <v>1703</v>
      </c>
      <c r="I687" s="1" t="s">
        <v>49</v>
      </c>
      <c r="J687" s="1" t="s">
        <v>48</v>
      </c>
      <c r="K687" s="1">
        <v>52</v>
      </c>
      <c r="L687" s="1">
        <v>0</v>
      </c>
      <c r="M687" s="1">
        <v>0</v>
      </c>
      <c r="N687" s="1">
        <v>52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 t="s">
        <v>49</v>
      </c>
      <c r="AA687" s="1" t="s">
        <v>49</v>
      </c>
      <c r="AB687" s="1" t="s">
        <v>49</v>
      </c>
      <c r="AC687" s="1" t="s">
        <v>376</v>
      </c>
      <c r="AD687" s="1" t="s">
        <v>377</v>
      </c>
      <c r="AE687" s="1" t="s">
        <v>376</v>
      </c>
      <c r="AF687" s="1" t="s">
        <v>216</v>
      </c>
      <c r="AG687" s="1" t="s">
        <v>53</v>
      </c>
      <c r="AH687" s="1" t="s">
        <v>49</v>
      </c>
      <c r="AI687" s="1" t="s">
        <v>54</v>
      </c>
      <c r="AJ687" s="1">
        <v>1</v>
      </c>
      <c r="AK687" s="1" t="str">
        <f t="shared" si="10"/>
        <v xml:space="preserve"> =&lt;90</v>
      </c>
      <c r="AL687" s="1" t="str">
        <f>VLOOKUP(C:C,[1]基础信息!B$1:D$65536,3,0)</f>
        <v>Jug</v>
      </c>
      <c r="AM687" s="1" t="str">
        <f>VLOOKUP(C:C,[1]基础信息!B$1:E$65536,4,0)</f>
        <v>MXpl</v>
      </c>
      <c r="AN687" s="1" t="str">
        <f>VLOOKUP(C:C,[1]基础信息!B$1:F$65536,5,0)</f>
        <v>grey</v>
      </c>
    </row>
    <row r="688" spans="1:40">
      <c r="A688" s="1" t="s">
        <v>41</v>
      </c>
      <c r="B688" s="1" t="s">
        <v>42</v>
      </c>
      <c r="C688" s="1" t="s">
        <v>104</v>
      </c>
      <c r="D688" s="1" t="s">
        <v>105</v>
      </c>
      <c r="E688" s="1" t="s">
        <v>104</v>
      </c>
      <c r="F688" s="1" t="s">
        <v>1602</v>
      </c>
      <c r="G688" s="1" t="s">
        <v>1704</v>
      </c>
      <c r="H688" s="1" t="s">
        <v>1705</v>
      </c>
      <c r="I688" s="1" t="s">
        <v>49</v>
      </c>
      <c r="J688" s="1" t="s">
        <v>48</v>
      </c>
      <c r="K688" s="1">
        <v>96</v>
      </c>
      <c r="L688" s="1">
        <v>0</v>
      </c>
      <c r="M688" s="1">
        <v>0</v>
      </c>
      <c r="N688" s="1">
        <v>96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 t="s">
        <v>49</v>
      </c>
      <c r="AA688" s="1" t="s">
        <v>49</v>
      </c>
      <c r="AB688" s="1" t="s">
        <v>49</v>
      </c>
      <c r="AC688" s="1" t="s">
        <v>128</v>
      </c>
      <c r="AD688" s="1" t="s">
        <v>129</v>
      </c>
      <c r="AE688" s="1" t="s">
        <v>128</v>
      </c>
      <c r="AF688" s="1" t="s">
        <v>1605</v>
      </c>
      <c r="AG688" s="1" t="s">
        <v>53</v>
      </c>
      <c r="AH688" s="1" t="s">
        <v>49</v>
      </c>
      <c r="AI688" s="1" t="s">
        <v>54</v>
      </c>
      <c r="AJ688" s="1">
        <v>1</v>
      </c>
      <c r="AK688" s="1" t="str">
        <f t="shared" si="10"/>
        <v xml:space="preserve"> =&lt;90</v>
      </c>
      <c r="AL688" s="1" t="str">
        <f>VLOOKUP(C:C,[1]基础信息!B$1:D$65536,3,0)</f>
        <v>Jug</v>
      </c>
      <c r="AM688" s="1" t="str">
        <f>VLOOKUP(C:C,[1]基础信息!B$1:E$65536,4,0)</f>
        <v>Marella XL</v>
      </c>
      <c r="AN688" s="1" t="str">
        <f>VLOOKUP(C:C,[1]基础信息!B$1:F$65536,5,0)</f>
        <v>Blue</v>
      </c>
    </row>
    <row r="689" spans="1:40">
      <c r="A689" s="1" t="s">
        <v>41</v>
      </c>
      <c r="B689" s="1" t="s">
        <v>42</v>
      </c>
      <c r="C689" s="1" t="s">
        <v>104</v>
      </c>
      <c r="D689" s="1" t="s">
        <v>105</v>
      </c>
      <c r="E689" s="1" t="s">
        <v>104</v>
      </c>
      <c r="F689" s="1" t="s">
        <v>1602</v>
      </c>
      <c r="G689" s="1" t="s">
        <v>1706</v>
      </c>
      <c r="H689" s="1" t="s">
        <v>1707</v>
      </c>
      <c r="I689" s="1" t="s">
        <v>49</v>
      </c>
      <c r="J689" s="1" t="s">
        <v>48</v>
      </c>
      <c r="K689" s="1">
        <v>96</v>
      </c>
      <c r="L689" s="1">
        <v>0</v>
      </c>
      <c r="M689" s="1">
        <v>0</v>
      </c>
      <c r="N689" s="1">
        <v>96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 t="s">
        <v>49</v>
      </c>
      <c r="AA689" s="1" t="s">
        <v>49</v>
      </c>
      <c r="AB689" s="1" t="s">
        <v>49</v>
      </c>
      <c r="AC689" s="1" t="s">
        <v>128</v>
      </c>
      <c r="AD689" s="1" t="s">
        <v>129</v>
      </c>
      <c r="AE689" s="1" t="s">
        <v>128</v>
      </c>
      <c r="AF689" s="1" t="s">
        <v>1605</v>
      </c>
      <c r="AG689" s="1" t="s">
        <v>53</v>
      </c>
      <c r="AH689" s="1" t="s">
        <v>49</v>
      </c>
      <c r="AI689" s="1" t="s">
        <v>54</v>
      </c>
      <c r="AJ689" s="1">
        <v>1</v>
      </c>
      <c r="AK689" s="1" t="str">
        <f t="shared" si="10"/>
        <v xml:space="preserve"> =&lt;90</v>
      </c>
      <c r="AL689" s="1" t="str">
        <f>VLOOKUP(C:C,[1]基础信息!B$1:D$65536,3,0)</f>
        <v>Jug</v>
      </c>
      <c r="AM689" s="1" t="str">
        <f>VLOOKUP(C:C,[1]基础信息!B$1:E$65536,4,0)</f>
        <v>Marella XL</v>
      </c>
      <c r="AN689" s="1" t="str">
        <f>VLOOKUP(C:C,[1]基础信息!B$1:F$65536,5,0)</f>
        <v>Blue</v>
      </c>
    </row>
    <row r="690" spans="1:40">
      <c r="A690" s="1" t="s">
        <v>41</v>
      </c>
      <c r="B690" s="1" t="s">
        <v>42</v>
      </c>
      <c r="C690" s="1" t="s">
        <v>83</v>
      </c>
      <c r="D690" s="1" t="s">
        <v>84</v>
      </c>
      <c r="E690" s="1" t="s">
        <v>45</v>
      </c>
      <c r="F690" s="1" t="s">
        <v>1419</v>
      </c>
      <c r="G690" s="1" t="s">
        <v>1708</v>
      </c>
      <c r="H690" s="1" t="s">
        <v>1709</v>
      </c>
      <c r="I690" s="1" t="s">
        <v>49</v>
      </c>
      <c r="J690" s="1" t="s">
        <v>48</v>
      </c>
      <c r="K690" s="1">
        <v>96</v>
      </c>
      <c r="L690" s="1">
        <v>0</v>
      </c>
      <c r="M690" s="1">
        <v>0</v>
      </c>
      <c r="N690" s="1">
        <v>96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 t="s">
        <v>49</v>
      </c>
      <c r="AA690" s="1" t="s">
        <v>49</v>
      </c>
      <c r="AB690" s="1" t="s">
        <v>49</v>
      </c>
      <c r="AC690" s="1" t="s">
        <v>213</v>
      </c>
      <c r="AD690" s="1" t="s">
        <v>214</v>
      </c>
      <c r="AE690" s="1" t="s">
        <v>215</v>
      </c>
      <c r="AF690" s="1" t="s">
        <v>1422</v>
      </c>
      <c r="AG690" s="1" t="s">
        <v>53</v>
      </c>
      <c r="AH690" s="1" t="s">
        <v>49</v>
      </c>
      <c r="AI690" s="1" t="s">
        <v>54</v>
      </c>
      <c r="AJ690" s="1">
        <v>1</v>
      </c>
      <c r="AK690" s="1" t="str">
        <f t="shared" si="10"/>
        <v xml:space="preserve"> =&lt;90</v>
      </c>
      <c r="AL690" s="1" t="str">
        <f>VLOOKUP(C:C,[1]基础信息!B$1:D$65536,3,0)</f>
        <v>Jug</v>
      </c>
      <c r="AM690" s="1" t="str">
        <f>VLOOKUP(C:C,[1]基础信息!B$1:E$65536,4,0)</f>
        <v>Mxplus</v>
      </c>
      <c r="AN690" s="1" t="str">
        <f>VLOOKUP(C:C,[1]基础信息!B$1:F$65536,5,0)</f>
        <v>Blue</v>
      </c>
    </row>
    <row r="691" spans="1:40">
      <c r="A691" s="1" t="s">
        <v>41</v>
      </c>
      <c r="B691" s="1" t="s">
        <v>42</v>
      </c>
      <c r="C691" s="1" t="s">
        <v>1710</v>
      </c>
      <c r="D691" s="1" t="s">
        <v>1711</v>
      </c>
      <c r="E691" s="1" t="s">
        <v>45</v>
      </c>
      <c r="F691" s="1" t="s">
        <v>1712</v>
      </c>
      <c r="G691" s="1" t="s">
        <v>1713</v>
      </c>
      <c r="H691" s="1" t="s">
        <v>1714</v>
      </c>
      <c r="I691" s="1" t="s">
        <v>49</v>
      </c>
      <c r="J691" s="1" t="s">
        <v>48</v>
      </c>
      <c r="K691" s="1">
        <v>48</v>
      </c>
      <c r="L691" s="1">
        <v>0</v>
      </c>
      <c r="M691" s="1">
        <v>0</v>
      </c>
      <c r="N691" s="1">
        <v>48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 t="s">
        <v>49</v>
      </c>
      <c r="AA691" s="1" t="s">
        <v>49</v>
      </c>
      <c r="AB691" s="1" t="s">
        <v>49</v>
      </c>
      <c r="AC691" s="1" t="s">
        <v>1715</v>
      </c>
      <c r="AD691" s="1" t="s">
        <v>1716</v>
      </c>
      <c r="AE691" s="1" t="s">
        <v>1715</v>
      </c>
      <c r="AF691" s="1" t="s">
        <v>1717</v>
      </c>
      <c r="AG691" s="1" t="s">
        <v>53</v>
      </c>
      <c r="AH691" s="1" t="s">
        <v>49</v>
      </c>
      <c r="AI691" s="1" t="s">
        <v>54</v>
      </c>
      <c r="AJ691" s="1">
        <v>1</v>
      </c>
      <c r="AK691" s="1" t="str">
        <f t="shared" si="10"/>
        <v xml:space="preserve"> =&lt;90</v>
      </c>
      <c r="AL691" s="1" t="str">
        <f>VLOOKUP(C:C,[1]基础信息!B$1:D$65536,3,0)</f>
        <v>Jug</v>
      </c>
      <c r="AM691" s="1" t="str">
        <f>VLOOKUP(C:C,[1]基础信息!B$1:E$65536,4,0)</f>
        <v>Kalea XL ME4W</v>
      </c>
      <c r="AN691" s="1" t="str">
        <f>VLOOKUP(C:C,[1]基础信息!B$1:F$65536,5,0)</f>
        <v>grey</v>
      </c>
    </row>
    <row r="692" spans="1:40">
      <c r="A692" s="1" t="s">
        <v>41</v>
      </c>
      <c r="B692" s="1" t="s">
        <v>42</v>
      </c>
      <c r="C692" s="1" t="s">
        <v>1710</v>
      </c>
      <c r="D692" s="1" t="s">
        <v>1711</v>
      </c>
      <c r="E692" s="1" t="s">
        <v>45</v>
      </c>
      <c r="F692" s="1" t="s">
        <v>1712</v>
      </c>
      <c r="G692" s="1" t="s">
        <v>1718</v>
      </c>
      <c r="H692" s="1" t="s">
        <v>1719</v>
      </c>
      <c r="I692" s="1" t="s">
        <v>49</v>
      </c>
      <c r="J692" s="1" t="s">
        <v>48</v>
      </c>
      <c r="K692" s="1">
        <v>60</v>
      </c>
      <c r="L692" s="1">
        <v>0</v>
      </c>
      <c r="M692" s="1">
        <v>0</v>
      </c>
      <c r="N692" s="1">
        <v>60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 t="s">
        <v>49</v>
      </c>
      <c r="AA692" s="1" t="s">
        <v>49</v>
      </c>
      <c r="AB692" s="1" t="s">
        <v>49</v>
      </c>
      <c r="AC692" s="1" t="s">
        <v>1715</v>
      </c>
      <c r="AD692" s="1" t="s">
        <v>1716</v>
      </c>
      <c r="AE692" s="1" t="s">
        <v>1715</v>
      </c>
      <c r="AF692" s="1" t="s">
        <v>1717</v>
      </c>
      <c r="AG692" s="1" t="s">
        <v>53</v>
      </c>
      <c r="AH692" s="1" t="s">
        <v>49</v>
      </c>
      <c r="AI692" s="1" t="s">
        <v>54</v>
      </c>
      <c r="AJ692" s="1">
        <v>1</v>
      </c>
      <c r="AK692" s="1" t="str">
        <f t="shared" si="10"/>
        <v xml:space="preserve"> =&lt;90</v>
      </c>
      <c r="AL692" s="1" t="str">
        <f>VLOOKUP(C:C,[1]基础信息!B$1:D$65536,3,0)</f>
        <v>Jug</v>
      </c>
      <c r="AM692" s="1" t="str">
        <f>VLOOKUP(C:C,[1]基础信息!B$1:E$65536,4,0)</f>
        <v>Kalea XL ME4W</v>
      </c>
      <c r="AN692" s="1" t="str">
        <f>VLOOKUP(C:C,[1]基础信息!B$1:F$65536,5,0)</f>
        <v>grey</v>
      </c>
    </row>
    <row r="693" spans="1:40">
      <c r="A693" s="1" t="s">
        <v>41</v>
      </c>
      <c r="B693" s="1" t="s">
        <v>42</v>
      </c>
      <c r="C693" s="1" t="s">
        <v>554</v>
      </c>
      <c r="D693" s="1" t="s">
        <v>555</v>
      </c>
      <c r="E693" s="1" t="s">
        <v>45</v>
      </c>
      <c r="F693" s="1" t="s">
        <v>935</v>
      </c>
      <c r="G693" s="1" t="s">
        <v>1720</v>
      </c>
      <c r="H693" s="1" t="s">
        <v>1721</v>
      </c>
      <c r="I693" s="1" t="s">
        <v>49</v>
      </c>
      <c r="J693" s="1" t="s">
        <v>48</v>
      </c>
      <c r="K693" s="1">
        <v>70</v>
      </c>
      <c r="L693" s="1">
        <v>0</v>
      </c>
      <c r="M693" s="1">
        <v>0</v>
      </c>
      <c r="N693" s="1">
        <v>70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 t="s">
        <v>49</v>
      </c>
      <c r="AA693" s="1" t="s">
        <v>49</v>
      </c>
      <c r="AB693" s="1" t="s">
        <v>49</v>
      </c>
      <c r="AC693" s="1" t="s">
        <v>938</v>
      </c>
      <c r="AD693" s="1" t="s">
        <v>939</v>
      </c>
      <c r="AE693" s="1" t="s">
        <v>938</v>
      </c>
      <c r="AF693" s="1" t="s">
        <v>940</v>
      </c>
      <c r="AG693" s="1" t="s">
        <v>53</v>
      </c>
      <c r="AH693" s="1" t="s">
        <v>49</v>
      </c>
      <c r="AI693" s="1" t="s">
        <v>54</v>
      </c>
      <c r="AJ693" s="1">
        <v>1</v>
      </c>
      <c r="AK693" s="1" t="str">
        <f t="shared" si="10"/>
        <v xml:space="preserve"> =&lt;90</v>
      </c>
      <c r="AL693" s="1" t="str">
        <f>VLOOKUP(C:C,[1]基础信息!B$1:D$65536,3,0)</f>
        <v>Jug</v>
      </c>
      <c r="AM693" s="1" t="str">
        <f>VLOOKUP(C:C,[1]基础信息!B$1:E$65536,4,0)</f>
        <v>Green Pack</v>
      </c>
      <c r="AN693" s="1" t="str">
        <f>VLOOKUP(C:C,[1]基础信息!B$1:F$65536,5,0)</f>
        <v>Blue</v>
      </c>
    </row>
    <row r="694" spans="1:40">
      <c r="A694" s="1" t="s">
        <v>41</v>
      </c>
      <c r="B694" s="1" t="s">
        <v>42</v>
      </c>
      <c r="C694" s="1" t="s">
        <v>554</v>
      </c>
      <c r="D694" s="1" t="s">
        <v>555</v>
      </c>
      <c r="E694" s="1" t="s">
        <v>45</v>
      </c>
      <c r="F694" s="1" t="s">
        <v>935</v>
      </c>
      <c r="G694" s="1" t="s">
        <v>1722</v>
      </c>
      <c r="H694" s="1" t="s">
        <v>1723</v>
      </c>
      <c r="I694" s="1" t="s">
        <v>49</v>
      </c>
      <c r="J694" s="1" t="s">
        <v>48</v>
      </c>
      <c r="K694" s="1">
        <v>70</v>
      </c>
      <c r="L694" s="1">
        <v>0</v>
      </c>
      <c r="M694" s="1">
        <v>0</v>
      </c>
      <c r="N694" s="1">
        <v>70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 t="s">
        <v>49</v>
      </c>
      <c r="AA694" s="1" t="s">
        <v>49</v>
      </c>
      <c r="AB694" s="1" t="s">
        <v>49</v>
      </c>
      <c r="AC694" s="1" t="s">
        <v>938</v>
      </c>
      <c r="AD694" s="1" t="s">
        <v>939</v>
      </c>
      <c r="AE694" s="1" t="s">
        <v>938</v>
      </c>
      <c r="AF694" s="1" t="s">
        <v>940</v>
      </c>
      <c r="AG694" s="1" t="s">
        <v>53</v>
      </c>
      <c r="AH694" s="1" t="s">
        <v>49</v>
      </c>
      <c r="AI694" s="1" t="s">
        <v>54</v>
      </c>
      <c r="AJ694" s="1">
        <v>1</v>
      </c>
      <c r="AK694" s="1" t="str">
        <f t="shared" si="10"/>
        <v xml:space="preserve"> =&lt;90</v>
      </c>
      <c r="AL694" s="1" t="str">
        <f>VLOOKUP(C:C,[1]基础信息!B$1:D$65536,3,0)</f>
        <v>Jug</v>
      </c>
      <c r="AM694" s="1" t="str">
        <f>VLOOKUP(C:C,[1]基础信息!B$1:E$65536,4,0)</f>
        <v>Green Pack</v>
      </c>
      <c r="AN694" s="1" t="str">
        <f>VLOOKUP(C:C,[1]基础信息!B$1:F$65536,5,0)</f>
        <v>Blue</v>
      </c>
    </row>
    <row r="695" spans="1:40">
      <c r="A695" s="1" t="s">
        <v>41</v>
      </c>
      <c r="B695" s="1" t="s">
        <v>42</v>
      </c>
      <c r="C695" s="1" t="s">
        <v>554</v>
      </c>
      <c r="D695" s="1" t="s">
        <v>555</v>
      </c>
      <c r="E695" s="1" t="s">
        <v>45</v>
      </c>
      <c r="F695" s="1" t="s">
        <v>935</v>
      </c>
      <c r="G695" s="1" t="s">
        <v>1724</v>
      </c>
      <c r="H695" s="1" t="s">
        <v>1725</v>
      </c>
      <c r="I695" s="1" t="s">
        <v>49</v>
      </c>
      <c r="J695" s="1" t="s">
        <v>48</v>
      </c>
      <c r="K695" s="1">
        <v>70</v>
      </c>
      <c r="L695" s="1">
        <v>0</v>
      </c>
      <c r="M695" s="1">
        <v>0</v>
      </c>
      <c r="N695" s="1">
        <v>70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 t="s">
        <v>49</v>
      </c>
      <c r="AA695" s="1" t="s">
        <v>49</v>
      </c>
      <c r="AB695" s="1" t="s">
        <v>49</v>
      </c>
      <c r="AC695" s="1" t="s">
        <v>938</v>
      </c>
      <c r="AD695" s="1" t="s">
        <v>939</v>
      </c>
      <c r="AE695" s="1" t="s">
        <v>938</v>
      </c>
      <c r="AF695" s="1" t="s">
        <v>940</v>
      </c>
      <c r="AG695" s="1" t="s">
        <v>53</v>
      </c>
      <c r="AH695" s="1" t="s">
        <v>49</v>
      </c>
      <c r="AI695" s="1" t="s">
        <v>54</v>
      </c>
      <c r="AJ695" s="1">
        <v>1</v>
      </c>
      <c r="AK695" s="1" t="str">
        <f t="shared" si="10"/>
        <v xml:space="preserve"> =&lt;90</v>
      </c>
      <c r="AL695" s="1" t="str">
        <f>VLOOKUP(C:C,[1]基础信息!B$1:D$65536,3,0)</f>
        <v>Jug</v>
      </c>
      <c r="AM695" s="1" t="str">
        <f>VLOOKUP(C:C,[1]基础信息!B$1:E$65536,4,0)</f>
        <v>Green Pack</v>
      </c>
      <c r="AN695" s="1" t="str">
        <f>VLOOKUP(C:C,[1]基础信息!B$1:F$65536,5,0)</f>
        <v>Blue</v>
      </c>
    </row>
    <row r="696" spans="1:40">
      <c r="A696" s="1" t="s">
        <v>41</v>
      </c>
      <c r="B696" s="1" t="s">
        <v>42</v>
      </c>
      <c r="C696" s="1" t="s">
        <v>301</v>
      </c>
      <c r="D696" s="1" t="s">
        <v>302</v>
      </c>
      <c r="E696" s="1" t="s">
        <v>45</v>
      </c>
      <c r="F696" s="1" t="s">
        <v>1405</v>
      </c>
      <c r="G696" s="1" t="s">
        <v>1726</v>
      </c>
      <c r="H696" s="1" t="s">
        <v>1727</v>
      </c>
      <c r="I696" s="1" t="s">
        <v>49</v>
      </c>
      <c r="J696" s="1" t="s">
        <v>48</v>
      </c>
      <c r="K696" s="1">
        <v>96</v>
      </c>
      <c r="L696" s="1">
        <v>0</v>
      </c>
      <c r="M696" s="1">
        <v>0</v>
      </c>
      <c r="N696" s="1">
        <v>96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 t="s">
        <v>49</v>
      </c>
      <c r="AA696" s="1" t="s">
        <v>49</v>
      </c>
      <c r="AB696" s="1" t="s">
        <v>49</v>
      </c>
      <c r="AC696" s="1" t="s">
        <v>1408</v>
      </c>
      <c r="AD696" s="1" t="s">
        <v>1409</v>
      </c>
      <c r="AE696" s="1" t="s">
        <v>1408</v>
      </c>
      <c r="AF696" s="1" t="s">
        <v>1410</v>
      </c>
      <c r="AG696" s="1" t="s">
        <v>53</v>
      </c>
      <c r="AH696" s="1" t="s">
        <v>49</v>
      </c>
      <c r="AI696" s="1" t="s">
        <v>54</v>
      </c>
      <c r="AJ696" s="1">
        <v>1</v>
      </c>
      <c r="AK696" s="1" t="str">
        <f t="shared" si="10"/>
        <v xml:space="preserve"> =&lt;90</v>
      </c>
      <c r="AL696" s="1" t="str">
        <f>VLOOKUP(C:C,[1]基础信息!B$1:D$65536,3,0)</f>
        <v>Jug</v>
      </c>
      <c r="AM696" s="1" t="str">
        <f>VLOOKUP(C:C,[1]基础信息!B$1:E$65536,4,0)</f>
        <v>Aluna</v>
      </c>
      <c r="AN696" s="1" t="str">
        <f>VLOOKUP(C:C,[1]基础信息!B$1:F$65536,5,0)</f>
        <v>Blue</v>
      </c>
    </row>
    <row r="697" spans="1:40">
      <c r="A697" s="1" t="s">
        <v>41</v>
      </c>
      <c r="B697" s="1" t="s">
        <v>42</v>
      </c>
      <c r="C697" s="1" t="s">
        <v>554</v>
      </c>
      <c r="D697" s="1" t="s">
        <v>555</v>
      </c>
      <c r="E697" s="1" t="s">
        <v>45</v>
      </c>
      <c r="F697" s="1" t="s">
        <v>935</v>
      </c>
      <c r="G697" s="1" t="s">
        <v>1728</v>
      </c>
      <c r="H697" s="1" t="s">
        <v>1729</v>
      </c>
      <c r="I697" s="1" t="s">
        <v>49</v>
      </c>
      <c r="J697" s="1" t="s">
        <v>48</v>
      </c>
      <c r="K697" s="1">
        <v>70</v>
      </c>
      <c r="L697" s="1">
        <v>0</v>
      </c>
      <c r="M697" s="1">
        <v>0</v>
      </c>
      <c r="N697" s="1">
        <v>70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 t="s">
        <v>49</v>
      </c>
      <c r="AA697" s="1" t="s">
        <v>49</v>
      </c>
      <c r="AB697" s="1" t="s">
        <v>49</v>
      </c>
      <c r="AC697" s="1" t="s">
        <v>938</v>
      </c>
      <c r="AD697" s="1" t="s">
        <v>939</v>
      </c>
      <c r="AE697" s="1" t="s">
        <v>938</v>
      </c>
      <c r="AF697" s="1" t="s">
        <v>940</v>
      </c>
      <c r="AG697" s="1" t="s">
        <v>53</v>
      </c>
      <c r="AH697" s="1" t="s">
        <v>49</v>
      </c>
      <c r="AI697" s="1" t="s">
        <v>54</v>
      </c>
      <c r="AJ697" s="1">
        <v>1</v>
      </c>
      <c r="AK697" s="1" t="str">
        <f t="shared" si="10"/>
        <v xml:space="preserve"> =&lt;90</v>
      </c>
      <c r="AL697" s="1" t="str">
        <f>VLOOKUP(C:C,[1]基础信息!B$1:D$65536,3,0)</f>
        <v>Jug</v>
      </c>
      <c r="AM697" s="1" t="str">
        <f>VLOOKUP(C:C,[1]基础信息!B$1:E$65536,4,0)</f>
        <v>Green Pack</v>
      </c>
      <c r="AN697" s="1" t="str">
        <f>VLOOKUP(C:C,[1]基础信息!B$1:F$65536,5,0)</f>
        <v>Blue</v>
      </c>
    </row>
    <row r="698" spans="1:40">
      <c r="A698" s="1" t="s">
        <v>41</v>
      </c>
      <c r="B698" s="1" t="s">
        <v>42</v>
      </c>
      <c r="C698" s="1" t="s">
        <v>554</v>
      </c>
      <c r="D698" s="1" t="s">
        <v>555</v>
      </c>
      <c r="E698" s="1" t="s">
        <v>45</v>
      </c>
      <c r="F698" s="1" t="s">
        <v>935</v>
      </c>
      <c r="G698" s="1" t="s">
        <v>1730</v>
      </c>
      <c r="H698" s="1" t="s">
        <v>1731</v>
      </c>
      <c r="I698" s="1" t="s">
        <v>49</v>
      </c>
      <c r="J698" s="1" t="s">
        <v>48</v>
      </c>
      <c r="K698" s="1">
        <v>70</v>
      </c>
      <c r="L698" s="1">
        <v>0</v>
      </c>
      <c r="M698" s="1">
        <v>0</v>
      </c>
      <c r="N698" s="1">
        <v>70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 t="s">
        <v>49</v>
      </c>
      <c r="AA698" s="1" t="s">
        <v>49</v>
      </c>
      <c r="AB698" s="1" t="s">
        <v>49</v>
      </c>
      <c r="AC698" s="1" t="s">
        <v>938</v>
      </c>
      <c r="AD698" s="1" t="s">
        <v>939</v>
      </c>
      <c r="AE698" s="1" t="s">
        <v>938</v>
      </c>
      <c r="AF698" s="1" t="s">
        <v>940</v>
      </c>
      <c r="AG698" s="1" t="s">
        <v>53</v>
      </c>
      <c r="AH698" s="1" t="s">
        <v>49</v>
      </c>
      <c r="AI698" s="1" t="s">
        <v>54</v>
      </c>
      <c r="AJ698" s="1">
        <v>1</v>
      </c>
      <c r="AK698" s="1" t="str">
        <f t="shared" si="10"/>
        <v xml:space="preserve"> =&lt;90</v>
      </c>
      <c r="AL698" s="1" t="str">
        <f>VLOOKUP(C:C,[1]基础信息!B$1:D$65536,3,0)</f>
        <v>Jug</v>
      </c>
      <c r="AM698" s="1" t="str">
        <f>VLOOKUP(C:C,[1]基础信息!B$1:E$65536,4,0)</f>
        <v>Green Pack</v>
      </c>
      <c r="AN698" s="1" t="str">
        <f>VLOOKUP(C:C,[1]基础信息!B$1:F$65536,5,0)</f>
        <v>Blue</v>
      </c>
    </row>
    <row r="699" spans="1:40">
      <c r="A699" s="1" t="s">
        <v>41</v>
      </c>
      <c r="B699" s="1" t="s">
        <v>42</v>
      </c>
      <c r="C699" s="1" t="s">
        <v>554</v>
      </c>
      <c r="D699" s="1" t="s">
        <v>555</v>
      </c>
      <c r="E699" s="1" t="s">
        <v>45</v>
      </c>
      <c r="F699" s="1" t="s">
        <v>935</v>
      </c>
      <c r="G699" s="1" t="s">
        <v>1732</v>
      </c>
      <c r="H699" s="1" t="s">
        <v>1733</v>
      </c>
      <c r="I699" s="1" t="s">
        <v>49</v>
      </c>
      <c r="J699" s="1" t="s">
        <v>48</v>
      </c>
      <c r="K699" s="1">
        <v>70</v>
      </c>
      <c r="L699" s="1">
        <v>0</v>
      </c>
      <c r="M699" s="1">
        <v>0</v>
      </c>
      <c r="N699" s="1">
        <v>70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 t="s">
        <v>49</v>
      </c>
      <c r="AA699" s="1" t="s">
        <v>49</v>
      </c>
      <c r="AB699" s="1" t="s">
        <v>49</v>
      </c>
      <c r="AC699" s="1" t="s">
        <v>938</v>
      </c>
      <c r="AD699" s="1" t="s">
        <v>939</v>
      </c>
      <c r="AE699" s="1" t="s">
        <v>938</v>
      </c>
      <c r="AF699" s="1" t="s">
        <v>940</v>
      </c>
      <c r="AG699" s="1" t="s">
        <v>53</v>
      </c>
      <c r="AH699" s="1" t="s">
        <v>49</v>
      </c>
      <c r="AI699" s="1" t="s">
        <v>54</v>
      </c>
      <c r="AJ699" s="1">
        <v>1</v>
      </c>
      <c r="AK699" s="1" t="str">
        <f t="shared" si="10"/>
        <v xml:space="preserve"> =&lt;90</v>
      </c>
      <c r="AL699" s="1" t="str">
        <f>VLOOKUP(C:C,[1]基础信息!B$1:D$65536,3,0)</f>
        <v>Jug</v>
      </c>
      <c r="AM699" s="1" t="str">
        <f>VLOOKUP(C:C,[1]基础信息!B$1:E$65536,4,0)</f>
        <v>Green Pack</v>
      </c>
      <c r="AN699" s="1" t="str">
        <f>VLOOKUP(C:C,[1]基础信息!B$1:F$65536,5,0)</f>
        <v>Blue</v>
      </c>
    </row>
    <row r="700" spans="1:40">
      <c r="A700" s="1" t="s">
        <v>41</v>
      </c>
      <c r="B700" s="1" t="s">
        <v>42</v>
      </c>
      <c r="C700" s="1" t="s">
        <v>208</v>
      </c>
      <c r="D700" s="1" t="s">
        <v>209</v>
      </c>
      <c r="E700" s="1" t="s">
        <v>208</v>
      </c>
      <c r="F700" s="1" t="s">
        <v>1734</v>
      </c>
      <c r="G700" s="1" t="s">
        <v>1735</v>
      </c>
      <c r="H700" s="1" t="s">
        <v>1736</v>
      </c>
      <c r="I700" s="1" t="s">
        <v>49</v>
      </c>
      <c r="J700" s="1" t="s">
        <v>48</v>
      </c>
      <c r="K700" s="1">
        <v>80</v>
      </c>
      <c r="L700" s="1">
        <v>0</v>
      </c>
      <c r="M700" s="1">
        <v>0</v>
      </c>
      <c r="N700" s="1">
        <v>80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 t="s">
        <v>49</v>
      </c>
      <c r="AA700" s="1" t="s">
        <v>49</v>
      </c>
      <c r="AB700" s="1" t="s">
        <v>49</v>
      </c>
      <c r="AC700" s="1" t="s">
        <v>376</v>
      </c>
      <c r="AD700" s="1" t="s">
        <v>377</v>
      </c>
      <c r="AE700" s="1" t="s">
        <v>376</v>
      </c>
      <c r="AF700" s="1" t="s">
        <v>1414</v>
      </c>
      <c r="AG700" s="1" t="s">
        <v>53</v>
      </c>
      <c r="AH700" s="1" t="s">
        <v>49</v>
      </c>
      <c r="AI700" s="1" t="s">
        <v>54</v>
      </c>
      <c r="AJ700" s="1">
        <v>1</v>
      </c>
      <c r="AK700" s="1" t="str">
        <f t="shared" si="10"/>
        <v xml:space="preserve"> =&lt;90</v>
      </c>
      <c r="AL700" s="1" t="str">
        <f>VLOOKUP(C:C,[1]基础信息!B$1:D$65536,3,0)</f>
        <v>Jug</v>
      </c>
      <c r="AM700" s="1" t="str">
        <f>VLOOKUP(C:C,[1]基础信息!B$1:E$65536,4,0)</f>
        <v>MXpl</v>
      </c>
      <c r="AN700" s="1" t="str">
        <f>VLOOKUP(C:C,[1]基础信息!B$1:F$65536,5,0)</f>
        <v>grey</v>
      </c>
    </row>
    <row r="701" spans="1:40">
      <c r="A701" s="1" t="s">
        <v>41</v>
      </c>
      <c r="B701" s="1" t="s">
        <v>42</v>
      </c>
      <c r="C701" s="1" t="s">
        <v>104</v>
      </c>
      <c r="D701" s="1" t="s">
        <v>105</v>
      </c>
      <c r="E701" s="1" t="s">
        <v>104</v>
      </c>
      <c r="F701" s="1" t="s">
        <v>1602</v>
      </c>
      <c r="G701" s="1" t="s">
        <v>1737</v>
      </c>
      <c r="H701" s="1" t="s">
        <v>1738</v>
      </c>
      <c r="I701" s="1" t="s">
        <v>49</v>
      </c>
      <c r="J701" s="1" t="s">
        <v>48</v>
      </c>
      <c r="K701" s="1">
        <v>96</v>
      </c>
      <c r="L701" s="1">
        <v>0</v>
      </c>
      <c r="M701" s="1">
        <v>0</v>
      </c>
      <c r="N701" s="1">
        <v>96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 t="s">
        <v>49</v>
      </c>
      <c r="AA701" s="1" t="s">
        <v>49</v>
      </c>
      <c r="AB701" s="1" t="s">
        <v>49</v>
      </c>
      <c r="AC701" s="1" t="s">
        <v>128</v>
      </c>
      <c r="AD701" s="1" t="s">
        <v>129</v>
      </c>
      <c r="AE701" s="1" t="s">
        <v>128</v>
      </c>
      <c r="AF701" s="1" t="s">
        <v>1605</v>
      </c>
      <c r="AG701" s="1" t="s">
        <v>53</v>
      </c>
      <c r="AH701" s="1" t="s">
        <v>49</v>
      </c>
      <c r="AI701" s="1" t="s">
        <v>54</v>
      </c>
      <c r="AJ701" s="1">
        <v>1</v>
      </c>
      <c r="AK701" s="1" t="str">
        <f t="shared" si="10"/>
        <v xml:space="preserve"> =&lt;90</v>
      </c>
      <c r="AL701" s="1" t="str">
        <f>VLOOKUP(C:C,[1]基础信息!B$1:D$65536,3,0)</f>
        <v>Jug</v>
      </c>
      <c r="AM701" s="1" t="str">
        <f>VLOOKUP(C:C,[1]基础信息!B$1:E$65536,4,0)</f>
        <v>Marella XL</v>
      </c>
      <c r="AN701" s="1" t="str">
        <f>VLOOKUP(C:C,[1]基础信息!B$1:F$65536,5,0)</f>
        <v>Blue</v>
      </c>
    </row>
    <row r="702" spans="1:40">
      <c r="A702" s="1" t="s">
        <v>41</v>
      </c>
      <c r="B702" s="1" t="s">
        <v>42</v>
      </c>
      <c r="C702" s="1" t="s">
        <v>104</v>
      </c>
      <c r="D702" s="1" t="s">
        <v>105</v>
      </c>
      <c r="E702" s="1" t="s">
        <v>104</v>
      </c>
      <c r="F702" s="1" t="s">
        <v>1602</v>
      </c>
      <c r="G702" s="1" t="s">
        <v>1739</v>
      </c>
      <c r="H702" s="1" t="s">
        <v>1740</v>
      </c>
      <c r="I702" s="1" t="s">
        <v>49</v>
      </c>
      <c r="J702" s="1" t="s">
        <v>48</v>
      </c>
      <c r="K702" s="1">
        <v>96</v>
      </c>
      <c r="L702" s="1">
        <v>0</v>
      </c>
      <c r="M702" s="1">
        <v>0</v>
      </c>
      <c r="N702" s="1">
        <v>96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 t="s">
        <v>49</v>
      </c>
      <c r="AA702" s="1" t="s">
        <v>49</v>
      </c>
      <c r="AB702" s="1" t="s">
        <v>49</v>
      </c>
      <c r="AC702" s="1" t="s">
        <v>128</v>
      </c>
      <c r="AD702" s="1" t="s">
        <v>129</v>
      </c>
      <c r="AE702" s="1" t="s">
        <v>128</v>
      </c>
      <c r="AF702" s="1" t="s">
        <v>1605</v>
      </c>
      <c r="AG702" s="1" t="s">
        <v>53</v>
      </c>
      <c r="AH702" s="1" t="s">
        <v>49</v>
      </c>
      <c r="AI702" s="1" t="s">
        <v>54</v>
      </c>
      <c r="AJ702" s="1">
        <v>1</v>
      </c>
      <c r="AK702" s="1" t="str">
        <f t="shared" si="10"/>
        <v xml:space="preserve"> =&lt;90</v>
      </c>
      <c r="AL702" s="1" t="str">
        <f>VLOOKUP(C:C,[1]基础信息!B$1:D$65536,3,0)</f>
        <v>Jug</v>
      </c>
      <c r="AM702" s="1" t="str">
        <f>VLOOKUP(C:C,[1]基础信息!B$1:E$65536,4,0)</f>
        <v>Marella XL</v>
      </c>
      <c r="AN702" s="1" t="str">
        <f>VLOOKUP(C:C,[1]基础信息!B$1:F$65536,5,0)</f>
        <v>Blue</v>
      </c>
    </row>
    <row r="703" spans="1:40">
      <c r="A703" s="1" t="s">
        <v>41</v>
      </c>
      <c r="B703" s="1" t="s">
        <v>42</v>
      </c>
      <c r="C703" s="1" t="s">
        <v>104</v>
      </c>
      <c r="D703" s="1" t="s">
        <v>105</v>
      </c>
      <c r="E703" s="1" t="s">
        <v>104</v>
      </c>
      <c r="F703" s="1" t="s">
        <v>1602</v>
      </c>
      <c r="G703" s="1" t="s">
        <v>1741</v>
      </c>
      <c r="H703" s="1" t="s">
        <v>1742</v>
      </c>
      <c r="I703" s="1" t="s">
        <v>49</v>
      </c>
      <c r="J703" s="1" t="s">
        <v>48</v>
      </c>
      <c r="K703" s="1">
        <v>96</v>
      </c>
      <c r="L703" s="1">
        <v>0</v>
      </c>
      <c r="M703" s="1">
        <v>0</v>
      </c>
      <c r="N703" s="1">
        <v>96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 t="s">
        <v>49</v>
      </c>
      <c r="AA703" s="1" t="s">
        <v>49</v>
      </c>
      <c r="AB703" s="1" t="s">
        <v>49</v>
      </c>
      <c r="AC703" s="1" t="s">
        <v>128</v>
      </c>
      <c r="AD703" s="1" t="s">
        <v>129</v>
      </c>
      <c r="AE703" s="1" t="s">
        <v>128</v>
      </c>
      <c r="AF703" s="1" t="s">
        <v>1605</v>
      </c>
      <c r="AG703" s="1" t="s">
        <v>53</v>
      </c>
      <c r="AH703" s="1" t="s">
        <v>49</v>
      </c>
      <c r="AI703" s="1" t="s">
        <v>54</v>
      </c>
      <c r="AJ703" s="1">
        <v>1</v>
      </c>
      <c r="AK703" s="1" t="str">
        <f t="shared" si="10"/>
        <v xml:space="preserve"> =&lt;90</v>
      </c>
      <c r="AL703" s="1" t="str">
        <f>VLOOKUP(C:C,[1]基础信息!B$1:D$65536,3,0)</f>
        <v>Jug</v>
      </c>
      <c r="AM703" s="1" t="str">
        <f>VLOOKUP(C:C,[1]基础信息!B$1:E$65536,4,0)</f>
        <v>Marella XL</v>
      </c>
      <c r="AN703" s="1" t="str">
        <f>VLOOKUP(C:C,[1]基础信息!B$1:F$65536,5,0)</f>
        <v>Blue</v>
      </c>
    </row>
    <row r="704" spans="1:40">
      <c r="A704" s="1" t="s">
        <v>41</v>
      </c>
      <c r="B704" s="1" t="s">
        <v>42</v>
      </c>
      <c r="C704" s="1" t="s">
        <v>104</v>
      </c>
      <c r="D704" s="1" t="s">
        <v>105</v>
      </c>
      <c r="E704" s="1" t="s">
        <v>104</v>
      </c>
      <c r="F704" s="1" t="s">
        <v>1602</v>
      </c>
      <c r="G704" s="1" t="s">
        <v>1743</v>
      </c>
      <c r="H704" s="1" t="s">
        <v>1744</v>
      </c>
      <c r="I704" s="1" t="s">
        <v>49</v>
      </c>
      <c r="J704" s="1" t="s">
        <v>48</v>
      </c>
      <c r="K704" s="1">
        <v>96</v>
      </c>
      <c r="L704" s="1">
        <v>0</v>
      </c>
      <c r="M704" s="1">
        <v>0</v>
      </c>
      <c r="N704" s="1">
        <v>96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 t="s">
        <v>49</v>
      </c>
      <c r="AA704" s="1" t="s">
        <v>49</v>
      </c>
      <c r="AB704" s="1" t="s">
        <v>49</v>
      </c>
      <c r="AC704" s="1" t="s">
        <v>128</v>
      </c>
      <c r="AD704" s="1" t="s">
        <v>129</v>
      </c>
      <c r="AE704" s="1" t="s">
        <v>128</v>
      </c>
      <c r="AF704" s="1" t="s">
        <v>1605</v>
      </c>
      <c r="AG704" s="1" t="s">
        <v>53</v>
      </c>
      <c r="AH704" s="1" t="s">
        <v>49</v>
      </c>
      <c r="AI704" s="1" t="s">
        <v>54</v>
      </c>
      <c r="AJ704" s="1">
        <v>1</v>
      </c>
      <c r="AK704" s="1" t="str">
        <f t="shared" si="10"/>
        <v xml:space="preserve"> =&lt;90</v>
      </c>
      <c r="AL704" s="1" t="str">
        <f>VLOOKUP(C:C,[1]基础信息!B$1:D$65536,3,0)</f>
        <v>Jug</v>
      </c>
      <c r="AM704" s="1" t="str">
        <f>VLOOKUP(C:C,[1]基础信息!B$1:E$65536,4,0)</f>
        <v>Marella XL</v>
      </c>
      <c r="AN704" s="1" t="str">
        <f>VLOOKUP(C:C,[1]基础信息!B$1:F$65536,5,0)</f>
        <v>Blue</v>
      </c>
    </row>
    <row r="705" spans="1:40">
      <c r="A705" s="1" t="s">
        <v>41</v>
      </c>
      <c r="B705" s="1" t="s">
        <v>42</v>
      </c>
      <c r="C705" s="1" t="s">
        <v>554</v>
      </c>
      <c r="D705" s="1" t="s">
        <v>555</v>
      </c>
      <c r="E705" s="1" t="s">
        <v>45</v>
      </c>
      <c r="F705" s="1" t="s">
        <v>935</v>
      </c>
      <c r="G705" s="1" t="s">
        <v>1745</v>
      </c>
      <c r="H705" s="1" t="s">
        <v>1746</v>
      </c>
      <c r="I705" s="1" t="s">
        <v>49</v>
      </c>
      <c r="J705" s="1" t="s">
        <v>48</v>
      </c>
      <c r="K705" s="1">
        <v>70</v>
      </c>
      <c r="L705" s="1">
        <v>0</v>
      </c>
      <c r="M705" s="1">
        <v>0</v>
      </c>
      <c r="N705" s="1">
        <v>70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 t="s">
        <v>49</v>
      </c>
      <c r="AA705" s="1" t="s">
        <v>49</v>
      </c>
      <c r="AB705" s="1" t="s">
        <v>49</v>
      </c>
      <c r="AC705" s="1" t="s">
        <v>938</v>
      </c>
      <c r="AD705" s="1" t="s">
        <v>939</v>
      </c>
      <c r="AE705" s="1" t="s">
        <v>938</v>
      </c>
      <c r="AF705" s="1" t="s">
        <v>940</v>
      </c>
      <c r="AG705" s="1" t="s">
        <v>53</v>
      </c>
      <c r="AH705" s="1" t="s">
        <v>49</v>
      </c>
      <c r="AI705" s="1" t="s">
        <v>54</v>
      </c>
      <c r="AJ705" s="1">
        <v>1</v>
      </c>
      <c r="AK705" s="1" t="str">
        <f t="shared" si="10"/>
        <v xml:space="preserve"> =&lt;90</v>
      </c>
      <c r="AL705" s="1" t="str">
        <f>VLOOKUP(C:C,[1]基础信息!B$1:D$65536,3,0)</f>
        <v>Jug</v>
      </c>
      <c r="AM705" s="1" t="str">
        <f>VLOOKUP(C:C,[1]基础信息!B$1:E$65536,4,0)</f>
        <v>Green Pack</v>
      </c>
      <c r="AN705" s="1" t="str">
        <f>VLOOKUP(C:C,[1]基础信息!B$1:F$65536,5,0)</f>
        <v>Blue</v>
      </c>
    </row>
    <row r="706" spans="1:40">
      <c r="A706" s="1" t="s">
        <v>41</v>
      </c>
      <c r="B706" s="1" t="s">
        <v>42</v>
      </c>
      <c r="C706" s="1" t="s">
        <v>104</v>
      </c>
      <c r="D706" s="1" t="s">
        <v>105</v>
      </c>
      <c r="E706" s="1" t="s">
        <v>104</v>
      </c>
      <c r="F706" s="1" t="s">
        <v>1602</v>
      </c>
      <c r="G706" s="1" t="s">
        <v>1747</v>
      </c>
      <c r="H706" s="1" t="s">
        <v>1748</v>
      </c>
      <c r="I706" s="1" t="s">
        <v>49</v>
      </c>
      <c r="J706" s="1" t="s">
        <v>48</v>
      </c>
      <c r="K706" s="1">
        <v>96</v>
      </c>
      <c r="L706" s="1">
        <v>0</v>
      </c>
      <c r="M706" s="1">
        <v>0</v>
      </c>
      <c r="N706" s="1">
        <v>96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 t="s">
        <v>49</v>
      </c>
      <c r="AA706" s="1" t="s">
        <v>49</v>
      </c>
      <c r="AB706" s="1" t="s">
        <v>49</v>
      </c>
      <c r="AC706" s="1" t="s">
        <v>128</v>
      </c>
      <c r="AD706" s="1" t="s">
        <v>129</v>
      </c>
      <c r="AE706" s="1" t="s">
        <v>128</v>
      </c>
      <c r="AF706" s="1" t="s">
        <v>1605</v>
      </c>
      <c r="AG706" s="1" t="s">
        <v>53</v>
      </c>
      <c r="AH706" s="1" t="s">
        <v>49</v>
      </c>
      <c r="AI706" s="1" t="s">
        <v>54</v>
      </c>
      <c r="AJ706" s="1">
        <v>1</v>
      </c>
      <c r="AK706" s="1" t="str">
        <f t="shared" ref="AK706:AK769" si="11">IF(AJ706&gt;$AP$2,$AQ$2,IF(AJ706&gt;$AP$3,$AQ$3,IF(AJ706&gt;$AP$4,$AQ$4,$AQ$5)))</f>
        <v xml:space="preserve"> =&lt;90</v>
      </c>
      <c r="AL706" s="1" t="str">
        <f>VLOOKUP(C:C,[1]基础信息!B$1:D$65536,3,0)</f>
        <v>Jug</v>
      </c>
      <c r="AM706" s="1" t="str">
        <f>VLOOKUP(C:C,[1]基础信息!B$1:E$65536,4,0)</f>
        <v>Marella XL</v>
      </c>
      <c r="AN706" s="1" t="str">
        <f>VLOOKUP(C:C,[1]基础信息!B$1:F$65536,5,0)</f>
        <v>Blue</v>
      </c>
    </row>
    <row r="707" spans="1:40">
      <c r="A707" s="1" t="s">
        <v>41</v>
      </c>
      <c r="B707" s="1" t="s">
        <v>42</v>
      </c>
      <c r="C707" s="1" t="s">
        <v>104</v>
      </c>
      <c r="D707" s="1" t="s">
        <v>105</v>
      </c>
      <c r="E707" s="1" t="s">
        <v>104</v>
      </c>
      <c r="F707" s="1" t="s">
        <v>1602</v>
      </c>
      <c r="G707" s="1" t="s">
        <v>1749</v>
      </c>
      <c r="H707" s="1" t="s">
        <v>1750</v>
      </c>
      <c r="I707" s="1" t="s">
        <v>49</v>
      </c>
      <c r="J707" s="1" t="s">
        <v>48</v>
      </c>
      <c r="K707" s="1">
        <v>96</v>
      </c>
      <c r="L707" s="1">
        <v>0</v>
      </c>
      <c r="M707" s="1">
        <v>0</v>
      </c>
      <c r="N707" s="1">
        <v>96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 t="s">
        <v>49</v>
      </c>
      <c r="AA707" s="1" t="s">
        <v>49</v>
      </c>
      <c r="AB707" s="1" t="s">
        <v>49</v>
      </c>
      <c r="AC707" s="1" t="s">
        <v>128</v>
      </c>
      <c r="AD707" s="1" t="s">
        <v>129</v>
      </c>
      <c r="AE707" s="1" t="s">
        <v>128</v>
      </c>
      <c r="AF707" s="1" t="s">
        <v>1605</v>
      </c>
      <c r="AG707" s="1" t="s">
        <v>53</v>
      </c>
      <c r="AH707" s="1" t="s">
        <v>49</v>
      </c>
      <c r="AI707" s="1" t="s">
        <v>54</v>
      </c>
      <c r="AJ707" s="1">
        <v>1</v>
      </c>
      <c r="AK707" s="1" t="str">
        <f t="shared" si="11"/>
        <v xml:space="preserve"> =&lt;90</v>
      </c>
      <c r="AL707" s="1" t="str">
        <f>VLOOKUP(C:C,[1]基础信息!B$1:D$65536,3,0)</f>
        <v>Jug</v>
      </c>
      <c r="AM707" s="1" t="str">
        <f>VLOOKUP(C:C,[1]基础信息!B$1:E$65536,4,0)</f>
        <v>Marella XL</v>
      </c>
      <c r="AN707" s="1" t="str">
        <f>VLOOKUP(C:C,[1]基础信息!B$1:F$65536,5,0)</f>
        <v>Blue</v>
      </c>
    </row>
    <row r="708" spans="1:40">
      <c r="A708" s="1" t="s">
        <v>41</v>
      </c>
      <c r="B708" s="1" t="s">
        <v>42</v>
      </c>
      <c r="C708" s="1" t="s">
        <v>104</v>
      </c>
      <c r="D708" s="1" t="s">
        <v>105</v>
      </c>
      <c r="E708" s="1" t="s">
        <v>104</v>
      </c>
      <c r="F708" s="1" t="s">
        <v>1602</v>
      </c>
      <c r="G708" s="1" t="s">
        <v>1751</v>
      </c>
      <c r="H708" s="1" t="s">
        <v>1752</v>
      </c>
      <c r="I708" s="1" t="s">
        <v>49</v>
      </c>
      <c r="J708" s="1" t="s">
        <v>48</v>
      </c>
      <c r="K708" s="1">
        <v>96</v>
      </c>
      <c r="L708" s="1">
        <v>0</v>
      </c>
      <c r="M708" s="1">
        <v>0</v>
      </c>
      <c r="N708" s="1">
        <v>96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 t="s">
        <v>49</v>
      </c>
      <c r="AA708" s="1" t="s">
        <v>49</v>
      </c>
      <c r="AB708" s="1" t="s">
        <v>49</v>
      </c>
      <c r="AC708" s="1" t="s">
        <v>128</v>
      </c>
      <c r="AD708" s="1" t="s">
        <v>129</v>
      </c>
      <c r="AE708" s="1" t="s">
        <v>128</v>
      </c>
      <c r="AF708" s="1" t="s">
        <v>1605</v>
      </c>
      <c r="AG708" s="1" t="s">
        <v>53</v>
      </c>
      <c r="AH708" s="1" t="s">
        <v>49</v>
      </c>
      <c r="AI708" s="1" t="s">
        <v>54</v>
      </c>
      <c r="AJ708" s="1">
        <v>1</v>
      </c>
      <c r="AK708" s="1" t="str">
        <f t="shared" si="11"/>
        <v xml:space="preserve"> =&lt;90</v>
      </c>
      <c r="AL708" s="1" t="str">
        <f>VLOOKUP(C:C,[1]基础信息!B$1:D$65536,3,0)</f>
        <v>Jug</v>
      </c>
      <c r="AM708" s="1" t="str">
        <f>VLOOKUP(C:C,[1]基础信息!B$1:E$65536,4,0)</f>
        <v>Marella XL</v>
      </c>
      <c r="AN708" s="1" t="str">
        <f>VLOOKUP(C:C,[1]基础信息!B$1:F$65536,5,0)</f>
        <v>Blue</v>
      </c>
    </row>
    <row r="709" spans="1:40">
      <c r="A709" s="1" t="s">
        <v>41</v>
      </c>
      <c r="B709" s="1" t="s">
        <v>42</v>
      </c>
      <c r="C709" s="1" t="s">
        <v>104</v>
      </c>
      <c r="D709" s="1" t="s">
        <v>105</v>
      </c>
      <c r="E709" s="1" t="s">
        <v>104</v>
      </c>
      <c r="F709" s="1" t="s">
        <v>1602</v>
      </c>
      <c r="G709" s="1" t="s">
        <v>1753</v>
      </c>
      <c r="H709" s="1" t="s">
        <v>1754</v>
      </c>
      <c r="I709" s="1" t="s">
        <v>49</v>
      </c>
      <c r="J709" s="1" t="s">
        <v>48</v>
      </c>
      <c r="K709" s="1">
        <v>96</v>
      </c>
      <c r="L709" s="1">
        <v>0</v>
      </c>
      <c r="M709" s="1">
        <v>0</v>
      </c>
      <c r="N709" s="1">
        <v>96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 t="s">
        <v>49</v>
      </c>
      <c r="AA709" s="1" t="s">
        <v>49</v>
      </c>
      <c r="AB709" s="1" t="s">
        <v>49</v>
      </c>
      <c r="AC709" s="1" t="s">
        <v>128</v>
      </c>
      <c r="AD709" s="1" t="s">
        <v>129</v>
      </c>
      <c r="AE709" s="1" t="s">
        <v>128</v>
      </c>
      <c r="AF709" s="1" t="s">
        <v>1605</v>
      </c>
      <c r="AG709" s="1" t="s">
        <v>53</v>
      </c>
      <c r="AH709" s="1" t="s">
        <v>49</v>
      </c>
      <c r="AI709" s="1" t="s">
        <v>54</v>
      </c>
      <c r="AJ709" s="1">
        <v>1</v>
      </c>
      <c r="AK709" s="1" t="str">
        <f t="shared" si="11"/>
        <v xml:space="preserve"> =&lt;90</v>
      </c>
      <c r="AL709" s="1" t="str">
        <f>VLOOKUP(C:C,[1]基础信息!B$1:D$65536,3,0)</f>
        <v>Jug</v>
      </c>
      <c r="AM709" s="1" t="str">
        <f>VLOOKUP(C:C,[1]基础信息!B$1:E$65536,4,0)</f>
        <v>Marella XL</v>
      </c>
      <c r="AN709" s="1" t="str">
        <f>VLOOKUP(C:C,[1]基础信息!B$1:F$65536,5,0)</f>
        <v>Blue</v>
      </c>
    </row>
    <row r="710" spans="1:40">
      <c r="A710" s="1" t="s">
        <v>41</v>
      </c>
      <c r="B710" s="1" t="s">
        <v>42</v>
      </c>
      <c r="C710" s="1" t="s">
        <v>104</v>
      </c>
      <c r="D710" s="1" t="s">
        <v>105</v>
      </c>
      <c r="E710" s="1" t="s">
        <v>104</v>
      </c>
      <c r="F710" s="1" t="s">
        <v>1602</v>
      </c>
      <c r="G710" s="1" t="s">
        <v>1755</v>
      </c>
      <c r="H710" s="1" t="s">
        <v>1756</v>
      </c>
      <c r="I710" s="1" t="s">
        <v>49</v>
      </c>
      <c r="J710" s="1" t="s">
        <v>48</v>
      </c>
      <c r="K710" s="1">
        <v>96</v>
      </c>
      <c r="L710" s="1">
        <v>0</v>
      </c>
      <c r="M710" s="1">
        <v>0</v>
      </c>
      <c r="N710" s="1">
        <v>96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 t="s">
        <v>49</v>
      </c>
      <c r="AA710" s="1" t="s">
        <v>49</v>
      </c>
      <c r="AB710" s="1" t="s">
        <v>49</v>
      </c>
      <c r="AC710" s="1" t="s">
        <v>128</v>
      </c>
      <c r="AD710" s="1" t="s">
        <v>129</v>
      </c>
      <c r="AE710" s="1" t="s">
        <v>128</v>
      </c>
      <c r="AF710" s="1" t="s">
        <v>1605</v>
      </c>
      <c r="AG710" s="1" t="s">
        <v>53</v>
      </c>
      <c r="AH710" s="1" t="s">
        <v>49</v>
      </c>
      <c r="AI710" s="1" t="s">
        <v>54</v>
      </c>
      <c r="AJ710" s="1">
        <v>1</v>
      </c>
      <c r="AK710" s="1" t="str">
        <f t="shared" si="11"/>
        <v xml:space="preserve"> =&lt;90</v>
      </c>
      <c r="AL710" s="1" t="str">
        <f>VLOOKUP(C:C,[1]基础信息!B$1:D$65536,3,0)</f>
        <v>Jug</v>
      </c>
      <c r="AM710" s="1" t="str">
        <f>VLOOKUP(C:C,[1]基础信息!B$1:E$65536,4,0)</f>
        <v>Marella XL</v>
      </c>
      <c r="AN710" s="1" t="str">
        <f>VLOOKUP(C:C,[1]基础信息!B$1:F$65536,5,0)</f>
        <v>Blue</v>
      </c>
    </row>
    <row r="711" spans="1:40">
      <c r="A711" s="1" t="s">
        <v>41</v>
      </c>
      <c r="B711" s="1" t="s">
        <v>42</v>
      </c>
      <c r="C711" s="1" t="s">
        <v>208</v>
      </c>
      <c r="D711" s="1" t="s">
        <v>209</v>
      </c>
      <c r="E711" s="1" t="s">
        <v>208</v>
      </c>
      <c r="F711" s="1" t="s">
        <v>1411</v>
      </c>
      <c r="G711" s="1" t="s">
        <v>1757</v>
      </c>
      <c r="H711" s="1" t="s">
        <v>1758</v>
      </c>
      <c r="I711" s="1" t="s">
        <v>49</v>
      </c>
      <c r="J711" s="1" t="s">
        <v>48</v>
      </c>
      <c r="K711" s="1">
        <v>80</v>
      </c>
      <c r="L711" s="1">
        <v>0</v>
      </c>
      <c r="M711" s="1">
        <v>0</v>
      </c>
      <c r="N711" s="1">
        <v>80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 t="s">
        <v>49</v>
      </c>
      <c r="AA711" s="1" t="s">
        <v>49</v>
      </c>
      <c r="AB711" s="1" t="s">
        <v>49</v>
      </c>
      <c r="AC711" s="1" t="s">
        <v>1330</v>
      </c>
      <c r="AD711" s="1" t="s">
        <v>1331</v>
      </c>
      <c r="AE711" s="1" t="s">
        <v>1330</v>
      </c>
      <c r="AF711" s="1" t="s">
        <v>1414</v>
      </c>
      <c r="AG711" s="1" t="s">
        <v>53</v>
      </c>
      <c r="AH711" s="1" t="s">
        <v>49</v>
      </c>
      <c r="AI711" s="1" t="s">
        <v>54</v>
      </c>
      <c r="AJ711" s="1">
        <v>1</v>
      </c>
      <c r="AK711" s="1" t="str">
        <f t="shared" si="11"/>
        <v xml:space="preserve"> =&lt;90</v>
      </c>
      <c r="AL711" s="1" t="str">
        <f>VLOOKUP(C:C,[1]基础信息!B$1:D$65536,3,0)</f>
        <v>Jug</v>
      </c>
      <c r="AM711" s="1" t="str">
        <f>VLOOKUP(C:C,[1]基础信息!B$1:E$65536,4,0)</f>
        <v>MXpl</v>
      </c>
      <c r="AN711" s="1" t="str">
        <f>VLOOKUP(C:C,[1]基础信息!B$1:F$65536,5,0)</f>
        <v>grey</v>
      </c>
    </row>
    <row r="712" spans="1:40">
      <c r="A712" s="1" t="s">
        <v>41</v>
      </c>
      <c r="B712" s="1" t="s">
        <v>42</v>
      </c>
      <c r="C712" s="1" t="s">
        <v>481</v>
      </c>
      <c r="D712" s="1" t="s">
        <v>482</v>
      </c>
      <c r="E712" s="1" t="s">
        <v>45</v>
      </c>
      <c r="F712" s="1" t="s">
        <v>1491</v>
      </c>
      <c r="G712" s="1" t="s">
        <v>1759</v>
      </c>
      <c r="H712" s="1" t="s">
        <v>1760</v>
      </c>
      <c r="I712" s="1" t="s">
        <v>49</v>
      </c>
      <c r="J712" s="1" t="s">
        <v>48</v>
      </c>
      <c r="K712" s="1">
        <v>168</v>
      </c>
      <c r="L712" s="1">
        <v>0</v>
      </c>
      <c r="M712" s="1">
        <v>0</v>
      </c>
      <c r="N712" s="1">
        <v>168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 t="s">
        <v>49</v>
      </c>
      <c r="AA712" s="1" t="s">
        <v>49</v>
      </c>
      <c r="AB712" s="1" t="s">
        <v>49</v>
      </c>
      <c r="AC712" s="1" t="s">
        <v>883</v>
      </c>
      <c r="AD712" s="1" t="s">
        <v>884</v>
      </c>
      <c r="AE712" s="1" t="s">
        <v>883</v>
      </c>
      <c r="AF712" s="1" t="s">
        <v>1494</v>
      </c>
      <c r="AG712" s="1" t="s">
        <v>53</v>
      </c>
      <c r="AH712" s="1" t="s">
        <v>49</v>
      </c>
      <c r="AI712" s="1" t="s">
        <v>54</v>
      </c>
      <c r="AJ712" s="1">
        <v>1</v>
      </c>
      <c r="AK712" s="1" t="str">
        <f t="shared" si="11"/>
        <v xml:space="preserve"> =&lt;90</v>
      </c>
      <c r="AL712" s="1" t="str">
        <f>VLOOKUP(C:C,[1]基础信息!B$1:D$65536,3,0)</f>
        <v>Jug</v>
      </c>
      <c r="AM712" s="1" t="str">
        <f>VLOOKUP(C:C,[1]基础信息!B$1:E$65536,4,0)</f>
        <v>Style COOL</v>
      </c>
      <c r="AN712" s="1" t="str">
        <f>VLOOKUP(C:C,[1]基础信息!B$1:F$65536,5,0)</f>
        <v>Cool Blue</v>
      </c>
    </row>
    <row r="713" spans="1:40">
      <c r="A713" s="1" t="s">
        <v>41</v>
      </c>
      <c r="B713" s="1" t="s">
        <v>42</v>
      </c>
      <c r="C713" s="1" t="s">
        <v>481</v>
      </c>
      <c r="D713" s="1" t="s">
        <v>482</v>
      </c>
      <c r="E713" s="1" t="s">
        <v>45</v>
      </c>
      <c r="F713" s="1" t="s">
        <v>483</v>
      </c>
      <c r="G713" s="1" t="s">
        <v>1761</v>
      </c>
      <c r="H713" s="1" t="s">
        <v>1762</v>
      </c>
      <c r="I713" s="1" t="s">
        <v>49</v>
      </c>
      <c r="J713" s="1" t="s">
        <v>48</v>
      </c>
      <c r="K713" s="1">
        <v>168</v>
      </c>
      <c r="L713" s="1">
        <v>0</v>
      </c>
      <c r="M713" s="1">
        <v>0</v>
      </c>
      <c r="N713" s="1">
        <v>168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 t="s">
        <v>49</v>
      </c>
      <c r="AA713" s="1" t="s">
        <v>49</v>
      </c>
      <c r="AB713" s="1" t="s">
        <v>49</v>
      </c>
      <c r="AC713" s="1" t="s">
        <v>486</v>
      </c>
      <c r="AD713" s="1" t="s">
        <v>487</v>
      </c>
      <c r="AE713" s="1" t="s">
        <v>486</v>
      </c>
      <c r="AF713" s="1" t="s">
        <v>488</v>
      </c>
      <c r="AG713" s="1" t="s">
        <v>53</v>
      </c>
      <c r="AH713" s="1" t="s">
        <v>49</v>
      </c>
      <c r="AI713" s="1" t="s">
        <v>54</v>
      </c>
      <c r="AJ713" s="1">
        <v>1</v>
      </c>
      <c r="AK713" s="1" t="str">
        <f t="shared" si="11"/>
        <v xml:space="preserve"> =&lt;90</v>
      </c>
      <c r="AL713" s="1" t="str">
        <f>VLOOKUP(C:C,[1]基础信息!B$1:D$65536,3,0)</f>
        <v>Jug</v>
      </c>
      <c r="AM713" s="1" t="str">
        <f>VLOOKUP(C:C,[1]基础信息!B$1:E$65536,4,0)</f>
        <v>Style COOL</v>
      </c>
      <c r="AN713" s="1" t="str">
        <f>VLOOKUP(C:C,[1]基础信息!B$1:F$65536,5,0)</f>
        <v>Cool Blue</v>
      </c>
    </row>
    <row r="714" spans="1:40">
      <c r="A714" s="1" t="s">
        <v>41</v>
      </c>
      <c r="B714" s="1" t="s">
        <v>42</v>
      </c>
      <c r="C714" s="1" t="s">
        <v>481</v>
      </c>
      <c r="D714" s="1" t="s">
        <v>482</v>
      </c>
      <c r="E714" s="1" t="s">
        <v>45</v>
      </c>
      <c r="F714" s="1" t="s">
        <v>483</v>
      </c>
      <c r="G714" s="1" t="s">
        <v>1763</v>
      </c>
      <c r="H714" s="1" t="s">
        <v>1764</v>
      </c>
      <c r="I714" s="1" t="s">
        <v>49</v>
      </c>
      <c r="J714" s="1" t="s">
        <v>48</v>
      </c>
      <c r="K714" s="1">
        <v>148</v>
      </c>
      <c r="L714" s="1">
        <v>0</v>
      </c>
      <c r="M714" s="1">
        <v>0</v>
      </c>
      <c r="N714" s="1">
        <v>148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 t="s">
        <v>49</v>
      </c>
      <c r="AA714" s="1" t="s">
        <v>49</v>
      </c>
      <c r="AB714" s="1" t="s">
        <v>49</v>
      </c>
      <c r="AC714" s="1" t="s">
        <v>486</v>
      </c>
      <c r="AD714" s="1" t="s">
        <v>487</v>
      </c>
      <c r="AE714" s="1" t="s">
        <v>486</v>
      </c>
      <c r="AF714" s="1" t="s">
        <v>488</v>
      </c>
      <c r="AG714" s="1" t="s">
        <v>53</v>
      </c>
      <c r="AH714" s="1" t="s">
        <v>49</v>
      </c>
      <c r="AI714" s="1" t="s">
        <v>54</v>
      </c>
      <c r="AJ714" s="1">
        <v>1</v>
      </c>
      <c r="AK714" s="1" t="str">
        <f t="shared" si="11"/>
        <v xml:space="preserve"> =&lt;90</v>
      </c>
      <c r="AL714" s="1" t="str">
        <f>VLOOKUP(C:C,[1]基础信息!B$1:D$65536,3,0)</f>
        <v>Jug</v>
      </c>
      <c r="AM714" s="1" t="str">
        <f>VLOOKUP(C:C,[1]基础信息!B$1:E$65536,4,0)</f>
        <v>Style COOL</v>
      </c>
      <c r="AN714" s="1" t="str">
        <f>VLOOKUP(C:C,[1]基础信息!B$1:F$65536,5,0)</f>
        <v>Cool Blue</v>
      </c>
    </row>
    <row r="715" spans="1:40">
      <c r="A715" s="1" t="s">
        <v>41</v>
      </c>
      <c r="B715" s="1" t="s">
        <v>42</v>
      </c>
      <c r="C715" s="1" t="s">
        <v>969</v>
      </c>
      <c r="D715" s="1" t="s">
        <v>970</v>
      </c>
      <c r="E715" s="1" t="s">
        <v>45</v>
      </c>
      <c r="F715" s="1" t="s">
        <v>1765</v>
      </c>
      <c r="G715" s="1" t="s">
        <v>1766</v>
      </c>
      <c r="H715" s="1" t="s">
        <v>1767</v>
      </c>
      <c r="I715" s="1" t="s">
        <v>49</v>
      </c>
      <c r="J715" s="1" t="s">
        <v>48</v>
      </c>
      <c r="K715" s="1">
        <v>80</v>
      </c>
      <c r="L715" s="1">
        <v>0</v>
      </c>
      <c r="M715" s="1">
        <v>0</v>
      </c>
      <c r="N715" s="1">
        <v>80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 t="s">
        <v>49</v>
      </c>
      <c r="AA715" s="1" t="s">
        <v>49</v>
      </c>
      <c r="AB715" s="1" t="s">
        <v>49</v>
      </c>
      <c r="AC715" s="1" t="s">
        <v>128</v>
      </c>
      <c r="AD715" s="1" t="s">
        <v>129</v>
      </c>
      <c r="AE715" s="1" t="s">
        <v>128</v>
      </c>
      <c r="AF715" s="1" t="s">
        <v>1768</v>
      </c>
      <c r="AG715" s="1" t="s">
        <v>53</v>
      </c>
      <c r="AH715" s="1" t="s">
        <v>49</v>
      </c>
      <c r="AI715" s="1" t="s">
        <v>54</v>
      </c>
      <c r="AJ715" s="1">
        <v>1</v>
      </c>
      <c r="AK715" s="1" t="str">
        <f t="shared" si="11"/>
        <v xml:space="preserve"> =&lt;90</v>
      </c>
      <c r="AL715" s="1" t="str">
        <f>VLOOKUP(C:C,[1]基础信息!B$1:D$65536,3,0)</f>
        <v>Jug</v>
      </c>
      <c r="AM715" s="1" t="str">
        <f>VLOOKUP(C:C,[1]基础信息!B$1:E$65536,4,0)</f>
        <v>Mxplus</v>
      </c>
      <c r="AN715" s="1" t="str">
        <f>VLOOKUP(C:C,[1]基础信息!B$1:F$65536,5,0)</f>
        <v xml:space="preserve"> blue</v>
      </c>
    </row>
    <row r="716" spans="1:40">
      <c r="A716" s="1" t="s">
        <v>41</v>
      </c>
      <c r="B716" s="1" t="s">
        <v>42</v>
      </c>
      <c r="C716" s="1" t="s">
        <v>969</v>
      </c>
      <c r="D716" s="1" t="s">
        <v>970</v>
      </c>
      <c r="E716" s="1" t="s">
        <v>45</v>
      </c>
      <c r="F716" s="1" t="s">
        <v>1765</v>
      </c>
      <c r="G716" s="1" t="s">
        <v>1769</v>
      </c>
      <c r="H716" s="1" t="s">
        <v>1770</v>
      </c>
      <c r="I716" s="1" t="s">
        <v>49</v>
      </c>
      <c r="J716" s="1" t="s">
        <v>48</v>
      </c>
      <c r="K716" s="1">
        <v>80</v>
      </c>
      <c r="L716" s="1">
        <v>0</v>
      </c>
      <c r="M716" s="1">
        <v>0</v>
      </c>
      <c r="N716" s="1">
        <v>80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 t="s">
        <v>49</v>
      </c>
      <c r="AA716" s="1" t="s">
        <v>49</v>
      </c>
      <c r="AB716" s="1" t="s">
        <v>49</v>
      </c>
      <c r="AC716" s="1" t="s">
        <v>128</v>
      </c>
      <c r="AD716" s="1" t="s">
        <v>129</v>
      </c>
      <c r="AE716" s="1" t="s">
        <v>128</v>
      </c>
      <c r="AF716" s="1" t="s">
        <v>1768</v>
      </c>
      <c r="AG716" s="1" t="s">
        <v>53</v>
      </c>
      <c r="AH716" s="1" t="s">
        <v>49</v>
      </c>
      <c r="AI716" s="1" t="s">
        <v>54</v>
      </c>
      <c r="AJ716" s="1">
        <v>1</v>
      </c>
      <c r="AK716" s="1" t="str">
        <f t="shared" si="11"/>
        <v xml:space="preserve"> =&lt;90</v>
      </c>
      <c r="AL716" s="1" t="str">
        <f>VLOOKUP(C:C,[1]基础信息!B$1:D$65536,3,0)</f>
        <v>Jug</v>
      </c>
      <c r="AM716" s="1" t="str">
        <f>VLOOKUP(C:C,[1]基础信息!B$1:E$65536,4,0)</f>
        <v>Mxplus</v>
      </c>
      <c r="AN716" s="1" t="str">
        <f>VLOOKUP(C:C,[1]基础信息!B$1:F$65536,5,0)</f>
        <v xml:space="preserve"> blue</v>
      </c>
    </row>
    <row r="717" spans="1:40">
      <c r="A717" s="1" t="s">
        <v>41</v>
      </c>
      <c r="B717" s="1" t="s">
        <v>42</v>
      </c>
      <c r="C717" s="1" t="s">
        <v>969</v>
      </c>
      <c r="D717" s="1" t="s">
        <v>970</v>
      </c>
      <c r="E717" s="1" t="s">
        <v>45</v>
      </c>
      <c r="F717" s="1" t="s">
        <v>1765</v>
      </c>
      <c r="G717" s="1" t="s">
        <v>1771</v>
      </c>
      <c r="H717" s="1" t="s">
        <v>1772</v>
      </c>
      <c r="I717" s="1" t="s">
        <v>49</v>
      </c>
      <c r="J717" s="1" t="s">
        <v>48</v>
      </c>
      <c r="K717" s="1">
        <v>80</v>
      </c>
      <c r="L717" s="1">
        <v>0</v>
      </c>
      <c r="M717" s="1">
        <v>0</v>
      </c>
      <c r="N717" s="1">
        <v>80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 t="s">
        <v>49</v>
      </c>
      <c r="AA717" s="1" t="s">
        <v>49</v>
      </c>
      <c r="AB717" s="1" t="s">
        <v>49</v>
      </c>
      <c r="AC717" s="1" t="s">
        <v>128</v>
      </c>
      <c r="AD717" s="1" t="s">
        <v>129</v>
      </c>
      <c r="AE717" s="1" t="s">
        <v>128</v>
      </c>
      <c r="AF717" s="1" t="s">
        <v>1768</v>
      </c>
      <c r="AG717" s="1" t="s">
        <v>53</v>
      </c>
      <c r="AH717" s="1" t="s">
        <v>49</v>
      </c>
      <c r="AI717" s="1" t="s">
        <v>54</v>
      </c>
      <c r="AJ717" s="1">
        <v>1</v>
      </c>
      <c r="AK717" s="1" t="str">
        <f t="shared" si="11"/>
        <v xml:space="preserve"> =&lt;90</v>
      </c>
      <c r="AL717" s="1" t="str">
        <f>VLOOKUP(C:C,[1]基础信息!B$1:D$65536,3,0)</f>
        <v>Jug</v>
      </c>
      <c r="AM717" s="1" t="str">
        <f>VLOOKUP(C:C,[1]基础信息!B$1:E$65536,4,0)</f>
        <v>Mxplus</v>
      </c>
      <c r="AN717" s="1" t="str">
        <f>VLOOKUP(C:C,[1]基础信息!B$1:F$65536,5,0)</f>
        <v xml:space="preserve"> blue</v>
      </c>
    </row>
    <row r="718" spans="1:40">
      <c r="A718" s="1" t="s">
        <v>41</v>
      </c>
      <c r="B718" s="1" t="s">
        <v>42</v>
      </c>
      <c r="C718" s="1" t="s">
        <v>417</v>
      </c>
      <c r="D718" s="1" t="s">
        <v>418</v>
      </c>
      <c r="E718" s="1" t="s">
        <v>45</v>
      </c>
      <c r="F718" s="1" t="s">
        <v>1126</v>
      </c>
      <c r="G718" s="1" t="s">
        <v>1773</v>
      </c>
      <c r="H718" s="1" t="s">
        <v>1774</v>
      </c>
      <c r="I718" s="1" t="s">
        <v>49</v>
      </c>
      <c r="J718" s="1" t="s">
        <v>48</v>
      </c>
      <c r="K718" s="1">
        <v>96</v>
      </c>
      <c r="L718" s="1">
        <v>0</v>
      </c>
      <c r="M718" s="1">
        <v>0</v>
      </c>
      <c r="N718" s="1">
        <v>96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 t="s">
        <v>49</v>
      </c>
      <c r="AA718" s="1" t="s">
        <v>49</v>
      </c>
      <c r="AB718" s="1" t="s">
        <v>49</v>
      </c>
      <c r="AC718" s="1" t="s">
        <v>938</v>
      </c>
      <c r="AD718" s="1" t="s">
        <v>939</v>
      </c>
      <c r="AE718" s="1" t="s">
        <v>938</v>
      </c>
      <c r="AF718" s="1" t="s">
        <v>940</v>
      </c>
      <c r="AG718" s="1" t="s">
        <v>53</v>
      </c>
      <c r="AH718" s="1" t="s">
        <v>49</v>
      </c>
      <c r="AI718" s="1" t="s">
        <v>54</v>
      </c>
      <c r="AJ718" s="1">
        <v>1</v>
      </c>
      <c r="AK718" s="1" t="str">
        <f t="shared" si="11"/>
        <v xml:space="preserve"> =&lt;90</v>
      </c>
      <c r="AL718" s="1" t="str">
        <f>VLOOKUP(C:C,[1]基础信息!B$1:D$65536,3,0)</f>
        <v>Jug</v>
      </c>
      <c r="AM718" s="1" t="str">
        <f>VLOOKUP(C:C,[1]基础信息!B$1:E$65536,4,0)</f>
        <v>Marella XL</v>
      </c>
      <c r="AN718" s="1" t="str">
        <f>VLOOKUP(C:C,[1]基础信息!B$1:F$65536,5,0)</f>
        <v>Silver</v>
      </c>
    </row>
    <row r="719" spans="1:40">
      <c r="A719" s="1" t="s">
        <v>41</v>
      </c>
      <c r="B719" s="1" t="s">
        <v>42</v>
      </c>
      <c r="C719" s="1" t="s">
        <v>417</v>
      </c>
      <c r="D719" s="1" t="s">
        <v>418</v>
      </c>
      <c r="E719" s="1" t="s">
        <v>45</v>
      </c>
      <c r="F719" s="1" t="s">
        <v>1126</v>
      </c>
      <c r="G719" s="1" t="s">
        <v>1775</v>
      </c>
      <c r="H719" s="1" t="s">
        <v>1776</v>
      </c>
      <c r="I719" s="1" t="s">
        <v>49</v>
      </c>
      <c r="J719" s="1" t="s">
        <v>48</v>
      </c>
      <c r="K719" s="1">
        <v>96</v>
      </c>
      <c r="L719" s="1">
        <v>0</v>
      </c>
      <c r="M719" s="1">
        <v>0</v>
      </c>
      <c r="N719" s="1">
        <v>96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 t="s">
        <v>49</v>
      </c>
      <c r="AA719" s="1" t="s">
        <v>49</v>
      </c>
      <c r="AB719" s="1" t="s">
        <v>49</v>
      </c>
      <c r="AC719" s="1" t="s">
        <v>938</v>
      </c>
      <c r="AD719" s="1" t="s">
        <v>939</v>
      </c>
      <c r="AE719" s="1" t="s">
        <v>938</v>
      </c>
      <c r="AF719" s="1" t="s">
        <v>940</v>
      </c>
      <c r="AG719" s="1" t="s">
        <v>53</v>
      </c>
      <c r="AH719" s="1" t="s">
        <v>49</v>
      </c>
      <c r="AI719" s="1" t="s">
        <v>54</v>
      </c>
      <c r="AJ719" s="1">
        <v>1</v>
      </c>
      <c r="AK719" s="1" t="str">
        <f t="shared" si="11"/>
        <v xml:space="preserve"> =&lt;90</v>
      </c>
      <c r="AL719" s="1" t="str">
        <f>VLOOKUP(C:C,[1]基础信息!B$1:D$65536,3,0)</f>
        <v>Jug</v>
      </c>
      <c r="AM719" s="1" t="str">
        <f>VLOOKUP(C:C,[1]基础信息!B$1:E$65536,4,0)</f>
        <v>Marella XL</v>
      </c>
      <c r="AN719" s="1" t="str">
        <f>VLOOKUP(C:C,[1]基础信息!B$1:F$65536,5,0)</f>
        <v>Silver</v>
      </c>
    </row>
    <row r="720" spans="1:40">
      <c r="A720" s="1" t="s">
        <v>41</v>
      </c>
      <c r="B720" s="1" t="s">
        <v>42</v>
      </c>
      <c r="C720" s="1" t="s">
        <v>208</v>
      </c>
      <c r="D720" s="1" t="s">
        <v>209</v>
      </c>
      <c r="E720" s="1" t="s">
        <v>208</v>
      </c>
      <c r="F720" s="1" t="s">
        <v>1734</v>
      </c>
      <c r="G720" s="1" t="s">
        <v>1777</v>
      </c>
      <c r="H720" s="1" t="s">
        <v>1778</v>
      </c>
      <c r="I720" s="1" t="s">
        <v>49</v>
      </c>
      <c r="J720" s="1" t="s">
        <v>48</v>
      </c>
      <c r="K720" s="1">
        <v>80</v>
      </c>
      <c r="L720" s="1">
        <v>0</v>
      </c>
      <c r="M720" s="1">
        <v>0</v>
      </c>
      <c r="N720" s="1">
        <v>80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 t="s">
        <v>49</v>
      </c>
      <c r="AA720" s="1" t="s">
        <v>49</v>
      </c>
      <c r="AB720" s="1" t="s">
        <v>49</v>
      </c>
      <c r="AC720" s="1" t="s">
        <v>376</v>
      </c>
      <c r="AD720" s="1" t="s">
        <v>377</v>
      </c>
      <c r="AE720" s="1" t="s">
        <v>376</v>
      </c>
      <c r="AF720" s="1" t="s">
        <v>1414</v>
      </c>
      <c r="AG720" s="1" t="s">
        <v>53</v>
      </c>
      <c r="AH720" s="1" t="s">
        <v>49</v>
      </c>
      <c r="AI720" s="1" t="s">
        <v>54</v>
      </c>
      <c r="AJ720" s="1">
        <v>1</v>
      </c>
      <c r="AK720" s="1" t="str">
        <f t="shared" si="11"/>
        <v xml:space="preserve"> =&lt;90</v>
      </c>
      <c r="AL720" s="1" t="str">
        <f>VLOOKUP(C:C,[1]基础信息!B$1:D$65536,3,0)</f>
        <v>Jug</v>
      </c>
      <c r="AM720" s="1" t="str">
        <f>VLOOKUP(C:C,[1]基础信息!B$1:E$65536,4,0)</f>
        <v>MXpl</v>
      </c>
      <c r="AN720" s="1" t="str">
        <f>VLOOKUP(C:C,[1]基础信息!B$1:F$65536,5,0)</f>
        <v>grey</v>
      </c>
    </row>
    <row r="721" spans="1:40">
      <c r="A721" s="1" t="s">
        <v>41</v>
      </c>
      <c r="B721" s="1" t="s">
        <v>42</v>
      </c>
      <c r="C721" s="1" t="s">
        <v>969</v>
      </c>
      <c r="D721" s="1" t="s">
        <v>970</v>
      </c>
      <c r="E721" s="1" t="s">
        <v>45</v>
      </c>
      <c r="F721" s="1" t="s">
        <v>1765</v>
      </c>
      <c r="G721" s="1" t="s">
        <v>1779</v>
      </c>
      <c r="H721" s="1" t="s">
        <v>1780</v>
      </c>
      <c r="I721" s="1" t="s">
        <v>49</v>
      </c>
      <c r="J721" s="1" t="s">
        <v>48</v>
      </c>
      <c r="K721" s="1">
        <v>80</v>
      </c>
      <c r="L721" s="1">
        <v>0</v>
      </c>
      <c r="M721" s="1">
        <v>0</v>
      </c>
      <c r="N721" s="1">
        <v>80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 t="s">
        <v>49</v>
      </c>
      <c r="AA721" s="1" t="s">
        <v>49</v>
      </c>
      <c r="AB721" s="1" t="s">
        <v>49</v>
      </c>
      <c r="AC721" s="1" t="s">
        <v>128</v>
      </c>
      <c r="AD721" s="1" t="s">
        <v>129</v>
      </c>
      <c r="AE721" s="1" t="s">
        <v>128</v>
      </c>
      <c r="AF721" s="1" t="s">
        <v>1768</v>
      </c>
      <c r="AG721" s="1" t="s">
        <v>53</v>
      </c>
      <c r="AH721" s="1" t="s">
        <v>49</v>
      </c>
      <c r="AI721" s="1" t="s">
        <v>54</v>
      </c>
      <c r="AJ721" s="1">
        <v>1</v>
      </c>
      <c r="AK721" s="1" t="str">
        <f t="shared" si="11"/>
        <v xml:space="preserve"> =&lt;90</v>
      </c>
      <c r="AL721" s="1" t="str">
        <f>VLOOKUP(C:C,[1]基础信息!B$1:D$65536,3,0)</f>
        <v>Jug</v>
      </c>
      <c r="AM721" s="1" t="str">
        <f>VLOOKUP(C:C,[1]基础信息!B$1:E$65536,4,0)</f>
        <v>Mxplus</v>
      </c>
      <c r="AN721" s="1" t="str">
        <f>VLOOKUP(C:C,[1]基础信息!B$1:F$65536,5,0)</f>
        <v xml:space="preserve"> blue</v>
      </c>
    </row>
    <row r="722" spans="1:40">
      <c r="A722" s="1" t="s">
        <v>41</v>
      </c>
      <c r="B722" s="1" t="s">
        <v>42</v>
      </c>
      <c r="C722" s="1" t="s">
        <v>969</v>
      </c>
      <c r="D722" s="1" t="s">
        <v>970</v>
      </c>
      <c r="E722" s="1" t="s">
        <v>45</v>
      </c>
      <c r="F722" s="1" t="s">
        <v>1765</v>
      </c>
      <c r="G722" s="1" t="s">
        <v>1781</v>
      </c>
      <c r="H722" s="1" t="s">
        <v>1782</v>
      </c>
      <c r="I722" s="1" t="s">
        <v>49</v>
      </c>
      <c r="J722" s="1" t="s">
        <v>48</v>
      </c>
      <c r="K722" s="1">
        <v>80</v>
      </c>
      <c r="L722" s="1">
        <v>0</v>
      </c>
      <c r="M722" s="1">
        <v>0</v>
      </c>
      <c r="N722" s="1">
        <v>80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 t="s">
        <v>49</v>
      </c>
      <c r="AA722" s="1" t="s">
        <v>49</v>
      </c>
      <c r="AB722" s="1" t="s">
        <v>49</v>
      </c>
      <c r="AC722" s="1" t="s">
        <v>128</v>
      </c>
      <c r="AD722" s="1" t="s">
        <v>129</v>
      </c>
      <c r="AE722" s="1" t="s">
        <v>128</v>
      </c>
      <c r="AF722" s="1" t="s">
        <v>1768</v>
      </c>
      <c r="AG722" s="1" t="s">
        <v>53</v>
      </c>
      <c r="AH722" s="1" t="s">
        <v>49</v>
      </c>
      <c r="AI722" s="1" t="s">
        <v>54</v>
      </c>
      <c r="AJ722" s="1">
        <v>1</v>
      </c>
      <c r="AK722" s="1" t="str">
        <f t="shared" si="11"/>
        <v xml:space="preserve"> =&lt;90</v>
      </c>
      <c r="AL722" s="1" t="str">
        <f>VLOOKUP(C:C,[1]基础信息!B$1:D$65536,3,0)</f>
        <v>Jug</v>
      </c>
      <c r="AM722" s="1" t="str">
        <f>VLOOKUP(C:C,[1]基础信息!B$1:E$65536,4,0)</f>
        <v>Mxplus</v>
      </c>
      <c r="AN722" s="1" t="str">
        <f>VLOOKUP(C:C,[1]基础信息!B$1:F$65536,5,0)</f>
        <v xml:space="preserve"> blue</v>
      </c>
    </row>
    <row r="723" spans="1:40">
      <c r="A723" s="1" t="s">
        <v>41</v>
      </c>
      <c r="B723" s="1" t="s">
        <v>42</v>
      </c>
      <c r="C723" s="1" t="s">
        <v>969</v>
      </c>
      <c r="D723" s="1" t="s">
        <v>970</v>
      </c>
      <c r="E723" s="1" t="s">
        <v>45</v>
      </c>
      <c r="F723" s="1" t="s">
        <v>1765</v>
      </c>
      <c r="G723" s="1" t="s">
        <v>1783</v>
      </c>
      <c r="H723" s="1" t="s">
        <v>1784</v>
      </c>
      <c r="I723" s="1" t="s">
        <v>49</v>
      </c>
      <c r="J723" s="1" t="s">
        <v>48</v>
      </c>
      <c r="K723" s="1">
        <v>80</v>
      </c>
      <c r="L723" s="1">
        <v>0</v>
      </c>
      <c r="M723" s="1">
        <v>0</v>
      </c>
      <c r="N723" s="1">
        <v>80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 t="s">
        <v>49</v>
      </c>
      <c r="AA723" s="1" t="s">
        <v>49</v>
      </c>
      <c r="AB723" s="1" t="s">
        <v>49</v>
      </c>
      <c r="AC723" s="1" t="s">
        <v>128</v>
      </c>
      <c r="AD723" s="1" t="s">
        <v>129</v>
      </c>
      <c r="AE723" s="1" t="s">
        <v>128</v>
      </c>
      <c r="AF723" s="1" t="s">
        <v>1768</v>
      </c>
      <c r="AG723" s="1" t="s">
        <v>53</v>
      </c>
      <c r="AH723" s="1" t="s">
        <v>49</v>
      </c>
      <c r="AI723" s="1" t="s">
        <v>54</v>
      </c>
      <c r="AJ723" s="1">
        <v>1</v>
      </c>
      <c r="AK723" s="1" t="str">
        <f t="shared" si="11"/>
        <v xml:space="preserve"> =&lt;90</v>
      </c>
      <c r="AL723" s="1" t="str">
        <f>VLOOKUP(C:C,[1]基础信息!B$1:D$65536,3,0)</f>
        <v>Jug</v>
      </c>
      <c r="AM723" s="1" t="str">
        <f>VLOOKUP(C:C,[1]基础信息!B$1:E$65536,4,0)</f>
        <v>Mxplus</v>
      </c>
      <c r="AN723" s="1" t="str">
        <f>VLOOKUP(C:C,[1]基础信息!B$1:F$65536,5,0)</f>
        <v xml:space="preserve"> blue</v>
      </c>
    </row>
    <row r="724" spans="1:40">
      <c r="A724" s="1" t="s">
        <v>41</v>
      </c>
      <c r="B724" s="1" t="s">
        <v>42</v>
      </c>
      <c r="C724" s="1" t="s">
        <v>969</v>
      </c>
      <c r="D724" s="1" t="s">
        <v>970</v>
      </c>
      <c r="E724" s="1" t="s">
        <v>45</v>
      </c>
      <c r="F724" s="1" t="s">
        <v>1765</v>
      </c>
      <c r="G724" s="1" t="s">
        <v>1785</v>
      </c>
      <c r="H724" s="1" t="s">
        <v>1786</v>
      </c>
      <c r="I724" s="1" t="s">
        <v>49</v>
      </c>
      <c r="J724" s="1" t="s">
        <v>48</v>
      </c>
      <c r="K724" s="1">
        <v>52</v>
      </c>
      <c r="L724" s="1">
        <v>0</v>
      </c>
      <c r="M724" s="1">
        <v>0</v>
      </c>
      <c r="N724" s="1">
        <v>52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 t="s">
        <v>49</v>
      </c>
      <c r="AA724" s="1" t="s">
        <v>49</v>
      </c>
      <c r="AB724" s="1" t="s">
        <v>49</v>
      </c>
      <c r="AC724" s="1" t="s">
        <v>128</v>
      </c>
      <c r="AD724" s="1" t="s">
        <v>129</v>
      </c>
      <c r="AE724" s="1" t="s">
        <v>128</v>
      </c>
      <c r="AF724" s="1" t="s">
        <v>1768</v>
      </c>
      <c r="AG724" s="1" t="s">
        <v>53</v>
      </c>
      <c r="AH724" s="1" t="s">
        <v>49</v>
      </c>
      <c r="AI724" s="1" t="s">
        <v>54</v>
      </c>
      <c r="AJ724" s="1">
        <v>1</v>
      </c>
      <c r="AK724" s="1" t="str">
        <f t="shared" si="11"/>
        <v xml:space="preserve"> =&lt;90</v>
      </c>
      <c r="AL724" s="1" t="str">
        <f>VLOOKUP(C:C,[1]基础信息!B$1:D$65536,3,0)</f>
        <v>Jug</v>
      </c>
      <c r="AM724" s="1" t="str">
        <f>VLOOKUP(C:C,[1]基础信息!B$1:E$65536,4,0)</f>
        <v>Mxplus</v>
      </c>
      <c r="AN724" s="1" t="str">
        <f>VLOOKUP(C:C,[1]基础信息!B$1:F$65536,5,0)</f>
        <v xml:space="preserve"> blue</v>
      </c>
    </row>
    <row r="725" spans="1:40">
      <c r="A725" s="1" t="s">
        <v>41</v>
      </c>
      <c r="B725" s="1" t="s">
        <v>42</v>
      </c>
      <c r="C725" s="1" t="s">
        <v>969</v>
      </c>
      <c r="D725" s="1" t="s">
        <v>970</v>
      </c>
      <c r="E725" s="1" t="s">
        <v>45</v>
      </c>
      <c r="F725" s="1" t="s">
        <v>1787</v>
      </c>
      <c r="G725" s="1" t="s">
        <v>1788</v>
      </c>
      <c r="H725" s="1" t="s">
        <v>1789</v>
      </c>
      <c r="I725" s="1" t="s">
        <v>49</v>
      </c>
      <c r="J725" s="1" t="s">
        <v>48</v>
      </c>
      <c r="K725" s="1">
        <v>80</v>
      </c>
      <c r="L725" s="1">
        <v>0</v>
      </c>
      <c r="M725" s="1">
        <v>0</v>
      </c>
      <c r="N725" s="1">
        <v>80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 t="s">
        <v>49</v>
      </c>
      <c r="AA725" s="1" t="s">
        <v>49</v>
      </c>
      <c r="AB725" s="1" t="s">
        <v>49</v>
      </c>
      <c r="AC725" s="1" t="s">
        <v>128</v>
      </c>
      <c r="AD725" s="1" t="s">
        <v>129</v>
      </c>
      <c r="AE725" s="1" t="s">
        <v>128</v>
      </c>
      <c r="AF725" s="1" t="s">
        <v>1332</v>
      </c>
      <c r="AG725" s="1" t="s">
        <v>53</v>
      </c>
      <c r="AH725" s="1" t="s">
        <v>49</v>
      </c>
      <c r="AI725" s="1" t="s">
        <v>54</v>
      </c>
      <c r="AJ725" s="1">
        <v>1</v>
      </c>
      <c r="AK725" s="1" t="str">
        <f t="shared" si="11"/>
        <v xml:space="preserve"> =&lt;90</v>
      </c>
      <c r="AL725" s="1" t="str">
        <f>VLOOKUP(C:C,[1]基础信息!B$1:D$65536,3,0)</f>
        <v>Jug</v>
      </c>
      <c r="AM725" s="1" t="str">
        <f>VLOOKUP(C:C,[1]基础信息!B$1:E$65536,4,0)</f>
        <v>Mxplus</v>
      </c>
      <c r="AN725" s="1" t="str">
        <f>VLOOKUP(C:C,[1]基础信息!B$1:F$65536,5,0)</f>
        <v xml:space="preserve"> blue</v>
      </c>
    </row>
    <row r="726" spans="1:40">
      <c r="A726" s="1" t="s">
        <v>41</v>
      </c>
      <c r="B726" s="1" t="s">
        <v>42</v>
      </c>
      <c r="C726" s="1" t="s">
        <v>969</v>
      </c>
      <c r="D726" s="1" t="s">
        <v>970</v>
      </c>
      <c r="E726" s="1" t="s">
        <v>45</v>
      </c>
      <c r="F726" s="1" t="s">
        <v>1787</v>
      </c>
      <c r="G726" s="1" t="s">
        <v>1790</v>
      </c>
      <c r="H726" s="1" t="s">
        <v>1791</v>
      </c>
      <c r="I726" s="1" t="s">
        <v>49</v>
      </c>
      <c r="J726" s="1" t="s">
        <v>48</v>
      </c>
      <c r="K726" s="1">
        <v>80</v>
      </c>
      <c r="L726" s="1">
        <v>0</v>
      </c>
      <c r="M726" s="1">
        <v>0</v>
      </c>
      <c r="N726" s="1">
        <v>80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 t="s">
        <v>49</v>
      </c>
      <c r="AA726" s="1" t="s">
        <v>49</v>
      </c>
      <c r="AB726" s="1" t="s">
        <v>49</v>
      </c>
      <c r="AC726" s="1" t="s">
        <v>128</v>
      </c>
      <c r="AD726" s="1" t="s">
        <v>129</v>
      </c>
      <c r="AE726" s="1" t="s">
        <v>128</v>
      </c>
      <c r="AF726" s="1" t="s">
        <v>1332</v>
      </c>
      <c r="AG726" s="1" t="s">
        <v>53</v>
      </c>
      <c r="AH726" s="1" t="s">
        <v>49</v>
      </c>
      <c r="AI726" s="1" t="s">
        <v>54</v>
      </c>
      <c r="AJ726" s="1">
        <v>1</v>
      </c>
      <c r="AK726" s="1" t="str">
        <f t="shared" si="11"/>
        <v xml:space="preserve"> =&lt;90</v>
      </c>
      <c r="AL726" s="1" t="str">
        <f>VLOOKUP(C:C,[1]基础信息!B$1:D$65536,3,0)</f>
        <v>Jug</v>
      </c>
      <c r="AM726" s="1" t="str">
        <f>VLOOKUP(C:C,[1]基础信息!B$1:E$65536,4,0)</f>
        <v>Mxplus</v>
      </c>
      <c r="AN726" s="1" t="str">
        <f>VLOOKUP(C:C,[1]基础信息!B$1:F$65536,5,0)</f>
        <v xml:space="preserve"> blue</v>
      </c>
    </row>
    <row r="727" spans="1:40">
      <c r="A727" s="1" t="s">
        <v>41</v>
      </c>
      <c r="B727" s="1" t="s">
        <v>42</v>
      </c>
      <c r="C727" s="1" t="s">
        <v>969</v>
      </c>
      <c r="D727" s="1" t="s">
        <v>970</v>
      </c>
      <c r="E727" s="1" t="s">
        <v>45</v>
      </c>
      <c r="F727" s="1" t="s">
        <v>1787</v>
      </c>
      <c r="G727" s="1" t="s">
        <v>1792</v>
      </c>
      <c r="H727" s="1" t="s">
        <v>1793</v>
      </c>
      <c r="I727" s="1" t="s">
        <v>49</v>
      </c>
      <c r="J727" s="1" t="s">
        <v>48</v>
      </c>
      <c r="K727" s="1">
        <v>80</v>
      </c>
      <c r="L727" s="1">
        <v>0</v>
      </c>
      <c r="M727" s="1">
        <v>0</v>
      </c>
      <c r="N727" s="1">
        <v>80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 t="s">
        <v>49</v>
      </c>
      <c r="AA727" s="1" t="s">
        <v>49</v>
      </c>
      <c r="AB727" s="1" t="s">
        <v>49</v>
      </c>
      <c r="AC727" s="1" t="s">
        <v>128</v>
      </c>
      <c r="AD727" s="1" t="s">
        <v>129</v>
      </c>
      <c r="AE727" s="1" t="s">
        <v>128</v>
      </c>
      <c r="AF727" s="1" t="s">
        <v>1332</v>
      </c>
      <c r="AG727" s="1" t="s">
        <v>53</v>
      </c>
      <c r="AH727" s="1" t="s">
        <v>49</v>
      </c>
      <c r="AI727" s="1" t="s">
        <v>54</v>
      </c>
      <c r="AJ727" s="1">
        <v>1</v>
      </c>
      <c r="AK727" s="1" t="str">
        <f t="shared" si="11"/>
        <v xml:space="preserve"> =&lt;90</v>
      </c>
      <c r="AL727" s="1" t="str">
        <f>VLOOKUP(C:C,[1]基础信息!B$1:D$65536,3,0)</f>
        <v>Jug</v>
      </c>
      <c r="AM727" s="1" t="str">
        <f>VLOOKUP(C:C,[1]基础信息!B$1:E$65536,4,0)</f>
        <v>Mxplus</v>
      </c>
      <c r="AN727" s="1" t="str">
        <f>VLOOKUP(C:C,[1]基础信息!B$1:F$65536,5,0)</f>
        <v xml:space="preserve"> blue</v>
      </c>
    </row>
    <row r="728" spans="1:40">
      <c r="A728" s="1" t="s">
        <v>41</v>
      </c>
      <c r="B728" s="1" t="s">
        <v>42</v>
      </c>
      <c r="C728" s="1" t="s">
        <v>969</v>
      </c>
      <c r="D728" s="1" t="s">
        <v>970</v>
      </c>
      <c r="E728" s="1" t="s">
        <v>45</v>
      </c>
      <c r="F728" s="1" t="s">
        <v>1787</v>
      </c>
      <c r="G728" s="1" t="s">
        <v>1794</v>
      </c>
      <c r="H728" s="1" t="s">
        <v>1795</v>
      </c>
      <c r="I728" s="1" t="s">
        <v>49</v>
      </c>
      <c r="J728" s="1" t="s">
        <v>48</v>
      </c>
      <c r="K728" s="1">
        <v>80</v>
      </c>
      <c r="L728" s="1">
        <v>0</v>
      </c>
      <c r="M728" s="1">
        <v>0</v>
      </c>
      <c r="N728" s="1">
        <v>80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 t="s">
        <v>49</v>
      </c>
      <c r="AA728" s="1" t="s">
        <v>49</v>
      </c>
      <c r="AB728" s="1" t="s">
        <v>49</v>
      </c>
      <c r="AC728" s="1" t="s">
        <v>128</v>
      </c>
      <c r="AD728" s="1" t="s">
        <v>129</v>
      </c>
      <c r="AE728" s="1" t="s">
        <v>128</v>
      </c>
      <c r="AF728" s="1" t="s">
        <v>1332</v>
      </c>
      <c r="AG728" s="1" t="s">
        <v>53</v>
      </c>
      <c r="AH728" s="1" t="s">
        <v>49</v>
      </c>
      <c r="AI728" s="1" t="s">
        <v>54</v>
      </c>
      <c r="AJ728" s="1">
        <v>1</v>
      </c>
      <c r="AK728" s="1" t="str">
        <f t="shared" si="11"/>
        <v xml:space="preserve"> =&lt;90</v>
      </c>
      <c r="AL728" s="1" t="str">
        <f>VLOOKUP(C:C,[1]基础信息!B$1:D$65536,3,0)</f>
        <v>Jug</v>
      </c>
      <c r="AM728" s="1" t="str">
        <f>VLOOKUP(C:C,[1]基础信息!B$1:E$65536,4,0)</f>
        <v>Mxplus</v>
      </c>
      <c r="AN728" s="1" t="str">
        <f>VLOOKUP(C:C,[1]基础信息!B$1:F$65536,5,0)</f>
        <v xml:space="preserve"> blue</v>
      </c>
    </row>
    <row r="729" spans="1:40">
      <c r="A729" s="1" t="s">
        <v>41</v>
      </c>
      <c r="B729" s="1" t="s">
        <v>42</v>
      </c>
      <c r="C729" s="1" t="s">
        <v>969</v>
      </c>
      <c r="D729" s="1" t="s">
        <v>970</v>
      </c>
      <c r="E729" s="1" t="s">
        <v>45</v>
      </c>
      <c r="F729" s="1" t="s">
        <v>1787</v>
      </c>
      <c r="G729" s="1" t="s">
        <v>1796</v>
      </c>
      <c r="H729" s="1" t="s">
        <v>1797</v>
      </c>
      <c r="I729" s="1" t="s">
        <v>49</v>
      </c>
      <c r="J729" s="1" t="s">
        <v>48</v>
      </c>
      <c r="K729" s="1">
        <v>80</v>
      </c>
      <c r="L729" s="1">
        <v>0</v>
      </c>
      <c r="M729" s="1">
        <v>0</v>
      </c>
      <c r="N729" s="1">
        <v>80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 t="s">
        <v>49</v>
      </c>
      <c r="AA729" s="1" t="s">
        <v>49</v>
      </c>
      <c r="AB729" s="1" t="s">
        <v>49</v>
      </c>
      <c r="AC729" s="1" t="s">
        <v>128</v>
      </c>
      <c r="AD729" s="1" t="s">
        <v>129</v>
      </c>
      <c r="AE729" s="1" t="s">
        <v>128</v>
      </c>
      <c r="AF729" s="1" t="s">
        <v>1332</v>
      </c>
      <c r="AG729" s="1" t="s">
        <v>53</v>
      </c>
      <c r="AH729" s="1" t="s">
        <v>49</v>
      </c>
      <c r="AI729" s="1" t="s">
        <v>54</v>
      </c>
      <c r="AJ729" s="1">
        <v>1</v>
      </c>
      <c r="AK729" s="1" t="str">
        <f t="shared" si="11"/>
        <v xml:space="preserve"> =&lt;90</v>
      </c>
      <c r="AL729" s="1" t="str">
        <f>VLOOKUP(C:C,[1]基础信息!B$1:D$65536,3,0)</f>
        <v>Jug</v>
      </c>
      <c r="AM729" s="1" t="str">
        <f>VLOOKUP(C:C,[1]基础信息!B$1:E$65536,4,0)</f>
        <v>Mxplus</v>
      </c>
      <c r="AN729" s="1" t="str">
        <f>VLOOKUP(C:C,[1]基础信息!B$1:F$65536,5,0)</f>
        <v xml:space="preserve"> blue</v>
      </c>
    </row>
    <row r="730" spans="1:40">
      <c r="A730" s="1" t="s">
        <v>41</v>
      </c>
      <c r="B730" s="1" t="s">
        <v>42</v>
      </c>
      <c r="C730" s="1" t="s">
        <v>969</v>
      </c>
      <c r="D730" s="1" t="s">
        <v>970</v>
      </c>
      <c r="E730" s="1" t="s">
        <v>45</v>
      </c>
      <c r="F730" s="1" t="s">
        <v>1787</v>
      </c>
      <c r="G730" s="1" t="s">
        <v>1798</v>
      </c>
      <c r="H730" s="1" t="s">
        <v>1799</v>
      </c>
      <c r="I730" s="1" t="s">
        <v>49</v>
      </c>
      <c r="J730" s="1" t="s">
        <v>48</v>
      </c>
      <c r="K730" s="1">
        <v>80</v>
      </c>
      <c r="L730" s="1">
        <v>0</v>
      </c>
      <c r="M730" s="1">
        <v>0</v>
      </c>
      <c r="N730" s="1">
        <v>80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 t="s">
        <v>49</v>
      </c>
      <c r="AA730" s="1" t="s">
        <v>49</v>
      </c>
      <c r="AB730" s="1" t="s">
        <v>49</v>
      </c>
      <c r="AC730" s="1" t="s">
        <v>128</v>
      </c>
      <c r="AD730" s="1" t="s">
        <v>129</v>
      </c>
      <c r="AE730" s="1" t="s">
        <v>128</v>
      </c>
      <c r="AF730" s="1" t="s">
        <v>1332</v>
      </c>
      <c r="AG730" s="1" t="s">
        <v>53</v>
      </c>
      <c r="AH730" s="1" t="s">
        <v>49</v>
      </c>
      <c r="AI730" s="1" t="s">
        <v>54</v>
      </c>
      <c r="AJ730" s="1">
        <v>1</v>
      </c>
      <c r="AK730" s="1" t="str">
        <f t="shared" si="11"/>
        <v xml:space="preserve"> =&lt;90</v>
      </c>
      <c r="AL730" s="1" t="str">
        <f>VLOOKUP(C:C,[1]基础信息!B$1:D$65536,3,0)</f>
        <v>Jug</v>
      </c>
      <c r="AM730" s="1" t="str">
        <f>VLOOKUP(C:C,[1]基础信息!B$1:E$65536,4,0)</f>
        <v>Mxplus</v>
      </c>
      <c r="AN730" s="1" t="str">
        <f>VLOOKUP(C:C,[1]基础信息!B$1:F$65536,5,0)</f>
        <v xml:space="preserve"> blue</v>
      </c>
    </row>
    <row r="731" spans="1:40">
      <c r="A731" s="1" t="s">
        <v>41</v>
      </c>
      <c r="B731" s="1" t="s">
        <v>42</v>
      </c>
      <c r="C731" s="1" t="s">
        <v>969</v>
      </c>
      <c r="D731" s="1" t="s">
        <v>970</v>
      </c>
      <c r="E731" s="1" t="s">
        <v>45</v>
      </c>
      <c r="F731" s="1" t="s">
        <v>1787</v>
      </c>
      <c r="G731" s="1" t="s">
        <v>1800</v>
      </c>
      <c r="H731" s="1" t="s">
        <v>1801</v>
      </c>
      <c r="I731" s="1" t="s">
        <v>49</v>
      </c>
      <c r="J731" s="1" t="s">
        <v>48</v>
      </c>
      <c r="K731" s="1">
        <v>80</v>
      </c>
      <c r="L731" s="1">
        <v>0</v>
      </c>
      <c r="M731" s="1">
        <v>0</v>
      </c>
      <c r="N731" s="1">
        <v>80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 t="s">
        <v>49</v>
      </c>
      <c r="AA731" s="1" t="s">
        <v>49</v>
      </c>
      <c r="AB731" s="1" t="s">
        <v>49</v>
      </c>
      <c r="AC731" s="1" t="s">
        <v>128</v>
      </c>
      <c r="AD731" s="1" t="s">
        <v>129</v>
      </c>
      <c r="AE731" s="1" t="s">
        <v>128</v>
      </c>
      <c r="AF731" s="1" t="s">
        <v>1332</v>
      </c>
      <c r="AG731" s="1" t="s">
        <v>53</v>
      </c>
      <c r="AH731" s="1" t="s">
        <v>49</v>
      </c>
      <c r="AI731" s="1" t="s">
        <v>54</v>
      </c>
      <c r="AJ731" s="1">
        <v>1</v>
      </c>
      <c r="AK731" s="1" t="str">
        <f t="shared" si="11"/>
        <v xml:space="preserve"> =&lt;90</v>
      </c>
      <c r="AL731" s="1" t="str">
        <f>VLOOKUP(C:C,[1]基础信息!B$1:D$65536,3,0)</f>
        <v>Jug</v>
      </c>
      <c r="AM731" s="1" t="str">
        <f>VLOOKUP(C:C,[1]基础信息!B$1:E$65536,4,0)</f>
        <v>Mxplus</v>
      </c>
      <c r="AN731" s="1" t="str">
        <f>VLOOKUP(C:C,[1]基础信息!B$1:F$65536,5,0)</f>
        <v xml:space="preserve"> blue</v>
      </c>
    </row>
    <row r="732" spans="1:40">
      <c r="A732" s="1" t="s">
        <v>41</v>
      </c>
      <c r="B732" s="1" t="s">
        <v>42</v>
      </c>
      <c r="C732" s="1" t="s">
        <v>969</v>
      </c>
      <c r="D732" s="1" t="s">
        <v>970</v>
      </c>
      <c r="E732" s="1" t="s">
        <v>45</v>
      </c>
      <c r="F732" s="1" t="s">
        <v>1787</v>
      </c>
      <c r="G732" s="1" t="s">
        <v>1802</v>
      </c>
      <c r="H732" s="1" t="s">
        <v>1803</v>
      </c>
      <c r="I732" s="1" t="s">
        <v>49</v>
      </c>
      <c r="J732" s="1" t="s">
        <v>48</v>
      </c>
      <c r="K732" s="1">
        <v>80</v>
      </c>
      <c r="L732" s="1">
        <v>0</v>
      </c>
      <c r="M732" s="1">
        <v>0</v>
      </c>
      <c r="N732" s="1">
        <v>80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 t="s">
        <v>49</v>
      </c>
      <c r="AA732" s="1" t="s">
        <v>49</v>
      </c>
      <c r="AB732" s="1" t="s">
        <v>49</v>
      </c>
      <c r="AC732" s="1" t="s">
        <v>128</v>
      </c>
      <c r="AD732" s="1" t="s">
        <v>129</v>
      </c>
      <c r="AE732" s="1" t="s">
        <v>128</v>
      </c>
      <c r="AF732" s="1" t="s">
        <v>1332</v>
      </c>
      <c r="AG732" s="1" t="s">
        <v>53</v>
      </c>
      <c r="AH732" s="1" t="s">
        <v>49</v>
      </c>
      <c r="AI732" s="1" t="s">
        <v>54</v>
      </c>
      <c r="AJ732" s="1">
        <v>1</v>
      </c>
      <c r="AK732" s="1" t="str">
        <f t="shared" si="11"/>
        <v xml:space="preserve"> =&lt;90</v>
      </c>
      <c r="AL732" s="1" t="str">
        <f>VLOOKUP(C:C,[1]基础信息!B$1:D$65536,3,0)</f>
        <v>Jug</v>
      </c>
      <c r="AM732" s="1" t="str">
        <f>VLOOKUP(C:C,[1]基础信息!B$1:E$65536,4,0)</f>
        <v>Mxplus</v>
      </c>
      <c r="AN732" s="1" t="str">
        <f>VLOOKUP(C:C,[1]基础信息!B$1:F$65536,5,0)</f>
        <v xml:space="preserve"> blue</v>
      </c>
    </row>
    <row r="733" spans="1:40">
      <c r="A733" s="1" t="s">
        <v>41</v>
      </c>
      <c r="B733" s="1" t="s">
        <v>42</v>
      </c>
      <c r="C733" s="1" t="s">
        <v>969</v>
      </c>
      <c r="D733" s="1" t="s">
        <v>970</v>
      </c>
      <c r="E733" s="1" t="s">
        <v>45</v>
      </c>
      <c r="F733" s="1" t="s">
        <v>1787</v>
      </c>
      <c r="G733" s="1" t="s">
        <v>1804</v>
      </c>
      <c r="H733" s="1" t="s">
        <v>1805</v>
      </c>
      <c r="I733" s="1" t="s">
        <v>49</v>
      </c>
      <c r="J733" s="1" t="s">
        <v>48</v>
      </c>
      <c r="K733" s="1">
        <v>80</v>
      </c>
      <c r="L733" s="1">
        <v>0</v>
      </c>
      <c r="M733" s="1">
        <v>0</v>
      </c>
      <c r="N733" s="1">
        <v>80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 t="s">
        <v>49</v>
      </c>
      <c r="AA733" s="1" t="s">
        <v>49</v>
      </c>
      <c r="AB733" s="1" t="s">
        <v>49</v>
      </c>
      <c r="AC733" s="1" t="s">
        <v>128</v>
      </c>
      <c r="AD733" s="1" t="s">
        <v>129</v>
      </c>
      <c r="AE733" s="1" t="s">
        <v>128</v>
      </c>
      <c r="AF733" s="1" t="s">
        <v>1332</v>
      </c>
      <c r="AG733" s="1" t="s">
        <v>53</v>
      </c>
      <c r="AH733" s="1" t="s">
        <v>49</v>
      </c>
      <c r="AI733" s="1" t="s">
        <v>54</v>
      </c>
      <c r="AJ733" s="1">
        <v>1</v>
      </c>
      <c r="AK733" s="1" t="str">
        <f t="shared" si="11"/>
        <v xml:space="preserve"> =&lt;90</v>
      </c>
      <c r="AL733" s="1" t="str">
        <f>VLOOKUP(C:C,[1]基础信息!B$1:D$65536,3,0)</f>
        <v>Jug</v>
      </c>
      <c r="AM733" s="1" t="str">
        <f>VLOOKUP(C:C,[1]基础信息!B$1:E$65536,4,0)</f>
        <v>Mxplus</v>
      </c>
      <c r="AN733" s="1" t="str">
        <f>VLOOKUP(C:C,[1]基础信息!B$1:F$65536,5,0)</f>
        <v xml:space="preserve"> blue</v>
      </c>
    </row>
    <row r="734" spans="1:40">
      <c r="A734" s="1" t="s">
        <v>41</v>
      </c>
      <c r="B734" s="1" t="s">
        <v>42</v>
      </c>
      <c r="C734" s="1" t="s">
        <v>969</v>
      </c>
      <c r="D734" s="1" t="s">
        <v>970</v>
      </c>
      <c r="E734" s="1" t="s">
        <v>45</v>
      </c>
      <c r="F734" s="1" t="s">
        <v>1787</v>
      </c>
      <c r="G734" s="1" t="s">
        <v>1806</v>
      </c>
      <c r="H734" s="1" t="s">
        <v>1807</v>
      </c>
      <c r="I734" s="1" t="s">
        <v>49</v>
      </c>
      <c r="J734" s="1" t="s">
        <v>48</v>
      </c>
      <c r="K734" s="1">
        <v>80</v>
      </c>
      <c r="L734" s="1">
        <v>0</v>
      </c>
      <c r="M734" s="1">
        <v>0</v>
      </c>
      <c r="N734" s="1">
        <v>80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 t="s">
        <v>49</v>
      </c>
      <c r="AA734" s="1" t="s">
        <v>49</v>
      </c>
      <c r="AB734" s="1" t="s">
        <v>49</v>
      </c>
      <c r="AC734" s="1" t="s">
        <v>128</v>
      </c>
      <c r="AD734" s="1" t="s">
        <v>129</v>
      </c>
      <c r="AE734" s="1" t="s">
        <v>128</v>
      </c>
      <c r="AF734" s="1" t="s">
        <v>1332</v>
      </c>
      <c r="AG734" s="1" t="s">
        <v>53</v>
      </c>
      <c r="AH734" s="1" t="s">
        <v>49</v>
      </c>
      <c r="AI734" s="1" t="s">
        <v>54</v>
      </c>
      <c r="AJ734" s="1">
        <v>1</v>
      </c>
      <c r="AK734" s="1" t="str">
        <f t="shared" si="11"/>
        <v xml:space="preserve"> =&lt;90</v>
      </c>
      <c r="AL734" s="1" t="str">
        <f>VLOOKUP(C:C,[1]基础信息!B$1:D$65536,3,0)</f>
        <v>Jug</v>
      </c>
      <c r="AM734" s="1" t="str">
        <f>VLOOKUP(C:C,[1]基础信息!B$1:E$65536,4,0)</f>
        <v>Mxplus</v>
      </c>
      <c r="AN734" s="1" t="str">
        <f>VLOOKUP(C:C,[1]基础信息!B$1:F$65536,5,0)</f>
        <v xml:space="preserve"> blue</v>
      </c>
    </row>
    <row r="735" spans="1:40">
      <c r="A735" s="1" t="s">
        <v>41</v>
      </c>
      <c r="B735" s="1" t="s">
        <v>42</v>
      </c>
      <c r="C735" s="1" t="s">
        <v>969</v>
      </c>
      <c r="D735" s="1" t="s">
        <v>970</v>
      </c>
      <c r="E735" s="1" t="s">
        <v>45</v>
      </c>
      <c r="F735" s="1" t="s">
        <v>1787</v>
      </c>
      <c r="G735" s="1" t="s">
        <v>1808</v>
      </c>
      <c r="H735" s="1" t="s">
        <v>1809</v>
      </c>
      <c r="I735" s="1" t="s">
        <v>49</v>
      </c>
      <c r="J735" s="1" t="s">
        <v>48</v>
      </c>
      <c r="K735" s="1">
        <v>80</v>
      </c>
      <c r="L735" s="1">
        <v>0</v>
      </c>
      <c r="M735" s="1">
        <v>0</v>
      </c>
      <c r="N735" s="1">
        <v>80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 t="s">
        <v>49</v>
      </c>
      <c r="AA735" s="1" t="s">
        <v>49</v>
      </c>
      <c r="AB735" s="1" t="s">
        <v>49</v>
      </c>
      <c r="AC735" s="1" t="s">
        <v>128</v>
      </c>
      <c r="AD735" s="1" t="s">
        <v>129</v>
      </c>
      <c r="AE735" s="1" t="s">
        <v>128</v>
      </c>
      <c r="AF735" s="1" t="s">
        <v>1332</v>
      </c>
      <c r="AG735" s="1" t="s">
        <v>53</v>
      </c>
      <c r="AH735" s="1" t="s">
        <v>49</v>
      </c>
      <c r="AI735" s="1" t="s">
        <v>54</v>
      </c>
      <c r="AJ735" s="1">
        <v>1</v>
      </c>
      <c r="AK735" s="1" t="str">
        <f t="shared" si="11"/>
        <v xml:space="preserve"> =&lt;90</v>
      </c>
      <c r="AL735" s="1" t="str">
        <f>VLOOKUP(C:C,[1]基础信息!B$1:D$65536,3,0)</f>
        <v>Jug</v>
      </c>
      <c r="AM735" s="1" t="str">
        <f>VLOOKUP(C:C,[1]基础信息!B$1:E$65536,4,0)</f>
        <v>Mxplus</v>
      </c>
      <c r="AN735" s="1" t="str">
        <f>VLOOKUP(C:C,[1]基础信息!B$1:F$65536,5,0)</f>
        <v xml:space="preserve"> blue</v>
      </c>
    </row>
    <row r="736" spans="1:40">
      <c r="A736" s="1" t="s">
        <v>41</v>
      </c>
      <c r="B736" s="1" t="s">
        <v>42</v>
      </c>
      <c r="C736" s="1" t="s">
        <v>969</v>
      </c>
      <c r="D736" s="1" t="s">
        <v>970</v>
      </c>
      <c r="E736" s="1" t="s">
        <v>45</v>
      </c>
      <c r="F736" s="1" t="s">
        <v>1787</v>
      </c>
      <c r="G736" s="1" t="s">
        <v>1810</v>
      </c>
      <c r="H736" s="1" t="s">
        <v>1811</v>
      </c>
      <c r="I736" s="1" t="s">
        <v>49</v>
      </c>
      <c r="J736" s="1" t="s">
        <v>48</v>
      </c>
      <c r="K736" s="1">
        <v>80</v>
      </c>
      <c r="L736" s="1">
        <v>0</v>
      </c>
      <c r="M736" s="1">
        <v>0</v>
      </c>
      <c r="N736" s="1">
        <v>80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 t="s">
        <v>49</v>
      </c>
      <c r="AA736" s="1" t="s">
        <v>49</v>
      </c>
      <c r="AB736" s="1" t="s">
        <v>49</v>
      </c>
      <c r="AC736" s="1" t="s">
        <v>128</v>
      </c>
      <c r="AD736" s="1" t="s">
        <v>129</v>
      </c>
      <c r="AE736" s="1" t="s">
        <v>128</v>
      </c>
      <c r="AF736" s="1" t="s">
        <v>1332</v>
      </c>
      <c r="AG736" s="1" t="s">
        <v>53</v>
      </c>
      <c r="AH736" s="1" t="s">
        <v>49</v>
      </c>
      <c r="AI736" s="1" t="s">
        <v>54</v>
      </c>
      <c r="AJ736" s="1">
        <v>1</v>
      </c>
      <c r="AK736" s="1" t="str">
        <f t="shared" si="11"/>
        <v xml:space="preserve"> =&lt;90</v>
      </c>
      <c r="AL736" s="1" t="str">
        <f>VLOOKUP(C:C,[1]基础信息!B$1:D$65536,3,0)</f>
        <v>Jug</v>
      </c>
      <c r="AM736" s="1" t="str">
        <f>VLOOKUP(C:C,[1]基础信息!B$1:E$65536,4,0)</f>
        <v>Mxplus</v>
      </c>
      <c r="AN736" s="1" t="str">
        <f>VLOOKUP(C:C,[1]基础信息!B$1:F$65536,5,0)</f>
        <v xml:space="preserve"> blue</v>
      </c>
    </row>
    <row r="737" spans="1:40">
      <c r="A737" s="1" t="s">
        <v>41</v>
      </c>
      <c r="B737" s="1" t="s">
        <v>42</v>
      </c>
      <c r="C737" s="1" t="s">
        <v>969</v>
      </c>
      <c r="D737" s="1" t="s">
        <v>970</v>
      </c>
      <c r="E737" s="1" t="s">
        <v>45</v>
      </c>
      <c r="F737" s="1" t="s">
        <v>1787</v>
      </c>
      <c r="G737" s="1" t="s">
        <v>1812</v>
      </c>
      <c r="H737" s="1" t="s">
        <v>1813</v>
      </c>
      <c r="I737" s="1" t="s">
        <v>49</v>
      </c>
      <c r="J737" s="1" t="s">
        <v>48</v>
      </c>
      <c r="K737" s="1">
        <v>80</v>
      </c>
      <c r="L737" s="1">
        <v>0</v>
      </c>
      <c r="M737" s="1">
        <v>0</v>
      </c>
      <c r="N737" s="1">
        <v>80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 t="s">
        <v>49</v>
      </c>
      <c r="AA737" s="1" t="s">
        <v>49</v>
      </c>
      <c r="AB737" s="1" t="s">
        <v>49</v>
      </c>
      <c r="AC737" s="1" t="s">
        <v>128</v>
      </c>
      <c r="AD737" s="1" t="s">
        <v>129</v>
      </c>
      <c r="AE737" s="1" t="s">
        <v>128</v>
      </c>
      <c r="AF737" s="1" t="s">
        <v>1332</v>
      </c>
      <c r="AG737" s="1" t="s">
        <v>53</v>
      </c>
      <c r="AH737" s="1" t="s">
        <v>49</v>
      </c>
      <c r="AI737" s="1" t="s">
        <v>54</v>
      </c>
      <c r="AJ737" s="1">
        <v>1</v>
      </c>
      <c r="AK737" s="1" t="str">
        <f t="shared" si="11"/>
        <v xml:space="preserve"> =&lt;90</v>
      </c>
      <c r="AL737" s="1" t="str">
        <f>VLOOKUP(C:C,[1]基础信息!B$1:D$65536,3,0)</f>
        <v>Jug</v>
      </c>
      <c r="AM737" s="1" t="str">
        <f>VLOOKUP(C:C,[1]基础信息!B$1:E$65536,4,0)</f>
        <v>Mxplus</v>
      </c>
      <c r="AN737" s="1" t="str">
        <f>VLOOKUP(C:C,[1]基础信息!B$1:F$65536,5,0)</f>
        <v xml:space="preserve"> blue</v>
      </c>
    </row>
    <row r="738" spans="1:40">
      <c r="A738" s="1" t="s">
        <v>41</v>
      </c>
      <c r="B738" s="1" t="s">
        <v>42</v>
      </c>
      <c r="C738" s="1" t="s">
        <v>1710</v>
      </c>
      <c r="D738" s="1" t="s">
        <v>1711</v>
      </c>
      <c r="E738" s="1" t="s">
        <v>45</v>
      </c>
      <c r="F738" s="1" t="s">
        <v>1712</v>
      </c>
      <c r="G738" s="1" t="s">
        <v>1814</v>
      </c>
      <c r="H738" s="1" t="s">
        <v>1815</v>
      </c>
      <c r="I738" s="1" t="s">
        <v>49</v>
      </c>
      <c r="J738" s="1" t="s">
        <v>48</v>
      </c>
      <c r="K738" s="1">
        <v>60</v>
      </c>
      <c r="L738" s="1">
        <v>0</v>
      </c>
      <c r="M738" s="1">
        <v>0</v>
      </c>
      <c r="N738" s="1">
        <v>60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 t="s">
        <v>49</v>
      </c>
      <c r="AA738" s="1" t="s">
        <v>49</v>
      </c>
      <c r="AB738" s="1" t="s">
        <v>49</v>
      </c>
      <c r="AC738" s="1" t="s">
        <v>1715</v>
      </c>
      <c r="AD738" s="1" t="s">
        <v>1716</v>
      </c>
      <c r="AE738" s="1" t="s">
        <v>1715</v>
      </c>
      <c r="AF738" s="1" t="s">
        <v>1717</v>
      </c>
      <c r="AG738" s="1" t="s">
        <v>53</v>
      </c>
      <c r="AH738" s="1" t="s">
        <v>49</v>
      </c>
      <c r="AI738" s="1" t="s">
        <v>54</v>
      </c>
      <c r="AJ738" s="1">
        <v>1</v>
      </c>
      <c r="AK738" s="1" t="str">
        <f t="shared" si="11"/>
        <v xml:space="preserve"> =&lt;90</v>
      </c>
      <c r="AL738" s="1" t="str">
        <f>VLOOKUP(C:C,[1]基础信息!B$1:D$65536,3,0)</f>
        <v>Jug</v>
      </c>
      <c r="AM738" s="1" t="str">
        <f>VLOOKUP(C:C,[1]基础信息!B$1:E$65536,4,0)</f>
        <v>Kalea XL ME4W</v>
      </c>
      <c r="AN738" s="1" t="str">
        <f>VLOOKUP(C:C,[1]基础信息!B$1:F$65536,5,0)</f>
        <v>grey</v>
      </c>
    </row>
    <row r="739" spans="1:40">
      <c r="A739" s="1" t="s">
        <v>41</v>
      </c>
      <c r="B739" s="1" t="s">
        <v>42</v>
      </c>
      <c r="C739" s="1" t="s">
        <v>969</v>
      </c>
      <c r="D739" s="1" t="s">
        <v>970</v>
      </c>
      <c r="E739" s="1" t="s">
        <v>45</v>
      </c>
      <c r="F739" s="1" t="s">
        <v>1787</v>
      </c>
      <c r="G739" s="1" t="s">
        <v>1816</v>
      </c>
      <c r="H739" s="1" t="s">
        <v>1817</v>
      </c>
      <c r="I739" s="1" t="s">
        <v>49</v>
      </c>
      <c r="J739" s="1" t="s">
        <v>48</v>
      </c>
      <c r="K739" s="1">
        <v>80</v>
      </c>
      <c r="L739" s="1">
        <v>0</v>
      </c>
      <c r="M739" s="1">
        <v>0</v>
      </c>
      <c r="N739" s="1">
        <v>80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 t="s">
        <v>49</v>
      </c>
      <c r="AA739" s="1" t="s">
        <v>49</v>
      </c>
      <c r="AB739" s="1" t="s">
        <v>49</v>
      </c>
      <c r="AC739" s="1" t="s">
        <v>128</v>
      </c>
      <c r="AD739" s="1" t="s">
        <v>129</v>
      </c>
      <c r="AE739" s="1" t="s">
        <v>128</v>
      </c>
      <c r="AF739" s="1" t="s">
        <v>1332</v>
      </c>
      <c r="AG739" s="1" t="s">
        <v>53</v>
      </c>
      <c r="AH739" s="1" t="s">
        <v>49</v>
      </c>
      <c r="AI739" s="1" t="s">
        <v>54</v>
      </c>
      <c r="AJ739" s="1">
        <v>1</v>
      </c>
      <c r="AK739" s="1" t="str">
        <f t="shared" si="11"/>
        <v xml:space="preserve"> =&lt;90</v>
      </c>
      <c r="AL739" s="1" t="str">
        <f>VLOOKUP(C:C,[1]基础信息!B$1:D$65536,3,0)</f>
        <v>Jug</v>
      </c>
      <c r="AM739" s="1" t="str">
        <f>VLOOKUP(C:C,[1]基础信息!B$1:E$65536,4,0)</f>
        <v>Mxplus</v>
      </c>
      <c r="AN739" s="1" t="str">
        <f>VLOOKUP(C:C,[1]基础信息!B$1:F$65536,5,0)</f>
        <v xml:space="preserve"> blue</v>
      </c>
    </row>
    <row r="740" spans="1:40">
      <c r="A740" s="1" t="s">
        <v>41</v>
      </c>
      <c r="B740" s="1" t="s">
        <v>42</v>
      </c>
      <c r="C740" s="1" t="s">
        <v>208</v>
      </c>
      <c r="D740" s="1" t="s">
        <v>209</v>
      </c>
      <c r="E740" s="1" t="s">
        <v>208</v>
      </c>
      <c r="F740" s="1" t="s">
        <v>1734</v>
      </c>
      <c r="G740" s="1" t="s">
        <v>1818</v>
      </c>
      <c r="H740" s="1" t="s">
        <v>1819</v>
      </c>
      <c r="I740" s="1" t="s">
        <v>49</v>
      </c>
      <c r="J740" s="1" t="s">
        <v>48</v>
      </c>
      <c r="K740" s="1">
        <v>80</v>
      </c>
      <c r="L740" s="1">
        <v>0</v>
      </c>
      <c r="M740" s="1">
        <v>0</v>
      </c>
      <c r="N740" s="1">
        <v>80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 t="s">
        <v>49</v>
      </c>
      <c r="AA740" s="1" t="s">
        <v>49</v>
      </c>
      <c r="AB740" s="1" t="s">
        <v>49</v>
      </c>
      <c r="AC740" s="1" t="s">
        <v>376</v>
      </c>
      <c r="AD740" s="1" t="s">
        <v>377</v>
      </c>
      <c r="AE740" s="1" t="s">
        <v>376</v>
      </c>
      <c r="AF740" s="1" t="s">
        <v>1414</v>
      </c>
      <c r="AG740" s="1" t="s">
        <v>53</v>
      </c>
      <c r="AH740" s="1" t="s">
        <v>49</v>
      </c>
      <c r="AI740" s="1" t="s">
        <v>54</v>
      </c>
      <c r="AJ740" s="1">
        <v>1</v>
      </c>
      <c r="AK740" s="1" t="str">
        <f t="shared" si="11"/>
        <v xml:space="preserve"> =&lt;90</v>
      </c>
      <c r="AL740" s="1" t="str">
        <f>VLOOKUP(C:C,[1]基础信息!B$1:D$65536,3,0)</f>
        <v>Jug</v>
      </c>
      <c r="AM740" s="1" t="str">
        <f>VLOOKUP(C:C,[1]基础信息!B$1:E$65536,4,0)</f>
        <v>MXpl</v>
      </c>
      <c r="AN740" s="1" t="str">
        <f>VLOOKUP(C:C,[1]基础信息!B$1:F$65536,5,0)</f>
        <v>grey</v>
      </c>
    </row>
    <row r="741" spans="1:40">
      <c r="A741" s="1" t="s">
        <v>41</v>
      </c>
      <c r="B741" s="1" t="s">
        <v>42</v>
      </c>
      <c r="C741" s="1" t="s">
        <v>969</v>
      </c>
      <c r="D741" s="1" t="s">
        <v>970</v>
      </c>
      <c r="E741" s="1" t="s">
        <v>45</v>
      </c>
      <c r="F741" s="1" t="s">
        <v>1787</v>
      </c>
      <c r="G741" s="1" t="s">
        <v>1820</v>
      </c>
      <c r="H741" s="1" t="s">
        <v>1821</v>
      </c>
      <c r="I741" s="1" t="s">
        <v>49</v>
      </c>
      <c r="J741" s="1" t="s">
        <v>48</v>
      </c>
      <c r="K741" s="1">
        <v>80</v>
      </c>
      <c r="L741" s="1">
        <v>0</v>
      </c>
      <c r="M741" s="1">
        <v>0</v>
      </c>
      <c r="N741" s="1">
        <v>80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 t="s">
        <v>49</v>
      </c>
      <c r="AA741" s="1" t="s">
        <v>49</v>
      </c>
      <c r="AB741" s="1" t="s">
        <v>49</v>
      </c>
      <c r="AC741" s="1" t="s">
        <v>128</v>
      </c>
      <c r="AD741" s="1" t="s">
        <v>129</v>
      </c>
      <c r="AE741" s="1" t="s">
        <v>128</v>
      </c>
      <c r="AF741" s="1" t="s">
        <v>1332</v>
      </c>
      <c r="AG741" s="1" t="s">
        <v>53</v>
      </c>
      <c r="AH741" s="1" t="s">
        <v>49</v>
      </c>
      <c r="AI741" s="1" t="s">
        <v>54</v>
      </c>
      <c r="AJ741" s="1">
        <v>1</v>
      </c>
      <c r="AK741" s="1" t="str">
        <f t="shared" si="11"/>
        <v xml:space="preserve"> =&lt;90</v>
      </c>
      <c r="AL741" s="1" t="str">
        <f>VLOOKUP(C:C,[1]基础信息!B$1:D$65536,3,0)</f>
        <v>Jug</v>
      </c>
      <c r="AM741" s="1" t="str">
        <f>VLOOKUP(C:C,[1]基础信息!B$1:E$65536,4,0)</f>
        <v>Mxplus</v>
      </c>
      <c r="AN741" s="1" t="str">
        <f>VLOOKUP(C:C,[1]基础信息!B$1:F$65536,5,0)</f>
        <v xml:space="preserve"> blue</v>
      </c>
    </row>
    <row r="742" spans="1:40">
      <c r="A742" s="1" t="s">
        <v>41</v>
      </c>
      <c r="B742" s="1" t="s">
        <v>42</v>
      </c>
      <c r="C742" s="1" t="s">
        <v>969</v>
      </c>
      <c r="D742" s="1" t="s">
        <v>970</v>
      </c>
      <c r="E742" s="1" t="s">
        <v>45</v>
      </c>
      <c r="F742" s="1" t="s">
        <v>1787</v>
      </c>
      <c r="G742" s="1" t="s">
        <v>1822</v>
      </c>
      <c r="H742" s="1" t="s">
        <v>1823</v>
      </c>
      <c r="I742" s="1" t="s">
        <v>49</v>
      </c>
      <c r="J742" s="1" t="s">
        <v>48</v>
      </c>
      <c r="K742" s="1">
        <v>80</v>
      </c>
      <c r="L742" s="1">
        <v>0</v>
      </c>
      <c r="M742" s="1">
        <v>0</v>
      </c>
      <c r="N742" s="1">
        <v>80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 t="s">
        <v>49</v>
      </c>
      <c r="AA742" s="1" t="s">
        <v>49</v>
      </c>
      <c r="AB742" s="1" t="s">
        <v>49</v>
      </c>
      <c r="AC742" s="1" t="s">
        <v>128</v>
      </c>
      <c r="AD742" s="1" t="s">
        <v>129</v>
      </c>
      <c r="AE742" s="1" t="s">
        <v>128</v>
      </c>
      <c r="AF742" s="1" t="s">
        <v>1332</v>
      </c>
      <c r="AG742" s="1" t="s">
        <v>53</v>
      </c>
      <c r="AH742" s="1" t="s">
        <v>49</v>
      </c>
      <c r="AI742" s="1" t="s">
        <v>54</v>
      </c>
      <c r="AJ742" s="1">
        <v>1</v>
      </c>
      <c r="AK742" s="1" t="str">
        <f t="shared" si="11"/>
        <v xml:space="preserve"> =&lt;90</v>
      </c>
      <c r="AL742" s="1" t="str">
        <f>VLOOKUP(C:C,[1]基础信息!B$1:D$65536,3,0)</f>
        <v>Jug</v>
      </c>
      <c r="AM742" s="1" t="str">
        <f>VLOOKUP(C:C,[1]基础信息!B$1:E$65536,4,0)</f>
        <v>Mxplus</v>
      </c>
      <c r="AN742" s="1" t="str">
        <f>VLOOKUP(C:C,[1]基础信息!B$1:F$65536,5,0)</f>
        <v xml:space="preserve"> blue</v>
      </c>
    </row>
    <row r="743" spans="1:40">
      <c r="A743" s="1" t="s">
        <v>41</v>
      </c>
      <c r="B743" s="1" t="s">
        <v>42</v>
      </c>
      <c r="C743" s="1" t="s">
        <v>969</v>
      </c>
      <c r="D743" s="1" t="s">
        <v>970</v>
      </c>
      <c r="E743" s="1" t="s">
        <v>45</v>
      </c>
      <c r="F743" s="1" t="s">
        <v>1787</v>
      </c>
      <c r="G743" s="1" t="s">
        <v>1824</v>
      </c>
      <c r="H743" s="1" t="s">
        <v>1825</v>
      </c>
      <c r="I743" s="1" t="s">
        <v>49</v>
      </c>
      <c r="J743" s="1" t="s">
        <v>48</v>
      </c>
      <c r="K743" s="1">
        <v>80</v>
      </c>
      <c r="L743" s="1">
        <v>0</v>
      </c>
      <c r="M743" s="1">
        <v>0</v>
      </c>
      <c r="N743" s="1">
        <v>80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 t="s">
        <v>49</v>
      </c>
      <c r="AA743" s="1" t="s">
        <v>49</v>
      </c>
      <c r="AB743" s="1" t="s">
        <v>49</v>
      </c>
      <c r="AC743" s="1" t="s">
        <v>128</v>
      </c>
      <c r="AD743" s="1" t="s">
        <v>129</v>
      </c>
      <c r="AE743" s="1" t="s">
        <v>128</v>
      </c>
      <c r="AF743" s="1" t="s">
        <v>1332</v>
      </c>
      <c r="AG743" s="1" t="s">
        <v>53</v>
      </c>
      <c r="AH743" s="1" t="s">
        <v>49</v>
      </c>
      <c r="AI743" s="1" t="s">
        <v>54</v>
      </c>
      <c r="AJ743" s="1">
        <v>1</v>
      </c>
      <c r="AK743" s="1" t="str">
        <f t="shared" si="11"/>
        <v xml:space="preserve"> =&lt;90</v>
      </c>
      <c r="AL743" s="1" t="str">
        <f>VLOOKUP(C:C,[1]基础信息!B$1:D$65536,3,0)</f>
        <v>Jug</v>
      </c>
      <c r="AM743" s="1" t="str">
        <f>VLOOKUP(C:C,[1]基础信息!B$1:E$65536,4,0)</f>
        <v>Mxplus</v>
      </c>
      <c r="AN743" s="1" t="str">
        <f>VLOOKUP(C:C,[1]基础信息!B$1:F$65536,5,0)</f>
        <v xml:space="preserve"> blue</v>
      </c>
    </row>
    <row r="744" spans="1:40">
      <c r="A744" s="1" t="s">
        <v>41</v>
      </c>
      <c r="B744" s="1" t="s">
        <v>42</v>
      </c>
      <c r="C744" s="1" t="s">
        <v>969</v>
      </c>
      <c r="D744" s="1" t="s">
        <v>970</v>
      </c>
      <c r="E744" s="1" t="s">
        <v>45</v>
      </c>
      <c r="F744" s="1" t="s">
        <v>1787</v>
      </c>
      <c r="G744" s="1" t="s">
        <v>1826</v>
      </c>
      <c r="H744" s="1" t="s">
        <v>1827</v>
      </c>
      <c r="I744" s="1" t="s">
        <v>49</v>
      </c>
      <c r="J744" s="1" t="s">
        <v>48</v>
      </c>
      <c r="K744" s="1">
        <v>80</v>
      </c>
      <c r="L744" s="1">
        <v>0</v>
      </c>
      <c r="M744" s="1">
        <v>0</v>
      </c>
      <c r="N744" s="1">
        <v>80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 t="s">
        <v>49</v>
      </c>
      <c r="AA744" s="1" t="s">
        <v>49</v>
      </c>
      <c r="AB744" s="1" t="s">
        <v>49</v>
      </c>
      <c r="AC744" s="1" t="s">
        <v>128</v>
      </c>
      <c r="AD744" s="1" t="s">
        <v>129</v>
      </c>
      <c r="AE744" s="1" t="s">
        <v>128</v>
      </c>
      <c r="AF744" s="1" t="s">
        <v>1332</v>
      </c>
      <c r="AG744" s="1" t="s">
        <v>53</v>
      </c>
      <c r="AH744" s="1" t="s">
        <v>49</v>
      </c>
      <c r="AI744" s="1" t="s">
        <v>54</v>
      </c>
      <c r="AJ744" s="1">
        <v>1</v>
      </c>
      <c r="AK744" s="1" t="str">
        <f t="shared" si="11"/>
        <v xml:space="preserve"> =&lt;90</v>
      </c>
      <c r="AL744" s="1" t="str">
        <f>VLOOKUP(C:C,[1]基础信息!B$1:D$65536,3,0)</f>
        <v>Jug</v>
      </c>
      <c r="AM744" s="1" t="str">
        <f>VLOOKUP(C:C,[1]基础信息!B$1:E$65536,4,0)</f>
        <v>Mxplus</v>
      </c>
      <c r="AN744" s="1" t="str">
        <f>VLOOKUP(C:C,[1]基础信息!B$1:F$65536,5,0)</f>
        <v xml:space="preserve"> blue</v>
      </c>
    </row>
    <row r="745" spans="1:40">
      <c r="A745" s="1" t="s">
        <v>41</v>
      </c>
      <c r="B745" s="1" t="s">
        <v>42</v>
      </c>
      <c r="C745" s="1" t="s">
        <v>208</v>
      </c>
      <c r="D745" s="1" t="s">
        <v>209</v>
      </c>
      <c r="E745" s="1" t="s">
        <v>208</v>
      </c>
      <c r="F745" s="1" t="s">
        <v>1734</v>
      </c>
      <c r="G745" s="1" t="s">
        <v>1828</v>
      </c>
      <c r="H745" s="1" t="s">
        <v>1829</v>
      </c>
      <c r="I745" s="1" t="s">
        <v>49</v>
      </c>
      <c r="J745" s="1" t="s">
        <v>48</v>
      </c>
      <c r="K745" s="1">
        <v>80</v>
      </c>
      <c r="L745" s="1">
        <v>0</v>
      </c>
      <c r="M745" s="1">
        <v>0</v>
      </c>
      <c r="N745" s="1">
        <v>80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 t="s">
        <v>49</v>
      </c>
      <c r="AA745" s="1" t="s">
        <v>49</v>
      </c>
      <c r="AB745" s="1" t="s">
        <v>49</v>
      </c>
      <c r="AC745" s="1" t="s">
        <v>376</v>
      </c>
      <c r="AD745" s="1" t="s">
        <v>377</v>
      </c>
      <c r="AE745" s="1" t="s">
        <v>376</v>
      </c>
      <c r="AF745" s="1" t="s">
        <v>1414</v>
      </c>
      <c r="AG745" s="1" t="s">
        <v>53</v>
      </c>
      <c r="AH745" s="1" t="s">
        <v>49</v>
      </c>
      <c r="AI745" s="1" t="s">
        <v>54</v>
      </c>
      <c r="AJ745" s="1">
        <v>1</v>
      </c>
      <c r="AK745" s="1" t="str">
        <f t="shared" si="11"/>
        <v xml:space="preserve"> =&lt;90</v>
      </c>
      <c r="AL745" s="1" t="str">
        <f>VLOOKUP(C:C,[1]基础信息!B$1:D$65536,3,0)</f>
        <v>Jug</v>
      </c>
      <c r="AM745" s="1" t="str">
        <f>VLOOKUP(C:C,[1]基础信息!B$1:E$65536,4,0)</f>
        <v>MXpl</v>
      </c>
      <c r="AN745" s="1" t="str">
        <f>VLOOKUP(C:C,[1]基础信息!B$1:F$65536,5,0)</f>
        <v>grey</v>
      </c>
    </row>
    <row r="746" spans="1:40">
      <c r="A746" s="1" t="s">
        <v>41</v>
      </c>
      <c r="B746" s="1" t="s">
        <v>42</v>
      </c>
      <c r="C746" s="1" t="s">
        <v>969</v>
      </c>
      <c r="D746" s="1" t="s">
        <v>970</v>
      </c>
      <c r="E746" s="1" t="s">
        <v>45</v>
      </c>
      <c r="F746" s="1" t="s">
        <v>1787</v>
      </c>
      <c r="G746" s="1" t="s">
        <v>1830</v>
      </c>
      <c r="H746" s="1" t="s">
        <v>1831</v>
      </c>
      <c r="I746" s="1" t="s">
        <v>49</v>
      </c>
      <c r="J746" s="1" t="s">
        <v>48</v>
      </c>
      <c r="K746" s="1">
        <v>80</v>
      </c>
      <c r="L746" s="1">
        <v>0</v>
      </c>
      <c r="M746" s="1">
        <v>0</v>
      </c>
      <c r="N746" s="1">
        <v>80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 t="s">
        <v>49</v>
      </c>
      <c r="AA746" s="1" t="s">
        <v>49</v>
      </c>
      <c r="AB746" s="1" t="s">
        <v>49</v>
      </c>
      <c r="AC746" s="1" t="s">
        <v>128</v>
      </c>
      <c r="AD746" s="1" t="s">
        <v>129</v>
      </c>
      <c r="AE746" s="1" t="s">
        <v>128</v>
      </c>
      <c r="AF746" s="1" t="s">
        <v>1332</v>
      </c>
      <c r="AG746" s="1" t="s">
        <v>53</v>
      </c>
      <c r="AH746" s="1" t="s">
        <v>49</v>
      </c>
      <c r="AI746" s="1" t="s">
        <v>54</v>
      </c>
      <c r="AJ746" s="1">
        <v>1</v>
      </c>
      <c r="AK746" s="1" t="str">
        <f t="shared" si="11"/>
        <v xml:space="preserve"> =&lt;90</v>
      </c>
      <c r="AL746" s="1" t="str">
        <f>VLOOKUP(C:C,[1]基础信息!B$1:D$65536,3,0)</f>
        <v>Jug</v>
      </c>
      <c r="AM746" s="1" t="str">
        <f>VLOOKUP(C:C,[1]基础信息!B$1:E$65536,4,0)</f>
        <v>Mxplus</v>
      </c>
      <c r="AN746" s="1" t="str">
        <f>VLOOKUP(C:C,[1]基础信息!B$1:F$65536,5,0)</f>
        <v xml:space="preserve"> blue</v>
      </c>
    </row>
    <row r="747" spans="1:40">
      <c r="A747" s="1" t="s">
        <v>41</v>
      </c>
      <c r="B747" s="1" t="s">
        <v>42</v>
      </c>
      <c r="C747" s="1" t="s">
        <v>969</v>
      </c>
      <c r="D747" s="1" t="s">
        <v>970</v>
      </c>
      <c r="E747" s="1" t="s">
        <v>45</v>
      </c>
      <c r="F747" s="1" t="s">
        <v>1787</v>
      </c>
      <c r="G747" s="1" t="s">
        <v>1832</v>
      </c>
      <c r="H747" s="1" t="s">
        <v>1833</v>
      </c>
      <c r="I747" s="1" t="s">
        <v>49</v>
      </c>
      <c r="J747" s="1" t="s">
        <v>48</v>
      </c>
      <c r="K747" s="1">
        <v>80</v>
      </c>
      <c r="L747" s="1">
        <v>0</v>
      </c>
      <c r="M747" s="1">
        <v>0</v>
      </c>
      <c r="N747" s="1">
        <v>80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 t="s">
        <v>49</v>
      </c>
      <c r="AA747" s="1" t="s">
        <v>49</v>
      </c>
      <c r="AB747" s="1" t="s">
        <v>49</v>
      </c>
      <c r="AC747" s="1" t="s">
        <v>128</v>
      </c>
      <c r="AD747" s="1" t="s">
        <v>129</v>
      </c>
      <c r="AE747" s="1" t="s">
        <v>128</v>
      </c>
      <c r="AF747" s="1" t="s">
        <v>1332</v>
      </c>
      <c r="AG747" s="1" t="s">
        <v>53</v>
      </c>
      <c r="AH747" s="1" t="s">
        <v>49</v>
      </c>
      <c r="AI747" s="1" t="s">
        <v>54</v>
      </c>
      <c r="AJ747" s="1">
        <v>1</v>
      </c>
      <c r="AK747" s="1" t="str">
        <f t="shared" si="11"/>
        <v xml:space="preserve"> =&lt;90</v>
      </c>
      <c r="AL747" s="1" t="str">
        <f>VLOOKUP(C:C,[1]基础信息!B$1:D$65536,3,0)</f>
        <v>Jug</v>
      </c>
      <c r="AM747" s="1" t="str">
        <f>VLOOKUP(C:C,[1]基础信息!B$1:E$65536,4,0)</f>
        <v>Mxplus</v>
      </c>
      <c r="AN747" s="1" t="str">
        <f>VLOOKUP(C:C,[1]基础信息!B$1:F$65536,5,0)</f>
        <v xml:space="preserve"> blue</v>
      </c>
    </row>
    <row r="748" spans="1:40">
      <c r="A748" s="1" t="s">
        <v>41</v>
      </c>
      <c r="B748" s="1" t="s">
        <v>42</v>
      </c>
      <c r="C748" s="1" t="s">
        <v>969</v>
      </c>
      <c r="D748" s="1" t="s">
        <v>970</v>
      </c>
      <c r="E748" s="1" t="s">
        <v>45</v>
      </c>
      <c r="F748" s="1" t="s">
        <v>1787</v>
      </c>
      <c r="G748" s="1" t="s">
        <v>1834</v>
      </c>
      <c r="H748" s="1" t="s">
        <v>1835</v>
      </c>
      <c r="I748" s="1" t="s">
        <v>49</v>
      </c>
      <c r="J748" s="1" t="s">
        <v>48</v>
      </c>
      <c r="K748" s="1">
        <v>80</v>
      </c>
      <c r="L748" s="1">
        <v>0</v>
      </c>
      <c r="M748" s="1">
        <v>0</v>
      </c>
      <c r="N748" s="1">
        <v>80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 t="s">
        <v>49</v>
      </c>
      <c r="AA748" s="1" t="s">
        <v>49</v>
      </c>
      <c r="AB748" s="1" t="s">
        <v>49</v>
      </c>
      <c r="AC748" s="1" t="s">
        <v>128</v>
      </c>
      <c r="AD748" s="1" t="s">
        <v>129</v>
      </c>
      <c r="AE748" s="1" t="s">
        <v>128</v>
      </c>
      <c r="AF748" s="1" t="s">
        <v>1332</v>
      </c>
      <c r="AG748" s="1" t="s">
        <v>53</v>
      </c>
      <c r="AH748" s="1" t="s">
        <v>49</v>
      </c>
      <c r="AI748" s="1" t="s">
        <v>54</v>
      </c>
      <c r="AJ748" s="1">
        <v>1</v>
      </c>
      <c r="AK748" s="1" t="str">
        <f t="shared" si="11"/>
        <v xml:space="preserve"> =&lt;90</v>
      </c>
      <c r="AL748" s="1" t="str">
        <f>VLOOKUP(C:C,[1]基础信息!B$1:D$65536,3,0)</f>
        <v>Jug</v>
      </c>
      <c r="AM748" s="1" t="str">
        <f>VLOOKUP(C:C,[1]基础信息!B$1:E$65536,4,0)</f>
        <v>Mxplus</v>
      </c>
      <c r="AN748" s="1" t="str">
        <f>VLOOKUP(C:C,[1]基础信息!B$1:F$65536,5,0)</f>
        <v xml:space="preserve"> blue</v>
      </c>
    </row>
    <row r="749" spans="1:40">
      <c r="A749" s="1" t="s">
        <v>41</v>
      </c>
      <c r="B749" s="1" t="s">
        <v>42</v>
      </c>
      <c r="C749" s="1" t="s">
        <v>969</v>
      </c>
      <c r="D749" s="1" t="s">
        <v>970</v>
      </c>
      <c r="E749" s="1" t="s">
        <v>45</v>
      </c>
      <c r="F749" s="1" t="s">
        <v>1787</v>
      </c>
      <c r="G749" s="1" t="s">
        <v>1836</v>
      </c>
      <c r="H749" s="1" t="s">
        <v>1837</v>
      </c>
      <c r="I749" s="1" t="s">
        <v>49</v>
      </c>
      <c r="J749" s="1" t="s">
        <v>48</v>
      </c>
      <c r="K749" s="1">
        <v>80</v>
      </c>
      <c r="L749" s="1">
        <v>0</v>
      </c>
      <c r="M749" s="1">
        <v>0</v>
      </c>
      <c r="N749" s="1">
        <v>80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 t="s">
        <v>49</v>
      </c>
      <c r="AA749" s="1" t="s">
        <v>49</v>
      </c>
      <c r="AB749" s="1" t="s">
        <v>49</v>
      </c>
      <c r="AC749" s="1" t="s">
        <v>128</v>
      </c>
      <c r="AD749" s="1" t="s">
        <v>129</v>
      </c>
      <c r="AE749" s="1" t="s">
        <v>128</v>
      </c>
      <c r="AF749" s="1" t="s">
        <v>1332</v>
      </c>
      <c r="AG749" s="1" t="s">
        <v>53</v>
      </c>
      <c r="AH749" s="1" t="s">
        <v>49</v>
      </c>
      <c r="AI749" s="1" t="s">
        <v>54</v>
      </c>
      <c r="AJ749" s="1">
        <v>1</v>
      </c>
      <c r="AK749" s="1" t="str">
        <f t="shared" si="11"/>
        <v xml:space="preserve"> =&lt;90</v>
      </c>
      <c r="AL749" s="1" t="str">
        <f>VLOOKUP(C:C,[1]基础信息!B$1:D$65536,3,0)</f>
        <v>Jug</v>
      </c>
      <c r="AM749" s="1" t="str">
        <f>VLOOKUP(C:C,[1]基础信息!B$1:E$65536,4,0)</f>
        <v>Mxplus</v>
      </c>
      <c r="AN749" s="1" t="str">
        <f>VLOOKUP(C:C,[1]基础信息!B$1:F$65536,5,0)</f>
        <v xml:space="preserve"> blue</v>
      </c>
    </row>
    <row r="750" spans="1:40">
      <c r="A750" s="1" t="s">
        <v>41</v>
      </c>
      <c r="B750" s="1" t="s">
        <v>42</v>
      </c>
      <c r="C750" s="1" t="s">
        <v>359</v>
      </c>
      <c r="D750" s="1" t="s">
        <v>360</v>
      </c>
      <c r="E750" s="1" t="s">
        <v>45</v>
      </c>
      <c r="F750" s="1" t="s">
        <v>1642</v>
      </c>
      <c r="G750" s="1" t="s">
        <v>1838</v>
      </c>
      <c r="H750" s="1" t="s">
        <v>1839</v>
      </c>
      <c r="I750" s="1" t="s">
        <v>49</v>
      </c>
      <c r="J750" s="1" t="s">
        <v>48</v>
      </c>
      <c r="K750" s="1">
        <v>95</v>
      </c>
      <c r="L750" s="1">
        <v>0</v>
      </c>
      <c r="M750" s="1">
        <v>0</v>
      </c>
      <c r="N750" s="1">
        <v>95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 t="s">
        <v>49</v>
      </c>
      <c r="AA750" s="1" t="s">
        <v>49</v>
      </c>
      <c r="AB750" s="1" t="s">
        <v>49</v>
      </c>
      <c r="AC750" s="1" t="s">
        <v>1377</v>
      </c>
      <c r="AD750" s="1" t="s">
        <v>1378</v>
      </c>
      <c r="AE750" s="1" t="s">
        <v>1377</v>
      </c>
      <c r="AF750" s="1" t="s">
        <v>1256</v>
      </c>
      <c r="AG750" s="1" t="s">
        <v>53</v>
      </c>
      <c r="AH750" s="1" t="s">
        <v>49</v>
      </c>
      <c r="AI750" s="1" t="s">
        <v>54</v>
      </c>
      <c r="AJ750" s="1">
        <v>1</v>
      </c>
      <c r="AK750" s="1" t="str">
        <f t="shared" si="11"/>
        <v xml:space="preserve"> =&lt;90</v>
      </c>
      <c r="AL750" s="1" t="e">
        <f>VLOOKUP(C:C,[1]基础信息!B$1:D$65536,3,0)</f>
        <v>#N/A</v>
      </c>
      <c r="AM750" s="1" t="e">
        <f>VLOOKUP(C:C,[1]基础信息!B$1:E$65536,4,0)</f>
        <v>#N/A</v>
      </c>
      <c r="AN750" s="1" t="e">
        <f>VLOOKUP(C:C,[1]基础信息!B$1:F$65536,5,0)</f>
        <v>#N/A</v>
      </c>
    </row>
    <row r="751" spans="1:40">
      <c r="A751" s="1" t="s">
        <v>41</v>
      </c>
      <c r="B751" s="1" t="s">
        <v>42</v>
      </c>
      <c r="C751" s="1" t="s">
        <v>481</v>
      </c>
      <c r="D751" s="1" t="s">
        <v>482</v>
      </c>
      <c r="E751" s="1" t="s">
        <v>45</v>
      </c>
      <c r="F751" s="1" t="s">
        <v>1491</v>
      </c>
      <c r="G751" s="1" t="s">
        <v>1840</v>
      </c>
      <c r="H751" s="1" t="s">
        <v>1841</v>
      </c>
      <c r="I751" s="1" t="s">
        <v>49</v>
      </c>
      <c r="J751" s="1" t="s">
        <v>48</v>
      </c>
      <c r="K751" s="1">
        <v>168</v>
      </c>
      <c r="L751" s="1">
        <v>0</v>
      </c>
      <c r="M751" s="1">
        <v>0</v>
      </c>
      <c r="N751" s="1">
        <v>168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 t="s">
        <v>49</v>
      </c>
      <c r="AA751" s="1" t="s">
        <v>49</v>
      </c>
      <c r="AB751" s="1" t="s">
        <v>49</v>
      </c>
      <c r="AC751" s="1" t="s">
        <v>883</v>
      </c>
      <c r="AD751" s="1" t="s">
        <v>884</v>
      </c>
      <c r="AE751" s="1" t="s">
        <v>883</v>
      </c>
      <c r="AF751" s="1" t="s">
        <v>1494</v>
      </c>
      <c r="AG751" s="1" t="s">
        <v>53</v>
      </c>
      <c r="AH751" s="1" t="s">
        <v>49</v>
      </c>
      <c r="AI751" s="1" t="s">
        <v>54</v>
      </c>
      <c r="AJ751" s="1">
        <v>1</v>
      </c>
      <c r="AK751" s="1" t="str">
        <f t="shared" si="11"/>
        <v xml:space="preserve"> =&lt;90</v>
      </c>
      <c r="AL751" s="1" t="str">
        <f>VLOOKUP(C:C,[1]基础信息!B$1:D$65536,3,0)</f>
        <v>Jug</v>
      </c>
      <c r="AM751" s="1" t="str">
        <f>VLOOKUP(C:C,[1]基础信息!B$1:E$65536,4,0)</f>
        <v>Style COOL</v>
      </c>
      <c r="AN751" s="1" t="str">
        <f>VLOOKUP(C:C,[1]基础信息!B$1:F$65536,5,0)</f>
        <v>Cool Blue</v>
      </c>
    </row>
    <row r="752" spans="1:40">
      <c r="A752" s="1" t="s">
        <v>41</v>
      </c>
      <c r="B752" s="1" t="s">
        <v>42</v>
      </c>
      <c r="C752" s="1" t="s">
        <v>83</v>
      </c>
      <c r="D752" s="1" t="s">
        <v>84</v>
      </c>
      <c r="E752" s="1" t="s">
        <v>45</v>
      </c>
      <c r="F752" s="1" t="s">
        <v>1419</v>
      </c>
      <c r="G752" s="1" t="s">
        <v>1842</v>
      </c>
      <c r="H752" s="1" t="s">
        <v>1843</v>
      </c>
      <c r="I752" s="1" t="s">
        <v>49</v>
      </c>
      <c r="J752" s="1" t="s">
        <v>48</v>
      </c>
      <c r="K752" s="1">
        <v>96</v>
      </c>
      <c r="L752" s="1">
        <v>0</v>
      </c>
      <c r="M752" s="1">
        <v>0</v>
      </c>
      <c r="N752" s="1">
        <v>96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 t="s">
        <v>49</v>
      </c>
      <c r="AA752" s="1" t="s">
        <v>49</v>
      </c>
      <c r="AB752" s="1" t="s">
        <v>49</v>
      </c>
      <c r="AC752" s="1" t="s">
        <v>213</v>
      </c>
      <c r="AD752" s="1" t="s">
        <v>214</v>
      </c>
      <c r="AE752" s="1" t="s">
        <v>215</v>
      </c>
      <c r="AF752" s="1" t="s">
        <v>1422</v>
      </c>
      <c r="AG752" s="1" t="s">
        <v>53</v>
      </c>
      <c r="AH752" s="1" t="s">
        <v>49</v>
      </c>
      <c r="AI752" s="1" t="s">
        <v>54</v>
      </c>
      <c r="AJ752" s="1">
        <v>1</v>
      </c>
      <c r="AK752" s="1" t="str">
        <f t="shared" si="11"/>
        <v xml:space="preserve"> =&lt;90</v>
      </c>
      <c r="AL752" s="1" t="str">
        <f>VLOOKUP(C:C,[1]基础信息!B$1:D$65536,3,0)</f>
        <v>Jug</v>
      </c>
      <c r="AM752" s="1" t="str">
        <f>VLOOKUP(C:C,[1]基础信息!B$1:E$65536,4,0)</f>
        <v>Mxplus</v>
      </c>
      <c r="AN752" s="1" t="str">
        <f>VLOOKUP(C:C,[1]基础信息!B$1:F$65536,5,0)</f>
        <v>Blue</v>
      </c>
    </row>
    <row r="753" spans="1:40">
      <c r="A753" s="1" t="s">
        <v>41</v>
      </c>
      <c r="B753" s="1" t="s">
        <v>42</v>
      </c>
      <c r="C753" s="1" t="s">
        <v>56</v>
      </c>
      <c r="D753" s="1" t="s">
        <v>57</v>
      </c>
      <c r="E753" s="1" t="s">
        <v>45</v>
      </c>
      <c r="F753" s="1" t="s">
        <v>58</v>
      </c>
      <c r="G753" s="1" t="s">
        <v>1844</v>
      </c>
      <c r="H753" s="1" t="s">
        <v>1845</v>
      </c>
      <c r="I753" s="1" t="s">
        <v>49</v>
      </c>
      <c r="J753" s="1" t="s">
        <v>48</v>
      </c>
      <c r="K753" s="1">
        <v>72</v>
      </c>
      <c r="L753" s="1">
        <v>0</v>
      </c>
      <c r="M753" s="1">
        <v>0</v>
      </c>
      <c r="N753" s="1">
        <v>72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 t="s">
        <v>49</v>
      </c>
      <c r="AA753" s="1" t="s">
        <v>49</v>
      </c>
      <c r="AB753" s="1" t="s">
        <v>49</v>
      </c>
      <c r="AC753" s="1" t="s">
        <v>61</v>
      </c>
      <c r="AD753" s="1" t="s">
        <v>62</v>
      </c>
      <c r="AE753" s="1" t="s">
        <v>61</v>
      </c>
      <c r="AF753" s="1" t="s">
        <v>63</v>
      </c>
      <c r="AG753" s="1" t="s">
        <v>53</v>
      </c>
      <c r="AH753" s="1" t="s">
        <v>49</v>
      </c>
      <c r="AI753" s="1" t="s">
        <v>54</v>
      </c>
      <c r="AJ753" s="1">
        <v>1</v>
      </c>
      <c r="AK753" s="1" t="str">
        <f t="shared" si="11"/>
        <v xml:space="preserve"> =&lt;90</v>
      </c>
      <c r="AL753" s="1" t="str">
        <f>VLOOKUP(C:C,[1]基础信息!B$1:D$65536,3,0)</f>
        <v>Jug</v>
      </c>
      <c r="AM753" s="1" t="str">
        <f>VLOOKUP(C:C,[1]基础信息!B$1:E$65536,4,0)</f>
        <v>Marella XL</v>
      </c>
      <c r="AN753" s="1" t="str">
        <f>VLOOKUP(C:C,[1]基础信息!B$1:F$65536,5,0)</f>
        <v>Blue</v>
      </c>
    </row>
    <row r="754" spans="1:40">
      <c r="A754" s="1" t="s">
        <v>41</v>
      </c>
      <c r="B754" s="1" t="s">
        <v>42</v>
      </c>
      <c r="C754" s="1" t="s">
        <v>56</v>
      </c>
      <c r="D754" s="1" t="s">
        <v>57</v>
      </c>
      <c r="E754" s="1" t="s">
        <v>45</v>
      </c>
      <c r="F754" s="1" t="s">
        <v>58</v>
      </c>
      <c r="G754" s="1" t="s">
        <v>1846</v>
      </c>
      <c r="H754" s="1" t="s">
        <v>1847</v>
      </c>
      <c r="I754" s="1" t="s">
        <v>49</v>
      </c>
      <c r="J754" s="1" t="s">
        <v>48</v>
      </c>
      <c r="K754" s="1">
        <v>72</v>
      </c>
      <c r="L754" s="1">
        <v>0</v>
      </c>
      <c r="M754" s="1">
        <v>0</v>
      </c>
      <c r="N754" s="1">
        <v>72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 t="s">
        <v>49</v>
      </c>
      <c r="AA754" s="1" t="s">
        <v>49</v>
      </c>
      <c r="AB754" s="1" t="s">
        <v>49</v>
      </c>
      <c r="AC754" s="1" t="s">
        <v>61</v>
      </c>
      <c r="AD754" s="1" t="s">
        <v>62</v>
      </c>
      <c r="AE754" s="1" t="s">
        <v>61</v>
      </c>
      <c r="AF754" s="1" t="s">
        <v>63</v>
      </c>
      <c r="AG754" s="1" t="s">
        <v>53</v>
      </c>
      <c r="AH754" s="1" t="s">
        <v>49</v>
      </c>
      <c r="AI754" s="1" t="s">
        <v>54</v>
      </c>
      <c r="AJ754" s="1">
        <v>1</v>
      </c>
      <c r="AK754" s="1" t="str">
        <f t="shared" si="11"/>
        <v xml:space="preserve"> =&lt;90</v>
      </c>
      <c r="AL754" s="1" t="str">
        <f>VLOOKUP(C:C,[1]基础信息!B$1:D$65536,3,0)</f>
        <v>Jug</v>
      </c>
      <c r="AM754" s="1" t="str">
        <f>VLOOKUP(C:C,[1]基础信息!B$1:E$65536,4,0)</f>
        <v>Marella XL</v>
      </c>
      <c r="AN754" s="1" t="str">
        <f>VLOOKUP(C:C,[1]基础信息!B$1:F$65536,5,0)</f>
        <v>Blue</v>
      </c>
    </row>
    <row r="755" spans="1:40">
      <c r="A755" s="1" t="s">
        <v>41</v>
      </c>
      <c r="B755" s="1" t="s">
        <v>42</v>
      </c>
      <c r="C755" s="1" t="s">
        <v>83</v>
      </c>
      <c r="D755" s="1" t="s">
        <v>84</v>
      </c>
      <c r="E755" s="1" t="s">
        <v>45</v>
      </c>
      <c r="F755" s="1" t="s">
        <v>1419</v>
      </c>
      <c r="G755" s="1" t="s">
        <v>1848</v>
      </c>
      <c r="H755" s="1" t="s">
        <v>1849</v>
      </c>
      <c r="I755" s="1" t="s">
        <v>49</v>
      </c>
      <c r="J755" s="1" t="s">
        <v>48</v>
      </c>
      <c r="K755" s="1">
        <v>96</v>
      </c>
      <c r="L755" s="1">
        <v>0</v>
      </c>
      <c r="M755" s="1">
        <v>0</v>
      </c>
      <c r="N755" s="1">
        <v>96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 t="s">
        <v>49</v>
      </c>
      <c r="AA755" s="1" t="s">
        <v>49</v>
      </c>
      <c r="AB755" s="1" t="s">
        <v>49</v>
      </c>
      <c r="AC755" s="1" t="s">
        <v>213</v>
      </c>
      <c r="AD755" s="1" t="s">
        <v>214</v>
      </c>
      <c r="AE755" s="1" t="s">
        <v>215</v>
      </c>
      <c r="AF755" s="1" t="s">
        <v>1422</v>
      </c>
      <c r="AG755" s="1" t="s">
        <v>53</v>
      </c>
      <c r="AH755" s="1" t="s">
        <v>49</v>
      </c>
      <c r="AI755" s="1" t="s">
        <v>54</v>
      </c>
      <c r="AJ755" s="1">
        <v>1</v>
      </c>
      <c r="AK755" s="1" t="str">
        <f t="shared" si="11"/>
        <v xml:space="preserve"> =&lt;90</v>
      </c>
      <c r="AL755" s="1" t="str">
        <f>VLOOKUP(C:C,[1]基础信息!B$1:D$65536,3,0)</f>
        <v>Jug</v>
      </c>
      <c r="AM755" s="1" t="str">
        <f>VLOOKUP(C:C,[1]基础信息!B$1:E$65536,4,0)</f>
        <v>Mxplus</v>
      </c>
      <c r="AN755" s="1" t="str">
        <f>VLOOKUP(C:C,[1]基础信息!B$1:F$65536,5,0)</f>
        <v>Blue</v>
      </c>
    </row>
    <row r="756" spans="1:40">
      <c r="A756" s="1" t="s">
        <v>41</v>
      </c>
      <c r="B756" s="1" t="s">
        <v>42</v>
      </c>
      <c r="C756" s="1" t="s">
        <v>83</v>
      </c>
      <c r="D756" s="1" t="s">
        <v>84</v>
      </c>
      <c r="E756" s="1" t="s">
        <v>45</v>
      </c>
      <c r="F756" s="1" t="s">
        <v>1419</v>
      </c>
      <c r="G756" s="1" t="s">
        <v>1850</v>
      </c>
      <c r="H756" s="1" t="s">
        <v>1851</v>
      </c>
      <c r="I756" s="1" t="s">
        <v>49</v>
      </c>
      <c r="J756" s="1" t="s">
        <v>48</v>
      </c>
      <c r="K756" s="1">
        <v>96</v>
      </c>
      <c r="L756" s="1">
        <v>0</v>
      </c>
      <c r="M756" s="1">
        <v>0</v>
      </c>
      <c r="N756" s="1">
        <v>96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 t="s">
        <v>49</v>
      </c>
      <c r="AA756" s="1" t="s">
        <v>49</v>
      </c>
      <c r="AB756" s="1" t="s">
        <v>49</v>
      </c>
      <c r="AC756" s="1" t="s">
        <v>213</v>
      </c>
      <c r="AD756" s="1" t="s">
        <v>214</v>
      </c>
      <c r="AE756" s="1" t="s">
        <v>215</v>
      </c>
      <c r="AF756" s="1" t="s">
        <v>1422</v>
      </c>
      <c r="AG756" s="1" t="s">
        <v>53</v>
      </c>
      <c r="AH756" s="1" t="s">
        <v>49</v>
      </c>
      <c r="AI756" s="1" t="s">
        <v>54</v>
      </c>
      <c r="AJ756" s="1">
        <v>1</v>
      </c>
      <c r="AK756" s="1" t="str">
        <f t="shared" si="11"/>
        <v xml:space="preserve"> =&lt;90</v>
      </c>
      <c r="AL756" s="1" t="str">
        <f>VLOOKUP(C:C,[1]基础信息!B$1:D$65536,3,0)</f>
        <v>Jug</v>
      </c>
      <c r="AM756" s="1" t="str">
        <f>VLOOKUP(C:C,[1]基础信息!B$1:E$65536,4,0)</f>
        <v>Mxplus</v>
      </c>
      <c r="AN756" s="1" t="str">
        <f>VLOOKUP(C:C,[1]基础信息!B$1:F$65536,5,0)</f>
        <v>Blue</v>
      </c>
    </row>
    <row r="757" spans="1:40">
      <c r="A757" s="1" t="s">
        <v>41</v>
      </c>
      <c r="B757" s="1" t="s">
        <v>42</v>
      </c>
      <c r="C757" s="1" t="s">
        <v>359</v>
      </c>
      <c r="D757" s="1" t="s">
        <v>360</v>
      </c>
      <c r="E757" s="1" t="s">
        <v>45</v>
      </c>
      <c r="F757" s="1" t="s">
        <v>1642</v>
      </c>
      <c r="G757" s="1" t="s">
        <v>1852</v>
      </c>
      <c r="H757" s="1" t="s">
        <v>1853</v>
      </c>
      <c r="I757" s="1" t="s">
        <v>49</v>
      </c>
      <c r="J757" s="1" t="s">
        <v>48</v>
      </c>
      <c r="K757" s="1">
        <v>95</v>
      </c>
      <c r="L757" s="1">
        <v>0</v>
      </c>
      <c r="M757" s="1">
        <v>0</v>
      </c>
      <c r="N757" s="1">
        <v>95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 t="s">
        <v>49</v>
      </c>
      <c r="AA757" s="1" t="s">
        <v>49</v>
      </c>
      <c r="AB757" s="1" t="s">
        <v>49</v>
      </c>
      <c r="AC757" s="1" t="s">
        <v>1377</v>
      </c>
      <c r="AD757" s="1" t="s">
        <v>1378</v>
      </c>
      <c r="AE757" s="1" t="s">
        <v>1377</v>
      </c>
      <c r="AF757" s="1" t="s">
        <v>1256</v>
      </c>
      <c r="AG757" s="1" t="s">
        <v>53</v>
      </c>
      <c r="AH757" s="1" t="s">
        <v>49</v>
      </c>
      <c r="AI757" s="1" t="s">
        <v>54</v>
      </c>
      <c r="AJ757" s="1">
        <v>1</v>
      </c>
      <c r="AK757" s="1" t="str">
        <f t="shared" si="11"/>
        <v xml:space="preserve"> =&lt;90</v>
      </c>
      <c r="AL757" s="1" t="e">
        <f>VLOOKUP(C:C,[1]基础信息!B$1:D$65536,3,0)</f>
        <v>#N/A</v>
      </c>
      <c r="AM757" s="1" t="e">
        <f>VLOOKUP(C:C,[1]基础信息!B$1:E$65536,4,0)</f>
        <v>#N/A</v>
      </c>
      <c r="AN757" s="1" t="e">
        <f>VLOOKUP(C:C,[1]基础信息!B$1:F$65536,5,0)</f>
        <v>#N/A</v>
      </c>
    </row>
    <row r="758" spans="1:40">
      <c r="A758" s="1" t="s">
        <v>41</v>
      </c>
      <c r="B758" s="1" t="s">
        <v>42</v>
      </c>
      <c r="C758" s="1" t="s">
        <v>56</v>
      </c>
      <c r="D758" s="1" t="s">
        <v>57</v>
      </c>
      <c r="E758" s="1" t="s">
        <v>45</v>
      </c>
      <c r="F758" s="1" t="s">
        <v>58</v>
      </c>
      <c r="G758" s="1" t="s">
        <v>1854</v>
      </c>
      <c r="H758" s="1" t="s">
        <v>1855</v>
      </c>
      <c r="I758" s="1" t="s">
        <v>49</v>
      </c>
      <c r="J758" s="1" t="s">
        <v>48</v>
      </c>
      <c r="K758" s="1">
        <v>72</v>
      </c>
      <c r="L758" s="1">
        <v>0</v>
      </c>
      <c r="M758" s="1">
        <v>0</v>
      </c>
      <c r="N758" s="1">
        <v>72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 t="s">
        <v>49</v>
      </c>
      <c r="AA758" s="1" t="s">
        <v>49</v>
      </c>
      <c r="AB758" s="1" t="s">
        <v>49</v>
      </c>
      <c r="AC758" s="1" t="s">
        <v>61</v>
      </c>
      <c r="AD758" s="1" t="s">
        <v>62</v>
      </c>
      <c r="AE758" s="1" t="s">
        <v>61</v>
      </c>
      <c r="AF758" s="1" t="s">
        <v>63</v>
      </c>
      <c r="AG758" s="1" t="s">
        <v>53</v>
      </c>
      <c r="AH758" s="1" t="s">
        <v>49</v>
      </c>
      <c r="AI758" s="1" t="s">
        <v>54</v>
      </c>
      <c r="AJ758" s="1">
        <v>1</v>
      </c>
      <c r="AK758" s="1" t="str">
        <f t="shared" si="11"/>
        <v xml:space="preserve"> =&lt;90</v>
      </c>
      <c r="AL758" s="1" t="str">
        <f>VLOOKUP(C:C,[1]基础信息!B$1:D$65536,3,0)</f>
        <v>Jug</v>
      </c>
      <c r="AM758" s="1" t="str">
        <f>VLOOKUP(C:C,[1]基础信息!B$1:E$65536,4,0)</f>
        <v>Marella XL</v>
      </c>
      <c r="AN758" s="1" t="str">
        <f>VLOOKUP(C:C,[1]基础信息!B$1:F$65536,5,0)</f>
        <v>Blue</v>
      </c>
    </row>
    <row r="759" spans="1:40">
      <c r="A759" s="1" t="s">
        <v>41</v>
      </c>
      <c r="B759" s="1" t="s">
        <v>42</v>
      </c>
      <c r="C759" s="1" t="s">
        <v>56</v>
      </c>
      <c r="D759" s="1" t="s">
        <v>57</v>
      </c>
      <c r="E759" s="1" t="s">
        <v>45</v>
      </c>
      <c r="F759" s="1" t="s">
        <v>58</v>
      </c>
      <c r="G759" s="1" t="s">
        <v>1856</v>
      </c>
      <c r="H759" s="1" t="s">
        <v>1857</v>
      </c>
      <c r="I759" s="1" t="s">
        <v>49</v>
      </c>
      <c r="J759" s="1" t="s">
        <v>48</v>
      </c>
      <c r="K759" s="1">
        <v>72</v>
      </c>
      <c r="L759" s="1">
        <v>0</v>
      </c>
      <c r="M759" s="1">
        <v>0</v>
      </c>
      <c r="N759" s="1">
        <v>72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 t="s">
        <v>49</v>
      </c>
      <c r="AA759" s="1" t="s">
        <v>49</v>
      </c>
      <c r="AB759" s="1" t="s">
        <v>49</v>
      </c>
      <c r="AC759" s="1" t="s">
        <v>61</v>
      </c>
      <c r="AD759" s="1" t="s">
        <v>62</v>
      </c>
      <c r="AE759" s="1" t="s">
        <v>61</v>
      </c>
      <c r="AF759" s="1" t="s">
        <v>63</v>
      </c>
      <c r="AG759" s="1" t="s">
        <v>53</v>
      </c>
      <c r="AH759" s="1" t="s">
        <v>49</v>
      </c>
      <c r="AI759" s="1" t="s">
        <v>54</v>
      </c>
      <c r="AJ759" s="1">
        <v>1</v>
      </c>
      <c r="AK759" s="1" t="str">
        <f t="shared" si="11"/>
        <v xml:space="preserve"> =&lt;90</v>
      </c>
      <c r="AL759" s="1" t="str">
        <f>VLOOKUP(C:C,[1]基础信息!B$1:D$65536,3,0)</f>
        <v>Jug</v>
      </c>
      <c r="AM759" s="1" t="str">
        <f>VLOOKUP(C:C,[1]基础信息!B$1:E$65536,4,0)</f>
        <v>Marella XL</v>
      </c>
      <c r="AN759" s="1" t="str">
        <f>VLOOKUP(C:C,[1]基础信息!B$1:F$65536,5,0)</f>
        <v>Blue</v>
      </c>
    </row>
    <row r="760" spans="1:40">
      <c r="A760" s="1" t="s">
        <v>41</v>
      </c>
      <c r="B760" s="1" t="s">
        <v>42</v>
      </c>
      <c r="C760" s="1" t="s">
        <v>56</v>
      </c>
      <c r="D760" s="1" t="s">
        <v>57</v>
      </c>
      <c r="E760" s="1" t="s">
        <v>45</v>
      </c>
      <c r="F760" s="1" t="s">
        <v>58</v>
      </c>
      <c r="G760" s="1" t="s">
        <v>1858</v>
      </c>
      <c r="H760" s="1" t="s">
        <v>1859</v>
      </c>
      <c r="I760" s="1" t="s">
        <v>49</v>
      </c>
      <c r="J760" s="1" t="s">
        <v>48</v>
      </c>
      <c r="K760" s="1">
        <v>72</v>
      </c>
      <c r="L760" s="1">
        <v>0</v>
      </c>
      <c r="M760" s="1">
        <v>0</v>
      </c>
      <c r="N760" s="1">
        <v>72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 t="s">
        <v>49</v>
      </c>
      <c r="AA760" s="1" t="s">
        <v>49</v>
      </c>
      <c r="AB760" s="1" t="s">
        <v>49</v>
      </c>
      <c r="AC760" s="1" t="s">
        <v>61</v>
      </c>
      <c r="AD760" s="1" t="s">
        <v>62</v>
      </c>
      <c r="AE760" s="1" t="s">
        <v>61</v>
      </c>
      <c r="AF760" s="1" t="s">
        <v>63</v>
      </c>
      <c r="AG760" s="1" t="s">
        <v>53</v>
      </c>
      <c r="AH760" s="1" t="s">
        <v>49</v>
      </c>
      <c r="AI760" s="1" t="s">
        <v>54</v>
      </c>
      <c r="AJ760" s="1">
        <v>1</v>
      </c>
      <c r="AK760" s="1" t="str">
        <f t="shared" si="11"/>
        <v xml:space="preserve"> =&lt;90</v>
      </c>
      <c r="AL760" s="1" t="str">
        <f>VLOOKUP(C:C,[1]基础信息!B$1:D$65536,3,0)</f>
        <v>Jug</v>
      </c>
      <c r="AM760" s="1" t="str">
        <f>VLOOKUP(C:C,[1]基础信息!B$1:E$65536,4,0)</f>
        <v>Marella XL</v>
      </c>
      <c r="AN760" s="1" t="str">
        <f>VLOOKUP(C:C,[1]基础信息!B$1:F$65536,5,0)</f>
        <v>Blue</v>
      </c>
    </row>
    <row r="761" spans="1:40">
      <c r="A761" s="1" t="s">
        <v>41</v>
      </c>
      <c r="B761" s="1" t="s">
        <v>42</v>
      </c>
      <c r="C761" s="1" t="s">
        <v>56</v>
      </c>
      <c r="D761" s="1" t="s">
        <v>57</v>
      </c>
      <c r="E761" s="1" t="s">
        <v>45</v>
      </c>
      <c r="F761" s="1" t="s">
        <v>58</v>
      </c>
      <c r="G761" s="1" t="s">
        <v>1860</v>
      </c>
      <c r="H761" s="1" t="s">
        <v>1861</v>
      </c>
      <c r="I761" s="1" t="s">
        <v>49</v>
      </c>
      <c r="J761" s="1" t="s">
        <v>48</v>
      </c>
      <c r="K761" s="1">
        <v>72</v>
      </c>
      <c r="L761" s="1">
        <v>0</v>
      </c>
      <c r="M761" s="1">
        <v>0</v>
      </c>
      <c r="N761" s="1">
        <v>72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 t="s">
        <v>49</v>
      </c>
      <c r="AA761" s="1" t="s">
        <v>49</v>
      </c>
      <c r="AB761" s="1" t="s">
        <v>49</v>
      </c>
      <c r="AC761" s="1" t="s">
        <v>61</v>
      </c>
      <c r="AD761" s="1" t="s">
        <v>62</v>
      </c>
      <c r="AE761" s="1" t="s">
        <v>61</v>
      </c>
      <c r="AF761" s="1" t="s">
        <v>63</v>
      </c>
      <c r="AG761" s="1" t="s">
        <v>53</v>
      </c>
      <c r="AH761" s="1" t="s">
        <v>49</v>
      </c>
      <c r="AI761" s="1" t="s">
        <v>54</v>
      </c>
      <c r="AJ761" s="1">
        <v>1</v>
      </c>
      <c r="AK761" s="1" t="str">
        <f t="shared" si="11"/>
        <v xml:space="preserve"> =&lt;90</v>
      </c>
      <c r="AL761" s="1" t="str">
        <f>VLOOKUP(C:C,[1]基础信息!B$1:D$65536,3,0)</f>
        <v>Jug</v>
      </c>
      <c r="AM761" s="1" t="str">
        <f>VLOOKUP(C:C,[1]基础信息!B$1:E$65536,4,0)</f>
        <v>Marella XL</v>
      </c>
      <c r="AN761" s="1" t="str">
        <f>VLOOKUP(C:C,[1]基础信息!B$1:F$65536,5,0)</f>
        <v>Blue</v>
      </c>
    </row>
    <row r="762" spans="1:40">
      <c r="A762" s="1" t="s">
        <v>41</v>
      </c>
      <c r="B762" s="1" t="s">
        <v>42</v>
      </c>
      <c r="C762" s="1" t="s">
        <v>56</v>
      </c>
      <c r="D762" s="1" t="s">
        <v>57</v>
      </c>
      <c r="E762" s="1" t="s">
        <v>45</v>
      </c>
      <c r="F762" s="1" t="s">
        <v>58</v>
      </c>
      <c r="G762" s="1" t="s">
        <v>1862</v>
      </c>
      <c r="H762" s="1" t="s">
        <v>1863</v>
      </c>
      <c r="I762" s="1" t="s">
        <v>49</v>
      </c>
      <c r="J762" s="1" t="s">
        <v>48</v>
      </c>
      <c r="K762" s="1">
        <v>72</v>
      </c>
      <c r="L762" s="1">
        <v>0</v>
      </c>
      <c r="M762" s="1">
        <v>0</v>
      </c>
      <c r="N762" s="1">
        <v>72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 t="s">
        <v>49</v>
      </c>
      <c r="AA762" s="1" t="s">
        <v>49</v>
      </c>
      <c r="AB762" s="1" t="s">
        <v>49</v>
      </c>
      <c r="AC762" s="1" t="s">
        <v>61</v>
      </c>
      <c r="AD762" s="1" t="s">
        <v>62</v>
      </c>
      <c r="AE762" s="1" t="s">
        <v>61</v>
      </c>
      <c r="AF762" s="1" t="s">
        <v>63</v>
      </c>
      <c r="AG762" s="1" t="s">
        <v>53</v>
      </c>
      <c r="AH762" s="1" t="s">
        <v>49</v>
      </c>
      <c r="AI762" s="1" t="s">
        <v>54</v>
      </c>
      <c r="AJ762" s="1">
        <v>1</v>
      </c>
      <c r="AK762" s="1" t="str">
        <f t="shared" si="11"/>
        <v xml:space="preserve"> =&lt;90</v>
      </c>
      <c r="AL762" s="1" t="str">
        <f>VLOOKUP(C:C,[1]基础信息!B$1:D$65536,3,0)</f>
        <v>Jug</v>
      </c>
      <c r="AM762" s="1" t="str">
        <f>VLOOKUP(C:C,[1]基础信息!B$1:E$65536,4,0)</f>
        <v>Marella XL</v>
      </c>
      <c r="AN762" s="1" t="str">
        <f>VLOOKUP(C:C,[1]基础信息!B$1:F$65536,5,0)</f>
        <v>Blue</v>
      </c>
    </row>
    <row r="763" spans="1:40">
      <c r="A763" s="1" t="s">
        <v>41</v>
      </c>
      <c r="B763" s="1" t="s">
        <v>42</v>
      </c>
      <c r="C763" s="1" t="s">
        <v>56</v>
      </c>
      <c r="D763" s="1" t="s">
        <v>57</v>
      </c>
      <c r="E763" s="1" t="s">
        <v>45</v>
      </c>
      <c r="F763" s="1" t="s">
        <v>58</v>
      </c>
      <c r="G763" s="1" t="s">
        <v>1864</v>
      </c>
      <c r="H763" s="1" t="s">
        <v>1865</v>
      </c>
      <c r="I763" s="1" t="s">
        <v>49</v>
      </c>
      <c r="J763" s="1" t="s">
        <v>48</v>
      </c>
      <c r="K763" s="1">
        <v>72</v>
      </c>
      <c r="L763" s="1">
        <v>0</v>
      </c>
      <c r="M763" s="1">
        <v>0</v>
      </c>
      <c r="N763" s="1">
        <v>72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 t="s">
        <v>49</v>
      </c>
      <c r="AA763" s="1" t="s">
        <v>49</v>
      </c>
      <c r="AB763" s="1" t="s">
        <v>49</v>
      </c>
      <c r="AC763" s="1" t="s">
        <v>61</v>
      </c>
      <c r="AD763" s="1" t="s">
        <v>62</v>
      </c>
      <c r="AE763" s="1" t="s">
        <v>61</v>
      </c>
      <c r="AF763" s="1" t="s">
        <v>63</v>
      </c>
      <c r="AG763" s="1" t="s">
        <v>53</v>
      </c>
      <c r="AH763" s="1" t="s">
        <v>49</v>
      </c>
      <c r="AI763" s="1" t="s">
        <v>54</v>
      </c>
      <c r="AJ763" s="1">
        <v>1</v>
      </c>
      <c r="AK763" s="1" t="str">
        <f t="shared" si="11"/>
        <v xml:space="preserve"> =&lt;90</v>
      </c>
      <c r="AL763" s="1" t="str">
        <f>VLOOKUP(C:C,[1]基础信息!B$1:D$65536,3,0)</f>
        <v>Jug</v>
      </c>
      <c r="AM763" s="1" t="str">
        <f>VLOOKUP(C:C,[1]基础信息!B$1:E$65536,4,0)</f>
        <v>Marella XL</v>
      </c>
      <c r="AN763" s="1" t="str">
        <f>VLOOKUP(C:C,[1]基础信息!B$1:F$65536,5,0)</f>
        <v>Blue</v>
      </c>
    </row>
    <row r="764" spans="1:40">
      <c r="A764" s="1" t="s">
        <v>41</v>
      </c>
      <c r="B764" s="1" t="s">
        <v>42</v>
      </c>
      <c r="C764" s="1" t="s">
        <v>56</v>
      </c>
      <c r="D764" s="1" t="s">
        <v>57</v>
      </c>
      <c r="E764" s="1" t="s">
        <v>45</v>
      </c>
      <c r="F764" s="1" t="s">
        <v>58</v>
      </c>
      <c r="G764" s="1" t="s">
        <v>1866</v>
      </c>
      <c r="H764" s="1" t="s">
        <v>1867</v>
      </c>
      <c r="I764" s="1" t="s">
        <v>49</v>
      </c>
      <c r="J764" s="1" t="s">
        <v>48</v>
      </c>
      <c r="K764" s="1">
        <v>72</v>
      </c>
      <c r="L764" s="1">
        <v>0</v>
      </c>
      <c r="M764" s="1">
        <v>0</v>
      </c>
      <c r="N764" s="1">
        <v>72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 t="s">
        <v>49</v>
      </c>
      <c r="AA764" s="1" t="s">
        <v>49</v>
      </c>
      <c r="AB764" s="1" t="s">
        <v>49</v>
      </c>
      <c r="AC764" s="1" t="s">
        <v>61</v>
      </c>
      <c r="AD764" s="1" t="s">
        <v>62</v>
      </c>
      <c r="AE764" s="1" t="s">
        <v>61</v>
      </c>
      <c r="AF764" s="1" t="s">
        <v>63</v>
      </c>
      <c r="AG764" s="1" t="s">
        <v>53</v>
      </c>
      <c r="AH764" s="1" t="s">
        <v>49</v>
      </c>
      <c r="AI764" s="1" t="s">
        <v>54</v>
      </c>
      <c r="AJ764" s="1">
        <v>1</v>
      </c>
      <c r="AK764" s="1" t="str">
        <f t="shared" si="11"/>
        <v xml:space="preserve"> =&lt;90</v>
      </c>
      <c r="AL764" s="1" t="str">
        <f>VLOOKUP(C:C,[1]基础信息!B$1:D$65536,3,0)</f>
        <v>Jug</v>
      </c>
      <c r="AM764" s="1" t="str">
        <f>VLOOKUP(C:C,[1]基础信息!B$1:E$65536,4,0)</f>
        <v>Marella XL</v>
      </c>
      <c r="AN764" s="1" t="str">
        <f>VLOOKUP(C:C,[1]基础信息!B$1:F$65536,5,0)</f>
        <v>Blue</v>
      </c>
    </row>
    <row r="765" spans="1:40">
      <c r="A765" s="1" t="s">
        <v>41</v>
      </c>
      <c r="B765" s="1" t="s">
        <v>42</v>
      </c>
      <c r="C765" s="1" t="s">
        <v>359</v>
      </c>
      <c r="D765" s="1" t="s">
        <v>360</v>
      </c>
      <c r="E765" s="1" t="s">
        <v>45</v>
      </c>
      <c r="F765" s="1" t="s">
        <v>1642</v>
      </c>
      <c r="G765" s="1" t="s">
        <v>1868</v>
      </c>
      <c r="H765" s="1" t="s">
        <v>1869</v>
      </c>
      <c r="I765" s="1" t="s">
        <v>49</v>
      </c>
      <c r="J765" s="1" t="s">
        <v>48</v>
      </c>
      <c r="K765" s="1">
        <v>95</v>
      </c>
      <c r="L765" s="1">
        <v>0</v>
      </c>
      <c r="M765" s="1">
        <v>0</v>
      </c>
      <c r="N765" s="1">
        <v>95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 t="s">
        <v>49</v>
      </c>
      <c r="AA765" s="1" t="s">
        <v>49</v>
      </c>
      <c r="AB765" s="1" t="s">
        <v>49</v>
      </c>
      <c r="AC765" s="1" t="s">
        <v>1377</v>
      </c>
      <c r="AD765" s="1" t="s">
        <v>1378</v>
      </c>
      <c r="AE765" s="1" t="s">
        <v>1377</v>
      </c>
      <c r="AF765" s="1" t="s">
        <v>1256</v>
      </c>
      <c r="AG765" s="1" t="s">
        <v>53</v>
      </c>
      <c r="AH765" s="1" t="s">
        <v>49</v>
      </c>
      <c r="AI765" s="1" t="s">
        <v>54</v>
      </c>
      <c r="AJ765" s="1">
        <v>1</v>
      </c>
      <c r="AK765" s="1" t="str">
        <f t="shared" si="11"/>
        <v xml:space="preserve"> =&lt;90</v>
      </c>
      <c r="AL765" s="1" t="e">
        <f>VLOOKUP(C:C,[1]基础信息!B$1:D$65536,3,0)</f>
        <v>#N/A</v>
      </c>
      <c r="AM765" s="1" t="e">
        <f>VLOOKUP(C:C,[1]基础信息!B$1:E$65536,4,0)</f>
        <v>#N/A</v>
      </c>
      <c r="AN765" s="1" t="e">
        <f>VLOOKUP(C:C,[1]基础信息!B$1:F$65536,5,0)</f>
        <v>#N/A</v>
      </c>
    </row>
    <row r="766" spans="1:40">
      <c r="A766" s="1" t="s">
        <v>41</v>
      </c>
      <c r="B766" s="1" t="s">
        <v>42</v>
      </c>
      <c r="C766" s="1" t="s">
        <v>359</v>
      </c>
      <c r="D766" s="1" t="s">
        <v>360</v>
      </c>
      <c r="E766" s="1" t="s">
        <v>45</v>
      </c>
      <c r="F766" s="1" t="s">
        <v>1642</v>
      </c>
      <c r="G766" s="1" t="s">
        <v>1870</v>
      </c>
      <c r="H766" s="1" t="s">
        <v>1871</v>
      </c>
      <c r="I766" s="1" t="s">
        <v>49</v>
      </c>
      <c r="J766" s="1" t="s">
        <v>48</v>
      </c>
      <c r="K766" s="1">
        <v>95</v>
      </c>
      <c r="L766" s="1">
        <v>0</v>
      </c>
      <c r="M766" s="1">
        <v>0</v>
      </c>
      <c r="N766" s="1">
        <v>95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 t="s">
        <v>49</v>
      </c>
      <c r="AA766" s="1" t="s">
        <v>49</v>
      </c>
      <c r="AB766" s="1" t="s">
        <v>49</v>
      </c>
      <c r="AC766" s="1" t="s">
        <v>1377</v>
      </c>
      <c r="AD766" s="1" t="s">
        <v>1378</v>
      </c>
      <c r="AE766" s="1" t="s">
        <v>1377</v>
      </c>
      <c r="AF766" s="1" t="s">
        <v>1256</v>
      </c>
      <c r="AG766" s="1" t="s">
        <v>53</v>
      </c>
      <c r="AH766" s="1" t="s">
        <v>49</v>
      </c>
      <c r="AI766" s="1" t="s">
        <v>54</v>
      </c>
      <c r="AJ766" s="1">
        <v>1</v>
      </c>
      <c r="AK766" s="1" t="str">
        <f t="shared" si="11"/>
        <v xml:space="preserve"> =&lt;90</v>
      </c>
      <c r="AL766" s="1" t="e">
        <f>VLOOKUP(C:C,[1]基础信息!B$1:D$65536,3,0)</f>
        <v>#N/A</v>
      </c>
      <c r="AM766" s="1" t="e">
        <f>VLOOKUP(C:C,[1]基础信息!B$1:E$65536,4,0)</f>
        <v>#N/A</v>
      </c>
      <c r="AN766" s="1" t="e">
        <f>VLOOKUP(C:C,[1]基础信息!B$1:F$65536,5,0)</f>
        <v>#N/A</v>
      </c>
    </row>
    <row r="767" spans="1:40">
      <c r="A767" s="1" t="s">
        <v>41</v>
      </c>
      <c r="B767" s="1" t="s">
        <v>42</v>
      </c>
      <c r="C767" s="1" t="s">
        <v>969</v>
      </c>
      <c r="D767" s="1" t="s">
        <v>970</v>
      </c>
      <c r="E767" s="1" t="s">
        <v>45</v>
      </c>
      <c r="F767" s="1" t="s">
        <v>1787</v>
      </c>
      <c r="G767" s="1" t="s">
        <v>1872</v>
      </c>
      <c r="H767" s="1" t="s">
        <v>1873</v>
      </c>
      <c r="I767" s="1" t="s">
        <v>49</v>
      </c>
      <c r="J767" s="1" t="s">
        <v>48</v>
      </c>
      <c r="K767" s="1">
        <v>80</v>
      </c>
      <c r="L767" s="1">
        <v>0</v>
      </c>
      <c r="M767" s="1">
        <v>0</v>
      </c>
      <c r="N767" s="1">
        <v>80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 t="s">
        <v>49</v>
      </c>
      <c r="AA767" s="1" t="s">
        <v>49</v>
      </c>
      <c r="AB767" s="1" t="s">
        <v>49</v>
      </c>
      <c r="AC767" s="1" t="s">
        <v>128</v>
      </c>
      <c r="AD767" s="1" t="s">
        <v>129</v>
      </c>
      <c r="AE767" s="1" t="s">
        <v>128</v>
      </c>
      <c r="AF767" s="1" t="s">
        <v>1332</v>
      </c>
      <c r="AG767" s="1" t="s">
        <v>53</v>
      </c>
      <c r="AH767" s="1" t="s">
        <v>49</v>
      </c>
      <c r="AI767" s="1" t="s">
        <v>54</v>
      </c>
      <c r="AJ767" s="1">
        <v>1</v>
      </c>
      <c r="AK767" s="1" t="str">
        <f t="shared" si="11"/>
        <v xml:space="preserve"> =&lt;90</v>
      </c>
      <c r="AL767" s="1" t="str">
        <f>VLOOKUP(C:C,[1]基础信息!B$1:D$65536,3,0)</f>
        <v>Jug</v>
      </c>
      <c r="AM767" s="1" t="str">
        <f>VLOOKUP(C:C,[1]基础信息!B$1:E$65536,4,0)</f>
        <v>Mxplus</v>
      </c>
      <c r="AN767" s="1" t="str">
        <f>VLOOKUP(C:C,[1]基础信息!B$1:F$65536,5,0)</f>
        <v xml:space="preserve"> blue</v>
      </c>
    </row>
    <row r="768" spans="1:40">
      <c r="A768" s="1" t="s">
        <v>41</v>
      </c>
      <c r="B768" s="1" t="s">
        <v>42</v>
      </c>
      <c r="C768" s="1" t="s">
        <v>969</v>
      </c>
      <c r="D768" s="1" t="s">
        <v>970</v>
      </c>
      <c r="E768" s="1" t="s">
        <v>45</v>
      </c>
      <c r="F768" s="1" t="s">
        <v>1787</v>
      </c>
      <c r="G768" s="1" t="s">
        <v>1874</v>
      </c>
      <c r="H768" s="1" t="s">
        <v>1875</v>
      </c>
      <c r="I768" s="1" t="s">
        <v>49</v>
      </c>
      <c r="J768" s="1" t="s">
        <v>48</v>
      </c>
      <c r="K768" s="1">
        <v>80</v>
      </c>
      <c r="L768" s="1">
        <v>0</v>
      </c>
      <c r="M768" s="1">
        <v>0</v>
      </c>
      <c r="N768" s="1">
        <v>80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 t="s">
        <v>49</v>
      </c>
      <c r="AA768" s="1" t="s">
        <v>49</v>
      </c>
      <c r="AB768" s="1" t="s">
        <v>49</v>
      </c>
      <c r="AC768" s="1" t="s">
        <v>128</v>
      </c>
      <c r="AD768" s="1" t="s">
        <v>129</v>
      </c>
      <c r="AE768" s="1" t="s">
        <v>128</v>
      </c>
      <c r="AF768" s="1" t="s">
        <v>1332</v>
      </c>
      <c r="AG768" s="1" t="s">
        <v>53</v>
      </c>
      <c r="AH768" s="1" t="s">
        <v>49</v>
      </c>
      <c r="AI768" s="1" t="s">
        <v>54</v>
      </c>
      <c r="AJ768" s="1">
        <v>1</v>
      </c>
      <c r="AK768" s="1" t="str">
        <f t="shared" si="11"/>
        <v xml:space="preserve"> =&lt;90</v>
      </c>
      <c r="AL768" s="1" t="str">
        <f>VLOOKUP(C:C,[1]基础信息!B$1:D$65536,3,0)</f>
        <v>Jug</v>
      </c>
      <c r="AM768" s="1" t="str">
        <f>VLOOKUP(C:C,[1]基础信息!B$1:E$65536,4,0)</f>
        <v>Mxplus</v>
      </c>
      <c r="AN768" s="1" t="str">
        <f>VLOOKUP(C:C,[1]基础信息!B$1:F$65536,5,0)</f>
        <v xml:space="preserve"> blue</v>
      </c>
    </row>
    <row r="769" spans="1:40">
      <c r="A769" s="1" t="s">
        <v>41</v>
      </c>
      <c r="B769" s="1" t="s">
        <v>42</v>
      </c>
      <c r="C769" s="1" t="s">
        <v>1710</v>
      </c>
      <c r="D769" s="1" t="s">
        <v>1711</v>
      </c>
      <c r="E769" s="1" t="s">
        <v>45</v>
      </c>
      <c r="F769" s="1" t="s">
        <v>1712</v>
      </c>
      <c r="G769" s="1" t="s">
        <v>1876</v>
      </c>
      <c r="H769" s="1" t="s">
        <v>1877</v>
      </c>
      <c r="I769" s="1" t="s">
        <v>49</v>
      </c>
      <c r="J769" s="1" t="s">
        <v>48</v>
      </c>
      <c r="K769" s="1">
        <v>60</v>
      </c>
      <c r="L769" s="1">
        <v>0</v>
      </c>
      <c r="M769" s="1">
        <v>0</v>
      </c>
      <c r="N769" s="1">
        <v>60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 t="s">
        <v>49</v>
      </c>
      <c r="AA769" s="1" t="s">
        <v>49</v>
      </c>
      <c r="AB769" s="1" t="s">
        <v>49</v>
      </c>
      <c r="AC769" s="1" t="s">
        <v>1715</v>
      </c>
      <c r="AD769" s="1" t="s">
        <v>1716</v>
      </c>
      <c r="AE769" s="1" t="s">
        <v>1715</v>
      </c>
      <c r="AF769" s="1" t="s">
        <v>1717</v>
      </c>
      <c r="AG769" s="1" t="s">
        <v>53</v>
      </c>
      <c r="AH769" s="1" t="s">
        <v>49</v>
      </c>
      <c r="AI769" s="1" t="s">
        <v>54</v>
      </c>
      <c r="AJ769" s="1">
        <v>1</v>
      </c>
      <c r="AK769" s="1" t="str">
        <f t="shared" si="11"/>
        <v xml:space="preserve"> =&lt;90</v>
      </c>
      <c r="AL769" s="1" t="str">
        <f>VLOOKUP(C:C,[1]基础信息!B$1:D$65536,3,0)</f>
        <v>Jug</v>
      </c>
      <c r="AM769" s="1" t="str">
        <f>VLOOKUP(C:C,[1]基础信息!B$1:E$65536,4,0)</f>
        <v>Kalea XL ME4W</v>
      </c>
      <c r="AN769" s="1" t="str">
        <f>VLOOKUP(C:C,[1]基础信息!B$1:F$65536,5,0)</f>
        <v>grey</v>
      </c>
    </row>
    <row r="770" spans="1:40">
      <c r="A770" s="1" t="s">
        <v>41</v>
      </c>
      <c r="B770" s="1" t="s">
        <v>42</v>
      </c>
      <c r="C770" s="1" t="s">
        <v>208</v>
      </c>
      <c r="D770" s="1" t="s">
        <v>209</v>
      </c>
      <c r="E770" s="1" t="s">
        <v>208</v>
      </c>
      <c r="F770" s="1" t="s">
        <v>1734</v>
      </c>
      <c r="G770" s="1" t="s">
        <v>1878</v>
      </c>
      <c r="H770" s="1" t="s">
        <v>1879</v>
      </c>
      <c r="I770" s="1" t="s">
        <v>49</v>
      </c>
      <c r="J770" s="1" t="s">
        <v>48</v>
      </c>
      <c r="K770" s="1">
        <v>80</v>
      </c>
      <c r="L770" s="1">
        <v>0</v>
      </c>
      <c r="M770" s="1">
        <v>0</v>
      </c>
      <c r="N770" s="1">
        <v>80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 t="s">
        <v>49</v>
      </c>
      <c r="AA770" s="1" t="s">
        <v>49</v>
      </c>
      <c r="AB770" s="1" t="s">
        <v>49</v>
      </c>
      <c r="AC770" s="1" t="s">
        <v>376</v>
      </c>
      <c r="AD770" s="1" t="s">
        <v>377</v>
      </c>
      <c r="AE770" s="1" t="s">
        <v>376</v>
      </c>
      <c r="AF770" s="1" t="s">
        <v>1414</v>
      </c>
      <c r="AG770" s="1" t="s">
        <v>53</v>
      </c>
      <c r="AH770" s="1" t="s">
        <v>49</v>
      </c>
      <c r="AI770" s="1" t="s">
        <v>54</v>
      </c>
      <c r="AJ770" s="1">
        <v>1</v>
      </c>
      <c r="AK770" s="1" t="str">
        <f t="shared" ref="AK770:AK833" si="12">IF(AJ770&gt;$AP$2,$AQ$2,IF(AJ770&gt;$AP$3,$AQ$3,IF(AJ770&gt;$AP$4,$AQ$4,$AQ$5)))</f>
        <v xml:space="preserve"> =&lt;90</v>
      </c>
      <c r="AL770" s="1" t="str">
        <f>VLOOKUP(C:C,[1]基础信息!B$1:D$65536,3,0)</f>
        <v>Jug</v>
      </c>
      <c r="AM770" s="1" t="str">
        <f>VLOOKUP(C:C,[1]基础信息!B$1:E$65536,4,0)</f>
        <v>MXpl</v>
      </c>
      <c r="AN770" s="1" t="str">
        <f>VLOOKUP(C:C,[1]基础信息!B$1:F$65536,5,0)</f>
        <v>grey</v>
      </c>
    </row>
    <row r="771" spans="1:40">
      <c r="A771" s="1" t="s">
        <v>41</v>
      </c>
      <c r="B771" s="1" t="s">
        <v>42</v>
      </c>
      <c r="C771" s="1" t="s">
        <v>208</v>
      </c>
      <c r="D771" s="1" t="s">
        <v>209</v>
      </c>
      <c r="E771" s="1" t="s">
        <v>208</v>
      </c>
      <c r="F771" s="1" t="s">
        <v>1734</v>
      </c>
      <c r="G771" s="1" t="s">
        <v>1880</v>
      </c>
      <c r="H771" s="1" t="s">
        <v>1881</v>
      </c>
      <c r="I771" s="1" t="s">
        <v>49</v>
      </c>
      <c r="J771" s="1" t="s">
        <v>48</v>
      </c>
      <c r="K771" s="1">
        <v>80</v>
      </c>
      <c r="L771" s="1">
        <v>0</v>
      </c>
      <c r="M771" s="1">
        <v>0</v>
      </c>
      <c r="N771" s="1">
        <v>80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 t="s">
        <v>49</v>
      </c>
      <c r="AA771" s="1" t="s">
        <v>49</v>
      </c>
      <c r="AB771" s="1" t="s">
        <v>49</v>
      </c>
      <c r="AC771" s="1" t="s">
        <v>376</v>
      </c>
      <c r="AD771" s="1" t="s">
        <v>377</v>
      </c>
      <c r="AE771" s="1" t="s">
        <v>376</v>
      </c>
      <c r="AF771" s="1" t="s">
        <v>1414</v>
      </c>
      <c r="AG771" s="1" t="s">
        <v>53</v>
      </c>
      <c r="AH771" s="1" t="s">
        <v>49</v>
      </c>
      <c r="AI771" s="1" t="s">
        <v>54</v>
      </c>
      <c r="AJ771" s="1">
        <v>1</v>
      </c>
      <c r="AK771" s="1" t="str">
        <f t="shared" si="12"/>
        <v xml:space="preserve"> =&lt;90</v>
      </c>
      <c r="AL771" s="1" t="str">
        <f>VLOOKUP(C:C,[1]基础信息!B$1:D$65536,3,0)</f>
        <v>Jug</v>
      </c>
      <c r="AM771" s="1" t="str">
        <f>VLOOKUP(C:C,[1]基础信息!B$1:E$65536,4,0)</f>
        <v>MXpl</v>
      </c>
      <c r="AN771" s="1" t="str">
        <f>VLOOKUP(C:C,[1]基础信息!B$1:F$65536,5,0)</f>
        <v>grey</v>
      </c>
    </row>
    <row r="772" spans="1:40">
      <c r="A772" s="1" t="s">
        <v>41</v>
      </c>
      <c r="B772" s="1" t="s">
        <v>42</v>
      </c>
      <c r="C772" s="1" t="s">
        <v>969</v>
      </c>
      <c r="D772" s="1" t="s">
        <v>970</v>
      </c>
      <c r="E772" s="1" t="s">
        <v>45</v>
      </c>
      <c r="F772" s="1" t="s">
        <v>1787</v>
      </c>
      <c r="G772" s="1" t="s">
        <v>1882</v>
      </c>
      <c r="H772" s="1" t="s">
        <v>1883</v>
      </c>
      <c r="I772" s="1" t="s">
        <v>49</v>
      </c>
      <c r="J772" s="1" t="s">
        <v>48</v>
      </c>
      <c r="K772" s="1">
        <v>80</v>
      </c>
      <c r="L772" s="1">
        <v>0</v>
      </c>
      <c r="M772" s="1">
        <v>0</v>
      </c>
      <c r="N772" s="1">
        <v>80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 t="s">
        <v>49</v>
      </c>
      <c r="AA772" s="1" t="s">
        <v>49</v>
      </c>
      <c r="AB772" s="1" t="s">
        <v>49</v>
      </c>
      <c r="AC772" s="1" t="s">
        <v>128</v>
      </c>
      <c r="AD772" s="1" t="s">
        <v>129</v>
      </c>
      <c r="AE772" s="1" t="s">
        <v>128</v>
      </c>
      <c r="AF772" s="1" t="s">
        <v>1332</v>
      </c>
      <c r="AG772" s="1" t="s">
        <v>53</v>
      </c>
      <c r="AH772" s="1" t="s">
        <v>49</v>
      </c>
      <c r="AI772" s="1" t="s">
        <v>54</v>
      </c>
      <c r="AJ772" s="1">
        <v>1</v>
      </c>
      <c r="AK772" s="1" t="str">
        <f t="shared" si="12"/>
        <v xml:space="preserve"> =&lt;90</v>
      </c>
      <c r="AL772" s="1" t="str">
        <f>VLOOKUP(C:C,[1]基础信息!B$1:D$65536,3,0)</f>
        <v>Jug</v>
      </c>
      <c r="AM772" s="1" t="str">
        <f>VLOOKUP(C:C,[1]基础信息!B$1:E$65536,4,0)</f>
        <v>Mxplus</v>
      </c>
      <c r="AN772" s="1" t="str">
        <f>VLOOKUP(C:C,[1]基础信息!B$1:F$65536,5,0)</f>
        <v xml:space="preserve"> blue</v>
      </c>
    </row>
    <row r="773" spans="1:40">
      <c r="A773" s="1" t="s">
        <v>41</v>
      </c>
      <c r="B773" s="1" t="s">
        <v>42</v>
      </c>
      <c r="C773" s="1" t="s">
        <v>969</v>
      </c>
      <c r="D773" s="1" t="s">
        <v>970</v>
      </c>
      <c r="E773" s="1" t="s">
        <v>45</v>
      </c>
      <c r="F773" s="1" t="s">
        <v>1787</v>
      </c>
      <c r="G773" s="1" t="s">
        <v>1884</v>
      </c>
      <c r="H773" s="1" t="s">
        <v>1885</v>
      </c>
      <c r="I773" s="1" t="s">
        <v>49</v>
      </c>
      <c r="J773" s="1" t="s">
        <v>48</v>
      </c>
      <c r="K773" s="1">
        <v>80</v>
      </c>
      <c r="L773" s="1">
        <v>0</v>
      </c>
      <c r="M773" s="1">
        <v>0</v>
      </c>
      <c r="N773" s="1">
        <v>80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 t="s">
        <v>49</v>
      </c>
      <c r="AA773" s="1" t="s">
        <v>49</v>
      </c>
      <c r="AB773" s="1" t="s">
        <v>49</v>
      </c>
      <c r="AC773" s="1" t="s">
        <v>128</v>
      </c>
      <c r="AD773" s="1" t="s">
        <v>129</v>
      </c>
      <c r="AE773" s="1" t="s">
        <v>128</v>
      </c>
      <c r="AF773" s="1" t="s">
        <v>1332</v>
      </c>
      <c r="AG773" s="1" t="s">
        <v>53</v>
      </c>
      <c r="AH773" s="1" t="s">
        <v>49</v>
      </c>
      <c r="AI773" s="1" t="s">
        <v>54</v>
      </c>
      <c r="AJ773" s="1">
        <v>1</v>
      </c>
      <c r="AK773" s="1" t="str">
        <f t="shared" si="12"/>
        <v xml:space="preserve"> =&lt;90</v>
      </c>
      <c r="AL773" s="1" t="str">
        <f>VLOOKUP(C:C,[1]基础信息!B$1:D$65536,3,0)</f>
        <v>Jug</v>
      </c>
      <c r="AM773" s="1" t="str">
        <f>VLOOKUP(C:C,[1]基础信息!B$1:E$65536,4,0)</f>
        <v>Mxplus</v>
      </c>
      <c r="AN773" s="1" t="str">
        <f>VLOOKUP(C:C,[1]基础信息!B$1:F$65536,5,0)</f>
        <v xml:space="preserve"> blue</v>
      </c>
    </row>
    <row r="774" spans="1:40">
      <c r="A774" s="1" t="s">
        <v>41</v>
      </c>
      <c r="B774" s="1" t="s">
        <v>42</v>
      </c>
      <c r="C774" s="1" t="s">
        <v>969</v>
      </c>
      <c r="D774" s="1" t="s">
        <v>970</v>
      </c>
      <c r="E774" s="1" t="s">
        <v>45</v>
      </c>
      <c r="F774" s="1" t="s">
        <v>1787</v>
      </c>
      <c r="G774" s="1" t="s">
        <v>1886</v>
      </c>
      <c r="H774" s="1" t="s">
        <v>1887</v>
      </c>
      <c r="I774" s="1" t="s">
        <v>49</v>
      </c>
      <c r="J774" s="1" t="s">
        <v>48</v>
      </c>
      <c r="K774" s="1">
        <v>80</v>
      </c>
      <c r="L774" s="1">
        <v>0</v>
      </c>
      <c r="M774" s="1">
        <v>0</v>
      </c>
      <c r="N774" s="1">
        <v>80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 t="s">
        <v>49</v>
      </c>
      <c r="AA774" s="1" t="s">
        <v>49</v>
      </c>
      <c r="AB774" s="1" t="s">
        <v>49</v>
      </c>
      <c r="AC774" s="1" t="s">
        <v>128</v>
      </c>
      <c r="AD774" s="1" t="s">
        <v>129</v>
      </c>
      <c r="AE774" s="1" t="s">
        <v>128</v>
      </c>
      <c r="AF774" s="1" t="s">
        <v>1332</v>
      </c>
      <c r="AG774" s="1" t="s">
        <v>53</v>
      </c>
      <c r="AH774" s="1" t="s">
        <v>49</v>
      </c>
      <c r="AI774" s="1" t="s">
        <v>54</v>
      </c>
      <c r="AJ774" s="1">
        <v>1</v>
      </c>
      <c r="AK774" s="1" t="str">
        <f t="shared" si="12"/>
        <v xml:space="preserve"> =&lt;90</v>
      </c>
      <c r="AL774" s="1" t="str">
        <f>VLOOKUP(C:C,[1]基础信息!B$1:D$65536,3,0)</f>
        <v>Jug</v>
      </c>
      <c r="AM774" s="1" t="str">
        <f>VLOOKUP(C:C,[1]基础信息!B$1:E$65536,4,0)</f>
        <v>Mxplus</v>
      </c>
      <c r="AN774" s="1" t="str">
        <f>VLOOKUP(C:C,[1]基础信息!B$1:F$65536,5,0)</f>
        <v xml:space="preserve"> blue</v>
      </c>
    </row>
    <row r="775" spans="1:40">
      <c r="A775" s="1" t="s">
        <v>41</v>
      </c>
      <c r="B775" s="1" t="s">
        <v>42</v>
      </c>
      <c r="C775" s="1" t="s">
        <v>969</v>
      </c>
      <c r="D775" s="1" t="s">
        <v>970</v>
      </c>
      <c r="E775" s="1" t="s">
        <v>45</v>
      </c>
      <c r="F775" s="1" t="s">
        <v>1787</v>
      </c>
      <c r="G775" s="1" t="s">
        <v>1888</v>
      </c>
      <c r="H775" s="1" t="s">
        <v>1889</v>
      </c>
      <c r="I775" s="1" t="s">
        <v>49</v>
      </c>
      <c r="J775" s="1" t="s">
        <v>48</v>
      </c>
      <c r="K775" s="1">
        <v>80</v>
      </c>
      <c r="L775" s="1">
        <v>0</v>
      </c>
      <c r="M775" s="1">
        <v>0</v>
      </c>
      <c r="N775" s="1">
        <v>80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 t="s">
        <v>49</v>
      </c>
      <c r="AA775" s="1" t="s">
        <v>49</v>
      </c>
      <c r="AB775" s="1" t="s">
        <v>49</v>
      </c>
      <c r="AC775" s="1" t="s">
        <v>128</v>
      </c>
      <c r="AD775" s="1" t="s">
        <v>129</v>
      </c>
      <c r="AE775" s="1" t="s">
        <v>128</v>
      </c>
      <c r="AF775" s="1" t="s">
        <v>1332</v>
      </c>
      <c r="AG775" s="1" t="s">
        <v>53</v>
      </c>
      <c r="AH775" s="1" t="s">
        <v>49</v>
      </c>
      <c r="AI775" s="1" t="s">
        <v>54</v>
      </c>
      <c r="AJ775" s="1">
        <v>1</v>
      </c>
      <c r="AK775" s="1" t="str">
        <f t="shared" si="12"/>
        <v xml:space="preserve"> =&lt;90</v>
      </c>
      <c r="AL775" s="1" t="str">
        <f>VLOOKUP(C:C,[1]基础信息!B$1:D$65536,3,0)</f>
        <v>Jug</v>
      </c>
      <c r="AM775" s="1" t="str">
        <f>VLOOKUP(C:C,[1]基础信息!B$1:E$65536,4,0)</f>
        <v>Mxplus</v>
      </c>
      <c r="AN775" s="1" t="str">
        <f>VLOOKUP(C:C,[1]基础信息!B$1:F$65536,5,0)</f>
        <v xml:space="preserve"> blue</v>
      </c>
    </row>
    <row r="776" spans="1:40">
      <c r="A776" s="1" t="s">
        <v>41</v>
      </c>
      <c r="B776" s="1" t="s">
        <v>42</v>
      </c>
      <c r="C776" s="1" t="s">
        <v>969</v>
      </c>
      <c r="D776" s="1" t="s">
        <v>970</v>
      </c>
      <c r="E776" s="1" t="s">
        <v>45</v>
      </c>
      <c r="F776" s="1" t="s">
        <v>1787</v>
      </c>
      <c r="G776" s="1" t="s">
        <v>1890</v>
      </c>
      <c r="H776" s="1" t="s">
        <v>1891</v>
      </c>
      <c r="I776" s="1" t="s">
        <v>49</v>
      </c>
      <c r="J776" s="1" t="s">
        <v>48</v>
      </c>
      <c r="K776" s="1">
        <v>80</v>
      </c>
      <c r="L776" s="1">
        <v>0</v>
      </c>
      <c r="M776" s="1">
        <v>0</v>
      </c>
      <c r="N776" s="1">
        <v>80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 t="s">
        <v>49</v>
      </c>
      <c r="AA776" s="1" t="s">
        <v>49</v>
      </c>
      <c r="AB776" s="1" t="s">
        <v>49</v>
      </c>
      <c r="AC776" s="1" t="s">
        <v>128</v>
      </c>
      <c r="AD776" s="1" t="s">
        <v>129</v>
      </c>
      <c r="AE776" s="1" t="s">
        <v>128</v>
      </c>
      <c r="AF776" s="1" t="s">
        <v>1332</v>
      </c>
      <c r="AG776" s="1" t="s">
        <v>53</v>
      </c>
      <c r="AH776" s="1" t="s">
        <v>49</v>
      </c>
      <c r="AI776" s="1" t="s">
        <v>54</v>
      </c>
      <c r="AJ776" s="1">
        <v>1</v>
      </c>
      <c r="AK776" s="1" t="str">
        <f t="shared" si="12"/>
        <v xml:space="preserve"> =&lt;90</v>
      </c>
      <c r="AL776" s="1" t="str">
        <f>VLOOKUP(C:C,[1]基础信息!B$1:D$65536,3,0)</f>
        <v>Jug</v>
      </c>
      <c r="AM776" s="1" t="str">
        <f>VLOOKUP(C:C,[1]基础信息!B$1:E$65536,4,0)</f>
        <v>Mxplus</v>
      </c>
      <c r="AN776" s="1" t="str">
        <f>VLOOKUP(C:C,[1]基础信息!B$1:F$65536,5,0)</f>
        <v xml:space="preserve"> blue</v>
      </c>
    </row>
    <row r="777" spans="1:40">
      <c r="A777" s="1" t="s">
        <v>41</v>
      </c>
      <c r="B777" s="1" t="s">
        <v>42</v>
      </c>
      <c r="C777" s="1" t="s">
        <v>969</v>
      </c>
      <c r="D777" s="1" t="s">
        <v>970</v>
      </c>
      <c r="E777" s="1" t="s">
        <v>45</v>
      </c>
      <c r="F777" s="1" t="s">
        <v>1787</v>
      </c>
      <c r="G777" s="1" t="s">
        <v>1892</v>
      </c>
      <c r="H777" s="1" t="s">
        <v>1893</v>
      </c>
      <c r="I777" s="1" t="s">
        <v>49</v>
      </c>
      <c r="J777" s="1" t="s">
        <v>48</v>
      </c>
      <c r="K777" s="1">
        <v>80</v>
      </c>
      <c r="L777" s="1">
        <v>0</v>
      </c>
      <c r="M777" s="1">
        <v>0</v>
      </c>
      <c r="N777" s="1">
        <v>80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 t="s">
        <v>49</v>
      </c>
      <c r="AA777" s="1" t="s">
        <v>49</v>
      </c>
      <c r="AB777" s="1" t="s">
        <v>49</v>
      </c>
      <c r="AC777" s="1" t="s">
        <v>128</v>
      </c>
      <c r="AD777" s="1" t="s">
        <v>129</v>
      </c>
      <c r="AE777" s="1" t="s">
        <v>128</v>
      </c>
      <c r="AF777" s="1" t="s">
        <v>1332</v>
      </c>
      <c r="AG777" s="1" t="s">
        <v>53</v>
      </c>
      <c r="AH777" s="1" t="s">
        <v>49</v>
      </c>
      <c r="AI777" s="1" t="s">
        <v>54</v>
      </c>
      <c r="AJ777" s="1">
        <v>1</v>
      </c>
      <c r="AK777" s="1" t="str">
        <f t="shared" si="12"/>
        <v xml:space="preserve"> =&lt;90</v>
      </c>
      <c r="AL777" s="1" t="str">
        <f>VLOOKUP(C:C,[1]基础信息!B$1:D$65536,3,0)</f>
        <v>Jug</v>
      </c>
      <c r="AM777" s="1" t="str">
        <f>VLOOKUP(C:C,[1]基础信息!B$1:E$65536,4,0)</f>
        <v>Mxplus</v>
      </c>
      <c r="AN777" s="1" t="str">
        <f>VLOOKUP(C:C,[1]基础信息!B$1:F$65536,5,0)</f>
        <v xml:space="preserve"> blue</v>
      </c>
    </row>
    <row r="778" spans="1:40">
      <c r="A778" s="1" t="s">
        <v>41</v>
      </c>
      <c r="B778" s="1" t="s">
        <v>42</v>
      </c>
      <c r="C778" s="1" t="s">
        <v>969</v>
      </c>
      <c r="D778" s="1" t="s">
        <v>970</v>
      </c>
      <c r="E778" s="1" t="s">
        <v>45</v>
      </c>
      <c r="F778" s="1" t="s">
        <v>1787</v>
      </c>
      <c r="G778" s="1" t="s">
        <v>1894</v>
      </c>
      <c r="H778" s="1" t="s">
        <v>1895</v>
      </c>
      <c r="I778" s="1" t="s">
        <v>49</v>
      </c>
      <c r="J778" s="1" t="s">
        <v>48</v>
      </c>
      <c r="K778" s="1">
        <v>80</v>
      </c>
      <c r="L778" s="1">
        <v>0</v>
      </c>
      <c r="M778" s="1">
        <v>0</v>
      </c>
      <c r="N778" s="1">
        <v>80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 t="s">
        <v>49</v>
      </c>
      <c r="AA778" s="1" t="s">
        <v>49</v>
      </c>
      <c r="AB778" s="1" t="s">
        <v>49</v>
      </c>
      <c r="AC778" s="1" t="s">
        <v>128</v>
      </c>
      <c r="AD778" s="1" t="s">
        <v>129</v>
      </c>
      <c r="AE778" s="1" t="s">
        <v>128</v>
      </c>
      <c r="AF778" s="1" t="s">
        <v>1332</v>
      </c>
      <c r="AG778" s="1" t="s">
        <v>53</v>
      </c>
      <c r="AH778" s="1" t="s">
        <v>49</v>
      </c>
      <c r="AI778" s="1" t="s">
        <v>54</v>
      </c>
      <c r="AJ778" s="1">
        <v>1</v>
      </c>
      <c r="AK778" s="1" t="str">
        <f t="shared" si="12"/>
        <v xml:space="preserve"> =&lt;90</v>
      </c>
      <c r="AL778" s="1" t="str">
        <f>VLOOKUP(C:C,[1]基础信息!B$1:D$65536,3,0)</f>
        <v>Jug</v>
      </c>
      <c r="AM778" s="1" t="str">
        <f>VLOOKUP(C:C,[1]基础信息!B$1:E$65536,4,0)</f>
        <v>Mxplus</v>
      </c>
      <c r="AN778" s="1" t="str">
        <f>VLOOKUP(C:C,[1]基础信息!B$1:F$65536,5,0)</f>
        <v xml:space="preserve"> blue</v>
      </c>
    </row>
    <row r="779" spans="1:40">
      <c r="A779" s="1" t="s">
        <v>41</v>
      </c>
      <c r="B779" s="1" t="s">
        <v>42</v>
      </c>
      <c r="C779" s="1" t="s">
        <v>481</v>
      </c>
      <c r="D779" s="1" t="s">
        <v>482</v>
      </c>
      <c r="E779" s="1" t="s">
        <v>45</v>
      </c>
      <c r="F779" s="1" t="s">
        <v>1491</v>
      </c>
      <c r="G779" s="1" t="s">
        <v>1896</v>
      </c>
      <c r="H779" s="1" t="s">
        <v>1897</v>
      </c>
      <c r="I779" s="1" t="s">
        <v>49</v>
      </c>
      <c r="J779" s="1" t="s">
        <v>48</v>
      </c>
      <c r="K779" s="1">
        <v>168</v>
      </c>
      <c r="L779" s="1">
        <v>0</v>
      </c>
      <c r="M779" s="1">
        <v>0</v>
      </c>
      <c r="N779" s="1">
        <v>168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 t="s">
        <v>49</v>
      </c>
      <c r="AA779" s="1" t="s">
        <v>49</v>
      </c>
      <c r="AB779" s="1" t="s">
        <v>49</v>
      </c>
      <c r="AC779" s="1" t="s">
        <v>883</v>
      </c>
      <c r="AD779" s="1" t="s">
        <v>884</v>
      </c>
      <c r="AE779" s="1" t="s">
        <v>883</v>
      </c>
      <c r="AF779" s="1" t="s">
        <v>1494</v>
      </c>
      <c r="AG779" s="1" t="s">
        <v>53</v>
      </c>
      <c r="AH779" s="1" t="s">
        <v>49</v>
      </c>
      <c r="AI779" s="1" t="s">
        <v>54</v>
      </c>
      <c r="AJ779" s="1">
        <v>1</v>
      </c>
      <c r="AK779" s="1" t="str">
        <f t="shared" si="12"/>
        <v xml:space="preserve"> =&lt;90</v>
      </c>
      <c r="AL779" s="1" t="str">
        <f>VLOOKUP(C:C,[1]基础信息!B$1:D$65536,3,0)</f>
        <v>Jug</v>
      </c>
      <c r="AM779" s="1" t="str">
        <f>VLOOKUP(C:C,[1]基础信息!B$1:E$65536,4,0)</f>
        <v>Style COOL</v>
      </c>
      <c r="AN779" s="1" t="str">
        <f>VLOOKUP(C:C,[1]基础信息!B$1:F$65536,5,0)</f>
        <v>Cool Blue</v>
      </c>
    </row>
    <row r="780" spans="1:40">
      <c r="A780" s="1" t="s">
        <v>41</v>
      </c>
      <c r="B780" s="1" t="s">
        <v>42</v>
      </c>
      <c r="C780" s="1" t="s">
        <v>969</v>
      </c>
      <c r="D780" s="1" t="s">
        <v>970</v>
      </c>
      <c r="E780" s="1" t="s">
        <v>45</v>
      </c>
      <c r="F780" s="1" t="s">
        <v>1787</v>
      </c>
      <c r="G780" s="1" t="s">
        <v>1898</v>
      </c>
      <c r="H780" s="1" t="s">
        <v>1899</v>
      </c>
      <c r="I780" s="1" t="s">
        <v>49</v>
      </c>
      <c r="J780" s="1" t="s">
        <v>48</v>
      </c>
      <c r="K780" s="1">
        <v>80</v>
      </c>
      <c r="L780" s="1">
        <v>0</v>
      </c>
      <c r="M780" s="1">
        <v>0</v>
      </c>
      <c r="N780" s="1">
        <v>80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 t="s">
        <v>49</v>
      </c>
      <c r="AA780" s="1" t="s">
        <v>49</v>
      </c>
      <c r="AB780" s="1" t="s">
        <v>49</v>
      </c>
      <c r="AC780" s="1" t="s">
        <v>128</v>
      </c>
      <c r="AD780" s="1" t="s">
        <v>129</v>
      </c>
      <c r="AE780" s="1" t="s">
        <v>128</v>
      </c>
      <c r="AF780" s="1" t="s">
        <v>1332</v>
      </c>
      <c r="AG780" s="1" t="s">
        <v>53</v>
      </c>
      <c r="AH780" s="1" t="s">
        <v>49</v>
      </c>
      <c r="AI780" s="1" t="s">
        <v>54</v>
      </c>
      <c r="AJ780" s="1">
        <v>1</v>
      </c>
      <c r="AK780" s="1" t="str">
        <f t="shared" si="12"/>
        <v xml:space="preserve"> =&lt;90</v>
      </c>
      <c r="AL780" s="1" t="str">
        <f>VLOOKUP(C:C,[1]基础信息!B$1:D$65536,3,0)</f>
        <v>Jug</v>
      </c>
      <c r="AM780" s="1" t="str">
        <f>VLOOKUP(C:C,[1]基础信息!B$1:E$65536,4,0)</f>
        <v>Mxplus</v>
      </c>
      <c r="AN780" s="1" t="str">
        <f>VLOOKUP(C:C,[1]基础信息!B$1:F$65536,5,0)</f>
        <v xml:space="preserve"> blue</v>
      </c>
    </row>
    <row r="781" spans="1:40">
      <c r="A781" s="1" t="s">
        <v>41</v>
      </c>
      <c r="B781" s="1" t="s">
        <v>42</v>
      </c>
      <c r="C781" s="1" t="s">
        <v>969</v>
      </c>
      <c r="D781" s="1" t="s">
        <v>970</v>
      </c>
      <c r="E781" s="1" t="s">
        <v>45</v>
      </c>
      <c r="F781" s="1" t="s">
        <v>1787</v>
      </c>
      <c r="G781" s="1" t="s">
        <v>1900</v>
      </c>
      <c r="H781" s="1" t="s">
        <v>1901</v>
      </c>
      <c r="I781" s="1" t="s">
        <v>49</v>
      </c>
      <c r="J781" s="1" t="s">
        <v>48</v>
      </c>
      <c r="K781" s="1">
        <v>80</v>
      </c>
      <c r="L781" s="1">
        <v>0</v>
      </c>
      <c r="M781" s="1">
        <v>0</v>
      </c>
      <c r="N781" s="1">
        <v>80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 t="s">
        <v>49</v>
      </c>
      <c r="AA781" s="1" t="s">
        <v>49</v>
      </c>
      <c r="AB781" s="1" t="s">
        <v>49</v>
      </c>
      <c r="AC781" s="1" t="s">
        <v>128</v>
      </c>
      <c r="AD781" s="1" t="s">
        <v>129</v>
      </c>
      <c r="AE781" s="1" t="s">
        <v>128</v>
      </c>
      <c r="AF781" s="1" t="s">
        <v>1332</v>
      </c>
      <c r="AG781" s="1" t="s">
        <v>53</v>
      </c>
      <c r="AH781" s="1" t="s">
        <v>49</v>
      </c>
      <c r="AI781" s="1" t="s">
        <v>54</v>
      </c>
      <c r="AJ781" s="1">
        <v>1</v>
      </c>
      <c r="AK781" s="1" t="str">
        <f t="shared" si="12"/>
        <v xml:space="preserve"> =&lt;90</v>
      </c>
      <c r="AL781" s="1" t="str">
        <f>VLOOKUP(C:C,[1]基础信息!B$1:D$65536,3,0)</f>
        <v>Jug</v>
      </c>
      <c r="AM781" s="1" t="str">
        <f>VLOOKUP(C:C,[1]基础信息!B$1:E$65536,4,0)</f>
        <v>Mxplus</v>
      </c>
      <c r="AN781" s="1" t="str">
        <f>VLOOKUP(C:C,[1]基础信息!B$1:F$65536,5,0)</f>
        <v xml:space="preserve"> blue</v>
      </c>
    </row>
    <row r="782" spans="1:40">
      <c r="A782" s="1" t="s">
        <v>41</v>
      </c>
      <c r="B782" s="1" t="s">
        <v>42</v>
      </c>
      <c r="C782" s="1" t="s">
        <v>301</v>
      </c>
      <c r="D782" s="1" t="s">
        <v>302</v>
      </c>
      <c r="E782" s="1" t="s">
        <v>45</v>
      </c>
      <c r="F782" s="1" t="s">
        <v>1902</v>
      </c>
      <c r="G782" s="1" t="s">
        <v>1903</v>
      </c>
      <c r="H782" s="1" t="s">
        <v>1904</v>
      </c>
      <c r="I782" s="1" t="s">
        <v>49</v>
      </c>
      <c r="J782" s="1" t="s">
        <v>48</v>
      </c>
      <c r="K782" s="1">
        <v>96</v>
      </c>
      <c r="L782" s="1">
        <v>0</v>
      </c>
      <c r="M782" s="1">
        <v>0</v>
      </c>
      <c r="N782" s="1">
        <v>96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 t="s">
        <v>49</v>
      </c>
      <c r="AA782" s="1" t="s">
        <v>49</v>
      </c>
      <c r="AB782" s="1" t="s">
        <v>49</v>
      </c>
      <c r="AC782" s="1" t="s">
        <v>1008</v>
      </c>
      <c r="AD782" s="1" t="s">
        <v>1009</v>
      </c>
      <c r="AE782" s="1" t="s">
        <v>1008</v>
      </c>
      <c r="AF782" s="1" t="s">
        <v>1905</v>
      </c>
      <c r="AG782" s="1" t="s">
        <v>53</v>
      </c>
      <c r="AH782" s="1" t="s">
        <v>49</v>
      </c>
      <c r="AI782" s="1" t="s">
        <v>54</v>
      </c>
      <c r="AJ782" s="1">
        <v>1</v>
      </c>
      <c r="AK782" s="1" t="str">
        <f t="shared" si="12"/>
        <v xml:space="preserve"> =&lt;90</v>
      </c>
      <c r="AL782" s="1" t="str">
        <f>VLOOKUP(C:C,[1]基础信息!B$1:D$65536,3,0)</f>
        <v>Jug</v>
      </c>
      <c r="AM782" s="1" t="str">
        <f>VLOOKUP(C:C,[1]基础信息!B$1:E$65536,4,0)</f>
        <v>Aluna</v>
      </c>
      <c r="AN782" s="1" t="str">
        <f>VLOOKUP(C:C,[1]基础信息!B$1:F$65536,5,0)</f>
        <v>Blue</v>
      </c>
    </row>
    <row r="783" spans="1:40">
      <c r="A783" s="1" t="s">
        <v>41</v>
      </c>
      <c r="B783" s="1" t="s">
        <v>42</v>
      </c>
      <c r="C783" s="1" t="s">
        <v>969</v>
      </c>
      <c r="D783" s="1" t="s">
        <v>970</v>
      </c>
      <c r="E783" s="1" t="s">
        <v>45</v>
      </c>
      <c r="F783" s="1" t="s">
        <v>1787</v>
      </c>
      <c r="G783" s="1" t="s">
        <v>1906</v>
      </c>
      <c r="H783" s="1" t="s">
        <v>1907</v>
      </c>
      <c r="I783" s="1" t="s">
        <v>49</v>
      </c>
      <c r="J783" s="1" t="s">
        <v>48</v>
      </c>
      <c r="K783" s="1">
        <v>80</v>
      </c>
      <c r="L783" s="1">
        <v>0</v>
      </c>
      <c r="M783" s="1">
        <v>0</v>
      </c>
      <c r="N783" s="1">
        <v>80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 t="s">
        <v>49</v>
      </c>
      <c r="AA783" s="1" t="s">
        <v>49</v>
      </c>
      <c r="AB783" s="1" t="s">
        <v>49</v>
      </c>
      <c r="AC783" s="1" t="s">
        <v>128</v>
      </c>
      <c r="AD783" s="1" t="s">
        <v>129</v>
      </c>
      <c r="AE783" s="1" t="s">
        <v>128</v>
      </c>
      <c r="AF783" s="1" t="s">
        <v>1332</v>
      </c>
      <c r="AG783" s="1" t="s">
        <v>53</v>
      </c>
      <c r="AH783" s="1" t="s">
        <v>49</v>
      </c>
      <c r="AI783" s="1" t="s">
        <v>54</v>
      </c>
      <c r="AJ783" s="1">
        <v>1</v>
      </c>
      <c r="AK783" s="1" t="str">
        <f t="shared" si="12"/>
        <v xml:space="preserve"> =&lt;90</v>
      </c>
      <c r="AL783" s="1" t="str">
        <f>VLOOKUP(C:C,[1]基础信息!B$1:D$65536,3,0)</f>
        <v>Jug</v>
      </c>
      <c r="AM783" s="1" t="str">
        <f>VLOOKUP(C:C,[1]基础信息!B$1:E$65536,4,0)</f>
        <v>Mxplus</v>
      </c>
      <c r="AN783" s="1" t="str">
        <f>VLOOKUP(C:C,[1]基础信息!B$1:F$65536,5,0)</f>
        <v xml:space="preserve"> blue</v>
      </c>
    </row>
    <row r="784" spans="1:40">
      <c r="A784" s="1" t="s">
        <v>41</v>
      </c>
      <c r="B784" s="1" t="s">
        <v>42</v>
      </c>
      <c r="C784" s="1" t="s">
        <v>969</v>
      </c>
      <c r="D784" s="1" t="s">
        <v>970</v>
      </c>
      <c r="E784" s="1" t="s">
        <v>45</v>
      </c>
      <c r="F784" s="1" t="s">
        <v>1787</v>
      </c>
      <c r="G784" s="1" t="s">
        <v>1908</v>
      </c>
      <c r="H784" s="1" t="s">
        <v>1909</v>
      </c>
      <c r="I784" s="1" t="s">
        <v>49</v>
      </c>
      <c r="J784" s="1" t="s">
        <v>48</v>
      </c>
      <c r="K784" s="1">
        <v>80</v>
      </c>
      <c r="L784" s="1">
        <v>0</v>
      </c>
      <c r="M784" s="1">
        <v>0</v>
      </c>
      <c r="N784" s="1">
        <v>80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 t="s">
        <v>49</v>
      </c>
      <c r="AA784" s="1" t="s">
        <v>49</v>
      </c>
      <c r="AB784" s="1" t="s">
        <v>49</v>
      </c>
      <c r="AC784" s="1" t="s">
        <v>128</v>
      </c>
      <c r="AD784" s="1" t="s">
        <v>129</v>
      </c>
      <c r="AE784" s="1" t="s">
        <v>128</v>
      </c>
      <c r="AF784" s="1" t="s">
        <v>1332</v>
      </c>
      <c r="AG784" s="1" t="s">
        <v>53</v>
      </c>
      <c r="AH784" s="1" t="s">
        <v>49</v>
      </c>
      <c r="AI784" s="1" t="s">
        <v>54</v>
      </c>
      <c r="AJ784" s="1">
        <v>1</v>
      </c>
      <c r="AK784" s="1" t="str">
        <f t="shared" si="12"/>
        <v xml:space="preserve"> =&lt;90</v>
      </c>
      <c r="AL784" s="1" t="str">
        <f>VLOOKUP(C:C,[1]基础信息!B$1:D$65536,3,0)</f>
        <v>Jug</v>
      </c>
      <c r="AM784" s="1" t="str">
        <f>VLOOKUP(C:C,[1]基础信息!B$1:E$65536,4,0)</f>
        <v>Mxplus</v>
      </c>
      <c r="AN784" s="1" t="str">
        <f>VLOOKUP(C:C,[1]基础信息!B$1:F$65536,5,0)</f>
        <v xml:space="preserve"> blue</v>
      </c>
    </row>
    <row r="785" spans="1:40">
      <c r="A785" s="1" t="s">
        <v>41</v>
      </c>
      <c r="B785" s="1" t="s">
        <v>42</v>
      </c>
      <c r="C785" s="1" t="s">
        <v>417</v>
      </c>
      <c r="D785" s="1" t="s">
        <v>418</v>
      </c>
      <c r="E785" s="1" t="s">
        <v>45</v>
      </c>
      <c r="F785" s="1" t="s">
        <v>1126</v>
      </c>
      <c r="G785" s="1" t="s">
        <v>1910</v>
      </c>
      <c r="H785" s="1" t="s">
        <v>1911</v>
      </c>
      <c r="I785" s="1" t="s">
        <v>49</v>
      </c>
      <c r="J785" s="1" t="s">
        <v>48</v>
      </c>
      <c r="K785" s="1">
        <v>96</v>
      </c>
      <c r="L785" s="1">
        <v>0</v>
      </c>
      <c r="M785" s="1">
        <v>0</v>
      </c>
      <c r="N785" s="1">
        <v>96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 t="s">
        <v>49</v>
      </c>
      <c r="AA785" s="1" t="s">
        <v>49</v>
      </c>
      <c r="AB785" s="1" t="s">
        <v>49</v>
      </c>
      <c r="AC785" s="1" t="s">
        <v>938</v>
      </c>
      <c r="AD785" s="1" t="s">
        <v>939</v>
      </c>
      <c r="AE785" s="1" t="s">
        <v>938</v>
      </c>
      <c r="AF785" s="1" t="s">
        <v>940</v>
      </c>
      <c r="AG785" s="1" t="s">
        <v>53</v>
      </c>
      <c r="AH785" s="1" t="s">
        <v>49</v>
      </c>
      <c r="AI785" s="1" t="s">
        <v>54</v>
      </c>
      <c r="AJ785" s="1">
        <v>1</v>
      </c>
      <c r="AK785" s="1" t="str">
        <f t="shared" si="12"/>
        <v xml:space="preserve"> =&lt;90</v>
      </c>
      <c r="AL785" s="1" t="str">
        <f>VLOOKUP(C:C,[1]基础信息!B$1:D$65536,3,0)</f>
        <v>Jug</v>
      </c>
      <c r="AM785" s="1" t="str">
        <f>VLOOKUP(C:C,[1]基础信息!B$1:E$65536,4,0)</f>
        <v>Marella XL</v>
      </c>
      <c r="AN785" s="1" t="str">
        <f>VLOOKUP(C:C,[1]基础信息!B$1:F$65536,5,0)</f>
        <v>Silver</v>
      </c>
    </row>
    <row r="786" spans="1:40">
      <c r="A786" s="1" t="s">
        <v>41</v>
      </c>
      <c r="B786" s="1" t="s">
        <v>42</v>
      </c>
      <c r="C786" s="1" t="s">
        <v>208</v>
      </c>
      <c r="D786" s="1" t="s">
        <v>209</v>
      </c>
      <c r="E786" s="1" t="s">
        <v>208</v>
      </c>
      <c r="F786" s="1" t="s">
        <v>1734</v>
      </c>
      <c r="G786" s="1" t="s">
        <v>1912</v>
      </c>
      <c r="H786" s="1" t="s">
        <v>1913</v>
      </c>
      <c r="I786" s="1" t="s">
        <v>49</v>
      </c>
      <c r="J786" s="1" t="s">
        <v>48</v>
      </c>
      <c r="K786" s="1">
        <v>80</v>
      </c>
      <c r="L786" s="1">
        <v>0</v>
      </c>
      <c r="M786" s="1">
        <v>0</v>
      </c>
      <c r="N786" s="1">
        <v>80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 t="s">
        <v>49</v>
      </c>
      <c r="AA786" s="1" t="s">
        <v>49</v>
      </c>
      <c r="AB786" s="1" t="s">
        <v>49</v>
      </c>
      <c r="AC786" s="1" t="s">
        <v>376</v>
      </c>
      <c r="AD786" s="1" t="s">
        <v>377</v>
      </c>
      <c r="AE786" s="1" t="s">
        <v>376</v>
      </c>
      <c r="AF786" s="1" t="s">
        <v>1414</v>
      </c>
      <c r="AG786" s="1" t="s">
        <v>53</v>
      </c>
      <c r="AH786" s="1" t="s">
        <v>49</v>
      </c>
      <c r="AI786" s="1" t="s">
        <v>54</v>
      </c>
      <c r="AJ786" s="1">
        <v>1</v>
      </c>
      <c r="AK786" s="1" t="str">
        <f t="shared" si="12"/>
        <v xml:space="preserve"> =&lt;90</v>
      </c>
      <c r="AL786" s="1" t="str">
        <f>VLOOKUP(C:C,[1]基础信息!B$1:D$65536,3,0)</f>
        <v>Jug</v>
      </c>
      <c r="AM786" s="1" t="str">
        <f>VLOOKUP(C:C,[1]基础信息!B$1:E$65536,4,0)</f>
        <v>MXpl</v>
      </c>
      <c r="AN786" s="1" t="str">
        <f>VLOOKUP(C:C,[1]基础信息!B$1:F$65536,5,0)</f>
        <v>grey</v>
      </c>
    </row>
    <row r="787" spans="1:40">
      <c r="A787" s="1" t="s">
        <v>41</v>
      </c>
      <c r="B787" s="1" t="s">
        <v>42</v>
      </c>
      <c r="C787" s="1" t="s">
        <v>208</v>
      </c>
      <c r="D787" s="1" t="s">
        <v>209</v>
      </c>
      <c r="E787" s="1" t="s">
        <v>208</v>
      </c>
      <c r="F787" s="1" t="s">
        <v>1734</v>
      </c>
      <c r="G787" s="1" t="s">
        <v>1914</v>
      </c>
      <c r="H787" s="1" t="s">
        <v>1915</v>
      </c>
      <c r="I787" s="1" t="s">
        <v>49</v>
      </c>
      <c r="J787" s="1" t="s">
        <v>48</v>
      </c>
      <c r="K787" s="1">
        <v>80</v>
      </c>
      <c r="L787" s="1">
        <v>0</v>
      </c>
      <c r="M787" s="1">
        <v>0</v>
      </c>
      <c r="N787" s="1">
        <v>80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 t="s">
        <v>49</v>
      </c>
      <c r="AA787" s="1" t="s">
        <v>49</v>
      </c>
      <c r="AB787" s="1" t="s">
        <v>49</v>
      </c>
      <c r="AC787" s="1" t="s">
        <v>376</v>
      </c>
      <c r="AD787" s="1" t="s">
        <v>377</v>
      </c>
      <c r="AE787" s="1" t="s">
        <v>376</v>
      </c>
      <c r="AF787" s="1" t="s">
        <v>1414</v>
      </c>
      <c r="AG787" s="1" t="s">
        <v>53</v>
      </c>
      <c r="AH787" s="1" t="s">
        <v>49</v>
      </c>
      <c r="AI787" s="1" t="s">
        <v>54</v>
      </c>
      <c r="AJ787" s="1">
        <v>1</v>
      </c>
      <c r="AK787" s="1" t="str">
        <f t="shared" si="12"/>
        <v xml:space="preserve"> =&lt;90</v>
      </c>
      <c r="AL787" s="1" t="str">
        <f>VLOOKUP(C:C,[1]基础信息!B$1:D$65536,3,0)</f>
        <v>Jug</v>
      </c>
      <c r="AM787" s="1" t="str">
        <f>VLOOKUP(C:C,[1]基础信息!B$1:E$65536,4,0)</f>
        <v>MXpl</v>
      </c>
      <c r="AN787" s="1" t="str">
        <f>VLOOKUP(C:C,[1]基础信息!B$1:F$65536,5,0)</f>
        <v>grey</v>
      </c>
    </row>
    <row r="788" spans="1:40">
      <c r="A788" s="1" t="s">
        <v>41</v>
      </c>
      <c r="B788" s="1" t="s">
        <v>42</v>
      </c>
      <c r="C788" s="1" t="s">
        <v>969</v>
      </c>
      <c r="D788" s="1" t="s">
        <v>970</v>
      </c>
      <c r="E788" s="1" t="s">
        <v>45</v>
      </c>
      <c r="F788" s="1" t="s">
        <v>1787</v>
      </c>
      <c r="G788" s="1" t="s">
        <v>1916</v>
      </c>
      <c r="H788" s="1" t="s">
        <v>1917</v>
      </c>
      <c r="I788" s="1" t="s">
        <v>49</v>
      </c>
      <c r="J788" s="1" t="s">
        <v>48</v>
      </c>
      <c r="K788" s="1">
        <v>80</v>
      </c>
      <c r="L788" s="1">
        <v>0</v>
      </c>
      <c r="M788" s="1">
        <v>0</v>
      </c>
      <c r="N788" s="1">
        <v>80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 t="s">
        <v>49</v>
      </c>
      <c r="AA788" s="1" t="s">
        <v>49</v>
      </c>
      <c r="AB788" s="1" t="s">
        <v>49</v>
      </c>
      <c r="AC788" s="1" t="s">
        <v>128</v>
      </c>
      <c r="AD788" s="1" t="s">
        <v>129</v>
      </c>
      <c r="AE788" s="1" t="s">
        <v>128</v>
      </c>
      <c r="AF788" s="1" t="s">
        <v>1332</v>
      </c>
      <c r="AG788" s="1" t="s">
        <v>53</v>
      </c>
      <c r="AH788" s="1" t="s">
        <v>49</v>
      </c>
      <c r="AI788" s="1" t="s">
        <v>54</v>
      </c>
      <c r="AJ788" s="1">
        <v>1</v>
      </c>
      <c r="AK788" s="1" t="str">
        <f t="shared" si="12"/>
        <v xml:space="preserve"> =&lt;90</v>
      </c>
      <c r="AL788" s="1" t="str">
        <f>VLOOKUP(C:C,[1]基础信息!B$1:D$65536,3,0)</f>
        <v>Jug</v>
      </c>
      <c r="AM788" s="1" t="str">
        <f>VLOOKUP(C:C,[1]基础信息!B$1:E$65536,4,0)</f>
        <v>Mxplus</v>
      </c>
      <c r="AN788" s="1" t="str">
        <f>VLOOKUP(C:C,[1]基础信息!B$1:F$65536,5,0)</f>
        <v xml:space="preserve"> blue</v>
      </c>
    </row>
    <row r="789" spans="1:40">
      <c r="A789" s="1" t="s">
        <v>41</v>
      </c>
      <c r="B789" s="1" t="s">
        <v>42</v>
      </c>
      <c r="C789" s="1" t="s">
        <v>208</v>
      </c>
      <c r="D789" s="1" t="s">
        <v>209</v>
      </c>
      <c r="E789" s="1" t="s">
        <v>208</v>
      </c>
      <c r="F789" s="1" t="s">
        <v>1734</v>
      </c>
      <c r="G789" s="1" t="s">
        <v>1918</v>
      </c>
      <c r="H789" s="1" t="s">
        <v>1919</v>
      </c>
      <c r="I789" s="1" t="s">
        <v>49</v>
      </c>
      <c r="J789" s="1" t="s">
        <v>48</v>
      </c>
      <c r="K789" s="1">
        <v>80</v>
      </c>
      <c r="L789" s="1">
        <v>0</v>
      </c>
      <c r="M789" s="1">
        <v>0</v>
      </c>
      <c r="N789" s="1">
        <v>80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 t="s">
        <v>49</v>
      </c>
      <c r="AA789" s="1" t="s">
        <v>49</v>
      </c>
      <c r="AB789" s="1" t="s">
        <v>49</v>
      </c>
      <c r="AC789" s="1" t="s">
        <v>376</v>
      </c>
      <c r="AD789" s="1" t="s">
        <v>377</v>
      </c>
      <c r="AE789" s="1" t="s">
        <v>376</v>
      </c>
      <c r="AF789" s="1" t="s">
        <v>1414</v>
      </c>
      <c r="AG789" s="1" t="s">
        <v>53</v>
      </c>
      <c r="AH789" s="1" t="s">
        <v>49</v>
      </c>
      <c r="AI789" s="1" t="s">
        <v>54</v>
      </c>
      <c r="AJ789" s="1">
        <v>1</v>
      </c>
      <c r="AK789" s="1" t="str">
        <f t="shared" si="12"/>
        <v xml:space="preserve"> =&lt;90</v>
      </c>
      <c r="AL789" s="1" t="str">
        <f>VLOOKUP(C:C,[1]基础信息!B$1:D$65536,3,0)</f>
        <v>Jug</v>
      </c>
      <c r="AM789" s="1" t="str">
        <f>VLOOKUP(C:C,[1]基础信息!B$1:E$65536,4,0)</f>
        <v>MXpl</v>
      </c>
      <c r="AN789" s="1" t="str">
        <f>VLOOKUP(C:C,[1]基础信息!B$1:F$65536,5,0)</f>
        <v>grey</v>
      </c>
    </row>
    <row r="790" spans="1:40">
      <c r="A790" s="1" t="s">
        <v>41</v>
      </c>
      <c r="B790" s="1" t="s">
        <v>42</v>
      </c>
      <c r="C790" s="1" t="s">
        <v>969</v>
      </c>
      <c r="D790" s="1" t="s">
        <v>970</v>
      </c>
      <c r="E790" s="1" t="s">
        <v>45</v>
      </c>
      <c r="F790" s="1" t="s">
        <v>1787</v>
      </c>
      <c r="G790" s="1" t="s">
        <v>1920</v>
      </c>
      <c r="H790" s="1" t="s">
        <v>1921</v>
      </c>
      <c r="I790" s="1" t="s">
        <v>49</v>
      </c>
      <c r="J790" s="1" t="s">
        <v>48</v>
      </c>
      <c r="K790" s="1">
        <v>80</v>
      </c>
      <c r="L790" s="1">
        <v>0</v>
      </c>
      <c r="M790" s="1">
        <v>0</v>
      </c>
      <c r="N790" s="1">
        <v>80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 t="s">
        <v>49</v>
      </c>
      <c r="AA790" s="1" t="s">
        <v>49</v>
      </c>
      <c r="AB790" s="1" t="s">
        <v>49</v>
      </c>
      <c r="AC790" s="1" t="s">
        <v>128</v>
      </c>
      <c r="AD790" s="1" t="s">
        <v>129</v>
      </c>
      <c r="AE790" s="1" t="s">
        <v>128</v>
      </c>
      <c r="AF790" s="1" t="s">
        <v>1332</v>
      </c>
      <c r="AG790" s="1" t="s">
        <v>53</v>
      </c>
      <c r="AH790" s="1" t="s">
        <v>49</v>
      </c>
      <c r="AI790" s="1" t="s">
        <v>54</v>
      </c>
      <c r="AJ790" s="1">
        <v>1</v>
      </c>
      <c r="AK790" s="1" t="str">
        <f t="shared" si="12"/>
        <v xml:space="preserve"> =&lt;90</v>
      </c>
      <c r="AL790" s="1" t="str">
        <f>VLOOKUP(C:C,[1]基础信息!B$1:D$65536,3,0)</f>
        <v>Jug</v>
      </c>
      <c r="AM790" s="1" t="str">
        <f>VLOOKUP(C:C,[1]基础信息!B$1:E$65536,4,0)</f>
        <v>Mxplus</v>
      </c>
      <c r="AN790" s="1" t="str">
        <f>VLOOKUP(C:C,[1]基础信息!B$1:F$65536,5,0)</f>
        <v xml:space="preserve"> blue</v>
      </c>
    </row>
    <row r="791" spans="1:40">
      <c r="A791" s="1" t="s">
        <v>41</v>
      </c>
      <c r="B791" s="1" t="s">
        <v>42</v>
      </c>
      <c r="C791" s="1" t="s">
        <v>969</v>
      </c>
      <c r="D791" s="1" t="s">
        <v>970</v>
      </c>
      <c r="E791" s="1" t="s">
        <v>45</v>
      </c>
      <c r="F791" s="1" t="s">
        <v>1787</v>
      </c>
      <c r="G791" s="1" t="s">
        <v>1922</v>
      </c>
      <c r="H791" s="1" t="s">
        <v>1923</v>
      </c>
      <c r="I791" s="1" t="s">
        <v>49</v>
      </c>
      <c r="J791" s="1" t="s">
        <v>48</v>
      </c>
      <c r="K791" s="1">
        <v>36</v>
      </c>
      <c r="L791" s="1">
        <v>0</v>
      </c>
      <c r="M791" s="1">
        <v>0</v>
      </c>
      <c r="N791" s="1">
        <v>36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 t="s">
        <v>49</v>
      </c>
      <c r="AA791" s="1" t="s">
        <v>49</v>
      </c>
      <c r="AB791" s="1" t="s">
        <v>49</v>
      </c>
      <c r="AC791" s="1" t="s">
        <v>128</v>
      </c>
      <c r="AD791" s="1" t="s">
        <v>129</v>
      </c>
      <c r="AE791" s="1" t="s">
        <v>128</v>
      </c>
      <c r="AF791" s="1" t="s">
        <v>1332</v>
      </c>
      <c r="AG791" s="1" t="s">
        <v>53</v>
      </c>
      <c r="AH791" s="1" t="s">
        <v>49</v>
      </c>
      <c r="AI791" s="1" t="s">
        <v>54</v>
      </c>
      <c r="AJ791" s="1">
        <v>1</v>
      </c>
      <c r="AK791" s="1" t="str">
        <f t="shared" si="12"/>
        <v xml:space="preserve"> =&lt;90</v>
      </c>
      <c r="AL791" s="1" t="str">
        <f>VLOOKUP(C:C,[1]基础信息!B$1:D$65536,3,0)</f>
        <v>Jug</v>
      </c>
      <c r="AM791" s="1" t="str">
        <f>VLOOKUP(C:C,[1]基础信息!B$1:E$65536,4,0)</f>
        <v>Mxplus</v>
      </c>
      <c r="AN791" s="1" t="str">
        <f>VLOOKUP(C:C,[1]基础信息!B$1:F$65536,5,0)</f>
        <v xml:space="preserve"> blue</v>
      </c>
    </row>
    <row r="792" spans="1:40">
      <c r="A792" s="1" t="s">
        <v>41</v>
      </c>
      <c r="B792" s="1" t="s">
        <v>42</v>
      </c>
      <c r="C792" s="1" t="s">
        <v>208</v>
      </c>
      <c r="D792" s="1" t="s">
        <v>209</v>
      </c>
      <c r="E792" s="1" t="s">
        <v>208</v>
      </c>
      <c r="F792" s="1" t="s">
        <v>1734</v>
      </c>
      <c r="G792" s="1" t="s">
        <v>1924</v>
      </c>
      <c r="H792" s="1" t="s">
        <v>1925</v>
      </c>
      <c r="I792" s="1" t="s">
        <v>49</v>
      </c>
      <c r="J792" s="1" t="s">
        <v>48</v>
      </c>
      <c r="K792" s="1">
        <v>80</v>
      </c>
      <c r="L792" s="1">
        <v>0</v>
      </c>
      <c r="M792" s="1">
        <v>0</v>
      </c>
      <c r="N792" s="1">
        <v>80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 t="s">
        <v>49</v>
      </c>
      <c r="AA792" s="1" t="s">
        <v>49</v>
      </c>
      <c r="AB792" s="1" t="s">
        <v>49</v>
      </c>
      <c r="AC792" s="1" t="s">
        <v>376</v>
      </c>
      <c r="AD792" s="1" t="s">
        <v>377</v>
      </c>
      <c r="AE792" s="1" t="s">
        <v>376</v>
      </c>
      <c r="AF792" s="1" t="s">
        <v>1414</v>
      </c>
      <c r="AG792" s="1" t="s">
        <v>53</v>
      </c>
      <c r="AH792" s="1" t="s">
        <v>49</v>
      </c>
      <c r="AI792" s="1" t="s">
        <v>54</v>
      </c>
      <c r="AJ792" s="1">
        <v>1</v>
      </c>
      <c r="AK792" s="1" t="str">
        <f t="shared" si="12"/>
        <v xml:space="preserve"> =&lt;90</v>
      </c>
      <c r="AL792" s="1" t="str">
        <f>VLOOKUP(C:C,[1]基础信息!B$1:D$65536,3,0)</f>
        <v>Jug</v>
      </c>
      <c r="AM792" s="1" t="str">
        <f>VLOOKUP(C:C,[1]基础信息!B$1:E$65536,4,0)</f>
        <v>MXpl</v>
      </c>
      <c r="AN792" s="1" t="str">
        <f>VLOOKUP(C:C,[1]基础信息!B$1:F$65536,5,0)</f>
        <v>grey</v>
      </c>
    </row>
    <row r="793" spans="1:40">
      <c r="A793" s="1" t="s">
        <v>41</v>
      </c>
      <c r="B793" s="1" t="s">
        <v>42</v>
      </c>
      <c r="C793" s="1" t="s">
        <v>969</v>
      </c>
      <c r="D793" s="1" t="s">
        <v>970</v>
      </c>
      <c r="E793" s="1" t="s">
        <v>45</v>
      </c>
      <c r="F793" s="1" t="s">
        <v>1926</v>
      </c>
      <c r="G793" s="1" t="s">
        <v>1927</v>
      </c>
      <c r="H793" s="1" t="s">
        <v>1928</v>
      </c>
      <c r="I793" s="1" t="s">
        <v>49</v>
      </c>
      <c r="J793" s="1" t="s">
        <v>48</v>
      </c>
      <c r="K793" s="1">
        <v>80</v>
      </c>
      <c r="L793" s="1">
        <v>0</v>
      </c>
      <c r="M793" s="1">
        <v>0</v>
      </c>
      <c r="N793" s="1">
        <v>80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 t="s">
        <v>49</v>
      </c>
      <c r="AA793" s="1" t="s">
        <v>49</v>
      </c>
      <c r="AB793" s="1" t="s">
        <v>49</v>
      </c>
      <c r="AC793" s="1" t="s">
        <v>128</v>
      </c>
      <c r="AD793" s="1" t="s">
        <v>129</v>
      </c>
      <c r="AE793" s="1" t="s">
        <v>128</v>
      </c>
      <c r="AF793" s="1" t="s">
        <v>1929</v>
      </c>
      <c r="AG793" s="1" t="s">
        <v>53</v>
      </c>
      <c r="AH793" s="1" t="s">
        <v>49</v>
      </c>
      <c r="AI793" s="1" t="s">
        <v>54</v>
      </c>
      <c r="AJ793" s="1">
        <v>1</v>
      </c>
      <c r="AK793" s="1" t="str">
        <f t="shared" si="12"/>
        <v xml:space="preserve"> =&lt;90</v>
      </c>
      <c r="AL793" s="1" t="str">
        <f>VLOOKUP(C:C,[1]基础信息!B$1:D$65536,3,0)</f>
        <v>Jug</v>
      </c>
      <c r="AM793" s="1" t="str">
        <f>VLOOKUP(C:C,[1]基础信息!B$1:E$65536,4,0)</f>
        <v>Mxplus</v>
      </c>
      <c r="AN793" s="1" t="str">
        <f>VLOOKUP(C:C,[1]基础信息!B$1:F$65536,5,0)</f>
        <v xml:space="preserve"> blue</v>
      </c>
    </row>
    <row r="794" spans="1:40">
      <c r="A794" s="1" t="s">
        <v>41</v>
      </c>
      <c r="B794" s="1" t="s">
        <v>42</v>
      </c>
      <c r="C794" s="1" t="s">
        <v>208</v>
      </c>
      <c r="D794" s="1" t="s">
        <v>209</v>
      </c>
      <c r="E794" s="1" t="s">
        <v>208</v>
      </c>
      <c r="F794" s="1" t="s">
        <v>1734</v>
      </c>
      <c r="G794" s="1" t="s">
        <v>1930</v>
      </c>
      <c r="H794" s="1" t="s">
        <v>1931</v>
      </c>
      <c r="I794" s="1" t="s">
        <v>49</v>
      </c>
      <c r="J794" s="1" t="s">
        <v>48</v>
      </c>
      <c r="K794" s="1">
        <v>80</v>
      </c>
      <c r="L794" s="1">
        <v>0</v>
      </c>
      <c r="M794" s="1">
        <v>0</v>
      </c>
      <c r="N794" s="1">
        <v>80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 t="s">
        <v>49</v>
      </c>
      <c r="AA794" s="1" t="s">
        <v>49</v>
      </c>
      <c r="AB794" s="1" t="s">
        <v>49</v>
      </c>
      <c r="AC794" s="1" t="s">
        <v>376</v>
      </c>
      <c r="AD794" s="1" t="s">
        <v>377</v>
      </c>
      <c r="AE794" s="1" t="s">
        <v>376</v>
      </c>
      <c r="AF794" s="1" t="s">
        <v>1414</v>
      </c>
      <c r="AG794" s="1" t="s">
        <v>53</v>
      </c>
      <c r="AH794" s="1" t="s">
        <v>49</v>
      </c>
      <c r="AI794" s="1" t="s">
        <v>54</v>
      </c>
      <c r="AJ794" s="1">
        <v>1</v>
      </c>
      <c r="AK794" s="1" t="str">
        <f t="shared" si="12"/>
        <v xml:space="preserve"> =&lt;90</v>
      </c>
      <c r="AL794" s="1" t="str">
        <f>VLOOKUP(C:C,[1]基础信息!B$1:D$65536,3,0)</f>
        <v>Jug</v>
      </c>
      <c r="AM794" s="1" t="str">
        <f>VLOOKUP(C:C,[1]基础信息!B$1:E$65536,4,0)</f>
        <v>MXpl</v>
      </c>
      <c r="AN794" s="1" t="str">
        <f>VLOOKUP(C:C,[1]基础信息!B$1:F$65536,5,0)</f>
        <v>grey</v>
      </c>
    </row>
    <row r="795" spans="1:40">
      <c r="A795" s="1" t="s">
        <v>41</v>
      </c>
      <c r="B795" s="1" t="s">
        <v>42</v>
      </c>
      <c r="C795" s="1" t="s">
        <v>451</v>
      </c>
      <c r="D795" s="1" t="s">
        <v>452</v>
      </c>
      <c r="E795" s="1" t="s">
        <v>45</v>
      </c>
      <c r="F795" s="1" t="s">
        <v>1932</v>
      </c>
      <c r="G795" s="1" t="s">
        <v>1933</v>
      </c>
      <c r="H795" s="1" t="s">
        <v>1934</v>
      </c>
      <c r="I795" s="1" t="s">
        <v>49</v>
      </c>
      <c r="J795" s="1" t="s">
        <v>48</v>
      </c>
      <c r="K795" s="1">
        <v>1</v>
      </c>
      <c r="L795" s="1">
        <v>0</v>
      </c>
      <c r="M795" s="1">
        <v>0</v>
      </c>
      <c r="N795" s="1">
        <v>1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 t="s">
        <v>49</v>
      </c>
      <c r="AA795" s="1" t="s">
        <v>49</v>
      </c>
      <c r="AB795" s="1" t="s">
        <v>49</v>
      </c>
      <c r="AC795" s="1" t="s">
        <v>1935</v>
      </c>
      <c r="AD795" s="1" t="s">
        <v>1936</v>
      </c>
      <c r="AE795" s="1" t="s">
        <v>1935</v>
      </c>
      <c r="AF795" s="1" t="s">
        <v>1937</v>
      </c>
      <c r="AG795" s="1" t="s">
        <v>53</v>
      </c>
      <c r="AH795" s="1" t="s">
        <v>49</v>
      </c>
      <c r="AI795" s="1" t="s">
        <v>54</v>
      </c>
      <c r="AJ795" s="1">
        <v>1</v>
      </c>
      <c r="AK795" s="1" t="str">
        <f t="shared" si="12"/>
        <v xml:space="preserve"> =&lt;90</v>
      </c>
      <c r="AL795" s="1" t="str">
        <f>VLOOKUP(C:C,[1]基础信息!B$1:D$65536,3,0)</f>
        <v>UTS</v>
      </c>
      <c r="AM795" s="1" t="str">
        <f>VLOOKUP(C:C,[1]基础信息!B$1:E$65536,4,0)</f>
        <v>MyPure</v>
      </c>
      <c r="AN795" s="1" t="str">
        <f>VLOOKUP(C:C,[1]基础信息!B$1:F$65536,5,0)</f>
        <v>R8</v>
      </c>
    </row>
    <row r="796" spans="1:40">
      <c r="A796" s="1" t="s">
        <v>41</v>
      </c>
      <c r="B796" s="1" t="s">
        <v>42</v>
      </c>
      <c r="C796" s="1" t="s">
        <v>301</v>
      </c>
      <c r="D796" s="1" t="s">
        <v>302</v>
      </c>
      <c r="E796" s="1" t="s">
        <v>45</v>
      </c>
      <c r="F796" s="1" t="s">
        <v>1902</v>
      </c>
      <c r="G796" s="1" t="s">
        <v>1938</v>
      </c>
      <c r="H796" s="1" t="s">
        <v>1939</v>
      </c>
      <c r="I796" s="1" t="s">
        <v>49</v>
      </c>
      <c r="J796" s="1" t="s">
        <v>48</v>
      </c>
      <c r="K796" s="1">
        <v>96</v>
      </c>
      <c r="L796" s="1">
        <v>0</v>
      </c>
      <c r="M796" s="1">
        <v>0</v>
      </c>
      <c r="N796" s="1">
        <v>96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 t="s">
        <v>49</v>
      </c>
      <c r="AA796" s="1" t="s">
        <v>49</v>
      </c>
      <c r="AB796" s="1" t="s">
        <v>49</v>
      </c>
      <c r="AC796" s="1" t="s">
        <v>1008</v>
      </c>
      <c r="AD796" s="1" t="s">
        <v>1009</v>
      </c>
      <c r="AE796" s="1" t="s">
        <v>1008</v>
      </c>
      <c r="AF796" s="1" t="s">
        <v>1905</v>
      </c>
      <c r="AG796" s="1" t="s">
        <v>53</v>
      </c>
      <c r="AH796" s="1" t="s">
        <v>49</v>
      </c>
      <c r="AI796" s="1" t="s">
        <v>54</v>
      </c>
      <c r="AJ796" s="1">
        <v>1</v>
      </c>
      <c r="AK796" s="1" t="str">
        <f t="shared" si="12"/>
        <v xml:space="preserve"> =&lt;90</v>
      </c>
      <c r="AL796" s="1" t="str">
        <f>VLOOKUP(C:C,[1]基础信息!B$1:D$65536,3,0)</f>
        <v>Jug</v>
      </c>
      <c r="AM796" s="1" t="str">
        <f>VLOOKUP(C:C,[1]基础信息!B$1:E$65536,4,0)</f>
        <v>Aluna</v>
      </c>
      <c r="AN796" s="1" t="str">
        <f>VLOOKUP(C:C,[1]基础信息!B$1:F$65536,5,0)</f>
        <v>Blue</v>
      </c>
    </row>
    <row r="797" spans="1:40">
      <c r="A797" s="1" t="s">
        <v>41</v>
      </c>
      <c r="B797" s="1" t="s">
        <v>42</v>
      </c>
      <c r="C797" s="1" t="s">
        <v>208</v>
      </c>
      <c r="D797" s="1" t="s">
        <v>209</v>
      </c>
      <c r="E797" s="1" t="s">
        <v>208</v>
      </c>
      <c r="F797" s="1" t="s">
        <v>1734</v>
      </c>
      <c r="G797" s="1" t="s">
        <v>1940</v>
      </c>
      <c r="H797" s="1" t="s">
        <v>1941</v>
      </c>
      <c r="I797" s="1" t="s">
        <v>49</v>
      </c>
      <c r="J797" s="1" t="s">
        <v>48</v>
      </c>
      <c r="K797" s="1">
        <v>80</v>
      </c>
      <c r="L797" s="1">
        <v>0</v>
      </c>
      <c r="M797" s="1">
        <v>0</v>
      </c>
      <c r="N797" s="1">
        <v>80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 t="s">
        <v>49</v>
      </c>
      <c r="AA797" s="1" t="s">
        <v>49</v>
      </c>
      <c r="AB797" s="1" t="s">
        <v>49</v>
      </c>
      <c r="AC797" s="1" t="s">
        <v>376</v>
      </c>
      <c r="AD797" s="1" t="s">
        <v>377</v>
      </c>
      <c r="AE797" s="1" t="s">
        <v>376</v>
      </c>
      <c r="AF797" s="1" t="s">
        <v>1414</v>
      </c>
      <c r="AG797" s="1" t="s">
        <v>53</v>
      </c>
      <c r="AH797" s="1" t="s">
        <v>49</v>
      </c>
      <c r="AI797" s="1" t="s">
        <v>54</v>
      </c>
      <c r="AJ797" s="1">
        <v>1</v>
      </c>
      <c r="AK797" s="1" t="str">
        <f t="shared" si="12"/>
        <v xml:space="preserve"> =&lt;90</v>
      </c>
      <c r="AL797" s="1" t="str">
        <f>VLOOKUP(C:C,[1]基础信息!B$1:D$65536,3,0)</f>
        <v>Jug</v>
      </c>
      <c r="AM797" s="1" t="str">
        <f>VLOOKUP(C:C,[1]基础信息!B$1:E$65536,4,0)</f>
        <v>MXpl</v>
      </c>
      <c r="AN797" s="1" t="str">
        <f>VLOOKUP(C:C,[1]基础信息!B$1:F$65536,5,0)</f>
        <v>grey</v>
      </c>
    </row>
    <row r="798" spans="1:40">
      <c r="A798" s="1" t="s">
        <v>41</v>
      </c>
      <c r="B798" s="1" t="s">
        <v>42</v>
      </c>
      <c r="C798" s="1" t="s">
        <v>969</v>
      </c>
      <c r="D798" s="1" t="s">
        <v>970</v>
      </c>
      <c r="E798" s="1" t="s">
        <v>45</v>
      </c>
      <c r="F798" s="1" t="s">
        <v>1926</v>
      </c>
      <c r="G798" s="1" t="s">
        <v>1942</v>
      </c>
      <c r="H798" s="1" t="s">
        <v>1943</v>
      </c>
      <c r="I798" s="1" t="s">
        <v>49</v>
      </c>
      <c r="J798" s="1" t="s">
        <v>48</v>
      </c>
      <c r="K798" s="1">
        <v>80</v>
      </c>
      <c r="L798" s="1">
        <v>0</v>
      </c>
      <c r="M798" s="1">
        <v>0</v>
      </c>
      <c r="N798" s="1">
        <v>80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 t="s">
        <v>49</v>
      </c>
      <c r="AA798" s="1" t="s">
        <v>49</v>
      </c>
      <c r="AB798" s="1" t="s">
        <v>49</v>
      </c>
      <c r="AC798" s="1" t="s">
        <v>128</v>
      </c>
      <c r="AD798" s="1" t="s">
        <v>129</v>
      </c>
      <c r="AE798" s="1" t="s">
        <v>128</v>
      </c>
      <c r="AF798" s="1" t="s">
        <v>1929</v>
      </c>
      <c r="AG798" s="1" t="s">
        <v>53</v>
      </c>
      <c r="AH798" s="1" t="s">
        <v>49</v>
      </c>
      <c r="AI798" s="1" t="s">
        <v>54</v>
      </c>
      <c r="AJ798" s="1">
        <v>1</v>
      </c>
      <c r="AK798" s="1" t="str">
        <f t="shared" si="12"/>
        <v xml:space="preserve"> =&lt;90</v>
      </c>
      <c r="AL798" s="1" t="str">
        <f>VLOOKUP(C:C,[1]基础信息!B$1:D$65536,3,0)</f>
        <v>Jug</v>
      </c>
      <c r="AM798" s="1" t="str">
        <f>VLOOKUP(C:C,[1]基础信息!B$1:E$65536,4,0)</f>
        <v>Mxplus</v>
      </c>
      <c r="AN798" s="1" t="str">
        <f>VLOOKUP(C:C,[1]基础信息!B$1:F$65536,5,0)</f>
        <v xml:space="preserve"> blue</v>
      </c>
    </row>
    <row r="799" spans="1:40">
      <c r="A799" s="1" t="s">
        <v>41</v>
      </c>
      <c r="B799" s="1" t="s">
        <v>42</v>
      </c>
      <c r="C799" s="1" t="s">
        <v>417</v>
      </c>
      <c r="D799" s="1" t="s">
        <v>418</v>
      </c>
      <c r="E799" s="1" t="s">
        <v>45</v>
      </c>
      <c r="F799" s="1" t="s">
        <v>1126</v>
      </c>
      <c r="G799" s="1" t="s">
        <v>1944</v>
      </c>
      <c r="H799" s="1" t="s">
        <v>1945</v>
      </c>
      <c r="I799" s="1" t="s">
        <v>49</v>
      </c>
      <c r="J799" s="1" t="s">
        <v>48</v>
      </c>
      <c r="K799" s="1">
        <v>96</v>
      </c>
      <c r="L799" s="1">
        <v>0</v>
      </c>
      <c r="M799" s="1">
        <v>0</v>
      </c>
      <c r="N799" s="1">
        <v>96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 t="s">
        <v>49</v>
      </c>
      <c r="AA799" s="1" t="s">
        <v>49</v>
      </c>
      <c r="AB799" s="1" t="s">
        <v>49</v>
      </c>
      <c r="AC799" s="1" t="s">
        <v>938</v>
      </c>
      <c r="AD799" s="1" t="s">
        <v>939</v>
      </c>
      <c r="AE799" s="1" t="s">
        <v>938</v>
      </c>
      <c r="AF799" s="1" t="s">
        <v>940</v>
      </c>
      <c r="AG799" s="1" t="s">
        <v>53</v>
      </c>
      <c r="AH799" s="1" t="s">
        <v>49</v>
      </c>
      <c r="AI799" s="1" t="s">
        <v>54</v>
      </c>
      <c r="AJ799" s="1">
        <v>1</v>
      </c>
      <c r="AK799" s="1" t="str">
        <f t="shared" si="12"/>
        <v xml:space="preserve"> =&lt;90</v>
      </c>
      <c r="AL799" s="1" t="str">
        <f>VLOOKUP(C:C,[1]基础信息!B$1:D$65536,3,0)</f>
        <v>Jug</v>
      </c>
      <c r="AM799" s="1" t="str">
        <f>VLOOKUP(C:C,[1]基础信息!B$1:E$65536,4,0)</f>
        <v>Marella XL</v>
      </c>
      <c r="AN799" s="1" t="str">
        <f>VLOOKUP(C:C,[1]基础信息!B$1:F$65536,5,0)</f>
        <v>Silver</v>
      </c>
    </row>
    <row r="800" spans="1:40">
      <c r="A800" s="1" t="s">
        <v>41</v>
      </c>
      <c r="B800" s="1" t="s">
        <v>42</v>
      </c>
      <c r="C800" s="1" t="s">
        <v>1946</v>
      </c>
      <c r="D800" s="1" t="s">
        <v>1947</v>
      </c>
      <c r="E800" s="1" t="s">
        <v>1946</v>
      </c>
      <c r="F800" s="1" t="s">
        <v>1948</v>
      </c>
      <c r="G800" s="1" t="s">
        <v>1949</v>
      </c>
      <c r="H800" s="1" t="s">
        <v>45</v>
      </c>
      <c r="I800" s="1" t="s">
        <v>45</v>
      </c>
      <c r="J800" s="1" t="s">
        <v>48</v>
      </c>
      <c r="K800" s="1">
        <v>25</v>
      </c>
      <c r="L800" s="1">
        <v>0</v>
      </c>
      <c r="M800" s="1">
        <v>0</v>
      </c>
      <c r="N800" s="1">
        <v>25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 t="s">
        <v>49</v>
      </c>
      <c r="AA800" s="1" t="s">
        <v>49</v>
      </c>
      <c r="AB800" s="1" t="s">
        <v>49</v>
      </c>
      <c r="AC800" s="1" t="s">
        <v>1950</v>
      </c>
      <c r="AD800" s="1" t="s">
        <v>1951</v>
      </c>
      <c r="AE800" s="1" t="s">
        <v>1950</v>
      </c>
      <c r="AF800" s="1" t="s">
        <v>49</v>
      </c>
      <c r="AG800" s="1" t="s">
        <v>1952</v>
      </c>
      <c r="AH800" s="1" t="s">
        <v>49</v>
      </c>
      <c r="AI800" s="1" t="s">
        <v>54</v>
      </c>
      <c r="AJ800" s="1">
        <v>1</v>
      </c>
      <c r="AK800" s="1" t="str">
        <f t="shared" si="12"/>
        <v xml:space="preserve"> =&lt;90</v>
      </c>
      <c r="AL800" s="1" t="str">
        <f>VLOOKUP(C:C,[1]基础信息!B$1:D$65536,3,0)</f>
        <v xml:space="preserve">Cartridge </v>
      </c>
      <c r="AM800" s="1" t="str">
        <f>VLOOKUP(C:C,[1]基础信息!B$1:E$65536,4,0)</f>
        <v>UNIV</v>
      </c>
      <c r="AN800" s="1" t="str">
        <f>VLOOKUP(C:C,[1]基础信息!B$1:F$65536,5,0)</f>
        <v>P6</v>
      </c>
    </row>
    <row r="801" spans="1:40">
      <c r="A801" s="1" t="s">
        <v>41</v>
      </c>
      <c r="B801" s="1" t="s">
        <v>42</v>
      </c>
      <c r="C801" s="1" t="s">
        <v>1946</v>
      </c>
      <c r="D801" s="1" t="s">
        <v>1947</v>
      </c>
      <c r="E801" s="1" t="s">
        <v>1946</v>
      </c>
      <c r="F801" s="1" t="s">
        <v>1948</v>
      </c>
      <c r="G801" s="1" t="s">
        <v>1953</v>
      </c>
      <c r="H801" s="1" t="s">
        <v>45</v>
      </c>
      <c r="I801" s="1" t="s">
        <v>45</v>
      </c>
      <c r="J801" s="1" t="s">
        <v>48</v>
      </c>
      <c r="K801" s="1">
        <v>190</v>
      </c>
      <c r="L801" s="1">
        <v>0</v>
      </c>
      <c r="M801" s="1">
        <v>0</v>
      </c>
      <c r="N801" s="1">
        <v>190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 t="s">
        <v>49</v>
      </c>
      <c r="AA801" s="1" t="s">
        <v>49</v>
      </c>
      <c r="AB801" s="1" t="s">
        <v>49</v>
      </c>
      <c r="AC801" s="1" t="s">
        <v>1950</v>
      </c>
      <c r="AD801" s="1" t="s">
        <v>1951</v>
      </c>
      <c r="AE801" s="1" t="s">
        <v>1950</v>
      </c>
      <c r="AF801" s="1" t="s">
        <v>49</v>
      </c>
      <c r="AG801" s="1" t="s">
        <v>1952</v>
      </c>
      <c r="AH801" s="1" t="s">
        <v>49</v>
      </c>
      <c r="AI801" s="1" t="s">
        <v>54</v>
      </c>
      <c r="AJ801" s="1">
        <v>1</v>
      </c>
      <c r="AK801" s="1" t="str">
        <f t="shared" si="12"/>
        <v xml:space="preserve"> =&lt;90</v>
      </c>
      <c r="AL801" s="1" t="str">
        <f>VLOOKUP(C:C,[1]基础信息!B$1:D$65536,3,0)</f>
        <v xml:space="preserve">Cartridge </v>
      </c>
      <c r="AM801" s="1" t="str">
        <f>VLOOKUP(C:C,[1]基础信息!B$1:E$65536,4,0)</f>
        <v>UNIV</v>
      </c>
      <c r="AN801" s="1" t="str">
        <f>VLOOKUP(C:C,[1]基础信息!B$1:F$65536,5,0)</f>
        <v>P6</v>
      </c>
    </row>
    <row r="802" spans="1:40">
      <c r="A802" s="1" t="s">
        <v>41</v>
      </c>
      <c r="B802" s="1" t="s">
        <v>42</v>
      </c>
      <c r="C802" s="1" t="s">
        <v>1710</v>
      </c>
      <c r="D802" s="1" t="s">
        <v>1711</v>
      </c>
      <c r="E802" s="1" t="s">
        <v>45</v>
      </c>
      <c r="F802" s="1" t="s">
        <v>1712</v>
      </c>
      <c r="G802" s="1" t="s">
        <v>1954</v>
      </c>
      <c r="H802" s="1" t="s">
        <v>1955</v>
      </c>
      <c r="I802" s="1" t="s">
        <v>49</v>
      </c>
      <c r="J802" s="1" t="s">
        <v>48</v>
      </c>
      <c r="K802" s="1">
        <v>60</v>
      </c>
      <c r="L802" s="1">
        <v>0</v>
      </c>
      <c r="M802" s="1">
        <v>0</v>
      </c>
      <c r="N802" s="1">
        <v>60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 t="s">
        <v>49</v>
      </c>
      <c r="AA802" s="1" t="s">
        <v>49</v>
      </c>
      <c r="AB802" s="1" t="s">
        <v>49</v>
      </c>
      <c r="AC802" s="1" t="s">
        <v>1715</v>
      </c>
      <c r="AD802" s="1" t="s">
        <v>1716</v>
      </c>
      <c r="AE802" s="1" t="s">
        <v>1715</v>
      </c>
      <c r="AF802" s="1" t="s">
        <v>1717</v>
      </c>
      <c r="AG802" s="1" t="s">
        <v>53</v>
      </c>
      <c r="AH802" s="1" t="s">
        <v>49</v>
      </c>
      <c r="AI802" s="1" t="s">
        <v>54</v>
      </c>
      <c r="AJ802" s="1">
        <v>1</v>
      </c>
      <c r="AK802" s="1" t="str">
        <f t="shared" si="12"/>
        <v xml:space="preserve"> =&lt;90</v>
      </c>
      <c r="AL802" s="1" t="str">
        <f>VLOOKUP(C:C,[1]基础信息!B$1:D$65536,3,0)</f>
        <v>Jug</v>
      </c>
      <c r="AM802" s="1" t="str">
        <f>VLOOKUP(C:C,[1]基础信息!B$1:E$65536,4,0)</f>
        <v>Kalea XL ME4W</v>
      </c>
      <c r="AN802" s="1" t="str">
        <f>VLOOKUP(C:C,[1]基础信息!B$1:F$65536,5,0)</f>
        <v>grey</v>
      </c>
    </row>
    <row r="803" spans="1:40">
      <c r="A803" s="1" t="s">
        <v>41</v>
      </c>
      <c r="B803" s="1" t="s">
        <v>42</v>
      </c>
      <c r="C803" s="1" t="s">
        <v>417</v>
      </c>
      <c r="D803" s="1" t="s">
        <v>418</v>
      </c>
      <c r="E803" s="1" t="s">
        <v>45</v>
      </c>
      <c r="F803" s="1" t="s">
        <v>1126</v>
      </c>
      <c r="G803" s="1" t="s">
        <v>1956</v>
      </c>
      <c r="H803" s="1" t="s">
        <v>1957</v>
      </c>
      <c r="I803" s="1" t="s">
        <v>49</v>
      </c>
      <c r="J803" s="1" t="s">
        <v>48</v>
      </c>
      <c r="K803" s="1">
        <v>96</v>
      </c>
      <c r="L803" s="1">
        <v>0</v>
      </c>
      <c r="M803" s="1">
        <v>0</v>
      </c>
      <c r="N803" s="1">
        <v>96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 t="s">
        <v>49</v>
      </c>
      <c r="AA803" s="1" t="s">
        <v>49</v>
      </c>
      <c r="AB803" s="1" t="s">
        <v>49</v>
      </c>
      <c r="AC803" s="1" t="s">
        <v>938</v>
      </c>
      <c r="AD803" s="1" t="s">
        <v>939</v>
      </c>
      <c r="AE803" s="1" t="s">
        <v>938</v>
      </c>
      <c r="AF803" s="1" t="s">
        <v>940</v>
      </c>
      <c r="AG803" s="1" t="s">
        <v>53</v>
      </c>
      <c r="AH803" s="1" t="s">
        <v>49</v>
      </c>
      <c r="AI803" s="1" t="s">
        <v>54</v>
      </c>
      <c r="AJ803" s="1">
        <v>1</v>
      </c>
      <c r="AK803" s="1" t="str">
        <f t="shared" si="12"/>
        <v xml:space="preserve"> =&lt;90</v>
      </c>
      <c r="AL803" s="1" t="str">
        <f>VLOOKUP(C:C,[1]基础信息!B$1:D$65536,3,0)</f>
        <v>Jug</v>
      </c>
      <c r="AM803" s="1" t="str">
        <f>VLOOKUP(C:C,[1]基础信息!B$1:E$65536,4,0)</f>
        <v>Marella XL</v>
      </c>
      <c r="AN803" s="1" t="str">
        <f>VLOOKUP(C:C,[1]基础信息!B$1:F$65536,5,0)</f>
        <v>Silver</v>
      </c>
    </row>
    <row r="804" spans="1:40">
      <c r="A804" s="1" t="s">
        <v>41</v>
      </c>
      <c r="B804" s="1" t="s">
        <v>42</v>
      </c>
      <c r="C804" s="1" t="s">
        <v>1710</v>
      </c>
      <c r="D804" s="1" t="s">
        <v>1711</v>
      </c>
      <c r="E804" s="1" t="s">
        <v>45</v>
      </c>
      <c r="F804" s="1" t="s">
        <v>1712</v>
      </c>
      <c r="G804" s="1" t="s">
        <v>1958</v>
      </c>
      <c r="H804" s="1" t="s">
        <v>1959</v>
      </c>
      <c r="I804" s="1" t="s">
        <v>49</v>
      </c>
      <c r="J804" s="1" t="s">
        <v>48</v>
      </c>
      <c r="K804" s="1">
        <v>60</v>
      </c>
      <c r="L804" s="1">
        <v>0</v>
      </c>
      <c r="M804" s="1">
        <v>0</v>
      </c>
      <c r="N804" s="1">
        <v>60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 t="s">
        <v>49</v>
      </c>
      <c r="AA804" s="1" t="s">
        <v>49</v>
      </c>
      <c r="AB804" s="1" t="s">
        <v>49</v>
      </c>
      <c r="AC804" s="1" t="s">
        <v>1715</v>
      </c>
      <c r="AD804" s="1" t="s">
        <v>1716</v>
      </c>
      <c r="AE804" s="1" t="s">
        <v>1715</v>
      </c>
      <c r="AF804" s="1" t="s">
        <v>1717</v>
      </c>
      <c r="AG804" s="1" t="s">
        <v>53</v>
      </c>
      <c r="AH804" s="1" t="s">
        <v>49</v>
      </c>
      <c r="AI804" s="1" t="s">
        <v>54</v>
      </c>
      <c r="AJ804" s="1">
        <v>1</v>
      </c>
      <c r="AK804" s="1" t="str">
        <f t="shared" si="12"/>
        <v xml:space="preserve"> =&lt;90</v>
      </c>
      <c r="AL804" s="1" t="str">
        <f>VLOOKUP(C:C,[1]基础信息!B$1:D$65536,3,0)</f>
        <v>Jug</v>
      </c>
      <c r="AM804" s="1" t="str">
        <f>VLOOKUP(C:C,[1]基础信息!B$1:E$65536,4,0)</f>
        <v>Kalea XL ME4W</v>
      </c>
      <c r="AN804" s="1" t="str">
        <f>VLOOKUP(C:C,[1]基础信息!B$1:F$65536,5,0)</f>
        <v>grey</v>
      </c>
    </row>
    <row r="805" spans="1:40">
      <c r="A805" s="1" t="s">
        <v>41</v>
      </c>
      <c r="B805" s="1" t="s">
        <v>42</v>
      </c>
      <c r="C805" s="1" t="s">
        <v>417</v>
      </c>
      <c r="D805" s="1" t="s">
        <v>418</v>
      </c>
      <c r="E805" s="1" t="s">
        <v>45</v>
      </c>
      <c r="F805" s="1" t="s">
        <v>1126</v>
      </c>
      <c r="G805" s="1" t="s">
        <v>1960</v>
      </c>
      <c r="H805" s="1" t="s">
        <v>1961</v>
      </c>
      <c r="I805" s="1" t="s">
        <v>49</v>
      </c>
      <c r="J805" s="1" t="s">
        <v>48</v>
      </c>
      <c r="K805" s="1">
        <v>96</v>
      </c>
      <c r="L805" s="1">
        <v>0</v>
      </c>
      <c r="M805" s="1">
        <v>0</v>
      </c>
      <c r="N805" s="1">
        <v>96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 t="s">
        <v>49</v>
      </c>
      <c r="AA805" s="1" t="s">
        <v>49</v>
      </c>
      <c r="AB805" s="1" t="s">
        <v>49</v>
      </c>
      <c r="AC805" s="1" t="s">
        <v>938</v>
      </c>
      <c r="AD805" s="1" t="s">
        <v>939</v>
      </c>
      <c r="AE805" s="1" t="s">
        <v>938</v>
      </c>
      <c r="AF805" s="1" t="s">
        <v>940</v>
      </c>
      <c r="AG805" s="1" t="s">
        <v>53</v>
      </c>
      <c r="AH805" s="1" t="s">
        <v>49</v>
      </c>
      <c r="AI805" s="1" t="s">
        <v>54</v>
      </c>
      <c r="AJ805" s="1">
        <v>1</v>
      </c>
      <c r="AK805" s="1" t="str">
        <f t="shared" si="12"/>
        <v xml:space="preserve"> =&lt;90</v>
      </c>
      <c r="AL805" s="1" t="str">
        <f>VLOOKUP(C:C,[1]基础信息!B$1:D$65536,3,0)</f>
        <v>Jug</v>
      </c>
      <c r="AM805" s="1" t="str">
        <f>VLOOKUP(C:C,[1]基础信息!B$1:E$65536,4,0)</f>
        <v>Marella XL</v>
      </c>
      <c r="AN805" s="1" t="str">
        <f>VLOOKUP(C:C,[1]基础信息!B$1:F$65536,5,0)</f>
        <v>Silver</v>
      </c>
    </row>
    <row r="806" spans="1:40">
      <c r="A806" s="1" t="s">
        <v>41</v>
      </c>
      <c r="B806" s="1" t="s">
        <v>42</v>
      </c>
      <c r="C806" s="1" t="s">
        <v>1710</v>
      </c>
      <c r="D806" s="1" t="s">
        <v>1711</v>
      </c>
      <c r="E806" s="1" t="s">
        <v>45</v>
      </c>
      <c r="F806" s="1" t="s">
        <v>1712</v>
      </c>
      <c r="G806" s="1" t="s">
        <v>1962</v>
      </c>
      <c r="H806" s="1" t="s">
        <v>1963</v>
      </c>
      <c r="I806" s="1" t="s">
        <v>49</v>
      </c>
      <c r="J806" s="1" t="s">
        <v>48</v>
      </c>
      <c r="K806" s="1">
        <v>60</v>
      </c>
      <c r="L806" s="1">
        <v>0</v>
      </c>
      <c r="M806" s="1">
        <v>0</v>
      </c>
      <c r="N806" s="1">
        <v>60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 t="s">
        <v>49</v>
      </c>
      <c r="AA806" s="1" t="s">
        <v>49</v>
      </c>
      <c r="AB806" s="1" t="s">
        <v>49</v>
      </c>
      <c r="AC806" s="1" t="s">
        <v>1715</v>
      </c>
      <c r="AD806" s="1" t="s">
        <v>1716</v>
      </c>
      <c r="AE806" s="1" t="s">
        <v>1715</v>
      </c>
      <c r="AF806" s="1" t="s">
        <v>1717</v>
      </c>
      <c r="AG806" s="1" t="s">
        <v>53</v>
      </c>
      <c r="AH806" s="1" t="s">
        <v>49</v>
      </c>
      <c r="AI806" s="1" t="s">
        <v>54</v>
      </c>
      <c r="AJ806" s="1">
        <v>1</v>
      </c>
      <c r="AK806" s="1" t="str">
        <f t="shared" si="12"/>
        <v xml:space="preserve"> =&lt;90</v>
      </c>
      <c r="AL806" s="1" t="str">
        <f>VLOOKUP(C:C,[1]基础信息!B$1:D$65536,3,0)</f>
        <v>Jug</v>
      </c>
      <c r="AM806" s="1" t="str">
        <f>VLOOKUP(C:C,[1]基础信息!B$1:E$65536,4,0)</f>
        <v>Kalea XL ME4W</v>
      </c>
      <c r="AN806" s="1" t="str">
        <f>VLOOKUP(C:C,[1]基础信息!B$1:F$65536,5,0)</f>
        <v>grey</v>
      </c>
    </row>
    <row r="807" spans="1:40">
      <c r="A807" s="1" t="s">
        <v>41</v>
      </c>
      <c r="B807" s="1" t="s">
        <v>42</v>
      </c>
      <c r="C807" s="1" t="s">
        <v>1710</v>
      </c>
      <c r="D807" s="1" t="s">
        <v>1711</v>
      </c>
      <c r="E807" s="1" t="s">
        <v>45</v>
      </c>
      <c r="F807" s="1" t="s">
        <v>1712</v>
      </c>
      <c r="G807" s="1" t="s">
        <v>1964</v>
      </c>
      <c r="H807" s="1" t="s">
        <v>1965</v>
      </c>
      <c r="I807" s="1" t="s">
        <v>49</v>
      </c>
      <c r="J807" s="1" t="s">
        <v>48</v>
      </c>
      <c r="K807" s="1">
        <v>60</v>
      </c>
      <c r="L807" s="1">
        <v>0</v>
      </c>
      <c r="M807" s="1">
        <v>0</v>
      </c>
      <c r="N807" s="1">
        <v>60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 t="s">
        <v>49</v>
      </c>
      <c r="AA807" s="1" t="s">
        <v>49</v>
      </c>
      <c r="AB807" s="1" t="s">
        <v>49</v>
      </c>
      <c r="AC807" s="1" t="s">
        <v>1715</v>
      </c>
      <c r="AD807" s="1" t="s">
        <v>1716</v>
      </c>
      <c r="AE807" s="1" t="s">
        <v>1715</v>
      </c>
      <c r="AF807" s="1" t="s">
        <v>1717</v>
      </c>
      <c r="AG807" s="1" t="s">
        <v>53</v>
      </c>
      <c r="AH807" s="1" t="s">
        <v>49</v>
      </c>
      <c r="AI807" s="1" t="s">
        <v>54</v>
      </c>
      <c r="AJ807" s="1">
        <v>1</v>
      </c>
      <c r="AK807" s="1" t="str">
        <f t="shared" si="12"/>
        <v xml:space="preserve"> =&lt;90</v>
      </c>
      <c r="AL807" s="1" t="str">
        <f>VLOOKUP(C:C,[1]基础信息!B$1:D$65536,3,0)</f>
        <v>Jug</v>
      </c>
      <c r="AM807" s="1" t="str">
        <f>VLOOKUP(C:C,[1]基础信息!B$1:E$65536,4,0)</f>
        <v>Kalea XL ME4W</v>
      </c>
      <c r="AN807" s="1" t="str">
        <f>VLOOKUP(C:C,[1]基础信息!B$1:F$65536,5,0)</f>
        <v>grey</v>
      </c>
    </row>
    <row r="808" spans="1:40">
      <c r="A808" s="1" t="s">
        <v>41</v>
      </c>
      <c r="B808" s="1" t="s">
        <v>42</v>
      </c>
      <c r="C808" s="1" t="s">
        <v>1710</v>
      </c>
      <c r="D808" s="1" t="s">
        <v>1711</v>
      </c>
      <c r="E808" s="1" t="s">
        <v>45</v>
      </c>
      <c r="F808" s="1" t="s">
        <v>1712</v>
      </c>
      <c r="G808" s="1" t="s">
        <v>1966</v>
      </c>
      <c r="H808" s="1" t="s">
        <v>1967</v>
      </c>
      <c r="I808" s="1" t="s">
        <v>49</v>
      </c>
      <c r="J808" s="1" t="s">
        <v>48</v>
      </c>
      <c r="K808" s="1">
        <v>60</v>
      </c>
      <c r="L808" s="1">
        <v>0</v>
      </c>
      <c r="M808" s="1">
        <v>0</v>
      </c>
      <c r="N808" s="1">
        <v>60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 t="s">
        <v>49</v>
      </c>
      <c r="AA808" s="1" t="s">
        <v>49</v>
      </c>
      <c r="AB808" s="1" t="s">
        <v>49</v>
      </c>
      <c r="AC808" s="1" t="s">
        <v>1715</v>
      </c>
      <c r="AD808" s="1" t="s">
        <v>1716</v>
      </c>
      <c r="AE808" s="1" t="s">
        <v>1715</v>
      </c>
      <c r="AF808" s="1" t="s">
        <v>1717</v>
      </c>
      <c r="AG808" s="1" t="s">
        <v>53</v>
      </c>
      <c r="AH808" s="1" t="s">
        <v>49</v>
      </c>
      <c r="AI808" s="1" t="s">
        <v>54</v>
      </c>
      <c r="AJ808" s="1">
        <v>1</v>
      </c>
      <c r="AK808" s="1" t="str">
        <f t="shared" si="12"/>
        <v xml:space="preserve"> =&lt;90</v>
      </c>
      <c r="AL808" s="1" t="str">
        <f>VLOOKUP(C:C,[1]基础信息!B$1:D$65536,3,0)</f>
        <v>Jug</v>
      </c>
      <c r="AM808" s="1" t="str">
        <f>VLOOKUP(C:C,[1]基础信息!B$1:E$65536,4,0)</f>
        <v>Kalea XL ME4W</v>
      </c>
      <c r="AN808" s="1" t="str">
        <f>VLOOKUP(C:C,[1]基础信息!B$1:F$65536,5,0)</f>
        <v>grey</v>
      </c>
    </row>
    <row r="809" spans="1:40">
      <c r="A809" s="1" t="s">
        <v>41</v>
      </c>
      <c r="B809" s="1" t="s">
        <v>42</v>
      </c>
      <c r="C809" s="1" t="s">
        <v>1710</v>
      </c>
      <c r="D809" s="1" t="s">
        <v>1711</v>
      </c>
      <c r="E809" s="1" t="s">
        <v>45</v>
      </c>
      <c r="F809" s="1" t="s">
        <v>1712</v>
      </c>
      <c r="G809" s="1" t="s">
        <v>1968</v>
      </c>
      <c r="H809" s="1" t="s">
        <v>1969</v>
      </c>
      <c r="I809" s="1" t="s">
        <v>49</v>
      </c>
      <c r="J809" s="1" t="s">
        <v>48</v>
      </c>
      <c r="K809" s="1">
        <v>60</v>
      </c>
      <c r="L809" s="1">
        <v>0</v>
      </c>
      <c r="M809" s="1">
        <v>0</v>
      </c>
      <c r="N809" s="1">
        <v>60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 t="s">
        <v>49</v>
      </c>
      <c r="AA809" s="1" t="s">
        <v>49</v>
      </c>
      <c r="AB809" s="1" t="s">
        <v>49</v>
      </c>
      <c r="AC809" s="1" t="s">
        <v>1715</v>
      </c>
      <c r="AD809" s="1" t="s">
        <v>1716</v>
      </c>
      <c r="AE809" s="1" t="s">
        <v>1715</v>
      </c>
      <c r="AF809" s="1" t="s">
        <v>1717</v>
      </c>
      <c r="AG809" s="1" t="s">
        <v>53</v>
      </c>
      <c r="AH809" s="1" t="s">
        <v>49</v>
      </c>
      <c r="AI809" s="1" t="s">
        <v>54</v>
      </c>
      <c r="AJ809" s="1">
        <v>1</v>
      </c>
      <c r="AK809" s="1" t="str">
        <f t="shared" si="12"/>
        <v xml:space="preserve"> =&lt;90</v>
      </c>
      <c r="AL809" s="1" t="str">
        <f>VLOOKUP(C:C,[1]基础信息!B$1:D$65536,3,0)</f>
        <v>Jug</v>
      </c>
      <c r="AM809" s="1" t="str">
        <f>VLOOKUP(C:C,[1]基础信息!B$1:E$65536,4,0)</f>
        <v>Kalea XL ME4W</v>
      </c>
      <c r="AN809" s="1" t="str">
        <f>VLOOKUP(C:C,[1]基础信息!B$1:F$65536,5,0)</f>
        <v>grey</v>
      </c>
    </row>
    <row r="810" spans="1:40">
      <c r="A810" s="1" t="s">
        <v>41</v>
      </c>
      <c r="B810" s="1" t="s">
        <v>42</v>
      </c>
      <c r="C810" s="1" t="s">
        <v>1710</v>
      </c>
      <c r="D810" s="1" t="s">
        <v>1711</v>
      </c>
      <c r="E810" s="1" t="s">
        <v>45</v>
      </c>
      <c r="F810" s="1" t="s">
        <v>1712</v>
      </c>
      <c r="G810" s="1" t="s">
        <v>1970</v>
      </c>
      <c r="H810" s="1" t="s">
        <v>1971</v>
      </c>
      <c r="I810" s="1" t="s">
        <v>49</v>
      </c>
      <c r="J810" s="1" t="s">
        <v>48</v>
      </c>
      <c r="K810" s="1">
        <v>60</v>
      </c>
      <c r="L810" s="1">
        <v>0</v>
      </c>
      <c r="M810" s="1">
        <v>0</v>
      </c>
      <c r="N810" s="1">
        <v>60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 t="s">
        <v>49</v>
      </c>
      <c r="AA810" s="1" t="s">
        <v>49</v>
      </c>
      <c r="AB810" s="1" t="s">
        <v>49</v>
      </c>
      <c r="AC810" s="1" t="s">
        <v>1715</v>
      </c>
      <c r="AD810" s="1" t="s">
        <v>1716</v>
      </c>
      <c r="AE810" s="1" t="s">
        <v>1715</v>
      </c>
      <c r="AF810" s="1" t="s">
        <v>1717</v>
      </c>
      <c r="AG810" s="1" t="s">
        <v>53</v>
      </c>
      <c r="AH810" s="1" t="s">
        <v>49</v>
      </c>
      <c r="AI810" s="1" t="s">
        <v>54</v>
      </c>
      <c r="AJ810" s="1">
        <v>1</v>
      </c>
      <c r="AK810" s="1" t="str">
        <f t="shared" si="12"/>
        <v xml:space="preserve"> =&lt;90</v>
      </c>
      <c r="AL810" s="1" t="str">
        <f>VLOOKUP(C:C,[1]基础信息!B$1:D$65536,3,0)</f>
        <v>Jug</v>
      </c>
      <c r="AM810" s="1" t="str">
        <f>VLOOKUP(C:C,[1]基础信息!B$1:E$65536,4,0)</f>
        <v>Kalea XL ME4W</v>
      </c>
      <c r="AN810" s="1" t="str">
        <f>VLOOKUP(C:C,[1]基础信息!B$1:F$65536,5,0)</f>
        <v>grey</v>
      </c>
    </row>
    <row r="811" spans="1:40">
      <c r="A811" s="1" t="s">
        <v>41</v>
      </c>
      <c r="B811" s="1" t="s">
        <v>42</v>
      </c>
      <c r="C811" s="1" t="s">
        <v>417</v>
      </c>
      <c r="D811" s="1" t="s">
        <v>418</v>
      </c>
      <c r="E811" s="1" t="s">
        <v>45</v>
      </c>
      <c r="F811" s="1" t="s">
        <v>1126</v>
      </c>
      <c r="G811" s="1" t="s">
        <v>1972</v>
      </c>
      <c r="H811" s="1" t="s">
        <v>1973</v>
      </c>
      <c r="I811" s="1" t="s">
        <v>49</v>
      </c>
      <c r="J811" s="1" t="s">
        <v>48</v>
      </c>
      <c r="K811" s="1">
        <v>96</v>
      </c>
      <c r="L811" s="1">
        <v>0</v>
      </c>
      <c r="M811" s="1">
        <v>0</v>
      </c>
      <c r="N811" s="1">
        <v>96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 t="s">
        <v>49</v>
      </c>
      <c r="AA811" s="1" t="s">
        <v>49</v>
      </c>
      <c r="AB811" s="1" t="s">
        <v>49</v>
      </c>
      <c r="AC811" s="1" t="s">
        <v>938</v>
      </c>
      <c r="AD811" s="1" t="s">
        <v>939</v>
      </c>
      <c r="AE811" s="1" t="s">
        <v>938</v>
      </c>
      <c r="AF811" s="1" t="s">
        <v>940</v>
      </c>
      <c r="AG811" s="1" t="s">
        <v>53</v>
      </c>
      <c r="AH811" s="1" t="s">
        <v>49</v>
      </c>
      <c r="AI811" s="1" t="s">
        <v>54</v>
      </c>
      <c r="AJ811" s="1">
        <v>1</v>
      </c>
      <c r="AK811" s="1" t="str">
        <f t="shared" si="12"/>
        <v xml:space="preserve"> =&lt;90</v>
      </c>
      <c r="AL811" s="1" t="str">
        <f>VLOOKUP(C:C,[1]基础信息!B$1:D$65536,3,0)</f>
        <v>Jug</v>
      </c>
      <c r="AM811" s="1" t="str">
        <f>VLOOKUP(C:C,[1]基础信息!B$1:E$65536,4,0)</f>
        <v>Marella XL</v>
      </c>
      <c r="AN811" s="1" t="str">
        <f>VLOOKUP(C:C,[1]基础信息!B$1:F$65536,5,0)</f>
        <v>Silver</v>
      </c>
    </row>
    <row r="812" spans="1:40">
      <c r="A812" s="1" t="s">
        <v>41</v>
      </c>
      <c r="B812" s="1" t="s">
        <v>42</v>
      </c>
      <c r="C812" s="1" t="s">
        <v>1710</v>
      </c>
      <c r="D812" s="1" t="s">
        <v>1711</v>
      </c>
      <c r="E812" s="1" t="s">
        <v>45</v>
      </c>
      <c r="F812" s="1" t="s">
        <v>1712</v>
      </c>
      <c r="G812" s="1" t="s">
        <v>1974</v>
      </c>
      <c r="H812" s="1" t="s">
        <v>1975</v>
      </c>
      <c r="I812" s="1" t="s">
        <v>49</v>
      </c>
      <c r="J812" s="1" t="s">
        <v>48</v>
      </c>
      <c r="K812" s="1">
        <v>60</v>
      </c>
      <c r="L812" s="1">
        <v>0</v>
      </c>
      <c r="M812" s="1">
        <v>0</v>
      </c>
      <c r="N812" s="1">
        <v>60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 t="s">
        <v>49</v>
      </c>
      <c r="AA812" s="1" t="s">
        <v>49</v>
      </c>
      <c r="AB812" s="1" t="s">
        <v>49</v>
      </c>
      <c r="AC812" s="1" t="s">
        <v>1715</v>
      </c>
      <c r="AD812" s="1" t="s">
        <v>1716</v>
      </c>
      <c r="AE812" s="1" t="s">
        <v>1715</v>
      </c>
      <c r="AF812" s="1" t="s">
        <v>1717</v>
      </c>
      <c r="AG812" s="1" t="s">
        <v>53</v>
      </c>
      <c r="AH812" s="1" t="s">
        <v>49</v>
      </c>
      <c r="AI812" s="1" t="s">
        <v>54</v>
      </c>
      <c r="AJ812" s="1">
        <v>1</v>
      </c>
      <c r="AK812" s="1" t="str">
        <f t="shared" si="12"/>
        <v xml:space="preserve"> =&lt;90</v>
      </c>
      <c r="AL812" s="1" t="str">
        <f>VLOOKUP(C:C,[1]基础信息!B$1:D$65536,3,0)</f>
        <v>Jug</v>
      </c>
      <c r="AM812" s="1" t="str">
        <f>VLOOKUP(C:C,[1]基础信息!B$1:E$65536,4,0)</f>
        <v>Kalea XL ME4W</v>
      </c>
      <c r="AN812" s="1" t="str">
        <f>VLOOKUP(C:C,[1]基础信息!B$1:F$65536,5,0)</f>
        <v>grey</v>
      </c>
    </row>
    <row r="813" spans="1:40">
      <c r="A813" s="1" t="s">
        <v>41</v>
      </c>
      <c r="B813" s="1" t="s">
        <v>42</v>
      </c>
      <c r="C813" s="1" t="s">
        <v>1710</v>
      </c>
      <c r="D813" s="1" t="s">
        <v>1711</v>
      </c>
      <c r="E813" s="1" t="s">
        <v>45</v>
      </c>
      <c r="F813" s="1" t="s">
        <v>1712</v>
      </c>
      <c r="G813" s="1" t="s">
        <v>1976</v>
      </c>
      <c r="H813" s="1" t="s">
        <v>1977</v>
      </c>
      <c r="I813" s="1" t="s">
        <v>49</v>
      </c>
      <c r="J813" s="1" t="s">
        <v>48</v>
      </c>
      <c r="K813" s="1">
        <v>60</v>
      </c>
      <c r="L813" s="1">
        <v>0</v>
      </c>
      <c r="M813" s="1">
        <v>0</v>
      </c>
      <c r="N813" s="1">
        <v>60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 t="s">
        <v>49</v>
      </c>
      <c r="AA813" s="1" t="s">
        <v>49</v>
      </c>
      <c r="AB813" s="1" t="s">
        <v>49</v>
      </c>
      <c r="AC813" s="1" t="s">
        <v>1715</v>
      </c>
      <c r="AD813" s="1" t="s">
        <v>1716</v>
      </c>
      <c r="AE813" s="1" t="s">
        <v>1715</v>
      </c>
      <c r="AF813" s="1" t="s">
        <v>1717</v>
      </c>
      <c r="AG813" s="1" t="s">
        <v>53</v>
      </c>
      <c r="AH813" s="1" t="s">
        <v>49</v>
      </c>
      <c r="AI813" s="1" t="s">
        <v>54</v>
      </c>
      <c r="AJ813" s="1">
        <v>1</v>
      </c>
      <c r="AK813" s="1" t="str">
        <f t="shared" si="12"/>
        <v xml:space="preserve"> =&lt;90</v>
      </c>
      <c r="AL813" s="1" t="str">
        <f>VLOOKUP(C:C,[1]基础信息!B$1:D$65536,3,0)</f>
        <v>Jug</v>
      </c>
      <c r="AM813" s="1" t="str">
        <f>VLOOKUP(C:C,[1]基础信息!B$1:E$65536,4,0)</f>
        <v>Kalea XL ME4W</v>
      </c>
      <c r="AN813" s="1" t="str">
        <f>VLOOKUP(C:C,[1]基础信息!B$1:F$65536,5,0)</f>
        <v>grey</v>
      </c>
    </row>
    <row r="814" spans="1:40">
      <c r="A814" s="1" t="s">
        <v>41</v>
      </c>
      <c r="B814" s="1" t="s">
        <v>42</v>
      </c>
      <c r="C814" s="1" t="s">
        <v>301</v>
      </c>
      <c r="D814" s="1" t="s">
        <v>302</v>
      </c>
      <c r="E814" s="1" t="s">
        <v>45</v>
      </c>
      <c r="F814" s="1" t="s">
        <v>1902</v>
      </c>
      <c r="G814" s="1" t="s">
        <v>1978</v>
      </c>
      <c r="H814" s="1" t="s">
        <v>1979</v>
      </c>
      <c r="I814" s="1" t="s">
        <v>49</v>
      </c>
      <c r="J814" s="1" t="s">
        <v>48</v>
      </c>
      <c r="K814" s="1">
        <v>96</v>
      </c>
      <c r="L814" s="1">
        <v>0</v>
      </c>
      <c r="M814" s="1">
        <v>0</v>
      </c>
      <c r="N814" s="1">
        <v>96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 t="s">
        <v>49</v>
      </c>
      <c r="AA814" s="1" t="s">
        <v>49</v>
      </c>
      <c r="AB814" s="1" t="s">
        <v>49</v>
      </c>
      <c r="AC814" s="1" t="s">
        <v>1008</v>
      </c>
      <c r="AD814" s="1" t="s">
        <v>1009</v>
      </c>
      <c r="AE814" s="1" t="s">
        <v>1008</v>
      </c>
      <c r="AF814" s="1" t="s">
        <v>1905</v>
      </c>
      <c r="AG814" s="1" t="s">
        <v>53</v>
      </c>
      <c r="AH814" s="1" t="s">
        <v>49</v>
      </c>
      <c r="AI814" s="1" t="s">
        <v>54</v>
      </c>
      <c r="AJ814" s="1">
        <v>1</v>
      </c>
      <c r="AK814" s="1" t="str">
        <f t="shared" si="12"/>
        <v xml:space="preserve"> =&lt;90</v>
      </c>
      <c r="AL814" s="1" t="str">
        <f>VLOOKUP(C:C,[1]基础信息!B$1:D$65536,3,0)</f>
        <v>Jug</v>
      </c>
      <c r="AM814" s="1" t="str">
        <f>VLOOKUP(C:C,[1]基础信息!B$1:E$65536,4,0)</f>
        <v>Aluna</v>
      </c>
      <c r="AN814" s="1" t="str">
        <f>VLOOKUP(C:C,[1]基础信息!B$1:F$65536,5,0)</f>
        <v>Blue</v>
      </c>
    </row>
    <row r="815" spans="1:40">
      <c r="A815" s="1" t="s">
        <v>41</v>
      </c>
      <c r="B815" s="1" t="s">
        <v>42</v>
      </c>
      <c r="C815" s="1" t="s">
        <v>969</v>
      </c>
      <c r="D815" s="1" t="s">
        <v>970</v>
      </c>
      <c r="E815" s="1" t="s">
        <v>45</v>
      </c>
      <c r="F815" s="1" t="s">
        <v>1926</v>
      </c>
      <c r="G815" s="1" t="s">
        <v>1980</v>
      </c>
      <c r="H815" s="1" t="s">
        <v>1981</v>
      </c>
      <c r="I815" s="1" t="s">
        <v>49</v>
      </c>
      <c r="J815" s="1" t="s">
        <v>48</v>
      </c>
      <c r="K815" s="1">
        <v>80</v>
      </c>
      <c r="L815" s="1">
        <v>0</v>
      </c>
      <c r="M815" s="1">
        <v>0</v>
      </c>
      <c r="N815" s="1">
        <v>80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 t="s">
        <v>49</v>
      </c>
      <c r="AA815" s="1" t="s">
        <v>49</v>
      </c>
      <c r="AB815" s="1" t="s">
        <v>49</v>
      </c>
      <c r="AC815" s="1" t="s">
        <v>128</v>
      </c>
      <c r="AD815" s="1" t="s">
        <v>129</v>
      </c>
      <c r="AE815" s="1" t="s">
        <v>128</v>
      </c>
      <c r="AF815" s="1" t="s">
        <v>1929</v>
      </c>
      <c r="AG815" s="1" t="s">
        <v>53</v>
      </c>
      <c r="AH815" s="1" t="s">
        <v>49</v>
      </c>
      <c r="AI815" s="1" t="s">
        <v>54</v>
      </c>
      <c r="AJ815" s="1">
        <v>1</v>
      </c>
      <c r="AK815" s="1" t="str">
        <f t="shared" si="12"/>
        <v xml:space="preserve"> =&lt;90</v>
      </c>
      <c r="AL815" s="1" t="str">
        <f>VLOOKUP(C:C,[1]基础信息!B$1:D$65536,3,0)</f>
        <v>Jug</v>
      </c>
      <c r="AM815" s="1" t="str">
        <f>VLOOKUP(C:C,[1]基础信息!B$1:E$65536,4,0)</f>
        <v>Mxplus</v>
      </c>
      <c r="AN815" s="1" t="str">
        <f>VLOOKUP(C:C,[1]基础信息!B$1:F$65536,5,0)</f>
        <v xml:space="preserve"> blue</v>
      </c>
    </row>
    <row r="816" spans="1:40">
      <c r="A816" s="1" t="s">
        <v>41</v>
      </c>
      <c r="B816" s="1" t="s">
        <v>42</v>
      </c>
      <c r="C816" s="1" t="s">
        <v>1710</v>
      </c>
      <c r="D816" s="1" t="s">
        <v>1711</v>
      </c>
      <c r="E816" s="1" t="s">
        <v>45</v>
      </c>
      <c r="F816" s="1" t="s">
        <v>1712</v>
      </c>
      <c r="G816" s="1" t="s">
        <v>1982</v>
      </c>
      <c r="H816" s="1" t="s">
        <v>1983</v>
      </c>
      <c r="I816" s="1" t="s">
        <v>49</v>
      </c>
      <c r="J816" s="1" t="s">
        <v>48</v>
      </c>
      <c r="K816" s="1">
        <v>60</v>
      </c>
      <c r="L816" s="1">
        <v>0</v>
      </c>
      <c r="M816" s="1">
        <v>0</v>
      </c>
      <c r="N816" s="1">
        <v>60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 t="s">
        <v>49</v>
      </c>
      <c r="AA816" s="1" t="s">
        <v>49</v>
      </c>
      <c r="AB816" s="1" t="s">
        <v>49</v>
      </c>
      <c r="AC816" s="1" t="s">
        <v>1715</v>
      </c>
      <c r="AD816" s="1" t="s">
        <v>1716</v>
      </c>
      <c r="AE816" s="1" t="s">
        <v>1715</v>
      </c>
      <c r="AF816" s="1" t="s">
        <v>1717</v>
      </c>
      <c r="AG816" s="1" t="s">
        <v>53</v>
      </c>
      <c r="AH816" s="1" t="s">
        <v>49</v>
      </c>
      <c r="AI816" s="1" t="s">
        <v>54</v>
      </c>
      <c r="AJ816" s="1">
        <v>1</v>
      </c>
      <c r="AK816" s="1" t="str">
        <f t="shared" si="12"/>
        <v xml:space="preserve"> =&lt;90</v>
      </c>
      <c r="AL816" s="1" t="str">
        <f>VLOOKUP(C:C,[1]基础信息!B$1:D$65536,3,0)</f>
        <v>Jug</v>
      </c>
      <c r="AM816" s="1" t="str">
        <f>VLOOKUP(C:C,[1]基础信息!B$1:E$65536,4,0)</f>
        <v>Kalea XL ME4W</v>
      </c>
      <c r="AN816" s="1" t="str">
        <f>VLOOKUP(C:C,[1]基础信息!B$1:F$65536,5,0)</f>
        <v>grey</v>
      </c>
    </row>
    <row r="817" spans="1:40">
      <c r="A817" s="1" t="s">
        <v>41</v>
      </c>
      <c r="B817" s="1" t="s">
        <v>42</v>
      </c>
      <c r="C817" s="1" t="s">
        <v>1710</v>
      </c>
      <c r="D817" s="1" t="s">
        <v>1711</v>
      </c>
      <c r="E817" s="1" t="s">
        <v>45</v>
      </c>
      <c r="F817" s="1" t="s">
        <v>1712</v>
      </c>
      <c r="G817" s="1" t="s">
        <v>1984</v>
      </c>
      <c r="H817" s="1" t="s">
        <v>1985</v>
      </c>
      <c r="I817" s="1" t="s">
        <v>49</v>
      </c>
      <c r="J817" s="1" t="s">
        <v>48</v>
      </c>
      <c r="K817" s="1">
        <v>60</v>
      </c>
      <c r="L817" s="1">
        <v>0</v>
      </c>
      <c r="M817" s="1">
        <v>0</v>
      </c>
      <c r="N817" s="1">
        <v>60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 t="s">
        <v>49</v>
      </c>
      <c r="AA817" s="1" t="s">
        <v>49</v>
      </c>
      <c r="AB817" s="1" t="s">
        <v>49</v>
      </c>
      <c r="AC817" s="1" t="s">
        <v>1715</v>
      </c>
      <c r="AD817" s="1" t="s">
        <v>1716</v>
      </c>
      <c r="AE817" s="1" t="s">
        <v>1715</v>
      </c>
      <c r="AF817" s="1" t="s">
        <v>1717</v>
      </c>
      <c r="AG817" s="1" t="s">
        <v>53</v>
      </c>
      <c r="AH817" s="1" t="s">
        <v>49</v>
      </c>
      <c r="AI817" s="1" t="s">
        <v>54</v>
      </c>
      <c r="AJ817" s="1">
        <v>1</v>
      </c>
      <c r="AK817" s="1" t="str">
        <f t="shared" si="12"/>
        <v xml:space="preserve"> =&lt;90</v>
      </c>
      <c r="AL817" s="1" t="str">
        <f>VLOOKUP(C:C,[1]基础信息!B$1:D$65536,3,0)</f>
        <v>Jug</v>
      </c>
      <c r="AM817" s="1" t="str">
        <f>VLOOKUP(C:C,[1]基础信息!B$1:E$65536,4,0)</f>
        <v>Kalea XL ME4W</v>
      </c>
      <c r="AN817" s="1" t="str">
        <f>VLOOKUP(C:C,[1]基础信息!B$1:F$65536,5,0)</f>
        <v>grey</v>
      </c>
    </row>
    <row r="818" spans="1:40">
      <c r="A818" s="1" t="s">
        <v>41</v>
      </c>
      <c r="B818" s="1" t="s">
        <v>42</v>
      </c>
      <c r="C818" s="1" t="s">
        <v>1710</v>
      </c>
      <c r="D818" s="1" t="s">
        <v>1711</v>
      </c>
      <c r="E818" s="1" t="s">
        <v>45</v>
      </c>
      <c r="F818" s="1" t="s">
        <v>1712</v>
      </c>
      <c r="G818" s="1" t="s">
        <v>1986</v>
      </c>
      <c r="H818" s="1" t="s">
        <v>1987</v>
      </c>
      <c r="I818" s="1" t="s">
        <v>49</v>
      </c>
      <c r="J818" s="1" t="s">
        <v>48</v>
      </c>
      <c r="K818" s="1">
        <v>60</v>
      </c>
      <c r="L818" s="1">
        <v>0</v>
      </c>
      <c r="M818" s="1">
        <v>0</v>
      </c>
      <c r="N818" s="1">
        <v>60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 t="s">
        <v>49</v>
      </c>
      <c r="AA818" s="1" t="s">
        <v>49</v>
      </c>
      <c r="AB818" s="1" t="s">
        <v>49</v>
      </c>
      <c r="AC818" s="1" t="s">
        <v>1715</v>
      </c>
      <c r="AD818" s="1" t="s">
        <v>1716</v>
      </c>
      <c r="AE818" s="1" t="s">
        <v>1715</v>
      </c>
      <c r="AF818" s="1" t="s">
        <v>1717</v>
      </c>
      <c r="AG818" s="1" t="s">
        <v>53</v>
      </c>
      <c r="AH818" s="1" t="s">
        <v>49</v>
      </c>
      <c r="AI818" s="1" t="s">
        <v>54</v>
      </c>
      <c r="AJ818" s="1">
        <v>1</v>
      </c>
      <c r="AK818" s="1" t="str">
        <f t="shared" si="12"/>
        <v xml:space="preserve"> =&lt;90</v>
      </c>
      <c r="AL818" s="1" t="str">
        <f>VLOOKUP(C:C,[1]基础信息!B$1:D$65536,3,0)</f>
        <v>Jug</v>
      </c>
      <c r="AM818" s="1" t="str">
        <f>VLOOKUP(C:C,[1]基础信息!B$1:E$65536,4,0)</f>
        <v>Kalea XL ME4W</v>
      </c>
      <c r="AN818" s="1" t="str">
        <f>VLOOKUP(C:C,[1]基础信息!B$1:F$65536,5,0)</f>
        <v>grey</v>
      </c>
    </row>
    <row r="819" spans="1:40">
      <c r="A819" s="1" t="s">
        <v>41</v>
      </c>
      <c r="B819" s="1" t="s">
        <v>42</v>
      </c>
      <c r="C819" s="1" t="s">
        <v>451</v>
      </c>
      <c r="D819" s="1" t="s">
        <v>452</v>
      </c>
      <c r="E819" s="1" t="s">
        <v>45</v>
      </c>
      <c r="F819" s="1" t="s">
        <v>1988</v>
      </c>
      <c r="G819" s="1" t="s">
        <v>1989</v>
      </c>
      <c r="H819" s="1" t="s">
        <v>1990</v>
      </c>
      <c r="I819" s="1" t="s">
        <v>49</v>
      </c>
      <c r="J819" s="1" t="s">
        <v>48</v>
      </c>
      <c r="K819" s="1">
        <v>25</v>
      </c>
      <c r="L819" s="1">
        <v>0</v>
      </c>
      <c r="M819" s="1">
        <v>0</v>
      </c>
      <c r="N819" s="1">
        <v>25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 t="s">
        <v>49</v>
      </c>
      <c r="AA819" s="1" t="s">
        <v>49</v>
      </c>
      <c r="AB819" s="1" t="s">
        <v>49</v>
      </c>
      <c r="AC819" s="1" t="s">
        <v>1991</v>
      </c>
      <c r="AD819" s="1" t="s">
        <v>1992</v>
      </c>
      <c r="AE819" s="1" t="s">
        <v>1991</v>
      </c>
      <c r="AF819" s="1" t="s">
        <v>458</v>
      </c>
      <c r="AG819" s="1" t="s">
        <v>53</v>
      </c>
      <c r="AH819" s="1" t="s">
        <v>49</v>
      </c>
      <c r="AI819" s="1" t="s">
        <v>54</v>
      </c>
      <c r="AJ819" s="1">
        <v>1</v>
      </c>
      <c r="AK819" s="1" t="str">
        <f t="shared" si="12"/>
        <v xml:space="preserve"> =&lt;90</v>
      </c>
      <c r="AL819" s="1" t="str">
        <f>VLOOKUP(C:C,[1]基础信息!B$1:D$65536,3,0)</f>
        <v>UTS</v>
      </c>
      <c r="AM819" s="1" t="str">
        <f>VLOOKUP(C:C,[1]基础信息!B$1:E$65536,4,0)</f>
        <v>MyPure</v>
      </c>
      <c r="AN819" s="1" t="str">
        <f>VLOOKUP(C:C,[1]基础信息!B$1:F$65536,5,0)</f>
        <v>R8</v>
      </c>
    </row>
    <row r="820" spans="1:40">
      <c r="A820" s="1" t="s">
        <v>41</v>
      </c>
      <c r="B820" s="1" t="s">
        <v>42</v>
      </c>
      <c r="C820" s="1" t="s">
        <v>451</v>
      </c>
      <c r="D820" s="1" t="s">
        <v>452</v>
      </c>
      <c r="E820" s="1" t="s">
        <v>45</v>
      </c>
      <c r="F820" s="1" t="s">
        <v>1988</v>
      </c>
      <c r="G820" s="1" t="s">
        <v>1993</v>
      </c>
      <c r="H820" s="1" t="s">
        <v>1994</v>
      </c>
      <c r="I820" s="1" t="s">
        <v>49</v>
      </c>
      <c r="J820" s="1" t="s">
        <v>48</v>
      </c>
      <c r="K820" s="1">
        <v>25</v>
      </c>
      <c r="L820" s="1">
        <v>0</v>
      </c>
      <c r="M820" s="1">
        <v>0</v>
      </c>
      <c r="N820" s="1">
        <v>25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 t="s">
        <v>49</v>
      </c>
      <c r="AA820" s="1" t="s">
        <v>49</v>
      </c>
      <c r="AB820" s="1" t="s">
        <v>49</v>
      </c>
      <c r="AC820" s="1" t="s">
        <v>1991</v>
      </c>
      <c r="AD820" s="1" t="s">
        <v>1992</v>
      </c>
      <c r="AE820" s="1" t="s">
        <v>1991</v>
      </c>
      <c r="AF820" s="1" t="s">
        <v>458</v>
      </c>
      <c r="AG820" s="1" t="s">
        <v>53</v>
      </c>
      <c r="AH820" s="1" t="s">
        <v>49</v>
      </c>
      <c r="AI820" s="1" t="s">
        <v>54</v>
      </c>
      <c r="AJ820" s="1">
        <v>1</v>
      </c>
      <c r="AK820" s="1" t="str">
        <f t="shared" si="12"/>
        <v xml:space="preserve"> =&lt;90</v>
      </c>
      <c r="AL820" s="1" t="str">
        <f>VLOOKUP(C:C,[1]基础信息!B$1:D$65536,3,0)</f>
        <v>UTS</v>
      </c>
      <c r="AM820" s="1" t="str">
        <f>VLOOKUP(C:C,[1]基础信息!B$1:E$65536,4,0)</f>
        <v>MyPure</v>
      </c>
      <c r="AN820" s="1" t="str">
        <f>VLOOKUP(C:C,[1]基础信息!B$1:F$65536,5,0)</f>
        <v>R8</v>
      </c>
    </row>
    <row r="821" spans="1:40">
      <c r="A821" s="1" t="s">
        <v>41</v>
      </c>
      <c r="B821" s="1" t="s">
        <v>42</v>
      </c>
      <c r="C821" s="1" t="s">
        <v>969</v>
      </c>
      <c r="D821" s="1" t="s">
        <v>970</v>
      </c>
      <c r="E821" s="1" t="s">
        <v>45</v>
      </c>
      <c r="F821" s="1" t="s">
        <v>1926</v>
      </c>
      <c r="G821" s="1" t="s">
        <v>1995</v>
      </c>
      <c r="H821" s="1" t="s">
        <v>1996</v>
      </c>
      <c r="I821" s="1" t="s">
        <v>49</v>
      </c>
      <c r="J821" s="1" t="s">
        <v>48</v>
      </c>
      <c r="K821" s="1">
        <v>80</v>
      </c>
      <c r="L821" s="1">
        <v>0</v>
      </c>
      <c r="M821" s="1">
        <v>0</v>
      </c>
      <c r="N821" s="1">
        <v>80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 t="s">
        <v>49</v>
      </c>
      <c r="AA821" s="1" t="s">
        <v>49</v>
      </c>
      <c r="AB821" s="1" t="s">
        <v>49</v>
      </c>
      <c r="AC821" s="1" t="s">
        <v>128</v>
      </c>
      <c r="AD821" s="1" t="s">
        <v>129</v>
      </c>
      <c r="AE821" s="1" t="s">
        <v>128</v>
      </c>
      <c r="AF821" s="1" t="s">
        <v>1929</v>
      </c>
      <c r="AG821" s="1" t="s">
        <v>53</v>
      </c>
      <c r="AH821" s="1" t="s">
        <v>49</v>
      </c>
      <c r="AI821" s="1" t="s">
        <v>54</v>
      </c>
      <c r="AJ821" s="1">
        <v>1</v>
      </c>
      <c r="AK821" s="1" t="str">
        <f t="shared" si="12"/>
        <v xml:space="preserve"> =&lt;90</v>
      </c>
      <c r="AL821" s="1" t="str">
        <f>VLOOKUP(C:C,[1]基础信息!B$1:D$65536,3,0)</f>
        <v>Jug</v>
      </c>
      <c r="AM821" s="1" t="str">
        <f>VLOOKUP(C:C,[1]基础信息!B$1:E$65536,4,0)</f>
        <v>Mxplus</v>
      </c>
      <c r="AN821" s="1" t="str">
        <f>VLOOKUP(C:C,[1]基础信息!B$1:F$65536,5,0)</f>
        <v xml:space="preserve"> blue</v>
      </c>
    </row>
    <row r="822" spans="1:40">
      <c r="A822" s="1" t="s">
        <v>41</v>
      </c>
      <c r="B822" s="1" t="s">
        <v>42</v>
      </c>
      <c r="C822" s="1" t="s">
        <v>285</v>
      </c>
      <c r="D822" s="1" t="s">
        <v>286</v>
      </c>
      <c r="E822" s="1" t="s">
        <v>45</v>
      </c>
      <c r="F822" s="1" t="s">
        <v>1997</v>
      </c>
      <c r="G822" s="1" t="s">
        <v>1998</v>
      </c>
      <c r="H822" s="1" t="s">
        <v>1999</v>
      </c>
      <c r="I822" s="1" t="s">
        <v>49</v>
      </c>
      <c r="J822" s="1" t="s">
        <v>48</v>
      </c>
      <c r="K822" s="1">
        <v>70</v>
      </c>
      <c r="L822" s="1">
        <v>0</v>
      </c>
      <c r="M822" s="1">
        <v>0</v>
      </c>
      <c r="N822" s="1">
        <v>70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 t="s">
        <v>49</v>
      </c>
      <c r="AA822" s="1" t="s">
        <v>49</v>
      </c>
      <c r="AB822" s="1" t="s">
        <v>49</v>
      </c>
      <c r="AC822" s="1" t="s">
        <v>2000</v>
      </c>
      <c r="AD822" s="1" t="s">
        <v>2001</v>
      </c>
      <c r="AE822" s="1" t="s">
        <v>2000</v>
      </c>
      <c r="AF822" s="1" t="s">
        <v>292</v>
      </c>
      <c r="AG822" s="1" t="s">
        <v>53</v>
      </c>
      <c r="AH822" s="1" t="s">
        <v>49</v>
      </c>
      <c r="AI822" s="1" t="s">
        <v>54</v>
      </c>
      <c r="AJ822" s="1">
        <v>1</v>
      </c>
      <c r="AK822" s="1" t="str">
        <f t="shared" si="12"/>
        <v xml:space="preserve"> =&lt;90</v>
      </c>
      <c r="AL822" s="1" t="str">
        <f>VLOOKUP(C:C,[1]基础信息!B$1:D$65536,3,0)</f>
        <v>Jug</v>
      </c>
      <c r="AM822" s="1" t="str">
        <f>VLOOKUP(C:C,[1]基础信息!B$1:E$65536,4,0)</f>
        <v>Marella XL</v>
      </c>
      <c r="AN822" s="1" t="str">
        <f>VLOOKUP(C:C,[1]基础信息!B$1:F$65536,5,0)</f>
        <v>Blue</v>
      </c>
    </row>
    <row r="823" spans="1:40">
      <c r="A823" s="1" t="s">
        <v>41</v>
      </c>
      <c r="B823" s="1" t="s">
        <v>42</v>
      </c>
      <c r="C823" s="1" t="s">
        <v>341</v>
      </c>
      <c r="D823" s="1" t="s">
        <v>342</v>
      </c>
      <c r="E823" s="1" t="s">
        <v>45</v>
      </c>
      <c r="F823" s="1" t="s">
        <v>343</v>
      </c>
      <c r="G823" s="1" t="s">
        <v>2002</v>
      </c>
      <c r="H823" s="1" t="s">
        <v>2003</v>
      </c>
      <c r="I823" s="1" t="s">
        <v>49</v>
      </c>
      <c r="J823" s="1" t="s">
        <v>48</v>
      </c>
      <c r="K823" s="1">
        <v>70</v>
      </c>
      <c r="L823" s="1">
        <v>0</v>
      </c>
      <c r="M823" s="1">
        <v>0</v>
      </c>
      <c r="N823" s="1">
        <v>70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 t="s">
        <v>49</v>
      </c>
      <c r="AA823" s="1" t="s">
        <v>49</v>
      </c>
      <c r="AB823" s="1" t="s">
        <v>49</v>
      </c>
      <c r="AC823" s="1" t="s">
        <v>346</v>
      </c>
      <c r="AD823" s="1" t="s">
        <v>347</v>
      </c>
      <c r="AE823" s="1" t="s">
        <v>346</v>
      </c>
      <c r="AF823" s="1" t="s">
        <v>348</v>
      </c>
      <c r="AG823" s="1" t="s">
        <v>338</v>
      </c>
      <c r="AH823" s="1" t="s">
        <v>49</v>
      </c>
      <c r="AI823" s="1" t="s">
        <v>54</v>
      </c>
      <c r="AJ823" s="1">
        <v>1</v>
      </c>
      <c r="AK823" s="1" t="str">
        <f t="shared" si="12"/>
        <v xml:space="preserve"> =&lt;90</v>
      </c>
      <c r="AL823" s="1" t="str">
        <f>VLOOKUP(C:C,[1]基础信息!B$1:D$65536,3,0)</f>
        <v>Jug</v>
      </c>
      <c r="AM823" s="1" t="str">
        <f>VLOOKUP(C:C,[1]基础信息!B$1:E$65536,4,0)</f>
        <v>Marella</v>
      </c>
      <c r="AN823" s="1" t="str">
        <f>VLOOKUP(C:C,[1]基础信息!B$1:F$65536,5,0)</f>
        <v>Blue Glitter</v>
      </c>
    </row>
    <row r="824" spans="1:40">
      <c r="A824" s="1" t="s">
        <v>41</v>
      </c>
      <c r="B824" s="1" t="s">
        <v>42</v>
      </c>
      <c r="C824" s="1" t="s">
        <v>2004</v>
      </c>
      <c r="D824" s="1" t="s">
        <v>2005</v>
      </c>
      <c r="E824" s="1" t="s">
        <v>2004</v>
      </c>
      <c r="F824" s="1" t="s">
        <v>2006</v>
      </c>
      <c r="G824" s="1" t="s">
        <v>2007</v>
      </c>
      <c r="H824" s="1" t="s">
        <v>2008</v>
      </c>
      <c r="I824" s="1" t="s">
        <v>49</v>
      </c>
      <c r="J824" s="1" t="s">
        <v>48</v>
      </c>
      <c r="K824" s="1">
        <v>63</v>
      </c>
      <c r="L824" s="1">
        <v>0</v>
      </c>
      <c r="M824" s="1">
        <v>0</v>
      </c>
      <c r="N824" s="1">
        <v>63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 t="s">
        <v>49</v>
      </c>
      <c r="AA824" s="1" t="s">
        <v>49</v>
      </c>
      <c r="AB824" s="1" t="s">
        <v>49</v>
      </c>
      <c r="AC824" s="1" t="s">
        <v>1377</v>
      </c>
      <c r="AD824" s="1" t="s">
        <v>1378</v>
      </c>
      <c r="AE824" s="1" t="s">
        <v>1377</v>
      </c>
      <c r="AF824" s="1" t="s">
        <v>422</v>
      </c>
      <c r="AG824" s="1" t="s">
        <v>53</v>
      </c>
      <c r="AH824" s="1" t="s">
        <v>49</v>
      </c>
      <c r="AI824" s="1" t="s">
        <v>54</v>
      </c>
      <c r="AJ824" s="1">
        <v>1</v>
      </c>
      <c r="AK824" s="1" t="str">
        <f t="shared" si="12"/>
        <v xml:space="preserve"> =&lt;90</v>
      </c>
      <c r="AL824" s="1" t="str">
        <f>VLOOKUP(C:C,[1]基础信息!B$1:D$65536,3,0)</f>
        <v>Jug</v>
      </c>
      <c r="AM824" s="1" t="str">
        <f>VLOOKUP(C:C,[1]基础信息!B$1:E$65536,4,0)</f>
        <v>Marella XL</v>
      </c>
      <c r="AN824" s="1" t="str">
        <f>VLOOKUP(C:C,[1]基础信息!B$1:F$65536,5,0)</f>
        <v>Mxplus</v>
      </c>
    </row>
    <row r="825" spans="1:40">
      <c r="A825" s="1" t="s">
        <v>41</v>
      </c>
      <c r="B825" s="1" t="s">
        <v>42</v>
      </c>
      <c r="C825" s="1" t="s">
        <v>969</v>
      </c>
      <c r="D825" s="1" t="s">
        <v>970</v>
      </c>
      <c r="E825" s="1" t="s">
        <v>45</v>
      </c>
      <c r="F825" s="1" t="s">
        <v>1926</v>
      </c>
      <c r="G825" s="1" t="s">
        <v>2009</v>
      </c>
      <c r="H825" s="1" t="s">
        <v>2010</v>
      </c>
      <c r="I825" s="1" t="s">
        <v>49</v>
      </c>
      <c r="J825" s="1" t="s">
        <v>48</v>
      </c>
      <c r="K825" s="1">
        <v>80</v>
      </c>
      <c r="L825" s="1">
        <v>0</v>
      </c>
      <c r="M825" s="1">
        <v>0</v>
      </c>
      <c r="N825" s="1">
        <v>80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 t="s">
        <v>49</v>
      </c>
      <c r="AA825" s="1" t="s">
        <v>49</v>
      </c>
      <c r="AB825" s="1" t="s">
        <v>49</v>
      </c>
      <c r="AC825" s="1" t="s">
        <v>128</v>
      </c>
      <c r="AD825" s="1" t="s">
        <v>129</v>
      </c>
      <c r="AE825" s="1" t="s">
        <v>128</v>
      </c>
      <c r="AF825" s="1" t="s">
        <v>1929</v>
      </c>
      <c r="AG825" s="1" t="s">
        <v>53</v>
      </c>
      <c r="AH825" s="1" t="s">
        <v>49</v>
      </c>
      <c r="AI825" s="1" t="s">
        <v>54</v>
      </c>
      <c r="AJ825" s="1">
        <v>1</v>
      </c>
      <c r="AK825" s="1" t="str">
        <f t="shared" si="12"/>
        <v xml:space="preserve"> =&lt;90</v>
      </c>
      <c r="AL825" s="1" t="str">
        <f>VLOOKUP(C:C,[1]基础信息!B$1:D$65536,3,0)</f>
        <v>Jug</v>
      </c>
      <c r="AM825" s="1" t="str">
        <f>VLOOKUP(C:C,[1]基础信息!B$1:E$65536,4,0)</f>
        <v>Mxplus</v>
      </c>
      <c r="AN825" s="1" t="str">
        <f>VLOOKUP(C:C,[1]基础信息!B$1:F$65536,5,0)</f>
        <v xml:space="preserve"> blue</v>
      </c>
    </row>
    <row r="826" spans="1:40">
      <c r="A826" s="1" t="s">
        <v>41</v>
      </c>
      <c r="B826" s="1" t="s">
        <v>42</v>
      </c>
      <c r="C826" s="1" t="s">
        <v>2004</v>
      </c>
      <c r="D826" s="1" t="s">
        <v>2005</v>
      </c>
      <c r="E826" s="1" t="s">
        <v>2004</v>
      </c>
      <c r="F826" s="1" t="s">
        <v>2006</v>
      </c>
      <c r="G826" s="1" t="s">
        <v>2011</v>
      </c>
      <c r="H826" s="1" t="s">
        <v>2012</v>
      </c>
      <c r="I826" s="1" t="s">
        <v>49</v>
      </c>
      <c r="J826" s="1" t="s">
        <v>48</v>
      </c>
      <c r="K826" s="1">
        <v>96</v>
      </c>
      <c r="L826" s="1">
        <v>0</v>
      </c>
      <c r="M826" s="1">
        <v>0</v>
      </c>
      <c r="N826" s="1">
        <v>96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 t="s">
        <v>49</v>
      </c>
      <c r="AA826" s="1" t="s">
        <v>49</v>
      </c>
      <c r="AB826" s="1" t="s">
        <v>49</v>
      </c>
      <c r="AC826" s="1" t="s">
        <v>1377</v>
      </c>
      <c r="AD826" s="1" t="s">
        <v>1378</v>
      </c>
      <c r="AE826" s="1" t="s">
        <v>1377</v>
      </c>
      <c r="AF826" s="1" t="s">
        <v>422</v>
      </c>
      <c r="AG826" s="1" t="s">
        <v>53</v>
      </c>
      <c r="AH826" s="1" t="s">
        <v>49</v>
      </c>
      <c r="AI826" s="1" t="s">
        <v>54</v>
      </c>
      <c r="AJ826" s="1">
        <v>1</v>
      </c>
      <c r="AK826" s="1" t="str">
        <f t="shared" si="12"/>
        <v xml:space="preserve"> =&lt;90</v>
      </c>
      <c r="AL826" s="1" t="str">
        <f>VLOOKUP(C:C,[1]基础信息!B$1:D$65536,3,0)</f>
        <v>Jug</v>
      </c>
      <c r="AM826" s="1" t="str">
        <f>VLOOKUP(C:C,[1]基础信息!B$1:E$65536,4,0)</f>
        <v>Marella XL</v>
      </c>
      <c r="AN826" s="1" t="str">
        <f>VLOOKUP(C:C,[1]基础信息!B$1:F$65536,5,0)</f>
        <v>Mxplus</v>
      </c>
    </row>
    <row r="827" spans="1:40">
      <c r="A827" s="1" t="s">
        <v>41</v>
      </c>
      <c r="B827" s="1" t="s">
        <v>42</v>
      </c>
      <c r="C827" s="1" t="s">
        <v>83</v>
      </c>
      <c r="D827" s="1" t="s">
        <v>84</v>
      </c>
      <c r="E827" s="1" t="s">
        <v>45</v>
      </c>
      <c r="F827" s="1" t="s">
        <v>349</v>
      </c>
      <c r="G827" s="1" t="s">
        <v>2013</v>
      </c>
      <c r="H827" s="1" t="s">
        <v>2014</v>
      </c>
      <c r="I827" s="1" t="s">
        <v>49</v>
      </c>
      <c r="J827" s="1" t="s">
        <v>48</v>
      </c>
      <c r="K827" s="1">
        <v>96</v>
      </c>
      <c r="L827" s="1">
        <v>0</v>
      </c>
      <c r="M827" s="1">
        <v>0</v>
      </c>
      <c r="N827" s="1">
        <v>96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 t="s">
        <v>49</v>
      </c>
      <c r="AA827" s="1" t="s">
        <v>49</v>
      </c>
      <c r="AB827" s="1" t="s">
        <v>49</v>
      </c>
      <c r="AC827" s="1" t="s">
        <v>88</v>
      </c>
      <c r="AD827" s="1" t="s">
        <v>89</v>
      </c>
      <c r="AE827" s="1" t="s">
        <v>88</v>
      </c>
      <c r="AF827" s="1" t="s">
        <v>352</v>
      </c>
      <c r="AG827" s="1" t="s">
        <v>53</v>
      </c>
      <c r="AH827" s="1" t="s">
        <v>49</v>
      </c>
      <c r="AI827" s="1" t="s">
        <v>54</v>
      </c>
      <c r="AJ827" s="1">
        <v>1</v>
      </c>
      <c r="AK827" s="1" t="str">
        <f t="shared" si="12"/>
        <v xml:space="preserve"> =&lt;90</v>
      </c>
      <c r="AL827" s="1" t="str">
        <f>VLOOKUP(C:C,[1]基础信息!B$1:D$65536,3,0)</f>
        <v>Jug</v>
      </c>
      <c r="AM827" s="1" t="str">
        <f>VLOOKUP(C:C,[1]基础信息!B$1:E$65536,4,0)</f>
        <v>Mxplus</v>
      </c>
      <c r="AN827" s="1" t="str">
        <f>VLOOKUP(C:C,[1]基础信息!B$1:F$65536,5,0)</f>
        <v>Blue</v>
      </c>
    </row>
    <row r="828" spans="1:40">
      <c r="A828" s="1" t="s">
        <v>41</v>
      </c>
      <c r="B828" s="1" t="s">
        <v>42</v>
      </c>
      <c r="C828" s="1" t="s">
        <v>1710</v>
      </c>
      <c r="D828" s="1" t="s">
        <v>1711</v>
      </c>
      <c r="E828" s="1" t="s">
        <v>45</v>
      </c>
      <c r="F828" s="1" t="s">
        <v>1712</v>
      </c>
      <c r="G828" s="1" t="s">
        <v>2015</v>
      </c>
      <c r="H828" s="1" t="s">
        <v>2016</v>
      </c>
      <c r="I828" s="1" t="s">
        <v>49</v>
      </c>
      <c r="J828" s="1" t="s">
        <v>48</v>
      </c>
      <c r="K828" s="1">
        <v>60</v>
      </c>
      <c r="L828" s="1">
        <v>0</v>
      </c>
      <c r="M828" s="1">
        <v>0</v>
      </c>
      <c r="N828" s="1">
        <v>60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 t="s">
        <v>49</v>
      </c>
      <c r="AA828" s="1" t="s">
        <v>49</v>
      </c>
      <c r="AB828" s="1" t="s">
        <v>49</v>
      </c>
      <c r="AC828" s="1" t="s">
        <v>1715</v>
      </c>
      <c r="AD828" s="1" t="s">
        <v>1716</v>
      </c>
      <c r="AE828" s="1" t="s">
        <v>1715</v>
      </c>
      <c r="AF828" s="1" t="s">
        <v>1717</v>
      </c>
      <c r="AG828" s="1" t="s">
        <v>53</v>
      </c>
      <c r="AH828" s="1" t="s">
        <v>49</v>
      </c>
      <c r="AI828" s="1" t="s">
        <v>54</v>
      </c>
      <c r="AJ828" s="1">
        <v>1</v>
      </c>
      <c r="AK828" s="1" t="str">
        <f t="shared" si="12"/>
        <v xml:space="preserve"> =&lt;90</v>
      </c>
      <c r="AL828" s="1" t="str">
        <f>VLOOKUP(C:C,[1]基础信息!B$1:D$65536,3,0)</f>
        <v>Jug</v>
      </c>
      <c r="AM828" s="1" t="str">
        <f>VLOOKUP(C:C,[1]基础信息!B$1:E$65536,4,0)</f>
        <v>Kalea XL ME4W</v>
      </c>
      <c r="AN828" s="1" t="str">
        <f>VLOOKUP(C:C,[1]基础信息!B$1:F$65536,5,0)</f>
        <v>grey</v>
      </c>
    </row>
    <row r="829" spans="1:40">
      <c r="A829" s="1" t="s">
        <v>41</v>
      </c>
      <c r="B829" s="1" t="s">
        <v>42</v>
      </c>
      <c r="C829" s="1" t="s">
        <v>417</v>
      </c>
      <c r="D829" s="1" t="s">
        <v>418</v>
      </c>
      <c r="E829" s="1" t="s">
        <v>45</v>
      </c>
      <c r="F829" s="1" t="s">
        <v>1126</v>
      </c>
      <c r="G829" s="1" t="s">
        <v>2017</v>
      </c>
      <c r="H829" s="1" t="s">
        <v>2018</v>
      </c>
      <c r="I829" s="1" t="s">
        <v>49</v>
      </c>
      <c r="J829" s="1" t="s">
        <v>48</v>
      </c>
      <c r="K829" s="1">
        <v>96</v>
      </c>
      <c r="L829" s="1">
        <v>0</v>
      </c>
      <c r="M829" s="1">
        <v>0</v>
      </c>
      <c r="N829" s="1">
        <v>96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 t="s">
        <v>49</v>
      </c>
      <c r="AA829" s="1" t="s">
        <v>49</v>
      </c>
      <c r="AB829" s="1" t="s">
        <v>49</v>
      </c>
      <c r="AC829" s="1" t="s">
        <v>938</v>
      </c>
      <c r="AD829" s="1" t="s">
        <v>939</v>
      </c>
      <c r="AE829" s="1" t="s">
        <v>938</v>
      </c>
      <c r="AF829" s="1" t="s">
        <v>940</v>
      </c>
      <c r="AG829" s="1" t="s">
        <v>53</v>
      </c>
      <c r="AH829" s="1" t="s">
        <v>49</v>
      </c>
      <c r="AI829" s="1" t="s">
        <v>54</v>
      </c>
      <c r="AJ829" s="1">
        <v>1</v>
      </c>
      <c r="AK829" s="1" t="str">
        <f t="shared" si="12"/>
        <v xml:space="preserve"> =&lt;90</v>
      </c>
      <c r="AL829" s="1" t="str">
        <f>VLOOKUP(C:C,[1]基础信息!B$1:D$65536,3,0)</f>
        <v>Jug</v>
      </c>
      <c r="AM829" s="1" t="str">
        <f>VLOOKUP(C:C,[1]基础信息!B$1:E$65536,4,0)</f>
        <v>Marella XL</v>
      </c>
      <c r="AN829" s="1" t="str">
        <f>VLOOKUP(C:C,[1]基础信息!B$1:F$65536,5,0)</f>
        <v>Silver</v>
      </c>
    </row>
    <row r="830" spans="1:40">
      <c r="A830" s="1" t="s">
        <v>41</v>
      </c>
      <c r="B830" s="1" t="s">
        <v>42</v>
      </c>
      <c r="C830" s="1" t="s">
        <v>43</v>
      </c>
      <c r="D830" s="1" t="s">
        <v>44</v>
      </c>
      <c r="E830" s="1" t="s">
        <v>45</v>
      </c>
      <c r="F830" s="1" t="s">
        <v>2019</v>
      </c>
      <c r="G830" s="1" t="s">
        <v>2020</v>
      </c>
      <c r="H830" s="1" t="s">
        <v>2021</v>
      </c>
      <c r="I830" s="1" t="s">
        <v>49</v>
      </c>
      <c r="J830" s="1" t="s">
        <v>48</v>
      </c>
      <c r="K830" s="1">
        <v>96</v>
      </c>
      <c r="L830" s="1">
        <v>47</v>
      </c>
      <c r="M830" s="1">
        <v>0</v>
      </c>
      <c r="N830" s="1">
        <v>49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 t="s">
        <v>49</v>
      </c>
      <c r="AA830" s="1" t="s">
        <v>49</v>
      </c>
      <c r="AB830" s="1" t="s">
        <v>49</v>
      </c>
      <c r="AC830" s="1" t="s">
        <v>2022</v>
      </c>
      <c r="AD830" s="1" t="s">
        <v>2023</v>
      </c>
      <c r="AE830" s="1" t="s">
        <v>2022</v>
      </c>
      <c r="AF830" s="1" t="s">
        <v>2024</v>
      </c>
      <c r="AG830" s="1" t="s">
        <v>53</v>
      </c>
      <c r="AH830" s="1" t="s">
        <v>49</v>
      </c>
      <c r="AI830" s="1" t="s">
        <v>54</v>
      </c>
      <c r="AJ830" s="1">
        <v>1</v>
      </c>
      <c r="AK830" s="1" t="str">
        <f t="shared" si="12"/>
        <v xml:space="preserve"> =&lt;90</v>
      </c>
      <c r="AL830" s="1" t="str">
        <f>VLOOKUP(C:C,[1]基础信息!B$1:D$65536,3,0)</f>
        <v>Jug</v>
      </c>
      <c r="AM830" s="1" t="str">
        <f>VLOOKUP(C:C,[1]基础信息!B$1:E$65536,4,0)</f>
        <v>Marella XL</v>
      </c>
      <c r="AN830" s="1" t="str">
        <f>VLOOKUP(C:C,[1]基础信息!B$1:F$65536,5,0)</f>
        <v>Black</v>
      </c>
    </row>
    <row r="831" spans="1:40">
      <c r="A831" s="1" t="s">
        <v>41</v>
      </c>
      <c r="B831" s="1" t="s">
        <v>42</v>
      </c>
      <c r="C831" s="1" t="s">
        <v>1710</v>
      </c>
      <c r="D831" s="1" t="s">
        <v>1711</v>
      </c>
      <c r="E831" s="1" t="s">
        <v>45</v>
      </c>
      <c r="F831" s="1" t="s">
        <v>1712</v>
      </c>
      <c r="G831" s="1" t="s">
        <v>2025</v>
      </c>
      <c r="H831" s="1" t="s">
        <v>2026</v>
      </c>
      <c r="I831" s="1" t="s">
        <v>49</v>
      </c>
      <c r="J831" s="1" t="s">
        <v>48</v>
      </c>
      <c r="K831" s="1">
        <v>60</v>
      </c>
      <c r="L831" s="1">
        <v>0</v>
      </c>
      <c r="M831" s="1">
        <v>0</v>
      </c>
      <c r="N831" s="1">
        <v>60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 t="s">
        <v>49</v>
      </c>
      <c r="AA831" s="1" t="s">
        <v>49</v>
      </c>
      <c r="AB831" s="1" t="s">
        <v>49</v>
      </c>
      <c r="AC831" s="1" t="s">
        <v>1715</v>
      </c>
      <c r="AD831" s="1" t="s">
        <v>1716</v>
      </c>
      <c r="AE831" s="1" t="s">
        <v>1715</v>
      </c>
      <c r="AF831" s="1" t="s">
        <v>1717</v>
      </c>
      <c r="AG831" s="1" t="s">
        <v>53</v>
      </c>
      <c r="AH831" s="1" t="s">
        <v>49</v>
      </c>
      <c r="AI831" s="1" t="s">
        <v>54</v>
      </c>
      <c r="AJ831" s="1">
        <v>1</v>
      </c>
      <c r="AK831" s="1" t="str">
        <f t="shared" si="12"/>
        <v xml:space="preserve"> =&lt;90</v>
      </c>
      <c r="AL831" s="1" t="str">
        <f>VLOOKUP(C:C,[1]基础信息!B$1:D$65536,3,0)</f>
        <v>Jug</v>
      </c>
      <c r="AM831" s="1" t="str">
        <f>VLOOKUP(C:C,[1]基础信息!B$1:E$65536,4,0)</f>
        <v>Kalea XL ME4W</v>
      </c>
      <c r="AN831" s="1" t="str">
        <f>VLOOKUP(C:C,[1]基础信息!B$1:F$65536,5,0)</f>
        <v>grey</v>
      </c>
    </row>
    <row r="832" spans="1:40">
      <c r="A832" s="1" t="s">
        <v>41</v>
      </c>
      <c r="B832" s="1" t="s">
        <v>42</v>
      </c>
      <c r="C832" s="1" t="s">
        <v>417</v>
      </c>
      <c r="D832" s="1" t="s">
        <v>418</v>
      </c>
      <c r="E832" s="1" t="s">
        <v>45</v>
      </c>
      <c r="F832" s="1" t="s">
        <v>1126</v>
      </c>
      <c r="G832" s="1" t="s">
        <v>2027</v>
      </c>
      <c r="H832" s="1" t="s">
        <v>2028</v>
      </c>
      <c r="I832" s="1" t="s">
        <v>49</v>
      </c>
      <c r="J832" s="1" t="s">
        <v>48</v>
      </c>
      <c r="K832" s="1">
        <v>96</v>
      </c>
      <c r="L832" s="1">
        <v>0</v>
      </c>
      <c r="M832" s="1">
        <v>0</v>
      </c>
      <c r="N832" s="1">
        <v>96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 t="s">
        <v>49</v>
      </c>
      <c r="AA832" s="1" t="s">
        <v>49</v>
      </c>
      <c r="AB832" s="1" t="s">
        <v>49</v>
      </c>
      <c r="AC832" s="1" t="s">
        <v>938</v>
      </c>
      <c r="AD832" s="1" t="s">
        <v>939</v>
      </c>
      <c r="AE832" s="1" t="s">
        <v>938</v>
      </c>
      <c r="AF832" s="1" t="s">
        <v>940</v>
      </c>
      <c r="AG832" s="1" t="s">
        <v>53</v>
      </c>
      <c r="AH832" s="1" t="s">
        <v>49</v>
      </c>
      <c r="AI832" s="1" t="s">
        <v>54</v>
      </c>
      <c r="AJ832" s="1">
        <v>1</v>
      </c>
      <c r="AK832" s="1" t="str">
        <f t="shared" si="12"/>
        <v xml:space="preserve"> =&lt;90</v>
      </c>
      <c r="AL832" s="1" t="str">
        <f>VLOOKUP(C:C,[1]基础信息!B$1:D$65536,3,0)</f>
        <v>Jug</v>
      </c>
      <c r="AM832" s="1" t="str">
        <f>VLOOKUP(C:C,[1]基础信息!B$1:E$65536,4,0)</f>
        <v>Marella XL</v>
      </c>
      <c r="AN832" s="1" t="str">
        <f>VLOOKUP(C:C,[1]基础信息!B$1:F$65536,5,0)</f>
        <v>Silver</v>
      </c>
    </row>
    <row r="833" spans="1:40">
      <c r="A833" s="1" t="s">
        <v>41</v>
      </c>
      <c r="B833" s="1" t="s">
        <v>42</v>
      </c>
      <c r="C833" s="1" t="s">
        <v>417</v>
      </c>
      <c r="D833" s="1" t="s">
        <v>418</v>
      </c>
      <c r="E833" s="1" t="s">
        <v>45</v>
      </c>
      <c r="F833" s="1" t="s">
        <v>1126</v>
      </c>
      <c r="G833" s="1" t="s">
        <v>2029</v>
      </c>
      <c r="H833" s="1" t="s">
        <v>2030</v>
      </c>
      <c r="I833" s="1" t="s">
        <v>49</v>
      </c>
      <c r="J833" s="1" t="s">
        <v>48</v>
      </c>
      <c r="K833" s="1">
        <v>96</v>
      </c>
      <c r="L833" s="1">
        <v>0</v>
      </c>
      <c r="M833" s="1">
        <v>0</v>
      </c>
      <c r="N833" s="1">
        <v>96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 t="s">
        <v>49</v>
      </c>
      <c r="AA833" s="1" t="s">
        <v>49</v>
      </c>
      <c r="AB833" s="1" t="s">
        <v>49</v>
      </c>
      <c r="AC833" s="1" t="s">
        <v>938</v>
      </c>
      <c r="AD833" s="1" t="s">
        <v>939</v>
      </c>
      <c r="AE833" s="1" t="s">
        <v>938</v>
      </c>
      <c r="AF833" s="1" t="s">
        <v>940</v>
      </c>
      <c r="AG833" s="1" t="s">
        <v>53</v>
      </c>
      <c r="AH833" s="1" t="s">
        <v>49</v>
      </c>
      <c r="AI833" s="1" t="s">
        <v>54</v>
      </c>
      <c r="AJ833" s="1">
        <v>1</v>
      </c>
      <c r="AK833" s="1" t="str">
        <f t="shared" si="12"/>
        <v xml:space="preserve"> =&lt;90</v>
      </c>
      <c r="AL833" s="1" t="str">
        <f>VLOOKUP(C:C,[1]基础信息!B$1:D$65536,3,0)</f>
        <v>Jug</v>
      </c>
      <c r="AM833" s="1" t="str">
        <f>VLOOKUP(C:C,[1]基础信息!B$1:E$65536,4,0)</f>
        <v>Marella XL</v>
      </c>
      <c r="AN833" s="1" t="str">
        <f>VLOOKUP(C:C,[1]基础信息!B$1:F$65536,5,0)</f>
        <v>Silver</v>
      </c>
    </row>
    <row r="834" spans="1:40">
      <c r="A834" s="1" t="s">
        <v>41</v>
      </c>
      <c r="B834" s="1" t="s">
        <v>42</v>
      </c>
      <c r="C834" s="1" t="s">
        <v>417</v>
      </c>
      <c r="D834" s="1" t="s">
        <v>418</v>
      </c>
      <c r="E834" s="1" t="s">
        <v>45</v>
      </c>
      <c r="F834" s="1" t="s">
        <v>1126</v>
      </c>
      <c r="G834" s="1" t="s">
        <v>2031</v>
      </c>
      <c r="H834" s="1" t="s">
        <v>2032</v>
      </c>
      <c r="I834" s="1" t="s">
        <v>49</v>
      </c>
      <c r="J834" s="1" t="s">
        <v>48</v>
      </c>
      <c r="K834" s="1">
        <v>96</v>
      </c>
      <c r="L834" s="1">
        <v>0</v>
      </c>
      <c r="M834" s="1">
        <v>0</v>
      </c>
      <c r="N834" s="1">
        <v>96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 t="s">
        <v>49</v>
      </c>
      <c r="AA834" s="1" t="s">
        <v>49</v>
      </c>
      <c r="AB834" s="1" t="s">
        <v>49</v>
      </c>
      <c r="AC834" s="1" t="s">
        <v>938</v>
      </c>
      <c r="AD834" s="1" t="s">
        <v>939</v>
      </c>
      <c r="AE834" s="1" t="s">
        <v>938</v>
      </c>
      <c r="AF834" s="1" t="s">
        <v>940</v>
      </c>
      <c r="AG834" s="1" t="s">
        <v>53</v>
      </c>
      <c r="AH834" s="1" t="s">
        <v>49</v>
      </c>
      <c r="AI834" s="1" t="s">
        <v>54</v>
      </c>
      <c r="AJ834" s="1">
        <v>1</v>
      </c>
      <c r="AK834" s="1" t="str">
        <f t="shared" ref="AK834:AK897" si="13">IF(AJ834&gt;$AP$2,$AQ$2,IF(AJ834&gt;$AP$3,$AQ$3,IF(AJ834&gt;$AP$4,$AQ$4,$AQ$5)))</f>
        <v xml:space="preserve"> =&lt;90</v>
      </c>
      <c r="AL834" s="1" t="str">
        <f>VLOOKUP(C:C,[1]基础信息!B$1:D$65536,3,0)</f>
        <v>Jug</v>
      </c>
      <c r="AM834" s="1" t="str">
        <f>VLOOKUP(C:C,[1]基础信息!B$1:E$65536,4,0)</f>
        <v>Marella XL</v>
      </c>
      <c r="AN834" s="1" t="str">
        <f>VLOOKUP(C:C,[1]基础信息!B$1:F$65536,5,0)</f>
        <v>Silver</v>
      </c>
    </row>
    <row r="835" spans="1:40">
      <c r="A835" s="1" t="s">
        <v>41</v>
      </c>
      <c r="B835" s="1" t="s">
        <v>42</v>
      </c>
      <c r="C835" s="1" t="s">
        <v>417</v>
      </c>
      <c r="D835" s="1" t="s">
        <v>418</v>
      </c>
      <c r="E835" s="1" t="s">
        <v>45</v>
      </c>
      <c r="F835" s="1" t="s">
        <v>1126</v>
      </c>
      <c r="G835" s="1" t="s">
        <v>2033</v>
      </c>
      <c r="H835" s="1" t="s">
        <v>2034</v>
      </c>
      <c r="I835" s="1" t="s">
        <v>49</v>
      </c>
      <c r="J835" s="1" t="s">
        <v>48</v>
      </c>
      <c r="K835" s="1">
        <v>96</v>
      </c>
      <c r="L835" s="1">
        <v>0</v>
      </c>
      <c r="M835" s="1">
        <v>0</v>
      </c>
      <c r="N835" s="1">
        <v>96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 t="s">
        <v>49</v>
      </c>
      <c r="AA835" s="1" t="s">
        <v>49</v>
      </c>
      <c r="AB835" s="1" t="s">
        <v>49</v>
      </c>
      <c r="AC835" s="1" t="s">
        <v>938</v>
      </c>
      <c r="AD835" s="1" t="s">
        <v>939</v>
      </c>
      <c r="AE835" s="1" t="s">
        <v>938</v>
      </c>
      <c r="AF835" s="1" t="s">
        <v>940</v>
      </c>
      <c r="AG835" s="1" t="s">
        <v>53</v>
      </c>
      <c r="AH835" s="1" t="s">
        <v>49</v>
      </c>
      <c r="AI835" s="1" t="s">
        <v>54</v>
      </c>
      <c r="AJ835" s="1">
        <v>1</v>
      </c>
      <c r="AK835" s="1" t="str">
        <f t="shared" si="13"/>
        <v xml:space="preserve"> =&lt;90</v>
      </c>
      <c r="AL835" s="1" t="str">
        <f>VLOOKUP(C:C,[1]基础信息!B$1:D$65536,3,0)</f>
        <v>Jug</v>
      </c>
      <c r="AM835" s="1" t="str">
        <f>VLOOKUP(C:C,[1]基础信息!B$1:E$65536,4,0)</f>
        <v>Marella XL</v>
      </c>
      <c r="AN835" s="1" t="str">
        <f>VLOOKUP(C:C,[1]基础信息!B$1:F$65536,5,0)</f>
        <v>Silver</v>
      </c>
    </row>
    <row r="836" spans="1:40">
      <c r="A836" s="1" t="s">
        <v>41</v>
      </c>
      <c r="B836" s="1" t="s">
        <v>42</v>
      </c>
      <c r="C836" s="1" t="s">
        <v>1710</v>
      </c>
      <c r="D836" s="1" t="s">
        <v>1711</v>
      </c>
      <c r="E836" s="1" t="s">
        <v>45</v>
      </c>
      <c r="F836" s="1" t="s">
        <v>1712</v>
      </c>
      <c r="G836" s="1" t="s">
        <v>2035</v>
      </c>
      <c r="H836" s="1" t="s">
        <v>2036</v>
      </c>
      <c r="I836" s="1" t="s">
        <v>49</v>
      </c>
      <c r="J836" s="1" t="s">
        <v>48</v>
      </c>
      <c r="K836" s="1">
        <v>60</v>
      </c>
      <c r="L836" s="1">
        <v>0</v>
      </c>
      <c r="M836" s="1">
        <v>0</v>
      </c>
      <c r="N836" s="1">
        <v>60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 t="s">
        <v>49</v>
      </c>
      <c r="AA836" s="1" t="s">
        <v>49</v>
      </c>
      <c r="AB836" s="1" t="s">
        <v>49</v>
      </c>
      <c r="AC836" s="1" t="s">
        <v>1715</v>
      </c>
      <c r="AD836" s="1" t="s">
        <v>1716</v>
      </c>
      <c r="AE836" s="1" t="s">
        <v>1715</v>
      </c>
      <c r="AF836" s="1" t="s">
        <v>1717</v>
      </c>
      <c r="AG836" s="1" t="s">
        <v>53</v>
      </c>
      <c r="AH836" s="1" t="s">
        <v>49</v>
      </c>
      <c r="AI836" s="1" t="s">
        <v>54</v>
      </c>
      <c r="AJ836" s="1">
        <v>1</v>
      </c>
      <c r="AK836" s="1" t="str">
        <f t="shared" si="13"/>
        <v xml:space="preserve"> =&lt;90</v>
      </c>
      <c r="AL836" s="1" t="str">
        <f>VLOOKUP(C:C,[1]基础信息!B$1:D$65536,3,0)</f>
        <v>Jug</v>
      </c>
      <c r="AM836" s="1" t="str">
        <f>VLOOKUP(C:C,[1]基础信息!B$1:E$65536,4,0)</f>
        <v>Kalea XL ME4W</v>
      </c>
      <c r="AN836" s="1" t="str">
        <f>VLOOKUP(C:C,[1]基础信息!B$1:F$65536,5,0)</f>
        <v>grey</v>
      </c>
    </row>
    <row r="837" spans="1:40">
      <c r="A837" s="1" t="s">
        <v>41</v>
      </c>
      <c r="B837" s="1" t="s">
        <v>42</v>
      </c>
      <c r="C837" s="1" t="s">
        <v>1710</v>
      </c>
      <c r="D837" s="1" t="s">
        <v>1711</v>
      </c>
      <c r="E837" s="1" t="s">
        <v>45</v>
      </c>
      <c r="F837" s="1" t="s">
        <v>1712</v>
      </c>
      <c r="G837" s="1" t="s">
        <v>2037</v>
      </c>
      <c r="H837" s="1" t="s">
        <v>2038</v>
      </c>
      <c r="I837" s="1" t="s">
        <v>49</v>
      </c>
      <c r="J837" s="1" t="s">
        <v>48</v>
      </c>
      <c r="K837" s="1">
        <v>60</v>
      </c>
      <c r="L837" s="1">
        <v>0</v>
      </c>
      <c r="M837" s="1">
        <v>0</v>
      </c>
      <c r="N837" s="1">
        <v>60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 t="s">
        <v>49</v>
      </c>
      <c r="AA837" s="1" t="s">
        <v>49</v>
      </c>
      <c r="AB837" s="1" t="s">
        <v>49</v>
      </c>
      <c r="AC837" s="1" t="s">
        <v>1715</v>
      </c>
      <c r="AD837" s="1" t="s">
        <v>1716</v>
      </c>
      <c r="AE837" s="1" t="s">
        <v>1715</v>
      </c>
      <c r="AF837" s="1" t="s">
        <v>1717</v>
      </c>
      <c r="AG837" s="1" t="s">
        <v>53</v>
      </c>
      <c r="AH837" s="1" t="s">
        <v>49</v>
      </c>
      <c r="AI837" s="1" t="s">
        <v>54</v>
      </c>
      <c r="AJ837" s="1">
        <v>1</v>
      </c>
      <c r="AK837" s="1" t="str">
        <f t="shared" si="13"/>
        <v xml:space="preserve"> =&lt;90</v>
      </c>
      <c r="AL837" s="1" t="str">
        <f>VLOOKUP(C:C,[1]基础信息!B$1:D$65536,3,0)</f>
        <v>Jug</v>
      </c>
      <c r="AM837" s="1" t="str">
        <f>VLOOKUP(C:C,[1]基础信息!B$1:E$65536,4,0)</f>
        <v>Kalea XL ME4W</v>
      </c>
      <c r="AN837" s="1" t="str">
        <f>VLOOKUP(C:C,[1]基础信息!B$1:F$65536,5,0)</f>
        <v>grey</v>
      </c>
    </row>
    <row r="838" spans="1:40">
      <c r="A838" s="1" t="s">
        <v>41</v>
      </c>
      <c r="B838" s="1" t="s">
        <v>42</v>
      </c>
      <c r="C838" s="1" t="s">
        <v>417</v>
      </c>
      <c r="D838" s="1" t="s">
        <v>418</v>
      </c>
      <c r="E838" s="1" t="s">
        <v>45</v>
      </c>
      <c r="F838" s="1" t="s">
        <v>1126</v>
      </c>
      <c r="G838" s="1" t="s">
        <v>2039</v>
      </c>
      <c r="H838" s="1" t="s">
        <v>2040</v>
      </c>
      <c r="I838" s="1" t="s">
        <v>49</v>
      </c>
      <c r="J838" s="1" t="s">
        <v>48</v>
      </c>
      <c r="K838" s="1">
        <v>96</v>
      </c>
      <c r="L838" s="1">
        <v>0</v>
      </c>
      <c r="M838" s="1">
        <v>0</v>
      </c>
      <c r="N838" s="1">
        <v>96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 t="s">
        <v>49</v>
      </c>
      <c r="AA838" s="1" t="s">
        <v>49</v>
      </c>
      <c r="AB838" s="1" t="s">
        <v>49</v>
      </c>
      <c r="AC838" s="1" t="s">
        <v>938</v>
      </c>
      <c r="AD838" s="1" t="s">
        <v>939</v>
      </c>
      <c r="AE838" s="1" t="s">
        <v>938</v>
      </c>
      <c r="AF838" s="1" t="s">
        <v>940</v>
      </c>
      <c r="AG838" s="1" t="s">
        <v>53</v>
      </c>
      <c r="AH838" s="1" t="s">
        <v>49</v>
      </c>
      <c r="AI838" s="1" t="s">
        <v>54</v>
      </c>
      <c r="AJ838" s="1">
        <v>1</v>
      </c>
      <c r="AK838" s="1" t="str">
        <f t="shared" si="13"/>
        <v xml:space="preserve"> =&lt;90</v>
      </c>
      <c r="AL838" s="1" t="str">
        <f>VLOOKUP(C:C,[1]基础信息!B$1:D$65536,3,0)</f>
        <v>Jug</v>
      </c>
      <c r="AM838" s="1" t="str">
        <f>VLOOKUP(C:C,[1]基础信息!B$1:E$65536,4,0)</f>
        <v>Marella XL</v>
      </c>
      <c r="AN838" s="1" t="str">
        <f>VLOOKUP(C:C,[1]基础信息!B$1:F$65536,5,0)</f>
        <v>Silver</v>
      </c>
    </row>
    <row r="839" spans="1:40">
      <c r="A839" s="1" t="s">
        <v>41</v>
      </c>
      <c r="B839" s="1" t="s">
        <v>42</v>
      </c>
      <c r="C839" s="1" t="s">
        <v>969</v>
      </c>
      <c r="D839" s="1" t="s">
        <v>970</v>
      </c>
      <c r="E839" s="1" t="s">
        <v>45</v>
      </c>
      <c r="F839" s="1" t="s">
        <v>1926</v>
      </c>
      <c r="G839" s="1" t="s">
        <v>2041</v>
      </c>
      <c r="H839" s="1" t="s">
        <v>2042</v>
      </c>
      <c r="I839" s="1" t="s">
        <v>49</v>
      </c>
      <c r="J839" s="1" t="s">
        <v>48</v>
      </c>
      <c r="K839" s="1">
        <v>80</v>
      </c>
      <c r="L839" s="1">
        <v>0</v>
      </c>
      <c r="M839" s="1">
        <v>0</v>
      </c>
      <c r="N839" s="1">
        <v>80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 t="s">
        <v>49</v>
      </c>
      <c r="AA839" s="1" t="s">
        <v>49</v>
      </c>
      <c r="AB839" s="1" t="s">
        <v>49</v>
      </c>
      <c r="AC839" s="1" t="s">
        <v>128</v>
      </c>
      <c r="AD839" s="1" t="s">
        <v>129</v>
      </c>
      <c r="AE839" s="1" t="s">
        <v>128</v>
      </c>
      <c r="AF839" s="1" t="s">
        <v>1929</v>
      </c>
      <c r="AG839" s="1" t="s">
        <v>53</v>
      </c>
      <c r="AH839" s="1" t="s">
        <v>49</v>
      </c>
      <c r="AI839" s="1" t="s">
        <v>54</v>
      </c>
      <c r="AJ839" s="1">
        <v>1</v>
      </c>
      <c r="AK839" s="1" t="str">
        <f t="shared" si="13"/>
        <v xml:space="preserve"> =&lt;90</v>
      </c>
      <c r="AL839" s="1" t="str">
        <f>VLOOKUP(C:C,[1]基础信息!B$1:D$65536,3,0)</f>
        <v>Jug</v>
      </c>
      <c r="AM839" s="1" t="str">
        <f>VLOOKUP(C:C,[1]基础信息!B$1:E$65536,4,0)</f>
        <v>Mxplus</v>
      </c>
      <c r="AN839" s="1" t="str">
        <f>VLOOKUP(C:C,[1]基础信息!B$1:F$65536,5,0)</f>
        <v xml:space="preserve"> blue</v>
      </c>
    </row>
    <row r="840" spans="1:40">
      <c r="A840" s="1" t="s">
        <v>41</v>
      </c>
      <c r="B840" s="1" t="s">
        <v>42</v>
      </c>
      <c r="C840" s="1" t="s">
        <v>969</v>
      </c>
      <c r="D840" s="1" t="s">
        <v>970</v>
      </c>
      <c r="E840" s="1" t="s">
        <v>45</v>
      </c>
      <c r="F840" s="1" t="s">
        <v>1926</v>
      </c>
      <c r="G840" s="1" t="s">
        <v>2043</v>
      </c>
      <c r="H840" s="1" t="s">
        <v>2044</v>
      </c>
      <c r="I840" s="1" t="s">
        <v>49</v>
      </c>
      <c r="J840" s="1" t="s">
        <v>48</v>
      </c>
      <c r="K840" s="1">
        <v>80</v>
      </c>
      <c r="L840" s="1">
        <v>0</v>
      </c>
      <c r="M840" s="1">
        <v>0</v>
      </c>
      <c r="N840" s="1">
        <v>80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 t="s">
        <v>49</v>
      </c>
      <c r="AA840" s="1" t="s">
        <v>49</v>
      </c>
      <c r="AB840" s="1" t="s">
        <v>49</v>
      </c>
      <c r="AC840" s="1" t="s">
        <v>128</v>
      </c>
      <c r="AD840" s="1" t="s">
        <v>129</v>
      </c>
      <c r="AE840" s="1" t="s">
        <v>128</v>
      </c>
      <c r="AF840" s="1" t="s">
        <v>1929</v>
      </c>
      <c r="AG840" s="1" t="s">
        <v>53</v>
      </c>
      <c r="AH840" s="1" t="s">
        <v>49</v>
      </c>
      <c r="AI840" s="1" t="s">
        <v>54</v>
      </c>
      <c r="AJ840" s="1">
        <v>1</v>
      </c>
      <c r="AK840" s="1" t="str">
        <f t="shared" si="13"/>
        <v xml:space="preserve"> =&lt;90</v>
      </c>
      <c r="AL840" s="1" t="str">
        <f>VLOOKUP(C:C,[1]基础信息!B$1:D$65536,3,0)</f>
        <v>Jug</v>
      </c>
      <c r="AM840" s="1" t="str">
        <f>VLOOKUP(C:C,[1]基础信息!B$1:E$65536,4,0)</f>
        <v>Mxplus</v>
      </c>
      <c r="AN840" s="1" t="str">
        <f>VLOOKUP(C:C,[1]基础信息!B$1:F$65536,5,0)</f>
        <v xml:space="preserve"> blue</v>
      </c>
    </row>
    <row r="841" spans="1:40">
      <c r="A841" s="1" t="s">
        <v>41</v>
      </c>
      <c r="B841" s="1" t="s">
        <v>42</v>
      </c>
      <c r="C841" s="1" t="s">
        <v>969</v>
      </c>
      <c r="D841" s="1" t="s">
        <v>970</v>
      </c>
      <c r="E841" s="1" t="s">
        <v>45</v>
      </c>
      <c r="F841" s="1" t="s">
        <v>1926</v>
      </c>
      <c r="G841" s="1" t="s">
        <v>2045</v>
      </c>
      <c r="H841" s="1" t="s">
        <v>2046</v>
      </c>
      <c r="I841" s="1" t="s">
        <v>49</v>
      </c>
      <c r="J841" s="1" t="s">
        <v>48</v>
      </c>
      <c r="K841" s="1">
        <v>80</v>
      </c>
      <c r="L841" s="1">
        <v>0</v>
      </c>
      <c r="M841" s="1">
        <v>0</v>
      </c>
      <c r="N841" s="1">
        <v>80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 t="s">
        <v>49</v>
      </c>
      <c r="AA841" s="1" t="s">
        <v>49</v>
      </c>
      <c r="AB841" s="1" t="s">
        <v>49</v>
      </c>
      <c r="AC841" s="1" t="s">
        <v>128</v>
      </c>
      <c r="AD841" s="1" t="s">
        <v>129</v>
      </c>
      <c r="AE841" s="1" t="s">
        <v>128</v>
      </c>
      <c r="AF841" s="1" t="s">
        <v>1929</v>
      </c>
      <c r="AG841" s="1" t="s">
        <v>53</v>
      </c>
      <c r="AH841" s="1" t="s">
        <v>49</v>
      </c>
      <c r="AI841" s="1" t="s">
        <v>54</v>
      </c>
      <c r="AJ841" s="1">
        <v>1</v>
      </c>
      <c r="AK841" s="1" t="str">
        <f t="shared" si="13"/>
        <v xml:space="preserve"> =&lt;90</v>
      </c>
      <c r="AL841" s="1" t="str">
        <f>VLOOKUP(C:C,[1]基础信息!B$1:D$65536,3,0)</f>
        <v>Jug</v>
      </c>
      <c r="AM841" s="1" t="str">
        <f>VLOOKUP(C:C,[1]基础信息!B$1:E$65536,4,0)</f>
        <v>Mxplus</v>
      </c>
      <c r="AN841" s="1" t="str">
        <f>VLOOKUP(C:C,[1]基础信息!B$1:F$65536,5,0)</f>
        <v xml:space="preserve"> blue</v>
      </c>
    </row>
    <row r="842" spans="1:40">
      <c r="A842" s="1" t="s">
        <v>41</v>
      </c>
      <c r="B842" s="1" t="s">
        <v>42</v>
      </c>
      <c r="C842" s="1" t="s">
        <v>1710</v>
      </c>
      <c r="D842" s="1" t="s">
        <v>1711</v>
      </c>
      <c r="E842" s="1" t="s">
        <v>45</v>
      </c>
      <c r="F842" s="1" t="s">
        <v>1712</v>
      </c>
      <c r="G842" s="1" t="s">
        <v>2047</v>
      </c>
      <c r="H842" s="1" t="s">
        <v>2048</v>
      </c>
      <c r="I842" s="1" t="s">
        <v>49</v>
      </c>
      <c r="J842" s="1" t="s">
        <v>48</v>
      </c>
      <c r="K842" s="1">
        <v>60</v>
      </c>
      <c r="L842" s="1">
        <v>0</v>
      </c>
      <c r="M842" s="1">
        <v>0</v>
      </c>
      <c r="N842" s="1">
        <v>60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 t="s">
        <v>49</v>
      </c>
      <c r="AA842" s="1" t="s">
        <v>49</v>
      </c>
      <c r="AB842" s="1" t="s">
        <v>49</v>
      </c>
      <c r="AC842" s="1" t="s">
        <v>1715</v>
      </c>
      <c r="AD842" s="1" t="s">
        <v>1716</v>
      </c>
      <c r="AE842" s="1" t="s">
        <v>1715</v>
      </c>
      <c r="AF842" s="1" t="s">
        <v>1717</v>
      </c>
      <c r="AG842" s="1" t="s">
        <v>53</v>
      </c>
      <c r="AH842" s="1" t="s">
        <v>49</v>
      </c>
      <c r="AI842" s="1" t="s">
        <v>54</v>
      </c>
      <c r="AJ842" s="1">
        <v>1</v>
      </c>
      <c r="AK842" s="1" t="str">
        <f t="shared" si="13"/>
        <v xml:space="preserve"> =&lt;90</v>
      </c>
      <c r="AL842" s="1" t="str">
        <f>VLOOKUP(C:C,[1]基础信息!B$1:D$65536,3,0)</f>
        <v>Jug</v>
      </c>
      <c r="AM842" s="1" t="str">
        <f>VLOOKUP(C:C,[1]基础信息!B$1:E$65536,4,0)</f>
        <v>Kalea XL ME4W</v>
      </c>
      <c r="AN842" s="1" t="str">
        <f>VLOOKUP(C:C,[1]基础信息!B$1:F$65536,5,0)</f>
        <v>grey</v>
      </c>
    </row>
    <row r="843" spans="1:40">
      <c r="A843" s="1" t="s">
        <v>41</v>
      </c>
      <c r="B843" s="1" t="s">
        <v>42</v>
      </c>
      <c r="C843" s="1" t="s">
        <v>417</v>
      </c>
      <c r="D843" s="1" t="s">
        <v>418</v>
      </c>
      <c r="E843" s="1" t="s">
        <v>45</v>
      </c>
      <c r="F843" s="1" t="s">
        <v>1126</v>
      </c>
      <c r="G843" s="1" t="s">
        <v>2049</v>
      </c>
      <c r="H843" s="1" t="s">
        <v>2050</v>
      </c>
      <c r="I843" s="1" t="s">
        <v>49</v>
      </c>
      <c r="J843" s="1" t="s">
        <v>48</v>
      </c>
      <c r="K843" s="1">
        <v>96</v>
      </c>
      <c r="L843" s="1">
        <v>0</v>
      </c>
      <c r="M843" s="1">
        <v>0</v>
      </c>
      <c r="N843" s="1">
        <v>96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 t="s">
        <v>49</v>
      </c>
      <c r="AA843" s="1" t="s">
        <v>49</v>
      </c>
      <c r="AB843" s="1" t="s">
        <v>49</v>
      </c>
      <c r="AC843" s="1" t="s">
        <v>938</v>
      </c>
      <c r="AD843" s="1" t="s">
        <v>939</v>
      </c>
      <c r="AE843" s="1" t="s">
        <v>938</v>
      </c>
      <c r="AF843" s="1" t="s">
        <v>940</v>
      </c>
      <c r="AG843" s="1" t="s">
        <v>53</v>
      </c>
      <c r="AH843" s="1" t="s">
        <v>49</v>
      </c>
      <c r="AI843" s="1" t="s">
        <v>54</v>
      </c>
      <c r="AJ843" s="1">
        <v>1</v>
      </c>
      <c r="AK843" s="1" t="str">
        <f t="shared" si="13"/>
        <v xml:space="preserve"> =&lt;90</v>
      </c>
      <c r="AL843" s="1" t="str">
        <f>VLOOKUP(C:C,[1]基础信息!B$1:D$65536,3,0)</f>
        <v>Jug</v>
      </c>
      <c r="AM843" s="1" t="str">
        <f>VLOOKUP(C:C,[1]基础信息!B$1:E$65536,4,0)</f>
        <v>Marella XL</v>
      </c>
      <c r="AN843" s="1" t="str">
        <f>VLOOKUP(C:C,[1]基础信息!B$1:F$65536,5,0)</f>
        <v>Silver</v>
      </c>
    </row>
    <row r="844" spans="1:40">
      <c r="A844" s="1" t="s">
        <v>41</v>
      </c>
      <c r="B844" s="1" t="s">
        <v>42</v>
      </c>
      <c r="C844" s="1" t="s">
        <v>43</v>
      </c>
      <c r="D844" s="1" t="s">
        <v>44</v>
      </c>
      <c r="E844" s="1" t="s">
        <v>45</v>
      </c>
      <c r="F844" s="1" t="s">
        <v>2019</v>
      </c>
      <c r="G844" s="1" t="s">
        <v>2051</v>
      </c>
      <c r="H844" s="1" t="s">
        <v>2052</v>
      </c>
      <c r="I844" s="1" t="s">
        <v>49</v>
      </c>
      <c r="J844" s="1" t="s">
        <v>48</v>
      </c>
      <c r="K844" s="1">
        <v>96</v>
      </c>
      <c r="L844" s="1">
        <v>0</v>
      </c>
      <c r="M844" s="1">
        <v>0</v>
      </c>
      <c r="N844" s="1">
        <v>96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 t="s">
        <v>49</v>
      </c>
      <c r="AA844" s="1" t="s">
        <v>49</v>
      </c>
      <c r="AB844" s="1" t="s">
        <v>49</v>
      </c>
      <c r="AC844" s="1" t="s">
        <v>2022</v>
      </c>
      <c r="AD844" s="1" t="s">
        <v>2023</v>
      </c>
      <c r="AE844" s="1" t="s">
        <v>2022</v>
      </c>
      <c r="AF844" s="1" t="s">
        <v>2024</v>
      </c>
      <c r="AG844" s="1" t="s">
        <v>53</v>
      </c>
      <c r="AH844" s="1" t="s">
        <v>49</v>
      </c>
      <c r="AI844" s="1" t="s">
        <v>54</v>
      </c>
      <c r="AJ844" s="1">
        <v>1</v>
      </c>
      <c r="AK844" s="1" t="str">
        <f t="shared" si="13"/>
        <v xml:space="preserve"> =&lt;90</v>
      </c>
      <c r="AL844" s="1" t="str">
        <f>VLOOKUP(C:C,[1]基础信息!B$1:D$65536,3,0)</f>
        <v>Jug</v>
      </c>
      <c r="AM844" s="1" t="str">
        <f>VLOOKUP(C:C,[1]基础信息!B$1:E$65536,4,0)</f>
        <v>Marella XL</v>
      </c>
      <c r="AN844" s="1" t="str">
        <f>VLOOKUP(C:C,[1]基础信息!B$1:F$65536,5,0)</f>
        <v>Black</v>
      </c>
    </row>
    <row r="845" spans="1:40">
      <c r="A845" s="1" t="s">
        <v>41</v>
      </c>
      <c r="B845" s="1" t="s">
        <v>42</v>
      </c>
      <c r="C845" s="1" t="s">
        <v>969</v>
      </c>
      <c r="D845" s="1" t="s">
        <v>970</v>
      </c>
      <c r="E845" s="1" t="s">
        <v>45</v>
      </c>
      <c r="F845" s="1" t="s">
        <v>1926</v>
      </c>
      <c r="G845" s="1" t="s">
        <v>2053</v>
      </c>
      <c r="H845" s="1" t="s">
        <v>2054</v>
      </c>
      <c r="I845" s="1" t="s">
        <v>49</v>
      </c>
      <c r="J845" s="1" t="s">
        <v>48</v>
      </c>
      <c r="K845" s="1">
        <v>80</v>
      </c>
      <c r="L845" s="1">
        <v>0</v>
      </c>
      <c r="M845" s="1">
        <v>0</v>
      </c>
      <c r="N845" s="1">
        <v>80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 t="s">
        <v>49</v>
      </c>
      <c r="AA845" s="1" t="s">
        <v>49</v>
      </c>
      <c r="AB845" s="1" t="s">
        <v>49</v>
      </c>
      <c r="AC845" s="1" t="s">
        <v>128</v>
      </c>
      <c r="AD845" s="1" t="s">
        <v>129</v>
      </c>
      <c r="AE845" s="1" t="s">
        <v>128</v>
      </c>
      <c r="AF845" s="1" t="s">
        <v>1929</v>
      </c>
      <c r="AG845" s="1" t="s">
        <v>53</v>
      </c>
      <c r="AH845" s="1" t="s">
        <v>49</v>
      </c>
      <c r="AI845" s="1" t="s">
        <v>54</v>
      </c>
      <c r="AJ845" s="1">
        <v>1</v>
      </c>
      <c r="AK845" s="1" t="str">
        <f t="shared" si="13"/>
        <v xml:space="preserve"> =&lt;90</v>
      </c>
      <c r="AL845" s="1" t="str">
        <f>VLOOKUP(C:C,[1]基础信息!B$1:D$65536,3,0)</f>
        <v>Jug</v>
      </c>
      <c r="AM845" s="1" t="str">
        <f>VLOOKUP(C:C,[1]基础信息!B$1:E$65536,4,0)</f>
        <v>Mxplus</v>
      </c>
      <c r="AN845" s="1" t="str">
        <f>VLOOKUP(C:C,[1]基础信息!B$1:F$65536,5,0)</f>
        <v xml:space="preserve"> blue</v>
      </c>
    </row>
    <row r="846" spans="1:40">
      <c r="A846" s="1" t="s">
        <v>41</v>
      </c>
      <c r="B846" s="1" t="s">
        <v>42</v>
      </c>
      <c r="C846" s="1" t="s">
        <v>417</v>
      </c>
      <c r="D846" s="1" t="s">
        <v>418</v>
      </c>
      <c r="E846" s="1" t="s">
        <v>45</v>
      </c>
      <c r="F846" s="1" t="s">
        <v>1126</v>
      </c>
      <c r="G846" s="1" t="s">
        <v>2055</v>
      </c>
      <c r="H846" s="1" t="s">
        <v>2056</v>
      </c>
      <c r="I846" s="1" t="s">
        <v>49</v>
      </c>
      <c r="J846" s="1" t="s">
        <v>48</v>
      </c>
      <c r="K846" s="1">
        <v>96</v>
      </c>
      <c r="L846" s="1">
        <v>0</v>
      </c>
      <c r="M846" s="1">
        <v>0</v>
      </c>
      <c r="N846" s="1">
        <v>96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 t="s">
        <v>49</v>
      </c>
      <c r="AA846" s="1" t="s">
        <v>49</v>
      </c>
      <c r="AB846" s="1" t="s">
        <v>49</v>
      </c>
      <c r="AC846" s="1" t="s">
        <v>938</v>
      </c>
      <c r="AD846" s="1" t="s">
        <v>939</v>
      </c>
      <c r="AE846" s="1" t="s">
        <v>938</v>
      </c>
      <c r="AF846" s="1" t="s">
        <v>940</v>
      </c>
      <c r="AG846" s="1" t="s">
        <v>53</v>
      </c>
      <c r="AH846" s="1" t="s">
        <v>49</v>
      </c>
      <c r="AI846" s="1" t="s">
        <v>54</v>
      </c>
      <c r="AJ846" s="1">
        <v>1</v>
      </c>
      <c r="AK846" s="1" t="str">
        <f t="shared" si="13"/>
        <v xml:space="preserve"> =&lt;90</v>
      </c>
      <c r="AL846" s="1" t="str">
        <f>VLOOKUP(C:C,[1]基础信息!B$1:D$65536,3,0)</f>
        <v>Jug</v>
      </c>
      <c r="AM846" s="1" t="str">
        <f>VLOOKUP(C:C,[1]基础信息!B$1:E$65536,4,0)</f>
        <v>Marella XL</v>
      </c>
      <c r="AN846" s="1" t="str">
        <f>VLOOKUP(C:C,[1]基础信息!B$1:F$65536,5,0)</f>
        <v>Silver</v>
      </c>
    </row>
    <row r="847" spans="1:40">
      <c r="A847" s="1" t="s">
        <v>41</v>
      </c>
      <c r="B847" s="1" t="s">
        <v>42</v>
      </c>
      <c r="C847" s="1" t="s">
        <v>969</v>
      </c>
      <c r="D847" s="1" t="s">
        <v>970</v>
      </c>
      <c r="E847" s="1" t="s">
        <v>45</v>
      </c>
      <c r="F847" s="1" t="s">
        <v>1926</v>
      </c>
      <c r="G847" s="1" t="s">
        <v>2057</v>
      </c>
      <c r="H847" s="1" t="s">
        <v>2058</v>
      </c>
      <c r="I847" s="1" t="s">
        <v>49</v>
      </c>
      <c r="J847" s="1" t="s">
        <v>48</v>
      </c>
      <c r="K847" s="1">
        <v>80</v>
      </c>
      <c r="L847" s="1">
        <v>0</v>
      </c>
      <c r="M847" s="1">
        <v>0</v>
      </c>
      <c r="N847" s="1">
        <v>80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 t="s">
        <v>49</v>
      </c>
      <c r="AA847" s="1" t="s">
        <v>49</v>
      </c>
      <c r="AB847" s="1" t="s">
        <v>49</v>
      </c>
      <c r="AC847" s="1" t="s">
        <v>128</v>
      </c>
      <c r="AD847" s="1" t="s">
        <v>129</v>
      </c>
      <c r="AE847" s="1" t="s">
        <v>128</v>
      </c>
      <c r="AF847" s="1" t="s">
        <v>1929</v>
      </c>
      <c r="AG847" s="1" t="s">
        <v>53</v>
      </c>
      <c r="AH847" s="1" t="s">
        <v>49</v>
      </c>
      <c r="AI847" s="1" t="s">
        <v>54</v>
      </c>
      <c r="AJ847" s="1">
        <v>1</v>
      </c>
      <c r="AK847" s="1" t="str">
        <f t="shared" si="13"/>
        <v xml:space="preserve"> =&lt;90</v>
      </c>
      <c r="AL847" s="1" t="str">
        <f>VLOOKUP(C:C,[1]基础信息!B$1:D$65536,3,0)</f>
        <v>Jug</v>
      </c>
      <c r="AM847" s="1" t="str">
        <f>VLOOKUP(C:C,[1]基础信息!B$1:E$65536,4,0)</f>
        <v>Mxplus</v>
      </c>
      <c r="AN847" s="1" t="str">
        <f>VLOOKUP(C:C,[1]基础信息!B$1:F$65536,5,0)</f>
        <v xml:space="preserve"> blue</v>
      </c>
    </row>
    <row r="848" spans="1:40">
      <c r="A848" s="1" t="s">
        <v>41</v>
      </c>
      <c r="B848" s="1" t="s">
        <v>42</v>
      </c>
      <c r="C848" s="1" t="s">
        <v>969</v>
      </c>
      <c r="D848" s="1" t="s">
        <v>970</v>
      </c>
      <c r="E848" s="1" t="s">
        <v>45</v>
      </c>
      <c r="F848" s="1" t="s">
        <v>1926</v>
      </c>
      <c r="G848" s="1" t="s">
        <v>2059</v>
      </c>
      <c r="H848" s="1" t="s">
        <v>2060</v>
      </c>
      <c r="I848" s="1" t="s">
        <v>49</v>
      </c>
      <c r="J848" s="1" t="s">
        <v>48</v>
      </c>
      <c r="K848" s="1">
        <v>80</v>
      </c>
      <c r="L848" s="1">
        <v>0</v>
      </c>
      <c r="M848" s="1">
        <v>0</v>
      </c>
      <c r="N848" s="1">
        <v>80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 t="s">
        <v>49</v>
      </c>
      <c r="AA848" s="1" t="s">
        <v>49</v>
      </c>
      <c r="AB848" s="1" t="s">
        <v>49</v>
      </c>
      <c r="AC848" s="1" t="s">
        <v>128</v>
      </c>
      <c r="AD848" s="1" t="s">
        <v>129</v>
      </c>
      <c r="AE848" s="1" t="s">
        <v>128</v>
      </c>
      <c r="AF848" s="1" t="s">
        <v>1929</v>
      </c>
      <c r="AG848" s="1" t="s">
        <v>53</v>
      </c>
      <c r="AH848" s="1" t="s">
        <v>49</v>
      </c>
      <c r="AI848" s="1" t="s">
        <v>54</v>
      </c>
      <c r="AJ848" s="1">
        <v>1</v>
      </c>
      <c r="AK848" s="1" t="str">
        <f t="shared" si="13"/>
        <v xml:space="preserve"> =&lt;90</v>
      </c>
      <c r="AL848" s="1" t="str">
        <f>VLOOKUP(C:C,[1]基础信息!B$1:D$65536,3,0)</f>
        <v>Jug</v>
      </c>
      <c r="AM848" s="1" t="str">
        <f>VLOOKUP(C:C,[1]基础信息!B$1:E$65536,4,0)</f>
        <v>Mxplus</v>
      </c>
      <c r="AN848" s="1" t="str">
        <f>VLOOKUP(C:C,[1]基础信息!B$1:F$65536,5,0)</f>
        <v xml:space="preserve"> blue</v>
      </c>
    </row>
    <row r="849" spans="1:40">
      <c r="A849" s="1" t="s">
        <v>41</v>
      </c>
      <c r="B849" s="1" t="s">
        <v>42</v>
      </c>
      <c r="C849" s="1" t="s">
        <v>969</v>
      </c>
      <c r="D849" s="1" t="s">
        <v>970</v>
      </c>
      <c r="E849" s="1" t="s">
        <v>45</v>
      </c>
      <c r="F849" s="1" t="s">
        <v>1926</v>
      </c>
      <c r="G849" s="1" t="s">
        <v>2061</v>
      </c>
      <c r="H849" s="1" t="s">
        <v>2062</v>
      </c>
      <c r="I849" s="1" t="s">
        <v>49</v>
      </c>
      <c r="J849" s="1" t="s">
        <v>48</v>
      </c>
      <c r="K849" s="1">
        <v>80</v>
      </c>
      <c r="L849" s="1">
        <v>0</v>
      </c>
      <c r="M849" s="1">
        <v>0</v>
      </c>
      <c r="N849" s="1">
        <v>80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 t="s">
        <v>49</v>
      </c>
      <c r="AA849" s="1" t="s">
        <v>49</v>
      </c>
      <c r="AB849" s="1" t="s">
        <v>49</v>
      </c>
      <c r="AC849" s="1" t="s">
        <v>128</v>
      </c>
      <c r="AD849" s="1" t="s">
        <v>129</v>
      </c>
      <c r="AE849" s="1" t="s">
        <v>128</v>
      </c>
      <c r="AF849" s="1" t="s">
        <v>1929</v>
      </c>
      <c r="AG849" s="1" t="s">
        <v>53</v>
      </c>
      <c r="AH849" s="1" t="s">
        <v>49</v>
      </c>
      <c r="AI849" s="1" t="s">
        <v>54</v>
      </c>
      <c r="AJ849" s="1">
        <v>1</v>
      </c>
      <c r="AK849" s="1" t="str">
        <f t="shared" si="13"/>
        <v xml:space="preserve"> =&lt;90</v>
      </c>
      <c r="AL849" s="1" t="str">
        <f>VLOOKUP(C:C,[1]基础信息!B$1:D$65536,3,0)</f>
        <v>Jug</v>
      </c>
      <c r="AM849" s="1" t="str">
        <f>VLOOKUP(C:C,[1]基础信息!B$1:E$65536,4,0)</f>
        <v>Mxplus</v>
      </c>
      <c r="AN849" s="1" t="str">
        <f>VLOOKUP(C:C,[1]基础信息!B$1:F$65536,5,0)</f>
        <v xml:space="preserve"> blue</v>
      </c>
    </row>
    <row r="850" spans="1:40">
      <c r="A850" s="1" t="s">
        <v>41</v>
      </c>
      <c r="B850" s="1" t="s">
        <v>42</v>
      </c>
      <c r="C850" s="1" t="s">
        <v>1710</v>
      </c>
      <c r="D850" s="1" t="s">
        <v>1711</v>
      </c>
      <c r="E850" s="1" t="s">
        <v>45</v>
      </c>
      <c r="F850" s="1" t="s">
        <v>1712</v>
      </c>
      <c r="G850" s="1" t="s">
        <v>2063</v>
      </c>
      <c r="H850" s="1" t="s">
        <v>2064</v>
      </c>
      <c r="I850" s="1" t="s">
        <v>49</v>
      </c>
      <c r="J850" s="1" t="s">
        <v>48</v>
      </c>
      <c r="K850" s="1">
        <v>60</v>
      </c>
      <c r="L850" s="1">
        <v>0</v>
      </c>
      <c r="M850" s="1">
        <v>0</v>
      </c>
      <c r="N850" s="1">
        <v>60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 t="s">
        <v>49</v>
      </c>
      <c r="AA850" s="1" t="s">
        <v>49</v>
      </c>
      <c r="AB850" s="1" t="s">
        <v>49</v>
      </c>
      <c r="AC850" s="1" t="s">
        <v>1715</v>
      </c>
      <c r="AD850" s="1" t="s">
        <v>1716</v>
      </c>
      <c r="AE850" s="1" t="s">
        <v>1715</v>
      </c>
      <c r="AF850" s="1" t="s">
        <v>1717</v>
      </c>
      <c r="AG850" s="1" t="s">
        <v>53</v>
      </c>
      <c r="AH850" s="1" t="s">
        <v>49</v>
      </c>
      <c r="AI850" s="1" t="s">
        <v>54</v>
      </c>
      <c r="AJ850" s="1">
        <v>1</v>
      </c>
      <c r="AK850" s="1" t="str">
        <f t="shared" si="13"/>
        <v xml:space="preserve"> =&lt;90</v>
      </c>
      <c r="AL850" s="1" t="str">
        <f>VLOOKUP(C:C,[1]基础信息!B$1:D$65536,3,0)</f>
        <v>Jug</v>
      </c>
      <c r="AM850" s="1" t="str">
        <f>VLOOKUP(C:C,[1]基础信息!B$1:E$65536,4,0)</f>
        <v>Kalea XL ME4W</v>
      </c>
      <c r="AN850" s="1" t="str">
        <f>VLOOKUP(C:C,[1]基础信息!B$1:F$65536,5,0)</f>
        <v>grey</v>
      </c>
    </row>
    <row r="851" spans="1:40">
      <c r="A851" s="1" t="s">
        <v>41</v>
      </c>
      <c r="B851" s="1" t="s">
        <v>42</v>
      </c>
      <c r="C851" s="1" t="s">
        <v>1710</v>
      </c>
      <c r="D851" s="1" t="s">
        <v>1711</v>
      </c>
      <c r="E851" s="1" t="s">
        <v>45</v>
      </c>
      <c r="F851" s="1" t="s">
        <v>1712</v>
      </c>
      <c r="G851" s="1" t="s">
        <v>2065</v>
      </c>
      <c r="H851" s="1" t="s">
        <v>2066</v>
      </c>
      <c r="I851" s="1" t="s">
        <v>49</v>
      </c>
      <c r="J851" s="1" t="s">
        <v>48</v>
      </c>
      <c r="K851" s="1">
        <v>60</v>
      </c>
      <c r="L851" s="1">
        <v>0</v>
      </c>
      <c r="M851" s="1">
        <v>0</v>
      </c>
      <c r="N851" s="1">
        <v>60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 t="s">
        <v>49</v>
      </c>
      <c r="AA851" s="1" t="s">
        <v>49</v>
      </c>
      <c r="AB851" s="1" t="s">
        <v>49</v>
      </c>
      <c r="AC851" s="1" t="s">
        <v>1715</v>
      </c>
      <c r="AD851" s="1" t="s">
        <v>1716</v>
      </c>
      <c r="AE851" s="1" t="s">
        <v>1715</v>
      </c>
      <c r="AF851" s="1" t="s">
        <v>1717</v>
      </c>
      <c r="AG851" s="1" t="s">
        <v>53</v>
      </c>
      <c r="AH851" s="1" t="s">
        <v>49</v>
      </c>
      <c r="AI851" s="1" t="s">
        <v>54</v>
      </c>
      <c r="AJ851" s="1">
        <v>1</v>
      </c>
      <c r="AK851" s="1" t="str">
        <f t="shared" si="13"/>
        <v xml:space="preserve"> =&lt;90</v>
      </c>
      <c r="AL851" s="1" t="str">
        <f>VLOOKUP(C:C,[1]基础信息!B$1:D$65536,3,0)</f>
        <v>Jug</v>
      </c>
      <c r="AM851" s="1" t="str">
        <f>VLOOKUP(C:C,[1]基础信息!B$1:E$65536,4,0)</f>
        <v>Kalea XL ME4W</v>
      </c>
      <c r="AN851" s="1" t="str">
        <f>VLOOKUP(C:C,[1]基础信息!B$1:F$65536,5,0)</f>
        <v>grey</v>
      </c>
    </row>
    <row r="852" spans="1:40">
      <c r="A852" s="1" t="s">
        <v>41</v>
      </c>
      <c r="B852" s="1" t="s">
        <v>42</v>
      </c>
      <c r="C852" s="1" t="s">
        <v>502</v>
      </c>
      <c r="D852" s="1" t="s">
        <v>503</v>
      </c>
      <c r="E852" s="1" t="s">
        <v>502</v>
      </c>
      <c r="F852" s="1" t="s">
        <v>2067</v>
      </c>
      <c r="G852" s="1" t="s">
        <v>2068</v>
      </c>
      <c r="H852" s="1" t="s">
        <v>2069</v>
      </c>
      <c r="I852" s="1" t="s">
        <v>49</v>
      </c>
      <c r="J852" s="1" t="s">
        <v>48</v>
      </c>
      <c r="K852" s="1">
        <v>96</v>
      </c>
      <c r="L852" s="1">
        <v>0</v>
      </c>
      <c r="M852" s="1">
        <v>0</v>
      </c>
      <c r="N852" s="1">
        <v>96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 t="s">
        <v>49</v>
      </c>
      <c r="AA852" s="1" t="s">
        <v>49</v>
      </c>
      <c r="AB852" s="1" t="s">
        <v>49</v>
      </c>
      <c r="AC852" s="1" t="s">
        <v>2070</v>
      </c>
      <c r="AD852" s="1" t="s">
        <v>2071</v>
      </c>
      <c r="AE852" s="1" t="s">
        <v>2070</v>
      </c>
      <c r="AF852" s="1" t="s">
        <v>2072</v>
      </c>
      <c r="AG852" s="1" t="s">
        <v>338</v>
      </c>
      <c r="AH852" s="1" t="s">
        <v>49</v>
      </c>
      <c r="AI852" s="1" t="s">
        <v>54</v>
      </c>
      <c r="AJ852" s="1">
        <v>1</v>
      </c>
      <c r="AK852" s="1" t="str">
        <f t="shared" si="13"/>
        <v xml:space="preserve"> =&lt;90</v>
      </c>
      <c r="AL852" s="1" t="str">
        <f>VLOOKUP(C:C,[1]基础信息!B$1:D$65536,3,0)</f>
        <v>Jug</v>
      </c>
      <c r="AM852" s="1" t="str">
        <f>VLOOKUP(C:C,[1]基础信息!B$1:E$65536,4,0)</f>
        <v>Marella XL</v>
      </c>
      <c r="AN852" s="1" t="str">
        <f>VLOOKUP(C:C,[1]基础信息!B$1:F$65536,5,0)</f>
        <v>Blue</v>
      </c>
    </row>
    <row r="853" spans="1:40">
      <c r="A853" s="1" t="s">
        <v>41</v>
      </c>
      <c r="B853" s="1" t="s">
        <v>42</v>
      </c>
      <c r="C853" s="1" t="s">
        <v>301</v>
      </c>
      <c r="D853" s="1" t="s">
        <v>302</v>
      </c>
      <c r="E853" s="1" t="s">
        <v>45</v>
      </c>
      <c r="F853" s="1" t="s">
        <v>1902</v>
      </c>
      <c r="G853" s="1" t="s">
        <v>2073</v>
      </c>
      <c r="H853" s="1" t="s">
        <v>2074</v>
      </c>
      <c r="I853" s="1" t="s">
        <v>49</v>
      </c>
      <c r="J853" s="1" t="s">
        <v>48</v>
      </c>
      <c r="K853" s="1">
        <v>96</v>
      </c>
      <c r="L853" s="1">
        <v>0</v>
      </c>
      <c r="M853" s="1">
        <v>0</v>
      </c>
      <c r="N853" s="1">
        <v>96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 t="s">
        <v>49</v>
      </c>
      <c r="AA853" s="1" t="s">
        <v>49</v>
      </c>
      <c r="AB853" s="1" t="s">
        <v>49</v>
      </c>
      <c r="AC853" s="1" t="s">
        <v>1008</v>
      </c>
      <c r="AD853" s="1" t="s">
        <v>1009</v>
      </c>
      <c r="AE853" s="1" t="s">
        <v>1008</v>
      </c>
      <c r="AF853" s="1" t="s">
        <v>1905</v>
      </c>
      <c r="AG853" s="1" t="s">
        <v>53</v>
      </c>
      <c r="AH853" s="1" t="s">
        <v>49</v>
      </c>
      <c r="AI853" s="1" t="s">
        <v>54</v>
      </c>
      <c r="AJ853" s="1">
        <v>1</v>
      </c>
      <c r="AK853" s="1" t="str">
        <f t="shared" si="13"/>
        <v xml:space="preserve"> =&lt;90</v>
      </c>
      <c r="AL853" s="1" t="str">
        <f>VLOOKUP(C:C,[1]基础信息!B$1:D$65536,3,0)</f>
        <v>Jug</v>
      </c>
      <c r="AM853" s="1" t="str">
        <f>VLOOKUP(C:C,[1]基础信息!B$1:E$65536,4,0)</f>
        <v>Aluna</v>
      </c>
      <c r="AN853" s="1" t="str">
        <f>VLOOKUP(C:C,[1]基础信息!B$1:F$65536,5,0)</f>
        <v>Blue</v>
      </c>
    </row>
    <row r="854" spans="1:40">
      <c r="A854" s="1" t="s">
        <v>41</v>
      </c>
      <c r="B854" s="1" t="s">
        <v>42</v>
      </c>
      <c r="C854" s="1" t="s">
        <v>502</v>
      </c>
      <c r="D854" s="1" t="s">
        <v>503</v>
      </c>
      <c r="E854" s="1" t="s">
        <v>502</v>
      </c>
      <c r="F854" s="1" t="s">
        <v>2067</v>
      </c>
      <c r="G854" s="1" t="s">
        <v>2075</v>
      </c>
      <c r="H854" s="1" t="s">
        <v>2076</v>
      </c>
      <c r="I854" s="1" t="s">
        <v>49</v>
      </c>
      <c r="J854" s="1" t="s">
        <v>48</v>
      </c>
      <c r="K854" s="1">
        <v>96</v>
      </c>
      <c r="L854" s="1">
        <v>0</v>
      </c>
      <c r="M854" s="1">
        <v>0</v>
      </c>
      <c r="N854" s="1">
        <v>96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 t="s">
        <v>49</v>
      </c>
      <c r="AA854" s="1" t="s">
        <v>49</v>
      </c>
      <c r="AB854" s="1" t="s">
        <v>49</v>
      </c>
      <c r="AC854" s="1" t="s">
        <v>2070</v>
      </c>
      <c r="AD854" s="1" t="s">
        <v>2071</v>
      </c>
      <c r="AE854" s="1" t="s">
        <v>2070</v>
      </c>
      <c r="AF854" s="1" t="s">
        <v>2072</v>
      </c>
      <c r="AG854" s="1" t="s">
        <v>338</v>
      </c>
      <c r="AH854" s="1" t="s">
        <v>49</v>
      </c>
      <c r="AI854" s="1" t="s">
        <v>54</v>
      </c>
      <c r="AJ854" s="1">
        <v>1</v>
      </c>
      <c r="AK854" s="1" t="str">
        <f t="shared" si="13"/>
        <v xml:space="preserve"> =&lt;90</v>
      </c>
      <c r="AL854" s="1" t="str">
        <f>VLOOKUP(C:C,[1]基础信息!B$1:D$65536,3,0)</f>
        <v>Jug</v>
      </c>
      <c r="AM854" s="1" t="str">
        <f>VLOOKUP(C:C,[1]基础信息!B$1:E$65536,4,0)</f>
        <v>Marella XL</v>
      </c>
      <c r="AN854" s="1" t="str">
        <f>VLOOKUP(C:C,[1]基础信息!B$1:F$65536,5,0)</f>
        <v>Blue</v>
      </c>
    </row>
    <row r="855" spans="1:40">
      <c r="A855" s="1" t="s">
        <v>41</v>
      </c>
      <c r="B855" s="1" t="s">
        <v>42</v>
      </c>
      <c r="C855" s="1" t="s">
        <v>301</v>
      </c>
      <c r="D855" s="1" t="s">
        <v>302</v>
      </c>
      <c r="E855" s="1" t="s">
        <v>45</v>
      </c>
      <c r="F855" s="1" t="s">
        <v>1902</v>
      </c>
      <c r="G855" s="1" t="s">
        <v>2077</v>
      </c>
      <c r="H855" s="1" t="s">
        <v>2078</v>
      </c>
      <c r="I855" s="1" t="s">
        <v>49</v>
      </c>
      <c r="J855" s="1" t="s">
        <v>48</v>
      </c>
      <c r="K855" s="1">
        <v>96</v>
      </c>
      <c r="L855" s="1">
        <v>0</v>
      </c>
      <c r="M855" s="1">
        <v>0</v>
      </c>
      <c r="N855" s="1">
        <v>96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 t="s">
        <v>49</v>
      </c>
      <c r="AA855" s="1" t="s">
        <v>49</v>
      </c>
      <c r="AB855" s="1" t="s">
        <v>49</v>
      </c>
      <c r="AC855" s="1" t="s">
        <v>1008</v>
      </c>
      <c r="AD855" s="1" t="s">
        <v>1009</v>
      </c>
      <c r="AE855" s="1" t="s">
        <v>1008</v>
      </c>
      <c r="AF855" s="1" t="s">
        <v>1905</v>
      </c>
      <c r="AG855" s="1" t="s">
        <v>53</v>
      </c>
      <c r="AH855" s="1" t="s">
        <v>49</v>
      </c>
      <c r="AI855" s="1" t="s">
        <v>54</v>
      </c>
      <c r="AJ855" s="1">
        <v>1</v>
      </c>
      <c r="AK855" s="1" t="str">
        <f t="shared" si="13"/>
        <v xml:space="preserve"> =&lt;90</v>
      </c>
      <c r="AL855" s="1" t="str">
        <f>VLOOKUP(C:C,[1]基础信息!B$1:D$65536,3,0)</f>
        <v>Jug</v>
      </c>
      <c r="AM855" s="1" t="str">
        <f>VLOOKUP(C:C,[1]基础信息!B$1:E$65536,4,0)</f>
        <v>Aluna</v>
      </c>
      <c r="AN855" s="1" t="str">
        <f>VLOOKUP(C:C,[1]基础信息!B$1:F$65536,5,0)</f>
        <v>Blue</v>
      </c>
    </row>
    <row r="856" spans="1:40">
      <c r="A856" s="1" t="s">
        <v>41</v>
      </c>
      <c r="B856" s="1" t="s">
        <v>42</v>
      </c>
      <c r="C856" s="1" t="s">
        <v>301</v>
      </c>
      <c r="D856" s="1" t="s">
        <v>302</v>
      </c>
      <c r="E856" s="1" t="s">
        <v>45</v>
      </c>
      <c r="F856" s="1" t="s">
        <v>1902</v>
      </c>
      <c r="G856" s="1" t="s">
        <v>2079</v>
      </c>
      <c r="H856" s="1" t="s">
        <v>2080</v>
      </c>
      <c r="I856" s="1" t="s">
        <v>49</v>
      </c>
      <c r="J856" s="1" t="s">
        <v>48</v>
      </c>
      <c r="K856" s="1">
        <v>96</v>
      </c>
      <c r="L856" s="1">
        <v>0</v>
      </c>
      <c r="M856" s="1">
        <v>0</v>
      </c>
      <c r="N856" s="1">
        <v>96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 t="s">
        <v>49</v>
      </c>
      <c r="AA856" s="1" t="s">
        <v>49</v>
      </c>
      <c r="AB856" s="1" t="s">
        <v>49</v>
      </c>
      <c r="AC856" s="1" t="s">
        <v>1008</v>
      </c>
      <c r="AD856" s="1" t="s">
        <v>1009</v>
      </c>
      <c r="AE856" s="1" t="s">
        <v>1008</v>
      </c>
      <c r="AF856" s="1" t="s">
        <v>1905</v>
      </c>
      <c r="AG856" s="1" t="s">
        <v>53</v>
      </c>
      <c r="AH856" s="1" t="s">
        <v>49</v>
      </c>
      <c r="AI856" s="1" t="s">
        <v>54</v>
      </c>
      <c r="AJ856" s="1">
        <v>1</v>
      </c>
      <c r="AK856" s="1" t="str">
        <f t="shared" si="13"/>
        <v xml:space="preserve"> =&lt;90</v>
      </c>
      <c r="AL856" s="1" t="str">
        <f>VLOOKUP(C:C,[1]基础信息!B$1:D$65536,3,0)</f>
        <v>Jug</v>
      </c>
      <c r="AM856" s="1" t="str">
        <f>VLOOKUP(C:C,[1]基础信息!B$1:E$65536,4,0)</f>
        <v>Aluna</v>
      </c>
      <c r="AN856" s="1" t="str">
        <f>VLOOKUP(C:C,[1]基础信息!B$1:F$65536,5,0)</f>
        <v>Blue</v>
      </c>
    </row>
    <row r="857" spans="1:40">
      <c r="A857" s="1" t="s">
        <v>41</v>
      </c>
      <c r="B857" s="1" t="s">
        <v>42</v>
      </c>
      <c r="C857" s="1" t="s">
        <v>502</v>
      </c>
      <c r="D857" s="1" t="s">
        <v>503</v>
      </c>
      <c r="E857" s="1" t="s">
        <v>502</v>
      </c>
      <c r="F857" s="1" t="s">
        <v>2067</v>
      </c>
      <c r="G857" s="1" t="s">
        <v>2081</v>
      </c>
      <c r="H857" s="1" t="s">
        <v>2082</v>
      </c>
      <c r="I857" s="1" t="s">
        <v>49</v>
      </c>
      <c r="J857" s="1" t="s">
        <v>48</v>
      </c>
      <c r="K857" s="1">
        <v>96</v>
      </c>
      <c r="L857" s="1">
        <v>0</v>
      </c>
      <c r="M857" s="1">
        <v>0</v>
      </c>
      <c r="N857" s="1">
        <v>96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 t="s">
        <v>49</v>
      </c>
      <c r="AA857" s="1" t="s">
        <v>49</v>
      </c>
      <c r="AB857" s="1" t="s">
        <v>49</v>
      </c>
      <c r="AC857" s="1" t="s">
        <v>2070</v>
      </c>
      <c r="AD857" s="1" t="s">
        <v>2071</v>
      </c>
      <c r="AE857" s="1" t="s">
        <v>2070</v>
      </c>
      <c r="AF857" s="1" t="s">
        <v>2072</v>
      </c>
      <c r="AG857" s="1" t="s">
        <v>338</v>
      </c>
      <c r="AH857" s="1" t="s">
        <v>49</v>
      </c>
      <c r="AI857" s="1" t="s">
        <v>54</v>
      </c>
      <c r="AJ857" s="1">
        <v>1</v>
      </c>
      <c r="AK857" s="1" t="str">
        <f t="shared" si="13"/>
        <v xml:space="preserve"> =&lt;90</v>
      </c>
      <c r="AL857" s="1" t="str">
        <f>VLOOKUP(C:C,[1]基础信息!B$1:D$65536,3,0)</f>
        <v>Jug</v>
      </c>
      <c r="AM857" s="1" t="str">
        <f>VLOOKUP(C:C,[1]基础信息!B$1:E$65536,4,0)</f>
        <v>Marella XL</v>
      </c>
      <c r="AN857" s="1" t="str">
        <f>VLOOKUP(C:C,[1]基础信息!B$1:F$65536,5,0)</f>
        <v>Blue</v>
      </c>
    </row>
    <row r="858" spans="1:40">
      <c r="A858" s="1" t="s">
        <v>41</v>
      </c>
      <c r="B858" s="1" t="s">
        <v>42</v>
      </c>
      <c r="C858" s="1" t="s">
        <v>301</v>
      </c>
      <c r="D858" s="1" t="s">
        <v>302</v>
      </c>
      <c r="E858" s="1" t="s">
        <v>45</v>
      </c>
      <c r="F858" s="1" t="s">
        <v>1902</v>
      </c>
      <c r="G858" s="1" t="s">
        <v>2083</v>
      </c>
      <c r="H858" s="1" t="s">
        <v>2084</v>
      </c>
      <c r="I858" s="1" t="s">
        <v>49</v>
      </c>
      <c r="J858" s="1" t="s">
        <v>48</v>
      </c>
      <c r="K858" s="1">
        <v>96</v>
      </c>
      <c r="L858" s="1">
        <v>0</v>
      </c>
      <c r="M858" s="1">
        <v>0</v>
      </c>
      <c r="N858" s="1">
        <v>96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 t="s">
        <v>49</v>
      </c>
      <c r="AA858" s="1" t="s">
        <v>49</v>
      </c>
      <c r="AB858" s="1" t="s">
        <v>49</v>
      </c>
      <c r="AC858" s="1" t="s">
        <v>1008</v>
      </c>
      <c r="AD858" s="1" t="s">
        <v>1009</v>
      </c>
      <c r="AE858" s="1" t="s">
        <v>1008</v>
      </c>
      <c r="AF858" s="1" t="s">
        <v>1905</v>
      </c>
      <c r="AG858" s="1" t="s">
        <v>53</v>
      </c>
      <c r="AH858" s="1" t="s">
        <v>49</v>
      </c>
      <c r="AI858" s="1" t="s">
        <v>54</v>
      </c>
      <c r="AJ858" s="1">
        <v>1</v>
      </c>
      <c r="AK858" s="1" t="str">
        <f t="shared" si="13"/>
        <v xml:space="preserve"> =&lt;90</v>
      </c>
      <c r="AL858" s="1" t="str">
        <f>VLOOKUP(C:C,[1]基础信息!B$1:D$65536,3,0)</f>
        <v>Jug</v>
      </c>
      <c r="AM858" s="1" t="str">
        <f>VLOOKUP(C:C,[1]基础信息!B$1:E$65536,4,0)</f>
        <v>Aluna</v>
      </c>
      <c r="AN858" s="1" t="str">
        <f>VLOOKUP(C:C,[1]基础信息!B$1:F$65536,5,0)</f>
        <v>Blue</v>
      </c>
    </row>
    <row r="859" spans="1:40">
      <c r="A859" s="1" t="s">
        <v>41</v>
      </c>
      <c r="B859" s="1" t="s">
        <v>42</v>
      </c>
      <c r="C859" s="1" t="s">
        <v>969</v>
      </c>
      <c r="D859" s="1" t="s">
        <v>970</v>
      </c>
      <c r="E859" s="1" t="s">
        <v>45</v>
      </c>
      <c r="F859" s="1" t="s">
        <v>1926</v>
      </c>
      <c r="G859" s="1" t="s">
        <v>2085</v>
      </c>
      <c r="H859" s="1" t="s">
        <v>2086</v>
      </c>
      <c r="I859" s="1" t="s">
        <v>49</v>
      </c>
      <c r="J859" s="1" t="s">
        <v>48</v>
      </c>
      <c r="K859" s="1">
        <v>80</v>
      </c>
      <c r="L859" s="1">
        <v>0</v>
      </c>
      <c r="M859" s="1">
        <v>0</v>
      </c>
      <c r="N859" s="1">
        <v>80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 t="s">
        <v>49</v>
      </c>
      <c r="AA859" s="1" t="s">
        <v>49</v>
      </c>
      <c r="AB859" s="1" t="s">
        <v>49</v>
      </c>
      <c r="AC859" s="1" t="s">
        <v>128</v>
      </c>
      <c r="AD859" s="1" t="s">
        <v>129</v>
      </c>
      <c r="AE859" s="1" t="s">
        <v>128</v>
      </c>
      <c r="AF859" s="1" t="s">
        <v>1929</v>
      </c>
      <c r="AG859" s="1" t="s">
        <v>53</v>
      </c>
      <c r="AH859" s="1" t="s">
        <v>49</v>
      </c>
      <c r="AI859" s="1" t="s">
        <v>54</v>
      </c>
      <c r="AJ859" s="1">
        <v>1</v>
      </c>
      <c r="AK859" s="1" t="str">
        <f t="shared" si="13"/>
        <v xml:space="preserve"> =&lt;90</v>
      </c>
      <c r="AL859" s="1" t="str">
        <f>VLOOKUP(C:C,[1]基础信息!B$1:D$65536,3,0)</f>
        <v>Jug</v>
      </c>
      <c r="AM859" s="1" t="str">
        <f>VLOOKUP(C:C,[1]基础信息!B$1:E$65536,4,0)</f>
        <v>Mxplus</v>
      </c>
      <c r="AN859" s="1" t="str">
        <f>VLOOKUP(C:C,[1]基础信息!B$1:F$65536,5,0)</f>
        <v xml:space="preserve"> blue</v>
      </c>
    </row>
    <row r="860" spans="1:40">
      <c r="A860" s="1" t="s">
        <v>41</v>
      </c>
      <c r="B860" s="1" t="s">
        <v>42</v>
      </c>
      <c r="C860" s="1" t="s">
        <v>301</v>
      </c>
      <c r="D860" s="1" t="s">
        <v>302</v>
      </c>
      <c r="E860" s="1" t="s">
        <v>45</v>
      </c>
      <c r="F860" s="1" t="s">
        <v>1902</v>
      </c>
      <c r="G860" s="1" t="s">
        <v>2087</v>
      </c>
      <c r="H860" s="1" t="s">
        <v>2088</v>
      </c>
      <c r="I860" s="1" t="s">
        <v>49</v>
      </c>
      <c r="J860" s="1" t="s">
        <v>48</v>
      </c>
      <c r="K860" s="1">
        <v>96</v>
      </c>
      <c r="L860" s="1">
        <v>0</v>
      </c>
      <c r="M860" s="1">
        <v>0</v>
      </c>
      <c r="N860" s="1">
        <v>96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 t="s">
        <v>49</v>
      </c>
      <c r="AA860" s="1" t="s">
        <v>49</v>
      </c>
      <c r="AB860" s="1" t="s">
        <v>49</v>
      </c>
      <c r="AC860" s="1" t="s">
        <v>1008</v>
      </c>
      <c r="AD860" s="1" t="s">
        <v>1009</v>
      </c>
      <c r="AE860" s="1" t="s">
        <v>1008</v>
      </c>
      <c r="AF860" s="1" t="s">
        <v>1905</v>
      </c>
      <c r="AG860" s="1" t="s">
        <v>53</v>
      </c>
      <c r="AH860" s="1" t="s">
        <v>49</v>
      </c>
      <c r="AI860" s="1" t="s">
        <v>54</v>
      </c>
      <c r="AJ860" s="1">
        <v>1</v>
      </c>
      <c r="AK860" s="1" t="str">
        <f t="shared" si="13"/>
        <v xml:space="preserve"> =&lt;90</v>
      </c>
      <c r="AL860" s="1" t="str">
        <f>VLOOKUP(C:C,[1]基础信息!B$1:D$65536,3,0)</f>
        <v>Jug</v>
      </c>
      <c r="AM860" s="1" t="str">
        <f>VLOOKUP(C:C,[1]基础信息!B$1:E$65536,4,0)</f>
        <v>Aluna</v>
      </c>
      <c r="AN860" s="1" t="str">
        <f>VLOOKUP(C:C,[1]基础信息!B$1:F$65536,5,0)</f>
        <v>Blue</v>
      </c>
    </row>
    <row r="861" spans="1:40">
      <c r="A861" s="1" t="s">
        <v>41</v>
      </c>
      <c r="B861" s="1" t="s">
        <v>42</v>
      </c>
      <c r="C861" s="1" t="s">
        <v>83</v>
      </c>
      <c r="D861" s="1" t="s">
        <v>84</v>
      </c>
      <c r="E861" s="1" t="s">
        <v>45</v>
      </c>
      <c r="F861" s="1" t="s">
        <v>1419</v>
      </c>
      <c r="G861" s="1" t="s">
        <v>2089</v>
      </c>
      <c r="H861" s="1" t="s">
        <v>2090</v>
      </c>
      <c r="I861" s="1" t="s">
        <v>49</v>
      </c>
      <c r="J861" s="1" t="s">
        <v>48</v>
      </c>
      <c r="K861" s="1">
        <v>96</v>
      </c>
      <c r="L861" s="1">
        <v>0</v>
      </c>
      <c r="M861" s="1">
        <v>0</v>
      </c>
      <c r="N861" s="1">
        <v>96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 t="s">
        <v>49</v>
      </c>
      <c r="AA861" s="1" t="s">
        <v>49</v>
      </c>
      <c r="AB861" s="1" t="s">
        <v>49</v>
      </c>
      <c r="AC861" s="1" t="s">
        <v>213</v>
      </c>
      <c r="AD861" s="1" t="s">
        <v>214</v>
      </c>
      <c r="AE861" s="1" t="s">
        <v>215</v>
      </c>
      <c r="AF861" s="1" t="s">
        <v>1422</v>
      </c>
      <c r="AG861" s="1" t="s">
        <v>53</v>
      </c>
      <c r="AH861" s="1" t="s">
        <v>49</v>
      </c>
      <c r="AI861" s="1" t="s">
        <v>54</v>
      </c>
      <c r="AJ861" s="1">
        <v>1</v>
      </c>
      <c r="AK861" s="1" t="str">
        <f t="shared" si="13"/>
        <v xml:space="preserve"> =&lt;90</v>
      </c>
      <c r="AL861" s="1" t="str">
        <f>VLOOKUP(C:C,[1]基础信息!B$1:D$65536,3,0)</f>
        <v>Jug</v>
      </c>
      <c r="AM861" s="1" t="str">
        <f>VLOOKUP(C:C,[1]基础信息!B$1:E$65536,4,0)</f>
        <v>Mxplus</v>
      </c>
      <c r="AN861" s="1" t="str">
        <f>VLOOKUP(C:C,[1]基础信息!B$1:F$65536,5,0)</f>
        <v>Blue</v>
      </c>
    </row>
    <row r="862" spans="1:40">
      <c r="A862" s="1" t="s">
        <v>41</v>
      </c>
      <c r="B862" s="1" t="s">
        <v>42</v>
      </c>
      <c r="C862" s="1" t="s">
        <v>83</v>
      </c>
      <c r="D862" s="1" t="s">
        <v>84</v>
      </c>
      <c r="E862" s="1" t="s">
        <v>45</v>
      </c>
      <c r="F862" s="1" t="s">
        <v>1419</v>
      </c>
      <c r="G862" s="1" t="s">
        <v>2091</v>
      </c>
      <c r="H862" s="1" t="s">
        <v>2092</v>
      </c>
      <c r="I862" s="1" t="s">
        <v>49</v>
      </c>
      <c r="J862" s="1" t="s">
        <v>48</v>
      </c>
      <c r="K862" s="1">
        <v>96</v>
      </c>
      <c r="L862" s="1">
        <v>0</v>
      </c>
      <c r="M862" s="1">
        <v>0</v>
      </c>
      <c r="N862" s="1">
        <v>96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 t="s">
        <v>49</v>
      </c>
      <c r="AA862" s="1" t="s">
        <v>49</v>
      </c>
      <c r="AB862" s="1" t="s">
        <v>49</v>
      </c>
      <c r="AC862" s="1" t="s">
        <v>213</v>
      </c>
      <c r="AD862" s="1" t="s">
        <v>214</v>
      </c>
      <c r="AE862" s="1" t="s">
        <v>215</v>
      </c>
      <c r="AF862" s="1" t="s">
        <v>1422</v>
      </c>
      <c r="AG862" s="1" t="s">
        <v>53</v>
      </c>
      <c r="AH862" s="1" t="s">
        <v>49</v>
      </c>
      <c r="AI862" s="1" t="s">
        <v>54</v>
      </c>
      <c r="AJ862" s="1">
        <v>1</v>
      </c>
      <c r="AK862" s="1" t="str">
        <f t="shared" si="13"/>
        <v xml:space="preserve"> =&lt;90</v>
      </c>
      <c r="AL862" s="1" t="str">
        <f>VLOOKUP(C:C,[1]基础信息!B$1:D$65536,3,0)</f>
        <v>Jug</v>
      </c>
      <c r="AM862" s="1" t="str">
        <f>VLOOKUP(C:C,[1]基础信息!B$1:E$65536,4,0)</f>
        <v>Mxplus</v>
      </c>
      <c r="AN862" s="1" t="str">
        <f>VLOOKUP(C:C,[1]基础信息!B$1:F$65536,5,0)</f>
        <v>Blue</v>
      </c>
    </row>
    <row r="863" spans="1:40">
      <c r="A863" s="1" t="s">
        <v>41</v>
      </c>
      <c r="B863" s="1" t="s">
        <v>42</v>
      </c>
      <c r="C863" s="1" t="s">
        <v>1710</v>
      </c>
      <c r="D863" s="1" t="s">
        <v>1711</v>
      </c>
      <c r="E863" s="1" t="s">
        <v>45</v>
      </c>
      <c r="F863" s="1" t="s">
        <v>1712</v>
      </c>
      <c r="G863" s="1" t="s">
        <v>2093</v>
      </c>
      <c r="H863" s="1" t="s">
        <v>2094</v>
      </c>
      <c r="I863" s="1" t="s">
        <v>49</v>
      </c>
      <c r="J863" s="1" t="s">
        <v>48</v>
      </c>
      <c r="K863" s="1">
        <v>60</v>
      </c>
      <c r="L863" s="1">
        <v>0</v>
      </c>
      <c r="M863" s="1">
        <v>0</v>
      </c>
      <c r="N863" s="1">
        <v>60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 t="s">
        <v>49</v>
      </c>
      <c r="AA863" s="1" t="s">
        <v>49</v>
      </c>
      <c r="AB863" s="1" t="s">
        <v>49</v>
      </c>
      <c r="AC863" s="1" t="s">
        <v>1715</v>
      </c>
      <c r="AD863" s="1" t="s">
        <v>1716</v>
      </c>
      <c r="AE863" s="1" t="s">
        <v>1715</v>
      </c>
      <c r="AF863" s="1" t="s">
        <v>1717</v>
      </c>
      <c r="AG863" s="1" t="s">
        <v>53</v>
      </c>
      <c r="AH863" s="1" t="s">
        <v>49</v>
      </c>
      <c r="AI863" s="1" t="s">
        <v>54</v>
      </c>
      <c r="AJ863" s="1">
        <v>1</v>
      </c>
      <c r="AK863" s="1" t="str">
        <f t="shared" si="13"/>
        <v xml:space="preserve"> =&lt;90</v>
      </c>
      <c r="AL863" s="1" t="str">
        <f>VLOOKUP(C:C,[1]基础信息!B$1:D$65536,3,0)</f>
        <v>Jug</v>
      </c>
      <c r="AM863" s="1" t="str">
        <f>VLOOKUP(C:C,[1]基础信息!B$1:E$65536,4,0)</f>
        <v>Kalea XL ME4W</v>
      </c>
      <c r="AN863" s="1" t="str">
        <f>VLOOKUP(C:C,[1]基础信息!B$1:F$65536,5,0)</f>
        <v>grey</v>
      </c>
    </row>
    <row r="864" spans="1:40">
      <c r="A864" s="1" t="s">
        <v>41</v>
      </c>
      <c r="B864" s="1" t="s">
        <v>42</v>
      </c>
      <c r="C864" s="1" t="s">
        <v>969</v>
      </c>
      <c r="D864" s="1" t="s">
        <v>970</v>
      </c>
      <c r="E864" s="1" t="s">
        <v>45</v>
      </c>
      <c r="F864" s="1" t="s">
        <v>1926</v>
      </c>
      <c r="G864" s="1" t="s">
        <v>2095</v>
      </c>
      <c r="H864" s="1" t="s">
        <v>2096</v>
      </c>
      <c r="I864" s="1" t="s">
        <v>49</v>
      </c>
      <c r="J864" s="1" t="s">
        <v>48</v>
      </c>
      <c r="K864" s="1">
        <v>80</v>
      </c>
      <c r="L864" s="1">
        <v>0</v>
      </c>
      <c r="M864" s="1">
        <v>0</v>
      </c>
      <c r="N864" s="1">
        <v>80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 t="s">
        <v>49</v>
      </c>
      <c r="AA864" s="1" t="s">
        <v>49</v>
      </c>
      <c r="AB864" s="1" t="s">
        <v>49</v>
      </c>
      <c r="AC864" s="1" t="s">
        <v>128</v>
      </c>
      <c r="AD864" s="1" t="s">
        <v>129</v>
      </c>
      <c r="AE864" s="1" t="s">
        <v>128</v>
      </c>
      <c r="AF864" s="1" t="s">
        <v>1929</v>
      </c>
      <c r="AG864" s="1" t="s">
        <v>53</v>
      </c>
      <c r="AH864" s="1" t="s">
        <v>49</v>
      </c>
      <c r="AI864" s="1" t="s">
        <v>54</v>
      </c>
      <c r="AJ864" s="1">
        <v>1</v>
      </c>
      <c r="AK864" s="1" t="str">
        <f t="shared" si="13"/>
        <v xml:space="preserve"> =&lt;90</v>
      </c>
      <c r="AL864" s="1" t="str">
        <f>VLOOKUP(C:C,[1]基础信息!B$1:D$65536,3,0)</f>
        <v>Jug</v>
      </c>
      <c r="AM864" s="1" t="str">
        <f>VLOOKUP(C:C,[1]基础信息!B$1:E$65536,4,0)</f>
        <v>Mxplus</v>
      </c>
      <c r="AN864" s="1" t="str">
        <f>VLOOKUP(C:C,[1]基础信息!B$1:F$65536,5,0)</f>
        <v xml:space="preserve"> blue</v>
      </c>
    </row>
    <row r="865" spans="1:40">
      <c r="A865" s="1" t="s">
        <v>41</v>
      </c>
      <c r="B865" s="1" t="s">
        <v>42</v>
      </c>
      <c r="C865" s="1" t="s">
        <v>969</v>
      </c>
      <c r="D865" s="1" t="s">
        <v>970</v>
      </c>
      <c r="E865" s="1" t="s">
        <v>45</v>
      </c>
      <c r="F865" s="1" t="s">
        <v>1926</v>
      </c>
      <c r="G865" s="1" t="s">
        <v>2097</v>
      </c>
      <c r="H865" s="1" t="s">
        <v>2098</v>
      </c>
      <c r="I865" s="1" t="s">
        <v>49</v>
      </c>
      <c r="J865" s="1" t="s">
        <v>48</v>
      </c>
      <c r="K865" s="1">
        <v>80</v>
      </c>
      <c r="L865" s="1">
        <v>0</v>
      </c>
      <c r="M865" s="1">
        <v>0</v>
      </c>
      <c r="N865" s="1">
        <v>80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 t="s">
        <v>49</v>
      </c>
      <c r="AA865" s="1" t="s">
        <v>49</v>
      </c>
      <c r="AB865" s="1" t="s">
        <v>49</v>
      </c>
      <c r="AC865" s="1" t="s">
        <v>128</v>
      </c>
      <c r="AD865" s="1" t="s">
        <v>129</v>
      </c>
      <c r="AE865" s="1" t="s">
        <v>128</v>
      </c>
      <c r="AF865" s="1" t="s">
        <v>1929</v>
      </c>
      <c r="AG865" s="1" t="s">
        <v>53</v>
      </c>
      <c r="AH865" s="1" t="s">
        <v>49</v>
      </c>
      <c r="AI865" s="1" t="s">
        <v>54</v>
      </c>
      <c r="AJ865" s="1">
        <v>1</v>
      </c>
      <c r="AK865" s="1" t="str">
        <f t="shared" si="13"/>
        <v xml:space="preserve"> =&lt;90</v>
      </c>
      <c r="AL865" s="1" t="str">
        <f>VLOOKUP(C:C,[1]基础信息!B$1:D$65536,3,0)</f>
        <v>Jug</v>
      </c>
      <c r="AM865" s="1" t="str">
        <f>VLOOKUP(C:C,[1]基础信息!B$1:E$65536,4,0)</f>
        <v>Mxplus</v>
      </c>
      <c r="AN865" s="1" t="str">
        <f>VLOOKUP(C:C,[1]基础信息!B$1:F$65536,5,0)</f>
        <v xml:space="preserve"> blue</v>
      </c>
    </row>
    <row r="866" spans="1:40">
      <c r="A866" s="1" t="s">
        <v>41</v>
      </c>
      <c r="B866" s="1" t="s">
        <v>42</v>
      </c>
      <c r="C866" s="1" t="s">
        <v>969</v>
      </c>
      <c r="D866" s="1" t="s">
        <v>970</v>
      </c>
      <c r="E866" s="1" t="s">
        <v>45</v>
      </c>
      <c r="F866" s="1" t="s">
        <v>1926</v>
      </c>
      <c r="G866" s="1" t="s">
        <v>2099</v>
      </c>
      <c r="H866" s="1" t="s">
        <v>2100</v>
      </c>
      <c r="I866" s="1" t="s">
        <v>49</v>
      </c>
      <c r="J866" s="1" t="s">
        <v>48</v>
      </c>
      <c r="K866" s="1">
        <v>80</v>
      </c>
      <c r="L866" s="1">
        <v>0</v>
      </c>
      <c r="M866" s="1">
        <v>0</v>
      </c>
      <c r="N866" s="1">
        <v>80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 t="s">
        <v>49</v>
      </c>
      <c r="AA866" s="1" t="s">
        <v>49</v>
      </c>
      <c r="AB866" s="1" t="s">
        <v>49</v>
      </c>
      <c r="AC866" s="1" t="s">
        <v>128</v>
      </c>
      <c r="AD866" s="1" t="s">
        <v>129</v>
      </c>
      <c r="AE866" s="1" t="s">
        <v>128</v>
      </c>
      <c r="AF866" s="1" t="s">
        <v>1929</v>
      </c>
      <c r="AG866" s="1" t="s">
        <v>53</v>
      </c>
      <c r="AH866" s="1" t="s">
        <v>49</v>
      </c>
      <c r="AI866" s="1" t="s">
        <v>54</v>
      </c>
      <c r="AJ866" s="1">
        <v>1</v>
      </c>
      <c r="AK866" s="1" t="str">
        <f t="shared" si="13"/>
        <v xml:space="preserve"> =&lt;90</v>
      </c>
      <c r="AL866" s="1" t="str">
        <f>VLOOKUP(C:C,[1]基础信息!B$1:D$65536,3,0)</f>
        <v>Jug</v>
      </c>
      <c r="AM866" s="1" t="str">
        <f>VLOOKUP(C:C,[1]基础信息!B$1:E$65536,4,0)</f>
        <v>Mxplus</v>
      </c>
      <c r="AN866" s="1" t="str">
        <f>VLOOKUP(C:C,[1]基础信息!B$1:F$65536,5,0)</f>
        <v xml:space="preserve"> blue</v>
      </c>
    </row>
    <row r="867" spans="1:40">
      <c r="A867" s="1" t="s">
        <v>41</v>
      </c>
      <c r="B867" s="1" t="s">
        <v>42</v>
      </c>
      <c r="C867" s="1" t="s">
        <v>969</v>
      </c>
      <c r="D867" s="1" t="s">
        <v>970</v>
      </c>
      <c r="E867" s="1" t="s">
        <v>45</v>
      </c>
      <c r="F867" s="1" t="s">
        <v>1926</v>
      </c>
      <c r="G867" s="1" t="s">
        <v>2101</v>
      </c>
      <c r="H867" s="1" t="s">
        <v>2102</v>
      </c>
      <c r="I867" s="1" t="s">
        <v>49</v>
      </c>
      <c r="J867" s="1" t="s">
        <v>48</v>
      </c>
      <c r="K867" s="1">
        <v>80</v>
      </c>
      <c r="L867" s="1">
        <v>0</v>
      </c>
      <c r="M867" s="1">
        <v>0</v>
      </c>
      <c r="N867" s="1">
        <v>80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 t="s">
        <v>49</v>
      </c>
      <c r="AA867" s="1" t="s">
        <v>49</v>
      </c>
      <c r="AB867" s="1" t="s">
        <v>49</v>
      </c>
      <c r="AC867" s="1" t="s">
        <v>128</v>
      </c>
      <c r="AD867" s="1" t="s">
        <v>129</v>
      </c>
      <c r="AE867" s="1" t="s">
        <v>128</v>
      </c>
      <c r="AF867" s="1" t="s">
        <v>1929</v>
      </c>
      <c r="AG867" s="1" t="s">
        <v>53</v>
      </c>
      <c r="AH867" s="1" t="s">
        <v>49</v>
      </c>
      <c r="AI867" s="1" t="s">
        <v>54</v>
      </c>
      <c r="AJ867" s="1">
        <v>1</v>
      </c>
      <c r="AK867" s="1" t="str">
        <f t="shared" si="13"/>
        <v xml:space="preserve"> =&lt;90</v>
      </c>
      <c r="AL867" s="1" t="str">
        <f>VLOOKUP(C:C,[1]基础信息!B$1:D$65536,3,0)</f>
        <v>Jug</v>
      </c>
      <c r="AM867" s="1" t="str">
        <f>VLOOKUP(C:C,[1]基础信息!B$1:E$65536,4,0)</f>
        <v>Mxplus</v>
      </c>
      <c r="AN867" s="1" t="str">
        <f>VLOOKUP(C:C,[1]基础信息!B$1:F$65536,5,0)</f>
        <v xml:space="preserve"> blue</v>
      </c>
    </row>
    <row r="868" spans="1:40">
      <c r="A868" s="1" t="s">
        <v>41</v>
      </c>
      <c r="B868" s="1" t="s">
        <v>42</v>
      </c>
      <c r="C868" s="1" t="s">
        <v>969</v>
      </c>
      <c r="D868" s="1" t="s">
        <v>970</v>
      </c>
      <c r="E868" s="1" t="s">
        <v>45</v>
      </c>
      <c r="F868" s="1" t="s">
        <v>1926</v>
      </c>
      <c r="G868" s="1" t="s">
        <v>2103</v>
      </c>
      <c r="H868" s="1" t="s">
        <v>2104</v>
      </c>
      <c r="I868" s="1" t="s">
        <v>49</v>
      </c>
      <c r="J868" s="1" t="s">
        <v>48</v>
      </c>
      <c r="K868" s="1">
        <v>80</v>
      </c>
      <c r="L868" s="1">
        <v>0</v>
      </c>
      <c r="M868" s="1">
        <v>0</v>
      </c>
      <c r="N868" s="1">
        <v>80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 t="s">
        <v>49</v>
      </c>
      <c r="AA868" s="1" t="s">
        <v>49</v>
      </c>
      <c r="AB868" s="1" t="s">
        <v>49</v>
      </c>
      <c r="AC868" s="1" t="s">
        <v>128</v>
      </c>
      <c r="AD868" s="1" t="s">
        <v>129</v>
      </c>
      <c r="AE868" s="1" t="s">
        <v>128</v>
      </c>
      <c r="AF868" s="1" t="s">
        <v>1929</v>
      </c>
      <c r="AG868" s="1" t="s">
        <v>53</v>
      </c>
      <c r="AH868" s="1" t="s">
        <v>49</v>
      </c>
      <c r="AI868" s="1" t="s">
        <v>54</v>
      </c>
      <c r="AJ868" s="1">
        <v>1</v>
      </c>
      <c r="AK868" s="1" t="str">
        <f t="shared" si="13"/>
        <v xml:space="preserve"> =&lt;90</v>
      </c>
      <c r="AL868" s="1" t="str">
        <f>VLOOKUP(C:C,[1]基础信息!B$1:D$65536,3,0)</f>
        <v>Jug</v>
      </c>
      <c r="AM868" s="1" t="str">
        <f>VLOOKUP(C:C,[1]基础信息!B$1:E$65536,4,0)</f>
        <v>Mxplus</v>
      </c>
      <c r="AN868" s="1" t="str">
        <f>VLOOKUP(C:C,[1]基础信息!B$1:F$65536,5,0)</f>
        <v xml:space="preserve"> blue</v>
      </c>
    </row>
    <row r="869" spans="1:40">
      <c r="A869" s="1" t="s">
        <v>41</v>
      </c>
      <c r="B869" s="1" t="s">
        <v>42</v>
      </c>
      <c r="C869" s="1" t="s">
        <v>83</v>
      </c>
      <c r="D869" s="1" t="s">
        <v>84</v>
      </c>
      <c r="E869" s="1" t="s">
        <v>45</v>
      </c>
      <c r="F869" s="1" t="s">
        <v>1419</v>
      </c>
      <c r="G869" s="1" t="s">
        <v>2105</v>
      </c>
      <c r="H869" s="1" t="s">
        <v>2106</v>
      </c>
      <c r="I869" s="1" t="s">
        <v>49</v>
      </c>
      <c r="J869" s="1" t="s">
        <v>48</v>
      </c>
      <c r="K869" s="1">
        <v>96</v>
      </c>
      <c r="L869" s="1">
        <v>0</v>
      </c>
      <c r="M869" s="1">
        <v>0</v>
      </c>
      <c r="N869" s="1">
        <v>96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 t="s">
        <v>49</v>
      </c>
      <c r="AA869" s="1" t="s">
        <v>49</v>
      </c>
      <c r="AB869" s="1" t="s">
        <v>49</v>
      </c>
      <c r="AC869" s="1" t="s">
        <v>213</v>
      </c>
      <c r="AD869" s="1" t="s">
        <v>214</v>
      </c>
      <c r="AE869" s="1" t="s">
        <v>215</v>
      </c>
      <c r="AF869" s="1" t="s">
        <v>1422</v>
      </c>
      <c r="AG869" s="1" t="s">
        <v>53</v>
      </c>
      <c r="AH869" s="1" t="s">
        <v>49</v>
      </c>
      <c r="AI869" s="1" t="s">
        <v>54</v>
      </c>
      <c r="AJ869" s="1">
        <v>1</v>
      </c>
      <c r="AK869" s="1" t="str">
        <f t="shared" si="13"/>
        <v xml:space="preserve"> =&lt;90</v>
      </c>
      <c r="AL869" s="1" t="str">
        <f>VLOOKUP(C:C,[1]基础信息!B$1:D$65536,3,0)</f>
        <v>Jug</v>
      </c>
      <c r="AM869" s="1" t="str">
        <f>VLOOKUP(C:C,[1]基础信息!B$1:E$65536,4,0)</f>
        <v>Mxplus</v>
      </c>
      <c r="AN869" s="1" t="str">
        <f>VLOOKUP(C:C,[1]基础信息!B$1:F$65536,5,0)</f>
        <v>Blue</v>
      </c>
    </row>
    <row r="870" spans="1:40">
      <c r="A870" s="1" t="s">
        <v>41</v>
      </c>
      <c r="B870" s="1" t="s">
        <v>42</v>
      </c>
      <c r="C870" s="1" t="s">
        <v>83</v>
      </c>
      <c r="D870" s="1" t="s">
        <v>84</v>
      </c>
      <c r="E870" s="1" t="s">
        <v>45</v>
      </c>
      <c r="F870" s="1" t="s">
        <v>1419</v>
      </c>
      <c r="G870" s="1" t="s">
        <v>2107</v>
      </c>
      <c r="H870" s="1" t="s">
        <v>2108</v>
      </c>
      <c r="I870" s="1" t="s">
        <v>49</v>
      </c>
      <c r="J870" s="1" t="s">
        <v>48</v>
      </c>
      <c r="K870" s="1">
        <v>96</v>
      </c>
      <c r="L870" s="1">
        <v>0</v>
      </c>
      <c r="M870" s="1">
        <v>0</v>
      </c>
      <c r="N870" s="1">
        <v>96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 t="s">
        <v>49</v>
      </c>
      <c r="AA870" s="1" t="s">
        <v>49</v>
      </c>
      <c r="AB870" s="1" t="s">
        <v>49</v>
      </c>
      <c r="AC870" s="1" t="s">
        <v>213</v>
      </c>
      <c r="AD870" s="1" t="s">
        <v>214</v>
      </c>
      <c r="AE870" s="1" t="s">
        <v>215</v>
      </c>
      <c r="AF870" s="1" t="s">
        <v>1422</v>
      </c>
      <c r="AG870" s="1" t="s">
        <v>53</v>
      </c>
      <c r="AH870" s="1" t="s">
        <v>49</v>
      </c>
      <c r="AI870" s="1" t="s">
        <v>54</v>
      </c>
      <c r="AJ870" s="1">
        <v>1</v>
      </c>
      <c r="AK870" s="1" t="str">
        <f t="shared" si="13"/>
        <v xml:space="preserve"> =&lt;90</v>
      </c>
      <c r="AL870" s="1" t="str">
        <f>VLOOKUP(C:C,[1]基础信息!B$1:D$65536,3,0)</f>
        <v>Jug</v>
      </c>
      <c r="AM870" s="1" t="str">
        <f>VLOOKUP(C:C,[1]基础信息!B$1:E$65536,4,0)</f>
        <v>Mxplus</v>
      </c>
      <c r="AN870" s="1" t="str">
        <f>VLOOKUP(C:C,[1]基础信息!B$1:F$65536,5,0)</f>
        <v>Blue</v>
      </c>
    </row>
    <row r="871" spans="1:40">
      <c r="A871" s="1" t="s">
        <v>41</v>
      </c>
      <c r="B871" s="1" t="s">
        <v>42</v>
      </c>
      <c r="C871" s="1" t="s">
        <v>83</v>
      </c>
      <c r="D871" s="1" t="s">
        <v>84</v>
      </c>
      <c r="E871" s="1" t="s">
        <v>45</v>
      </c>
      <c r="F871" s="1" t="s">
        <v>1419</v>
      </c>
      <c r="G871" s="1" t="s">
        <v>2109</v>
      </c>
      <c r="H871" s="1" t="s">
        <v>2110</v>
      </c>
      <c r="I871" s="1" t="s">
        <v>49</v>
      </c>
      <c r="J871" s="1" t="s">
        <v>48</v>
      </c>
      <c r="K871" s="1">
        <v>96</v>
      </c>
      <c r="L871" s="1">
        <v>0</v>
      </c>
      <c r="M871" s="1">
        <v>0</v>
      </c>
      <c r="N871" s="1">
        <v>96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 t="s">
        <v>49</v>
      </c>
      <c r="AA871" s="1" t="s">
        <v>49</v>
      </c>
      <c r="AB871" s="1" t="s">
        <v>49</v>
      </c>
      <c r="AC871" s="1" t="s">
        <v>213</v>
      </c>
      <c r="AD871" s="1" t="s">
        <v>214</v>
      </c>
      <c r="AE871" s="1" t="s">
        <v>215</v>
      </c>
      <c r="AF871" s="1" t="s">
        <v>1422</v>
      </c>
      <c r="AG871" s="1" t="s">
        <v>53</v>
      </c>
      <c r="AH871" s="1" t="s">
        <v>49</v>
      </c>
      <c r="AI871" s="1" t="s">
        <v>54</v>
      </c>
      <c r="AJ871" s="1">
        <v>1</v>
      </c>
      <c r="AK871" s="1" t="str">
        <f t="shared" si="13"/>
        <v xml:space="preserve"> =&lt;90</v>
      </c>
      <c r="AL871" s="1" t="str">
        <f>VLOOKUP(C:C,[1]基础信息!B$1:D$65536,3,0)</f>
        <v>Jug</v>
      </c>
      <c r="AM871" s="1" t="str">
        <f>VLOOKUP(C:C,[1]基础信息!B$1:E$65536,4,0)</f>
        <v>Mxplus</v>
      </c>
      <c r="AN871" s="1" t="str">
        <f>VLOOKUP(C:C,[1]基础信息!B$1:F$65536,5,0)</f>
        <v>Blue</v>
      </c>
    </row>
    <row r="872" spans="1:40">
      <c r="A872" s="1" t="s">
        <v>41</v>
      </c>
      <c r="B872" s="1" t="s">
        <v>42</v>
      </c>
      <c r="C872" s="1" t="s">
        <v>1710</v>
      </c>
      <c r="D872" s="1" t="s">
        <v>1711</v>
      </c>
      <c r="E872" s="1" t="s">
        <v>45</v>
      </c>
      <c r="F872" s="1" t="s">
        <v>1712</v>
      </c>
      <c r="G872" s="1" t="s">
        <v>2111</v>
      </c>
      <c r="H872" s="1" t="s">
        <v>2112</v>
      </c>
      <c r="I872" s="1" t="s">
        <v>49</v>
      </c>
      <c r="J872" s="1" t="s">
        <v>48</v>
      </c>
      <c r="K872" s="1">
        <v>60</v>
      </c>
      <c r="L872" s="1">
        <v>0</v>
      </c>
      <c r="M872" s="1">
        <v>0</v>
      </c>
      <c r="N872" s="1">
        <v>60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 t="s">
        <v>49</v>
      </c>
      <c r="AA872" s="1" t="s">
        <v>49</v>
      </c>
      <c r="AB872" s="1" t="s">
        <v>49</v>
      </c>
      <c r="AC872" s="1" t="s">
        <v>1715</v>
      </c>
      <c r="AD872" s="1" t="s">
        <v>1716</v>
      </c>
      <c r="AE872" s="1" t="s">
        <v>1715</v>
      </c>
      <c r="AF872" s="1" t="s">
        <v>1717</v>
      </c>
      <c r="AG872" s="1" t="s">
        <v>53</v>
      </c>
      <c r="AH872" s="1" t="s">
        <v>49</v>
      </c>
      <c r="AI872" s="1" t="s">
        <v>54</v>
      </c>
      <c r="AJ872" s="1">
        <v>1</v>
      </c>
      <c r="AK872" s="1" t="str">
        <f t="shared" si="13"/>
        <v xml:space="preserve"> =&lt;90</v>
      </c>
      <c r="AL872" s="1" t="str">
        <f>VLOOKUP(C:C,[1]基础信息!B$1:D$65536,3,0)</f>
        <v>Jug</v>
      </c>
      <c r="AM872" s="1" t="str">
        <f>VLOOKUP(C:C,[1]基础信息!B$1:E$65536,4,0)</f>
        <v>Kalea XL ME4W</v>
      </c>
      <c r="AN872" s="1" t="str">
        <f>VLOOKUP(C:C,[1]基础信息!B$1:F$65536,5,0)</f>
        <v>grey</v>
      </c>
    </row>
    <row r="873" spans="1:40">
      <c r="A873" s="1" t="s">
        <v>41</v>
      </c>
      <c r="B873" s="1" t="s">
        <v>42</v>
      </c>
      <c r="C873" s="1" t="s">
        <v>208</v>
      </c>
      <c r="D873" s="1" t="s">
        <v>209</v>
      </c>
      <c r="E873" s="1" t="s">
        <v>208</v>
      </c>
      <c r="F873" s="1" t="s">
        <v>1734</v>
      </c>
      <c r="G873" s="1" t="s">
        <v>2113</v>
      </c>
      <c r="H873" s="1" t="s">
        <v>2114</v>
      </c>
      <c r="I873" s="1" t="s">
        <v>49</v>
      </c>
      <c r="J873" s="1" t="s">
        <v>48</v>
      </c>
      <c r="K873" s="1">
        <v>80</v>
      </c>
      <c r="L873" s="1">
        <v>0</v>
      </c>
      <c r="M873" s="1">
        <v>0</v>
      </c>
      <c r="N873" s="1">
        <v>80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 t="s">
        <v>49</v>
      </c>
      <c r="AA873" s="1" t="s">
        <v>49</v>
      </c>
      <c r="AB873" s="1" t="s">
        <v>49</v>
      </c>
      <c r="AC873" s="1" t="s">
        <v>376</v>
      </c>
      <c r="AD873" s="1" t="s">
        <v>377</v>
      </c>
      <c r="AE873" s="1" t="s">
        <v>376</v>
      </c>
      <c r="AF873" s="1" t="s">
        <v>1414</v>
      </c>
      <c r="AG873" s="1" t="s">
        <v>53</v>
      </c>
      <c r="AH873" s="1" t="s">
        <v>49</v>
      </c>
      <c r="AI873" s="1" t="s">
        <v>54</v>
      </c>
      <c r="AJ873" s="1">
        <v>1</v>
      </c>
      <c r="AK873" s="1" t="str">
        <f t="shared" si="13"/>
        <v xml:space="preserve"> =&lt;90</v>
      </c>
      <c r="AL873" s="1" t="str">
        <f>VLOOKUP(C:C,[1]基础信息!B$1:D$65536,3,0)</f>
        <v>Jug</v>
      </c>
      <c r="AM873" s="1" t="str">
        <f>VLOOKUP(C:C,[1]基础信息!B$1:E$65536,4,0)</f>
        <v>MXpl</v>
      </c>
      <c r="AN873" s="1" t="str">
        <f>VLOOKUP(C:C,[1]基础信息!B$1:F$65536,5,0)</f>
        <v>grey</v>
      </c>
    </row>
    <row r="874" spans="1:40">
      <c r="A874" s="1" t="s">
        <v>41</v>
      </c>
      <c r="B874" s="1" t="s">
        <v>42</v>
      </c>
      <c r="C874" s="1" t="s">
        <v>83</v>
      </c>
      <c r="D874" s="1" t="s">
        <v>84</v>
      </c>
      <c r="E874" s="1" t="s">
        <v>45</v>
      </c>
      <c r="F874" s="1" t="s">
        <v>1419</v>
      </c>
      <c r="G874" s="1" t="s">
        <v>2115</v>
      </c>
      <c r="H874" s="1" t="s">
        <v>2116</v>
      </c>
      <c r="I874" s="1" t="s">
        <v>49</v>
      </c>
      <c r="J874" s="1" t="s">
        <v>48</v>
      </c>
      <c r="K874" s="1">
        <v>96</v>
      </c>
      <c r="L874" s="1">
        <v>0</v>
      </c>
      <c r="M874" s="1">
        <v>0</v>
      </c>
      <c r="N874" s="1">
        <v>96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 t="s">
        <v>49</v>
      </c>
      <c r="AA874" s="1" t="s">
        <v>49</v>
      </c>
      <c r="AB874" s="1" t="s">
        <v>49</v>
      </c>
      <c r="AC874" s="1" t="s">
        <v>213</v>
      </c>
      <c r="AD874" s="1" t="s">
        <v>214</v>
      </c>
      <c r="AE874" s="1" t="s">
        <v>215</v>
      </c>
      <c r="AF874" s="1" t="s">
        <v>1422</v>
      </c>
      <c r="AG874" s="1" t="s">
        <v>53</v>
      </c>
      <c r="AH874" s="1" t="s">
        <v>49</v>
      </c>
      <c r="AI874" s="1" t="s">
        <v>54</v>
      </c>
      <c r="AJ874" s="1">
        <v>1</v>
      </c>
      <c r="AK874" s="1" t="str">
        <f t="shared" si="13"/>
        <v xml:space="preserve"> =&lt;90</v>
      </c>
      <c r="AL874" s="1" t="str">
        <f>VLOOKUP(C:C,[1]基础信息!B$1:D$65536,3,0)</f>
        <v>Jug</v>
      </c>
      <c r="AM874" s="1" t="str">
        <f>VLOOKUP(C:C,[1]基础信息!B$1:E$65536,4,0)</f>
        <v>Mxplus</v>
      </c>
      <c r="AN874" s="1" t="str">
        <f>VLOOKUP(C:C,[1]基础信息!B$1:F$65536,5,0)</f>
        <v>Blue</v>
      </c>
    </row>
    <row r="875" spans="1:40">
      <c r="A875" s="1" t="s">
        <v>41</v>
      </c>
      <c r="B875" s="1" t="s">
        <v>42</v>
      </c>
      <c r="C875" s="1" t="s">
        <v>208</v>
      </c>
      <c r="D875" s="1" t="s">
        <v>209</v>
      </c>
      <c r="E875" s="1" t="s">
        <v>208</v>
      </c>
      <c r="F875" s="1" t="s">
        <v>1734</v>
      </c>
      <c r="G875" s="1" t="s">
        <v>2117</v>
      </c>
      <c r="H875" s="1" t="s">
        <v>2118</v>
      </c>
      <c r="I875" s="1" t="s">
        <v>49</v>
      </c>
      <c r="J875" s="1" t="s">
        <v>48</v>
      </c>
      <c r="K875" s="1">
        <v>80</v>
      </c>
      <c r="L875" s="1">
        <v>0</v>
      </c>
      <c r="M875" s="1">
        <v>0</v>
      </c>
      <c r="N875" s="1">
        <v>80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 t="s">
        <v>49</v>
      </c>
      <c r="AA875" s="1" t="s">
        <v>49</v>
      </c>
      <c r="AB875" s="1" t="s">
        <v>49</v>
      </c>
      <c r="AC875" s="1" t="s">
        <v>376</v>
      </c>
      <c r="AD875" s="1" t="s">
        <v>377</v>
      </c>
      <c r="AE875" s="1" t="s">
        <v>376</v>
      </c>
      <c r="AF875" s="1" t="s">
        <v>1414</v>
      </c>
      <c r="AG875" s="1" t="s">
        <v>53</v>
      </c>
      <c r="AH875" s="1" t="s">
        <v>49</v>
      </c>
      <c r="AI875" s="1" t="s">
        <v>54</v>
      </c>
      <c r="AJ875" s="1">
        <v>1</v>
      </c>
      <c r="AK875" s="1" t="str">
        <f t="shared" si="13"/>
        <v xml:space="preserve"> =&lt;90</v>
      </c>
      <c r="AL875" s="1" t="str">
        <f>VLOOKUP(C:C,[1]基础信息!B$1:D$65536,3,0)</f>
        <v>Jug</v>
      </c>
      <c r="AM875" s="1" t="str">
        <f>VLOOKUP(C:C,[1]基础信息!B$1:E$65536,4,0)</f>
        <v>MXpl</v>
      </c>
      <c r="AN875" s="1" t="str">
        <f>VLOOKUP(C:C,[1]基础信息!B$1:F$65536,5,0)</f>
        <v>grey</v>
      </c>
    </row>
    <row r="876" spans="1:40">
      <c r="A876" s="1" t="s">
        <v>41</v>
      </c>
      <c r="B876" s="1" t="s">
        <v>42</v>
      </c>
      <c r="C876" s="1" t="s">
        <v>417</v>
      </c>
      <c r="D876" s="1" t="s">
        <v>418</v>
      </c>
      <c r="E876" s="1" t="s">
        <v>45</v>
      </c>
      <c r="F876" s="1" t="s">
        <v>1126</v>
      </c>
      <c r="G876" s="1" t="s">
        <v>2119</v>
      </c>
      <c r="H876" s="1" t="s">
        <v>2120</v>
      </c>
      <c r="I876" s="1" t="s">
        <v>49</v>
      </c>
      <c r="J876" s="1" t="s">
        <v>48</v>
      </c>
      <c r="K876" s="1">
        <v>96</v>
      </c>
      <c r="L876" s="1">
        <v>0</v>
      </c>
      <c r="M876" s="1">
        <v>0</v>
      </c>
      <c r="N876" s="1">
        <v>96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 t="s">
        <v>49</v>
      </c>
      <c r="AA876" s="1" t="s">
        <v>49</v>
      </c>
      <c r="AB876" s="1" t="s">
        <v>49</v>
      </c>
      <c r="AC876" s="1" t="s">
        <v>938</v>
      </c>
      <c r="AD876" s="1" t="s">
        <v>939</v>
      </c>
      <c r="AE876" s="1" t="s">
        <v>938</v>
      </c>
      <c r="AF876" s="1" t="s">
        <v>940</v>
      </c>
      <c r="AG876" s="1" t="s">
        <v>53</v>
      </c>
      <c r="AH876" s="1" t="s">
        <v>49</v>
      </c>
      <c r="AI876" s="1" t="s">
        <v>54</v>
      </c>
      <c r="AJ876" s="1">
        <v>1</v>
      </c>
      <c r="AK876" s="1" t="str">
        <f t="shared" si="13"/>
        <v xml:space="preserve"> =&lt;90</v>
      </c>
      <c r="AL876" s="1" t="str">
        <f>VLOOKUP(C:C,[1]基础信息!B$1:D$65536,3,0)</f>
        <v>Jug</v>
      </c>
      <c r="AM876" s="1" t="str">
        <f>VLOOKUP(C:C,[1]基础信息!B$1:E$65536,4,0)</f>
        <v>Marella XL</v>
      </c>
      <c r="AN876" s="1" t="str">
        <f>VLOOKUP(C:C,[1]基础信息!B$1:F$65536,5,0)</f>
        <v>Silver</v>
      </c>
    </row>
    <row r="877" spans="1:40">
      <c r="A877" s="1" t="s">
        <v>41</v>
      </c>
      <c r="B877" s="1" t="s">
        <v>42</v>
      </c>
      <c r="C877" s="1" t="s">
        <v>208</v>
      </c>
      <c r="D877" s="1" t="s">
        <v>209</v>
      </c>
      <c r="E877" s="1" t="s">
        <v>208</v>
      </c>
      <c r="F877" s="1" t="s">
        <v>1734</v>
      </c>
      <c r="G877" s="1" t="s">
        <v>2121</v>
      </c>
      <c r="H877" s="1" t="s">
        <v>2122</v>
      </c>
      <c r="I877" s="1" t="s">
        <v>49</v>
      </c>
      <c r="J877" s="1" t="s">
        <v>48</v>
      </c>
      <c r="K877" s="1">
        <v>80</v>
      </c>
      <c r="L877" s="1">
        <v>0</v>
      </c>
      <c r="M877" s="1">
        <v>0</v>
      </c>
      <c r="N877" s="1">
        <v>80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 t="s">
        <v>49</v>
      </c>
      <c r="AA877" s="1" t="s">
        <v>49</v>
      </c>
      <c r="AB877" s="1" t="s">
        <v>49</v>
      </c>
      <c r="AC877" s="1" t="s">
        <v>376</v>
      </c>
      <c r="AD877" s="1" t="s">
        <v>377</v>
      </c>
      <c r="AE877" s="1" t="s">
        <v>376</v>
      </c>
      <c r="AF877" s="1" t="s">
        <v>1414</v>
      </c>
      <c r="AG877" s="1" t="s">
        <v>53</v>
      </c>
      <c r="AH877" s="1" t="s">
        <v>49</v>
      </c>
      <c r="AI877" s="1" t="s">
        <v>54</v>
      </c>
      <c r="AJ877" s="1">
        <v>1</v>
      </c>
      <c r="AK877" s="1" t="str">
        <f t="shared" si="13"/>
        <v xml:space="preserve"> =&lt;90</v>
      </c>
      <c r="AL877" s="1" t="str">
        <f>VLOOKUP(C:C,[1]基础信息!B$1:D$65536,3,0)</f>
        <v>Jug</v>
      </c>
      <c r="AM877" s="1" t="str">
        <f>VLOOKUP(C:C,[1]基础信息!B$1:E$65536,4,0)</f>
        <v>MXpl</v>
      </c>
      <c r="AN877" s="1" t="str">
        <f>VLOOKUP(C:C,[1]基础信息!B$1:F$65536,5,0)</f>
        <v>grey</v>
      </c>
    </row>
    <row r="878" spans="1:40">
      <c r="A878" s="1" t="s">
        <v>41</v>
      </c>
      <c r="B878" s="1" t="s">
        <v>42</v>
      </c>
      <c r="C878" s="1" t="s">
        <v>208</v>
      </c>
      <c r="D878" s="1" t="s">
        <v>209</v>
      </c>
      <c r="E878" s="1" t="s">
        <v>208</v>
      </c>
      <c r="F878" s="1" t="s">
        <v>1734</v>
      </c>
      <c r="G878" s="1" t="s">
        <v>2123</v>
      </c>
      <c r="H878" s="1" t="s">
        <v>2124</v>
      </c>
      <c r="I878" s="1" t="s">
        <v>49</v>
      </c>
      <c r="J878" s="1" t="s">
        <v>48</v>
      </c>
      <c r="K878" s="1">
        <v>80</v>
      </c>
      <c r="L878" s="1">
        <v>0</v>
      </c>
      <c r="M878" s="1">
        <v>0</v>
      </c>
      <c r="N878" s="1">
        <v>80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 t="s">
        <v>49</v>
      </c>
      <c r="AA878" s="1" t="s">
        <v>49</v>
      </c>
      <c r="AB878" s="1" t="s">
        <v>49</v>
      </c>
      <c r="AC878" s="1" t="s">
        <v>376</v>
      </c>
      <c r="AD878" s="1" t="s">
        <v>377</v>
      </c>
      <c r="AE878" s="1" t="s">
        <v>376</v>
      </c>
      <c r="AF878" s="1" t="s">
        <v>1414</v>
      </c>
      <c r="AG878" s="1" t="s">
        <v>53</v>
      </c>
      <c r="AH878" s="1" t="s">
        <v>49</v>
      </c>
      <c r="AI878" s="1" t="s">
        <v>54</v>
      </c>
      <c r="AJ878" s="1">
        <v>1</v>
      </c>
      <c r="AK878" s="1" t="str">
        <f t="shared" si="13"/>
        <v xml:space="preserve"> =&lt;90</v>
      </c>
      <c r="AL878" s="1" t="str">
        <f>VLOOKUP(C:C,[1]基础信息!B$1:D$65536,3,0)</f>
        <v>Jug</v>
      </c>
      <c r="AM878" s="1" t="str">
        <f>VLOOKUP(C:C,[1]基础信息!B$1:E$65536,4,0)</f>
        <v>MXpl</v>
      </c>
      <c r="AN878" s="1" t="str">
        <f>VLOOKUP(C:C,[1]基础信息!B$1:F$65536,5,0)</f>
        <v>grey</v>
      </c>
    </row>
    <row r="879" spans="1:40">
      <c r="A879" s="1" t="s">
        <v>41</v>
      </c>
      <c r="B879" s="1" t="s">
        <v>42</v>
      </c>
      <c r="C879" s="1" t="s">
        <v>208</v>
      </c>
      <c r="D879" s="1" t="s">
        <v>209</v>
      </c>
      <c r="E879" s="1" t="s">
        <v>208</v>
      </c>
      <c r="F879" s="1" t="s">
        <v>1734</v>
      </c>
      <c r="G879" s="1" t="s">
        <v>2125</v>
      </c>
      <c r="H879" s="1" t="s">
        <v>2126</v>
      </c>
      <c r="I879" s="1" t="s">
        <v>49</v>
      </c>
      <c r="J879" s="1" t="s">
        <v>48</v>
      </c>
      <c r="K879" s="1">
        <v>80</v>
      </c>
      <c r="L879" s="1">
        <v>0</v>
      </c>
      <c r="M879" s="1">
        <v>0</v>
      </c>
      <c r="N879" s="1">
        <v>80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 t="s">
        <v>49</v>
      </c>
      <c r="AA879" s="1" t="s">
        <v>49</v>
      </c>
      <c r="AB879" s="1" t="s">
        <v>49</v>
      </c>
      <c r="AC879" s="1" t="s">
        <v>376</v>
      </c>
      <c r="AD879" s="1" t="s">
        <v>377</v>
      </c>
      <c r="AE879" s="1" t="s">
        <v>376</v>
      </c>
      <c r="AF879" s="1" t="s">
        <v>1414</v>
      </c>
      <c r="AG879" s="1" t="s">
        <v>53</v>
      </c>
      <c r="AH879" s="1" t="s">
        <v>49</v>
      </c>
      <c r="AI879" s="1" t="s">
        <v>54</v>
      </c>
      <c r="AJ879" s="1">
        <v>1</v>
      </c>
      <c r="AK879" s="1" t="str">
        <f t="shared" si="13"/>
        <v xml:space="preserve"> =&lt;90</v>
      </c>
      <c r="AL879" s="1" t="str">
        <f>VLOOKUP(C:C,[1]基础信息!B$1:D$65536,3,0)</f>
        <v>Jug</v>
      </c>
      <c r="AM879" s="1" t="str">
        <f>VLOOKUP(C:C,[1]基础信息!B$1:E$65536,4,0)</f>
        <v>MXpl</v>
      </c>
      <c r="AN879" s="1" t="str">
        <f>VLOOKUP(C:C,[1]基础信息!B$1:F$65536,5,0)</f>
        <v>grey</v>
      </c>
    </row>
    <row r="880" spans="1:40">
      <c r="A880" s="1" t="s">
        <v>41</v>
      </c>
      <c r="B880" s="1" t="s">
        <v>42</v>
      </c>
      <c r="C880" s="1" t="s">
        <v>208</v>
      </c>
      <c r="D880" s="1" t="s">
        <v>209</v>
      </c>
      <c r="E880" s="1" t="s">
        <v>208</v>
      </c>
      <c r="F880" s="1" t="s">
        <v>1734</v>
      </c>
      <c r="G880" s="1" t="s">
        <v>2127</v>
      </c>
      <c r="H880" s="1" t="s">
        <v>2128</v>
      </c>
      <c r="I880" s="1" t="s">
        <v>49</v>
      </c>
      <c r="J880" s="1" t="s">
        <v>48</v>
      </c>
      <c r="K880" s="1">
        <v>80</v>
      </c>
      <c r="L880" s="1">
        <v>0</v>
      </c>
      <c r="M880" s="1">
        <v>0</v>
      </c>
      <c r="N880" s="1">
        <v>80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 t="s">
        <v>49</v>
      </c>
      <c r="AA880" s="1" t="s">
        <v>49</v>
      </c>
      <c r="AB880" s="1" t="s">
        <v>49</v>
      </c>
      <c r="AC880" s="1" t="s">
        <v>376</v>
      </c>
      <c r="AD880" s="1" t="s">
        <v>377</v>
      </c>
      <c r="AE880" s="1" t="s">
        <v>376</v>
      </c>
      <c r="AF880" s="1" t="s">
        <v>1414</v>
      </c>
      <c r="AG880" s="1" t="s">
        <v>53</v>
      </c>
      <c r="AH880" s="1" t="s">
        <v>49</v>
      </c>
      <c r="AI880" s="1" t="s">
        <v>54</v>
      </c>
      <c r="AJ880" s="1">
        <v>1</v>
      </c>
      <c r="AK880" s="1" t="str">
        <f t="shared" si="13"/>
        <v xml:space="preserve"> =&lt;90</v>
      </c>
      <c r="AL880" s="1" t="str">
        <f>VLOOKUP(C:C,[1]基础信息!B$1:D$65536,3,0)</f>
        <v>Jug</v>
      </c>
      <c r="AM880" s="1" t="str">
        <f>VLOOKUP(C:C,[1]基础信息!B$1:E$65536,4,0)</f>
        <v>MXpl</v>
      </c>
      <c r="AN880" s="1" t="str">
        <f>VLOOKUP(C:C,[1]基础信息!B$1:F$65536,5,0)</f>
        <v>grey</v>
      </c>
    </row>
    <row r="881" spans="1:40">
      <c r="A881" s="1" t="s">
        <v>41</v>
      </c>
      <c r="B881" s="1" t="s">
        <v>42</v>
      </c>
      <c r="C881" s="1" t="s">
        <v>208</v>
      </c>
      <c r="D881" s="1" t="s">
        <v>209</v>
      </c>
      <c r="E881" s="1" t="s">
        <v>208</v>
      </c>
      <c r="F881" s="1" t="s">
        <v>1734</v>
      </c>
      <c r="G881" s="1" t="s">
        <v>2129</v>
      </c>
      <c r="H881" s="1" t="s">
        <v>2130</v>
      </c>
      <c r="I881" s="1" t="s">
        <v>49</v>
      </c>
      <c r="J881" s="1" t="s">
        <v>48</v>
      </c>
      <c r="K881" s="1">
        <v>80</v>
      </c>
      <c r="L881" s="1">
        <v>0</v>
      </c>
      <c r="M881" s="1">
        <v>0</v>
      </c>
      <c r="N881" s="1">
        <v>80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 t="s">
        <v>49</v>
      </c>
      <c r="AA881" s="1" t="s">
        <v>49</v>
      </c>
      <c r="AB881" s="1" t="s">
        <v>49</v>
      </c>
      <c r="AC881" s="1" t="s">
        <v>376</v>
      </c>
      <c r="AD881" s="1" t="s">
        <v>377</v>
      </c>
      <c r="AE881" s="1" t="s">
        <v>376</v>
      </c>
      <c r="AF881" s="1" t="s">
        <v>1414</v>
      </c>
      <c r="AG881" s="1" t="s">
        <v>53</v>
      </c>
      <c r="AH881" s="1" t="s">
        <v>49</v>
      </c>
      <c r="AI881" s="1" t="s">
        <v>54</v>
      </c>
      <c r="AJ881" s="1">
        <v>1</v>
      </c>
      <c r="AK881" s="1" t="str">
        <f t="shared" si="13"/>
        <v xml:space="preserve"> =&lt;90</v>
      </c>
      <c r="AL881" s="1" t="str">
        <f>VLOOKUP(C:C,[1]基础信息!B$1:D$65536,3,0)</f>
        <v>Jug</v>
      </c>
      <c r="AM881" s="1" t="str">
        <f>VLOOKUP(C:C,[1]基础信息!B$1:E$65536,4,0)</f>
        <v>MXpl</v>
      </c>
      <c r="AN881" s="1" t="str">
        <f>VLOOKUP(C:C,[1]基础信息!B$1:F$65536,5,0)</f>
        <v>grey</v>
      </c>
    </row>
    <row r="882" spans="1:40">
      <c r="A882" s="1" t="s">
        <v>41</v>
      </c>
      <c r="B882" s="1" t="s">
        <v>42</v>
      </c>
      <c r="C882" s="1" t="s">
        <v>208</v>
      </c>
      <c r="D882" s="1" t="s">
        <v>209</v>
      </c>
      <c r="E882" s="1" t="s">
        <v>208</v>
      </c>
      <c r="F882" s="1" t="s">
        <v>1734</v>
      </c>
      <c r="G882" s="1" t="s">
        <v>2131</v>
      </c>
      <c r="H882" s="1" t="s">
        <v>2132</v>
      </c>
      <c r="I882" s="1" t="s">
        <v>49</v>
      </c>
      <c r="J882" s="1" t="s">
        <v>48</v>
      </c>
      <c r="K882" s="1">
        <v>80</v>
      </c>
      <c r="L882" s="1">
        <v>0</v>
      </c>
      <c r="M882" s="1">
        <v>0</v>
      </c>
      <c r="N882" s="1">
        <v>80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 t="s">
        <v>49</v>
      </c>
      <c r="AA882" s="1" t="s">
        <v>49</v>
      </c>
      <c r="AB882" s="1" t="s">
        <v>49</v>
      </c>
      <c r="AC882" s="1" t="s">
        <v>376</v>
      </c>
      <c r="AD882" s="1" t="s">
        <v>377</v>
      </c>
      <c r="AE882" s="1" t="s">
        <v>376</v>
      </c>
      <c r="AF882" s="1" t="s">
        <v>1414</v>
      </c>
      <c r="AG882" s="1" t="s">
        <v>53</v>
      </c>
      <c r="AH882" s="1" t="s">
        <v>49</v>
      </c>
      <c r="AI882" s="1" t="s">
        <v>54</v>
      </c>
      <c r="AJ882" s="1">
        <v>1</v>
      </c>
      <c r="AK882" s="1" t="str">
        <f t="shared" si="13"/>
        <v xml:space="preserve"> =&lt;90</v>
      </c>
      <c r="AL882" s="1" t="str">
        <f>VLOOKUP(C:C,[1]基础信息!B$1:D$65536,3,0)</f>
        <v>Jug</v>
      </c>
      <c r="AM882" s="1" t="str">
        <f>VLOOKUP(C:C,[1]基础信息!B$1:E$65536,4,0)</f>
        <v>MXpl</v>
      </c>
      <c r="AN882" s="1" t="str">
        <f>VLOOKUP(C:C,[1]基础信息!B$1:F$65536,5,0)</f>
        <v>grey</v>
      </c>
    </row>
    <row r="883" spans="1:40">
      <c r="A883" s="1" t="s">
        <v>41</v>
      </c>
      <c r="B883" s="1" t="s">
        <v>42</v>
      </c>
      <c r="C883" s="1" t="s">
        <v>208</v>
      </c>
      <c r="D883" s="1" t="s">
        <v>209</v>
      </c>
      <c r="E883" s="1" t="s">
        <v>208</v>
      </c>
      <c r="F883" s="1" t="s">
        <v>1734</v>
      </c>
      <c r="G883" s="1" t="s">
        <v>2133</v>
      </c>
      <c r="H883" s="1" t="s">
        <v>2134</v>
      </c>
      <c r="I883" s="1" t="s">
        <v>49</v>
      </c>
      <c r="J883" s="1" t="s">
        <v>48</v>
      </c>
      <c r="K883" s="1">
        <v>80</v>
      </c>
      <c r="L883" s="1">
        <v>0</v>
      </c>
      <c r="M883" s="1">
        <v>0</v>
      </c>
      <c r="N883" s="1">
        <v>80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 t="s">
        <v>49</v>
      </c>
      <c r="AA883" s="1" t="s">
        <v>49</v>
      </c>
      <c r="AB883" s="1" t="s">
        <v>49</v>
      </c>
      <c r="AC883" s="1" t="s">
        <v>376</v>
      </c>
      <c r="AD883" s="1" t="s">
        <v>377</v>
      </c>
      <c r="AE883" s="1" t="s">
        <v>376</v>
      </c>
      <c r="AF883" s="1" t="s">
        <v>1414</v>
      </c>
      <c r="AG883" s="1" t="s">
        <v>53</v>
      </c>
      <c r="AH883" s="1" t="s">
        <v>49</v>
      </c>
      <c r="AI883" s="1" t="s">
        <v>54</v>
      </c>
      <c r="AJ883" s="1">
        <v>1</v>
      </c>
      <c r="AK883" s="1" t="str">
        <f t="shared" si="13"/>
        <v xml:space="preserve"> =&lt;90</v>
      </c>
      <c r="AL883" s="1" t="str">
        <f>VLOOKUP(C:C,[1]基础信息!B$1:D$65536,3,0)</f>
        <v>Jug</v>
      </c>
      <c r="AM883" s="1" t="str">
        <f>VLOOKUP(C:C,[1]基础信息!B$1:E$65536,4,0)</f>
        <v>MXpl</v>
      </c>
      <c r="AN883" s="1" t="str">
        <f>VLOOKUP(C:C,[1]基础信息!B$1:F$65536,5,0)</f>
        <v>grey</v>
      </c>
    </row>
    <row r="884" spans="1:40">
      <c r="A884" s="1" t="s">
        <v>41</v>
      </c>
      <c r="B884" s="1" t="s">
        <v>42</v>
      </c>
      <c r="C884" s="1" t="s">
        <v>969</v>
      </c>
      <c r="D884" s="1" t="s">
        <v>970</v>
      </c>
      <c r="E884" s="1" t="s">
        <v>45</v>
      </c>
      <c r="F884" s="1" t="s">
        <v>1926</v>
      </c>
      <c r="G884" s="1" t="s">
        <v>2135</v>
      </c>
      <c r="H884" s="1" t="s">
        <v>2136</v>
      </c>
      <c r="I884" s="1" t="s">
        <v>49</v>
      </c>
      <c r="J884" s="1" t="s">
        <v>48</v>
      </c>
      <c r="K884" s="1">
        <v>80</v>
      </c>
      <c r="L884" s="1">
        <v>0</v>
      </c>
      <c r="M884" s="1">
        <v>0</v>
      </c>
      <c r="N884" s="1">
        <v>80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 t="s">
        <v>49</v>
      </c>
      <c r="AA884" s="1" t="s">
        <v>49</v>
      </c>
      <c r="AB884" s="1" t="s">
        <v>49</v>
      </c>
      <c r="AC884" s="1" t="s">
        <v>128</v>
      </c>
      <c r="AD884" s="1" t="s">
        <v>129</v>
      </c>
      <c r="AE884" s="1" t="s">
        <v>128</v>
      </c>
      <c r="AF884" s="1" t="s">
        <v>1929</v>
      </c>
      <c r="AG884" s="1" t="s">
        <v>53</v>
      </c>
      <c r="AH884" s="1" t="s">
        <v>49</v>
      </c>
      <c r="AI884" s="1" t="s">
        <v>54</v>
      </c>
      <c r="AJ884" s="1">
        <v>1</v>
      </c>
      <c r="AK884" s="1" t="str">
        <f t="shared" si="13"/>
        <v xml:space="preserve"> =&lt;90</v>
      </c>
      <c r="AL884" s="1" t="str">
        <f>VLOOKUP(C:C,[1]基础信息!B$1:D$65536,3,0)</f>
        <v>Jug</v>
      </c>
      <c r="AM884" s="1" t="str">
        <f>VLOOKUP(C:C,[1]基础信息!B$1:E$65536,4,0)</f>
        <v>Mxplus</v>
      </c>
      <c r="AN884" s="1" t="str">
        <f>VLOOKUP(C:C,[1]基础信息!B$1:F$65536,5,0)</f>
        <v xml:space="preserve"> blue</v>
      </c>
    </row>
    <row r="885" spans="1:40">
      <c r="A885" s="1" t="s">
        <v>41</v>
      </c>
      <c r="B885" s="1" t="s">
        <v>42</v>
      </c>
      <c r="C885" s="1" t="s">
        <v>208</v>
      </c>
      <c r="D885" s="1" t="s">
        <v>209</v>
      </c>
      <c r="E885" s="1" t="s">
        <v>208</v>
      </c>
      <c r="F885" s="1" t="s">
        <v>1734</v>
      </c>
      <c r="G885" s="1" t="s">
        <v>2137</v>
      </c>
      <c r="H885" s="1" t="s">
        <v>2138</v>
      </c>
      <c r="I885" s="1" t="s">
        <v>49</v>
      </c>
      <c r="J885" s="1" t="s">
        <v>48</v>
      </c>
      <c r="K885" s="1">
        <v>80</v>
      </c>
      <c r="L885" s="1">
        <v>0</v>
      </c>
      <c r="M885" s="1">
        <v>0</v>
      </c>
      <c r="N885" s="1">
        <v>80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 t="s">
        <v>49</v>
      </c>
      <c r="AA885" s="1" t="s">
        <v>49</v>
      </c>
      <c r="AB885" s="1" t="s">
        <v>49</v>
      </c>
      <c r="AC885" s="1" t="s">
        <v>376</v>
      </c>
      <c r="AD885" s="1" t="s">
        <v>377</v>
      </c>
      <c r="AE885" s="1" t="s">
        <v>376</v>
      </c>
      <c r="AF885" s="1" t="s">
        <v>1414</v>
      </c>
      <c r="AG885" s="1" t="s">
        <v>53</v>
      </c>
      <c r="AH885" s="1" t="s">
        <v>49</v>
      </c>
      <c r="AI885" s="1" t="s">
        <v>54</v>
      </c>
      <c r="AJ885" s="1">
        <v>1</v>
      </c>
      <c r="AK885" s="1" t="str">
        <f t="shared" si="13"/>
        <v xml:space="preserve"> =&lt;90</v>
      </c>
      <c r="AL885" s="1" t="str">
        <f>VLOOKUP(C:C,[1]基础信息!B$1:D$65536,3,0)</f>
        <v>Jug</v>
      </c>
      <c r="AM885" s="1" t="str">
        <f>VLOOKUP(C:C,[1]基础信息!B$1:E$65536,4,0)</f>
        <v>MXpl</v>
      </c>
      <c r="AN885" s="1" t="str">
        <f>VLOOKUP(C:C,[1]基础信息!B$1:F$65536,5,0)</f>
        <v>grey</v>
      </c>
    </row>
    <row r="886" spans="1:40">
      <c r="A886" s="1" t="s">
        <v>41</v>
      </c>
      <c r="B886" s="1" t="s">
        <v>42</v>
      </c>
      <c r="C886" s="1" t="s">
        <v>208</v>
      </c>
      <c r="D886" s="1" t="s">
        <v>209</v>
      </c>
      <c r="E886" s="1" t="s">
        <v>208</v>
      </c>
      <c r="F886" s="1" t="s">
        <v>1734</v>
      </c>
      <c r="G886" s="1" t="s">
        <v>2139</v>
      </c>
      <c r="H886" s="1" t="s">
        <v>2140</v>
      </c>
      <c r="I886" s="1" t="s">
        <v>49</v>
      </c>
      <c r="J886" s="1" t="s">
        <v>48</v>
      </c>
      <c r="K886" s="1">
        <v>80</v>
      </c>
      <c r="L886" s="1">
        <v>0</v>
      </c>
      <c r="M886" s="1">
        <v>0</v>
      </c>
      <c r="N886" s="1">
        <v>80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 t="s">
        <v>49</v>
      </c>
      <c r="AA886" s="1" t="s">
        <v>49</v>
      </c>
      <c r="AB886" s="1" t="s">
        <v>49</v>
      </c>
      <c r="AC886" s="1" t="s">
        <v>376</v>
      </c>
      <c r="AD886" s="1" t="s">
        <v>377</v>
      </c>
      <c r="AE886" s="1" t="s">
        <v>376</v>
      </c>
      <c r="AF886" s="1" t="s">
        <v>1414</v>
      </c>
      <c r="AG886" s="1" t="s">
        <v>53</v>
      </c>
      <c r="AH886" s="1" t="s">
        <v>49</v>
      </c>
      <c r="AI886" s="1" t="s">
        <v>54</v>
      </c>
      <c r="AJ886" s="1">
        <v>1</v>
      </c>
      <c r="AK886" s="1" t="str">
        <f t="shared" si="13"/>
        <v xml:space="preserve"> =&lt;90</v>
      </c>
      <c r="AL886" s="1" t="str">
        <f>VLOOKUP(C:C,[1]基础信息!B$1:D$65536,3,0)</f>
        <v>Jug</v>
      </c>
      <c r="AM886" s="1" t="str">
        <f>VLOOKUP(C:C,[1]基础信息!B$1:E$65536,4,0)</f>
        <v>MXpl</v>
      </c>
      <c r="AN886" s="1" t="str">
        <f>VLOOKUP(C:C,[1]基础信息!B$1:F$65536,5,0)</f>
        <v>grey</v>
      </c>
    </row>
    <row r="887" spans="1:40">
      <c r="A887" s="1" t="s">
        <v>41</v>
      </c>
      <c r="B887" s="1" t="s">
        <v>42</v>
      </c>
      <c r="C887" s="1" t="s">
        <v>208</v>
      </c>
      <c r="D887" s="1" t="s">
        <v>209</v>
      </c>
      <c r="E887" s="1" t="s">
        <v>208</v>
      </c>
      <c r="F887" s="1" t="s">
        <v>1734</v>
      </c>
      <c r="G887" s="1" t="s">
        <v>2141</v>
      </c>
      <c r="H887" s="1" t="s">
        <v>2142</v>
      </c>
      <c r="I887" s="1" t="s">
        <v>49</v>
      </c>
      <c r="J887" s="1" t="s">
        <v>48</v>
      </c>
      <c r="K887" s="1">
        <v>80</v>
      </c>
      <c r="L887" s="1">
        <v>0</v>
      </c>
      <c r="M887" s="1">
        <v>0</v>
      </c>
      <c r="N887" s="1">
        <v>80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 t="s">
        <v>49</v>
      </c>
      <c r="AA887" s="1" t="s">
        <v>49</v>
      </c>
      <c r="AB887" s="1" t="s">
        <v>49</v>
      </c>
      <c r="AC887" s="1" t="s">
        <v>376</v>
      </c>
      <c r="AD887" s="1" t="s">
        <v>377</v>
      </c>
      <c r="AE887" s="1" t="s">
        <v>376</v>
      </c>
      <c r="AF887" s="1" t="s">
        <v>1414</v>
      </c>
      <c r="AG887" s="1" t="s">
        <v>53</v>
      </c>
      <c r="AH887" s="1" t="s">
        <v>49</v>
      </c>
      <c r="AI887" s="1" t="s">
        <v>54</v>
      </c>
      <c r="AJ887" s="1">
        <v>1</v>
      </c>
      <c r="AK887" s="1" t="str">
        <f t="shared" si="13"/>
        <v xml:space="preserve"> =&lt;90</v>
      </c>
      <c r="AL887" s="1" t="str">
        <f>VLOOKUP(C:C,[1]基础信息!B$1:D$65536,3,0)</f>
        <v>Jug</v>
      </c>
      <c r="AM887" s="1" t="str">
        <f>VLOOKUP(C:C,[1]基础信息!B$1:E$65536,4,0)</f>
        <v>MXpl</v>
      </c>
      <c r="AN887" s="1" t="str">
        <f>VLOOKUP(C:C,[1]基础信息!B$1:F$65536,5,0)</f>
        <v>grey</v>
      </c>
    </row>
    <row r="888" spans="1:40">
      <c r="A888" s="1" t="s">
        <v>41</v>
      </c>
      <c r="B888" s="1" t="s">
        <v>42</v>
      </c>
      <c r="C888" s="1" t="s">
        <v>208</v>
      </c>
      <c r="D888" s="1" t="s">
        <v>209</v>
      </c>
      <c r="E888" s="1" t="s">
        <v>208</v>
      </c>
      <c r="F888" s="1" t="s">
        <v>1734</v>
      </c>
      <c r="G888" s="1" t="s">
        <v>2143</v>
      </c>
      <c r="H888" s="1" t="s">
        <v>2144</v>
      </c>
      <c r="I888" s="1" t="s">
        <v>49</v>
      </c>
      <c r="J888" s="1" t="s">
        <v>48</v>
      </c>
      <c r="K888" s="1">
        <v>80</v>
      </c>
      <c r="L888" s="1">
        <v>0</v>
      </c>
      <c r="M888" s="1">
        <v>0</v>
      </c>
      <c r="N888" s="1">
        <v>80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 t="s">
        <v>49</v>
      </c>
      <c r="AA888" s="1" t="s">
        <v>49</v>
      </c>
      <c r="AB888" s="1" t="s">
        <v>49</v>
      </c>
      <c r="AC888" s="1" t="s">
        <v>376</v>
      </c>
      <c r="AD888" s="1" t="s">
        <v>377</v>
      </c>
      <c r="AE888" s="1" t="s">
        <v>376</v>
      </c>
      <c r="AF888" s="1" t="s">
        <v>1414</v>
      </c>
      <c r="AG888" s="1" t="s">
        <v>53</v>
      </c>
      <c r="AH888" s="1" t="s">
        <v>49</v>
      </c>
      <c r="AI888" s="1" t="s">
        <v>54</v>
      </c>
      <c r="AJ888" s="1">
        <v>1</v>
      </c>
      <c r="AK888" s="1" t="str">
        <f t="shared" si="13"/>
        <v xml:space="preserve"> =&lt;90</v>
      </c>
      <c r="AL888" s="1" t="str">
        <f>VLOOKUP(C:C,[1]基础信息!B$1:D$65536,3,0)</f>
        <v>Jug</v>
      </c>
      <c r="AM888" s="1" t="str">
        <f>VLOOKUP(C:C,[1]基础信息!B$1:E$65536,4,0)</f>
        <v>MXpl</v>
      </c>
      <c r="AN888" s="1" t="str">
        <f>VLOOKUP(C:C,[1]基础信息!B$1:F$65536,5,0)</f>
        <v>grey</v>
      </c>
    </row>
    <row r="889" spans="1:40">
      <c r="A889" s="1" t="s">
        <v>41</v>
      </c>
      <c r="B889" s="1" t="s">
        <v>42</v>
      </c>
      <c r="C889" s="1" t="s">
        <v>208</v>
      </c>
      <c r="D889" s="1" t="s">
        <v>209</v>
      </c>
      <c r="E889" s="1" t="s">
        <v>208</v>
      </c>
      <c r="F889" s="1" t="s">
        <v>1734</v>
      </c>
      <c r="G889" s="1" t="s">
        <v>2145</v>
      </c>
      <c r="H889" s="1" t="s">
        <v>2146</v>
      </c>
      <c r="I889" s="1" t="s">
        <v>49</v>
      </c>
      <c r="J889" s="1" t="s">
        <v>48</v>
      </c>
      <c r="K889" s="1">
        <v>80</v>
      </c>
      <c r="L889" s="1">
        <v>0</v>
      </c>
      <c r="M889" s="1">
        <v>0</v>
      </c>
      <c r="N889" s="1">
        <v>80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 t="s">
        <v>49</v>
      </c>
      <c r="AA889" s="1" t="s">
        <v>49</v>
      </c>
      <c r="AB889" s="1" t="s">
        <v>49</v>
      </c>
      <c r="AC889" s="1" t="s">
        <v>376</v>
      </c>
      <c r="AD889" s="1" t="s">
        <v>377</v>
      </c>
      <c r="AE889" s="1" t="s">
        <v>376</v>
      </c>
      <c r="AF889" s="1" t="s">
        <v>1414</v>
      </c>
      <c r="AG889" s="1" t="s">
        <v>53</v>
      </c>
      <c r="AH889" s="1" t="s">
        <v>49</v>
      </c>
      <c r="AI889" s="1" t="s">
        <v>54</v>
      </c>
      <c r="AJ889" s="1">
        <v>1</v>
      </c>
      <c r="AK889" s="1" t="str">
        <f t="shared" si="13"/>
        <v xml:space="preserve"> =&lt;90</v>
      </c>
      <c r="AL889" s="1" t="str">
        <f>VLOOKUP(C:C,[1]基础信息!B$1:D$65536,3,0)</f>
        <v>Jug</v>
      </c>
      <c r="AM889" s="1" t="str">
        <f>VLOOKUP(C:C,[1]基础信息!B$1:E$65536,4,0)</f>
        <v>MXpl</v>
      </c>
      <c r="AN889" s="1" t="str">
        <f>VLOOKUP(C:C,[1]基础信息!B$1:F$65536,5,0)</f>
        <v>grey</v>
      </c>
    </row>
    <row r="890" spans="1:40">
      <c r="A890" s="1" t="s">
        <v>41</v>
      </c>
      <c r="B890" s="1" t="s">
        <v>42</v>
      </c>
      <c r="C890" s="1" t="s">
        <v>208</v>
      </c>
      <c r="D890" s="1" t="s">
        <v>209</v>
      </c>
      <c r="E890" s="1" t="s">
        <v>208</v>
      </c>
      <c r="F890" s="1" t="s">
        <v>1734</v>
      </c>
      <c r="G890" s="1" t="s">
        <v>2147</v>
      </c>
      <c r="H890" s="1" t="s">
        <v>2148</v>
      </c>
      <c r="I890" s="1" t="s">
        <v>49</v>
      </c>
      <c r="J890" s="1" t="s">
        <v>48</v>
      </c>
      <c r="K890" s="1">
        <v>80</v>
      </c>
      <c r="L890" s="1">
        <v>0</v>
      </c>
      <c r="M890" s="1">
        <v>0</v>
      </c>
      <c r="N890" s="1">
        <v>80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 t="s">
        <v>49</v>
      </c>
      <c r="AA890" s="1" t="s">
        <v>49</v>
      </c>
      <c r="AB890" s="1" t="s">
        <v>49</v>
      </c>
      <c r="AC890" s="1" t="s">
        <v>376</v>
      </c>
      <c r="AD890" s="1" t="s">
        <v>377</v>
      </c>
      <c r="AE890" s="1" t="s">
        <v>376</v>
      </c>
      <c r="AF890" s="1" t="s">
        <v>1414</v>
      </c>
      <c r="AG890" s="1" t="s">
        <v>53</v>
      </c>
      <c r="AH890" s="1" t="s">
        <v>49</v>
      </c>
      <c r="AI890" s="1" t="s">
        <v>54</v>
      </c>
      <c r="AJ890" s="1">
        <v>1</v>
      </c>
      <c r="AK890" s="1" t="str">
        <f t="shared" si="13"/>
        <v xml:space="preserve"> =&lt;90</v>
      </c>
      <c r="AL890" s="1" t="str">
        <f>VLOOKUP(C:C,[1]基础信息!B$1:D$65536,3,0)</f>
        <v>Jug</v>
      </c>
      <c r="AM890" s="1" t="str">
        <f>VLOOKUP(C:C,[1]基础信息!B$1:E$65536,4,0)</f>
        <v>MXpl</v>
      </c>
      <c r="AN890" s="1" t="str">
        <f>VLOOKUP(C:C,[1]基础信息!B$1:F$65536,5,0)</f>
        <v>grey</v>
      </c>
    </row>
    <row r="891" spans="1:40">
      <c r="A891" s="1" t="s">
        <v>41</v>
      </c>
      <c r="B891" s="1" t="s">
        <v>42</v>
      </c>
      <c r="C891" s="1" t="s">
        <v>969</v>
      </c>
      <c r="D891" s="1" t="s">
        <v>970</v>
      </c>
      <c r="E891" s="1" t="s">
        <v>45</v>
      </c>
      <c r="F891" s="1" t="s">
        <v>1926</v>
      </c>
      <c r="G891" s="1" t="s">
        <v>2149</v>
      </c>
      <c r="H891" s="1" t="s">
        <v>2150</v>
      </c>
      <c r="I891" s="1" t="s">
        <v>49</v>
      </c>
      <c r="J891" s="1" t="s">
        <v>48</v>
      </c>
      <c r="K891" s="1">
        <v>80</v>
      </c>
      <c r="L891" s="1">
        <v>0</v>
      </c>
      <c r="M891" s="1">
        <v>0</v>
      </c>
      <c r="N891" s="1">
        <v>80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 t="s">
        <v>49</v>
      </c>
      <c r="AA891" s="1" t="s">
        <v>49</v>
      </c>
      <c r="AB891" s="1" t="s">
        <v>49</v>
      </c>
      <c r="AC891" s="1" t="s">
        <v>128</v>
      </c>
      <c r="AD891" s="1" t="s">
        <v>129</v>
      </c>
      <c r="AE891" s="1" t="s">
        <v>128</v>
      </c>
      <c r="AF891" s="1" t="s">
        <v>1929</v>
      </c>
      <c r="AG891" s="1" t="s">
        <v>53</v>
      </c>
      <c r="AH891" s="1" t="s">
        <v>49</v>
      </c>
      <c r="AI891" s="1" t="s">
        <v>54</v>
      </c>
      <c r="AJ891" s="1">
        <v>1</v>
      </c>
      <c r="AK891" s="1" t="str">
        <f t="shared" si="13"/>
        <v xml:space="preserve"> =&lt;90</v>
      </c>
      <c r="AL891" s="1" t="str">
        <f>VLOOKUP(C:C,[1]基础信息!B$1:D$65536,3,0)</f>
        <v>Jug</v>
      </c>
      <c r="AM891" s="1" t="str">
        <f>VLOOKUP(C:C,[1]基础信息!B$1:E$65536,4,0)</f>
        <v>Mxplus</v>
      </c>
      <c r="AN891" s="1" t="str">
        <f>VLOOKUP(C:C,[1]基础信息!B$1:F$65536,5,0)</f>
        <v xml:space="preserve"> blue</v>
      </c>
    </row>
    <row r="892" spans="1:40">
      <c r="A892" s="1" t="s">
        <v>41</v>
      </c>
      <c r="B892" s="1" t="s">
        <v>42</v>
      </c>
      <c r="C892" s="1" t="s">
        <v>502</v>
      </c>
      <c r="D892" s="1" t="s">
        <v>503</v>
      </c>
      <c r="E892" s="1" t="s">
        <v>502</v>
      </c>
      <c r="F892" s="1" t="s">
        <v>2151</v>
      </c>
      <c r="G892" s="1" t="s">
        <v>2152</v>
      </c>
      <c r="H892" s="1" t="s">
        <v>2153</v>
      </c>
      <c r="I892" s="1" t="s">
        <v>49</v>
      </c>
      <c r="J892" s="1" t="s">
        <v>48</v>
      </c>
      <c r="K892" s="1">
        <v>96</v>
      </c>
      <c r="L892" s="1">
        <v>0</v>
      </c>
      <c r="M892" s="1">
        <v>0</v>
      </c>
      <c r="N892" s="1">
        <v>96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 t="s">
        <v>49</v>
      </c>
      <c r="AA892" s="1" t="s">
        <v>49</v>
      </c>
      <c r="AB892" s="1" t="s">
        <v>49</v>
      </c>
      <c r="AC892" s="1" t="s">
        <v>2154</v>
      </c>
      <c r="AD892" s="1" t="s">
        <v>2155</v>
      </c>
      <c r="AE892" s="1" t="s">
        <v>2154</v>
      </c>
      <c r="AF892" s="1" t="s">
        <v>2072</v>
      </c>
      <c r="AG892" s="1" t="s">
        <v>338</v>
      </c>
      <c r="AH892" s="1" t="s">
        <v>49</v>
      </c>
      <c r="AI892" s="1" t="s">
        <v>54</v>
      </c>
      <c r="AJ892" s="1">
        <v>1</v>
      </c>
      <c r="AK892" s="1" t="str">
        <f t="shared" si="13"/>
        <v xml:space="preserve"> =&lt;90</v>
      </c>
      <c r="AL892" s="1" t="str">
        <f>VLOOKUP(C:C,[1]基础信息!B$1:D$65536,3,0)</f>
        <v>Jug</v>
      </c>
      <c r="AM892" s="1" t="str">
        <f>VLOOKUP(C:C,[1]基础信息!B$1:E$65536,4,0)</f>
        <v>Marella XL</v>
      </c>
      <c r="AN892" s="1" t="str">
        <f>VLOOKUP(C:C,[1]基础信息!B$1:F$65536,5,0)</f>
        <v>Blue</v>
      </c>
    </row>
    <row r="893" spans="1:40">
      <c r="A893" s="1" t="s">
        <v>41</v>
      </c>
      <c r="B893" s="1" t="s">
        <v>42</v>
      </c>
      <c r="C893" s="1" t="s">
        <v>208</v>
      </c>
      <c r="D893" s="1" t="s">
        <v>209</v>
      </c>
      <c r="E893" s="1" t="s">
        <v>208</v>
      </c>
      <c r="F893" s="1" t="s">
        <v>1734</v>
      </c>
      <c r="G893" s="1" t="s">
        <v>2156</v>
      </c>
      <c r="H893" s="1" t="s">
        <v>2157</v>
      </c>
      <c r="I893" s="1" t="s">
        <v>49</v>
      </c>
      <c r="J893" s="1" t="s">
        <v>48</v>
      </c>
      <c r="K893" s="1">
        <v>80</v>
      </c>
      <c r="L893" s="1">
        <v>0</v>
      </c>
      <c r="M893" s="1">
        <v>0</v>
      </c>
      <c r="N893" s="1">
        <v>80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 t="s">
        <v>49</v>
      </c>
      <c r="AA893" s="1" t="s">
        <v>49</v>
      </c>
      <c r="AB893" s="1" t="s">
        <v>49</v>
      </c>
      <c r="AC893" s="1" t="s">
        <v>376</v>
      </c>
      <c r="AD893" s="1" t="s">
        <v>377</v>
      </c>
      <c r="AE893" s="1" t="s">
        <v>376</v>
      </c>
      <c r="AF893" s="1" t="s">
        <v>1414</v>
      </c>
      <c r="AG893" s="1" t="s">
        <v>53</v>
      </c>
      <c r="AH893" s="1" t="s">
        <v>49</v>
      </c>
      <c r="AI893" s="1" t="s">
        <v>54</v>
      </c>
      <c r="AJ893" s="1">
        <v>1</v>
      </c>
      <c r="AK893" s="1" t="str">
        <f t="shared" si="13"/>
        <v xml:space="preserve"> =&lt;90</v>
      </c>
      <c r="AL893" s="1" t="str">
        <f>VLOOKUP(C:C,[1]基础信息!B$1:D$65536,3,0)</f>
        <v>Jug</v>
      </c>
      <c r="AM893" s="1" t="str">
        <f>VLOOKUP(C:C,[1]基础信息!B$1:E$65536,4,0)</f>
        <v>MXpl</v>
      </c>
      <c r="AN893" s="1" t="str">
        <f>VLOOKUP(C:C,[1]基础信息!B$1:F$65536,5,0)</f>
        <v>grey</v>
      </c>
    </row>
    <row r="894" spans="1:40">
      <c r="A894" s="1" t="s">
        <v>41</v>
      </c>
      <c r="B894" s="1" t="s">
        <v>42</v>
      </c>
      <c r="C894" s="1" t="s">
        <v>208</v>
      </c>
      <c r="D894" s="1" t="s">
        <v>209</v>
      </c>
      <c r="E894" s="1" t="s">
        <v>208</v>
      </c>
      <c r="F894" s="1" t="s">
        <v>1734</v>
      </c>
      <c r="G894" s="1" t="s">
        <v>2158</v>
      </c>
      <c r="H894" s="1" t="s">
        <v>2159</v>
      </c>
      <c r="I894" s="1" t="s">
        <v>49</v>
      </c>
      <c r="J894" s="1" t="s">
        <v>48</v>
      </c>
      <c r="K894" s="1">
        <v>80</v>
      </c>
      <c r="L894" s="1">
        <v>0</v>
      </c>
      <c r="M894" s="1">
        <v>0</v>
      </c>
      <c r="N894" s="1">
        <v>80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 t="s">
        <v>49</v>
      </c>
      <c r="AA894" s="1" t="s">
        <v>49</v>
      </c>
      <c r="AB894" s="1" t="s">
        <v>49</v>
      </c>
      <c r="AC894" s="1" t="s">
        <v>376</v>
      </c>
      <c r="AD894" s="1" t="s">
        <v>377</v>
      </c>
      <c r="AE894" s="1" t="s">
        <v>376</v>
      </c>
      <c r="AF894" s="1" t="s">
        <v>1414</v>
      </c>
      <c r="AG894" s="1" t="s">
        <v>53</v>
      </c>
      <c r="AH894" s="1" t="s">
        <v>49</v>
      </c>
      <c r="AI894" s="1" t="s">
        <v>54</v>
      </c>
      <c r="AJ894" s="1">
        <v>1</v>
      </c>
      <c r="AK894" s="1" t="str">
        <f t="shared" si="13"/>
        <v xml:space="preserve"> =&lt;90</v>
      </c>
      <c r="AL894" s="1" t="str">
        <f>VLOOKUP(C:C,[1]基础信息!B$1:D$65536,3,0)</f>
        <v>Jug</v>
      </c>
      <c r="AM894" s="1" t="str">
        <f>VLOOKUP(C:C,[1]基础信息!B$1:E$65536,4,0)</f>
        <v>MXpl</v>
      </c>
      <c r="AN894" s="1" t="str">
        <f>VLOOKUP(C:C,[1]基础信息!B$1:F$65536,5,0)</f>
        <v>grey</v>
      </c>
    </row>
    <row r="895" spans="1:40">
      <c r="A895" s="1" t="s">
        <v>41</v>
      </c>
      <c r="B895" s="1" t="s">
        <v>42</v>
      </c>
      <c r="C895" s="1" t="s">
        <v>208</v>
      </c>
      <c r="D895" s="1" t="s">
        <v>209</v>
      </c>
      <c r="E895" s="1" t="s">
        <v>208</v>
      </c>
      <c r="F895" s="1" t="s">
        <v>1734</v>
      </c>
      <c r="G895" s="1" t="s">
        <v>2160</v>
      </c>
      <c r="H895" s="1" t="s">
        <v>2161</v>
      </c>
      <c r="I895" s="1" t="s">
        <v>49</v>
      </c>
      <c r="J895" s="1" t="s">
        <v>48</v>
      </c>
      <c r="K895" s="1">
        <v>80</v>
      </c>
      <c r="L895" s="1">
        <v>0</v>
      </c>
      <c r="M895" s="1">
        <v>0</v>
      </c>
      <c r="N895" s="1">
        <v>80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 t="s">
        <v>49</v>
      </c>
      <c r="AA895" s="1" t="s">
        <v>49</v>
      </c>
      <c r="AB895" s="1" t="s">
        <v>49</v>
      </c>
      <c r="AC895" s="1" t="s">
        <v>376</v>
      </c>
      <c r="AD895" s="1" t="s">
        <v>377</v>
      </c>
      <c r="AE895" s="1" t="s">
        <v>376</v>
      </c>
      <c r="AF895" s="1" t="s">
        <v>1414</v>
      </c>
      <c r="AG895" s="1" t="s">
        <v>53</v>
      </c>
      <c r="AH895" s="1" t="s">
        <v>49</v>
      </c>
      <c r="AI895" s="1" t="s">
        <v>54</v>
      </c>
      <c r="AJ895" s="1">
        <v>1</v>
      </c>
      <c r="AK895" s="1" t="str">
        <f t="shared" si="13"/>
        <v xml:space="preserve"> =&lt;90</v>
      </c>
      <c r="AL895" s="1" t="str">
        <f>VLOOKUP(C:C,[1]基础信息!B$1:D$65536,3,0)</f>
        <v>Jug</v>
      </c>
      <c r="AM895" s="1" t="str">
        <f>VLOOKUP(C:C,[1]基础信息!B$1:E$65536,4,0)</f>
        <v>MXpl</v>
      </c>
      <c r="AN895" s="1" t="str">
        <f>VLOOKUP(C:C,[1]基础信息!B$1:F$65536,5,0)</f>
        <v>grey</v>
      </c>
    </row>
    <row r="896" spans="1:40">
      <c r="A896" s="1" t="s">
        <v>41</v>
      </c>
      <c r="B896" s="1" t="s">
        <v>42</v>
      </c>
      <c r="C896" s="1" t="s">
        <v>83</v>
      </c>
      <c r="D896" s="1" t="s">
        <v>84</v>
      </c>
      <c r="E896" s="1" t="s">
        <v>45</v>
      </c>
      <c r="F896" s="1" t="s">
        <v>1419</v>
      </c>
      <c r="G896" s="1" t="s">
        <v>2162</v>
      </c>
      <c r="H896" s="1" t="s">
        <v>2163</v>
      </c>
      <c r="I896" s="1" t="s">
        <v>49</v>
      </c>
      <c r="J896" s="1" t="s">
        <v>48</v>
      </c>
      <c r="K896" s="1">
        <v>96</v>
      </c>
      <c r="L896" s="1">
        <v>0</v>
      </c>
      <c r="M896" s="1">
        <v>0</v>
      </c>
      <c r="N896" s="1">
        <v>96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 t="s">
        <v>49</v>
      </c>
      <c r="AA896" s="1" t="s">
        <v>49</v>
      </c>
      <c r="AB896" s="1" t="s">
        <v>49</v>
      </c>
      <c r="AC896" s="1" t="s">
        <v>213</v>
      </c>
      <c r="AD896" s="1" t="s">
        <v>214</v>
      </c>
      <c r="AE896" s="1" t="s">
        <v>215</v>
      </c>
      <c r="AF896" s="1" t="s">
        <v>1422</v>
      </c>
      <c r="AG896" s="1" t="s">
        <v>53</v>
      </c>
      <c r="AH896" s="1" t="s">
        <v>49</v>
      </c>
      <c r="AI896" s="1" t="s">
        <v>54</v>
      </c>
      <c r="AJ896" s="1">
        <v>1</v>
      </c>
      <c r="AK896" s="1" t="str">
        <f t="shared" si="13"/>
        <v xml:space="preserve"> =&lt;90</v>
      </c>
      <c r="AL896" s="1" t="str">
        <f>VLOOKUP(C:C,[1]基础信息!B$1:D$65536,3,0)</f>
        <v>Jug</v>
      </c>
      <c r="AM896" s="1" t="str">
        <f>VLOOKUP(C:C,[1]基础信息!B$1:E$65536,4,0)</f>
        <v>Mxplus</v>
      </c>
      <c r="AN896" s="1" t="str">
        <f>VLOOKUP(C:C,[1]基础信息!B$1:F$65536,5,0)</f>
        <v>Blue</v>
      </c>
    </row>
    <row r="897" spans="1:40">
      <c r="A897" s="1" t="s">
        <v>41</v>
      </c>
      <c r="B897" s="1" t="s">
        <v>42</v>
      </c>
      <c r="C897" s="1" t="s">
        <v>208</v>
      </c>
      <c r="D897" s="1" t="s">
        <v>209</v>
      </c>
      <c r="E897" s="1" t="s">
        <v>208</v>
      </c>
      <c r="F897" s="1" t="s">
        <v>1734</v>
      </c>
      <c r="G897" s="1" t="s">
        <v>2164</v>
      </c>
      <c r="H897" s="1" t="s">
        <v>2165</v>
      </c>
      <c r="I897" s="1" t="s">
        <v>49</v>
      </c>
      <c r="J897" s="1" t="s">
        <v>48</v>
      </c>
      <c r="K897" s="1">
        <v>80</v>
      </c>
      <c r="L897" s="1">
        <v>0</v>
      </c>
      <c r="M897" s="1">
        <v>0</v>
      </c>
      <c r="N897" s="1">
        <v>80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 t="s">
        <v>49</v>
      </c>
      <c r="AA897" s="1" t="s">
        <v>49</v>
      </c>
      <c r="AB897" s="1" t="s">
        <v>49</v>
      </c>
      <c r="AC897" s="1" t="s">
        <v>376</v>
      </c>
      <c r="AD897" s="1" t="s">
        <v>377</v>
      </c>
      <c r="AE897" s="1" t="s">
        <v>376</v>
      </c>
      <c r="AF897" s="1" t="s">
        <v>1414</v>
      </c>
      <c r="AG897" s="1" t="s">
        <v>53</v>
      </c>
      <c r="AH897" s="1" t="s">
        <v>49</v>
      </c>
      <c r="AI897" s="1" t="s">
        <v>54</v>
      </c>
      <c r="AJ897" s="1">
        <v>1</v>
      </c>
      <c r="AK897" s="1" t="str">
        <f t="shared" si="13"/>
        <v xml:space="preserve"> =&lt;90</v>
      </c>
      <c r="AL897" s="1" t="str">
        <f>VLOOKUP(C:C,[1]基础信息!B$1:D$65536,3,0)</f>
        <v>Jug</v>
      </c>
      <c r="AM897" s="1" t="str">
        <f>VLOOKUP(C:C,[1]基础信息!B$1:E$65536,4,0)</f>
        <v>MXpl</v>
      </c>
      <c r="AN897" s="1" t="str">
        <f>VLOOKUP(C:C,[1]基础信息!B$1:F$65536,5,0)</f>
        <v>grey</v>
      </c>
    </row>
    <row r="898" spans="1:40">
      <c r="A898" s="1" t="s">
        <v>41</v>
      </c>
      <c r="B898" s="1" t="s">
        <v>42</v>
      </c>
      <c r="C898" s="1" t="s">
        <v>2166</v>
      </c>
      <c r="D898" s="1" t="s">
        <v>2167</v>
      </c>
      <c r="E898" s="1" t="s">
        <v>45</v>
      </c>
      <c r="F898" s="1" t="s">
        <v>2168</v>
      </c>
      <c r="G898" s="1" t="s">
        <v>2169</v>
      </c>
      <c r="H898" s="1" t="s">
        <v>2170</v>
      </c>
      <c r="I898" s="1" t="s">
        <v>49</v>
      </c>
      <c r="J898" s="1" t="s">
        <v>48</v>
      </c>
      <c r="K898" s="1">
        <v>5</v>
      </c>
      <c r="L898" s="1">
        <v>0</v>
      </c>
      <c r="M898" s="1">
        <v>0</v>
      </c>
      <c r="N898" s="1">
        <v>5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 t="s">
        <v>49</v>
      </c>
      <c r="AA898" s="1" t="s">
        <v>49</v>
      </c>
      <c r="AB898" s="1" t="s">
        <v>49</v>
      </c>
      <c r="AC898" s="1" t="s">
        <v>2171</v>
      </c>
      <c r="AD898" s="1" t="s">
        <v>2172</v>
      </c>
      <c r="AE898" s="1" t="s">
        <v>2171</v>
      </c>
      <c r="AF898" s="1" t="s">
        <v>2173</v>
      </c>
      <c r="AG898" s="1" t="s">
        <v>53</v>
      </c>
      <c r="AH898" s="1" t="s">
        <v>49</v>
      </c>
      <c r="AI898" s="1" t="s">
        <v>54</v>
      </c>
      <c r="AJ898" s="1">
        <v>1</v>
      </c>
      <c r="AK898" s="1" t="str">
        <f t="shared" ref="AK898:AK961" si="14">IF(AJ898&gt;$AP$2,$AQ$2,IF(AJ898&gt;$AP$3,$AQ$3,IF(AJ898&gt;$AP$4,$AQ$4,$AQ$5)))</f>
        <v xml:space="preserve"> =&lt;90</v>
      </c>
      <c r="AL898" s="1" t="str">
        <f>VLOOKUP(C:C,[1]基础信息!B$1:D$65536,3,0)</f>
        <v>UTS</v>
      </c>
      <c r="AM898" s="1" t="str">
        <f>VLOOKUP(C:C,[1]基础信息!B$1:E$65536,4,0)</f>
        <v>RO</v>
      </c>
      <c r="AN898" s="1" t="str">
        <f>VLOOKUP(C:C,[1]基础信息!B$1:F$65536,5,0)</f>
        <v>Starry Grey Color</v>
      </c>
    </row>
    <row r="899" spans="1:40">
      <c r="A899" s="1" t="s">
        <v>41</v>
      </c>
      <c r="B899" s="1" t="s">
        <v>42</v>
      </c>
      <c r="C899" s="1" t="s">
        <v>208</v>
      </c>
      <c r="D899" s="1" t="s">
        <v>209</v>
      </c>
      <c r="E899" s="1" t="s">
        <v>208</v>
      </c>
      <c r="F899" s="1" t="s">
        <v>1734</v>
      </c>
      <c r="G899" s="1" t="s">
        <v>2174</v>
      </c>
      <c r="H899" s="1" t="s">
        <v>2175</v>
      </c>
      <c r="I899" s="1" t="s">
        <v>49</v>
      </c>
      <c r="J899" s="1" t="s">
        <v>48</v>
      </c>
      <c r="K899" s="1">
        <v>80</v>
      </c>
      <c r="L899" s="1">
        <v>0</v>
      </c>
      <c r="M899" s="1">
        <v>0</v>
      </c>
      <c r="N899" s="1">
        <v>80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 t="s">
        <v>49</v>
      </c>
      <c r="AA899" s="1" t="s">
        <v>49</v>
      </c>
      <c r="AB899" s="1" t="s">
        <v>49</v>
      </c>
      <c r="AC899" s="1" t="s">
        <v>376</v>
      </c>
      <c r="AD899" s="1" t="s">
        <v>377</v>
      </c>
      <c r="AE899" s="1" t="s">
        <v>376</v>
      </c>
      <c r="AF899" s="1" t="s">
        <v>1414</v>
      </c>
      <c r="AG899" s="1" t="s">
        <v>53</v>
      </c>
      <c r="AH899" s="1" t="s">
        <v>49</v>
      </c>
      <c r="AI899" s="1" t="s">
        <v>54</v>
      </c>
      <c r="AJ899" s="1">
        <v>1</v>
      </c>
      <c r="AK899" s="1" t="str">
        <f t="shared" si="14"/>
        <v xml:space="preserve"> =&lt;90</v>
      </c>
      <c r="AL899" s="1" t="str">
        <f>VLOOKUP(C:C,[1]基础信息!B$1:D$65536,3,0)</f>
        <v>Jug</v>
      </c>
      <c r="AM899" s="1" t="str">
        <f>VLOOKUP(C:C,[1]基础信息!B$1:E$65536,4,0)</f>
        <v>MXpl</v>
      </c>
      <c r="AN899" s="1" t="str">
        <f>VLOOKUP(C:C,[1]基础信息!B$1:F$65536,5,0)</f>
        <v>grey</v>
      </c>
    </row>
    <row r="900" spans="1:40">
      <c r="A900" s="1" t="s">
        <v>41</v>
      </c>
      <c r="B900" s="1" t="s">
        <v>42</v>
      </c>
      <c r="C900" s="1" t="s">
        <v>969</v>
      </c>
      <c r="D900" s="1" t="s">
        <v>970</v>
      </c>
      <c r="E900" s="1" t="s">
        <v>45</v>
      </c>
      <c r="F900" s="1" t="s">
        <v>1926</v>
      </c>
      <c r="G900" s="1" t="s">
        <v>2176</v>
      </c>
      <c r="H900" s="1" t="s">
        <v>2177</v>
      </c>
      <c r="I900" s="1" t="s">
        <v>49</v>
      </c>
      <c r="J900" s="1" t="s">
        <v>48</v>
      </c>
      <c r="K900" s="1">
        <v>80</v>
      </c>
      <c r="L900" s="1">
        <v>0</v>
      </c>
      <c r="M900" s="1">
        <v>0</v>
      </c>
      <c r="N900" s="1">
        <v>80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 t="s">
        <v>49</v>
      </c>
      <c r="AA900" s="1" t="s">
        <v>49</v>
      </c>
      <c r="AB900" s="1" t="s">
        <v>49</v>
      </c>
      <c r="AC900" s="1" t="s">
        <v>128</v>
      </c>
      <c r="AD900" s="1" t="s">
        <v>129</v>
      </c>
      <c r="AE900" s="1" t="s">
        <v>128</v>
      </c>
      <c r="AF900" s="1" t="s">
        <v>1929</v>
      </c>
      <c r="AG900" s="1" t="s">
        <v>53</v>
      </c>
      <c r="AH900" s="1" t="s">
        <v>49</v>
      </c>
      <c r="AI900" s="1" t="s">
        <v>54</v>
      </c>
      <c r="AJ900" s="1">
        <v>1</v>
      </c>
      <c r="AK900" s="1" t="str">
        <f t="shared" si="14"/>
        <v xml:space="preserve"> =&lt;90</v>
      </c>
      <c r="AL900" s="1" t="str">
        <f>VLOOKUP(C:C,[1]基础信息!B$1:D$65536,3,0)</f>
        <v>Jug</v>
      </c>
      <c r="AM900" s="1" t="str">
        <f>VLOOKUP(C:C,[1]基础信息!B$1:E$65536,4,0)</f>
        <v>Mxplus</v>
      </c>
      <c r="AN900" s="1" t="str">
        <f>VLOOKUP(C:C,[1]基础信息!B$1:F$65536,5,0)</f>
        <v xml:space="preserve"> blue</v>
      </c>
    </row>
    <row r="901" spans="1:40">
      <c r="A901" s="1" t="s">
        <v>41</v>
      </c>
      <c r="B901" s="1" t="s">
        <v>42</v>
      </c>
      <c r="C901" s="1" t="s">
        <v>969</v>
      </c>
      <c r="D901" s="1" t="s">
        <v>970</v>
      </c>
      <c r="E901" s="1" t="s">
        <v>45</v>
      </c>
      <c r="F901" s="1" t="s">
        <v>1926</v>
      </c>
      <c r="G901" s="1" t="s">
        <v>2178</v>
      </c>
      <c r="H901" s="1" t="s">
        <v>2179</v>
      </c>
      <c r="I901" s="1" t="s">
        <v>49</v>
      </c>
      <c r="J901" s="1" t="s">
        <v>48</v>
      </c>
      <c r="K901" s="1">
        <v>80</v>
      </c>
      <c r="L901" s="1">
        <v>0</v>
      </c>
      <c r="M901" s="1">
        <v>0</v>
      </c>
      <c r="N901" s="1">
        <v>80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 t="s">
        <v>49</v>
      </c>
      <c r="AA901" s="1" t="s">
        <v>49</v>
      </c>
      <c r="AB901" s="1" t="s">
        <v>49</v>
      </c>
      <c r="AC901" s="1" t="s">
        <v>128</v>
      </c>
      <c r="AD901" s="1" t="s">
        <v>129</v>
      </c>
      <c r="AE901" s="1" t="s">
        <v>128</v>
      </c>
      <c r="AF901" s="1" t="s">
        <v>1929</v>
      </c>
      <c r="AG901" s="1" t="s">
        <v>53</v>
      </c>
      <c r="AH901" s="1" t="s">
        <v>49</v>
      </c>
      <c r="AI901" s="1" t="s">
        <v>54</v>
      </c>
      <c r="AJ901" s="1">
        <v>1</v>
      </c>
      <c r="AK901" s="1" t="str">
        <f t="shared" si="14"/>
        <v xml:space="preserve"> =&lt;90</v>
      </c>
      <c r="AL901" s="1" t="str">
        <f>VLOOKUP(C:C,[1]基础信息!B$1:D$65536,3,0)</f>
        <v>Jug</v>
      </c>
      <c r="AM901" s="1" t="str">
        <f>VLOOKUP(C:C,[1]基础信息!B$1:E$65536,4,0)</f>
        <v>Mxplus</v>
      </c>
      <c r="AN901" s="1" t="str">
        <f>VLOOKUP(C:C,[1]基础信息!B$1:F$65536,5,0)</f>
        <v xml:space="preserve"> blue</v>
      </c>
    </row>
    <row r="902" spans="1:40">
      <c r="A902" s="1" t="s">
        <v>41</v>
      </c>
      <c r="B902" s="1" t="s">
        <v>42</v>
      </c>
      <c r="C902" s="1" t="s">
        <v>969</v>
      </c>
      <c r="D902" s="1" t="s">
        <v>970</v>
      </c>
      <c r="E902" s="1" t="s">
        <v>45</v>
      </c>
      <c r="F902" s="1" t="s">
        <v>1926</v>
      </c>
      <c r="G902" s="1" t="s">
        <v>2180</v>
      </c>
      <c r="H902" s="1" t="s">
        <v>2181</v>
      </c>
      <c r="I902" s="1" t="s">
        <v>49</v>
      </c>
      <c r="J902" s="1" t="s">
        <v>48</v>
      </c>
      <c r="K902" s="1">
        <v>80</v>
      </c>
      <c r="L902" s="1">
        <v>0</v>
      </c>
      <c r="M902" s="1">
        <v>0</v>
      </c>
      <c r="N902" s="1">
        <v>80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 t="s">
        <v>49</v>
      </c>
      <c r="AA902" s="1" t="s">
        <v>49</v>
      </c>
      <c r="AB902" s="1" t="s">
        <v>49</v>
      </c>
      <c r="AC902" s="1" t="s">
        <v>128</v>
      </c>
      <c r="AD902" s="1" t="s">
        <v>129</v>
      </c>
      <c r="AE902" s="1" t="s">
        <v>128</v>
      </c>
      <c r="AF902" s="1" t="s">
        <v>1929</v>
      </c>
      <c r="AG902" s="1" t="s">
        <v>53</v>
      </c>
      <c r="AH902" s="1" t="s">
        <v>49</v>
      </c>
      <c r="AI902" s="1" t="s">
        <v>54</v>
      </c>
      <c r="AJ902" s="1">
        <v>1</v>
      </c>
      <c r="AK902" s="1" t="str">
        <f t="shared" si="14"/>
        <v xml:space="preserve"> =&lt;90</v>
      </c>
      <c r="AL902" s="1" t="str">
        <f>VLOOKUP(C:C,[1]基础信息!B$1:D$65536,3,0)</f>
        <v>Jug</v>
      </c>
      <c r="AM902" s="1" t="str">
        <f>VLOOKUP(C:C,[1]基础信息!B$1:E$65536,4,0)</f>
        <v>Mxplus</v>
      </c>
      <c r="AN902" s="1" t="str">
        <f>VLOOKUP(C:C,[1]基础信息!B$1:F$65536,5,0)</f>
        <v xml:space="preserve"> blue</v>
      </c>
    </row>
    <row r="903" spans="1:40">
      <c r="A903" s="1" t="s">
        <v>41</v>
      </c>
      <c r="B903" s="1" t="s">
        <v>42</v>
      </c>
      <c r="C903" s="1" t="s">
        <v>969</v>
      </c>
      <c r="D903" s="1" t="s">
        <v>970</v>
      </c>
      <c r="E903" s="1" t="s">
        <v>45</v>
      </c>
      <c r="F903" s="1" t="s">
        <v>1926</v>
      </c>
      <c r="G903" s="1" t="s">
        <v>2182</v>
      </c>
      <c r="H903" s="1" t="s">
        <v>2183</v>
      </c>
      <c r="I903" s="1" t="s">
        <v>49</v>
      </c>
      <c r="J903" s="1" t="s">
        <v>48</v>
      </c>
      <c r="K903" s="1">
        <v>80</v>
      </c>
      <c r="L903" s="1">
        <v>0</v>
      </c>
      <c r="M903" s="1">
        <v>0</v>
      </c>
      <c r="N903" s="1">
        <v>80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 t="s">
        <v>49</v>
      </c>
      <c r="AA903" s="1" t="s">
        <v>49</v>
      </c>
      <c r="AB903" s="1" t="s">
        <v>49</v>
      </c>
      <c r="AC903" s="1" t="s">
        <v>128</v>
      </c>
      <c r="AD903" s="1" t="s">
        <v>129</v>
      </c>
      <c r="AE903" s="1" t="s">
        <v>128</v>
      </c>
      <c r="AF903" s="1" t="s">
        <v>1929</v>
      </c>
      <c r="AG903" s="1" t="s">
        <v>53</v>
      </c>
      <c r="AH903" s="1" t="s">
        <v>49</v>
      </c>
      <c r="AI903" s="1" t="s">
        <v>54</v>
      </c>
      <c r="AJ903" s="1">
        <v>1</v>
      </c>
      <c r="AK903" s="1" t="str">
        <f t="shared" si="14"/>
        <v xml:space="preserve"> =&lt;90</v>
      </c>
      <c r="AL903" s="1" t="str">
        <f>VLOOKUP(C:C,[1]基础信息!B$1:D$65536,3,0)</f>
        <v>Jug</v>
      </c>
      <c r="AM903" s="1" t="str">
        <f>VLOOKUP(C:C,[1]基础信息!B$1:E$65536,4,0)</f>
        <v>Mxplus</v>
      </c>
      <c r="AN903" s="1" t="str">
        <f>VLOOKUP(C:C,[1]基础信息!B$1:F$65536,5,0)</f>
        <v xml:space="preserve"> blue</v>
      </c>
    </row>
    <row r="904" spans="1:40">
      <c r="A904" s="1" t="s">
        <v>41</v>
      </c>
      <c r="B904" s="1" t="s">
        <v>42</v>
      </c>
      <c r="C904" s="1" t="s">
        <v>969</v>
      </c>
      <c r="D904" s="1" t="s">
        <v>970</v>
      </c>
      <c r="E904" s="1" t="s">
        <v>45</v>
      </c>
      <c r="F904" s="1" t="s">
        <v>1926</v>
      </c>
      <c r="G904" s="1" t="s">
        <v>2184</v>
      </c>
      <c r="H904" s="1" t="s">
        <v>2185</v>
      </c>
      <c r="I904" s="1" t="s">
        <v>49</v>
      </c>
      <c r="J904" s="1" t="s">
        <v>48</v>
      </c>
      <c r="K904" s="1">
        <v>80</v>
      </c>
      <c r="L904" s="1">
        <v>0</v>
      </c>
      <c r="M904" s="1">
        <v>0</v>
      </c>
      <c r="N904" s="1">
        <v>80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 t="s">
        <v>49</v>
      </c>
      <c r="AA904" s="1" t="s">
        <v>49</v>
      </c>
      <c r="AB904" s="1" t="s">
        <v>49</v>
      </c>
      <c r="AC904" s="1" t="s">
        <v>128</v>
      </c>
      <c r="AD904" s="1" t="s">
        <v>129</v>
      </c>
      <c r="AE904" s="1" t="s">
        <v>128</v>
      </c>
      <c r="AF904" s="1" t="s">
        <v>1929</v>
      </c>
      <c r="AG904" s="1" t="s">
        <v>53</v>
      </c>
      <c r="AH904" s="1" t="s">
        <v>49</v>
      </c>
      <c r="AI904" s="1" t="s">
        <v>54</v>
      </c>
      <c r="AJ904" s="1">
        <v>1</v>
      </c>
      <c r="AK904" s="1" t="str">
        <f t="shared" si="14"/>
        <v xml:space="preserve"> =&lt;90</v>
      </c>
      <c r="AL904" s="1" t="str">
        <f>VLOOKUP(C:C,[1]基础信息!B$1:D$65536,3,0)</f>
        <v>Jug</v>
      </c>
      <c r="AM904" s="1" t="str">
        <f>VLOOKUP(C:C,[1]基础信息!B$1:E$65536,4,0)</f>
        <v>Mxplus</v>
      </c>
      <c r="AN904" s="1" t="str">
        <f>VLOOKUP(C:C,[1]基础信息!B$1:F$65536,5,0)</f>
        <v xml:space="preserve"> blue</v>
      </c>
    </row>
    <row r="905" spans="1:40">
      <c r="A905" s="1" t="s">
        <v>41</v>
      </c>
      <c r="B905" s="1" t="s">
        <v>42</v>
      </c>
      <c r="C905" s="1" t="s">
        <v>969</v>
      </c>
      <c r="D905" s="1" t="s">
        <v>970</v>
      </c>
      <c r="E905" s="1" t="s">
        <v>45</v>
      </c>
      <c r="F905" s="1" t="s">
        <v>1926</v>
      </c>
      <c r="G905" s="1" t="s">
        <v>2186</v>
      </c>
      <c r="H905" s="1" t="s">
        <v>2187</v>
      </c>
      <c r="I905" s="1" t="s">
        <v>49</v>
      </c>
      <c r="J905" s="1" t="s">
        <v>48</v>
      </c>
      <c r="K905" s="1">
        <v>80</v>
      </c>
      <c r="L905" s="1">
        <v>0</v>
      </c>
      <c r="M905" s="1">
        <v>0</v>
      </c>
      <c r="N905" s="1">
        <v>80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 t="s">
        <v>49</v>
      </c>
      <c r="AA905" s="1" t="s">
        <v>49</v>
      </c>
      <c r="AB905" s="1" t="s">
        <v>49</v>
      </c>
      <c r="AC905" s="1" t="s">
        <v>128</v>
      </c>
      <c r="AD905" s="1" t="s">
        <v>129</v>
      </c>
      <c r="AE905" s="1" t="s">
        <v>128</v>
      </c>
      <c r="AF905" s="1" t="s">
        <v>1929</v>
      </c>
      <c r="AG905" s="1" t="s">
        <v>53</v>
      </c>
      <c r="AH905" s="1" t="s">
        <v>49</v>
      </c>
      <c r="AI905" s="1" t="s">
        <v>54</v>
      </c>
      <c r="AJ905" s="1">
        <v>1</v>
      </c>
      <c r="AK905" s="1" t="str">
        <f t="shared" si="14"/>
        <v xml:space="preserve"> =&lt;90</v>
      </c>
      <c r="AL905" s="1" t="str">
        <f>VLOOKUP(C:C,[1]基础信息!B$1:D$65536,3,0)</f>
        <v>Jug</v>
      </c>
      <c r="AM905" s="1" t="str">
        <f>VLOOKUP(C:C,[1]基础信息!B$1:E$65536,4,0)</f>
        <v>Mxplus</v>
      </c>
      <c r="AN905" s="1" t="str">
        <f>VLOOKUP(C:C,[1]基础信息!B$1:F$65536,5,0)</f>
        <v xml:space="preserve"> blue</v>
      </c>
    </row>
    <row r="906" spans="1:40">
      <c r="A906" s="1" t="s">
        <v>41</v>
      </c>
      <c r="B906" s="1" t="s">
        <v>42</v>
      </c>
      <c r="C906" s="1" t="s">
        <v>969</v>
      </c>
      <c r="D906" s="1" t="s">
        <v>970</v>
      </c>
      <c r="E906" s="1" t="s">
        <v>45</v>
      </c>
      <c r="F906" s="1" t="s">
        <v>1926</v>
      </c>
      <c r="G906" s="1" t="s">
        <v>2188</v>
      </c>
      <c r="H906" s="1" t="s">
        <v>2189</v>
      </c>
      <c r="I906" s="1" t="s">
        <v>49</v>
      </c>
      <c r="J906" s="1" t="s">
        <v>48</v>
      </c>
      <c r="K906" s="1">
        <v>80</v>
      </c>
      <c r="L906" s="1">
        <v>0</v>
      </c>
      <c r="M906" s="1">
        <v>0</v>
      </c>
      <c r="N906" s="1">
        <v>80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 t="s">
        <v>49</v>
      </c>
      <c r="AA906" s="1" t="s">
        <v>49</v>
      </c>
      <c r="AB906" s="1" t="s">
        <v>49</v>
      </c>
      <c r="AC906" s="1" t="s">
        <v>128</v>
      </c>
      <c r="AD906" s="1" t="s">
        <v>129</v>
      </c>
      <c r="AE906" s="1" t="s">
        <v>128</v>
      </c>
      <c r="AF906" s="1" t="s">
        <v>1929</v>
      </c>
      <c r="AG906" s="1" t="s">
        <v>53</v>
      </c>
      <c r="AH906" s="1" t="s">
        <v>49</v>
      </c>
      <c r="AI906" s="1" t="s">
        <v>54</v>
      </c>
      <c r="AJ906" s="1">
        <v>1</v>
      </c>
      <c r="AK906" s="1" t="str">
        <f t="shared" si="14"/>
        <v xml:space="preserve"> =&lt;90</v>
      </c>
      <c r="AL906" s="1" t="str">
        <f>VLOOKUP(C:C,[1]基础信息!B$1:D$65536,3,0)</f>
        <v>Jug</v>
      </c>
      <c r="AM906" s="1" t="str">
        <f>VLOOKUP(C:C,[1]基础信息!B$1:E$65536,4,0)</f>
        <v>Mxplus</v>
      </c>
      <c r="AN906" s="1" t="str">
        <f>VLOOKUP(C:C,[1]基础信息!B$1:F$65536,5,0)</f>
        <v xml:space="preserve"> blue</v>
      </c>
    </row>
    <row r="907" spans="1:40">
      <c r="A907" s="1" t="s">
        <v>41</v>
      </c>
      <c r="B907" s="1" t="s">
        <v>42</v>
      </c>
      <c r="C907" s="1" t="s">
        <v>969</v>
      </c>
      <c r="D907" s="1" t="s">
        <v>970</v>
      </c>
      <c r="E907" s="1" t="s">
        <v>45</v>
      </c>
      <c r="F907" s="1" t="s">
        <v>1926</v>
      </c>
      <c r="G907" s="1" t="s">
        <v>2190</v>
      </c>
      <c r="H907" s="1" t="s">
        <v>2191</v>
      </c>
      <c r="I907" s="1" t="s">
        <v>49</v>
      </c>
      <c r="J907" s="1" t="s">
        <v>48</v>
      </c>
      <c r="K907" s="1">
        <v>80</v>
      </c>
      <c r="L907" s="1">
        <v>0</v>
      </c>
      <c r="M907" s="1">
        <v>0</v>
      </c>
      <c r="N907" s="1">
        <v>80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 t="s">
        <v>49</v>
      </c>
      <c r="AA907" s="1" t="s">
        <v>49</v>
      </c>
      <c r="AB907" s="1" t="s">
        <v>49</v>
      </c>
      <c r="AC907" s="1" t="s">
        <v>128</v>
      </c>
      <c r="AD907" s="1" t="s">
        <v>129</v>
      </c>
      <c r="AE907" s="1" t="s">
        <v>128</v>
      </c>
      <c r="AF907" s="1" t="s">
        <v>1929</v>
      </c>
      <c r="AG907" s="1" t="s">
        <v>53</v>
      </c>
      <c r="AH907" s="1" t="s">
        <v>49</v>
      </c>
      <c r="AI907" s="1" t="s">
        <v>54</v>
      </c>
      <c r="AJ907" s="1">
        <v>1</v>
      </c>
      <c r="AK907" s="1" t="str">
        <f t="shared" si="14"/>
        <v xml:space="preserve"> =&lt;90</v>
      </c>
      <c r="AL907" s="1" t="str">
        <f>VLOOKUP(C:C,[1]基础信息!B$1:D$65536,3,0)</f>
        <v>Jug</v>
      </c>
      <c r="AM907" s="1" t="str">
        <f>VLOOKUP(C:C,[1]基础信息!B$1:E$65536,4,0)</f>
        <v>Mxplus</v>
      </c>
      <c r="AN907" s="1" t="str">
        <f>VLOOKUP(C:C,[1]基础信息!B$1:F$65536,5,0)</f>
        <v xml:space="preserve"> blue</v>
      </c>
    </row>
    <row r="908" spans="1:40">
      <c r="A908" s="1" t="s">
        <v>41</v>
      </c>
      <c r="B908" s="1" t="s">
        <v>42</v>
      </c>
      <c r="C908" s="1" t="s">
        <v>285</v>
      </c>
      <c r="D908" s="1" t="s">
        <v>286</v>
      </c>
      <c r="E908" s="1" t="s">
        <v>45</v>
      </c>
      <c r="F908" s="1" t="s">
        <v>1548</v>
      </c>
      <c r="G908" s="1" t="s">
        <v>2192</v>
      </c>
      <c r="H908" s="1" t="s">
        <v>2193</v>
      </c>
      <c r="I908" s="1" t="s">
        <v>49</v>
      </c>
      <c r="J908" s="1" t="s">
        <v>48</v>
      </c>
      <c r="K908" s="1">
        <v>70</v>
      </c>
      <c r="L908" s="1">
        <v>0</v>
      </c>
      <c r="M908" s="1">
        <v>0</v>
      </c>
      <c r="N908" s="1">
        <v>70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 t="s">
        <v>49</v>
      </c>
      <c r="AA908" s="1" t="s">
        <v>49</v>
      </c>
      <c r="AB908" s="1" t="s">
        <v>49</v>
      </c>
      <c r="AC908" s="1" t="s">
        <v>1551</v>
      </c>
      <c r="AD908" s="1" t="s">
        <v>1552</v>
      </c>
      <c r="AE908" s="1" t="s">
        <v>1551</v>
      </c>
      <c r="AF908" s="1" t="s">
        <v>1553</v>
      </c>
      <c r="AG908" s="1" t="s">
        <v>53</v>
      </c>
      <c r="AH908" s="1" t="s">
        <v>49</v>
      </c>
      <c r="AI908" s="1" t="s">
        <v>54</v>
      </c>
      <c r="AJ908" s="1">
        <v>1</v>
      </c>
      <c r="AK908" s="1" t="str">
        <f t="shared" si="14"/>
        <v xml:space="preserve"> =&lt;90</v>
      </c>
      <c r="AL908" s="1" t="str">
        <f>VLOOKUP(C:C,[1]基础信息!B$1:D$65536,3,0)</f>
        <v>Jug</v>
      </c>
      <c r="AM908" s="1" t="str">
        <f>VLOOKUP(C:C,[1]基础信息!B$1:E$65536,4,0)</f>
        <v>Marella XL</v>
      </c>
      <c r="AN908" s="1" t="str">
        <f>VLOOKUP(C:C,[1]基础信息!B$1:F$65536,5,0)</f>
        <v>Blue</v>
      </c>
    </row>
    <row r="909" spans="1:40">
      <c r="A909" s="1" t="s">
        <v>41</v>
      </c>
      <c r="B909" s="1" t="s">
        <v>42</v>
      </c>
      <c r="C909" s="1" t="s">
        <v>285</v>
      </c>
      <c r="D909" s="1" t="s">
        <v>286</v>
      </c>
      <c r="E909" s="1" t="s">
        <v>45</v>
      </c>
      <c r="F909" s="1" t="s">
        <v>1548</v>
      </c>
      <c r="G909" s="1" t="s">
        <v>2194</v>
      </c>
      <c r="H909" s="1" t="s">
        <v>2195</v>
      </c>
      <c r="I909" s="1" t="s">
        <v>49</v>
      </c>
      <c r="J909" s="1" t="s">
        <v>48</v>
      </c>
      <c r="K909" s="1">
        <v>70</v>
      </c>
      <c r="L909" s="1">
        <v>0</v>
      </c>
      <c r="M909" s="1">
        <v>0</v>
      </c>
      <c r="N909" s="1">
        <v>70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 t="s">
        <v>49</v>
      </c>
      <c r="AA909" s="1" t="s">
        <v>49</v>
      </c>
      <c r="AB909" s="1" t="s">
        <v>49</v>
      </c>
      <c r="AC909" s="1" t="s">
        <v>1551</v>
      </c>
      <c r="AD909" s="1" t="s">
        <v>1552</v>
      </c>
      <c r="AE909" s="1" t="s">
        <v>1551</v>
      </c>
      <c r="AF909" s="1" t="s">
        <v>1553</v>
      </c>
      <c r="AG909" s="1" t="s">
        <v>53</v>
      </c>
      <c r="AH909" s="1" t="s">
        <v>49</v>
      </c>
      <c r="AI909" s="1" t="s">
        <v>54</v>
      </c>
      <c r="AJ909" s="1">
        <v>1</v>
      </c>
      <c r="AK909" s="1" t="str">
        <f t="shared" si="14"/>
        <v xml:space="preserve"> =&lt;90</v>
      </c>
      <c r="AL909" s="1" t="str">
        <f>VLOOKUP(C:C,[1]基础信息!B$1:D$65536,3,0)</f>
        <v>Jug</v>
      </c>
      <c r="AM909" s="1" t="str">
        <f>VLOOKUP(C:C,[1]基础信息!B$1:E$65536,4,0)</f>
        <v>Marella XL</v>
      </c>
      <c r="AN909" s="1" t="str">
        <f>VLOOKUP(C:C,[1]基础信息!B$1:F$65536,5,0)</f>
        <v>Blue</v>
      </c>
    </row>
    <row r="910" spans="1:40">
      <c r="A910" s="1" t="s">
        <v>41</v>
      </c>
      <c r="B910" s="1" t="s">
        <v>42</v>
      </c>
      <c r="C910" s="1" t="s">
        <v>208</v>
      </c>
      <c r="D910" s="1" t="s">
        <v>209</v>
      </c>
      <c r="E910" s="1" t="s">
        <v>208</v>
      </c>
      <c r="F910" s="1" t="s">
        <v>1734</v>
      </c>
      <c r="G910" s="1" t="s">
        <v>2196</v>
      </c>
      <c r="H910" s="1" t="s">
        <v>2197</v>
      </c>
      <c r="I910" s="1" t="s">
        <v>49</v>
      </c>
      <c r="J910" s="1" t="s">
        <v>48</v>
      </c>
      <c r="K910" s="1">
        <v>80</v>
      </c>
      <c r="L910" s="1">
        <v>0</v>
      </c>
      <c r="M910" s="1">
        <v>0</v>
      </c>
      <c r="N910" s="1">
        <v>80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 t="s">
        <v>49</v>
      </c>
      <c r="AA910" s="1" t="s">
        <v>49</v>
      </c>
      <c r="AB910" s="1" t="s">
        <v>49</v>
      </c>
      <c r="AC910" s="1" t="s">
        <v>376</v>
      </c>
      <c r="AD910" s="1" t="s">
        <v>377</v>
      </c>
      <c r="AE910" s="1" t="s">
        <v>376</v>
      </c>
      <c r="AF910" s="1" t="s">
        <v>1414</v>
      </c>
      <c r="AG910" s="1" t="s">
        <v>53</v>
      </c>
      <c r="AH910" s="1" t="s">
        <v>49</v>
      </c>
      <c r="AI910" s="1" t="s">
        <v>54</v>
      </c>
      <c r="AJ910" s="1">
        <v>1</v>
      </c>
      <c r="AK910" s="1" t="str">
        <f t="shared" si="14"/>
        <v xml:space="preserve"> =&lt;90</v>
      </c>
      <c r="AL910" s="1" t="str">
        <f>VLOOKUP(C:C,[1]基础信息!B$1:D$65536,3,0)</f>
        <v>Jug</v>
      </c>
      <c r="AM910" s="1" t="str">
        <f>VLOOKUP(C:C,[1]基础信息!B$1:E$65536,4,0)</f>
        <v>MXpl</v>
      </c>
      <c r="AN910" s="1" t="str">
        <f>VLOOKUP(C:C,[1]基础信息!B$1:F$65536,5,0)</f>
        <v>grey</v>
      </c>
    </row>
    <row r="911" spans="1:40">
      <c r="A911" s="1" t="s">
        <v>41</v>
      </c>
      <c r="B911" s="1" t="s">
        <v>42</v>
      </c>
      <c r="C911" s="1" t="s">
        <v>417</v>
      </c>
      <c r="D911" s="1" t="s">
        <v>418</v>
      </c>
      <c r="E911" s="1" t="s">
        <v>45</v>
      </c>
      <c r="F911" s="1" t="s">
        <v>1126</v>
      </c>
      <c r="G911" s="1" t="s">
        <v>2198</v>
      </c>
      <c r="H911" s="1" t="s">
        <v>2199</v>
      </c>
      <c r="I911" s="1" t="s">
        <v>49</v>
      </c>
      <c r="J911" s="1" t="s">
        <v>48</v>
      </c>
      <c r="K911" s="1">
        <v>96</v>
      </c>
      <c r="L911" s="1">
        <v>0</v>
      </c>
      <c r="M911" s="1">
        <v>0</v>
      </c>
      <c r="N911" s="1">
        <v>96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 t="s">
        <v>49</v>
      </c>
      <c r="AA911" s="1" t="s">
        <v>49</v>
      </c>
      <c r="AB911" s="1" t="s">
        <v>49</v>
      </c>
      <c r="AC911" s="1" t="s">
        <v>938</v>
      </c>
      <c r="AD911" s="1" t="s">
        <v>939</v>
      </c>
      <c r="AE911" s="1" t="s">
        <v>938</v>
      </c>
      <c r="AF911" s="1" t="s">
        <v>940</v>
      </c>
      <c r="AG911" s="1" t="s">
        <v>53</v>
      </c>
      <c r="AH911" s="1" t="s">
        <v>49</v>
      </c>
      <c r="AI911" s="1" t="s">
        <v>54</v>
      </c>
      <c r="AJ911" s="1">
        <v>1</v>
      </c>
      <c r="AK911" s="1" t="str">
        <f t="shared" si="14"/>
        <v xml:space="preserve"> =&lt;90</v>
      </c>
      <c r="AL911" s="1" t="str">
        <f>VLOOKUP(C:C,[1]基础信息!B$1:D$65536,3,0)</f>
        <v>Jug</v>
      </c>
      <c r="AM911" s="1" t="str">
        <f>VLOOKUP(C:C,[1]基础信息!B$1:E$65536,4,0)</f>
        <v>Marella XL</v>
      </c>
      <c r="AN911" s="1" t="str">
        <f>VLOOKUP(C:C,[1]基础信息!B$1:F$65536,5,0)</f>
        <v>Silver</v>
      </c>
    </row>
    <row r="912" spans="1:40">
      <c r="A912" s="1" t="s">
        <v>41</v>
      </c>
      <c r="B912" s="1" t="s">
        <v>42</v>
      </c>
      <c r="C912" s="1" t="s">
        <v>83</v>
      </c>
      <c r="D912" s="1" t="s">
        <v>84</v>
      </c>
      <c r="E912" s="1" t="s">
        <v>45</v>
      </c>
      <c r="F912" s="1" t="s">
        <v>1419</v>
      </c>
      <c r="G912" s="1" t="s">
        <v>2200</v>
      </c>
      <c r="H912" s="1" t="s">
        <v>2201</v>
      </c>
      <c r="I912" s="1" t="s">
        <v>49</v>
      </c>
      <c r="J912" s="1" t="s">
        <v>48</v>
      </c>
      <c r="K912" s="1">
        <v>96</v>
      </c>
      <c r="L912" s="1">
        <v>0</v>
      </c>
      <c r="M912" s="1">
        <v>0</v>
      </c>
      <c r="N912" s="1">
        <v>96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 t="s">
        <v>49</v>
      </c>
      <c r="AA912" s="1" t="s">
        <v>49</v>
      </c>
      <c r="AB912" s="1" t="s">
        <v>49</v>
      </c>
      <c r="AC912" s="1" t="s">
        <v>213</v>
      </c>
      <c r="AD912" s="1" t="s">
        <v>214</v>
      </c>
      <c r="AE912" s="1" t="s">
        <v>215</v>
      </c>
      <c r="AF912" s="1" t="s">
        <v>1422</v>
      </c>
      <c r="AG912" s="1" t="s">
        <v>53</v>
      </c>
      <c r="AH912" s="1" t="s">
        <v>49</v>
      </c>
      <c r="AI912" s="1" t="s">
        <v>54</v>
      </c>
      <c r="AJ912" s="1">
        <v>1</v>
      </c>
      <c r="AK912" s="1" t="str">
        <f t="shared" si="14"/>
        <v xml:space="preserve"> =&lt;90</v>
      </c>
      <c r="AL912" s="1" t="str">
        <f>VLOOKUP(C:C,[1]基础信息!B$1:D$65536,3,0)</f>
        <v>Jug</v>
      </c>
      <c r="AM912" s="1" t="str">
        <f>VLOOKUP(C:C,[1]基础信息!B$1:E$65536,4,0)</f>
        <v>Mxplus</v>
      </c>
      <c r="AN912" s="1" t="str">
        <f>VLOOKUP(C:C,[1]基础信息!B$1:F$65536,5,0)</f>
        <v>Blue</v>
      </c>
    </row>
    <row r="913" spans="1:40">
      <c r="A913" s="1" t="s">
        <v>41</v>
      </c>
      <c r="B913" s="1" t="s">
        <v>42</v>
      </c>
      <c r="C913" s="1" t="s">
        <v>83</v>
      </c>
      <c r="D913" s="1" t="s">
        <v>84</v>
      </c>
      <c r="E913" s="1" t="s">
        <v>45</v>
      </c>
      <c r="F913" s="1" t="s">
        <v>1419</v>
      </c>
      <c r="G913" s="1" t="s">
        <v>2202</v>
      </c>
      <c r="H913" s="1" t="s">
        <v>2203</v>
      </c>
      <c r="I913" s="1" t="s">
        <v>49</v>
      </c>
      <c r="J913" s="1" t="s">
        <v>48</v>
      </c>
      <c r="K913" s="1">
        <v>96</v>
      </c>
      <c r="L913" s="1">
        <v>0</v>
      </c>
      <c r="M913" s="1">
        <v>0</v>
      </c>
      <c r="N913" s="1">
        <v>96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 t="s">
        <v>49</v>
      </c>
      <c r="AA913" s="1" t="s">
        <v>49</v>
      </c>
      <c r="AB913" s="1" t="s">
        <v>49</v>
      </c>
      <c r="AC913" s="1" t="s">
        <v>213</v>
      </c>
      <c r="AD913" s="1" t="s">
        <v>214</v>
      </c>
      <c r="AE913" s="1" t="s">
        <v>215</v>
      </c>
      <c r="AF913" s="1" t="s">
        <v>1422</v>
      </c>
      <c r="AG913" s="1" t="s">
        <v>53</v>
      </c>
      <c r="AH913" s="1" t="s">
        <v>49</v>
      </c>
      <c r="AI913" s="1" t="s">
        <v>54</v>
      </c>
      <c r="AJ913" s="1">
        <v>1</v>
      </c>
      <c r="AK913" s="1" t="str">
        <f t="shared" si="14"/>
        <v xml:space="preserve"> =&lt;90</v>
      </c>
      <c r="AL913" s="1" t="str">
        <f>VLOOKUP(C:C,[1]基础信息!B$1:D$65536,3,0)</f>
        <v>Jug</v>
      </c>
      <c r="AM913" s="1" t="str">
        <f>VLOOKUP(C:C,[1]基础信息!B$1:E$65536,4,0)</f>
        <v>Mxplus</v>
      </c>
      <c r="AN913" s="1" t="str">
        <f>VLOOKUP(C:C,[1]基础信息!B$1:F$65536,5,0)</f>
        <v>Blue</v>
      </c>
    </row>
    <row r="914" spans="1:40">
      <c r="A914" s="1" t="s">
        <v>41</v>
      </c>
      <c r="B914" s="1" t="s">
        <v>42</v>
      </c>
      <c r="C914" s="1" t="s">
        <v>1710</v>
      </c>
      <c r="D914" s="1" t="s">
        <v>1711</v>
      </c>
      <c r="E914" s="1" t="s">
        <v>45</v>
      </c>
      <c r="F914" s="1" t="s">
        <v>1712</v>
      </c>
      <c r="G914" s="1" t="s">
        <v>2204</v>
      </c>
      <c r="H914" s="1" t="s">
        <v>2205</v>
      </c>
      <c r="I914" s="1" t="s">
        <v>49</v>
      </c>
      <c r="J914" s="1" t="s">
        <v>48</v>
      </c>
      <c r="K914" s="1">
        <v>60</v>
      </c>
      <c r="L914" s="1">
        <v>0</v>
      </c>
      <c r="M914" s="1">
        <v>0</v>
      </c>
      <c r="N914" s="1">
        <v>60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 t="s">
        <v>49</v>
      </c>
      <c r="AA914" s="1" t="s">
        <v>49</v>
      </c>
      <c r="AB914" s="1" t="s">
        <v>49</v>
      </c>
      <c r="AC914" s="1" t="s">
        <v>1715</v>
      </c>
      <c r="AD914" s="1" t="s">
        <v>1716</v>
      </c>
      <c r="AE914" s="1" t="s">
        <v>1715</v>
      </c>
      <c r="AF914" s="1" t="s">
        <v>1717</v>
      </c>
      <c r="AG914" s="1" t="s">
        <v>53</v>
      </c>
      <c r="AH914" s="1" t="s">
        <v>49</v>
      </c>
      <c r="AI914" s="1" t="s">
        <v>54</v>
      </c>
      <c r="AJ914" s="1">
        <v>1</v>
      </c>
      <c r="AK914" s="1" t="str">
        <f t="shared" si="14"/>
        <v xml:space="preserve"> =&lt;90</v>
      </c>
      <c r="AL914" s="1" t="str">
        <f>VLOOKUP(C:C,[1]基础信息!B$1:D$65536,3,0)</f>
        <v>Jug</v>
      </c>
      <c r="AM914" s="1" t="str">
        <f>VLOOKUP(C:C,[1]基础信息!B$1:E$65536,4,0)</f>
        <v>Kalea XL ME4W</v>
      </c>
      <c r="AN914" s="1" t="str">
        <f>VLOOKUP(C:C,[1]基础信息!B$1:F$65536,5,0)</f>
        <v>grey</v>
      </c>
    </row>
    <row r="915" spans="1:40">
      <c r="A915" s="1" t="s">
        <v>41</v>
      </c>
      <c r="B915" s="1" t="s">
        <v>42</v>
      </c>
      <c r="C915" s="1" t="s">
        <v>83</v>
      </c>
      <c r="D915" s="1" t="s">
        <v>84</v>
      </c>
      <c r="E915" s="1" t="s">
        <v>45</v>
      </c>
      <c r="F915" s="1" t="s">
        <v>1419</v>
      </c>
      <c r="G915" s="1" t="s">
        <v>2206</v>
      </c>
      <c r="H915" s="1" t="s">
        <v>2207</v>
      </c>
      <c r="I915" s="1" t="s">
        <v>49</v>
      </c>
      <c r="J915" s="1" t="s">
        <v>48</v>
      </c>
      <c r="K915" s="1">
        <v>96</v>
      </c>
      <c r="L915" s="1">
        <v>0</v>
      </c>
      <c r="M915" s="1">
        <v>0</v>
      </c>
      <c r="N915" s="1">
        <v>96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 t="s">
        <v>49</v>
      </c>
      <c r="AA915" s="1" t="s">
        <v>49</v>
      </c>
      <c r="AB915" s="1" t="s">
        <v>49</v>
      </c>
      <c r="AC915" s="1" t="s">
        <v>213</v>
      </c>
      <c r="AD915" s="1" t="s">
        <v>214</v>
      </c>
      <c r="AE915" s="1" t="s">
        <v>215</v>
      </c>
      <c r="AF915" s="1" t="s">
        <v>1422</v>
      </c>
      <c r="AG915" s="1" t="s">
        <v>53</v>
      </c>
      <c r="AH915" s="1" t="s">
        <v>49</v>
      </c>
      <c r="AI915" s="1" t="s">
        <v>54</v>
      </c>
      <c r="AJ915" s="1">
        <v>1</v>
      </c>
      <c r="AK915" s="1" t="str">
        <f t="shared" si="14"/>
        <v xml:space="preserve"> =&lt;90</v>
      </c>
      <c r="AL915" s="1" t="str">
        <f>VLOOKUP(C:C,[1]基础信息!B$1:D$65536,3,0)</f>
        <v>Jug</v>
      </c>
      <c r="AM915" s="1" t="str">
        <f>VLOOKUP(C:C,[1]基础信息!B$1:E$65536,4,0)</f>
        <v>Mxplus</v>
      </c>
      <c r="AN915" s="1" t="str">
        <f>VLOOKUP(C:C,[1]基础信息!B$1:F$65536,5,0)</f>
        <v>Blue</v>
      </c>
    </row>
    <row r="916" spans="1:40">
      <c r="A916" s="1" t="s">
        <v>41</v>
      </c>
      <c r="B916" s="1" t="s">
        <v>42</v>
      </c>
      <c r="C916" s="1" t="s">
        <v>969</v>
      </c>
      <c r="D916" s="1" t="s">
        <v>970</v>
      </c>
      <c r="E916" s="1" t="s">
        <v>45</v>
      </c>
      <c r="F916" s="1" t="s">
        <v>1926</v>
      </c>
      <c r="G916" s="1" t="s">
        <v>2208</v>
      </c>
      <c r="H916" s="1" t="s">
        <v>2209</v>
      </c>
      <c r="I916" s="1" t="s">
        <v>49</v>
      </c>
      <c r="J916" s="1" t="s">
        <v>48</v>
      </c>
      <c r="K916" s="1">
        <v>80</v>
      </c>
      <c r="L916" s="1">
        <v>0</v>
      </c>
      <c r="M916" s="1">
        <v>0</v>
      </c>
      <c r="N916" s="1">
        <v>80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 t="s">
        <v>49</v>
      </c>
      <c r="AA916" s="1" t="s">
        <v>49</v>
      </c>
      <c r="AB916" s="1" t="s">
        <v>49</v>
      </c>
      <c r="AC916" s="1" t="s">
        <v>128</v>
      </c>
      <c r="AD916" s="1" t="s">
        <v>129</v>
      </c>
      <c r="AE916" s="1" t="s">
        <v>128</v>
      </c>
      <c r="AF916" s="1" t="s">
        <v>1929</v>
      </c>
      <c r="AG916" s="1" t="s">
        <v>53</v>
      </c>
      <c r="AH916" s="1" t="s">
        <v>49</v>
      </c>
      <c r="AI916" s="1" t="s">
        <v>54</v>
      </c>
      <c r="AJ916" s="1">
        <v>1</v>
      </c>
      <c r="AK916" s="1" t="str">
        <f t="shared" si="14"/>
        <v xml:space="preserve"> =&lt;90</v>
      </c>
      <c r="AL916" s="1" t="str">
        <f>VLOOKUP(C:C,[1]基础信息!B$1:D$65536,3,0)</f>
        <v>Jug</v>
      </c>
      <c r="AM916" s="1" t="str">
        <f>VLOOKUP(C:C,[1]基础信息!B$1:E$65536,4,0)</f>
        <v>Mxplus</v>
      </c>
      <c r="AN916" s="1" t="str">
        <f>VLOOKUP(C:C,[1]基础信息!B$1:F$65536,5,0)</f>
        <v xml:space="preserve"> blue</v>
      </c>
    </row>
    <row r="917" spans="1:40">
      <c r="A917" s="1" t="s">
        <v>41</v>
      </c>
      <c r="B917" s="1" t="s">
        <v>42</v>
      </c>
      <c r="C917" s="1" t="s">
        <v>969</v>
      </c>
      <c r="D917" s="1" t="s">
        <v>970</v>
      </c>
      <c r="E917" s="1" t="s">
        <v>45</v>
      </c>
      <c r="F917" s="1" t="s">
        <v>1926</v>
      </c>
      <c r="G917" s="1" t="s">
        <v>2210</v>
      </c>
      <c r="H917" s="1" t="s">
        <v>2211</v>
      </c>
      <c r="I917" s="1" t="s">
        <v>49</v>
      </c>
      <c r="J917" s="1" t="s">
        <v>48</v>
      </c>
      <c r="K917" s="1">
        <v>80</v>
      </c>
      <c r="L917" s="1">
        <v>0</v>
      </c>
      <c r="M917" s="1">
        <v>0</v>
      </c>
      <c r="N917" s="1">
        <v>80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 t="s">
        <v>49</v>
      </c>
      <c r="AA917" s="1" t="s">
        <v>49</v>
      </c>
      <c r="AB917" s="1" t="s">
        <v>49</v>
      </c>
      <c r="AC917" s="1" t="s">
        <v>128</v>
      </c>
      <c r="AD917" s="1" t="s">
        <v>129</v>
      </c>
      <c r="AE917" s="1" t="s">
        <v>128</v>
      </c>
      <c r="AF917" s="1" t="s">
        <v>1929</v>
      </c>
      <c r="AG917" s="1" t="s">
        <v>53</v>
      </c>
      <c r="AH917" s="1" t="s">
        <v>49</v>
      </c>
      <c r="AI917" s="1" t="s">
        <v>54</v>
      </c>
      <c r="AJ917" s="1">
        <v>1</v>
      </c>
      <c r="AK917" s="1" t="str">
        <f t="shared" si="14"/>
        <v xml:space="preserve"> =&lt;90</v>
      </c>
      <c r="AL917" s="1" t="str">
        <f>VLOOKUP(C:C,[1]基础信息!B$1:D$65536,3,0)</f>
        <v>Jug</v>
      </c>
      <c r="AM917" s="1" t="str">
        <f>VLOOKUP(C:C,[1]基础信息!B$1:E$65536,4,0)</f>
        <v>Mxplus</v>
      </c>
      <c r="AN917" s="1" t="str">
        <f>VLOOKUP(C:C,[1]基础信息!B$1:F$65536,5,0)</f>
        <v xml:space="preserve"> blue</v>
      </c>
    </row>
    <row r="918" spans="1:40">
      <c r="A918" s="1" t="s">
        <v>41</v>
      </c>
      <c r="B918" s="1" t="s">
        <v>42</v>
      </c>
      <c r="C918" s="1" t="s">
        <v>285</v>
      </c>
      <c r="D918" s="1" t="s">
        <v>286</v>
      </c>
      <c r="E918" s="1" t="s">
        <v>45</v>
      </c>
      <c r="F918" s="1" t="s">
        <v>1548</v>
      </c>
      <c r="G918" s="1" t="s">
        <v>2212</v>
      </c>
      <c r="H918" s="1" t="s">
        <v>2213</v>
      </c>
      <c r="I918" s="1" t="s">
        <v>49</v>
      </c>
      <c r="J918" s="1" t="s">
        <v>48</v>
      </c>
      <c r="K918" s="1">
        <v>70</v>
      </c>
      <c r="L918" s="1">
        <v>0</v>
      </c>
      <c r="M918" s="1">
        <v>0</v>
      </c>
      <c r="N918" s="1">
        <v>70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 t="s">
        <v>49</v>
      </c>
      <c r="AA918" s="1" t="s">
        <v>49</v>
      </c>
      <c r="AB918" s="1" t="s">
        <v>49</v>
      </c>
      <c r="AC918" s="1" t="s">
        <v>1551</v>
      </c>
      <c r="AD918" s="1" t="s">
        <v>1552</v>
      </c>
      <c r="AE918" s="1" t="s">
        <v>1551</v>
      </c>
      <c r="AF918" s="1" t="s">
        <v>1553</v>
      </c>
      <c r="AG918" s="1" t="s">
        <v>53</v>
      </c>
      <c r="AH918" s="1" t="s">
        <v>49</v>
      </c>
      <c r="AI918" s="1" t="s">
        <v>54</v>
      </c>
      <c r="AJ918" s="1">
        <v>1</v>
      </c>
      <c r="AK918" s="1" t="str">
        <f t="shared" si="14"/>
        <v xml:space="preserve"> =&lt;90</v>
      </c>
      <c r="AL918" s="1" t="str">
        <f>VLOOKUP(C:C,[1]基础信息!B$1:D$65536,3,0)</f>
        <v>Jug</v>
      </c>
      <c r="AM918" s="1" t="str">
        <f>VLOOKUP(C:C,[1]基础信息!B$1:E$65536,4,0)</f>
        <v>Marella XL</v>
      </c>
      <c r="AN918" s="1" t="str">
        <f>VLOOKUP(C:C,[1]基础信息!B$1:F$65536,5,0)</f>
        <v>Blue</v>
      </c>
    </row>
    <row r="919" spans="1:40">
      <c r="A919" s="1" t="s">
        <v>41</v>
      </c>
      <c r="B919" s="1" t="s">
        <v>42</v>
      </c>
      <c r="C919" s="1" t="s">
        <v>83</v>
      </c>
      <c r="D919" s="1" t="s">
        <v>84</v>
      </c>
      <c r="E919" s="1" t="s">
        <v>45</v>
      </c>
      <c r="F919" s="1" t="s">
        <v>1419</v>
      </c>
      <c r="G919" s="1" t="s">
        <v>2214</v>
      </c>
      <c r="H919" s="1" t="s">
        <v>2215</v>
      </c>
      <c r="I919" s="1" t="s">
        <v>49</v>
      </c>
      <c r="J919" s="1" t="s">
        <v>48</v>
      </c>
      <c r="K919" s="1">
        <v>96</v>
      </c>
      <c r="L919" s="1">
        <v>0</v>
      </c>
      <c r="M919" s="1">
        <v>0</v>
      </c>
      <c r="N919" s="1">
        <v>96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 t="s">
        <v>49</v>
      </c>
      <c r="AA919" s="1" t="s">
        <v>49</v>
      </c>
      <c r="AB919" s="1" t="s">
        <v>49</v>
      </c>
      <c r="AC919" s="1" t="s">
        <v>213</v>
      </c>
      <c r="AD919" s="1" t="s">
        <v>214</v>
      </c>
      <c r="AE919" s="1" t="s">
        <v>215</v>
      </c>
      <c r="AF919" s="1" t="s">
        <v>1422</v>
      </c>
      <c r="AG919" s="1" t="s">
        <v>53</v>
      </c>
      <c r="AH919" s="1" t="s">
        <v>49</v>
      </c>
      <c r="AI919" s="1" t="s">
        <v>54</v>
      </c>
      <c r="AJ919" s="1">
        <v>1</v>
      </c>
      <c r="AK919" s="1" t="str">
        <f t="shared" si="14"/>
        <v xml:space="preserve"> =&lt;90</v>
      </c>
      <c r="AL919" s="1" t="str">
        <f>VLOOKUP(C:C,[1]基础信息!B$1:D$65536,3,0)</f>
        <v>Jug</v>
      </c>
      <c r="AM919" s="1" t="str">
        <f>VLOOKUP(C:C,[1]基础信息!B$1:E$65536,4,0)</f>
        <v>Mxplus</v>
      </c>
      <c r="AN919" s="1" t="str">
        <f>VLOOKUP(C:C,[1]基础信息!B$1:F$65536,5,0)</f>
        <v>Blue</v>
      </c>
    </row>
    <row r="920" spans="1:40">
      <c r="A920" s="1" t="s">
        <v>41</v>
      </c>
      <c r="B920" s="1" t="s">
        <v>42</v>
      </c>
      <c r="C920" s="1" t="s">
        <v>83</v>
      </c>
      <c r="D920" s="1" t="s">
        <v>84</v>
      </c>
      <c r="E920" s="1" t="s">
        <v>45</v>
      </c>
      <c r="F920" s="1" t="s">
        <v>1419</v>
      </c>
      <c r="G920" s="1" t="s">
        <v>2216</v>
      </c>
      <c r="H920" s="1" t="s">
        <v>2217</v>
      </c>
      <c r="I920" s="1" t="s">
        <v>49</v>
      </c>
      <c r="J920" s="1" t="s">
        <v>48</v>
      </c>
      <c r="K920" s="1">
        <v>96</v>
      </c>
      <c r="L920" s="1">
        <v>0</v>
      </c>
      <c r="M920" s="1">
        <v>0</v>
      </c>
      <c r="N920" s="1">
        <v>96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 t="s">
        <v>49</v>
      </c>
      <c r="AA920" s="1" t="s">
        <v>49</v>
      </c>
      <c r="AB920" s="1" t="s">
        <v>49</v>
      </c>
      <c r="AC920" s="1" t="s">
        <v>213</v>
      </c>
      <c r="AD920" s="1" t="s">
        <v>214</v>
      </c>
      <c r="AE920" s="1" t="s">
        <v>215</v>
      </c>
      <c r="AF920" s="1" t="s">
        <v>1422</v>
      </c>
      <c r="AG920" s="1" t="s">
        <v>53</v>
      </c>
      <c r="AH920" s="1" t="s">
        <v>49</v>
      </c>
      <c r="AI920" s="1" t="s">
        <v>54</v>
      </c>
      <c r="AJ920" s="1">
        <v>1</v>
      </c>
      <c r="AK920" s="1" t="str">
        <f t="shared" si="14"/>
        <v xml:space="preserve"> =&lt;90</v>
      </c>
      <c r="AL920" s="1" t="str">
        <f>VLOOKUP(C:C,[1]基础信息!B$1:D$65536,3,0)</f>
        <v>Jug</v>
      </c>
      <c r="AM920" s="1" t="str">
        <f>VLOOKUP(C:C,[1]基础信息!B$1:E$65536,4,0)</f>
        <v>Mxplus</v>
      </c>
      <c r="AN920" s="1" t="str">
        <f>VLOOKUP(C:C,[1]基础信息!B$1:F$65536,5,0)</f>
        <v>Blue</v>
      </c>
    </row>
    <row r="921" spans="1:40">
      <c r="A921" s="1" t="s">
        <v>41</v>
      </c>
      <c r="B921" s="1" t="s">
        <v>42</v>
      </c>
      <c r="C921" s="1" t="s">
        <v>2218</v>
      </c>
      <c r="D921" s="1" t="s">
        <v>2219</v>
      </c>
      <c r="E921" s="1" t="s">
        <v>2218</v>
      </c>
      <c r="F921" s="1" t="s">
        <v>2220</v>
      </c>
      <c r="G921" s="1" t="s">
        <v>2221</v>
      </c>
      <c r="H921" s="1" t="s">
        <v>2222</v>
      </c>
      <c r="I921" s="1" t="s">
        <v>49</v>
      </c>
      <c r="J921" s="1" t="s">
        <v>48</v>
      </c>
      <c r="K921" s="1">
        <v>15</v>
      </c>
      <c r="L921" s="1">
        <v>0</v>
      </c>
      <c r="M921" s="1">
        <v>0</v>
      </c>
      <c r="N921" s="1">
        <v>15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 t="s">
        <v>49</v>
      </c>
      <c r="AA921" s="1" t="s">
        <v>49</v>
      </c>
      <c r="AB921" s="1" t="s">
        <v>49</v>
      </c>
      <c r="AC921" s="1" t="s">
        <v>2223</v>
      </c>
      <c r="AD921" s="1" t="s">
        <v>2224</v>
      </c>
      <c r="AE921" s="1" t="s">
        <v>2223</v>
      </c>
      <c r="AF921" s="1" t="s">
        <v>2225</v>
      </c>
      <c r="AG921" s="1" t="s">
        <v>227</v>
      </c>
      <c r="AH921" s="1" t="s">
        <v>49</v>
      </c>
      <c r="AI921" s="1" t="s">
        <v>54</v>
      </c>
      <c r="AJ921" s="1">
        <v>1</v>
      </c>
      <c r="AK921" s="1" t="str">
        <f t="shared" si="14"/>
        <v xml:space="preserve"> =&lt;90</v>
      </c>
      <c r="AL921" s="1" t="str">
        <f>VLOOKUP(C:C,[1]基础信息!B$1:D$65536,3,0)</f>
        <v>Spare Parts</v>
      </c>
      <c r="AM921" s="1" t="str">
        <f>VLOOKUP(C:C,[1]基础信息!B$1:E$65536,4,0)</f>
        <v>Spare Parts</v>
      </c>
      <c r="AN921" s="1" t="str">
        <f>VLOOKUP(C:C,[1]基础信息!B$1:F$65536,5,0)</f>
        <v>Spare Parts</v>
      </c>
    </row>
    <row r="922" spans="1:40">
      <c r="A922" s="1" t="s">
        <v>41</v>
      </c>
      <c r="B922" s="1" t="s">
        <v>42</v>
      </c>
      <c r="C922" s="1" t="s">
        <v>1710</v>
      </c>
      <c r="D922" s="1" t="s">
        <v>1711</v>
      </c>
      <c r="E922" s="1" t="s">
        <v>45</v>
      </c>
      <c r="F922" s="1" t="s">
        <v>1712</v>
      </c>
      <c r="G922" s="1" t="s">
        <v>2226</v>
      </c>
      <c r="H922" s="1" t="s">
        <v>2227</v>
      </c>
      <c r="I922" s="1" t="s">
        <v>49</v>
      </c>
      <c r="J922" s="1" t="s">
        <v>48</v>
      </c>
      <c r="K922" s="1">
        <v>60</v>
      </c>
      <c r="L922" s="1">
        <v>0</v>
      </c>
      <c r="M922" s="1">
        <v>0</v>
      </c>
      <c r="N922" s="1">
        <v>60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 t="s">
        <v>49</v>
      </c>
      <c r="AA922" s="1" t="s">
        <v>49</v>
      </c>
      <c r="AB922" s="1" t="s">
        <v>49</v>
      </c>
      <c r="AC922" s="1" t="s">
        <v>1715</v>
      </c>
      <c r="AD922" s="1" t="s">
        <v>1716</v>
      </c>
      <c r="AE922" s="1" t="s">
        <v>1715</v>
      </c>
      <c r="AF922" s="1" t="s">
        <v>1717</v>
      </c>
      <c r="AG922" s="1" t="s">
        <v>53</v>
      </c>
      <c r="AH922" s="1" t="s">
        <v>49</v>
      </c>
      <c r="AI922" s="1" t="s">
        <v>54</v>
      </c>
      <c r="AJ922" s="1">
        <v>1</v>
      </c>
      <c r="AK922" s="1" t="str">
        <f t="shared" si="14"/>
        <v xml:space="preserve"> =&lt;90</v>
      </c>
      <c r="AL922" s="1" t="str">
        <f>VLOOKUP(C:C,[1]基础信息!B$1:D$65536,3,0)</f>
        <v>Jug</v>
      </c>
      <c r="AM922" s="1" t="str">
        <f>VLOOKUP(C:C,[1]基础信息!B$1:E$65536,4,0)</f>
        <v>Kalea XL ME4W</v>
      </c>
      <c r="AN922" s="1" t="str">
        <f>VLOOKUP(C:C,[1]基础信息!B$1:F$65536,5,0)</f>
        <v>grey</v>
      </c>
    </row>
    <row r="923" spans="1:40">
      <c r="A923" s="1" t="s">
        <v>41</v>
      </c>
      <c r="B923" s="1" t="s">
        <v>42</v>
      </c>
      <c r="C923" s="1" t="s">
        <v>417</v>
      </c>
      <c r="D923" s="1" t="s">
        <v>418</v>
      </c>
      <c r="E923" s="1" t="s">
        <v>45</v>
      </c>
      <c r="F923" s="1" t="s">
        <v>1126</v>
      </c>
      <c r="G923" s="1" t="s">
        <v>2228</v>
      </c>
      <c r="H923" s="1" t="s">
        <v>2229</v>
      </c>
      <c r="I923" s="1" t="s">
        <v>49</v>
      </c>
      <c r="J923" s="1" t="s">
        <v>48</v>
      </c>
      <c r="K923" s="1">
        <v>96</v>
      </c>
      <c r="L923" s="1">
        <v>0</v>
      </c>
      <c r="M923" s="1">
        <v>0</v>
      </c>
      <c r="N923" s="1">
        <v>96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 t="s">
        <v>49</v>
      </c>
      <c r="AA923" s="1" t="s">
        <v>49</v>
      </c>
      <c r="AB923" s="1" t="s">
        <v>49</v>
      </c>
      <c r="AC923" s="1" t="s">
        <v>938</v>
      </c>
      <c r="AD923" s="1" t="s">
        <v>939</v>
      </c>
      <c r="AE923" s="1" t="s">
        <v>938</v>
      </c>
      <c r="AF923" s="1" t="s">
        <v>940</v>
      </c>
      <c r="AG923" s="1" t="s">
        <v>53</v>
      </c>
      <c r="AH923" s="1" t="s">
        <v>49</v>
      </c>
      <c r="AI923" s="1" t="s">
        <v>54</v>
      </c>
      <c r="AJ923" s="1">
        <v>1</v>
      </c>
      <c r="AK923" s="1" t="str">
        <f t="shared" si="14"/>
        <v xml:space="preserve"> =&lt;90</v>
      </c>
      <c r="AL923" s="1" t="str">
        <f>VLOOKUP(C:C,[1]基础信息!B$1:D$65536,3,0)</f>
        <v>Jug</v>
      </c>
      <c r="AM923" s="1" t="str">
        <f>VLOOKUP(C:C,[1]基础信息!B$1:E$65536,4,0)</f>
        <v>Marella XL</v>
      </c>
      <c r="AN923" s="1" t="str">
        <f>VLOOKUP(C:C,[1]基础信息!B$1:F$65536,5,0)</f>
        <v>Silver</v>
      </c>
    </row>
    <row r="924" spans="1:40">
      <c r="A924" s="1" t="s">
        <v>41</v>
      </c>
      <c r="B924" s="1" t="s">
        <v>42</v>
      </c>
      <c r="C924" s="1" t="s">
        <v>417</v>
      </c>
      <c r="D924" s="1" t="s">
        <v>418</v>
      </c>
      <c r="E924" s="1" t="s">
        <v>45</v>
      </c>
      <c r="F924" s="1" t="s">
        <v>1126</v>
      </c>
      <c r="G924" s="1" t="s">
        <v>2230</v>
      </c>
      <c r="H924" s="1" t="s">
        <v>2231</v>
      </c>
      <c r="I924" s="1" t="s">
        <v>49</v>
      </c>
      <c r="J924" s="1" t="s">
        <v>48</v>
      </c>
      <c r="K924" s="1">
        <v>96</v>
      </c>
      <c r="L924" s="1">
        <v>0</v>
      </c>
      <c r="M924" s="1">
        <v>0</v>
      </c>
      <c r="N924" s="1">
        <v>96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 t="s">
        <v>49</v>
      </c>
      <c r="AA924" s="1" t="s">
        <v>49</v>
      </c>
      <c r="AB924" s="1" t="s">
        <v>49</v>
      </c>
      <c r="AC924" s="1" t="s">
        <v>938</v>
      </c>
      <c r="AD924" s="1" t="s">
        <v>939</v>
      </c>
      <c r="AE924" s="1" t="s">
        <v>938</v>
      </c>
      <c r="AF924" s="1" t="s">
        <v>940</v>
      </c>
      <c r="AG924" s="1" t="s">
        <v>53</v>
      </c>
      <c r="AH924" s="1" t="s">
        <v>49</v>
      </c>
      <c r="AI924" s="1" t="s">
        <v>54</v>
      </c>
      <c r="AJ924" s="1">
        <v>1</v>
      </c>
      <c r="AK924" s="1" t="str">
        <f t="shared" si="14"/>
        <v xml:space="preserve"> =&lt;90</v>
      </c>
      <c r="AL924" s="1" t="str">
        <f>VLOOKUP(C:C,[1]基础信息!B$1:D$65536,3,0)</f>
        <v>Jug</v>
      </c>
      <c r="AM924" s="1" t="str">
        <f>VLOOKUP(C:C,[1]基础信息!B$1:E$65536,4,0)</f>
        <v>Marella XL</v>
      </c>
      <c r="AN924" s="1" t="str">
        <f>VLOOKUP(C:C,[1]基础信息!B$1:F$65536,5,0)</f>
        <v>Silver</v>
      </c>
    </row>
    <row r="925" spans="1:40">
      <c r="A925" s="1" t="s">
        <v>41</v>
      </c>
      <c r="B925" s="1" t="s">
        <v>42</v>
      </c>
      <c r="C925" s="1" t="s">
        <v>1710</v>
      </c>
      <c r="D925" s="1" t="s">
        <v>1711</v>
      </c>
      <c r="E925" s="1" t="s">
        <v>45</v>
      </c>
      <c r="F925" s="1" t="s">
        <v>1712</v>
      </c>
      <c r="G925" s="1" t="s">
        <v>2232</v>
      </c>
      <c r="H925" s="1" t="s">
        <v>2233</v>
      </c>
      <c r="I925" s="1" t="s">
        <v>49</v>
      </c>
      <c r="J925" s="1" t="s">
        <v>48</v>
      </c>
      <c r="K925" s="1">
        <v>60</v>
      </c>
      <c r="L925" s="1">
        <v>0</v>
      </c>
      <c r="M925" s="1">
        <v>0</v>
      </c>
      <c r="N925" s="1">
        <v>60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 t="s">
        <v>49</v>
      </c>
      <c r="AA925" s="1" t="s">
        <v>49</v>
      </c>
      <c r="AB925" s="1" t="s">
        <v>49</v>
      </c>
      <c r="AC925" s="1" t="s">
        <v>1715</v>
      </c>
      <c r="AD925" s="1" t="s">
        <v>1716</v>
      </c>
      <c r="AE925" s="1" t="s">
        <v>1715</v>
      </c>
      <c r="AF925" s="1" t="s">
        <v>1717</v>
      </c>
      <c r="AG925" s="1" t="s">
        <v>53</v>
      </c>
      <c r="AH925" s="1" t="s">
        <v>49</v>
      </c>
      <c r="AI925" s="1" t="s">
        <v>54</v>
      </c>
      <c r="AJ925" s="1">
        <v>1</v>
      </c>
      <c r="AK925" s="1" t="str">
        <f t="shared" si="14"/>
        <v xml:space="preserve"> =&lt;90</v>
      </c>
      <c r="AL925" s="1" t="str">
        <f>VLOOKUP(C:C,[1]基础信息!B$1:D$65536,3,0)</f>
        <v>Jug</v>
      </c>
      <c r="AM925" s="1" t="str">
        <f>VLOOKUP(C:C,[1]基础信息!B$1:E$65536,4,0)</f>
        <v>Kalea XL ME4W</v>
      </c>
      <c r="AN925" s="1" t="str">
        <f>VLOOKUP(C:C,[1]基础信息!B$1:F$65536,5,0)</f>
        <v>grey</v>
      </c>
    </row>
    <row r="926" spans="1:40">
      <c r="A926" s="1" t="s">
        <v>41</v>
      </c>
      <c r="B926" s="1" t="s">
        <v>42</v>
      </c>
      <c r="C926" s="1" t="s">
        <v>417</v>
      </c>
      <c r="D926" s="1" t="s">
        <v>418</v>
      </c>
      <c r="E926" s="1" t="s">
        <v>45</v>
      </c>
      <c r="F926" s="1" t="s">
        <v>1126</v>
      </c>
      <c r="G926" s="1" t="s">
        <v>2234</v>
      </c>
      <c r="H926" s="1" t="s">
        <v>2235</v>
      </c>
      <c r="I926" s="1" t="s">
        <v>49</v>
      </c>
      <c r="J926" s="1" t="s">
        <v>48</v>
      </c>
      <c r="K926" s="1">
        <v>96</v>
      </c>
      <c r="L926" s="1">
        <v>0</v>
      </c>
      <c r="M926" s="1">
        <v>0</v>
      </c>
      <c r="N926" s="1">
        <v>96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 t="s">
        <v>49</v>
      </c>
      <c r="AA926" s="1" t="s">
        <v>49</v>
      </c>
      <c r="AB926" s="1" t="s">
        <v>49</v>
      </c>
      <c r="AC926" s="1" t="s">
        <v>938</v>
      </c>
      <c r="AD926" s="1" t="s">
        <v>939</v>
      </c>
      <c r="AE926" s="1" t="s">
        <v>938</v>
      </c>
      <c r="AF926" s="1" t="s">
        <v>940</v>
      </c>
      <c r="AG926" s="1" t="s">
        <v>53</v>
      </c>
      <c r="AH926" s="1" t="s">
        <v>49</v>
      </c>
      <c r="AI926" s="1" t="s">
        <v>54</v>
      </c>
      <c r="AJ926" s="1">
        <v>1</v>
      </c>
      <c r="AK926" s="1" t="str">
        <f t="shared" si="14"/>
        <v xml:space="preserve"> =&lt;90</v>
      </c>
      <c r="AL926" s="1" t="str">
        <f>VLOOKUP(C:C,[1]基础信息!B$1:D$65536,3,0)</f>
        <v>Jug</v>
      </c>
      <c r="AM926" s="1" t="str">
        <f>VLOOKUP(C:C,[1]基础信息!B$1:E$65536,4,0)</f>
        <v>Marella XL</v>
      </c>
      <c r="AN926" s="1" t="str">
        <f>VLOOKUP(C:C,[1]基础信息!B$1:F$65536,5,0)</f>
        <v>Silver</v>
      </c>
    </row>
    <row r="927" spans="1:40">
      <c r="A927" s="1" t="s">
        <v>41</v>
      </c>
      <c r="B927" s="1" t="s">
        <v>42</v>
      </c>
      <c r="C927" s="1" t="s">
        <v>1710</v>
      </c>
      <c r="D927" s="1" t="s">
        <v>1711</v>
      </c>
      <c r="E927" s="1" t="s">
        <v>45</v>
      </c>
      <c r="F927" s="1" t="s">
        <v>1712</v>
      </c>
      <c r="G927" s="1" t="s">
        <v>2236</v>
      </c>
      <c r="H927" s="1" t="s">
        <v>2237</v>
      </c>
      <c r="I927" s="1" t="s">
        <v>49</v>
      </c>
      <c r="J927" s="1" t="s">
        <v>48</v>
      </c>
      <c r="K927" s="1">
        <v>60</v>
      </c>
      <c r="L927" s="1">
        <v>0</v>
      </c>
      <c r="M927" s="1">
        <v>0</v>
      </c>
      <c r="N927" s="1">
        <v>60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 t="s">
        <v>49</v>
      </c>
      <c r="AA927" s="1" t="s">
        <v>49</v>
      </c>
      <c r="AB927" s="1" t="s">
        <v>49</v>
      </c>
      <c r="AC927" s="1" t="s">
        <v>1715</v>
      </c>
      <c r="AD927" s="1" t="s">
        <v>1716</v>
      </c>
      <c r="AE927" s="1" t="s">
        <v>1715</v>
      </c>
      <c r="AF927" s="1" t="s">
        <v>1717</v>
      </c>
      <c r="AG927" s="1" t="s">
        <v>53</v>
      </c>
      <c r="AH927" s="1" t="s">
        <v>49</v>
      </c>
      <c r="AI927" s="1" t="s">
        <v>54</v>
      </c>
      <c r="AJ927" s="1">
        <v>1</v>
      </c>
      <c r="AK927" s="1" t="str">
        <f t="shared" si="14"/>
        <v xml:space="preserve"> =&lt;90</v>
      </c>
      <c r="AL927" s="1" t="str">
        <f>VLOOKUP(C:C,[1]基础信息!B$1:D$65536,3,0)</f>
        <v>Jug</v>
      </c>
      <c r="AM927" s="1" t="str">
        <f>VLOOKUP(C:C,[1]基础信息!B$1:E$65536,4,0)</f>
        <v>Kalea XL ME4W</v>
      </c>
      <c r="AN927" s="1" t="str">
        <f>VLOOKUP(C:C,[1]基础信息!B$1:F$65536,5,0)</f>
        <v>grey</v>
      </c>
    </row>
    <row r="928" spans="1:40">
      <c r="A928" s="1" t="s">
        <v>41</v>
      </c>
      <c r="B928" s="1" t="s">
        <v>42</v>
      </c>
      <c r="C928" s="1" t="s">
        <v>417</v>
      </c>
      <c r="D928" s="1" t="s">
        <v>418</v>
      </c>
      <c r="E928" s="1" t="s">
        <v>45</v>
      </c>
      <c r="F928" s="1" t="s">
        <v>1126</v>
      </c>
      <c r="G928" s="1" t="s">
        <v>2238</v>
      </c>
      <c r="H928" s="1" t="s">
        <v>2239</v>
      </c>
      <c r="I928" s="1" t="s">
        <v>49</v>
      </c>
      <c r="J928" s="1" t="s">
        <v>48</v>
      </c>
      <c r="K928" s="1">
        <v>96</v>
      </c>
      <c r="L928" s="1">
        <v>0</v>
      </c>
      <c r="M928" s="1">
        <v>0</v>
      </c>
      <c r="N928" s="1">
        <v>96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 t="s">
        <v>49</v>
      </c>
      <c r="AA928" s="1" t="s">
        <v>49</v>
      </c>
      <c r="AB928" s="1" t="s">
        <v>49</v>
      </c>
      <c r="AC928" s="1" t="s">
        <v>938</v>
      </c>
      <c r="AD928" s="1" t="s">
        <v>939</v>
      </c>
      <c r="AE928" s="1" t="s">
        <v>938</v>
      </c>
      <c r="AF928" s="1" t="s">
        <v>940</v>
      </c>
      <c r="AG928" s="1" t="s">
        <v>53</v>
      </c>
      <c r="AH928" s="1" t="s">
        <v>49</v>
      </c>
      <c r="AI928" s="1" t="s">
        <v>54</v>
      </c>
      <c r="AJ928" s="1">
        <v>1</v>
      </c>
      <c r="AK928" s="1" t="str">
        <f t="shared" si="14"/>
        <v xml:space="preserve"> =&lt;90</v>
      </c>
      <c r="AL928" s="1" t="str">
        <f>VLOOKUP(C:C,[1]基础信息!B$1:D$65536,3,0)</f>
        <v>Jug</v>
      </c>
      <c r="AM928" s="1" t="str">
        <f>VLOOKUP(C:C,[1]基础信息!B$1:E$65536,4,0)</f>
        <v>Marella XL</v>
      </c>
      <c r="AN928" s="1" t="str">
        <f>VLOOKUP(C:C,[1]基础信息!B$1:F$65536,5,0)</f>
        <v>Silver</v>
      </c>
    </row>
    <row r="929" spans="1:40">
      <c r="A929" s="1" t="s">
        <v>41</v>
      </c>
      <c r="B929" s="1" t="s">
        <v>42</v>
      </c>
      <c r="C929" s="1" t="s">
        <v>969</v>
      </c>
      <c r="D929" s="1" t="s">
        <v>970</v>
      </c>
      <c r="E929" s="1" t="s">
        <v>45</v>
      </c>
      <c r="F929" s="1" t="s">
        <v>1926</v>
      </c>
      <c r="G929" s="1" t="s">
        <v>2240</v>
      </c>
      <c r="H929" s="1" t="s">
        <v>2241</v>
      </c>
      <c r="I929" s="1" t="s">
        <v>49</v>
      </c>
      <c r="J929" s="1" t="s">
        <v>48</v>
      </c>
      <c r="K929" s="1">
        <v>80</v>
      </c>
      <c r="L929" s="1">
        <v>0</v>
      </c>
      <c r="M929" s="1">
        <v>0</v>
      </c>
      <c r="N929" s="1">
        <v>80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 t="s">
        <v>49</v>
      </c>
      <c r="AA929" s="1" t="s">
        <v>49</v>
      </c>
      <c r="AB929" s="1" t="s">
        <v>49</v>
      </c>
      <c r="AC929" s="1" t="s">
        <v>128</v>
      </c>
      <c r="AD929" s="1" t="s">
        <v>129</v>
      </c>
      <c r="AE929" s="1" t="s">
        <v>128</v>
      </c>
      <c r="AF929" s="1" t="s">
        <v>1929</v>
      </c>
      <c r="AG929" s="1" t="s">
        <v>53</v>
      </c>
      <c r="AH929" s="1" t="s">
        <v>49</v>
      </c>
      <c r="AI929" s="1" t="s">
        <v>54</v>
      </c>
      <c r="AJ929" s="1">
        <v>1</v>
      </c>
      <c r="AK929" s="1" t="str">
        <f t="shared" si="14"/>
        <v xml:space="preserve"> =&lt;90</v>
      </c>
      <c r="AL929" s="1" t="str">
        <f>VLOOKUP(C:C,[1]基础信息!B$1:D$65536,3,0)</f>
        <v>Jug</v>
      </c>
      <c r="AM929" s="1" t="str">
        <f>VLOOKUP(C:C,[1]基础信息!B$1:E$65536,4,0)</f>
        <v>Mxplus</v>
      </c>
      <c r="AN929" s="1" t="str">
        <f>VLOOKUP(C:C,[1]基础信息!B$1:F$65536,5,0)</f>
        <v xml:space="preserve"> blue</v>
      </c>
    </row>
    <row r="930" spans="1:40">
      <c r="A930" s="1" t="s">
        <v>41</v>
      </c>
      <c r="B930" s="1" t="s">
        <v>42</v>
      </c>
      <c r="C930" s="1" t="s">
        <v>208</v>
      </c>
      <c r="D930" s="1" t="s">
        <v>209</v>
      </c>
      <c r="E930" s="1" t="s">
        <v>208</v>
      </c>
      <c r="F930" s="1" t="s">
        <v>1734</v>
      </c>
      <c r="G930" s="1" t="s">
        <v>2242</v>
      </c>
      <c r="H930" s="1" t="s">
        <v>2243</v>
      </c>
      <c r="I930" s="1" t="s">
        <v>49</v>
      </c>
      <c r="J930" s="1" t="s">
        <v>48</v>
      </c>
      <c r="K930" s="1">
        <v>80</v>
      </c>
      <c r="L930" s="1">
        <v>0</v>
      </c>
      <c r="M930" s="1">
        <v>0</v>
      </c>
      <c r="N930" s="1">
        <v>80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 t="s">
        <v>49</v>
      </c>
      <c r="AA930" s="1" t="s">
        <v>49</v>
      </c>
      <c r="AB930" s="1" t="s">
        <v>49</v>
      </c>
      <c r="AC930" s="1" t="s">
        <v>376</v>
      </c>
      <c r="AD930" s="1" t="s">
        <v>377</v>
      </c>
      <c r="AE930" s="1" t="s">
        <v>376</v>
      </c>
      <c r="AF930" s="1" t="s">
        <v>1414</v>
      </c>
      <c r="AG930" s="1" t="s">
        <v>53</v>
      </c>
      <c r="AH930" s="1" t="s">
        <v>49</v>
      </c>
      <c r="AI930" s="1" t="s">
        <v>54</v>
      </c>
      <c r="AJ930" s="1">
        <v>1</v>
      </c>
      <c r="AK930" s="1" t="str">
        <f t="shared" si="14"/>
        <v xml:space="preserve"> =&lt;90</v>
      </c>
      <c r="AL930" s="1" t="str">
        <f>VLOOKUP(C:C,[1]基础信息!B$1:D$65536,3,0)</f>
        <v>Jug</v>
      </c>
      <c r="AM930" s="1" t="str">
        <f>VLOOKUP(C:C,[1]基础信息!B$1:E$65536,4,0)</f>
        <v>MXpl</v>
      </c>
      <c r="AN930" s="1" t="str">
        <f>VLOOKUP(C:C,[1]基础信息!B$1:F$65536,5,0)</f>
        <v>grey</v>
      </c>
    </row>
    <row r="931" spans="1:40">
      <c r="A931" s="1" t="s">
        <v>41</v>
      </c>
      <c r="B931" s="1" t="s">
        <v>42</v>
      </c>
      <c r="C931" s="1" t="s">
        <v>2244</v>
      </c>
      <c r="D931" s="1" t="s">
        <v>2245</v>
      </c>
      <c r="E931" s="1" t="s">
        <v>2244</v>
      </c>
      <c r="F931" s="1" t="s">
        <v>2246</v>
      </c>
      <c r="G931" s="1" t="s">
        <v>2247</v>
      </c>
      <c r="H931" s="1" t="s">
        <v>2248</v>
      </c>
      <c r="I931" s="1" t="s">
        <v>49</v>
      </c>
      <c r="J931" s="1" t="s">
        <v>48</v>
      </c>
      <c r="K931" s="1">
        <v>15</v>
      </c>
      <c r="L931" s="1">
        <v>0</v>
      </c>
      <c r="M931" s="1">
        <v>0</v>
      </c>
      <c r="N931" s="1">
        <v>15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 t="s">
        <v>49</v>
      </c>
      <c r="AA931" s="1" t="s">
        <v>49</v>
      </c>
      <c r="AB931" s="1" t="s">
        <v>49</v>
      </c>
      <c r="AC931" s="1" t="s">
        <v>2223</v>
      </c>
      <c r="AD931" s="1" t="s">
        <v>2224</v>
      </c>
      <c r="AE931" s="1" t="s">
        <v>2223</v>
      </c>
      <c r="AF931" s="1" t="s">
        <v>2225</v>
      </c>
      <c r="AG931" s="1" t="s">
        <v>227</v>
      </c>
      <c r="AH931" s="1" t="s">
        <v>49</v>
      </c>
      <c r="AI931" s="1" t="s">
        <v>54</v>
      </c>
      <c r="AJ931" s="1">
        <v>1</v>
      </c>
      <c r="AK931" s="1" t="str">
        <f t="shared" si="14"/>
        <v xml:space="preserve"> =&lt;90</v>
      </c>
      <c r="AL931" s="1" t="str">
        <f>VLOOKUP(C:C,[1]基础信息!B$1:D$65536,3,0)</f>
        <v>Spare Parts</v>
      </c>
      <c r="AM931" s="1" t="str">
        <f>VLOOKUP(C:C,[1]基础信息!B$1:E$65536,4,0)</f>
        <v>Spare Parts</v>
      </c>
      <c r="AN931" s="1" t="str">
        <f>VLOOKUP(C:C,[1]基础信息!B$1:F$65536,5,0)</f>
        <v>Spare Parts</v>
      </c>
    </row>
    <row r="932" spans="1:40">
      <c r="A932" s="1" t="s">
        <v>41</v>
      </c>
      <c r="B932" s="1" t="s">
        <v>42</v>
      </c>
      <c r="C932" s="1" t="s">
        <v>969</v>
      </c>
      <c r="D932" s="1" t="s">
        <v>970</v>
      </c>
      <c r="E932" s="1" t="s">
        <v>45</v>
      </c>
      <c r="F932" s="1" t="s">
        <v>1926</v>
      </c>
      <c r="G932" s="1" t="s">
        <v>2249</v>
      </c>
      <c r="H932" s="1" t="s">
        <v>2250</v>
      </c>
      <c r="I932" s="1" t="s">
        <v>49</v>
      </c>
      <c r="J932" s="1" t="s">
        <v>48</v>
      </c>
      <c r="K932" s="1">
        <v>80</v>
      </c>
      <c r="L932" s="1">
        <v>0</v>
      </c>
      <c r="M932" s="1">
        <v>0</v>
      </c>
      <c r="N932" s="1">
        <v>80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 t="s">
        <v>49</v>
      </c>
      <c r="AA932" s="1" t="s">
        <v>49</v>
      </c>
      <c r="AB932" s="1" t="s">
        <v>49</v>
      </c>
      <c r="AC932" s="1" t="s">
        <v>128</v>
      </c>
      <c r="AD932" s="1" t="s">
        <v>129</v>
      </c>
      <c r="AE932" s="1" t="s">
        <v>128</v>
      </c>
      <c r="AF932" s="1" t="s">
        <v>1929</v>
      </c>
      <c r="AG932" s="1" t="s">
        <v>53</v>
      </c>
      <c r="AH932" s="1" t="s">
        <v>49</v>
      </c>
      <c r="AI932" s="1" t="s">
        <v>54</v>
      </c>
      <c r="AJ932" s="1">
        <v>1</v>
      </c>
      <c r="AK932" s="1" t="str">
        <f t="shared" si="14"/>
        <v xml:space="preserve"> =&lt;90</v>
      </c>
      <c r="AL932" s="1" t="str">
        <f>VLOOKUP(C:C,[1]基础信息!B$1:D$65536,3,0)</f>
        <v>Jug</v>
      </c>
      <c r="AM932" s="1" t="str">
        <f>VLOOKUP(C:C,[1]基础信息!B$1:E$65536,4,0)</f>
        <v>Mxplus</v>
      </c>
      <c r="AN932" s="1" t="str">
        <f>VLOOKUP(C:C,[1]基础信息!B$1:F$65536,5,0)</f>
        <v xml:space="preserve"> blue</v>
      </c>
    </row>
    <row r="933" spans="1:40">
      <c r="A933" s="1" t="s">
        <v>41</v>
      </c>
      <c r="B933" s="1" t="s">
        <v>42</v>
      </c>
      <c r="C933" s="1" t="s">
        <v>417</v>
      </c>
      <c r="D933" s="1" t="s">
        <v>418</v>
      </c>
      <c r="E933" s="1" t="s">
        <v>45</v>
      </c>
      <c r="F933" s="1" t="s">
        <v>1126</v>
      </c>
      <c r="G933" s="1" t="s">
        <v>2251</v>
      </c>
      <c r="H933" s="1" t="s">
        <v>2252</v>
      </c>
      <c r="I933" s="1" t="s">
        <v>49</v>
      </c>
      <c r="J933" s="1" t="s">
        <v>48</v>
      </c>
      <c r="K933" s="1">
        <v>96</v>
      </c>
      <c r="L933" s="1">
        <v>0</v>
      </c>
      <c r="M933" s="1">
        <v>0</v>
      </c>
      <c r="N933" s="1">
        <v>96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 t="s">
        <v>49</v>
      </c>
      <c r="AA933" s="1" t="s">
        <v>49</v>
      </c>
      <c r="AB933" s="1" t="s">
        <v>49</v>
      </c>
      <c r="AC933" s="1" t="s">
        <v>938</v>
      </c>
      <c r="AD933" s="1" t="s">
        <v>939</v>
      </c>
      <c r="AE933" s="1" t="s">
        <v>938</v>
      </c>
      <c r="AF933" s="1" t="s">
        <v>940</v>
      </c>
      <c r="AG933" s="1" t="s">
        <v>53</v>
      </c>
      <c r="AH933" s="1" t="s">
        <v>49</v>
      </c>
      <c r="AI933" s="1" t="s">
        <v>54</v>
      </c>
      <c r="AJ933" s="1">
        <v>1</v>
      </c>
      <c r="AK933" s="1" t="str">
        <f t="shared" si="14"/>
        <v xml:space="preserve"> =&lt;90</v>
      </c>
      <c r="AL933" s="1" t="str">
        <f>VLOOKUP(C:C,[1]基础信息!B$1:D$65536,3,0)</f>
        <v>Jug</v>
      </c>
      <c r="AM933" s="1" t="str">
        <f>VLOOKUP(C:C,[1]基础信息!B$1:E$65536,4,0)</f>
        <v>Marella XL</v>
      </c>
      <c r="AN933" s="1" t="str">
        <f>VLOOKUP(C:C,[1]基础信息!B$1:F$65536,5,0)</f>
        <v>Silver</v>
      </c>
    </row>
    <row r="934" spans="1:40">
      <c r="A934" s="1" t="s">
        <v>41</v>
      </c>
      <c r="B934" s="1" t="s">
        <v>42</v>
      </c>
      <c r="C934" s="1" t="s">
        <v>83</v>
      </c>
      <c r="D934" s="1" t="s">
        <v>84</v>
      </c>
      <c r="E934" s="1" t="s">
        <v>45</v>
      </c>
      <c r="F934" s="1" t="s">
        <v>1419</v>
      </c>
      <c r="G934" s="1" t="s">
        <v>2253</v>
      </c>
      <c r="H934" s="1" t="s">
        <v>2254</v>
      </c>
      <c r="I934" s="1" t="s">
        <v>49</v>
      </c>
      <c r="J934" s="1" t="s">
        <v>48</v>
      </c>
      <c r="K934" s="1">
        <v>96</v>
      </c>
      <c r="L934" s="1">
        <v>0</v>
      </c>
      <c r="M934" s="1">
        <v>0</v>
      </c>
      <c r="N934" s="1">
        <v>96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 t="s">
        <v>49</v>
      </c>
      <c r="AA934" s="1" t="s">
        <v>49</v>
      </c>
      <c r="AB934" s="1" t="s">
        <v>49</v>
      </c>
      <c r="AC934" s="1" t="s">
        <v>213</v>
      </c>
      <c r="AD934" s="1" t="s">
        <v>214</v>
      </c>
      <c r="AE934" s="1" t="s">
        <v>215</v>
      </c>
      <c r="AF934" s="1" t="s">
        <v>1422</v>
      </c>
      <c r="AG934" s="1" t="s">
        <v>53</v>
      </c>
      <c r="AH934" s="1" t="s">
        <v>49</v>
      </c>
      <c r="AI934" s="1" t="s">
        <v>54</v>
      </c>
      <c r="AJ934" s="1">
        <v>1</v>
      </c>
      <c r="AK934" s="1" t="str">
        <f t="shared" si="14"/>
        <v xml:space="preserve"> =&lt;90</v>
      </c>
      <c r="AL934" s="1" t="str">
        <f>VLOOKUP(C:C,[1]基础信息!B$1:D$65536,3,0)</f>
        <v>Jug</v>
      </c>
      <c r="AM934" s="1" t="str">
        <f>VLOOKUP(C:C,[1]基础信息!B$1:E$65536,4,0)</f>
        <v>Mxplus</v>
      </c>
      <c r="AN934" s="1" t="str">
        <f>VLOOKUP(C:C,[1]基础信息!B$1:F$65536,5,0)</f>
        <v>Blue</v>
      </c>
    </row>
    <row r="935" spans="1:40">
      <c r="A935" s="1" t="s">
        <v>41</v>
      </c>
      <c r="B935" s="1" t="s">
        <v>42</v>
      </c>
      <c r="C935" s="1" t="s">
        <v>969</v>
      </c>
      <c r="D935" s="1" t="s">
        <v>970</v>
      </c>
      <c r="E935" s="1" t="s">
        <v>45</v>
      </c>
      <c r="F935" s="1" t="s">
        <v>1926</v>
      </c>
      <c r="G935" s="1" t="s">
        <v>2255</v>
      </c>
      <c r="H935" s="1" t="s">
        <v>2256</v>
      </c>
      <c r="I935" s="1" t="s">
        <v>49</v>
      </c>
      <c r="J935" s="1" t="s">
        <v>48</v>
      </c>
      <c r="K935" s="1">
        <v>80</v>
      </c>
      <c r="L935" s="1">
        <v>0</v>
      </c>
      <c r="M935" s="1">
        <v>0</v>
      </c>
      <c r="N935" s="1">
        <v>80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 t="s">
        <v>49</v>
      </c>
      <c r="AA935" s="1" t="s">
        <v>49</v>
      </c>
      <c r="AB935" s="1" t="s">
        <v>49</v>
      </c>
      <c r="AC935" s="1" t="s">
        <v>128</v>
      </c>
      <c r="AD935" s="1" t="s">
        <v>129</v>
      </c>
      <c r="AE935" s="1" t="s">
        <v>128</v>
      </c>
      <c r="AF935" s="1" t="s">
        <v>1929</v>
      </c>
      <c r="AG935" s="1" t="s">
        <v>53</v>
      </c>
      <c r="AH935" s="1" t="s">
        <v>49</v>
      </c>
      <c r="AI935" s="1" t="s">
        <v>54</v>
      </c>
      <c r="AJ935" s="1">
        <v>1</v>
      </c>
      <c r="AK935" s="1" t="str">
        <f t="shared" si="14"/>
        <v xml:space="preserve"> =&lt;90</v>
      </c>
      <c r="AL935" s="1" t="str">
        <f>VLOOKUP(C:C,[1]基础信息!B$1:D$65536,3,0)</f>
        <v>Jug</v>
      </c>
      <c r="AM935" s="1" t="str">
        <f>VLOOKUP(C:C,[1]基础信息!B$1:E$65536,4,0)</f>
        <v>Mxplus</v>
      </c>
      <c r="AN935" s="1" t="str">
        <f>VLOOKUP(C:C,[1]基础信息!B$1:F$65536,5,0)</f>
        <v xml:space="preserve"> blue</v>
      </c>
    </row>
    <row r="936" spans="1:40">
      <c r="A936" s="1" t="s">
        <v>41</v>
      </c>
      <c r="B936" s="1" t="s">
        <v>42</v>
      </c>
      <c r="C936" s="1" t="s">
        <v>417</v>
      </c>
      <c r="D936" s="1" t="s">
        <v>418</v>
      </c>
      <c r="E936" s="1" t="s">
        <v>45</v>
      </c>
      <c r="F936" s="1" t="s">
        <v>1126</v>
      </c>
      <c r="G936" s="1" t="s">
        <v>2257</v>
      </c>
      <c r="H936" s="1" t="s">
        <v>2258</v>
      </c>
      <c r="I936" s="1" t="s">
        <v>49</v>
      </c>
      <c r="J936" s="1" t="s">
        <v>48</v>
      </c>
      <c r="K936" s="1">
        <v>96</v>
      </c>
      <c r="L936" s="1">
        <v>0</v>
      </c>
      <c r="M936" s="1">
        <v>0</v>
      </c>
      <c r="N936" s="1">
        <v>96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 t="s">
        <v>49</v>
      </c>
      <c r="AA936" s="1" t="s">
        <v>49</v>
      </c>
      <c r="AB936" s="1" t="s">
        <v>49</v>
      </c>
      <c r="AC936" s="1" t="s">
        <v>938</v>
      </c>
      <c r="AD936" s="1" t="s">
        <v>939</v>
      </c>
      <c r="AE936" s="1" t="s">
        <v>938</v>
      </c>
      <c r="AF936" s="1" t="s">
        <v>940</v>
      </c>
      <c r="AG936" s="1" t="s">
        <v>53</v>
      </c>
      <c r="AH936" s="1" t="s">
        <v>49</v>
      </c>
      <c r="AI936" s="1" t="s">
        <v>54</v>
      </c>
      <c r="AJ936" s="1">
        <v>1</v>
      </c>
      <c r="AK936" s="1" t="str">
        <f t="shared" si="14"/>
        <v xml:space="preserve"> =&lt;90</v>
      </c>
      <c r="AL936" s="1" t="str">
        <f>VLOOKUP(C:C,[1]基础信息!B$1:D$65536,3,0)</f>
        <v>Jug</v>
      </c>
      <c r="AM936" s="1" t="str">
        <f>VLOOKUP(C:C,[1]基础信息!B$1:E$65536,4,0)</f>
        <v>Marella XL</v>
      </c>
      <c r="AN936" s="1" t="str">
        <f>VLOOKUP(C:C,[1]基础信息!B$1:F$65536,5,0)</f>
        <v>Silver</v>
      </c>
    </row>
    <row r="937" spans="1:40">
      <c r="A937" s="1" t="s">
        <v>41</v>
      </c>
      <c r="B937" s="1" t="s">
        <v>42</v>
      </c>
      <c r="C937" s="1" t="s">
        <v>969</v>
      </c>
      <c r="D937" s="1" t="s">
        <v>970</v>
      </c>
      <c r="E937" s="1" t="s">
        <v>45</v>
      </c>
      <c r="F937" s="1" t="s">
        <v>1926</v>
      </c>
      <c r="G937" s="1" t="s">
        <v>2259</v>
      </c>
      <c r="H937" s="1" t="s">
        <v>2260</v>
      </c>
      <c r="I937" s="1" t="s">
        <v>49</v>
      </c>
      <c r="J937" s="1" t="s">
        <v>48</v>
      </c>
      <c r="K937" s="1">
        <v>80</v>
      </c>
      <c r="L937" s="1">
        <v>0</v>
      </c>
      <c r="M937" s="1">
        <v>0</v>
      </c>
      <c r="N937" s="1">
        <v>80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 t="s">
        <v>49</v>
      </c>
      <c r="AA937" s="1" t="s">
        <v>49</v>
      </c>
      <c r="AB937" s="1" t="s">
        <v>49</v>
      </c>
      <c r="AC937" s="1" t="s">
        <v>128</v>
      </c>
      <c r="AD937" s="1" t="s">
        <v>129</v>
      </c>
      <c r="AE937" s="1" t="s">
        <v>128</v>
      </c>
      <c r="AF937" s="1" t="s">
        <v>1929</v>
      </c>
      <c r="AG937" s="1" t="s">
        <v>53</v>
      </c>
      <c r="AH937" s="1" t="s">
        <v>49</v>
      </c>
      <c r="AI937" s="1" t="s">
        <v>54</v>
      </c>
      <c r="AJ937" s="1">
        <v>1</v>
      </c>
      <c r="AK937" s="1" t="str">
        <f t="shared" si="14"/>
        <v xml:space="preserve"> =&lt;90</v>
      </c>
      <c r="AL937" s="1" t="str">
        <f>VLOOKUP(C:C,[1]基础信息!B$1:D$65536,3,0)</f>
        <v>Jug</v>
      </c>
      <c r="AM937" s="1" t="str">
        <f>VLOOKUP(C:C,[1]基础信息!B$1:E$65536,4,0)</f>
        <v>Mxplus</v>
      </c>
      <c r="AN937" s="1" t="str">
        <f>VLOOKUP(C:C,[1]基础信息!B$1:F$65536,5,0)</f>
        <v xml:space="preserve"> blue</v>
      </c>
    </row>
    <row r="938" spans="1:40">
      <c r="A938" s="1" t="s">
        <v>41</v>
      </c>
      <c r="B938" s="1" t="s">
        <v>42</v>
      </c>
      <c r="C938" s="1" t="s">
        <v>969</v>
      </c>
      <c r="D938" s="1" t="s">
        <v>970</v>
      </c>
      <c r="E938" s="1" t="s">
        <v>45</v>
      </c>
      <c r="F938" s="1" t="s">
        <v>1926</v>
      </c>
      <c r="G938" s="1" t="s">
        <v>2261</v>
      </c>
      <c r="H938" s="1" t="s">
        <v>2262</v>
      </c>
      <c r="I938" s="1" t="s">
        <v>49</v>
      </c>
      <c r="J938" s="1" t="s">
        <v>48</v>
      </c>
      <c r="K938" s="1">
        <v>40</v>
      </c>
      <c r="L938" s="1">
        <v>0</v>
      </c>
      <c r="M938" s="1">
        <v>0</v>
      </c>
      <c r="N938" s="1">
        <v>40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 t="s">
        <v>49</v>
      </c>
      <c r="AA938" s="1" t="s">
        <v>49</v>
      </c>
      <c r="AB938" s="1" t="s">
        <v>49</v>
      </c>
      <c r="AC938" s="1" t="s">
        <v>128</v>
      </c>
      <c r="AD938" s="1" t="s">
        <v>129</v>
      </c>
      <c r="AE938" s="1" t="s">
        <v>128</v>
      </c>
      <c r="AF938" s="1" t="s">
        <v>1929</v>
      </c>
      <c r="AG938" s="1" t="s">
        <v>53</v>
      </c>
      <c r="AH938" s="1" t="s">
        <v>49</v>
      </c>
      <c r="AI938" s="1" t="s">
        <v>54</v>
      </c>
      <c r="AJ938" s="1">
        <v>1</v>
      </c>
      <c r="AK938" s="1" t="str">
        <f t="shared" si="14"/>
        <v xml:space="preserve"> =&lt;90</v>
      </c>
      <c r="AL938" s="1" t="str">
        <f>VLOOKUP(C:C,[1]基础信息!B$1:D$65536,3,0)</f>
        <v>Jug</v>
      </c>
      <c r="AM938" s="1" t="str">
        <f>VLOOKUP(C:C,[1]基础信息!B$1:E$65536,4,0)</f>
        <v>Mxplus</v>
      </c>
      <c r="AN938" s="1" t="str">
        <f>VLOOKUP(C:C,[1]基础信息!B$1:F$65536,5,0)</f>
        <v xml:space="preserve"> blue</v>
      </c>
    </row>
    <row r="939" spans="1:40">
      <c r="A939" s="1" t="s">
        <v>41</v>
      </c>
      <c r="B939" s="1" t="s">
        <v>42</v>
      </c>
      <c r="C939" s="1" t="s">
        <v>83</v>
      </c>
      <c r="D939" s="1" t="s">
        <v>84</v>
      </c>
      <c r="E939" s="1" t="s">
        <v>45</v>
      </c>
      <c r="F939" s="1" t="s">
        <v>1419</v>
      </c>
      <c r="G939" s="1" t="s">
        <v>2263</v>
      </c>
      <c r="H939" s="1" t="s">
        <v>2264</v>
      </c>
      <c r="I939" s="1" t="s">
        <v>49</v>
      </c>
      <c r="J939" s="1" t="s">
        <v>48</v>
      </c>
      <c r="K939" s="1">
        <v>96</v>
      </c>
      <c r="L939" s="1">
        <v>0</v>
      </c>
      <c r="M939" s="1">
        <v>0</v>
      </c>
      <c r="N939" s="1">
        <v>96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 t="s">
        <v>49</v>
      </c>
      <c r="AA939" s="1" t="s">
        <v>49</v>
      </c>
      <c r="AB939" s="1" t="s">
        <v>49</v>
      </c>
      <c r="AC939" s="1" t="s">
        <v>213</v>
      </c>
      <c r="AD939" s="1" t="s">
        <v>214</v>
      </c>
      <c r="AE939" s="1" t="s">
        <v>215</v>
      </c>
      <c r="AF939" s="1" t="s">
        <v>1422</v>
      </c>
      <c r="AG939" s="1" t="s">
        <v>53</v>
      </c>
      <c r="AH939" s="1" t="s">
        <v>49</v>
      </c>
      <c r="AI939" s="1" t="s">
        <v>54</v>
      </c>
      <c r="AJ939" s="1">
        <v>1</v>
      </c>
      <c r="AK939" s="1" t="str">
        <f t="shared" si="14"/>
        <v xml:space="preserve"> =&lt;90</v>
      </c>
      <c r="AL939" s="1" t="str">
        <f>VLOOKUP(C:C,[1]基础信息!B$1:D$65536,3,0)</f>
        <v>Jug</v>
      </c>
      <c r="AM939" s="1" t="str">
        <f>VLOOKUP(C:C,[1]基础信息!B$1:E$65536,4,0)</f>
        <v>Mxplus</v>
      </c>
      <c r="AN939" s="1" t="str">
        <f>VLOOKUP(C:C,[1]基础信息!B$1:F$65536,5,0)</f>
        <v>Blue</v>
      </c>
    </row>
    <row r="940" spans="1:40">
      <c r="A940" s="1" t="s">
        <v>41</v>
      </c>
      <c r="B940" s="1" t="s">
        <v>42</v>
      </c>
      <c r="C940" s="1" t="s">
        <v>969</v>
      </c>
      <c r="D940" s="1" t="s">
        <v>970</v>
      </c>
      <c r="E940" s="1" t="s">
        <v>45</v>
      </c>
      <c r="F940" s="1" t="s">
        <v>2265</v>
      </c>
      <c r="G940" s="1" t="s">
        <v>2266</v>
      </c>
      <c r="H940" s="1" t="s">
        <v>2267</v>
      </c>
      <c r="I940" s="1" t="s">
        <v>49</v>
      </c>
      <c r="J940" s="1" t="s">
        <v>48</v>
      </c>
      <c r="K940" s="1">
        <v>80</v>
      </c>
      <c r="L940" s="1">
        <v>0</v>
      </c>
      <c r="M940" s="1">
        <v>0</v>
      </c>
      <c r="N940" s="1">
        <v>80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 t="s">
        <v>49</v>
      </c>
      <c r="AA940" s="1" t="s">
        <v>49</v>
      </c>
      <c r="AB940" s="1" t="s">
        <v>49</v>
      </c>
      <c r="AC940" s="1" t="s">
        <v>128</v>
      </c>
      <c r="AD940" s="1" t="s">
        <v>129</v>
      </c>
      <c r="AE940" s="1" t="s">
        <v>128</v>
      </c>
      <c r="AF940" s="1" t="s">
        <v>975</v>
      </c>
      <c r="AG940" s="1" t="s">
        <v>53</v>
      </c>
      <c r="AH940" s="1" t="s">
        <v>49</v>
      </c>
      <c r="AI940" s="1" t="s">
        <v>54</v>
      </c>
      <c r="AJ940" s="1">
        <v>1</v>
      </c>
      <c r="AK940" s="1" t="str">
        <f t="shared" si="14"/>
        <v xml:space="preserve"> =&lt;90</v>
      </c>
      <c r="AL940" s="1" t="str">
        <f>VLOOKUP(C:C,[1]基础信息!B$1:D$65536,3,0)</f>
        <v>Jug</v>
      </c>
      <c r="AM940" s="1" t="str">
        <f>VLOOKUP(C:C,[1]基础信息!B$1:E$65536,4,0)</f>
        <v>Mxplus</v>
      </c>
      <c r="AN940" s="1" t="str">
        <f>VLOOKUP(C:C,[1]基础信息!B$1:F$65536,5,0)</f>
        <v xml:space="preserve"> blue</v>
      </c>
    </row>
    <row r="941" spans="1:40">
      <c r="A941" s="1" t="s">
        <v>41</v>
      </c>
      <c r="B941" s="1" t="s">
        <v>42</v>
      </c>
      <c r="C941" s="1" t="s">
        <v>969</v>
      </c>
      <c r="D941" s="1" t="s">
        <v>970</v>
      </c>
      <c r="E941" s="1" t="s">
        <v>45</v>
      </c>
      <c r="F941" s="1" t="s">
        <v>2265</v>
      </c>
      <c r="G941" s="1" t="s">
        <v>2268</v>
      </c>
      <c r="H941" s="1" t="s">
        <v>2269</v>
      </c>
      <c r="I941" s="1" t="s">
        <v>49</v>
      </c>
      <c r="J941" s="1" t="s">
        <v>48</v>
      </c>
      <c r="K941" s="1">
        <v>80</v>
      </c>
      <c r="L941" s="1">
        <v>0</v>
      </c>
      <c r="M941" s="1">
        <v>0</v>
      </c>
      <c r="N941" s="1">
        <v>80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 t="s">
        <v>49</v>
      </c>
      <c r="AA941" s="1" t="s">
        <v>49</v>
      </c>
      <c r="AB941" s="1" t="s">
        <v>49</v>
      </c>
      <c r="AC941" s="1" t="s">
        <v>128</v>
      </c>
      <c r="AD941" s="1" t="s">
        <v>129</v>
      </c>
      <c r="AE941" s="1" t="s">
        <v>128</v>
      </c>
      <c r="AF941" s="1" t="s">
        <v>975</v>
      </c>
      <c r="AG941" s="1" t="s">
        <v>53</v>
      </c>
      <c r="AH941" s="1" t="s">
        <v>49</v>
      </c>
      <c r="AI941" s="1" t="s">
        <v>54</v>
      </c>
      <c r="AJ941" s="1">
        <v>1</v>
      </c>
      <c r="AK941" s="1" t="str">
        <f t="shared" si="14"/>
        <v xml:space="preserve"> =&lt;90</v>
      </c>
      <c r="AL941" s="1" t="str">
        <f>VLOOKUP(C:C,[1]基础信息!B$1:D$65536,3,0)</f>
        <v>Jug</v>
      </c>
      <c r="AM941" s="1" t="str">
        <f>VLOOKUP(C:C,[1]基础信息!B$1:E$65536,4,0)</f>
        <v>Mxplus</v>
      </c>
      <c r="AN941" s="1" t="str">
        <f>VLOOKUP(C:C,[1]基础信息!B$1:F$65536,5,0)</f>
        <v xml:space="preserve"> blue</v>
      </c>
    </row>
    <row r="942" spans="1:40">
      <c r="A942" s="1" t="s">
        <v>41</v>
      </c>
      <c r="B942" s="1" t="s">
        <v>42</v>
      </c>
      <c r="C942" s="1" t="s">
        <v>969</v>
      </c>
      <c r="D942" s="1" t="s">
        <v>970</v>
      </c>
      <c r="E942" s="1" t="s">
        <v>45</v>
      </c>
      <c r="F942" s="1" t="s">
        <v>2265</v>
      </c>
      <c r="G942" s="1" t="s">
        <v>2270</v>
      </c>
      <c r="H942" s="1" t="s">
        <v>2271</v>
      </c>
      <c r="I942" s="1" t="s">
        <v>49</v>
      </c>
      <c r="J942" s="1" t="s">
        <v>48</v>
      </c>
      <c r="K942" s="1">
        <v>80</v>
      </c>
      <c r="L942" s="1">
        <v>0</v>
      </c>
      <c r="M942" s="1">
        <v>0</v>
      </c>
      <c r="N942" s="1">
        <v>80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 t="s">
        <v>49</v>
      </c>
      <c r="AA942" s="1" t="s">
        <v>49</v>
      </c>
      <c r="AB942" s="1" t="s">
        <v>49</v>
      </c>
      <c r="AC942" s="1" t="s">
        <v>128</v>
      </c>
      <c r="AD942" s="1" t="s">
        <v>129</v>
      </c>
      <c r="AE942" s="1" t="s">
        <v>128</v>
      </c>
      <c r="AF942" s="1" t="s">
        <v>975</v>
      </c>
      <c r="AG942" s="1" t="s">
        <v>53</v>
      </c>
      <c r="AH942" s="1" t="s">
        <v>49</v>
      </c>
      <c r="AI942" s="1" t="s">
        <v>54</v>
      </c>
      <c r="AJ942" s="1">
        <v>1</v>
      </c>
      <c r="AK942" s="1" t="str">
        <f t="shared" si="14"/>
        <v xml:space="preserve"> =&lt;90</v>
      </c>
      <c r="AL942" s="1" t="str">
        <f>VLOOKUP(C:C,[1]基础信息!B$1:D$65536,3,0)</f>
        <v>Jug</v>
      </c>
      <c r="AM942" s="1" t="str">
        <f>VLOOKUP(C:C,[1]基础信息!B$1:E$65536,4,0)</f>
        <v>Mxplus</v>
      </c>
      <c r="AN942" s="1" t="str">
        <f>VLOOKUP(C:C,[1]基础信息!B$1:F$65536,5,0)</f>
        <v xml:space="preserve"> blue</v>
      </c>
    </row>
    <row r="943" spans="1:40">
      <c r="A943" s="1" t="s">
        <v>41</v>
      </c>
      <c r="B943" s="1" t="s">
        <v>42</v>
      </c>
      <c r="C943" s="1" t="s">
        <v>56</v>
      </c>
      <c r="D943" s="1" t="s">
        <v>57</v>
      </c>
      <c r="E943" s="1" t="s">
        <v>45</v>
      </c>
      <c r="F943" s="1" t="s">
        <v>1096</v>
      </c>
      <c r="G943" s="1" t="s">
        <v>2272</v>
      </c>
      <c r="H943" s="1" t="s">
        <v>2273</v>
      </c>
      <c r="I943" s="1" t="s">
        <v>49</v>
      </c>
      <c r="J943" s="1" t="s">
        <v>48</v>
      </c>
      <c r="K943" s="1">
        <v>72</v>
      </c>
      <c r="L943" s="1">
        <v>0</v>
      </c>
      <c r="M943" s="1">
        <v>0</v>
      </c>
      <c r="N943" s="1">
        <v>72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 t="s">
        <v>49</v>
      </c>
      <c r="AA943" s="1" t="s">
        <v>49</v>
      </c>
      <c r="AB943" s="1" t="s">
        <v>49</v>
      </c>
      <c r="AC943" s="1" t="s">
        <v>938</v>
      </c>
      <c r="AD943" s="1" t="s">
        <v>939</v>
      </c>
      <c r="AE943" s="1" t="s">
        <v>938</v>
      </c>
      <c r="AF943" s="1" t="s">
        <v>1099</v>
      </c>
      <c r="AG943" s="1" t="s">
        <v>53</v>
      </c>
      <c r="AH943" s="1" t="s">
        <v>49</v>
      </c>
      <c r="AI943" s="1" t="s">
        <v>54</v>
      </c>
      <c r="AJ943" s="1">
        <v>1</v>
      </c>
      <c r="AK943" s="1" t="str">
        <f t="shared" si="14"/>
        <v xml:space="preserve"> =&lt;90</v>
      </c>
      <c r="AL943" s="1" t="str">
        <f>VLOOKUP(C:C,[1]基础信息!B$1:D$65536,3,0)</f>
        <v>Jug</v>
      </c>
      <c r="AM943" s="1" t="str">
        <f>VLOOKUP(C:C,[1]基础信息!B$1:E$65536,4,0)</f>
        <v>Marella XL</v>
      </c>
      <c r="AN943" s="1" t="str">
        <f>VLOOKUP(C:C,[1]基础信息!B$1:F$65536,5,0)</f>
        <v>Blue</v>
      </c>
    </row>
    <row r="944" spans="1:40">
      <c r="A944" s="1" t="s">
        <v>41</v>
      </c>
      <c r="B944" s="1" t="s">
        <v>42</v>
      </c>
      <c r="C944" s="1" t="s">
        <v>83</v>
      </c>
      <c r="D944" s="1" t="s">
        <v>84</v>
      </c>
      <c r="E944" s="1" t="s">
        <v>45</v>
      </c>
      <c r="F944" s="1" t="s">
        <v>1419</v>
      </c>
      <c r="G944" s="1" t="s">
        <v>2274</v>
      </c>
      <c r="H944" s="1" t="s">
        <v>2275</v>
      </c>
      <c r="I944" s="1" t="s">
        <v>49</v>
      </c>
      <c r="J944" s="1" t="s">
        <v>48</v>
      </c>
      <c r="K944" s="1">
        <v>96</v>
      </c>
      <c r="L944" s="1">
        <v>0</v>
      </c>
      <c r="M944" s="1">
        <v>0</v>
      </c>
      <c r="N944" s="1">
        <v>96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 t="s">
        <v>49</v>
      </c>
      <c r="AA944" s="1" t="s">
        <v>49</v>
      </c>
      <c r="AB944" s="1" t="s">
        <v>49</v>
      </c>
      <c r="AC944" s="1" t="s">
        <v>213</v>
      </c>
      <c r="AD944" s="1" t="s">
        <v>214</v>
      </c>
      <c r="AE944" s="1" t="s">
        <v>215</v>
      </c>
      <c r="AF944" s="1" t="s">
        <v>1422</v>
      </c>
      <c r="AG944" s="1" t="s">
        <v>53</v>
      </c>
      <c r="AH944" s="1" t="s">
        <v>49</v>
      </c>
      <c r="AI944" s="1" t="s">
        <v>54</v>
      </c>
      <c r="AJ944" s="1">
        <v>1</v>
      </c>
      <c r="AK944" s="1" t="str">
        <f t="shared" si="14"/>
        <v xml:space="preserve"> =&lt;90</v>
      </c>
      <c r="AL944" s="1" t="str">
        <f>VLOOKUP(C:C,[1]基础信息!B$1:D$65536,3,0)</f>
        <v>Jug</v>
      </c>
      <c r="AM944" s="1" t="str">
        <f>VLOOKUP(C:C,[1]基础信息!B$1:E$65536,4,0)</f>
        <v>Mxplus</v>
      </c>
      <c r="AN944" s="1" t="str">
        <f>VLOOKUP(C:C,[1]基础信息!B$1:F$65536,5,0)</f>
        <v>Blue</v>
      </c>
    </row>
    <row r="945" spans="1:40">
      <c r="A945" s="1" t="s">
        <v>41</v>
      </c>
      <c r="B945" s="1" t="s">
        <v>42</v>
      </c>
      <c r="C945" s="1" t="s">
        <v>83</v>
      </c>
      <c r="D945" s="1" t="s">
        <v>84</v>
      </c>
      <c r="E945" s="1" t="s">
        <v>45</v>
      </c>
      <c r="F945" s="1" t="s">
        <v>1419</v>
      </c>
      <c r="G945" s="1" t="s">
        <v>2276</v>
      </c>
      <c r="H945" s="1" t="s">
        <v>2277</v>
      </c>
      <c r="I945" s="1" t="s">
        <v>49</v>
      </c>
      <c r="J945" s="1" t="s">
        <v>48</v>
      </c>
      <c r="K945" s="1">
        <v>96</v>
      </c>
      <c r="L945" s="1">
        <v>0</v>
      </c>
      <c r="M945" s="1">
        <v>0</v>
      </c>
      <c r="N945" s="1">
        <v>96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 t="s">
        <v>49</v>
      </c>
      <c r="AA945" s="1" t="s">
        <v>49</v>
      </c>
      <c r="AB945" s="1" t="s">
        <v>49</v>
      </c>
      <c r="AC945" s="1" t="s">
        <v>213</v>
      </c>
      <c r="AD945" s="1" t="s">
        <v>214</v>
      </c>
      <c r="AE945" s="1" t="s">
        <v>215</v>
      </c>
      <c r="AF945" s="1" t="s">
        <v>1422</v>
      </c>
      <c r="AG945" s="1" t="s">
        <v>53</v>
      </c>
      <c r="AH945" s="1" t="s">
        <v>49</v>
      </c>
      <c r="AI945" s="1" t="s">
        <v>54</v>
      </c>
      <c r="AJ945" s="1">
        <v>1</v>
      </c>
      <c r="AK945" s="1" t="str">
        <f t="shared" si="14"/>
        <v xml:space="preserve"> =&lt;90</v>
      </c>
      <c r="AL945" s="1" t="str">
        <f>VLOOKUP(C:C,[1]基础信息!B$1:D$65536,3,0)</f>
        <v>Jug</v>
      </c>
      <c r="AM945" s="1" t="str">
        <f>VLOOKUP(C:C,[1]基础信息!B$1:E$65536,4,0)</f>
        <v>Mxplus</v>
      </c>
      <c r="AN945" s="1" t="str">
        <f>VLOOKUP(C:C,[1]基础信息!B$1:F$65536,5,0)</f>
        <v>Blue</v>
      </c>
    </row>
    <row r="946" spans="1:40">
      <c r="A946" s="1" t="s">
        <v>41</v>
      </c>
      <c r="B946" s="1" t="s">
        <v>42</v>
      </c>
      <c r="C946" s="1" t="s">
        <v>969</v>
      </c>
      <c r="D946" s="1" t="s">
        <v>970</v>
      </c>
      <c r="E946" s="1" t="s">
        <v>45</v>
      </c>
      <c r="F946" s="1" t="s">
        <v>2265</v>
      </c>
      <c r="G946" s="1" t="s">
        <v>2278</v>
      </c>
      <c r="H946" s="1" t="s">
        <v>2279</v>
      </c>
      <c r="I946" s="1" t="s">
        <v>49</v>
      </c>
      <c r="J946" s="1" t="s">
        <v>48</v>
      </c>
      <c r="K946" s="1">
        <v>80</v>
      </c>
      <c r="L946" s="1">
        <v>0</v>
      </c>
      <c r="M946" s="1">
        <v>0</v>
      </c>
      <c r="N946" s="1">
        <v>80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 t="s">
        <v>49</v>
      </c>
      <c r="AA946" s="1" t="s">
        <v>49</v>
      </c>
      <c r="AB946" s="1" t="s">
        <v>49</v>
      </c>
      <c r="AC946" s="1" t="s">
        <v>128</v>
      </c>
      <c r="AD946" s="1" t="s">
        <v>129</v>
      </c>
      <c r="AE946" s="1" t="s">
        <v>128</v>
      </c>
      <c r="AF946" s="1" t="s">
        <v>975</v>
      </c>
      <c r="AG946" s="1" t="s">
        <v>53</v>
      </c>
      <c r="AH946" s="1" t="s">
        <v>49</v>
      </c>
      <c r="AI946" s="1" t="s">
        <v>54</v>
      </c>
      <c r="AJ946" s="1">
        <v>1</v>
      </c>
      <c r="AK946" s="1" t="str">
        <f t="shared" si="14"/>
        <v xml:space="preserve"> =&lt;90</v>
      </c>
      <c r="AL946" s="1" t="str">
        <f>VLOOKUP(C:C,[1]基础信息!B$1:D$65536,3,0)</f>
        <v>Jug</v>
      </c>
      <c r="AM946" s="1" t="str">
        <f>VLOOKUP(C:C,[1]基础信息!B$1:E$65536,4,0)</f>
        <v>Mxplus</v>
      </c>
      <c r="AN946" s="1" t="str">
        <f>VLOOKUP(C:C,[1]基础信息!B$1:F$65536,5,0)</f>
        <v xml:space="preserve"> blue</v>
      </c>
    </row>
    <row r="947" spans="1:40">
      <c r="A947" s="1" t="s">
        <v>41</v>
      </c>
      <c r="B947" s="1" t="s">
        <v>42</v>
      </c>
      <c r="C947" s="1" t="s">
        <v>83</v>
      </c>
      <c r="D947" s="1" t="s">
        <v>84</v>
      </c>
      <c r="E947" s="1" t="s">
        <v>45</v>
      </c>
      <c r="F947" s="1" t="s">
        <v>1419</v>
      </c>
      <c r="G947" s="1" t="s">
        <v>2280</v>
      </c>
      <c r="H947" s="1" t="s">
        <v>2281</v>
      </c>
      <c r="I947" s="1" t="s">
        <v>49</v>
      </c>
      <c r="J947" s="1" t="s">
        <v>48</v>
      </c>
      <c r="K947" s="1">
        <v>96</v>
      </c>
      <c r="L947" s="1">
        <v>0</v>
      </c>
      <c r="M947" s="1">
        <v>0</v>
      </c>
      <c r="N947" s="1">
        <v>96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 t="s">
        <v>49</v>
      </c>
      <c r="AA947" s="1" t="s">
        <v>49</v>
      </c>
      <c r="AB947" s="1" t="s">
        <v>49</v>
      </c>
      <c r="AC947" s="1" t="s">
        <v>213</v>
      </c>
      <c r="AD947" s="1" t="s">
        <v>214</v>
      </c>
      <c r="AE947" s="1" t="s">
        <v>215</v>
      </c>
      <c r="AF947" s="1" t="s">
        <v>1422</v>
      </c>
      <c r="AG947" s="1" t="s">
        <v>53</v>
      </c>
      <c r="AH947" s="1" t="s">
        <v>49</v>
      </c>
      <c r="AI947" s="1" t="s">
        <v>54</v>
      </c>
      <c r="AJ947" s="1">
        <v>1</v>
      </c>
      <c r="AK947" s="1" t="str">
        <f t="shared" si="14"/>
        <v xml:space="preserve"> =&lt;90</v>
      </c>
      <c r="AL947" s="1" t="str">
        <f>VLOOKUP(C:C,[1]基础信息!B$1:D$65536,3,0)</f>
        <v>Jug</v>
      </c>
      <c r="AM947" s="1" t="str">
        <f>VLOOKUP(C:C,[1]基础信息!B$1:E$65536,4,0)</f>
        <v>Mxplus</v>
      </c>
      <c r="AN947" s="1" t="str">
        <f>VLOOKUP(C:C,[1]基础信息!B$1:F$65536,5,0)</f>
        <v>Blue</v>
      </c>
    </row>
    <row r="948" spans="1:40">
      <c r="A948" s="1" t="s">
        <v>41</v>
      </c>
      <c r="B948" s="1" t="s">
        <v>42</v>
      </c>
      <c r="C948" s="1" t="s">
        <v>83</v>
      </c>
      <c r="D948" s="1" t="s">
        <v>84</v>
      </c>
      <c r="E948" s="1" t="s">
        <v>45</v>
      </c>
      <c r="F948" s="1" t="s">
        <v>1419</v>
      </c>
      <c r="G948" s="1" t="s">
        <v>2282</v>
      </c>
      <c r="H948" s="1" t="s">
        <v>2283</v>
      </c>
      <c r="I948" s="1" t="s">
        <v>49</v>
      </c>
      <c r="J948" s="1" t="s">
        <v>48</v>
      </c>
      <c r="K948" s="1">
        <v>96</v>
      </c>
      <c r="L948" s="1">
        <v>0</v>
      </c>
      <c r="M948" s="1">
        <v>0</v>
      </c>
      <c r="N948" s="1">
        <v>96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 t="s">
        <v>49</v>
      </c>
      <c r="AA948" s="1" t="s">
        <v>49</v>
      </c>
      <c r="AB948" s="1" t="s">
        <v>49</v>
      </c>
      <c r="AC948" s="1" t="s">
        <v>213</v>
      </c>
      <c r="AD948" s="1" t="s">
        <v>214</v>
      </c>
      <c r="AE948" s="1" t="s">
        <v>215</v>
      </c>
      <c r="AF948" s="1" t="s">
        <v>1422</v>
      </c>
      <c r="AG948" s="1" t="s">
        <v>53</v>
      </c>
      <c r="AH948" s="1" t="s">
        <v>49</v>
      </c>
      <c r="AI948" s="1" t="s">
        <v>54</v>
      </c>
      <c r="AJ948" s="1">
        <v>1</v>
      </c>
      <c r="AK948" s="1" t="str">
        <f t="shared" si="14"/>
        <v xml:space="preserve"> =&lt;90</v>
      </c>
      <c r="AL948" s="1" t="str">
        <f>VLOOKUP(C:C,[1]基础信息!B$1:D$65536,3,0)</f>
        <v>Jug</v>
      </c>
      <c r="AM948" s="1" t="str">
        <f>VLOOKUP(C:C,[1]基础信息!B$1:E$65536,4,0)</f>
        <v>Mxplus</v>
      </c>
      <c r="AN948" s="1" t="str">
        <f>VLOOKUP(C:C,[1]基础信息!B$1:F$65536,5,0)</f>
        <v>Blue</v>
      </c>
    </row>
    <row r="949" spans="1:40">
      <c r="A949" s="1" t="s">
        <v>41</v>
      </c>
      <c r="B949" s="1" t="s">
        <v>42</v>
      </c>
      <c r="C949" s="1" t="s">
        <v>83</v>
      </c>
      <c r="D949" s="1" t="s">
        <v>84</v>
      </c>
      <c r="E949" s="1" t="s">
        <v>45</v>
      </c>
      <c r="F949" s="1" t="s">
        <v>1419</v>
      </c>
      <c r="G949" s="1" t="s">
        <v>2284</v>
      </c>
      <c r="H949" s="1" t="s">
        <v>2285</v>
      </c>
      <c r="I949" s="1" t="s">
        <v>49</v>
      </c>
      <c r="J949" s="1" t="s">
        <v>48</v>
      </c>
      <c r="K949" s="1">
        <v>96</v>
      </c>
      <c r="L949" s="1">
        <v>0</v>
      </c>
      <c r="M949" s="1">
        <v>0</v>
      </c>
      <c r="N949" s="1">
        <v>96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 t="s">
        <v>49</v>
      </c>
      <c r="AA949" s="1" t="s">
        <v>49</v>
      </c>
      <c r="AB949" s="1" t="s">
        <v>49</v>
      </c>
      <c r="AC949" s="1" t="s">
        <v>213</v>
      </c>
      <c r="AD949" s="1" t="s">
        <v>214</v>
      </c>
      <c r="AE949" s="1" t="s">
        <v>215</v>
      </c>
      <c r="AF949" s="1" t="s">
        <v>1422</v>
      </c>
      <c r="AG949" s="1" t="s">
        <v>53</v>
      </c>
      <c r="AH949" s="1" t="s">
        <v>49</v>
      </c>
      <c r="AI949" s="1" t="s">
        <v>54</v>
      </c>
      <c r="AJ949" s="1">
        <v>1</v>
      </c>
      <c r="AK949" s="1" t="str">
        <f t="shared" si="14"/>
        <v xml:space="preserve"> =&lt;90</v>
      </c>
      <c r="AL949" s="1" t="str">
        <f>VLOOKUP(C:C,[1]基础信息!B$1:D$65536,3,0)</f>
        <v>Jug</v>
      </c>
      <c r="AM949" s="1" t="str">
        <f>VLOOKUP(C:C,[1]基础信息!B$1:E$65536,4,0)</f>
        <v>Mxplus</v>
      </c>
      <c r="AN949" s="1" t="str">
        <f>VLOOKUP(C:C,[1]基础信息!B$1:F$65536,5,0)</f>
        <v>Blue</v>
      </c>
    </row>
    <row r="950" spans="1:40">
      <c r="A950" s="1" t="s">
        <v>41</v>
      </c>
      <c r="B950" s="1" t="s">
        <v>42</v>
      </c>
      <c r="C950" s="1" t="s">
        <v>969</v>
      </c>
      <c r="D950" s="1" t="s">
        <v>970</v>
      </c>
      <c r="E950" s="1" t="s">
        <v>45</v>
      </c>
      <c r="F950" s="1" t="s">
        <v>2265</v>
      </c>
      <c r="G950" s="1" t="s">
        <v>2286</v>
      </c>
      <c r="H950" s="1" t="s">
        <v>2287</v>
      </c>
      <c r="I950" s="1" t="s">
        <v>49</v>
      </c>
      <c r="J950" s="1" t="s">
        <v>48</v>
      </c>
      <c r="K950" s="1">
        <v>80</v>
      </c>
      <c r="L950" s="1">
        <v>0</v>
      </c>
      <c r="M950" s="1">
        <v>0</v>
      </c>
      <c r="N950" s="1">
        <v>80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 t="s">
        <v>49</v>
      </c>
      <c r="AA950" s="1" t="s">
        <v>49</v>
      </c>
      <c r="AB950" s="1" t="s">
        <v>49</v>
      </c>
      <c r="AC950" s="1" t="s">
        <v>128</v>
      </c>
      <c r="AD950" s="1" t="s">
        <v>129</v>
      </c>
      <c r="AE950" s="1" t="s">
        <v>128</v>
      </c>
      <c r="AF950" s="1" t="s">
        <v>975</v>
      </c>
      <c r="AG950" s="1" t="s">
        <v>53</v>
      </c>
      <c r="AH950" s="1" t="s">
        <v>49</v>
      </c>
      <c r="AI950" s="1" t="s">
        <v>54</v>
      </c>
      <c r="AJ950" s="1">
        <v>1</v>
      </c>
      <c r="AK950" s="1" t="str">
        <f t="shared" si="14"/>
        <v xml:space="preserve"> =&lt;90</v>
      </c>
      <c r="AL950" s="1" t="str">
        <f>VLOOKUP(C:C,[1]基础信息!B$1:D$65536,3,0)</f>
        <v>Jug</v>
      </c>
      <c r="AM950" s="1" t="str">
        <f>VLOOKUP(C:C,[1]基础信息!B$1:E$65536,4,0)</f>
        <v>Mxplus</v>
      </c>
      <c r="AN950" s="1" t="str">
        <f>VLOOKUP(C:C,[1]基础信息!B$1:F$65536,5,0)</f>
        <v xml:space="preserve"> blue</v>
      </c>
    </row>
    <row r="951" spans="1:40">
      <c r="A951" s="1" t="s">
        <v>41</v>
      </c>
      <c r="B951" s="1" t="s">
        <v>42</v>
      </c>
      <c r="C951" s="1" t="s">
        <v>969</v>
      </c>
      <c r="D951" s="1" t="s">
        <v>970</v>
      </c>
      <c r="E951" s="1" t="s">
        <v>45</v>
      </c>
      <c r="F951" s="1" t="s">
        <v>2265</v>
      </c>
      <c r="G951" s="1" t="s">
        <v>2288</v>
      </c>
      <c r="H951" s="1" t="s">
        <v>2289</v>
      </c>
      <c r="I951" s="1" t="s">
        <v>49</v>
      </c>
      <c r="J951" s="1" t="s">
        <v>48</v>
      </c>
      <c r="K951" s="1">
        <v>80</v>
      </c>
      <c r="L951" s="1">
        <v>0</v>
      </c>
      <c r="M951" s="1">
        <v>0</v>
      </c>
      <c r="N951" s="1">
        <v>80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 t="s">
        <v>49</v>
      </c>
      <c r="AA951" s="1" t="s">
        <v>49</v>
      </c>
      <c r="AB951" s="1" t="s">
        <v>49</v>
      </c>
      <c r="AC951" s="1" t="s">
        <v>128</v>
      </c>
      <c r="AD951" s="1" t="s">
        <v>129</v>
      </c>
      <c r="AE951" s="1" t="s">
        <v>128</v>
      </c>
      <c r="AF951" s="1" t="s">
        <v>975</v>
      </c>
      <c r="AG951" s="1" t="s">
        <v>53</v>
      </c>
      <c r="AH951" s="1" t="s">
        <v>49</v>
      </c>
      <c r="AI951" s="1" t="s">
        <v>54</v>
      </c>
      <c r="AJ951" s="1">
        <v>1</v>
      </c>
      <c r="AK951" s="1" t="str">
        <f t="shared" si="14"/>
        <v xml:space="preserve"> =&lt;90</v>
      </c>
      <c r="AL951" s="1" t="str">
        <f>VLOOKUP(C:C,[1]基础信息!B$1:D$65536,3,0)</f>
        <v>Jug</v>
      </c>
      <c r="AM951" s="1" t="str">
        <f>VLOOKUP(C:C,[1]基础信息!B$1:E$65536,4,0)</f>
        <v>Mxplus</v>
      </c>
      <c r="AN951" s="1" t="str">
        <f>VLOOKUP(C:C,[1]基础信息!B$1:F$65536,5,0)</f>
        <v xml:space="preserve"> blue</v>
      </c>
    </row>
    <row r="952" spans="1:40">
      <c r="A952" s="1" t="s">
        <v>41</v>
      </c>
      <c r="B952" s="1" t="s">
        <v>42</v>
      </c>
      <c r="C952" s="1" t="s">
        <v>969</v>
      </c>
      <c r="D952" s="1" t="s">
        <v>970</v>
      </c>
      <c r="E952" s="1" t="s">
        <v>45</v>
      </c>
      <c r="F952" s="1" t="s">
        <v>2265</v>
      </c>
      <c r="G952" s="1" t="s">
        <v>2290</v>
      </c>
      <c r="H952" s="1" t="s">
        <v>2291</v>
      </c>
      <c r="I952" s="1" t="s">
        <v>49</v>
      </c>
      <c r="J952" s="1" t="s">
        <v>48</v>
      </c>
      <c r="K952" s="1">
        <v>80</v>
      </c>
      <c r="L952" s="1">
        <v>0</v>
      </c>
      <c r="M952" s="1">
        <v>0</v>
      </c>
      <c r="N952" s="1">
        <v>80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 t="s">
        <v>49</v>
      </c>
      <c r="AA952" s="1" t="s">
        <v>49</v>
      </c>
      <c r="AB952" s="1" t="s">
        <v>49</v>
      </c>
      <c r="AC952" s="1" t="s">
        <v>128</v>
      </c>
      <c r="AD952" s="1" t="s">
        <v>129</v>
      </c>
      <c r="AE952" s="1" t="s">
        <v>128</v>
      </c>
      <c r="AF952" s="1" t="s">
        <v>975</v>
      </c>
      <c r="AG952" s="1" t="s">
        <v>53</v>
      </c>
      <c r="AH952" s="1" t="s">
        <v>49</v>
      </c>
      <c r="AI952" s="1" t="s">
        <v>54</v>
      </c>
      <c r="AJ952" s="1">
        <v>1</v>
      </c>
      <c r="AK952" s="1" t="str">
        <f t="shared" si="14"/>
        <v xml:space="preserve"> =&lt;90</v>
      </c>
      <c r="AL952" s="1" t="str">
        <f>VLOOKUP(C:C,[1]基础信息!B$1:D$65536,3,0)</f>
        <v>Jug</v>
      </c>
      <c r="AM952" s="1" t="str">
        <f>VLOOKUP(C:C,[1]基础信息!B$1:E$65536,4,0)</f>
        <v>Mxplus</v>
      </c>
      <c r="AN952" s="1" t="str">
        <f>VLOOKUP(C:C,[1]基础信息!B$1:F$65536,5,0)</f>
        <v xml:space="preserve"> blue</v>
      </c>
    </row>
    <row r="953" spans="1:40">
      <c r="A953" s="1" t="s">
        <v>41</v>
      </c>
      <c r="B953" s="1" t="s">
        <v>42</v>
      </c>
      <c r="C953" s="1" t="s">
        <v>1710</v>
      </c>
      <c r="D953" s="1" t="s">
        <v>1711</v>
      </c>
      <c r="E953" s="1" t="s">
        <v>45</v>
      </c>
      <c r="F953" s="1" t="s">
        <v>1712</v>
      </c>
      <c r="G953" s="1" t="s">
        <v>2292</v>
      </c>
      <c r="H953" s="1" t="s">
        <v>2293</v>
      </c>
      <c r="I953" s="1" t="s">
        <v>49</v>
      </c>
      <c r="J953" s="1" t="s">
        <v>48</v>
      </c>
      <c r="K953" s="1">
        <v>60</v>
      </c>
      <c r="L953" s="1">
        <v>0</v>
      </c>
      <c r="M953" s="1">
        <v>0</v>
      </c>
      <c r="N953" s="1">
        <v>60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 t="s">
        <v>49</v>
      </c>
      <c r="AA953" s="1" t="s">
        <v>49</v>
      </c>
      <c r="AB953" s="1" t="s">
        <v>49</v>
      </c>
      <c r="AC953" s="1" t="s">
        <v>1715</v>
      </c>
      <c r="AD953" s="1" t="s">
        <v>1716</v>
      </c>
      <c r="AE953" s="1" t="s">
        <v>1715</v>
      </c>
      <c r="AF953" s="1" t="s">
        <v>1717</v>
      </c>
      <c r="AG953" s="1" t="s">
        <v>53</v>
      </c>
      <c r="AH953" s="1" t="s">
        <v>49</v>
      </c>
      <c r="AI953" s="1" t="s">
        <v>54</v>
      </c>
      <c r="AJ953" s="1">
        <v>1</v>
      </c>
      <c r="AK953" s="1" t="str">
        <f t="shared" si="14"/>
        <v xml:space="preserve"> =&lt;90</v>
      </c>
      <c r="AL953" s="1" t="str">
        <f>VLOOKUP(C:C,[1]基础信息!B$1:D$65536,3,0)</f>
        <v>Jug</v>
      </c>
      <c r="AM953" s="1" t="str">
        <f>VLOOKUP(C:C,[1]基础信息!B$1:E$65536,4,0)</f>
        <v>Kalea XL ME4W</v>
      </c>
      <c r="AN953" s="1" t="str">
        <f>VLOOKUP(C:C,[1]基础信息!B$1:F$65536,5,0)</f>
        <v>grey</v>
      </c>
    </row>
    <row r="954" spans="1:40">
      <c r="A954" s="1" t="s">
        <v>41</v>
      </c>
      <c r="B954" s="1" t="s">
        <v>42</v>
      </c>
      <c r="C954" s="1" t="s">
        <v>481</v>
      </c>
      <c r="D954" s="1" t="s">
        <v>482</v>
      </c>
      <c r="E954" s="1" t="s">
        <v>45</v>
      </c>
      <c r="F954" s="1" t="s">
        <v>1491</v>
      </c>
      <c r="G954" s="1" t="s">
        <v>2294</v>
      </c>
      <c r="H954" s="1" t="s">
        <v>2295</v>
      </c>
      <c r="I954" s="1" t="s">
        <v>49</v>
      </c>
      <c r="J954" s="1" t="s">
        <v>48</v>
      </c>
      <c r="K954" s="1">
        <v>168</v>
      </c>
      <c r="L954" s="1">
        <v>0</v>
      </c>
      <c r="M954" s="1">
        <v>0</v>
      </c>
      <c r="N954" s="1">
        <v>168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 t="s">
        <v>49</v>
      </c>
      <c r="AA954" s="1" t="s">
        <v>49</v>
      </c>
      <c r="AB954" s="1" t="s">
        <v>49</v>
      </c>
      <c r="AC954" s="1" t="s">
        <v>883</v>
      </c>
      <c r="AD954" s="1" t="s">
        <v>884</v>
      </c>
      <c r="AE954" s="1" t="s">
        <v>883</v>
      </c>
      <c r="AF954" s="1" t="s">
        <v>1494</v>
      </c>
      <c r="AG954" s="1" t="s">
        <v>53</v>
      </c>
      <c r="AH954" s="1" t="s">
        <v>49</v>
      </c>
      <c r="AI954" s="1" t="s">
        <v>54</v>
      </c>
      <c r="AJ954" s="1">
        <v>1</v>
      </c>
      <c r="AK954" s="1" t="str">
        <f t="shared" si="14"/>
        <v xml:space="preserve"> =&lt;90</v>
      </c>
      <c r="AL954" s="1" t="str">
        <f>VLOOKUP(C:C,[1]基础信息!B$1:D$65536,3,0)</f>
        <v>Jug</v>
      </c>
      <c r="AM954" s="1" t="str">
        <f>VLOOKUP(C:C,[1]基础信息!B$1:E$65536,4,0)</f>
        <v>Style COOL</v>
      </c>
      <c r="AN954" s="1" t="str">
        <f>VLOOKUP(C:C,[1]基础信息!B$1:F$65536,5,0)</f>
        <v>Cool Blue</v>
      </c>
    </row>
    <row r="955" spans="1:40">
      <c r="A955" s="1" t="s">
        <v>41</v>
      </c>
      <c r="B955" s="1" t="s">
        <v>42</v>
      </c>
      <c r="C955" s="1" t="s">
        <v>969</v>
      </c>
      <c r="D955" s="1" t="s">
        <v>970</v>
      </c>
      <c r="E955" s="1" t="s">
        <v>45</v>
      </c>
      <c r="F955" s="1" t="s">
        <v>2265</v>
      </c>
      <c r="G955" s="1" t="s">
        <v>2296</v>
      </c>
      <c r="H955" s="1" t="s">
        <v>2297</v>
      </c>
      <c r="I955" s="1" t="s">
        <v>49</v>
      </c>
      <c r="J955" s="1" t="s">
        <v>48</v>
      </c>
      <c r="K955" s="1">
        <v>80</v>
      </c>
      <c r="L955" s="1">
        <v>0</v>
      </c>
      <c r="M955" s="1">
        <v>0</v>
      </c>
      <c r="N955" s="1">
        <v>80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 t="s">
        <v>49</v>
      </c>
      <c r="AA955" s="1" t="s">
        <v>49</v>
      </c>
      <c r="AB955" s="1" t="s">
        <v>49</v>
      </c>
      <c r="AC955" s="1" t="s">
        <v>128</v>
      </c>
      <c r="AD955" s="1" t="s">
        <v>129</v>
      </c>
      <c r="AE955" s="1" t="s">
        <v>128</v>
      </c>
      <c r="AF955" s="1" t="s">
        <v>975</v>
      </c>
      <c r="AG955" s="1" t="s">
        <v>53</v>
      </c>
      <c r="AH955" s="1" t="s">
        <v>49</v>
      </c>
      <c r="AI955" s="1" t="s">
        <v>54</v>
      </c>
      <c r="AJ955" s="1">
        <v>1</v>
      </c>
      <c r="AK955" s="1" t="str">
        <f t="shared" si="14"/>
        <v xml:space="preserve"> =&lt;90</v>
      </c>
      <c r="AL955" s="1" t="str">
        <f>VLOOKUP(C:C,[1]基础信息!B$1:D$65536,3,0)</f>
        <v>Jug</v>
      </c>
      <c r="AM955" s="1" t="str">
        <f>VLOOKUP(C:C,[1]基础信息!B$1:E$65536,4,0)</f>
        <v>Mxplus</v>
      </c>
      <c r="AN955" s="1" t="str">
        <f>VLOOKUP(C:C,[1]基础信息!B$1:F$65536,5,0)</f>
        <v xml:space="preserve"> blue</v>
      </c>
    </row>
    <row r="956" spans="1:40">
      <c r="A956" s="1" t="s">
        <v>41</v>
      </c>
      <c r="B956" s="1" t="s">
        <v>42</v>
      </c>
      <c r="C956" s="1" t="s">
        <v>969</v>
      </c>
      <c r="D956" s="1" t="s">
        <v>970</v>
      </c>
      <c r="E956" s="1" t="s">
        <v>45</v>
      </c>
      <c r="F956" s="1" t="s">
        <v>2265</v>
      </c>
      <c r="G956" s="1" t="s">
        <v>2298</v>
      </c>
      <c r="H956" s="1" t="s">
        <v>2299</v>
      </c>
      <c r="I956" s="1" t="s">
        <v>49</v>
      </c>
      <c r="J956" s="1" t="s">
        <v>48</v>
      </c>
      <c r="K956" s="1">
        <v>80</v>
      </c>
      <c r="L956" s="1">
        <v>0</v>
      </c>
      <c r="M956" s="1">
        <v>0</v>
      </c>
      <c r="N956" s="1">
        <v>80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 t="s">
        <v>49</v>
      </c>
      <c r="AA956" s="1" t="s">
        <v>49</v>
      </c>
      <c r="AB956" s="1" t="s">
        <v>49</v>
      </c>
      <c r="AC956" s="1" t="s">
        <v>128</v>
      </c>
      <c r="AD956" s="1" t="s">
        <v>129</v>
      </c>
      <c r="AE956" s="1" t="s">
        <v>128</v>
      </c>
      <c r="AF956" s="1" t="s">
        <v>975</v>
      </c>
      <c r="AG956" s="1" t="s">
        <v>53</v>
      </c>
      <c r="AH956" s="1" t="s">
        <v>49</v>
      </c>
      <c r="AI956" s="1" t="s">
        <v>54</v>
      </c>
      <c r="AJ956" s="1">
        <v>1</v>
      </c>
      <c r="AK956" s="1" t="str">
        <f t="shared" si="14"/>
        <v xml:space="preserve"> =&lt;90</v>
      </c>
      <c r="AL956" s="1" t="str">
        <f>VLOOKUP(C:C,[1]基础信息!B$1:D$65536,3,0)</f>
        <v>Jug</v>
      </c>
      <c r="AM956" s="1" t="str">
        <f>VLOOKUP(C:C,[1]基础信息!B$1:E$65536,4,0)</f>
        <v>Mxplus</v>
      </c>
      <c r="AN956" s="1" t="str">
        <f>VLOOKUP(C:C,[1]基础信息!B$1:F$65536,5,0)</f>
        <v xml:space="preserve"> blue</v>
      </c>
    </row>
    <row r="957" spans="1:40">
      <c r="A957" s="1" t="s">
        <v>41</v>
      </c>
      <c r="B957" s="1" t="s">
        <v>42</v>
      </c>
      <c r="C957" s="1" t="s">
        <v>969</v>
      </c>
      <c r="D957" s="1" t="s">
        <v>970</v>
      </c>
      <c r="E957" s="1" t="s">
        <v>45</v>
      </c>
      <c r="F957" s="1" t="s">
        <v>2265</v>
      </c>
      <c r="G957" s="1" t="s">
        <v>2300</v>
      </c>
      <c r="H957" s="1" t="s">
        <v>2301</v>
      </c>
      <c r="I957" s="1" t="s">
        <v>49</v>
      </c>
      <c r="J957" s="1" t="s">
        <v>48</v>
      </c>
      <c r="K957" s="1">
        <v>80</v>
      </c>
      <c r="L957" s="1">
        <v>0</v>
      </c>
      <c r="M957" s="1">
        <v>0</v>
      </c>
      <c r="N957" s="1">
        <v>80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 t="s">
        <v>49</v>
      </c>
      <c r="AA957" s="1" t="s">
        <v>49</v>
      </c>
      <c r="AB957" s="1" t="s">
        <v>49</v>
      </c>
      <c r="AC957" s="1" t="s">
        <v>128</v>
      </c>
      <c r="AD957" s="1" t="s">
        <v>129</v>
      </c>
      <c r="AE957" s="1" t="s">
        <v>128</v>
      </c>
      <c r="AF957" s="1" t="s">
        <v>975</v>
      </c>
      <c r="AG957" s="1" t="s">
        <v>53</v>
      </c>
      <c r="AH957" s="1" t="s">
        <v>49</v>
      </c>
      <c r="AI957" s="1" t="s">
        <v>54</v>
      </c>
      <c r="AJ957" s="1">
        <v>1</v>
      </c>
      <c r="AK957" s="1" t="str">
        <f t="shared" si="14"/>
        <v xml:space="preserve"> =&lt;90</v>
      </c>
      <c r="AL957" s="1" t="str">
        <f>VLOOKUP(C:C,[1]基础信息!B$1:D$65536,3,0)</f>
        <v>Jug</v>
      </c>
      <c r="AM957" s="1" t="str">
        <f>VLOOKUP(C:C,[1]基础信息!B$1:E$65536,4,0)</f>
        <v>Mxplus</v>
      </c>
      <c r="AN957" s="1" t="str">
        <f>VLOOKUP(C:C,[1]基础信息!B$1:F$65536,5,0)</f>
        <v xml:space="preserve"> blue</v>
      </c>
    </row>
    <row r="958" spans="1:40">
      <c r="A958" s="1" t="s">
        <v>41</v>
      </c>
      <c r="B958" s="1" t="s">
        <v>42</v>
      </c>
      <c r="C958" s="1" t="s">
        <v>969</v>
      </c>
      <c r="D958" s="1" t="s">
        <v>970</v>
      </c>
      <c r="E958" s="1" t="s">
        <v>45</v>
      </c>
      <c r="F958" s="1" t="s">
        <v>2265</v>
      </c>
      <c r="G958" s="1" t="s">
        <v>2302</v>
      </c>
      <c r="H958" s="1" t="s">
        <v>2303</v>
      </c>
      <c r="I958" s="1" t="s">
        <v>49</v>
      </c>
      <c r="J958" s="1" t="s">
        <v>48</v>
      </c>
      <c r="K958" s="1">
        <v>80</v>
      </c>
      <c r="L958" s="1">
        <v>0</v>
      </c>
      <c r="M958" s="1">
        <v>0</v>
      </c>
      <c r="N958" s="1">
        <v>80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 t="s">
        <v>49</v>
      </c>
      <c r="AA958" s="1" t="s">
        <v>49</v>
      </c>
      <c r="AB958" s="1" t="s">
        <v>49</v>
      </c>
      <c r="AC958" s="1" t="s">
        <v>128</v>
      </c>
      <c r="AD958" s="1" t="s">
        <v>129</v>
      </c>
      <c r="AE958" s="1" t="s">
        <v>128</v>
      </c>
      <c r="AF958" s="1" t="s">
        <v>975</v>
      </c>
      <c r="AG958" s="1" t="s">
        <v>53</v>
      </c>
      <c r="AH958" s="1" t="s">
        <v>49</v>
      </c>
      <c r="AI958" s="1" t="s">
        <v>54</v>
      </c>
      <c r="AJ958" s="1">
        <v>1</v>
      </c>
      <c r="AK958" s="1" t="str">
        <f t="shared" si="14"/>
        <v xml:space="preserve"> =&lt;90</v>
      </c>
      <c r="AL958" s="1" t="str">
        <f>VLOOKUP(C:C,[1]基础信息!B$1:D$65536,3,0)</f>
        <v>Jug</v>
      </c>
      <c r="AM958" s="1" t="str">
        <f>VLOOKUP(C:C,[1]基础信息!B$1:E$65536,4,0)</f>
        <v>Mxplus</v>
      </c>
      <c r="AN958" s="1" t="str">
        <f>VLOOKUP(C:C,[1]基础信息!B$1:F$65536,5,0)</f>
        <v xml:space="preserve"> blue</v>
      </c>
    </row>
    <row r="959" spans="1:40">
      <c r="A959" s="1" t="s">
        <v>41</v>
      </c>
      <c r="B959" s="1" t="s">
        <v>42</v>
      </c>
      <c r="C959" s="1" t="s">
        <v>969</v>
      </c>
      <c r="D959" s="1" t="s">
        <v>970</v>
      </c>
      <c r="E959" s="1" t="s">
        <v>45</v>
      </c>
      <c r="F959" s="1" t="s">
        <v>2265</v>
      </c>
      <c r="G959" s="1" t="s">
        <v>2304</v>
      </c>
      <c r="H959" s="1" t="s">
        <v>2305</v>
      </c>
      <c r="I959" s="1" t="s">
        <v>49</v>
      </c>
      <c r="J959" s="1" t="s">
        <v>48</v>
      </c>
      <c r="K959" s="1">
        <v>80</v>
      </c>
      <c r="L959" s="1">
        <v>0</v>
      </c>
      <c r="M959" s="1">
        <v>0</v>
      </c>
      <c r="N959" s="1">
        <v>80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 t="s">
        <v>49</v>
      </c>
      <c r="AA959" s="1" t="s">
        <v>49</v>
      </c>
      <c r="AB959" s="1" t="s">
        <v>49</v>
      </c>
      <c r="AC959" s="1" t="s">
        <v>128</v>
      </c>
      <c r="AD959" s="1" t="s">
        <v>129</v>
      </c>
      <c r="AE959" s="1" t="s">
        <v>128</v>
      </c>
      <c r="AF959" s="1" t="s">
        <v>975</v>
      </c>
      <c r="AG959" s="1" t="s">
        <v>53</v>
      </c>
      <c r="AH959" s="1" t="s">
        <v>49</v>
      </c>
      <c r="AI959" s="1" t="s">
        <v>54</v>
      </c>
      <c r="AJ959" s="1">
        <v>1</v>
      </c>
      <c r="AK959" s="1" t="str">
        <f t="shared" si="14"/>
        <v xml:space="preserve"> =&lt;90</v>
      </c>
      <c r="AL959" s="1" t="str">
        <f>VLOOKUP(C:C,[1]基础信息!B$1:D$65536,3,0)</f>
        <v>Jug</v>
      </c>
      <c r="AM959" s="1" t="str">
        <f>VLOOKUP(C:C,[1]基础信息!B$1:E$65536,4,0)</f>
        <v>Mxplus</v>
      </c>
      <c r="AN959" s="1" t="str">
        <f>VLOOKUP(C:C,[1]基础信息!B$1:F$65536,5,0)</f>
        <v xml:space="preserve"> blue</v>
      </c>
    </row>
    <row r="960" spans="1:40">
      <c r="A960" s="1" t="s">
        <v>41</v>
      </c>
      <c r="B960" s="1" t="s">
        <v>42</v>
      </c>
      <c r="C960" s="1" t="s">
        <v>1710</v>
      </c>
      <c r="D960" s="1" t="s">
        <v>1711</v>
      </c>
      <c r="E960" s="1" t="s">
        <v>45</v>
      </c>
      <c r="F960" s="1" t="s">
        <v>1712</v>
      </c>
      <c r="G960" s="1" t="s">
        <v>2306</v>
      </c>
      <c r="H960" s="1" t="s">
        <v>2307</v>
      </c>
      <c r="I960" s="1" t="s">
        <v>49</v>
      </c>
      <c r="J960" s="1" t="s">
        <v>48</v>
      </c>
      <c r="K960" s="1">
        <v>60</v>
      </c>
      <c r="L960" s="1">
        <v>0</v>
      </c>
      <c r="M960" s="1">
        <v>0</v>
      </c>
      <c r="N960" s="1">
        <v>60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 t="s">
        <v>49</v>
      </c>
      <c r="AA960" s="1" t="s">
        <v>49</v>
      </c>
      <c r="AB960" s="1" t="s">
        <v>49</v>
      </c>
      <c r="AC960" s="1" t="s">
        <v>1715</v>
      </c>
      <c r="AD960" s="1" t="s">
        <v>1716</v>
      </c>
      <c r="AE960" s="1" t="s">
        <v>1715</v>
      </c>
      <c r="AF960" s="1" t="s">
        <v>1717</v>
      </c>
      <c r="AG960" s="1" t="s">
        <v>53</v>
      </c>
      <c r="AH960" s="1" t="s">
        <v>49</v>
      </c>
      <c r="AI960" s="1" t="s">
        <v>54</v>
      </c>
      <c r="AJ960" s="1">
        <v>1</v>
      </c>
      <c r="AK960" s="1" t="str">
        <f t="shared" si="14"/>
        <v xml:space="preserve"> =&lt;90</v>
      </c>
      <c r="AL960" s="1" t="str">
        <f>VLOOKUP(C:C,[1]基础信息!B$1:D$65536,3,0)</f>
        <v>Jug</v>
      </c>
      <c r="AM960" s="1" t="str">
        <f>VLOOKUP(C:C,[1]基础信息!B$1:E$65536,4,0)</f>
        <v>Kalea XL ME4W</v>
      </c>
      <c r="AN960" s="1" t="str">
        <f>VLOOKUP(C:C,[1]基础信息!B$1:F$65536,5,0)</f>
        <v>grey</v>
      </c>
    </row>
    <row r="961" spans="1:40">
      <c r="A961" s="1" t="s">
        <v>41</v>
      </c>
      <c r="B961" s="1" t="s">
        <v>42</v>
      </c>
      <c r="C961" s="1" t="s">
        <v>1710</v>
      </c>
      <c r="D961" s="1" t="s">
        <v>1711</v>
      </c>
      <c r="E961" s="1" t="s">
        <v>45</v>
      </c>
      <c r="F961" s="1" t="s">
        <v>1712</v>
      </c>
      <c r="G961" s="1" t="s">
        <v>2308</v>
      </c>
      <c r="H961" s="1" t="s">
        <v>2309</v>
      </c>
      <c r="I961" s="1" t="s">
        <v>49</v>
      </c>
      <c r="J961" s="1" t="s">
        <v>48</v>
      </c>
      <c r="K961" s="1">
        <v>60</v>
      </c>
      <c r="L961" s="1">
        <v>0</v>
      </c>
      <c r="M961" s="1">
        <v>0</v>
      </c>
      <c r="N961" s="1">
        <v>60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 t="s">
        <v>49</v>
      </c>
      <c r="AA961" s="1" t="s">
        <v>49</v>
      </c>
      <c r="AB961" s="1" t="s">
        <v>49</v>
      </c>
      <c r="AC961" s="1" t="s">
        <v>1715</v>
      </c>
      <c r="AD961" s="1" t="s">
        <v>1716</v>
      </c>
      <c r="AE961" s="1" t="s">
        <v>1715</v>
      </c>
      <c r="AF961" s="1" t="s">
        <v>1717</v>
      </c>
      <c r="AG961" s="1" t="s">
        <v>53</v>
      </c>
      <c r="AH961" s="1" t="s">
        <v>49</v>
      </c>
      <c r="AI961" s="1" t="s">
        <v>54</v>
      </c>
      <c r="AJ961" s="1">
        <v>1</v>
      </c>
      <c r="AK961" s="1" t="str">
        <f t="shared" si="14"/>
        <v xml:space="preserve"> =&lt;90</v>
      </c>
      <c r="AL961" s="1" t="str">
        <f>VLOOKUP(C:C,[1]基础信息!B$1:D$65536,3,0)</f>
        <v>Jug</v>
      </c>
      <c r="AM961" s="1" t="str">
        <f>VLOOKUP(C:C,[1]基础信息!B$1:E$65536,4,0)</f>
        <v>Kalea XL ME4W</v>
      </c>
      <c r="AN961" s="1" t="str">
        <f>VLOOKUP(C:C,[1]基础信息!B$1:F$65536,5,0)</f>
        <v>grey</v>
      </c>
    </row>
    <row r="962" spans="1:40">
      <c r="A962" s="1" t="s">
        <v>41</v>
      </c>
      <c r="B962" s="1" t="s">
        <v>42</v>
      </c>
      <c r="C962" s="1" t="s">
        <v>1710</v>
      </c>
      <c r="D962" s="1" t="s">
        <v>1711</v>
      </c>
      <c r="E962" s="1" t="s">
        <v>45</v>
      </c>
      <c r="F962" s="1" t="s">
        <v>1712</v>
      </c>
      <c r="G962" s="1" t="s">
        <v>2310</v>
      </c>
      <c r="H962" s="1" t="s">
        <v>2311</v>
      </c>
      <c r="I962" s="1" t="s">
        <v>49</v>
      </c>
      <c r="J962" s="1" t="s">
        <v>48</v>
      </c>
      <c r="K962" s="1">
        <v>60</v>
      </c>
      <c r="L962" s="1">
        <v>0</v>
      </c>
      <c r="M962" s="1">
        <v>0</v>
      </c>
      <c r="N962" s="1">
        <v>60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 t="s">
        <v>49</v>
      </c>
      <c r="AA962" s="1" t="s">
        <v>49</v>
      </c>
      <c r="AB962" s="1" t="s">
        <v>49</v>
      </c>
      <c r="AC962" s="1" t="s">
        <v>1715</v>
      </c>
      <c r="AD962" s="1" t="s">
        <v>1716</v>
      </c>
      <c r="AE962" s="1" t="s">
        <v>1715</v>
      </c>
      <c r="AF962" s="1" t="s">
        <v>1717</v>
      </c>
      <c r="AG962" s="1" t="s">
        <v>53</v>
      </c>
      <c r="AH962" s="1" t="s">
        <v>49</v>
      </c>
      <c r="AI962" s="1" t="s">
        <v>54</v>
      </c>
      <c r="AJ962" s="1">
        <v>1</v>
      </c>
      <c r="AK962" s="1" t="str">
        <f t="shared" ref="AK962:AK1025" si="15">IF(AJ962&gt;$AP$2,$AQ$2,IF(AJ962&gt;$AP$3,$AQ$3,IF(AJ962&gt;$AP$4,$AQ$4,$AQ$5)))</f>
        <v xml:space="preserve"> =&lt;90</v>
      </c>
      <c r="AL962" s="1" t="str">
        <f>VLOOKUP(C:C,[1]基础信息!B$1:D$65536,3,0)</f>
        <v>Jug</v>
      </c>
      <c r="AM962" s="1" t="str">
        <f>VLOOKUP(C:C,[1]基础信息!B$1:E$65536,4,0)</f>
        <v>Kalea XL ME4W</v>
      </c>
      <c r="AN962" s="1" t="str">
        <f>VLOOKUP(C:C,[1]基础信息!B$1:F$65536,5,0)</f>
        <v>grey</v>
      </c>
    </row>
    <row r="963" spans="1:40">
      <c r="A963" s="1" t="s">
        <v>41</v>
      </c>
      <c r="B963" s="1" t="s">
        <v>42</v>
      </c>
      <c r="C963" s="1" t="s">
        <v>1710</v>
      </c>
      <c r="D963" s="1" t="s">
        <v>1711</v>
      </c>
      <c r="E963" s="1" t="s">
        <v>45</v>
      </c>
      <c r="F963" s="1" t="s">
        <v>1712</v>
      </c>
      <c r="G963" s="1" t="s">
        <v>2312</v>
      </c>
      <c r="H963" s="1" t="s">
        <v>2313</v>
      </c>
      <c r="I963" s="1" t="s">
        <v>49</v>
      </c>
      <c r="J963" s="1" t="s">
        <v>48</v>
      </c>
      <c r="K963" s="1">
        <v>60</v>
      </c>
      <c r="L963" s="1">
        <v>0</v>
      </c>
      <c r="M963" s="1">
        <v>0</v>
      </c>
      <c r="N963" s="1">
        <v>60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 t="s">
        <v>49</v>
      </c>
      <c r="AA963" s="1" t="s">
        <v>49</v>
      </c>
      <c r="AB963" s="1" t="s">
        <v>49</v>
      </c>
      <c r="AC963" s="1" t="s">
        <v>1715</v>
      </c>
      <c r="AD963" s="1" t="s">
        <v>1716</v>
      </c>
      <c r="AE963" s="1" t="s">
        <v>1715</v>
      </c>
      <c r="AF963" s="1" t="s">
        <v>1717</v>
      </c>
      <c r="AG963" s="1" t="s">
        <v>53</v>
      </c>
      <c r="AH963" s="1" t="s">
        <v>49</v>
      </c>
      <c r="AI963" s="1" t="s">
        <v>54</v>
      </c>
      <c r="AJ963" s="1">
        <v>1</v>
      </c>
      <c r="AK963" s="1" t="str">
        <f t="shared" si="15"/>
        <v xml:space="preserve"> =&lt;90</v>
      </c>
      <c r="AL963" s="1" t="str">
        <f>VLOOKUP(C:C,[1]基础信息!B$1:D$65536,3,0)</f>
        <v>Jug</v>
      </c>
      <c r="AM963" s="1" t="str">
        <f>VLOOKUP(C:C,[1]基础信息!B$1:E$65536,4,0)</f>
        <v>Kalea XL ME4W</v>
      </c>
      <c r="AN963" s="1" t="str">
        <f>VLOOKUP(C:C,[1]基础信息!B$1:F$65536,5,0)</f>
        <v>grey</v>
      </c>
    </row>
    <row r="964" spans="1:40">
      <c r="A964" s="1" t="s">
        <v>41</v>
      </c>
      <c r="B964" s="1" t="s">
        <v>42</v>
      </c>
      <c r="C964" s="1" t="s">
        <v>969</v>
      </c>
      <c r="D964" s="1" t="s">
        <v>970</v>
      </c>
      <c r="E964" s="1" t="s">
        <v>45</v>
      </c>
      <c r="F964" s="1" t="s">
        <v>2265</v>
      </c>
      <c r="G964" s="1" t="s">
        <v>2314</v>
      </c>
      <c r="H964" s="1" t="s">
        <v>2315</v>
      </c>
      <c r="I964" s="1" t="s">
        <v>49</v>
      </c>
      <c r="J964" s="1" t="s">
        <v>48</v>
      </c>
      <c r="K964" s="1">
        <v>80</v>
      </c>
      <c r="L964" s="1">
        <v>0</v>
      </c>
      <c r="M964" s="1">
        <v>0</v>
      </c>
      <c r="N964" s="1">
        <v>80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 t="s">
        <v>49</v>
      </c>
      <c r="AA964" s="1" t="s">
        <v>49</v>
      </c>
      <c r="AB964" s="1" t="s">
        <v>49</v>
      </c>
      <c r="AC964" s="1" t="s">
        <v>128</v>
      </c>
      <c r="AD964" s="1" t="s">
        <v>129</v>
      </c>
      <c r="AE964" s="1" t="s">
        <v>128</v>
      </c>
      <c r="AF964" s="1" t="s">
        <v>975</v>
      </c>
      <c r="AG964" s="1" t="s">
        <v>53</v>
      </c>
      <c r="AH964" s="1" t="s">
        <v>49</v>
      </c>
      <c r="AI964" s="1" t="s">
        <v>54</v>
      </c>
      <c r="AJ964" s="1">
        <v>1</v>
      </c>
      <c r="AK964" s="1" t="str">
        <f t="shared" si="15"/>
        <v xml:space="preserve"> =&lt;90</v>
      </c>
      <c r="AL964" s="1" t="str">
        <f>VLOOKUP(C:C,[1]基础信息!B$1:D$65536,3,0)</f>
        <v>Jug</v>
      </c>
      <c r="AM964" s="1" t="str">
        <f>VLOOKUP(C:C,[1]基础信息!B$1:E$65536,4,0)</f>
        <v>Mxplus</v>
      </c>
      <c r="AN964" s="1" t="str">
        <f>VLOOKUP(C:C,[1]基础信息!B$1:F$65536,5,0)</f>
        <v xml:space="preserve"> blue</v>
      </c>
    </row>
    <row r="965" spans="1:40">
      <c r="A965" s="1" t="s">
        <v>41</v>
      </c>
      <c r="B965" s="1" t="s">
        <v>42</v>
      </c>
      <c r="C965" s="1" t="s">
        <v>969</v>
      </c>
      <c r="D965" s="1" t="s">
        <v>970</v>
      </c>
      <c r="E965" s="1" t="s">
        <v>45</v>
      </c>
      <c r="F965" s="1" t="s">
        <v>2265</v>
      </c>
      <c r="G965" s="1" t="s">
        <v>2316</v>
      </c>
      <c r="H965" s="1" t="s">
        <v>2317</v>
      </c>
      <c r="I965" s="1" t="s">
        <v>49</v>
      </c>
      <c r="J965" s="1" t="s">
        <v>48</v>
      </c>
      <c r="K965" s="1">
        <v>80</v>
      </c>
      <c r="L965" s="1">
        <v>0</v>
      </c>
      <c r="M965" s="1">
        <v>0</v>
      </c>
      <c r="N965" s="1">
        <v>80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 t="s">
        <v>49</v>
      </c>
      <c r="AA965" s="1" t="s">
        <v>49</v>
      </c>
      <c r="AB965" s="1" t="s">
        <v>49</v>
      </c>
      <c r="AC965" s="1" t="s">
        <v>128</v>
      </c>
      <c r="AD965" s="1" t="s">
        <v>129</v>
      </c>
      <c r="AE965" s="1" t="s">
        <v>128</v>
      </c>
      <c r="AF965" s="1" t="s">
        <v>975</v>
      </c>
      <c r="AG965" s="1" t="s">
        <v>53</v>
      </c>
      <c r="AH965" s="1" t="s">
        <v>49</v>
      </c>
      <c r="AI965" s="1" t="s">
        <v>54</v>
      </c>
      <c r="AJ965" s="1">
        <v>1</v>
      </c>
      <c r="AK965" s="1" t="str">
        <f t="shared" si="15"/>
        <v xml:space="preserve"> =&lt;90</v>
      </c>
      <c r="AL965" s="1" t="str">
        <f>VLOOKUP(C:C,[1]基础信息!B$1:D$65536,3,0)</f>
        <v>Jug</v>
      </c>
      <c r="AM965" s="1" t="str">
        <f>VLOOKUP(C:C,[1]基础信息!B$1:E$65536,4,0)</f>
        <v>Mxplus</v>
      </c>
      <c r="AN965" s="1" t="str">
        <f>VLOOKUP(C:C,[1]基础信息!B$1:F$65536,5,0)</f>
        <v xml:space="preserve"> blue</v>
      </c>
    </row>
    <row r="966" spans="1:40">
      <c r="A966" s="1" t="s">
        <v>41</v>
      </c>
      <c r="B966" s="1" t="s">
        <v>42</v>
      </c>
      <c r="C966" s="1" t="s">
        <v>969</v>
      </c>
      <c r="D966" s="1" t="s">
        <v>970</v>
      </c>
      <c r="E966" s="1" t="s">
        <v>45</v>
      </c>
      <c r="F966" s="1" t="s">
        <v>2265</v>
      </c>
      <c r="G966" s="1" t="s">
        <v>2318</v>
      </c>
      <c r="H966" s="1" t="s">
        <v>2319</v>
      </c>
      <c r="I966" s="1" t="s">
        <v>49</v>
      </c>
      <c r="J966" s="1" t="s">
        <v>48</v>
      </c>
      <c r="K966" s="1">
        <v>80</v>
      </c>
      <c r="L966" s="1">
        <v>0</v>
      </c>
      <c r="M966" s="1">
        <v>0</v>
      </c>
      <c r="N966" s="1">
        <v>80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 t="s">
        <v>49</v>
      </c>
      <c r="AA966" s="1" t="s">
        <v>49</v>
      </c>
      <c r="AB966" s="1" t="s">
        <v>49</v>
      </c>
      <c r="AC966" s="1" t="s">
        <v>128</v>
      </c>
      <c r="AD966" s="1" t="s">
        <v>129</v>
      </c>
      <c r="AE966" s="1" t="s">
        <v>128</v>
      </c>
      <c r="AF966" s="1" t="s">
        <v>975</v>
      </c>
      <c r="AG966" s="1" t="s">
        <v>53</v>
      </c>
      <c r="AH966" s="1" t="s">
        <v>49</v>
      </c>
      <c r="AI966" s="1" t="s">
        <v>54</v>
      </c>
      <c r="AJ966" s="1">
        <v>1</v>
      </c>
      <c r="AK966" s="1" t="str">
        <f t="shared" si="15"/>
        <v xml:space="preserve"> =&lt;90</v>
      </c>
      <c r="AL966" s="1" t="str">
        <f>VLOOKUP(C:C,[1]基础信息!B$1:D$65536,3,0)</f>
        <v>Jug</v>
      </c>
      <c r="AM966" s="1" t="str">
        <f>VLOOKUP(C:C,[1]基础信息!B$1:E$65536,4,0)</f>
        <v>Mxplus</v>
      </c>
      <c r="AN966" s="1" t="str">
        <f>VLOOKUP(C:C,[1]基础信息!B$1:F$65536,5,0)</f>
        <v xml:space="preserve"> blue</v>
      </c>
    </row>
    <row r="967" spans="1:40">
      <c r="A967" s="1" t="s">
        <v>41</v>
      </c>
      <c r="B967" s="1" t="s">
        <v>42</v>
      </c>
      <c r="C967" s="1" t="s">
        <v>969</v>
      </c>
      <c r="D967" s="1" t="s">
        <v>970</v>
      </c>
      <c r="E967" s="1" t="s">
        <v>45</v>
      </c>
      <c r="F967" s="1" t="s">
        <v>2265</v>
      </c>
      <c r="G967" s="1" t="s">
        <v>2320</v>
      </c>
      <c r="H967" s="1" t="s">
        <v>2321</v>
      </c>
      <c r="I967" s="1" t="s">
        <v>49</v>
      </c>
      <c r="J967" s="1" t="s">
        <v>48</v>
      </c>
      <c r="K967" s="1">
        <v>80</v>
      </c>
      <c r="L967" s="1">
        <v>0</v>
      </c>
      <c r="M967" s="1">
        <v>0</v>
      </c>
      <c r="N967" s="1">
        <v>80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 t="s">
        <v>49</v>
      </c>
      <c r="AA967" s="1" t="s">
        <v>49</v>
      </c>
      <c r="AB967" s="1" t="s">
        <v>49</v>
      </c>
      <c r="AC967" s="1" t="s">
        <v>128</v>
      </c>
      <c r="AD967" s="1" t="s">
        <v>129</v>
      </c>
      <c r="AE967" s="1" t="s">
        <v>128</v>
      </c>
      <c r="AF967" s="1" t="s">
        <v>975</v>
      </c>
      <c r="AG967" s="1" t="s">
        <v>53</v>
      </c>
      <c r="AH967" s="1" t="s">
        <v>49</v>
      </c>
      <c r="AI967" s="1" t="s">
        <v>54</v>
      </c>
      <c r="AJ967" s="1">
        <v>1</v>
      </c>
      <c r="AK967" s="1" t="str">
        <f t="shared" si="15"/>
        <v xml:space="preserve"> =&lt;90</v>
      </c>
      <c r="AL967" s="1" t="str">
        <f>VLOOKUP(C:C,[1]基础信息!B$1:D$65536,3,0)</f>
        <v>Jug</v>
      </c>
      <c r="AM967" s="1" t="str">
        <f>VLOOKUP(C:C,[1]基础信息!B$1:E$65536,4,0)</f>
        <v>Mxplus</v>
      </c>
      <c r="AN967" s="1" t="str">
        <f>VLOOKUP(C:C,[1]基础信息!B$1:F$65536,5,0)</f>
        <v xml:space="preserve"> blue</v>
      </c>
    </row>
    <row r="968" spans="1:40">
      <c r="A968" s="1" t="s">
        <v>41</v>
      </c>
      <c r="B968" s="1" t="s">
        <v>42</v>
      </c>
      <c r="C968" s="1" t="s">
        <v>208</v>
      </c>
      <c r="D968" s="1" t="s">
        <v>209</v>
      </c>
      <c r="E968" s="1" t="s">
        <v>208</v>
      </c>
      <c r="F968" s="1" t="s">
        <v>1734</v>
      </c>
      <c r="G968" s="1" t="s">
        <v>2322</v>
      </c>
      <c r="H968" s="1" t="s">
        <v>2323</v>
      </c>
      <c r="I968" s="1" t="s">
        <v>49</v>
      </c>
      <c r="J968" s="1" t="s">
        <v>48</v>
      </c>
      <c r="K968" s="1">
        <v>80</v>
      </c>
      <c r="L968" s="1">
        <v>0</v>
      </c>
      <c r="M968" s="1">
        <v>0</v>
      </c>
      <c r="N968" s="1">
        <v>80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 t="s">
        <v>49</v>
      </c>
      <c r="AA968" s="1" t="s">
        <v>49</v>
      </c>
      <c r="AB968" s="1" t="s">
        <v>49</v>
      </c>
      <c r="AC968" s="1" t="s">
        <v>376</v>
      </c>
      <c r="AD968" s="1" t="s">
        <v>377</v>
      </c>
      <c r="AE968" s="1" t="s">
        <v>376</v>
      </c>
      <c r="AF968" s="1" t="s">
        <v>1414</v>
      </c>
      <c r="AG968" s="1" t="s">
        <v>53</v>
      </c>
      <c r="AH968" s="1" t="s">
        <v>49</v>
      </c>
      <c r="AI968" s="1" t="s">
        <v>54</v>
      </c>
      <c r="AJ968" s="1">
        <v>1</v>
      </c>
      <c r="AK968" s="1" t="str">
        <f t="shared" si="15"/>
        <v xml:space="preserve"> =&lt;90</v>
      </c>
      <c r="AL968" s="1" t="str">
        <f>VLOOKUP(C:C,[1]基础信息!B$1:D$65536,3,0)</f>
        <v>Jug</v>
      </c>
      <c r="AM968" s="1" t="str">
        <f>VLOOKUP(C:C,[1]基础信息!B$1:E$65536,4,0)</f>
        <v>MXpl</v>
      </c>
      <c r="AN968" s="1" t="str">
        <f>VLOOKUP(C:C,[1]基础信息!B$1:F$65536,5,0)</f>
        <v>grey</v>
      </c>
    </row>
    <row r="969" spans="1:40">
      <c r="A969" s="1" t="s">
        <v>41</v>
      </c>
      <c r="B969" s="1" t="s">
        <v>42</v>
      </c>
      <c r="C969" s="1" t="s">
        <v>969</v>
      </c>
      <c r="D969" s="1" t="s">
        <v>970</v>
      </c>
      <c r="E969" s="1" t="s">
        <v>45</v>
      </c>
      <c r="F969" s="1" t="s">
        <v>2265</v>
      </c>
      <c r="G969" s="1" t="s">
        <v>2324</v>
      </c>
      <c r="H969" s="1" t="s">
        <v>2325</v>
      </c>
      <c r="I969" s="1" t="s">
        <v>49</v>
      </c>
      <c r="J969" s="1" t="s">
        <v>48</v>
      </c>
      <c r="K969" s="1">
        <v>80</v>
      </c>
      <c r="L969" s="1">
        <v>0</v>
      </c>
      <c r="M969" s="1">
        <v>0</v>
      </c>
      <c r="N969" s="1">
        <v>80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 t="s">
        <v>49</v>
      </c>
      <c r="AA969" s="1" t="s">
        <v>49</v>
      </c>
      <c r="AB969" s="1" t="s">
        <v>49</v>
      </c>
      <c r="AC969" s="1" t="s">
        <v>128</v>
      </c>
      <c r="AD969" s="1" t="s">
        <v>129</v>
      </c>
      <c r="AE969" s="1" t="s">
        <v>128</v>
      </c>
      <c r="AF969" s="1" t="s">
        <v>975</v>
      </c>
      <c r="AG969" s="1" t="s">
        <v>53</v>
      </c>
      <c r="AH969" s="1" t="s">
        <v>49</v>
      </c>
      <c r="AI969" s="1" t="s">
        <v>54</v>
      </c>
      <c r="AJ969" s="1">
        <v>1</v>
      </c>
      <c r="AK969" s="1" t="str">
        <f t="shared" si="15"/>
        <v xml:space="preserve"> =&lt;90</v>
      </c>
      <c r="AL969" s="1" t="str">
        <f>VLOOKUP(C:C,[1]基础信息!B$1:D$65536,3,0)</f>
        <v>Jug</v>
      </c>
      <c r="AM969" s="1" t="str">
        <f>VLOOKUP(C:C,[1]基础信息!B$1:E$65536,4,0)</f>
        <v>Mxplus</v>
      </c>
      <c r="AN969" s="1" t="str">
        <f>VLOOKUP(C:C,[1]基础信息!B$1:F$65536,5,0)</f>
        <v xml:space="preserve"> blue</v>
      </c>
    </row>
    <row r="970" spans="1:40">
      <c r="A970" s="1" t="s">
        <v>41</v>
      </c>
      <c r="B970" s="1" t="s">
        <v>42</v>
      </c>
      <c r="C970" s="1" t="s">
        <v>969</v>
      </c>
      <c r="D970" s="1" t="s">
        <v>970</v>
      </c>
      <c r="E970" s="1" t="s">
        <v>45</v>
      </c>
      <c r="F970" s="1" t="s">
        <v>2265</v>
      </c>
      <c r="G970" s="1" t="s">
        <v>2326</v>
      </c>
      <c r="H970" s="1" t="s">
        <v>2327</v>
      </c>
      <c r="I970" s="1" t="s">
        <v>49</v>
      </c>
      <c r="J970" s="1" t="s">
        <v>48</v>
      </c>
      <c r="K970" s="1">
        <v>80</v>
      </c>
      <c r="L970" s="1">
        <v>0</v>
      </c>
      <c r="M970" s="1">
        <v>0</v>
      </c>
      <c r="N970" s="1">
        <v>80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 t="s">
        <v>49</v>
      </c>
      <c r="AA970" s="1" t="s">
        <v>49</v>
      </c>
      <c r="AB970" s="1" t="s">
        <v>49</v>
      </c>
      <c r="AC970" s="1" t="s">
        <v>128</v>
      </c>
      <c r="AD970" s="1" t="s">
        <v>129</v>
      </c>
      <c r="AE970" s="1" t="s">
        <v>128</v>
      </c>
      <c r="AF970" s="1" t="s">
        <v>975</v>
      </c>
      <c r="AG970" s="1" t="s">
        <v>53</v>
      </c>
      <c r="AH970" s="1" t="s">
        <v>49</v>
      </c>
      <c r="AI970" s="1" t="s">
        <v>54</v>
      </c>
      <c r="AJ970" s="1">
        <v>1</v>
      </c>
      <c r="AK970" s="1" t="str">
        <f t="shared" si="15"/>
        <v xml:space="preserve"> =&lt;90</v>
      </c>
      <c r="AL970" s="1" t="str">
        <f>VLOOKUP(C:C,[1]基础信息!B$1:D$65536,3,0)</f>
        <v>Jug</v>
      </c>
      <c r="AM970" s="1" t="str">
        <f>VLOOKUP(C:C,[1]基础信息!B$1:E$65536,4,0)</f>
        <v>Mxplus</v>
      </c>
      <c r="AN970" s="1" t="str">
        <f>VLOOKUP(C:C,[1]基础信息!B$1:F$65536,5,0)</f>
        <v xml:space="preserve"> blue</v>
      </c>
    </row>
    <row r="971" spans="1:40">
      <c r="A971" s="1" t="s">
        <v>41</v>
      </c>
      <c r="B971" s="1" t="s">
        <v>42</v>
      </c>
      <c r="C971" s="1" t="s">
        <v>969</v>
      </c>
      <c r="D971" s="1" t="s">
        <v>970</v>
      </c>
      <c r="E971" s="1" t="s">
        <v>45</v>
      </c>
      <c r="F971" s="1" t="s">
        <v>2265</v>
      </c>
      <c r="G971" s="1" t="s">
        <v>2328</v>
      </c>
      <c r="H971" s="1" t="s">
        <v>2329</v>
      </c>
      <c r="I971" s="1" t="s">
        <v>49</v>
      </c>
      <c r="J971" s="1" t="s">
        <v>48</v>
      </c>
      <c r="K971" s="1">
        <v>80</v>
      </c>
      <c r="L971" s="1">
        <v>0</v>
      </c>
      <c r="M971" s="1">
        <v>0</v>
      </c>
      <c r="N971" s="1">
        <v>80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 t="s">
        <v>49</v>
      </c>
      <c r="AA971" s="1" t="s">
        <v>49</v>
      </c>
      <c r="AB971" s="1" t="s">
        <v>49</v>
      </c>
      <c r="AC971" s="1" t="s">
        <v>128</v>
      </c>
      <c r="AD971" s="1" t="s">
        <v>129</v>
      </c>
      <c r="AE971" s="1" t="s">
        <v>128</v>
      </c>
      <c r="AF971" s="1" t="s">
        <v>975</v>
      </c>
      <c r="AG971" s="1" t="s">
        <v>53</v>
      </c>
      <c r="AH971" s="1" t="s">
        <v>49</v>
      </c>
      <c r="AI971" s="1" t="s">
        <v>54</v>
      </c>
      <c r="AJ971" s="1">
        <v>1</v>
      </c>
      <c r="AK971" s="1" t="str">
        <f t="shared" si="15"/>
        <v xml:space="preserve"> =&lt;90</v>
      </c>
      <c r="AL971" s="1" t="str">
        <f>VLOOKUP(C:C,[1]基础信息!B$1:D$65536,3,0)</f>
        <v>Jug</v>
      </c>
      <c r="AM971" s="1" t="str">
        <f>VLOOKUP(C:C,[1]基础信息!B$1:E$65536,4,0)</f>
        <v>Mxplus</v>
      </c>
      <c r="AN971" s="1" t="str">
        <f>VLOOKUP(C:C,[1]基础信息!B$1:F$65536,5,0)</f>
        <v xml:space="preserve"> blue</v>
      </c>
    </row>
    <row r="972" spans="1:40">
      <c r="A972" s="1" t="s">
        <v>41</v>
      </c>
      <c r="B972" s="1" t="s">
        <v>42</v>
      </c>
      <c r="C972" s="1" t="s">
        <v>969</v>
      </c>
      <c r="D972" s="1" t="s">
        <v>970</v>
      </c>
      <c r="E972" s="1" t="s">
        <v>45</v>
      </c>
      <c r="F972" s="1" t="s">
        <v>2265</v>
      </c>
      <c r="G972" s="1" t="s">
        <v>2330</v>
      </c>
      <c r="H972" s="1" t="s">
        <v>2331</v>
      </c>
      <c r="I972" s="1" t="s">
        <v>49</v>
      </c>
      <c r="J972" s="1" t="s">
        <v>48</v>
      </c>
      <c r="K972" s="1">
        <v>80</v>
      </c>
      <c r="L972" s="1">
        <v>0</v>
      </c>
      <c r="M972" s="1">
        <v>0</v>
      </c>
      <c r="N972" s="1">
        <v>80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 t="s">
        <v>49</v>
      </c>
      <c r="AA972" s="1" t="s">
        <v>49</v>
      </c>
      <c r="AB972" s="1" t="s">
        <v>49</v>
      </c>
      <c r="AC972" s="1" t="s">
        <v>128</v>
      </c>
      <c r="AD972" s="1" t="s">
        <v>129</v>
      </c>
      <c r="AE972" s="1" t="s">
        <v>128</v>
      </c>
      <c r="AF972" s="1" t="s">
        <v>975</v>
      </c>
      <c r="AG972" s="1" t="s">
        <v>53</v>
      </c>
      <c r="AH972" s="1" t="s">
        <v>49</v>
      </c>
      <c r="AI972" s="1" t="s">
        <v>54</v>
      </c>
      <c r="AJ972" s="1">
        <v>1</v>
      </c>
      <c r="AK972" s="1" t="str">
        <f t="shared" si="15"/>
        <v xml:space="preserve"> =&lt;90</v>
      </c>
      <c r="AL972" s="1" t="str">
        <f>VLOOKUP(C:C,[1]基础信息!B$1:D$65536,3,0)</f>
        <v>Jug</v>
      </c>
      <c r="AM972" s="1" t="str">
        <f>VLOOKUP(C:C,[1]基础信息!B$1:E$65536,4,0)</f>
        <v>Mxplus</v>
      </c>
      <c r="AN972" s="1" t="str">
        <f>VLOOKUP(C:C,[1]基础信息!B$1:F$65536,5,0)</f>
        <v xml:space="preserve"> blue</v>
      </c>
    </row>
    <row r="973" spans="1:40">
      <c r="A973" s="1" t="s">
        <v>41</v>
      </c>
      <c r="B973" s="1" t="s">
        <v>42</v>
      </c>
      <c r="C973" s="1" t="s">
        <v>208</v>
      </c>
      <c r="D973" s="1" t="s">
        <v>209</v>
      </c>
      <c r="E973" s="1" t="s">
        <v>208</v>
      </c>
      <c r="F973" s="1" t="s">
        <v>1734</v>
      </c>
      <c r="G973" s="1" t="s">
        <v>2332</v>
      </c>
      <c r="H973" s="1" t="s">
        <v>2333</v>
      </c>
      <c r="I973" s="1" t="s">
        <v>49</v>
      </c>
      <c r="J973" s="1" t="s">
        <v>48</v>
      </c>
      <c r="K973" s="1">
        <v>80</v>
      </c>
      <c r="L973" s="1">
        <v>0</v>
      </c>
      <c r="M973" s="1">
        <v>0</v>
      </c>
      <c r="N973" s="1">
        <v>80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 t="s">
        <v>49</v>
      </c>
      <c r="AA973" s="1" t="s">
        <v>49</v>
      </c>
      <c r="AB973" s="1" t="s">
        <v>49</v>
      </c>
      <c r="AC973" s="1" t="s">
        <v>376</v>
      </c>
      <c r="AD973" s="1" t="s">
        <v>377</v>
      </c>
      <c r="AE973" s="1" t="s">
        <v>376</v>
      </c>
      <c r="AF973" s="1" t="s">
        <v>1414</v>
      </c>
      <c r="AG973" s="1" t="s">
        <v>53</v>
      </c>
      <c r="AH973" s="1" t="s">
        <v>49</v>
      </c>
      <c r="AI973" s="1" t="s">
        <v>54</v>
      </c>
      <c r="AJ973" s="1">
        <v>1</v>
      </c>
      <c r="AK973" s="1" t="str">
        <f t="shared" si="15"/>
        <v xml:space="preserve"> =&lt;90</v>
      </c>
      <c r="AL973" s="1" t="str">
        <f>VLOOKUP(C:C,[1]基础信息!B$1:D$65536,3,0)</f>
        <v>Jug</v>
      </c>
      <c r="AM973" s="1" t="str">
        <f>VLOOKUP(C:C,[1]基础信息!B$1:E$65536,4,0)</f>
        <v>MXpl</v>
      </c>
      <c r="AN973" s="1" t="str">
        <f>VLOOKUP(C:C,[1]基础信息!B$1:F$65536,5,0)</f>
        <v>grey</v>
      </c>
    </row>
    <row r="974" spans="1:40">
      <c r="A974" s="1" t="s">
        <v>41</v>
      </c>
      <c r="B974" s="1" t="s">
        <v>42</v>
      </c>
      <c r="C974" s="1" t="s">
        <v>208</v>
      </c>
      <c r="D974" s="1" t="s">
        <v>209</v>
      </c>
      <c r="E974" s="1" t="s">
        <v>208</v>
      </c>
      <c r="F974" s="1" t="s">
        <v>1734</v>
      </c>
      <c r="G974" s="1" t="s">
        <v>2334</v>
      </c>
      <c r="H974" s="1" t="s">
        <v>2335</v>
      </c>
      <c r="I974" s="1" t="s">
        <v>49</v>
      </c>
      <c r="J974" s="1" t="s">
        <v>48</v>
      </c>
      <c r="K974" s="1">
        <v>80</v>
      </c>
      <c r="L974" s="1">
        <v>0</v>
      </c>
      <c r="M974" s="1">
        <v>0</v>
      </c>
      <c r="N974" s="1">
        <v>80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 t="s">
        <v>49</v>
      </c>
      <c r="AA974" s="1" t="s">
        <v>49</v>
      </c>
      <c r="AB974" s="1" t="s">
        <v>49</v>
      </c>
      <c r="AC974" s="1" t="s">
        <v>376</v>
      </c>
      <c r="AD974" s="1" t="s">
        <v>377</v>
      </c>
      <c r="AE974" s="1" t="s">
        <v>376</v>
      </c>
      <c r="AF974" s="1" t="s">
        <v>1414</v>
      </c>
      <c r="AG974" s="1" t="s">
        <v>53</v>
      </c>
      <c r="AH974" s="1" t="s">
        <v>49</v>
      </c>
      <c r="AI974" s="1" t="s">
        <v>54</v>
      </c>
      <c r="AJ974" s="1">
        <v>1</v>
      </c>
      <c r="AK974" s="1" t="str">
        <f t="shared" si="15"/>
        <v xml:space="preserve"> =&lt;90</v>
      </c>
      <c r="AL974" s="1" t="str">
        <f>VLOOKUP(C:C,[1]基础信息!B$1:D$65536,3,0)</f>
        <v>Jug</v>
      </c>
      <c r="AM974" s="1" t="str">
        <f>VLOOKUP(C:C,[1]基础信息!B$1:E$65536,4,0)</f>
        <v>MXpl</v>
      </c>
      <c r="AN974" s="1" t="str">
        <f>VLOOKUP(C:C,[1]基础信息!B$1:F$65536,5,0)</f>
        <v>grey</v>
      </c>
    </row>
    <row r="975" spans="1:40">
      <c r="A975" s="1" t="s">
        <v>41</v>
      </c>
      <c r="B975" s="1" t="s">
        <v>42</v>
      </c>
      <c r="C975" s="1" t="s">
        <v>1710</v>
      </c>
      <c r="D975" s="1" t="s">
        <v>1711</v>
      </c>
      <c r="E975" s="1" t="s">
        <v>45</v>
      </c>
      <c r="F975" s="1" t="s">
        <v>1712</v>
      </c>
      <c r="G975" s="1" t="s">
        <v>2336</v>
      </c>
      <c r="H975" s="1" t="s">
        <v>2337</v>
      </c>
      <c r="I975" s="1" t="s">
        <v>49</v>
      </c>
      <c r="J975" s="1" t="s">
        <v>48</v>
      </c>
      <c r="K975" s="1">
        <v>60</v>
      </c>
      <c r="L975" s="1">
        <v>0</v>
      </c>
      <c r="M975" s="1">
        <v>0</v>
      </c>
      <c r="N975" s="1">
        <v>60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 t="s">
        <v>49</v>
      </c>
      <c r="AA975" s="1" t="s">
        <v>49</v>
      </c>
      <c r="AB975" s="1" t="s">
        <v>49</v>
      </c>
      <c r="AC975" s="1" t="s">
        <v>1715</v>
      </c>
      <c r="AD975" s="1" t="s">
        <v>1716</v>
      </c>
      <c r="AE975" s="1" t="s">
        <v>1715</v>
      </c>
      <c r="AF975" s="1" t="s">
        <v>1717</v>
      </c>
      <c r="AG975" s="1" t="s">
        <v>53</v>
      </c>
      <c r="AH975" s="1" t="s">
        <v>49</v>
      </c>
      <c r="AI975" s="1" t="s">
        <v>54</v>
      </c>
      <c r="AJ975" s="1">
        <v>1</v>
      </c>
      <c r="AK975" s="1" t="str">
        <f t="shared" si="15"/>
        <v xml:space="preserve"> =&lt;90</v>
      </c>
      <c r="AL975" s="1" t="str">
        <f>VLOOKUP(C:C,[1]基础信息!B$1:D$65536,3,0)</f>
        <v>Jug</v>
      </c>
      <c r="AM975" s="1" t="str">
        <f>VLOOKUP(C:C,[1]基础信息!B$1:E$65536,4,0)</f>
        <v>Kalea XL ME4W</v>
      </c>
      <c r="AN975" s="1" t="str">
        <f>VLOOKUP(C:C,[1]基础信息!B$1:F$65536,5,0)</f>
        <v>grey</v>
      </c>
    </row>
    <row r="976" spans="1:40">
      <c r="A976" s="1" t="s">
        <v>41</v>
      </c>
      <c r="B976" s="1" t="s">
        <v>42</v>
      </c>
      <c r="C976" s="1" t="s">
        <v>1710</v>
      </c>
      <c r="D976" s="1" t="s">
        <v>1711</v>
      </c>
      <c r="E976" s="1" t="s">
        <v>45</v>
      </c>
      <c r="F976" s="1" t="s">
        <v>1712</v>
      </c>
      <c r="G976" s="1" t="s">
        <v>2338</v>
      </c>
      <c r="H976" s="1" t="s">
        <v>2339</v>
      </c>
      <c r="I976" s="1" t="s">
        <v>49</v>
      </c>
      <c r="J976" s="1" t="s">
        <v>48</v>
      </c>
      <c r="K976" s="1">
        <v>60</v>
      </c>
      <c r="L976" s="1">
        <v>0</v>
      </c>
      <c r="M976" s="1">
        <v>0</v>
      </c>
      <c r="N976" s="1">
        <v>60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 t="s">
        <v>49</v>
      </c>
      <c r="AA976" s="1" t="s">
        <v>49</v>
      </c>
      <c r="AB976" s="1" t="s">
        <v>49</v>
      </c>
      <c r="AC976" s="1" t="s">
        <v>1715</v>
      </c>
      <c r="AD976" s="1" t="s">
        <v>1716</v>
      </c>
      <c r="AE976" s="1" t="s">
        <v>1715</v>
      </c>
      <c r="AF976" s="1" t="s">
        <v>1717</v>
      </c>
      <c r="AG976" s="1" t="s">
        <v>53</v>
      </c>
      <c r="AH976" s="1" t="s">
        <v>49</v>
      </c>
      <c r="AI976" s="1" t="s">
        <v>54</v>
      </c>
      <c r="AJ976" s="1">
        <v>1</v>
      </c>
      <c r="AK976" s="1" t="str">
        <f t="shared" si="15"/>
        <v xml:space="preserve"> =&lt;90</v>
      </c>
      <c r="AL976" s="1" t="str">
        <f>VLOOKUP(C:C,[1]基础信息!B$1:D$65536,3,0)</f>
        <v>Jug</v>
      </c>
      <c r="AM976" s="1" t="str">
        <f>VLOOKUP(C:C,[1]基础信息!B$1:E$65536,4,0)</f>
        <v>Kalea XL ME4W</v>
      </c>
      <c r="AN976" s="1" t="str">
        <f>VLOOKUP(C:C,[1]基础信息!B$1:F$65536,5,0)</f>
        <v>grey</v>
      </c>
    </row>
    <row r="977" spans="1:40">
      <c r="A977" s="1" t="s">
        <v>41</v>
      </c>
      <c r="B977" s="1" t="s">
        <v>42</v>
      </c>
      <c r="C977" s="1" t="s">
        <v>1710</v>
      </c>
      <c r="D977" s="1" t="s">
        <v>1711</v>
      </c>
      <c r="E977" s="1" t="s">
        <v>45</v>
      </c>
      <c r="F977" s="1" t="s">
        <v>1712</v>
      </c>
      <c r="G977" s="1" t="s">
        <v>2340</v>
      </c>
      <c r="H977" s="1" t="s">
        <v>2341</v>
      </c>
      <c r="I977" s="1" t="s">
        <v>49</v>
      </c>
      <c r="J977" s="1" t="s">
        <v>48</v>
      </c>
      <c r="K977" s="1">
        <v>60</v>
      </c>
      <c r="L977" s="1">
        <v>0</v>
      </c>
      <c r="M977" s="1">
        <v>0</v>
      </c>
      <c r="N977" s="1">
        <v>60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 t="s">
        <v>49</v>
      </c>
      <c r="AA977" s="1" t="s">
        <v>49</v>
      </c>
      <c r="AB977" s="1" t="s">
        <v>49</v>
      </c>
      <c r="AC977" s="1" t="s">
        <v>1715</v>
      </c>
      <c r="AD977" s="1" t="s">
        <v>1716</v>
      </c>
      <c r="AE977" s="1" t="s">
        <v>1715</v>
      </c>
      <c r="AF977" s="1" t="s">
        <v>1717</v>
      </c>
      <c r="AG977" s="1" t="s">
        <v>53</v>
      </c>
      <c r="AH977" s="1" t="s">
        <v>49</v>
      </c>
      <c r="AI977" s="1" t="s">
        <v>54</v>
      </c>
      <c r="AJ977" s="1">
        <v>1</v>
      </c>
      <c r="AK977" s="1" t="str">
        <f t="shared" si="15"/>
        <v xml:space="preserve"> =&lt;90</v>
      </c>
      <c r="AL977" s="1" t="str">
        <f>VLOOKUP(C:C,[1]基础信息!B$1:D$65536,3,0)</f>
        <v>Jug</v>
      </c>
      <c r="AM977" s="1" t="str">
        <f>VLOOKUP(C:C,[1]基础信息!B$1:E$65536,4,0)</f>
        <v>Kalea XL ME4W</v>
      </c>
      <c r="AN977" s="1" t="str">
        <f>VLOOKUP(C:C,[1]基础信息!B$1:F$65536,5,0)</f>
        <v>grey</v>
      </c>
    </row>
    <row r="978" spans="1:40">
      <c r="A978" s="1" t="s">
        <v>41</v>
      </c>
      <c r="B978" s="1" t="s">
        <v>42</v>
      </c>
      <c r="C978" s="1" t="s">
        <v>1710</v>
      </c>
      <c r="D978" s="1" t="s">
        <v>1711</v>
      </c>
      <c r="E978" s="1" t="s">
        <v>45</v>
      </c>
      <c r="F978" s="1" t="s">
        <v>1712</v>
      </c>
      <c r="G978" s="1" t="s">
        <v>2342</v>
      </c>
      <c r="H978" s="1" t="s">
        <v>2343</v>
      </c>
      <c r="I978" s="1" t="s">
        <v>49</v>
      </c>
      <c r="J978" s="1" t="s">
        <v>48</v>
      </c>
      <c r="K978" s="1">
        <v>60</v>
      </c>
      <c r="L978" s="1">
        <v>0</v>
      </c>
      <c r="M978" s="1">
        <v>0</v>
      </c>
      <c r="N978" s="1">
        <v>60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 t="s">
        <v>49</v>
      </c>
      <c r="AA978" s="1" t="s">
        <v>49</v>
      </c>
      <c r="AB978" s="1" t="s">
        <v>49</v>
      </c>
      <c r="AC978" s="1" t="s">
        <v>1715</v>
      </c>
      <c r="AD978" s="1" t="s">
        <v>1716</v>
      </c>
      <c r="AE978" s="1" t="s">
        <v>1715</v>
      </c>
      <c r="AF978" s="1" t="s">
        <v>1717</v>
      </c>
      <c r="AG978" s="1" t="s">
        <v>53</v>
      </c>
      <c r="AH978" s="1" t="s">
        <v>49</v>
      </c>
      <c r="AI978" s="1" t="s">
        <v>54</v>
      </c>
      <c r="AJ978" s="1">
        <v>1</v>
      </c>
      <c r="AK978" s="1" t="str">
        <f t="shared" si="15"/>
        <v xml:space="preserve"> =&lt;90</v>
      </c>
      <c r="AL978" s="1" t="str">
        <f>VLOOKUP(C:C,[1]基础信息!B$1:D$65536,3,0)</f>
        <v>Jug</v>
      </c>
      <c r="AM978" s="1" t="str">
        <f>VLOOKUP(C:C,[1]基础信息!B$1:E$65536,4,0)</f>
        <v>Kalea XL ME4W</v>
      </c>
      <c r="AN978" s="1" t="str">
        <f>VLOOKUP(C:C,[1]基础信息!B$1:F$65536,5,0)</f>
        <v>grey</v>
      </c>
    </row>
    <row r="979" spans="1:40">
      <c r="A979" s="1" t="s">
        <v>41</v>
      </c>
      <c r="B979" s="1" t="s">
        <v>42</v>
      </c>
      <c r="C979" s="1" t="s">
        <v>969</v>
      </c>
      <c r="D979" s="1" t="s">
        <v>970</v>
      </c>
      <c r="E979" s="1" t="s">
        <v>45</v>
      </c>
      <c r="F979" s="1" t="s">
        <v>2265</v>
      </c>
      <c r="G979" s="1" t="s">
        <v>2344</v>
      </c>
      <c r="H979" s="1" t="s">
        <v>2345</v>
      </c>
      <c r="I979" s="1" t="s">
        <v>49</v>
      </c>
      <c r="J979" s="1" t="s">
        <v>48</v>
      </c>
      <c r="K979" s="1">
        <v>80</v>
      </c>
      <c r="L979" s="1">
        <v>0</v>
      </c>
      <c r="M979" s="1">
        <v>0</v>
      </c>
      <c r="N979" s="1">
        <v>80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 t="s">
        <v>49</v>
      </c>
      <c r="AA979" s="1" t="s">
        <v>49</v>
      </c>
      <c r="AB979" s="1" t="s">
        <v>49</v>
      </c>
      <c r="AC979" s="1" t="s">
        <v>128</v>
      </c>
      <c r="AD979" s="1" t="s">
        <v>129</v>
      </c>
      <c r="AE979" s="1" t="s">
        <v>128</v>
      </c>
      <c r="AF979" s="1" t="s">
        <v>975</v>
      </c>
      <c r="AG979" s="1" t="s">
        <v>53</v>
      </c>
      <c r="AH979" s="1" t="s">
        <v>49</v>
      </c>
      <c r="AI979" s="1" t="s">
        <v>54</v>
      </c>
      <c r="AJ979" s="1">
        <v>1</v>
      </c>
      <c r="AK979" s="1" t="str">
        <f t="shared" si="15"/>
        <v xml:space="preserve"> =&lt;90</v>
      </c>
      <c r="AL979" s="1" t="str">
        <f>VLOOKUP(C:C,[1]基础信息!B$1:D$65536,3,0)</f>
        <v>Jug</v>
      </c>
      <c r="AM979" s="1" t="str">
        <f>VLOOKUP(C:C,[1]基础信息!B$1:E$65536,4,0)</f>
        <v>Mxplus</v>
      </c>
      <c r="AN979" s="1" t="str">
        <f>VLOOKUP(C:C,[1]基础信息!B$1:F$65536,5,0)</f>
        <v xml:space="preserve"> blue</v>
      </c>
    </row>
    <row r="980" spans="1:40">
      <c r="A980" s="1" t="s">
        <v>41</v>
      </c>
      <c r="B980" s="1" t="s">
        <v>42</v>
      </c>
      <c r="C980" s="1" t="s">
        <v>969</v>
      </c>
      <c r="D980" s="1" t="s">
        <v>970</v>
      </c>
      <c r="E980" s="1" t="s">
        <v>45</v>
      </c>
      <c r="F980" s="1" t="s">
        <v>2265</v>
      </c>
      <c r="G980" s="1" t="s">
        <v>2346</v>
      </c>
      <c r="H980" s="1" t="s">
        <v>2347</v>
      </c>
      <c r="I980" s="1" t="s">
        <v>49</v>
      </c>
      <c r="J980" s="1" t="s">
        <v>48</v>
      </c>
      <c r="K980" s="1">
        <v>80</v>
      </c>
      <c r="L980" s="1">
        <v>0</v>
      </c>
      <c r="M980" s="1">
        <v>0</v>
      </c>
      <c r="N980" s="1">
        <v>80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 t="s">
        <v>49</v>
      </c>
      <c r="AA980" s="1" t="s">
        <v>49</v>
      </c>
      <c r="AB980" s="1" t="s">
        <v>49</v>
      </c>
      <c r="AC980" s="1" t="s">
        <v>128</v>
      </c>
      <c r="AD980" s="1" t="s">
        <v>129</v>
      </c>
      <c r="AE980" s="1" t="s">
        <v>128</v>
      </c>
      <c r="AF980" s="1" t="s">
        <v>975</v>
      </c>
      <c r="AG980" s="1" t="s">
        <v>53</v>
      </c>
      <c r="AH980" s="1" t="s">
        <v>49</v>
      </c>
      <c r="AI980" s="1" t="s">
        <v>54</v>
      </c>
      <c r="AJ980" s="1">
        <v>1</v>
      </c>
      <c r="AK980" s="1" t="str">
        <f t="shared" si="15"/>
        <v xml:space="preserve"> =&lt;90</v>
      </c>
      <c r="AL980" s="1" t="str">
        <f>VLOOKUP(C:C,[1]基础信息!B$1:D$65536,3,0)</f>
        <v>Jug</v>
      </c>
      <c r="AM980" s="1" t="str">
        <f>VLOOKUP(C:C,[1]基础信息!B$1:E$65536,4,0)</f>
        <v>Mxplus</v>
      </c>
      <c r="AN980" s="1" t="str">
        <f>VLOOKUP(C:C,[1]基础信息!B$1:F$65536,5,0)</f>
        <v xml:space="preserve"> blue</v>
      </c>
    </row>
    <row r="981" spans="1:40">
      <c r="A981" s="1" t="s">
        <v>41</v>
      </c>
      <c r="B981" s="1" t="s">
        <v>42</v>
      </c>
      <c r="C981" s="1" t="s">
        <v>969</v>
      </c>
      <c r="D981" s="1" t="s">
        <v>970</v>
      </c>
      <c r="E981" s="1" t="s">
        <v>45</v>
      </c>
      <c r="F981" s="1" t="s">
        <v>2265</v>
      </c>
      <c r="G981" s="1" t="s">
        <v>2348</v>
      </c>
      <c r="H981" s="1" t="s">
        <v>2349</v>
      </c>
      <c r="I981" s="1" t="s">
        <v>49</v>
      </c>
      <c r="J981" s="1" t="s">
        <v>48</v>
      </c>
      <c r="K981" s="1">
        <v>80</v>
      </c>
      <c r="L981" s="1">
        <v>0</v>
      </c>
      <c r="M981" s="1">
        <v>0</v>
      </c>
      <c r="N981" s="1">
        <v>80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 t="s">
        <v>49</v>
      </c>
      <c r="AA981" s="1" t="s">
        <v>49</v>
      </c>
      <c r="AB981" s="1" t="s">
        <v>49</v>
      </c>
      <c r="AC981" s="1" t="s">
        <v>128</v>
      </c>
      <c r="AD981" s="1" t="s">
        <v>129</v>
      </c>
      <c r="AE981" s="1" t="s">
        <v>128</v>
      </c>
      <c r="AF981" s="1" t="s">
        <v>975</v>
      </c>
      <c r="AG981" s="1" t="s">
        <v>53</v>
      </c>
      <c r="AH981" s="1" t="s">
        <v>49</v>
      </c>
      <c r="AI981" s="1" t="s">
        <v>54</v>
      </c>
      <c r="AJ981" s="1">
        <v>1</v>
      </c>
      <c r="AK981" s="1" t="str">
        <f t="shared" si="15"/>
        <v xml:space="preserve"> =&lt;90</v>
      </c>
      <c r="AL981" s="1" t="str">
        <f>VLOOKUP(C:C,[1]基础信息!B$1:D$65536,3,0)</f>
        <v>Jug</v>
      </c>
      <c r="AM981" s="1" t="str">
        <f>VLOOKUP(C:C,[1]基础信息!B$1:E$65536,4,0)</f>
        <v>Mxplus</v>
      </c>
      <c r="AN981" s="1" t="str">
        <f>VLOOKUP(C:C,[1]基础信息!B$1:F$65536,5,0)</f>
        <v xml:space="preserve"> blue</v>
      </c>
    </row>
    <row r="982" spans="1:40">
      <c r="A982" s="1" t="s">
        <v>41</v>
      </c>
      <c r="B982" s="1" t="s">
        <v>42</v>
      </c>
      <c r="C982" s="1" t="s">
        <v>1710</v>
      </c>
      <c r="D982" s="1" t="s">
        <v>1711</v>
      </c>
      <c r="E982" s="1" t="s">
        <v>45</v>
      </c>
      <c r="F982" s="1" t="s">
        <v>1712</v>
      </c>
      <c r="G982" s="1" t="s">
        <v>2350</v>
      </c>
      <c r="H982" s="1" t="s">
        <v>2351</v>
      </c>
      <c r="I982" s="1" t="s">
        <v>49</v>
      </c>
      <c r="J982" s="1" t="s">
        <v>48</v>
      </c>
      <c r="K982" s="1">
        <v>60</v>
      </c>
      <c r="L982" s="1">
        <v>0</v>
      </c>
      <c r="M982" s="1">
        <v>0</v>
      </c>
      <c r="N982" s="1">
        <v>60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 t="s">
        <v>49</v>
      </c>
      <c r="AA982" s="1" t="s">
        <v>49</v>
      </c>
      <c r="AB982" s="1" t="s">
        <v>49</v>
      </c>
      <c r="AC982" s="1" t="s">
        <v>1715</v>
      </c>
      <c r="AD982" s="1" t="s">
        <v>1716</v>
      </c>
      <c r="AE982" s="1" t="s">
        <v>1715</v>
      </c>
      <c r="AF982" s="1" t="s">
        <v>1717</v>
      </c>
      <c r="AG982" s="1" t="s">
        <v>53</v>
      </c>
      <c r="AH982" s="1" t="s">
        <v>49</v>
      </c>
      <c r="AI982" s="1" t="s">
        <v>54</v>
      </c>
      <c r="AJ982" s="1">
        <v>1</v>
      </c>
      <c r="AK982" s="1" t="str">
        <f t="shared" si="15"/>
        <v xml:space="preserve"> =&lt;90</v>
      </c>
      <c r="AL982" s="1" t="str">
        <f>VLOOKUP(C:C,[1]基础信息!B$1:D$65536,3,0)</f>
        <v>Jug</v>
      </c>
      <c r="AM982" s="1" t="str">
        <f>VLOOKUP(C:C,[1]基础信息!B$1:E$65536,4,0)</f>
        <v>Kalea XL ME4W</v>
      </c>
      <c r="AN982" s="1" t="str">
        <f>VLOOKUP(C:C,[1]基础信息!B$1:F$65536,5,0)</f>
        <v>grey</v>
      </c>
    </row>
    <row r="983" spans="1:40">
      <c r="A983" s="1" t="s">
        <v>41</v>
      </c>
      <c r="B983" s="1" t="s">
        <v>42</v>
      </c>
      <c r="C983" s="1" t="s">
        <v>1710</v>
      </c>
      <c r="D983" s="1" t="s">
        <v>1711</v>
      </c>
      <c r="E983" s="1" t="s">
        <v>45</v>
      </c>
      <c r="F983" s="1" t="s">
        <v>1712</v>
      </c>
      <c r="G983" s="1" t="s">
        <v>2352</v>
      </c>
      <c r="H983" s="1" t="s">
        <v>2353</v>
      </c>
      <c r="I983" s="1" t="s">
        <v>49</v>
      </c>
      <c r="J983" s="1" t="s">
        <v>48</v>
      </c>
      <c r="K983" s="1">
        <v>60</v>
      </c>
      <c r="L983" s="1">
        <v>0</v>
      </c>
      <c r="M983" s="1">
        <v>0</v>
      </c>
      <c r="N983" s="1">
        <v>60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 t="s">
        <v>49</v>
      </c>
      <c r="AA983" s="1" t="s">
        <v>49</v>
      </c>
      <c r="AB983" s="1" t="s">
        <v>49</v>
      </c>
      <c r="AC983" s="1" t="s">
        <v>1715</v>
      </c>
      <c r="AD983" s="1" t="s">
        <v>1716</v>
      </c>
      <c r="AE983" s="1" t="s">
        <v>1715</v>
      </c>
      <c r="AF983" s="1" t="s">
        <v>1717</v>
      </c>
      <c r="AG983" s="1" t="s">
        <v>53</v>
      </c>
      <c r="AH983" s="1" t="s">
        <v>49</v>
      </c>
      <c r="AI983" s="1" t="s">
        <v>54</v>
      </c>
      <c r="AJ983" s="1">
        <v>1</v>
      </c>
      <c r="AK983" s="1" t="str">
        <f t="shared" si="15"/>
        <v xml:space="preserve"> =&lt;90</v>
      </c>
      <c r="AL983" s="1" t="str">
        <f>VLOOKUP(C:C,[1]基础信息!B$1:D$65536,3,0)</f>
        <v>Jug</v>
      </c>
      <c r="AM983" s="1" t="str">
        <f>VLOOKUP(C:C,[1]基础信息!B$1:E$65536,4,0)</f>
        <v>Kalea XL ME4W</v>
      </c>
      <c r="AN983" s="1" t="str">
        <f>VLOOKUP(C:C,[1]基础信息!B$1:F$65536,5,0)</f>
        <v>grey</v>
      </c>
    </row>
    <row r="984" spans="1:40">
      <c r="A984" s="1" t="s">
        <v>41</v>
      </c>
      <c r="B984" s="1" t="s">
        <v>42</v>
      </c>
      <c r="C984" s="1" t="s">
        <v>969</v>
      </c>
      <c r="D984" s="1" t="s">
        <v>970</v>
      </c>
      <c r="E984" s="1" t="s">
        <v>45</v>
      </c>
      <c r="F984" s="1" t="s">
        <v>2265</v>
      </c>
      <c r="G984" s="1" t="s">
        <v>2354</v>
      </c>
      <c r="H984" s="1" t="s">
        <v>2355</v>
      </c>
      <c r="I984" s="1" t="s">
        <v>49</v>
      </c>
      <c r="J984" s="1" t="s">
        <v>48</v>
      </c>
      <c r="K984" s="1">
        <v>80</v>
      </c>
      <c r="L984" s="1">
        <v>0</v>
      </c>
      <c r="M984" s="1">
        <v>0</v>
      </c>
      <c r="N984" s="1">
        <v>80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 t="s">
        <v>49</v>
      </c>
      <c r="AA984" s="1" t="s">
        <v>49</v>
      </c>
      <c r="AB984" s="1" t="s">
        <v>49</v>
      </c>
      <c r="AC984" s="1" t="s">
        <v>128</v>
      </c>
      <c r="AD984" s="1" t="s">
        <v>129</v>
      </c>
      <c r="AE984" s="1" t="s">
        <v>128</v>
      </c>
      <c r="AF984" s="1" t="s">
        <v>975</v>
      </c>
      <c r="AG984" s="1" t="s">
        <v>53</v>
      </c>
      <c r="AH984" s="1" t="s">
        <v>49</v>
      </c>
      <c r="AI984" s="1" t="s">
        <v>54</v>
      </c>
      <c r="AJ984" s="1">
        <v>1</v>
      </c>
      <c r="AK984" s="1" t="str">
        <f t="shared" si="15"/>
        <v xml:space="preserve"> =&lt;90</v>
      </c>
      <c r="AL984" s="1" t="str">
        <f>VLOOKUP(C:C,[1]基础信息!B$1:D$65536,3,0)</f>
        <v>Jug</v>
      </c>
      <c r="AM984" s="1" t="str">
        <f>VLOOKUP(C:C,[1]基础信息!B$1:E$65536,4,0)</f>
        <v>Mxplus</v>
      </c>
      <c r="AN984" s="1" t="str">
        <f>VLOOKUP(C:C,[1]基础信息!B$1:F$65536,5,0)</f>
        <v xml:space="preserve"> blue</v>
      </c>
    </row>
    <row r="985" spans="1:40">
      <c r="A985" s="1" t="s">
        <v>41</v>
      </c>
      <c r="B985" s="1" t="s">
        <v>42</v>
      </c>
      <c r="C985" s="1" t="s">
        <v>969</v>
      </c>
      <c r="D985" s="1" t="s">
        <v>970</v>
      </c>
      <c r="E985" s="1" t="s">
        <v>45</v>
      </c>
      <c r="F985" s="1" t="s">
        <v>2265</v>
      </c>
      <c r="G985" s="1" t="s">
        <v>2356</v>
      </c>
      <c r="H985" s="1" t="s">
        <v>2357</v>
      </c>
      <c r="I985" s="1" t="s">
        <v>49</v>
      </c>
      <c r="J985" s="1" t="s">
        <v>48</v>
      </c>
      <c r="K985" s="1">
        <v>80</v>
      </c>
      <c r="L985" s="1">
        <v>0</v>
      </c>
      <c r="M985" s="1">
        <v>0</v>
      </c>
      <c r="N985" s="1">
        <v>80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 t="s">
        <v>49</v>
      </c>
      <c r="AA985" s="1" t="s">
        <v>49</v>
      </c>
      <c r="AB985" s="1" t="s">
        <v>49</v>
      </c>
      <c r="AC985" s="1" t="s">
        <v>128</v>
      </c>
      <c r="AD985" s="1" t="s">
        <v>129</v>
      </c>
      <c r="AE985" s="1" t="s">
        <v>128</v>
      </c>
      <c r="AF985" s="1" t="s">
        <v>975</v>
      </c>
      <c r="AG985" s="1" t="s">
        <v>53</v>
      </c>
      <c r="AH985" s="1" t="s">
        <v>49</v>
      </c>
      <c r="AI985" s="1" t="s">
        <v>54</v>
      </c>
      <c r="AJ985" s="1">
        <v>1</v>
      </c>
      <c r="AK985" s="1" t="str">
        <f t="shared" si="15"/>
        <v xml:space="preserve"> =&lt;90</v>
      </c>
      <c r="AL985" s="1" t="str">
        <f>VLOOKUP(C:C,[1]基础信息!B$1:D$65536,3,0)</f>
        <v>Jug</v>
      </c>
      <c r="AM985" s="1" t="str">
        <f>VLOOKUP(C:C,[1]基础信息!B$1:E$65536,4,0)</f>
        <v>Mxplus</v>
      </c>
      <c r="AN985" s="1" t="str">
        <f>VLOOKUP(C:C,[1]基础信息!B$1:F$65536,5,0)</f>
        <v xml:space="preserve"> blue</v>
      </c>
    </row>
    <row r="986" spans="1:40">
      <c r="A986" s="1" t="s">
        <v>41</v>
      </c>
      <c r="B986" s="1" t="s">
        <v>42</v>
      </c>
      <c r="C986" s="1" t="s">
        <v>969</v>
      </c>
      <c r="D986" s="1" t="s">
        <v>970</v>
      </c>
      <c r="E986" s="1" t="s">
        <v>45</v>
      </c>
      <c r="F986" s="1" t="s">
        <v>2265</v>
      </c>
      <c r="G986" s="1" t="s">
        <v>2358</v>
      </c>
      <c r="H986" s="1" t="s">
        <v>2359</v>
      </c>
      <c r="I986" s="1" t="s">
        <v>49</v>
      </c>
      <c r="J986" s="1" t="s">
        <v>48</v>
      </c>
      <c r="K986" s="1">
        <v>80</v>
      </c>
      <c r="L986" s="1">
        <v>0</v>
      </c>
      <c r="M986" s="1">
        <v>0</v>
      </c>
      <c r="N986" s="1">
        <v>80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 t="s">
        <v>49</v>
      </c>
      <c r="AA986" s="1" t="s">
        <v>49</v>
      </c>
      <c r="AB986" s="1" t="s">
        <v>49</v>
      </c>
      <c r="AC986" s="1" t="s">
        <v>128</v>
      </c>
      <c r="AD986" s="1" t="s">
        <v>129</v>
      </c>
      <c r="AE986" s="1" t="s">
        <v>128</v>
      </c>
      <c r="AF986" s="1" t="s">
        <v>975</v>
      </c>
      <c r="AG986" s="1" t="s">
        <v>53</v>
      </c>
      <c r="AH986" s="1" t="s">
        <v>49</v>
      </c>
      <c r="AI986" s="1" t="s">
        <v>54</v>
      </c>
      <c r="AJ986" s="1">
        <v>1</v>
      </c>
      <c r="AK986" s="1" t="str">
        <f t="shared" si="15"/>
        <v xml:space="preserve"> =&lt;90</v>
      </c>
      <c r="AL986" s="1" t="str">
        <f>VLOOKUP(C:C,[1]基础信息!B$1:D$65536,3,0)</f>
        <v>Jug</v>
      </c>
      <c r="AM986" s="1" t="str">
        <f>VLOOKUP(C:C,[1]基础信息!B$1:E$65536,4,0)</f>
        <v>Mxplus</v>
      </c>
      <c r="AN986" s="1" t="str">
        <f>VLOOKUP(C:C,[1]基础信息!B$1:F$65536,5,0)</f>
        <v xml:space="preserve"> blue</v>
      </c>
    </row>
    <row r="987" spans="1:40">
      <c r="A987" s="1" t="s">
        <v>41</v>
      </c>
      <c r="B987" s="1" t="s">
        <v>42</v>
      </c>
      <c r="C987" s="1" t="s">
        <v>969</v>
      </c>
      <c r="D987" s="1" t="s">
        <v>970</v>
      </c>
      <c r="E987" s="1" t="s">
        <v>45</v>
      </c>
      <c r="F987" s="1" t="s">
        <v>2265</v>
      </c>
      <c r="G987" s="1" t="s">
        <v>2360</v>
      </c>
      <c r="H987" s="1" t="s">
        <v>2361</v>
      </c>
      <c r="I987" s="1" t="s">
        <v>49</v>
      </c>
      <c r="J987" s="1" t="s">
        <v>48</v>
      </c>
      <c r="K987" s="1">
        <v>80</v>
      </c>
      <c r="L987" s="1">
        <v>0</v>
      </c>
      <c r="M987" s="1">
        <v>0</v>
      </c>
      <c r="N987" s="1">
        <v>80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 t="s">
        <v>49</v>
      </c>
      <c r="AA987" s="1" t="s">
        <v>49</v>
      </c>
      <c r="AB987" s="1" t="s">
        <v>49</v>
      </c>
      <c r="AC987" s="1" t="s">
        <v>128</v>
      </c>
      <c r="AD987" s="1" t="s">
        <v>129</v>
      </c>
      <c r="AE987" s="1" t="s">
        <v>128</v>
      </c>
      <c r="AF987" s="1" t="s">
        <v>975</v>
      </c>
      <c r="AG987" s="1" t="s">
        <v>53</v>
      </c>
      <c r="AH987" s="1" t="s">
        <v>49</v>
      </c>
      <c r="AI987" s="1" t="s">
        <v>54</v>
      </c>
      <c r="AJ987" s="1">
        <v>1</v>
      </c>
      <c r="AK987" s="1" t="str">
        <f t="shared" si="15"/>
        <v xml:space="preserve"> =&lt;90</v>
      </c>
      <c r="AL987" s="1" t="str">
        <f>VLOOKUP(C:C,[1]基础信息!B$1:D$65536,3,0)</f>
        <v>Jug</v>
      </c>
      <c r="AM987" s="1" t="str">
        <f>VLOOKUP(C:C,[1]基础信息!B$1:E$65536,4,0)</f>
        <v>Mxplus</v>
      </c>
      <c r="AN987" s="1" t="str">
        <f>VLOOKUP(C:C,[1]基础信息!B$1:F$65536,5,0)</f>
        <v xml:space="preserve"> blue</v>
      </c>
    </row>
    <row r="988" spans="1:40">
      <c r="A988" s="1" t="s">
        <v>41</v>
      </c>
      <c r="B988" s="1" t="s">
        <v>42</v>
      </c>
      <c r="C988" s="1" t="s">
        <v>1710</v>
      </c>
      <c r="D988" s="1" t="s">
        <v>1711</v>
      </c>
      <c r="E988" s="1" t="s">
        <v>45</v>
      </c>
      <c r="F988" s="1" t="s">
        <v>1712</v>
      </c>
      <c r="G988" s="1" t="s">
        <v>2362</v>
      </c>
      <c r="H988" s="1" t="s">
        <v>2363</v>
      </c>
      <c r="I988" s="1" t="s">
        <v>49</v>
      </c>
      <c r="J988" s="1" t="s">
        <v>48</v>
      </c>
      <c r="K988" s="1">
        <v>60</v>
      </c>
      <c r="L988" s="1">
        <v>0</v>
      </c>
      <c r="M988" s="1">
        <v>0</v>
      </c>
      <c r="N988" s="1">
        <v>60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 t="s">
        <v>49</v>
      </c>
      <c r="AA988" s="1" t="s">
        <v>49</v>
      </c>
      <c r="AB988" s="1" t="s">
        <v>49</v>
      </c>
      <c r="AC988" s="1" t="s">
        <v>1715</v>
      </c>
      <c r="AD988" s="1" t="s">
        <v>1716</v>
      </c>
      <c r="AE988" s="1" t="s">
        <v>1715</v>
      </c>
      <c r="AF988" s="1" t="s">
        <v>1717</v>
      </c>
      <c r="AG988" s="1" t="s">
        <v>53</v>
      </c>
      <c r="AH988" s="1" t="s">
        <v>49</v>
      </c>
      <c r="AI988" s="1" t="s">
        <v>54</v>
      </c>
      <c r="AJ988" s="1">
        <v>1</v>
      </c>
      <c r="AK988" s="1" t="str">
        <f t="shared" si="15"/>
        <v xml:space="preserve"> =&lt;90</v>
      </c>
      <c r="AL988" s="1" t="str">
        <f>VLOOKUP(C:C,[1]基础信息!B$1:D$65536,3,0)</f>
        <v>Jug</v>
      </c>
      <c r="AM988" s="1" t="str">
        <f>VLOOKUP(C:C,[1]基础信息!B$1:E$65536,4,0)</f>
        <v>Kalea XL ME4W</v>
      </c>
      <c r="AN988" s="1" t="str">
        <f>VLOOKUP(C:C,[1]基础信息!B$1:F$65536,5,0)</f>
        <v>grey</v>
      </c>
    </row>
    <row r="989" spans="1:40">
      <c r="A989" s="1" t="s">
        <v>41</v>
      </c>
      <c r="B989" s="1" t="s">
        <v>42</v>
      </c>
      <c r="C989" s="1" t="s">
        <v>1710</v>
      </c>
      <c r="D989" s="1" t="s">
        <v>1711</v>
      </c>
      <c r="E989" s="1" t="s">
        <v>45</v>
      </c>
      <c r="F989" s="1" t="s">
        <v>1712</v>
      </c>
      <c r="G989" s="1" t="s">
        <v>2364</v>
      </c>
      <c r="H989" s="1" t="s">
        <v>2365</v>
      </c>
      <c r="I989" s="1" t="s">
        <v>49</v>
      </c>
      <c r="J989" s="1" t="s">
        <v>48</v>
      </c>
      <c r="K989" s="1">
        <v>60</v>
      </c>
      <c r="L989" s="1">
        <v>0</v>
      </c>
      <c r="M989" s="1">
        <v>0</v>
      </c>
      <c r="N989" s="1">
        <v>60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 t="s">
        <v>49</v>
      </c>
      <c r="AA989" s="1" t="s">
        <v>49</v>
      </c>
      <c r="AB989" s="1" t="s">
        <v>49</v>
      </c>
      <c r="AC989" s="1" t="s">
        <v>1715</v>
      </c>
      <c r="AD989" s="1" t="s">
        <v>1716</v>
      </c>
      <c r="AE989" s="1" t="s">
        <v>1715</v>
      </c>
      <c r="AF989" s="1" t="s">
        <v>1717</v>
      </c>
      <c r="AG989" s="1" t="s">
        <v>53</v>
      </c>
      <c r="AH989" s="1" t="s">
        <v>49</v>
      </c>
      <c r="AI989" s="1" t="s">
        <v>54</v>
      </c>
      <c r="AJ989" s="1">
        <v>1</v>
      </c>
      <c r="AK989" s="1" t="str">
        <f t="shared" si="15"/>
        <v xml:space="preserve"> =&lt;90</v>
      </c>
      <c r="AL989" s="1" t="str">
        <f>VLOOKUP(C:C,[1]基础信息!B$1:D$65536,3,0)</f>
        <v>Jug</v>
      </c>
      <c r="AM989" s="1" t="str">
        <f>VLOOKUP(C:C,[1]基础信息!B$1:E$65536,4,0)</f>
        <v>Kalea XL ME4W</v>
      </c>
      <c r="AN989" s="1" t="str">
        <f>VLOOKUP(C:C,[1]基础信息!B$1:F$65536,5,0)</f>
        <v>grey</v>
      </c>
    </row>
    <row r="990" spans="1:40">
      <c r="A990" s="1" t="s">
        <v>41</v>
      </c>
      <c r="B990" s="1" t="s">
        <v>42</v>
      </c>
      <c r="C990" s="1" t="s">
        <v>969</v>
      </c>
      <c r="D990" s="1" t="s">
        <v>970</v>
      </c>
      <c r="E990" s="1" t="s">
        <v>45</v>
      </c>
      <c r="F990" s="1" t="s">
        <v>2265</v>
      </c>
      <c r="G990" s="1" t="s">
        <v>2366</v>
      </c>
      <c r="H990" s="1" t="s">
        <v>2367</v>
      </c>
      <c r="I990" s="1" t="s">
        <v>49</v>
      </c>
      <c r="J990" s="1" t="s">
        <v>48</v>
      </c>
      <c r="K990" s="1">
        <v>80</v>
      </c>
      <c r="L990" s="1">
        <v>0</v>
      </c>
      <c r="M990" s="1">
        <v>0</v>
      </c>
      <c r="N990" s="1">
        <v>80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 t="s">
        <v>49</v>
      </c>
      <c r="AA990" s="1" t="s">
        <v>49</v>
      </c>
      <c r="AB990" s="1" t="s">
        <v>49</v>
      </c>
      <c r="AC990" s="1" t="s">
        <v>128</v>
      </c>
      <c r="AD990" s="1" t="s">
        <v>129</v>
      </c>
      <c r="AE990" s="1" t="s">
        <v>128</v>
      </c>
      <c r="AF990" s="1" t="s">
        <v>975</v>
      </c>
      <c r="AG990" s="1" t="s">
        <v>53</v>
      </c>
      <c r="AH990" s="1" t="s">
        <v>49</v>
      </c>
      <c r="AI990" s="1" t="s">
        <v>54</v>
      </c>
      <c r="AJ990" s="1">
        <v>1</v>
      </c>
      <c r="AK990" s="1" t="str">
        <f t="shared" si="15"/>
        <v xml:space="preserve"> =&lt;90</v>
      </c>
      <c r="AL990" s="1" t="str">
        <f>VLOOKUP(C:C,[1]基础信息!B$1:D$65536,3,0)</f>
        <v>Jug</v>
      </c>
      <c r="AM990" s="1" t="str">
        <f>VLOOKUP(C:C,[1]基础信息!B$1:E$65536,4,0)</f>
        <v>Mxplus</v>
      </c>
      <c r="AN990" s="1" t="str">
        <f>VLOOKUP(C:C,[1]基础信息!B$1:F$65536,5,0)</f>
        <v xml:space="preserve"> blue</v>
      </c>
    </row>
    <row r="991" spans="1:40">
      <c r="A991" s="1" t="s">
        <v>41</v>
      </c>
      <c r="B991" s="1" t="s">
        <v>42</v>
      </c>
      <c r="C991" s="1" t="s">
        <v>1710</v>
      </c>
      <c r="D991" s="1" t="s">
        <v>1711</v>
      </c>
      <c r="E991" s="1" t="s">
        <v>45</v>
      </c>
      <c r="F991" s="1" t="s">
        <v>1712</v>
      </c>
      <c r="G991" s="1" t="s">
        <v>2368</v>
      </c>
      <c r="H991" s="1" t="s">
        <v>2369</v>
      </c>
      <c r="I991" s="1" t="s">
        <v>49</v>
      </c>
      <c r="J991" s="1" t="s">
        <v>48</v>
      </c>
      <c r="K991" s="1">
        <v>60</v>
      </c>
      <c r="L991" s="1">
        <v>0</v>
      </c>
      <c r="M991" s="1">
        <v>0</v>
      </c>
      <c r="N991" s="1">
        <v>60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 t="s">
        <v>49</v>
      </c>
      <c r="AA991" s="1" t="s">
        <v>49</v>
      </c>
      <c r="AB991" s="1" t="s">
        <v>49</v>
      </c>
      <c r="AC991" s="1" t="s">
        <v>1715</v>
      </c>
      <c r="AD991" s="1" t="s">
        <v>1716</v>
      </c>
      <c r="AE991" s="1" t="s">
        <v>1715</v>
      </c>
      <c r="AF991" s="1" t="s">
        <v>1717</v>
      </c>
      <c r="AG991" s="1" t="s">
        <v>53</v>
      </c>
      <c r="AH991" s="1" t="s">
        <v>49</v>
      </c>
      <c r="AI991" s="1" t="s">
        <v>54</v>
      </c>
      <c r="AJ991" s="1">
        <v>1</v>
      </c>
      <c r="AK991" s="1" t="str">
        <f t="shared" si="15"/>
        <v xml:space="preserve"> =&lt;90</v>
      </c>
      <c r="AL991" s="1" t="str">
        <f>VLOOKUP(C:C,[1]基础信息!B$1:D$65536,3,0)</f>
        <v>Jug</v>
      </c>
      <c r="AM991" s="1" t="str">
        <f>VLOOKUP(C:C,[1]基础信息!B$1:E$65536,4,0)</f>
        <v>Kalea XL ME4W</v>
      </c>
      <c r="AN991" s="1" t="str">
        <f>VLOOKUP(C:C,[1]基础信息!B$1:F$65536,5,0)</f>
        <v>grey</v>
      </c>
    </row>
    <row r="992" spans="1:40">
      <c r="A992" s="1" t="s">
        <v>41</v>
      </c>
      <c r="B992" s="1" t="s">
        <v>42</v>
      </c>
      <c r="C992" s="1" t="s">
        <v>1710</v>
      </c>
      <c r="D992" s="1" t="s">
        <v>1711</v>
      </c>
      <c r="E992" s="1" t="s">
        <v>45</v>
      </c>
      <c r="F992" s="1" t="s">
        <v>1712</v>
      </c>
      <c r="G992" s="1" t="s">
        <v>2370</v>
      </c>
      <c r="H992" s="1" t="s">
        <v>2371</v>
      </c>
      <c r="I992" s="1" t="s">
        <v>49</v>
      </c>
      <c r="J992" s="1" t="s">
        <v>48</v>
      </c>
      <c r="K992" s="1">
        <v>60</v>
      </c>
      <c r="L992" s="1">
        <v>0</v>
      </c>
      <c r="M992" s="1">
        <v>0</v>
      </c>
      <c r="N992" s="1">
        <v>60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 t="s">
        <v>49</v>
      </c>
      <c r="AA992" s="1" t="s">
        <v>49</v>
      </c>
      <c r="AB992" s="1" t="s">
        <v>49</v>
      </c>
      <c r="AC992" s="1" t="s">
        <v>1715</v>
      </c>
      <c r="AD992" s="1" t="s">
        <v>1716</v>
      </c>
      <c r="AE992" s="1" t="s">
        <v>1715</v>
      </c>
      <c r="AF992" s="1" t="s">
        <v>1717</v>
      </c>
      <c r="AG992" s="1" t="s">
        <v>53</v>
      </c>
      <c r="AH992" s="1" t="s">
        <v>49</v>
      </c>
      <c r="AI992" s="1" t="s">
        <v>54</v>
      </c>
      <c r="AJ992" s="1">
        <v>1</v>
      </c>
      <c r="AK992" s="1" t="str">
        <f t="shared" si="15"/>
        <v xml:space="preserve"> =&lt;90</v>
      </c>
      <c r="AL992" s="1" t="str">
        <f>VLOOKUP(C:C,[1]基础信息!B$1:D$65536,3,0)</f>
        <v>Jug</v>
      </c>
      <c r="AM992" s="1" t="str">
        <f>VLOOKUP(C:C,[1]基础信息!B$1:E$65536,4,0)</f>
        <v>Kalea XL ME4W</v>
      </c>
      <c r="AN992" s="1" t="str">
        <f>VLOOKUP(C:C,[1]基础信息!B$1:F$65536,5,0)</f>
        <v>grey</v>
      </c>
    </row>
    <row r="993" spans="1:40">
      <c r="A993" s="1" t="s">
        <v>41</v>
      </c>
      <c r="B993" s="1" t="s">
        <v>42</v>
      </c>
      <c r="C993" s="1" t="s">
        <v>969</v>
      </c>
      <c r="D993" s="1" t="s">
        <v>970</v>
      </c>
      <c r="E993" s="1" t="s">
        <v>45</v>
      </c>
      <c r="F993" s="1" t="s">
        <v>2265</v>
      </c>
      <c r="G993" s="1" t="s">
        <v>2372</v>
      </c>
      <c r="H993" s="1" t="s">
        <v>2373</v>
      </c>
      <c r="I993" s="1" t="s">
        <v>49</v>
      </c>
      <c r="J993" s="1" t="s">
        <v>48</v>
      </c>
      <c r="K993" s="1">
        <v>80</v>
      </c>
      <c r="L993" s="1">
        <v>0</v>
      </c>
      <c r="M993" s="1">
        <v>0</v>
      </c>
      <c r="N993" s="1">
        <v>80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 t="s">
        <v>49</v>
      </c>
      <c r="AA993" s="1" t="s">
        <v>49</v>
      </c>
      <c r="AB993" s="1" t="s">
        <v>49</v>
      </c>
      <c r="AC993" s="1" t="s">
        <v>128</v>
      </c>
      <c r="AD993" s="1" t="s">
        <v>129</v>
      </c>
      <c r="AE993" s="1" t="s">
        <v>128</v>
      </c>
      <c r="AF993" s="1" t="s">
        <v>975</v>
      </c>
      <c r="AG993" s="1" t="s">
        <v>53</v>
      </c>
      <c r="AH993" s="1" t="s">
        <v>49</v>
      </c>
      <c r="AI993" s="1" t="s">
        <v>54</v>
      </c>
      <c r="AJ993" s="1">
        <v>1</v>
      </c>
      <c r="AK993" s="1" t="str">
        <f t="shared" si="15"/>
        <v xml:space="preserve"> =&lt;90</v>
      </c>
      <c r="AL993" s="1" t="str">
        <f>VLOOKUP(C:C,[1]基础信息!B$1:D$65536,3,0)</f>
        <v>Jug</v>
      </c>
      <c r="AM993" s="1" t="str">
        <f>VLOOKUP(C:C,[1]基础信息!B$1:E$65536,4,0)</f>
        <v>Mxplus</v>
      </c>
      <c r="AN993" s="1" t="str">
        <f>VLOOKUP(C:C,[1]基础信息!B$1:F$65536,5,0)</f>
        <v xml:space="preserve"> blue</v>
      </c>
    </row>
    <row r="994" spans="1:40">
      <c r="A994" s="1" t="s">
        <v>41</v>
      </c>
      <c r="B994" s="1" t="s">
        <v>42</v>
      </c>
      <c r="C994" s="1" t="s">
        <v>56</v>
      </c>
      <c r="D994" s="1" t="s">
        <v>57</v>
      </c>
      <c r="E994" s="1" t="s">
        <v>45</v>
      </c>
      <c r="F994" s="1" t="s">
        <v>1096</v>
      </c>
      <c r="G994" s="1" t="s">
        <v>2374</v>
      </c>
      <c r="H994" s="1" t="s">
        <v>2375</v>
      </c>
      <c r="I994" s="1" t="s">
        <v>49</v>
      </c>
      <c r="J994" s="1" t="s">
        <v>48</v>
      </c>
      <c r="K994" s="1">
        <v>72</v>
      </c>
      <c r="L994" s="1">
        <v>0</v>
      </c>
      <c r="M994" s="1">
        <v>0</v>
      </c>
      <c r="N994" s="1">
        <v>72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 t="s">
        <v>49</v>
      </c>
      <c r="AA994" s="1" t="s">
        <v>49</v>
      </c>
      <c r="AB994" s="1" t="s">
        <v>49</v>
      </c>
      <c r="AC994" s="1" t="s">
        <v>938</v>
      </c>
      <c r="AD994" s="1" t="s">
        <v>939</v>
      </c>
      <c r="AE994" s="1" t="s">
        <v>938</v>
      </c>
      <c r="AF994" s="1" t="s">
        <v>1099</v>
      </c>
      <c r="AG994" s="1" t="s">
        <v>53</v>
      </c>
      <c r="AH994" s="1" t="s">
        <v>49</v>
      </c>
      <c r="AI994" s="1" t="s">
        <v>54</v>
      </c>
      <c r="AJ994" s="1">
        <v>1</v>
      </c>
      <c r="AK994" s="1" t="str">
        <f t="shared" si="15"/>
        <v xml:space="preserve"> =&lt;90</v>
      </c>
      <c r="AL994" s="1" t="str">
        <f>VLOOKUP(C:C,[1]基础信息!B$1:D$65536,3,0)</f>
        <v>Jug</v>
      </c>
      <c r="AM994" s="1" t="str">
        <f>VLOOKUP(C:C,[1]基础信息!B$1:E$65536,4,0)</f>
        <v>Marella XL</v>
      </c>
      <c r="AN994" s="1" t="str">
        <f>VLOOKUP(C:C,[1]基础信息!B$1:F$65536,5,0)</f>
        <v>Blue</v>
      </c>
    </row>
    <row r="995" spans="1:40">
      <c r="A995" s="1" t="s">
        <v>41</v>
      </c>
      <c r="B995" s="1" t="s">
        <v>42</v>
      </c>
      <c r="C995" s="1" t="s">
        <v>969</v>
      </c>
      <c r="D995" s="1" t="s">
        <v>970</v>
      </c>
      <c r="E995" s="1" t="s">
        <v>45</v>
      </c>
      <c r="F995" s="1" t="s">
        <v>2265</v>
      </c>
      <c r="G995" s="1" t="s">
        <v>2376</v>
      </c>
      <c r="H995" s="1" t="s">
        <v>2377</v>
      </c>
      <c r="I995" s="1" t="s">
        <v>49</v>
      </c>
      <c r="J995" s="1" t="s">
        <v>48</v>
      </c>
      <c r="K995" s="1">
        <v>80</v>
      </c>
      <c r="L995" s="1">
        <v>0</v>
      </c>
      <c r="M995" s="1">
        <v>0</v>
      </c>
      <c r="N995" s="1">
        <v>80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 t="s">
        <v>49</v>
      </c>
      <c r="AA995" s="1" t="s">
        <v>49</v>
      </c>
      <c r="AB995" s="1" t="s">
        <v>49</v>
      </c>
      <c r="AC995" s="1" t="s">
        <v>128</v>
      </c>
      <c r="AD995" s="1" t="s">
        <v>129</v>
      </c>
      <c r="AE995" s="1" t="s">
        <v>128</v>
      </c>
      <c r="AF995" s="1" t="s">
        <v>975</v>
      </c>
      <c r="AG995" s="1" t="s">
        <v>53</v>
      </c>
      <c r="AH995" s="1" t="s">
        <v>49</v>
      </c>
      <c r="AI995" s="1" t="s">
        <v>54</v>
      </c>
      <c r="AJ995" s="1">
        <v>1</v>
      </c>
      <c r="AK995" s="1" t="str">
        <f t="shared" si="15"/>
        <v xml:space="preserve"> =&lt;90</v>
      </c>
      <c r="AL995" s="1" t="str">
        <f>VLOOKUP(C:C,[1]基础信息!B$1:D$65536,3,0)</f>
        <v>Jug</v>
      </c>
      <c r="AM995" s="1" t="str">
        <f>VLOOKUP(C:C,[1]基础信息!B$1:E$65536,4,0)</f>
        <v>Mxplus</v>
      </c>
      <c r="AN995" s="1" t="str">
        <f>VLOOKUP(C:C,[1]基础信息!B$1:F$65536,5,0)</f>
        <v xml:space="preserve"> blue</v>
      </c>
    </row>
    <row r="996" spans="1:40">
      <c r="A996" s="1" t="s">
        <v>41</v>
      </c>
      <c r="B996" s="1" t="s">
        <v>42</v>
      </c>
      <c r="C996" s="1" t="s">
        <v>56</v>
      </c>
      <c r="D996" s="1" t="s">
        <v>57</v>
      </c>
      <c r="E996" s="1" t="s">
        <v>45</v>
      </c>
      <c r="F996" s="1" t="s">
        <v>1096</v>
      </c>
      <c r="G996" s="1" t="s">
        <v>2378</v>
      </c>
      <c r="H996" s="1" t="s">
        <v>2379</v>
      </c>
      <c r="I996" s="1" t="s">
        <v>49</v>
      </c>
      <c r="J996" s="1" t="s">
        <v>48</v>
      </c>
      <c r="K996" s="1">
        <v>72</v>
      </c>
      <c r="L996" s="1">
        <v>0</v>
      </c>
      <c r="M996" s="1">
        <v>0</v>
      </c>
      <c r="N996" s="1">
        <v>72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 t="s">
        <v>49</v>
      </c>
      <c r="AA996" s="1" t="s">
        <v>49</v>
      </c>
      <c r="AB996" s="1" t="s">
        <v>49</v>
      </c>
      <c r="AC996" s="1" t="s">
        <v>938</v>
      </c>
      <c r="AD996" s="1" t="s">
        <v>939</v>
      </c>
      <c r="AE996" s="1" t="s">
        <v>938</v>
      </c>
      <c r="AF996" s="1" t="s">
        <v>1099</v>
      </c>
      <c r="AG996" s="1" t="s">
        <v>53</v>
      </c>
      <c r="AH996" s="1" t="s">
        <v>49</v>
      </c>
      <c r="AI996" s="1" t="s">
        <v>54</v>
      </c>
      <c r="AJ996" s="1">
        <v>1</v>
      </c>
      <c r="AK996" s="1" t="str">
        <f t="shared" si="15"/>
        <v xml:space="preserve"> =&lt;90</v>
      </c>
      <c r="AL996" s="1" t="str">
        <f>VLOOKUP(C:C,[1]基础信息!B$1:D$65536,3,0)</f>
        <v>Jug</v>
      </c>
      <c r="AM996" s="1" t="str">
        <f>VLOOKUP(C:C,[1]基础信息!B$1:E$65536,4,0)</f>
        <v>Marella XL</v>
      </c>
      <c r="AN996" s="1" t="str">
        <f>VLOOKUP(C:C,[1]基础信息!B$1:F$65536,5,0)</f>
        <v>Blue</v>
      </c>
    </row>
    <row r="997" spans="1:40">
      <c r="A997" s="1" t="s">
        <v>41</v>
      </c>
      <c r="B997" s="1" t="s">
        <v>42</v>
      </c>
      <c r="C997" s="1" t="s">
        <v>969</v>
      </c>
      <c r="D997" s="1" t="s">
        <v>970</v>
      </c>
      <c r="E997" s="1" t="s">
        <v>45</v>
      </c>
      <c r="F997" s="1" t="s">
        <v>2265</v>
      </c>
      <c r="G997" s="1" t="s">
        <v>2380</v>
      </c>
      <c r="H997" s="1" t="s">
        <v>2381</v>
      </c>
      <c r="I997" s="1" t="s">
        <v>49</v>
      </c>
      <c r="J997" s="1" t="s">
        <v>48</v>
      </c>
      <c r="K997" s="1">
        <v>80</v>
      </c>
      <c r="L997" s="1">
        <v>0</v>
      </c>
      <c r="M997" s="1">
        <v>0</v>
      </c>
      <c r="N997" s="1">
        <v>80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 t="s">
        <v>49</v>
      </c>
      <c r="AA997" s="1" t="s">
        <v>49</v>
      </c>
      <c r="AB997" s="1" t="s">
        <v>49</v>
      </c>
      <c r="AC997" s="1" t="s">
        <v>128</v>
      </c>
      <c r="AD997" s="1" t="s">
        <v>129</v>
      </c>
      <c r="AE997" s="1" t="s">
        <v>128</v>
      </c>
      <c r="AF997" s="1" t="s">
        <v>975</v>
      </c>
      <c r="AG997" s="1" t="s">
        <v>53</v>
      </c>
      <c r="AH997" s="1" t="s">
        <v>49</v>
      </c>
      <c r="AI997" s="1" t="s">
        <v>54</v>
      </c>
      <c r="AJ997" s="1">
        <v>1</v>
      </c>
      <c r="AK997" s="1" t="str">
        <f t="shared" si="15"/>
        <v xml:space="preserve"> =&lt;90</v>
      </c>
      <c r="AL997" s="1" t="str">
        <f>VLOOKUP(C:C,[1]基础信息!B$1:D$65536,3,0)</f>
        <v>Jug</v>
      </c>
      <c r="AM997" s="1" t="str">
        <f>VLOOKUP(C:C,[1]基础信息!B$1:E$65536,4,0)</f>
        <v>Mxplus</v>
      </c>
      <c r="AN997" s="1" t="str">
        <f>VLOOKUP(C:C,[1]基础信息!B$1:F$65536,5,0)</f>
        <v xml:space="preserve"> blue</v>
      </c>
    </row>
    <row r="998" spans="1:40">
      <c r="A998" s="1" t="s">
        <v>41</v>
      </c>
      <c r="B998" s="1" t="s">
        <v>42</v>
      </c>
      <c r="C998" s="1" t="s">
        <v>969</v>
      </c>
      <c r="D998" s="1" t="s">
        <v>970</v>
      </c>
      <c r="E998" s="1" t="s">
        <v>45</v>
      </c>
      <c r="F998" s="1" t="s">
        <v>2265</v>
      </c>
      <c r="G998" s="1" t="s">
        <v>2382</v>
      </c>
      <c r="H998" s="1" t="s">
        <v>2383</v>
      </c>
      <c r="I998" s="1" t="s">
        <v>49</v>
      </c>
      <c r="J998" s="1" t="s">
        <v>48</v>
      </c>
      <c r="K998" s="1">
        <v>80</v>
      </c>
      <c r="L998" s="1">
        <v>0</v>
      </c>
      <c r="M998" s="1">
        <v>0</v>
      </c>
      <c r="N998" s="1">
        <v>80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 t="s">
        <v>49</v>
      </c>
      <c r="AA998" s="1" t="s">
        <v>49</v>
      </c>
      <c r="AB998" s="1" t="s">
        <v>49</v>
      </c>
      <c r="AC998" s="1" t="s">
        <v>128</v>
      </c>
      <c r="AD998" s="1" t="s">
        <v>129</v>
      </c>
      <c r="AE998" s="1" t="s">
        <v>128</v>
      </c>
      <c r="AF998" s="1" t="s">
        <v>975</v>
      </c>
      <c r="AG998" s="1" t="s">
        <v>53</v>
      </c>
      <c r="AH998" s="1" t="s">
        <v>49</v>
      </c>
      <c r="AI998" s="1" t="s">
        <v>54</v>
      </c>
      <c r="AJ998" s="1">
        <v>1</v>
      </c>
      <c r="AK998" s="1" t="str">
        <f t="shared" si="15"/>
        <v xml:space="preserve"> =&lt;90</v>
      </c>
      <c r="AL998" s="1" t="str">
        <f>VLOOKUP(C:C,[1]基础信息!B$1:D$65536,3,0)</f>
        <v>Jug</v>
      </c>
      <c r="AM998" s="1" t="str">
        <f>VLOOKUP(C:C,[1]基础信息!B$1:E$65536,4,0)</f>
        <v>Mxplus</v>
      </c>
      <c r="AN998" s="1" t="str">
        <f>VLOOKUP(C:C,[1]基础信息!B$1:F$65536,5,0)</f>
        <v xml:space="preserve"> blue</v>
      </c>
    </row>
    <row r="999" spans="1:40">
      <c r="A999" s="1" t="s">
        <v>41</v>
      </c>
      <c r="B999" s="1" t="s">
        <v>42</v>
      </c>
      <c r="C999" s="1" t="s">
        <v>969</v>
      </c>
      <c r="D999" s="1" t="s">
        <v>970</v>
      </c>
      <c r="E999" s="1" t="s">
        <v>45</v>
      </c>
      <c r="F999" s="1" t="s">
        <v>2265</v>
      </c>
      <c r="G999" s="1" t="s">
        <v>2384</v>
      </c>
      <c r="H999" s="1" t="s">
        <v>2385</v>
      </c>
      <c r="I999" s="1" t="s">
        <v>49</v>
      </c>
      <c r="J999" s="1" t="s">
        <v>48</v>
      </c>
      <c r="K999" s="1">
        <v>80</v>
      </c>
      <c r="L999" s="1">
        <v>0</v>
      </c>
      <c r="M999" s="1">
        <v>0</v>
      </c>
      <c r="N999" s="1">
        <v>80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 t="s">
        <v>49</v>
      </c>
      <c r="AA999" s="1" t="s">
        <v>49</v>
      </c>
      <c r="AB999" s="1" t="s">
        <v>49</v>
      </c>
      <c r="AC999" s="1" t="s">
        <v>128</v>
      </c>
      <c r="AD999" s="1" t="s">
        <v>129</v>
      </c>
      <c r="AE999" s="1" t="s">
        <v>128</v>
      </c>
      <c r="AF999" s="1" t="s">
        <v>975</v>
      </c>
      <c r="AG999" s="1" t="s">
        <v>53</v>
      </c>
      <c r="AH999" s="1" t="s">
        <v>49</v>
      </c>
      <c r="AI999" s="1" t="s">
        <v>54</v>
      </c>
      <c r="AJ999" s="1">
        <v>1</v>
      </c>
      <c r="AK999" s="1" t="str">
        <f t="shared" si="15"/>
        <v xml:space="preserve"> =&lt;90</v>
      </c>
      <c r="AL999" s="1" t="str">
        <f>VLOOKUP(C:C,[1]基础信息!B$1:D$65536,3,0)</f>
        <v>Jug</v>
      </c>
      <c r="AM999" s="1" t="str">
        <f>VLOOKUP(C:C,[1]基础信息!B$1:E$65536,4,0)</f>
        <v>Mxplus</v>
      </c>
      <c r="AN999" s="1" t="str">
        <f>VLOOKUP(C:C,[1]基础信息!B$1:F$65536,5,0)</f>
        <v xml:space="preserve"> blue</v>
      </c>
    </row>
    <row r="1000" spans="1:40">
      <c r="A1000" s="1" t="s">
        <v>41</v>
      </c>
      <c r="B1000" s="1" t="s">
        <v>42</v>
      </c>
      <c r="C1000" s="1" t="s">
        <v>969</v>
      </c>
      <c r="D1000" s="1" t="s">
        <v>970</v>
      </c>
      <c r="E1000" s="1" t="s">
        <v>45</v>
      </c>
      <c r="F1000" s="1" t="s">
        <v>2265</v>
      </c>
      <c r="G1000" s="1" t="s">
        <v>2386</v>
      </c>
      <c r="H1000" s="1" t="s">
        <v>2387</v>
      </c>
      <c r="I1000" s="1" t="s">
        <v>49</v>
      </c>
      <c r="J1000" s="1" t="s">
        <v>48</v>
      </c>
      <c r="K1000" s="1">
        <v>80</v>
      </c>
      <c r="L1000" s="1">
        <v>0</v>
      </c>
      <c r="M1000" s="1">
        <v>0</v>
      </c>
      <c r="N1000" s="1">
        <v>80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 t="s">
        <v>49</v>
      </c>
      <c r="AA1000" s="1" t="s">
        <v>49</v>
      </c>
      <c r="AB1000" s="1" t="s">
        <v>49</v>
      </c>
      <c r="AC1000" s="1" t="s">
        <v>128</v>
      </c>
      <c r="AD1000" s="1" t="s">
        <v>129</v>
      </c>
      <c r="AE1000" s="1" t="s">
        <v>128</v>
      </c>
      <c r="AF1000" s="1" t="s">
        <v>975</v>
      </c>
      <c r="AG1000" s="1" t="s">
        <v>53</v>
      </c>
      <c r="AH1000" s="1" t="s">
        <v>49</v>
      </c>
      <c r="AI1000" s="1" t="s">
        <v>54</v>
      </c>
      <c r="AJ1000" s="1">
        <v>1</v>
      </c>
      <c r="AK1000" s="1" t="str">
        <f t="shared" si="15"/>
        <v xml:space="preserve"> =&lt;90</v>
      </c>
      <c r="AL1000" s="1" t="str">
        <f>VLOOKUP(C:C,[1]基础信息!B$1:D$65536,3,0)</f>
        <v>Jug</v>
      </c>
      <c r="AM1000" s="1" t="str">
        <f>VLOOKUP(C:C,[1]基础信息!B$1:E$65536,4,0)</f>
        <v>Mxplus</v>
      </c>
      <c r="AN1000" s="1" t="str">
        <f>VLOOKUP(C:C,[1]基础信息!B$1:F$65536,5,0)</f>
        <v xml:space="preserve"> blue</v>
      </c>
    </row>
    <row r="1001" spans="1:40">
      <c r="A1001" s="1" t="s">
        <v>41</v>
      </c>
      <c r="B1001" s="1" t="s">
        <v>42</v>
      </c>
      <c r="C1001" s="1" t="s">
        <v>969</v>
      </c>
      <c r="D1001" s="1" t="s">
        <v>970</v>
      </c>
      <c r="E1001" s="1" t="s">
        <v>45</v>
      </c>
      <c r="F1001" s="1" t="s">
        <v>2265</v>
      </c>
      <c r="G1001" s="1" t="s">
        <v>2388</v>
      </c>
      <c r="H1001" s="1" t="s">
        <v>2389</v>
      </c>
      <c r="I1001" s="1" t="s">
        <v>49</v>
      </c>
      <c r="J1001" s="1" t="s">
        <v>48</v>
      </c>
      <c r="K1001" s="1">
        <v>80</v>
      </c>
      <c r="L1001" s="1">
        <v>0</v>
      </c>
      <c r="M1001" s="1">
        <v>0</v>
      </c>
      <c r="N1001" s="1">
        <v>80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 t="s">
        <v>49</v>
      </c>
      <c r="AA1001" s="1" t="s">
        <v>49</v>
      </c>
      <c r="AB1001" s="1" t="s">
        <v>49</v>
      </c>
      <c r="AC1001" s="1" t="s">
        <v>128</v>
      </c>
      <c r="AD1001" s="1" t="s">
        <v>129</v>
      </c>
      <c r="AE1001" s="1" t="s">
        <v>128</v>
      </c>
      <c r="AF1001" s="1" t="s">
        <v>975</v>
      </c>
      <c r="AG1001" s="1" t="s">
        <v>53</v>
      </c>
      <c r="AH1001" s="1" t="s">
        <v>49</v>
      </c>
      <c r="AI1001" s="1" t="s">
        <v>54</v>
      </c>
      <c r="AJ1001" s="1">
        <v>1</v>
      </c>
      <c r="AK1001" s="1" t="str">
        <f t="shared" si="15"/>
        <v xml:space="preserve"> =&lt;90</v>
      </c>
      <c r="AL1001" s="1" t="str">
        <f>VLOOKUP(C:C,[1]基础信息!B$1:D$65536,3,0)</f>
        <v>Jug</v>
      </c>
      <c r="AM1001" s="1" t="str">
        <f>VLOOKUP(C:C,[1]基础信息!B$1:E$65536,4,0)</f>
        <v>Mxplus</v>
      </c>
      <c r="AN1001" s="1" t="str">
        <f>VLOOKUP(C:C,[1]基础信息!B$1:F$65536,5,0)</f>
        <v xml:space="preserve"> blue</v>
      </c>
    </row>
    <row r="1002" spans="1:40">
      <c r="A1002" s="1" t="s">
        <v>41</v>
      </c>
      <c r="B1002" s="1" t="s">
        <v>42</v>
      </c>
      <c r="C1002" s="1" t="s">
        <v>56</v>
      </c>
      <c r="D1002" s="1" t="s">
        <v>57</v>
      </c>
      <c r="E1002" s="1" t="s">
        <v>45</v>
      </c>
      <c r="F1002" s="1" t="s">
        <v>1096</v>
      </c>
      <c r="G1002" s="1" t="s">
        <v>2390</v>
      </c>
      <c r="H1002" s="1" t="s">
        <v>2391</v>
      </c>
      <c r="I1002" s="1" t="s">
        <v>49</v>
      </c>
      <c r="J1002" s="1" t="s">
        <v>48</v>
      </c>
      <c r="K1002" s="1">
        <v>72</v>
      </c>
      <c r="L1002" s="1">
        <v>0</v>
      </c>
      <c r="M1002" s="1">
        <v>0</v>
      </c>
      <c r="N1002" s="1">
        <v>72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 t="s">
        <v>49</v>
      </c>
      <c r="AA1002" s="1" t="s">
        <v>49</v>
      </c>
      <c r="AB1002" s="1" t="s">
        <v>49</v>
      </c>
      <c r="AC1002" s="1" t="s">
        <v>938</v>
      </c>
      <c r="AD1002" s="1" t="s">
        <v>939</v>
      </c>
      <c r="AE1002" s="1" t="s">
        <v>938</v>
      </c>
      <c r="AF1002" s="1" t="s">
        <v>1099</v>
      </c>
      <c r="AG1002" s="1" t="s">
        <v>53</v>
      </c>
      <c r="AH1002" s="1" t="s">
        <v>49</v>
      </c>
      <c r="AI1002" s="1" t="s">
        <v>54</v>
      </c>
      <c r="AJ1002" s="1">
        <v>1</v>
      </c>
      <c r="AK1002" s="1" t="str">
        <f t="shared" si="15"/>
        <v xml:space="preserve"> =&lt;90</v>
      </c>
      <c r="AL1002" s="1" t="str">
        <f>VLOOKUP(C:C,[1]基础信息!B$1:D$65536,3,0)</f>
        <v>Jug</v>
      </c>
      <c r="AM1002" s="1" t="str">
        <f>VLOOKUP(C:C,[1]基础信息!B$1:E$65536,4,0)</f>
        <v>Marella XL</v>
      </c>
      <c r="AN1002" s="1" t="str">
        <f>VLOOKUP(C:C,[1]基础信息!B$1:F$65536,5,0)</f>
        <v>Blue</v>
      </c>
    </row>
    <row r="1003" spans="1:40">
      <c r="A1003" s="1" t="s">
        <v>41</v>
      </c>
      <c r="B1003" s="1" t="s">
        <v>42</v>
      </c>
      <c r="C1003" s="1" t="s">
        <v>969</v>
      </c>
      <c r="D1003" s="1" t="s">
        <v>970</v>
      </c>
      <c r="E1003" s="1" t="s">
        <v>45</v>
      </c>
      <c r="F1003" s="1" t="s">
        <v>2265</v>
      </c>
      <c r="G1003" s="1" t="s">
        <v>2392</v>
      </c>
      <c r="H1003" s="1" t="s">
        <v>2393</v>
      </c>
      <c r="I1003" s="1" t="s">
        <v>49</v>
      </c>
      <c r="J1003" s="1" t="s">
        <v>48</v>
      </c>
      <c r="K1003" s="1">
        <v>80</v>
      </c>
      <c r="L1003" s="1">
        <v>0</v>
      </c>
      <c r="M1003" s="1">
        <v>0</v>
      </c>
      <c r="N1003" s="1">
        <v>80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 t="s">
        <v>49</v>
      </c>
      <c r="AA1003" s="1" t="s">
        <v>49</v>
      </c>
      <c r="AB1003" s="1" t="s">
        <v>49</v>
      </c>
      <c r="AC1003" s="1" t="s">
        <v>128</v>
      </c>
      <c r="AD1003" s="1" t="s">
        <v>129</v>
      </c>
      <c r="AE1003" s="1" t="s">
        <v>128</v>
      </c>
      <c r="AF1003" s="1" t="s">
        <v>975</v>
      </c>
      <c r="AG1003" s="1" t="s">
        <v>53</v>
      </c>
      <c r="AH1003" s="1" t="s">
        <v>49</v>
      </c>
      <c r="AI1003" s="1" t="s">
        <v>54</v>
      </c>
      <c r="AJ1003" s="1">
        <v>1</v>
      </c>
      <c r="AK1003" s="1" t="str">
        <f t="shared" si="15"/>
        <v xml:space="preserve"> =&lt;90</v>
      </c>
      <c r="AL1003" s="1" t="str">
        <f>VLOOKUP(C:C,[1]基础信息!B$1:D$65536,3,0)</f>
        <v>Jug</v>
      </c>
      <c r="AM1003" s="1" t="str">
        <f>VLOOKUP(C:C,[1]基础信息!B$1:E$65536,4,0)</f>
        <v>Mxplus</v>
      </c>
      <c r="AN1003" s="1" t="str">
        <f>VLOOKUP(C:C,[1]基础信息!B$1:F$65536,5,0)</f>
        <v xml:space="preserve"> blue</v>
      </c>
    </row>
    <row r="1004" spans="1:40">
      <c r="A1004" s="1" t="s">
        <v>41</v>
      </c>
      <c r="B1004" s="1" t="s">
        <v>42</v>
      </c>
      <c r="C1004" s="1" t="s">
        <v>285</v>
      </c>
      <c r="D1004" s="1" t="s">
        <v>286</v>
      </c>
      <c r="E1004" s="1" t="s">
        <v>45</v>
      </c>
      <c r="F1004" s="1" t="s">
        <v>1548</v>
      </c>
      <c r="G1004" s="1" t="s">
        <v>2394</v>
      </c>
      <c r="H1004" s="1" t="s">
        <v>2395</v>
      </c>
      <c r="I1004" s="1" t="s">
        <v>49</v>
      </c>
      <c r="J1004" s="1" t="s">
        <v>48</v>
      </c>
      <c r="K1004" s="1">
        <v>70</v>
      </c>
      <c r="L1004" s="1">
        <v>0</v>
      </c>
      <c r="M1004" s="1">
        <v>0</v>
      </c>
      <c r="N1004" s="1">
        <v>70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 t="s">
        <v>49</v>
      </c>
      <c r="AA1004" s="1" t="s">
        <v>49</v>
      </c>
      <c r="AB1004" s="1" t="s">
        <v>49</v>
      </c>
      <c r="AC1004" s="1" t="s">
        <v>1551</v>
      </c>
      <c r="AD1004" s="1" t="s">
        <v>1552</v>
      </c>
      <c r="AE1004" s="1" t="s">
        <v>1551</v>
      </c>
      <c r="AF1004" s="1" t="s">
        <v>1553</v>
      </c>
      <c r="AG1004" s="1" t="s">
        <v>53</v>
      </c>
      <c r="AH1004" s="1" t="s">
        <v>49</v>
      </c>
      <c r="AI1004" s="1" t="s">
        <v>54</v>
      </c>
      <c r="AJ1004" s="1">
        <v>1</v>
      </c>
      <c r="AK1004" s="1" t="str">
        <f t="shared" si="15"/>
        <v xml:space="preserve"> =&lt;90</v>
      </c>
      <c r="AL1004" s="1" t="str">
        <f>VLOOKUP(C:C,[1]基础信息!B$1:D$65536,3,0)</f>
        <v>Jug</v>
      </c>
      <c r="AM1004" s="1" t="str">
        <f>VLOOKUP(C:C,[1]基础信息!B$1:E$65536,4,0)</f>
        <v>Marella XL</v>
      </c>
      <c r="AN1004" s="1" t="str">
        <f>VLOOKUP(C:C,[1]基础信息!B$1:F$65536,5,0)</f>
        <v>Blue</v>
      </c>
    </row>
    <row r="1005" spans="1:40">
      <c r="A1005" s="1" t="s">
        <v>41</v>
      </c>
      <c r="B1005" s="1" t="s">
        <v>42</v>
      </c>
      <c r="C1005" s="1" t="s">
        <v>969</v>
      </c>
      <c r="D1005" s="1" t="s">
        <v>970</v>
      </c>
      <c r="E1005" s="1" t="s">
        <v>45</v>
      </c>
      <c r="F1005" s="1" t="s">
        <v>2265</v>
      </c>
      <c r="G1005" s="1" t="s">
        <v>2396</v>
      </c>
      <c r="H1005" s="1" t="s">
        <v>2397</v>
      </c>
      <c r="I1005" s="1" t="s">
        <v>49</v>
      </c>
      <c r="J1005" s="1" t="s">
        <v>48</v>
      </c>
      <c r="K1005" s="1">
        <v>80</v>
      </c>
      <c r="L1005" s="1">
        <v>0</v>
      </c>
      <c r="M1005" s="1">
        <v>0</v>
      </c>
      <c r="N1005" s="1">
        <v>80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 t="s">
        <v>49</v>
      </c>
      <c r="AA1005" s="1" t="s">
        <v>49</v>
      </c>
      <c r="AB1005" s="1" t="s">
        <v>49</v>
      </c>
      <c r="AC1005" s="1" t="s">
        <v>128</v>
      </c>
      <c r="AD1005" s="1" t="s">
        <v>129</v>
      </c>
      <c r="AE1005" s="1" t="s">
        <v>128</v>
      </c>
      <c r="AF1005" s="1" t="s">
        <v>975</v>
      </c>
      <c r="AG1005" s="1" t="s">
        <v>53</v>
      </c>
      <c r="AH1005" s="1" t="s">
        <v>49</v>
      </c>
      <c r="AI1005" s="1" t="s">
        <v>54</v>
      </c>
      <c r="AJ1005" s="1">
        <v>1</v>
      </c>
      <c r="AK1005" s="1" t="str">
        <f t="shared" si="15"/>
        <v xml:space="preserve"> =&lt;90</v>
      </c>
      <c r="AL1005" s="1" t="str">
        <f>VLOOKUP(C:C,[1]基础信息!B$1:D$65536,3,0)</f>
        <v>Jug</v>
      </c>
      <c r="AM1005" s="1" t="str">
        <f>VLOOKUP(C:C,[1]基础信息!B$1:E$65536,4,0)</f>
        <v>Mxplus</v>
      </c>
      <c r="AN1005" s="1" t="str">
        <f>VLOOKUP(C:C,[1]基础信息!B$1:F$65536,5,0)</f>
        <v xml:space="preserve"> blue</v>
      </c>
    </row>
    <row r="1006" spans="1:40">
      <c r="A1006" s="1" t="s">
        <v>41</v>
      </c>
      <c r="B1006" s="1" t="s">
        <v>42</v>
      </c>
      <c r="C1006" s="1" t="s">
        <v>56</v>
      </c>
      <c r="D1006" s="1" t="s">
        <v>57</v>
      </c>
      <c r="E1006" s="1" t="s">
        <v>45</v>
      </c>
      <c r="F1006" s="1" t="s">
        <v>1096</v>
      </c>
      <c r="G1006" s="1" t="s">
        <v>2398</v>
      </c>
      <c r="H1006" s="1" t="s">
        <v>2399</v>
      </c>
      <c r="I1006" s="1" t="s">
        <v>49</v>
      </c>
      <c r="J1006" s="1" t="s">
        <v>48</v>
      </c>
      <c r="K1006" s="1">
        <v>72</v>
      </c>
      <c r="L1006" s="1">
        <v>0</v>
      </c>
      <c r="M1006" s="1">
        <v>0</v>
      </c>
      <c r="N1006" s="1">
        <v>72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 t="s">
        <v>49</v>
      </c>
      <c r="AA1006" s="1" t="s">
        <v>49</v>
      </c>
      <c r="AB1006" s="1" t="s">
        <v>49</v>
      </c>
      <c r="AC1006" s="1" t="s">
        <v>938</v>
      </c>
      <c r="AD1006" s="1" t="s">
        <v>939</v>
      </c>
      <c r="AE1006" s="1" t="s">
        <v>938</v>
      </c>
      <c r="AF1006" s="1" t="s">
        <v>1099</v>
      </c>
      <c r="AG1006" s="1" t="s">
        <v>53</v>
      </c>
      <c r="AH1006" s="1" t="s">
        <v>49</v>
      </c>
      <c r="AI1006" s="1" t="s">
        <v>54</v>
      </c>
      <c r="AJ1006" s="1">
        <v>1</v>
      </c>
      <c r="AK1006" s="1" t="str">
        <f t="shared" si="15"/>
        <v xml:space="preserve"> =&lt;90</v>
      </c>
      <c r="AL1006" s="1" t="str">
        <f>VLOOKUP(C:C,[1]基础信息!B$1:D$65536,3,0)</f>
        <v>Jug</v>
      </c>
      <c r="AM1006" s="1" t="str">
        <f>VLOOKUP(C:C,[1]基础信息!B$1:E$65536,4,0)</f>
        <v>Marella XL</v>
      </c>
      <c r="AN1006" s="1" t="str">
        <f>VLOOKUP(C:C,[1]基础信息!B$1:F$65536,5,0)</f>
        <v>Blue</v>
      </c>
    </row>
    <row r="1007" spans="1:40">
      <c r="A1007" s="1" t="s">
        <v>41</v>
      </c>
      <c r="B1007" s="1" t="s">
        <v>42</v>
      </c>
      <c r="C1007" s="1" t="s">
        <v>2166</v>
      </c>
      <c r="D1007" s="1" t="s">
        <v>2167</v>
      </c>
      <c r="E1007" s="1" t="s">
        <v>45</v>
      </c>
      <c r="F1007" s="1" t="s">
        <v>2400</v>
      </c>
      <c r="G1007" s="1" t="s">
        <v>2401</v>
      </c>
      <c r="H1007" s="1" t="s">
        <v>2402</v>
      </c>
      <c r="I1007" s="1" t="s">
        <v>49</v>
      </c>
      <c r="J1007" s="1" t="s">
        <v>48</v>
      </c>
      <c r="K1007" s="1">
        <v>13</v>
      </c>
      <c r="L1007" s="1">
        <v>0</v>
      </c>
      <c r="M1007" s="1">
        <v>0</v>
      </c>
      <c r="N1007" s="1">
        <v>13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 t="s">
        <v>49</v>
      </c>
      <c r="AA1007" s="1" t="s">
        <v>49</v>
      </c>
      <c r="AB1007" s="1" t="s">
        <v>49</v>
      </c>
      <c r="AC1007" s="1" t="s">
        <v>2403</v>
      </c>
      <c r="AD1007" s="1" t="s">
        <v>2404</v>
      </c>
      <c r="AE1007" s="1" t="s">
        <v>2403</v>
      </c>
      <c r="AF1007" s="1" t="s">
        <v>2173</v>
      </c>
      <c r="AG1007" s="1" t="s">
        <v>53</v>
      </c>
      <c r="AH1007" s="1" t="s">
        <v>49</v>
      </c>
      <c r="AI1007" s="1" t="s">
        <v>54</v>
      </c>
      <c r="AJ1007" s="1">
        <v>1</v>
      </c>
      <c r="AK1007" s="1" t="str">
        <f t="shared" si="15"/>
        <v xml:space="preserve"> =&lt;90</v>
      </c>
      <c r="AL1007" s="1" t="str">
        <f>VLOOKUP(C:C,[1]基础信息!B$1:D$65536,3,0)</f>
        <v>UTS</v>
      </c>
      <c r="AM1007" s="1" t="str">
        <f>VLOOKUP(C:C,[1]基础信息!B$1:E$65536,4,0)</f>
        <v>RO</v>
      </c>
      <c r="AN1007" s="1" t="str">
        <f>VLOOKUP(C:C,[1]基础信息!B$1:F$65536,5,0)</f>
        <v>Starry Grey Color</v>
      </c>
    </row>
    <row r="1008" spans="1:40">
      <c r="A1008" s="1" t="s">
        <v>41</v>
      </c>
      <c r="B1008" s="1" t="s">
        <v>42</v>
      </c>
      <c r="C1008" s="1" t="s">
        <v>969</v>
      </c>
      <c r="D1008" s="1" t="s">
        <v>970</v>
      </c>
      <c r="E1008" s="1" t="s">
        <v>45</v>
      </c>
      <c r="F1008" s="1" t="s">
        <v>2265</v>
      </c>
      <c r="G1008" s="1" t="s">
        <v>2405</v>
      </c>
      <c r="H1008" s="1" t="s">
        <v>2406</v>
      </c>
      <c r="I1008" s="1" t="s">
        <v>49</v>
      </c>
      <c r="J1008" s="1" t="s">
        <v>48</v>
      </c>
      <c r="K1008" s="1">
        <v>80</v>
      </c>
      <c r="L1008" s="1">
        <v>0</v>
      </c>
      <c r="M1008" s="1">
        <v>0</v>
      </c>
      <c r="N1008" s="1">
        <v>80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 t="s">
        <v>49</v>
      </c>
      <c r="AA1008" s="1" t="s">
        <v>49</v>
      </c>
      <c r="AB1008" s="1" t="s">
        <v>49</v>
      </c>
      <c r="AC1008" s="1" t="s">
        <v>128</v>
      </c>
      <c r="AD1008" s="1" t="s">
        <v>129</v>
      </c>
      <c r="AE1008" s="1" t="s">
        <v>128</v>
      </c>
      <c r="AF1008" s="1" t="s">
        <v>975</v>
      </c>
      <c r="AG1008" s="1" t="s">
        <v>53</v>
      </c>
      <c r="AH1008" s="1" t="s">
        <v>49</v>
      </c>
      <c r="AI1008" s="1" t="s">
        <v>54</v>
      </c>
      <c r="AJ1008" s="1">
        <v>1</v>
      </c>
      <c r="AK1008" s="1" t="str">
        <f t="shared" si="15"/>
        <v xml:space="preserve"> =&lt;90</v>
      </c>
      <c r="AL1008" s="1" t="str">
        <f>VLOOKUP(C:C,[1]基础信息!B$1:D$65536,3,0)</f>
        <v>Jug</v>
      </c>
      <c r="AM1008" s="1" t="str">
        <f>VLOOKUP(C:C,[1]基础信息!B$1:E$65536,4,0)</f>
        <v>Mxplus</v>
      </c>
      <c r="AN1008" s="1" t="str">
        <f>VLOOKUP(C:C,[1]基础信息!B$1:F$65536,5,0)</f>
        <v xml:space="preserve"> blue</v>
      </c>
    </row>
    <row r="1009" spans="1:40">
      <c r="A1009" s="1" t="s">
        <v>41</v>
      </c>
      <c r="B1009" s="1" t="s">
        <v>42</v>
      </c>
      <c r="C1009" s="1" t="s">
        <v>285</v>
      </c>
      <c r="D1009" s="1" t="s">
        <v>286</v>
      </c>
      <c r="E1009" s="1" t="s">
        <v>45</v>
      </c>
      <c r="F1009" s="1" t="s">
        <v>1548</v>
      </c>
      <c r="G1009" s="1" t="s">
        <v>2407</v>
      </c>
      <c r="H1009" s="1" t="s">
        <v>2408</v>
      </c>
      <c r="I1009" s="1" t="s">
        <v>49</v>
      </c>
      <c r="J1009" s="1" t="s">
        <v>48</v>
      </c>
      <c r="K1009" s="1">
        <v>70</v>
      </c>
      <c r="L1009" s="1">
        <v>0</v>
      </c>
      <c r="M1009" s="1">
        <v>0</v>
      </c>
      <c r="N1009" s="1">
        <v>70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 t="s">
        <v>49</v>
      </c>
      <c r="AA1009" s="1" t="s">
        <v>49</v>
      </c>
      <c r="AB1009" s="1" t="s">
        <v>49</v>
      </c>
      <c r="AC1009" s="1" t="s">
        <v>1551</v>
      </c>
      <c r="AD1009" s="1" t="s">
        <v>1552</v>
      </c>
      <c r="AE1009" s="1" t="s">
        <v>1551</v>
      </c>
      <c r="AF1009" s="1" t="s">
        <v>1553</v>
      </c>
      <c r="AG1009" s="1" t="s">
        <v>53</v>
      </c>
      <c r="AH1009" s="1" t="s">
        <v>49</v>
      </c>
      <c r="AI1009" s="1" t="s">
        <v>54</v>
      </c>
      <c r="AJ1009" s="1">
        <v>1</v>
      </c>
      <c r="AK1009" s="1" t="str">
        <f t="shared" si="15"/>
        <v xml:space="preserve"> =&lt;90</v>
      </c>
      <c r="AL1009" s="1" t="str">
        <f>VLOOKUP(C:C,[1]基础信息!B$1:D$65536,3,0)</f>
        <v>Jug</v>
      </c>
      <c r="AM1009" s="1" t="str">
        <f>VLOOKUP(C:C,[1]基础信息!B$1:E$65536,4,0)</f>
        <v>Marella XL</v>
      </c>
      <c r="AN1009" s="1" t="str">
        <f>VLOOKUP(C:C,[1]基础信息!B$1:F$65536,5,0)</f>
        <v>Blue</v>
      </c>
    </row>
    <row r="1010" spans="1:40">
      <c r="A1010" s="1" t="s">
        <v>41</v>
      </c>
      <c r="B1010" s="1" t="s">
        <v>42</v>
      </c>
      <c r="C1010" s="1" t="s">
        <v>969</v>
      </c>
      <c r="D1010" s="1" t="s">
        <v>970</v>
      </c>
      <c r="E1010" s="1" t="s">
        <v>45</v>
      </c>
      <c r="F1010" s="1" t="s">
        <v>2265</v>
      </c>
      <c r="G1010" s="1" t="s">
        <v>2409</v>
      </c>
      <c r="H1010" s="1" t="s">
        <v>2410</v>
      </c>
      <c r="I1010" s="1" t="s">
        <v>49</v>
      </c>
      <c r="J1010" s="1" t="s">
        <v>48</v>
      </c>
      <c r="K1010" s="1">
        <v>60</v>
      </c>
      <c r="L1010" s="1">
        <v>0</v>
      </c>
      <c r="M1010" s="1">
        <v>0</v>
      </c>
      <c r="N1010" s="1">
        <v>60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 t="s">
        <v>49</v>
      </c>
      <c r="AA1010" s="1" t="s">
        <v>49</v>
      </c>
      <c r="AB1010" s="1" t="s">
        <v>49</v>
      </c>
      <c r="AC1010" s="1" t="s">
        <v>128</v>
      </c>
      <c r="AD1010" s="1" t="s">
        <v>129</v>
      </c>
      <c r="AE1010" s="1" t="s">
        <v>128</v>
      </c>
      <c r="AF1010" s="1" t="s">
        <v>975</v>
      </c>
      <c r="AG1010" s="1" t="s">
        <v>53</v>
      </c>
      <c r="AH1010" s="1" t="s">
        <v>49</v>
      </c>
      <c r="AI1010" s="1" t="s">
        <v>54</v>
      </c>
      <c r="AJ1010" s="1">
        <v>1</v>
      </c>
      <c r="AK1010" s="1" t="str">
        <f t="shared" si="15"/>
        <v xml:space="preserve"> =&lt;90</v>
      </c>
      <c r="AL1010" s="1" t="str">
        <f>VLOOKUP(C:C,[1]基础信息!B$1:D$65536,3,0)</f>
        <v>Jug</v>
      </c>
      <c r="AM1010" s="1" t="str">
        <f>VLOOKUP(C:C,[1]基础信息!B$1:E$65536,4,0)</f>
        <v>Mxplus</v>
      </c>
      <c r="AN1010" s="1" t="str">
        <f>VLOOKUP(C:C,[1]基础信息!B$1:F$65536,5,0)</f>
        <v xml:space="preserve"> blue</v>
      </c>
    </row>
    <row r="1011" spans="1:40">
      <c r="A1011" s="1" t="s">
        <v>41</v>
      </c>
      <c r="B1011" s="1" t="s">
        <v>42</v>
      </c>
      <c r="C1011" s="1" t="s">
        <v>285</v>
      </c>
      <c r="D1011" s="1" t="s">
        <v>286</v>
      </c>
      <c r="E1011" s="1" t="s">
        <v>45</v>
      </c>
      <c r="F1011" s="1" t="s">
        <v>2411</v>
      </c>
      <c r="G1011" s="1" t="s">
        <v>2412</v>
      </c>
      <c r="H1011" s="1" t="s">
        <v>2413</v>
      </c>
      <c r="I1011" s="1" t="s">
        <v>49</v>
      </c>
      <c r="J1011" s="1" t="s">
        <v>48</v>
      </c>
      <c r="K1011" s="1">
        <v>70</v>
      </c>
      <c r="L1011" s="1">
        <v>0</v>
      </c>
      <c r="M1011" s="1">
        <v>0</v>
      </c>
      <c r="N1011" s="1">
        <v>70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 t="s">
        <v>49</v>
      </c>
      <c r="AA1011" s="1" t="s">
        <v>49</v>
      </c>
      <c r="AB1011" s="1" t="s">
        <v>49</v>
      </c>
      <c r="AC1011" s="1" t="s">
        <v>1551</v>
      </c>
      <c r="AD1011" s="1" t="s">
        <v>1552</v>
      </c>
      <c r="AE1011" s="1" t="s">
        <v>1551</v>
      </c>
      <c r="AF1011" s="1" t="s">
        <v>2414</v>
      </c>
      <c r="AG1011" s="1" t="s">
        <v>53</v>
      </c>
      <c r="AH1011" s="1" t="s">
        <v>49</v>
      </c>
      <c r="AI1011" s="1" t="s">
        <v>54</v>
      </c>
      <c r="AJ1011" s="1">
        <v>1</v>
      </c>
      <c r="AK1011" s="1" t="str">
        <f t="shared" si="15"/>
        <v xml:space="preserve"> =&lt;90</v>
      </c>
      <c r="AL1011" s="1" t="str">
        <f>VLOOKUP(C:C,[1]基础信息!B$1:D$65536,3,0)</f>
        <v>Jug</v>
      </c>
      <c r="AM1011" s="1" t="str">
        <f>VLOOKUP(C:C,[1]基础信息!B$1:E$65536,4,0)</f>
        <v>Marella XL</v>
      </c>
      <c r="AN1011" s="1" t="str">
        <f>VLOOKUP(C:C,[1]基础信息!B$1:F$65536,5,0)</f>
        <v>Blue</v>
      </c>
    </row>
    <row r="1012" spans="1:40">
      <c r="A1012" s="1" t="s">
        <v>41</v>
      </c>
      <c r="B1012" s="1" t="s">
        <v>42</v>
      </c>
      <c r="C1012" s="1" t="s">
        <v>285</v>
      </c>
      <c r="D1012" s="1" t="s">
        <v>286</v>
      </c>
      <c r="E1012" s="1" t="s">
        <v>45</v>
      </c>
      <c r="F1012" s="1" t="s">
        <v>2411</v>
      </c>
      <c r="G1012" s="1" t="s">
        <v>2415</v>
      </c>
      <c r="H1012" s="1" t="s">
        <v>2416</v>
      </c>
      <c r="I1012" s="1" t="s">
        <v>49</v>
      </c>
      <c r="J1012" s="1" t="s">
        <v>48</v>
      </c>
      <c r="K1012" s="1">
        <v>70</v>
      </c>
      <c r="L1012" s="1">
        <v>0</v>
      </c>
      <c r="M1012" s="1">
        <v>0</v>
      </c>
      <c r="N1012" s="1">
        <v>70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 t="s">
        <v>49</v>
      </c>
      <c r="AA1012" s="1" t="s">
        <v>49</v>
      </c>
      <c r="AB1012" s="1" t="s">
        <v>49</v>
      </c>
      <c r="AC1012" s="1" t="s">
        <v>1551</v>
      </c>
      <c r="AD1012" s="1" t="s">
        <v>1552</v>
      </c>
      <c r="AE1012" s="1" t="s">
        <v>1551</v>
      </c>
      <c r="AF1012" s="1" t="s">
        <v>2414</v>
      </c>
      <c r="AG1012" s="1" t="s">
        <v>53</v>
      </c>
      <c r="AH1012" s="1" t="s">
        <v>49</v>
      </c>
      <c r="AI1012" s="1" t="s">
        <v>54</v>
      </c>
      <c r="AJ1012" s="1">
        <v>1</v>
      </c>
      <c r="AK1012" s="1" t="str">
        <f t="shared" si="15"/>
        <v xml:space="preserve"> =&lt;90</v>
      </c>
      <c r="AL1012" s="1" t="str">
        <f>VLOOKUP(C:C,[1]基础信息!B$1:D$65536,3,0)</f>
        <v>Jug</v>
      </c>
      <c r="AM1012" s="1" t="str">
        <f>VLOOKUP(C:C,[1]基础信息!B$1:E$65536,4,0)</f>
        <v>Marella XL</v>
      </c>
      <c r="AN1012" s="1" t="str">
        <f>VLOOKUP(C:C,[1]基础信息!B$1:F$65536,5,0)</f>
        <v>Blue</v>
      </c>
    </row>
    <row r="1013" spans="1:40">
      <c r="A1013" s="1" t="s">
        <v>41</v>
      </c>
      <c r="B1013" s="1" t="s">
        <v>42</v>
      </c>
      <c r="C1013" s="1" t="s">
        <v>285</v>
      </c>
      <c r="D1013" s="1" t="s">
        <v>286</v>
      </c>
      <c r="E1013" s="1" t="s">
        <v>45</v>
      </c>
      <c r="F1013" s="1" t="s">
        <v>2411</v>
      </c>
      <c r="G1013" s="1" t="s">
        <v>2417</v>
      </c>
      <c r="H1013" s="1" t="s">
        <v>2418</v>
      </c>
      <c r="I1013" s="1" t="s">
        <v>49</v>
      </c>
      <c r="J1013" s="1" t="s">
        <v>48</v>
      </c>
      <c r="K1013" s="1">
        <v>70</v>
      </c>
      <c r="L1013" s="1">
        <v>0</v>
      </c>
      <c r="M1013" s="1">
        <v>0</v>
      </c>
      <c r="N1013" s="1">
        <v>70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 t="s">
        <v>49</v>
      </c>
      <c r="AA1013" s="1" t="s">
        <v>49</v>
      </c>
      <c r="AB1013" s="1" t="s">
        <v>49</v>
      </c>
      <c r="AC1013" s="1" t="s">
        <v>1551</v>
      </c>
      <c r="AD1013" s="1" t="s">
        <v>1552</v>
      </c>
      <c r="AE1013" s="1" t="s">
        <v>1551</v>
      </c>
      <c r="AF1013" s="1" t="s">
        <v>2414</v>
      </c>
      <c r="AG1013" s="1" t="s">
        <v>53</v>
      </c>
      <c r="AH1013" s="1" t="s">
        <v>49</v>
      </c>
      <c r="AI1013" s="1" t="s">
        <v>54</v>
      </c>
      <c r="AJ1013" s="1">
        <v>1</v>
      </c>
      <c r="AK1013" s="1" t="str">
        <f t="shared" si="15"/>
        <v xml:space="preserve"> =&lt;90</v>
      </c>
      <c r="AL1013" s="1" t="str">
        <f>VLOOKUP(C:C,[1]基础信息!B$1:D$65536,3,0)</f>
        <v>Jug</v>
      </c>
      <c r="AM1013" s="1" t="str">
        <f>VLOOKUP(C:C,[1]基础信息!B$1:E$65536,4,0)</f>
        <v>Marella XL</v>
      </c>
      <c r="AN1013" s="1" t="str">
        <f>VLOOKUP(C:C,[1]基础信息!B$1:F$65536,5,0)</f>
        <v>Blue</v>
      </c>
    </row>
    <row r="1014" spans="1:40">
      <c r="A1014" s="1" t="s">
        <v>41</v>
      </c>
      <c r="B1014" s="1" t="s">
        <v>42</v>
      </c>
      <c r="C1014" s="1" t="s">
        <v>208</v>
      </c>
      <c r="D1014" s="1" t="s">
        <v>209</v>
      </c>
      <c r="E1014" s="1" t="s">
        <v>208</v>
      </c>
      <c r="F1014" s="1" t="s">
        <v>1734</v>
      </c>
      <c r="G1014" s="1" t="s">
        <v>2419</v>
      </c>
      <c r="H1014" s="1" t="s">
        <v>2420</v>
      </c>
      <c r="I1014" s="1" t="s">
        <v>49</v>
      </c>
      <c r="J1014" s="1" t="s">
        <v>48</v>
      </c>
      <c r="K1014" s="1">
        <v>80</v>
      </c>
      <c r="L1014" s="1">
        <v>0</v>
      </c>
      <c r="M1014" s="1">
        <v>0</v>
      </c>
      <c r="N1014" s="1">
        <v>80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 t="s">
        <v>49</v>
      </c>
      <c r="AA1014" s="1" t="s">
        <v>49</v>
      </c>
      <c r="AB1014" s="1" t="s">
        <v>49</v>
      </c>
      <c r="AC1014" s="1" t="s">
        <v>376</v>
      </c>
      <c r="AD1014" s="1" t="s">
        <v>377</v>
      </c>
      <c r="AE1014" s="1" t="s">
        <v>376</v>
      </c>
      <c r="AF1014" s="1" t="s">
        <v>1414</v>
      </c>
      <c r="AG1014" s="1" t="s">
        <v>53</v>
      </c>
      <c r="AH1014" s="1" t="s">
        <v>49</v>
      </c>
      <c r="AI1014" s="1" t="s">
        <v>54</v>
      </c>
      <c r="AJ1014" s="1">
        <v>1</v>
      </c>
      <c r="AK1014" s="1" t="str">
        <f t="shared" si="15"/>
        <v xml:space="preserve"> =&lt;90</v>
      </c>
      <c r="AL1014" s="1" t="str">
        <f>VLOOKUP(C:C,[1]基础信息!B$1:D$65536,3,0)</f>
        <v>Jug</v>
      </c>
      <c r="AM1014" s="1" t="str">
        <f>VLOOKUP(C:C,[1]基础信息!B$1:E$65536,4,0)</f>
        <v>MXpl</v>
      </c>
      <c r="AN1014" s="1" t="str">
        <f>VLOOKUP(C:C,[1]基础信息!B$1:F$65536,5,0)</f>
        <v>grey</v>
      </c>
    </row>
    <row r="1015" spans="1:40">
      <c r="A1015" s="1" t="s">
        <v>41</v>
      </c>
      <c r="B1015" s="1" t="s">
        <v>42</v>
      </c>
      <c r="C1015" s="1" t="s">
        <v>56</v>
      </c>
      <c r="D1015" s="1" t="s">
        <v>57</v>
      </c>
      <c r="E1015" s="1" t="s">
        <v>45</v>
      </c>
      <c r="F1015" s="1" t="s">
        <v>1096</v>
      </c>
      <c r="G1015" s="1" t="s">
        <v>2421</v>
      </c>
      <c r="H1015" s="1" t="s">
        <v>2422</v>
      </c>
      <c r="I1015" s="1" t="s">
        <v>49</v>
      </c>
      <c r="J1015" s="1" t="s">
        <v>48</v>
      </c>
      <c r="K1015" s="1">
        <v>72</v>
      </c>
      <c r="L1015" s="1">
        <v>0</v>
      </c>
      <c r="M1015" s="1">
        <v>0</v>
      </c>
      <c r="N1015" s="1">
        <v>72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 t="s">
        <v>49</v>
      </c>
      <c r="AA1015" s="1" t="s">
        <v>49</v>
      </c>
      <c r="AB1015" s="1" t="s">
        <v>49</v>
      </c>
      <c r="AC1015" s="1" t="s">
        <v>938</v>
      </c>
      <c r="AD1015" s="1" t="s">
        <v>939</v>
      </c>
      <c r="AE1015" s="1" t="s">
        <v>938</v>
      </c>
      <c r="AF1015" s="1" t="s">
        <v>1099</v>
      </c>
      <c r="AG1015" s="1" t="s">
        <v>53</v>
      </c>
      <c r="AH1015" s="1" t="s">
        <v>49</v>
      </c>
      <c r="AI1015" s="1" t="s">
        <v>54</v>
      </c>
      <c r="AJ1015" s="1">
        <v>1</v>
      </c>
      <c r="AK1015" s="1" t="str">
        <f t="shared" si="15"/>
        <v xml:space="preserve"> =&lt;90</v>
      </c>
      <c r="AL1015" s="1" t="str">
        <f>VLOOKUP(C:C,[1]基础信息!B$1:D$65536,3,0)</f>
        <v>Jug</v>
      </c>
      <c r="AM1015" s="1" t="str">
        <f>VLOOKUP(C:C,[1]基础信息!B$1:E$65536,4,0)</f>
        <v>Marella XL</v>
      </c>
      <c r="AN1015" s="1" t="str">
        <f>VLOOKUP(C:C,[1]基础信息!B$1:F$65536,5,0)</f>
        <v>Blue</v>
      </c>
    </row>
    <row r="1016" spans="1:40">
      <c r="A1016" s="1" t="s">
        <v>41</v>
      </c>
      <c r="B1016" s="1" t="s">
        <v>42</v>
      </c>
      <c r="C1016" s="1" t="s">
        <v>208</v>
      </c>
      <c r="D1016" s="1" t="s">
        <v>209</v>
      </c>
      <c r="E1016" s="1" t="s">
        <v>208</v>
      </c>
      <c r="F1016" s="1" t="s">
        <v>1734</v>
      </c>
      <c r="G1016" s="1" t="s">
        <v>2423</v>
      </c>
      <c r="H1016" s="1" t="s">
        <v>2424</v>
      </c>
      <c r="I1016" s="1" t="s">
        <v>49</v>
      </c>
      <c r="J1016" s="1" t="s">
        <v>48</v>
      </c>
      <c r="K1016" s="1">
        <v>80</v>
      </c>
      <c r="L1016" s="1">
        <v>0</v>
      </c>
      <c r="M1016" s="1">
        <v>0</v>
      </c>
      <c r="N1016" s="1">
        <v>80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 t="s">
        <v>49</v>
      </c>
      <c r="AA1016" s="1" t="s">
        <v>49</v>
      </c>
      <c r="AB1016" s="1" t="s">
        <v>49</v>
      </c>
      <c r="AC1016" s="1" t="s">
        <v>376</v>
      </c>
      <c r="AD1016" s="1" t="s">
        <v>377</v>
      </c>
      <c r="AE1016" s="1" t="s">
        <v>376</v>
      </c>
      <c r="AF1016" s="1" t="s">
        <v>1414</v>
      </c>
      <c r="AG1016" s="1" t="s">
        <v>53</v>
      </c>
      <c r="AH1016" s="1" t="s">
        <v>49</v>
      </c>
      <c r="AI1016" s="1" t="s">
        <v>54</v>
      </c>
      <c r="AJ1016" s="1">
        <v>1</v>
      </c>
      <c r="AK1016" s="1" t="str">
        <f t="shared" si="15"/>
        <v xml:space="preserve"> =&lt;90</v>
      </c>
      <c r="AL1016" s="1" t="str">
        <f>VLOOKUP(C:C,[1]基础信息!B$1:D$65536,3,0)</f>
        <v>Jug</v>
      </c>
      <c r="AM1016" s="1" t="str">
        <f>VLOOKUP(C:C,[1]基础信息!B$1:E$65536,4,0)</f>
        <v>MXpl</v>
      </c>
      <c r="AN1016" s="1" t="str">
        <f>VLOOKUP(C:C,[1]基础信息!B$1:F$65536,5,0)</f>
        <v>grey</v>
      </c>
    </row>
    <row r="1017" spans="1:40">
      <c r="A1017" s="1" t="s">
        <v>41</v>
      </c>
      <c r="B1017" s="1" t="s">
        <v>42</v>
      </c>
      <c r="C1017" s="1" t="s">
        <v>208</v>
      </c>
      <c r="D1017" s="1" t="s">
        <v>209</v>
      </c>
      <c r="E1017" s="1" t="s">
        <v>208</v>
      </c>
      <c r="F1017" s="1" t="s">
        <v>1734</v>
      </c>
      <c r="G1017" s="1" t="s">
        <v>2425</v>
      </c>
      <c r="H1017" s="1" t="s">
        <v>2426</v>
      </c>
      <c r="I1017" s="1" t="s">
        <v>49</v>
      </c>
      <c r="J1017" s="1" t="s">
        <v>48</v>
      </c>
      <c r="K1017" s="1">
        <v>80</v>
      </c>
      <c r="L1017" s="1">
        <v>0</v>
      </c>
      <c r="M1017" s="1">
        <v>0</v>
      </c>
      <c r="N1017" s="1">
        <v>80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 t="s">
        <v>49</v>
      </c>
      <c r="AA1017" s="1" t="s">
        <v>49</v>
      </c>
      <c r="AB1017" s="1" t="s">
        <v>49</v>
      </c>
      <c r="AC1017" s="1" t="s">
        <v>376</v>
      </c>
      <c r="AD1017" s="1" t="s">
        <v>377</v>
      </c>
      <c r="AE1017" s="1" t="s">
        <v>376</v>
      </c>
      <c r="AF1017" s="1" t="s">
        <v>1414</v>
      </c>
      <c r="AG1017" s="1" t="s">
        <v>53</v>
      </c>
      <c r="AH1017" s="1" t="s">
        <v>49</v>
      </c>
      <c r="AI1017" s="1" t="s">
        <v>54</v>
      </c>
      <c r="AJ1017" s="1">
        <v>1</v>
      </c>
      <c r="AK1017" s="1" t="str">
        <f t="shared" si="15"/>
        <v xml:space="preserve"> =&lt;90</v>
      </c>
      <c r="AL1017" s="1" t="str">
        <f>VLOOKUP(C:C,[1]基础信息!B$1:D$65536,3,0)</f>
        <v>Jug</v>
      </c>
      <c r="AM1017" s="1" t="str">
        <f>VLOOKUP(C:C,[1]基础信息!B$1:E$65536,4,0)</f>
        <v>MXpl</v>
      </c>
      <c r="AN1017" s="1" t="str">
        <f>VLOOKUP(C:C,[1]基础信息!B$1:F$65536,5,0)</f>
        <v>grey</v>
      </c>
    </row>
    <row r="1018" spans="1:40">
      <c r="A1018" s="1" t="s">
        <v>41</v>
      </c>
      <c r="B1018" s="1" t="s">
        <v>42</v>
      </c>
      <c r="C1018" s="1" t="s">
        <v>208</v>
      </c>
      <c r="D1018" s="1" t="s">
        <v>209</v>
      </c>
      <c r="E1018" s="1" t="s">
        <v>208</v>
      </c>
      <c r="F1018" s="1" t="s">
        <v>1734</v>
      </c>
      <c r="G1018" s="1" t="s">
        <v>2427</v>
      </c>
      <c r="H1018" s="1" t="s">
        <v>2428</v>
      </c>
      <c r="I1018" s="1" t="s">
        <v>49</v>
      </c>
      <c r="J1018" s="1" t="s">
        <v>48</v>
      </c>
      <c r="K1018" s="1">
        <v>80</v>
      </c>
      <c r="L1018" s="1">
        <v>0</v>
      </c>
      <c r="M1018" s="1">
        <v>0</v>
      </c>
      <c r="N1018" s="1">
        <v>80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 t="s">
        <v>49</v>
      </c>
      <c r="AA1018" s="1" t="s">
        <v>49</v>
      </c>
      <c r="AB1018" s="1" t="s">
        <v>49</v>
      </c>
      <c r="AC1018" s="1" t="s">
        <v>376</v>
      </c>
      <c r="AD1018" s="1" t="s">
        <v>377</v>
      </c>
      <c r="AE1018" s="1" t="s">
        <v>376</v>
      </c>
      <c r="AF1018" s="1" t="s">
        <v>1414</v>
      </c>
      <c r="AG1018" s="1" t="s">
        <v>53</v>
      </c>
      <c r="AH1018" s="1" t="s">
        <v>49</v>
      </c>
      <c r="AI1018" s="1" t="s">
        <v>54</v>
      </c>
      <c r="AJ1018" s="1">
        <v>1</v>
      </c>
      <c r="AK1018" s="1" t="str">
        <f t="shared" si="15"/>
        <v xml:space="preserve"> =&lt;90</v>
      </c>
      <c r="AL1018" s="1" t="str">
        <f>VLOOKUP(C:C,[1]基础信息!B$1:D$65536,3,0)</f>
        <v>Jug</v>
      </c>
      <c r="AM1018" s="1" t="str">
        <f>VLOOKUP(C:C,[1]基础信息!B$1:E$65536,4,0)</f>
        <v>MXpl</v>
      </c>
      <c r="AN1018" s="1" t="str">
        <f>VLOOKUP(C:C,[1]基础信息!B$1:F$65536,5,0)</f>
        <v>grey</v>
      </c>
    </row>
    <row r="1019" spans="1:40">
      <c r="A1019" s="1" t="s">
        <v>41</v>
      </c>
      <c r="B1019" s="1" t="s">
        <v>42</v>
      </c>
      <c r="C1019" s="1" t="s">
        <v>56</v>
      </c>
      <c r="D1019" s="1" t="s">
        <v>57</v>
      </c>
      <c r="E1019" s="1" t="s">
        <v>45</v>
      </c>
      <c r="F1019" s="1" t="s">
        <v>1096</v>
      </c>
      <c r="G1019" s="1" t="s">
        <v>2429</v>
      </c>
      <c r="H1019" s="1" t="s">
        <v>2430</v>
      </c>
      <c r="I1019" s="1" t="s">
        <v>49</v>
      </c>
      <c r="J1019" s="1" t="s">
        <v>48</v>
      </c>
      <c r="K1019" s="1">
        <v>72</v>
      </c>
      <c r="L1019" s="1">
        <v>0</v>
      </c>
      <c r="M1019" s="1">
        <v>0</v>
      </c>
      <c r="N1019" s="1">
        <v>72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 t="s">
        <v>49</v>
      </c>
      <c r="AA1019" s="1" t="s">
        <v>49</v>
      </c>
      <c r="AB1019" s="1" t="s">
        <v>49</v>
      </c>
      <c r="AC1019" s="1" t="s">
        <v>938</v>
      </c>
      <c r="AD1019" s="1" t="s">
        <v>939</v>
      </c>
      <c r="AE1019" s="1" t="s">
        <v>938</v>
      </c>
      <c r="AF1019" s="1" t="s">
        <v>1099</v>
      </c>
      <c r="AG1019" s="1" t="s">
        <v>53</v>
      </c>
      <c r="AH1019" s="1" t="s">
        <v>49</v>
      </c>
      <c r="AI1019" s="1" t="s">
        <v>54</v>
      </c>
      <c r="AJ1019" s="1">
        <v>1</v>
      </c>
      <c r="AK1019" s="1" t="str">
        <f t="shared" si="15"/>
        <v xml:space="preserve"> =&lt;90</v>
      </c>
      <c r="AL1019" s="1" t="str">
        <f>VLOOKUP(C:C,[1]基础信息!B$1:D$65536,3,0)</f>
        <v>Jug</v>
      </c>
      <c r="AM1019" s="1" t="str">
        <f>VLOOKUP(C:C,[1]基础信息!B$1:E$65536,4,0)</f>
        <v>Marella XL</v>
      </c>
      <c r="AN1019" s="1" t="str">
        <f>VLOOKUP(C:C,[1]基础信息!B$1:F$65536,5,0)</f>
        <v>Blue</v>
      </c>
    </row>
    <row r="1020" spans="1:40">
      <c r="A1020" s="1" t="s">
        <v>41</v>
      </c>
      <c r="B1020" s="1" t="s">
        <v>42</v>
      </c>
      <c r="C1020" s="1" t="s">
        <v>56</v>
      </c>
      <c r="D1020" s="1" t="s">
        <v>57</v>
      </c>
      <c r="E1020" s="1" t="s">
        <v>45</v>
      </c>
      <c r="F1020" s="1" t="s">
        <v>1096</v>
      </c>
      <c r="G1020" s="1" t="s">
        <v>2431</v>
      </c>
      <c r="H1020" s="1" t="s">
        <v>2432</v>
      </c>
      <c r="I1020" s="1" t="s">
        <v>49</v>
      </c>
      <c r="J1020" s="1" t="s">
        <v>48</v>
      </c>
      <c r="K1020" s="1">
        <v>72</v>
      </c>
      <c r="L1020" s="1">
        <v>0</v>
      </c>
      <c r="M1020" s="1">
        <v>0</v>
      </c>
      <c r="N1020" s="1">
        <v>72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 t="s">
        <v>49</v>
      </c>
      <c r="AA1020" s="1" t="s">
        <v>49</v>
      </c>
      <c r="AB1020" s="1" t="s">
        <v>49</v>
      </c>
      <c r="AC1020" s="1" t="s">
        <v>938</v>
      </c>
      <c r="AD1020" s="1" t="s">
        <v>939</v>
      </c>
      <c r="AE1020" s="1" t="s">
        <v>938</v>
      </c>
      <c r="AF1020" s="1" t="s">
        <v>1099</v>
      </c>
      <c r="AG1020" s="1" t="s">
        <v>53</v>
      </c>
      <c r="AH1020" s="1" t="s">
        <v>49</v>
      </c>
      <c r="AI1020" s="1" t="s">
        <v>54</v>
      </c>
      <c r="AJ1020" s="1">
        <v>1</v>
      </c>
      <c r="AK1020" s="1" t="str">
        <f t="shared" si="15"/>
        <v xml:space="preserve"> =&lt;90</v>
      </c>
      <c r="AL1020" s="1" t="str">
        <f>VLOOKUP(C:C,[1]基础信息!B$1:D$65536,3,0)</f>
        <v>Jug</v>
      </c>
      <c r="AM1020" s="1" t="str">
        <f>VLOOKUP(C:C,[1]基础信息!B$1:E$65536,4,0)</f>
        <v>Marella XL</v>
      </c>
      <c r="AN1020" s="1" t="str">
        <f>VLOOKUP(C:C,[1]基础信息!B$1:F$65536,5,0)</f>
        <v>Blue</v>
      </c>
    </row>
    <row r="1021" spans="1:40">
      <c r="A1021" s="1" t="s">
        <v>41</v>
      </c>
      <c r="B1021" s="1" t="s">
        <v>42</v>
      </c>
      <c r="C1021" s="1" t="s">
        <v>56</v>
      </c>
      <c r="D1021" s="1" t="s">
        <v>57</v>
      </c>
      <c r="E1021" s="1" t="s">
        <v>45</v>
      </c>
      <c r="F1021" s="1" t="s">
        <v>1096</v>
      </c>
      <c r="G1021" s="1" t="s">
        <v>2433</v>
      </c>
      <c r="H1021" s="1" t="s">
        <v>2434</v>
      </c>
      <c r="I1021" s="1" t="s">
        <v>49</v>
      </c>
      <c r="J1021" s="1" t="s">
        <v>48</v>
      </c>
      <c r="K1021" s="1">
        <v>72</v>
      </c>
      <c r="L1021" s="1">
        <v>0</v>
      </c>
      <c r="M1021" s="1">
        <v>0</v>
      </c>
      <c r="N1021" s="1">
        <v>72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 t="s">
        <v>49</v>
      </c>
      <c r="AA1021" s="1" t="s">
        <v>49</v>
      </c>
      <c r="AB1021" s="1" t="s">
        <v>49</v>
      </c>
      <c r="AC1021" s="1" t="s">
        <v>938</v>
      </c>
      <c r="AD1021" s="1" t="s">
        <v>939</v>
      </c>
      <c r="AE1021" s="1" t="s">
        <v>938</v>
      </c>
      <c r="AF1021" s="1" t="s">
        <v>1099</v>
      </c>
      <c r="AG1021" s="1" t="s">
        <v>53</v>
      </c>
      <c r="AH1021" s="1" t="s">
        <v>49</v>
      </c>
      <c r="AI1021" s="1" t="s">
        <v>54</v>
      </c>
      <c r="AJ1021" s="1">
        <v>1</v>
      </c>
      <c r="AK1021" s="1" t="str">
        <f t="shared" si="15"/>
        <v xml:space="preserve"> =&lt;90</v>
      </c>
      <c r="AL1021" s="1" t="str">
        <f>VLOOKUP(C:C,[1]基础信息!B$1:D$65536,3,0)</f>
        <v>Jug</v>
      </c>
      <c r="AM1021" s="1" t="str">
        <f>VLOOKUP(C:C,[1]基础信息!B$1:E$65536,4,0)</f>
        <v>Marella XL</v>
      </c>
      <c r="AN1021" s="1" t="str">
        <f>VLOOKUP(C:C,[1]基础信息!B$1:F$65536,5,0)</f>
        <v>Blue</v>
      </c>
    </row>
    <row r="1022" spans="1:40">
      <c r="A1022" s="1" t="s">
        <v>41</v>
      </c>
      <c r="B1022" s="1" t="s">
        <v>42</v>
      </c>
      <c r="C1022" s="1" t="s">
        <v>1183</v>
      </c>
      <c r="D1022" s="1" t="s">
        <v>1184</v>
      </c>
      <c r="E1022" s="1" t="s">
        <v>45</v>
      </c>
      <c r="F1022" s="1" t="s">
        <v>1185</v>
      </c>
      <c r="G1022" s="1" t="s">
        <v>2435</v>
      </c>
      <c r="H1022" s="1" t="s">
        <v>2436</v>
      </c>
      <c r="I1022" s="1" t="s">
        <v>49</v>
      </c>
      <c r="J1022" s="1" t="s">
        <v>48</v>
      </c>
      <c r="K1022" s="1">
        <v>12</v>
      </c>
      <c r="L1022" s="1">
        <v>0</v>
      </c>
      <c r="M1022" s="1">
        <v>0</v>
      </c>
      <c r="N1022" s="1">
        <v>12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 t="s">
        <v>49</v>
      </c>
      <c r="AA1022" s="1" t="s">
        <v>49</v>
      </c>
      <c r="AB1022" s="1" t="s">
        <v>49</v>
      </c>
      <c r="AC1022" s="1" t="s">
        <v>1188</v>
      </c>
      <c r="AD1022" s="1" t="s">
        <v>1189</v>
      </c>
      <c r="AE1022" s="1" t="s">
        <v>1188</v>
      </c>
      <c r="AF1022" s="1" t="s">
        <v>1190</v>
      </c>
      <c r="AG1022" s="1" t="s">
        <v>53</v>
      </c>
      <c r="AH1022" s="1" t="s">
        <v>49</v>
      </c>
      <c r="AI1022" s="1" t="s">
        <v>54</v>
      </c>
      <c r="AJ1022" s="1">
        <v>1</v>
      </c>
      <c r="AK1022" s="1" t="str">
        <f t="shared" si="15"/>
        <v xml:space="preserve"> =&lt;90</v>
      </c>
      <c r="AL1022" s="1" t="e">
        <f>VLOOKUP(C:C,[1]基础信息!B$1:D$65536,3,0)</f>
        <v>#N/A</v>
      </c>
      <c r="AM1022" s="1" t="e">
        <f>VLOOKUP(C:C,[1]基础信息!B$1:E$65536,4,0)</f>
        <v>#N/A</v>
      </c>
      <c r="AN1022" s="1" t="e">
        <f>VLOOKUP(C:C,[1]基础信息!B$1:F$65536,5,0)</f>
        <v>#N/A</v>
      </c>
    </row>
    <row r="1023" spans="1:40">
      <c r="A1023" s="1" t="s">
        <v>41</v>
      </c>
      <c r="B1023" s="1" t="s">
        <v>42</v>
      </c>
      <c r="C1023" s="1" t="s">
        <v>359</v>
      </c>
      <c r="D1023" s="1" t="s">
        <v>360</v>
      </c>
      <c r="E1023" s="1" t="s">
        <v>45</v>
      </c>
      <c r="F1023" s="1" t="s">
        <v>1287</v>
      </c>
      <c r="G1023" s="1" t="s">
        <v>2437</v>
      </c>
      <c r="H1023" s="1" t="s">
        <v>2438</v>
      </c>
      <c r="I1023" s="1" t="s">
        <v>49</v>
      </c>
      <c r="J1023" s="1" t="s">
        <v>48</v>
      </c>
      <c r="K1023" s="1">
        <v>95</v>
      </c>
      <c r="L1023" s="1">
        <v>0</v>
      </c>
      <c r="M1023" s="1">
        <v>0</v>
      </c>
      <c r="N1023" s="1">
        <v>95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 t="s">
        <v>49</v>
      </c>
      <c r="AA1023" s="1" t="s">
        <v>49</v>
      </c>
      <c r="AB1023" s="1" t="s">
        <v>49</v>
      </c>
      <c r="AC1023" s="1" t="s">
        <v>414</v>
      </c>
      <c r="AD1023" s="1" t="s">
        <v>415</v>
      </c>
      <c r="AE1023" s="1" t="s">
        <v>416</v>
      </c>
      <c r="AF1023" s="1" t="s">
        <v>1256</v>
      </c>
      <c r="AG1023" s="1" t="s">
        <v>53</v>
      </c>
      <c r="AH1023" s="1" t="s">
        <v>49</v>
      </c>
      <c r="AI1023" s="1" t="s">
        <v>54</v>
      </c>
      <c r="AJ1023" s="1">
        <v>1</v>
      </c>
      <c r="AK1023" s="1" t="str">
        <f t="shared" si="15"/>
        <v xml:space="preserve"> =&lt;90</v>
      </c>
      <c r="AL1023" s="1" t="e">
        <f>VLOOKUP(C:C,[1]基础信息!B$1:D$65536,3,0)</f>
        <v>#N/A</v>
      </c>
      <c r="AM1023" s="1" t="e">
        <f>VLOOKUP(C:C,[1]基础信息!B$1:E$65536,4,0)</f>
        <v>#N/A</v>
      </c>
      <c r="AN1023" s="1" t="e">
        <f>VLOOKUP(C:C,[1]基础信息!B$1:F$65536,5,0)</f>
        <v>#N/A</v>
      </c>
    </row>
    <row r="1024" spans="1:40">
      <c r="A1024" s="1" t="s">
        <v>41</v>
      </c>
      <c r="B1024" s="1" t="s">
        <v>42</v>
      </c>
      <c r="C1024" s="1" t="s">
        <v>359</v>
      </c>
      <c r="D1024" s="1" t="s">
        <v>360</v>
      </c>
      <c r="E1024" s="1" t="s">
        <v>45</v>
      </c>
      <c r="F1024" s="1" t="s">
        <v>1287</v>
      </c>
      <c r="G1024" s="1" t="s">
        <v>2439</v>
      </c>
      <c r="H1024" s="1" t="s">
        <v>2440</v>
      </c>
      <c r="I1024" s="1" t="s">
        <v>49</v>
      </c>
      <c r="J1024" s="1" t="s">
        <v>48</v>
      </c>
      <c r="K1024" s="1">
        <v>95</v>
      </c>
      <c r="L1024" s="1">
        <v>0</v>
      </c>
      <c r="M1024" s="1">
        <v>0</v>
      </c>
      <c r="N1024" s="1">
        <v>95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 t="s">
        <v>49</v>
      </c>
      <c r="AA1024" s="1" t="s">
        <v>49</v>
      </c>
      <c r="AB1024" s="1" t="s">
        <v>49</v>
      </c>
      <c r="AC1024" s="1" t="s">
        <v>414</v>
      </c>
      <c r="AD1024" s="1" t="s">
        <v>415</v>
      </c>
      <c r="AE1024" s="1" t="s">
        <v>416</v>
      </c>
      <c r="AF1024" s="1" t="s">
        <v>1256</v>
      </c>
      <c r="AG1024" s="1" t="s">
        <v>53</v>
      </c>
      <c r="AH1024" s="1" t="s">
        <v>49</v>
      </c>
      <c r="AI1024" s="1" t="s">
        <v>54</v>
      </c>
      <c r="AJ1024" s="1">
        <v>1</v>
      </c>
      <c r="AK1024" s="1" t="str">
        <f t="shared" si="15"/>
        <v xml:space="preserve"> =&lt;90</v>
      </c>
      <c r="AL1024" s="1" t="e">
        <f>VLOOKUP(C:C,[1]基础信息!B$1:D$65536,3,0)</f>
        <v>#N/A</v>
      </c>
      <c r="AM1024" s="1" t="e">
        <f>VLOOKUP(C:C,[1]基础信息!B$1:E$65536,4,0)</f>
        <v>#N/A</v>
      </c>
      <c r="AN1024" s="1" t="e">
        <f>VLOOKUP(C:C,[1]基础信息!B$1:F$65536,5,0)</f>
        <v>#N/A</v>
      </c>
    </row>
    <row r="1025" spans="1:40">
      <c r="A1025" s="1" t="s">
        <v>41</v>
      </c>
      <c r="B1025" s="1" t="s">
        <v>42</v>
      </c>
      <c r="C1025" s="1" t="s">
        <v>104</v>
      </c>
      <c r="D1025" s="1" t="s">
        <v>105</v>
      </c>
      <c r="E1025" s="1" t="s">
        <v>104</v>
      </c>
      <c r="F1025" s="1" t="s">
        <v>2441</v>
      </c>
      <c r="G1025" s="1" t="s">
        <v>2442</v>
      </c>
      <c r="H1025" s="1" t="s">
        <v>2443</v>
      </c>
      <c r="I1025" s="1" t="s">
        <v>49</v>
      </c>
      <c r="J1025" s="1" t="s">
        <v>48</v>
      </c>
      <c r="K1025" s="1">
        <v>96</v>
      </c>
      <c r="L1025" s="1">
        <v>0</v>
      </c>
      <c r="M1025" s="1">
        <v>0</v>
      </c>
      <c r="N1025" s="1">
        <v>96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 t="s">
        <v>49</v>
      </c>
      <c r="AA1025" s="1" t="s">
        <v>49</v>
      </c>
      <c r="AB1025" s="1" t="s">
        <v>49</v>
      </c>
      <c r="AC1025" s="1" t="s">
        <v>290</v>
      </c>
      <c r="AD1025" s="1" t="s">
        <v>291</v>
      </c>
      <c r="AE1025" s="1" t="s">
        <v>290</v>
      </c>
      <c r="AF1025" s="1" t="s">
        <v>1605</v>
      </c>
      <c r="AG1025" s="1" t="s">
        <v>53</v>
      </c>
      <c r="AH1025" s="1" t="s">
        <v>49</v>
      </c>
      <c r="AI1025" s="1" t="s">
        <v>54</v>
      </c>
      <c r="AJ1025" s="1">
        <v>1</v>
      </c>
      <c r="AK1025" s="1" t="str">
        <f t="shared" si="15"/>
        <v xml:space="preserve"> =&lt;90</v>
      </c>
      <c r="AL1025" s="1" t="str">
        <f>VLOOKUP(C:C,[1]基础信息!B$1:D$65536,3,0)</f>
        <v>Jug</v>
      </c>
      <c r="AM1025" s="1" t="str">
        <f>VLOOKUP(C:C,[1]基础信息!B$1:E$65536,4,0)</f>
        <v>Marella XL</v>
      </c>
      <c r="AN1025" s="1" t="str">
        <f>VLOOKUP(C:C,[1]基础信息!B$1:F$65536,5,0)</f>
        <v>Blue</v>
      </c>
    </row>
    <row r="1026" spans="1:40">
      <c r="A1026" s="1" t="s">
        <v>41</v>
      </c>
      <c r="B1026" s="1" t="s">
        <v>42</v>
      </c>
      <c r="C1026" s="1" t="s">
        <v>104</v>
      </c>
      <c r="D1026" s="1" t="s">
        <v>105</v>
      </c>
      <c r="E1026" s="1" t="s">
        <v>104</v>
      </c>
      <c r="F1026" s="1" t="s">
        <v>2441</v>
      </c>
      <c r="G1026" s="1" t="s">
        <v>2444</v>
      </c>
      <c r="H1026" s="1" t="s">
        <v>2445</v>
      </c>
      <c r="I1026" s="1" t="s">
        <v>49</v>
      </c>
      <c r="J1026" s="1" t="s">
        <v>48</v>
      </c>
      <c r="K1026" s="1">
        <v>96</v>
      </c>
      <c r="L1026" s="1">
        <v>0</v>
      </c>
      <c r="M1026" s="1">
        <v>0</v>
      </c>
      <c r="N1026" s="1">
        <v>96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 t="s">
        <v>49</v>
      </c>
      <c r="AA1026" s="1" t="s">
        <v>49</v>
      </c>
      <c r="AB1026" s="1" t="s">
        <v>49</v>
      </c>
      <c r="AC1026" s="1" t="s">
        <v>290</v>
      </c>
      <c r="AD1026" s="1" t="s">
        <v>291</v>
      </c>
      <c r="AE1026" s="1" t="s">
        <v>290</v>
      </c>
      <c r="AF1026" s="1" t="s">
        <v>1605</v>
      </c>
      <c r="AG1026" s="1" t="s">
        <v>53</v>
      </c>
      <c r="AH1026" s="1" t="s">
        <v>49</v>
      </c>
      <c r="AI1026" s="1" t="s">
        <v>54</v>
      </c>
      <c r="AJ1026" s="1">
        <v>1</v>
      </c>
      <c r="AK1026" s="1" t="str">
        <f t="shared" ref="AK1026:AK1089" si="16">IF(AJ1026&gt;$AP$2,$AQ$2,IF(AJ1026&gt;$AP$3,$AQ$3,IF(AJ1026&gt;$AP$4,$AQ$4,$AQ$5)))</f>
        <v xml:space="preserve"> =&lt;90</v>
      </c>
      <c r="AL1026" s="1" t="str">
        <f>VLOOKUP(C:C,[1]基础信息!B$1:D$65536,3,0)</f>
        <v>Jug</v>
      </c>
      <c r="AM1026" s="1" t="str">
        <f>VLOOKUP(C:C,[1]基础信息!B$1:E$65536,4,0)</f>
        <v>Marella XL</v>
      </c>
      <c r="AN1026" s="1" t="str">
        <f>VLOOKUP(C:C,[1]基础信息!B$1:F$65536,5,0)</f>
        <v>Blue</v>
      </c>
    </row>
    <row r="1027" spans="1:40">
      <c r="A1027" s="1" t="s">
        <v>41</v>
      </c>
      <c r="B1027" s="1" t="s">
        <v>42</v>
      </c>
      <c r="C1027" s="1" t="s">
        <v>104</v>
      </c>
      <c r="D1027" s="1" t="s">
        <v>105</v>
      </c>
      <c r="E1027" s="1" t="s">
        <v>104</v>
      </c>
      <c r="F1027" s="1" t="s">
        <v>2441</v>
      </c>
      <c r="G1027" s="1" t="s">
        <v>2446</v>
      </c>
      <c r="H1027" s="1" t="s">
        <v>2447</v>
      </c>
      <c r="I1027" s="1" t="s">
        <v>49</v>
      </c>
      <c r="J1027" s="1" t="s">
        <v>48</v>
      </c>
      <c r="K1027" s="1">
        <v>96</v>
      </c>
      <c r="L1027" s="1">
        <v>0</v>
      </c>
      <c r="M1027" s="1">
        <v>0</v>
      </c>
      <c r="N1027" s="1">
        <v>96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 t="s">
        <v>49</v>
      </c>
      <c r="AA1027" s="1" t="s">
        <v>49</v>
      </c>
      <c r="AB1027" s="1" t="s">
        <v>49</v>
      </c>
      <c r="AC1027" s="1" t="s">
        <v>290</v>
      </c>
      <c r="AD1027" s="1" t="s">
        <v>291</v>
      </c>
      <c r="AE1027" s="1" t="s">
        <v>290</v>
      </c>
      <c r="AF1027" s="1" t="s">
        <v>1605</v>
      </c>
      <c r="AG1027" s="1" t="s">
        <v>53</v>
      </c>
      <c r="AH1027" s="1" t="s">
        <v>49</v>
      </c>
      <c r="AI1027" s="1" t="s">
        <v>54</v>
      </c>
      <c r="AJ1027" s="1">
        <v>1</v>
      </c>
      <c r="AK1027" s="1" t="str">
        <f t="shared" si="16"/>
        <v xml:space="preserve"> =&lt;90</v>
      </c>
      <c r="AL1027" s="1" t="str">
        <f>VLOOKUP(C:C,[1]基础信息!B$1:D$65536,3,0)</f>
        <v>Jug</v>
      </c>
      <c r="AM1027" s="1" t="str">
        <f>VLOOKUP(C:C,[1]基础信息!B$1:E$65536,4,0)</f>
        <v>Marella XL</v>
      </c>
      <c r="AN1027" s="1" t="str">
        <f>VLOOKUP(C:C,[1]基础信息!B$1:F$65536,5,0)</f>
        <v>Blue</v>
      </c>
    </row>
    <row r="1028" spans="1:40">
      <c r="A1028" s="1" t="s">
        <v>41</v>
      </c>
      <c r="B1028" s="1" t="s">
        <v>42</v>
      </c>
      <c r="C1028" s="1" t="s">
        <v>285</v>
      </c>
      <c r="D1028" s="1" t="s">
        <v>286</v>
      </c>
      <c r="E1028" s="1" t="s">
        <v>45</v>
      </c>
      <c r="F1028" s="1" t="s">
        <v>2411</v>
      </c>
      <c r="G1028" s="1" t="s">
        <v>2448</v>
      </c>
      <c r="H1028" s="1" t="s">
        <v>2449</v>
      </c>
      <c r="I1028" s="1" t="s">
        <v>49</v>
      </c>
      <c r="J1028" s="1" t="s">
        <v>48</v>
      </c>
      <c r="K1028" s="1">
        <v>70</v>
      </c>
      <c r="L1028" s="1">
        <v>0</v>
      </c>
      <c r="M1028" s="1">
        <v>0</v>
      </c>
      <c r="N1028" s="1">
        <v>70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 t="s">
        <v>49</v>
      </c>
      <c r="AA1028" s="1" t="s">
        <v>49</v>
      </c>
      <c r="AB1028" s="1" t="s">
        <v>49</v>
      </c>
      <c r="AC1028" s="1" t="s">
        <v>1551</v>
      </c>
      <c r="AD1028" s="1" t="s">
        <v>1552</v>
      </c>
      <c r="AE1028" s="1" t="s">
        <v>1551</v>
      </c>
      <c r="AF1028" s="1" t="s">
        <v>2414</v>
      </c>
      <c r="AG1028" s="1" t="s">
        <v>53</v>
      </c>
      <c r="AH1028" s="1" t="s">
        <v>49</v>
      </c>
      <c r="AI1028" s="1" t="s">
        <v>54</v>
      </c>
      <c r="AJ1028" s="1">
        <v>1</v>
      </c>
      <c r="AK1028" s="1" t="str">
        <f t="shared" si="16"/>
        <v xml:space="preserve"> =&lt;90</v>
      </c>
      <c r="AL1028" s="1" t="str">
        <f>VLOOKUP(C:C,[1]基础信息!B$1:D$65536,3,0)</f>
        <v>Jug</v>
      </c>
      <c r="AM1028" s="1" t="str">
        <f>VLOOKUP(C:C,[1]基础信息!B$1:E$65536,4,0)</f>
        <v>Marella XL</v>
      </c>
      <c r="AN1028" s="1" t="str">
        <f>VLOOKUP(C:C,[1]基础信息!B$1:F$65536,5,0)</f>
        <v>Blue</v>
      </c>
    </row>
    <row r="1029" spans="1:40">
      <c r="A1029" s="1" t="s">
        <v>41</v>
      </c>
      <c r="B1029" s="1" t="s">
        <v>42</v>
      </c>
      <c r="C1029" s="1" t="s">
        <v>359</v>
      </c>
      <c r="D1029" s="1" t="s">
        <v>360</v>
      </c>
      <c r="E1029" s="1" t="s">
        <v>45</v>
      </c>
      <c r="F1029" s="1" t="s">
        <v>1287</v>
      </c>
      <c r="G1029" s="1" t="s">
        <v>2450</v>
      </c>
      <c r="H1029" s="1" t="s">
        <v>2451</v>
      </c>
      <c r="I1029" s="1" t="s">
        <v>49</v>
      </c>
      <c r="J1029" s="1" t="s">
        <v>48</v>
      </c>
      <c r="K1029" s="1">
        <v>95</v>
      </c>
      <c r="L1029" s="1">
        <v>0</v>
      </c>
      <c r="M1029" s="1">
        <v>0</v>
      </c>
      <c r="N1029" s="1">
        <v>95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 t="s">
        <v>49</v>
      </c>
      <c r="AA1029" s="1" t="s">
        <v>49</v>
      </c>
      <c r="AB1029" s="1" t="s">
        <v>49</v>
      </c>
      <c r="AC1029" s="1" t="s">
        <v>414</v>
      </c>
      <c r="AD1029" s="1" t="s">
        <v>415</v>
      </c>
      <c r="AE1029" s="1" t="s">
        <v>416</v>
      </c>
      <c r="AF1029" s="1" t="s">
        <v>1256</v>
      </c>
      <c r="AG1029" s="1" t="s">
        <v>53</v>
      </c>
      <c r="AH1029" s="1" t="s">
        <v>49</v>
      </c>
      <c r="AI1029" s="1" t="s">
        <v>54</v>
      </c>
      <c r="AJ1029" s="1">
        <v>1</v>
      </c>
      <c r="AK1029" s="1" t="str">
        <f t="shared" si="16"/>
        <v xml:space="preserve"> =&lt;90</v>
      </c>
      <c r="AL1029" s="1" t="e">
        <f>VLOOKUP(C:C,[1]基础信息!B$1:D$65536,3,0)</f>
        <v>#N/A</v>
      </c>
      <c r="AM1029" s="1" t="e">
        <f>VLOOKUP(C:C,[1]基础信息!B$1:E$65536,4,0)</f>
        <v>#N/A</v>
      </c>
      <c r="AN1029" s="1" t="e">
        <f>VLOOKUP(C:C,[1]基础信息!B$1:F$65536,5,0)</f>
        <v>#N/A</v>
      </c>
    </row>
    <row r="1030" spans="1:40">
      <c r="A1030" s="1" t="s">
        <v>41</v>
      </c>
      <c r="B1030" s="1" t="s">
        <v>42</v>
      </c>
      <c r="C1030" s="1" t="s">
        <v>2004</v>
      </c>
      <c r="D1030" s="1" t="s">
        <v>2005</v>
      </c>
      <c r="E1030" s="1" t="s">
        <v>2004</v>
      </c>
      <c r="F1030" s="1" t="s">
        <v>2006</v>
      </c>
      <c r="G1030" s="1" t="s">
        <v>2452</v>
      </c>
      <c r="H1030" s="1" t="s">
        <v>2453</v>
      </c>
      <c r="I1030" s="1" t="s">
        <v>49</v>
      </c>
      <c r="J1030" s="1" t="s">
        <v>48</v>
      </c>
      <c r="K1030" s="1">
        <v>96</v>
      </c>
      <c r="L1030" s="1">
        <v>0</v>
      </c>
      <c r="M1030" s="1">
        <v>0</v>
      </c>
      <c r="N1030" s="1">
        <v>96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 t="s">
        <v>49</v>
      </c>
      <c r="AA1030" s="1" t="s">
        <v>49</v>
      </c>
      <c r="AB1030" s="1" t="s">
        <v>49</v>
      </c>
      <c r="AC1030" s="1" t="s">
        <v>1377</v>
      </c>
      <c r="AD1030" s="1" t="s">
        <v>1378</v>
      </c>
      <c r="AE1030" s="1" t="s">
        <v>1377</v>
      </c>
      <c r="AF1030" s="1" t="s">
        <v>422</v>
      </c>
      <c r="AG1030" s="1" t="s">
        <v>53</v>
      </c>
      <c r="AH1030" s="1" t="s">
        <v>49</v>
      </c>
      <c r="AI1030" s="1" t="s">
        <v>54</v>
      </c>
      <c r="AJ1030" s="1">
        <v>1</v>
      </c>
      <c r="AK1030" s="1" t="str">
        <f t="shared" si="16"/>
        <v xml:space="preserve"> =&lt;90</v>
      </c>
      <c r="AL1030" s="1" t="str">
        <f>VLOOKUP(C:C,[1]基础信息!B$1:D$65536,3,0)</f>
        <v>Jug</v>
      </c>
      <c r="AM1030" s="1" t="str">
        <f>VLOOKUP(C:C,[1]基础信息!B$1:E$65536,4,0)</f>
        <v>Marella XL</v>
      </c>
      <c r="AN1030" s="1" t="str">
        <f>VLOOKUP(C:C,[1]基础信息!B$1:F$65536,5,0)</f>
        <v>Mxplus</v>
      </c>
    </row>
    <row r="1031" spans="1:40">
      <c r="A1031" s="1" t="s">
        <v>41</v>
      </c>
      <c r="B1031" s="1" t="s">
        <v>42</v>
      </c>
      <c r="C1031" s="1" t="s">
        <v>2004</v>
      </c>
      <c r="D1031" s="1" t="s">
        <v>2005</v>
      </c>
      <c r="E1031" s="1" t="s">
        <v>2004</v>
      </c>
      <c r="F1031" s="1" t="s">
        <v>2006</v>
      </c>
      <c r="G1031" s="1" t="s">
        <v>2454</v>
      </c>
      <c r="H1031" s="1" t="s">
        <v>2455</v>
      </c>
      <c r="I1031" s="1" t="s">
        <v>49</v>
      </c>
      <c r="J1031" s="1" t="s">
        <v>48</v>
      </c>
      <c r="K1031" s="1">
        <v>96</v>
      </c>
      <c r="L1031" s="1">
        <v>0</v>
      </c>
      <c r="M1031" s="1">
        <v>0</v>
      </c>
      <c r="N1031" s="1">
        <v>96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 t="s">
        <v>49</v>
      </c>
      <c r="AA1031" s="1" t="s">
        <v>49</v>
      </c>
      <c r="AB1031" s="1" t="s">
        <v>49</v>
      </c>
      <c r="AC1031" s="1" t="s">
        <v>1377</v>
      </c>
      <c r="AD1031" s="1" t="s">
        <v>1378</v>
      </c>
      <c r="AE1031" s="1" t="s">
        <v>1377</v>
      </c>
      <c r="AF1031" s="1" t="s">
        <v>422</v>
      </c>
      <c r="AG1031" s="1" t="s">
        <v>53</v>
      </c>
      <c r="AH1031" s="1" t="s">
        <v>49</v>
      </c>
      <c r="AI1031" s="1" t="s">
        <v>54</v>
      </c>
      <c r="AJ1031" s="1">
        <v>1</v>
      </c>
      <c r="AK1031" s="1" t="str">
        <f t="shared" si="16"/>
        <v xml:space="preserve"> =&lt;90</v>
      </c>
      <c r="AL1031" s="1" t="str">
        <f>VLOOKUP(C:C,[1]基础信息!B$1:D$65536,3,0)</f>
        <v>Jug</v>
      </c>
      <c r="AM1031" s="1" t="str">
        <f>VLOOKUP(C:C,[1]基础信息!B$1:E$65536,4,0)</f>
        <v>Marella XL</v>
      </c>
      <c r="AN1031" s="1" t="str">
        <f>VLOOKUP(C:C,[1]基础信息!B$1:F$65536,5,0)</f>
        <v>Mxplus</v>
      </c>
    </row>
    <row r="1032" spans="1:40">
      <c r="A1032" s="1" t="s">
        <v>41</v>
      </c>
      <c r="B1032" s="1" t="s">
        <v>42</v>
      </c>
      <c r="C1032" s="1" t="s">
        <v>83</v>
      </c>
      <c r="D1032" s="1" t="s">
        <v>84</v>
      </c>
      <c r="E1032" s="1" t="s">
        <v>45</v>
      </c>
      <c r="F1032" s="1" t="s">
        <v>349</v>
      </c>
      <c r="G1032" s="1" t="s">
        <v>2456</v>
      </c>
      <c r="H1032" s="1" t="s">
        <v>2457</v>
      </c>
      <c r="I1032" s="1" t="s">
        <v>49</v>
      </c>
      <c r="J1032" s="1" t="s">
        <v>48</v>
      </c>
      <c r="K1032" s="1">
        <v>96</v>
      </c>
      <c r="L1032" s="1">
        <v>0</v>
      </c>
      <c r="M1032" s="1">
        <v>0</v>
      </c>
      <c r="N1032" s="1">
        <v>96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 t="s">
        <v>49</v>
      </c>
      <c r="AA1032" s="1" t="s">
        <v>49</v>
      </c>
      <c r="AB1032" s="1" t="s">
        <v>49</v>
      </c>
      <c r="AC1032" s="1" t="s">
        <v>88</v>
      </c>
      <c r="AD1032" s="1" t="s">
        <v>89</v>
      </c>
      <c r="AE1032" s="1" t="s">
        <v>88</v>
      </c>
      <c r="AF1032" s="1" t="s">
        <v>352</v>
      </c>
      <c r="AG1032" s="1" t="s">
        <v>53</v>
      </c>
      <c r="AH1032" s="1" t="s">
        <v>49</v>
      </c>
      <c r="AI1032" s="1" t="s">
        <v>54</v>
      </c>
      <c r="AJ1032" s="1">
        <v>1</v>
      </c>
      <c r="AK1032" s="1" t="str">
        <f t="shared" si="16"/>
        <v xml:space="preserve"> =&lt;90</v>
      </c>
      <c r="AL1032" s="1" t="str">
        <f>VLOOKUP(C:C,[1]基础信息!B$1:D$65536,3,0)</f>
        <v>Jug</v>
      </c>
      <c r="AM1032" s="1" t="str">
        <f>VLOOKUP(C:C,[1]基础信息!B$1:E$65536,4,0)</f>
        <v>Mxplus</v>
      </c>
      <c r="AN1032" s="1" t="str">
        <f>VLOOKUP(C:C,[1]基础信息!B$1:F$65536,5,0)</f>
        <v>Blue</v>
      </c>
    </row>
    <row r="1033" spans="1:40">
      <c r="A1033" s="1" t="s">
        <v>41</v>
      </c>
      <c r="B1033" s="1" t="s">
        <v>42</v>
      </c>
      <c r="C1033" s="1" t="s">
        <v>359</v>
      </c>
      <c r="D1033" s="1" t="s">
        <v>360</v>
      </c>
      <c r="E1033" s="1" t="s">
        <v>45</v>
      </c>
      <c r="F1033" s="1" t="s">
        <v>1287</v>
      </c>
      <c r="G1033" s="1" t="s">
        <v>2458</v>
      </c>
      <c r="H1033" s="1" t="s">
        <v>2459</v>
      </c>
      <c r="I1033" s="1" t="s">
        <v>49</v>
      </c>
      <c r="J1033" s="1" t="s">
        <v>48</v>
      </c>
      <c r="K1033" s="1">
        <v>95</v>
      </c>
      <c r="L1033" s="1">
        <v>0</v>
      </c>
      <c r="M1033" s="1">
        <v>0</v>
      </c>
      <c r="N1033" s="1">
        <v>95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 t="s">
        <v>49</v>
      </c>
      <c r="AA1033" s="1" t="s">
        <v>49</v>
      </c>
      <c r="AB1033" s="1" t="s">
        <v>49</v>
      </c>
      <c r="AC1033" s="1" t="s">
        <v>414</v>
      </c>
      <c r="AD1033" s="1" t="s">
        <v>415</v>
      </c>
      <c r="AE1033" s="1" t="s">
        <v>416</v>
      </c>
      <c r="AF1033" s="1" t="s">
        <v>1256</v>
      </c>
      <c r="AG1033" s="1" t="s">
        <v>53</v>
      </c>
      <c r="AH1033" s="1" t="s">
        <v>49</v>
      </c>
      <c r="AI1033" s="1" t="s">
        <v>54</v>
      </c>
      <c r="AJ1033" s="1">
        <v>1</v>
      </c>
      <c r="AK1033" s="1" t="str">
        <f t="shared" si="16"/>
        <v xml:space="preserve"> =&lt;90</v>
      </c>
      <c r="AL1033" s="1" t="e">
        <f>VLOOKUP(C:C,[1]基础信息!B$1:D$65536,3,0)</f>
        <v>#N/A</v>
      </c>
      <c r="AM1033" s="1" t="e">
        <f>VLOOKUP(C:C,[1]基础信息!B$1:E$65536,4,0)</f>
        <v>#N/A</v>
      </c>
      <c r="AN1033" s="1" t="e">
        <f>VLOOKUP(C:C,[1]基础信息!B$1:F$65536,5,0)</f>
        <v>#N/A</v>
      </c>
    </row>
    <row r="1034" spans="1:40">
      <c r="A1034" s="1" t="s">
        <v>41</v>
      </c>
      <c r="B1034" s="1" t="s">
        <v>42</v>
      </c>
      <c r="C1034" s="1" t="s">
        <v>359</v>
      </c>
      <c r="D1034" s="1" t="s">
        <v>360</v>
      </c>
      <c r="E1034" s="1" t="s">
        <v>45</v>
      </c>
      <c r="F1034" s="1" t="s">
        <v>1287</v>
      </c>
      <c r="G1034" s="1" t="s">
        <v>2460</v>
      </c>
      <c r="H1034" s="1" t="s">
        <v>2461</v>
      </c>
      <c r="I1034" s="1" t="s">
        <v>49</v>
      </c>
      <c r="J1034" s="1" t="s">
        <v>48</v>
      </c>
      <c r="K1034" s="1">
        <v>95</v>
      </c>
      <c r="L1034" s="1">
        <v>0</v>
      </c>
      <c r="M1034" s="1">
        <v>0</v>
      </c>
      <c r="N1034" s="1">
        <v>95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 t="s">
        <v>49</v>
      </c>
      <c r="AA1034" s="1" t="s">
        <v>49</v>
      </c>
      <c r="AB1034" s="1" t="s">
        <v>49</v>
      </c>
      <c r="AC1034" s="1" t="s">
        <v>414</v>
      </c>
      <c r="AD1034" s="1" t="s">
        <v>415</v>
      </c>
      <c r="AE1034" s="1" t="s">
        <v>416</v>
      </c>
      <c r="AF1034" s="1" t="s">
        <v>1256</v>
      </c>
      <c r="AG1034" s="1" t="s">
        <v>53</v>
      </c>
      <c r="AH1034" s="1" t="s">
        <v>49</v>
      </c>
      <c r="AI1034" s="1" t="s">
        <v>54</v>
      </c>
      <c r="AJ1034" s="1">
        <v>1</v>
      </c>
      <c r="AK1034" s="1" t="str">
        <f t="shared" si="16"/>
        <v xml:space="preserve"> =&lt;90</v>
      </c>
      <c r="AL1034" s="1" t="e">
        <f>VLOOKUP(C:C,[1]基础信息!B$1:D$65536,3,0)</f>
        <v>#N/A</v>
      </c>
      <c r="AM1034" s="1" t="e">
        <f>VLOOKUP(C:C,[1]基础信息!B$1:E$65536,4,0)</f>
        <v>#N/A</v>
      </c>
      <c r="AN1034" s="1" t="e">
        <f>VLOOKUP(C:C,[1]基础信息!B$1:F$65536,5,0)</f>
        <v>#N/A</v>
      </c>
    </row>
    <row r="1035" spans="1:40">
      <c r="A1035" s="1" t="s">
        <v>41</v>
      </c>
      <c r="B1035" s="1" t="s">
        <v>42</v>
      </c>
      <c r="C1035" s="1" t="s">
        <v>359</v>
      </c>
      <c r="D1035" s="1" t="s">
        <v>360</v>
      </c>
      <c r="E1035" s="1" t="s">
        <v>45</v>
      </c>
      <c r="F1035" s="1" t="s">
        <v>1287</v>
      </c>
      <c r="G1035" s="1" t="s">
        <v>2462</v>
      </c>
      <c r="H1035" s="1" t="s">
        <v>2463</v>
      </c>
      <c r="I1035" s="1" t="s">
        <v>49</v>
      </c>
      <c r="J1035" s="1" t="s">
        <v>48</v>
      </c>
      <c r="K1035" s="1">
        <v>95</v>
      </c>
      <c r="L1035" s="1">
        <v>0</v>
      </c>
      <c r="M1035" s="1">
        <v>0</v>
      </c>
      <c r="N1035" s="1">
        <v>95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 t="s">
        <v>49</v>
      </c>
      <c r="AA1035" s="1" t="s">
        <v>49</v>
      </c>
      <c r="AB1035" s="1" t="s">
        <v>49</v>
      </c>
      <c r="AC1035" s="1" t="s">
        <v>414</v>
      </c>
      <c r="AD1035" s="1" t="s">
        <v>415</v>
      </c>
      <c r="AE1035" s="1" t="s">
        <v>416</v>
      </c>
      <c r="AF1035" s="1" t="s">
        <v>1256</v>
      </c>
      <c r="AG1035" s="1" t="s">
        <v>53</v>
      </c>
      <c r="AH1035" s="1" t="s">
        <v>49</v>
      </c>
      <c r="AI1035" s="1" t="s">
        <v>54</v>
      </c>
      <c r="AJ1035" s="1">
        <v>1</v>
      </c>
      <c r="AK1035" s="1" t="str">
        <f t="shared" si="16"/>
        <v xml:space="preserve"> =&lt;90</v>
      </c>
      <c r="AL1035" s="1" t="e">
        <f>VLOOKUP(C:C,[1]基础信息!B$1:D$65536,3,0)</f>
        <v>#N/A</v>
      </c>
      <c r="AM1035" s="1" t="e">
        <f>VLOOKUP(C:C,[1]基础信息!B$1:E$65536,4,0)</f>
        <v>#N/A</v>
      </c>
      <c r="AN1035" s="1" t="e">
        <f>VLOOKUP(C:C,[1]基础信息!B$1:F$65536,5,0)</f>
        <v>#N/A</v>
      </c>
    </row>
    <row r="1036" spans="1:40">
      <c r="A1036" s="1" t="s">
        <v>41</v>
      </c>
      <c r="B1036" s="1" t="s">
        <v>42</v>
      </c>
      <c r="C1036" s="1" t="s">
        <v>359</v>
      </c>
      <c r="D1036" s="1" t="s">
        <v>360</v>
      </c>
      <c r="E1036" s="1" t="s">
        <v>45</v>
      </c>
      <c r="F1036" s="1" t="s">
        <v>1287</v>
      </c>
      <c r="G1036" s="1" t="s">
        <v>2464</v>
      </c>
      <c r="H1036" s="1" t="s">
        <v>2465</v>
      </c>
      <c r="I1036" s="1" t="s">
        <v>49</v>
      </c>
      <c r="J1036" s="1" t="s">
        <v>48</v>
      </c>
      <c r="K1036" s="1">
        <v>95</v>
      </c>
      <c r="L1036" s="1">
        <v>0</v>
      </c>
      <c r="M1036" s="1">
        <v>0</v>
      </c>
      <c r="N1036" s="1">
        <v>95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 t="s">
        <v>49</v>
      </c>
      <c r="AA1036" s="1" t="s">
        <v>49</v>
      </c>
      <c r="AB1036" s="1" t="s">
        <v>49</v>
      </c>
      <c r="AC1036" s="1" t="s">
        <v>414</v>
      </c>
      <c r="AD1036" s="1" t="s">
        <v>415</v>
      </c>
      <c r="AE1036" s="1" t="s">
        <v>416</v>
      </c>
      <c r="AF1036" s="1" t="s">
        <v>1256</v>
      </c>
      <c r="AG1036" s="1" t="s">
        <v>53</v>
      </c>
      <c r="AH1036" s="1" t="s">
        <v>49</v>
      </c>
      <c r="AI1036" s="1" t="s">
        <v>54</v>
      </c>
      <c r="AJ1036" s="1">
        <v>1</v>
      </c>
      <c r="AK1036" s="1" t="str">
        <f t="shared" si="16"/>
        <v xml:space="preserve"> =&lt;90</v>
      </c>
      <c r="AL1036" s="1" t="e">
        <f>VLOOKUP(C:C,[1]基础信息!B$1:D$65536,3,0)</f>
        <v>#N/A</v>
      </c>
      <c r="AM1036" s="1" t="e">
        <f>VLOOKUP(C:C,[1]基础信息!B$1:E$65536,4,0)</f>
        <v>#N/A</v>
      </c>
      <c r="AN1036" s="1" t="e">
        <f>VLOOKUP(C:C,[1]基础信息!B$1:F$65536,5,0)</f>
        <v>#N/A</v>
      </c>
    </row>
    <row r="1037" spans="1:40">
      <c r="A1037" s="1" t="s">
        <v>41</v>
      </c>
      <c r="B1037" s="1" t="s">
        <v>42</v>
      </c>
      <c r="C1037" s="1" t="s">
        <v>359</v>
      </c>
      <c r="D1037" s="1" t="s">
        <v>360</v>
      </c>
      <c r="E1037" s="1" t="s">
        <v>45</v>
      </c>
      <c r="F1037" s="1" t="s">
        <v>1287</v>
      </c>
      <c r="G1037" s="1" t="s">
        <v>2466</v>
      </c>
      <c r="H1037" s="1" t="s">
        <v>2467</v>
      </c>
      <c r="I1037" s="1" t="s">
        <v>49</v>
      </c>
      <c r="J1037" s="1" t="s">
        <v>48</v>
      </c>
      <c r="K1037" s="1">
        <v>95</v>
      </c>
      <c r="L1037" s="1">
        <v>0</v>
      </c>
      <c r="M1037" s="1">
        <v>0</v>
      </c>
      <c r="N1037" s="1">
        <v>95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 t="s">
        <v>49</v>
      </c>
      <c r="AA1037" s="1" t="s">
        <v>49</v>
      </c>
      <c r="AB1037" s="1" t="s">
        <v>49</v>
      </c>
      <c r="AC1037" s="1" t="s">
        <v>414</v>
      </c>
      <c r="AD1037" s="1" t="s">
        <v>415</v>
      </c>
      <c r="AE1037" s="1" t="s">
        <v>416</v>
      </c>
      <c r="AF1037" s="1" t="s">
        <v>1256</v>
      </c>
      <c r="AG1037" s="1" t="s">
        <v>53</v>
      </c>
      <c r="AH1037" s="1" t="s">
        <v>49</v>
      </c>
      <c r="AI1037" s="1" t="s">
        <v>54</v>
      </c>
      <c r="AJ1037" s="1">
        <v>1</v>
      </c>
      <c r="AK1037" s="1" t="str">
        <f t="shared" si="16"/>
        <v xml:space="preserve"> =&lt;90</v>
      </c>
      <c r="AL1037" s="1" t="e">
        <f>VLOOKUP(C:C,[1]基础信息!B$1:D$65536,3,0)</f>
        <v>#N/A</v>
      </c>
      <c r="AM1037" s="1" t="e">
        <f>VLOOKUP(C:C,[1]基础信息!B$1:E$65536,4,0)</f>
        <v>#N/A</v>
      </c>
      <c r="AN1037" s="1" t="e">
        <f>VLOOKUP(C:C,[1]基础信息!B$1:F$65536,5,0)</f>
        <v>#N/A</v>
      </c>
    </row>
    <row r="1038" spans="1:40">
      <c r="A1038" s="1" t="s">
        <v>41</v>
      </c>
      <c r="B1038" s="1" t="s">
        <v>42</v>
      </c>
      <c r="C1038" s="1" t="s">
        <v>104</v>
      </c>
      <c r="D1038" s="1" t="s">
        <v>105</v>
      </c>
      <c r="E1038" s="1" t="s">
        <v>104</v>
      </c>
      <c r="F1038" s="1" t="s">
        <v>2441</v>
      </c>
      <c r="G1038" s="1" t="s">
        <v>2468</v>
      </c>
      <c r="H1038" s="1" t="s">
        <v>2469</v>
      </c>
      <c r="I1038" s="1" t="s">
        <v>49</v>
      </c>
      <c r="J1038" s="1" t="s">
        <v>48</v>
      </c>
      <c r="K1038" s="1">
        <v>96</v>
      </c>
      <c r="L1038" s="1">
        <v>0</v>
      </c>
      <c r="M1038" s="1">
        <v>0</v>
      </c>
      <c r="N1038" s="1">
        <v>96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 t="s">
        <v>49</v>
      </c>
      <c r="AA1038" s="1" t="s">
        <v>49</v>
      </c>
      <c r="AB1038" s="1" t="s">
        <v>49</v>
      </c>
      <c r="AC1038" s="1" t="s">
        <v>290</v>
      </c>
      <c r="AD1038" s="1" t="s">
        <v>291</v>
      </c>
      <c r="AE1038" s="1" t="s">
        <v>290</v>
      </c>
      <c r="AF1038" s="1" t="s">
        <v>1605</v>
      </c>
      <c r="AG1038" s="1" t="s">
        <v>53</v>
      </c>
      <c r="AH1038" s="1" t="s">
        <v>49</v>
      </c>
      <c r="AI1038" s="1" t="s">
        <v>54</v>
      </c>
      <c r="AJ1038" s="1">
        <v>1</v>
      </c>
      <c r="AK1038" s="1" t="str">
        <f t="shared" si="16"/>
        <v xml:space="preserve"> =&lt;90</v>
      </c>
      <c r="AL1038" s="1" t="str">
        <f>VLOOKUP(C:C,[1]基础信息!B$1:D$65536,3,0)</f>
        <v>Jug</v>
      </c>
      <c r="AM1038" s="1" t="str">
        <f>VLOOKUP(C:C,[1]基础信息!B$1:E$65536,4,0)</f>
        <v>Marella XL</v>
      </c>
      <c r="AN1038" s="1" t="str">
        <f>VLOOKUP(C:C,[1]基础信息!B$1:F$65536,5,0)</f>
        <v>Blue</v>
      </c>
    </row>
    <row r="1039" spans="1:40">
      <c r="A1039" s="1" t="s">
        <v>41</v>
      </c>
      <c r="B1039" s="1" t="s">
        <v>42</v>
      </c>
      <c r="C1039" s="1" t="s">
        <v>104</v>
      </c>
      <c r="D1039" s="1" t="s">
        <v>105</v>
      </c>
      <c r="E1039" s="1" t="s">
        <v>104</v>
      </c>
      <c r="F1039" s="1" t="s">
        <v>2441</v>
      </c>
      <c r="G1039" s="1" t="s">
        <v>2470</v>
      </c>
      <c r="H1039" s="1" t="s">
        <v>2471</v>
      </c>
      <c r="I1039" s="1" t="s">
        <v>49</v>
      </c>
      <c r="J1039" s="1" t="s">
        <v>48</v>
      </c>
      <c r="K1039" s="1">
        <v>96</v>
      </c>
      <c r="L1039" s="1">
        <v>0</v>
      </c>
      <c r="M1039" s="1">
        <v>0</v>
      </c>
      <c r="N1039" s="1">
        <v>96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 t="s">
        <v>49</v>
      </c>
      <c r="AA1039" s="1" t="s">
        <v>49</v>
      </c>
      <c r="AB1039" s="1" t="s">
        <v>49</v>
      </c>
      <c r="AC1039" s="1" t="s">
        <v>290</v>
      </c>
      <c r="AD1039" s="1" t="s">
        <v>291</v>
      </c>
      <c r="AE1039" s="1" t="s">
        <v>290</v>
      </c>
      <c r="AF1039" s="1" t="s">
        <v>1605</v>
      </c>
      <c r="AG1039" s="1" t="s">
        <v>53</v>
      </c>
      <c r="AH1039" s="1" t="s">
        <v>49</v>
      </c>
      <c r="AI1039" s="1" t="s">
        <v>54</v>
      </c>
      <c r="AJ1039" s="1">
        <v>1</v>
      </c>
      <c r="AK1039" s="1" t="str">
        <f t="shared" si="16"/>
        <v xml:space="preserve"> =&lt;90</v>
      </c>
      <c r="AL1039" s="1" t="str">
        <f>VLOOKUP(C:C,[1]基础信息!B$1:D$65536,3,0)</f>
        <v>Jug</v>
      </c>
      <c r="AM1039" s="1" t="str">
        <f>VLOOKUP(C:C,[1]基础信息!B$1:E$65536,4,0)</f>
        <v>Marella XL</v>
      </c>
      <c r="AN1039" s="1" t="str">
        <f>VLOOKUP(C:C,[1]基础信息!B$1:F$65536,5,0)</f>
        <v>Blue</v>
      </c>
    </row>
    <row r="1040" spans="1:40">
      <c r="A1040" s="1" t="s">
        <v>41</v>
      </c>
      <c r="B1040" s="1" t="s">
        <v>42</v>
      </c>
      <c r="C1040" s="1" t="s">
        <v>359</v>
      </c>
      <c r="D1040" s="1" t="s">
        <v>360</v>
      </c>
      <c r="E1040" s="1" t="s">
        <v>45</v>
      </c>
      <c r="F1040" s="1" t="s">
        <v>1287</v>
      </c>
      <c r="G1040" s="1" t="s">
        <v>2472</v>
      </c>
      <c r="H1040" s="1" t="s">
        <v>2473</v>
      </c>
      <c r="I1040" s="1" t="s">
        <v>49</v>
      </c>
      <c r="J1040" s="1" t="s">
        <v>48</v>
      </c>
      <c r="K1040" s="1">
        <v>95</v>
      </c>
      <c r="L1040" s="1">
        <v>0</v>
      </c>
      <c r="M1040" s="1">
        <v>0</v>
      </c>
      <c r="N1040" s="1">
        <v>95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 t="s">
        <v>49</v>
      </c>
      <c r="AA1040" s="1" t="s">
        <v>49</v>
      </c>
      <c r="AB1040" s="1" t="s">
        <v>49</v>
      </c>
      <c r="AC1040" s="1" t="s">
        <v>414</v>
      </c>
      <c r="AD1040" s="1" t="s">
        <v>415</v>
      </c>
      <c r="AE1040" s="1" t="s">
        <v>416</v>
      </c>
      <c r="AF1040" s="1" t="s">
        <v>1256</v>
      </c>
      <c r="AG1040" s="1" t="s">
        <v>53</v>
      </c>
      <c r="AH1040" s="1" t="s">
        <v>49</v>
      </c>
      <c r="AI1040" s="1" t="s">
        <v>54</v>
      </c>
      <c r="AJ1040" s="1">
        <v>1</v>
      </c>
      <c r="AK1040" s="1" t="str">
        <f t="shared" si="16"/>
        <v xml:space="preserve"> =&lt;90</v>
      </c>
      <c r="AL1040" s="1" t="e">
        <f>VLOOKUP(C:C,[1]基础信息!B$1:D$65536,3,0)</f>
        <v>#N/A</v>
      </c>
      <c r="AM1040" s="1" t="e">
        <f>VLOOKUP(C:C,[1]基础信息!B$1:E$65536,4,0)</f>
        <v>#N/A</v>
      </c>
      <c r="AN1040" s="1" t="e">
        <f>VLOOKUP(C:C,[1]基础信息!B$1:F$65536,5,0)</f>
        <v>#N/A</v>
      </c>
    </row>
    <row r="1041" spans="1:40">
      <c r="A1041" s="1" t="s">
        <v>41</v>
      </c>
      <c r="B1041" s="1" t="s">
        <v>42</v>
      </c>
      <c r="C1041" s="1" t="s">
        <v>417</v>
      </c>
      <c r="D1041" s="1" t="s">
        <v>418</v>
      </c>
      <c r="E1041" s="1" t="s">
        <v>45</v>
      </c>
      <c r="F1041" s="1" t="s">
        <v>419</v>
      </c>
      <c r="G1041" s="1" t="s">
        <v>2474</v>
      </c>
      <c r="H1041" s="1" t="s">
        <v>2475</v>
      </c>
      <c r="I1041" s="1" t="s">
        <v>49</v>
      </c>
      <c r="J1041" s="1" t="s">
        <v>48</v>
      </c>
      <c r="K1041" s="1">
        <v>96</v>
      </c>
      <c r="L1041" s="1">
        <v>0</v>
      </c>
      <c r="M1041" s="1">
        <v>0</v>
      </c>
      <c r="N1041" s="1">
        <v>96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 t="s">
        <v>49</v>
      </c>
      <c r="AA1041" s="1" t="s">
        <v>49</v>
      </c>
      <c r="AB1041" s="1" t="s">
        <v>49</v>
      </c>
      <c r="AC1041" s="1" t="s">
        <v>414</v>
      </c>
      <c r="AD1041" s="1" t="s">
        <v>415</v>
      </c>
      <c r="AE1041" s="1" t="s">
        <v>416</v>
      </c>
      <c r="AF1041" s="1" t="s">
        <v>422</v>
      </c>
      <c r="AG1041" s="1" t="s">
        <v>53</v>
      </c>
      <c r="AH1041" s="1" t="s">
        <v>49</v>
      </c>
      <c r="AI1041" s="1" t="s">
        <v>54</v>
      </c>
      <c r="AJ1041" s="1">
        <v>1</v>
      </c>
      <c r="AK1041" s="1" t="str">
        <f t="shared" si="16"/>
        <v xml:space="preserve"> =&lt;90</v>
      </c>
      <c r="AL1041" s="1" t="str">
        <f>VLOOKUP(C:C,[1]基础信息!B$1:D$65536,3,0)</f>
        <v>Jug</v>
      </c>
      <c r="AM1041" s="1" t="str">
        <f>VLOOKUP(C:C,[1]基础信息!B$1:E$65536,4,0)</f>
        <v>Marella XL</v>
      </c>
      <c r="AN1041" s="1" t="str">
        <f>VLOOKUP(C:C,[1]基础信息!B$1:F$65536,5,0)</f>
        <v>Silver</v>
      </c>
    </row>
    <row r="1042" spans="1:40">
      <c r="A1042" s="1" t="s">
        <v>41</v>
      </c>
      <c r="B1042" s="1" t="s">
        <v>42</v>
      </c>
      <c r="C1042" s="1" t="s">
        <v>417</v>
      </c>
      <c r="D1042" s="1" t="s">
        <v>418</v>
      </c>
      <c r="E1042" s="1" t="s">
        <v>45</v>
      </c>
      <c r="F1042" s="1" t="s">
        <v>419</v>
      </c>
      <c r="G1042" s="1" t="s">
        <v>2476</v>
      </c>
      <c r="H1042" s="1" t="s">
        <v>2477</v>
      </c>
      <c r="I1042" s="1" t="s">
        <v>49</v>
      </c>
      <c r="J1042" s="1" t="s">
        <v>48</v>
      </c>
      <c r="K1042" s="1">
        <v>96</v>
      </c>
      <c r="L1042" s="1">
        <v>0</v>
      </c>
      <c r="M1042" s="1">
        <v>0</v>
      </c>
      <c r="N1042" s="1">
        <v>96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 t="s">
        <v>49</v>
      </c>
      <c r="AA1042" s="1" t="s">
        <v>49</v>
      </c>
      <c r="AB1042" s="1" t="s">
        <v>49</v>
      </c>
      <c r="AC1042" s="1" t="s">
        <v>414</v>
      </c>
      <c r="AD1042" s="1" t="s">
        <v>415</v>
      </c>
      <c r="AE1042" s="1" t="s">
        <v>416</v>
      </c>
      <c r="AF1042" s="1" t="s">
        <v>422</v>
      </c>
      <c r="AG1042" s="1" t="s">
        <v>53</v>
      </c>
      <c r="AH1042" s="1" t="s">
        <v>49</v>
      </c>
      <c r="AI1042" s="1" t="s">
        <v>54</v>
      </c>
      <c r="AJ1042" s="1">
        <v>1</v>
      </c>
      <c r="AK1042" s="1" t="str">
        <f t="shared" si="16"/>
        <v xml:space="preserve"> =&lt;90</v>
      </c>
      <c r="AL1042" s="1" t="str">
        <f>VLOOKUP(C:C,[1]基础信息!B$1:D$65536,3,0)</f>
        <v>Jug</v>
      </c>
      <c r="AM1042" s="1" t="str">
        <f>VLOOKUP(C:C,[1]基础信息!B$1:E$65536,4,0)</f>
        <v>Marella XL</v>
      </c>
      <c r="AN1042" s="1" t="str">
        <f>VLOOKUP(C:C,[1]基础信息!B$1:F$65536,5,0)</f>
        <v>Silver</v>
      </c>
    </row>
    <row r="1043" spans="1:40">
      <c r="A1043" s="1" t="s">
        <v>41</v>
      </c>
      <c r="B1043" s="1" t="s">
        <v>42</v>
      </c>
      <c r="C1043" s="1" t="s">
        <v>417</v>
      </c>
      <c r="D1043" s="1" t="s">
        <v>418</v>
      </c>
      <c r="E1043" s="1" t="s">
        <v>45</v>
      </c>
      <c r="F1043" s="1" t="s">
        <v>419</v>
      </c>
      <c r="G1043" s="1" t="s">
        <v>2478</v>
      </c>
      <c r="H1043" s="1" t="s">
        <v>2479</v>
      </c>
      <c r="I1043" s="1" t="s">
        <v>49</v>
      </c>
      <c r="J1043" s="1" t="s">
        <v>48</v>
      </c>
      <c r="K1043" s="1">
        <v>96</v>
      </c>
      <c r="L1043" s="1">
        <v>0</v>
      </c>
      <c r="M1043" s="1">
        <v>0</v>
      </c>
      <c r="N1043" s="1">
        <v>96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 t="s">
        <v>49</v>
      </c>
      <c r="AA1043" s="1" t="s">
        <v>49</v>
      </c>
      <c r="AB1043" s="1" t="s">
        <v>49</v>
      </c>
      <c r="AC1043" s="1" t="s">
        <v>414</v>
      </c>
      <c r="AD1043" s="1" t="s">
        <v>415</v>
      </c>
      <c r="AE1043" s="1" t="s">
        <v>416</v>
      </c>
      <c r="AF1043" s="1" t="s">
        <v>422</v>
      </c>
      <c r="AG1043" s="1" t="s">
        <v>53</v>
      </c>
      <c r="AH1043" s="1" t="s">
        <v>49</v>
      </c>
      <c r="AI1043" s="1" t="s">
        <v>54</v>
      </c>
      <c r="AJ1043" s="1">
        <v>1</v>
      </c>
      <c r="AK1043" s="1" t="str">
        <f t="shared" si="16"/>
        <v xml:space="preserve"> =&lt;90</v>
      </c>
      <c r="AL1043" s="1" t="str">
        <f>VLOOKUP(C:C,[1]基础信息!B$1:D$65536,3,0)</f>
        <v>Jug</v>
      </c>
      <c r="AM1043" s="1" t="str">
        <f>VLOOKUP(C:C,[1]基础信息!B$1:E$65536,4,0)</f>
        <v>Marella XL</v>
      </c>
      <c r="AN1043" s="1" t="str">
        <f>VLOOKUP(C:C,[1]基础信息!B$1:F$65536,5,0)</f>
        <v>Silver</v>
      </c>
    </row>
    <row r="1044" spans="1:40">
      <c r="A1044" s="1" t="s">
        <v>41</v>
      </c>
      <c r="B1044" s="1" t="s">
        <v>42</v>
      </c>
      <c r="C1044" s="1" t="s">
        <v>83</v>
      </c>
      <c r="D1044" s="1" t="s">
        <v>84</v>
      </c>
      <c r="E1044" s="1" t="s">
        <v>45</v>
      </c>
      <c r="F1044" s="1" t="s">
        <v>1419</v>
      </c>
      <c r="G1044" s="1" t="s">
        <v>2480</v>
      </c>
      <c r="H1044" s="1" t="s">
        <v>2481</v>
      </c>
      <c r="I1044" s="1" t="s">
        <v>49</v>
      </c>
      <c r="J1044" s="1" t="s">
        <v>48</v>
      </c>
      <c r="K1044" s="1">
        <v>96</v>
      </c>
      <c r="L1044" s="1">
        <v>0</v>
      </c>
      <c r="M1044" s="1">
        <v>0</v>
      </c>
      <c r="N1044" s="1">
        <v>96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 t="s">
        <v>49</v>
      </c>
      <c r="AA1044" s="1" t="s">
        <v>49</v>
      </c>
      <c r="AB1044" s="1" t="s">
        <v>49</v>
      </c>
      <c r="AC1044" s="1" t="s">
        <v>213</v>
      </c>
      <c r="AD1044" s="1" t="s">
        <v>214</v>
      </c>
      <c r="AE1044" s="1" t="s">
        <v>215</v>
      </c>
      <c r="AF1044" s="1" t="s">
        <v>1422</v>
      </c>
      <c r="AG1044" s="1" t="s">
        <v>53</v>
      </c>
      <c r="AH1044" s="1" t="s">
        <v>49</v>
      </c>
      <c r="AI1044" s="1" t="s">
        <v>54</v>
      </c>
      <c r="AJ1044" s="1">
        <v>1</v>
      </c>
      <c r="AK1044" s="1" t="str">
        <f t="shared" si="16"/>
        <v xml:space="preserve"> =&lt;90</v>
      </c>
      <c r="AL1044" s="1" t="str">
        <f>VLOOKUP(C:C,[1]基础信息!B$1:D$65536,3,0)</f>
        <v>Jug</v>
      </c>
      <c r="AM1044" s="1" t="str">
        <f>VLOOKUP(C:C,[1]基础信息!B$1:E$65536,4,0)</f>
        <v>Mxplus</v>
      </c>
      <c r="AN1044" s="1" t="str">
        <f>VLOOKUP(C:C,[1]基础信息!B$1:F$65536,5,0)</f>
        <v>Blue</v>
      </c>
    </row>
    <row r="1045" spans="1:40">
      <c r="A1045" s="1" t="s">
        <v>41</v>
      </c>
      <c r="B1045" s="1" t="s">
        <v>42</v>
      </c>
      <c r="C1045" s="1" t="s">
        <v>417</v>
      </c>
      <c r="D1045" s="1" t="s">
        <v>418</v>
      </c>
      <c r="E1045" s="1" t="s">
        <v>45</v>
      </c>
      <c r="F1045" s="1" t="s">
        <v>419</v>
      </c>
      <c r="G1045" s="1" t="s">
        <v>2482</v>
      </c>
      <c r="H1045" s="1" t="s">
        <v>2483</v>
      </c>
      <c r="I1045" s="1" t="s">
        <v>49</v>
      </c>
      <c r="J1045" s="1" t="s">
        <v>48</v>
      </c>
      <c r="K1045" s="1">
        <v>96</v>
      </c>
      <c r="L1045" s="1">
        <v>0</v>
      </c>
      <c r="M1045" s="1">
        <v>0</v>
      </c>
      <c r="N1045" s="1">
        <v>96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 t="s">
        <v>49</v>
      </c>
      <c r="AA1045" s="1" t="s">
        <v>49</v>
      </c>
      <c r="AB1045" s="1" t="s">
        <v>49</v>
      </c>
      <c r="AC1045" s="1" t="s">
        <v>414</v>
      </c>
      <c r="AD1045" s="1" t="s">
        <v>415</v>
      </c>
      <c r="AE1045" s="1" t="s">
        <v>416</v>
      </c>
      <c r="AF1045" s="1" t="s">
        <v>422</v>
      </c>
      <c r="AG1045" s="1" t="s">
        <v>53</v>
      </c>
      <c r="AH1045" s="1" t="s">
        <v>49</v>
      </c>
      <c r="AI1045" s="1" t="s">
        <v>54</v>
      </c>
      <c r="AJ1045" s="1">
        <v>1</v>
      </c>
      <c r="AK1045" s="1" t="str">
        <f t="shared" si="16"/>
        <v xml:space="preserve"> =&lt;90</v>
      </c>
      <c r="AL1045" s="1" t="str">
        <f>VLOOKUP(C:C,[1]基础信息!B$1:D$65536,3,0)</f>
        <v>Jug</v>
      </c>
      <c r="AM1045" s="1" t="str">
        <f>VLOOKUP(C:C,[1]基础信息!B$1:E$65536,4,0)</f>
        <v>Marella XL</v>
      </c>
      <c r="AN1045" s="1" t="str">
        <f>VLOOKUP(C:C,[1]基础信息!B$1:F$65536,5,0)</f>
        <v>Silver</v>
      </c>
    </row>
    <row r="1046" spans="1:40">
      <c r="A1046" s="1" t="s">
        <v>41</v>
      </c>
      <c r="B1046" s="1" t="s">
        <v>42</v>
      </c>
      <c r="C1046" s="1" t="s">
        <v>417</v>
      </c>
      <c r="D1046" s="1" t="s">
        <v>418</v>
      </c>
      <c r="E1046" s="1" t="s">
        <v>45</v>
      </c>
      <c r="F1046" s="1" t="s">
        <v>419</v>
      </c>
      <c r="G1046" s="1" t="s">
        <v>2484</v>
      </c>
      <c r="H1046" s="1" t="s">
        <v>2485</v>
      </c>
      <c r="I1046" s="1" t="s">
        <v>49</v>
      </c>
      <c r="J1046" s="1" t="s">
        <v>48</v>
      </c>
      <c r="K1046" s="1">
        <v>96</v>
      </c>
      <c r="L1046" s="1">
        <v>0</v>
      </c>
      <c r="M1046" s="1">
        <v>0</v>
      </c>
      <c r="N1046" s="1">
        <v>96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 t="s">
        <v>49</v>
      </c>
      <c r="AA1046" s="1" t="s">
        <v>49</v>
      </c>
      <c r="AB1046" s="1" t="s">
        <v>49</v>
      </c>
      <c r="AC1046" s="1" t="s">
        <v>414</v>
      </c>
      <c r="AD1046" s="1" t="s">
        <v>415</v>
      </c>
      <c r="AE1046" s="1" t="s">
        <v>416</v>
      </c>
      <c r="AF1046" s="1" t="s">
        <v>422</v>
      </c>
      <c r="AG1046" s="1" t="s">
        <v>53</v>
      </c>
      <c r="AH1046" s="1" t="s">
        <v>49</v>
      </c>
      <c r="AI1046" s="1" t="s">
        <v>54</v>
      </c>
      <c r="AJ1046" s="1">
        <v>1</v>
      </c>
      <c r="AK1046" s="1" t="str">
        <f t="shared" si="16"/>
        <v xml:space="preserve"> =&lt;90</v>
      </c>
      <c r="AL1046" s="1" t="str">
        <f>VLOOKUP(C:C,[1]基础信息!B$1:D$65536,3,0)</f>
        <v>Jug</v>
      </c>
      <c r="AM1046" s="1" t="str">
        <f>VLOOKUP(C:C,[1]基础信息!B$1:E$65536,4,0)</f>
        <v>Marella XL</v>
      </c>
      <c r="AN1046" s="1" t="str">
        <f>VLOOKUP(C:C,[1]基础信息!B$1:F$65536,5,0)</f>
        <v>Silver</v>
      </c>
    </row>
    <row r="1047" spans="1:40">
      <c r="A1047" s="1" t="s">
        <v>41</v>
      </c>
      <c r="B1047" s="1" t="s">
        <v>42</v>
      </c>
      <c r="C1047" s="1" t="s">
        <v>417</v>
      </c>
      <c r="D1047" s="1" t="s">
        <v>418</v>
      </c>
      <c r="E1047" s="1" t="s">
        <v>45</v>
      </c>
      <c r="F1047" s="1" t="s">
        <v>419</v>
      </c>
      <c r="G1047" s="1" t="s">
        <v>2486</v>
      </c>
      <c r="H1047" s="1" t="s">
        <v>2487</v>
      </c>
      <c r="I1047" s="1" t="s">
        <v>49</v>
      </c>
      <c r="J1047" s="1" t="s">
        <v>48</v>
      </c>
      <c r="K1047" s="1">
        <v>96</v>
      </c>
      <c r="L1047" s="1">
        <v>0</v>
      </c>
      <c r="M1047" s="1">
        <v>0</v>
      </c>
      <c r="N1047" s="1">
        <v>96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 t="s">
        <v>49</v>
      </c>
      <c r="AA1047" s="1" t="s">
        <v>49</v>
      </c>
      <c r="AB1047" s="1" t="s">
        <v>49</v>
      </c>
      <c r="AC1047" s="1" t="s">
        <v>414</v>
      </c>
      <c r="AD1047" s="1" t="s">
        <v>415</v>
      </c>
      <c r="AE1047" s="1" t="s">
        <v>416</v>
      </c>
      <c r="AF1047" s="1" t="s">
        <v>422</v>
      </c>
      <c r="AG1047" s="1" t="s">
        <v>53</v>
      </c>
      <c r="AH1047" s="1" t="s">
        <v>49</v>
      </c>
      <c r="AI1047" s="1" t="s">
        <v>54</v>
      </c>
      <c r="AJ1047" s="1">
        <v>1</v>
      </c>
      <c r="AK1047" s="1" t="str">
        <f t="shared" si="16"/>
        <v xml:space="preserve"> =&lt;90</v>
      </c>
      <c r="AL1047" s="1" t="str">
        <f>VLOOKUP(C:C,[1]基础信息!B$1:D$65536,3,0)</f>
        <v>Jug</v>
      </c>
      <c r="AM1047" s="1" t="str">
        <f>VLOOKUP(C:C,[1]基础信息!B$1:E$65536,4,0)</f>
        <v>Marella XL</v>
      </c>
      <c r="AN1047" s="1" t="str">
        <f>VLOOKUP(C:C,[1]基础信息!B$1:F$65536,5,0)</f>
        <v>Silver</v>
      </c>
    </row>
    <row r="1048" spans="1:40">
      <c r="A1048" s="1" t="s">
        <v>41</v>
      </c>
      <c r="B1048" s="1" t="s">
        <v>42</v>
      </c>
      <c r="C1048" s="1" t="s">
        <v>417</v>
      </c>
      <c r="D1048" s="1" t="s">
        <v>418</v>
      </c>
      <c r="E1048" s="1" t="s">
        <v>45</v>
      </c>
      <c r="F1048" s="1" t="s">
        <v>419</v>
      </c>
      <c r="G1048" s="1" t="s">
        <v>2488</v>
      </c>
      <c r="H1048" s="1" t="s">
        <v>2489</v>
      </c>
      <c r="I1048" s="1" t="s">
        <v>49</v>
      </c>
      <c r="J1048" s="1" t="s">
        <v>48</v>
      </c>
      <c r="K1048" s="1">
        <v>96</v>
      </c>
      <c r="L1048" s="1">
        <v>0</v>
      </c>
      <c r="M1048" s="1">
        <v>0</v>
      </c>
      <c r="N1048" s="1">
        <v>96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 t="s">
        <v>49</v>
      </c>
      <c r="AA1048" s="1" t="s">
        <v>49</v>
      </c>
      <c r="AB1048" s="1" t="s">
        <v>49</v>
      </c>
      <c r="AC1048" s="1" t="s">
        <v>414</v>
      </c>
      <c r="AD1048" s="1" t="s">
        <v>415</v>
      </c>
      <c r="AE1048" s="1" t="s">
        <v>416</v>
      </c>
      <c r="AF1048" s="1" t="s">
        <v>422</v>
      </c>
      <c r="AG1048" s="1" t="s">
        <v>53</v>
      </c>
      <c r="AH1048" s="1" t="s">
        <v>49</v>
      </c>
      <c r="AI1048" s="1" t="s">
        <v>54</v>
      </c>
      <c r="AJ1048" s="1">
        <v>1</v>
      </c>
      <c r="AK1048" s="1" t="str">
        <f t="shared" si="16"/>
        <v xml:space="preserve"> =&lt;90</v>
      </c>
      <c r="AL1048" s="1" t="str">
        <f>VLOOKUP(C:C,[1]基础信息!B$1:D$65536,3,0)</f>
        <v>Jug</v>
      </c>
      <c r="AM1048" s="1" t="str">
        <f>VLOOKUP(C:C,[1]基础信息!B$1:E$65536,4,0)</f>
        <v>Marella XL</v>
      </c>
      <c r="AN1048" s="1" t="str">
        <f>VLOOKUP(C:C,[1]基础信息!B$1:F$65536,5,0)</f>
        <v>Silver</v>
      </c>
    </row>
    <row r="1049" spans="1:40">
      <c r="A1049" s="1" t="s">
        <v>41</v>
      </c>
      <c r="B1049" s="1" t="s">
        <v>42</v>
      </c>
      <c r="C1049" s="1" t="s">
        <v>56</v>
      </c>
      <c r="D1049" s="1" t="s">
        <v>57</v>
      </c>
      <c r="E1049" s="1" t="s">
        <v>45</v>
      </c>
      <c r="F1049" s="1" t="s">
        <v>1096</v>
      </c>
      <c r="G1049" s="1" t="s">
        <v>2490</v>
      </c>
      <c r="H1049" s="1" t="s">
        <v>2491</v>
      </c>
      <c r="I1049" s="1" t="s">
        <v>49</v>
      </c>
      <c r="J1049" s="1" t="s">
        <v>48</v>
      </c>
      <c r="K1049" s="1">
        <v>72</v>
      </c>
      <c r="L1049" s="1">
        <v>0</v>
      </c>
      <c r="M1049" s="1">
        <v>0</v>
      </c>
      <c r="N1049" s="1">
        <v>72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 t="s">
        <v>49</v>
      </c>
      <c r="AA1049" s="1" t="s">
        <v>49</v>
      </c>
      <c r="AB1049" s="1" t="s">
        <v>49</v>
      </c>
      <c r="AC1049" s="1" t="s">
        <v>938</v>
      </c>
      <c r="AD1049" s="1" t="s">
        <v>939</v>
      </c>
      <c r="AE1049" s="1" t="s">
        <v>938</v>
      </c>
      <c r="AF1049" s="1" t="s">
        <v>1099</v>
      </c>
      <c r="AG1049" s="1" t="s">
        <v>53</v>
      </c>
      <c r="AH1049" s="1" t="s">
        <v>49</v>
      </c>
      <c r="AI1049" s="1" t="s">
        <v>54</v>
      </c>
      <c r="AJ1049" s="1">
        <v>1</v>
      </c>
      <c r="AK1049" s="1" t="str">
        <f t="shared" si="16"/>
        <v xml:space="preserve"> =&lt;90</v>
      </c>
      <c r="AL1049" s="1" t="str">
        <f>VLOOKUP(C:C,[1]基础信息!B$1:D$65536,3,0)</f>
        <v>Jug</v>
      </c>
      <c r="AM1049" s="1" t="str">
        <f>VLOOKUP(C:C,[1]基础信息!B$1:E$65536,4,0)</f>
        <v>Marella XL</v>
      </c>
      <c r="AN1049" s="1" t="str">
        <f>VLOOKUP(C:C,[1]基础信息!B$1:F$65536,5,0)</f>
        <v>Blue</v>
      </c>
    </row>
    <row r="1050" spans="1:40">
      <c r="A1050" s="1" t="s">
        <v>41</v>
      </c>
      <c r="B1050" s="1" t="s">
        <v>42</v>
      </c>
      <c r="C1050" s="1" t="s">
        <v>56</v>
      </c>
      <c r="D1050" s="1" t="s">
        <v>57</v>
      </c>
      <c r="E1050" s="1" t="s">
        <v>45</v>
      </c>
      <c r="F1050" s="1" t="s">
        <v>1096</v>
      </c>
      <c r="G1050" s="1" t="s">
        <v>2492</v>
      </c>
      <c r="H1050" s="1" t="s">
        <v>2493</v>
      </c>
      <c r="I1050" s="1" t="s">
        <v>49</v>
      </c>
      <c r="J1050" s="1" t="s">
        <v>48</v>
      </c>
      <c r="K1050" s="1">
        <v>72</v>
      </c>
      <c r="L1050" s="1">
        <v>0</v>
      </c>
      <c r="M1050" s="1">
        <v>0</v>
      </c>
      <c r="N1050" s="1">
        <v>72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 t="s">
        <v>49</v>
      </c>
      <c r="AA1050" s="1" t="s">
        <v>49</v>
      </c>
      <c r="AB1050" s="1" t="s">
        <v>49</v>
      </c>
      <c r="AC1050" s="1" t="s">
        <v>938</v>
      </c>
      <c r="AD1050" s="1" t="s">
        <v>939</v>
      </c>
      <c r="AE1050" s="1" t="s">
        <v>938</v>
      </c>
      <c r="AF1050" s="1" t="s">
        <v>1099</v>
      </c>
      <c r="AG1050" s="1" t="s">
        <v>53</v>
      </c>
      <c r="AH1050" s="1" t="s">
        <v>49</v>
      </c>
      <c r="AI1050" s="1" t="s">
        <v>54</v>
      </c>
      <c r="AJ1050" s="1">
        <v>1</v>
      </c>
      <c r="AK1050" s="1" t="str">
        <f t="shared" si="16"/>
        <v xml:space="preserve"> =&lt;90</v>
      </c>
      <c r="AL1050" s="1" t="str">
        <f>VLOOKUP(C:C,[1]基础信息!B$1:D$65536,3,0)</f>
        <v>Jug</v>
      </c>
      <c r="AM1050" s="1" t="str">
        <f>VLOOKUP(C:C,[1]基础信息!B$1:E$65536,4,0)</f>
        <v>Marella XL</v>
      </c>
      <c r="AN1050" s="1" t="str">
        <f>VLOOKUP(C:C,[1]基础信息!B$1:F$65536,5,0)</f>
        <v>Blue</v>
      </c>
    </row>
    <row r="1051" spans="1:40">
      <c r="A1051" s="1" t="s">
        <v>41</v>
      </c>
      <c r="B1051" s="1" t="s">
        <v>42</v>
      </c>
      <c r="C1051" s="1" t="s">
        <v>56</v>
      </c>
      <c r="D1051" s="1" t="s">
        <v>57</v>
      </c>
      <c r="E1051" s="1" t="s">
        <v>45</v>
      </c>
      <c r="F1051" s="1" t="s">
        <v>1096</v>
      </c>
      <c r="G1051" s="1" t="s">
        <v>2494</v>
      </c>
      <c r="H1051" s="1" t="s">
        <v>2495</v>
      </c>
      <c r="I1051" s="1" t="s">
        <v>49</v>
      </c>
      <c r="J1051" s="1" t="s">
        <v>48</v>
      </c>
      <c r="K1051" s="1">
        <v>72</v>
      </c>
      <c r="L1051" s="1">
        <v>0</v>
      </c>
      <c r="M1051" s="1">
        <v>0</v>
      </c>
      <c r="N1051" s="1">
        <v>72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 t="s">
        <v>49</v>
      </c>
      <c r="AA1051" s="1" t="s">
        <v>49</v>
      </c>
      <c r="AB1051" s="1" t="s">
        <v>49</v>
      </c>
      <c r="AC1051" s="1" t="s">
        <v>938</v>
      </c>
      <c r="AD1051" s="1" t="s">
        <v>939</v>
      </c>
      <c r="AE1051" s="1" t="s">
        <v>938</v>
      </c>
      <c r="AF1051" s="1" t="s">
        <v>1099</v>
      </c>
      <c r="AG1051" s="1" t="s">
        <v>53</v>
      </c>
      <c r="AH1051" s="1" t="s">
        <v>49</v>
      </c>
      <c r="AI1051" s="1" t="s">
        <v>54</v>
      </c>
      <c r="AJ1051" s="1">
        <v>1</v>
      </c>
      <c r="AK1051" s="1" t="str">
        <f t="shared" si="16"/>
        <v xml:space="preserve"> =&lt;90</v>
      </c>
      <c r="AL1051" s="1" t="str">
        <f>VLOOKUP(C:C,[1]基础信息!B$1:D$65536,3,0)</f>
        <v>Jug</v>
      </c>
      <c r="AM1051" s="1" t="str">
        <f>VLOOKUP(C:C,[1]基础信息!B$1:E$65536,4,0)</f>
        <v>Marella XL</v>
      </c>
      <c r="AN1051" s="1" t="str">
        <f>VLOOKUP(C:C,[1]基础信息!B$1:F$65536,5,0)</f>
        <v>Blue</v>
      </c>
    </row>
    <row r="1052" spans="1:40">
      <c r="A1052" s="1" t="s">
        <v>41</v>
      </c>
      <c r="B1052" s="1" t="s">
        <v>42</v>
      </c>
      <c r="C1052" s="1" t="s">
        <v>56</v>
      </c>
      <c r="D1052" s="1" t="s">
        <v>57</v>
      </c>
      <c r="E1052" s="1" t="s">
        <v>45</v>
      </c>
      <c r="F1052" s="1" t="s">
        <v>1096</v>
      </c>
      <c r="G1052" s="1" t="s">
        <v>2496</v>
      </c>
      <c r="H1052" s="1" t="s">
        <v>2497</v>
      </c>
      <c r="I1052" s="1" t="s">
        <v>49</v>
      </c>
      <c r="J1052" s="1" t="s">
        <v>48</v>
      </c>
      <c r="K1052" s="1">
        <v>72</v>
      </c>
      <c r="L1052" s="1">
        <v>0</v>
      </c>
      <c r="M1052" s="1">
        <v>0</v>
      </c>
      <c r="N1052" s="1">
        <v>72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 t="s">
        <v>49</v>
      </c>
      <c r="AA1052" s="1" t="s">
        <v>49</v>
      </c>
      <c r="AB1052" s="1" t="s">
        <v>49</v>
      </c>
      <c r="AC1052" s="1" t="s">
        <v>938</v>
      </c>
      <c r="AD1052" s="1" t="s">
        <v>939</v>
      </c>
      <c r="AE1052" s="1" t="s">
        <v>938</v>
      </c>
      <c r="AF1052" s="1" t="s">
        <v>1099</v>
      </c>
      <c r="AG1052" s="1" t="s">
        <v>53</v>
      </c>
      <c r="AH1052" s="1" t="s">
        <v>49</v>
      </c>
      <c r="AI1052" s="1" t="s">
        <v>54</v>
      </c>
      <c r="AJ1052" s="1">
        <v>1</v>
      </c>
      <c r="AK1052" s="1" t="str">
        <f t="shared" si="16"/>
        <v xml:space="preserve"> =&lt;90</v>
      </c>
      <c r="AL1052" s="1" t="str">
        <f>VLOOKUP(C:C,[1]基础信息!B$1:D$65536,3,0)</f>
        <v>Jug</v>
      </c>
      <c r="AM1052" s="1" t="str">
        <f>VLOOKUP(C:C,[1]基础信息!B$1:E$65536,4,0)</f>
        <v>Marella XL</v>
      </c>
      <c r="AN1052" s="1" t="str">
        <f>VLOOKUP(C:C,[1]基础信息!B$1:F$65536,5,0)</f>
        <v>Blue</v>
      </c>
    </row>
    <row r="1053" spans="1:40">
      <c r="A1053" s="1" t="s">
        <v>41</v>
      </c>
      <c r="B1053" s="1" t="s">
        <v>42</v>
      </c>
      <c r="C1053" s="1" t="s">
        <v>56</v>
      </c>
      <c r="D1053" s="1" t="s">
        <v>57</v>
      </c>
      <c r="E1053" s="1" t="s">
        <v>45</v>
      </c>
      <c r="F1053" s="1" t="s">
        <v>1096</v>
      </c>
      <c r="G1053" s="1" t="s">
        <v>2498</v>
      </c>
      <c r="H1053" s="1" t="s">
        <v>2499</v>
      </c>
      <c r="I1053" s="1" t="s">
        <v>49</v>
      </c>
      <c r="J1053" s="1" t="s">
        <v>48</v>
      </c>
      <c r="K1053" s="1">
        <v>72</v>
      </c>
      <c r="L1053" s="1">
        <v>0</v>
      </c>
      <c r="M1053" s="1">
        <v>0</v>
      </c>
      <c r="N1053" s="1">
        <v>72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 t="s">
        <v>49</v>
      </c>
      <c r="AA1053" s="1" t="s">
        <v>49</v>
      </c>
      <c r="AB1053" s="1" t="s">
        <v>49</v>
      </c>
      <c r="AC1053" s="1" t="s">
        <v>938</v>
      </c>
      <c r="AD1053" s="1" t="s">
        <v>939</v>
      </c>
      <c r="AE1053" s="1" t="s">
        <v>938</v>
      </c>
      <c r="AF1053" s="1" t="s">
        <v>1099</v>
      </c>
      <c r="AG1053" s="1" t="s">
        <v>53</v>
      </c>
      <c r="AH1053" s="1" t="s">
        <v>49</v>
      </c>
      <c r="AI1053" s="1" t="s">
        <v>54</v>
      </c>
      <c r="AJ1053" s="1">
        <v>1</v>
      </c>
      <c r="AK1053" s="1" t="str">
        <f t="shared" si="16"/>
        <v xml:space="preserve"> =&lt;90</v>
      </c>
      <c r="AL1053" s="1" t="str">
        <f>VLOOKUP(C:C,[1]基础信息!B$1:D$65536,3,0)</f>
        <v>Jug</v>
      </c>
      <c r="AM1053" s="1" t="str">
        <f>VLOOKUP(C:C,[1]基础信息!B$1:E$65536,4,0)</f>
        <v>Marella XL</v>
      </c>
      <c r="AN1053" s="1" t="str">
        <f>VLOOKUP(C:C,[1]基础信息!B$1:F$65536,5,0)</f>
        <v>Blue</v>
      </c>
    </row>
    <row r="1054" spans="1:40">
      <c r="A1054" s="1" t="s">
        <v>41</v>
      </c>
      <c r="B1054" s="1" t="s">
        <v>42</v>
      </c>
      <c r="C1054" s="1" t="s">
        <v>502</v>
      </c>
      <c r="D1054" s="1" t="s">
        <v>503</v>
      </c>
      <c r="E1054" s="1" t="s">
        <v>502</v>
      </c>
      <c r="F1054" s="1" t="s">
        <v>2500</v>
      </c>
      <c r="G1054" s="1" t="s">
        <v>2501</v>
      </c>
      <c r="H1054" s="1" t="s">
        <v>2502</v>
      </c>
      <c r="I1054" s="1" t="s">
        <v>49</v>
      </c>
      <c r="J1054" s="1" t="s">
        <v>48</v>
      </c>
      <c r="K1054" s="1">
        <v>96</v>
      </c>
      <c r="L1054" s="1">
        <v>77</v>
      </c>
      <c r="M1054" s="1">
        <v>0</v>
      </c>
      <c r="N1054" s="1">
        <v>19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 t="s">
        <v>49</v>
      </c>
      <c r="AA1054" s="1" t="s">
        <v>49</v>
      </c>
      <c r="AB1054" s="1" t="s">
        <v>49</v>
      </c>
      <c r="AC1054" s="1" t="s">
        <v>2503</v>
      </c>
      <c r="AD1054" s="1" t="s">
        <v>2504</v>
      </c>
      <c r="AE1054" s="1" t="s">
        <v>2503</v>
      </c>
      <c r="AF1054" s="1" t="s">
        <v>2072</v>
      </c>
      <c r="AG1054" s="1" t="s">
        <v>338</v>
      </c>
      <c r="AH1054" s="1" t="s">
        <v>49</v>
      </c>
      <c r="AI1054" s="1" t="s">
        <v>54</v>
      </c>
      <c r="AJ1054" s="1">
        <v>1</v>
      </c>
      <c r="AK1054" s="1" t="str">
        <f t="shared" si="16"/>
        <v xml:space="preserve"> =&lt;90</v>
      </c>
      <c r="AL1054" s="1" t="str">
        <f>VLOOKUP(C:C,[1]基础信息!B$1:D$65536,3,0)</f>
        <v>Jug</v>
      </c>
      <c r="AM1054" s="1" t="str">
        <f>VLOOKUP(C:C,[1]基础信息!B$1:E$65536,4,0)</f>
        <v>Marella XL</v>
      </c>
      <c r="AN1054" s="1" t="str">
        <f>VLOOKUP(C:C,[1]基础信息!B$1:F$65536,5,0)</f>
        <v>Blue</v>
      </c>
    </row>
    <row r="1055" spans="1:40">
      <c r="A1055" s="1" t="s">
        <v>41</v>
      </c>
      <c r="B1055" s="1" t="s">
        <v>42</v>
      </c>
      <c r="C1055" s="1" t="s">
        <v>83</v>
      </c>
      <c r="D1055" s="1" t="s">
        <v>84</v>
      </c>
      <c r="E1055" s="1" t="s">
        <v>45</v>
      </c>
      <c r="F1055" s="1" t="s">
        <v>1419</v>
      </c>
      <c r="G1055" s="1" t="s">
        <v>2505</v>
      </c>
      <c r="H1055" s="1" t="s">
        <v>2506</v>
      </c>
      <c r="I1055" s="1" t="s">
        <v>49</v>
      </c>
      <c r="J1055" s="1" t="s">
        <v>48</v>
      </c>
      <c r="K1055" s="1">
        <v>96</v>
      </c>
      <c r="L1055" s="1">
        <v>0</v>
      </c>
      <c r="M1055" s="1">
        <v>0</v>
      </c>
      <c r="N1055" s="1">
        <v>96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 t="s">
        <v>49</v>
      </c>
      <c r="AA1055" s="1" t="s">
        <v>49</v>
      </c>
      <c r="AB1055" s="1" t="s">
        <v>49</v>
      </c>
      <c r="AC1055" s="1" t="s">
        <v>213</v>
      </c>
      <c r="AD1055" s="1" t="s">
        <v>214</v>
      </c>
      <c r="AE1055" s="1" t="s">
        <v>215</v>
      </c>
      <c r="AF1055" s="1" t="s">
        <v>1422</v>
      </c>
      <c r="AG1055" s="1" t="s">
        <v>53</v>
      </c>
      <c r="AH1055" s="1" t="s">
        <v>49</v>
      </c>
      <c r="AI1055" s="1" t="s">
        <v>54</v>
      </c>
      <c r="AJ1055" s="1">
        <v>1</v>
      </c>
      <c r="AK1055" s="1" t="str">
        <f t="shared" si="16"/>
        <v xml:space="preserve"> =&lt;90</v>
      </c>
      <c r="AL1055" s="1" t="str">
        <f>VLOOKUP(C:C,[1]基础信息!B$1:D$65536,3,0)</f>
        <v>Jug</v>
      </c>
      <c r="AM1055" s="1" t="str">
        <f>VLOOKUP(C:C,[1]基础信息!B$1:E$65536,4,0)</f>
        <v>Mxplus</v>
      </c>
      <c r="AN1055" s="1" t="str">
        <f>VLOOKUP(C:C,[1]基础信息!B$1:F$65536,5,0)</f>
        <v>Blue</v>
      </c>
    </row>
    <row r="1056" spans="1:40">
      <c r="A1056" s="1" t="s">
        <v>41</v>
      </c>
      <c r="B1056" s="1" t="s">
        <v>42</v>
      </c>
      <c r="C1056" s="1" t="s">
        <v>502</v>
      </c>
      <c r="D1056" s="1" t="s">
        <v>503</v>
      </c>
      <c r="E1056" s="1" t="s">
        <v>502</v>
      </c>
      <c r="F1056" s="1" t="s">
        <v>2500</v>
      </c>
      <c r="G1056" s="1" t="s">
        <v>2507</v>
      </c>
      <c r="H1056" s="1" t="s">
        <v>2508</v>
      </c>
      <c r="I1056" s="1" t="s">
        <v>49</v>
      </c>
      <c r="J1056" s="1" t="s">
        <v>48</v>
      </c>
      <c r="K1056" s="1">
        <v>96</v>
      </c>
      <c r="L1056" s="1">
        <v>0</v>
      </c>
      <c r="M1056" s="1">
        <v>0</v>
      </c>
      <c r="N1056" s="1">
        <v>96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 t="s">
        <v>49</v>
      </c>
      <c r="AA1056" s="1" t="s">
        <v>49</v>
      </c>
      <c r="AB1056" s="1" t="s">
        <v>49</v>
      </c>
      <c r="AC1056" s="1" t="s">
        <v>2503</v>
      </c>
      <c r="AD1056" s="1" t="s">
        <v>2504</v>
      </c>
      <c r="AE1056" s="1" t="s">
        <v>2503</v>
      </c>
      <c r="AF1056" s="1" t="s">
        <v>2072</v>
      </c>
      <c r="AG1056" s="1" t="s">
        <v>338</v>
      </c>
      <c r="AH1056" s="1" t="s">
        <v>49</v>
      </c>
      <c r="AI1056" s="1" t="s">
        <v>54</v>
      </c>
      <c r="AJ1056" s="1">
        <v>1</v>
      </c>
      <c r="AK1056" s="1" t="str">
        <f t="shared" si="16"/>
        <v xml:space="preserve"> =&lt;90</v>
      </c>
      <c r="AL1056" s="1" t="str">
        <f>VLOOKUP(C:C,[1]基础信息!B$1:D$65536,3,0)</f>
        <v>Jug</v>
      </c>
      <c r="AM1056" s="1" t="str">
        <f>VLOOKUP(C:C,[1]基础信息!B$1:E$65536,4,0)</f>
        <v>Marella XL</v>
      </c>
      <c r="AN1056" s="1" t="str">
        <f>VLOOKUP(C:C,[1]基础信息!B$1:F$65536,5,0)</f>
        <v>Blue</v>
      </c>
    </row>
    <row r="1057" spans="1:40">
      <c r="A1057" s="1" t="s">
        <v>41</v>
      </c>
      <c r="B1057" s="1" t="s">
        <v>42</v>
      </c>
      <c r="C1057" s="1" t="s">
        <v>83</v>
      </c>
      <c r="D1057" s="1" t="s">
        <v>84</v>
      </c>
      <c r="E1057" s="1" t="s">
        <v>45</v>
      </c>
      <c r="F1057" s="1" t="s">
        <v>1419</v>
      </c>
      <c r="G1057" s="1" t="s">
        <v>2509</v>
      </c>
      <c r="H1057" s="1" t="s">
        <v>2510</v>
      </c>
      <c r="I1057" s="1" t="s">
        <v>49</v>
      </c>
      <c r="J1057" s="1" t="s">
        <v>48</v>
      </c>
      <c r="K1057" s="1">
        <v>96</v>
      </c>
      <c r="L1057" s="1">
        <v>0</v>
      </c>
      <c r="M1057" s="1">
        <v>0</v>
      </c>
      <c r="N1057" s="1">
        <v>96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 t="s">
        <v>49</v>
      </c>
      <c r="AA1057" s="1" t="s">
        <v>49</v>
      </c>
      <c r="AB1057" s="1" t="s">
        <v>49</v>
      </c>
      <c r="AC1057" s="1" t="s">
        <v>213</v>
      </c>
      <c r="AD1057" s="1" t="s">
        <v>214</v>
      </c>
      <c r="AE1057" s="1" t="s">
        <v>215</v>
      </c>
      <c r="AF1057" s="1" t="s">
        <v>1422</v>
      </c>
      <c r="AG1057" s="1" t="s">
        <v>53</v>
      </c>
      <c r="AH1057" s="1" t="s">
        <v>49</v>
      </c>
      <c r="AI1057" s="1" t="s">
        <v>54</v>
      </c>
      <c r="AJ1057" s="1">
        <v>1</v>
      </c>
      <c r="AK1057" s="1" t="str">
        <f t="shared" si="16"/>
        <v xml:space="preserve"> =&lt;90</v>
      </c>
      <c r="AL1057" s="1" t="str">
        <f>VLOOKUP(C:C,[1]基础信息!B$1:D$65536,3,0)</f>
        <v>Jug</v>
      </c>
      <c r="AM1057" s="1" t="str">
        <f>VLOOKUP(C:C,[1]基础信息!B$1:E$65536,4,0)</f>
        <v>Mxplus</v>
      </c>
      <c r="AN1057" s="1" t="str">
        <f>VLOOKUP(C:C,[1]基础信息!B$1:F$65536,5,0)</f>
        <v>Blue</v>
      </c>
    </row>
    <row r="1058" spans="1:40">
      <c r="A1058" s="1" t="s">
        <v>41</v>
      </c>
      <c r="B1058" s="1" t="s">
        <v>42</v>
      </c>
      <c r="C1058" s="1" t="s">
        <v>502</v>
      </c>
      <c r="D1058" s="1" t="s">
        <v>503</v>
      </c>
      <c r="E1058" s="1" t="s">
        <v>502</v>
      </c>
      <c r="F1058" s="1" t="s">
        <v>2500</v>
      </c>
      <c r="G1058" s="1" t="s">
        <v>2511</v>
      </c>
      <c r="H1058" s="1" t="s">
        <v>2512</v>
      </c>
      <c r="I1058" s="1" t="s">
        <v>49</v>
      </c>
      <c r="J1058" s="1" t="s">
        <v>48</v>
      </c>
      <c r="K1058" s="1">
        <v>96</v>
      </c>
      <c r="L1058" s="1">
        <v>0</v>
      </c>
      <c r="M1058" s="1">
        <v>0</v>
      </c>
      <c r="N1058" s="1">
        <v>96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 t="s">
        <v>49</v>
      </c>
      <c r="AA1058" s="1" t="s">
        <v>49</v>
      </c>
      <c r="AB1058" s="1" t="s">
        <v>49</v>
      </c>
      <c r="AC1058" s="1" t="s">
        <v>2503</v>
      </c>
      <c r="AD1058" s="1" t="s">
        <v>2504</v>
      </c>
      <c r="AE1058" s="1" t="s">
        <v>2503</v>
      </c>
      <c r="AF1058" s="1" t="s">
        <v>2072</v>
      </c>
      <c r="AG1058" s="1" t="s">
        <v>338</v>
      </c>
      <c r="AH1058" s="1" t="s">
        <v>49</v>
      </c>
      <c r="AI1058" s="1" t="s">
        <v>54</v>
      </c>
      <c r="AJ1058" s="1">
        <v>1</v>
      </c>
      <c r="AK1058" s="1" t="str">
        <f t="shared" si="16"/>
        <v xml:space="preserve"> =&lt;90</v>
      </c>
      <c r="AL1058" s="1" t="str">
        <f>VLOOKUP(C:C,[1]基础信息!B$1:D$65536,3,0)</f>
        <v>Jug</v>
      </c>
      <c r="AM1058" s="1" t="str">
        <f>VLOOKUP(C:C,[1]基础信息!B$1:E$65536,4,0)</f>
        <v>Marella XL</v>
      </c>
      <c r="AN1058" s="1" t="str">
        <f>VLOOKUP(C:C,[1]基础信息!B$1:F$65536,5,0)</f>
        <v>Blue</v>
      </c>
    </row>
    <row r="1059" spans="1:40">
      <c r="A1059" s="1" t="s">
        <v>41</v>
      </c>
      <c r="B1059" s="1" t="s">
        <v>42</v>
      </c>
      <c r="C1059" s="1" t="s">
        <v>502</v>
      </c>
      <c r="D1059" s="1" t="s">
        <v>503</v>
      </c>
      <c r="E1059" s="1" t="s">
        <v>502</v>
      </c>
      <c r="F1059" s="1" t="s">
        <v>2500</v>
      </c>
      <c r="G1059" s="1" t="s">
        <v>2513</v>
      </c>
      <c r="H1059" s="1" t="s">
        <v>2514</v>
      </c>
      <c r="I1059" s="1" t="s">
        <v>49</v>
      </c>
      <c r="J1059" s="1" t="s">
        <v>48</v>
      </c>
      <c r="K1059" s="1">
        <v>96</v>
      </c>
      <c r="L1059" s="1">
        <v>0</v>
      </c>
      <c r="M1059" s="1">
        <v>0</v>
      </c>
      <c r="N1059" s="1">
        <v>96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 t="s">
        <v>49</v>
      </c>
      <c r="AA1059" s="1" t="s">
        <v>49</v>
      </c>
      <c r="AB1059" s="1" t="s">
        <v>49</v>
      </c>
      <c r="AC1059" s="1" t="s">
        <v>2503</v>
      </c>
      <c r="AD1059" s="1" t="s">
        <v>2504</v>
      </c>
      <c r="AE1059" s="1" t="s">
        <v>2503</v>
      </c>
      <c r="AF1059" s="1" t="s">
        <v>2072</v>
      </c>
      <c r="AG1059" s="1" t="s">
        <v>338</v>
      </c>
      <c r="AH1059" s="1" t="s">
        <v>49</v>
      </c>
      <c r="AI1059" s="1" t="s">
        <v>54</v>
      </c>
      <c r="AJ1059" s="1">
        <v>1</v>
      </c>
      <c r="AK1059" s="1" t="str">
        <f t="shared" si="16"/>
        <v xml:space="preserve"> =&lt;90</v>
      </c>
      <c r="AL1059" s="1" t="str">
        <f>VLOOKUP(C:C,[1]基础信息!B$1:D$65536,3,0)</f>
        <v>Jug</v>
      </c>
      <c r="AM1059" s="1" t="str">
        <f>VLOOKUP(C:C,[1]基础信息!B$1:E$65536,4,0)</f>
        <v>Marella XL</v>
      </c>
      <c r="AN1059" s="1" t="str">
        <f>VLOOKUP(C:C,[1]基础信息!B$1:F$65536,5,0)</f>
        <v>Blue</v>
      </c>
    </row>
    <row r="1060" spans="1:40">
      <c r="A1060" s="1" t="s">
        <v>41</v>
      </c>
      <c r="B1060" s="1" t="s">
        <v>42</v>
      </c>
      <c r="C1060" s="1" t="s">
        <v>417</v>
      </c>
      <c r="D1060" s="1" t="s">
        <v>418</v>
      </c>
      <c r="E1060" s="1" t="s">
        <v>45</v>
      </c>
      <c r="F1060" s="1" t="s">
        <v>419</v>
      </c>
      <c r="G1060" s="1" t="s">
        <v>2515</v>
      </c>
      <c r="H1060" s="1" t="s">
        <v>2516</v>
      </c>
      <c r="I1060" s="1" t="s">
        <v>49</v>
      </c>
      <c r="J1060" s="1" t="s">
        <v>48</v>
      </c>
      <c r="K1060" s="1">
        <v>96</v>
      </c>
      <c r="L1060" s="1">
        <v>0</v>
      </c>
      <c r="M1060" s="1">
        <v>0</v>
      </c>
      <c r="N1060" s="1">
        <v>96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 t="s">
        <v>49</v>
      </c>
      <c r="AA1060" s="1" t="s">
        <v>49</v>
      </c>
      <c r="AB1060" s="1" t="s">
        <v>49</v>
      </c>
      <c r="AC1060" s="1" t="s">
        <v>414</v>
      </c>
      <c r="AD1060" s="1" t="s">
        <v>415</v>
      </c>
      <c r="AE1060" s="1" t="s">
        <v>416</v>
      </c>
      <c r="AF1060" s="1" t="s">
        <v>422</v>
      </c>
      <c r="AG1060" s="1" t="s">
        <v>53</v>
      </c>
      <c r="AH1060" s="1" t="s">
        <v>49</v>
      </c>
      <c r="AI1060" s="1" t="s">
        <v>54</v>
      </c>
      <c r="AJ1060" s="1">
        <v>1</v>
      </c>
      <c r="AK1060" s="1" t="str">
        <f t="shared" si="16"/>
        <v xml:space="preserve"> =&lt;90</v>
      </c>
      <c r="AL1060" s="1" t="str">
        <f>VLOOKUP(C:C,[1]基础信息!B$1:D$65536,3,0)</f>
        <v>Jug</v>
      </c>
      <c r="AM1060" s="1" t="str">
        <f>VLOOKUP(C:C,[1]基础信息!B$1:E$65536,4,0)</f>
        <v>Marella XL</v>
      </c>
      <c r="AN1060" s="1" t="str">
        <f>VLOOKUP(C:C,[1]基础信息!B$1:F$65536,5,0)</f>
        <v>Silver</v>
      </c>
    </row>
    <row r="1061" spans="1:40">
      <c r="A1061" s="1" t="s">
        <v>41</v>
      </c>
      <c r="B1061" s="1" t="s">
        <v>42</v>
      </c>
      <c r="C1061" s="1" t="s">
        <v>83</v>
      </c>
      <c r="D1061" s="1" t="s">
        <v>84</v>
      </c>
      <c r="E1061" s="1" t="s">
        <v>45</v>
      </c>
      <c r="F1061" s="1" t="s">
        <v>1419</v>
      </c>
      <c r="G1061" s="1" t="s">
        <v>2517</v>
      </c>
      <c r="H1061" s="1" t="s">
        <v>2518</v>
      </c>
      <c r="I1061" s="1" t="s">
        <v>49</v>
      </c>
      <c r="J1061" s="1" t="s">
        <v>48</v>
      </c>
      <c r="K1061" s="1">
        <v>96</v>
      </c>
      <c r="L1061" s="1">
        <v>0</v>
      </c>
      <c r="M1061" s="1">
        <v>0</v>
      </c>
      <c r="N1061" s="1">
        <v>96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 t="s">
        <v>49</v>
      </c>
      <c r="AA1061" s="1" t="s">
        <v>49</v>
      </c>
      <c r="AB1061" s="1" t="s">
        <v>49</v>
      </c>
      <c r="AC1061" s="1" t="s">
        <v>213</v>
      </c>
      <c r="AD1061" s="1" t="s">
        <v>214</v>
      </c>
      <c r="AE1061" s="1" t="s">
        <v>215</v>
      </c>
      <c r="AF1061" s="1" t="s">
        <v>1422</v>
      </c>
      <c r="AG1061" s="1" t="s">
        <v>53</v>
      </c>
      <c r="AH1061" s="1" t="s">
        <v>49</v>
      </c>
      <c r="AI1061" s="1" t="s">
        <v>54</v>
      </c>
      <c r="AJ1061" s="1">
        <v>1</v>
      </c>
      <c r="AK1061" s="1" t="str">
        <f t="shared" si="16"/>
        <v xml:space="preserve"> =&lt;90</v>
      </c>
      <c r="AL1061" s="1" t="str">
        <f>VLOOKUP(C:C,[1]基础信息!B$1:D$65536,3,0)</f>
        <v>Jug</v>
      </c>
      <c r="AM1061" s="1" t="str">
        <f>VLOOKUP(C:C,[1]基础信息!B$1:E$65536,4,0)</f>
        <v>Mxplus</v>
      </c>
      <c r="AN1061" s="1" t="str">
        <f>VLOOKUP(C:C,[1]基础信息!B$1:F$65536,5,0)</f>
        <v>Blue</v>
      </c>
    </row>
    <row r="1062" spans="1:40">
      <c r="A1062" s="1" t="s">
        <v>41</v>
      </c>
      <c r="B1062" s="1" t="s">
        <v>42</v>
      </c>
      <c r="C1062" s="1" t="s">
        <v>1710</v>
      </c>
      <c r="D1062" s="1" t="s">
        <v>1711</v>
      </c>
      <c r="E1062" s="1" t="s">
        <v>45</v>
      </c>
      <c r="F1062" s="1" t="s">
        <v>1712</v>
      </c>
      <c r="G1062" s="1" t="s">
        <v>2519</v>
      </c>
      <c r="H1062" s="1" t="s">
        <v>2520</v>
      </c>
      <c r="I1062" s="1" t="s">
        <v>49</v>
      </c>
      <c r="J1062" s="1" t="s">
        <v>48</v>
      </c>
      <c r="K1062" s="1">
        <v>60</v>
      </c>
      <c r="L1062" s="1">
        <v>0</v>
      </c>
      <c r="M1062" s="1">
        <v>0</v>
      </c>
      <c r="N1062" s="1">
        <v>60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 t="s">
        <v>49</v>
      </c>
      <c r="AA1062" s="1" t="s">
        <v>49</v>
      </c>
      <c r="AB1062" s="1" t="s">
        <v>49</v>
      </c>
      <c r="AC1062" s="1" t="s">
        <v>1715</v>
      </c>
      <c r="AD1062" s="1" t="s">
        <v>1716</v>
      </c>
      <c r="AE1062" s="1" t="s">
        <v>1715</v>
      </c>
      <c r="AF1062" s="1" t="s">
        <v>1717</v>
      </c>
      <c r="AG1062" s="1" t="s">
        <v>53</v>
      </c>
      <c r="AH1062" s="1" t="s">
        <v>49</v>
      </c>
      <c r="AI1062" s="1" t="s">
        <v>54</v>
      </c>
      <c r="AJ1062" s="1">
        <v>1</v>
      </c>
      <c r="AK1062" s="1" t="str">
        <f t="shared" si="16"/>
        <v xml:space="preserve"> =&lt;90</v>
      </c>
      <c r="AL1062" s="1" t="str">
        <f>VLOOKUP(C:C,[1]基础信息!B$1:D$65536,3,0)</f>
        <v>Jug</v>
      </c>
      <c r="AM1062" s="1" t="str">
        <f>VLOOKUP(C:C,[1]基础信息!B$1:E$65536,4,0)</f>
        <v>Kalea XL ME4W</v>
      </c>
      <c r="AN1062" s="1" t="str">
        <f>VLOOKUP(C:C,[1]基础信息!B$1:F$65536,5,0)</f>
        <v>grey</v>
      </c>
    </row>
    <row r="1063" spans="1:40">
      <c r="A1063" s="1" t="s">
        <v>41</v>
      </c>
      <c r="B1063" s="1" t="s">
        <v>42</v>
      </c>
      <c r="C1063" s="1" t="s">
        <v>56</v>
      </c>
      <c r="D1063" s="1" t="s">
        <v>57</v>
      </c>
      <c r="E1063" s="1" t="s">
        <v>45</v>
      </c>
      <c r="F1063" s="1" t="s">
        <v>1096</v>
      </c>
      <c r="G1063" s="1" t="s">
        <v>2521</v>
      </c>
      <c r="H1063" s="1" t="s">
        <v>2522</v>
      </c>
      <c r="I1063" s="1" t="s">
        <v>49</v>
      </c>
      <c r="J1063" s="1" t="s">
        <v>48</v>
      </c>
      <c r="K1063" s="1">
        <v>72</v>
      </c>
      <c r="L1063" s="1">
        <v>0</v>
      </c>
      <c r="M1063" s="1">
        <v>0</v>
      </c>
      <c r="N1063" s="1">
        <v>72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 t="s">
        <v>49</v>
      </c>
      <c r="AA1063" s="1" t="s">
        <v>49</v>
      </c>
      <c r="AB1063" s="1" t="s">
        <v>49</v>
      </c>
      <c r="AC1063" s="1" t="s">
        <v>938</v>
      </c>
      <c r="AD1063" s="1" t="s">
        <v>939</v>
      </c>
      <c r="AE1063" s="1" t="s">
        <v>938</v>
      </c>
      <c r="AF1063" s="1" t="s">
        <v>1099</v>
      </c>
      <c r="AG1063" s="1" t="s">
        <v>53</v>
      </c>
      <c r="AH1063" s="1" t="s">
        <v>49</v>
      </c>
      <c r="AI1063" s="1" t="s">
        <v>54</v>
      </c>
      <c r="AJ1063" s="1">
        <v>1</v>
      </c>
      <c r="AK1063" s="1" t="str">
        <f t="shared" si="16"/>
        <v xml:space="preserve"> =&lt;90</v>
      </c>
      <c r="AL1063" s="1" t="str">
        <f>VLOOKUP(C:C,[1]基础信息!B$1:D$65536,3,0)</f>
        <v>Jug</v>
      </c>
      <c r="AM1063" s="1" t="str">
        <f>VLOOKUP(C:C,[1]基础信息!B$1:E$65536,4,0)</f>
        <v>Marella XL</v>
      </c>
      <c r="AN1063" s="1" t="str">
        <f>VLOOKUP(C:C,[1]基础信息!B$1:F$65536,5,0)</f>
        <v>Blue</v>
      </c>
    </row>
    <row r="1064" spans="1:40">
      <c r="A1064" s="1" t="s">
        <v>41</v>
      </c>
      <c r="B1064" s="1" t="s">
        <v>42</v>
      </c>
      <c r="C1064" s="1" t="s">
        <v>56</v>
      </c>
      <c r="D1064" s="1" t="s">
        <v>57</v>
      </c>
      <c r="E1064" s="1" t="s">
        <v>45</v>
      </c>
      <c r="F1064" s="1" t="s">
        <v>1096</v>
      </c>
      <c r="G1064" s="1" t="s">
        <v>2523</v>
      </c>
      <c r="H1064" s="1" t="s">
        <v>2524</v>
      </c>
      <c r="I1064" s="1" t="s">
        <v>49</v>
      </c>
      <c r="J1064" s="1" t="s">
        <v>48</v>
      </c>
      <c r="K1064" s="1">
        <v>72</v>
      </c>
      <c r="L1064" s="1">
        <v>0</v>
      </c>
      <c r="M1064" s="1">
        <v>0</v>
      </c>
      <c r="N1064" s="1">
        <v>72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 t="s">
        <v>49</v>
      </c>
      <c r="AA1064" s="1" t="s">
        <v>49</v>
      </c>
      <c r="AB1064" s="1" t="s">
        <v>49</v>
      </c>
      <c r="AC1064" s="1" t="s">
        <v>938</v>
      </c>
      <c r="AD1064" s="1" t="s">
        <v>939</v>
      </c>
      <c r="AE1064" s="1" t="s">
        <v>938</v>
      </c>
      <c r="AF1064" s="1" t="s">
        <v>1099</v>
      </c>
      <c r="AG1064" s="1" t="s">
        <v>53</v>
      </c>
      <c r="AH1064" s="1" t="s">
        <v>49</v>
      </c>
      <c r="AI1064" s="1" t="s">
        <v>54</v>
      </c>
      <c r="AJ1064" s="1">
        <v>1</v>
      </c>
      <c r="AK1064" s="1" t="str">
        <f t="shared" si="16"/>
        <v xml:space="preserve"> =&lt;90</v>
      </c>
      <c r="AL1064" s="1" t="str">
        <f>VLOOKUP(C:C,[1]基础信息!B$1:D$65536,3,0)</f>
        <v>Jug</v>
      </c>
      <c r="AM1064" s="1" t="str">
        <f>VLOOKUP(C:C,[1]基础信息!B$1:E$65536,4,0)</f>
        <v>Marella XL</v>
      </c>
      <c r="AN1064" s="1" t="str">
        <f>VLOOKUP(C:C,[1]基础信息!B$1:F$65536,5,0)</f>
        <v>Blue</v>
      </c>
    </row>
    <row r="1065" spans="1:40">
      <c r="A1065" s="1" t="s">
        <v>41</v>
      </c>
      <c r="B1065" s="1" t="s">
        <v>42</v>
      </c>
      <c r="C1065" s="1" t="s">
        <v>285</v>
      </c>
      <c r="D1065" s="1" t="s">
        <v>286</v>
      </c>
      <c r="E1065" s="1" t="s">
        <v>45</v>
      </c>
      <c r="F1065" s="1" t="s">
        <v>1548</v>
      </c>
      <c r="G1065" s="1" t="s">
        <v>2525</v>
      </c>
      <c r="H1065" s="1" t="s">
        <v>2526</v>
      </c>
      <c r="I1065" s="1" t="s">
        <v>49</v>
      </c>
      <c r="J1065" s="1" t="s">
        <v>48</v>
      </c>
      <c r="K1065" s="1">
        <v>70</v>
      </c>
      <c r="L1065" s="1">
        <v>0</v>
      </c>
      <c r="M1065" s="1">
        <v>0</v>
      </c>
      <c r="N1065" s="1">
        <v>70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 t="s">
        <v>49</v>
      </c>
      <c r="AA1065" s="1" t="s">
        <v>49</v>
      </c>
      <c r="AB1065" s="1" t="s">
        <v>49</v>
      </c>
      <c r="AC1065" s="1" t="s">
        <v>1551</v>
      </c>
      <c r="AD1065" s="1" t="s">
        <v>1552</v>
      </c>
      <c r="AE1065" s="1" t="s">
        <v>1551</v>
      </c>
      <c r="AF1065" s="1" t="s">
        <v>1553</v>
      </c>
      <c r="AG1065" s="1" t="s">
        <v>53</v>
      </c>
      <c r="AH1065" s="1" t="s">
        <v>49</v>
      </c>
      <c r="AI1065" s="1" t="s">
        <v>54</v>
      </c>
      <c r="AJ1065" s="1">
        <v>1</v>
      </c>
      <c r="AK1065" s="1" t="str">
        <f t="shared" si="16"/>
        <v xml:space="preserve"> =&lt;90</v>
      </c>
      <c r="AL1065" s="1" t="str">
        <f>VLOOKUP(C:C,[1]基础信息!B$1:D$65536,3,0)</f>
        <v>Jug</v>
      </c>
      <c r="AM1065" s="1" t="str">
        <f>VLOOKUP(C:C,[1]基础信息!B$1:E$65536,4,0)</f>
        <v>Marella XL</v>
      </c>
      <c r="AN1065" s="1" t="str">
        <f>VLOOKUP(C:C,[1]基础信息!B$1:F$65536,5,0)</f>
        <v>Blue</v>
      </c>
    </row>
    <row r="1066" spans="1:40">
      <c r="A1066" s="1" t="s">
        <v>41</v>
      </c>
      <c r="B1066" s="1" t="s">
        <v>42</v>
      </c>
      <c r="C1066" s="1" t="s">
        <v>83</v>
      </c>
      <c r="D1066" s="1" t="s">
        <v>84</v>
      </c>
      <c r="E1066" s="1" t="s">
        <v>45</v>
      </c>
      <c r="F1066" s="1" t="s">
        <v>1419</v>
      </c>
      <c r="G1066" s="1" t="s">
        <v>2527</v>
      </c>
      <c r="H1066" s="1" t="s">
        <v>2528</v>
      </c>
      <c r="I1066" s="1" t="s">
        <v>49</v>
      </c>
      <c r="J1066" s="1" t="s">
        <v>48</v>
      </c>
      <c r="K1066" s="1">
        <v>96</v>
      </c>
      <c r="L1066" s="1">
        <v>0</v>
      </c>
      <c r="M1066" s="1">
        <v>0</v>
      </c>
      <c r="N1066" s="1">
        <v>96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 t="s">
        <v>49</v>
      </c>
      <c r="AA1066" s="1" t="s">
        <v>49</v>
      </c>
      <c r="AB1066" s="1" t="s">
        <v>49</v>
      </c>
      <c r="AC1066" s="1" t="s">
        <v>213</v>
      </c>
      <c r="AD1066" s="1" t="s">
        <v>214</v>
      </c>
      <c r="AE1066" s="1" t="s">
        <v>215</v>
      </c>
      <c r="AF1066" s="1" t="s">
        <v>1422</v>
      </c>
      <c r="AG1066" s="1" t="s">
        <v>53</v>
      </c>
      <c r="AH1066" s="1" t="s">
        <v>49</v>
      </c>
      <c r="AI1066" s="1" t="s">
        <v>54</v>
      </c>
      <c r="AJ1066" s="1">
        <v>1</v>
      </c>
      <c r="AK1066" s="1" t="str">
        <f t="shared" si="16"/>
        <v xml:space="preserve"> =&lt;90</v>
      </c>
      <c r="AL1066" s="1" t="str">
        <f>VLOOKUP(C:C,[1]基础信息!B$1:D$65536,3,0)</f>
        <v>Jug</v>
      </c>
      <c r="AM1066" s="1" t="str">
        <f>VLOOKUP(C:C,[1]基础信息!B$1:E$65536,4,0)</f>
        <v>Mxplus</v>
      </c>
      <c r="AN1066" s="1" t="str">
        <f>VLOOKUP(C:C,[1]基础信息!B$1:F$65536,5,0)</f>
        <v>Blue</v>
      </c>
    </row>
    <row r="1067" spans="1:40">
      <c r="A1067" s="1" t="s">
        <v>41</v>
      </c>
      <c r="B1067" s="1" t="s">
        <v>42</v>
      </c>
      <c r="C1067" s="1" t="s">
        <v>481</v>
      </c>
      <c r="D1067" s="1" t="s">
        <v>482</v>
      </c>
      <c r="E1067" s="1" t="s">
        <v>45</v>
      </c>
      <c r="F1067" s="1" t="s">
        <v>1491</v>
      </c>
      <c r="G1067" s="1" t="s">
        <v>2529</v>
      </c>
      <c r="H1067" s="1" t="s">
        <v>2530</v>
      </c>
      <c r="I1067" s="1" t="s">
        <v>49</v>
      </c>
      <c r="J1067" s="1" t="s">
        <v>48</v>
      </c>
      <c r="K1067" s="1">
        <v>168</v>
      </c>
      <c r="L1067" s="1">
        <v>0</v>
      </c>
      <c r="M1067" s="1">
        <v>0</v>
      </c>
      <c r="N1067" s="1">
        <v>168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 t="s">
        <v>49</v>
      </c>
      <c r="AA1067" s="1" t="s">
        <v>49</v>
      </c>
      <c r="AB1067" s="1" t="s">
        <v>49</v>
      </c>
      <c r="AC1067" s="1" t="s">
        <v>883</v>
      </c>
      <c r="AD1067" s="1" t="s">
        <v>884</v>
      </c>
      <c r="AE1067" s="1" t="s">
        <v>883</v>
      </c>
      <c r="AF1067" s="1" t="s">
        <v>1494</v>
      </c>
      <c r="AG1067" s="1" t="s">
        <v>53</v>
      </c>
      <c r="AH1067" s="1" t="s">
        <v>49</v>
      </c>
      <c r="AI1067" s="1" t="s">
        <v>54</v>
      </c>
      <c r="AJ1067" s="1">
        <v>1</v>
      </c>
      <c r="AK1067" s="1" t="str">
        <f t="shared" si="16"/>
        <v xml:space="preserve"> =&lt;90</v>
      </c>
      <c r="AL1067" s="1" t="str">
        <f>VLOOKUP(C:C,[1]基础信息!B$1:D$65536,3,0)</f>
        <v>Jug</v>
      </c>
      <c r="AM1067" s="1" t="str">
        <f>VLOOKUP(C:C,[1]基础信息!B$1:E$65536,4,0)</f>
        <v>Style COOL</v>
      </c>
      <c r="AN1067" s="1" t="str">
        <f>VLOOKUP(C:C,[1]基础信息!B$1:F$65536,5,0)</f>
        <v>Cool Blue</v>
      </c>
    </row>
    <row r="1068" spans="1:40">
      <c r="A1068" s="1" t="s">
        <v>41</v>
      </c>
      <c r="B1068" s="1" t="s">
        <v>42</v>
      </c>
      <c r="C1068" s="1" t="s">
        <v>83</v>
      </c>
      <c r="D1068" s="1" t="s">
        <v>84</v>
      </c>
      <c r="E1068" s="1" t="s">
        <v>45</v>
      </c>
      <c r="F1068" s="1" t="s">
        <v>1419</v>
      </c>
      <c r="G1068" s="1" t="s">
        <v>2531</v>
      </c>
      <c r="H1068" s="1" t="s">
        <v>2532</v>
      </c>
      <c r="I1068" s="1" t="s">
        <v>49</v>
      </c>
      <c r="J1068" s="1" t="s">
        <v>48</v>
      </c>
      <c r="K1068" s="1">
        <v>96</v>
      </c>
      <c r="L1068" s="1">
        <v>0</v>
      </c>
      <c r="M1068" s="1">
        <v>0</v>
      </c>
      <c r="N1068" s="1">
        <v>96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 t="s">
        <v>49</v>
      </c>
      <c r="AA1068" s="1" t="s">
        <v>49</v>
      </c>
      <c r="AB1068" s="1" t="s">
        <v>49</v>
      </c>
      <c r="AC1068" s="1" t="s">
        <v>213</v>
      </c>
      <c r="AD1068" s="1" t="s">
        <v>214</v>
      </c>
      <c r="AE1068" s="1" t="s">
        <v>215</v>
      </c>
      <c r="AF1068" s="1" t="s">
        <v>1422</v>
      </c>
      <c r="AG1068" s="1" t="s">
        <v>53</v>
      </c>
      <c r="AH1068" s="1" t="s">
        <v>49</v>
      </c>
      <c r="AI1068" s="1" t="s">
        <v>54</v>
      </c>
      <c r="AJ1068" s="1">
        <v>1</v>
      </c>
      <c r="AK1068" s="1" t="str">
        <f t="shared" si="16"/>
        <v xml:space="preserve"> =&lt;90</v>
      </c>
      <c r="AL1068" s="1" t="str">
        <f>VLOOKUP(C:C,[1]基础信息!B$1:D$65536,3,0)</f>
        <v>Jug</v>
      </c>
      <c r="AM1068" s="1" t="str">
        <f>VLOOKUP(C:C,[1]基础信息!B$1:E$65536,4,0)</f>
        <v>Mxplus</v>
      </c>
      <c r="AN1068" s="1" t="str">
        <f>VLOOKUP(C:C,[1]基础信息!B$1:F$65536,5,0)</f>
        <v>Blue</v>
      </c>
    </row>
    <row r="1069" spans="1:40">
      <c r="A1069" s="1" t="s">
        <v>41</v>
      </c>
      <c r="B1069" s="1" t="s">
        <v>42</v>
      </c>
      <c r="C1069" s="1" t="s">
        <v>502</v>
      </c>
      <c r="D1069" s="1" t="s">
        <v>503</v>
      </c>
      <c r="E1069" s="1" t="s">
        <v>502</v>
      </c>
      <c r="F1069" s="1" t="s">
        <v>2500</v>
      </c>
      <c r="G1069" s="1" t="s">
        <v>2533</v>
      </c>
      <c r="H1069" s="1" t="s">
        <v>2534</v>
      </c>
      <c r="I1069" s="1" t="s">
        <v>49</v>
      </c>
      <c r="J1069" s="1" t="s">
        <v>48</v>
      </c>
      <c r="K1069" s="1">
        <v>96</v>
      </c>
      <c r="L1069" s="1">
        <v>0</v>
      </c>
      <c r="M1069" s="1">
        <v>0</v>
      </c>
      <c r="N1069" s="1">
        <v>96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 t="s">
        <v>49</v>
      </c>
      <c r="AA1069" s="1" t="s">
        <v>49</v>
      </c>
      <c r="AB1069" s="1" t="s">
        <v>49</v>
      </c>
      <c r="AC1069" s="1" t="s">
        <v>2503</v>
      </c>
      <c r="AD1069" s="1" t="s">
        <v>2504</v>
      </c>
      <c r="AE1069" s="1" t="s">
        <v>2503</v>
      </c>
      <c r="AF1069" s="1" t="s">
        <v>2072</v>
      </c>
      <c r="AG1069" s="1" t="s">
        <v>338</v>
      </c>
      <c r="AH1069" s="1" t="s">
        <v>49</v>
      </c>
      <c r="AI1069" s="1" t="s">
        <v>54</v>
      </c>
      <c r="AJ1069" s="1">
        <v>1</v>
      </c>
      <c r="AK1069" s="1" t="str">
        <f t="shared" si="16"/>
        <v xml:space="preserve"> =&lt;90</v>
      </c>
      <c r="AL1069" s="1" t="str">
        <f>VLOOKUP(C:C,[1]基础信息!B$1:D$65536,3,0)</f>
        <v>Jug</v>
      </c>
      <c r="AM1069" s="1" t="str">
        <f>VLOOKUP(C:C,[1]基础信息!B$1:E$65536,4,0)</f>
        <v>Marella XL</v>
      </c>
      <c r="AN1069" s="1" t="str">
        <f>VLOOKUP(C:C,[1]基础信息!B$1:F$65536,5,0)</f>
        <v>Blue</v>
      </c>
    </row>
    <row r="1070" spans="1:40">
      <c r="A1070" s="1" t="s">
        <v>41</v>
      </c>
      <c r="B1070" s="1" t="s">
        <v>42</v>
      </c>
      <c r="C1070" s="1" t="s">
        <v>83</v>
      </c>
      <c r="D1070" s="1" t="s">
        <v>84</v>
      </c>
      <c r="E1070" s="1" t="s">
        <v>45</v>
      </c>
      <c r="F1070" s="1" t="s">
        <v>1419</v>
      </c>
      <c r="G1070" s="1" t="s">
        <v>2535</v>
      </c>
      <c r="H1070" s="1" t="s">
        <v>2536</v>
      </c>
      <c r="I1070" s="1" t="s">
        <v>49</v>
      </c>
      <c r="J1070" s="1" t="s">
        <v>48</v>
      </c>
      <c r="K1070" s="1">
        <v>96</v>
      </c>
      <c r="L1070" s="1">
        <v>0</v>
      </c>
      <c r="M1070" s="1">
        <v>0</v>
      </c>
      <c r="N1070" s="1">
        <v>96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 t="s">
        <v>49</v>
      </c>
      <c r="AA1070" s="1" t="s">
        <v>49</v>
      </c>
      <c r="AB1070" s="1" t="s">
        <v>49</v>
      </c>
      <c r="AC1070" s="1" t="s">
        <v>213</v>
      </c>
      <c r="AD1070" s="1" t="s">
        <v>214</v>
      </c>
      <c r="AE1070" s="1" t="s">
        <v>215</v>
      </c>
      <c r="AF1070" s="1" t="s">
        <v>1422</v>
      </c>
      <c r="AG1070" s="1" t="s">
        <v>53</v>
      </c>
      <c r="AH1070" s="1" t="s">
        <v>49</v>
      </c>
      <c r="AI1070" s="1" t="s">
        <v>54</v>
      </c>
      <c r="AJ1070" s="1">
        <v>1</v>
      </c>
      <c r="AK1070" s="1" t="str">
        <f t="shared" si="16"/>
        <v xml:space="preserve"> =&lt;90</v>
      </c>
      <c r="AL1070" s="1" t="str">
        <f>VLOOKUP(C:C,[1]基础信息!B$1:D$65536,3,0)</f>
        <v>Jug</v>
      </c>
      <c r="AM1070" s="1" t="str">
        <f>VLOOKUP(C:C,[1]基础信息!B$1:E$65536,4,0)</f>
        <v>Mxplus</v>
      </c>
      <c r="AN1070" s="1" t="str">
        <f>VLOOKUP(C:C,[1]基础信息!B$1:F$65536,5,0)</f>
        <v>Blue</v>
      </c>
    </row>
    <row r="1071" spans="1:40">
      <c r="A1071" s="1" t="s">
        <v>41</v>
      </c>
      <c r="B1071" s="1" t="s">
        <v>42</v>
      </c>
      <c r="C1071" s="1" t="s">
        <v>83</v>
      </c>
      <c r="D1071" s="1" t="s">
        <v>84</v>
      </c>
      <c r="E1071" s="1" t="s">
        <v>45</v>
      </c>
      <c r="F1071" s="1" t="s">
        <v>1419</v>
      </c>
      <c r="G1071" s="1" t="s">
        <v>2537</v>
      </c>
      <c r="H1071" s="1" t="s">
        <v>2538</v>
      </c>
      <c r="I1071" s="1" t="s">
        <v>49</v>
      </c>
      <c r="J1071" s="1" t="s">
        <v>48</v>
      </c>
      <c r="K1071" s="1">
        <v>96</v>
      </c>
      <c r="L1071" s="1">
        <v>0</v>
      </c>
      <c r="M1071" s="1">
        <v>0</v>
      </c>
      <c r="N1071" s="1">
        <v>96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 t="s">
        <v>49</v>
      </c>
      <c r="AA1071" s="1" t="s">
        <v>49</v>
      </c>
      <c r="AB1071" s="1" t="s">
        <v>49</v>
      </c>
      <c r="AC1071" s="1" t="s">
        <v>213</v>
      </c>
      <c r="AD1071" s="1" t="s">
        <v>214</v>
      </c>
      <c r="AE1071" s="1" t="s">
        <v>215</v>
      </c>
      <c r="AF1071" s="1" t="s">
        <v>1422</v>
      </c>
      <c r="AG1071" s="1" t="s">
        <v>53</v>
      </c>
      <c r="AH1071" s="1" t="s">
        <v>49</v>
      </c>
      <c r="AI1071" s="1" t="s">
        <v>54</v>
      </c>
      <c r="AJ1071" s="1">
        <v>1</v>
      </c>
      <c r="AK1071" s="1" t="str">
        <f t="shared" si="16"/>
        <v xml:space="preserve"> =&lt;90</v>
      </c>
      <c r="AL1071" s="1" t="str">
        <f>VLOOKUP(C:C,[1]基础信息!B$1:D$65536,3,0)</f>
        <v>Jug</v>
      </c>
      <c r="AM1071" s="1" t="str">
        <f>VLOOKUP(C:C,[1]基础信息!B$1:E$65536,4,0)</f>
        <v>Mxplus</v>
      </c>
      <c r="AN1071" s="1" t="str">
        <f>VLOOKUP(C:C,[1]基础信息!B$1:F$65536,5,0)</f>
        <v>Blue</v>
      </c>
    </row>
    <row r="1072" spans="1:40">
      <c r="A1072" s="1" t="s">
        <v>41</v>
      </c>
      <c r="B1072" s="1" t="s">
        <v>42</v>
      </c>
      <c r="C1072" s="1" t="s">
        <v>83</v>
      </c>
      <c r="D1072" s="1" t="s">
        <v>84</v>
      </c>
      <c r="E1072" s="1" t="s">
        <v>45</v>
      </c>
      <c r="F1072" s="1" t="s">
        <v>1419</v>
      </c>
      <c r="G1072" s="1" t="s">
        <v>2539</v>
      </c>
      <c r="H1072" s="1" t="s">
        <v>2540</v>
      </c>
      <c r="I1072" s="1" t="s">
        <v>49</v>
      </c>
      <c r="J1072" s="1" t="s">
        <v>48</v>
      </c>
      <c r="K1072" s="1">
        <v>96</v>
      </c>
      <c r="L1072" s="1">
        <v>0</v>
      </c>
      <c r="M1072" s="1">
        <v>0</v>
      </c>
      <c r="N1072" s="1">
        <v>96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 t="s">
        <v>49</v>
      </c>
      <c r="AA1072" s="1" t="s">
        <v>49</v>
      </c>
      <c r="AB1072" s="1" t="s">
        <v>49</v>
      </c>
      <c r="AC1072" s="1" t="s">
        <v>213</v>
      </c>
      <c r="AD1072" s="1" t="s">
        <v>214</v>
      </c>
      <c r="AE1072" s="1" t="s">
        <v>215</v>
      </c>
      <c r="AF1072" s="1" t="s">
        <v>1422</v>
      </c>
      <c r="AG1072" s="1" t="s">
        <v>53</v>
      </c>
      <c r="AH1072" s="1" t="s">
        <v>49</v>
      </c>
      <c r="AI1072" s="1" t="s">
        <v>54</v>
      </c>
      <c r="AJ1072" s="1">
        <v>1</v>
      </c>
      <c r="AK1072" s="1" t="str">
        <f t="shared" si="16"/>
        <v xml:space="preserve"> =&lt;90</v>
      </c>
      <c r="AL1072" s="1" t="str">
        <f>VLOOKUP(C:C,[1]基础信息!B$1:D$65536,3,0)</f>
        <v>Jug</v>
      </c>
      <c r="AM1072" s="1" t="str">
        <f>VLOOKUP(C:C,[1]基础信息!B$1:E$65536,4,0)</f>
        <v>Mxplus</v>
      </c>
      <c r="AN1072" s="1" t="str">
        <f>VLOOKUP(C:C,[1]基础信息!B$1:F$65536,5,0)</f>
        <v>Blue</v>
      </c>
    </row>
    <row r="1073" spans="1:40">
      <c r="A1073" s="1" t="s">
        <v>41</v>
      </c>
      <c r="B1073" s="1" t="s">
        <v>42</v>
      </c>
      <c r="C1073" s="1" t="s">
        <v>417</v>
      </c>
      <c r="D1073" s="1" t="s">
        <v>418</v>
      </c>
      <c r="E1073" s="1" t="s">
        <v>45</v>
      </c>
      <c r="F1073" s="1" t="s">
        <v>419</v>
      </c>
      <c r="G1073" s="1" t="s">
        <v>2541</v>
      </c>
      <c r="H1073" s="1" t="s">
        <v>2542</v>
      </c>
      <c r="I1073" s="1" t="s">
        <v>49</v>
      </c>
      <c r="J1073" s="1" t="s">
        <v>48</v>
      </c>
      <c r="K1073" s="1">
        <v>96</v>
      </c>
      <c r="L1073" s="1">
        <v>0</v>
      </c>
      <c r="M1073" s="1">
        <v>0</v>
      </c>
      <c r="N1073" s="1">
        <v>96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 t="s">
        <v>49</v>
      </c>
      <c r="AA1073" s="1" t="s">
        <v>49</v>
      </c>
      <c r="AB1073" s="1" t="s">
        <v>49</v>
      </c>
      <c r="AC1073" s="1" t="s">
        <v>414</v>
      </c>
      <c r="AD1073" s="1" t="s">
        <v>415</v>
      </c>
      <c r="AE1073" s="1" t="s">
        <v>416</v>
      </c>
      <c r="AF1073" s="1" t="s">
        <v>422</v>
      </c>
      <c r="AG1073" s="1" t="s">
        <v>53</v>
      </c>
      <c r="AH1073" s="1" t="s">
        <v>49</v>
      </c>
      <c r="AI1073" s="1" t="s">
        <v>54</v>
      </c>
      <c r="AJ1073" s="1">
        <v>1</v>
      </c>
      <c r="AK1073" s="1" t="str">
        <f t="shared" si="16"/>
        <v xml:space="preserve"> =&lt;90</v>
      </c>
      <c r="AL1073" s="1" t="str">
        <f>VLOOKUP(C:C,[1]基础信息!B$1:D$65536,3,0)</f>
        <v>Jug</v>
      </c>
      <c r="AM1073" s="1" t="str">
        <f>VLOOKUP(C:C,[1]基础信息!B$1:E$65536,4,0)</f>
        <v>Marella XL</v>
      </c>
      <c r="AN1073" s="1" t="str">
        <f>VLOOKUP(C:C,[1]基础信息!B$1:F$65536,5,0)</f>
        <v>Silver</v>
      </c>
    </row>
    <row r="1074" spans="1:40">
      <c r="A1074" s="1" t="s">
        <v>41</v>
      </c>
      <c r="B1074" s="1" t="s">
        <v>42</v>
      </c>
      <c r="C1074" s="1" t="s">
        <v>83</v>
      </c>
      <c r="D1074" s="1" t="s">
        <v>84</v>
      </c>
      <c r="E1074" s="1" t="s">
        <v>45</v>
      </c>
      <c r="F1074" s="1" t="s">
        <v>1419</v>
      </c>
      <c r="G1074" s="1" t="s">
        <v>2543</v>
      </c>
      <c r="H1074" s="1" t="s">
        <v>2544</v>
      </c>
      <c r="I1074" s="1" t="s">
        <v>49</v>
      </c>
      <c r="J1074" s="1" t="s">
        <v>48</v>
      </c>
      <c r="K1074" s="1">
        <v>96</v>
      </c>
      <c r="L1074" s="1">
        <v>0</v>
      </c>
      <c r="M1074" s="1">
        <v>0</v>
      </c>
      <c r="N1074" s="1">
        <v>96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 t="s">
        <v>49</v>
      </c>
      <c r="AA1074" s="1" t="s">
        <v>49</v>
      </c>
      <c r="AB1074" s="1" t="s">
        <v>49</v>
      </c>
      <c r="AC1074" s="1" t="s">
        <v>213</v>
      </c>
      <c r="AD1074" s="1" t="s">
        <v>214</v>
      </c>
      <c r="AE1074" s="1" t="s">
        <v>215</v>
      </c>
      <c r="AF1074" s="1" t="s">
        <v>1422</v>
      </c>
      <c r="AG1074" s="1" t="s">
        <v>53</v>
      </c>
      <c r="AH1074" s="1" t="s">
        <v>49</v>
      </c>
      <c r="AI1074" s="1" t="s">
        <v>54</v>
      </c>
      <c r="AJ1074" s="1">
        <v>1</v>
      </c>
      <c r="AK1074" s="1" t="str">
        <f t="shared" si="16"/>
        <v xml:space="preserve"> =&lt;90</v>
      </c>
      <c r="AL1074" s="1" t="str">
        <f>VLOOKUP(C:C,[1]基础信息!B$1:D$65536,3,0)</f>
        <v>Jug</v>
      </c>
      <c r="AM1074" s="1" t="str">
        <f>VLOOKUP(C:C,[1]基础信息!B$1:E$65536,4,0)</f>
        <v>Mxplus</v>
      </c>
      <c r="AN1074" s="1" t="str">
        <f>VLOOKUP(C:C,[1]基础信息!B$1:F$65536,5,0)</f>
        <v>Blue</v>
      </c>
    </row>
    <row r="1075" spans="1:40">
      <c r="A1075" s="1" t="s">
        <v>41</v>
      </c>
      <c r="B1075" s="1" t="s">
        <v>42</v>
      </c>
      <c r="C1075" s="1" t="s">
        <v>285</v>
      </c>
      <c r="D1075" s="1" t="s">
        <v>286</v>
      </c>
      <c r="E1075" s="1" t="s">
        <v>45</v>
      </c>
      <c r="F1075" s="1" t="s">
        <v>2411</v>
      </c>
      <c r="G1075" s="1" t="s">
        <v>2545</v>
      </c>
      <c r="H1075" s="1" t="s">
        <v>2546</v>
      </c>
      <c r="I1075" s="1" t="s">
        <v>49</v>
      </c>
      <c r="J1075" s="1" t="s">
        <v>48</v>
      </c>
      <c r="K1075" s="1">
        <v>70</v>
      </c>
      <c r="L1075" s="1">
        <v>0</v>
      </c>
      <c r="M1075" s="1">
        <v>0</v>
      </c>
      <c r="N1075" s="1">
        <v>70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 t="s">
        <v>49</v>
      </c>
      <c r="AA1075" s="1" t="s">
        <v>49</v>
      </c>
      <c r="AB1075" s="1" t="s">
        <v>49</v>
      </c>
      <c r="AC1075" s="1" t="s">
        <v>1551</v>
      </c>
      <c r="AD1075" s="1" t="s">
        <v>1552</v>
      </c>
      <c r="AE1075" s="1" t="s">
        <v>1551</v>
      </c>
      <c r="AF1075" s="1" t="s">
        <v>2414</v>
      </c>
      <c r="AG1075" s="1" t="s">
        <v>53</v>
      </c>
      <c r="AH1075" s="1" t="s">
        <v>49</v>
      </c>
      <c r="AI1075" s="1" t="s">
        <v>54</v>
      </c>
      <c r="AJ1075" s="1">
        <v>1</v>
      </c>
      <c r="AK1075" s="1" t="str">
        <f t="shared" si="16"/>
        <v xml:space="preserve"> =&lt;90</v>
      </c>
      <c r="AL1075" s="1" t="str">
        <f>VLOOKUP(C:C,[1]基础信息!B$1:D$65536,3,0)</f>
        <v>Jug</v>
      </c>
      <c r="AM1075" s="1" t="str">
        <f>VLOOKUP(C:C,[1]基础信息!B$1:E$65536,4,0)</f>
        <v>Marella XL</v>
      </c>
      <c r="AN1075" s="1" t="str">
        <f>VLOOKUP(C:C,[1]基础信息!B$1:F$65536,5,0)</f>
        <v>Blue</v>
      </c>
    </row>
    <row r="1076" spans="1:40">
      <c r="A1076" s="1" t="s">
        <v>41</v>
      </c>
      <c r="B1076" s="1" t="s">
        <v>42</v>
      </c>
      <c r="C1076" s="1" t="s">
        <v>285</v>
      </c>
      <c r="D1076" s="1" t="s">
        <v>286</v>
      </c>
      <c r="E1076" s="1" t="s">
        <v>45</v>
      </c>
      <c r="F1076" s="1" t="s">
        <v>2547</v>
      </c>
      <c r="G1076" s="1" t="s">
        <v>2548</v>
      </c>
      <c r="H1076" s="1" t="s">
        <v>2549</v>
      </c>
      <c r="I1076" s="1" t="s">
        <v>49</v>
      </c>
      <c r="J1076" s="1" t="s">
        <v>48</v>
      </c>
      <c r="K1076" s="1">
        <v>70</v>
      </c>
      <c r="L1076" s="1">
        <v>0</v>
      </c>
      <c r="M1076" s="1">
        <v>0</v>
      </c>
      <c r="N1076" s="1">
        <v>70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 t="s">
        <v>49</v>
      </c>
      <c r="AA1076" s="1" t="s">
        <v>49</v>
      </c>
      <c r="AB1076" s="1" t="s">
        <v>49</v>
      </c>
      <c r="AC1076" s="1" t="s">
        <v>1551</v>
      </c>
      <c r="AD1076" s="1" t="s">
        <v>1552</v>
      </c>
      <c r="AE1076" s="1" t="s">
        <v>1551</v>
      </c>
      <c r="AF1076" s="1" t="s">
        <v>2550</v>
      </c>
      <c r="AG1076" s="1" t="s">
        <v>53</v>
      </c>
      <c r="AH1076" s="1" t="s">
        <v>49</v>
      </c>
      <c r="AI1076" s="1" t="s">
        <v>54</v>
      </c>
      <c r="AJ1076" s="1">
        <v>1</v>
      </c>
      <c r="AK1076" s="1" t="str">
        <f t="shared" si="16"/>
        <v xml:space="preserve"> =&lt;90</v>
      </c>
      <c r="AL1076" s="1" t="str">
        <f>VLOOKUP(C:C,[1]基础信息!B$1:D$65536,3,0)</f>
        <v>Jug</v>
      </c>
      <c r="AM1076" s="1" t="str">
        <f>VLOOKUP(C:C,[1]基础信息!B$1:E$65536,4,0)</f>
        <v>Marella XL</v>
      </c>
      <c r="AN1076" s="1" t="str">
        <f>VLOOKUP(C:C,[1]基础信息!B$1:F$65536,5,0)</f>
        <v>Blue</v>
      </c>
    </row>
    <row r="1077" spans="1:40">
      <c r="A1077" s="1" t="s">
        <v>41</v>
      </c>
      <c r="B1077" s="1" t="s">
        <v>42</v>
      </c>
      <c r="C1077" s="1" t="s">
        <v>83</v>
      </c>
      <c r="D1077" s="1" t="s">
        <v>84</v>
      </c>
      <c r="E1077" s="1" t="s">
        <v>45</v>
      </c>
      <c r="F1077" s="1" t="s">
        <v>1419</v>
      </c>
      <c r="G1077" s="1" t="s">
        <v>2551</v>
      </c>
      <c r="H1077" s="1" t="s">
        <v>2552</v>
      </c>
      <c r="I1077" s="1" t="s">
        <v>49</v>
      </c>
      <c r="J1077" s="1" t="s">
        <v>48</v>
      </c>
      <c r="K1077" s="1">
        <v>96</v>
      </c>
      <c r="L1077" s="1">
        <v>0</v>
      </c>
      <c r="M1077" s="1">
        <v>0</v>
      </c>
      <c r="N1077" s="1">
        <v>96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 t="s">
        <v>49</v>
      </c>
      <c r="AA1077" s="1" t="s">
        <v>49</v>
      </c>
      <c r="AB1077" s="1" t="s">
        <v>49</v>
      </c>
      <c r="AC1077" s="1" t="s">
        <v>213</v>
      </c>
      <c r="AD1077" s="1" t="s">
        <v>214</v>
      </c>
      <c r="AE1077" s="1" t="s">
        <v>215</v>
      </c>
      <c r="AF1077" s="1" t="s">
        <v>1422</v>
      </c>
      <c r="AG1077" s="1" t="s">
        <v>53</v>
      </c>
      <c r="AH1077" s="1" t="s">
        <v>49</v>
      </c>
      <c r="AI1077" s="1" t="s">
        <v>54</v>
      </c>
      <c r="AJ1077" s="1">
        <v>1</v>
      </c>
      <c r="AK1077" s="1" t="str">
        <f t="shared" si="16"/>
        <v xml:space="preserve"> =&lt;90</v>
      </c>
      <c r="AL1077" s="1" t="str">
        <f>VLOOKUP(C:C,[1]基础信息!B$1:D$65536,3,0)</f>
        <v>Jug</v>
      </c>
      <c r="AM1077" s="1" t="str">
        <f>VLOOKUP(C:C,[1]基础信息!B$1:E$65536,4,0)</f>
        <v>Mxplus</v>
      </c>
      <c r="AN1077" s="1" t="str">
        <f>VLOOKUP(C:C,[1]基础信息!B$1:F$65536,5,0)</f>
        <v>Blue</v>
      </c>
    </row>
    <row r="1078" spans="1:40">
      <c r="A1078" s="1" t="s">
        <v>41</v>
      </c>
      <c r="B1078" s="1" t="s">
        <v>42</v>
      </c>
      <c r="C1078" s="1" t="s">
        <v>83</v>
      </c>
      <c r="D1078" s="1" t="s">
        <v>84</v>
      </c>
      <c r="E1078" s="1" t="s">
        <v>45</v>
      </c>
      <c r="F1078" s="1" t="s">
        <v>1419</v>
      </c>
      <c r="G1078" s="1" t="s">
        <v>2553</v>
      </c>
      <c r="H1078" s="1" t="s">
        <v>2554</v>
      </c>
      <c r="I1078" s="1" t="s">
        <v>49</v>
      </c>
      <c r="J1078" s="1" t="s">
        <v>48</v>
      </c>
      <c r="K1078" s="1">
        <v>96</v>
      </c>
      <c r="L1078" s="1">
        <v>0</v>
      </c>
      <c r="M1078" s="1">
        <v>0</v>
      </c>
      <c r="N1078" s="1">
        <v>96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 t="s">
        <v>49</v>
      </c>
      <c r="AA1078" s="1" t="s">
        <v>49</v>
      </c>
      <c r="AB1078" s="1" t="s">
        <v>49</v>
      </c>
      <c r="AC1078" s="1" t="s">
        <v>213</v>
      </c>
      <c r="AD1078" s="1" t="s">
        <v>214</v>
      </c>
      <c r="AE1078" s="1" t="s">
        <v>215</v>
      </c>
      <c r="AF1078" s="1" t="s">
        <v>1422</v>
      </c>
      <c r="AG1078" s="1" t="s">
        <v>53</v>
      </c>
      <c r="AH1078" s="1" t="s">
        <v>49</v>
      </c>
      <c r="AI1078" s="1" t="s">
        <v>54</v>
      </c>
      <c r="AJ1078" s="1">
        <v>1</v>
      </c>
      <c r="AK1078" s="1" t="str">
        <f t="shared" si="16"/>
        <v xml:space="preserve"> =&lt;90</v>
      </c>
      <c r="AL1078" s="1" t="str">
        <f>VLOOKUP(C:C,[1]基础信息!B$1:D$65536,3,0)</f>
        <v>Jug</v>
      </c>
      <c r="AM1078" s="1" t="str">
        <f>VLOOKUP(C:C,[1]基础信息!B$1:E$65536,4,0)</f>
        <v>Mxplus</v>
      </c>
      <c r="AN1078" s="1" t="str">
        <f>VLOOKUP(C:C,[1]基础信息!B$1:F$65536,5,0)</f>
        <v>Blue</v>
      </c>
    </row>
    <row r="1079" spans="1:40">
      <c r="A1079" s="1" t="s">
        <v>41</v>
      </c>
      <c r="B1079" s="1" t="s">
        <v>42</v>
      </c>
      <c r="C1079" s="1" t="s">
        <v>83</v>
      </c>
      <c r="D1079" s="1" t="s">
        <v>84</v>
      </c>
      <c r="E1079" s="1" t="s">
        <v>45</v>
      </c>
      <c r="F1079" s="1" t="s">
        <v>1419</v>
      </c>
      <c r="G1079" s="1" t="s">
        <v>2555</v>
      </c>
      <c r="H1079" s="1" t="s">
        <v>2556</v>
      </c>
      <c r="I1079" s="1" t="s">
        <v>49</v>
      </c>
      <c r="J1079" s="1" t="s">
        <v>48</v>
      </c>
      <c r="K1079" s="1">
        <v>96</v>
      </c>
      <c r="L1079" s="1">
        <v>0</v>
      </c>
      <c r="M1079" s="1">
        <v>0</v>
      </c>
      <c r="N1079" s="1">
        <v>96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 t="s">
        <v>49</v>
      </c>
      <c r="AA1079" s="1" t="s">
        <v>49</v>
      </c>
      <c r="AB1079" s="1" t="s">
        <v>49</v>
      </c>
      <c r="AC1079" s="1" t="s">
        <v>213</v>
      </c>
      <c r="AD1079" s="1" t="s">
        <v>214</v>
      </c>
      <c r="AE1079" s="1" t="s">
        <v>215</v>
      </c>
      <c r="AF1079" s="1" t="s">
        <v>1422</v>
      </c>
      <c r="AG1079" s="1" t="s">
        <v>53</v>
      </c>
      <c r="AH1079" s="1" t="s">
        <v>49</v>
      </c>
      <c r="AI1079" s="1" t="s">
        <v>54</v>
      </c>
      <c r="AJ1079" s="1">
        <v>1</v>
      </c>
      <c r="AK1079" s="1" t="str">
        <f t="shared" si="16"/>
        <v xml:space="preserve"> =&lt;90</v>
      </c>
      <c r="AL1079" s="1" t="str">
        <f>VLOOKUP(C:C,[1]基础信息!B$1:D$65536,3,0)</f>
        <v>Jug</v>
      </c>
      <c r="AM1079" s="1" t="str">
        <f>VLOOKUP(C:C,[1]基础信息!B$1:E$65536,4,0)</f>
        <v>Mxplus</v>
      </c>
      <c r="AN1079" s="1" t="str">
        <f>VLOOKUP(C:C,[1]基础信息!B$1:F$65536,5,0)</f>
        <v>Blue</v>
      </c>
    </row>
    <row r="1080" spans="1:40">
      <c r="A1080" s="1" t="s">
        <v>41</v>
      </c>
      <c r="B1080" s="1" t="s">
        <v>42</v>
      </c>
      <c r="C1080" s="1" t="s">
        <v>56</v>
      </c>
      <c r="D1080" s="1" t="s">
        <v>57</v>
      </c>
      <c r="E1080" s="1" t="s">
        <v>45</v>
      </c>
      <c r="F1080" s="1" t="s">
        <v>1096</v>
      </c>
      <c r="G1080" s="1" t="s">
        <v>2557</v>
      </c>
      <c r="H1080" s="1" t="s">
        <v>2558</v>
      </c>
      <c r="I1080" s="1" t="s">
        <v>49</v>
      </c>
      <c r="J1080" s="1" t="s">
        <v>48</v>
      </c>
      <c r="K1080" s="1">
        <v>72</v>
      </c>
      <c r="L1080" s="1">
        <v>0</v>
      </c>
      <c r="M1080" s="1">
        <v>0</v>
      </c>
      <c r="N1080" s="1">
        <v>72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 t="s">
        <v>49</v>
      </c>
      <c r="AA1080" s="1" t="s">
        <v>49</v>
      </c>
      <c r="AB1080" s="1" t="s">
        <v>49</v>
      </c>
      <c r="AC1080" s="1" t="s">
        <v>938</v>
      </c>
      <c r="AD1080" s="1" t="s">
        <v>939</v>
      </c>
      <c r="AE1080" s="1" t="s">
        <v>938</v>
      </c>
      <c r="AF1080" s="1" t="s">
        <v>1099</v>
      </c>
      <c r="AG1080" s="1" t="s">
        <v>53</v>
      </c>
      <c r="AH1080" s="1" t="s">
        <v>49</v>
      </c>
      <c r="AI1080" s="1" t="s">
        <v>54</v>
      </c>
      <c r="AJ1080" s="1">
        <v>1</v>
      </c>
      <c r="AK1080" s="1" t="str">
        <f t="shared" si="16"/>
        <v xml:space="preserve"> =&lt;90</v>
      </c>
      <c r="AL1080" s="1" t="str">
        <f>VLOOKUP(C:C,[1]基础信息!B$1:D$65536,3,0)</f>
        <v>Jug</v>
      </c>
      <c r="AM1080" s="1" t="str">
        <f>VLOOKUP(C:C,[1]基础信息!B$1:E$65536,4,0)</f>
        <v>Marella XL</v>
      </c>
      <c r="AN1080" s="1" t="str">
        <f>VLOOKUP(C:C,[1]基础信息!B$1:F$65536,5,0)</f>
        <v>Blue</v>
      </c>
    </row>
    <row r="1081" spans="1:40">
      <c r="A1081" s="1" t="s">
        <v>41</v>
      </c>
      <c r="B1081" s="1" t="s">
        <v>42</v>
      </c>
      <c r="C1081" s="1" t="s">
        <v>56</v>
      </c>
      <c r="D1081" s="1" t="s">
        <v>57</v>
      </c>
      <c r="E1081" s="1" t="s">
        <v>45</v>
      </c>
      <c r="F1081" s="1" t="s">
        <v>1096</v>
      </c>
      <c r="G1081" s="1" t="s">
        <v>2559</v>
      </c>
      <c r="H1081" s="1" t="s">
        <v>2560</v>
      </c>
      <c r="I1081" s="1" t="s">
        <v>49</v>
      </c>
      <c r="J1081" s="1" t="s">
        <v>48</v>
      </c>
      <c r="K1081" s="1">
        <v>72</v>
      </c>
      <c r="L1081" s="1">
        <v>0</v>
      </c>
      <c r="M1081" s="1">
        <v>0</v>
      </c>
      <c r="N1081" s="1">
        <v>72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 t="s">
        <v>49</v>
      </c>
      <c r="AA1081" s="1" t="s">
        <v>49</v>
      </c>
      <c r="AB1081" s="1" t="s">
        <v>49</v>
      </c>
      <c r="AC1081" s="1" t="s">
        <v>938</v>
      </c>
      <c r="AD1081" s="1" t="s">
        <v>939</v>
      </c>
      <c r="AE1081" s="1" t="s">
        <v>938</v>
      </c>
      <c r="AF1081" s="1" t="s">
        <v>1099</v>
      </c>
      <c r="AG1081" s="1" t="s">
        <v>53</v>
      </c>
      <c r="AH1081" s="1" t="s">
        <v>49</v>
      </c>
      <c r="AI1081" s="1" t="s">
        <v>54</v>
      </c>
      <c r="AJ1081" s="1">
        <v>1</v>
      </c>
      <c r="AK1081" s="1" t="str">
        <f t="shared" si="16"/>
        <v xml:space="preserve"> =&lt;90</v>
      </c>
      <c r="AL1081" s="1" t="str">
        <f>VLOOKUP(C:C,[1]基础信息!B$1:D$65536,3,0)</f>
        <v>Jug</v>
      </c>
      <c r="AM1081" s="1" t="str">
        <f>VLOOKUP(C:C,[1]基础信息!B$1:E$65536,4,0)</f>
        <v>Marella XL</v>
      </c>
      <c r="AN1081" s="1" t="str">
        <f>VLOOKUP(C:C,[1]基础信息!B$1:F$65536,5,0)</f>
        <v>Blue</v>
      </c>
    </row>
    <row r="1082" spans="1:40">
      <c r="A1082" s="1" t="s">
        <v>41</v>
      </c>
      <c r="B1082" s="1" t="s">
        <v>42</v>
      </c>
      <c r="C1082" s="1" t="s">
        <v>56</v>
      </c>
      <c r="D1082" s="1" t="s">
        <v>57</v>
      </c>
      <c r="E1082" s="1" t="s">
        <v>45</v>
      </c>
      <c r="F1082" s="1" t="s">
        <v>1096</v>
      </c>
      <c r="G1082" s="1" t="s">
        <v>2561</v>
      </c>
      <c r="H1082" s="1" t="s">
        <v>2562</v>
      </c>
      <c r="I1082" s="1" t="s">
        <v>49</v>
      </c>
      <c r="J1082" s="1" t="s">
        <v>48</v>
      </c>
      <c r="K1082" s="1">
        <v>72</v>
      </c>
      <c r="L1082" s="1">
        <v>0</v>
      </c>
      <c r="M1082" s="1">
        <v>0</v>
      </c>
      <c r="N1082" s="1">
        <v>72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 t="s">
        <v>49</v>
      </c>
      <c r="AA1082" s="1" t="s">
        <v>49</v>
      </c>
      <c r="AB1082" s="1" t="s">
        <v>49</v>
      </c>
      <c r="AC1082" s="1" t="s">
        <v>938</v>
      </c>
      <c r="AD1082" s="1" t="s">
        <v>939</v>
      </c>
      <c r="AE1082" s="1" t="s">
        <v>938</v>
      </c>
      <c r="AF1082" s="1" t="s">
        <v>1099</v>
      </c>
      <c r="AG1082" s="1" t="s">
        <v>53</v>
      </c>
      <c r="AH1082" s="1" t="s">
        <v>49</v>
      </c>
      <c r="AI1082" s="1" t="s">
        <v>54</v>
      </c>
      <c r="AJ1082" s="1">
        <v>1</v>
      </c>
      <c r="AK1082" s="1" t="str">
        <f t="shared" si="16"/>
        <v xml:space="preserve"> =&lt;90</v>
      </c>
      <c r="AL1082" s="1" t="str">
        <f>VLOOKUP(C:C,[1]基础信息!B$1:D$65536,3,0)</f>
        <v>Jug</v>
      </c>
      <c r="AM1082" s="1" t="str">
        <f>VLOOKUP(C:C,[1]基础信息!B$1:E$65536,4,0)</f>
        <v>Marella XL</v>
      </c>
      <c r="AN1082" s="1" t="str">
        <f>VLOOKUP(C:C,[1]基础信息!B$1:F$65536,5,0)</f>
        <v>Blue</v>
      </c>
    </row>
    <row r="1083" spans="1:40">
      <c r="A1083" s="1" t="s">
        <v>41</v>
      </c>
      <c r="B1083" s="1" t="s">
        <v>42</v>
      </c>
      <c r="C1083" s="1" t="s">
        <v>2004</v>
      </c>
      <c r="D1083" s="1" t="s">
        <v>2005</v>
      </c>
      <c r="E1083" s="1" t="s">
        <v>2004</v>
      </c>
      <c r="F1083" s="1" t="s">
        <v>2006</v>
      </c>
      <c r="G1083" s="1" t="s">
        <v>2563</v>
      </c>
      <c r="H1083" s="1" t="s">
        <v>2564</v>
      </c>
      <c r="I1083" s="1" t="s">
        <v>49</v>
      </c>
      <c r="J1083" s="1" t="s">
        <v>48</v>
      </c>
      <c r="K1083" s="1">
        <v>96</v>
      </c>
      <c r="L1083" s="1">
        <v>0</v>
      </c>
      <c r="M1083" s="1">
        <v>0</v>
      </c>
      <c r="N1083" s="1">
        <v>96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 t="s">
        <v>49</v>
      </c>
      <c r="AA1083" s="1" t="s">
        <v>49</v>
      </c>
      <c r="AB1083" s="1" t="s">
        <v>49</v>
      </c>
      <c r="AC1083" s="1" t="s">
        <v>1377</v>
      </c>
      <c r="AD1083" s="1" t="s">
        <v>1378</v>
      </c>
      <c r="AE1083" s="1" t="s">
        <v>1377</v>
      </c>
      <c r="AF1083" s="1" t="s">
        <v>422</v>
      </c>
      <c r="AG1083" s="1" t="s">
        <v>53</v>
      </c>
      <c r="AH1083" s="1" t="s">
        <v>49</v>
      </c>
      <c r="AI1083" s="1" t="s">
        <v>54</v>
      </c>
      <c r="AJ1083" s="1">
        <v>1</v>
      </c>
      <c r="AK1083" s="1" t="str">
        <f t="shared" si="16"/>
        <v xml:space="preserve"> =&lt;90</v>
      </c>
      <c r="AL1083" s="1" t="str">
        <f>VLOOKUP(C:C,[1]基础信息!B$1:D$65536,3,0)</f>
        <v>Jug</v>
      </c>
      <c r="AM1083" s="1" t="str">
        <f>VLOOKUP(C:C,[1]基础信息!B$1:E$65536,4,0)</f>
        <v>Marella XL</v>
      </c>
      <c r="AN1083" s="1" t="str">
        <f>VLOOKUP(C:C,[1]基础信息!B$1:F$65536,5,0)</f>
        <v>Mxplus</v>
      </c>
    </row>
    <row r="1084" spans="1:40">
      <c r="A1084" s="1" t="s">
        <v>41</v>
      </c>
      <c r="B1084" s="1" t="s">
        <v>42</v>
      </c>
      <c r="C1084" s="1" t="s">
        <v>502</v>
      </c>
      <c r="D1084" s="1" t="s">
        <v>503</v>
      </c>
      <c r="E1084" s="1" t="s">
        <v>502</v>
      </c>
      <c r="F1084" s="1" t="s">
        <v>2500</v>
      </c>
      <c r="G1084" s="1" t="s">
        <v>2565</v>
      </c>
      <c r="H1084" s="1" t="s">
        <v>2566</v>
      </c>
      <c r="I1084" s="1" t="s">
        <v>49</v>
      </c>
      <c r="J1084" s="1" t="s">
        <v>48</v>
      </c>
      <c r="K1084" s="1">
        <v>96</v>
      </c>
      <c r="L1084" s="1">
        <v>0</v>
      </c>
      <c r="M1084" s="1">
        <v>0</v>
      </c>
      <c r="N1084" s="1">
        <v>96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 t="s">
        <v>49</v>
      </c>
      <c r="AA1084" s="1" t="s">
        <v>49</v>
      </c>
      <c r="AB1084" s="1" t="s">
        <v>49</v>
      </c>
      <c r="AC1084" s="1" t="s">
        <v>2503</v>
      </c>
      <c r="AD1084" s="1" t="s">
        <v>2504</v>
      </c>
      <c r="AE1084" s="1" t="s">
        <v>2503</v>
      </c>
      <c r="AF1084" s="1" t="s">
        <v>2072</v>
      </c>
      <c r="AG1084" s="1" t="s">
        <v>338</v>
      </c>
      <c r="AH1084" s="1" t="s">
        <v>49</v>
      </c>
      <c r="AI1084" s="1" t="s">
        <v>54</v>
      </c>
      <c r="AJ1084" s="1">
        <v>1</v>
      </c>
      <c r="AK1084" s="1" t="str">
        <f t="shared" si="16"/>
        <v xml:space="preserve"> =&lt;90</v>
      </c>
      <c r="AL1084" s="1" t="str">
        <f>VLOOKUP(C:C,[1]基础信息!B$1:D$65536,3,0)</f>
        <v>Jug</v>
      </c>
      <c r="AM1084" s="1" t="str">
        <f>VLOOKUP(C:C,[1]基础信息!B$1:E$65536,4,0)</f>
        <v>Marella XL</v>
      </c>
      <c r="AN1084" s="1" t="str">
        <f>VLOOKUP(C:C,[1]基础信息!B$1:F$65536,5,0)</f>
        <v>Blue</v>
      </c>
    </row>
    <row r="1085" spans="1:40">
      <c r="A1085" s="1" t="s">
        <v>41</v>
      </c>
      <c r="B1085" s="1" t="s">
        <v>42</v>
      </c>
      <c r="C1085" s="1" t="s">
        <v>83</v>
      </c>
      <c r="D1085" s="1" t="s">
        <v>84</v>
      </c>
      <c r="E1085" s="1" t="s">
        <v>45</v>
      </c>
      <c r="F1085" s="1" t="s">
        <v>1419</v>
      </c>
      <c r="G1085" s="1" t="s">
        <v>2567</v>
      </c>
      <c r="H1085" s="1" t="s">
        <v>2568</v>
      </c>
      <c r="I1085" s="1" t="s">
        <v>49</v>
      </c>
      <c r="J1085" s="1" t="s">
        <v>48</v>
      </c>
      <c r="K1085" s="1">
        <v>96</v>
      </c>
      <c r="L1085" s="1">
        <v>0</v>
      </c>
      <c r="M1085" s="1">
        <v>0</v>
      </c>
      <c r="N1085" s="1">
        <v>96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 t="s">
        <v>49</v>
      </c>
      <c r="AA1085" s="1" t="s">
        <v>49</v>
      </c>
      <c r="AB1085" s="1" t="s">
        <v>49</v>
      </c>
      <c r="AC1085" s="1" t="s">
        <v>213</v>
      </c>
      <c r="AD1085" s="1" t="s">
        <v>214</v>
      </c>
      <c r="AE1085" s="1" t="s">
        <v>215</v>
      </c>
      <c r="AF1085" s="1" t="s">
        <v>1422</v>
      </c>
      <c r="AG1085" s="1" t="s">
        <v>53</v>
      </c>
      <c r="AH1085" s="1" t="s">
        <v>49</v>
      </c>
      <c r="AI1085" s="1" t="s">
        <v>54</v>
      </c>
      <c r="AJ1085" s="1">
        <v>1</v>
      </c>
      <c r="AK1085" s="1" t="str">
        <f t="shared" si="16"/>
        <v xml:space="preserve"> =&lt;90</v>
      </c>
      <c r="AL1085" s="1" t="str">
        <f>VLOOKUP(C:C,[1]基础信息!B$1:D$65536,3,0)</f>
        <v>Jug</v>
      </c>
      <c r="AM1085" s="1" t="str">
        <f>VLOOKUP(C:C,[1]基础信息!B$1:E$65536,4,0)</f>
        <v>Mxplus</v>
      </c>
      <c r="AN1085" s="1" t="str">
        <f>VLOOKUP(C:C,[1]基础信息!B$1:F$65536,5,0)</f>
        <v>Blue</v>
      </c>
    </row>
    <row r="1086" spans="1:40">
      <c r="A1086" s="1" t="s">
        <v>41</v>
      </c>
      <c r="B1086" s="1" t="s">
        <v>42</v>
      </c>
      <c r="C1086" s="1" t="s">
        <v>83</v>
      </c>
      <c r="D1086" s="1" t="s">
        <v>84</v>
      </c>
      <c r="E1086" s="1" t="s">
        <v>45</v>
      </c>
      <c r="F1086" s="1" t="s">
        <v>1419</v>
      </c>
      <c r="G1086" s="1" t="s">
        <v>2569</v>
      </c>
      <c r="H1086" s="1" t="s">
        <v>2570</v>
      </c>
      <c r="I1086" s="1" t="s">
        <v>49</v>
      </c>
      <c r="J1086" s="1" t="s">
        <v>48</v>
      </c>
      <c r="K1086" s="1">
        <v>96</v>
      </c>
      <c r="L1086" s="1">
        <v>0</v>
      </c>
      <c r="M1086" s="1">
        <v>0</v>
      </c>
      <c r="N1086" s="1">
        <v>96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 t="s">
        <v>49</v>
      </c>
      <c r="AA1086" s="1" t="s">
        <v>49</v>
      </c>
      <c r="AB1086" s="1" t="s">
        <v>49</v>
      </c>
      <c r="AC1086" s="1" t="s">
        <v>213</v>
      </c>
      <c r="AD1086" s="1" t="s">
        <v>214</v>
      </c>
      <c r="AE1086" s="1" t="s">
        <v>215</v>
      </c>
      <c r="AF1086" s="1" t="s">
        <v>1422</v>
      </c>
      <c r="AG1086" s="1" t="s">
        <v>53</v>
      </c>
      <c r="AH1086" s="1" t="s">
        <v>49</v>
      </c>
      <c r="AI1086" s="1" t="s">
        <v>54</v>
      </c>
      <c r="AJ1086" s="1">
        <v>1</v>
      </c>
      <c r="AK1086" s="1" t="str">
        <f t="shared" si="16"/>
        <v xml:space="preserve"> =&lt;90</v>
      </c>
      <c r="AL1086" s="1" t="str">
        <f>VLOOKUP(C:C,[1]基础信息!B$1:D$65536,3,0)</f>
        <v>Jug</v>
      </c>
      <c r="AM1086" s="1" t="str">
        <f>VLOOKUP(C:C,[1]基础信息!B$1:E$65536,4,0)</f>
        <v>Mxplus</v>
      </c>
      <c r="AN1086" s="1" t="str">
        <f>VLOOKUP(C:C,[1]基础信息!B$1:F$65536,5,0)</f>
        <v>Blue</v>
      </c>
    </row>
    <row r="1087" spans="1:40">
      <c r="A1087" s="1" t="s">
        <v>41</v>
      </c>
      <c r="B1087" s="1" t="s">
        <v>42</v>
      </c>
      <c r="C1087" s="1" t="s">
        <v>83</v>
      </c>
      <c r="D1087" s="1" t="s">
        <v>84</v>
      </c>
      <c r="E1087" s="1" t="s">
        <v>45</v>
      </c>
      <c r="F1087" s="1" t="s">
        <v>2571</v>
      </c>
      <c r="G1087" s="1" t="s">
        <v>2572</v>
      </c>
      <c r="H1087" s="1" t="s">
        <v>2573</v>
      </c>
      <c r="I1087" s="1" t="s">
        <v>49</v>
      </c>
      <c r="J1087" s="1" t="s">
        <v>48</v>
      </c>
      <c r="K1087" s="1">
        <v>96</v>
      </c>
      <c r="L1087" s="1">
        <v>0</v>
      </c>
      <c r="M1087" s="1">
        <v>0</v>
      </c>
      <c r="N1087" s="1">
        <v>96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 t="s">
        <v>49</v>
      </c>
      <c r="AA1087" s="1" t="s">
        <v>49</v>
      </c>
      <c r="AB1087" s="1" t="s">
        <v>49</v>
      </c>
      <c r="AC1087" s="1" t="s">
        <v>213</v>
      </c>
      <c r="AD1087" s="1" t="s">
        <v>214</v>
      </c>
      <c r="AE1087" s="1" t="s">
        <v>215</v>
      </c>
      <c r="AF1087" s="1" t="s">
        <v>2574</v>
      </c>
      <c r="AG1087" s="1" t="s">
        <v>53</v>
      </c>
      <c r="AH1087" s="1" t="s">
        <v>49</v>
      </c>
      <c r="AI1087" s="1" t="s">
        <v>54</v>
      </c>
      <c r="AJ1087" s="1">
        <v>1</v>
      </c>
      <c r="AK1087" s="1" t="str">
        <f t="shared" si="16"/>
        <v xml:space="preserve"> =&lt;90</v>
      </c>
      <c r="AL1087" s="1" t="str">
        <f>VLOOKUP(C:C,[1]基础信息!B$1:D$65536,3,0)</f>
        <v>Jug</v>
      </c>
      <c r="AM1087" s="1" t="str">
        <f>VLOOKUP(C:C,[1]基础信息!B$1:E$65536,4,0)</f>
        <v>Mxplus</v>
      </c>
      <c r="AN1087" s="1" t="str">
        <f>VLOOKUP(C:C,[1]基础信息!B$1:F$65536,5,0)</f>
        <v>Blue</v>
      </c>
    </row>
    <row r="1088" spans="1:40">
      <c r="A1088" s="1" t="s">
        <v>41</v>
      </c>
      <c r="B1088" s="1" t="s">
        <v>42</v>
      </c>
      <c r="C1088" s="1" t="s">
        <v>301</v>
      </c>
      <c r="D1088" s="1" t="s">
        <v>302</v>
      </c>
      <c r="E1088" s="1" t="s">
        <v>45</v>
      </c>
      <c r="F1088" s="1" t="s">
        <v>1902</v>
      </c>
      <c r="G1088" s="1" t="s">
        <v>2575</v>
      </c>
      <c r="H1088" s="1" t="s">
        <v>2576</v>
      </c>
      <c r="I1088" s="1" t="s">
        <v>49</v>
      </c>
      <c r="J1088" s="1" t="s">
        <v>48</v>
      </c>
      <c r="K1088" s="1">
        <v>96</v>
      </c>
      <c r="L1088" s="1">
        <v>0</v>
      </c>
      <c r="M1088" s="1">
        <v>0</v>
      </c>
      <c r="N1088" s="1">
        <v>96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 t="s">
        <v>49</v>
      </c>
      <c r="AA1088" s="1" t="s">
        <v>49</v>
      </c>
      <c r="AB1088" s="1" t="s">
        <v>49</v>
      </c>
      <c r="AC1088" s="1" t="s">
        <v>1008</v>
      </c>
      <c r="AD1088" s="1" t="s">
        <v>1009</v>
      </c>
      <c r="AE1088" s="1" t="s">
        <v>1008</v>
      </c>
      <c r="AF1088" s="1" t="s">
        <v>1905</v>
      </c>
      <c r="AG1088" s="1" t="s">
        <v>53</v>
      </c>
      <c r="AH1088" s="1" t="s">
        <v>49</v>
      </c>
      <c r="AI1088" s="1" t="s">
        <v>54</v>
      </c>
      <c r="AJ1088" s="1">
        <v>1</v>
      </c>
      <c r="AK1088" s="1" t="str">
        <f t="shared" si="16"/>
        <v xml:space="preserve"> =&lt;90</v>
      </c>
      <c r="AL1088" s="1" t="str">
        <f>VLOOKUP(C:C,[1]基础信息!B$1:D$65536,3,0)</f>
        <v>Jug</v>
      </c>
      <c r="AM1088" s="1" t="str">
        <f>VLOOKUP(C:C,[1]基础信息!B$1:E$65536,4,0)</f>
        <v>Aluna</v>
      </c>
      <c r="AN1088" s="1" t="str">
        <f>VLOOKUP(C:C,[1]基础信息!B$1:F$65536,5,0)</f>
        <v>Blue</v>
      </c>
    </row>
    <row r="1089" spans="1:40">
      <c r="A1089" s="1" t="s">
        <v>41</v>
      </c>
      <c r="B1089" s="1" t="s">
        <v>42</v>
      </c>
      <c r="C1089" s="1" t="s">
        <v>301</v>
      </c>
      <c r="D1089" s="1" t="s">
        <v>302</v>
      </c>
      <c r="E1089" s="1" t="s">
        <v>45</v>
      </c>
      <c r="F1089" s="1" t="s">
        <v>1902</v>
      </c>
      <c r="G1089" s="1" t="s">
        <v>2577</v>
      </c>
      <c r="H1089" s="1" t="s">
        <v>2578</v>
      </c>
      <c r="I1089" s="1" t="s">
        <v>49</v>
      </c>
      <c r="J1089" s="1" t="s">
        <v>48</v>
      </c>
      <c r="K1089" s="1">
        <v>96</v>
      </c>
      <c r="L1089" s="1">
        <v>0</v>
      </c>
      <c r="M1089" s="1">
        <v>0</v>
      </c>
      <c r="N1089" s="1">
        <v>96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 t="s">
        <v>49</v>
      </c>
      <c r="AA1089" s="1" t="s">
        <v>49</v>
      </c>
      <c r="AB1089" s="1" t="s">
        <v>49</v>
      </c>
      <c r="AC1089" s="1" t="s">
        <v>1008</v>
      </c>
      <c r="AD1089" s="1" t="s">
        <v>1009</v>
      </c>
      <c r="AE1089" s="1" t="s">
        <v>1008</v>
      </c>
      <c r="AF1089" s="1" t="s">
        <v>1905</v>
      </c>
      <c r="AG1089" s="1" t="s">
        <v>53</v>
      </c>
      <c r="AH1089" s="1" t="s">
        <v>49</v>
      </c>
      <c r="AI1089" s="1" t="s">
        <v>54</v>
      </c>
      <c r="AJ1089" s="1">
        <v>1</v>
      </c>
      <c r="AK1089" s="1" t="str">
        <f t="shared" si="16"/>
        <v xml:space="preserve"> =&lt;90</v>
      </c>
      <c r="AL1089" s="1" t="str">
        <f>VLOOKUP(C:C,[1]基础信息!B$1:D$65536,3,0)</f>
        <v>Jug</v>
      </c>
      <c r="AM1089" s="1" t="str">
        <f>VLOOKUP(C:C,[1]基础信息!B$1:E$65536,4,0)</f>
        <v>Aluna</v>
      </c>
      <c r="AN1089" s="1" t="str">
        <f>VLOOKUP(C:C,[1]基础信息!B$1:F$65536,5,0)</f>
        <v>Blue</v>
      </c>
    </row>
    <row r="1090" spans="1:40">
      <c r="A1090" s="1" t="s">
        <v>41</v>
      </c>
      <c r="B1090" s="1" t="s">
        <v>42</v>
      </c>
      <c r="C1090" s="1" t="s">
        <v>301</v>
      </c>
      <c r="D1090" s="1" t="s">
        <v>302</v>
      </c>
      <c r="E1090" s="1" t="s">
        <v>45</v>
      </c>
      <c r="F1090" s="1" t="s">
        <v>1902</v>
      </c>
      <c r="G1090" s="1" t="s">
        <v>2579</v>
      </c>
      <c r="H1090" s="1" t="s">
        <v>2580</v>
      </c>
      <c r="I1090" s="1" t="s">
        <v>49</v>
      </c>
      <c r="J1090" s="1" t="s">
        <v>48</v>
      </c>
      <c r="K1090" s="1">
        <v>96</v>
      </c>
      <c r="L1090" s="1">
        <v>0</v>
      </c>
      <c r="M1090" s="1">
        <v>0</v>
      </c>
      <c r="N1090" s="1">
        <v>96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 t="s">
        <v>49</v>
      </c>
      <c r="AA1090" s="1" t="s">
        <v>49</v>
      </c>
      <c r="AB1090" s="1" t="s">
        <v>49</v>
      </c>
      <c r="AC1090" s="1" t="s">
        <v>1008</v>
      </c>
      <c r="AD1090" s="1" t="s">
        <v>1009</v>
      </c>
      <c r="AE1090" s="1" t="s">
        <v>1008</v>
      </c>
      <c r="AF1090" s="1" t="s">
        <v>1905</v>
      </c>
      <c r="AG1090" s="1" t="s">
        <v>53</v>
      </c>
      <c r="AH1090" s="1" t="s">
        <v>49</v>
      </c>
      <c r="AI1090" s="1" t="s">
        <v>54</v>
      </c>
      <c r="AJ1090" s="1">
        <v>1</v>
      </c>
      <c r="AK1090" s="1" t="str">
        <f t="shared" ref="AK1090:AK1153" si="17">IF(AJ1090&gt;$AP$2,$AQ$2,IF(AJ1090&gt;$AP$3,$AQ$3,IF(AJ1090&gt;$AP$4,$AQ$4,$AQ$5)))</f>
        <v xml:space="preserve"> =&lt;90</v>
      </c>
      <c r="AL1090" s="1" t="str">
        <f>VLOOKUP(C:C,[1]基础信息!B$1:D$65536,3,0)</f>
        <v>Jug</v>
      </c>
      <c r="AM1090" s="1" t="str">
        <f>VLOOKUP(C:C,[1]基础信息!B$1:E$65536,4,0)</f>
        <v>Aluna</v>
      </c>
      <c r="AN1090" s="1" t="str">
        <f>VLOOKUP(C:C,[1]基础信息!B$1:F$65536,5,0)</f>
        <v>Blue</v>
      </c>
    </row>
    <row r="1091" spans="1:40">
      <c r="A1091" s="1" t="s">
        <v>41</v>
      </c>
      <c r="B1091" s="1" t="s">
        <v>42</v>
      </c>
      <c r="C1091" s="1" t="s">
        <v>301</v>
      </c>
      <c r="D1091" s="1" t="s">
        <v>302</v>
      </c>
      <c r="E1091" s="1" t="s">
        <v>45</v>
      </c>
      <c r="F1091" s="1" t="s">
        <v>1902</v>
      </c>
      <c r="G1091" s="1" t="s">
        <v>2581</v>
      </c>
      <c r="H1091" s="1" t="s">
        <v>2582</v>
      </c>
      <c r="I1091" s="1" t="s">
        <v>49</v>
      </c>
      <c r="J1091" s="1" t="s">
        <v>48</v>
      </c>
      <c r="K1091" s="1">
        <v>96</v>
      </c>
      <c r="L1091" s="1">
        <v>0</v>
      </c>
      <c r="M1091" s="1">
        <v>0</v>
      </c>
      <c r="N1091" s="1">
        <v>96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 t="s">
        <v>49</v>
      </c>
      <c r="AA1091" s="1" t="s">
        <v>49</v>
      </c>
      <c r="AB1091" s="1" t="s">
        <v>49</v>
      </c>
      <c r="AC1091" s="1" t="s">
        <v>1008</v>
      </c>
      <c r="AD1091" s="1" t="s">
        <v>1009</v>
      </c>
      <c r="AE1091" s="1" t="s">
        <v>1008</v>
      </c>
      <c r="AF1091" s="1" t="s">
        <v>1905</v>
      </c>
      <c r="AG1091" s="1" t="s">
        <v>53</v>
      </c>
      <c r="AH1091" s="1" t="s">
        <v>49</v>
      </c>
      <c r="AI1091" s="1" t="s">
        <v>54</v>
      </c>
      <c r="AJ1091" s="1">
        <v>1</v>
      </c>
      <c r="AK1091" s="1" t="str">
        <f t="shared" si="17"/>
        <v xml:space="preserve"> =&lt;90</v>
      </c>
      <c r="AL1091" s="1" t="str">
        <f>VLOOKUP(C:C,[1]基础信息!B$1:D$65536,3,0)</f>
        <v>Jug</v>
      </c>
      <c r="AM1091" s="1" t="str">
        <f>VLOOKUP(C:C,[1]基础信息!B$1:E$65536,4,0)</f>
        <v>Aluna</v>
      </c>
      <c r="AN1091" s="1" t="str">
        <f>VLOOKUP(C:C,[1]基础信息!B$1:F$65536,5,0)</f>
        <v>Blue</v>
      </c>
    </row>
    <row r="1092" spans="1:40">
      <c r="A1092" s="1" t="s">
        <v>41</v>
      </c>
      <c r="B1092" s="1" t="s">
        <v>42</v>
      </c>
      <c r="C1092" s="1" t="s">
        <v>301</v>
      </c>
      <c r="D1092" s="1" t="s">
        <v>302</v>
      </c>
      <c r="E1092" s="1" t="s">
        <v>45</v>
      </c>
      <c r="F1092" s="1" t="s">
        <v>1902</v>
      </c>
      <c r="G1092" s="1" t="s">
        <v>2583</v>
      </c>
      <c r="H1092" s="1" t="s">
        <v>2584</v>
      </c>
      <c r="I1092" s="1" t="s">
        <v>49</v>
      </c>
      <c r="J1092" s="1" t="s">
        <v>48</v>
      </c>
      <c r="K1092" s="1">
        <v>16</v>
      </c>
      <c r="L1092" s="1">
        <v>0</v>
      </c>
      <c r="M1092" s="1">
        <v>0</v>
      </c>
      <c r="N1092" s="1">
        <v>16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 t="s">
        <v>49</v>
      </c>
      <c r="AA1092" s="1" t="s">
        <v>49</v>
      </c>
      <c r="AB1092" s="1" t="s">
        <v>49</v>
      </c>
      <c r="AC1092" s="1" t="s">
        <v>1008</v>
      </c>
      <c r="AD1092" s="1" t="s">
        <v>1009</v>
      </c>
      <c r="AE1092" s="1" t="s">
        <v>1008</v>
      </c>
      <c r="AF1092" s="1" t="s">
        <v>1905</v>
      </c>
      <c r="AG1092" s="1" t="s">
        <v>53</v>
      </c>
      <c r="AH1092" s="1" t="s">
        <v>49</v>
      </c>
      <c r="AI1092" s="1" t="s">
        <v>54</v>
      </c>
      <c r="AJ1092" s="1">
        <v>1</v>
      </c>
      <c r="AK1092" s="1" t="str">
        <f t="shared" si="17"/>
        <v xml:space="preserve"> =&lt;90</v>
      </c>
      <c r="AL1092" s="1" t="str">
        <f>VLOOKUP(C:C,[1]基础信息!B$1:D$65536,3,0)</f>
        <v>Jug</v>
      </c>
      <c r="AM1092" s="1" t="str">
        <f>VLOOKUP(C:C,[1]基础信息!B$1:E$65536,4,0)</f>
        <v>Aluna</v>
      </c>
      <c r="AN1092" s="1" t="str">
        <f>VLOOKUP(C:C,[1]基础信息!B$1:F$65536,5,0)</f>
        <v>Blue</v>
      </c>
    </row>
    <row r="1093" spans="1:40">
      <c r="A1093" s="1" t="s">
        <v>41</v>
      </c>
      <c r="B1093" s="1" t="s">
        <v>42</v>
      </c>
      <c r="C1093" s="1" t="s">
        <v>943</v>
      </c>
      <c r="D1093" s="1" t="s">
        <v>944</v>
      </c>
      <c r="E1093" s="1" t="s">
        <v>943</v>
      </c>
      <c r="F1093" s="1" t="s">
        <v>2585</v>
      </c>
      <c r="G1093" s="1" t="s">
        <v>2586</v>
      </c>
      <c r="H1093" s="1" t="s">
        <v>45</v>
      </c>
      <c r="I1093" s="1" t="s">
        <v>45</v>
      </c>
      <c r="J1093" s="1" t="s">
        <v>48</v>
      </c>
      <c r="K1093" s="1">
        <v>9</v>
      </c>
      <c r="L1093" s="1">
        <v>0</v>
      </c>
      <c r="M1093" s="1">
        <v>0</v>
      </c>
      <c r="N1093" s="1">
        <v>9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 t="s">
        <v>49</v>
      </c>
      <c r="AA1093" s="1" t="s">
        <v>49</v>
      </c>
      <c r="AB1093" s="1" t="s">
        <v>49</v>
      </c>
      <c r="AC1093" s="1" t="s">
        <v>2587</v>
      </c>
      <c r="AD1093" s="1" t="s">
        <v>2588</v>
      </c>
      <c r="AE1093" s="1" t="s">
        <v>2587</v>
      </c>
      <c r="AF1093" s="1" t="s">
        <v>2589</v>
      </c>
      <c r="AG1093" s="1" t="s">
        <v>338</v>
      </c>
      <c r="AH1093" s="1" t="s">
        <v>49</v>
      </c>
      <c r="AI1093" s="1" t="s">
        <v>54</v>
      </c>
      <c r="AJ1093" s="1">
        <v>1</v>
      </c>
      <c r="AK1093" s="1" t="str">
        <f t="shared" si="17"/>
        <v xml:space="preserve"> =&lt;90</v>
      </c>
      <c r="AL1093" s="1" t="str">
        <f>VLOOKUP(C:C,[1]基础信息!B$1:D$65536,3,0)</f>
        <v>Jug</v>
      </c>
      <c r="AM1093" s="1" t="str">
        <f>VLOOKUP(C:C,[1]基础信息!B$1:E$65536,4,0)</f>
        <v>Fun</v>
      </c>
      <c r="AN1093" s="1" t="str">
        <f>VLOOKUP(C:C,[1]基础信息!B$1:F$65536,5,0)</f>
        <v>Pink</v>
      </c>
    </row>
    <row r="1094" spans="1:40">
      <c r="A1094" s="1" t="s">
        <v>41</v>
      </c>
      <c r="B1094" s="1" t="s">
        <v>42</v>
      </c>
      <c r="C1094" s="1" t="s">
        <v>1710</v>
      </c>
      <c r="D1094" s="1" t="s">
        <v>1711</v>
      </c>
      <c r="E1094" s="1" t="s">
        <v>45</v>
      </c>
      <c r="F1094" s="1" t="s">
        <v>2590</v>
      </c>
      <c r="G1094" s="1" t="s">
        <v>2591</v>
      </c>
      <c r="H1094" s="1" t="s">
        <v>2592</v>
      </c>
      <c r="I1094" s="1" t="s">
        <v>49</v>
      </c>
      <c r="J1094" s="1" t="s">
        <v>48</v>
      </c>
      <c r="K1094" s="1">
        <v>60</v>
      </c>
      <c r="L1094" s="1">
        <v>0</v>
      </c>
      <c r="M1094" s="1">
        <v>0</v>
      </c>
      <c r="N1094" s="1">
        <v>60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 t="s">
        <v>49</v>
      </c>
      <c r="AA1094" s="1" t="s">
        <v>49</v>
      </c>
      <c r="AB1094" s="1" t="s">
        <v>49</v>
      </c>
      <c r="AC1094" s="1" t="s">
        <v>1008</v>
      </c>
      <c r="AD1094" s="1" t="s">
        <v>1009</v>
      </c>
      <c r="AE1094" s="1" t="s">
        <v>1008</v>
      </c>
      <c r="AF1094" s="1" t="s">
        <v>2593</v>
      </c>
      <c r="AG1094" s="1" t="s">
        <v>53</v>
      </c>
      <c r="AH1094" s="1" t="s">
        <v>49</v>
      </c>
      <c r="AI1094" s="1" t="s">
        <v>54</v>
      </c>
      <c r="AJ1094" s="1">
        <v>1</v>
      </c>
      <c r="AK1094" s="1" t="str">
        <f t="shared" si="17"/>
        <v xml:space="preserve"> =&lt;90</v>
      </c>
      <c r="AL1094" s="1" t="str">
        <f>VLOOKUP(C:C,[1]基础信息!B$1:D$65536,3,0)</f>
        <v>Jug</v>
      </c>
      <c r="AM1094" s="1" t="str">
        <f>VLOOKUP(C:C,[1]基础信息!B$1:E$65536,4,0)</f>
        <v>Kalea XL ME4W</v>
      </c>
      <c r="AN1094" s="1" t="str">
        <f>VLOOKUP(C:C,[1]基础信息!B$1:F$65536,5,0)</f>
        <v>grey</v>
      </c>
    </row>
    <row r="1095" spans="1:40">
      <c r="A1095" s="1" t="s">
        <v>41</v>
      </c>
      <c r="B1095" s="1" t="s">
        <v>42</v>
      </c>
      <c r="C1095" s="1" t="s">
        <v>104</v>
      </c>
      <c r="D1095" s="1" t="s">
        <v>105</v>
      </c>
      <c r="E1095" s="1" t="s">
        <v>104</v>
      </c>
      <c r="F1095" s="1" t="s">
        <v>2441</v>
      </c>
      <c r="G1095" s="1" t="s">
        <v>2594</v>
      </c>
      <c r="H1095" s="1" t="s">
        <v>2595</v>
      </c>
      <c r="I1095" s="1" t="s">
        <v>49</v>
      </c>
      <c r="J1095" s="1" t="s">
        <v>48</v>
      </c>
      <c r="K1095" s="1">
        <v>96</v>
      </c>
      <c r="L1095" s="1">
        <v>0</v>
      </c>
      <c r="M1095" s="1">
        <v>0</v>
      </c>
      <c r="N1095" s="1">
        <v>96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 t="s">
        <v>49</v>
      </c>
      <c r="AA1095" s="1" t="s">
        <v>49</v>
      </c>
      <c r="AB1095" s="1" t="s">
        <v>49</v>
      </c>
      <c r="AC1095" s="1" t="s">
        <v>290</v>
      </c>
      <c r="AD1095" s="1" t="s">
        <v>291</v>
      </c>
      <c r="AE1095" s="1" t="s">
        <v>290</v>
      </c>
      <c r="AF1095" s="1" t="s">
        <v>1605</v>
      </c>
      <c r="AG1095" s="1" t="s">
        <v>53</v>
      </c>
      <c r="AH1095" s="1" t="s">
        <v>49</v>
      </c>
      <c r="AI1095" s="1" t="s">
        <v>54</v>
      </c>
      <c r="AJ1095" s="1">
        <v>1</v>
      </c>
      <c r="AK1095" s="1" t="str">
        <f t="shared" si="17"/>
        <v xml:space="preserve"> =&lt;90</v>
      </c>
      <c r="AL1095" s="1" t="str">
        <f>VLOOKUP(C:C,[1]基础信息!B$1:D$65536,3,0)</f>
        <v>Jug</v>
      </c>
      <c r="AM1095" s="1" t="str">
        <f>VLOOKUP(C:C,[1]基础信息!B$1:E$65536,4,0)</f>
        <v>Marella XL</v>
      </c>
      <c r="AN1095" s="1" t="str">
        <f>VLOOKUP(C:C,[1]基础信息!B$1:F$65536,5,0)</f>
        <v>Blue</v>
      </c>
    </row>
    <row r="1096" spans="1:40">
      <c r="A1096" s="1" t="s">
        <v>41</v>
      </c>
      <c r="B1096" s="1" t="s">
        <v>42</v>
      </c>
      <c r="C1096" s="1" t="s">
        <v>1710</v>
      </c>
      <c r="D1096" s="1" t="s">
        <v>1711</v>
      </c>
      <c r="E1096" s="1" t="s">
        <v>45</v>
      </c>
      <c r="F1096" s="1" t="s">
        <v>2590</v>
      </c>
      <c r="G1096" s="1" t="s">
        <v>2596</v>
      </c>
      <c r="H1096" s="1" t="s">
        <v>2597</v>
      </c>
      <c r="I1096" s="1" t="s">
        <v>49</v>
      </c>
      <c r="J1096" s="1" t="s">
        <v>48</v>
      </c>
      <c r="K1096" s="1">
        <v>60</v>
      </c>
      <c r="L1096" s="1">
        <v>0</v>
      </c>
      <c r="M1096" s="1">
        <v>0</v>
      </c>
      <c r="N1096" s="1">
        <v>60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 t="s">
        <v>49</v>
      </c>
      <c r="AA1096" s="1" t="s">
        <v>49</v>
      </c>
      <c r="AB1096" s="1" t="s">
        <v>49</v>
      </c>
      <c r="AC1096" s="1" t="s">
        <v>1008</v>
      </c>
      <c r="AD1096" s="1" t="s">
        <v>1009</v>
      </c>
      <c r="AE1096" s="1" t="s">
        <v>1008</v>
      </c>
      <c r="AF1096" s="1" t="s">
        <v>2593</v>
      </c>
      <c r="AG1096" s="1" t="s">
        <v>53</v>
      </c>
      <c r="AH1096" s="1" t="s">
        <v>49</v>
      </c>
      <c r="AI1096" s="1" t="s">
        <v>54</v>
      </c>
      <c r="AJ1096" s="1">
        <v>1</v>
      </c>
      <c r="AK1096" s="1" t="str">
        <f t="shared" si="17"/>
        <v xml:space="preserve"> =&lt;90</v>
      </c>
      <c r="AL1096" s="1" t="str">
        <f>VLOOKUP(C:C,[1]基础信息!B$1:D$65536,3,0)</f>
        <v>Jug</v>
      </c>
      <c r="AM1096" s="1" t="str">
        <f>VLOOKUP(C:C,[1]基础信息!B$1:E$65536,4,0)</f>
        <v>Kalea XL ME4W</v>
      </c>
      <c r="AN1096" s="1" t="str">
        <f>VLOOKUP(C:C,[1]基础信息!B$1:F$65536,5,0)</f>
        <v>grey</v>
      </c>
    </row>
    <row r="1097" spans="1:40">
      <c r="A1097" s="1" t="s">
        <v>41</v>
      </c>
      <c r="B1097" s="1" t="s">
        <v>42</v>
      </c>
      <c r="C1097" s="1" t="s">
        <v>1710</v>
      </c>
      <c r="D1097" s="1" t="s">
        <v>1711</v>
      </c>
      <c r="E1097" s="1" t="s">
        <v>45</v>
      </c>
      <c r="F1097" s="1" t="s">
        <v>2590</v>
      </c>
      <c r="G1097" s="1" t="s">
        <v>2598</v>
      </c>
      <c r="H1097" s="1" t="s">
        <v>2599</v>
      </c>
      <c r="I1097" s="1" t="s">
        <v>49</v>
      </c>
      <c r="J1097" s="1" t="s">
        <v>48</v>
      </c>
      <c r="K1097" s="1">
        <v>60</v>
      </c>
      <c r="L1097" s="1">
        <v>0</v>
      </c>
      <c r="M1097" s="1">
        <v>0</v>
      </c>
      <c r="N1097" s="1">
        <v>60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 t="s">
        <v>49</v>
      </c>
      <c r="AA1097" s="1" t="s">
        <v>49</v>
      </c>
      <c r="AB1097" s="1" t="s">
        <v>49</v>
      </c>
      <c r="AC1097" s="1" t="s">
        <v>1008</v>
      </c>
      <c r="AD1097" s="1" t="s">
        <v>1009</v>
      </c>
      <c r="AE1097" s="1" t="s">
        <v>1008</v>
      </c>
      <c r="AF1097" s="1" t="s">
        <v>2593</v>
      </c>
      <c r="AG1097" s="1" t="s">
        <v>53</v>
      </c>
      <c r="AH1097" s="1" t="s">
        <v>49</v>
      </c>
      <c r="AI1097" s="1" t="s">
        <v>54</v>
      </c>
      <c r="AJ1097" s="1">
        <v>1</v>
      </c>
      <c r="AK1097" s="1" t="str">
        <f t="shared" si="17"/>
        <v xml:space="preserve"> =&lt;90</v>
      </c>
      <c r="AL1097" s="1" t="str">
        <f>VLOOKUP(C:C,[1]基础信息!B$1:D$65536,3,0)</f>
        <v>Jug</v>
      </c>
      <c r="AM1097" s="1" t="str">
        <f>VLOOKUP(C:C,[1]基础信息!B$1:E$65536,4,0)</f>
        <v>Kalea XL ME4W</v>
      </c>
      <c r="AN1097" s="1" t="str">
        <f>VLOOKUP(C:C,[1]基础信息!B$1:F$65536,5,0)</f>
        <v>grey</v>
      </c>
    </row>
    <row r="1098" spans="1:40">
      <c r="A1098" s="1" t="s">
        <v>41</v>
      </c>
      <c r="B1098" s="1" t="s">
        <v>42</v>
      </c>
      <c r="C1098" s="1" t="s">
        <v>417</v>
      </c>
      <c r="D1098" s="1" t="s">
        <v>418</v>
      </c>
      <c r="E1098" s="1" t="s">
        <v>45</v>
      </c>
      <c r="F1098" s="1" t="s">
        <v>419</v>
      </c>
      <c r="G1098" s="1" t="s">
        <v>2600</v>
      </c>
      <c r="H1098" s="1" t="s">
        <v>2601</v>
      </c>
      <c r="I1098" s="1" t="s">
        <v>49</v>
      </c>
      <c r="J1098" s="1" t="s">
        <v>48</v>
      </c>
      <c r="K1098" s="1">
        <v>96</v>
      </c>
      <c r="L1098" s="1">
        <v>0</v>
      </c>
      <c r="M1098" s="1">
        <v>0</v>
      </c>
      <c r="N1098" s="1">
        <v>96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 t="s">
        <v>49</v>
      </c>
      <c r="AA1098" s="1" t="s">
        <v>49</v>
      </c>
      <c r="AB1098" s="1" t="s">
        <v>49</v>
      </c>
      <c r="AC1098" s="1" t="s">
        <v>414</v>
      </c>
      <c r="AD1098" s="1" t="s">
        <v>415</v>
      </c>
      <c r="AE1098" s="1" t="s">
        <v>416</v>
      </c>
      <c r="AF1098" s="1" t="s">
        <v>422</v>
      </c>
      <c r="AG1098" s="1" t="s">
        <v>53</v>
      </c>
      <c r="AH1098" s="1" t="s">
        <v>49</v>
      </c>
      <c r="AI1098" s="1" t="s">
        <v>54</v>
      </c>
      <c r="AJ1098" s="1">
        <v>1</v>
      </c>
      <c r="AK1098" s="1" t="str">
        <f t="shared" si="17"/>
        <v xml:space="preserve"> =&lt;90</v>
      </c>
      <c r="AL1098" s="1" t="str">
        <f>VLOOKUP(C:C,[1]基础信息!B$1:D$65536,3,0)</f>
        <v>Jug</v>
      </c>
      <c r="AM1098" s="1" t="str">
        <f>VLOOKUP(C:C,[1]基础信息!B$1:E$65536,4,0)</f>
        <v>Marella XL</v>
      </c>
      <c r="AN1098" s="1" t="str">
        <f>VLOOKUP(C:C,[1]基础信息!B$1:F$65536,5,0)</f>
        <v>Silver</v>
      </c>
    </row>
    <row r="1099" spans="1:40">
      <c r="A1099" s="1" t="s">
        <v>41</v>
      </c>
      <c r="B1099" s="1" t="s">
        <v>42</v>
      </c>
      <c r="C1099" s="1" t="s">
        <v>285</v>
      </c>
      <c r="D1099" s="1" t="s">
        <v>286</v>
      </c>
      <c r="E1099" s="1" t="s">
        <v>45</v>
      </c>
      <c r="F1099" s="1" t="s">
        <v>2547</v>
      </c>
      <c r="G1099" s="1" t="s">
        <v>2602</v>
      </c>
      <c r="H1099" s="1" t="s">
        <v>2603</v>
      </c>
      <c r="I1099" s="1" t="s">
        <v>49</v>
      </c>
      <c r="J1099" s="1" t="s">
        <v>48</v>
      </c>
      <c r="K1099" s="1">
        <v>70</v>
      </c>
      <c r="L1099" s="1">
        <v>0</v>
      </c>
      <c r="M1099" s="1">
        <v>0</v>
      </c>
      <c r="N1099" s="1">
        <v>70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 t="s">
        <v>49</v>
      </c>
      <c r="AA1099" s="1" t="s">
        <v>49</v>
      </c>
      <c r="AB1099" s="1" t="s">
        <v>49</v>
      </c>
      <c r="AC1099" s="1" t="s">
        <v>1551</v>
      </c>
      <c r="AD1099" s="1" t="s">
        <v>1552</v>
      </c>
      <c r="AE1099" s="1" t="s">
        <v>1551</v>
      </c>
      <c r="AF1099" s="1" t="s">
        <v>2550</v>
      </c>
      <c r="AG1099" s="1" t="s">
        <v>53</v>
      </c>
      <c r="AH1099" s="1" t="s">
        <v>49</v>
      </c>
      <c r="AI1099" s="1" t="s">
        <v>54</v>
      </c>
      <c r="AJ1099" s="1">
        <v>1</v>
      </c>
      <c r="AK1099" s="1" t="str">
        <f t="shared" si="17"/>
        <v xml:space="preserve"> =&lt;90</v>
      </c>
      <c r="AL1099" s="1" t="str">
        <f>VLOOKUP(C:C,[1]基础信息!B$1:D$65536,3,0)</f>
        <v>Jug</v>
      </c>
      <c r="AM1099" s="1" t="str">
        <f>VLOOKUP(C:C,[1]基础信息!B$1:E$65536,4,0)</f>
        <v>Marella XL</v>
      </c>
      <c r="AN1099" s="1" t="str">
        <f>VLOOKUP(C:C,[1]基础信息!B$1:F$65536,5,0)</f>
        <v>Blue</v>
      </c>
    </row>
    <row r="1100" spans="1:40">
      <c r="A1100" s="1" t="s">
        <v>41</v>
      </c>
      <c r="B1100" s="1" t="s">
        <v>42</v>
      </c>
      <c r="C1100" s="1" t="s">
        <v>285</v>
      </c>
      <c r="D1100" s="1" t="s">
        <v>286</v>
      </c>
      <c r="E1100" s="1" t="s">
        <v>45</v>
      </c>
      <c r="F1100" s="1" t="s">
        <v>2547</v>
      </c>
      <c r="G1100" s="1" t="s">
        <v>2604</v>
      </c>
      <c r="H1100" s="1" t="s">
        <v>2605</v>
      </c>
      <c r="I1100" s="1" t="s">
        <v>49</v>
      </c>
      <c r="J1100" s="1" t="s">
        <v>48</v>
      </c>
      <c r="K1100" s="1">
        <v>70</v>
      </c>
      <c r="L1100" s="1">
        <v>0</v>
      </c>
      <c r="M1100" s="1">
        <v>0</v>
      </c>
      <c r="N1100" s="1">
        <v>70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 t="s">
        <v>49</v>
      </c>
      <c r="AA1100" s="1" t="s">
        <v>49</v>
      </c>
      <c r="AB1100" s="1" t="s">
        <v>49</v>
      </c>
      <c r="AC1100" s="1" t="s">
        <v>1551</v>
      </c>
      <c r="AD1100" s="1" t="s">
        <v>1552</v>
      </c>
      <c r="AE1100" s="1" t="s">
        <v>1551</v>
      </c>
      <c r="AF1100" s="1" t="s">
        <v>2550</v>
      </c>
      <c r="AG1100" s="1" t="s">
        <v>53</v>
      </c>
      <c r="AH1100" s="1" t="s">
        <v>49</v>
      </c>
      <c r="AI1100" s="1" t="s">
        <v>54</v>
      </c>
      <c r="AJ1100" s="1">
        <v>1</v>
      </c>
      <c r="AK1100" s="1" t="str">
        <f t="shared" si="17"/>
        <v xml:space="preserve"> =&lt;90</v>
      </c>
      <c r="AL1100" s="1" t="str">
        <f>VLOOKUP(C:C,[1]基础信息!B$1:D$65536,3,0)</f>
        <v>Jug</v>
      </c>
      <c r="AM1100" s="1" t="str">
        <f>VLOOKUP(C:C,[1]基础信息!B$1:E$65536,4,0)</f>
        <v>Marella XL</v>
      </c>
      <c r="AN1100" s="1" t="str">
        <f>VLOOKUP(C:C,[1]基础信息!B$1:F$65536,5,0)</f>
        <v>Blue</v>
      </c>
    </row>
    <row r="1101" spans="1:40">
      <c r="A1101" s="1" t="s">
        <v>41</v>
      </c>
      <c r="B1101" s="1" t="s">
        <v>42</v>
      </c>
      <c r="C1101" s="1" t="s">
        <v>285</v>
      </c>
      <c r="D1101" s="1" t="s">
        <v>286</v>
      </c>
      <c r="E1101" s="1" t="s">
        <v>45</v>
      </c>
      <c r="F1101" s="1" t="s">
        <v>2547</v>
      </c>
      <c r="G1101" s="1" t="s">
        <v>2606</v>
      </c>
      <c r="H1101" s="1" t="s">
        <v>2607</v>
      </c>
      <c r="I1101" s="1" t="s">
        <v>49</v>
      </c>
      <c r="J1101" s="1" t="s">
        <v>48</v>
      </c>
      <c r="K1101" s="1">
        <v>70</v>
      </c>
      <c r="L1101" s="1">
        <v>0</v>
      </c>
      <c r="M1101" s="1">
        <v>0</v>
      </c>
      <c r="N1101" s="1">
        <v>70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 t="s">
        <v>49</v>
      </c>
      <c r="AA1101" s="1" t="s">
        <v>49</v>
      </c>
      <c r="AB1101" s="1" t="s">
        <v>49</v>
      </c>
      <c r="AC1101" s="1" t="s">
        <v>1551</v>
      </c>
      <c r="AD1101" s="1" t="s">
        <v>1552</v>
      </c>
      <c r="AE1101" s="1" t="s">
        <v>1551</v>
      </c>
      <c r="AF1101" s="1" t="s">
        <v>2550</v>
      </c>
      <c r="AG1101" s="1" t="s">
        <v>53</v>
      </c>
      <c r="AH1101" s="1" t="s">
        <v>49</v>
      </c>
      <c r="AI1101" s="1" t="s">
        <v>54</v>
      </c>
      <c r="AJ1101" s="1">
        <v>1</v>
      </c>
      <c r="AK1101" s="1" t="str">
        <f t="shared" si="17"/>
        <v xml:space="preserve"> =&lt;90</v>
      </c>
      <c r="AL1101" s="1" t="str">
        <f>VLOOKUP(C:C,[1]基础信息!B$1:D$65536,3,0)</f>
        <v>Jug</v>
      </c>
      <c r="AM1101" s="1" t="str">
        <f>VLOOKUP(C:C,[1]基础信息!B$1:E$65536,4,0)</f>
        <v>Marella XL</v>
      </c>
      <c r="AN1101" s="1" t="str">
        <f>VLOOKUP(C:C,[1]基础信息!B$1:F$65536,5,0)</f>
        <v>Blue</v>
      </c>
    </row>
    <row r="1102" spans="1:40">
      <c r="A1102" s="1" t="s">
        <v>41</v>
      </c>
      <c r="B1102" s="1" t="s">
        <v>42</v>
      </c>
      <c r="C1102" s="1" t="s">
        <v>285</v>
      </c>
      <c r="D1102" s="1" t="s">
        <v>286</v>
      </c>
      <c r="E1102" s="1" t="s">
        <v>45</v>
      </c>
      <c r="F1102" s="1" t="s">
        <v>2547</v>
      </c>
      <c r="G1102" s="1" t="s">
        <v>2608</v>
      </c>
      <c r="H1102" s="1" t="s">
        <v>2609</v>
      </c>
      <c r="I1102" s="1" t="s">
        <v>49</v>
      </c>
      <c r="J1102" s="1" t="s">
        <v>48</v>
      </c>
      <c r="K1102" s="1">
        <v>70</v>
      </c>
      <c r="L1102" s="1">
        <v>0</v>
      </c>
      <c r="M1102" s="1">
        <v>0</v>
      </c>
      <c r="N1102" s="1">
        <v>70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 t="s">
        <v>49</v>
      </c>
      <c r="AA1102" s="1" t="s">
        <v>49</v>
      </c>
      <c r="AB1102" s="1" t="s">
        <v>49</v>
      </c>
      <c r="AC1102" s="1" t="s">
        <v>1551</v>
      </c>
      <c r="AD1102" s="1" t="s">
        <v>1552</v>
      </c>
      <c r="AE1102" s="1" t="s">
        <v>1551</v>
      </c>
      <c r="AF1102" s="1" t="s">
        <v>2550</v>
      </c>
      <c r="AG1102" s="1" t="s">
        <v>53</v>
      </c>
      <c r="AH1102" s="1" t="s">
        <v>49</v>
      </c>
      <c r="AI1102" s="1" t="s">
        <v>54</v>
      </c>
      <c r="AJ1102" s="1">
        <v>1</v>
      </c>
      <c r="AK1102" s="1" t="str">
        <f t="shared" si="17"/>
        <v xml:space="preserve"> =&lt;90</v>
      </c>
      <c r="AL1102" s="1" t="str">
        <f>VLOOKUP(C:C,[1]基础信息!B$1:D$65536,3,0)</f>
        <v>Jug</v>
      </c>
      <c r="AM1102" s="1" t="str">
        <f>VLOOKUP(C:C,[1]基础信息!B$1:E$65536,4,0)</f>
        <v>Marella XL</v>
      </c>
      <c r="AN1102" s="1" t="str">
        <f>VLOOKUP(C:C,[1]基础信息!B$1:F$65536,5,0)</f>
        <v>Blue</v>
      </c>
    </row>
    <row r="1103" spans="1:40">
      <c r="A1103" s="1" t="s">
        <v>41</v>
      </c>
      <c r="B1103" s="1" t="s">
        <v>42</v>
      </c>
      <c r="C1103" s="1" t="s">
        <v>104</v>
      </c>
      <c r="D1103" s="1" t="s">
        <v>105</v>
      </c>
      <c r="E1103" s="1" t="s">
        <v>104</v>
      </c>
      <c r="F1103" s="1" t="s">
        <v>2441</v>
      </c>
      <c r="G1103" s="1" t="s">
        <v>2610</v>
      </c>
      <c r="H1103" s="1" t="s">
        <v>2611</v>
      </c>
      <c r="I1103" s="1" t="s">
        <v>49</v>
      </c>
      <c r="J1103" s="1" t="s">
        <v>48</v>
      </c>
      <c r="K1103" s="1">
        <v>96</v>
      </c>
      <c r="L1103" s="1">
        <v>0</v>
      </c>
      <c r="M1103" s="1">
        <v>0</v>
      </c>
      <c r="N1103" s="1">
        <v>96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 t="s">
        <v>49</v>
      </c>
      <c r="AA1103" s="1" t="s">
        <v>49</v>
      </c>
      <c r="AB1103" s="1" t="s">
        <v>49</v>
      </c>
      <c r="AC1103" s="1" t="s">
        <v>290</v>
      </c>
      <c r="AD1103" s="1" t="s">
        <v>291</v>
      </c>
      <c r="AE1103" s="1" t="s">
        <v>290</v>
      </c>
      <c r="AF1103" s="1" t="s">
        <v>1605</v>
      </c>
      <c r="AG1103" s="1" t="s">
        <v>53</v>
      </c>
      <c r="AH1103" s="1" t="s">
        <v>49</v>
      </c>
      <c r="AI1103" s="1" t="s">
        <v>54</v>
      </c>
      <c r="AJ1103" s="1">
        <v>1</v>
      </c>
      <c r="AK1103" s="1" t="str">
        <f t="shared" si="17"/>
        <v xml:space="preserve"> =&lt;90</v>
      </c>
      <c r="AL1103" s="1" t="str">
        <f>VLOOKUP(C:C,[1]基础信息!B$1:D$65536,3,0)</f>
        <v>Jug</v>
      </c>
      <c r="AM1103" s="1" t="str">
        <f>VLOOKUP(C:C,[1]基础信息!B$1:E$65536,4,0)</f>
        <v>Marella XL</v>
      </c>
      <c r="AN1103" s="1" t="str">
        <f>VLOOKUP(C:C,[1]基础信息!B$1:F$65536,5,0)</f>
        <v>Blue</v>
      </c>
    </row>
    <row r="1104" spans="1:40">
      <c r="A1104" s="1" t="s">
        <v>41</v>
      </c>
      <c r="B1104" s="1" t="s">
        <v>42</v>
      </c>
      <c r="C1104" s="1" t="s">
        <v>285</v>
      </c>
      <c r="D1104" s="1" t="s">
        <v>286</v>
      </c>
      <c r="E1104" s="1" t="s">
        <v>45</v>
      </c>
      <c r="F1104" s="1" t="s">
        <v>2547</v>
      </c>
      <c r="G1104" s="1" t="s">
        <v>2612</v>
      </c>
      <c r="H1104" s="1" t="s">
        <v>2613</v>
      </c>
      <c r="I1104" s="1" t="s">
        <v>49</v>
      </c>
      <c r="J1104" s="1" t="s">
        <v>48</v>
      </c>
      <c r="K1104" s="1">
        <v>70</v>
      </c>
      <c r="L1104" s="1">
        <v>0</v>
      </c>
      <c r="M1104" s="1">
        <v>0</v>
      </c>
      <c r="N1104" s="1">
        <v>70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 t="s">
        <v>49</v>
      </c>
      <c r="AA1104" s="1" t="s">
        <v>49</v>
      </c>
      <c r="AB1104" s="1" t="s">
        <v>49</v>
      </c>
      <c r="AC1104" s="1" t="s">
        <v>1551</v>
      </c>
      <c r="AD1104" s="1" t="s">
        <v>1552</v>
      </c>
      <c r="AE1104" s="1" t="s">
        <v>1551</v>
      </c>
      <c r="AF1104" s="1" t="s">
        <v>2550</v>
      </c>
      <c r="AG1104" s="1" t="s">
        <v>53</v>
      </c>
      <c r="AH1104" s="1" t="s">
        <v>49</v>
      </c>
      <c r="AI1104" s="1" t="s">
        <v>54</v>
      </c>
      <c r="AJ1104" s="1">
        <v>1</v>
      </c>
      <c r="AK1104" s="1" t="str">
        <f t="shared" si="17"/>
        <v xml:space="preserve"> =&lt;90</v>
      </c>
      <c r="AL1104" s="1" t="str">
        <f>VLOOKUP(C:C,[1]基础信息!B$1:D$65536,3,0)</f>
        <v>Jug</v>
      </c>
      <c r="AM1104" s="1" t="str">
        <f>VLOOKUP(C:C,[1]基础信息!B$1:E$65536,4,0)</f>
        <v>Marella XL</v>
      </c>
      <c r="AN1104" s="1" t="str">
        <f>VLOOKUP(C:C,[1]基础信息!B$1:F$65536,5,0)</f>
        <v>Blue</v>
      </c>
    </row>
    <row r="1105" spans="1:40">
      <c r="A1105" s="1" t="s">
        <v>41</v>
      </c>
      <c r="B1105" s="1" t="s">
        <v>42</v>
      </c>
      <c r="C1105" s="1" t="s">
        <v>285</v>
      </c>
      <c r="D1105" s="1" t="s">
        <v>286</v>
      </c>
      <c r="E1105" s="1" t="s">
        <v>45</v>
      </c>
      <c r="F1105" s="1" t="s">
        <v>2547</v>
      </c>
      <c r="G1105" s="1" t="s">
        <v>2614</v>
      </c>
      <c r="H1105" s="1" t="s">
        <v>2615</v>
      </c>
      <c r="I1105" s="1" t="s">
        <v>49</v>
      </c>
      <c r="J1105" s="1" t="s">
        <v>48</v>
      </c>
      <c r="K1105" s="1">
        <v>70</v>
      </c>
      <c r="L1105" s="1">
        <v>0</v>
      </c>
      <c r="M1105" s="1">
        <v>0</v>
      </c>
      <c r="N1105" s="1">
        <v>70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 t="s">
        <v>49</v>
      </c>
      <c r="AA1105" s="1" t="s">
        <v>49</v>
      </c>
      <c r="AB1105" s="1" t="s">
        <v>49</v>
      </c>
      <c r="AC1105" s="1" t="s">
        <v>1551</v>
      </c>
      <c r="AD1105" s="1" t="s">
        <v>1552</v>
      </c>
      <c r="AE1105" s="1" t="s">
        <v>1551</v>
      </c>
      <c r="AF1105" s="1" t="s">
        <v>2550</v>
      </c>
      <c r="AG1105" s="1" t="s">
        <v>53</v>
      </c>
      <c r="AH1105" s="1" t="s">
        <v>49</v>
      </c>
      <c r="AI1105" s="1" t="s">
        <v>54</v>
      </c>
      <c r="AJ1105" s="1">
        <v>1</v>
      </c>
      <c r="AK1105" s="1" t="str">
        <f t="shared" si="17"/>
        <v xml:space="preserve"> =&lt;90</v>
      </c>
      <c r="AL1105" s="1" t="str">
        <f>VLOOKUP(C:C,[1]基础信息!B$1:D$65536,3,0)</f>
        <v>Jug</v>
      </c>
      <c r="AM1105" s="1" t="str">
        <f>VLOOKUP(C:C,[1]基础信息!B$1:E$65536,4,0)</f>
        <v>Marella XL</v>
      </c>
      <c r="AN1105" s="1" t="str">
        <f>VLOOKUP(C:C,[1]基础信息!B$1:F$65536,5,0)</f>
        <v>Blue</v>
      </c>
    </row>
    <row r="1106" spans="1:40">
      <c r="A1106" s="1" t="s">
        <v>41</v>
      </c>
      <c r="B1106" s="1" t="s">
        <v>42</v>
      </c>
      <c r="C1106" s="1" t="s">
        <v>285</v>
      </c>
      <c r="D1106" s="1" t="s">
        <v>286</v>
      </c>
      <c r="E1106" s="1" t="s">
        <v>45</v>
      </c>
      <c r="F1106" s="1" t="s">
        <v>2547</v>
      </c>
      <c r="G1106" s="1" t="s">
        <v>2616</v>
      </c>
      <c r="H1106" s="1" t="s">
        <v>2617</v>
      </c>
      <c r="I1106" s="1" t="s">
        <v>49</v>
      </c>
      <c r="J1106" s="1" t="s">
        <v>48</v>
      </c>
      <c r="K1106" s="1">
        <v>70</v>
      </c>
      <c r="L1106" s="1">
        <v>0</v>
      </c>
      <c r="M1106" s="1">
        <v>0</v>
      </c>
      <c r="N1106" s="1">
        <v>70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 t="s">
        <v>49</v>
      </c>
      <c r="AA1106" s="1" t="s">
        <v>49</v>
      </c>
      <c r="AB1106" s="1" t="s">
        <v>49</v>
      </c>
      <c r="AC1106" s="1" t="s">
        <v>1551</v>
      </c>
      <c r="AD1106" s="1" t="s">
        <v>1552</v>
      </c>
      <c r="AE1106" s="1" t="s">
        <v>1551</v>
      </c>
      <c r="AF1106" s="1" t="s">
        <v>2550</v>
      </c>
      <c r="AG1106" s="1" t="s">
        <v>53</v>
      </c>
      <c r="AH1106" s="1" t="s">
        <v>49</v>
      </c>
      <c r="AI1106" s="1" t="s">
        <v>54</v>
      </c>
      <c r="AJ1106" s="1">
        <v>1</v>
      </c>
      <c r="AK1106" s="1" t="str">
        <f t="shared" si="17"/>
        <v xml:space="preserve"> =&lt;90</v>
      </c>
      <c r="AL1106" s="1" t="str">
        <f>VLOOKUP(C:C,[1]基础信息!B$1:D$65536,3,0)</f>
        <v>Jug</v>
      </c>
      <c r="AM1106" s="1" t="str">
        <f>VLOOKUP(C:C,[1]基础信息!B$1:E$65536,4,0)</f>
        <v>Marella XL</v>
      </c>
      <c r="AN1106" s="1" t="str">
        <f>VLOOKUP(C:C,[1]基础信息!B$1:F$65536,5,0)</f>
        <v>Blue</v>
      </c>
    </row>
    <row r="1107" spans="1:40">
      <c r="A1107" s="1" t="s">
        <v>41</v>
      </c>
      <c r="B1107" s="1" t="s">
        <v>42</v>
      </c>
      <c r="C1107" s="1" t="s">
        <v>104</v>
      </c>
      <c r="D1107" s="1" t="s">
        <v>105</v>
      </c>
      <c r="E1107" s="1" t="s">
        <v>104</v>
      </c>
      <c r="F1107" s="1" t="s">
        <v>2441</v>
      </c>
      <c r="G1107" s="1" t="s">
        <v>2618</v>
      </c>
      <c r="H1107" s="1" t="s">
        <v>2619</v>
      </c>
      <c r="I1107" s="1" t="s">
        <v>49</v>
      </c>
      <c r="J1107" s="1" t="s">
        <v>48</v>
      </c>
      <c r="K1107" s="1">
        <v>96</v>
      </c>
      <c r="L1107" s="1">
        <v>0</v>
      </c>
      <c r="M1107" s="1">
        <v>0</v>
      </c>
      <c r="N1107" s="1">
        <v>96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 t="s">
        <v>49</v>
      </c>
      <c r="AA1107" s="1" t="s">
        <v>49</v>
      </c>
      <c r="AB1107" s="1" t="s">
        <v>49</v>
      </c>
      <c r="AC1107" s="1" t="s">
        <v>290</v>
      </c>
      <c r="AD1107" s="1" t="s">
        <v>291</v>
      </c>
      <c r="AE1107" s="1" t="s">
        <v>290</v>
      </c>
      <c r="AF1107" s="1" t="s">
        <v>1605</v>
      </c>
      <c r="AG1107" s="1" t="s">
        <v>53</v>
      </c>
      <c r="AH1107" s="1" t="s">
        <v>49</v>
      </c>
      <c r="AI1107" s="1" t="s">
        <v>54</v>
      </c>
      <c r="AJ1107" s="1">
        <v>1</v>
      </c>
      <c r="AK1107" s="1" t="str">
        <f t="shared" si="17"/>
        <v xml:space="preserve"> =&lt;90</v>
      </c>
      <c r="AL1107" s="1" t="str">
        <f>VLOOKUP(C:C,[1]基础信息!B$1:D$65536,3,0)</f>
        <v>Jug</v>
      </c>
      <c r="AM1107" s="1" t="str">
        <f>VLOOKUP(C:C,[1]基础信息!B$1:E$65536,4,0)</f>
        <v>Marella XL</v>
      </c>
      <c r="AN1107" s="1" t="str">
        <f>VLOOKUP(C:C,[1]基础信息!B$1:F$65536,5,0)</f>
        <v>Blue</v>
      </c>
    </row>
    <row r="1108" spans="1:40">
      <c r="A1108" s="1" t="s">
        <v>41</v>
      </c>
      <c r="B1108" s="1" t="s">
        <v>42</v>
      </c>
      <c r="C1108" s="1" t="s">
        <v>285</v>
      </c>
      <c r="D1108" s="1" t="s">
        <v>286</v>
      </c>
      <c r="E1108" s="1" t="s">
        <v>45</v>
      </c>
      <c r="F1108" s="1" t="s">
        <v>2547</v>
      </c>
      <c r="G1108" s="1" t="s">
        <v>2620</v>
      </c>
      <c r="H1108" s="1" t="s">
        <v>2621</v>
      </c>
      <c r="I1108" s="1" t="s">
        <v>49</v>
      </c>
      <c r="J1108" s="1" t="s">
        <v>48</v>
      </c>
      <c r="K1108" s="1">
        <v>70</v>
      </c>
      <c r="L1108" s="1">
        <v>0</v>
      </c>
      <c r="M1108" s="1">
        <v>0</v>
      </c>
      <c r="N1108" s="1">
        <v>70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 t="s">
        <v>49</v>
      </c>
      <c r="AA1108" s="1" t="s">
        <v>49</v>
      </c>
      <c r="AB1108" s="1" t="s">
        <v>49</v>
      </c>
      <c r="AC1108" s="1" t="s">
        <v>1551</v>
      </c>
      <c r="AD1108" s="1" t="s">
        <v>1552</v>
      </c>
      <c r="AE1108" s="1" t="s">
        <v>1551</v>
      </c>
      <c r="AF1108" s="1" t="s">
        <v>2550</v>
      </c>
      <c r="AG1108" s="1" t="s">
        <v>53</v>
      </c>
      <c r="AH1108" s="1" t="s">
        <v>49</v>
      </c>
      <c r="AI1108" s="1" t="s">
        <v>54</v>
      </c>
      <c r="AJ1108" s="1">
        <v>1</v>
      </c>
      <c r="AK1108" s="1" t="str">
        <f t="shared" si="17"/>
        <v xml:space="preserve"> =&lt;90</v>
      </c>
      <c r="AL1108" s="1" t="str">
        <f>VLOOKUP(C:C,[1]基础信息!B$1:D$65536,3,0)</f>
        <v>Jug</v>
      </c>
      <c r="AM1108" s="1" t="str">
        <f>VLOOKUP(C:C,[1]基础信息!B$1:E$65536,4,0)</f>
        <v>Marella XL</v>
      </c>
      <c r="AN1108" s="1" t="str">
        <f>VLOOKUP(C:C,[1]基础信息!B$1:F$65536,5,0)</f>
        <v>Blue</v>
      </c>
    </row>
    <row r="1109" spans="1:40">
      <c r="A1109" s="1" t="s">
        <v>41</v>
      </c>
      <c r="B1109" s="1" t="s">
        <v>42</v>
      </c>
      <c r="C1109" s="1" t="s">
        <v>285</v>
      </c>
      <c r="D1109" s="1" t="s">
        <v>286</v>
      </c>
      <c r="E1109" s="1" t="s">
        <v>45</v>
      </c>
      <c r="F1109" s="1" t="s">
        <v>2547</v>
      </c>
      <c r="G1109" s="1" t="s">
        <v>2622</v>
      </c>
      <c r="H1109" s="1" t="s">
        <v>2623</v>
      </c>
      <c r="I1109" s="1" t="s">
        <v>49</v>
      </c>
      <c r="J1109" s="1" t="s">
        <v>48</v>
      </c>
      <c r="K1109" s="1">
        <v>70</v>
      </c>
      <c r="L1109" s="1">
        <v>0</v>
      </c>
      <c r="M1109" s="1">
        <v>0</v>
      </c>
      <c r="N1109" s="1">
        <v>70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 t="s">
        <v>49</v>
      </c>
      <c r="AA1109" s="1" t="s">
        <v>49</v>
      </c>
      <c r="AB1109" s="1" t="s">
        <v>49</v>
      </c>
      <c r="AC1109" s="1" t="s">
        <v>1551</v>
      </c>
      <c r="AD1109" s="1" t="s">
        <v>1552</v>
      </c>
      <c r="AE1109" s="1" t="s">
        <v>1551</v>
      </c>
      <c r="AF1109" s="1" t="s">
        <v>2550</v>
      </c>
      <c r="AG1109" s="1" t="s">
        <v>53</v>
      </c>
      <c r="AH1109" s="1" t="s">
        <v>49</v>
      </c>
      <c r="AI1109" s="1" t="s">
        <v>54</v>
      </c>
      <c r="AJ1109" s="1">
        <v>1</v>
      </c>
      <c r="AK1109" s="1" t="str">
        <f t="shared" si="17"/>
        <v xml:space="preserve"> =&lt;90</v>
      </c>
      <c r="AL1109" s="1" t="str">
        <f>VLOOKUP(C:C,[1]基础信息!B$1:D$65536,3,0)</f>
        <v>Jug</v>
      </c>
      <c r="AM1109" s="1" t="str">
        <f>VLOOKUP(C:C,[1]基础信息!B$1:E$65536,4,0)</f>
        <v>Marella XL</v>
      </c>
      <c r="AN1109" s="1" t="str">
        <f>VLOOKUP(C:C,[1]基础信息!B$1:F$65536,5,0)</f>
        <v>Blue</v>
      </c>
    </row>
    <row r="1110" spans="1:40">
      <c r="A1110" s="1" t="s">
        <v>41</v>
      </c>
      <c r="B1110" s="1" t="s">
        <v>42</v>
      </c>
      <c r="C1110" s="1" t="s">
        <v>285</v>
      </c>
      <c r="D1110" s="1" t="s">
        <v>286</v>
      </c>
      <c r="E1110" s="1" t="s">
        <v>45</v>
      </c>
      <c r="F1110" s="1" t="s">
        <v>2547</v>
      </c>
      <c r="G1110" s="1" t="s">
        <v>2624</v>
      </c>
      <c r="H1110" s="1" t="s">
        <v>2625</v>
      </c>
      <c r="I1110" s="1" t="s">
        <v>49</v>
      </c>
      <c r="J1110" s="1" t="s">
        <v>48</v>
      </c>
      <c r="K1110" s="1">
        <v>70</v>
      </c>
      <c r="L1110" s="1">
        <v>0</v>
      </c>
      <c r="M1110" s="1">
        <v>0</v>
      </c>
      <c r="N1110" s="1">
        <v>70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 t="s">
        <v>49</v>
      </c>
      <c r="AA1110" s="1" t="s">
        <v>49</v>
      </c>
      <c r="AB1110" s="1" t="s">
        <v>49</v>
      </c>
      <c r="AC1110" s="1" t="s">
        <v>1551</v>
      </c>
      <c r="AD1110" s="1" t="s">
        <v>1552</v>
      </c>
      <c r="AE1110" s="1" t="s">
        <v>1551</v>
      </c>
      <c r="AF1110" s="1" t="s">
        <v>2550</v>
      </c>
      <c r="AG1110" s="1" t="s">
        <v>53</v>
      </c>
      <c r="AH1110" s="1" t="s">
        <v>49</v>
      </c>
      <c r="AI1110" s="1" t="s">
        <v>54</v>
      </c>
      <c r="AJ1110" s="1">
        <v>1</v>
      </c>
      <c r="AK1110" s="1" t="str">
        <f t="shared" si="17"/>
        <v xml:space="preserve"> =&lt;90</v>
      </c>
      <c r="AL1110" s="1" t="str">
        <f>VLOOKUP(C:C,[1]基础信息!B$1:D$65536,3,0)</f>
        <v>Jug</v>
      </c>
      <c r="AM1110" s="1" t="str">
        <f>VLOOKUP(C:C,[1]基础信息!B$1:E$65536,4,0)</f>
        <v>Marella XL</v>
      </c>
      <c r="AN1110" s="1" t="str">
        <f>VLOOKUP(C:C,[1]基础信息!B$1:F$65536,5,0)</f>
        <v>Blue</v>
      </c>
    </row>
    <row r="1111" spans="1:40">
      <c r="A1111" s="1" t="s">
        <v>41</v>
      </c>
      <c r="B1111" s="1" t="s">
        <v>42</v>
      </c>
      <c r="C1111" s="1" t="s">
        <v>104</v>
      </c>
      <c r="D1111" s="1" t="s">
        <v>105</v>
      </c>
      <c r="E1111" s="1" t="s">
        <v>104</v>
      </c>
      <c r="F1111" s="1" t="s">
        <v>2441</v>
      </c>
      <c r="G1111" s="1" t="s">
        <v>2626</v>
      </c>
      <c r="H1111" s="1" t="s">
        <v>2627</v>
      </c>
      <c r="I1111" s="1" t="s">
        <v>49</v>
      </c>
      <c r="J1111" s="1" t="s">
        <v>48</v>
      </c>
      <c r="K1111" s="1">
        <v>96</v>
      </c>
      <c r="L1111" s="1">
        <v>0</v>
      </c>
      <c r="M1111" s="1">
        <v>0</v>
      </c>
      <c r="N1111" s="1">
        <v>96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 t="s">
        <v>49</v>
      </c>
      <c r="AA1111" s="1" t="s">
        <v>49</v>
      </c>
      <c r="AB1111" s="1" t="s">
        <v>49</v>
      </c>
      <c r="AC1111" s="1" t="s">
        <v>290</v>
      </c>
      <c r="AD1111" s="1" t="s">
        <v>291</v>
      </c>
      <c r="AE1111" s="1" t="s">
        <v>290</v>
      </c>
      <c r="AF1111" s="1" t="s">
        <v>1605</v>
      </c>
      <c r="AG1111" s="1" t="s">
        <v>53</v>
      </c>
      <c r="AH1111" s="1" t="s">
        <v>49</v>
      </c>
      <c r="AI1111" s="1" t="s">
        <v>54</v>
      </c>
      <c r="AJ1111" s="1">
        <v>1</v>
      </c>
      <c r="AK1111" s="1" t="str">
        <f t="shared" si="17"/>
        <v xml:space="preserve"> =&lt;90</v>
      </c>
      <c r="AL1111" s="1" t="str">
        <f>VLOOKUP(C:C,[1]基础信息!B$1:D$65536,3,0)</f>
        <v>Jug</v>
      </c>
      <c r="AM1111" s="1" t="str">
        <f>VLOOKUP(C:C,[1]基础信息!B$1:E$65536,4,0)</f>
        <v>Marella XL</v>
      </c>
      <c r="AN1111" s="1" t="str">
        <f>VLOOKUP(C:C,[1]基础信息!B$1:F$65536,5,0)</f>
        <v>Blue</v>
      </c>
    </row>
    <row r="1112" spans="1:40">
      <c r="A1112" s="1" t="s">
        <v>41</v>
      </c>
      <c r="B1112" s="1" t="s">
        <v>42</v>
      </c>
      <c r="C1112" s="1" t="s">
        <v>2628</v>
      </c>
      <c r="D1112" s="1" t="s">
        <v>2629</v>
      </c>
      <c r="E1112" s="1" t="s">
        <v>45</v>
      </c>
      <c r="F1112" s="1" t="s">
        <v>2630</v>
      </c>
      <c r="G1112" s="1" t="s">
        <v>2631</v>
      </c>
      <c r="H1112" s="1" t="s">
        <v>2632</v>
      </c>
      <c r="I1112" s="1" t="s">
        <v>49</v>
      </c>
      <c r="J1112" s="1" t="s">
        <v>48</v>
      </c>
      <c r="K1112" s="1">
        <v>12</v>
      </c>
      <c r="L1112" s="1">
        <v>0</v>
      </c>
      <c r="M1112" s="1">
        <v>0</v>
      </c>
      <c r="N1112" s="1">
        <v>12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 t="s">
        <v>49</v>
      </c>
      <c r="AA1112" s="1" t="s">
        <v>49</v>
      </c>
      <c r="AB1112" s="1" t="s">
        <v>49</v>
      </c>
      <c r="AC1112" s="1" t="s">
        <v>1551</v>
      </c>
      <c r="AD1112" s="1" t="s">
        <v>1552</v>
      </c>
      <c r="AE1112" s="1" t="s">
        <v>1551</v>
      </c>
      <c r="AF1112" s="1" t="s">
        <v>2633</v>
      </c>
      <c r="AG1112" s="1" t="s">
        <v>53</v>
      </c>
      <c r="AH1112" s="1" t="s">
        <v>49</v>
      </c>
      <c r="AI1112" s="1" t="s">
        <v>54</v>
      </c>
      <c r="AJ1112" s="1">
        <v>1</v>
      </c>
      <c r="AK1112" s="1" t="str">
        <f t="shared" si="17"/>
        <v xml:space="preserve"> =&lt;90</v>
      </c>
      <c r="AL1112" s="1" t="str">
        <f>VLOOKUP(C:C,[1]基础信息!B$1:D$65536,3,0)</f>
        <v>UTS</v>
      </c>
      <c r="AM1112" s="1" t="str">
        <f>VLOOKUP(C:C,[1]基础信息!B$1:E$65536,4,0)</f>
        <v>MyPure</v>
      </c>
      <c r="AN1112" s="1" t="str">
        <f>VLOOKUP(C:C,[1]基础信息!B$1:F$65536,5,0)</f>
        <v>Refill</v>
      </c>
    </row>
    <row r="1113" spans="1:40">
      <c r="A1113" s="1" t="s">
        <v>41</v>
      </c>
      <c r="B1113" s="1" t="s">
        <v>42</v>
      </c>
      <c r="C1113" s="1" t="s">
        <v>285</v>
      </c>
      <c r="D1113" s="1" t="s">
        <v>286</v>
      </c>
      <c r="E1113" s="1" t="s">
        <v>45</v>
      </c>
      <c r="F1113" s="1" t="s">
        <v>1548</v>
      </c>
      <c r="G1113" s="1" t="s">
        <v>2634</v>
      </c>
      <c r="H1113" s="1" t="s">
        <v>2635</v>
      </c>
      <c r="I1113" s="1" t="s">
        <v>49</v>
      </c>
      <c r="J1113" s="1" t="s">
        <v>48</v>
      </c>
      <c r="K1113" s="1">
        <v>70</v>
      </c>
      <c r="L1113" s="1">
        <v>0</v>
      </c>
      <c r="M1113" s="1">
        <v>0</v>
      </c>
      <c r="N1113" s="1">
        <v>70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 t="s">
        <v>49</v>
      </c>
      <c r="AA1113" s="1" t="s">
        <v>49</v>
      </c>
      <c r="AB1113" s="1" t="s">
        <v>49</v>
      </c>
      <c r="AC1113" s="1" t="s">
        <v>1551</v>
      </c>
      <c r="AD1113" s="1" t="s">
        <v>1552</v>
      </c>
      <c r="AE1113" s="1" t="s">
        <v>1551</v>
      </c>
      <c r="AF1113" s="1" t="s">
        <v>1553</v>
      </c>
      <c r="AG1113" s="1" t="s">
        <v>53</v>
      </c>
      <c r="AH1113" s="1" t="s">
        <v>49</v>
      </c>
      <c r="AI1113" s="1" t="s">
        <v>54</v>
      </c>
      <c r="AJ1113" s="1">
        <v>1</v>
      </c>
      <c r="AK1113" s="1" t="str">
        <f t="shared" si="17"/>
        <v xml:space="preserve"> =&lt;90</v>
      </c>
      <c r="AL1113" s="1" t="str">
        <f>VLOOKUP(C:C,[1]基础信息!B$1:D$65536,3,0)</f>
        <v>Jug</v>
      </c>
      <c r="AM1113" s="1" t="str">
        <f>VLOOKUP(C:C,[1]基础信息!B$1:E$65536,4,0)</f>
        <v>Marella XL</v>
      </c>
      <c r="AN1113" s="1" t="str">
        <f>VLOOKUP(C:C,[1]基础信息!B$1:F$65536,5,0)</f>
        <v>Blue</v>
      </c>
    </row>
    <row r="1114" spans="1:40">
      <c r="A1114" s="1" t="s">
        <v>41</v>
      </c>
      <c r="B1114" s="1" t="s">
        <v>42</v>
      </c>
      <c r="C1114" s="1" t="s">
        <v>285</v>
      </c>
      <c r="D1114" s="1" t="s">
        <v>286</v>
      </c>
      <c r="E1114" s="1" t="s">
        <v>45</v>
      </c>
      <c r="F1114" s="1" t="s">
        <v>1548</v>
      </c>
      <c r="G1114" s="1" t="s">
        <v>2636</v>
      </c>
      <c r="H1114" s="1" t="s">
        <v>2637</v>
      </c>
      <c r="I1114" s="1" t="s">
        <v>49</v>
      </c>
      <c r="J1114" s="1" t="s">
        <v>48</v>
      </c>
      <c r="K1114" s="1">
        <v>70</v>
      </c>
      <c r="L1114" s="1">
        <v>0</v>
      </c>
      <c r="M1114" s="1">
        <v>0</v>
      </c>
      <c r="N1114" s="1">
        <v>70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 t="s">
        <v>49</v>
      </c>
      <c r="AA1114" s="1" t="s">
        <v>49</v>
      </c>
      <c r="AB1114" s="1" t="s">
        <v>49</v>
      </c>
      <c r="AC1114" s="1" t="s">
        <v>1551</v>
      </c>
      <c r="AD1114" s="1" t="s">
        <v>1552</v>
      </c>
      <c r="AE1114" s="1" t="s">
        <v>1551</v>
      </c>
      <c r="AF1114" s="1" t="s">
        <v>1553</v>
      </c>
      <c r="AG1114" s="1" t="s">
        <v>53</v>
      </c>
      <c r="AH1114" s="1" t="s">
        <v>49</v>
      </c>
      <c r="AI1114" s="1" t="s">
        <v>54</v>
      </c>
      <c r="AJ1114" s="1">
        <v>1</v>
      </c>
      <c r="AK1114" s="1" t="str">
        <f t="shared" si="17"/>
        <v xml:space="preserve"> =&lt;90</v>
      </c>
      <c r="AL1114" s="1" t="str">
        <f>VLOOKUP(C:C,[1]基础信息!B$1:D$65536,3,0)</f>
        <v>Jug</v>
      </c>
      <c r="AM1114" s="1" t="str">
        <f>VLOOKUP(C:C,[1]基础信息!B$1:E$65536,4,0)</f>
        <v>Marella XL</v>
      </c>
      <c r="AN1114" s="1" t="str">
        <f>VLOOKUP(C:C,[1]基础信息!B$1:F$65536,5,0)</f>
        <v>Blue</v>
      </c>
    </row>
    <row r="1115" spans="1:40">
      <c r="A1115" s="1" t="s">
        <v>41</v>
      </c>
      <c r="B1115" s="1" t="s">
        <v>42</v>
      </c>
      <c r="C1115" s="1" t="s">
        <v>208</v>
      </c>
      <c r="D1115" s="1" t="s">
        <v>209</v>
      </c>
      <c r="E1115" s="1" t="s">
        <v>208</v>
      </c>
      <c r="F1115" s="1" t="s">
        <v>1734</v>
      </c>
      <c r="G1115" s="1" t="s">
        <v>2638</v>
      </c>
      <c r="H1115" s="1" t="s">
        <v>2639</v>
      </c>
      <c r="I1115" s="1" t="s">
        <v>49</v>
      </c>
      <c r="J1115" s="1" t="s">
        <v>48</v>
      </c>
      <c r="K1115" s="1">
        <v>80</v>
      </c>
      <c r="L1115" s="1">
        <v>0</v>
      </c>
      <c r="M1115" s="1">
        <v>0</v>
      </c>
      <c r="N1115" s="1">
        <v>80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 t="s">
        <v>49</v>
      </c>
      <c r="AA1115" s="1" t="s">
        <v>49</v>
      </c>
      <c r="AB1115" s="1" t="s">
        <v>49</v>
      </c>
      <c r="AC1115" s="1" t="s">
        <v>376</v>
      </c>
      <c r="AD1115" s="1" t="s">
        <v>377</v>
      </c>
      <c r="AE1115" s="1" t="s">
        <v>376</v>
      </c>
      <c r="AF1115" s="1" t="s">
        <v>1414</v>
      </c>
      <c r="AG1115" s="1" t="s">
        <v>53</v>
      </c>
      <c r="AH1115" s="1" t="s">
        <v>49</v>
      </c>
      <c r="AI1115" s="1" t="s">
        <v>54</v>
      </c>
      <c r="AJ1115" s="1">
        <v>1</v>
      </c>
      <c r="AK1115" s="1" t="str">
        <f t="shared" si="17"/>
        <v xml:space="preserve"> =&lt;90</v>
      </c>
      <c r="AL1115" s="1" t="str">
        <f>VLOOKUP(C:C,[1]基础信息!B$1:D$65536,3,0)</f>
        <v>Jug</v>
      </c>
      <c r="AM1115" s="1" t="str">
        <f>VLOOKUP(C:C,[1]基础信息!B$1:E$65536,4,0)</f>
        <v>MXpl</v>
      </c>
      <c r="AN1115" s="1" t="str">
        <f>VLOOKUP(C:C,[1]基础信息!B$1:F$65536,5,0)</f>
        <v>grey</v>
      </c>
    </row>
    <row r="1116" spans="1:40">
      <c r="A1116" s="1" t="s">
        <v>41</v>
      </c>
      <c r="B1116" s="1" t="s">
        <v>42</v>
      </c>
      <c r="C1116" s="1" t="s">
        <v>208</v>
      </c>
      <c r="D1116" s="1" t="s">
        <v>209</v>
      </c>
      <c r="E1116" s="1" t="s">
        <v>208</v>
      </c>
      <c r="F1116" s="1" t="s">
        <v>1734</v>
      </c>
      <c r="G1116" s="1" t="s">
        <v>2640</v>
      </c>
      <c r="H1116" s="1" t="s">
        <v>2641</v>
      </c>
      <c r="I1116" s="1" t="s">
        <v>49</v>
      </c>
      <c r="J1116" s="1" t="s">
        <v>48</v>
      </c>
      <c r="K1116" s="1">
        <v>80</v>
      </c>
      <c r="L1116" s="1">
        <v>0</v>
      </c>
      <c r="M1116" s="1">
        <v>0</v>
      </c>
      <c r="N1116" s="1">
        <v>80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 t="s">
        <v>49</v>
      </c>
      <c r="AA1116" s="1" t="s">
        <v>49</v>
      </c>
      <c r="AB1116" s="1" t="s">
        <v>49</v>
      </c>
      <c r="AC1116" s="1" t="s">
        <v>376</v>
      </c>
      <c r="AD1116" s="1" t="s">
        <v>377</v>
      </c>
      <c r="AE1116" s="1" t="s">
        <v>376</v>
      </c>
      <c r="AF1116" s="1" t="s">
        <v>1414</v>
      </c>
      <c r="AG1116" s="1" t="s">
        <v>53</v>
      </c>
      <c r="AH1116" s="1" t="s">
        <v>49</v>
      </c>
      <c r="AI1116" s="1" t="s">
        <v>54</v>
      </c>
      <c r="AJ1116" s="1">
        <v>1</v>
      </c>
      <c r="AK1116" s="1" t="str">
        <f t="shared" si="17"/>
        <v xml:space="preserve"> =&lt;90</v>
      </c>
      <c r="AL1116" s="1" t="str">
        <f>VLOOKUP(C:C,[1]基础信息!B$1:D$65536,3,0)</f>
        <v>Jug</v>
      </c>
      <c r="AM1116" s="1" t="str">
        <f>VLOOKUP(C:C,[1]基础信息!B$1:E$65536,4,0)</f>
        <v>MXpl</v>
      </c>
      <c r="AN1116" s="1" t="str">
        <f>VLOOKUP(C:C,[1]基础信息!B$1:F$65536,5,0)</f>
        <v>grey</v>
      </c>
    </row>
    <row r="1117" spans="1:40">
      <c r="A1117" s="1" t="s">
        <v>41</v>
      </c>
      <c r="B1117" s="1" t="s">
        <v>42</v>
      </c>
      <c r="C1117" s="1" t="s">
        <v>208</v>
      </c>
      <c r="D1117" s="1" t="s">
        <v>209</v>
      </c>
      <c r="E1117" s="1" t="s">
        <v>208</v>
      </c>
      <c r="F1117" s="1" t="s">
        <v>1734</v>
      </c>
      <c r="G1117" s="1" t="s">
        <v>2642</v>
      </c>
      <c r="H1117" s="1" t="s">
        <v>2643</v>
      </c>
      <c r="I1117" s="1" t="s">
        <v>49</v>
      </c>
      <c r="J1117" s="1" t="s">
        <v>48</v>
      </c>
      <c r="K1117" s="1">
        <v>80</v>
      </c>
      <c r="L1117" s="1">
        <v>0</v>
      </c>
      <c r="M1117" s="1">
        <v>0</v>
      </c>
      <c r="N1117" s="1">
        <v>80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 t="s">
        <v>49</v>
      </c>
      <c r="AA1117" s="1" t="s">
        <v>49</v>
      </c>
      <c r="AB1117" s="1" t="s">
        <v>49</v>
      </c>
      <c r="AC1117" s="1" t="s">
        <v>376</v>
      </c>
      <c r="AD1117" s="1" t="s">
        <v>377</v>
      </c>
      <c r="AE1117" s="1" t="s">
        <v>376</v>
      </c>
      <c r="AF1117" s="1" t="s">
        <v>1414</v>
      </c>
      <c r="AG1117" s="1" t="s">
        <v>53</v>
      </c>
      <c r="AH1117" s="1" t="s">
        <v>49</v>
      </c>
      <c r="AI1117" s="1" t="s">
        <v>54</v>
      </c>
      <c r="AJ1117" s="1">
        <v>1</v>
      </c>
      <c r="AK1117" s="1" t="str">
        <f t="shared" si="17"/>
        <v xml:space="preserve"> =&lt;90</v>
      </c>
      <c r="AL1117" s="1" t="str">
        <f>VLOOKUP(C:C,[1]基础信息!B$1:D$65536,3,0)</f>
        <v>Jug</v>
      </c>
      <c r="AM1117" s="1" t="str">
        <f>VLOOKUP(C:C,[1]基础信息!B$1:E$65536,4,0)</f>
        <v>MXpl</v>
      </c>
      <c r="AN1117" s="1" t="str">
        <f>VLOOKUP(C:C,[1]基础信息!B$1:F$65536,5,0)</f>
        <v>grey</v>
      </c>
    </row>
    <row r="1118" spans="1:40">
      <c r="A1118" s="1" t="s">
        <v>41</v>
      </c>
      <c r="B1118" s="1" t="s">
        <v>42</v>
      </c>
      <c r="C1118" s="1" t="s">
        <v>208</v>
      </c>
      <c r="D1118" s="1" t="s">
        <v>209</v>
      </c>
      <c r="E1118" s="1" t="s">
        <v>208</v>
      </c>
      <c r="F1118" s="1" t="s">
        <v>1734</v>
      </c>
      <c r="G1118" s="1" t="s">
        <v>2644</v>
      </c>
      <c r="H1118" s="1" t="s">
        <v>2645</v>
      </c>
      <c r="I1118" s="1" t="s">
        <v>49</v>
      </c>
      <c r="J1118" s="1" t="s">
        <v>48</v>
      </c>
      <c r="K1118" s="1">
        <v>80</v>
      </c>
      <c r="L1118" s="1">
        <v>0</v>
      </c>
      <c r="M1118" s="1">
        <v>0</v>
      </c>
      <c r="N1118" s="1">
        <v>80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 t="s">
        <v>49</v>
      </c>
      <c r="AA1118" s="1" t="s">
        <v>49</v>
      </c>
      <c r="AB1118" s="1" t="s">
        <v>49</v>
      </c>
      <c r="AC1118" s="1" t="s">
        <v>376</v>
      </c>
      <c r="AD1118" s="1" t="s">
        <v>377</v>
      </c>
      <c r="AE1118" s="1" t="s">
        <v>376</v>
      </c>
      <c r="AF1118" s="1" t="s">
        <v>1414</v>
      </c>
      <c r="AG1118" s="1" t="s">
        <v>53</v>
      </c>
      <c r="AH1118" s="1" t="s">
        <v>49</v>
      </c>
      <c r="AI1118" s="1" t="s">
        <v>54</v>
      </c>
      <c r="AJ1118" s="1">
        <v>1</v>
      </c>
      <c r="AK1118" s="1" t="str">
        <f t="shared" si="17"/>
        <v xml:space="preserve"> =&lt;90</v>
      </c>
      <c r="AL1118" s="1" t="str">
        <f>VLOOKUP(C:C,[1]基础信息!B$1:D$65536,3,0)</f>
        <v>Jug</v>
      </c>
      <c r="AM1118" s="1" t="str">
        <f>VLOOKUP(C:C,[1]基础信息!B$1:E$65536,4,0)</f>
        <v>MXpl</v>
      </c>
      <c r="AN1118" s="1" t="str">
        <f>VLOOKUP(C:C,[1]基础信息!B$1:F$65536,5,0)</f>
        <v>grey</v>
      </c>
    </row>
    <row r="1119" spans="1:40">
      <c r="A1119" s="1" t="s">
        <v>41</v>
      </c>
      <c r="B1119" s="1" t="s">
        <v>42</v>
      </c>
      <c r="C1119" s="1" t="s">
        <v>1710</v>
      </c>
      <c r="D1119" s="1" t="s">
        <v>1711</v>
      </c>
      <c r="E1119" s="1" t="s">
        <v>45</v>
      </c>
      <c r="F1119" s="1" t="s">
        <v>1712</v>
      </c>
      <c r="G1119" s="1" t="s">
        <v>2646</v>
      </c>
      <c r="H1119" s="1" t="s">
        <v>2647</v>
      </c>
      <c r="I1119" s="1" t="s">
        <v>49</v>
      </c>
      <c r="J1119" s="1" t="s">
        <v>48</v>
      </c>
      <c r="K1119" s="1">
        <v>60</v>
      </c>
      <c r="L1119" s="1">
        <v>0</v>
      </c>
      <c r="M1119" s="1">
        <v>0</v>
      </c>
      <c r="N1119" s="1">
        <v>60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 t="s">
        <v>49</v>
      </c>
      <c r="AA1119" s="1" t="s">
        <v>49</v>
      </c>
      <c r="AB1119" s="1" t="s">
        <v>49</v>
      </c>
      <c r="AC1119" s="1" t="s">
        <v>1715</v>
      </c>
      <c r="AD1119" s="1" t="s">
        <v>1716</v>
      </c>
      <c r="AE1119" s="1" t="s">
        <v>1715</v>
      </c>
      <c r="AF1119" s="1" t="s">
        <v>1717</v>
      </c>
      <c r="AG1119" s="1" t="s">
        <v>53</v>
      </c>
      <c r="AH1119" s="1" t="s">
        <v>49</v>
      </c>
      <c r="AI1119" s="1" t="s">
        <v>54</v>
      </c>
      <c r="AJ1119" s="1">
        <v>1</v>
      </c>
      <c r="AK1119" s="1" t="str">
        <f t="shared" si="17"/>
        <v xml:space="preserve"> =&lt;90</v>
      </c>
      <c r="AL1119" s="1" t="str">
        <f>VLOOKUP(C:C,[1]基础信息!B$1:D$65536,3,0)</f>
        <v>Jug</v>
      </c>
      <c r="AM1119" s="1" t="str">
        <f>VLOOKUP(C:C,[1]基础信息!B$1:E$65536,4,0)</f>
        <v>Kalea XL ME4W</v>
      </c>
      <c r="AN1119" s="1" t="str">
        <f>VLOOKUP(C:C,[1]基础信息!B$1:F$65536,5,0)</f>
        <v>grey</v>
      </c>
    </row>
    <row r="1120" spans="1:40">
      <c r="A1120" s="1" t="s">
        <v>41</v>
      </c>
      <c r="B1120" s="1" t="s">
        <v>42</v>
      </c>
      <c r="C1120" s="1" t="s">
        <v>1710</v>
      </c>
      <c r="D1120" s="1" t="s">
        <v>1711</v>
      </c>
      <c r="E1120" s="1" t="s">
        <v>45</v>
      </c>
      <c r="F1120" s="1" t="s">
        <v>1712</v>
      </c>
      <c r="G1120" s="1" t="s">
        <v>2648</v>
      </c>
      <c r="H1120" s="1" t="s">
        <v>2649</v>
      </c>
      <c r="I1120" s="1" t="s">
        <v>49</v>
      </c>
      <c r="J1120" s="1" t="s">
        <v>48</v>
      </c>
      <c r="K1120" s="1">
        <v>60</v>
      </c>
      <c r="L1120" s="1">
        <v>0</v>
      </c>
      <c r="M1120" s="1">
        <v>0</v>
      </c>
      <c r="N1120" s="1">
        <v>60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 t="s">
        <v>49</v>
      </c>
      <c r="AA1120" s="1" t="s">
        <v>49</v>
      </c>
      <c r="AB1120" s="1" t="s">
        <v>49</v>
      </c>
      <c r="AC1120" s="1" t="s">
        <v>1715</v>
      </c>
      <c r="AD1120" s="1" t="s">
        <v>1716</v>
      </c>
      <c r="AE1120" s="1" t="s">
        <v>1715</v>
      </c>
      <c r="AF1120" s="1" t="s">
        <v>1717</v>
      </c>
      <c r="AG1120" s="1" t="s">
        <v>53</v>
      </c>
      <c r="AH1120" s="1" t="s">
        <v>49</v>
      </c>
      <c r="AI1120" s="1" t="s">
        <v>54</v>
      </c>
      <c r="AJ1120" s="1">
        <v>1</v>
      </c>
      <c r="AK1120" s="1" t="str">
        <f t="shared" si="17"/>
        <v xml:space="preserve"> =&lt;90</v>
      </c>
      <c r="AL1120" s="1" t="str">
        <f>VLOOKUP(C:C,[1]基础信息!B$1:D$65536,3,0)</f>
        <v>Jug</v>
      </c>
      <c r="AM1120" s="1" t="str">
        <f>VLOOKUP(C:C,[1]基础信息!B$1:E$65536,4,0)</f>
        <v>Kalea XL ME4W</v>
      </c>
      <c r="AN1120" s="1" t="str">
        <f>VLOOKUP(C:C,[1]基础信息!B$1:F$65536,5,0)</f>
        <v>grey</v>
      </c>
    </row>
    <row r="1121" spans="1:40">
      <c r="A1121" s="1" t="s">
        <v>41</v>
      </c>
      <c r="B1121" s="1" t="s">
        <v>42</v>
      </c>
      <c r="C1121" s="1" t="s">
        <v>1710</v>
      </c>
      <c r="D1121" s="1" t="s">
        <v>1711</v>
      </c>
      <c r="E1121" s="1" t="s">
        <v>45</v>
      </c>
      <c r="F1121" s="1" t="s">
        <v>1712</v>
      </c>
      <c r="G1121" s="1" t="s">
        <v>2650</v>
      </c>
      <c r="H1121" s="1" t="s">
        <v>2651</v>
      </c>
      <c r="I1121" s="1" t="s">
        <v>49</v>
      </c>
      <c r="J1121" s="1" t="s">
        <v>48</v>
      </c>
      <c r="K1121" s="1">
        <v>60</v>
      </c>
      <c r="L1121" s="1">
        <v>0</v>
      </c>
      <c r="M1121" s="1">
        <v>0</v>
      </c>
      <c r="N1121" s="1">
        <v>60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 t="s">
        <v>49</v>
      </c>
      <c r="AA1121" s="1" t="s">
        <v>49</v>
      </c>
      <c r="AB1121" s="1" t="s">
        <v>49</v>
      </c>
      <c r="AC1121" s="1" t="s">
        <v>1715</v>
      </c>
      <c r="AD1121" s="1" t="s">
        <v>1716</v>
      </c>
      <c r="AE1121" s="1" t="s">
        <v>1715</v>
      </c>
      <c r="AF1121" s="1" t="s">
        <v>1717</v>
      </c>
      <c r="AG1121" s="1" t="s">
        <v>53</v>
      </c>
      <c r="AH1121" s="1" t="s">
        <v>49</v>
      </c>
      <c r="AI1121" s="1" t="s">
        <v>54</v>
      </c>
      <c r="AJ1121" s="1">
        <v>1</v>
      </c>
      <c r="AK1121" s="1" t="str">
        <f t="shared" si="17"/>
        <v xml:space="preserve"> =&lt;90</v>
      </c>
      <c r="AL1121" s="1" t="str">
        <f>VLOOKUP(C:C,[1]基础信息!B$1:D$65536,3,0)</f>
        <v>Jug</v>
      </c>
      <c r="AM1121" s="1" t="str">
        <f>VLOOKUP(C:C,[1]基础信息!B$1:E$65536,4,0)</f>
        <v>Kalea XL ME4W</v>
      </c>
      <c r="AN1121" s="1" t="str">
        <f>VLOOKUP(C:C,[1]基础信息!B$1:F$65536,5,0)</f>
        <v>grey</v>
      </c>
    </row>
    <row r="1122" spans="1:40">
      <c r="A1122" s="1" t="s">
        <v>41</v>
      </c>
      <c r="B1122" s="1" t="s">
        <v>42</v>
      </c>
      <c r="C1122" s="1" t="s">
        <v>1710</v>
      </c>
      <c r="D1122" s="1" t="s">
        <v>1711</v>
      </c>
      <c r="E1122" s="1" t="s">
        <v>45</v>
      </c>
      <c r="F1122" s="1" t="s">
        <v>1712</v>
      </c>
      <c r="G1122" s="1" t="s">
        <v>2652</v>
      </c>
      <c r="H1122" s="1" t="s">
        <v>2653</v>
      </c>
      <c r="I1122" s="1" t="s">
        <v>49</v>
      </c>
      <c r="J1122" s="1" t="s">
        <v>48</v>
      </c>
      <c r="K1122" s="1">
        <v>60</v>
      </c>
      <c r="L1122" s="1">
        <v>0</v>
      </c>
      <c r="M1122" s="1">
        <v>0</v>
      </c>
      <c r="N1122" s="1">
        <v>60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 t="s">
        <v>49</v>
      </c>
      <c r="AA1122" s="1" t="s">
        <v>49</v>
      </c>
      <c r="AB1122" s="1" t="s">
        <v>49</v>
      </c>
      <c r="AC1122" s="1" t="s">
        <v>1715</v>
      </c>
      <c r="AD1122" s="1" t="s">
        <v>1716</v>
      </c>
      <c r="AE1122" s="1" t="s">
        <v>1715</v>
      </c>
      <c r="AF1122" s="1" t="s">
        <v>1717</v>
      </c>
      <c r="AG1122" s="1" t="s">
        <v>53</v>
      </c>
      <c r="AH1122" s="1" t="s">
        <v>49</v>
      </c>
      <c r="AI1122" s="1" t="s">
        <v>54</v>
      </c>
      <c r="AJ1122" s="1">
        <v>1</v>
      </c>
      <c r="AK1122" s="1" t="str">
        <f t="shared" si="17"/>
        <v xml:space="preserve"> =&lt;90</v>
      </c>
      <c r="AL1122" s="1" t="str">
        <f>VLOOKUP(C:C,[1]基础信息!B$1:D$65536,3,0)</f>
        <v>Jug</v>
      </c>
      <c r="AM1122" s="1" t="str">
        <f>VLOOKUP(C:C,[1]基础信息!B$1:E$65536,4,0)</f>
        <v>Kalea XL ME4W</v>
      </c>
      <c r="AN1122" s="1" t="str">
        <f>VLOOKUP(C:C,[1]基础信息!B$1:F$65536,5,0)</f>
        <v>grey</v>
      </c>
    </row>
    <row r="1123" spans="1:40">
      <c r="A1123" s="1" t="s">
        <v>41</v>
      </c>
      <c r="B1123" s="1" t="s">
        <v>42</v>
      </c>
      <c r="C1123" s="1" t="s">
        <v>2654</v>
      </c>
      <c r="D1123" s="1" t="s">
        <v>2655</v>
      </c>
      <c r="E1123" s="1" t="s">
        <v>45</v>
      </c>
      <c r="F1123" s="1" t="s">
        <v>2656</v>
      </c>
      <c r="G1123" s="1" t="s">
        <v>2657</v>
      </c>
      <c r="H1123" s="1" t="s">
        <v>45</v>
      </c>
      <c r="I1123" s="1" t="s">
        <v>45</v>
      </c>
      <c r="J1123" s="1" t="s">
        <v>48</v>
      </c>
      <c r="K1123" s="1">
        <v>68</v>
      </c>
      <c r="L1123" s="1">
        <v>0</v>
      </c>
      <c r="M1123" s="1">
        <v>0</v>
      </c>
      <c r="N1123" s="1">
        <v>68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 t="s">
        <v>49</v>
      </c>
      <c r="AA1123" s="1" t="s">
        <v>49</v>
      </c>
      <c r="AB1123" s="1" t="s">
        <v>49</v>
      </c>
      <c r="AC1123" s="1" t="s">
        <v>2658</v>
      </c>
      <c r="AD1123" s="1" t="s">
        <v>2659</v>
      </c>
      <c r="AE1123" s="1" t="s">
        <v>2658</v>
      </c>
      <c r="AF1123" s="1" t="s">
        <v>49</v>
      </c>
      <c r="AG1123" s="1" t="s">
        <v>53</v>
      </c>
      <c r="AH1123" s="1" t="s">
        <v>49</v>
      </c>
      <c r="AI1123" s="1" t="s">
        <v>54</v>
      </c>
      <c r="AJ1123" s="1">
        <v>1</v>
      </c>
      <c r="AK1123" s="1" t="str">
        <f t="shared" si="17"/>
        <v xml:space="preserve"> =&lt;90</v>
      </c>
      <c r="AL1123" s="1" t="e">
        <f>VLOOKUP(C:C,[1]基础信息!B$1:D$65536,3,0)</f>
        <v>#N/A</v>
      </c>
      <c r="AM1123" s="1" t="e">
        <f>VLOOKUP(C:C,[1]基础信息!B$1:E$65536,4,0)</f>
        <v>#N/A</v>
      </c>
      <c r="AN1123" s="1" t="e">
        <f>VLOOKUP(C:C,[1]基础信息!B$1:F$65536,5,0)</f>
        <v>#N/A</v>
      </c>
    </row>
    <row r="1124" spans="1:40">
      <c r="A1124" s="1" t="s">
        <v>41</v>
      </c>
      <c r="B1124" s="1" t="s">
        <v>42</v>
      </c>
      <c r="C1124" s="1" t="s">
        <v>1710</v>
      </c>
      <c r="D1124" s="1" t="s">
        <v>1711</v>
      </c>
      <c r="E1124" s="1" t="s">
        <v>45</v>
      </c>
      <c r="F1124" s="1" t="s">
        <v>1712</v>
      </c>
      <c r="G1124" s="1" t="s">
        <v>2660</v>
      </c>
      <c r="H1124" s="1" t="s">
        <v>2661</v>
      </c>
      <c r="I1124" s="1" t="s">
        <v>49</v>
      </c>
      <c r="J1124" s="1" t="s">
        <v>48</v>
      </c>
      <c r="K1124" s="1">
        <v>60</v>
      </c>
      <c r="L1124" s="1">
        <v>0</v>
      </c>
      <c r="M1124" s="1">
        <v>0</v>
      </c>
      <c r="N1124" s="1">
        <v>60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 t="s">
        <v>49</v>
      </c>
      <c r="AA1124" s="1" t="s">
        <v>49</v>
      </c>
      <c r="AB1124" s="1" t="s">
        <v>49</v>
      </c>
      <c r="AC1124" s="1" t="s">
        <v>1715</v>
      </c>
      <c r="AD1124" s="1" t="s">
        <v>1716</v>
      </c>
      <c r="AE1124" s="1" t="s">
        <v>1715</v>
      </c>
      <c r="AF1124" s="1" t="s">
        <v>1717</v>
      </c>
      <c r="AG1124" s="1" t="s">
        <v>53</v>
      </c>
      <c r="AH1124" s="1" t="s">
        <v>49</v>
      </c>
      <c r="AI1124" s="1" t="s">
        <v>54</v>
      </c>
      <c r="AJ1124" s="1">
        <v>1</v>
      </c>
      <c r="AK1124" s="1" t="str">
        <f t="shared" si="17"/>
        <v xml:space="preserve"> =&lt;90</v>
      </c>
      <c r="AL1124" s="1" t="str">
        <f>VLOOKUP(C:C,[1]基础信息!B$1:D$65536,3,0)</f>
        <v>Jug</v>
      </c>
      <c r="AM1124" s="1" t="str">
        <f>VLOOKUP(C:C,[1]基础信息!B$1:E$65536,4,0)</f>
        <v>Kalea XL ME4W</v>
      </c>
      <c r="AN1124" s="1" t="str">
        <f>VLOOKUP(C:C,[1]基础信息!B$1:F$65536,5,0)</f>
        <v>grey</v>
      </c>
    </row>
    <row r="1125" spans="1:40">
      <c r="A1125" s="1" t="s">
        <v>41</v>
      </c>
      <c r="B1125" s="1" t="s">
        <v>42</v>
      </c>
      <c r="C1125" s="1" t="s">
        <v>104</v>
      </c>
      <c r="D1125" s="1" t="s">
        <v>105</v>
      </c>
      <c r="E1125" s="1" t="s">
        <v>104</v>
      </c>
      <c r="F1125" s="1" t="s">
        <v>2441</v>
      </c>
      <c r="G1125" s="1" t="s">
        <v>2662</v>
      </c>
      <c r="H1125" s="1" t="s">
        <v>2663</v>
      </c>
      <c r="I1125" s="1" t="s">
        <v>49</v>
      </c>
      <c r="J1125" s="1" t="s">
        <v>48</v>
      </c>
      <c r="K1125" s="1">
        <v>96</v>
      </c>
      <c r="L1125" s="1">
        <v>0</v>
      </c>
      <c r="M1125" s="1">
        <v>0</v>
      </c>
      <c r="N1125" s="1">
        <v>96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 t="s">
        <v>49</v>
      </c>
      <c r="AA1125" s="1" t="s">
        <v>49</v>
      </c>
      <c r="AB1125" s="1" t="s">
        <v>49</v>
      </c>
      <c r="AC1125" s="1" t="s">
        <v>290</v>
      </c>
      <c r="AD1125" s="1" t="s">
        <v>291</v>
      </c>
      <c r="AE1125" s="1" t="s">
        <v>290</v>
      </c>
      <c r="AF1125" s="1" t="s">
        <v>1605</v>
      </c>
      <c r="AG1125" s="1" t="s">
        <v>53</v>
      </c>
      <c r="AH1125" s="1" t="s">
        <v>49</v>
      </c>
      <c r="AI1125" s="1" t="s">
        <v>54</v>
      </c>
      <c r="AJ1125" s="1">
        <v>1</v>
      </c>
      <c r="AK1125" s="1" t="str">
        <f t="shared" si="17"/>
        <v xml:space="preserve"> =&lt;90</v>
      </c>
      <c r="AL1125" s="1" t="str">
        <f>VLOOKUP(C:C,[1]基础信息!B$1:D$65536,3,0)</f>
        <v>Jug</v>
      </c>
      <c r="AM1125" s="1" t="str">
        <f>VLOOKUP(C:C,[1]基础信息!B$1:E$65536,4,0)</f>
        <v>Marella XL</v>
      </c>
      <c r="AN1125" s="1" t="str">
        <f>VLOOKUP(C:C,[1]基础信息!B$1:F$65536,5,0)</f>
        <v>Blue</v>
      </c>
    </row>
    <row r="1126" spans="1:40">
      <c r="A1126" s="1" t="s">
        <v>41</v>
      </c>
      <c r="B1126" s="1" t="s">
        <v>42</v>
      </c>
      <c r="C1126" s="1" t="s">
        <v>104</v>
      </c>
      <c r="D1126" s="1" t="s">
        <v>105</v>
      </c>
      <c r="E1126" s="1" t="s">
        <v>104</v>
      </c>
      <c r="F1126" s="1" t="s">
        <v>2441</v>
      </c>
      <c r="G1126" s="1" t="s">
        <v>2664</v>
      </c>
      <c r="H1126" s="1" t="s">
        <v>2665</v>
      </c>
      <c r="I1126" s="1" t="s">
        <v>49</v>
      </c>
      <c r="J1126" s="1" t="s">
        <v>48</v>
      </c>
      <c r="K1126" s="1">
        <v>96</v>
      </c>
      <c r="L1126" s="1">
        <v>0</v>
      </c>
      <c r="M1126" s="1">
        <v>0</v>
      </c>
      <c r="N1126" s="1">
        <v>96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 t="s">
        <v>49</v>
      </c>
      <c r="AA1126" s="1" t="s">
        <v>49</v>
      </c>
      <c r="AB1126" s="1" t="s">
        <v>49</v>
      </c>
      <c r="AC1126" s="1" t="s">
        <v>290</v>
      </c>
      <c r="AD1126" s="1" t="s">
        <v>291</v>
      </c>
      <c r="AE1126" s="1" t="s">
        <v>290</v>
      </c>
      <c r="AF1126" s="1" t="s">
        <v>1605</v>
      </c>
      <c r="AG1126" s="1" t="s">
        <v>53</v>
      </c>
      <c r="AH1126" s="1" t="s">
        <v>49</v>
      </c>
      <c r="AI1126" s="1" t="s">
        <v>54</v>
      </c>
      <c r="AJ1126" s="1">
        <v>1</v>
      </c>
      <c r="AK1126" s="1" t="str">
        <f t="shared" si="17"/>
        <v xml:space="preserve"> =&lt;90</v>
      </c>
      <c r="AL1126" s="1" t="str">
        <f>VLOOKUP(C:C,[1]基础信息!B$1:D$65536,3,0)</f>
        <v>Jug</v>
      </c>
      <c r="AM1126" s="1" t="str">
        <f>VLOOKUP(C:C,[1]基础信息!B$1:E$65536,4,0)</f>
        <v>Marella XL</v>
      </c>
      <c r="AN1126" s="1" t="str">
        <f>VLOOKUP(C:C,[1]基础信息!B$1:F$65536,5,0)</f>
        <v>Blue</v>
      </c>
    </row>
    <row r="1127" spans="1:40">
      <c r="A1127" s="1" t="s">
        <v>41</v>
      </c>
      <c r="B1127" s="1" t="s">
        <v>42</v>
      </c>
      <c r="C1127" s="1" t="s">
        <v>104</v>
      </c>
      <c r="D1127" s="1" t="s">
        <v>105</v>
      </c>
      <c r="E1127" s="1" t="s">
        <v>104</v>
      </c>
      <c r="F1127" s="1" t="s">
        <v>2441</v>
      </c>
      <c r="G1127" s="1" t="s">
        <v>2666</v>
      </c>
      <c r="H1127" s="1" t="s">
        <v>2667</v>
      </c>
      <c r="I1127" s="1" t="s">
        <v>49</v>
      </c>
      <c r="J1127" s="1" t="s">
        <v>48</v>
      </c>
      <c r="K1127" s="1">
        <v>96</v>
      </c>
      <c r="L1127" s="1">
        <v>0</v>
      </c>
      <c r="M1127" s="1">
        <v>0</v>
      </c>
      <c r="N1127" s="1">
        <v>96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 t="s">
        <v>49</v>
      </c>
      <c r="AA1127" s="1" t="s">
        <v>49</v>
      </c>
      <c r="AB1127" s="1" t="s">
        <v>49</v>
      </c>
      <c r="AC1127" s="1" t="s">
        <v>290</v>
      </c>
      <c r="AD1127" s="1" t="s">
        <v>291</v>
      </c>
      <c r="AE1127" s="1" t="s">
        <v>290</v>
      </c>
      <c r="AF1127" s="1" t="s">
        <v>1605</v>
      </c>
      <c r="AG1127" s="1" t="s">
        <v>53</v>
      </c>
      <c r="AH1127" s="1" t="s">
        <v>49</v>
      </c>
      <c r="AI1127" s="1" t="s">
        <v>54</v>
      </c>
      <c r="AJ1127" s="1">
        <v>1</v>
      </c>
      <c r="AK1127" s="1" t="str">
        <f t="shared" si="17"/>
        <v xml:space="preserve"> =&lt;90</v>
      </c>
      <c r="AL1127" s="1" t="str">
        <f>VLOOKUP(C:C,[1]基础信息!B$1:D$65536,3,0)</f>
        <v>Jug</v>
      </c>
      <c r="AM1127" s="1" t="str">
        <f>VLOOKUP(C:C,[1]基础信息!B$1:E$65536,4,0)</f>
        <v>Marella XL</v>
      </c>
      <c r="AN1127" s="1" t="str">
        <f>VLOOKUP(C:C,[1]基础信息!B$1:F$65536,5,0)</f>
        <v>Blue</v>
      </c>
    </row>
    <row r="1128" spans="1:40">
      <c r="A1128" s="1" t="s">
        <v>41</v>
      </c>
      <c r="B1128" s="1" t="s">
        <v>42</v>
      </c>
      <c r="C1128" s="1" t="s">
        <v>104</v>
      </c>
      <c r="D1128" s="1" t="s">
        <v>105</v>
      </c>
      <c r="E1128" s="1" t="s">
        <v>104</v>
      </c>
      <c r="F1128" s="1" t="s">
        <v>2441</v>
      </c>
      <c r="G1128" s="1" t="s">
        <v>2668</v>
      </c>
      <c r="H1128" s="1" t="s">
        <v>2669</v>
      </c>
      <c r="I1128" s="1" t="s">
        <v>49</v>
      </c>
      <c r="J1128" s="1" t="s">
        <v>48</v>
      </c>
      <c r="K1128" s="1">
        <v>96</v>
      </c>
      <c r="L1128" s="1">
        <v>0</v>
      </c>
      <c r="M1128" s="1">
        <v>0</v>
      </c>
      <c r="N1128" s="1">
        <v>96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 t="s">
        <v>49</v>
      </c>
      <c r="AA1128" s="1" t="s">
        <v>49</v>
      </c>
      <c r="AB1128" s="1" t="s">
        <v>49</v>
      </c>
      <c r="AC1128" s="1" t="s">
        <v>290</v>
      </c>
      <c r="AD1128" s="1" t="s">
        <v>291</v>
      </c>
      <c r="AE1128" s="1" t="s">
        <v>290</v>
      </c>
      <c r="AF1128" s="1" t="s">
        <v>1605</v>
      </c>
      <c r="AG1128" s="1" t="s">
        <v>53</v>
      </c>
      <c r="AH1128" s="1" t="s">
        <v>49</v>
      </c>
      <c r="AI1128" s="1" t="s">
        <v>54</v>
      </c>
      <c r="AJ1128" s="1">
        <v>1</v>
      </c>
      <c r="AK1128" s="1" t="str">
        <f t="shared" si="17"/>
        <v xml:space="preserve"> =&lt;90</v>
      </c>
      <c r="AL1128" s="1" t="str">
        <f>VLOOKUP(C:C,[1]基础信息!B$1:D$65536,3,0)</f>
        <v>Jug</v>
      </c>
      <c r="AM1128" s="1" t="str">
        <f>VLOOKUP(C:C,[1]基础信息!B$1:E$65536,4,0)</f>
        <v>Marella XL</v>
      </c>
      <c r="AN1128" s="1" t="str">
        <f>VLOOKUP(C:C,[1]基础信息!B$1:F$65536,5,0)</f>
        <v>Blue</v>
      </c>
    </row>
    <row r="1129" spans="1:40">
      <c r="A1129" s="1" t="s">
        <v>41</v>
      </c>
      <c r="B1129" s="1" t="s">
        <v>42</v>
      </c>
      <c r="C1129" s="1" t="s">
        <v>1710</v>
      </c>
      <c r="D1129" s="1" t="s">
        <v>1711</v>
      </c>
      <c r="E1129" s="1" t="s">
        <v>45</v>
      </c>
      <c r="F1129" s="1" t="s">
        <v>1712</v>
      </c>
      <c r="G1129" s="1" t="s">
        <v>2670</v>
      </c>
      <c r="H1129" s="1" t="s">
        <v>2671</v>
      </c>
      <c r="I1129" s="1" t="s">
        <v>49</v>
      </c>
      <c r="J1129" s="1" t="s">
        <v>48</v>
      </c>
      <c r="K1129" s="1">
        <v>60</v>
      </c>
      <c r="L1129" s="1">
        <v>0</v>
      </c>
      <c r="M1129" s="1">
        <v>0</v>
      </c>
      <c r="N1129" s="1">
        <v>60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 t="s">
        <v>49</v>
      </c>
      <c r="AA1129" s="1" t="s">
        <v>49</v>
      </c>
      <c r="AB1129" s="1" t="s">
        <v>49</v>
      </c>
      <c r="AC1129" s="1" t="s">
        <v>1715</v>
      </c>
      <c r="AD1129" s="1" t="s">
        <v>1716</v>
      </c>
      <c r="AE1129" s="1" t="s">
        <v>1715</v>
      </c>
      <c r="AF1129" s="1" t="s">
        <v>1717</v>
      </c>
      <c r="AG1129" s="1" t="s">
        <v>53</v>
      </c>
      <c r="AH1129" s="1" t="s">
        <v>49</v>
      </c>
      <c r="AI1129" s="1" t="s">
        <v>54</v>
      </c>
      <c r="AJ1129" s="1">
        <v>1</v>
      </c>
      <c r="AK1129" s="1" t="str">
        <f t="shared" si="17"/>
        <v xml:space="preserve"> =&lt;90</v>
      </c>
      <c r="AL1129" s="1" t="str">
        <f>VLOOKUP(C:C,[1]基础信息!B$1:D$65536,3,0)</f>
        <v>Jug</v>
      </c>
      <c r="AM1129" s="1" t="str">
        <f>VLOOKUP(C:C,[1]基础信息!B$1:E$65536,4,0)</f>
        <v>Kalea XL ME4W</v>
      </c>
      <c r="AN1129" s="1" t="str">
        <f>VLOOKUP(C:C,[1]基础信息!B$1:F$65536,5,0)</f>
        <v>grey</v>
      </c>
    </row>
    <row r="1130" spans="1:40">
      <c r="A1130" s="1" t="s">
        <v>41</v>
      </c>
      <c r="B1130" s="1" t="s">
        <v>42</v>
      </c>
      <c r="C1130" s="1" t="s">
        <v>1710</v>
      </c>
      <c r="D1130" s="1" t="s">
        <v>1711</v>
      </c>
      <c r="E1130" s="1" t="s">
        <v>45</v>
      </c>
      <c r="F1130" s="1" t="s">
        <v>2590</v>
      </c>
      <c r="G1130" s="1" t="s">
        <v>2672</v>
      </c>
      <c r="H1130" s="1" t="s">
        <v>2673</v>
      </c>
      <c r="I1130" s="1" t="s">
        <v>49</v>
      </c>
      <c r="J1130" s="1" t="s">
        <v>48</v>
      </c>
      <c r="K1130" s="1">
        <v>60</v>
      </c>
      <c r="L1130" s="1">
        <v>0</v>
      </c>
      <c r="M1130" s="1">
        <v>0</v>
      </c>
      <c r="N1130" s="1">
        <v>60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 t="s">
        <v>49</v>
      </c>
      <c r="AA1130" s="1" t="s">
        <v>49</v>
      </c>
      <c r="AB1130" s="1" t="s">
        <v>49</v>
      </c>
      <c r="AC1130" s="1" t="s">
        <v>1008</v>
      </c>
      <c r="AD1130" s="1" t="s">
        <v>1009</v>
      </c>
      <c r="AE1130" s="1" t="s">
        <v>1008</v>
      </c>
      <c r="AF1130" s="1" t="s">
        <v>2593</v>
      </c>
      <c r="AG1130" s="1" t="s">
        <v>53</v>
      </c>
      <c r="AH1130" s="1" t="s">
        <v>49</v>
      </c>
      <c r="AI1130" s="1" t="s">
        <v>54</v>
      </c>
      <c r="AJ1130" s="1">
        <v>1</v>
      </c>
      <c r="AK1130" s="1" t="str">
        <f t="shared" si="17"/>
        <v xml:space="preserve"> =&lt;90</v>
      </c>
      <c r="AL1130" s="1" t="str">
        <f>VLOOKUP(C:C,[1]基础信息!B$1:D$65536,3,0)</f>
        <v>Jug</v>
      </c>
      <c r="AM1130" s="1" t="str">
        <f>VLOOKUP(C:C,[1]基础信息!B$1:E$65536,4,0)</f>
        <v>Kalea XL ME4W</v>
      </c>
      <c r="AN1130" s="1" t="str">
        <f>VLOOKUP(C:C,[1]基础信息!B$1:F$65536,5,0)</f>
        <v>grey</v>
      </c>
    </row>
    <row r="1131" spans="1:40">
      <c r="A1131" s="1" t="s">
        <v>41</v>
      </c>
      <c r="B1131" s="1" t="s">
        <v>42</v>
      </c>
      <c r="C1131" s="1" t="s">
        <v>56</v>
      </c>
      <c r="D1131" s="1" t="s">
        <v>57</v>
      </c>
      <c r="E1131" s="1" t="s">
        <v>45</v>
      </c>
      <c r="F1131" s="1" t="s">
        <v>1096</v>
      </c>
      <c r="G1131" s="1" t="s">
        <v>2674</v>
      </c>
      <c r="H1131" s="1" t="s">
        <v>2675</v>
      </c>
      <c r="I1131" s="1" t="s">
        <v>49</v>
      </c>
      <c r="J1131" s="1" t="s">
        <v>48</v>
      </c>
      <c r="K1131" s="1">
        <v>72</v>
      </c>
      <c r="L1131" s="1">
        <v>0</v>
      </c>
      <c r="M1131" s="1">
        <v>0</v>
      </c>
      <c r="N1131" s="1">
        <v>72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 t="s">
        <v>49</v>
      </c>
      <c r="AA1131" s="1" t="s">
        <v>49</v>
      </c>
      <c r="AB1131" s="1" t="s">
        <v>49</v>
      </c>
      <c r="AC1131" s="1" t="s">
        <v>938</v>
      </c>
      <c r="AD1131" s="1" t="s">
        <v>939</v>
      </c>
      <c r="AE1131" s="1" t="s">
        <v>938</v>
      </c>
      <c r="AF1131" s="1" t="s">
        <v>1099</v>
      </c>
      <c r="AG1131" s="1" t="s">
        <v>53</v>
      </c>
      <c r="AH1131" s="1" t="s">
        <v>49</v>
      </c>
      <c r="AI1131" s="1" t="s">
        <v>54</v>
      </c>
      <c r="AJ1131" s="1">
        <v>1</v>
      </c>
      <c r="AK1131" s="1" t="str">
        <f t="shared" si="17"/>
        <v xml:space="preserve"> =&lt;90</v>
      </c>
      <c r="AL1131" s="1" t="str">
        <f>VLOOKUP(C:C,[1]基础信息!B$1:D$65536,3,0)</f>
        <v>Jug</v>
      </c>
      <c r="AM1131" s="1" t="str">
        <f>VLOOKUP(C:C,[1]基础信息!B$1:E$65536,4,0)</f>
        <v>Marella XL</v>
      </c>
      <c r="AN1131" s="1" t="str">
        <f>VLOOKUP(C:C,[1]基础信息!B$1:F$65536,5,0)</f>
        <v>Blue</v>
      </c>
    </row>
    <row r="1132" spans="1:40">
      <c r="A1132" s="1" t="s">
        <v>41</v>
      </c>
      <c r="B1132" s="1" t="s">
        <v>42</v>
      </c>
      <c r="C1132" s="1" t="s">
        <v>1710</v>
      </c>
      <c r="D1132" s="1" t="s">
        <v>1711</v>
      </c>
      <c r="E1132" s="1" t="s">
        <v>45</v>
      </c>
      <c r="F1132" s="1" t="s">
        <v>2590</v>
      </c>
      <c r="G1132" s="1" t="s">
        <v>2676</v>
      </c>
      <c r="H1132" s="1" t="s">
        <v>2677</v>
      </c>
      <c r="I1132" s="1" t="s">
        <v>49</v>
      </c>
      <c r="J1132" s="1" t="s">
        <v>48</v>
      </c>
      <c r="K1132" s="1">
        <v>60</v>
      </c>
      <c r="L1132" s="1">
        <v>0</v>
      </c>
      <c r="M1132" s="1">
        <v>0</v>
      </c>
      <c r="N1132" s="1">
        <v>60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 t="s">
        <v>49</v>
      </c>
      <c r="AA1132" s="1" t="s">
        <v>49</v>
      </c>
      <c r="AB1132" s="1" t="s">
        <v>49</v>
      </c>
      <c r="AC1132" s="1" t="s">
        <v>1008</v>
      </c>
      <c r="AD1132" s="1" t="s">
        <v>1009</v>
      </c>
      <c r="AE1132" s="1" t="s">
        <v>1008</v>
      </c>
      <c r="AF1132" s="1" t="s">
        <v>2593</v>
      </c>
      <c r="AG1132" s="1" t="s">
        <v>53</v>
      </c>
      <c r="AH1132" s="1" t="s">
        <v>49</v>
      </c>
      <c r="AI1132" s="1" t="s">
        <v>54</v>
      </c>
      <c r="AJ1132" s="1">
        <v>1</v>
      </c>
      <c r="AK1132" s="1" t="str">
        <f t="shared" si="17"/>
        <v xml:space="preserve"> =&lt;90</v>
      </c>
      <c r="AL1132" s="1" t="str">
        <f>VLOOKUP(C:C,[1]基础信息!B$1:D$65536,3,0)</f>
        <v>Jug</v>
      </c>
      <c r="AM1132" s="1" t="str">
        <f>VLOOKUP(C:C,[1]基础信息!B$1:E$65536,4,0)</f>
        <v>Kalea XL ME4W</v>
      </c>
      <c r="AN1132" s="1" t="str">
        <f>VLOOKUP(C:C,[1]基础信息!B$1:F$65536,5,0)</f>
        <v>grey</v>
      </c>
    </row>
    <row r="1133" spans="1:40">
      <c r="A1133" s="1" t="s">
        <v>41</v>
      </c>
      <c r="B1133" s="1" t="s">
        <v>42</v>
      </c>
      <c r="C1133" s="1" t="s">
        <v>104</v>
      </c>
      <c r="D1133" s="1" t="s">
        <v>105</v>
      </c>
      <c r="E1133" s="1" t="s">
        <v>104</v>
      </c>
      <c r="F1133" s="1" t="s">
        <v>2441</v>
      </c>
      <c r="G1133" s="1" t="s">
        <v>2678</v>
      </c>
      <c r="H1133" s="1" t="s">
        <v>2679</v>
      </c>
      <c r="I1133" s="1" t="s">
        <v>49</v>
      </c>
      <c r="J1133" s="1" t="s">
        <v>48</v>
      </c>
      <c r="K1133" s="1">
        <v>96</v>
      </c>
      <c r="L1133" s="1">
        <v>0</v>
      </c>
      <c r="M1133" s="1">
        <v>0</v>
      </c>
      <c r="N1133" s="1">
        <v>96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 t="s">
        <v>49</v>
      </c>
      <c r="AA1133" s="1" t="s">
        <v>49</v>
      </c>
      <c r="AB1133" s="1" t="s">
        <v>49</v>
      </c>
      <c r="AC1133" s="1" t="s">
        <v>290</v>
      </c>
      <c r="AD1133" s="1" t="s">
        <v>291</v>
      </c>
      <c r="AE1133" s="1" t="s">
        <v>290</v>
      </c>
      <c r="AF1133" s="1" t="s">
        <v>1605</v>
      </c>
      <c r="AG1133" s="1" t="s">
        <v>53</v>
      </c>
      <c r="AH1133" s="1" t="s">
        <v>49</v>
      </c>
      <c r="AI1133" s="1" t="s">
        <v>54</v>
      </c>
      <c r="AJ1133" s="1">
        <v>1</v>
      </c>
      <c r="AK1133" s="1" t="str">
        <f t="shared" si="17"/>
        <v xml:space="preserve"> =&lt;90</v>
      </c>
      <c r="AL1133" s="1" t="str">
        <f>VLOOKUP(C:C,[1]基础信息!B$1:D$65536,3,0)</f>
        <v>Jug</v>
      </c>
      <c r="AM1133" s="1" t="str">
        <f>VLOOKUP(C:C,[1]基础信息!B$1:E$65536,4,0)</f>
        <v>Marella XL</v>
      </c>
      <c r="AN1133" s="1" t="str">
        <f>VLOOKUP(C:C,[1]基础信息!B$1:F$65536,5,0)</f>
        <v>Blue</v>
      </c>
    </row>
    <row r="1134" spans="1:40">
      <c r="A1134" s="1" t="s">
        <v>41</v>
      </c>
      <c r="B1134" s="1" t="s">
        <v>42</v>
      </c>
      <c r="C1134" s="1" t="s">
        <v>285</v>
      </c>
      <c r="D1134" s="1" t="s">
        <v>286</v>
      </c>
      <c r="E1134" s="1" t="s">
        <v>45</v>
      </c>
      <c r="F1134" s="1" t="s">
        <v>1548</v>
      </c>
      <c r="G1134" s="1" t="s">
        <v>2680</v>
      </c>
      <c r="H1134" s="1" t="s">
        <v>2681</v>
      </c>
      <c r="I1134" s="1" t="s">
        <v>49</v>
      </c>
      <c r="J1134" s="1" t="s">
        <v>48</v>
      </c>
      <c r="K1134" s="1">
        <v>70</v>
      </c>
      <c r="L1134" s="1">
        <v>0</v>
      </c>
      <c r="M1134" s="1">
        <v>0</v>
      </c>
      <c r="N1134" s="1">
        <v>70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 t="s">
        <v>49</v>
      </c>
      <c r="AA1134" s="1" t="s">
        <v>49</v>
      </c>
      <c r="AB1134" s="1" t="s">
        <v>49</v>
      </c>
      <c r="AC1134" s="1" t="s">
        <v>1551</v>
      </c>
      <c r="AD1134" s="1" t="s">
        <v>1552</v>
      </c>
      <c r="AE1134" s="1" t="s">
        <v>1551</v>
      </c>
      <c r="AF1134" s="1" t="s">
        <v>1553</v>
      </c>
      <c r="AG1134" s="1" t="s">
        <v>53</v>
      </c>
      <c r="AH1134" s="1" t="s">
        <v>49</v>
      </c>
      <c r="AI1134" s="1" t="s">
        <v>54</v>
      </c>
      <c r="AJ1134" s="1">
        <v>1</v>
      </c>
      <c r="AK1134" s="1" t="str">
        <f t="shared" si="17"/>
        <v xml:space="preserve"> =&lt;90</v>
      </c>
      <c r="AL1134" s="1" t="str">
        <f>VLOOKUP(C:C,[1]基础信息!B$1:D$65536,3,0)</f>
        <v>Jug</v>
      </c>
      <c r="AM1134" s="1" t="str">
        <f>VLOOKUP(C:C,[1]基础信息!B$1:E$65536,4,0)</f>
        <v>Marella XL</v>
      </c>
      <c r="AN1134" s="1" t="str">
        <f>VLOOKUP(C:C,[1]基础信息!B$1:F$65536,5,0)</f>
        <v>Blue</v>
      </c>
    </row>
    <row r="1135" spans="1:40">
      <c r="A1135" s="1" t="s">
        <v>41</v>
      </c>
      <c r="B1135" s="1" t="s">
        <v>42</v>
      </c>
      <c r="C1135" s="1" t="s">
        <v>1710</v>
      </c>
      <c r="D1135" s="1" t="s">
        <v>1711</v>
      </c>
      <c r="E1135" s="1" t="s">
        <v>45</v>
      </c>
      <c r="F1135" s="1" t="s">
        <v>1712</v>
      </c>
      <c r="G1135" s="1" t="s">
        <v>2682</v>
      </c>
      <c r="H1135" s="1" t="s">
        <v>2683</v>
      </c>
      <c r="I1135" s="1" t="s">
        <v>49</v>
      </c>
      <c r="J1135" s="1" t="s">
        <v>48</v>
      </c>
      <c r="K1135" s="1">
        <v>60</v>
      </c>
      <c r="L1135" s="1">
        <v>0</v>
      </c>
      <c r="M1135" s="1">
        <v>0</v>
      </c>
      <c r="N1135" s="1">
        <v>60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 t="s">
        <v>49</v>
      </c>
      <c r="AA1135" s="1" t="s">
        <v>49</v>
      </c>
      <c r="AB1135" s="1" t="s">
        <v>49</v>
      </c>
      <c r="AC1135" s="1" t="s">
        <v>1715</v>
      </c>
      <c r="AD1135" s="1" t="s">
        <v>1716</v>
      </c>
      <c r="AE1135" s="1" t="s">
        <v>1715</v>
      </c>
      <c r="AF1135" s="1" t="s">
        <v>1717</v>
      </c>
      <c r="AG1135" s="1" t="s">
        <v>53</v>
      </c>
      <c r="AH1135" s="1" t="s">
        <v>49</v>
      </c>
      <c r="AI1135" s="1" t="s">
        <v>54</v>
      </c>
      <c r="AJ1135" s="1">
        <v>1</v>
      </c>
      <c r="AK1135" s="1" t="str">
        <f t="shared" si="17"/>
        <v xml:space="preserve"> =&lt;90</v>
      </c>
      <c r="AL1135" s="1" t="str">
        <f>VLOOKUP(C:C,[1]基础信息!B$1:D$65536,3,0)</f>
        <v>Jug</v>
      </c>
      <c r="AM1135" s="1" t="str">
        <f>VLOOKUP(C:C,[1]基础信息!B$1:E$65536,4,0)</f>
        <v>Kalea XL ME4W</v>
      </c>
      <c r="AN1135" s="1" t="str">
        <f>VLOOKUP(C:C,[1]基础信息!B$1:F$65536,5,0)</f>
        <v>grey</v>
      </c>
    </row>
    <row r="1136" spans="1:40">
      <c r="A1136" s="1" t="s">
        <v>41</v>
      </c>
      <c r="B1136" s="1" t="s">
        <v>42</v>
      </c>
      <c r="C1136" s="1" t="s">
        <v>1710</v>
      </c>
      <c r="D1136" s="1" t="s">
        <v>1711</v>
      </c>
      <c r="E1136" s="1" t="s">
        <v>45</v>
      </c>
      <c r="F1136" s="1" t="s">
        <v>1712</v>
      </c>
      <c r="G1136" s="1" t="s">
        <v>2684</v>
      </c>
      <c r="H1136" s="1" t="s">
        <v>2685</v>
      </c>
      <c r="I1136" s="1" t="s">
        <v>49</v>
      </c>
      <c r="J1136" s="1" t="s">
        <v>48</v>
      </c>
      <c r="K1136" s="1">
        <v>60</v>
      </c>
      <c r="L1136" s="1">
        <v>0</v>
      </c>
      <c r="M1136" s="1">
        <v>0</v>
      </c>
      <c r="N1136" s="1">
        <v>60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 t="s">
        <v>49</v>
      </c>
      <c r="AA1136" s="1" t="s">
        <v>49</v>
      </c>
      <c r="AB1136" s="1" t="s">
        <v>49</v>
      </c>
      <c r="AC1136" s="1" t="s">
        <v>1715</v>
      </c>
      <c r="AD1136" s="1" t="s">
        <v>1716</v>
      </c>
      <c r="AE1136" s="1" t="s">
        <v>1715</v>
      </c>
      <c r="AF1136" s="1" t="s">
        <v>1717</v>
      </c>
      <c r="AG1136" s="1" t="s">
        <v>53</v>
      </c>
      <c r="AH1136" s="1" t="s">
        <v>49</v>
      </c>
      <c r="AI1136" s="1" t="s">
        <v>54</v>
      </c>
      <c r="AJ1136" s="1">
        <v>1</v>
      </c>
      <c r="AK1136" s="1" t="str">
        <f t="shared" si="17"/>
        <v xml:space="preserve"> =&lt;90</v>
      </c>
      <c r="AL1136" s="1" t="str">
        <f>VLOOKUP(C:C,[1]基础信息!B$1:D$65536,3,0)</f>
        <v>Jug</v>
      </c>
      <c r="AM1136" s="1" t="str">
        <f>VLOOKUP(C:C,[1]基础信息!B$1:E$65536,4,0)</f>
        <v>Kalea XL ME4W</v>
      </c>
      <c r="AN1136" s="1" t="str">
        <f>VLOOKUP(C:C,[1]基础信息!B$1:F$65536,5,0)</f>
        <v>grey</v>
      </c>
    </row>
    <row r="1137" spans="1:40">
      <c r="A1137" s="1" t="s">
        <v>41</v>
      </c>
      <c r="B1137" s="1" t="s">
        <v>42</v>
      </c>
      <c r="C1137" s="1" t="s">
        <v>1710</v>
      </c>
      <c r="D1137" s="1" t="s">
        <v>1711</v>
      </c>
      <c r="E1137" s="1" t="s">
        <v>45</v>
      </c>
      <c r="F1137" s="1" t="s">
        <v>1712</v>
      </c>
      <c r="G1137" s="1" t="s">
        <v>2686</v>
      </c>
      <c r="H1137" s="1" t="s">
        <v>2687</v>
      </c>
      <c r="I1137" s="1" t="s">
        <v>49</v>
      </c>
      <c r="J1137" s="1" t="s">
        <v>48</v>
      </c>
      <c r="K1137" s="1">
        <v>60</v>
      </c>
      <c r="L1137" s="1">
        <v>0</v>
      </c>
      <c r="M1137" s="1">
        <v>0</v>
      </c>
      <c r="N1137" s="1">
        <v>60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 t="s">
        <v>49</v>
      </c>
      <c r="AA1137" s="1" t="s">
        <v>49</v>
      </c>
      <c r="AB1137" s="1" t="s">
        <v>49</v>
      </c>
      <c r="AC1137" s="1" t="s">
        <v>1715</v>
      </c>
      <c r="AD1137" s="1" t="s">
        <v>1716</v>
      </c>
      <c r="AE1137" s="1" t="s">
        <v>1715</v>
      </c>
      <c r="AF1137" s="1" t="s">
        <v>1717</v>
      </c>
      <c r="AG1137" s="1" t="s">
        <v>53</v>
      </c>
      <c r="AH1137" s="1" t="s">
        <v>49</v>
      </c>
      <c r="AI1137" s="1" t="s">
        <v>54</v>
      </c>
      <c r="AJ1137" s="1">
        <v>1</v>
      </c>
      <c r="AK1137" s="1" t="str">
        <f t="shared" si="17"/>
        <v xml:space="preserve"> =&lt;90</v>
      </c>
      <c r="AL1137" s="1" t="str">
        <f>VLOOKUP(C:C,[1]基础信息!B$1:D$65536,3,0)</f>
        <v>Jug</v>
      </c>
      <c r="AM1137" s="1" t="str">
        <f>VLOOKUP(C:C,[1]基础信息!B$1:E$65536,4,0)</f>
        <v>Kalea XL ME4W</v>
      </c>
      <c r="AN1137" s="1" t="str">
        <f>VLOOKUP(C:C,[1]基础信息!B$1:F$65536,5,0)</f>
        <v>grey</v>
      </c>
    </row>
    <row r="1138" spans="1:40">
      <c r="A1138" s="1" t="s">
        <v>41</v>
      </c>
      <c r="B1138" s="1" t="s">
        <v>42</v>
      </c>
      <c r="C1138" s="1" t="s">
        <v>1710</v>
      </c>
      <c r="D1138" s="1" t="s">
        <v>1711</v>
      </c>
      <c r="E1138" s="1" t="s">
        <v>45</v>
      </c>
      <c r="F1138" s="1" t="s">
        <v>1712</v>
      </c>
      <c r="G1138" s="1" t="s">
        <v>2688</v>
      </c>
      <c r="H1138" s="1" t="s">
        <v>2689</v>
      </c>
      <c r="I1138" s="1" t="s">
        <v>49</v>
      </c>
      <c r="J1138" s="1" t="s">
        <v>48</v>
      </c>
      <c r="K1138" s="1">
        <v>60</v>
      </c>
      <c r="L1138" s="1">
        <v>0</v>
      </c>
      <c r="M1138" s="1">
        <v>0</v>
      </c>
      <c r="N1138" s="1">
        <v>60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 t="s">
        <v>49</v>
      </c>
      <c r="AA1138" s="1" t="s">
        <v>49</v>
      </c>
      <c r="AB1138" s="1" t="s">
        <v>49</v>
      </c>
      <c r="AC1138" s="1" t="s">
        <v>1715</v>
      </c>
      <c r="AD1138" s="1" t="s">
        <v>1716</v>
      </c>
      <c r="AE1138" s="1" t="s">
        <v>1715</v>
      </c>
      <c r="AF1138" s="1" t="s">
        <v>1717</v>
      </c>
      <c r="AG1138" s="1" t="s">
        <v>53</v>
      </c>
      <c r="AH1138" s="1" t="s">
        <v>49</v>
      </c>
      <c r="AI1138" s="1" t="s">
        <v>54</v>
      </c>
      <c r="AJ1138" s="1">
        <v>1</v>
      </c>
      <c r="AK1138" s="1" t="str">
        <f t="shared" si="17"/>
        <v xml:space="preserve"> =&lt;90</v>
      </c>
      <c r="AL1138" s="1" t="str">
        <f>VLOOKUP(C:C,[1]基础信息!B$1:D$65536,3,0)</f>
        <v>Jug</v>
      </c>
      <c r="AM1138" s="1" t="str">
        <f>VLOOKUP(C:C,[1]基础信息!B$1:E$65536,4,0)</f>
        <v>Kalea XL ME4W</v>
      </c>
      <c r="AN1138" s="1" t="str">
        <f>VLOOKUP(C:C,[1]基础信息!B$1:F$65536,5,0)</f>
        <v>grey</v>
      </c>
    </row>
    <row r="1139" spans="1:40">
      <c r="A1139" s="1" t="s">
        <v>41</v>
      </c>
      <c r="B1139" s="1" t="s">
        <v>42</v>
      </c>
      <c r="C1139" s="1" t="s">
        <v>1710</v>
      </c>
      <c r="D1139" s="1" t="s">
        <v>1711</v>
      </c>
      <c r="E1139" s="1" t="s">
        <v>45</v>
      </c>
      <c r="F1139" s="1" t="s">
        <v>1712</v>
      </c>
      <c r="G1139" s="1" t="s">
        <v>2690</v>
      </c>
      <c r="H1139" s="1" t="s">
        <v>2691</v>
      </c>
      <c r="I1139" s="1" t="s">
        <v>49</v>
      </c>
      <c r="J1139" s="1" t="s">
        <v>48</v>
      </c>
      <c r="K1139" s="1">
        <v>60</v>
      </c>
      <c r="L1139" s="1">
        <v>0</v>
      </c>
      <c r="M1139" s="1">
        <v>0</v>
      </c>
      <c r="N1139" s="1">
        <v>60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 t="s">
        <v>49</v>
      </c>
      <c r="AA1139" s="1" t="s">
        <v>49</v>
      </c>
      <c r="AB1139" s="1" t="s">
        <v>49</v>
      </c>
      <c r="AC1139" s="1" t="s">
        <v>1715</v>
      </c>
      <c r="AD1139" s="1" t="s">
        <v>1716</v>
      </c>
      <c r="AE1139" s="1" t="s">
        <v>1715</v>
      </c>
      <c r="AF1139" s="1" t="s">
        <v>1717</v>
      </c>
      <c r="AG1139" s="1" t="s">
        <v>53</v>
      </c>
      <c r="AH1139" s="1" t="s">
        <v>49</v>
      </c>
      <c r="AI1139" s="1" t="s">
        <v>54</v>
      </c>
      <c r="AJ1139" s="1">
        <v>1</v>
      </c>
      <c r="AK1139" s="1" t="str">
        <f t="shared" si="17"/>
        <v xml:space="preserve"> =&lt;90</v>
      </c>
      <c r="AL1139" s="1" t="str">
        <f>VLOOKUP(C:C,[1]基础信息!B$1:D$65536,3,0)</f>
        <v>Jug</v>
      </c>
      <c r="AM1139" s="1" t="str">
        <f>VLOOKUP(C:C,[1]基础信息!B$1:E$65536,4,0)</f>
        <v>Kalea XL ME4W</v>
      </c>
      <c r="AN1139" s="1" t="str">
        <f>VLOOKUP(C:C,[1]基础信息!B$1:F$65536,5,0)</f>
        <v>grey</v>
      </c>
    </row>
    <row r="1140" spans="1:40">
      <c r="A1140" s="1" t="s">
        <v>41</v>
      </c>
      <c r="B1140" s="1" t="s">
        <v>42</v>
      </c>
      <c r="C1140" s="1" t="s">
        <v>1710</v>
      </c>
      <c r="D1140" s="1" t="s">
        <v>1711</v>
      </c>
      <c r="E1140" s="1" t="s">
        <v>45</v>
      </c>
      <c r="F1140" s="1" t="s">
        <v>1712</v>
      </c>
      <c r="G1140" s="1" t="s">
        <v>2692</v>
      </c>
      <c r="H1140" s="1" t="s">
        <v>2693</v>
      </c>
      <c r="I1140" s="1" t="s">
        <v>49</v>
      </c>
      <c r="J1140" s="1" t="s">
        <v>48</v>
      </c>
      <c r="K1140" s="1">
        <v>60</v>
      </c>
      <c r="L1140" s="1">
        <v>0</v>
      </c>
      <c r="M1140" s="1">
        <v>0</v>
      </c>
      <c r="N1140" s="1">
        <v>60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 t="s">
        <v>49</v>
      </c>
      <c r="AA1140" s="1" t="s">
        <v>49</v>
      </c>
      <c r="AB1140" s="1" t="s">
        <v>49</v>
      </c>
      <c r="AC1140" s="1" t="s">
        <v>1715</v>
      </c>
      <c r="AD1140" s="1" t="s">
        <v>1716</v>
      </c>
      <c r="AE1140" s="1" t="s">
        <v>1715</v>
      </c>
      <c r="AF1140" s="1" t="s">
        <v>1717</v>
      </c>
      <c r="AG1140" s="1" t="s">
        <v>53</v>
      </c>
      <c r="AH1140" s="1" t="s">
        <v>49</v>
      </c>
      <c r="AI1140" s="1" t="s">
        <v>54</v>
      </c>
      <c r="AJ1140" s="1">
        <v>1</v>
      </c>
      <c r="AK1140" s="1" t="str">
        <f t="shared" si="17"/>
        <v xml:space="preserve"> =&lt;90</v>
      </c>
      <c r="AL1140" s="1" t="str">
        <f>VLOOKUP(C:C,[1]基础信息!B$1:D$65536,3,0)</f>
        <v>Jug</v>
      </c>
      <c r="AM1140" s="1" t="str">
        <f>VLOOKUP(C:C,[1]基础信息!B$1:E$65536,4,0)</f>
        <v>Kalea XL ME4W</v>
      </c>
      <c r="AN1140" s="1" t="str">
        <f>VLOOKUP(C:C,[1]基础信息!B$1:F$65536,5,0)</f>
        <v>grey</v>
      </c>
    </row>
    <row r="1141" spans="1:40">
      <c r="A1141" s="1" t="s">
        <v>41</v>
      </c>
      <c r="B1141" s="1" t="s">
        <v>42</v>
      </c>
      <c r="C1141" s="1" t="s">
        <v>104</v>
      </c>
      <c r="D1141" s="1" t="s">
        <v>105</v>
      </c>
      <c r="E1141" s="1" t="s">
        <v>104</v>
      </c>
      <c r="F1141" s="1" t="s">
        <v>2441</v>
      </c>
      <c r="G1141" s="1" t="s">
        <v>2694</v>
      </c>
      <c r="H1141" s="1" t="s">
        <v>2695</v>
      </c>
      <c r="I1141" s="1" t="s">
        <v>49</v>
      </c>
      <c r="J1141" s="1" t="s">
        <v>48</v>
      </c>
      <c r="K1141" s="1">
        <v>96</v>
      </c>
      <c r="L1141" s="1">
        <v>0</v>
      </c>
      <c r="M1141" s="1">
        <v>0</v>
      </c>
      <c r="N1141" s="1">
        <v>96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 t="s">
        <v>49</v>
      </c>
      <c r="AA1141" s="1" t="s">
        <v>49</v>
      </c>
      <c r="AB1141" s="1" t="s">
        <v>49</v>
      </c>
      <c r="AC1141" s="1" t="s">
        <v>290</v>
      </c>
      <c r="AD1141" s="1" t="s">
        <v>291</v>
      </c>
      <c r="AE1141" s="1" t="s">
        <v>290</v>
      </c>
      <c r="AF1141" s="1" t="s">
        <v>1605</v>
      </c>
      <c r="AG1141" s="1" t="s">
        <v>53</v>
      </c>
      <c r="AH1141" s="1" t="s">
        <v>49</v>
      </c>
      <c r="AI1141" s="1" t="s">
        <v>54</v>
      </c>
      <c r="AJ1141" s="1">
        <v>1</v>
      </c>
      <c r="AK1141" s="1" t="str">
        <f t="shared" si="17"/>
        <v xml:space="preserve"> =&lt;90</v>
      </c>
      <c r="AL1141" s="1" t="str">
        <f>VLOOKUP(C:C,[1]基础信息!B$1:D$65536,3,0)</f>
        <v>Jug</v>
      </c>
      <c r="AM1141" s="1" t="str">
        <f>VLOOKUP(C:C,[1]基础信息!B$1:E$65536,4,0)</f>
        <v>Marella XL</v>
      </c>
      <c r="AN1141" s="1" t="str">
        <f>VLOOKUP(C:C,[1]基础信息!B$1:F$65536,5,0)</f>
        <v>Blue</v>
      </c>
    </row>
    <row r="1142" spans="1:40">
      <c r="A1142" s="1" t="s">
        <v>41</v>
      </c>
      <c r="B1142" s="1" t="s">
        <v>42</v>
      </c>
      <c r="C1142" s="1" t="s">
        <v>104</v>
      </c>
      <c r="D1142" s="1" t="s">
        <v>105</v>
      </c>
      <c r="E1142" s="1" t="s">
        <v>104</v>
      </c>
      <c r="F1142" s="1" t="s">
        <v>2696</v>
      </c>
      <c r="G1142" s="1" t="s">
        <v>2697</v>
      </c>
      <c r="H1142" s="1" t="s">
        <v>2698</v>
      </c>
      <c r="I1142" s="1" t="s">
        <v>49</v>
      </c>
      <c r="J1142" s="1" t="s">
        <v>48</v>
      </c>
      <c r="K1142" s="1">
        <v>96</v>
      </c>
      <c r="L1142" s="1">
        <v>0</v>
      </c>
      <c r="M1142" s="1">
        <v>0</v>
      </c>
      <c r="N1142" s="1">
        <v>96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 t="s">
        <v>49</v>
      </c>
      <c r="AA1142" s="1" t="s">
        <v>49</v>
      </c>
      <c r="AB1142" s="1" t="s">
        <v>49</v>
      </c>
      <c r="AC1142" s="1" t="s">
        <v>290</v>
      </c>
      <c r="AD1142" s="1" t="s">
        <v>291</v>
      </c>
      <c r="AE1142" s="1" t="s">
        <v>290</v>
      </c>
      <c r="AF1142" s="1" t="s">
        <v>130</v>
      </c>
      <c r="AG1142" s="1" t="s">
        <v>53</v>
      </c>
      <c r="AH1142" s="1" t="s">
        <v>49</v>
      </c>
      <c r="AI1142" s="1" t="s">
        <v>54</v>
      </c>
      <c r="AJ1142" s="1">
        <v>1</v>
      </c>
      <c r="AK1142" s="1" t="str">
        <f t="shared" si="17"/>
        <v xml:space="preserve"> =&lt;90</v>
      </c>
      <c r="AL1142" s="1" t="str">
        <f>VLOOKUP(C:C,[1]基础信息!B$1:D$65536,3,0)</f>
        <v>Jug</v>
      </c>
      <c r="AM1142" s="1" t="str">
        <f>VLOOKUP(C:C,[1]基础信息!B$1:E$65536,4,0)</f>
        <v>Marella XL</v>
      </c>
      <c r="AN1142" s="1" t="str">
        <f>VLOOKUP(C:C,[1]基础信息!B$1:F$65536,5,0)</f>
        <v>Blue</v>
      </c>
    </row>
    <row r="1143" spans="1:40">
      <c r="A1143" s="1" t="s">
        <v>41</v>
      </c>
      <c r="B1143" s="1" t="s">
        <v>42</v>
      </c>
      <c r="C1143" s="1" t="s">
        <v>2699</v>
      </c>
      <c r="D1143" s="1" t="s">
        <v>2700</v>
      </c>
      <c r="E1143" s="1" t="s">
        <v>45</v>
      </c>
      <c r="F1143" s="1" t="s">
        <v>2701</v>
      </c>
      <c r="G1143" s="1" t="s">
        <v>2702</v>
      </c>
      <c r="H1143" s="1" t="s">
        <v>45</v>
      </c>
      <c r="I1143" s="1" t="s">
        <v>45</v>
      </c>
      <c r="J1143" s="1" t="s">
        <v>48</v>
      </c>
      <c r="K1143" s="1">
        <v>49</v>
      </c>
      <c r="L1143" s="1">
        <v>0</v>
      </c>
      <c r="M1143" s="1">
        <v>0</v>
      </c>
      <c r="N1143" s="1">
        <v>49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 t="s">
        <v>49</v>
      </c>
      <c r="AA1143" s="1" t="s">
        <v>49</v>
      </c>
      <c r="AB1143" s="1" t="s">
        <v>49</v>
      </c>
      <c r="AC1143" s="1" t="s">
        <v>2658</v>
      </c>
      <c r="AD1143" s="1" t="s">
        <v>2659</v>
      </c>
      <c r="AE1143" s="1" t="s">
        <v>2658</v>
      </c>
      <c r="AF1143" s="1" t="s">
        <v>49</v>
      </c>
      <c r="AG1143" s="1" t="s">
        <v>53</v>
      </c>
      <c r="AH1143" s="1" t="s">
        <v>49</v>
      </c>
      <c r="AI1143" s="1" t="s">
        <v>54</v>
      </c>
      <c r="AJ1143" s="1">
        <v>1</v>
      </c>
      <c r="AK1143" s="1" t="str">
        <f t="shared" si="17"/>
        <v xml:space="preserve"> =&lt;90</v>
      </c>
      <c r="AL1143" s="1" t="e">
        <f>VLOOKUP(C:C,[1]基础信息!B$1:D$65536,3,0)</f>
        <v>#N/A</v>
      </c>
      <c r="AM1143" s="1" t="e">
        <f>VLOOKUP(C:C,[1]基础信息!B$1:E$65536,4,0)</f>
        <v>#N/A</v>
      </c>
      <c r="AN1143" s="1" t="e">
        <f>VLOOKUP(C:C,[1]基础信息!B$1:F$65536,5,0)</f>
        <v>#N/A</v>
      </c>
    </row>
    <row r="1144" spans="1:40">
      <c r="A1144" s="1" t="s">
        <v>41</v>
      </c>
      <c r="B1144" s="1" t="s">
        <v>42</v>
      </c>
      <c r="C1144" s="1" t="s">
        <v>1710</v>
      </c>
      <c r="D1144" s="1" t="s">
        <v>1711</v>
      </c>
      <c r="E1144" s="1" t="s">
        <v>45</v>
      </c>
      <c r="F1144" s="1" t="s">
        <v>1712</v>
      </c>
      <c r="G1144" s="1" t="s">
        <v>2703</v>
      </c>
      <c r="H1144" s="1" t="s">
        <v>2704</v>
      </c>
      <c r="I1144" s="1" t="s">
        <v>49</v>
      </c>
      <c r="J1144" s="1" t="s">
        <v>48</v>
      </c>
      <c r="K1144" s="1">
        <v>60</v>
      </c>
      <c r="L1144" s="1">
        <v>0</v>
      </c>
      <c r="M1144" s="1">
        <v>0</v>
      </c>
      <c r="N1144" s="1">
        <v>60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 t="s">
        <v>49</v>
      </c>
      <c r="AA1144" s="1" t="s">
        <v>49</v>
      </c>
      <c r="AB1144" s="1" t="s">
        <v>49</v>
      </c>
      <c r="AC1144" s="1" t="s">
        <v>1715</v>
      </c>
      <c r="AD1144" s="1" t="s">
        <v>1716</v>
      </c>
      <c r="AE1144" s="1" t="s">
        <v>1715</v>
      </c>
      <c r="AF1144" s="1" t="s">
        <v>1717</v>
      </c>
      <c r="AG1144" s="1" t="s">
        <v>53</v>
      </c>
      <c r="AH1144" s="1" t="s">
        <v>49</v>
      </c>
      <c r="AI1144" s="1" t="s">
        <v>54</v>
      </c>
      <c r="AJ1144" s="1">
        <v>1</v>
      </c>
      <c r="AK1144" s="1" t="str">
        <f t="shared" si="17"/>
        <v xml:space="preserve"> =&lt;90</v>
      </c>
      <c r="AL1144" s="1" t="str">
        <f>VLOOKUP(C:C,[1]基础信息!B$1:D$65536,3,0)</f>
        <v>Jug</v>
      </c>
      <c r="AM1144" s="1" t="str">
        <f>VLOOKUP(C:C,[1]基础信息!B$1:E$65536,4,0)</f>
        <v>Kalea XL ME4W</v>
      </c>
      <c r="AN1144" s="1" t="str">
        <f>VLOOKUP(C:C,[1]基础信息!B$1:F$65536,5,0)</f>
        <v>grey</v>
      </c>
    </row>
    <row r="1145" spans="1:40">
      <c r="A1145" s="1" t="s">
        <v>41</v>
      </c>
      <c r="B1145" s="1" t="s">
        <v>42</v>
      </c>
      <c r="C1145" s="1" t="s">
        <v>285</v>
      </c>
      <c r="D1145" s="1" t="s">
        <v>286</v>
      </c>
      <c r="E1145" s="1" t="s">
        <v>45</v>
      </c>
      <c r="F1145" s="1" t="s">
        <v>1548</v>
      </c>
      <c r="G1145" s="1" t="s">
        <v>2705</v>
      </c>
      <c r="H1145" s="1" t="s">
        <v>2706</v>
      </c>
      <c r="I1145" s="1" t="s">
        <v>49</v>
      </c>
      <c r="J1145" s="1" t="s">
        <v>48</v>
      </c>
      <c r="K1145" s="1">
        <v>70</v>
      </c>
      <c r="L1145" s="1">
        <v>0</v>
      </c>
      <c r="M1145" s="1">
        <v>0</v>
      </c>
      <c r="N1145" s="1">
        <v>70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 t="s">
        <v>49</v>
      </c>
      <c r="AA1145" s="1" t="s">
        <v>49</v>
      </c>
      <c r="AB1145" s="1" t="s">
        <v>49</v>
      </c>
      <c r="AC1145" s="1" t="s">
        <v>1551</v>
      </c>
      <c r="AD1145" s="1" t="s">
        <v>1552</v>
      </c>
      <c r="AE1145" s="1" t="s">
        <v>1551</v>
      </c>
      <c r="AF1145" s="1" t="s">
        <v>1553</v>
      </c>
      <c r="AG1145" s="1" t="s">
        <v>53</v>
      </c>
      <c r="AH1145" s="1" t="s">
        <v>49</v>
      </c>
      <c r="AI1145" s="1" t="s">
        <v>54</v>
      </c>
      <c r="AJ1145" s="1">
        <v>1</v>
      </c>
      <c r="AK1145" s="1" t="str">
        <f t="shared" si="17"/>
        <v xml:space="preserve"> =&lt;90</v>
      </c>
      <c r="AL1145" s="1" t="str">
        <f>VLOOKUP(C:C,[1]基础信息!B$1:D$65536,3,0)</f>
        <v>Jug</v>
      </c>
      <c r="AM1145" s="1" t="str">
        <f>VLOOKUP(C:C,[1]基础信息!B$1:E$65536,4,0)</f>
        <v>Marella XL</v>
      </c>
      <c r="AN1145" s="1" t="str">
        <f>VLOOKUP(C:C,[1]基础信息!B$1:F$65536,5,0)</f>
        <v>Blue</v>
      </c>
    </row>
    <row r="1146" spans="1:40">
      <c r="A1146" s="1" t="s">
        <v>41</v>
      </c>
      <c r="B1146" s="1" t="s">
        <v>42</v>
      </c>
      <c r="C1146" s="1" t="s">
        <v>1710</v>
      </c>
      <c r="D1146" s="1" t="s">
        <v>1711</v>
      </c>
      <c r="E1146" s="1" t="s">
        <v>45</v>
      </c>
      <c r="F1146" s="1" t="s">
        <v>1712</v>
      </c>
      <c r="G1146" s="1" t="s">
        <v>2707</v>
      </c>
      <c r="H1146" s="1" t="s">
        <v>2708</v>
      </c>
      <c r="I1146" s="1" t="s">
        <v>49</v>
      </c>
      <c r="J1146" s="1" t="s">
        <v>48</v>
      </c>
      <c r="K1146" s="1">
        <v>60</v>
      </c>
      <c r="L1146" s="1">
        <v>0</v>
      </c>
      <c r="M1146" s="1">
        <v>0</v>
      </c>
      <c r="N1146" s="1">
        <v>60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 t="s">
        <v>49</v>
      </c>
      <c r="AA1146" s="1" t="s">
        <v>49</v>
      </c>
      <c r="AB1146" s="1" t="s">
        <v>49</v>
      </c>
      <c r="AC1146" s="1" t="s">
        <v>1715</v>
      </c>
      <c r="AD1146" s="1" t="s">
        <v>1716</v>
      </c>
      <c r="AE1146" s="1" t="s">
        <v>1715</v>
      </c>
      <c r="AF1146" s="1" t="s">
        <v>1717</v>
      </c>
      <c r="AG1146" s="1" t="s">
        <v>53</v>
      </c>
      <c r="AH1146" s="1" t="s">
        <v>49</v>
      </c>
      <c r="AI1146" s="1" t="s">
        <v>54</v>
      </c>
      <c r="AJ1146" s="1">
        <v>1</v>
      </c>
      <c r="AK1146" s="1" t="str">
        <f t="shared" si="17"/>
        <v xml:space="preserve"> =&lt;90</v>
      </c>
      <c r="AL1146" s="1" t="str">
        <f>VLOOKUP(C:C,[1]基础信息!B$1:D$65536,3,0)</f>
        <v>Jug</v>
      </c>
      <c r="AM1146" s="1" t="str">
        <f>VLOOKUP(C:C,[1]基础信息!B$1:E$65536,4,0)</f>
        <v>Kalea XL ME4W</v>
      </c>
      <c r="AN1146" s="1" t="str">
        <f>VLOOKUP(C:C,[1]基础信息!B$1:F$65536,5,0)</f>
        <v>grey</v>
      </c>
    </row>
    <row r="1147" spans="1:40">
      <c r="A1147" s="1" t="s">
        <v>41</v>
      </c>
      <c r="B1147" s="1" t="s">
        <v>42</v>
      </c>
      <c r="C1147" s="1" t="s">
        <v>1710</v>
      </c>
      <c r="D1147" s="1" t="s">
        <v>1711</v>
      </c>
      <c r="E1147" s="1" t="s">
        <v>45</v>
      </c>
      <c r="F1147" s="1" t="s">
        <v>1712</v>
      </c>
      <c r="G1147" s="1" t="s">
        <v>2709</v>
      </c>
      <c r="H1147" s="1" t="s">
        <v>2710</v>
      </c>
      <c r="I1147" s="1" t="s">
        <v>49</v>
      </c>
      <c r="J1147" s="1" t="s">
        <v>48</v>
      </c>
      <c r="K1147" s="1">
        <v>60</v>
      </c>
      <c r="L1147" s="1">
        <v>0</v>
      </c>
      <c r="M1147" s="1">
        <v>0</v>
      </c>
      <c r="N1147" s="1">
        <v>60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 t="s">
        <v>49</v>
      </c>
      <c r="AA1147" s="1" t="s">
        <v>49</v>
      </c>
      <c r="AB1147" s="1" t="s">
        <v>49</v>
      </c>
      <c r="AC1147" s="1" t="s">
        <v>1715</v>
      </c>
      <c r="AD1147" s="1" t="s">
        <v>1716</v>
      </c>
      <c r="AE1147" s="1" t="s">
        <v>1715</v>
      </c>
      <c r="AF1147" s="1" t="s">
        <v>1717</v>
      </c>
      <c r="AG1147" s="1" t="s">
        <v>53</v>
      </c>
      <c r="AH1147" s="1" t="s">
        <v>49</v>
      </c>
      <c r="AI1147" s="1" t="s">
        <v>54</v>
      </c>
      <c r="AJ1147" s="1">
        <v>1</v>
      </c>
      <c r="AK1147" s="1" t="str">
        <f t="shared" si="17"/>
        <v xml:space="preserve"> =&lt;90</v>
      </c>
      <c r="AL1147" s="1" t="str">
        <f>VLOOKUP(C:C,[1]基础信息!B$1:D$65536,3,0)</f>
        <v>Jug</v>
      </c>
      <c r="AM1147" s="1" t="str">
        <f>VLOOKUP(C:C,[1]基础信息!B$1:E$65536,4,0)</f>
        <v>Kalea XL ME4W</v>
      </c>
      <c r="AN1147" s="1" t="str">
        <f>VLOOKUP(C:C,[1]基础信息!B$1:F$65536,5,0)</f>
        <v>grey</v>
      </c>
    </row>
    <row r="1148" spans="1:40">
      <c r="A1148" s="1" t="s">
        <v>41</v>
      </c>
      <c r="B1148" s="1" t="s">
        <v>42</v>
      </c>
      <c r="C1148" s="1" t="s">
        <v>2699</v>
      </c>
      <c r="D1148" s="1" t="s">
        <v>2700</v>
      </c>
      <c r="E1148" s="1" t="s">
        <v>45</v>
      </c>
      <c r="F1148" s="1" t="s">
        <v>2701</v>
      </c>
      <c r="G1148" s="1" t="s">
        <v>2711</v>
      </c>
      <c r="H1148" s="1" t="s">
        <v>45</v>
      </c>
      <c r="I1148" s="1" t="s">
        <v>45</v>
      </c>
      <c r="J1148" s="1" t="s">
        <v>48</v>
      </c>
      <c r="K1148" s="1">
        <v>300</v>
      </c>
      <c r="L1148" s="1">
        <v>0</v>
      </c>
      <c r="M1148" s="1">
        <v>0</v>
      </c>
      <c r="N1148" s="1">
        <v>300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 t="s">
        <v>49</v>
      </c>
      <c r="AA1148" s="1" t="s">
        <v>49</v>
      </c>
      <c r="AB1148" s="1" t="s">
        <v>49</v>
      </c>
      <c r="AC1148" s="1" t="s">
        <v>2658</v>
      </c>
      <c r="AD1148" s="1" t="s">
        <v>2659</v>
      </c>
      <c r="AE1148" s="1" t="s">
        <v>2658</v>
      </c>
      <c r="AF1148" s="1" t="s">
        <v>49</v>
      </c>
      <c r="AG1148" s="1" t="s">
        <v>53</v>
      </c>
      <c r="AH1148" s="1" t="s">
        <v>49</v>
      </c>
      <c r="AI1148" s="1" t="s">
        <v>54</v>
      </c>
      <c r="AJ1148" s="1">
        <v>1</v>
      </c>
      <c r="AK1148" s="1" t="str">
        <f t="shared" si="17"/>
        <v xml:space="preserve"> =&lt;90</v>
      </c>
      <c r="AL1148" s="1" t="e">
        <f>VLOOKUP(C:C,[1]基础信息!B$1:D$65536,3,0)</f>
        <v>#N/A</v>
      </c>
      <c r="AM1148" s="1" t="e">
        <f>VLOOKUP(C:C,[1]基础信息!B$1:E$65536,4,0)</f>
        <v>#N/A</v>
      </c>
      <c r="AN1148" s="1" t="e">
        <f>VLOOKUP(C:C,[1]基础信息!B$1:F$65536,5,0)</f>
        <v>#N/A</v>
      </c>
    </row>
    <row r="1149" spans="1:40">
      <c r="A1149" s="1" t="s">
        <v>41</v>
      </c>
      <c r="B1149" s="1" t="s">
        <v>42</v>
      </c>
      <c r="C1149" s="1" t="s">
        <v>104</v>
      </c>
      <c r="D1149" s="1" t="s">
        <v>105</v>
      </c>
      <c r="E1149" s="1" t="s">
        <v>104</v>
      </c>
      <c r="F1149" s="1" t="s">
        <v>2696</v>
      </c>
      <c r="G1149" s="1" t="s">
        <v>2712</v>
      </c>
      <c r="H1149" s="1" t="s">
        <v>2713</v>
      </c>
      <c r="I1149" s="1" t="s">
        <v>49</v>
      </c>
      <c r="J1149" s="1" t="s">
        <v>48</v>
      </c>
      <c r="K1149" s="1">
        <v>96</v>
      </c>
      <c r="L1149" s="1">
        <v>0</v>
      </c>
      <c r="M1149" s="1">
        <v>0</v>
      </c>
      <c r="N1149" s="1">
        <v>96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 t="s">
        <v>49</v>
      </c>
      <c r="AA1149" s="1" t="s">
        <v>49</v>
      </c>
      <c r="AB1149" s="1" t="s">
        <v>49</v>
      </c>
      <c r="AC1149" s="1" t="s">
        <v>290</v>
      </c>
      <c r="AD1149" s="1" t="s">
        <v>291</v>
      </c>
      <c r="AE1149" s="1" t="s">
        <v>290</v>
      </c>
      <c r="AF1149" s="1" t="s">
        <v>130</v>
      </c>
      <c r="AG1149" s="1" t="s">
        <v>53</v>
      </c>
      <c r="AH1149" s="1" t="s">
        <v>49</v>
      </c>
      <c r="AI1149" s="1" t="s">
        <v>54</v>
      </c>
      <c r="AJ1149" s="1">
        <v>1</v>
      </c>
      <c r="AK1149" s="1" t="str">
        <f t="shared" si="17"/>
        <v xml:space="preserve"> =&lt;90</v>
      </c>
      <c r="AL1149" s="1" t="str">
        <f>VLOOKUP(C:C,[1]基础信息!B$1:D$65536,3,0)</f>
        <v>Jug</v>
      </c>
      <c r="AM1149" s="1" t="str">
        <f>VLOOKUP(C:C,[1]基础信息!B$1:E$65536,4,0)</f>
        <v>Marella XL</v>
      </c>
      <c r="AN1149" s="1" t="str">
        <f>VLOOKUP(C:C,[1]基础信息!B$1:F$65536,5,0)</f>
        <v>Blue</v>
      </c>
    </row>
    <row r="1150" spans="1:40">
      <c r="A1150" s="1" t="s">
        <v>41</v>
      </c>
      <c r="B1150" s="1" t="s">
        <v>42</v>
      </c>
      <c r="C1150" s="1" t="s">
        <v>1710</v>
      </c>
      <c r="D1150" s="1" t="s">
        <v>1711</v>
      </c>
      <c r="E1150" s="1" t="s">
        <v>45</v>
      </c>
      <c r="F1150" s="1" t="s">
        <v>1712</v>
      </c>
      <c r="G1150" s="1" t="s">
        <v>2714</v>
      </c>
      <c r="H1150" s="1" t="s">
        <v>2715</v>
      </c>
      <c r="I1150" s="1" t="s">
        <v>49</v>
      </c>
      <c r="J1150" s="1" t="s">
        <v>48</v>
      </c>
      <c r="K1150" s="1">
        <v>60</v>
      </c>
      <c r="L1150" s="1">
        <v>0</v>
      </c>
      <c r="M1150" s="1">
        <v>0</v>
      </c>
      <c r="N1150" s="1">
        <v>60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 t="s">
        <v>49</v>
      </c>
      <c r="AA1150" s="1" t="s">
        <v>49</v>
      </c>
      <c r="AB1150" s="1" t="s">
        <v>49</v>
      </c>
      <c r="AC1150" s="1" t="s">
        <v>1715</v>
      </c>
      <c r="AD1150" s="1" t="s">
        <v>1716</v>
      </c>
      <c r="AE1150" s="1" t="s">
        <v>1715</v>
      </c>
      <c r="AF1150" s="1" t="s">
        <v>1717</v>
      </c>
      <c r="AG1150" s="1" t="s">
        <v>53</v>
      </c>
      <c r="AH1150" s="1" t="s">
        <v>49</v>
      </c>
      <c r="AI1150" s="1" t="s">
        <v>54</v>
      </c>
      <c r="AJ1150" s="1">
        <v>1</v>
      </c>
      <c r="AK1150" s="1" t="str">
        <f t="shared" si="17"/>
        <v xml:space="preserve"> =&lt;90</v>
      </c>
      <c r="AL1150" s="1" t="str">
        <f>VLOOKUP(C:C,[1]基础信息!B$1:D$65536,3,0)</f>
        <v>Jug</v>
      </c>
      <c r="AM1150" s="1" t="str">
        <f>VLOOKUP(C:C,[1]基础信息!B$1:E$65536,4,0)</f>
        <v>Kalea XL ME4W</v>
      </c>
      <c r="AN1150" s="1" t="str">
        <f>VLOOKUP(C:C,[1]基础信息!B$1:F$65536,5,0)</f>
        <v>grey</v>
      </c>
    </row>
    <row r="1151" spans="1:40">
      <c r="A1151" s="1" t="s">
        <v>41</v>
      </c>
      <c r="B1151" s="1" t="s">
        <v>42</v>
      </c>
      <c r="C1151" s="1" t="s">
        <v>1710</v>
      </c>
      <c r="D1151" s="1" t="s">
        <v>1711</v>
      </c>
      <c r="E1151" s="1" t="s">
        <v>45</v>
      </c>
      <c r="F1151" s="1" t="s">
        <v>1712</v>
      </c>
      <c r="G1151" s="1" t="s">
        <v>2716</v>
      </c>
      <c r="H1151" s="1" t="s">
        <v>2717</v>
      </c>
      <c r="I1151" s="1" t="s">
        <v>49</v>
      </c>
      <c r="J1151" s="1" t="s">
        <v>48</v>
      </c>
      <c r="K1151" s="1">
        <v>60</v>
      </c>
      <c r="L1151" s="1">
        <v>0</v>
      </c>
      <c r="M1151" s="1">
        <v>0</v>
      </c>
      <c r="N1151" s="1">
        <v>60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 t="s">
        <v>49</v>
      </c>
      <c r="AA1151" s="1" t="s">
        <v>49</v>
      </c>
      <c r="AB1151" s="1" t="s">
        <v>49</v>
      </c>
      <c r="AC1151" s="1" t="s">
        <v>1715</v>
      </c>
      <c r="AD1151" s="1" t="s">
        <v>1716</v>
      </c>
      <c r="AE1151" s="1" t="s">
        <v>1715</v>
      </c>
      <c r="AF1151" s="1" t="s">
        <v>1717</v>
      </c>
      <c r="AG1151" s="1" t="s">
        <v>53</v>
      </c>
      <c r="AH1151" s="1" t="s">
        <v>49</v>
      </c>
      <c r="AI1151" s="1" t="s">
        <v>54</v>
      </c>
      <c r="AJ1151" s="1">
        <v>1</v>
      </c>
      <c r="AK1151" s="1" t="str">
        <f t="shared" si="17"/>
        <v xml:space="preserve"> =&lt;90</v>
      </c>
      <c r="AL1151" s="1" t="str">
        <f>VLOOKUP(C:C,[1]基础信息!B$1:D$65536,3,0)</f>
        <v>Jug</v>
      </c>
      <c r="AM1151" s="1" t="str">
        <f>VLOOKUP(C:C,[1]基础信息!B$1:E$65536,4,0)</f>
        <v>Kalea XL ME4W</v>
      </c>
      <c r="AN1151" s="1" t="str">
        <f>VLOOKUP(C:C,[1]基础信息!B$1:F$65536,5,0)</f>
        <v>grey</v>
      </c>
    </row>
    <row r="1152" spans="1:40">
      <c r="A1152" s="1" t="s">
        <v>41</v>
      </c>
      <c r="B1152" s="1" t="s">
        <v>42</v>
      </c>
      <c r="C1152" s="1" t="s">
        <v>1710</v>
      </c>
      <c r="D1152" s="1" t="s">
        <v>1711</v>
      </c>
      <c r="E1152" s="1" t="s">
        <v>45</v>
      </c>
      <c r="F1152" s="1" t="s">
        <v>1712</v>
      </c>
      <c r="G1152" s="1" t="s">
        <v>2718</v>
      </c>
      <c r="H1152" s="1" t="s">
        <v>2719</v>
      </c>
      <c r="I1152" s="1" t="s">
        <v>49</v>
      </c>
      <c r="J1152" s="1" t="s">
        <v>48</v>
      </c>
      <c r="K1152" s="1">
        <v>60</v>
      </c>
      <c r="L1152" s="1">
        <v>0</v>
      </c>
      <c r="M1152" s="1">
        <v>0</v>
      </c>
      <c r="N1152" s="1">
        <v>60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 t="s">
        <v>49</v>
      </c>
      <c r="AA1152" s="1" t="s">
        <v>49</v>
      </c>
      <c r="AB1152" s="1" t="s">
        <v>49</v>
      </c>
      <c r="AC1152" s="1" t="s">
        <v>1715</v>
      </c>
      <c r="AD1152" s="1" t="s">
        <v>1716</v>
      </c>
      <c r="AE1152" s="1" t="s">
        <v>1715</v>
      </c>
      <c r="AF1152" s="1" t="s">
        <v>1717</v>
      </c>
      <c r="AG1152" s="1" t="s">
        <v>53</v>
      </c>
      <c r="AH1152" s="1" t="s">
        <v>49</v>
      </c>
      <c r="AI1152" s="1" t="s">
        <v>54</v>
      </c>
      <c r="AJ1152" s="1">
        <v>1</v>
      </c>
      <c r="AK1152" s="1" t="str">
        <f t="shared" si="17"/>
        <v xml:space="preserve"> =&lt;90</v>
      </c>
      <c r="AL1152" s="1" t="str">
        <f>VLOOKUP(C:C,[1]基础信息!B$1:D$65536,3,0)</f>
        <v>Jug</v>
      </c>
      <c r="AM1152" s="1" t="str">
        <f>VLOOKUP(C:C,[1]基础信息!B$1:E$65536,4,0)</f>
        <v>Kalea XL ME4W</v>
      </c>
      <c r="AN1152" s="1" t="str">
        <f>VLOOKUP(C:C,[1]基础信息!B$1:F$65536,5,0)</f>
        <v>grey</v>
      </c>
    </row>
    <row r="1153" spans="1:40">
      <c r="A1153" s="1" t="s">
        <v>41</v>
      </c>
      <c r="B1153" s="1" t="s">
        <v>42</v>
      </c>
      <c r="C1153" s="1" t="s">
        <v>104</v>
      </c>
      <c r="D1153" s="1" t="s">
        <v>105</v>
      </c>
      <c r="E1153" s="1" t="s">
        <v>104</v>
      </c>
      <c r="F1153" s="1" t="s">
        <v>2696</v>
      </c>
      <c r="G1153" s="1" t="s">
        <v>2720</v>
      </c>
      <c r="H1153" s="1" t="s">
        <v>2721</v>
      </c>
      <c r="I1153" s="1" t="s">
        <v>49</v>
      </c>
      <c r="J1153" s="1" t="s">
        <v>48</v>
      </c>
      <c r="K1153" s="1">
        <v>96</v>
      </c>
      <c r="L1153" s="1">
        <v>0</v>
      </c>
      <c r="M1153" s="1">
        <v>0</v>
      </c>
      <c r="N1153" s="1">
        <v>96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 t="s">
        <v>49</v>
      </c>
      <c r="AA1153" s="1" t="s">
        <v>49</v>
      </c>
      <c r="AB1153" s="1" t="s">
        <v>49</v>
      </c>
      <c r="AC1153" s="1" t="s">
        <v>290</v>
      </c>
      <c r="AD1153" s="1" t="s">
        <v>291</v>
      </c>
      <c r="AE1153" s="1" t="s">
        <v>290</v>
      </c>
      <c r="AF1153" s="1" t="s">
        <v>130</v>
      </c>
      <c r="AG1153" s="1" t="s">
        <v>53</v>
      </c>
      <c r="AH1153" s="1" t="s">
        <v>49</v>
      </c>
      <c r="AI1153" s="1" t="s">
        <v>54</v>
      </c>
      <c r="AJ1153" s="1">
        <v>1</v>
      </c>
      <c r="AK1153" s="1" t="str">
        <f t="shared" si="17"/>
        <v xml:space="preserve"> =&lt;90</v>
      </c>
      <c r="AL1153" s="1" t="str">
        <f>VLOOKUP(C:C,[1]基础信息!B$1:D$65536,3,0)</f>
        <v>Jug</v>
      </c>
      <c r="AM1153" s="1" t="str">
        <f>VLOOKUP(C:C,[1]基础信息!B$1:E$65536,4,0)</f>
        <v>Marella XL</v>
      </c>
      <c r="AN1153" s="1" t="str">
        <f>VLOOKUP(C:C,[1]基础信息!B$1:F$65536,5,0)</f>
        <v>Blue</v>
      </c>
    </row>
    <row r="1154" spans="1:40">
      <c r="A1154" s="1" t="s">
        <v>41</v>
      </c>
      <c r="B1154" s="1" t="s">
        <v>42</v>
      </c>
      <c r="C1154" s="1" t="s">
        <v>1710</v>
      </c>
      <c r="D1154" s="1" t="s">
        <v>1711</v>
      </c>
      <c r="E1154" s="1" t="s">
        <v>45</v>
      </c>
      <c r="F1154" s="1" t="s">
        <v>1712</v>
      </c>
      <c r="G1154" s="1" t="s">
        <v>2722</v>
      </c>
      <c r="H1154" s="1" t="s">
        <v>2723</v>
      </c>
      <c r="I1154" s="1" t="s">
        <v>49</v>
      </c>
      <c r="J1154" s="1" t="s">
        <v>48</v>
      </c>
      <c r="K1154" s="1">
        <v>60</v>
      </c>
      <c r="L1154" s="1">
        <v>0</v>
      </c>
      <c r="M1154" s="1">
        <v>0</v>
      </c>
      <c r="N1154" s="1">
        <v>60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 t="s">
        <v>49</v>
      </c>
      <c r="AA1154" s="1" t="s">
        <v>49</v>
      </c>
      <c r="AB1154" s="1" t="s">
        <v>49</v>
      </c>
      <c r="AC1154" s="1" t="s">
        <v>1715</v>
      </c>
      <c r="AD1154" s="1" t="s">
        <v>1716</v>
      </c>
      <c r="AE1154" s="1" t="s">
        <v>1715</v>
      </c>
      <c r="AF1154" s="1" t="s">
        <v>1717</v>
      </c>
      <c r="AG1154" s="1" t="s">
        <v>53</v>
      </c>
      <c r="AH1154" s="1" t="s">
        <v>49</v>
      </c>
      <c r="AI1154" s="1" t="s">
        <v>54</v>
      </c>
      <c r="AJ1154" s="1">
        <v>1</v>
      </c>
      <c r="AK1154" s="1" t="str">
        <f t="shared" ref="AK1154:AK1217" si="18">IF(AJ1154&gt;$AP$2,$AQ$2,IF(AJ1154&gt;$AP$3,$AQ$3,IF(AJ1154&gt;$AP$4,$AQ$4,$AQ$5)))</f>
        <v xml:space="preserve"> =&lt;90</v>
      </c>
      <c r="AL1154" s="1" t="str">
        <f>VLOOKUP(C:C,[1]基础信息!B$1:D$65536,3,0)</f>
        <v>Jug</v>
      </c>
      <c r="AM1154" s="1" t="str">
        <f>VLOOKUP(C:C,[1]基础信息!B$1:E$65536,4,0)</f>
        <v>Kalea XL ME4W</v>
      </c>
      <c r="AN1154" s="1" t="str">
        <f>VLOOKUP(C:C,[1]基础信息!B$1:F$65536,5,0)</f>
        <v>grey</v>
      </c>
    </row>
    <row r="1155" spans="1:40">
      <c r="A1155" s="1" t="s">
        <v>41</v>
      </c>
      <c r="B1155" s="1" t="s">
        <v>42</v>
      </c>
      <c r="C1155" s="1" t="s">
        <v>285</v>
      </c>
      <c r="D1155" s="1" t="s">
        <v>286</v>
      </c>
      <c r="E1155" s="1" t="s">
        <v>45</v>
      </c>
      <c r="F1155" s="1" t="s">
        <v>1548</v>
      </c>
      <c r="G1155" s="1" t="s">
        <v>2724</v>
      </c>
      <c r="H1155" s="1" t="s">
        <v>2725</v>
      </c>
      <c r="I1155" s="1" t="s">
        <v>49</v>
      </c>
      <c r="J1155" s="1" t="s">
        <v>48</v>
      </c>
      <c r="K1155" s="1">
        <v>70</v>
      </c>
      <c r="L1155" s="1">
        <v>0</v>
      </c>
      <c r="M1155" s="1">
        <v>0</v>
      </c>
      <c r="N1155" s="1">
        <v>70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 t="s">
        <v>49</v>
      </c>
      <c r="AA1155" s="1" t="s">
        <v>49</v>
      </c>
      <c r="AB1155" s="1" t="s">
        <v>49</v>
      </c>
      <c r="AC1155" s="1" t="s">
        <v>1551</v>
      </c>
      <c r="AD1155" s="1" t="s">
        <v>1552</v>
      </c>
      <c r="AE1155" s="1" t="s">
        <v>1551</v>
      </c>
      <c r="AF1155" s="1" t="s">
        <v>1553</v>
      </c>
      <c r="AG1155" s="1" t="s">
        <v>53</v>
      </c>
      <c r="AH1155" s="1" t="s">
        <v>49</v>
      </c>
      <c r="AI1155" s="1" t="s">
        <v>54</v>
      </c>
      <c r="AJ1155" s="1">
        <v>1</v>
      </c>
      <c r="AK1155" s="1" t="str">
        <f t="shared" si="18"/>
        <v xml:space="preserve"> =&lt;90</v>
      </c>
      <c r="AL1155" s="1" t="str">
        <f>VLOOKUP(C:C,[1]基础信息!B$1:D$65536,3,0)</f>
        <v>Jug</v>
      </c>
      <c r="AM1155" s="1" t="str">
        <f>VLOOKUP(C:C,[1]基础信息!B$1:E$65536,4,0)</f>
        <v>Marella XL</v>
      </c>
      <c r="AN1155" s="1" t="str">
        <f>VLOOKUP(C:C,[1]基础信息!B$1:F$65536,5,0)</f>
        <v>Blue</v>
      </c>
    </row>
    <row r="1156" spans="1:40">
      <c r="A1156" s="1" t="s">
        <v>41</v>
      </c>
      <c r="B1156" s="1" t="s">
        <v>42</v>
      </c>
      <c r="C1156" s="1" t="s">
        <v>1710</v>
      </c>
      <c r="D1156" s="1" t="s">
        <v>1711</v>
      </c>
      <c r="E1156" s="1" t="s">
        <v>45</v>
      </c>
      <c r="F1156" s="1" t="s">
        <v>1712</v>
      </c>
      <c r="G1156" s="1" t="s">
        <v>2726</v>
      </c>
      <c r="H1156" s="1" t="s">
        <v>2727</v>
      </c>
      <c r="I1156" s="1" t="s">
        <v>49</v>
      </c>
      <c r="J1156" s="1" t="s">
        <v>48</v>
      </c>
      <c r="K1156" s="1">
        <v>60</v>
      </c>
      <c r="L1156" s="1">
        <v>0</v>
      </c>
      <c r="M1156" s="1">
        <v>0</v>
      </c>
      <c r="N1156" s="1">
        <v>60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 t="s">
        <v>49</v>
      </c>
      <c r="AA1156" s="1" t="s">
        <v>49</v>
      </c>
      <c r="AB1156" s="1" t="s">
        <v>49</v>
      </c>
      <c r="AC1156" s="1" t="s">
        <v>1715</v>
      </c>
      <c r="AD1156" s="1" t="s">
        <v>1716</v>
      </c>
      <c r="AE1156" s="1" t="s">
        <v>1715</v>
      </c>
      <c r="AF1156" s="1" t="s">
        <v>1717</v>
      </c>
      <c r="AG1156" s="1" t="s">
        <v>53</v>
      </c>
      <c r="AH1156" s="1" t="s">
        <v>49</v>
      </c>
      <c r="AI1156" s="1" t="s">
        <v>54</v>
      </c>
      <c r="AJ1156" s="1">
        <v>1</v>
      </c>
      <c r="AK1156" s="1" t="str">
        <f t="shared" si="18"/>
        <v xml:space="preserve"> =&lt;90</v>
      </c>
      <c r="AL1156" s="1" t="str">
        <f>VLOOKUP(C:C,[1]基础信息!B$1:D$65536,3,0)</f>
        <v>Jug</v>
      </c>
      <c r="AM1156" s="1" t="str">
        <f>VLOOKUP(C:C,[1]基础信息!B$1:E$65536,4,0)</f>
        <v>Kalea XL ME4W</v>
      </c>
      <c r="AN1156" s="1" t="str">
        <f>VLOOKUP(C:C,[1]基础信息!B$1:F$65536,5,0)</f>
        <v>grey</v>
      </c>
    </row>
    <row r="1157" spans="1:40">
      <c r="A1157" s="1" t="s">
        <v>41</v>
      </c>
      <c r="B1157" s="1" t="s">
        <v>42</v>
      </c>
      <c r="C1157" s="1" t="s">
        <v>1710</v>
      </c>
      <c r="D1157" s="1" t="s">
        <v>1711</v>
      </c>
      <c r="E1157" s="1" t="s">
        <v>45</v>
      </c>
      <c r="F1157" s="1" t="s">
        <v>1712</v>
      </c>
      <c r="G1157" s="1" t="s">
        <v>2728</v>
      </c>
      <c r="H1157" s="1" t="s">
        <v>2729</v>
      </c>
      <c r="I1157" s="1" t="s">
        <v>49</v>
      </c>
      <c r="J1157" s="1" t="s">
        <v>48</v>
      </c>
      <c r="K1157" s="1">
        <v>60</v>
      </c>
      <c r="L1157" s="1">
        <v>0</v>
      </c>
      <c r="M1157" s="1">
        <v>0</v>
      </c>
      <c r="N1157" s="1">
        <v>60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 t="s">
        <v>49</v>
      </c>
      <c r="AA1157" s="1" t="s">
        <v>49</v>
      </c>
      <c r="AB1157" s="1" t="s">
        <v>49</v>
      </c>
      <c r="AC1157" s="1" t="s">
        <v>1715</v>
      </c>
      <c r="AD1157" s="1" t="s">
        <v>1716</v>
      </c>
      <c r="AE1157" s="1" t="s">
        <v>1715</v>
      </c>
      <c r="AF1157" s="1" t="s">
        <v>1717</v>
      </c>
      <c r="AG1157" s="1" t="s">
        <v>53</v>
      </c>
      <c r="AH1157" s="1" t="s">
        <v>49</v>
      </c>
      <c r="AI1157" s="1" t="s">
        <v>54</v>
      </c>
      <c r="AJ1157" s="1">
        <v>1</v>
      </c>
      <c r="AK1157" s="1" t="str">
        <f t="shared" si="18"/>
        <v xml:space="preserve"> =&lt;90</v>
      </c>
      <c r="AL1157" s="1" t="str">
        <f>VLOOKUP(C:C,[1]基础信息!B$1:D$65536,3,0)</f>
        <v>Jug</v>
      </c>
      <c r="AM1157" s="1" t="str">
        <f>VLOOKUP(C:C,[1]基础信息!B$1:E$65536,4,0)</f>
        <v>Kalea XL ME4W</v>
      </c>
      <c r="AN1157" s="1" t="str">
        <f>VLOOKUP(C:C,[1]基础信息!B$1:F$65536,5,0)</f>
        <v>grey</v>
      </c>
    </row>
    <row r="1158" spans="1:40">
      <c r="A1158" s="1" t="s">
        <v>41</v>
      </c>
      <c r="B1158" s="1" t="s">
        <v>42</v>
      </c>
      <c r="C1158" s="1" t="s">
        <v>285</v>
      </c>
      <c r="D1158" s="1" t="s">
        <v>286</v>
      </c>
      <c r="E1158" s="1" t="s">
        <v>45</v>
      </c>
      <c r="F1158" s="1" t="s">
        <v>2547</v>
      </c>
      <c r="G1158" s="1" t="s">
        <v>2730</v>
      </c>
      <c r="H1158" s="1" t="s">
        <v>2731</v>
      </c>
      <c r="I1158" s="1" t="s">
        <v>49</v>
      </c>
      <c r="J1158" s="1" t="s">
        <v>48</v>
      </c>
      <c r="K1158" s="1">
        <v>68</v>
      </c>
      <c r="L1158" s="1">
        <v>0</v>
      </c>
      <c r="M1158" s="1">
        <v>0</v>
      </c>
      <c r="N1158" s="1">
        <v>68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 t="s">
        <v>49</v>
      </c>
      <c r="AA1158" s="1" t="s">
        <v>49</v>
      </c>
      <c r="AB1158" s="1" t="s">
        <v>49</v>
      </c>
      <c r="AC1158" s="1" t="s">
        <v>1551</v>
      </c>
      <c r="AD1158" s="1" t="s">
        <v>1552</v>
      </c>
      <c r="AE1158" s="1" t="s">
        <v>1551</v>
      </c>
      <c r="AF1158" s="1" t="s">
        <v>2550</v>
      </c>
      <c r="AG1158" s="1" t="s">
        <v>53</v>
      </c>
      <c r="AH1158" s="1" t="s">
        <v>49</v>
      </c>
      <c r="AI1158" s="1" t="s">
        <v>54</v>
      </c>
      <c r="AJ1158" s="1">
        <v>1</v>
      </c>
      <c r="AK1158" s="1" t="str">
        <f t="shared" si="18"/>
        <v xml:space="preserve"> =&lt;90</v>
      </c>
      <c r="AL1158" s="1" t="str">
        <f>VLOOKUP(C:C,[1]基础信息!B$1:D$65536,3,0)</f>
        <v>Jug</v>
      </c>
      <c r="AM1158" s="1" t="str">
        <f>VLOOKUP(C:C,[1]基础信息!B$1:E$65536,4,0)</f>
        <v>Marella XL</v>
      </c>
      <c r="AN1158" s="1" t="str">
        <f>VLOOKUP(C:C,[1]基础信息!B$1:F$65536,5,0)</f>
        <v>Blue</v>
      </c>
    </row>
    <row r="1159" spans="1:40">
      <c r="A1159" s="1" t="s">
        <v>41</v>
      </c>
      <c r="B1159" s="1" t="s">
        <v>42</v>
      </c>
      <c r="C1159" s="1" t="s">
        <v>1710</v>
      </c>
      <c r="D1159" s="1" t="s">
        <v>1711</v>
      </c>
      <c r="E1159" s="1" t="s">
        <v>45</v>
      </c>
      <c r="F1159" s="1" t="s">
        <v>1712</v>
      </c>
      <c r="G1159" s="1" t="s">
        <v>2732</v>
      </c>
      <c r="H1159" s="1" t="s">
        <v>2733</v>
      </c>
      <c r="I1159" s="1" t="s">
        <v>49</v>
      </c>
      <c r="J1159" s="1" t="s">
        <v>48</v>
      </c>
      <c r="K1159" s="1">
        <v>60</v>
      </c>
      <c r="L1159" s="1">
        <v>0</v>
      </c>
      <c r="M1159" s="1">
        <v>0</v>
      </c>
      <c r="N1159" s="1">
        <v>60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 t="s">
        <v>49</v>
      </c>
      <c r="AA1159" s="1" t="s">
        <v>49</v>
      </c>
      <c r="AB1159" s="1" t="s">
        <v>49</v>
      </c>
      <c r="AC1159" s="1" t="s">
        <v>1715</v>
      </c>
      <c r="AD1159" s="1" t="s">
        <v>1716</v>
      </c>
      <c r="AE1159" s="1" t="s">
        <v>1715</v>
      </c>
      <c r="AF1159" s="1" t="s">
        <v>1717</v>
      </c>
      <c r="AG1159" s="1" t="s">
        <v>53</v>
      </c>
      <c r="AH1159" s="1" t="s">
        <v>49</v>
      </c>
      <c r="AI1159" s="1" t="s">
        <v>54</v>
      </c>
      <c r="AJ1159" s="1">
        <v>1</v>
      </c>
      <c r="AK1159" s="1" t="str">
        <f t="shared" si="18"/>
        <v xml:space="preserve"> =&lt;90</v>
      </c>
      <c r="AL1159" s="1" t="str">
        <f>VLOOKUP(C:C,[1]基础信息!B$1:D$65536,3,0)</f>
        <v>Jug</v>
      </c>
      <c r="AM1159" s="1" t="str">
        <f>VLOOKUP(C:C,[1]基础信息!B$1:E$65536,4,0)</f>
        <v>Kalea XL ME4W</v>
      </c>
      <c r="AN1159" s="1" t="str">
        <f>VLOOKUP(C:C,[1]基础信息!B$1:F$65536,5,0)</f>
        <v>grey</v>
      </c>
    </row>
    <row r="1160" spans="1:40">
      <c r="A1160" s="1" t="s">
        <v>41</v>
      </c>
      <c r="B1160" s="1" t="s">
        <v>42</v>
      </c>
      <c r="C1160" s="1" t="s">
        <v>1710</v>
      </c>
      <c r="D1160" s="1" t="s">
        <v>1711</v>
      </c>
      <c r="E1160" s="1" t="s">
        <v>45</v>
      </c>
      <c r="F1160" s="1" t="s">
        <v>1712</v>
      </c>
      <c r="G1160" s="1" t="s">
        <v>2734</v>
      </c>
      <c r="H1160" s="1" t="s">
        <v>2735</v>
      </c>
      <c r="I1160" s="1" t="s">
        <v>49</v>
      </c>
      <c r="J1160" s="1" t="s">
        <v>48</v>
      </c>
      <c r="K1160" s="1">
        <v>60</v>
      </c>
      <c r="L1160" s="1">
        <v>0</v>
      </c>
      <c r="M1160" s="1">
        <v>0</v>
      </c>
      <c r="N1160" s="1">
        <v>60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 t="s">
        <v>49</v>
      </c>
      <c r="AA1160" s="1" t="s">
        <v>49</v>
      </c>
      <c r="AB1160" s="1" t="s">
        <v>49</v>
      </c>
      <c r="AC1160" s="1" t="s">
        <v>1715</v>
      </c>
      <c r="AD1160" s="1" t="s">
        <v>1716</v>
      </c>
      <c r="AE1160" s="1" t="s">
        <v>1715</v>
      </c>
      <c r="AF1160" s="1" t="s">
        <v>1717</v>
      </c>
      <c r="AG1160" s="1" t="s">
        <v>53</v>
      </c>
      <c r="AH1160" s="1" t="s">
        <v>49</v>
      </c>
      <c r="AI1160" s="1" t="s">
        <v>54</v>
      </c>
      <c r="AJ1160" s="1">
        <v>1</v>
      </c>
      <c r="AK1160" s="1" t="str">
        <f t="shared" si="18"/>
        <v xml:space="preserve"> =&lt;90</v>
      </c>
      <c r="AL1160" s="1" t="str">
        <f>VLOOKUP(C:C,[1]基础信息!B$1:D$65536,3,0)</f>
        <v>Jug</v>
      </c>
      <c r="AM1160" s="1" t="str">
        <f>VLOOKUP(C:C,[1]基础信息!B$1:E$65536,4,0)</f>
        <v>Kalea XL ME4W</v>
      </c>
      <c r="AN1160" s="1" t="str">
        <f>VLOOKUP(C:C,[1]基础信息!B$1:F$65536,5,0)</f>
        <v>grey</v>
      </c>
    </row>
    <row r="1161" spans="1:40">
      <c r="A1161" s="1" t="s">
        <v>41</v>
      </c>
      <c r="B1161" s="1" t="s">
        <v>42</v>
      </c>
      <c r="C1161" s="1" t="s">
        <v>1710</v>
      </c>
      <c r="D1161" s="1" t="s">
        <v>1711</v>
      </c>
      <c r="E1161" s="1" t="s">
        <v>45</v>
      </c>
      <c r="F1161" s="1" t="s">
        <v>1712</v>
      </c>
      <c r="G1161" s="1" t="s">
        <v>2736</v>
      </c>
      <c r="H1161" s="1" t="s">
        <v>2737</v>
      </c>
      <c r="I1161" s="1" t="s">
        <v>49</v>
      </c>
      <c r="J1161" s="1" t="s">
        <v>48</v>
      </c>
      <c r="K1161" s="1">
        <v>60</v>
      </c>
      <c r="L1161" s="1">
        <v>0</v>
      </c>
      <c r="M1161" s="1">
        <v>0</v>
      </c>
      <c r="N1161" s="1">
        <v>60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 t="s">
        <v>49</v>
      </c>
      <c r="AA1161" s="1" t="s">
        <v>49</v>
      </c>
      <c r="AB1161" s="1" t="s">
        <v>49</v>
      </c>
      <c r="AC1161" s="1" t="s">
        <v>1715</v>
      </c>
      <c r="AD1161" s="1" t="s">
        <v>1716</v>
      </c>
      <c r="AE1161" s="1" t="s">
        <v>1715</v>
      </c>
      <c r="AF1161" s="1" t="s">
        <v>1717</v>
      </c>
      <c r="AG1161" s="1" t="s">
        <v>53</v>
      </c>
      <c r="AH1161" s="1" t="s">
        <v>49</v>
      </c>
      <c r="AI1161" s="1" t="s">
        <v>54</v>
      </c>
      <c r="AJ1161" s="1">
        <v>1</v>
      </c>
      <c r="AK1161" s="1" t="str">
        <f t="shared" si="18"/>
        <v xml:space="preserve"> =&lt;90</v>
      </c>
      <c r="AL1161" s="1" t="str">
        <f>VLOOKUP(C:C,[1]基础信息!B$1:D$65536,3,0)</f>
        <v>Jug</v>
      </c>
      <c r="AM1161" s="1" t="str">
        <f>VLOOKUP(C:C,[1]基础信息!B$1:E$65536,4,0)</f>
        <v>Kalea XL ME4W</v>
      </c>
      <c r="AN1161" s="1" t="str">
        <f>VLOOKUP(C:C,[1]基础信息!B$1:F$65536,5,0)</f>
        <v>grey</v>
      </c>
    </row>
    <row r="1162" spans="1:40">
      <c r="A1162" s="1" t="s">
        <v>41</v>
      </c>
      <c r="B1162" s="1" t="s">
        <v>42</v>
      </c>
      <c r="C1162" s="1" t="s">
        <v>1710</v>
      </c>
      <c r="D1162" s="1" t="s">
        <v>1711</v>
      </c>
      <c r="E1162" s="1" t="s">
        <v>45</v>
      </c>
      <c r="F1162" s="1" t="s">
        <v>1712</v>
      </c>
      <c r="G1162" s="1" t="s">
        <v>2738</v>
      </c>
      <c r="H1162" s="1" t="s">
        <v>2739</v>
      </c>
      <c r="I1162" s="1" t="s">
        <v>49</v>
      </c>
      <c r="J1162" s="1" t="s">
        <v>48</v>
      </c>
      <c r="K1162" s="1">
        <v>60</v>
      </c>
      <c r="L1162" s="1">
        <v>0</v>
      </c>
      <c r="M1162" s="1">
        <v>0</v>
      </c>
      <c r="N1162" s="1">
        <v>60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 t="s">
        <v>49</v>
      </c>
      <c r="AA1162" s="1" t="s">
        <v>49</v>
      </c>
      <c r="AB1162" s="1" t="s">
        <v>49</v>
      </c>
      <c r="AC1162" s="1" t="s">
        <v>1715</v>
      </c>
      <c r="AD1162" s="1" t="s">
        <v>1716</v>
      </c>
      <c r="AE1162" s="1" t="s">
        <v>1715</v>
      </c>
      <c r="AF1162" s="1" t="s">
        <v>1717</v>
      </c>
      <c r="AG1162" s="1" t="s">
        <v>53</v>
      </c>
      <c r="AH1162" s="1" t="s">
        <v>49</v>
      </c>
      <c r="AI1162" s="1" t="s">
        <v>54</v>
      </c>
      <c r="AJ1162" s="1">
        <v>1</v>
      </c>
      <c r="AK1162" s="1" t="str">
        <f t="shared" si="18"/>
        <v xml:space="preserve"> =&lt;90</v>
      </c>
      <c r="AL1162" s="1" t="str">
        <f>VLOOKUP(C:C,[1]基础信息!B$1:D$65536,3,0)</f>
        <v>Jug</v>
      </c>
      <c r="AM1162" s="1" t="str">
        <f>VLOOKUP(C:C,[1]基础信息!B$1:E$65536,4,0)</f>
        <v>Kalea XL ME4W</v>
      </c>
      <c r="AN1162" s="1" t="str">
        <f>VLOOKUP(C:C,[1]基础信息!B$1:F$65536,5,0)</f>
        <v>grey</v>
      </c>
    </row>
    <row r="1163" spans="1:40">
      <c r="A1163" s="1" t="s">
        <v>41</v>
      </c>
      <c r="B1163" s="1" t="s">
        <v>42</v>
      </c>
      <c r="C1163" s="1" t="s">
        <v>2654</v>
      </c>
      <c r="D1163" s="1" t="s">
        <v>2655</v>
      </c>
      <c r="E1163" s="1" t="s">
        <v>45</v>
      </c>
      <c r="F1163" s="1" t="s">
        <v>2656</v>
      </c>
      <c r="G1163" s="1" t="s">
        <v>2740</v>
      </c>
      <c r="H1163" s="1" t="s">
        <v>45</v>
      </c>
      <c r="I1163" s="1" t="s">
        <v>45</v>
      </c>
      <c r="J1163" s="1" t="s">
        <v>48</v>
      </c>
      <c r="K1163" s="1">
        <v>300</v>
      </c>
      <c r="L1163" s="1">
        <v>0</v>
      </c>
      <c r="M1163" s="1">
        <v>0</v>
      </c>
      <c r="N1163" s="1">
        <v>300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 t="s">
        <v>49</v>
      </c>
      <c r="AA1163" s="1" t="s">
        <v>49</v>
      </c>
      <c r="AB1163" s="1" t="s">
        <v>49</v>
      </c>
      <c r="AC1163" s="1" t="s">
        <v>2658</v>
      </c>
      <c r="AD1163" s="1" t="s">
        <v>2659</v>
      </c>
      <c r="AE1163" s="1" t="s">
        <v>2658</v>
      </c>
      <c r="AF1163" s="1" t="s">
        <v>49</v>
      </c>
      <c r="AG1163" s="1" t="s">
        <v>53</v>
      </c>
      <c r="AH1163" s="1" t="s">
        <v>49</v>
      </c>
      <c r="AI1163" s="1" t="s">
        <v>54</v>
      </c>
      <c r="AJ1163" s="1">
        <v>1</v>
      </c>
      <c r="AK1163" s="1" t="str">
        <f t="shared" si="18"/>
        <v xml:space="preserve"> =&lt;90</v>
      </c>
      <c r="AL1163" s="1" t="e">
        <f>VLOOKUP(C:C,[1]基础信息!B$1:D$65536,3,0)</f>
        <v>#N/A</v>
      </c>
      <c r="AM1163" s="1" t="e">
        <f>VLOOKUP(C:C,[1]基础信息!B$1:E$65536,4,0)</f>
        <v>#N/A</v>
      </c>
      <c r="AN1163" s="1" t="e">
        <f>VLOOKUP(C:C,[1]基础信息!B$1:F$65536,5,0)</f>
        <v>#N/A</v>
      </c>
    </row>
    <row r="1164" spans="1:40">
      <c r="A1164" s="1" t="s">
        <v>41</v>
      </c>
      <c r="B1164" s="1" t="s">
        <v>42</v>
      </c>
      <c r="C1164" s="1" t="s">
        <v>1710</v>
      </c>
      <c r="D1164" s="1" t="s">
        <v>1711</v>
      </c>
      <c r="E1164" s="1" t="s">
        <v>45</v>
      </c>
      <c r="F1164" s="1" t="s">
        <v>1712</v>
      </c>
      <c r="G1164" s="1" t="s">
        <v>2741</v>
      </c>
      <c r="H1164" s="1" t="s">
        <v>2742</v>
      </c>
      <c r="I1164" s="1" t="s">
        <v>49</v>
      </c>
      <c r="J1164" s="1" t="s">
        <v>48</v>
      </c>
      <c r="K1164" s="1">
        <v>60</v>
      </c>
      <c r="L1164" s="1">
        <v>0</v>
      </c>
      <c r="M1164" s="1">
        <v>0</v>
      </c>
      <c r="N1164" s="1">
        <v>60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 t="s">
        <v>49</v>
      </c>
      <c r="AA1164" s="1" t="s">
        <v>49</v>
      </c>
      <c r="AB1164" s="1" t="s">
        <v>49</v>
      </c>
      <c r="AC1164" s="1" t="s">
        <v>1715</v>
      </c>
      <c r="AD1164" s="1" t="s">
        <v>1716</v>
      </c>
      <c r="AE1164" s="1" t="s">
        <v>1715</v>
      </c>
      <c r="AF1164" s="1" t="s">
        <v>1717</v>
      </c>
      <c r="AG1164" s="1" t="s">
        <v>53</v>
      </c>
      <c r="AH1164" s="1" t="s">
        <v>49</v>
      </c>
      <c r="AI1164" s="1" t="s">
        <v>54</v>
      </c>
      <c r="AJ1164" s="1">
        <v>1</v>
      </c>
      <c r="AK1164" s="1" t="str">
        <f t="shared" si="18"/>
        <v xml:space="preserve"> =&lt;90</v>
      </c>
      <c r="AL1164" s="1" t="str">
        <f>VLOOKUP(C:C,[1]基础信息!B$1:D$65536,3,0)</f>
        <v>Jug</v>
      </c>
      <c r="AM1164" s="1" t="str">
        <f>VLOOKUP(C:C,[1]基础信息!B$1:E$65536,4,0)</f>
        <v>Kalea XL ME4W</v>
      </c>
      <c r="AN1164" s="1" t="str">
        <f>VLOOKUP(C:C,[1]基础信息!B$1:F$65536,5,0)</f>
        <v>grey</v>
      </c>
    </row>
    <row r="1165" spans="1:40">
      <c r="A1165" s="1" t="s">
        <v>41</v>
      </c>
      <c r="B1165" s="1" t="s">
        <v>42</v>
      </c>
      <c r="C1165" s="1" t="s">
        <v>104</v>
      </c>
      <c r="D1165" s="1" t="s">
        <v>105</v>
      </c>
      <c r="E1165" s="1" t="s">
        <v>104</v>
      </c>
      <c r="F1165" s="1" t="s">
        <v>2696</v>
      </c>
      <c r="G1165" s="1" t="s">
        <v>2743</v>
      </c>
      <c r="H1165" s="1" t="s">
        <v>2744</v>
      </c>
      <c r="I1165" s="1" t="s">
        <v>49</v>
      </c>
      <c r="J1165" s="1" t="s">
        <v>48</v>
      </c>
      <c r="K1165" s="1">
        <v>56</v>
      </c>
      <c r="L1165" s="1">
        <v>0</v>
      </c>
      <c r="M1165" s="1">
        <v>0</v>
      </c>
      <c r="N1165" s="1">
        <v>56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 t="s">
        <v>49</v>
      </c>
      <c r="AA1165" s="1" t="s">
        <v>49</v>
      </c>
      <c r="AB1165" s="1" t="s">
        <v>49</v>
      </c>
      <c r="AC1165" s="1" t="s">
        <v>290</v>
      </c>
      <c r="AD1165" s="1" t="s">
        <v>291</v>
      </c>
      <c r="AE1165" s="1" t="s">
        <v>290</v>
      </c>
      <c r="AF1165" s="1" t="s">
        <v>130</v>
      </c>
      <c r="AG1165" s="1" t="s">
        <v>53</v>
      </c>
      <c r="AH1165" s="1" t="s">
        <v>49</v>
      </c>
      <c r="AI1165" s="1" t="s">
        <v>54</v>
      </c>
      <c r="AJ1165" s="1">
        <v>1</v>
      </c>
      <c r="AK1165" s="1" t="str">
        <f t="shared" si="18"/>
        <v xml:space="preserve"> =&lt;90</v>
      </c>
      <c r="AL1165" s="1" t="str">
        <f>VLOOKUP(C:C,[1]基础信息!B$1:D$65536,3,0)</f>
        <v>Jug</v>
      </c>
      <c r="AM1165" s="1" t="str">
        <f>VLOOKUP(C:C,[1]基础信息!B$1:E$65536,4,0)</f>
        <v>Marella XL</v>
      </c>
      <c r="AN1165" s="1" t="str">
        <f>VLOOKUP(C:C,[1]基础信息!B$1:F$65536,5,0)</f>
        <v>Blue</v>
      </c>
    </row>
    <row r="1166" spans="1:40">
      <c r="A1166" s="1" t="s">
        <v>41</v>
      </c>
      <c r="B1166" s="1" t="s">
        <v>42</v>
      </c>
      <c r="C1166" s="1" t="s">
        <v>285</v>
      </c>
      <c r="D1166" s="1" t="s">
        <v>286</v>
      </c>
      <c r="E1166" s="1" t="s">
        <v>45</v>
      </c>
      <c r="F1166" s="1" t="s">
        <v>287</v>
      </c>
      <c r="G1166" s="1" t="s">
        <v>2745</v>
      </c>
      <c r="H1166" s="1" t="s">
        <v>2746</v>
      </c>
      <c r="I1166" s="1" t="s">
        <v>49</v>
      </c>
      <c r="J1166" s="1" t="s">
        <v>48</v>
      </c>
      <c r="K1166" s="1">
        <v>70</v>
      </c>
      <c r="L1166" s="1">
        <v>0</v>
      </c>
      <c r="M1166" s="1">
        <v>0</v>
      </c>
      <c r="N1166" s="1">
        <v>70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 t="s">
        <v>49</v>
      </c>
      <c r="AA1166" s="1" t="s">
        <v>49</v>
      </c>
      <c r="AB1166" s="1" t="s">
        <v>49</v>
      </c>
      <c r="AC1166" s="1" t="s">
        <v>290</v>
      </c>
      <c r="AD1166" s="1" t="s">
        <v>291</v>
      </c>
      <c r="AE1166" s="1" t="s">
        <v>290</v>
      </c>
      <c r="AF1166" s="1" t="s">
        <v>292</v>
      </c>
      <c r="AG1166" s="1" t="s">
        <v>53</v>
      </c>
      <c r="AH1166" s="1" t="s">
        <v>49</v>
      </c>
      <c r="AI1166" s="1" t="s">
        <v>54</v>
      </c>
      <c r="AJ1166" s="1">
        <v>1</v>
      </c>
      <c r="AK1166" s="1" t="str">
        <f t="shared" si="18"/>
        <v xml:space="preserve"> =&lt;90</v>
      </c>
      <c r="AL1166" s="1" t="str">
        <f>VLOOKUP(C:C,[1]基础信息!B$1:D$65536,3,0)</f>
        <v>Jug</v>
      </c>
      <c r="AM1166" s="1" t="str">
        <f>VLOOKUP(C:C,[1]基础信息!B$1:E$65536,4,0)</f>
        <v>Marella XL</v>
      </c>
      <c r="AN1166" s="1" t="str">
        <f>VLOOKUP(C:C,[1]基础信息!B$1:F$65536,5,0)</f>
        <v>Blue</v>
      </c>
    </row>
    <row r="1167" spans="1:40">
      <c r="A1167" s="1" t="s">
        <v>41</v>
      </c>
      <c r="B1167" s="1" t="s">
        <v>42</v>
      </c>
      <c r="C1167" s="1" t="s">
        <v>285</v>
      </c>
      <c r="D1167" s="1" t="s">
        <v>286</v>
      </c>
      <c r="E1167" s="1" t="s">
        <v>45</v>
      </c>
      <c r="F1167" s="1" t="s">
        <v>287</v>
      </c>
      <c r="G1167" s="1" t="s">
        <v>2747</v>
      </c>
      <c r="H1167" s="1" t="s">
        <v>2748</v>
      </c>
      <c r="I1167" s="1" t="s">
        <v>49</v>
      </c>
      <c r="J1167" s="1" t="s">
        <v>48</v>
      </c>
      <c r="K1167" s="1">
        <v>70</v>
      </c>
      <c r="L1167" s="1">
        <v>0</v>
      </c>
      <c r="M1167" s="1">
        <v>0</v>
      </c>
      <c r="N1167" s="1">
        <v>70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 t="s">
        <v>49</v>
      </c>
      <c r="AA1167" s="1" t="s">
        <v>49</v>
      </c>
      <c r="AB1167" s="1" t="s">
        <v>49</v>
      </c>
      <c r="AC1167" s="1" t="s">
        <v>290</v>
      </c>
      <c r="AD1167" s="1" t="s">
        <v>291</v>
      </c>
      <c r="AE1167" s="1" t="s">
        <v>290</v>
      </c>
      <c r="AF1167" s="1" t="s">
        <v>292</v>
      </c>
      <c r="AG1167" s="1" t="s">
        <v>53</v>
      </c>
      <c r="AH1167" s="1" t="s">
        <v>49</v>
      </c>
      <c r="AI1167" s="1" t="s">
        <v>54</v>
      </c>
      <c r="AJ1167" s="1">
        <v>1</v>
      </c>
      <c r="AK1167" s="1" t="str">
        <f t="shared" si="18"/>
        <v xml:space="preserve"> =&lt;90</v>
      </c>
      <c r="AL1167" s="1" t="str">
        <f>VLOOKUP(C:C,[1]基础信息!B$1:D$65536,3,0)</f>
        <v>Jug</v>
      </c>
      <c r="AM1167" s="1" t="str">
        <f>VLOOKUP(C:C,[1]基础信息!B$1:E$65536,4,0)</f>
        <v>Marella XL</v>
      </c>
      <c r="AN1167" s="1" t="str">
        <f>VLOOKUP(C:C,[1]基础信息!B$1:F$65536,5,0)</f>
        <v>Blue</v>
      </c>
    </row>
    <row r="1168" spans="1:40">
      <c r="A1168" s="1" t="s">
        <v>41</v>
      </c>
      <c r="B1168" s="1" t="s">
        <v>42</v>
      </c>
      <c r="C1168" s="1" t="s">
        <v>2749</v>
      </c>
      <c r="D1168" s="1" t="s">
        <v>2700</v>
      </c>
      <c r="E1168" s="1" t="s">
        <v>45</v>
      </c>
      <c r="F1168" s="1" t="s">
        <v>2750</v>
      </c>
      <c r="G1168" s="1" t="s">
        <v>2751</v>
      </c>
      <c r="H1168" s="1" t="s">
        <v>45</v>
      </c>
      <c r="I1168" s="1" t="s">
        <v>45</v>
      </c>
      <c r="J1168" s="1" t="s">
        <v>48</v>
      </c>
      <c r="K1168" s="1">
        <v>88</v>
      </c>
      <c r="L1168" s="1">
        <v>0</v>
      </c>
      <c r="M1168" s="1">
        <v>0</v>
      </c>
      <c r="N1168" s="1">
        <v>88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 t="s">
        <v>49</v>
      </c>
      <c r="AA1168" s="1" t="s">
        <v>49</v>
      </c>
      <c r="AB1168" s="1" t="s">
        <v>49</v>
      </c>
      <c r="AC1168" s="1" t="s">
        <v>2658</v>
      </c>
      <c r="AD1168" s="1" t="s">
        <v>2659</v>
      </c>
      <c r="AE1168" s="1" t="s">
        <v>2658</v>
      </c>
      <c r="AF1168" s="1" t="s">
        <v>49</v>
      </c>
      <c r="AG1168" s="1" t="s">
        <v>53</v>
      </c>
      <c r="AH1168" s="1" t="s">
        <v>49</v>
      </c>
      <c r="AI1168" s="1" t="s">
        <v>54</v>
      </c>
      <c r="AJ1168" s="1">
        <v>1</v>
      </c>
      <c r="AK1168" s="1" t="str">
        <f t="shared" si="18"/>
        <v xml:space="preserve"> =&lt;90</v>
      </c>
      <c r="AL1168" s="1" t="e">
        <f>VLOOKUP(C:C,[1]基础信息!B$1:D$65536,3,0)</f>
        <v>#N/A</v>
      </c>
      <c r="AM1168" s="1" t="e">
        <f>VLOOKUP(C:C,[1]基础信息!B$1:E$65536,4,0)</f>
        <v>#N/A</v>
      </c>
      <c r="AN1168" s="1" t="e">
        <f>VLOOKUP(C:C,[1]基础信息!B$1:F$65536,5,0)</f>
        <v>#N/A</v>
      </c>
    </row>
    <row r="1169" spans="1:40">
      <c r="A1169" s="1" t="s">
        <v>41</v>
      </c>
      <c r="B1169" s="1" t="s">
        <v>42</v>
      </c>
      <c r="C1169" s="1" t="s">
        <v>285</v>
      </c>
      <c r="D1169" s="1" t="s">
        <v>286</v>
      </c>
      <c r="E1169" s="1" t="s">
        <v>45</v>
      </c>
      <c r="F1169" s="1" t="s">
        <v>287</v>
      </c>
      <c r="G1169" s="1" t="s">
        <v>2752</v>
      </c>
      <c r="H1169" s="1" t="s">
        <v>2753</v>
      </c>
      <c r="I1169" s="1" t="s">
        <v>49</v>
      </c>
      <c r="J1169" s="1" t="s">
        <v>48</v>
      </c>
      <c r="K1169" s="1">
        <v>70</v>
      </c>
      <c r="L1169" s="1">
        <v>0</v>
      </c>
      <c r="M1169" s="1">
        <v>0</v>
      </c>
      <c r="N1169" s="1">
        <v>70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 t="s">
        <v>49</v>
      </c>
      <c r="AA1169" s="1" t="s">
        <v>49</v>
      </c>
      <c r="AB1169" s="1" t="s">
        <v>49</v>
      </c>
      <c r="AC1169" s="1" t="s">
        <v>290</v>
      </c>
      <c r="AD1169" s="1" t="s">
        <v>291</v>
      </c>
      <c r="AE1169" s="1" t="s">
        <v>290</v>
      </c>
      <c r="AF1169" s="1" t="s">
        <v>292</v>
      </c>
      <c r="AG1169" s="1" t="s">
        <v>53</v>
      </c>
      <c r="AH1169" s="1" t="s">
        <v>49</v>
      </c>
      <c r="AI1169" s="1" t="s">
        <v>54</v>
      </c>
      <c r="AJ1169" s="1">
        <v>1</v>
      </c>
      <c r="AK1169" s="1" t="str">
        <f t="shared" si="18"/>
        <v xml:space="preserve"> =&lt;90</v>
      </c>
      <c r="AL1169" s="1" t="str">
        <f>VLOOKUP(C:C,[1]基础信息!B$1:D$65536,3,0)</f>
        <v>Jug</v>
      </c>
      <c r="AM1169" s="1" t="str">
        <f>VLOOKUP(C:C,[1]基础信息!B$1:E$65536,4,0)</f>
        <v>Marella XL</v>
      </c>
      <c r="AN1169" s="1" t="str">
        <f>VLOOKUP(C:C,[1]基础信息!B$1:F$65536,5,0)</f>
        <v>Blue</v>
      </c>
    </row>
    <row r="1170" spans="1:40">
      <c r="A1170" s="1" t="s">
        <v>41</v>
      </c>
      <c r="B1170" s="1" t="s">
        <v>42</v>
      </c>
      <c r="C1170" s="1" t="s">
        <v>1366</v>
      </c>
      <c r="D1170" s="1" t="s">
        <v>1367</v>
      </c>
      <c r="E1170" s="1" t="s">
        <v>45</v>
      </c>
      <c r="F1170" s="1" t="s">
        <v>1368</v>
      </c>
      <c r="G1170" s="1" t="s">
        <v>2754</v>
      </c>
      <c r="H1170" s="1" t="s">
        <v>2755</v>
      </c>
      <c r="I1170" s="1" t="s">
        <v>49</v>
      </c>
      <c r="J1170" s="1" t="s">
        <v>48</v>
      </c>
      <c r="K1170" s="1">
        <v>371</v>
      </c>
      <c r="L1170" s="1">
        <v>0</v>
      </c>
      <c r="M1170" s="1">
        <v>0</v>
      </c>
      <c r="N1170" s="1">
        <v>371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 t="s">
        <v>49</v>
      </c>
      <c r="AA1170" s="1" t="s">
        <v>49</v>
      </c>
      <c r="AB1170" s="1" t="s">
        <v>49</v>
      </c>
      <c r="AC1170" s="1" t="s">
        <v>204</v>
      </c>
      <c r="AD1170" s="1" t="s">
        <v>205</v>
      </c>
      <c r="AE1170" s="1" t="s">
        <v>204</v>
      </c>
      <c r="AF1170" s="1" t="s">
        <v>1371</v>
      </c>
      <c r="AG1170" s="1" t="s">
        <v>53</v>
      </c>
      <c r="AH1170" s="1" t="s">
        <v>49</v>
      </c>
      <c r="AI1170" s="1" t="s">
        <v>54</v>
      </c>
      <c r="AJ1170" s="1">
        <v>1</v>
      </c>
      <c r="AK1170" s="1" t="str">
        <f t="shared" si="18"/>
        <v xml:space="preserve"> =&lt;90</v>
      </c>
      <c r="AL1170" s="1" t="str">
        <f>VLOOKUP(C:C,[1]基础信息!B$1:D$65536,3,0)</f>
        <v>UTS</v>
      </c>
      <c r="AM1170" s="1" t="str">
        <f>VLOOKUP(C:C,[1]基础信息!B$1:E$65536,4,0)</f>
        <v>MyPure</v>
      </c>
      <c r="AN1170" s="1" t="str">
        <f>VLOOKUP(C:C,[1]基础信息!B$1:F$65536,5,0)</f>
        <v>Refill</v>
      </c>
    </row>
    <row r="1171" spans="1:40">
      <c r="A1171" s="1" t="s">
        <v>41</v>
      </c>
      <c r="B1171" s="1" t="s">
        <v>42</v>
      </c>
      <c r="C1171" s="1" t="s">
        <v>104</v>
      </c>
      <c r="D1171" s="1" t="s">
        <v>105</v>
      </c>
      <c r="E1171" s="1" t="s">
        <v>104</v>
      </c>
      <c r="F1171" s="1" t="s">
        <v>2696</v>
      </c>
      <c r="G1171" s="1" t="s">
        <v>2756</v>
      </c>
      <c r="H1171" s="1" t="s">
        <v>2757</v>
      </c>
      <c r="I1171" s="1" t="s">
        <v>49</v>
      </c>
      <c r="J1171" s="1" t="s">
        <v>48</v>
      </c>
      <c r="K1171" s="1">
        <v>40</v>
      </c>
      <c r="L1171" s="1">
        <v>0</v>
      </c>
      <c r="M1171" s="1">
        <v>0</v>
      </c>
      <c r="N1171" s="1">
        <v>40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 t="s">
        <v>49</v>
      </c>
      <c r="AA1171" s="1" t="s">
        <v>49</v>
      </c>
      <c r="AB1171" s="1" t="s">
        <v>49</v>
      </c>
      <c r="AC1171" s="1" t="s">
        <v>290</v>
      </c>
      <c r="AD1171" s="1" t="s">
        <v>291</v>
      </c>
      <c r="AE1171" s="1" t="s">
        <v>290</v>
      </c>
      <c r="AF1171" s="1" t="s">
        <v>130</v>
      </c>
      <c r="AG1171" s="1" t="s">
        <v>53</v>
      </c>
      <c r="AH1171" s="1" t="s">
        <v>49</v>
      </c>
      <c r="AI1171" s="1" t="s">
        <v>54</v>
      </c>
      <c r="AJ1171" s="1">
        <v>1</v>
      </c>
      <c r="AK1171" s="1" t="str">
        <f t="shared" si="18"/>
        <v xml:space="preserve"> =&lt;90</v>
      </c>
      <c r="AL1171" s="1" t="str">
        <f>VLOOKUP(C:C,[1]基础信息!B$1:D$65536,3,0)</f>
        <v>Jug</v>
      </c>
      <c r="AM1171" s="1" t="str">
        <f>VLOOKUP(C:C,[1]基础信息!B$1:E$65536,4,0)</f>
        <v>Marella XL</v>
      </c>
      <c r="AN1171" s="1" t="str">
        <f>VLOOKUP(C:C,[1]基础信息!B$1:F$65536,5,0)</f>
        <v>Blue</v>
      </c>
    </row>
    <row r="1172" spans="1:40">
      <c r="A1172" s="1" t="s">
        <v>41</v>
      </c>
      <c r="B1172" s="1" t="s">
        <v>42</v>
      </c>
      <c r="C1172" s="1" t="s">
        <v>208</v>
      </c>
      <c r="D1172" s="1" t="s">
        <v>209</v>
      </c>
      <c r="E1172" s="1" t="s">
        <v>208</v>
      </c>
      <c r="F1172" s="1" t="s">
        <v>1734</v>
      </c>
      <c r="G1172" s="1" t="s">
        <v>2758</v>
      </c>
      <c r="H1172" s="1" t="s">
        <v>2759</v>
      </c>
      <c r="I1172" s="1" t="s">
        <v>49</v>
      </c>
      <c r="J1172" s="1" t="s">
        <v>48</v>
      </c>
      <c r="K1172" s="1">
        <v>64</v>
      </c>
      <c r="L1172" s="1">
        <v>0</v>
      </c>
      <c r="M1172" s="1">
        <v>0</v>
      </c>
      <c r="N1172" s="1">
        <v>64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 t="s">
        <v>49</v>
      </c>
      <c r="AA1172" s="1" t="s">
        <v>49</v>
      </c>
      <c r="AB1172" s="1" t="s">
        <v>49</v>
      </c>
      <c r="AC1172" s="1" t="s">
        <v>376</v>
      </c>
      <c r="AD1172" s="1" t="s">
        <v>377</v>
      </c>
      <c r="AE1172" s="1" t="s">
        <v>376</v>
      </c>
      <c r="AF1172" s="1" t="s">
        <v>1414</v>
      </c>
      <c r="AG1172" s="1" t="s">
        <v>53</v>
      </c>
      <c r="AH1172" s="1" t="s">
        <v>49</v>
      </c>
      <c r="AI1172" s="1" t="s">
        <v>54</v>
      </c>
      <c r="AJ1172" s="1">
        <v>1</v>
      </c>
      <c r="AK1172" s="1" t="str">
        <f t="shared" si="18"/>
        <v xml:space="preserve"> =&lt;90</v>
      </c>
      <c r="AL1172" s="1" t="str">
        <f>VLOOKUP(C:C,[1]基础信息!B$1:D$65536,3,0)</f>
        <v>Jug</v>
      </c>
      <c r="AM1172" s="1" t="str">
        <f>VLOOKUP(C:C,[1]基础信息!B$1:E$65536,4,0)</f>
        <v>MXpl</v>
      </c>
      <c r="AN1172" s="1" t="str">
        <f>VLOOKUP(C:C,[1]基础信息!B$1:F$65536,5,0)</f>
        <v>grey</v>
      </c>
    </row>
    <row r="1173" spans="1:40">
      <c r="A1173" s="1" t="s">
        <v>41</v>
      </c>
      <c r="B1173" s="1" t="s">
        <v>42</v>
      </c>
      <c r="C1173" s="1" t="s">
        <v>2760</v>
      </c>
      <c r="D1173" s="1" t="s">
        <v>2761</v>
      </c>
      <c r="E1173" s="1" t="s">
        <v>45</v>
      </c>
      <c r="F1173" s="1" t="s">
        <v>2762</v>
      </c>
      <c r="G1173" s="1" t="s">
        <v>2763</v>
      </c>
      <c r="H1173" s="1" t="s">
        <v>2764</v>
      </c>
      <c r="I1173" s="1" t="s">
        <v>49</v>
      </c>
      <c r="J1173" s="1" t="s">
        <v>48</v>
      </c>
      <c r="K1173" s="1">
        <v>162</v>
      </c>
      <c r="L1173" s="1">
        <v>0</v>
      </c>
      <c r="M1173" s="1">
        <v>0</v>
      </c>
      <c r="N1173" s="1">
        <v>162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 t="s">
        <v>49</v>
      </c>
      <c r="AA1173" s="1" t="s">
        <v>49</v>
      </c>
      <c r="AB1173" s="1" t="s">
        <v>49</v>
      </c>
      <c r="AC1173" s="1" t="s">
        <v>204</v>
      </c>
      <c r="AD1173" s="1" t="s">
        <v>205</v>
      </c>
      <c r="AE1173" s="1" t="s">
        <v>204</v>
      </c>
      <c r="AF1173" s="1" t="s">
        <v>2765</v>
      </c>
      <c r="AG1173" s="1" t="s">
        <v>53</v>
      </c>
      <c r="AH1173" s="1" t="s">
        <v>49</v>
      </c>
      <c r="AI1173" s="1" t="s">
        <v>54</v>
      </c>
      <c r="AJ1173" s="1">
        <v>1</v>
      </c>
      <c r="AK1173" s="1" t="str">
        <f t="shared" si="18"/>
        <v xml:space="preserve"> =&lt;90</v>
      </c>
      <c r="AL1173" s="1" t="str">
        <f>VLOOKUP(C:C,[1]基础信息!B$1:D$65536,3,0)</f>
        <v>UTS</v>
      </c>
      <c r="AM1173" s="1" t="str">
        <f>VLOOKUP(C:C,[1]基础信息!B$1:E$65536,4,0)</f>
        <v>MyPure</v>
      </c>
      <c r="AN1173" s="1" t="str">
        <f>VLOOKUP(C:C,[1]基础信息!B$1:F$65536,5,0)</f>
        <v>Refill</v>
      </c>
    </row>
    <row r="1174" spans="1:40">
      <c r="A1174" s="1" t="s">
        <v>41</v>
      </c>
      <c r="B1174" s="1" t="s">
        <v>42</v>
      </c>
      <c r="C1174" s="1" t="s">
        <v>2760</v>
      </c>
      <c r="D1174" s="1" t="s">
        <v>2761</v>
      </c>
      <c r="E1174" s="1" t="s">
        <v>45</v>
      </c>
      <c r="F1174" s="1" t="s">
        <v>2762</v>
      </c>
      <c r="G1174" s="1" t="s">
        <v>2766</v>
      </c>
      <c r="H1174" s="1" t="s">
        <v>2767</v>
      </c>
      <c r="I1174" s="1" t="s">
        <v>49</v>
      </c>
      <c r="J1174" s="1" t="s">
        <v>48</v>
      </c>
      <c r="K1174" s="1">
        <v>36</v>
      </c>
      <c r="L1174" s="1">
        <v>0</v>
      </c>
      <c r="M1174" s="1">
        <v>0</v>
      </c>
      <c r="N1174" s="1">
        <v>36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 t="s">
        <v>49</v>
      </c>
      <c r="AA1174" s="1" t="s">
        <v>49</v>
      </c>
      <c r="AB1174" s="1" t="s">
        <v>49</v>
      </c>
      <c r="AC1174" s="1" t="s">
        <v>204</v>
      </c>
      <c r="AD1174" s="1" t="s">
        <v>205</v>
      </c>
      <c r="AE1174" s="1" t="s">
        <v>204</v>
      </c>
      <c r="AF1174" s="1" t="s">
        <v>2765</v>
      </c>
      <c r="AG1174" s="1" t="s">
        <v>53</v>
      </c>
      <c r="AH1174" s="1" t="s">
        <v>49</v>
      </c>
      <c r="AI1174" s="1" t="s">
        <v>54</v>
      </c>
      <c r="AJ1174" s="1">
        <v>1</v>
      </c>
      <c r="AK1174" s="1" t="str">
        <f t="shared" si="18"/>
        <v xml:space="preserve"> =&lt;90</v>
      </c>
      <c r="AL1174" s="1" t="str">
        <f>VLOOKUP(C:C,[1]基础信息!B$1:D$65536,3,0)</f>
        <v>UTS</v>
      </c>
      <c r="AM1174" s="1" t="str">
        <f>VLOOKUP(C:C,[1]基础信息!B$1:E$65536,4,0)</f>
        <v>MyPure</v>
      </c>
      <c r="AN1174" s="1" t="str">
        <f>VLOOKUP(C:C,[1]基础信息!B$1:F$65536,5,0)</f>
        <v>Refill</v>
      </c>
    </row>
    <row r="1175" spans="1:40">
      <c r="A1175" s="1" t="s">
        <v>41</v>
      </c>
      <c r="B1175" s="1" t="s">
        <v>42</v>
      </c>
      <c r="C1175" s="1" t="s">
        <v>2628</v>
      </c>
      <c r="D1175" s="1" t="s">
        <v>2629</v>
      </c>
      <c r="E1175" s="1" t="s">
        <v>45</v>
      </c>
      <c r="F1175" s="1" t="s">
        <v>2768</v>
      </c>
      <c r="G1175" s="1" t="s">
        <v>2769</v>
      </c>
      <c r="H1175" s="1" t="s">
        <v>2770</v>
      </c>
      <c r="I1175" s="1" t="s">
        <v>49</v>
      </c>
      <c r="J1175" s="1" t="s">
        <v>48</v>
      </c>
      <c r="K1175" s="1">
        <v>166</v>
      </c>
      <c r="L1175" s="1">
        <v>0</v>
      </c>
      <c r="M1175" s="1">
        <v>0</v>
      </c>
      <c r="N1175" s="1">
        <v>166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 t="s">
        <v>49</v>
      </c>
      <c r="AA1175" s="1" t="s">
        <v>49</v>
      </c>
      <c r="AB1175" s="1" t="s">
        <v>49</v>
      </c>
      <c r="AC1175" s="1" t="s">
        <v>204</v>
      </c>
      <c r="AD1175" s="1" t="s">
        <v>205</v>
      </c>
      <c r="AE1175" s="1" t="s">
        <v>204</v>
      </c>
      <c r="AF1175" s="1" t="s">
        <v>2771</v>
      </c>
      <c r="AG1175" s="1" t="s">
        <v>53</v>
      </c>
      <c r="AH1175" s="1" t="s">
        <v>49</v>
      </c>
      <c r="AI1175" s="1" t="s">
        <v>54</v>
      </c>
      <c r="AJ1175" s="1">
        <v>1</v>
      </c>
      <c r="AK1175" s="1" t="str">
        <f t="shared" si="18"/>
        <v xml:space="preserve"> =&lt;90</v>
      </c>
      <c r="AL1175" s="1" t="str">
        <f>VLOOKUP(C:C,[1]基础信息!B$1:D$65536,3,0)</f>
        <v>UTS</v>
      </c>
      <c r="AM1175" s="1" t="str">
        <f>VLOOKUP(C:C,[1]基础信息!B$1:E$65536,4,0)</f>
        <v>MyPure</v>
      </c>
      <c r="AN1175" s="1" t="str">
        <f>VLOOKUP(C:C,[1]基础信息!B$1:F$65536,5,0)</f>
        <v>Refill</v>
      </c>
    </row>
    <row r="1176" spans="1:40">
      <c r="A1176" s="1" t="s">
        <v>41</v>
      </c>
      <c r="B1176" s="1" t="s">
        <v>42</v>
      </c>
      <c r="C1176" s="1" t="s">
        <v>1183</v>
      </c>
      <c r="D1176" s="1" t="s">
        <v>1184</v>
      </c>
      <c r="E1176" s="1" t="s">
        <v>45</v>
      </c>
      <c r="F1176" s="1" t="s">
        <v>1185</v>
      </c>
      <c r="G1176" s="1" t="s">
        <v>2772</v>
      </c>
      <c r="H1176" s="1" t="s">
        <v>2773</v>
      </c>
      <c r="I1176" s="1" t="s">
        <v>49</v>
      </c>
      <c r="J1176" s="1" t="s">
        <v>48</v>
      </c>
      <c r="K1176" s="1">
        <v>12</v>
      </c>
      <c r="L1176" s="1">
        <v>0</v>
      </c>
      <c r="M1176" s="1">
        <v>0</v>
      </c>
      <c r="N1176" s="1">
        <v>12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 t="s">
        <v>49</v>
      </c>
      <c r="AA1176" s="1" t="s">
        <v>49</v>
      </c>
      <c r="AB1176" s="1" t="s">
        <v>49</v>
      </c>
      <c r="AC1176" s="1" t="s">
        <v>1188</v>
      </c>
      <c r="AD1176" s="1" t="s">
        <v>1189</v>
      </c>
      <c r="AE1176" s="1" t="s">
        <v>1188</v>
      </c>
      <c r="AF1176" s="1" t="s">
        <v>1190</v>
      </c>
      <c r="AG1176" s="1" t="s">
        <v>53</v>
      </c>
      <c r="AH1176" s="1" t="s">
        <v>49</v>
      </c>
      <c r="AI1176" s="1" t="s">
        <v>54</v>
      </c>
      <c r="AJ1176" s="1">
        <v>1</v>
      </c>
      <c r="AK1176" s="1" t="str">
        <f t="shared" si="18"/>
        <v xml:space="preserve"> =&lt;90</v>
      </c>
      <c r="AL1176" s="1" t="e">
        <f>VLOOKUP(C:C,[1]基础信息!B$1:D$65536,3,0)</f>
        <v>#N/A</v>
      </c>
      <c r="AM1176" s="1" t="e">
        <f>VLOOKUP(C:C,[1]基础信息!B$1:E$65536,4,0)</f>
        <v>#N/A</v>
      </c>
      <c r="AN1176" s="1" t="e">
        <f>VLOOKUP(C:C,[1]基础信息!B$1:F$65536,5,0)</f>
        <v>#N/A</v>
      </c>
    </row>
    <row r="1177" spans="1:40">
      <c r="A1177" s="1" t="s">
        <v>41</v>
      </c>
      <c r="B1177" s="1" t="s">
        <v>42</v>
      </c>
      <c r="C1177" s="1" t="s">
        <v>1183</v>
      </c>
      <c r="D1177" s="1" t="s">
        <v>1184</v>
      </c>
      <c r="E1177" s="1" t="s">
        <v>45</v>
      </c>
      <c r="F1177" s="1" t="s">
        <v>1185</v>
      </c>
      <c r="G1177" s="1" t="s">
        <v>2774</v>
      </c>
      <c r="H1177" s="1" t="s">
        <v>2775</v>
      </c>
      <c r="I1177" s="1" t="s">
        <v>49</v>
      </c>
      <c r="J1177" s="1" t="s">
        <v>48</v>
      </c>
      <c r="K1177" s="1">
        <v>12</v>
      </c>
      <c r="L1177" s="1">
        <v>0</v>
      </c>
      <c r="M1177" s="1">
        <v>0</v>
      </c>
      <c r="N1177" s="1">
        <v>12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 t="s">
        <v>49</v>
      </c>
      <c r="AA1177" s="1" t="s">
        <v>49</v>
      </c>
      <c r="AB1177" s="1" t="s">
        <v>49</v>
      </c>
      <c r="AC1177" s="1" t="s">
        <v>1188</v>
      </c>
      <c r="AD1177" s="1" t="s">
        <v>1189</v>
      </c>
      <c r="AE1177" s="1" t="s">
        <v>1188</v>
      </c>
      <c r="AF1177" s="1" t="s">
        <v>1190</v>
      </c>
      <c r="AG1177" s="1" t="s">
        <v>53</v>
      </c>
      <c r="AH1177" s="1" t="s">
        <v>49</v>
      </c>
      <c r="AI1177" s="1" t="s">
        <v>54</v>
      </c>
      <c r="AJ1177" s="1">
        <v>1</v>
      </c>
      <c r="AK1177" s="1" t="str">
        <f t="shared" si="18"/>
        <v xml:space="preserve"> =&lt;90</v>
      </c>
      <c r="AL1177" s="1" t="e">
        <f>VLOOKUP(C:C,[1]基础信息!B$1:D$65536,3,0)</f>
        <v>#N/A</v>
      </c>
      <c r="AM1177" s="1" t="e">
        <f>VLOOKUP(C:C,[1]基础信息!B$1:E$65536,4,0)</f>
        <v>#N/A</v>
      </c>
      <c r="AN1177" s="1" t="e">
        <f>VLOOKUP(C:C,[1]基础信息!B$1:F$65536,5,0)</f>
        <v>#N/A</v>
      </c>
    </row>
    <row r="1178" spans="1:40">
      <c r="A1178" s="1" t="s">
        <v>41</v>
      </c>
      <c r="B1178" s="1" t="s">
        <v>42</v>
      </c>
      <c r="C1178" s="1" t="s">
        <v>1183</v>
      </c>
      <c r="D1178" s="1" t="s">
        <v>1184</v>
      </c>
      <c r="E1178" s="1" t="s">
        <v>45</v>
      </c>
      <c r="F1178" s="1" t="s">
        <v>1185</v>
      </c>
      <c r="G1178" s="1" t="s">
        <v>2776</v>
      </c>
      <c r="H1178" s="1" t="s">
        <v>2777</v>
      </c>
      <c r="I1178" s="1" t="s">
        <v>49</v>
      </c>
      <c r="J1178" s="1" t="s">
        <v>48</v>
      </c>
      <c r="K1178" s="1">
        <v>12</v>
      </c>
      <c r="L1178" s="1">
        <v>0</v>
      </c>
      <c r="M1178" s="1">
        <v>0</v>
      </c>
      <c r="N1178" s="1">
        <v>12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 t="s">
        <v>49</v>
      </c>
      <c r="AA1178" s="1" t="s">
        <v>49</v>
      </c>
      <c r="AB1178" s="1" t="s">
        <v>49</v>
      </c>
      <c r="AC1178" s="1" t="s">
        <v>1188</v>
      </c>
      <c r="AD1178" s="1" t="s">
        <v>1189</v>
      </c>
      <c r="AE1178" s="1" t="s">
        <v>1188</v>
      </c>
      <c r="AF1178" s="1" t="s">
        <v>1190</v>
      </c>
      <c r="AG1178" s="1" t="s">
        <v>53</v>
      </c>
      <c r="AH1178" s="1" t="s">
        <v>49</v>
      </c>
      <c r="AI1178" s="1" t="s">
        <v>54</v>
      </c>
      <c r="AJ1178" s="1">
        <v>1</v>
      </c>
      <c r="AK1178" s="1" t="str">
        <f t="shared" si="18"/>
        <v xml:space="preserve"> =&lt;90</v>
      </c>
      <c r="AL1178" s="1" t="e">
        <f>VLOOKUP(C:C,[1]基础信息!B$1:D$65536,3,0)</f>
        <v>#N/A</v>
      </c>
      <c r="AM1178" s="1" t="e">
        <f>VLOOKUP(C:C,[1]基础信息!B$1:E$65536,4,0)</f>
        <v>#N/A</v>
      </c>
      <c r="AN1178" s="1" t="e">
        <f>VLOOKUP(C:C,[1]基础信息!B$1:F$65536,5,0)</f>
        <v>#N/A</v>
      </c>
    </row>
    <row r="1179" spans="1:40">
      <c r="A1179" s="1" t="s">
        <v>41</v>
      </c>
      <c r="B1179" s="1" t="s">
        <v>42</v>
      </c>
      <c r="C1179" s="1" t="s">
        <v>83</v>
      </c>
      <c r="D1179" s="1" t="s">
        <v>84</v>
      </c>
      <c r="E1179" s="1" t="s">
        <v>45</v>
      </c>
      <c r="F1179" s="1" t="s">
        <v>2571</v>
      </c>
      <c r="G1179" s="1" t="s">
        <v>2778</v>
      </c>
      <c r="H1179" s="1" t="s">
        <v>2779</v>
      </c>
      <c r="I1179" s="1" t="s">
        <v>49</v>
      </c>
      <c r="J1179" s="1" t="s">
        <v>48</v>
      </c>
      <c r="K1179" s="1">
        <v>96</v>
      </c>
      <c r="L1179" s="1">
        <v>0</v>
      </c>
      <c r="M1179" s="1">
        <v>0</v>
      </c>
      <c r="N1179" s="1">
        <v>96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 t="s">
        <v>49</v>
      </c>
      <c r="AA1179" s="1" t="s">
        <v>49</v>
      </c>
      <c r="AB1179" s="1" t="s">
        <v>49</v>
      </c>
      <c r="AC1179" s="1" t="s">
        <v>213</v>
      </c>
      <c r="AD1179" s="1" t="s">
        <v>214</v>
      </c>
      <c r="AE1179" s="1" t="s">
        <v>215</v>
      </c>
      <c r="AF1179" s="1" t="s">
        <v>2574</v>
      </c>
      <c r="AG1179" s="1" t="s">
        <v>53</v>
      </c>
      <c r="AH1179" s="1" t="s">
        <v>49</v>
      </c>
      <c r="AI1179" s="1" t="s">
        <v>54</v>
      </c>
      <c r="AJ1179" s="1">
        <v>1</v>
      </c>
      <c r="AK1179" s="1" t="str">
        <f t="shared" si="18"/>
        <v xml:space="preserve"> =&lt;90</v>
      </c>
      <c r="AL1179" s="1" t="str">
        <f>VLOOKUP(C:C,[1]基础信息!B$1:D$65536,3,0)</f>
        <v>Jug</v>
      </c>
      <c r="AM1179" s="1" t="str">
        <f>VLOOKUP(C:C,[1]基础信息!B$1:E$65536,4,0)</f>
        <v>Mxplus</v>
      </c>
      <c r="AN1179" s="1" t="str">
        <f>VLOOKUP(C:C,[1]基础信息!B$1:F$65536,5,0)</f>
        <v>Blue</v>
      </c>
    </row>
    <row r="1180" spans="1:40">
      <c r="A1180" s="1" t="s">
        <v>41</v>
      </c>
      <c r="B1180" s="1" t="s">
        <v>42</v>
      </c>
      <c r="C1180" s="1" t="s">
        <v>83</v>
      </c>
      <c r="D1180" s="1" t="s">
        <v>84</v>
      </c>
      <c r="E1180" s="1" t="s">
        <v>45</v>
      </c>
      <c r="F1180" s="1" t="s">
        <v>2571</v>
      </c>
      <c r="G1180" s="1" t="s">
        <v>2780</v>
      </c>
      <c r="H1180" s="1" t="s">
        <v>2781</v>
      </c>
      <c r="I1180" s="1" t="s">
        <v>49</v>
      </c>
      <c r="J1180" s="1" t="s">
        <v>48</v>
      </c>
      <c r="K1180" s="1">
        <v>96</v>
      </c>
      <c r="L1180" s="1">
        <v>0</v>
      </c>
      <c r="M1180" s="1">
        <v>0</v>
      </c>
      <c r="N1180" s="1">
        <v>96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 t="s">
        <v>49</v>
      </c>
      <c r="AA1180" s="1" t="s">
        <v>49</v>
      </c>
      <c r="AB1180" s="1" t="s">
        <v>49</v>
      </c>
      <c r="AC1180" s="1" t="s">
        <v>213</v>
      </c>
      <c r="AD1180" s="1" t="s">
        <v>214</v>
      </c>
      <c r="AE1180" s="1" t="s">
        <v>215</v>
      </c>
      <c r="AF1180" s="1" t="s">
        <v>2574</v>
      </c>
      <c r="AG1180" s="1" t="s">
        <v>53</v>
      </c>
      <c r="AH1180" s="1" t="s">
        <v>49</v>
      </c>
      <c r="AI1180" s="1" t="s">
        <v>54</v>
      </c>
      <c r="AJ1180" s="1">
        <v>1</v>
      </c>
      <c r="AK1180" s="1" t="str">
        <f t="shared" si="18"/>
        <v xml:space="preserve"> =&lt;90</v>
      </c>
      <c r="AL1180" s="1" t="str">
        <f>VLOOKUP(C:C,[1]基础信息!B$1:D$65536,3,0)</f>
        <v>Jug</v>
      </c>
      <c r="AM1180" s="1" t="str">
        <f>VLOOKUP(C:C,[1]基础信息!B$1:E$65536,4,0)</f>
        <v>Mxplus</v>
      </c>
      <c r="AN1180" s="1" t="str">
        <f>VLOOKUP(C:C,[1]基础信息!B$1:F$65536,5,0)</f>
        <v>Blue</v>
      </c>
    </row>
    <row r="1181" spans="1:40">
      <c r="A1181" s="1" t="s">
        <v>41</v>
      </c>
      <c r="B1181" s="1" t="s">
        <v>42</v>
      </c>
      <c r="C1181" s="1" t="s">
        <v>83</v>
      </c>
      <c r="D1181" s="1" t="s">
        <v>84</v>
      </c>
      <c r="E1181" s="1" t="s">
        <v>45</v>
      </c>
      <c r="F1181" s="1" t="s">
        <v>2571</v>
      </c>
      <c r="G1181" s="1" t="s">
        <v>2782</v>
      </c>
      <c r="H1181" s="1" t="s">
        <v>2783</v>
      </c>
      <c r="I1181" s="1" t="s">
        <v>49</v>
      </c>
      <c r="J1181" s="1" t="s">
        <v>48</v>
      </c>
      <c r="K1181" s="1">
        <v>96</v>
      </c>
      <c r="L1181" s="1">
        <v>0</v>
      </c>
      <c r="M1181" s="1">
        <v>0</v>
      </c>
      <c r="N1181" s="1">
        <v>96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 t="s">
        <v>49</v>
      </c>
      <c r="AA1181" s="1" t="s">
        <v>49</v>
      </c>
      <c r="AB1181" s="1" t="s">
        <v>49</v>
      </c>
      <c r="AC1181" s="1" t="s">
        <v>213</v>
      </c>
      <c r="AD1181" s="1" t="s">
        <v>214</v>
      </c>
      <c r="AE1181" s="1" t="s">
        <v>215</v>
      </c>
      <c r="AF1181" s="1" t="s">
        <v>2574</v>
      </c>
      <c r="AG1181" s="1" t="s">
        <v>53</v>
      </c>
      <c r="AH1181" s="1" t="s">
        <v>49</v>
      </c>
      <c r="AI1181" s="1" t="s">
        <v>54</v>
      </c>
      <c r="AJ1181" s="1">
        <v>1</v>
      </c>
      <c r="AK1181" s="1" t="str">
        <f t="shared" si="18"/>
        <v xml:space="preserve"> =&lt;90</v>
      </c>
      <c r="AL1181" s="1" t="str">
        <f>VLOOKUP(C:C,[1]基础信息!B$1:D$65536,3,0)</f>
        <v>Jug</v>
      </c>
      <c r="AM1181" s="1" t="str">
        <f>VLOOKUP(C:C,[1]基础信息!B$1:E$65536,4,0)</f>
        <v>Mxplus</v>
      </c>
      <c r="AN1181" s="1" t="str">
        <f>VLOOKUP(C:C,[1]基础信息!B$1:F$65536,5,0)</f>
        <v>Blue</v>
      </c>
    </row>
    <row r="1182" spans="1:40">
      <c r="A1182" s="1" t="s">
        <v>41</v>
      </c>
      <c r="B1182" s="1" t="s">
        <v>42</v>
      </c>
      <c r="C1182" s="1" t="s">
        <v>83</v>
      </c>
      <c r="D1182" s="1" t="s">
        <v>84</v>
      </c>
      <c r="E1182" s="1" t="s">
        <v>45</v>
      </c>
      <c r="F1182" s="1" t="s">
        <v>2571</v>
      </c>
      <c r="G1182" s="1" t="s">
        <v>2784</v>
      </c>
      <c r="H1182" s="1" t="s">
        <v>2785</v>
      </c>
      <c r="I1182" s="1" t="s">
        <v>49</v>
      </c>
      <c r="J1182" s="1" t="s">
        <v>48</v>
      </c>
      <c r="K1182" s="1">
        <v>96</v>
      </c>
      <c r="L1182" s="1">
        <v>0</v>
      </c>
      <c r="M1182" s="1">
        <v>0</v>
      </c>
      <c r="N1182" s="1">
        <v>96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 t="s">
        <v>49</v>
      </c>
      <c r="AA1182" s="1" t="s">
        <v>49</v>
      </c>
      <c r="AB1182" s="1" t="s">
        <v>49</v>
      </c>
      <c r="AC1182" s="1" t="s">
        <v>213</v>
      </c>
      <c r="AD1182" s="1" t="s">
        <v>214</v>
      </c>
      <c r="AE1182" s="1" t="s">
        <v>215</v>
      </c>
      <c r="AF1182" s="1" t="s">
        <v>2574</v>
      </c>
      <c r="AG1182" s="1" t="s">
        <v>53</v>
      </c>
      <c r="AH1182" s="1" t="s">
        <v>49</v>
      </c>
      <c r="AI1182" s="1" t="s">
        <v>54</v>
      </c>
      <c r="AJ1182" s="1">
        <v>1</v>
      </c>
      <c r="AK1182" s="1" t="str">
        <f t="shared" si="18"/>
        <v xml:space="preserve"> =&lt;90</v>
      </c>
      <c r="AL1182" s="1" t="str">
        <f>VLOOKUP(C:C,[1]基础信息!B$1:D$65536,3,0)</f>
        <v>Jug</v>
      </c>
      <c r="AM1182" s="1" t="str">
        <f>VLOOKUP(C:C,[1]基础信息!B$1:E$65536,4,0)</f>
        <v>Mxplus</v>
      </c>
      <c r="AN1182" s="1" t="str">
        <f>VLOOKUP(C:C,[1]基础信息!B$1:F$65536,5,0)</f>
        <v>Blue</v>
      </c>
    </row>
    <row r="1183" spans="1:40">
      <c r="A1183" s="1" t="s">
        <v>41</v>
      </c>
      <c r="B1183" s="1" t="s">
        <v>42</v>
      </c>
      <c r="C1183" s="1" t="s">
        <v>2749</v>
      </c>
      <c r="D1183" s="1" t="s">
        <v>2700</v>
      </c>
      <c r="E1183" s="1" t="s">
        <v>45</v>
      </c>
      <c r="F1183" s="1" t="s">
        <v>2750</v>
      </c>
      <c r="G1183" s="1" t="s">
        <v>2786</v>
      </c>
      <c r="H1183" s="1" t="s">
        <v>45</v>
      </c>
      <c r="I1183" s="1" t="s">
        <v>45</v>
      </c>
      <c r="J1183" s="1" t="s">
        <v>48</v>
      </c>
      <c r="K1183" s="1">
        <v>300</v>
      </c>
      <c r="L1183" s="1">
        <v>0</v>
      </c>
      <c r="M1183" s="1">
        <v>0</v>
      </c>
      <c r="N1183" s="1">
        <v>300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 t="s">
        <v>49</v>
      </c>
      <c r="AA1183" s="1" t="s">
        <v>49</v>
      </c>
      <c r="AB1183" s="1" t="s">
        <v>49</v>
      </c>
      <c r="AC1183" s="1" t="s">
        <v>2658</v>
      </c>
      <c r="AD1183" s="1" t="s">
        <v>2659</v>
      </c>
      <c r="AE1183" s="1" t="s">
        <v>2658</v>
      </c>
      <c r="AF1183" s="1" t="s">
        <v>49</v>
      </c>
      <c r="AG1183" s="1" t="s">
        <v>53</v>
      </c>
      <c r="AH1183" s="1" t="s">
        <v>49</v>
      </c>
      <c r="AI1183" s="1" t="s">
        <v>54</v>
      </c>
      <c r="AJ1183" s="1">
        <v>1</v>
      </c>
      <c r="AK1183" s="1" t="str">
        <f t="shared" si="18"/>
        <v xml:space="preserve"> =&lt;90</v>
      </c>
      <c r="AL1183" s="1" t="e">
        <f>VLOOKUP(C:C,[1]基础信息!B$1:D$65536,3,0)</f>
        <v>#N/A</v>
      </c>
      <c r="AM1183" s="1" t="e">
        <f>VLOOKUP(C:C,[1]基础信息!B$1:E$65536,4,0)</f>
        <v>#N/A</v>
      </c>
      <c r="AN1183" s="1" t="e">
        <f>VLOOKUP(C:C,[1]基础信息!B$1:F$65536,5,0)</f>
        <v>#N/A</v>
      </c>
    </row>
    <row r="1184" spans="1:40">
      <c r="A1184" s="1" t="s">
        <v>41</v>
      </c>
      <c r="B1184" s="1" t="s">
        <v>42</v>
      </c>
      <c r="C1184" s="1" t="s">
        <v>83</v>
      </c>
      <c r="D1184" s="1" t="s">
        <v>84</v>
      </c>
      <c r="E1184" s="1" t="s">
        <v>45</v>
      </c>
      <c r="F1184" s="1" t="s">
        <v>2571</v>
      </c>
      <c r="G1184" s="1" t="s">
        <v>2787</v>
      </c>
      <c r="H1184" s="1" t="s">
        <v>2788</v>
      </c>
      <c r="I1184" s="1" t="s">
        <v>49</v>
      </c>
      <c r="J1184" s="1" t="s">
        <v>48</v>
      </c>
      <c r="K1184" s="1">
        <v>96</v>
      </c>
      <c r="L1184" s="1">
        <v>0</v>
      </c>
      <c r="M1184" s="1">
        <v>0</v>
      </c>
      <c r="N1184" s="1">
        <v>96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 t="s">
        <v>49</v>
      </c>
      <c r="AA1184" s="1" t="s">
        <v>49</v>
      </c>
      <c r="AB1184" s="1" t="s">
        <v>49</v>
      </c>
      <c r="AC1184" s="1" t="s">
        <v>213</v>
      </c>
      <c r="AD1184" s="1" t="s">
        <v>214</v>
      </c>
      <c r="AE1184" s="1" t="s">
        <v>215</v>
      </c>
      <c r="AF1184" s="1" t="s">
        <v>2574</v>
      </c>
      <c r="AG1184" s="1" t="s">
        <v>53</v>
      </c>
      <c r="AH1184" s="1" t="s">
        <v>49</v>
      </c>
      <c r="AI1184" s="1" t="s">
        <v>54</v>
      </c>
      <c r="AJ1184" s="1">
        <v>1</v>
      </c>
      <c r="AK1184" s="1" t="str">
        <f t="shared" si="18"/>
        <v xml:space="preserve"> =&lt;90</v>
      </c>
      <c r="AL1184" s="1" t="str">
        <f>VLOOKUP(C:C,[1]基础信息!B$1:D$65536,3,0)</f>
        <v>Jug</v>
      </c>
      <c r="AM1184" s="1" t="str">
        <f>VLOOKUP(C:C,[1]基础信息!B$1:E$65536,4,0)</f>
        <v>Mxplus</v>
      </c>
      <c r="AN1184" s="1" t="str">
        <f>VLOOKUP(C:C,[1]基础信息!B$1:F$65536,5,0)</f>
        <v>Blue</v>
      </c>
    </row>
    <row r="1185" spans="1:40">
      <c r="A1185" s="1" t="s">
        <v>41</v>
      </c>
      <c r="B1185" s="1" t="s">
        <v>42</v>
      </c>
      <c r="C1185" s="1" t="s">
        <v>83</v>
      </c>
      <c r="D1185" s="1" t="s">
        <v>84</v>
      </c>
      <c r="E1185" s="1" t="s">
        <v>45</v>
      </c>
      <c r="F1185" s="1" t="s">
        <v>2571</v>
      </c>
      <c r="G1185" s="1" t="s">
        <v>2789</v>
      </c>
      <c r="H1185" s="1" t="s">
        <v>2790</v>
      </c>
      <c r="I1185" s="1" t="s">
        <v>49</v>
      </c>
      <c r="J1185" s="1" t="s">
        <v>48</v>
      </c>
      <c r="K1185" s="1">
        <v>96</v>
      </c>
      <c r="L1185" s="1">
        <v>0</v>
      </c>
      <c r="M1185" s="1">
        <v>0</v>
      </c>
      <c r="N1185" s="1">
        <v>96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 t="s">
        <v>49</v>
      </c>
      <c r="AA1185" s="1" t="s">
        <v>49</v>
      </c>
      <c r="AB1185" s="1" t="s">
        <v>49</v>
      </c>
      <c r="AC1185" s="1" t="s">
        <v>213</v>
      </c>
      <c r="AD1185" s="1" t="s">
        <v>214</v>
      </c>
      <c r="AE1185" s="1" t="s">
        <v>215</v>
      </c>
      <c r="AF1185" s="1" t="s">
        <v>2574</v>
      </c>
      <c r="AG1185" s="1" t="s">
        <v>53</v>
      </c>
      <c r="AH1185" s="1" t="s">
        <v>49</v>
      </c>
      <c r="AI1185" s="1" t="s">
        <v>54</v>
      </c>
      <c r="AJ1185" s="1">
        <v>1</v>
      </c>
      <c r="AK1185" s="1" t="str">
        <f t="shared" si="18"/>
        <v xml:space="preserve"> =&lt;90</v>
      </c>
      <c r="AL1185" s="1" t="str">
        <f>VLOOKUP(C:C,[1]基础信息!B$1:D$65536,3,0)</f>
        <v>Jug</v>
      </c>
      <c r="AM1185" s="1" t="str">
        <f>VLOOKUP(C:C,[1]基础信息!B$1:E$65536,4,0)</f>
        <v>Mxplus</v>
      </c>
      <c r="AN1185" s="1" t="str">
        <f>VLOOKUP(C:C,[1]基础信息!B$1:F$65536,5,0)</f>
        <v>Blue</v>
      </c>
    </row>
    <row r="1186" spans="1:40">
      <c r="A1186" s="1" t="s">
        <v>41</v>
      </c>
      <c r="B1186" s="1" t="s">
        <v>42</v>
      </c>
      <c r="C1186" s="1" t="s">
        <v>83</v>
      </c>
      <c r="D1186" s="1" t="s">
        <v>84</v>
      </c>
      <c r="E1186" s="1" t="s">
        <v>45</v>
      </c>
      <c r="F1186" s="1" t="s">
        <v>2571</v>
      </c>
      <c r="G1186" s="1" t="s">
        <v>2791</v>
      </c>
      <c r="H1186" s="1" t="s">
        <v>2792</v>
      </c>
      <c r="I1186" s="1" t="s">
        <v>49</v>
      </c>
      <c r="J1186" s="1" t="s">
        <v>48</v>
      </c>
      <c r="K1186" s="1">
        <v>96</v>
      </c>
      <c r="L1186" s="1">
        <v>0</v>
      </c>
      <c r="M1186" s="1">
        <v>0</v>
      </c>
      <c r="N1186" s="1">
        <v>96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 t="s">
        <v>49</v>
      </c>
      <c r="AA1186" s="1" t="s">
        <v>49</v>
      </c>
      <c r="AB1186" s="1" t="s">
        <v>49</v>
      </c>
      <c r="AC1186" s="1" t="s">
        <v>213</v>
      </c>
      <c r="AD1186" s="1" t="s">
        <v>214</v>
      </c>
      <c r="AE1186" s="1" t="s">
        <v>215</v>
      </c>
      <c r="AF1186" s="1" t="s">
        <v>2574</v>
      </c>
      <c r="AG1186" s="1" t="s">
        <v>53</v>
      </c>
      <c r="AH1186" s="1" t="s">
        <v>49</v>
      </c>
      <c r="AI1186" s="1" t="s">
        <v>54</v>
      </c>
      <c r="AJ1186" s="1">
        <v>1</v>
      </c>
      <c r="AK1186" s="1" t="str">
        <f t="shared" si="18"/>
        <v xml:space="preserve"> =&lt;90</v>
      </c>
      <c r="AL1186" s="1" t="str">
        <f>VLOOKUP(C:C,[1]基础信息!B$1:D$65536,3,0)</f>
        <v>Jug</v>
      </c>
      <c r="AM1186" s="1" t="str">
        <f>VLOOKUP(C:C,[1]基础信息!B$1:E$65536,4,0)</f>
        <v>Mxplus</v>
      </c>
      <c r="AN1186" s="1" t="str">
        <f>VLOOKUP(C:C,[1]基础信息!B$1:F$65536,5,0)</f>
        <v>Blue</v>
      </c>
    </row>
    <row r="1187" spans="1:40">
      <c r="A1187" s="1" t="s">
        <v>41</v>
      </c>
      <c r="B1187" s="1" t="s">
        <v>42</v>
      </c>
      <c r="C1187" s="1" t="s">
        <v>83</v>
      </c>
      <c r="D1187" s="1" t="s">
        <v>84</v>
      </c>
      <c r="E1187" s="1" t="s">
        <v>45</v>
      </c>
      <c r="F1187" s="1" t="s">
        <v>2571</v>
      </c>
      <c r="G1187" s="1" t="s">
        <v>2793</v>
      </c>
      <c r="H1187" s="1" t="s">
        <v>2794</v>
      </c>
      <c r="I1187" s="1" t="s">
        <v>49</v>
      </c>
      <c r="J1187" s="1" t="s">
        <v>48</v>
      </c>
      <c r="K1187" s="1">
        <v>96</v>
      </c>
      <c r="L1187" s="1">
        <v>0</v>
      </c>
      <c r="M1187" s="1">
        <v>0</v>
      </c>
      <c r="N1187" s="1">
        <v>96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 t="s">
        <v>49</v>
      </c>
      <c r="AA1187" s="1" t="s">
        <v>49</v>
      </c>
      <c r="AB1187" s="1" t="s">
        <v>49</v>
      </c>
      <c r="AC1187" s="1" t="s">
        <v>213</v>
      </c>
      <c r="AD1187" s="1" t="s">
        <v>214</v>
      </c>
      <c r="AE1187" s="1" t="s">
        <v>215</v>
      </c>
      <c r="AF1187" s="1" t="s">
        <v>2574</v>
      </c>
      <c r="AG1187" s="1" t="s">
        <v>53</v>
      </c>
      <c r="AH1187" s="1" t="s">
        <v>49</v>
      </c>
      <c r="AI1187" s="1" t="s">
        <v>54</v>
      </c>
      <c r="AJ1187" s="1">
        <v>1</v>
      </c>
      <c r="AK1187" s="1" t="str">
        <f t="shared" si="18"/>
        <v xml:space="preserve"> =&lt;90</v>
      </c>
      <c r="AL1187" s="1" t="str">
        <f>VLOOKUP(C:C,[1]基础信息!B$1:D$65536,3,0)</f>
        <v>Jug</v>
      </c>
      <c r="AM1187" s="1" t="str">
        <f>VLOOKUP(C:C,[1]基础信息!B$1:E$65536,4,0)</f>
        <v>Mxplus</v>
      </c>
      <c r="AN1187" s="1" t="str">
        <f>VLOOKUP(C:C,[1]基础信息!B$1:F$65536,5,0)</f>
        <v>Blue</v>
      </c>
    </row>
    <row r="1188" spans="1:40">
      <c r="A1188" s="1" t="s">
        <v>41</v>
      </c>
      <c r="B1188" s="1" t="s">
        <v>42</v>
      </c>
      <c r="C1188" s="1" t="s">
        <v>56</v>
      </c>
      <c r="D1188" s="1" t="s">
        <v>57</v>
      </c>
      <c r="E1188" s="1" t="s">
        <v>45</v>
      </c>
      <c r="F1188" s="1" t="s">
        <v>1096</v>
      </c>
      <c r="G1188" s="1" t="s">
        <v>2795</v>
      </c>
      <c r="H1188" s="1" t="s">
        <v>2796</v>
      </c>
      <c r="I1188" s="1" t="s">
        <v>49</v>
      </c>
      <c r="J1188" s="1" t="s">
        <v>48</v>
      </c>
      <c r="K1188" s="1">
        <v>72</v>
      </c>
      <c r="L1188" s="1">
        <v>0</v>
      </c>
      <c r="M1188" s="1">
        <v>0</v>
      </c>
      <c r="N1188" s="1">
        <v>72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 t="s">
        <v>49</v>
      </c>
      <c r="AA1188" s="1" t="s">
        <v>49</v>
      </c>
      <c r="AB1188" s="1" t="s">
        <v>49</v>
      </c>
      <c r="AC1188" s="1" t="s">
        <v>938</v>
      </c>
      <c r="AD1188" s="1" t="s">
        <v>939</v>
      </c>
      <c r="AE1188" s="1" t="s">
        <v>938</v>
      </c>
      <c r="AF1188" s="1" t="s">
        <v>1099</v>
      </c>
      <c r="AG1188" s="1" t="s">
        <v>53</v>
      </c>
      <c r="AH1188" s="1" t="s">
        <v>49</v>
      </c>
      <c r="AI1188" s="1" t="s">
        <v>54</v>
      </c>
      <c r="AJ1188" s="1">
        <v>1</v>
      </c>
      <c r="AK1188" s="1" t="str">
        <f t="shared" si="18"/>
        <v xml:space="preserve"> =&lt;90</v>
      </c>
      <c r="AL1188" s="1" t="str">
        <f>VLOOKUP(C:C,[1]基础信息!B$1:D$65536,3,0)</f>
        <v>Jug</v>
      </c>
      <c r="AM1188" s="1" t="str">
        <f>VLOOKUP(C:C,[1]基础信息!B$1:E$65536,4,0)</f>
        <v>Marella XL</v>
      </c>
      <c r="AN1188" s="1" t="str">
        <f>VLOOKUP(C:C,[1]基础信息!B$1:F$65536,5,0)</f>
        <v>Blue</v>
      </c>
    </row>
    <row r="1189" spans="1:40">
      <c r="A1189" s="1" t="s">
        <v>41</v>
      </c>
      <c r="B1189" s="1" t="s">
        <v>42</v>
      </c>
      <c r="C1189" s="1" t="s">
        <v>301</v>
      </c>
      <c r="D1189" s="1" t="s">
        <v>302</v>
      </c>
      <c r="E1189" s="1" t="s">
        <v>45</v>
      </c>
      <c r="F1189" s="1" t="s">
        <v>2797</v>
      </c>
      <c r="G1189" s="1" t="s">
        <v>2798</v>
      </c>
      <c r="H1189" s="1" t="s">
        <v>2799</v>
      </c>
      <c r="I1189" s="1" t="s">
        <v>49</v>
      </c>
      <c r="J1189" s="1" t="s">
        <v>48</v>
      </c>
      <c r="K1189" s="1">
        <v>96</v>
      </c>
      <c r="L1189" s="1">
        <v>0</v>
      </c>
      <c r="M1189" s="1">
        <v>0</v>
      </c>
      <c r="N1189" s="1">
        <v>96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 t="s">
        <v>49</v>
      </c>
      <c r="AA1189" s="1" t="s">
        <v>49</v>
      </c>
      <c r="AB1189" s="1" t="s">
        <v>49</v>
      </c>
      <c r="AC1189" s="1" t="s">
        <v>376</v>
      </c>
      <c r="AD1189" s="1" t="s">
        <v>377</v>
      </c>
      <c r="AE1189" s="1" t="s">
        <v>376</v>
      </c>
      <c r="AF1189" s="1" t="s">
        <v>2800</v>
      </c>
      <c r="AG1189" s="1" t="s">
        <v>53</v>
      </c>
      <c r="AH1189" s="1" t="s">
        <v>49</v>
      </c>
      <c r="AI1189" s="1" t="s">
        <v>54</v>
      </c>
      <c r="AJ1189" s="1">
        <v>1</v>
      </c>
      <c r="AK1189" s="1" t="str">
        <f t="shared" si="18"/>
        <v xml:space="preserve"> =&lt;90</v>
      </c>
      <c r="AL1189" s="1" t="str">
        <f>VLOOKUP(C:C,[1]基础信息!B$1:D$65536,3,0)</f>
        <v>Jug</v>
      </c>
      <c r="AM1189" s="1" t="str">
        <f>VLOOKUP(C:C,[1]基础信息!B$1:E$65536,4,0)</f>
        <v>Aluna</v>
      </c>
      <c r="AN1189" s="1" t="str">
        <f>VLOOKUP(C:C,[1]基础信息!B$1:F$65536,5,0)</f>
        <v>Blue</v>
      </c>
    </row>
    <row r="1190" spans="1:40">
      <c r="A1190" s="1" t="s">
        <v>41</v>
      </c>
      <c r="B1190" s="1" t="s">
        <v>42</v>
      </c>
      <c r="C1190" s="1" t="s">
        <v>301</v>
      </c>
      <c r="D1190" s="1" t="s">
        <v>302</v>
      </c>
      <c r="E1190" s="1" t="s">
        <v>45</v>
      </c>
      <c r="F1190" s="1" t="s">
        <v>2797</v>
      </c>
      <c r="G1190" s="1" t="s">
        <v>2801</v>
      </c>
      <c r="H1190" s="1" t="s">
        <v>2802</v>
      </c>
      <c r="I1190" s="1" t="s">
        <v>49</v>
      </c>
      <c r="J1190" s="1" t="s">
        <v>48</v>
      </c>
      <c r="K1190" s="1">
        <v>96</v>
      </c>
      <c r="L1190" s="1">
        <v>0</v>
      </c>
      <c r="M1190" s="1">
        <v>0</v>
      </c>
      <c r="N1190" s="1">
        <v>96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 t="s">
        <v>49</v>
      </c>
      <c r="AA1190" s="1" t="s">
        <v>49</v>
      </c>
      <c r="AB1190" s="1" t="s">
        <v>49</v>
      </c>
      <c r="AC1190" s="1" t="s">
        <v>376</v>
      </c>
      <c r="AD1190" s="1" t="s">
        <v>377</v>
      </c>
      <c r="AE1190" s="1" t="s">
        <v>376</v>
      </c>
      <c r="AF1190" s="1" t="s">
        <v>2800</v>
      </c>
      <c r="AG1190" s="1" t="s">
        <v>53</v>
      </c>
      <c r="AH1190" s="1" t="s">
        <v>49</v>
      </c>
      <c r="AI1190" s="1" t="s">
        <v>54</v>
      </c>
      <c r="AJ1190" s="1">
        <v>1</v>
      </c>
      <c r="AK1190" s="1" t="str">
        <f t="shared" si="18"/>
        <v xml:space="preserve"> =&lt;90</v>
      </c>
      <c r="AL1190" s="1" t="str">
        <f>VLOOKUP(C:C,[1]基础信息!B$1:D$65536,3,0)</f>
        <v>Jug</v>
      </c>
      <c r="AM1190" s="1" t="str">
        <f>VLOOKUP(C:C,[1]基础信息!B$1:E$65536,4,0)</f>
        <v>Aluna</v>
      </c>
      <c r="AN1190" s="1" t="str">
        <f>VLOOKUP(C:C,[1]基础信息!B$1:F$65536,5,0)</f>
        <v>Blue</v>
      </c>
    </row>
    <row r="1191" spans="1:40">
      <c r="A1191" s="1" t="s">
        <v>41</v>
      </c>
      <c r="B1191" s="1" t="s">
        <v>42</v>
      </c>
      <c r="C1191" s="1" t="s">
        <v>301</v>
      </c>
      <c r="D1191" s="1" t="s">
        <v>302</v>
      </c>
      <c r="E1191" s="1" t="s">
        <v>45</v>
      </c>
      <c r="F1191" s="1" t="s">
        <v>2797</v>
      </c>
      <c r="G1191" s="1" t="s">
        <v>2803</v>
      </c>
      <c r="H1191" s="1" t="s">
        <v>2804</v>
      </c>
      <c r="I1191" s="1" t="s">
        <v>49</v>
      </c>
      <c r="J1191" s="1" t="s">
        <v>48</v>
      </c>
      <c r="K1191" s="1">
        <v>96</v>
      </c>
      <c r="L1191" s="1">
        <v>0</v>
      </c>
      <c r="M1191" s="1">
        <v>0</v>
      </c>
      <c r="N1191" s="1">
        <v>96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 t="s">
        <v>49</v>
      </c>
      <c r="AA1191" s="1" t="s">
        <v>49</v>
      </c>
      <c r="AB1191" s="1" t="s">
        <v>49</v>
      </c>
      <c r="AC1191" s="1" t="s">
        <v>376</v>
      </c>
      <c r="AD1191" s="1" t="s">
        <v>377</v>
      </c>
      <c r="AE1191" s="1" t="s">
        <v>376</v>
      </c>
      <c r="AF1191" s="1" t="s">
        <v>2800</v>
      </c>
      <c r="AG1191" s="1" t="s">
        <v>53</v>
      </c>
      <c r="AH1191" s="1" t="s">
        <v>49</v>
      </c>
      <c r="AI1191" s="1" t="s">
        <v>54</v>
      </c>
      <c r="AJ1191" s="1">
        <v>1</v>
      </c>
      <c r="AK1191" s="1" t="str">
        <f t="shared" si="18"/>
        <v xml:space="preserve"> =&lt;90</v>
      </c>
      <c r="AL1191" s="1" t="str">
        <f>VLOOKUP(C:C,[1]基础信息!B$1:D$65536,3,0)</f>
        <v>Jug</v>
      </c>
      <c r="AM1191" s="1" t="str">
        <f>VLOOKUP(C:C,[1]基础信息!B$1:E$65536,4,0)</f>
        <v>Aluna</v>
      </c>
      <c r="AN1191" s="1" t="str">
        <f>VLOOKUP(C:C,[1]基础信息!B$1:F$65536,5,0)</f>
        <v>Blue</v>
      </c>
    </row>
    <row r="1192" spans="1:40">
      <c r="A1192" s="1" t="s">
        <v>41</v>
      </c>
      <c r="B1192" s="1" t="s">
        <v>42</v>
      </c>
      <c r="C1192" s="1" t="s">
        <v>301</v>
      </c>
      <c r="D1192" s="1" t="s">
        <v>302</v>
      </c>
      <c r="E1192" s="1" t="s">
        <v>45</v>
      </c>
      <c r="F1192" s="1" t="s">
        <v>2797</v>
      </c>
      <c r="G1192" s="1" t="s">
        <v>2805</v>
      </c>
      <c r="H1192" s="1" t="s">
        <v>2806</v>
      </c>
      <c r="I1192" s="1" t="s">
        <v>49</v>
      </c>
      <c r="J1192" s="1" t="s">
        <v>48</v>
      </c>
      <c r="K1192" s="1">
        <v>96</v>
      </c>
      <c r="L1192" s="1">
        <v>0</v>
      </c>
      <c r="M1192" s="1">
        <v>0</v>
      </c>
      <c r="N1192" s="1">
        <v>96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 t="s">
        <v>49</v>
      </c>
      <c r="AA1192" s="1" t="s">
        <v>49</v>
      </c>
      <c r="AB1192" s="1" t="s">
        <v>49</v>
      </c>
      <c r="AC1192" s="1" t="s">
        <v>376</v>
      </c>
      <c r="AD1192" s="1" t="s">
        <v>377</v>
      </c>
      <c r="AE1192" s="1" t="s">
        <v>376</v>
      </c>
      <c r="AF1192" s="1" t="s">
        <v>2800</v>
      </c>
      <c r="AG1192" s="1" t="s">
        <v>53</v>
      </c>
      <c r="AH1192" s="1" t="s">
        <v>49</v>
      </c>
      <c r="AI1192" s="1" t="s">
        <v>54</v>
      </c>
      <c r="AJ1192" s="1">
        <v>1</v>
      </c>
      <c r="AK1192" s="1" t="str">
        <f t="shared" si="18"/>
        <v xml:space="preserve"> =&lt;90</v>
      </c>
      <c r="AL1192" s="1" t="str">
        <f>VLOOKUP(C:C,[1]基础信息!B$1:D$65536,3,0)</f>
        <v>Jug</v>
      </c>
      <c r="AM1192" s="1" t="str">
        <f>VLOOKUP(C:C,[1]基础信息!B$1:E$65536,4,0)</f>
        <v>Aluna</v>
      </c>
      <c r="AN1192" s="1" t="str">
        <f>VLOOKUP(C:C,[1]基础信息!B$1:F$65536,5,0)</f>
        <v>Blue</v>
      </c>
    </row>
    <row r="1193" spans="1:40">
      <c r="A1193" s="1" t="s">
        <v>41</v>
      </c>
      <c r="B1193" s="1" t="s">
        <v>42</v>
      </c>
      <c r="C1193" s="1" t="s">
        <v>301</v>
      </c>
      <c r="D1193" s="1" t="s">
        <v>302</v>
      </c>
      <c r="E1193" s="1" t="s">
        <v>45</v>
      </c>
      <c r="F1193" s="1" t="s">
        <v>2797</v>
      </c>
      <c r="G1193" s="1" t="s">
        <v>2807</v>
      </c>
      <c r="H1193" s="1" t="s">
        <v>2808</v>
      </c>
      <c r="I1193" s="1" t="s">
        <v>49</v>
      </c>
      <c r="J1193" s="1" t="s">
        <v>48</v>
      </c>
      <c r="K1193" s="1">
        <v>96</v>
      </c>
      <c r="L1193" s="1">
        <v>0</v>
      </c>
      <c r="M1193" s="1">
        <v>0</v>
      </c>
      <c r="N1193" s="1">
        <v>96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 t="s">
        <v>49</v>
      </c>
      <c r="AA1193" s="1" t="s">
        <v>49</v>
      </c>
      <c r="AB1193" s="1" t="s">
        <v>49</v>
      </c>
      <c r="AC1193" s="1" t="s">
        <v>376</v>
      </c>
      <c r="AD1193" s="1" t="s">
        <v>377</v>
      </c>
      <c r="AE1193" s="1" t="s">
        <v>376</v>
      </c>
      <c r="AF1193" s="1" t="s">
        <v>2800</v>
      </c>
      <c r="AG1193" s="1" t="s">
        <v>53</v>
      </c>
      <c r="AH1193" s="1" t="s">
        <v>49</v>
      </c>
      <c r="AI1193" s="1" t="s">
        <v>54</v>
      </c>
      <c r="AJ1193" s="1">
        <v>1</v>
      </c>
      <c r="AK1193" s="1" t="str">
        <f t="shared" si="18"/>
        <v xml:space="preserve"> =&lt;90</v>
      </c>
      <c r="AL1193" s="1" t="str">
        <f>VLOOKUP(C:C,[1]基础信息!B$1:D$65536,3,0)</f>
        <v>Jug</v>
      </c>
      <c r="AM1193" s="1" t="str">
        <f>VLOOKUP(C:C,[1]基础信息!B$1:E$65536,4,0)</f>
        <v>Aluna</v>
      </c>
      <c r="AN1193" s="1" t="str">
        <f>VLOOKUP(C:C,[1]基础信息!B$1:F$65536,5,0)</f>
        <v>Blue</v>
      </c>
    </row>
    <row r="1194" spans="1:40">
      <c r="A1194" s="1" t="s">
        <v>41</v>
      </c>
      <c r="B1194" s="1" t="s">
        <v>42</v>
      </c>
      <c r="C1194" s="1" t="s">
        <v>301</v>
      </c>
      <c r="D1194" s="1" t="s">
        <v>302</v>
      </c>
      <c r="E1194" s="1" t="s">
        <v>45</v>
      </c>
      <c r="F1194" s="1" t="s">
        <v>2797</v>
      </c>
      <c r="G1194" s="1" t="s">
        <v>2809</v>
      </c>
      <c r="H1194" s="1" t="s">
        <v>2810</v>
      </c>
      <c r="I1194" s="1" t="s">
        <v>49</v>
      </c>
      <c r="J1194" s="1" t="s">
        <v>48</v>
      </c>
      <c r="K1194" s="1">
        <v>96</v>
      </c>
      <c r="L1194" s="1">
        <v>0</v>
      </c>
      <c r="M1194" s="1">
        <v>0</v>
      </c>
      <c r="N1194" s="1">
        <v>96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 t="s">
        <v>49</v>
      </c>
      <c r="AA1194" s="1" t="s">
        <v>49</v>
      </c>
      <c r="AB1194" s="1" t="s">
        <v>49</v>
      </c>
      <c r="AC1194" s="1" t="s">
        <v>376</v>
      </c>
      <c r="AD1194" s="1" t="s">
        <v>377</v>
      </c>
      <c r="AE1194" s="1" t="s">
        <v>376</v>
      </c>
      <c r="AF1194" s="1" t="s">
        <v>2800</v>
      </c>
      <c r="AG1194" s="1" t="s">
        <v>53</v>
      </c>
      <c r="AH1194" s="1" t="s">
        <v>49</v>
      </c>
      <c r="AI1194" s="1" t="s">
        <v>54</v>
      </c>
      <c r="AJ1194" s="1">
        <v>1</v>
      </c>
      <c r="AK1194" s="1" t="str">
        <f t="shared" si="18"/>
        <v xml:space="preserve"> =&lt;90</v>
      </c>
      <c r="AL1194" s="1" t="str">
        <f>VLOOKUP(C:C,[1]基础信息!B$1:D$65536,3,0)</f>
        <v>Jug</v>
      </c>
      <c r="AM1194" s="1" t="str">
        <f>VLOOKUP(C:C,[1]基础信息!B$1:E$65536,4,0)</f>
        <v>Aluna</v>
      </c>
      <c r="AN1194" s="1" t="str">
        <f>VLOOKUP(C:C,[1]基础信息!B$1:F$65536,5,0)</f>
        <v>Blue</v>
      </c>
    </row>
    <row r="1195" spans="1:40">
      <c r="A1195" s="1" t="s">
        <v>41</v>
      </c>
      <c r="B1195" s="1" t="s">
        <v>42</v>
      </c>
      <c r="C1195" s="1" t="s">
        <v>83</v>
      </c>
      <c r="D1195" s="1" t="s">
        <v>84</v>
      </c>
      <c r="E1195" s="1" t="s">
        <v>45</v>
      </c>
      <c r="F1195" s="1" t="s">
        <v>2571</v>
      </c>
      <c r="G1195" s="1" t="s">
        <v>2811</v>
      </c>
      <c r="H1195" s="1" t="s">
        <v>2812</v>
      </c>
      <c r="I1195" s="1" t="s">
        <v>49</v>
      </c>
      <c r="J1195" s="1" t="s">
        <v>48</v>
      </c>
      <c r="K1195" s="1">
        <v>96</v>
      </c>
      <c r="L1195" s="1">
        <v>0</v>
      </c>
      <c r="M1195" s="1">
        <v>0</v>
      </c>
      <c r="N1195" s="1">
        <v>96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 t="s">
        <v>49</v>
      </c>
      <c r="AA1195" s="1" t="s">
        <v>49</v>
      </c>
      <c r="AB1195" s="1" t="s">
        <v>49</v>
      </c>
      <c r="AC1195" s="1" t="s">
        <v>213</v>
      </c>
      <c r="AD1195" s="1" t="s">
        <v>214</v>
      </c>
      <c r="AE1195" s="1" t="s">
        <v>215</v>
      </c>
      <c r="AF1195" s="1" t="s">
        <v>2574</v>
      </c>
      <c r="AG1195" s="1" t="s">
        <v>53</v>
      </c>
      <c r="AH1195" s="1" t="s">
        <v>49</v>
      </c>
      <c r="AI1195" s="1" t="s">
        <v>54</v>
      </c>
      <c r="AJ1195" s="1">
        <v>1</v>
      </c>
      <c r="AK1195" s="1" t="str">
        <f t="shared" si="18"/>
        <v xml:space="preserve"> =&lt;90</v>
      </c>
      <c r="AL1195" s="1" t="str">
        <f>VLOOKUP(C:C,[1]基础信息!B$1:D$65536,3,0)</f>
        <v>Jug</v>
      </c>
      <c r="AM1195" s="1" t="str">
        <f>VLOOKUP(C:C,[1]基础信息!B$1:E$65536,4,0)</f>
        <v>Mxplus</v>
      </c>
      <c r="AN1195" s="1" t="str">
        <f>VLOOKUP(C:C,[1]基础信息!B$1:F$65536,5,0)</f>
        <v>Blue</v>
      </c>
    </row>
    <row r="1196" spans="1:40">
      <c r="A1196" s="1" t="s">
        <v>41</v>
      </c>
      <c r="B1196" s="1" t="s">
        <v>42</v>
      </c>
      <c r="C1196" s="1" t="s">
        <v>83</v>
      </c>
      <c r="D1196" s="1" t="s">
        <v>84</v>
      </c>
      <c r="E1196" s="1" t="s">
        <v>45</v>
      </c>
      <c r="F1196" s="1" t="s">
        <v>2571</v>
      </c>
      <c r="G1196" s="1" t="s">
        <v>2813</v>
      </c>
      <c r="H1196" s="1" t="s">
        <v>2814</v>
      </c>
      <c r="I1196" s="1" t="s">
        <v>49</v>
      </c>
      <c r="J1196" s="1" t="s">
        <v>48</v>
      </c>
      <c r="K1196" s="1">
        <v>96</v>
      </c>
      <c r="L1196" s="1">
        <v>0</v>
      </c>
      <c r="M1196" s="1">
        <v>0</v>
      </c>
      <c r="N1196" s="1">
        <v>96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 t="s">
        <v>49</v>
      </c>
      <c r="AA1196" s="1" t="s">
        <v>49</v>
      </c>
      <c r="AB1196" s="1" t="s">
        <v>49</v>
      </c>
      <c r="AC1196" s="1" t="s">
        <v>213</v>
      </c>
      <c r="AD1196" s="1" t="s">
        <v>214</v>
      </c>
      <c r="AE1196" s="1" t="s">
        <v>215</v>
      </c>
      <c r="AF1196" s="1" t="s">
        <v>2574</v>
      </c>
      <c r="AG1196" s="1" t="s">
        <v>53</v>
      </c>
      <c r="AH1196" s="1" t="s">
        <v>49</v>
      </c>
      <c r="AI1196" s="1" t="s">
        <v>54</v>
      </c>
      <c r="AJ1196" s="1">
        <v>1</v>
      </c>
      <c r="AK1196" s="1" t="str">
        <f t="shared" si="18"/>
        <v xml:space="preserve"> =&lt;90</v>
      </c>
      <c r="AL1196" s="1" t="str">
        <f>VLOOKUP(C:C,[1]基础信息!B$1:D$65536,3,0)</f>
        <v>Jug</v>
      </c>
      <c r="AM1196" s="1" t="str">
        <f>VLOOKUP(C:C,[1]基础信息!B$1:E$65536,4,0)</f>
        <v>Mxplus</v>
      </c>
      <c r="AN1196" s="1" t="str">
        <f>VLOOKUP(C:C,[1]基础信息!B$1:F$65536,5,0)</f>
        <v>Blue</v>
      </c>
    </row>
    <row r="1197" spans="1:40">
      <c r="A1197" s="1" t="s">
        <v>41</v>
      </c>
      <c r="B1197" s="1" t="s">
        <v>42</v>
      </c>
      <c r="C1197" s="1" t="s">
        <v>2004</v>
      </c>
      <c r="D1197" s="1" t="s">
        <v>2005</v>
      </c>
      <c r="E1197" s="1" t="s">
        <v>2004</v>
      </c>
      <c r="F1197" s="1" t="s">
        <v>2006</v>
      </c>
      <c r="G1197" s="1" t="s">
        <v>2815</v>
      </c>
      <c r="H1197" s="1" t="s">
        <v>2816</v>
      </c>
      <c r="I1197" s="1" t="s">
        <v>49</v>
      </c>
      <c r="J1197" s="1" t="s">
        <v>48</v>
      </c>
      <c r="K1197" s="1">
        <v>96</v>
      </c>
      <c r="L1197" s="1">
        <v>0</v>
      </c>
      <c r="M1197" s="1">
        <v>0</v>
      </c>
      <c r="N1197" s="1">
        <v>96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 t="s">
        <v>49</v>
      </c>
      <c r="AA1197" s="1" t="s">
        <v>49</v>
      </c>
      <c r="AB1197" s="1" t="s">
        <v>49</v>
      </c>
      <c r="AC1197" s="1" t="s">
        <v>1377</v>
      </c>
      <c r="AD1197" s="1" t="s">
        <v>1378</v>
      </c>
      <c r="AE1197" s="1" t="s">
        <v>1377</v>
      </c>
      <c r="AF1197" s="1" t="s">
        <v>422</v>
      </c>
      <c r="AG1197" s="1" t="s">
        <v>53</v>
      </c>
      <c r="AH1197" s="1" t="s">
        <v>49</v>
      </c>
      <c r="AI1197" s="1" t="s">
        <v>54</v>
      </c>
      <c r="AJ1197" s="1">
        <v>1</v>
      </c>
      <c r="AK1197" s="1" t="str">
        <f t="shared" si="18"/>
        <v xml:space="preserve"> =&lt;90</v>
      </c>
      <c r="AL1197" s="1" t="str">
        <f>VLOOKUP(C:C,[1]基础信息!B$1:D$65536,3,0)</f>
        <v>Jug</v>
      </c>
      <c r="AM1197" s="1" t="str">
        <f>VLOOKUP(C:C,[1]基础信息!B$1:E$65536,4,0)</f>
        <v>Marella XL</v>
      </c>
      <c r="AN1197" s="1" t="str">
        <f>VLOOKUP(C:C,[1]基础信息!B$1:F$65536,5,0)</f>
        <v>Mxplus</v>
      </c>
    </row>
    <row r="1198" spans="1:40">
      <c r="A1198" s="1" t="s">
        <v>41</v>
      </c>
      <c r="B1198" s="1" t="s">
        <v>42</v>
      </c>
      <c r="C1198" s="1" t="s">
        <v>451</v>
      </c>
      <c r="D1198" s="1" t="s">
        <v>452</v>
      </c>
      <c r="E1198" s="1" t="s">
        <v>45</v>
      </c>
      <c r="F1198" s="1" t="s">
        <v>1988</v>
      </c>
      <c r="G1198" s="1" t="s">
        <v>2817</v>
      </c>
      <c r="H1198" s="1" t="s">
        <v>2818</v>
      </c>
      <c r="I1198" s="1" t="s">
        <v>49</v>
      </c>
      <c r="J1198" s="1" t="s">
        <v>48</v>
      </c>
      <c r="K1198" s="1">
        <v>25</v>
      </c>
      <c r="L1198" s="1">
        <v>0</v>
      </c>
      <c r="M1198" s="1">
        <v>0</v>
      </c>
      <c r="N1198" s="1">
        <v>25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 t="s">
        <v>49</v>
      </c>
      <c r="AA1198" s="1" t="s">
        <v>49</v>
      </c>
      <c r="AB1198" s="1" t="s">
        <v>49</v>
      </c>
      <c r="AC1198" s="1" t="s">
        <v>1991</v>
      </c>
      <c r="AD1198" s="1" t="s">
        <v>1992</v>
      </c>
      <c r="AE1198" s="1" t="s">
        <v>1991</v>
      </c>
      <c r="AF1198" s="1" t="s">
        <v>458</v>
      </c>
      <c r="AG1198" s="1" t="s">
        <v>53</v>
      </c>
      <c r="AH1198" s="1" t="s">
        <v>49</v>
      </c>
      <c r="AI1198" s="1" t="s">
        <v>54</v>
      </c>
      <c r="AJ1198" s="1">
        <v>1</v>
      </c>
      <c r="AK1198" s="1" t="str">
        <f t="shared" si="18"/>
        <v xml:space="preserve"> =&lt;90</v>
      </c>
      <c r="AL1198" s="1" t="str">
        <f>VLOOKUP(C:C,[1]基础信息!B$1:D$65536,3,0)</f>
        <v>UTS</v>
      </c>
      <c r="AM1198" s="1" t="str">
        <f>VLOOKUP(C:C,[1]基础信息!B$1:E$65536,4,0)</f>
        <v>MyPure</v>
      </c>
      <c r="AN1198" s="1" t="str">
        <f>VLOOKUP(C:C,[1]基础信息!B$1:F$65536,5,0)</f>
        <v>R8</v>
      </c>
    </row>
    <row r="1199" spans="1:40">
      <c r="A1199" s="1" t="s">
        <v>41</v>
      </c>
      <c r="B1199" s="1" t="s">
        <v>42</v>
      </c>
      <c r="C1199" s="1" t="s">
        <v>1183</v>
      </c>
      <c r="D1199" s="1" t="s">
        <v>1184</v>
      </c>
      <c r="E1199" s="1" t="s">
        <v>45</v>
      </c>
      <c r="F1199" s="1" t="s">
        <v>1185</v>
      </c>
      <c r="G1199" s="1" t="s">
        <v>2819</v>
      </c>
      <c r="H1199" s="1" t="s">
        <v>2820</v>
      </c>
      <c r="I1199" s="1" t="s">
        <v>49</v>
      </c>
      <c r="J1199" s="1" t="s">
        <v>48</v>
      </c>
      <c r="K1199" s="1">
        <v>12</v>
      </c>
      <c r="L1199" s="1">
        <v>0</v>
      </c>
      <c r="M1199" s="1">
        <v>0</v>
      </c>
      <c r="N1199" s="1">
        <v>12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 t="s">
        <v>49</v>
      </c>
      <c r="AA1199" s="1" t="s">
        <v>49</v>
      </c>
      <c r="AB1199" s="1" t="s">
        <v>49</v>
      </c>
      <c r="AC1199" s="1" t="s">
        <v>1188</v>
      </c>
      <c r="AD1199" s="1" t="s">
        <v>1189</v>
      </c>
      <c r="AE1199" s="1" t="s">
        <v>1188</v>
      </c>
      <c r="AF1199" s="1" t="s">
        <v>1190</v>
      </c>
      <c r="AG1199" s="1" t="s">
        <v>53</v>
      </c>
      <c r="AH1199" s="1" t="s">
        <v>49</v>
      </c>
      <c r="AI1199" s="1" t="s">
        <v>54</v>
      </c>
      <c r="AJ1199" s="1">
        <v>1</v>
      </c>
      <c r="AK1199" s="1" t="str">
        <f t="shared" si="18"/>
        <v xml:space="preserve"> =&lt;90</v>
      </c>
      <c r="AL1199" s="1" t="e">
        <f>VLOOKUP(C:C,[1]基础信息!B$1:D$65536,3,0)</f>
        <v>#N/A</v>
      </c>
      <c r="AM1199" s="1" t="e">
        <f>VLOOKUP(C:C,[1]基础信息!B$1:E$65536,4,0)</f>
        <v>#N/A</v>
      </c>
      <c r="AN1199" s="1" t="e">
        <f>VLOOKUP(C:C,[1]基础信息!B$1:F$65536,5,0)</f>
        <v>#N/A</v>
      </c>
    </row>
    <row r="1200" spans="1:40">
      <c r="A1200" s="1" t="s">
        <v>41</v>
      </c>
      <c r="B1200" s="1" t="s">
        <v>42</v>
      </c>
      <c r="C1200" s="1" t="s">
        <v>301</v>
      </c>
      <c r="D1200" s="1" t="s">
        <v>302</v>
      </c>
      <c r="E1200" s="1" t="s">
        <v>45</v>
      </c>
      <c r="F1200" s="1" t="s">
        <v>2797</v>
      </c>
      <c r="G1200" s="1" t="s">
        <v>2821</v>
      </c>
      <c r="H1200" s="1" t="s">
        <v>2822</v>
      </c>
      <c r="I1200" s="1" t="s">
        <v>49</v>
      </c>
      <c r="J1200" s="1" t="s">
        <v>48</v>
      </c>
      <c r="K1200" s="1">
        <v>96</v>
      </c>
      <c r="L1200" s="1">
        <v>0</v>
      </c>
      <c r="M1200" s="1">
        <v>0</v>
      </c>
      <c r="N1200" s="1">
        <v>96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 t="s">
        <v>49</v>
      </c>
      <c r="AA1200" s="1" t="s">
        <v>49</v>
      </c>
      <c r="AB1200" s="1" t="s">
        <v>49</v>
      </c>
      <c r="AC1200" s="1" t="s">
        <v>376</v>
      </c>
      <c r="AD1200" s="1" t="s">
        <v>377</v>
      </c>
      <c r="AE1200" s="1" t="s">
        <v>376</v>
      </c>
      <c r="AF1200" s="1" t="s">
        <v>2800</v>
      </c>
      <c r="AG1200" s="1" t="s">
        <v>53</v>
      </c>
      <c r="AH1200" s="1" t="s">
        <v>49</v>
      </c>
      <c r="AI1200" s="1" t="s">
        <v>54</v>
      </c>
      <c r="AJ1200" s="1">
        <v>1</v>
      </c>
      <c r="AK1200" s="1" t="str">
        <f t="shared" si="18"/>
        <v xml:space="preserve"> =&lt;90</v>
      </c>
      <c r="AL1200" s="1" t="str">
        <f>VLOOKUP(C:C,[1]基础信息!B$1:D$65536,3,0)</f>
        <v>Jug</v>
      </c>
      <c r="AM1200" s="1" t="str">
        <f>VLOOKUP(C:C,[1]基础信息!B$1:E$65536,4,0)</f>
        <v>Aluna</v>
      </c>
      <c r="AN1200" s="1" t="str">
        <f>VLOOKUP(C:C,[1]基础信息!B$1:F$65536,5,0)</f>
        <v>Blue</v>
      </c>
    </row>
    <row r="1201" spans="1:40">
      <c r="A1201" s="1" t="s">
        <v>41</v>
      </c>
      <c r="B1201" s="1" t="s">
        <v>42</v>
      </c>
      <c r="C1201" s="1" t="s">
        <v>301</v>
      </c>
      <c r="D1201" s="1" t="s">
        <v>302</v>
      </c>
      <c r="E1201" s="1" t="s">
        <v>45</v>
      </c>
      <c r="F1201" s="1" t="s">
        <v>2797</v>
      </c>
      <c r="G1201" s="1" t="s">
        <v>2823</v>
      </c>
      <c r="H1201" s="1" t="s">
        <v>2824</v>
      </c>
      <c r="I1201" s="1" t="s">
        <v>49</v>
      </c>
      <c r="J1201" s="1" t="s">
        <v>48</v>
      </c>
      <c r="K1201" s="1">
        <v>96</v>
      </c>
      <c r="L1201" s="1">
        <v>0</v>
      </c>
      <c r="M1201" s="1">
        <v>0</v>
      </c>
      <c r="N1201" s="1">
        <v>96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 t="s">
        <v>49</v>
      </c>
      <c r="AA1201" s="1" t="s">
        <v>49</v>
      </c>
      <c r="AB1201" s="1" t="s">
        <v>49</v>
      </c>
      <c r="AC1201" s="1" t="s">
        <v>376</v>
      </c>
      <c r="AD1201" s="1" t="s">
        <v>377</v>
      </c>
      <c r="AE1201" s="1" t="s">
        <v>376</v>
      </c>
      <c r="AF1201" s="1" t="s">
        <v>2800</v>
      </c>
      <c r="AG1201" s="1" t="s">
        <v>53</v>
      </c>
      <c r="AH1201" s="1" t="s">
        <v>49</v>
      </c>
      <c r="AI1201" s="1" t="s">
        <v>54</v>
      </c>
      <c r="AJ1201" s="1">
        <v>1</v>
      </c>
      <c r="AK1201" s="1" t="str">
        <f t="shared" si="18"/>
        <v xml:space="preserve"> =&lt;90</v>
      </c>
      <c r="AL1201" s="1" t="str">
        <f>VLOOKUP(C:C,[1]基础信息!B$1:D$65536,3,0)</f>
        <v>Jug</v>
      </c>
      <c r="AM1201" s="1" t="str">
        <f>VLOOKUP(C:C,[1]基础信息!B$1:E$65536,4,0)</f>
        <v>Aluna</v>
      </c>
      <c r="AN1201" s="1" t="str">
        <f>VLOOKUP(C:C,[1]基础信息!B$1:F$65536,5,0)</f>
        <v>Blue</v>
      </c>
    </row>
    <row r="1202" spans="1:40">
      <c r="A1202" s="1" t="s">
        <v>41</v>
      </c>
      <c r="B1202" s="1" t="s">
        <v>42</v>
      </c>
      <c r="C1202" s="1" t="s">
        <v>301</v>
      </c>
      <c r="D1202" s="1" t="s">
        <v>302</v>
      </c>
      <c r="E1202" s="1" t="s">
        <v>45</v>
      </c>
      <c r="F1202" s="1" t="s">
        <v>2797</v>
      </c>
      <c r="G1202" s="1" t="s">
        <v>2825</v>
      </c>
      <c r="H1202" s="1" t="s">
        <v>2826</v>
      </c>
      <c r="I1202" s="1" t="s">
        <v>49</v>
      </c>
      <c r="J1202" s="1" t="s">
        <v>48</v>
      </c>
      <c r="K1202" s="1">
        <v>96</v>
      </c>
      <c r="L1202" s="1">
        <v>0</v>
      </c>
      <c r="M1202" s="1">
        <v>0</v>
      </c>
      <c r="N1202" s="1">
        <v>96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 t="s">
        <v>49</v>
      </c>
      <c r="AA1202" s="1" t="s">
        <v>49</v>
      </c>
      <c r="AB1202" s="1" t="s">
        <v>49</v>
      </c>
      <c r="AC1202" s="1" t="s">
        <v>376</v>
      </c>
      <c r="AD1202" s="1" t="s">
        <v>377</v>
      </c>
      <c r="AE1202" s="1" t="s">
        <v>376</v>
      </c>
      <c r="AF1202" s="1" t="s">
        <v>2800</v>
      </c>
      <c r="AG1202" s="1" t="s">
        <v>53</v>
      </c>
      <c r="AH1202" s="1" t="s">
        <v>49</v>
      </c>
      <c r="AI1202" s="1" t="s">
        <v>54</v>
      </c>
      <c r="AJ1202" s="1">
        <v>1</v>
      </c>
      <c r="AK1202" s="1" t="str">
        <f t="shared" si="18"/>
        <v xml:space="preserve"> =&lt;90</v>
      </c>
      <c r="AL1202" s="1" t="str">
        <f>VLOOKUP(C:C,[1]基础信息!B$1:D$65536,3,0)</f>
        <v>Jug</v>
      </c>
      <c r="AM1202" s="1" t="str">
        <f>VLOOKUP(C:C,[1]基础信息!B$1:E$65536,4,0)</f>
        <v>Aluna</v>
      </c>
      <c r="AN1202" s="1" t="str">
        <f>VLOOKUP(C:C,[1]基础信息!B$1:F$65536,5,0)</f>
        <v>Blue</v>
      </c>
    </row>
    <row r="1203" spans="1:40">
      <c r="A1203" s="1" t="s">
        <v>41</v>
      </c>
      <c r="B1203" s="1" t="s">
        <v>42</v>
      </c>
      <c r="C1203" s="1" t="s">
        <v>301</v>
      </c>
      <c r="D1203" s="1" t="s">
        <v>302</v>
      </c>
      <c r="E1203" s="1" t="s">
        <v>45</v>
      </c>
      <c r="F1203" s="1" t="s">
        <v>2797</v>
      </c>
      <c r="G1203" s="1" t="s">
        <v>2827</v>
      </c>
      <c r="H1203" s="1" t="s">
        <v>2828</v>
      </c>
      <c r="I1203" s="1" t="s">
        <v>49</v>
      </c>
      <c r="J1203" s="1" t="s">
        <v>48</v>
      </c>
      <c r="K1203" s="1">
        <v>96</v>
      </c>
      <c r="L1203" s="1">
        <v>0</v>
      </c>
      <c r="M1203" s="1">
        <v>0</v>
      </c>
      <c r="N1203" s="1">
        <v>96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 t="s">
        <v>49</v>
      </c>
      <c r="AA1203" s="1" t="s">
        <v>49</v>
      </c>
      <c r="AB1203" s="1" t="s">
        <v>49</v>
      </c>
      <c r="AC1203" s="1" t="s">
        <v>376</v>
      </c>
      <c r="AD1203" s="1" t="s">
        <v>377</v>
      </c>
      <c r="AE1203" s="1" t="s">
        <v>376</v>
      </c>
      <c r="AF1203" s="1" t="s">
        <v>2800</v>
      </c>
      <c r="AG1203" s="1" t="s">
        <v>53</v>
      </c>
      <c r="AH1203" s="1" t="s">
        <v>49</v>
      </c>
      <c r="AI1203" s="1" t="s">
        <v>54</v>
      </c>
      <c r="AJ1203" s="1">
        <v>1</v>
      </c>
      <c r="AK1203" s="1" t="str">
        <f t="shared" si="18"/>
        <v xml:space="preserve"> =&lt;90</v>
      </c>
      <c r="AL1203" s="1" t="str">
        <f>VLOOKUP(C:C,[1]基础信息!B$1:D$65536,3,0)</f>
        <v>Jug</v>
      </c>
      <c r="AM1203" s="1" t="str">
        <f>VLOOKUP(C:C,[1]基础信息!B$1:E$65536,4,0)</f>
        <v>Aluna</v>
      </c>
      <c r="AN1203" s="1" t="str">
        <f>VLOOKUP(C:C,[1]基础信息!B$1:F$65536,5,0)</f>
        <v>Blue</v>
      </c>
    </row>
    <row r="1204" spans="1:40">
      <c r="A1204" s="1" t="s">
        <v>41</v>
      </c>
      <c r="B1204" s="1" t="s">
        <v>42</v>
      </c>
      <c r="C1204" s="1" t="s">
        <v>301</v>
      </c>
      <c r="D1204" s="1" t="s">
        <v>302</v>
      </c>
      <c r="E1204" s="1" t="s">
        <v>45</v>
      </c>
      <c r="F1204" s="1" t="s">
        <v>2797</v>
      </c>
      <c r="G1204" s="1" t="s">
        <v>2829</v>
      </c>
      <c r="H1204" s="1" t="s">
        <v>2830</v>
      </c>
      <c r="I1204" s="1" t="s">
        <v>49</v>
      </c>
      <c r="J1204" s="1" t="s">
        <v>48</v>
      </c>
      <c r="K1204" s="1">
        <v>96</v>
      </c>
      <c r="L1204" s="1">
        <v>0</v>
      </c>
      <c r="M1204" s="1">
        <v>0</v>
      </c>
      <c r="N1204" s="1">
        <v>96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 t="s">
        <v>49</v>
      </c>
      <c r="AA1204" s="1" t="s">
        <v>49</v>
      </c>
      <c r="AB1204" s="1" t="s">
        <v>49</v>
      </c>
      <c r="AC1204" s="1" t="s">
        <v>376</v>
      </c>
      <c r="AD1204" s="1" t="s">
        <v>377</v>
      </c>
      <c r="AE1204" s="1" t="s">
        <v>376</v>
      </c>
      <c r="AF1204" s="1" t="s">
        <v>2800</v>
      </c>
      <c r="AG1204" s="1" t="s">
        <v>53</v>
      </c>
      <c r="AH1204" s="1" t="s">
        <v>49</v>
      </c>
      <c r="AI1204" s="1" t="s">
        <v>54</v>
      </c>
      <c r="AJ1204" s="1">
        <v>1</v>
      </c>
      <c r="AK1204" s="1" t="str">
        <f t="shared" si="18"/>
        <v xml:space="preserve"> =&lt;90</v>
      </c>
      <c r="AL1204" s="1" t="str">
        <f>VLOOKUP(C:C,[1]基础信息!B$1:D$65536,3,0)</f>
        <v>Jug</v>
      </c>
      <c r="AM1204" s="1" t="str">
        <f>VLOOKUP(C:C,[1]基础信息!B$1:E$65536,4,0)</f>
        <v>Aluna</v>
      </c>
      <c r="AN1204" s="1" t="str">
        <f>VLOOKUP(C:C,[1]基础信息!B$1:F$65536,5,0)</f>
        <v>Blue</v>
      </c>
    </row>
    <row r="1205" spans="1:40">
      <c r="A1205" s="1" t="s">
        <v>41</v>
      </c>
      <c r="B1205" s="1" t="s">
        <v>42</v>
      </c>
      <c r="C1205" s="1" t="s">
        <v>301</v>
      </c>
      <c r="D1205" s="1" t="s">
        <v>302</v>
      </c>
      <c r="E1205" s="1" t="s">
        <v>45</v>
      </c>
      <c r="F1205" s="1" t="s">
        <v>2797</v>
      </c>
      <c r="G1205" s="1" t="s">
        <v>2831</v>
      </c>
      <c r="H1205" s="1" t="s">
        <v>2832</v>
      </c>
      <c r="I1205" s="1" t="s">
        <v>49</v>
      </c>
      <c r="J1205" s="1" t="s">
        <v>48</v>
      </c>
      <c r="K1205" s="1">
        <v>96</v>
      </c>
      <c r="L1205" s="1">
        <v>0</v>
      </c>
      <c r="M1205" s="1">
        <v>0</v>
      </c>
      <c r="N1205" s="1">
        <v>96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 t="s">
        <v>49</v>
      </c>
      <c r="AA1205" s="1" t="s">
        <v>49</v>
      </c>
      <c r="AB1205" s="1" t="s">
        <v>49</v>
      </c>
      <c r="AC1205" s="1" t="s">
        <v>376</v>
      </c>
      <c r="AD1205" s="1" t="s">
        <v>377</v>
      </c>
      <c r="AE1205" s="1" t="s">
        <v>376</v>
      </c>
      <c r="AF1205" s="1" t="s">
        <v>2800</v>
      </c>
      <c r="AG1205" s="1" t="s">
        <v>53</v>
      </c>
      <c r="AH1205" s="1" t="s">
        <v>49</v>
      </c>
      <c r="AI1205" s="1" t="s">
        <v>54</v>
      </c>
      <c r="AJ1205" s="1">
        <v>1</v>
      </c>
      <c r="AK1205" s="1" t="str">
        <f t="shared" si="18"/>
        <v xml:space="preserve"> =&lt;90</v>
      </c>
      <c r="AL1205" s="1" t="str">
        <f>VLOOKUP(C:C,[1]基础信息!B$1:D$65536,3,0)</f>
        <v>Jug</v>
      </c>
      <c r="AM1205" s="1" t="str">
        <f>VLOOKUP(C:C,[1]基础信息!B$1:E$65536,4,0)</f>
        <v>Aluna</v>
      </c>
      <c r="AN1205" s="1" t="str">
        <f>VLOOKUP(C:C,[1]基础信息!B$1:F$65536,5,0)</f>
        <v>Blue</v>
      </c>
    </row>
    <row r="1206" spans="1:40">
      <c r="A1206" s="1" t="s">
        <v>41</v>
      </c>
      <c r="B1206" s="1" t="s">
        <v>42</v>
      </c>
      <c r="C1206" s="1" t="s">
        <v>301</v>
      </c>
      <c r="D1206" s="1" t="s">
        <v>302</v>
      </c>
      <c r="E1206" s="1" t="s">
        <v>45</v>
      </c>
      <c r="F1206" s="1" t="s">
        <v>2797</v>
      </c>
      <c r="G1206" s="1" t="s">
        <v>2833</v>
      </c>
      <c r="H1206" s="1" t="s">
        <v>2834</v>
      </c>
      <c r="I1206" s="1" t="s">
        <v>49</v>
      </c>
      <c r="J1206" s="1" t="s">
        <v>48</v>
      </c>
      <c r="K1206" s="1">
        <v>96</v>
      </c>
      <c r="L1206" s="1">
        <v>0</v>
      </c>
      <c r="M1206" s="1">
        <v>0</v>
      </c>
      <c r="N1206" s="1">
        <v>96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 t="s">
        <v>49</v>
      </c>
      <c r="AA1206" s="1" t="s">
        <v>49</v>
      </c>
      <c r="AB1206" s="1" t="s">
        <v>49</v>
      </c>
      <c r="AC1206" s="1" t="s">
        <v>376</v>
      </c>
      <c r="AD1206" s="1" t="s">
        <v>377</v>
      </c>
      <c r="AE1206" s="1" t="s">
        <v>376</v>
      </c>
      <c r="AF1206" s="1" t="s">
        <v>2800</v>
      </c>
      <c r="AG1206" s="1" t="s">
        <v>53</v>
      </c>
      <c r="AH1206" s="1" t="s">
        <v>49</v>
      </c>
      <c r="AI1206" s="1" t="s">
        <v>54</v>
      </c>
      <c r="AJ1206" s="1">
        <v>1</v>
      </c>
      <c r="AK1206" s="1" t="str">
        <f t="shared" si="18"/>
        <v xml:space="preserve"> =&lt;90</v>
      </c>
      <c r="AL1206" s="1" t="str">
        <f>VLOOKUP(C:C,[1]基础信息!B$1:D$65536,3,0)</f>
        <v>Jug</v>
      </c>
      <c r="AM1206" s="1" t="str">
        <f>VLOOKUP(C:C,[1]基础信息!B$1:E$65536,4,0)</f>
        <v>Aluna</v>
      </c>
      <c r="AN1206" s="1" t="str">
        <f>VLOOKUP(C:C,[1]基础信息!B$1:F$65536,5,0)</f>
        <v>Blue</v>
      </c>
    </row>
    <row r="1207" spans="1:40">
      <c r="A1207" s="1" t="s">
        <v>41</v>
      </c>
      <c r="B1207" s="1" t="s">
        <v>42</v>
      </c>
      <c r="C1207" s="1" t="s">
        <v>301</v>
      </c>
      <c r="D1207" s="1" t="s">
        <v>302</v>
      </c>
      <c r="E1207" s="1" t="s">
        <v>45</v>
      </c>
      <c r="F1207" s="1" t="s">
        <v>2797</v>
      </c>
      <c r="G1207" s="1" t="s">
        <v>2835</v>
      </c>
      <c r="H1207" s="1" t="s">
        <v>2836</v>
      </c>
      <c r="I1207" s="1" t="s">
        <v>49</v>
      </c>
      <c r="J1207" s="1" t="s">
        <v>48</v>
      </c>
      <c r="K1207" s="1">
        <v>96</v>
      </c>
      <c r="L1207" s="1">
        <v>0</v>
      </c>
      <c r="M1207" s="1">
        <v>0</v>
      </c>
      <c r="N1207" s="1">
        <v>96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 t="s">
        <v>49</v>
      </c>
      <c r="AA1207" s="1" t="s">
        <v>49</v>
      </c>
      <c r="AB1207" s="1" t="s">
        <v>49</v>
      </c>
      <c r="AC1207" s="1" t="s">
        <v>376</v>
      </c>
      <c r="AD1207" s="1" t="s">
        <v>377</v>
      </c>
      <c r="AE1207" s="1" t="s">
        <v>376</v>
      </c>
      <c r="AF1207" s="1" t="s">
        <v>2800</v>
      </c>
      <c r="AG1207" s="1" t="s">
        <v>53</v>
      </c>
      <c r="AH1207" s="1" t="s">
        <v>49</v>
      </c>
      <c r="AI1207" s="1" t="s">
        <v>54</v>
      </c>
      <c r="AJ1207" s="1">
        <v>1</v>
      </c>
      <c r="AK1207" s="1" t="str">
        <f t="shared" si="18"/>
        <v xml:space="preserve"> =&lt;90</v>
      </c>
      <c r="AL1207" s="1" t="str">
        <f>VLOOKUP(C:C,[1]基础信息!B$1:D$65536,3,0)</f>
        <v>Jug</v>
      </c>
      <c r="AM1207" s="1" t="str">
        <f>VLOOKUP(C:C,[1]基础信息!B$1:E$65536,4,0)</f>
        <v>Aluna</v>
      </c>
      <c r="AN1207" s="1" t="str">
        <f>VLOOKUP(C:C,[1]基础信息!B$1:F$65536,5,0)</f>
        <v>Blue</v>
      </c>
    </row>
    <row r="1208" spans="1:40">
      <c r="A1208" s="1" t="s">
        <v>41</v>
      </c>
      <c r="B1208" s="1" t="s">
        <v>42</v>
      </c>
      <c r="C1208" s="1" t="s">
        <v>301</v>
      </c>
      <c r="D1208" s="1" t="s">
        <v>302</v>
      </c>
      <c r="E1208" s="1" t="s">
        <v>45</v>
      </c>
      <c r="F1208" s="1" t="s">
        <v>2797</v>
      </c>
      <c r="G1208" s="1" t="s">
        <v>2837</v>
      </c>
      <c r="H1208" s="1" t="s">
        <v>2838</v>
      </c>
      <c r="I1208" s="1" t="s">
        <v>49</v>
      </c>
      <c r="J1208" s="1" t="s">
        <v>48</v>
      </c>
      <c r="K1208" s="1">
        <v>96</v>
      </c>
      <c r="L1208" s="1">
        <v>0</v>
      </c>
      <c r="M1208" s="1">
        <v>0</v>
      </c>
      <c r="N1208" s="1">
        <v>96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 t="s">
        <v>49</v>
      </c>
      <c r="AA1208" s="1" t="s">
        <v>49</v>
      </c>
      <c r="AB1208" s="1" t="s">
        <v>49</v>
      </c>
      <c r="AC1208" s="1" t="s">
        <v>376</v>
      </c>
      <c r="AD1208" s="1" t="s">
        <v>377</v>
      </c>
      <c r="AE1208" s="1" t="s">
        <v>376</v>
      </c>
      <c r="AF1208" s="1" t="s">
        <v>2800</v>
      </c>
      <c r="AG1208" s="1" t="s">
        <v>53</v>
      </c>
      <c r="AH1208" s="1" t="s">
        <v>49</v>
      </c>
      <c r="AI1208" s="1" t="s">
        <v>54</v>
      </c>
      <c r="AJ1208" s="1">
        <v>1</v>
      </c>
      <c r="AK1208" s="1" t="str">
        <f t="shared" si="18"/>
        <v xml:space="preserve"> =&lt;90</v>
      </c>
      <c r="AL1208" s="1" t="str">
        <f>VLOOKUP(C:C,[1]基础信息!B$1:D$65536,3,0)</f>
        <v>Jug</v>
      </c>
      <c r="AM1208" s="1" t="str">
        <f>VLOOKUP(C:C,[1]基础信息!B$1:E$65536,4,0)</f>
        <v>Aluna</v>
      </c>
      <c r="AN1208" s="1" t="str">
        <f>VLOOKUP(C:C,[1]基础信息!B$1:F$65536,5,0)</f>
        <v>Blue</v>
      </c>
    </row>
    <row r="1209" spans="1:40">
      <c r="A1209" s="1" t="s">
        <v>41</v>
      </c>
      <c r="B1209" s="1" t="s">
        <v>42</v>
      </c>
      <c r="C1209" s="1" t="s">
        <v>301</v>
      </c>
      <c r="D1209" s="1" t="s">
        <v>302</v>
      </c>
      <c r="E1209" s="1" t="s">
        <v>45</v>
      </c>
      <c r="F1209" s="1" t="s">
        <v>2797</v>
      </c>
      <c r="G1209" s="1" t="s">
        <v>2839</v>
      </c>
      <c r="H1209" s="1" t="s">
        <v>2840</v>
      </c>
      <c r="I1209" s="1" t="s">
        <v>49</v>
      </c>
      <c r="J1209" s="1" t="s">
        <v>48</v>
      </c>
      <c r="K1209" s="1">
        <v>96</v>
      </c>
      <c r="L1209" s="1">
        <v>0</v>
      </c>
      <c r="M1209" s="1">
        <v>0</v>
      </c>
      <c r="N1209" s="1">
        <v>96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 t="s">
        <v>49</v>
      </c>
      <c r="AA1209" s="1" t="s">
        <v>49</v>
      </c>
      <c r="AB1209" s="1" t="s">
        <v>49</v>
      </c>
      <c r="AC1209" s="1" t="s">
        <v>376</v>
      </c>
      <c r="AD1209" s="1" t="s">
        <v>377</v>
      </c>
      <c r="AE1209" s="1" t="s">
        <v>376</v>
      </c>
      <c r="AF1209" s="1" t="s">
        <v>2800</v>
      </c>
      <c r="AG1209" s="1" t="s">
        <v>53</v>
      </c>
      <c r="AH1209" s="1" t="s">
        <v>49</v>
      </c>
      <c r="AI1209" s="1" t="s">
        <v>54</v>
      </c>
      <c r="AJ1209" s="1">
        <v>1</v>
      </c>
      <c r="AK1209" s="1" t="str">
        <f t="shared" si="18"/>
        <v xml:space="preserve"> =&lt;90</v>
      </c>
      <c r="AL1209" s="1" t="str">
        <f>VLOOKUP(C:C,[1]基础信息!B$1:D$65536,3,0)</f>
        <v>Jug</v>
      </c>
      <c r="AM1209" s="1" t="str">
        <f>VLOOKUP(C:C,[1]基础信息!B$1:E$65536,4,0)</f>
        <v>Aluna</v>
      </c>
      <c r="AN1209" s="1" t="str">
        <f>VLOOKUP(C:C,[1]基础信息!B$1:F$65536,5,0)</f>
        <v>Blue</v>
      </c>
    </row>
    <row r="1210" spans="1:40">
      <c r="A1210" s="1" t="s">
        <v>41</v>
      </c>
      <c r="B1210" s="1" t="s">
        <v>42</v>
      </c>
      <c r="C1210" s="1" t="s">
        <v>301</v>
      </c>
      <c r="D1210" s="1" t="s">
        <v>302</v>
      </c>
      <c r="E1210" s="1" t="s">
        <v>45</v>
      </c>
      <c r="F1210" s="1" t="s">
        <v>2797</v>
      </c>
      <c r="G1210" s="1" t="s">
        <v>2841</v>
      </c>
      <c r="H1210" s="1" t="s">
        <v>2842</v>
      </c>
      <c r="I1210" s="1" t="s">
        <v>49</v>
      </c>
      <c r="J1210" s="1" t="s">
        <v>48</v>
      </c>
      <c r="K1210" s="1">
        <v>96</v>
      </c>
      <c r="L1210" s="1">
        <v>0</v>
      </c>
      <c r="M1210" s="1">
        <v>0</v>
      </c>
      <c r="N1210" s="1">
        <v>96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 t="s">
        <v>49</v>
      </c>
      <c r="AA1210" s="1" t="s">
        <v>49</v>
      </c>
      <c r="AB1210" s="1" t="s">
        <v>49</v>
      </c>
      <c r="AC1210" s="1" t="s">
        <v>376</v>
      </c>
      <c r="AD1210" s="1" t="s">
        <v>377</v>
      </c>
      <c r="AE1210" s="1" t="s">
        <v>376</v>
      </c>
      <c r="AF1210" s="1" t="s">
        <v>2800</v>
      </c>
      <c r="AG1210" s="1" t="s">
        <v>53</v>
      </c>
      <c r="AH1210" s="1" t="s">
        <v>49</v>
      </c>
      <c r="AI1210" s="1" t="s">
        <v>54</v>
      </c>
      <c r="AJ1210" s="1">
        <v>1</v>
      </c>
      <c r="AK1210" s="1" t="str">
        <f t="shared" si="18"/>
        <v xml:space="preserve"> =&lt;90</v>
      </c>
      <c r="AL1210" s="1" t="str">
        <f>VLOOKUP(C:C,[1]基础信息!B$1:D$65536,3,0)</f>
        <v>Jug</v>
      </c>
      <c r="AM1210" s="1" t="str">
        <f>VLOOKUP(C:C,[1]基础信息!B$1:E$65536,4,0)</f>
        <v>Aluna</v>
      </c>
      <c r="AN1210" s="1" t="str">
        <f>VLOOKUP(C:C,[1]基础信息!B$1:F$65536,5,0)</f>
        <v>Blue</v>
      </c>
    </row>
    <row r="1211" spans="1:40">
      <c r="A1211" s="1" t="s">
        <v>41</v>
      </c>
      <c r="B1211" s="1" t="s">
        <v>42</v>
      </c>
      <c r="C1211" s="1" t="s">
        <v>301</v>
      </c>
      <c r="D1211" s="1" t="s">
        <v>302</v>
      </c>
      <c r="E1211" s="1" t="s">
        <v>45</v>
      </c>
      <c r="F1211" s="1" t="s">
        <v>2797</v>
      </c>
      <c r="G1211" s="1" t="s">
        <v>2843</v>
      </c>
      <c r="H1211" s="1" t="s">
        <v>2844</v>
      </c>
      <c r="I1211" s="1" t="s">
        <v>49</v>
      </c>
      <c r="J1211" s="1" t="s">
        <v>48</v>
      </c>
      <c r="K1211" s="1">
        <v>96</v>
      </c>
      <c r="L1211" s="1">
        <v>0</v>
      </c>
      <c r="M1211" s="1">
        <v>0</v>
      </c>
      <c r="N1211" s="1">
        <v>96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 t="s">
        <v>49</v>
      </c>
      <c r="AA1211" s="1" t="s">
        <v>49</v>
      </c>
      <c r="AB1211" s="1" t="s">
        <v>49</v>
      </c>
      <c r="AC1211" s="1" t="s">
        <v>376</v>
      </c>
      <c r="AD1211" s="1" t="s">
        <v>377</v>
      </c>
      <c r="AE1211" s="1" t="s">
        <v>376</v>
      </c>
      <c r="AF1211" s="1" t="s">
        <v>2800</v>
      </c>
      <c r="AG1211" s="1" t="s">
        <v>53</v>
      </c>
      <c r="AH1211" s="1" t="s">
        <v>49</v>
      </c>
      <c r="AI1211" s="1" t="s">
        <v>54</v>
      </c>
      <c r="AJ1211" s="1">
        <v>1</v>
      </c>
      <c r="AK1211" s="1" t="str">
        <f t="shared" si="18"/>
        <v xml:space="preserve"> =&lt;90</v>
      </c>
      <c r="AL1211" s="1" t="str">
        <f>VLOOKUP(C:C,[1]基础信息!B$1:D$65536,3,0)</f>
        <v>Jug</v>
      </c>
      <c r="AM1211" s="1" t="str">
        <f>VLOOKUP(C:C,[1]基础信息!B$1:E$65536,4,0)</f>
        <v>Aluna</v>
      </c>
      <c r="AN1211" s="1" t="str">
        <f>VLOOKUP(C:C,[1]基础信息!B$1:F$65536,5,0)</f>
        <v>Blue</v>
      </c>
    </row>
    <row r="1212" spans="1:40">
      <c r="A1212" s="1" t="s">
        <v>41</v>
      </c>
      <c r="B1212" s="1" t="s">
        <v>42</v>
      </c>
      <c r="C1212" s="1" t="s">
        <v>301</v>
      </c>
      <c r="D1212" s="1" t="s">
        <v>302</v>
      </c>
      <c r="E1212" s="1" t="s">
        <v>45</v>
      </c>
      <c r="F1212" s="1" t="s">
        <v>2797</v>
      </c>
      <c r="G1212" s="1" t="s">
        <v>2845</v>
      </c>
      <c r="H1212" s="1" t="s">
        <v>2846</v>
      </c>
      <c r="I1212" s="1" t="s">
        <v>49</v>
      </c>
      <c r="J1212" s="1" t="s">
        <v>48</v>
      </c>
      <c r="K1212" s="1">
        <v>96</v>
      </c>
      <c r="L1212" s="1">
        <v>0</v>
      </c>
      <c r="M1212" s="1">
        <v>0</v>
      </c>
      <c r="N1212" s="1">
        <v>96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 t="s">
        <v>49</v>
      </c>
      <c r="AA1212" s="1" t="s">
        <v>49</v>
      </c>
      <c r="AB1212" s="1" t="s">
        <v>49</v>
      </c>
      <c r="AC1212" s="1" t="s">
        <v>376</v>
      </c>
      <c r="AD1212" s="1" t="s">
        <v>377</v>
      </c>
      <c r="AE1212" s="1" t="s">
        <v>376</v>
      </c>
      <c r="AF1212" s="1" t="s">
        <v>2800</v>
      </c>
      <c r="AG1212" s="1" t="s">
        <v>53</v>
      </c>
      <c r="AH1212" s="1" t="s">
        <v>49</v>
      </c>
      <c r="AI1212" s="1" t="s">
        <v>54</v>
      </c>
      <c r="AJ1212" s="1">
        <v>1</v>
      </c>
      <c r="AK1212" s="1" t="str">
        <f t="shared" si="18"/>
        <v xml:space="preserve"> =&lt;90</v>
      </c>
      <c r="AL1212" s="1" t="str">
        <f>VLOOKUP(C:C,[1]基础信息!B$1:D$65536,3,0)</f>
        <v>Jug</v>
      </c>
      <c r="AM1212" s="1" t="str">
        <f>VLOOKUP(C:C,[1]基础信息!B$1:E$65536,4,0)</f>
        <v>Aluna</v>
      </c>
      <c r="AN1212" s="1" t="str">
        <f>VLOOKUP(C:C,[1]基础信息!B$1:F$65536,5,0)</f>
        <v>Blue</v>
      </c>
    </row>
    <row r="1213" spans="1:40">
      <c r="A1213" s="1" t="s">
        <v>41</v>
      </c>
      <c r="B1213" s="1" t="s">
        <v>42</v>
      </c>
      <c r="C1213" s="1" t="s">
        <v>301</v>
      </c>
      <c r="D1213" s="1" t="s">
        <v>302</v>
      </c>
      <c r="E1213" s="1" t="s">
        <v>45</v>
      </c>
      <c r="F1213" s="1" t="s">
        <v>2797</v>
      </c>
      <c r="G1213" s="1" t="s">
        <v>2847</v>
      </c>
      <c r="H1213" s="1" t="s">
        <v>2848</v>
      </c>
      <c r="I1213" s="1" t="s">
        <v>49</v>
      </c>
      <c r="J1213" s="1" t="s">
        <v>48</v>
      </c>
      <c r="K1213" s="1">
        <v>96</v>
      </c>
      <c r="L1213" s="1">
        <v>0</v>
      </c>
      <c r="M1213" s="1">
        <v>0</v>
      </c>
      <c r="N1213" s="1">
        <v>96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 t="s">
        <v>49</v>
      </c>
      <c r="AA1213" s="1" t="s">
        <v>49</v>
      </c>
      <c r="AB1213" s="1" t="s">
        <v>49</v>
      </c>
      <c r="AC1213" s="1" t="s">
        <v>376</v>
      </c>
      <c r="AD1213" s="1" t="s">
        <v>377</v>
      </c>
      <c r="AE1213" s="1" t="s">
        <v>376</v>
      </c>
      <c r="AF1213" s="1" t="s">
        <v>2800</v>
      </c>
      <c r="AG1213" s="1" t="s">
        <v>53</v>
      </c>
      <c r="AH1213" s="1" t="s">
        <v>49</v>
      </c>
      <c r="AI1213" s="1" t="s">
        <v>54</v>
      </c>
      <c r="AJ1213" s="1">
        <v>1</v>
      </c>
      <c r="AK1213" s="1" t="str">
        <f t="shared" si="18"/>
        <v xml:space="preserve"> =&lt;90</v>
      </c>
      <c r="AL1213" s="1" t="str">
        <f>VLOOKUP(C:C,[1]基础信息!B$1:D$65536,3,0)</f>
        <v>Jug</v>
      </c>
      <c r="AM1213" s="1" t="str">
        <f>VLOOKUP(C:C,[1]基础信息!B$1:E$65536,4,0)</f>
        <v>Aluna</v>
      </c>
      <c r="AN1213" s="1" t="str">
        <f>VLOOKUP(C:C,[1]基础信息!B$1:F$65536,5,0)</f>
        <v>Blue</v>
      </c>
    </row>
    <row r="1214" spans="1:40">
      <c r="A1214" s="1" t="s">
        <v>41</v>
      </c>
      <c r="B1214" s="1" t="s">
        <v>42</v>
      </c>
      <c r="C1214" s="1" t="s">
        <v>83</v>
      </c>
      <c r="D1214" s="1" t="s">
        <v>84</v>
      </c>
      <c r="E1214" s="1" t="s">
        <v>45</v>
      </c>
      <c r="F1214" s="1" t="s">
        <v>2571</v>
      </c>
      <c r="G1214" s="1" t="s">
        <v>2849</v>
      </c>
      <c r="H1214" s="1" t="s">
        <v>2850</v>
      </c>
      <c r="I1214" s="1" t="s">
        <v>49</v>
      </c>
      <c r="J1214" s="1" t="s">
        <v>48</v>
      </c>
      <c r="K1214" s="1">
        <v>96</v>
      </c>
      <c r="L1214" s="1">
        <v>0</v>
      </c>
      <c r="M1214" s="1">
        <v>0</v>
      </c>
      <c r="N1214" s="1">
        <v>96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 t="s">
        <v>49</v>
      </c>
      <c r="AA1214" s="1" t="s">
        <v>49</v>
      </c>
      <c r="AB1214" s="1" t="s">
        <v>49</v>
      </c>
      <c r="AC1214" s="1" t="s">
        <v>213</v>
      </c>
      <c r="AD1214" s="1" t="s">
        <v>214</v>
      </c>
      <c r="AE1214" s="1" t="s">
        <v>215</v>
      </c>
      <c r="AF1214" s="1" t="s">
        <v>2574</v>
      </c>
      <c r="AG1214" s="1" t="s">
        <v>53</v>
      </c>
      <c r="AH1214" s="1" t="s">
        <v>49</v>
      </c>
      <c r="AI1214" s="1" t="s">
        <v>54</v>
      </c>
      <c r="AJ1214" s="1">
        <v>1</v>
      </c>
      <c r="AK1214" s="1" t="str">
        <f t="shared" si="18"/>
        <v xml:space="preserve"> =&lt;90</v>
      </c>
      <c r="AL1214" s="1" t="str">
        <f>VLOOKUP(C:C,[1]基础信息!B$1:D$65536,3,0)</f>
        <v>Jug</v>
      </c>
      <c r="AM1214" s="1" t="str">
        <f>VLOOKUP(C:C,[1]基础信息!B$1:E$65536,4,0)</f>
        <v>Mxplus</v>
      </c>
      <c r="AN1214" s="1" t="str">
        <f>VLOOKUP(C:C,[1]基础信息!B$1:F$65536,5,0)</f>
        <v>Blue</v>
      </c>
    </row>
    <row r="1215" spans="1:40">
      <c r="A1215" s="1" t="s">
        <v>41</v>
      </c>
      <c r="B1215" s="1" t="s">
        <v>42</v>
      </c>
      <c r="C1215" s="1" t="s">
        <v>1710</v>
      </c>
      <c r="D1215" s="1" t="s">
        <v>1711</v>
      </c>
      <c r="E1215" s="1" t="s">
        <v>45</v>
      </c>
      <c r="F1215" s="1" t="s">
        <v>2590</v>
      </c>
      <c r="G1215" s="1" t="s">
        <v>2851</v>
      </c>
      <c r="H1215" s="1" t="s">
        <v>2852</v>
      </c>
      <c r="I1215" s="1" t="s">
        <v>49</v>
      </c>
      <c r="J1215" s="1" t="s">
        <v>48</v>
      </c>
      <c r="K1215" s="1">
        <v>60</v>
      </c>
      <c r="L1215" s="1">
        <v>0</v>
      </c>
      <c r="M1215" s="1">
        <v>0</v>
      </c>
      <c r="N1215" s="1">
        <v>60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 t="s">
        <v>49</v>
      </c>
      <c r="AA1215" s="1" t="s">
        <v>49</v>
      </c>
      <c r="AB1215" s="1" t="s">
        <v>49</v>
      </c>
      <c r="AC1215" s="1" t="s">
        <v>1008</v>
      </c>
      <c r="AD1215" s="1" t="s">
        <v>1009</v>
      </c>
      <c r="AE1215" s="1" t="s">
        <v>1008</v>
      </c>
      <c r="AF1215" s="1" t="s">
        <v>2593</v>
      </c>
      <c r="AG1215" s="1" t="s">
        <v>53</v>
      </c>
      <c r="AH1215" s="1" t="s">
        <v>49</v>
      </c>
      <c r="AI1215" s="1" t="s">
        <v>54</v>
      </c>
      <c r="AJ1215" s="1">
        <v>1</v>
      </c>
      <c r="AK1215" s="1" t="str">
        <f t="shared" si="18"/>
        <v xml:space="preserve"> =&lt;90</v>
      </c>
      <c r="AL1215" s="1" t="str">
        <f>VLOOKUP(C:C,[1]基础信息!B$1:D$65536,3,0)</f>
        <v>Jug</v>
      </c>
      <c r="AM1215" s="1" t="str">
        <f>VLOOKUP(C:C,[1]基础信息!B$1:E$65536,4,0)</f>
        <v>Kalea XL ME4W</v>
      </c>
      <c r="AN1215" s="1" t="str">
        <f>VLOOKUP(C:C,[1]基础信息!B$1:F$65536,5,0)</f>
        <v>grey</v>
      </c>
    </row>
    <row r="1216" spans="1:40">
      <c r="A1216" s="1" t="s">
        <v>41</v>
      </c>
      <c r="B1216" s="1" t="s">
        <v>42</v>
      </c>
      <c r="C1216" s="1" t="s">
        <v>1710</v>
      </c>
      <c r="D1216" s="1" t="s">
        <v>1711</v>
      </c>
      <c r="E1216" s="1" t="s">
        <v>45</v>
      </c>
      <c r="F1216" s="1" t="s">
        <v>2590</v>
      </c>
      <c r="G1216" s="1" t="s">
        <v>2853</v>
      </c>
      <c r="H1216" s="1" t="s">
        <v>2854</v>
      </c>
      <c r="I1216" s="1" t="s">
        <v>49</v>
      </c>
      <c r="J1216" s="1" t="s">
        <v>48</v>
      </c>
      <c r="K1216" s="1">
        <v>60</v>
      </c>
      <c r="L1216" s="1">
        <v>0</v>
      </c>
      <c r="M1216" s="1">
        <v>0</v>
      </c>
      <c r="N1216" s="1">
        <v>60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 t="s">
        <v>49</v>
      </c>
      <c r="AA1216" s="1" t="s">
        <v>49</v>
      </c>
      <c r="AB1216" s="1" t="s">
        <v>49</v>
      </c>
      <c r="AC1216" s="1" t="s">
        <v>1008</v>
      </c>
      <c r="AD1216" s="1" t="s">
        <v>1009</v>
      </c>
      <c r="AE1216" s="1" t="s">
        <v>1008</v>
      </c>
      <c r="AF1216" s="1" t="s">
        <v>2593</v>
      </c>
      <c r="AG1216" s="1" t="s">
        <v>53</v>
      </c>
      <c r="AH1216" s="1" t="s">
        <v>49</v>
      </c>
      <c r="AI1216" s="1" t="s">
        <v>54</v>
      </c>
      <c r="AJ1216" s="1">
        <v>1</v>
      </c>
      <c r="AK1216" s="1" t="str">
        <f t="shared" si="18"/>
        <v xml:space="preserve"> =&lt;90</v>
      </c>
      <c r="AL1216" s="1" t="str">
        <f>VLOOKUP(C:C,[1]基础信息!B$1:D$65536,3,0)</f>
        <v>Jug</v>
      </c>
      <c r="AM1216" s="1" t="str">
        <f>VLOOKUP(C:C,[1]基础信息!B$1:E$65536,4,0)</f>
        <v>Kalea XL ME4W</v>
      </c>
      <c r="AN1216" s="1" t="str">
        <f>VLOOKUP(C:C,[1]基础信息!B$1:F$65536,5,0)</f>
        <v>grey</v>
      </c>
    </row>
    <row r="1217" spans="1:40">
      <c r="A1217" s="1" t="s">
        <v>41</v>
      </c>
      <c r="B1217" s="1" t="s">
        <v>42</v>
      </c>
      <c r="C1217" s="1" t="s">
        <v>83</v>
      </c>
      <c r="D1217" s="1" t="s">
        <v>84</v>
      </c>
      <c r="E1217" s="1" t="s">
        <v>45</v>
      </c>
      <c r="F1217" s="1" t="s">
        <v>2571</v>
      </c>
      <c r="G1217" s="1" t="s">
        <v>2855</v>
      </c>
      <c r="H1217" s="1" t="s">
        <v>2856</v>
      </c>
      <c r="I1217" s="1" t="s">
        <v>49</v>
      </c>
      <c r="J1217" s="1" t="s">
        <v>48</v>
      </c>
      <c r="K1217" s="1">
        <v>96</v>
      </c>
      <c r="L1217" s="1">
        <v>0</v>
      </c>
      <c r="M1217" s="1">
        <v>0</v>
      </c>
      <c r="N1217" s="1">
        <v>96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 t="s">
        <v>49</v>
      </c>
      <c r="AA1217" s="1" t="s">
        <v>49</v>
      </c>
      <c r="AB1217" s="1" t="s">
        <v>49</v>
      </c>
      <c r="AC1217" s="1" t="s">
        <v>213</v>
      </c>
      <c r="AD1217" s="1" t="s">
        <v>214</v>
      </c>
      <c r="AE1217" s="1" t="s">
        <v>215</v>
      </c>
      <c r="AF1217" s="1" t="s">
        <v>2574</v>
      </c>
      <c r="AG1217" s="1" t="s">
        <v>53</v>
      </c>
      <c r="AH1217" s="1" t="s">
        <v>49</v>
      </c>
      <c r="AI1217" s="1" t="s">
        <v>54</v>
      </c>
      <c r="AJ1217" s="1">
        <v>1</v>
      </c>
      <c r="AK1217" s="1" t="str">
        <f t="shared" si="18"/>
        <v xml:space="preserve"> =&lt;90</v>
      </c>
      <c r="AL1217" s="1" t="str">
        <f>VLOOKUP(C:C,[1]基础信息!B$1:D$65536,3,0)</f>
        <v>Jug</v>
      </c>
      <c r="AM1217" s="1" t="str">
        <f>VLOOKUP(C:C,[1]基础信息!B$1:E$65536,4,0)</f>
        <v>Mxplus</v>
      </c>
      <c r="AN1217" s="1" t="str">
        <f>VLOOKUP(C:C,[1]基础信息!B$1:F$65536,5,0)</f>
        <v>Blue</v>
      </c>
    </row>
    <row r="1218" spans="1:40">
      <c r="A1218" s="1" t="s">
        <v>41</v>
      </c>
      <c r="B1218" s="1" t="s">
        <v>42</v>
      </c>
      <c r="C1218" s="1" t="s">
        <v>83</v>
      </c>
      <c r="D1218" s="1" t="s">
        <v>84</v>
      </c>
      <c r="E1218" s="1" t="s">
        <v>45</v>
      </c>
      <c r="F1218" s="1" t="s">
        <v>2571</v>
      </c>
      <c r="G1218" s="1" t="s">
        <v>2857</v>
      </c>
      <c r="H1218" s="1" t="s">
        <v>2858</v>
      </c>
      <c r="I1218" s="1" t="s">
        <v>49</v>
      </c>
      <c r="J1218" s="1" t="s">
        <v>48</v>
      </c>
      <c r="K1218" s="1">
        <v>96</v>
      </c>
      <c r="L1218" s="1">
        <v>0</v>
      </c>
      <c r="M1218" s="1">
        <v>0</v>
      </c>
      <c r="N1218" s="1">
        <v>96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 t="s">
        <v>49</v>
      </c>
      <c r="AA1218" s="1" t="s">
        <v>49</v>
      </c>
      <c r="AB1218" s="1" t="s">
        <v>49</v>
      </c>
      <c r="AC1218" s="1" t="s">
        <v>213</v>
      </c>
      <c r="AD1218" s="1" t="s">
        <v>214</v>
      </c>
      <c r="AE1218" s="1" t="s">
        <v>215</v>
      </c>
      <c r="AF1218" s="1" t="s">
        <v>2574</v>
      </c>
      <c r="AG1218" s="1" t="s">
        <v>53</v>
      </c>
      <c r="AH1218" s="1" t="s">
        <v>49</v>
      </c>
      <c r="AI1218" s="1" t="s">
        <v>54</v>
      </c>
      <c r="AJ1218" s="1">
        <v>1</v>
      </c>
      <c r="AK1218" s="1" t="str">
        <f t="shared" ref="AK1218:AK1281" si="19">IF(AJ1218&gt;$AP$2,$AQ$2,IF(AJ1218&gt;$AP$3,$AQ$3,IF(AJ1218&gt;$AP$4,$AQ$4,$AQ$5)))</f>
        <v xml:space="preserve"> =&lt;90</v>
      </c>
      <c r="AL1218" s="1" t="str">
        <f>VLOOKUP(C:C,[1]基础信息!B$1:D$65536,3,0)</f>
        <v>Jug</v>
      </c>
      <c r="AM1218" s="1" t="str">
        <f>VLOOKUP(C:C,[1]基础信息!B$1:E$65536,4,0)</f>
        <v>Mxplus</v>
      </c>
      <c r="AN1218" s="1" t="str">
        <f>VLOOKUP(C:C,[1]基础信息!B$1:F$65536,5,0)</f>
        <v>Blue</v>
      </c>
    </row>
    <row r="1219" spans="1:40">
      <c r="A1219" s="1" t="s">
        <v>41</v>
      </c>
      <c r="B1219" s="1" t="s">
        <v>42</v>
      </c>
      <c r="C1219" s="1" t="s">
        <v>301</v>
      </c>
      <c r="D1219" s="1" t="s">
        <v>302</v>
      </c>
      <c r="E1219" s="1" t="s">
        <v>45</v>
      </c>
      <c r="F1219" s="1" t="s">
        <v>1405</v>
      </c>
      <c r="G1219" s="1" t="s">
        <v>2859</v>
      </c>
      <c r="H1219" s="1" t="s">
        <v>2860</v>
      </c>
      <c r="I1219" s="1" t="s">
        <v>49</v>
      </c>
      <c r="J1219" s="1" t="s">
        <v>48</v>
      </c>
      <c r="K1219" s="1">
        <v>96</v>
      </c>
      <c r="L1219" s="1">
        <v>0</v>
      </c>
      <c r="M1219" s="1">
        <v>0</v>
      </c>
      <c r="N1219" s="1">
        <v>96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 t="s">
        <v>49</v>
      </c>
      <c r="AA1219" s="1" t="s">
        <v>49</v>
      </c>
      <c r="AB1219" s="1" t="s">
        <v>49</v>
      </c>
      <c r="AC1219" s="1" t="s">
        <v>1408</v>
      </c>
      <c r="AD1219" s="1" t="s">
        <v>1409</v>
      </c>
      <c r="AE1219" s="1" t="s">
        <v>1408</v>
      </c>
      <c r="AF1219" s="1" t="s">
        <v>1410</v>
      </c>
      <c r="AG1219" s="1" t="s">
        <v>53</v>
      </c>
      <c r="AH1219" s="1" t="s">
        <v>49</v>
      </c>
      <c r="AI1219" s="1" t="s">
        <v>54</v>
      </c>
      <c r="AJ1219" s="1">
        <v>1</v>
      </c>
      <c r="AK1219" s="1" t="str">
        <f t="shared" si="19"/>
        <v xml:space="preserve"> =&lt;90</v>
      </c>
      <c r="AL1219" s="1" t="str">
        <f>VLOOKUP(C:C,[1]基础信息!B$1:D$65536,3,0)</f>
        <v>Jug</v>
      </c>
      <c r="AM1219" s="1" t="str">
        <f>VLOOKUP(C:C,[1]基础信息!B$1:E$65536,4,0)</f>
        <v>Aluna</v>
      </c>
      <c r="AN1219" s="1" t="str">
        <f>VLOOKUP(C:C,[1]基础信息!B$1:F$65536,5,0)</f>
        <v>Blue</v>
      </c>
    </row>
    <row r="1220" spans="1:40">
      <c r="A1220" s="1" t="s">
        <v>41</v>
      </c>
      <c r="B1220" s="1" t="s">
        <v>42</v>
      </c>
      <c r="C1220" s="1" t="s">
        <v>83</v>
      </c>
      <c r="D1220" s="1" t="s">
        <v>84</v>
      </c>
      <c r="E1220" s="1" t="s">
        <v>45</v>
      </c>
      <c r="F1220" s="1" t="s">
        <v>2571</v>
      </c>
      <c r="G1220" s="1" t="s">
        <v>2861</v>
      </c>
      <c r="H1220" s="1" t="s">
        <v>2862</v>
      </c>
      <c r="I1220" s="1" t="s">
        <v>49</v>
      </c>
      <c r="J1220" s="1" t="s">
        <v>48</v>
      </c>
      <c r="K1220" s="1">
        <v>96</v>
      </c>
      <c r="L1220" s="1">
        <v>0</v>
      </c>
      <c r="M1220" s="1">
        <v>0</v>
      </c>
      <c r="N1220" s="1">
        <v>96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 t="s">
        <v>49</v>
      </c>
      <c r="AA1220" s="1" t="s">
        <v>49</v>
      </c>
      <c r="AB1220" s="1" t="s">
        <v>49</v>
      </c>
      <c r="AC1220" s="1" t="s">
        <v>213</v>
      </c>
      <c r="AD1220" s="1" t="s">
        <v>214</v>
      </c>
      <c r="AE1220" s="1" t="s">
        <v>215</v>
      </c>
      <c r="AF1220" s="1" t="s">
        <v>2574</v>
      </c>
      <c r="AG1220" s="1" t="s">
        <v>53</v>
      </c>
      <c r="AH1220" s="1" t="s">
        <v>49</v>
      </c>
      <c r="AI1220" s="1" t="s">
        <v>54</v>
      </c>
      <c r="AJ1220" s="1">
        <v>1</v>
      </c>
      <c r="AK1220" s="1" t="str">
        <f t="shared" si="19"/>
        <v xml:space="preserve"> =&lt;90</v>
      </c>
      <c r="AL1220" s="1" t="str">
        <f>VLOOKUP(C:C,[1]基础信息!B$1:D$65536,3,0)</f>
        <v>Jug</v>
      </c>
      <c r="AM1220" s="1" t="str">
        <f>VLOOKUP(C:C,[1]基础信息!B$1:E$65536,4,0)</f>
        <v>Mxplus</v>
      </c>
      <c r="AN1220" s="1" t="str">
        <f>VLOOKUP(C:C,[1]基础信息!B$1:F$65536,5,0)</f>
        <v>Blue</v>
      </c>
    </row>
    <row r="1221" spans="1:40">
      <c r="A1221" s="1" t="s">
        <v>41</v>
      </c>
      <c r="B1221" s="1" t="s">
        <v>42</v>
      </c>
      <c r="C1221" s="1" t="s">
        <v>83</v>
      </c>
      <c r="D1221" s="1" t="s">
        <v>84</v>
      </c>
      <c r="E1221" s="1" t="s">
        <v>45</v>
      </c>
      <c r="F1221" s="1" t="s">
        <v>2571</v>
      </c>
      <c r="G1221" s="1" t="s">
        <v>2863</v>
      </c>
      <c r="H1221" s="1" t="s">
        <v>2864</v>
      </c>
      <c r="I1221" s="1" t="s">
        <v>49</v>
      </c>
      <c r="J1221" s="1" t="s">
        <v>48</v>
      </c>
      <c r="K1221" s="1">
        <v>96</v>
      </c>
      <c r="L1221" s="1">
        <v>0</v>
      </c>
      <c r="M1221" s="1">
        <v>0</v>
      </c>
      <c r="N1221" s="1">
        <v>96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 t="s">
        <v>49</v>
      </c>
      <c r="AA1221" s="1" t="s">
        <v>49</v>
      </c>
      <c r="AB1221" s="1" t="s">
        <v>49</v>
      </c>
      <c r="AC1221" s="1" t="s">
        <v>213</v>
      </c>
      <c r="AD1221" s="1" t="s">
        <v>214</v>
      </c>
      <c r="AE1221" s="1" t="s">
        <v>215</v>
      </c>
      <c r="AF1221" s="1" t="s">
        <v>2574</v>
      </c>
      <c r="AG1221" s="1" t="s">
        <v>53</v>
      </c>
      <c r="AH1221" s="1" t="s">
        <v>49</v>
      </c>
      <c r="AI1221" s="1" t="s">
        <v>54</v>
      </c>
      <c r="AJ1221" s="1">
        <v>1</v>
      </c>
      <c r="AK1221" s="1" t="str">
        <f t="shared" si="19"/>
        <v xml:space="preserve"> =&lt;90</v>
      </c>
      <c r="AL1221" s="1" t="str">
        <f>VLOOKUP(C:C,[1]基础信息!B$1:D$65536,3,0)</f>
        <v>Jug</v>
      </c>
      <c r="AM1221" s="1" t="str">
        <f>VLOOKUP(C:C,[1]基础信息!B$1:E$65536,4,0)</f>
        <v>Mxplus</v>
      </c>
      <c r="AN1221" s="1" t="str">
        <f>VLOOKUP(C:C,[1]基础信息!B$1:F$65536,5,0)</f>
        <v>Blue</v>
      </c>
    </row>
    <row r="1222" spans="1:40">
      <c r="A1222" s="1" t="s">
        <v>41</v>
      </c>
      <c r="B1222" s="1" t="s">
        <v>42</v>
      </c>
      <c r="C1222" s="1" t="s">
        <v>83</v>
      </c>
      <c r="D1222" s="1" t="s">
        <v>84</v>
      </c>
      <c r="E1222" s="1" t="s">
        <v>45</v>
      </c>
      <c r="F1222" s="1" t="s">
        <v>2571</v>
      </c>
      <c r="G1222" s="1" t="s">
        <v>2865</v>
      </c>
      <c r="H1222" s="1" t="s">
        <v>2866</v>
      </c>
      <c r="I1222" s="1" t="s">
        <v>49</v>
      </c>
      <c r="J1222" s="1" t="s">
        <v>48</v>
      </c>
      <c r="K1222" s="1">
        <v>96</v>
      </c>
      <c r="L1222" s="1">
        <v>0</v>
      </c>
      <c r="M1222" s="1">
        <v>0</v>
      </c>
      <c r="N1222" s="1">
        <v>96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 t="s">
        <v>49</v>
      </c>
      <c r="AA1222" s="1" t="s">
        <v>49</v>
      </c>
      <c r="AB1222" s="1" t="s">
        <v>49</v>
      </c>
      <c r="AC1222" s="1" t="s">
        <v>213</v>
      </c>
      <c r="AD1222" s="1" t="s">
        <v>214</v>
      </c>
      <c r="AE1222" s="1" t="s">
        <v>215</v>
      </c>
      <c r="AF1222" s="1" t="s">
        <v>2574</v>
      </c>
      <c r="AG1222" s="1" t="s">
        <v>53</v>
      </c>
      <c r="AH1222" s="1" t="s">
        <v>49</v>
      </c>
      <c r="AI1222" s="1" t="s">
        <v>54</v>
      </c>
      <c r="AJ1222" s="1">
        <v>1</v>
      </c>
      <c r="AK1222" s="1" t="str">
        <f t="shared" si="19"/>
        <v xml:space="preserve"> =&lt;90</v>
      </c>
      <c r="AL1222" s="1" t="str">
        <f>VLOOKUP(C:C,[1]基础信息!B$1:D$65536,3,0)</f>
        <v>Jug</v>
      </c>
      <c r="AM1222" s="1" t="str">
        <f>VLOOKUP(C:C,[1]基础信息!B$1:E$65536,4,0)</f>
        <v>Mxplus</v>
      </c>
      <c r="AN1222" s="1" t="str">
        <f>VLOOKUP(C:C,[1]基础信息!B$1:F$65536,5,0)</f>
        <v>Blue</v>
      </c>
    </row>
    <row r="1223" spans="1:40">
      <c r="A1223" s="1" t="s">
        <v>41</v>
      </c>
      <c r="B1223" s="1" t="s">
        <v>42</v>
      </c>
      <c r="C1223" s="1" t="s">
        <v>83</v>
      </c>
      <c r="D1223" s="1" t="s">
        <v>84</v>
      </c>
      <c r="E1223" s="1" t="s">
        <v>45</v>
      </c>
      <c r="F1223" s="1" t="s">
        <v>2571</v>
      </c>
      <c r="G1223" s="1" t="s">
        <v>2867</v>
      </c>
      <c r="H1223" s="1" t="s">
        <v>2868</v>
      </c>
      <c r="I1223" s="1" t="s">
        <v>49</v>
      </c>
      <c r="J1223" s="1" t="s">
        <v>48</v>
      </c>
      <c r="K1223" s="1">
        <v>96</v>
      </c>
      <c r="L1223" s="1">
        <v>0</v>
      </c>
      <c r="M1223" s="1">
        <v>0</v>
      </c>
      <c r="N1223" s="1">
        <v>96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 t="s">
        <v>49</v>
      </c>
      <c r="AA1223" s="1" t="s">
        <v>49</v>
      </c>
      <c r="AB1223" s="1" t="s">
        <v>49</v>
      </c>
      <c r="AC1223" s="1" t="s">
        <v>213</v>
      </c>
      <c r="AD1223" s="1" t="s">
        <v>214</v>
      </c>
      <c r="AE1223" s="1" t="s">
        <v>215</v>
      </c>
      <c r="AF1223" s="1" t="s">
        <v>2574</v>
      </c>
      <c r="AG1223" s="1" t="s">
        <v>53</v>
      </c>
      <c r="AH1223" s="1" t="s">
        <v>49</v>
      </c>
      <c r="AI1223" s="1" t="s">
        <v>54</v>
      </c>
      <c r="AJ1223" s="1">
        <v>1</v>
      </c>
      <c r="AK1223" s="1" t="str">
        <f t="shared" si="19"/>
        <v xml:space="preserve"> =&lt;90</v>
      </c>
      <c r="AL1223" s="1" t="str">
        <f>VLOOKUP(C:C,[1]基础信息!B$1:D$65536,3,0)</f>
        <v>Jug</v>
      </c>
      <c r="AM1223" s="1" t="str">
        <f>VLOOKUP(C:C,[1]基础信息!B$1:E$65536,4,0)</f>
        <v>Mxplus</v>
      </c>
      <c r="AN1223" s="1" t="str">
        <f>VLOOKUP(C:C,[1]基础信息!B$1:F$65536,5,0)</f>
        <v>Blue</v>
      </c>
    </row>
    <row r="1224" spans="1:40">
      <c r="A1224" s="1" t="s">
        <v>41</v>
      </c>
      <c r="B1224" s="1" t="s">
        <v>42</v>
      </c>
      <c r="C1224" s="1" t="s">
        <v>83</v>
      </c>
      <c r="D1224" s="1" t="s">
        <v>84</v>
      </c>
      <c r="E1224" s="1" t="s">
        <v>45</v>
      </c>
      <c r="F1224" s="1" t="s">
        <v>2571</v>
      </c>
      <c r="G1224" s="1" t="s">
        <v>2869</v>
      </c>
      <c r="H1224" s="1" t="s">
        <v>2870</v>
      </c>
      <c r="I1224" s="1" t="s">
        <v>49</v>
      </c>
      <c r="J1224" s="1" t="s">
        <v>48</v>
      </c>
      <c r="K1224" s="1">
        <v>96</v>
      </c>
      <c r="L1224" s="1">
        <v>0</v>
      </c>
      <c r="M1224" s="1">
        <v>0</v>
      </c>
      <c r="N1224" s="1">
        <v>96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 t="s">
        <v>49</v>
      </c>
      <c r="AA1224" s="1" t="s">
        <v>49</v>
      </c>
      <c r="AB1224" s="1" t="s">
        <v>49</v>
      </c>
      <c r="AC1224" s="1" t="s">
        <v>213</v>
      </c>
      <c r="AD1224" s="1" t="s">
        <v>214</v>
      </c>
      <c r="AE1224" s="1" t="s">
        <v>215</v>
      </c>
      <c r="AF1224" s="1" t="s">
        <v>2574</v>
      </c>
      <c r="AG1224" s="1" t="s">
        <v>53</v>
      </c>
      <c r="AH1224" s="1" t="s">
        <v>49</v>
      </c>
      <c r="AI1224" s="1" t="s">
        <v>54</v>
      </c>
      <c r="AJ1224" s="1">
        <v>1</v>
      </c>
      <c r="AK1224" s="1" t="str">
        <f t="shared" si="19"/>
        <v xml:space="preserve"> =&lt;90</v>
      </c>
      <c r="AL1224" s="1" t="str">
        <f>VLOOKUP(C:C,[1]基础信息!B$1:D$65536,3,0)</f>
        <v>Jug</v>
      </c>
      <c r="AM1224" s="1" t="str">
        <f>VLOOKUP(C:C,[1]基础信息!B$1:E$65536,4,0)</f>
        <v>Mxplus</v>
      </c>
      <c r="AN1224" s="1" t="str">
        <f>VLOOKUP(C:C,[1]基础信息!B$1:F$65536,5,0)</f>
        <v>Blue</v>
      </c>
    </row>
    <row r="1225" spans="1:40">
      <c r="A1225" s="1" t="s">
        <v>41</v>
      </c>
      <c r="B1225" s="1" t="s">
        <v>42</v>
      </c>
      <c r="C1225" s="1" t="s">
        <v>83</v>
      </c>
      <c r="D1225" s="1" t="s">
        <v>84</v>
      </c>
      <c r="E1225" s="1" t="s">
        <v>45</v>
      </c>
      <c r="F1225" s="1" t="s">
        <v>2571</v>
      </c>
      <c r="G1225" s="1" t="s">
        <v>2871</v>
      </c>
      <c r="H1225" s="1" t="s">
        <v>2872</v>
      </c>
      <c r="I1225" s="1" t="s">
        <v>49</v>
      </c>
      <c r="J1225" s="1" t="s">
        <v>48</v>
      </c>
      <c r="K1225" s="1">
        <v>96</v>
      </c>
      <c r="L1225" s="1">
        <v>0</v>
      </c>
      <c r="M1225" s="1">
        <v>0</v>
      </c>
      <c r="N1225" s="1">
        <v>96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 t="s">
        <v>49</v>
      </c>
      <c r="AA1225" s="1" t="s">
        <v>49</v>
      </c>
      <c r="AB1225" s="1" t="s">
        <v>49</v>
      </c>
      <c r="AC1225" s="1" t="s">
        <v>213</v>
      </c>
      <c r="AD1225" s="1" t="s">
        <v>214</v>
      </c>
      <c r="AE1225" s="1" t="s">
        <v>215</v>
      </c>
      <c r="AF1225" s="1" t="s">
        <v>2574</v>
      </c>
      <c r="AG1225" s="1" t="s">
        <v>53</v>
      </c>
      <c r="AH1225" s="1" t="s">
        <v>49</v>
      </c>
      <c r="AI1225" s="1" t="s">
        <v>54</v>
      </c>
      <c r="AJ1225" s="1">
        <v>1</v>
      </c>
      <c r="AK1225" s="1" t="str">
        <f t="shared" si="19"/>
        <v xml:space="preserve"> =&lt;90</v>
      </c>
      <c r="AL1225" s="1" t="str">
        <f>VLOOKUP(C:C,[1]基础信息!B$1:D$65536,3,0)</f>
        <v>Jug</v>
      </c>
      <c r="AM1225" s="1" t="str">
        <f>VLOOKUP(C:C,[1]基础信息!B$1:E$65536,4,0)</f>
        <v>Mxplus</v>
      </c>
      <c r="AN1225" s="1" t="str">
        <f>VLOOKUP(C:C,[1]基础信息!B$1:F$65536,5,0)</f>
        <v>Blue</v>
      </c>
    </row>
    <row r="1226" spans="1:40">
      <c r="A1226" s="1" t="s">
        <v>41</v>
      </c>
      <c r="B1226" s="1" t="s">
        <v>42</v>
      </c>
      <c r="C1226" s="1" t="s">
        <v>83</v>
      </c>
      <c r="D1226" s="1" t="s">
        <v>84</v>
      </c>
      <c r="E1226" s="1" t="s">
        <v>45</v>
      </c>
      <c r="F1226" s="1" t="s">
        <v>2571</v>
      </c>
      <c r="G1226" s="1" t="s">
        <v>2873</v>
      </c>
      <c r="H1226" s="1" t="s">
        <v>2874</v>
      </c>
      <c r="I1226" s="1" t="s">
        <v>49</v>
      </c>
      <c r="J1226" s="1" t="s">
        <v>48</v>
      </c>
      <c r="K1226" s="1">
        <v>96</v>
      </c>
      <c r="L1226" s="1">
        <v>0</v>
      </c>
      <c r="M1226" s="1">
        <v>0</v>
      </c>
      <c r="N1226" s="1">
        <v>96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 t="s">
        <v>49</v>
      </c>
      <c r="AA1226" s="1" t="s">
        <v>49</v>
      </c>
      <c r="AB1226" s="1" t="s">
        <v>49</v>
      </c>
      <c r="AC1226" s="1" t="s">
        <v>213</v>
      </c>
      <c r="AD1226" s="1" t="s">
        <v>214</v>
      </c>
      <c r="AE1226" s="1" t="s">
        <v>215</v>
      </c>
      <c r="AF1226" s="1" t="s">
        <v>2574</v>
      </c>
      <c r="AG1226" s="1" t="s">
        <v>53</v>
      </c>
      <c r="AH1226" s="1" t="s">
        <v>49</v>
      </c>
      <c r="AI1226" s="1" t="s">
        <v>54</v>
      </c>
      <c r="AJ1226" s="1">
        <v>1</v>
      </c>
      <c r="AK1226" s="1" t="str">
        <f t="shared" si="19"/>
        <v xml:space="preserve"> =&lt;90</v>
      </c>
      <c r="AL1226" s="1" t="str">
        <f>VLOOKUP(C:C,[1]基础信息!B$1:D$65536,3,0)</f>
        <v>Jug</v>
      </c>
      <c r="AM1226" s="1" t="str">
        <f>VLOOKUP(C:C,[1]基础信息!B$1:E$65536,4,0)</f>
        <v>Mxplus</v>
      </c>
      <c r="AN1226" s="1" t="str">
        <f>VLOOKUP(C:C,[1]基础信息!B$1:F$65536,5,0)</f>
        <v>Blue</v>
      </c>
    </row>
    <row r="1227" spans="1:40">
      <c r="A1227" s="1" t="s">
        <v>41</v>
      </c>
      <c r="B1227" s="1" t="s">
        <v>42</v>
      </c>
      <c r="C1227" s="1" t="s">
        <v>301</v>
      </c>
      <c r="D1227" s="1" t="s">
        <v>302</v>
      </c>
      <c r="E1227" s="1" t="s">
        <v>45</v>
      </c>
      <c r="F1227" s="1" t="s">
        <v>2797</v>
      </c>
      <c r="G1227" s="1" t="s">
        <v>2875</v>
      </c>
      <c r="H1227" s="1" t="s">
        <v>2876</v>
      </c>
      <c r="I1227" s="1" t="s">
        <v>49</v>
      </c>
      <c r="J1227" s="1" t="s">
        <v>48</v>
      </c>
      <c r="K1227" s="1">
        <v>96</v>
      </c>
      <c r="L1227" s="1">
        <v>0</v>
      </c>
      <c r="M1227" s="1">
        <v>0</v>
      </c>
      <c r="N1227" s="1">
        <v>96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 t="s">
        <v>49</v>
      </c>
      <c r="AA1227" s="1" t="s">
        <v>49</v>
      </c>
      <c r="AB1227" s="1" t="s">
        <v>49</v>
      </c>
      <c r="AC1227" s="1" t="s">
        <v>376</v>
      </c>
      <c r="AD1227" s="1" t="s">
        <v>377</v>
      </c>
      <c r="AE1227" s="1" t="s">
        <v>376</v>
      </c>
      <c r="AF1227" s="1" t="s">
        <v>2800</v>
      </c>
      <c r="AG1227" s="1" t="s">
        <v>53</v>
      </c>
      <c r="AH1227" s="1" t="s">
        <v>49</v>
      </c>
      <c r="AI1227" s="1" t="s">
        <v>54</v>
      </c>
      <c r="AJ1227" s="1">
        <v>1</v>
      </c>
      <c r="AK1227" s="1" t="str">
        <f t="shared" si="19"/>
        <v xml:space="preserve"> =&lt;90</v>
      </c>
      <c r="AL1227" s="1" t="str">
        <f>VLOOKUP(C:C,[1]基础信息!B$1:D$65536,3,0)</f>
        <v>Jug</v>
      </c>
      <c r="AM1227" s="1" t="str">
        <f>VLOOKUP(C:C,[1]基础信息!B$1:E$65536,4,0)</f>
        <v>Aluna</v>
      </c>
      <c r="AN1227" s="1" t="str">
        <f>VLOOKUP(C:C,[1]基础信息!B$1:F$65536,5,0)</f>
        <v>Blue</v>
      </c>
    </row>
    <row r="1228" spans="1:40">
      <c r="A1228" s="1" t="s">
        <v>41</v>
      </c>
      <c r="B1228" s="1" t="s">
        <v>42</v>
      </c>
      <c r="C1228" s="1" t="s">
        <v>301</v>
      </c>
      <c r="D1228" s="1" t="s">
        <v>302</v>
      </c>
      <c r="E1228" s="1" t="s">
        <v>45</v>
      </c>
      <c r="F1228" s="1" t="s">
        <v>1405</v>
      </c>
      <c r="G1228" s="1" t="s">
        <v>2877</v>
      </c>
      <c r="H1228" s="1" t="s">
        <v>2878</v>
      </c>
      <c r="I1228" s="1" t="s">
        <v>49</v>
      </c>
      <c r="J1228" s="1" t="s">
        <v>48</v>
      </c>
      <c r="K1228" s="1">
        <v>92</v>
      </c>
      <c r="L1228" s="1">
        <v>0</v>
      </c>
      <c r="M1228" s="1">
        <v>0</v>
      </c>
      <c r="N1228" s="1">
        <v>92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 t="s">
        <v>49</v>
      </c>
      <c r="AA1228" s="1" t="s">
        <v>49</v>
      </c>
      <c r="AB1228" s="1" t="s">
        <v>49</v>
      </c>
      <c r="AC1228" s="1" t="s">
        <v>1408</v>
      </c>
      <c r="AD1228" s="1" t="s">
        <v>1409</v>
      </c>
      <c r="AE1228" s="1" t="s">
        <v>1408</v>
      </c>
      <c r="AF1228" s="1" t="s">
        <v>1410</v>
      </c>
      <c r="AG1228" s="1" t="s">
        <v>53</v>
      </c>
      <c r="AH1228" s="1" t="s">
        <v>49</v>
      </c>
      <c r="AI1228" s="1" t="s">
        <v>54</v>
      </c>
      <c r="AJ1228" s="1">
        <v>1</v>
      </c>
      <c r="AK1228" s="1" t="str">
        <f t="shared" si="19"/>
        <v xml:space="preserve"> =&lt;90</v>
      </c>
      <c r="AL1228" s="1" t="str">
        <f>VLOOKUP(C:C,[1]基础信息!B$1:D$65536,3,0)</f>
        <v>Jug</v>
      </c>
      <c r="AM1228" s="1" t="str">
        <f>VLOOKUP(C:C,[1]基础信息!B$1:E$65536,4,0)</f>
        <v>Aluna</v>
      </c>
      <c r="AN1228" s="1" t="str">
        <f>VLOOKUP(C:C,[1]基础信息!B$1:F$65536,5,0)</f>
        <v>Blue</v>
      </c>
    </row>
    <row r="1229" spans="1:40">
      <c r="A1229" s="1" t="s">
        <v>41</v>
      </c>
      <c r="B1229" s="1" t="s">
        <v>42</v>
      </c>
      <c r="C1229" s="1" t="s">
        <v>2879</v>
      </c>
      <c r="D1229" s="1" t="s">
        <v>2880</v>
      </c>
      <c r="E1229" s="1" t="s">
        <v>2879</v>
      </c>
      <c r="F1229" s="1" t="s">
        <v>2881</v>
      </c>
      <c r="G1229" s="1" t="s">
        <v>2882</v>
      </c>
      <c r="H1229" s="1" t="s">
        <v>2883</v>
      </c>
      <c r="I1229" s="1" t="s">
        <v>49</v>
      </c>
      <c r="J1229" s="1" t="s">
        <v>48</v>
      </c>
      <c r="K1229" s="1">
        <v>1</v>
      </c>
      <c r="L1229" s="1">
        <v>0</v>
      </c>
      <c r="M1229" s="1">
        <v>0</v>
      </c>
      <c r="N1229" s="1">
        <v>1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 t="s">
        <v>49</v>
      </c>
      <c r="AA1229" s="1" t="s">
        <v>49</v>
      </c>
      <c r="AB1229" s="1" t="s">
        <v>49</v>
      </c>
      <c r="AC1229" s="1" t="s">
        <v>2884</v>
      </c>
      <c r="AD1229" s="1" t="s">
        <v>2885</v>
      </c>
      <c r="AE1229" s="1" t="s">
        <v>2884</v>
      </c>
      <c r="AF1229" s="1" t="s">
        <v>2886</v>
      </c>
      <c r="AG1229" s="1" t="s">
        <v>338</v>
      </c>
      <c r="AH1229" s="1" t="s">
        <v>49</v>
      </c>
      <c r="AI1229" s="1" t="s">
        <v>54</v>
      </c>
      <c r="AJ1229" s="1">
        <v>1</v>
      </c>
      <c r="AK1229" s="1" t="str">
        <f t="shared" si="19"/>
        <v xml:space="preserve"> =&lt;90</v>
      </c>
      <c r="AL1229" s="1" t="str">
        <f>VLOOKUP(C:C,[1]基础信息!B$1:D$65536,3,0)</f>
        <v>Jug</v>
      </c>
      <c r="AM1229" s="1" t="str">
        <f>VLOOKUP(C:C,[1]基础信息!B$1:E$65536,4,0)</f>
        <v>Marella</v>
      </c>
      <c r="AN1229" s="1" t="str">
        <f>VLOOKUP(C:C,[1]基础信息!B$1:F$65536,5,0)</f>
        <v>Blue</v>
      </c>
    </row>
    <row r="1230" spans="1:40">
      <c r="A1230" s="1" t="s">
        <v>41</v>
      </c>
      <c r="B1230" s="1" t="s">
        <v>42</v>
      </c>
      <c r="C1230" s="1" t="s">
        <v>56</v>
      </c>
      <c r="D1230" s="1" t="s">
        <v>57</v>
      </c>
      <c r="E1230" s="1" t="s">
        <v>45</v>
      </c>
      <c r="F1230" s="1" t="s">
        <v>1096</v>
      </c>
      <c r="G1230" s="1" t="s">
        <v>2887</v>
      </c>
      <c r="H1230" s="1" t="s">
        <v>2888</v>
      </c>
      <c r="I1230" s="1" t="s">
        <v>49</v>
      </c>
      <c r="J1230" s="1" t="s">
        <v>48</v>
      </c>
      <c r="K1230" s="1">
        <v>72</v>
      </c>
      <c r="L1230" s="1">
        <v>0</v>
      </c>
      <c r="M1230" s="1">
        <v>0</v>
      </c>
      <c r="N1230" s="1">
        <v>72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 t="s">
        <v>49</v>
      </c>
      <c r="AA1230" s="1" t="s">
        <v>49</v>
      </c>
      <c r="AB1230" s="1" t="s">
        <v>49</v>
      </c>
      <c r="AC1230" s="1" t="s">
        <v>938</v>
      </c>
      <c r="AD1230" s="1" t="s">
        <v>939</v>
      </c>
      <c r="AE1230" s="1" t="s">
        <v>938</v>
      </c>
      <c r="AF1230" s="1" t="s">
        <v>1099</v>
      </c>
      <c r="AG1230" s="1" t="s">
        <v>53</v>
      </c>
      <c r="AH1230" s="1" t="s">
        <v>49</v>
      </c>
      <c r="AI1230" s="1" t="s">
        <v>54</v>
      </c>
      <c r="AJ1230" s="1">
        <v>1</v>
      </c>
      <c r="AK1230" s="1" t="str">
        <f t="shared" si="19"/>
        <v xml:space="preserve"> =&lt;90</v>
      </c>
      <c r="AL1230" s="1" t="str">
        <f>VLOOKUP(C:C,[1]基础信息!B$1:D$65536,3,0)</f>
        <v>Jug</v>
      </c>
      <c r="AM1230" s="1" t="str">
        <f>VLOOKUP(C:C,[1]基础信息!B$1:E$65536,4,0)</f>
        <v>Marella XL</v>
      </c>
      <c r="AN1230" s="1" t="str">
        <f>VLOOKUP(C:C,[1]基础信息!B$1:F$65536,5,0)</f>
        <v>Blue</v>
      </c>
    </row>
    <row r="1231" spans="1:40">
      <c r="A1231" s="1" t="s">
        <v>41</v>
      </c>
      <c r="B1231" s="1" t="s">
        <v>42</v>
      </c>
      <c r="C1231" s="1" t="s">
        <v>1183</v>
      </c>
      <c r="D1231" s="1" t="s">
        <v>1184</v>
      </c>
      <c r="E1231" s="1" t="s">
        <v>45</v>
      </c>
      <c r="F1231" s="1" t="s">
        <v>1185</v>
      </c>
      <c r="G1231" s="1" t="s">
        <v>2889</v>
      </c>
      <c r="H1231" s="1" t="s">
        <v>2890</v>
      </c>
      <c r="I1231" s="1" t="s">
        <v>49</v>
      </c>
      <c r="J1231" s="1" t="s">
        <v>48</v>
      </c>
      <c r="K1231" s="1">
        <v>12</v>
      </c>
      <c r="L1231" s="1">
        <v>0</v>
      </c>
      <c r="M1231" s="1">
        <v>0</v>
      </c>
      <c r="N1231" s="1">
        <v>12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 t="s">
        <v>49</v>
      </c>
      <c r="AA1231" s="1" t="s">
        <v>49</v>
      </c>
      <c r="AB1231" s="1" t="s">
        <v>49</v>
      </c>
      <c r="AC1231" s="1" t="s">
        <v>1188</v>
      </c>
      <c r="AD1231" s="1" t="s">
        <v>1189</v>
      </c>
      <c r="AE1231" s="1" t="s">
        <v>1188</v>
      </c>
      <c r="AF1231" s="1" t="s">
        <v>1190</v>
      </c>
      <c r="AG1231" s="1" t="s">
        <v>53</v>
      </c>
      <c r="AH1231" s="1" t="s">
        <v>49</v>
      </c>
      <c r="AI1231" s="1" t="s">
        <v>54</v>
      </c>
      <c r="AJ1231" s="1">
        <v>1</v>
      </c>
      <c r="AK1231" s="1" t="str">
        <f t="shared" si="19"/>
        <v xml:space="preserve"> =&lt;90</v>
      </c>
      <c r="AL1231" s="1" t="e">
        <f>VLOOKUP(C:C,[1]基础信息!B$1:D$65536,3,0)</f>
        <v>#N/A</v>
      </c>
      <c r="AM1231" s="1" t="e">
        <f>VLOOKUP(C:C,[1]基础信息!B$1:E$65536,4,0)</f>
        <v>#N/A</v>
      </c>
      <c r="AN1231" s="1" t="e">
        <f>VLOOKUP(C:C,[1]基础信息!B$1:F$65536,5,0)</f>
        <v>#N/A</v>
      </c>
    </row>
    <row r="1232" spans="1:40">
      <c r="A1232" s="1" t="s">
        <v>41</v>
      </c>
      <c r="B1232" s="1" t="s">
        <v>42</v>
      </c>
      <c r="C1232" s="1" t="s">
        <v>417</v>
      </c>
      <c r="D1232" s="1" t="s">
        <v>418</v>
      </c>
      <c r="E1232" s="1" t="s">
        <v>45</v>
      </c>
      <c r="F1232" s="1" t="s">
        <v>419</v>
      </c>
      <c r="G1232" s="1" t="s">
        <v>2891</v>
      </c>
      <c r="H1232" s="1" t="s">
        <v>2892</v>
      </c>
      <c r="I1232" s="1" t="s">
        <v>49</v>
      </c>
      <c r="J1232" s="1" t="s">
        <v>48</v>
      </c>
      <c r="K1232" s="1">
        <v>96</v>
      </c>
      <c r="L1232" s="1">
        <v>0</v>
      </c>
      <c r="M1232" s="1">
        <v>0</v>
      </c>
      <c r="N1232" s="1">
        <v>96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 t="s">
        <v>49</v>
      </c>
      <c r="AA1232" s="1" t="s">
        <v>49</v>
      </c>
      <c r="AB1232" s="1" t="s">
        <v>49</v>
      </c>
      <c r="AC1232" s="1" t="s">
        <v>414</v>
      </c>
      <c r="AD1232" s="1" t="s">
        <v>415</v>
      </c>
      <c r="AE1232" s="1" t="s">
        <v>416</v>
      </c>
      <c r="AF1232" s="1" t="s">
        <v>422</v>
      </c>
      <c r="AG1232" s="1" t="s">
        <v>53</v>
      </c>
      <c r="AH1232" s="1" t="s">
        <v>49</v>
      </c>
      <c r="AI1232" s="1" t="s">
        <v>54</v>
      </c>
      <c r="AJ1232" s="1">
        <v>1</v>
      </c>
      <c r="AK1232" s="1" t="str">
        <f t="shared" si="19"/>
        <v xml:space="preserve"> =&lt;90</v>
      </c>
      <c r="AL1232" s="1" t="str">
        <f>VLOOKUP(C:C,[1]基础信息!B$1:D$65536,3,0)</f>
        <v>Jug</v>
      </c>
      <c r="AM1232" s="1" t="str">
        <f>VLOOKUP(C:C,[1]基础信息!B$1:E$65536,4,0)</f>
        <v>Marella XL</v>
      </c>
      <c r="AN1232" s="1" t="str">
        <f>VLOOKUP(C:C,[1]基础信息!B$1:F$65536,5,0)</f>
        <v>Silver</v>
      </c>
    </row>
    <row r="1233" spans="1:40">
      <c r="A1233" s="1" t="s">
        <v>41</v>
      </c>
      <c r="B1233" s="1" t="s">
        <v>42</v>
      </c>
      <c r="C1233" s="1" t="s">
        <v>2893</v>
      </c>
      <c r="D1233" s="1" t="s">
        <v>2894</v>
      </c>
      <c r="E1233" s="1" t="s">
        <v>45</v>
      </c>
      <c r="F1233" s="1" t="s">
        <v>2895</v>
      </c>
      <c r="G1233" s="1" t="s">
        <v>2896</v>
      </c>
      <c r="H1233" s="1" t="s">
        <v>2897</v>
      </c>
      <c r="I1233" s="1" t="s">
        <v>49</v>
      </c>
      <c r="J1233" s="1" t="s">
        <v>48</v>
      </c>
      <c r="K1233" s="1">
        <v>713</v>
      </c>
      <c r="L1233" s="1">
        <v>80</v>
      </c>
      <c r="M1233" s="1">
        <v>0</v>
      </c>
      <c r="N1233" s="1">
        <v>633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 t="s">
        <v>49</v>
      </c>
      <c r="AA1233" s="1" t="s">
        <v>49</v>
      </c>
      <c r="AB1233" s="1" t="s">
        <v>49</v>
      </c>
      <c r="AC1233" s="1" t="s">
        <v>376</v>
      </c>
      <c r="AD1233" s="1" t="s">
        <v>377</v>
      </c>
      <c r="AE1233" s="1" t="s">
        <v>2898</v>
      </c>
      <c r="AF1233" s="1" t="s">
        <v>2899</v>
      </c>
      <c r="AG1233" s="1" t="s">
        <v>53</v>
      </c>
      <c r="AH1233" s="1" t="s">
        <v>49</v>
      </c>
      <c r="AI1233" s="1" t="s">
        <v>54</v>
      </c>
      <c r="AJ1233" s="1">
        <v>1</v>
      </c>
      <c r="AK1233" s="1" t="str">
        <f t="shared" si="19"/>
        <v xml:space="preserve"> =&lt;90</v>
      </c>
      <c r="AL1233" s="1" t="str">
        <f>VLOOKUP(C:C,[1]基础信息!B$1:D$65536,3,0)</f>
        <v xml:space="preserve">Cartridge </v>
      </c>
      <c r="AM1233" s="1" t="str">
        <f>VLOOKUP(C:C,[1]基础信息!B$1:E$65536,4,0)</f>
        <v>UNIV</v>
      </c>
      <c r="AN1233" s="1" t="str">
        <f>VLOOKUP(C:C,[1]基础信息!B$1:F$65536,5,0)</f>
        <v>P1</v>
      </c>
    </row>
    <row r="1234" spans="1:40">
      <c r="A1234" s="1" t="s">
        <v>41</v>
      </c>
      <c r="B1234" s="1" t="s">
        <v>42</v>
      </c>
      <c r="C1234" s="1" t="s">
        <v>56</v>
      </c>
      <c r="D1234" s="1" t="s">
        <v>57</v>
      </c>
      <c r="E1234" s="1" t="s">
        <v>45</v>
      </c>
      <c r="F1234" s="1" t="s">
        <v>1096</v>
      </c>
      <c r="G1234" s="1" t="s">
        <v>2900</v>
      </c>
      <c r="H1234" s="1" t="s">
        <v>2901</v>
      </c>
      <c r="I1234" s="1" t="s">
        <v>49</v>
      </c>
      <c r="J1234" s="1" t="s">
        <v>48</v>
      </c>
      <c r="K1234" s="1">
        <v>72</v>
      </c>
      <c r="L1234" s="1">
        <v>0</v>
      </c>
      <c r="M1234" s="1">
        <v>0</v>
      </c>
      <c r="N1234" s="1">
        <v>72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 t="s">
        <v>49</v>
      </c>
      <c r="AA1234" s="1" t="s">
        <v>49</v>
      </c>
      <c r="AB1234" s="1" t="s">
        <v>49</v>
      </c>
      <c r="AC1234" s="1" t="s">
        <v>938</v>
      </c>
      <c r="AD1234" s="1" t="s">
        <v>939</v>
      </c>
      <c r="AE1234" s="1" t="s">
        <v>938</v>
      </c>
      <c r="AF1234" s="1" t="s">
        <v>1099</v>
      </c>
      <c r="AG1234" s="1" t="s">
        <v>53</v>
      </c>
      <c r="AH1234" s="1" t="s">
        <v>49</v>
      </c>
      <c r="AI1234" s="1" t="s">
        <v>54</v>
      </c>
      <c r="AJ1234" s="1">
        <v>1</v>
      </c>
      <c r="AK1234" s="1" t="str">
        <f t="shared" si="19"/>
        <v xml:space="preserve"> =&lt;90</v>
      </c>
      <c r="AL1234" s="1" t="str">
        <f>VLOOKUP(C:C,[1]基础信息!B$1:D$65536,3,0)</f>
        <v>Jug</v>
      </c>
      <c r="AM1234" s="1" t="str">
        <f>VLOOKUP(C:C,[1]基础信息!B$1:E$65536,4,0)</f>
        <v>Marella XL</v>
      </c>
      <c r="AN1234" s="1" t="str">
        <f>VLOOKUP(C:C,[1]基础信息!B$1:F$65536,5,0)</f>
        <v>Blue</v>
      </c>
    </row>
    <row r="1235" spans="1:40">
      <c r="A1235" s="1" t="s">
        <v>41</v>
      </c>
      <c r="B1235" s="1" t="s">
        <v>42</v>
      </c>
      <c r="C1235" s="1" t="s">
        <v>83</v>
      </c>
      <c r="D1235" s="1" t="s">
        <v>84</v>
      </c>
      <c r="E1235" s="1" t="s">
        <v>45</v>
      </c>
      <c r="F1235" s="1" t="s">
        <v>2571</v>
      </c>
      <c r="G1235" s="1" t="s">
        <v>2902</v>
      </c>
      <c r="H1235" s="1" t="s">
        <v>2903</v>
      </c>
      <c r="I1235" s="1" t="s">
        <v>49</v>
      </c>
      <c r="J1235" s="1" t="s">
        <v>48</v>
      </c>
      <c r="K1235" s="1">
        <v>96</v>
      </c>
      <c r="L1235" s="1">
        <v>0</v>
      </c>
      <c r="M1235" s="1">
        <v>0</v>
      </c>
      <c r="N1235" s="1">
        <v>96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 t="s">
        <v>49</v>
      </c>
      <c r="AA1235" s="1" t="s">
        <v>49</v>
      </c>
      <c r="AB1235" s="1" t="s">
        <v>49</v>
      </c>
      <c r="AC1235" s="1" t="s">
        <v>213</v>
      </c>
      <c r="AD1235" s="1" t="s">
        <v>214</v>
      </c>
      <c r="AE1235" s="1" t="s">
        <v>215</v>
      </c>
      <c r="AF1235" s="1" t="s">
        <v>2574</v>
      </c>
      <c r="AG1235" s="1" t="s">
        <v>53</v>
      </c>
      <c r="AH1235" s="1" t="s">
        <v>49</v>
      </c>
      <c r="AI1235" s="1" t="s">
        <v>54</v>
      </c>
      <c r="AJ1235" s="1">
        <v>1</v>
      </c>
      <c r="AK1235" s="1" t="str">
        <f t="shared" si="19"/>
        <v xml:space="preserve"> =&lt;90</v>
      </c>
      <c r="AL1235" s="1" t="str">
        <f>VLOOKUP(C:C,[1]基础信息!B$1:D$65536,3,0)</f>
        <v>Jug</v>
      </c>
      <c r="AM1235" s="1" t="str">
        <f>VLOOKUP(C:C,[1]基础信息!B$1:E$65536,4,0)</f>
        <v>Mxplus</v>
      </c>
      <c r="AN1235" s="1" t="str">
        <f>VLOOKUP(C:C,[1]基础信息!B$1:F$65536,5,0)</f>
        <v>Blue</v>
      </c>
    </row>
    <row r="1236" spans="1:40">
      <c r="A1236" s="1" t="s">
        <v>41</v>
      </c>
      <c r="B1236" s="1" t="s">
        <v>42</v>
      </c>
      <c r="C1236" s="1" t="s">
        <v>2893</v>
      </c>
      <c r="D1236" s="1" t="s">
        <v>2894</v>
      </c>
      <c r="E1236" s="1" t="s">
        <v>45</v>
      </c>
      <c r="F1236" s="1" t="s">
        <v>2895</v>
      </c>
      <c r="G1236" s="1" t="s">
        <v>2904</v>
      </c>
      <c r="H1236" s="1" t="s">
        <v>2905</v>
      </c>
      <c r="I1236" s="1" t="s">
        <v>49</v>
      </c>
      <c r="J1236" s="1" t="s">
        <v>48</v>
      </c>
      <c r="K1236" s="1">
        <v>2520</v>
      </c>
      <c r="L1236" s="1">
        <v>0</v>
      </c>
      <c r="M1236" s="1">
        <v>0</v>
      </c>
      <c r="N1236" s="1">
        <v>2520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 t="s">
        <v>49</v>
      </c>
      <c r="AA1236" s="1" t="s">
        <v>49</v>
      </c>
      <c r="AB1236" s="1" t="s">
        <v>49</v>
      </c>
      <c r="AC1236" s="1" t="s">
        <v>376</v>
      </c>
      <c r="AD1236" s="1" t="s">
        <v>377</v>
      </c>
      <c r="AE1236" s="1" t="s">
        <v>2898</v>
      </c>
      <c r="AF1236" s="1" t="s">
        <v>2899</v>
      </c>
      <c r="AG1236" s="1" t="s">
        <v>53</v>
      </c>
      <c r="AH1236" s="1" t="s">
        <v>49</v>
      </c>
      <c r="AI1236" s="1" t="s">
        <v>54</v>
      </c>
      <c r="AJ1236" s="1">
        <v>1</v>
      </c>
      <c r="AK1236" s="1" t="str">
        <f t="shared" si="19"/>
        <v xml:space="preserve"> =&lt;90</v>
      </c>
      <c r="AL1236" s="1" t="str">
        <f>VLOOKUP(C:C,[1]基础信息!B$1:D$65536,3,0)</f>
        <v xml:space="preserve">Cartridge </v>
      </c>
      <c r="AM1236" s="1" t="str">
        <f>VLOOKUP(C:C,[1]基础信息!B$1:E$65536,4,0)</f>
        <v>UNIV</v>
      </c>
      <c r="AN1236" s="1" t="str">
        <f>VLOOKUP(C:C,[1]基础信息!B$1:F$65536,5,0)</f>
        <v>P1</v>
      </c>
    </row>
    <row r="1237" spans="1:40">
      <c r="A1237" s="1" t="s">
        <v>41</v>
      </c>
      <c r="B1237" s="1" t="s">
        <v>42</v>
      </c>
      <c r="C1237" s="1" t="s">
        <v>2893</v>
      </c>
      <c r="D1237" s="1" t="s">
        <v>2894</v>
      </c>
      <c r="E1237" s="1" t="s">
        <v>45</v>
      </c>
      <c r="F1237" s="1" t="s">
        <v>2895</v>
      </c>
      <c r="G1237" s="1" t="s">
        <v>2906</v>
      </c>
      <c r="H1237" s="1" t="s">
        <v>2907</v>
      </c>
      <c r="I1237" s="1" t="s">
        <v>49</v>
      </c>
      <c r="J1237" s="1" t="s">
        <v>48</v>
      </c>
      <c r="K1237" s="1">
        <v>2520</v>
      </c>
      <c r="L1237" s="1">
        <v>0</v>
      </c>
      <c r="M1237" s="1">
        <v>0</v>
      </c>
      <c r="N1237" s="1">
        <v>2520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 t="s">
        <v>49</v>
      </c>
      <c r="AA1237" s="1" t="s">
        <v>49</v>
      </c>
      <c r="AB1237" s="1" t="s">
        <v>49</v>
      </c>
      <c r="AC1237" s="1" t="s">
        <v>376</v>
      </c>
      <c r="AD1237" s="1" t="s">
        <v>377</v>
      </c>
      <c r="AE1237" s="1" t="s">
        <v>2898</v>
      </c>
      <c r="AF1237" s="1" t="s">
        <v>2899</v>
      </c>
      <c r="AG1237" s="1" t="s">
        <v>53</v>
      </c>
      <c r="AH1237" s="1" t="s">
        <v>49</v>
      </c>
      <c r="AI1237" s="1" t="s">
        <v>54</v>
      </c>
      <c r="AJ1237" s="1">
        <v>1</v>
      </c>
      <c r="AK1237" s="1" t="str">
        <f t="shared" si="19"/>
        <v xml:space="preserve"> =&lt;90</v>
      </c>
      <c r="AL1237" s="1" t="str">
        <f>VLOOKUP(C:C,[1]基础信息!B$1:D$65536,3,0)</f>
        <v xml:space="preserve">Cartridge </v>
      </c>
      <c r="AM1237" s="1" t="str">
        <f>VLOOKUP(C:C,[1]基础信息!B$1:E$65536,4,0)</f>
        <v>UNIV</v>
      </c>
      <c r="AN1237" s="1" t="str">
        <f>VLOOKUP(C:C,[1]基础信息!B$1:F$65536,5,0)</f>
        <v>P1</v>
      </c>
    </row>
    <row r="1238" spans="1:40">
      <c r="A1238" s="1" t="s">
        <v>41</v>
      </c>
      <c r="B1238" s="1" t="s">
        <v>42</v>
      </c>
      <c r="C1238" s="1" t="s">
        <v>2893</v>
      </c>
      <c r="D1238" s="1" t="s">
        <v>2894</v>
      </c>
      <c r="E1238" s="1" t="s">
        <v>45</v>
      </c>
      <c r="F1238" s="1" t="s">
        <v>2895</v>
      </c>
      <c r="G1238" s="1" t="s">
        <v>2908</v>
      </c>
      <c r="H1238" s="1" t="s">
        <v>2909</v>
      </c>
      <c r="I1238" s="1" t="s">
        <v>49</v>
      </c>
      <c r="J1238" s="1" t="s">
        <v>48</v>
      </c>
      <c r="K1238" s="1">
        <v>2520</v>
      </c>
      <c r="L1238" s="1">
        <v>0</v>
      </c>
      <c r="M1238" s="1">
        <v>0</v>
      </c>
      <c r="N1238" s="1">
        <v>2520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 t="s">
        <v>49</v>
      </c>
      <c r="AA1238" s="1" t="s">
        <v>49</v>
      </c>
      <c r="AB1238" s="1" t="s">
        <v>49</v>
      </c>
      <c r="AC1238" s="1" t="s">
        <v>376</v>
      </c>
      <c r="AD1238" s="1" t="s">
        <v>377</v>
      </c>
      <c r="AE1238" s="1" t="s">
        <v>2898</v>
      </c>
      <c r="AF1238" s="1" t="s">
        <v>2899</v>
      </c>
      <c r="AG1238" s="1" t="s">
        <v>53</v>
      </c>
      <c r="AH1238" s="1" t="s">
        <v>49</v>
      </c>
      <c r="AI1238" s="1" t="s">
        <v>54</v>
      </c>
      <c r="AJ1238" s="1">
        <v>1</v>
      </c>
      <c r="AK1238" s="1" t="str">
        <f t="shared" si="19"/>
        <v xml:space="preserve"> =&lt;90</v>
      </c>
      <c r="AL1238" s="1" t="str">
        <f>VLOOKUP(C:C,[1]基础信息!B$1:D$65536,3,0)</f>
        <v xml:space="preserve">Cartridge </v>
      </c>
      <c r="AM1238" s="1" t="str">
        <f>VLOOKUP(C:C,[1]基础信息!B$1:E$65536,4,0)</f>
        <v>UNIV</v>
      </c>
      <c r="AN1238" s="1" t="str">
        <f>VLOOKUP(C:C,[1]基础信息!B$1:F$65536,5,0)</f>
        <v>P1</v>
      </c>
    </row>
    <row r="1239" spans="1:40">
      <c r="A1239" s="1" t="s">
        <v>41</v>
      </c>
      <c r="B1239" s="1" t="s">
        <v>42</v>
      </c>
      <c r="C1239" s="1" t="s">
        <v>2893</v>
      </c>
      <c r="D1239" s="1" t="s">
        <v>2894</v>
      </c>
      <c r="E1239" s="1" t="s">
        <v>45</v>
      </c>
      <c r="F1239" s="1" t="s">
        <v>2895</v>
      </c>
      <c r="G1239" s="1" t="s">
        <v>2910</v>
      </c>
      <c r="H1239" s="1" t="s">
        <v>2911</v>
      </c>
      <c r="I1239" s="1" t="s">
        <v>49</v>
      </c>
      <c r="J1239" s="1" t="s">
        <v>48</v>
      </c>
      <c r="K1239" s="1">
        <v>2520</v>
      </c>
      <c r="L1239" s="1">
        <v>0</v>
      </c>
      <c r="M1239" s="1">
        <v>0</v>
      </c>
      <c r="N1239" s="1">
        <v>2520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 t="s">
        <v>49</v>
      </c>
      <c r="AA1239" s="1" t="s">
        <v>49</v>
      </c>
      <c r="AB1239" s="1" t="s">
        <v>49</v>
      </c>
      <c r="AC1239" s="1" t="s">
        <v>376</v>
      </c>
      <c r="AD1239" s="1" t="s">
        <v>377</v>
      </c>
      <c r="AE1239" s="1" t="s">
        <v>2898</v>
      </c>
      <c r="AF1239" s="1" t="s">
        <v>2899</v>
      </c>
      <c r="AG1239" s="1" t="s">
        <v>53</v>
      </c>
      <c r="AH1239" s="1" t="s">
        <v>49</v>
      </c>
      <c r="AI1239" s="1" t="s">
        <v>54</v>
      </c>
      <c r="AJ1239" s="1">
        <v>1</v>
      </c>
      <c r="AK1239" s="1" t="str">
        <f t="shared" si="19"/>
        <v xml:space="preserve"> =&lt;90</v>
      </c>
      <c r="AL1239" s="1" t="str">
        <f>VLOOKUP(C:C,[1]基础信息!B$1:D$65536,3,0)</f>
        <v xml:space="preserve">Cartridge </v>
      </c>
      <c r="AM1239" s="1" t="str">
        <f>VLOOKUP(C:C,[1]基础信息!B$1:E$65536,4,0)</f>
        <v>UNIV</v>
      </c>
      <c r="AN1239" s="1" t="str">
        <f>VLOOKUP(C:C,[1]基础信息!B$1:F$65536,5,0)</f>
        <v>P1</v>
      </c>
    </row>
    <row r="1240" spans="1:40">
      <c r="A1240" s="1" t="s">
        <v>41</v>
      </c>
      <c r="B1240" s="1" t="s">
        <v>42</v>
      </c>
      <c r="C1240" s="1" t="s">
        <v>83</v>
      </c>
      <c r="D1240" s="1" t="s">
        <v>84</v>
      </c>
      <c r="E1240" s="1" t="s">
        <v>45</v>
      </c>
      <c r="F1240" s="1" t="s">
        <v>2571</v>
      </c>
      <c r="G1240" s="1" t="s">
        <v>2912</v>
      </c>
      <c r="H1240" s="1" t="s">
        <v>2913</v>
      </c>
      <c r="I1240" s="1" t="s">
        <v>49</v>
      </c>
      <c r="J1240" s="1" t="s">
        <v>48</v>
      </c>
      <c r="K1240" s="1">
        <v>96</v>
      </c>
      <c r="L1240" s="1">
        <v>0</v>
      </c>
      <c r="M1240" s="1">
        <v>0</v>
      </c>
      <c r="N1240" s="1">
        <v>96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 t="s">
        <v>49</v>
      </c>
      <c r="AA1240" s="1" t="s">
        <v>49</v>
      </c>
      <c r="AB1240" s="1" t="s">
        <v>49</v>
      </c>
      <c r="AC1240" s="1" t="s">
        <v>213</v>
      </c>
      <c r="AD1240" s="1" t="s">
        <v>214</v>
      </c>
      <c r="AE1240" s="1" t="s">
        <v>215</v>
      </c>
      <c r="AF1240" s="1" t="s">
        <v>2574</v>
      </c>
      <c r="AG1240" s="1" t="s">
        <v>53</v>
      </c>
      <c r="AH1240" s="1" t="s">
        <v>49</v>
      </c>
      <c r="AI1240" s="1" t="s">
        <v>54</v>
      </c>
      <c r="AJ1240" s="1">
        <v>1</v>
      </c>
      <c r="AK1240" s="1" t="str">
        <f t="shared" si="19"/>
        <v xml:space="preserve"> =&lt;90</v>
      </c>
      <c r="AL1240" s="1" t="str">
        <f>VLOOKUP(C:C,[1]基础信息!B$1:D$65536,3,0)</f>
        <v>Jug</v>
      </c>
      <c r="AM1240" s="1" t="str">
        <f>VLOOKUP(C:C,[1]基础信息!B$1:E$65536,4,0)</f>
        <v>Mxplus</v>
      </c>
      <c r="AN1240" s="1" t="str">
        <f>VLOOKUP(C:C,[1]基础信息!B$1:F$65536,5,0)</f>
        <v>Blue</v>
      </c>
    </row>
    <row r="1241" spans="1:40">
      <c r="A1241" s="1" t="s">
        <v>41</v>
      </c>
      <c r="B1241" s="1" t="s">
        <v>42</v>
      </c>
      <c r="C1241" s="1" t="s">
        <v>1710</v>
      </c>
      <c r="D1241" s="1" t="s">
        <v>1711</v>
      </c>
      <c r="E1241" s="1" t="s">
        <v>45</v>
      </c>
      <c r="F1241" s="1" t="s">
        <v>2590</v>
      </c>
      <c r="G1241" s="1" t="s">
        <v>2914</v>
      </c>
      <c r="H1241" s="1" t="s">
        <v>2915</v>
      </c>
      <c r="I1241" s="1" t="s">
        <v>49</v>
      </c>
      <c r="J1241" s="1" t="s">
        <v>48</v>
      </c>
      <c r="K1241" s="1">
        <v>60</v>
      </c>
      <c r="L1241" s="1">
        <v>0</v>
      </c>
      <c r="M1241" s="1">
        <v>0</v>
      </c>
      <c r="N1241" s="1">
        <v>60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 t="s">
        <v>49</v>
      </c>
      <c r="AA1241" s="1" t="s">
        <v>49</v>
      </c>
      <c r="AB1241" s="1" t="s">
        <v>49</v>
      </c>
      <c r="AC1241" s="1" t="s">
        <v>1008</v>
      </c>
      <c r="AD1241" s="1" t="s">
        <v>1009</v>
      </c>
      <c r="AE1241" s="1" t="s">
        <v>1008</v>
      </c>
      <c r="AF1241" s="1" t="s">
        <v>2593</v>
      </c>
      <c r="AG1241" s="1" t="s">
        <v>53</v>
      </c>
      <c r="AH1241" s="1" t="s">
        <v>49</v>
      </c>
      <c r="AI1241" s="1" t="s">
        <v>54</v>
      </c>
      <c r="AJ1241" s="1">
        <v>1</v>
      </c>
      <c r="AK1241" s="1" t="str">
        <f t="shared" si="19"/>
        <v xml:space="preserve"> =&lt;90</v>
      </c>
      <c r="AL1241" s="1" t="str">
        <f>VLOOKUP(C:C,[1]基础信息!B$1:D$65536,3,0)</f>
        <v>Jug</v>
      </c>
      <c r="AM1241" s="1" t="str">
        <f>VLOOKUP(C:C,[1]基础信息!B$1:E$65536,4,0)</f>
        <v>Kalea XL ME4W</v>
      </c>
      <c r="AN1241" s="1" t="str">
        <f>VLOOKUP(C:C,[1]基础信息!B$1:F$65536,5,0)</f>
        <v>grey</v>
      </c>
    </row>
    <row r="1242" spans="1:40">
      <c r="A1242" s="1" t="s">
        <v>41</v>
      </c>
      <c r="B1242" s="1" t="s">
        <v>42</v>
      </c>
      <c r="C1242" s="1" t="s">
        <v>83</v>
      </c>
      <c r="D1242" s="1" t="s">
        <v>84</v>
      </c>
      <c r="E1242" s="1" t="s">
        <v>45</v>
      </c>
      <c r="F1242" s="1" t="s">
        <v>2571</v>
      </c>
      <c r="G1242" s="1" t="s">
        <v>2916</v>
      </c>
      <c r="H1242" s="1" t="s">
        <v>2917</v>
      </c>
      <c r="I1242" s="1" t="s">
        <v>49</v>
      </c>
      <c r="J1242" s="1" t="s">
        <v>48</v>
      </c>
      <c r="K1242" s="1">
        <v>96</v>
      </c>
      <c r="L1242" s="1">
        <v>0</v>
      </c>
      <c r="M1242" s="1">
        <v>0</v>
      </c>
      <c r="N1242" s="1">
        <v>96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 t="s">
        <v>49</v>
      </c>
      <c r="AA1242" s="1" t="s">
        <v>49</v>
      </c>
      <c r="AB1242" s="1" t="s">
        <v>49</v>
      </c>
      <c r="AC1242" s="1" t="s">
        <v>213</v>
      </c>
      <c r="AD1242" s="1" t="s">
        <v>214</v>
      </c>
      <c r="AE1242" s="1" t="s">
        <v>215</v>
      </c>
      <c r="AF1242" s="1" t="s">
        <v>2574</v>
      </c>
      <c r="AG1242" s="1" t="s">
        <v>53</v>
      </c>
      <c r="AH1242" s="1" t="s">
        <v>49</v>
      </c>
      <c r="AI1242" s="1" t="s">
        <v>54</v>
      </c>
      <c r="AJ1242" s="1">
        <v>1</v>
      </c>
      <c r="AK1242" s="1" t="str">
        <f t="shared" si="19"/>
        <v xml:space="preserve"> =&lt;90</v>
      </c>
      <c r="AL1242" s="1" t="str">
        <f>VLOOKUP(C:C,[1]基础信息!B$1:D$65536,3,0)</f>
        <v>Jug</v>
      </c>
      <c r="AM1242" s="1" t="str">
        <f>VLOOKUP(C:C,[1]基础信息!B$1:E$65536,4,0)</f>
        <v>Mxplus</v>
      </c>
      <c r="AN1242" s="1" t="str">
        <f>VLOOKUP(C:C,[1]基础信息!B$1:F$65536,5,0)</f>
        <v>Blue</v>
      </c>
    </row>
    <row r="1243" spans="1:40">
      <c r="A1243" s="1" t="s">
        <v>41</v>
      </c>
      <c r="B1243" s="1" t="s">
        <v>42</v>
      </c>
      <c r="C1243" s="1" t="s">
        <v>83</v>
      </c>
      <c r="D1243" s="1" t="s">
        <v>84</v>
      </c>
      <c r="E1243" s="1" t="s">
        <v>45</v>
      </c>
      <c r="F1243" s="1" t="s">
        <v>2571</v>
      </c>
      <c r="G1243" s="1" t="s">
        <v>2918</v>
      </c>
      <c r="H1243" s="1" t="s">
        <v>2919</v>
      </c>
      <c r="I1243" s="1" t="s">
        <v>49</v>
      </c>
      <c r="J1243" s="1" t="s">
        <v>48</v>
      </c>
      <c r="K1243" s="1">
        <v>96</v>
      </c>
      <c r="L1243" s="1">
        <v>0</v>
      </c>
      <c r="M1243" s="1">
        <v>0</v>
      </c>
      <c r="N1243" s="1">
        <v>96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 t="s">
        <v>49</v>
      </c>
      <c r="AA1243" s="1" t="s">
        <v>49</v>
      </c>
      <c r="AB1243" s="1" t="s">
        <v>49</v>
      </c>
      <c r="AC1243" s="1" t="s">
        <v>213</v>
      </c>
      <c r="AD1243" s="1" t="s">
        <v>214</v>
      </c>
      <c r="AE1243" s="1" t="s">
        <v>215</v>
      </c>
      <c r="AF1243" s="1" t="s">
        <v>2574</v>
      </c>
      <c r="AG1243" s="1" t="s">
        <v>53</v>
      </c>
      <c r="AH1243" s="1" t="s">
        <v>49</v>
      </c>
      <c r="AI1243" s="1" t="s">
        <v>54</v>
      </c>
      <c r="AJ1243" s="1">
        <v>1</v>
      </c>
      <c r="AK1243" s="1" t="str">
        <f t="shared" si="19"/>
        <v xml:space="preserve"> =&lt;90</v>
      </c>
      <c r="AL1243" s="1" t="str">
        <f>VLOOKUP(C:C,[1]基础信息!B$1:D$65536,3,0)</f>
        <v>Jug</v>
      </c>
      <c r="AM1243" s="1" t="str">
        <f>VLOOKUP(C:C,[1]基础信息!B$1:E$65536,4,0)</f>
        <v>Mxplus</v>
      </c>
      <c r="AN1243" s="1" t="str">
        <f>VLOOKUP(C:C,[1]基础信息!B$1:F$65536,5,0)</f>
        <v>Blue</v>
      </c>
    </row>
    <row r="1244" spans="1:40">
      <c r="A1244" s="1" t="s">
        <v>41</v>
      </c>
      <c r="B1244" s="1" t="s">
        <v>42</v>
      </c>
      <c r="C1244" s="1" t="s">
        <v>83</v>
      </c>
      <c r="D1244" s="1" t="s">
        <v>84</v>
      </c>
      <c r="E1244" s="1" t="s">
        <v>45</v>
      </c>
      <c r="F1244" s="1" t="s">
        <v>2571</v>
      </c>
      <c r="G1244" s="1" t="s">
        <v>2920</v>
      </c>
      <c r="H1244" s="1" t="s">
        <v>2921</v>
      </c>
      <c r="I1244" s="1" t="s">
        <v>49</v>
      </c>
      <c r="J1244" s="1" t="s">
        <v>48</v>
      </c>
      <c r="K1244" s="1">
        <v>96</v>
      </c>
      <c r="L1244" s="1">
        <v>0</v>
      </c>
      <c r="M1244" s="1">
        <v>0</v>
      </c>
      <c r="N1244" s="1">
        <v>96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 t="s">
        <v>49</v>
      </c>
      <c r="AA1244" s="1" t="s">
        <v>49</v>
      </c>
      <c r="AB1244" s="1" t="s">
        <v>49</v>
      </c>
      <c r="AC1244" s="1" t="s">
        <v>213</v>
      </c>
      <c r="AD1244" s="1" t="s">
        <v>214</v>
      </c>
      <c r="AE1244" s="1" t="s">
        <v>215</v>
      </c>
      <c r="AF1244" s="1" t="s">
        <v>2574</v>
      </c>
      <c r="AG1244" s="1" t="s">
        <v>53</v>
      </c>
      <c r="AH1244" s="1" t="s">
        <v>49</v>
      </c>
      <c r="AI1244" s="1" t="s">
        <v>54</v>
      </c>
      <c r="AJ1244" s="1">
        <v>1</v>
      </c>
      <c r="AK1244" s="1" t="str">
        <f t="shared" si="19"/>
        <v xml:space="preserve"> =&lt;90</v>
      </c>
      <c r="AL1244" s="1" t="str">
        <f>VLOOKUP(C:C,[1]基础信息!B$1:D$65536,3,0)</f>
        <v>Jug</v>
      </c>
      <c r="AM1244" s="1" t="str">
        <f>VLOOKUP(C:C,[1]基础信息!B$1:E$65536,4,0)</f>
        <v>Mxplus</v>
      </c>
      <c r="AN1244" s="1" t="str">
        <f>VLOOKUP(C:C,[1]基础信息!B$1:F$65536,5,0)</f>
        <v>Blue</v>
      </c>
    </row>
    <row r="1245" spans="1:40">
      <c r="A1245" s="1" t="s">
        <v>41</v>
      </c>
      <c r="B1245" s="1" t="s">
        <v>42</v>
      </c>
      <c r="C1245" s="1" t="s">
        <v>2654</v>
      </c>
      <c r="D1245" s="1" t="s">
        <v>2655</v>
      </c>
      <c r="E1245" s="1" t="s">
        <v>45</v>
      </c>
      <c r="F1245" s="1" t="s">
        <v>2656</v>
      </c>
      <c r="G1245" s="1" t="s">
        <v>2922</v>
      </c>
      <c r="H1245" s="1" t="s">
        <v>45</v>
      </c>
      <c r="I1245" s="1" t="s">
        <v>45</v>
      </c>
      <c r="J1245" s="1" t="s">
        <v>48</v>
      </c>
      <c r="K1245" s="1">
        <v>300</v>
      </c>
      <c r="L1245" s="1">
        <v>0</v>
      </c>
      <c r="M1245" s="1">
        <v>0</v>
      </c>
      <c r="N1245" s="1">
        <v>300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 t="s">
        <v>49</v>
      </c>
      <c r="AA1245" s="1" t="s">
        <v>49</v>
      </c>
      <c r="AB1245" s="1" t="s">
        <v>49</v>
      </c>
      <c r="AC1245" s="1" t="s">
        <v>2658</v>
      </c>
      <c r="AD1245" s="1" t="s">
        <v>2659</v>
      </c>
      <c r="AE1245" s="1" t="s">
        <v>2658</v>
      </c>
      <c r="AF1245" s="1" t="s">
        <v>49</v>
      </c>
      <c r="AG1245" s="1" t="s">
        <v>53</v>
      </c>
      <c r="AH1245" s="1" t="s">
        <v>49</v>
      </c>
      <c r="AI1245" s="1" t="s">
        <v>54</v>
      </c>
      <c r="AJ1245" s="1">
        <v>1</v>
      </c>
      <c r="AK1245" s="1" t="str">
        <f t="shared" si="19"/>
        <v xml:space="preserve"> =&lt;90</v>
      </c>
      <c r="AL1245" s="1" t="e">
        <f>VLOOKUP(C:C,[1]基础信息!B$1:D$65536,3,0)</f>
        <v>#N/A</v>
      </c>
      <c r="AM1245" s="1" t="e">
        <f>VLOOKUP(C:C,[1]基础信息!B$1:E$65536,4,0)</f>
        <v>#N/A</v>
      </c>
      <c r="AN1245" s="1" t="e">
        <f>VLOOKUP(C:C,[1]基础信息!B$1:F$65536,5,0)</f>
        <v>#N/A</v>
      </c>
    </row>
    <row r="1246" spans="1:40">
      <c r="A1246" s="1" t="s">
        <v>41</v>
      </c>
      <c r="B1246" s="1" t="s">
        <v>42</v>
      </c>
      <c r="C1246" s="1" t="s">
        <v>1710</v>
      </c>
      <c r="D1246" s="1" t="s">
        <v>1711</v>
      </c>
      <c r="E1246" s="1" t="s">
        <v>45</v>
      </c>
      <c r="F1246" s="1" t="s">
        <v>2590</v>
      </c>
      <c r="G1246" s="1" t="s">
        <v>2923</v>
      </c>
      <c r="H1246" s="1" t="s">
        <v>2924</v>
      </c>
      <c r="I1246" s="1" t="s">
        <v>49</v>
      </c>
      <c r="J1246" s="1" t="s">
        <v>48</v>
      </c>
      <c r="K1246" s="1">
        <v>60</v>
      </c>
      <c r="L1246" s="1">
        <v>0</v>
      </c>
      <c r="M1246" s="1">
        <v>0</v>
      </c>
      <c r="N1246" s="1">
        <v>60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 t="s">
        <v>49</v>
      </c>
      <c r="AA1246" s="1" t="s">
        <v>49</v>
      </c>
      <c r="AB1246" s="1" t="s">
        <v>49</v>
      </c>
      <c r="AC1246" s="1" t="s">
        <v>1008</v>
      </c>
      <c r="AD1246" s="1" t="s">
        <v>1009</v>
      </c>
      <c r="AE1246" s="1" t="s">
        <v>1008</v>
      </c>
      <c r="AF1246" s="1" t="s">
        <v>2593</v>
      </c>
      <c r="AG1246" s="1" t="s">
        <v>53</v>
      </c>
      <c r="AH1246" s="1" t="s">
        <v>49</v>
      </c>
      <c r="AI1246" s="1" t="s">
        <v>54</v>
      </c>
      <c r="AJ1246" s="1">
        <v>1</v>
      </c>
      <c r="AK1246" s="1" t="str">
        <f t="shared" si="19"/>
        <v xml:space="preserve"> =&lt;90</v>
      </c>
      <c r="AL1246" s="1" t="str">
        <f>VLOOKUP(C:C,[1]基础信息!B$1:D$65536,3,0)</f>
        <v>Jug</v>
      </c>
      <c r="AM1246" s="1" t="str">
        <f>VLOOKUP(C:C,[1]基础信息!B$1:E$65536,4,0)</f>
        <v>Kalea XL ME4W</v>
      </c>
      <c r="AN1246" s="1" t="str">
        <f>VLOOKUP(C:C,[1]基础信息!B$1:F$65536,5,0)</f>
        <v>grey</v>
      </c>
    </row>
    <row r="1247" spans="1:40">
      <c r="A1247" s="1" t="s">
        <v>41</v>
      </c>
      <c r="B1247" s="1" t="s">
        <v>42</v>
      </c>
      <c r="C1247" s="1" t="s">
        <v>83</v>
      </c>
      <c r="D1247" s="1" t="s">
        <v>84</v>
      </c>
      <c r="E1247" s="1" t="s">
        <v>45</v>
      </c>
      <c r="F1247" s="1" t="s">
        <v>2571</v>
      </c>
      <c r="G1247" s="1" t="s">
        <v>2925</v>
      </c>
      <c r="H1247" s="1" t="s">
        <v>2926</v>
      </c>
      <c r="I1247" s="1" t="s">
        <v>49</v>
      </c>
      <c r="J1247" s="1" t="s">
        <v>48</v>
      </c>
      <c r="K1247" s="1">
        <v>96</v>
      </c>
      <c r="L1247" s="1">
        <v>0</v>
      </c>
      <c r="M1247" s="1">
        <v>0</v>
      </c>
      <c r="N1247" s="1">
        <v>96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 t="s">
        <v>49</v>
      </c>
      <c r="AA1247" s="1" t="s">
        <v>49</v>
      </c>
      <c r="AB1247" s="1" t="s">
        <v>49</v>
      </c>
      <c r="AC1247" s="1" t="s">
        <v>213</v>
      </c>
      <c r="AD1247" s="1" t="s">
        <v>214</v>
      </c>
      <c r="AE1247" s="1" t="s">
        <v>215</v>
      </c>
      <c r="AF1247" s="1" t="s">
        <v>2574</v>
      </c>
      <c r="AG1247" s="1" t="s">
        <v>53</v>
      </c>
      <c r="AH1247" s="1" t="s">
        <v>49</v>
      </c>
      <c r="AI1247" s="1" t="s">
        <v>54</v>
      </c>
      <c r="AJ1247" s="1">
        <v>1</v>
      </c>
      <c r="AK1247" s="1" t="str">
        <f t="shared" si="19"/>
        <v xml:space="preserve"> =&lt;90</v>
      </c>
      <c r="AL1247" s="1" t="str">
        <f>VLOOKUP(C:C,[1]基础信息!B$1:D$65536,3,0)</f>
        <v>Jug</v>
      </c>
      <c r="AM1247" s="1" t="str">
        <f>VLOOKUP(C:C,[1]基础信息!B$1:E$65536,4,0)</f>
        <v>Mxplus</v>
      </c>
      <c r="AN1247" s="1" t="str">
        <f>VLOOKUP(C:C,[1]基础信息!B$1:F$65536,5,0)</f>
        <v>Blue</v>
      </c>
    </row>
    <row r="1248" spans="1:40">
      <c r="A1248" s="1" t="s">
        <v>41</v>
      </c>
      <c r="B1248" s="1" t="s">
        <v>42</v>
      </c>
      <c r="C1248" s="1" t="s">
        <v>1710</v>
      </c>
      <c r="D1248" s="1" t="s">
        <v>1711</v>
      </c>
      <c r="E1248" s="1" t="s">
        <v>45</v>
      </c>
      <c r="F1248" s="1" t="s">
        <v>2590</v>
      </c>
      <c r="G1248" s="1" t="s">
        <v>2927</v>
      </c>
      <c r="H1248" s="1" t="s">
        <v>2928</v>
      </c>
      <c r="I1248" s="1" t="s">
        <v>49</v>
      </c>
      <c r="J1248" s="1" t="s">
        <v>48</v>
      </c>
      <c r="K1248" s="1">
        <v>60</v>
      </c>
      <c r="L1248" s="1">
        <v>0</v>
      </c>
      <c r="M1248" s="1">
        <v>0</v>
      </c>
      <c r="N1248" s="1">
        <v>60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 t="s">
        <v>49</v>
      </c>
      <c r="AA1248" s="1" t="s">
        <v>49</v>
      </c>
      <c r="AB1248" s="1" t="s">
        <v>49</v>
      </c>
      <c r="AC1248" s="1" t="s">
        <v>1008</v>
      </c>
      <c r="AD1248" s="1" t="s">
        <v>1009</v>
      </c>
      <c r="AE1248" s="1" t="s">
        <v>1008</v>
      </c>
      <c r="AF1248" s="1" t="s">
        <v>2593</v>
      </c>
      <c r="AG1248" s="1" t="s">
        <v>53</v>
      </c>
      <c r="AH1248" s="1" t="s">
        <v>49</v>
      </c>
      <c r="AI1248" s="1" t="s">
        <v>54</v>
      </c>
      <c r="AJ1248" s="1">
        <v>1</v>
      </c>
      <c r="AK1248" s="1" t="str">
        <f t="shared" si="19"/>
        <v xml:space="preserve"> =&lt;90</v>
      </c>
      <c r="AL1248" s="1" t="str">
        <f>VLOOKUP(C:C,[1]基础信息!B$1:D$65536,3,0)</f>
        <v>Jug</v>
      </c>
      <c r="AM1248" s="1" t="str">
        <f>VLOOKUP(C:C,[1]基础信息!B$1:E$65536,4,0)</f>
        <v>Kalea XL ME4W</v>
      </c>
      <c r="AN1248" s="1" t="str">
        <f>VLOOKUP(C:C,[1]基础信息!B$1:F$65536,5,0)</f>
        <v>grey</v>
      </c>
    </row>
    <row r="1249" spans="1:40">
      <c r="A1249" s="1" t="s">
        <v>41</v>
      </c>
      <c r="B1249" s="1" t="s">
        <v>42</v>
      </c>
      <c r="C1249" s="1" t="s">
        <v>1710</v>
      </c>
      <c r="D1249" s="1" t="s">
        <v>1711</v>
      </c>
      <c r="E1249" s="1" t="s">
        <v>45</v>
      </c>
      <c r="F1249" s="1" t="s">
        <v>2590</v>
      </c>
      <c r="G1249" s="1" t="s">
        <v>2929</v>
      </c>
      <c r="H1249" s="1" t="s">
        <v>2930</v>
      </c>
      <c r="I1249" s="1" t="s">
        <v>49</v>
      </c>
      <c r="J1249" s="1" t="s">
        <v>48</v>
      </c>
      <c r="K1249" s="1">
        <v>60</v>
      </c>
      <c r="L1249" s="1">
        <v>0</v>
      </c>
      <c r="M1249" s="1">
        <v>0</v>
      </c>
      <c r="N1249" s="1">
        <v>60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 t="s">
        <v>49</v>
      </c>
      <c r="AA1249" s="1" t="s">
        <v>49</v>
      </c>
      <c r="AB1249" s="1" t="s">
        <v>49</v>
      </c>
      <c r="AC1249" s="1" t="s">
        <v>1008</v>
      </c>
      <c r="AD1249" s="1" t="s">
        <v>1009</v>
      </c>
      <c r="AE1249" s="1" t="s">
        <v>1008</v>
      </c>
      <c r="AF1249" s="1" t="s">
        <v>2593</v>
      </c>
      <c r="AG1249" s="1" t="s">
        <v>53</v>
      </c>
      <c r="AH1249" s="1" t="s">
        <v>49</v>
      </c>
      <c r="AI1249" s="1" t="s">
        <v>54</v>
      </c>
      <c r="AJ1249" s="1">
        <v>1</v>
      </c>
      <c r="AK1249" s="1" t="str">
        <f t="shared" si="19"/>
        <v xml:space="preserve"> =&lt;90</v>
      </c>
      <c r="AL1249" s="1" t="str">
        <f>VLOOKUP(C:C,[1]基础信息!B$1:D$65536,3,0)</f>
        <v>Jug</v>
      </c>
      <c r="AM1249" s="1" t="str">
        <f>VLOOKUP(C:C,[1]基础信息!B$1:E$65536,4,0)</f>
        <v>Kalea XL ME4W</v>
      </c>
      <c r="AN1249" s="1" t="str">
        <f>VLOOKUP(C:C,[1]基础信息!B$1:F$65536,5,0)</f>
        <v>grey</v>
      </c>
    </row>
    <row r="1250" spans="1:40">
      <c r="A1250" s="1" t="s">
        <v>41</v>
      </c>
      <c r="B1250" s="1" t="s">
        <v>42</v>
      </c>
      <c r="C1250" s="1" t="s">
        <v>83</v>
      </c>
      <c r="D1250" s="1" t="s">
        <v>84</v>
      </c>
      <c r="E1250" s="1" t="s">
        <v>45</v>
      </c>
      <c r="F1250" s="1" t="s">
        <v>2571</v>
      </c>
      <c r="G1250" s="1" t="s">
        <v>2931</v>
      </c>
      <c r="H1250" s="1" t="s">
        <v>2932</v>
      </c>
      <c r="I1250" s="1" t="s">
        <v>49</v>
      </c>
      <c r="J1250" s="1" t="s">
        <v>48</v>
      </c>
      <c r="K1250" s="1">
        <v>96</v>
      </c>
      <c r="L1250" s="1">
        <v>0</v>
      </c>
      <c r="M1250" s="1">
        <v>0</v>
      </c>
      <c r="N1250" s="1">
        <v>96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 t="s">
        <v>49</v>
      </c>
      <c r="AA1250" s="1" t="s">
        <v>49</v>
      </c>
      <c r="AB1250" s="1" t="s">
        <v>49</v>
      </c>
      <c r="AC1250" s="1" t="s">
        <v>213</v>
      </c>
      <c r="AD1250" s="1" t="s">
        <v>214</v>
      </c>
      <c r="AE1250" s="1" t="s">
        <v>215</v>
      </c>
      <c r="AF1250" s="1" t="s">
        <v>2574</v>
      </c>
      <c r="AG1250" s="1" t="s">
        <v>53</v>
      </c>
      <c r="AH1250" s="1" t="s">
        <v>49</v>
      </c>
      <c r="AI1250" s="1" t="s">
        <v>54</v>
      </c>
      <c r="AJ1250" s="1">
        <v>1</v>
      </c>
      <c r="AK1250" s="1" t="str">
        <f t="shared" si="19"/>
        <v xml:space="preserve"> =&lt;90</v>
      </c>
      <c r="AL1250" s="1" t="str">
        <f>VLOOKUP(C:C,[1]基础信息!B$1:D$65536,3,0)</f>
        <v>Jug</v>
      </c>
      <c r="AM1250" s="1" t="str">
        <f>VLOOKUP(C:C,[1]基础信息!B$1:E$65536,4,0)</f>
        <v>Mxplus</v>
      </c>
      <c r="AN1250" s="1" t="str">
        <f>VLOOKUP(C:C,[1]基础信息!B$1:F$65536,5,0)</f>
        <v>Blue</v>
      </c>
    </row>
    <row r="1251" spans="1:40">
      <c r="A1251" s="1" t="s">
        <v>41</v>
      </c>
      <c r="B1251" s="1" t="s">
        <v>42</v>
      </c>
      <c r="C1251" s="1" t="s">
        <v>83</v>
      </c>
      <c r="D1251" s="1" t="s">
        <v>84</v>
      </c>
      <c r="E1251" s="1" t="s">
        <v>45</v>
      </c>
      <c r="F1251" s="1" t="s">
        <v>2571</v>
      </c>
      <c r="G1251" s="1" t="s">
        <v>2933</v>
      </c>
      <c r="H1251" s="1" t="s">
        <v>2934</v>
      </c>
      <c r="I1251" s="1" t="s">
        <v>49</v>
      </c>
      <c r="J1251" s="1" t="s">
        <v>48</v>
      </c>
      <c r="K1251" s="1">
        <v>96</v>
      </c>
      <c r="L1251" s="1">
        <v>0</v>
      </c>
      <c r="M1251" s="1">
        <v>0</v>
      </c>
      <c r="N1251" s="1">
        <v>96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 t="s">
        <v>49</v>
      </c>
      <c r="AA1251" s="1" t="s">
        <v>49</v>
      </c>
      <c r="AB1251" s="1" t="s">
        <v>49</v>
      </c>
      <c r="AC1251" s="1" t="s">
        <v>213</v>
      </c>
      <c r="AD1251" s="1" t="s">
        <v>214</v>
      </c>
      <c r="AE1251" s="1" t="s">
        <v>215</v>
      </c>
      <c r="AF1251" s="1" t="s">
        <v>2574</v>
      </c>
      <c r="AG1251" s="1" t="s">
        <v>53</v>
      </c>
      <c r="AH1251" s="1" t="s">
        <v>49</v>
      </c>
      <c r="AI1251" s="1" t="s">
        <v>54</v>
      </c>
      <c r="AJ1251" s="1">
        <v>1</v>
      </c>
      <c r="AK1251" s="1" t="str">
        <f t="shared" si="19"/>
        <v xml:space="preserve"> =&lt;90</v>
      </c>
      <c r="AL1251" s="1" t="str">
        <f>VLOOKUP(C:C,[1]基础信息!B$1:D$65536,3,0)</f>
        <v>Jug</v>
      </c>
      <c r="AM1251" s="1" t="str">
        <f>VLOOKUP(C:C,[1]基础信息!B$1:E$65536,4,0)</f>
        <v>Mxplus</v>
      </c>
      <c r="AN1251" s="1" t="str">
        <f>VLOOKUP(C:C,[1]基础信息!B$1:F$65536,5,0)</f>
        <v>Blue</v>
      </c>
    </row>
    <row r="1252" spans="1:40">
      <c r="A1252" s="1" t="s">
        <v>41</v>
      </c>
      <c r="B1252" s="1" t="s">
        <v>42</v>
      </c>
      <c r="C1252" s="1" t="s">
        <v>83</v>
      </c>
      <c r="D1252" s="1" t="s">
        <v>84</v>
      </c>
      <c r="E1252" s="1" t="s">
        <v>45</v>
      </c>
      <c r="F1252" s="1" t="s">
        <v>2571</v>
      </c>
      <c r="G1252" s="1" t="s">
        <v>2935</v>
      </c>
      <c r="H1252" s="1" t="s">
        <v>2936</v>
      </c>
      <c r="I1252" s="1" t="s">
        <v>49</v>
      </c>
      <c r="J1252" s="1" t="s">
        <v>48</v>
      </c>
      <c r="K1252" s="1">
        <v>96</v>
      </c>
      <c r="L1252" s="1">
        <v>0</v>
      </c>
      <c r="M1252" s="1">
        <v>0</v>
      </c>
      <c r="N1252" s="1">
        <v>96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 t="s">
        <v>49</v>
      </c>
      <c r="AA1252" s="1" t="s">
        <v>49</v>
      </c>
      <c r="AB1252" s="1" t="s">
        <v>49</v>
      </c>
      <c r="AC1252" s="1" t="s">
        <v>213</v>
      </c>
      <c r="AD1252" s="1" t="s">
        <v>214</v>
      </c>
      <c r="AE1252" s="1" t="s">
        <v>215</v>
      </c>
      <c r="AF1252" s="1" t="s">
        <v>2574</v>
      </c>
      <c r="AG1252" s="1" t="s">
        <v>53</v>
      </c>
      <c r="AH1252" s="1" t="s">
        <v>49</v>
      </c>
      <c r="AI1252" s="1" t="s">
        <v>54</v>
      </c>
      <c r="AJ1252" s="1">
        <v>1</v>
      </c>
      <c r="AK1252" s="1" t="str">
        <f t="shared" si="19"/>
        <v xml:space="preserve"> =&lt;90</v>
      </c>
      <c r="AL1252" s="1" t="str">
        <f>VLOOKUP(C:C,[1]基础信息!B$1:D$65536,3,0)</f>
        <v>Jug</v>
      </c>
      <c r="AM1252" s="1" t="str">
        <f>VLOOKUP(C:C,[1]基础信息!B$1:E$65536,4,0)</f>
        <v>Mxplus</v>
      </c>
      <c r="AN1252" s="1" t="str">
        <f>VLOOKUP(C:C,[1]基础信息!B$1:F$65536,5,0)</f>
        <v>Blue</v>
      </c>
    </row>
    <row r="1253" spans="1:40">
      <c r="A1253" s="1" t="s">
        <v>41</v>
      </c>
      <c r="B1253" s="1" t="s">
        <v>42</v>
      </c>
      <c r="C1253" s="1" t="s">
        <v>83</v>
      </c>
      <c r="D1253" s="1" t="s">
        <v>84</v>
      </c>
      <c r="E1253" s="1" t="s">
        <v>45</v>
      </c>
      <c r="F1253" s="1" t="s">
        <v>2571</v>
      </c>
      <c r="G1253" s="1" t="s">
        <v>2937</v>
      </c>
      <c r="H1253" s="1" t="s">
        <v>2938</v>
      </c>
      <c r="I1253" s="1" t="s">
        <v>49</v>
      </c>
      <c r="J1253" s="1" t="s">
        <v>48</v>
      </c>
      <c r="K1253" s="1">
        <v>96</v>
      </c>
      <c r="L1253" s="1">
        <v>0</v>
      </c>
      <c r="M1253" s="1">
        <v>0</v>
      </c>
      <c r="N1253" s="1">
        <v>96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 t="s">
        <v>49</v>
      </c>
      <c r="AA1253" s="1" t="s">
        <v>49</v>
      </c>
      <c r="AB1253" s="1" t="s">
        <v>49</v>
      </c>
      <c r="AC1253" s="1" t="s">
        <v>213</v>
      </c>
      <c r="AD1253" s="1" t="s">
        <v>214</v>
      </c>
      <c r="AE1253" s="1" t="s">
        <v>215</v>
      </c>
      <c r="AF1253" s="1" t="s">
        <v>2574</v>
      </c>
      <c r="AG1253" s="1" t="s">
        <v>53</v>
      </c>
      <c r="AH1253" s="1" t="s">
        <v>49</v>
      </c>
      <c r="AI1253" s="1" t="s">
        <v>54</v>
      </c>
      <c r="AJ1253" s="1">
        <v>1</v>
      </c>
      <c r="AK1253" s="1" t="str">
        <f t="shared" si="19"/>
        <v xml:space="preserve"> =&lt;90</v>
      </c>
      <c r="AL1253" s="1" t="str">
        <f>VLOOKUP(C:C,[1]基础信息!B$1:D$65536,3,0)</f>
        <v>Jug</v>
      </c>
      <c r="AM1253" s="1" t="str">
        <f>VLOOKUP(C:C,[1]基础信息!B$1:E$65536,4,0)</f>
        <v>Mxplus</v>
      </c>
      <c r="AN1253" s="1" t="str">
        <f>VLOOKUP(C:C,[1]基础信息!B$1:F$65536,5,0)</f>
        <v>Blue</v>
      </c>
    </row>
    <row r="1254" spans="1:40">
      <c r="A1254" s="1" t="s">
        <v>41</v>
      </c>
      <c r="B1254" s="1" t="s">
        <v>42</v>
      </c>
      <c r="C1254" s="1" t="s">
        <v>83</v>
      </c>
      <c r="D1254" s="1" t="s">
        <v>84</v>
      </c>
      <c r="E1254" s="1" t="s">
        <v>45</v>
      </c>
      <c r="F1254" s="1" t="s">
        <v>2571</v>
      </c>
      <c r="G1254" s="1" t="s">
        <v>2939</v>
      </c>
      <c r="H1254" s="1" t="s">
        <v>2940</v>
      </c>
      <c r="I1254" s="1" t="s">
        <v>49</v>
      </c>
      <c r="J1254" s="1" t="s">
        <v>48</v>
      </c>
      <c r="K1254" s="1">
        <v>96</v>
      </c>
      <c r="L1254" s="1">
        <v>0</v>
      </c>
      <c r="M1254" s="1">
        <v>0</v>
      </c>
      <c r="N1254" s="1">
        <v>96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 t="s">
        <v>49</v>
      </c>
      <c r="AA1254" s="1" t="s">
        <v>49</v>
      </c>
      <c r="AB1254" s="1" t="s">
        <v>49</v>
      </c>
      <c r="AC1254" s="1" t="s">
        <v>213</v>
      </c>
      <c r="AD1254" s="1" t="s">
        <v>214</v>
      </c>
      <c r="AE1254" s="1" t="s">
        <v>215</v>
      </c>
      <c r="AF1254" s="1" t="s">
        <v>2574</v>
      </c>
      <c r="AG1254" s="1" t="s">
        <v>53</v>
      </c>
      <c r="AH1254" s="1" t="s">
        <v>49</v>
      </c>
      <c r="AI1254" s="1" t="s">
        <v>54</v>
      </c>
      <c r="AJ1254" s="1">
        <v>1</v>
      </c>
      <c r="AK1254" s="1" t="str">
        <f t="shared" si="19"/>
        <v xml:space="preserve"> =&lt;90</v>
      </c>
      <c r="AL1254" s="1" t="str">
        <f>VLOOKUP(C:C,[1]基础信息!B$1:D$65536,3,0)</f>
        <v>Jug</v>
      </c>
      <c r="AM1254" s="1" t="str">
        <f>VLOOKUP(C:C,[1]基础信息!B$1:E$65536,4,0)</f>
        <v>Mxplus</v>
      </c>
      <c r="AN1254" s="1" t="str">
        <f>VLOOKUP(C:C,[1]基础信息!B$1:F$65536,5,0)</f>
        <v>Blue</v>
      </c>
    </row>
    <row r="1255" spans="1:40">
      <c r="A1255" s="1" t="s">
        <v>41</v>
      </c>
      <c r="B1255" s="1" t="s">
        <v>42</v>
      </c>
      <c r="C1255" s="1" t="s">
        <v>1710</v>
      </c>
      <c r="D1255" s="1" t="s">
        <v>1711</v>
      </c>
      <c r="E1255" s="1" t="s">
        <v>45</v>
      </c>
      <c r="F1255" s="1" t="s">
        <v>2590</v>
      </c>
      <c r="G1255" s="1" t="s">
        <v>2941</v>
      </c>
      <c r="H1255" s="1" t="s">
        <v>2942</v>
      </c>
      <c r="I1255" s="1" t="s">
        <v>49</v>
      </c>
      <c r="J1255" s="1" t="s">
        <v>48</v>
      </c>
      <c r="K1255" s="1">
        <v>60</v>
      </c>
      <c r="L1255" s="1">
        <v>0</v>
      </c>
      <c r="M1255" s="1">
        <v>0</v>
      </c>
      <c r="N1255" s="1">
        <v>60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 t="s">
        <v>49</v>
      </c>
      <c r="AA1255" s="1" t="s">
        <v>49</v>
      </c>
      <c r="AB1255" s="1" t="s">
        <v>49</v>
      </c>
      <c r="AC1255" s="1" t="s">
        <v>1008</v>
      </c>
      <c r="AD1255" s="1" t="s">
        <v>1009</v>
      </c>
      <c r="AE1255" s="1" t="s">
        <v>1008</v>
      </c>
      <c r="AF1255" s="1" t="s">
        <v>2593</v>
      </c>
      <c r="AG1255" s="1" t="s">
        <v>53</v>
      </c>
      <c r="AH1255" s="1" t="s">
        <v>49</v>
      </c>
      <c r="AI1255" s="1" t="s">
        <v>54</v>
      </c>
      <c r="AJ1255" s="1">
        <v>1</v>
      </c>
      <c r="AK1255" s="1" t="str">
        <f t="shared" si="19"/>
        <v xml:space="preserve"> =&lt;90</v>
      </c>
      <c r="AL1255" s="1" t="str">
        <f>VLOOKUP(C:C,[1]基础信息!B$1:D$65536,3,0)</f>
        <v>Jug</v>
      </c>
      <c r="AM1255" s="1" t="str">
        <f>VLOOKUP(C:C,[1]基础信息!B$1:E$65536,4,0)</f>
        <v>Kalea XL ME4W</v>
      </c>
      <c r="AN1255" s="1" t="str">
        <f>VLOOKUP(C:C,[1]基础信息!B$1:F$65536,5,0)</f>
        <v>grey</v>
      </c>
    </row>
    <row r="1256" spans="1:40">
      <c r="A1256" s="1" t="s">
        <v>41</v>
      </c>
      <c r="B1256" s="1" t="s">
        <v>42</v>
      </c>
      <c r="C1256" s="1" t="s">
        <v>83</v>
      </c>
      <c r="D1256" s="1" t="s">
        <v>84</v>
      </c>
      <c r="E1256" s="1" t="s">
        <v>45</v>
      </c>
      <c r="F1256" s="1" t="s">
        <v>2571</v>
      </c>
      <c r="G1256" s="1" t="s">
        <v>2943</v>
      </c>
      <c r="H1256" s="1" t="s">
        <v>2944</v>
      </c>
      <c r="I1256" s="1" t="s">
        <v>49</v>
      </c>
      <c r="J1256" s="1" t="s">
        <v>48</v>
      </c>
      <c r="K1256" s="1">
        <v>96</v>
      </c>
      <c r="L1256" s="1">
        <v>0</v>
      </c>
      <c r="M1256" s="1">
        <v>0</v>
      </c>
      <c r="N1256" s="1">
        <v>96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 t="s">
        <v>49</v>
      </c>
      <c r="AA1256" s="1" t="s">
        <v>49</v>
      </c>
      <c r="AB1256" s="1" t="s">
        <v>49</v>
      </c>
      <c r="AC1256" s="1" t="s">
        <v>213</v>
      </c>
      <c r="AD1256" s="1" t="s">
        <v>214</v>
      </c>
      <c r="AE1256" s="1" t="s">
        <v>215</v>
      </c>
      <c r="AF1256" s="1" t="s">
        <v>2574</v>
      </c>
      <c r="AG1256" s="1" t="s">
        <v>53</v>
      </c>
      <c r="AH1256" s="1" t="s">
        <v>49</v>
      </c>
      <c r="AI1256" s="1" t="s">
        <v>54</v>
      </c>
      <c r="AJ1256" s="1">
        <v>1</v>
      </c>
      <c r="AK1256" s="1" t="str">
        <f t="shared" si="19"/>
        <v xml:space="preserve"> =&lt;90</v>
      </c>
      <c r="AL1256" s="1" t="str">
        <f>VLOOKUP(C:C,[1]基础信息!B$1:D$65536,3,0)</f>
        <v>Jug</v>
      </c>
      <c r="AM1256" s="1" t="str">
        <f>VLOOKUP(C:C,[1]基础信息!B$1:E$65536,4,0)</f>
        <v>Mxplus</v>
      </c>
      <c r="AN1256" s="1" t="str">
        <f>VLOOKUP(C:C,[1]基础信息!B$1:F$65536,5,0)</f>
        <v>Blue</v>
      </c>
    </row>
    <row r="1257" spans="1:40">
      <c r="A1257" s="1" t="s">
        <v>41</v>
      </c>
      <c r="B1257" s="1" t="s">
        <v>42</v>
      </c>
      <c r="C1257" s="1" t="s">
        <v>83</v>
      </c>
      <c r="D1257" s="1" t="s">
        <v>84</v>
      </c>
      <c r="E1257" s="1" t="s">
        <v>45</v>
      </c>
      <c r="F1257" s="1" t="s">
        <v>2571</v>
      </c>
      <c r="G1257" s="1" t="s">
        <v>2945</v>
      </c>
      <c r="H1257" s="1" t="s">
        <v>2946</v>
      </c>
      <c r="I1257" s="1" t="s">
        <v>49</v>
      </c>
      <c r="J1257" s="1" t="s">
        <v>48</v>
      </c>
      <c r="K1257" s="1">
        <v>96</v>
      </c>
      <c r="L1257" s="1">
        <v>0</v>
      </c>
      <c r="M1257" s="1">
        <v>0</v>
      </c>
      <c r="N1257" s="1">
        <v>96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 t="s">
        <v>49</v>
      </c>
      <c r="AA1257" s="1" t="s">
        <v>49</v>
      </c>
      <c r="AB1257" s="1" t="s">
        <v>49</v>
      </c>
      <c r="AC1257" s="1" t="s">
        <v>213</v>
      </c>
      <c r="AD1257" s="1" t="s">
        <v>214</v>
      </c>
      <c r="AE1257" s="1" t="s">
        <v>215</v>
      </c>
      <c r="AF1257" s="1" t="s">
        <v>2574</v>
      </c>
      <c r="AG1257" s="1" t="s">
        <v>53</v>
      </c>
      <c r="AH1257" s="1" t="s">
        <v>49</v>
      </c>
      <c r="AI1257" s="1" t="s">
        <v>54</v>
      </c>
      <c r="AJ1257" s="1">
        <v>1</v>
      </c>
      <c r="AK1257" s="1" t="str">
        <f t="shared" si="19"/>
        <v xml:space="preserve"> =&lt;90</v>
      </c>
      <c r="AL1257" s="1" t="str">
        <f>VLOOKUP(C:C,[1]基础信息!B$1:D$65536,3,0)</f>
        <v>Jug</v>
      </c>
      <c r="AM1257" s="1" t="str">
        <f>VLOOKUP(C:C,[1]基础信息!B$1:E$65536,4,0)</f>
        <v>Mxplus</v>
      </c>
      <c r="AN1257" s="1" t="str">
        <f>VLOOKUP(C:C,[1]基础信息!B$1:F$65536,5,0)</f>
        <v>Blue</v>
      </c>
    </row>
    <row r="1258" spans="1:40">
      <c r="A1258" s="1" t="s">
        <v>41</v>
      </c>
      <c r="B1258" s="1" t="s">
        <v>42</v>
      </c>
      <c r="C1258" s="1" t="s">
        <v>83</v>
      </c>
      <c r="D1258" s="1" t="s">
        <v>84</v>
      </c>
      <c r="E1258" s="1" t="s">
        <v>45</v>
      </c>
      <c r="F1258" s="1" t="s">
        <v>2571</v>
      </c>
      <c r="G1258" s="1" t="s">
        <v>2947</v>
      </c>
      <c r="H1258" s="1" t="s">
        <v>2948</v>
      </c>
      <c r="I1258" s="1" t="s">
        <v>49</v>
      </c>
      <c r="J1258" s="1" t="s">
        <v>48</v>
      </c>
      <c r="K1258" s="1">
        <v>96</v>
      </c>
      <c r="L1258" s="1">
        <v>0</v>
      </c>
      <c r="M1258" s="1">
        <v>0</v>
      </c>
      <c r="N1258" s="1">
        <v>96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 t="s">
        <v>49</v>
      </c>
      <c r="AA1258" s="1" t="s">
        <v>49</v>
      </c>
      <c r="AB1258" s="1" t="s">
        <v>49</v>
      </c>
      <c r="AC1258" s="1" t="s">
        <v>213</v>
      </c>
      <c r="AD1258" s="1" t="s">
        <v>214</v>
      </c>
      <c r="AE1258" s="1" t="s">
        <v>215</v>
      </c>
      <c r="AF1258" s="1" t="s">
        <v>2574</v>
      </c>
      <c r="AG1258" s="1" t="s">
        <v>53</v>
      </c>
      <c r="AH1258" s="1" t="s">
        <v>49</v>
      </c>
      <c r="AI1258" s="1" t="s">
        <v>54</v>
      </c>
      <c r="AJ1258" s="1">
        <v>1</v>
      </c>
      <c r="AK1258" s="1" t="str">
        <f t="shared" si="19"/>
        <v xml:space="preserve"> =&lt;90</v>
      </c>
      <c r="AL1258" s="1" t="str">
        <f>VLOOKUP(C:C,[1]基础信息!B$1:D$65536,3,0)</f>
        <v>Jug</v>
      </c>
      <c r="AM1258" s="1" t="str">
        <f>VLOOKUP(C:C,[1]基础信息!B$1:E$65536,4,0)</f>
        <v>Mxplus</v>
      </c>
      <c r="AN1258" s="1" t="str">
        <f>VLOOKUP(C:C,[1]基础信息!B$1:F$65536,5,0)</f>
        <v>Blue</v>
      </c>
    </row>
    <row r="1259" spans="1:40">
      <c r="A1259" s="1" t="s">
        <v>41</v>
      </c>
      <c r="B1259" s="1" t="s">
        <v>42</v>
      </c>
      <c r="C1259" s="1" t="s">
        <v>1710</v>
      </c>
      <c r="D1259" s="1" t="s">
        <v>1711</v>
      </c>
      <c r="E1259" s="1" t="s">
        <v>45</v>
      </c>
      <c r="F1259" s="1" t="s">
        <v>2590</v>
      </c>
      <c r="G1259" s="1" t="s">
        <v>2949</v>
      </c>
      <c r="H1259" s="1" t="s">
        <v>2950</v>
      </c>
      <c r="I1259" s="1" t="s">
        <v>49</v>
      </c>
      <c r="J1259" s="1" t="s">
        <v>48</v>
      </c>
      <c r="K1259" s="1">
        <v>60</v>
      </c>
      <c r="L1259" s="1">
        <v>0</v>
      </c>
      <c r="M1259" s="1">
        <v>0</v>
      </c>
      <c r="N1259" s="1">
        <v>60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 t="s">
        <v>49</v>
      </c>
      <c r="AA1259" s="1" t="s">
        <v>49</v>
      </c>
      <c r="AB1259" s="1" t="s">
        <v>49</v>
      </c>
      <c r="AC1259" s="1" t="s">
        <v>1008</v>
      </c>
      <c r="AD1259" s="1" t="s">
        <v>1009</v>
      </c>
      <c r="AE1259" s="1" t="s">
        <v>1008</v>
      </c>
      <c r="AF1259" s="1" t="s">
        <v>2593</v>
      </c>
      <c r="AG1259" s="1" t="s">
        <v>53</v>
      </c>
      <c r="AH1259" s="1" t="s">
        <v>49</v>
      </c>
      <c r="AI1259" s="1" t="s">
        <v>54</v>
      </c>
      <c r="AJ1259" s="1">
        <v>1</v>
      </c>
      <c r="AK1259" s="1" t="str">
        <f t="shared" si="19"/>
        <v xml:space="preserve"> =&lt;90</v>
      </c>
      <c r="AL1259" s="1" t="str">
        <f>VLOOKUP(C:C,[1]基础信息!B$1:D$65536,3,0)</f>
        <v>Jug</v>
      </c>
      <c r="AM1259" s="1" t="str">
        <f>VLOOKUP(C:C,[1]基础信息!B$1:E$65536,4,0)</f>
        <v>Kalea XL ME4W</v>
      </c>
      <c r="AN1259" s="1" t="str">
        <f>VLOOKUP(C:C,[1]基础信息!B$1:F$65536,5,0)</f>
        <v>grey</v>
      </c>
    </row>
    <row r="1260" spans="1:40">
      <c r="A1260" s="1" t="s">
        <v>41</v>
      </c>
      <c r="B1260" s="1" t="s">
        <v>42</v>
      </c>
      <c r="C1260" s="1" t="s">
        <v>83</v>
      </c>
      <c r="D1260" s="1" t="s">
        <v>84</v>
      </c>
      <c r="E1260" s="1" t="s">
        <v>45</v>
      </c>
      <c r="F1260" s="1" t="s">
        <v>2571</v>
      </c>
      <c r="G1260" s="1" t="s">
        <v>2951</v>
      </c>
      <c r="H1260" s="1" t="s">
        <v>2952</v>
      </c>
      <c r="I1260" s="1" t="s">
        <v>49</v>
      </c>
      <c r="J1260" s="1" t="s">
        <v>48</v>
      </c>
      <c r="K1260" s="1">
        <v>96</v>
      </c>
      <c r="L1260" s="1">
        <v>0</v>
      </c>
      <c r="M1260" s="1">
        <v>0</v>
      </c>
      <c r="N1260" s="1">
        <v>96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 t="s">
        <v>49</v>
      </c>
      <c r="AA1260" s="1" t="s">
        <v>49</v>
      </c>
      <c r="AB1260" s="1" t="s">
        <v>49</v>
      </c>
      <c r="AC1260" s="1" t="s">
        <v>213</v>
      </c>
      <c r="AD1260" s="1" t="s">
        <v>214</v>
      </c>
      <c r="AE1260" s="1" t="s">
        <v>215</v>
      </c>
      <c r="AF1260" s="1" t="s">
        <v>2574</v>
      </c>
      <c r="AG1260" s="1" t="s">
        <v>53</v>
      </c>
      <c r="AH1260" s="1" t="s">
        <v>49</v>
      </c>
      <c r="AI1260" s="1" t="s">
        <v>54</v>
      </c>
      <c r="AJ1260" s="1">
        <v>1</v>
      </c>
      <c r="AK1260" s="1" t="str">
        <f t="shared" si="19"/>
        <v xml:space="preserve"> =&lt;90</v>
      </c>
      <c r="AL1260" s="1" t="str">
        <f>VLOOKUP(C:C,[1]基础信息!B$1:D$65536,3,0)</f>
        <v>Jug</v>
      </c>
      <c r="AM1260" s="1" t="str">
        <f>VLOOKUP(C:C,[1]基础信息!B$1:E$65536,4,0)</f>
        <v>Mxplus</v>
      </c>
      <c r="AN1260" s="1" t="str">
        <f>VLOOKUP(C:C,[1]基础信息!B$1:F$65536,5,0)</f>
        <v>Blue</v>
      </c>
    </row>
    <row r="1261" spans="1:40">
      <c r="A1261" s="1" t="s">
        <v>41</v>
      </c>
      <c r="B1261" s="1" t="s">
        <v>42</v>
      </c>
      <c r="C1261" s="1" t="s">
        <v>83</v>
      </c>
      <c r="D1261" s="1" t="s">
        <v>84</v>
      </c>
      <c r="E1261" s="1" t="s">
        <v>45</v>
      </c>
      <c r="F1261" s="1" t="s">
        <v>2571</v>
      </c>
      <c r="G1261" s="1" t="s">
        <v>2953</v>
      </c>
      <c r="H1261" s="1" t="s">
        <v>2954</v>
      </c>
      <c r="I1261" s="1" t="s">
        <v>49</v>
      </c>
      <c r="J1261" s="1" t="s">
        <v>48</v>
      </c>
      <c r="K1261" s="1">
        <v>96</v>
      </c>
      <c r="L1261" s="1">
        <v>0</v>
      </c>
      <c r="M1261" s="1">
        <v>0</v>
      </c>
      <c r="N1261" s="1">
        <v>96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 t="s">
        <v>49</v>
      </c>
      <c r="AA1261" s="1" t="s">
        <v>49</v>
      </c>
      <c r="AB1261" s="1" t="s">
        <v>49</v>
      </c>
      <c r="AC1261" s="1" t="s">
        <v>213</v>
      </c>
      <c r="AD1261" s="1" t="s">
        <v>214</v>
      </c>
      <c r="AE1261" s="1" t="s">
        <v>215</v>
      </c>
      <c r="AF1261" s="1" t="s">
        <v>2574</v>
      </c>
      <c r="AG1261" s="1" t="s">
        <v>53</v>
      </c>
      <c r="AH1261" s="1" t="s">
        <v>49</v>
      </c>
      <c r="AI1261" s="1" t="s">
        <v>54</v>
      </c>
      <c r="AJ1261" s="1">
        <v>1</v>
      </c>
      <c r="AK1261" s="1" t="str">
        <f t="shared" si="19"/>
        <v xml:space="preserve"> =&lt;90</v>
      </c>
      <c r="AL1261" s="1" t="str">
        <f>VLOOKUP(C:C,[1]基础信息!B$1:D$65536,3,0)</f>
        <v>Jug</v>
      </c>
      <c r="AM1261" s="1" t="str">
        <f>VLOOKUP(C:C,[1]基础信息!B$1:E$65536,4,0)</f>
        <v>Mxplus</v>
      </c>
      <c r="AN1261" s="1" t="str">
        <f>VLOOKUP(C:C,[1]基础信息!B$1:F$65536,5,0)</f>
        <v>Blue</v>
      </c>
    </row>
    <row r="1262" spans="1:40">
      <c r="A1262" s="1" t="s">
        <v>41</v>
      </c>
      <c r="B1262" s="1" t="s">
        <v>42</v>
      </c>
      <c r="C1262" s="1" t="s">
        <v>83</v>
      </c>
      <c r="D1262" s="1" t="s">
        <v>84</v>
      </c>
      <c r="E1262" s="1" t="s">
        <v>45</v>
      </c>
      <c r="F1262" s="1" t="s">
        <v>2571</v>
      </c>
      <c r="G1262" s="1" t="s">
        <v>2955</v>
      </c>
      <c r="H1262" s="1" t="s">
        <v>2956</v>
      </c>
      <c r="I1262" s="1" t="s">
        <v>49</v>
      </c>
      <c r="J1262" s="1" t="s">
        <v>48</v>
      </c>
      <c r="K1262" s="1">
        <v>96</v>
      </c>
      <c r="L1262" s="1">
        <v>0</v>
      </c>
      <c r="M1262" s="1">
        <v>0</v>
      </c>
      <c r="N1262" s="1">
        <v>96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 t="s">
        <v>49</v>
      </c>
      <c r="AA1262" s="1" t="s">
        <v>49</v>
      </c>
      <c r="AB1262" s="1" t="s">
        <v>49</v>
      </c>
      <c r="AC1262" s="1" t="s">
        <v>213</v>
      </c>
      <c r="AD1262" s="1" t="s">
        <v>214</v>
      </c>
      <c r="AE1262" s="1" t="s">
        <v>215</v>
      </c>
      <c r="AF1262" s="1" t="s">
        <v>2574</v>
      </c>
      <c r="AG1262" s="1" t="s">
        <v>53</v>
      </c>
      <c r="AH1262" s="1" t="s">
        <v>49</v>
      </c>
      <c r="AI1262" s="1" t="s">
        <v>54</v>
      </c>
      <c r="AJ1262" s="1">
        <v>1</v>
      </c>
      <c r="AK1262" s="1" t="str">
        <f t="shared" si="19"/>
        <v xml:space="preserve"> =&lt;90</v>
      </c>
      <c r="AL1262" s="1" t="str">
        <f>VLOOKUP(C:C,[1]基础信息!B$1:D$65536,3,0)</f>
        <v>Jug</v>
      </c>
      <c r="AM1262" s="1" t="str">
        <f>VLOOKUP(C:C,[1]基础信息!B$1:E$65536,4,0)</f>
        <v>Mxplus</v>
      </c>
      <c r="AN1262" s="1" t="str">
        <f>VLOOKUP(C:C,[1]基础信息!B$1:F$65536,5,0)</f>
        <v>Blue</v>
      </c>
    </row>
    <row r="1263" spans="1:40">
      <c r="A1263" s="1" t="s">
        <v>41</v>
      </c>
      <c r="B1263" s="1" t="s">
        <v>42</v>
      </c>
      <c r="C1263" s="1" t="s">
        <v>83</v>
      </c>
      <c r="D1263" s="1" t="s">
        <v>84</v>
      </c>
      <c r="E1263" s="1" t="s">
        <v>45</v>
      </c>
      <c r="F1263" s="1" t="s">
        <v>2571</v>
      </c>
      <c r="G1263" s="1" t="s">
        <v>2957</v>
      </c>
      <c r="H1263" s="1" t="s">
        <v>2958</v>
      </c>
      <c r="I1263" s="1" t="s">
        <v>49</v>
      </c>
      <c r="J1263" s="1" t="s">
        <v>48</v>
      </c>
      <c r="K1263" s="1">
        <v>96</v>
      </c>
      <c r="L1263" s="1">
        <v>0</v>
      </c>
      <c r="M1263" s="1">
        <v>0</v>
      </c>
      <c r="N1263" s="1">
        <v>96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 t="s">
        <v>49</v>
      </c>
      <c r="AA1263" s="1" t="s">
        <v>49</v>
      </c>
      <c r="AB1263" s="1" t="s">
        <v>49</v>
      </c>
      <c r="AC1263" s="1" t="s">
        <v>213</v>
      </c>
      <c r="AD1263" s="1" t="s">
        <v>214</v>
      </c>
      <c r="AE1263" s="1" t="s">
        <v>215</v>
      </c>
      <c r="AF1263" s="1" t="s">
        <v>2574</v>
      </c>
      <c r="AG1263" s="1" t="s">
        <v>53</v>
      </c>
      <c r="AH1263" s="1" t="s">
        <v>49</v>
      </c>
      <c r="AI1263" s="1" t="s">
        <v>54</v>
      </c>
      <c r="AJ1263" s="1">
        <v>1</v>
      </c>
      <c r="AK1263" s="1" t="str">
        <f t="shared" si="19"/>
        <v xml:space="preserve"> =&lt;90</v>
      </c>
      <c r="AL1263" s="1" t="str">
        <f>VLOOKUP(C:C,[1]基础信息!B$1:D$65536,3,0)</f>
        <v>Jug</v>
      </c>
      <c r="AM1263" s="1" t="str">
        <f>VLOOKUP(C:C,[1]基础信息!B$1:E$65536,4,0)</f>
        <v>Mxplus</v>
      </c>
      <c r="AN1263" s="1" t="str">
        <f>VLOOKUP(C:C,[1]基础信息!B$1:F$65536,5,0)</f>
        <v>Blue</v>
      </c>
    </row>
    <row r="1264" spans="1:40">
      <c r="A1264" s="1" t="s">
        <v>41</v>
      </c>
      <c r="B1264" s="1" t="s">
        <v>42</v>
      </c>
      <c r="C1264" s="1" t="s">
        <v>83</v>
      </c>
      <c r="D1264" s="1" t="s">
        <v>84</v>
      </c>
      <c r="E1264" s="1" t="s">
        <v>45</v>
      </c>
      <c r="F1264" s="1" t="s">
        <v>2571</v>
      </c>
      <c r="G1264" s="1" t="s">
        <v>2959</v>
      </c>
      <c r="H1264" s="1" t="s">
        <v>2960</v>
      </c>
      <c r="I1264" s="1" t="s">
        <v>49</v>
      </c>
      <c r="J1264" s="1" t="s">
        <v>48</v>
      </c>
      <c r="K1264" s="1">
        <v>96</v>
      </c>
      <c r="L1264" s="1">
        <v>0</v>
      </c>
      <c r="M1264" s="1">
        <v>0</v>
      </c>
      <c r="N1264" s="1">
        <v>96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 t="s">
        <v>49</v>
      </c>
      <c r="AA1264" s="1" t="s">
        <v>49</v>
      </c>
      <c r="AB1264" s="1" t="s">
        <v>49</v>
      </c>
      <c r="AC1264" s="1" t="s">
        <v>213</v>
      </c>
      <c r="AD1264" s="1" t="s">
        <v>214</v>
      </c>
      <c r="AE1264" s="1" t="s">
        <v>215</v>
      </c>
      <c r="AF1264" s="1" t="s">
        <v>2574</v>
      </c>
      <c r="AG1264" s="1" t="s">
        <v>53</v>
      </c>
      <c r="AH1264" s="1" t="s">
        <v>49</v>
      </c>
      <c r="AI1264" s="1" t="s">
        <v>54</v>
      </c>
      <c r="AJ1264" s="1">
        <v>1</v>
      </c>
      <c r="AK1264" s="1" t="str">
        <f t="shared" si="19"/>
        <v xml:space="preserve"> =&lt;90</v>
      </c>
      <c r="AL1264" s="1" t="str">
        <f>VLOOKUP(C:C,[1]基础信息!B$1:D$65536,3,0)</f>
        <v>Jug</v>
      </c>
      <c r="AM1264" s="1" t="str">
        <f>VLOOKUP(C:C,[1]基础信息!B$1:E$65536,4,0)</f>
        <v>Mxplus</v>
      </c>
      <c r="AN1264" s="1" t="str">
        <f>VLOOKUP(C:C,[1]基础信息!B$1:F$65536,5,0)</f>
        <v>Blue</v>
      </c>
    </row>
    <row r="1265" spans="1:40">
      <c r="A1265" s="1" t="s">
        <v>41</v>
      </c>
      <c r="B1265" s="1" t="s">
        <v>42</v>
      </c>
      <c r="C1265" s="1" t="s">
        <v>83</v>
      </c>
      <c r="D1265" s="1" t="s">
        <v>84</v>
      </c>
      <c r="E1265" s="1" t="s">
        <v>45</v>
      </c>
      <c r="F1265" s="1" t="s">
        <v>2571</v>
      </c>
      <c r="G1265" s="1" t="s">
        <v>2961</v>
      </c>
      <c r="H1265" s="1" t="s">
        <v>2962</v>
      </c>
      <c r="I1265" s="1" t="s">
        <v>49</v>
      </c>
      <c r="J1265" s="1" t="s">
        <v>48</v>
      </c>
      <c r="K1265" s="1">
        <v>96</v>
      </c>
      <c r="L1265" s="1">
        <v>0</v>
      </c>
      <c r="M1265" s="1">
        <v>0</v>
      </c>
      <c r="N1265" s="1">
        <v>96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 t="s">
        <v>49</v>
      </c>
      <c r="AA1265" s="1" t="s">
        <v>49</v>
      </c>
      <c r="AB1265" s="1" t="s">
        <v>49</v>
      </c>
      <c r="AC1265" s="1" t="s">
        <v>213</v>
      </c>
      <c r="AD1265" s="1" t="s">
        <v>214</v>
      </c>
      <c r="AE1265" s="1" t="s">
        <v>215</v>
      </c>
      <c r="AF1265" s="1" t="s">
        <v>2574</v>
      </c>
      <c r="AG1265" s="1" t="s">
        <v>53</v>
      </c>
      <c r="AH1265" s="1" t="s">
        <v>49</v>
      </c>
      <c r="AI1265" s="1" t="s">
        <v>54</v>
      </c>
      <c r="AJ1265" s="1">
        <v>1</v>
      </c>
      <c r="AK1265" s="1" t="str">
        <f t="shared" si="19"/>
        <v xml:space="preserve"> =&lt;90</v>
      </c>
      <c r="AL1265" s="1" t="str">
        <f>VLOOKUP(C:C,[1]基础信息!B$1:D$65536,3,0)</f>
        <v>Jug</v>
      </c>
      <c r="AM1265" s="1" t="str">
        <f>VLOOKUP(C:C,[1]基础信息!B$1:E$65536,4,0)</f>
        <v>Mxplus</v>
      </c>
      <c r="AN1265" s="1" t="str">
        <f>VLOOKUP(C:C,[1]基础信息!B$1:F$65536,5,0)</f>
        <v>Blue</v>
      </c>
    </row>
    <row r="1266" spans="1:40">
      <c r="A1266" s="1" t="s">
        <v>41</v>
      </c>
      <c r="B1266" s="1" t="s">
        <v>42</v>
      </c>
      <c r="C1266" s="1" t="s">
        <v>502</v>
      </c>
      <c r="D1266" s="1" t="s">
        <v>503</v>
      </c>
      <c r="E1266" s="1" t="s">
        <v>502</v>
      </c>
      <c r="F1266" s="1" t="s">
        <v>2067</v>
      </c>
      <c r="G1266" s="1" t="s">
        <v>2963</v>
      </c>
      <c r="H1266" s="1" t="s">
        <v>2964</v>
      </c>
      <c r="I1266" s="1" t="s">
        <v>49</v>
      </c>
      <c r="J1266" s="1" t="s">
        <v>48</v>
      </c>
      <c r="K1266" s="1">
        <v>96</v>
      </c>
      <c r="L1266" s="1">
        <v>0</v>
      </c>
      <c r="M1266" s="1">
        <v>0</v>
      </c>
      <c r="N1266" s="1">
        <v>96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 t="s">
        <v>49</v>
      </c>
      <c r="AA1266" s="1" t="s">
        <v>49</v>
      </c>
      <c r="AB1266" s="1" t="s">
        <v>49</v>
      </c>
      <c r="AC1266" s="1" t="s">
        <v>2070</v>
      </c>
      <c r="AD1266" s="1" t="s">
        <v>2071</v>
      </c>
      <c r="AE1266" s="1" t="s">
        <v>2070</v>
      </c>
      <c r="AF1266" s="1" t="s">
        <v>2072</v>
      </c>
      <c r="AG1266" s="1" t="s">
        <v>338</v>
      </c>
      <c r="AH1266" s="1" t="s">
        <v>49</v>
      </c>
      <c r="AI1266" s="1" t="s">
        <v>54</v>
      </c>
      <c r="AJ1266" s="1">
        <v>1</v>
      </c>
      <c r="AK1266" s="1" t="str">
        <f t="shared" si="19"/>
        <v xml:space="preserve"> =&lt;90</v>
      </c>
      <c r="AL1266" s="1" t="str">
        <f>VLOOKUP(C:C,[1]基础信息!B$1:D$65536,3,0)</f>
        <v>Jug</v>
      </c>
      <c r="AM1266" s="1" t="str">
        <f>VLOOKUP(C:C,[1]基础信息!B$1:E$65536,4,0)</f>
        <v>Marella XL</v>
      </c>
      <c r="AN1266" s="1" t="str">
        <f>VLOOKUP(C:C,[1]基础信息!B$1:F$65536,5,0)</f>
        <v>Blue</v>
      </c>
    </row>
    <row r="1267" spans="1:40">
      <c r="A1267" s="1" t="s">
        <v>41</v>
      </c>
      <c r="B1267" s="1" t="s">
        <v>42</v>
      </c>
      <c r="C1267" s="1" t="s">
        <v>83</v>
      </c>
      <c r="D1267" s="1" t="s">
        <v>84</v>
      </c>
      <c r="E1267" s="1" t="s">
        <v>45</v>
      </c>
      <c r="F1267" s="1" t="s">
        <v>2571</v>
      </c>
      <c r="G1267" s="1" t="s">
        <v>2965</v>
      </c>
      <c r="H1267" s="1" t="s">
        <v>2966</v>
      </c>
      <c r="I1267" s="1" t="s">
        <v>49</v>
      </c>
      <c r="J1267" s="1" t="s">
        <v>48</v>
      </c>
      <c r="K1267" s="1">
        <v>96</v>
      </c>
      <c r="L1267" s="1">
        <v>0</v>
      </c>
      <c r="M1267" s="1">
        <v>0</v>
      </c>
      <c r="N1267" s="1">
        <v>96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 t="s">
        <v>49</v>
      </c>
      <c r="AA1267" s="1" t="s">
        <v>49</v>
      </c>
      <c r="AB1267" s="1" t="s">
        <v>49</v>
      </c>
      <c r="AC1267" s="1" t="s">
        <v>213</v>
      </c>
      <c r="AD1267" s="1" t="s">
        <v>214</v>
      </c>
      <c r="AE1267" s="1" t="s">
        <v>215</v>
      </c>
      <c r="AF1267" s="1" t="s">
        <v>2574</v>
      </c>
      <c r="AG1267" s="1" t="s">
        <v>53</v>
      </c>
      <c r="AH1267" s="1" t="s">
        <v>49</v>
      </c>
      <c r="AI1267" s="1" t="s">
        <v>54</v>
      </c>
      <c r="AJ1267" s="1">
        <v>1</v>
      </c>
      <c r="AK1267" s="1" t="str">
        <f t="shared" si="19"/>
        <v xml:space="preserve"> =&lt;90</v>
      </c>
      <c r="AL1267" s="1" t="str">
        <f>VLOOKUP(C:C,[1]基础信息!B$1:D$65536,3,0)</f>
        <v>Jug</v>
      </c>
      <c r="AM1267" s="1" t="str">
        <f>VLOOKUP(C:C,[1]基础信息!B$1:E$65536,4,0)</f>
        <v>Mxplus</v>
      </c>
      <c r="AN1267" s="1" t="str">
        <f>VLOOKUP(C:C,[1]基础信息!B$1:F$65536,5,0)</f>
        <v>Blue</v>
      </c>
    </row>
    <row r="1268" spans="1:40">
      <c r="A1268" s="1" t="s">
        <v>41</v>
      </c>
      <c r="B1268" s="1" t="s">
        <v>42</v>
      </c>
      <c r="C1268" s="1" t="s">
        <v>83</v>
      </c>
      <c r="D1268" s="1" t="s">
        <v>84</v>
      </c>
      <c r="E1268" s="1" t="s">
        <v>45</v>
      </c>
      <c r="F1268" s="1" t="s">
        <v>2571</v>
      </c>
      <c r="G1268" s="1" t="s">
        <v>2967</v>
      </c>
      <c r="H1268" s="1" t="s">
        <v>2968</v>
      </c>
      <c r="I1268" s="1" t="s">
        <v>49</v>
      </c>
      <c r="J1268" s="1" t="s">
        <v>48</v>
      </c>
      <c r="K1268" s="1">
        <v>96</v>
      </c>
      <c r="L1268" s="1">
        <v>0</v>
      </c>
      <c r="M1268" s="1">
        <v>0</v>
      </c>
      <c r="N1268" s="1">
        <v>96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 t="s">
        <v>49</v>
      </c>
      <c r="AA1268" s="1" t="s">
        <v>49</v>
      </c>
      <c r="AB1268" s="1" t="s">
        <v>49</v>
      </c>
      <c r="AC1268" s="1" t="s">
        <v>213</v>
      </c>
      <c r="AD1268" s="1" t="s">
        <v>214</v>
      </c>
      <c r="AE1268" s="1" t="s">
        <v>215</v>
      </c>
      <c r="AF1268" s="1" t="s">
        <v>2574</v>
      </c>
      <c r="AG1268" s="1" t="s">
        <v>53</v>
      </c>
      <c r="AH1268" s="1" t="s">
        <v>49</v>
      </c>
      <c r="AI1268" s="1" t="s">
        <v>54</v>
      </c>
      <c r="AJ1268" s="1">
        <v>1</v>
      </c>
      <c r="AK1268" s="1" t="str">
        <f t="shared" si="19"/>
        <v xml:space="preserve"> =&lt;90</v>
      </c>
      <c r="AL1268" s="1" t="str">
        <f>VLOOKUP(C:C,[1]基础信息!B$1:D$65536,3,0)</f>
        <v>Jug</v>
      </c>
      <c r="AM1268" s="1" t="str">
        <f>VLOOKUP(C:C,[1]基础信息!B$1:E$65536,4,0)</f>
        <v>Mxplus</v>
      </c>
      <c r="AN1268" s="1" t="str">
        <f>VLOOKUP(C:C,[1]基础信息!B$1:F$65536,5,0)</f>
        <v>Blue</v>
      </c>
    </row>
    <row r="1269" spans="1:40">
      <c r="A1269" s="1" t="s">
        <v>41</v>
      </c>
      <c r="B1269" s="1" t="s">
        <v>42</v>
      </c>
      <c r="C1269" s="1" t="s">
        <v>83</v>
      </c>
      <c r="D1269" s="1" t="s">
        <v>84</v>
      </c>
      <c r="E1269" s="1" t="s">
        <v>45</v>
      </c>
      <c r="F1269" s="1" t="s">
        <v>2571</v>
      </c>
      <c r="G1269" s="1" t="s">
        <v>2969</v>
      </c>
      <c r="H1269" s="1" t="s">
        <v>2970</v>
      </c>
      <c r="I1269" s="1" t="s">
        <v>49</v>
      </c>
      <c r="J1269" s="1" t="s">
        <v>48</v>
      </c>
      <c r="K1269" s="1">
        <v>96</v>
      </c>
      <c r="L1269" s="1">
        <v>0</v>
      </c>
      <c r="M1269" s="1">
        <v>0</v>
      </c>
      <c r="N1269" s="1">
        <v>96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 t="s">
        <v>49</v>
      </c>
      <c r="AA1269" s="1" t="s">
        <v>49</v>
      </c>
      <c r="AB1269" s="1" t="s">
        <v>49</v>
      </c>
      <c r="AC1269" s="1" t="s">
        <v>213</v>
      </c>
      <c r="AD1269" s="1" t="s">
        <v>214</v>
      </c>
      <c r="AE1269" s="1" t="s">
        <v>215</v>
      </c>
      <c r="AF1269" s="1" t="s">
        <v>2574</v>
      </c>
      <c r="AG1269" s="1" t="s">
        <v>53</v>
      </c>
      <c r="AH1269" s="1" t="s">
        <v>49</v>
      </c>
      <c r="AI1269" s="1" t="s">
        <v>54</v>
      </c>
      <c r="AJ1269" s="1">
        <v>1</v>
      </c>
      <c r="AK1269" s="1" t="str">
        <f t="shared" si="19"/>
        <v xml:space="preserve"> =&lt;90</v>
      </c>
      <c r="AL1269" s="1" t="str">
        <f>VLOOKUP(C:C,[1]基础信息!B$1:D$65536,3,0)</f>
        <v>Jug</v>
      </c>
      <c r="AM1269" s="1" t="str">
        <f>VLOOKUP(C:C,[1]基础信息!B$1:E$65536,4,0)</f>
        <v>Mxplus</v>
      </c>
      <c r="AN1269" s="1" t="str">
        <f>VLOOKUP(C:C,[1]基础信息!B$1:F$65536,5,0)</f>
        <v>Blue</v>
      </c>
    </row>
    <row r="1270" spans="1:40">
      <c r="A1270" s="1" t="s">
        <v>41</v>
      </c>
      <c r="B1270" s="1" t="s">
        <v>42</v>
      </c>
      <c r="C1270" s="1" t="s">
        <v>83</v>
      </c>
      <c r="D1270" s="1" t="s">
        <v>84</v>
      </c>
      <c r="E1270" s="1" t="s">
        <v>45</v>
      </c>
      <c r="F1270" s="1" t="s">
        <v>2571</v>
      </c>
      <c r="G1270" s="1" t="s">
        <v>2971</v>
      </c>
      <c r="H1270" s="1" t="s">
        <v>2972</v>
      </c>
      <c r="I1270" s="1" t="s">
        <v>49</v>
      </c>
      <c r="J1270" s="1" t="s">
        <v>48</v>
      </c>
      <c r="K1270" s="1">
        <v>96</v>
      </c>
      <c r="L1270" s="1">
        <v>0</v>
      </c>
      <c r="M1270" s="1">
        <v>0</v>
      </c>
      <c r="N1270" s="1">
        <v>96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 t="s">
        <v>49</v>
      </c>
      <c r="AA1270" s="1" t="s">
        <v>49</v>
      </c>
      <c r="AB1270" s="1" t="s">
        <v>49</v>
      </c>
      <c r="AC1270" s="1" t="s">
        <v>213</v>
      </c>
      <c r="AD1270" s="1" t="s">
        <v>214</v>
      </c>
      <c r="AE1270" s="1" t="s">
        <v>215</v>
      </c>
      <c r="AF1270" s="1" t="s">
        <v>2574</v>
      </c>
      <c r="AG1270" s="1" t="s">
        <v>53</v>
      </c>
      <c r="AH1270" s="1" t="s">
        <v>49</v>
      </c>
      <c r="AI1270" s="1" t="s">
        <v>54</v>
      </c>
      <c r="AJ1270" s="1">
        <v>1</v>
      </c>
      <c r="AK1270" s="1" t="str">
        <f t="shared" si="19"/>
        <v xml:space="preserve"> =&lt;90</v>
      </c>
      <c r="AL1270" s="1" t="str">
        <f>VLOOKUP(C:C,[1]基础信息!B$1:D$65536,3,0)</f>
        <v>Jug</v>
      </c>
      <c r="AM1270" s="1" t="str">
        <f>VLOOKUP(C:C,[1]基础信息!B$1:E$65536,4,0)</f>
        <v>Mxplus</v>
      </c>
      <c r="AN1270" s="1" t="str">
        <f>VLOOKUP(C:C,[1]基础信息!B$1:F$65536,5,0)</f>
        <v>Blue</v>
      </c>
    </row>
    <row r="1271" spans="1:40">
      <c r="A1271" s="1" t="s">
        <v>41</v>
      </c>
      <c r="B1271" s="1" t="s">
        <v>42</v>
      </c>
      <c r="C1271" s="1" t="s">
        <v>83</v>
      </c>
      <c r="D1271" s="1" t="s">
        <v>84</v>
      </c>
      <c r="E1271" s="1" t="s">
        <v>45</v>
      </c>
      <c r="F1271" s="1" t="s">
        <v>2973</v>
      </c>
      <c r="G1271" s="1" t="s">
        <v>2974</v>
      </c>
      <c r="H1271" s="1" t="s">
        <v>2975</v>
      </c>
      <c r="I1271" s="1" t="s">
        <v>49</v>
      </c>
      <c r="J1271" s="1" t="s">
        <v>48</v>
      </c>
      <c r="K1271" s="1">
        <v>96</v>
      </c>
      <c r="L1271" s="1">
        <v>0</v>
      </c>
      <c r="M1271" s="1">
        <v>0</v>
      </c>
      <c r="N1271" s="1">
        <v>96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 t="s">
        <v>49</v>
      </c>
      <c r="AA1271" s="1" t="s">
        <v>49</v>
      </c>
      <c r="AB1271" s="1" t="s">
        <v>49</v>
      </c>
      <c r="AC1271" s="1" t="s">
        <v>213</v>
      </c>
      <c r="AD1271" s="1" t="s">
        <v>214</v>
      </c>
      <c r="AE1271" s="1" t="s">
        <v>215</v>
      </c>
      <c r="AF1271" s="1" t="s">
        <v>2976</v>
      </c>
      <c r="AG1271" s="1" t="s">
        <v>53</v>
      </c>
      <c r="AH1271" s="1" t="s">
        <v>49</v>
      </c>
      <c r="AI1271" s="1" t="s">
        <v>54</v>
      </c>
      <c r="AJ1271" s="1">
        <v>1</v>
      </c>
      <c r="AK1271" s="1" t="str">
        <f t="shared" si="19"/>
        <v xml:space="preserve"> =&lt;90</v>
      </c>
      <c r="AL1271" s="1" t="str">
        <f>VLOOKUP(C:C,[1]基础信息!B$1:D$65536,3,0)</f>
        <v>Jug</v>
      </c>
      <c r="AM1271" s="1" t="str">
        <f>VLOOKUP(C:C,[1]基础信息!B$1:E$65536,4,0)</f>
        <v>Mxplus</v>
      </c>
      <c r="AN1271" s="1" t="str">
        <f>VLOOKUP(C:C,[1]基础信息!B$1:F$65536,5,0)</f>
        <v>Blue</v>
      </c>
    </row>
    <row r="1272" spans="1:40">
      <c r="A1272" s="1" t="s">
        <v>41</v>
      </c>
      <c r="B1272" s="1" t="s">
        <v>42</v>
      </c>
      <c r="C1272" s="1" t="s">
        <v>83</v>
      </c>
      <c r="D1272" s="1" t="s">
        <v>84</v>
      </c>
      <c r="E1272" s="1" t="s">
        <v>45</v>
      </c>
      <c r="F1272" s="1" t="s">
        <v>2973</v>
      </c>
      <c r="G1272" s="1" t="s">
        <v>2977</v>
      </c>
      <c r="H1272" s="1" t="s">
        <v>2978</v>
      </c>
      <c r="I1272" s="1" t="s">
        <v>49</v>
      </c>
      <c r="J1272" s="1" t="s">
        <v>48</v>
      </c>
      <c r="K1272" s="1">
        <v>96</v>
      </c>
      <c r="L1272" s="1">
        <v>0</v>
      </c>
      <c r="M1272" s="1">
        <v>0</v>
      </c>
      <c r="N1272" s="1">
        <v>96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 t="s">
        <v>49</v>
      </c>
      <c r="AA1272" s="1" t="s">
        <v>49</v>
      </c>
      <c r="AB1272" s="1" t="s">
        <v>49</v>
      </c>
      <c r="AC1272" s="1" t="s">
        <v>213</v>
      </c>
      <c r="AD1272" s="1" t="s">
        <v>214</v>
      </c>
      <c r="AE1272" s="1" t="s">
        <v>215</v>
      </c>
      <c r="AF1272" s="1" t="s">
        <v>2976</v>
      </c>
      <c r="AG1272" s="1" t="s">
        <v>53</v>
      </c>
      <c r="AH1272" s="1" t="s">
        <v>49</v>
      </c>
      <c r="AI1272" s="1" t="s">
        <v>54</v>
      </c>
      <c r="AJ1272" s="1">
        <v>1</v>
      </c>
      <c r="AK1272" s="1" t="str">
        <f t="shared" si="19"/>
        <v xml:space="preserve"> =&lt;90</v>
      </c>
      <c r="AL1272" s="1" t="str">
        <f>VLOOKUP(C:C,[1]基础信息!B$1:D$65536,3,0)</f>
        <v>Jug</v>
      </c>
      <c r="AM1272" s="1" t="str">
        <f>VLOOKUP(C:C,[1]基础信息!B$1:E$65536,4,0)</f>
        <v>Mxplus</v>
      </c>
      <c r="AN1272" s="1" t="str">
        <f>VLOOKUP(C:C,[1]基础信息!B$1:F$65536,5,0)</f>
        <v>Blue</v>
      </c>
    </row>
    <row r="1273" spans="1:40">
      <c r="A1273" s="1" t="s">
        <v>41</v>
      </c>
      <c r="B1273" s="1" t="s">
        <v>42</v>
      </c>
      <c r="C1273" s="1" t="s">
        <v>83</v>
      </c>
      <c r="D1273" s="1" t="s">
        <v>84</v>
      </c>
      <c r="E1273" s="1" t="s">
        <v>45</v>
      </c>
      <c r="F1273" s="1" t="s">
        <v>2973</v>
      </c>
      <c r="G1273" s="1" t="s">
        <v>2979</v>
      </c>
      <c r="H1273" s="1" t="s">
        <v>2980</v>
      </c>
      <c r="I1273" s="1" t="s">
        <v>49</v>
      </c>
      <c r="J1273" s="1" t="s">
        <v>48</v>
      </c>
      <c r="K1273" s="1">
        <v>96</v>
      </c>
      <c r="L1273" s="1">
        <v>0</v>
      </c>
      <c r="M1273" s="1">
        <v>0</v>
      </c>
      <c r="N1273" s="1">
        <v>96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 t="s">
        <v>49</v>
      </c>
      <c r="AA1273" s="1" t="s">
        <v>49</v>
      </c>
      <c r="AB1273" s="1" t="s">
        <v>49</v>
      </c>
      <c r="AC1273" s="1" t="s">
        <v>213</v>
      </c>
      <c r="AD1273" s="1" t="s">
        <v>214</v>
      </c>
      <c r="AE1273" s="1" t="s">
        <v>215</v>
      </c>
      <c r="AF1273" s="1" t="s">
        <v>2976</v>
      </c>
      <c r="AG1273" s="1" t="s">
        <v>53</v>
      </c>
      <c r="AH1273" s="1" t="s">
        <v>49</v>
      </c>
      <c r="AI1273" s="1" t="s">
        <v>54</v>
      </c>
      <c r="AJ1273" s="1">
        <v>1</v>
      </c>
      <c r="AK1273" s="1" t="str">
        <f t="shared" si="19"/>
        <v xml:space="preserve"> =&lt;90</v>
      </c>
      <c r="AL1273" s="1" t="str">
        <f>VLOOKUP(C:C,[1]基础信息!B$1:D$65536,3,0)</f>
        <v>Jug</v>
      </c>
      <c r="AM1273" s="1" t="str">
        <f>VLOOKUP(C:C,[1]基础信息!B$1:E$65536,4,0)</f>
        <v>Mxplus</v>
      </c>
      <c r="AN1273" s="1" t="str">
        <f>VLOOKUP(C:C,[1]基础信息!B$1:F$65536,5,0)</f>
        <v>Blue</v>
      </c>
    </row>
    <row r="1274" spans="1:40">
      <c r="A1274" s="1" t="s">
        <v>41</v>
      </c>
      <c r="B1274" s="1" t="s">
        <v>42</v>
      </c>
      <c r="C1274" s="1" t="s">
        <v>83</v>
      </c>
      <c r="D1274" s="1" t="s">
        <v>84</v>
      </c>
      <c r="E1274" s="1" t="s">
        <v>45</v>
      </c>
      <c r="F1274" s="1" t="s">
        <v>2973</v>
      </c>
      <c r="G1274" s="1" t="s">
        <v>2981</v>
      </c>
      <c r="H1274" s="1" t="s">
        <v>2982</v>
      </c>
      <c r="I1274" s="1" t="s">
        <v>49</v>
      </c>
      <c r="J1274" s="1" t="s">
        <v>48</v>
      </c>
      <c r="K1274" s="1">
        <v>96</v>
      </c>
      <c r="L1274" s="1">
        <v>0</v>
      </c>
      <c r="M1274" s="1">
        <v>0</v>
      </c>
      <c r="N1274" s="1">
        <v>96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 t="s">
        <v>49</v>
      </c>
      <c r="AA1274" s="1" t="s">
        <v>49</v>
      </c>
      <c r="AB1274" s="1" t="s">
        <v>49</v>
      </c>
      <c r="AC1274" s="1" t="s">
        <v>213</v>
      </c>
      <c r="AD1274" s="1" t="s">
        <v>214</v>
      </c>
      <c r="AE1274" s="1" t="s">
        <v>215</v>
      </c>
      <c r="AF1274" s="1" t="s">
        <v>2976</v>
      </c>
      <c r="AG1274" s="1" t="s">
        <v>53</v>
      </c>
      <c r="AH1274" s="1" t="s">
        <v>49</v>
      </c>
      <c r="AI1274" s="1" t="s">
        <v>54</v>
      </c>
      <c r="AJ1274" s="1">
        <v>1</v>
      </c>
      <c r="AK1274" s="1" t="str">
        <f t="shared" si="19"/>
        <v xml:space="preserve"> =&lt;90</v>
      </c>
      <c r="AL1274" s="1" t="str">
        <f>VLOOKUP(C:C,[1]基础信息!B$1:D$65536,3,0)</f>
        <v>Jug</v>
      </c>
      <c r="AM1274" s="1" t="str">
        <f>VLOOKUP(C:C,[1]基础信息!B$1:E$65536,4,0)</f>
        <v>Mxplus</v>
      </c>
      <c r="AN1274" s="1" t="str">
        <f>VLOOKUP(C:C,[1]基础信息!B$1:F$65536,5,0)</f>
        <v>Blue</v>
      </c>
    </row>
    <row r="1275" spans="1:40">
      <c r="A1275" s="1" t="s">
        <v>41</v>
      </c>
      <c r="B1275" s="1" t="s">
        <v>42</v>
      </c>
      <c r="C1275" s="1" t="s">
        <v>83</v>
      </c>
      <c r="D1275" s="1" t="s">
        <v>84</v>
      </c>
      <c r="E1275" s="1" t="s">
        <v>45</v>
      </c>
      <c r="F1275" s="1" t="s">
        <v>2973</v>
      </c>
      <c r="G1275" s="1" t="s">
        <v>2983</v>
      </c>
      <c r="H1275" s="1" t="s">
        <v>2984</v>
      </c>
      <c r="I1275" s="1" t="s">
        <v>49</v>
      </c>
      <c r="J1275" s="1" t="s">
        <v>48</v>
      </c>
      <c r="K1275" s="1">
        <v>96</v>
      </c>
      <c r="L1275" s="1">
        <v>0</v>
      </c>
      <c r="M1275" s="1">
        <v>0</v>
      </c>
      <c r="N1275" s="1">
        <v>96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 t="s">
        <v>49</v>
      </c>
      <c r="AA1275" s="1" t="s">
        <v>49</v>
      </c>
      <c r="AB1275" s="1" t="s">
        <v>49</v>
      </c>
      <c r="AC1275" s="1" t="s">
        <v>213</v>
      </c>
      <c r="AD1275" s="1" t="s">
        <v>214</v>
      </c>
      <c r="AE1275" s="1" t="s">
        <v>215</v>
      </c>
      <c r="AF1275" s="1" t="s">
        <v>2976</v>
      </c>
      <c r="AG1275" s="1" t="s">
        <v>53</v>
      </c>
      <c r="AH1275" s="1" t="s">
        <v>49</v>
      </c>
      <c r="AI1275" s="1" t="s">
        <v>54</v>
      </c>
      <c r="AJ1275" s="1">
        <v>1</v>
      </c>
      <c r="AK1275" s="1" t="str">
        <f t="shared" si="19"/>
        <v xml:space="preserve"> =&lt;90</v>
      </c>
      <c r="AL1275" s="1" t="str">
        <f>VLOOKUP(C:C,[1]基础信息!B$1:D$65536,3,0)</f>
        <v>Jug</v>
      </c>
      <c r="AM1275" s="1" t="str">
        <f>VLOOKUP(C:C,[1]基础信息!B$1:E$65536,4,0)</f>
        <v>Mxplus</v>
      </c>
      <c r="AN1275" s="1" t="str">
        <f>VLOOKUP(C:C,[1]基础信息!B$1:F$65536,5,0)</f>
        <v>Blue</v>
      </c>
    </row>
    <row r="1276" spans="1:40">
      <c r="A1276" s="1" t="s">
        <v>41</v>
      </c>
      <c r="B1276" s="1" t="s">
        <v>42</v>
      </c>
      <c r="C1276" s="1" t="s">
        <v>83</v>
      </c>
      <c r="D1276" s="1" t="s">
        <v>84</v>
      </c>
      <c r="E1276" s="1" t="s">
        <v>45</v>
      </c>
      <c r="F1276" s="1" t="s">
        <v>2973</v>
      </c>
      <c r="G1276" s="1" t="s">
        <v>2985</v>
      </c>
      <c r="H1276" s="1" t="s">
        <v>2986</v>
      </c>
      <c r="I1276" s="1" t="s">
        <v>49</v>
      </c>
      <c r="J1276" s="1" t="s">
        <v>48</v>
      </c>
      <c r="K1276" s="1">
        <v>96</v>
      </c>
      <c r="L1276" s="1">
        <v>0</v>
      </c>
      <c r="M1276" s="1">
        <v>0</v>
      </c>
      <c r="N1276" s="1">
        <v>96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 t="s">
        <v>49</v>
      </c>
      <c r="AA1276" s="1" t="s">
        <v>49</v>
      </c>
      <c r="AB1276" s="1" t="s">
        <v>49</v>
      </c>
      <c r="AC1276" s="1" t="s">
        <v>213</v>
      </c>
      <c r="AD1276" s="1" t="s">
        <v>214</v>
      </c>
      <c r="AE1276" s="1" t="s">
        <v>215</v>
      </c>
      <c r="AF1276" s="1" t="s">
        <v>2976</v>
      </c>
      <c r="AG1276" s="1" t="s">
        <v>53</v>
      </c>
      <c r="AH1276" s="1" t="s">
        <v>49</v>
      </c>
      <c r="AI1276" s="1" t="s">
        <v>54</v>
      </c>
      <c r="AJ1276" s="1">
        <v>1</v>
      </c>
      <c r="AK1276" s="1" t="str">
        <f t="shared" si="19"/>
        <v xml:space="preserve"> =&lt;90</v>
      </c>
      <c r="AL1276" s="1" t="str">
        <f>VLOOKUP(C:C,[1]基础信息!B$1:D$65536,3,0)</f>
        <v>Jug</v>
      </c>
      <c r="AM1276" s="1" t="str">
        <f>VLOOKUP(C:C,[1]基础信息!B$1:E$65536,4,0)</f>
        <v>Mxplus</v>
      </c>
      <c r="AN1276" s="1" t="str">
        <f>VLOOKUP(C:C,[1]基础信息!B$1:F$65536,5,0)</f>
        <v>Blue</v>
      </c>
    </row>
    <row r="1277" spans="1:40">
      <c r="A1277" s="1" t="s">
        <v>41</v>
      </c>
      <c r="B1277" s="1" t="s">
        <v>42</v>
      </c>
      <c r="C1277" s="1" t="s">
        <v>83</v>
      </c>
      <c r="D1277" s="1" t="s">
        <v>84</v>
      </c>
      <c r="E1277" s="1" t="s">
        <v>45</v>
      </c>
      <c r="F1277" s="1" t="s">
        <v>2973</v>
      </c>
      <c r="G1277" s="1" t="s">
        <v>2987</v>
      </c>
      <c r="H1277" s="1" t="s">
        <v>2988</v>
      </c>
      <c r="I1277" s="1" t="s">
        <v>49</v>
      </c>
      <c r="J1277" s="1" t="s">
        <v>48</v>
      </c>
      <c r="K1277" s="1">
        <v>96</v>
      </c>
      <c r="L1277" s="1">
        <v>0</v>
      </c>
      <c r="M1277" s="1">
        <v>0</v>
      </c>
      <c r="N1277" s="1">
        <v>96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 t="s">
        <v>49</v>
      </c>
      <c r="AA1277" s="1" t="s">
        <v>49</v>
      </c>
      <c r="AB1277" s="1" t="s">
        <v>49</v>
      </c>
      <c r="AC1277" s="1" t="s">
        <v>213</v>
      </c>
      <c r="AD1277" s="1" t="s">
        <v>214</v>
      </c>
      <c r="AE1277" s="1" t="s">
        <v>215</v>
      </c>
      <c r="AF1277" s="1" t="s">
        <v>2976</v>
      </c>
      <c r="AG1277" s="1" t="s">
        <v>53</v>
      </c>
      <c r="AH1277" s="1" t="s">
        <v>49</v>
      </c>
      <c r="AI1277" s="1" t="s">
        <v>54</v>
      </c>
      <c r="AJ1277" s="1">
        <v>1</v>
      </c>
      <c r="AK1277" s="1" t="str">
        <f t="shared" si="19"/>
        <v xml:space="preserve"> =&lt;90</v>
      </c>
      <c r="AL1277" s="1" t="str">
        <f>VLOOKUP(C:C,[1]基础信息!B$1:D$65536,3,0)</f>
        <v>Jug</v>
      </c>
      <c r="AM1277" s="1" t="str">
        <f>VLOOKUP(C:C,[1]基础信息!B$1:E$65536,4,0)</f>
        <v>Mxplus</v>
      </c>
      <c r="AN1277" s="1" t="str">
        <f>VLOOKUP(C:C,[1]基础信息!B$1:F$65536,5,0)</f>
        <v>Blue</v>
      </c>
    </row>
    <row r="1278" spans="1:40">
      <c r="A1278" s="1" t="s">
        <v>41</v>
      </c>
      <c r="B1278" s="1" t="s">
        <v>42</v>
      </c>
      <c r="C1278" s="1" t="s">
        <v>83</v>
      </c>
      <c r="D1278" s="1" t="s">
        <v>84</v>
      </c>
      <c r="E1278" s="1" t="s">
        <v>45</v>
      </c>
      <c r="F1278" s="1" t="s">
        <v>2973</v>
      </c>
      <c r="G1278" s="1" t="s">
        <v>2989</v>
      </c>
      <c r="H1278" s="1" t="s">
        <v>2990</v>
      </c>
      <c r="I1278" s="1" t="s">
        <v>49</v>
      </c>
      <c r="J1278" s="1" t="s">
        <v>48</v>
      </c>
      <c r="K1278" s="1">
        <v>96</v>
      </c>
      <c r="L1278" s="1">
        <v>0</v>
      </c>
      <c r="M1278" s="1">
        <v>0</v>
      </c>
      <c r="N1278" s="1">
        <v>96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 t="s">
        <v>49</v>
      </c>
      <c r="AA1278" s="1" t="s">
        <v>49</v>
      </c>
      <c r="AB1278" s="1" t="s">
        <v>49</v>
      </c>
      <c r="AC1278" s="1" t="s">
        <v>213</v>
      </c>
      <c r="AD1278" s="1" t="s">
        <v>214</v>
      </c>
      <c r="AE1278" s="1" t="s">
        <v>215</v>
      </c>
      <c r="AF1278" s="1" t="s">
        <v>2976</v>
      </c>
      <c r="AG1278" s="1" t="s">
        <v>53</v>
      </c>
      <c r="AH1278" s="1" t="s">
        <v>49</v>
      </c>
      <c r="AI1278" s="1" t="s">
        <v>54</v>
      </c>
      <c r="AJ1278" s="1">
        <v>1</v>
      </c>
      <c r="AK1278" s="1" t="str">
        <f t="shared" si="19"/>
        <v xml:space="preserve"> =&lt;90</v>
      </c>
      <c r="AL1278" s="1" t="str">
        <f>VLOOKUP(C:C,[1]基础信息!B$1:D$65536,3,0)</f>
        <v>Jug</v>
      </c>
      <c r="AM1278" s="1" t="str">
        <f>VLOOKUP(C:C,[1]基础信息!B$1:E$65536,4,0)</f>
        <v>Mxplus</v>
      </c>
      <c r="AN1278" s="1" t="str">
        <f>VLOOKUP(C:C,[1]基础信息!B$1:F$65536,5,0)</f>
        <v>Blue</v>
      </c>
    </row>
    <row r="1279" spans="1:40">
      <c r="A1279" s="1" t="s">
        <v>41</v>
      </c>
      <c r="B1279" s="1" t="s">
        <v>42</v>
      </c>
      <c r="C1279" s="1" t="s">
        <v>83</v>
      </c>
      <c r="D1279" s="1" t="s">
        <v>84</v>
      </c>
      <c r="E1279" s="1" t="s">
        <v>45</v>
      </c>
      <c r="F1279" s="1" t="s">
        <v>2973</v>
      </c>
      <c r="G1279" s="1" t="s">
        <v>2991</v>
      </c>
      <c r="H1279" s="1" t="s">
        <v>2992</v>
      </c>
      <c r="I1279" s="1" t="s">
        <v>49</v>
      </c>
      <c r="J1279" s="1" t="s">
        <v>48</v>
      </c>
      <c r="K1279" s="1">
        <v>96</v>
      </c>
      <c r="L1279" s="1">
        <v>0</v>
      </c>
      <c r="M1279" s="1">
        <v>0</v>
      </c>
      <c r="N1279" s="1">
        <v>96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 t="s">
        <v>49</v>
      </c>
      <c r="AA1279" s="1" t="s">
        <v>49</v>
      </c>
      <c r="AB1279" s="1" t="s">
        <v>49</v>
      </c>
      <c r="AC1279" s="1" t="s">
        <v>213</v>
      </c>
      <c r="AD1279" s="1" t="s">
        <v>214</v>
      </c>
      <c r="AE1279" s="1" t="s">
        <v>215</v>
      </c>
      <c r="AF1279" s="1" t="s">
        <v>2976</v>
      </c>
      <c r="AG1279" s="1" t="s">
        <v>53</v>
      </c>
      <c r="AH1279" s="1" t="s">
        <v>49</v>
      </c>
      <c r="AI1279" s="1" t="s">
        <v>54</v>
      </c>
      <c r="AJ1279" s="1">
        <v>1</v>
      </c>
      <c r="AK1279" s="1" t="str">
        <f t="shared" si="19"/>
        <v xml:space="preserve"> =&lt;90</v>
      </c>
      <c r="AL1279" s="1" t="str">
        <f>VLOOKUP(C:C,[1]基础信息!B$1:D$65536,3,0)</f>
        <v>Jug</v>
      </c>
      <c r="AM1279" s="1" t="str">
        <f>VLOOKUP(C:C,[1]基础信息!B$1:E$65536,4,0)</f>
        <v>Mxplus</v>
      </c>
      <c r="AN1279" s="1" t="str">
        <f>VLOOKUP(C:C,[1]基础信息!B$1:F$65536,5,0)</f>
        <v>Blue</v>
      </c>
    </row>
    <row r="1280" spans="1:40">
      <c r="A1280" s="1" t="s">
        <v>41</v>
      </c>
      <c r="B1280" s="1" t="s">
        <v>42</v>
      </c>
      <c r="C1280" s="1" t="s">
        <v>2699</v>
      </c>
      <c r="D1280" s="1" t="s">
        <v>2700</v>
      </c>
      <c r="E1280" s="1" t="s">
        <v>45</v>
      </c>
      <c r="F1280" s="1" t="s">
        <v>2701</v>
      </c>
      <c r="G1280" s="1" t="s">
        <v>2993</v>
      </c>
      <c r="H1280" s="1" t="s">
        <v>45</v>
      </c>
      <c r="I1280" s="1" t="s">
        <v>45</v>
      </c>
      <c r="J1280" s="1" t="s">
        <v>48</v>
      </c>
      <c r="K1280" s="1">
        <v>300</v>
      </c>
      <c r="L1280" s="1">
        <v>0</v>
      </c>
      <c r="M1280" s="1">
        <v>0</v>
      </c>
      <c r="N1280" s="1">
        <v>300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 t="s">
        <v>49</v>
      </c>
      <c r="AA1280" s="1" t="s">
        <v>49</v>
      </c>
      <c r="AB1280" s="1" t="s">
        <v>49</v>
      </c>
      <c r="AC1280" s="1" t="s">
        <v>2658</v>
      </c>
      <c r="AD1280" s="1" t="s">
        <v>2659</v>
      </c>
      <c r="AE1280" s="1" t="s">
        <v>2658</v>
      </c>
      <c r="AF1280" s="1" t="s">
        <v>49</v>
      </c>
      <c r="AG1280" s="1" t="s">
        <v>53</v>
      </c>
      <c r="AH1280" s="1" t="s">
        <v>49</v>
      </c>
      <c r="AI1280" s="1" t="s">
        <v>54</v>
      </c>
      <c r="AJ1280" s="1">
        <v>1</v>
      </c>
      <c r="AK1280" s="1" t="str">
        <f t="shared" si="19"/>
        <v xml:space="preserve"> =&lt;90</v>
      </c>
      <c r="AL1280" s="1" t="e">
        <f>VLOOKUP(C:C,[1]基础信息!B$1:D$65536,3,0)</f>
        <v>#N/A</v>
      </c>
      <c r="AM1280" s="1" t="e">
        <f>VLOOKUP(C:C,[1]基础信息!B$1:E$65536,4,0)</f>
        <v>#N/A</v>
      </c>
      <c r="AN1280" s="1" t="e">
        <f>VLOOKUP(C:C,[1]基础信息!B$1:F$65536,5,0)</f>
        <v>#N/A</v>
      </c>
    </row>
    <row r="1281" spans="1:40">
      <c r="A1281" s="1" t="s">
        <v>41</v>
      </c>
      <c r="B1281" s="1" t="s">
        <v>42</v>
      </c>
      <c r="C1281" s="1" t="s">
        <v>83</v>
      </c>
      <c r="D1281" s="1" t="s">
        <v>84</v>
      </c>
      <c r="E1281" s="1" t="s">
        <v>45</v>
      </c>
      <c r="F1281" s="1" t="s">
        <v>2973</v>
      </c>
      <c r="G1281" s="1" t="s">
        <v>2994</v>
      </c>
      <c r="H1281" s="1" t="s">
        <v>2995</v>
      </c>
      <c r="I1281" s="1" t="s">
        <v>49</v>
      </c>
      <c r="J1281" s="1" t="s">
        <v>48</v>
      </c>
      <c r="K1281" s="1">
        <v>96</v>
      </c>
      <c r="L1281" s="1">
        <v>0</v>
      </c>
      <c r="M1281" s="1">
        <v>0</v>
      </c>
      <c r="N1281" s="1">
        <v>96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 t="s">
        <v>49</v>
      </c>
      <c r="AA1281" s="1" t="s">
        <v>49</v>
      </c>
      <c r="AB1281" s="1" t="s">
        <v>49</v>
      </c>
      <c r="AC1281" s="1" t="s">
        <v>213</v>
      </c>
      <c r="AD1281" s="1" t="s">
        <v>214</v>
      </c>
      <c r="AE1281" s="1" t="s">
        <v>215</v>
      </c>
      <c r="AF1281" s="1" t="s">
        <v>2976</v>
      </c>
      <c r="AG1281" s="1" t="s">
        <v>53</v>
      </c>
      <c r="AH1281" s="1" t="s">
        <v>49</v>
      </c>
      <c r="AI1281" s="1" t="s">
        <v>54</v>
      </c>
      <c r="AJ1281" s="1">
        <v>1</v>
      </c>
      <c r="AK1281" s="1" t="str">
        <f t="shared" si="19"/>
        <v xml:space="preserve"> =&lt;90</v>
      </c>
      <c r="AL1281" s="1" t="str">
        <f>VLOOKUP(C:C,[1]基础信息!B$1:D$65536,3,0)</f>
        <v>Jug</v>
      </c>
      <c r="AM1281" s="1" t="str">
        <f>VLOOKUP(C:C,[1]基础信息!B$1:E$65536,4,0)</f>
        <v>Mxplus</v>
      </c>
      <c r="AN1281" s="1" t="str">
        <f>VLOOKUP(C:C,[1]基础信息!B$1:F$65536,5,0)</f>
        <v>Blue</v>
      </c>
    </row>
    <row r="1282" spans="1:40">
      <c r="A1282" s="1" t="s">
        <v>41</v>
      </c>
      <c r="B1282" s="1" t="s">
        <v>42</v>
      </c>
      <c r="C1282" s="1" t="s">
        <v>83</v>
      </c>
      <c r="D1282" s="1" t="s">
        <v>84</v>
      </c>
      <c r="E1282" s="1" t="s">
        <v>45</v>
      </c>
      <c r="F1282" s="1" t="s">
        <v>2973</v>
      </c>
      <c r="G1282" s="1" t="s">
        <v>2996</v>
      </c>
      <c r="H1282" s="1" t="s">
        <v>2997</v>
      </c>
      <c r="I1282" s="1" t="s">
        <v>49</v>
      </c>
      <c r="J1282" s="1" t="s">
        <v>48</v>
      </c>
      <c r="K1282" s="1">
        <v>96</v>
      </c>
      <c r="L1282" s="1">
        <v>0</v>
      </c>
      <c r="M1282" s="1">
        <v>0</v>
      </c>
      <c r="N1282" s="1">
        <v>96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 t="s">
        <v>49</v>
      </c>
      <c r="AA1282" s="1" t="s">
        <v>49</v>
      </c>
      <c r="AB1282" s="1" t="s">
        <v>49</v>
      </c>
      <c r="AC1282" s="1" t="s">
        <v>213</v>
      </c>
      <c r="AD1282" s="1" t="s">
        <v>214</v>
      </c>
      <c r="AE1282" s="1" t="s">
        <v>215</v>
      </c>
      <c r="AF1282" s="1" t="s">
        <v>2976</v>
      </c>
      <c r="AG1282" s="1" t="s">
        <v>53</v>
      </c>
      <c r="AH1282" s="1" t="s">
        <v>49</v>
      </c>
      <c r="AI1282" s="1" t="s">
        <v>54</v>
      </c>
      <c r="AJ1282" s="1">
        <v>1</v>
      </c>
      <c r="AK1282" s="1" t="str">
        <f t="shared" ref="AK1282:AK1345" si="20">IF(AJ1282&gt;$AP$2,$AQ$2,IF(AJ1282&gt;$AP$3,$AQ$3,IF(AJ1282&gt;$AP$4,$AQ$4,$AQ$5)))</f>
        <v xml:space="preserve"> =&lt;90</v>
      </c>
      <c r="AL1282" s="1" t="str">
        <f>VLOOKUP(C:C,[1]基础信息!B$1:D$65536,3,0)</f>
        <v>Jug</v>
      </c>
      <c r="AM1282" s="1" t="str">
        <f>VLOOKUP(C:C,[1]基础信息!B$1:E$65536,4,0)</f>
        <v>Mxplus</v>
      </c>
      <c r="AN1282" s="1" t="str">
        <f>VLOOKUP(C:C,[1]基础信息!B$1:F$65536,5,0)</f>
        <v>Blue</v>
      </c>
    </row>
    <row r="1283" spans="1:40">
      <c r="A1283" s="1" t="s">
        <v>41</v>
      </c>
      <c r="B1283" s="1" t="s">
        <v>42</v>
      </c>
      <c r="C1283" s="1" t="s">
        <v>83</v>
      </c>
      <c r="D1283" s="1" t="s">
        <v>84</v>
      </c>
      <c r="E1283" s="1" t="s">
        <v>45</v>
      </c>
      <c r="F1283" s="1" t="s">
        <v>2973</v>
      </c>
      <c r="G1283" s="1" t="s">
        <v>2998</v>
      </c>
      <c r="H1283" s="1" t="s">
        <v>2999</v>
      </c>
      <c r="I1283" s="1" t="s">
        <v>49</v>
      </c>
      <c r="J1283" s="1" t="s">
        <v>48</v>
      </c>
      <c r="K1283" s="1">
        <v>96</v>
      </c>
      <c r="L1283" s="1">
        <v>0</v>
      </c>
      <c r="M1283" s="1">
        <v>0</v>
      </c>
      <c r="N1283" s="1">
        <v>96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 t="s">
        <v>49</v>
      </c>
      <c r="AA1283" s="1" t="s">
        <v>49</v>
      </c>
      <c r="AB1283" s="1" t="s">
        <v>49</v>
      </c>
      <c r="AC1283" s="1" t="s">
        <v>213</v>
      </c>
      <c r="AD1283" s="1" t="s">
        <v>214</v>
      </c>
      <c r="AE1283" s="1" t="s">
        <v>215</v>
      </c>
      <c r="AF1283" s="1" t="s">
        <v>2976</v>
      </c>
      <c r="AG1283" s="1" t="s">
        <v>53</v>
      </c>
      <c r="AH1283" s="1" t="s">
        <v>49</v>
      </c>
      <c r="AI1283" s="1" t="s">
        <v>54</v>
      </c>
      <c r="AJ1283" s="1">
        <v>1</v>
      </c>
      <c r="AK1283" s="1" t="str">
        <f t="shared" si="20"/>
        <v xml:space="preserve"> =&lt;90</v>
      </c>
      <c r="AL1283" s="1" t="str">
        <f>VLOOKUP(C:C,[1]基础信息!B$1:D$65536,3,0)</f>
        <v>Jug</v>
      </c>
      <c r="AM1283" s="1" t="str">
        <f>VLOOKUP(C:C,[1]基础信息!B$1:E$65536,4,0)</f>
        <v>Mxplus</v>
      </c>
      <c r="AN1283" s="1" t="str">
        <f>VLOOKUP(C:C,[1]基础信息!B$1:F$65536,5,0)</f>
        <v>Blue</v>
      </c>
    </row>
    <row r="1284" spans="1:40">
      <c r="A1284" s="1" t="s">
        <v>41</v>
      </c>
      <c r="B1284" s="1" t="s">
        <v>42</v>
      </c>
      <c r="C1284" s="1" t="s">
        <v>83</v>
      </c>
      <c r="D1284" s="1" t="s">
        <v>84</v>
      </c>
      <c r="E1284" s="1" t="s">
        <v>45</v>
      </c>
      <c r="F1284" s="1" t="s">
        <v>2973</v>
      </c>
      <c r="G1284" s="1" t="s">
        <v>3000</v>
      </c>
      <c r="H1284" s="1" t="s">
        <v>3001</v>
      </c>
      <c r="I1284" s="1" t="s">
        <v>49</v>
      </c>
      <c r="J1284" s="1" t="s">
        <v>48</v>
      </c>
      <c r="K1284" s="1">
        <v>96</v>
      </c>
      <c r="L1284" s="1">
        <v>0</v>
      </c>
      <c r="M1284" s="1">
        <v>0</v>
      </c>
      <c r="N1284" s="1">
        <v>96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 t="s">
        <v>49</v>
      </c>
      <c r="AA1284" s="1" t="s">
        <v>49</v>
      </c>
      <c r="AB1284" s="1" t="s">
        <v>49</v>
      </c>
      <c r="AC1284" s="1" t="s">
        <v>213</v>
      </c>
      <c r="AD1284" s="1" t="s">
        <v>214</v>
      </c>
      <c r="AE1284" s="1" t="s">
        <v>215</v>
      </c>
      <c r="AF1284" s="1" t="s">
        <v>2976</v>
      </c>
      <c r="AG1284" s="1" t="s">
        <v>53</v>
      </c>
      <c r="AH1284" s="1" t="s">
        <v>49</v>
      </c>
      <c r="AI1284" s="1" t="s">
        <v>54</v>
      </c>
      <c r="AJ1284" s="1">
        <v>1</v>
      </c>
      <c r="AK1284" s="1" t="str">
        <f t="shared" si="20"/>
        <v xml:space="preserve"> =&lt;90</v>
      </c>
      <c r="AL1284" s="1" t="str">
        <f>VLOOKUP(C:C,[1]基础信息!B$1:D$65536,3,0)</f>
        <v>Jug</v>
      </c>
      <c r="AM1284" s="1" t="str">
        <f>VLOOKUP(C:C,[1]基础信息!B$1:E$65536,4,0)</f>
        <v>Mxplus</v>
      </c>
      <c r="AN1284" s="1" t="str">
        <f>VLOOKUP(C:C,[1]基础信息!B$1:F$65536,5,0)</f>
        <v>Blue</v>
      </c>
    </row>
    <row r="1285" spans="1:40">
      <c r="A1285" s="1" t="s">
        <v>41</v>
      </c>
      <c r="B1285" s="1" t="s">
        <v>42</v>
      </c>
      <c r="C1285" s="1" t="s">
        <v>1710</v>
      </c>
      <c r="D1285" s="1" t="s">
        <v>1711</v>
      </c>
      <c r="E1285" s="1" t="s">
        <v>45</v>
      </c>
      <c r="F1285" s="1" t="s">
        <v>2590</v>
      </c>
      <c r="G1285" s="1" t="s">
        <v>3002</v>
      </c>
      <c r="H1285" s="1" t="s">
        <v>3003</v>
      </c>
      <c r="I1285" s="1" t="s">
        <v>49</v>
      </c>
      <c r="J1285" s="1" t="s">
        <v>48</v>
      </c>
      <c r="K1285" s="1">
        <v>60</v>
      </c>
      <c r="L1285" s="1">
        <v>0</v>
      </c>
      <c r="M1285" s="1">
        <v>0</v>
      </c>
      <c r="N1285" s="1">
        <v>60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 t="s">
        <v>49</v>
      </c>
      <c r="AA1285" s="1" t="s">
        <v>49</v>
      </c>
      <c r="AB1285" s="1" t="s">
        <v>49</v>
      </c>
      <c r="AC1285" s="1" t="s">
        <v>1008</v>
      </c>
      <c r="AD1285" s="1" t="s">
        <v>1009</v>
      </c>
      <c r="AE1285" s="1" t="s">
        <v>1008</v>
      </c>
      <c r="AF1285" s="1" t="s">
        <v>2593</v>
      </c>
      <c r="AG1285" s="1" t="s">
        <v>53</v>
      </c>
      <c r="AH1285" s="1" t="s">
        <v>49</v>
      </c>
      <c r="AI1285" s="1" t="s">
        <v>54</v>
      </c>
      <c r="AJ1285" s="1">
        <v>1</v>
      </c>
      <c r="AK1285" s="1" t="str">
        <f t="shared" si="20"/>
        <v xml:space="preserve"> =&lt;90</v>
      </c>
      <c r="AL1285" s="1" t="str">
        <f>VLOOKUP(C:C,[1]基础信息!B$1:D$65536,3,0)</f>
        <v>Jug</v>
      </c>
      <c r="AM1285" s="1" t="str">
        <f>VLOOKUP(C:C,[1]基础信息!B$1:E$65536,4,0)</f>
        <v>Kalea XL ME4W</v>
      </c>
      <c r="AN1285" s="1" t="str">
        <f>VLOOKUP(C:C,[1]基础信息!B$1:F$65536,5,0)</f>
        <v>grey</v>
      </c>
    </row>
    <row r="1286" spans="1:40">
      <c r="A1286" s="1" t="s">
        <v>41</v>
      </c>
      <c r="B1286" s="1" t="s">
        <v>42</v>
      </c>
      <c r="C1286" s="1" t="s">
        <v>83</v>
      </c>
      <c r="D1286" s="1" t="s">
        <v>84</v>
      </c>
      <c r="E1286" s="1" t="s">
        <v>45</v>
      </c>
      <c r="F1286" s="1" t="s">
        <v>2973</v>
      </c>
      <c r="G1286" s="1" t="s">
        <v>3004</v>
      </c>
      <c r="H1286" s="1" t="s">
        <v>3005</v>
      </c>
      <c r="I1286" s="1" t="s">
        <v>49</v>
      </c>
      <c r="J1286" s="1" t="s">
        <v>48</v>
      </c>
      <c r="K1286" s="1">
        <v>96</v>
      </c>
      <c r="L1286" s="1">
        <v>0</v>
      </c>
      <c r="M1286" s="1">
        <v>0</v>
      </c>
      <c r="N1286" s="1">
        <v>96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 t="s">
        <v>49</v>
      </c>
      <c r="AA1286" s="1" t="s">
        <v>49</v>
      </c>
      <c r="AB1286" s="1" t="s">
        <v>49</v>
      </c>
      <c r="AC1286" s="1" t="s">
        <v>213</v>
      </c>
      <c r="AD1286" s="1" t="s">
        <v>214</v>
      </c>
      <c r="AE1286" s="1" t="s">
        <v>215</v>
      </c>
      <c r="AF1286" s="1" t="s">
        <v>2976</v>
      </c>
      <c r="AG1286" s="1" t="s">
        <v>53</v>
      </c>
      <c r="AH1286" s="1" t="s">
        <v>49</v>
      </c>
      <c r="AI1286" s="1" t="s">
        <v>54</v>
      </c>
      <c r="AJ1286" s="1">
        <v>1</v>
      </c>
      <c r="AK1286" s="1" t="str">
        <f t="shared" si="20"/>
        <v xml:space="preserve"> =&lt;90</v>
      </c>
      <c r="AL1286" s="1" t="str">
        <f>VLOOKUP(C:C,[1]基础信息!B$1:D$65536,3,0)</f>
        <v>Jug</v>
      </c>
      <c r="AM1286" s="1" t="str">
        <f>VLOOKUP(C:C,[1]基础信息!B$1:E$65536,4,0)</f>
        <v>Mxplus</v>
      </c>
      <c r="AN1286" s="1" t="str">
        <f>VLOOKUP(C:C,[1]基础信息!B$1:F$65536,5,0)</f>
        <v>Blue</v>
      </c>
    </row>
    <row r="1287" spans="1:40">
      <c r="A1287" s="1" t="s">
        <v>41</v>
      </c>
      <c r="B1287" s="1" t="s">
        <v>42</v>
      </c>
      <c r="C1287" s="1" t="s">
        <v>1710</v>
      </c>
      <c r="D1287" s="1" t="s">
        <v>1711</v>
      </c>
      <c r="E1287" s="1" t="s">
        <v>45</v>
      </c>
      <c r="F1287" s="1" t="s">
        <v>2590</v>
      </c>
      <c r="G1287" s="1" t="s">
        <v>3006</v>
      </c>
      <c r="H1287" s="1" t="s">
        <v>3007</v>
      </c>
      <c r="I1287" s="1" t="s">
        <v>49</v>
      </c>
      <c r="J1287" s="1" t="s">
        <v>48</v>
      </c>
      <c r="K1287" s="1">
        <v>60</v>
      </c>
      <c r="L1287" s="1">
        <v>0</v>
      </c>
      <c r="M1287" s="1">
        <v>0</v>
      </c>
      <c r="N1287" s="1">
        <v>60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 t="s">
        <v>49</v>
      </c>
      <c r="AA1287" s="1" t="s">
        <v>49</v>
      </c>
      <c r="AB1287" s="1" t="s">
        <v>49</v>
      </c>
      <c r="AC1287" s="1" t="s">
        <v>1008</v>
      </c>
      <c r="AD1287" s="1" t="s">
        <v>1009</v>
      </c>
      <c r="AE1287" s="1" t="s">
        <v>1008</v>
      </c>
      <c r="AF1287" s="1" t="s">
        <v>2593</v>
      </c>
      <c r="AG1287" s="1" t="s">
        <v>53</v>
      </c>
      <c r="AH1287" s="1" t="s">
        <v>49</v>
      </c>
      <c r="AI1287" s="1" t="s">
        <v>54</v>
      </c>
      <c r="AJ1287" s="1">
        <v>1</v>
      </c>
      <c r="AK1287" s="1" t="str">
        <f t="shared" si="20"/>
        <v xml:space="preserve"> =&lt;90</v>
      </c>
      <c r="AL1287" s="1" t="str">
        <f>VLOOKUP(C:C,[1]基础信息!B$1:D$65536,3,0)</f>
        <v>Jug</v>
      </c>
      <c r="AM1287" s="1" t="str">
        <f>VLOOKUP(C:C,[1]基础信息!B$1:E$65536,4,0)</f>
        <v>Kalea XL ME4W</v>
      </c>
      <c r="AN1287" s="1" t="str">
        <f>VLOOKUP(C:C,[1]基础信息!B$1:F$65536,5,0)</f>
        <v>grey</v>
      </c>
    </row>
    <row r="1288" spans="1:40">
      <c r="A1288" s="1" t="s">
        <v>41</v>
      </c>
      <c r="B1288" s="1" t="s">
        <v>42</v>
      </c>
      <c r="C1288" s="1" t="s">
        <v>1710</v>
      </c>
      <c r="D1288" s="1" t="s">
        <v>1711</v>
      </c>
      <c r="E1288" s="1" t="s">
        <v>45</v>
      </c>
      <c r="F1288" s="1" t="s">
        <v>2590</v>
      </c>
      <c r="G1288" s="1" t="s">
        <v>3008</v>
      </c>
      <c r="H1288" s="1" t="s">
        <v>3009</v>
      </c>
      <c r="I1288" s="1" t="s">
        <v>49</v>
      </c>
      <c r="J1288" s="1" t="s">
        <v>48</v>
      </c>
      <c r="K1288" s="1">
        <v>60</v>
      </c>
      <c r="L1288" s="1">
        <v>0</v>
      </c>
      <c r="M1288" s="1">
        <v>0</v>
      </c>
      <c r="N1288" s="1">
        <v>60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 t="s">
        <v>49</v>
      </c>
      <c r="AA1288" s="1" t="s">
        <v>49</v>
      </c>
      <c r="AB1288" s="1" t="s">
        <v>49</v>
      </c>
      <c r="AC1288" s="1" t="s">
        <v>1008</v>
      </c>
      <c r="AD1288" s="1" t="s">
        <v>1009</v>
      </c>
      <c r="AE1288" s="1" t="s">
        <v>1008</v>
      </c>
      <c r="AF1288" s="1" t="s">
        <v>2593</v>
      </c>
      <c r="AG1288" s="1" t="s">
        <v>53</v>
      </c>
      <c r="AH1288" s="1" t="s">
        <v>49</v>
      </c>
      <c r="AI1288" s="1" t="s">
        <v>54</v>
      </c>
      <c r="AJ1288" s="1">
        <v>1</v>
      </c>
      <c r="AK1288" s="1" t="str">
        <f t="shared" si="20"/>
        <v xml:space="preserve"> =&lt;90</v>
      </c>
      <c r="AL1288" s="1" t="str">
        <f>VLOOKUP(C:C,[1]基础信息!B$1:D$65536,3,0)</f>
        <v>Jug</v>
      </c>
      <c r="AM1288" s="1" t="str">
        <f>VLOOKUP(C:C,[1]基础信息!B$1:E$65536,4,0)</f>
        <v>Kalea XL ME4W</v>
      </c>
      <c r="AN1288" s="1" t="str">
        <f>VLOOKUP(C:C,[1]基础信息!B$1:F$65536,5,0)</f>
        <v>grey</v>
      </c>
    </row>
    <row r="1289" spans="1:40">
      <c r="A1289" s="1" t="s">
        <v>41</v>
      </c>
      <c r="B1289" s="1" t="s">
        <v>42</v>
      </c>
      <c r="C1289" s="1" t="s">
        <v>83</v>
      </c>
      <c r="D1289" s="1" t="s">
        <v>84</v>
      </c>
      <c r="E1289" s="1" t="s">
        <v>45</v>
      </c>
      <c r="F1289" s="1" t="s">
        <v>2973</v>
      </c>
      <c r="G1289" s="1" t="s">
        <v>3010</v>
      </c>
      <c r="H1289" s="1" t="s">
        <v>3011</v>
      </c>
      <c r="I1289" s="1" t="s">
        <v>49</v>
      </c>
      <c r="J1289" s="1" t="s">
        <v>48</v>
      </c>
      <c r="K1289" s="1">
        <v>96</v>
      </c>
      <c r="L1289" s="1">
        <v>0</v>
      </c>
      <c r="M1289" s="1">
        <v>0</v>
      </c>
      <c r="N1289" s="1">
        <v>96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 t="s">
        <v>49</v>
      </c>
      <c r="AA1289" s="1" t="s">
        <v>49</v>
      </c>
      <c r="AB1289" s="1" t="s">
        <v>49</v>
      </c>
      <c r="AC1289" s="1" t="s">
        <v>213</v>
      </c>
      <c r="AD1289" s="1" t="s">
        <v>214</v>
      </c>
      <c r="AE1289" s="1" t="s">
        <v>215</v>
      </c>
      <c r="AF1289" s="1" t="s">
        <v>2976</v>
      </c>
      <c r="AG1289" s="1" t="s">
        <v>53</v>
      </c>
      <c r="AH1289" s="1" t="s">
        <v>49</v>
      </c>
      <c r="AI1289" s="1" t="s">
        <v>54</v>
      </c>
      <c r="AJ1289" s="1">
        <v>1</v>
      </c>
      <c r="AK1289" s="1" t="str">
        <f t="shared" si="20"/>
        <v xml:space="preserve"> =&lt;90</v>
      </c>
      <c r="AL1289" s="1" t="str">
        <f>VLOOKUP(C:C,[1]基础信息!B$1:D$65536,3,0)</f>
        <v>Jug</v>
      </c>
      <c r="AM1289" s="1" t="str">
        <f>VLOOKUP(C:C,[1]基础信息!B$1:E$65536,4,0)</f>
        <v>Mxplus</v>
      </c>
      <c r="AN1289" s="1" t="str">
        <f>VLOOKUP(C:C,[1]基础信息!B$1:F$65536,5,0)</f>
        <v>Blue</v>
      </c>
    </row>
    <row r="1290" spans="1:40">
      <c r="A1290" s="1" t="s">
        <v>41</v>
      </c>
      <c r="B1290" s="1" t="s">
        <v>42</v>
      </c>
      <c r="C1290" s="1" t="s">
        <v>83</v>
      </c>
      <c r="D1290" s="1" t="s">
        <v>84</v>
      </c>
      <c r="E1290" s="1" t="s">
        <v>45</v>
      </c>
      <c r="F1290" s="1" t="s">
        <v>2973</v>
      </c>
      <c r="G1290" s="1" t="s">
        <v>3012</v>
      </c>
      <c r="H1290" s="1" t="s">
        <v>3013</v>
      </c>
      <c r="I1290" s="1" t="s">
        <v>49</v>
      </c>
      <c r="J1290" s="1" t="s">
        <v>48</v>
      </c>
      <c r="K1290" s="1">
        <v>96</v>
      </c>
      <c r="L1290" s="1">
        <v>0</v>
      </c>
      <c r="M1290" s="1">
        <v>0</v>
      </c>
      <c r="N1290" s="1">
        <v>96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 t="s">
        <v>49</v>
      </c>
      <c r="AA1290" s="1" t="s">
        <v>49</v>
      </c>
      <c r="AB1290" s="1" t="s">
        <v>49</v>
      </c>
      <c r="AC1290" s="1" t="s">
        <v>213</v>
      </c>
      <c r="AD1290" s="1" t="s">
        <v>214</v>
      </c>
      <c r="AE1290" s="1" t="s">
        <v>215</v>
      </c>
      <c r="AF1290" s="1" t="s">
        <v>2976</v>
      </c>
      <c r="AG1290" s="1" t="s">
        <v>53</v>
      </c>
      <c r="AH1290" s="1" t="s">
        <v>49</v>
      </c>
      <c r="AI1290" s="1" t="s">
        <v>54</v>
      </c>
      <c r="AJ1290" s="1">
        <v>1</v>
      </c>
      <c r="AK1290" s="1" t="str">
        <f t="shared" si="20"/>
        <v xml:space="preserve"> =&lt;90</v>
      </c>
      <c r="AL1290" s="1" t="str">
        <f>VLOOKUP(C:C,[1]基础信息!B$1:D$65536,3,0)</f>
        <v>Jug</v>
      </c>
      <c r="AM1290" s="1" t="str">
        <f>VLOOKUP(C:C,[1]基础信息!B$1:E$65536,4,0)</f>
        <v>Mxplus</v>
      </c>
      <c r="AN1290" s="1" t="str">
        <f>VLOOKUP(C:C,[1]基础信息!B$1:F$65536,5,0)</f>
        <v>Blue</v>
      </c>
    </row>
    <row r="1291" spans="1:40">
      <c r="A1291" s="1" t="s">
        <v>41</v>
      </c>
      <c r="B1291" s="1" t="s">
        <v>42</v>
      </c>
      <c r="C1291" s="1" t="s">
        <v>83</v>
      </c>
      <c r="D1291" s="1" t="s">
        <v>84</v>
      </c>
      <c r="E1291" s="1" t="s">
        <v>45</v>
      </c>
      <c r="F1291" s="1" t="s">
        <v>2973</v>
      </c>
      <c r="G1291" s="1" t="s">
        <v>3014</v>
      </c>
      <c r="H1291" s="1" t="s">
        <v>3015</v>
      </c>
      <c r="I1291" s="1" t="s">
        <v>49</v>
      </c>
      <c r="J1291" s="1" t="s">
        <v>48</v>
      </c>
      <c r="K1291" s="1">
        <v>96</v>
      </c>
      <c r="L1291" s="1">
        <v>0</v>
      </c>
      <c r="M1291" s="1">
        <v>0</v>
      </c>
      <c r="N1291" s="1">
        <v>96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 t="s">
        <v>49</v>
      </c>
      <c r="AA1291" s="1" t="s">
        <v>49</v>
      </c>
      <c r="AB1291" s="1" t="s">
        <v>49</v>
      </c>
      <c r="AC1291" s="1" t="s">
        <v>213</v>
      </c>
      <c r="AD1291" s="1" t="s">
        <v>214</v>
      </c>
      <c r="AE1291" s="1" t="s">
        <v>215</v>
      </c>
      <c r="AF1291" s="1" t="s">
        <v>2976</v>
      </c>
      <c r="AG1291" s="1" t="s">
        <v>53</v>
      </c>
      <c r="AH1291" s="1" t="s">
        <v>49</v>
      </c>
      <c r="AI1291" s="1" t="s">
        <v>54</v>
      </c>
      <c r="AJ1291" s="1">
        <v>1</v>
      </c>
      <c r="AK1291" s="1" t="str">
        <f t="shared" si="20"/>
        <v xml:space="preserve"> =&lt;90</v>
      </c>
      <c r="AL1291" s="1" t="str">
        <f>VLOOKUP(C:C,[1]基础信息!B$1:D$65536,3,0)</f>
        <v>Jug</v>
      </c>
      <c r="AM1291" s="1" t="str">
        <f>VLOOKUP(C:C,[1]基础信息!B$1:E$65536,4,0)</f>
        <v>Mxplus</v>
      </c>
      <c r="AN1291" s="1" t="str">
        <f>VLOOKUP(C:C,[1]基础信息!B$1:F$65536,5,0)</f>
        <v>Blue</v>
      </c>
    </row>
    <row r="1292" spans="1:40">
      <c r="A1292" s="1" t="s">
        <v>41</v>
      </c>
      <c r="B1292" s="1" t="s">
        <v>42</v>
      </c>
      <c r="C1292" s="1" t="s">
        <v>83</v>
      </c>
      <c r="D1292" s="1" t="s">
        <v>84</v>
      </c>
      <c r="E1292" s="1" t="s">
        <v>45</v>
      </c>
      <c r="F1292" s="1" t="s">
        <v>2973</v>
      </c>
      <c r="G1292" s="1" t="s">
        <v>3016</v>
      </c>
      <c r="H1292" s="1" t="s">
        <v>3017</v>
      </c>
      <c r="I1292" s="1" t="s">
        <v>49</v>
      </c>
      <c r="J1292" s="1" t="s">
        <v>48</v>
      </c>
      <c r="K1292" s="1">
        <v>96</v>
      </c>
      <c r="L1292" s="1">
        <v>0</v>
      </c>
      <c r="M1292" s="1">
        <v>0</v>
      </c>
      <c r="N1292" s="1">
        <v>96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 t="s">
        <v>49</v>
      </c>
      <c r="AA1292" s="1" t="s">
        <v>49</v>
      </c>
      <c r="AB1292" s="1" t="s">
        <v>49</v>
      </c>
      <c r="AC1292" s="1" t="s">
        <v>213</v>
      </c>
      <c r="AD1292" s="1" t="s">
        <v>214</v>
      </c>
      <c r="AE1292" s="1" t="s">
        <v>215</v>
      </c>
      <c r="AF1292" s="1" t="s">
        <v>2976</v>
      </c>
      <c r="AG1292" s="1" t="s">
        <v>53</v>
      </c>
      <c r="AH1292" s="1" t="s">
        <v>49</v>
      </c>
      <c r="AI1292" s="1" t="s">
        <v>54</v>
      </c>
      <c r="AJ1292" s="1">
        <v>1</v>
      </c>
      <c r="AK1292" s="1" t="str">
        <f t="shared" si="20"/>
        <v xml:space="preserve"> =&lt;90</v>
      </c>
      <c r="AL1292" s="1" t="str">
        <f>VLOOKUP(C:C,[1]基础信息!B$1:D$65536,3,0)</f>
        <v>Jug</v>
      </c>
      <c r="AM1292" s="1" t="str">
        <f>VLOOKUP(C:C,[1]基础信息!B$1:E$65536,4,0)</f>
        <v>Mxplus</v>
      </c>
      <c r="AN1292" s="1" t="str">
        <f>VLOOKUP(C:C,[1]基础信息!B$1:F$65536,5,0)</f>
        <v>Blue</v>
      </c>
    </row>
    <row r="1293" spans="1:40">
      <c r="A1293" s="1" t="s">
        <v>41</v>
      </c>
      <c r="B1293" s="1" t="s">
        <v>42</v>
      </c>
      <c r="C1293" s="1" t="s">
        <v>83</v>
      </c>
      <c r="D1293" s="1" t="s">
        <v>84</v>
      </c>
      <c r="E1293" s="1" t="s">
        <v>45</v>
      </c>
      <c r="F1293" s="1" t="s">
        <v>2973</v>
      </c>
      <c r="G1293" s="1" t="s">
        <v>3018</v>
      </c>
      <c r="H1293" s="1" t="s">
        <v>3019</v>
      </c>
      <c r="I1293" s="1" t="s">
        <v>49</v>
      </c>
      <c r="J1293" s="1" t="s">
        <v>48</v>
      </c>
      <c r="K1293" s="1">
        <v>96</v>
      </c>
      <c r="L1293" s="1">
        <v>0</v>
      </c>
      <c r="M1293" s="1">
        <v>0</v>
      </c>
      <c r="N1293" s="1">
        <v>96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 t="s">
        <v>49</v>
      </c>
      <c r="AA1293" s="1" t="s">
        <v>49</v>
      </c>
      <c r="AB1293" s="1" t="s">
        <v>49</v>
      </c>
      <c r="AC1293" s="1" t="s">
        <v>213</v>
      </c>
      <c r="AD1293" s="1" t="s">
        <v>214</v>
      </c>
      <c r="AE1293" s="1" t="s">
        <v>215</v>
      </c>
      <c r="AF1293" s="1" t="s">
        <v>2976</v>
      </c>
      <c r="AG1293" s="1" t="s">
        <v>53</v>
      </c>
      <c r="AH1293" s="1" t="s">
        <v>49</v>
      </c>
      <c r="AI1293" s="1" t="s">
        <v>54</v>
      </c>
      <c r="AJ1293" s="1">
        <v>1</v>
      </c>
      <c r="AK1293" s="1" t="str">
        <f t="shared" si="20"/>
        <v xml:space="preserve"> =&lt;90</v>
      </c>
      <c r="AL1293" s="1" t="str">
        <f>VLOOKUP(C:C,[1]基础信息!B$1:D$65536,3,0)</f>
        <v>Jug</v>
      </c>
      <c r="AM1293" s="1" t="str">
        <f>VLOOKUP(C:C,[1]基础信息!B$1:E$65536,4,0)</f>
        <v>Mxplus</v>
      </c>
      <c r="AN1293" s="1" t="str">
        <f>VLOOKUP(C:C,[1]基础信息!B$1:F$65536,5,0)</f>
        <v>Blue</v>
      </c>
    </row>
    <row r="1294" spans="1:40">
      <c r="A1294" s="1" t="s">
        <v>41</v>
      </c>
      <c r="B1294" s="1" t="s">
        <v>42</v>
      </c>
      <c r="C1294" s="1" t="s">
        <v>83</v>
      </c>
      <c r="D1294" s="1" t="s">
        <v>84</v>
      </c>
      <c r="E1294" s="1" t="s">
        <v>45</v>
      </c>
      <c r="F1294" s="1" t="s">
        <v>2973</v>
      </c>
      <c r="G1294" s="1" t="s">
        <v>3020</v>
      </c>
      <c r="H1294" s="1" t="s">
        <v>3021</v>
      </c>
      <c r="I1294" s="1" t="s">
        <v>49</v>
      </c>
      <c r="J1294" s="1" t="s">
        <v>48</v>
      </c>
      <c r="K1294" s="1">
        <v>48</v>
      </c>
      <c r="L1294" s="1">
        <v>0</v>
      </c>
      <c r="M1294" s="1">
        <v>0</v>
      </c>
      <c r="N1294" s="1">
        <v>48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 t="s">
        <v>49</v>
      </c>
      <c r="AA1294" s="1" t="s">
        <v>49</v>
      </c>
      <c r="AB1294" s="1" t="s">
        <v>49</v>
      </c>
      <c r="AC1294" s="1" t="s">
        <v>213</v>
      </c>
      <c r="AD1294" s="1" t="s">
        <v>214</v>
      </c>
      <c r="AE1294" s="1" t="s">
        <v>215</v>
      </c>
      <c r="AF1294" s="1" t="s">
        <v>2976</v>
      </c>
      <c r="AG1294" s="1" t="s">
        <v>53</v>
      </c>
      <c r="AH1294" s="1" t="s">
        <v>49</v>
      </c>
      <c r="AI1294" s="1" t="s">
        <v>54</v>
      </c>
      <c r="AJ1294" s="1">
        <v>1</v>
      </c>
      <c r="AK1294" s="1" t="str">
        <f t="shared" si="20"/>
        <v xml:space="preserve"> =&lt;90</v>
      </c>
      <c r="AL1294" s="1" t="str">
        <f>VLOOKUP(C:C,[1]基础信息!B$1:D$65536,3,0)</f>
        <v>Jug</v>
      </c>
      <c r="AM1294" s="1" t="str">
        <f>VLOOKUP(C:C,[1]基础信息!B$1:E$65536,4,0)</f>
        <v>Mxplus</v>
      </c>
      <c r="AN1294" s="1" t="str">
        <f>VLOOKUP(C:C,[1]基础信息!B$1:F$65536,5,0)</f>
        <v>Blue</v>
      </c>
    </row>
    <row r="1295" spans="1:40">
      <c r="A1295" s="1" t="s">
        <v>41</v>
      </c>
      <c r="B1295" s="1" t="s">
        <v>42</v>
      </c>
      <c r="C1295" s="1" t="s">
        <v>285</v>
      </c>
      <c r="D1295" s="1" t="s">
        <v>286</v>
      </c>
      <c r="E1295" s="1" t="s">
        <v>45</v>
      </c>
      <c r="F1295" s="1" t="s">
        <v>3022</v>
      </c>
      <c r="G1295" s="1" t="s">
        <v>3023</v>
      </c>
      <c r="H1295" s="1" t="s">
        <v>3024</v>
      </c>
      <c r="I1295" s="1" t="s">
        <v>49</v>
      </c>
      <c r="J1295" s="1" t="s">
        <v>48</v>
      </c>
      <c r="K1295" s="1">
        <v>70</v>
      </c>
      <c r="L1295" s="1">
        <v>0</v>
      </c>
      <c r="M1295" s="1">
        <v>0</v>
      </c>
      <c r="N1295" s="1">
        <v>70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 t="s">
        <v>49</v>
      </c>
      <c r="AA1295" s="1" t="s">
        <v>49</v>
      </c>
      <c r="AB1295" s="1" t="s">
        <v>49</v>
      </c>
      <c r="AC1295" s="1" t="s">
        <v>215</v>
      </c>
      <c r="AD1295" s="1" t="s">
        <v>3025</v>
      </c>
      <c r="AE1295" s="1" t="s">
        <v>215</v>
      </c>
      <c r="AF1295" s="1" t="s">
        <v>292</v>
      </c>
      <c r="AG1295" s="1" t="s">
        <v>53</v>
      </c>
      <c r="AH1295" s="1" t="s">
        <v>49</v>
      </c>
      <c r="AI1295" s="1" t="s">
        <v>54</v>
      </c>
      <c r="AJ1295" s="1">
        <v>1</v>
      </c>
      <c r="AK1295" s="1" t="str">
        <f t="shared" si="20"/>
        <v xml:space="preserve"> =&lt;90</v>
      </c>
      <c r="AL1295" s="1" t="str">
        <f>VLOOKUP(C:C,[1]基础信息!B$1:D$65536,3,0)</f>
        <v>Jug</v>
      </c>
      <c r="AM1295" s="1" t="str">
        <f>VLOOKUP(C:C,[1]基础信息!B$1:E$65536,4,0)</f>
        <v>Marella XL</v>
      </c>
      <c r="AN1295" s="1" t="str">
        <f>VLOOKUP(C:C,[1]基础信息!B$1:F$65536,5,0)</f>
        <v>Blue</v>
      </c>
    </row>
    <row r="1296" spans="1:40">
      <c r="A1296" s="1" t="s">
        <v>41</v>
      </c>
      <c r="B1296" s="1" t="s">
        <v>42</v>
      </c>
      <c r="C1296" s="1" t="s">
        <v>2004</v>
      </c>
      <c r="D1296" s="1" t="s">
        <v>2005</v>
      </c>
      <c r="E1296" s="1" t="s">
        <v>2004</v>
      </c>
      <c r="F1296" s="1" t="s">
        <v>2006</v>
      </c>
      <c r="G1296" s="1" t="s">
        <v>3026</v>
      </c>
      <c r="H1296" s="1" t="s">
        <v>3027</v>
      </c>
      <c r="I1296" s="1" t="s">
        <v>49</v>
      </c>
      <c r="J1296" s="1" t="s">
        <v>48</v>
      </c>
      <c r="K1296" s="1">
        <v>96</v>
      </c>
      <c r="L1296" s="1">
        <v>0</v>
      </c>
      <c r="M1296" s="1">
        <v>0</v>
      </c>
      <c r="N1296" s="1">
        <v>96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 t="s">
        <v>49</v>
      </c>
      <c r="AA1296" s="1" t="s">
        <v>49</v>
      </c>
      <c r="AB1296" s="1" t="s">
        <v>49</v>
      </c>
      <c r="AC1296" s="1" t="s">
        <v>1377</v>
      </c>
      <c r="AD1296" s="1" t="s">
        <v>1378</v>
      </c>
      <c r="AE1296" s="1" t="s">
        <v>1377</v>
      </c>
      <c r="AF1296" s="1" t="s">
        <v>422</v>
      </c>
      <c r="AG1296" s="1" t="s">
        <v>53</v>
      </c>
      <c r="AH1296" s="1" t="s">
        <v>49</v>
      </c>
      <c r="AI1296" s="1" t="s">
        <v>54</v>
      </c>
      <c r="AJ1296" s="1">
        <v>1</v>
      </c>
      <c r="AK1296" s="1" t="str">
        <f t="shared" si="20"/>
        <v xml:space="preserve"> =&lt;90</v>
      </c>
      <c r="AL1296" s="1" t="str">
        <f>VLOOKUP(C:C,[1]基础信息!B$1:D$65536,3,0)</f>
        <v>Jug</v>
      </c>
      <c r="AM1296" s="1" t="str">
        <f>VLOOKUP(C:C,[1]基础信息!B$1:E$65536,4,0)</f>
        <v>Marella XL</v>
      </c>
      <c r="AN1296" s="1" t="str">
        <f>VLOOKUP(C:C,[1]基础信息!B$1:F$65536,5,0)</f>
        <v>Mxplus</v>
      </c>
    </row>
    <row r="1297" spans="1:40">
      <c r="A1297" s="1" t="s">
        <v>41</v>
      </c>
      <c r="B1297" s="1" t="s">
        <v>42</v>
      </c>
      <c r="C1297" s="1" t="s">
        <v>2004</v>
      </c>
      <c r="D1297" s="1" t="s">
        <v>2005</v>
      </c>
      <c r="E1297" s="1" t="s">
        <v>2004</v>
      </c>
      <c r="F1297" s="1" t="s">
        <v>2006</v>
      </c>
      <c r="G1297" s="1" t="s">
        <v>3028</v>
      </c>
      <c r="H1297" s="1" t="s">
        <v>3029</v>
      </c>
      <c r="I1297" s="1" t="s">
        <v>49</v>
      </c>
      <c r="J1297" s="1" t="s">
        <v>48</v>
      </c>
      <c r="K1297" s="1">
        <v>96</v>
      </c>
      <c r="L1297" s="1">
        <v>0</v>
      </c>
      <c r="M1297" s="1">
        <v>0</v>
      </c>
      <c r="N1297" s="1">
        <v>96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 t="s">
        <v>49</v>
      </c>
      <c r="AA1297" s="1" t="s">
        <v>49</v>
      </c>
      <c r="AB1297" s="1" t="s">
        <v>49</v>
      </c>
      <c r="AC1297" s="1" t="s">
        <v>1377</v>
      </c>
      <c r="AD1297" s="1" t="s">
        <v>1378</v>
      </c>
      <c r="AE1297" s="1" t="s">
        <v>1377</v>
      </c>
      <c r="AF1297" s="1" t="s">
        <v>422</v>
      </c>
      <c r="AG1297" s="1" t="s">
        <v>53</v>
      </c>
      <c r="AH1297" s="1" t="s">
        <v>49</v>
      </c>
      <c r="AI1297" s="1" t="s">
        <v>54</v>
      </c>
      <c r="AJ1297" s="1">
        <v>1</v>
      </c>
      <c r="AK1297" s="1" t="str">
        <f t="shared" si="20"/>
        <v xml:space="preserve"> =&lt;90</v>
      </c>
      <c r="AL1297" s="1" t="str">
        <f>VLOOKUP(C:C,[1]基础信息!B$1:D$65536,3,0)</f>
        <v>Jug</v>
      </c>
      <c r="AM1297" s="1" t="str">
        <f>VLOOKUP(C:C,[1]基础信息!B$1:E$65536,4,0)</f>
        <v>Marella XL</v>
      </c>
      <c r="AN1297" s="1" t="str">
        <f>VLOOKUP(C:C,[1]基础信息!B$1:F$65536,5,0)</f>
        <v>Mxplus</v>
      </c>
    </row>
    <row r="1298" spans="1:40">
      <c r="A1298" s="1" t="s">
        <v>41</v>
      </c>
      <c r="B1298" s="1" t="s">
        <v>42</v>
      </c>
      <c r="C1298" s="1" t="s">
        <v>2004</v>
      </c>
      <c r="D1298" s="1" t="s">
        <v>2005</v>
      </c>
      <c r="E1298" s="1" t="s">
        <v>2004</v>
      </c>
      <c r="F1298" s="1" t="s">
        <v>2006</v>
      </c>
      <c r="G1298" s="1" t="s">
        <v>3030</v>
      </c>
      <c r="H1298" s="1" t="s">
        <v>3031</v>
      </c>
      <c r="I1298" s="1" t="s">
        <v>49</v>
      </c>
      <c r="J1298" s="1" t="s">
        <v>48</v>
      </c>
      <c r="K1298" s="1">
        <v>96</v>
      </c>
      <c r="L1298" s="1">
        <v>0</v>
      </c>
      <c r="M1298" s="1">
        <v>0</v>
      </c>
      <c r="N1298" s="1">
        <v>96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 t="s">
        <v>49</v>
      </c>
      <c r="AA1298" s="1" t="s">
        <v>49</v>
      </c>
      <c r="AB1298" s="1" t="s">
        <v>49</v>
      </c>
      <c r="AC1298" s="1" t="s">
        <v>1377</v>
      </c>
      <c r="AD1298" s="1" t="s">
        <v>1378</v>
      </c>
      <c r="AE1298" s="1" t="s">
        <v>1377</v>
      </c>
      <c r="AF1298" s="1" t="s">
        <v>422</v>
      </c>
      <c r="AG1298" s="1" t="s">
        <v>53</v>
      </c>
      <c r="AH1298" s="1" t="s">
        <v>49</v>
      </c>
      <c r="AI1298" s="1" t="s">
        <v>54</v>
      </c>
      <c r="AJ1298" s="1">
        <v>1</v>
      </c>
      <c r="AK1298" s="1" t="str">
        <f t="shared" si="20"/>
        <v xml:space="preserve"> =&lt;90</v>
      </c>
      <c r="AL1298" s="1" t="str">
        <f>VLOOKUP(C:C,[1]基础信息!B$1:D$65536,3,0)</f>
        <v>Jug</v>
      </c>
      <c r="AM1298" s="1" t="str">
        <f>VLOOKUP(C:C,[1]基础信息!B$1:E$65536,4,0)</f>
        <v>Marella XL</v>
      </c>
      <c r="AN1298" s="1" t="str">
        <f>VLOOKUP(C:C,[1]基础信息!B$1:F$65536,5,0)</f>
        <v>Mxplus</v>
      </c>
    </row>
    <row r="1299" spans="1:40">
      <c r="A1299" s="1" t="s">
        <v>41</v>
      </c>
      <c r="B1299" s="1" t="s">
        <v>42</v>
      </c>
      <c r="C1299" s="1" t="s">
        <v>2004</v>
      </c>
      <c r="D1299" s="1" t="s">
        <v>2005</v>
      </c>
      <c r="E1299" s="1" t="s">
        <v>2004</v>
      </c>
      <c r="F1299" s="1" t="s">
        <v>2006</v>
      </c>
      <c r="G1299" s="1" t="s">
        <v>3032</v>
      </c>
      <c r="H1299" s="1" t="s">
        <v>3033</v>
      </c>
      <c r="I1299" s="1" t="s">
        <v>49</v>
      </c>
      <c r="J1299" s="1" t="s">
        <v>48</v>
      </c>
      <c r="K1299" s="1">
        <v>96</v>
      </c>
      <c r="L1299" s="1">
        <v>0</v>
      </c>
      <c r="M1299" s="1">
        <v>0</v>
      </c>
      <c r="N1299" s="1">
        <v>96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 t="s">
        <v>49</v>
      </c>
      <c r="AA1299" s="1" t="s">
        <v>49</v>
      </c>
      <c r="AB1299" s="1" t="s">
        <v>49</v>
      </c>
      <c r="AC1299" s="1" t="s">
        <v>1377</v>
      </c>
      <c r="AD1299" s="1" t="s">
        <v>1378</v>
      </c>
      <c r="AE1299" s="1" t="s">
        <v>1377</v>
      </c>
      <c r="AF1299" s="1" t="s">
        <v>422</v>
      </c>
      <c r="AG1299" s="1" t="s">
        <v>53</v>
      </c>
      <c r="AH1299" s="1" t="s">
        <v>49</v>
      </c>
      <c r="AI1299" s="1" t="s">
        <v>54</v>
      </c>
      <c r="AJ1299" s="1">
        <v>1</v>
      </c>
      <c r="AK1299" s="1" t="str">
        <f t="shared" si="20"/>
        <v xml:space="preserve"> =&lt;90</v>
      </c>
      <c r="AL1299" s="1" t="str">
        <f>VLOOKUP(C:C,[1]基础信息!B$1:D$65536,3,0)</f>
        <v>Jug</v>
      </c>
      <c r="AM1299" s="1" t="str">
        <f>VLOOKUP(C:C,[1]基础信息!B$1:E$65536,4,0)</f>
        <v>Marella XL</v>
      </c>
      <c r="AN1299" s="1" t="str">
        <f>VLOOKUP(C:C,[1]基础信息!B$1:F$65536,5,0)</f>
        <v>Mxplus</v>
      </c>
    </row>
    <row r="1300" spans="1:40">
      <c r="A1300" s="1" t="s">
        <v>41</v>
      </c>
      <c r="B1300" s="1" t="s">
        <v>42</v>
      </c>
      <c r="C1300" s="1" t="s">
        <v>2628</v>
      </c>
      <c r="D1300" s="1" t="s">
        <v>2629</v>
      </c>
      <c r="E1300" s="1" t="s">
        <v>45</v>
      </c>
      <c r="F1300" s="1" t="s">
        <v>3034</v>
      </c>
      <c r="G1300" s="1" t="s">
        <v>3035</v>
      </c>
      <c r="H1300" s="1" t="s">
        <v>3036</v>
      </c>
      <c r="I1300" s="1" t="s">
        <v>49</v>
      </c>
      <c r="J1300" s="1" t="s">
        <v>48</v>
      </c>
      <c r="K1300" s="1">
        <v>257</v>
      </c>
      <c r="L1300" s="1">
        <v>0</v>
      </c>
      <c r="M1300" s="1">
        <v>0</v>
      </c>
      <c r="N1300" s="1">
        <v>257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 t="s">
        <v>49</v>
      </c>
      <c r="AA1300" s="1" t="s">
        <v>49</v>
      </c>
      <c r="AB1300" s="1" t="s">
        <v>49</v>
      </c>
      <c r="AC1300" s="1" t="s">
        <v>215</v>
      </c>
      <c r="AD1300" s="1" t="s">
        <v>3025</v>
      </c>
      <c r="AE1300" s="1" t="s">
        <v>215</v>
      </c>
      <c r="AF1300" s="1" t="s">
        <v>3037</v>
      </c>
      <c r="AG1300" s="1" t="s">
        <v>53</v>
      </c>
      <c r="AH1300" s="1" t="s">
        <v>49</v>
      </c>
      <c r="AI1300" s="1" t="s">
        <v>54</v>
      </c>
      <c r="AJ1300" s="1">
        <v>1</v>
      </c>
      <c r="AK1300" s="1" t="str">
        <f t="shared" si="20"/>
        <v xml:space="preserve"> =&lt;90</v>
      </c>
      <c r="AL1300" s="1" t="str">
        <f>VLOOKUP(C:C,[1]基础信息!B$1:D$65536,3,0)</f>
        <v>UTS</v>
      </c>
      <c r="AM1300" s="1" t="str">
        <f>VLOOKUP(C:C,[1]基础信息!B$1:E$65536,4,0)</f>
        <v>MyPure</v>
      </c>
      <c r="AN1300" s="1" t="str">
        <f>VLOOKUP(C:C,[1]基础信息!B$1:F$65536,5,0)</f>
        <v>Refill</v>
      </c>
    </row>
    <row r="1301" spans="1:40">
      <c r="A1301" s="1" t="s">
        <v>41</v>
      </c>
      <c r="B1301" s="1" t="s">
        <v>42</v>
      </c>
      <c r="C1301" s="1" t="s">
        <v>1366</v>
      </c>
      <c r="D1301" s="1" t="s">
        <v>1367</v>
      </c>
      <c r="E1301" s="1" t="s">
        <v>45</v>
      </c>
      <c r="F1301" s="1" t="s">
        <v>3038</v>
      </c>
      <c r="G1301" s="1" t="s">
        <v>3039</v>
      </c>
      <c r="H1301" s="1" t="s">
        <v>3040</v>
      </c>
      <c r="I1301" s="1" t="s">
        <v>49</v>
      </c>
      <c r="J1301" s="1" t="s">
        <v>48</v>
      </c>
      <c r="K1301" s="1">
        <v>137</v>
      </c>
      <c r="L1301" s="1">
        <v>0</v>
      </c>
      <c r="M1301" s="1">
        <v>0</v>
      </c>
      <c r="N1301" s="1">
        <v>137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 t="s">
        <v>49</v>
      </c>
      <c r="AA1301" s="1" t="s">
        <v>49</v>
      </c>
      <c r="AB1301" s="1" t="s">
        <v>49</v>
      </c>
      <c r="AC1301" s="1" t="s">
        <v>215</v>
      </c>
      <c r="AD1301" s="1" t="s">
        <v>3025</v>
      </c>
      <c r="AE1301" s="1" t="s">
        <v>215</v>
      </c>
      <c r="AF1301" s="1" t="s">
        <v>3041</v>
      </c>
      <c r="AG1301" s="1" t="s">
        <v>53</v>
      </c>
      <c r="AH1301" s="1" t="s">
        <v>49</v>
      </c>
      <c r="AI1301" s="1" t="s">
        <v>54</v>
      </c>
      <c r="AJ1301" s="1">
        <v>1</v>
      </c>
      <c r="AK1301" s="1" t="str">
        <f t="shared" si="20"/>
        <v xml:space="preserve"> =&lt;90</v>
      </c>
      <c r="AL1301" s="1" t="str">
        <f>VLOOKUP(C:C,[1]基础信息!B$1:D$65536,3,0)</f>
        <v>UTS</v>
      </c>
      <c r="AM1301" s="1" t="str">
        <f>VLOOKUP(C:C,[1]基础信息!B$1:E$65536,4,0)</f>
        <v>MyPure</v>
      </c>
      <c r="AN1301" s="1" t="str">
        <f>VLOOKUP(C:C,[1]基础信息!B$1:F$65536,5,0)</f>
        <v>Refill</v>
      </c>
    </row>
    <row r="1302" spans="1:40">
      <c r="A1302" s="1" t="s">
        <v>41</v>
      </c>
      <c r="B1302" s="1" t="s">
        <v>42</v>
      </c>
      <c r="C1302" s="1" t="s">
        <v>2004</v>
      </c>
      <c r="D1302" s="1" t="s">
        <v>2005</v>
      </c>
      <c r="E1302" s="1" t="s">
        <v>2004</v>
      </c>
      <c r="F1302" s="1" t="s">
        <v>2006</v>
      </c>
      <c r="G1302" s="1" t="s">
        <v>3042</v>
      </c>
      <c r="H1302" s="1" t="s">
        <v>3043</v>
      </c>
      <c r="I1302" s="1" t="s">
        <v>49</v>
      </c>
      <c r="J1302" s="1" t="s">
        <v>48</v>
      </c>
      <c r="K1302" s="1">
        <v>96</v>
      </c>
      <c r="L1302" s="1">
        <v>0</v>
      </c>
      <c r="M1302" s="1">
        <v>0</v>
      </c>
      <c r="N1302" s="1">
        <v>96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 t="s">
        <v>49</v>
      </c>
      <c r="AA1302" s="1" t="s">
        <v>49</v>
      </c>
      <c r="AB1302" s="1" t="s">
        <v>49</v>
      </c>
      <c r="AC1302" s="1" t="s">
        <v>1377</v>
      </c>
      <c r="AD1302" s="1" t="s">
        <v>1378</v>
      </c>
      <c r="AE1302" s="1" t="s">
        <v>1377</v>
      </c>
      <c r="AF1302" s="1" t="s">
        <v>422</v>
      </c>
      <c r="AG1302" s="1" t="s">
        <v>53</v>
      </c>
      <c r="AH1302" s="1" t="s">
        <v>49</v>
      </c>
      <c r="AI1302" s="1" t="s">
        <v>54</v>
      </c>
      <c r="AJ1302" s="1">
        <v>1</v>
      </c>
      <c r="AK1302" s="1" t="str">
        <f t="shared" si="20"/>
        <v xml:space="preserve"> =&lt;90</v>
      </c>
      <c r="AL1302" s="1" t="str">
        <f>VLOOKUP(C:C,[1]基础信息!B$1:D$65536,3,0)</f>
        <v>Jug</v>
      </c>
      <c r="AM1302" s="1" t="str">
        <f>VLOOKUP(C:C,[1]基础信息!B$1:E$65536,4,0)</f>
        <v>Marella XL</v>
      </c>
      <c r="AN1302" s="1" t="str">
        <f>VLOOKUP(C:C,[1]基础信息!B$1:F$65536,5,0)</f>
        <v>Mxplus</v>
      </c>
    </row>
    <row r="1303" spans="1:40">
      <c r="A1303" s="1" t="s">
        <v>41</v>
      </c>
      <c r="B1303" s="1" t="s">
        <v>42</v>
      </c>
      <c r="C1303" s="1" t="s">
        <v>2004</v>
      </c>
      <c r="D1303" s="1" t="s">
        <v>2005</v>
      </c>
      <c r="E1303" s="1" t="s">
        <v>2004</v>
      </c>
      <c r="F1303" s="1" t="s">
        <v>2006</v>
      </c>
      <c r="G1303" s="1" t="s">
        <v>3044</v>
      </c>
      <c r="H1303" s="1" t="s">
        <v>3045</v>
      </c>
      <c r="I1303" s="1" t="s">
        <v>49</v>
      </c>
      <c r="J1303" s="1" t="s">
        <v>48</v>
      </c>
      <c r="K1303" s="1">
        <v>96</v>
      </c>
      <c r="L1303" s="1">
        <v>0</v>
      </c>
      <c r="M1303" s="1">
        <v>0</v>
      </c>
      <c r="N1303" s="1">
        <v>96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 t="s">
        <v>49</v>
      </c>
      <c r="AA1303" s="1" t="s">
        <v>49</v>
      </c>
      <c r="AB1303" s="1" t="s">
        <v>49</v>
      </c>
      <c r="AC1303" s="1" t="s">
        <v>1377</v>
      </c>
      <c r="AD1303" s="1" t="s">
        <v>1378</v>
      </c>
      <c r="AE1303" s="1" t="s">
        <v>1377</v>
      </c>
      <c r="AF1303" s="1" t="s">
        <v>422</v>
      </c>
      <c r="AG1303" s="1" t="s">
        <v>53</v>
      </c>
      <c r="AH1303" s="1" t="s">
        <v>49</v>
      </c>
      <c r="AI1303" s="1" t="s">
        <v>54</v>
      </c>
      <c r="AJ1303" s="1">
        <v>1</v>
      </c>
      <c r="AK1303" s="1" t="str">
        <f t="shared" si="20"/>
        <v xml:space="preserve"> =&lt;90</v>
      </c>
      <c r="AL1303" s="1" t="str">
        <f>VLOOKUP(C:C,[1]基础信息!B$1:D$65536,3,0)</f>
        <v>Jug</v>
      </c>
      <c r="AM1303" s="1" t="str">
        <f>VLOOKUP(C:C,[1]基础信息!B$1:E$65536,4,0)</f>
        <v>Marella XL</v>
      </c>
      <c r="AN1303" s="1" t="str">
        <f>VLOOKUP(C:C,[1]基础信息!B$1:F$65536,5,0)</f>
        <v>Mxplus</v>
      </c>
    </row>
    <row r="1304" spans="1:40">
      <c r="A1304" s="1" t="s">
        <v>41</v>
      </c>
      <c r="B1304" s="1" t="s">
        <v>42</v>
      </c>
      <c r="C1304" s="1" t="s">
        <v>83</v>
      </c>
      <c r="D1304" s="1" t="s">
        <v>84</v>
      </c>
      <c r="E1304" s="1" t="s">
        <v>45</v>
      </c>
      <c r="F1304" s="1" t="s">
        <v>349</v>
      </c>
      <c r="G1304" s="1" t="s">
        <v>3046</v>
      </c>
      <c r="H1304" s="1" t="s">
        <v>3047</v>
      </c>
      <c r="I1304" s="1" t="s">
        <v>49</v>
      </c>
      <c r="J1304" s="1" t="s">
        <v>48</v>
      </c>
      <c r="K1304" s="1">
        <v>96</v>
      </c>
      <c r="L1304" s="1">
        <v>0</v>
      </c>
      <c r="M1304" s="1">
        <v>0</v>
      </c>
      <c r="N1304" s="1">
        <v>96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 t="s">
        <v>49</v>
      </c>
      <c r="AA1304" s="1" t="s">
        <v>49</v>
      </c>
      <c r="AB1304" s="1" t="s">
        <v>49</v>
      </c>
      <c r="AC1304" s="1" t="s">
        <v>88</v>
      </c>
      <c r="AD1304" s="1" t="s">
        <v>89</v>
      </c>
      <c r="AE1304" s="1" t="s">
        <v>88</v>
      </c>
      <c r="AF1304" s="1" t="s">
        <v>352</v>
      </c>
      <c r="AG1304" s="1" t="s">
        <v>53</v>
      </c>
      <c r="AH1304" s="1" t="s">
        <v>49</v>
      </c>
      <c r="AI1304" s="1" t="s">
        <v>54</v>
      </c>
      <c r="AJ1304" s="1">
        <v>1</v>
      </c>
      <c r="AK1304" s="1" t="str">
        <f t="shared" si="20"/>
        <v xml:space="preserve"> =&lt;90</v>
      </c>
      <c r="AL1304" s="1" t="str">
        <f>VLOOKUP(C:C,[1]基础信息!B$1:D$65536,3,0)</f>
        <v>Jug</v>
      </c>
      <c r="AM1304" s="1" t="str">
        <f>VLOOKUP(C:C,[1]基础信息!B$1:E$65536,4,0)</f>
        <v>Mxplus</v>
      </c>
      <c r="AN1304" s="1" t="str">
        <f>VLOOKUP(C:C,[1]基础信息!B$1:F$65536,5,0)</f>
        <v>Blue</v>
      </c>
    </row>
    <row r="1305" spans="1:40">
      <c r="A1305" s="1" t="s">
        <v>41</v>
      </c>
      <c r="B1305" s="1" t="s">
        <v>42</v>
      </c>
      <c r="C1305" s="1" t="s">
        <v>301</v>
      </c>
      <c r="D1305" s="1" t="s">
        <v>302</v>
      </c>
      <c r="E1305" s="1" t="s">
        <v>45</v>
      </c>
      <c r="F1305" s="1" t="s">
        <v>3048</v>
      </c>
      <c r="G1305" s="1" t="s">
        <v>3049</v>
      </c>
      <c r="H1305" s="1" t="s">
        <v>3050</v>
      </c>
      <c r="I1305" s="1" t="s">
        <v>49</v>
      </c>
      <c r="J1305" s="1" t="s">
        <v>48</v>
      </c>
      <c r="K1305" s="1">
        <v>96</v>
      </c>
      <c r="L1305" s="1">
        <v>0</v>
      </c>
      <c r="M1305" s="1">
        <v>0</v>
      </c>
      <c r="N1305" s="1">
        <v>96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 t="s">
        <v>49</v>
      </c>
      <c r="AA1305" s="1" t="s">
        <v>49</v>
      </c>
      <c r="AB1305" s="1" t="s">
        <v>49</v>
      </c>
      <c r="AC1305" s="1" t="s">
        <v>1408</v>
      </c>
      <c r="AD1305" s="1" t="s">
        <v>1409</v>
      </c>
      <c r="AE1305" s="1" t="s">
        <v>1408</v>
      </c>
      <c r="AF1305" s="1" t="s">
        <v>3051</v>
      </c>
      <c r="AG1305" s="1" t="s">
        <v>53</v>
      </c>
      <c r="AH1305" s="1" t="s">
        <v>49</v>
      </c>
      <c r="AI1305" s="1" t="s">
        <v>54</v>
      </c>
      <c r="AJ1305" s="1">
        <v>1</v>
      </c>
      <c r="AK1305" s="1" t="str">
        <f t="shared" si="20"/>
        <v xml:space="preserve"> =&lt;90</v>
      </c>
      <c r="AL1305" s="1" t="str">
        <f>VLOOKUP(C:C,[1]基础信息!B$1:D$65536,3,0)</f>
        <v>Jug</v>
      </c>
      <c r="AM1305" s="1" t="str">
        <f>VLOOKUP(C:C,[1]基础信息!B$1:E$65536,4,0)</f>
        <v>Aluna</v>
      </c>
      <c r="AN1305" s="1" t="str">
        <f>VLOOKUP(C:C,[1]基础信息!B$1:F$65536,5,0)</f>
        <v>Blue</v>
      </c>
    </row>
    <row r="1306" spans="1:40">
      <c r="A1306" s="1" t="s">
        <v>41</v>
      </c>
      <c r="B1306" s="1" t="s">
        <v>42</v>
      </c>
      <c r="C1306" s="1" t="s">
        <v>301</v>
      </c>
      <c r="D1306" s="1" t="s">
        <v>302</v>
      </c>
      <c r="E1306" s="1" t="s">
        <v>45</v>
      </c>
      <c r="F1306" s="1" t="s">
        <v>3048</v>
      </c>
      <c r="G1306" s="1" t="s">
        <v>3052</v>
      </c>
      <c r="H1306" s="1" t="s">
        <v>3053</v>
      </c>
      <c r="I1306" s="1" t="s">
        <v>49</v>
      </c>
      <c r="J1306" s="1" t="s">
        <v>48</v>
      </c>
      <c r="K1306" s="1">
        <v>96</v>
      </c>
      <c r="L1306" s="1">
        <v>0</v>
      </c>
      <c r="M1306" s="1">
        <v>0</v>
      </c>
      <c r="N1306" s="1">
        <v>96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 t="s">
        <v>49</v>
      </c>
      <c r="AA1306" s="1" t="s">
        <v>49</v>
      </c>
      <c r="AB1306" s="1" t="s">
        <v>49</v>
      </c>
      <c r="AC1306" s="1" t="s">
        <v>1408</v>
      </c>
      <c r="AD1306" s="1" t="s">
        <v>1409</v>
      </c>
      <c r="AE1306" s="1" t="s">
        <v>1408</v>
      </c>
      <c r="AF1306" s="1" t="s">
        <v>3051</v>
      </c>
      <c r="AG1306" s="1" t="s">
        <v>53</v>
      </c>
      <c r="AH1306" s="1" t="s">
        <v>49</v>
      </c>
      <c r="AI1306" s="1" t="s">
        <v>54</v>
      </c>
      <c r="AJ1306" s="1">
        <v>1</v>
      </c>
      <c r="AK1306" s="1" t="str">
        <f t="shared" si="20"/>
        <v xml:space="preserve"> =&lt;90</v>
      </c>
      <c r="AL1306" s="1" t="str">
        <f>VLOOKUP(C:C,[1]基础信息!B$1:D$65536,3,0)</f>
        <v>Jug</v>
      </c>
      <c r="AM1306" s="1" t="str">
        <f>VLOOKUP(C:C,[1]基础信息!B$1:E$65536,4,0)</f>
        <v>Aluna</v>
      </c>
      <c r="AN1306" s="1" t="str">
        <f>VLOOKUP(C:C,[1]基础信息!B$1:F$65536,5,0)</f>
        <v>Blue</v>
      </c>
    </row>
    <row r="1307" spans="1:40">
      <c r="A1307" s="1" t="s">
        <v>41</v>
      </c>
      <c r="B1307" s="1" t="s">
        <v>42</v>
      </c>
      <c r="C1307" s="1" t="s">
        <v>502</v>
      </c>
      <c r="D1307" s="1" t="s">
        <v>503</v>
      </c>
      <c r="E1307" s="1" t="s">
        <v>502</v>
      </c>
      <c r="F1307" s="1" t="s">
        <v>2067</v>
      </c>
      <c r="G1307" s="1" t="s">
        <v>3054</v>
      </c>
      <c r="H1307" s="1" t="s">
        <v>3055</v>
      </c>
      <c r="I1307" s="1" t="s">
        <v>49</v>
      </c>
      <c r="J1307" s="1" t="s">
        <v>48</v>
      </c>
      <c r="K1307" s="1">
        <v>96</v>
      </c>
      <c r="L1307" s="1">
        <v>0</v>
      </c>
      <c r="M1307" s="1">
        <v>0</v>
      </c>
      <c r="N1307" s="1">
        <v>96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 t="s">
        <v>49</v>
      </c>
      <c r="AA1307" s="1" t="s">
        <v>49</v>
      </c>
      <c r="AB1307" s="1" t="s">
        <v>49</v>
      </c>
      <c r="AC1307" s="1" t="s">
        <v>2070</v>
      </c>
      <c r="AD1307" s="1" t="s">
        <v>2071</v>
      </c>
      <c r="AE1307" s="1" t="s">
        <v>2070</v>
      </c>
      <c r="AF1307" s="1" t="s">
        <v>2072</v>
      </c>
      <c r="AG1307" s="1" t="s">
        <v>338</v>
      </c>
      <c r="AH1307" s="1" t="s">
        <v>49</v>
      </c>
      <c r="AI1307" s="1" t="s">
        <v>54</v>
      </c>
      <c r="AJ1307" s="1">
        <v>1</v>
      </c>
      <c r="AK1307" s="1" t="str">
        <f t="shared" si="20"/>
        <v xml:space="preserve"> =&lt;90</v>
      </c>
      <c r="AL1307" s="1" t="str">
        <f>VLOOKUP(C:C,[1]基础信息!B$1:D$65536,3,0)</f>
        <v>Jug</v>
      </c>
      <c r="AM1307" s="1" t="str">
        <f>VLOOKUP(C:C,[1]基础信息!B$1:E$65536,4,0)</f>
        <v>Marella XL</v>
      </c>
      <c r="AN1307" s="1" t="str">
        <f>VLOOKUP(C:C,[1]基础信息!B$1:F$65536,5,0)</f>
        <v>Blue</v>
      </c>
    </row>
    <row r="1308" spans="1:40">
      <c r="A1308" s="1" t="s">
        <v>41</v>
      </c>
      <c r="B1308" s="1" t="s">
        <v>42</v>
      </c>
      <c r="C1308" s="1" t="s">
        <v>502</v>
      </c>
      <c r="D1308" s="1" t="s">
        <v>503</v>
      </c>
      <c r="E1308" s="1" t="s">
        <v>502</v>
      </c>
      <c r="F1308" s="1" t="s">
        <v>2067</v>
      </c>
      <c r="G1308" s="1" t="s">
        <v>3056</v>
      </c>
      <c r="H1308" s="1" t="s">
        <v>3057</v>
      </c>
      <c r="I1308" s="1" t="s">
        <v>49</v>
      </c>
      <c r="J1308" s="1" t="s">
        <v>48</v>
      </c>
      <c r="K1308" s="1">
        <v>96</v>
      </c>
      <c r="L1308" s="1">
        <v>0</v>
      </c>
      <c r="M1308" s="1">
        <v>0</v>
      </c>
      <c r="N1308" s="1">
        <v>96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 t="s">
        <v>49</v>
      </c>
      <c r="AA1308" s="1" t="s">
        <v>49</v>
      </c>
      <c r="AB1308" s="1" t="s">
        <v>49</v>
      </c>
      <c r="AC1308" s="1" t="s">
        <v>2070</v>
      </c>
      <c r="AD1308" s="1" t="s">
        <v>2071</v>
      </c>
      <c r="AE1308" s="1" t="s">
        <v>2070</v>
      </c>
      <c r="AF1308" s="1" t="s">
        <v>2072</v>
      </c>
      <c r="AG1308" s="1" t="s">
        <v>338</v>
      </c>
      <c r="AH1308" s="1" t="s">
        <v>49</v>
      </c>
      <c r="AI1308" s="1" t="s">
        <v>54</v>
      </c>
      <c r="AJ1308" s="1">
        <v>1</v>
      </c>
      <c r="AK1308" s="1" t="str">
        <f t="shared" si="20"/>
        <v xml:space="preserve"> =&lt;90</v>
      </c>
      <c r="AL1308" s="1" t="str">
        <f>VLOOKUP(C:C,[1]基础信息!B$1:D$65536,3,0)</f>
        <v>Jug</v>
      </c>
      <c r="AM1308" s="1" t="str">
        <f>VLOOKUP(C:C,[1]基础信息!B$1:E$65536,4,0)</f>
        <v>Marella XL</v>
      </c>
      <c r="AN1308" s="1" t="str">
        <f>VLOOKUP(C:C,[1]基础信息!B$1:F$65536,5,0)</f>
        <v>Blue</v>
      </c>
    </row>
    <row r="1309" spans="1:40">
      <c r="A1309" s="1" t="s">
        <v>41</v>
      </c>
      <c r="B1309" s="1" t="s">
        <v>42</v>
      </c>
      <c r="C1309" s="1" t="s">
        <v>301</v>
      </c>
      <c r="D1309" s="1" t="s">
        <v>302</v>
      </c>
      <c r="E1309" s="1" t="s">
        <v>45</v>
      </c>
      <c r="F1309" s="1" t="s">
        <v>3048</v>
      </c>
      <c r="G1309" s="1" t="s">
        <v>3058</v>
      </c>
      <c r="H1309" s="1" t="s">
        <v>3059</v>
      </c>
      <c r="I1309" s="1" t="s">
        <v>49</v>
      </c>
      <c r="J1309" s="1" t="s">
        <v>48</v>
      </c>
      <c r="K1309" s="1">
        <v>96</v>
      </c>
      <c r="L1309" s="1">
        <v>0</v>
      </c>
      <c r="M1309" s="1">
        <v>0</v>
      </c>
      <c r="N1309" s="1">
        <v>96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 t="s">
        <v>49</v>
      </c>
      <c r="AA1309" s="1" t="s">
        <v>49</v>
      </c>
      <c r="AB1309" s="1" t="s">
        <v>49</v>
      </c>
      <c r="AC1309" s="1" t="s">
        <v>1408</v>
      </c>
      <c r="AD1309" s="1" t="s">
        <v>1409</v>
      </c>
      <c r="AE1309" s="1" t="s">
        <v>1408</v>
      </c>
      <c r="AF1309" s="1" t="s">
        <v>3051</v>
      </c>
      <c r="AG1309" s="1" t="s">
        <v>53</v>
      </c>
      <c r="AH1309" s="1" t="s">
        <v>49</v>
      </c>
      <c r="AI1309" s="1" t="s">
        <v>54</v>
      </c>
      <c r="AJ1309" s="1">
        <v>1</v>
      </c>
      <c r="AK1309" s="1" t="str">
        <f t="shared" si="20"/>
        <v xml:space="preserve"> =&lt;90</v>
      </c>
      <c r="AL1309" s="1" t="str">
        <f>VLOOKUP(C:C,[1]基础信息!B$1:D$65536,3,0)</f>
        <v>Jug</v>
      </c>
      <c r="AM1309" s="1" t="str">
        <f>VLOOKUP(C:C,[1]基础信息!B$1:E$65536,4,0)</f>
        <v>Aluna</v>
      </c>
      <c r="AN1309" s="1" t="str">
        <f>VLOOKUP(C:C,[1]基础信息!B$1:F$65536,5,0)</f>
        <v>Blue</v>
      </c>
    </row>
    <row r="1310" spans="1:40">
      <c r="A1310" s="1" t="s">
        <v>41</v>
      </c>
      <c r="B1310" s="1" t="s">
        <v>42</v>
      </c>
      <c r="C1310" s="1" t="s">
        <v>301</v>
      </c>
      <c r="D1310" s="1" t="s">
        <v>302</v>
      </c>
      <c r="E1310" s="1" t="s">
        <v>45</v>
      </c>
      <c r="F1310" s="1" t="s">
        <v>3048</v>
      </c>
      <c r="G1310" s="1" t="s">
        <v>3060</v>
      </c>
      <c r="H1310" s="1" t="s">
        <v>3061</v>
      </c>
      <c r="I1310" s="1" t="s">
        <v>49</v>
      </c>
      <c r="J1310" s="1" t="s">
        <v>48</v>
      </c>
      <c r="K1310" s="1">
        <v>96</v>
      </c>
      <c r="L1310" s="1">
        <v>0</v>
      </c>
      <c r="M1310" s="1">
        <v>0</v>
      </c>
      <c r="N1310" s="1">
        <v>96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 t="s">
        <v>49</v>
      </c>
      <c r="AA1310" s="1" t="s">
        <v>49</v>
      </c>
      <c r="AB1310" s="1" t="s">
        <v>49</v>
      </c>
      <c r="AC1310" s="1" t="s">
        <v>1408</v>
      </c>
      <c r="AD1310" s="1" t="s">
        <v>1409</v>
      </c>
      <c r="AE1310" s="1" t="s">
        <v>1408</v>
      </c>
      <c r="AF1310" s="1" t="s">
        <v>3051</v>
      </c>
      <c r="AG1310" s="1" t="s">
        <v>53</v>
      </c>
      <c r="AH1310" s="1" t="s">
        <v>49</v>
      </c>
      <c r="AI1310" s="1" t="s">
        <v>54</v>
      </c>
      <c r="AJ1310" s="1">
        <v>1</v>
      </c>
      <c r="AK1310" s="1" t="str">
        <f t="shared" si="20"/>
        <v xml:space="preserve"> =&lt;90</v>
      </c>
      <c r="AL1310" s="1" t="str">
        <f>VLOOKUP(C:C,[1]基础信息!B$1:D$65536,3,0)</f>
        <v>Jug</v>
      </c>
      <c r="AM1310" s="1" t="str">
        <f>VLOOKUP(C:C,[1]基础信息!B$1:E$65536,4,0)</f>
        <v>Aluna</v>
      </c>
      <c r="AN1310" s="1" t="str">
        <f>VLOOKUP(C:C,[1]基础信息!B$1:F$65536,5,0)</f>
        <v>Blue</v>
      </c>
    </row>
    <row r="1311" spans="1:40">
      <c r="A1311" s="1" t="s">
        <v>41</v>
      </c>
      <c r="B1311" s="1" t="s">
        <v>42</v>
      </c>
      <c r="C1311" s="1" t="s">
        <v>301</v>
      </c>
      <c r="D1311" s="1" t="s">
        <v>302</v>
      </c>
      <c r="E1311" s="1" t="s">
        <v>45</v>
      </c>
      <c r="F1311" s="1" t="s">
        <v>3048</v>
      </c>
      <c r="G1311" s="1" t="s">
        <v>3062</v>
      </c>
      <c r="H1311" s="1" t="s">
        <v>3063</v>
      </c>
      <c r="I1311" s="1" t="s">
        <v>49</v>
      </c>
      <c r="J1311" s="1" t="s">
        <v>48</v>
      </c>
      <c r="K1311" s="1">
        <v>96</v>
      </c>
      <c r="L1311" s="1">
        <v>0</v>
      </c>
      <c r="M1311" s="1">
        <v>0</v>
      </c>
      <c r="N1311" s="1">
        <v>96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 t="s">
        <v>49</v>
      </c>
      <c r="AA1311" s="1" t="s">
        <v>49</v>
      </c>
      <c r="AB1311" s="1" t="s">
        <v>49</v>
      </c>
      <c r="AC1311" s="1" t="s">
        <v>1408</v>
      </c>
      <c r="AD1311" s="1" t="s">
        <v>1409</v>
      </c>
      <c r="AE1311" s="1" t="s">
        <v>1408</v>
      </c>
      <c r="AF1311" s="1" t="s">
        <v>3051</v>
      </c>
      <c r="AG1311" s="1" t="s">
        <v>53</v>
      </c>
      <c r="AH1311" s="1" t="s">
        <v>49</v>
      </c>
      <c r="AI1311" s="1" t="s">
        <v>54</v>
      </c>
      <c r="AJ1311" s="1">
        <v>1</v>
      </c>
      <c r="AK1311" s="1" t="str">
        <f t="shared" si="20"/>
        <v xml:space="preserve"> =&lt;90</v>
      </c>
      <c r="AL1311" s="1" t="str">
        <f>VLOOKUP(C:C,[1]基础信息!B$1:D$65536,3,0)</f>
        <v>Jug</v>
      </c>
      <c r="AM1311" s="1" t="str">
        <f>VLOOKUP(C:C,[1]基础信息!B$1:E$65536,4,0)</f>
        <v>Aluna</v>
      </c>
      <c r="AN1311" s="1" t="str">
        <f>VLOOKUP(C:C,[1]基础信息!B$1:F$65536,5,0)</f>
        <v>Blue</v>
      </c>
    </row>
    <row r="1312" spans="1:40">
      <c r="A1312" s="1" t="s">
        <v>41</v>
      </c>
      <c r="B1312" s="1" t="s">
        <v>42</v>
      </c>
      <c r="C1312" s="1" t="s">
        <v>301</v>
      </c>
      <c r="D1312" s="1" t="s">
        <v>302</v>
      </c>
      <c r="E1312" s="1" t="s">
        <v>45</v>
      </c>
      <c r="F1312" s="1" t="s">
        <v>3048</v>
      </c>
      <c r="G1312" s="1" t="s">
        <v>3064</v>
      </c>
      <c r="H1312" s="1" t="s">
        <v>3065</v>
      </c>
      <c r="I1312" s="1" t="s">
        <v>49</v>
      </c>
      <c r="J1312" s="1" t="s">
        <v>48</v>
      </c>
      <c r="K1312" s="1">
        <v>96</v>
      </c>
      <c r="L1312" s="1">
        <v>0</v>
      </c>
      <c r="M1312" s="1">
        <v>0</v>
      </c>
      <c r="N1312" s="1">
        <v>96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 t="s">
        <v>49</v>
      </c>
      <c r="AA1312" s="1" t="s">
        <v>49</v>
      </c>
      <c r="AB1312" s="1" t="s">
        <v>49</v>
      </c>
      <c r="AC1312" s="1" t="s">
        <v>1408</v>
      </c>
      <c r="AD1312" s="1" t="s">
        <v>1409</v>
      </c>
      <c r="AE1312" s="1" t="s">
        <v>1408</v>
      </c>
      <c r="AF1312" s="1" t="s">
        <v>3051</v>
      </c>
      <c r="AG1312" s="1" t="s">
        <v>53</v>
      </c>
      <c r="AH1312" s="1" t="s">
        <v>49</v>
      </c>
      <c r="AI1312" s="1" t="s">
        <v>54</v>
      </c>
      <c r="AJ1312" s="1">
        <v>1</v>
      </c>
      <c r="AK1312" s="1" t="str">
        <f t="shared" si="20"/>
        <v xml:space="preserve"> =&lt;90</v>
      </c>
      <c r="AL1312" s="1" t="str">
        <f>VLOOKUP(C:C,[1]基础信息!B$1:D$65536,3,0)</f>
        <v>Jug</v>
      </c>
      <c r="AM1312" s="1" t="str">
        <f>VLOOKUP(C:C,[1]基础信息!B$1:E$65536,4,0)</f>
        <v>Aluna</v>
      </c>
      <c r="AN1312" s="1" t="str">
        <f>VLOOKUP(C:C,[1]基础信息!B$1:F$65536,5,0)</f>
        <v>Blue</v>
      </c>
    </row>
    <row r="1313" spans="1:40">
      <c r="A1313" s="1" t="s">
        <v>41</v>
      </c>
      <c r="B1313" s="1" t="s">
        <v>42</v>
      </c>
      <c r="C1313" s="1" t="s">
        <v>301</v>
      </c>
      <c r="D1313" s="1" t="s">
        <v>302</v>
      </c>
      <c r="E1313" s="1" t="s">
        <v>45</v>
      </c>
      <c r="F1313" s="1" t="s">
        <v>3048</v>
      </c>
      <c r="G1313" s="1" t="s">
        <v>3066</v>
      </c>
      <c r="H1313" s="1" t="s">
        <v>3067</v>
      </c>
      <c r="I1313" s="1" t="s">
        <v>49</v>
      </c>
      <c r="J1313" s="1" t="s">
        <v>48</v>
      </c>
      <c r="K1313" s="1">
        <v>96</v>
      </c>
      <c r="L1313" s="1">
        <v>0</v>
      </c>
      <c r="M1313" s="1">
        <v>0</v>
      </c>
      <c r="N1313" s="1">
        <v>96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 t="s">
        <v>49</v>
      </c>
      <c r="AA1313" s="1" t="s">
        <v>49</v>
      </c>
      <c r="AB1313" s="1" t="s">
        <v>49</v>
      </c>
      <c r="AC1313" s="1" t="s">
        <v>1408</v>
      </c>
      <c r="AD1313" s="1" t="s">
        <v>1409</v>
      </c>
      <c r="AE1313" s="1" t="s">
        <v>1408</v>
      </c>
      <c r="AF1313" s="1" t="s">
        <v>3051</v>
      </c>
      <c r="AG1313" s="1" t="s">
        <v>53</v>
      </c>
      <c r="AH1313" s="1" t="s">
        <v>49</v>
      </c>
      <c r="AI1313" s="1" t="s">
        <v>54</v>
      </c>
      <c r="AJ1313" s="1">
        <v>1</v>
      </c>
      <c r="AK1313" s="1" t="str">
        <f t="shared" si="20"/>
        <v xml:space="preserve"> =&lt;90</v>
      </c>
      <c r="AL1313" s="1" t="str">
        <f>VLOOKUP(C:C,[1]基础信息!B$1:D$65536,3,0)</f>
        <v>Jug</v>
      </c>
      <c r="AM1313" s="1" t="str">
        <f>VLOOKUP(C:C,[1]基础信息!B$1:E$65536,4,0)</f>
        <v>Aluna</v>
      </c>
      <c r="AN1313" s="1" t="str">
        <f>VLOOKUP(C:C,[1]基础信息!B$1:F$65536,5,0)</f>
        <v>Blue</v>
      </c>
    </row>
    <row r="1314" spans="1:40">
      <c r="A1314" s="1" t="s">
        <v>41</v>
      </c>
      <c r="B1314" s="1" t="s">
        <v>42</v>
      </c>
      <c r="C1314" s="1" t="s">
        <v>301</v>
      </c>
      <c r="D1314" s="1" t="s">
        <v>302</v>
      </c>
      <c r="E1314" s="1" t="s">
        <v>45</v>
      </c>
      <c r="F1314" s="1" t="s">
        <v>3048</v>
      </c>
      <c r="G1314" s="1" t="s">
        <v>3068</v>
      </c>
      <c r="H1314" s="1" t="s">
        <v>3069</v>
      </c>
      <c r="I1314" s="1" t="s">
        <v>49</v>
      </c>
      <c r="J1314" s="1" t="s">
        <v>48</v>
      </c>
      <c r="K1314" s="1">
        <v>96</v>
      </c>
      <c r="L1314" s="1">
        <v>0</v>
      </c>
      <c r="M1314" s="1">
        <v>0</v>
      </c>
      <c r="N1314" s="1">
        <v>96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 t="s">
        <v>49</v>
      </c>
      <c r="AA1314" s="1" t="s">
        <v>49</v>
      </c>
      <c r="AB1314" s="1" t="s">
        <v>49</v>
      </c>
      <c r="AC1314" s="1" t="s">
        <v>1408</v>
      </c>
      <c r="AD1314" s="1" t="s">
        <v>1409</v>
      </c>
      <c r="AE1314" s="1" t="s">
        <v>1408</v>
      </c>
      <c r="AF1314" s="1" t="s">
        <v>3051</v>
      </c>
      <c r="AG1314" s="1" t="s">
        <v>53</v>
      </c>
      <c r="AH1314" s="1" t="s">
        <v>49</v>
      </c>
      <c r="AI1314" s="1" t="s">
        <v>54</v>
      </c>
      <c r="AJ1314" s="1">
        <v>1</v>
      </c>
      <c r="AK1314" s="1" t="str">
        <f t="shared" si="20"/>
        <v xml:space="preserve"> =&lt;90</v>
      </c>
      <c r="AL1314" s="1" t="str">
        <f>VLOOKUP(C:C,[1]基础信息!B$1:D$65536,3,0)</f>
        <v>Jug</v>
      </c>
      <c r="AM1314" s="1" t="str">
        <f>VLOOKUP(C:C,[1]基础信息!B$1:E$65536,4,0)</f>
        <v>Aluna</v>
      </c>
      <c r="AN1314" s="1" t="str">
        <f>VLOOKUP(C:C,[1]基础信息!B$1:F$65536,5,0)</f>
        <v>Blue</v>
      </c>
    </row>
    <row r="1315" spans="1:40">
      <c r="A1315" s="1" t="s">
        <v>41</v>
      </c>
      <c r="B1315" s="1" t="s">
        <v>42</v>
      </c>
      <c r="C1315" s="1" t="s">
        <v>2749</v>
      </c>
      <c r="D1315" s="1" t="s">
        <v>2700</v>
      </c>
      <c r="E1315" s="1" t="s">
        <v>45</v>
      </c>
      <c r="F1315" s="1" t="s">
        <v>2750</v>
      </c>
      <c r="G1315" s="1" t="s">
        <v>3070</v>
      </c>
      <c r="H1315" s="1" t="s">
        <v>45</v>
      </c>
      <c r="I1315" s="1" t="s">
        <v>45</v>
      </c>
      <c r="J1315" s="1" t="s">
        <v>48</v>
      </c>
      <c r="K1315" s="1">
        <v>300</v>
      </c>
      <c r="L1315" s="1">
        <v>0</v>
      </c>
      <c r="M1315" s="1">
        <v>0</v>
      </c>
      <c r="N1315" s="1">
        <v>300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 t="s">
        <v>49</v>
      </c>
      <c r="AA1315" s="1" t="s">
        <v>49</v>
      </c>
      <c r="AB1315" s="1" t="s">
        <v>49</v>
      </c>
      <c r="AC1315" s="1" t="s">
        <v>2658</v>
      </c>
      <c r="AD1315" s="1" t="s">
        <v>2659</v>
      </c>
      <c r="AE1315" s="1" t="s">
        <v>2658</v>
      </c>
      <c r="AF1315" s="1" t="s">
        <v>49</v>
      </c>
      <c r="AG1315" s="1" t="s">
        <v>53</v>
      </c>
      <c r="AH1315" s="1" t="s">
        <v>49</v>
      </c>
      <c r="AI1315" s="1" t="s">
        <v>54</v>
      </c>
      <c r="AJ1315" s="1">
        <v>1</v>
      </c>
      <c r="AK1315" s="1" t="str">
        <f t="shared" si="20"/>
        <v xml:space="preserve"> =&lt;90</v>
      </c>
      <c r="AL1315" s="1" t="e">
        <f>VLOOKUP(C:C,[1]基础信息!B$1:D$65536,3,0)</f>
        <v>#N/A</v>
      </c>
      <c r="AM1315" s="1" t="e">
        <f>VLOOKUP(C:C,[1]基础信息!B$1:E$65536,4,0)</f>
        <v>#N/A</v>
      </c>
      <c r="AN1315" s="1" t="e">
        <f>VLOOKUP(C:C,[1]基础信息!B$1:F$65536,5,0)</f>
        <v>#N/A</v>
      </c>
    </row>
    <row r="1316" spans="1:40">
      <c r="A1316" s="1" t="s">
        <v>41</v>
      </c>
      <c r="B1316" s="1" t="s">
        <v>42</v>
      </c>
      <c r="C1316" s="1" t="s">
        <v>301</v>
      </c>
      <c r="D1316" s="1" t="s">
        <v>302</v>
      </c>
      <c r="E1316" s="1" t="s">
        <v>45</v>
      </c>
      <c r="F1316" s="1" t="s">
        <v>3048</v>
      </c>
      <c r="G1316" s="1" t="s">
        <v>3071</v>
      </c>
      <c r="H1316" s="1" t="s">
        <v>3072</v>
      </c>
      <c r="I1316" s="1" t="s">
        <v>49</v>
      </c>
      <c r="J1316" s="1" t="s">
        <v>48</v>
      </c>
      <c r="K1316" s="1">
        <v>96</v>
      </c>
      <c r="L1316" s="1">
        <v>0</v>
      </c>
      <c r="M1316" s="1">
        <v>0</v>
      </c>
      <c r="N1316" s="1">
        <v>96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 t="s">
        <v>49</v>
      </c>
      <c r="AA1316" s="1" t="s">
        <v>49</v>
      </c>
      <c r="AB1316" s="1" t="s">
        <v>49</v>
      </c>
      <c r="AC1316" s="1" t="s">
        <v>1408</v>
      </c>
      <c r="AD1316" s="1" t="s">
        <v>1409</v>
      </c>
      <c r="AE1316" s="1" t="s">
        <v>1408</v>
      </c>
      <c r="AF1316" s="1" t="s">
        <v>3051</v>
      </c>
      <c r="AG1316" s="1" t="s">
        <v>53</v>
      </c>
      <c r="AH1316" s="1" t="s">
        <v>49</v>
      </c>
      <c r="AI1316" s="1" t="s">
        <v>54</v>
      </c>
      <c r="AJ1316" s="1">
        <v>1</v>
      </c>
      <c r="AK1316" s="1" t="str">
        <f t="shared" si="20"/>
        <v xml:space="preserve"> =&lt;90</v>
      </c>
      <c r="AL1316" s="1" t="str">
        <f>VLOOKUP(C:C,[1]基础信息!B$1:D$65536,3,0)</f>
        <v>Jug</v>
      </c>
      <c r="AM1316" s="1" t="str">
        <f>VLOOKUP(C:C,[1]基础信息!B$1:E$65536,4,0)</f>
        <v>Aluna</v>
      </c>
      <c r="AN1316" s="1" t="str">
        <f>VLOOKUP(C:C,[1]基础信息!B$1:F$65536,5,0)</f>
        <v>Blue</v>
      </c>
    </row>
    <row r="1317" spans="1:40">
      <c r="A1317" s="1" t="s">
        <v>41</v>
      </c>
      <c r="B1317" s="1" t="s">
        <v>42</v>
      </c>
      <c r="C1317" s="1" t="s">
        <v>301</v>
      </c>
      <c r="D1317" s="1" t="s">
        <v>302</v>
      </c>
      <c r="E1317" s="1" t="s">
        <v>45</v>
      </c>
      <c r="F1317" s="1" t="s">
        <v>3048</v>
      </c>
      <c r="G1317" s="1" t="s">
        <v>3073</v>
      </c>
      <c r="H1317" s="1" t="s">
        <v>3074</v>
      </c>
      <c r="I1317" s="1" t="s">
        <v>49</v>
      </c>
      <c r="J1317" s="1" t="s">
        <v>48</v>
      </c>
      <c r="K1317" s="1">
        <v>96</v>
      </c>
      <c r="L1317" s="1">
        <v>0</v>
      </c>
      <c r="M1317" s="1">
        <v>0</v>
      </c>
      <c r="N1317" s="1">
        <v>96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 t="s">
        <v>49</v>
      </c>
      <c r="AA1317" s="1" t="s">
        <v>49</v>
      </c>
      <c r="AB1317" s="1" t="s">
        <v>49</v>
      </c>
      <c r="AC1317" s="1" t="s">
        <v>1408</v>
      </c>
      <c r="AD1317" s="1" t="s">
        <v>1409</v>
      </c>
      <c r="AE1317" s="1" t="s">
        <v>1408</v>
      </c>
      <c r="AF1317" s="1" t="s">
        <v>3051</v>
      </c>
      <c r="AG1317" s="1" t="s">
        <v>53</v>
      </c>
      <c r="AH1317" s="1" t="s">
        <v>49</v>
      </c>
      <c r="AI1317" s="1" t="s">
        <v>54</v>
      </c>
      <c r="AJ1317" s="1">
        <v>1</v>
      </c>
      <c r="AK1317" s="1" t="str">
        <f t="shared" si="20"/>
        <v xml:space="preserve"> =&lt;90</v>
      </c>
      <c r="AL1317" s="1" t="str">
        <f>VLOOKUP(C:C,[1]基础信息!B$1:D$65536,3,0)</f>
        <v>Jug</v>
      </c>
      <c r="AM1317" s="1" t="str">
        <f>VLOOKUP(C:C,[1]基础信息!B$1:E$65536,4,0)</f>
        <v>Aluna</v>
      </c>
      <c r="AN1317" s="1" t="str">
        <f>VLOOKUP(C:C,[1]基础信息!B$1:F$65536,5,0)</f>
        <v>Blue</v>
      </c>
    </row>
    <row r="1318" spans="1:40">
      <c r="A1318" s="1" t="s">
        <v>41</v>
      </c>
      <c r="B1318" s="1" t="s">
        <v>42</v>
      </c>
      <c r="C1318" s="1" t="s">
        <v>301</v>
      </c>
      <c r="D1318" s="1" t="s">
        <v>302</v>
      </c>
      <c r="E1318" s="1" t="s">
        <v>45</v>
      </c>
      <c r="F1318" s="1" t="s">
        <v>3048</v>
      </c>
      <c r="G1318" s="1" t="s">
        <v>3075</v>
      </c>
      <c r="H1318" s="1" t="s">
        <v>3076</v>
      </c>
      <c r="I1318" s="1" t="s">
        <v>49</v>
      </c>
      <c r="J1318" s="1" t="s">
        <v>48</v>
      </c>
      <c r="K1318" s="1">
        <v>96</v>
      </c>
      <c r="L1318" s="1">
        <v>0</v>
      </c>
      <c r="M1318" s="1">
        <v>0</v>
      </c>
      <c r="N1318" s="1">
        <v>96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 t="s">
        <v>49</v>
      </c>
      <c r="AA1318" s="1" t="s">
        <v>49</v>
      </c>
      <c r="AB1318" s="1" t="s">
        <v>49</v>
      </c>
      <c r="AC1318" s="1" t="s">
        <v>1408</v>
      </c>
      <c r="AD1318" s="1" t="s">
        <v>1409</v>
      </c>
      <c r="AE1318" s="1" t="s">
        <v>1408</v>
      </c>
      <c r="AF1318" s="1" t="s">
        <v>3051</v>
      </c>
      <c r="AG1318" s="1" t="s">
        <v>53</v>
      </c>
      <c r="AH1318" s="1" t="s">
        <v>49</v>
      </c>
      <c r="AI1318" s="1" t="s">
        <v>54</v>
      </c>
      <c r="AJ1318" s="1">
        <v>1</v>
      </c>
      <c r="AK1318" s="1" t="str">
        <f t="shared" si="20"/>
        <v xml:space="preserve"> =&lt;90</v>
      </c>
      <c r="AL1318" s="1" t="str">
        <f>VLOOKUP(C:C,[1]基础信息!B$1:D$65536,3,0)</f>
        <v>Jug</v>
      </c>
      <c r="AM1318" s="1" t="str">
        <f>VLOOKUP(C:C,[1]基础信息!B$1:E$65536,4,0)</f>
        <v>Aluna</v>
      </c>
      <c r="AN1318" s="1" t="str">
        <f>VLOOKUP(C:C,[1]基础信息!B$1:F$65536,5,0)</f>
        <v>Blue</v>
      </c>
    </row>
    <row r="1319" spans="1:40">
      <c r="A1319" s="1" t="s">
        <v>41</v>
      </c>
      <c r="B1319" s="1" t="s">
        <v>42</v>
      </c>
      <c r="C1319" s="1" t="s">
        <v>502</v>
      </c>
      <c r="D1319" s="1" t="s">
        <v>503</v>
      </c>
      <c r="E1319" s="1" t="s">
        <v>502</v>
      </c>
      <c r="F1319" s="1" t="s">
        <v>2067</v>
      </c>
      <c r="G1319" s="1" t="s">
        <v>3077</v>
      </c>
      <c r="H1319" s="1" t="s">
        <v>3078</v>
      </c>
      <c r="I1319" s="1" t="s">
        <v>49</v>
      </c>
      <c r="J1319" s="1" t="s">
        <v>48</v>
      </c>
      <c r="K1319" s="1">
        <v>40</v>
      </c>
      <c r="L1319" s="1">
        <v>0</v>
      </c>
      <c r="M1319" s="1">
        <v>0</v>
      </c>
      <c r="N1319" s="1">
        <v>40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 t="s">
        <v>49</v>
      </c>
      <c r="AA1319" s="1" t="s">
        <v>49</v>
      </c>
      <c r="AB1319" s="1" t="s">
        <v>49</v>
      </c>
      <c r="AC1319" s="1" t="s">
        <v>2070</v>
      </c>
      <c r="AD1319" s="1" t="s">
        <v>2071</v>
      </c>
      <c r="AE1319" s="1" t="s">
        <v>2070</v>
      </c>
      <c r="AF1319" s="1" t="s">
        <v>2072</v>
      </c>
      <c r="AG1319" s="1" t="s">
        <v>338</v>
      </c>
      <c r="AH1319" s="1" t="s">
        <v>49</v>
      </c>
      <c r="AI1319" s="1" t="s">
        <v>54</v>
      </c>
      <c r="AJ1319" s="1">
        <v>1</v>
      </c>
      <c r="AK1319" s="1" t="str">
        <f t="shared" si="20"/>
        <v xml:space="preserve"> =&lt;90</v>
      </c>
      <c r="AL1319" s="1" t="str">
        <f>VLOOKUP(C:C,[1]基础信息!B$1:D$65536,3,0)</f>
        <v>Jug</v>
      </c>
      <c r="AM1319" s="1" t="str">
        <f>VLOOKUP(C:C,[1]基础信息!B$1:E$65536,4,0)</f>
        <v>Marella XL</v>
      </c>
      <c r="AN1319" s="1" t="str">
        <f>VLOOKUP(C:C,[1]基础信息!B$1:F$65536,5,0)</f>
        <v>Blue</v>
      </c>
    </row>
    <row r="1320" spans="1:40">
      <c r="A1320" s="1" t="s">
        <v>41</v>
      </c>
      <c r="B1320" s="1" t="s">
        <v>42</v>
      </c>
      <c r="C1320" s="1" t="s">
        <v>301</v>
      </c>
      <c r="D1320" s="1" t="s">
        <v>302</v>
      </c>
      <c r="E1320" s="1" t="s">
        <v>45</v>
      </c>
      <c r="F1320" s="1" t="s">
        <v>3048</v>
      </c>
      <c r="G1320" s="1" t="s">
        <v>3079</v>
      </c>
      <c r="H1320" s="1" t="s">
        <v>3080</v>
      </c>
      <c r="I1320" s="1" t="s">
        <v>49</v>
      </c>
      <c r="J1320" s="1" t="s">
        <v>48</v>
      </c>
      <c r="K1320" s="1">
        <v>96</v>
      </c>
      <c r="L1320" s="1">
        <v>0</v>
      </c>
      <c r="M1320" s="1">
        <v>0</v>
      </c>
      <c r="N1320" s="1">
        <v>96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 t="s">
        <v>49</v>
      </c>
      <c r="AA1320" s="1" t="s">
        <v>49</v>
      </c>
      <c r="AB1320" s="1" t="s">
        <v>49</v>
      </c>
      <c r="AC1320" s="1" t="s">
        <v>1408</v>
      </c>
      <c r="AD1320" s="1" t="s">
        <v>1409</v>
      </c>
      <c r="AE1320" s="1" t="s">
        <v>1408</v>
      </c>
      <c r="AF1320" s="1" t="s">
        <v>3051</v>
      </c>
      <c r="AG1320" s="1" t="s">
        <v>53</v>
      </c>
      <c r="AH1320" s="1" t="s">
        <v>49</v>
      </c>
      <c r="AI1320" s="1" t="s">
        <v>54</v>
      </c>
      <c r="AJ1320" s="1">
        <v>1</v>
      </c>
      <c r="AK1320" s="1" t="str">
        <f t="shared" si="20"/>
        <v xml:space="preserve"> =&lt;90</v>
      </c>
      <c r="AL1320" s="1" t="str">
        <f>VLOOKUP(C:C,[1]基础信息!B$1:D$65536,3,0)</f>
        <v>Jug</v>
      </c>
      <c r="AM1320" s="1" t="str">
        <f>VLOOKUP(C:C,[1]基础信息!B$1:E$65536,4,0)</f>
        <v>Aluna</v>
      </c>
      <c r="AN1320" s="1" t="str">
        <f>VLOOKUP(C:C,[1]基础信息!B$1:F$65536,5,0)</f>
        <v>Blue</v>
      </c>
    </row>
    <row r="1321" spans="1:40">
      <c r="A1321" s="1" t="s">
        <v>41</v>
      </c>
      <c r="B1321" s="1" t="s">
        <v>42</v>
      </c>
      <c r="C1321" s="1" t="s">
        <v>301</v>
      </c>
      <c r="D1321" s="1" t="s">
        <v>302</v>
      </c>
      <c r="E1321" s="1" t="s">
        <v>45</v>
      </c>
      <c r="F1321" s="1" t="s">
        <v>3048</v>
      </c>
      <c r="G1321" s="1" t="s">
        <v>3081</v>
      </c>
      <c r="H1321" s="1" t="s">
        <v>3082</v>
      </c>
      <c r="I1321" s="1" t="s">
        <v>49</v>
      </c>
      <c r="J1321" s="1" t="s">
        <v>48</v>
      </c>
      <c r="K1321" s="1">
        <v>96</v>
      </c>
      <c r="L1321" s="1">
        <v>0</v>
      </c>
      <c r="M1321" s="1">
        <v>0</v>
      </c>
      <c r="N1321" s="1">
        <v>96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 t="s">
        <v>49</v>
      </c>
      <c r="AA1321" s="1" t="s">
        <v>49</v>
      </c>
      <c r="AB1321" s="1" t="s">
        <v>49</v>
      </c>
      <c r="AC1321" s="1" t="s">
        <v>1408</v>
      </c>
      <c r="AD1321" s="1" t="s">
        <v>1409</v>
      </c>
      <c r="AE1321" s="1" t="s">
        <v>1408</v>
      </c>
      <c r="AF1321" s="1" t="s">
        <v>3051</v>
      </c>
      <c r="AG1321" s="1" t="s">
        <v>53</v>
      </c>
      <c r="AH1321" s="1" t="s">
        <v>49</v>
      </c>
      <c r="AI1321" s="1" t="s">
        <v>54</v>
      </c>
      <c r="AJ1321" s="1">
        <v>1</v>
      </c>
      <c r="AK1321" s="1" t="str">
        <f t="shared" si="20"/>
        <v xml:space="preserve"> =&lt;90</v>
      </c>
      <c r="AL1321" s="1" t="str">
        <f>VLOOKUP(C:C,[1]基础信息!B$1:D$65536,3,0)</f>
        <v>Jug</v>
      </c>
      <c r="AM1321" s="1" t="str">
        <f>VLOOKUP(C:C,[1]基础信息!B$1:E$65536,4,0)</f>
        <v>Aluna</v>
      </c>
      <c r="AN1321" s="1" t="str">
        <f>VLOOKUP(C:C,[1]基础信息!B$1:F$65536,5,0)</f>
        <v>Blue</v>
      </c>
    </row>
    <row r="1322" spans="1:40">
      <c r="A1322" s="1" t="s">
        <v>41</v>
      </c>
      <c r="B1322" s="1" t="s">
        <v>42</v>
      </c>
      <c r="C1322" s="1" t="s">
        <v>1710</v>
      </c>
      <c r="D1322" s="1" t="s">
        <v>1711</v>
      </c>
      <c r="E1322" s="1" t="s">
        <v>45</v>
      </c>
      <c r="F1322" s="1" t="s">
        <v>2590</v>
      </c>
      <c r="G1322" s="1" t="s">
        <v>3083</v>
      </c>
      <c r="H1322" s="1" t="s">
        <v>3084</v>
      </c>
      <c r="I1322" s="1" t="s">
        <v>49</v>
      </c>
      <c r="J1322" s="1" t="s">
        <v>48</v>
      </c>
      <c r="K1322" s="1">
        <v>60</v>
      </c>
      <c r="L1322" s="1">
        <v>0</v>
      </c>
      <c r="M1322" s="1">
        <v>0</v>
      </c>
      <c r="N1322" s="1">
        <v>60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 t="s">
        <v>49</v>
      </c>
      <c r="AA1322" s="1" t="s">
        <v>49</v>
      </c>
      <c r="AB1322" s="1" t="s">
        <v>49</v>
      </c>
      <c r="AC1322" s="1" t="s">
        <v>1008</v>
      </c>
      <c r="AD1322" s="1" t="s">
        <v>1009</v>
      </c>
      <c r="AE1322" s="1" t="s">
        <v>1008</v>
      </c>
      <c r="AF1322" s="1" t="s">
        <v>2593</v>
      </c>
      <c r="AG1322" s="1" t="s">
        <v>53</v>
      </c>
      <c r="AH1322" s="1" t="s">
        <v>49</v>
      </c>
      <c r="AI1322" s="1" t="s">
        <v>54</v>
      </c>
      <c r="AJ1322" s="1">
        <v>1</v>
      </c>
      <c r="AK1322" s="1" t="str">
        <f t="shared" si="20"/>
        <v xml:space="preserve"> =&lt;90</v>
      </c>
      <c r="AL1322" s="1" t="str">
        <f>VLOOKUP(C:C,[1]基础信息!B$1:D$65536,3,0)</f>
        <v>Jug</v>
      </c>
      <c r="AM1322" s="1" t="str">
        <f>VLOOKUP(C:C,[1]基础信息!B$1:E$65536,4,0)</f>
        <v>Kalea XL ME4W</v>
      </c>
      <c r="AN1322" s="1" t="str">
        <f>VLOOKUP(C:C,[1]基础信息!B$1:F$65536,5,0)</f>
        <v>grey</v>
      </c>
    </row>
    <row r="1323" spans="1:40">
      <c r="A1323" s="1" t="s">
        <v>41</v>
      </c>
      <c r="B1323" s="1" t="s">
        <v>42</v>
      </c>
      <c r="C1323" s="1" t="s">
        <v>301</v>
      </c>
      <c r="D1323" s="1" t="s">
        <v>302</v>
      </c>
      <c r="E1323" s="1" t="s">
        <v>45</v>
      </c>
      <c r="F1323" s="1" t="s">
        <v>3048</v>
      </c>
      <c r="G1323" s="1" t="s">
        <v>3085</v>
      </c>
      <c r="H1323" s="1" t="s">
        <v>3086</v>
      </c>
      <c r="I1323" s="1" t="s">
        <v>49</v>
      </c>
      <c r="J1323" s="1" t="s">
        <v>48</v>
      </c>
      <c r="K1323" s="1">
        <v>96</v>
      </c>
      <c r="L1323" s="1">
        <v>0</v>
      </c>
      <c r="M1323" s="1">
        <v>0</v>
      </c>
      <c r="N1323" s="1">
        <v>96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 t="s">
        <v>49</v>
      </c>
      <c r="AA1323" s="1" t="s">
        <v>49</v>
      </c>
      <c r="AB1323" s="1" t="s">
        <v>49</v>
      </c>
      <c r="AC1323" s="1" t="s">
        <v>1408</v>
      </c>
      <c r="AD1323" s="1" t="s">
        <v>1409</v>
      </c>
      <c r="AE1323" s="1" t="s">
        <v>1408</v>
      </c>
      <c r="AF1323" s="1" t="s">
        <v>3051</v>
      </c>
      <c r="AG1323" s="1" t="s">
        <v>53</v>
      </c>
      <c r="AH1323" s="1" t="s">
        <v>49</v>
      </c>
      <c r="AI1323" s="1" t="s">
        <v>54</v>
      </c>
      <c r="AJ1323" s="1">
        <v>1</v>
      </c>
      <c r="AK1323" s="1" t="str">
        <f t="shared" si="20"/>
        <v xml:space="preserve"> =&lt;90</v>
      </c>
      <c r="AL1323" s="1" t="str">
        <f>VLOOKUP(C:C,[1]基础信息!B$1:D$65536,3,0)</f>
        <v>Jug</v>
      </c>
      <c r="AM1323" s="1" t="str">
        <f>VLOOKUP(C:C,[1]基础信息!B$1:E$65536,4,0)</f>
        <v>Aluna</v>
      </c>
      <c r="AN1323" s="1" t="str">
        <f>VLOOKUP(C:C,[1]基础信息!B$1:F$65536,5,0)</f>
        <v>Blue</v>
      </c>
    </row>
    <row r="1324" spans="1:40">
      <c r="A1324" s="1" t="s">
        <v>41</v>
      </c>
      <c r="B1324" s="1" t="s">
        <v>42</v>
      </c>
      <c r="C1324" s="1" t="s">
        <v>301</v>
      </c>
      <c r="D1324" s="1" t="s">
        <v>302</v>
      </c>
      <c r="E1324" s="1" t="s">
        <v>45</v>
      </c>
      <c r="F1324" s="1" t="s">
        <v>3048</v>
      </c>
      <c r="G1324" s="1" t="s">
        <v>3087</v>
      </c>
      <c r="H1324" s="1" t="s">
        <v>3088</v>
      </c>
      <c r="I1324" s="1" t="s">
        <v>49</v>
      </c>
      <c r="J1324" s="1" t="s">
        <v>48</v>
      </c>
      <c r="K1324" s="1">
        <v>96</v>
      </c>
      <c r="L1324" s="1">
        <v>0</v>
      </c>
      <c r="M1324" s="1">
        <v>0</v>
      </c>
      <c r="N1324" s="1">
        <v>96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 t="s">
        <v>49</v>
      </c>
      <c r="AA1324" s="1" t="s">
        <v>49</v>
      </c>
      <c r="AB1324" s="1" t="s">
        <v>49</v>
      </c>
      <c r="AC1324" s="1" t="s">
        <v>1408</v>
      </c>
      <c r="AD1324" s="1" t="s">
        <v>1409</v>
      </c>
      <c r="AE1324" s="1" t="s">
        <v>1408</v>
      </c>
      <c r="AF1324" s="1" t="s">
        <v>3051</v>
      </c>
      <c r="AG1324" s="1" t="s">
        <v>53</v>
      </c>
      <c r="AH1324" s="1" t="s">
        <v>49</v>
      </c>
      <c r="AI1324" s="1" t="s">
        <v>54</v>
      </c>
      <c r="AJ1324" s="1">
        <v>1</v>
      </c>
      <c r="AK1324" s="1" t="str">
        <f t="shared" si="20"/>
        <v xml:space="preserve"> =&lt;90</v>
      </c>
      <c r="AL1324" s="1" t="str">
        <f>VLOOKUP(C:C,[1]基础信息!B$1:D$65536,3,0)</f>
        <v>Jug</v>
      </c>
      <c r="AM1324" s="1" t="str">
        <f>VLOOKUP(C:C,[1]基础信息!B$1:E$65536,4,0)</f>
        <v>Aluna</v>
      </c>
      <c r="AN1324" s="1" t="str">
        <f>VLOOKUP(C:C,[1]基础信息!B$1:F$65536,5,0)</f>
        <v>Blue</v>
      </c>
    </row>
    <row r="1325" spans="1:40">
      <c r="A1325" s="1" t="s">
        <v>41</v>
      </c>
      <c r="B1325" s="1" t="s">
        <v>42</v>
      </c>
      <c r="C1325" s="1" t="s">
        <v>301</v>
      </c>
      <c r="D1325" s="1" t="s">
        <v>302</v>
      </c>
      <c r="E1325" s="1" t="s">
        <v>45</v>
      </c>
      <c r="F1325" s="1" t="s">
        <v>3048</v>
      </c>
      <c r="G1325" s="1" t="s">
        <v>3089</v>
      </c>
      <c r="H1325" s="1" t="s">
        <v>3090</v>
      </c>
      <c r="I1325" s="1" t="s">
        <v>49</v>
      </c>
      <c r="J1325" s="1" t="s">
        <v>48</v>
      </c>
      <c r="K1325" s="1">
        <v>96</v>
      </c>
      <c r="L1325" s="1">
        <v>0</v>
      </c>
      <c r="M1325" s="1">
        <v>0</v>
      </c>
      <c r="N1325" s="1">
        <v>96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 t="s">
        <v>49</v>
      </c>
      <c r="AA1325" s="1" t="s">
        <v>49</v>
      </c>
      <c r="AB1325" s="1" t="s">
        <v>49</v>
      </c>
      <c r="AC1325" s="1" t="s">
        <v>1408</v>
      </c>
      <c r="AD1325" s="1" t="s">
        <v>1409</v>
      </c>
      <c r="AE1325" s="1" t="s">
        <v>1408</v>
      </c>
      <c r="AF1325" s="1" t="s">
        <v>3051</v>
      </c>
      <c r="AG1325" s="1" t="s">
        <v>53</v>
      </c>
      <c r="AH1325" s="1" t="s">
        <v>49</v>
      </c>
      <c r="AI1325" s="1" t="s">
        <v>54</v>
      </c>
      <c r="AJ1325" s="1">
        <v>1</v>
      </c>
      <c r="AK1325" s="1" t="str">
        <f t="shared" si="20"/>
        <v xml:space="preserve"> =&lt;90</v>
      </c>
      <c r="AL1325" s="1" t="str">
        <f>VLOOKUP(C:C,[1]基础信息!B$1:D$65536,3,0)</f>
        <v>Jug</v>
      </c>
      <c r="AM1325" s="1" t="str">
        <f>VLOOKUP(C:C,[1]基础信息!B$1:E$65536,4,0)</f>
        <v>Aluna</v>
      </c>
      <c r="AN1325" s="1" t="str">
        <f>VLOOKUP(C:C,[1]基础信息!B$1:F$65536,5,0)</f>
        <v>Blue</v>
      </c>
    </row>
    <row r="1326" spans="1:40">
      <c r="A1326" s="1" t="s">
        <v>41</v>
      </c>
      <c r="B1326" s="1" t="s">
        <v>42</v>
      </c>
      <c r="C1326" s="1" t="s">
        <v>301</v>
      </c>
      <c r="D1326" s="1" t="s">
        <v>302</v>
      </c>
      <c r="E1326" s="1" t="s">
        <v>45</v>
      </c>
      <c r="F1326" s="1" t="s">
        <v>3048</v>
      </c>
      <c r="G1326" s="1" t="s">
        <v>3091</v>
      </c>
      <c r="H1326" s="1" t="s">
        <v>3092</v>
      </c>
      <c r="I1326" s="1" t="s">
        <v>49</v>
      </c>
      <c r="J1326" s="1" t="s">
        <v>48</v>
      </c>
      <c r="K1326" s="1">
        <v>96</v>
      </c>
      <c r="L1326" s="1">
        <v>0</v>
      </c>
      <c r="M1326" s="1">
        <v>0</v>
      </c>
      <c r="N1326" s="1">
        <v>96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 t="s">
        <v>49</v>
      </c>
      <c r="AA1326" s="1" t="s">
        <v>49</v>
      </c>
      <c r="AB1326" s="1" t="s">
        <v>49</v>
      </c>
      <c r="AC1326" s="1" t="s">
        <v>1408</v>
      </c>
      <c r="AD1326" s="1" t="s">
        <v>1409</v>
      </c>
      <c r="AE1326" s="1" t="s">
        <v>1408</v>
      </c>
      <c r="AF1326" s="1" t="s">
        <v>3051</v>
      </c>
      <c r="AG1326" s="1" t="s">
        <v>53</v>
      </c>
      <c r="AH1326" s="1" t="s">
        <v>49</v>
      </c>
      <c r="AI1326" s="1" t="s">
        <v>54</v>
      </c>
      <c r="AJ1326" s="1">
        <v>1</v>
      </c>
      <c r="AK1326" s="1" t="str">
        <f t="shared" si="20"/>
        <v xml:space="preserve"> =&lt;90</v>
      </c>
      <c r="AL1326" s="1" t="str">
        <f>VLOOKUP(C:C,[1]基础信息!B$1:D$65536,3,0)</f>
        <v>Jug</v>
      </c>
      <c r="AM1326" s="1" t="str">
        <f>VLOOKUP(C:C,[1]基础信息!B$1:E$65536,4,0)</f>
        <v>Aluna</v>
      </c>
      <c r="AN1326" s="1" t="str">
        <f>VLOOKUP(C:C,[1]基础信息!B$1:F$65536,5,0)</f>
        <v>Blue</v>
      </c>
    </row>
    <row r="1327" spans="1:40">
      <c r="A1327" s="1" t="s">
        <v>41</v>
      </c>
      <c r="B1327" s="1" t="s">
        <v>42</v>
      </c>
      <c r="C1327" s="1" t="s">
        <v>301</v>
      </c>
      <c r="D1327" s="1" t="s">
        <v>302</v>
      </c>
      <c r="E1327" s="1" t="s">
        <v>45</v>
      </c>
      <c r="F1327" s="1" t="s">
        <v>3048</v>
      </c>
      <c r="G1327" s="1" t="s">
        <v>3093</v>
      </c>
      <c r="H1327" s="1" t="s">
        <v>3094</v>
      </c>
      <c r="I1327" s="1" t="s">
        <v>49</v>
      </c>
      <c r="J1327" s="1" t="s">
        <v>48</v>
      </c>
      <c r="K1327" s="1">
        <v>96</v>
      </c>
      <c r="L1327" s="1">
        <v>0</v>
      </c>
      <c r="M1327" s="1">
        <v>0</v>
      </c>
      <c r="N1327" s="1">
        <v>96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 t="s">
        <v>49</v>
      </c>
      <c r="AA1327" s="1" t="s">
        <v>49</v>
      </c>
      <c r="AB1327" s="1" t="s">
        <v>49</v>
      </c>
      <c r="AC1327" s="1" t="s">
        <v>1408</v>
      </c>
      <c r="AD1327" s="1" t="s">
        <v>1409</v>
      </c>
      <c r="AE1327" s="1" t="s">
        <v>1408</v>
      </c>
      <c r="AF1327" s="1" t="s">
        <v>3051</v>
      </c>
      <c r="AG1327" s="1" t="s">
        <v>53</v>
      </c>
      <c r="AH1327" s="1" t="s">
        <v>49</v>
      </c>
      <c r="AI1327" s="1" t="s">
        <v>54</v>
      </c>
      <c r="AJ1327" s="1">
        <v>1</v>
      </c>
      <c r="AK1327" s="1" t="str">
        <f t="shared" si="20"/>
        <v xml:space="preserve"> =&lt;90</v>
      </c>
      <c r="AL1327" s="1" t="str">
        <f>VLOOKUP(C:C,[1]基础信息!B$1:D$65536,3,0)</f>
        <v>Jug</v>
      </c>
      <c r="AM1327" s="1" t="str">
        <f>VLOOKUP(C:C,[1]基础信息!B$1:E$65536,4,0)</f>
        <v>Aluna</v>
      </c>
      <c r="AN1327" s="1" t="str">
        <f>VLOOKUP(C:C,[1]基础信息!B$1:F$65536,5,0)</f>
        <v>Blue</v>
      </c>
    </row>
    <row r="1328" spans="1:40">
      <c r="A1328" s="1" t="s">
        <v>41</v>
      </c>
      <c r="B1328" s="1" t="s">
        <v>42</v>
      </c>
      <c r="C1328" s="1" t="s">
        <v>285</v>
      </c>
      <c r="D1328" s="1" t="s">
        <v>286</v>
      </c>
      <c r="E1328" s="1" t="s">
        <v>45</v>
      </c>
      <c r="F1328" s="1" t="s">
        <v>3095</v>
      </c>
      <c r="G1328" s="1" t="s">
        <v>3096</v>
      </c>
      <c r="H1328" s="1" t="s">
        <v>3097</v>
      </c>
      <c r="I1328" s="1" t="s">
        <v>49</v>
      </c>
      <c r="J1328" s="1" t="s">
        <v>48</v>
      </c>
      <c r="K1328" s="1">
        <v>70</v>
      </c>
      <c r="L1328" s="1">
        <v>0</v>
      </c>
      <c r="M1328" s="1">
        <v>0</v>
      </c>
      <c r="N1328" s="1">
        <v>70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 t="s">
        <v>49</v>
      </c>
      <c r="AA1328" s="1" t="s">
        <v>49</v>
      </c>
      <c r="AB1328" s="1" t="s">
        <v>49</v>
      </c>
      <c r="AC1328" s="1" t="s">
        <v>3098</v>
      </c>
      <c r="AD1328" s="1" t="s">
        <v>3099</v>
      </c>
      <c r="AE1328" s="1" t="s">
        <v>3098</v>
      </c>
      <c r="AF1328" s="1" t="s">
        <v>1553</v>
      </c>
      <c r="AG1328" s="1" t="s">
        <v>53</v>
      </c>
      <c r="AH1328" s="1" t="s">
        <v>49</v>
      </c>
      <c r="AI1328" s="1" t="s">
        <v>54</v>
      </c>
      <c r="AJ1328" s="1">
        <v>1</v>
      </c>
      <c r="AK1328" s="1" t="str">
        <f t="shared" si="20"/>
        <v xml:space="preserve"> =&lt;90</v>
      </c>
      <c r="AL1328" s="1" t="str">
        <f>VLOOKUP(C:C,[1]基础信息!B$1:D$65536,3,0)</f>
        <v>Jug</v>
      </c>
      <c r="AM1328" s="1" t="str">
        <f>VLOOKUP(C:C,[1]基础信息!B$1:E$65536,4,0)</f>
        <v>Marella XL</v>
      </c>
      <c r="AN1328" s="1" t="str">
        <f>VLOOKUP(C:C,[1]基础信息!B$1:F$65536,5,0)</f>
        <v>Blue</v>
      </c>
    </row>
    <row r="1329" spans="1:40">
      <c r="A1329" s="1" t="s">
        <v>41</v>
      </c>
      <c r="B1329" s="1" t="s">
        <v>42</v>
      </c>
      <c r="C1329" s="1" t="s">
        <v>285</v>
      </c>
      <c r="D1329" s="1" t="s">
        <v>286</v>
      </c>
      <c r="E1329" s="1" t="s">
        <v>45</v>
      </c>
      <c r="F1329" s="1" t="s">
        <v>3095</v>
      </c>
      <c r="G1329" s="1" t="s">
        <v>3100</v>
      </c>
      <c r="H1329" s="1" t="s">
        <v>3101</v>
      </c>
      <c r="I1329" s="1" t="s">
        <v>49</v>
      </c>
      <c r="J1329" s="1" t="s">
        <v>48</v>
      </c>
      <c r="K1329" s="1">
        <v>70</v>
      </c>
      <c r="L1329" s="1">
        <v>0</v>
      </c>
      <c r="M1329" s="1">
        <v>0</v>
      </c>
      <c r="N1329" s="1">
        <v>70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 t="s">
        <v>49</v>
      </c>
      <c r="AA1329" s="1" t="s">
        <v>49</v>
      </c>
      <c r="AB1329" s="1" t="s">
        <v>49</v>
      </c>
      <c r="AC1329" s="1" t="s">
        <v>3098</v>
      </c>
      <c r="AD1329" s="1" t="s">
        <v>3099</v>
      </c>
      <c r="AE1329" s="1" t="s">
        <v>3098</v>
      </c>
      <c r="AF1329" s="1" t="s">
        <v>1553</v>
      </c>
      <c r="AG1329" s="1" t="s">
        <v>53</v>
      </c>
      <c r="AH1329" s="1" t="s">
        <v>49</v>
      </c>
      <c r="AI1329" s="1" t="s">
        <v>54</v>
      </c>
      <c r="AJ1329" s="1">
        <v>1</v>
      </c>
      <c r="AK1329" s="1" t="str">
        <f t="shared" si="20"/>
        <v xml:space="preserve"> =&lt;90</v>
      </c>
      <c r="AL1329" s="1" t="str">
        <f>VLOOKUP(C:C,[1]基础信息!B$1:D$65536,3,0)</f>
        <v>Jug</v>
      </c>
      <c r="AM1329" s="1" t="str">
        <f>VLOOKUP(C:C,[1]基础信息!B$1:E$65536,4,0)</f>
        <v>Marella XL</v>
      </c>
      <c r="AN1329" s="1" t="str">
        <f>VLOOKUP(C:C,[1]基础信息!B$1:F$65536,5,0)</f>
        <v>Blue</v>
      </c>
    </row>
    <row r="1330" spans="1:40">
      <c r="A1330" s="1" t="s">
        <v>41</v>
      </c>
      <c r="B1330" s="1" t="s">
        <v>42</v>
      </c>
      <c r="C1330" s="1" t="s">
        <v>285</v>
      </c>
      <c r="D1330" s="1" t="s">
        <v>286</v>
      </c>
      <c r="E1330" s="1" t="s">
        <v>45</v>
      </c>
      <c r="F1330" s="1" t="s">
        <v>3095</v>
      </c>
      <c r="G1330" s="1" t="s">
        <v>3102</v>
      </c>
      <c r="H1330" s="1" t="s">
        <v>3103</v>
      </c>
      <c r="I1330" s="1" t="s">
        <v>49</v>
      </c>
      <c r="J1330" s="1" t="s">
        <v>48</v>
      </c>
      <c r="K1330" s="1">
        <v>70</v>
      </c>
      <c r="L1330" s="1">
        <v>0</v>
      </c>
      <c r="M1330" s="1">
        <v>0</v>
      </c>
      <c r="N1330" s="1">
        <v>70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 t="s">
        <v>49</v>
      </c>
      <c r="AA1330" s="1" t="s">
        <v>49</v>
      </c>
      <c r="AB1330" s="1" t="s">
        <v>49</v>
      </c>
      <c r="AC1330" s="1" t="s">
        <v>3098</v>
      </c>
      <c r="AD1330" s="1" t="s">
        <v>3099</v>
      </c>
      <c r="AE1330" s="1" t="s">
        <v>3098</v>
      </c>
      <c r="AF1330" s="1" t="s">
        <v>1553</v>
      </c>
      <c r="AG1330" s="1" t="s">
        <v>53</v>
      </c>
      <c r="AH1330" s="1" t="s">
        <v>49</v>
      </c>
      <c r="AI1330" s="1" t="s">
        <v>54</v>
      </c>
      <c r="AJ1330" s="1">
        <v>1</v>
      </c>
      <c r="AK1330" s="1" t="str">
        <f t="shared" si="20"/>
        <v xml:space="preserve"> =&lt;90</v>
      </c>
      <c r="AL1330" s="1" t="str">
        <f>VLOOKUP(C:C,[1]基础信息!B$1:D$65536,3,0)</f>
        <v>Jug</v>
      </c>
      <c r="AM1330" s="1" t="str">
        <f>VLOOKUP(C:C,[1]基础信息!B$1:E$65536,4,0)</f>
        <v>Marella XL</v>
      </c>
      <c r="AN1330" s="1" t="str">
        <f>VLOOKUP(C:C,[1]基础信息!B$1:F$65536,5,0)</f>
        <v>Blue</v>
      </c>
    </row>
    <row r="1331" spans="1:40">
      <c r="A1331" s="1" t="s">
        <v>41</v>
      </c>
      <c r="B1331" s="1" t="s">
        <v>42</v>
      </c>
      <c r="C1331" s="1" t="s">
        <v>285</v>
      </c>
      <c r="D1331" s="1" t="s">
        <v>286</v>
      </c>
      <c r="E1331" s="1" t="s">
        <v>45</v>
      </c>
      <c r="F1331" s="1" t="s">
        <v>3095</v>
      </c>
      <c r="G1331" s="1" t="s">
        <v>3104</v>
      </c>
      <c r="H1331" s="1" t="s">
        <v>3105</v>
      </c>
      <c r="I1331" s="1" t="s">
        <v>49</v>
      </c>
      <c r="J1331" s="1" t="s">
        <v>48</v>
      </c>
      <c r="K1331" s="1">
        <v>70</v>
      </c>
      <c r="L1331" s="1">
        <v>0</v>
      </c>
      <c r="M1331" s="1">
        <v>0</v>
      </c>
      <c r="N1331" s="1">
        <v>70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 t="s">
        <v>49</v>
      </c>
      <c r="AA1331" s="1" t="s">
        <v>49</v>
      </c>
      <c r="AB1331" s="1" t="s">
        <v>49</v>
      </c>
      <c r="AC1331" s="1" t="s">
        <v>3098</v>
      </c>
      <c r="AD1331" s="1" t="s">
        <v>3099</v>
      </c>
      <c r="AE1331" s="1" t="s">
        <v>3098</v>
      </c>
      <c r="AF1331" s="1" t="s">
        <v>1553</v>
      </c>
      <c r="AG1331" s="1" t="s">
        <v>53</v>
      </c>
      <c r="AH1331" s="1" t="s">
        <v>49</v>
      </c>
      <c r="AI1331" s="1" t="s">
        <v>54</v>
      </c>
      <c r="AJ1331" s="1">
        <v>1</v>
      </c>
      <c r="AK1331" s="1" t="str">
        <f t="shared" si="20"/>
        <v xml:space="preserve"> =&lt;90</v>
      </c>
      <c r="AL1331" s="1" t="str">
        <f>VLOOKUP(C:C,[1]基础信息!B$1:D$65536,3,0)</f>
        <v>Jug</v>
      </c>
      <c r="AM1331" s="1" t="str">
        <f>VLOOKUP(C:C,[1]基础信息!B$1:E$65536,4,0)</f>
        <v>Marella XL</v>
      </c>
      <c r="AN1331" s="1" t="str">
        <f>VLOOKUP(C:C,[1]基础信息!B$1:F$65536,5,0)</f>
        <v>Blue</v>
      </c>
    </row>
    <row r="1332" spans="1:40">
      <c r="A1332" s="1" t="s">
        <v>41</v>
      </c>
      <c r="B1332" s="1" t="s">
        <v>42</v>
      </c>
      <c r="C1332" s="1" t="s">
        <v>285</v>
      </c>
      <c r="D1332" s="1" t="s">
        <v>286</v>
      </c>
      <c r="E1332" s="1" t="s">
        <v>45</v>
      </c>
      <c r="F1332" s="1" t="s">
        <v>3095</v>
      </c>
      <c r="G1332" s="1" t="s">
        <v>3106</v>
      </c>
      <c r="H1332" s="1" t="s">
        <v>3107</v>
      </c>
      <c r="I1332" s="1" t="s">
        <v>49</v>
      </c>
      <c r="J1332" s="1" t="s">
        <v>48</v>
      </c>
      <c r="K1332" s="1">
        <v>70</v>
      </c>
      <c r="L1332" s="1">
        <v>0</v>
      </c>
      <c r="M1332" s="1">
        <v>0</v>
      </c>
      <c r="N1332" s="1">
        <v>70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 t="s">
        <v>49</v>
      </c>
      <c r="AA1332" s="1" t="s">
        <v>49</v>
      </c>
      <c r="AB1332" s="1" t="s">
        <v>49</v>
      </c>
      <c r="AC1332" s="1" t="s">
        <v>3098</v>
      </c>
      <c r="AD1332" s="1" t="s">
        <v>3099</v>
      </c>
      <c r="AE1332" s="1" t="s">
        <v>3098</v>
      </c>
      <c r="AF1332" s="1" t="s">
        <v>1553</v>
      </c>
      <c r="AG1332" s="1" t="s">
        <v>53</v>
      </c>
      <c r="AH1332" s="1" t="s">
        <v>49</v>
      </c>
      <c r="AI1332" s="1" t="s">
        <v>54</v>
      </c>
      <c r="AJ1332" s="1">
        <v>1</v>
      </c>
      <c r="AK1332" s="1" t="str">
        <f t="shared" si="20"/>
        <v xml:space="preserve"> =&lt;90</v>
      </c>
      <c r="AL1332" s="1" t="str">
        <f>VLOOKUP(C:C,[1]基础信息!B$1:D$65536,3,0)</f>
        <v>Jug</v>
      </c>
      <c r="AM1332" s="1" t="str">
        <f>VLOOKUP(C:C,[1]基础信息!B$1:E$65536,4,0)</f>
        <v>Marella XL</v>
      </c>
      <c r="AN1332" s="1" t="str">
        <f>VLOOKUP(C:C,[1]基础信息!B$1:F$65536,5,0)</f>
        <v>Blue</v>
      </c>
    </row>
    <row r="1333" spans="1:40">
      <c r="A1333" s="1" t="s">
        <v>41</v>
      </c>
      <c r="B1333" s="1" t="s">
        <v>42</v>
      </c>
      <c r="C1333" s="1" t="s">
        <v>285</v>
      </c>
      <c r="D1333" s="1" t="s">
        <v>286</v>
      </c>
      <c r="E1333" s="1" t="s">
        <v>45</v>
      </c>
      <c r="F1333" s="1" t="s">
        <v>3095</v>
      </c>
      <c r="G1333" s="1" t="s">
        <v>3108</v>
      </c>
      <c r="H1333" s="1" t="s">
        <v>3109</v>
      </c>
      <c r="I1333" s="1" t="s">
        <v>49</v>
      </c>
      <c r="J1333" s="1" t="s">
        <v>48</v>
      </c>
      <c r="K1333" s="1">
        <v>70</v>
      </c>
      <c r="L1333" s="1">
        <v>0</v>
      </c>
      <c r="M1333" s="1">
        <v>0</v>
      </c>
      <c r="N1333" s="1">
        <v>70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 t="s">
        <v>49</v>
      </c>
      <c r="AA1333" s="1" t="s">
        <v>49</v>
      </c>
      <c r="AB1333" s="1" t="s">
        <v>49</v>
      </c>
      <c r="AC1333" s="1" t="s">
        <v>3098</v>
      </c>
      <c r="AD1333" s="1" t="s">
        <v>3099</v>
      </c>
      <c r="AE1333" s="1" t="s">
        <v>3098</v>
      </c>
      <c r="AF1333" s="1" t="s">
        <v>1553</v>
      </c>
      <c r="AG1333" s="1" t="s">
        <v>53</v>
      </c>
      <c r="AH1333" s="1" t="s">
        <v>49</v>
      </c>
      <c r="AI1333" s="1" t="s">
        <v>54</v>
      </c>
      <c r="AJ1333" s="1">
        <v>1</v>
      </c>
      <c r="AK1333" s="1" t="str">
        <f t="shared" si="20"/>
        <v xml:space="preserve"> =&lt;90</v>
      </c>
      <c r="AL1333" s="1" t="str">
        <f>VLOOKUP(C:C,[1]基础信息!B$1:D$65536,3,0)</f>
        <v>Jug</v>
      </c>
      <c r="AM1333" s="1" t="str">
        <f>VLOOKUP(C:C,[1]基础信息!B$1:E$65536,4,0)</f>
        <v>Marella XL</v>
      </c>
      <c r="AN1333" s="1" t="str">
        <f>VLOOKUP(C:C,[1]基础信息!B$1:F$65536,5,0)</f>
        <v>Blue</v>
      </c>
    </row>
    <row r="1334" spans="1:40">
      <c r="A1334" s="1" t="s">
        <v>41</v>
      </c>
      <c r="B1334" s="1" t="s">
        <v>42</v>
      </c>
      <c r="C1334" s="1" t="s">
        <v>1710</v>
      </c>
      <c r="D1334" s="1" t="s">
        <v>1711</v>
      </c>
      <c r="E1334" s="1" t="s">
        <v>45</v>
      </c>
      <c r="F1334" s="1" t="s">
        <v>2590</v>
      </c>
      <c r="G1334" s="1" t="s">
        <v>3110</v>
      </c>
      <c r="H1334" s="1" t="s">
        <v>3111</v>
      </c>
      <c r="I1334" s="1" t="s">
        <v>49</v>
      </c>
      <c r="J1334" s="1" t="s">
        <v>48</v>
      </c>
      <c r="K1334" s="1">
        <v>60</v>
      </c>
      <c r="L1334" s="1">
        <v>0</v>
      </c>
      <c r="M1334" s="1">
        <v>0</v>
      </c>
      <c r="N1334" s="1">
        <v>60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 t="s">
        <v>49</v>
      </c>
      <c r="AA1334" s="1" t="s">
        <v>49</v>
      </c>
      <c r="AB1334" s="1" t="s">
        <v>49</v>
      </c>
      <c r="AC1334" s="1" t="s">
        <v>1008</v>
      </c>
      <c r="AD1334" s="1" t="s">
        <v>1009</v>
      </c>
      <c r="AE1334" s="1" t="s">
        <v>1008</v>
      </c>
      <c r="AF1334" s="1" t="s">
        <v>2593</v>
      </c>
      <c r="AG1334" s="1" t="s">
        <v>53</v>
      </c>
      <c r="AH1334" s="1" t="s">
        <v>49</v>
      </c>
      <c r="AI1334" s="1" t="s">
        <v>54</v>
      </c>
      <c r="AJ1334" s="1">
        <v>1</v>
      </c>
      <c r="AK1334" s="1" t="str">
        <f t="shared" si="20"/>
        <v xml:space="preserve"> =&lt;90</v>
      </c>
      <c r="AL1334" s="1" t="str">
        <f>VLOOKUP(C:C,[1]基础信息!B$1:D$65536,3,0)</f>
        <v>Jug</v>
      </c>
      <c r="AM1334" s="1" t="str">
        <f>VLOOKUP(C:C,[1]基础信息!B$1:E$65536,4,0)</f>
        <v>Kalea XL ME4W</v>
      </c>
      <c r="AN1334" s="1" t="str">
        <f>VLOOKUP(C:C,[1]基础信息!B$1:F$65536,5,0)</f>
        <v>grey</v>
      </c>
    </row>
    <row r="1335" spans="1:40">
      <c r="A1335" s="1" t="s">
        <v>41</v>
      </c>
      <c r="B1335" s="1" t="s">
        <v>42</v>
      </c>
      <c r="C1335" s="1" t="s">
        <v>1710</v>
      </c>
      <c r="D1335" s="1" t="s">
        <v>1711</v>
      </c>
      <c r="E1335" s="1" t="s">
        <v>45</v>
      </c>
      <c r="F1335" s="1" t="s">
        <v>2590</v>
      </c>
      <c r="G1335" s="1" t="s">
        <v>3112</v>
      </c>
      <c r="H1335" s="1" t="s">
        <v>3113</v>
      </c>
      <c r="I1335" s="1" t="s">
        <v>49</v>
      </c>
      <c r="J1335" s="1" t="s">
        <v>48</v>
      </c>
      <c r="K1335" s="1">
        <v>60</v>
      </c>
      <c r="L1335" s="1">
        <v>0</v>
      </c>
      <c r="M1335" s="1">
        <v>0</v>
      </c>
      <c r="N1335" s="1">
        <v>60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 t="s">
        <v>49</v>
      </c>
      <c r="AA1335" s="1" t="s">
        <v>49</v>
      </c>
      <c r="AB1335" s="1" t="s">
        <v>49</v>
      </c>
      <c r="AC1335" s="1" t="s">
        <v>1008</v>
      </c>
      <c r="AD1335" s="1" t="s">
        <v>1009</v>
      </c>
      <c r="AE1335" s="1" t="s">
        <v>1008</v>
      </c>
      <c r="AF1335" s="1" t="s">
        <v>2593</v>
      </c>
      <c r="AG1335" s="1" t="s">
        <v>53</v>
      </c>
      <c r="AH1335" s="1" t="s">
        <v>49</v>
      </c>
      <c r="AI1335" s="1" t="s">
        <v>54</v>
      </c>
      <c r="AJ1335" s="1">
        <v>1</v>
      </c>
      <c r="AK1335" s="1" t="str">
        <f t="shared" si="20"/>
        <v xml:space="preserve"> =&lt;90</v>
      </c>
      <c r="AL1335" s="1" t="str">
        <f>VLOOKUP(C:C,[1]基础信息!B$1:D$65536,3,0)</f>
        <v>Jug</v>
      </c>
      <c r="AM1335" s="1" t="str">
        <f>VLOOKUP(C:C,[1]基础信息!B$1:E$65536,4,0)</f>
        <v>Kalea XL ME4W</v>
      </c>
      <c r="AN1335" s="1" t="str">
        <f>VLOOKUP(C:C,[1]基础信息!B$1:F$65536,5,0)</f>
        <v>grey</v>
      </c>
    </row>
    <row r="1336" spans="1:40">
      <c r="A1336" s="1" t="s">
        <v>41</v>
      </c>
      <c r="B1336" s="1" t="s">
        <v>42</v>
      </c>
      <c r="C1336" s="1" t="s">
        <v>1710</v>
      </c>
      <c r="D1336" s="1" t="s">
        <v>1711</v>
      </c>
      <c r="E1336" s="1" t="s">
        <v>45</v>
      </c>
      <c r="F1336" s="1" t="s">
        <v>2590</v>
      </c>
      <c r="G1336" s="1" t="s">
        <v>3114</v>
      </c>
      <c r="H1336" s="1" t="s">
        <v>3115</v>
      </c>
      <c r="I1336" s="1" t="s">
        <v>49</v>
      </c>
      <c r="J1336" s="1" t="s">
        <v>48</v>
      </c>
      <c r="K1336" s="1">
        <v>60</v>
      </c>
      <c r="L1336" s="1">
        <v>0</v>
      </c>
      <c r="M1336" s="1">
        <v>0</v>
      </c>
      <c r="N1336" s="1">
        <v>60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 t="s">
        <v>49</v>
      </c>
      <c r="AA1336" s="1" t="s">
        <v>49</v>
      </c>
      <c r="AB1336" s="1" t="s">
        <v>49</v>
      </c>
      <c r="AC1336" s="1" t="s">
        <v>1008</v>
      </c>
      <c r="AD1336" s="1" t="s">
        <v>1009</v>
      </c>
      <c r="AE1336" s="1" t="s">
        <v>1008</v>
      </c>
      <c r="AF1336" s="1" t="s">
        <v>2593</v>
      </c>
      <c r="AG1336" s="1" t="s">
        <v>53</v>
      </c>
      <c r="AH1336" s="1" t="s">
        <v>49</v>
      </c>
      <c r="AI1336" s="1" t="s">
        <v>54</v>
      </c>
      <c r="AJ1336" s="1">
        <v>1</v>
      </c>
      <c r="AK1336" s="1" t="str">
        <f t="shared" si="20"/>
        <v xml:space="preserve"> =&lt;90</v>
      </c>
      <c r="AL1336" s="1" t="str">
        <f>VLOOKUP(C:C,[1]基础信息!B$1:D$65536,3,0)</f>
        <v>Jug</v>
      </c>
      <c r="AM1336" s="1" t="str">
        <f>VLOOKUP(C:C,[1]基础信息!B$1:E$65536,4,0)</f>
        <v>Kalea XL ME4W</v>
      </c>
      <c r="AN1336" s="1" t="str">
        <f>VLOOKUP(C:C,[1]基础信息!B$1:F$65536,5,0)</f>
        <v>grey</v>
      </c>
    </row>
    <row r="1337" spans="1:40">
      <c r="A1337" s="1" t="s">
        <v>41</v>
      </c>
      <c r="B1337" s="1" t="s">
        <v>42</v>
      </c>
      <c r="C1337" s="1" t="s">
        <v>1710</v>
      </c>
      <c r="D1337" s="1" t="s">
        <v>1711</v>
      </c>
      <c r="E1337" s="1" t="s">
        <v>45</v>
      </c>
      <c r="F1337" s="1" t="s">
        <v>2590</v>
      </c>
      <c r="G1337" s="1" t="s">
        <v>3116</v>
      </c>
      <c r="H1337" s="1" t="s">
        <v>3117</v>
      </c>
      <c r="I1337" s="1" t="s">
        <v>49</v>
      </c>
      <c r="J1337" s="1" t="s">
        <v>48</v>
      </c>
      <c r="K1337" s="1">
        <v>60</v>
      </c>
      <c r="L1337" s="1">
        <v>0</v>
      </c>
      <c r="M1337" s="1">
        <v>0</v>
      </c>
      <c r="N1337" s="1">
        <v>60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 t="s">
        <v>49</v>
      </c>
      <c r="AA1337" s="1" t="s">
        <v>49</v>
      </c>
      <c r="AB1337" s="1" t="s">
        <v>49</v>
      </c>
      <c r="AC1337" s="1" t="s">
        <v>1008</v>
      </c>
      <c r="AD1337" s="1" t="s">
        <v>1009</v>
      </c>
      <c r="AE1337" s="1" t="s">
        <v>1008</v>
      </c>
      <c r="AF1337" s="1" t="s">
        <v>2593</v>
      </c>
      <c r="AG1337" s="1" t="s">
        <v>53</v>
      </c>
      <c r="AH1337" s="1" t="s">
        <v>49</v>
      </c>
      <c r="AI1337" s="1" t="s">
        <v>54</v>
      </c>
      <c r="AJ1337" s="1">
        <v>1</v>
      </c>
      <c r="AK1337" s="1" t="str">
        <f t="shared" si="20"/>
        <v xml:space="preserve"> =&lt;90</v>
      </c>
      <c r="AL1337" s="1" t="str">
        <f>VLOOKUP(C:C,[1]基础信息!B$1:D$65536,3,0)</f>
        <v>Jug</v>
      </c>
      <c r="AM1337" s="1" t="str">
        <f>VLOOKUP(C:C,[1]基础信息!B$1:E$65536,4,0)</f>
        <v>Kalea XL ME4W</v>
      </c>
      <c r="AN1337" s="1" t="str">
        <f>VLOOKUP(C:C,[1]基础信息!B$1:F$65536,5,0)</f>
        <v>grey</v>
      </c>
    </row>
    <row r="1338" spans="1:40">
      <c r="A1338" s="1" t="s">
        <v>41</v>
      </c>
      <c r="B1338" s="1" t="s">
        <v>42</v>
      </c>
      <c r="C1338" s="1" t="s">
        <v>1710</v>
      </c>
      <c r="D1338" s="1" t="s">
        <v>1711</v>
      </c>
      <c r="E1338" s="1" t="s">
        <v>45</v>
      </c>
      <c r="F1338" s="1" t="s">
        <v>2590</v>
      </c>
      <c r="G1338" s="1" t="s">
        <v>3118</v>
      </c>
      <c r="H1338" s="1" t="s">
        <v>3119</v>
      </c>
      <c r="I1338" s="1" t="s">
        <v>49</v>
      </c>
      <c r="J1338" s="1" t="s">
        <v>48</v>
      </c>
      <c r="K1338" s="1">
        <v>60</v>
      </c>
      <c r="L1338" s="1">
        <v>0</v>
      </c>
      <c r="M1338" s="1">
        <v>0</v>
      </c>
      <c r="N1338" s="1">
        <v>60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 t="s">
        <v>49</v>
      </c>
      <c r="AA1338" s="1" t="s">
        <v>49</v>
      </c>
      <c r="AB1338" s="1" t="s">
        <v>49</v>
      </c>
      <c r="AC1338" s="1" t="s">
        <v>1008</v>
      </c>
      <c r="AD1338" s="1" t="s">
        <v>1009</v>
      </c>
      <c r="AE1338" s="1" t="s">
        <v>1008</v>
      </c>
      <c r="AF1338" s="1" t="s">
        <v>2593</v>
      </c>
      <c r="AG1338" s="1" t="s">
        <v>53</v>
      </c>
      <c r="AH1338" s="1" t="s">
        <v>49</v>
      </c>
      <c r="AI1338" s="1" t="s">
        <v>54</v>
      </c>
      <c r="AJ1338" s="1">
        <v>1</v>
      </c>
      <c r="AK1338" s="1" t="str">
        <f t="shared" si="20"/>
        <v xml:space="preserve"> =&lt;90</v>
      </c>
      <c r="AL1338" s="1" t="str">
        <f>VLOOKUP(C:C,[1]基础信息!B$1:D$65536,3,0)</f>
        <v>Jug</v>
      </c>
      <c r="AM1338" s="1" t="str">
        <f>VLOOKUP(C:C,[1]基础信息!B$1:E$65536,4,0)</f>
        <v>Kalea XL ME4W</v>
      </c>
      <c r="AN1338" s="1" t="str">
        <f>VLOOKUP(C:C,[1]基础信息!B$1:F$65536,5,0)</f>
        <v>grey</v>
      </c>
    </row>
    <row r="1339" spans="1:40">
      <c r="A1339" s="1" t="s">
        <v>41</v>
      </c>
      <c r="B1339" s="1" t="s">
        <v>42</v>
      </c>
      <c r="C1339" s="1" t="s">
        <v>301</v>
      </c>
      <c r="D1339" s="1" t="s">
        <v>302</v>
      </c>
      <c r="E1339" s="1" t="s">
        <v>45</v>
      </c>
      <c r="F1339" s="1" t="s">
        <v>3048</v>
      </c>
      <c r="G1339" s="1" t="s">
        <v>3120</v>
      </c>
      <c r="H1339" s="1" t="s">
        <v>3121</v>
      </c>
      <c r="I1339" s="1" t="s">
        <v>49</v>
      </c>
      <c r="J1339" s="1" t="s">
        <v>48</v>
      </c>
      <c r="K1339" s="1">
        <v>96</v>
      </c>
      <c r="L1339" s="1">
        <v>0</v>
      </c>
      <c r="M1339" s="1">
        <v>0</v>
      </c>
      <c r="N1339" s="1">
        <v>96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 t="s">
        <v>49</v>
      </c>
      <c r="AA1339" s="1" t="s">
        <v>49</v>
      </c>
      <c r="AB1339" s="1" t="s">
        <v>49</v>
      </c>
      <c r="AC1339" s="1" t="s">
        <v>1408</v>
      </c>
      <c r="AD1339" s="1" t="s">
        <v>1409</v>
      </c>
      <c r="AE1339" s="1" t="s">
        <v>1408</v>
      </c>
      <c r="AF1339" s="1" t="s">
        <v>3051</v>
      </c>
      <c r="AG1339" s="1" t="s">
        <v>53</v>
      </c>
      <c r="AH1339" s="1" t="s">
        <v>49</v>
      </c>
      <c r="AI1339" s="1" t="s">
        <v>54</v>
      </c>
      <c r="AJ1339" s="1">
        <v>1</v>
      </c>
      <c r="AK1339" s="1" t="str">
        <f t="shared" si="20"/>
        <v xml:space="preserve"> =&lt;90</v>
      </c>
      <c r="AL1339" s="1" t="str">
        <f>VLOOKUP(C:C,[1]基础信息!B$1:D$65536,3,0)</f>
        <v>Jug</v>
      </c>
      <c r="AM1339" s="1" t="str">
        <f>VLOOKUP(C:C,[1]基础信息!B$1:E$65536,4,0)</f>
        <v>Aluna</v>
      </c>
      <c r="AN1339" s="1" t="str">
        <f>VLOOKUP(C:C,[1]基础信息!B$1:F$65536,5,0)</f>
        <v>Blue</v>
      </c>
    </row>
    <row r="1340" spans="1:40">
      <c r="A1340" s="1" t="s">
        <v>41</v>
      </c>
      <c r="B1340" s="1" t="s">
        <v>42</v>
      </c>
      <c r="C1340" s="1" t="s">
        <v>301</v>
      </c>
      <c r="D1340" s="1" t="s">
        <v>302</v>
      </c>
      <c r="E1340" s="1" t="s">
        <v>45</v>
      </c>
      <c r="F1340" s="1" t="s">
        <v>3048</v>
      </c>
      <c r="G1340" s="1" t="s">
        <v>3122</v>
      </c>
      <c r="H1340" s="1" t="s">
        <v>3123</v>
      </c>
      <c r="I1340" s="1" t="s">
        <v>49</v>
      </c>
      <c r="J1340" s="1" t="s">
        <v>48</v>
      </c>
      <c r="K1340" s="1">
        <v>96</v>
      </c>
      <c r="L1340" s="1">
        <v>0</v>
      </c>
      <c r="M1340" s="1">
        <v>0</v>
      </c>
      <c r="N1340" s="1">
        <v>96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 t="s">
        <v>49</v>
      </c>
      <c r="AA1340" s="1" t="s">
        <v>49</v>
      </c>
      <c r="AB1340" s="1" t="s">
        <v>49</v>
      </c>
      <c r="AC1340" s="1" t="s">
        <v>1408</v>
      </c>
      <c r="AD1340" s="1" t="s">
        <v>1409</v>
      </c>
      <c r="AE1340" s="1" t="s">
        <v>1408</v>
      </c>
      <c r="AF1340" s="1" t="s">
        <v>3051</v>
      </c>
      <c r="AG1340" s="1" t="s">
        <v>53</v>
      </c>
      <c r="AH1340" s="1" t="s">
        <v>49</v>
      </c>
      <c r="AI1340" s="1" t="s">
        <v>54</v>
      </c>
      <c r="AJ1340" s="1">
        <v>1</v>
      </c>
      <c r="AK1340" s="1" t="str">
        <f t="shared" si="20"/>
        <v xml:space="preserve"> =&lt;90</v>
      </c>
      <c r="AL1340" s="1" t="str">
        <f>VLOOKUP(C:C,[1]基础信息!B$1:D$65536,3,0)</f>
        <v>Jug</v>
      </c>
      <c r="AM1340" s="1" t="str">
        <f>VLOOKUP(C:C,[1]基础信息!B$1:E$65536,4,0)</f>
        <v>Aluna</v>
      </c>
      <c r="AN1340" s="1" t="str">
        <f>VLOOKUP(C:C,[1]基础信息!B$1:F$65536,5,0)</f>
        <v>Blue</v>
      </c>
    </row>
    <row r="1341" spans="1:40">
      <c r="A1341" s="1" t="s">
        <v>41</v>
      </c>
      <c r="B1341" s="1" t="s">
        <v>42</v>
      </c>
      <c r="C1341" s="1" t="s">
        <v>301</v>
      </c>
      <c r="D1341" s="1" t="s">
        <v>302</v>
      </c>
      <c r="E1341" s="1" t="s">
        <v>45</v>
      </c>
      <c r="F1341" s="1" t="s">
        <v>3048</v>
      </c>
      <c r="G1341" s="1" t="s">
        <v>3124</v>
      </c>
      <c r="H1341" s="1" t="s">
        <v>3125</v>
      </c>
      <c r="I1341" s="1" t="s">
        <v>49</v>
      </c>
      <c r="J1341" s="1" t="s">
        <v>48</v>
      </c>
      <c r="K1341" s="1">
        <v>96</v>
      </c>
      <c r="L1341" s="1">
        <v>0</v>
      </c>
      <c r="M1341" s="1">
        <v>0</v>
      </c>
      <c r="N1341" s="1">
        <v>96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 t="s">
        <v>49</v>
      </c>
      <c r="AA1341" s="1" t="s">
        <v>49</v>
      </c>
      <c r="AB1341" s="1" t="s">
        <v>49</v>
      </c>
      <c r="AC1341" s="1" t="s">
        <v>1408</v>
      </c>
      <c r="AD1341" s="1" t="s">
        <v>1409</v>
      </c>
      <c r="AE1341" s="1" t="s">
        <v>1408</v>
      </c>
      <c r="AF1341" s="1" t="s">
        <v>3051</v>
      </c>
      <c r="AG1341" s="1" t="s">
        <v>53</v>
      </c>
      <c r="AH1341" s="1" t="s">
        <v>49</v>
      </c>
      <c r="AI1341" s="1" t="s">
        <v>54</v>
      </c>
      <c r="AJ1341" s="1">
        <v>1</v>
      </c>
      <c r="AK1341" s="1" t="str">
        <f t="shared" si="20"/>
        <v xml:space="preserve"> =&lt;90</v>
      </c>
      <c r="AL1341" s="1" t="str">
        <f>VLOOKUP(C:C,[1]基础信息!B$1:D$65536,3,0)</f>
        <v>Jug</v>
      </c>
      <c r="AM1341" s="1" t="str">
        <f>VLOOKUP(C:C,[1]基础信息!B$1:E$65536,4,0)</f>
        <v>Aluna</v>
      </c>
      <c r="AN1341" s="1" t="str">
        <f>VLOOKUP(C:C,[1]基础信息!B$1:F$65536,5,0)</f>
        <v>Blue</v>
      </c>
    </row>
    <row r="1342" spans="1:40">
      <c r="A1342" s="1" t="s">
        <v>41</v>
      </c>
      <c r="B1342" s="1" t="s">
        <v>42</v>
      </c>
      <c r="C1342" s="1" t="s">
        <v>301</v>
      </c>
      <c r="D1342" s="1" t="s">
        <v>302</v>
      </c>
      <c r="E1342" s="1" t="s">
        <v>45</v>
      </c>
      <c r="F1342" s="1" t="s">
        <v>3048</v>
      </c>
      <c r="G1342" s="1" t="s">
        <v>3126</v>
      </c>
      <c r="H1342" s="1" t="s">
        <v>3127</v>
      </c>
      <c r="I1342" s="1" t="s">
        <v>49</v>
      </c>
      <c r="J1342" s="1" t="s">
        <v>48</v>
      </c>
      <c r="K1342" s="1">
        <v>96</v>
      </c>
      <c r="L1342" s="1">
        <v>0</v>
      </c>
      <c r="M1342" s="1">
        <v>0</v>
      </c>
      <c r="N1342" s="1">
        <v>96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 t="s">
        <v>49</v>
      </c>
      <c r="AA1342" s="1" t="s">
        <v>49</v>
      </c>
      <c r="AB1342" s="1" t="s">
        <v>49</v>
      </c>
      <c r="AC1342" s="1" t="s">
        <v>1408</v>
      </c>
      <c r="AD1342" s="1" t="s">
        <v>1409</v>
      </c>
      <c r="AE1342" s="1" t="s">
        <v>1408</v>
      </c>
      <c r="AF1342" s="1" t="s">
        <v>3051</v>
      </c>
      <c r="AG1342" s="1" t="s">
        <v>53</v>
      </c>
      <c r="AH1342" s="1" t="s">
        <v>49</v>
      </c>
      <c r="AI1342" s="1" t="s">
        <v>54</v>
      </c>
      <c r="AJ1342" s="1">
        <v>1</v>
      </c>
      <c r="AK1342" s="1" t="str">
        <f t="shared" si="20"/>
        <v xml:space="preserve"> =&lt;90</v>
      </c>
      <c r="AL1342" s="1" t="str">
        <f>VLOOKUP(C:C,[1]基础信息!B$1:D$65536,3,0)</f>
        <v>Jug</v>
      </c>
      <c r="AM1342" s="1" t="str">
        <f>VLOOKUP(C:C,[1]基础信息!B$1:E$65536,4,0)</f>
        <v>Aluna</v>
      </c>
      <c r="AN1342" s="1" t="str">
        <f>VLOOKUP(C:C,[1]基础信息!B$1:F$65536,5,0)</f>
        <v>Blue</v>
      </c>
    </row>
    <row r="1343" spans="1:40">
      <c r="A1343" s="1" t="s">
        <v>41</v>
      </c>
      <c r="B1343" s="1" t="s">
        <v>42</v>
      </c>
      <c r="C1343" s="1" t="s">
        <v>301</v>
      </c>
      <c r="D1343" s="1" t="s">
        <v>302</v>
      </c>
      <c r="E1343" s="1" t="s">
        <v>45</v>
      </c>
      <c r="F1343" s="1" t="s">
        <v>3048</v>
      </c>
      <c r="G1343" s="1" t="s">
        <v>3128</v>
      </c>
      <c r="H1343" s="1" t="s">
        <v>3129</v>
      </c>
      <c r="I1343" s="1" t="s">
        <v>49</v>
      </c>
      <c r="J1343" s="1" t="s">
        <v>48</v>
      </c>
      <c r="K1343" s="1">
        <v>96</v>
      </c>
      <c r="L1343" s="1">
        <v>0</v>
      </c>
      <c r="M1343" s="1">
        <v>0</v>
      </c>
      <c r="N1343" s="1">
        <v>96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 t="s">
        <v>49</v>
      </c>
      <c r="AA1343" s="1" t="s">
        <v>49</v>
      </c>
      <c r="AB1343" s="1" t="s">
        <v>49</v>
      </c>
      <c r="AC1343" s="1" t="s">
        <v>1408</v>
      </c>
      <c r="AD1343" s="1" t="s">
        <v>1409</v>
      </c>
      <c r="AE1343" s="1" t="s">
        <v>1408</v>
      </c>
      <c r="AF1343" s="1" t="s">
        <v>3051</v>
      </c>
      <c r="AG1343" s="1" t="s">
        <v>53</v>
      </c>
      <c r="AH1343" s="1" t="s">
        <v>49</v>
      </c>
      <c r="AI1343" s="1" t="s">
        <v>54</v>
      </c>
      <c r="AJ1343" s="1">
        <v>1</v>
      </c>
      <c r="AK1343" s="1" t="str">
        <f t="shared" si="20"/>
        <v xml:space="preserve"> =&lt;90</v>
      </c>
      <c r="AL1343" s="1" t="str">
        <f>VLOOKUP(C:C,[1]基础信息!B$1:D$65536,3,0)</f>
        <v>Jug</v>
      </c>
      <c r="AM1343" s="1" t="str">
        <f>VLOOKUP(C:C,[1]基础信息!B$1:E$65536,4,0)</f>
        <v>Aluna</v>
      </c>
      <c r="AN1343" s="1" t="str">
        <f>VLOOKUP(C:C,[1]基础信息!B$1:F$65536,5,0)</f>
        <v>Blue</v>
      </c>
    </row>
    <row r="1344" spans="1:40">
      <c r="A1344" s="1" t="s">
        <v>41</v>
      </c>
      <c r="B1344" s="1" t="s">
        <v>42</v>
      </c>
      <c r="C1344" s="1" t="s">
        <v>301</v>
      </c>
      <c r="D1344" s="1" t="s">
        <v>302</v>
      </c>
      <c r="E1344" s="1" t="s">
        <v>45</v>
      </c>
      <c r="F1344" s="1" t="s">
        <v>3048</v>
      </c>
      <c r="G1344" s="1" t="s">
        <v>3130</v>
      </c>
      <c r="H1344" s="1" t="s">
        <v>3131</v>
      </c>
      <c r="I1344" s="1" t="s">
        <v>49</v>
      </c>
      <c r="J1344" s="1" t="s">
        <v>48</v>
      </c>
      <c r="K1344" s="1">
        <v>96</v>
      </c>
      <c r="L1344" s="1">
        <v>0</v>
      </c>
      <c r="M1344" s="1">
        <v>0</v>
      </c>
      <c r="N1344" s="1">
        <v>96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 t="s">
        <v>49</v>
      </c>
      <c r="AA1344" s="1" t="s">
        <v>49</v>
      </c>
      <c r="AB1344" s="1" t="s">
        <v>49</v>
      </c>
      <c r="AC1344" s="1" t="s">
        <v>1408</v>
      </c>
      <c r="AD1344" s="1" t="s">
        <v>1409</v>
      </c>
      <c r="AE1344" s="1" t="s">
        <v>1408</v>
      </c>
      <c r="AF1344" s="1" t="s">
        <v>3051</v>
      </c>
      <c r="AG1344" s="1" t="s">
        <v>53</v>
      </c>
      <c r="AH1344" s="1" t="s">
        <v>49</v>
      </c>
      <c r="AI1344" s="1" t="s">
        <v>54</v>
      </c>
      <c r="AJ1344" s="1">
        <v>1</v>
      </c>
      <c r="AK1344" s="1" t="str">
        <f t="shared" si="20"/>
        <v xml:space="preserve"> =&lt;90</v>
      </c>
      <c r="AL1344" s="1" t="str">
        <f>VLOOKUP(C:C,[1]基础信息!B$1:D$65536,3,0)</f>
        <v>Jug</v>
      </c>
      <c r="AM1344" s="1" t="str">
        <f>VLOOKUP(C:C,[1]基础信息!B$1:E$65536,4,0)</f>
        <v>Aluna</v>
      </c>
      <c r="AN1344" s="1" t="str">
        <f>VLOOKUP(C:C,[1]基础信息!B$1:F$65536,5,0)</f>
        <v>Blue</v>
      </c>
    </row>
    <row r="1345" spans="1:40">
      <c r="A1345" s="1" t="s">
        <v>41</v>
      </c>
      <c r="B1345" s="1" t="s">
        <v>42</v>
      </c>
      <c r="C1345" s="1" t="s">
        <v>301</v>
      </c>
      <c r="D1345" s="1" t="s">
        <v>302</v>
      </c>
      <c r="E1345" s="1" t="s">
        <v>45</v>
      </c>
      <c r="F1345" s="1" t="s">
        <v>3132</v>
      </c>
      <c r="G1345" s="1" t="s">
        <v>3133</v>
      </c>
      <c r="H1345" s="1" t="s">
        <v>3134</v>
      </c>
      <c r="I1345" s="1" t="s">
        <v>49</v>
      </c>
      <c r="J1345" s="1" t="s">
        <v>48</v>
      </c>
      <c r="K1345" s="1">
        <v>96</v>
      </c>
      <c r="L1345" s="1">
        <v>0</v>
      </c>
      <c r="M1345" s="1">
        <v>0</v>
      </c>
      <c r="N1345" s="1">
        <v>96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 t="s">
        <v>49</v>
      </c>
      <c r="AA1345" s="1" t="s">
        <v>49</v>
      </c>
      <c r="AB1345" s="1" t="s">
        <v>49</v>
      </c>
      <c r="AC1345" s="1" t="s">
        <v>1408</v>
      </c>
      <c r="AD1345" s="1" t="s">
        <v>1409</v>
      </c>
      <c r="AE1345" s="1" t="s">
        <v>1408</v>
      </c>
      <c r="AF1345" s="1" t="s">
        <v>2800</v>
      </c>
      <c r="AG1345" s="1" t="s">
        <v>53</v>
      </c>
      <c r="AH1345" s="1" t="s">
        <v>49</v>
      </c>
      <c r="AI1345" s="1" t="s">
        <v>54</v>
      </c>
      <c r="AJ1345" s="1">
        <v>1</v>
      </c>
      <c r="AK1345" s="1" t="str">
        <f t="shared" si="20"/>
        <v xml:space="preserve"> =&lt;90</v>
      </c>
      <c r="AL1345" s="1" t="str">
        <f>VLOOKUP(C:C,[1]基础信息!B$1:D$65536,3,0)</f>
        <v>Jug</v>
      </c>
      <c r="AM1345" s="1" t="str">
        <f>VLOOKUP(C:C,[1]基础信息!B$1:E$65536,4,0)</f>
        <v>Aluna</v>
      </c>
      <c r="AN1345" s="1" t="str">
        <f>VLOOKUP(C:C,[1]基础信息!B$1:F$65536,5,0)</f>
        <v>Blue</v>
      </c>
    </row>
    <row r="1346" spans="1:40">
      <c r="A1346" s="1" t="s">
        <v>41</v>
      </c>
      <c r="B1346" s="1" t="s">
        <v>42</v>
      </c>
      <c r="C1346" s="1" t="s">
        <v>301</v>
      </c>
      <c r="D1346" s="1" t="s">
        <v>302</v>
      </c>
      <c r="E1346" s="1" t="s">
        <v>45</v>
      </c>
      <c r="F1346" s="1" t="s">
        <v>3132</v>
      </c>
      <c r="G1346" s="1" t="s">
        <v>3135</v>
      </c>
      <c r="H1346" s="1" t="s">
        <v>3136</v>
      </c>
      <c r="I1346" s="1" t="s">
        <v>49</v>
      </c>
      <c r="J1346" s="1" t="s">
        <v>48</v>
      </c>
      <c r="K1346" s="1">
        <v>96</v>
      </c>
      <c r="L1346" s="1">
        <v>0</v>
      </c>
      <c r="M1346" s="1">
        <v>0</v>
      </c>
      <c r="N1346" s="1">
        <v>96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 t="s">
        <v>49</v>
      </c>
      <c r="AA1346" s="1" t="s">
        <v>49</v>
      </c>
      <c r="AB1346" s="1" t="s">
        <v>49</v>
      </c>
      <c r="AC1346" s="1" t="s">
        <v>1408</v>
      </c>
      <c r="AD1346" s="1" t="s">
        <v>1409</v>
      </c>
      <c r="AE1346" s="1" t="s">
        <v>1408</v>
      </c>
      <c r="AF1346" s="1" t="s">
        <v>2800</v>
      </c>
      <c r="AG1346" s="1" t="s">
        <v>53</v>
      </c>
      <c r="AH1346" s="1" t="s">
        <v>49</v>
      </c>
      <c r="AI1346" s="1" t="s">
        <v>54</v>
      </c>
      <c r="AJ1346" s="1">
        <v>1</v>
      </c>
      <c r="AK1346" s="1" t="str">
        <f t="shared" ref="AK1346:AK1409" si="21">IF(AJ1346&gt;$AP$2,$AQ$2,IF(AJ1346&gt;$AP$3,$AQ$3,IF(AJ1346&gt;$AP$4,$AQ$4,$AQ$5)))</f>
        <v xml:space="preserve"> =&lt;90</v>
      </c>
      <c r="AL1346" s="1" t="str">
        <f>VLOOKUP(C:C,[1]基础信息!B$1:D$65536,3,0)</f>
        <v>Jug</v>
      </c>
      <c r="AM1346" s="1" t="str">
        <f>VLOOKUP(C:C,[1]基础信息!B$1:E$65536,4,0)</f>
        <v>Aluna</v>
      </c>
      <c r="AN1346" s="1" t="str">
        <f>VLOOKUP(C:C,[1]基础信息!B$1:F$65536,5,0)</f>
        <v>Blue</v>
      </c>
    </row>
    <row r="1347" spans="1:40">
      <c r="A1347" s="1" t="s">
        <v>41</v>
      </c>
      <c r="B1347" s="1" t="s">
        <v>42</v>
      </c>
      <c r="C1347" s="1" t="s">
        <v>301</v>
      </c>
      <c r="D1347" s="1" t="s">
        <v>302</v>
      </c>
      <c r="E1347" s="1" t="s">
        <v>45</v>
      </c>
      <c r="F1347" s="1" t="s">
        <v>3132</v>
      </c>
      <c r="G1347" s="1" t="s">
        <v>3137</v>
      </c>
      <c r="H1347" s="1" t="s">
        <v>3138</v>
      </c>
      <c r="I1347" s="1" t="s">
        <v>49</v>
      </c>
      <c r="J1347" s="1" t="s">
        <v>48</v>
      </c>
      <c r="K1347" s="1">
        <v>96</v>
      </c>
      <c r="L1347" s="1">
        <v>0</v>
      </c>
      <c r="M1347" s="1">
        <v>0</v>
      </c>
      <c r="N1347" s="1">
        <v>96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 t="s">
        <v>49</v>
      </c>
      <c r="AA1347" s="1" t="s">
        <v>49</v>
      </c>
      <c r="AB1347" s="1" t="s">
        <v>49</v>
      </c>
      <c r="AC1347" s="1" t="s">
        <v>1408</v>
      </c>
      <c r="AD1347" s="1" t="s">
        <v>1409</v>
      </c>
      <c r="AE1347" s="1" t="s">
        <v>1408</v>
      </c>
      <c r="AF1347" s="1" t="s">
        <v>2800</v>
      </c>
      <c r="AG1347" s="1" t="s">
        <v>53</v>
      </c>
      <c r="AH1347" s="1" t="s">
        <v>49</v>
      </c>
      <c r="AI1347" s="1" t="s">
        <v>54</v>
      </c>
      <c r="AJ1347" s="1">
        <v>1</v>
      </c>
      <c r="AK1347" s="1" t="str">
        <f t="shared" si="21"/>
        <v xml:space="preserve"> =&lt;90</v>
      </c>
      <c r="AL1347" s="1" t="str">
        <f>VLOOKUP(C:C,[1]基础信息!B$1:D$65536,3,0)</f>
        <v>Jug</v>
      </c>
      <c r="AM1347" s="1" t="str">
        <f>VLOOKUP(C:C,[1]基础信息!B$1:E$65536,4,0)</f>
        <v>Aluna</v>
      </c>
      <c r="AN1347" s="1" t="str">
        <f>VLOOKUP(C:C,[1]基础信息!B$1:F$65536,5,0)</f>
        <v>Blue</v>
      </c>
    </row>
    <row r="1348" spans="1:40">
      <c r="A1348" s="1" t="s">
        <v>41</v>
      </c>
      <c r="B1348" s="1" t="s">
        <v>42</v>
      </c>
      <c r="C1348" s="1" t="s">
        <v>301</v>
      </c>
      <c r="D1348" s="1" t="s">
        <v>302</v>
      </c>
      <c r="E1348" s="1" t="s">
        <v>45</v>
      </c>
      <c r="F1348" s="1" t="s">
        <v>3132</v>
      </c>
      <c r="G1348" s="1" t="s">
        <v>3139</v>
      </c>
      <c r="H1348" s="1" t="s">
        <v>3140</v>
      </c>
      <c r="I1348" s="1" t="s">
        <v>49</v>
      </c>
      <c r="J1348" s="1" t="s">
        <v>48</v>
      </c>
      <c r="K1348" s="1">
        <v>96</v>
      </c>
      <c r="L1348" s="1">
        <v>0</v>
      </c>
      <c r="M1348" s="1">
        <v>0</v>
      </c>
      <c r="N1348" s="1">
        <v>96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 t="s">
        <v>49</v>
      </c>
      <c r="AA1348" s="1" t="s">
        <v>49</v>
      </c>
      <c r="AB1348" s="1" t="s">
        <v>49</v>
      </c>
      <c r="AC1348" s="1" t="s">
        <v>1408</v>
      </c>
      <c r="AD1348" s="1" t="s">
        <v>1409</v>
      </c>
      <c r="AE1348" s="1" t="s">
        <v>1408</v>
      </c>
      <c r="AF1348" s="1" t="s">
        <v>2800</v>
      </c>
      <c r="AG1348" s="1" t="s">
        <v>53</v>
      </c>
      <c r="AH1348" s="1" t="s">
        <v>49</v>
      </c>
      <c r="AI1348" s="1" t="s">
        <v>54</v>
      </c>
      <c r="AJ1348" s="1">
        <v>1</v>
      </c>
      <c r="AK1348" s="1" t="str">
        <f t="shared" si="21"/>
        <v xml:space="preserve"> =&lt;90</v>
      </c>
      <c r="AL1348" s="1" t="str">
        <f>VLOOKUP(C:C,[1]基础信息!B$1:D$65536,3,0)</f>
        <v>Jug</v>
      </c>
      <c r="AM1348" s="1" t="str">
        <f>VLOOKUP(C:C,[1]基础信息!B$1:E$65536,4,0)</f>
        <v>Aluna</v>
      </c>
      <c r="AN1348" s="1" t="str">
        <f>VLOOKUP(C:C,[1]基础信息!B$1:F$65536,5,0)</f>
        <v>Blue</v>
      </c>
    </row>
    <row r="1349" spans="1:40">
      <c r="A1349" s="1" t="s">
        <v>41</v>
      </c>
      <c r="B1349" s="1" t="s">
        <v>42</v>
      </c>
      <c r="C1349" s="1" t="s">
        <v>301</v>
      </c>
      <c r="D1349" s="1" t="s">
        <v>302</v>
      </c>
      <c r="E1349" s="1" t="s">
        <v>45</v>
      </c>
      <c r="F1349" s="1" t="s">
        <v>3132</v>
      </c>
      <c r="G1349" s="1" t="s">
        <v>3141</v>
      </c>
      <c r="H1349" s="1" t="s">
        <v>3142</v>
      </c>
      <c r="I1349" s="1" t="s">
        <v>49</v>
      </c>
      <c r="J1349" s="1" t="s">
        <v>48</v>
      </c>
      <c r="K1349" s="1">
        <v>96</v>
      </c>
      <c r="L1349" s="1">
        <v>0</v>
      </c>
      <c r="M1349" s="1">
        <v>0</v>
      </c>
      <c r="N1349" s="1">
        <v>96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 t="s">
        <v>49</v>
      </c>
      <c r="AA1349" s="1" t="s">
        <v>49</v>
      </c>
      <c r="AB1349" s="1" t="s">
        <v>49</v>
      </c>
      <c r="AC1349" s="1" t="s">
        <v>1408</v>
      </c>
      <c r="AD1349" s="1" t="s">
        <v>1409</v>
      </c>
      <c r="AE1349" s="1" t="s">
        <v>1408</v>
      </c>
      <c r="AF1349" s="1" t="s">
        <v>2800</v>
      </c>
      <c r="AG1349" s="1" t="s">
        <v>53</v>
      </c>
      <c r="AH1349" s="1" t="s">
        <v>49</v>
      </c>
      <c r="AI1349" s="1" t="s">
        <v>54</v>
      </c>
      <c r="AJ1349" s="1">
        <v>1</v>
      </c>
      <c r="AK1349" s="1" t="str">
        <f t="shared" si="21"/>
        <v xml:space="preserve"> =&lt;90</v>
      </c>
      <c r="AL1349" s="1" t="str">
        <f>VLOOKUP(C:C,[1]基础信息!B$1:D$65536,3,0)</f>
        <v>Jug</v>
      </c>
      <c r="AM1349" s="1" t="str">
        <f>VLOOKUP(C:C,[1]基础信息!B$1:E$65536,4,0)</f>
        <v>Aluna</v>
      </c>
      <c r="AN1349" s="1" t="str">
        <f>VLOOKUP(C:C,[1]基础信息!B$1:F$65536,5,0)</f>
        <v>Blue</v>
      </c>
    </row>
    <row r="1350" spans="1:40">
      <c r="A1350" s="1" t="s">
        <v>41</v>
      </c>
      <c r="B1350" s="1" t="s">
        <v>42</v>
      </c>
      <c r="C1350" s="1" t="s">
        <v>301</v>
      </c>
      <c r="D1350" s="1" t="s">
        <v>302</v>
      </c>
      <c r="E1350" s="1" t="s">
        <v>45</v>
      </c>
      <c r="F1350" s="1" t="s">
        <v>3132</v>
      </c>
      <c r="G1350" s="1" t="s">
        <v>3143</v>
      </c>
      <c r="H1350" s="1" t="s">
        <v>3144</v>
      </c>
      <c r="I1350" s="1" t="s">
        <v>49</v>
      </c>
      <c r="J1350" s="1" t="s">
        <v>48</v>
      </c>
      <c r="K1350" s="1">
        <v>96</v>
      </c>
      <c r="L1350" s="1">
        <v>0</v>
      </c>
      <c r="M1350" s="1">
        <v>0</v>
      </c>
      <c r="N1350" s="1">
        <v>96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 t="s">
        <v>49</v>
      </c>
      <c r="AA1350" s="1" t="s">
        <v>49</v>
      </c>
      <c r="AB1350" s="1" t="s">
        <v>49</v>
      </c>
      <c r="AC1350" s="1" t="s">
        <v>1408</v>
      </c>
      <c r="AD1350" s="1" t="s">
        <v>1409</v>
      </c>
      <c r="AE1350" s="1" t="s">
        <v>1408</v>
      </c>
      <c r="AF1350" s="1" t="s">
        <v>2800</v>
      </c>
      <c r="AG1350" s="1" t="s">
        <v>53</v>
      </c>
      <c r="AH1350" s="1" t="s">
        <v>49</v>
      </c>
      <c r="AI1350" s="1" t="s">
        <v>54</v>
      </c>
      <c r="AJ1350" s="1">
        <v>1</v>
      </c>
      <c r="AK1350" s="1" t="str">
        <f t="shared" si="21"/>
        <v xml:space="preserve"> =&lt;90</v>
      </c>
      <c r="AL1350" s="1" t="str">
        <f>VLOOKUP(C:C,[1]基础信息!B$1:D$65536,3,0)</f>
        <v>Jug</v>
      </c>
      <c r="AM1350" s="1" t="str">
        <f>VLOOKUP(C:C,[1]基础信息!B$1:E$65536,4,0)</f>
        <v>Aluna</v>
      </c>
      <c r="AN1350" s="1" t="str">
        <f>VLOOKUP(C:C,[1]基础信息!B$1:F$65536,5,0)</f>
        <v>Blue</v>
      </c>
    </row>
    <row r="1351" spans="1:40">
      <c r="A1351" s="1" t="s">
        <v>41</v>
      </c>
      <c r="B1351" s="1" t="s">
        <v>42</v>
      </c>
      <c r="C1351" s="1" t="s">
        <v>301</v>
      </c>
      <c r="D1351" s="1" t="s">
        <v>302</v>
      </c>
      <c r="E1351" s="1" t="s">
        <v>45</v>
      </c>
      <c r="F1351" s="1" t="s">
        <v>3132</v>
      </c>
      <c r="G1351" s="1" t="s">
        <v>3145</v>
      </c>
      <c r="H1351" s="1" t="s">
        <v>3146</v>
      </c>
      <c r="I1351" s="1" t="s">
        <v>49</v>
      </c>
      <c r="J1351" s="1" t="s">
        <v>48</v>
      </c>
      <c r="K1351" s="1">
        <v>96</v>
      </c>
      <c r="L1351" s="1">
        <v>0</v>
      </c>
      <c r="M1351" s="1">
        <v>0</v>
      </c>
      <c r="N1351" s="1">
        <v>96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 t="s">
        <v>49</v>
      </c>
      <c r="AA1351" s="1" t="s">
        <v>49</v>
      </c>
      <c r="AB1351" s="1" t="s">
        <v>49</v>
      </c>
      <c r="AC1351" s="1" t="s">
        <v>1408</v>
      </c>
      <c r="AD1351" s="1" t="s">
        <v>1409</v>
      </c>
      <c r="AE1351" s="1" t="s">
        <v>1408</v>
      </c>
      <c r="AF1351" s="1" t="s">
        <v>2800</v>
      </c>
      <c r="AG1351" s="1" t="s">
        <v>53</v>
      </c>
      <c r="AH1351" s="1" t="s">
        <v>49</v>
      </c>
      <c r="AI1351" s="1" t="s">
        <v>54</v>
      </c>
      <c r="AJ1351" s="1">
        <v>1</v>
      </c>
      <c r="AK1351" s="1" t="str">
        <f t="shared" si="21"/>
        <v xml:space="preserve"> =&lt;90</v>
      </c>
      <c r="AL1351" s="1" t="str">
        <f>VLOOKUP(C:C,[1]基础信息!B$1:D$65536,3,0)</f>
        <v>Jug</v>
      </c>
      <c r="AM1351" s="1" t="str">
        <f>VLOOKUP(C:C,[1]基础信息!B$1:E$65536,4,0)</f>
        <v>Aluna</v>
      </c>
      <c r="AN1351" s="1" t="str">
        <f>VLOOKUP(C:C,[1]基础信息!B$1:F$65536,5,0)</f>
        <v>Blue</v>
      </c>
    </row>
    <row r="1352" spans="1:40">
      <c r="A1352" s="1" t="s">
        <v>41</v>
      </c>
      <c r="B1352" s="1" t="s">
        <v>42</v>
      </c>
      <c r="C1352" s="1" t="s">
        <v>301</v>
      </c>
      <c r="D1352" s="1" t="s">
        <v>302</v>
      </c>
      <c r="E1352" s="1" t="s">
        <v>45</v>
      </c>
      <c r="F1352" s="1" t="s">
        <v>3132</v>
      </c>
      <c r="G1352" s="1" t="s">
        <v>3147</v>
      </c>
      <c r="H1352" s="1" t="s">
        <v>3148</v>
      </c>
      <c r="I1352" s="1" t="s">
        <v>49</v>
      </c>
      <c r="J1352" s="1" t="s">
        <v>48</v>
      </c>
      <c r="K1352" s="1">
        <v>96</v>
      </c>
      <c r="L1352" s="1">
        <v>0</v>
      </c>
      <c r="M1352" s="1">
        <v>0</v>
      </c>
      <c r="N1352" s="1">
        <v>96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 t="s">
        <v>49</v>
      </c>
      <c r="AA1352" s="1" t="s">
        <v>49</v>
      </c>
      <c r="AB1352" s="1" t="s">
        <v>49</v>
      </c>
      <c r="AC1352" s="1" t="s">
        <v>1408</v>
      </c>
      <c r="AD1352" s="1" t="s">
        <v>1409</v>
      </c>
      <c r="AE1352" s="1" t="s">
        <v>1408</v>
      </c>
      <c r="AF1352" s="1" t="s">
        <v>2800</v>
      </c>
      <c r="AG1352" s="1" t="s">
        <v>53</v>
      </c>
      <c r="AH1352" s="1" t="s">
        <v>49</v>
      </c>
      <c r="AI1352" s="1" t="s">
        <v>54</v>
      </c>
      <c r="AJ1352" s="1">
        <v>1</v>
      </c>
      <c r="AK1352" s="1" t="str">
        <f t="shared" si="21"/>
        <v xml:space="preserve"> =&lt;90</v>
      </c>
      <c r="AL1352" s="1" t="str">
        <f>VLOOKUP(C:C,[1]基础信息!B$1:D$65536,3,0)</f>
        <v>Jug</v>
      </c>
      <c r="AM1352" s="1" t="str">
        <f>VLOOKUP(C:C,[1]基础信息!B$1:E$65536,4,0)</f>
        <v>Aluna</v>
      </c>
      <c r="AN1352" s="1" t="str">
        <f>VLOOKUP(C:C,[1]基础信息!B$1:F$65536,5,0)</f>
        <v>Blue</v>
      </c>
    </row>
    <row r="1353" spans="1:40">
      <c r="A1353" s="1" t="s">
        <v>41</v>
      </c>
      <c r="B1353" s="1" t="s">
        <v>42</v>
      </c>
      <c r="C1353" s="1" t="s">
        <v>301</v>
      </c>
      <c r="D1353" s="1" t="s">
        <v>302</v>
      </c>
      <c r="E1353" s="1" t="s">
        <v>45</v>
      </c>
      <c r="F1353" s="1" t="s">
        <v>3132</v>
      </c>
      <c r="G1353" s="1" t="s">
        <v>3149</v>
      </c>
      <c r="H1353" s="1" t="s">
        <v>3150</v>
      </c>
      <c r="I1353" s="1" t="s">
        <v>49</v>
      </c>
      <c r="J1353" s="1" t="s">
        <v>48</v>
      </c>
      <c r="K1353" s="1">
        <v>96</v>
      </c>
      <c r="L1353" s="1">
        <v>0</v>
      </c>
      <c r="M1353" s="1">
        <v>0</v>
      </c>
      <c r="N1353" s="1">
        <v>96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 t="s">
        <v>49</v>
      </c>
      <c r="AA1353" s="1" t="s">
        <v>49</v>
      </c>
      <c r="AB1353" s="1" t="s">
        <v>49</v>
      </c>
      <c r="AC1353" s="1" t="s">
        <v>1408</v>
      </c>
      <c r="AD1353" s="1" t="s">
        <v>1409</v>
      </c>
      <c r="AE1353" s="1" t="s">
        <v>1408</v>
      </c>
      <c r="AF1353" s="1" t="s">
        <v>2800</v>
      </c>
      <c r="AG1353" s="1" t="s">
        <v>53</v>
      </c>
      <c r="AH1353" s="1" t="s">
        <v>49</v>
      </c>
      <c r="AI1353" s="1" t="s">
        <v>54</v>
      </c>
      <c r="AJ1353" s="1">
        <v>1</v>
      </c>
      <c r="AK1353" s="1" t="str">
        <f t="shared" si="21"/>
        <v xml:space="preserve"> =&lt;90</v>
      </c>
      <c r="AL1353" s="1" t="str">
        <f>VLOOKUP(C:C,[1]基础信息!B$1:D$65536,3,0)</f>
        <v>Jug</v>
      </c>
      <c r="AM1353" s="1" t="str">
        <f>VLOOKUP(C:C,[1]基础信息!B$1:E$65536,4,0)</f>
        <v>Aluna</v>
      </c>
      <c r="AN1353" s="1" t="str">
        <f>VLOOKUP(C:C,[1]基础信息!B$1:F$65536,5,0)</f>
        <v>Blue</v>
      </c>
    </row>
    <row r="1354" spans="1:40">
      <c r="A1354" s="1" t="s">
        <v>41</v>
      </c>
      <c r="B1354" s="1" t="s">
        <v>42</v>
      </c>
      <c r="C1354" s="1" t="s">
        <v>481</v>
      </c>
      <c r="D1354" s="1" t="s">
        <v>482</v>
      </c>
      <c r="E1354" s="1" t="s">
        <v>45</v>
      </c>
      <c r="F1354" s="1" t="s">
        <v>1491</v>
      </c>
      <c r="G1354" s="1" t="s">
        <v>3151</v>
      </c>
      <c r="H1354" s="1" t="s">
        <v>3152</v>
      </c>
      <c r="I1354" s="1" t="s">
        <v>49</v>
      </c>
      <c r="J1354" s="1" t="s">
        <v>48</v>
      </c>
      <c r="K1354" s="1">
        <v>168</v>
      </c>
      <c r="L1354" s="1">
        <v>0</v>
      </c>
      <c r="M1354" s="1">
        <v>0</v>
      </c>
      <c r="N1354" s="1">
        <v>168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 t="s">
        <v>49</v>
      </c>
      <c r="AA1354" s="1" t="s">
        <v>49</v>
      </c>
      <c r="AB1354" s="1" t="s">
        <v>49</v>
      </c>
      <c r="AC1354" s="1" t="s">
        <v>883</v>
      </c>
      <c r="AD1354" s="1" t="s">
        <v>884</v>
      </c>
      <c r="AE1354" s="1" t="s">
        <v>883</v>
      </c>
      <c r="AF1354" s="1" t="s">
        <v>1494</v>
      </c>
      <c r="AG1354" s="1" t="s">
        <v>53</v>
      </c>
      <c r="AH1354" s="1" t="s">
        <v>49</v>
      </c>
      <c r="AI1354" s="1" t="s">
        <v>54</v>
      </c>
      <c r="AJ1354" s="1">
        <v>1</v>
      </c>
      <c r="AK1354" s="1" t="str">
        <f t="shared" si="21"/>
        <v xml:space="preserve"> =&lt;90</v>
      </c>
      <c r="AL1354" s="1" t="str">
        <f>VLOOKUP(C:C,[1]基础信息!B$1:D$65536,3,0)</f>
        <v>Jug</v>
      </c>
      <c r="AM1354" s="1" t="str">
        <f>VLOOKUP(C:C,[1]基础信息!B$1:E$65536,4,0)</f>
        <v>Style COOL</v>
      </c>
      <c r="AN1354" s="1" t="str">
        <f>VLOOKUP(C:C,[1]基础信息!B$1:F$65536,5,0)</f>
        <v>Cool Blue</v>
      </c>
    </row>
    <row r="1355" spans="1:40">
      <c r="A1355" s="1" t="s">
        <v>41</v>
      </c>
      <c r="B1355" s="1" t="s">
        <v>42</v>
      </c>
      <c r="C1355" s="1" t="s">
        <v>301</v>
      </c>
      <c r="D1355" s="1" t="s">
        <v>302</v>
      </c>
      <c r="E1355" s="1" t="s">
        <v>45</v>
      </c>
      <c r="F1355" s="1" t="s">
        <v>3132</v>
      </c>
      <c r="G1355" s="1" t="s">
        <v>3153</v>
      </c>
      <c r="H1355" s="1" t="s">
        <v>3154</v>
      </c>
      <c r="I1355" s="1" t="s">
        <v>49</v>
      </c>
      <c r="J1355" s="1" t="s">
        <v>48</v>
      </c>
      <c r="K1355" s="1">
        <v>96</v>
      </c>
      <c r="L1355" s="1">
        <v>0</v>
      </c>
      <c r="M1355" s="1">
        <v>0</v>
      </c>
      <c r="N1355" s="1">
        <v>96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 t="s">
        <v>49</v>
      </c>
      <c r="AA1355" s="1" t="s">
        <v>49</v>
      </c>
      <c r="AB1355" s="1" t="s">
        <v>49</v>
      </c>
      <c r="AC1355" s="1" t="s">
        <v>1408</v>
      </c>
      <c r="AD1355" s="1" t="s">
        <v>1409</v>
      </c>
      <c r="AE1355" s="1" t="s">
        <v>1408</v>
      </c>
      <c r="AF1355" s="1" t="s">
        <v>2800</v>
      </c>
      <c r="AG1355" s="1" t="s">
        <v>53</v>
      </c>
      <c r="AH1355" s="1" t="s">
        <v>49</v>
      </c>
      <c r="AI1355" s="1" t="s">
        <v>54</v>
      </c>
      <c r="AJ1355" s="1">
        <v>1</v>
      </c>
      <c r="AK1355" s="1" t="str">
        <f t="shared" si="21"/>
        <v xml:space="preserve"> =&lt;90</v>
      </c>
      <c r="AL1355" s="1" t="str">
        <f>VLOOKUP(C:C,[1]基础信息!B$1:D$65536,3,0)</f>
        <v>Jug</v>
      </c>
      <c r="AM1355" s="1" t="str">
        <f>VLOOKUP(C:C,[1]基础信息!B$1:E$65536,4,0)</f>
        <v>Aluna</v>
      </c>
      <c r="AN1355" s="1" t="str">
        <f>VLOOKUP(C:C,[1]基础信息!B$1:F$65536,5,0)</f>
        <v>Blue</v>
      </c>
    </row>
    <row r="1356" spans="1:40">
      <c r="A1356" s="1" t="s">
        <v>41</v>
      </c>
      <c r="B1356" s="1" t="s">
        <v>42</v>
      </c>
      <c r="C1356" s="1" t="s">
        <v>481</v>
      </c>
      <c r="D1356" s="1" t="s">
        <v>482</v>
      </c>
      <c r="E1356" s="1" t="s">
        <v>45</v>
      </c>
      <c r="F1356" s="1" t="s">
        <v>1491</v>
      </c>
      <c r="G1356" s="1" t="s">
        <v>3155</v>
      </c>
      <c r="H1356" s="1" t="s">
        <v>3156</v>
      </c>
      <c r="I1356" s="1" t="s">
        <v>49</v>
      </c>
      <c r="J1356" s="1" t="s">
        <v>48</v>
      </c>
      <c r="K1356" s="1">
        <v>168</v>
      </c>
      <c r="L1356" s="1">
        <v>0</v>
      </c>
      <c r="M1356" s="1">
        <v>0</v>
      </c>
      <c r="N1356" s="1">
        <v>168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 t="s">
        <v>49</v>
      </c>
      <c r="AA1356" s="1" t="s">
        <v>49</v>
      </c>
      <c r="AB1356" s="1" t="s">
        <v>49</v>
      </c>
      <c r="AC1356" s="1" t="s">
        <v>883</v>
      </c>
      <c r="AD1356" s="1" t="s">
        <v>884</v>
      </c>
      <c r="AE1356" s="1" t="s">
        <v>883</v>
      </c>
      <c r="AF1356" s="1" t="s">
        <v>1494</v>
      </c>
      <c r="AG1356" s="1" t="s">
        <v>53</v>
      </c>
      <c r="AH1356" s="1" t="s">
        <v>49</v>
      </c>
      <c r="AI1356" s="1" t="s">
        <v>54</v>
      </c>
      <c r="AJ1356" s="1">
        <v>1</v>
      </c>
      <c r="AK1356" s="1" t="str">
        <f t="shared" si="21"/>
        <v xml:space="preserve"> =&lt;90</v>
      </c>
      <c r="AL1356" s="1" t="str">
        <f>VLOOKUP(C:C,[1]基础信息!B$1:D$65536,3,0)</f>
        <v>Jug</v>
      </c>
      <c r="AM1356" s="1" t="str">
        <f>VLOOKUP(C:C,[1]基础信息!B$1:E$65536,4,0)</f>
        <v>Style COOL</v>
      </c>
      <c r="AN1356" s="1" t="str">
        <f>VLOOKUP(C:C,[1]基础信息!B$1:F$65536,5,0)</f>
        <v>Cool Blue</v>
      </c>
    </row>
    <row r="1357" spans="1:40">
      <c r="A1357" s="1" t="s">
        <v>41</v>
      </c>
      <c r="B1357" s="1" t="s">
        <v>42</v>
      </c>
      <c r="C1357" s="1" t="s">
        <v>301</v>
      </c>
      <c r="D1357" s="1" t="s">
        <v>302</v>
      </c>
      <c r="E1357" s="1" t="s">
        <v>45</v>
      </c>
      <c r="F1357" s="1" t="s">
        <v>3132</v>
      </c>
      <c r="G1357" s="1" t="s">
        <v>3157</v>
      </c>
      <c r="H1357" s="1" t="s">
        <v>3158</v>
      </c>
      <c r="I1357" s="1" t="s">
        <v>49</v>
      </c>
      <c r="J1357" s="1" t="s">
        <v>48</v>
      </c>
      <c r="K1357" s="1">
        <v>20</v>
      </c>
      <c r="L1357" s="1">
        <v>0</v>
      </c>
      <c r="M1357" s="1">
        <v>0</v>
      </c>
      <c r="N1357" s="1">
        <v>20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 t="s">
        <v>49</v>
      </c>
      <c r="AA1357" s="1" t="s">
        <v>49</v>
      </c>
      <c r="AB1357" s="1" t="s">
        <v>49</v>
      </c>
      <c r="AC1357" s="1" t="s">
        <v>1408</v>
      </c>
      <c r="AD1357" s="1" t="s">
        <v>1409</v>
      </c>
      <c r="AE1357" s="1" t="s">
        <v>1408</v>
      </c>
      <c r="AF1357" s="1" t="s">
        <v>2800</v>
      </c>
      <c r="AG1357" s="1" t="s">
        <v>53</v>
      </c>
      <c r="AH1357" s="1" t="s">
        <v>49</v>
      </c>
      <c r="AI1357" s="1" t="s">
        <v>54</v>
      </c>
      <c r="AJ1357" s="1">
        <v>1</v>
      </c>
      <c r="AK1357" s="1" t="str">
        <f t="shared" si="21"/>
        <v xml:space="preserve"> =&lt;90</v>
      </c>
      <c r="AL1357" s="1" t="str">
        <f>VLOOKUP(C:C,[1]基础信息!B$1:D$65536,3,0)</f>
        <v>Jug</v>
      </c>
      <c r="AM1357" s="1" t="str">
        <f>VLOOKUP(C:C,[1]基础信息!B$1:E$65536,4,0)</f>
        <v>Aluna</v>
      </c>
      <c r="AN1357" s="1" t="str">
        <f>VLOOKUP(C:C,[1]基础信息!B$1:F$65536,5,0)</f>
        <v>Blue</v>
      </c>
    </row>
    <row r="1358" spans="1:40">
      <c r="A1358" s="1" t="s">
        <v>41</v>
      </c>
      <c r="B1358" s="1" t="s">
        <v>42</v>
      </c>
      <c r="C1358" s="1" t="s">
        <v>1383</v>
      </c>
      <c r="D1358" s="1" t="s">
        <v>1384</v>
      </c>
      <c r="E1358" s="1" t="s">
        <v>45</v>
      </c>
      <c r="F1358" s="1" t="s">
        <v>3159</v>
      </c>
      <c r="G1358" s="1" t="s">
        <v>3160</v>
      </c>
      <c r="H1358" s="1" t="s">
        <v>3161</v>
      </c>
      <c r="I1358" s="1" t="s">
        <v>49</v>
      </c>
      <c r="J1358" s="1" t="s">
        <v>48</v>
      </c>
      <c r="K1358" s="1">
        <v>96</v>
      </c>
      <c r="L1358" s="1">
        <v>0</v>
      </c>
      <c r="M1358" s="1">
        <v>0</v>
      </c>
      <c r="N1358" s="1">
        <v>96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 t="s">
        <v>49</v>
      </c>
      <c r="AA1358" s="1" t="s">
        <v>49</v>
      </c>
      <c r="AB1358" s="1" t="s">
        <v>49</v>
      </c>
      <c r="AC1358" s="1" t="s">
        <v>1408</v>
      </c>
      <c r="AD1358" s="1" t="s">
        <v>1409</v>
      </c>
      <c r="AE1358" s="1" t="s">
        <v>1408</v>
      </c>
      <c r="AF1358" s="1" t="s">
        <v>3162</v>
      </c>
      <c r="AG1358" s="1" t="s">
        <v>53</v>
      </c>
      <c r="AH1358" s="1" t="s">
        <v>49</v>
      </c>
      <c r="AI1358" s="1" t="s">
        <v>54</v>
      </c>
      <c r="AJ1358" s="1">
        <v>1</v>
      </c>
      <c r="AK1358" s="1" t="str">
        <f t="shared" si="21"/>
        <v xml:space="preserve"> =&lt;90</v>
      </c>
      <c r="AL1358" s="1" t="str">
        <f>VLOOKUP(C:C,[1]基础信息!B$1:D$65536,3,0)</f>
        <v>Jug</v>
      </c>
      <c r="AM1358" s="1" t="str">
        <f>VLOOKUP(C:C,[1]基础信息!B$1:E$65536,4,0)</f>
        <v>Mxplus</v>
      </c>
      <c r="AN1358" s="1" t="str">
        <f>VLOOKUP(C:C,[1]基础信息!B$1:F$65536,5,0)</f>
        <v>White</v>
      </c>
    </row>
    <row r="1359" spans="1:40">
      <c r="A1359" s="1" t="s">
        <v>41</v>
      </c>
      <c r="B1359" s="1" t="s">
        <v>42</v>
      </c>
      <c r="C1359" s="1" t="s">
        <v>1383</v>
      </c>
      <c r="D1359" s="1" t="s">
        <v>1384</v>
      </c>
      <c r="E1359" s="1" t="s">
        <v>45</v>
      </c>
      <c r="F1359" s="1" t="s">
        <v>3159</v>
      </c>
      <c r="G1359" s="1" t="s">
        <v>3163</v>
      </c>
      <c r="H1359" s="1" t="s">
        <v>3164</v>
      </c>
      <c r="I1359" s="1" t="s">
        <v>49</v>
      </c>
      <c r="J1359" s="1" t="s">
        <v>48</v>
      </c>
      <c r="K1359" s="1">
        <v>96</v>
      </c>
      <c r="L1359" s="1">
        <v>0</v>
      </c>
      <c r="M1359" s="1">
        <v>0</v>
      </c>
      <c r="N1359" s="1">
        <v>96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 t="s">
        <v>49</v>
      </c>
      <c r="AA1359" s="1" t="s">
        <v>49</v>
      </c>
      <c r="AB1359" s="1" t="s">
        <v>49</v>
      </c>
      <c r="AC1359" s="1" t="s">
        <v>1408</v>
      </c>
      <c r="AD1359" s="1" t="s">
        <v>1409</v>
      </c>
      <c r="AE1359" s="1" t="s">
        <v>1408</v>
      </c>
      <c r="AF1359" s="1" t="s">
        <v>3162</v>
      </c>
      <c r="AG1359" s="1" t="s">
        <v>53</v>
      </c>
      <c r="AH1359" s="1" t="s">
        <v>49</v>
      </c>
      <c r="AI1359" s="1" t="s">
        <v>54</v>
      </c>
      <c r="AJ1359" s="1">
        <v>1</v>
      </c>
      <c r="AK1359" s="1" t="str">
        <f t="shared" si="21"/>
        <v xml:space="preserve"> =&lt;90</v>
      </c>
      <c r="AL1359" s="1" t="str">
        <f>VLOOKUP(C:C,[1]基础信息!B$1:D$65536,3,0)</f>
        <v>Jug</v>
      </c>
      <c r="AM1359" s="1" t="str">
        <f>VLOOKUP(C:C,[1]基础信息!B$1:E$65536,4,0)</f>
        <v>Mxplus</v>
      </c>
      <c r="AN1359" s="1" t="str">
        <f>VLOOKUP(C:C,[1]基础信息!B$1:F$65536,5,0)</f>
        <v>White</v>
      </c>
    </row>
    <row r="1360" spans="1:40">
      <c r="A1360" s="1" t="s">
        <v>41</v>
      </c>
      <c r="B1360" s="1" t="s">
        <v>42</v>
      </c>
      <c r="C1360" s="1" t="s">
        <v>1383</v>
      </c>
      <c r="D1360" s="1" t="s">
        <v>1384</v>
      </c>
      <c r="E1360" s="1" t="s">
        <v>45</v>
      </c>
      <c r="F1360" s="1" t="s">
        <v>3159</v>
      </c>
      <c r="G1360" s="1" t="s">
        <v>3165</v>
      </c>
      <c r="H1360" s="1" t="s">
        <v>3166</v>
      </c>
      <c r="I1360" s="1" t="s">
        <v>49</v>
      </c>
      <c r="J1360" s="1" t="s">
        <v>48</v>
      </c>
      <c r="K1360" s="1">
        <v>96</v>
      </c>
      <c r="L1360" s="1">
        <v>0</v>
      </c>
      <c r="M1360" s="1">
        <v>0</v>
      </c>
      <c r="N1360" s="1">
        <v>96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 t="s">
        <v>49</v>
      </c>
      <c r="AA1360" s="1" t="s">
        <v>49</v>
      </c>
      <c r="AB1360" s="1" t="s">
        <v>49</v>
      </c>
      <c r="AC1360" s="1" t="s">
        <v>1408</v>
      </c>
      <c r="AD1360" s="1" t="s">
        <v>1409</v>
      </c>
      <c r="AE1360" s="1" t="s">
        <v>1408</v>
      </c>
      <c r="AF1360" s="1" t="s">
        <v>3162</v>
      </c>
      <c r="AG1360" s="1" t="s">
        <v>53</v>
      </c>
      <c r="AH1360" s="1" t="s">
        <v>49</v>
      </c>
      <c r="AI1360" s="1" t="s">
        <v>54</v>
      </c>
      <c r="AJ1360" s="1">
        <v>1</v>
      </c>
      <c r="AK1360" s="1" t="str">
        <f t="shared" si="21"/>
        <v xml:space="preserve"> =&lt;90</v>
      </c>
      <c r="AL1360" s="1" t="str">
        <f>VLOOKUP(C:C,[1]基础信息!B$1:D$65536,3,0)</f>
        <v>Jug</v>
      </c>
      <c r="AM1360" s="1" t="str">
        <f>VLOOKUP(C:C,[1]基础信息!B$1:E$65536,4,0)</f>
        <v>Mxplus</v>
      </c>
      <c r="AN1360" s="1" t="str">
        <f>VLOOKUP(C:C,[1]基础信息!B$1:F$65536,5,0)</f>
        <v>White</v>
      </c>
    </row>
    <row r="1361" spans="1:40">
      <c r="A1361" s="1" t="s">
        <v>41</v>
      </c>
      <c r="B1361" s="1" t="s">
        <v>42</v>
      </c>
      <c r="C1361" s="1" t="s">
        <v>1383</v>
      </c>
      <c r="D1361" s="1" t="s">
        <v>1384</v>
      </c>
      <c r="E1361" s="1" t="s">
        <v>45</v>
      </c>
      <c r="F1361" s="1" t="s">
        <v>3159</v>
      </c>
      <c r="G1361" s="1" t="s">
        <v>3167</v>
      </c>
      <c r="H1361" s="1" t="s">
        <v>3168</v>
      </c>
      <c r="I1361" s="1" t="s">
        <v>49</v>
      </c>
      <c r="J1361" s="1" t="s">
        <v>48</v>
      </c>
      <c r="K1361" s="1">
        <v>96</v>
      </c>
      <c r="L1361" s="1">
        <v>0</v>
      </c>
      <c r="M1361" s="1">
        <v>0</v>
      </c>
      <c r="N1361" s="1">
        <v>96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 t="s">
        <v>49</v>
      </c>
      <c r="AA1361" s="1" t="s">
        <v>49</v>
      </c>
      <c r="AB1361" s="1" t="s">
        <v>49</v>
      </c>
      <c r="AC1361" s="1" t="s">
        <v>1408</v>
      </c>
      <c r="AD1361" s="1" t="s">
        <v>1409</v>
      </c>
      <c r="AE1361" s="1" t="s">
        <v>1408</v>
      </c>
      <c r="AF1361" s="1" t="s">
        <v>3162</v>
      </c>
      <c r="AG1361" s="1" t="s">
        <v>53</v>
      </c>
      <c r="AH1361" s="1" t="s">
        <v>49</v>
      </c>
      <c r="AI1361" s="1" t="s">
        <v>54</v>
      </c>
      <c r="AJ1361" s="1">
        <v>1</v>
      </c>
      <c r="AK1361" s="1" t="str">
        <f t="shared" si="21"/>
        <v xml:space="preserve"> =&lt;90</v>
      </c>
      <c r="AL1361" s="1" t="str">
        <f>VLOOKUP(C:C,[1]基础信息!B$1:D$65536,3,0)</f>
        <v>Jug</v>
      </c>
      <c r="AM1361" s="1" t="str">
        <f>VLOOKUP(C:C,[1]基础信息!B$1:E$65536,4,0)</f>
        <v>Mxplus</v>
      </c>
      <c r="AN1361" s="1" t="str">
        <f>VLOOKUP(C:C,[1]基础信息!B$1:F$65536,5,0)</f>
        <v>White</v>
      </c>
    </row>
    <row r="1362" spans="1:40">
      <c r="A1362" s="1" t="s">
        <v>41</v>
      </c>
      <c r="B1362" s="1" t="s">
        <v>42</v>
      </c>
      <c r="C1362" s="1" t="s">
        <v>1383</v>
      </c>
      <c r="D1362" s="1" t="s">
        <v>1384</v>
      </c>
      <c r="E1362" s="1" t="s">
        <v>45</v>
      </c>
      <c r="F1362" s="1" t="s">
        <v>3159</v>
      </c>
      <c r="G1362" s="1" t="s">
        <v>3169</v>
      </c>
      <c r="H1362" s="1" t="s">
        <v>3170</v>
      </c>
      <c r="I1362" s="1" t="s">
        <v>49</v>
      </c>
      <c r="J1362" s="1" t="s">
        <v>48</v>
      </c>
      <c r="K1362" s="1">
        <v>96</v>
      </c>
      <c r="L1362" s="1">
        <v>0</v>
      </c>
      <c r="M1362" s="1">
        <v>0</v>
      </c>
      <c r="N1362" s="1">
        <v>96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 t="s">
        <v>49</v>
      </c>
      <c r="AA1362" s="1" t="s">
        <v>49</v>
      </c>
      <c r="AB1362" s="1" t="s">
        <v>49</v>
      </c>
      <c r="AC1362" s="1" t="s">
        <v>1408</v>
      </c>
      <c r="AD1362" s="1" t="s">
        <v>1409</v>
      </c>
      <c r="AE1362" s="1" t="s">
        <v>1408</v>
      </c>
      <c r="AF1362" s="1" t="s">
        <v>3162</v>
      </c>
      <c r="AG1362" s="1" t="s">
        <v>53</v>
      </c>
      <c r="AH1362" s="1" t="s">
        <v>49</v>
      </c>
      <c r="AI1362" s="1" t="s">
        <v>54</v>
      </c>
      <c r="AJ1362" s="1">
        <v>1</v>
      </c>
      <c r="AK1362" s="1" t="str">
        <f t="shared" si="21"/>
        <v xml:space="preserve"> =&lt;90</v>
      </c>
      <c r="AL1362" s="1" t="str">
        <f>VLOOKUP(C:C,[1]基础信息!B$1:D$65536,3,0)</f>
        <v>Jug</v>
      </c>
      <c r="AM1362" s="1" t="str">
        <f>VLOOKUP(C:C,[1]基础信息!B$1:E$65536,4,0)</f>
        <v>Mxplus</v>
      </c>
      <c r="AN1362" s="1" t="str">
        <f>VLOOKUP(C:C,[1]基础信息!B$1:F$65536,5,0)</f>
        <v>White</v>
      </c>
    </row>
    <row r="1363" spans="1:40">
      <c r="A1363" s="1" t="s">
        <v>41</v>
      </c>
      <c r="B1363" s="1" t="s">
        <v>42</v>
      </c>
      <c r="C1363" s="1" t="s">
        <v>1383</v>
      </c>
      <c r="D1363" s="1" t="s">
        <v>1384</v>
      </c>
      <c r="E1363" s="1" t="s">
        <v>45</v>
      </c>
      <c r="F1363" s="1" t="s">
        <v>3159</v>
      </c>
      <c r="G1363" s="1" t="s">
        <v>3171</v>
      </c>
      <c r="H1363" s="1" t="s">
        <v>3172</v>
      </c>
      <c r="I1363" s="1" t="s">
        <v>49</v>
      </c>
      <c r="J1363" s="1" t="s">
        <v>48</v>
      </c>
      <c r="K1363" s="1">
        <v>96</v>
      </c>
      <c r="L1363" s="1">
        <v>0</v>
      </c>
      <c r="M1363" s="1">
        <v>0</v>
      </c>
      <c r="N1363" s="1">
        <v>96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 t="s">
        <v>49</v>
      </c>
      <c r="AA1363" s="1" t="s">
        <v>49</v>
      </c>
      <c r="AB1363" s="1" t="s">
        <v>49</v>
      </c>
      <c r="AC1363" s="1" t="s">
        <v>1408</v>
      </c>
      <c r="AD1363" s="1" t="s">
        <v>1409</v>
      </c>
      <c r="AE1363" s="1" t="s">
        <v>1408</v>
      </c>
      <c r="AF1363" s="1" t="s">
        <v>3162</v>
      </c>
      <c r="AG1363" s="1" t="s">
        <v>53</v>
      </c>
      <c r="AH1363" s="1" t="s">
        <v>49</v>
      </c>
      <c r="AI1363" s="1" t="s">
        <v>54</v>
      </c>
      <c r="AJ1363" s="1">
        <v>1</v>
      </c>
      <c r="AK1363" s="1" t="str">
        <f t="shared" si="21"/>
        <v xml:space="preserve"> =&lt;90</v>
      </c>
      <c r="AL1363" s="1" t="str">
        <f>VLOOKUP(C:C,[1]基础信息!B$1:D$65536,3,0)</f>
        <v>Jug</v>
      </c>
      <c r="AM1363" s="1" t="str">
        <f>VLOOKUP(C:C,[1]基础信息!B$1:E$65536,4,0)</f>
        <v>Mxplus</v>
      </c>
      <c r="AN1363" s="1" t="str">
        <f>VLOOKUP(C:C,[1]基础信息!B$1:F$65536,5,0)</f>
        <v>White</v>
      </c>
    </row>
    <row r="1364" spans="1:40">
      <c r="A1364" s="1" t="s">
        <v>41</v>
      </c>
      <c r="B1364" s="1" t="s">
        <v>42</v>
      </c>
      <c r="C1364" s="1" t="s">
        <v>1383</v>
      </c>
      <c r="D1364" s="1" t="s">
        <v>1384</v>
      </c>
      <c r="E1364" s="1" t="s">
        <v>45</v>
      </c>
      <c r="F1364" s="1" t="s">
        <v>3159</v>
      </c>
      <c r="G1364" s="1" t="s">
        <v>3173</v>
      </c>
      <c r="H1364" s="1" t="s">
        <v>3174</v>
      </c>
      <c r="I1364" s="1" t="s">
        <v>49</v>
      </c>
      <c r="J1364" s="1" t="s">
        <v>48</v>
      </c>
      <c r="K1364" s="1">
        <v>96</v>
      </c>
      <c r="L1364" s="1">
        <v>0</v>
      </c>
      <c r="M1364" s="1">
        <v>0</v>
      </c>
      <c r="N1364" s="1">
        <v>96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 t="s">
        <v>49</v>
      </c>
      <c r="AA1364" s="1" t="s">
        <v>49</v>
      </c>
      <c r="AB1364" s="1" t="s">
        <v>49</v>
      </c>
      <c r="AC1364" s="1" t="s">
        <v>1408</v>
      </c>
      <c r="AD1364" s="1" t="s">
        <v>1409</v>
      </c>
      <c r="AE1364" s="1" t="s">
        <v>1408</v>
      </c>
      <c r="AF1364" s="1" t="s">
        <v>3162</v>
      </c>
      <c r="AG1364" s="1" t="s">
        <v>53</v>
      </c>
      <c r="AH1364" s="1" t="s">
        <v>49</v>
      </c>
      <c r="AI1364" s="1" t="s">
        <v>54</v>
      </c>
      <c r="AJ1364" s="1">
        <v>1</v>
      </c>
      <c r="AK1364" s="1" t="str">
        <f t="shared" si="21"/>
        <v xml:space="preserve"> =&lt;90</v>
      </c>
      <c r="AL1364" s="1" t="str">
        <f>VLOOKUP(C:C,[1]基础信息!B$1:D$65536,3,0)</f>
        <v>Jug</v>
      </c>
      <c r="AM1364" s="1" t="str">
        <f>VLOOKUP(C:C,[1]基础信息!B$1:E$65536,4,0)</f>
        <v>Mxplus</v>
      </c>
      <c r="AN1364" s="1" t="str">
        <f>VLOOKUP(C:C,[1]基础信息!B$1:F$65536,5,0)</f>
        <v>White</v>
      </c>
    </row>
    <row r="1365" spans="1:40">
      <c r="A1365" s="1" t="s">
        <v>41</v>
      </c>
      <c r="B1365" s="1" t="s">
        <v>42</v>
      </c>
      <c r="C1365" s="1" t="s">
        <v>1383</v>
      </c>
      <c r="D1365" s="1" t="s">
        <v>1384</v>
      </c>
      <c r="E1365" s="1" t="s">
        <v>45</v>
      </c>
      <c r="F1365" s="1" t="s">
        <v>3159</v>
      </c>
      <c r="G1365" s="1" t="s">
        <v>3175</v>
      </c>
      <c r="H1365" s="1" t="s">
        <v>3176</v>
      </c>
      <c r="I1365" s="1" t="s">
        <v>49</v>
      </c>
      <c r="J1365" s="1" t="s">
        <v>48</v>
      </c>
      <c r="K1365" s="1">
        <v>96</v>
      </c>
      <c r="L1365" s="1">
        <v>0</v>
      </c>
      <c r="M1365" s="1">
        <v>0</v>
      </c>
      <c r="N1365" s="1">
        <v>96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 t="s">
        <v>49</v>
      </c>
      <c r="AA1365" s="1" t="s">
        <v>49</v>
      </c>
      <c r="AB1365" s="1" t="s">
        <v>49</v>
      </c>
      <c r="AC1365" s="1" t="s">
        <v>1408</v>
      </c>
      <c r="AD1365" s="1" t="s">
        <v>1409</v>
      </c>
      <c r="AE1365" s="1" t="s">
        <v>1408</v>
      </c>
      <c r="AF1365" s="1" t="s">
        <v>3162</v>
      </c>
      <c r="AG1365" s="1" t="s">
        <v>53</v>
      </c>
      <c r="AH1365" s="1" t="s">
        <v>49</v>
      </c>
      <c r="AI1365" s="1" t="s">
        <v>54</v>
      </c>
      <c r="AJ1365" s="1">
        <v>1</v>
      </c>
      <c r="AK1365" s="1" t="str">
        <f t="shared" si="21"/>
        <v xml:space="preserve"> =&lt;90</v>
      </c>
      <c r="AL1365" s="1" t="str">
        <f>VLOOKUP(C:C,[1]基础信息!B$1:D$65536,3,0)</f>
        <v>Jug</v>
      </c>
      <c r="AM1365" s="1" t="str">
        <f>VLOOKUP(C:C,[1]基础信息!B$1:E$65536,4,0)</f>
        <v>Mxplus</v>
      </c>
      <c r="AN1365" s="1" t="str">
        <f>VLOOKUP(C:C,[1]基础信息!B$1:F$65536,5,0)</f>
        <v>White</v>
      </c>
    </row>
    <row r="1366" spans="1:40">
      <c r="A1366" s="1" t="s">
        <v>41</v>
      </c>
      <c r="B1366" s="1" t="s">
        <v>42</v>
      </c>
      <c r="C1366" s="1" t="s">
        <v>1383</v>
      </c>
      <c r="D1366" s="1" t="s">
        <v>1384</v>
      </c>
      <c r="E1366" s="1" t="s">
        <v>45</v>
      </c>
      <c r="F1366" s="1" t="s">
        <v>3159</v>
      </c>
      <c r="G1366" s="1" t="s">
        <v>3177</v>
      </c>
      <c r="H1366" s="1" t="s">
        <v>3178</v>
      </c>
      <c r="I1366" s="1" t="s">
        <v>49</v>
      </c>
      <c r="J1366" s="1" t="s">
        <v>48</v>
      </c>
      <c r="K1366" s="1">
        <v>96</v>
      </c>
      <c r="L1366" s="1">
        <v>0</v>
      </c>
      <c r="M1366" s="1">
        <v>0</v>
      </c>
      <c r="N1366" s="1">
        <v>96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 t="s">
        <v>49</v>
      </c>
      <c r="AA1366" s="1" t="s">
        <v>49</v>
      </c>
      <c r="AB1366" s="1" t="s">
        <v>49</v>
      </c>
      <c r="AC1366" s="1" t="s">
        <v>1408</v>
      </c>
      <c r="AD1366" s="1" t="s">
        <v>1409</v>
      </c>
      <c r="AE1366" s="1" t="s">
        <v>1408</v>
      </c>
      <c r="AF1366" s="1" t="s">
        <v>3162</v>
      </c>
      <c r="AG1366" s="1" t="s">
        <v>53</v>
      </c>
      <c r="AH1366" s="1" t="s">
        <v>49</v>
      </c>
      <c r="AI1366" s="1" t="s">
        <v>54</v>
      </c>
      <c r="AJ1366" s="1">
        <v>1</v>
      </c>
      <c r="AK1366" s="1" t="str">
        <f t="shared" si="21"/>
        <v xml:space="preserve"> =&lt;90</v>
      </c>
      <c r="AL1366" s="1" t="str">
        <f>VLOOKUP(C:C,[1]基础信息!B$1:D$65536,3,0)</f>
        <v>Jug</v>
      </c>
      <c r="AM1366" s="1" t="str">
        <f>VLOOKUP(C:C,[1]基础信息!B$1:E$65536,4,0)</f>
        <v>Mxplus</v>
      </c>
      <c r="AN1366" s="1" t="str">
        <f>VLOOKUP(C:C,[1]基础信息!B$1:F$65536,5,0)</f>
        <v>White</v>
      </c>
    </row>
    <row r="1367" spans="1:40">
      <c r="A1367" s="1" t="s">
        <v>41</v>
      </c>
      <c r="B1367" s="1" t="s">
        <v>42</v>
      </c>
      <c r="C1367" s="1" t="s">
        <v>1383</v>
      </c>
      <c r="D1367" s="1" t="s">
        <v>1384</v>
      </c>
      <c r="E1367" s="1" t="s">
        <v>45</v>
      </c>
      <c r="F1367" s="1" t="s">
        <v>3159</v>
      </c>
      <c r="G1367" s="1" t="s">
        <v>3179</v>
      </c>
      <c r="H1367" s="1" t="s">
        <v>3180</v>
      </c>
      <c r="I1367" s="1" t="s">
        <v>49</v>
      </c>
      <c r="J1367" s="1" t="s">
        <v>48</v>
      </c>
      <c r="K1367" s="1">
        <v>96</v>
      </c>
      <c r="L1367" s="1">
        <v>0</v>
      </c>
      <c r="M1367" s="1">
        <v>0</v>
      </c>
      <c r="N1367" s="1">
        <v>96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 t="s">
        <v>49</v>
      </c>
      <c r="AA1367" s="1" t="s">
        <v>49</v>
      </c>
      <c r="AB1367" s="1" t="s">
        <v>49</v>
      </c>
      <c r="AC1367" s="1" t="s">
        <v>1408</v>
      </c>
      <c r="AD1367" s="1" t="s">
        <v>1409</v>
      </c>
      <c r="AE1367" s="1" t="s">
        <v>1408</v>
      </c>
      <c r="AF1367" s="1" t="s">
        <v>3162</v>
      </c>
      <c r="AG1367" s="1" t="s">
        <v>53</v>
      </c>
      <c r="AH1367" s="1" t="s">
        <v>49</v>
      </c>
      <c r="AI1367" s="1" t="s">
        <v>54</v>
      </c>
      <c r="AJ1367" s="1">
        <v>1</v>
      </c>
      <c r="AK1367" s="1" t="str">
        <f t="shared" si="21"/>
        <v xml:space="preserve"> =&lt;90</v>
      </c>
      <c r="AL1367" s="1" t="str">
        <f>VLOOKUP(C:C,[1]基础信息!B$1:D$65536,3,0)</f>
        <v>Jug</v>
      </c>
      <c r="AM1367" s="1" t="str">
        <f>VLOOKUP(C:C,[1]基础信息!B$1:E$65536,4,0)</f>
        <v>Mxplus</v>
      </c>
      <c r="AN1367" s="1" t="str">
        <f>VLOOKUP(C:C,[1]基础信息!B$1:F$65536,5,0)</f>
        <v>White</v>
      </c>
    </row>
    <row r="1368" spans="1:40">
      <c r="A1368" s="1" t="s">
        <v>41</v>
      </c>
      <c r="B1368" s="1" t="s">
        <v>42</v>
      </c>
      <c r="C1368" s="1" t="s">
        <v>1383</v>
      </c>
      <c r="D1368" s="1" t="s">
        <v>1384</v>
      </c>
      <c r="E1368" s="1" t="s">
        <v>45</v>
      </c>
      <c r="F1368" s="1" t="s">
        <v>3159</v>
      </c>
      <c r="G1368" s="1" t="s">
        <v>3181</v>
      </c>
      <c r="H1368" s="1" t="s">
        <v>3182</v>
      </c>
      <c r="I1368" s="1" t="s">
        <v>49</v>
      </c>
      <c r="J1368" s="1" t="s">
        <v>48</v>
      </c>
      <c r="K1368" s="1">
        <v>96</v>
      </c>
      <c r="L1368" s="1">
        <v>0</v>
      </c>
      <c r="M1368" s="1">
        <v>0</v>
      </c>
      <c r="N1368" s="1">
        <v>96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 t="s">
        <v>49</v>
      </c>
      <c r="AA1368" s="1" t="s">
        <v>49</v>
      </c>
      <c r="AB1368" s="1" t="s">
        <v>49</v>
      </c>
      <c r="AC1368" s="1" t="s">
        <v>1408</v>
      </c>
      <c r="AD1368" s="1" t="s">
        <v>1409</v>
      </c>
      <c r="AE1368" s="1" t="s">
        <v>1408</v>
      </c>
      <c r="AF1368" s="1" t="s">
        <v>3162</v>
      </c>
      <c r="AG1368" s="1" t="s">
        <v>53</v>
      </c>
      <c r="AH1368" s="1" t="s">
        <v>49</v>
      </c>
      <c r="AI1368" s="1" t="s">
        <v>54</v>
      </c>
      <c r="AJ1368" s="1">
        <v>1</v>
      </c>
      <c r="AK1368" s="1" t="str">
        <f t="shared" si="21"/>
        <v xml:space="preserve"> =&lt;90</v>
      </c>
      <c r="AL1368" s="1" t="str">
        <f>VLOOKUP(C:C,[1]基础信息!B$1:D$65536,3,0)</f>
        <v>Jug</v>
      </c>
      <c r="AM1368" s="1" t="str">
        <f>VLOOKUP(C:C,[1]基础信息!B$1:E$65536,4,0)</f>
        <v>Mxplus</v>
      </c>
      <c r="AN1368" s="1" t="str">
        <f>VLOOKUP(C:C,[1]基础信息!B$1:F$65536,5,0)</f>
        <v>White</v>
      </c>
    </row>
    <row r="1369" spans="1:40">
      <c r="A1369" s="1" t="s">
        <v>41</v>
      </c>
      <c r="B1369" s="1" t="s">
        <v>42</v>
      </c>
      <c r="C1369" s="1" t="s">
        <v>1383</v>
      </c>
      <c r="D1369" s="1" t="s">
        <v>1384</v>
      </c>
      <c r="E1369" s="1" t="s">
        <v>45</v>
      </c>
      <c r="F1369" s="1" t="s">
        <v>3159</v>
      </c>
      <c r="G1369" s="1" t="s">
        <v>3183</v>
      </c>
      <c r="H1369" s="1" t="s">
        <v>3184</v>
      </c>
      <c r="I1369" s="1" t="s">
        <v>49</v>
      </c>
      <c r="J1369" s="1" t="s">
        <v>48</v>
      </c>
      <c r="K1369" s="1">
        <v>96</v>
      </c>
      <c r="L1369" s="1">
        <v>0</v>
      </c>
      <c r="M1369" s="1">
        <v>0</v>
      </c>
      <c r="N1369" s="1">
        <v>96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 t="s">
        <v>49</v>
      </c>
      <c r="AA1369" s="1" t="s">
        <v>49</v>
      </c>
      <c r="AB1369" s="1" t="s">
        <v>49</v>
      </c>
      <c r="AC1369" s="1" t="s">
        <v>1408</v>
      </c>
      <c r="AD1369" s="1" t="s">
        <v>1409</v>
      </c>
      <c r="AE1369" s="1" t="s">
        <v>1408</v>
      </c>
      <c r="AF1369" s="1" t="s">
        <v>3162</v>
      </c>
      <c r="AG1369" s="1" t="s">
        <v>53</v>
      </c>
      <c r="AH1369" s="1" t="s">
        <v>49</v>
      </c>
      <c r="AI1369" s="1" t="s">
        <v>54</v>
      </c>
      <c r="AJ1369" s="1">
        <v>1</v>
      </c>
      <c r="AK1369" s="1" t="str">
        <f t="shared" si="21"/>
        <v xml:space="preserve"> =&lt;90</v>
      </c>
      <c r="AL1369" s="1" t="str">
        <f>VLOOKUP(C:C,[1]基础信息!B$1:D$65536,3,0)</f>
        <v>Jug</v>
      </c>
      <c r="AM1369" s="1" t="str">
        <f>VLOOKUP(C:C,[1]基础信息!B$1:E$65536,4,0)</f>
        <v>Mxplus</v>
      </c>
      <c r="AN1369" s="1" t="str">
        <f>VLOOKUP(C:C,[1]基础信息!B$1:F$65536,5,0)</f>
        <v>White</v>
      </c>
    </row>
    <row r="1370" spans="1:40">
      <c r="A1370" s="1" t="s">
        <v>41</v>
      </c>
      <c r="B1370" s="1" t="s">
        <v>42</v>
      </c>
      <c r="C1370" s="1" t="s">
        <v>1710</v>
      </c>
      <c r="D1370" s="1" t="s">
        <v>1711</v>
      </c>
      <c r="E1370" s="1" t="s">
        <v>45</v>
      </c>
      <c r="F1370" s="1" t="s">
        <v>2590</v>
      </c>
      <c r="G1370" s="1" t="s">
        <v>3185</v>
      </c>
      <c r="H1370" s="1" t="s">
        <v>3186</v>
      </c>
      <c r="I1370" s="1" t="s">
        <v>49</v>
      </c>
      <c r="J1370" s="1" t="s">
        <v>48</v>
      </c>
      <c r="K1370" s="1">
        <v>60</v>
      </c>
      <c r="L1370" s="1">
        <v>0</v>
      </c>
      <c r="M1370" s="1">
        <v>0</v>
      </c>
      <c r="N1370" s="1">
        <v>60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 t="s">
        <v>49</v>
      </c>
      <c r="AA1370" s="1" t="s">
        <v>49</v>
      </c>
      <c r="AB1370" s="1" t="s">
        <v>49</v>
      </c>
      <c r="AC1370" s="1" t="s">
        <v>1008</v>
      </c>
      <c r="AD1370" s="1" t="s">
        <v>1009</v>
      </c>
      <c r="AE1370" s="1" t="s">
        <v>1008</v>
      </c>
      <c r="AF1370" s="1" t="s">
        <v>2593</v>
      </c>
      <c r="AG1370" s="1" t="s">
        <v>53</v>
      </c>
      <c r="AH1370" s="1" t="s">
        <v>49</v>
      </c>
      <c r="AI1370" s="1" t="s">
        <v>54</v>
      </c>
      <c r="AJ1370" s="1">
        <v>1</v>
      </c>
      <c r="AK1370" s="1" t="str">
        <f t="shared" si="21"/>
        <v xml:space="preserve"> =&lt;90</v>
      </c>
      <c r="AL1370" s="1" t="str">
        <f>VLOOKUP(C:C,[1]基础信息!B$1:D$65536,3,0)</f>
        <v>Jug</v>
      </c>
      <c r="AM1370" s="1" t="str">
        <f>VLOOKUP(C:C,[1]基础信息!B$1:E$65536,4,0)</f>
        <v>Kalea XL ME4W</v>
      </c>
      <c r="AN1370" s="1" t="str">
        <f>VLOOKUP(C:C,[1]基础信息!B$1:F$65536,5,0)</f>
        <v>grey</v>
      </c>
    </row>
    <row r="1371" spans="1:40">
      <c r="A1371" s="1" t="s">
        <v>41</v>
      </c>
      <c r="B1371" s="1" t="s">
        <v>42</v>
      </c>
      <c r="C1371" s="1" t="s">
        <v>969</v>
      </c>
      <c r="D1371" s="1" t="s">
        <v>970</v>
      </c>
      <c r="E1371" s="1" t="s">
        <v>45</v>
      </c>
      <c r="F1371" s="1" t="s">
        <v>3187</v>
      </c>
      <c r="G1371" s="1" t="s">
        <v>3188</v>
      </c>
      <c r="H1371" s="1" t="s">
        <v>3189</v>
      </c>
      <c r="I1371" s="1" t="s">
        <v>49</v>
      </c>
      <c r="J1371" s="1" t="s">
        <v>48</v>
      </c>
      <c r="K1371" s="1">
        <v>80</v>
      </c>
      <c r="L1371" s="1">
        <v>0</v>
      </c>
      <c r="M1371" s="1">
        <v>0</v>
      </c>
      <c r="N1371" s="1">
        <v>80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 t="s">
        <v>49</v>
      </c>
      <c r="AA1371" s="1" t="s">
        <v>49</v>
      </c>
      <c r="AB1371" s="1" t="s">
        <v>49</v>
      </c>
      <c r="AC1371" s="1" t="s">
        <v>1408</v>
      </c>
      <c r="AD1371" s="1" t="s">
        <v>1409</v>
      </c>
      <c r="AE1371" s="1" t="s">
        <v>3190</v>
      </c>
      <c r="AF1371" s="1" t="s">
        <v>1768</v>
      </c>
      <c r="AG1371" s="1" t="s">
        <v>53</v>
      </c>
      <c r="AH1371" s="1" t="s">
        <v>49</v>
      </c>
      <c r="AI1371" s="1" t="s">
        <v>54</v>
      </c>
      <c r="AJ1371" s="1">
        <v>1</v>
      </c>
      <c r="AK1371" s="1" t="str">
        <f t="shared" si="21"/>
        <v xml:space="preserve"> =&lt;90</v>
      </c>
      <c r="AL1371" s="1" t="str">
        <f>VLOOKUP(C:C,[1]基础信息!B$1:D$65536,3,0)</f>
        <v>Jug</v>
      </c>
      <c r="AM1371" s="1" t="str">
        <f>VLOOKUP(C:C,[1]基础信息!B$1:E$65536,4,0)</f>
        <v>Mxplus</v>
      </c>
      <c r="AN1371" s="1" t="str">
        <f>VLOOKUP(C:C,[1]基础信息!B$1:F$65536,5,0)</f>
        <v xml:space="preserve"> blue</v>
      </c>
    </row>
    <row r="1372" spans="1:40">
      <c r="A1372" s="1" t="s">
        <v>41</v>
      </c>
      <c r="B1372" s="1" t="s">
        <v>42</v>
      </c>
      <c r="C1372" s="1" t="s">
        <v>969</v>
      </c>
      <c r="D1372" s="1" t="s">
        <v>970</v>
      </c>
      <c r="E1372" s="1" t="s">
        <v>45</v>
      </c>
      <c r="F1372" s="1" t="s">
        <v>3187</v>
      </c>
      <c r="G1372" s="1" t="s">
        <v>3191</v>
      </c>
      <c r="H1372" s="1" t="s">
        <v>3192</v>
      </c>
      <c r="I1372" s="1" t="s">
        <v>49</v>
      </c>
      <c r="J1372" s="1" t="s">
        <v>48</v>
      </c>
      <c r="K1372" s="1">
        <v>80</v>
      </c>
      <c r="L1372" s="1">
        <v>0</v>
      </c>
      <c r="M1372" s="1">
        <v>0</v>
      </c>
      <c r="N1372" s="1">
        <v>80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 t="s">
        <v>49</v>
      </c>
      <c r="AA1372" s="1" t="s">
        <v>49</v>
      </c>
      <c r="AB1372" s="1" t="s">
        <v>49</v>
      </c>
      <c r="AC1372" s="1" t="s">
        <v>1408</v>
      </c>
      <c r="AD1372" s="1" t="s">
        <v>1409</v>
      </c>
      <c r="AE1372" s="1" t="s">
        <v>3190</v>
      </c>
      <c r="AF1372" s="1" t="s">
        <v>1768</v>
      </c>
      <c r="AG1372" s="1" t="s">
        <v>53</v>
      </c>
      <c r="AH1372" s="1" t="s">
        <v>49</v>
      </c>
      <c r="AI1372" s="1" t="s">
        <v>54</v>
      </c>
      <c r="AJ1372" s="1">
        <v>1</v>
      </c>
      <c r="AK1372" s="1" t="str">
        <f t="shared" si="21"/>
        <v xml:space="preserve"> =&lt;90</v>
      </c>
      <c r="AL1372" s="1" t="str">
        <f>VLOOKUP(C:C,[1]基础信息!B$1:D$65536,3,0)</f>
        <v>Jug</v>
      </c>
      <c r="AM1372" s="1" t="str">
        <f>VLOOKUP(C:C,[1]基础信息!B$1:E$65536,4,0)</f>
        <v>Mxplus</v>
      </c>
      <c r="AN1372" s="1" t="str">
        <f>VLOOKUP(C:C,[1]基础信息!B$1:F$65536,5,0)</f>
        <v xml:space="preserve"> blue</v>
      </c>
    </row>
    <row r="1373" spans="1:40">
      <c r="A1373" s="1" t="s">
        <v>41</v>
      </c>
      <c r="B1373" s="1" t="s">
        <v>42</v>
      </c>
      <c r="C1373" s="1" t="s">
        <v>969</v>
      </c>
      <c r="D1373" s="1" t="s">
        <v>970</v>
      </c>
      <c r="E1373" s="1" t="s">
        <v>45</v>
      </c>
      <c r="F1373" s="1" t="s">
        <v>3187</v>
      </c>
      <c r="G1373" s="1" t="s">
        <v>3193</v>
      </c>
      <c r="H1373" s="1" t="s">
        <v>3194</v>
      </c>
      <c r="I1373" s="1" t="s">
        <v>49</v>
      </c>
      <c r="J1373" s="1" t="s">
        <v>48</v>
      </c>
      <c r="K1373" s="1">
        <v>80</v>
      </c>
      <c r="L1373" s="1">
        <v>0</v>
      </c>
      <c r="M1373" s="1">
        <v>0</v>
      </c>
      <c r="N1373" s="1">
        <v>80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 t="s">
        <v>49</v>
      </c>
      <c r="AA1373" s="1" t="s">
        <v>49</v>
      </c>
      <c r="AB1373" s="1" t="s">
        <v>49</v>
      </c>
      <c r="AC1373" s="1" t="s">
        <v>1408</v>
      </c>
      <c r="AD1373" s="1" t="s">
        <v>1409</v>
      </c>
      <c r="AE1373" s="1" t="s">
        <v>3190</v>
      </c>
      <c r="AF1373" s="1" t="s">
        <v>1768</v>
      </c>
      <c r="AG1373" s="1" t="s">
        <v>53</v>
      </c>
      <c r="AH1373" s="1" t="s">
        <v>49</v>
      </c>
      <c r="AI1373" s="1" t="s">
        <v>54</v>
      </c>
      <c r="AJ1373" s="1">
        <v>1</v>
      </c>
      <c r="AK1373" s="1" t="str">
        <f t="shared" si="21"/>
        <v xml:space="preserve"> =&lt;90</v>
      </c>
      <c r="AL1373" s="1" t="str">
        <f>VLOOKUP(C:C,[1]基础信息!B$1:D$65536,3,0)</f>
        <v>Jug</v>
      </c>
      <c r="AM1373" s="1" t="str">
        <f>VLOOKUP(C:C,[1]基础信息!B$1:E$65536,4,0)</f>
        <v>Mxplus</v>
      </c>
      <c r="AN1373" s="1" t="str">
        <f>VLOOKUP(C:C,[1]基础信息!B$1:F$65536,5,0)</f>
        <v xml:space="preserve"> blue</v>
      </c>
    </row>
    <row r="1374" spans="1:40">
      <c r="A1374" s="1" t="s">
        <v>41</v>
      </c>
      <c r="B1374" s="1" t="s">
        <v>42</v>
      </c>
      <c r="C1374" s="1" t="s">
        <v>969</v>
      </c>
      <c r="D1374" s="1" t="s">
        <v>970</v>
      </c>
      <c r="E1374" s="1" t="s">
        <v>45</v>
      </c>
      <c r="F1374" s="1" t="s">
        <v>3187</v>
      </c>
      <c r="G1374" s="1" t="s">
        <v>3195</v>
      </c>
      <c r="H1374" s="1" t="s">
        <v>3196</v>
      </c>
      <c r="I1374" s="1" t="s">
        <v>49</v>
      </c>
      <c r="J1374" s="1" t="s">
        <v>48</v>
      </c>
      <c r="K1374" s="1">
        <v>80</v>
      </c>
      <c r="L1374" s="1">
        <v>0</v>
      </c>
      <c r="M1374" s="1">
        <v>0</v>
      </c>
      <c r="N1374" s="1">
        <v>80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 t="s">
        <v>49</v>
      </c>
      <c r="AA1374" s="1" t="s">
        <v>49</v>
      </c>
      <c r="AB1374" s="1" t="s">
        <v>49</v>
      </c>
      <c r="AC1374" s="1" t="s">
        <v>1408</v>
      </c>
      <c r="AD1374" s="1" t="s">
        <v>1409</v>
      </c>
      <c r="AE1374" s="1" t="s">
        <v>3190</v>
      </c>
      <c r="AF1374" s="1" t="s">
        <v>1768</v>
      </c>
      <c r="AG1374" s="1" t="s">
        <v>53</v>
      </c>
      <c r="AH1374" s="1" t="s">
        <v>49</v>
      </c>
      <c r="AI1374" s="1" t="s">
        <v>54</v>
      </c>
      <c r="AJ1374" s="1">
        <v>1</v>
      </c>
      <c r="AK1374" s="1" t="str">
        <f t="shared" si="21"/>
        <v xml:space="preserve"> =&lt;90</v>
      </c>
      <c r="AL1374" s="1" t="str">
        <f>VLOOKUP(C:C,[1]基础信息!B$1:D$65536,3,0)</f>
        <v>Jug</v>
      </c>
      <c r="AM1374" s="1" t="str">
        <f>VLOOKUP(C:C,[1]基础信息!B$1:E$65536,4,0)</f>
        <v>Mxplus</v>
      </c>
      <c r="AN1374" s="1" t="str">
        <f>VLOOKUP(C:C,[1]基础信息!B$1:F$65536,5,0)</f>
        <v xml:space="preserve"> blue</v>
      </c>
    </row>
    <row r="1375" spans="1:40">
      <c r="A1375" s="1" t="s">
        <v>41</v>
      </c>
      <c r="B1375" s="1" t="s">
        <v>42</v>
      </c>
      <c r="C1375" s="1" t="s">
        <v>969</v>
      </c>
      <c r="D1375" s="1" t="s">
        <v>970</v>
      </c>
      <c r="E1375" s="1" t="s">
        <v>45</v>
      </c>
      <c r="F1375" s="1" t="s">
        <v>3187</v>
      </c>
      <c r="G1375" s="1" t="s">
        <v>3197</v>
      </c>
      <c r="H1375" s="1" t="s">
        <v>3198</v>
      </c>
      <c r="I1375" s="1" t="s">
        <v>49</v>
      </c>
      <c r="J1375" s="1" t="s">
        <v>48</v>
      </c>
      <c r="K1375" s="1">
        <v>80</v>
      </c>
      <c r="L1375" s="1">
        <v>0</v>
      </c>
      <c r="M1375" s="1">
        <v>0</v>
      </c>
      <c r="N1375" s="1">
        <v>80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 t="s">
        <v>49</v>
      </c>
      <c r="AA1375" s="1" t="s">
        <v>49</v>
      </c>
      <c r="AB1375" s="1" t="s">
        <v>49</v>
      </c>
      <c r="AC1375" s="1" t="s">
        <v>1408</v>
      </c>
      <c r="AD1375" s="1" t="s">
        <v>1409</v>
      </c>
      <c r="AE1375" s="1" t="s">
        <v>3190</v>
      </c>
      <c r="AF1375" s="1" t="s">
        <v>1768</v>
      </c>
      <c r="AG1375" s="1" t="s">
        <v>53</v>
      </c>
      <c r="AH1375" s="1" t="s">
        <v>49</v>
      </c>
      <c r="AI1375" s="1" t="s">
        <v>54</v>
      </c>
      <c r="AJ1375" s="1">
        <v>1</v>
      </c>
      <c r="AK1375" s="1" t="str">
        <f t="shared" si="21"/>
        <v xml:space="preserve"> =&lt;90</v>
      </c>
      <c r="AL1375" s="1" t="str">
        <f>VLOOKUP(C:C,[1]基础信息!B$1:D$65536,3,0)</f>
        <v>Jug</v>
      </c>
      <c r="AM1375" s="1" t="str">
        <f>VLOOKUP(C:C,[1]基础信息!B$1:E$65536,4,0)</f>
        <v>Mxplus</v>
      </c>
      <c r="AN1375" s="1" t="str">
        <f>VLOOKUP(C:C,[1]基础信息!B$1:F$65536,5,0)</f>
        <v xml:space="preserve"> blue</v>
      </c>
    </row>
    <row r="1376" spans="1:40">
      <c r="A1376" s="1" t="s">
        <v>41</v>
      </c>
      <c r="B1376" s="1" t="s">
        <v>42</v>
      </c>
      <c r="C1376" s="1" t="s">
        <v>969</v>
      </c>
      <c r="D1376" s="1" t="s">
        <v>970</v>
      </c>
      <c r="E1376" s="1" t="s">
        <v>45</v>
      </c>
      <c r="F1376" s="1" t="s">
        <v>3187</v>
      </c>
      <c r="G1376" s="1" t="s">
        <v>3199</v>
      </c>
      <c r="H1376" s="1" t="s">
        <v>3200</v>
      </c>
      <c r="I1376" s="1" t="s">
        <v>49</v>
      </c>
      <c r="J1376" s="1" t="s">
        <v>48</v>
      </c>
      <c r="K1376" s="1">
        <v>80</v>
      </c>
      <c r="L1376" s="1">
        <v>0</v>
      </c>
      <c r="M1376" s="1">
        <v>0</v>
      </c>
      <c r="N1376" s="1">
        <v>80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 t="s">
        <v>49</v>
      </c>
      <c r="AA1376" s="1" t="s">
        <v>49</v>
      </c>
      <c r="AB1376" s="1" t="s">
        <v>49</v>
      </c>
      <c r="AC1376" s="1" t="s">
        <v>1408</v>
      </c>
      <c r="AD1376" s="1" t="s">
        <v>1409</v>
      </c>
      <c r="AE1376" s="1" t="s">
        <v>3190</v>
      </c>
      <c r="AF1376" s="1" t="s">
        <v>1768</v>
      </c>
      <c r="AG1376" s="1" t="s">
        <v>53</v>
      </c>
      <c r="AH1376" s="1" t="s">
        <v>49</v>
      </c>
      <c r="AI1376" s="1" t="s">
        <v>54</v>
      </c>
      <c r="AJ1376" s="1">
        <v>1</v>
      </c>
      <c r="AK1376" s="1" t="str">
        <f t="shared" si="21"/>
        <v xml:space="preserve"> =&lt;90</v>
      </c>
      <c r="AL1376" s="1" t="str">
        <f>VLOOKUP(C:C,[1]基础信息!B$1:D$65536,3,0)</f>
        <v>Jug</v>
      </c>
      <c r="AM1376" s="1" t="str">
        <f>VLOOKUP(C:C,[1]基础信息!B$1:E$65536,4,0)</f>
        <v>Mxplus</v>
      </c>
      <c r="AN1376" s="1" t="str">
        <f>VLOOKUP(C:C,[1]基础信息!B$1:F$65536,5,0)</f>
        <v xml:space="preserve"> blue</v>
      </c>
    </row>
    <row r="1377" spans="1:40">
      <c r="A1377" s="1" t="s">
        <v>41</v>
      </c>
      <c r="B1377" s="1" t="s">
        <v>42</v>
      </c>
      <c r="C1377" s="1" t="s">
        <v>969</v>
      </c>
      <c r="D1377" s="1" t="s">
        <v>970</v>
      </c>
      <c r="E1377" s="1" t="s">
        <v>45</v>
      </c>
      <c r="F1377" s="1" t="s">
        <v>3187</v>
      </c>
      <c r="G1377" s="1" t="s">
        <v>3201</v>
      </c>
      <c r="H1377" s="1" t="s">
        <v>3202</v>
      </c>
      <c r="I1377" s="1" t="s">
        <v>49</v>
      </c>
      <c r="J1377" s="1" t="s">
        <v>48</v>
      </c>
      <c r="K1377" s="1">
        <v>80</v>
      </c>
      <c r="L1377" s="1">
        <v>0</v>
      </c>
      <c r="M1377" s="1">
        <v>0</v>
      </c>
      <c r="N1377" s="1">
        <v>80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 t="s">
        <v>49</v>
      </c>
      <c r="AA1377" s="1" t="s">
        <v>49</v>
      </c>
      <c r="AB1377" s="1" t="s">
        <v>49</v>
      </c>
      <c r="AC1377" s="1" t="s">
        <v>1408</v>
      </c>
      <c r="AD1377" s="1" t="s">
        <v>1409</v>
      </c>
      <c r="AE1377" s="1" t="s">
        <v>3190</v>
      </c>
      <c r="AF1377" s="1" t="s">
        <v>1768</v>
      </c>
      <c r="AG1377" s="1" t="s">
        <v>53</v>
      </c>
      <c r="AH1377" s="1" t="s">
        <v>49</v>
      </c>
      <c r="AI1377" s="1" t="s">
        <v>54</v>
      </c>
      <c r="AJ1377" s="1">
        <v>1</v>
      </c>
      <c r="AK1377" s="1" t="str">
        <f t="shared" si="21"/>
        <v xml:space="preserve"> =&lt;90</v>
      </c>
      <c r="AL1377" s="1" t="str">
        <f>VLOOKUP(C:C,[1]基础信息!B$1:D$65536,3,0)</f>
        <v>Jug</v>
      </c>
      <c r="AM1377" s="1" t="str">
        <f>VLOOKUP(C:C,[1]基础信息!B$1:E$65536,4,0)</f>
        <v>Mxplus</v>
      </c>
      <c r="AN1377" s="1" t="str">
        <f>VLOOKUP(C:C,[1]基础信息!B$1:F$65536,5,0)</f>
        <v xml:space="preserve"> blue</v>
      </c>
    </row>
    <row r="1378" spans="1:40">
      <c r="A1378" s="1" t="s">
        <v>41</v>
      </c>
      <c r="B1378" s="1" t="s">
        <v>42</v>
      </c>
      <c r="C1378" s="1" t="s">
        <v>969</v>
      </c>
      <c r="D1378" s="1" t="s">
        <v>970</v>
      </c>
      <c r="E1378" s="1" t="s">
        <v>45</v>
      </c>
      <c r="F1378" s="1" t="s">
        <v>3187</v>
      </c>
      <c r="G1378" s="1" t="s">
        <v>3203</v>
      </c>
      <c r="H1378" s="1" t="s">
        <v>3204</v>
      </c>
      <c r="I1378" s="1" t="s">
        <v>49</v>
      </c>
      <c r="J1378" s="1" t="s">
        <v>48</v>
      </c>
      <c r="K1378" s="1">
        <v>80</v>
      </c>
      <c r="L1378" s="1">
        <v>0</v>
      </c>
      <c r="M1378" s="1">
        <v>0</v>
      </c>
      <c r="N1378" s="1">
        <v>80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 t="s">
        <v>49</v>
      </c>
      <c r="AA1378" s="1" t="s">
        <v>49</v>
      </c>
      <c r="AB1378" s="1" t="s">
        <v>49</v>
      </c>
      <c r="AC1378" s="1" t="s">
        <v>1408</v>
      </c>
      <c r="AD1378" s="1" t="s">
        <v>1409</v>
      </c>
      <c r="AE1378" s="1" t="s">
        <v>3190</v>
      </c>
      <c r="AF1378" s="1" t="s">
        <v>1768</v>
      </c>
      <c r="AG1378" s="1" t="s">
        <v>53</v>
      </c>
      <c r="AH1378" s="1" t="s">
        <v>49</v>
      </c>
      <c r="AI1378" s="1" t="s">
        <v>54</v>
      </c>
      <c r="AJ1378" s="1">
        <v>1</v>
      </c>
      <c r="AK1378" s="1" t="str">
        <f t="shared" si="21"/>
        <v xml:space="preserve"> =&lt;90</v>
      </c>
      <c r="AL1378" s="1" t="str">
        <f>VLOOKUP(C:C,[1]基础信息!B$1:D$65536,3,0)</f>
        <v>Jug</v>
      </c>
      <c r="AM1378" s="1" t="str">
        <f>VLOOKUP(C:C,[1]基础信息!B$1:E$65536,4,0)</f>
        <v>Mxplus</v>
      </c>
      <c r="AN1378" s="1" t="str">
        <f>VLOOKUP(C:C,[1]基础信息!B$1:F$65536,5,0)</f>
        <v xml:space="preserve"> blue</v>
      </c>
    </row>
    <row r="1379" spans="1:40">
      <c r="A1379" s="1" t="s">
        <v>41</v>
      </c>
      <c r="B1379" s="1" t="s">
        <v>42</v>
      </c>
      <c r="C1379" s="1" t="s">
        <v>969</v>
      </c>
      <c r="D1379" s="1" t="s">
        <v>970</v>
      </c>
      <c r="E1379" s="1" t="s">
        <v>45</v>
      </c>
      <c r="F1379" s="1" t="s">
        <v>3187</v>
      </c>
      <c r="G1379" s="1" t="s">
        <v>3205</v>
      </c>
      <c r="H1379" s="1" t="s">
        <v>3206</v>
      </c>
      <c r="I1379" s="1" t="s">
        <v>49</v>
      </c>
      <c r="J1379" s="1" t="s">
        <v>48</v>
      </c>
      <c r="K1379" s="1">
        <v>80</v>
      </c>
      <c r="L1379" s="1">
        <v>0</v>
      </c>
      <c r="M1379" s="1">
        <v>0</v>
      </c>
      <c r="N1379" s="1">
        <v>80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 t="s">
        <v>49</v>
      </c>
      <c r="AA1379" s="1" t="s">
        <v>49</v>
      </c>
      <c r="AB1379" s="1" t="s">
        <v>49</v>
      </c>
      <c r="AC1379" s="1" t="s">
        <v>1408</v>
      </c>
      <c r="AD1379" s="1" t="s">
        <v>1409</v>
      </c>
      <c r="AE1379" s="1" t="s">
        <v>3190</v>
      </c>
      <c r="AF1379" s="1" t="s">
        <v>1768</v>
      </c>
      <c r="AG1379" s="1" t="s">
        <v>53</v>
      </c>
      <c r="AH1379" s="1" t="s">
        <v>49</v>
      </c>
      <c r="AI1379" s="1" t="s">
        <v>54</v>
      </c>
      <c r="AJ1379" s="1">
        <v>1</v>
      </c>
      <c r="AK1379" s="1" t="str">
        <f t="shared" si="21"/>
        <v xml:space="preserve"> =&lt;90</v>
      </c>
      <c r="AL1379" s="1" t="str">
        <f>VLOOKUP(C:C,[1]基础信息!B$1:D$65536,3,0)</f>
        <v>Jug</v>
      </c>
      <c r="AM1379" s="1" t="str">
        <f>VLOOKUP(C:C,[1]基础信息!B$1:E$65536,4,0)</f>
        <v>Mxplus</v>
      </c>
      <c r="AN1379" s="1" t="str">
        <f>VLOOKUP(C:C,[1]基础信息!B$1:F$65536,5,0)</f>
        <v xml:space="preserve"> blue</v>
      </c>
    </row>
    <row r="1380" spans="1:40">
      <c r="A1380" s="1" t="s">
        <v>41</v>
      </c>
      <c r="B1380" s="1" t="s">
        <v>42</v>
      </c>
      <c r="C1380" s="1" t="s">
        <v>969</v>
      </c>
      <c r="D1380" s="1" t="s">
        <v>970</v>
      </c>
      <c r="E1380" s="1" t="s">
        <v>45</v>
      </c>
      <c r="F1380" s="1" t="s">
        <v>3187</v>
      </c>
      <c r="G1380" s="1" t="s">
        <v>3207</v>
      </c>
      <c r="H1380" s="1" t="s">
        <v>3208</v>
      </c>
      <c r="I1380" s="1" t="s">
        <v>49</v>
      </c>
      <c r="J1380" s="1" t="s">
        <v>48</v>
      </c>
      <c r="K1380" s="1">
        <v>12</v>
      </c>
      <c r="L1380" s="1">
        <v>0</v>
      </c>
      <c r="M1380" s="1">
        <v>0</v>
      </c>
      <c r="N1380" s="1">
        <v>12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 t="s">
        <v>49</v>
      </c>
      <c r="AA1380" s="1" t="s">
        <v>49</v>
      </c>
      <c r="AB1380" s="1" t="s">
        <v>49</v>
      </c>
      <c r="AC1380" s="1" t="s">
        <v>1408</v>
      </c>
      <c r="AD1380" s="1" t="s">
        <v>1409</v>
      </c>
      <c r="AE1380" s="1" t="s">
        <v>3190</v>
      </c>
      <c r="AF1380" s="1" t="s">
        <v>1768</v>
      </c>
      <c r="AG1380" s="1" t="s">
        <v>53</v>
      </c>
      <c r="AH1380" s="1" t="s">
        <v>49</v>
      </c>
      <c r="AI1380" s="1" t="s">
        <v>54</v>
      </c>
      <c r="AJ1380" s="1">
        <v>1</v>
      </c>
      <c r="AK1380" s="1" t="str">
        <f t="shared" si="21"/>
        <v xml:space="preserve"> =&lt;90</v>
      </c>
      <c r="AL1380" s="1" t="str">
        <f>VLOOKUP(C:C,[1]基础信息!B$1:D$65536,3,0)</f>
        <v>Jug</v>
      </c>
      <c r="AM1380" s="1" t="str">
        <f>VLOOKUP(C:C,[1]基础信息!B$1:E$65536,4,0)</f>
        <v>Mxplus</v>
      </c>
      <c r="AN1380" s="1" t="str">
        <f>VLOOKUP(C:C,[1]基础信息!B$1:F$65536,5,0)</f>
        <v xml:space="preserve"> blue</v>
      </c>
    </row>
    <row r="1381" spans="1:40">
      <c r="A1381" s="1" t="s">
        <v>41</v>
      </c>
      <c r="B1381" s="1" t="s">
        <v>42</v>
      </c>
      <c r="C1381" s="1" t="s">
        <v>208</v>
      </c>
      <c r="D1381" s="1" t="s">
        <v>209</v>
      </c>
      <c r="E1381" s="1" t="s">
        <v>208</v>
      </c>
      <c r="F1381" s="1" t="s">
        <v>3209</v>
      </c>
      <c r="G1381" s="1" t="s">
        <v>3210</v>
      </c>
      <c r="H1381" s="1" t="s">
        <v>3211</v>
      </c>
      <c r="I1381" s="1" t="s">
        <v>49</v>
      </c>
      <c r="J1381" s="1" t="s">
        <v>48</v>
      </c>
      <c r="K1381" s="1">
        <v>80</v>
      </c>
      <c r="L1381" s="1">
        <v>0</v>
      </c>
      <c r="M1381" s="1">
        <v>0</v>
      </c>
      <c r="N1381" s="1">
        <v>80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 t="s">
        <v>49</v>
      </c>
      <c r="AA1381" s="1" t="s">
        <v>49</v>
      </c>
      <c r="AB1381" s="1" t="s">
        <v>49</v>
      </c>
      <c r="AC1381" s="1" t="s">
        <v>1408</v>
      </c>
      <c r="AD1381" s="1" t="s">
        <v>1409</v>
      </c>
      <c r="AE1381" s="1" t="s">
        <v>3190</v>
      </c>
      <c r="AF1381" s="1" t="s">
        <v>216</v>
      </c>
      <c r="AG1381" s="1" t="s">
        <v>53</v>
      </c>
      <c r="AH1381" s="1" t="s">
        <v>49</v>
      </c>
      <c r="AI1381" s="1" t="s">
        <v>54</v>
      </c>
      <c r="AJ1381" s="1">
        <v>1</v>
      </c>
      <c r="AK1381" s="1" t="str">
        <f t="shared" si="21"/>
        <v xml:space="preserve"> =&lt;90</v>
      </c>
      <c r="AL1381" s="1" t="str">
        <f>VLOOKUP(C:C,[1]基础信息!B$1:D$65536,3,0)</f>
        <v>Jug</v>
      </c>
      <c r="AM1381" s="1" t="str">
        <f>VLOOKUP(C:C,[1]基础信息!B$1:E$65536,4,0)</f>
        <v>MXpl</v>
      </c>
      <c r="AN1381" s="1" t="str">
        <f>VLOOKUP(C:C,[1]基础信息!B$1:F$65536,5,0)</f>
        <v>grey</v>
      </c>
    </row>
    <row r="1382" spans="1:40">
      <c r="A1382" s="1" t="s">
        <v>41</v>
      </c>
      <c r="B1382" s="1" t="s">
        <v>42</v>
      </c>
      <c r="C1382" s="1" t="s">
        <v>208</v>
      </c>
      <c r="D1382" s="1" t="s">
        <v>209</v>
      </c>
      <c r="E1382" s="1" t="s">
        <v>208</v>
      </c>
      <c r="F1382" s="1" t="s">
        <v>3209</v>
      </c>
      <c r="G1382" s="1" t="s">
        <v>3212</v>
      </c>
      <c r="H1382" s="1" t="s">
        <v>3213</v>
      </c>
      <c r="I1382" s="1" t="s">
        <v>49</v>
      </c>
      <c r="J1382" s="1" t="s">
        <v>48</v>
      </c>
      <c r="K1382" s="1">
        <v>80</v>
      </c>
      <c r="L1382" s="1">
        <v>0</v>
      </c>
      <c r="M1382" s="1">
        <v>0</v>
      </c>
      <c r="N1382" s="1">
        <v>80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 t="s">
        <v>49</v>
      </c>
      <c r="AA1382" s="1" t="s">
        <v>49</v>
      </c>
      <c r="AB1382" s="1" t="s">
        <v>49</v>
      </c>
      <c r="AC1382" s="1" t="s">
        <v>1408</v>
      </c>
      <c r="AD1382" s="1" t="s">
        <v>1409</v>
      </c>
      <c r="AE1382" s="1" t="s">
        <v>3190</v>
      </c>
      <c r="AF1382" s="1" t="s">
        <v>216</v>
      </c>
      <c r="AG1382" s="1" t="s">
        <v>53</v>
      </c>
      <c r="AH1382" s="1" t="s">
        <v>49</v>
      </c>
      <c r="AI1382" s="1" t="s">
        <v>54</v>
      </c>
      <c r="AJ1382" s="1">
        <v>1</v>
      </c>
      <c r="AK1382" s="1" t="str">
        <f t="shared" si="21"/>
        <v xml:space="preserve"> =&lt;90</v>
      </c>
      <c r="AL1382" s="1" t="str">
        <f>VLOOKUP(C:C,[1]基础信息!B$1:D$65536,3,0)</f>
        <v>Jug</v>
      </c>
      <c r="AM1382" s="1" t="str">
        <f>VLOOKUP(C:C,[1]基础信息!B$1:E$65536,4,0)</f>
        <v>MXpl</v>
      </c>
      <c r="AN1382" s="1" t="str">
        <f>VLOOKUP(C:C,[1]基础信息!B$1:F$65536,5,0)</f>
        <v>grey</v>
      </c>
    </row>
    <row r="1383" spans="1:40">
      <c r="A1383" s="1" t="s">
        <v>41</v>
      </c>
      <c r="B1383" s="1" t="s">
        <v>42</v>
      </c>
      <c r="C1383" s="1" t="s">
        <v>2166</v>
      </c>
      <c r="D1383" s="1" t="s">
        <v>2167</v>
      </c>
      <c r="E1383" s="1" t="s">
        <v>45</v>
      </c>
      <c r="F1383" s="1" t="s">
        <v>3214</v>
      </c>
      <c r="G1383" s="1" t="s">
        <v>3215</v>
      </c>
      <c r="H1383" s="1" t="s">
        <v>3216</v>
      </c>
      <c r="I1383" s="1" t="s">
        <v>49</v>
      </c>
      <c r="J1383" s="1" t="s">
        <v>48</v>
      </c>
      <c r="K1383" s="1">
        <v>10</v>
      </c>
      <c r="L1383" s="1">
        <v>0</v>
      </c>
      <c r="M1383" s="1">
        <v>0</v>
      </c>
      <c r="N1383" s="1">
        <v>10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 t="s">
        <v>49</v>
      </c>
      <c r="AA1383" s="1" t="s">
        <v>49</v>
      </c>
      <c r="AB1383" s="1" t="s">
        <v>49</v>
      </c>
      <c r="AC1383" s="1" t="s">
        <v>3217</v>
      </c>
      <c r="AD1383" s="1" t="s">
        <v>3218</v>
      </c>
      <c r="AE1383" s="1" t="s">
        <v>3217</v>
      </c>
      <c r="AF1383" s="1" t="s">
        <v>3219</v>
      </c>
      <c r="AG1383" s="1" t="s">
        <v>53</v>
      </c>
      <c r="AH1383" s="1" t="s">
        <v>49</v>
      </c>
      <c r="AI1383" s="1" t="s">
        <v>54</v>
      </c>
      <c r="AJ1383" s="1">
        <v>1</v>
      </c>
      <c r="AK1383" s="1" t="str">
        <f t="shared" si="21"/>
        <v xml:space="preserve"> =&lt;90</v>
      </c>
      <c r="AL1383" s="1" t="str">
        <f>VLOOKUP(C:C,[1]基础信息!B$1:D$65536,3,0)</f>
        <v>UTS</v>
      </c>
      <c r="AM1383" s="1" t="str">
        <f>VLOOKUP(C:C,[1]基础信息!B$1:E$65536,4,0)</f>
        <v>RO</v>
      </c>
      <c r="AN1383" s="1" t="str">
        <f>VLOOKUP(C:C,[1]基础信息!B$1:F$65536,5,0)</f>
        <v>Starry Grey Color</v>
      </c>
    </row>
    <row r="1384" spans="1:40">
      <c r="A1384" s="1" t="s">
        <v>41</v>
      </c>
      <c r="B1384" s="1" t="s">
        <v>42</v>
      </c>
      <c r="C1384" s="1" t="s">
        <v>208</v>
      </c>
      <c r="D1384" s="1" t="s">
        <v>209</v>
      </c>
      <c r="E1384" s="1" t="s">
        <v>208</v>
      </c>
      <c r="F1384" s="1" t="s">
        <v>3209</v>
      </c>
      <c r="G1384" s="1" t="s">
        <v>3220</v>
      </c>
      <c r="H1384" s="1" t="s">
        <v>3221</v>
      </c>
      <c r="I1384" s="1" t="s">
        <v>49</v>
      </c>
      <c r="J1384" s="1" t="s">
        <v>48</v>
      </c>
      <c r="K1384" s="1">
        <v>80</v>
      </c>
      <c r="L1384" s="1">
        <v>0</v>
      </c>
      <c r="M1384" s="1">
        <v>0</v>
      </c>
      <c r="N1384" s="1">
        <v>80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 t="s">
        <v>49</v>
      </c>
      <c r="AA1384" s="1" t="s">
        <v>49</v>
      </c>
      <c r="AB1384" s="1" t="s">
        <v>49</v>
      </c>
      <c r="AC1384" s="1" t="s">
        <v>1408</v>
      </c>
      <c r="AD1384" s="1" t="s">
        <v>1409</v>
      </c>
      <c r="AE1384" s="1" t="s">
        <v>3190</v>
      </c>
      <c r="AF1384" s="1" t="s">
        <v>216</v>
      </c>
      <c r="AG1384" s="1" t="s">
        <v>53</v>
      </c>
      <c r="AH1384" s="1" t="s">
        <v>49</v>
      </c>
      <c r="AI1384" s="1" t="s">
        <v>54</v>
      </c>
      <c r="AJ1384" s="1">
        <v>1</v>
      </c>
      <c r="AK1384" s="1" t="str">
        <f t="shared" si="21"/>
        <v xml:space="preserve"> =&lt;90</v>
      </c>
      <c r="AL1384" s="1" t="str">
        <f>VLOOKUP(C:C,[1]基础信息!B$1:D$65536,3,0)</f>
        <v>Jug</v>
      </c>
      <c r="AM1384" s="1" t="str">
        <f>VLOOKUP(C:C,[1]基础信息!B$1:E$65536,4,0)</f>
        <v>MXpl</v>
      </c>
      <c r="AN1384" s="1" t="str">
        <f>VLOOKUP(C:C,[1]基础信息!B$1:F$65536,5,0)</f>
        <v>grey</v>
      </c>
    </row>
    <row r="1385" spans="1:40">
      <c r="A1385" s="1" t="s">
        <v>41</v>
      </c>
      <c r="B1385" s="1" t="s">
        <v>42</v>
      </c>
      <c r="C1385" s="1" t="s">
        <v>208</v>
      </c>
      <c r="D1385" s="1" t="s">
        <v>209</v>
      </c>
      <c r="E1385" s="1" t="s">
        <v>208</v>
      </c>
      <c r="F1385" s="1" t="s">
        <v>3209</v>
      </c>
      <c r="G1385" s="1" t="s">
        <v>3222</v>
      </c>
      <c r="H1385" s="1" t="s">
        <v>3223</v>
      </c>
      <c r="I1385" s="1" t="s">
        <v>49</v>
      </c>
      <c r="J1385" s="1" t="s">
        <v>48</v>
      </c>
      <c r="K1385" s="1">
        <v>80</v>
      </c>
      <c r="L1385" s="1">
        <v>0</v>
      </c>
      <c r="M1385" s="1">
        <v>0</v>
      </c>
      <c r="N1385" s="1">
        <v>80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 t="s">
        <v>49</v>
      </c>
      <c r="AA1385" s="1" t="s">
        <v>49</v>
      </c>
      <c r="AB1385" s="1" t="s">
        <v>49</v>
      </c>
      <c r="AC1385" s="1" t="s">
        <v>1408</v>
      </c>
      <c r="AD1385" s="1" t="s">
        <v>1409</v>
      </c>
      <c r="AE1385" s="1" t="s">
        <v>3190</v>
      </c>
      <c r="AF1385" s="1" t="s">
        <v>216</v>
      </c>
      <c r="AG1385" s="1" t="s">
        <v>53</v>
      </c>
      <c r="AH1385" s="1" t="s">
        <v>49</v>
      </c>
      <c r="AI1385" s="1" t="s">
        <v>54</v>
      </c>
      <c r="AJ1385" s="1">
        <v>1</v>
      </c>
      <c r="AK1385" s="1" t="str">
        <f t="shared" si="21"/>
        <v xml:space="preserve"> =&lt;90</v>
      </c>
      <c r="AL1385" s="1" t="str">
        <f>VLOOKUP(C:C,[1]基础信息!B$1:D$65536,3,0)</f>
        <v>Jug</v>
      </c>
      <c r="AM1385" s="1" t="str">
        <f>VLOOKUP(C:C,[1]基础信息!B$1:E$65536,4,0)</f>
        <v>MXpl</v>
      </c>
      <c r="AN1385" s="1" t="str">
        <f>VLOOKUP(C:C,[1]基础信息!B$1:F$65536,5,0)</f>
        <v>grey</v>
      </c>
    </row>
    <row r="1386" spans="1:40">
      <c r="A1386" s="1" t="s">
        <v>41</v>
      </c>
      <c r="B1386" s="1" t="s">
        <v>42</v>
      </c>
      <c r="C1386" s="1" t="s">
        <v>208</v>
      </c>
      <c r="D1386" s="1" t="s">
        <v>209</v>
      </c>
      <c r="E1386" s="1" t="s">
        <v>208</v>
      </c>
      <c r="F1386" s="1" t="s">
        <v>3209</v>
      </c>
      <c r="G1386" s="1" t="s">
        <v>3224</v>
      </c>
      <c r="H1386" s="1" t="s">
        <v>3225</v>
      </c>
      <c r="I1386" s="1" t="s">
        <v>49</v>
      </c>
      <c r="J1386" s="1" t="s">
        <v>48</v>
      </c>
      <c r="K1386" s="1">
        <v>80</v>
      </c>
      <c r="L1386" s="1">
        <v>0</v>
      </c>
      <c r="M1386" s="1">
        <v>0</v>
      </c>
      <c r="N1386" s="1">
        <v>80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 t="s">
        <v>49</v>
      </c>
      <c r="AA1386" s="1" t="s">
        <v>49</v>
      </c>
      <c r="AB1386" s="1" t="s">
        <v>49</v>
      </c>
      <c r="AC1386" s="1" t="s">
        <v>1408</v>
      </c>
      <c r="AD1386" s="1" t="s">
        <v>1409</v>
      </c>
      <c r="AE1386" s="1" t="s">
        <v>3190</v>
      </c>
      <c r="AF1386" s="1" t="s">
        <v>216</v>
      </c>
      <c r="AG1386" s="1" t="s">
        <v>53</v>
      </c>
      <c r="AH1386" s="1" t="s">
        <v>49</v>
      </c>
      <c r="AI1386" s="1" t="s">
        <v>54</v>
      </c>
      <c r="AJ1386" s="1">
        <v>1</v>
      </c>
      <c r="AK1386" s="1" t="str">
        <f t="shared" si="21"/>
        <v xml:space="preserve"> =&lt;90</v>
      </c>
      <c r="AL1386" s="1" t="str">
        <f>VLOOKUP(C:C,[1]基础信息!B$1:D$65536,3,0)</f>
        <v>Jug</v>
      </c>
      <c r="AM1386" s="1" t="str">
        <f>VLOOKUP(C:C,[1]基础信息!B$1:E$65536,4,0)</f>
        <v>MXpl</v>
      </c>
      <c r="AN1386" s="1" t="str">
        <f>VLOOKUP(C:C,[1]基础信息!B$1:F$65536,5,0)</f>
        <v>grey</v>
      </c>
    </row>
    <row r="1387" spans="1:40">
      <c r="A1387" s="1" t="s">
        <v>41</v>
      </c>
      <c r="B1387" s="1" t="s">
        <v>42</v>
      </c>
      <c r="C1387" s="1" t="s">
        <v>208</v>
      </c>
      <c r="D1387" s="1" t="s">
        <v>209</v>
      </c>
      <c r="E1387" s="1" t="s">
        <v>208</v>
      </c>
      <c r="F1387" s="1" t="s">
        <v>3209</v>
      </c>
      <c r="G1387" s="1" t="s">
        <v>3226</v>
      </c>
      <c r="H1387" s="1" t="s">
        <v>3227</v>
      </c>
      <c r="I1387" s="1" t="s">
        <v>49</v>
      </c>
      <c r="J1387" s="1" t="s">
        <v>48</v>
      </c>
      <c r="K1387" s="1">
        <v>80</v>
      </c>
      <c r="L1387" s="1">
        <v>0</v>
      </c>
      <c r="M1387" s="1">
        <v>0</v>
      </c>
      <c r="N1387" s="1">
        <v>80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 t="s">
        <v>49</v>
      </c>
      <c r="AA1387" s="1" t="s">
        <v>49</v>
      </c>
      <c r="AB1387" s="1" t="s">
        <v>49</v>
      </c>
      <c r="AC1387" s="1" t="s">
        <v>1408</v>
      </c>
      <c r="AD1387" s="1" t="s">
        <v>1409</v>
      </c>
      <c r="AE1387" s="1" t="s">
        <v>3190</v>
      </c>
      <c r="AF1387" s="1" t="s">
        <v>216</v>
      </c>
      <c r="AG1387" s="1" t="s">
        <v>53</v>
      </c>
      <c r="AH1387" s="1" t="s">
        <v>49</v>
      </c>
      <c r="AI1387" s="1" t="s">
        <v>54</v>
      </c>
      <c r="AJ1387" s="1">
        <v>1</v>
      </c>
      <c r="AK1387" s="1" t="str">
        <f t="shared" si="21"/>
        <v xml:space="preserve"> =&lt;90</v>
      </c>
      <c r="AL1387" s="1" t="str">
        <f>VLOOKUP(C:C,[1]基础信息!B$1:D$65536,3,0)</f>
        <v>Jug</v>
      </c>
      <c r="AM1387" s="1" t="str">
        <f>VLOOKUP(C:C,[1]基础信息!B$1:E$65536,4,0)</f>
        <v>MXpl</v>
      </c>
      <c r="AN1387" s="1" t="str">
        <f>VLOOKUP(C:C,[1]基础信息!B$1:F$65536,5,0)</f>
        <v>grey</v>
      </c>
    </row>
    <row r="1388" spans="1:40">
      <c r="A1388" s="1" t="s">
        <v>41</v>
      </c>
      <c r="B1388" s="1" t="s">
        <v>42</v>
      </c>
      <c r="C1388" s="1" t="s">
        <v>208</v>
      </c>
      <c r="D1388" s="1" t="s">
        <v>209</v>
      </c>
      <c r="E1388" s="1" t="s">
        <v>208</v>
      </c>
      <c r="F1388" s="1" t="s">
        <v>3209</v>
      </c>
      <c r="G1388" s="1" t="s">
        <v>3228</v>
      </c>
      <c r="H1388" s="1" t="s">
        <v>3229</v>
      </c>
      <c r="I1388" s="1" t="s">
        <v>49</v>
      </c>
      <c r="J1388" s="1" t="s">
        <v>48</v>
      </c>
      <c r="K1388" s="1">
        <v>80</v>
      </c>
      <c r="L1388" s="1">
        <v>0</v>
      </c>
      <c r="M1388" s="1">
        <v>0</v>
      </c>
      <c r="N1388" s="1">
        <v>80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 t="s">
        <v>49</v>
      </c>
      <c r="AA1388" s="1" t="s">
        <v>49</v>
      </c>
      <c r="AB1388" s="1" t="s">
        <v>49</v>
      </c>
      <c r="AC1388" s="1" t="s">
        <v>1408</v>
      </c>
      <c r="AD1388" s="1" t="s">
        <v>1409</v>
      </c>
      <c r="AE1388" s="1" t="s">
        <v>3190</v>
      </c>
      <c r="AF1388" s="1" t="s">
        <v>216</v>
      </c>
      <c r="AG1388" s="1" t="s">
        <v>53</v>
      </c>
      <c r="AH1388" s="1" t="s">
        <v>49</v>
      </c>
      <c r="AI1388" s="1" t="s">
        <v>54</v>
      </c>
      <c r="AJ1388" s="1">
        <v>1</v>
      </c>
      <c r="AK1388" s="1" t="str">
        <f t="shared" si="21"/>
        <v xml:space="preserve"> =&lt;90</v>
      </c>
      <c r="AL1388" s="1" t="str">
        <f>VLOOKUP(C:C,[1]基础信息!B$1:D$65536,3,0)</f>
        <v>Jug</v>
      </c>
      <c r="AM1388" s="1" t="str">
        <f>VLOOKUP(C:C,[1]基础信息!B$1:E$65536,4,0)</f>
        <v>MXpl</v>
      </c>
      <c r="AN1388" s="1" t="str">
        <f>VLOOKUP(C:C,[1]基础信息!B$1:F$65536,5,0)</f>
        <v>grey</v>
      </c>
    </row>
    <row r="1389" spans="1:40">
      <c r="A1389" s="1" t="s">
        <v>41</v>
      </c>
      <c r="B1389" s="1" t="s">
        <v>42</v>
      </c>
      <c r="C1389" s="1" t="s">
        <v>208</v>
      </c>
      <c r="D1389" s="1" t="s">
        <v>209</v>
      </c>
      <c r="E1389" s="1" t="s">
        <v>208</v>
      </c>
      <c r="F1389" s="1" t="s">
        <v>3209</v>
      </c>
      <c r="G1389" s="1" t="s">
        <v>3230</v>
      </c>
      <c r="H1389" s="1" t="s">
        <v>3231</v>
      </c>
      <c r="I1389" s="1" t="s">
        <v>49</v>
      </c>
      <c r="J1389" s="1" t="s">
        <v>48</v>
      </c>
      <c r="K1389" s="1">
        <v>80</v>
      </c>
      <c r="L1389" s="1">
        <v>0</v>
      </c>
      <c r="M1389" s="1">
        <v>0</v>
      </c>
      <c r="N1389" s="1">
        <v>80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 t="s">
        <v>49</v>
      </c>
      <c r="AA1389" s="1" t="s">
        <v>49</v>
      </c>
      <c r="AB1389" s="1" t="s">
        <v>49</v>
      </c>
      <c r="AC1389" s="1" t="s">
        <v>1408</v>
      </c>
      <c r="AD1389" s="1" t="s">
        <v>1409</v>
      </c>
      <c r="AE1389" s="1" t="s">
        <v>3190</v>
      </c>
      <c r="AF1389" s="1" t="s">
        <v>216</v>
      </c>
      <c r="AG1389" s="1" t="s">
        <v>53</v>
      </c>
      <c r="AH1389" s="1" t="s">
        <v>49</v>
      </c>
      <c r="AI1389" s="1" t="s">
        <v>54</v>
      </c>
      <c r="AJ1389" s="1">
        <v>1</v>
      </c>
      <c r="AK1389" s="1" t="str">
        <f t="shared" si="21"/>
        <v xml:space="preserve"> =&lt;90</v>
      </c>
      <c r="AL1389" s="1" t="str">
        <f>VLOOKUP(C:C,[1]基础信息!B$1:D$65536,3,0)</f>
        <v>Jug</v>
      </c>
      <c r="AM1389" s="1" t="str">
        <f>VLOOKUP(C:C,[1]基础信息!B$1:E$65536,4,0)</f>
        <v>MXpl</v>
      </c>
      <c r="AN1389" s="1" t="str">
        <f>VLOOKUP(C:C,[1]基础信息!B$1:F$65536,5,0)</f>
        <v>grey</v>
      </c>
    </row>
    <row r="1390" spans="1:40">
      <c r="A1390" s="1" t="s">
        <v>41</v>
      </c>
      <c r="B1390" s="1" t="s">
        <v>42</v>
      </c>
      <c r="C1390" s="1" t="s">
        <v>208</v>
      </c>
      <c r="D1390" s="1" t="s">
        <v>209</v>
      </c>
      <c r="E1390" s="1" t="s">
        <v>208</v>
      </c>
      <c r="F1390" s="1" t="s">
        <v>3209</v>
      </c>
      <c r="G1390" s="1" t="s">
        <v>3232</v>
      </c>
      <c r="H1390" s="1" t="s">
        <v>3233</v>
      </c>
      <c r="I1390" s="1" t="s">
        <v>49</v>
      </c>
      <c r="J1390" s="1" t="s">
        <v>48</v>
      </c>
      <c r="K1390" s="1">
        <v>80</v>
      </c>
      <c r="L1390" s="1">
        <v>0</v>
      </c>
      <c r="M1390" s="1">
        <v>0</v>
      </c>
      <c r="N1390" s="1">
        <v>80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 t="s">
        <v>49</v>
      </c>
      <c r="AA1390" s="1" t="s">
        <v>49</v>
      </c>
      <c r="AB1390" s="1" t="s">
        <v>49</v>
      </c>
      <c r="AC1390" s="1" t="s">
        <v>1408</v>
      </c>
      <c r="AD1390" s="1" t="s">
        <v>1409</v>
      </c>
      <c r="AE1390" s="1" t="s">
        <v>3190</v>
      </c>
      <c r="AF1390" s="1" t="s">
        <v>216</v>
      </c>
      <c r="AG1390" s="1" t="s">
        <v>53</v>
      </c>
      <c r="AH1390" s="1" t="s">
        <v>49</v>
      </c>
      <c r="AI1390" s="1" t="s">
        <v>54</v>
      </c>
      <c r="AJ1390" s="1">
        <v>1</v>
      </c>
      <c r="AK1390" s="1" t="str">
        <f t="shared" si="21"/>
        <v xml:space="preserve"> =&lt;90</v>
      </c>
      <c r="AL1390" s="1" t="str">
        <f>VLOOKUP(C:C,[1]基础信息!B$1:D$65536,3,0)</f>
        <v>Jug</v>
      </c>
      <c r="AM1390" s="1" t="str">
        <f>VLOOKUP(C:C,[1]基础信息!B$1:E$65536,4,0)</f>
        <v>MXpl</v>
      </c>
      <c r="AN1390" s="1" t="str">
        <f>VLOOKUP(C:C,[1]基础信息!B$1:F$65536,5,0)</f>
        <v>grey</v>
      </c>
    </row>
    <row r="1391" spans="1:40">
      <c r="A1391" s="1" t="s">
        <v>41</v>
      </c>
      <c r="B1391" s="1" t="s">
        <v>42</v>
      </c>
      <c r="C1391" s="1" t="s">
        <v>208</v>
      </c>
      <c r="D1391" s="1" t="s">
        <v>209</v>
      </c>
      <c r="E1391" s="1" t="s">
        <v>208</v>
      </c>
      <c r="F1391" s="1" t="s">
        <v>3209</v>
      </c>
      <c r="G1391" s="1" t="s">
        <v>3234</v>
      </c>
      <c r="H1391" s="1" t="s">
        <v>3235</v>
      </c>
      <c r="I1391" s="1" t="s">
        <v>49</v>
      </c>
      <c r="J1391" s="1" t="s">
        <v>48</v>
      </c>
      <c r="K1391" s="1">
        <v>80</v>
      </c>
      <c r="L1391" s="1">
        <v>0</v>
      </c>
      <c r="M1391" s="1">
        <v>0</v>
      </c>
      <c r="N1391" s="1">
        <v>80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 t="s">
        <v>49</v>
      </c>
      <c r="AA1391" s="1" t="s">
        <v>49</v>
      </c>
      <c r="AB1391" s="1" t="s">
        <v>49</v>
      </c>
      <c r="AC1391" s="1" t="s">
        <v>1408</v>
      </c>
      <c r="AD1391" s="1" t="s">
        <v>1409</v>
      </c>
      <c r="AE1391" s="1" t="s">
        <v>3190</v>
      </c>
      <c r="AF1391" s="1" t="s">
        <v>216</v>
      </c>
      <c r="AG1391" s="1" t="s">
        <v>53</v>
      </c>
      <c r="AH1391" s="1" t="s">
        <v>49</v>
      </c>
      <c r="AI1391" s="1" t="s">
        <v>54</v>
      </c>
      <c r="AJ1391" s="1">
        <v>1</v>
      </c>
      <c r="AK1391" s="1" t="str">
        <f t="shared" si="21"/>
        <v xml:space="preserve"> =&lt;90</v>
      </c>
      <c r="AL1391" s="1" t="str">
        <f>VLOOKUP(C:C,[1]基础信息!B$1:D$65536,3,0)</f>
        <v>Jug</v>
      </c>
      <c r="AM1391" s="1" t="str">
        <f>VLOOKUP(C:C,[1]基础信息!B$1:E$65536,4,0)</f>
        <v>MXpl</v>
      </c>
      <c r="AN1391" s="1" t="str">
        <f>VLOOKUP(C:C,[1]基础信息!B$1:F$65536,5,0)</f>
        <v>grey</v>
      </c>
    </row>
    <row r="1392" spans="1:40">
      <c r="A1392" s="1" t="s">
        <v>41</v>
      </c>
      <c r="B1392" s="1" t="s">
        <v>42</v>
      </c>
      <c r="C1392" s="1" t="s">
        <v>68</v>
      </c>
      <c r="D1392" s="1" t="s">
        <v>69</v>
      </c>
      <c r="E1392" s="1" t="s">
        <v>45</v>
      </c>
      <c r="F1392" s="1" t="s">
        <v>3236</v>
      </c>
      <c r="G1392" s="1" t="s">
        <v>3237</v>
      </c>
      <c r="H1392" s="1" t="s">
        <v>3238</v>
      </c>
      <c r="I1392" s="1" t="s">
        <v>49</v>
      </c>
      <c r="J1392" s="1" t="s">
        <v>48</v>
      </c>
      <c r="K1392" s="1">
        <v>1</v>
      </c>
      <c r="L1392" s="1">
        <v>0</v>
      </c>
      <c r="M1392" s="1">
        <v>0</v>
      </c>
      <c r="N1392" s="1">
        <v>1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 t="s">
        <v>49</v>
      </c>
      <c r="AA1392" s="1" t="s">
        <v>49</v>
      </c>
      <c r="AB1392" s="1" t="s">
        <v>49</v>
      </c>
      <c r="AC1392" s="1" t="s">
        <v>3239</v>
      </c>
      <c r="AD1392" s="1" t="s">
        <v>3240</v>
      </c>
      <c r="AE1392" s="1" t="s">
        <v>3241</v>
      </c>
      <c r="AF1392" s="1" t="s">
        <v>3242</v>
      </c>
      <c r="AG1392" s="1" t="s">
        <v>53</v>
      </c>
      <c r="AH1392" s="1" t="s">
        <v>49</v>
      </c>
      <c r="AI1392" s="1" t="s">
        <v>54</v>
      </c>
      <c r="AJ1392" s="1">
        <v>1</v>
      </c>
      <c r="AK1392" s="1" t="str">
        <f t="shared" si="21"/>
        <v xml:space="preserve"> =&lt;90</v>
      </c>
      <c r="AL1392" s="1" t="str">
        <f>VLOOKUP(C:C,[1]基础信息!B$1:D$65536,3,0)</f>
        <v>Hotcup</v>
      </c>
      <c r="AM1392" s="1" t="str">
        <f>VLOOKUP(C:C,[1]基础信息!B$1:E$65536,4,0)</f>
        <v>Hotcup</v>
      </c>
      <c r="AN1392" s="1" t="str">
        <f>VLOOKUP(C:C,[1]基础信息!B$1:F$65536,5,0)</f>
        <v xml:space="preserve"> Whi</v>
      </c>
    </row>
    <row r="1393" spans="1:40">
      <c r="A1393" s="1" t="s">
        <v>41</v>
      </c>
      <c r="B1393" s="1" t="s">
        <v>42</v>
      </c>
      <c r="C1393" s="1" t="s">
        <v>208</v>
      </c>
      <c r="D1393" s="1" t="s">
        <v>209</v>
      </c>
      <c r="E1393" s="1" t="s">
        <v>208</v>
      </c>
      <c r="F1393" s="1" t="s">
        <v>3209</v>
      </c>
      <c r="G1393" s="1" t="s">
        <v>3243</v>
      </c>
      <c r="H1393" s="1" t="s">
        <v>3244</v>
      </c>
      <c r="I1393" s="1" t="s">
        <v>49</v>
      </c>
      <c r="J1393" s="1" t="s">
        <v>48</v>
      </c>
      <c r="K1393" s="1">
        <v>80</v>
      </c>
      <c r="L1393" s="1">
        <v>0</v>
      </c>
      <c r="M1393" s="1">
        <v>0</v>
      </c>
      <c r="N1393" s="1">
        <v>80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 t="s">
        <v>49</v>
      </c>
      <c r="AA1393" s="1" t="s">
        <v>49</v>
      </c>
      <c r="AB1393" s="1" t="s">
        <v>49</v>
      </c>
      <c r="AC1393" s="1" t="s">
        <v>1408</v>
      </c>
      <c r="AD1393" s="1" t="s">
        <v>1409</v>
      </c>
      <c r="AE1393" s="1" t="s">
        <v>3190</v>
      </c>
      <c r="AF1393" s="1" t="s">
        <v>216</v>
      </c>
      <c r="AG1393" s="1" t="s">
        <v>53</v>
      </c>
      <c r="AH1393" s="1" t="s">
        <v>49</v>
      </c>
      <c r="AI1393" s="1" t="s">
        <v>54</v>
      </c>
      <c r="AJ1393" s="1">
        <v>1</v>
      </c>
      <c r="AK1393" s="1" t="str">
        <f t="shared" si="21"/>
        <v xml:space="preserve"> =&lt;90</v>
      </c>
      <c r="AL1393" s="1" t="str">
        <f>VLOOKUP(C:C,[1]基础信息!B$1:D$65536,3,0)</f>
        <v>Jug</v>
      </c>
      <c r="AM1393" s="1" t="str">
        <f>VLOOKUP(C:C,[1]基础信息!B$1:E$65536,4,0)</f>
        <v>MXpl</v>
      </c>
      <c r="AN1393" s="1" t="str">
        <f>VLOOKUP(C:C,[1]基础信息!B$1:F$65536,5,0)</f>
        <v>grey</v>
      </c>
    </row>
    <row r="1394" spans="1:40">
      <c r="A1394" s="1" t="s">
        <v>41</v>
      </c>
      <c r="B1394" s="1" t="s">
        <v>42</v>
      </c>
      <c r="C1394" s="1" t="s">
        <v>208</v>
      </c>
      <c r="D1394" s="1" t="s">
        <v>209</v>
      </c>
      <c r="E1394" s="1" t="s">
        <v>208</v>
      </c>
      <c r="F1394" s="1" t="s">
        <v>3209</v>
      </c>
      <c r="G1394" s="1" t="s">
        <v>3245</v>
      </c>
      <c r="H1394" s="1" t="s">
        <v>3246</v>
      </c>
      <c r="I1394" s="1" t="s">
        <v>49</v>
      </c>
      <c r="J1394" s="1" t="s">
        <v>48</v>
      </c>
      <c r="K1394" s="1">
        <v>80</v>
      </c>
      <c r="L1394" s="1">
        <v>0</v>
      </c>
      <c r="M1394" s="1">
        <v>0</v>
      </c>
      <c r="N1394" s="1">
        <v>80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 t="s">
        <v>49</v>
      </c>
      <c r="AA1394" s="1" t="s">
        <v>49</v>
      </c>
      <c r="AB1394" s="1" t="s">
        <v>49</v>
      </c>
      <c r="AC1394" s="1" t="s">
        <v>1408</v>
      </c>
      <c r="AD1394" s="1" t="s">
        <v>1409</v>
      </c>
      <c r="AE1394" s="1" t="s">
        <v>3190</v>
      </c>
      <c r="AF1394" s="1" t="s">
        <v>216</v>
      </c>
      <c r="AG1394" s="1" t="s">
        <v>53</v>
      </c>
      <c r="AH1394" s="1" t="s">
        <v>49</v>
      </c>
      <c r="AI1394" s="1" t="s">
        <v>54</v>
      </c>
      <c r="AJ1394" s="1">
        <v>1</v>
      </c>
      <c r="AK1394" s="1" t="str">
        <f t="shared" si="21"/>
        <v xml:space="preserve"> =&lt;90</v>
      </c>
      <c r="AL1394" s="1" t="str">
        <f>VLOOKUP(C:C,[1]基础信息!B$1:D$65536,3,0)</f>
        <v>Jug</v>
      </c>
      <c r="AM1394" s="1" t="str">
        <f>VLOOKUP(C:C,[1]基础信息!B$1:E$65536,4,0)</f>
        <v>MXpl</v>
      </c>
      <c r="AN1394" s="1" t="str">
        <f>VLOOKUP(C:C,[1]基础信息!B$1:F$65536,5,0)</f>
        <v>grey</v>
      </c>
    </row>
    <row r="1395" spans="1:40">
      <c r="A1395" s="1" t="s">
        <v>41</v>
      </c>
      <c r="B1395" s="1" t="s">
        <v>42</v>
      </c>
      <c r="C1395" s="1" t="s">
        <v>208</v>
      </c>
      <c r="D1395" s="1" t="s">
        <v>209</v>
      </c>
      <c r="E1395" s="1" t="s">
        <v>208</v>
      </c>
      <c r="F1395" s="1" t="s">
        <v>3209</v>
      </c>
      <c r="G1395" s="1" t="s">
        <v>3247</v>
      </c>
      <c r="H1395" s="1" t="s">
        <v>3248</v>
      </c>
      <c r="I1395" s="1" t="s">
        <v>49</v>
      </c>
      <c r="J1395" s="1" t="s">
        <v>48</v>
      </c>
      <c r="K1395" s="1">
        <v>80</v>
      </c>
      <c r="L1395" s="1">
        <v>0</v>
      </c>
      <c r="M1395" s="1">
        <v>0</v>
      </c>
      <c r="N1395" s="1">
        <v>80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 t="s">
        <v>49</v>
      </c>
      <c r="AA1395" s="1" t="s">
        <v>49</v>
      </c>
      <c r="AB1395" s="1" t="s">
        <v>49</v>
      </c>
      <c r="AC1395" s="1" t="s">
        <v>1408</v>
      </c>
      <c r="AD1395" s="1" t="s">
        <v>1409</v>
      </c>
      <c r="AE1395" s="1" t="s">
        <v>3190</v>
      </c>
      <c r="AF1395" s="1" t="s">
        <v>216</v>
      </c>
      <c r="AG1395" s="1" t="s">
        <v>53</v>
      </c>
      <c r="AH1395" s="1" t="s">
        <v>49</v>
      </c>
      <c r="AI1395" s="1" t="s">
        <v>54</v>
      </c>
      <c r="AJ1395" s="1">
        <v>1</v>
      </c>
      <c r="AK1395" s="1" t="str">
        <f t="shared" si="21"/>
        <v xml:space="preserve"> =&lt;90</v>
      </c>
      <c r="AL1395" s="1" t="str">
        <f>VLOOKUP(C:C,[1]基础信息!B$1:D$65536,3,0)</f>
        <v>Jug</v>
      </c>
      <c r="AM1395" s="1" t="str">
        <f>VLOOKUP(C:C,[1]基础信息!B$1:E$65536,4,0)</f>
        <v>MXpl</v>
      </c>
      <c r="AN1395" s="1" t="str">
        <f>VLOOKUP(C:C,[1]基础信息!B$1:F$65536,5,0)</f>
        <v>grey</v>
      </c>
    </row>
    <row r="1396" spans="1:40">
      <c r="A1396" s="1" t="s">
        <v>41</v>
      </c>
      <c r="B1396" s="1" t="s">
        <v>42</v>
      </c>
      <c r="C1396" s="1" t="s">
        <v>208</v>
      </c>
      <c r="D1396" s="1" t="s">
        <v>209</v>
      </c>
      <c r="E1396" s="1" t="s">
        <v>208</v>
      </c>
      <c r="F1396" s="1" t="s">
        <v>3209</v>
      </c>
      <c r="G1396" s="1" t="s">
        <v>3249</v>
      </c>
      <c r="H1396" s="1" t="s">
        <v>3250</v>
      </c>
      <c r="I1396" s="1" t="s">
        <v>49</v>
      </c>
      <c r="J1396" s="1" t="s">
        <v>48</v>
      </c>
      <c r="K1396" s="1">
        <v>72</v>
      </c>
      <c r="L1396" s="1">
        <v>0</v>
      </c>
      <c r="M1396" s="1">
        <v>0</v>
      </c>
      <c r="N1396" s="1">
        <v>72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 t="s">
        <v>49</v>
      </c>
      <c r="AA1396" s="1" t="s">
        <v>49</v>
      </c>
      <c r="AB1396" s="1" t="s">
        <v>49</v>
      </c>
      <c r="AC1396" s="1" t="s">
        <v>1408</v>
      </c>
      <c r="AD1396" s="1" t="s">
        <v>1409</v>
      </c>
      <c r="AE1396" s="1" t="s">
        <v>3190</v>
      </c>
      <c r="AF1396" s="1" t="s">
        <v>216</v>
      </c>
      <c r="AG1396" s="1" t="s">
        <v>53</v>
      </c>
      <c r="AH1396" s="1" t="s">
        <v>49</v>
      </c>
      <c r="AI1396" s="1" t="s">
        <v>54</v>
      </c>
      <c r="AJ1396" s="1">
        <v>1</v>
      </c>
      <c r="AK1396" s="1" t="str">
        <f t="shared" si="21"/>
        <v xml:space="preserve"> =&lt;90</v>
      </c>
      <c r="AL1396" s="1" t="str">
        <f>VLOOKUP(C:C,[1]基础信息!B$1:D$65536,3,0)</f>
        <v>Jug</v>
      </c>
      <c r="AM1396" s="1" t="str">
        <f>VLOOKUP(C:C,[1]基础信息!B$1:E$65536,4,0)</f>
        <v>MXpl</v>
      </c>
      <c r="AN1396" s="1" t="str">
        <f>VLOOKUP(C:C,[1]基础信息!B$1:F$65536,5,0)</f>
        <v>grey</v>
      </c>
    </row>
    <row r="1397" spans="1:40">
      <c r="A1397" s="1" t="s">
        <v>41</v>
      </c>
      <c r="B1397" s="1" t="s">
        <v>42</v>
      </c>
      <c r="C1397" s="1" t="s">
        <v>403</v>
      </c>
      <c r="D1397" s="1" t="s">
        <v>404</v>
      </c>
      <c r="E1397" s="1" t="s">
        <v>403</v>
      </c>
      <c r="F1397" s="1" t="s">
        <v>3251</v>
      </c>
      <c r="G1397" s="1" t="s">
        <v>3252</v>
      </c>
      <c r="H1397" s="1" t="s">
        <v>3253</v>
      </c>
      <c r="I1397" s="1" t="s">
        <v>49</v>
      </c>
      <c r="J1397" s="1" t="s">
        <v>48</v>
      </c>
      <c r="K1397" s="1">
        <v>48</v>
      </c>
      <c r="L1397" s="1">
        <v>0</v>
      </c>
      <c r="M1397" s="1">
        <v>0</v>
      </c>
      <c r="N1397" s="1">
        <v>48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 t="s">
        <v>49</v>
      </c>
      <c r="AA1397" s="1" t="s">
        <v>49</v>
      </c>
      <c r="AB1397" s="1" t="s">
        <v>49</v>
      </c>
      <c r="AC1397" s="1" t="s">
        <v>3190</v>
      </c>
      <c r="AD1397" s="1" t="s">
        <v>3254</v>
      </c>
      <c r="AE1397" s="1" t="s">
        <v>3255</v>
      </c>
      <c r="AF1397" s="1" t="s">
        <v>3256</v>
      </c>
      <c r="AG1397" s="1" t="s">
        <v>53</v>
      </c>
      <c r="AH1397" s="1" t="s">
        <v>49</v>
      </c>
      <c r="AI1397" s="1" t="s">
        <v>54</v>
      </c>
      <c r="AJ1397" s="1">
        <v>1</v>
      </c>
      <c r="AK1397" s="1" t="str">
        <f t="shared" si="21"/>
        <v xml:space="preserve"> =&lt;90</v>
      </c>
      <c r="AL1397" s="1" t="str">
        <f>VLOOKUP(C:C,[1]基础信息!B$1:D$65536,3,0)</f>
        <v>UTS</v>
      </c>
      <c r="AM1397" s="1" t="str">
        <f>VLOOKUP(C:C,[1]基础信息!B$1:E$65536,4,0)</f>
        <v>MyPure Pro</v>
      </c>
      <c r="AN1397" s="1" t="str">
        <f>VLOOKUP(C:C,[1]基础信息!B$1:F$65536,5,0)</f>
        <v>Refill</v>
      </c>
    </row>
    <row r="1398" spans="1:40">
      <c r="A1398" s="1" t="s">
        <v>41</v>
      </c>
      <c r="B1398" s="1" t="s">
        <v>42</v>
      </c>
      <c r="C1398" s="1" t="s">
        <v>403</v>
      </c>
      <c r="D1398" s="1" t="s">
        <v>404</v>
      </c>
      <c r="E1398" s="1" t="s">
        <v>403</v>
      </c>
      <c r="F1398" s="1" t="s">
        <v>3257</v>
      </c>
      <c r="G1398" s="1" t="s">
        <v>3258</v>
      </c>
      <c r="H1398" s="1" t="s">
        <v>3259</v>
      </c>
      <c r="I1398" s="1" t="s">
        <v>49</v>
      </c>
      <c r="J1398" s="1" t="s">
        <v>48</v>
      </c>
      <c r="K1398" s="1">
        <v>72</v>
      </c>
      <c r="L1398" s="1">
        <v>0</v>
      </c>
      <c r="M1398" s="1">
        <v>0</v>
      </c>
      <c r="N1398" s="1">
        <v>72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 t="s">
        <v>49</v>
      </c>
      <c r="AA1398" s="1" t="s">
        <v>49</v>
      </c>
      <c r="AB1398" s="1" t="s">
        <v>49</v>
      </c>
      <c r="AC1398" s="1" t="s">
        <v>3190</v>
      </c>
      <c r="AD1398" s="1" t="s">
        <v>3254</v>
      </c>
      <c r="AE1398" s="1" t="s">
        <v>3255</v>
      </c>
      <c r="AF1398" s="1" t="s">
        <v>3260</v>
      </c>
      <c r="AG1398" s="1" t="s">
        <v>53</v>
      </c>
      <c r="AH1398" s="1" t="s">
        <v>49</v>
      </c>
      <c r="AI1398" s="1" t="s">
        <v>54</v>
      </c>
      <c r="AJ1398" s="1">
        <v>1</v>
      </c>
      <c r="AK1398" s="1" t="str">
        <f t="shared" si="21"/>
        <v xml:space="preserve"> =&lt;90</v>
      </c>
      <c r="AL1398" s="1" t="str">
        <f>VLOOKUP(C:C,[1]基础信息!B$1:D$65536,3,0)</f>
        <v>UTS</v>
      </c>
      <c r="AM1398" s="1" t="str">
        <f>VLOOKUP(C:C,[1]基础信息!B$1:E$65536,4,0)</f>
        <v>MyPure Pro</v>
      </c>
      <c r="AN1398" s="1" t="str">
        <f>VLOOKUP(C:C,[1]基础信息!B$1:F$65536,5,0)</f>
        <v>Refill</v>
      </c>
    </row>
    <row r="1399" spans="1:40">
      <c r="A1399" s="1" t="s">
        <v>41</v>
      </c>
      <c r="B1399" s="1" t="s">
        <v>42</v>
      </c>
      <c r="C1399" s="1" t="s">
        <v>403</v>
      </c>
      <c r="D1399" s="1" t="s">
        <v>404</v>
      </c>
      <c r="E1399" s="1" t="s">
        <v>403</v>
      </c>
      <c r="F1399" s="1" t="s">
        <v>3261</v>
      </c>
      <c r="G1399" s="1" t="s">
        <v>3262</v>
      </c>
      <c r="H1399" s="1" t="s">
        <v>3263</v>
      </c>
      <c r="I1399" s="1" t="s">
        <v>49</v>
      </c>
      <c r="J1399" s="1" t="s">
        <v>48</v>
      </c>
      <c r="K1399" s="1">
        <v>24</v>
      </c>
      <c r="L1399" s="1">
        <v>0</v>
      </c>
      <c r="M1399" s="1">
        <v>0</v>
      </c>
      <c r="N1399" s="1">
        <v>24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 t="s">
        <v>49</v>
      </c>
      <c r="AA1399" s="1" t="s">
        <v>49</v>
      </c>
      <c r="AB1399" s="1" t="s">
        <v>49</v>
      </c>
      <c r="AC1399" s="1" t="s">
        <v>3264</v>
      </c>
      <c r="AD1399" s="1" t="s">
        <v>3265</v>
      </c>
      <c r="AE1399" s="1" t="s">
        <v>3264</v>
      </c>
      <c r="AF1399" s="1" t="s">
        <v>3266</v>
      </c>
      <c r="AG1399" s="1" t="s">
        <v>53</v>
      </c>
      <c r="AH1399" s="1" t="s">
        <v>49</v>
      </c>
      <c r="AI1399" s="1" t="s">
        <v>54</v>
      </c>
      <c r="AJ1399" s="1">
        <v>1</v>
      </c>
      <c r="AK1399" s="1" t="str">
        <f t="shared" si="21"/>
        <v xml:space="preserve"> =&lt;90</v>
      </c>
      <c r="AL1399" s="1" t="str">
        <f>VLOOKUP(C:C,[1]基础信息!B$1:D$65536,3,0)</f>
        <v>UTS</v>
      </c>
      <c r="AM1399" s="1" t="str">
        <f>VLOOKUP(C:C,[1]基础信息!B$1:E$65536,4,0)</f>
        <v>MyPure Pro</v>
      </c>
      <c r="AN1399" s="1" t="str">
        <f>VLOOKUP(C:C,[1]基础信息!B$1:F$65536,5,0)</f>
        <v>Refill</v>
      </c>
    </row>
    <row r="1400" spans="1:40">
      <c r="A1400" s="1" t="s">
        <v>41</v>
      </c>
      <c r="B1400" s="1" t="s">
        <v>42</v>
      </c>
      <c r="C1400" s="1" t="s">
        <v>240</v>
      </c>
      <c r="D1400" s="1" t="s">
        <v>241</v>
      </c>
      <c r="E1400" s="1" t="s">
        <v>45</v>
      </c>
      <c r="F1400" s="1" t="s">
        <v>3267</v>
      </c>
      <c r="G1400" s="1" t="s">
        <v>3268</v>
      </c>
      <c r="H1400" s="1" t="s">
        <v>3269</v>
      </c>
      <c r="I1400" s="1" t="s">
        <v>49</v>
      </c>
      <c r="J1400" s="1" t="s">
        <v>48</v>
      </c>
      <c r="K1400" s="1">
        <v>20</v>
      </c>
      <c r="L1400" s="1">
        <v>0</v>
      </c>
      <c r="M1400" s="1">
        <v>0</v>
      </c>
      <c r="N1400" s="1">
        <v>20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 t="s">
        <v>49</v>
      </c>
      <c r="AA1400" s="1" t="s">
        <v>49</v>
      </c>
      <c r="AB1400" s="1" t="s">
        <v>49</v>
      </c>
      <c r="AC1400" s="1" t="s">
        <v>3241</v>
      </c>
      <c r="AD1400" s="1" t="s">
        <v>3270</v>
      </c>
      <c r="AE1400" s="1" t="s">
        <v>3241</v>
      </c>
      <c r="AF1400" s="1" t="s">
        <v>3271</v>
      </c>
      <c r="AG1400" s="1" t="s">
        <v>53</v>
      </c>
      <c r="AH1400" s="1" t="s">
        <v>49</v>
      </c>
      <c r="AI1400" s="1" t="s">
        <v>54</v>
      </c>
      <c r="AJ1400" s="1">
        <v>1</v>
      </c>
      <c r="AK1400" s="1" t="str">
        <f t="shared" si="21"/>
        <v xml:space="preserve"> =&lt;90</v>
      </c>
      <c r="AL1400" s="1" t="str">
        <f>VLOOKUP(C:C,[1]基础信息!B$1:D$65536,3,0)</f>
        <v>UTS</v>
      </c>
      <c r="AM1400" s="1" t="str">
        <f>VLOOKUP(C:C,[1]基础信息!B$1:E$65536,4,0)</f>
        <v>MyPure Pro</v>
      </c>
      <c r="AN1400" s="1" t="str">
        <f>VLOOKUP(C:C,[1]基础信息!B$1:F$65536,5,0)</f>
        <v>X6</v>
      </c>
    </row>
    <row r="1401" spans="1:40">
      <c r="A1401" s="1" t="s">
        <v>41</v>
      </c>
      <c r="B1401" s="1" t="s">
        <v>42</v>
      </c>
      <c r="C1401" s="1" t="s">
        <v>240</v>
      </c>
      <c r="D1401" s="1" t="s">
        <v>241</v>
      </c>
      <c r="E1401" s="1" t="s">
        <v>45</v>
      </c>
      <c r="F1401" s="1" t="s">
        <v>3267</v>
      </c>
      <c r="G1401" s="1" t="s">
        <v>3272</v>
      </c>
      <c r="H1401" s="1" t="s">
        <v>3273</v>
      </c>
      <c r="I1401" s="1" t="s">
        <v>49</v>
      </c>
      <c r="J1401" s="1" t="s">
        <v>48</v>
      </c>
      <c r="K1401" s="1">
        <v>20</v>
      </c>
      <c r="L1401" s="1">
        <v>0</v>
      </c>
      <c r="M1401" s="1">
        <v>0</v>
      </c>
      <c r="N1401" s="1">
        <v>20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 t="s">
        <v>49</v>
      </c>
      <c r="AA1401" s="1" t="s">
        <v>49</v>
      </c>
      <c r="AB1401" s="1" t="s">
        <v>49</v>
      </c>
      <c r="AC1401" s="1" t="s">
        <v>3241</v>
      </c>
      <c r="AD1401" s="1" t="s">
        <v>3270</v>
      </c>
      <c r="AE1401" s="1" t="s">
        <v>3241</v>
      </c>
      <c r="AF1401" s="1" t="s">
        <v>3271</v>
      </c>
      <c r="AG1401" s="1" t="s">
        <v>53</v>
      </c>
      <c r="AH1401" s="1" t="s">
        <v>49</v>
      </c>
      <c r="AI1401" s="1" t="s">
        <v>54</v>
      </c>
      <c r="AJ1401" s="1">
        <v>1</v>
      </c>
      <c r="AK1401" s="1" t="str">
        <f t="shared" si="21"/>
        <v xml:space="preserve"> =&lt;90</v>
      </c>
      <c r="AL1401" s="1" t="str">
        <f>VLOOKUP(C:C,[1]基础信息!B$1:D$65536,3,0)</f>
        <v>UTS</v>
      </c>
      <c r="AM1401" s="1" t="str">
        <f>VLOOKUP(C:C,[1]基础信息!B$1:E$65536,4,0)</f>
        <v>MyPure Pro</v>
      </c>
      <c r="AN1401" s="1" t="str">
        <f>VLOOKUP(C:C,[1]基础信息!B$1:F$65536,5,0)</f>
        <v>X6</v>
      </c>
    </row>
    <row r="1402" spans="1:40">
      <c r="A1402" s="1" t="s">
        <v>41</v>
      </c>
      <c r="B1402" s="1" t="s">
        <v>42</v>
      </c>
      <c r="C1402" s="1" t="s">
        <v>240</v>
      </c>
      <c r="D1402" s="1" t="s">
        <v>241</v>
      </c>
      <c r="E1402" s="1" t="s">
        <v>45</v>
      </c>
      <c r="F1402" s="1" t="s">
        <v>3267</v>
      </c>
      <c r="G1402" s="1" t="s">
        <v>3274</v>
      </c>
      <c r="H1402" s="1" t="s">
        <v>3275</v>
      </c>
      <c r="I1402" s="1" t="s">
        <v>49</v>
      </c>
      <c r="J1402" s="1" t="s">
        <v>48</v>
      </c>
      <c r="K1402" s="1">
        <v>20</v>
      </c>
      <c r="L1402" s="1">
        <v>0</v>
      </c>
      <c r="M1402" s="1">
        <v>0</v>
      </c>
      <c r="N1402" s="1">
        <v>20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 t="s">
        <v>49</v>
      </c>
      <c r="AA1402" s="1" t="s">
        <v>49</v>
      </c>
      <c r="AB1402" s="1" t="s">
        <v>49</v>
      </c>
      <c r="AC1402" s="1" t="s">
        <v>3241</v>
      </c>
      <c r="AD1402" s="1" t="s">
        <v>3270</v>
      </c>
      <c r="AE1402" s="1" t="s">
        <v>3241</v>
      </c>
      <c r="AF1402" s="1" t="s">
        <v>3271</v>
      </c>
      <c r="AG1402" s="1" t="s">
        <v>53</v>
      </c>
      <c r="AH1402" s="1" t="s">
        <v>49</v>
      </c>
      <c r="AI1402" s="1" t="s">
        <v>54</v>
      </c>
      <c r="AJ1402" s="1">
        <v>1</v>
      </c>
      <c r="AK1402" s="1" t="str">
        <f t="shared" si="21"/>
        <v xml:space="preserve"> =&lt;90</v>
      </c>
      <c r="AL1402" s="1" t="str">
        <f>VLOOKUP(C:C,[1]基础信息!B$1:D$65536,3,0)</f>
        <v>UTS</v>
      </c>
      <c r="AM1402" s="1" t="str">
        <f>VLOOKUP(C:C,[1]基础信息!B$1:E$65536,4,0)</f>
        <v>MyPure Pro</v>
      </c>
      <c r="AN1402" s="1" t="str">
        <f>VLOOKUP(C:C,[1]基础信息!B$1:F$65536,5,0)</f>
        <v>X6</v>
      </c>
    </row>
    <row r="1403" spans="1:40">
      <c r="A1403" s="1" t="s">
        <v>41</v>
      </c>
      <c r="B1403" s="1" t="s">
        <v>42</v>
      </c>
      <c r="C1403" s="1" t="s">
        <v>240</v>
      </c>
      <c r="D1403" s="1" t="s">
        <v>241</v>
      </c>
      <c r="E1403" s="1" t="s">
        <v>45</v>
      </c>
      <c r="F1403" s="1" t="s">
        <v>3267</v>
      </c>
      <c r="G1403" s="1" t="s">
        <v>3276</v>
      </c>
      <c r="H1403" s="1" t="s">
        <v>3277</v>
      </c>
      <c r="I1403" s="1" t="s">
        <v>49</v>
      </c>
      <c r="J1403" s="1" t="s">
        <v>48</v>
      </c>
      <c r="K1403" s="1">
        <v>20</v>
      </c>
      <c r="L1403" s="1">
        <v>0</v>
      </c>
      <c r="M1403" s="1">
        <v>0</v>
      </c>
      <c r="N1403" s="1">
        <v>20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 t="s">
        <v>49</v>
      </c>
      <c r="AA1403" s="1" t="s">
        <v>49</v>
      </c>
      <c r="AB1403" s="1" t="s">
        <v>49</v>
      </c>
      <c r="AC1403" s="1" t="s">
        <v>3241</v>
      </c>
      <c r="AD1403" s="1" t="s">
        <v>3270</v>
      </c>
      <c r="AE1403" s="1" t="s">
        <v>3241</v>
      </c>
      <c r="AF1403" s="1" t="s">
        <v>3271</v>
      </c>
      <c r="AG1403" s="1" t="s">
        <v>53</v>
      </c>
      <c r="AH1403" s="1" t="s">
        <v>49</v>
      </c>
      <c r="AI1403" s="1" t="s">
        <v>54</v>
      </c>
      <c r="AJ1403" s="1">
        <v>1</v>
      </c>
      <c r="AK1403" s="1" t="str">
        <f t="shared" si="21"/>
        <v xml:space="preserve"> =&lt;90</v>
      </c>
      <c r="AL1403" s="1" t="str">
        <f>VLOOKUP(C:C,[1]基础信息!B$1:D$65536,3,0)</f>
        <v>UTS</v>
      </c>
      <c r="AM1403" s="1" t="str">
        <f>VLOOKUP(C:C,[1]基础信息!B$1:E$65536,4,0)</f>
        <v>MyPure Pro</v>
      </c>
      <c r="AN1403" s="1" t="str">
        <f>VLOOKUP(C:C,[1]基础信息!B$1:F$65536,5,0)</f>
        <v>X6</v>
      </c>
    </row>
    <row r="1404" spans="1:40">
      <c r="A1404" s="1" t="s">
        <v>41</v>
      </c>
      <c r="B1404" s="1" t="s">
        <v>42</v>
      </c>
      <c r="C1404" s="1" t="s">
        <v>240</v>
      </c>
      <c r="D1404" s="1" t="s">
        <v>241</v>
      </c>
      <c r="E1404" s="1" t="s">
        <v>45</v>
      </c>
      <c r="F1404" s="1" t="s">
        <v>3267</v>
      </c>
      <c r="G1404" s="1" t="s">
        <v>3278</v>
      </c>
      <c r="H1404" s="1" t="s">
        <v>3279</v>
      </c>
      <c r="I1404" s="1" t="s">
        <v>49</v>
      </c>
      <c r="J1404" s="1" t="s">
        <v>48</v>
      </c>
      <c r="K1404" s="1">
        <v>20</v>
      </c>
      <c r="L1404" s="1">
        <v>0</v>
      </c>
      <c r="M1404" s="1">
        <v>0</v>
      </c>
      <c r="N1404" s="1">
        <v>20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 t="s">
        <v>49</v>
      </c>
      <c r="AA1404" s="1" t="s">
        <v>49</v>
      </c>
      <c r="AB1404" s="1" t="s">
        <v>49</v>
      </c>
      <c r="AC1404" s="1" t="s">
        <v>3241</v>
      </c>
      <c r="AD1404" s="1" t="s">
        <v>3270</v>
      </c>
      <c r="AE1404" s="1" t="s">
        <v>3241</v>
      </c>
      <c r="AF1404" s="1" t="s">
        <v>3271</v>
      </c>
      <c r="AG1404" s="1" t="s">
        <v>53</v>
      </c>
      <c r="AH1404" s="1" t="s">
        <v>49</v>
      </c>
      <c r="AI1404" s="1" t="s">
        <v>54</v>
      </c>
      <c r="AJ1404" s="1">
        <v>1</v>
      </c>
      <c r="AK1404" s="1" t="str">
        <f t="shared" si="21"/>
        <v xml:space="preserve"> =&lt;90</v>
      </c>
      <c r="AL1404" s="1" t="str">
        <f>VLOOKUP(C:C,[1]基础信息!B$1:D$65536,3,0)</f>
        <v>UTS</v>
      </c>
      <c r="AM1404" s="1" t="str">
        <f>VLOOKUP(C:C,[1]基础信息!B$1:E$65536,4,0)</f>
        <v>MyPure Pro</v>
      </c>
      <c r="AN1404" s="1" t="str">
        <f>VLOOKUP(C:C,[1]基础信息!B$1:F$65536,5,0)</f>
        <v>X6</v>
      </c>
    </row>
    <row r="1405" spans="1:40">
      <c r="A1405" s="1" t="s">
        <v>41</v>
      </c>
      <c r="B1405" s="1" t="s">
        <v>42</v>
      </c>
      <c r="C1405" s="1" t="s">
        <v>240</v>
      </c>
      <c r="D1405" s="1" t="s">
        <v>241</v>
      </c>
      <c r="E1405" s="1" t="s">
        <v>45</v>
      </c>
      <c r="F1405" s="1" t="s">
        <v>3267</v>
      </c>
      <c r="G1405" s="1" t="s">
        <v>3280</v>
      </c>
      <c r="H1405" s="1" t="s">
        <v>3281</v>
      </c>
      <c r="I1405" s="1" t="s">
        <v>49</v>
      </c>
      <c r="J1405" s="1" t="s">
        <v>48</v>
      </c>
      <c r="K1405" s="1">
        <v>20</v>
      </c>
      <c r="L1405" s="1">
        <v>0</v>
      </c>
      <c r="M1405" s="1">
        <v>0</v>
      </c>
      <c r="N1405" s="1">
        <v>20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 t="s">
        <v>49</v>
      </c>
      <c r="AA1405" s="1" t="s">
        <v>49</v>
      </c>
      <c r="AB1405" s="1" t="s">
        <v>49</v>
      </c>
      <c r="AC1405" s="1" t="s">
        <v>3241</v>
      </c>
      <c r="AD1405" s="1" t="s">
        <v>3270</v>
      </c>
      <c r="AE1405" s="1" t="s">
        <v>3241</v>
      </c>
      <c r="AF1405" s="1" t="s">
        <v>3271</v>
      </c>
      <c r="AG1405" s="1" t="s">
        <v>53</v>
      </c>
      <c r="AH1405" s="1" t="s">
        <v>49</v>
      </c>
      <c r="AI1405" s="1" t="s">
        <v>54</v>
      </c>
      <c r="AJ1405" s="1">
        <v>1</v>
      </c>
      <c r="AK1405" s="1" t="str">
        <f t="shared" si="21"/>
        <v xml:space="preserve"> =&lt;90</v>
      </c>
      <c r="AL1405" s="1" t="str">
        <f>VLOOKUP(C:C,[1]基础信息!B$1:D$65536,3,0)</f>
        <v>UTS</v>
      </c>
      <c r="AM1405" s="1" t="str">
        <f>VLOOKUP(C:C,[1]基础信息!B$1:E$65536,4,0)</f>
        <v>MyPure Pro</v>
      </c>
      <c r="AN1405" s="1" t="str">
        <f>VLOOKUP(C:C,[1]基础信息!B$1:F$65536,5,0)</f>
        <v>X6</v>
      </c>
    </row>
    <row r="1406" spans="1:40">
      <c r="A1406" s="1" t="s">
        <v>41</v>
      </c>
      <c r="B1406" s="1" t="s">
        <v>42</v>
      </c>
      <c r="C1406" s="1" t="s">
        <v>240</v>
      </c>
      <c r="D1406" s="1" t="s">
        <v>241</v>
      </c>
      <c r="E1406" s="1" t="s">
        <v>45</v>
      </c>
      <c r="F1406" s="1" t="s">
        <v>3267</v>
      </c>
      <c r="G1406" s="1" t="s">
        <v>3282</v>
      </c>
      <c r="H1406" s="1" t="s">
        <v>3283</v>
      </c>
      <c r="I1406" s="1" t="s">
        <v>49</v>
      </c>
      <c r="J1406" s="1" t="s">
        <v>48</v>
      </c>
      <c r="K1406" s="1">
        <v>20</v>
      </c>
      <c r="L1406" s="1">
        <v>0</v>
      </c>
      <c r="M1406" s="1">
        <v>0</v>
      </c>
      <c r="N1406" s="1">
        <v>20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 t="s">
        <v>49</v>
      </c>
      <c r="AA1406" s="1" t="s">
        <v>49</v>
      </c>
      <c r="AB1406" s="1" t="s">
        <v>49</v>
      </c>
      <c r="AC1406" s="1" t="s">
        <v>3241</v>
      </c>
      <c r="AD1406" s="1" t="s">
        <v>3270</v>
      </c>
      <c r="AE1406" s="1" t="s">
        <v>3241</v>
      </c>
      <c r="AF1406" s="1" t="s">
        <v>3271</v>
      </c>
      <c r="AG1406" s="1" t="s">
        <v>53</v>
      </c>
      <c r="AH1406" s="1" t="s">
        <v>49</v>
      </c>
      <c r="AI1406" s="1" t="s">
        <v>54</v>
      </c>
      <c r="AJ1406" s="1">
        <v>1</v>
      </c>
      <c r="AK1406" s="1" t="str">
        <f t="shared" si="21"/>
        <v xml:space="preserve"> =&lt;90</v>
      </c>
      <c r="AL1406" s="1" t="str">
        <f>VLOOKUP(C:C,[1]基础信息!B$1:D$65536,3,0)</f>
        <v>UTS</v>
      </c>
      <c r="AM1406" s="1" t="str">
        <f>VLOOKUP(C:C,[1]基础信息!B$1:E$65536,4,0)</f>
        <v>MyPure Pro</v>
      </c>
      <c r="AN1406" s="1" t="str">
        <f>VLOOKUP(C:C,[1]基础信息!B$1:F$65536,5,0)</f>
        <v>X6</v>
      </c>
    </row>
    <row r="1407" spans="1:40">
      <c r="A1407" s="1" t="s">
        <v>41</v>
      </c>
      <c r="B1407" s="1" t="s">
        <v>42</v>
      </c>
      <c r="C1407" s="1" t="s">
        <v>403</v>
      </c>
      <c r="D1407" s="1" t="s">
        <v>404</v>
      </c>
      <c r="E1407" s="1" t="s">
        <v>403</v>
      </c>
      <c r="F1407" s="1" t="s">
        <v>3257</v>
      </c>
      <c r="G1407" s="1" t="s">
        <v>3284</v>
      </c>
      <c r="H1407" s="1" t="s">
        <v>3285</v>
      </c>
      <c r="I1407" s="1" t="s">
        <v>49</v>
      </c>
      <c r="J1407" s="1" t="s">
        <v>48</v>
      </c>
      <c r="K1407" s="1">
        <v>72</v>
      </c>
      <c r="L1407" s="1">
        <v>0</v>
      </c>
      <c r="M1407" s="1">
        <v>0</v>
      </c>
      <c r="N1407" s="1">
        <v>72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 t="s">
        <v>49</v>
      </c>
      <c r="AA1407" s="1" t="s">
        <v>49</v>
      </c>
      <c r="AB1407" s="1" t="s">
        <v>49</v>
      </c>
      <c r="AC1407" s="1" t="s">
        <v>3190</v>
      </c>
      <c r="AD1407" s="1" t="s">
        <v>3254</v>
      </c>
      <c r="AE1407" s="1" t="s">
        <v>3255</v>
      </c>
      <c r="AF1407" s="1" t="s">
        <v>3260</v>
      </c>
      <c r="AG1407" s="1" t="s">
        <v>53</v>
      </c>
      <c r="AH1407" s="1" t="s">
        <v>49</v>
      </c>
      <c r="AI1407" s="1" t="s">
        <v>54</v>
      </c>
      <c r="AJ1407" s="1">
        <v>1</v>
      </c>
      <c r="AK1407" s="1" t="str">
        <f t="shared" si="21"/>
        <v xml:space="preserve"> =&lt;90</v>
      </c>
      <c r="AL1407" s="1" t="str">
        <f>VLOOKUP(C:C,[1]基础信息!B$1:D$65536,3,0)</f>
        <v>UTS</v>
      </c>
      <c r="AM1407" s="1" t="str">
        <f>VLOOKUP(C:C,[1]基础信息!B$1:E$65536,4,0)</f>
        <v>MyPure Pro</v>
      </c>
      <c r="AN1407" s="1" t="str">
        <f>VLOOKUP(C:C,[1]基础信息!B$1:F$65536,5,0)</f>
        <v>Refill</v>
      </c>
    </row>
    <row r="1408" spans="1:40">
      <c r="A1408" s="1" t="s">
        <v>41</v>
      </c>
      <c r="B1408" s="1" t="s">
        <v>42</v>
      </c>
      <c r="C1408" s="1" t="s">
        <v>285</v>
      </c>
      <c r="D1408" s="1" t="s">
        <v>286</v>
      </c>
      <c r="E1408" s="1" t="s">
        <v>45</v>
      </c>
      <c r="F1408" s="1" t="s">
        <v>3095</v>
      </c>
      <c r="G1408" s="1" t="s">
        <v>3286</v>
      </c>
      <c r="H1408" s="1" t="s">
        <v>3287</v>
      </c>
      <c r="I1408" s="1" t="s">
        <v>49</v>
      </c>
      <c r="J1408" s="1" t="s">
        <v>48</v>
      </c>
      <c r="K1408" s="1">
        <v>70</v>
      </c>
      <c r="L1408" s="1">
        <v>0</v>
      </c>
      <c r="M1408" s="1">
        <v>0</v>
      </c>
      <c r="N1408" s="1">
        <v>70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 t="s">
        <v>49</v>
      </c>
      <c r="AA1408" s="1" t="s">
        <v>49</v>
      </c>
      <c r="AB1408" s="1" t="s">
        <v>49</v>
      </c>
      <c r="AC1408" s="1" t="s">
        <v>3098</v>
      </c>
      <c r="AD1408" s="1" t="s">
        <v>3099</v>
      </c>
      <c r="AE1408" s="1" t="s">
        <v>3098</v>
      </c>
      <c r="AF1408" s="1" t="s">
        <v>1553</v>
      </c>
      <c r="AG1408" s="1" t="s">
        <v>53</v>
      </c>
      <c r="AH1408" s="1" t="s">
        <v>49</v>
      </c>
      <c r="AI1408" s="1" t="s">
        <v>54</v>
      </c>
      <c r="AJ1408" s="1">
        <v>1</v>
      </c>
      <c r="AK1408" s="1" t="str">
        <f t="shared" si="21"/>
        <v xml:space="preserve"> =&lt;90</v>
      </c>
      <c r="AL1408" s="1" t="str">
        <f>VLOOKUP(C:C,[1]基础信息!B$1:D$65536,3,0)</f>
        <v>Jug</v>
      </c>
      <c r="AM1408" s="1" t="str">
        <f>VLOOKUP(C:C,[1]基础信息!B$1:E$65536,4,0)</f>
        <v>Marella XL</v>
      </c>
      <c r="AN1408" s="1" t="str">
        <f>VLOOKUP(C:C,[1]基础信息!B$1:F$65536,5,0)</f>
        <v>Blue</v>
      </c>
    </row>
    <row r="1409" spans="1:40">
      <c r="A1409" s="1" t="s">
        <v>41</v>
      </c>
      <c r="B1409" s="1" t="s">
        <v>42</v>
      </c>
      <c r="C1409" s="1" t="s">
        <v>208</v>
      </c>
      <c r="D1409" s="1" t="s">
        <v>209</v>
      </c>
      <c r="E1409" s="1" t="s">
        <v>208</v>
      </c>
      <c r="F1409" s="1" t="s">
        <v>1411</v>
      </c>
      <c r="G1409" s="1" t="s">
        <v>3288</v>
      </c>
      <c r="H1409" s="1" t="s">
        <v>3289</v>
      </c>
      <c r="I1409" s="1" t="s">
        <v>49</v>
      </c>
      <c r="J1409" s="1" t="s">
        <v>48</v>
      </c>
      <c r="K1409" s="1">
        <v>80</v>
      </c>
      <c r="L1409" s="1">
        <v>0</v>
      </c>
      <c r="M1409" s="1">
        <v>0</v>
      </c>
      <c r="N1409" s="1">
        <v>80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 t="s">
        <v>49</v>
      </c>
      <c r="AA1409" s="1" t="s">
        <v>49</v>
      </c>
      <c r="AB1409" s="1" t="s">
        <v>49</v>
      </c>
      <c r="AC1409" s="1" t="s">
        <v>1330</v>
      </c>
      <c r="AD1409" s="1" t="s">
        <v>1331</v>
      </c>
      <c r="AE1409" s="1" t="s">
        <v>1330</v>
      </c>
      <c r="AF1409" s="1" t="s">
        <v>1414</v>
      </c>
      <c r="AG1409" s="1" t="s">
        <v>53</v>
      </c>
      <c r="AH1409" s="1" t="s">
        <v>49</v>
      </c>
      <c r="AI1409" s="1" t="s">
        <v>54</v>
      </c>
      <c r="AJ1409" s="1">
        <v>1</v>
      </c>
      <c r="AK1409" s="1" t="str">
        <f t="shared" si="21"/>
        <v xml:space="preserve"> =&lt;90</v>
      </c>
      <c r="AL1409" s="1" t="str">
        <f>VLOOKUP(C:C,[1]基础信息!B$1:D$65536,3,0)</f>
        <v>Jug</v>
      </c>
      <c r="AM1409" s="1" t="str">
        <f>VLOOKUP(C:C,[1]基础信息!B$1:E$65536,4,0)</f>
        <v>MXpl</v>
      </c>
      <c r="AN1409" s="1" t="str">
        <f>VLOOKUP(C:C,[1]基础信息!B$1:F$65536,5,0)</f>
        <v>grey</v>
      </c>
    </row>
    <row r="1410" spans="1:40">
      <c r="A1410" s="1" t="s">
        <v>41</v>
      </c>
      <c r="B1410" s="1" t="s">
        <v>42</v>
      </c>
      <c r="C1410" s="1" t="s">
        <v>208</v>
      </c>
      <c r="D1410" s="1" t="s">
        <v>209</v>
      </c>
      <c r="E1410" s="1" t="s">
        <v>208</v>
      </c>
      <c r="F1410" s="1" t="s">
        <v>1411</v>
      </c>
      <c r="G1410" s="1" t="s">
        <v>3290</v>
      </c>
      <c r="H1410" s="1" t="s">
        <v>3291</v>
      </c>
      <c r="I1410" s="1" t="s">
        <v>49</v>
      </c>
      <c r="J1410" s="1" t="s">
        <v>48</v>
      </c>
      <c r="K1410" s="1">
        <v>80</v>
      </c>
      <c r="L1410" s="1">
        <v>0</v>
      </c>
      <c r="M1410" s="1">
        <v>0</v>
      </c>
      <c r="N1410" s="1">
        <v>80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 t="s">
        <v>49</v>
      </c>
      <c r="AA1410" s="1" t="s">
        <v>49</v>
      </c>
      <c r="AB1410" s="1" t="s">
        <v>49</v>
      </c>
      <c r="AC1410" s="1" t="s">
        <v>1330</v>
      </c>
      <c r="AD1410" s="1" t="s">
        <v>1331</v>
      </c>
      <c r="AE1410" s="1" t="s">
        <v>1330</v>
      </c>
      <c r="AF1410" s="1" t="s">
        <v>1414</v>
      </c>
      <c r="AG1410" s="1" t="s">
        <v>53</v>
      </c>
      <c r="AH1410" s="1" t="s">
        <v>49</v>
      </c>
      <c r="AI1410" s="1" t="s">
        <v>54</v>
      </c>
      <c r="AJ1410" s="1">
        <v>1</v>
      </c>
      <c r="AK1410" s="1" t="str">
        <f t="shared" ref="AK1410:AK1473" si="22">IF(AJ1410&gt;$AP$2,$AQ$2,IF(AJ1410&gt;$AP$3,$AQ$3,IF(AJ1410&gt;$AP$4,$AQ$4,$AQ$5)))</f>
        <v xml:space="preserve"> =&lt;90</v>
      </c>
      <c r="AL1410" s="1" t="str">
        <f>VLOOKUP(C:C,[1]基础信息!B$1:D$65536,3,0)</f>
        <v>Jug</v>
      </c>
      <c r="AM1410" s="1" t="str">
        <f>VLOOKUP(C:C,[1]基础信息!B$1:E$65536,4,0)</f>
        <v>MXpl</v>
      </c>
      <c r="AN1410" s="1" t="str">
        <f>VLOOKUP(C:C,[1]基础信息!B$1:F$65536,5,0)</f>
        <v>grey</v>
      </c>
    </row>
    <row r="1411" spans="1:40">
      <c r="A1411" s="1" t="s">
        <v>41</v>
      </c>
      <c r="B1411" s="1" t="s">
        <v>42</v>
      </c>
      <c r="C1411" s="1" t="s">
        <v>285</v>
      </c>
      <c r="D1411" s="1" t="s">
        <v>286</v>
      </c>
      <c r="E1411" s="1" t="s">
        <v>45</v>
      </c>
      <c r="F1411" s="1" t="s">
        <v>3095</v>
      </c>
      <c r="G1411" s="1" t="s">
        <v>3292</v>
      </c>
      <c r="H1411" s="1" t="s">
        <v>3293</v>
      </c>
      <c r="I1411" s="1" t="s">
        <v>49</v>
      </c>
      <c r="J1411" s="1" t="s">
        <v>48</v>
      </c>
      <c r="K1411" s="1">
        <v>70</v>
      </c>
      <c r="L1411" s="1">
        <v>0</v>
      </c>
      <c r="M1411" s="1">
        <v>0</v>
      </c>
      <c r="N1411" s="1">
        <v>70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 t="s">
        <v>49</v>
      </c>
      <c r="AA1411" s="1" t="s">
        <v>49</v>
      </c>
      <c r="AB1411" s="1" t="s">
        <v>49</v>
      </c>
      <c r="AC1411" s="1" t="s">
        <v>3098</v>
      </c>
      <c r="AD1411" s="1" t="s">
        <v>3099</v>
      </c>
      <c r="AE1411" s="1" t="s">
        <v>3098</v>
      </c>
      <c r="AF1411" s="1" t="s">
        <v>1553</v>
      </c>
      <c r="AG1411" s="1" t="s">
        <v>53</v>
      </c>
      <c r="AH1411" s="1" t="s">
        <v>49</v>
      </c>
      <c r="AI1411" s="1" t="s">
        <v>54</v>
      </c>
      <c r="AJ1411" s="1">
        <v>1</v>
      </c>
      <c r="AK1411" s="1" t="str">
        <f t="shared" si="22"/>
        <v xml:space="preserve"> =&lt;90</v>
      </c>
      <c r="AL1411" s="1" t="str">
        <f>VLOOKUP(C:C,[1]基础信息!B$1:D$65536,3,0)</f>
        <v>Jug</v>
      </c>
      <c r="AM1411" s="1" t="str">
        <f>VLOOKUP(C:C,[1]基础信息!B$1:E$65536,4,0)</f>
        <v>Marella XL</v>
      </c>
      <c r="AN1411" s="1" t="str">
        <f>VLOOKUP(C:C,[1]基础信息!B$1:F$65536,5,0)</f>
        <v>Blue</v>
      </c>
    </row>
    <row r="1412" spans="1:40">
      <c r="A1412" s="1" t="s">
        <v>41</v>
      </c>
      <c r="B1412" s="1" t="s">
        <v>42</v>
      </c>
      <c r="C1412" s="1" t="s">
        <v>645</v>
      </c>
      <c r="D1412" s="1" t="s">
        <v>646</v>
      </c>
      <c r="E1412" s="1" t="s">
        <v>645</v>
      </c>
      <c r="F1412" s="1" t="s">
        <v>3294</v>
      </c>
      <c r="G1412" s="1" t="s">
        <v>3295</v>
      </c>
      <c r="H1412" s="1" t="s">
        <v>3296</v>
      </c>
      <c r="I1412" s="1" t="s">
        <v>49</v>
      </c>
      <c r="J1412" s="1" t="s">
        <v>48</v>
      </c>
      <c r="K1412" s="1">
        <v>60</v>
      </c>
      <c r="L1412" s="1">
        <v>0</v>
      </c>
      <c r="M1412" s="1">
        <v>0</v>
      </c>
      <c r="N1412" s="1">
        <v>60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 t="s">
        <v>49</v>
      </c>
      <c r="AA1412" s="1" t="s">
        <v>49</v>
      </c>
      <c r="AB1412" s="1" t="s">
        <v>49</v>
      </c>
      <c r="AC1412" s="1" t="s">
        <v>3190</v>
      </c>
      <c r="AD1412" s="1" t="s">
        <v>3254</v>
      </c>
      <c r="AE1412" s="1" t="s">
        <v>3255</v>
      </c>
      <c r="AF1412" s="1" t="s">
        <v>3297</v>
      </c>
      <c r="AG1412" s="1" t="s">
        <v>53</v>
      </c>
      <c r="AH1412" s="1" t="s">
        <v>49</v>
      </c>
      <c r="AI1412" s="1" t="s">
        <v>54</v>
      </c>
      <c r="AJ1412" s="1">
        <v>1</v>
      </c>
      <c r="AK1412" s="1" t="str">
        <f t="shared" si="22"/>
        <v xml:space="preserve"> =&lt;90</v>
      </c>
      <c r="AL1412" s="1" t="str">
        <f>VLOOKUP(C:C,[1]基础信息!B$1:D$65536,3,0)</f>
        <v>UTS</v>
      </c>
      <c r="AM1412" s="1" t="str">
        <f>VLOOKUP(C:C,[1]基础信息!B$1:E$65536,4,0)</f>
        <v>MyPure Pro</v>
      </c>
      <c r="AN1412" s="1" t="str">
        <f>VLOOKUP(C:C,[1]基础信息!B$1:F$65536,5,0)</f>
        <v>Refill</v>
      </c>
    </row>
    <row r="1413" spans="1:40">
      <c r="A1413" s="1" t="s">
        <v>41</v>
      </c>
      <c r="B1413" s="1" t="s">
        <v>42</v>
      </c>
      <c r="C1413" s="1" t="s">
        <v>645</v>
      </c>
      <c r="D1413" s="1" t="s">
        <v>646</v>
      </c>
      <c r="E1413" s="1" t="s">
        <v>645</v>
      </c>
      <c r="F1413" s="1" t="s">
        <v>3298</v>
      </c>
      <c r="G1413" s="1" t="s">
        <v>3299</v>
      </c>
      <c r="H1413" s="1" t="s">
        <v>3300</v>
      </c>
      <c r="I1413" s="1" t="s">
        <v>49</v>
      </c>
      <c r="J1413" s="1" t="s">
        <v>48</v>
      </c>
      <c r="K1413" s="1">
        <v>72</v>
      </c>
      <c r="L1413" s="1">
        <v>0</v>
      </c>
      <c r="M1413" s="1">
        <v>0</v>
      </c>
      <c r="N1413" s="1">
        <v>72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 t="s">
        <v>49</v>
      </c>
      <c r="AA1413" s="1" t="s">
        <v>49</v>
      </c>
      <c r="AB1413" s="1" t="s">
        <v>49</v>
      </c>
      <c r="AC1413" s="1" t="s">
        <v>3190</v>
      </c>
      <c r="AD1413" s="1" t="s">
        <v>3254</v>
      </c>
      <c r="AE1413" s="1" t="s">
        <v>3255</v>
      </c>
      <c r="AF1413" s="1" t="s">
        <v>3301</v>
      </c>
      <c r="AG1413" s="1" t="s">
        <v>53</v>
      </c>
      <c r="AH1413" s="1" t="s">
        <v>49</v>
      </c>
      <c r="AI1413" s="1" t="s">
        <v>54</v>
      </c>
      <c r="AJ1413" s="1">
        <v>1</v>
      </c>
      <c r="AK1413" s="1" t="str">
        <f t="shared" si="22"/>
        <v xml:space="preserve"> =&lt;90</v>
      </c>
      <c r="AL1413" s="1" t="str">
        <f>VLOOKUP(C:C,[1]基础信息!B$1:D$65536,3,0)</f>
        <v>UTS</v>
      </c>
      <c r="AM1413" s="1" t="str">
        <f>VLOOKUP(C:C,[1]基础信息!B$1:E$65536,4,0)</f>
        <v>MyPure Pro</v>
      </c>
      <c r="AN1413" s="1" t="str">
        <f>VLOOKUP(C:C,[1]基础信息!B$1:F$65536,5,0)</f>
        <v>Refill</v>
      </c>
    </row>
    <row r="1414" spans="1:40">
      <c r="A1414" s="1" t="s">
        <v>41</v>
      </c>
      <c r="B1414" s="1" t="s">
        <v>42</v>
      </c>
      <c r="C1414" s="1" t="s">
        <v>83</v>
      </c>
      <c r="D1414" s="1" t="s">
        <v>84</v>
      </c>
      <c r="E1414" s="1" t="s">
        <v>45</v>
      </c>
      <c r="F1414" s="1" t="s">
        <v>349</v>
      </c>
      <c r="G1414" s="1" t="s">
        <v>3302</v>
      </c>
      <c r="H1414" s="1" t="s">
        <v>3303</v>
      </c>
      <c r="I1414" s="1" t="s">
        <v>49</v>
      </c>
      <c r="J1414" s="1" t="s">
        <v>48</v>
      </c>
      <c r="K1414" s="1">
        <v>96</v>
      </c>
      <c r="L1414" s="1">
        <v>0</v>
      </c>
      <c r="M1414" s="1">
        <v>0</v>
      </c>
      <c r="N1414" s="1">
        <v>96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 t="s">
        <v>49</v>
      </c>
      <c r="AA1414" s="1" t="s">
        <v>49</v>
      </c>
      <c r="AB1414" s="1" t="s">
        <v>49</v>
      </c>
      <c r="AC1414" s="1" t="s">
        <v>88</v>
      </c>
      <c r="AD1414" s="1" t="s">
        <v>89</v>
      </c>
      <c r="AE1414" s="1" t="s">
        <v>88</v>
      </c>
      <c r="AF1414" s="1" t="s">
        <v>352</v>
      </c>
      <c r="AG1414" s="1" t="s">
        <v>53</v>
      </c>
      <c r="AH1414" s="1" t="s">
        <v>49</v>
      </c>
      <c r="AI1414" s="1" t="s">
        <v>54</v>
      </c>
      <c r="AJ1414" s="1">
        <v>1</v>
      </c>
      <c r="AK1414" s="1" t="str">
        <f t="shared" si="22"/>
        <v xml:space="preserve"> =&lt;90</v>
      </c>
      <c r="AL1414" s="1" t="str">
        <f>VLOOKUP(C:C,[1]基础信息!B$1:D$65536,3,0)</f>
        <v>Jug</v>
      </c>
      <c r="AM1414" s="1" t="str">
        <f>VLOOKUP(C:C,[1]基础信息!B$1:E$65536,4,0)</f>
        <v>Mxplus</v>
      </c>
      <c r="AN1414" s="1" t="str">
        <f>VLOOKUP(C:C,[1]基础信息!B$1:F$65536,5,0)</f>
        <v>Blue</v>
      </c>
    </row>
    <row r="1415" spans="1:40">
      <c r="A1415" s="1" t="s">
        <v>41</v>
      </c>
      <c r="B1415" s="1" t="s">
        <v>42</v>
      </c>
      <c r="C1415" s="1" t="s">
        <v>83</v>
      </c>
      <c r="D1415" s="1" t="s">
        <v>84</v>
      </c>
      <c r="E1415" s="1" t="s">
        <v>45</v>
      </c>
      <c r="F1415" s="1" t="s">
        <v>349</v>
      </c>
      <c r="G1415" s="1" t="s">
        <v>3304</v>
      </c>
      <c r="H1415" s="1" t="s">
        <v>3305</v>
      </c>
      <c r="I1415" s="1" t="s">
        <v>49</v>
      </c>
      <c r="J1415" s="1" t="s">
        <v>48</v>
      </c>
      <c r="K1415" s="1">
        <v>96</v>
      </c>
      <c r="L1415" s="1">
        <v>0</v>
      </c>
      <c r="M1415" s="1">
        <v>0</v>
      </c>
      <c r="N1415" s="1">
        <v>96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 t="s">
        <v>49</v>
      </c>
      <c r="AA1415" s="1" t="s">
        <v>49</v>
      </c>
      <c r="AB1415" s="1" t="s">
        <v>49</v>
      </c>
      <c r="AC1415" s="1" t="s">
        <v>88</v>
      </c>
      <c r="AD1415" s="1" t="s">
        <v>89</v>
      </c>
      <c r="AE1415" s="1" t="s">
        <v>88</v>
      </c>
      <c r="AF1415" s="1" t="s">
        <v>352</v>
      </c>
      <c r="AG1415" s="1" t="s">
        <v>53</v>
      </c>
      <c r="AH1415" s="1" t="s">
        <v>49</v>
      </c>
      <c r="AI1415" s="1" t="s">
        <v>54</v>
      </c>
      <c r="AJ1415" s="1">
        <v>1</v>
      </c>
      <c r="AK1415" s="1" t="str">
        <f t="shared" si="22"/>
        <v xml:space="preserve"> =&lt;90</v>
      </c>
      <c r="AL1415" s="1" t="str">
        <f>VLOOKUP(C:C,[1]基础信息!B$1:D$65536,3,0)</f>
        <v>Jug</v>
      </c>
      <c r="AM1415" s="1" t="str">
        <f>VLOOKUP(C:C,[1]基础信息!B$1:E$65536,4,0)</f>
        <v>Mxplus</v>
      </c>
      <c r="AN1415" s="1" t="str">
        <f>VLOOKUP(C:C,[1]基础信息!B$1:F$65536,5,0)</f>
        <v>Blue</v>
      </c>
    </row>
    <row r="1416" spans="1:40">
      <c r="A1416" s="1" t="s">
        <v>41</v>
      </c>
      <c r="B1416" s="1" t="s">
        <v>42</v>
      </c>
      <c r="C1416" s="1" t="s">
        <v>83</v>
      </c>
      <c r="D1416" s="1" t="s">
        <v>84</v>
      </c>
      <c r="E1416" s="1" t="s">
        <v>45</v>
      </c>
      <c r="F1416" s="1" t="s">
        <v>349</v>
      </c>
      <c r="G1416" s="1" t="s">
        <v>3306</v>
      </c>
      <c r="H1416" s="1" t="s">
        <v>3307</v>
      </c>
      <c r="I1416" s="1" t="s">
        <v>49</v>
      </c>
      <c r="J1416" s="1" t="s">
        <v>48</v>
      </c>
      <c r="K1416" s="1">
        <v>96</v>
      </c>
      <c r="L1416" s="1">
        <v>0</v>
      </c>
      <c r="M1416" s="1">
        <v>0</v>
      </c>
      <c r="N1416" s="1">
        <v>96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 t="s">
        <v>49</v>
      </c>
      <c r="AA1416" s="1" t="s">
        <v>49</v>
      </c>
      <c r="AB1416" s="1" t="s">
        <v>49</v>
      </c>
      <c r="AC1416" s="1" t="s">
        <v>88</v>
      </c>
      <c r="AD1416" s="1" t="s">
        <v>89</v>
      </c>
      <c r="AE1416" s="1" t="s">
        <v>88</v>
      </c>
      <c r="AF1416" s="1" t="s">
        <v>352</v>
      </c>
      <c r="AG1416" s="1" t="s">
        <v>53</v>
      </c>
      <c r="AH1416" s="1" t="s">
        <v>49</v>
      </c>
      <c r="AI1416" s="1" t="s">
        <v>54</v>
      </c>
      <c r="AJ1416" s="1">
        <v>1</v>
      </c>
      <c r="AK1416" s="1" t="str">
        <f t="shared" si="22"/>
        <v xml:space="preserve"> =&lt;90</v>
      </c>
      <c r="AL1416" s="1" t="str">
        <f>VLOOKUP(C:C,[1]基础信息!B$1:D$65536,3,0)</f>
        <v>Jug</v>
      </c>
      <c r="AM1416" s="1" t="str">
        <f>VLOOKUP(C:C,[1]基础信息!B$1:E$65536,4,0)</f>
        <v>Mxplus</v>
      </c>
      <c r="AN1416" s="1" t="str">
        <f>VLOOKUP(C:C,[1]基础信息!B$1:F$65536,5,0)</f>
        <v>Blue</v>
      </c>
    </row>
    <row r="1417" spans="1:40">
      <c r="A1417" s="1" t="s">
        <v>41</v>
      </c>
      <c r="B1417" s="1" t="s">
        <v>42</v>
      </c>
      <c r="C1417" s="1" t="s">
        <v>83</v>
      </c>
      <c r="D1417" s="1" t="s">
        <v>84</v>
      </c>
      <c r="E1417" s="1" t="s">
        <v>45</v>
      </c>
      <c r="F1417" s="1" t="s">
        <v>349</v>
      </c>
      <c r="G1417" s="1" t="s">
        <v>3308</v>
      </c>
      <c r="H1417" s="1" t="s">
        <v>3309</v>
      </c>
      <c r="I1417" s="1" t="s">
        <v>49</v>
      </c>
      <c r="J1417" s="1" t="s">
        <v>48</v>
      </c>
      <c r="K1417" s="1">
        <v>96</v>
      </c>
      <c r="L1417" s="1">
        <v>0</v>
      </c>
      <c r="M1417" s="1">
        <v>0</v>
      </c>
      <c r="N1417" s="1">
        <v>96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 t="s">
        <v>49</v>
      </c>
      <c r="AA1417" s="1" t="s">
        <v>49</v>
      </c>
      <c r="AB1417" s="1" t="s">
        <v>49</v>
      </c>
      <c r="AC1417" s="1" t="s">
        <v>88</v>
      </c>
      <c r="AD1417" s="1" t="s">
        <v>89</v>
      </c>
      <c r="AE1417" s="1" t="s">
        <v>88</v>
      </c>
      <c r="AF1417" s="1" t="s">
        <v>352</v>
      </c>
      <c r="AG1417" s="1" t="s">
        <v>53</v>
      </c>
      <c r="AH1417" s="1" t="s">
        <v>49</v>
      </c>
      <c r="AI1417" s="1" t="s">
        <v>54</v>
      </c>
      <c r="AJ1417" s="1">
        <v>1</v>
      </c>
      <c r="AK1417" s="1" t="str">
        <f t="shared" si="22"/>
        <v xml:space="preserve"> =&lt;90</v>
      </c>
      <c r="AL1417" s="1" t="str">
        <f>VLOOKUP(C:C,[1]基础信息!B$1:D$65536,3,0)</f>
        <v>Jug</v>
      </c>
      <c r="AM1417" s="1" t="str">
        <f>VLOOKUP(C:C,[1]基础信息!B$1:E$65536,4,0)</f>
        <v>Mxplus</v>
      </c>
      <c r="AN1417" s="1" t="str">
        <f>VLOOKUP(C:C,[1]基础信息!B$1:F$65536,5,0)</f>
        <v>Blue</v>
      </c>
    </row>
    <row r="1418" spans="1:40">
      <c r="A1418" s="1" t="s">
        <v>41</v>
      </c>
      <c r="B1418" s="1" t="s">
        <v>42</v>
      </c>
      <c r="C1418" s="1" t="s">
        <v>83</v>
      </c>
      <c r="D1418" s="1" t="s">
        <v>84</v>
      </c>
      <c r="E1418" s="1" t="s">
        <v>45</v>
      </c>
      <c r="F1418" s="1" t="s">
        <v>349</v>
      </c>
      <c r="G1418" s="1" t="s">
        <v>3310</v>
      </c>
      <c r="H1418" s="1" t="s">
        <v>3311</v>
      </c>
      <c r="I1418" s="1" t="s">
        <v>49</v>
      </c>
      <c r="J1418" s="1" t="s">
        <v>48</v>
      </c>
      <c r="K1418" s="1">
        <v>96</v>
      </c>
      <c r="L1418" s="1">
        <v>0</v>
      </c>
      <c r="M1418" s="1">
        <v>0</v>
      </c>
      <c r="N1418" s="1">
        <v>96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 t="s">
        <v>49</v>
      </c>
      <c r="AA1418" s="1" t="s">
        <v>49</v>
      </c>
      <c r="AB1418" s="1" t="s">
        <v>49</v>
      </c>
      <c r="AC1418" s="1" t="s">
        <v>88</v>
      </c>
      <c r="AD1418" s="1" t="s">
        <v>89</v>
      </c>
      <c r="AE1418" s="1" t="s">
        <v>88</v>
      </c>
      <c r="AF1418" s="1" t="s">
        <v>352</v>
      </c>
      <c r="AG1418" s="1" t="s">
        <v>53</v>
      </c>
      <c r="AH1418" s="1" t="s">
        <v>49</v>
      </c>
      <c r="AI1418" s="1" t="s">
        <v>54</v>
      </c>
      <c r="AJ1418" s="1">
        <v>1</v>
      </c>
      <c r="AK1418" s="1" t="str">
        <f t="shared" si="22"/>
        <v xml:space="preserve"> =&lt;90</v>
      </c>
      <c r="AL1418" s="1" t="str">
        <f>VLOOKUP(C:C,[1]基础信息!B$1:D$65536,3,0)</f>
        <v>Jug</v>
      </c>
      <c r="AM1418" s="1" t="str">
        <f>VLOOKUP(C:C,[1]基础信息!B$1:E$65536,4,0)</f>
        <v>Mxplus</v>
      </c>
      <c r="AN1418" s="1" t="str">
        <f>VLOOKUP(C:C,[1]基础信息!B$1:F$65536,5,0)</f>
        <v>Blue</v>
      </c>
    </row>
    <row r="1419" spans="1:40">
      <c r="A1419" s="1" t="s">
        <v>41</v>
      </c>
      <c r="B1419" s="1" t="s">
        <v>42</v>
      </c>
      <c r="C1419" s="1" t="s">
        <v>83</v>
      </c>
      <c r="D1419" s="1" t="s">
        <v>84</v>
      </c>
      <c r="E1419" s="1" t="s">
        <v>45</v>
      </c>
      <c r="F1419" s="1" t="s">
        <v>349</v>
      </c>
      <c r="G1419" s="1" t="s">
        <v>3312</v>
      </c>
      <c r="H1419" s="1" t="s">
        <v>3313</v>
      </c>
      <c r="I1419" s="1" t="s">
        <v>49</v>
      </c>
      <c r="J1419" s="1" t="s">
        <v>48</v>
      </c>
      <c r="K1419" s="1">
        <v>96</v>
      </c>
      <c r="L1419" s="1">
        <v>0</v>
      </c>
      <c r="M1419" s="1">
        <v>0</v>
      </c>
      <c r="N1419" s="1">
        <v>96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 t="s">
        <v>49</v>
      </c>
      <c r="AA1419" s="1" t="s">
        <v>49</v>
      </c>
      <c r="AB1419" s="1" t="s">
        <v>49</v>
      </c>
      <c r="AC1419" s="1" t="s">
        <v>88</v>
      </c>
      <c r="AD1419" s="1" t="s">
        <v>89</v>
      </c>
      <c r="AE1419" s="1" t="s">
        <v>88</v>
      </c>
      <c r="AF1419" s="1" t="s">
        <v>352</v>
      </c>
      <c r="AG1419" s="1" t="s">
        <v>53</v>
      </c>
      <c r="AH1419" s="1" t="s">
        <v>49</v>
      </c>
      <c r="AI1419" s="1" t="s">
        <v>54</v>
      </c>
      <c r="AJ1419" s="1">
        <v>1</v>
      </c>
      <c r="AK1419" s="1" t="str">
        <f t="shared" si="22"/>
        <v xml:space="preserve"> =&lt;90</v>
      </c>
      <c r="AL1419" s="1" t="str">
        <f>VLOOKUP(C:C,[1]基础信息!B$1:D$65536,3,0)</f>
        <v>Jug</v>
      </c>
      <c r="AM1419" s="1" t="str">
        <f>VLOOKUP(C:C,[1]基础信息!B$1:E$65536,4,0)</f>
        <v>Mxplus</v>
      </c>
      <c r="AN1419" s="1" t="str">
        <f>VLOOKUP(C:C,[1]基础信息!B$1:F$65536,5,0)</f>
        <v>Blue</v>
      </c>
    </row>
    <row r="1420" spans="1:40">
      <c r="A1420" s="1" t="s">
        <v>41</v>
      </c>
      <c r="B1420" s="1" t="s">
        <v>42</v>
      </c>
      <c r="C1420" s="1" t="s">
        <v>83</v>
      </c>
      <c r="D1420" s="1" t="s">
        <v>84</v>
      </c>
      <c r="E1420" s="1" t="s">
        <v>45</v>
      </c>
      <c r="F1420" s="1" t="s">
        <v>349</v>
      </c>
      <c r="G1420" s="1" t="s">
        <v>3314</v>
      </c>
      <c r="H1420" s="1" t="s">
        <v>3315</v>
      </c>
      <c r="I1420" s="1" t="s">
        <v>49</v>
      </c>
      <c r="J1420" s="1" t="s">
        <v>48</v>
      </c>
      <c r="K1420" s="1">
        <v>96</v>
      </c>
      <c r="L1420" s="1">
        <v>0</v>
      </c>
      <c r="M1420" s="1">
        <v>0</v>
      </c>
      <c r="N1420" s="1">
        <v>96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 t="s">
        <v>49</v>
      </c>
      <c r="AA1420" s="1" t="s">
        <v>49</v>
      </c>
      <c r="AB1420" s="1" t="s">
        <v>49</v>
      </c>
      <c r="AC1420" s="1" t="s">
        <v>88</v>
      </c>
      <c r="AD1420" s="1" t="s">
        <v>89</v>
      </c>
      <c r="AE1420" s="1" t="s">
        <v>88</v>
      </c>
      <c r="AF1420" s="1" t="s">
        <v>352</v>
      </c>
      <c r="AG1420" s="1" t="s">
        <v>53</v>
      </c>
      <c r="AH1420" s="1" t="s">
        <v>49</v>
      </c>
      <c r="AI1420" s="1" t="s">
        <v>54</v>
      </c>
      <c r="AJ1420" s="1">
        <v>1</v>
      </c>
      <c r="AK1420" s="1" t="str">
        <f t="shared" si="22"/>
        <v xml:space="preserve"> =&lt;90</v>
      </c>
      <c r="AL1420" s="1" t="str">
        <f>VLOOKUP(C:C,[1]基础信息!B$1:D$65536,3,0)</f>
        <v>Jug</v>
      </c>
      <c r="AM1420" s="1" t="str">
        <f>VLOOKUP(C:C,[1]基础信息!B$1:E$65536,4,0)</f>
        <v>Mxplus</v>
      </c>
      <c r="AN1420" s="1" t="str">
        <f>VLOOKUP(C:C,[1]基础信息!B$1:F$65536,5,0)</f>
        <v>Blue</v>
      </c>
    </row>
    <row r="1421" spans="1:40">
      <c r="A1421" s="1" t="s">
        <v>41</v>
      </c>
      <c r="B1421" s="1" t="s">
        <v>42</v>
      </c>
      <c r="C1421" s="1" t="s">
        <v>83</v>
      </c>
      <c r="D1421" s="1" t="s">
        <v>84</v>
      </c>
      <c r="E1421" s="1" t="s">
        <v>45</v>
      </c>
      <c r="F1421" s="1" t="s">
        <v>349</v>
      </c>
      <c r="G1421" s="1" t="s">
        <v>3316</v>
      </c>
      <c r="H1421" s="1" t="s">
        <v>3317</v>
      </c>
      <c r="I1421" s="1" t="s">
        <v>49</v>
      </c>
      <c r="J1421" s="1" t="s">
        <v>48</v>
      </c>
      <c r="K1421" s="1">
        <v>96</v>
      </c>
      <c r="L1421" s="1">
        <v>0</v>
      </c>
      <c r="M1421" s="1">
        <v>0</v>
      </c>
      <c r="N1421" s="1">
        <v>96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 t="s">
        <v>49</v>
      </c>
      <c r="AA1421" s="1" t="s">
        <v>49</v>
      </c>
      <c r="AB1421" s="1" t="s">
        <v>49</v>
      </c>
      <c r="AC1421" s="1" t="s">
        <v>88</v>
      </c>
      <c r="AD1421" s="1" t="s">
        <v>89</v>
      </c>
      <c r="AE1421" s="1" t="s">
        <v>88</v>
      </c>
      <c r="AF1421" s="1" t="s">
        <v>352</v>
      </c>
      <c r="AG1421" s="1" t="s">
        <v>53</v>
      </c>
      <c r="AH1421" s="1" t="s">
        <v>49</v>
      </c>
      <c r="AI1421" s="1" t="s">
        <v>54</v>
      </c>
      <c r="AJ1421" s="1">
        <v>1</v>
      </c>
      <c r="AK1421" s="1" t="str">
        <f t="shared" si="22"/>
        <v xml:space="preserve"> =&lt;90</v>
      </c>
      <c r="AL1421" s="1" t="str">
        <f>VLOOKUP(C:C,[1]基础信息!B$1:D$65536,3,0)</f>
        <v>Jug</v>
      </c>
      <c r="AM1421" s="1" t="str">
        <f>VLOOKUP(C:C,[1]基础信息!B$1:E$65536,4,0)</f>
        <v>Mxplus</v>
      </c>
      <c r="AN1421" s="1" t="str">
        <f>VLOOKUP(C:C,[1]基础信息!B$1:F$65536,5,0)</f>
        <v>Blue</v>
      </c>
    </row>
    <row r="1422" spans="1:40">
      <c r="A1422" s="1" t="s">
        <v>41</v>
      </c>
      <c r="B1422" s="1" t="s">
        <v>42</v>
      </c>
      <c r="C1422" s="1" t="s">
        <v>83</v>
      </c>
      <c r="D1422" s="1" t="s">
        <v>84</v>
      </c>
      <c r="E1422" s="1" t="s">
        <v>45</v>
      </c>
      <c r="F1422" s="1" t="s">
        <v>349</v>
      </c>
      <c r="G1422" s="1" t="s">
        <v>3318</v>
      </c>
      <c r="H1422" s="1" t="s">
        <v>3319</v>
      </c>
      <c r="I1422" s="1" t="s">
        <v>49</v>
      </c>
      <c r="J1422" s="1" t="s">
        <v>48</v>
      </c>
      <c r="K1422" s="1">
        <v>96</v>
      </c>
      <c r="L1422" s="1">
        <v>0</v>
      </c>
      <c r="M1422" s="1">
        <v>0</v>
      </c>
      <c r="N1422" s="1">
        <v>96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 t="s">
        <v>49</v>
      </c>
      <c r="AA1422" s="1" t="s">
        <v>49</v>
      </c>
      <c r="AB1422" s="1" t="s">
        <v>49</v>
      </c>
      <c r="AC1422" s="1" t="s">
        <v>88</v>
      </c>
      <c r="AD1422" s="1" t="s">
        <v>89</v>
      </c>
      <c r="AE1422" s="1" t="s">
        <v>88</v>
      </c>
      <c r="AF1422" s="1" t="s">
        <v>352</v>
      </c>
      <c r="AG1422" s="1" t="s">
        <v>53</v>
      </c>
      <c r="AH1422" s="1" t="s">
        <v>49</v>
      </c>
      <c r="AI1422" s="1" t="s">
        <v>54</v>
      </c>
      <c r="AJ1422" s="1">
        <v>1</v>
      </c>
      <c r="AK1422" s="1" t="str">
        <f t="shared" si="22"/>
        <v xml:space="preserve"> =&lt;90</v>
      </c>
      <c r="AL1422" s="1" t="str">
        <f>VLOOKUP(C:C,[1]基础信息!B$1:D$65536,3,0)</f>
        <v>Jug</v>
      </c>
      <c r="AM1422" s="1" t="str">
        <f>VLOOKUP(C:C,[1]基础信息!B$1:E$65536,4,0)</f>
        <v>Mxplus</v>
      </c>
      <c r="AN1422" s="1" t="str">
        <f>VLOOKUP(C:C,[1]基础信息!B$1:F$65536,5,0)</f>
        <v>Blue</v>
      </c>
    </row>
    <row r="1423" spans="1:40">
      <c r="A1423" s="1" t="s">
        <v>41</v>
      </c>
      <c r="B1423" s="1" t="s">
        <v>42</v>
      </c>
      <c r="C1423" s="1" t="s">
        <v>83</v>
      </c>
      <c r="D1423" s="1" t="s">
        <v>84</v>
      </c>
      <c r="E1423" s="1" t="s">
        <v>45</v>
      </c>
      <c r="F1423" s="1" t="s">
        <v>349</v>
      </c>
      <c r="G1423" s="1" t="s">
        <v>3320</v>
      </c>
      <c r="H1423" s="1" t="s">
        <v>3321</v>
      </c>
      <c r="I1423" s="1" t="s">
        <v>49</v>
      </c>
      <c r="J1423" s="1" t="s">
        <v>48</v>
      </c>
      <c r="K1423" s="1">
        <v>96</v>
      </c>
      <c r="L1423" s="1">
        <v>0</v>
      </c>
      <c r="M1423" s="1">
        <v>0</v>
      </c>
      <c r="N1423" s="1">
        <v>96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 t="s">
        <v>49</v>
      </c>
      <c r="AA1423" s="1" t="s">
        <v>49</v>
      </c>
      <c r="AB1423" s="1" t="s">
        <v>49</v>
      </c>
      <c r="AC1423" s="1" t="s">
        <v>88</v>
      </c>
      <c r="AD1423" s="1" t="s">
        <v>89</v>
      </c>
      <c r="AE1423" s="1" t="s">
        <v>88</v>
      </c>
      <c r="AF1423" s="1" t="s">
        <v>352</v>
      </c>
      <c r="AG1423" s="1" t="s">
        <v>53</v>
      </c>
      <c r="AH1423" s="1" t="s">
        <v>49</v>
      </c>
      <c r="AI1423" s="1" t="s">
        <v>54</v>
      </c>
      <c r="AJ1423" s="1">
        <v>1</v>
      </c>
      <c r="AK1423" s="1" t="str">
        <f t="shared" si="22"/>
        <v xml:space="preserve"> =&lt;90</v>
      </c>
      <c r="AL1423" s="1" t="str">
        <f>VLOOKUP(C:C,[1]基础信息!B$1:D$65536,3,0)</f>
        <v>Jug</v>
      </c>
      <c r="AM1423" s="1" t="str">
        <f>VLOOKUP(C:C,[1]基础信息!B$1:E$65536,4,0)</f>
        <v>Mxplus</v>
      </c>
      <c r="AN1423" s="1" t="str">
        <f>VLOOKUP(C:C,[1]基础信息!B$1:F$65536,5,0)</f>
        <v>Blue</v>
      </c>
    </row>
    <row r="1424" spans="1:40">
      <c r="A1424" s="1" t="s">
        <v>41</v>
      </c>
      <c r="B1424" s="1" t="s">
        <v>42</v>
      </c>
      <c r="C1424" s="1" t="s">
        <v>83</v>
      </c>
      <c r="D1424" s="1" t="s">
        <v>84</v>
      </c>
      <c r="E1424" s="1" t="s">
        <v>45</v>
      </c>
      <c r="F1424" s="1" t="s">
        <v>349</v>
      </c>
      <c r="G1424" s="1" t="s">
        <v>3322</v>
      </c>
      <c r="H1424" s="1" t="s">
        <v>3323</v>
      </c>
      <c r="I1424" s="1" t="s">
        <v>49</v>
      </c>
      <c r="J1424" s="1" t="s">
        <v>48</v>
      </c>
      <c r="K1424" s="1">
        <v>96</v>
      </c>
      <c r="L1424" s="1">
        <v>0</v>
      </c>
      <c r="M1424" s="1">
        <v>0</v>
      </c>
      <c r="N1424" s="1">
        <v>96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 t="s">
        <v>49</v>
      </c>
      <c r="AA1424" s="1" t="s">
        <v>49</v>
      </c>
      <c r="AB1424" s="1" t="s">
        <v>49</v>
      </c>
      <c r="AC1424" s="1" t="s">
        <v>88</v>
      </c>
      <c r="AD1424" s="1" t="s">
        <v>89</v>
      </c>
      <c r="AE1424" s="1" t="s">
        <v>88</v>
      </c>
      <c r="AF1424" s="1" t="s">
        <v>352</v>
      </c>
      <c r="AG1424" s="1" t="s">
        <v>53</v>
      </c>
      <c r="AH1424" s="1" t="s">
        <v>49</v>
      </c>
      <c r="AI1424" s="1" t="s">
        <v>54</v>
      </c>
      <c r="AJ1424" s="1">
        <v>1</v>
      </c>
      <c r="AK1424" s="1" t="str">
        <f t="shared" si="22"/>
        <v xml:space="preserve"> =&lt;90</v>
      </c>
      <c r="AL1424" s="1" t="str">
        <f>VLOOKUP(C:C,[1]基础信息!B$1:D$65536,3,0)</f>
        <v>Jug</v>
      </c>
      <c r="AM1424" s="1" t="str">
        <f>VLOOKUP(C:C,[1]基础信息!B$1:E$65536,4,0)</f>
        <v>Mxplus</v>
      </c>
      <c r="AN1424" s="1" t="str">
        <f>VLOOKUP(C:C,[1]基础信息!B$1:F$65536,5,0)</f>
        <v>Blue</v>
      </c>
    </row>
    <row r="1425" spans="1:40">
      <c r="A1425" s="1" t="s">
        <v>41</v>
      </c>
      <c r="B1425" s="1" t="s">
        <v>42</v>
      </c>
      <c r="C1425" s="1" t="s">
        <v>83</v>
      </c>
      <c r="D1425" s="1" t="s">
        <v>84</v>
      </c>
      <c r="E1425" s="1" t="s">
        <v>45</v>
      </c>
      <c r="F1425" s="1" t="s">
        <v>349</v>
      </c>
      <c r="G1425" s="1" t="s">
        <v>3324</v>
      </c>
      <c r="H1425" s="1" t="s">
        <v>3325</v>
      </c>
      <c r="I1425" s="1" t="s">
        <v>49</v>
      </c>
      <c r="J1425" s="1" t="s">
        <v>48</v>
      </c>
      <c r="K1425" s="1">
        <v>96</v>
      </c>
      <c r="L1425" s="1">
        <v>0</v>
      </c>
      <c r="M1425" s="1">
        <v>0</v>
      </c>
      <c r="N1425" s="1">
        <v>96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 t="s">
        <v>49</v>
      </c>
      <c r="AA1425" s="1" t="s">
        <v>49</v>
      </c>
      <c r="AB1425" s="1" t="s">
        <v>49</v>
      </c>
      <c r="AC1425" s="1" t="s">
        <v>88</v>
      </c>
      <c r="AD1425" s="1" t="s">
        <v>89</v>
      </c>
      <c r="AE1425" s="1" t="s">
        <v>88</v>
      </c>
      <c r="AF1425" s="1" t="s">
        <v>352</v>
      </c>
      <c r="AG1425" s="1" t="s">
        <v>53</v>
      </c>
      <c r="AH1425" s="1" t="s">
        <v>49</v>
      </c>
      <c r="AI1425" s="1" t="s">
        <v>54</v>
      </c>
      <c r="AJ1425" s="1">
        <v>1</v>
      </c>
      <c r="AK1425" s="1" t="str">
        <f t="shared" si="22"/>
        <v xml:space="preserve"> =&lt;90</v>
      </c>
      <c r="AL1425" s="1" t="str">
        <f>VLOOKUP(C:C,[1]基础信息!B$1:D$65536,3,0)</f>
        <v>Jug</v>
      </c>
      <c r="AM1425" s="1" t="str">
        <f>VLOOKUP(C:C,[1]基础信息!B$1:E$65536,4,0)</f>
        <v>Mxplus</v>
      </c>
      <c r="AN1425" s="1" t="str">
        <f>VLOOKUP(C:C,[1]基础信息!B$1:F$65536,5,0)</f>
        <v>Blue</v>
      </c>
    </row>
    <row r="1426" spans="1:40">
      <c r="A1426" s="1" t="s">
        <v>41</v>
      </c>
      <c r="B1426" s="1" t="s">
        <v>42</v>
      </c>
      <c r="C1426" s="1" t="s">
        <v>83</v>
      </c>
      <c r="D1426" s="1" t="s">
        <v>84</v>
      </c>
      <c r="E1426" s="1" t="s">
        <v>45</v>
      </c>
      <c r="F1426" s="1" t="s">
        <v>349</v>
      </c>
      <c r="G1426" s="1" t="s">
        <v>3326</v>
      </c>
      <c r="H1426" s="1" t="s">
        <v>3327</v>
      </c>
      <c r="I1426" s="1" t="s">
        <v>49</v>
      </c>
      <c r="J1426" s="1" t="s">
        <v>48</v>
      </c>
      <c r="K1426" s="1">
        <v>96</v>
      </c>
      <c r="L1426" s="1">
        <v>0</v>
      </c>
      <c r="M1426" s="1">
        <v>0</v>
      </c>
      <c r="N1426" s="1">
        <v>96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 t="s">
        <v>49</v>
      </c>
      <c r="AA1426" s="1" t="s">
        <v>49</v>
      </c>
      <c r="AB1426" s="1" t="s">
        <v>49</v>
      </c>
      <c r="AC1426" s="1" t="s">
        <v>88</v>
      </c>
      <c r="AD1426" s="1" t="s">
        <v>89</v>
      </c>
      <c r="AE1426" s="1" t="s">
        <v>88</v>
      </c>
      <c r="AF1426" s="1" t="s">
        <v>352</v>
      </c>
      <c r="AG1426" s="1" t="s">
        <v>53</v>
      </c>
      <c r="AH1426" s="1" t="s">
        <v>49</v>
      </c>
      <c r="AI1426" s="1" t="s">
        <v>54</v>
      </c>
      <c r="AJ1426" s="1">
        <v>1</v>
      </c>
      <c r="AK1426" s="1" t="str">
        <f t="shared" si="22"/>
        <v xml:space="preserve"> =&lt;90</v>
      </c>
      <c r="AL1426" s="1" t="str">
        <f>VLOOKUP(C:C,[1]基础信息!B$1:D$65536,3,0)</f>
        <v>Jug</v>
      </c>
      <c r="AM1426" s="1" t="str">
        <f>VLOOKUP(C:C,[1]基础信息!B$1:E$65536,4,0)</f>
        <v>Mxplus</v>
      </c>
      <c r="AN1426" s="1" t="str">
        <f>VLOOKUP(C:C,[1]基础信息!B$1:F$65536,5,0)</f>
        <v>Blue</v>
      </c>
    </row>
    <row r="1427" spans="1:40">
      <c r="A1427" s="1" t="s">
        <v>41</v>
      </c>
      <c r="B1427" s="1" t="s">
        <v>42</v>
      </c>
      <c r="C1427" s="1" t="s">
        <v>83</v>
      </c>
      <c r="D1427" s="1" t="s">
        <v>84</v>
      </c>
      <c r="E1427" s="1" t="s">
        <v>45</v>
      </c>
      <c r="F1427" s="1" t="s">
        <v>349</v>
      </c>
      <c r="G1427" s="1" t="s">
        <v>3328</v>
      </c>
      <c r="H1427" s="1" t="s">
        <v>3329</v>
      </c>
      <c r="I1427" s="1" t="s">
        <v>49</v>
      </c>
      <c r="J1427" s="1" t="s">
        <v>48</v>
      </c>
      <c r="K1427" s="1">
        <v>96</v>
      </c>
      <c r="L1427" s="1">
        <v>0</v>
      </c>
      <c r="M1427" s="1">
        <v>0</v>
      </c>
      <c r="N1427" s="1">
        <v>96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 t="s">
        <v>49</v>
      </c>
      <c r="AA1427" s="1" t="s">
        <v>49</v>
      </c>
      <c r="AB1427" s="1" t="s">
        <v>49</v>
      </c>
      <c r="AC1427" s="1" t="s">
        <v>88</v>
      </c>
      <c r="AD1427" s="1" t="s">
        <v>89</v>
      </c>
      <c r="AE1427" s="1" t="s">
        <v>88</v>
      </c>
      <c r="AF1427" s="1" t="s">
        <v>352</v>
      </c>
      <c r="AG1427" s="1" t="s">
        <v>53</v>
      </c>
      <c r="AH1427" s="1" t="s">
        <v>49</v>
      </c>
      <c r="AI1427" s="1" t="s">
        <v>54</v>
      </c>
      <c r="AJ1427" s="1">
        <v>1</v>
      </c>
      <c r="AK1427" s="1" t="str">
        <f t="shared" si="22"/>
        <v xml:space="preserve"> =&lt;90</v>
      </c>
      <c r="AL1427" s="1" t="str">
        <f>VLOOKUP(C:C,[1]基础信息!B$1:D$65536,3,0)</f>
        <v>Jug</v>
      </c>
      <c r="AM1427" s="1" t="str">
        <f>VLOOKUP(C:C,[1]基础信息!B$1:E$65536,4,0)</f>
        <v>Mxplus</v>
      </c>
      <c r="AN1427" s="1" t="str">
        <f>VLOOKUP(C:C,[1]基础信息!B$1:F$65536,5,0)</f>
        <v>Blue</v>
      </c>
    </row>
    <row r="1428" spans="1:40">
      <c r="A1428" s="1" t="s">
        <v>41</v>
      </c>
      <c r="B1428" s="1" t="s">
        <v>42</v>
      </c>
      <c r="C1428" s="1" t="s">
        <v>83</v>
      </c>
      <c r="D1428" s="1" t="s">
        <v>84</v>
      </c>
      <c r="E1428" s="1" t="s">
        <v>45</v>
      </c>
      <c r="F1428" s="1" t="s">
        <v>349</v>
      </c>
      <c r="G1428" s="1" t="s">
        <v>3330</v>
      </c>
      <c r="H1428" s="1" t="s">
        <v>3331</v>
      </c>
      <c r="I1428" s="1" t="s">
        <v>49</v>
      </c>
      <c r="J1428" s="1" t="s">
        <v>48</v>
      </c>
      <c r="K1428" s="1">
        <v>96</v>
      </c>
      <c r="L1428" s="1">
        <v>0</v>
      </c>
      <c r="M1428" s="1">
        <v>0</v>
      </c>
      <c r="N1428" s="1">
        <v>96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 t="s">
        <v>49</v>
      </c>
      <c r="AA1428" s="1" t="s">
        <v>49</v>
      </c>
      <c r="AB1428" s="1" t="s">
        <v>49</v>
      </c>
      <c r="AC1428" s="1" t="s">
        <v>88</v>
      </c>
      <c r="AD1428" s="1" t="s">
        <v>89</v>
      </c>
      <c r="AE1428" s="1" t="s">
        <v>88</v>
      </c>
      <c r="AF1428" s="1" t="s">
        <v>352</v>
      </c>
      <c r="AG1428" s="1" t="s">
        <v>53</v>
      </c>
      <c r="AH1428" s="1" t="s">
        <v>49</v>
      </c>
      <c r="AI1428" s="1" t="s">
        <v>54</v>
      </c>
      <c r="AJ1428" s="1">
        <v>1</v>
      </c>
      <c r="AK1428" s="1" t="str">
        <f t="shared" si="22"/>
        <v xml:space="preserve"> =&lt;90</v>
      </c>
      <c r="AL1428" s="1" t="str">
        <f>VLOOKUP(C:C,[1]基础信息!B$1:D$65536,3,0)</f>
        <v>Jug</v>
      </c>
      <c r="AM1428" s="1" t="str">
        <f>VLOOKUP(C:C,[1]基础信息!B$1:E$65536,4,0)</f>
        <v>Mxplus</v>
      </c>
      <c r="AN1428" s="1" t="str">
        <f>VLOOKUP(C:C,[1]基础信息!B$1:F$65536,5,0)</f>
        <v>Blue</v>
      </c>
    </row>
    <row r="1429" spans="1:40">
      <c r="A1429" s="1" t="s">
        <v>41</v>
      </c>
      <c r="B1429" s="1" t="s">
        <v>42</v>
      </c>
      <c r="C1429" s="1" t="s">
        <v>83</v>
      </c>
      <c r="D1429" s="1" t="s">
        <v>84</v>
      </c>
      <c r="E1429" s="1" t="s">
        <v>45</v>
      </c>
      <c r="F1429" s="1" t="s">
        <v>349</v>
      </c>
      <c r="G1429" s="1" t="s">
        <v>3332</v>
      </c>
      <c r="H1429" s="1" t="s">
        <v>3333</v>
      </c>
      <c r="I1429" s="1" t="s">
        <v>49</v>
      </c>
      <c r="J1429" s="1" t="s">
        <v>48</v>
      </c>
      <c r="K1429" s="1">
        <v>96</v>
      </c>
      <c r="L1429" s="1">
        <v>0</v>
      </c>
      <c r="M1429" s="1">
        <v>0</v>
      </c>
      <c r="N1429" s="1">
        <v>96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 t="s">
        <v>49</v>
      </c>
      <c r="AA1429" s="1" t="s">
        <v>49</v>
      </c>
      <c r="AB1429" s="1" t="s">
        <v>49</v>
      </c>
      <c r="AC1429" s="1" t="s">
        <v>88</v>
      </c>
      <c r="AD1429" s="1" t="s">
        <v>89</v>
      </c>
      <c r="AE1429" s="1" t="s">
        <v>88</v>
      </c>
      <c r="AF1429" s="1" t="s">
        <v>352</v>
      </c>
      <c r="AG1429" s="1" t="s">
        <v>53</v>
      </c>
      <c r="AH1429" s="1" t="s">
        <v>49</v>
      </c>
      <c r="AI1429" s="1" t="s">
        <v>54</v>
      </c>
      <c r="AJ1429" s="1">
        <v>1</v>
      </c>
      <c r="AK1429" s="1" t="str">
        <f t="shared" si="22"/>
        <v xml:space="preserve"> =&lt;90</v>
      </c>
      <c r="AL1429" s="1" t="str">
        <f>VLOOKUP(C:C,[1]基础信息!B$1:D$65536,3,0)</f>
        <v>Jug</v>
      </c>
      <c r="AM1429" s="1" t="str">
        <f>VLOOKUP(C:C,[1]基础信息!B$1:E$65536,4,0)</f>
        <v>Mxplus</v>
      </c>
      <c r="AN1429" s="1" t="str">
        <f>VLOOKUP(C:C,[1]基础信息!B$1:F$65536,5,0)</f>
        <v>Blue</v>
      </c>
    </row>
    <row r="1430" spans="1:40">
      <c r="A1430" s="1" t="s">
        <v>41</v>
      </c>
      <c r="B1430" s="1" t="s">
        <v>42</v>
      </c>
      <c r="C1430" s="1" t="s">
        <v>83</v>
      </c>
      <c r="D1430" s="1" t="s">
        <v>84</v>
      </c>
      <c r="E1430" s="1" t="s">
        <v>45</v>
      </c>
      <c r="F1430" s="1" t="s">
        <v>349</v>
      </c>
      <c r="G1430" s="1" t="s">
        <v>3334</v>
      </c>
      <c r="H1430" s="1" t="s">
        <v>3335</v>
      </c>
      <c r="I1430" s="1" t="s">
        <v>49</v>
      </c>
      <c r="J1430" s="1" t="s">
        <v>48</v>
      </c>
      <c r="K1430" s="1">
        <v>96</v>
      </c>
      <c r="L1430" s="1">
        <v>0</v>
      </c>
      <c r="M1430" s="1">
        <v>0</v>
      </c>
      <c r="N1430" s="1">
        <v>96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 t="s">
        <v>49</v>
      </c>
      <c r="AA1430" s="1" t="s">
        <v>49</v>
      </c>
      <c r="AB1430" s="1" t="s">
        <v>49</v>
      </c>
      <c r="AC1430" s="1" t="s">
        <v>88</v>
      </c>
      <c r="AD1430" s="1" t="s">
        <v>89</v>
      </c>
      <c r="AE1430" s="1" t="s">
        <v>88</v>
      </c>
      <c r="AF1430" s="1" t="s">
        <v>352</v>
      </c>
      <c r="AG1430" s="1" t="s">
        <v>53</v>
      </c>
      <c r="AH1430" s="1" t="s">
        <v>49</v>
      </c>
      <c r="AI1430" s="1" t="s">
        <v>54</v>
      </c>
      <c r="AJ1430" s="1">
        <v>1</v>
      </c>
      <c r="AK1430" s="1" t="str">
        <f t="shared" si="22"/>
        <v xml:space="preserve"> =&lt;90</v>
      </c>
      <c r="AL1430" s="1" t="str">
        <f>VLOOKUP(C:C,[1]基础信息!B$1:D$65536,3,0)</f>
        <v>Jug</v>
      </c>
      <c r="AM1430" s="1" t="str">
        <f>VLOOKUP(C:C,[1]基础信息!B$1:E$65536,4,0)</f>
        <v>Mxplus</v>
      </c>
      <c r="AN1430" s="1" t="str">
        <f>VLOOKUP(C:C,[1]基础信息!B$1:F$65536,5,0)</f>
        <v>Blue</v>
      </c>
    </row>
    <row r="1431" spans="1:40">
      <c r="A1431" s="1" t="s">
        <v>41</v>
      </c>
      <c r="B1431" s="1" t="s">
        <v>42</v>
      </c>
      <c r="C1431" s="1" t="s">
        <v>83</v>
      </c>
      <c r="D1431" s="1" t="s">
        <v>84</v>
      </c>
      <c r="E1431" s="1" t="s">
        <v>45</v>
      </c>
      <c r="F1431" s="1" t="s">
        <v>349</v>
      </c>
      <c r="G1431" s="1" t="s">
        <v>3336</v>
      </c>
      <c r="H1431" s="1" t="s">
        <v>3337</v>
      </c>
      <c r="I1431" s="1" t="s">
        <v>49</v>
      </c>
      <c r="J1431" s="1" t="s">
        <v>48</v>
      </c>
      <c r="K1431" s="1">
        <v>96</v>
      </c>
      <c r="L1431" s="1">
        <v>0</v>
      </c>
      <c r="M1431" s="1">
        <v>0</v>
      </c>
      <c r="N1431" s="1">
        <v>96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 t="s">
        <v>49</v>
      </c>
      <c r="AA1431" s="1" t="s">
        <v>49</v>
      </c>
      <c r="AB1431" s="1" t="s">
        <v>49</v>
      </c>
      <c r="AC1431" s="1" t="s">
        <v>88</v>
      </c>
      <c r="AD1431" s="1" t="s">
        <v>89</v>
      </c>
      <c r="AE1431" s="1" t="s">
        <v>88</v>
      </c>
      <c r="AF1431" s="1" t="s">
        <v>352</v>
      </c>
      <c r="AG1431" s="1" t="s">
        <v>53</v>
      </c>
      <c r="AH1431" s="1" t="s">
        <v>49</v>
      </c>
      <c r="AI1431" s="1" t="s">
        <v>54</v>
      </c>
      <c r="AJ1431" s="1">
        <v>1</v>
      </c>
      <c r="AK1431" s="1" t="str">
        <f t="shared" si="22"/>
        <v xml:space="preserve"> =&lt;90</v>
      </c>
      <c r="AL1431" s="1" t="str">
        <f>VLOOKUP(C:C,[1]基础信息!B$1:D$65536,3,0)</f>
        <v>Jug</v>
      </c>
      <c r="AM1431" s="1" t="str">
        <f>VLOOKUP(C:C,[1]基础信息!B$1:E$65536,4,0)</f>
        <v>Mxplus</v>
      </c>
      <c r="AN1431" s="1" t="str">
        <f>VLOOKUP(C:C,[1]基础信息!B$1:F$65536,5,0)</f>
        <v>Blue</v>
      </c>
    </row>
    <row r="1432" spans="1:40">
      <c r="A1432" s="1" t="s">
        <v>41</v>
      </c>
      <c r="B1432" s="1" t="s">
        <v>42</v>
      </c>
      <c r="C1432" s="1" t="s">
        <v>83</v>
      </c>
      <c r="D1432" s="1" t="s">
        <v>84</v>
      </c>
      <c r="E1432" s="1" t="s">
        <v>45</v>
      </c>
      <c r="F1432" s="1" t="s">
        <v>349</v>
      </c>
      <c r="G1432" s="1" t="s">
        <v>3338</v>
      </c>
      <c r="H1432" s="1" t="s">
        <v>3339</v>
      </c>
      <c r="I1432" s="1" t="s">
        <v>49</v>
      </c>
      <c r="J1432" s="1" t="s">
        <v>48</v>
      </c>
      <c r="K1432" s="1">
        <v>96</v>
      </c>
      <c r="L1432" s="1">
        <v>0</v>
      </c>
      <c r="M1432" s="1">
        <v>0</v>
      </c>
      <c r="N1432" s="1">
        <v>96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 t="s">
        <v>49</v>
      </c>
      <c r="AA1432" s="1" t="s">
        <v>49</v>
      </c>
      <c r="AB1432" s="1" t="s">
        <v>49</v>
      </c>
      <c r="AC1432" s="1" t="s">
        <v>88</v>
      </c>
      <c r="AD1432" s="1" t="s">
        <v>89</v>
      </c>
      <c r="AE1432" s="1" t="s">
        <v>88</v>
      </c>
      <c r="AF1432" s="1" t="s">
        <v>352</v>
      </c>
      <c r="AG1432" s="1" t="s">
        <v>53</v>
      </c>
      <c r="AH1432" s="1" t="s">
        <v>49</v>
      </c>
      <c r="AI1432" s="1" t="s">
        <v>54</v>
      </c>
      <c r="AJ1432" s="1">
        <v>1</v>
      </c>
      <c r="AK1432" s="1" t="str">
        <f t="shared" si="22"/>
        <v xml:space="preserve"> =&lt;90</v>
      </c>
      <c r="AL1432" s="1" t="str">
        <f>VLOOKUP(C:C,[1]基础信息!B$1:D$65536,3,0)</f>
        <v>Jug</v>
      </c>
      <c r="AM1432" s="1" t="str">
        <f>VLOOKUP(C:C,[1]基础信息!B$1:E$65536,4,0)</f>
        <v>Mxplus</v>
      </c>
      <c r="AN1432" s="1" t="str">
        <f>VLOOKUP(C:C,[1]基础信息!B$1:F$65536,5,0)</f>
        <v>Blue</v>
      </c>
    </row>
    <row r="1433" spans="1:40">
      <c r="A1433" s="1" t="s">
        <v>41</v>
      </c>
      <c r="B1433" s="1" t="s">
        <v>42</v>
      </c>
      <c r="C1433" s="1" t="s">
        <v>83</v>
      </c>
      <c r="D1433" s="1" t="s">
        <v>84</v>
      </c>
      <c r="E1433" s="1" t="s">
        <v>45</v>
      </c>
      <c r="F1433" s="1" t="s">
        <v>349</v>
      </c>
      <c r="G1433" s="1" t="s">
        <v>3340</v>
      </c>
      <c r="H1433" s="1" t="s">
        <v>3341</v>
      </c>
      <c r="I1433" s="1" t="s">
        <v>49</v>
      </c>
      <c r="J1433" s="1" t="s">
        <v>48</v>
      </c>
      <c r="K1433" s="1">
        <v>96</v>
      </c>
      <c r="L1433" s="1">
        <v>0</v>
      </c>
      <c r="M1433" s="1">
        <v>0</v>
      </c>
      <c r="N1433" s="1">
        <v>96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 t="s">
        <v>49</v>
      </c>
      <c r="AA1433" s="1" t="s">
        <v>49</v>
      </c>
      <c r="AB1433" s="1" t="s">
        <v>49</v>
      </c>
      <c r="AC1433" s="1" t="s">
        <v>88</v>
      </c>
      <c r="AD1433" s="1" t="s">
        <v>89</v>
      </c>
      <c r="AE1433" s="1" t="s">
        <v>88</v>
      </c>
      <c r="AF1433" s="1" t="s">
        <v>352</v>
      </c>
      <c r="AG1433" s="1" t="s">
        <v>53</v>
      </c>
      <c r="AH1433" s="1" t="s">
        <v>49</v>
      </c>
      <c r="AI1433" s="1" t="s">
        <v>54</v>
      </c>
      <c r="AJ1433" s="1">
        <v>1</v>
      </c>
      <c r="AK1433" s="1" t="str">
        <f t="shared" si="22"/>
        <v xml:space="preserve"> =&lt;90</v>
      </c>
      <c r="AL1433" s="1" t="str">
        <f>VLOOKUP(C:C,[1]基础信息!B$1:D$65536,3,0)</f>
        <v>Jug</v>
      </c>
      <c r="AM1433" s="1" t="str">
        <f>VLOOKUP(C:C,[1]基础信息!B$1:E$65536,4,0)</f>
        <v>Mxplus</v>
      </c>
      <c r="AN1433" s="1" t="str">
        <f>VLOOKUP(C:C,[1]基础信息!B$1:F$65536,5,0)</f>
        <v>Blue</v>
      </c>
    </row>
    <row r="1434" spans="1:40">
      <c r="A1434" s="1" t="s">
        <v>41</v>
      </c>
      <c r="B1434" s="1" t="s">
        <v>42</v>
      </c>
      <c r="C1434" s="1" t="s">
        <v>83</v>
      </c>
      <c r="D1434" s="1" t="s">
        <v>84</v>
      </c>
      <c r="E1434" s="1" t="s">
        <v>45</v>
      </c>
      <c r="F1434" s="1" t="s">
        <v>349</v>
      </c>
      <c r="G1434" s="1" t="s">
        <v>3342</v>
      </c>
      <c r="H1434" s="1" t="s">
        <v>3343</v>
      </c>
      <c r="I1434" s="1" t="s">
        <v>49</v>
      </c>
      <c r="J1434" s="1" t="s">
        <v>48</v>
      </c>
      <c r="K1434" s="1">
        <v>96</v>
      </c>
      <c r="L1434" s="1">
        <v>0</v>
      </c>
      <c r="M1434" s="1">
        <v>0</v>
      </c>
      <c r="N1434" s="1">
        <v>96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 t="s">
        <v>49</v>
      </c>
      <c r="AA1434" s="1" t="s">
        <v>49</v>
      </c>
      <c r="AB1434" s="1" t="s">
        <v>49</v>
      </c>
      <c r="AC1434" s="1" t="s">
        <v>88</v>
      </c>
      <c r="AD1434" s="1" t="s">
        <v>89</v>
      </c>
      <c r="AE1434" s="1" t="s">
        <v>88</v>
      </c>
      <c r="AF1434" s="1" t="s">
        <v>352</v>
      </c>
      <c r="AG1434" s="1" t="s">
        <v>53</v>
      </c>
      <c r="AH1434" s="1" t="s">
        <v>49</v>
      </c>
      <c r="AI1434" s="1" t="s">
        <v>54</v>
      </c>
      <c r="AJ1434" s="1">
        <v>1</v>
      </c>
      <c r="AK1434" s="1" t="str">
        <f t="shared" si="22"/>
        <v xml:space="preserve"> =&lt;90</v>
      </c>
      <c r="AL1434" s="1" t="str">
        <f>VLOOKUP(C:C,[1]基础信息!B$1:D$65536,3,0)</f>
        <v>Jug</v>
      </c>
      <c r="AM1434" s="1" t="str">
        <f>VLOOKUP(C:C,[1]基础信息!B$1:E$65536,4,0)</f>
        <v>Mxplus</v>
      </c>
      <c r="AN1434" s="1" t="str">
        <f>VLOOKUP(C:C,[1]基础信息!B$1:F$65536,5,0)</f>
        <v>Blue</v>
      </c>
    </row>
    <row r="1435" spans="1:40">
      <c r="A1435" s="1" t="s">
        <v>41</v>
      </c>
      <c r="B1435" s="1" t="s">
        <v>42</v>
      </c>
      <c r="C1435" s="1" t="s">
        <v>83</v>
      </c>
      <c r="D1435" s="1" t="s">
        <v>84</v>
      </c>
      <c r="E1435" s="1" t="s">
        <v>45</v>
      </c>
      <c r="F1435" s="1" t="s">
        <v>349</v>
      </c>
      <c r="G1435" s="1" t="s">
        <v>3344</v>
      </c>
      <c r="H1435" s="1" t="s">
        <v>3345</v>
      </c>
      <c r="I1435" s="1" t="s">
        <v>49</v>
      </c>
      <c r="J1435" s="1" t="s">
        <v>48</v>
      </c>
      <c r="K1435" s="1">
        <v>48</v>
      </c>
      <c r="L1435" s="1">
        <v>0</v>
      </c>
      <c r="M1435" s="1">
        <v>0</v>
      </c>
      <c r="N1435" s="1">
        <v>48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 t="s">
        <v>49</v>
      </c>
      <c r="AA1435" s="1" t="s">
        <v>49</v>
      </c>
      <c r="AB1435" s="1" t="s">
        <v>49</v>
      </c>
      <c r="AC1435" s="1" t="s">
        <v>88</v>
      </c>
      <c r="AD1435" s="1" t="s">
        <v>89</v>
      </c>
      <c r="AE1435" s="1" t="s">
        <v>88</v>
      </c>
      <c r="AF1435" s="1" t="s">
        <v>352</v>
      </c>
      <c r="AG1435" s="1" t="s">
        <v>53</v>
      </c>
      <c r="AH1435" s="1" t="s">
        <v>49</v>
      </c>
      <c r="AI1435" s="1" t="s">
        <v>54</v>
      </c>
      <c r="AJ1435" s="1">
        <v>1</v>
      </c>
      <c r="AK1435" s="1" t="str">
        <f t="shared" si="22"/>
        <v xml:space="preserve"> =&lt;90</v>
      </c>
      <c r="AL1435" s="1" t="str">
        <f>VLOOKUP(C:C,[1]基础信息!B$1:D$65536,3,0)</f>
        <v>Jug</v>
      </c>
      <c r="AM1435" s="1" t="str">
        <f>VLOOKUP(C:C,[1]基础信息!B$1:E$65536,4,0)</f>
        <v>Mxplus</v>
      </c>
      <c r="AN1435" s="1" t="str">
        <f>VLOOKUP(C:C,[1]基础信息!B$1:F$65536,5,0)</f>
        <v>Blue</v>
      </c>
    </row>
    <row r="1436" spans="1:40">
      <c r="A1436" s="1" t="s">
        <v>41</v>
      </c>
      <c r="B1436" s="1" t="s">
        <v>42</v>
      </c>
      <c r="C1436" s="1" t="s">
        <v>83</v>
      </c>
      <c r="D1436" s="1" t="s">
        <v>84</v>
      </c>
      <c r="E1436" s="1" t="s">
        <v>45</v>
      </c>
      <c r="F1436" s="1" t="s">
        <v>3346</v>
      </c>
      <c r="G1436" s="1" t="s">
        <v>3347</v>
      </c>
      <c r="H1436" s="1" t="s">
        <v>3348</v>
      </c>
      <c r="I1436" s="1" t="s">
        <v>49</v>
      </c>
      <c r="J1436" s="1" t="s">
        <v>48</v>
      </c>
      <c r="K1436" s="1">
        <v>96</v>
      </c>
      <c r="L1436" s="1">
        <v>0</v>
      </c>
      <c r="M1436" s="1">
        <v>0</v>
      </c>
      <c r="N1436" s="1">
        <v>96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 t="s">
        <v>49</v>
      </c>
      <c r="AA1436" s="1" t="s">
        <v>49</v>
      </c>
      <c r="AB1436" s="1" t="s">
        <v>49</v>
      </c>
      <c r="AC1436" s="1" t="s">
        <v>88</v>
      </c>
      <c r="AD1436" s="1" t="s">
        <v>89</v>
      </c>
      <c r="AE1436" s="1" t="s">
        <v>88</v>
      </c>
      <c r="AF1436" s="1" t="s">
        <v>3349</v>
      </c>
      <c r="AG1436" s="1" t="s">
        <v>53</v>
      </c>
      <c r="AH1436" s="1" t="s">
        <v>49</v>
      </c>
      <c r="AI1436" s="1" t="s">
        <v>54</v>
      </c>
      <c r="AJ1436" s="1">
        <v>1</v>
      </c>
      <c r="AK1436" s="1" t="str">
        <f t="shared" si="22"/>
        <v xml:space="preserve"> =&lt;90</v>
      </c>
      <c r="AL1436" s="1" t="str">
        <f>VLOOKUP(C:C,[1]基础信息!B$1:D$65536,3,0)</f>
        <v>Jug</v>
      </c>
      <c r="AM1436" s="1" t="str">
        <f>VLOOKUP(C:C,[1]基础信息!B$1:E$65536,4,0)</f>
        <v>Mxplus</v>
      </c>
      <c r="AN1436" s="1" t="str">
        <f>VLOOKUP(C:C,[1]基础信息!B$1:F$65536,5,0)</f>
        <v>Blue</v>
      </c>
    </row>
    <row r="1437" spans="1:40">
      <c r="A1437" s="1" t="s">
        <v>41</v>
      </c>
      <c r="B1437" s="1" t="s">
        <v>42</v>
      </c>
      <c r="C1437" s="1" t="s">
        <v>83</v>
      </c>
      <c r="D1437" s="1" t="s">
        <v>84</v>
      </c>
      <c r="E1437" s="1" t="s">
        <v>45</v>
      </c>
      <c r="F1437" s="1" t="s">
        <v>3346</v>
      </c>
      <c r="G1437" s="1" t="s">
        <v>3350</v>
      </c>
      <c r="H1437" s="1" t="s">
        <v>3351</v>
      </c>
      <c r="I1437" s="1" t="s">
        <v>49</v>
      </c>
      <c r="J1437" s="1" t="s">
        <v>48</v>
      </c>
      <c r="K1437" s="1">
        <v>96</v>
      </c>
      <c r="L1437" s="1">
        <v>0</v>
      </c>
      <c r="M1437" s="1">
        <v>0</v>
      </c>
      <c r="N1437" s="1">
        <v>96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 t="s">
        <v>49</v>
      </c>
      <c r="AA1437" s="1" t="s">
        <v>49</v>
      </c>
      <c r="AB1437" s="1" t="s">
        <v>49</v>
      </c>
      <c r="AC1437" s="1" t="s">
        <v>88</v>
      </c>
      <c r="AD1437" s="1" t="s">
        <v>89</v>
      </c>
      <c r="AE1437" s="1" t="s">
        <v>88</v>
      </c>
      <c r="AF1437" s="1" t="s">
        <v>3349</v>
      </c>
      <c r="AG1437" s="1" t="s">
        <v>53</v>
      </c>
      <c r="AH1437" s="1" t="s">
        <v>49</v>
      </c>
      <c r="AI1437" s="1" t="s">
        <v>54</v>
      </c>
      <c r="AJ1437" s="1">
        <v>1</v>
      </c>
      <c r="AK1437" s="1" t="str">
        <f t="shared" si="22"/>
        <v xml:space="preserve"> =&lt;90</v>
      </c>
      <c r="AL1437" s="1" t="str">
        <f>VLOOKUP(C:C,[1]基础信息!B$1:D$65536,3,0)</f>
        <v>Jug</v>
      </c>
      <c r="AM1437" s="1" t="str">
        <f>VLOOKUP(C:C,[1]基础信息!B$1:E$65536,4,0)</f>
        <v>Mxplus</v>
      </c>
      <c r="AN1437" s="1" t="str">
        <f>VLOOKUP(C:C,[1]基础信息!B$1:F$65536,5,0)</f>
        <v>Blue</v>
      </c>
    </row>
    <row r="1438" spans="1:40">
      <c r="A1438" s="1" t="s">
        <v>41</v>
      </c>
      <c r="B1438" s="1" t="s">
        <v>42</v>
      </c>
      <c r="C1438" s="1" t="s">
        <v>83</v>
      </c>
      <c r="D1438" s="1" t="s">
        <v>84</v>
      </c>
      <c r="E1438" s="1" t="s">
        <v>45</v>
      </c>
      <c r="F1438" s="1" t="s">
        <v>3346</v>
      </c>
      <c r="G1438" s="1" t="s">
        <v>3352</v>
      </c>
      <c r="H1438" s="1" t="s">
        <v>3353</v>
      </c>
      <c r="I1438" s="1" t="s">
        <v>49</v>
      </c>
      <c r="J1438" s="1" t="s">
        <v>48</v>
      </c>
      <c r="K1438" s="1">
        <v>96</v>
      </c>
      <c r="L1438" s="1">
        <v>0</v>
      </c>
      <c r="M1438" s="1">
        <v>0</v>
      </c>
      <c r="N1438" s="1">
        <v>96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 t="s">
        <v>49</v>
      </c>
      <c r="AA1438" s="1" t="s">
        <v>49</v>
      </c>
      <c r="AB1438" s="1" t="s">
        <v>49</v>
      </c>
      <c r="AC1438" s="1" t="s">
        <v>88</v>
      </c>
      <c r="AD1438" s="1" t="s">
        <v>89</v>
      </c>
      <c r="AE1438" s="1" t="s">
        <v>88</v>
      </c>
      <c r="AF1438" s="1" t="s">
        <v>3349</v>
      </c>
      <c r="AG1438" s="1" t="s">
        <v>53</v>
      </c>
      <c r="AH1438" s="1" t="s">
        <v>49</v>
      </c>
      <c r="AI1438" s="1" t="s">
        <v>54</v>
      </c>
      <c r="AJ1438" s="1">
        <v>1</v>
      </c>
      <c r="AK1438" s="1" t="str">
        <f t="shared" si="22"/>
        <v xml:space="preserve"> =&lt;90</v>
      </c>
      <c r="AL1438" s="1" t="str">
        <f>VLOOKUP(C:C,[1]基础信息!B$1:D$65536,3,0)</f>
        <v>Jug</v>
      </c>
      <c r="AM1438" s="1" t="str">
        <f>VLOOKUP(C:C,[1]基础信息!B$1:E$65536,4,0)</f>
        <v>Mxplus</v>
      </c>
      <c r="AN1438" s="1" t="str">
        <f>VLOOKUP(C:C,[1]基础信息!B$1:F$65536,5,0)</f>
        <v>Blue</v>
      </c>
    </row>
    <row r="1439" spans="1:40">
      <c r="A1439" s="1" t="s">
        <v>41</v>
      </c>
      <c r="B1439" s="1" t="s">
        <v>42</v>
      </c>
      <c r="C1439" s="1" t="s">
        <v>83</v>
      </c>
      <c r="D1439" s="1" t="s">
        <v>84</v>
      </c>
      <c r="E1439" s="1" t="s">
        <v>45</v>
      </c>
      <c r="F1439" s="1" t="s">
        <v>3346</v>
      </c>
      <c r="G1439" s="1" t="s">
        <v>3354</v>
      </c>
      <c r="H1439" s="1" t="s">
        <v>3355</v>
      </c>
      <c r="I1439" s="1" t="s">
        <v>49</v>
      </c>
      <c r="J1439" s="1" t="s">
        <v>48</v>
      </c>
      <c r="K1439" s="1">
        <v>96</v>
      </c>
      <c r="L1439" s="1">
        <v>0</v>
      </c>
      <c r="M1439" s="1">
        <v>0</v>
      </c>
      <c r="N1439" s="1">
        <v>96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 t="s">
        <v>49</v>
      </c>
      <c r="AA1439" s="1" t="s">
        <v>49</v>
      </c>
      <c r="AB1439" s="1" t="s">
        <v>49</v>
      </c>
      <c r="AC1439" s="1" t="s">
        <v>88</v>
      </c>
      <c r="AD1439" s="1" t="s">
        <v>89</v>
      </c>
      <c r="AE1439" s="1" t="s">
        <v>88</v>
      </c>
      <c r="AF1439" s="1" t="s">
        <v>3349</v>
      </c>
      <c r="AG1439" s="1" t="s">
        <v>53</v>
      </c>
      <c r="AH1439" s="1" t="s">
        <v>49</v>
      </c>
      <c r="AI1439" s="1" t="s">
        <v>54</v>
      </c>
      <c r="AJ1439" s="1">
        <v>1</v>
      </c>
      <c r="AK1439" s="1" t="str">
        <f t="shared" si="22"/>
        <v xml:space="preserve"> =&lt;90</v>
      </c>
      <c r="AL1439" s="1" t="str">
        <f>VLOOKUP(C:C,[1]基础信息!B$1:D$65536,3,0)</f>
        <v>Jug</v>
      </c>
      <c r="AM1439" s="1" t="str">
        <f>VLOOKUP(C:C,[1]基础信息!B$1:E$65536,4,0)</f>
        <v>Mxplus</v>
      </c>
      <c r="AN1439" s="1" t="str">
        <f>VLOOKUP(C:C,[1]基础信息!B$1:F$65536,5,0)</f>
        <v>Blue</v>
      </c>
    </row>
    <row r="1440" spans="1:40">
      <c r="A1440" s="1" t="s">
        <v>41</v>
      </c>
      <c r="B1440" s="1" t="s">
        <v>42</v>
      </c>
      <c r="C1440" s="1" t="s">
        <v>83</v>
      </c>
      <c r="D1440" s="1" t="s">
        <v>84</v>
      </c>
      <c r="E1440" s="1" t="s">
        <v>45</v>
      </c>
      <c r="F1440" s="1" t="s">
        <v>3346</v>
      </c>
      <c r="G1440" s="1" t="s">
        <v>3356</v>
      </c>
      <c r="H1440" s="1" t="s">
        <v>3357</v>
      </c>
      <c r="I1440" s="1" t="s">
        <v>49</v>
      </c>
      <c r="J1440" s="1" t="s">
        <v>48</v>
      </c>
      <c r="K1440" s="1">
        <v>48</v>
      </c>
      <c r="L1440" s="1">
        <v>0</v>
      </c>
      <c r="M1440" s="1">
        <v>0</v>
      </c>
      <c r="N1440" s="1">
        <v>48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 t="s">
        <v>49</v>
      </c>
      <c r="AA1440" s="1" t="s">
        <v>49</v>
      </c>
      <c r="AB1440" s="1" t="s">
        <v>49</v>
      </c>
      <c r="AC1440" s="1" t="s">
        <v>88</v>
      </c>
      <c r="AD1440" s="1" t="s">
        <v>89</v>
      </c>
      <c r="AE1440" s="1" t="s">
        <v>88</v>
      </c>
      <c r="AF1440" s="1" t="s">
        <v>3349</v>
      </c>
      <c r="AG1440" s="1" t="s">
        <v>53</v>
      </c>
      <c r="AH1440" s="1" t="s">
        <v>49</v>
      </c>
      <c r="AI1440" s="1" t="s">
        <v>54</v>
      </c>
      <c r="AJ1440" s="1">
        <v>1</v>
      </c>
      <c r="AK1440" s="1" t="str">
        <f t="shared" si="22"/>
        <v xml:space="preserve"> =&lt;90</v>
      </c>
      <c r="AL1440" s="1" t="str">
        <f>VLOOKUP(C:C,[1]基础信息!B$1:D$65536,3,0)</f>
        <v>Jug</v>
      </c>
      <c r="AM1440" s="1" t="str">
        <f>VLOOKUP(C:C,[1]基础信息!B$1:E$65536,4,0)</f>
        <v>Mxplus</v>
      </c>
      <c r="AN1440" s="1" t="str">
        <f>VLOOKUP(C:C,[1]基础信息!B$1:F$65536,5,0)</f>
        <v>Blue</v>
      </c>
    </row>
    <row r="1441" spans="1:40">
      <c r="A1441" s="1" t="s">
        <v>41</v>
      </c>
      <c r="B1441" s="1" t="s">
        <v>42</v>
      </c>
      <c r="C1441" s="1" t="s">
        <v>2893</v>
      </c>
      <c r="D1441" s="1" t="s">
        <v>2894</v>
      </c>
      <c r="E1441" s="1" t="s">
        <v>45</v>
      </c>
      <c r="F1441" s="1" t="s">
        <v>3358</v>
      </c>
      <c r="G1441" s="1" t="s">
        <v>3359</v>
      </c>
      <c r="H1441" s="1" t="s">
        <v>3360</v>
      </c>
      <c r="I1441" s="1" t="s">
        <v>49</v>
      </c>
      <c r="J1441" s="1" t="s">
        <v>48</v>
      </c>
      <c r="K1441" s="1">
        <v>2520</v>
      </c>
      <c r="L1441" s="1">
        <v>0</v>
      </c>
      <c r="M1441" s="1">
        <v>0</v>
      </c>
      <c r="N1441" s="1">
        <v>2520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 t="s">
        <v>49</v>
      </c>
      <c r="AA1441" s="1" t="s">
        <v>49</v>
      </c>
      <c r="AB1441" s="1" t="s">
        <v>49</v>
      </c>
      <c r="AC1441" s="1" t="s">
        <v>3361</v>
      </c>
      <c r="AD1441" s="1" t="s">
        <v>3362</v>
      </c>
      <c r="AE1441" s="1" t="s">
        <v>3363</v>
      </c>
      <c r="AF1441" s="1" t="s">
        <v>3364</v>
      </c>
      <c r="AG1441" s="1" t="s">
        <v>53</v>
      </c>
      <c r="AH1441" s="1" t="s">
        <v>49</v>
      </c>
      <c r="AI1441" s="1" t="s">
        <v>54</v>
      </c>
      <c r="AJ1441" s="1">
        <v>1</v>
      </c>
      <c r="AK1441" s="1" t="str">
        <f t="shared" si="22"/>
        <v xml:space="preserve"> =&lt;90</v>
      </c>
      <c r="AL1441" s="1" t="str">
        <f>VLOOKUP(C:C,[1]基础信息!B$1:D$65536,3,0)</f>
        <v xml:space="preserve">Cartridge </v>
      </c>
      <c r="AM1441" s="1" t="str">
        <f>VLOOKUP(C:C,[1]基础信息!B$1:E$65536,4,0)</f>
        <v>UNIV</v>
      </c>
      <c r="AN1441" s="1" t="str">
        <f>VLOOKUP(C:C,[1]基础信息!B$1:F$65536,5,0)</f>
        <v>P1</v>
      </c>
    </row>
    <row r="1442" spans="1:40">
      <c r="A1442" s="1" t="s">
        <v>41</v>
      </c>
      <c r="B1442" s="1" t="s">
        <v>42</v>
      </c>
      <c r="C1442" s="1" t="s">
        <v>2893</v>
      </c>
      <c r="D1442" s="1" t="s">
        <v>2894</v>
      </c>
      <c r="E1442" s="1" t="s">
        <v>45</v>
      </c>
      <c r="F1442" s="1" t="s">
        <v>3358</v>
      </c>
      <c r="G1442" s="1" t="s">
        <v>3365</v>
      </c>
      <c r="H1442" s="1" t="s">
        <v>3366</v>
      </c>
      <c r="I1442" s="1" t="s">
        <v>49</v>
      </c>
      <c r="J1442" s="1" t="s">
        <v>48</v>
      </c>
      <c r="K1442" s="1">
        <v>2520</v>
      </c>
      <c r="L1442" s="1">
        <v>0</v>
      </c>
      <c r="M1442" s="1">
        <v>0</v>
      </c>
      <c r="N1442" s="1">
        <v>2520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 t="s">
        <v>49</v>
      </c>
      <c r="AA1442" s="1" t="s">
        <v>49</v>
      </c>
      <c r="AB1442" s="1" t="s">
        <v>49</v>
      </c>
      <c r="AC1442" s="1" t="s">
        <v>3361</v>
      </c>
      <c r="AD1442" s="1" t="s">
        <v>3362</v>
      </c>
      <c r="AE1442" s="1" t="s">
        <v>3363</v>
      </c>
      <c r="AF1442" s="1" t="s">
        <v>3364</v>
      </c>
      <c r="AG1442" s="1" t="s">
        <v>53</v>
      </c>
      <c r="AH1442" s="1" t="s">
        <v>49</v>
      </c>
      <c r="AI1442" s="1" t="s">
        <v>54</v>
      </c>
      <c r="AJ1442" s="1">
        <v>1</v>
      </c>
      <c r="AK1442" s="1" t="str">
        <f t="shared" si="22"/>
        <v xml:space="preserve"> =&lt;90</v>
      </c>
      <c r="AL1442" s="1" t="str">
        <f>VLOOKUP(C:C,[1]基础信息!B$1:D$65536,3,0)</f>
        <v xml:space="preserve">Cartridge </v>
      </c>
      <c r="AM1442" s="1" t="str">
        <f>VLOOKUP(C:C,[1]基础信息!B$1:E$65536,4,0)</f>
        <v>UNIV</v>
      </c>
      <c r="AN1442" s="1" t="str">
        <f>VLOOKUP(C:C,[1]基础信息!B$1:F$65536,5,0)</f>
        <v>P1</v>
      </c>
    </row>
    <row r="1443" spans="1:40">
      <c r="A1443" s="1" t="s">
        <v>41</v>
      </c>
      <c r="B1443" s="1" t="s">
        <v>42</v>
      </c>
      <c r="C1443" s="1" t="s">
        <v>2893</v>
      </c>
      <c r="D1443" s="1" t="s">
        <v>2894</v>
      </c>
      <c r="E1443" s="1" t="s">
        <v>45</v>
      </c>
      <c r="F1443" s="1" t="s">
        <v>3358</v>
      </c>
      <c r="G1443" s="1" t="s">
        <v>3367</v>
      </c>
      <c r="H1443" s="1" t="s">
        <v>3368</v>
      </c>
      <c r="I1443" s="1" t="s">
        <v>49</v>
      </c>
      <c r="J1443" s="1" t="s">
        <v>48</v>
      </c>
      <c r="K1443" s="1">
        <v>2520</v>
      </c>
      <c r="L1443" s="1">
        <v>0</v>
      </c>
      <c r="M1443" s="1">
        <v>0</v>
      </c>
      <c r="N1443" s="1">
        <v>2520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 t="s">
        <v>49</v>
      </c>
      <c r="AA1443" s="1" t="s">
        <v>49</v>
      </c>
      <c r="AB1443" s="1" t="s">
        <v>49</v>
      </c>
      <c r="AC1443" s="1" t="s">
        <v>3361</v>
      </c>
      <c r="AD1443" s="1" t="s">
        <v>3362</v>
      </c>
      <c r="AE1443" s="1" t="s">
        <v>3363</v>
      </c>
      <c r="AF1443" s="1" t="s">
        <v>3364</v>
      </c>
      <c r="AG1443" s="1" t="s">
        <v>53</v>
      </c>
      <c r="AH1443" s="1" t="s">
        <v>49</v>
      </c>
      <c r="AI1443" s="1" t="s">
        <v>54</v>
      </c>
      <c r="AJ1443" s="1">
        <v>1</v>
      </c>
      <c r="AK1443" s="1" t="str">
        <f t="shared" si="22"/>
        <v xml:space="preserve"> =&lt;90</v>
      </c>
      <c r="AL1443" s="1" t="str">
        <f>VLOOKUP(C:C,[1]基础信息!B$1:D$65536,3,0)</f>
        <v xml:space="preserve">Cartridge </v>
      </c>
      <c r="AM1443" s="1" t="str">
        <f>VLOOKUP(C:C,[1]基础信息!B$1:E$65536,4,0)</f>
        <v>UNIV</v>
      </c>
      <c r="AN1443" s="1" t="str">
        <f>VLOOKUP(C:C,[1]基础信息!B$1:F$65536,5,0)</f>
        <v>P1</v>
      </c>
    </row>
    <row r="1444" spans="1:40">
      <c r="A1444" s="1" t="s">
        <v>41</v>
      </c>
      <c r="B1444" s="1" t="s">
        <v>42</v>
      </c>
      <c r="C1444" s="1" t="s">
        <v>2893</v>
      </c>
      <c r="D1444" s="1" t="s">
        <v>2894</v>
      </c>
      <c r="E1444" s="1" t="s">
        <v>45</v>
      </c>
      <c r="F1444" s="1" t="s">
        <v>3358</v>
      </c>
      <c r="G1444" s="1" t="s">
        <v>3369</v>
      </c>
      <c r="H1444" s="1" t="s">
        <v>3370</v>
      </c>
      <c r="I1444" s="1" t="s">
        <v>49</v>
      </c>
      <c r="J1444" s="1" t="s">
        <v>48</v>
      </c>
      <c r="K1444" s="1">
        <v>2520</v>
      </c>
      <c r="L1444" s="1">
        <v>0</v>
      </c>
      <c r="M1444" s="1">
        <v>0</v>
      </c>
      <c r="N1444" s="1">
        <v>2520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 t="s">
        <v>49</v>
      </c>
      <c r="AA1444" s="1" t="s">
        <v>49</v>
      </c>
      <c r="AB1444" s="1" t="s">
        <v>49</v>
      </c>
      <c r="AC1444" s="1" t="s">
        <v>3361</v>
      </c>
      <c r="AD1444" s="1" t="s">
        <v>3362</v>
      </c>
      <c r="AE1444" s="1" t="s">
        <v>3363</v>
      </c>
      <c r="AF1444" s="1" t="s">
        <v>3364</v>
      </c>
      <c r="AG1444" s="1" t="s">
        <v>53</v>
      </c>
      <c r="AH1444" s="1" t="s">
        <v>49</v>
      </c>
      <c r="AI1444" s="1" t="s">
        <v>54</v>
      </c>
      <c r="AJ1444" s="1">
        <v>1</v>
      </c>
      <c r="AK1444" s="1" t="str">
        <f t="shared" si="22"/>
        <v xml:space="preserve"> =&lt;90</v>
      </c>
      <c r="AL1444" s="1" t="str">
        <f>VLOOKUP(C:C,[1]基础信息!B$1:D$65536,3,0)</f>
        <v xml:space="preserve">Cartridge </v>
      </c>
      <c r="AM1444" s="1" t="str">
        <f>VLOOKUP(C:C,[1]基础信息!B$1:E$65536,4,0)</f>
        <v>UNIV</v>
      </c>
      <c r="AN1444" s="1" t="str">
        <f>VLOOKUP(C:C,[1]基础信息!B$1:F$65536,5,0)</f>
        <v>P1</v>
      </c>
    </row>
    <row r="1445" spans="1:40">
      <c r="A1445" s="1" t="s">
        <v>41</v>
      </c>
      <c r="B1445" s="1" t="s">
        <v>42</v>
      </c>
      <c r="C1445" s="1" t="s">
        <v>2893</v>
      </c>
      <c r="D1445" s="1" t="s">
        <v>2894</v>
      </c>
      <c r="E1445" s="1" t="s">
        <v>45</v>
      </c>
      <c r="F1445" s="1" t="s">
        <v>3358</v>
      </c>
      <c r="G1445" s="1" t="s">
        <v>3371</v>
      </c>
      <c r="H1445" s="1" t="s">
        <v>3372</v>
      </c>
      <c r="I1445" s="1" t="s">
        <v>49</v>
      </c>
      <c r="J1445" s="1" t="s">
        <v>48</v>
      </c>
      <c r="K1445" s="1">
        <v>2520</v>
      </c>
      <c r="L1445" s="1">
        <v>0</v>
      </c>
      <c r="M1445" s="1">
        <v>0</v>
      </c>
      <c r="N1445" s="1">
        <v>2520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 t="s">
        <v>49</v>
      </c>
      <c r="AA1445" s="1" t="s">
        <v>49</v>
      </c>
      <c r="AB1445" s="1" t="s">
        <v>49</v>
      </c>
      <c r="AC1445" s="1" t="s">
        <v>3361</v>
      </c>
      <c r="AD1445" s="1" t="s">
        <v>3362</v>
      </c>
      <c r="AE1445" s="1" t="s">
        <v>3363</v>
      </c>
      <c r="AF1445" s="1" t="s">
        <v>3364</v>
      </c>
      <c r="AG1445" s="1" t="s">
        <v>53</v>
      </c>
      <c r="AH1445" s="1" t="s">
        <v>49</v>
      </c>
      <c r="AI1445" s="1" t="s">
        <v>54</v>
      </c>
      <c r="AJ1445" s="1">
        <v>1</v>
      </c>
      <c r="AK1445" s="1" t="str">
        <f t="shared" si="22"/>
        <v xml:space="preserve"> =&lt;90</v>
      </c>
      <c r="AL1445" s="1" t="str">
        <f>VLOOKUP(C:C,[1]基础信息!B$1:D$65536,3,0)</f>
        <v xml:space="preserve">Cartridge </v>
      </c>
      <c r="AM1445" s="1" t="str">
        <f>VLOOKUP(C:C,[1]基础信息!B$1:E$65536,4,0)</f>
        <v>UNIV</v>
      </c>
      <c r="AN1445" s="1" t="str">
        <f>VLOOKUP(C:C,[1]基础信息!B$1:F$65536,5,0)</f>
        <v>P1</v>
      </c>
    </row>
    <row r="1446" spans="1:40">
      <c r="A1446" s="1" t="s">
        <v>41</v>
      </c>
      <c r="B1446" s="1" t="s">
        <v>42</v>
      </c>
      <c r="C1446" s="1" t="s">
        <v>2893</v>
      </c>
      <c r="D1446" s="1" t="s">
        <v>2894</v>
      </c>
      <c r="E1446" s="1" t="s">
        <v>45</v>
      </c>
      <c r="F1446" s="1" t="s">
        <v>3358</v>
      </c>
      <c r="G1446" s="1" t="s">
        <v>3373</v>
      </c>
      <c r="H1446" s="1" t="s">
        <v>3374</v>
      </c>
      <c r="I1446" s="1" t="s">
        <v>49</v>
      </c>
      <c r="J1446" s="1" t="s">
        <v>48</v>
      </c>
      <c r="K1446" s="1">
        <v>2520</v>
      </c>
      <c r="L1446" s="1">
        <v>0</v>
      </c>
      <c r="M1446" s="1">
        <v>0</v>
      </c>
      <c r="N1446" s="1">
        <v>2520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 t="s">
        <v>49</v>
      </c>
      <c r="AA1446" s="1" t="s">
        <v>49</v>
      </c>
      <c r="AB1446" s="1" t="s">
        <v>49</v>
      </c>
      <c r="AC1446" s="1" t="s">
        <v>3361</v>
      </c>
      <c r="AD1446" s="1" t="s">
        <v>3362</v>
      </c>
      <c r="AE1446" s="1" t="s">
        <v>3363</v>
      </c>
      <c r="AF1446" s="1" t="s">
        <v>3364</v>
      </c>
      <c r="AG1446" s="1" t="s">
        <v>53</v>
      </c>
      <c r="AH1446" s="1" t="s">
        <v>49</v>
      </c>
      <c r="AI1446" s="1" t="s">
        <v>54</v>
      </c>
      <c r="AJ1446" s="1">
        <v>1</v>
      </c>
      <c r="AK1446" s="1" t="str">
        <f t="shared" si="22"/>
        <v xml:space="preserve"> =&lt;90</v>
      </c>
      <c r="AL1446" s="1" t="str">
        <f>VLOOKUP(C:C,[1]基础信息!B$1:D$65536,3,0)</f>
        <v xml:space="preserve">Cartridge </v>
      </c>
      <c r="AM1446" s="1" t="str">
        <f>VLOOKUP(C:C,[1]基础信息!B$1:E$65536,4,0)</f>
        <v>UNIV</v>
      </c>
      <c r="AN1446" s="1" t="str">
        <f>VLOOKUP(C:C,[1]基础信息!B$1:F$65536,5,0)</f>
        <v>P1</v>
      </c>
    </row>
    <row r="1447" spans="1:40">
      <c r="A1447" s="1" t="s">
        <v>41</v>
      </c>
      <c r="B1447" s="1" t="s">
        <v>42</v>
      </c>
      <c r="C1447" s="1" t="s">
        <v>2893</v>
      </c>
      <c r="D1447" s="1" t="s">
        <v>2894</v>
      </c>
      <c r="E1447" s="1" t="s">
        <v>45</v>
      </c>
      <c r="F1447" s="1" t="s">
        <v>3358</v>
      </c>
      <c r="G1447" s="1" t="s">
        <v>3375</v>
      </c>
      <c r="H1447" s="1" t="s">
        <v>3376</v>
      </c>
      <c r="I1447" s="1" t="s">
        <v>49</v>
      </c>
      <c r="J1447" s="1" t="s">
        <v>48</v>
      </c>
      <c r="K1447" s="1">
        <v>240</v>
      </c>
      <c r="L1447" s="1">
        <v>0</v>
      </c>
      <c r="M1447" s="1">
        <v>0</v>
      </c>
      <c r="N1447" s="1">
        <v>240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 t="s">
        <v>49</v>
      </c>
      <c r="AA1447" s="1" t="s">
        <v>49</v>
      </c>
      <c r="AB1447" s="1" t="s">
        <v>49</v>
      </c>
      <c r="AC1447" s="1" t="s">
        <v>3361</v>
      </c>
      <c r="AD1447" s="1" t="s">
        <v>3362</v>
      </c>
      <c r="AE1447" s="1" t="s">
        <v>3363</v>
      </c>
      <c r="AF1447" s="1" t="s">
        <v>3364</v>
      </c>
      <c r="AG1447" s="1" t="s">
        <v>53</v>
      </c>
      <c r="AH1447" s="1" t="s">
        <v>49</v>
      </c>
      <c r="AI1447" s="1" t="s">
        <v>54</v>
      </c>
      <c r="AJ1447" s="1">
        <v>1</v>
      </c>
      <c r="AK1447" s="1" t="str">
        <f t="shared" si="22"/>
        <v xml:space="preserve"> =&lt;90</v>
      </c>
      <c r="AL1447" s="1" t="str">
        <f>VLOOKUP(C:C,[1]基础信息!B$1:D$65536,3,0)</f>
        <v xml:space="preserve">Cartridge </v>
      </c>
      <c r="AM1447" s="1" t="str">
        <f>VLOOKUP(C:C,[1]基础信息!B$1:E$65536,4,0)</f>
        <v>UNIV</v>
      </c>
      <c r="AN1447" s="1" t="str">
        <f>VLOOKUP(C:C,[1]基础信息!B$1:F$65536,5,0)</f>
        <v>P1</v>
      </c>
    </row>
    <row r="1448" spans="1:40">
      <c r="A1448" s="1" t="s">
        <v>41</v>
      </c>
      <c r="B1448" s="1" t="s">
        <v>42</v>
      </c>
      <c r="C1448" s="1" t="s">
        <v>208</v>
      </c>
      <c r="D1448" s="1" t="s">
        <v>209</v>
      </c>
      <c r="E1448" s="1" t="s">
        <v>208</v>
      </c>
      <c r="F1448" s="1" t="s">
        <v>1411</v>
      </c>
      <c r="G1448" s="1" t="s">
        <v>3377</v>
      </c>
      <c r="H1448" s="1" t="s">
        <v>3378</v>
      </c>
      <c r="I1448" s="1" t="s">
        <v>49</v>
      </c>
      <c r="J1448" s="1" t="s">
        <v>48</v>
      </c>
      <c r="K1448" s="1">
        <v>80</v>
      </c>
      <c r="L1448" s="1">
        <v>0</v>
      </c>
      <c r="M1448" s="1">
        <v>0</v>
      </c>
      <c r="N1448" s="1">
        <v>80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 t="s">
        <v>49</v>
      </c>
      <c r="AA1448" s="1" t="s">
        <v>49</v>
      </c>
      <c r="AB1448" s="1" t="s">
        <v>49</v>
      </c>
      <c r="AC1448" s="1" t="s">
        <v>1330</v>
      </c>
      <c r="AD1448" s="1" t="s">
        <v>1331</v>
      </c>
      <c r="AE1448" s="1" t="s">
        <v>1330</v>
      </c>
      <c r="AF1448" s="1" t="s">
        <v>1414</v>
      </c>
      <c r="AG1448" s="1" t="s">
        <v>53</v>
      </c>
      <c r="AH1448" s="1" t="s">
        <v>49</v>
      </c>
      <c r="AI1448" s="1" t="s">
        <v>54</v>
      </c>
      <c r="AJ1448" s="1">
        <v>1</v>
      </c>
      <c r="AK1448" s="1" t="str">
        <f t="shared" si="22"/>
        <v xml:space="preserve"> =&lt;90</v>
      </c>
      <c r="AL1448" s="1" t="str">
        <f>VLOOKUP(C:C,[1]基础信息!B$1:D$65536,3,0)</f>
        <v>Jug</v>
      </c>
      <c r="AM1448" s="1" t="str">
        <f>VLOOKUP(C:C,[1]基础信息!B$1:E$65536,4,0)</f>
        <v>MXpl</v>
      </c>
      <c r="AN1448" s="1" t="str">
        <f>VLOOKUP(C:C,[1]基础信息!B$1:F$65536,5,0)</f>
        <v>grey</v>
      </c>
    </row>
    <row r="1449" spans="1:40">
      <c r="A1449" s="1" t="s">
        <v>41</v>
      </c>
      <c r="B1449" s="1" t="s">
        <v>42</v>
      </c>
      <c r="C1449" s="1" t="s">
        <v>208</v>
      </c>
      <c r="D1449" s="1" t="s">
        <v>209</v>
      </c>
      <c r="E1449" s="1" t="s">
        <v>208</v>
      </c>
      <c r="F1449" s="1" t="s">
        <v>3379</v>
      </c>
      <c r="G1449" s="1" t="s">
        <v>3380</v>
      </c>
      <c r="H1449" s="1" t="s">
        <v>3381</v>
      </c>
      <c r="I1449" s="1" t="s">
        <v>49</v>
      </c>
      <c r="J1449" s="1" t="s">
        <v>48</v>
      </c>
      <c r="K1449" s="1">
        <v>80</v>
      </c>
      <c r="L1449" s="1">
        <v>0</v>
      </c>
      <c r="M1449" s="1">
        <v>0</v>
      </c>
      <c r="N1449" s="1">
        <v>80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 t="s">
        <v>49</v>
      </c>
      <c r="AA1449" s="1" t="s">
        <v>49</v>
      </c>
      <c r="AB1449" s="1" t="s">
        <v>49</v>
      </c>
      <c r="AC1449" s="1" t="s">
        <v>1330</v>
      </c>
      <c r="AD1449" s="1" t="s">
        <v>1331</v>
      </c>
      <c r="AE1449" s="1" t="s">
        <v>1330</v>
      </c>
      <c r="AF1449" s="1" t="s">
        <v>3382</v>
      </c>
      <c r="AG1449" s="1" t="s">
        <v>53</v>
      </c>
      <c r="AH1449" s="1" t="s">
        <v>49</v>
      </c>
      <c r="AI1449" s="1" t="s">
        <v>54</v>
      </c>
      <c r="AJ1449" s="1">
        <v>1</v>
      </c>
      <c r="AK1449" s="1" t="str">
        <f t="shared" si="22"/>
        <v xml:space="preserve"> =&lt;90</v>
      </c>
      <c r="AL1449" s="1" t="str">
        <f>VLOOKUP(C:C,[1]基础信息!B$1:D$65536,3,0)</f>
        <v>Jug</v>
      </c>
      <c r="AM1449" s="1" t="str">
        <f>VLOOKUP(C:C,[1]基础信息!B$1:E$65536,4,0)</f>
        <v>MXpl</v>
      </c>
      <c r="AN1449" s="1" t="str">
        <f>VLOOKUP(C:C,[1]基础信息!B$1:F$65536,5,0)</f>
        <v>grey</v>
      </c>
    </row>
    <row r="1450" spans="1:40">
      <c r="A1450" s="1" t="s">
        <v>41</v>
      </c>
      <c r="B1450" s="1" t="s">
        <v>42</v>
      </c>
      <c r="C1450" s="1" t="s">
        <v>208</v>
      </c>
      <c r="D1450" s="1" t="s">
        <v>209</v>
      </c>
      <c r="E1450" s="1" t="s">
        <v>208</v>
      </c>
      <c r="F1450" s="1" t="s">
        <v>3379</v>
      </c>
      <c r="G1450" s="1" t="s">
        <v>3383</v>
      </c>
      <c r="H1450" s="1" t="s">
        <v>3384</v>
      </c>
      <c r="I1450" s="1" t="s">
        <v>49</v>
      </c>
      <c r="J1450" s="1" t="s">
        <v>48</v>
      </c>
      <c r="K1450" s="1">
        <v>80</v>
      </c>
      <c r="L1450" s="1">
        <v>0</v>
      </c>
      <c r="M1450" s="1">
        <v>0</v>
      </c>
      <c r="N1450" s="1">
        <v>80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 t="s">
        <v>49</v>
      </c>
      <c r="AA1450" s="1" t="s">
        <v>49</v>
      </c>
      <c r="AB1450" s="1" t="s">
        <v>49</v>
      </c>
      <c r="AC1450" s="1" t="s">
        <v>1330</v>
      </c>
      <c r="AD1450" s="1" t="s">
        <v>1331</v>
      </c>
      <c r="AE1450" s="1" t="s">
        <v>1330</v>
      </c>
      <c r="AF1450" s="1" t="s">
        <v>3382</v>
      </c>
      <c r="AG1450" s="1" t="s">
        <v>53</v>
      </c>
      <c r="AH1450" s="1" t="s">
        <v>49</v>
      </c>
      <c r="AI1450" s="1" t="s">
        <v>54</v>
      </c>
      <c r="AJ1450" s="1">
        <v>1</v>
      </c>
      <c r="AK1450" s="1" t="str">
        <f t="shared" si="22"/>
        <v xml:space="preserve"> =&lt;90</v>
      </c>
      <c r="AL1450" s="1" t="str">
        <f>VLOOKUP(C:C,[1]基础信息!B$1:D$65536,3,0)</f>
        <v>Jug</v>
      </c>
      <c r="AM1450" s="1" t="str">
        <f>VLOOKUP(C:C,[1]基础信息!B$1:E$65536,4,0)</f>
        <v>MXpl</v>
      </c>
      <c r="AN1450" s="1" t="str">
        <f>VLOOKUP(C:C,[1]基础信息!B$1:F$65536,5,0)</f>
        <v>grey</v>
      </c>
    </row>
    <row r="1451" spans="1:40">
      <c r="A1451" s="1" t="s">
        <v>41</v>
      </c>
      <c r="B1451" s="1" t="s">
        <v>42</v>
      </c>
      <c r="C1451" s="1" t="s">
        <v>208</v>
      </c>
      <c r="D1451" s="1" t="s">
        <v>209</v>
      </c>
      <c r="E1451" s="1" t="s">
        <v>208</v>
      </c>
      <c r="F1451" s="1" t="s">
        <v>3379</v>
      </c>
      <c r="G1451" s="1" t="s">
        <v>3385</v>
      </c>
      <c r="H1451" s="1" t="s">
        <v>3386</v>
      </c>
      <c r="I1451" s="1" t="s">
        <v>49</v>
      </c>
      <c r="J1451" s="1" t="s">
        <v>48</v>
      </c>
      <c r="K1451" s="1">
        <v>80</v>
      </c>
      <c r="L1451" s="1">
        <v>0</v>
      </c>
      <c r="M1451" s="1">
        <v>0</v>
      </c>
      <c r="N1451" s="1">
        <v>80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 t="s">
        <v>49</v>
      </c>
      <c r="AA1451" s="1" t="s">
        <v>49</v>
      </c>
      <c r="AB1451" s="1" t="s">
        <v>49</v>
      </c>
      <c r="AC1451" s="1" t="s">
        <v>1330</v>
      </c>
      <c r="AD1451" s="1" t="s">
        <v>1331</v>
      </c>
      <c r="AE1451" s="1" t="s">
        <v>1330</v>
      </c>
      <c r="AF1451" s="1" t="s">
        <v>3382</v>
      </c>
      <c r="AG1451" s="1" t="s">
        <v>53</v>
      </c>
      <c r="AH1451" s="1" t="s">
        <v>49</v>
      </c>
      <c r="AI1451" s="1" t="s">
        <v>54</v>
      </c>
      <c r="AJ1451" s="1">
        <v>1</v>
      </c>
      <c r="AK1451" s="1" t="str">
        <f t="shared" si="22"/>
        <v xml:space="preserve"> =&lt;90</v>
      </c>
      <c r="AL1451" s="1" t="str">
        <f>VLOOKUP(C:C,[1]基础信息!B$1:D$65536,3,0)</f>
        <v>Jug</v>
      </c>
      <c r="AM1451" s="1" t="str">
        <f>VLOOKUP(C:C,[1]基础信息!B$1:E$65536,4,0)</f>
        <v>MXpl</v>
      </c>
      <c r="AN1451" s="1" t="str">
        <f>VLOOKUP(C:C,[1]基础信息!B$1:F$65536,5,0)</f>
        <v>grey</v>
      </c>
    </row>
    <row r="1452" spans="1:40">
      <c r="A1452" s="1" t="s">
        <v>41</v>
      </c>
      <c r="B1452" s="1" t="s">
        <v>42</v>
      </c>
      <c r="C1452" s="1" t="s">
        <v>208</v>
      </c>
      <c r="D1452" s="1" t="s">
        <v>209</v>
      </c>
      <c r="E1452" s="1" t="s">
        <v>208</v>
      </c>
      <c r="F1452" s="1" t="s">
        <v>3379</v>
      </c>
      <c r="G1452" s="1" t="s">
        <v>3387</v>
      </c>
      <c r="H1452" s="1" t="s">
        <v>3388</v>
      </c>
      <c r="I1452" s="1" t="s">
        <v>49</v>
      </c>
      <c r="J1452" s="1" t="s">
        <v>48</v>
      </c>
      <c r="K1452" s="1">
        <v>80</v>
      </c>
      <c r="L1452" s="1">
        <v>0</v>
      </c>
      <c r="M1452" s="1">
        <v>0</v>
      </c>
      <c r="N1452" s="1">
        <v>80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 t="s">
        <v>49</v>
      </c>
      <c r="AA1452" s="1" t="s">
        <v>49</v>
      </c>
      <c r="AB1452" s="1" t="s">
        <v>49</v>
      </c>
      <c r="AC1452" s="1" t="s">
        <v>1330</v>
      </c>
      <c r="AD1452" s="1" t="s">
        <v>1331</v>
      </c>
      <c r="AE1452" s="1" t="s">
        <v>1330</v>
      </c>
      <c r="AF1452" s="1" t="s">
        <v>3382</v>
      </c>
      <c r="AG1452" s="1" t="s">
        <v>53</v>
      </c>
      <c r="AH1452" s="1" t="s">
        <v>49</v>
      </c>
      <c r="AI1452" s="1" t="s">
        <v>54</v>
      </c>
      <c r="AJ1452" s="1">
        <v>1</v>
      </c>
      <c r="AK1452" s="1" t="str">
        <f t="shared" si="22"/>
        <v xml:space="preserve"> =&lt;90</v>
      </c>
      <c r="AL1452" s="1" t="str">
        <f>VLOOKUP(C:C,[1]基础信息!B$1:D$65536,3,0)</f>
        <v>Jug</v>
      </c>
      <c r="AM1452" s="1" t="str">
        <f>VLOOKUP(C:C,[1]基础信息!B$1:E$65536,4,0)</f>
        <v>MXpl</v>
      </c>
      <c r="AN1452" s="1" t="str">
        <f>VLOOKUP(C:C,[1]基础信息!B$1:F$65536,5,0)</f>
        <v>grey</v>
      </c>
    </row>
    <row r="1453" spans="1:40">
      <c r="A1453" s="1" t="s">
        <v>41</v>
      </c>
      <c r="B1453" s="1" t="s">
        <v>42</v>
      </c>
      <c r="C1453" s="1" t="s">
        <v>208</v>
      </c>
      <c r="D1453" s="1" t="s">
        <v>209</v>
      </c>
      <c r="E1453" s="1" t="s">
        <v>208</v>
      </c>
      <c r="F1453" s="1" t="s">
        <v>3379</v>
      </c>
      <c r="G1453" s="1" t="s">
        <v>3389</v>
      </c>
      <c r="H1453" s="1" t="s">
        <v>3390</v>
      </c>
      <c r="I1453" s="1" t="s">
        <v>49</v>
      </c>
      <c r="J1453" s="1" t="s">
        <v>48</v>
      </c>
      <c r="K1453" s="1">
        <v>80</v>
      </c>
      <c r="L1453" s="1">
        <v>0</v>
      </c>
      <c r="M1453" s="1">
        <v>0</v>
      </c>
      <c r="N1453" s="1">
        <v>80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 t="s">
        <v>49</v>
      </c>
      <c r="AA1453" s="1" t="s">
        <v>49</v>
      </c>
      <c r="AB1453" s="1" t="s">
        <v>49</v>
      </c>
      <c r="AC1453" s="1" t="s">
        <v>1330</v>
      </c>
      <c r="AD1453" s="1" t="s">
        <v>1331</v>
      </c>
      <c r="AE1453" s="1" t="s">
        <v>1330</v>
      </c>
      <c r="AF1453" s="1" t="s">
        <v>3382</v>
      </c>
      <c r="AG1453" s="1" t="s">
        <v>53</v>
      </c>
      <c r="AH1453" s="1" t="s">
        <v>49</v>
      </c>
      <c r="AI1453" s="1" t="s">
        <v>54</v>
      </c>
      <c r="AJ1453" s="1">
        <v>1</v>
      </c>
      <c r="AK1453" s="1" t="str">
        <f t="shared" si="22"/>
        <v xml:space="preserve"> =&lt;90</v>
      </c>
      <c r="AL1453" s="1" t="str">
        <f>VLOOKUP(C:C,[1]基础信息!B$1:D$65536,3,0)</f>
        <v>Jug</v>
      </c>
      <c r="AM1453" s="1" t="str">
        <f>VLOOKUP(C:C,[1]基础信息!B$1:E$65536,4,0)</f>
        <v>MXpl</v>
      </c>
      <c r="AN1453" s="1" t="str">
        <f>VLOOKUP(C:C,[1]基础信息!B$1:F$65536,5,0)</f>
        <v>grey</v>
      </c>
    </row>
    <row r="1454" spans="1:40">
      <c r="A1454" s="1" t="s">
        <v>41</v>
      </c>
      <c r="B1454" s="1" t="s">
        <v>42</v>
      </c>
      <c r="C1454" s="1" t="s">
        <v>208</v>
      </c>
      <c r="D1454" s="1" t="s">
        <v>209</v>
      </c>
      <c r="E1454" s="1" t="s">
        <v>208</v>
      </c>
      <c r="F1454" s="1" t="s">
        <v>3379</v>
      </c>
      <c r="G1454" s="1" t="s">
        <v>3391</v>
      </c>
      <c r="H1454" s="1" t="s">
        <v>3392</v>
      </c>
      <c r="I1454" s="1" t="s">
        <v>49</v>
      </c>
      <c r="J1454" s="1" t="s">
        <v>48</v>
      </c>
      <c r="K1454" s="1">
        <v>80</v>
      </c>
      <c r="L1454" s="1">
        <v>0</v>
      </c>
      <c r="M1454" s="1">
        <v>0</v>
      </c>
      <c r="N1454" s="1">
        <v>80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 t="s">
        <v>49</v>
      </c>
      <c r="AA1454" s="1" t="s">
        <v>49</v>
      </c>
      <c r="AB1454" s="1" t="s">
        <v>49</v>
      </c>
      <c r="AC1454" s="1" t="s">
        <v>1330</v>
      </c>
      <c r="AD1454" s="1" t="s">
        <v>1331</v>
      </c>
      <c r="AE1454" s="1" t="s">
        <v>1330</v>
      </c>
      <c r="AF1454" s="1" t="s">
        <v>3382</v>
      </c>
      <c r="AG1454" s="1" t="s">
        <v>53</v>
      </c>
      <c r="AH1454" s="1" t="s">
        <v>49</v>
      </c>
      <c r="AI1454" s="1" t="s">
        <v>54</v>
      </c>
      <c r="AJ1454" s="1">
        <v>1</v>
      </c>
      <c r="AK1454" s="1" t="str">
        <f t="shared" si="22"/>
        <v xml:space="preserve"> =&lt;90</v>
      </c>
      <c r="AL1454" s="1" t="str">
        <f>VLOOKUP(C:C,[1]基础信息!B$1:D$65536,3,0)</f>
        <v>Jug</v>
      </c>
      <c r="AM1454" s="1" t="str">
        <f>VLOOKUP(C:C,[1]基础信息!B$1:E$65536,4,0)</f>
        <v>MXpl</v>
      </c>
      <c r="AN1454" s="1" t="str">
        <f>VLOOKUP(C:C,[1]基础信息!B$1:F$65536,5,0)</f>
        <v>grey</v>
      </c>
    </row>
    <row r="1455" spans="1:40">
      <c r="A1455" s="1" t="s">
        <v>41</v>
      </c>
      <c r="B1455" s="1" t="s">
        <v>42</v>
      </c>
      <c r="C1455" s="1" t="s">
        <v>208</v>
      </c>
      <c r="D1455" s="1" t="s">
        <v>209</v>
      </c>
      <c r="E1455" s="1" t="s">
        <v>208</v>
      </c>
      <c r="F1455" s="1" t="s">
        <v>3379</v>
      </c>
      <c r="G1455" s="1" t="s">
        <v>3393</v>
      </c>
      <c r="H1455" s="1" t="s">
        <v>3394</v>
      </c>
      <c r="I1455" s="1" t="s">
        <v>49</v>
      </c>
      <c r="J1455" s="1" t="s">
        <v>48</v>
      </c>
      <c r="K1455" s="1">
        <v>80</v>
      </c>
      <c r="L1455" s="1">
        <v>0</v>
      </c>
      <c r="M1455" s="1">
        <v>0</v>
      </c>
      <c r="N1455" s="1">
        <v>80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 t="s">
        <v>49</v>
      </c>
      <c r="AA1455" s="1" t="s">
        <v>49</v>
      </c>
      <c r="AB1455" s="1" t="s">
        <v>49</v>
      </c>
      <c r="AC1455" s="1" t="s">
        <v>1330</v>
      </c>
      <c r="AD1455" s="1" t="s">
        <v>1331</v>
      </c>
      <c r="AE1455" s="1" t="s">
        <v>1330</v>
      </c>
      <c r="AF1455" s="1" t="s">
        <v>3382</v>
      </c>
      <c r="AG1455" s="1" t="s">
        <v>53</v>
      </c>
      <c r="AH1455" s="1" t="s">
        <v>49</v>
      </c>
      <c r="AI1455" s="1" t="s">
        <v>54</v>
      </c>
      <c r="AJ1455" s="1">
        <v>1</v>
      </c>
      <c r="AK1455" s="1" t="str">
        <f t="shared" si="22"/>
        <v xml:space="preserve"> =&lt;90</v>
      </c>
      <c r="AL1455" s="1" t="str">
        <f>VLOOKUP(C:C,[1]基础信息!B$1:D$65536,3,0)</f>
        <v>Jug</v>
      </c>
      <c r="AM1455" s="1" t="str">
        <f>VLOOKUP(C:C,[1]基础信息!B$1:E$65536,4,0)</f>
        <v>MXpl</v>
      </c>
      <c r="AN1455" s="1" t="str">
        <f>VLOOKUP(C:C,[1]基础信息!B$1:F$65536,5,0)</f>
        <v>grey</v>
      </c>
    </row>
    <row r="1456" spans="1:40">
      <c r="A1456" s="1" t="s">
        <v>41</v>
      </c>
      <c r="B1456" s="1" t="s">
        <v>42</v>
      </c>
      <c r="C1456" s="1" t="s">
        <v>208</v>
      </c>
      <c r="D1456" s="1" t="s">
        <v>209</v>
      </c>
      <c r="E1456" s="1" t="s">
        <v>208</v>
      </c>
      <c r="F1456" s="1" t="s">
        <v>3379</v>
      </c>
      <c r="G1456" s="1" t="s">
        <v>3395</v>
      </c>
      <c r="H1456" s="1" t="s">
        <v>3396</v>
      </c>
      <c r="I1456" s="1" t="s">
        <v>49</v>
      </c>
      <c r="J1456" s="1" t="s">
        <v>48</v>
      </c>
      <c r="K1456" s="1">
        <v>80</v>
      </c>
      <c r="L1456" s="1">
        <v>0</v>
      </c>
      <c r="M1456" s="1">
        <v>0</v>
      </c>
      <c r="N1456" s="1">
        <v>80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 t="s">
        <v>49</v>
      </c>
      <c r="AA1456" s="1" t="s">
        <v>49</v>
      </c>
      <c r="AB1456" s="1" t="s">
        <v>49</v>
      </c>
      <c r="AC1456" s="1" t="s">
        <v>1330</v>
      </c>
      <c r="AD1456" s="1" t="s">
        <v>1331</v>
      </c>
      <c r="AE1456" s="1" t="s">
        <v>1330</v>
      </c>
      <c r="AF1456" s="1" t="s">
        <v>3382</v>
      </c>
      <c r="AG1456" s="1" t="s">
        <v>53</v>
      </c>
      <c r="AH1456" s="1" t="s">
        <v>49</v>
      </c>
      <c r="AI1456" s="1" t="s">
        <v>54</v>
      </c>
      <c r="AJ1456" s="1">
        <v>1</v>
      </c>
      <c r="AK1456" s="1" t="str">
        <f t="shared" si="22"/>
        <v xml:space="preserve"> =&lt;90</v>
      </c>
      <c r="AL1456" s="1" t="str">
        <f>VLOOKUP(C:C,[1]基础信息!B$1:D$65536,3,0)</f>
        <v>Jug</v>
      </c>
      <c r="AM1456" s="1" t="str">
        <f>VLOOKUP(C:C,[1]基础信息!B$1:E$65536,4,0)</f>
        <v>MXpl</v>
      </c>
      <c r="AN1456" s="1" t="str">
        <f>VLOOKUP(C:C,[1]基础信息!B$1:F$65536,5,0)</f>
        <v>grey</v>
      </c>
    </row>
    <row r="1457" spans="1:40">
      <c r="A1457" s="1" t="s">
        <v>41</v>
      </c>
      <c r="B1457" s="1" t="s">
        <v>42</v>
      </c>
      <c r="C1457" s="1" t="s">
        <v>208</v>
      </c>
      <c r="D1457" s="1" t="s">
        <v>209</v>
      </c>
      <c r="E1457" s="1" t="s">
        <v>208</v>
      </c>
      <c r="F1457" s="1" t="s">
        <v>3379</v>
      </c>
      <c r="G1457" s="1" t="s">
        <v>3397</v>
      </c>
      <c r="H1457" s="1" t="s">
        <v>3398</v>
      </c>
      <c r="I1457" s="1" t="s">
        <v>49</v>
      </c>
      <c r="J1457" s="1" t="s">
        <v>48</v>
      </c>
      <c r="K1457" s="1">
        <v>80</v>
      </c>
      <c r="L1457" s="1">
        <v>0</v>
      </c>
      <c r="M1457" s="1">
        <v>0</v>
      </c>
      <c r="N1457" s="1">
        <v>80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 t="s">
        <v>49</v>
      </c>
      <c r="AA1457" s="1" t="s">
        <v>49</v>
      </c>
      <c r="AB1457" s="1" t="s">
        <v>49</v>
      </c>
      <c r="AC1457" s="1" t="s">
        <v>1330</v>
      </c>
      <c r="AD1457" s="1" t="s">
        <v>1331</v>
      </c>
      <c r="AE1457" s="1" t="s">
        <v>1330</v>
      </c>
      <c r="AF1457" s="1" t="s">
        <v>3382</v>
      </c>
      <c r="AG1457" s="1" t="s">
        <v>53</v>
      </c>
      <c r="AH1457" s="1" t="s">
        <v>49</v>
      </c>
      <c r="AI1457" s="1" t="s">
        <v>54</v>
      </c>
      <c r="AJ1457" s="1">
        <v>1</v>
      </c>
      <c r="AK1457" s="1" t="str">
        <f t="shared" si="22"/>
        <v xml:space="preserve"> =&lt;90</v>
      </c>
      <c r="AL1457" s="1" t="str">
        <f>VLOOKUP(C:C,[1]基础信息!B$1:D$65536,3,0)</f>
        <v>Jug</v>
      </c>
      <c r="AM1457" s="1" t="str">
        <f>VLOOKUP(C:C,[1]基础信息!B$1:E$65536,4,0)</f>
        <v>MXpl</v>
      </c>
      <c r="AN1457" s="1" t="str">
        <f>VLOOKUP(C:C,[1]基础信息!B$1:F$65536,5,0)</f>
        <v>grey</v>
      </c>
    </row>
    <row r="1458" spans="1:40">
      <c r="A1458" s="1" t="s">
        <v>41</v>
      </c>
      <c r="B1458" s="1" t="s">
        <v>42</v>
      </c>
      <c r="C1458" s="1" t="s">
        <v>208</v>
      </c>
      <c r="D1458" s="1" t="s">
        <v>209</v>
      </c>
      <c r="E1458" s="1" t="s">
        <v>208</v>
      </c>
      <c r="F1458" s="1" t="s">
        <v>3379</v>
      </c>
      <c r="G1458" s="1" t="s">
        <v>3399</v>
      </c>
      <c r="H1458" s="1" t="s">
        <v>3400</v>
      </c>
      <c r="I1458" s="1" t="s">
        <v>49</v>
      </c>
      <c r="J1458" s="1" t="s">
        <v>48</v>
      </c>
      <c r="K1458" s="1">
        <v>80</v>
      </c>
      <c r="L1458" s="1">
        <v>0</v>
      </c>
      <c r="M1458" s="1">
        <v>0</v>
      </c>
      <c r="N1458" s="1">
        <v>80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 t="s">
        <v>49</v>
      </c>
      <c r="AA1458" s="1" t="s">
        <v>49</v>
      </c>
      <c r="AB1458" s="1" t="s">
        <v>49</v>
      </c>
      <c r="AC1458" s="1" t="s">
        <v>1330</v>
      </c>
      <c r="AD1458" s="1" t="s">
        <v>1331</v>
      </c>
      <c r="AE1458" s="1" t="s">
        <v>1330</v>
      </c>
      <c r="AF1458" s="1" t="s">
        <v>3382</v>
      </c>
      <c r="AG1458" s="1" t="s">
        <v>53</v>
      </c>
      <c r="AH1458" s="1" t="s">
        <v>49</v>
      </c>
      <c r="AI1458" s="1" t="s">
        <v>54</v>
      </c>
      <c r="AJ1458" s="1">
        <v>1</v>
      </c>
      <c r="AK1458" s="1" t="str">
        <f t="shared" si="22"/>
        <v xml:space="preserve"> =&lt;90</v>
      </c>
      <c r="AL1458" s="1" t="str">
        <f>VLOOKUP(C:C,[1]基础信息!B$1:D$65536,3,0)</f>
        <v>Jug</v>
      </c>
      <c r="AM1458" s="1" t="str">
        <f>VLOOKUP(C:C,[1]基础信息!B$1:E$65536,4,0)</f>
        <v>MXpl</v>
      </c>
      <c r="AN1458" s="1" t="str">
        <f>VLOOKUP(C:C,[1]基础信息!B$1:F$65536,5,0)</f>
        <v>grey</v>
      </c>
    </row>
    <row r="1459" spans="1:40">
      <c r="A1459" s="1" t="s">
        <v>41</v>
      </c>
      <c r="B1459" s="1" t="s">
        <v>42</v>
      </c>
      <c r="C1459" s="1" t="s">
        <v>208</v>
      </c>
      <c r="D1459" s="1" t="s">
        <v>209</v>
      </c>
      <c r="E1459" s="1" t="s">
        <v>208</v>
      </c>
      <c r="F1459" s="1" t="s">
        <v>3379</v>
      </c>
      <c r="G1459" s="1" t="s">
        <v>3401</v>
      </c>
      <c r="H1459" s="1" t="s">
        <v>3402</v>
      </c>
      <c r="I1459" s="1" t="s">
        <v>49</v>
      </c>
      <c r="J1459" s="1" t="s">
        <v>48</v>
      </c>
      <c r="K1459" s="1">
        <v>80</v>
      </c>
      <c r="L1459" s="1">
        <v>0</v>
      </c>
      <c r="M1459" s="1">
        <v>0</v>
      </c>
      <c r="N1459" s="1">
        <v>80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 t="s">
        <v>49</v>
      </c>
      <c r="AA1459" s="1" t="s">
        <v>49</v>
      </c>
      <c r="AB1459" s="1" t="s">
        <v>49</v>
      </c>
      <c r="AC1459" s="1" t="s">
        <v>1330</v>
      </c>
      <c r="AD1459" s="1" t="s">
        <v>1331</v>
      </c>
      <c r="AE1459" s="1" t="s">
        <v>1330</v>
      </c>
      <c r="AF1459" s="1" t="s">
        <v>3382</v>
      </c>
      <c r="AG1459" s="1" t="s">
        <v>53</v>
      </c>
      <c r="AH1459" s="1" t="s">
        <v>49</v>
      </c>
      <c r="AI1459" s="1" t="s">
        <v>54</v>
      </c>
      <c r="AJ1459" s="1">
        <v>1</v>
      </c>
      <c r="AK1459" s="1" t="str">
        <f t="shared" si="22"/>
        <v xml:space="preserve"> =&lt;90</v>
      </c>
      <c r="AL1459" s="1" t="str">
        <f>VLOOKUP(C:C,[1]基础信息!B$1:D$65536,3,0)</f>
        <v>Jug</v>
      </c>
      <c r="AM1459" s="1" t="str">
        <f>VLOOKUP(C:C,[1]基础信息!B$1:E$65536,4,0)</f>
        <v>MXpl</v>
      </c>
      <c r="AN1459" s="1" t="str">
        <f>VLOOKUP(C:C,[1]基础信息!B$1:F$65536,5,0)</f>
        <v>grey</v>
      </c>
    </row>
    <row r="1460" spans="1:40">
      <c r="A1460" s="1" t="s">
        <v>41</v>
      </c>
      <c r="B1460" s="1" t="s">
        <v>42</v>
      </c>
      <c r="C1460" s="1" t="s">
        <v>208</v>
      </c>
      <c r="D1460" s="1" t="s">
        <v>209</v>
      </c>
      <c r="E1460" s="1" t="s">
        <v>208</v>
      </c>
      <c r="F1460" s="1" t="s">
        <v>3379</v>
      </c>
      <c r="G1460" s="1" t="s">
        <v>3403</v>
      </c>
      <c r="H1460" s="1" t="s">
        <v>3404</v>
      </c>
      <c r="I1460" s="1" t="s">
        <v>49</v>
      </c>
      <c r="J1460" s="1" t="s">
        <v>48</v>
      </c>
      <c r="K1460" s="1">
        <v>80</v>
      </c>
      <c r="L1460" s="1">
        <v>0</v>
      </c>
      <c r="M1460" s="1">
        <v>0</v>
      </c>
      <c r="N1460" s="1">
        <v>80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 t="s">
        <v>49</v>
      </c>
      <c r="AA1460" s="1" t="s">
        <v>49</v>
      </c>
      <c r="AB1460" s="1" t="s">
        <v>49</v>
      </c>
      <c r="AC1460" s="1" t="s">
        <v>1330</v>
      </c>
      <c r="AD1460" s="1" t="s">
        <v>1331</v>
      </c>
      <c r="AE1460" s="1" t="s">
        <v>1330</v>
      </c>
      <c r="AF1460" s="1" t="s">
        <v>3382</v>
      </c>
      <c r="AG1460" s="1" t="s">
        <v>53</v>
      </c>
      <c r="AH1460" s="1" t="s">
        <v>49</v>
      </c>
      <c r="AI1460" s="1" t="s">
        <v>54</v>
      </c>
      <c r="AJ1460" s="1">
        <v>1</v>
      </c>
      <c r="AK1460" s="1" t="str">
        <f t="shared" si="22"/>
        <v xml:space="preserve"> =&lt;90</v>
      </c>
      <c r="AL1460" s="1" t="str">
        <f>VLOOKUP(C:C,[1]基础信息!B$1:D$65536,3,0)</f>
        <v>Jug</v>
      </c>
      <c r="AM1460" s="1" t="str">
        <f>VLOOKUP(C:C,[1]基础信息!B$1:E$65536,4,0)</f>
        <v>MXpl</v>
      </c>
      <c r="AN1460" s="1" t="str">
        <f>VLOOKUP(C:C,[1]基础信息!B$1:F$65536,5,0)</f>
        <v>grey</v>
      </c>
    </row>
    <row r="1461" spans="1:40">
      <c r="A1461" s="1" t="s">
        <v>41</v>
      </c>
      <c r="B1461" s="1" t="s">
        <v>42</v>
      </c>
      <c r="C1461" s="1" t="s">
        <v>208</v>
      </c>
      <c r="D1461" s="1" t="s">
        <v>209</v>
      </c>
      <c r="E1461" s="1" t="s">
        <v>208</v>
      </c>
      <c r="F1461" s="1" t="s">
        <v>3379</v>
      </c>
      <c r="G1461" s="1" t="s">
        <v>3405</v>
      </c>
      <c r="H1461" s="1" t="s">
        <v>3406</v>
      </c>
      <c r="I1461" s="1" t="s">
        <v>49</v>
      </c>
      <c r="J1461" s="1" t="s">
        <v>48</v>
      </c>
      <c r="K1461" s="1">
        <v>80</v>
      </c>
      <c r="L1461" s="1">
        <v>0</v>
      </c>
      <c r="M1461" s="1">
        <v>0</v>
      </c>
      <c r="N1461" s="1">
        <v>80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 t="s">
        <v>49</v>
      </c>
      <c r="AA1461" s="1" t="s">
        <v>49</v>
      </c>
      <c r="AB1461" s="1" t="s">
        <v>49</v>
      </c>
      <c r="AC1461" s="1" t="s">
        <v>1330</v>
      </c>
      <c r="AD1461" s="1" t="s">
        <v>1331</v>
      </c>
      <c r="AE1461" s="1" t="s">
        <v>1330</v>
      </c>
      <c r="AF1461" s="1" t="s">
        <v>3382</v>
      </c>
      <c r="AG1461" s="1" t="s">
        <v>53</v>
      </c>
      <c r="AH1461" s="1" t="s">
        <v>49</v>
      </c>
      <c r="AI1461" s="1" t="s">
        <v>54</v>
      </c>
      <c r="AJ1461" s="1">
        <v>1</v>
      </c>
      <c r="AK1461" s="1" t="str">
        <f t="shared" si="22"/>
        <v xml:space="preserve"> =&lt;90</v>
      </c>
      <c r="AL1461" s="1" t="str">
        <f>VLOOKUP(C:C,[1]基础信息!B$1:D$65536,3,0)</f>
        <v>Jug</v>
      </c>
      <c r="AM1461" s="1" t="str">
        <f>VLOOKUP(C:C,[1]基础信息!B$1:E$65536,4,0)</f>
        <v>MXpl</v>
      </c>
      <c r="AN1461" s="1" t="str">
        <f>VLOOKUP(C:C,[1]基础信息!B$1:F$65536,5,0)</f>
        <v>grey</v>
      </c>
    </row>
    <row r="1462" spans="1:40">
      <c r="A1462" s="1" t="s">
        <v>41</v>
      </c>
      <c r="B1462" s="1" t="s">
        <v>42</v>
      </c>
      <c r="C1462" s="1" t="s">
        <v>208</v>
      </c>
      <c r="D1462" s="1" t="s">
        <v>209</v>
      </c>
      <c r="E1462" s="1" t="s">
        <v>208</v>
      </c>
      <c r="F1462" s="1" t="s">
        <v>3379</v>
      </c>
      <c r="G1462" s="1" t="s">
        <v>3407</v>
      </c>
      <c r="H1462" s="1" t="s">
        <v>3408</v>
      </c>
      <c r="I1462" s="1" t="s">
        <v>49</v>
      </c>
      <c r="J1462" s="1" t="s">
        <v>48</v>
      </c>
      <c r="K1462" s="1">
        <v>80</v>
      </c>
      <c r="L1462" s="1">
        <v>0</v>
      </c>
      <c r="M1462" s="1">
        <v>0</v>
      </c>
      <c r="N1462" s="1">
        <v>80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 t="s">
        <v>49</v>
      </c>
      <c r="AA1462" s="1" t="s">
        <v>49</v>
      </c>
      <c r="AB1462" s="1" t="s">
        <v>49</v>
      </c>
      <c r="AC1462" s="1" t="s">
        <v>1330</v>
      </c>
      <c r="AD1462" s="1" t="s">
        <v>1331</v>
      </c>
      <c r="AE1462" s="1" t="s">
        <v>1330</v>
      </c>
      <c r="AF1462" s="1" t="s">
        <v>3382</v>
      </c>
      <c r="AG1462" s="1" t="s">
        <v>53</v>
      </c>
      <c r="AH1462" s="1" t="s">
        <v>49</v>
      </c>
      <c r="AI1462" s="1" t="s">
        <v>54</v>
      </c>
      <c r="AJ1462" s="1">
        <v>1</v>
      </c>
      <c r="AK1462" s="1" t="str">
        <f t="shared" si="22"/>
        <v xml:space="preserve"> =&lt;90</v>
      </c>
      <c r="AL1462" s="1" t="str">
        <f>VLOOKUP(C:C,[1]基础信息!B$1:D$65536,3,0)</f>
        <v>Jug</v>
      </c>
      <c r="AM1462" s="1" t="str">
        <f>VLOOKUP(C:C,[1]基础信息!B$1:E$65536,4,0)</f>
        <v>MXpl</v>
      </c>
      <c r="AN1462" s="1" t="str">
        <f>VLOOKUP(C:C,[1]基础信息!B$1:F$65536,5,0)</f>
        <v>grey</v>
      </c>
    </row>
    <row r="1463" spans="1:40">
      <c r="A1463" s="1" t="s">
        <v>41</v>
      </c>
      <c r="B1463" s="1" t="s">
        <v>42</v>
      </c>
      <c r="C1463" s="1" t="s">
        <v>1183</v>
      </c>
      <c r="D1463" s="1" t="s">
        <v>1184</v>
      </c>
      <c r="E1463" s="1" t="s">
        <v>45</v>
      </c>
      <c r="F1463" s="1" t="s">
        <v>1185</v>
      </c>
      <c r="G1463" s="1" t="s">
        <v>3409</v>
      </c>
      <c r="H1463" s="1" t="s">
        <v>3410</v>
      </c>
      <c r="I1463" s="1" t="s">
        <v>49</v>
      </c>
      <c r="J1463" s="1" t="s">
        <v>48</v>
      </c>
      <c r="K1463" s="1">
        <v>12</v>
      </c>
      <c r="L1463" s="1">
        <v>0</v>
      </c>
      <c r="M1463" s="1">
        <v>0</v>
      </c>
      <c r="N1463" s="1">
        <v>12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 t="s">
        <v>49</v>
      </c>
      <c r="AA1463" s="1" t="s">
        <v>49</v>
      </c>
      <c r="AB1463" s="1" t="s">
        <v>49</v>
      </c>
      <c r="AC1463" s="1" t="s">
        <v>1188</v>
      </c>
      <c r="AD1463" s="1" t="s">
        <v>1189</v>
      </c>
      <c r="AE1463" s="1" t="s">
        <v>1188</v>
      </c>
      <c r="AF1463" s="1" t="s">
        <v>1190</v>
      </c>
      <c r="AG1463" s="1" t="s">
        <v>53</v>
      </c>
      <c r="AH1463" s="1" t="s">
        <v>49</v>
      </c>
      <c r="AI1463" s="1" t="s">
        <v>54</v>
      </c>
      <c r="AJ1463" s="1">
        <v>1</v>
      </c>
      <c r="AK1463" s="1" t="str">
        <f t="shared" si="22"/>
        <v xml:space="preserve"> =&lt;90</v>
      </c>
      <c r="AL1463" s="1" t="e">
        <f>VLOOKUP(C:C,[1]基础信息!B$1:D$65536,3,0)</f>
        <v>#N/A</v>
      </c>
      <c r="AM1463" s="1" t="e">
        <f>VLOOKUP(C:C,[1]基础信息!B$1:E$65536,4,0)</f>
        <v>#N/A</v>
      </c>
      <c r="AN1463" s="1" t="e">
        <f>VLOOKUP(C:C,[1]基础信息!B$1:F$65536,5,0)</f>
        <v>#N/A</v>
      </c>
    </row>
    <row r="1464" spans="1:40">
      <c r="A1464" s="1" t="s">
        <v>41</v>
      </c>
      <c r="B1464" s="1" t="s">
        <v>42</v>
      </c>
      <c r="C1464" s="1" t="s">
        <v>1183</v>
      </c>
      <c r="D1464" s="1" t="s">
        <v>1184</v>
      </c>
      <c r="E1464" s="1" t="s">
        <v>45</v>
      </c>
      <c r="F1464" s="1" t="s">
        <v>1185</v>
      </c>
      <c r="G1464" s="1" t="s">
        <v>3411</v>
      </c>
      <c r="H1464" s="1" t="s">
        <v>3412</v>
      </c>
      <c r="I1464" s="1" t="s">
        <v>49</v>
      </c>
      <c r="J1464" s="1" t="s">
        <v>48</v>
      </c>
      <c r="K1464" s="1">
        <v>12</v>
      </c>
      <c r="L1464" s="1">
        <v>0</v>
      </c>
      <c r="M1464" s="1">
        <v>0</v>
      </c>
      <c r="N1464" s="1">
        <v>12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 t="s">
        <v>49</v>
      </c>
      <c r="AA1464" s="1" t="s">
        <v>49</v>
      </c>
      <c r="AB1464" s="1" t="s">
        <v>49</v>
      </c>
      <c r="AC1464" s="1" t="s">
        <v>1188</v>
      </c>
      <c r="AD1464" s="1" t="s">
        <v>1189</v>
      </c>
      <c r="AE1464" s="1" t="s">
        <v>1188</v>
      </c>
      <c r="AF1464" s="1" t="s">
        <v>1190</v>
      </c>
      <c r="AG1464" s="1" t="s">
        <v>53</v>
      </c>
      <c r="AH1464" s="1" t="s">
        <v>49</v>
      </c>
      <c r="AI1464" s="1" t="s">
        <v>54</v>
      </c>
      <c r="AJ1464" s="1">
        <v>1</v>
      </c>
      <c r="AK1464" s="1" t="str">
        <f t="shared" si="22"/>
        <v xml:space="preserve"> =&lt;90</v>
      </c>
      <c r="AL1464" s="1" t="e">
        <f>VLOOKUP(C:C,[1]基础信息!B$1:D$65536,3,0)</f>
        <v>#N/A</v>
      </c>
      <c r="AM1464" s="1" t="e">
        <f>VLOOKUP(C:C,[1]基础信息!B$1:E$65536,4,0)</f>
        <v>#N/A</v>
      </c>
      <c r="AN1464" s="1" t="e">
        <f>VLOOKUP(C:C,[1]基础信息!B$1:F$65536,5,0)</f>
        <v>#N/A</v>
      </c>
    </row>
    <row r="1465" spans="1:40">
      <c r="A1465" s="1" t="s">
        <v>41</v>
      </c>
      <c r="B1465" s="1" t="s">
        <v>42</v>
      </c>
      <c r="C1465" s="1" t="s">
        <v>1183</v>
      </c>
      <c r="D1465" s="1" t="s">
        <v>1184</v>
      </c>
      <c r="E1465" s="1" t="s">
        <v>45</v>
      </c>
      <c r="F1465" s="1" t="s">
        <v>1185</v>
      </c>
      <c r="G1465" s="1" t="s">
        <v>3413</v>
      </c>
      <c r="H1465" s="1" t="s">
        <v>3414</v>
      </c>
      <c r="I1465" s="1" t="s">
        <v>49</v>
      </c>
      <c r="J1465" s="1" t="s">
        <v>48</v>
      </c>
      <c r="K1465" s="1">
        <v>12</v>
      </c>
      <c r="L1465" s="1">
        <v>0</v>
      </c>
      <c r="M1465" s="1">
        <v>0</v>
      </c>
      <c r="N1465" s="1">
        <v>12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 t="s">
        <v>49</v>
      </c>
      <c r="AA1465" s="1" t="s">
        <v>49</v>
      </c>
      <c r="AB1465" s="1" t="s">
        <v>49</v>
      </c>
      <c r="AC1465" s="1" t="s">
        <v>1188</v>
      </c>
      <c r="AD1465" s="1" t="s">
        <v>1189</v>
      </c>
      <c r="AE1465" s="1" t="s">
        <v>1188</v>
      </c>
      <c r="AF1465" s="1" t="s">
        <v>1190</v>
      </c>
      <c r="AG1465" s="1" t="s">
        <v>53</v>
      </c>
      <c r="AH1465" s="1" t="s">
        <v>49</v>
      </c>
      <c r="AI1465" s="1" t="s">
        <v>54</v>
      </c>
      <c r="AJ1465" s="1">
        <v>1</v>
      </c>
      <c r="AK1465" s="1" t="str">
        <f t="shared" si="22"/>
        <v xml:space="preserve"> =&lt;90</v>
      </c>
      <c r="AL1465" s="1" t="e">
        <f>VLOOKUP(C:C,[1]基础信息!B$1:D$65536,3,0)</f>
        <v>#N/A</v>
      </c>
      <c r="AM1465" s="1" t="e">
        <f>VLOOKUP(C:C,[1]基础信息!B$1:E$65536,4,0)</f>
        <v>#N/A</v>
      </c>
      <c r="AN1465" s="1" t="e">
        <f>VLOOKUP(C:C,[1]基础信息!B$1:F$65536,5,0)</f>
        <v>#N/A</v>
      </c>
    </row>
    <row r="1466" spans="1:40">
      <c r="A1466" s="1" t="s">
        <v>41</v>
      </c>
      <c r="B1466" s="1" t="s">
        <v>42</v>
      </c>
      <c r="C1466" s="1" t="s">
        <v>1183</v>
      </c>
      <c r="D1466" s="1" t="s">
        <v>1184</v>
      </c>
      <c r="E1466" s="1" t="s">
        <v>45</v>
      </c>
      <c r="F1466" s="1" t="s">
        <v>1185</v>
      </c>
      <c r="G1466" s="1" t="s">
        <v>3415</v>
      </c>
      <c r="H1466" s="1" t="s">
        <v>3416</v>
      </c>
      <c r="I1466" s="1" t="s">
        <v>49</v>
      </c>
      <c r="J1466" s="1" t="s">
        <v>48</v>
      </c>
      <c r="K1466" s="1">
        <v>12</v>
      </c>
      <c r="L1466" s="1">
        <v>0</v>
      </c>
      <c r="M1466" s="1">
        <v>0</v>
      </c>
      <c r="N1466" s="1">
        <v>12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 t="s">
        <v>49</v>
      </c>
      <c r="AA1466" s="1" t="s">
        <v>49</v>
      </c>
      <c r="AB1466" s="1" t="s">
        <v>49</v>
      </c>
      <c r="AC1466" s="1" t="s">
        <v>1188</v>
      </c>
      <c r="AD1466" s="1" t="s">
        <v>1189</v>
      </c>
      <c r="AE1466" s="1" t="s">
        <v>1188</v>
      </c>
      <c r="AF1466" s="1" t="s">
        <v>1190</v>
      </c>
      <c r="AG1466" s="1" t="s">
        <v>53</v>
      </c>
      <c r="AH1466" s="1" t="s">
        <v>49</v>
      </c>
      <c r="AI1466" s="1" t="s">
        <v>54</v>
      </c>
      <c r="AJ1466" s="1">
        <v>1</v>
      </c>
      <c r="AK1466" s="1" t="str">
        <f t="shared" si="22"/>
        <v xml:space="preserve"> =&lt;90</v>
      </c>
      <c r="AL1466" s="1" t="e">
        <f>VLOOKUP(C:C,[1]基础信息!B$1:D$65536,3,0)</f>
        <v>#N/A</v>
      </c>
      <c r="AM1466" s="1" t="e">
        <f>VLOOKUP(C:C,[1]基础信息!B$1:E$65536,4,0)</f>
        <v>#N/A</v>
      </c>
      <c r="AN1466" s="1" t="e">
        <f>VLOOKUP(C:C,[1]基础信息!B$1:F$65536,5,0)</f>
        <v>#N/A</v>
      </c>
    </row>
    <row r="1467" spans="1:40">
      <c r="A1467" s="1" t="s">
        <v>41</v>
      </c>
      <c r="B1467" s="1" t="s">
        <v>42</v>
      </c>
      <c r="C1467" s="1" t="s">
        <v>1183</v>
      </c>
      <c r="D1467" s="1" t="s">
        <v>1184</v>
      </c>
      <c r="E1467" s="1" t="s">
        <v>45</v>
      </c>
      <c r="F1467" s="1" t="s">
        <v>1185</v>
      </c>
      <c r="G1467" s="1" t="s">
        <v>3417</v>
      </c>
      <c r="H1467" s="1" t="s">
        <v>3418</v>
      </c>
      <c r="I1467" s="1" t="s">
        <v>49</v>
      </c>
      <c r="J1467" s="1" t="s">
        <v>48</v>
      </c>
      <c r="K1467" s="1">
        <v>12</v>
      </c>
      <c r="L1467" s="1">
        <v>0</v>
      </c>
      <c r="M1467" s="1">
        <v>0</v>
      </c>
      <c r="N1467" s="1">
        <v>12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 t="s">
        <v>49</v>
      </c>
      <c r="AA1467" s="1" t="s">
        <v>49</v>
      </c>
      <c r="AB1467" s="1" t="s">
        <v>49</v>
      </c>
      <c r="AC1467" s="1" t="s">
        <v>1188</v>
      </c>
      <c r="AD1467" s="1" t="s">
        <v>1189</v>
      </c>
      <c r="AE1467" s="1" t="s">
        <v>1188</v>
      </c>
      <c r="AF1467" s="1" t="s">
        <v>1190</v>
      </c>
      <c r="AG1467" s="1" t="s">
        <v>53</v>
      </c>
      <c r="AH1467" s="1" t="s">
        <v>49</v>
      </c>
      <c r="AI1467" s="1" t="s">
        <v>54</v>
      </c>
      <c r="AJ1467" s="1">
        <v>1</v>
      </c>
      <c r="AK1467" s="1" t="str">
        <f t="shared" si="22"/>
        <v xml:space="preserve"> =&lt;90</v>
      </c>
      <c r="AL1467" s="1" t="e">
        <f>VLOOKUP(C:C,[1]基础信息!B$1:D$65536,3,0)</f>
        <v>#N/A</v>
      </c>
      <c r="AM1467" s="1" t="e">
        <f>VLOOKUP(C:C,[1]基础信息!B$1:E$65536,4,0)</f>
        <v>#N/A</v>
      </c>
      <c r="AN1467" s="1" t="e">
        <f>VLOOKUP(C:C,[1]基础信息!B$1:F$65536,5,0)</f>
        <v>#N/A</v>
      </c>
    </row>
    <row r="1468" spans="1:40">
      <c r="A1468" s="1" t="s">
        <v>41</v>
      </c>
      <c r="B1468" s="1" t="s">
        <v>42</v>
      </c>
      <c r="C1468" s="1" t="s">
        <v>1183</v>
      </c>
      <c r="D1468" s="1" t="s">
        <v>1184</v>
      </c>
      <c r="E1468" s="1" t="s">
        <v>45</v>
      </c>
      <c r="F1468" s="1" t="s">
        <v>1185</v>
      </c>
      <c r="G1468" s="1" t="s">
        <v>3419</v>
      </c>
      <c r="H1468" s="1" t="s">
        <v>3420</v>
      </c>
      <c r="I1468" s="1" t="s">
        <v>49</v>
      </c>
      <c r="J1468" s="1" t="s">
        <v>48</v>
      </c>
      <c r="K1468" s="1">
        <v>7</v>
      </c>
      <c r="L1468" s="1">
        <v>0</v>
      </c>
      <c r="M1468" s="1">
        <v>0</v>
      </c>
      <c r="N1468" s="1">
        <v>7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 t="s">
        <v>49</v>
      </c>
      <c r="AA1468" s="1" t="s">
        <v>49</v>
      </c>
      <c r="AB1468" s="1" t="s">
        <v>49</v>
      </c>
      <c r="AC1468" s="1" t="s">
        <v>1188</v>
      </c>
      <c r="AD1468" s="1" t="s">
        <v>1189</v>
      </c>
      <c r="AE1468" s="1" t="s">
        <v>1188</v>
      </c>
      <c r="AF1468" s="1" t="s">
        <v>1190</v>
      </c>
      <c r="AG1468" s="1" t="s">
        <v>53</v>
      </c>
      <c r="AH1468" s="1" t="s">
        <v>49</v>
      </c>
      <c r="AI1468" s="1" t="s">
        <v>54</v>
      </c>
      <c r="AJ1468" s="1">
        <v>1</v>
      </c>
      <c r="AK1468" s="1" t="str">
        <f t="shared" si="22"/>
        <v xml:space="preserve"> =&lt;90</v>
      </c>
      <c r="AL1468" s="1" t="e">
        <f>VLOOKUP(C:C,[1]基础信息!B$1:D$65536,3,0)</f>
        <v>#N/A</v>
      </c>
      <c r="AM1468" s="1" t="e">
        <f>VLOOKUP(C:C,[1]基础信息!B$1:E$65536,4,0)</f>
        <v>#N/A</v>
      </c>
      <c r="AN1468" s="1" t="e">
        <f>VLOOKUP(C:C,[1]基础信息!B$1:F$65536,5,0)</f>
        <v>#N/A</v>
      </c>
    </row>
    <row r="1469" spans="1:40">
      <c r="A1469" s="1" t="s">
        <v>41</v>
      </c>
      <c r="B1469" s="1" t="s">
        <v>42</v>
      </c>
      <c r="C1469" s="1" t="s">
        <v>104</v>
      </c>
      <c r="D1469" s="1" t="s">
        <v>105</v>
      </c>
      <c r="E1469" s="1" t="s">
        <v>104</v>
      </c>
      <c r="F1469" s="1" t="s">
        <v>2441</v>
      </c>
      <c r="G1469" s="1" t="s">
        <v>3421</v>
      </c>
      <c r="H1469" s="1" t="s">
        <v>3422</v>
      </c>
      <c r="I1469" s="1" t="s">
        <v>49</v>
      </c>
      <c r="J1469" s="1" t="s">
        <v>48</v>
      </c>
      <c r="K1469" s="1">
        <v>96</v>
      </c>
      <c r="L1469" s="1">
        <v>0</v>
      </c>
      <c r="M1469" s="1">
        <v>0</v>
      </c>
      <c r="N1469" s="1">
        <v>96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 t="s">
        <v>49</v>
      </c>
      <c r="AA1469" s="1" t="s">
        <v>49</v>
      </c>
      <c r="AB1469" s="1" t="s">
        <v>49</v>
      </c>
      <c r="AC1469" s="1" t="s">
        <v>290</v>
      </c>
      <c r="AD1469" s="1" t="s">
        <v>291</v>
      </c>
      <c r="AE1469" s="1" t="s">
        <v>290</v>
      </c>
      <c r="AF1469" s="1" t="s">
        <v>1605</v>
      </c>
      <c r="AG1469" s="1" t="s">
        <v>53</v>
      </c>
      <c r="AH1469" s="1" t="s">
        <v>49</v>
      </c>
      <c r="AI1469" s="1" t="s">
        <v>54</v>
      </c>
      <c r="AJ1469" s="1">
        <v>1</v>
      </c>
      <c r="AK1469" s="1" t="str">
        <f t="shared" si="22"/>
        <v xml:space="preserve"> =&lt;90</v>
      </c>
      <c r="AL1469" s="1" t="str">
        <f>VLOOKUP(C:C,[1]基础信息!B$1:D$65536,3,0)</f>
        <v>Jug</v>
      </c>
      <c r="AM1469" s="1" t="str">
        <f>VLOOKUP(C:C,[1]基础信息!B$1:E$65536,4,0)</f>
        <v>Marella XL</v>
      </c>
      <c r="AN1469" s="1" t="str">
        <f>VLOOKUP(C:C,[1]基础信息!B$1:F$65536,5,0)</f>
        <v>Blue</v>
      </c>
    </row>
    <row r="1470" spans="1:40">
      <c r="A1470" s="1" t="s">
        <v>41</v>
      </c>
      <c r="B1470" s="1" t="s">
        <v>42</v>
      </c>
      <c r="C1470" s="1" t="s">
        <v>3423</v>
      </c>
      <c r="D1470" s="1" t="s">
        <v>3424</v>
      </c>
      <c r="E1470" s="1" t="s">
        <v>45</v>
      </c>
      <c r="F1470" s="1" t="s">
        <v>3425</v>
      </c>
      <c r="G1470" s="1" t="s">
        <v>3426</v>
      </c>
      <c r="H1470" s="1" t="s">
        <v>3427</v>
      </c>
      <c r="I1470" s="1" t="s">
        <v>49</v>
      </c>
      <c r="J1470" s="1" t="s">
        <v>48</v>
      </c>
      <c r="K1470" s="1">
        <v>12</v>
      </c>
      <c r="L1470" s="1">
        <v>0</v>
      </c>
      <c r="M1470" s="1">
        <v>0</v>
      </c>
      <c r="N1470" s="1">
        <v>12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 t="s">
        <v>49</v>
      </c>
      <c r="AA1470" s="1" t="s">
        <v>49</v>
      </c>
      <c r="AB1470" s="1" t="s">
        <v>49</v>
      </c>
      <c r="AC1470" s="1" t="s">
        <v>1188</v>
      </c>
      <c r="AD1470" s="1" t="s">
        <v>1189</v>
      </c>
      <c r="AE1470" s="1" t="s">
        <v>1188</v>
      </c>
      <c r="AF1470" s="1" t="s">
        <v>1190</v>
      </c>
      <c r="AG1470" s="1" t="s">
        <v>53</v>
      </c>
      <c r="AH1470" s="1" t="s">
        <v>49</v>
      </c>
      <c r="AI1470" s="1" t="s">
        <v>54</v>
      </c>
      <c r="AJ1470" s="1">
        <v>1</v>
      </c>
      <c r="AK1470" s="1" t="str">
        <f t="shared" si="22"/>
        <v xml:space="preserve"> =&lt;90</v>
      </c>
      <c r="AL1470" s="1" t="e">
        <f>VLOOKUP(C:C,[1]基础信息!B$1:D$65536,3,0)</f>
        <v>#N/A</v>
      </c>
      <c r="AM1470" s="1" t="e">
        <f>VLOOKUP(C:C,[1]基础信息!B$1:E$65536,4,0)</f>
        <v>#N/A</v>
      </c>
      <c r="AN1470" s="1" t="e">
        <f>VLOOKUP(C:C,[1]基础信息!B$1:F$65536,5,0)</f>
        <v>#N/A</v>
      </c>
    </row>
    <row r="1471" spans="1:40">
      <c r="A1471" s="1" t="s">
        <v>41</v>
      </c>
      <c r="B1471" s="1" t="s">
        <v>42</v>
      </c>
      <c r="C1471" s="1" t="s">
        <v>3423</v>
      </c>
      <c r="D1471" s="1" t="s">
        <v>3424</v>
      </c>
      <c r="E1471" s="1" t="s">
        <v>45</v>
      </c>
      <c r="F1471" s="1" t="s">
        <v>3425</v>
      </c>
      <c r="G1471" s="1" t="s">
        <v>3428</v>
      </c>
      <c r="H1471" s="1" t="s">
        <v>3429</v>
      </c>
      <c r="I1471" s="1" t="s">
        <v>49</v>
      </c>
      <c r="J1471" s="1" t="s">
        <v>48</v>
      </c>
      <c r="K1471" s="1">
        <v>12</v>
      </c>
      <c r="L1471" s="1">
        <v>0</v>
      </c>
      <c r="M1471" s="1">
        <v>0</v>
      </c>
      <c r="N1471" s="1">
        <v>12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 t="s">
        <v>49</v>
      </c>
      <c r="AA1471" s="1" t="s">
        <v>49</v>
      </c>
      <c r="AB1471" s="1" t="s">
        <v>49</v>
      </c>
      <c r="AC1471" s="1" t="s">
        <v>1188</v>
      </c>
      <c r="AD1471" s="1" t="s">
        <v>1189</v>
      </c>
      <c r="AE1471" s="1" t="s">
        <v>1188</v>
      </c>
      <c r="AF1471" s="1" t="s">
        <v>1190</v>
      </c>
      <c r="AG1471" s="1" t="s">
        <v>53</v>
      </c>
      <c r="AH1471" s="1" t="s">
        <v>49</v>
      </c>
      <c r="AI1471" s="1" t="s">
        <v>54</v>
      </c>
      <c r="AJ1471" s="1">
        <v>1</v>
      </c>
      <c r="AK1471" s="1" t="str">
        <f t="shared" si="22"/>
        <v xml:space="preserve"> =&lt;90</v>
      </c>
      <c r="AL1471" s="1" t="e">
        <f>VLOOKUP(C:C,[1]基础信息!B$1:D$65536,3,0)</f>
        <v>#N/A</v>
      </c>
      <c r="AM1471" s="1" t="e">
        <f>VLOOKUP(C:C,[1]基础信息!B$1:E$65536,4,0)</f>
        <v>#N/A</v>
      </c>
      <c r="AN1471" s="1" t="e">
        <f>VLOOKUP(C:C,[1]基础信息!B$1:F$65536,5,0)</f>
        <v>#N/A</v>
      </c>
    </row>
    <row r="1472" spans="1:40">
      <c r="A1472" s="1" t="s">
        <v>41</v>
      </c>
      <c r="B1472" s="1" t="s">
        <v>42</v>
      </c>
      <c r="C1472" s="1" t="s">
        <v>3423</v>
      </c>
      <c r="D1472" s="1" t="s">
        <v>3424</v>
      </c>
      <c r="E1472" s="1" t="s">
        <v>45</v>
      </c>
      <c r="F1472" s="1" t="s">
        <v>3425</v>
      </c>
      <c r="G1472" s="1" t="s">
        <v>3430</v>
      </c>
      <c r="H1472" s="1" t="s">
        <v>3431</v>
      </c>
      <c r="I1472" s="1" t="s">
        <v>49</v>
      </c>
      <c r="J1472" s="1" t="s">
        <v>48</v>
      </c>
      <c r="K1472" s="1">
        <v>12</v>
      </c>
      <c r="L1472" s="1">
        <v>0</v>
      </c>
      <c r="M1472" s="1">
        <v>0</v>
      </c>
      <c r="N1472" s="1">
        <v>12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 t="s">
        <v>49</v>
      </c>
      <c r="AA1472" s="1" t="s">
        <v>49</v>
      </c>
      <c r="AB1472" s="1" t="s">
        <v>49</v>
      </c>
      <c r="AC1472" s="1" t="s">
        <v>1188</v>
      </c>
      <c r="AD1472" s="1" t="s">
        <v>1189</v>
      </c>
      <c r="AE1472" s="1" t="s">
        <v>1188</v>
      </c>
      <c r="AF1472" s="1" t="s">
        <v>1190</v>
      </c>
      <c r="AG1472" s="1" t="s">
        <v>53</v>
      </c>
      <c r="AH1472" s="1" t="s">
        <v>49</v>
      </c>
      <c r="AI1472" s="1" t="s">
        <v>54</v>
      </c>
      <c r="AJ1472" s="1">
        <v>1</v>
      </c>
      <c r="AK1472" s="1" t="str">
        <f t="shared" si="22"/>
        <v xml:space="preserve"> =&lt;90</v>
      </c>
      <c r="AL1472" s="1" t="e">
        <f>VLOOKUP(C:C,[1]基础信息!B$1:D$65536,3,0)</f>
        <v>#N/A</v>
      </c>
      <c r="AM1472" s="1" t="e">
        <f>VLOOKUP(C:C,[1]基础信息!B$1:E$65536,4,0)</f>
        <v>#N/A</v>
      </c>
      <c r="AN1472" s="1" t="e">
        <f>VLOOKUP(C:C,[1]基础信息!B$1:F$65536,5,0)</f>
        <v>#N/A</v>
      </c>
    </row>
    <row r="1473" spans="1:40">
      <c r="A1473" s="1" t="s">
        <v>41</v>
      </c>
      <c r="B1473" s="1" t="s">
        <v>42</v>
      </c>
      <c r="C1473" s="1" t="s">
        <v>3423</v>
      </c>
      <c r="D1473" s="1" t="s">
        <v>3424</v>
      </c>
      <c r="E1473" s="1" t="s">
        <v>45</v>
      </c>
      <c r="F1473" s="1" t="s">
        <v>3425</v>
      </c>
      <c r="G1473" s="1" t="s">
        <v>3432</v>
      </c>
      <c r="H1473" s="1" t="s">
        <v>3433</v>
      </c>
      <c r="I1473" s="1" t="s">
        <v>49</v>
      </c>
      <c r="J1473" s="1" t="s">
        <v>48</v>
      </c>
      <c r="K1473" s="1">
        <v>12</v>
      </c>
      <c r="L1473" s="1">
        <v>0</v>
      </c>
      <c r="M1473" s="1">
        <v>0</v>
      </c>
      <c r="N1473" s="1">
        <v>12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 t="s">
        <v>49</v>
      </c>
      <c r="AA1473" s="1" t="s">
        <v>49</v>
      </c>
      <c r="AB1473" s="1" t="s">
        <v>49</v>
      </c>
      <c r="AC1473" s="1" t="s">
        <v>1188</v>
      </c>
      <c r="AD1473" s="1" t="s">
        <v>1189</v>
      </c>
      <c r="AE1473" s="1" t="s">
        <v>1188</v>
      </c>
      <c r="AF1473" s="1" t="s">
        <v>1190</v>
      </c>
      <c r="AG1473" s="1" t="s">
        <v>53</v>
      </c>
      <c r="AH1473" s="1" t="s">
        <v>49</v>
      </c>
      <c r="AI1473" s="1" t="s">
        <v>54</v>
      </c>
      <c r="AJ1473" s="1">
        <v>1</v>
      </c>
      <c r="AK1473" s="1" t="str">
        <f t="shared" si="22"/>
        <v xml:space="preserve"> =&lt;90</v>
      </c>
      <c r="AL1473" s="1" t="e">
        <f>VLOOKUP(C:C,[1]基础信息!B$1:D$65536,3,0)</f>
        <v>#N/A</v>
      </c>
      <c r="AM1473" s="1" t="e">
        <f>VLOOKUP(C:C,[1]基础信息!B$1:E$65536,4,0)</f>
        <v>#N/A</v>
      </c>
      <c r="AN1473" s="1" t="e">
        <f>VLOOKUP(C:C,[1]基础信息!B$1:F$65536,5,0)</f>
        <v>#N/A</v>
      </c>
    </row>
    <row r="1474" spans="1:40">
      <c r="A1474" s="1" t="s">
        <v>41</v>
      </c>
      <c r="B1474" s="1" t="s">
        <v>42</v>
      </c>
      <c r="C1474" s="1" t="s">
        <v>3423</v>
      </c>
      <c r="D1474" s="1" t="s">
        <v>3424</v>
      </c>
      <c r="E1474" s="1" t="s">
        <v>45</v>
      </c>
      <c r="F1474" s="1" t="s">
        <v>3425</v>
      </c>
      <c r="G1474" s="1" t="s">
        <v>3434</v>
      </c>
      <c r="H1474" s="1" t="s">
        <v>3435</v>
      </c>
      <c r="I1474" s="1" t="s">
        <v>49</v>
      </c>
      <c r="J1474" s="1" t="s">
        <v>48</v>
      </c>
      <c r="K1474" s="1">
        <v>12</v>
      </c>
      <c r="L1474" s="1">
        <v>0</v>
      </c>
      <c r="M1474" s="1">
        <v>0</v>
      </c>
      <c r="N1474" s="1">
        <v>12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 t="s">
        <v>49</v>
      </c>
      <c r="AA1474" s="1" t="s">
        <v>49</v>
      </c>
      <c r="AB1474" s="1" t="s">
        <v>49</v>
      </c>
      <c r="AC1474" s="1" t="s">
        <v>1188</v>
      </c>
      <c r="AD1474" s="1" t="s">
        <v>1189</v>
      </c>
      <c r="AE1474" s="1" t="s">
        <v>1188</v>
      </c>
      <c r="AF1474" s="1" t="s">
        <v>1190</v>
      </c>
      <c r="AG1474" s="1" t="s">
        <v>53</v>
      </c>
      <c r="AH1474" s="1" t="s">
        <v>49</v>
      </c>
      <c r="AI1474" s="1" t="s">
        <v>54</v>
      </c>
      <c r="AJ1474" s="1">
        <v>1</v>
      </c>
      <c r="AK1474" s="1" t="str">
        <f t="shared" ref="AK1474:AK1537" si="23">IF(AJ1474&gt;$AP$2,$AQ$2,IF(AJ1474&gt;$AP$3,$AQ$3,IF(AJ1474&gt;$AP$4,$AQ$4,$AQ$5)))</f>
        <v xml:space="preserve"> =&lt;90</v>
      </c>
      <c r="AL1474" s="1" t="e">
        <f>VLOOKUP(C:C,[1]基础信息!B$1:D$65536,3,0)</f>
        <v>#N/A</v>
      </c>
      <c r="AM1474" s="1" t="e">
        <f>VLOOKUP(C:C,[1]基础信息!B$1:E$65536,4,0)</f>
        <v>#N/A</v>
      </c>
      <c r="AN1474" s="1" t="e">
        <f>VLOOKUP(C:C,[1]基础信息!B$1:F$65536,5,0)</f>
        <v>#N/A</v>
      </c>
    </row>
    <row r="1475" spans="1:40">
      <c r="A1475" s="1" t="s">
        <v>41</v>
      </c>
      <c r="B1475" s="1" t="s">
        <v>42</v>
      </c>
      <c r="C1475" s="1" t="s">
        <v>409</v>
      </c>
      <c r="D1475" s="1" t="s">
        <v>410</v>
      </c>
      <c r="E1475" s="1" t="s">
        <v>45</v>
      </c>
      <c r="F1475" s="1" t="s">
        <v>3436</v>
      </c>
      <c r="G1475" s="1" t="s">
        <v>3437</v>
      </c>
      <c r="H1475" s="1" t="s">
        <v>3438</v>
      </c>
      <c r="I1475" s="1" t="s">
        <v>49</v>
      </c>
      <c r="J1475" s="1" t="s">
        <v>48</v>
      </c>
      <c r="K1475" s="1">
        <v>4</v>
      </c>
      <c r="L1475" s="1">
        <v>0</v>
      </c>
      <c r="M1475" s="1">
        <v>0</v>
      </c>
      <c r="N1475" s="1">
        <v>4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 t="s">
        <v>49</v>
      </c>
      <c r="AA1475" s="1" t="s">
        <v>49</v>
      </c>
      <c r="AB1475" s="1" t="s">
        <v>49</v>
      </c>
      <c r="AC1475" s="1" t="s">
        <v>1188</v>
      </c>
      <c r="AD1475" s="1" t="s">
        <v>1189</v>
      </c>
      <c r="AE1475" s="1" t="s">
        <v>1188</v>
      </c>
      <c r="AF1475" s="1" t="s">
        <v>1190</v>
      </c>
      <c r="AG1475" s="1" t="s">
        <v>53</v>
      </c>
      <c r="AH1475" s="1" t="s">
        <v>49</v>
      </c>
      <c r="AI1475" s="1" t="s">
        <v>54</v>
      </c>
      <c r="AJ1475" s="1">
        <v>1</v>
      </c>
      <c r="AK1475" s="1" t="str">
        <f t="shared" si="23"/>
        <v xml:space="preserve"> =&lt;90</v>
      </c>
      <c r="AL1475" s="1" t="e">
        <f>VLOOKUP(C:C,[1]基础信息!B$1:D$65536,3,0)</f>
        <v>#N/A</v>
      </c>
      <c r="AM1475" s="1" t="e">
        <f>VLOOKUP(C:C,[1]基础信息!B$1:E$65536,4,0)</f>
        <v>#N/A</v>
      </c>
      <c r="AN1475" s="1" t="e">
        <f>VLOOKUP(C:C,[1]基础信息!B$1:F$65536,5,0)</f>
        <v>#N/A</v>
      </c>
    </row>
    <row r="1476" spans="1:40">
      <c r="A1476" s="1" t="s">
        <v>41</v>
      </c>
      <c r="B1476" s="1" t="s">
        <v>42</v>
      </c>
      <c r="C1476" s="1" t="s">
        <v>208</v>
      </c>
      <c r="D1476" s="1" t="s">
        <v>209</v>
      </c>
      <c r="E1476" s="1" t="s">
        <v>208</v>
      </c>
      <c r="F1476" s="1" t="s">
        <v>3379</v>
      </c>
      <c r="G1476" s="1" t="s">
        <v>3439</v>
      </c>
      <c r="H1476" s="1" t="s">
        <v>3440</v>
      </c>
      <c r="I1476" s="1" t="s">
        <v>49</v>
      </c>
      <c r="J1476" s="1" t="s">
        <v>48</v>
      </c>
      <c r="K1476" s="1">
        <v>80</v>
      </c>
      <c r="L1476" s="1">
        <v>0</v>
      </c>
      <c r="M1476" s="1">
        <v>0</v>
      </c>
      <c r="N1476" s="1">
        <v>80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 t="s">
        <v>49</v>
      </c>
      <c r="AA1476" s="1" t="s">
        <v>49</v>
      </c>
      <c r="AB1476" s="1" t="s">
        <v>49</v>
      </c>
      <c r="AC1476" s="1" t="s">
        <v>1330</v>
      </c>
      <c r="AD1476" s="1" t="s">
        <v>1331</v>
      </c>
      <c r="AE1476" s="1" t="s">
        <v>1330</v>
      </c>
      <c r="AF1476" s="1" t="s">
        <v>3382</v>
      </c>
      <c r="AG1476" s="1" t="s">
        <v>53</v>
      </c>
      <c r="AH1476" s="1" t="s">
        <v>49</v>
      </c>
      <c r="AI1476" s="1" t="s">
        <v>54</v>
      </c>
      <c r="AJ1476" s="1">
        <v>1</v>
      </c>
      <c r="AK1476" s="1" t="str">
        <f t="shared" si="23"/>
        <v xml:space="preserve"> =&lt;90</v>
      </c>
      <c r="AL1476" s="1" t="str">
        <f>VLOOKUP(C:C,[1]基础信息!B$1:D$65536,3,0)</f>
        <v>Jug</v>
      </c>
      <c r="AM1476" s="1" t="str">
        <f>VLOOKUP(C:C,[1]基础信息!B$1:E$65536,4,0)</f>
        <v>MXpl</v>
      </c>
      <c r="AN1476" s="1" t="str">
        <f>VLOOKUP(C:C,[1]基础信息!B$1:F$65536,5,0)</f>
        <v>grey</v>
      </c>
    </row>
    <row r="1477" spans="1:40">
      <c r="A1477" s="1" t="s">
        <v>41</v>
      </c>
      <c r="B1477" s="1" t="s">
        <v>42</v>
      </c>
      <c r="C1477" s="1" t="s">
        <v>208</v>
      </c>
      <c r="D1477" s="1" t="s">
        <v>209</v>
      </c>
      <c r="E1477" s="1" t="s">
        <v>208</v>
      </c>
      <c r="F1477" s="1" t="s">
        <v>3379</v>
      </c>
      <c r="G1477" s="1" t="s">
        <v>3441</v>
      </c>
      <c r="H1477" s="1" t="s">
        <v>3442</v>
      </c>
      <c r="I1477" s="1" t="s">
        <v>49</v>
      </c>
      <c r="J1477" s="1" t="s">
        <v>48</v>
      </c>
      <c r="K1477" s="1">
        <v>80</v>
      </c>
      <c r="L1477" s="1">
        <v>0</v>
      </c>
      <c r="M1477" s="1">
        <v>0</v>
      </c>
      <c r="N1477" s="1">
        <v>80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 t="s">
        <v>49</v>
      </c>
      <c r="AA1477" s="1" t="s">
        <v>49</v>
      </c>
      <c r="AB1477" s="1" t="s">
        <v>49</v>
      </c>
      <c r="AC1477" s="1" t="s">
        <v>1330</v>
      </c>
      <c r="AD1477" s="1" t="s">
        <v>1331</v>
      </c>
      <c r="AE1477" s="1" t="s">
        <v>1330</v>
      </c>
      <c r="AF1477" s="1" t="s">
        <v>3382</v>
      </c>
      <c r="AG1477" s="1" t="s">
        <v>53</v>
      </c>
      <c r="AH1477" s="1" t="s">
        <v>49</v>
      </c>
      <c r="AI1477" s="1" t="s">
        <v>54</v>
      </c>
      <c r="AJ1477" s="1">
        <v>1</v>
      </c>
      <c r="AK1477" s="1" t="str">
        <f t="shared" si="23"/>
        <v xml:space="preserve"> =&lt;90</v>
      </c>
      <c r="AL1477" s="1" t="str">
        <f>VLOOKUP(C:C,[1]基础信息!B$1:D$65536,3,0)</f>
        <v>Jug</v>
      </c>
      <c r="AM1477" s="1" t="str">
        <f>VLOOKUP(C:C,[1]基础信息!B$1:E$65536,4,0)</f>
        <v>MXpl</v>
      </c>
      <c r="AN1477" s="1" t="str">
        <f>VLOOKUP(C:C,[1]基础信息!B$1:F$65536,5,0)</f>
        <v>grey</v>
      </c>
    </row>
    <row r="1478" spans="1:40">
      <c r="A1478" s="1" t="s">
        <v>41</v>
      </c>
      <c r="B1478" s="1" t="s">
        <v>42</v>
      </c>
      <c r="C1478" s="1" t="s">
        <v>208</v>
      </c>
      <c r="D1478" s="1" t="s">
        <v>209</v>
      </c>
      <c r="E1478" s="1" t="s">
        <v>208</v>
      </c>
      <c r="F1478" s="1" t="s">
        <v>3379</v>
      </c>
      <c r="G1478" s="1" t="s">
        <v>3443</v>
      </c>
      <c r="H1478" s="1" t="s">
        <v>3444</v>
      </c>
      <c r="I1478" s="1" t="s">
        <v>49</v>
      </c>
      <c r="J1478" s="1" t="s">
        <v>48</v>
      </c>
      <c r="K1478" s="1">
        <v>80</v>
      </c>
      <c r="L1478" s="1">
        <v>0</v>
      </c>
      <c r="M1478" s="1">
        <v>0</v>
      </c>
      <c r="N1478" s="1">
        <v>80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 t="s">
        <v>49</v>
      </c>
      <c r="AA1478" s="1" t="s">
        <v>49</v>
      </c>
      <c r="AB1478" s="1" t="s">
        <v>49</v>
      </c>
      <c r="AC1478" s="1" t="s">
        <v>1330</v>
      </c>
      <c r="AD1478" s="1" t="s">
        <v>1331</v>
      </c>
      <c r="AE1478" s="1" t="s">
        <v>1330</v>
      </c>
      <c r="AF1478" s="1" t="s">
        <v>3382</v>
      </c>
      <c r="AG1478" s="1" t="s">
        <v>53</v>
      </c>
      <c r="AH1478" s="1" t="s">
        <v>49</v>
      </c>
      <c r="AI1478" s="1" t="s">
        <v>54</v>
      </c>
      <c r="AJ1478" s="1">
        <v>1</v>
      </c>
      <c r="AK1478" s="1" t="str">
        <f t="shared" si="23"/>
        <v xml:space="preserve"> =&lt;90</v>
      </c>
      <c r="AL1478" s="1" t="str">
        <f>VLOOKUP(C:C,[1]基础信息!B$1:D$65536,3,0)</f>
        <v>Jug</v>
      </c>
      <c r="AM1478" s="1" t="str">
        <f>VLOOKUP(C:C,[1]基础信息!B$1:E$65536,4,0)</f>
        <v>MXpl</v>
      </c>
      <c r="AN1478" s="1" t="str">
        <f>VLOOKUP(C:C,[1]基础信息!B$1:F$65536,5,0)</f>
        <v>grey</v>
      </c>
    </row>
    <row r="1479" spans="1:40">
      <c r="A1479" s="1" t="s">
        <v>41</v>
      </c>
      <c r="B1479" s="1" t="s">
        <v>42</v>
      </c>
      <c r="C1479" s="1" t="s">
        <v>1437</v>
      </c>
      <c r="D1479" s="1" t="s">
        <v>1438</v>
      </c>
      <c r="E1479" s="1" t="s">
        <v>45</v>
      </c>
      <c r="F1479" s="1" t="s">
        <v>3445</v>
      </c>
      <c r="G1479" s="1" t="s">
        <v>3446</v>
      </c>
      <c r="H1479" s="1" t="s">
        <v>45</v>
      </c>
      <c r="I1479" s="1" t="s">
        <v>45</v>
      </c>
      <c r="J1479" s="1" t="s">
        <v>48</v>
      </c>
      <c r="K1479" s="1">
        <v>474</v>
      </c>
      <c r="L1479" s="1">
        <v>0</v>
      </c>
      <c r="M1479" s="1">
        <v>0</v>
      </c>
      <c r="N1479" s="1">
        <v>474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 t="s">
        <v>49</v>
      </c>
      <c r="AA1479" s="1" t="s">
        <v>49</v>
      </c>
      <c r="AB1479" s="1" t="s">
        <v>49</v>
      </c>
      <c r="AC1479" s="1" t="s">
        <v>3447</v>
      </c>
      <c r="AD1479" s="1" t="s">
        <v>3448</v>
      </c>
      <c r="AE1479" s="1" t="s">
        <v>3447</v>
      </c>
      <c r="AF1479" s="1" t="s">
        <v>3449</v>
      </c>
      <c r="AG1479" s="1" t="s">
        <v>53</v>
      </c>
      <c r="AH1479" s="1" t="s">
        <v>49</v>
      </c>
      <c r="AI1479" s="1" t="s">
        <v>54</v>
      </c>
      <c r="AJ1479" s="1">
        <v>1</v>
      </c>
      <c r="AK1479" s="1" t="str">
        <f t="shared" si="23"/>
        <v xml:space="preserve"> =&lt;90</v>
      </c>
      <c r="AL1479" s="1" t="str">
        <f>VLOOKUP(C:C,[1]基础信息!B$1:D$65536,3,0)</f>
        <v>On tap</v>
      </c>
      <c r="AM1479" s="1" t="str">
        <f>VLOOKUP(C:C,[1]基础信息!B$1:E$65536,4,0)</f>
        <v>On tap</v>
      </c>
      <c r="AN1479" s="1" t="str">
        <f>VLOOKUP(C:C,[1]基础信息!B$1:F$65536,5,0)</f>
        <v>On tap</v>
      </c>
    </row>
    <row r="1480" spans="1:40">
      <c r="A1480" s="1" t="s">
        <v>41</v>
      </c>
      <c r="B1480" s="1" t="s">
        <v>42</v>
      </c>
      <c r="C1480" s="1" t="s">
        <v>68</v>
      </c>
      <c r="D1480" s="1" t="s">
        <v>69</v>
      </c>
      <c r="E1480" s="1" t="s">
        <v>45</v>
      </c>
      <c r="F1480" s="1" t="s">
        <v>3450</v>
      </c>
      <c r="G1480" s="1" t="s">
        <v>3451</v>
      </c>
      <c r="H1480" s="1" t="s">
        <v>3452</v>
      </c>
      <c r="I1480" s="1" t="s">
        <v>49</v>
      </c>
      <c r="J1480" s="1" t="s">
        <v>48</v>
      </c>
      <c r="K1480" s="1">
        <v>26</v>
      </c>
      <c r="L1480" s="1">
        <v>0</v>
      </c>
      <c r="M1480" s="1">
        <v>0</v>
      </c>
      <c r="N1480" s="1">
        <v>26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 t="s">
        <v>49</v>
      </c>
      <c r="AA1480" s="1" t="s">
        <v>49</v>
      </c>
      <c r="AB1480" s="1" t="s">
        <v>49</v>
      </c>
      <c r="AC1480" s="1" t="s">
        <v>3453</v>
      </c>
      <c r="AD1480" s="1" t="s">
        <v>3454</v>
      </c>
      <c r="AE1480" s="1" t="s">
        <v>3453</v>
      </c>
      <c r="AF1480" s="1" t="s">
        <v>3455</v>
      </c>
      <c r="AG1480" s="1" t="s">
        <v>53</v>
      </c>
      <c r="AH1480" s="1" t="s">
        <v>49</v>
      </c>
      <c r="AI1480" s="1" t="s">
        <v>54</v>
      </c>
      <c r="AJ1480" s="1">
        <v>1</v>
      </c>
      <c r="AK1480" s="1" t="str">
        <f t="shared" si="23"/>
        <v xml:space="preserve"> =&lt;90</v>
      </c>
      <c r="AL1480" s="1" t="str">
        <f>VLOOKUP(C:C,[1]基础信息!B$1:D$65536,3,0)</f>
        <v>Hotcup</v>
      </c>
      <c r="AM1480" s="1" t="str">
        <f>VLOOKUP(C:C,[1]基础信息!B$1:E$65536,4,0)</f>
        <v>Hotcup</v>
      </c>
      <c r="AN1480" s="1" t="str">
        <f>VLOOKUP(C:C,[1]基础信息!B$1:F$65536,5,0)</f>
        <v xml:space="preserve"> Whi</v>
      </c>
    </row>
    <row r="1481" spans="1:40">
      <c r="A1481" s="1" t="s">
        <v>41</v>
      </c>
      <c r="B1481" s="1" t="s">
        <v>42</v>
      </c>
      <c r="C1481" s="1" t="s">
        <v>208</v>
      </c>
      <c r="D1481" s="1" t="s">
        <v>209</v>
      </c>
      <c r="E1481" s="1" t="s">
        <v>208</v>
      </c>
      <c r="F1481" s="1" t="s">
        <v>3379</v>
      </c>
      <c r="G1481" s="1" t="s">
        <v>3456</v>
      </c>
      <c r="H1481" s="1" t="s">
        <v>3457</v>
      </c>
      <c r="I1481" s="1" t="s">
        <v>49</v>
      </c>
      <c r="J1481" s="1" t="s">
        <v>48</v>
      </c>
      <c r="K1481" s="1">
        <v>80</v>
      </c>
      <c r="L1481" s="1">
        <v>0</v>
      </c>
      <c r="M1481" s="1">
        <v>0</v>
      </c>
      <c r="N1481" s="1">
        <v>80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 t="s">
        <v>49</v>
      </c>
      <c r="AA1481" s="1" t="s">
        <v>49</v>
      </c>
      <c r="AB1481" s="1" t="s">
        <v>49</v>
      </c>
      <c r="AC1481" s="1" t="s">
        <v>1330</v>
      </c>
      <c r="AD1481" s="1" t="s">
        <v>1331</v>
      </c>
      <c r="AE1481" s="1" t="s">
        <v>1330</v>
      </c>
      <c r="AF1481" s="1" t="s">
        <v>3382</v>
      </c>
      <c r="AG1481" s="1" t="s">
        <v>53</v>
      </c>
      <c r="AH1481" s="1" t="s">
        <v>49</v>
      </c>
      <c r="AI1481" s="1" t="s">
        <v>54</v>
      </c>
      <c r="AJ1481" s="1">
        <v>1</v>
      </c>
      <c r="AK1481" s="1" t="str">
        <f t="shared" si="23"/>
        <v xml:space="preserve"> =&lt;90</v>
      </c>
      <c r="AL1481" s="1" t="str">
        <f>VLOOKUP(C:C,[1]基础信息!B$1:D$65536,3,0)</f>
        <v>Jug</v>
      </c>
      <c r="AM1481" s="1" t="str">
        <f>VLOOKUP(C:C,[1]基础信息!B$1:E$65536,4,0)</f>
        <v>MXpl</v>
      </c>
      <c r="AN1481" s="1" t="str">
        <f>VLOOKUP(C:C,[1]基础信息!B$1:F$65536,5,0)</f>
        <v>grey</v>
      </c>
    </row>
    <row r="1482" spans="1:40">
      <c r="A1482" s="1" t="s">
        <v>41</v>
      </c>
      <c r="B1482" s="1" t="s">
        <v>42</v>
      </c>
      <c r="C1482" s="1" t="s">
        <v>208</v>
      </c>
      <c r="D1482" s="1" t="s">
        <v>209</v>
      </c>
      <c r="E1482" s="1" t="s">
        <v>208</v>
      </c>
      <c r="F1482" s="1" t="s">
        <v>3379</v>
      </c>
      <c r="G1482" s="1" t="s">
        <v>3458</v>
      </c>
      <c r="H1482" s="1" t="s">
        <v>3459</v>
      </c>
      <c r="I1482" s="1" t="s">
        <v>49</v>
      </c>
      <c r="J1482" s="1" t="s">
        <v>48</v>
      </c>
      <c r="K1482" s="1">
        <v>80</v>
      </c>
      <c r="L1482" s="1">
        <v>0</v>
      </c>
      <c r="M1482" s="1">
        <v>0</v>
      </c>
      <c r="N1482" s="1">
        <v>80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 t="s">
        <v>49</v>
      </c>
      <c r="AA1482" s="1" t="s">
        <v>49</v>
      </c>
      <c r="AB1482" s="1" t="s">
        <v>49</v>
      </c>
      <c r="AC1482" s="1" t="s">
        <v>1330</v>
      </c>
      <c r="AD1482" s="1" t="s">
        <v>1331</v>
      </c>
      <c r="AE1482" s="1" t="s">
        <v>1330</v>
      </c>
      <c r="AF1482" s="1" t="s">
        <v>3382</v>
      </c>
      <c r="AG1482" s="1" t="s">
        <v>53</v>
      </c>
      <c r="AH1482" s="1" t="s">
        <v>49</v>
      </c>
      <c r="AI1482" s="1" t="s">
        <v>54</v>
      </c>
      <c r="AJ1482" s="1">
        <v>1</v>
      </c>
      <c r="AK1482" s="1" t="str">
        <f t="shared" si="23"/>
        <v xml:space="preserve"> =&lt;90</v>
      </c>
      <c r="AL1482" s="1" t="str">
        <f>VLOOKUP(C:C,[1]基础信息!B$1:D$65536,3,0)</f>
        <v>Jug</v>
      </c>
      <c r="AM1482" s="1" t="str">
        <f>VLOOKUP(C:C,[1]基础信息!B$1:E$65536,4,0)</f>
        <v>MXpl</v>
      </c>
      <c r="AN1482" s="1" t="str">
        <f>VLOOKUP(C:C,[1]基础信息!B$1:F$65536,5,0)</f>
        <v>grey</v>
      </c>
    </row>
    <row r="1483" spans="1:40">
      <c r="A1483" s="1" t="s">
        <v>41</v>
      </c>
      <c r="B1483" s="1" t="s">
        <v>42</v>
      </c>
      <c r="C1483" s="1" t="s">
        <v>301</v>
      </c>
      <c r="D1483" s="1" t="s">
        <v>302</v>
      </c>
      <c r="E1483" s="1" t="s">
        <v>45</v>
      </c>
      <c r="F1483" s="1" t="s">
        <v>3460</v>
      </c>
      <c r="G1483" s="1" t="s">
        <v>3461</v>
      </c>
      <c r="H1483" s="1" t="s">
        <v>45</v>
      </c>
      <c r="I1483" s="1" t="s">
        <v>45</v>
      </c>
      <c r="J1483" s="1" t="s">
        <v>48</v>
      </c>
      <c r="K1483" s="1">
        <v>70</v>
      </c>
      <c r="L1483" s="1">
        <v>0</v>
      </c>
      <c r="M1483" s="1">
        <v>0</v>
      </c>
      <c r="N1483" s="1">
        <v>70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 t="s">
        <v>49</v>
      </c>
      <c r="AA1483" s="1" t="s">
        <v>49</v>
      </c>
      <c r="AB1483" s="1" t="s">
        <v>49</v>
      </c>
      <c r="AC1483" s="1" t="s">
        <v>3462</v>
      </c>
      <c r="AD1483" s="1" t="s">
        <v>3463</v>
      </c>
      <c r="AE1483" s="1" t="s">
        <v>3462</v>
      </c>
      <c r="AF1483" s="1" t="s">
        <v>49</v>
      </c>
      <c r="AG1483" s="1" t="s">
        <v>3464</v>
      </c>
      <c r="AH1483" s="1" t="s">
        <v>49</v>
      </c>
      <c r="AI1483" s="1" t="s">
        <v>54</v>
      </c>
      <c r="AJ1483" s="1">
        <v>1</v>
      </c>
      <c r="AK1483" s="1" t="str">
        <f t="shared" si="23"/>
        <v xml:space="preserve"> =&lt;90</v>
      </c>
      <c r="AL1483" s="1" t="str">
        <f>VLOOKUP(C:C,[1]基础信息!B$1:D$65536,3,0)</f>
        <v>Jug</v>
      </c>
      <c r="AM1483" s="1" t="str">
        <f>VLOOKUP(C:C,[1]基础信息!B$1:E$65536,4,0)</f>
        <v>Aluna</v>
      </c>
      <c r="AN1483" s="1" t="str">
        <f>VLOOKUP(C:C,[1]基础信息!B$1:F$65536,5,0)</f>
        <v>Blue</v>
      </c>
    </row>
    <row r="1484" spans="1:40">
      <c r="A1484" s="1" t="s">
        <v>41</v>
      </c>
      <c r="B1484" s="1" t="s">
        <v>42</v>
      </c>
      <c r="C1484" s="1" t="s">
        <v>208</v>
      </c>
      <c r="D1484" s="1" t="s">
        <v>209</v>
      </c>
      <c r="E1484" s="1" t="s">
        <v>208</v>
      </c>
      <c r="F1484" s="1" t="s">
        <v>3379</v>
      </c>
      <c r="G1484" s="1" t="s">
        <v>3465</v>
      </c>
      <c r="H1484" s="1" t="s">
        <v>3466</v>
      </c>
      <c r="I1484" s="1" t="s">
        <v>49</v>
      </c>
      <c r="J1484" s="1" t="s">
        <v>48</v>
      </c>
      <c r="K1484" s="1">
        <v>80</v>
      </c>
      <c r="L1484" s="1">
        <v>0</v>
      </c>
      <c r="M1484" s="1">
        <v>0</v>
      </c>
      <c r="N1484" s="1">
        <v>80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 t="s">
        <v>49</v>
      </c>
      <c r="AA1484" s="1" t="s">
        <v>49</v>
      </c>
      <c r="AB1484" s="1" t="s">
        <v>49</v>
      </c>
      <c r="AC1484" s="1" t="s">
        <v>1330</v>
      </c>
      <c r="AD1484" s="1" t="s">
        <v>1331</v>
      </c>
      <c r="AE1484" s="1" t="s">
        <v>1330</v>
      </c>
      <c r="AF1484" s="1" t="s">
        <v>3382</v>
      </c>
      <c r="AG1484" s="1" t="s">
        <v>53</v>
      </c>
      <c r="AH1484" s="1" t="s">
        <v>49</v>
      </c>
      <c r="AI1484" s="1" t="s">
        <v>54</v>
      </c>
      <c r="AJ1484" s="1">
        <v>1</v>
      </c>
      <c r="AK1484" s="1" t="str">
        <f t="shared" si="23"/>
        <v xml:space="preserve"> =&lt;90</v>
      </c>
      <c r="AL1484" s="1" t="str">
        <f>VLOOKUP(C:C,[1]基础信息!B$1:D$65536,3,0)</f>
        <v>Jug</v>
      </c>
      <c r="AM1484" s="1" t="str">
        <f>VLOOKUP(C:C,[1]基础信息!B$1:E$65536,4,0)</f>
        <v>MXpl</v>
      </c>
      <c r="AN1484" s="1" t="str">
        <f>VLOOKUP(C:C,[1]基础信息!B$1:F$65536,5,0)</f>
        <v>grey</v>
      </c>
    </row>
    <row r="1485" spans="1:40">
      <c r="A1485" s="1" t="s">
        <v>41</v>
      </c>
      <c r="B1485" s="1" t="s">
        <v>42</v>
      </c>
      <c r="C1485" s="1" t="s">
        <v>208</v>
      </c>
      <c r="D1485" s="1" t="s">
        <v>209</v>
      </c>
      <c r="E1485" s="1" t="s">
        <v>208</v>
      </c>
      <c r="F1485" s="1" t="s">
        <v>3379</v>
      </c>
      <c r="G1485" s="1" t="s">
        <v>3467</v>
      </c>
      <c r="H1485" s="1" t="s">
        <v>3468</v>
      </c>
      <c r="I1485" s="1" t="s">
        <v>49</v>
      </c>
      <c r="J1485" s="1" t="s">
        <v>48</v>
      </c>
      <c r="K1485" s="1">
        <v>80</v>
      </c>
      <c r="L1485" s="1">
        <v>0</v>
      </c>
      <c r="M1485" s="1">
        <v>0</v>
      </c>
      <c r="N1485" s="1">
        <v>80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 t="s">
        <v>49</v>
      </c>
      <c r="AA1485" s="1" t="s">
        <v>49</v>
      </c>
      <c r="AB1485" s="1" t="s">
        <v>49</v>
      </c>
      <c r="AC1485" s="1" t="s">
        <v>1330</v>
      </c>
      <c r="AD1485" s="1" t="s">
        <v>1331</v>
      </c>
      <c r="AE1485" s="1" t="s">
        <v>1330</v>
      </c>
      <c r="AF1485" s="1" t="s">
        <v>3382</v>
      </c>
      <c r="AG1485" s="1" t="s">
        <v>53</v>
      </c>
      <c r="AH1485" s="1" t="s">
        <v>49</v>
      </c>
      <c r="AI1485" s="1" t="s">
        <v>54</v>
      </c>
      <c r="AJ1485" s="1">
        <v>1</v>
      </c>
      <c r="AK1485" s="1" t="str">
        <f t="shared" si="23"/>
        <v xml:space="preserve"> =&lt;90</v>
      </c>
      <c r="AL1485" s="1" t="str">
        <f>VLOOKUP(C:C,[1]基础信息!B$1:D$65536,3,0)</f>
        <v>Jug</v>
      </c>
      <c r="AM1485" s="1" t="str">
        <f>VLOOKUP(C:C,[1]基础信息!B$1:E$65536,4,0)</f>
        <v>MXpl</v>
      </c>
      <c r="AN1485" s="1" t="str">
        <f>VLOOKUP(C:C,[1]基础信息!B$1:F$65536,5,0)</f>
        <v>grey</v>
      </c>
    </row>
    <row r="1486" spans="1:40">
      <c r="A1486" s="1" t="s">
        <v>41</v>
      </c>
      <c r="B1486" s="1" t="s">
        <v>42</v>
      </c>
      <c r="C1486" s="1" t="s">
        <v>208</v>
      </c>
      <c r="D1486" s="1" t="s">
        <v>209</v>
      </c>
      <c r="E1486" s="1" t="s">
        <v>208</v>
      </c>
      <c r="F1486" s="1" t="s">
        <v>3379</v>
      </c>
      <c r="G1486" s="1" t="s">
        <v>3469</v>
      </c>
      <c r="H1486" s="1" t="s">
        <v>3470</v>
      </c>
      <c r="I1486" s="1" t="s">
        <v>49</v>
      </c>
      <c r="J1486" s="1" t="s">
        <v>48</v>
      </c>
      <c r="K1486" s="1">
        <v>80</v>
      </c>
      <c r="L1486" s="1">
        <v>0</v>
      </c>
      <c r="M1486" s="1">
        <v>0</v>
      </c>
      <c r="N1486" s="1">
        <v>80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 t="s">
        <v>49</v>
      </c>
      <c r="AA1486" s="1" t="s">
        <v>49</v>
      </c>
      <c r="AB1486" s="1" t="s">
        <v>49</v>
      </c>
      <c r="AC1486" s="1" t="s">
        <v>1330</v>
      </c>
      <c r="AD1486" s="1" t="s">
        <v>1331</v>
      </c>
      <c r="AE1486" s="1" t="s">
        <v>1330</v>
      </c>
      <c r="AF1486" s="1" t="s">
        <v>3382</v>
      </c>
      <c r="AG1486" s="1" t="s">
        <v>53</v>
      </c>
      <c r="AH1486" s="1" t="s">
        <v>49</v>
      </c>
      <c r="AI1486" s="1" t="s">
        <v>54</v>
      </c>
      <c r="AJ1486" s="1">
        <v>1</v>
      </c>
      <c r="AK1486" s="1" t="str">
        <f t="shared" si="23"/>
        <v xml:space="preserve"> =&lt;90</v>
      </c>
      <c r="AL1486" s="1" t="str">
        <f>VLOOKUP(C:C,[1]基础信息!B$1:D$65536,3,0)</f>
        <v>Jug</v>
      </c>
      <c r="AM1486" s="1" t="str">
        <f>VLOOKUP(C:C,[1]基础信息!B$1:E$65536,4,0)</f>
        <v>MXpl</v>
      </c>
      <c r="AN1486" s="1" t="str">
        <f>VLOOKUP(C:C,[1]基础信息!B$1:F$65536,5,0)</f>
        <v>grey</v>
      </c>
    </row>
    <row r="1487" spans="1:40">
      <c r="A1487" s="1" t="s">
        <v>41</v>
      </c>
      <c r="B1487" s="1" t="s">
        <v>42</v>
      </c>
      <c r="C1487" s="1" t="s">
        <v>43</v>
      </c>
      <c r="D1487" s="1" t="s">
        <v>44</v>
      </c>
      <c r="E1487" s="1" t="s">
        <v>45</v>
      </c>
      <c r="F1487" s="1" t="s">
        <v>2019</v>
      </c>
      <c r="G1487" s="1" t="s">
        <v>3471</v>
      </c>
      <c r="H1487" s="1" t="s">
        <v>3472</v>
      </c>
      <c r="I1487" s="1" t="s">
        <v>49</v>
      </c>
      <c r="J1487" s="1" t="s">
        <v>48</v>
      </c>
      <c r="K1487" s="1">
        <v>96</v>
      </c>
      <c r="L1487" s="1">
        <v>0</v>
      </c>
      <c r="M1487" s="1">
        <v>0</v>
      </c>
      <c r="N1487" s="1">
        <v>96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 t="s">
        <v>49</v>
      </c>
      <c r="AA1487" s="1" t="s">
        <v>49</v>
      </c>
      <c r="AB1487" s="1" t="s">
        <v>49</v>
      </c>
      <c r="AC1487" s="1" t="s">
        <v>2022</v>
      </c>
      <c r="AD1487" s="1" t="s">
        <v>2023</v>
      </c>
      <c r="AE1487" s="1" t="s">
        <v>2022</v>
      </c>
      <c r="AF1487" s="1" t="s">
        <v>2024</v>
      </c>
      <c r="AG1487" s="1" t="s">
        <v>53</v>
      </c>
      <c r="AH1487" s="1" t="s">
        <v>49</v>
      </c>
      <c r="AI1487" s="1" t="s">
        <v>54</v>
      </c>
      <c r="AJ1487" s="1">
        <v>1</v>
      </c>
      <c r="AK1487" s="1" t="str">
        <f t="shared" si="23"/>
        <v xml:space="preserve"> =&lt;90</v>
      </c>
      <c r="AL1487" s="1" t="str">
        <f>VLOOKUP(C:C,[1]基础信息!B$1:D$65536,3,0)</f>
        <v>Jug</v>
      </c>
      <c r="AM1487" s="1" t="str">
        <f>VLOOKUP(C:C,[1]基础信息!B$1:E$65536,4,0)</f>
        <v>Marella XL</v>
      </c>
      <c r="AN1487" s="1" t="str">
        <f>VLOOKUP(C:C,[1]基础信息!B$1:F$65536,5,0)</f>
        <v>Black</v>
      </c>
    </row>
    <row r="1488" spans="1:40">
      <c r="A1488" s="1" t="s">
        <v>41</v>
      </c>
      <c r="B1488" s="1" t="s">
        <v>42</v>
      </c>
      <c r="C1488" s="1" t="s">
        <v>1383</v>
      </c>
      <c r="D1488" s="1" t="s">
        <v>1384</v>
      </c>
      <c r="E1488" s="1" t="s">
        <v>45</v>
      </c>
      <c r="F1488" s="1" t="s">
        <v>3473</v>
      </c>
      <c r="G1488" s="1" t="s">
        <v>3474</v>
      </c>
      <c r="H1488" s="1" t="s">
        <v>45</v>
      </c>
      <c r="I1488" s="1" t="s">
        <v>45</v>
      </c>
      <c r="J1488" s="1" t="s">
        <v>48</v>
      </c>
      <c r="K1488" s="1">
        <v>96</v>
      </c>
      <c r="L1488" s="1">
        <v>0</v>
      </c>
      <c r="M1488" s="1">
        <v>0</v>
      </c>
      <c r="N1488" s="1">
        <v>96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 t="s">
        <v>49</v>
      </c>
      <c r="AA1488" s="1" t="s">
        <v>49</v>
      </c>
      <c r="AB1488" s="1" t="s">
        <v>49</v>
      </c>
      <c r="AC1488" s="1" t="s">
        <v>3462</v>
      </c>
      <c r="AD1488" s="1" t="s">
        <v>3463</v>
      </c>
      <c r="AE1488" s="1" t="s">
        <v>3462</v>
      </c>
      <c r="AF1488" s="1" t="s">
        <v>49</v>
      </c>
      <c r="AG1488" s="1" t="s">
        <v>3464</v>
      </c>
      <c r="AH1488" s="1" t="s">
        <v>49</v>
      </c>
      <c r="AI1488" s="1" t="s">
        <v>54</v>
      </c>
      <c r="AJ1488" s="1">
        <v>1</v>
      </c>
      <c r="AK1488" s="1" t="str">
        <f t="shared" si="23"/>
        <v xml:space="preserve"> =&lt;90</v>
      </c>
      <c r="AL1488" s="1" t="str">
        <f>VLOOKUP(C:C,[1]基础信息!B$1:D$65536,3,0)</f>
        <v>Jug</v>
      </c>
      <c r="AM1488" s="1" t="str">
        <f>VLOOKUP(C:C,[1]基础信息!B$1:E$65536,4,0)</f>
        <v>Mxplus</v>
      </c>
      <c r="AN1488" s="1" t="str">
        <f>VLOOKUP(C:C,[1]基础信息!B$1:F$65536,5,0)</f>
        <v>White</v>
      </c>
    </row>
    <row r="1489" spans="1:40">
      <c r="A1489" s="1" t="s">
        <v>41</v>
      </c>
      <c r="B1489" s="1" t="s">
        <v>42</v>
      </c>
      <c r="C1489" s="1" t="s">
        <v>208</v>
      </c>
      <c r="D1489" s="1" t="s">
        <v>209</v>
      </c>
      <c r="E1489" s="1" t="s">
        <v>208</v>
      </c>
      <c r="F1489" s="1" t="s">
        <v>3379</v>
      </c>
      <c r="G1489" s="1" t="s">
        <v>3475</v>
      </c>
      <c r="H1489" s="1" t="s">
        <v>3476</v>
      </c>
      <c r="I1489" s="1" t="s">
        <v>49</v>
      </c>
      <c r="J1489" s="1" t="s">
        <v>48</v>
      </c>
      <c r="K1489" s="1">
        <v>80</v>
      </c>
      <c r="L1489" s="1">
        <v>0</v>
      </c>
      <c r="M1489" s="1">
        <v>0</v>
      </c>
      <c r="N1489" s="1">
        <v>80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 t="s">
        <v>49</v>
      </c>
      <c r="AA1489" s="1" t="s">
        <v>49</v>
      </c>
      <c r="AB1489" s="1" t="s">
        <v>49</v>
      </c>
      <c r="AC1489" s="1" t="s">
        <v>1330</v>
      </c>
      <c r="AD1489" s="1" t="s">
        <v>1331</v>
      </c>
      <c r="AE1489" s="1" t="s">
        <v>1330</v>
      </c>
      <c r="AF1489" s="1" t="s">
        <v>3382</v>
      </c>
      <c r="AG1489" s="1" t="s">
        <v>53</v>
      </c>
      <c r="AH1489" s="1" t="s">
        <v>49</v>
      </c>
      <c r="AI1489" s="1" t="s">
        <v>54</v>
      </c>
      <c r="AJ1489" s="1">
        <v>1</v>
      </c>
      <c r="AK1489" s="1" t="str">
        <f t="shared" si="23"/>
        <v xml:space="preserve"> =&lt;90</v>
      </c>
      <c r="AL1489" s="1" t="str">
        <f>VLOOKUP(C:C,[1]基础信息!B$1:D$65536,3,0)</f>
        <v>Jug</v>
      </c>
      <c r="AM1489" s="1" t="str">
        <f>VLOOKUP(C:C,[1]基础信息!B$1:E$65536,4,0)</f>
        <v>MXpl</v>
      </c>
      <c r="AN1489" s="1" t="str">
        <f>VLOOKUP(C:C,[1]基础信息!B$1:F$65536,5,0)</f>
        <v>grey</v>
      </c>
    </row>
    <row r="1490" spans="1:40">
      <c r="A1490" s="1" t="s">
        <v>41</v>
      </c>
      <c r="B1490" s="1" t="s">
        <v>42</v>
      </c>
      <c r="C1490" s="1" t="s">
        <v>208</v>
      </c>
      <c r="D1490" s="1" t="s">
        <v>209</v>
      </c>
      <c r="E1490" s="1" t="s">
        <v>208</v>
      </c>
      <c r="F1490" s="1" t="s">
        <v>3379</v>
      </c>
      <c r="G1490" s="1" t="s">
        <v>3477</v>
      </c>
      <c r="H1490" s="1" t="s">
        <v>3478</v>
      </c>
      <c r="I1490" s="1" t="s">
        <v>49</v>
      </c>
      <c r="J1490" s="1" t="s">
        <v>48</v>
      </c>
      <c r="K1490" s="1">
        <v>80</v>
      </c>
      <c r="L1490" s="1">
        <v>0</v>
      </c>
      <c r="M1490" s="1">
        <v>0</v>
      </c>
      <c r="N1490" s="1">
        <v>80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 t="s">
        <v>49</v>
      </c>
      <c r="AA1490" s="1" t="s">
        <v>49</v>
      </c>
      <c r="AB1490" s="1" t="s">
        <v>49</v>
      </c>
      <c r="AC1490" s="1" t="s">
        <v>1330</v>
      </c>
      <c r="AD1490" s="1" t="s">
        <v>1331</v>
      </c>
      <c r="AE1490" s="1" t="s">
        <v>1330</v>
      </c>
      <c r="AF1490" s="1" t="s">
        <v>3382</v>
      </c>
      <c r="AG1490" s="1" t="s">
        <v>53</v>
      </c>
      <c r="AH1490" s="1" t="s">
        <v>49</v>
      </c>
      <c r="AI1490" s="1" t="s">
        <v>54</v>
      </c>
      <c r="AJ1490" s="1">
        <v>1</v>
      </c>
      <c r="AK1490" s="1" t="str">
        <f t="shared" si="23"/>
        <v xml:space="preserve"> =&lt;90</v>
      </c>
      <c r="AL1490" s="1" t="str">
        <f>VLOOKUP(C:C,[1]基础信息!B$1:D$65536,3,0)</f>
        <v>Jug</v>
      </c>
      <c r="AM1490" s="1" t="str">
        <f>VLOOKUP(C:C,[1]基础信息!B$1:E$65536,4,0)</f>
        <v>MXpl</v>
      </c>
      <c r="AN1490" s="1" t="str">
        <f>VLOOKUP(C:C,[1]基础信息!B$1:F$65536,5,0)</f>
        <v>grey</v>
      </c>
    </row>
    <row r="1491" spans="1:40">
      <c r="A1491" s="1" t="s">
        <v>41</v>
      </c>
      <c r="B1491" s="1" t="s">
        <v>42</v>
      </c>
      <c r="C1491" s="1" t="s">
        <v>1710</v>
      </c>
      <c r="D1491" s="1" t="s">
        <v>1711</v>
      </c>
      <c r="E1491" s="1" t="s">
        <v>45</v>
      </c>
      <c r="F1491" s="1" t="s">
        <v>2590</v>
      </c>
      <c r="G1491" s="1" t="s">
        <v>3479</v>
      </c>
      <c r="H1491" s="1" t="s">
        <v>3480</v>
      </c>
      <c r="I1491" s="1" t="s">
        <v>49</v>
      </c>
      <c r="J1491" s="1" t="s">
        <v>48</v>
      </c>
      <c r="K1491" s="1">
        <v>60</v>
      </c>
      <c r="L1491" s="1">
        <v>0</v>
      </c>
      <c r="M1491" s="1">
        <v>0</v>
      </c>
      <c r="N1491" s="1">
        <v>60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 t="s">
        <v>49</v>
      </c>
      <c r="AA1491" s="1" t="s">
        <v>49</v>
      </c>
      <c r="AB1491" s="1" t="s">
        <v>49</v>
      </c>
      <c r="AC1491" s="1" t="s">
        <v>1008</v>
      </c>
      <c r="AD1491" s="1" t="s">
        <v>1009</v>
      </c>
      <c r="AE1491" s="1" t="s">
        <v>1008</v>
      </c>
      <c r="AF1491" s="1" t="s">
        <v>2593</v>
      </c>
      <c r="AG1491" s="1" t="s">
        <v>53</v>
      </c>
      <c r="AH1491" s="1" t="s">
        <v>49</v>
      </c>
      <c r="AI1491" s="1" t="s">
        <v>54</v>
      </c>
      <c r="AJ1491" s="1">
        <v>1</v>
      </c>
      <c r="AK1491" s="1" t="str">
        <f t="shared" si="23"/>
        <v xml:space="preserve"> =&lt;90</v>
      </c>
      <c r="AL1491" s="1" t="str">
        <f>VLOOKUP(C:C,[1]基础信息!B$1:D$65536,3,0)</f>
        <v>Jug</v>
      </c>
      <c r="AM1491" s="1" t="str">
        <f>VLOOKUP(C:C,[1]基础信息!B$1:E$65536,4,0)</f>
        <v>Kalea XL ME4W</v>
      </c>
      <c r="AN1491" s="1" t="str">
        <f>VLOOKUP(C:C,[1]基础信息!B$1:F$65536,5,0)</f>
        <v>grey</v>
      </c>
    </row>
    <row r="1492" spans="1:40">
      <c r="A1492" s="1" t="s">
        <v>41</v>
      </c>
      <c r="B1492" s="1" t="s">
        <v>42</v>
      </c>
      <c r="C1492" s="1" t="s">
        <v>1437</v>
      </c>
      <c r="D1492" s="1" t="s">
        <v>1438</v>
      </c>
      <c r="E1492" s="1" t="s">
        <v>45</v>
      </c>
      <c r="F1492" s="1" t="s">
        <v>3445</v>
      </c>
      <c r="G1492" s="1" t="s">
        <v>3481</v>
      </c>
      <c r="H1492" s="1" t="s">
        <v>45</v>
      </c>
      <c r="I1492" s="1" t="s">
        <v>45</v>
      </c>
      <c r="J1492" s="1" t="s">
        <v>48</v>
      </c>
      <c r="K1492" s="1">
        <v>540</v>
      </c>
      <c r="L1492" s="1">
        <v>0</v>
      </c>
      <c r="M1492" s="1">
        <v>0</v>
      </c>
      <c r="N1492" s="1">
        <v>540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 t="s">
        <v>49</v>
      </c>
      <c r="AA1492" s="1" t="s">
        <v>49</v>
      </c>
      <c r="AB1492" s="1" t="s">
        <v>49</v>
      </c>
      <c r="AC1492" s="1" t="s">
        <v>3447</v>
      </c>
      <c r="AD1492" s="1" t="s">
        <v>3448</v>
      </c>
      <c r="AE1492" s="1" t="s">
        <v>3447</v>
      </c>
      <c r="AF1492" s="1" t="s">
        <v>3449</v>
      </c>
      <c r="AG1492" s="1" t="s">
        <v>53</v>
      </c>
      <c r="AH1492" s="1" t="s">
        <v>49</v>
      </c>
      <c r="AI1492" s="1" t="s">
        <v>54</v>
      </c>
      <c r="AJ1492" s="1">
        <v>1</v>
      </c>
      <c r="AK1492" s="1" t="str">
        <f t="shared" si="23"/>
        <v xml:space="preserve"> =&lt;90</v>
      </c>
      <c r="AL1492" s="1" t="str">
        <f>VLOOKUP(C:C,[1]基础信息!B$1:D$65536,3,0)</f>
        <v>On tap</v>
      </c>
      <c r="AM1492" s="1" t="str">
        <f>VLOOKUP(C:C,[1]基础信息!B$1:E$65536,4,0)</f>
        <v>On tap</v>
      </c>
      <c r="AN1492" s="1" t="str">
        <f>VLOOKUP(C:C,[1]基础信息!B$1:F$65536,5,0)</f>
        <v>On tap</v>
      </c>
    </row>
    <row r="1493" spans="1:40">
      <c r="A1493" s="1" t="s">
        <v>41</v>
      </c>
      <c r="B1493" s="1" t="s">
        <v>42</v>
      </c>
      <c r="C1493" s="1" t="s">
        <v>451</v>
      </c>
      <c r="D1493" s="1" t="s">
        <v>452</v>
      </c>
      <c r="E1493" s="1" t="s">
        <v>45</v>
      </c>
      <c r="F1493" s="1" t="s">
        <v>1988</v>
      </c>
      <c r="G1493" s="1" t="s">
        <v>3482</v>
      </c>
      <c r="H1493" s="1" t="s">
        <v>3483</v>
      </c>
      <c r="I1493" s="1" t="s">
        <v>49</v>
      </c>
      <c r="J1493" s="1" t="s">
        <v>48</v>
      </c>
      <c r="K1493" s="1">
        <v>25</v>
      </c>
      <c r="L1493" s="1">
        <v>0</v>
      </c>
      <c r="M1493" s="1">
        <v>0</v>
      </c>
      <c r="N1493" s="1">
        <v>25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 t="s">
        <v>49</v>
      </c>
      <c r="AA1493" s="1" t="s">
        <v>49</v>
      </c>
      <c r="AB1493" s="1" t="s">
        <v>49</v>
      </c>
      <c r="AC1493" s="1" t="s">
        <v>1991</v>
      </c>
      <c r="AD1493" s="1" t="s">
        <v>1992</v>
      </c>
      <c r="AE1493" s="1" t="s">
        <v>1991</v>
      </c>
      <c r="AF1493" s="1" t="s">
        <v>458</v>
      </c>
      <c r="AG1493" s="1" t="s">
        <v>53</v>
      </c>
      <c r="AH1493" s="1" t="s">
        <v>49</v>
      </c>
      <c r="AI1493" s="1" t="s">
        <v>54</v>
      </c>
      <c r="AJ1493" s="1">
        <v>1</v>
      </c>
      <c r="AK1493" s="1" t="str">
        <f t="shared" si="23"/>
        <v xml:space="preserve"> =&lt;90</v>
      </c>
      <c r="AL1493" s="1" t="str">
        <f>VLOOKUP(C:C,[1]基础信息!B$1:D$65536,3,0)</f>
        <v>UTS</v>
      </c>
      <c r="AM1493" s="1" t="str">
        <f>VLOOKUP(C:C,[1]基础信息!B$1:E$65536,4,0)</f>
        <v>MyPure</v>
      </c>
      <c r="AN1493" s="1" t="str">
        <f>VLOOKUP(C:C,[1]基础信息!B$1:F$65536,5,0)</f>
        <v>R8</v>
      </c>
    </row>
    <row r="1494" spans="1:40">
      <c r="A1494" s="1" t="s">
        <v>41</v>
      </c>
      <c r="B1494" s="1" t="s">
        <v>42</v>
      </c>
      <c r="C1494" s="1" t="s">
        <v>451</v>
      </c>
      <c r="D1494" s="1" t="s">
        <v>452</v>
      </c>
      <c r="E1494" s="1" t="s">
        <v>45</v>
      </c>
      <c r="F1494" s="1" t="s">
        <v>1988</v>
      </c>
      <c r="G1494" s="1" t="s">
        <v>3484</v>
      </c>
      <c r="H1494" s="1" t="s">
        <v>3485</v>
      </c>
      <c r="I1494" s="1" t="s">
        <v>49</v>
      </c>
      <c r="J1494" s="1" t="s">
        <v>48</v>
      </c>
      <c r="K1494" s="1">
        <v>25</v>
      </c>
      <c r="L1494" s="1">
        <v>0</v>
      </c>
      <c r="M1494" s="1">
        <v>0</v>
      </c>
      <c r="N1494" s="1">
        <v>25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 t="s">
        <v>49</v>
      </c>
      <c r="AA1494" s="1" t="s">
        <v>49</v>
      </c>
      <c r="AB1494" s="1" t="s">
        <v>49</v>
      </c>
      <c r="AC1494" s="1" t="s">
        <v>1991</v>
      </c>
      <c r="AD1494" s="1" t="s">
        <v>1992</v>
      </c>
      <c r="AE1494" s="1" t="s">
        <v>1991</v>
      </c>
      <c r="AF1494" s="1" t="s">
        <v>458</v>
      </c>
      <c r="AG1494" s="1" t="s">
        <v>53</v>
      </c>
      <c r="AH1494" s="1" t="s">
        <v>49</v>
      </c>
      <c r="AI1494" s="1" t="s">
        <v>54</v>
      </c>
      <c r="AJ1494" s="1">
        <v>1</v>
      </c>
      <c r="AK1494" s="1" t="str">
        <f t="shared" si="23"/>
        <v xml:space="preserve"> =&lt;90</v>
      </c>
      <c r="AL1494" s="1" t="str">
        <f>VLOOKUP(C:C,[1]基础信息!B$1:D$65536,3,0)</f>
        <v>UTS</v>
      </c>
      <c r="AM1494" s="1" t="str">
        <f>VLOOKUP(C:C,[1]基础信息!B$1:E$65536,4,0)</f>
        <v>MyPure</v>
      </c>
      <c r="AN1494" s="1" t="str">
        <f>VLOOKUP(C:C,[1]基础信息!B$1:F$65536,5,0)</f>
        <v>R8</v>
      </c>
    </row>
    <row r="1495" spans="1:40">
      <c r="A1495" s="1" t="s">
        <v>41</v>
      </c>
      <c r="B1495" s="1" t="s">
        <v>42</v>
      </c>
      <c r="C1495" s="1" t="s">
        <v>451</v>
      </c>
      <c r="D1495" s="1" t="s">
        <v>452</v>
      </c>
      <c r="E1495" s="1" t="s">
        <v>45</v>
      </c>
      <c r="F1495" s="1" t="s">
        <v>1988</v>
      </c>
      <c r="G1495" s="1" t="s">
        <v>3486</v>
      </c>
      <c r="H1495" s="1" t="s">
        <v>3487</v>
      </c>
      <c r="I1495" s="1" t="s">
        <v>49</v>
      </c>
      <c r="J1495" s="1" t="s">
        <v>48</v>
      </c>
      <c r="K1495" s="1">
        <v>25</v>
      </c>
      <c r="L1495" s="1">
        <v>0</v>
      </c>
      <c r="M1495" s="1">
        <v>0</v>
      </c>
      <c r="N1495" s="1">
        <v>25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 t="s">
        <v>49</v>
      </c>
      <c r="AA1495" s="1" t="s">
        <v>49</v>
      </c>
      <c r="AB1495" s="1" t="s">
        <v>49</v>
      </c>
      <c r="AC1495" s="1" t="s">
        <v>1991</v>
      </c>
      <c r="AD1495" s="1" t="s">
        <v>1992</v>
      </c>
      <c r="AE1495" s="1" t="s">
        <v>1991</v>
      </c>
      <c r="AF1495" s="1" t="s">
        <v>458</v>
      </c>
      <c r="AG1495" s="1" t="s">
        <v>53</v>
      </c>
      <c r="AH1495" s="1" t="s">
        <v>49</v>
      </c>
      <c r="AI1495" s="1" t="s">
        <v>54</v>
      </c>
      <c r="AJ1495" s="1">
        <v>1</v>
      </c>
      <c r="AK1495" s="1" t="str">
        <f t="shared" si="23"/>
        <v xml:space="preserve"> =&lt;90</v>
      </c>
      <c r="AL1495" s="1" t="str">
        <f>VLOOKUP(C:C,[1]基础信息!B$1:D$65536,3,0)</f>
        <v>UTS</v>
      </c>
      <c r="AM1495" s="1" t="str">
        <f>VLOOKUP(C:C,[1]基础信息!B$1:E$65536,4,0)</f>
        <v>MyPure</v>
      </c>
      <c r="AN1495" s="1" t="str">
        <f>VLOOKUP(C:C,[1]基础信息!B$1:F$65536,5,0)</f>
        <v>R8</v>
      </c>
    </row>
    <row r="1496" spans="1:40">
      <c r="A1496" s="1" t="s">
        <v>41</v>
      </c>
      <c r="B1496" s="1" t="s">
        <v>42</v>
      </c>
      <c r="C1496" s="1" t="s">
        <v>451</v>
      </c>
      <c r="D1496" s="1" t="s">
        <v>452</v>
      </c>
      <c r="E1496" s="1" t="s">
        <v>45</v>
      </c>
      <c r="F1496" s="1" t="s">
        <v>1988</v>
      </c>
      <c r="G1496" s="1" t="s">
        <v>3488</v>
      </c>
      <c r="H1496" s="1" t="s">
        <v>3489</v>
      </c>
      <c r="I1496" s="1" t="s">
        <v>49</v>
      </c>
      <c r="J1496" s="1" t="s">
        <v>48</v>
      </c>
      <c r="K1496" s="1">
        <v>25</v>
      </c>
      <c r="L1496" s="1">
        <v>0</v>
      </c>
      <c r="M1496" s="1">
        <v>0</v>
      </c>
      <c r="N1496" s="1">
        <v>25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 t="s">
        <v>49</v>
      </c>
      <c r="AA1496" s="1" t="s">
        <v>49</v>
      </c>
      <c r="AB1496" s="1" t="s">
        <v>49</v>
      </c>
      <c r="AC1496" s="1" t="s">
        <v>1991</v>
      </c>
      <c r="AD1496" s="1" t="s">
        <v>1992</v>
      </c>
      <c r="AE1496" s="1" t="s">
        <v>1991</v>
      </c>
      <c r="AF1496" s="1" t="s">
        <v>458</v>
      </c>
      <c r="AG1496" s="1" t="s">
        <v>53</v>
      </c>
      <c r="AH1496" s="1" t="s">
        <v>49</v>
      </c>
      <c r="AI1496" s="1" t="s">
        <v>54</v>
      </c>
      <c r="AJ1496" s="1">
        <v>1</v>
      </c>
      <c r="AK1496" s="1" t="str">
        <f t="shared" si="23"/>
        <v xml:space="preserve"> =&lt;90</v>
      </c>
      <c r="AL1496" s="1" t="str">
        <f>VLOOKUP(C:C,[1]基础信息!B$1:D$65536,3,0)</f>
        <v>UTS</v>
      </c>
      <c r="AM1496" s="1" t="str">
        <f>VLOOKUP(C:C,[1]基础信息!B$1:E$65536,4,0)</f>
        <v>MyPure</v>
      </c>
      <c r="AN1496" s="1" t="str">
        <f>VLOOKUP(C:C,[1]基础信息!B$1:F$65536,5,0)</f>
        <v>R8</v>
      </c>
    </row>
    <row r="1497" spans="1:40">
      <c r="A1497" s="1" t="s">
        <v>41</v>
      </c>
      <c r="B1497" s="1" t="s">
        <v>42</v>
      </c>
      <c r="C1497" s="1" t="s">
        <v>1710</v>
      </c>
      <c r="D1497" s="1" t="s">
        <v>1711</v>
      </c>
      <c r="E1497" s="1" t="s">
        <v>45</v>
      </c>
      <c r="F1497" s="1" t="s">
        <v>2590</v>
      </c>
      <c r="G1497" s="1" t="s">
        <v>3490</v>
      </c>
      <c r="H1497" s="1" t="s">
        <v>3491</v>
      </c>
      <c r="I1497" s="1" t="s">
        <v>49</v>
      </c>
      <c r="J1497" s="1" t="s">
        <v>48</v>
      </c>
      <c r="K1497" s="1">
        <v>60</v>
      </c>
      <c r="L1497" s="1">
        <v>0</v>
      </c>
      <c r="M1497" s="1">
        <v>0</v>
      </c>
      <c r="N1497" s="1">
        <v>60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 t="s">
        <v>49</v>
      </c>
      <c r="AA1497" s="1" t="s">
        <v>49</v>
      </c>
      <c r="AB1497" s="1" t="s">
        <v>49</v>
      </c>
      <c r="AC1497" s="1" t="s">
        <v>1008</v>
      </c>
      <c r="AD1497" s="1" t="s">
        <v>1009</v>
      </c>
      <c r="AE1497" s="1" t="s">
        <v>1008</v>
      </c>
      <c r="AF1497" s="1" t="s">
        <v>2593</v>
      </c>
      <c r="AG1497" s="1" t="s">
        <v>53</v>
      </c>
      <c r="AH1497" s="1" t="s">
        <v>49</v>
      </c>
      <c r="AI1497" s="1" t="s">
        <v>54</v>
      </c>
      <c r="AJ1497" s="1">
        <v>1</v>
      </c>
      <c r="AK1497" s="1" t="str">
        <f t="shared" si="23"/>
        <v xml:space="preserve"> =&lt;90</v>
      </c>
      <c r="AL1497" s="1" t="str">
        <f>VLOOKUP(C:C,[1]基础信息!B$1:D$65536,3,0)</f>
        <v>Jug</v>
      </c>
      <c r="AM1497" s="1" t="str">
        <f>VLOOKUP(C:C,[1]基础信息!B$1:E$65536,4,0)</f>
        <v>Kalea XL ME4W</v>
      </c>
      <c r="AN1497" s="1" t="str">
        <f>VLOOKUP(C:C,[1]基础信息!B$1:F$65536,5,0)</f>
        <v>grey</v>
      </c>
    </row>
    <row r="1498" spans="1:40">
      <c r="A1498" s="1" t="s">
        <v>41</v>
      </c>
      <c r="B1498" s="1" t="s">
        <v>42</v>
      </c>
      <c r="C1498" s="1" t="s">
        <v>451</v>
      </c>
      <c r="D1498" s="1" t="s">
        <v>452</v>
      </c>
      <c r="E1498" s="1" t="s">
        <v>45</v>
      </c>
      <c r="F1498" s="1" t="s">
        <v>1988</v>
      </c>
      <c r="G1498" s="1" t="s">
        <v>3492</v>
      </c>
      <c r="H1498" s="1" t="s">
        <v>3493</v>
      </c>
      <c r="I1498" s="1" t="s">
        <v>49</v>
      </c>
      <c r="J1498" s="1" t="s">
        <v>48</v>
      </c>
      <c r="K1498" s="1">
        <v>25</v>
      </c>
      <c r="L1498" s="1">
        <v>0</v>
      </c>
      <c r="M1498" s="1">
        <v>0</v>
      </c>
      <c r="N1498" s="1">
        <v>25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 t="s">
        <v>49</v>
      </c>
      <c r="AA1498" s="1" t="s">
        <v>49</v>
      </c>
      <c r="AB1498" s="1" t="s">
        <v>49</v>
      </c>
      <c r="AC1498" s="1" t="s">
        <v>1991</v>
      </c>
      <c r="AD1498" s="1" t="s">
        <v>1992</v>
      </c>
      <c r="AE1498" s="1" t="s">
        <v>1991</v>
      </c>
      <c r="AF1498" s="1" t="s">
        <v>458</v>
      </c>
      <c r="AG1498" s="1" t="s">
        <v>53</v>
      </c>
      <c r="AH1498" s="1" t="s">
        <v>49</v>
      </c>
      <c r="AI1498" s="1" t="s">
        <v>54</v>
      </c>
      <c r="AJ1498" s="1">
        <v>1</v>
      </c>
      <c r="AK1498" s="1" t="str">
        <f t="shared" si="23"/>
        <v xml:space="preserve"> =&lt;90</v>
      </c>
      <c r="AL1498" s="1" t="str">
        <f>VLOOKUP(C:C,[1]基础信息!B$1:D$65536,3,0)</f>
        <v>UTS</v>
      </c>
      <c r="AM1498" s="1" t="str">
        <f>VLOOKUP(C:C,[1]基础信息!B$1:E$65536,4,0)</f>
        <v>MyPure</v>
      </c>
      <c r="AN1498" s="1" t="str">
        <f>VLOOKUP(C:C,[1]基础信息!B$1:F$65536,5,0)</f>
        <v>R8</v>
      </c>
    </row>
    <row r="1499" spans="1:40">
      <c r="A1499" s="1" t="s">
        <v>41</v>
      </c>
      <c r="B1499" s="1" t="s">
        <v>42</v>
      </c>
      <c r="C1499" s="1" t="s">
        <v>451</v>
      </c>
      <c r="D1499" s="1" t="s">
        <v>452</v>
      </c>
      <c r="E1499" s="1" t="s">
        <v>45</v>
      </c>
      <c r="F1499" s="1" t="s">
        <v>1988</v>
      </c>
      <c r="G1499" s="1" t="s">
        <v>3494</v>
      </c>
      <c r="H1499" s="1" t="s">
        <v>3495</v>
      </c>
      <c r="I1499" s="1" t="s">
        <v>49</v>
      </c>
      <c r="J1499" s="1" t="s">
        <v>48</v>
      </c>
      <c r="K1499" s="1">
        <v>4</v>
      </c>
      <c r="L1499" s="1">
        <v>0</v>
      </c>
      <c r="M1499" s="1">
        <v>0</v>
      </c>
      <c r="N1499" s="1">
        <v>4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 t="s">
        <v>49</v>
      </c>
      <c r="AA1499" s="1" t="s">
        <v>49</v>
      </c>
      <c r="AB1499" s="1" t="s">
        <v>49</v>
      </c>
      <c r="AC1499" s="1" t="s">
        <v>1991</v>
      </c>
      <c r="AD1499" s="1" t="s">
        <v>1992</v>
      </c>
      <c r="AE1499" s="1" t="s">
        <v>1991</v>
      </c>
      <c r="AF1499" s="1" t="s">
        <v>458</v>
      </c>
      <c r="AG1499" s="1" t="s">
        <v>53</v>
      </c>
      <c r="AH1499" s="1" t="s">
        <v>49</v>
      </c>
      <c r="AI1499" s="1" t="s">
        <v>54</v>
      </c>
      <c r="AJ1499" s="1">
        <v>1</v>
      </c>
      <c r="AK1499" s="1" t="str">
        <f t="shared" si="23"/>
        <v xml:space="preserve"> =&lt;90</v>
      </c>
      <c r="AL1499" s="1" t="str">
        <f>VLOOKUP(C:C,[1]基础信息!B$1:D$65536,3,0)</f>
        <v>UTS</v>
      </c>
      <c r="AM1499" s="1" t="str">
        <f>VLOOKUP(C:C,[1]基础信息!B$1:E$65536,4,0)</f>
        <v>MyPure</v>
      </c>
      <c r="AN1499" s="1" t="str">
        <f>VLOOKUP(C:C,[1]基础信息!B$1:F$65536,5,0)</f>
        <v>R8</v>
      </c>
    </row>
    <row r="1500" spans="1:40">
      <c r="A1500" s="1" t="s">
        <v>41</v>
      </c>
      <c r="B1500" s="1" t="s">
        <v>42</v>
      </c>
      <c r="C1500" s="1" t="s">
        <v>208</v>
      </c>
      <c r="D1500" s="1" t="s">
        <v>209</v>
      </c>
      <c r="E1500" s="1" t="s">
        <v>208</v>
      </c>
      <c r="F1500" s="1" t="s">
        <v>3379</v>
      </c>
      <c r="G1500" s="1" t="s">
        <v>3496</v>
      </c>
      <c r="H1500" s="1" t="s">
        <v>3497</v>
      </c>
      <c r="I1500" s="1" t="s">
        <v>49</v>
      </c>
      <c r="J1500" s="1" t="s">
        <v>48</v>
      </c>
      <c r="K1500" s="1">
        <v>80</v>
      </c>
      <c r="L1500" s="1">
        <v>0</v>
      </c>
      <c r="M1500" s="1">
        <v>0</v>
      </c>
      <c r="N1500" s="1">
        <v>80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 t="s">
        <v>49</v>
      </c>
      <c r="AA1500" s="1" t="s">
        <v>49</v>
      </c>
      <c r="AB1500" s="1" t="s">
        <v>49</v>
      </c>
      <c r="AC1500" s="1" t="s">
        <v>1330</v>
      </c>
      <c r="AD1500" s="1" t="s">
        <v>1331</v>
      </c>
      <c r="AE1500" s="1" t="s">
        <v>1330</v>
      </c>
      <c r="AF1500" s="1" t="s">
        <v>3382</v>
      </c>
      <c r="AG1500" s="1" t="s">
        <v>53</v>
      </c>
      <c r="AH1500" s="1" t="s">
        <v>49</v>
      </c>
      <c r="AI1500" s="1" t="s">
        <v>54</v>
      </c>
      <c r="AJ1500" s="1">
        <v>1</v>
      </c>
      <c r="AK1500" s="1" t="str">
        <f t="shared" si="23"/>
        <v xml:space="preserve"> =&lt;90</v>
      </c>
      <c r="AL1500" s="1" t="str">
        <f>VLOOKUP(C:C,[1]基础信息!B$1:D$65536,3,0)</f>
        <v>Jug</v>
      </c>
      <c r="AM1500" s="1" t="str">
        <f>VLOOKUP(C:C,[1]基础信息!B$1:E$65536,4,0)</f>
        <v>MXpl</v>
      </c>
      <c r="AN1500" s="1" t="str">
        <f>VLOOKUP(C:C,[1]基础信息!B$1:F$65536,5,0)</f>
        <v>grey</v>
      </c>
    </row>
    <row r="1501" spans="1:40">
      <c r="A1501" s="1" t="s">
        <v>41</v>
      </c>
      <c r="B1501" s="1" t="s">
        <v>42</v>
      </c>
      <c r="C1501" s="1" t="s">
        <v>1710</v>
      </c>
      <c r="D1501" s="1" t="s">
        <v>1711</v>
      </c>
      <c r="E1501" s="1" t="s">
        <v>45</v>
      </c>
      <c r="F1501" s="1" t="s">
        <v>2590</v>
      </c>
      <c r="G1501" s="1" t="s">
        <v>3498</v>
      </c>
      <c r="H1501" s="1" t="s">
        <v>3499</v>
      </c>
      <c r="I1501" s="1" t="s">
        <v>49</v>
      </c>
      <c r="J1501" s="1" t="s">
        <v>48</v>
      </c>
      <c r="K1501" s="1">
        <v>60</v>
      </c>
      <c r="L1501" s="1">
        <v>0</v>
      </c>
      <c r="M1501" s="1">
        <v>0</v>
      </c>
      <c r="N1501" s="1">
        <v>60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 t="s">
        <v>49</v>
      </c>
      <c r="AA1501" s="1" t="s">
        <v>49</v>
      </c>
      <c r="AB1501" s="1" t="s">
        <v>49</v>
      </c>
      <c r="AC1501" s="1" t="s">
        <v>1008</v>
      </c>
      <c r="AD1501" s="1" t="s">
        <v>1009</v>
      </c>
      <c r="AE1501" s="1" t="s">
        <v>1008</v>
      </c>
      <c r="AF1501" s="1" t="s">
        <v>2593</v>
      </c>
      <c r="AG1501" s="1" t="s">
        <v>53</v>
      </c>
      <c r="AH1501" s="1" t="s">
        <v>49</v>
      </c>
      <c r="AI1501" s="1" t="s">
        <v>54</v>
      </c>
      <c r="AJ1501" s="1">
        <v>1</v>
      </c>
      <c r="AK1501" s="1" t="str">
        <f t="shared" si="23"/>
        <v xml:space="preserve"> =&lt;90</v>
      </c>
      <c r="AL1501" s="1" t="str">
        <f>VLOOKUP(C:C,[1]基础信息!B$1:D$65536,3,0)</f>
        <v>Jug</v>
      </c>
      <c r="AM1501" s="1" t="str">
        <f>VLOOKUP(C:C,[1]基础信息!B$1:E$65536,4,0)</f>
        <v>Kalea XL ME4W</v>
      </c>
      <c r="AN1501" s="1" t="str">
        <f>VLOOKUP(C:C,[1]基础信息!B$1:F$65536,5,0)</f>
        <v>grey</v>
      </c>
    </row>
    <row r="1502" spans="1:40">
      <c r="A1502" s="1" t="s">
        <v>41</v>
      </c>
      <c r="B1502" s="1" t="s">
        <v>42</v>
      </c>
      <c r="C1502" s="1" t="s">
        <v>1437</v>
      </c>
      <c r="D1502" s="1" t="s">
        <v>1438</v>
      </c>
      <c r="E1502" s="1" t="s">
        <v>45</v>
      </c>
      <c r="F1502" s="1" t="s">
        <v>3500</v>
      </c>
      <c r="G1502" s="1" t="s">
        <v>3501</v>
      </c>
      <c r="H1502" s="1" t="s">
        <v>45</v>
      </c>
      <c r="I1502" s="1" t="s">
        <v>45</v>
      </c>
      <c r="J1502" s="1" t="s">
        <v>48</v>
      </c>
      <c r="K1502" s="1">
        <v>540</v>
      </c>
      <c r="L1502" s="1">
        <v>0</v>
      </c>
      <c r="M1502" s="1">
        <v>0</v>
      </c>
      <c r="N1502" s="1">
        <v>540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 t="s">
        <v>49</v>
      </c>
      <c r="AA1502" s="1" t="s">
        <v>49</v>
      </c>
      <c r="AB1502" s="1" t="s">
        <v>49</v>
      </c>
      <c r="AC1502" s="1" t="s">
        <v>3502</v>
      </c>
      <c r="AD1502" s="1" t="s">
        <v>3503</v>
      </c>
      <c r="AE1502" s="1" t="s">
        <v>3502</v>
      </c>
      <c r="AF1502" s="1" t="s">
        <v>3504</v>
      </c>
      <c r="AG1502" s="1" t="s">
        <v>53</v>
      </c>
      <c r="AH1502" s="1" t="s">
        <v>49</v>
      </c>
      <c r="AI1502" s="1" t="s">
        <v>54</v>
      </c>
      <c r="AJ1502" s="1">
        <v>1</v>
      </c>
      <c r="AK1502" s="1" t="str">
        <f t="shared" si="23"/>
        <v xml:space="preserve"> =&lt;90</v>
      </c>
      <c r="AL1502" s="1" t="str">
        <f>VLOOKUP(C:C,[1]基础信息!B$1:D$65536,3,0)</f>
        <v>On tap</v>
      </c>
      <c r="AM1502" s="1" t="str">
        <f>VLOOKUP(C:C,[1]基础信息!B$1:E$65536,4,0)</f>
        <v>On tap</v>
      </c>
      <c r="AN1502" s="1" t="str">
        <f>VLOOKUP(C:C,[1]基础信息!B$1:F$65536,5,0)</f>
        <v>On tap</v>
      </c>
    </row>
    <row r="1503" spans="1:40">
      <c r="A1503" s="1" t="s">
        <v>41</v>
      </c>
      <c r="B1503" s="1" t="s">
        <v>42</v>
      </c>
      <c r="C1503" s="1" t="s">
        <v>1383</v>
      </c>
      <c r="D1503" s="1" t="s">
        <v>1384</v>
      </c>
      <c r="E1503" s="1" t="s">
        <v>45</v>
      </c>
      <c r="F1503" s="1" t="s">
        <v>3473</v>
      </c>
      <c r="G1503" s="1" t="s">
        <v>3505</v>
      </c>
      <c r="H1503" s="1" t="s">
        <v>45</v>
      </c>
      <c r="I1503" s="1" t="s">
        <v>45</v>
      </c>
      <c r="J1503" s="1" t="s">
        <v>48</v>
      </c>
      <c r="K1503" s="1">
        <v>96</v>
      </c>
      <c r="L1503" s="1">
        <v>0</v>
      </c>
      <c r="M1503" s="1">
        <v>0</v>
      </c>
      <c r="N1503" s="1">
        <v>96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 t="s">
        <v>49</v>
      </c>
      <c r="AA1503" s="1" t="s">
        <v>49</v>
      </c>
      <c r="AB1503" s="1" t="s">
        <v>49</v>
      </c>
      <c r="AC1503" s="1" t="s">
        <v>3462</v>
      </c>
      <c r="AD1503" s="1" t="s">
        <v>3463</v>
      </c>
      <c r="AE1503" s="1" t="s">
        <v>3462</v>
      </c>
      <c r="AF1503" s="1" t="s">
        <v>49</v>
      </c>
      <c r="AG1503" s="1" t="s">
        <v>3464</v>
      </c>
      <c r="AH1503" s="1" t="s">
        <v>49</v>
      </c>
      <c r="AI1503" s="1" t="s">
        <v>54</v>
      </c>
      <c r="AJ1503" s="1">
        <v>1</v>
      </c>
      <c r="AK1503" s="1" t="str">
        <f t="shared" si="23"/>
        <v xml:space="preserve"> =&lt;90</v>
      </c>
      <c r="AL1503" s="1" t="str">
        <f>VLOOKUP(C:C,[1]基础信息!B$1:D$65536,3,0)</f>
        <v>Jug</v>
      </c>
      <c r="AM1503" s="1" t="str">
        <f>VLOOKUP(C:C,[1]基础信息!B$1:E$65536,4,0)</f>
        <v>Mxplus</v>
      </c>
      <c r="AN1503" s="1" t="str">
        <f>VLOOKUP(C:C,[1]基础信息!B$1:F$65536,5,0)</f>
        <v>White</v>
      </c>
    </row>
    <row r="1504" spans="1:40">
      <c r="A1504" s="1" t="s">
        <v>41</v>
      </c>
      <c r="B1504" s="1" t="s">
        <v>42</v>
      </c>
      <c r="C1504" s="1" t="s">
        <v>208</v>
      </c>
      <c r="D1504" s="1" t="s">
        <v>209</v>
      </c>
      <c r="E1504" s="1" t="s">
        <v>208</v>
      </c>
      <c r="F1504" s="1" t="s">
        <v>3379</v>
      </c>
      <c r="G1504" s="1" t="s">
        <v>3506</v>
      </c>
      <c r="H1504" s="1" t="s">
        <v>3507</v>
      </c>
      <c r="I1504" s="1" t="s">
        <v>49</v>
      </c>
      <c r="J1504" s="1" t="s">
        <v>48</v>
      </c>
      <c r="K1504" s="1">
        <v>80</v>
      </c>
      <c r="L1504" s="1">
        <v>0</v>
      </c>
      <c r="M1504" s="1">
        <v>0</v>
      </c>
      <c r="N1504" s="1">
        <v>80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 t="s">
        <v>49</v>
      </c>
      <c r="AA1504" s="1" t="s">
        <v>49</v>
      </c>
      <c r="AB1504" s="1" t="s">
        <v>49</v>
      </c>
      <c r="AC1504" s="1" t="s">
        <v>1330</v>
      </c>
      <c r="AD1504" s="1" t="s">
        <v>1331</v>
      </c>
      <c r="AE1504" s="1" t="s">
        <v>1330</v>
      </c>
      <c r="AF1504" s="1" t="s">
        <v>3382</v>
      </c>
      <c r="AG1504" s="1" t="s">
        <v>53</v>
      </c>
      <c r="AH1504" s="1" t="s">
        <v>49</v>
      </c>
      <c r="AI1504" s="1" t="s">
        <v>54</v>
      </c>
      <c r="AJ1504" s="1">
        <v>1</v>
      </c>
      <c r="AK1504" s="1" t="str">
        <f t="shared" si="23"/>
        <v xml:space="preserve"> =&lt;90</v>
      </c>
      <c r="AL1504" s="1" t="str">
        <f>VLOOKUP(C:C,[1]基础信息!B$1:D$65536,3,0)</f>
        <v>Jug</v>
      </c>
      <c r="AM1504" s="1" t="str">
        <f>VLOOKUP(C:C,[1]基础信息!B$1:E$65536,4,0)</f>
        <v>MXpl</v>
      </c>
      <c r="AN1504" s="1" t="str">
        <f>VLOOKUP(C:C,[1]基础信息!B$1:F$65536,5,0)</f>
        <v>grey</v>
      </c>
    </row>
    <row r="1505" spans="1:40">
      <c r="A1505" s="1" t="s">
        <v>41</v>
      </c>
      <c r="B1505" s="1" t="s">
        <v>42</v>
      </c>
      <c r="C1505" s="1" t="s">
        <v>208</v>
      </c>
      <c r="D1505" s="1" t="s">
        <v>209</v>
      </c>
      <c r="E1505" s="1" t="s">
        <v>208</v>
      </c>
      <c r="F1505" s="1" t="s">
        <v>3379</v>
      </c>
      <c r="G1505" s="1" t="s">
        <v>3508</v>
      </c>
      <c r="H1505" s="1" t="s">
        <v>3509</v>
      </c>
      <c r="I1505" s="1" t="s">
        <v>49</v>
      </c>
      <c r="J1505" s="1" t="s">
        <v>48</v>
      </c>
      <c r="K1505" s="1">
        <v>80</v>
      </c>
      <c r="L1505" s="1">
        <v>0</v>
      </c>
      <c r="M1505" s="1">
        <v>0</v>
      </c>
      <c r="N1505" s="1">
        <v>80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 t="s">
        <v>49</v>
      </c>
      <c r="AA1505" s="1" t="s">
        <v>49</v>
      </c>
      <c r="AB1505" s="1" t="s">
        <v>49</v>
      </c>
      <c r="AC1505" s="1" t="s">
        <v>1330</v>
      </c>
      <c r="AD1505" s="1" t="s">
        <v>1331</v>
      </c>
      <c r="AE1505" s="1" t="s">
        <v>1330</v>
      </c>
      <c r="AF1505" s="1" t="s">
        <v>3382</v>
      </c>
      <c r="AG1505" s="1" t="s">
        <v>53</v>
      </c>
      <c r="AH1505" s="1" t="s">
        <v>49</v>
      </c>
      <c r="AI1505" s="1" t="s">
        <v>54</v>
      </c>
      <c r="AJ1505" s="1">
        <v>1</v>
      </c>
      <c r="AK1505" s="1" t="str">
        <f t="shared" si="23"/>
        <v xml:space="preserve"> =&lt;90</v>
      </c>
      <c r="AL1505" s="1" t="str">
        <f>VLOOKUP(C:C,[1]基础信息!B$1:D$65536,3,0)</f>
        <v>Jug</v>
      </c>
      <c r="AM1505" s="1" t="str">
        <f>VLOOKUP(C:C,[1]基础信息!B$1:E$65536,4,0)</f>
        <v>MXpl</v>
      </c>
      <c r="AN1505" s="1" t="str">
        <f>VLOOKUP(C:C,[1]基础信息!B$1:F$65536,5,0)</f>
        <v>grey</v>
      </c>
    </row>
    <row r="1506" spans="1:40">
      <c r="A1506" s="1" t="s">
        <v>41</v>
      </c>
      <c r="B1506" s="1" t="s">
        <v>42</v>
      </c>
      <c r="C1506" s="1" t="s">
        <v>208</v>
      </c>
      <c r="D1506" s="1" t="s">
        <v>209</v>
      </c>
      <c r="E1506" s="1" t="s">
        <v>208</v>
      </c>
      <c r="F1506" s="1" t="s">
        <v>3379</v>
      </c>
      <c r="G1506" s="1" t="s">
        <v>3510</v>
      </c>
      <c r="H1506" s="1" t="s">
        <v>3511</v>
      </c>
      <c r="I1506" s="1" t="s">
        <v>49</v>
      </c>
      <c r="J1506" s="1" t="s">
        <v>48</v>
      </c>
      <c r="K1506" s="1">
        <v>80</v>
      </c>
      <c r="L1506" s="1">
        <v>0</v>
      </c>
      <c r="M1506" s="1">
        <v>0</v>
      </c>
      <c r="N1506" s="1">
        <v>80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 t="s">
        <v>49</v>
      </c>
      <c r="AA1506" s="1" t="s">
        <v>49</v>
      </c>
      <c r="AB1506" s="1" t="s">
        <v>49</v>
      </c>
      <c r="AC1506" s="1" t="s">
        <v>1330</v>
      </c>
      <c r="AD1506" s="1" t="s">
        <v>1331</v>
      </c>
      <c r="AE1506" s="1" t="s">
        <v>1330</v>
      </c>
      <c r="AF1506" s="1" t="s">
        <v>3382</v>
      </c>
      <c r="AG1506" s="1" t="s">
        <v>53</v>
      </c>
      <c r="AH1506" s="1" t="s">
        <v>49</v>
      </c>
      <c r="AI1506" s="1" t="s">
        <v>54</v>
      </c>
      <c r="AJ1506" s="1">
        <v>1</v>
      </c>
      <c r="AK1506" s="1" t="str">
        <f t="shared" si="23"/>
        <v xml:space="preserve"> =&lt;90</v>
      </c>
      <c r="AL1506" s="1" t="str">
        <f>VLOOKUP(C:C,[1]基础信息!B$1:D$65536,3,0)</f>
        <v>Jug</v>
      </c>
      <c r="AM1506" s="1" t="str">
        <f>VLOOKUP(C:C,[1]基础信息!B$1:E$65536,4,0)</f>
        <v>MXpl</v>
      </c>
      <c r="AN1506" s="1" t="str">
        <f>VLOOKUP(C:C,[1]基础信息!B$1:F$65536,5,0)</f>
        <v>grey</v>
      </c>
    </row>
    <row r="1507" spans="1:40">
      <c r="A1507" s="1" t="s">
        <v>41</v>
      </c>
      <c r="B1507" s="1" t="s">
        <v>42</v>
      </c>
      <c r="C1507" s="1" t="s">
        <v>3512</v>
      </c>
      <c r="D1507" s="1" t="s">
        <v>3513</v>
      </c>
      <c r="E1507" s="1" t="s">
        <v>45</v>
      </c>
      <c r="F1507" s="1" t="s">
        <v>3514</v>
      </c>
      <c r="G1507" s="1" t="s">
        <v>3515</v>
      </c>
      <c r="H1507" s="1" t="s">
        <v>45</v>
      </c>
      <c r="I1507" s="1" t="s">
        <v>45</v>
      </c>
      <c r="J1507" s="1" t="s">
        <v>48</v>
      </c>
      <c r="K1507" s="1">
        <v>783</v>
      </c>
      <c r="L1507" s="1">
        <v>0</v>
      </c>
      <c r="M1507" s="1">
        <v>0</v>
      </c>
      <c r="N1507" s="1">
        <v>783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 t="s">
        <v>49</v>
      </c>
      <c r="AA1507" s="1" t="s">
        <v>49</v>
      </c>
      <c r="AB1507" s="1" t="s">
        <v>49</v>
      </c>
      <c r="AC1507" s="1" t="s">
        <v>3462</v>
      </c>
      <c r="AD1507" s="1" t="s">
        <v>3463</v>
      </c>
      <c r="AE1507" s="1" t="s">
        <v>3462</v>
      </c>
      <c r="AF1507" s="1" t="s">
        <v>49</v>
      </c>
      <c r="AG1507" s="1" t="s">
        <v>3464</v>
      </c>
      <c r="AH1507" s="1" t="s">
        <v>49</v>
      </c>
      <c r="AI1507" s="1" t="s">
        <v>54</v>
      </c>
      <c r="AJ1507" s="1">
        <v>1</v>
      </c>
      <c r="AK1507" s="1" t="str">
        <f t="shared" si="23"/>
        <v xml:space="preserve"> =&lt;90</v>
      </c>
      <c r="AL1507" s="1" t="str">
        <f>VLOOKUP(C:C,[1]基础信息!B$1:D$65536,3,0)</f>
        <v xml:space="preserve">Cartridge </v>
      </c>
      <c r="AM1507" s="1" t="str">
        <f>VLOOKUP(C:C,[1]基础信息!B$1:E$65536,4,0)</f>
        <v>UNIV</v>
      </c>
      <c r="AN1507" s="1" t="str">
        <f>VLOOKUP(C:C,[1]基础信息!B$1:F$65536,5,0)</f>
        <v>P3</v>
      </c>
    </row>
    <row r="1508" spans="1:40">
      <c r="A1508" s="1" t="s">
        <v>41</v>
      </c>
      <c r="B1508" s="1" t="s">
        <v>42</v>
      </c>
      <c r="C1508" s="1" t="s">
        <v>1383</v>
      </c>
      <c r="D1508" s="1" t="s">
        <v>1384</v>
      </c>
      <c r="E1508" s="1" t="s">
        <v>45</v>
      </c>
      <c r="F1508" s="1" t="s">
        <v>3473</v>
      </c>
      <c r="G1508" s="1" t="s">
        <v>3516</v>
      </c>
      <c r="H1508" s="1" t="s">
        <v>45</v>
      </c>
      <c r="I1508" s="1" t="s">
        <v>45</v>
      </c>
      <c r="J1508" s="1" t="s">
        <v>48</v>
      </c>
      <c r="K1508" s="1">
        <v>96</v>
      </c>
      <c r="L1508" s="1">
        <v>0</v>
      </c>
      <c r="M1508" s="1">
        <v>0</v>
      </c>
      <c r="N1508" s="1">
        <v>96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 t="s">
        <v>49</v>
      </c>
      <c r="AA1508" s="1" t="s">
        <v>49</v>
      </c>
      <c r="AB1508" s="1" t="s">
        <v>49</v>
      </c>
      <c r="AC1508" s="1" t="s">
        <v>3462</v>
      </c>
      <c r="AD1508" s="1" t="s">
        <v>3463</v>
      </c>
      <c r="AE1508" s="1" t="s">
        <v>3462</v>
      </c>
      <c r="AF1508" s="1" t="s">
        <v>49</v>
      </c>
      <c r="AG1508" s="1" t="s">
        <v>3464</v>
      </c>
      <c r="AH1508" s="1" t="s">
        <v>49</v>
      </c>
      <c r="AI1508" s="1" t="s">
        <v>54</v>
      </c>
      <c r="AJ1508" s="1">
        <v>1</v>
      </c>
      <c r="AK1508" s="1" t="str">
        <f t="shared" si="23"/>
        <v xml:space="preserve"> =&lt;90</v>
      </c>
      <c r="AL1508" s="1" t="str">
        <f>VLOOKUP(C:C,[1]基础信息!B$1:D$65536,3,0)</f>
        <v>Jug</v>
      </c>
      <c r="AM1508" s="1" t="str">
        <f>VLOOKUP(C:C,[1]基础信息!B$1:E$65536,4,0)</f>
        <v>Mxplus</v>
      </c>
      <c r="AN1508" s="1" t="str">
        <f>VLOOKUP(C:C,[1]基础信息!B$1:F$65536,5,0)</f>
        <v>White</v>
      </c>
    </row>
    <row r="1509" spans="1:40">
      <c r="A1509" s="1" t="s">
        <v>41</v>
      </c>
      <c r="B1509" s="1" t="s">
        <v>42</v>
      </c>
      <c r="C1509" s="1" t="s">
        <v>208</v>
      </c>
      <c r="D1509" s="1" t="s">
        <v>209</v>
      </c>
      <c r="E1509" s="1" t="s">
        <v>208</v>
      </c>
      <c r="F1509" s="1" t="s">
        <v>3379</v>
      </c>
      <c r="G1509" s="1" t="s">
        <v>3517</v>
      </c>
      <c r="H1509" s="1" t="s">
        <v>3518</v>
      </c>
      <c r="I1509" s="1" t="s">
        <v>49</v>
      </c>
      <c r="J1509" s="1" t="s">
        <v>48</v>
      </c>
      <c r="K1509" s="1">
        <v>80</v>
      </c>
      <c r="L1509" s="1">
        <v>0</v>
      </c>
      <c r="M1509" s="1">
        <v>0</v>
      </c>
      <c r="N1509" s="1">
        <v>80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 t="s">
        <v>49</v>
      </c>
      <c r="AA1509" s="1" t="s">
        <v>49</v>
      </c>
      <c r="AB1509" s="1" t="s">
        <v>49</v>
      </c>
      <c r="AC1509" s="1" t="s">
        <v>1330</v>
      </c>
      <c r="AD1509" s="1" t="s">
        <v>1331</v>
      </c>
      <c r="AE1509" s="1" t="s">
        <v>1330</v>
      </c>
      <c r="AF1509" s="1" t="s">
        <v>3382</v>
      </c>
      <c r="AG1509" s="1" t="s">
        <v>53</v>
      </c>
      <c r="AH1509" s="1" t="s">
        <v>49</v>
      </c>
      <c r="AI1509" s="1" t="s">
        <v>54</v>
      </c>
      <c r="AJ1509" s="1">
        <v>1</v>
      </c>
      <c r="AK1509" s="1" t="str">
        <f t="shared" si="23"/>
        <v xml:space="preserve"> =&lt;90</v>
      </c>
      <c r="AL1509" s="1" t="str">
        <f>VLOOKUP(C:C,[1]基础信息!B$1:D$65536,3,0)</f>
        <v>Jug</v>
      </c>
      <c r="AM1509" s="1" t="str">
        <f>VLOOKUP(C:C,[1]基础信息!B$1:E$65536,4,0)</f>
        <v>MXpl</v>
      </c>
      <c r="AN1509" s="1" t="str">
        <f>VLOOKUP(C:C,[1]基础信息!B$1:F$65536,5,0)</f>
        <v>grey</v>
      </c>
    </row>
    <row r="1510" spans="1:40">
      <c r="A1510" s="1" t="s">
        <v>41</v>
      </c>
      <c r="B1510" s="1" t="s">
        <v>42</v>
      </c>
      <c r="C1510" s="1" t="s">
        <v>208</v>
      </c>
      <c r="D1510" s="1" t="s">
        <v>209</v>
      </c>
      <c r="E1510" s="1" t="s">
        <v>208</v>
      </c>
      <c r="F1510" s="1" t="s">
        <v>3379</v>
      </c>
      <c r="G1510" s="1" t="s">
        <v>3519</v>
      </c>
      <c r="H1510" s="1" t="s">
        <v>3520</v>
      </c>
      <c r="I1510" s="1" t="s">
        <v>49</v>
      </c>
      <c r="J1510" s="1" t="s">
        <v>48</v>
      </c>
      <c r="K1510" s="1">
        <v>80</v>
      </c>
      <c r="L1510" s="1">
        <v>0</v>
      </c>
      <c r="M1510" s="1">
        <v>0</v>
      </c>
      <c r="N1510" s="1">
        <v>80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 t="s">
        <v>49</v>
      </c>
      <c r="AA1510" s="1" t="s">
        <v>49</v>
      </c>
      <c r="AB1510" s="1" t="s">
        <v>49</v>
      </c>
      <c r="AC1510" s="1" t="s">
        <v>1330</v>
      </c>
      <c r="AD1510" s="1" t="s">
        <v>1331</v>
      </c>
      <c r="AE1510" s="1" t="s">
        <v>1330</v>
      </c>
      <c r="AF1510" s="1" t="s">
        <v>3382</v>
      </c>
      <c r="AG1510" s="1" t="s">
        <v>53</v>
      </c>
      <c r="AH1510" s="1" t="s">
        <v>49</v>
      </c>
      <c r="AI1510" s="1" t="s">
        <v>54</v>
      </c>
      <c r="AJ1510" s="1">
        <v>1</v>
      </c>
      <c r="AK1510" s="1" t="str">
        <f t="shared" si="23"/>
        <v xml:space="preserve"> =&lt;90</v>
      </c>
      <c r="AL1510" s="1" t="str">
        <f>VLOOKUP(C:C,[1]基础信息!B$1:D$65536,3,0)</f>
        <v>Jug</v>
      </c>
      <c r="AM1510" s="1" t="str">
        <f>VLOOKUP(C:C,[1]基础信息!B$1:E$65536,4,0)</f>
        <v>MXpl</v>
      </c>
      <c r="AN1510" s="1" t="str">
        <f>VLOOKUP(C:C,[1]基础信息!B$1:F$65536,5,0)</f>
        <v>grey</v>
      </c>
    </row>
    <row r="1511" spans="1:40">
      <c r="A1511" s="1" t="s">
        <v>41</v>
      </c>
      <c r="B1511" s="1" t="s">
        <v>42</v>
      </c>
      <c r="C1511" s="1" t="s">
        <v>208</v>
      </c>
      <c r="D1511" s="1" t="s">
        <v>209</v>
      </c>
      <c r="E1511" s="1" t="s">
        <v>208</v>
      </c>
      <c r="F1511" s="1" t="s">
        <v>3379</v>
      </c>
      <c r="G1511" s="1" t="s">
        <v>3521</v>
      </c>
      <c r="H1511" s="1" t="s">
        <v>3522</v>
      </c>
      <c r="I1511" s="1" t="s">
        <v>49</v>
      </c>
      <c r="J1511" s="1" t="s">
        <v>48</v>
      </c>
      <c r="K1511" s="1">
        <v>80</v>
      </c>
      <c r="L1511" s="1">
        <v>0</v>
      </c>
      <c r="M1511" s="1">
        <v>0</v>
      </c>
      <c r="N1511" s="1">
        <v>80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 t="s">
        <v>49</v>
      </c>
      <c r="AA1511" s="1" t="s">
        <v>49</v>
      </c>
      <c r="AB1511" s="1" t="s">
        <v>49</v>
      </c>
      <c r="AC1511" s="1" t="s">
        <v>1330</v>
      </c>
      <c r="AD1511" s="1" t="s">
        <v>1331</v>
      </c>
      <c r="AE1511" s="1" t="s">
        <v>1330</v>
      </c>
      <c r="AF1511" s="1" t="s">
        <v>3382</v>
      </c>
      <c r="AG1511" s="1" t="s">
        <v>53</v>
      </c>
      <c r="AH1511" s="1" t="s">
        <v>49</v>
      </c>
      <c r="AI1511" s="1" t="s">
        <v>54</v>
      </c>
      <c r="AJ1511" s="1">
        <v>1</v>
      </c>
      <c r="AK1511" s="1" t="str">
        <f t="shared" si="23"/>
        <v xml:space="preserve"> =&lt;90</v>
      </c>
      <c r="AL1511" s="1" t="str">
        <f>VLOOKUP(C:C,[1]基础信息!B$1:D$65536,3,0)</f>
        <v>Jug</v>
      </c>
      <c r="AM1511" s="1" t="str">
        <f>VLOOKUP(C:C,[1]基础信息!B$1:E$65536,4,0)</f>
        <v>MXpl</v>
      </c>
      <c r="AN1511" s="1" t="str">
        <f>VLOOKUP(C:C,[1]基础信息!B$1:F$65536,5,0)</f>
        <v>grey</v>
      </c>
    </row>
    <row r="1512" spans="1:40">
      <c r="A1512" s="1" t="s">
        <v>41</v>
      </c>
      <c r="B1512" s="1" t="s">
        <v>42</v>
      </c>
      <c r="C1512" s="1" t="s">
        <v>68</v>
      </c>
      <c r="D1512" s="1" t="s">
        <v>69</v>
      </c>
      <c r="E1512" s="1" t="s">
        <v>45</v>
      </c>
      <c r="F1512" s="1" t="s">
        <v>3450</v>
      </c>
      <c r="G1512" s="1" t="s">
        <v>3523</v>
      </c>
      <c r="H1512" s="1" t="s">
        <v>3524</v>
      </c>
      <c r="I1512" s="1" t="s">
        <v>49</v>
      </c>
      <c r="J1512" s="1" t="s">
        <v>48</v>
      </c>
      <c r="K1512" s="1">
        <v>36</v>
      </c>
      <c r="L1512" s="1">
        <v>0</v>
      </c>
      <c r="M1512" s="1">
        <v>0</v>
      </c>
      <c r="N1512" s="1">
        <v>36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 t="s">
        <v>49</v>
      </c>
      <c r="AA1512" s="1" t="s">
        <v>49</v>
      </c>
      <c r="AB1512" s="1" t="s">
        <v>49</v>
      </c>
      <c r="AC1512" s="1" t="s">
        <v>3453</v>
      </c>
      <c r="AD1512" s="1" t="s">
        <v>3454</v>
      </c>
      <c r="AE1512" s="1" t="s">
        <v>3453</v>
      </c>
      <c r="AF1512" s="1" t="s">
        <v>3455</v>
      </c>
      <c r="AG1512" s="1" t="s">
        <v>53</v>
      </c>
      <c r="AH1512" s="1" t="s">
        <v>49</v>
      </c>
      <c r="AI1512" s="1" t="s">
        <v>54</v>
      </c>
      <c r="AJ1512" s="1">
        <v>1</v>
      </c>
      <c r="AK1512" s="1" t="str">
        <f t="shared" si="23"/>
        <v xml:space="preserve"> =&lt;90</v>
      </c>
      <c r="AL1512" s="1" t="str">
        <f>VLOOKUP(C:C,[1]基础信息!B$1:D$65536,3,0)</f>
        <v>Hotcup</v>
      </c>
      <c r="AM1512" s="1" t="str">
        <f>VLOOKUP(C:C,[1]基础信息!B$1:E$65536,4,0)</f>
        <v>Hotcup</v>
      </c>
      <c r="AN1512" s="1" t="str">
        <f>VLOOKUP(C:C,[1]基础信息!B$1:F$65536,5,0)</f>
        <v xml:space="preserve"> Whi</v>
      </c>
    </row>
    <row r="1513" spans="1:40">
      <c r="A1513" s="1" t="s">
        <v>41</v>
      </c>
      <c r="B1513" s="1" t="s">
        <v>42</v>
      </c>
      <c r="C1513" s="1" t="s">
        <v>1383</v>
      </c>
      <c r="D1513" s="1" t="s">
        <v>1384</v>
      </c>
      <c r="E1513" s="1" t="s">
        <v>45</v>
      </c>
      <c r="F1513" s="1" t="s">
        <v>3473</v>
      </c>
      <c r="G1513" s="1" t="s">
        <v>3525</v>
      </c>
      <c r="H1513" s="1" t="s">
        <v>45</v>
      </c>
      <c r="I1513" s="1" t="s">
        <v>45</v>
      </c>
      <c r="J1513" s="1" t="s">
        <v>48</v>
      </c>
      <c r="K1513" s="1">
        <v>90</v>
      </c>
      <c r="L1513" s="1">
        <v>0</v>
      </c>
      <c r="M1513" s="1">
        <v>0</v>
      </c>
      <c r="N1513" s="1">
        <v>90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 t="s">
        <v>49</v>
      </c>
      <c r="AA1513" s="1" t="s">
        <v>49</v>
      </c>
      <c r="AB1513" s="1" t="s">
        <v>49</v>
      </c>
      <c r="AC1513" s="1" t="s">
        <v>3462</v>
      </c>
      <c r="AD1513" s="1" t="s">
        <v>3463</v>
      </c>
      <c r="AE1513" s="1" t="s">
        <v>3462</v>
      </c>
      <c r="AF1513" s="1" t="s">
        <v>49</v>
      </c>
      <c r="AG1513" s="1" t="s">
        <v>3464</v>
      </c>
      <c r="AH1513" s="1" t="s">
        <v>49</v>
      </c>
      <c r="AI1513" s="1" t="s">
        <v>54</v>
      </c>
      <c r="AJ1513" s="1">
        <v>1</v>
      </c>
      <c r="AK1513" s="1" t="str">
        <f t="shared" si="23"/>
        <v xml:space="preserve"> =&lt;90</v>
      </c>
      <c r="AL1513" s="1" t="str">
        <f>VLOOKUP(C:C,[1]基础信息!B$1:D$65536,3,0)</f>
        <v>Jug</v>
      </c>
      <c r="AM1513" s="1" t="str">
        <f>VLOOKUP(C:C,[1]基础信息!B$1:E$65536,4,0)</f>
        <v>Mxplus</v>
      </c>
      <c r="AN1513" s="1" t="str">
        <f>VLOOKUP(C:C,[1]基础信息!B$1:F$65536,5,0)</f>
        <v>White</v>
      </c>
    </row>
    <row r="1514" spans="1:40">
      <c r="A1514" s="1" t="s">
        <v>41</v>
      </c>
      <c r="B1514" s="1" t="s">
        <v>42</v>
      </c>
      <c r="C1514" s="1" t="s">
        <v>68</v>
      </c>
      <c r="D1514" s="1" t="s">
        <v>69</v>
      </c>
      <c r="E1514" s="1" t="s">
        <v>45</v>
      </c>
      <c r="F1514" s="1" t="s">
        <v>3450</v>
      </c>
      <c r="G1514" s="1" t="s">
        <v>3526</v>
      </c>
      <c r="H1514" s="1" t="s">
        <v>3527</v>
      </c>
      <c r="I1514" s="1" t="s">
        <v>49</v>
      </c>
      <c r="J1514" s="1" t="s">
        <v>48</v>
      </c>
      <c r="K1514" s="1">
        <v>36</v>
      </c>
      <c r="L1514" s="1">
        <v>0</v>
      </c>
      <c r="M1514" s="1">
        <v>0</v>
      </c>
      <c r="N1514" s="1">
        <v>36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 t="s">
        <v>49</v>
      </c>
      <c r="AA1514" s="1" t="s">
        <v>49</v>
      </c>
      <c r="AB1514" s="1" t="s">
        <v>49</v>
      </c>
      <c r="AC1514" s="1" t="s">
        <v>3453</v>
      </c>
      <c r="AD1514" s="1" t="s">
        <v>3454</v>
      </c>
      <c r="AE1514" s="1" t="s">
        <v>3453</v>
      </c>
      <c r="AF1514" s="1" t="s">
        <v>3455</v>
      </c>
      <c r="AG1514" s="1" t="s">
        <v>53</v>
      </c>
      <c r="AH1514" s="1" t="s">
        <v>49</v>
      </c>
      <c r="AI1514" s="1" t="s">
        <v>54</v>
      </c>
      <c r="AJ1514" s="1">
        <v>1</v>
      </c>
      <c r="AK1514" s="1" t="str">
        <f t="shared" si="23"/>
        <v xml:space="preserve"> =&lt;90</v>
      </c>
      <c r="AL1514" s="1" t="str">
        <f>VLOOKUP(C:C,[1]基础信息!B$1:D$65536,3,0)</f>
        <v>Hotcup</v>
      </c>
      <c r="AM1514" s="1" t="str">
        <f>VLOOKUP(C:C,[1]基础信息!B$1:E$65536,4,0)</f>
        <v>Hotcup</v>
      </c>
      <c r="AN1514" s="1" t="str">
        <f>VLOOKUP(C:C,[1]基础信息!B$1:F$65536,5,0)</f>
        <v xml:space="preserve"> Whi</v>
      </c>
    </row>
    <row r="1515" spans="1:40">
      <c r="A1515" s="1" t="s">
        <v>41</v>
      </c>
      <c r="B1515" s="1" t="s">
        <v>42</v>
      </c>
      <c r="C1515" s="1" t="s">
        <v>68</v>
      </c>
      <c r="D1515" s="1" t="s">
        <v>69</v>
      </c>
      <c r="E1515" s="1" t="s">
        <v>45</v>
      </c>
      <c r="F1515" s="1" t="s">
        <v>3450</v>
      </c>
      <c r="G1515" s="1" t="s">
        <v>3528</v>
      </c>
      <c r="H1515" s="1" t="s">
        <v>3529</v>
      </c>
      <c r="I1515" s="1" t="s">
        <v>49</v>
      </c>
      <c r="J1515" s="1" t="s">
        <v>48</v>
      </c>
      <c r="K1515" s="1">
        <v>36</v>
      </c>
      <c r="L1515" s="1">
        <v>0</v>
      </c>
      <c r="M1515" s="1">
        <v>0</v>
      </c>
      <c r="N1515" s="1">
        <v>36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 t="s">
        <v>49</v>
      </c>
      <c r="AA1515" s="1" t="s">
        <v>49</v>
      </c>
      <c r="AB1515" s="1" t="s">
        <v>49</v>
      </c>
      <c r="AC1515" s="1" t="s">
        <v>3453</v>
      </c>
      <c r="AD1515" s="1" t="s">
        <v>3454</v>
      </c>
      <c r="AE1515" s="1" t="s">
        <v>3453</v>
      </c>
      <c r="AF1515" s="1" t="s">
        <v>3455</v>
      </c>
      <c r="AG1515" s="1" t="s">
        <v>53</v>
      </c>
      <c r="AH1515" s="1" t="s">
        <v>49</v>
      </c>
      <c r="AI1515" s="1" t="s">
        <v>54</v>
      </c>
      <c r="AJ1515" s="1">
        <v>1</v>
      </c>
      <c r="AK1515" s="1" t="str">
        <f t="shared" si="23"/>
        <v xml:space="preserve"> =&lt;90</v>
      </c>
      <c r="AL1515" s="1" t="str">
        <f>VLOOKUP(C:C,[1]基础信息!B$1:D$65536,3,0)</f>
        <v>Hotcup</v>
      </c>
      <c r="AM1515" s="1" t="str">
        <f>VLOOKUP(C:C,[1]基础信息!B$1:E$65536,4,0)</f>
        <v>Hotcup</v>
      </c>
      <c r="AN1515" s="1" t="str">
        <f>VLOOKUP(C:C,[1]基础信息!B$1:F$65536,5,0)</f>
        <v xml:space="preserve"> Whi</v>
      </c>
    </row>
    <row r="1516" spans="1:40">
      <c r="A1516" s="1" t="s">
        <v>41</v>
      </c>
      <c r="B1516" s="1" t="s">
        <v>42</v>
      </c>
      <c r="C1516" s="1" t="s">
        <v>68</v>
      </c>
      <c r="D1516" s="1" t="s">
        <v>69</v>
      </c>
      <c r="E1516" s="1" t="s">
        <v>45</v>
      </c>
      <c r="F1516" s="1" t="s">
        <v>3450</v>
      </c>
      <c r="G1516" s="1" t="s">
        <v>3530</v>
      </c>
      <c r="H1516" s="1" t="s">
        <v>3531</v>
      </c>
      <c r="I1516" s="1" t="s">
        <v>49</v>
      </c>
      <c r="J1516" s="1" t="s">
        <v>48</v>
      </c>
      <c r="K1516" s="1">
        <v>36</v>
      </c>
      <c r="L1516" s="1">
        <v>0</v>
      </c>
      <c r="M1516" s="1">
        <v>0</v>
      </c>
      <c r="N1516" s="1">
        <v>36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 t="s">
        <v>49</v>
      </c>
      <c r="AA1516" s="1" t="s">
        <v>49</v>
      </c>
      <c r="AB1516" s="1" t="s">
        <v>49</v>
      </c>
      <c r="AC1516" s="1" t="s">
        <v>3453</v>
      </c>
      <c r="AD1516" s="1" t="s">
        <v>3454</v>
      </c>
      <c r="AE1516" s="1" t="s">
        <v>3453</v>
      </c>
      <c r="AF1516" s="1" t="s">
        <v>3455</v>
      </c>
      <c r="AG1516" s="1" t="s">
        <v>53</v>
      </c>
      <c r="AH1516" s="1" t="s">
        <v>49</v>
      </c>
      <c r="AI1516" s="1" t="s">
        <v>54</v>
      </c>
      <c r="AJ1516" s="1">
        <v>1</v>
      </c>
      <c r="AK1516" s="1" t="str">
        <f t="shared" si="23"/>
        <v xml:space="preserve"> =&lt;90</v>
      </c>
      <c r="AL1516" s="1" t="str">
        <f>VLOOKUP(C:C,[1]基础信息!B$1:D$65536,3,0)</f>
        <v>Hotcup</v>
      </c>
      <c r="AM1516" s="1" t="str">
        <f>VLOOKUP(C:C,[1]基础信息!B$1:E$65536,4,0)</f>
        <v>Hotcup</v>
      </c>
      <c r="AN1516" s="1" t="str">
        <f>VLOOKUP(C:C,[1]基础信息!B$1:F$65536,5,0)</f>
        <v xml:space="preserve"> Whi</v>
      </c>
    </row>
    <row r="1517" spans="1:40">
      <c r="A1517" s="1" t="s">
        <v>41</v>
      </c>
      <c r="B1517" s="1" t="s">
        <v>42</v>
      </c>
      <c r="C1517" s="1" t="s">
        <v>68</v>
      </c>
      <c r="D1517" s="1" t="s">
        <v>69</v>
      </c>
      <c r="E1517" s="1" t="s">
        <v>45</v>
      </c>
      <c r="F1517" s="1" t="s">
        <v>3450</v>
      </c>
      <c r="G1517" s="1" t="s">
        <v>3532</v>
      </c>
      <c r="H1517" s="1" t="s">
        <v>3533</v>
      </c>
      <c r="I1517" s="1" t="s">
        <v>49</v>
      </c>
      <c r="J1517" s="1" t="s">
        <v>48</v>
      </c>
      <c r="K1517" s="1">
        <v>36</v>
      </c>
      <c r="L1517" s="1">
        <v>0</v>
      </c>
      <c r="M1517" s="1">
        <v>0</v>
      </c>
      <c r="N1517" s="1">
        <v>36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 t="s">
        <v>49</v>
      </c>
      <c r="AA1517" s="1" t="s">
        <v>49</v>
      </c>
      <c r="AB1517" s="1" t="s">
        <v>49</v>
      </c>
      <c r="AC1517" s="1" t="s">
        <v>3453</v>
      </c>
      <c r="AD1517" s="1" t="s">
        <v>3454</v>
      </c>
      <c r="AE1517" s="1" t="s">
        <v>3453</v>
      </c>
      <c r="AF1517" s="1" t="s">
        <v>3455</v>
      </c>
      <c r="AG1517" s="1" t="s">
        <v>53</v>
      </c>
      <c r="AH1517" s="1" t="s">
        <v>49</v>
      </c>
      <c r="AI1517" s="1" t="s">
        <v>54</v>
      </c>
      <c r="AJ1517" s="1">
        <v>1</v>
      </c>
      <c r="AK1517" s="1" t="str">
        <f t="shared" si="23"/>
        <v xml:space="preserve"> =&lt;90</v>
      </c>
      <c r="AL1517" s="1" t="str">
        <f>VLOOKUP(C:C,[1]基础信息!B$1:D$65536,3,0)</f>
        <v>Hotcup</v>
      </c>
      <c r="AM1517" s="1" t="str">
        <f>VLOOKUP(C:C,[1]基础信息!B$1:E$65536,4,0)</f>
        <v>Hotcup</v>
      </c>
      <c r="AN1517" s="1" t="str">
        <f>VLOOKUP(C:C,[1]基础信息!B$1:F$65536,5,0)</f>
        <v xml:space="preserve"> Whi</v>
      </c>
    </row>
    <row r="1518" spans="1:40">
      <c r="A1518" s="1" t="s">
        <v>41</v>
      </c>
      <c r="B1518" s="1" t="s">
        <v>42</v>
      </c>
      <c r="C1518" s="1" t="s">
        <v>68</v>
      </c>
      <c r="D1518" s="1" t="s">
        <v>69</v>
      </c>
      <c r="E1518" s="1" t="s">
        <v>45</v>
      </c>
      <c r="F1518" s="1" t="s">
        <v>3450</v>
      </c>
      <c r="G1518" s="1" t="s">
        <v>3534</v>
      </c>
      <c r="H1518" s="1" t="s">
        <v>3535</v>
      </c>
      <c r="I1518" s="1" t="s">
        <v>49</v>
      </c>
      <c r="J1518" s="1" t="s">
        <v>48</v>
      </c>
      <c r="K1518" s="1">
        <v>36</v>
      </c>
      <c r="L1518" s="1">
        <v>0</v>
      </c>
      <c r="M1518" s="1">
        <v>0</v>
      </c>
      <c r="N1518" s="1">
        <v>36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 t="s">
        <v>49</v>
      </c>
      <c r="AA1518" s="1" t="s">
        <v>49</v>
      </c>
      <c r="AB1518" s="1" t="s">
        <v>49</v>
      </c>
      <c r="AC1518" s="1" t="s">
        <v>3453</v>
      </c>
      <c r="AD1518" s="1" t="s">
        <v>3454</v>
      </c>
      <c r="AE1518" s="1" t="s">
        <v>3453</v>
      </c>
      <c r="AF1518" s="1" t="s">
        <v>3455</v>
      </c>
      <c r="AG1518" s="1" t="s">
        <v>53</v>
      </c>
      <c r="AH1518" s="1" t="s">
        <v>49</v>
      </c>
      <c r="AI1518" s="1" t="s">
        <v>54</v>
      </c>
      <c r="AJ1518" s="1">
        <v>1</v>
      </c>
      <c r="AK1518" s="1" t="str">
        <f t="shared" si="23"/>
        <v xml:space="preserve"> =&lt;90</v>
      </c>
      <c r="AL1518" s="1" t="str">
        <f>VLOOKUP(C:C,[1]基础信息!B$1:D$65536,3,0)</f>
        <v>Hotcup</v>
      </c>
      <c r="AM1518" s="1" t="str">
        <f>VLOOKUP(C:C,[1]基础信息!B$1:E$65536,4,0)</f>
        <v>Hotcup</v>
      </c>
      <c r="AN1518" s="1" t="str">
        <f>VLOOKUP(C:C,[1]基础信息!B$1:F$65536,5,0)</f>
        <v xml:space="preserve"> Whi</v>
      </c>
    </row>
    <row r="1519" spans="1:40">
      <c r="A1519" s="1" t="s">
        <v>41</v>
      </c>
      <c r="B1519" s="1" t="s">
        <v>42</v>
      </c>
      <c r="C1519" s="1" t="s">
        <v>208</v>
      </c>
      <c r="D1519" s="1" t="s">
        <v>209</v>
      </c>
      <c r="E1519" s="1" t="s">
        <v>208</v>
      </c>
      <c r="F1519" s="1" t="s">
        <v>3379</v>
      </c>
      <c r="G1519" s="1" t="s">
        <v>3536</v>
      </c>
      <c r="H1519" s="1" t="s">
        <v>3537</v>
      </c>
      <c r="I1519" s="1" t="s">
        <v>49</v>
      </c>
      <c r="J1519" s="1" t="s">
        <v>48</v>
      </c>
      <c r="K1519" s="1">
        <v>80</v>
      </c>
      <c r="L1519" s="1">
        <v>0</v>
      </c>
      <c r="M1519" s="1">
        <v>0</v>
      </c>
      <c r="N1519" s="1">
        <v>80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 t="s">
        <v>49</v>
      </c>
      <c r="AA1519" s="1" t="s">
        <v>49</v>
      </c>
      <c r="AB1519" s="1" t="s">
        <v>49</v>
      </c>
      <c r="AC1519" s="1" t="s">
        <v>1330</v>
      </c>
      <c r="AD1519" s="1" t="s">
        <v>1331</v>
      </c>
      <c r="AE1519" s="1" t="s">
        <v>1330</v>
      </c>
      <c r="AF1519" s="1" t="s">
        <v>3382</v>
      </c>
      <c r="AG1519" s="1" t="s">
        <v>53</v>
      </c>
      <c r="AH1519" s="1" t="s">
        <v>49</v>
      </c>
      <c r="AI1519" s="1" t="s">
        <v>54</v>
      </c>
      <c r="AJ1519" s="1">
        <v>1</v>
      </c>
      <c r="AK1519" s="1" t="str">
        <f t="shared" si="23"/>
        <v xml:space="preserve"> =&lt;90</v>
      </c>
      <c r="AL1519" s="1" t="str">
        <f>VLOOKUP(C:C,[1]基础信息!B$1:D$65536,3,0)</f>
        <v>Jug</v>
      </c>
      <c r="AM1519" s="1" t="str">
        <f>VLOOKUP(C:C,[1]基础信息!B$1:E$65536,4,0)</f>
        <v>MXpl</v>
      </c>
      <c r="AN1519" s="1" t="str">
        <f>VLOOKUP(C:C,[1]基础信息!B$1:F$65536,5,0)</f>
        <v>grey</v>
      </c>
    </row>
    <row r="1520" spans="1:40">
      <c r="A1520" s="1" t="s">
        <v>41</v>
      </c>
      <c r="B1520" s="1" t="s">
        <v>42</v>
      </c>
      <c r="C1520" s="1" t="s">
        <v>208</v>
      </c>
      <c r="D1520" s="1" t="s">
        <v>209</v>
      </c>
      <c r="E1520" s="1" t="s">
        <v>208</v>
      </c>
      <c r="F1520" s="1" t="s">
        <v>3379</v>
      </c>
      <c r="G1520" s="1" t="s">
        <v>3538</v>
      </c>
      <c r="H1520" s="1" t="s">
        <v>3539</v>
      </c>
      <c r="I1520" s="1" t="s">
        <v>49</v>
      </c>
      <c r="J1520" s="1" t="s">
        <v>48</v>
      </c>
      <c r="K1520" s="1">
        <v>80</v>
      </c>
      <c r="L1520" s="1">
        <v>0</v>
      </c>
      <c r="M1520" s="1">
        <v>0</v>
      </c>
      <c r="N1520" s="1">
        <v>80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 t="s">
        <v>49</v>
      </c>
      <c r="AA1520" s="1" t="s">
        <v>49</v>
      </c>
      <c r="AB1520" s="1" t="s">
        <v>49</v>
      </c>
      <c r="AC1520" s="1" t="s">
        <v>1330</v>
      </c>
      <c r="AD1520" s="1" t="s">
        <v>1331</v>
      </c>
      <c r="AE1520" s="1" t="s">
        <v>1330</v>
      </c>
      <c r="AF1520" s="1" t="s">
        <v>3382</v>
      </c>
      <c r="AG1520" s="1" t="s">
        <v>53</v>
      </c>
      <c r="AH1520" s="1" t="s">
        <v>49</v>
      </c>
      <c r="AI1520" s="1" t="s">
        <v>54</v>
      </c>
      <c r="AJ1520" s="1">
        <v>1</v>
      </c>
      <c r="AK1520" s="1" t="str">
        <f t="shared" si="23"/>
        <v xml:space="preserve"> =&lt;90</v>
      </c>
      <c r="AL1520" s="1" t="str">
        <f>VLOOKUP(C:C,[1]基础信息!B$1:D$65536,3,0)</f>
        <v>Jug</v>
      </c>
      <c r="AM1520" s="1" t="str">
        <f>VLOOKUP(C:C,[1]基础信息!B$1:E$65536,4,0)</f>
        <v>MXpl</v>
      </c>
      <c r="AN1520" s="1" t="str">
        <f>VLOOKUP(C:C,[1]基础信息!B$1:F$65536,5,0)</f>
        <v>grey</v>
      </c>
    </row>
    <row r="1521" spans="1:40">
      <c r="A1521" s="1" t="s">
        <v>41</v>
      </c>
      <c r="B1521" s="1" t="s">
        <v>42</v>
      </c>
      <c r="C1521" s="1" t="s">
        <v>68</v>
      </c>
      <c r="D1521" s="1" t="s">
        <v>69</v>
      </c>
      <c r="E1521" s="1" t="s">
        <v>45</v>
      </c>
      <c r="F1521" s="1" t="s">
        <v>3450</v>
      </c>
      <c r="G1521" s="1" t="s">
        <v>3540</v>
      </c>
      <c r="H1521" s="1" t="s">
        <v>3541</v>
      </c>
      <c r="I1521" s="1" t="s">
        <v>49</v>
      </c>
      <c r="J1521" s="1" t="s">
        <v>48</v>
      </c>
      <c r="K1521" s="1">
        <v>36</v>
      </c>
      <c r="L1521" s="1">
        <v>0</v>
      </c>
      <c r="M1521" s="1">
        <v>0</v>
      </c>
      <c r="N1521" s="1">
        <v>36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 t="s">
        <v>49</v>
      </c>
      <c r="AA1521" s="1" t="s">
        <v>49</v>
      </c>
      <c r="AB1521" s="1" t="s">
        <v>49</v>
      </c>
      <c r="AC1521" s="1" t="s">
        <v>3453</v>
      </c>
      <c r="AD1521" s="1" t="s">
        <v>3454</v>
      </c>
      <c r="AE1521" s="1" t="s">
        <v>3453</v>
      </c>
      <c r="AF1521" s="1" t="s">
        <v>3455</v>
      </c>
      <c r="AG1521" s="1" t="s">
        <v>53</v>
      </c>
      <c r="AH1521" s="1" t="s">
        <v>49</v>
      </c>
      <c r="AI1521" s="1" t="s">
        <v>54</v>
      </c>
      <c r="AJ1521" s="1">
        <v>1</v>
      </c>
      <c r="AK1521" s="1" t="str">
        <f t="shared" si="23"/>
        <v xml:space="preserve"> =&lt;90</v>
      </c>
      <c r="AL1521" s="1" t="str">
        <f>VLOOKUP(C:C,[1]基础信息!B$1:D$65536,3,0)</f>
        <v>Hotcup</v>
      </c>
      <c r="AM1521" s="1" t="str">
        <f>VLOOKUP(C:C,[1]基础信息!B$1:E$65536,4,0)</f>
        <v>Hotcup</v>
      </c>
      <c r="AN1521" s="1" t="str">
        <f>VLOOKUP(C:C,[1]基础信息!B$1:F$65536,5,0)</f>
        <v xml:space="preserve"> Whi</v>
      </c>
    </row>
    <row r="1522" spans="1:40">
      <c r="A1522" s="1" t="s">
        <v>41</v>
      </c>
      <c r="B1522" s="1" t="s">
        <v>42</v>
      </c>
      <c r="C1522" s="1" t="s">
        <v>1437</v>
      </c>
      <c r="D1522" s="1" t="s">
        <v>1438</v>
      </c>
      <c r="E1522" s="1" t="s">
        <v>45</v>
      </c>
      <c r="F1522" s="1" t="s">
        <v>3542</v>
      </c>
      <c r="G1522" s="1" t="s">
        <v>3543</v>
      </c>
      <c r="H1522" s="1" t="s">
        <v>45</v>
      </c>
      <c r="I1522" s="1" t="s">
        <v>45</v>
      </c>
      <c r="J1522" s="1" t="s">
        <v>48</v>
      </c>
      <c r="K1522" s="1">
        <v>540</v>
      </c>
      <c r="L1522" s="1">
        <v>0</v>
      </c>
      <c r="M1522" s="1">
        <v>0</v>
      </c>
      <c r="N1522" s="1">
        <v>540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 t="s">
        <v>49</v>
      </c>
      <c r="AA1522" s="1" t="s">
        <v>49</v>
      </c>
      <c r="AB1522" s="1" t="s">
        <v>49</v>
      </c>
      <c r="AC1522" s="1" t="s">
        <v>3502</v>
      </c>
      <c r="AD1522" s="1" t="s">
        <v>3503</v>
      </c>
      <c r="AE1522" s="1" t="s">
        <v>3502</v>
      </c>
      <c r="AF1522" s="1" t="s">
        <v>3544</v>
      </c>
      <c r="AG1522" s="1" t="s">
        <v>53</v>
      </c>
      <c r="AH1522" s="1" t="s">
        <v>49</v>
      </c>
      <c r="AI1522" s="1" t="s">
        <v>54</v>
      </c>
      <c r="AJ1522" s="1">
        <v>1</v>
      </c>
      <c r="AK1522" s="1" t="str">
        <f t="shared" si="23"/>
        <v xml:space="preserve"> =&lt;90</v>
      </c>
      <c r="AL1522" s="1" t="str">
        <f>VLOOKUP(C:C,[1]基础信息!B$1:D$65536,3,0)</f>
        <v>On tap</v>
      </c>
      <c r="AM1522" s="1" t="str">
        <f>VLOOKUP(C:C,[1]基础信息!B$1:E$65536,4,0)</f>
        <v>On tap</v>
      </c>
      <c r="AN1522" s="1" t="str">
        <f>VLOOKUP(C:C,[1]基础信息!B$1:F$65536,5,0)</f>
        <v>On tap</v>
      </c>
    </row>
    <row r="1523" spans="1:40">
      <c r="A1523" s="1" t="s">
        <v>41</v>
      </c>
      <c r="B1523" s="1" t="s">
        <v>42</v>
      </c>
      <c r="C1523" s="1" t="s">
        <v>68</v>
      </c>
      <c r="D1523" s="1" t="s">
        <v>69</v>
      </c>
      <c r="E1523" s="1" t="s">
        <v>45</v>
      </c>
      <c r="F1523" s="1" t="s">
        <v>3450</v>
      </c>
      <c r="G1523" s="1" t="s">
        <v>3545</v>
      </c>
      <c r="H1523" s="1" t="s">
        <v>3546</v>
      </c>
      <c r="I1523" s="1" t="s">
        <v>49</v>
      </c>
      <c r="J1523" s="1" t="s">
        <v>48</v>
      </c>
      <c r="K1523" s="1">
        <v>36</v>
      </c>
      <c r="L1523" s="1">
        <v>0</v>
      </c>
      <c r="M1523" s="1">
        <v>0</v>
      </c>
      <c r="N1523" s="1">
        <v>36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 t="s">
        <v>49</v>
      </c>
      <c r="AA1523" s="1" t="s">
        <v>49</v>
      </c>
      <c r="AB1523" s="1" t="s">
        <v>49</v>
      </c>
      <c r="AC1523" s="1" t="s">
        <v>3453</v>
      </c>
      <c r="AD1523" s="1" t="s">
        <v>3454</v>
      </c>
      <c r="AE1523" s="1" t="s">
        <v>3453</v>
      </c>
      <c r="AF1523" s="1" t="s">
        <v>3455</v>
      </c>
      <c r="AG1523" s="1" t="s">
        <v>53</v>
      </c>
      <c r="AH1523" s="1" t="s">
        <v>49</v>
      </c>
      <c r="AI1523" s="1" t="s">
        <v>54</v>
      </c>
      <c r="AJ1523" s="1">
        <v>1</v>
      </c>
      <c r="AK1523" s="1" t="str">
        <f t="shared" si="23"/>
        <v xml:space="preserve"> =&lt;90</v>
      </c>
      <c r="AL1523" s="1" t="str">
        <f>VLOOKUP(C:C,[1]基础信息!B$1:D$65536,3,0)</f>
        <v>Hotcup</v>
      </c>
      <c r="AM1523" s="1" t="str">
        <f>VLOOKUP(C:C,[1]基础信息!B$1:E$65536,4,0)</f>
        <v>Hotcup</v>
      </c>
      <c r="AN1523" s="1" t="str">
        <f>VLOOKUP(C:C,[1]基础信息!B$1:F$65536,5,0)</f>
        <v xml:space="preserve"> Whi</v>
      </c>
    </row>
    <row r="1524" spans="1:40">
      <c r="A1524" s="1" t="s">
        <v>41</v>
      </c>
      <c r="B1524" s="1" t="s">
        <v>42</v>
      </c>
      <c r="C1524" s="1" t="s">
        <v>208</v>
      </c>
      <c r="D1524" s="1" t="s">
        <v>209</v>
      </c>
      <c r="E1524" s="1" t="s">
        <v>208</v>
      </c>
      <c r="F1524" s="1" t="s">
        <v>3379</v>
      </c>
      <c r="G1524" s="1" t="s">
        <v>3547</v>
      </c>
      <c r="H1524" s="1" t="s">
        <v>3548</v>
      </c>
      <c r="I1524" s="1" t="s">
        <v>49</v>
      </c>
      <c r="J1524" s="1" t="s">
        <v>48</v>
      </c>
      <c r="K1524" s="1">
        <v>80</v>
      </c>
      <c r="L1524" s="1">
        <v>0</v>
      </c>
      <c r="M1524" s="1">
        <v>0</v>
      </c>
      <c r="N1524" s="1">
        <v>80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 t="s">
        <v>49</v>
      </c>
      <c r="AA1524" s="1" t="s">
        <v>49</v>
      </c>
      <c r="AB1524" s="1" t="s">
        <v>49</v>
      </c>
      <c r="AC1524" s="1" t="s">
        <v>1330</v>
      </c>
      <c r="AD1524" s="1" t="s">
        <v>1331</v>
      </c>
      <c r="AE1524" s="1" t="s">
        <v>1330</v>
      </c>
      <c r="AF1524" s="1" t="s">
        <v>3382</v>
      </c>
      <c r="AG1524" s="1" t="s">
        <v>53</v>
      </c>
      <c r="AH1524" s="1" t="s">
        <v>49</v>
      </c>
      <c r="AI1524" s="1" t="s">
        <v>54</v>
      </c>
      <c r="AJ1524" s="1">
        <v>1</v>
      </c>
      <c r="AK1524" s="1" t="str">
        <f t="shared" si="23"/>
        <v xml:space="preserve"> =&lt;90</v>
      </c>
      <c r="AL1524" s="1" t="str">
        <f>VLOOKUP(C:C,[1]基础信息!B$1:D$65536,3,0)</f>
        <v>Jug</v>
      </c>
      <c r="AM1524" s="1" t="str">
        <f>VLOOKUP(C:C,[1]基础信息!B$1:E$65536,4,0)</f>
        <v>MXpl</v>
      </c>
      <c r="AN1524" s="1" t="str">
        <f>VLOOKUP(C:C,[1]基础信息!B$1:F$65536,5,0)</f>
        <v>grey</v>
      </c>
    </row>
    <row r="1525" spans="1:40">
      <c r="A1525" s="1" t="s">
        <v>41</v>
      </c>
      <c r="B1525" s="1" t="s">
        <v>42</v>
      </c>
      <c r="C1525" s="1" t="s">
        <v>208</v>
      </c>
      <c r="D1525" s="1" t="s">
        <v>209</v>
      </c>
      <c r="E1525" s="1" t="s">
        <v>208</v>
      </c>
      <c r="F1525" s="1" t="s">
        <v>3379</v>
      </c>
      <c r="G1525" s="1" t="s">
        <v>3549</v>
      </c>
      <c r="H1525" s="1" t="s">
        <v>3550</v>
      </c>
      <c r="I1525" s="1" t="s">
        <v>49</v>
      </c>
      <c r="J1525" s="1" t="s">
        <v>48</v>
      </c>
      <c r="K1525" s="1">
        <v>80</v>
      </c>
      <c r="L1525" s="1">
        <v>0</v>
      </c>
      <c r="M1525" s="1">
        <v>0</v>
      </c>
      <c r="N1525" s="1">
        <v>80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 t="s">
        <v>49</v>
      </c>
      <c r="AA1525" s="1" t="s">
        <v>49</v>
      </c>
      <c r="AB1525" s="1" t="s">
        <v>49</v>
      </c>
      <c r="AC1525" s="1" t="s">
        <v>1330</v>
      </c>
      <c r="AD1525" s="1" t="s">
        <v>1331</v>
      </c>
      <c r="AE1525" s="1" t="s">
        <v>1330</v>
      </c>
      <c r="AF1525" s="1" t="s">
        <v>3382</v>
      </c>
      <c r="AG1525" s="1" t="s">
        <v>53</v>
      </c>
      <c r="AH1525" s="1" t="s">
        <v>49</v>
      </c>
      <c r="AI1525" s="1" t="s">
        <v>54</v>
      </c>
      <c r="AJ1525" s="1">
        <v>1</v>
      </c>
      <c r="AK1525" s="1" t="str">
        <f t="shared" si="23"/>
        <v xml:space="preserve"> =&lt;90</v>
      </c>
      <c r="AL1525" s="1" t="str">
        <f>VLOOKUP(C:C,[1]基础信息!B$1:D$65536,3,0)</f>
        <v>Jug</v>
      </c>
      <c r="AM1525" s="1" t="str">
        <f>VLOOKUP(C:C,[1]基础信息!B$1:E$65536,4,0)</f>
        <v>MXpl</v>
      </c>
      <c r="AN1525" s="1" t="str">
        <f>VLOOKUP(C:C,[1]基础信息!B$1:F$65536,5,0)</f>
        <v>grey</v>
      </c>
    </row>
    <row r="1526" spans="1:40">
      <c r="A1526" s="1" t="s">
        <v>41</v>
      </c>
      <c r="B1526" s="1" t="s">
        <v>42</v>
      </c>
      <c r="C1526" s="1" t="s">
        <v>208</v>
      </c>
      <c r="D1526" s="1" t="s">
        <v>209</v>
      </c>
      <c r="E1526" s="1" t="s">
        <v>208</v>
      </c>
      <c r="F1526" s="1" t="s">
        <v>3379</v>
      </c>
      <c r="G1526" s="1" t="s">
        <v>3551</v>
      </c>
      <c r="H1526" s="1" t="s">
        <v>3552</v>
      </c>
      <c r="I1526" s="1" t="s">
        <v>49</v>
      </c>
      <c r="J1526" s="1" t="s">
        <v>48</v>
      </c>
      <c r="K1526" s="1">
        <v>80</v>
      </c>
      <c r="L1526" s="1">
        <v>0</v>
      </c>
      <c r="M1526" s="1">
        <v>0</v>
      </c>
      <c r="N1526" s="1">
        <v>80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 t="s">
        <v>49</v>
      </c>
      <c r="AA1526" s="1" t="s">
        <v>49</v>
      </c>
      <c r="AB1526" s="1" t="s">
        <v>49</v>
      </c>
      <c r="AC1526" s="1" t="s">
        <v>1330</v>
      </c>
      <c r="AD1526" s="1" t="s">
        <v>1331</v>
      </c>
      <c r="AE1526" s="1" t="s">
        <v>1330</v>
      </c>
      <c r="AF1526" s="1" t="s">
        <v>3382</v>
      </c>
      <c r="AG1526" s="1" t="s">
        <v>53</v>
      </c>
      <c r="AH1526" s="1" t="s">
        <v>49</v>
      </c>
      <c r="AI1526" s="1" t="s">
        <v>54</v>
      </c>
      <c r="AJ1526" s="1">
        <v>1</v>
      </c>
      <c r="AK1526" s="1" t="str">
        <f t="shared" si="23"/>
        <v xml:space="preserve"> =&lt;90</v>
      </c>
      <c r="AL1526" s="1" t="str">
        <f>VLOOKUP(C:C,[1]基础信息!B$1:D$65536,3,0)</f>
        <v>Jug</v>
      </c>
      <c r="AM1526" s="1" t="str">
        <f>VLOOKUP(C:C,[1]基础信息!B$1:E$65536,4,0)</f>
        <v>MXpl</v>
      </c>
      <c r="AN1526" s="1" t="str">
        <f>VLOOKUP(C:C,[1]基础信息!B$1:F$65536,5,0)</f>
        <v>grey</v>
      </c>
    </row>
    <row r="1527" spans="1:40">
      <c r="A1527" s="1" t="s">
        <v>41</v>
      </c>
      <c r="B1527" s="1" t="s">
        <v>42</v>
      </c>
      <c r="C1527" s="1" t="s">
        <v>3512</v>
      </c>
      <c r="D1527" s="1" t="s">
        <v>3513</v>
      </c>
      <c r="E1527" s="1" t="s">
        <v>45</v>
      </c>
      <c r="F1527" s="1" t="s">
        <v>3514</v>
      </c>
      <c r="G1527" s="1" t="s">
        <v>3553</v>
      </c>
      <c r="H1527" s="1" t="s">
        <v>45</v>
      </c>
      <c r="I1527" s="1" t="s">
        <v>45</v>
      </c>
      <c r="J1527" s="1" t="s">
        <v>48</v>
      </c>
      <c r="K1527" s="1">
        <v>403</v>
      </c>
      <c r="L1527" s="1">
        <v>0</v>
      </c>
      <c r="M1527" s="1">
        <v>0</v>
      </c>
      <c r="N1527" s="1">
        <v>403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 t="s">
        <v>49</v>
      </c>
      <c r="AA1527" s="1" t="s">
        <v>49</v>
      </c>
      <c r="AB1527" s="1" t="s">
        <v>49</v>
      </c>
      <c r="AC1527" s="1" t="s">
        <v>3462</v>
      </c>
      <c r="AD1527" s="1" t="s">
        <v>3463</v>
      </c>
      <c r="AE1527" s="1" t="s">
        <v>3462</v>
      </c>
      <c r="AF1527" s="1" t="s">
        <v>49</v>
      </c>
      <c r="AG1527" s="1" t="s">
        <v>3464</v>
      </c>
      <c r="AH1527" s="1" t="s">
        <v>49</v>
      </c>
      <c r="AI1527" s="1" t="s">
        <v>54</v>
      </c>
      <c r="AJ1527" s="1">
        <v>1</v>
      </c>
      <c r="AK1527" s="1" t="str">
        <f t="shared" si="23"/>
        <v xml:space="preserve"> =&lt;90</v>
      </c>
      <c r="AL1527" s="1" t="str">
        <f>VLOOKUP(C:C,[1]基础信息!B$1:D$65536,3,0)</f>
        <v xml:space="preserve">Cartridge </v>
      </c>
      <c r="AM1527" s="1" t="str">
        <f>VLOOKUP(C:C,[1]基础信息!B$1:E$65536,4,0)</f>
        <v>UNIV</v>
      </c>
      <c r="AN1527" s="1" t="str">
        <f>VLOOKUP(C:C,[1]基础信息!B$1:F$65536,5,0)</f>
        <v>P3</v>
      </c>
    </row>
    <row r="1528" spans="1:40">
      <c r="A1528" s="1" t="s">
        <v>41</v>
      </c>
      <c r="B1528" s="1" t="s">
        <v>42</v>
      </c>
      <c r="C1528" s="1" t="s">
        <v>208</v>
      </c>
      <c r="D1528" s="1" t="s">
        <v>209</v>
      </c>
      <c r="E1528" s="1" t="s">
        <v>208</v>
      </c>
      <c r="F1528" s="1" t="s">
        <v>3379</v>
      </c>
      <c r="G1528" s="1" t="s">
        <v>3554</v>
      </c>
      <c r="H1528" s="1" t="s">
        <v>3555</v>
      </c>
      <c r="I1528" s="1" t="s">
        <v>49</v>
      </c>
      <c r="J1528" s="1" t="s">
        <v>48</v>
      </c>
      <c r="K1528" s="1">
        <v>80</v>
      </c>
      <c r="L1528" s="1">
        <v>0</v>
      </c>
      <c r="M1528" s="1">
        <v>0</v>
      </c>
      <c r="N1528" s="1">
        <v>80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 t="s">
        <v>49</v>
      </c>
      <c r="AA1528" s="1" t="s">
        <v>49</v>
      </c>
      <c r="AB1528" s="1" t="s">
        <v>49</v>
      </c>
      <c r="AC1528" s="1" t="s">
        <v>1330</v>
      </c>
      <c r="AD1528" s="1" t="s">
        <v>1331</v>
      </c>
      <c r="AE1528" s="1" t="s">
        <v>1330</v>
      </c>
      <c r="AF1528" s="1" t="s">
        <v>3382</v>
      </c>
      <c r="AG1528" s="1" t="s">
        <v>53</v>
      </c>
      <c r="AH1528" s="1" t="s">
        <v>49</v>
      </c>
      <c r="AI1528" s="1" t="s">
        <v>54</v>
      </c>
      <c r="AJ1528" s="1">
        <v>1</v>
      </c>
      <c r="AK1528" s="1" t="str">
        <f t="shared" si="23"/>
        <v xml:space="preserve"> =&lt;90</v>
      </c>
      <c r="AL1528" s="1" t="str">
        <f>VLOOKUP(C:C,[1]基础信息!B$1:D$65536,3,0)</f>
        <v>Jug</v>
      </c>
      <c r="AM1528" s="1" t="str">
        <f>VLOOKUP(C:C,[1]基础信息!B$1:E$65536,4,0)</f>
        <v>MXpl</v>
      </c>
      <c r="AN1528" s="1" t="str">
        <f>VLOOKUP(C:C,[1]基础信息!B$1:F$65536,5,0)</f>
        <v>grey</v>
      </c>
    </row>
    <row r="1529" spans="1:40">
      <c r="A1529" s="1" t="s">
        <v>41</v>
      </c>
      <c r="B1529" s="1" t="s">
        <v>42</v>
      </c>
      <c r="C1529" s="1" t="s">
        <v>208</v>
      </c>
      <c r="D1529" s="1" t="s">
        <v>209</v>
      </c>
      <c r="E1529" s="1" t="s">
        <v>208</v>
      </c>
      <c r="F1529" s="1" t="s">
        <v>3379</v>
      </c>
      <c r="G1529" s="1" t="s">
        <v>3556</v>
      </c>
      <c r="H1529" s="1" t="s">
        <v>3557</v>
      </c>
      <c r="I1529" s="1" t="s">
        <v>49</v>
      </c>
      <c r="J1529" s="1" t="s">
        <v>48</v>
      </c>
      <c r="K1529" s="1">
        <v>80</v>
      </c>
      <c r="L1529" s="1">
        <v>0</v>
      </c>
      <c r="M1529" s="1">
        <v>0</v>
      </c>
      <c r="N1529" s="1">
        <v>80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 t="s">
        <v>49</v>
      </c>
      <c r="AA1529" s="1" t="s">
        <v>49</v>
      </c>
      <c r="AB1529" s="1" t="s">
        <v>49</v>
      </c>
      <c r="AC1529" s="1" t="s">
        <v>1330</v>
      </c>
      <c r="AD1529" s="1" t="s">
        <v>1331</v>
      </c>
      <c r="AE1529" s="1" t="s">
        <v>1330</v>
      </c>
      <c r="AF1529" s="1" t="s">
        <v>3382</v>
      </c>
      <c r="AG1529" s="1" t="s">
        <v>53</v>
      </c>
      <c r="AH1529" s="1" t="s">
        <v>49</v>
      </c>
      <c r="AI1529" s="1" t="s">
        <v>54</v>
      </c>
      <c r="AJ1529" s="1">
        <v>1</v>
      </c>
      <c r="AK1529" s="1" t="str">
        <f t="shared" si="23"/>
        <v xml:space="preserve"> =&lt;90</v>
      </c>
      <c r="AL1529" s="1" t="str">
        <f>VLOOKUP(C:C,[1]基础信息!B$1:D$65536,3,0)</f>
        <v>Jug</v>
      </c>
      <c r="AM1529" s="1" t="str">
        <f>VLOOKUP(C:C,[1]基础信息!B$1:E$65536,4,0)</f>
        <v>MXpl</v>
      </c>
      <c r="AN1529" s="1" t="str">
        <f>VLOOKUP(C:C,[1]基础信息!B$1:F$65536,5,0)</f>
        <v>grey</v>
      </c>
    </row>
    <row r="1530" spans="1:40">
      <c r="A1530" s="1" t="s">
        <v>41</v>
      </c>
      <c r="B1530" s="1" t="s">
        <v>42</v>
      </c>
      <c r="C1530" s="1" t="s">
        <v>208</v>
      </c>
      <c r="D1530" s="1" t="s">
        <v>209</v>
      </c>
      <c r="E1530" s="1" t="s">
        <v>208</v>
      </c>
      <c r="F1530" s="1" t="s">
        <v>3379</v>
      </c>
      <c r="G1530" s="1" t="s">
        <v>3558</v>
      </c>
      <c r="H1530" s="1" t="s">
        <v>3559</v>
      </c>
      <c r="I1530" s="1" t="s">
        <v>49</v>
      </c>
      <c r="J1530" s="1" t="s">
        <v>48</v>
      </c>
      <c r="K1530" s="1">
        <v>80</v>
      </c>
      <c r="L1530" s="1">
        <v>0</v>
      </c>
      <c r="M1530" s="1">
        <v>0</v>
      </c>
      <c r="N1530" s="1">
        <v>80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 t="s">
        <v>49</v>
      </c>
      <c r="AA1530" s="1" t="s">
        <v>49</v>
      </c>
      <c r="AB1530" s="1" t="s">
        <v>49</v>
      </c>
      <c r="AC1530" s="1" t="s">
        <v>1330</v>
      </c>
      <c r="AD1530" s="1" t="s">
        <v>1331</v>
      </c>
      <c r="AE1530" s="1" t="s">
        <v>1330</v>
      </c>
      <c r="AF1530" s="1" t="s">
        <v>3382</v>
      </c>
      <c r="AG1530" s="1" t="s">
        <v>53</v>
      </c>
      <c r="AH1530" s="1" t="s">
        <v>49</v>
      </c>
      <c r="AI1530" s="1" t="s">
        <v>54</v>
      </c>
      <c r="AJ1530" s="1">
        <v>1</v>
      </c>
      <c r="AK1530" s="1" t="str">
        <f t="shared" si="23"/>
        <v xml:space="preserve"> =&lt;90</v>
      </c>
      <c r="AL1530" s="1" t="str">
        <f>VLOOKUP(C:C,[1]基础信息!B$1:D$65536,3,0)</f>
        <v>Jug</v>
      </c>
      <c r="AM1530" s="1" t="str">
        <f>VLOOKUP(C:C,[1]基础信息!B$1:E$65536,4,0)</f>
        <v>MXpl</v>
      </c>
      <c r="AN1530" s="1" t="str">
        <f>VLOOKUP(C:C,[1]基础信息!B$1:F$65536,5,0)</f>
        <v>grey</v>
      </c>
    </row>
    <row r="1531" spans="1:40">
      <c r="A1531" s="1" t="s">
        <v>41</v>
      </c>
      <c r="B1531" s="1" t="s">
        <v>42</v>
      </c>
      <c r="C1531" s="1" t="s">
        <v>208</v>
      </c>
      <c r="D1531" s="1" t="s">
        <v>209</v>
      </c>
      <c r="E1531" s="1" t="s">
        <v>208</v>
      </c>
      <c r="F1531" s="1" t="s">
        <v>3379</v>
      </c>
      <c r="G1531" s="1" t="s">
        <v>3560</v>
      </c>
      <c r="H1531" s="1" t="s">
        <v>3561</v>
      </c>
      <c r="I1531" s="1" t="s">
        <v>49</v>
      </c>
      <c r="J1531" s="1" t="s">
        <v>48</v>
      </c>
      <c r="K1531" s="1">
        <v>80</v>
      </c>
      <c r="L1531" s="1">
        <v>0</v>
      </c>
      <c r="M1531" s="1">
        <v>0</v>
      </c>
      <c r="N1531" s="1">
        <v>80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 t="s">
        <v>49</v>
      </c>
      <c r="AA1531" s="1" t="s">
        <v>49</v>
      </c>
      <c r="AB1531" s="1" t="s">
        <v>49</v>
      </c>
      <c r="AC1531" s="1" t="s">
        <v>1330</v>
      </c>
      <c r="AD1531" s="1" t="s">
        <v>1331</v>
      </c>
      <c r="AE1531" s="1" t="s">
        <v>1330</v>
      </c>
      <c r="AF1531" s="1" t="s">
        <v>3382</v>
      </c>
      <c r="AG1531" s="1" t="s">
        <v>53</v>
      </c>
      <c r="AH1531" s="1" t="s">
        <v>49</v>
      </c>
      <c r="AI1531" s="1" t="s">
        <v>54</v>
      </c>
      <c r="AJ1531" s="1">
        <v>1</v>
      </c>
      <c r="AK1531" s="1" t="str">
        <f t="shared" si="23"/>
        <v xml:space="preserve"> =&lt;90</v>
      </c>
      <c r="AL1531" s="1" t="str">
        <f>VLOOKUP(C:C,[1]基础信息!B$1:D$65536,3,0)</f>
        <v>Jug</v>
      </c>
      <c r="AM1531" s="1" t="str">
        <f>VLOOKUP(C:C,[1]基础信息!B$1:E$65536,4,0)</f>
        <v>MXpl</v>
      </c>
      <c r="AN1531" s="1" t="str">
        <f>VLOOKUP(C:C,[1]基础信息!B$1:F$65536,5,0)</f>
        <v>grey</v>
      </c>
    </row>
    <row r="1532" spans="1:40">
      <c r="A1532" s="1" t="s">
        <v>41</v>
      </c>
      <c r="B1532" s="1" t="s">
        <v>42</v>
      </c>
      <c r="C1532" s="1" t="s">
        <v>3512</v>
      </c>
      <c r="D1532" s="1" t="s">
        <v>3513</v>
      </c>
      <c r="E1532" s="1" t="s">
        <v>45</v>
      </c>
      <c r="F1532" s="1" t="s">
        <v>3514</v>
      </c>
      <c r="G1532" s="1" t="s">
        <v>3562</v>
      </c>
      <c r="H1532" s="1" t="s">
        <v>45</v>
      </c>
      <c r="I1532" s="1" t="s">
        <v>45</v>
      </c>
      <c r="J1532" s="1" t="s">
        <v>48</v>
      </c>
      <c r="K1532" s="1">
        <v>405</v>
      </c>
      <c r="L1532" s="1">
        <v>0</v>
      </c>
      <c r="M1532" s="1">
        <v>0</v>
      </c>
      <c r="N1532" s="1">
        <v>405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 t="s">
        <v>49</v>
      </c>
      <c r="AA1532" s="1" t="s">
        <v>49</v>
      </c>
      <c r="AB1532" s="1" t="s">
        <v>49</v>
      </c>
      <c r="AC1532" s="1" t="s">
        <v>3462</v>
      </c>
      <c r="AD1532" s="1" t="s">
        <v>3463</v>
      </c>
      <c r="AE1532" s="1" t="s">
        <v>3462</v>
      </c>
      <c r="AF1532" s="1" t="s">
        <v>49</v>
      </c>
      <c r="AG1532" s="1" t="s">
        <v>3464</v>
      </c>
      <c r="AH1532" s="1" t="s">
        <v>49</v>
      </c>
      <c r="AI1532" s="1" t="s">
        <v>54</v>
      </c>
      <c r="AJ1532" s="1">
        <v>1</v>
      </c>
      <c r="AK1532" s="1" t="str">
        <f t="shared" si="23"/>
        <v xml:space="preserve"> =&lt;90</v>
      </c>
      <c r="AL1532" s="1" t="str">
        <f>VLOOKUP(C:C,[1]基础信息!B$1:D$65536,3,0)</f>
        <v xml:space="preserve">Cartridge </v>
      </c>
      <c r="AM1532" s="1" t="str">
        <f>VLOOKUP(C:C,[1]基础信息!B$1:E$65536,4,0)</f>
        <v>UNIV</v>
      </c>
      <c r="AN1532" s="1" t="str">
        <f>VLOOKUP(C:C,[1]基础信息!B$1:F$65536,5,0)</f>
        <v>P3</v>
      </c>
    </row>
    <row r="1533" spans="1:40">
      <c r="A1533" s="1" t="s">
        <v>41</v>
      </c>
      <c r="B1533" s="1" t="s">
        <v>42</v>
      </c>
      <c r="C1533" s="1" t="s">
        <v>208</v>
      </c>
      <c r="D1533" s="1" t="s">
        <v>209</v>
      </c>
      <c r="E1533" s="1" t="s">
        <v>208</v>
      </c>
      <c r="F1533" s="1" t="s">
        <v>3379</v>
      </c>
      <c r="G1533" s="1" t="s">
        <v>3563</v>
      </c>
      <c r="H1533" s="1" t="s">
        <v>3564</v>
      </c>
      <c r="I1533" s="1" t="s">
        <v>49</v>
      </c>
      <c r="J1533" s="1" t="s">
        <v>48</v>
      </c>
      <c r="K1533" s="1">
        <v>80</v>
      </c>
      <c r="L1533" s="1">
        <v>0</v>
      </c>
      <c r="M1533" s="1">
        <v>0</v>
      </c>
      <c r="N1533" s="1">
        <v>80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 t="s">
        <v>49</v>
      </c>
      <c r="AA1533" s="1" t="s">
        <v>49</v>
      </c>
      <c r="AB1533" s="1" t="s">
        <v>49</v>
      </c>
      <c r="AC1533" s="1" t="s">
        <v>1330</v>
      </c>
      <c r="AD1533" s="1" t="s">
        <v>1331</v>
      </c>
      <c r="AE1533" s="1" t="s">
        <v>1330</v>
      </c>
      <c r="AF1533" s="1" t="s">
        <v>3382</v>
      </c>
      <c r="AG1533" s="1" t="s">
        <v>53</v>
      </c>
      <c r="AH1533" s="1" t="s">
        <v>49</v>
      </c>
      <c r="AI1533" s="1" t="s">
        <v>54</v>
      </c>
      <c r="AJ1533" s="1">
        <v>1</v>
      </c>
      <c r="AK1533" s="1" t="str">
        <f t="shared" si="23"/>
        <v xml:space="preserve"> =&lt;90</v>
      </c>
      <c r="AL1533" s="1" t="str">
        <f>VLOOKUP(C:C,[1]基础信息!B$1:D$65536,3,0)</f>
        <v>Jug</v>
      </c>
      <c r="AM1533" s="1" t="str">
        <f>VLOOKUP(C:C,[1]基础信息!B$1:E$65536,4,0)</f>
        <v>MXpl</v>
      </c>
      <c r="AN1533" s="1" t="str">
        <f>VLOOKUP(C:C,[1]基础信息!B$1:F$65536,5,0)</f>
        <v>grey</v>
      </c>
    </row>
    <row r="1534" spans="1:40">
      <c r="A1534" s="1" t="s">
        <v>41</v>
      </c>
      <c r="B1534" s="1" t="s">
        <v>42</v>
      </c>
      <c r="C1534" s="1" t="s">
        <v>208</v>
      </c>
      <c r="D1534" s="1" t="s">
        <v>209</v>
      </c>
      <c r="E1534" s="1" t="s">
        <v>208</v>
      </c>
      <c r="F1534" s="1" t="s">
        <v>3379</v>
      </c>
      <c r="G1534" s="1" t="s">
        <v>3565</v>
      </c>
      <c r="H1534" s="1" t="s">
        <v>3566</v>
      </c>
      <c r="I1534" s="1" t="s">
        <v>49</v>
      </c>
      <c r="J1534" s="1" t="s">
        <v>48</v>
      </c>
      <c r="K1534" s="1">
        <v>80</v>
      </c>
      <c r="L1534" s="1">
        <v>0</v>
      </c>
      <c r="M1534" s="1">
        <v>0</v>
      </c>
      <c r="N1534" s="1">
        <v>80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 t="s">
        <v>49</v>
      </c>
      <c r="AA1534" s="1" t="s">
        <v>49</v>
      </c>
      <c r="AB1534" s="1" t="s">
        <v>49</v>
      </c>
      <c r="AC1534" s="1" t="s">
        <v>1330</v>
      </c>
      <c r="AD1534" s="1" t="s">
        <v>1331</v>
      </c>
      <c r="AE1534" s="1" t="s">
        <v>1330</v>
      </c>
      <c r="AF1534" s="1" t="s">
        <v>3382</v>
      </c>
      <c r="AG1534" s="1" t="s">
        <v>53</v>
      </c>
      <c r="AH1534" s="1" t="s">
        <v>49</v>
      </c>
      <c r="AI1534" s="1" t="s">
        <v>54</v>
      </c>
      <c r="AJ1534" s="1">
        <v>1</v>
      </c>
      <c r="AK1534" s="1" t="str">
        <f t="shared" si="23"/>
        <v xml:space="preserve"> =&lt;90</v>
      </c>
      <c r="AL1534" s="1" t="str">
        <f>VLOOKUP(C:C,[1]基础信息!B$1:D$65536,3,0)</f>
        <v>Jug</v>
      </c>
      <c r="AM1534" s="1" t="str">
        <f>VLOOKUP(C:C,[1]基础信息!B$1:E$65536,4,0)</f>
        <v>MXpl</v>
      </c>
      <c r="AN1534" s="1" t="str">
        <f>VLOOKUP(C:C,[1]基础信息!B$1:F$65536,5,0)</f>
        <v>grey</v>
      </c>
    </row>
    <row r="1535" spans="1:40">
      <c r="A1535" s="1" t="s">
        <v>41</v>
      </c>
      <c r="B1535" s="1" t="s">
        <v>42</v>
      </c>
      <c r="C1535" s="1" t="s">
        <v>208</v>
      </c>
      <c r="D1535" s="1" t="s">
        <v>209</v>
      </c>
      <c r="E1535" s="1" t="s">
        <v>208</v>
      </c>
      <c r="F1535" s="1" t="s">
        <v>3379</v>
      </c>
      <c r="G1535" s="1" t="s">
        <v>3567</v>
      </c>
      <c r="H1535" s="1" t="s">
        <v>3568</v>
      </c>
      <c r="I1535" s="1" t="s">
        <v>49</v>
      </c>
      <c r="J1535" s="1" t="s">
        <v>48</v>
      </c>
      <c r="K1535" s="1">
        <v>80</v>
      </c>
      <c r="L1535" s="1">
        <v>0</v>
      </c>
      <c r="M1535" s="1">
        <v>0</v>
      </c>
      <c r="N1535" s="1">
        <v>80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 t="s">
        <v>49</v>
      </c>
      <c r="AA1535" s="1" t="s">
        <v>49</v>
      </c>
      <c r="AB1535" s="1" t="s">
        <v>49</v>
      </c>
      <c r="AC1535" s="1" t="s">
        <v>1330</v>
      </c>
      <c r="AD1535" s="1" t="s">
        <v>1331</v>
      </c>
      <c r="AE1535" s="1" t="s">
        <v>1330</v>
      </c>
      <c r="AF1535" s="1" t="s">
        <v>3382</v>
      </c>
      <c r="AG1535" s="1" t="s">
        <v>53</v>
      </c>
      <c r="AH1535" s="1" t="s">
        <v>49</v>
      </c>
      <c r="AI1535" s="1" t="s">
        <v>54</v>
      </c>
      <c r="AJ1535" s="1">
        <v>1</v>
      </c>
      <c r="AK1535" s="1" t="str">
        <f t="shared" si="23"/>
        <v xml:space="preserve"> =&lt;90</v>
      </c>
      <c r="AL1535" s="1" t="str">
        <f>VLOOKUP(C:C,[1]基础信息!B$1:D$65536,3,0)</f>
        <v>Jug</v>
      </c>
      <c r="AM1535" s="1" t="str">
        <f>VLOOKUP(C:C,[1]基础信息!B$1:E$65536,4,0)</f>
        <v>MXpl</v>
      </c>
      <c r="AN1535" s="1" t="str">
        <f>VLOOKUP(C:C,[1]基础信息!B$1:F$65536,5,0)</f>
        <v>grey</v>
      </c>
    </row>
    <row r="1536" spans="1:40">
      <c r="A1536" s="1" t="s">
        <v>41</v>
      </c>
      <c r="B1536" s="1" t="s">
        <v>42</v>
      </c>
      <c r="C1536" s="1" t="s">
        <v>208</v>
      </c>
      <c r="D1536" s="1" t="s">
        <v>209</v>
      </c>
      <c r="E1536" s="1" t="s">
        <v>208</v>
      </c>
      <c r="F1536" s="1" t="s">
        <v>3379</v>
      </c>
      <c r="G1536" s="1" t="s">
        <v>3569</v>
      </c>
      <c r="H1536" s="1" t="s">
        <v>3570</v>
      </c>
      <c r="I1536" s="1" t="s">
        <v>49</v>
      </c>
      <c r="J1536" s="1" t="s">
        <v>48</v>
      </c>
      <c r="K1536" s="1">
        <v>80</v>
      </c>
      <c r="L1536" s="1">
        <v>0</v>
      </c>
      <c r="M1536" s="1">
        <v>0</v>
      </c>
      <c r="N1536" s="1">
        <v>80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 t="s">
        <v>49</v>
      </c>
      <c r="AA1536" s="1" t="s">
        <v>49</v>
      </c>
      <c r="AB1536" s="1" t="s">
        <v>49</v>
      </c>
      <c r="AC1536" s="1" t="s">
        <v>1330</v>
      </c>
      <c r="AD1536" s="1" t="s">
        <v>1331</v>
      </c>
      <c r="AE1536" s="1" t="s">
        <v>1330</v>
      </c>
      <c r="AF1536" s="1" t="s">
        <v>3382</v>
      </c>
      <c r="AG1536" s="1" t="s">
        <v>53</v>
      </c>
      <c r="AH1536" s="1" t="s">
        <v>49</v>
      </c>
      <c r="AI1536" s="1" t="s">
        <v>54</v>
      </c>
      <c r="AJ1536" s="1">
        <v>1</v>
      </c>
      <c r="AK1536" s="1" t="str">
        <f t="shared" si="23"/>
        <v xml:space="preserve"> =&lt;90</v>
      </c>
      <c r="AL1536" s="1" t="str">
        <f>VLOOKUP(C:C,[1]基础信息!B$1:D$65536,3,0)</f>
        <v>Jug</v>
      </c>
      <c r="AM1536" s="1" t="str">
        <f>VLOOKUP(C:C,[1]基础信息!B$1:E$65536,4,0)</f>
        <v>MXpl</v>
      </c>
      <c r="AN1536" s="1" t="str">
        <f>VLOOKUP(C:C,[1]基础信息!B$1:F$65536,5,0)</f>
        <v>grey</v>
      </c>
    </row>
    <row r="1537" spans="1:40">
      <c r="A1537" s="1" t="s">
        <v>41</v>
      </c>
      <c r="B1537" s="1" t="s">
        <v>42</v>
      </c>
      <c r="C1537" s="1" t="s">
        <v>1437</v>
      </c>
      <c r="D1537" s="1" t="s">
        <v>1438</v>
      </c>
      <c r="E1537" s="1" t="s">
        <v>45</v>
      </c>
      <c r="F1537" s="1" t="s">
        <v>3571</v>
      </c>
      <c r="G1537" s="1" t="s">
        <v>3572</v>
      </c>
      <c r="H1537" s="1" t="s">
        <v>45</v>
      </c>
      <c r="I1537" s="1" t="s">
        <v>45</v>
      </c>
      <c r="J1537" s="1" t="s">
        <v>48</v>
      </c>
      <c r="K1537" s="1">
        <v>4</v>
      </c>
      <c r="L1537" s="1">
        <v>0</v>
      </c>
      <c r="M1537" s="1">
        <v>0</v>
      </c>
      <c r="N1537" s="1">
        <v>4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 t="s">
        <v>49</v>
      </c>
      <c r="AA1537" s="1" t="s">
        <v>49</v>
      </c>
      <c r="AB1537" s="1" t="s">
        <v>49</v>
      </c>
      <c r="AC1537" s="1" t="s">
        <v>3447</v>
      </c>
      <c r="AD1537" s="1" t="s">
        <v>3448</v>
      </c>
      <c r="AE1537" s="1" t="s">
        <v>3447</v>
      </c>
      <c r="AF1537" s="1" t="s">
        <v>3573</v>
      </c>
      <c r="AG1537" s="1" t="s">
        <v>53</v>
      </c>
      <c r="AH1537" s="1" t="s">
        <v>49</v>
      </c>
      <c r="AI1537" s="1" t="s">
        <v>54</v>
      </c>
      <c r="AJ1537" s="1">
        <v>1</v>
      </c>
      <c r="AK1537" s="1" t="str">
        <f t="shared" si="23"/>
        <v xml:space="preserve"> =&lt;90</v>
      </c>
      <c r="AL1537" s="1" t="str">
        <f>VLOOKUP(C:C,[1]基础信息!B$1:D$65536,3,0)</f>
        <v>On tap</v>
      </c>
      <c r="AM1537" s="1" t="str">
        <f>VLOOKUP(C:C,[1]基础信息!B$1:E$65536,4,0)</f>
        <v>On tap</v>
      </c>
      <c r="AN1537" s="1" t="str">
        <f>VLOOKUP(C:C,[1]基础信息!B$1:F$65536,5,0)</f>
        <v>On tap</v>
      </c>
    </row>
    <row r="1538" spans="1:40">
      <c r="A1538" s="1" t="s">
        <v>41</v>
      </c>
      <c r="B1538" s="1" t="s">
        <v>42</v>
      </c>
      <c r="C1538" s="1" t="s">
        <v>208</v>
      </c>
      <c r="D1538" s="1" t="s">
        <v>209</v>
      </c>
      <c r="E1538" s="1" t="s">
        <v>208</v>
      </c>
      <c r="F1538" s="1" t="s">
        <v>3379</v>
      </c>
      <c r="G1538" s="1" t="s">
        <v>3574</v>
      </c>
      <c r="H1538" s="1" t="s">
        <v>3575</v>
      </c>
      <c r="I1538" s="1" t="s">
        <v>49</v>
      </c>
      <c r="J1538" s="1" t="s">
        <v>48</v>
      </c>
      <c r="K1538" s="1">
        <v>80</v>
      </c>
      <c r="L1538" s="1">
        <v>0</v>
      </c>
      <c r="M1538" s="1">
        <v>0</v>
      </c>
      <c r="N1538" s="1">
        <v>80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 t="s">
        <v>49</v>
      </c>
      <c r="AA1538" s="1" t="s">
        <v>49</v>
      </c>
      <c r="AB1538" s="1" t="s">
        <v>49</v>
      </c>
      <c r="AC1538" s="1" t="s">
        <v>1330</v>
      </c>
      <c r="AD1538" s="1" t="s">
        <v>1331</v>
      </c>
      <c r="AE1538" s="1" t="s">
        <v>1330</v>
      </c>
      <c r="AF1538" s="1" t="s">
        <v>3382</v>
      </c>
      <c r="AG1538" s="1" t="s">
        <v>53</v>
      </c>
      <c r="AH1538" s="1" t="s">
        <v>49</v>
      </c>
      <c r="AI1538" s="1" t="s">
        <v>54</v>
      </c>
      <c r="AJ1538" s="1">
        <v>1</v>
      </c>
      <c r="AK1538" s="1" t="str">
        <f t="shared" ref="AK1538:AK1601" si="24">IF(AJ1538&gt;$AP$2,$AQ$2,IF(AJ1538&gt;$AP$3,$AQ$3,IF(AJ1538&gt;$AP$4,$AQ$4,$AQ$5)))</f>
        <v xml:space="preserve"> =&lt;90</v>
      </c>
      <c r="AL1538" s="1" t="str">
        <f>VLOOKUP(C:C,[1]基础信息!B$1:D$65536,3,0)</f>
        <v>Jug</v>
      </c>
      <c r="AM1538" s="1" t="str">
        <f>VLOOKUP(C:C,[1]基础信息!B$1:E$65536,4,0)</f>
        <v>MXpl</v>
      </c>
      <c r="AN1538" s="1" t="str">
        <f>VLOOKUP(C:C,[1]基础信息!B$1:F$65536,5,0)</f>
        <v>grey</v>
      </c>
    </row>
    <row r="1539" spans="1:40">
      <c r="A1539" s="1" t="s">
        <v>41</v>
      </c>
      <c r="B1539" s="1" t="s">
        <v>42</v>
      </c>
      <c r="C1539" s="1" t="s">
        <v>208</v>
      </c>
      <c r="D1539" s="1" t="s">
        <v>209</v>
      </c>
      <c r="E1539" s="1" t="s">
        <v>208</v>
      </c>
      <c r="F1539" s="1" t="s">
        <v>3379</v>
      </c>
      <c r="G1539" s="1" t="s">
        <v>3576</v>
      </c>
      <c r="H1539" s="1" t="s">
        <v>3577</v>
      </c>
      <c r="I1539" s="1" t="s">
        <v>49</v>
      </c>
      <c r="J1539" s="1" t="s">
        <v>48</v>
      </c>
      <c r="K1539" s="1">
        <v>80</v>
      </c>
      <c r="L1539" s="1">
        <v>0</v>
      </c>
      <c r="M1539" s="1">
        <v>0</v>
      </c>
      <c r="N1539" s="1">
        <v>80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 t="s">
        <v>49</v>
      </c>
      <c r="AA1539" s="1" t="s">
        <v>49</v>
      </c>
      <c r="AB1539" s="1" t="s">
        <v>49</v>
      </c>
      <c r="AC1539" s="1" t="s">
        <v>1330</v>
      </c>
      <c r="AD1539" s="1" t="s">
        <v>1331</v>
      </c>
      <c r="AE1539" s="1" t="s">
        <v>1330</v>
      </c>
      <c r="AF1539" s="1" t="s">
        <v>3382</v>
      </c>
      <c r="AG1539" s="1" t="s">
        <v>53</v>
      </c>
      <c r="AH1539" s="1" t="s">
        <v>49</v>
      </c>
      <c r="AI1539" s="1" t="s">
        <v>54</v>
      </c>
      <c r="AJ1539" s="1">
        <v>1</v>
      </c>
      <c r="AK1539" s="1" t="str">
        <f t="shared" si="24"/>
        <v xml:space="preserve"> =&lt;90</v>
      </c>
      <c r="AL1539" s="1" t="str">
        <f>VLOOKUP(C:C,[1]基础信息!B$1:D$65536,3,0)</f>
        <v>Jug</v>
      </c>
      <c r="AM1539" s="1" t="str">
        <f>VLOOKUP(C:C,[1]基础信息!B$1:E$65536,4,0)</f>
        <v>MXpl</v>
      </c>
      <c r="AN1539" s="1" t="str">
        <f>VLOOKUP(C:C,[1]基础信息!B$1:F$65536,5,0)</f>
        <v>grey</v>
      </c>
    </row>
    <row r="1540" spans="1:40">
      <c r="A1540" s="1" t="s">
        <v>41</v>
      </c>
      <c r="B1540" s="1" t="s">
        <v>42</v>
      </c>
      <c r="C1540" s="1" t="s">
        <v>208</v>
      </c>
      <c r="D1540" s="1" t="s">
        <v>209</v>
      </c>
      <c r="E1540" s="1" t="s">
        <v>208</v>
      </c>
      <c r="F1540" s="1" t="s">
        <v>3379</v>
      </c>
      <c r="G1540" s="1" t="s">
        <v>3578</v>
      </c>
      <c r="H1540" s="1" t="s">
        <v>3579</v>
      </c>
      <c r="I1540" s="1" t="s">
        <v>49</v>
      </c>
      <c r="J1540" s="1" t="s">
        <v>48</v>
      </c>
      <c r="K1540" s="1">
        <v>80</v>
      </c>
      <c r="L1540" s="1">
        <v>0</v>
      </c>
      <c r="M1540" s="1">
        <v>0</v>
      </c>
      <c r="N1540" s="1">
        <v>80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 t="s">
        <v>49</v>
      </c>
      <c r="AA1540" s="1" t="s">
        <v>49</v>
      </c>
      <c r="AB1540" s="1" t="s">
        <v>49</v>
      </c>
      <c r="AC1540" s="1" t="s">
        <v>1330</v>
      </c>
      <c r="AD1540" s="1" t="s">
        <v>1331</v>
      </c>
      <c r="AE1540" s="1" t="s">
        <v>1330</v>
      </c>
      <c r="AF1540" s="1" t="s">
        <v>3382</v>
      </c>
      <c r="AG1540" s="1" t="s">
        <v>53</v>
      </c>
      <c r="AH1540" s="1" t="s">
        <v>49</v>
      </c>
      <c r="AI1540" s="1" t="s">
        <v>54</v>
      </c>
      <c r="AJ1540" s="1">
        <v>1</v>
      </c>
      <c r="AK1540" s="1" t="str">
        <f t="shared" si="24"/>
        <v xml:space="preserve"> =&lt;90</v>
      </c>
      <c r="AL1540" s="1" t="str">
        <f>VLOOKUP(C:C,[1]基础信息!B$1:D$65536,3,0)</f>
        <v>Jug</v>
      </c>
      <c r="AM1540" s="1" t="str">
        <f>VLOOKUP(C:C,[1]基础信息!B$1:E$65536,4,0)</f>
        <v>MXpl</v>
      </c>
      <c r="AN1540" s="1" t="str">
        <f>VLOOKUP(C:C,[1]基础信息!B$1:F$65536,5,0)</f>
        <v>grey</v>
      </c>
    </row>
    <row r="1541" spans="1:40">
      <c r="A1541" s="1" t="s">
        <v>41</v>
      </c>
      <c r="B1541" s="1" t="s">
        <v>42</v>
      </c>
      <c r="C1541" s="1" t="s">
        <v>3580</v>
      </c>
      <c r="D1541" s="1" t="s">
        <v>3581</v>
      </c>
      <c r="E1541" s="1" t="s">
        <v>45</v>
      </c>
      <c r="F1541" s="1" t="s">
        <v>3582</v>
      </c>
      <c r="G1541" s="1" t="s">
        <v>3583</v>
      </c>
      <c r="H1541" s="1" t="s">
        <v>3584</v>
      </c>
      <c r="I1541" s="1" t="s">
        <v>49</v>
      </c>
      <c r="J1541" s="1" t="s">
        <v>48</v>
      </c>
      <c r="K1541" s="1">
        <v>70</v>
      </c>
      <c r="L1541" s="1">
        <v>0</v>
      </c>
      <c r="M1541" s="1">
        <v>0</v>
      </c>
      <c r="N1541" s="1">
        <v>70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 t="s">
        <v>49</v>
      </c>
      <c r="AA1541" s="1" t="s">
        <v>49</v>
      </c>
      <c r="AB1541" s="1" t="s">
        <v>49</v>
      </c>
      <c r="AC1541" s="1" t="s">
        <v>3585</v>
      </c>
      <c r="AD1541" s="1" t="s">
        <v>3586</v>
      </c>
      <c r="AE1541" s="1" t="s">
        <v>3585</v>
      </c>
      <c r="AF1541" s="1" t="s">
        <v>3587</v>
      </c>
      <c r="AG1541" s="1" t="s">
        <v>338</v>
      </c>
      <c r="AH1541" s="1" t="s">
        <v>49</v>
      </c>
      <c r="AI1541" s="1" t="s">
        <v>54</v>
      </c>
      <c r="AJ1541" s="1">
        <v>1</v>
      </c>
      <c r="AK1541" s="1" t="str">
        <f t="shared" si="24"/>
        <v xml:space="preserve"> =&lt;90</v>
      </c>
      <c r="AL1541" s="1" t="str">
        <f>VLOOKUP(C:C,[1]基础信息!B$1:D$65536,3,0)</f>
        <v>Jug</v>
      </c>
      <c r="AM1541" s="1" t="str">
        <f>VLOOKUP(C:C,[1]基础信息!B$1:E$65536,4,0)</f>
        <v>Marella</v>
      </c>
      <c r="AN1541" s="1" t="str">
        <f>VLOOKUP(C:C,[1]基础信息!B$1:F$65536,5,0)</f>
        <v>White</v>
      </c>
    </row>
    <row r="1542" spans="1:40">
      <c r="A1542" s="1" t="s">
        <v>41</v>
      </c>
      <c r="B1542" s="1" t="s">
        <v>42</v>
      </c>
      <c r="C1542" s="1" t="s">
        <v>3580</v>
      </c>
      <c r="D1542" s="1" t="s">
        <v>3581</v>
      </c>
      <c r="E1542" s="1" t="s">
        <v>45</v>
      </c>
      <c r="F1542" s="1" t="s">
        <v>3582</v>
      </c>
      <c r="G1542" s="1" t="s">
        <v>3588</v>
      </c>
      <c r="H1542" s="1" t="s">
        <v>3589</v>
      </c>
      <c r="I1542" s="1" t="s">
        <v>49</v>
      </c>
      <c r="J1542" s="1" t="s">
        <v>48</v>
      </c>
      <c r="K1542" s="1">
        <v>96</v>
      </c>
      <c r="L1542" s="1">
        <v>0</v>
      </c>
      <c r="M1542" s="1">
        <v>0</v>
      </c>
      <c r="N1542" s="1">
        <v>96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 t="s">
        <v>49</v>
      </c>
      <c r="AA1542" s="1" t="s">
        <v>49</v>
      </c>
      <c r="AB1542" s="1" t="s">
        <v>49</v>
      </c>
      <c r="AC1542" s="1" t="s">
        <v>3585</v>
      </c>
      <c r="AD1542" s="1" t="s">
        <v>3586</v>
      </c>
      <c r="AE1542" s="1" t="s">
        <v>3585</v>
      </c>
      <c r="AF1542" s="1" t="s">
        <v>3587</v>
      </c>
      <c r="AG1542" s="1" t="s">
        <v>338</v>
      </c>
      <c r="AH1542" s="1" t="s">
        <v>49</v>
      </c>
      <c r="AI1542" s="1" t="s">
        <v>54</v>
      </c>
      <c r="AJ1542" s="1">
        <v>1</v>
      </c>
      <c r="AK1542" s="1" t="str">
        <f t="shared" si="24"/>
        <v xml:space="preserve"> =&lt;90</v>
      </c>
      <c r="AL1542" s="1" t="str">
        <f>VLOOKUP(C:C,[1]基础信息!B$1:D$65536,3,0)</f>
        <v>Jug</v>
      </c>
      <c r="AM1542" s="1" t="str">
        <f>VLOOKUP(C:C,[1]基础信息!B$1:E$65536,4,0)</f>
        <v>Marella</v>
      </c>
      <c r="AN1542" s="1" t="str">
        <f>VLOOKUP(C:C,[1]基础信息!B$1:F$65536,5,0)</f>
        <v>White</v>
      </c>
    </row>
    <row r="1543" spans="1:40">
      <c r="A1543" s="1" t="s">
        <v>41</v>
      </c>
      <c r="B1543" s="1" t="s">
        <v>42</v>
      </c>
      <c r="C1543" s="1" t="s">
        <v>301</v>
      </c>
      <c r="D1543" s="1" t="s">
        <v>302</v>
      </c>
      <c r="E1543" s="1" t="s">
        <v>45</v>
      </c>
      <c r="F1543" s="1" t="s">
        <v>3590</v>
      </c>
      <c r="G1543" s="1" t="s">
        <v>3591</v>
      </c>
      <c r="H1543" s="1" t="s">
        <v>3592</v>
      </c>
      <c r="I1543" s="1" t="s">
        <v>49</v>
      </c>
      <c r="J1543" s="1" t="s">
        <v>48</v>
      </c>
      <c r="K1543" s="1">
        <v>96</v>
      </c>
      <c r="L1543" s="1">
        <v>0</v>
      </c>
      <c r="M1543" s="1">
        <v>0</v>
      </c>
      <c r="N1543" s="1">
        <v>96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 t="s">
        <v>49</v>
      </c>
      <c r="AA1543" s="1" t="s">
        <v>49</v>
      </c>
      <c r="AB1543" s="1" t="s">
        <v>49</v>
      </c>
      <c r="AC1543" s="1" t="s">
        <v>3593</v>
      </c>
      <c r="AD1543" s="1" t="s">
        <v>3594</v>
      </c>
      <c r="AE1543" s="1" t="s">
        <v>3593</v>
      </c>
      <c r="AF1543" s="1" t="s">
        <v>307</v>
      </c>
      <c r="AG1543" s="1" t="s">
        <v>53</v>
      </c>
      <c r="AH1543" s="1" t="s">
        <v>49</v>
      </c>
      <c r="AI1543" s="1" t="s">
        <v>54</v>
      </c>
      <c r="AJ1543" s="1">
        <v>1</v>
      </c>
      <c r="AK1543" s="1" t="str">
        <f t="shared" si="24"/>
        <v xml:space="preserve"> =&lt;90</v>
      </c>
      <c r="AL1543" s="1" t="str">
        <f>VLOOKUP(C:C,[1]基础信息!B$1:D$65536,3,0)</f>
        <v>Jug</v>
      </c>
      <c r="AM1543" s="1" t="str">
        <f>VLOOKUP(C:C,[1]基础信息!B$1:E$65536,4,0)</f>
        <v>Aluna</v>
      </c>
      <c r="AN1543" s="1" t="str">
        <f>VLOOKUP(C:C,[1]基础信息!B$1:F$65536,5,0)</f>
        <v>Blue</v>
      </c>
    </row>
    <row r="1544" spans="1:40">
      <c r="A1544" s="1" t="s">
        <v>41</v>
      </c>
      <c r="B1544" s="1" t="s">
        <v>42</v>
      </c>
      <c r="C1544" s="1" t="s">
        <v>3580</v>
      </c>
      <c r="D1544" s="1" t="s">
        <v>3581</v>
      </c>
      <c r="E1544" s="1" t="s">
        <v>45</v>
      </c>
      <c r="F1544" s="1" t="s">
        <v>3582</v>
      </c>
      <c r="G1544" s="1" t="s">
        <v>3595</v>
      </c>
      <c r="H1544" s="1" t="s">
        <v>3596</v>
      </c>
      <c r="I1544" s="1" t="s">
        <v>49</v>
      </c>
      <c r="J1544" s="1" t="s">
        <v>48</v>
      </c>
      <c r="K1544" s="1">
        <v>96</v>
      </c>
      <c r="L1544" s="1">
        <v>0</v>
      </c>
      <c r="M1544" s="1">
        <v>0</v>
      </c>
      <c r="N1544" s="1">
        <v>96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 t="s">
        <v>49</v>
      </c>
      <c r="AA1544" s="1" t="s">
        <v>49</v>
      </c>
      <c r="AB1544" s="1" t="s">
        <v>49</v>
      </c>
      <c r="AC1544" s="1" t="s">
        <v>3585</v>
      </c>
      <c r="AD1544" s="1" t="s">
        <v>3586</v>
      </c>
      <c r="AE1544" s="1" t="s">
        <v>3585</v>
      </c>
      <c r="AF1544" s="1" t="s">
        <v>3587</v>
      </c>
      <c r="AG1544" s="1" t="s">
        <v>338</v>
      </c>
      <c r="AH1544" s="1" t="s">
        <v>49</v>
      </c>
      <c r="AI1544" s="1" t="s">
        <v>54</v>
      </c>
      <c r="AJ1544" s="1">
        <v>1</v>
      </c>
      <c r="AK1544" s="1" t="str">
        <f t="shared" si="24"/>
        <v xml:space="preserve"> =&lt;90</v>
      </c>
      <c r="AL1544" s="1" t="str">
        <f>VLOOKUP(C:C,[1]基础信息!B$1:D$65536,3,0)</f>
        <v>Jug</v>
      </c>
      <c r="AM1544" s="1" t="str">
        <f>VLOOKUP(C:C,[1]基础信息!B$1:E$65536,4,0)</f>
        <v>Marella</v>
      </c>
      <c r="AN1544" s="1" t="str">
        <f>VLOOKUP(C:C,[1]基础信息!B$1:F$65536,5,0)</f>
        <v>White</v>
      </c>
    </row>
    <row r="1545" spans="1:40">
      <c r="A1545" s="1" t="s">
        <v>41</v>
      </c>
      <c r="B1545" s="1" t="s">
        <v>42</v>
      </c>
      <c r="C1545" s="1" t="s">
        <v>208</v>
      </c>
      <c r="D1545" s="1" t="s">
        <v>209</v>
      </c>
      <c r="E1545" s="1" t="s">
        <v>208</v>
      </c>
      <c r="F1545" s="1" t="s">
        <v>3379</v>
      </c>
      <c r="G1545" s="1" t="s">
        <v>3597</v>
      </c>
      <c r="H1545" s="1" t="s">
        <v>3598</v>
      </c>
      <c r="I1545" s="1" t="s">
        <v>49</v>
      </c>
      <c r="J1545" s="1" t="s">
        <v>48</v>
      </c>
      <c r="K1545" s="1">
        <v>80</v>
      </c>
      <c r="L1545" s="1">
        <v>0</v>
      </c>
      <c r="M1545" s="1">
        <v>0</v>
      </c>
      <c r="N1545" s="1">
        <v>80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 t="s">
        <v>49</v>
      </c>
      <c r="AA1545" s="1" t="s">
        <v>49</v>
      </c>
      <c r="AB1545" s="1" t="s">
        <v>49</v>
      </c>
      <c r="AC1545" s="1" t="s">
        <v>1330</v>
      </c>
      <c r="AD1545" s="1" t="s">
        <v>1331</v>
      </c>
      <c r="AE1545" s="1" t="s">
        <v>1330</v>
      </c>
      <c r="AF1545" s="1" t="s">
        <v>3382</v>
      </c>
      <c r="AG1545" s="1" t="s">
        <v>53</v>
      </c>
      <c r="AH1545" s="1" t="s">
        <v>49</v>
      </c>
      <c r="AI1545" s="1" t="s">
        <v>54</v>
      </c>
      <c r="AJ1545" s="1">
        <v>1</v>
      </c>
      <c r="AK1545" s="1" t="str">
        <f t="shared" si="24"/>
        <v xml:space="preserve"> =&lt;90</v>
      </c>
      <c r="AL1545" s="1" t="str">
        <f>VLOOKUP(C:C,[1]基础信息!B$1:D$65536,3,0)</f>
        <v>Jug</v>
      </c>
      <c r="AM1545" s="1" t="str">
        <f>VLOOKUP(C:C,[1]基础信息!B$1:E$65536,4,0)</f>
        <v>MXpl</v>
      </c>
      <c r="AN1545" s="1" t="str">
        <f>VLOOKUP(C:C,[1]基础信息!B$1:F$65536,5,0)</f>
        <v>grey</v>
      </c>
    </row>
    <row r="1546" spans="1:40">
      <c r="A1546" s="1" t="s">
        <v>41</v>
      </c>
      <c r="B1546" s="1" t="s">
        <v>42</v>
      </c>
      <c r="C1546" s="1" t="s">
        <v>3580</v>
      </c>
      <c r="D1546" s="1" t="s">
        <v>3581</v>
      </c>
      <c r="E1546" s="1" t="s">
        <v>45</v>
      </c>
      <c r="F1546" s="1" t="s">
        <v>3582</v>
      </c>
      <c r="G1546" s="1" t="s">
        <v>3599</v>
      </c>
      <c r="H1546" s="1" t="s">
        <v>3600</v>
      </c>
      <c r="I1546" s="1" t="s">
        <v>49</v>
      </c>
      <c r="J1546" s="1" t="s">
        <v>48</v>
      </c>
      <c r="K1546" s="1">
        <v>96</v>
      </c>
      <c r="L1546" s="1">
        <v>0</v>
      </c>
      <c r="M1546" s="1">
        <v>0</v>
      </c>
      <c r="N1546" s="1">
        <v>96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 t="s">
        <v>49</v>
      </c>
      <c r="AA1546" s="1" t="s">
        <v>49</v>
      </c>
      <c r="AB1546" s="1" t="s">
        <v>49</v>
      </c>
      <c r="AC1546" s="1" t="s">
        <v>3585</v>
      </c>
      <c r="AD1546" s="1" t="s">
        <v>3586</v>
      </c>
      <c r="AE1546" s="1" t="s">
        <v>3585</v>
      </c>
      <c r="AF1546" s="1" t="s">
        <v>3587</v>
      </c>
      <c r="AG1546" s="1" t="s">
        <v>338</v>
      </c>
      <c r="AH1546" s="1" t="s">
        <v>49</v>
      </c>
      <c r="AI1546" s="1" t="s">
        <v>54</v>
      </c>
      <c r="AJ1546" s="1">
        <v>1</v>
      </c>
      <c r="AK1546" s="1" t="str">
        <f t="shared" si="24"/>
        <v xml:space="preserve"> =&lt;90</v>
      </c>
      <c r="AL1546" s="1" t="str">
        <f>VLOOKUP(C:C,[1]基础信息!B$1:D$65536,3,0)</f>
        <v>Jug</v>
      </c>
      <c r="AM1546" s="1" t="str">
        <f>VLOOKUP(C:C,[1]基础信息!B$1:E$65536,4,0)</f>
        <v>Marella</v>
      </c>
      <c r="AN1546" s="1" t="str">
        <f>VLOOKUP(C:C,[1]基础信息!B$1:F$65536,5,0)</f>
        <v>White</v>
      </c>
    </row>
    <row r="1547" spans="1:40">
      <c r="A1547" s="1" t="s">
        <v>41</v>
      </c>
      <c r="B1547" s="1" t="s">
        <v>42</v>
      </c>
      <c r="C1547" s="1" t="s">
        <v>3601</v>
      </c>
      <c r="D1547" s="1" t="s">
        <v>3602</v>
      </c>
      <c r="E1547" s="1" t="s">
        <v>45</v>
      </c>
      <c r="F1547" s="1" t="s">
        <v>3603</v>
      </c>
      <c r="G1547" s="1" t="s">
        <v>3604</v>
      </c>
      <c r="H1547" s="1" t="s">
        <v>45</v>
      </c>
      <c r="I1547" s="1" t="s">
        <v>45</v>
      </c>
      <c r="J1547" s="1" t="s">
        <v>48</v>
      </c>
      <c r="K1547" s="1">
        <v>495</v>
      </c>
      <c r="L1547" s="1">
        <v>0</v>
      </c>
      <c r="M1547" s="1">
        <v>0</v>
      </c>
      <c r="N1547" s="1">
        <v>495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 t="s">
        <v>49</v>
      </c>
      <c r="AA1547" s="1" t="s">
        <v>49</v>
      </c>
      <c r="AB1547" s="1" t="s">
        <v>49</v>
      </c>
      <c r="AC1547" s="1" t="s">
        <v>3462</v>
      </c>
      <c r="AD1547" s="1" t="s">
        <v>3463</v>
      </c>
      <c r="AE1547" s="1" t="s">
        <v>3462</v>
      </c>
      <c r="AF1547" s="1" t="s">
        <v>49</v>
      </c>
      <c r="AG1547" s="1" t="s">
        <v>3464</v>
      </c>
      <c r="AH1547" s="1" t="s">
        <v>49</v>
      </c>
      <c r="AI1547" s="1" t="s">
        <v>54</v>
      </c>
      <c r="AJ1547" s="1">
        <v>1</v>
      </c>
      <c r="AK1547" s="1" t="str">
        <f t="shared" si="24"/>
        <v xml:space="preserve"> =&lt;90</v>
      </c>
      <c r="AL1547" s="1" t="e">
        <f>VLOOKUP(C:C,[1]基础信息!B$1:D$65536,3,0)</f>
        <v>#N/A</v>
      </c>
      <c r="AM1547" s="1" t="e">
        <f>VLOOKUP(C:C,[1]基础信息!B$1:E$65536,4,0)</f>
        <v>#N/A</v>
      </c>
      <c r="AN1547" s="1" t="e">
        <f>VLOOKUP(C:C,[1]基础信息!B$1:F$65536,5,0)</f>
        <v>#N/A</v>
      </c>
    </row>
    <row r="1548" spans="1:40">
      <c r="A1548" s="1" t="s">
        <v>41</v>
      </c>
      <c r="B1548" s="1" t="s">
        <v>42</v>
      </c>
      <c r="C1548" s="1" t="s">
        <v>208</v>
      </c>
      <c r="D1548" s="1" t="s">
        <v>209</v>
      </c>
      <c r="E1548" s="1" t="s">
        <v>208</v>
      </c>
      <c r="F1548" s="1" t="s">
        <v>3379</v>
      </c>
      <c r="G1548" s="1" t="s">
        <v>3605</v>
      </c>
      <c r="H1548" s="1" t="s">
        <v>3606</v>
      </c>
      <c r="I1548" s="1" t="s">
        <v>49</v>
      </c>
      <c r="J1548" s="1" t="s">
        <v>48</v>
      </c>
      <c r="K1548" s="1">
        <v>80</v>
      </c>
      <c r="L1548" s="1">
        <v>0</v>
      </c>
      <c r="M1548" s="1">
        <v>0</v>
      </c>
      <c r="N1548" s="1">
        <v>80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 t="s">
        <v>49</v>
      </c>
      <c r="AA1548" s="1" t="s">
        <v>49</v>
      </c>
      <c r="AB1548" s="1" t="s">
        <v>49</v>
      </c>
      <c r="AC1548" s="1" t="s">
        <v>1330</v>
      </c>
      <c r="AD1548" s="1" t="s">
        <v>1331</v>
      </c>
      <c r="AE1548" s="1" t="s">
        <v>1330</v>
      </c>
      <c r="AF1548" s="1" t="s">
        <v>3382</v>
      </c>
      <c r="AG1548" s="1" t="s">
        <v>53</v>
      </c>
      <c r="AH1548" s="1" t="s">
        <v>49</v>
      </c>
      <c r="AI1548" s="1" t="s">
        <v>54</v>
      </c>
      <c r="AJ1548" s="1">
        <v>1</v>
      </c>
      <c r="AK1548" s="1" t="str">
        <f t="shared" si="24"/>
        <v xml:space="preserve"> =&lt;90</v>
      </c>
      <c r="AL1548" s="1" t="str">
        <f>VLOOKUP(C:C,[1]基础信息!B$1:D$65536,3,0)</f>
        <v>Jug</v>
      </c>
      <c r="AM1548" s="1" t="str">
        <f>VLOOKUP(C:C,[1]基础信息!B$1:E$65536,4,0)</f>
        <v>MXpl</v>
      </c>
      <c r="AN1548" s="1" t="str">
        <f>VLOOKUP(C:C,[1]基础信息!B$1:F$65536,5,0)</f>
        <v>grey</v>
      </c>
    </row>
    <row r="1549" spans="1:40">
      <c r="A1549" s="1" t="s">
        <v>41</v>
      </c>
      <c r="B1549" s="1" t="s">
        <v>42</v>
      </c>
      <c r="C1549" s="1" t="s">
        <v>208</v>
      </c>
      <c r="D1549" s="1" t="s">
        <v>209</v>
      </c>
      <c r="E1549" s="1" t="s">
        <v>208</v>
      </c>
      <c r="F1549" s="1" t="s">
        <v>3379</v>
      </c>
      <c r="G1549" s="1" t="s">
        <v>3607</v>
      </c>
      <c r="H1549" s="1" t="s">
        <v>3608</v>
      </c>
      <c r="I1549" s="1" t="s">
        <v>49</v>
      </c>
      <c r="J1549" s="1" t="s">
        <v>48</v>
      </c>
      <c r="K1549" s="1">
        <v>80</v>
      </c>
      <c r="L1549" s="1">
        <v>0</v>
      </c>
      <c r="M1549" s="1">
        <v>0</v>
      </c>
      <c r="N1549" s="1">
        <v>80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 t="s">
        <v>49</v>
      </c>
      <c r="AA1549" s="1" t="s">
        <v>49</v>
      </c>
      <c r="AB1549" s="1" t="s">
        <v>49</v>
      </c>
      <c r="AC1549" s="1" t="s">
        <v>1330</v>
      </c>
      <c r="AD1549" s="1" t="s">
        <v>1331</v>
      </c>
      <c r="AE1549" s="1" t="s">
        <v>1330</v>
      </c>
      <c r="AF1549" s="1" t="s">
        <v>3382</v>
      </c>
      <c r="AG1549" s="1" t="s">
        <v>53</v>
      </c>
      <c r="AH1549" s="1" t="s">
        <v>49</v>
      </c>
      <c r="AI1549" s="1" t="s">
        <v>54</v>
      </c>
      <c r="AJ1549" s="1">
        <v>1</v>
      </c>
      <c r="AK1549" s="1" t="str">
        <f t="shared" si="24"/>
        <v xml:space="preserve"> =&lt;90</v>
      </c>
      <c r="AL1549" s="1" t="str">
        <f>VLOOKUP(C:C,[1]基础信息!B$1:D$65536,3,0)</f>
        <v>Jug</v>
      </c>
      <c r="AM1549" s="1" t="str">
        <f>VLOOKUP(C:C,[1]基础信息!B$1:E$65536,4,0)</f>
        <v>MXpl</v>
      </c>
      <c r="AN1549" s="1" t="str">
        <f>VLOOKUP(C:C,[1]基础信息!B$1:F$65536,5,0)</f>
        <v>grey</v>
      </c>
    </row>
    <row r="1550" spans="1:40">
      <c r="A1550" s="1" t="s">
        <v>41</v>
      </c>
      <c r="B1550" s="1" t="s">
        <v>42</v>
      </c>
      <c r="C1550" s="1" t="s">
        <v>208</v>
      </c>
      <c r="D1550" s="1" t="s">
        <v>209</v>
      </c>
      <c r="E1550" s="1" t="s">
        <v>208</v>
      </c>
      <c r="F1550" s="1" t="s">
        <v>3379</v>
      </c>
      <c r="G1550" s="1" t="s">
        <v>3609</v>
      </c>
      <c r="H1550" s="1" t="s">
        <v>3610</v>
      </c>
      <c r="I1550" s="1" t="s">
        <v>49</v>
      </c>
      <c r="J1550" s="1" t="s">
        <v>48</v>
      </c>
      <c r="K1550" s="1">
        <v>80</v>
      </c>
      <c r="L1550" s="1">
        <v>0</v>
      </c>
      <c r="M1550" s="1">
        <v>0</v>
      </c>
      <c r="N1550" s="1">
        <v>80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 t="s">
        <v>49</v>
      </c>
      <c r="AA1550" s="1" t="s">
        <v>49</v>
      </c>
      <c r="AB1550" s="1" t="s">
        <v>49</v>
      </c>
      <c r="AC1550" s="1" t="s">
        <v>1330</v>
      </c>
      <c r="AD1550" s="1" t="s">
        <v>1331</v>
      </c>
      <c r="AE1550" s="1" t="s">
        <v>1330</v>
      </c>
      <c r="AF1550" s="1" t="s">
        <v>3382</v>
      </c>
      <c r="AG1550" s="1" t="s">
        <v>53</v>
      </c>
      <c r="AH1550" s="1" t="s">
        <v>49</v>
      </c>
      <c r="AI1550" s="1" t="s">
        <v>54</v>
      </c>
      <c r="AJ1550" s="1">
        <v>1</v>
      </c>
      <c r="AK1550" s="1" t="str">
        <f t="shared" si="24"/>
        <v xml:space="preserve"> =&lt;90</v>
      </c>
      <c r="AL1550" s="1" t="str">
        <f>VLOOKUP(C:C,[1]基础信息!B$1:D$65536,3,0)</f>
        <v>Jug</v>
      </c>
      <c r="AM1550" s="1" t="str">
        <f>VLOOKUP(C:C,[1]基础信息!B$1:E$65536,4,0)</f>
        <v>MXpl</v>
      </c>
      <c r="AN1550" s="1" t="str">
        <f>VLOOKUP(C:C,[1]基础信息!B$1:F$65536,5,0)</f>
        <v>grey</v>
      </c>
    </row>
    <row r="1551" spans="1:40">
      <c r="A1551" s="1" t="s">
        <v>41</v>
      </c>
      <c r="B1551" s="1" t="s">
        <v>42</v>
      </c>
      <c r="C1551" s="1" t="s">
        <v>3580</v>
      </c>
      <c r="D1551" s="1" t="s">
        <v>3581</v>
      </c>
      <c r="E1551" s="1" t="s">
        <v>45</v>
      </c>
      <c r="F1551" s="1" t="s">
        <v>3582</v>
      </c>
      <c r="G1551" s="1" t="s">
        <v>3611</v>
      </c>
      <c r="H1551" s="1" t="s">
        <v>3612</v>
      </c>
      <c r="I1551" s="1" t="s">
        <v>49</v>
      </c>
      <c r="J1551" s="1" t="s">
        <v>48</v>
      </c>
      <c r="K1551" s="1">
        <v>96</v>
      </c>
      <c r="L1551" s="1">
        <v>0</v>
      </c>
      <c r="M1551" s="1">
        <v>0</v>
      </c>
      <c r="N1551" s="1">
        <v>96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 t="s">
        <v>49</v>
      </c>
      <c r="AA1551" s="1" t="s">
        <v>49</v>
      </c>
      <c r="AB1551" s="1" t="s">
        <v>49</v>
      </c>
      <c r="AC1551" s="1" t="s">
        <v>3585</v>
      </c>
      <c r="AD1551" s="1" t="s">
        <v>3586</v>
      </c>
      <c r="AE1551" s="1" t="s">
        <v>3585</v>
      </c>
      <c r="AF1551" s="1" t="s">
        <v>3587</v>
      </c>
      <c r="AG1551" s="1" t="s">
        <v>338</v>
      </c>
      <c r="AH1551" s="1" t="s">
        <v>49</v>
      </c>
      <c r="AI1551" s="1" t="s">
        <v>54</v>
      </c>
      <c r="AJ1551" s="1">
        <v>1</v>
      </c>
      <c r="AK1551" s="1" t="str">
        <f t="shared" si="24"/>
        <v xml:space="preserve"> =&lt;90</v>
      </c>
      <c r="AL1551" s="1" t="str">
        <f>VLOOKUP(C:C,[1]基础信息!B$1:D$65536,3,0)</f>
        <v>Jug</v>
      </c>
      <c r="AM1551" s="1" t="str">
        <f>VLOOKUP(C:C,[1]基础信息!B$1:E$65536,4,0)</f>
        <v>Marella</v>
      </c>
      <c r="AN1551" s="1" t="str">
        <f>VLOOKUP(C:C,[1]基础信息!B$1:F$65536,5,0)</f>
        <v>White</v>
      </c>
    </row>
    <row r="1552" spans="1:40">
      <c r="A1552" s="1" t="s">
        <v>41</v>
      </c>
      <c r="B1552" s="1" t="s">
        <v>42</v>
      </c>
      <c r="C1552" s="1" t="s">
        <v>3580</v>
      </c>
      <c r="D1552" s="1" t="s">
        <v>3581</v>
      </c>
      <c r="E1552" s="1" t="s">
        <v>45</v>
      </c>
      <c r="F1552" s="1" t="s">
        <v>3582</v>
      </c>
      <c r="G1552" s="1" t="s">
        <v>3613</v>
      </c>
      <c r="H1552" s="1" t="s">
        <v>3614</v>
      </c>
      <c r="I1552" s="1" t="s">
        <v>49</v>
      </c>
      <c r="J1552" s="1" t="s">
        <v>48</v>
      </c>
      <c r="K1552" s="1">
        <v>96</v>
      </c>
      <c r="L1552" s="1">
        <v>0</v>
      </c>
      <c r="M1552" s="1">
        <v>0</v>
      </c>
      <c r="N1552" s="1">
        <v>96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 t="s">
        <v>49</v>
      </c>
      <c r="AA1552" s="1" t="s">
        <v>49</v>
      </c>
      <c r="AB1552" s="1" t="s">
        <v>49</v>
      </c>
      <c r="AC1552" s="1" t="s">
        <v>3585</v>
      </c>
      <c r="AD1552" s="1" t="s">
        <v>3586</v>
      </c>
      <c r="AE1552" s="1" t="s">
        <v>3585</v>
      </c>
      <c r="AF1552" s="1" t="s">
        <v>3587</v>
      </c>
      <c r="AG1552" s="1" t="s">
        <v>338</v>
      </c>
      <c r="AH1552" s="1" t="s">
        <v>49</v>
      </c>
      <c r="AI1552" s="1" t="s">
        <v>54</v>
      </c>
      <c r="AJ1552" s="1">
        <v>1</v>
      </c>
      <c r="AK1552" s="1" t="str">
        <f t="shared" si="24"/>
        <v xml:space="preserve"> =&lt;90</v>
      </c>
      <c r="AL1552" s="1" t="str">
        <f>VLOOKUP(C:C,[1]基础信息!B$1:D$65536,3,0)</f>
        <v>Jug</v>
      </c>
      <c r="AM1552" s="1" t="str">
        <f>VLOOKUP(C:C,[1]基础信息!B$1:E$65536,4,0)</f>
        <v>Marella</v>
      </c>
      <c r="AN1552" s="1" t="str">
        <f>VLOOKUP(C:C,[1]基础信息!B$1:F$65536,5,0)</f>
        <v>White</v>
      </c>
    </row>
    <row r="1553" spans="1:40">
      <c r="A1553" s="1" t="s">
        <v>41</v>
      </c>
      <c r="B1553" s="1" t="s">
        <v>42</v>
      </c>
      <c r="C1553" s="1" t="s">
        <v>301</v>
      </c>
      <c r="D1553" s="1" t="s">
        <v>302</v>
      </c>
      <c r="E1553" s="1" t="s">
        <v>45</v>
      </c>
      <c r="F1553" s="1" t="s">
        <v>3590</v>
      </c>
      <c r="G1553" s="1" t="s">
        <v>3615</v>
      </c>
      <c r="H1553" s="1" t="s">
        <v>3616</v>
      </c>
      <c r="I1553" s="1" t="s">
        <v>49</v>
      </c>
      <c r="J1553" s="1" t="s">
        <v>48</v>
      </c>
      <c r="K1553" s="1">
        <v>96</v>
      </c>
      <c r="L1553" s="1">
        <v>0</v>
      </c>
      <c r="M1553" s="1">
        <v>0</v>
      </c>
      <c r="N1553" s="1">
        <v>96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 t="s">
        <v>49</v>
      </c>
      <c r="AA1553" s="1" t="s">
        <v>49</v>
      </c>
      <c r="AB1553" s="1" t="s">
        <v>49</v>
      </c>
      <c r="AC1553" s="1" t="s">
        <v>3593</v>
      </c>
      <c r="AD1553" s="1" t="s">
        <v>3594</v>
      </c>
      <c r="AE1553" s="1" t="s">
        <v>3593</v>
      </c>
      <c r="AF1553" s="1" t="s">
        <v>307</v>
      </c>
      <c r="AG1553" s="1" t="s">
        <v>53</v>
      </c>
      <c r="AH1553" s="1" t="s">
        <v>49</v>
      </c>
      <c r="AI1553" s="1" t="s">
        <v>54</v>
      </c>
      <c r="AJ1553" s="1">
        <v>1</v>
      </c>
      <c r="AK1553" s="1" t="str">
        <f t="shared" si="24"/>
        <v xml:space="preserve"> =&lt;90</v>
      </c>
      <c r="AL1553" s="1" t="str">
        <f>VLOOKUP(C:C,[1]基础信息!B$1:D$65536,3,0)</f>
        <v>Jug</v>
      </c>
      <c r="AM1553" s="1" t="str">
        <f>VLOOKUP(C:C,[1]基础信息!B$1:E$65536,4,0)</f>
        <v>Aluna</v>
      </c>
      <c r="AN1553" s="1" t="str">
        <f>VLOOKUP(C:C,[1]基础信息!B$1:F$65536,5,0)</f>
        <v>Blue</v>
      </c>
    </row>
    <row r="1554" spans="1:40">
      <c r="A1554" s="1" t="s">
        <v>41</v>
      </c>
      <c r="B1554" s="1" t="s">
        <v>42</v>
      </c>
      <c r="C1554" s="1" t="s">
        <v>83</v>
      </c>
      <c r="D1554" s="1" t="s">
        <v>84</v>
      </c>
      <c r="E1554" s="1" t="s">
        <v>45</v>
      </c>
      <c r="F1554" s="1" t="s">
        <v>3617</v>
      </c>
      <c r="G1554" s="1" t="s">
        <v>3618</v>
      </c>
      <c r="H1554" s="1" t="s">
        <v>3619</v>
      </c>
      <c r="I1554" s="1" t="s">
        <v>49</v>
      </c>
      <c r="J1554" s="1" t="s">
        <v>48</v>
      </c>
      <c r="K1554" s="1">
        <v>96</v>
      </c>
      <c r="L1554" s="1">
        <v>0</v>
      </c>
      <c r="M1554" s="1">
        <v>0</v>
      </c>
      <c r="N1554" s="1">
        <v>96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 t="s">
        <v>49</v>
      </c>
      <c r="AA1554" s="1" t="s">
        <v>49</v>
      </c>
      <c r="AB1554" s="1" t="s">
        <v>49</v>
      </c>
      <c r="AC1554" s="1" t="s">
        <v>1330</v>
      </c>
      <c r="AD1554" s="1" t="s">
        <v>1331</v>
      </c>
      <c r="AE1554" s="1" t="s">
        <v>1330</v>
      </c>
      <c r="AF1554" s="1" t="s">
        <v>90</v>
      </c>
      <c r="AG1554" s="1" t="s">
        <v>53</v>
      </c>
      <c r="AH1554" s="1" t="s">
        <v>49</v>
      </c>
      <c r="AI1554" s="1" t="s">
        <v>54</v>
      </c>
      <c r="AJ1554" s="1">
        <v>1</v>
      </c>
      <c r="AK1554" s="1" t="str">
        <f t="shared" si="24"/>
        <v xml:space="preserve"> =&lt;90</v>
      </c>
      <c r="AL1554" s="1" t="str">
        <f>VLOOKUP(C:C,[1]基础信息!B$1:D$65536,3,0)</f>
        <v>Jug</v>
      </c>
      <c r="AM1554" s="1" t="str">
        <f>VLOOKUP(C:C,[1]基础信息!B$1:E$65536,4,0)</f>
        <v>Mxplus</v>
      </c>
      <c r="AN1554" s="1" t="str">
        <f>VLOOKUP(C:C,[1]基础信息!B$1:F$65536,5,0)</f>
        <v>Blue</v>
      </c>
    </row>
    <row r="1555" spans="1:40">
      <c r="A1555" s="1" t="s">
        <v>41</v>
      </c>
      <c r="B1555" s="1" t="s">
        <v>42</v>
      </c>
      <c r="C1555" s="1" t="s">
        <v>301</v>
      </c>
      <c r="D1555" s="1" t="s">
        <v>302</v>
      </c>
      <c r="E1555" s="1" t="s">
        <v>45</v>
      </c>
      <c r="F1555" s="1" t="s">
        <v>3590</v>
      </c>
      <c r="G1555" s="1" t="s">
        <v>3620</v>
      </c>
      <c r="H1555" s="1" t="s">
        <v>3621</v>
      </c>
      <c r="I1555" s="1" t="s">
        <v>49</v>
      </c>
      <c r="J1555" s="1" t="s">
        <v>48</v>
      </c>
      <c r="K1555" s="1">
        <v>96</v>
      </c>
      <c r="L1555" s="1">
        <v>0</v>
      </c>
      <c r="M1555" s="1">
        <v>0</v>
      </c>
      <c r="N1555" s="1">
        <v>96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 t="s">
        <v>49</v>
      </c>
      <c r="AA1555" s="1" t="s">
        <v>49</v>
      </c>
      <c r="AB1555" s="1" t="s">
        <v>49</v>
      </c>
      <c r="AC1555" s="1" t="s">
        <v>3593</v>
      </c>
      <c r="AD1555" s="1" t="s">
        <v>3594</v>
      </c>
      <c r="AE1555" s="1" t="s">
        <v>3593</v>
      </c>
      <c r="AF1555" s="1" t="s">
        <v>307</v>
      </c>
      <c r="AG1555" s="1" t="s">
        <v>53</v>
      </c>
      <c r="AH1555" s="1" t="s">
        <v>49</v>
      </c>
      <c r="AI1555" s="1" t="s">
        <v>54</v>
      </c>
      <c r="AJ1555" s="1">
        <v>1</v>
      </c>
      <c r="AK1555" s="1" t="str">
        <f t="shared" si="24"/>
        <v xml:space="preserve"> =&lt;90</v>
      </c>
      <c r="AL1555" s="1" t="str">
        <f>VLOOKUP(C:C,[1]基础信息!B$1:D$65536,3,0)</f>
        <v>Jug</v>
      </c>
      <c r="AM1555" s="1" t="str">
        <f>VLOOKUP(C:C,[1]基础信息!B$1:E$65536,4,0)</f>
        <v>Aluna</v>
      </c>
      <c r="AN1555" s="1" t="str">
        <f>VLOOKUP(C:C,[1]基础信息!B$1:F$65536,5,0)</f>
        <v>Blue</v>
      </c>
    </row>
    <row r="1556" spans="1:40">
      <c r="A1556" s="1" t="s">
        <v>41</v>
      </c>
      <c r="B1556" s="1" t="s">
        <v>42</v>
      </c>
      <c r="C1556" s="1" t="s">
        <v>301</v>
      </c>
      <c r="D1556" s="1" t="s">
        <v>302</v>
      </c>
      <c r="E1556" s="1" t="s">
        <v>45</v>
      </c>
      <c r="F1556" s="1" t="s">
        <v>3590</v>
      </c>
      <c r="G1556" s="1" t="s">
        <v>3622</v>
      </c>
      <c r="H1556" s="1" t="s">
        <v>3623</v>
      </c>
      <c r="I1556" s="1" t="s">
        <v>49</v>
      </c>
      <c r="J1556" s="1" t="s">
        <v>48</v>
      </c>
      <c r="K1556" s="1">
        <v>96</v>
      </c>
      <c r="L1556" s="1">
        <v>0</v>
      </c>
      <c r="M1556" s="1">
        <v>0</v>
      </c>
      <c r="N1556" s="1">
        <v>96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 t="s">
        <v>49</v>
      </c>
      <c r="AA1556" s="1" t="s">
        <v>49</v>
      </c>
      <c r="AB1556" s="1" t="s">
        <v>49</v>
      </c>
      <c r="AC1556" s="1" t="s">
        <v>3593</v>
      </c>
      <c r="AD1556" s="1" t="s">
        <v>3594</v>
      </c>
      <c r="AE1556" s="1" t="s">
        <v>3593</v>
      </c>
      <c r="AF1556" s="1" t="s">
        <v>307</v>
      </c>
      <c r="AG1556" s="1" t="s">
        <v>53</v>
      </c>
      <c r="AH1556" s="1" t="s">
        <v>49</v>
      </c>
      <c r="AI1556" s="1" t="s">
        <v>54</v>
      </c>
      <c r="AJ1556" s="1">
        <v>1</v>
      </c>
      <c r="AK1556" s="1" t="str">
        <f t="shared" si="24"/>
        <v xml:space="preserve"> =&lt;90</v>
      </c>
      <c r="AL1556" s="1" t="str">
        <f>VLOOKUP(C:C,[1]基础信息!B$1:D$65536,3,0)</f>
        <v>Jug</v>
      </c>
      <c r="AM1556" s="1" t="str">
        <f>VLOOKUP(C:C,[1]基础信息!B$1:E$65536,4,0)</f>
        <v>Aluna</v>
      </c>
      <c r="AN1556" s="1" t="str">
        <f>VLOOKUP(C:C,[1]基础信息!B$1:F$65536,5,0)</f>
        <v>Blue</v>
      </c>
    </row>
    <row r="1557" spans="1:40">
      <c r="A1557" s="1" t="s">
        <v>41</v>
      </c>
      <c r="B1557" s="1" t="s">
        <v>42</v>
      </c>
      <c r="C1557" s="1" t="s">
        <v>83</v>
      </c>
      <c r="D1557" s="1" t="s">
        <v>84</v>
      </c>
      <c r="E1557" s="1" t="s">
        <v>45</v>
      </c>
      <c r="F1557" s="1" t="s">
        <v>3617</v>
      </c>
      <c r="G1557" s="1" t="s">
        <v>3624</v>
      </c>
      <c r="H1557" s="1" t="s">
        <v>3625</v>
      </c>
      <c r="I1557" s="1" t="s">
        <v>49</v>
      </c>
      <c r="J1557" s="1" t="s">
        <v>48</v>
      </c>
      <c r="K1557" s="1">
        <v>96</v>
      </c>
      <c r="L1557" s="1">
        <v>0</v>
      </c>
      <c r="M1557" s="1">
        <v>0</v>
      </c>
      <c r="N1557" s="1">
        <v>96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 t="s">
        <v>49</v>
      </c>
      <c r="AA1557" s="1" t="s">
        <v>49</v>
      </c>
      <c r="AB1557" s="1" t="s">
        <v>49</v>
      </c>
      <c r="AC1557" s="1" t="s">
        <v>1330</v>
      </c>
      <c r="AD1557" s="1" t="s">
        <v>1331</v>
      </c>
      <c r="AE1557" s="1" t="s">
        <v>1330</v>
      </c>
      <c r="AF1557" s="1" t="s">
        <v>90</v>
      </c>
      <c r="AG1557" s="1" t="s">
        <v>53</v>
      </c>
      <c r="AH1557" s="1" t="s">
        <v>49</v>
      </c>
      <c r="AI1557" s="1" t="s">
        <v>54</v>
      </c>
      <c r="AJ1557" s="1">
        <v>1</v>
      </c>
      <c r="AK1557" s="1" t="str">
        <f t="shared" si="24"/>
        <v xml:space="preserve"> =&lt;90</v>
      </c>
      <c r="AL1557" s="1" t="str">
        <f>VLOOKUP(C:C,[1]基础信息!B$1:D$65536,3,0)</f>
        <v>Jug</v>
      </c>
      <c r="AM1557" s="1" t="str">
        <f>VLOOKUP(C:C,[1]基础信息!B$1:E$65536,4,0)</f>
        <v>Mxplus</v>
      </c>
      <c r="AN1557" s="1" t="str">
        <f>VLOOKUP(C:C,[1]基础信息!B$1:F$65536,5,0)</f>
        <v>Blue</v>
      </c>
    </row>
    <row r="1558" spans="1:40">
      <c r="A1558" s="1" t="s">
        <v>41</v>
      </c>
      <c r="B1558" s="1" t="s">
        <v>42</v>
      </c>
      <c r="C1558" s="1" t="s">
        <v>3580</v>
      </c>
      <c r="D1558" s="1" t="s">
        <v>3581</v>
      </c>
      <c r="E1558" s="1" t="s">
        <v>45</v>
      </c>
      <c r="F1558" s="1" t="s">
        <v>3582</v>
      </c>
      <c r="G1558" s="1" t="s">
        <v>3626</v>
      </c>
      <c r="H1558" s="1" t="s">
        <v>3627</v>
      </c>
      <c r="I1558" s="1" t="s">
        <v>49</v>
      </c>
      <c r="J1558" s="1" t="s">
        <v>48</v>
      </c>
      <c r="K1558" s="1">
        <v>96</v>
      </c>
      <c r="L1558" s="1">
        <v>0</v>
      </c>
      <c r="M1558" s="1">
        <v>0</v>
      </c>
      <c r="N1558" s="1">
        <v>96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 t="s">
        <v>49</v>
      </c>
      <c r="AA1558" s="1" t="s">
        <v>49</v>
      </c>
      <c r="AB1558" s="1" t="s">
        <v>49</v>
      </c>
      <c r="AC1558" s="1" t="s">
        <v>3585</v>
      </c>
      <c r="AD1558" s="1" t="s">
        <v>3586</v>
      </c>
      <c r="AE1558" s="1" t="s">
        <v>3585</v>
      </c>
      <c r="AF1558" s="1" t="s">
        <v>3587</v>
      </c>
      <c r="AG1558" s="1" t="s">
        <v>338</v>
      </c>
      <c r="AH1558" s="1" t="s">
        <v>49</v>
      </c>
      <c r="AI1558" s="1" t="s">
        <v>54</v>
      </c>
      <c r="AJ1558" s="1">
        <v>1</v>
      </c>
      <c r="AK1558" s="1" t="str">
        <f t="shared" si="24"/>
        <v xml:space="preserve"> =&lt;90</v>
      </c>
      <c r="AL1558" s="1" t="str">
        <f>VLOOKUP(C:C,[1]基础信息!B$1:D$65536,3,0)</f>
        <v>Jug</v>
      </c>
      <c r="AM1558" s="1" t="str">
        <f>VLOOKUP(C:C,[1]基础信息!B$1:E$65536,4,0)</f>
        <v>Marella</v>
      </c>
      <c r="AN1558" s="1" t="str">
        <f>VLOOKUP(C:C,[1]基础信息!B$1:F$65536,5,0)</f>
        <v>White</v>
      </c>
    </row>
    <row r="1559" spans="1:40">
      <c r="A1559" s="1" t="s">
        <v>41</v>
      </c>
      <c r="B1559" s="1" t="s">
        <v>42</v>
      </c>
      <c r="C1559" s="1" t="s">
        <v>301</v>
      </c>
      <c r="D1559" s="1" t="s">
        <v>302</v>
      </c>
      <c r="E1559" s="1" t="s">
        <v>45</v>
      </c>
      <c r="F1559" s="1" t="s">
        <v>3590</v>
      </c>
      <c r="G1559" s="1" t="s">
        <v>3628</v>
      </c>
      <c r="H1559" s="1" t="s">
        <v>3629</v>
      </c>
      <c r="I1559" s="1" t="s">
        <v>49</v>
      </c>
      <c r="J1559" s="1" t="s">
        <v>48</v>
      </c>
      <c r="K1559" s="1">
        <v>96</v>
      </c>
      <c r="L1559" s="1">
        <v>0</v>
      </c>
      <c r="M1559" s="1">
        <v>0</v>
      </c>
      <c r="N1559" s="1">
        <v>96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 t="s">
        <v>49</v>
      </c>
      <c r="AA1559" s="1" t="s">
        <v>49</v>
      </c>
      <c r="AB1559" s="1" t="s">
        <v>49</v>
      </c>
      <c r="AC1559" s="1" t="s">
        <v>3593</v>
      </c>
      <c r="AD1559" s="1" t="s">
        <v>3594</v>
      </c>
      <c r="AE1559" s="1" t="s">
        <v>3593</v>
      </c>
      <c r="AF1559" s="1" t="s">
        <v>307</v>
      </c>
      <c r="AG1559" s="1" t="s">
        <v>53</v>
      </c>
      <c r="AH1559" s="1" t="s">
        <v>49</v>
      </c>
      <c r="AI1559" s="1" t="s">
        <v>54</v>
      </c>
      <c r="AJ1559" s="1">
        <v>1</v>
      </c>
      <c r="AK1559" s="1" t="str">
        <f t="shared" si="24"/>
        <v xml:space="preserve"> =&lt;90</v>
      </c>
      <c r="AL1559" s="1" t="str">
        <f>VLOOKUP(C:C,[1]基础信息!B$1:D$65536,3,0)</f>
        <v>Jug</v>
      </c>
      <c r="AM1559" s="1" t="str">
        <f>VLOOKUP(C:C,[1]基础信息!B$1:E$65536,4,0)</f>
        <v>Aluna</v>
      </c>
      <c r="AN1559" s="1" t="str">
        <f>VLOOKUP(C:C,[1]基础信息!B$1:F$65536,5,0)</f>
        <v>Blue</v>
      </c>
    </row>
    <row r="1560" spans="1:40">
      <c r="A1560" s="1" t="s">
        <v>41</v>
      </c>
      <c r="B1560" s="1" t="s">
        <v>42</v>
      </c>
      <c r="C1560" s="1" t="s">
        <v>301</v>
      </c>
      <c r="D1560" s="1" t="s">
        <v>302</v>
      </c>
      <c r="E1560" s="1" t="s">
        <v>45</v>
      </c>
      <c r="F1560" s="1" t="s">
        <v>3590</v>
      </c>
      <c r="G1560" s="1" t="s">
        <v>3630</v>
      </c>
      <c r="H1560" s="1" t="s">
        <v>3631</v>
      </c>
      <c r="I1560" s="1" t="s">
        <v>49</v>
      </c>
      <c r="J1560" s="1" t="s">
        <v>48</v>
      </c>
      <c r="K1560" s="1">
        <v>96</v>
      </c>
      <c r="L1560" s="1">
        <v>0</v>
      </c>
      <c r="M1560" s="1">
        <v>0</v>
      </c>
      <c r="N1560" s="1">
        <v>96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 t="s">
        <v>49</v>
      </c>
      <c r="AA1560" s="1" t="s">
        <v>49</v>
      </c>
      <c r="AB1560" s="1" t="s">
        <v>49</v>
      </c>
      <c r="AC1560" s="1" t="s">
        <v>3593</v>
      </c>
      <c r="AD1560" s="1" t="s">
        <v>3594</v>
      </c>
      <c r="AE1560" s="1" t="s">
        <v>3593</v>
      </c>
      <c r="AF1560" s="1" t="s">
        <v>307</v>
      </c>
      <c r="AG1560" s="1" t="s">
        <v>53</v>
      </c>
      <c r="AH1560" s="1" t="s">
        <v>49</v>
      </c>
      <c r="AI1560" s="1" t="s">
        <v>54</v>
      </c>
      <c r="AJ1560" s="1">
        <v>1</v>
      </c>
      <c r="AK1560" s="1" t="str">
        <f t="shared" si="24"/>
        <v xml:space="preserve"> =&lt;90</v>
      </c>
      <c r="AL1560" s="1" t="str">
        <f>VLOOKUP(C:C,[1]基础信息!B$1:D$65536,3,0)</f>
        <v>Jug</v>
      </c>
      <c r="AM1560" s="1" t="str">
        <f>VLOOKUP(C:C,[1]基础信息!B$1:E$65536,4,0)</f>
        <v>Aluna</v>
      </c>
      <c r="AN1560" s="1" t="str">
        <f>VLOOKUP(C:C,[1]基础信息!B$1:F$65536,5,0)</f>
        <v>Blue</v>
      </c>
    </row>
    <row r="1561" spans="1:40">
      <c r="A1561" s="1" t="s">
        <v>41</v>
      </c>
      <c r="B1561" s="1" t="s">
        <v>42</v>
      </c>
      <c r="C1561" s="1" t="s">
        <v>301</v>
      </c>
      <c r="D1561" s="1" t="s">
        <v>302</v>
      </c>
      <c r="E1561" s="1" t="s">
        <v>45</v>
      </c>
      <c r="F1561" s="1" t="s">
        <v>3590</v>
      </c>
      <c r="G1561" s="1" t="s">
        <v>3632</v>
      </c>
      <c r="H1561" s="1" t="s">
        <v>3633</v>
      </c>
      <c r="I1561" s="1" t="s">
        <v>49</v>
      </c>
      <c r="J1561" s="1" t="s">
        <v>48</v>
      </c>
      <c r="K1561" s="1">
        <v>96</v>
      </c>
      <c r="L1561" s="1">
        <v>0</v>
      </c>
      <c r="M1561" s="1">
        <v>0</v>
      </c>
      <c r="N1561" s="1">
        <v>96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 t="s">
        <v>49</v>
      </c>
      <c r="AA1561" s="1" t="s">
        <v>49</v>
      </c>
      <c r="AB1561" s="1" t="s">
        <v>49</v>
      </c>
      <c r="AC1561" s="1" t="s">
        <v>3593</v>
      </c>
      <c r="AD1561" s="1" t="s">
        <v>3594</v>
      </c>
      <c r="AE1561" s="1" t="s">
        <v>3593</v>
      </c>
      <c r="AF1561" s="1" t="s">
        <v>307</v>
      </c>
      <c r="AG1561" s="1" t="s">
        <v>53</v>
      </c>
      <c r="AH1561" s="1" t="s">
        <v>49</v>
      </c>
      <c r="AI1561" s="1" t="s">
        <v>54</v>
      </c>
      <c r="AJ1561" s="1">
        <v>1</v>
      </c>
      <c r="AK1561" s="1" t="str">
        <f t="shared" si="24"/>
        <v xml:space="preserve"> =&lt;90</v>
      </c>
      <c r="AL1561" s="1" t="str">
        <f>VLOOKUP(C:C,[1]基础信息!B$1:D$65536,3,0)</f>
        <v>Jug</v>
      </c>
      <c r="AM1561" s="1" t="str">
        <f>VLOOKUP(C:C,[1]基础信息!B$1:E$65536,4,0)</f>
        <v>Aluna</v>
      </c>
      <c r="AN1561" s="1" t="str">
        <f>VLOOKUP(C:C,[1]基础信息!B$1:F$65536,5,0)</f>
        <v>Blue</v>
      </c>
    </row>
    <row r="1562" spans="1:40">
      <c r="A1562" s="1" t="s">
        <v>41</v>
      </c>
      <c r="B1562" s="1" t="s">
        <v>42</v>
      </c>
      <c r="C1562" s="1" t="s">
        <v>83</v>
      </c>
      <c r="D1562" s="1" t="s">
        <v>84</v>
      </c>
      <c r="E1562" s="1" t="s">
        <v>45</v>
      </c>
      <c r="F1562" s="1" t="s">
        <v>3617</v>
      </c>
      <c r="G1562" s="1" t="s">
        <v>3634</v>
      </c>
      <c r="H1562" s="1" t="s">
        <v>3635</v>
      </c>
      <c r="I1562" s="1" t="s">
        <v>49</v>
      </c>
      <c r="J1562" s="1" t="s">
        <v>48</v>
      </c>
      <c r="K1562" s="1">
        <v>96</v>
      </c>
      <c r="L1562" s="1">
        <v>0</v>
      </c>
      <c r="M1562" s="1">
        <v>0</v>
      </c>
      <c r="N1562" s="1">
        <v>96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 t="s">
        <v>49</v>
      </c>
      <c r="AA1562" s="1" t="s">
        <v>49</v>
      </c>
      <c r="AB1562" s="1" t="s">
        <v>49</v>
      </c>
      <c r="AC1562" s="1" t="s">
        <v>1330</v>
      </c>
      <c r="AD1562" s="1" t="s">
        <v>1331</v>
      </c>
      <c r="AE1562" s="1" t="s">
        <v>1330</v>
      </c>
      <c r="AF1562" s="1" t="s">
        <v>90</v>
      </c>
      <c r="AG1562" s="1" t="s">
        <v>53</v>
      </c>
      <c r="AH1562" s="1" t="s">
        <v>49</v>
      </c>
      <c r="AI1562" s="1" t="s">
        <v>54</v>
      </c>
      <c r="AJ1562" s="1">
        <v>1</v>
      </c>
      <c r="AK1562" s="1" t="str">
        <f t="shared" si="24"/>
        <v xml:space="preserve"> =&lt;90</v>
      </c>
      <c r="AL1562" s="1" t="str">
        <f>VLOOKUP(C:C,[1]基础信息!B$1:D$65536,3,0)</f>
        <v>Jug</v>
      </c>
      <c r="AM1562" s="1" t="str">
        <f>VLOOKUP(C:C,[1]基础信息!B$1:E$65536,4,0)</f>
        <v>Mxplus</v>
      </c>
      <c r="AN1562" s="1" t="str">
        <f>VLOOKUP(C:C,[1]基础信息!B$1:F$65536,5,0)</f>
        <v>Blue</v>
      </c>
    </row>
    <row r="1563" spans="1:40">
      <c r="A1563" s="1" t="s">
        <v>41</v>
      </c>
      <c r="B1563" s="1" t="s">
        <v>42</v>
      </c>
      <c r="C1563" s="1" t="s">
        <v>1710</v>
      </c>
      <c r="D1563" s="1" t="s">
        <v>1711</v>
      </c>
      <c r="E1563" s="1" t="s">
        <v>45</v>
      </c>
      <c r="F1563" s="1" t="s">
        <v>2590</v>
      </c>
      <c r="G1563" s="1" t="s">
        <v>3636</v>
      </c>
      <c r="H1563" s="1" t="s">
        <v>3637</v>
      </c>
      <c r="I1563" s="1" t="s">
        <v>49</v>
      </c>
      <c r="J1563" s="1" t="s">
        <v>48</v>
      </c>
      <c r="K1563" s="1">
        <v>60</v>
      </c>
      <c r="L1563" s="1">
        <v>0</v>
      </c>
      <c r="M1563" s="1">
        <v>0</v>
      </c>
      <c r="N1563" s="1">
        <v>60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 t="s">
        <v>49</v>
      </c>
      <c r="AA1563" s="1" t="s">
        <v>49</v>
      </c>
      <c r="AB1563" s="1" t="s">
        <v>49</v>
      </c>
      <c r="AC1563" s="1" t="s">
        <v>1008</v>
      </c>
      <c r="AD1563" s="1" t="s">
        <v>1009</v>
      </c>
      <c r="AE1563" s="1" t="s">
        <v>1008</v>
      </c>
      <c r="AF1563" s="1" t="s">
        <v>2593</v>
      </c>
      <c r="AG1563" s="1" t="s">
        <v>53</v>
      </c>
      <c r="AH1563" s="1" t="s">
        <v>49</v>
      </c>
      <c r="AI1563" s="1" t="s">
        <v>54</v>
      </c>
      <c r="AJ1563" s="1">
        <v>1</v>
      </c>
      <c r="AK1563" s="1" t="str">
        <f t="shared" si="24"/>
        <v xml:space="preserve"> =&lt;90</v>
      </c>
      <c r="AL1563" s="1" t="str">
        <f>VLOOKUP(C:C,[1]基础信息!B$1:D$65536,3,0)</f>
        <v>Jug</v>
      </c>
      <c r="AM1563" s="1" t="str">
        <f>VLOOKUP(C:C,[1]基础信息!B$1:E$65536,4,0)</f>
        <v>Kalea XL ME4W</v>
      </c>
      <c r="AN1563" s="1" t="str">
        <f>VLOOKUP(C:C,[1]基础信息!B$1:F$65536,5,0)</f>
        <v>grey</v>
      </c>
    </row>
    <row r="1564" spans="1:40">
      <c r="A1564" s="1" t="s">
        <v>41</v>
      </c>
      <c r="B1564" s="1" t="s">
        <v>42</v>
      </c>
      <c r="C1564" s="1" t="s">
        <v>1710</v>
      </c>
      <c r="D1564" s="1" t="s">
        <v>1711</v>
      </c>
      <c r="E1564" s="1" t="s">
        <v>45</v>
      </c>
      <c r="F1564" s="1" t="s">
        <v>2590</v>
      </c>
      <c r="G1564" s="1" t="s">
        <v>3638</v>
      </c>
      <c r="H1564" s="1" t="s">
        <v>3639</v>
      </c>
      <c r="I1564" s="1" t="s">
        <v>49</v>
      </c>
      <c r="J1564" s="1" t="s">
        <v>48</v>
      </c>
      <c r="K1564" s="1">
        <v>60</v>
      </c>
      <c r="L1564" s="1">
        <v>0</v>
      </c>
      <c r="M1564" s="1">
        <v>0</v>
      </c>
      <c r="N1564" s="1">
        <v>60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 t="s">
        <v>49</v>
      </c>
      <c r="AA1564" s="1" t="s">
        <v>49</v>
      </c>
      <c r="AB1564" s="1" t="s">
        <v>49</v>
      </c>
      <c r="AC1564" s="1" t="s">
        <v>1008</v>
      </c>
      <c r="AD1564" s="1" t="s">
        <v>1009</v>
      </c>
      <c r="AE1564" s="1" t="s">
        <v>1008</v>
      </c>
      <c r="AF1564" s="1" t="s">
        <v>2593</v>
      </c>
      <c r="AG1564" s="1" t="s">
        <v>53</v>
      </c>
      <c r="AH1564" s="1" t="s">
        <v>49</v>
      </c>
      <c r="AI1564" s="1" t="s">
        <v>54</v>
      </c>
      <c r="AJ1564" s="1">
        <v>1</v>
      </c>
      <c r="AK1564" s="1" t="str">
        <f t="shared" si="24"/>
        <v xml:space="preserve"> =&lt;90</v>
      </c>
      <c r="AL1564" s="1" t="str">
        <f>VLOOKUP(C:C,[1]基础信息!B$1:D$65536,3,0)</f>
        <v>Jug</v>
      </c>
      <c r="AM1564" s="1" t="str">
        <f>VLOOKUP(C:C,[1]基础信息!B$1:E$65536,4,0)</f>
        <v>Kalea XL ME4W</v>
      </c>
      <c r="AN1564" s="1" t="str">
        <f>VLOOKUP(C:C,[1]基础信息!B$1:F$65536,5,0)</f>
        <v>grey</v>
      </c>
    </row>
    <row r="1565" spans="1:40">
      <c r="A1565" s="1" t="s">
        <v>41</v>
      </c>
      <c r="B1565" s="1" t="s">
        <v>42</v>
      </c>
      <c r="C1565" s="1" t="s">
        <v>1710</v>
      </c>
      <c r="D1565" s="1" t="s">
        <v>1711</v>
      </c>
      <c r="E1565" s="1" t="s">
        <v>45</v>
      </c>
      <c r="F1565" s="1" t="s">
        <v>2590</v>
      </c>
      <c r="G1565" s="1" t="s">
        <v>3640</v>
      </c>
      <c r="H1565" s="1" t="s">
        <v>3641</v>
      </c>
      <c r="I1565" s="1" t="s">
        <v>49</v>
      </c>
      <c r="J1565" s="1" t="s">
        <v>48</v>
      </c>
      <c r="K1565" s="1">
        <v>60</v>
      </c>
      <c r="L1565" s="1">
        <v>0</v>
      </c>
      <c r="M1565" s="1">
        <v>0</v>
      </c>
      <c r="N1565" s="1">
        <v>60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 t="s">
        <v>49</v>
      </c>
      <c r="AA1565" s="1" t="s">
        <v>49</v>
      </c>
      <c r="AB1565" s="1" t="s">
        <v>49</v>
      </c>
      <c r="AC1565" s="1" t="s">
        <v>1008</v>
      </c>
      <c r="AD1565" s="1" t="s">
        <v>1009</v>
      </c>
      <c r="AE1565" s="1" t="s">
        <v>1008</v>
      </c>
      <c r="AF1565" s="1" t="s">
        <v>2593</v>
      </c>
      <c r="AG1565" s="1" t="s">
        <v>53</v>
      </c>
      <c r="AH1565" s="1" t="s">
        <v>49</v>
      </c>
      <c r="AI1565" s="1" t="s">
        <v>54</v>
      </c>
      <c r="AJ1565" s="1">
        <v>1</v>
      </c>
      <c r="AK1565" s="1" t="str">
        <f t="shared" si="24"/>
        <v xml:space="preserve"> =&lt;90</v>
      </c>
      <c r="AL1565" s="1" t="str">
        <f>VLOOKUP(C:C,[1]基础信息!B$1:D$65536,3,0)</f>
        <v>Jug</v>
      </c>
      <c r="AM1565" s="1" t="str">
        <f>VLOOKUP(C:C,[1]基础信息!B$1:E$65536,4,0)</f>
        <v>Kalea XL ME4W</v>
      </c>
      <c r="AN1565" s="1" t="str">
        <f>VLOOKUP(C:C,[1]基础信息!B$1:F$65536,5,0)</f>
        <v>grey</v>
      </c>
    </row>
    <row r="1566" spans="1:40">
      <c r="A1566" s="1" t="s">
        <v>41</v>
      </c>
      <c r="B1566" s="1" t="s">
        <v>42</v>
      </c>
      <c r="C1566" s="1" t="s">
        <v>1710</v>
      </c>
      <c r="D1566" s="1" t="s">
        <v>1711</v>
      </c>
      <c r="E1566" s="1" t="s">
        <v>45</v>
      </c>
      <c r="F1566" s="1" t="s">
        <v>2590</v>
      </c>
      <c r="G1566" s="1" t="s">
        <v>3642</v>
      </c>
      <c r="H1566" s="1" t="s">
        <v>3643</v>
      </c>
      <c r="I1566" s="1" t="s">
        <v>49</v>
      </c>
      <c r="J1566" s="1" t="s">
        <v>48</v>
      </c>
      <c r="K1566" s="1">
        <v>60</v>
      </c>
      <c r="L1566" s="1">
        <v>0</v>
      </c>
      <c r="M1566" s="1">
        <v>0</v>
      </c>
      <c r="N1566" s="1">
        <v>60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 t="s">
        <v>49</v>
      </c>
      <c r="AA1566" s="1" t="s">
        <v>49</v>
      </c>
      <c r="AB1566" s="1" t="s">
        <v>49</v>
      </c>
      <c r="AC1566" s="1" t="s">
        <v>1008</v>
      </c>
      <c r="AD1566" s="1" t="s">
        <v>1009</v>
      </c>
      <c r="AE1566" s="1" t="s">
        <v>1008</v>
      </c>
      <c r="AF1566" s="1" t="s">
        <v>2593</v>
      </c>
      <c r="AG1566" s="1" t="s">
        <v>53</v>
      </c>
      <c r="AH1566" s="1" t="s">
        <v>49</v>
      </c>
      <c r="AI1566" s="1" t="s">
        <v>54</v>
      </c>
      <c r="AJ1566" s="1">
        <v>1</v>
      </c>
      <c r="AK1566" s="1" t="str">
        <f t="shared" si="24"/>
        <v xml:space="preserve"> =&lt;90</v>
      </c>
      <c r="AL1566" s="1" t="str">
        <f>VLOOKUP(C:C,[1]基础信息!B$1:D$65536,3,0)</f>
        <v>Jug</v>
      </c>
      <c r="AM1566" s="1" t="str">
        <f>VLOOKUP(C:C,[1]基础信息!B$1:E$65536,4,0)</f>
        <v>Kalea XL ME4W</v>
      </c>
      <c r="AN1566" s="1" t="str">
        <f>VLOOKUP(C:C,[1]基础信息!B$1:F$65536,5,0)</f>
        <v>grey</v>
      </c>
    </row>
    <row r="1567" spans="1:40">
      <c r="A1567" s="1" t="s">
        <v>41</v>
      </c>
      <c r="B1567" s="1" t="s">
        <v>42</v>
      </c>
      <c r="C1567" s="1" t="s">
        <v>1710</v>
      </c>
      <c r="D1567" s="1" t="s">
        <v>1711</v>
      </c>
      <c r="E1567" s="1" t="s">
        <v>45</v>
      </c>
      <c r="F1567" s="1" t="s">
        <v>2590</v>
      </c>
      <c r="G1567" s="1" t="s">
        <v>3644</v>
      </c>
      <c r="H1567" s="1" t="s">
        <v>3645</v>
      </c>
      <c r="I1567" s="1" t="s">
        <v>49</v>
      </c>
      <c r="J1567" s="1" t="s">
        <v>48</v>
      </c>
      <c r="K1567" s="1">
        <v>60</v>
      </c>
      <c r="L1567" s="1">
        <v>0</v>
      </c>
      <c r="M1567" s="1">
        <v>0</v>
      </c>
      <c r="N1567" s="1">
        <v>60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 t="s">
        <v>49</v>
      </c>
      <c r="AA1567" s="1" t="s">
        <v>49</v>
      </c>
      <c r="AB1567" s="1" t="s">
        <v>49</v>
      </c>
      <c r="AC1567" s="1" t="s">
        <v>1008</v>
      </c>
      <c r="AD1567" s="1" t="s">
        <v>1009</v>
      </c>
      <c r="AE1567" s="1" t="s">
        <v>1008</v>
      </c>
      <c r="AF1567" s="1" t="s">
        <v>2593</v>
      </c>
      <c r="AG1567" s="1" t="s">
        <v>53</v>
      </c>
      <c r="AH1567" s="1" t="s">
        <v>49</v>
      </c>
      <c r="AI1567" s="1" t="s">
        <v>54</v>
      </c>
      <c r="AJ1567" s="1">
        <v>1</v>
      </c>
      <c r="AK1567" s="1" t="str">
        <f t="shared" si="24"/>
        <v xml:space="preserve"> =&lt;90</v>
      </c>
      <c r="AL1567" s="1" t="str">
        <f>VLOOKUP(C:C,[1]基础信息!B$1:D$65536,3,0)</f>
        <v>Jug</v>
      </c>
      <c r="AM1567" s="1" t="str">
        <f>VLOOKUP(C:C,[1]基础信息!B$1:E$65536,4,0)</f>
        <v>Kalea XL ME4W</v>
      </c>
      <c r="AN1567" s="1" t="str">
        <f>VLOOKUP(C:C,[1]基础信息!B$1:F$65536,5,0)</f>
        <v>grey</v>
      </c>
    </row>
    <row r="1568" spans="1:40">
      <c r="A1568" s="1" t="s">
        <v>41</v>
      </c>
      <c r="B1568" s="1" t="s">
        <v>42</v>
      </c>
      <c r="C1568" s="1" t="s">
        <v>1710</v>
      </c>
      <c r="D1568" s="1" t="s">
        <v>1711</v>
      </c>
      <c r="E1568" s="1" t="s">
        <v>45</v>
      </c>
      <c r="F1568" s="1" t="s">
        <v>2590</v>
      </c>
      <c r="G1568" s="1" t="s">
        <v>3646</v>
      </c>
      <c r="H1568" s="1" t="s">
        <v>3647</v>
      </c>
      <c r="I1568" s="1" t="s">
        <v>49</v>
      </c>
      <c r="J1568" s="1" t="s">
        <v>48</v>
      </c>
      <c r="K1568" s="1">
        <v>60</v>
      </c>
      <c r="L1568" s="1">
        <v>0</v>
      </c>
      <c r="M1568" s="1">
        <v>0</v>
      </c>
      <c r="N1568" s="1">
        <v>60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 t="s">
        <v>49</v>
      </c>
      <c r="AA1568" s="1" t="s">
        <v>49</v>
      </c>
      <c r="AB1568" s="1" t="s">
        <v>49</v>
      </c>
      <c r="AC1568" s="1" t="s">
        <v>1008</v>
      </c>
      <c r="AD1568" s="1" t="s">
        <v>1009</v>
      </c>
      <c r="AE1568" s="1" t="s">
        <v>1008</v>
      </c>
      <c r="AF1568" s="1" t="s">
        <v>2593</v>
      </c>
      <c r="AG1568" s="1" t="s">
        <v>53</v>
      </c>
      <c r="AH1568" s="1" t="s">
        <v>49</v>
      </c>
      <c r="AI1568" s="1" t="s">
        <v>54</v>
      </c>
      <c r="AJ1568" s="1">
        <v>1</v>
      </c>
      <c r="AK1568" s="1" t="str">
        <f t="shared" si="24"/>
        <v xml:space="preserve"> =&lt;90</v>
      </c>
      <c r="AL1568" s="1" t="str">
        <f>VLOOKUP(C:C,[1]基础信息!B$1:D$65536,3,0)</f>
        <v>Jug</v>
      </c>
      <c r="AM1568" s="1" t="str">
        <f>VLOOKUP(C:C,[1]基础信息!B$1:E$65536,4,0)</f>
        <v>Kalea XL ME4W</v>
      </c>
      <c r="AN1568" s="1" t="str">
        <f>VLOOKUP(C:C,[1]基础信息!B$1:F$65536,5,0)</f>
        <v>grey</v>
      </c>
    </row>
    <row r="1569" spans="1:40">
      <c r="A1569" s="1" t="s">
        <v>41</v>
      </c>
      <c r="B1569" s="1" t="s">
        <v>42</v>
      </c>
      <c r="C1569" s="1" t="s">
        <v>1710</v>
      </c>
      <c r="D1569" s="1" t="s">
        <v>1711</v>
      </c>
      <c r="E1569" s="1" t="s">
        <v>45</v>
      </c>
      <c r="F1569" s="1" t="s">
        <v>2590</v>
      </c>
      <c r="G1569" s="1" t="s">
        <v>3648</v>
      </c>
      <c r="H1569" s="1" t="s">
        <v>3649</v>
      </c>
      <c r="I1569" s="1" t="s">
        <v>49</v>
      </c>
      <c r="J1569" s="1" t="s">
        <v>48</v>
      </c>
      <c r="K1569" s="1">
        <v>60</v>
      </c>
      <c r="L1569" s="1">
        <v>0</v>
      </c>
      <c r="M1569" s="1">
        <v>0</v>
      </c>
      <c r="N1569" s="1">
        <v>60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 t="s">
        <v>49</v>
      </c>
      <c r="AA1569" s="1" t="s">
        <v>49</v>
      </c>
      <c r="AB1569" s="1" t="s">
        <v>49</v>
      </c>
      <c r="AC1569" s="1" t="s">
        <v>1008</v>
      </c>
      <c r="AD1569" s="1" t="s">
        <v>1009</v>
      </c>
      <c r="AE1569" s="1" t="s">
        <v>1008</v>
      </c>
      <c r="AF1569" s="1" t="s">
        <v>2593</v>
      </c>
      <c r="AG1569" s="1" t="s">
        <v>53</v>
      </c>
      <c r="AH1569" s="1" t="s">
        <v>49</v>
      </c>
      <c r="AI1569" s="1" t="s">
        <v>54</v>
      </c>
      <c r="AJ1569" s="1">
        <v>1</v>
      </c>
      <c r="AK1569" s="1" t="str">
        <f t="shared" si="24"/>
        <v xml:space="preserve"> =&lt;90</v>
      </c>
      <c r="AL1569" s="1" t="str">
        <f>VLOOKUP(C:C,[1]基础信息!B$1:D$65536,3,0)</f>
        <v>Jug</v>
      </c>
      <c r="AM1569" s="1" t="str">
        <f>VLOOKUP(C:C,[1]基础信息!B$1:E$65536,4,0)</f>
        <v>Kalea XL ME4W</v>
      </c>
      <c r="AN1569" s="1" t="str">
        <f>VLOOKUP(C:C,[1]基础信息!B$1:F$65536,5,0)</f>
        <v>grey</v>
      </c>
    </row>
    <row r="1570" spans="1:40">
      <c r="A1570" s="1" t="s">
        <v>41</v>
      </c>
      <c r="B1570" s="1" t="s">
        <v>42</v>
      </c>
      <c r="C1570" s="1" t="s">
        <v>83</v>
      </c>
      <c r="D1570" s="1" t="s">
        <v>84</v>
      </c>
      <c r="E1570" s="1" t="s">
        <v>45</v>
      </c>
      <c r="F1570" s="1" t="s">
        <v>3617</v>
      </c>
      <c r="G1570" s="1" t="s">
        <v>3650</v>
      </c>
      <c r="H1570" s="1" t="s">
        <v>3651</v>
      </c>
      <c r="I1570" s="1" t="s">
        <v>49</v>
      </c>
      <c r="J1570" s="1" t="s">
        <v>48</v>
      </c>
      <c r="K1570" s="1">
        <v>96</v>
      </c>
      <c r="L1570" s="1">
        <v>0</v>
      </c>
      <c r="M1570" s="1">
        <v>0</v>
      </c>
      <c r="N1570" s="1">
        <v>96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 t="s">
        <v>49</v>
      </c>
      <c r="AA1570" s="1" t="s">
        <v>49</v>
      </c>
      <c r="AB1570" s="1" t="s">
        <v>49</v>
      </c>
      <c r="AC1570" s="1" t="s">
        <v>1330</v>
      </c>
      <c r="AD1570" s="1" t="s">
        <v>1331</v>
      </c>
      <c r="AE1570" s="1" t="s">
        <v>1330</v>
      </c>
      <c r="AF1570" s="1" t="s">
        <v>90</v>
      </c>
      <c r="AG1570" s="1" t="s">
        <v>53</v>
      </c>
      <c r="AH1570" s="1" t="s">
        <v>49</v>
      </c>
      <c r="AI1570" s="1" t="s">
        <v>54</v>
      </c>
      <c r="AJ1570" s="1">
        <v>1</v>
      </c>
      <c r="AK1570" s="1" t="str">
        <f t="shared" si="24"/>
        <v xml:space="preserve"> =&lt;90</v>
      </c>
      <c r="AL1570" s="1" t="str">
        <f>VLOOKUP(C:C,[1]基础信息!B$1:D$65536,3,0)</f>
        <v>Jug</v>
      </c>
      <c r="AM1570" s="1" t="str">
        <f>VLOOKUP(C:C,[1]基础信息!B$1:E$65536,4,0)</f>
        <v>Mxplus</v>
      </c>
      <c r="AN1570" s="1" t="str">
        <f>VLOOKUP(C:C,[1]基础信息!B$1:F$65536,5,0)</f>
        <v>Blue</v>
      </c>
    </row>
    <row r="1571" spans="1:40">
      <c r="A1571" s="1" t="s">
        <v>41</v>
      </c>
      <c r="B1571" s="1" t="s">
        <v>42</v>
      </c>
      <c r="C1571" s="1" t="s">
        <v>83</v>
      </c>
      <c r="D1571" s="1" t="s">
        <v>84</v>
      </c>
      <c r="E1571" s="1" t="s">
        <v>45</v>
      </c>
      <c r="F1571" s="1" t="s">
        <v>3617</v>
      </c>
      <c r="G1571" s="1" t="s">
        <v>3652</v>
      </c>
      <c r="H1571" s="1" t="s">
        <v>3653</v>
      </c>
      <c r="I1571" s="1" t="s">
        <v>49</v>
      </c>
      <c r="J1571" s="1" t="s">
        <v>48</v>
      </c>
      <c r="K1571" s="1">
        <v>96</v>
      </c>
      <c r="L1571" s="1">
        <v>0</v>
      </c>
      <c r="M1571" s="1">
        <v>0</v>
      </c>
      <c r="N1571" s="1">
        <v>96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 t="s">
        <v>49</v>
      </c>
      <c r="AA1571" s="1" t="s">
        <v>49</v>
      </c>
      <c r="AB1571" s="1" t="s">
        <v>49</v>
      </c>
      <c r="AC1571" s="1" t="s">
        <v>1330</v>
      </c>
      <c r="AD1571" s="1" t="s">
        <v>1331</v>
      </c>
      <c r="AE1571" s="1" t="s">
        <v>1330</v>
      </c>
      <c r="AF1571" s="1" t="s">
        <v>90</v>
      </c>
      <c r="AG1571" s="1" t="s">
        <v>53</v>
      </c>
      <c r="AH1571" s="1" t="s">
        <v>49</v>
      </c>
      <c r="AI1571" s="1" t="s">
        <v>54</v>
      </c>
      <c r="AJ1571" s="1">
        <v>1</v>
      </c>
      <c r="AK1571" s="1" t="str">
        <f t="shared" si="24"/>
        <v xml:space="preserve"> =&lt;90</v>
      </c>
      <c r="AL1571" s="1" t="str">
        <f>VLOOKUP(C:C,[1]基础信息!B$1:D$65536,3,0)</f>
        <v>Jug</v>
      </c>
      <c r="AM1571" s="1" t="str">
        <f>VLOOKUP(C:C,[1]基础信息!B$1:E$65536,4,0)</f>
        <v>Mxplus</v>
      </c>
      <c r="AN1571" s="1" t="str">
        <f>VLOOKUP(C:C,[1]基础信息!B$1:F$65536,5,0)</f>
        <v>Blue</v>
      </c>
    </row>
    <row r="1572" spans="1:40">
      <c r="A1572" s="1" t="s">
        <v>41</v>
      </c>
      <c r="B1572" s="1" t="s">
        <v>42</v>
      </c>
      <c r="C1572" s="1" t="s">
        <v>68</v>
      </c>
      <c r="D1572" s="1" t="s">
        <v>69</v>
      </c>
      <c r="E1572" s="1" t="s">
        <v>45</v>
      </c>
      <c r="F1572" s="1" t="s">
        <v>3450</v>
      </c>
      <c r="G1572" s="1" t="s">
        <v>3654</v>
      </c>
      <c r="H1572" s="1" t="s">
        <v>3655</v>
      </c>
      <c r="I1572" s="1" t="s">
        <v>49</v>
      </c>
      <c r="J1572" s="1" t="s">
        <v>48</v>
      </c>
      <c r="K1572" s="1">
        <v>36</v>
      </c>
      <c r="L1572" s="1">
        <v>0</v>
      </c>
      <c r="M1572" s="1">
        <v>0</v>
      </c>
      <c r="N1572" s="1">
        <v>36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 t="s">
        <v>49</v>
      </c>
      <c r="AA1572" s="1" t="s">
        <v>49</v>
      </c>
      <c r="AB1572" s="1" t="s">
        <v>49</v>
      </c>
      <c r="AC1572" s="1" t="s">
        <v>3453</v>
      </c>
      <c r="AD1572" s="1" t="s">
        <v>3454</v>
      </c>
      <c r="AE1572" s="1" t="s">
        <v>3453</v>
      </c>
      <c r="AF1572" s="1" t="s">
        <v>3455</v>
      </c>
      <c r="AG1572" s="1" t="s">
        <v>53</v>
      </c>
      <c r="AH1572" s="1" t="s">
        <v>49</v>
      </c>
      <c r="AI1572" s="1" t="s">
        <v>54</v>
      </c>
      <c r="AJ1572" s="1">
        <v>1</v>
      </c>
      <c r="AK1572" s="1" t="str">
        <f t="shared" si="24"/>
        <v xml:space="preserve"> =&lt;90</v>
      </c>
      <c r="AL1572" s="1" t="str">
        <f>VLOOKUP(C:C,[1]基础信息!B$1:D$65536,3,0)</f>
        <v>Hotcup</v>
      </c>
      <c r="AM1572" s="1" t="str">
        <f>VLOOKUP(C:C,[1]基础信息!B$1:E$65536,4,0)</f>
        <v>Hotcup</v>
      </c>
      <c r="AN1572" s="1" t="str">
        <f>VLOOKUP(C:C,[1]基础信息!B$1:F$65536,5,0)</f>
        <v xml:space="preserve"> Whi</v>
      </c>
    </row>
    <row r="1573" spans="1:40">
      <c r="A1573" s="1" t="s">
        <v>41</v>
      </c>
      <c r="B1573" s="1" t="s">
        <v>42</v>
      </c>
      <c r="C1573" s="1" t="s">
        <v>83</v>
      </c>
      <c r="D1573" s="1" t="s">
        <v>84</v>
      </c>
      <c r="E1573" s="1" t="s">
        <v>45</v>
      </c>
      <c r="F1573" s="1" t="s">
        <v>3617</v>
      </c>
      <c r="G1573" s="1" t="s">
        <v>3656</v>
      </c>
      <c r="H1573" s="1" t="s">
        <v>3657</v>
      </c>
      <c r="I1573" s="1" t="s">
        <v>49</v>
      </c>
      <c r="J1573" s="1" t="s">
        <v>48</v>
      </c>
      <c r="K1573" s="1">
        <v>96</v>
      </c>
      <c r="L1573" s="1">
        <v>0</v>
      </c>
      <c r="M1573" s="1">
        <v>0</v>
      </c>
      <c r="N1573" s="1">
        <v>96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 t="s">
        <v>49</v>
      </c>
      <c r="AA1573" s="1" t="s">
        <v>49</v>
      </c>
      <c r="AB1573" s="1" t="s">
        <v>49</v>
      </c>
      <c r="AC1573" s="1" t="s">
        <v>1330</v>
      </c>
      <c r="AD1573" s="1" t="s">
        <v>1331</v>
      </c>
      <c r="AE1573" s="1" t="s">
        <v>1330</v>
      </c>
      <c r="AF1573" s="1" t="s">
        <v>90</v>
      </c>
      <c r="AG1573" s="1" t="s">
        <v>53</v>
      </c>
      <c r="AH1573" s="1" t="s">
        <v>49</v>
      </c>
      <c r="AI1573" s="1" t="s">
        <v>54</v>
      </c>
      <c r="AJ1573" s="1">
        <v>1</v>
      </c>
      <c r="AK1573" s="1" t="str">
        <f t="shared" si="24"/>
        <v xml:space="preserve"> =&lt;90</v>
      </c>
      <c r="AL1573" s="1" t="str">
        <f>VLOOKUP(C:C,[1]基础信息!B$1:D$65536,3,0)</f>
        <v>Jug</v>
      </c>
      <c r="AM1573" s="1" t="str">
        <f>VLOOKUP(C:C,[1]基础信息!B$1:E$65536,4,0)</f>
        <v>Mxplus</v>
      </c>
      <c r="AN1573" s="1" t="str">
        <f>VLOOKUP(C:C,[1]基础信息!B$1:F$65536,5,0)</f>
        <v>Blue</v>
      </c>
    </row>
    <row r="1574" spans="1:40">
      <c r="A1574" s="1" t="s">
        <v>41</v>
      </c>
      <c r="B1574" s="1" t="s">
        <v>42</v>
      </c>
      <c r="C1574" s="1" t="s">
        <v>83</v>
      </c>
      <c r="D1574" s="1" t="s">
        <v>84</v>
      </c>
      <c r="E1574" s="1" t="s">
        <v>45</v>
      </c>
      <c r="F1574" s="1" t="s">
        <v>3617</v>
      </c>
      <c r="G1574" s="1" t="s">
        <v>3658</v>
      </c>
      <c r="H1574" s="1" t="s">
        <v>3659</v>
      </c>
      <c r="I1574" s="1" t="s">
        <v>49</v>
      </c>
      <c r="J1574" s="1" t="s">
        <v>48</v>
      </c>
      <c r="K1574" s="1">
        <v>96</v>
      </c>
      <c r="L1574" s="1">
        <v>0</v>
      </c>
      <c r="M1574" s="1">
        <v>0</v>
      </c>
      <c r="N1574" s="1">
        <v>96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 t="s">
        <v>49</v>
      </c>
      <c r="AA1574" s="1" t="s">
        <v>49</v>
      </c>
      <c r="AB1574" s="1" t="s">
        <v>49</v>
      </c>
      <c r="AC1574" s="1" t="s">
        <v>1330</v>
      </c>
      <c r="AD1574" s="1" t="s">
        <v>1331</v>
      </c>
      <c r="AE1574" s="1" t="s">
        <v>1330</v>
      </c>
      <c r="AF1574" s="1" t="s">
        <v>90</v>
      </c>
      <c r="AG1574" s="1" t="s">
        <v>53</v>
      </c>
      <c r="AH1574" s="1" t="s">
        <v>49</v>
      </c>
      <c r="AI1574" s="1" t="s">
        <v>54</v>
      </c>
      <c r="AJ1574" s="1">
        <v>1</v>
      </c>
      <c r="AK1574" s="1" t="str">
        <f t="shared" si="24"/>
        <v xml:space="preserve"> =&lt;90</v>
      </c>
      <c r="AL1574" s="1" t="str">
        <f>VLOOKUP(C:C,[1]基础信息!B$1:D$65536,3,0)</f>
        <v>Jug</v>
      </c>
      <c r="AM1574" s="1" t="str">
        <f>VLOOKUP(C:C,[1]基础信息!B$1:E$65536,4,0)</f>
        <v>Mxplus</v>
      </c>
      <c r="AN1574" s="1" t="str">
        <f>VLOOKUP(C:C,[1]基础信息!B$1:F$65536,5,0)</f>
        <v>Blue</v>
      </c>
    </row>
    <row r="1575" spans="1:40">
      <c r="A1575" s="1" t="s">
        <v>41</v>
      </c>
      <c r="B1575" s="1" t="s">
        <v>42</v>
      </c>
      <c r="C1575" s="1" t="s">
        <v>83</v>
      </c>
      <c r="D1575" s="1" t="s">
        <v>84</v>
      </c>
      <c r="E1575" s="1" t="s">
        <v>45</v>
      </c>
      <c r="F1575" s="1" t="s">
        <v>3617</v>
      </c>
      <c r="G1575" s="1" t="s">
        <v>3660</v>
      </c>
      <c r="H1575" s="1" t="s">
        <v>3661</v>
      </c>
      <c r="I1575" s="1" t="s">
        <v>49</v>
      </c>
      <c r="J1575" s="1" t="s">
        <v>48</v>
      </c>
      <c r="K1575" s="1">
        <v>96</v>
      </c>
      <c r="L1575" s="1">
        <v>0</v>
      </c>
      <c r="M1575" s="1">
        <v>0</v>
      </c>
      <c r="N1575" s="1">
        <v>96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 t="s">
        <v>49</v>
      </c>
      <c r="AA1575" s="1" t="s">
        <v>49</v>
      </c>
      <c r="AB1575" s="1" t="s">
        <v>49</v>
      </c>
      <c r="AC1575" s="1" t="s">
        <v>1330</v>
      </c>
      <c r="AD1575" s="1" t="s">
        <v>1331</v>
      </c>
      <c r="AE1575" s="1" t="s">
        <v>1330</v>
      </c>
      <c r="AF1575" s="1" t="s">
        <v>90</v>
      </c>
      <c r="AG1575" s="1" t="s">
        <v>53</v>
      </c>
      <c r="AH1575" s="1" t="s">
        <v>49</v>
      </c>
      <c r="AI1575" s="1" t="s">
        <v>54</v>
      </c>
      <c r="AJ1575" s="1">
        <v>1</v>
      </c>
      <c r="AK1575" s="1" t="str">
        <f t="shared" si="24"/>
        <v xml:space="preserve"> =&lt;90</v>
      </c>
      <c r="AL1575" s="1" t="str">
        <f>VLOOKUP(C:C,[1]基础信息!B$1:D$65536,3,0)</f>
        <v>Jug</v>
      </c>
      <c r="AM1575" s="1" t="str">
        <f>VLOOKUP(C:C,[1]基础信息!B$1:E$65536,4,0)</f>
        <v>Mxplus</v>
      </c>
      <c r="AN1575" s="1" t="str">
        <f>VLOOKUP(C:C,[1]基础信息!B$1:F$65536,5,0)</f>
        <v>Blue</v>
      </c>
    </row>
    <row r="1576" spans="1:40">
      <c r="A1576" s="1" t="s">
        <v>41</v>
      </c>
      <c r="B1576" s="1" t="s">
        <v>42</v>
      </c>
      <c r="C1576" s="1" t="s">
        <v>83</v>
      </c>
      <c r="D1576" s="1" t="s">
        <v>84</v>
      </c>
      <c r="E1576" s="1" t="s">
        <v>45</v>
      </c>
      <c r="F1576" s="1" t="s">
        <v>3617</v>
      </c>
      <c r="G1576" s="1" t="s">
        <v>3662</v>
      </c>
      <c r="H1576" s="1" t="s">
        <v>3663</v>
      </c>
      <c r="I1576" s="1" t="s">
        <v>49</v>
      </c>
      <c r="J1576" s="1" t="s">
        <v>48</v>
      </c>
      <c r="K1576" s="1">
        <v>96</v>
      </c>
      <c r="L1576" s="1">
        <v>0</v>
      </c>
      <c r="M1576" s="1">
        <v>0</v>
      </c>
      <c r="N1576" s="1">
        <v>96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 t="s">
        <v>49</v>
      </c>
      <c r="AA1576" s="1" t="s">
        <v>49</v>
      </c>
      <c r="AB1576" s="1" t="s">
        <v>49</v>
      </c>
      <c r="AC1576" s="1" t="s">
        <v>1330</v>
      </c>
      <c r="AD1576" s="1" t="s">
        <v>1331</v>
      </c>
      <c r="AE1576" s="1" t="s">
        <v>1330</v>
      </c>
      <c r="AF1576" s="1" t="s">
        <v>90</v>
      </c>
      <c r="AG1576" s="1" t="s">
        <v>53</v>
      </c>
      <c r="AH1576" s="1" t="s">
        <v>49</v>
      </c>
      <c r="AI1576" s="1" t="s">
        <v>54</v>
      </c>
      <c r="AJ1576" s="1">
        <v>1</v>
      </c>
      <c r="AK1576" s="1" t="str">
        <f t="shared" si="24"/>
        <v xml:space="preserve"> =&lt;90</v>
      </c>
      <c r="AL1576" s="1" t="str">
        <f>VLOOKUP(C:C,[1]基础信息!B$1:D$65536,3,0)</f>
        <v>Jug</v>
      </c>
      <c r="AM1576" s="1" t="str">
        <f>VLOOKUP(C:C,[1]基础信息!B$1:E$65536,4,0)</f>
        <v>Mxplus</v>
      </c>
      <c r="AN1576" s="1" t="str">
        <f>VLOOKUP(C:C,[1]基础信息!B$1:F$65536,5,0)</f>
        <v>Blue</v>
      </c>
    </row>
    <row r="1577" spans="1:40">
      <c r="A1577" s="1" t="s">
        <v>41</v>
      </c>
      <c r="B1577" s="1" t="s">
        <v>42</v>
      </c>
      <c r="C1577" s="1" t="s">
        <v>83</v>
      </c>
      <c r="D1577" s="1" t="s">
        <v>84</v>
      </c>
      <c r="E1577" s="1" t="s">
        <v>45</v>
      </c>
      <c r="F1577" s="1" t="s">
        <v>3617</v>
      </c>
      <c r="G1577" s="1" t="s">
        <v>3664</v>
      </c>
      <c r="H1577" s="1" t="s">
        <v>3665</v>
      </c>
      <c r="I1577" s="1" t="s">
        <v>49</v>
      </c>
      <c r="J1577" s="1" t="s">
        <v>48</v>
      </c>
      <c r="K1577" s="1">
        <v>96</v>
      </c>
      <c r="L1577" s="1">
        <v>0</v>
      </c>
      <c r="M1577" s="1">
        <v>0</v>
      </c>
      <c r="N1577" s="1">
        <v>96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 t="s">
        <v>49</v>
      </c>
      <c r="AA1577" s="1" t="s">
        <v>49</v>
      </c>
      <c r="AB1577" s="1" t="s">
        <v>49</v>
      </c>
      <c r="AC1577" s="1" t="s">
        <v>1330</v>
      </c>
      <c r="AD1577" s="1" t="s">
        <v>1331</v>
      </c>
      <c r="AE1577" s="1" t="s">
        <v>1330</v>
      </c>
      <c r="AF1577" s="1" t="s">
        <v>90</v>
      </c>
      <c r="AG1577" s="1" t="s">
        <v>53</v>
      </c>
      <c r="AH1577" s="1" t="s">
        <v>49</v>
      </c>
      <c r="AI1577" s="1" t="s">
        <v>54</v>
      </c>
      <c r="AJ1577" s="1">
        <v>1</v>
      </c>
      <c r="AK1577" s="1" t="str">
        <f t="shared" si="24"/>
        <v xml:space="preserve"> =&lt;90</v>
      </c>
      <c r="AL1577" s="1" t="str">
        <f>VLOOKUP(C:C,[1]基础信息!B$1:D$65536,3,0)</f>
        <v>Jug</v>
      </c>
      <c r="AM1577" s="1" t="str">
        <f>VLOOKUP(C:C,[1]基础信息!B$1:E$65536,4,0)</f>
        <v>Mxplus</v>
      </c>
      <c r="AN1577" s="1" t="str">
        <f>VLOOKUP(C:C,[1]基础信息!B$1:F$65536,5,0)</f>
        <v>Blue</v>
      </c>
    </row>
    <row r="1578" spans="1:40">
      <c r="A1578" s="1" t="s">
        <v>41</v>
      </c>
      <c r="B1578" s="1" t="s">
        <v>42</v>
      </c>
      <c r="C1578" s="1" t="s">
        <v>83</v>
      </c>
      <c r="D1578" s="1" t="s">
        <v>84</v>
      </c>
      <c r="E1578" s="1" t="s">
        <v>45</v>
      </c>
      <c r="F1578" s="1" t="s">
        <v>3617</v>
      </c>
      <c r="G1578" s="1" t="s">
        <v>3666</v>
      </c>
      <c r="H1578" s="1" t="s">
        <v>3667</v>
      </c>
      <c r="I1578" s="1" t="s">
        <v>49</v>
      </c>
      <c r="J1578" s="1" t="s">
        <v>48</v>
      </c>
      <c r="K1578" s="1">
        <v>96</v>
      </c>
      <c r="L1578" s="1">
        <v>0</v>
      </c>
      <c r="M1578" s="1">
        <v>0</v>
      </c>
      <c r="N1578" s="1">
        <v>96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 t="s">
        <v>49</v>
      </c>
      <c r="AA1578" s="1" t="s">
        <v>49</v>
      </c>
      <c r="AB1578" s="1" t="s">
        <v>49</v>
      </c>
      <c r="AC1578" s="1" t="s">
        <v>1330</v>
      </c>
      <c r="AD1578" s="1" t="s">
        <v>1331</v>
      </c>
      <c r="AE1578" s="1" t="s">
        <v>1330</v>
      </c>
      <c r="AF1578" s="1" t="s">
        <v>90</v>
      </c>
      <c r="AG1578" s="1" t="s">
        <v>53</v>
      </c>
      <c r="AH1578" s="1" t="s">
        <v>49</v>
      </c>
      <c r="AI1578" s="1" t="s">
        <v>54</v>
      </c>
      <c r="AJ1578" s="1">
        <v>1</v>
      </c>
      <c r="AK1578" s="1" t="str">
        <f t="shared" si="24"/>
        <v xml:space="preserve"> =&lt;90</v>
      </c>
      <c r="AL1578" s="1" t="str">
        <f>VLOOKUP(C:C,[1]基础信息!B$1:D$65536,3,0)</f>
        <v>Jug</v>
      </c>
      <c r="AM1578" s="1" t="str">
        <f>VLOOKUP(C:C,[1]基础信息!B$1:E$65536,4,0)</f>
        <v>Mxplus</v>
      </c>
      <c r="AN1578" s="1" t="str">
        <f>VLOOKUP(C:C,[1]基础信息!B$1:F$65536,5,0)</f>
        <v>Blue</v>
      </c>
    </row>
    <row r="1579" spans="1:40">
      <c r="A1579" s="1" t="s">
        <v>41</v>
      </c>
      <c r="B1579" s="1" t="s">
        <v>42</v>
      </c>
      <c r="C1579" s="1" t="s">
        <v>83</v>
      </c>
      <c r="D1579" s="1" t="s">
        <v>84</v>
      </c>
      <c r="E1579" s="1" t="s">
        <v>45</v>
      </c>
      <c r="F1579" s="1" t="s">
        <v>3617</v>
      </c>
      <c r="G1579" s="1" t="s">
        <v>3668</v>
      </c>
      <c r="H1579" s="1" t="s">
        <v>3669</v>
      </c>
      <c r="I1579" s="1" t="s">
        <v>49</v>
      </c>
      <c r="J1579" s="1" t="s">
        <v>48</v>
      </c>
      <c r="K1579" s="1">
        <v>96</v>
      </c>
      <c r="L1579" s="1">
        <v>0</v>
      </c>
      <c r="M1579" s="1">
        <v>0</v>
      </c>
      <c r="N1579" s="1">
        <v>96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 t="s">
        <v>49</v>
      </c>
      <c r="AA1579" s="1" t="s">
        <v>49</v>
      </c>
      <c r="AB1579" s="1" t="s">
        <v>49</v>
      </c>
      <c r="AC1579" s="1" t="s">
        <v>1330</v>
      </c>
      <c r="AD1579" s="1" t="s">
        <v>1331</v>
      </c>
      <c r="AE1579" s="1" t="s">
        <v>1330</v>
      </c>
      <c r="AF1579" s="1" t="s">
        <v>90</v>
      </c>
      <c r="AG1579" s="1" t="s">
        <v>53</v>
      </c>
      <c r="AH1579" s="1" t="s">
        <v>49</v>
      </c>
      <c r="AI1579" s="1" t="s">
        <v>54</v>
      </c>
      <c r="AJ1579" s="1">
        <v>1</v>
      </c>
      <c r="AK1579" s="1" t="str">
        <f t="shared" si="24"/>
        <v xml:space="preserve"> =&lt;90</v>
      </c>
      <c r="AL1579" s="1" t="str">
        <f>VLOOKUP(C:C,[1]基础信息!B$1:D$65536,3,0)</f>
        <v>Jug</v>
      </c>
      <c r="AM1579" s="1" t="str">
        <f>VLOOKUP(C:C,[1]基础信息!B$1:E$65536,4,0)</f>
        <v>Mxplus</v>
      </c>
      <c r="AN1579" s="1" t="str">
        <f>VLOOKUP(C:C,[1]基础信息!B$1:F$65536,5,0)</f>
        <v>Blue</v>
      </c>
    </row>
    <row r="1580" spans="1:40">
      <c r="A1580" s="1" t="s">
        <v>41</v>
      </c>
      <c r="B1580" s="1" t="s">
        <v>42</v>
      </c>
      <c r="C1580" s="1" t="s">
        <v>83</v>
      </c>
      <c r="D1580" s="1" t="s">
        <v>84</v>
      </c>
      <c r="E1580" s="1" t="s">
        <v>45</v>
      </c>
      <c r="F1580" s="1" t="s">
        <v>3617</v>
      </c>
      <c r="G1580" s="1" t="s">
        <v>3670</v>
      </c>
      <c r="H1580" s="1" t="s">
        <v>3671</v>
      </c>
      <c r="I1580" s="1" t="s">
        <v>49</v>
      </c>
      <c r="J1580" s="1" t="s">
        <v>48</v>
      </c>
      <c r="K1580" s="1">
        <v>96</v>
      </c>
      <c r="L1580" s="1">
        <v>0</v>
      </c>
      <c r="M1580" s="1">
        <v>0</v>
      </c>
      <c r="N1580" s="1">
        <v>96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 t="s">
        <v>49</v>
      </c>
      <c r="AA1580" s="1" t="s">
        <v>49</v>
      </c>
      <c r="AB1580" s="1" t="s">
        <v>49</v>
      </c>
      <c r="AC1580" s="1" t="s">
        <v>1330</v>
      </c>
      <c r="AD1580" s="1" t="s">
        <v>1331</v>
      </c>
      <c r="AE1580" s="1" t="s">
        <v>1330</v>
      </c>
      <c r="AF1580" s="1" t="s">
        <v>90</v>
      </c>
      <c r="AG1580" s="1" t="s">
        <v>53</v>
      </c>
      <c r="AH1580" s="1" t="s">
        <v>49</v>
      </c>
      <c r="AI1580" s="1" t="s">
        <v>54</v>
      </c>
      <c r="AJ1580" s="1">
        <v>1</v>
      </c>
      <c r="AK1580" s="1" t="str">
        <f t="shared" si="24"/>
        <v xml:space="preserve"> =&lt;90</v>
      </c>
      <c r="AL1580" s="1" t="str">
        <f>VLOOKUP(C:C,[1]基础信息!B$1:D$65536,3,0)</f>
        <v>Jug</v>
      </c>
      <c r="AM1580" s="1" t="str">
        <f>VLOOKUP(C:C,[1]基础信息!B$1:E$65536,4,0)</f>
        <v>Mxplus</v>
      </c>
      <c r="AN1580" s="1" t="str">
        <f>VLOOKUP(C:C,[1]基础信息!B$1:F$65536,5,0)</f>
        <v>Blue</v>
      </c>
    </row>
    <row r="1581" spans="1:40">
      <c r="A1581" s="1" t="s">
        <v>41</v>
      </c>
      <c r="B1581" s="1" t="s">
        <v>42</v>
      </c>
      <c r="C1581" s="1" t="s">
        <v>83</v>
      </c>
      <c r="D1581" s="1" t="s">
        <v>84</v>
      </c>
      <c r="E1581" s="1" t="s">
        <v>45</v>
      </c>
      <c r="F1581" s="1" t="s">
        <v>3617</v>
      </c>
      <c r="G1581" s="1" t="s">
        <v>3672</v>
      </c>
      <c r="H1581" s="1" t="s">
        <v>3673</v>
      </c>
      <c r="I1581" s="1" t="s">
        <v>49</v>
      </c>
      <c r="J1581" s="1" t="s">
        <v>48</v>
      </c>
      <c r="K1581" s="1">
        <v>96</v>
      </c>
      <c r="L1581" s="1">
        <v>0</v>
      </c>
      <c r="M1581" s="1">
        <v>0</v>
      </c>
      <c r="N1581" s="1">
        <v>96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 t="s">
        <v>49</v>
      </c>
      <c r="AA1581" s="1" t="s">
        <v>49</v>
      </c>
      <c r="AB1581" s="1" t="s">
        <v>49</v>
      </c>
      <c r="AC1581" s="1" t="s">
        <v>1330</v>
      </c>
      <c r="AD1581" s="1" t="s">
        <v>1331</v>
      </c>
      <c r="AE1581" s="1" t="s">
        <v>1330</v>
      </c>
      <c r="AF1581" s="1" t="s">
        <v>90</v>
      </c>
      <c r="AG1581" s="1" t="s">
        <v>53</v>
      </c>
      <c r="AH1581" s="1" t="s">
        <v>49</v>
      </c>
      <c r="AI1581" s="1" t="s">
        <v>54</v>
      </c>
      <c r="AJ1581" s="1">
        <v>1</v>
      </c>
      <c r="AK1581" s="1" t="str">
        <f t="shared" si="24"/>
        <v xml:space="preserve"> =&lt;90</v>
      </c>
      <c r="AL1581" s="1" t="str">
        <f>VLOOKUP(C:C,[1]基础信息!B$1:D$65536,3,0)</f>
        <v>Jug</v>
      </c>
      <c r="AM1581" s="1" t="str">
        <f>VLOOKUP(C:C,[1]基础信息!B$1:E$65536,4,0)</f>
        <v>Mxplus</v>
      </c>
      <c r="AN1581" s="1" t="str">
        <f>VLOOKUP(C:C,[1]基础信息!B$1:F$65536,5,0)</f>
        <v>Blue</v>
      </c>
    </row>
    <row r="1582" spans="1:40">
      <c r="A1582" s="1" t="s">
        <v>41</v>
      </c>
      <c r="B1582" s="1" t="s">
        <v>42</v>
      </c>
      <c r="C1582" s="1" t="s">
        <v>1437</v>
      </c>
      <c r="D1582" s="1" t="s">
        <v>1438</v>
      </c>
      <c r="E1582" s="1" t="s">
        <v>45</v>
      </c>
      <c r="F1582" s="1" t="s">
        <v>3674</v>
      </c>
      <c r="G1582" s="1" t="s">
        <v>3675</v>
      </c>
      <c r="H1582" s="1" t="s">
        <v>45</v>
      </c>
      <c r="I1582" s="1" t="s">
        <v>45</v>
      </c>
      <c r="J1582" s="1" t="s">
        <v>48</v>
      </c>
      <c r="K1582" s="1">
        <v>72</v>
      </c>
      <c r="L1582" s="1">
        <v>0</v>
      </c>
      <c r="M1582" s="1">
        <v>0</v>
      </c>
      <c r="N1582" s="1">
        <v>72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 t="s">
        <v>49</v>
      </c>
      <c r="AA1582" s="1" t="s">
        <v>49</v>
      </c>
      <c r="AB1582" s="1" t="s">
        <v>49</v>
      </c>
      <c r="AC1582" s="1" t="s">
        <v>3447</v>
      </c>
      <c r="AD1582" s="1" t="s">
        <v>3448</v>
      </c>
      <c r="AE1582" s="1" t="s">
        <v>3447</v>
      </c>
      <c r="AF1582" s="1" t="s">
        <v>3676</v>
      </c>
      <c r="AG1582" s="1" t="s">
        <v>53</v>
      </c>
      <c r="AH1582" s="1" t="s">
        <v>49</v>
      </c>
      <c r="AI1582" s="1" t="s">
        <v>54</v>
      </c>
      <c r="AJ1582" s="1">
        <v>1</v>
      </c>
      <c r="AK1582" s="1" t="str">
        <f t="shared" si="24"/>
        <v xml:space="preserve"> =&lt;90</v>
      </c>
      <c r="AL1582" s="1" t="str">
        <f>VLOOKUP(C:C,[1]基础信息!B$1:D$65536,3,0)</f>
        <v>On tap</v>
      </c>
      <c r="AM1582" s="1" t="str">
        <f>VLOOKUP(C:C,[1]基础信息!B$1:E$65536,4,0)</f>
        <v>On tap</v>
      </c>
      <c r="AN1582" s="1" t="str">
        <f>VLOOKUP(C:C,[1]基础信息!B$1:F$65536,5,0)</f>
        <v>On tap</v>
      </c>
    </row>
    <row r="1583" spans="1:40">
      <c r="A1583" s="1" t="s">
        <v>41</v>
      </c>
      <c r="B1583" s="1" t="s">
        <v>42</v>
      </c>
      <c r="C1583" s="1" t="s">
        <v>83</v>
      </c>
      <c r="D1583" s="1" t="s">
        <v>84</v>
      </c>
      <c r="E1583" s="1" t="s">
        <v>45</v>
      </c>
      <c r="F1583" s="1" t="s">
        <v>3617</v>
      </c>
      <c r="G1583" s="1" t="s">
        <v>3677</v>
      </c>
      <c r="H1583" s="1" t="s">
        <v>3678</v>
      </c>
      <c r="I1583" s="1" t="s">
        <v>49</v>
      </c>
      <c r="J1583" s="1" t="s">
        <v>48</v>
      </c>
      <c r="K1583" s="1">
        <v>96</v>
      </c>
      <c r="L1583" s="1">
        <v>0</v>
      </c>
      <c r="M1583" s="1">
        <v>0</v>
      </c>
      <c r="N1583" s="1">
        <v>96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 t="s">
        <v>49</v>
      </c>
      <c r="AA1583" s="1" t="s">
        <v>49</v>
      </c>
      <c r="AB1583" s="1" t="s">
        <v>49</v>
      </c>
      <c r="AC1583" s="1" t="s">
        <v>1330</v>
      </c>
      <c r="AD1583" s="1" t="s">
        <v>1331</v>
      </c>
      <c r="AE1583" s="1" t="s">
        <v>1330</v>
      </c>
      <c r="AF1583" s="1" t="s">
        <v>90</v>
      </c>
      <c r="AG1583" s="1" t="s">
        <v>53</v>
      </c>
      <c r="AH1583" s="1" t="s">
        <v>49</v>
      </c>
      <c r="AI1583" s="1" t="s">
        <v>54</v>
      </c>
      <c r="AJ1583" s="1">
        <v>1</v>
      </c>
      <c r="AK1583" s="1" t="str">
        <f t="shared" si="24"/>
        <v xml:space="preserve"> =&lt;90</v>
      </c>
      <c r="AL1583" s="1" t="str">
        <f>VLOOKUP(C:C,[1]基础信息!B$1:D$65536,3,0)</f>
        <v>Jug</v>
      </c>
      <c r="AM1583" s="1" t="str">
        <f>VLOOKUP(C:C,[1]基础信息!B$1:E$65536,4,0)</f>
        <v>Mxplus</v>
      </c>
      <c r="AN1583" s="1" t="str">
        <f>VLOOKUP(C:C,[1]基础信息!B$1:F$65536,5,0)</f>
        <v>Blue</v>
      </c>
    </row>
    <row r="1584" spans="1:40">
      <c r="A1584" s="1" t="s">
        <v>41</v>
      </c>
      <c r="B1584" s="1" t="s">
        <v>42</v>
      </c>
      <c r="C1584" s="1" t="s">
        <v>83</v>
      </c>
      <c r="D1584" s="1" t="s">
        <v>84</v>
      </c>
      <c r="E1584" s="1" t="s">
        <v>45</v>
      </c>
      <c r="F1584" s="1" t="s">
        <v>3617</v>
      </c>
      <c r="G1584" s="1" t="s">
        <v>3679</v>
      </c>
      <c r="H1584" s="1" t="s">
        <v>3680</v>
      </c>
      <c r="I1584" s="1" t="s">
        <v>49</v>
      </c>
      <c r="J1584" s="1" t="s">
        <v>48</v>
      </c>
      <c r="K1584" s="1">
        <v>96</v>
      </c>
      <c r="L1584" s="1">
        <v>0</v>
      </c>
      <c r="M1584" s="1">
        <v>0</v>
      </c>
      <c r="N1584" s="1">
        <v>96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 t="s">
        <v>49</v>
      </c>
      <c r="AA1584" s="1" t="s">
        <v>49</v>
      </c>
      <c r="AB1584" s="1" t="s">
        <v>49</v>
      </c>
      <c r="AC1584" s="1" t="s">
        <v>1330</v>
      </c>
      <c r="AD1584" s="1" t="s">
        <v>1331</v>
      </c>
      <c r="AE1584" s="1" t="s">
        <v>1330</v>
      </c>
      <c r="AF1584" s="1" t="s">
        <v>90</v>
      </c>
      <c r="AG1584" s="1" t="s">
        <v>53</v>
      </c>
      <c r="AH1584" s="1" t="s">
        <v>49</v>
      </c>
      <c r="AI1584" s="1" t="s">
        <v>54</v>
      </c>
      <c r="AJ1584" s="1">
        <v>1</v>
      </c>
      <c r="AK1584" s="1" t="str">
        <f t="shared" si="24"/>
        <v xml:space="preserve"> =&lt;90</v>
      </c>
      <c r="AL1584" s="1" t="str">
        <f>VLOOKUP(C:C,[1]基础信息!B$1:D$65536,3,0)</f>
        <v>Jug</v>
      </c>
      <c r="AM1584" s="1" t="str">
        <f>VLOOKUP(C:C,[1]基础信息!B$1:E$65536,4,0)</f>
        <v>Mxplus</v>
      </c>
      <c r="AN1584" s="1" t="str">
        <f>VLOOKUP(C:C,[1]基础信息!B$1:F$65536,5,0)</f>
        <v>Blue</v>
      </c>
    </row>
    <row r="1585" spans="1:40">
      <c r="A1585" s="1" t="s">
        <v>41</v>
      </c>
      <c r="B1585" s="1" t="s">
        <v>42</v>
      </c>
      <c r="C1585" s="1" t="s">
        <v>83</v>
      </c>
      <c r="D1585" s="1" t="s">
        <v>84</v>
      </c>
      <c r="E1585" s="1" t="s">
        <v>45</v>
      </c>
      <c r="F1585" s="1" t="s">
        <v>3617</v>
      </c>
      <c r="G1585" s="1" t="s">
        <v>3681</v>
      </c>
      <c r="H1585" s="1" t="s">
        <v>3682</v>
      </c>
      <c r="I1585" s="1" t="s">
        <v>49</v>
      </c>
      <c r="J1585" s="1" t="s">
        <v>48</v>
      </c>
      <c r="K1585" s="1">
        <v>96</v>
      </c>
      <c r="L1585" s="1">
        <v>0</v>
      </c>
      <c r="M1585" s="1">
        <v>0</v>
      </c>
      <c r="N1585" s="1">
        <v>96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 t="s">
        <v>49</v>
      </c>
      <c r="AA1585" s="1" t="s">
        <v>49</v>
      </c>
      <c r="AB1585" s="1" t="s">
        <v>49</v>
      </c>
      <c r="AC1585" s="1" t="s">
        <v>1330</v>
      </c>
      <c r="AD1585" s="1" t="s">
        <v>1331</v>
      </c>
      <c r="AE1585" s="1" t="s">
        <v>1330</v>
      </c>
      <c r="AF1585" s="1" t="s">
        <v>90</v>
      </c>
      <c r="AG1585" s="1" t="s">
        <v>53</v>
      </c>
      <c r="AH1585" s="1" t="s">
        <v>49</v>
      </c>
      <c r="AI1585" s="1" t="s">
        <v>54</v>
      </c>
      <c r="AJ1585" s="1">
        <v>1</v>
      </c>
      <c r="AK1585" s="1" t="str">
        <f t="shared" si="24"/>
        <v xml:space="preserve"> =&lt;90</v>
      </c>
      <c r="AL1585" s="1" t="str">
        <f>VLOOKUP(C:C,[1]基础信息!B$1:D$65536,3,0)</f>
        <v>Jug</v>
      </c>
      <c r="AM1585" s="1" t="str">
        <f>VLOOKUP(C:C,[1]基础信息!B$1:E$65536,4,0)</f>
        <v>Mxplus</v>
      </c>
      <c r="AN1585" s="1" t="str">
        <f>VLOOKUP(C:C,[1]基础信息!B$1:F$65536,5,0)</f>
        <v>Blue</v>
      </c>
    </row>
    <row r="1586" spans="1:40">
      <c r="A1586" s="1" t="s">
        <v>41</v>
      </c>
      <c r="B1586" s="1" t="s">
        <v>42</v>
      </c>
      <c r="C1586" s="1" t="s">
        <v>83</v>
      </c>
      <c r="D1586" s="1" t="s">
        <v>84</v>
      </c>
      <c r="E1586" s="1" t="s">
        <v>45</v>
      </c>
      <c r="F1586" s="1" t="s">
        <v>3617</v>
      </c>
      <c r="G1586" s="1" t="s">
        <v>3683</v>
      </c>
      <c r="H1586" s="1" t="s">
        <v>3684</v>
      </c>
      <c r="I1586" s="1" t="s">
        <v>49</v>
      </c>
      <c r="J1586" s="1" t="s">
        <v>48</v>
      </c>
      <c r="K1586" s="1">
        <v>96</v>
      </c>
      <c r="L1586" s="1">
        <v>0</v>
      </c>
      <c r="M1586" s="1">
        <v>0</v>
      </c>
      <c r="N1586" s="1">
        <v>96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 t="s">
        <v>49</v>
      </c>
      <c r="AA1586" s="1" t="s">
        <v>49</v>
      </c>
      <c r="AB1586" s="1" t="s">
        <v>49</v>
      </c>
      <c r="AC1586" s="1" t="s">
        <v>1330</v>
      </c>
      <c r="AD1586" s="1" t="s">
        <v>1331</v>
      </c>
      <c r="AE1586" s="1" t="s">
        <v>1330</v>
      </c>
      <c r="AF1586" s="1" t="s">
        <v>90</v>
      </c>
      <c r="AG1586" s="1" t="s">
        <v>53</v>
      </c>
      <c r="AH1586" s="1" t="s">
        <v>49</v>
      </c>
      <c r="AI1586" s="1" t="s">
        <v>54</v>
      </c>
      <c r="AJ1586" s="1">
        <v>1</v>
      </c>
      <c r="AK1586" s="1" t="str">
        <f t="shared" si="24"/>
        <v xml:space="preserve"> =&lt;90</v>
      </c>
      <c r="AL1586" s="1" t="str">
        <f>VLOOKUP(C:C,[1]基础信息!B$1:D$65536,3,0)</f>
        <v>Jug</v>
      </c>
      <c r="AM1586" s="1" t="str">
        <f>VLOOKUP(C:C,[1]基础信息!B$1:E$65536,4,0)</f>
        <v>Mxplus</v>
      </c>
      <c r="AN1586" s="1" t="str">
        <f>VLOOKUP(C:C,[1]基础信息!B$1:F$65536,5,0)</f>
        <v>Blue</v>
      </c>
    </row>
    <row r="1587" spans="1:40">
      <c r="A1587" s="1" t="s">
        <v>41</v>
      </c>
      <c r="B1587" s="1" t="s">
        <v>42</v>
      </c>
      <c r="C1587" s="1" t="s">
        <v>1437</v>
      </c>
      <c r="D1587" s="1" t="s">
        <v>1438</v>
      </c>
      <c r="E1587" s="1" t="s">
        <v>45</v>
      </c>
      <c r="F1587" s="1" t="s">
        <v>3674</v>
      </c>
      <c r="G1587" s="1" t="s">
        <v>3685</v>
      </c>
      <c r="H1587" s="1" t="s">
        <v>45</v>
      </c>
      <c r="I1587" s="1" t="s">
        <v>45</v>
      </c>
      <c r="J1587" s="1" t="s">
        <v>48</v>
      </c>
      <c r="K1587" s="1">
        <v>540</v>
      </c>
      <c r="L1587" s="1">
        <v>0</v>
      </c>
      <c r="M1587" s="1">
        <v>0</v>
      </c>
      <c r="N1587" s="1">
        <v>540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 t="s">
        <v>49</v>
      </c>
      <c r="AA1587" s="1" t="s">
        <v>49</v>
      </c>
      <c r="AB1587" s="1" t="s">
        <v>49</v>
      </c>
      <c r="AC1587" s="1" t="s">
        <v>3447</v>
      </c>
      <c r="AD1587" s="1" t="s">
        <v>3448</v>
      </c>
      <c r="AE1587" s="1" t="s">
        <v>3447</v>
      </c>
      <c r="AF1587" s="1" t="s">
        <v>3676</v>
      </c>
      <c r="AG1587" s="1" t="s">
        <v>53</v>
      </c>
      <c r="AH1587" s="1" t="s">
        <v>49</v>
      </c>
      <c r="AI1587" s="1" t="s">
        <v>54</v>
      </c>
      <c r="AJ1587" s="1">
        <v>1</v>
      </c>
      <c r="AK1587" s="1" t="str">
        <f t="shared" si="24"/>
        <v xml:space="preserve"> =&lt;90</v>
      </c>
      <c r="AL1587" s="1" t="str">
        <f>VLOOKUP(C:C,[1]基础信息!B$1:D$65536,3,0)</f>
        <v>On tap</v>
      </c>
      <c r="AM1587" s="1" t="str">
        <f>VLOOKUP(C:C,[1]基础信息!B$1:E$65536,4,0)</f>
        <v>On tap</v>
      </c>
      <c r="AN1587" s="1" t="str">
        <f>VLOOKUP(C:C,[1]基础信息!B$1:F$65536,5,0)</f>
        <v>On tap</v>
      </c>
    </row>
    <row r="1588" spans="1:40">
      <c r="A1588" s="1" t="s">
        <v>41</v>
      </c>
      <c r="B1588" s="1" t="s">
        <v>42</v>
      </c>
      <c r="C1588" s="1" t="s">
        <v>83</v>
      </c>
      <c r="D1588" s="1" t="s">
        <v>84</v>
      </c>
      <c r="E1588" s="1" t="s">
        <v>45</v>
      </c>
      <c r="F1588" s="1" t="s">
        <v>3617</v>
      </c>
      <c r="G1588" s="1" t="s">
        <v>3686</v>
      </c>
      <c r="H1588" s="1" t="s">
        <v>3687</v>
      </c>
      <c r="I1588" s="1" t="s">
        <v>49</v>
      </c>
      <c r="J1588" s="1" t="s">
        <v>48</v>
      </c>
      <c r="K1588" s="1">
        <v>96</v>
      </c>
      <c r="L1588" s="1">
        <v>0</v>
      </c>
      <c r="M1588" s="1">
        <v>0</v>
      </c>
      <c r="N1588" s="1">
        <v>96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 t="s">
        <v>49</v>
      </c>
      <c r="AA1588" s="1" t="s">
        <v>49</v>
      </c>
      <c r="AB1588" s="1" t="s">
        <v>49</v>
      </c>
      <c r="AC1588" s="1" t="s">
        <v>1330</v>
      </c>
      <c r="AD1588" s="1" t="s">
        <v>1331</v>
      </c>
      <c r="AE1588" s="1" t="s">
        <v>1330</v>
      </c>
      <c r="AF1588" s="1" t="s">
        <v>90</v>
      </c>
      <c r="AG1588" s="1" t="s">
        <v>53</v>
      </c>
      <c r="AH1588" s="1" t="s">
        <v>49</v>
      </c>
      <c r="AI1588" s="1" t="s">
        <v>54</v>
      </c>
      <c r="AJ1588" s="1">
        <v>1</v>
      </c>
      <c r="AK1588" s="1" t="str">
        <f t="shared" si="24"/>
        <v xml:space="preserve"> =&lt;90</v>
      </c>
      <c r="AL1588" s="1" t="str">
        <f>VLOOKUP(C:C,[1]基础信息!B$1:D$65536,3,0)</f>
        <v>Jug</v>
      </c>
      <c r="AM1588" s="1" t="str">
        <f>VLOOKUP(C:C,[1]基础信息!B$1:E$65536,4,0)</f>
        <v>Mxplus</v>
      </c>
      <c r="AN1588" s="1" t="str">
        <f>VLOOKUP(C:C,[1]基础信息!B$1:F$65536,5,0)</f>
        <v>Blue</v>
      </c>
    </row>
    <row r="1589" spans="1:40">
      <c r="A1589" s="1" t="s">
        <v>41</v>
      </c>
      <c r="B1589" s="1" t="s">
        <v>42</v>
      </c>
      <c r="C1589" s="1" t="s">
        <v>83</v>
      </c>
      <c r="D1589" s="1" t="s">
        <v>84</v>
      </c>
      <c r="E1589" s="1" t="s">
        <v>45</v>
      </c>
      <c r="F1589" s="1" t="s">
        <v>3617</v>
      </c>
      <c r="G1589" s="1" t="s">
        <v>3688</v>
      </c>
      <c r="H1589" s="1" t="s">
        <v>3689</v>
      </c>
      <c r="I1589" s="1" t="s">
        <v>49</v>
      </c>
      <c r="J1589" s="1" t="s">
        <v>48</v>
      </c>
      <c r="K1589" s="1">
        <v>96</v>
      </c>
      <c r="L1589" s="1">
        <v>0</v>
      </c>
      <c r="M1589" s="1">
        <v>0</v>
      </c>
      <c r="N1589" s="1">
        <v>96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 t="s">
        <v>49</v>
      </c>
      <c r="AA1589" s="1" t="s">
        <v>49</v>
      </c>
      <c r="AB1589" s="1" t="s">
        <v>49</v>
      </c>
      <c r="AC1589" s="1" t="s">
        <v>1330</v>
      </c>
      <c r="AD1589" s="1" t="s">
        <v>1331</v>
      </c>
      <c r="AE1589" s="1" t="s">
        <v>1330</v>
      </c>
      <c r="AF1589" s="1" t="s">
        <v>90</v>
      </c>
      <c r="AG1589" s="1" t="s">
        <v>53</v>
      </c>
      <c r="AH1589" s="1" t="s">
        <v>49</v>
      </c>
      <c r="AI1589" s="1" t="s">
        <v>54</v>
      </c>
      <c r="AJ1589" s="1">
        <v>1</v>
      </c>
      <c r="AK1589" s="1" t="str">
        <f t="shared" si="24"/>
        <v xml:space="preserve"> =&lt;90</v>
      </c>
      <c r="AL1589" s="1" t="str">
        <f>VLOOKUP(C:C,[1]基础信息!B$1:D$65536,3,0)</f>
        <v>Jug</v>
      </c>
      <c r="AM1589" s="1" t="str">
        <f>VLOOKUP(C:C,[1]基础信息!B$1:E$65536,4,0)</f>
        <v>Mxplus</v>
      </c>
      <c r="AN1589" s="1" t="str">
        <f>VLOOKUP(C:C,[1]基础信息!B$1:F$65536,5,0)</f>
        <v>Blue</v>
      </c>
    </row>
    <row r="1590" spans="1:40">
      <c r="A1590" s="1" t="s">
        <v>41</v>
      </c>
      <c r="B1590" s="1" t="s">
        <v>42</v>
      </c>
      <c r="C1590" s="1" t="s">
        <v>83</v>
      </c>
      <c r="D1590" s="1" t="s">
        <v>84</v>
      </c>
      <c r="E1590" s="1" t="s">
        <v>45</v>
      </c>
      <c r="F1590" s="1" t="s">
        <v>3617</v>
      </c>
      <c r="G1590" s="1" t="s">
        <v>3690</v>
      </c>
      <c r="H1590" s="1" t="s">
        <v>3691</v>
      </c>
      <c r="I1590" s="1" t="s">
        <v>49</v>
      </c>
      <c r="J1590" s="1" t="s">
        <v>48</v>
      </c>
      <c r="K1590" s="1">
        <v>96</v>
      </c>
      <c r="L1590" s="1">
        <v>0</v>
      </c>
      <c r="M1590" s="1">
        <v>0</v>
      </c>
      <c r="N1590" s="1">
        <v>96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 t="s">
        <v>49</v>
      </c>
      <c r="AA1590" s="1" t="s">
        <v>49</v>
      </c>
      <c r="AB1590" s="1" t="s">
        <v>49</v>
      </c>
      <c r="AC1590" s="1" t="s">
        <v>1330</v>
      </c>
      <c r="AD1590" s="1" t="s">
        <v>1331</v>
      </c>
      <c r="AE1590" s="1" t="s">
        <v>1330</v>
      </c>
      <c r="AF1590" s="1" t="s">
        <v>90</v>
      </c>
      <c r="AG1590" s="1" t="s">
        <v>53</v>
      </c>
      <c r="AH1590" s="1" t="s">
        <v>49</v>
      </c>
      <c r="AI1590" s="1" t="s">
        <v>54</v>
      </c>
      <c r="AJ1590" s="1">
        <v>1</v>
      </c>
      <c r="AK1590" s="1" t="str">
        <f t="shared" si="24"/>
        <v xml:space="preserve"> =&lt;90</v>
      </c>
      <c r="AL1590" s="1" t="str">
        <f>VLOOKUP(C:C,[1]基础信息!B$1:D$65536,3,0)</f>
        <v>Jug</v>
      </c>
      <c r="AM1590" s="1" t="str">
        <f>VLOOKUP(C:C,[1]基础信息!B$1:E$65536,4,0)</f>
        <v>Mxplus</v>
      </c>
      <c r="AN1590" s="1" t="str">
        <f>VLOOKUP(C:C,[1]基础信息!B$1:F$65536,5,0)</f>
        <v>Blue</v>
      </c>
    </row>
    <row r="1591" spans="1:40">
      <c r="A1591" s="1" t="s">
        <v>41</v>
      </c>
      <c r="B1591" s="1" t="s">
        <v>42</v>
      </c>
      <c r="C1591" s="1" t="s">
        <v>83</v>
      </c>
      <c r="D1591" s="1" t="s">
        <v>84</v>
      </c>
      <c r="E1591" s="1" t="s">
        <v>45</v>
      </c>
      <c r="F1591" s="1" t="s">
        <v>3617</v>
      </c>
      <c r="G1591" s="1" t="s">
        <v>3692</v>
      </c>
      <c r="H1591" s="1" t="s">
        <v>3693</v>
      </c>
      <c r="I1591" s="1" t="s">
        <v>49</v>
      </c>
      <c r="J1591" s="1" t="s">
        <v>48</v>
      </c>
      <c r="K1591" s="1">
        <v>96</v>
      </c>
      <c r="L1591" s="1">
        <v>0</v>
      </c>
      <c r="M1591" s="1">
        <v>0</v>
      </c>
      <c r="N1591" s="1">
        <v>96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 t="s">
        <v>49</v>
      </c>
      <c r="AA1591" s="1" t="s">
        <v>49</v>
      </c>
      <c r="AB1591" s="1" t="s">
        <v>49</v>
      </c>
      <c r="AC1591" s="1" t="s">
        <v>1330</v>
      </c>
      <c r="AD1591" s="1" t="s">
        <v>1331</v>
      </c>
      <c r="AE1591" s="1" t="s">
        <v>1330</v>
      </c>
      <c r="AF1591" s="1" t="s">
        <v>90</v>
      </c>
      <c r="AG1591" s="1" t="s">
        <v>53</v>
      </c>
      <c r="AH1591" s="1" t="s">
        <v>49</v>
      </c>
      <c r="AI1591" s="1" t="s">
        <v>54</v>
      </c>
      <c r="AJ1591" s="1">
        <v>1</v>
      </c>
      <c r="AK1591" s="1" t="str">
        <f t="shared" si="24"/>
        <v xml:space="preserve"> =&lt;90</v>
      </c>
      <c r="AL1591" s="1" t="str">
        <f>VLOOKUP(C:C,[1]基础信息!B$1:D$65536,3,0)</f>
        <v>Jug</v>
      </c>
      <c r="AM1591" s="1" t="str">
        <f>VLOOKUP(C:C,[1]基础信息!B$1:E$65536,4,0)</f>
        <v>Mxplus</v>
      </c>
      <c r="AN1591" s="1" t="str">
        <f>VLOOKUP(C:C,[1]基础信息!B$1:F$65536,5,0)</f>
        <v>Blue</v>
      </c>
    </row>
    <row r="1592" spans="1:40">
      <c r="A1592" s="1" t="s">
        <v>41</v>
      </c>
      <c r="B1592" s="1" t="s">
        <v>42</v>
      </c>
      <c r="C1592" s="1" t="s">
        <v>83</v>
      </c>
      <c r="D1592" s="1" t="s">
        <v>84</v>
      </c>
      <c r="E1592" s="1" t="s">
        <v>45</v>
      </c>
      <c r="F1592" s="1" t="s">
        <v>3617</v>
      </c>
      <c r="G1592" s="1" t="s">
        <v>3694</v>
      </c>
      <c r="H1592" s="1" t="s">
        <v>3695</v>
      </c>
      <c r="I1592" s="1" t="s">
        <v>49</v>
      </c>
      <c r="J1592" s="1" t="s">
        <v>48</v>
      </c>
      <c r="K1592" s="1">
        <v>96</v>
      </c>
      <c r="L1592" s="1">
        <v>0</v>
      </c>
      <c r="M1592" s="1">
        <v>0</v>
      </c>
      <c r="N1592" s="1">
        <v>96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 t="s">
        <v>49</v>
      </c>
      <c r="AA1592" s="1" t="s">
        <v>49</v>
      </c>
      <c r="AB1592" s="1" t="s">
        <v>49</v>
      </c>
      <c r="AC1592" s="1" t="s">
        <v>1330</v>
      </c>
      <c r="AD1592" s="1" t="s">
        <v>1331</v>
      </c>
      <c r="AE1592" s="1" t="s">
        <v>1330</v>
      </c>
      <c r="AF1592" s="1" t="s">
        <v>90</v>
      </c>
      <c r="AG1592" s="1" t="s">
        <v>53</v>
      </c>
      <c r="AH1592" s="1" t="s">
        <v>49</v>
      </c>
      <c r="AI1592" s="1" t="s">
        <v>54</v>
      </c>
      <c r="AJ1592" s="1">
        <v>1</v>
      </c>
      <c r="AK1592" s="1" t="str">
        <f t="shared" si="24"/>
        <v xml:space="preserve"> =&lt;90</v>
      </c>
      <c r="AL1592" s="1" t="str">
        <f>VLOOKUP(C:C,[1]基础信息!B$1:D$65536,3,0)</f>
        <v>Jug</v>
      </c>
      <c r="AM1592" s="1" t="str">
        <f>VLOOKUP(C:C,[1]基础信息!B$1:E$65536,4,0)</f>
        <v>Mxplus</v>
      </c>
      <c r="AN1592" s="1" t="str">
        <f>VLOOKUP(C:C,[1]基础信息!B$1:F$65536,5,0)</f>
        <v>Blue</v>
      </c>
    </row>
    <row r="1593" spans="1:40">
      <c r="A1593" s="1" t="s">
        <v>41</v>
      </c>
      <c r="B1593" s="1" t="s">
        <v>42</v>
      </c>
      <c r="C1593" s="1" t="s">
        <v>285</v>
      </c>
      <c r="D1593" s="1" t="s">
        <v>286</v>
      </c>
      <c r="E1593" s="1" t="s">
        <v>45</v>
      </c>
      <c r="F1593" s="1" t="s">
        <v>2547</v>
      </c>
      <c r="G1593" s="1" t="s">
        <v>3696</v>
      </c>
      <c r="H1593" s="1" t="s">
        <v>3697</v>
      </c>
      <c r="I1593" s="1" t="s">
        <v>49</v>
      </c>
      <c r="J1593" s="1" t="s">
        <v>48</v>
      </c>
      <c r="K1593" s="1">
        <v>70</v>
      </c>
      <c r="L1593" s="1">
        <v>0</v>
      </c>
      <c r="M1593" s="1">
        <v>0</v>
      </c>
      <c r="N1593" s="1">
        <v>70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 t="s">
        <v>49</v>
      </c>
      <c r="AA1593" s="1" t="s">
        <v>49</v>
      </c>
      <c r="AB1593" s="1" t="s">
        <v>49</v>
      </c>
      <c r="AC1593" s="1" t="s">
        <v>1551</v>
      </c>
      <c r="AD1593" s="1" t="s">
        <v>1552</v>
      </c>
      <c r="AE1593" s="1" t="s">
        <v>1551</v>
      </c>
      <c r="AF1593" s="1" t="s">
        <v>2550</v>
      </c>
      <c r="AG1593" s="1" t="s">
        <v>53</v>
      </c>
      <c r="AH1593" s="1" t="s">
        <v>49</v>
      </c>
      <c r="AI1593" s="1" t="s">
        <v>54</v>
      </c>
      <c r="AJ1593" s="1">
        <v>1</v>
      </c>
      <c r="AK1593" s="1" t="str">
        <f t="shared" si="24"/>
        <v xml:space="preserve"> =&lt;90</v>
      </c>
      <c r="AL1593" s="1" t="str">
        <f>VLOOKUP(C:C,[1]基础信息!B$1:D$65536,3,0)</f>
        <v>Jug</v>
      </c>
      <c r="AM1593" s="1" t="str">
        <f>VLOOKUP(C:C,[1]基础信息!B$1:E$65536,4,0)</f>
        <v>Marella XL</v>
      </c>
      <c r="AN1593" s="1" t="str">
        <f>VLOOKUP(C:C,[1]基础信息!B$1:F$65536,5,0)</f>
        <v>Blue</v>
      </c>
    </row>
    <row r="1594" spans="1:40">
      <c r="A1594" s="1" t="s">
        <v>41</v>
      </c>
      <c r="B1594" s="1" t="s">
        <v>42</v>
      </c>
      <c r="C1594" s="1" t="s">
        <v>83</v>
      </c>
      <c r="D1594" s="1" t="s">
        <v>84</v>
      </c>
      <c r="E1594" s="1" t="s">
        <v>45</v>
      </c>
      <c r="F1594" s="1" t="s">
        <v>3617</v>
      </c>
      <c r="G1594" s="1" t="s">
        <v>3698</v>
      </c>
      <c r="H1594" s="1" t="s">
        <v>3699</v>
      </c>
      <c r="I1594" s="1" t="s">
        <v>49</v>
      </c>
      <c r="J1594" s="1" t="s">
        <v>48</v>
      </c>
      <c r="K1594" s="1">
        <v>96</v>
      </c>
      <c r="L1594" s="1">
        <v>0</v>
      </c>
      <c r="M1594" s="1">
        <v>0</v>
      </c>
      <c r="N1594" s="1">
        <v>96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 t="s">
        <v>49</v>
      </c>
      <c r="AA1594" s="1" t="s">
        <v>49</v>
      </c>
      <c r="AB1594" s="1" t="s">
        <v>49</v>
      </c>
      <c r="AC1594" s="1" t="s">
        <v>1330</v>
      </c>
      <c r="AD1594" s="1" t="s">
        <v>1331</v>
      </c>
      <c r="AE1594" s="1" t="s">
        <v>1330</v>
      </c>
      <c r="AF1594" s="1" t="s">
        <v>90</v>
      </c>
      <c r="AG1594" s="1" t="s">
        <v>53</v>
      </c>
      <c r="AH1594" s="1" t="s">
        <v>49</v>
      </c>
      <c r="AI1594" s="1" t="s">
        <v>54</v>
      </c>
      <c r="AJ1594" s="1">
        <v>1</v>
      </c>
      <c r="AK1594" s="1" t="str">
        <f t="shared" si="24"/>
        <v xml:space="preserve"> =&lt;90</v>
      </c>
      <c r="AL1594" s="1" t="str">
        <f>VLOOKUP(C:C,[1]基础信息!B$1:D$65536,3,0)</f>
        <v>Jug</v>
      </c>
      <c r="AM1594" s="1" t="str">
        <f>VLOOKUP(C:C,[1]基础信息!B$1:E$65536,4,0)</f>
        <v>Mxplus</v>
      </c>
      <c r="AN1594" s="1" t="str">
        <f>VLOOKUP(C:C,[1]基础信息!B$1:F$65536,5,0)</f>
        <v>Blue</v>
      </c>
    </row>
    <row r="1595" spans="1:40">
      <c r="A1595" s="1" t="s">
        <v>41</v>
      </c>
      <c r="B1595" s="1" t="s">
        <v>42</v>
      </c>
      <c r="C1595" s="1" t="s">
        <v>83</v>
      </c>
      <c r="D1595" s="1" t="s">
        <v>84</v>
      </c>
      <c r="E1595" s="1" t="s">
        <v>45</v>
      </c>
      <c r="F1595" s="1" t="s">
        <v>3617</v>
      </c>
      <c r="G1595" s="1" t="s">
        <v>3700</v>
      </c>
      <c r="H1595" s="1" t="s">
        <v>3701</v>
      </c>
      <c r="I1595" s="1" t="s">
        <v>49</v>
      </c>
      <c r="J1595" s="1" t="s">
        <v>48</v>
      </c>
      <c r="K1595" s="1">
        <v>96</v>
      </c>
      <c r="L1595" s="1">
        <v>0</v>
      </c>
      <c r="M1595" s="1">
        <v>0</v>
      </c>
      <c r="N1595" s="1">
        <v>96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 t="s">
        <v>49</v>
      </c>
      <c r="AA1595" s="1" t="s">
        <v>49</v>
      </c>
      <c r="AB1595" s="1" t="s">
        <v>49</v>
      </c>
      <c r="AC1595" s="1" t="s">
        <v>1330</v>
      </c>
      <c r="AD1595" s="1" t="s">
        <v>1331</v>
      </c>
      <c r="AE1595" s="1" t="s">
        <v>1330</v>
      </c>
      <c r="AF1595" s="1" t="s">
        <v>90</v>
      </c>
      <c r="AG1595" s="1" t="s">
        <v>53</v>
      </c>
      <c r="AH1595" s="1" t="s">
        <v>49</v>
      </c>
      <c r="AI1595" s="1" t="s">
        <v>54</v>
      </c>
      <c r="AJ1595" s="1">
        <v>1</v>
      </c>
      <c r="AK1595" s="1" t="str">
        <f t="shared" si="24"/>
        <v xml:space="preserve"> =&lt;90</v>
      </c>
      <c r="AL1595" s="1" t="str">
        <f>VLOOKUP(C:C,[1]基础信息!B$1:D$65536,3,0)</f>
        <v>Jug</v>
      </c>
      <c r="AM1595" s="1" t="str">
        <f>VLOOKUP(C:C,[1]基础信息!B$1:E$65536,4,0)</f>
        <v>Mxplus</v>
      </c>
      <c r="AN1595" s="1" t="str">
        <f>VLOOKUP(C:C,[1]基础信息!B$1:F$65536,5,0)</f>
        <v>Blue</v>
      </c>
    </row>
    <row r="1596" spans="1:40">
      <c r="A1596" s="1" t="s">
        <v>41</v>
      </c>
      <c r="B1596" s="1" t="s">
        <v>42</v>
      </c>
      <c r="C1596" s="1" t="s">
        <v>83</v>
      </c>
      <c r="D1596" s="1" t="s">
        <v>84</v>
      </c>
      <c r="E1596" s="1" t="s">
        <v>45</v>
      </c>
      <c r="F1596" s="1" t="s">
        <v>3617</v>
      </c>
      <c r="G1596" s="1" t="s">
        <v>3702</v>
      </c>
      <c r="H1596" s="1" t="s">
        <v>3703</v>
      </c>
      <c r="I1596" s="1" t="s">
        <v>49</v>
      </c>
      <c r="J1596" s="1" t="s">
        <v>48</v>
      </c>
      <c r="K1596" s="1">
        <v>96</v>
      </c>
      <c r="L1596" s="1">
        <v>0</v>
      </c>
      <c r="M1596" s="1">
        <v>0</v>
      </c>
      <c r="N1596" s="1">
        <v>96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 t="s">
        <v>49</v>
      </c>
      <c r="AA1596" s="1" t="s">
        <v>49</v>
      </c>
      <c r="AB1596" s="1" t="s">
        <v>49</v>
      </c>
      <c r="AC1596" s="1" t="s">
        <v>1330</v>
      </c>
      <c r="AD1596" s="1" t="s">
        <v>1331</v>
      </c>
      <c r="AE1596" s="1" t="s">
        <v>1330</v>
      </c>
      <c r="AF1596" s="1" t="s">
        <v>90</v>
      </c>
      <c r="AG1596" s="1" t="s">
        <v>53</v>
      </c>
      <c r="AH1596" s="1" t="s">
        <v>49</v>
      </c>
      <c r="AI1596" s="1" t="s">
        <v>54</v>
      </c>
      <c r="AJ1596" s="1">
        <v>1</v>
      </c>
      <c r="AK1596" s="1" t="str">
        <f t="shared" si="24"/>
        <v xml:space="preserve"> =&lt;90</v>
      </c>
      <c r="AL1596" s="1" t="str">
        <f>VLOOKUP(C:C,[1]基础信息!B$1:D$65536,3,0)</f>
        <v>Jug</v>
      </c>
      <c r="AM1596" s="1" t="str">
        <f>VLOOKUP(C:C,[1]基础信息!B$1:E$65536,4,0)</f>
        <v>Mxplus</v>
      </c>
      <c r="AN1596" s="1" t="str">
        <f>VLOOKUP(C:C,[1]基础信息!B$1:F$65536,5,0)</f>
        <v>Blue</v>
      </c>
    </row>
    <row r="1597" spans="1:40">
      <c r="A1597" s="1" t="s">
        <v>41</v>
      </c>
      <c r="B1597" s="1" t="s">
        <v>42</v>
      </c>
      <c r="C1597" s="1" t="s">
        <v>83</v>
      </c>
      <c r="D1597" s="1" t="s">
        <v>84</v>
      </c>
      <c r="E1597" s="1" t="s">
        <v>45</v>
      </c>
      <c r="F1597" s="1" t="s">
        <v>3617</v>
      </c>
      <c r="G1597" s="1" t="s">
        <v>3704</v>
      </c>
      <c r="H1597" s="1" t="s">
        <v>3705</v>
      </c>
      <c r="I1597" s="1" t="s">
        <v>49</v>
      </c>
      <c r="J1597" s="1" t="s">
        <v>48</v>
      </c>
      <c r="K1597" s="1">
        <v>96</v>
      </c>
      <c r="L1597" s="1">
        <v>0</v>
      </c>
      <c r="M1597" s="1">
        <v>0</v>
      </c>
      <c r="N1597" s="1">
        <v>96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 t="s">
        <v>49</v>
      </c>
      <c r="AA1597" s="1" t="s">
        <v>49</v>
      </c>
      <c r="AB1597" s="1" t="s">
        <v>49</v>
      </c>
      <c r="AC1597" s="1" t="s">
        <v>1330</v>
      </c>
      <c r="AD1597" s="1" t="s">
        <v>1331</v>
      </c>
      <c r="AE1597" s="1" t="s">
        <v>1330</v>
      </c>
      <c r="AF1597" s="1" t="s">
        <v>90</v>
      </c>
      <c r="AG1597" s="1" t="s">
        <v>53</v>
      </c>
      <c r="AH1597" s="1" t="s">
        <v>49</v>
      </c>
      <c r="AI1597" s="1" t="s">
        <v>54</v>
      </c>
      <c r="AJ1597" s="1">
        <v>1</v>
      </c>
      <c r="AK1597" s="1" t="str">
        <f t="shared" si="24"/>
        <v xml:space="preserve"> =&lt;90</v>
      </c>
      <c r="AL1597" s="1" t="str">
        <f>VLOOKUP(C:C,[1]基础信息!B$1:D$65536,3,0)</f>
        <v>Jug</v>
      </c>
      <c r="AM1597" s="1" t="str">
        <f>VLOOKUP(C:C,[1]基础信息!B$1:E$65536,4,0)</f>
        <v>Mxplus</v>
      </c>
      <c r="AN1597" s="1" t="str">
        <f>VLOOKUP(C:C,[1]基础信息!B$1:F$65536,5,0)</f>
        <v>Blue</v>
      </c>
    </row>
    <row r="1598" spans="1:40">
      <c r="A1598" s="1" t="s">
        <v>41</v>
      </c>
      <c r="B1598" s="1" t="s">
        <v>42</v>
      </c>
      <c r="C1598" s="1" t="s">
        <v>83</v>
      </c>
      <c r="D1598" s="1" t="s">
        <v>84</v>
      </c>
      <c r="E1598" s="1" t="s">
        <v>45</v>
      </c>
      <c r="F1598" s="1" t="s">
        <v>3617</v>
      </c>
      <c r="G1598" s="1" t="s">
        <v>3706</v>
      </c>
      <c r="H1598" s="1" t="s">
        <v>3707</v>
      </c>
      <c r="I1598" s="1" t="s">
        <v>49</v>
      </c>
      <c r="J1598" s="1" t="s">
        <v>48</v>
      </c>
      <c r="K1598" s="1">
        <v>96</v>
      </c>
      <c r="L1598" s="1">
        <v>0</v>
      </c>
      <c r="M1598" s="1">
        <v>0</v>
      </c>
      <c r="N1598" s="1">
        <v>96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 t="s">
        <v>49</v>
      </c>
      <c r="AA1598" s="1" t="s">
        <v>49</v>
      </c>
      <c r="AB1598" s="1" t="s">
        <v>49</v>
      </c>
      <c r="AC1598" s="1" t="s">
        <v>1330</v>
      </c>
      <c r="AD1598" s="1" t="s">
        <v>1331</v>
      </c>
      <c r="AE1598" s="1" t="s">
        <v>1330</v>
      </c>
      <c r="AF1598" s="1" t="s">
        <v>90</v>
      </c>
      <c r="AG1598" s="1" t="s">
        <v>53</v>
      </c>
      <c r="AH1598" s="1" t="s">
        <v>49</v>
      </c>
      <c r="AI1598" s="1" t="s">
        <v>54</v>
      </c>
      <c r="AJ1598" s="1">
        <v>1</v>
      </c>
      <c r="AK1598" s="1" t="str">
        <f t="shared" si="24"/>
        <v xml:space="preserve"> =&lt;90</v>
      </c>
      <c r="AL1598" s="1" t="str">
        <f>VLOOKUP(C:C,[1]基础信息!B$1:D$65536,3,0)</f>
        <v>Jug</v>
      </c>
      <c r="AM1598" s="1" t="str">
        <f>VLOOKUP(C:C,[1]基础信息!B$1:E$65536,4,0)</f>
        <v>Mxplus</v>
      </c>
      <c r="AN1598" s="1" t="str">
        <f>VLOOKUP(C:C,[1]基础信息!B$1:F$65536,5,0)</f>
        <v>Blue</v>
      </c>
    </row>
    <row r="1599" spans="1:40">
      <c r="A1599" s="1" t="s">
        <v>41</v>
      </c>
      <c r="B1599" s="1" t="s">
        <v>42</v>
      </c>
      <c r="C1599" s="1" t="s">
        <v>83</v>
      </c>
      <c r="D1599" s="1" t="s">
        <v>84</v>
      </c>
      <c r="E1599" s="1" t="s">
        <v>45</v>
      </c>
      <c r="F1599" s="1" t="s">
        <v>3617</v>
      </c>
      <c r="G1599" s="1" t="s">
        <v>3708</v>
      </c>
      <c r="H1599" s="1" t="s">
        <v>3709</v>
      </c>
      <c r="I1599" s="1" t="s">
        <v>49</v>
      </c>
      <c r="J1599" s="1" t="s">
        <v>48</v>
      </c>
      <c r="K1599" s="1">
        <v>96</v>
      </c>
      <c r="L1599" s="1">
        <v>0</v>
      </c>
      <c r="M1599" s="1">
        <v>0</v>
      </c>
      <c r="N1599" s="1">
        <v>96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 t="s">
        <v>49</v>
      </c>
      <c r="AA1599" s="1" t="s">
        <v>49</v>
      </c>
      <c r="AB1599" s="1" t="s">
        <v>49</v>
      </c>
      <c r="AC1599" s="1" t="s">
        <v>1330</v>
      </c>
      <c r="AD1599" s="1" t="s">
        <v>1331</v>
      </c>
      <c r="AE1599" s="1" t="s">
        <v>1330</v>
      </c>
      <c r="AF1599" s="1" t="s">
        <v>90</v>
      </c>
      <c r="AG1599" s="1" t="s">
        <v>53</v>
      </c>
      <c r="AH1599" s="1" t="s">
        <v>49</v>
      </c>
      <c r="AI1599" s="1" t="s">
        <v>54</v>
      </c>
      <c r="AJ1599" s="1">
        <v>1</v>
      </c>
      <c r="AK1599" s="1" t="str">
        <f t="shared" si="24"/>
        <v xml:space="preserve"> =&lt;90</v>
      </c>
      <c r="AL1599" s="1" t="str">
        <f>VLOOKUP(C:C,[1]基础信息!B$1:D$65536,3,0)</f>
        <v>Jug</v>
      </c>
      <c r="AM1599" s="1" t="str">
        <f>VLOOKUP(C:C,[1]基础信息!B$1:E$65536,4,0)</f>
        <v>Mxplus</v>
      </c>
      <c r="AN1599" s="1" t="str">
        <f>VLOOKUP(C:C,[1]基础信息!B$1:F$65536,5,0)</f>
        <v>Blue</v>
      </c>
    </row>
    <row r="1600" spans="1:40">
      <c r="A1600" s="1" t="s">
        <v>41</v>
      </c>
      <c r="B1600" s="1" t="s">
        <v>42</v>
      </c>
      <c r="C1600" s="1" t="s">
        <v>83</v>
      </c>
      <c r="D1600" s="1" t="s">
        <v>84</v>
      </c>
      <c r="E1600" s="1" t="s">
        <v>45</v>
      </c>
      <c r="F1600" s="1" t="s">
        <v>3617</v>
      </c>
      <c r="G1600" s="1" t="s">
        <v>3710</v>
      </c>
      <c r="H1600" s="1" t="s">
        <v>3711</v>
      </c>
      <c r="I1600" s="1" t="s">
        <v>49</v>
      </c>
      <c r="J1600" s="1" t="s">
        <v>48</v>
      </c>
      <c r="K1600" s="1">
        <v>96</v>
      </c>
      <c r="L1600" s="1">
        <v>0</v>
      </c>
      <c r="M1600" s="1">
        <v>0</v>
      </c>
      <c r="N1600" s="1">
        <v>96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 t="s">
        <v>49</v>
      </c>
      <c r="AA1600" s="1" t="s">
        <v>49</v>
      </c>
      <c r="AB1600" s="1" t="s">
        <v>49</v>
      </c>
      <c r="AC1600" s="1" t="s">
        <v>1330</v>
      </c>
      <c r="AD1600" s="1" t="s">
        <v>1331</v>
      </c>
      <c r="AE1600" s="1" t="s">
        <v>1330</v>
      </c>
      <c r="AF1600" s="1" t="s">
        <v>90</v>
      </c>
      <c r="AG1600" s="1" t="s">
        <v>53</v>
      </c>
      <c r="AH1600" s="1" t="s">
        <v>49</v>
      </c>
      <c r="AI1600" s="1" t="s">
        <v>54</v>
      </c>
      <c r="AJ1600" s="1">
        <v>1</v>
      </c>
      <c r="AK1600" s="1" t="str">
        <f t="shared" si="24"/>
        <v xml:space="preserve"> =&lt;90</v>
      </c>
      <c r="AL1600" s="1" t="str">
        <f>VLOOKUP(C:C,[1]基础信息!B$1:D$65536,3,0)</f>
        <v>Jug</v>
      </c>
      <c r="AM1600" s="1" t="str">
        <f>VLOOKUP(C:C,[1]基础信息!B$1:E$65536,4,0)</f>
        <v>Mxplus</v>
      </c>
      <c r="AN1600" s="1" t="str">
        <f>VLOOKUP(C:C,[1]基础信息!B$1:F$65536,5,0)</f>
        <v>Blue</v>
      </c>
    </row>
    <row r="1601" spans="1:40">
      <c r="A1601" s="1" t="s">
        <v>41</v>
      </c>
      <c r="B1601" s="1" t="s">
        <v>42</v>
      </c>
      <c r="C1601" s="1" t="s">
        <v>83</v>
      </c>
      <c r="D1601" s="1" t="s">
        <v>84</v>
      </c>
      <c r="E1601" s="1" t="s">
        <v>45</v>
      </c>
      <c r="F1601" s="1" t="s">
        <v>3617</v>
      </c>
      <c r="G1601" s="1" t="s">
        <v>3712</v>
      </c>
      <c r="H1601" s="1" t="s">
        <v>3713</v>
      </c>
      <c r="I1601" s="1" t="s">
        <v>49</v>
      </c>
      <c r="J1601" s="1" t="s">
        <v>48</v>
      </c>
      <c r="K1601" s="1">
        <v>84</v>
      </c>
      <c r="L1601" s="1">
        <v>0</v>
      </c>
      <c r="M1601" s="1">
        <v>0</v>
      </c>
      <c r="N1601" s="1">
        <v>84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 t="s">
        <v>49</v>
      </c>
      <c r="AA1601" s="1" t="s">
        <v>49</v>
      </c>
      <c r="AB1601" s="1" t="s">
        <v>49</v>
      </c>
      <c r="AC1601" s="1" t="s">
        <v>1330</v>
      </c>
      <c r="AD1601" s="1" t="s">
        <v>1331</v>
      </c>
      <c r="AE1601" s="1" t="s">
        <v>1330</v>
      </c>
      <c r="AF1601" s="1" t="s">
        <v>90</v>
      </c>
      <c r="AG1601" s="1" t="s">
        <v>53</v>
      </c>
      <c r="AH1601" s="1" t="s">
        <v>49</v>
      </c>
      <c r="AI1601" s="1" t="s">
        <v>54</v>
      </c>
      <c r="AJ1601" s="1">
        <v>1</v>
      </c>
      <c r="AK1601" s="1" t="str">
        <f t="shared" si="24"/>
        <v xml:space="preserve"> =&lt;90</v>
      </c>
      <c r="AL1601" s="1" t="str">
        <f>VLOOKUP(C:C,[1]基础信息!B$1:D$65536,3,0)</f>
        <v>Jug</v>
      </c>
      <c r="AM1601" s="1" t="str">
        <f>VLOOKUP(C:C,[1]基础信息!B$1:E$65536,4,0)</f>
        <v>Mxplus</v>
      </c>
      <c r="AN1601" s="1" t="str">
        <f>VLOOKUP(C:C,[1]基础信息!B$1:F$65536,5,0)</f>
        <v>Blue</v>
      </c>
    </row>
    <row r="1602" spans="1:40">
      <c r="A1602" s="1" t="s">
        <v>41</v>
      </c>
      <c r="B1602" s="1" t="s">
        <v>42</v>
      </c>
      <c r="C1602" s="1" t="s">
        <v>301</v>
      </c>
      <c r="D1602" s="1" t="s">
        <v>302</v>
      </c>
      <c r="E1602" s="1" t="s">
        <v>45</v>
      </c>
      <c r="F1602" s="1" t="s">
        <v>3590</v>
      </c>
      <c r="G1602" s="1" t="s">
        <v>3714</v>
      </c>
      <c r="H1602" s="1" t="s">
        <v>3715</v>
      </c>
      <c r="I1602" s="1" t="s">
        <v>49</v>
      </c>
      <c r="J1602" s="1" t="s">
        <v>48</v>
      </c>
      <c r="K1602" s="1">
        <v>96</v>
      </c>
      <c r="L1602" s="1">
        <v>0</v>
      </c>
      <c r="M1602" s="1">
        <v>0</v>
      </c>
      <c r="N1602" s="1">
        <v>96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 t="s">
        <v>49</v>
      </c>
      <c r="AA1602" s="1" t="s">
        <v>49</v>
      </c>
      <c r="AB1602" s="1" t="s">
        <v>49</v>
      </c>
      <c r="AC1602" s="1" t="s">
        <v>3593</v>
      </c>
      <c r="AD1602" s="1" t="s">
        <v>3594</v>
      </c>
      <c r="AE1602" s="1" t="s">
        <v>3593</v>
      </c>
      <c r="AF1602" s="1" t="s">
        <v>307</v>
      </c>
      <c r="AG1602" s="1" t="s">
        <v>53</v>
      </c>
      <c r="AH1602" s="1" t="s">
        <v>49</v>
      </c>
      <c r="AI1602" s="1" t="s">
        <v>54</v>
      </c>
      <c r="AJ1602" s="1">
        <v>1</v>
      </c>
      <c r="AK1602" s="1" t="str">
        <f t="shared" ref="AK1602:AK1665" si="25">IF(AJ1602&gt;$AP$2,$AQ$2,IF(AJ1602&gt;$AP$3,$AQ$3,IF(AJ1602&gt;$AP$4,$AQ$4,$AQ$5)))</f>
        <v xml:space="preserve"> =&lt;90</v>
      </c>
      <c r="AL1602" s="1" t="str">
        <f>VLOOKUP(C:C,[1]基础信息!B$1:D$65536,3,0)</f>
        <v>Jug</v>
      </c>
      <c r="AM1602" s="1" t="str">
        <f>VLOOKUP(C:C,[1]基础信息!B$1:E$65536,4,0)</f>
        <v>Aluna</v>
      </c>
      <c r="AN1602" s="1" t="str">
        <f>VLOOKUP(C:C,[1]基础信息!B$1:F$65536,5,0)</f>
        <v>Blue</v>
      </c>
    </row>
    <row r="1603" spans="1:40">
      <c r="A1603" s="1" t="s">
        <v>41</v>
      </c>
      <c r="B1603" s="1" t="s">
        <v>42</v>
      </c>
      <c r="C1603" s="1" t="s">
        <v>1183</v>
      </c>
      <c r="D1603" s="1" t="s">
        <v>1184</v>
      </c>
      <c r="E1603" s="1" t="s">
        <v>45</v>
      </c>
      <c r="F1603" s="1" t="s">
        <v>3716</v>
      </c>
      <c r="G1603" s="1" t="s">
        <v>3717</v>
      </c>
      <c r="H1603" s="1" t="s">
        <v>3718</v>
      </c>
      <c r="I1603" s="1" t="s">
        <v>49</v>
      </c>
      <c r="J1603" s="1" t="s">
        <v>48</v>
      </c>
      <c r="K1603" s="1">
        <v>2</v>
      </c>
      <c r="L1603" s="1">
        <v>0</v>
      </c>
      <c r="M1603" s="1">
        <v>0</v>
      </c>
      <c r="N1603" s="1">
        <v>2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 t="s">
        <v>49</v>
      </c>
      <c r="AA1603" s="1" t="s">
        <v>49</v>
      </c>
      <c r="AB1603" s="1" t="s">
        <v>49</v>
      </c>
      <c r="AC1603" s="1" t="s">
        <v>3719</v>
      </c>
      <c r="AD1603" s="1" t="s">
        <v>3720</v>
      </c>
      <c r="AE1603" s="1" t="s">
        <v>3719</v>
      </c>
      <c r="AF1603" s="1" t="s">
        <v>3721</v>
      </c>
      <c r="AG1603" s="1" t="s">
        <v>53</v>
      </c>
      <c r="AH1603" s="1" t="s">
        <v>49</v>
      </c>
      <c r="AI1603" s="1" t="s">
        <v>54</v>
      </c>
      <c r="AJ1603" s="1">
        <v>1</v>
      </c>
      <c r="AK1603" s="1" t="str">
        <f t="shared" si="25"/>
        <v xml:space="preserve"> =&lt;90</v>
      </c>
      <c r="AL1603" s="1" t="e">
        <f>VLOOKUP(C:C,[1]基础信息!B$1:D$65536,3,0)</f>
        <v>#N/A</v>
      </c>
      <c r="AM1603" s="1" t="e">
        <f>VLOOKUP(C:C,[1]基础信息!B$1:E$65536,4,0)</f>
        <v>#N/A</v>
      </c>
      <c r="AN1603" s="1" t="e">
        <f>VLOOKUP(C:C,[1]基础信息!B$1:F$65536,5,0)</f>
        <v>#N/A</v>
      </c>
    </row>
    <row r="1604" spans="1:40">
      <c r="A1604" s="1" t="s">
        <v>41</v>
      </c>
      <c r="B1604" s="1" t="s">
        <v>42</v>
      </c>
      <c r="C1604" s="1" t="s">
        <v>1004</v>
      </c>
      <c r="D1604" s="1" t="s">
        <v>1005</v>
      </c>
      <c r="E1604" s="1" t="s">
        <v>1004</v>
      </c>
      <c r="F1604" s="1" t="s">
        <v>3722</v>
      </c>
      <c r="G1604" s="1" t="s">
        <v>3723</v>
      </c>
      <c r="H1604" s="1" t="s">
        <v>3724</v>
      </c>
      <c r="I1604" s="1" t="s">
        <v>49</v>
      </c>
      <c r="J1604" s="1" t="s">
        <v>48</v>
      </c>
      <c r="K1604" s="1">
        <v>14</v>
      </c>
      <c r="L1604" s="1">
        <v>0</v>
      </c>
      <c r="M1604" s="1">
        <v>0</v>
      </c>
      <c r="N1604" s="1">
        <v>14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 t="s">
        <v>49</v>
      </c>
      <c r="AA1604" s="1" t="s">
        <v>49</v>
      </c>
      <c r="AB1604" s="1" t="s">
        <v>49</v>
      </c>
      <c r="AC1604" s="1" t="s">
        <v>3719</v>
      </c>
      <c r="AD1604" s="1" t="s">
        <v>3720</v>
      </c>
      <c r="AE1604" s="1" t="s">
        <v>3719</v>
      </c>
      <c r="AF1604" s="1" t="s">
        <v>3725</v>
      </c>
      <c r="AG1604" s="1" t="s">
        <v>53</v>
      </c>
      <c r="AH1604" s="1" t="s">
        <v>49</v>
      </c>
      <c r="AI1604" s="1" t="s">
        <v>54</v>
      </c>
      <c r="AJ1604" s="1">
        <v>0</v>
      </c>
      <c r="AK1604" s="1" t="str">
        <f t="shared" si="25"/>
        <v xml:space="preserve"> =&lt;90</v>
      </c>
      <c r="AL1604" s="1" t="str">
        <f>VLOOKUP(C:C,[1]基础信息!B$1:D$65536,3,0)</f>
        <v>UTS</v>
      </c>
      <c r="AM1604" s="1" t="str">
        <f>VLOOKUP(C:C,[1]基础信息!B$1:E$65536,4,0)</f>
        <v>MyPure</v>
      </c>
      <c r="AN1604" s="1" t="str">
        <f>VLOOKUP(C:C,[1]基础信息!B$1:F$65536,5,0)</f>
        <v>U5</v>
      </c>
    </row>
    <row r="1605" spans="1:40">
      <c r="A1605" s="1" t="s">
        <v>41</v>
      </c>
      <c r="B1605" s="1" t="s">
        <v>42</v>
      </c>
      <c r="C1605" s="1" t="s">
        <v>1004</v>
      </c>
      <c r="D1605" s="1" t="s">
        <v>1005</v>
      </c>
      <c r="E1605" s="1" t="s">
        <v>1004</v>
      </c>
      <c r="F1605" s="1" t="s">
        <v>3726</v>
      </c>
      <c r="G1605" s="1" t="s">
        <v>3723</v>
      </c>
      <c r="H1605" s="1" t="s">
        <v>3724</v>
      </c>
      <c r="I1605" s="1" t="s">
        <v>49</v>
      </c>
      <c r="J1605" s="1" t="s">
        <v>48</v>
      </c>
      <c r="K1605" s="1">
        <v>1</v>
      </c>
      <c r="L1605" s="1">
        <v>0</v>
      </c>
      <c r="M1605" s="1">
        <v>0</v>
      </c>
      <c r="N1605" s="1">
        <v>1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 t="s">
        <v>49</v>
      </c>
      <c r="AA1605" s="1" t="s">
        <v>49</v>
      </c>
      <c r="AB1605" s="1" t="s">
        <v>49</v>
      </c>
      <c r="AC1605" s="1" t="s">
        <v>3719</v>
      </c>
      <c r="AD1605" s="1" t="s">
        <v>3720</v>
      </c>
      <c r="AE1605" s="1" t="s">
        <v>3719</v>
      </c>
      <c r="AF1605" s="1" t="s">
        <v>3725</v>
      </c>
      <c r="AG1605" s="1" t="s">
        <v>227</v>
      </c>
      <c r="AH1605" s="1" t="s">
        <v>49</v>
      </c>
      <c r="AI1605" s="1" t="s">
        <v>54</v>
      </c>
      <c r="AJ1605" s="1">
        <v>1</v>
      </c>
      <c r="AK1605" s="1" t="str">
        <f t="shared" si="25"/>
        <v xml:space="preserve"> =&lt;90</v>
      </c>
      <c r="AL1605" s="1" t="str">
        <f>VLOOKUP(C:C,[1]基础信息!B$1:D$65536,3,0)</f>
        <v>UTS</v>
      </c>
      <c r="AM1605" s="1" t="str">
        <f>VLOOKUP(C:C,[1]基础信息!B$1:E$65536,4,0)</f>
        <v>MyPure</v>
      </c>
      <c r="AN1605" s="1" t="str">
        <f>VLOOKUP(C:C,[1]基础信息!B$1:F$65536,5,0)</f>
        <v>U5</v>
      </c>
    </row>
    <row r="1606" spans="1:40">
      <c r="A1606" s="1" t="s">
        <v>41</v>
      </c>
      <c r="B1606" s="1" t="s">
        <v>42</v>
      </c>
      <c r="C1606" s="1" t="s">
        <v>2760</v>
      </c>
      <c r="D1606" s="1" t="s">
        <v>2761</v>
      </c>
      <c r="E1606" s="1" t="s">
        <v>45</v>
      </c>
      <c r="F1606" s="1" t="s">
        <v>3727</v>
      </c>
      <c r="G1606" s="1" t="s">
        <v>3728</v>
      </c>
      <c r="H1606" s="1" t="s">
        <v>3729</v>
      </c>
      <c r="I1606" s="1" t="s">
        <v>49</v>
      </c>
      <c r="J1606" s="1" t="s">
        <v>48</v>
      </c>
      <c r="K1606" s="1">
        <v>45</v>
      </c>
      <c r="L1606" s="1">
        <v>0</v>
      </c>
      <c r="M1606" s="1">
        <v>0</v>
      </c>
      <c r="N1606" s="1">
        <v>45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 t="s">
        <v>49</v>
      </c>
      <c r="AA1606" s="1" t="s">
        <v>49</v>
      </c>
      <c r="AB1606" s="1" t="s">
        <v>49</v>
      </c>
      <c r="AC1606" s="1" t="s">
        <v>3719</v>
      </c>
      <c r="AD1606" s="1" t="s">
        <v>3720</v>
      </c>
      <c r="AE1606" s="1" t="s">
        <v>3719</v>
      </c>
      <c r="AF1606" s="1" t="s">
        <v>1371</v>
      </c>
      <c r="AG1606" s="1" t="s">
        <v>53</v>
      </c>
      <c r="AH1606" s="1" t="s">
        <v>49</v>
      </c>
      <c r="AI1606" s="1" t="s">
        <v>54</v>
      </c>
      <c r="AJ1606" s="1">
        <v>0</v>
      </c>
      <c r="AK1606" s="1" t="str">
        <f t="shared" si="25"/>
        <v xml:space="preserve"> =&lt;90</v>
      </c>
      <c r="AL1606" s="1" t="str">
        <f>VLOOKUP(C:C,[1]基础信息!B$1:D$65536,3,0)</f>
        <v>UTS</v>
      </c>
      <c r="AM1606" s="1" t="str">
        <f>VLOOKUP(C:C,[1]基础信息!B$1:E$65536,4,0)</f>
        <v>MyPure</v>
      </c>
      <c r="AN1606" s="1" t="str">
        <f>VLOOKUP(C:C,[1]基础信息!B$1:F$65536,5,0)</f>
        <v>Refill</v>
      </c>
    </row>
    <row r="1607" spans="1:40">
      <c r="A1607" s="1" t="s">
        <v>41</v>
      </c>
      <c r="B1607" s="1" t="s">
        <v>42</v>
      </c>
      <c r="C1607" s="1" t="s">
        <v>2760</v>
      </c>
      <c r="D1607" s="1" t="s">
        <v>2761</v>
      </c>
      <c r="E1607" s="1" t="s">
        <v>45</v>
      </c>
      <c r="F1607" s="1" t="s">
        <v>3730</v>
      </c>
      <c r="G1607" s="1" t="s">
        <v>3728</v>
      </c>
      <c r="H1607" s="1" t="s">
        <v>3729</v>
      </c>
      <c r="I1607" s="1" t="s">
        <v>49</v>
      </c>
      <c r="J1607" s="1" t="s">
        <v>48</v>
      </c>
      <c r="K1607" s="1">
        <v>7</v>
      </c>
      <c r="L1607" s="1">
        <v>0</v>
      </c>
      <c r="M1607" s="1">
        <v>0</v>
      </c>
      <c r="N1607" s="1">
        <v>7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 t="s">
        <v>49</v>
      </c>
      <c r="AA1607" s="1" t="s">
        <v>49</v>
      </c>
      <c r="AB1607" s="1" t="s">
        <v>49</v>
      </c>
      <c r="AC1607" s="1" t="s">
        <v>3719</v>
      </c>
      <c r="AD1607" s="1" t="s">
        <v>3720</v>
      </c>
      <c r="AE1607" s="1" t="s">
        <v>3719</v>
      </c>
      <c r="AF1607" s="1" t="s">
        <v>1371</v>
      </c>
      <c r="AG1607" s="1" t="s">
        <v>227</v>
      </c>
      <c r="AH1607" s="1" t="s">
        <v>49</v>
      </c>
      <c r="AI1607" s="1" t="s">
        <v>54</v>
      </c>
      <c r="AJ1607" s="1">
        <v>1</v>
      </c>
      <c r="AK1607" s="1" t="str">
        <f t="shared" si="25"/>
        <v xml:space="preserve"> =&lt;90</v>
      </c>
      <c r="AL1607" s="1" t="str">
        <f>VLOOKUP(C:C,[1]基础信息!B$1:D$65536,3,0)</f>
        <v>UTS</v>
      </c>
      <c r="AM1607" s="1" t="str">
        <f>VLOOKUP(C:C,[1]基础信息!B$1:E$65536,4,0)</f>
        <v>MyPure</v>
      </c>
      <c r="AN1607" s="1" t="str">
        <f>VLOOKUP(C:C,[1]基础信息!B$1:F$65536,5,0)</f>
        <v>Refill</v>
      </c>
    </row>
    <row r="1608" spans="1:40">
      <c r="A1608" s="1" t="s">
        <v>41</v>
      </c>
      <c r="B1608" s="1" t="s">
        <v>42</v>
      </c>
      <c r="C1608" s="1" t="s">
        <v>3731</v>
      </c>
      <c r="D1608" s="1" t="s">
        <v>3732</v>
      </c>
      <c r="E1608" s="1" t="s">
        <v>45</v>
      </c>
      <c r="F1608" s="1" t="s">
        <v>3733</v>
      </c>
      <c r="G1608" s="1" t="s">
        <v>3734</v>
      </c>
      <c r="H1608" s="1" t="s">
        <v>3735</v>
      </c>
      <c r="I1608" s="1" t="s">
        <v>49</v>
      </c>
      <c r="J1608" s="1" t="s">
        <v>48</v>
      </c>
      <c r="K1608" s="1">
        <v>4</v>
      </c>
      <c r="L1608" s="1">
        <v>0</v>
      </c>
      <c r="M1608" s="1">
        <v>0</v>
      </c>
      <c r="N1608" s="1">
        <v>4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 t="s">
        <v>49</v>
      </c>
      <c r="AA1608" s="1" t="s">
        <v>49</v>
      </c>
      <c r="AB1608" s="1" t="s">
        <v>49</v>
      </c>
      <c r="AC1608" s="1" t="s">
        <v>3719</v>
      </c>
      <c r="AD1608" s="1" t="s">
        <v>3720</v>
      </c>
      <c r="AE1608" s="1" t="s">
        <v>3719</v>
      </c>
      <c r="AF1608" s="1" t="s">
        <v>1371</v>
      </c>
      <c r="AG1608" s="1" t="s">
        <v>227</v>
      </c>
      <c r="AH1608" s="1" t="s">
        <v>49</v>
      </c>
      <c r="AI1608" s="1" t="s">
        <v>54</v>
      </c>
      <c r="AJ1608" s="1">
        <v>1</v>
      </c>
      <c r="AK1608" s="1" t="str">
        <f t="shared" si="25"/>
        <v xml:space="preserve"> =&lt;90</v>
      </c>
      <c r="AL1608" s="1" t="str">
        <f>VLOOKUP(C:C,[1]基础信息!B$1:D$65536,3,0)</f>
        <v>UTS</v>
      </c>
      <c r="AM1608" s="1" t="str">
        <f>VLOOKUP(C:C,[1]基础信息!B$1:E$65536,4,0)</f>
        <v>MyPure</v>
      </c>
      <c r="AN1608" s="1" t="str">
        <f>VLOOKUP(C:C,[1]基础信息!B$1:F$65536,5,0)</f>
        <v>Refill</v>
      </c>
    </row>
    <row r="1609" spans="1:40">
      <c r="A1609" s="1" t="s">
        <v>41</v>
      </c>
      <c r="B1609" s="1" t="s">
        <v>42</v>
      </c>
      <c r="C1609" s="1" t="s">
        <v>2628</v>
      </c>
      <c r="D1609" s="1" t="s">
        <v>2629</v>
      </c>
      <c r="E1609" s="1" t="s">
        <v>45</v>
      </c>
      <c r="F1609" s="1" t="s">
        <v>3736</v>
      </c>
      <c r="G1609" s="1" t="s">
        <v>3737</v>
      </c>
      <c r="H1609" s="1" t="s">
        <v>3738</v>
      </c>
      <c r="I1609" s="1" t="s">
        <v>49</v>
      </c>
      <c r="J1609" s="1" t="s">
        <v>48</v>
      </c>
      <c r="K1609" s="1">
        <v>4</v>
      </c>
      <c r="L1609" s="1">
        <v>0</v>
      </c>
      <c r="M1609" s="1">
        <v>0</v>
      </c>
      <c r="N1609" s="1">
        <v>4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 t="s">
        <v>49</v>
      </c>
      <c r="AA1609" s="1" t="s">
        <v>49</v>
      </c>
      <c r="AB1609" s="1" t="s">
        <v>49</v>
      </c>
      <c r="AC1609" s="1" t="s">
        <v>3719</v>
      </c>
      <c r="AD1609" s="1" t="s">
        <v>3720</v>
      </c>
      <c r="AE1609" s="1" t="s">
        <v>3719</v>
      </c>
      <c r="AF1609" s="1" t="s">
        <v>1371</v>
      </c>
      <c r="AG1609" s="1" t="s">
        <v>227</v>
      </c>
      <c r="AH1609" s="1" t="s">
        <v>49</v>
      </c>
      <c r="AI1609" s="1" t="s">
        <v>54</v>
      </c>
      <c r="AJ1609" s="1">
        <v>1</v>
      </c>
      <c r="AK1609" s="1" t="str">
        <f t="shared" si="25"/>
        <v xml:space="preserve"> =&lt;90</v>
      </c>
      <c r="AL1609" s="1" t="str">
        <f>VLOOKUP(C:C,[1]基础信息!B$1:D$65536,3,0)</f>
        <v>UTS</v>
      </c>
      <c r="AM1609" s="1" t="str">
        <f>VLOOKUP(C:C,[1]基础信息!B$1:E$65536,4,0)</f>
        <v>MyPure</v>
      </c>
      <c r="AN1609" s="1" t="str">
        <f>VLOOKUP(C:C,[1]基础信息!B$1:F$65536,5,0)</f>
        <v>Refill</v>
      </c>
    </row>
    <row r="1610" spans="1:40">
      <c r="A1610" s="1" t="s">
        <v>41</v>
      </c>
      <c r="B1610" s="1" t="s">
        <v>42</v>
      </c>
      <c r="C1610" s="1" t="s">
        <v>1366</v>
      </c>
      <c r="D1610" s="1" t="s">
        <v>1367</v>
      </c>
      <c r="E1610" s="1" t="s">
        <v>45</v>
      </c>
      <c r="F1610" s="1" t="s">
        <v>3739</v>
      </c>
      <c r="G1610" s="1" t="s">
        <v>3740</v>
      </c>
      <c r="H1610" s="1" t="s">
        <v>3741</v>
      </c>
      <c r="I1610" s="1" t="s">
        <v>49</v>
      </c>
      <c r="J1610" s="1" t="s">
        <v>48</v>
      </c>
      <c r="K1610" s="1">
        <v>6</v>
      </c>
      <c r="L1610" s="1">
        <v>0</v>
      </c>
      <c r="M1610" s="1">
        <v>0</v>
      </c>
      <c r="N1610" s="1">
        <v>6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 t="s">
        <v>49</v>
      </c>
      <c r="AA1610" s="1" t="s">
        <v>49</v>
      </c>
      <c r="AB1610" s="1" t="s">
        <v>49</v>
      </c>
      <c r="AC1610" s="1" t="s">
        <v>3719</v>
      </c>
      <c r="AD1610" s="1" t="s">
        <v>3720</v>
      </c>
      <c r="AE1610" s="1" t="s">
        <v>3719</v>
      </c>
      <c r="AF1610" s="1" t="s">
        <v>3725</v>
      </c>
      <c r="AG1610" s="1" t="s">
        <v>227</v>
      </c>
      <c r="AH1610" s="1" t="s">
        <v>49</v>
      </c>
      <c r="AI1610" s="1" t="s">
        <v>54</v>
      </c>
      <c r="AJ1610" s="1">
        <v>1</v>
      </c>
      <c r="AK1610" s="1" t="str">
        <f t="shared" si="25"/>
        <v xml:space="preserve"> =&lt;90</v>
      </c>
      <c r="AL1610" s="1" t="str">
        <f>VLOOKUP(C:C,[1]基础信息!B$1:D$65536,3,0)</f>
        <v>UTS</v>
      </c>
      <c r="AM1610" s="1" t="str">
        <f>VLOOKUP(C:C,[1]基础信息!B$1:E$65536,4,0)</f>
        <v>MyPure</v>
      </c>
      <c r="AN1610" s="1" t="str">
        <f>VLOOKUP(C:C,[1]基础信息!B$1:F$65536,5,0)</f>
        <v>Refill</v>
      </c>
    </row>
    <row r="1611" spans="1:40">
      <c r="A1611" s="1" t="s">
        <v>41</v>
      </c>
      <c r="B1611" s="1" t="s">
        <v>42</v>
      </c>
      <c r="C1611" s="1" t="s">
        <v>301</v>
      </c>
      <c r="D1611" s="1" t="s">
        <v>302</v>
      </c>
      <c r="E1611" s="1" t="s">
        <v>45</v>
      </c>
      <c r="F1611" s="1" t="s">
        <v>3590</v>
      </c>
      <c r="G1611" s="1" t="s">
        <v>3742</v>
      </c>
      <c r="H1611" s="1" t="s">
        <v>3743</v>
      </c>
      <c r="I1611" s="1" t="s">
        <v>49</v>
      </c>
      <c r="J1611" s="1" t="s">
        <v>48</v>
      </c>
      <c r="K1611" s="1">
        <v>80</v>
      </c>
      <c r="L1611" s="1">
        <v>0</v>
      </c>
      <c r="M1611" s="1">
        <v>0</v>
      </c>
      <c r="N1611" s="1">
        <v>80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 t="s">
        <v>49</v>
      </c>
      <c r="AA1611" s="1" t="s">
        <v>49</v>
      </c>
      <c r="AB1611" s="1" t="s">
        <v>49</v>
      </c>
      <c r="AC1611" s="1" t="s">
        <v>3593</v>
      </c>
      <c r="AD1611" s="1" t="s">
        <v>3594</v>
      </c>
      <c r="AE1611" s="1" t="s">
        <v>3593</v>
      </c>
      <c r="AF1611" s="1" t="s">
        <v>307</v>
      </c>
      <c r="AG1611" s="1" t="s">
        <v>53</v>
      </c>
      <c r="AH1611" s="1" t="s">
        <v>49</v>
      </c>
      <c r="AI1611" s="1" t="s">
        <v>54</v>
      </c>
      <c r="AJ1611" s="1">
        <v>1</v>
      </c>
      <c r="AK1611" s="1" t="str">
        <f t="shared" si="25"/>
        <v xml:space="preserve"> =&lt;90</v>
      </c>
      <c r="AL1611" s="1" t="str">
        <f>VLOOKUP(C:C,[1]基础信息!B$1:D$65536,3,0)</f>
        <v>Jug</v>
      </c>
      <c r="AM1611" s="1" t="str">
        <f>VLOOKUP(C:C,[1]基础信息!B$1:E$65536,4,0)</f>
        <v>Aluna</v>
      </c>
      <c r="AN1611" s="1" t="str">
        <f>VLOOKUP(C:C,[1]基础信息!B$1:F$65536,5,0)</f>
        <v>Blue</v>
      </c>
    </row>
    <row r="1612" spans="1:40">
      <c r="A1612" s="1" t="s">
        <v>41</v>
      </c>
      <c r="B1612" s="1" t="s">
        <v>42</v>
      </c>
      <c r="C1612" s="1" t="s">
        <v>1437</v>
      </c>
      <c r="D1612" s="1" t="s">
        <v>1438</v>
      </c>
      <c r="E1612" s="1" t="s">
        <v>45</v>
      </c>
      <c r="F1612" s="1" t="s">
        <v>3744</v>
      </c>
      <c r="G1612" s="1" t="s">
        <v>3745</v>
      </c>
      <c r="H1612" s="1" t="s">
        <v>45</v>
      </c>
      <c r="I1612" s="1" t="s">
        <v>45</v>
      </c>
      <c r="J1612" s="1" t="s">
        <v>48</v>
      </c>
      <c r="K1612" s="1">
        <v>48</v>
      </c>
      <c r="L1612" s="1">
        <v>0</v>
      </c>
      <c r="M1612" s="1">
        <v>0</v>
      </c>
      <c r="N1612" s="1">
        <v>48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 t="s">
        <v>49</v>
      </c>
      <c r="AA1612" s="1" t="s">
        <v>49</v>
      </c>
      <c r="AB1612" s="1" t="s">
        <v>49</v>
      </c>
      <c r="AC1612" s="1" t="s">
        <v>3447</v>
      </c>
      <c r="AD1612" s="1" t="s">
        <v>3448</v>
      </c>
      <c r="AE1612" s="1" t="s">
        <v>3447</v>
      </c>
      <c r="AF1612" s="1" t="s">
        <v>3746</v>
      </c>
      <c r="AG1612" s="1" t="s">
        <v>53</v>
      </c>
      <c r="AH1612" s="1" t="s">
        <v>49</v>
      </c>
      <c r="AI1612" s="1" t="s">
        <v>54</v>
      </c>
      <c r="AJ1612" s="1">
        <v>1</v>
      </c>
      <c r="AK1612" s="1" t="str">
        <f t="shared" si="25"/>
        <v xml:space="preserve"> =&lt;90</v>
      </c>
      <c r="AL1612" s="1" t="str">
        <f>VLOOKUP(C:C,[1]基础信息!B$1:D$65536,3,0)</f>
        <v>On tap</v>
      </c>
      <c r="AM1612" s="1" t="str">
        <f>VLOOKUP(C:C,[1]基础信息!B$1:E$65536,4,0)</f>
        <v>On tap</v>
      </c>
      <c r="AN1612" s="1" t="str">
        <f>VLOOKUP(C:C,[1]基础信息!B$1:F$65536,5,0)</f>
        <v>On tap</v>
      </c>
    </row>
    <row r="1613" spans="1:40">
      <c r="A1613" s="1" t="s">
        <v>41</v>
      </c>
      <c r="B1613" s="1" t="s">
        <v>42</v>
      </c>
      <c r="C1613" s="1" t="s">
        <v>1710</v>
      </c>
      <c r="D1613" s="1" t="s">
        <v>1711</v>
      </c>
      <c r="E1613" s="1" t="s">
        <v>45</v>
      </c>
      <c r="F1613" s="1" t="s">
        <v>2590</v>
      </c>
      <c r="G1613" s="1" t="s">
        <v>3747</v>
      </c>
      <c r="H1613" s="1" t="s">
        <v>3748</v>
      </c>
      <c r="I1613" s="1" t="s">
        <v>49</v>
      </c>
      <c r="J1613" s="1" t="s">
        <v>48</v>
      </c>
      <c r="K1613" s="1">
        <v>60</v>
      </c>
      <c r="L1613" s="1">
        <v>0</v>
      </c>
      <c r="M1613" s="1">
        <v>0</v>
      </c>
      <c r="N1613" s="1">
        <v>60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 t="s">
        <v>49</v>
      </c>
      <c r="AA1613" s="1" t="s">
        <v>49</v>
      </c>
      <c r="AB1613" s="1" t="s">
        <v>49</v>
      </c>
      <c r="AC1613" s="1" t="s">
        <v>1008</v>
      </c>
      <c r="AD1613" s="1" t="s">
        <v>1009</v>
      </c>
      <c r="AE1613" s="1" t="s">
        <v>1008</v>
      </c>
      <c r="AF1613" s="1" t="s">
        <v>2593</v>
      </c>
      <c r="AG1613" s="1" t="s">
        <v>53</v>
      </c>
      <c r="AH1613" s="1" t="s">
        <v>49</v>
      </c>
      <c r="AI1613" s="1" t="s">
        <v>54</v>
      </c>
      <c r="AJ1613" s="1">
        <v>1</v>
      </c>
      <c r="AK1613" s="1" t="str">
        <f t="shared" si="25"/>
        <v xml:space="preserve"> =&lt;90</v>
      </c>
      <c r="AL1613" s="1" t="str">
        <f>VLOOKUP(C:C,[1]基础信息!B$1:D$65536,3,0)</f>
        <v>Jug</v>
      </c>
      <c r="AM1613" s="1" t="str">
        <f>VLOOKUP(C:C,[1]基础信息!B$1:E$65536,4,0)</f>
        <v>Kalea XL ME4W</v>
      </c>
      <c r="AN1613" s="1" t="str">
        <f>VLOOKUP(C:C,[1]基础信息!B$1:F$65536,5,0)</f>
        <v>grey</v>
      </c>
    </row>
    <row r="1614" spans="1:40">
      <c r="A1614" s="1" t="s">
        <v>41</v>
      </c>
      <c r="B1614" s="1" t="s">
        <v>42</v>
      </c>
      <c r="C1614" s="1" t="s">
        <v>1710</v>
      </c>
      <c r="D1614" s="1" t="s">
        <v>1711</v>
      </c>
      <c r="E1614" s="1" t="s">
        <v>45</v>
      </c>
      <c r="F1614" s="1" t="s">
        <v>2590</v>
      </c>
      <c r="G1614" s="1" t="s">
        <v>3749</v>
      </c>
      <c r="H1614" s="1" t="s">
        <v>3750</v>
      </c>
      <c r="I1614" s="1" t="s">
        <v>49</v>
      </c>
      <c r="J1614" s="1" t="s">
        <v>48</v>
      </c>
      <c r="K1614" s="1">
        <v>60</v>
      </c>
      <c r="L1614" s="1">
        <v>0</v>
      </c>
      <c r="M1614" s="1">
        <v>0</v>
      </c>
      <c r="N1614" s="1">
        <v>60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 t="s">
        <v>49</v>
      </c>
      <c r="AA1614" s="1" t="s">
        <v>49</v>
      </c>
      <c r="AB1614" s="1" t="s">
        <v>49</v>
      </c>
      <c r="AC1614" s="1" t="s">
        <v>1008</v>
      </c>
      <c r="AD1614" s="1" t="s">
        <v>1009</v>
      </c>
      <c r="AE1614" s="1" t="s">
        <v>1008</v>
      </c>
      <c r="AF1614" s="1" t="s">
        <v>2593</v>
      </c>
      <c r="AG1614" s="1" t="s">
        <v>53</v>
      </c>
      <c r="AH1614" s="1" t="s">
        <v>49</v>
      </c>
      <c r="AI1614" s="1" t="s">
        <v>54</v>
      </c>
      <c r="AJ1614" s="1">
        <v>1</v>
      </c>
      <c r="AK1614" s="1" t="str">
        <f t="shared" si="25"/>
        <v xml:space="preserve"> =&lt;90</v>
      </c>
      <c r="AL1614" s="1" t="str">
        <f>VLOOKUP(C:C,[1]基础信息!B$1:D$65536,3,0)</f>
        <v>Jug</v>
      </c>
      <c r="AM1614" s="1" t="str">
        <f>VLOOKUP(C:C,[1]基础信息!B$1:E$65536,4,0)</f>
        <v>Kalea XL ME4W</v>
      </c>
      <c r="AN1614" s="1" t="str">
        <f>VLOOKUP(C:C,[1]基础信息!B$1:F$65536,5,0)</f>
        <v>grey</v>
      </c>
    </row>
    <row r="1615" spans="1:40">
      <c r="A1615" s="1" t="s">
        <v>41</v>
      </c>
      <c r="B1615" s="1" t="s">
        <v>42</v>
      </c>
      <c r="C1615" s="1" t="s">
        <v>1710</v>
      </c>
      <c r="D1615" s="1" t="s">
        <v>1711</v>
      </c>
      <c r="E1615" s="1" t="s">
        <v>45</v>
      </c>
      <c r="F1615" s="1" t="s">
        <v>2590</v>
      </c>
      <c r="G1615" s="1" t="s">
        <v>3751</v>
      </c>
      <c r="H1615" s="1" t="s">
        <v>3752</v>
      </c>
      <c r="I1615" s="1" t="s">
        <v>49</v>
      </c>
      <c r="J1615" s="1" t="s">
        <v>48</v>
      </c>
      <c r="K1615" s="1">
        <v>60</v>
      </c>
      <c r="L1615" s="1">
        <v>0</v>
      </c>
      <c r="M1615" s="1">
        <v>0</v>
      </c>
      <c r="N1615" s="1">
        <v>60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 t="s">
        <v>49</v>
      </c>
      <c r="AA1615" s="1" t="s">
        <v>49</v>
      </c>
      <c r="AB1615" s="1" t="s">
        <v>49</v>
      </c>
      <c r="AC1615" s="1" t="s">
        <v>1008</v>
      </c>
      <c r="AD1615" s="1" t="s">
        <v>1009</v>
      </c>
      <c r="AE1615" s="1" t="s">
        <v>1008</v>
      </c>
      <c r="AF1615" s="1" t="s">
        <v>2593</v>
      </c>
      <c r="AG1615" s="1" t="s">
        <v>53</v>
      </c>
      <c r="AH1615" s="1" t="s">
        <v>49</v>
      </c>
      <c r="AI1615" s="1" t="s">
        <v>54</v>
      </c>
      <c r="AJ1615" s="1">
        <v>1</v>
      </c>
      <c r="AK1615" s="1" t="str">
        <f t="shared" si="25"/>
        <v xml:space="preserve"> =&lt;90</v>
      </c>
      <c r="AL1615" s="1" t="str">
        <f>VLOOKUP(C:C,[1]基础信息!B$1:D$65536,3,0)</f>
        <v>Jug</v>
      </c>
      <c r="AM1615" s="1" t="str">
        <f>VLOOKUP(C:C,[1]基础信息!B$1:E$65536,4,0)</f>
        <v>Kalea XL ME4W</v>
      </c>
      <c r="AN1615" s="1" t="str">
        <f>VLOOKUP(C:C,[1]基础信息!B$1:F$65536,5,0)</f>
        <v>grey</v>
      </c>
    </row>
    <row r="1616" spans="1:40">
      <c r="A1616" s="1" t="s">
        <v>41</v>
      </c>
      <c r="B1616" s="1" t="s">
        <v>42</v>
      </c>
      <c r="C1616" s="1" t="s">
        <v>83</v>
      </c>
      <c r="D1616" s="1" t="s">
        <v>84</v>
      </c>
      <c r="E1616" s="1" t="s">
        <v>45</v>
      </c>
      <c r="F1616" s="1" t="s">
        <v>3753</v>
      </c>
      <c r="G1616" s="1" t="s">
        <v>3754</v>
      </c>
      <c r="H1616" s="1" t="s">
        <v>3755</v>
      </c>
      <c r="I1616" s="1" t="s">
        <v>49</v>
      </c>
      <c r="J1616" s="1" t="s">
        <v>48</v>
      </c>
      <c r="K1616" s="1">
        <v>70</v>
      </c>
      <c r="L1616" s="1">
        <v>0</v>
      </c>
      <c r="M1616" s="1">
        <v>0</v>
      </c>
      <c r="N1616" s="1">
        <v>70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 t="s">
        <v>49</v>
      </c>
      <c r="AA1616" s="1" t="s">
        <v>49</v>
      </c>
      <c r="AB1616" s="1" t="s">
        <v>49</v>
      </c>
      <c r="AC1616" s="1" t="s">
        <v>3756</v>
      </c>
      <c r="AD1616" s="1" t="s">
        <v>3757</v>
      </c>
      <c r="AE1616" s="1" t="s">
        <v>3758</v>
      </c>
      <c r="AF1616" s="1" t="s">
        <v>3759</v>
      </c>
      <c r="AG1616" s="1" t="s">
        <v>53</v>
      </c>
      <c r="AH1616" s="1" t="s">
        <v>49</v>
      </c>
      <c r="AI1616" s="1" t="s">
        <v>54</v>
      </c>
      <c r="AJ1616" s="1">
        <v>1</v>
      </c>
      <c r="AK1616" s="1" t="str">
        <f t="shared" si="25"/>
        <v xml:space="preserve"> =&lt;90</v>
      </c>
      <c r="AL1616" s="1" t="str">
        <f>VLOOKUP(C:C,[1]基础信息!B$1:D$65536,3,0)</f>
        <v>Jug</v>
      </c>
      <c r="AM1616" s="1" t="str">
        <f>VLOOKUP(C:C,[1]基础信息!B$1:E$65536,4,0)</f>
        <v>Mxplus</v>
      </c>
      <c r="AN1616" s="1" t="str">
        <f>VLOOKUP(C:C,[1]基础信息!B$1:F$65536,5,0)</f>
        <v>Blue</v>
      </c>
    </row>
    <row r="1617" spans="1:40">
      <c r="A1617" s="1" t="s">
        <v>41</v>
      </c>
      <c r="B1617" s="1" t="s">
        <v>42</v>
      </c>
      <c r="C1617" s="1" t="s">
        <v>83</v>
      </c>
      <c r="D1617" s="1" t="s">
        <v>84</v>
      </c>
      <c r="E1617" s="1" t="s">
        <v>45</v>
      </c>
      <c r="F1617" s="1" t="s">
        <v>3753</v>
      </c>
      <c r="G1617" s="1" t="s">
        <v>3760</v>
      </c>
      <c r="H1617" s="1" t="s">
        <v>3761</v>
      </c>
      <c r="I1617" s="1" t="s">
        <v>49</v>
      </c>
      <c r="J1617" s="1" t="s">
        <v>48</v>
      </c>
      <c r="K1617" s="1">
        <v>96</v>
      </c>
      <c r="L1617" s="1">
        <v>0</v>
      </c>
      <c r="M1617" s="1">
        <v>0</v>
      </c>
      <c r="N1617" s="1">
        <v>96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 t="s">
        <v>49</v>
      </c>
      <c r="AA1617" s="1" t="s">
        <v>49</v>
      </c>
      <c r="AB1617" s="1" t="s">
        <v>49</v>
      </c>
      <c r="AC1617" s="1" t="s">
        <v>3756</v>
      </c>
      <c r="AD1617" s="1" t="s">
        <v>3757</v>
      </c>
      <c r="AE1617" s="1" t="s">
        <v>3758</v>
      </c>
      <c r="AF1617" s="1" t="s">
        <v>3759</v>
      </c>
      <c r="AG1617" s="1" t="s">
        <v>53</v>
      </c>
      <c r="AH1617" s="1" t="s">
        <v>49</v>
      </c>
      <c r="AI1617" s="1" t="s">
        <v>54</v>
      </c>
      <c r="AJ1617" s="1">
        <v>1</v>
      </c>
      <c r="AK1617" s="1" t="str">
        <f t="shared" si="25"/>
        <v xml:space="preserve"> =&lt;90</v>
      </c>
      <c r="AL1617" s="1" t="str">
        <f>VLOOKUP(C:C,[1]基础信息!B$1:D$65536,3,0)</f>
        <v>Jug</v>
      </c>
      <c r="AM1617" s="1" t="str">
        <f>VLOOKUP(C:C,[1]基础信息!B$1:E$65536,4,0)</f>
        <v>Mxplus</v>
      </c>
      <c r="AN1617" s="1" t="str">
        <f>VLOOKUP(C:C,[1]基础信息!B$1:F$65536,5,0)</f>
        <v>Blue</v>
      </c>
    </row>
    <row r="1618" spans="1:40">
      <c r="A1618" s="1" t="s">
        <v>41</v>
      </c>
      <c r="B1618" s="1" t="s">
        <v>42</v>
      </c>
      <c r="C1618" s="1" t="s">
        <v>1710</v>
      </c>
      <c r="D1618" s="1" t="s">
        <v>1711</v>
      </c>
      <c r="E1618" s="1" t="s">
        <v>45</v>
      </c>
      <c r="F1618" s="1" t="s">
        <v>2590</v>
      </c>
      <c r="G1618" s="1" t="s">
        <v>3762</v>
      </c>
      <c r="H1618" s="1" t="s">
        <v>3763</v>
      </c>
      <c r="I1618" s="1" t="s">
        <v>49</v>
      </c>
      <c r="J1618" s="1" t="s">
        <v>48</v>
      </c>
      <c r="K1618" s="1">
        <v>60</v>
      </c>
      <c r="L1618" s="1">
        <v>0</v>
      </c>
      <c r="M1618" s="1">
        <v>0</v>
      </c>
      <c r="N1618" s="1">
        <v>60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 t="s">
        <v>49</v>
      </c>
      <c r="AA1618" s="1" t="s">
        <v>49</v>
      </c>
      <c r="AB1618" s="1" t="s">
        <v>49</v>
      </c>
      <c r="AC1618" s="1" t="s">
        <v>1008</v>
      </c>
      <c r="AD1618" s="1" t="s">
        <v>1009</v>
      </c>
      <c r="AE1618" s="1" t="s">
        <v>1008</v>
      </c>
      <c r="AF1618" s="1" t="s">
        <v>2593</v>
      </c>
      <c r="AG1618" s="1" t="s">
        <v>53</v>
      </c>
      <c r="AH1618" s="1" t="s">
        <v>49</v>
      </c>
      <c r="AI1618" s="1" t="s">
        <v>54</v>
      </c>
      <c r="AJ1618" s="1">
        <v>1</v>
      </c>
      <c r="AK1618" s="1" t="str">
        <f t="shared" si="25"/>
        <v xml:space="preserve"> =&lt;90</v>
      </c>
      <c r="AL1618" s="1" t="str">
        <f>VLOOKUP(C:C,[1]基础信息!B$1:D$65536,3,0)</f>
        <v>Jug</v>
      </c>
      <c r="AM1618" s="1" t="str">
        <f>VLOOKUP(C:C,[1]基础信息!B$1:E$65536,4,0)</f>
        <v>Kalea XL ME4W</v>
      </c>
      <c r="AN1618" s="1" t="str">
        <f>VLOOKUP(C:C,[1]基础信息!B$1:F$65536,5,0)</f>
        <v>grey</v>
      </c>
    </row>
    <row r="1619" spans="1:40">
      <c r="A1619" s="1" t="s">
        <v>41</v>
      </c>
      <c r="B1619" s="1" t="s">
        <v>42</v>
      </c>
      <c r="C1619" s="1" t="s">
        <v>83</v>
      </c>
      <c r="D1619" s="1" t="s">
        <v>84</v>
      </c>
      <c r="E1619" s="1" t="s">
        <v>45</v>
      </c>
      <c r="F1619" s="1" t="s">
        <v>3753</v>
      </c>
      <c r="G1619" s="1" t="s">
        <v>3764</v>
      </c>
      <c r="H1619" s="1" t="s">
        <v>3765</v>
      </c>
      <c r="I1619" s="1" t="s">
        <v>49</v>
      </c>
      <c r="J1619" s="1" t="s">
        <v>48</v>
      </c>
      <c r="K1619" s="1">
        <v>96</v>
      </c>
      <c r="L1619" s="1">
        <v>0</v>
      </c>
      <c r="M1619" s="1">
        <v>0</v>
      </c>
      <c r="N1619" s="1">
        <v>96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 t="s">
        <v>49</v>
      </c>
      <c r="AA1619" s="1" t="s">
        <v>49</v>
      </c>
      <c r="AB1619" s="1" t="s">
        <v>49</v>
      </c>
      <c r="AC1619" s="1" t="s">
        <v>3756</v>
      </c>
      <c r="AD1619" s="1" t="s">
        <v>3757</v>
      </c>
      <c r="AE1619" s="1" t="s">
        <v>3758</v>
      </c>
      <c r="AF1619" s="1" t="s">
        <v>3759</v>
      </c>
      <c r="AG1619" s="1" t="s">
        <v>53</v>
      </c>
      <c r="AH1619" s="1" t="s">
        <v>49</v>
      </c>
      <c r="AI1619" s="1" t="s">
        <v>54</v>
      </c>
      <c r="AJ1619" s="1">
        <v>1</v>
      </c>
      <c r="AK1619" s="1" t="str">
        <f t="shared" si="25"/>
        <v xml:space="preserve"> =&lt;90</v>
      </c>
      <c r="AL1619" s="1" t="str">
        <f>VLOOKUP(C:C,[1]基础信息!B$1:D$65536,3,0)</f>
        <v>Jug</v>
      </c>
      <c r="AM1619" s="1" t="str">
        <f>VLOOKUP(C:C,[1]基础信息!B$1:E$65536,4,0)</f>
        <v>Mxplus</v>
      </c>
      <c r="AN1619" s="1" t="str">
        <f>VLOOKUP(C:C,[1]基础信息!B$1:F$65536,5,0)</f>
        <v>Blue</v>
      </c>
    </row>
    <row r="1620" spans="1:40">
      <c r="A1620" s="1" t="s">
        <v>41</v>
      </c>
      <c r="B1620" s="1" t="s">
        <v>42</v>
      </c>
      <c r="C1620" s="1" t="s">
        <v>83</v>
      </c>
      <c r="D1620" s="1" t="s">
        <v>84</v>
      </c>
      <c r="E1620" s="1" t="s">
        <v>45</v>
      </c>
      <c r="F1620" s="1" t="s">
        <v>3753</v>
      </c>
      <c r="G1620" s="1" t="s">
        <v>3766</v>
      </c>
      <c r="H1620" s="1" t="s">
        <v>3767</v>
      </c>
      <c r="I1620" s="1" t="s">
        <v>49</v>
      </c>
      <c r="J1620" s="1" t="s">
        <v>48</v>
      </c>
      <c r="K1620" s="1">
        <v>96</v>
      </c>
      <c r="L1620" s="1">
        <v>0</v>
      </c>
      <c r="M1620" s="1">
        <v>0</v>
      </c>
      <c r="N1620" s="1">
        <v>96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 t="s">
        <v>49</v>
      </c>
      <c r="AA1620" s="1" t="s">
        <v>49</v>
      </c>
      <c r="AB1620" s="1" t="s">
        <v>49</v>
      </c>
      <c r="AC1620" s="1" t="s">
        <v>3756</v>
      </c>
      <c r="AD1620" s="1" t="s">
        <v>3757</v>
      </c>
      <c r="AE1620" s="1" t="s">
        <v>3758</v>
      </c>
      <c r="AF1620" s="1" t="s">
        <v>3759</v>
      </c>
      <c r="AG1620" s="1" t="s">
        <v>53</v>
      </c>
      <c r="AH1620" s="1" t="s">
        <v>49</v>
      </c>
      <c r="AI1620" s="1" t="s">
        <v>54</v>
      </c>
      <c r="AJ1620" s="1">
        <v>1</v>
      </c>
      <c r="AK1620" s="1" t="str">
        <f t="shared" si="25"/>
        <v xml:space="preserve"> =&lt;90</v>
      </c>
      <c r="AL1620" s="1" t="str">
        <f>VLOOKUP(C:C,[1]基础信息!B$1:D$65536,3,0)</f>
        <v>Jug</v>
      </c>
      <c r="AM1620" s="1" t="str">
        <f>VLOOKUP(C:C,[1]基础信息!B$1:E$65536,4,0)</f>
        <v>Mxplus</v>
      </c>
      <c r="AN1620" s="1" t="str">
        <f>VLOOKUP(C:C,[1]基础信息!B$1:F$65536,5,0)</f>
        <v>Blue</v>
      </c>
    </row>
    <row r="1621" spans="1:40">
      <c r="A1621" s="1" t="s">
        <v>41</v>
      </c>
      <c r="B1621" s="1" t="s">
        <v>42</v>
      </c>
      <c r="C1621" s="1" t="s">
        <v>83</v>
      </c>
      <c r="D1621" s="1" t="s">
        <v>84</v>
      </c>
      <c r="E1621" s="1" t="s">
        <v>45</v>
      </c>
      <c r="F1621" s="1" t="s">
        <v>3753</v>
      </c>
      <c r="G1621" s="1" t="s">
        <v>3768</v>
      </c>
      <c r="H1621" s="1" t="s">
        <v>3769</v>
      </c>
      <c r="I1621" s="1" t="s">
        <v>49</v>
      </c>
      <c r="J1621" s="1" t="s">
        <v>48</v>
      </c>
      <c r="K1621" s="1">
        <v>96</v>
      </c>
      <c r="L1621" s="1">
        <v>0</v>
      </c>
      <c r="M1621" s="1">
        <v>0</v>
      </c>
      <c r="N1621" s="1">
        <v>96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 t="s">
        <v>49</v>
      </c>
      <c r="AA1621" s="1" t="s">
        <v>49</v>
      </c>
      <c r="AB1621" s="1" t="s">
        <v>49</v>
      </c>
      <c r="AC1621" s="1" t="s">
        <v>3756</v>
      </c>
      <c r="AD1621" s="1" t="s">
        <v>3757</v>
      </c>
      <c r="AE1621" s="1" t="s">
        <v>3758</v>
      </c>
      <c r="AF1621" s="1" t="s">
        <v>3759</v>
      </c>
      <c r="AG1621" s="1" t="s">
        <v>53</v>
      </c>
      <c r="AH1621" s="1" t="s">
        <v>49</v>
      </c>
      <c r="AI1621" s="1" t="s">
        <v>54</v>
      </c>
      <c r="AJ1621" s="1">
        <v>1</v>
      </c>
      <c r="AK1621" s="1" t="str">
        <f t="shared" si="25"/>
        <v xml:space="preserve"> =&lt;90</v>
      </c>
      <c r="AL1621" s="1" t="str">
        <f>VLOOKUP(C:C,[1]基础信息!B$1:D$65536,3,0)</f>
        <v>Jug</v>
      </c>
      <c r="AM1621" s="1" t="str">
        <f>VLOOKUP(C:C,[1]基础信息!B$1:E$65536,4,0)</f>
        <v>Mxplus</v>
      </c>
      <c r="AN1621" s="1" t="str">
        <f>VLOOKUP(C:C,[1]基础信息!B$1:F$65536,5,0)</f>
        <v>Blue</v>
      </c>
    </row>
    <row r="1622" spans="1:40">
      <c r="A1622" s="1" t="s">
        <v>41</v>
      </c>
      <c r="B1622" s="1" t="s">
        <v>42</v>
      </c>
      <c r="C1622" s="1" t="s">
        <v>1710</v>
      </c>
      <c r="D1622" s="1" t="s">
        <v>1711</v>
      </c>
      <c r="E1622" s="1" t="s">
        <v>45</v>
      </c>
      <c r="F1622" s="1" t="s">
        <v>2590</v>
      </c>
      <c r="G1622" s="1" t="s">
        <v>3770</v>
      </c>
      <c r="H1622" s="1" t="s">
        <v>3771</v>
      </c>
      <c r="I1622" s="1" t="s">
        <v>49</v>
      </c>
      <c r="J1622" s="1" t="s">
        <v>48</v>
      </c>
      <c r="K1622" s="1">
        <v>60</v>
      </c>
      <c r="L1622" s="1">
        <v>0</v>
      </c>
      <c r="M1622" s="1">
        <v>0</v>
      </c>
      <c r="N1622" s="1">
        <v>60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 t="s">
        <v>49</v>
      </c>
      <c r="AA1622" s="1" t="s">
        <v>49</v>
      </c>
      <c r="AB1622" s="1" t="s">
        <v>49</v>
      </c>
      <c r="AC1622" s="1" t="s">
        <v>1008</v>
      </c>
      <c r="AD1622" s="1" t="s">
        <v>1009</v>
      </c>
      <c r="AE1622" s="1" t="s">
        <v>1008</v>
      </c>
      <c r="AF1622" s="1" t="s">
        <v>2593</v>
      </c>
      <c r="AG1622" s="1" t="s">
        <v>53</v>
      </c>
      <c r="AH1622" s="1" t="s">
        <v>49</v>
      </c>
      <c r="AI1622" s="1" t="s">
        <v>54</v>
      </c>
      <c r="AJ1622" s="1">
        <v>1</v>
      </c>
      <c r="AK1622" s="1" t="str">
        <f t="shared" si="25"/>
        <v xml:space="preserve"> =&lt;90</v>
      </c>
      <c r="AL1622" s="1" t="str">
        <f>VLOOKUP(C:C,[1]基础信息!B$1:D$65536,3,0)</f>
        <v>Jug</v>
      </c>
      <c r="AM1622" s="1" t="str">
        <f>VLOOKUP(C:C,[1]基础信息!B$1:E$65536,4,0)</f>
        <v>Kalea XL ME4W</v>
      </c>
      <c r="AN1622" s="1" t="str">
        <f>VLOOKUP(C:C,[1]基础信息!B$1:F$65536,5,0)</f>
        <v>grey</v>
      </c>
    </row>
    <row r="1623" spans="1:40">
      <c r="A1623" s="1" t="s">
        <v>41</v>
      </c>
      <c r="B1623" s="1" t="s">
        <v>42</v>
      </c>
      <c r="C1623" s="1" t="s">
        <v>83</v>
      </c>
      <c r="D1623" s="1" t="s">
        <v>84</v>
      </c>
      <c r="E1623" s="1" t="s">
        <v>45</v>
      </c>
      <c r="F1623" s="1" t="s">
        <v>3753</v>
      </c>
      <c r="G1623" s="1" t="s">
        <v>3772</v>
      </c>
      <c r="H1623" s="1" t="s">
        <v>3773</v>
      </c>
      <c r="I1623" s="1" t="s">
        <v>49</v>
      </c>
      <c r="J1623" s="1" t="s">
        <v>48</v>
      </c>
      <c r="K1623" s="1">
        <v>96</v>
      </c>
      <c r="L1623" s="1">
        <v>0</v>
      </c>
      <c r="M1623" s="1">
        <v>0</v>
      </c>
      <c r="N1623" s="1">
        <v>96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 t="s">
        <v>49</v>
      </c>
      <c r="AA1623" s="1" t="s">
        <v>49</v>
      </c>
      <c r="AB1623" s="1" t="s">
        <v>49</v>
      </c>
      <c r="AC1623" s="1" t="s">
        <v>3756</v>
      </c>
      <c r="AD1623" s="1" t="s">
        <v>3757</v>
      </c>
      <c r="AE1623" s="1" t="s">
        <v>3758</v>
      </c>
      <c r="AF1623" s="1" t="s">
        <v>3759</v>
      </c>
      <c r="AG1623" s="1" t="s">
        <v>53</v>
      </c>
      <c r="AH1623" s="1" t="s">
        <v>49</v>
      </c>
      <c r="AI1623" s="1" t="s">
        <v>54</v>
      </c>
      <c r="AJ1623" s="1">
        <v>1</v>
      </c>
      <c r="AK1623" s="1" t="str">
        <f t="shared" si="25"/>
        <v xml:space="preserve"> =&lt;90</v>
      </c>
      <c r="AL1623" s="1" t="str">
        <f>VLOOKUP(C:C,[1]基础信息!B$1:D$65536,3,0)</f>
        <v>Jug</v>
      </c>
      <c r="AM1623" s="1" t="str">
        <f>VLOOKUP(C:C,[1]基础信息!B$1:E$65536,4,0)</f>
        <v>Mxplus</v>
      </c>
      <c r="AN1623" s="1" t="str">
        <f>VLOOKUP(C:C,[1]基础信息!B$1:F$65536,5,0)</f>
        <v>Blue</v>
      </c>
    </row>
    <row r="1624" spans="1:40">
      <c r="A1624" s="1" t="s">
        <v>41</v>
      </c>
      <c r="B1624" s="1" t="s">
        <v>42</v>
      </c>
      <c r="C1624" s="1" t="s">
        <v>83</v>
      </c>
      <c r="D1624" s="1" t="s">
        <v>84</v>
      </c>
      <c r="E1624" s="1" t="s">
        <v>45</v>
      </c>
      <c r="F1624" s="1" t="s">
        <v>3753</v>
      </c>
      <c r="G1624" s="1" t="s">
        <v>3774</v>
      </c>
      <c r="H1624" s="1" t="s">
        <v>3775</v>
      </c>
      <c r="I1624" s="1" t="s">
        <v>49</v>
      </c>
      <c r="J1624" s="1" t="s">
        <v>48</v>
      </c>
      <c r="K1624" s="1">
        <v>96</v>
      </c>
      <c r="L1624" s="1">
        <v>0</v>
      </c>
      <c r="M1624" s="1">
        <v>0</v>
      </c>
      <c r="N1624" s="1">
        <v>96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 t="s">
        <v>49</v>
      </c>
      <c r="AA1624" s="1" t="s">
        <v>49</v>
      </c>
      <c r="AB1624" s="1" t="s">
        <v>49</v>
      </c>
      <c r="AC1624" s="1" t="s">
        <v>3756</v>
      </c>
      <c r="AD1624" s="1" t="s">
        <v>3757</v>
      </c>
      <c r="AE1624" s="1" t="s">
        <v>3758</v>
      </c>
      <c r="AF1624" s="1" t="s">
        <v>3759</v>
      </c>
      <c r="AG1624" s="1" t="s">
        <v>53</v>
      </c>
      <c r="AH1624" s="1" t="s">
        <v>49</v>
      </c>
      <c r="AI1624" s="1" t="s">
        <v>54</v>
      </c>
      <c r="AJ1624" s="1">
        <v>1</v>
      </c>
      <c r="AK1624" s="1" t="str">
        <f t="shared" si="25"/>
        <v xml:space="preserve"> =&lt;90</v>
      </c>
      <c r="AL1624" s="1" t="str">
        <f>VLOOKUP(C:C,[1]基础信息!B$1:D$65536,3,0)</f>
        <v>Jug</v>
      </c>
      <c r="AM1624" s="1" t="str">
        <f>VLOOKUP(C:C,[1]基础信息!B$1:E$65536,4,0)</f>
        <v>Mxplus</v>
      </c>
      <c r="AN1624" s="1" t="str">
        <f>VLOOKUP(C:C,[1]基础信息!B$1:F$65536,5,0)</f>
        <v>Blue</v>
      </c>
    </row>
    <row r="1625" spans="1:40">
      <c r="A1625" s="1" t="s">
        <v>41</v>
      </c>
      <c r="B1625" s="1" t="s">
        <v>42</v>
      </c>
      <c r="C1625" s="1" t="s">
        <v>83</v>
      </c>
      <c r="D1625" s="1" t="s">
        <v>84</v>
      </c>
      <c r="E1625" s="1" t="s">
        <v>45</v>
      </c>
      <c r="F1625" s="1" t="s">
        <v>3753</v>
      </c>
      <c r="G1625" s="1" t="s">
        <v>3776</v>
      </c>
      <c r="H1625" s="1" t="s">
        <v>3777</v>
      </c>
      <c r="I1625" s="1" t="s">
        <v>49</v>
      </c>
      <c r="J1625" s="1" t="s">
        <v>48</v>
      </c>
      <c r="K1625" s="1">
        <v>96</v>
      </c>
      <c r="L1625" s="1">
        <v>0</v>
      </c>
      <c r="M1625" s="1">
        <v>0</v>
      </c>
      <c r="N1625" s="1">
        <v>96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 t="s">
        <v>49</v>
      </c>
      <c r="AA1625" s="1" t="s">
        <v>49</v>
      </c>
      <c r="AB1625" s="1" t="s">
        <v>49</v>
      </c>
      <c r="AC1625" s="1" t="s">
        <v>3756</v>
      </c>
      <c r="AD1625" s="1" t="s">
        <v>3757</v>
      </c>
      <c r="AE1625" s="1" t="s">
        <v>3758</v>
      </c>
      <c r="AF1625" s="1" t="s">
        <v>3759</v>
      </c>
      <c r="AG1625" s="1" t="s">
        <v>53</v>
      </c>
      <c r="AH1625" s="1" t="s">
        <v>49</v>
      </c>
      <c r="AI1625" s="1" t="s">
        <v>54</v>
      </c>
      <c r="AJ1625" s="1">
        <v>1</v>
      </c>
      <c r="AK1625" s="1" t="str">
        <f t="shared" si="25"/>
        <v xml:space="preserve"> =&lt;90</v>
      </c>
      <c r="AL1625" s="1" t="str">
        <f>VLOOKUP(C:C,[1]基础信息!B$1:D$65536,3,0)</f>
        <v>Jug</v>
      </c>
      <c r="AM1625" s="1" t="str">
        <f>VLOOKUP(C:C,[1]基础信息!B$1:E$65536,4,0)</f>
        <v>Mxplus</v>
      </c>
      <c r="AN1625" s="1" t="str">
        <f>VLOOKUP(C:C,[1]基础信息!B$1:F$65536,5,0)</f>
        <v>Blue</v>
      </c>
    </row>
    <row r="1626" spans="1:40">
      <c r="A1626" s="1" t="s">
        <v>41</v>
      </c>
      <c r="B1626" s="1" t="s">
        <v>42</v>
      </c>
      <c r="C1626" s="1" t="s">
        <v>83</v>
      </c>
      <c r="D1626" s="1" t="s">
        <v>84</v>
      </c>
      <c r="E1626" s="1" t="s">
        <v>45</v>
      </c>
      <c r="F1626" s="1" t="s">
        <v>3753</v>
      </c>
      <c r="G1626" s="1" t="s">
        <v>3778</v>
      </c>
      <c r="H1626" s="1" t="s">
        <v>3779</v>
      </c>
      <c r="I1626" s="1" t="s">
        <v>49</v>
      </c>
      <c r="J1626" s="1" t="s">
        <v>48</v>
      </c>
      <c r="K1626" s="1">
        <v>96</v>
      </c>
      <c r="L1626" s="1">
        <v>0</v>
      </c>
      <c r="M1626" s="1">
        <v>0</v>
      </c>
      <c r="N1626" s="1">
        <v>96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 t="s">
        <v>49</v>
      </c>
      <c r="AA1626" s="1" t="s">
        <v>49</v>
      </c>
      <c r="AB1626" s="1" t="s">
        <v>49</v>
      </c>
      <c r="AC1626" s="1" t="s">
        <v>3756</v>
      </c>
      <c r="AD1626" s="1" t="s">
        <v>3757</v>
      </c>
      <c r="AE1626" s="1" t="s">
        <v>3758</v>
      </c>
      <c r="AF1626" s="1" t="s">
        <v>3759</v>
      </c>
      <c r="AG1626" s="1" t="s">
        <v>53</v>
      </c>
      <c r="AH1626" s="1" t="s">
        <v>49</v>
      </c>
      <c r="AI1626" s="1" t="s">
        <v>54</v>
      </c>
      <c r="AJ1626" s="1">
        <v>1</v>
      </c>
      <c r="AK1626" s="1" t="str">
        <f t="shared" si="25"/>
        <v xml:space="preserve"> =&lt;90</v>
      </c>
      <c r="AL1626" s="1" t="str">
        <f>VLOOKUP(C:C,[1]基础信息!B$1:D$65536,3,0)</f>
        <v>Jug</v>
      </c>
      <c r="AM1626" s="1" t="str">
        <f>VLOOKUP(C:C,[1]基础信息!B$1:E$65536,4,0)</f>
        <v>Mxplus</v>
      </c>
      <c r="AN1626" s="1" t="str">
        <f>VLOOKUP(C:C,[1]基础信息!B$1:F$65536,5,0)</f>
        <v>Blue</v>
      </c>
    </row>
    <row r="1627" spans="1:40">
      <c r="A1627" s="1" t="s">
        <v>41</v>
      </c>
      <c r="B1627" s="1" t="s">
        <v>42</v>
      </c>
      <c r="C1627" s="1" t="s">
        <v>1710</v>
      </c>
      <c r="D1627" s="1" t="s">
        <v>1711</v>
      </c>
      <c r="E1627" s="1" t="s">
        <v>45</v>
      </c>
      <c r="F1627" s="1" t="s">
        <v>2590</v>
      </c>
      <c r="G1627" s="1" t="s">
        <v>3780</v>
      </c>
      <c r="H1627" s="1" t="s">
        <v>3781</v>
      </c>
      <c r="I1627" s="1" t="s">
        <v>49</v>
      </c>
      <c r="J1627" s="1" t="s">
        <v>48</v>
      </c>
      <c r="K1627" s="1">
        <v>60</v>
      </c>
      <c r="L1627" s="1">
        <v>0</v>
      </c>
      <c r="M1627" s="1">
        <v>0</v>
      </c>
      <c r="N1627" s="1">
        <v>60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 t="s">
        <v>49</v>
      </c>
      <c r="AA1627" s="1" t="s">
        <v>49</v>
      </c>
      <c r="AB1627" s="1" t="s">
        <v>49</v>
      </c>
      <c r="AC1627" s="1" t="s">
        <v>1008</v>
      </c>
      <c r="AD1627" s="1" t="s">
        <v>1009</v>
      </c>
      <c r="AE1627" s="1" t="s">
        <v>1008</v>
      </c>
      <c r="AF1627" s="1" t="s">
        <v>2593</v>
      </c>
      <c r="AG1627" s="1" t="s">
        <v>53</v>
      </c>
      <c r="AH1627" s="1" t="s">
        <v>49</v>
      </c>
      <c r="AI1627" s="1" t="s">
        <v>54</v>
      </c>
      <c r="AJ1627" s="1">
        <v>1</v>
      </c>
      <c r="AK1627" s="1" t="str">
        <f t="shared" si="25"/>
        <v xml:space="preserve"> =&lt;90</v>
      </c>
      <c r="AL1627" s="1" t="str">
        <f>VLOOKUP(C:C,[1]基础信息!B$1:D$65536,3,0)</f>
        <v>Jug</v>
      </c>
      <c r="AM1627" s="1" t="str">
        <f>VLOOKUP(C:C,[1]基础信息!B$1:E$65536,4,0)</f>
        <v>Kalea XL ME4W</v>
      </c>
      <c r="AN1627" s="1" t="str">
        <f>VLOOKUP(C:C,[1]基础信息!B$1:F$65536,5,0)</f>
        <v>grey</v>
      </c>
    </row>
    <row r="1628" spans="1:40">
      <c r="A1628" s="1" t="s">
        <v>41</v>
      </c>
      <c r="B1628" s="1" t="s">
        <v>42</v>
      </c>
      <c r="C1628" s="1" t="s">
        <v>83</v>
      </c>
      <c r="D1628" s="1" t="s">
        <v>84</v>
      </c>
      <c r="E1628" s="1" t="s">
        <v>45</v>
      </c>
      <c r="F1628" s="1" t="s">
        <v>3753</v>
      </c>
      <c r="G1628" s="1" t="s">
        <v>3782</v>
      </c>
      <c r="H1628" s="1" t="s">
        <v>3783</v>
      </c>
      <c r="I1628" s="1" t="s">
        <v>49</v>
      </c>
      <c r="J1628" s="1" t="s">
        <v>48</v>
      </c>
      <c r="K1628" s="1">
        <v>96</v>
      </c>
      <c r="L1628" s="1">
        <v>0</v>
      </c>
      <c r="M1628" s="1">
        <v>0</v>
      </c>
      <c r="N1628" s="1">
        <v>96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 t="s">
        <v>49</v>
      </c>
      <c r="AA1628" s="1" t="s">
        <v>49</v>
      </c>
      <c r="AB1628" s="1" t="s">
        <v>49</v>
      </c>
      <c r="AC1628" s="1" t="s">
        <v>3756</v>
      </c>
      <c r="AD1628" s="1" t="s">
        <v>3757</v>
      </c>
      <c r="AE1628" s="1" t="s">
        <v>3758</v>
      </c>
      <c r="AF1628" s="1" t="s">
        <v>3759</v>
      </c>
      <c r="AG1628" s="1" t="s">
        <v>53</v>
      </c>
      <c r="AH1628" s="1" t="s">
        <v>49</v>
      </c>
      <c r="AI1628" s="1" t="s">
        <v>54</v>
      </c>
      <c r="AJ1628" s="1">
        <v>1</v>
      </c>
      <c r="AK1628" s="1" t="str">
        <f t="shared" si="25"/>
        <v xml:space="preserve"> =&lt;90</v>
      </c>
      <c r="AL1628" s="1" t="str">
        <f>VLOOKUP(C:C,[1]基础信息!B$1:D$65536,3,0)</f>
        <v>Jug</v>
      </c>
      <c r="AM1628" s="1" t="str">
        <f>VLOOKUP(C:C,[1]基础信息!B$1:E$65536,4,0)</f>
        <v>Mxplus</v>
      </c>
      <c r="AN1628" s="1" t="str">
        <f>VLOOKUP(C:C,[1]基础信息!B$1:F$65536,5,0)</f>
        <v>Blue</v>
      </c>
    </row>
    <row r="1629" spans="1:40">
      <c r="A1629" s="1" t="s">
        <v>41</v>
      </c>
      <c r="B1629" s="1" t="s">
        <v>42</v>
      </c>
      <c r="C1629" s="1" t="s">
        <v>1710</v>
      </c>
      <c r="D1629" s="1" t="s">
        <v>1711</v>
      </c>
      <c r="E1629" s="1" t="s">
        <v>45</v>
      </c>
      <c r="F1629" s="1" t="s">
        <v>2590</v>
      </c>
      <c r="G1629" s="1" t="s">
        <v>3784</v>
      </c>
      <c r="H1629" s="1" t="s">
        <v>3785</v>
      </c>
      <c r="I1629" s="1" t="s">
        <v>49</v>
      </c>
      <c r="J1629" s="1" t="s">
        <v>48</v>
      </c>
      <c r="K1629" s="1">
        <v>60</v>
      </c>
      <c r="L1629" s="1">
        <v>0</v>
      </c>
      <c r="M1629" s="1">
        <v>0</v>
      </c>
      <c r="N1629" s="1">
        <v>60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 t="s">
        <v>49</v>
      </c>
      <c r="AA1629" s="1" t="s">
        <v>49</v>
      </c>
      <c r="AB1629" s="1" t="s">
        <v>49</v>
      </c>
      <c r="AC1629" s="1" t="s">
        <v>1008</v>
      </c>
      <c r="AD1629" s="1" t="s">
        <v>1009</v>
      </c>
      <c r="AE1629" s="1" t="s">
        <v>1008</v>
      </c>
      <c r="AF1629" s="1" t="s">
        <v>2593</v>
      </c>
      <c r="AG1629" s="1" t="s">
        <v>53</v>
      </c>
      <c r="AH1629" s="1" t="s">
        <v>49</v>
      </c>
      <c r="AI1629" s="1" t="s">
        <v>54</v>
      </c>
      <c r="AJ1629" s="1">
        <v>1</v>
      </c>
      <c r="AK1629" s="1" t="str">
        <f t="shared" si="25"/>
        <v xml:space="preserve"> =&lt;90</v>
      </c>
      <c r="AL1629" s="1" t="str">
        <f>VLOOKUP(C:C,[1]基础信息!B$1:D$65536,3,0)</f>
        <v>Jug</v>
      </c>
      <c r="AM1629" s="1" t="str">
        <f>VLOOKUP(C:C,[1]基础信息!B$1:E$65536,4,0)</f>
        <v>Kalea XL ME4W</v>
      </c>
      <c r="AN1629" s="1" t="str">
        <f>VLOOKUP(C:C,[1]基础信息!B$1:F$65536,5,0)</f>
        <v>grey</v>
      </c>
    </row>
    <row r="1630" spans="1:40">
      <c r="A1630" s="1" t="s">
        <v>41</v>
      </c>
      <c r="B1630" s="1" t="s">
        <v>42</v>
      </c>
      <c r="C1630" s="1" t="s">
        <v>1710</v>
      </c>
      <c r="D1630" s="1" t="s">
        <v>1711</v>
      </c>
      <c r="E1630" s="1" t="s">
        <v>45</v>
      </c>
      <c r="F1630" s="1" t="s">
        <v>2590</v>
      </c>
      <c r="G1630" s="1" t="s">
        <v>3786</v>
      </c>
      <c r="H1630" s="1" t="s">
        <v>3787</v>
      </c>
      <c r="I1630" s="1" t="s">
        <v>49</v>
      </c>
      <c r="J1630" s="1" t="s">
        <v>48</v>
      </c>
      <c r="K1630" s="1">
        <v>60</v>
      </c>
      <c r="L1630" s="1">
        <v>0</v>
      </c>
      <c r="M1630" s="1">
        <v>0</v>
      </c>
      <c r="N1630" s="1">
        <v>60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 t="s">
        <v>49</v>
      </c>
      <c r="AA1630" s="1" t="s">
        <v>49</v>
      </c>
      <c r="AB1630" s="1" t="s">
        <v>49</v>
      </c>
      <c r="AC1630" s="1" t="s">
        <v>1008</v>
      </c>
      <c r="AD1630" s="1" t="s">
        <v>1009</v>
      </c>
      <c r="AE1630" s="1" t="s">
        <v>1008</v>
      </c>
      <c r="AF1630" s="1" t="s">
        <v>2593</v>
      </c>
      <c r="AG1630" s="1" t="s">
        <v>53</v>
      </c>
      <c r="AH1630" s="1" t="s">
        <v>49</v>
      </c>
      <c r="AI1630" s="1" t="s">
        <v>54</v>
      </c>
      <c r="AJ1630" s="1">
        <v>1</v>
      </c>
      <c r="AK1630" s="1" t="str">
        <f t="shared" si="25"/>
        <v xml:space="preserve"> =&lt;90</v>
      </c>
      <c r="AL1630" s="1" t="str">
        <f>VLOOKUP(C:C,[1]基础信息!B$1:D$65536,3,0)</f>
        <v>Jug</v>
      </c>
      <c r="AM1630" s="1" t="str">
        <f>VLOOKUP(C:C,[1]基础信息!B$1:E$65536,4,0)</f>
        <v>Kalea XL ME4W</v>
      </c>
      <c r="AN1630" s="1" t="str">
        <f>VLOOKUP(C:C,[1]基础信息!B$1:F$65536,5,0)</f>
        <v>grey</v>
      </c>
    </row>
    <row r="1631" spans="1:40">
      <c r="A1631" s="1" t="s">
        <v>41</v>
      </c>
      <c r="B1631" s="1" t="s">
        <v>42</v>
      </c>
      <c r="C1631" s="1" t="s">
        <v>1710</v>
      </c>
      <c r="D1631" s="1" t="s">
        <v>1711</v>
      </c>
      <c r="E1631" s="1" t="s">
        <v>45</v>
      </c>
      <c r="F1631" s="1" t="s">
        <v>2590</v>
      </c>
      <c r="G1631" s="1" t="s">
        <v>3788</v>
      </c>
      <c r="H1631" s="1" t="s">
        <v>3789</v>
      </c>
      <c r="I1631" s="1" t="s">
        <v>49</v>
      </c>
      <c r="J1631" s="1" t="s">
        <v>48</v>
      </c>
      <c r="K1631" s="1">
        <v>60</v>
      </c>
      <c r="L1631" s="1">
        <v>0</v>
      </c>
      <c r="M1631" s="1">
        <v>0</v>
      </c>
      <c r="N1631" s="1">
        <v>60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 t="s">
        <v>49</v>
      </c>
      <c r="AA1631" s="1" t="s">
        <v>49</v>
      </c>
      <c r="AB1631" s="1" t="s">
        <v>49</v>
      </c>
      <c r="AC1631" s="1" t="s">
        <v>1008</v>
      </c>
      <c r="AD1631" s="1" t="s">
        <v>1009</v>
      </c>
      <c r="AE1631" s="1" t="s">
        <v>1008</v>
      </c>
      <c r="AF1631" s="1" t="s">
        <v>2593</v>
      </c>
      <c r="AG1631" s="1" t="s">
        <v>53</v>
      </c>
      <c r="AH1631" s="1" t="s">
        <v>49</v>
      </c>
      <c r="AI1631" s="1" t="s">
        <v>54</v>
      </c>
      <c r="AJ1631" s="1">
        <v>1</v>
      </c>
      <c r="AK1631" s="1" t="str">
        <f t="shared" si="25"/>
        <v xml:space="preserve"> =&lt;90</v>
      </c>
      <c r="AL1631" s="1" t="str">
        <f>VLOOKUP(C:C,[1]基础信息!B$1:D$65536,3,0)</f>
        <v>Jug</v>
      </c>
      <c r="AM1631" s="1" t="str">
        <f>VLOOKUP(C:C,[1]基础信息!B$1:E$65536,4,0)</f>
        <v>Kalea XL ME4W</v>
      </c>
      <c r="AN1631" s="1" t="str">
        <f>VLOOKUP(C:C,[1]基础信息!B$1:F$65536,5,0)</f>
        <v>grey</v>
      </c>
    </row>
    <row r="1632" spans="1:40">
      <c r="A1632" s="1" t="s">
        <v>41</v>
      </c>
      <c r="B1632" s="1" t="s">
        <v>42</v>
      </c>
      <c r="C1632" s="1" t="s">
        <v>1710</v>
      </c>
      <c r="D1632" s="1" t="s">
        <v>1711</v>
      </c>
      <c r="E1632" s="1" t="s">
        <v>45</v>
      </c>
      <c r="F1632" s="1" t="s">
        <v>2590</v>
      </c>
      <c r="G1632" s="1" t="s">
        <v>3790</v>
      </c>
      <c r="H1632" s="1" t="s">
        <v>3791</v>
      </c>
      <c r="I1632" s="1" t="s">
        <v>49</v>
      </c>
      <c r="J1632" s="1" t="s">
        <v>48</v>
      </c>
      <c r="K1632" s="1">
        <v>60</v>
      </c>
      <c r="L1632" s="1">
        <v>0</v>
      </c>
      <c r="M1632" s="1">
        <v>0</v>
      </c>
      <c r="N1632" s="1">
        <v>60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 t="s">
        <v>49</v>
      </c>
      <c r="AA1632" s="1" t="s">
        <v>49</v>
      </c>
      <c r="AB1632" s="1" t="s">
        <v>49</v>
      </c>
      <c r="AC1632" s="1" t="s">
        <v>1008</v>
      </c>
      <c r="AD1632" s="1" t="s">
        <v>1009</v>
      </c>
      <c r="AE1632" s="1" t="s">
        <v>1008</v>
      </c>
      <c r="AF1632" s="1" t="s">
        <v>2593</v>
      </c>
      <c r="AG1632" s="1" t="s">
        <v>53</v>
      </c>
      <c r="AH1632" s="1" t="s">
        <v>49</v>
      </c>
      <c r="AI1632" s="1" t="s">
        <v>54</v>
      </c>
      <c r="AJ1632" s="1">
        <v>1</v>
      </c>
      <c r="AK1632" s="1" t="str">
        <f t="shared" si="25"/>
        <v xml:space="preserve"> =&lt;90</v>
      </c>
      <c r="AL1632" s="1" t="str">
        <f>VLOOKUP(C:C,[1]基础信息!B$1:D$65536,3,0)</f>
        <v>Jug</v>
      </c>
      <c r="AM1632" s="1" t="str">
        <f>VLOOKUP(C:C,[1]基础信息!B$1:E$65536,4,0)</f>
        <v>Kalea XL ME4W</v>
      </c>
      <c r="AN1632" s="1" t="str">
        <f>VLOOKUP(C:C,[1]基础信息!B$1:F$65536,5,0)</f>
        <v>grey</v>
      </c>
    </row>
    <row r="1633" spans="1:40">
      <c r="A1633" s="1" t="s">
        <v>41</v>
      </c>
      <c r="B1633" s="1" t="s">
        <v>42</v>
      </c>
      <c r="C1633" s="1" t="s">
        <v>1710</v>
      </c>
      <c r="D1633" s="1" t="s">
        <v>1711</v>
      </c>
      <c r="E1633" s="1" t="s">
        <v>45</v>
      </c>
      <c r="F1633" s="1" t="s">
        <v>2590</v>
      </c>
      <c r="G1633" s="1" t="s">
        <v>3792</v>
      </c>
      <c r="H1633" s="1" t="s">
        <v>3793</v>
      </c>
      <c r="I1633" s="1" t="s">
        <v>49</v>
      </c>
      <c r="J1633" s="1" t="s">
        <v>48</v>
      </c>
      <c r="K1633" s="1">
        <v>60</v>
      </c>
      <c r="L1633" s="1">
        <v>0</v>
      </c>
      <c r="M1633" s="1">
        <v>0</v>
      </c>
      <c r="N1633" s="1">
        <v>60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 t="s">
        <v>49</v>
      </c>
      <c r="AA1633" s="1" t="s">
        <v>49</v>
      </c>
      <c r="AB1633" s="1" t="s">
        <v>49</v>
      </c>
      <c r="AC1633" s="1" t="s">
        <v>1008</v>
      </c>
      <c r="AD1633" s="1" t="s">
        <v>1009</v>
      </c>
      <c r="AE1633" s="1" t="s">
        <v>1008</v>
      </c>
      <c r="AF1633" s="1" t="s">
        <v>2593</v>
      </c>
      <c r="AG1633" s="1" t="s">
        <v>53</v>
      </c>
      <c r="AH1633" s="1" t="s">
        <v>49</v>
      </c>
      <c r="AI1633" s="1" t="s">
        <v>54</v>
      </c>
      <c r="AJ1633" s="1">
        <v>1</v>
      </c>
      <c r="AK1633" s="1" t="str">
        <f t="shared" si="25"/>
        <v xml:space="preserve"> =&lt;90</v>
      </c>
      <c r="AL1633" s="1" t="str">
        <f>VLOOKUP(C:C,[1]基础信息!B$1:D$65536,3,0)</f>
        <v>Jug</v>
      </c>
      <c r="AM1633" s="1" t="str">
        <f>VLOOKUP(C:C,[1]基础信息!B$1:E$65536,4,0)</f>
        <v>Kalea XL ME4W</v>
      </c>
      <c r="AN1633" s="1" t="str">
        <f>VLOOKUP(C:C,[1]基础信息!B$1:F$65536,5,0)</f>
        <v>grey</v>
      </c>
    </row>
    <row r="1634" spans="1:40">
      <c r="A1634" s="1" t="s">
        <v>41</v>
      </c>
      <c r="B1634" s="1" t="s">
        <v>42</v>
      </c>
      <c r="C1634" s="1" t="s">
        <v>1710</v>
      </c>
      <c r="D1634" s="1" t="s">
        <v>1711</v>
      </c>
      <c r="E1634" s="1" t="s">
        <v>45</v>
      </c>
      <c r="F1634" s="1" t="s">
        <v>2590</v>
      </c>
      <c r="G1634" s="1" t="s">
        <v>3794</v>
      </c>
      <c r="H1634" s="1" t="s">
        <v>3795</v>
      </c>
      <c r="I1634" s="1" t="s">
        <v>49</v>
      </c>
      <c r="J1634" s="1" t="s">
        <v>48</v>
      </c>
      <c r="K1634" s="1">
        <v>60</v>
      </c>
      <c r="L1634" s="1">
        <v>0</v>
      </c>
      <c r="M1634" s="1">
        <v>0</v>
      </c>
      <c r="N1634" s="1">
        <v>60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 t="s">
        <v>49</v>
      </c>
      <c r="AA1634" s="1" t="s">
        <v>49</v>
      </c>
      <c r="AB1634" s="1" t="s">
        <v>49</v>
      </c>
      <c r="AC1634" s="1" t="s">
        <v>1008</v>
      </c>
      <c r="AD1634" s="1" t="s">
        <v>1009</v>
      </c>
      <c r="AE1634" s="1" t="s">
        <v>1008</v>
      </c>
      <c r="AF1634" s="1" t="s">
        <v>2593</v>
      </c>
      <c r="AG1634" s="1" t="s">
        <v>53</v>
      </c>
      <c r="AH1634" s="1" t="s">
        <v>49</v>
      </c>
      <c r="AI1634" s="1" t="s">
        <v>54</v>
      </c>
      <c r="AJ1634" s="1">
        <v>1</v>
      </c>
      <c r="AK1634" s="1" t="str">
        <f t="shared" si="25"/>
        <v xml:space="preserve"> =&lt;90</v>
      </c>
      <c r="AL1634" s="1" t="str">
        <f>VLOOKUP(C:C,[1]基础信息!B$1:D$65536,3,0)</f>
        <v>Jug</v>
      </c>
      <c r="AM1634" s="1" t="str">
        <f>VLOOKUP(C:C,[1]基础信息!B$1:E$65536,4,0)</f>
        <v>Kalea XL ME4W</v>
      </c>
      <c r="AN1634" s="1" t="str">
        <f>VLOOKUP(C:C,[1]基础信息!B$1:F$65536,5,0)</f>
        <v>grey</v>
      </c>
    </row>
    <row r="1635" spans="1:40">
      <c r="A1635" s="1" t="s">
        <v>41</v>
      </c>
      <c r="B1635" s="1" t="s">
        <v>42</v>
      </c>
      <c r="C1635" s="1" t="s">
        <v>3796</v>
      </c>
      <c r="D1635" s="1" t="s">
        <v>3797</v>
      </c>
      <c r="E1635" s="1" t="s">
        <v>3796</v>
      </c>
      <c r="F1635" s="1" t="s">
        <v>3798</v>
      </c>
      <c r="G1635" s="1" t="s">
        <v>3799</v>
      </c>
      <c r="H1635" s="1" t="s">
        <v>3800</v>
      </c>
      <c r="I1635" s="1" t="s">
        <v>49</v>
      </c>
      <c r="J1635" s="1" t="s">
        <v>48</v>
      </c>
      <c r="K1635" s="1">
        <v>80</v>
      </c>
      <c r="L1635" s="1">
        <v>0</v>
      </c>
      <c r="M1635" s="1">
        <v>0</v>
      </c>
      <c r="N1635" s="1">
        <v>80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 t="s">
        <v>49</v>
      </c>
      <c r="AA1635" s="1" t="s">
        <v>49</v>
      </c>
      <c r="AB1635" s="1" t="s">
        <v>49</v>
      </c>
      <c r="AC1635" s="1" t="s">
        <v>3801</v>
      </c>
      <c r="AD1635" s="1" t="s">
        <v>3802</v>
      </c>
      <c r="AE1635" s="1" t="s">
        <v>3801</v>
      </c>
      <c r="AF1635" s="1" t="s">
        <v>3803</v>
      </c>
      <c r="AG1635" s="1" t="s">
        <v>338</v>
      </c>
      <c r="AH1635" s="1" t="s">
        <v>49</v>
      </c>
      <c r="AI1635" s="1" t="s">
        <v>54</v>
      </c>
      <c r="AJ1635" s="1">
        <v>1</v>
      </c>
      <c r="AK1635" s="1" t="str">
        <f t="shared" si="25"/>
        <v xml:space="preserve"> =&lt;90</v>
      </c>
      <c r="AL1635" s="1" t="str">
        <f>VLOOKUP(C:C,[1]基础信息!B$1:D$65536,3,0)</f>
        <v>Jug</v>
      </c>
      <c r="AM1635" s="1" t="str">
        <f>VLOOKUP(C:C,[1]基础信息!B$1:E$65536,4,0)</f>
        <v>Aluna</v>
      </c>
      <c r="AN1635" s="1" t="str">
        <f>VLOOKUP(C:C,[1]基础信息!B$1:F$65536,5,0)</f>
        <v>Blue</v>
      </c>
    </row>
    <row r="1636" spans="1:40">
      <c r="A1636" s="1" t="s">
        <v>41</v>
      </c>
      <c r="B1636" s="1" t="s">
        <v>42</v>
      </c>
      <c r="C1636" s="1" t="s">
        <v>3796</v>
      </c>
      <c r="D1636" s="1" t="s">
        <v>3797</v>
      </c>
      <c r="E1636" s="1" t="s">
        <v>3796</v>
      </c>
      <c r="F1636" s="1" t="s">
        <v>3798</v>
      </c>
      <c r="G1636" s="1" t="s">
        <v>3804</v>
      </c>
      <c r="H1636" s="1" t="s">
        <v>3805</v>
      </c>
      <c r="I1636" s="1" t="s">
        <v>49</v>
      </c>
      <c r="J1636" s="1" t="s">
        <v>48</v>
      </c>
      <c r="K1636" s="1">
        <v>80</v>
      </c>
      <c r="L1636" s="1">
        <v>0</v>
      </c>
      <c r="M1636" s="1">
        <v>0</v>
      </c>
      <c r="N1636" s="1">
        <v>80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 t="s">
        <v>49</v>
      </c>
      <c r="AA1636" s="1" t="s">
        <v>49</v>
      </c>
      <c r="AB1636" s="1" t="s">
        <v>49</v>
      </c>
      <c r="AC1636" s="1" t="s">
        <v>3801</v>
      </c>
      <c r="AD1636" s="1" t="s">
        <v>3802</v>
      </c>
      <c r="AE1636" s="1" t="s">
        <v>3801</v>
      </c>
      <c r="AF1636" s="1" t="s">
        <v>3803</v>
      </c>
      <c r="AG1636" s="1" t="s">
        <v>338</v>
      </c>
      <c r="AH1636" s="1" t="s">
        <v>49</v>
      </c>
      <c r="AI1636" s="1" t="s">
        <v>54</v>
      </c>
      <c r="AJ1636" s="1">
        <v>1</v>
      </c>
      <c r="AK1636" s="1" t="str">
        <f t="shared" si="25"/>
        <v xml:space="preserve"> =&lt;90</v>
      </c>
      <c r="AL1636" s="1" t="str">
        <f>VLOOKUP(C:C,[1]基础信息!B$1:D$65536,3,0)</f>
        <v>Jug</v>
      </c>
      <c r="AM1636" s="1" t="str">
        <f>VLOOKUP(C:C,[1]基础信息!B$1:E$65536,4,0)</f>
        <v>Aluna</v>
      </c>
      <c r="AN1636" s="1" t="str">
        <f>VLOOKUP(C:C,[1]基础信息!B$1:F$65536,5,0)</f>
        <v>Blue</v>
      </c>
    </row>
    <row r="1637" spans="1:40">
      <c r="A1637" s="1" t="s">
        <v>41</v>
      </c>
      <c r="B1637" s="1" t="s">
        <v>42</v>
      </c>
      <c r="C1637" s="1" t="s">
        <v>1710</v>
      </c>
      <c r="D1637" s="1" t="s">
        <v>1711</v>
      </c>
      <c r="E1637" s="1" t="s">
        <v>45</v>
      </c>
      <c r="F1637" s="1" t="s">
        <v>2590</v>
      </c>
      <c r="G1637" s="1" t="s">
        <v>3806</v>
      </c>
      <c r="H1637" s="1" t="s">
        <v>3807</v>
      </c>
      <c r="I1637" s="1" t="s">
        <v>49</v>
      </c>
      <c r="J1637" s="1" t="s">
        <v>48</v>
      </c>
      <c r="K1637" s="1">
        <v>60</v>
      </c>
      <c r="L1637" s="1">
        <v>0</v>
      </c>
      <c r="M1637" s="1">
        <v>0</v>
      </c>
      <c r="N1637" s="1">
        <v>60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 t="s">
        <v>49</v>
      </c>
      <c r="AA1637" s="1" t="s">
        <v>49</v>
      </c>
      <c r="AB1637" s="1" t="s">
        <v>49</v>
      </c>
      <c r="AC1637" s="1" t="s">
        <v>1008</v>
      </c>
      <c r="AD1637" s="1" t="s">
        <v>1009</v>
      </c>
      <c r="AE1637" s="1" t="s">
        <v>1008</v>
      </c>
      <c r="AF1637" s="1" t="s">
        <v>2593</v>
      </c>
      <c r="AG1637" s="1" t="s">
        <v>53</v>
      </c>
      <c r="AH1637" s="1" t="s">
        <v>49</v>
      </c>
      <c r="AI1637" s="1" t="s">
        <v>54</v>
      </c>
      <c r="AJ1637" s="1">
        <v>1</v>
      </c>
      <c r="AK1637" s="1" t="str">
        <f t="shared" si="25"/>
        <v xml:space="preserve"> =&lt;90</v>
      </c>
      <c r="AL1637" s="1" t="str">
        <f>VLOOKUP(C:C,[1]基础信息!B$1:D$65536,3,0)</f>
        <v>Jug</v>
      </c>
      <c r="AM1637" s="1" t="str">
        <f>VLOOKUP(C:C,[1]基础信息!B$1:E$65536,4,0)</f>
        <v>Kalea XL ME4W</v>
      </c>
      <c r="AN1637" s="1" t="str">
        <f>VLOOKUP(C:C,[1]基础信息!B$1:F$65536,5,0)</f>
        <v>grey</v>
      </c>
    </row>
    <row r="1638" spans="1:40">
      <c r="A1638" s="1" t="s">
        <v>41</v>
      </c>
      <c r="B1638" s="1" t="s">
        <v>42</v>
      </c>
      <c r="C1638" s="1" t="s">
        <v>3796</v>
      </c>
      <c r="D1638" s="1" t="s">
        <v>3797</v>
      </c>
      <c r="E1638" s="1" t="s">
        <v>3796</v>
      </c>
      <c r="F1638" s="1" t="s">
        <v>3798</v>
      </c>
      <c r="G1638" s="1" t="s">
        <v>3808</v>
      </c>
      <c r="H1638" s="1" t="s">
        <v>3809</v>
      </c>
      <c r="I1638" s="1" t="s">
        <v>49</v>
      </c>
      <c r="J1638" s="1" t="s">
        <v>48</v>
      </c>
      <c r="K1638" s="1">
        <v>80</v>
      </c>
      <c r="L1638" s="1">
        <v>0</v>
      </c>
      <c r="M1638" s="1">
        <v>0</v>
      </c>
      <c r="N1638" s="1">
        <v>80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 t="s">
        <v>49</v>
      </c>
      <c r="AA1638" s="1" t="s">
        <v>49</v>
      </c>
      <c r="AB1638" s="1" t="s">
        <v>49</v>
      </c>
      <c r="AC1638" s="1" t="s">
        <v>3801</v>
      </c>
      <c r="AD1638" s="1" t="s">
        <v>3802</v>
      </c>
      <c r="AE1638" s="1" t="s">
        <v>3801</v>
      </c>
      <c r="AF1638" s="1" t="s">
        <v>3803</v>
      </c>
      <c r="AG1638" s="1" t="s">
        <v>338</v>
      </c>
      <c r="AH1638" s="1" t="s">
        <v>49</v>
      </c>
      <c r="AI1638" s="1" t="s">
        <v>54</v>
      </c>
      <c r="AJ1638" s="1">
        <v>1</v>
      </c>
      <c r="AK1638" s="1" t="str">
        <f t="shared" si="25"/>
        <v xml:space="preserve"> =&lt;90</v>
      </c>
      <c r="AL1638" s="1" t="str">
        <f>VLOOKUP(C:C,[1]基础信息!B$1:D$65536,3,0)</f>
        <v>Jug</v>
      </c>
      <c r="AM1638" s="1" t="str">
        <f>VLOOKUP(C:C,[1]基础信息!B$1:E$65536,4,0)</f>
        <v>Aluna</v>
      </c>
      <c r="AN1638" s="1" t="str">
        <f>VLOOKUP(C:C,[1]基础信息!B$1:F$65536,5,0)</f>
        <v>Blue</v>
      </c>
    </row>
    <row r="1639" spans="1:40">
      <c r="A1639" s="1" t="s">
        <v>41</v>
      </c>
      <c r="B1639" s="1" t="s">
        <v>42</v>
      </c>
      <c r="C1639" s="1" t="s">
        <v>3796</v>
      </c>
      <c r="D1639" s="1" t="s">
        <v>3797</v>
      </c>
      <c r="E1639" s="1" t="s">
        <v>3796</v>
      </c>
      <c r="F1639" s="1" t="s">
        <v>3798</v>
      </c>
      <c r="G1639" s="1" t="s">
        <v>3810</v>
      </c>
      <c r="H1639" s="1" t="s">
        <v>3811</v>
      </c>
      <c r="I1639" s="1" t="s">
        <v>49</v>
      </c>
      <c r="J1639" s="1" t="s">
        <v>48</v>
      </c>
      <c r="K1639" s="1">
        <v>80</v>
      </c>
      <c r="L1639" s="1">
        <v>0</v>
      </c>
      <c r="M1639" s="1">
        <v>0</v>
      </c>
      <c r="N1639" s="1">
        <v>80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 t="s">
        <v>49</v>
      </c>
      <c r="AA1639" s="1" t="s">
        <v>49</v>
      </c>
      <c r="AB1639" s="1" t="s">
        <v>49</v>
      </c>
      <c r="AC1639" s="1" t="s">
        <v>3801</v>
      </c>
      <c r="AD1639" s="1" t="s">
        <v>3802</v>
      </c>
      <c r="AE1639" s="1" t="s">
        <v>3801</v>
      </c>
      <c r="AF1639" s="1" t="s">
        <v>3803</v>
      </c>
      <c r="AG1639" s="1" t="s">
        <v>338</v>
      </c>
      <c r="AH1639" s="1" t="s">
        <v>49</v>
      </c>
      <c r="AI1639" s="1" t="s">
        <v>54</v>
      </c>
      <c r="AJ1639" s="1">
        <v>1</v>
      </c>
      <c r="AK1639" s="1" t="str">
        <f t="shared" si="25"/>
        <v xml:space="preserve"> =&lt;90</v>
      </c>
      <c r="AL1639" s="1" t="str">
        <f>VLOOKUP(C:C,[1]基础信息!B$1:D$65536,3,0)</f>
        <v>Jug</v>
      </c>
      <c r="AM1639" s="1" t="str">
        <f>VLOOKUP(C:C,[1]基础信息!B$1:E$65536,4,0)</f>
        <v>Aluna</v>
      </c>
      <c r="AN1639" s="1" t="str">
        <f>VLOOKUP(C:C,[1]基础信息!B$1:F$65536,5,0)</f>
        <v>Blue</v>
      </c>
    </row>
    <row r="1640" spans="1:40">
      <c r="A1640" s="1" t="s">
        <v>41</v>
      </c>
      <c r="B1640" s="1" t="s">
        <v>42</v>
      </c>
      <c r="C1640" s="1" t="s">
        <v>3796</v>
      </c>
      <c r="D1640" s="1" t="s">
        <v>3797</v>
      </c>
      <c r="E1640" s="1" t="s">
        <v>3796</v>
      </c>
      <c r="F1640" s="1" t="s">
        <v>3798</v>
      </c>
      <c r="G1640" s="1" t="s">
        <v>3812</v>
      </c>
      <c r="H1640" s="1" t="s">
        <v>3813</v>
      </c>
      <c r="I1640" s="1" t="s">
        <v>49</v>
      </c>
      <c r="J1640" s="1" t="s">
        <v>48</v>
      </c>
      <c r="K1640" s="1">
        <v>80</v>
      </c>
      <c r="L1640" s="1">
        <v>0</v>
      </c>
      <c r="M1640" s="1">
        <v>0</v>
      </c>
      <c r="N1640" s="1">
        <v>80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 t="s">
        <v>49</v>
      </c>
      <c r="AA1640" s="1" t="s">
        <v>49</v>
      </c>
      <c r="AB1640" s="1" t="s">
        <v>49</v>
      </c>
      <c r="AC1640" s="1" t="s">
        <v>3801</v>
      </c>
      <c r="AD1640" s="1" t="s">
        <v>3802</v>
      </c>
      <c r="AE1640" s="1" t="s">
        <v>3801</v>
      </c>
      <c r="AF1640" s="1" t="s">
        <v>3803</v>
      </c>
      <c r="AG1640" s="1" t="s">
        <v>338</v>
      </c>
      <c r="AH1640" s="1" t="s">
        <v>49</v>
      </c>
      <c r="AI1640" s="1" t="s">
        <v>54</v>
      </c>
      <c r="AJ1640" s="1">
        <v>1</v>
      </c>
      <c r="AK1640" s="1" t="str">
        <f t="shared" si="25"/>
        <v xml:space="preserve"> =&lt;90</v>
      </c>
      <c r="AL1640" s="1" t="str">
        <f>VLOOKUP(C:C,[1]基础信息!B$1:D$65536,3,0)</f>
        <v>Jug</v>
      </c>
      <c r="AM1640" s="1" t="str">
        <f>VLOOKUP(C:C,[1]基础信息!B$1:E$65536,4,0)</f>
        <v>Aluna</v>
      </c>
      <c r="AN1640" s="1" t="str">
        <f>VLOOKUP(C:C,[1]基础信息!B$1:F$65536,5,0)</f>
        <v>Blue</v>
      </c>
    </row>
    <row r="1641" spans="1:40">
      <c r="A1641" s="1" t="s">
        <v>41</v>
      </c>
      <c r="B1641" s="1" t="s">
        <v>42</v>
      </c>
      <c r="C1641" s="1" t="s">
        <v>3796</v>
      </c>
      <c r="D1641" s="1" t="s">
        <v>3797</v>
      </c>
      <c r="E1641" s="1" t="s">
        <v>3796</v>
      </c>
      <c r="F1641" s="1" t="s">
        <v>3798</v>
      </c>
      <c r="G1641" s="1" t="s">
        <v>3814</v>
      </c>
      <c r="H1641" s="1" t="s">
        <v>3815</v>
      </c>
      <c r="I1641" s="1" t="s">
        <v>49</v>
      </c>
      <c r="J1641" s="1" t="s">
        <v>48</v>
      </c>
      <c r="K1641" s="1">
        <v>80</v>
      </c>
      <c r="L1641" s="1">
        <v>0</v>
      </c>
      <c r="M1641" s="1">
        <v>0</v>
      </c>
      <c r="N1641" s="1">
        <v>80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 t="s">
        <v>49</v>
      </c>
      <c r="AA1641" s="1" t="s">
        <v>49</v>
      </c>
      <c r="AB1641" s="1" t="s">
        <v>49</v>
      </c>
      <c r="AC1641" s="1" t="s">
        <v>3801</v>
      </c>
      <c r="AD1641" s="1" t="s">
        <v>3802</v>
      </c>
      <c r="AE1641" s="1" t="s">
        <v>3801</v>
      </c>
      <c r="AF1641" s="1" t="s">
        <v>3803</v>
      </c>
      <c r="AG1641" s="1" t="s">
        <v>338</v>
      </c>
      <c r="AH1641" s="1" t="s">
        <v>49</v>
      </c>
      <c r="AI1641" s="1" t="s">
        <v>54</v>
      </c>
      <c r="AJ1641" s="1">
        <v>1</v>
      </c>
      <c r="AK1641" s="1" t="str">
        <f t="shared" si="25"/>
        <v xml:space="preserve"> =&lt;90</v>
      </c>
      <c r="AL1641" s="1" t="str">
        <f>VLOOKUP(C:C,[1]基础信息!B$1:D$65536,3,0)</f>
        <v>Jug</v>
      </c>
      <c r="AM1641" s="1" t="str">
        <f>VLOOKUP(C:C,[1]基础信息!B$1:E$65536,4,0)</f>
        <v>Aluna</v>
      </c>
      <c r="AN1641" s="1" t="str">
        <f>VLOOKUP(C:C,[1]基础信息!B$1:F$65536,5,0)</f>
        <v>Blue</v>
      </c>
    </row>
    <row r="1642" spans="1:40">
      <c r="A1642" s="1" t="s">
        <v>41</v>
      </c>
      <c r="B1642" s="1" t="s">
        <v>42</v>
      </c>
      <c r="C1642" s="1" t="s">
        <v>3796</v>
      </c>
      <c r="D1642" s="1" t="s">
        <v>3797</v>
      </c>
      <c r="E1642" s="1" t="s">
        <v>3796</v>
      </c>
      <c r="F1642" s="1" t="s">
        <v>3798</v>
      </c>
      <c r="G1642" s="1" t="s">
        <v>3816</v>
      </c>
      <c r="H1642" s="1" t="s">
        <v>3817</v>
      </c>
      <c r="I1642" s="1" t="s">
        <v>49</v>
      </c>
      <c r="J1642" s="1" t="s">
        <v>48</v>
      </c>
      <c r="K1642" s="1">
        <v>80</v>
      </c>
      <c r="L1642" s="1">
        <v>0</v>
      </c>
      <c r="M1642" s="1">
        <v>0</v>
      </c>
      <c r="N1642" s="1">
        <v>80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 t="s">
        <v>49</v>
      </c>
      <c r="AA1642" s="1" t="s">
        <v>49</v>
      </c>
      <c r="AB1642" s="1" t="s">
        <v>49</v>
      </c>
      <c r="AC1642" s="1" t="s">
        <v>3801</v>
      </c>
      <c r="AD1642" s="1" t="s">
        <v>3802</v>
      </c>
      <c r="AE1642" s="1" t="s">
        <v>3801</v>
      </c>
      <c r="AF1642" s="1" t="s">
        <v>3803</v>
      </c>
      <c r="AG1642" s="1" t="s">
        <v>338</v>
      </c>
      <c r="AH1642" s="1" t="s">
        <v>49</v>
      </c>
      <c r="AI1642" s="1" t="s">
        <v>54</v>
      </c>
      <c r="AJ1642" s="1">
        <v>1</v>
      </c>
      <c r="AK1642" s="1" t="str">
        <f t="shared" si="25"/>
        <v xml:space="preserve"> =&lt;90</v>
      </c>
      <c r="AL1642" s="1" t="str">
        <f>VLOOKUP(C:C,[1]基础信息!B$1:D$65536,3,0)</f>
        <v>Jug</v>
      </c>
      <c r="AM1642" s="1" t="str">
        <f>VLOOKUP(C:C,[1]基础信息!B$1:E$65536,4,0)</f>
        <v>Aluna</v>
      </c>
      <c r="AN1642" s="1" t="str">
        <f>VLOOKUP(C:C,[1]基础信息!B$1:F$65536,5,0)</f>
        <v>Blue</v>
      </c>
    </row>
    <row r="1643" spans="1:40">
      <c r="A1643" s="1" t="s">
        <v>41</v>
      </c>
      <c r="B1643" s="1" t="s">
        <v>42</v>
      </c>
      <c r="C1643" s="1" t="s">
        <v>3796</v>
      </c>
      <c r="D1643" s="1" t="s">
        <v>3797</v>
      </c>
      <c r="E1643" s="1" t="s">
        <v>3796</v>
      </c>
      <c r="F1643" s="1" t="s">
        <v>3798</v>
      </c>
      <c r="G1643" s="1" t="s">
        <v>3818</v>
      </c>
      <c r="H1643" s="1" t="s">
        <v>3819</v>
      </c>
      <c r="I1643" s="1" t="s">
        <v>49</v>
      </c>
      <c r="J1643" s="1" t="s">
        <v>48</v>
      </c>
      <c r="K1643" s="1">
        <v>80</v>
      </c>
      <c r="L1643" s="1">
        <v>0</v>
      </c>
      <c r="M1643" s="1">
        <v>0</v>
      </c>
      <c r="N1643" s="1">
        <v>80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 t="s">
        <v>49</v>
      </c>
      <c r="AA1643" s="1" t="s">
        <v>49</v>
      </c>
      <c r="AB1643" s="1" t="s">
        <v>49</v>
      </c>
      <c r="AC1643" s="1" t="s">
        <v>3801</v>
      </c>
      <c r="AD1643" s="1" t="s">
        <v>3802</v>
      </c>
      <c r="AE1643" s="1" t="s">
        <v>3801</v>
      </c>
      <c r="AF1643" s="1" t="s">
        <v>3803</v>
      </c>
      <c r="AG1643" s="1" t="s">
        <v>338</v>
      </c>
      <c r="AH1643" s="1" t="s">
        <v>49</v>
      </c>
      <c r="AI1643" s="1" t="s">
        <v>54</v>
      </c>
      <c r="AJ1643" s="1">
        <v>1</v>
      </c>
      <c r="AK1643" s="1" t="str">
        <f t="shared" si="25"/>
        <v xml:space="preserve"> =&lt;90</v>
      </c>
      <c r="AL1643" s="1" t="str">
        <f>VLOOKUP(C:C,[1]基础信息!B$1:D$65536,3,0)</f>
        <v>Jug</v>
      </c>
      <c r="AM1643" s="1" t="str">
        <f>VLOOKUP(C:C,[1]基础信息!B$1:E$65536,4,0)</f>
        <v>Aluna</v>
      </c>
      <c r="AN1643" s="1" t="str">
        <f>VLOOKUP(C:C,[1]基础信息!B$1:F$65536,5,0)</f>
        <v>Blue</v>
      </c>
    </row>
    <row r="1644" spans="1:40">
      <c r="A1644" s="1" t="s">
        <v>41</v>
      </c>
      <c r="B1644" s="1" t="s">
        <v>42</v>
      </c>
      <c r="C1644" s="1" t="s">
        <v>285</v>
      </c>
      <c r="D1644" s="1" t="s">
        <v>286</v>
      </c>
      <c r="E1644" s="1" t="s">
        <v>45</v>
      </c>
      <c r="F1644" s="1" t="s">
        <v>2547</v>
      </c>
      <c r="G1644" s="1" t="s">
        <v>3820</v>
      </c>
      <c r="H1644" s="1" t="s">
        <v>3821</v>
      </c>
      <c r="I1644" s="1" t="s">
        <v>49</v>
      </c>
      <c r="J1644" s="1" t="s">
        <v>48</v>
      </c>
      <c r="K1644" s="1">
        <v>70</v>
      </c>
      <c r="L1644" s="1">
        <v>0</v>
      </c>
      <c r="M1644" s="1">
        <v>0</v>
      </c>
      <c r="N1644" s="1">
        <v>70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 t="s">
        <v>49</v>
      </c>
      <c r="AA1644" s="1" t="s">
        <v>49</v>
      </c>
      <c r="AB1644" s="1" t="s">
        <v>49</v>
      </c>
      <c r="AC1644" s="1" t="s">
        <v>1551</v>
      </c>
      <c r="AD1644" s="1" t="s">
        <v>1552</v>
      </c>
      <c r="AE1644" s="1" t="s">
        <v>1551</v>
      </c>
      <c r="AF1644" s="1" t="s">
        <v>2550</v>
      </c>
      <c r="AG1644" s="1" t="s">
        <v>53</v>
      </c>
      <c r="AH1644" s="1" t="s">
        <v>49</v>
      </c>
      <c r="AI1644" s="1" t="s">
        <v>54</v>
      </c>
      <c r="AJ1644" s="1">
        <v>1</v>
      </c>
      <c r="AK1644" s="1" t="str">
        <f t="shared" si="25"/>
        <v xml:space="preserve"> =&lt;90</v>
      </c>
      <c r="AL1644" s="1" t="str">
        <f>VLOOKUP(C:C,[1]基础信息!B$1:D$65536,3,0)</f>
        <v>Jug</v>
      </c>
      <c r="AM1644" s="1" t="str">
        <f>VLOOKUP(C:C,[1]基础信息!B$1:E$65536,4,0)</f>
        <v>Marella XL</v>
      </c>
      <c r="AN1644" s="1" t="str">
        <f>VLOOKUP(C:C,[1]基础信息!B$1:F$65536,5,0)</f>
        <v>Blue</v>
      </c>
    </row>
    <row r="1645" spans="1:40">
      <c r="A1645" s="1" t="s">
        <v>41</v>
      </c>
      <c r="B1645" s="1" t="s">
        <v>42</v>
      </c>
      <c r="C1645" s="1" t="s">
        <v>3796</v>
      </c>
      <c r="D1645" s="1" t="s">
        <v>3797</v>
      </c>
      <c r="E1645" s="1" t="s">
        <v>3796</v>
      </c>
      <c r="F1645" s="1" t="s">
        <v>3798</v>
      </c>
      <c r="G1645" s="1" t="s">
        <v>3822</v>
      </c>
      <c r="H1645" s="1" t="s">
        <v>3823</v>
      </c>
      <c r="I1645" s="1" t="s">
        <v>49</v>
      </c>
      <c r="J1645" s="1" t="s">
        <v>48</v>
      </c>
      <c r="K1645" s="1">
        <v>80</v>
      </c>
      <c r="L1645" s="1">
        <v>0</v>
      </c>
      <c r="M1645" s="1">
        <v>0</v>
      </c>
      <c r="N1645" s="1">
        <v>80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 t="s">
        <v>49</v>
      </c>
      <c r="AA1645" s="1" t="s">
        <v>49</v>
      </c>
      <c r="AB1645" s="1" t="s">
        <v>49</v>
      </c>
      <c r="AC1645" s="1" t="s">
        <v>3801</v>
      </c>
      <c r="AD1645" s="1" t="s">
        <v>3802</v>
      </c>
      <c r="AE1645" s="1" t="s">
        <v>3801</v>
      </c>
      <c r="AF1645" s="1" t="s">
        <v>3803</v>
      </c>
      <c r="AG1645" s="1" t="s">
        <v>338</v>
      </c>
      <c r="AH1645" s="1" t="s">
        <v>49</v>
      </c>
      <c r="AI1645" s="1" t="s">
        <v>54</v>
      </c>
      <c r="AJ1645" s="1">
        <v>1</v>
      </c>
      <c r="AK1645" s="1" t="str">
        <f t="shared" si="25"/>
        <v xml:space="preserve"> =&lt;90</v>
      </c>
      <c r="AL1645" s="1" t="str">
        <f>VLOOKUP(C:C,[1]基础信息!B$1:D$65536,3,0)</f>
        <v>Jug</v>
      </c>
      <c r="AM1645" s="1" t="str">
        <f>VLOOKUP(C:C,[1]基础信息!B$1:E$65536,4,0)</f>
        <v>Aluna</v>
      </c>
      <c r="AN1645" s="1" t="str">
        <f>VLOOKUP(C:C,[1]基础信息!B$1:F$65536,5,0)</f>
        <v>Blue</v>
      </c>
    </row>
    <row r="1646" spans="1:40">
      <c r="A1646" s="1" t="s">
        <v>41</v>
      </c>
      <c r="B1646" s="1" t="s">
        <v>42</v>
      </c>
      <c r="C1646" s="1" t="s">
        <v>3796</v>
      </c>
      <c r="D1646" s="1" t="s">
        <v>3797</v>
      </c>
      <c r="E1646" s="1" t="s">
        <v>3796</v>
      </c>
      <c r="F1646" s="1" t="s">
        <v>3798</v>
      </c>
      <c r="G1646" s="1" t="s">
        <v>3824</v>
      </c>
      <c r="H1646" s="1" t="s">
        <v>3825</v>
      </c>
      <c r="I1646" s="1" t="s">
        <v>49</v>
      </c>
      <c r="J1646" s="1" t="s">
        <v>48</v>
      </c>
      <c r="K1646" s="1">
        <v>80</v>
      </c>
      <c r="L1646" s="1">
        <v>0</v>
      </c>
      <c r="M1646" s="1">
        <v>0</v>
      </c>
      <c r="N1646" s="1">
        <v>80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 t="s">
        <v>49</v>
      </c>
      <c r="AA1646" s="1" t="s">
        <v>49</v>
      </c>
      <c r="AB1646" s="1" t="s">
        <v>49</v>
      </c>
      <c r="AC1646" s="1" t="s">
        <v>3801</v>
      </c>
      <c r="AD1646" s="1" t="s">
        <v>3802</v>
      </c>
      <c r="AE1646" s="1" t="s">
        <v>3801</v>
      </c>
      <c r="AF1646" s="1" t="s">
        <v>3803</v>
      </c>
      <c r="AG1646" s="1" t="s">
        <v>338</v>
      </c>
      <c r="AH1646" s="1" t="s">
        <v>49</v>
      </c>
      <c r="AI1646" s="1" t="s">
        <v>54</v>
      </c>
      <c r="AJ1646" s="1">
        <v>1</v>
      </c>
      <c r="AK1646" s="1" t="str">
        <f t="shared" si="25"/>
        <v xml:space="preserve"> =&lt;90</v>
      </c>
      <c r="AL1646" s="1" t="str">
        <f>VLOOKUP(C:C,[1]基础信息!B$1:D$65536,3,0)</f>
        <v>Jug</v>
      </c>
      <c r="AM1646" s="1" t="str">
        <f>VLOOKUP(C:C,[1]基础信息!B$1:E$65536,4,0)</f>
        <v>Aluna</v>
      </c>
      <c r="AN1646" s="1" t="str">
        <f>VLOOKUP(C:C,[1]基础信息!B$1:F$65536,5,0)</f>
        <v>Blue</v>
      </c>
    </row>
    <row r="1647" spans="1:40">
      <c r="A1647" s="1" t="s">
        <v>41</v>
      </c>
      <c r="B1647" s="1" t="s">
        <v>42</v>
      </c>
      <c r="C1647" s="1" t="s">
        <v>3826</v>
      </c>
      <c r="D1647" s="1" t="s">
        <v>3827</v>
      </c>
      <c r="E1647" s="1" t="s">
        <v>45</v>
      </c>
      <c r="F1647" s="1" t="s">
        <v>3828</v>
      </c>
      <c r="G1647" s="1" t="s">
        <v>3829</v>
      </c>
      <c r="H1647" s="1" t="s">
        <v>3830</v>
      </c>
      <c r="I1647" s="1" t="s">
        <v>49</v>
      </c>
      <c r="J1647" s="1" t="s">
        <v>48</v>
      </c>
      <c r="K1647" s="1">
        <v>3</v>
      </c>
      <c r="L1647" s="1">
        <v>0</v>
      </c>
      <c r="M1647" s="1">
        <v>0</v>
      </c>
      <c r="N1647" s="1">
        <v>3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 t="s">
        <v>49</v>
      </c>
      <c r="AA1647" s="1" t="s">
        <v>49</v>
      </c>
      <c r="AB1647" s="1" t="s">
        <v>49</v>
      </c>
      <c r="AC1647" s="1" t="s">
        <v>3831</v>
      </c>
      <c r="AD1647" s="1" t="s">
        <v>3832</v>
      </c>
      <c r="AE1647" s="1" t="s">
        <v>3831</v>
      </c>
      <c r="AF1647" s="1" t="s">
        <v>3833</v>
      </c>
      <c r="AG1647" s="1" t="s">
        <v>338</v>
      </c>
      <c r="AH1647" s="1" t="s">
        <v>49</v>
      </c>
      <c r="AI1647" s="1" t="s">
        <v>54</v>
      </c>
      <c r="AJ1647" s="1">
        <v>1</v>
      </c>
      <c r="AK1647" s="1" t="str">
        <f t="shared" si="25"/>
        <v xml:space="preserve"> =&lt;90</v>
      </c>
      <c r="AL1647" s="1" t="str">
        <f>VLOOKUP(C:C,[1]基础信息!B$1:D$65536,3,0)</f>
        <v>Jug</v>
      </c>
      <c r="AM1647" s="1" t="str">
        <f>VLOOKUP(C:C,[1]基础信息!B$1:E$65536,4,0)</f>
        <v>Marella XL</v>
      </c>
      <c r="AN1647" s="1" t="str">
        <f>VLOOKUP(C:C,[1]基础信息!B$1:F$65536,5,0)</f>
        <v>Blue</v>
      </c>
    </row>
    <row r="1648" spans="1:40">
      <c r="A1648" s="1" t="s">
        <v>41</v>
      </c>
      <c r="B1648" s="1" t="s">
        <v>42</v>
      </c>
      <c r="C1648" s="1" t="s">
        <v>1437</v>
      </c>
      <c r="D1648" s="1" t="s">
        <v>1438</v>
      </c>
      <c r="E1648" s="1" t="s">
        <v>45</v>
      </c>
      <c r="F1648" s="1" t="s">
        <v>3834</v>
      </c>
      <c r="G1648" s="1" t="s">
        <v>3835</v>
      </c>
      <c r="H1648" s="1" t="s">
        <v>45</v>
      </c>
      <c r="I1648" s="1" t="s">
        <v>45</v>
      </c>
      <c r="J1648" s="1" t="s">
        <v>48</v>
      </c>
      <c r="K1648" s="1">
        <v>2</v>
      </c>
      <c r="L1648" s="1">
        <v>0</v>
      </c>
      <c r="M1648" s="1">
        <v>0</v>
      </c>
      <c r="N1648" s="1">
        <v>2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 t="s">
        <v>49</v>
      </c>
      <c r="AA1648" s="1" t="s">
        <v>49</v>
      </c>
      <c r="AB1648" s="1" t="s">
        <v>49</v>
      </c>
      <c r="AC1648" s="1" t="s">
        <v>3836</v>
      </c>
      <c r="AD1648" s="1" t="s">
        <v>3837</v>
      </c>
      <c r="AE1648" s="1" t="s">
        <v>3836</v>
      </c>
      <c r="AF1648" s="1" t="s">
        <v>3838</v>
      </c>
      <c r="AG1648" s="1" t="s">
        <v>53</v>
      </c>
      <c r="AH1648" s="1" t="s">
        <v>49</v>
      </c>
      <c r="AI1648" s="1" t="s">
        <v>54</v>
      </c>
      <c r="AJ1648" s="1">
        <v>1</v>
      </c>
      <c r="AK1648" s="1" t="str">
        <f t="shared" si="25"/>
        <v xml:space="preserve"> =&lt;90</v>
      </c>
      <c r="AL1648" s="1" t="str">
        <f>VLOOKUP(C:C,[1]基础信息!B$1:D$65536,3,0)</f>
        <v>On tap</v>
      </c>
      <c r="AM1648" s="1" t="str">
        <f>VLOOKUP(C:C,[1]基础信息!B$1:E$65536,4,0)</f>
        <v>On tap</v>
      </c>
      <c r="AN1648" s="1" t="str">
        <f>VLOOKUP(C:C,[1]基础信息!B$1:F$65536,5,0)</f>
        <v>On tap</v>
      </c>
    </row>
    <row r="1649" spans="1:40">
      <c r="A1649" s="1" t="s">
        <v>41</v>
      </c>
      <c r="B1649" s="1" t="s">
        <v>42</v>
      </c>
      <c r="C1649" s="1" t="s">
        <v>3796</v>
      </c>
      <c r="D1649" s="1" t="s">
        <v>3797</v>
      </c>
      <c r="E1649" s="1" t="s">
        <v>3796</v>
      </c>
      <c r="F1649" s="1" t="s">
        <v>3798</v>
      </c>
      <c r="G1649" s="1" t="s">
        <v>3839</v>
      </c>
      <c r="H1649" s="1" t="s">
        <v>3840</v>
      </c>
      <c r="I1649" s="1" t="s">
        <v>49</v>
      </c>
      <c r="J1649" s="1" t="s">
        <v>48</v>
      </c>
      <c r="K1649" s="1">
        <v>80</v>
      </c>
      <c r="L1649" s="1">
        <v>0</v>
      </c>
      <c r="M1649" s="1">
        <v>0</v>
      </c>
      <c r="N1649" s="1">
        <v>80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 t="s">
        <v>49</v>
      </c>
      <c r="AA1649" s="1" t="s">
        <v>49</v>
      </c>
      <c r="AB1649" s="1" t="s">
        <v>49</v>
      </c>
      <c r="AC1649" s="1" t="s">
        <v>3801</v>
      </c>
      <c r="AD1649" s="1" t="s">
        <v>3802</v>
      </c>
      <c r="AE1649" s="1" t="s">
        <v>3801</v>
      </c>
      <c r="AF1649" s="1" t="s">
        <v>3803</v>
      </c>
      <c r="AG1649" s="1" t="s">
        <v>338</v>
      </c>
      <c r="AH1649" s="1" t="s">
        <v>49</v>
      </c>
      <c r="AI1649" s="1" t="s">
        <v>54</v>
      </c>
      <c r="AJ1649" s="1">
        <v>1</v>
      </c>
      <c r="AK1649" s="1" t="str">
        <f t="shared" si="25"/>
        <v xml:space="preserve"> =&lt;90</v>
      </c>
      <c r="AL1649" s="1" t="str">
        <f>VLOOKUP(C:C,[1]基础信息!B$1:D$65536,3,0)</f>
        <v>Jug</v>
      </c>
      <c r="AM1649" s="1" t="str">
        <f>VLOOKUP(C:C,[1]基础信息!B$1:E$65536,4,0)</f>
        <v>Aluna</v>
      </c>
      <c r="AN1649" s="1" t="str">
        <f>VLOOKUP(C:C,[1]基础信息!B$1:F$65536,5,0)</f>
        <v>Blue</v>
      </c>
    </row>
    <row r="1650" spans="1:40">
      <c r="A1650" s="1" t="s">
        <v>41</v>
      </c>
      <c r="B1650" s="1" t="s">
        <v>42</v>
      </c>
      <c r="C1650" s="1" t="s">
        <v>3796</v>
      </c>
      <c r="D1650" s="1" t="s">
        <v>3797</v>
      </c>
      <c r="E1650" s="1" t="s">
        <v>3796</v>
      </c>
      <c r="F1650" s="1" t="s">
        <v>3798</v>
      </c>
      <c r="G1650" s="1" t="s">
        <v>3841</v>
      </c>
      <c r="H1650" s="1" t="s">
        <v>3842</v>
      </c>
      <c r="I1650" s="1" t="s">
        <v>49</v>
      </c>
      <c r="J1650" s="1" t="s">
        <v>48</v>
      </c>
      <c r="K1650" s="1">
        <v>80</v>
      </c>
      <c r="L1650" s="1">
        <v>0</v>
      </c>
      <c r="M1650" s="1">
        <v>0</v>
      </c>
      <c r="N1650" s="1">
        <v>80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 t="s">
        <v>49</v>
      </c>
      <c r="AA1650" s="1" t="s">
        <v>49</v>
      </c>
      <c r="AB1650" s="1" t="s">
        <v>49</v>
      </c>
      <c r="AC1650" s="1" t="s">
        <v>3801</v>
      </c>
      <c r="AD1650" s="1" t="s">
        <v>3802</v>
      </c>
      <c r="AE1650" s="1" t="s">
        <v>3801</v>
      </c>
      <c r="AF1650" s="1" t="s">
        <v>3803</v>
      </c>
      <c r="AG1650" s="1" t="s">
        <v>338</v>
      </c>
      <c r="AH1650" s="1" t="s">
        <v>49</v>
      </c>
      <c r="AI1650" s="1" t="s">
        <v>54</v>
      </c>
      <c r="AJ1650" s="1">
        <v>1</v>
      </c>
      <c r="AK1650" s="1" t="str">
        <f t="shared" si="25"/>
        <v xml:space="preserve"> =&lt;90</v>
      </c>
      <c r="AL1650" s="1" t="str">
        <f>VLOOKUP(C:C,[1]基础信息!B$1:D$65536,3,0)</f>
        <v>Jug</v>
      </c>
      <c r="AM1650" s="1" t="str">
        <f>VLOOKUP(C:C,[1]基础信息!B$1:E$65536,4,0)</f>
        <v>Aluna</v>
      </c>
      <c r="AN1650" s="1" t="str">
        <f>VLOOKUP(C:C,[1]基础信息!B$1:F$65536,5,0)</f>
        <v>Blue</v>
      </c>
    </row>
    <row r="1651" spans="1:40">
      <c r="A1651" s="1" t="s">
        <v>41</v>
      </c>
      <c r="B1651" s="1" t="s">
        <v>42</v>
      </c>
      <c r="C1651" s="1" t="s">
        <v>3796</v>
      </c>
      <c r="D1651" s="1" t="s">
        <v>3797</v>
      </c>
      <c r="E1651" s="1" t="s">
        <v>3796</v>
      </c>
      <c r="F1651" s="1" t="s">
        <v>3798</v>
      </c>
      <c r="G1651" s="1" t="s">
        <v>3843</v>
      </c>
      <c r="H1651" s="1" t="s">
        <v>3844</v>
      </c>
      <c r="I1651" s="1" t="s">
        <v>49</v>
      </c>
      <c r="J1651" s="1" t="s">
        <v>48</v>
      </c>
      <c r="K1651" s="1">
        <v>80</v>
      </c>
      <c r="L1651" s="1">
        <v>0</v>
      </c>
      <c r="M1651" s="1">
        <v>0</v>
      </c>
      <c r="N1651" s="1">
        <v>80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 t="s">
        <v>49</v>
      </c>
      <c r="AA1651" s="1" t="s">
        <v>49</v>
      </c>
      <c r="AB1651" s="1" t="s">
        <v>49</v>
      </c>
      <c r="AC1651" s="1" t="s">
        <v>3801</v>
      </c>
      <c r="AD1651" s="1" t="s">
        <v>3802</v>
      </c>
      <c r="AE1651" s="1" t="s">
        <v>3801</v>
      </c>
      <c r="AF1651" s="1" t="s">
        <v>3803</v>
      </c>
      <c r="AG1651" s="1" t="s">
        <v>338</v>
      </c>
      <c r="AH1651" s="1" t="s">
        <v>49</v>
      </c>
      <c r="AI1651" s="1" t="s">
        <v>54</v>
      </c>
      <c r="AJ1651" s="1">
        <v>1</v>
      </c>
      <c r="AK1651" s="1" t="str">
        <f t="shared" si="25"/>
        <v xml:space="preserve"> =&lt;90</v>
      </c>
      <c r="AL1651" s="1" t="str">
        <f>VLOOKUP(C:C,[1]基础信息!B$1:D$65536,3,0)</f>
        <v>Jug</v>
      </c>
      <c r="AM1651" s="1" t="str">
        <f>VLOOKUP(C:C,[1]基础信息!B$1:E$65536,4,0)</f>
        <v>Aluna</v>
      </c>
      <c r="AN1651" s="1" t="str">
        <f>VLOOKUP(C:C,[1]基础信息!B$1:F$65536,5,0)</f>
        <v>Blue</v>
      </c>
    </row>
    <row r="1652" spans="1:40">
      <c r="A1652" s="1" t="s">
        <v>41</v>
      </c>
      <c r="B1652" s="1" t="s">
        <v>42</v>
      </c>
      <c r="C1652" s="1" t="s">
        <v>3796</v>
      </c>
      <c r="D1652" s="1" t="s">
        <v>3797</v>
      </c>
      <c r="E1652" s="1" t="s">
        <v>3796</v>
      </c>
      <c r="F1652" s="1" t="s">
        <v>3798</v>
      </c>
      <c r="G1652" s="1" t="s">
        <v>3845</v>
      </c>
      <c r="H1652" s="1" t="s">
        <v>3846</v>
      </c>
      <c r="I1652" s="1" t="s">
        <v>49</v>
      </c>
      <c r="J1652" s="1" t="s">
        <v>48</v>
      </c>
      <c r="K1652" s="1">
        <v>80</v>
      </c>
      <c r="L1652" s="1">
        <v>0</v>
      </c>
      <c r="M1652" s="1">
        <v>0</v>
      </c>
      <c r="N1652" s="1">
        <v>80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 t="s">
        <v>49</v>
      </c>
      <c r="AA1652" s="1" t="s">
        <v>49</v>
      </c>
      <c r="AB1652" s="1" t="s">
        <v>49</v>
      </c>
      <c r="AC1652" s="1" t="s">
        <v>3801</v>
      </c>
      <c r="AD1652" s="1" t="s">
        <v>3802</v>
      </c>
      <c r="AE1652" s="1" t="s">
        <v>3801</v>
      </c>
      <c r="AF1652" s="1" t="s">
        <v>3803</v>
      </c>
      <c r="AG1652" s="1" t="s">
        <v>338</v>
      </c>
      <c r="AH1652" s="1" t="s">
        <v>49</v>
      </c>
      <c r="AI1652" s="1" t="s">
        <v>54</v>
      </c>
      <c r="AJ1652" s="1">
        <v>1</v>
      </c>
      <c r="AK1652" s="1" t="str">
        <f t="shared" si="25"/>
        <v xml:space="preserve"> =&lt;90</v>
      </c>
      <c r="AL1652" s="1" t="str">
        <f>VLOOKUP(C:C,[1]基础信息!B$1:D$65536,3,0)</f>
        <v>Jug</v>
      </c>
      <c r="AM1652" s="1" t="str">
        <f>VLOOKUP(C:C,[1]基础信息!B$1:E$65536,4,0)</f>
        <v>Aluna</v>
      </c>
      <c r="AN1652" s="1" t="str">
        <f>VLOOKUP(C:C,[1]基础信息!B$1:F$65536,5,0)</f>
        <v>Blue</v>
      </c>
    </row>
    <row r="1653" spans="1:40">
      <c r="A1653" s="1" t="s">
        <v>41</v>
      </c>
      <c r="B1653" s="1" t="s">
        <v>42</v>
      </c>
      <c r="C1653" s="1" t="s">
        <v>3796</v>
      </c>
      <c r="D1653" s="1" t="s">
        <v>3797</v>
      </c>
      <c r="E1653" s="1" t="s">
        <v>3796</v>
      </c>
      <c r="F1653" s="1" t="s">
        <v>3798</v>
      </c>
      <c r="G1653" s="1" t="s">
        <v>3847</v>
      </c>
      <c r="H1653" s="1" t="s">
        <v>3848</v>
      </c>
      <c r="I1653" s="1" t="s">
        <v>49</v>
      </c>
      <c r="J1653" s="1" t="s">
        <v>48</v>
      </c>
      <c r="K1653" s="1">
        <v>80</v>
      </c>
      <c r="L1653" s="1">
        <v>0</v>
      </c>
      <c r="M1653" s="1">
        <v>0</v>
      </c>
      <c r="N1653" s="1">
        <v>80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 t="s">
        <v>49</v>
      </c>
      <c r="AA1653" s="1" t="s">
        <v>49</v>
      </c>
      <c r="AB1653" s="1" t="s">
        <v>49</v>
      </c>
      <c r="AC1653" s="1" t="s">
        <v>3801</v>
      </c>
      <c r="AD1653" s="1" t="s">
        <v>3802</v>
      </c>
      <c r="AE1653" s="1" t="s">
        <v>3801</v>
      </c>
      <c r="AF1653" s="1" t="s">
        <v>3803</v>
      </c>
      <c r="AG1653" s="1" t="s">
        <v>338</v>
      </c>
      <c r="AH1653" s="1" t="s">
        <v>49</v>
      </c>
      <c r="AI1653" s="1" t="s">
        <v>54</v>
      </c>
      <c r="AJ1653" s="1">
        <v>1</v>
      </c>
      <c r="AK1653" s="1" t="str">
        <f t="shared" si="25"/>
        <v xml:space="preserve"> =&lt;90</v>
      </c>
      <c r="AL1653" s="1" t="str">
        <f>VLOOKUP(C:C,[1]基础信息!B$1:D$65536,3,0)</f>
        <v>Jug</v>
      </c>
      <c r="AM1653" s="1" t="str">
        <f>VLOOKUP(C:C,[1]基础信息!B$1:E$65536,4,0)</f>
        <v>Aluna</v>
      </c>
      <c r="AN1653" s="1" t="str">
        <f>VLOOKUP(C:C,[1]基础信息!B$1:F$65536,5,0)</f>
        <v>Blue</v>
      </c>
    </row>
    <row r="1654" spans="1:40">
      <c r="A1654" s="1" t="s">
        <v>41</v>
      </c>
      <c r="B1654" s="1" t="s">
        <v>42</v>
      </c>
      <c r="C1654" s="1" t="s">
        <v>3796</v>
      </c>
      <c r="D1654" s="1" t="s">
        <v>3797</v>
      </c>
      <c r="E1654" s="1" t="s">
        <v>3796</v>
      </c>
      <c r="F1654" s="1" t="s">
        <v>3798</v>
      </c>
      <c r="G1654" s="1" t="s">
        <v>3849</v>
      </c>
      <c r="H1654" s="1" t="s">
        <v>3850</v>
      </c>
      <c r="I1654" s="1" t="s">
        <v>49</v>
      </c>
      <c r="J1654" s="1" t="s">
        <v>48</v>
      </c>
      <c r="K1654" s="1">
        <v>80</v>
      </c>
      <c r="L1654" s="1">
        <v>0</v>
      </c>
      <c r="M1654" s="1">
        <v>0</v>
      </c>
      <c r="N1654" s="1">
        <v>80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 t="s">
        <v>49</v>
      </c>
      <c r="AA1654" s="1" t="s">
        <v>49</v>
      </c>
      <c r="AB1654" s="1" t="s">
        <v>49</v>
      </c>
      <c r="AC1654" s="1" t="s">
        <v>3801</v>
      </c>
      <c r="AD1654" s="1" t="s">
        <v>3802</v>
      </c>
      <c r="AE1654" s="1" t="s">
        <v>3801</v>
      </c>
      <c r="AF1654" s="1" t="s">
        <v>3803</v>
      </c>
      <c r="AG1654" s="1" t="s">
        <v>338</v>
      </c>
      <c r="AH1654" s="1" t="s">
        <v>49</v>
      </c>
      <c r="AI1654" s="1" t="s">
        <v>54</v>
      </c>
      <c r="AJ1654" s="1">
        <v>1</v>
      </c>
      <c r="AK1654" s="1" t="str">
        <f t="shared" si="25"/>
        <v xml:space="preserve"> =&lt;90</v>
      </c>
      <c r="AL1654" s="1" t="str">
        <f>VLOOKUP(C:C,[1]基础信息!B$1:D$65536,3,0)</f>
        <v>Jug</v>
      </c>
      <c r="AM1654" s="1" t="str">
        <f>VLOOKUP(C:C,[1]基础信息!B$1:E$65536,4,0)</f>
        <v>Aluna</v>
      </c>
      <c r="AN1654" s="1" t="str">
        <f>VLOOKUP(C:C,[1]基础信息!B$1:F$65536,5,0)</f>
        <v>Blue</v>
      </c>
    </row>
    <row r="1655" spans="1:40">
      <c r="A1655" s="1" t="s">
        <v>41</v>
      </c>
      <c r="B1655" s="1" t="s">
        <v>42</v>
      </c>
      <c r="C1655" s="1" t="s">
        <v>3796</v>
      </c>
      <c r="D1655" s="1" t="s">
        <v>3797</v>
      </c>
      <c r="E1655" s="1" t="s">
        <v>3796</v>
      </c>
      <c r="F1655" s="1" t="s">
        <v>3798</v>
      </c>
      <c r="G1655" s="1" t="s">
        <v>3851</v>
      </c>
      <c r="H1655" s="1" t="s">
        <v>3852</v>
      </c>
      <c r="I1655" s="1" t="s">
        <v>49</v>
      </c>
      <c r="J1655" s="1" t="s">
        <v>48</v>
      </c>
      <c r="K1655" s="1">
        <v>80</v>
      </c>
      <c r="L1655" s="1">
        <v>0</v>
      </c>
      <c r="M1655" s="1">
        <v>0</v>
      </c>
      <c r="N1655" s="1">
        <v>80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 t="s">
        <v>49</v>
      </c>
      <c r="AA1655" s="1" t="s">
        <v>49</v>
      </c>
      <c r="AB1655" s="1" t="s">
        <v>49</v>
      </c>
      <c r="AC1655" s="1" t="s">
        <v>3801</v>
      </c>
      <c r="AD1655" s="1" t="s">
        <v>3802</v>
      </c>
      <c r="AE1655" s="1" t="s">
        <v>3801</v>
      </c>
      <c r="AF1655" s="1" t="s">
        <v>3803</v>
      </c>
      <c r="AG1655" s="1" t="s">
        <v>338</v>
      </c>
      <c r="AH1655" s="1" t="s">
        <v>49</v>
      </c>
      <c r="AI1655" s="1" t="s">
        <v>54</v>
      </c>
      <c r="AJ1655" s="1">
        <v>1</v>
      </c>
      <c r="AK1655" s="1" t="str">
        <f t="shared" si="25"/>
        <v xml:space="preserve"> =&lt;90</v>
      </c>
      <c r="AL1655" s="1" t="str">
        <f>VLOOKUP(C:C,[1]基础信息!B$1:D$65536,3,0)</f>
        <v>Jug</v>
      </c>
      <c r="AM1655" s="1" t="str">
        <f>VLOOKUP(C:C,[1]基础信息!B$1:E$65536,4,0)</f>
        <v>Aluna</v>
      </c>
      <c r="AN1655" s="1" t="str">
        <f>VLOOKUP(C:C,[1]基础信息!B$1:F$65536,5,0)</f>
        <v>Blue</v>
      </c>
    </row>
    <row r="1656" spans="1:40">
      <c r="A1656" s="1" t="s">
        <v>41</v>
      </c>
      <c r="B1656" s="1" t="s">
        <v>42</v>
      </c>
      <c r="C1656" s="1" t="s">
        <v>3796</v>
      </c>
      <c r="D1656" s="1" t="s">
        <v>3797</v>
      </c>
      <c r="E1656" s="1" t="s">
        <v>3796</v>
      </c>
      <c r="F1656" s="1" t="s">
        <v>3798</v>
      </c>
      <c r="G1656" s="1" t="s">
        <v>3853</v>
      </c>
      <c r="H1656" s="1" t="s">
        <v>3854</v>
      </c>
      <c r="I1656" s="1" t="s">
        <v>49</v>
      </c>
      <c r="J1656" s="1" t="s">
        <v>48</v>
      </c>
      <c r="K1656" s="1">
        <v>80</v>
      </c>
      <c r="L1656" s="1">
        <v>0</v>
      </c>
      <c r="M1656" s="1">
        <v>0</v>
      </c>
      <c r="N1656" s="1">
        <v>80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 t="s">
        <v>49</v>
      </c>
      <c r="AA1656" s="1" t="s">
        <v>49</v>
      </c>
      <c r="AB1656" s="1" t="s">
        <v>49</v>
      </c>
      <c r="AC1656" s="1" t="s">
        <v>3801</v>
      </c>
      <c r="AD1656" s="1" t="s">
        <v>3802</v>
      </c>
      <c r="AE1656" s="1" t="s">
        <v>3801</v>
      </c>
      <c r="AF1656" s="1" t="s">
        <v>3803</v>
      </c>
      <c r="AG1656" s="1" t="s">
        <v>338</v>
      </c>
      <c r="AH1656" s="1" t="s">
        <v>49</v>
      </c>
      <c r="AI1656" s="1" t="s">
        <v>54</v>
      </c>
      <c r="AJ1656" s="1">
        <v>1</v>
      </c>
      <c r="AK1656" s="1" t="str">
        <f t="shared" si="25"/>
        <v xml:space="preserve"> =&lt;90</v>
      </c>
      <c r="AL1656" s="1" t="str">
        <f>VLOOKUP(C:C,[1]基础信息!B$1:D$65536,3,0)</f>
        <v>Jug</v>
      </c>
      <c r="AM1656" s="1" t="str">
        <f>VLOOKUP(C:C,[1]基础信息!B$1:E$65536,4,0)</f>
        <v>Aluna</v>
      </c>
      <c r="AN1656" s="1" t="str">
        <f>VLOOKUP(C:C,[1]基础信息!B$1:F$65536,5,0)</f>
        <v>Blue</v>
      </c>
    </row>
    <row r="1657" spans="1:40">
      <c r="A1657" s="1" t="s">
        <v>41</v>
      </c>
      <c r="B1657" s="1" t="s">
        <v>42</v>
      </c>
      <c r="C1657" s="1" t="s">
        <v>3796</v>
      </c>
      <c r="D1657" s="1" t="s">
        <v>3797</v>
      </c>
      <c r="E1657" s="1" t="s">
        <v>3796</v>
      </c>
      <c r="F1657" s="1" t="s">
        <v>3798</v>
      </c>
      <c r="G1657" s="1" t="s">
        <v>3855</v>
      </c>
      <c r="H1657" s="1" t="s">
        <v>3856</v>
      </c>
      <c r="I1657" s="1" t="s">
        <v>49</v>
      </c>
      <c r="J1657" s="1" t="s">
        <v>48</v>
      </c>
      <c r="K1657" s="1">
        <v>80</v>
      </c>
      <c r="L1657" s="1">
        <v>0</v>
      </c>
      <c r="M1657" s="1">
        <v>0</v>
      </c>
      <c r="N1657" s="1">
        <v>80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 t="s">
        <v>49</v>
      </c>
      <c r="AA1657" s="1" t="s">
        <v>49</v>
      </c>
      <c r="AB1657" s="1" t="s">
        <v>49</v>
      </c>
      <c r="AC1657" s="1" t="s">
        <v>3801</v>
      </c>
      <c r="AD1657" s="1" t="s">
        <v>3802</v>
      </c>
      <c r="AE1657" s="1" t="s">
        <v>3801</v>
      </c>
      <c r="AF1657" s="1" t="s">
        <v>3803</v>
      </c>
      <c r="AG1657" s="1" t="s">
        <v>338</v>
      </c>
      <c r="AH1657" s="1" t="s">
        <v>49</v>
      </c>
      <c r="AI1657" s="1" t="s">
        <v>54</v>
      </c>
      <c r="AJ1657" s="1">
        <v>1</v>
      </c>
      <c r="AK1657" s="1" t="str">
        <f t="shared" si="25"/>
        <v xml:space="preserve"> =&lt;90</v>
      </c>
      <c r="AL1657" s="1" t="str">
        <f>VLOOKUP(C:C,[1]基础信息!B$1:D$65536,3,0)</f>
        <v>Jug</v>
      </c>
      <c r="AM1657" s="1" t="str">
        <f>VLOOKUP(C:C,[1]基础信息!B$1:E$65536,4,0)</f>
        <v>Aluna</v>
      </c>
      <c r="AN1657" s="1" t="str">
        <f>VLOOKUP(C:C,[1]基础信息!B$1:F$65536,5,0)</f>
        <v>Blue</v>
      </c>
    </row>
    <row r="1658" spans="1:40">
      <c r="A1658" s="1" t="s">
        <v>41</v>
      </c>
      <c r="B1658" s="1" t="s">
        <v>42</v>
      </c>
      <c r="C1658" s="1" t="s">
        <v>3796</v>
      </c>
      <c r="D1658" s="1" t="s">
        <v>3797</v>
      </c>
      <c r="E1658" s="1" t="s">
        <v>3796</v>
      </c>
      <c r="F1658" s="1" t="s">
        <v>3798</v>
      </c>
      <c r="G1658" s="1" t="s">
        <v>3857</v>
      </c>
      <c r="H1658" s="1" t="s">
        <v>3858</v>
      </c>
      <c r="I1658" s="1" t="s">
        <v>49</v>
      </c>
      <c r="J1658" s="1" t="s">
        <v>48</v>
      </c>
      <c r="K1658" s="1">
        <v>80</v>
      </c>
      <c r="L1658" s="1">
        <v>0</v>
      </c>
      <c r="M1658" s="1">
        <v>0</v>
      </c>
      <c r="N1658" s="1">
        <v>80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 t="s">
        <v>49</v>
      </c>
      <c r="AA1658" s="1" t="s">
        <v>49</v>
      </c>
      <c r="AB1658" s="1" t="s">
        <v>49</v>
      </c>
      <c r="AC1658" s="1" t="s">
        <v>3801</v>
      </c>
      <c r="AD1658" s="1" t="s">
        <v>3802</v>
      </c>
      <c r="AE1658" s="1" t="s">
        <v>3801</v>
      </c>
      <c r="AF1658" s="1" t="s">
        <v>3803</v>
      </c>
      <c r="AG1658" s="1" t="s">
        <v>338</v>
      </c>
      <c r="AH1658" s="1" t="s">
        <v>49</v>
      </c>
      <c r="AI1658" s="1" t="s">
        <v>54</v>
      </c>
      <c r="AJ1658" s="1">
        <v>1</v>
      </c>
      <c r="AK1658" s="1" t="str">
        <f t="shared" si="25"/>
        <v xml:space="preserve"> =&lt;90</v>
      </c>
      <c r="AL1658" s="1" t="str">
        <f>VLOOKUP(C:C,[1]基础信息!B$1:D$65536,3,0)</f>
        <v>Jug</v>
      </c>
      <c r="AM1658" s="1" t="str">
        <f>VLOOKUP(C:C,[1]基础信息!B$1:E$65536,4,0)</f>
        <v>Aluna</v>
      </c>
      <c r="AN1658" s="1" t="str">
        <f>VLOOKUP(C:C,[1]基础信息!B$1:F$65536,5,0)</f>
        <v>Blue</v>
      </c>
    </row>
    <row r="1659" spans="1:40">
      <c r="A1659" s="1" t="s">
        <v>41</v>
      </c>
      <c r="B1659" s="1" t="s">
        <v>42</v>
      </c>
      <c r="C1659" s="1" t="s">
        <v>3796</v>
      </c>
      <c r="D1659" s="1" t="s">
        <v>3797</v>
      </c>
      <c r="E1659" s="1" t="s">
        <v>3796</v>
      </c>
      <c r="F1659" s="1" t="s">
        <v>3798</v>
      </c>
      <c r="G1659" s="1" t="s">
        <v>3859</v>
      </c>
      <c r="H1659" s="1" t="s">
        <v>3860</v>
      </c>
      <c r="I1659" s="1" t="s">
        <v>49</v>
      </c>
      <c r="J1659" s="1" t="s">
        <v>48</v>
      </c>
      <c r="K1659" s="1">
        <v>80</v>
      </c>
      <c r="L1659" s="1">
        <v>0</v>
      </c>
      <c r="M1659" s="1">
        <v>0</v>
      </c>
      <c r="N1659" s="1">
        <v>80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 t="s">
        <v>49</v>
      </c>
      <c r="AA1659" s="1" t="s">
        <v>49</v>
      </c>
      <c r="AB1659" s="1" t="s">
        <v>49</v>
      </c>
      <c r="AC1659" s="1" t="s">
        <v>3801</v>
      </c>
      <c r="AD1659" s="1" t="s">
        <v>3802</v>
      </c>
      <c r="AE1659" s="1" t="s">
        <v>3801</v>
      </c>
      <c r="AF1659" s="1" t="s">
        <v>3803</v>
      </c>
      <c r="AG1659" s="1" t="s">
        <v>338</v>
      </c>
      <c r="AH1659" s="1" t="s">
        <v>49</v>
      </c>
      <c r="AI1659" s="1" t="s">
        <v>54</v>
      </c>
      <c r="AJ1659" s="1">
        <v>1</v>
      </c>
      <c r="AK1659" s="1" t="str">
        <f t="shared" si="25"/>
        <v xml:space="preserve"> =&lt;90</v>
      </c>
      <c r="AL1659" s="1" t="str">
        <f>VLOOKUP(C:C,[1]基础信息!B$1:D$65536,3,0)</f>
        <v>Jug</v>
      </c>
      <c r="AM1659" s="1" t="str">
        <f>VLOOKUP(C:C,[1]基础信息!B$1:E$65536,4,0)</f>
        <v>Aluna</v>
      </c>
      <c r="AN1659" s="1" t="str">
        <f>VLOOKUP(C:C,[1]基础信息!B$1:F$65536,5,0)</f>
        <v>Blue</v>
      </c>
    </row>
    <row r="1660" spans="1:40">
      <c r="A1660" s="1" t="s">
        <v>41</v>
      </c>
      <c r="B1660" s="1" t="s">
        <v>42</v>
      </c>
      <c r="C1660" s="1" t="s">
        <v>3796</v>
      </c>
      <c r="D1660" s="1" t="s">
        <v>3797</v>
      </c>
      <c r="E1660" s="1" t="s">
        <v>3796</v>
      </c>
      <c r="F1660" s="1" t="s">
        <v>3798</v>
      </c>
      <c r="G1660" s="1" t="s">
        <v>3861</v>
      </c>
      <c r="H1660" s="1" t="s">
        <v>3862</v>
      </c>
      <c r="I1660" s="1" t="s">
        <v>49</v>
      </c>
      <c r="J1660" s="1" t="s">
        <v>48</v>
      </c>
      <c r="K1660" s="1">
        <v>80</v>
      </c>
      <c r="L1660" s="1">
        <v>0</v>
      </c>
      <c r="M1660" s="1">
        <v>0</v>
      </c>
      <c r="N1660" s="1">
        <v>80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 t="s">
        <v>49</v>
      </c>
      <c r="AA1660" s="1" t="s">
        <v>49</v>
      </c>
      <c r="AB1660" s="1" t="s">
        <v>49</v>
      </c>
      <c r="AC1660" s="1" t="s">
        <v>3801</v>
      </c>
      <c r="AD1660" s="1" t="s">
        <v>3802</v>
      </c>
      <c r="AE1660" s="1" t="s">
        <v>3801</v>
      </c>
      <c r="AF1660" s="1" t="s">
        <v>3803</v>
      </c>
      <c r="AG1660" s="1" t="s">
        <v>338</v>
      </c>
      <c r="AH1660" s="1" t="s">
        <v>49</v>
      </c>
      <c r="AI1660" s="1" t="s">
        <v>54</v>
      </c>
      <c r="AJ1660" s="1">
        <v>1</v>
      </c>
      <c r="AK1660" s="1" t="str">
        <f t="shared" si="25"/>
        <v xml:space="preserve"> =&lt;90</v>
      </c>
      <c r="AL1660" s="1" t="str">
        <f>VLOOKUP(C:C,[1]基础信息!B$1:D$65536,3,0)</f>
        <v>Jug</v>
      </c>
      <c r="AM1660" s="1" t="str">
        <f>VLOOKUP(C:C,[1]基础信息!B$1:E$65536,4,0)</f>
        <v>Aluna</v>
      </c>
      <c r="AN1660" s="1" t="str">
        <f>VLOOKUP(C:C,[1]基础信息!B$1:F$65536,5,0)</f>
        <v>Blue</v>
      </c>
    </row>
    <row r="1661" spans="1:40">
      <c r="A1661" s="1" t="s">
        <v>41</v>
      </c>
      <c r="B1661" s="1" t="s">
        <v>42</v>
      </c>
      <c r="C1661" s="1" t="s">
        <v>3796</v>
      </c>
      <c r="D1661" s="1" t="s">
        <v>3797</v>
      </c>
      <c r="E1661" s="1" t="s">
        <v>3796</v>
      </c>
      <c r="F1661" s="1" t="s">
        <v>3798</v>
      </c>
      <c r="G1661" s="1" t="s">
        <v>3863</v>
      </c>
      <c r="H1661" s="1" t="s">
        <v>3864</v>
      </c>
      <c r="I1661" s="1" t="s">
        <v>49</v>
      </c>
      <c r="J1661" s="1" t="s">
        <v>48</v>
      </c>
      <c r="K1661" s="1">
        <v>80</v>
      </c>
      <c r="L1661" s="1">
        <v>0</v>
      </c>
      <c r="M1661" s="1">
        <v>0</v>
      </c>
      <c r="N1661" s="1">
        <v>80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 t="s">
        <v>49</v>
      </c>
      <c r="AA1661" s="1" t="s">
        <v>49</v>
      </c>
      <c r="AB1661" s="1" t="s">
        <v>49</v>
      </c>
      <c r="AC1661" s="1" t="s">
        <v>3801</v>
      </c>
      <c r="AD1661" s="1" t="s">
        <v>3802</v>
      </c>
      <c r="AE1661" s="1" t="s">
        <v>3801</v>
      </c>
      <c r="AF1661" s="1" t="s">
        <v>3803</v>
      </c>
      <c r="AG1661" s="1" t="s">
        <v>338</v>
      </c>
      <c r="AH1661" s="1" t="s">
        <v>49</v>
      </c>
      <c r="AI1661" s="1" t="s">
        <v>54</v>
      </c>
      <c r="AJ1661" s="1">
        <v>1</v>
      </c>
      <c r="AK1661" s="1" t="str">
        <f t="shared" si="25"/>
        <v xml:space="preserve"> =&lt;90</v>
      </c>
      <c r="AL1661" s="1" t="str">
        <f>VLOOKUP(C:C,[1]基础信息!B$1:D$65536,3,0)</f>
        <v>Jug</v>
      </c>
      <c r="AM1661" s="1" t="str">
        <f>VLOOKUP(C:C,[1]基础信息!B$1:E$65536,4,0)</f>
        <v>Aluna</v>
      </c>
      <c r="AN1661" s="1" t="str">
        <f>VLOOKUP(C:C,[1]基础信息!B$1:F$65536,5,0)</f>
        <v>Blue</v>
      </c>
    </row>
    <row r="1662" spans="1:40">
      <c r="A1662" s="1" t="s">
        <v>41</v>
      </c>
      <c r="B1662" s="1" t="s">
        <v>42</v>
      </c>
      <c r="C1662" s="1" t="s">
        <v>3796</v>
      </c>
      <c r="D1662" s="1" t="s">
        <v>3797</v>
      </c>
      <c r="E1662" s="1" t="s">
        <v>3796</v>
      </c>
      <c r="F1662" s="1" t="s">
        <v>3798</v>
      </c>
      <c r="G1662" s="1" t="s">
        <v>3865</v>
      </c>
      <c r="H1662" s="1" t="s">
        <v>3866</v>
      </c>
      <c r="I1662" s="1" t="s">
        <v>49</v>
      </c>
      <c r="J1662" s="1" t="s">
        <v>48</v>
      </c>
      <c r="K1662" s="1">
        <v>80</v>
      </c>
      <c r="L1662" s="1">
        <v>0</v>
      </c>
      <c r="M1662" s="1">
        <v>0</v>
      </c>
      <c r="N1662" s="1">
        <v>80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 t="s">
        <v>49</v>
      </c>
      <c r="AA1662" s="1" t="s">
        <v>49</v>
      </c>
      <c r="AB1662" s="1" t="s">
        <v>49</v>
      </c>
      <c r="AC1662" s="1" t="s">
        <v>3801</v>
      </c>
      <c r="AD1662" s="1" t="s">
        <v>3802</v>
      </c>
      <c r="AE1662" s="1" t="s">
        <v>3801</v>
      </c>
      <c r="AF1662" s="1" t="s">
        <v>3803</v>
      </c>
      <c r="AG1662" s="1" t="s">
        <v>338</v>
      </c>
      <c r="AH1662" s="1" t="s">
        <v>49</v>
      </c>
      <c r="AI1662" s="1" t="s">
        <v>54</v>
      </c>
      <c r="AJ1662" s="1">
        <v>1</v>
      </c>
      <c r="AK1662" s="1" t="str">
        <f t="shared" si="25"/>
        <v xml:space="preserve"> =&lt;90</v>
      </c>
      <c r="AL1662" s="1" t="str">
        <f>VLOOKUP(C:C,[1]基础信息!B$1:D$65536,3,0)</f>
        <v>Jug</v>
      </c>
      <c r="AM1662" s="1" t="str">
        <f>VLOOKUP(C:C,[1]基础信息!B$1:E$65536,4,0)</f>
        <v>Aluna</v>
      </c>
      <c r="AN1662" s="1" t="str">
        <f>VLOOKUP(C:C,[1]基础信息!B$1:F$65536,5,0)</f>
        <v>Blue</v>
      </c>
    </row>
    <row r="1663" spans="1:40">
      <c r="A1663" s="1" t="s">
        <v>41</v>
      </c>
      <c r="B1663" s="1" t="s">
        <v>42</v>
      </c>
      <c r="C1663" s="1" t="s">
        <v>3796</v>
      </c>
      <c r="D1663" s="1" t="s">
        <v>3797</v>
      </c>
      <c r="E1663" s="1" t="s">
        <v>3796</v>
      </c>
      <c r="F1663" s="1" t="s">
        <v>3798</v>
      </c>
      <c r="G1663" s="1" t="s">
        <v>3867</v>
      </c>
      <c r="H1663" s="1" t="s">
        <v>3868</v>
      </c>
      <c r="I1663" s="1" t="s">
        <v>49</v>
      </c>
      <c r="J1663" s="1" t="s">
        <v>48</v>
      </c>
      <c r="K1663" s="1">
        <v>80</v>
      </c>
      <c r="L1663" s="1">
        <v>0</v>
      </c>
      <c r="M1663" s="1">
        <v>0</v>
      </c>
      <c r="N1663" s="1">
        <v>80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 t="s">
        <v>49</v>
      </c>
      <c r="AA1663" s="1" t="s">
        <v>49</v>
      </c>
      <c r="AB1663" s="1" t="s">
        <v>49</v>
      </c>
      <c r="AC1663" s="1" t="s">
        <v>3801</v>
      </c>
      <c r="AD1663" s="1" t="s">
        <v>3802</v>
      </c>
      <c r="AE1663" s="1" t="s">
        <v>3801</v>
      </c>
      <c r="AF1663" s="1" t="s">
        <v>3803</v>
      </c>
      <c r="AG1663" s="1" t="s">
        <v>338</v>
      </c>
      <c r="AH1663" s="1" t="s">
        <v>49</v>
      </c>
      <c r="AI1663" s="1" t="s">
        <v>54</v>
      </c>
      <c r="AJ1663" s="1">
        <v>1</v>
      </c>
      <c r="AK1663" s="1" t="str">
        <f t="shared" si="25"/>
        <v xml:space="preserve"> =&lt;90</v>
      </c>
      <c r="AL1663" s="1" t="str">
        <f>VLOOKUP(C:C,[1]基础信息!B$1:D$65536,3,0)</f>
        <v>Jug</v>
      </c>
      <c r="AM1663" s="1" t="str">
        <f>VLOOKUP(C:C,[1]基础信息!B$1:E$65536,4,0)</f>
        <v>Aluna</v>
      </c>
      <c r="AN1663" s="1" t="str">
        <f>VLOOKUP(C:C,[1]基础信息!B$1:F$65536,5,0)</f>
        <v>Blue</v>
      </c>
    </row>
    <row r="1664" spans="1:40">
      <c r="A1664" s="1" t="s">
        <v>41</v>
      </c>
      <c r="B1664" s="1" t="s">
        <v>42</v>
      </c>
      <c r="C1664" s="1" t="s">
        <v>3796</v>
      </c>
      <c r="D1664" s="1" t="s">
        <v>3797</v>
      </c>
      <c r="E1664" s="1" t="s">
        <v>3796</v>
      </c>
      <c r="F1664" s="1" t="s">
        <v>3798</v>
      </c>
      <c r="G1664" s="1" t="s">
        <v>3869</v>
      </c>
      <c r="H1664" s="1" t="s">
        <v>3870</v>
      </c>
      <c r="I1664" s="1" t="s">
        <v>49</v>
      </c>
      <c r="J1664" s="1" t="s">
        <v>48</v>
      </c>
      <c r="K1664" s="1">
        <v>80</v>
      </c>
      <c r="L1664" s="1">
        <v>0</v>
      </c>
      <c r="M1664" s="1">
        <v>0</v>
      </c>
      <c r="N1664" s="1">
        <v>80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 t="s">
        <v>49</v>
      </c>
      <c r="AA1664" s="1" t="s">
        <v>49</v>
      </c>
      <c r="AB1664" s="1" t="s">
        <v>49</v>
      </c>
      <c r="AC1664" s="1" t="s">
        <v>3801</v>
      </c>
      <c r="AD1664" s="1" t="s">
        <v>3802</v>
      </c>
      <c r="AE1664" s="1" t="s">
        <v>3801</v>
      </c>
      <c r="AF1664" s="1" t="s">
        <v>3803</v>
      </c>
      <c r="AG1664" s="1" t="s">
        <v>338</v>
      </c>
      <c r="AH1664" s="1" t="s">
        <v>49</v>
      </c>
      <c r="AI1664" s="1" t="s">
        <v>54</v>
      </c>
      <c r="AJ1664" s="1">
        <v>1</v>
      </c>
      <c r="AK1664" s="1" t="str">
        <f t="shared" si="25"/>
        <v xml:space="preserve"> =&lt;90</v>
      </c>
      <c r="AL1664" s="1" t="str">
        <f>VLOOKUP(C:C,[1]基础信息!B$1:D$65536,3,0)</f>
        <v>Jug</v>
      </c>
      <c r="AM1664" s="1" t="str">
        <f>VLOOKUP(C:C,[1]基础信息!B$1:E$65536,4,0)</f>
        <v>Aluna</v>
      </c>
      <c r="AN1664" s="1" t="str">
        <f>VLOOKUP(C:C,[1]基础信息!B$1:F$65536,5,0)</f>
        <v>Blue</v>
      </c>
    </row>
    <row r="1665" spans="1:40">
      <c r="A1665" s="1" t="s">
        <v>41</v>
      </c>
      <c r="B1665" s="1" t="s">
        <v>42</v>
      </c>
      <c r="C1665" s="1" t="s">
        <v>3796</v>
      </c>
      <c r="D1665" s="1" t="s">
        <v>3797</v>
      </c>
      <c r="E1665" s="1" t="s">
        <v>3796</v>
      </c>
      <c r="F1665" s="1" t="s">
        <v>3798</v>
      </c>
      <c r="G1665" s="1" t="s">
        <v>3871</v>
      </c>
      <c r="H1665" s="1" t="s">
        <v>3872</v>
      </c>
      <c r="I1665" s="1" t="s">
        <v>49</v>
      </c>
      <c r="J1665" s="1" t="s">
        <v>48</v>
      </c>
      <c r="K1665" s="1">
        <v>80</v>
      </c>
      <c r="L1665" s="1">
        <v>0</v>
      </c>
      <c r="M1665" s="1">
        <v>0</v>
      </c>
      <c r="N1665" s="1">
        <v>80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 t="s">
        <v>49</v>
      </c>
      <c r="AA1665" s="1" t="s">
        <v>49</v>
      </c>
      <c r="AB1665" s="1" t="s">
        <v>49</v>
      </c>
      <c r="AC1665" s="1" t="s">
        <v>3801</v>
      </c>
      <c r="AD1665" s="1" t="s">
        <v>3802</v>
      </c>
      <c r="AE1665" s="1" t="s">
        <v>3801</v>
      </c>
      <c r="AF1665" s="1" t="s">
        <v>3803</v>
      </c>
      <c r="AG1665" s="1" t="s">
        <v>338</v>
      </c>
      <c r="AH1665" s="1" t="s">
        <v>49</v>
      </c>
      <c r="AI1665" s="1" t="s">
        <v>54</v>
      </c>
      <c r="AJ1665" s="1">
        <v>1</v>
      </c>
      <c r="AK1665" s="1" t="str">
        <f t="shared" si="25"/>
        <v xml:space="preserve"> =&lt;90</v>
      </c>
      <c r="AL1665" s="1" t="str">
        <f>VLOOKUP(C:C,[1]基础信息!B$1:D$65536,3,0)</f>
        <v>Jug</v>
      </c>
      <c r="AM1665" s="1" t="str">
        <f>VLOOKUP(C:C,[1]基础信息!B$1:E$65536,4,0)</f>
        <v>Aluna</v>
      </c>
      <c r="AN1665" s="1" t="str">
        <f>VLOOKUP(C:C,[1]基础信息!B$1:F$65536,5,0)</f>
        <v>Blue</v>
      </c>
    </row>
    <row r="1666" spans="1:40">
      <c r="A1666" s="1" t="s">
        <v>41</v>
      </c>
      <c r="B1666" s="1" t="s">
        <v>42</v>
      </c>
      <c r="C1666" s="1" t="s">
        <v>3796</v>
      </c>
      <c r="D1666" s="1" t="s">
        <v>3797</v>
      </c>
      <c r="E1666" s="1" t="s">
        <v>3796</v>
      </c>
      <c r="F1666" s="1" t="s">
        <v>3798</v>
      </c>
      <c r="G1666" s="1" t="s">
        <v>3873</v>
      </c>
      <c r="H1666" s="1" t="s">
        <v>3874</v>
      </c>
      <c r="I1666" s="1" t="s">
        <v>49</v>
      </c>
      <c r="J1666" s="1" t="s">
        <v>48</v>
      </c>
      <c r="K1666" s="1">
        <v>80</v>
      </c>
      <c r="L1666" s="1">
        <v>0</v>
      </c>
      <c r="M1666" s="1">
        <v>0</v>
      </c>
      <c r="N1666" s="1">
        <v>80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 t="s">
        <v>49</v>
      </c>
      <c r="AA1666" s="1" t="s">
        <v>49</v>
      </c>
      <c r="AB1666" s="1" t="s">
        <v>49</v>
      </c>
      <c r="AC1666" s="1" t="s">
        <v>3801</v>
      </c>
      <c r="AD1666" s="1" t="s">
        <v>3802</v>
      </c>
      <c r="AE1666" s="1" t="s">
        <v>3801</v>
      </c>
      <c r="AF1666" s="1" t="s">
        <v>3803</v>
      </c>
      <c r="AG1666" s="1" t="s">
        <v>338</v>
      </c>
      <c r="AH1666" s="1" t="s">
        <v>49</v>
      </c>
      <c r="AI1666" s="1" t="s">
        <v>54</v>
      </c>
      <c r="AJ1666" s="1">
        <v>1</v>
      </c>
      <c r="AK1666" s="1" t="str">
        <f t="shared" ref="AK1666:AK1729" si="26">IF(AJ1666&gt;$AP$2,$AQ$2,IF(AJ1666&gt;$AP$3,$AQ$3,IF(AJ1666&gt;$AP$4,$AQ$4,$AQ$5)))</f>
        <v xml:space="preserve"> =&lt;90</v>
      </c>
      <c r="AL1666" s="1" t="str">
        <f>VLOOKUP(C:C,[1]基础信息!B$1:D$65536,3,0)</f>
        <v>Jug</v>
      </c>
      <c r="AM1666" s="1" t="str">
        <f>VLOOKUP(C:C,[1]基础信息!B$1:E$65536,4,0)</f>
        <v>Aluna</v>
      </c>
      <c r="AN1666" s="1" t="str">
        <f>VLOOKUP(C:C,[1]基础信息!B$1:F$65536,5,0)</f>
        <v>Blue</v>
      </c>
    </row>
    <row r="1667" spans="1:40">
      <c r="A1667" s="1" t="s">
        <v>41</v>
      </c>
      <c r="B1667" s="1" t="s">
        <v>42</v>
      </c>
      <c r="C1667" s="1" t="s">
        <v>3796</v>
      </c>
      <c r="D1667" s="1" t="s">
        <v>3797</v>
      </c>
      <c r="E1667" s="1" t="s">
        <v>3796</v>
      </c>
      <c r="F1667" s="1" t="s">
        <v>3798</v>
      </c>
      <c r="G1667" s="1" t="s">
        <v>3875</v>
      </c>
      <c r="H1667" s="1" t="s">
        <v>3876</v>
      </c>
      <c r="I1667" s="1" t="s">
        <v>49</v>
      </c>
      <c r="J1667" s="1" t="s">
        <v>48</v>
      </c>
      <c r="K1667" s="1">
        <v>80</v>
      </c>
      <c r="L1667" s="1">
        <v>0</v>
      </c>
      <c r="M1667" s="1">
        <v>0</v>
      </c>
      <c r="N1667" s="1">
        <v>80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 t="s">
        <v>49</v>
      </c>
      <c r="AA1667" s="1" t="s">
        <v>49</v>
      </c>
      <c r="AB1667" s="1" t="s">
        <v>49</v>
      </c>
      <c r="AC1667" s="1" t="s">
        <v>3801</v>
      </c>
      <c r="AD1667" s="1" t="s">
        <v>3802</v>
      </c>
      <c r="AE1667" s="1" t="s">
        <v>3801</v>
      </c>
      <c r="AF1667" s="1" t="s">
        <v>3803</v>
      </c>
      <c r="AG1667" s="1" t="s">
        <v>338</v>
      </c>
      <c r="AH1667" s="1" t="s">
        <v>49</v>
      </c>
      <c r="AI1667" s="1" t="s">
        <v>54</v>
      </c>
      <c r="AJ1667" s="1">
        <v>1</v>
      </c>
      <c r="AK1667" s="1" t="str">
        <f t="shared" si="26"/>
        <v xml:space="preserve"> =&lt;90</v>
      </c>
      <c r="AL1667" s="1" t="str">
        <f>VLOOKUP(C:C,[1]基础信息!B$1:D$65536,3,0)</f>
        <v>Jug</v>
      </c>
      <c r="AM1667" s="1" t="str">
        <f>VLOOKUP(C:C,[1]基础信息!B$1:E$65536,4,0)</f>
        <v>Aluna</v>
      </c>
      <c r="AN1667" s="1" t="str">
        <f>VLOOKUP(C:C,[1]基础信息!B$1:F$65536,5,0)</f>
        <v>Blue</v>
      </c>
    </row>
    <row r="1668" spans="1:40">
      <c r="A1668" s="1" t="s">
        <v>41</v>
      </c>
      <c r="B1668" s="1" t="s">
        <v>42</v>
      </c>
      <c r="C1668" s="1" t="s">
        <v>3796</v>
      </c>
      <c r="D1668" s="1" t="s">
        <v>3797</v>
      </c>
      <c r="E1668" s="1" t="s">
        <v>3796</v>
      </c>
      <c r="F1668" s="1" t="s">
        <v>3798</v>
      </c>
      <c r="G1668" s="1" t="s">
        <v>3877</v>
      </c>
      <c r="H1668" s="1" t="s">
        <v>3878</v>
      </c>
      <c r="I1668" s="1" t="s">
        <v>49</v>
      </c>
      <c r="J1668" s="1" t="s">
        <v>48</v>
      </c>
      <c r="K1668" s="1">
        <v>80</v>
      </c>
      <c r="L1668" s="1">
        <v>0</v>
      </c>
      <c r="M1668" s="1">
        <v>0</v>
      </c>
      <c r="N1668" s="1">
        <v>80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 t="s">
        <v>49</v>
      </c>
      <c r="AA1668" s="1" t="s">
        <v>49</v>
      </c>
      <c r="AB1668" s="1" t="s">
        <v>49</v>
      </c>
      <c r="AC1668" s="1" t="s">
        <v>3801</v>
      </c>
      <c r="AD1668" s="1" t="s">
        <v>3802</v>
      </c>
      <c r="AE1668" s="1" t="s">
        <v>3801</v>
      </c>
      <c r="AF1668" s="1" t="s">
        <v>3803</v>
      </c>
      <c r="AG1668" s="1" t="s">
        <v>338</v>
      </c>
      <c r="AH1668" s="1" t="s">
        <v>49</v>
      </c>
      <c r="AI1668" s="1" t="s">
        <v>54</v>
      </c>
      <c r="AJ1668" s="1">
        <v>1</v>
      </c>
      <c r="AK1668" s="1" t="str">
        <f t="shared" si="26"/>
        <v xml:space="preserve"> =&lt;90</v>
      </c>
      <c r="AL1668" s="1" t="str">
        <f>VLOOKUP(C:C,[1]基础信息!B$1:D$65536,3,0)</f>
        <v>Jug</v>
      </c>
      <c r="AM1668" s="1" t="str">
        <f>VLOOKUP(C:C,[1]基础信息!B$1:E$65536,4,0)</f>
        <v>Aluna</v>
      </c>
      <c r="AN1668" s="1" t="str">
        <f>VLOOKUP(C:C,[1]基础信息!B$1:F$65536,5,0)</f>
        <v>Blue</v>
      </c>
    </row>
    <row r="1669" spans="1:40">
      <c r="A1669" s="1" t="s">
        <v>41</v>
      </c>
      <c r="B1669" s="1" t="s">
        <v>42</v>
      </c>
      <c r="C1669" s="1" t="s">
        <v>3826</v>
      </c>
      <c r="D1669" s="1" t="s">
        <v>3827</v>
      </c>
      <c r="E1669" s="1" t="s">
        <v>45</v>
      </c>
      <c r="F1669" s="1" t="s">
        <v>3828</v>
      </c>
      <c r="G1669" s="1" t="s">
        <v>3879</v>
      </c>
      <c r="H1669" s="1" t="s">
        <v>3880</v>
      </c>
      <c r="I1669" s="1" t="s">
        <v>49</v>
      </c>
      <c r="J1669" s="1" t="s">
        <v>48</v>
      </c>
      <c r="K1669" s="1">
        <v>1</v>
      </c>
      <c r="L1669" s="1">
        <v>0</v>
      </c>
      <c r="M1669" s="1">
        <v>0</v>
      </c>
      <c r="N1669" s="1">
        <v>1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 t="s">
        <v>49</v>
      </c>
      <c r="AA1669" s="1" t="s">
        <v>49</v>
      </c>
      <c r="AB1669" s="1" t="s">
        <v>49</v>
      </c>
      <c r="AC1669" s="1" t="s">
        <v>3831</v>
      </c>
      <c r="AD1669" s="1" t="s">
        <v>3832</v>
      </c>
      <c r="AE1669" s="1" t="s">
        <v>3831</v>
      </c>
      <c r="AF1669" s="1" t="s">
        <v>3833</v>
      </c>
      <c r="AG1669" s="1" t="s">
        <v>338</v>
      </c>
      <c r="AH1669" s="1" t="s">
        <v>49</v>
      </c>
      <c r="AI1669" s="1" t="s">
        <v>54</v>
      </c>
      <c r="AJ1669" s="1">
        <v>1</v>
      </c>
      <c r="AK1669" s="1" t="str">
        <f t="shared" si="26"/>
        <v xml:space="preserve"> =&lt;90</v>
      </c>
      <c r="AL1669" s="1" t="str">
        <f>VLOOKUP(C:C,[1]基础信息!B$1:D$65536,3,0)</f>
        <v>Jug</v>
      </c>
      <c r="AM1669" s="1" t="str">
        <f>VLOOKUP(C:C,[1]基础信息!B$1:E$65536,4,0)</f>
        <v>Marella XL</v>
      </c>
      <c r="AN1669" s="1" t="str">
        <f>VLOOKUP(C:C,[1]基础信息!B$1:F$65536,5,0)</f>
        <v>Blue</v>
      </c>
    </row>
    <row r="1670" spans="1:40">
      <c r="A1670" s="1" t="s">
        <v>41</v>
      </c>
      <c r="B1670" s="1" t="s">
        <v>42</v>
      </c>
      <c r="C1670" s="1" t="s">
        <v>3826</v>
      </c>
      <c r="D1670" s="1" t="s">
        <v>3827</v>
      </c>
      <c r="E1670" s="1" t="s">
        <v>45</v>
      </c>
      <c r="F1670" s="1" t="s">
        <v>3828</v>
      </c>
      <c r="G1670" s="1" t="s">
        <v>3881</v>
      </c>
      <c r="H1670" s="1" t="s">
        <v>3882</v>
      </c>
      <c r="I1670" s="1" t="s">
        <v>49</v>
      </c>
      <c r="J1670" s="1" t="s">
        <v>48</v>
      </c>
      <c r="K1670" s="1">
        <v>60</v>
      </c>
      <c r="L1670" s="1">
        <v>0</v>
      </c>
      <c r="M1670" s="1">
        <v>0</v>
      </c>
      <c r="N1670" s="1">
        <v>60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 t="s">
        <v>49</v>
      </c>
      <c r="AA1670" s="1" t="s">
        <v>49</v>
      </c>
      <c r="AB1670" s="1" t="s">
        <v>49</v>
      </c>
      <c r="AC1670" s="1" t="s">
        <v>3831</v>
      </c>
      <c r="AD1670" s="1" t="s">
        <v>3832</v>
      </c>
      <c r="AE1670" s="1" t="s">
        <v>3831</v>
      </c>
      <c r="AF1670" s="1" t="s">
        <v>3833</v>
      </c>
      <c r="AG1670" s="1" t="s">
        <v>338</v>
      </c>
      <c r="AH1670" s="1" t="s">
        <v>49</v>
      </c>
      <c r="AI1670" s="1" t="s">
        <v>54</v>
      </c>
      <c r="AJ1670" s="1">
        <v>1</v>
      </c>
      <c r="AK1670" s="1" t="str">
        <f t="shared" si="26"/>
        <v xml:space="preserve"> =&lt;90</v>
      </c>
      <c r="AL1670" s="1" t="str">
        <f>VLOOKUP(C:C,[1]基础信息!B$1:D$65536,3,0)</f>
        <v>Jug</v>
      </c>
      <c r="AM1670" s="1" t="str">
        <f>VLOOKUP(C:C,[1]基础信息!B$1:E$65536,4,0)</f>
        <v>Marella XL</v>
      </c>
      <c r="AN1670" s="1" t="str">
        <f>VLOOKUP(C:C,[1]基础信息!B$1:F$65536,5,0)</f>
        <v>Blue</v>
      </c>
    </row>
    <row r="1671" spans="1:40">
      <c r="A1671" s="1" t="s">
        <v>41</v>
      </c>
      <c r="B1671" s="1" t="s">
        <v>42</v>
      </c>
      <c r="C1671" s="1" t="s">
        <v>3826</v>
      </c>
      <c r="D1671" s="1" t="s">
        <v>3827</v>
      </c>
      <c r="E1671" s="1" t="s">
        <v>45</v>
      </c>
      <c r="F1671" s="1" t="s">
        <v>3828</v>
      </c>
      <c r="G1671" s="1" t="s">
        <v>3883</v>
      </c>
      <c r="H1671" s="1" t="s">
        <v>3884</v>
      </c>
      <c r="I1671" s="1" t="s">
        <v>49</v>
      </c>
      <c r="J1671" s="1" t="s">
        <v>48</v>
      </c>
      <c r="K1671" s="1">
        <v>70</v>
      </c>
      <c r="L1671" s="1">
        <v>0</v>
      </c>
      <c r="M1671" s="1">
        <v>0</v>
      </c>
      <c r="N1671" s="1">
        <v>70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 t="s">
        <v>49</v>
      </c>
      <c r="AA1671" s="1" t="s">
        <v>49</v>
      </c>
      <c r="AB1671" s="1" t="s">
        <v>49</v>
      </c>
      <c r="AC1671" s="1" t="s">
        <v>3831</v>
      </c>
      <c r="AD1671" s="1" t="s">
        <v>3832</v>
      </c>
      <c r="AE1671" s="1" t="s">
        <v>3831</v>
      </c>
      <c r="AF1671" s="1" t="s">
        <v>3833</v>
      </c>
      <c r="AG1671" s="1" t="s">
        <v>338</v>
      </c>
      <c r="AH1671" s="1" t="s">
        <v>49</v>
      </c>
      <c r="AI1671" s="1" t="s">
        <v>54</v>
      </c>
      <c r="AJ1671" s="1">
        <v>1</v>
      </c>
      <c r="AK1671" s="1" t="str">
        <f t="shared" si="26"/>
        <v xml:space="preserve"> =&lt;90</v>
      </c>
      <c r="AL1671" s="1" t="str">
        <f>VLOOKUP(C:C,[1]基础信息!B$1:D$65536,3,0)</f>
        <v>Jug</v>
      </c>
      <c r="AM1671" s="1" t="str">
        <f>VLOOKUP(C:C,[1]基础信息!B$1:E$65536,4,0)</f>
        <v>Marella XL</v>
      </c>
      <c r="AN1671" s="1" t="str">
        <f>VLOOKUP(C:C,[1]基础信息!B$1:F$65536,5,0)</f>
        <v>Blue</v>
      </c>
    </row>
    <row r="1672" spans="1:40">
      <c r="A1672" s="1" t="s">
        <v>41</v>
      </c>
      <c r="B1672" s="1" t="s">
        <v>42</v>
      </c>
      <c r="C1672" s="1" t="s">
        <v>3826</v>
      </c>
      <c r="D1672" s="1" t="s">
        <v>3827</v>
      </c>
      <c r="E1672" s="1" t="s">
        <v>45</v>
      </c>
      <c r="F1672" s="1" t="s">
        <v>3828</v>
      </c>
      <c r="G1672" s="1" t="s">
        <v>3885</v>
      </c>
      <c r="H1672" s="1" t="s">
        <v>3886</v>
      </c>
      <c r="I1672" s="1" t="s">
        <v>49</v>
      </c>
      <c r="J1672" s="1" t="s">
        <v>48</v>
      </c>
      <c r="K1672" s="1">
        <v>70</v>
      </c>
      <c r="L1672" s="1">
        <v>0</v>
      </c>
      <c r="M1672" s="1">
        <v>0</v>
      </c>
      <c r="N1672" s="1">
        <v>70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 t="s">
        <v>49</v>
      </c>
      <c r="AA1672" s="1" t="s">
        <v>49</v>
      </c>
      <c r="AB1672" s="1" t="s">
        <v>49</v>
      </c>
      <c r="AC1672" s="1" t="s">
        <v>3831</v>
      </c>
      <c r="AD1672" s="1" t="s">
        <v>3832</v>
      </c>
      <c r="AE1672" s="1" t="s">
        <v>3831</v>
      </c>
      <c r="AF1672" s="1" t="s">
        <v>3833</v>
      </c>
      <c r="AG1672" s="1" t="s">
        <v>338</v>
      </c>
      <c r="AH1672" s="1" t="s">
        <v>49</v>
      </c>
      <c r="AI1672" s="1" t="s">
        <v>54</v>
      </c>
      <c r="AJ1672" s="1">
        <v>1</v>
      </c>
      <c r="AK1672" s="1" t="str">
        <f t="shared" si="26"/>
        <v xml:space="preserve"> =&lt;90</v>
      </c>
      <c r="AL1672" s="1" t="str">
        <f>VLOOKUP(C:C,[1]基础信息!B$1:D$65536,3,0)</f>
        <v>Jug</v>
      </c>
      <c r="AM1672" s="1" t="str">
        <f>VLOOKUP(C:C,[1]基础信息!B$1:E$65536,4,0)</f>
        <v>Marella XL</v>
      </c>
      <c r="AN1672" s="1" t="str">
        <f>VLOOKUP(C:C,[1]基础信息!B$1:F$65536,5,0)</f>
        <v>Blue</v>
      </c>
    </row>
    <row r="1673" spans="1:40">
      <c r="A1673" s="1" t="s">
        <v>41</v>
      </c>
      <c r="B1673" s="1" t="s">
        <v>42</v>
      </c>
      <c r="C1673" s="1" t="s">
        <v>3826</v>
      </c>
      <c r="D1673" s="1" t="s">
        <v>3827</v>
      </c>
      <c r="E1673" s="1" t="s">
        <v>45</v>
      </c>
      <c r="F1673" s="1" t="s">
        <v>3828</v>
      </c>
      <c r="G1673" s="1" t="s">
        <v>3887</v>
      </c>
      <c r="H1673" s="1" t="s">
        <v>3888</v>
      </c>
      <c r="I1673" s="1" t="s">
        <v>49</v>
      </c>
      <c r="J1673" s="1" t="s">
        <v>48</v>
      </c>
      <c r="K1673" s="1">
        <v>70</v>
      </c>
      <c r="L1673" s="1">
        <v>0</v>
      </c>
      <c r="M1673" s="1">
        <v>0</v>
      </c>
      <c r="N1673" s="1">
        <v>70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 t="s">
        <v>49</v>
      </c>
      <c r="AA1673" s="1" t="s">
        <v>49</v>
      </c>
      <c r="AB1673" s="1" t="s">
        <v>49</v>
      </c>
      <c r="AC1673" s="1" t="s">
        <v>3831</v>
      </c>
      <c r="AD1673" s="1" t="s">
        <v>3832</v>
      </c>
      <c r="AE1673" s="1" t="s">
        <v>3831</v>
      </c>
      <c r="AF1673" s="1" t="s">
        <v>3833</v>
      </c>
      <c r="AG1673" s="1" t="s">
        <v>338</v>
      </c>
      <c r="AH1673" s="1" t="s">
        <v>49</v>
      </c>
      <c r="AI1673" s="1" t="s">
        <v>54</v>
      </c>
      <c r="AJ1673" s="1">
        <v>1</v>
      </c>
      <c r="AK1673" s="1" t="str">
        <f t="shared" si="26"/>
        <v xml:space="preserve"> =&lt;90</v>
      </c>
      <c r="AL1673" s="1" t="str">
        <f>VLOOKUP(C:C,[1]基础信息!B$1:D$65536,3,0)</f>
        <v>Jug</v>
      </c>
      <c r="AM1673" s="1" t="str">
        <f>VLOOKUP(C:C,[1]基础信息!B$1:E$65536,4,0)</f>
        <v>Marella XL</v>
      </c>
      <c r="AN1673" s="1" t="str">
        <f>VLOOKUP(C:C,[1]基础信息!B$1:F$65536,5,0)</f>
        <v>Blue</v>
      </c>
    </row>
    <row r="1674" spans="1:40">
      <c r="A1674" s="1" t="s">
        <v>41</v>
      </c>
      <c r="B1674" s="1" t="s">
        <v>42</v>
      </c>
      <c r="C1674" s="1" t="s">
        <v>3826</v>
      </c>
      <c r="D1674" s="1" t="s">
        <v>3827</v>
      </c>
      <c r="E1674" s="1" t="s">
        <v>45</v>
      </c>
      <c r="F1674" s="1" t="s">
        <v>3828</v>
      </c>
      <c r="G1674" s="1" t="s">
        <v>3889</v>
      </c>
      <c r="H1674" s="1" t="s">
        <v>3890</v>
      </c>
      <c r="I1674" s="1" t="s">
        <v>49</v>
      </c>
      <c r="J1674" s="1" t="s">
        <v>48</v>
      </c>
      <c r="K1674" s="1">
        <v>70</v>
      </c>
      <c r="L1674" s="1">
        <v>0</v>
      </c>
      <c r="M1674" s="1">
        <v>0</v>
      </c>
      <c r="N1674" s="1">
        <v>70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 t="s">
        <v>49</v>
      </c>
      <c r="AA1674" s="1" t="s">
        <v>49</v>
      </c>
      <c r="AB1674" s="1" t="s">
        <v>49</v>
      </c>
      <c r="AC1674" s="1" t="s">
        <v>3831</v>
      </c>
      <c r="AD1674" s="1" t="s">
        <v>3832</v>
      </c>
      <c r="AE1674" s="1" t="s">
        <v>3831</v>
      </c>
      <c r="AF1674" s="1" t="s">
        <v>3833</v>
      </c>
      <c r="AG1674" s="1" t="s">
        <v>338</v>
      </c>
      <c r="AH1674" s="1" t="s">
        <v>49</v>
      </c>
      <c r="AI1674" s="1" t="s">
        <v>54</v>
      </c>
      <c r="AJ1674" s="1">
        <v>1</v>
      </c>
      <c r="AK1674" s="1" t="str">
        <f t="shared" si="26"/>
        <v xml:space="preserve"> =&lt;90</v>
      </c>
      <c r="AL1674" s="1" t="str">
        <f>VLOOKUP(C:C,[1]基础信息!B$1:D$65536,3,0)</f>
        <v>Jug</v>
      </c>
      <c r="AM1674" s="1" t="str">
        <f>VLOOKUP(C:C,[1]基础信息!B$1:E$65536,4,0)</f>
        <v>Marella XL</v>
      </c>
      <c r="AN1674" s="1" t="str">
        <f>VLOOKUP(C:C,[1]基础信息!B$1:F$65536,5,0)</f>
        <v>Blue</v>
      </c>
    </row>
    <row r="1675" spans="1:40">
      <c r="A1675" s="1" t="s">
        <v>41</v>
      </c>
      <c r="B1675" s="1" t="s">
        <v>42</v>
      </c>
      <c r="C1675" s="1" t="s">
        <v>3826</v>
      </c>
      <c r="D1675" s="1" t="s">
        <v>3827</v>
      </c>
      <c r="E1675" s="1" t="s">
        <v>45</v>
      </c>
      <c r="F1675" s="1" t="s">
        <v>3828</v>
      </c>
      <c r="G1675" s="1" t="s">
        <v>3891</v>
      </c>
      <c r="H1675" s="1" t="s">
        <v>3892</v>
      </c>
      <c r="I1675" s="1" t="s">
        <v>49</v>
      </c>
      <c r="J1675" s="1" t="s">
        <v>48</v>
      </c>
      <c r="K1675" s="1">
        <v>70</v>
      </c>
      <c r="L1675" s="1">
        <v>0</v>
      </c>
      <c r="M1675" s="1">
        <v>0</v>
      </c>
      <c r="N1675" s="1">
        <v>70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 t="s">
        <v>49</v>
      </c>
      <c r="AA1675" s="1" t="s">
        <v>49</v>
      </c>
      <c r="AB1675" s="1" t="s">
        <v>49</v>
      </c>
      <c r="AC1675" s="1" t="s">
        <v>3831</v>
      </c>
      <c r="AD1675" s="1" t="s">
        <v>3832</v>
      </c>
      <c r="AE1675" s="1" t="s">
        <v>3831</v>
      </c>
      <c r="AF1675" s="1" t="s">
        <v>3833</v>
      </c>
      <c r="AG1675" s="1" t="s">
        <v>338</v>
      </c>
      <c r="AH1675" s="1" t="s">
        <v>49</v>
      </c>
      <c r="AI1675" s="1" t="s">
        <v>54</v>
      </c>
      <c r="AJ1675" s="1">
        <v>1</v>
      </c>
      <c r="AK1675" s="1" t="str">
        <f t="shared" si="26"/>
        <v xml:space="preserve"> =&lt;90</v>
      </c>
      <c r="AL1675" s="1" t="str">
        <f>VLOOKUP(C:C,[1]基础信息!B$1:D$65536,3,0)</f>
        <v>Jug</v>
      </c>
      <c r="AM1675" s="1" t="str">
        <f>VLOOKUP(C:C,[1]基础信息!B$1:E$65536,4,0)</f>
        <v>Marella XL</v>
      </c>
      <c r="AN1675" s="1" t="str">
        <f>VLOOKUP(C:C,[1]基础信息!B$1:F$65536,5,0)</f>
        <v>Blue</v>
      </c>
    </row>
    <row r="1676" spans="1:40">
      <c r="A1676" s="1" t="s">
        <v>41</v>
      </c>
      <c r="B1676" s="1" t="s">
        <v>42</v>
      </c>
      <c r="C1676" s="1" t="s">
        <v>3826</v>
      </c>
      <c r="D1676" s="1" t="s">
        <v>3827</v>
      </c>
      <c r="E1676" s="1" t="s">
        <v>45</v>
      </c>
      <c r="F1676" s="1" t="s">
        <v>3828</v>
      </c>
      <c r="G1676" s="1" t="s">
        <v>3893</v>
      </c>
      <c r="H1676" s="1" t="s">
        <v>3894</v>
      </c>
      <c r="I1676" s="1" t="s">
        <v>49</v>
      </c>
      <c r="J1676" s="1" t="s">
        <v>48</v>
      </c>
      <c r="K1676" s="1">
        <v>70</v>
      </c>
      <c r="L1676" s="1">
        <v>0</v>
      </c>
      <c r="M1676" s="1">
        <v>0</v>
      </c>
      <c r="N1676" s="1">
        <v>70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 t="s">
        <v>49</v>
      </c>
      <c r="AA1676" s="1" t="s">
        <v>49</v>
      </c>
      <c r="AB1676" s="1" t="s">
        <v>49</v>
      </c>
      <c r="AC1676" s="1" t="s">
        <v>3831</v>
      </c>
      <c r="AD1676" s="1" t="s">
        <v>3832</v>
      </c>
      <c r="AE1676" s="1" t="s">
        <v>3831</v>
      </c>
      <c r="AF1676" s="1" t="s">
        <v>3833</v>
      </c>
      <c r="AG1676" s="1" t="s">
        <v>338</v>
      </c>
      <c r="AH1676" s="1" t="s">
        <v>49</v>
      </c>
      <c r="AI1676" s="1" t="s">
        <v>54</v>
      </c>
      <c r="AJ1676" s="1">
        <v>1</v>
      </c>
      <c r="AK1676" s="1" t="str">
        <f t="shared" si="26"/>
        <v xml:space="preserve"> =&lt;90</v>
      </c>
      <c r="AL1676" s="1" t="str">
        <f>VLOOKUP(C:C,[1]基础信息!B$1:D$65536,3,0)</f>
        <v>Jug</v>
      </c>
      <c r="AM1676" s="1" t="str">
        <f>VLOOKUP(C:C,[1]基础信息!B$1:E$65536,4,0)</f>
        <v>Marella XL</v>
      </c>
      <c r="AN1676" s="1" t="str">
        <f>VLOOKUP(C:C,[1]基础信息!B$1:F$65536,5,0)</f>
        <v>Blue</v>
      </c>
    </row>
    <row r="1677" spans="1:40">
      <c r="A1677" s="1" t="s">
        <v>41</v>
      </c>
      <c r="B1677" s="1" t="s">
        <v>42</v>
      </c>
      <c r="C1677" s="1" t="s">
        <v>3826</v>
      </c>
      <c r="D1677" s="1" t="s">
        <v>3827</v>
      </c>
      <c r="E1677" s="1" t="s">
        <v>45</v>
      </c>
      <c r="F1677" s="1" t="s">
        <v>3828</v>
      </c>
      <c r="G1677" s="1" t="s">
        <v>3895</v>
      </c>
      <c r="H1677" s="1" t="s">
        <v>3896</v>
      </c>
      <c r="I1677" s="1" t="s">
        <v>49</v>
      </c>
      <c r="J1677" s="1" t="s">
        <v>48</v>
      </c>
      <c r="K1677" s="1">
        <v>70</v>
      </c>
      <c r="L1677" s="1">
        <v>0</v>
      </c>
      <c r="M1677" s="1">
        <v>0</v>
      </c>
      <c r="N1677" s="1">
        <v>70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 t="s">
        <v>49</v>
      </c>
      <c r="AA1677" s="1" t="s">
        <v>49</v>
      </c>
      <c r="AB1677" s="1" t="s">
        <v>49</v>
      </c>
      <c r="AC1677" s="1" t="s">
        <v>3831</v>
      </c>
      <c r="AD1677" s="1" t="s">
        <v>3832</v>
      </c>
      <c r="AE1677" s="1" t="s">
        <v>3831</v>
      </c>
      <c r="AF1677" s="1" t="s">
        <v>3833</v>
      </c>
      <c r="AG1677" s="1" t="s">
        <v>338</v>
      </c>
      <c r="AH1677" s="1" t="s">
        <v>49</v>
      </c>
      <c r="AI1677" s="1" t="s">
        <v>54</v>
      </c>
      <c r="AJ1677" s="1">
        <v>1</v>
      </c>
      <c r="AK1677" s="1" t="str">
        <f t="shared" si="26"/>
        <v xml:space="preserve"> =&lt;90</v>
      </c>
      <c r="AL1677" s="1" t="str">
        <f>VLOOKUP(C:C,[1]基础信息!B$1:D$65536,3,0)</f>
        <v>Jug</v>
      </c>
      <c r="AM1677" s="1" t="str">
        <f>VLOOKUP(C:C,[1]基础信息!B$1:E$65536,4,0)</f>
        <v>Marella XL</v>
      </c>
      <c r="AN1677" s="1" t="str">
        <f>VLOOKUP(C:C,[1]基础信息!B$1:F$65536,5,0)</f>
        <v>Blue</v>
      </c>
    </row>
    <row r="1678" spans="1:40">
      <c r="A1678" s="1" t="s">
        <v>41</v>
      </c>
      <c r="B1678" s="1" t="s">
        <v>42</v>
      </c>
      <c r="C1678" s="1" t="s">
        <v>341</v>
      </c>
      <c r="D1678" s="1" t="s">
        <v>342</v>
      </c>
      <c r="E1678" s="1" t="s">
        <v>45</v>
      </c>
      <c r="F1678" s="1" t="s">
        <v>343</v>
      </c>
      <c r="G1678" s="1" t="s">
        <v>3897</v>
      </c>
      <c r="H1678" s="1" t="s">
        <v>3898</v>
      </c>
      <c r="I1678" s="1" t="s">
        <v>49</v>
      </c>
      <c r="J1678" s="1" t="s">
        <v>48</v>
      </c>
      <c r="K1678" s="1">
        <v>70</v>
      </c>
      <c r="L1678" s="1">
        <v>0</v>
      </c>
      <c r="M1678" s="1">
        <v>0</v>
      </c>
      <c r="N1678" s="1">
        <v>70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 t="s">
        <v>49</v>
      </c>
      <c r="AA1678" s="1" t="s">
        <v>49</v>
      </c>
      <c r="AB1678" s="1" t="s">
        <v>49</v>
      </c>
      <c r="AC1678" s="1" t="s">
        <v>346</v>
      </c>
      <c r="AD1678" s="1" t="s">
        <v>347</v>
      </c>
      <c r="AE1678" s="1" t="s">
        <v>346</v>
      </c>
      <c r="AF1678" s="1" t="s">
        <v>348</v>
      </c>
      <c r="AG1678" s="1" t="s">
        <v>338</v>
      </c>
      <c r="AH1678" s="1" t="s">
        <v>49</v>
      </c>
      <c r="AI1678" s="1" t="s">
        <v>54</v>
      </c>
      <c r="AJ1678" s="1">
        <v>1</v>
      </c>
      <c r="AK1678" s="1" t="str">
        <f t="shared" si="26"/>
        <v xml:space="preserve"> =&lt;90</v>
      </c>
      <c r="AL1678" s="1" t="str">
        <f>VLOOKUP(C:C,[1]基础信息!B$1:D$65536,3,0)</f>
        <v>Jug</v>
      </c>
      <c r="AM1678" s="1" t="str">
        <f>VLOOKUP(C:C,[1]基础信息!B$1:E$65536,4,0)</f>
        <v>Marella</v>
      </c>
      <c r="AN1678" s="1" t="str">
        <f>VLOOKUP(C:C,[1]基础信息!B$1:F$65536,5,0)</f>
        <v>Blue Glitter</v>
      </c>
    </row>
    <row r="1679" spans="1:40">
      <c r="A1679" s="1" t="s">
        <v>41</v>
      </c>
      <c r="B1679" s="1" t="s">
        <v>42</v>
      </c>
      <c r="C1679" s="1" t="s">
        <v>3826</v>
      </c>
      <c r="D1679" s="1" t="s">
        <v>3827</v>
      </c>
      <c r="E1679" s="1" t="s">
        <v>45</v>
      </c>
      <c r="F1679" s="1" t="s">
        <v>3828</v>
      </c>
      <c r="G1679" s="1" t="s">
        <v>3899</v>
      </c>
      <c r="H1679" s="1" t="s">
        <v>3900</v>
      </c>
      <c r="I1679" s="1" t="s">
        <v>49</v>
      </c>
      <c r="J1679" s="1" t="s">
        <v>48</v>
      </c>
      <c r="K1679" s="1">
        <v>70</v>
      </c>
      <c r="L1679" s="1">
        <v>0</v>
      </c>
      <c r="M1679" s="1">
        <v>0</v>
      </c>
      <c r="N1679" s="1">
        <v>70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 t="s">
        <v>49</v>
      </c>
      <c r="AA1679" s="1" t="s">
        <v>49</v>
      </c>
      <c r="AB1679" s="1" t="s">
        <v>49</v>
      </c>
      <c r="AC1679" s="1" t="s">
        <v>3831</v>
      </c>
      <c r="AD1679" s="1" t="s">
        <v>3832</v>
      </c>
      <c r="AE1679" s="1" t="s">
        <v>3831</v>
      </c>
      <c r="AF1679" s="1" t="s">
        <v>3833</v>
      </c>
      <c r="AG1679" s="1" t="s">
        <v>338</v>
      </c>
      <c r="AH1679" s="1" t="s">
        <v>49</v>
      </c>
      <c r="AI1679" s="1" t="s">
        <v>54</v>
      </c>
      <c r="AJ1679" s="1">
        <v>1</v>
      </c>
      <c r="AK1679" s="1" t="str">
        <f t="shared" si="26"/>
        <v xml:space="preserve"> =&lt;90</v>
      </c>
      <c r="AL1679" s="1" t="str">
        <f>VLOOKUP(C:C,[1]基础信息!B$1:D$65536,3,0)</f>
        <v>Jug</v>
      </c>
      <c r="AM1679" s="1" t="str">
        <f>VLOOKUP(C:C,[1]基础信息!B$1:E$65536,4,0)</f>
        <v>Marella XL</v>
      </c>
      <c r="AN1679" s="1" t="str">
        <f>VLOOKUP(C:C,[1]基础信息!B$1:F$65536,5,0)</f>
        <v>Blue</v>
      </c>
    </row>
    <row r="1680" spans="1:40">
      <c r="A1680" s="1" t="s">
        <v>41</v>
      </c>
      <c r="B1680" s="1" t="s">
        <v>42</v>
      </c>
      <c r="C1680" s="1" t="s">
        <v>3826</v>
      </c>
      <c r="D1680" s="1" t="s">
        <v>3827</v>
      </c>
      <c r="E1680" s="1" t="s">
        <v>45</v>
      </c>
      <c r="F1680" s="1" t="s">
        <v>3828</v>
      </c>
      <c r="G1680" s="1" t="s">
        <v>3901</v>
      </c>
      <c r="H1680" s="1" t="s">
        <v>3902</v>
      </c>
      <c r="I1680" s="1" t="s">
        <v>49</v>
      </c>
      <c r="J1680" s="1" t="s">
        <v>48</v>
      </c>
      <c r="K1680" s="1">
        <v>70</v>
      </c>
      <c r="L1680" s="1">
        <v>0</v>
      </c>
      <c r="M1680" s="1">
        <v>0</v>
      </c>
      <c r="N1680" s="1">
        <v>70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 t="s">
        <v>49</v>
      </c>
      <c r="AA1680" s="1" t="s">
        <v>49</v>
      </c>
      <c r="AB1680" s="1" t="s">
        <v>49</v>
      </c>
      <c r="AC1680" s="1" t="s">
        <v>3831</v>
      </c>
      <c r="AD1680" s="1" t="s">
        <v>3832</v>
      </c>
      <c r="AE1680" s="1" t="s">
        <v>3831</v>
      </c>
      <c r="AF1680" s="1" t="s">
        <v>3833</v>
      </c>
      <c r="AG1680" s="1" t="s">
        <v>338</v>
      </c>
      <c r="AH1680" s="1" t="s">
        <v>49</v>
      </c>
      <c r="AI1680" s="1" t="s">
        <v>54</v>
      </c>
      <c r="AJ1680" s="1">
        <v>1</v>
      </c>
      <c r="AK1680" s="1" t="str">
        <f t="shared" si="26"/>
        <v xml:space="preserve"> =&lt;90</v>
      </c>
      <c r="AL1680" s="1" t="str">
        <f>VLOOKUP(C:C,[1]基础信息!B$1:D$65536,3,0)</f>
        <v>Jug</v>
      </c>
      <c r="AM1680" s="1" t="str">
        <f>VLOOKUP(C:C,[1]基础信息!B$1:E$65536,4,0)</f>
        <v>Marella XL</v>
      </c>
      <c r="AN1680" s="1" t="str">
        <f>VLOOKUP(C:C,[1]基础信息!B$1:F$65536,5,0)</f>
        <v>Blue</v>
      </c>
    </row>
    <row r="1681" spans="1:40">
      <c r="A1681" s="1" t="s">
        <v>41</v>
      </c>
      <c r="B1681" s="1" t="s">
        <v>42</v>
      </c>
      <c r="C1681" s="1" t="s">
        <v>3796</v>
      </c>
      <c r="D1681" s="1" t="s">
        <v>3797</v>
      </c>
      <c r="E1681" s="1" t="s">
        <v>3796</v>
      </c>
      <c r="F1681" s="1" t="s">
        <v>3798</v>
      </c>
      <c r="G1681" s="1" t="s">
        <v>3903</v>
      </c>
      <c r="H1681" s="1" t="s">
        <v>3904</v>
      </c>
      <c r="I1681" s="1" t="s">
        <v>49</v>
      </c>
      <c r="J1681" s="1" t="s">
        <v>48</v>
      </c>
      <c r="K1681" s="1">
        <v>80</v>
      </c>
      <c r="L1681" s="1">
        <v>0</v>
      </c>
      <c r="M1681" s="1">
        <v>0</v>
      </c>
      <c r="N1681" s="1">
        <v>80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 t="s">
        <v>49</v>
      </c>
      <c r="AA1681" s="1" t="s">
        <v>49</v>
      </c>
      <c r="AB1681" s="1" t="s">
        <v>49</v>
      </c>
      <c r="AC1681" s="1" t="s">
        <v>3801</v>
      </c>
      <c r="AD1681" s="1" t="s">
        <v>3802</v>
      </c>
      <c r="AE1681" s="1" t="s">
        <v>3801</v>
      </c>
      <c r="AF1681" s="1" t="s">
        <v>3803</v>
      </c>
      <c r="AG1681" s="1" t="s">
        <v>338</v>
      </c>
      <c r="AH1681" s="1" t="s">
        <v>49</v>
      </c>
      <c r="AI1681" s="1" t="s">
        <v>54</v>
      </c>
      <c r="AJ1681" s="1">
        <v>1</v>
      </c>
      <c r="AK1681" s="1" t="str">
        <f t="shared" si="26"/>
        <v xml:space="preserve"> =&lt;90</v>
      </c>
      <c r="AL1681" s="1" t="str">
        <f>VLOOKUP(C:C,[1]基础信息!B$1:D$65536,3,0)</f>
        <v>Jug</v>
      </c>
      <c r="AM1681" s="1" t="str">
        <f>VLOOKUP(C:C,[1]基础信息!B$1:E$65536,4,0)</f>
        <v>Aluna</v>
      </c>
      <c r="AN1681" s="1" t="str">
        <f>VLOOKUP(C:C,[1]基础信息!B$1:F$65536,5,0)</f>
        <v>Blue</v>
      </c>
    </row>
    <row r="1682" spans="1:40">
      <c r="A1682" s="1" t="s">
        <v>41</v>
      </c>
      <c r="B1682" s="1" t="s">
        <v>42</v>
      </c>
      <c r="C1682" s="1" t="s">
        <v>3826</v>
      </c>
      <c r="D1682" s="1" t="s">
        <v>3827</v>
      </c>
      <c r="E1682" s="1" t="s">
        <v>45</v>
      </c>
      <c r="F1682" s="1" t="s">
        <v>3828</v>
      </c>
      <c r="G1682" s="1" t="s">
        <v>3905</v>
      </c>
      <c r="H1682" s="1" t="s">
        <v>3906</v>
      </c>
      <c r="I1682" s="1" t="s">
        <v>49</v>
      </c>
      <c r="J1682" s="1" t="s">
        <v>48</v>
      </c>
      <c r="K1682" s="1">
        <v>70</v>
      </c>
      <c r="L1682" s="1">
        <v>0</v>
      </c>
      <c r="M1682" s="1">
        <v>0</v>
      </c>
      <c r="N1682" s="1">
        <v>70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 t="s">
        <v>49</v>
      </c>
      <c r="AA1682" s="1" t="s">
        <v>49</v>
      </c>
      <c r="AB1682" s="1" t="s">
        <v>49</v>
      </c>
      <c r="AC1682" s="1" t="s">
        <v>3831</v>
      </c>
      <c r="AD1682" s="1" t="s">
        <v>3832</v>
      </c>
      <c r="AE1682" s="1" t="s">
        <v>3831</v>
      </c>
      <c r="AF1682" s="1" t="s">
        <v>3833</v>
      </c>
      <c r="AG1682" s="1" t="s">
        <v>338</v>
      </c>
      <c r="AH1682" s="1" t="s">
        <v>49</v>
      </c>
      <c r="AI1682" s="1" t="s">
        <v>54</v>
      </c>
      <c r="AJ1682" s="1">
        <v>1</v>
      </c>
      <c r="AK1682" s="1" t="str">
        <f t="shared" si="26"/>
        <v xml:space="preserve"> =&lt;90</v>
      </c>
      <c r="AL1682" s="1" t="str">
        <f>VLOOKUP(C:C,[1]基础信息!B$1:D$65536,3,0)</f>
        <v>Jug</v>
      </c>
      <c r="AM1682" s="1" t="str">
        <f>VLOOKUP(C:C,[1]基础信息!B$1:E$65536,4,0)</f>
        <v>Marella XL</v>
      </c>
      <c r="AN1682" s="1" t="str">
        <f>VLOOKUP(C:C,[1]基础信息!B$1:F$65536,5,0)</f>
        <v>Blue</v>
      </c>
    </row>
    <row r="1683" spans="1:40">
      <c r="A1683" s="1" t="s">
        <v>41</v>
      </c>
      <c r="B1683" s="1" t="s">
        <v>42</v>
      </c>
      <c r="C1683" s="1" t="s">
        <v>3826</v>
      </c>
      <c r="D1683" s="1" t="s">
        <v>3827</v>
      </c>
      <c r="E1683" s="1" t="s">
        <v>45</v>
      </c>
      <c r="F1683" s="1" t="s">
        <v>3828</v>
      </c>
      <c r="G1683" s="1" t="s">
        <v>3907</v>
      </c>
      <c r="H1683" s="1" t="s">
        <v>3908</v>
      </c>
      <c r="I1683" s="1" t="s">
        <v>49</v>
      </c>
      <c r="J1683" s="1" t="s">
        <v>48</v>
      </c>
      <c r="K1683" s="1">
        <v>70</v>
      </c>
      <c r="L1683" s="1">
        <v>0</v>
      </c>
      <c r="M1683" s="1">
        <v>0</v>
      </c>
      <c r="N1683" s="1">
        <v>70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 t="s">
        <v>49</v>
      </c>
      <c r="AA1683" s="1" t="s">
        <v>49</v>
      </c>
      <c r="AB1683" s="1" t="s">
        <v>49</v>
      </c>
      <c r="AC1683" s="1" t="s">
        <v>3831</v>
      </c>
      <c r="AD1683" s="1" t="s">
        <v>3832</v>
      </c>
      <c r="AE1683" s="1" t="s">
        <v>3831</v>
      </c>
      <c r="AF1683" s="1" t="s">
        <v>3833</v>
      </c>
      <c r="AG1683" s="1" t="s">
        <v>338</v>
      </c>
      <c r="AH1683" s="1" t="s">
        <v>49</v>
      </c>
      <c r="AI1683" s="1" t="s">
        <v>54</v>
      </c>
      <c r="AJ1683" s="1">
        <v>1</v>
      </c>
      <c r="AK1683" s="1" t="str">
        <f t="shared" si="26"/>
        <v xml:space="preserve"> =&lt;90</v>
      </c>
      <c r="AL1683" s="1" t="str">
        <f>VLOOKUP(C:C,[1]基础信息!B$1:D$65536,3,0)</f>
        <v>Jug</v>
      </c>
      <c r="AM1683" s="1" t="str">
        <f>VLOOKUP(C:C,[1]基础信息!B$1:E$65536,4,0)</f>
        <v>Marella XL</v>
      </c>
      <c r="AN1683" s="1" t="str">
        <f>VLOOKUP(C:C,[1]基础信息!B$1:F$65536,5,0)</f>
        <v>Blue</v>
      </c>
    </row>
    <row r="1684" spans="1:40">
      <c r="A1684" s="1" t="s">
        <v>41</v>
      </c>
      <c r="B1684" s="1" t="s">
        <v>42</v>
      </c>
      <c r="C1684" s="1" t="s">
        <v>3826</v>
      </c>
      <c r="D1684" s="1" t="s">
        <v>3827</v>
      </c>
      <c r="E1684" s="1" t="s">
        <v>45</v>
      </c>
      <c r="F1684" s="1" t="s">
        <v>3828</v>
      </c>
      <c r="G1684" s="1" t="s">
        <v>3909</v>
      </c>
      <c r="H1684" s="1" t="s">
        <v>3910</v>
      </c>
      <c r="I1684" s="1" t="s">
        <v>49</v>
      </c>
      <c r="J1684" s="1" t="s">
        <v>48</v>
      </c>
      <c r="K1684" s="1">
        <v>70</v>
      </c>
      <c r="L1684" s="1">
        <v>0</v>
      </c>
      <c r="M1684" s="1">
        <v>0</v>
      </c>
      <c r="N1684" s="1">
        <v>70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 t="s">
        <v>49</v>
      </c>
      <c r="AA1684" s="1" t="s">
        <v>49</v>
      </c>
      <c r="AB1684" s="1" t="s">
        <v>49</v>
      </c>
      <c r="AC1684" s="1" t="s">
        <v>3831</v>
      </c>
      <c r="AD1684" s="1" t="s">
        <v>3832</v>
      </c>
      <c r="AE1684" s="1" t="s">
        <v>3831</v>
      </c>
      <c r="AF1684" s="1" t="s">
        <v>3833</v>
      </c>
      <c r="AG1684" s="1" t="s">
        <v>338</v>
      </c>
      <c r="AH1684" s="1" t="s">
        <v>49</v>
      </c>
      <c r="AI1684" s="1" t="s">
        <v>54</v>
      </c>
      <c r="AJ1684" s="1">
        <v>1</v>
      </c>
      <c r="AK1684" s="1" t="str">
        <f t="shared" si="26"/>
        <v xml:space="preserve"> =&lt;90</v>
      </c>
      <c r="AL1684" s="1" t="str">
        <f>VLOOKUP(C:C,[1]基础信息!B$1:D$65536,3,0)</f>
        <v>Jug</v>
      </c>
      <c r="AM1684" s="1" t="str">
        <f>VLOOKUP(C:C,[1]基础信息!B$1:E$65536,4,0)</f>
        <v>Marella XL</v>
      </c>
      <c r="AN1684" s="1" t="str">
        <f>VLOOKUP(C:C,[1]基础信息!B$1:F$65536,5,0)</f>
        <v>Blue</v>
      </c>
    </row>
    <row r="1685" spans="1:40">
      <c r="A1685" s="1" t="s">
        <v>41</v>
      </c>
      <c r="B1685" s="1" t="s">
        <v>42</v>
      </c>
      <c r="C1685" s="1" t="s">
        <v>3826</v>
      </c>
      <c r="D1685" s="1" t="s">
        <v>3827</v>
      </c>
      <c r="E1685" s="1" t="s">
        <v>45</v>
      </c>
      <c r="F1685" s="1" t="s">
        <v>3828</v>
      </c>
      <c r="G1685" s="1" t="s">
        <v>3911</v>
      </c>
      <c r="H1685" s="1" t="s">
        <v>3912</v>
      </c>
      <c r="I1685" s="1" t="s">
        <v>49</v>
      </c>
      <c r="J1685" s="1" t="s">
        <v>48</v>
      </c>
      <c r="K1685" s="1">
        <v>70</v>
      </c>
      <c r="L1685" s="1">
        <v>0</v>
      </c>
      <c r="M1685" s="1">
        <v>0</v>
      </c>
      <c r="N1685" s="1">
        <v>70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 t="s">
        <v>49</v>
      </c>
      <c r="AA1685" s="1" t="s">
        <v>49</v>
      </c>
      <c r="AB1685" s="1" t="s">
        <v>49</v>
      </c>
      <c r="AC1685" s="1" t="s">
        <v>3831</v>
      </c>
      <c r="AD1685" s="1" t="s">
        <v>3832</v>
      </c>
      <c r="AE1685" s="1" t="s">
        <v>3831</v>
      </c>
      <c r="AF1685" s="1" t="s">
        <v>3833</v>
      </c>
      <c r="AG1685" s="1" t="s">
        <v>338</v>
      </c>
      <c r="AH1685" s="1" t="s">
        <v>49</v>
      </c>
      <c r="AI1685" s="1" t="s">
        <v>54</v>
      </c>
      <c r="AJ1685" s="1">
        <v>1</v>
      </c>
      <c r="AK1685" s="1" t="str">
        <f t="shared" si="26"/>
        <v xml:space="preserve"> =&lt;90</v>
      </c>
      <c r="AL1685" s="1" t="str">
        <f>VLOOKUP(C:C,[1]基础信息!B$1:D$65536,3,0)</f>
        <v>Jug</v>
      </c>
      <c r="AM1685" s="1" t="str">
        <f>VLOOKUP(C:C,[1]基础信息!B$1:E$65536,4,0)</f>
        <v>Marella XL</v>
      </c>
      <c r="AN1685" s="1" t="str">
        <f>VLOOKUP(C:C,[1]基础信息!B$1:F$65536,5,0)</f>
        <v>Blue</v>
      </c>
    </row>
    <row r="1686" spans="1:40">
      <c r="A1686" s="1" t="s">
        <v>41</v>
      </c>
      <c r="B1686" s="1" t="s">
        <v>42</v>
      </c>
      <c r="C1686" s="1" t="s">
        <v>3826</v>
      </c>
      <c r="D1686" s="1" t="s">
        <v>3827</v>
      </c>
      <c r="E1686" s="1" t="s">
        <v>45</v>
      </c>
      <c r="F1686" s="1" t="s">
        <v>3828</v>
      </c>
      <c r="G1686" s="1" t="s">
        <v>3913</v>
      </c>
      <c r="H1686" s="1" t="s">
        <v>3914</v>
      </c>
      <c r="I1686" s="1" t="s">
        <v>49</v>
      </c>
      <c r="J1686" s="1" t="s">
        <v>48</v>
      </c>
      <c r="K1686" s="1">
        <v>70</v>
      </c>
      <c r="L1686" s="1">
        <v>0</v>
      </c>
      <c r="M1686" s="1">
        <v>0</v>
      </c>
      <c r="N1686" s="1">
        <v>70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 t="s">
        <v>49</v>
      </c>
      <c r="AA1686" s="1" t="s">
        <v>49</v>
      </c>
      <c r="AB1686" s="1" t="s">
        <v>49</v>
      </c>
      <c r="AC1686" s="1" t="s">
        <v>3831</v>
      </c>
      <c r="AD1686" s="1" t="s">
        <v>3832</v>
      </c>
      <c r="AE1686" s="1" t="s">
        <v>3831</v>
      </c>
      <c r="AF1686" s="1" t="s">
        <v>3833</v>
      </c>
      <c r="AG1686" s="1" t="s">
        <v>338</v>
      </c>
      <c r="AH1686" s="1" t="s">
        <v>49</v>
      </c>
      <c r="AI1686" s="1" t="s">
        <v>54</v>
      </c>
      <c r="AJ1686" s="1">
        <v>1</v>
      </c>
      <c r="AK1686" s="1" t="str">
        <f t="shared" si="26"/>
        <v xml:space="preserve"> =&lt;90</v>
      </c>
      <c r="AL1686" s="1" t="str">
        <f>VLOOKUP(C:C,[1]基础信息!B$1:D$65536,3,0)</f>
        <v>Jug</v>
      </c>
      <c r="AM1686" s="1" t="str">
        <f>VLOOKUP(C:C,[1]基础信息!B$1:E$65536,4,0)</f>
        <v>Marella XL</v>
      </c>
      <c r="AN1686" s="1" t="str">
        <f>VLOOKUP(C:C,[1]基础信息!B$1:F$65536,5,0)</f>
        <v>Blue</v>
      </c>
    </row>
    <row r="1687" spans="1:40">
      <c r="A1687" s="1" t="s">
        <v>41</v>
      </c>
      <c r="B1687" s="1" t="s">
        <v>42</v>
      </c>
      <c r="C1687" s="1" t="s">
        <v>3826</v>
      </c>
      <c r="D1687" s="1" t="s">
        <v>3827</v>
      </c>
      <c r="E1687" s="1" t="s">
        <v>45</v>
      </c>
      <c r="F1687" s="1" t="s">
        <v>3828</v>
      </c>
      <c r="G1687" s="1" t="s">
        <v>3915</v>
      </c>
      <c r="H1687" s="1" t="s">
        <v>3916</v>
      </c>
      <c r="I1687" s="1" t="s">
        <v>49</v>
      </c>
      <c r="J1687" s="1" t="s">
        <v>48</v>
      </c>
      <c r="K1687" s="1">
        <v>70</v>
      </c>
      <c r="L1687" s="1">
        <v>0</v>
      </c>
      <c r="M1687" s="1">
        <v>0</v>
      </c>
      <c r="N1687" s="1">
        <v>70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 t="s">
        <v>49</v>
      </c>
      <c r="AA1687" s="1" t="s">
        <v>49</v>
      </c>
      <c r="AB1687" s="1" t="s">
        <v>49</v>
      </c>
      <c r="AC1687" s="1" t="s">
        <v>3831</v>
      </c>
      <c r="AD1687" s="1" t="s">
        <v>3832</v>
      </c>
      <c r="AE1687" s="1" t="s">
        <v>3831</v>
      </c>
      <c r="AF1687" s="1" t="s">
        <v>3833</v>
      </c>
      <c r="AG1687" s="1" t="s">
        <v>338</v>
      </c>
      <c r="AH1687" s="1" t="s">
        <v>49</v>
      </c>
      <c r="AI1687" s="1" t="s">
        <v>54</v>
      </c>
      <c r="AJ1687" s="1">
        <v>1</v>
      </c>
      <c r="AK1687" s="1" t="str">
        <f t="shared" si="26"/>
        <v xml:space="preserve"> =&lt;90</v>
      </c>
      <c r="AL1687" s="1" t="str">
        <f>VLOOKUP(C:C,[1]基础信息!B$1:D$65536,3,0)</f>
        <v>Jug</v>
      </c>
      <c r="AM1687" s="1" t="str">
        <f>VLOOKUP(C:C,[1]基础信息!B$1:E$65536,4,0)</f>
        <v>Marella XL</v>
      </c>
      <c r="AN1687" s="1" t="str">
        <f>VLOOKUP(C:C,[1]基础信息!B$1:F$65536,5,0)</f>
        <v>Blue</v>
      </c>
    </row>
    <row r="1688" spans="1:40">
      <c r="A1688" s="1" t="s">
        <v>41</v>
      </c>
      <c r="B1688" s="1" t="s">
        <v>42</v>
      </c>
      <c r="C1688" s="1" t="s">
        <v>3826</v>
      </c>
      <c r="D1688" s="1" t="s">
        <v>3827</v>
      </c>
      <c r="E1688" s="1" t="s">
        <v>45</v>
      </c>
      <c r="F1688" s="1" t="s">
        <v>3828</v>
      </c>
      <c r="G1688" s="1" t="s">
        <v>3917</v>
      </c>
      <c r="H1688" s="1" t="s">
        <v>3918</v>
      </c>
      <c r="I1688" s="1" t="s">
        <v>49</v>
      </c>
      <c r="J1688" s="1" t="s">
        <v>48</v>
      </c>
      <c r="K1688" s="1">
        <v>70</v>
      </c>
      <c r="L1688" s="1">
        <v>0</v>
      </c>
      <c r="M1688" s="1">
        <v>0</v>
      </c>
      <c r="N1688" s="1">
        <v>70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 t="s">
        <v>49</v>
      </c>
      <c r="AA1688" s="1" t="s">
        <v>49</v>
      </c>
      <c r="AB1688" s="1" t="s">
        <v>49</v>
      </c>
      <c r="AC1688" s="1" t="s">
        <v>3831</v>
      </c>
      <c r="AD1688" s="1" t="s">
        <v>3832</v>
      </c>
      <c r="AE1688" s="1" t="s">
        <v>3831</v>
      </c>
      <c r="AF1688" s="1" t="s">
        <v>3833</v>
      </c>
      <c r="AG1688" s="1" t="s">
        <v>338</v>
      </c>
      <c r="AH1688" s="1" t="s">
        <v>49</v>
      </c>
      <c r="AI1688" s="1" t="s">
        <v>54</v>
      </c>
      <c r="AJ1688" s="1">
        <v>1</v>
      </c>
      <c r="AK1688" s="1" t="str">
        <f t="shared" si="26"/>
        <v xml:space="preserve"> =&lt;90</v>
      </c>
      <c r="AL1688" s="1" t="str">
        <f>VLOOKUP(C:C,[1]基础信息!B$1:D$65536,3,0)</f>
        <v>Jug</v>
      </c>
      <c r="AM1688" s="1" t="str">
        <f>VLOOKUP(C:C,[1]基础信息!B$1:E$65536,4,0)</f>
        <v>Marella XL</v>
      </c>
      <c r="AN1688" s="1" t="str">
        <f>VLOOKUP(C:C,[1]基础信息!B$1:F$65536,5,0)</f>
        <v>Blue</v>
      </c>
    </row>
    <row r="1689" spans="1:40">
      <c r="A1689" s="1" t="s">
        <v>41</v>
      </c>
      <c r="B1689" s="1" t="s">
        <v>42</v>
      </c>
      <c r="C1689" s="1" t="s">
        <v>3826</v>
      </c>
      <c r="D1689" s="1" t="s">
        <v>3827</v>
      </c>
      <c r="E1689" s="1" t="s">
        <v>45</v>
      </c>
      <c r="F1689" s="1" t="s">
        <v>3828</v>
      </c>
      <c r="G1689" s="1" t="s">
        <v>3919</v>
      </c>
      <c r="H1689" s="1" t="s">
        <v>3920</v>
      </c>
      <c r="I1689" s="1" t="s">
        <v>49</v>
      </c>
      <c r="J1689" s="1" t="s">
        <v>48</v>
      </c>
      <c r="K1689" s="1">
        <v>70</v>
      </c>
      <c r="L1689" s="1">
        <v>0</v>
      </c>
      <c r="M1689" s="1">
        <v>0</v>
      </c>
      <c r="N1689" s="1">
        <v>70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 t="s">
        <v>49</v>
      </c>
      <c r="AA1689" s="1" t="s">
        <v>49</v>
      </c>
      <c r="AB1689" s="1" t="s">
        <v>49</v>
      </c>
      <c r="AC1689" s="1" t="s">
        <v>3831</v>
      </c>
      <c r="AD1689" s="1" t="s">
        <v>3832</v>
      </c>
      <c r="AE1689" s="1" t="s">
        <v>3831</v>
      </c>
      <c r="AF1689" s="1" t="s">
        <v>3833</v>
      </c>
      <c r="AG1689" s="1" t="s">
        <v>338</v>
      </c>
      <c r="AH1689" s="1" t="s">
        <v>49</v>
      </c>
      <c r="AI1689" s="1" t="s">
        <v>54</v>
      </c>
      <c r="AJ1689" s="1">
        <v>1</v>
      </c>
      <c r="AK1689" s="1" t="str">
        <f t="shared" si="26"/>
        <v xml:space="preserve"> =&lt;90</v>
      </c>
      <c r="AL1689" s="1" t="str">
        <f>VLOOKUP(C:C,[1]基础信息!B$1:D$65536,3,0)</f>
        <v>Jug</v>
      </c>
      <c r="AM1689" s="1" t="str">
        <f>VLOOKUP(C:C,[1]基础信息!B$1:E$65536,4,0)</f>
        <v>Marella XL</v>
      </c>
      <c r="AN1689" s="1" t="str">
        <f>VLOOKUP(C:C,[1]基础信息!B$1:F$65536,5,0)</f>
        <v>Blue</v>
      </c>
    </row>
    <row r="1690" spans="1:40">
      <c r="A1690" s="1" t="s">
        <v>41</v>
      </c>
      <c r="B1690" s="1" t="s">
        <v>42</v>
      </c>
      <c r="C1690" s="1" t="s">
        <v>3826</v>
      </c>
      <c r="D1690" s="1" t="s">
        <v>3827</v>
      </c>
      <c r="E1690" s="1" t="s">
        <v>45</v>
      </c>
      <c r="F1690" s="1" t="s">
        <v>3828</v>
      </c>
      <c r="G1690" s="1" t="s">
        <v>3921</v>
      </c>
      <c r="H1690" s="1" t="s">
        <v>3922</v>
      </c>
      <c r="I1690" s="1" t="s">
        <v>49</v>
      </c>
      <c r="J1690" s="1" t="s">
        <v>48</v>
      </c>
      <c r="K1690" s="1">
        <v>70</v>
      </c>
      <c r="L1690" s="1">
        <v>0</v>
      </c>
      <c r="M1690" s="1">
        <v>0</v>
      </c>
      <c r="N1690" s="1">
        <v>70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 t="s">
        <v>49</v>
      </c>
      <c r="AA1690" s="1" t="s">
        <v>49</v>
      </c>
      <c r="AB1690" s="1" t="s">
        <v>49</v>
      </c>
      <c r="AC1690" s="1" t="s">
        <v>3831</v>
      </c>
      <c r="AD1690" s="1" t="s">
        <v>3832</v>
      </c>
      <c r="AE1690" s="1" t="s">
        <v>3831</v>
      </c>
      <c r="AF1690" s="1" t="s">
        <v>3833</v>
      </c>
      <c r="AG1690" s="1" t="s">
        <v>338</v>
      </c>
      <c r="AH1690" s="1" t="s">
        <v>49</v>
      </c>
      <c r="AI1690" s="1" t="s">
        <v>54</v>
      </c>
      <c r="AJ1690" s="1">
        <v>1</v>
      </c>
      <c r="AK1690" s="1" t="str">
        <f t="shared" si="26"/>
        <v xml:space="preserve"> =&lt;90</v>
      </c>
      <c r="AL1690" s="1" t="str">
        <f>VLOOKUP(C:C,[1]基础信息!B$1:D$65536,3,0)</f>
        <v>Jug</v>
      </c>
      <c r="AM1690" s="1" t="str">
        <f>VLOOKUP(C:C,[1]基础信息!B$1:E$65536,4,0)</f>
        <v>Marella XL</v>
      </c>
      <c r="AN1690" s="1" t="str">
        <f>VLOOKUP(C:C,[1]基础信息!B$1:F$65536,5,0)</f>
        <v>Blue</v>
      </c>
    </row>
    <row r="1691" spans="1:40">
      <c r="A1691" s="1" t="s">
        <v>41</v>
      </c>
      <c r="B1691" s="1" t="s">
        <v>42</v>
      </c>
      <c r="C1691" s="1" t="s">
        <v>3826</v>
      </c>
      <c r="D1691" s="1" t="s">
        <v>3827</v>
      </c>
      <c r="E1691" s="1" t="s">
        <v>45</v>
      </c>
      <c r="F1691" s="1" t="s">
        <v>3828</v>
      </c>
      <c r="G1691" s="1" t="s">
        <v>3923</v>
      </c>
      <c r="H1691" s="1" t="s">
        <v>3924</v>
      </c>
      <c r="I1691" s="1" t="s">
        <v>49</v>
      </c>
      <c r="J1691" s="1" t="s">
        <v>48</v>
      </c>
      <c r="K1691" s="1">
        <v>70</v>
      </c>
      <c r="L1691" s="1">
        <v>0</v>
      </c>
      <c r="M1691" s="1">
        <v>0</v>
      </c>
      <c r="N1691" s="1">
        <v>70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 t="s">
        <v>49</v>
      </c>
      <c r="AA1691" s="1" t="s">
        <v>49</v>
      </c>
      <c r="AB1691" s="1" t="s">
        <v>49</v>
      </c>
      <c r="AC1691" s="1" t="s">
        <v>3831</v>
      </c>
      <c r="AD1691" s="1" t="s">
        <v>3832</v>
      </c>
      <c r="AE1691" s="1" t="s">
        <v>3831</v>
      </c>
      <c r="AF1691" s="1" t="s">
        <v>3833</v>
      </c>
      <c r="AG1691" s="1" t="s">
        <v>338</v>
      </c>
      <c r="AH1691" s="1" t="s">
        <v>49</v>
      </c>
      <c r="AI1691" s="1" t="s">
        <v>54</v>
      </c>
      <c r="AJ1691" s="1">
        <v>1</v>
      </c>
      <c r="AK1691" s="1" t="str">
        <f t="shared" si="26"/>
        <v xml:space="preserve"> =&lt;90</v>
      </c>
      <c r="AL1691" s="1" t="str">
        <f>VLOOKUP(C:C,[1]基础信息!B$1:D$65536,3,0)</f>
        <v>Jug</v>
      </c>
      <c r="AM1691" s="1" t="str">
        <f>VLOOKUP(C:C,[1]基础信息!B$1:E$65536,4,0)</f>
        <v>Marella XL</v>
      </c>
      <c r="AN1691" s="1" t="str">
        <f>VLOOKUP(C:C,[1]基础信息!B$1:F$65536,5,0)</f>
        <v>Blue</v>
      </c>
    </row>
    <row r="1692" spans="1:40">
      <c r="A1692" s="1" t="s">
        <v>41</v>
      </c>
      <c r="B1692" s="1" t="s">
        <v>42</v>
      </c>
      <c r="C1692" s="1" t="s">
        <v>3796</v>
      </c>
      <c r="D1692" s="1" t="s">
        <v>3797</v>
      </c>
      <c r="E1692" s="1" t="s">
        <v>3796</v>
      </c>
      <c r="F1692" s="1" t="s">
        <v>3798</v>
      </c>
      <c r="G1692" s="1" t="s">
        <v>3925</v>
      </c>
      <c r="H1692" s="1" t="s">
        <v>3926</v>
      </c>
      <c r="I1692" s="1" t="s">
        <v>49</v>
      </c>
      <c r="J1692" s="1" t="s">
        <v>48</v>
      </c>
      <c r="K1692" s="1">
        <v>80</v>
      </c>
      <c r="L1692" s="1">
        <v>0</v>
      </c>
      <c r="M1692" s="1">
        <v>0</v>
      </c>
      <c r="N1692" s="1">
        <v>80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 t="s">
        <v>49</v>
      </c>
      <c r="AA1692" s="1" t="s">
        <v>49</v>
      </c>
      <c r="AB1692" s="1" t="s">
        <v>49</v>
      </c>
      <c r="AC1692" s="1" t="s">
        <v>3801</v>
      </c>
      <c r="AD1692" s="1" t="s">
        <v>3802</v>
      </c>
      <c r="AE1692" s="1" t="s">
        <v>3801</v>
      </c>
      <c r="AF1692" s="1" t="s">
        <v>3803</v>
      </c>
      <c r="AG1692" s="1" t="s">
        <v>338</v>
      </c>
      <c r="AH1692" s="1" t="s">
        <v>49</v>
      </c>
      <c r="AI1692" s="1" t="s">
        <v>54</v>
      </c>
      <c r="AJ1692" s="1">
        <v>1</v>
      </c>
      <c r="AK1692" s="1" t="str">
        <f t="shared" si="26"/>
        <v xml:space="preserve"> =&lt;90</v>
      </c>
      <c r="AL1692" s="1" t="str">
        <f>VLOOKUP(C:C,[1]基础信息!B$1:D$65536,3,0)</f>
        <v>Jug</v>
      </c>
      <c r="AM1692" s="1" t="str">
        <f>VLOOKUP(C:C,[1]基础信息!B$1:E$65536,4,0)</f>
        <v>Aluna</v>
      </c>
      <c r="AN1692" s="1" t="str">
        <f>VLOOKUP(C:C,[1]基础信息!B$1:F$65536,5,0)</f>
        <v>Blue</v>
      </c>
    </row>
    <row r="1693" spans="1:40">
      <c r="A1693" s="1" t="s">
        <v>41</v>
      </c>
      <c r="B1693" s="1" t="s">
        <v>42</v>
      </c>
      <c r="C1693" s="1" t="s">
        <v>3796</v>
      </c>
      <c r="D1693" s="1" t="s">
        <v>3797</v>
      </c>
      <c r="E1693" s="1" t="s">
        <v>3796</v>
      </c>
      <c r="F1693" s="1" t="s">
        <v>3798</v>
      </c>
      <c r="G1693" s="1" t="s">
        <v>3927</v>
      </c>
      <c r="H1693" s="1" t="s">
        <v>3928</v>
      </c>
      <c r="I1693" s="1" t="s">
        <v>49</v>
      </c>
      <c r="J1693" s="1" t="s">
        <v>48</v>
      </c>
      <c r="K1693" s="1">
        <v>28</v>
      </c>
      <c r="L1693" s="1">
        <v>0</v>
      </c>
      <c r="M1693" s="1">
        <v>0</v>
      </c>
      <c r="N1693" s="1">
        <v>28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 t="s">
        <v>49</v>
      </c>
      <c r="AA1693" s="1" t="s">
        <v>49</v>
      </c>
      <c r="AB1693" s="1" t="s">
        <v>49</v>
      </c>
      <c r="AC1693" s="1" t="s">
        <v>3801</v>
      </c>
      <c r="AD1693" s="1" t="s">
        <v>3802</v>
      </c>
      <c r="AE1693" s="1" t="s">
        <v>3801</v>
      </c>
      <c r="AF1693" s="1" t="s">
        <v>3803</v>
      </c>
      <c r="AG1693" s="1" t="s">
        <v>338</v>
      </c>
      <c r="AH1693" s="1" t="s">
        <v>49</v>
      </c>
      <c r="AI1693" s="1" t="s">
        <v>54</v>
      </c>
      <c r="AJ1693" s="1">
        <v>1</v>
      </c>
      <c r="AK1693" s="1" t="str">
        <f t="shared" si="26"/>
        <v xml:space="preserve"> =&lt;90</v>
      </c>
      <c r="AL1693" s="1" t="str">
        <f>VLOOKUP(C:C,[1]基础信息!B$1:D$65536,3,0)</f>
        <v>Jug</v>
      </c>
      <c r="AM1693" s="1" t="str">
        <f>VLOOKUP(C:C,[1]基础信息!B$1:E$65536,4,0)</f>
        <v>Aluna</v>
      </c>
      <c r="AN1693" s="1" t="str">
        <f>VLOOKUP(C:C,[1]基础信息!B$1:F$65536,5,0)</f>
        <v>Blue</v>
      </c>
    </row>
    <row r="1694" spans="1:40">
      <c r="A1694" s="1" t="s">
        <v>41</v>
      </c>
      <c r="B1694" s="1" t="s">
        <v>42</v>
      </c>
      <c r="C1694" s="1" t="s">
        <v>3826</v>
      </c>
      <c r="D1694" s="1" t="s">
        <v>3827</v>
      </c>
      <c r="E1694" s="1" t="s">
        <v>45</v>
      </c>
      <c r="F1694" s="1" t="s">
        <v>3828</v>
      </c>
      <c r="G1694" s="1" t="s">
        <v>3929</v>
      </c>
      <c r="H1694" s="1" t="s">
        <v>3930</v>
      </c>
      <c r="I1694" s="1" t="s">
        <v>49</v>
      </c>
      <c r="J1694" s="1" t="s">
        <v>48</v>
      </c>
      <c r="K1694" s="1">
        <v>70</v>
      </c>
      <c r="L1694" s="1">
        <v>0</v>
      </c>
      <c r="M1694" s="1">
        <v>0</v>
      </c>
      <c r="N1694" s="1">
        <v>70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 t="s">
        <v>49</v>
      </c>
      <c r="AA1694" s="1" t="s">
        <v>49</v>
      </c>
      <c r="AB1694" s="1" t="s">
        <v>49</v>
      </c>
      <c r="AC1694" s="1" t="s">
        <v>3831</v>
      </c>
      <c r="AD1694" s="1" t="s">
        <v>3832</v>
      </c>
      <c r="AE1694" s="1" t="s">
        <v>3831</v>
      </c>
      <c r="AF1694" s="1" t="s">
        <v>3833</v>
      </c>
      <c r="AG1694" s="1" t="s">
        <v>338</v>
      </c>
      <c r="AH1694" s="1" t="s">
        <v>49</v>
      </c>
      <c r="AI1694" s="1" t="s">
        <v>54</v>
      </c>
      <c r="AJ1694" s="1">
        <v>1</v>
      </c>
      <c r="AK1694" s="1" t="str">
        <f t="shared" si="26"/>
        <v xml:space="preserve"> =&lt;90</v>
      </c>
      <c r="AL1694" s="1" t="str">
        <f>VLOOKUP(C:C,[1]基础信息!B$1:D$65536,3,0)</f>
        <v>Jug</v>
      </c>
      <c r="AM1694" s="1" t="str">
        <f>VLOOKUP(C:C,[1]基础信息!B$1:E$65536,4,0)</f>
        <v>Marella XL</v>
      </c>
      <c r="AN1694" s="1" t="str">
        <f>VLOOKUP(C:C,[1]基础信息!B$1:F$65536,5,0)</f>
        <v>Blue</v>
      </c>
    </row>
    <row r="1695" spans="1:40">
      <c r="A1695" s="1" t="s">
        <v>41</v>
      </c>
      <c r="B1695" s="1" t="s">
        <v>42</v>
      </c>
      <c r="C1695" s="1" t="s">
        <v>3826</v>
      </c>
      <c r="D1695" s="1" t="s">
        <v>3827</v>
      </c>
      <c r="E1695" s="1" t="s">
        <v>45</v>
      </c>
      <c r="F1695" s="1" t="s">
        <v>3828</v>
      </c>
      <c r="G1695" s="1" t="s">
        <v>3931</v>
      </c>
      <c r="H1695" s="1" t="s">
        <v>3932</v>
      </c>
      <c r="I1695" s="1" t="s">
        <v>49</v>
      </c>
      <c r="J1695" s="1" t="s">
        <v>48</v>
      </c>
      <c r="K1695" s="1">
        <v>70</v>
      </c>
      <c r="L1695" s="1">
        <v>0</v>
      </c>
      <c r="M1695" s="1">
        <v>0</v>
      </c>
      <c r="N1695" s="1">
        <v>70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 t="s">
        <v>49</v>
      </c>
      <c r="AA1695" s="1" t="s">
        <v>49</v>
      </c>
      <c r="AB1695" s="1" t="s">
        <v>49</v>
      </c>
      <c r="AC1695" s="1" t="s">
        <v>3831</v>
      </c>
      <c r="AD1695" s="1" t="s">
        <v>3832</v>
      </c>
      <c r="AE1695" s="1" t="s">
        <v>3831</v>
      </c>
      <c r="AF1695" s="1" t="s">
        <v>3833</v>
      </c>
      <c r="AG1695" s="1" t="s">
        <v>338</v>
      </c>
      <c r="AH1695" s="1" t="s">
        <v>49</v>
      </c>
      <c r="AI1695" s="1" t="s">
        <v>54</v>
      </c>
      <c r="AJ1695" s="1">
        <v>1</v>
      </c>
      <c r="AK1695" s="1" t="str">
        <f t="shared" si="26"/>
        <v xml:space="preserve"> =&lt;90</v>
      </c>
      <c r="AL1695" s="1" t="str">
        <f>VLOOKUP(C:C,[1]基础信息!B$1:D$65536,3,0)</f>
        <v>Jug</v>
      </c>
      <c r="AM1695" s="1" t="str">
        <f>VLOOKUP(C:C,[1]基础信息!B$1:E$65536,4,0)</f>
        <v>Marella XL</v>
      </c>
      <c r="AN1695" s="1" t="str">
        <f>VLOOKUP(C:C,[1]基础信息!B$1:F$65536,5,0)</f>
        <v>Blue</v>
      </c>
    </row>
    <row r="1696" spans="1:40">
      <c r="A1696" s="1" t="s">
        <v>41</v>
      </c>
      <c r="B1696" s="1" t="s">
        <v>42</v>
      </c>
      <c r="C1696" s="1" t="s">
        <v>3826</v>
      </c>
      <c r="D1696" s="1" t="s">
        <v>3827</v>
      </c>
      <c r="E1696" s="1" t="s">
        <v>45</v>
      </c>
      <c r="F1696" s="1" t="s">
        <v>3828</v>
      </c>
      <c r="G1696" s="1" t="s">
        <v>3933</v>
      </c>
      <c r="H1696" s="1" t="s">
        <v>3934</v>
      </c>
      <c r="I1696" s="1" t="s">
        <v>49</v>
      </c>
      <c r="J1696" s="1" t="s">
        <v>48</v>
      </c>
      <c r="K1696" s="1">
        <v>70</v>
      </c>
      <c r="L1696" s="1">
        <v>0</v>
      </c>
      <c r="M1696" s="1">
        <v>0</v>
      </c>
      <c r="N1696" s="1">
        <v>70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 t="s">
        <v>49</v>
      </c>
      <c r="AA1696" s="1" t="s">
        <v>49</v>
      </c>
      <c r="AB1696" s="1" t="s">
        <v>49</v>
      </c>
      <c r="AC1696" s="1" t="s">
        <v>3831</v>
      </c>
      <c r="AD1696" s="1" t="s">
        <v>3832</v>
      </c>
      <c r="AE1696" s="1" t="s">
        <v>3831</v>
      </c>
      <c r="AF1696" s="1" t="s">
        <v>3833</v>
      </c>
      <c r="AG1696" s="1" t="s">
        <v>338</v>
      </c>
      <c r="AH1696" s="1" t="s">
        <v>49</v>
      </c>
      <c r="AI1696" s="1" t="s">
        <v>54</v>
      </c>
      <c r="AJ1696" s="1">
        <v>1</v>
      </c>
      <c r="AK1696" s="1" t="str">
        <f t="shared" si="26"/>
        <v xml:space="preserve"> =&lt;90</v>
      </c>
      <c r="AL1696" s="1" t="str">
        <f>VLOOKUP(C:C,[1]基础信息!B$1:D$65536,3,0)</f>
        <v>Jug</v>
      </c>
      <c r="AM1696" s="1" t="str">
        <f>VLOOKUP(C:C,[1]基础信息!B$1:E$65536,4,0)</f>
        <v>Marella XL</v>
      </c>
      <c r="AN1696" s="1" t="str">
        <f>VLOOKUP(C:C,[1]基础信息!B$1:F$65536,5,0)</f>
        <v>Blue</v>
      </c>
    </row>
    <row r="1697" spans="1:40">
      <c r="A1697" s="1" t="s">
        <v>41</v>
      </c>
      <c r="B1697" s="1" t="s">
        <v>42</v>
      </c>
      <c r="C1697" s="1" t="s">
        <v>3826</v>
      </c>
      <c r="D1697" s="1" t="s">
        <v>3827</v>
      </c>
      <c r="E1697" s="1" t="s">
        <v>45</v>
      </c>
      <c r="F1697" s="1" t="s">
        <v>3828</v>
      </c>
      <c r="G1697" s="1" t="s">
        <v>3935</v>
      </c>
      <c r="H1697" s="1" t="s">
        <v>3936</v>
      </c>
      <c r="I1697" s="1" t="s">
        <v>49</v>
      </c>
      <c r="J1697" s="1" t="s">
        <v>48</v>
      </c>
      <c r="K1697" s="1">
        <v>70</v>
      </c>
      <c r="L1697" s="1">
        <v>0</v>
      </c>
      <c r="M1697" s="1">
        <v>0</v>
      </c>
      <c r="N1697" s="1">
        <v>70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 t="s">
        <v>49</v>
      </c>
      <c r="AA1697" s="1" t="s">
        <v>49</v>
      </c>
      <c r="AB1697" s="1" t="s">
        <v>49</v>
      </c>
      <c r="AC1697" s="1" t="s">
        <v>3831</v>
      </c>
      <c r="AD1697" s="1" t="s">
        <v>3832</v>
      </c>
      <c r="AE1697" s="1" t="s">
        <v>3831</v>
      </c>
      <c r="AF1697" s="1" t="s">
        <v>3833</v>
      </c>
      <c r="AG1697" s="1" t="s">
        <v>338</v>
      </c>
      <c r="AH1697" s="1" t="s">
        <v>49</v>
      </c>
      <c r="AI1697" s="1" t="s">
        <v>54</v>
      </c>
      <c r="AJ1697" s="1">
        <v>1</v>
      </c>
      <c r="AK1697" s="1" t="str">
        <f t="shared" si="26"/>
        <v xml:space="preserve"> =&lt;90</v>
      </c>
      <c r="AL1697" s="1" t="str">
        <f>VLOOKUP(C:C,[1]基础信息!B$1:D$65536,3,0)</f>
        <v>Jug</v>
      </c>
      <c r="AM1697" s="1" t="str">
        <f>VLOOKUP(C:C,[1]基础信息!B$1:E$65536,4,0)</f>
        <v>Marella XL</v>
      </c>
      <c r="AN1697" s="1" t="str">
        <f>VLOOKUP(C:C,[1]基础信息!B$1:F$65536,5,0)</f>
        <v>Blue</v>
      </c>
    </row>
    <row r="1698" spans="1:40">
      <c r="A1698" s="1" t="s">
        <v>41</v>
      </c>
      <c r="B1698" s="1" t="s">
        <v>42</v>
      </c>
      <c r="C1698" s="1" t="s">
        <v>3826</v>
      </c>
      <c r="D1698" s="1" t="s">
        <v>3827</v>
      </c>
      <c r="E1698" s="1" t="s">
        <v>45</v>
      </c>
      <c r="F1698" s="1" t="s">
        <v>3828</v>
      </c>
      <c r="G1698" s="1" t="s">
        <v>3937</v>
      </c>
      <c r="H1698" s="1" t="s">
        <v>3938</v>
      </c>
      <c r="I1698" s="1" t="s">
        <v>49</v>
      </c>
      <c r="J1698" s="1" t="s">
        <v>48</v>
      </c>
      <c r="K1698" s="1">
        <v>70</v>
      </c>
      <c r="L1698" s="1">
        <v>0</v>
      </c>
      <c r="M1698" s="1">
        <v>0</v>
      </c>
      <c r="N1698" s="1">
        <v>70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 t="s">
        <v>49</v>
      </c>
      <c r="AA1698" s="1" t="s">
        <v>49</v>
      </c>
      <c r="AB1698" s="1" t="s">
        <v>49</v>
      </c>
      <c r="AC1698" s="1" t="s">
        <v>3831</v>
      </c>
      <c r="AD1698" s="1" t="s">
        <v>3832</v>
      </c>
      <c r="AE1698" s="1" t="s">
        <v>3831</v>
      </c>
      <c r="AF1698" s="1" t="s">
        <v>3833</v>
      </c>
      <c r="AG1698" s="1" t="s">
        <v>338</v>
      </c>
      <c r="AH1698" s="1" t="s">
        <v>49</v>
      </c>
      <c r="AI1698" s="1" t="s">
        <v>54</v>
      </c>
      <c r="AJ1698" s="1">
        <v>1</v>
      </c>
      <c r="AK1698" s="1" t="str">
        <f t="shared" si="26"/>
        <v xml:space="preserve"> =&lt;90</v>
      </c>
      <c r="AL1698" s="1" t="str">
        <f>VLOOKUP(C:C,[1]基础信息!B$1:D$65536,3,0)</f>
        <v>Jug</v>
      </c>
      <c r="AM1698" s="1" t="str">
        <f>VLOOKUP(C:C,[1]基础信息!B$1:E$65536,4,0)</f>
        <v>Marella XL</v>
      </c>
      <c r="AN1698" s="1" t="str">
        <f>VLOOKUP(C:C,[1]基础信息!B$1:F$65536,5,0)</f>
        <v>Blue</v>
      </c>
    </row>
    <row r="1699" spans="1:40">
      <c r="A1699" s="1" t="s">
        <v>41</v>
      </c>
      <c r="B1699" s="1" t="s">
        <v>42</v>
      </c>
      <c r="C1699" s="1" t="s">
        <v>3826</v>
      </c>
      <c r="D1699" s="1" t="s">
        <v>3827</v>
      </c>
      <c r="E1699" s="1" t="s">
        <v>45</v>
      </c>
      <c r="F1699" s="1" t="s">
        <v>3828</v>
      </c>
      <c r="G1699" s="1" t="s">
        <v>3939</v>
      </c>
      <c r="H1699" s="1" t="s">
        <v>3940</v>
      </c>
      <c r="I1699" s="1" t="s">
        <v>49</v>
      </c>
      <c r="J1699" s="1" t="s">
        <v>48</v>
      </c>
      <c r="K1699" s="1">
        <v>70</v>
      </c>
      <c r="L1699" s="1">
        <v>0</v>
      </c>
      <c r="M1699" s="1">
        <v>0</v>
      </c>
      <c r="N1699" s="1">
        <v>70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 t="s">
        <v>49</v>
      </c>
      <c r="AA1699" s="1" t="s">
        <v>49</v>
      </c>
      <c r="AB1699" s="1" t="s">
        <v>49</v>
      </c>
      <c r="AC1699" s="1" t="s">
        <v>3831</v>
      </c>
      <c r="AD1699" s="1" t="s">
        <v>3832</v>
      </c>
      <c r="AE1699" s="1" t="s">
        <v>3831</v>
      </c>
      <c r="AF1699" s="1" t="s">
        <v>3833</v>
      </c>
      <c r="AG1699" s="1" t="s">
        <v>338</v>
      </c>
      <c r="AH1699" s="1" t="s">
        <v>49</v>
      </c>
      <c r="AI1699" s="1" t="s">
        <v>54</v>
      </c>
      <c r="AJ1699" s="1">
        <v>1</v>
      </c>
      <c r="AK1699" s="1" t="str">
        <f t="shared" si="26"/>
        <v xml:space="preserve"> =&lt;90</v>
      </c>
      <c r="AL1699" s="1" t="str">
        <f>VLOOKUP(C:C,[1]基础信息!B$1:D$65536,3,0)</f>
        <v>Jug</v>
      </c>
      <c r="AM1699" s="1" t="str">
        <f>VLOOKUP(C:C,[1]基础信息!B$1:E$65536,4,0)</f>
        <v>Marella XL</v>
      </c>
      <c r="AN1699" s="1" t="str">
        <f>VLOOKUP(C:C,[1]基础信息!B$1:F$65536,5,0)</f>
        <v>Blue</v>
      </c>
    </row>
    <row r="1700" spans="1:40">
      <c r="A1700" s="1" t="s">
        <v>41</v>
      </c>
      <c r="B1700" s="1" t="s">
        <v>42</v>
      </c>
      <c r="C1700" s="1" t="s">
        <v>3826</v>
      </c>
      <c r="D1700" s="1" t="s">
        <v>3827</v>
      </c>
      <c r="E1700" s="1" t="s">
        <v>45</v>
      </c>
      <c r="F1700" s="1" t="s">
        <v>3828</v>
      </c>
      <c r="G1700" s="1" t="s">
        <v>3941</v>
      </c>
      <c r="H1700" s="1" t="s">
        <v>3942</v>
      </c>
      <c r="I1700" s="1" t="s">
        <v>49</v>
      </c>
      <c r="J1700" s="1" t="s">
        <v>48</v>
      </c>
      <c r="K1700" s="1">
        <v>70</v>
      </c>
      <c r="L1700" s="1">
        <v>0</v>
      </c>
      <c r="M1700" s="1">
        <v>0</v>
      </c>
      <c r="N1700" s="1">
        <v>70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 t="s">
        <v>49</v>
      </c>
      <c r="AA1700" s="1" t="s">
        <v>49</v>
      </c>
      <c r="AB1700" s="1" t="s">
        <v>49</v>
      </c>
      <c r="AC1700" s="1" t="s">
        <v>3831</v>
      </c>
      <c r="AD1700" s="1" t="s">
        <v>3832</v>
      </c>
      <c r="AE1700" s="1" t="s">
        <v>3831</v>
      </c>
      <c r="AF1700" s="1" t="s">
        <v>3833</v>
      </c>
      <c r="AG1700" s="1" t="s">
        <v>338</v>
      </c>
      <c r="AH1700" s="1" t="s">
        <v>49</v>
      </c>
      <c r="AI1700" s="1" t="s">
        <v>54</v>
      </c>
      <c r="AJ1700" s="1">
        <v>1</v>
      </c>
      <c r="AK1700" s="1" t="str">
        <f t="shared" si="26"/>
        <v xml:space="preserve"> =&lt;90</v>
      </c>
      <c r="AL1700" s="1" t="str">
        <f>VLOOKUP(C:C,[1]基础信息!B$1:D$65536,3,0)</f>
        <v>Jug</v>
      </c>
      <c r="AM1700" s="1" t="str">
        <f>VLOOKUP(C:C,[1]基础信息!B$1:E$65536,4,0)</f>
        <v>Marella XL</v>
      </c>
      <c r="AN1700" s="1" t="str">
        <f>VLOOKUP(C:C,[1]基础信息!B$1:F$65536,5,0)</f>
        <v>Blue</v>
      </c>
    </row>
    <row r="1701" spans="1:40">
      <c r="A1701" s="1" t="s">
        <v>41</v>
      </c>
      <c r="B1701" s="1" t="s">
        <v>42</v>
      </c>
      <c r="C1701" s="1" t="s">
        <v>3826</v>
      </c>
      <c r="D1701" s="1" t="s">
        <v>3827</v>
      </c>
      <c r="E1701" s="1" t="s">
        <v>45</v>
      </c>
      <c r="F1701" s="1" t="s">
        <v>3828</v>
      </c>
      <c r="G1701" s="1" t="s">
        <v>3943</v>
      </c>
      <c r="H1701" s="1" t="s">
        <v>3944</v>
      </c>
      <c r="I1701" s="1" t="s">
        <v>49</v>
      </c>
      <c r="J1701" s="1" t="s">
        <v>48</v>
      </c>
      <c r="K1701" s="1">
        <v>70</v>
      </c>
      <c r="L1701" s="1">
        <v>0</v>
      </c>
      <c r="M1701" s="1">
        <v>0</v>
      </c>
      <c r="N1701" s="1">
        <v>70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 t="s">
        <v>49</v>
      </c>
      <c r="AA1701" s="1" t="s">
        <v>49</v>
      </c>
      <c r="AB1701" s="1" t="s">
        <v>49</v>
      </c>
      <c r="AC1701" s="1" t="s">
        <v>3831</v>
      </c>
      <c r="AD1701" s="1" t="s">
        <v>3832</v>
      </c>
      <c r="AE1701" s="1" t="s">
        <v>3831</v>
      </c>
      <c r="AF1701" s="1" t="s">
        <v>3833</v>
      </c>
      <c r="AG1701" s="1" t="s">
        <v>338</v>
      </c>
      <c r="AH1701" s="1" t="s">
        <v>49</v>
      </c>
      <c r="AI1701" s="1" t="s">
        <v>54</v>
      </c>
      <c r="AJ1701" s="1">
        <v>1</v>
      </c>
      <c r="AK1701" s="1" t="str">
        <f t="shared" si="26"/>
        <v xml:space="preserve"> =&lt;90</v>
      </c>
      <c r="AL1701" s="1" t="str">
        <f>VLOOKUP(C:C,[1]基础信息!B$1:D$65536,3,0)</f>
        <v>Jug</v>
      </c>
      <c r="AM1701" s="1" t="str">
        <f>VLOOKUP(C:C,[1]基础信息!B$1:E$65536,4,0)</f>
        <v>Marella XL</v>
      </c>
      <c r="AN1701" s="1" t="str">
        <f>VLOOKUP(C:C,[1]基础信息!B$1:F$65536,5,0)</f>
        <v>Blue</v>
      </c>
    </row>
    <row r="1702" spans="1:40">
      <c r="A1702" s="1" t="s">
        <v>41</v>
      </c>
      <c r="B1702" s="1" t="s">
        <v>42</v>
      </c>
      <c r="C1702" s="1" t="s">
        <v>3826</v>
      </c>
      <c r="D1702" s="1" t="s">
        <v>3827</v>
      </c>
      <c r="E1702" s="1" t="s">
        <v>45</v>
      </c>
      <c r="F1702" s="1" t="s">
        <v>3828</v>
      </c>
      <c r="G1702" s="1" t="s">
        <v>3945</v>
      </c>
      <c r="H1702" s="1" t="s">
        <v>3946</v>
      </c>
      <c r="I1702" s="1" t="s">
        <v>49</v>
      </c>
      <c r="J1702" s="1" t="s">
        <v>48</v>
      </c>
      <c r="K1702" s="1">
        <v>70</v>
      </c>
      <c r="L1702" s="1">
        <v>0</v>
      </c>
      <c r="M1702" s="1">
        <v>0</v>
      </c>
      <c r="N1702" s="1">
        <v>70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 t="s">
        <v>49</v>
      </c>
      <c r="AA1702" s="1" t="s">
        <v>49</v>
      </c>
      <c r="AB1702" s="1" t="s">
        <v>49</v>
      </c>
      <c r="AC1702" s="1" t="s">
        <v>3831</v>
      </c>
      <c r="AD1702" s="1" t="s">
        <v>3832</v>
      </c>
      <c r="AE1702" s="1" t="s">
        <v>3831</v>
      </c>
      <c r="AF1702" s="1" t="s">
        <v>3833</v>
      </c>
      <c r="AG1702" s="1" t="s">
        <v>338</v>
      </c>
      <c r="AH1702" s="1" t="s">
        <v>49</v>
      </c>
      <c r="AI1702" s="1" t="s">
        <v>54</v>
      </c>
      <c r="AJ1702" s="1">
        <v>1</v>
      </c>
      <c r="AK1702" s="1" t="str">
        <f t="shared" si="26"/>
        <v xml:space="preserve"> =&lt;90</v>
      </c>
      <c r="AL1702" s="1" t="str">
        <f>VLOOKUP(C:C,[1]基础信息!B$1:D$65536,3,0)</f>
        <v>Jug</v>
      </c>
      <c r="AM1702" s="1" t="str">
        <f>VLOOKUP(C:C,[1]基础信息!B$1:E$65536,4,0)</f>
        <v>Marella XL</v>
      </c>
      <c r="AN1702" s="1" t="str">
        <f>VLOOKUP(C:C,[1]基础信息!B$1:F$65536,5,0)</f>
        <v>Blue</v>
      </c>
    </row>
    <row r="1703" spans="1:40">
      <c r="A1703" s="1" t="s">
        <v>41</v>
      </c>
      <c r="B1703" s="1" t="s">
        <v>42</v>
      </c>
      <c r="C1703" s="1" t="s">
        <v>3826</v>
      </c>
      <c r="D1703" s="1" t="s">
        <v>3827</v>
      </c>
      <c r="E1703" s="1" t="s">
        <v>45</v>
      </c>
      <c r="F1703" s="1" t="s">
        <v>3828</v>
      </c>
      <c r="G1703" s="1" t="s">
        <v>3947</v>
      </c>
      <c r="H1703" s="1" t="s">
        <v>3948</v>
      </c>
      <c r="I1703" s="1" t="s">
        <v>49</v>
      </c>
      <c r="J1703" s="1" t="s">
        <v>48</v>
      </c>
      <c r="K1703" s="1">
        <v>70</v>
      </c>
      <c r="L1703" s="1">
        <v>0</v>
      </c>
      <c r="M1703" s="1">
        <v>0</v>
      </c>
      <c r="N1703" s="1">
        <v>70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 t="s">
        <v>49</v>
      </c>
      <c r="AA1703" s="1" t="s">
        <v>49</v>
      </c>
      <c r="AB1703" s="1" t="s">
        <v>49</v>
      </c>
      <c r="AC1703" s="1" t="s">
        <v>3831</v>
      </c>
      <c r="AD1703" s="1" t="s">
        <v>3832</v>
      </c>
      <c r="AE1703" s="1" t="s">
        <v>3831</v>
      </c>
      <c r="AF1703" s="1" t="s">
        <v>3833</v>
      </c>
      <c r="AG1703" s="1" t="s">
        <v>338</v>
      </c>
      <c r="AH1703" s="1" t="s">
        <v>49</v>
      </c>
      <c r="AI1703" s="1" t="s">
        <v>54</v>
      </c>
      <c r="AJ1703" s="1">
        <v>1</v>
      </c>
      <c r="AK1703" s="1" t="str">
        <f t="shared" si="26"/>
        <v xml:space="preserve"> =&lt;90</v>
      </c>
      <c r="AL1703" s="1" t="str">
        <f>VLOOKUP(C:C,[1]基础信息!B$1:D$65536,3,0)</f>
        <v>Jug</v>
      </c>
      <c r="AM1703" s="1" t="str">
        <f>VLOOKUP(C:C,[1]基础信息!B$1:E$65536,4,0)</f>
        <v>Marella XL</v>
      </c>
      <c r="AN1703" s="1" t="str">
        <f>VLOOKUP(C:C,[1]基础信息!B$1:F$65536,5,0)</f>
        <v>Blue</v>
      </c>
    </row>
    <row r="1704" spans="1:40">
      <c r="A1704" s="1" t="s">
        <v>41</v>
      </c>
      <c r="B1704" s="1" t="s">
        <v>42</v>
      </c>
      <c r="C1704" s="1" t="s">
        <v>3826</v>
      </c>
      <c r="D1704" s="1" t="s">
        <v>3827</v>
      </c>
      <c r="E1704" s="1" t="s">
        <v>45</v>
      </c>
      <c r="F1704" s="1" t="s">
        <v>3828</v>
      </c>
      <c r="G1704" s="1" t="s">
        <v>3949</v>
      </c>
      <c r="H1704" s="1" t="s">
        <v>3950</v>
      </c>
      <c r="I1704" s="1" t="s">
        <v>49</v>
      </c>
      <c r="J1704" s="1" t="s">
        <v>48</v>
      </c>
      <c r="K1704" s="1">
        <v>70</v>
      </c>
      <c r="L1704" s="1">
        <v>0</v>
      </c>
      <c r="M1704" s="1">
        <v>0</v>
      </c>
      <c r="N1704" s="1">
        <v>70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 t="s">
        <v>49</v>
      </c>
      <c r="AA1704" s="1" t="s">
        <v>49</v>
      </c>
      <c r="AB1704" s="1" t="s">
        <v>49</v>
      </c>
      <c r="AC1704" s="1" t="s">
        <v>3831</v>
      </c>
      <c r="AD1704" s="1" t="s">
        <v>3832</v>
      </c>
      <c r="AE1704" s="1" t="s">
        <v>3831</v>
      </c>
      <c r="AF1704" s="1" t="s">
        <v>3833</v>
      </c>
      <c r="AG1704" s="1" t="s">
        <v>338</v>
      </c>
      <c r="AH1704" s="1" t="s">
        <v>49</v>
      </c>
      <c r="AI1704" s="1" t="s">
        <v>54</v>
      </c>
      <c r="AJ1704" s="1">
        <v>1</v>
      </c>
      <c r="AK1704" s="1" t="str">
        <f t="shared" si="26"/>
        <v xml:space="preserve"> =&lt;90</v>
      </c>
      <c r="AL1704" s="1" t="str">
        <f>VLOOKUP(C:C,[1]基础信息!B$1:D$65536,3,0)</f>
        <v>Jug</v>
      </c>
      <c r="AM1704" s="1" t="str">
        <f>VLOOKUP(C:C,[1]基础信息!B$1:E$65536,4,0)</f>
        <v>Marella XL</v>
      </c>
      <c r="AN1704" s="1" t="str">
        <f>VLOOKUP(C:C,[1]基础信息!B$1:F$65536,5,0)</f>
        <v>Blue</v>
      </c>
    </row>
    <row r="1705" spans="1:40">
      <c r="A1705" s="1" t="s">
        <v>41</v>
      </c>
      <c r="B1705" s="1" t="s">
        <v>42</v>
      </c>
      <c r="C1705" s="1" t="s">
        <v>3826</v>
      </c>
      <c r="D1705" s="1" t="s">
        <v>3827</v>
      </c>
      <c r="E1705" s="1" t="s">
        <v>45</v>
      </c>
      <c r="F1705" s="1" t="s">
        <v>3828</v>
      </c>
      <c r="G1705" s="1" t="s">
        <v>3951</v>
      </c>
      <c r="H1705" s="1" t="s">
        <v>3952</v>
      </c>
      <c r="I1705" s="1" t="s">
        <v>49</v>
      </c>
      <c r="J1705" s="1" t="s">
        <v>48</v>
      </c>
      <c r="K1705" s="1">
        <v>70</v>
      </c>
      <c r="L1705" s="1">
        <v>0</v>
      </c>
      <c r="M1705" s="1">
        <v>0</v>
      </c>
      <c r="N1705" s="1">
        <v>70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 t="s">
        <v>49</v>
      </c>
      <c r="AA1705" s="1" t="s">
        <v>49</v>
      </c>
      <c r="AB1705" s="1" t="s">
        <v>49</v>
      </c>
      <c r="AC1705" s="1" t="s">
        <v>3831</v>
      </c>
      <c r="AD1705" s="1" t="s">
        <v>3832</v>
      </c>
      <c r="AE1705" s="1" t="s">
        <v>3831</v>
      </c>
      <c r="AF1705" s="1" t="s">
        <v>3833</v>
      </c>
      <c r="AG1705" s="1" t="s">
        <v>338</v>
      </c>
      <c r="AH1705" s="1" t="s">
        <v>49</v>
      </c>
      <c r="AI1705" s="1" t="s">
        <v>54</v>
      </c>
      <c r="AJ1705" s="1">
        <v>1</v>
      </c>
      <c r="AK1705" s="1" t="str">
        <f t="shared" si="26"/>
        <v xml:space="preserve"> =&lt;90</v>
      </c>
      <c r="AL1705" s="1" t="str">
        <f>VLOOKUP(C:C,[1]基础信息!B$1:D$65536,3,0)</f>
        <v>Jug</v>
      </c>
      <c r="AM1705" s="1" t="str">
        <f>VLOOKUP(C:C,[1]基础信息!B$1:E$65536,4,0)</f>
        <v>Marella XL</v>
      </c>
      <c r="AN1705" s="1" t="str">
        <f>VLOOKUP(C:C,[1]基础信息!B$1:F$65536,5,0)</f>
        <v>Blue</v>
      </c>
    </row>
    <row r="1706" spans="1:40">
      <c r="A1706" s="1" t="s">
        <v>41</v>
      </c>
      <c r="B1706" s="1" t="s">
        <v>42</v>
      </c>
      <c r="C1706" s="1" t="s">
        <v>3826</v>
      </c>
      <c r="D1706" s="1" t="s">
        <v>3827</v>
      </c>
      <c r="E1706" s="1" t="s">
        <v>45</v>
      </c>
      <c r="F1706" s="1" t="s">
        <v>3828</v>
      </c>
      <c r="G1706" s="1" t="s">
        <v>3953</v>
      </c>
      <c r="H1706" s="1" t="s">
        <v>3954</v>
      </c>
      <c r="I1706" s="1" t="s">
        <v>49</v>
      </c>
      <c r="J1706" s="1" t="s">
        <v>48</v>
      </c>
      <c r="K1706" s="1">
        <v>70</v>
      </c>
      <c r="L1706" s="1">
        <v>0</v>
      </c>
      <c r="M1706" s="1">
        <v>0</v>
      </c>
      <c r="N1706" s="1">
        <v>70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 t="s">
        <v>49</v>
      </c>
      <c r="AA1706" s="1" t="s">
        <v>49</v>
      </c>
      <c r="AB1706" s="1" t="s">
        <v>49</v>
      </c>
      <c r="AC1706" s="1" t="s">
        <v>3831</v>
      </c>
      <c r="AD1706" s="1" t="s">
        <v>3832</v>
      </c>
      <c r="AE1706" s="1" t="s">
        <v>3831</v>
      </c>
      <c r="AF1706" s="1" t="s">
        <v>3833</v>
      </c>
      <c r="AG1706" s="1" t="s">
        <v>338</v>
      </c>
      <c r="AH1706" s="1" t="s">
        <v>49</v>
      </c>
      <c r="AI1706" s="1" t="s">
        <v>54</v>
      </c>
      <c r="AJ1706" s="1">
        <v>1</v>
      </c>
      <c r="AK1706" s="1" t="str">
        <f t="shared" si="26"/>
        <v xml:space="preserve"> =&lt;90</v>
      </c>
      <c r="AL1706" s="1" t="str">
        <f>VLOOKUP(C:C,[1]基础信息!B$1:D$65536,3,0)</f>
        <v>Jug</v>
      </c>
      <c r="AM1706" s="1" t="str">
        <f>VLOOKUP(C:C,[1]基础信息!B$1:E$65536,4,0)</f>
        <v>Marella XL</v>
      </c>
      <c r="AN1706" s="1" t="str">
        <f>VLOOKUP(C:C,[1]基础信息!B$1:F$65536,5,0)</f>
        <v>Blue</v>
      </c>
    </row>
    <row r="1707" spans="1:40">
      <c r="A1707" s="1" t="s">
        <v>41</v>
      </c>
      <c r="B1707" s="1" t="s">
        <v>42</v>
      </c>
      <c r="C1707" s="1" t="s">
        <v>3826</v>
      </c>
      <c r="D1707" s="1" t="s">
        <v>3827</v>
      </c>
      <c r="E1707" s="1" t="s">
        <v>45</v>
      </c>
      <c r="F1707" s="1" t="s">
        <v>3828</v>
      </c>
      <c r="G1707" s="1" t="s">
        <v>3955</v>
      </c>
      <c r="H1707" s="1" t="s">
        <v>3956</v>
      </c>
      <c r="I1707" s="1" t="s">
        <v>49</v>
      </c>
      <c r="J1707" s="1" t="s">
        <v>48</v>
      </c>
      <c r="K1707" s="1">
        <v>70</v>
      </c>
      <c r="L1707" s="1">
        <v>0</v>
      </c>
      <c r="M1707" s="1">
        <v>0</v>
      </c>
      <c r="N1707" s="1">
        <v>70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 t="s">
        <v>49</v>
      </c>
      <c r="AA1707" s="1" t="s">
        <v>49</v>
      </c>
      <c r="AB1707" s="1" t="s">
        <v>49</v>
      </c>
      <c r="AC1707" s="1" t="s">
        <v>3831</v>
      </c>
      <c r="AD1707" s="1" t="s">
        <v>3832</v>
      </c>
      <c r="AE1707" s="1" t="s">
        <v>3831</v>
      </c>
      <c r="AF1707" s="1" t="s">
        <v>3833</v>
      </c>
      <c r="AG1707" s="1" t="s">
        <v>338</v>
      </c>
      <c r="AH1707" s="1" t="s">
        <v>49</v>
      </c>
      <c r="AI1707" s="1" t="s">
        <v>54</v>
      </c>
      <c r="AJ1707" s="1">
        <v>1</v>
      </c>
      <c r="AK1707" s="1" t="str">
        <f t="shared" si="26"/>
        <v xml:space="preserve"> =&lt;90</v>
      </c>
      <c r="AL1707" s="1" t="str">
        <f>VLOOKUP(C:C,[1]基础信息!B$1:D$65536,3,0)</f>
        <v>Jug</v>
      </c>
      <c r="AM1707" s="1" t="str">
        <f>VLOOKUP(C:C,[1]基础信息!B$1:E$65536,4,0)</f>
        <v>Marella XL</v>
      </c>
      <c r="AN1707" s="1" t="str">
        <f>VLOOKUP(C:C,[1]基础信息!B$1:F$65536,5,0)</f>
        <v>Blue</v>
      </c>
    </row>
    <row r="1708" spans="1:40">
      <c r="A1708" s="1" t="s">
        <v>41</v>
      </c>
      <c r="B1708" s="1" t="s">
        <v>42</v>
      </c>
      <c r="C1708" s="1" t="s">
        <v>3826</v>
      </c>
      <c r="D1708" s="1" t="s">
        <v>3827</v>
      </c>
      <c r="E1708" s="1" t="s">
        <v>45</v>
      </c>
      <c r="F1708" s="1" t="s">
        <v>3828</v>
      </c>
      <c r="G1708" s="1" t="s">
        <v>3957</v>
      </c>
      <c r="H1708" s="1" t="s">
        <v>3958</v>
      </c>
      <c r="I1708" s="1" t="s">
        <v>49</v>
      </c>
      <c r="J1708" s="1" t="s">
        <v>48</v>
      </c>
      <c r="K1708" s="1">
        <v>70</v>
      </c>
      <c r="L1708" s="1">
        <v>0</v>
      </c>
      <c r="M1708" s="1">
        <v>0</v>
      </c>
      <c r="N1708" s="1">
        <v>70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 t="s">
        <v>49</v>
      </c>
      <c r="AA1708" s="1" t="s">
        <v>49</v>
      </c>
      <c r="AB1708" s="1" t="s">
        <v>49</v>
      </c>
      <c r="AC1708" s="1" t="s">
        <v>3831</v>
      </c>
      <c r="AD1708" s="1" t="s">
        <v>3832</v>
      </c>
      <c r="AE1708" s="1" t="s">
        <v>3831</v>
      </c>
      <c r="AF1708" s="1" t="s">
        <v>3833</v>
      </c>
      <c r="AG1708" s="1" t="s">
        <v>338</v>
      </c>
      <c r="AH1708" s="1" t="s">
        <v>49</v>
      </c>
      <c r="AI1708" s="1" t="s">
        <v>54</v>
      </c>
      <c r="AJ1708" s="1">
        <v>1</v>
      </c>
      <c r="AK1708" s="1" t="str">
        <f t="shared" si="26"/>
        <v xml:space="preserve"> =&lt;90</v>
      </c>
      <c r="AL1708" s="1" t="str">
        <f>VLOOKUP(C:C,[1]基础信息!B$1:D$65536,3,0)</f>
        <v>Jug</v>
      </c>
      <c r="AM1708" s="1" t="str">
        <f>VLOOKUP(C:C,[1]基础信息!B$1:E$65536,4,0)</f>
        <v>Marella XL</v>
      </c>
      <c r="AN1708" s="1" t="str">
        <f>VLOOKUP(C:C,[1]基础信息!B$1:F$65536,5,0)</f>
        <v>Blue</v>
      </c>
    </row>
    <row r="1709" spans="1:40">
      <c r="A1709" s="1" t="s">
        <v>41</v>
      </c>
      <c r="B1709" s="1" t="s">
        <v>42</v>
      </c>
      <c r="C1709" s="1" t="s">
        <v>3826</v>
      </c>
      <c r="D1709" s="1" t="s">
        <v>3827</v>
      </c>
      <c r="E1709" s="1" t="s">
        <v>45</v>
      </c>
      <c r="F1709" s="1" t="s">
        <v>3828</v>
      </c>
      <c r="G1709" s="1" t="s">
        <v>3959</v>
      </c>
      <c r="H1709" s="1" t="s">
        <v>3960</v>
      </c>
      <c r="I1709" s="1" t="s">
        <v>49</v>
      </c>
      <c r="J1709" s="1" t="s">
        <v>48</v>
      </c>
      <c r="K1709" s="1">
        <v>70</v>
      </c>
      <c r="L1709" s="1">
        <v>0</v>
      </c>
      <c r="M1709" s="1">
        <v>0</v>
      </c>
      <c r="N1709" s="1">
        <v>70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 t="s">
        <v>49</v>
      </c>
      <c r="AA1709" s="1" t="s">
        <v>49</v>
      </c>
      <c r="AB1709" s="1" t="s">
        <v>49</v>
      </c>
      <c r="AC1709" s="1" t="s">
        <v>3831</v>
      </c>
      <c r="AD1709" s="1" t="s">
        <v>3832</v>
      </c>
      <c r="AE1709" s="1" t="s">
        <v>3831</v>
      </c>
      <c r="AF1709" s="1" t="s">
        <v>3833</v>
      </c>
      <c r="AG1709" s="1" t="s">
        <v>338</v>
      </c>
      <c r="AH1709" s="1" t="s">
        <v>49</v>
      </c>
      <c r="AI1709" s="1" t="s">
        <v>54</v>
      </c>
      <c r="AJ1709" s="1">
        <v>1</v>
      </c>
      <c r="AK1709" s="1" t="str">
        <f t="shared" si="26"/>
        <v xml:space="preserve"> =&lt;90</v>
      </c>
      <c r="AL1709" s="1" t="str">
        <f>VLOOKUP(C:C,[1]基础信息!B$1:D$65536,3,0)</f>
        <v>Jug</v>
      </c>
      <c r="AM1709" s="1" t="str">
        <f>VLOOKUP(C:C,[1]基础信息!B$1:E$65536,4,0)</f>
        <v>Marella XL</v>
      </c>
      <c r="AN1709" s="1" t="str">
        <f>VLOOKUP(C:C,[1]基础信息!B$1:F$65536,5,0)</f>
        <v>Blue</v>
      </c>
    </row>
    <row r="1710" spans="1:40">
      <c r="A1710" s="1" t="s">
        <v>41</v>
      </c>
      <c r="B1710" s="1" t="s">
        <v>42</v>
      </c>
      <c r="C1710" s="1" t="s">
        <v>56</v>
      </c>
      <c r="D1710" s="1" t="s">
        <v>57</v>
      </c>
      <c r="E1710" s="1" t="s">
        <v>45</v>
      </c>
      <c r="F1710" s="1" t="s">
        <v>3961</v>
      </c>
      <c r="G1710" s="1" t="s">
        <v>3962</v>
      </c>
      <c r="H1710" s="1" t="s">
        <v>3963</v>
      </c>
      <c r="I1710" s="1" t="s">
        <v>49</v>
      </c>
      <c r="J1710" s="1" t="s">
        <v>48</v>
      </c>
      <c r="K1710" s="1">
        <v>72</v>
      </c>
      <c r="L1710" s="1">
        <v>0</v>
      </c>
      <c r="M1710" s="1">
        <v>0</v>
      </c>
      <c r="N1710" s="1">
        <v>72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 t="s">
        <v>49</v>
      </c>
      <c r="AA1710" s="1" t="s">
        <v>49</v>
      </c>
      <c r="AB1710" s="1" t="s">
        <v>49</v>
      </c>
      <c r="AC1710" s="1" t="s">
        <v>3964</v>
      </c>
      <c r="AD1710" s="1" t="s">
        <v>3965</v>
      </c>
      <c r="AE1710" s="1" t="s">
        <v>3964</v>
      </c>
      <c r="AF1710" s="1" t="s">
        <v>1099</v>
      </c>
      <c r="AG1710" s="1" t="s">
        <v>53</v>
      </c>
      <c r="AH1710" s="1" t="s">
        <v>49</v>
      </c>
      <c r="AI1710" s="1" t="s">
        <v>54</v>
      </c>
      <c r="AJ1710" s="1">
        <v>1</v>
      </c>
      <c r="AK1710" s="1" t="str">
        <f t="shared" si="26"/>
        <v xml:space="preserve"> =&lt;90</v>
      </c>
      <c r="AL1710" s="1" t="str">
        <f>VLOOKUP(C:C,[1]基础信息!B$1:D$65536,3,0)</f>
        <v>Jug</v>
      </c>
      <c r="AM1710" s="1" t="str">
        <f>VLOOKUP(C:C,[1]基础信息!B$1:E$65536,4,0)</f>
        <v>Marella XL</v>
      </c>
      <c r="AN1710" s="1" t="str">
        <f>VLOOKUP(C:C,[1]基础信息!B$1:F$65536,5,0)</f>
        <v>Blue</v>
      </c>
    </row>
    <row r="1711" spans="1:40">
      <c r="A1711" s="1" t="s">
        <v>41</v>
      </c>
      <c r="B1711" s="1" t="s">
        <v>42</v>
      </c>
      <c r="C1711" s="1" t="s">
        <v>56</v>
      </c>
      <c r="D1711" s="1" t="s">
        <v>57</v>
      </c>
      <c r="E1711" s="1" t="s">
        <v>45</v>
      </c>
      <c r="F1711" s="1" t="s">
        <v>3961</v>
      </c>
      <c r="G1711" s="1" t="s">
        <v>3966</v>
      </c>
      <c r="H1711" s="1" t="s">
        <v>3967</v>
      </c>
      <c r="I1711" s="1" t="s">
        <v>49</v>
      </c>
      <c r="J1711" s="1" t="s">
        <v>48</v>
      </c>
      <c r="K1711" s="1">
        <v>72</v>
      </c>
      <c r="L1711" s="1">
        <v>0</v>
      </c>
      <c r="M1711" s="1">
        <v>0</v>
      </c>
      <c r="N1711" s="1">
        <v>72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 t="s">
        <v>49</v>
      </c>
      <c r="AA1711" s="1" t="s">
        <v>49</v>
      </c>
      <c r="AB1711" s="1" t="s">
        <v>49</v>
      </c>
      <c r="AC1711" s="1" t="s">
        <v>3964</v>
      </c>
      <c r="AD1711" s="1" t="s">
        <v>3965</v>
      </c>
      <c r="AE1711" s="1" t="s">
        <v>3964</v>
      </c>
      <c r="AF1711" s="1" t="s">
        <v>1099</v>
      </c>
      <c r="AG1711" s="1" t="s">
        <v>53</v>
      </c>
      <c r="AH1711" s="1" t="s">
        <v>49</v>
      </c>
      <c r="AI1711" s="1" t="s">
        <v>54</v>
      </c>
      <c r="AJ1711" s="1">
        <v>1</v>
      </c>
      <c r="AK1711" s="1" t="str">
        <f t="shared" si="26"/>
        <v xml:space="preserve"> =&lt;90</v>
      </c>
      <c r="AL1711" s="1" t="str">
        <f>VLOOKUP(C:C,[1]基础信息!B$1:D$65536,3,0)</f>
        <v>Jug</v>
      </c>
      <c r="AM1711" s="1" t="str">
        <f>VLOOKUP(C:C,[1]基础信息!B$1:E$65536,4,0)</f>
        <v>Marella XL</v>
      </c>
      <c r="AN1711" s="1" t="str">
        <f>VLOOKUP(C:C,[1]基础信息!B$1:F$65536,5,0)</f>
        <v>Blue</v>
      </c>
    </row>
    <row r="1712" spans="1:40">
      <c r="A1712" s="1" t="s">
        <v>41</v>
      </c>
      <c r="B1712" s="1" t="s">
        <v>42</v>
      </c>
      <c r="C1712" s="1" t="s">
        <v>301</v>
      </c>
      <c r="D1712" s="1" t="s">
        <v>302</v>
      </c>
      <c r="E1712" s="1" t="s">
        <v>45</v>
      </c>
      <c r="F1712" s="1" t="s">
        <v>3460</v>
      </c>
      <c r="G1712" s="1" t="s">
        <v>3968</v>
      </c>
      <c r="H1712" s="1" t="s">
        <v>45</v>
      </c>
      <c r="I1712" s="1" t="s">
        <v>45</v>
      </c>
      <c r="J1712" s="1" t="s">
        <v>48</v>
      </c>
      <c r="K1712" s="1">
        <v>96</v>
      </c>
      <c r="L1712" s="1">
        <v>0</v>
      </c>
      <c r="M1712" s="1">
        <v>0</v>
      </c>
      <c r="N1712" s="1">
        <v>96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 t="s">
        <v>49</v>
      </c>
      <c r="AA1712" s="1" t="s">
        <v>49</v>
      </c>
      <c r="AB1712" s="1" t="s">
        <v>49</v>
      </c>
      <c r="AC1712" s="1" t="s">
        <v>3462</v>
      </c>
      <c r="AD1712" s="1" t="s">
        <v>3463</v>
      </c>
      <c r="AE1712" s="1" t="s">
        <v>3462</v>
      </c>
      <c r="AF1712" s="1" t="s">
        <v>49</v>
      </c>
      <c r="AG1712" s="1" t="s">
        <v>3464</v>
      </c>
      <c r="AH1712" s="1" t="s">
        <v>49</v>
      </c>
      <c r="AI1712" s="1" t="s">
        <v>54</v>
      </c>
      <c r="AJ1712" s="1">
        <v>1</v>
      </c>
      <c r="AK1712" s="1" t="str">
        <f t="shared" si="26"/>
        <v xml:space="preserve"> =&lt;90</v>
      </c>
      <c r="AL1712" s="1" t="str">
        <f>VLOOKUP(C:C,[1]基础信息!B$1:D$65536,3,0)</f>
        <v>Jug</v>
      </c>
      <c r="AM1712" s="1" t="str">
        <f>VLOOKUP(C:C,[1]基础信息!B$1:E$65536,4,0)</f>
        <v>Aluna</v>
      </c>
      <c r="AN1712" s="1" t="str">
        <f>VLOOKUP(C:C,[1]基础信息!B$1:F$65536,5,0)</f>
        <v>Blue</v>
      </c>
    </row>
    <row r="1713" spans="1:40">
      <c r="A1713" s="1" t="s">
        <v>41</v>
      </c>
      <c r="B1713" s="1" t="s">
        <v>42</v>
      </c>
      <c r="C1713" s="1" t="s">
        <v>56</v>
      </c>
      <c r="D1713" s="1" t="s">
        <v>57</v>
      </c>
      <c r="E1713" s="1" t="s">
        <v>45</v>
      </c>
      <c r="F1713" s="1" t="s">
        <v>3961</v>
      </c>
      <c r="G1713" s="1" t="s">
        <v>3969</v>
      </c>
      <c r="H1713" s="1" t="s">
        <v>3970</v>
      </c>
      <c r="I1713" s="1" t="s">
        <v>49</v>
      </c>
      <c r="J1713" s="1" t="s">
        <v>48</v>
      </c>
      <c r="K1713" s="1">
        <v>72</v>
      </c>
      <c r="L1713" s="1">
        <v>0</v>
      </c>
      <c r="M1713" s="1">
        <v>0</v>
      </c>
      <c r="N1713" s="1">
        <v>72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 t="s">
        <v>49</v>
      </c>
      <c r="AA1713" s="1" t="s">
        <v>49</v>
      </c>
      <c r="AB1713" s="1" t="s">
        <v>49</v>
      </c>
      <c r="AC1713" s="1" t="s">
        <v>3964</v>
      </c>
      <c r="AD1713" s="1" t="s">
        <v>3965</v>
      </c>
      <c r="AE1713" s="1" t="s">
        <v>3964</v>
      </c>
      <c r="AF1713" s="1" t="s">
        <v>1099</v>
      </c>
      <c r="AG1713" s="1" t="s">
        <v>53</v>
      </c>
      <c r="AH1713" s="1" t="s">
        <v>49</v>
      </c>
      <c r="AI1713" s="1" t="s">
        <v>54</v>
      </c>
      <c r="AJ1713" s="1">
        <v>1</v>
      </c>
      <c r="AK1713" s="1" t="str">
        <f t="shared" si="26"/>
        <v xml:space="preserve"> =&lt;90</v>
      </c>
      <c r="AL1713" s="1" t="str">
        <f>VLOOKUP(C:C,[1]基础信息!B$1:D$65536,3,0)</f>
        <v>Jug</v>
      </c>
      <c r="AM1713" s="1" t="str">
        <f>VLOOKUP(C:C,[1]基础信息!B$1:E$65536,4,0)</f>
        <v>Marella XL</v>
      </c>
      <c r="AN1713" s="1" t="str">
        <f>VLOOKUP(C:C,[1]基础信息!B$1:F$65536,5,0)</f>
        <v>Blue</v>
      </c>
    </row>
    <row r="1714" spans="1:40">
      <c r="A1714" s="1" t="s">
        <v>41</v>
      </c>
      <c r="B1714" s="1" t="s">
        <v>42</v>
      </c>
      <c r="C1714" s="1" t="s">
        <v>3971</v>
      </c>
      <c r="D1714" s="1" t="s">
        <v>3972</v>
      </c>
      <c r="E1714" s="1" t="s">
        <v>45</v>
      </c>
      <c r="F1714" s="1" t="s">
        <v>3973</v>
      </c>
      <c r="G1714" s="1" t="s">
        <v>3974</v>
      </c>
      <c r="H1714" s="1" t="s">
        <v>45</v>
      </c>
      <c r="I1714" s="1" t="s">
        <v>45</v>
      </c>
      <c r="J1714" s="1" t="s">
        <v>48</v>
      </c>
      <c r="K1714" s="1">
        <v>73</v>
      </c>
      <c r="L1714" s="1">
        <v>0</v>
      </c>
      <c r="M1714" s="1">
        <v>0</v>
      </c>
      <c r="N1714" s="1">
        <v>73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 t="s">
        <v>49</v>
      </c>
      <c r="AA1714" s="1" t="s">
        <v>49</v>
      </c>
      <c r="AB1714" s="1" t="s">
        <v>49</v>
      </c>
      <c r="AC1714" s="1" t="s">
        <v>1188</v>
      </c>
      <c r="AD1714" s="1" t="s">
        <v>3975</v>
      </c>
      <c r="AE1714" s="1" t="s">
        <v>1188</v>
      </c>
      <c r="AF1714" s="1" t="s">
        <v>3976</v>
      </c>
      <c r="AG1714" s="1" t="s">
        <v>53</v>
      </c>
      <c r="AH1714" s="1" t="s">
        <v>49</v>
      </c>
      <c r="AI1714" s="1" t="s">
        <v>54</v>
      </c>
      <c r="AJ1714" s="1">
        <v>1</v>
      </c>
      <c r="AK1714" s="1" t="str">
        <f t="shared" si="26"/>
        <v xml:space="preserve"> =&lt;90</v>
      </c>
      <c r="AL1714" s="1" t="str">
        <f>VLOOKUP(C:C,[1]基础信息!B$1:D$65536,3,0)</f>
        <v>Jug</v>
      </c>
      <c r="AM1714" s="1" t="str">
        <f>VLOOKUP(C:C,[1]基础信息!B$1:E$65536,4,0)</f>
        <v>Mxplus</v>
      </c>
      <c r="AN1714" s="1" t="str">
        <f>VLOOKUP(C:C,[1]基础信息!B$1:F$65536,5,0)</f>
        <v xml:space="preserve"> lime</v>
      </c>
    </row>
    <row r="1715" spans="1:40">
      <c r="A1715" s="1" t="s">
        <v>41</v>
      </c>
      <c r="B1715" s="1" t="s">
        <v>42</v>
      </c>
      <c r="C1715" s="1" t="s">
        <v>56</v>
      </c>
      <c r="D1715" s="1" t="s">
        <v>57</v>
      </c>
      <c r="E1715" s="1" t="s">
        <v>45</v>
      </c>
      <c r="F1715" s="1" t="s">
        <v>3961</v>
      </c>
      <c r="G1715" s="1" t="s">
        <v>3977</v>
      </c>
      <c r="H1715" s="1" t="s">
        <v>3978</v>
      </c>
      <c r="I1715" s="1" t="s">
        <v>49</v>
      </c>
      <c r="J1715" s="1" t="s">
        <v>48</v>
      </c>
      <c r="K1715" s="1">
        <v>72</v>
      </c>
      <c r="L1715" s="1">
        <v>0</v>
      </c>
      <c r="M1715" s="1">
        <v>0</v>
      </c>
      <c r="N1715" s="1">
        <v>72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 t="s">
        <v>49</v>
      </c>
      <c r="AA1715" s="1" t="s">
        <v>49</v>
      </c>
      <c r="AB1715" s="1" t="s">
        <v>49</v>
      </c>
      <c r="AC1715" s="1" t="s">
        <v>3964</v>
      </c>
      <c r="AD1715" s="1" t="s">
        <v>3965</v>
      </c>
      <c r="AE1715" s="1" t="s">
        <v>3964</v>
      </c>
      <c r="AF1715" s="1" t="s">
        <v>1099</v>
      </c>
      <c r="AG1715" s="1" t="s">
        <v>53</v>
      </c>
      <c r="AH1715" s="1" t="s">
        <v>49</v>
      </c>
      <c r="AI1715" s="1" t="s">
        <v>54</v>
      </c>
      <c r="AJ1715" s="1">
        <v>1</v>
      </c>
      <c r="AK1715" s="1" t="str">
        <f t="shared" si="26"/>
        <v xml:space="preserve"> =&lt;90</v>
      </c>
      <c r="AL1715" s="1" t="str">
        <f>VLOOKUP(C:C,[1]基础信息!B$1:D$65536,3,0)</f>
        <v>Jug</v>
      </c>
      <c r="AM1715" s="1" t="str">
        <f>VLOOKUP(C:C,[1]基础信息!B$1:E$65536,4,0)</f>
        <v>Marella XL</v>
      </c>
      <c r="AN1715" s="1" t="str">
        <f>VLOOKUP(C:C,[1]基础信息!B$1:F$65536,5,0)</f>
        <v>Blue</v>
      </c>
    </row>
    <row r="1716" spans="1:40">
      <c r="A1716" s="1" t="s">
        <v>41</v>
      </c>
      <c r="B1716" s="1" t="s">
        <v>42</v>
      </c>
      <c r="C1716" s="1" t="s">
        <v>68</v>
      </c>
      <c r="D1716" s="1" t="s">
        <v>69</v>
      </c>
      <c r="E1716" s="1" t="s">
        <v>45</v>
      </c>
      <c r="F1716" s="1" t="s">
        <v>3450</v>
      </c>
      <c r="G1716" s="1" t="s">
        <v>3979</v>
      </c>
      <c r="H1716" s="1" t="s">
        <v>3980</v>
      </c>
      <c r="I1716" s="1" t="s">
        <v>49</v>
      </c>
      <c r="J1716" s="1" t="s">
        <v>48</v>
      </c>
      <c r="K1716" s="1">
        <v>36</v>
      </c>
      <c r="L1716" s="1">
        <v>0</v>
      </c>
      <c r="M1716" s="1">
        <v>0</v>
      </c>
      <c r="N1716" s="1">
        <v>36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 t="s">
        <v>49</v>
      </c>
      <c r="AA1716" s="1" t="s">
        <v>49</v>
      </c>
      <c r="AB1716" s="1" t="s">
        <v>49</v>
      </c>
      <c r="AC1716" s="1" t="s">
        <v>3453</v>
      </c>
      <c r="AD1716" s="1" t="s">
        <v>3454</v>
      </c>
      <c r="AE1716" s="1" t="s">
        <v>3453</v>
      </c>
      <c r="AF1716" s="1" t="s">
        <v>3455</v>
      </c>
      <c r="AG1716" s="1" t="s">
        <v>53</v>
      </c>
      <c r="AH1716" s="1" t="s">
        <v>49</v>
      </c>
      <c r="AI1716" s="1" t="s">
        <v>54</v>
      </c>
      <c r="AJ1716" s="1">
        <v>1</v>
      </c>
      <c r="AK1716" s="1" t="str">
        <f t="shared" si="26"/>
        <v xml:space="preserve"> =&lt;90</v>
      </c>
      <c r="AL1716" s="1" t="str">
        <f>VLOOKUP(C:C,[1]基础信息!B$1:D$65536,3,0)</f>
        <v>Hotcup</v>
      </c>
      <c r="AM1716" s="1" t="str">
        <f>VLOOKUP(C:C,[1]基础信息!B$1:E$65536,4,0)</f>
        <v>Hotcup</v>
      </c>
      <c r="AN1716" s="1" t="str">
        <f>VLOOKUP(C:C,[1]基础信息!B$1:F$65536,5,0)</f>
        <v xml:space="preserve"> Whi</v>
      </c>
    </row>
    <row r="1717" spans="1:40">
      <c r="A1717" s="1" t="s">
        <v>41</v>
      </c>
      <c r="B1717" s="1" t="s">
        <v>42</v>
      </c>
      <c r="C1717" s="1" t="s">
        <v>2166</v>
      </c>
      <c r="D1717" s="1" t="s">
        <v>2167</v>
      </c>
      <c r="E1717" s="1" t="s">
        <v>45</v>
      </c>
      <c r="F1717" s="1" t="s">
        <v>3981</v>
      </c>
      <c r="G1717" s="1" t="s">
        <v>3982</v>
      </c>
      <c r="H1717" s="1" t="s">
        <v>3983</v>
      </c>
      <c r="I1717" s="1" t="s">
        <v>49</v>
      </c>
      <c r="J1717" s="1" t="s">
        <v>48</v>
      </c>
      <c r="K1717" s="1">
        <v>16</v>
      </c>
      <c r="L1717" s="1">
        <v>0</v>
      </c>
      <c r="M1717" s="1">
        <v>0</v>
      </c>
      <c r="N1717" s="1">
        <v>16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 t="s">
        <v>49</v>
      </c>
      <c r="AA1717" s="1" t="s">
        <v>49</v>
      </c>
      <c r="AB1717" s="1" t="s">
        <v>49</v>
      </c>
      <c r="AC1717" s="1" t="s">
        <v>3984</v>
      </c>
      <c r="AD1717" s="1" t="s">
        <v>3985</v>
      </c>
      <c r="AE1717" s="1" t="s">
        <v>3984</v>
      </c>
      <c r="AF1717" s="1" t="s">
        <v>3986</v>
      </c>
      <c r="AG1717" s="1" t="s">
        <v>53</v>
      </c>
      <c r="AH1717" s="1" t="s">
        <v>49</v>
      </c>
      <c r="AI1717" s="1" t="s">
        <v>54</v>
      </c>
      <c r="AJ1717" s="1">
        <v>1</v>
      </c>
      <c r="AK1717" s="1" t="str">
        <f t="shared" si="26"/>
        <v xml:space="preserve"> =&lt;90</v>
      </c>
      <c r="AL1717" s="1" t="str">
        <f>VLOOKUP(C:C,[1]基础信息!B$1:D$65536,3,0)</f>
        <v>UTS</v>
      </c>
      <c r="AM1717" s="1" t="str">
        <f>VLOOKUP(C:C,[1]基础信息!B$1:E$65536,4,0)</f>
        <v>RO</v>
      </c>
      <c r="AN1717" s="1" t="str">
        <f>VLOOKUP(C:C,[1]基础信息!B$1:F$65536,5,0)</f>
        <v>Starry Grey Color</v>
      </c>
    </row>
    <row r="1718" spans="1:40">
      <c r="A1718" s="1" t="s">
        <v>41</v>
      </c>
      <c r="B1718" s="1" t="s">
        <v>42</v>
      </c>
      <c r="C1718" s="1" t="s">
        <v>2166</v>
      </c>
      <c r="D1718" s="1" t="s">
        <v>2167</v>
      </c>
      <c r="E1718" s="1" t="s">
        <v>45</v>
      </c>
      <c r="F1718" s="1" t="s">
        <v>3981</v>
      </c>
      <c r="G1718" s="1" t="s">
        <v>3987</v>
      </c>
      <c r="H1718" s="1" t="s">
        <v>3988</v>
      </c>
      <c r="I1718" s="1" t="s">
        <v>49</v>
      </c>
      <c r="J1718" s="1" t="s">
        <v>48</v>
      </c>
      <c r="K1718" s="1">
        <v>16</v>
      </c>
      <c r="L1718" s="1">
        <v>0</v>
      </c>
      <c r="M1718" s="1">
        <v>0</v>
      </c>
      <c r="N1718" s="1">
        <v>16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 t="s">
        <v>49</v>
      </c>
      <c r="AA1718" s="1" t="s">
        <v>49</v>
      </c>
      <c r="AB1718" s="1" t="s">
        <v>49</v>
      </c>
      <c r="AC1718" s="1" t="s">
        <v>3984</v>
      </c>
      <c r="AD1718" s="1" t="s">
        <v>3985</v>
      </c>
      <c r="AE1718" s="1" t="s">
        <v>3984</v>
      </c>
      <c r="AF1718" s="1" t="s">
        <v>3986</v>
      </c>
      <c r="AG1718" s="1" t="s">
        <v>53</v>
      </c>
      <c r="AH1718" s="1" t="s">
        <v>49</v>
      </c>
      <c r="AI1718" s="1" t="s">
        <v>54</v>
      </c>
      <c r="AJ1718" s="1">
        <v>1</v>
      </c>
      <c r="AK1718" s="1" t="str">
        <f t="shared" si="26"/>
        <v xml:space="preserve"> =&lt;90</v>
      </c>
      <c r="AL1718" s="1" t="str">
        <f>VLOOKUP(C:C,[1]基础信息!B$1:D$65536,3,0)</f>
        <v>UTS</v>
      </c>
      <c r="AM1718" s="1" t="str">
        <f>VLOOKUP(C:C,[1]基础信息!B$1:E$65536,4,0)</f>
        <v>RO</v>
      </c>
      <c r="AN1718" s="1" t="str">
        <f>VLOOKUP(C:C,[1]基础信息!B$1:F$65536,5,0)</f>
        <v>Starry Grey Color</v>
      </c>
    </row>
    <row r="1719" spans="1:40">
      <c r="A1719" s="1" t="s">
        <v>41</v>
      </c>
      <c r="B1719" s="1" t="s">
        <v>42</v>
      </c>
      <c r="C1719" s="1" t="s">
        <v>1437</v>
      </c>
      <c r="D1719" s="1" t="s">
        <v>1438</v>
      </c>
      <c r="E1719" s="1" t="s">
        <v>45</v>
      </c>
      <c r="F1719" s="1" t="s">
        <v>3989</v>
      </c>
      <c r="G1719" s="1" t="s">
        <v>3990</v>
      </c>
      <c r="H1719" s="1" t="s">
        <v>45</v>
      </c>
      <c r="I1719" s="1" t="s">
        <v>45</v>
      </c>
      <c r="J1719" s="1" t="s">
        <v>48</v>
      </c>
      <c r="K1719" s="1">
        <v>462</v>
      </c>
      <c r="L1719" s="1">
        <v>0</v>
      </c>
      <c r="M1719" s="1">
        <v>0</v>
      </c>
      <c r="N1719" s="1">
        <v>462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 t="s">
        <v>49</v>
      </c>
      <c r="AA1719" s="1" t="s">
        <v>49</v>
      </c>
      <c r="AB1719" s="1" t="s">
        <v>49</v>
      </c>
      <c r="AC1719" s="1" t="s">
        <v>3502</v>
      </c>
      <c r="AD1719" s="1" t="s">
        <v>3503</v>
      </c>
      <c r="AE1719" s="1" t="s">
        <v>3502</v>
      </c>
      <c r="AF1719" s="1" t="s">
        <v>3991</v>
      </c>
      <c r="AG1719" s="1" t="s">
        <v>53</v>
      </c>
      <c r="AH1719" s="1" t="s">
        <v>49</v>
      </c>
      <c r="AI1719" s="1" t="s">
        <v>54</v>
      </c>
      <c r="AJ1719" s="1">
        <v>1</v>
      </c>
      <c r="AK1719" s="1" t="str">
        <f t="shared" si="26"/>
        <v xml:space="preserve"> =&lt;90</v>
      </c>
      <c r="AL1719" s="1" t="str">
        <f>VLOOKUP(C:C,[1]基础信息!B$1:D$65536,3,0)</f>
        <v>On tap</v>
      </c>
      <c r="AM1719" s="1" t="str">
        <f>VLOOKUP(C:C,[1]基础信息!B$1:E$65536,4,0)</f>
        <v>On tap</v>
      </c>
      <c r="AN1719" s="1" t="str">
        <f>VLOOKUP(C:C,[1]基础信息!B$1:F$65536,5,0)</f>
        <v>On tap</v>
      </c>
    </row>
    <row r="1720" spans="1:40">
      <c r="A1720" s="1" t="s">
        <v>41</v>
      </c>
      <c r="B1720" s="1" t="s">
        <v>42</v>
      </c>
      <c r="C1720" s="1" t="s">
        <v>2166</v>
      </c>
      <c r="D1720" s="1" t="s">
        <v>2167</v>
      </c>
      <c r="E1720" s="1" t="s">
        <v>45</v>
      </c>
      <c r="F1720" s="1" t="s">
        <v>3992</v>
      </c>
      <c r="G1720" s="1" t="s">
        <v>3993</v>
      </c>
      <c r="H1720" s="1" t="s">
        <v>3994</v>
      </c>
      <c r="I1720" s="1" t="s">
        <v>49</v>
      </c>
      <c r="J1720" s="1" t="s">
        <v>48</v>
      </c>
      <c r="K1720" s="1">
        <v>16</v>
      </c>
      <c r="L1720" s="1">
        <v>0</v>
      </c>
      <c r="M1720" s="1">
        <v>0</v>
      </c>
      <c r="N1720" s="1">
        <v>16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 t="s">
        <v>49</v>
      </c>
      <c r="AA1720" s="1" t="s">
        <v>49</v>
      </c>
      <c r="AB1720" s="1" t="s">
        <v>49</v>
      </c>
      <c r="AC1720" s="1" t="s">
        <v>3984</v>
      </c>
      <c r="AD1720" s="1" t="s">
        <v>3985</v>
      </c>
      <c r="AE1720" s="1" t="s">
        <v>3984</v>
      </c>
      <c r="AF1720" s="1" t="s">
        <v>2173</v>
      </c>
      <c r="AG1720" s="1" t="s">
        <v>53</v>
      </c>
      <c r="AH1720" s="1" t="s">
        <v>49</v>
      </c>
      <c r="AI1720" s="1" t="s">
        <v>54</v>
      </c>
      <c r="AJ1720" s="1">
        <v>1</v>
      </c>
      <c r="AK1720" s="1" t="str">
        <f t="shared" si="26"/>
        <v xml:space="preserve"> =&lt;90</v>
      </c>
      <c r="AL1720" s="1" t="str">
        <f>VLOOKUP(C:C,[1]基础信息!B$1:D$65536,3,0)</f>
        <v>UTS</v>
      </c>
      <c r="AM1720" s="1" t="str">
        <f>VLOOKUP(C:C,[1]基础信息!B$1:E$65536,4,0)</f>
        <v>RO</v>
      </c>
      <c r="AN1720" s="1" t="str">
        <f>VLOOKUP(C:C,[1]基础信息!B$1:F$65536,5,0)</f>
        <v>Starry Grey Color</v>
      </c>
    </row>
    <row r="1721" spans="1:40">
      <c r="A1721" s="1" t="s">
        <v>41</v>
      </c>
      <c r="B1721" s="1" t="s">
        <v>42</v>
      </c>
      <c r="C1721" s="1" t="s">
        <v>1437</v>
      </c>
      <c r="D1721" s="1" t="s">
        <v>1438</v>
      </c>
      <c r="E1721" s="1" t="s">
        <v>45</v>
      </c>
      <c r="F1721" s="1" t="s">
        <v>3995</v>
      </c>
      <c r="G1721" s="1" t="s">
        <v>3996</v>
      </c>
      <c r="H1721" s="1" t="s">
        <v>45</v>
      </c>
      <c r="I1721" s="1" t="s">
        <v>45</v>
      </c>
      <c r="J1721" s="1" t="s">
        <v>48</v>
      </c>
      <c r="K1721" s="1">
        <v>462</v>
      </c>
      <c r="L1721" s="1">
        <v>0</v>
      </c>
      <c r="M1721" s="1">
        <v>0</v>
      </c>
      <c r="N1721" s="1">
        <v>462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 t="s">
        <v>49</v>
      </c>
      <c r="AA1721" s="1" t="s">
        <v>49</v>
      </c>
      <c r="AB1721" s="1" t="s">
        <v>49</v>
      </c>
      <c r="AC1721" s="1" t="s">
        <v>3502</v>
      </c>
      <c r="AD1721" s="1" t="s">
        <v>3503</v>
      </c>
      <c r="AE1721" s="1" t="s">
        <v>3502</v>
      </c>
      <c r="AF1721" s="1" t="s">
        <v>3997</v>
      </c>
      <c r="AG1721" s="1" t="s">
        <v>53</v>
      </c>
      <c r="AH1721" s="1" t="s">
        <v>49</v>
      </c>
      <c r="AI1721" s="1" t="s">
        <v>54</v>
      </c>
      <c r="AJ1721" s="1">
        <v>1</v>
      </c>
      <c r="AK1721" s="1" t="str">
        <f t="shared" si="26"/>
        <v xml:space="preserve"> =&lt;90</v>
      </c>
      <c r="AL1721" s="1" t="str">
        <f>VLOOKUP(C:C,[1]基础信息!B$1:D$65536,3,0)</f>
        <v>On tap</v>
      </c>
      <c r="AM1721" s="1" t="str">
        <f>VLOOKUP(C:C,[1]基础信息!B$1:E$65536,4,0)</f>
        <v>On tap</v>
      </c>
      <c r="AN1721" s="1" t="str">
        <f>VLOOKUP(C:C,[1]基础信息!B$1:F$65536,5,0)</f>
        <v>On tap</v>
      </c>
    </row>
    <row r="1722" spans="1:40">
      <c r="A1722" s="1" t="s">
        <v>41</v>
      </c>
      <c r="B1722" s="1" t="s">
        <v>42</v>
      </c>
      <c r="C1722" s="1" t="s">
        <v>1437</v>
      </c>
      <c r="D1722" s="1" t="s">
        <v>1438</v>
      </c>
      <c r="E1722" s="1" t="s">
        <v>45</v>
      </c>
      <c r="F1722" s="1" t="s">
        <v>3995</v>
      </c>
      <c r="G1722" s="1" t="s">
        <v>3998</v>
      </c>
      <c r="H1722" s="1" t="s">
        <v>45</v>
      </c>
      <c r="I1722" s="1" t="s">
        <v>45</v>
      </c>
      <c r="J1722" s="1" t="s">
        <v>48</v>
      </c>
      <c r="K1722" s="1">
        <v>540</v>
      </c>
      <c r="L1722" s="1">
        <v>0</v>
      </c>
      <c r="M1722" s="1">
        <v>0</v>
      </c>
      <c r="N1722" s="1">
        <v>540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 t="s">
        <v>49</v>
      </c>
      <c r="AA1722" s="1" t="s">
        <v>49</v>
      </c>
      <c r="AB1722" s="1" t="s">
        <v>49</v>
      </c>
      <c r="AC1722" s="1" t="s">
        <v>3502</v>
      </c>
      <c r="AD1722" s="1" t="s">
        <v>3503</v>
      </c>
      <c r="AE1722" s="1" t="s">
        <v>3502</v>
      </c>
      <c r="AF1722" s="1" t="s">
        <v>3997</v>
      </c>
      <c r="AG1722" s="1" t="s">
        <v>53</v>
      </c>
      <c r="AH1722" s="1" t="s">
        <v>49</v>
      </c>
      <c r="AI1722" s="1" t="s">
        <v>54</v>
      </c>
      <c r="AJ1722" s="1">
        <v>1</v>
      </c>
      <c r="AK1722" s="1" t="str">
        <f t="shared" si="26"/>
        <v xml:space="preserve"> =&lt;90</v>
      </c>
      <c r="AL1722" s="1" t="str">
        <f>VLOOKUP(C:C,[1]基础信息!B$1:D$65536,3,0)</f>
        <v>On tap</v>
      </c>
      <c r="AM1722" s="1" t="str">
        <f>VLOOKUP(C:C,[1]基础信息!B$1:E$65536,4,0)</f>
        <v>On tap</v>
      </c>
      <c r="AN1722" s="1" t="str">
        <f>VLOOKUP(C:C,[1]基础信息!B$1:F$65536,5,0)</f>
        <v>On tap</v>
      </c>
    </row>
    <row r="1723" spans="1:40">
      <c r="A1723" s="1" t="s">
        <v>41</v>
      </c>
      <c r="B1723" s="1" t="s">
        <v>42</v>
      </c>
      <c r="C1723" s="1" t="s">
        <v>3999</v>
      </c>
      <c r="D1723" s="1" t="s">
        <v>4000</v>
      </c>
      <c r="E1723" s="1" t="s">
        <v>45</v>
      </c>
      <c r="F1723" s="1" t="s">
        <v>4001</v>
      </c>
      <c r="G1723" s="1" t="s">
        <v>4002</v>
      </c>
      <c r="H1723" s="1" t="s">
        <v>45</v>
      </c>
      <c r="I1723" s="1" t="s">
        <v>45</v>
      </c>
      <c r="J1723" s="1" t="s">
        <v>48</v>
      </c>
      <c r="K1723" s="1">
        <v>48</v>
      </c>
      <c r="L1723" s="1">
        <v>0</v>
      </c>
      <c r="M1723" s="1">
        <v>0</v>
      </c>
      <c r="N1723" s="1">
        <v>48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 t="s">
        <v>49</v>
      </c>
      <c r="AA1723" s="1" t="s">
        <v>49</v>
      </c>
      <c r="AB1723" s="1" t="s">
        <v>49</v>
      </c>
      <c r="AC1723" s="1" t="s">
        <v>4003</v>
      </c>
      <c r="AD1723" s="1" t="s">
        <v>4004</v>
      </c>
      <c r="AE1723" s="1" t="s">
        <v>4003</v>
      </c>
      <c r="AF1723" s="1" t="s">
        <v>49</v>
      </c>
      <c r="AG1723" s="1" t="s">
        <v>3464</v>
      </c>
      <c r="AH1723" s="1" t="s">
        <v>49</v>
      </c>
      <c r="AI1723" s="1" t="s">
        <v>54</v>
      </c>
      <c r="AJ1723" s="1">
        <v>1</v>
      </c>
      <c r="AK1723" s="1" t="str">
        <f t="shared" si="26"/>
        <v xml:space="preserve"> =&lt;90</v>
      </c>
      <c r="AL1723" s="1" t="str">
        <f>VLOOKUP(C:C,[1]基础信息!B$1:D$65536,3,0)</f>
        <v>Jug</v>
      </c>
      <c r="AM1723" s="1" t="str">
        <f>VLOOKUP(C:C,[1]基础信息!B$1:E$65536,4,0)</f>
        <v>Aluna</v>
      </c>
      <c r="AN1723" s="1" t="str">
        <f>VLOOKUP(C:C,[1]基础信息!B$1:F$65536,5,0)</f>
        <v>Blue</v>
      </c>
    </row>
    <row r="1724" spans="1:40">
      <c r="A1724" s="1" t="s">
        <v>41</v>
      </c>
      <c r="B1724" s="1" t="s">
        <v>42</v>
      </c>
      <c r="C1724" s="1" t="s">
        <v>56</v>
      </c>
      <c r="D1724" s="1" t="s">
        <v>57</v>
      </c>
      <c r="E1724" s="1" t="s">
        <v>45</v>
      </c>
      <c r="F1724" s="1" t="s">
        <v>3961</v>
      </c>
      <c r="G1724" s="1" t="s">
        <v>4005</v>
      </c>
      <c r="H1724" s="1" t="s">
        <v>4006</v>
      </c>
      <c r="I1724" s="1" t="s">
        <v>49</v>
      </c>
      <c r="J1724" s="1" t="s">
        <v>48</v>
      </c>
      <c r="K1724" s="1">
        <v>72</v>
      </c>
      <c r="L1724" s="1">
        <v>0</v>
      </c>
      <c r="M1724" s="1">
        <v>0</v>
      </c>
      <c r="N1724" s="1">
        <v>72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 t="s">
        <v>49</v>
      </c>
      <c r="AA1724" s="1" t="s">
        <v>49</v>
      </c>
      <c r="AB1724" s="1" t="s">
        <v>49</v>
      </c>
      <c r="AC1724" s="1" t="s">
        <v>3964</v>
      </c>
      <c r="AD1724" s="1" t="s">
        <v>3965</v>
      </c>
      <c r="AE1724" s="1" t="s">
        <v>3964</v>
      </c>
      <c r="AF1724" s="1" t="s">
        <v>1099</v>
      </c>
      <c r="AG1724" s="1" t="s">
        <v>53</v>
      </c>
      <c r="AH1724" s="1" t="s">
        <v>49</v>
      </c>
      <c r="AI1724" s="1" t="s">
        <v>54</v>
      </c>
      <c r="AJ1724" s="1">
        <v>1</v>
      </c>
      <c r="AK1724" s="1" t="str">
        <f t="shared" si="26"/>
        <v xml:space="preserve"> =&lt;90</v>
      </c>
      <c r="AL1724" s="1" t="str">
        <f>VLOOKUP(C:C,[1]基础信息!B$1:D$65536,3,0)</f>
        <v>Jug</v>
      </c>
      <c r="AM1724" s="1" t="str">
        <f>VLOOKUP(C:C,[1]基础信息!B$1:E$65536,4,0)</f>
        <v>Marella XL</v>
      </c>
      <c r="AN1724" s="1" t="str">
        <f>VLOOKUP(C:C,[1]基础信息!B$1:F$65536,5,0)</f>
        <v>Blue</v>
      </c>
    </row>
    <row r="1725" spans="1:40">
      <c r="A1725" s="1" t="s">
        <v>41</v>
      </c>
      <c r="B1725" s="1" t="s">
        <v>42</v>
      </c>
      <c r="C1725" s="1" t="s">
        <v>56</v>
      </c>
      <c r="D1725" s="1" t="s">
        <v>57</v>
      </c>
      <c r="E1725" s="1" t="s">
        <v>45</v>
      </c>
      <c r="F1725" s="1" t="s">
        <v>3961</v>
      </c>
      <c r="G1725" s="1" t="s">
        <v>4007</v>
      </c>
      <c r="H1725" s="1" t="s">
        <v>4008</v>
      </c>
      <c r="I1725" s="1" t="s">
        <v>49</v>
      </c>
      <c r="J1725" s="1" t="s">
        <v>48</v>
      </c>
      <c r="K1725" s="1">
        <v>72</v>
      </c>
      <c r="L1725" s="1">
        <v>0</v>
      </c>
      <c r="M1725" s="1">
        <v>0</v>
      </c>
      <c r="N1725" s="1">
        <v>72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 t="s">
        <v>49</v>
      </c>
      <c r="AA1725" s="1" t="s">
        <v>49</v>
      </c>
      <c r="AB1725" s="1" t="s">
        <v>49</v>
      </c>
      <c r="AC1725" s="1" t="s">
        <v>3964</v>
      </c>
      <c r="AD1725" s="1" t="s">
        <v>3965</v>
      </c>
      <c r="AE1725" s="1" t="s">
        <v>3964</v>
      </c>
      <c r="AF1725" s="1" t="s">
        <v>1099</v>
      </c>
      <c r="AG1725" s="1" t="s">
        <v>53</v>
      </c>
      <c r="AH1725" s="1" t="s">
        <v>49</v>
      </c>
      <c r="AI1725" s="1" t="s">
        <v>54</v>
      </c>
      <c r="AJ1725" s="1">
        <v>1</v>
      </c>
      <c r="AK1725" s="1" t="str">
        <f t="shared" si="26"/>
        <v xml:space="preserve"> =&lt;90</v>
      </c>
      <c r="AL1725" s="1" t="str">
        <f>VLOOKUP(C:C,[1]基础信息!B$1:D$65536,3,0)</f>
        <v>Jug</v>
      </c>
      <c r="AM1725" s="1" t="str">
        <f>VLOOKUP(C:C,[1]基础信息!B$1:E$65536,4,0)</f>
        <v>Marella XL</v>
      </c>
      <c r="AN1725" s="1" t="str">
        <f>VLOOKUP(C:C,[1]基础信息!B$1:F$65536,5,0)</f>
        <v>Blue</v>
      </c>
    </row>
    <row r="1726" spans="1:40">
      <c r="A1726" s="1" t="s">
        <v>41</v>
      </c>
      <c r="B1726" s="1" t="s">
        <v>42</v>
      </c>
      <c r="C1726" s="1" t="s">
        <v>2166</v>
      </c>
      <c r="D1726" s="1" t="s">
        <v>2167</v>
      </c>
      <c r="E1726" s="1" t="s">
        <v>45</v>
      </c>
      <c r="F1726" s="1" t="s">
        <v>3981</v>
      </c>
      <c r="G1726" s="1" t="s">
        <v>4009</v>
      </c>
      <c r="H1726" s="1" t="s">
        <v>4010</v>
      </c>
      <c r="I1726" s="1" t="s">
        <v>49</v>
      </c>
      <c r="J1726" s="1" t="s">
        <v>48</v>
      </c>
      <c r="K1726" s="1">
        <v>16</v>
      </c>
      <c r="L1726" s="1">
        <v>0</v>
      </c>
      <c r="M1726" s="1">
        <v>0</v>
      </c>
      <c r="N1726" s="1">
        <v>16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 t="s">
        <v>49</v>
      </c>
      <c r="AA1726" s="1" t="s">
        <v>49</v>
      </c>
      <c r="AB1726" s="1" t="s">
        <v>49</v>
      </c>
      <c r="AC1726" s="1" t="s">
        <v>3984</v>
      </c>
      <c r="AD1726" s="1" t="s">
        <v>3985</v>
      </c>
      <c r="AE1726" s="1" t="s">
        <v>3984</v>
      </c>
      <c r="AF1726" s="1" t="s">
        <v>3986</v>
      </c>
      <c r="AG1726" s="1" t="s">
        <v>53</v>
      </c>
      <c r="AH1726" s="1" t="s">
        <v>49</v>
      </c>
      <c r="AI1726" s="1" t="s">
        <v>54</v>
      </c>
      <c r="AJ1726" s="1">
        <v>1</v>
      </c>
      <c r="AK1726" s="1" t="str">
        <f t="shared" si="26"/>
        <v xml:space="preserve"> =&lt;90</v>
      </c>
      <c r="AL1726" s="1" t="str">
        <f>VLOOKUP(C:C,[1]基础信息!B$1:D$65536,3,0)</f>
        <v>UTS</v>
      </c>
      <c r="AM1726" s="1" t="str">
        <f>VLOOKUP(C:C,[1]基础信息!B$1:E$65536,4,0)</f>
        <v>RO</v>
      </c>
      <c r="AN1726" s="1" t="str">
        <f>VLOOKUP(C:C,[1]基础信息!B$1:F$65536,5,0)</f>
        <v>Starry Grey Color</v>
      </c>
    </row>
    <row r="1727" spans="1:40">
      <c r="A1727" s="1" t="s">
        <v>41</v>
      </c>
      <c r="B1727" s="1" t="s">
        <v>42</v>
      </c>
      <c r="C1727" s="1" t="s">
        <v>3999</v>
      </c>
      <c r="D1727" s="1" t="s">
        <v>4000</v>
      </c>
      <c r="E1727" s="1" t="s">
        <v>45</v>
      </c>
      <c r="F1727" s="1" t="s">
        <v>4011</v>
      </c>
      <c r="G1727" s="1" t="s">
        <v>4012</v>
      </c>
      <c r="H1727" s="1" t="s">
        <v>45</v>
      </c>
      <c r="I1727" s="1" t="s">
        <v>45</v>
      </c>
      <c r="J1727" s="1" t="s">
        <v>48</v>
      </c>
      <c r="K1727" s="1">
        <v>72</v>
      </c>
      <c r="L1727" s="1">
        <v>28</v>
      </c>
      <c r="M1727" s="1">
        <v>0</v>
      </c>
      <c r="N1727" s="1">
        <v>44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 t="s">
        <v>49</v>
      </c>
      <c r="AA1727" s="1" t="s">
        <v>49</v>
      </c>
      <c r="AB1727" s="1" t="s">
        <v>49</v>
      </c>
      <c r="AC1727" s="1" t="s">
        <v>2587</v>
      </c>
      <c r="AD1727" s="1" t="s">
        <v>2588</v>
      </c>
      <c r="AE1727" s="1" t="s">
        <v>2587</v>
      </c>
      <c r="AF1727" s="1" t="s">
        <v>4013</v>
      </c>
      <c r="AG1727" s="1" t="s">
        <v>338</v>
      </c>
      <c r="AH1727" s="1" t="s">
        <v>49</v>
      </c>
      <c r="AI1727" s="1" t="s">
        <v>54</v>
      </c>
      <c r="AJ1727" s="1">
        <v>1</v>
      </c>
      <c r="AK1727" s="1" t="str">
        <f t="shared" si="26"/>
        <v xml:space="preserve"> =&lt;90</v>
      </c>
      <c r="AL1727" s="1" t="str">
        <f>VLOOKUP(C:C,[1]基础信息!B$1:D$65536,3,0)</f>
        <v>Jug</v>
      </c>
      <c r="AM1727" s="1" t="str">
        <f>VLOOKUP(C:C,[1]基础信息!B$1:E$65536,4,0)</f>
        <v>Aluna</v>
      </c>
      <c r="AN1727" s="1" t="str">
        <f>VLOOKUP(C:C,[1]基础信息!B$1:F$65536,5,0)</f>
        <v>Blue</v>
      </c>
    </row>
    <row r="1728" spans="1:40">
      <c r="A1728" s="1" t="s">
        <v>41</v>
      </c>
      <c r="B1728" s="1" t="s">
        <v>42</v>
      </c>
      <c r="C1728" s="1" t="s">
        <v>1437</v>
      </c>
      <c r="D1728" s="1" t="s">
        <v>1438</v>
      </c>
      <c r="E1728" s="1" t="s">
        <v>45</v>
      </c>
      <c r="F1728" s="1" t="s">
        <v>3989</v>
      </c>
      <c r="G1728" s="1" t="s">
        <v>4014</v>
      </c>
      <c r="H1728" s="1" t="s">
        <v>45</v>
      </c>
      <c r="I1728" s="1" t="s">
        <v>45</v>
      </c>
      <c r="J1728" s="1" t="s">
        <v>48</v>
      </c>
      <c r="K1728" s="1">
        <v>540</v>
      </c>
      <c r="L1728" s="1">
        <v>0</v>
      </c>
      <c r="M1728" s="1">
        <v>0</v>
      </c>
      <c r="N1728" s="1">
        <v>540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 t="s">
        <v>49</v>
      </c>
      <c r="AA1728" s="1" t="s">
        <v>49</v>
      </c>
      <c r="AB1728" s="1" t="s">
        <v>49</v>
      </c>
      <c r="AC1728" s="1" t="s">
        <v>3502</v>
      </c>
      <c r="AD1728" s="1" t="s">
        <v>3503</v>
      </c>
      <c r="AE1728" s="1" t="s">
        <v>3502</v>
      </c>
      <c r="AF1728" s="1" t="s">
        <v>3991</v>
      </c>
      <c r="AG1728" s="1" t="s">
        <v>53</v>
      </c>
      <c r="AH1728" s="1" t="s">
        <v>49</v>
      </c>
      <c r="AI1728" s="1" t="s">
        <v>54</v>
      </c>
      <c r="AJ1728" s="1">
        <v>1</v>
      </c>
      <c r="AK1728" s="1" t="str">
        <f t="shared" si="26"/>
        <v xml:space="preserve"> =&lt;90</v>
      </c>
      <c r="AL1728" s="1" t="str">
        <f>VLOOKUP(C:C,[1]基础信息!B$1:D$65536,3,0)</f>
        <v>On tap</v>
      </c>
      <c r="AM1728" s="1" t="str">
        <f>VLOOKUP(C:C,[1]基础信息!B$1:E$65536,4,0)</f>
        <v>On tap</v>
      </c>
      <c r="AN1728" s="1" t="str">
        <f>VLOOKUP(C:C,[1]基础信息!B$1:F$65536,5,0)</f>
        <v>On tap</v>
      </c>
    </row>
    <row r="1729" spans="1:40">
      <c r="A1729" s="1" t="s">
        <v>41</v>
      </c>
      <c r="B1729" s="1" t="s">
        <v>42</v>
      </c>
      <c r="C1729" s="1" t="s">
        <v>2166</v>
      </c>
      <c r="D1729" s="1" t="s">
        <v>2167</v>
      </c>
      <c r="E1729" s="1" t="s">
        <v>45</v>
      </c>
      <c r="F1729" s="1" t="s">
        <v>3981</v>
      </c>
      <c r="G1729" s="1" t="s">
        <v>4015</v>
      </c>
      <c r="H1729" s="1" t="s">
        <v>4016</v>
      </c>
      <c r="I1729" s="1" t="s">
        <v>49</v>
      </c>
      <c r="J1729" s="1" t="s">
        <v>48</v>
      </c>
      <c r="K1729" s="1">
        <v>16</v>
      </c>
      <c r="L1729" s="1">
        <v>0</v>
      </c>
      <c r="M1729" s="1">
        <v>0</v>
      </c>
      <c r="N1729" s="1">
        <v>16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 t="s">
        <v>49</v>
      </c>
      <c r="AA1729" s="1" t="s">
        <v>49</v>
      </c>
      <c r="AB1729" s="1" t="s">
        <v>49</v>
      </c>
      <c r="AC1729" s="1" t="s">
        <v>3984</v>
      </c>
      <c r="AD1729" s="1" t="s">
        <v>3985</v>
      </c>
      <c r="AE1729" s="1" t="s">
        <v>3984</v>
      </c>
      <c r="AF1729" s="1" t="s">
        <v>3986</v>
      </c>
      <c r="AG1729" s="1" t="s">
        <v>53</v>
      </c>
      <c r="AH1729" s="1" t="s">
        <v>49</v>
      </c>
      <c r="AI1729" s="1" t="s">
        <v>54</v>
      </c>
      <c r="AJ1729" s="1">
        <v>1</v>
      </c>
      <c r="AK1729" s="1" t="str">
        <f t="shared" si="26"/>
        <v xml:space="preserve"> =&lt;90</v>
      </c>
      <c r="AL1729" s="1" t="str">
        <f>VLOOKUP(C:C,[1]基础信息!B$1:D$65536,3,0)</f>
        <v>UTS</v>
      </c>
      <c r="AM1729" s="1" t="str">
        <f>VLOOKUP(C:C,[1]基础信息!B$1:E$65536,4,0)</f>
        <v>RO</v>
      </c>
      <c r="AN1729" s="1" t="str">
        <f>VLOOKUP(C:C,[1]基础信息!B$1:F$65536,5,0)</f>
        <v>Starry Grey Color</v>
      </c>
    </row>
    <row r="1730" spans="1:40">
      <c r="A1730" s="1" t="s">
        <v>41</v>
      </c>
      <c r="B1730" s="1" t="s">
        <v>42</v>
      </c>
      <c r="C1730" s="1" t="s">
        <v>3999</v>
      </c>
      <c r="D1730" s="1" t="s">
        <v>4000</v>
      </c>
      <c r="E1730" s="1" t="s">
        <v>45</v>
      </c>
      <c r="F1730" s="1" t="s">
        <v>4011</v>
      </c>
      <c r="G1730" s="1" t="s">
        <v>4017</v>
      </c>
      <c r="H1730" s="1" t="s">
        <v>45</v>
      </c>
      <c r="I1730" s="1" t="s">
        <v>45</v>
      </c>
      <c r="J1730" s="1" t="s">
        <v>48</v>
      </c>
      <c r="K1730" s="1">
        <v>72</v>
      </c>
      <c r="L1730" s="1">
        <v>0</v>
      </c>
      <c r="M1730" s="1">
        <v>0</v>
      </c>
      <c r="N1730" s="1">
        <v>72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 t="s">
        <v>49</v>
      </c>
      <c r="AA1730" s="1" t="s">
        <v>49</v>
      </c>
      <c r="AB1730" s="1" t="s">
        <v>49</v>
      </c>
      <c r="AC1730" s="1" t="s">
        <v>2587</v>
      </c>
      <c r="AD1730" s="1" t="s">
        <v>2588</v>
      </c>
      <c r="AE1730" s="1" t="s">
        <v>2587</v>
      </c>
      <c r="AF1730" s="1" t="s">
        <v>4013</v>
      </c>
      <c r="AG1730" s="1" t="s">
        <v>338</v>
      </c>
      <c r="AH1730" s="1" t="s">
        <v>49</v>
      </c>
      <c r="AI1730" s="1" t="s">
        <v>54</v>
      </c>
      <c r="AJ1730" s="1">
        <v>1</v>
      </c>
      <c r="AK1730" s="1" t="str">
        <f t="shared" ref="AK1730:AK1793" si="27">IF(AJ1730&gt;$AP$2,$AQ$2,IF(AJ1730&gt;$AP$3,$AQ$3,IF(AJ1730&gt;$AP$4,$AQ$4,$AQ$5)))</f>
        <v xml:space="preserve"> =&lt;90</v>
      </c>
      <c r="AL1730" s="1" t="str">
        <f>VLOOKUP(C:C,[1]基础信息!B$1:D$65536,3,0)</f>
        <v>Jug</v>
      </c>
      <c r="AM1730" s="1" t="str">
        <f>VLOOKUP(C:C,[1]基础信息!B$1:E$65536,4,0)</f>
        <v>Aluna</v>
      </c>
      <c r="AN1730" s="1" t="str">
        <f>VLOOKUP(C:C,[1]基础信息!B$1:F$65536,5,0)</f>
        <v>Blue</v>
      </c>
    </row>
    <row r="1731" spans="1:40">
      <c r="A1731" s="1" t="s">
        <v>41</v>
      </c>
      <c r="B1731" s="1" t="s">
        <v>42</v>
      </c>
      <c r="C1731" s="1" t="s">
        <v>2166</v>
      </c>
      <c r="D1731" s="1" t="s">
        <v>2167</v>
      </c>
      <c r="E1731" s="1" t="s">
        <v>45</v>
      </c>
      <c r="F1731" s="1" t="s">
        <v>3981</v>
      </c>
      <c r="G1731" s="1" t="s">
        <v>4018</v>
      </c>
      <c r="H1731" s="1" t="s">
        <v>4019</v>
      </c>
      <c r="I1731" s="1" t="s">
        <v>49</v>
      </c>
      <c r="J1731" s="1" t="s">
        <v>48</v>
      </c>
      <c r="K1731" s="1">
        <v>16</v>
      </c>
      <c r="L1731" s="1">
        <v>0</v>
      </c>
      <c r="M1731" s="1">
        <v>0</v>
      </c>
      <c r="N1731" s="1">
        <v>16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 t="s">
        <v>49</v>
      </c>
      <c r="AA1731" s="1" t="s">
        <v>49</v>
      </c>
      <c r="AB1731" s="1" t="s">
        <v>49</v>
      </c>
      <c r="AC1731" s="1" t="s">
        <v>3984</v>
      </c>
      <c r="AD1731" s="1" t="s">
        <v>3985</v>
      </c>
      <c r="AE1731" s="1" t="s">
        <v>3984</v>
      </c>
      <c r="AF1731" s="1" t="s">
        <v>3986</v>
      </c>
      <c r="AG1731" s="1" t="s">
        <v>53</v>
      </c>
      <c r="AH1731" s="1" t="s">
        <v>49</v>
      </c>
      <c r="AI1731" s="1" t="s">
        <v>54</v>
      </c>
      <c r="AJ1731" s="1">
        <v>1</v>
      </c>
      <c r="AK1731" s="1" t="str">
        <f t="shared" si="27"/>
        <v xml:space="preserve"> =&lt;90</v>
      </c>
      <c r="AL1731" s="1" t="str">
        <f>VLOOKUP(C:C,[1]基础信息!B$1:D$65536,3,0)</f>
        <v>UTS</v>
      </c>
      <c r="AM1731" s="1" t="str">
        <f>VLOOKUP(C:C,[1]基础信息!B$1:E$65536,4,0)</f>
        <v>RO</v>
      </c>
      <c r="AN1731" s="1" t="str">
        <f>VLOOKUP(C:C,[1]基础信息!B$1:F$65536,5,0)</f>
        <v>Starry Grey Color</v>
      </c>
    </row>
    <row r="1732" spans="1:40">
      <c r="A1732" s="1" t="s">
        <v>41</v>
      </c>
      <c r="B1732" s="1" t="s">
        <v>42</v>
      </c>
      <c r="C1732" s="1" t="s">
        <v>3999</v>
      </c>
      <c r="D1732" s="1" t="s">
        <v>4000</v>
      </c>
      <c r="E1732" s="1" t="s">
        <v>45</v>
      </c>
      <c r="F1732" s="1" t="s">
        <v>4011</v>
      </c>
      <c r="G1732" s="1" t="s">
        <v>4020</v>
      </c>
      <c r="H1732" s="1" t="s">
        <v>45</v>
      </c>
      <c r="I1732" s="1" t="s">
        <v>45</v>
      </c>
      <c r="J1732" s="1" t="s">
        <v>48</v>
      </c>
      <c r="K1732" s="1">
        <v>72</v>
      </c>
      <c r="L1732" s="1">
        <v>0</v>
      </c>
      <c r="M1732" s="1">
        <v>0</v>
      </c>
      <c r="N1732" s="1">
        <v>72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 t="s">
        <v>49</v>
      </c>
      <c r="AA1732" s="1" t="s">
        <v>49</v>
      </c>
      <c r="AB1732" s="1" t="s">
        <v>49</v>
      </c>
      <c r="AC1732" s="1" t="s">
        <v>2587</v>
      </c>
      <c r="AD1732" s="1" t="s">
        <v>2588</v>
      </c>
      <c r="AE1732" s="1" t="s">
        <v>2587</v>
      </c>
      <c r="AF1732" s="1" t="s">
        <v>4013</v>
      </c>
      <c r="AG1732" s="1" t="s">
        <v>338</v>
      </c>
      <c r="AH1732" s="1" t="s">
        <v>49</v>
      </c>
      <c r="AI1732" s="1" t="s">
        <v>54</v>
      </c>
      <c r="AJ1732" s="1">
        <v>1</v>
      </c>
      <c r="AK1732" s="1" t="str">
        <f t="shared" si="27"/>
        <v xml:space="preserve"> =&lt;90</v>
      </c>
      <c r="AL1732" s="1" t="str">
        <f>VLOOKUP(C:C,[1]基础信息!B$1:D$65536,3,0)</f>
        <v>Jug</v>
      </c>
      <c r="AM1732" s="1" t="str">
        <f>VLOOKUP(C:C,[1]基础信息!B$1:E$65536,4,0)</f>
        <v>Aluna</v>
      </c>
      <c r="AN1732" s="1" t="str">
        <f>VLOOKUP(C:C,[1]基础信息!B$1:F$65536,5,0)</f>
        <v>Blue</v>
      </c>
    </row>
    <row r="1733" spans="1:40">
      <c r="A1733" s="1" t="s">
        <v>41</v>
      </c>
      <c r="B1733" s="1" t="s">
        <v>42</v>
      </c>
      <c r="C1733" s="1" t="s">
        <v>56</v>
      </c>
      <c r="D1733" s="1" t="s">
        <v>57</v>
      </c>
      <c r="E1733" s="1" t="s">
        <v>45</v>
      </c>
      <c r="F1733" s="1" t="s">
        <v>3961</v>
      </c>
      <c r="G1733" s="1" t="s">
        <v>4021</v>
      </c>
      <c r="H1733" s="1" t="s">
        <v>4022</v>
      </c>
      <c r="I1733" s="1" t="s">
        <v>49</v>
      </c>
      <c r="J1733" s="1" t="s">
        <v>48</v>
      </c>
      <c r="K1733" s="1">
        <v>72</v>
      </c>
      <c r="L1733" s="1">
        <v>0</v>
      </c>
      <c r="M1733" s="1">
        <v>0</v>
      </c>
      <c r="N1733" s="1">
        <v>72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 t="s">
        <v>49</v>
      </c>
      <c r="AA1733" s="1" t="s">
        <v>49</v>
      </c>
      <c r="AB1733" s="1" t="s">
        <v>49</v>
      </c>
      <c r="AC1733" s="1" t="s">
        <v>3964</v>
      </c>
      <c r="AD1733" s="1" t="s">
        <v>3965</v>
      </c>
      <c r="AE1733" s="1" t="s">
        <v>3964</v>
      </c>
      <c r="AF1733" s="1" t="s">
        <v>1099</v>
      </c>
      <c r="AG1733" s="1" t="s">
        <v>53</v>
      </c>
      <c r="AH1733" s="1" t="s">
        <v>49</v>
      </c>
      <c r="AI1733" s="1" t="s">
        <v>54</v>
      </c>
      <c r="AJ1733" s="1">
        <v>1</v>
      </c>
      <c r="AK1733" s="1" t="str">
        <f t="shared" si="27"/>
        <v xml:space="preserve"> =&lt;90</v>
      </c>
      <c r="AL1733" s="1" t="str">
        <f>VLOOKUP(C:C,[1]基础信息!B$1:D$65536,3,0)</f>
        <v>Jug</v>
      </c>
      <c r="AM1733" s="1" t="str">
        <f>VLOOKUP(C:C,[1]基础信息!B$1:E$65536,4,0)</f>
        <v>Marella XL</v>
      </c>
      <c r="AN1733" s="1" t="str">
        <f>VLOOKUP(C:C,[1]基础信息!B$1:F$65536,5,0)</f>
        <v>Blue</v>
      </c>
    </row>
    <row r="1734" spans="1:40">
      <c r="A1734" s="1" t="s">
        <v>41</v>
      </c>
      <c r="B1734" s="1" t="s">
        <v>42</v>
      </c>
      <c r="C1734" s="1" t="s">
        <v>2166</v>
      </c>
      <c r="D1734" s="1" t="s">
        <v>2167</v>
      </c>
      <c r="E1734" s="1" t="s">
        <v>45</v>
      </c>
      <c r="F1734" s="1" t="s">
        <v>3992</v>
      </c>
      <c r="G1734" s="1" t="s">
        <v>4023</v>
      </c>
      <c r="H1734" s="1" t="s">
        <v>4024</v>
      </c>
      <c r="I1734" s="1" t="s">
        <v>49</v>
      </c>
      <c r="J1734" s="1" t="s">
        <v>48</v>
      </c>
      <c r="K1734" s="1">
        <v>16</v>
      </c>
      <c r="L1734" s="1">
        <v>0</v>
      </c>
      <c r="M1734" s="1">
        <v>0</v>
      </c>
      <c r="N1734" s="1">
        <v>16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 t="s">
        <v>49</v>
      </c>
      <c r="AA1734" s="1" t="s">
        <v>49</v>
      </c>
      <c r="AB1734" s="1" t="s">
        <v>49</v>
      </c>
      <c r="AC1734" s="1" t="s">
        <v>3984</v>
      </c>
      <c r="AD1734" s="1" t="s">
        <v>3985</v>
      </c>
      <c r="AE1734" s="1" t="s">
        <v>3984</v>
      </c>
      <c r="AF1734" s="1" t="s">
        <v>2173</v>
      </c>
      <c r="AG1734" s="1" t="s">
        <v>53</v>
      </c>
      <c r="AH1734" s="1" t="s">
        <v>49</v>
      </c>
      <c r="AI1734" s="1" t="s">
        <v>54</v>
      </c>
      <c r="AJ1734" s="1">
        <v>1</v>
      </c>
      <c r="AK1734" s="1" t="str">
        <f t="shared" si="27"/>
        <v xml:space="preserve"> =&lt;90</v>
      </c>
      <c r="AL1734" s="1" t="str">
        <f>VLOOKUP(C:C,[1]基础信息!B$1:D$65536,3,0)</f>
        <v>UTS</v>
      </c>
      <c r="AM1734" s="1" t="str">
        <f>VLOOKUP(C:C,[1]基础信息!B$1:E$65536,4,0)</f>
        <v>RO</v>
      </c>
      <c r="AN1734" s="1" t="str">
        <f>VLOOKUP(C:C,[1]基础信息!B$1:F$65536,5,0)</f>
        <v>Starry Grey Color</v>
      </c>
    </row>
    <row r="1735" spans="1:40">
      <c r="A1735" s="1" t="s">
        <v>41</v>
      </c>
      <c r="B1735" s="1" t="s">
        <v>42</v>
      </c>
      <c r="C1735" s="1" t="s">
        <v>3999</v>
      </c>
      <c r="D1735" s="1" t="s">
        <v>4000</v>
      </c>
      <c r="E1735" s="1" t="s">
        <v>45</v>
      </c>
      <c r="F1735" s="1" t="s">
        <v>4011</v>
      </c>
      <c r="G1735" s="1" t="s">
        <v>4025</v>
      </c>
      <c r="H1735" s="1" t="s">
        <v>45</v>
      </c>
      <c r="I1735" s="1" t="s">
        <v>45</v>
      </c>
      <c r="J1735" s="1" t="s">
        <v>48</v>
      </c>
      <c r="K1735" s="1">
        <v>72</v>
      </c>
      <c r="L1735" s="1">
        <v>0</v>
      </c>
      <c r="M1735" s="1">
        <v>0</v>
      </c>
      <c r="N1735" s="1">
        <v>72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 t="s">
        <v>49</v>
      </c>
      <c r="AA1735" s="1" t="s">
        <v>49</v>
      </c>
      <c r="AB1735" s="1" t="s">
        <v>49</v>
      </c>
      <c r="AC1735" s="1" t="s">
        <v>2587</v>
      </c>
      <c r="AD1735" s="1" t="s">
        <v>2588</v>
      </c>
      <c r="AE1735" s="1" t="s">
        <v>2587</v>
      </c>
      <c r="AF1735" s="1" t="s">
        <v>4013</v>
      </c>
      <c r="AG1735" s="1" t="s">
        <v>338</v>
      </c>
      <c r="AH1735" s="1" t="s">
        <v>49</v>
      </c>
      <c r="AI1735" s="1" t="s">
        <v>54</v>
      </c>
      <c r="AJ1735" s="1">
        <v>1</v>
      </c>
      <c r="AK1735" s="1" t="str">
        <f t="shared" si="27"/>
        <v xml:space="preserve"> =&lt;90</v>
      </c>
      <c r="AL1735" s="1" t="str">
        <f>VLOOKUP(C:C,[1]基础信息!B$1:D$65536,3,0)</f>
        <v>Jug</v>
      </c>
      <c r="AM1735" s="1" t="str">
        <f>VLOOKUP(C:C,[1]基础信息!B$1:E$65536,4,0)</f>
        <v>Aluna</v>
      </c>
      <c r="AN1735" s="1" t="str">
        <f>VLOOKUP(C:C,[1]基础信息!B$1:F$65536,5,0)</f>
        <v>Blue</v>
      </c>
    </row>
    <row r="1736" spans="1:40">
      <c r="A1736" s="1" t="s">
        <v>41</v>
      </c>
      <c r="B1736" s="1" t="s">
        <v>42</v>
      </c>
      <c r="C1736" s="1" t="s">
        <v>2166</v>
      </c>
      <c r="D1736" s="1" t="s">
        <v>2167</v>
      </c>
      <c r="E1736" s="1" t="s">
        <v>45</v>
      </c>
      <c r="F1736" s="1" t="s">
        <v>3992</v>
      </c>
      <c r="G1736" s="1" t="s">
        <v>4026</v>
      </c>
      <c r="H1736" s="1" t="s">
        <v>4027</v>
      </c>
      <c r="I1736" s="1" t="s">
        <v>49</v>
      </c>
      <c r="J1736" s="1" t="s">
        <v>48</v>
      </c>
      <c r="K1736" s="1">
        <v>16</v>
      </c>
      <c r="L1736" s="1">
        <v>0</v>
      </c>
      <c r="M1736" s="1">
        <v>0</v>
      </c>
      <c r="N1736" s="1">
        <v>16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 t="s">
        <v>49</v>
      </c>
      <c r="AA1736" s="1" t="s">
        <v>49</v>
      </c>
      <c r="AB1736" s="1" t="s">
        <v>49</v>
      </c>
      <c r="AC1736" s="1" t="s">
        <v>3984</v>
      </c>
      <c r="AD1736" s="1" t="s">
        <v>3985</v>
      </c>
      <c r="AE1736" s="1" t="s">
        <v>3984</v>
      </c>
      <c r="AF1736" s="1" t="s">
        <v>2173</v>
      </c>
      <c r="AG1736" s="1" t="s">
        <v>53</v>
      </c>
      <c r="AH1736" s="1" t="s">
        <v>49</v>
      </c>
      <c r="AI1736" s="1" t="s">
        <v>54</v>
      </c>
      <c r="AJ1736" s="1">
        <v>1</v>
      </c>
      <c r="AK1736" s="1" t="str">
        <f t="shared" si="27"/>
        <v xml:space="preserve"> =&lt;90</v>
      </c>
      <c r="AL1736" s="1" t="str">
        <f>VLOOKUP(C:C,[1]基础信息!B$1:D$65536,3,0)</f>
        <v>UTS</v>
      </c>
      <c r="AM1736" s="1" t="str">
        <f>VLOOKUP(C:C,[1]基础信息!B$1:E$65536,4,0)</f>
        <v>RO</v>
      </c>
      <c r="AN1736" s="1" t="str">
        <f>VLOOKUP(C:C,[1]基础信息!B$1:F$65536,5,0)</f>
        <v>Starry Grey Color</v>
      </c>
    </row>
    <row r="1737" spans="1:40">
      <c r="A1737" s="1" t="s">
        <v>41</v>
      </c>
      <c r="B1737" s="1" t="s">
        <v>42</v>
      </c>
      <c r="C1737" s="1" t="s">
        <v>3999</v>
      </c>
      <c r="D1737" s="1" t="s">
        <v>4000</v>
      </c>
      <c r="E1737" s="1" t="s">
        <v>45</v>
      </c>
      <c r="F1737" s="1" t="s">
        <v>4011</v>
      </c>
      <c r="G1737" s="1" t="s">
        <v>4028</v>
      </c>
      <c r="H1737" s="1" t="s">
        <v>45</v>
      </c>
      <c r="I1737" s="1" t="s">
        <v>45</v>
      </c>
      <c r="J1737" s="1" t="s">
        <v>48</v>
      </c>
      <c r="K1737" s="1">
        <v>72</v>
      </c>
      <c r="L1737" s="1">
        <v>0</v>
      </c>
      <c r="M1737" s="1">
        <v>0</v>
      </c>
      <c r="N1737" s="1">
        <v>72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 t="s">
        <v>49</v>
      </c>
      <c r="AA1737" s="1" t="s">
        <v>49</v>
      </c>
      <c r="AB1737" s="1" t="s">
        <v>49</v>
      </c>
      <c r="AC1737" s="1" t="s">
        <v>2587</v>
      </c>
      <c r="AD1737" s="1" t="s">
        <v>2588</v>
      </c>
      <c r="AE1737" s="1" t="s">
        <v>2587</v>
      </c>
      <c r="AF1737" s="1" t="s">
        <v>4013</v>
      </c>
      <c r="AG1737" s="1" t="s">
        <v>338</v>
      </c>
      <c r="AH1737" s="1" t="s">
        <v>49</v>
      </c>
      <c r="AI1737" s="1" t="s">
        <v>54</v>
      </c>
      <c r="AJ1737" s="1">
        <v>1</v>
      </c>
      <c r="AK1737" s="1" t="str">
        <f t="shared" si="27"/>
        <v xml:space="preserve"> =&lt;90</v>
      </c>
      <c r="AL1737" s="1" t="str">
        <f>VLOOKUP(C:C,[1]基础信息!B$1:D$65536,3,0)</f>
        <v>Jug</v>
      </c>
      <c r="AM1737" s="1" t="str">
        <f>VLOOKUP(C:C,[1]基础信息!B$1:E$65536,4,0)</f>
        <v>Aluna</v>
      </c>
      <c r="AN1737" s="1" t="str">
        <f>VLOOKUP(C:C,[1]基础信息!B$1:F$65536,5,0)</f>
        <v>Blue</v>
      </c>
    </row>
    <row r="1738" spans="1:40">
      <c r="A1738" s="1" t="s">
        <v>41</v>
      </c>
      <c r="B1738" s="1" t="s">
        <v>42</v>
      </c>
      <c r="C1738" s="1" t="s">
        <v>2166</v>
      </c>
      <c r="D1738" s="1" t="s">
        <v>2167</v>
      </c>
      <c r="E1738" s="1" t="s">
        <v>45</v>
      </c>
      <c r="F1738" s="1" t="s">
        <v>3992</v>
      </c>
      <c r="G1738" s="1" t="s">
        <v>4029</v>
      </c>
      <c r="H1738" s="1" t="s">
        <v>4030</v>
      </c>
      <c r="I1738" s="1" t="s">
        <v>49</v>
      </c>
      <c r="J1738" s="1" t="s">
        <v>48</v>
      </c>
      <c r="K1738" s="1">
        <v>16</v>
      </c>
      <c r="L1738" s="1">
        <v>0</v>
      </c>
      <c r="M1738" s="1">
        <v>0</v>
      </c>
      <c r="N1738" s="1">
        <v>16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 t="s">
        <v>49</v>
      </c>
      <c r="AA1738" s="1" t="s">
        <v>49</v>
      </c>
      <c r="AB1738" s="1" t="s">
        <v>49</v>
      </c>
      <c r="AC1738" s="1" t="s">
        <v>3984</v>
      </c>
      <c r="AD1738" s="1" t="s">
        <v>3985</v>
      </c>
      <c r="AE1738" s="1" t="s">
        <v>3984</v>
      </c>
      <c r="AF1738" s="1" t="s">
        <v>2173</v>
      </c>
      <c r="AG1738" s="1" t="s">
        <v>53</v>
      </c>
      <c r="AH1738" s="1" t="s">
        <v>49</v>
      </c>
      <c r="AI1738" s="1" t="s">
        <v>54</v>
      </c>
      <c r="AJ1738" s="1">
        <v>1</v>
      </c>
      <c r="AK1738" s="1" t="str">
        <f t="shared" si="27"/>
        <v xml:space="preserve"> =&lt;90</v>
      </c>
      <c r="AL1738" s="1" t="str">
        <f>VLOOKUP(C:C,[1]基础信息!B$1:D$65536,3,0)</f>
        <v>UTS</v>
      </c>
      <c r="AM1738" s="1" t="str">
        <f>VLOOKUP(C:C,[1]基础信息!B$1:E$65536,4,0)</f>
        <v>RO</v>
      </c>
      <c r="AN1738" s="1" t="str">
        <f>VLOOKUP(C:C,[1]基础信息!B$1:F$65536,5,0)</f>
        <v>Starry Grey Color</v>
      </c>
    </row>
    <row r="1739" spans="1:40">
      <c r="A1739" s="1" t="s">
        <v>41</v>
      </c>
      <c r="B1739" s="1" t="s">
        <v>42</v>
      </c>
      <c r="C1739" s="1" t="s">
        <v>56</v>
      </c>
      <c r="D1739" s="1" t="s">
        <v>57</v>
      </c>
      <c r="E1739" s="1" t="s">
        <v>45</v>
      </c>
      <c r="F1739" s="1" t="s">
        <v>3961</v>
      </c>
      <c r="G1739" s="1" t="s">
        <v>4031</v>
      </c>
      <c r="H1739" s="1" t="s">
        <v>4032</v>
      </c>
      <c r="I1739" s="1" t="s">
        <v>49</v>
      </c>
      <c r="J1739" s="1" t="s">
        <v>48</v>
      </c>
      <c r="K1739" s="1">
        <v>72</v>
      </c>
      <c r="L1739" s="1">
        <v>0</v>
      </c>
      <c r="M1739" s="1">
        <v>0</v>
      </c>
      <c r="N1739" s="1">
        <v>72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 t="s">
        <v>49</v>
      </c>
      <c r="AA1739" s="1" t="s">
        <v>49</v>
      </c>
      <c r="AB1739" s="1" t="s">
        <v>49</v>
      </c>
      <c r="AC1739" s="1" t="s">
        <v>3964</v>
      </c>
      <c r="AD1739" s="1" t="s">
        <v>3965</v>
      </c>
      <c r="AE1739" s="1" t="s">
        <v>3964</v>
      </c>
      <c r="AF1739" s="1" t="s">
        <v>1099</v>
      </c>
      <c r="AG1739" s="1" t="s">
        <v>53</v>
      </c>
      <c r="AH1739" s="1" t="s">
        <v>49</v>
      </c>
      <c r="AI1739" s="1" t="s">
        <v>54</v>
      </c>
      <c r="AJ1739" s="1">
        <v>1</v>
      </c>
      <c r="AK1739" s="1" t="str">
        <f t="shared" si="27"/>
        <v xml:space="preserve"> =&lt;90</v>
      </c>
      <c r="AL1739" s="1" t="str">
        <f>VLOOKUP(C:C,[1]基础信息!B$1:D$65536,3,0)</f>
        <v>Jug</v>
      </c>
      <c r="AM1739" s="1" t="str">
        <f>VLOOKUP(C:C,[1]基础信息!B$1:E$65536,4,0)</f>
        <v>Marella XL</v>
      </c>
      <c r="AN1739" s="1" t="str">
        <f>VLOOKUP(C:C,[1]基础信息!B$1:F$65536,5,0)</f>
        <v>Blue</v>
      </c>
    </row>
    <row r="1740" spans="1:40">
      <c r="A1740" s="1" t="s">
        <v>41</v>
      </c>
      <c r="B1740" s="1" t="s">
        <v>42</v>
      </c>
      <c r="C1740" s="1" t="s">
        <v>2166</v>
      </c>
      <c r="D1740" s="1" t="s">
        <v>2167</v>
      </c>
      <c r="E1740" s="1" t="s">
        <v>45</v>
      </c>
      <c r="F1740" s="1" t="s">
        <v>3992</v>
      </c>
      <c r="G1740" s="1" t="s">
        <v>4033</v>
      </c>
      <c r="H1740" s="1" t="s">
        <v>4034</v>
      </c>
      <c r="I1740" s="1" t="s">
        <v>49</v>
      </c>
      <c r="J1740" s="1" t="s">
        <v>48</v>
      </c>
      <c r="K1740" s="1">
        <v>16</v>
      </c>
      <c r="L1740" s="1">
        <v>0</v>
      </c>
      <c r="M1740" s="1">
        <v>0</v>
      </c>
      <c r="N1740" s="1">
        <v>16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 t="s">
        <v>49</v>
      </c>
      <c r="AA1740" s="1" t="s">
        <v>49</v>
      </c>
      <c r="AB1740" s="1" t="s">
        <v>49</v>
      </c>
      <c r="AC1740" s="1" t="s">
        <v>3984</v>
      </c>
      <c r="AD1740" s="1" t="s">
        <v>3985</v>
      </c>
      <c r="AE1740" s="1" t="s">
        <v>3984</v>
      </c>
      <c r="AF1740" s="1" t="s">
        <v>2173</v>
      </c>
      <c r="AG1740" s="1" t="s">
        <v>53</v>
      </c>
      <c r="AH1740" s="1" t="s">
        <v>49</v>
      </c>
      <c r="AI1740" s="1" t="s">
        <v>54</v>
      </c>
      <c r="AJ1740" s="1">
        <v>1</v>
      </c>
      <c r="AK1740" s="1" t="str">
        <f t="shared" si="27"/>
        <v xml:space="preserve"> =&lt;90</v>
      </c>
      <c r="AL1740" s="1" t="str">
        <f>VLOOKUP(C:C,[1]基础信息!B$1:D$65536,3,0)</f>
        <v>UTS</v>
      </c>
      <c r="AM1740" s="1" t="str">
        <f>VLOOKUP(C:C,[1]基础信息!B$1:E$65536,4,0)</f>
        <v>RO</v>
      </c>
      <c r="AN1740" s="1" t="str">
        <f>VLOOKUP(C:C,[1]基础信息!B$1:F$65536,5,0)</f>
        <v>Starry Grey Color</v>
      </c>
    </row>
    <row r="1741" spans="1:40">
      <c r="A1741" s="1" t="s">
        <v>41</v>
      </c>
      <c r="B1741" s="1" t="s">
        <v>42</v>
      </c>
      <c r="C1741" s="1" t="s">
        <v>56</v>
      </c>
      <c r="D1741" s="1" t="s">
        <v>57</v>
      </c>
      <c r="E1741" s="1" t="s">
        <v>45</v>
      </c>
      <c r="F1741" s="1" t="s">
        <v>3961</v>
      </c>
      <c r="G1741" s="1" t="s">
        <v>4035</v>
      </c>
      <c r="H1741" s="1" t="s">
        <v>4036</v>
      </c>
      <c r="I1741" s="1" t="s">
        <v>49</v>
      </c>
      <c r="J1741" s="1" t="s">
        <v>48</v>
      </c>
      <c r="K1741" s="1">
        <v>72</v>
      </c>
      <c r="L1741" s="1">
        <v>0</v>
      </c>
      <c r="M1741" s="1">
        <v>0</v>
      </c>
      <c r="N1741" s="1">
        <v>72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 t="s">
        <v>49</v>
      </c>
      <c r="AA1741" s="1" t="s">
        <v>49</v>
      </c>
      <c r="AB1741" s="1" t="s">
        <v>49</v>
      </c>
      <c r="AC1741" s="1" t="s">
        <v>3964</v>
      </c>
      <c r="AD1741" s="1" t="s">
        <v>3965</v>
      </c>
      <c r="AE1741" s="1" t="s">
        <v>3964</v>
      </c>
      <c r="AF1741" s="1" t="s">
        <v>1099</v>
      </c>
      <c r="AG1741" s="1" t="s">
        <v>53</v>
      </c>
      <c r="AH1741" s="1" t="s">
        <v>49</v>
      </c>
      <c r="AI1741" s="1" t="s">
        <v>54</v>
      </c>
      <c r="AJ1741" s="1">
        <v>1</v>
      </c>
      <c r="AK1741" s="1" t="str">
        <f t="shared" si="27"/>
        <v xml:space="preserve"> =&lt;90</v>
      </c>
      <c r="AL1741" s="1" t="str">
        <f>VLOOKUP(C:C,[1]基础信息!B$1:D$65536,3,0)</f>
        <v>Jug</v>
      </c>
      <c r="AM1741" s="1" t="str">
        <f>VLOOKUP(C:C,[1]基础信息!B$1:E$65536,4,0)</f>
        <v>Marella XL</v>
      </c>
      <c r="AN1741" s="1" t="str">
        <f>VLOOKUP(C:C,[1]基础信息!B$1:F$65536,5,0)</f>
        <v>Blue</v>
      </c>
    </row>
    <row r="1742" spans="1:40">
      <c r="A1742" s="1" t="s">
        <v>41</v>
      </c>
      <c r="B1742" s="1" t="s">
        <v>42</v>
      </c>
      <c r="C1742" s="1" t="s">
        <v>4037</v>
      </c>
      <c r="D1742" s="1" t="s">
        <v>4038</v>
      </c>
      <c r="E1742" s="1" t="s">
        <v>45</v>
      </c>
      <c r="F1742" s="1" t="s">
        <v>4039</v>
      </c>
      <c r="G1742" s="1" t="s">
        <v>4040</v>
      </c>
      <c r="H1742" s="1" t="s">
        <v>4041</v>
      </c>
      <c r="I1742" s="1" t="s">
        <v>49</v>
      </c>
      <c r="J1742" s="1" t="s">
        <v>48</v>
      </c>
      <c r="K1742" s="1">
        <v>72</v>
      </c>
      <c r="L1742" s="1">
        <v>0</v>
      </c>
      <c r="M1742" s="1">
        <v>0</v>
      </c>
      <c r="N1742" s="1">
        <v>72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 t="s">
        <v>49</v>
      </c>
      <c r="AA1742" s="1" t="s">
        <v>49</v>
      </c>
      <c r="AB1742" s="1" t="s">
        <v>49</v>
      </c>
      <c r="AC1742" s="1" t="s">
        <v>4042</v>
      </c>
      <c r="AD1742" s="1" t="s">
        <v>4043</v>
      </c>
      <c r="AE1742" s="1" t="s">
        <v>4042</v>
      </c>
      <c r="AF1742" s="1" t="s">
        <v>4044</v>
      </c>
      <c r="AG1742" s="1" t="s">
        <v>338</v>
      </c>
      <c r="AH1742" s="1" t="s">
        <v>49</v>
      </c>
      <c r="AI1742" s="1" t="s">
        <v>54</v>
      </c>
      <c r="AJ1742" s="1">
        <v>1</v>
      </c>
      <c r="AK1742" s="1" t="str">
        <f t="shared" si="27"/>
        <v xml:space="preserve"> =&lt;90</v>
      </c>
      <c r="AL1742" s="1" t="str">
        <f>VLOOKUP(C:C,[1]基础信息!B$1:D$65536,3,0)</f>
        <v>Jug</v>
      </c>
      <c r="AM1742" s="1" t="str">
        <f>VLOOKUP(C:C,[1]基础信息!B$1:E$65536,4,0)</f>
        <v>Marella</v>
      </c>
      <c r="AN1742" s="1" t="str">
        <f>VLOOKUP(C:C,[1]基础信息!B$1:F$65536,5,0)</f>
        <v>Glitter</v>
      </c>
    </row>
    <row r="1743" spans="1:40">
      <c r="A1743" s="1" t="s">
        <v>41</v>
      </c>
      <c r="B1743" s="1" t="s">
        <v>42</v>
      </c>
      <c r="C1743" s="1" t="s">
        <v>2166</v>
      </c>
      <c r="D1743" s="1" t="s">
        <v>2167</v>
      </c>
      <c r="E1743" s="1" t="s">
        <v>45</v>
      </c>
      <c r="F1743" s="1" t="s">
        <v>3992</v>
      </c>
      <c r="G1743" s="1" t="s">
        <v>4045</v>
      </c>
      <c r="H1743" s="1" t="s">
        <v>4046</v>
      </c>
      <c r="I1743" s="1" t="s">
        <v>49</v>
      </c>
      <c r="J1743" s="1" t="s">
        <v>48</v>
      </c>
      <c r="K1743" s="1">
        <v>16</v>
      </c>
      <c r="L1743" s="1">
        <v>0</v>
      </c>
      <c r="M1743" s="1">
        <v>0</v>
      </c>
      <c r="N1743" s="1">
        <v>16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 t="s">
        <v>49</v>
      </c>
      <c r="AA1743" s="1" t="s">
        <v>49</v>
      </c>
      <c r="AB1743" s="1" t="s">
        <v>49</v>
      </c>
      <c r="AC1743" s="1" t="s">
        <v>3984</v>
      </c>
      <c r="AD1743" s="1" t="s">
        <v>3985</v>
      </c>
      <c r="AE1743" s="1" t="s">
        <v>3984</v>
      </c>
      <c r="AF1743" s="1" t="s">
        <v>2173</v>
      </c>
      <c r="AG1743" s="1" t="s">
        <v>53</v>
      </c>
      <c r="AH1743" s="1" t="s">
        <v>49</v>
      </c>
      <c r="AI1743" s="1" t="s">
        <v>54</v>
      </c>
      <c r="AJ1743" s="1">
        <v>1</v>
      </c>
      <c r="AK1743" s="1" t="str">
        <f t="shared" si="27"/>
        <v xml:space="preserve"> =&lt;90</v>
      </c>
      <c r="AL1743" s="1" t="str">
        <f>VLOOKUP(C:C,[1]基础信息!B$1:D$65536,3,0)</f>
        <v>UTS</v>
      </c>
      <c r="AM1743" s="1" t="str">
        <f>VLOOKUP(C:C,[1]基础信息!B$1:E$65536,4,0)</f>
        <v>RO</v>
      </c>
      <c r="AN1743" s="1" t="str">
        <f>VLOOKUP(C:C,[1]基础信息!B$1:F$65536,5,0)</f>
        <v>Starry Grey Color</v>
      </c>
    </row>
    <row r="1744" spans="1:40">
      <c r="A1744" s="1" t="s">
        <v>41</v>
      </c>
      <c r="B1744" s="1" t="s">
        <v>42</v>
      </c>
      <c r="C1744" s="1" t="s">
        <v>56</v>
      </c>
      <c r="D1744" s="1" t="s">
        <v>57</v>
      </c>
      <c r="E1744" s="1" t="s">
        <v>45</v>
      </c>
      <c r="F1744" s="1" t="s">
        <v>3961</v>
      </c>
      <c r="G1744" s="1" t="s">
        <v>4047</v>
      </c>
      <c r="H1744" s="1" t="s">
        <v>4048</v>
      </c>
      <c r="I1744" s="1" t="s">
        <v>49</v>
      </c>
      <c r="J1744" s="1" t="s">
        <v>48</v>
      </c>
      <c r="K1744" s="1">
        <v>72</v>
      </c>
      <c r="L1744" s="1">
        <v>0</v>
      </c>
      <c r="M1744" s="1">
        <v>0</v>
      </c>
      <c r="N1744" s="1">
        <v>72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 t="s">
        <v>49</v>
      </c>
      <c r="AA1744" s="1" t="s">
        <v>49</v>
      </c>
      <c r="AB1744" s="1" t="s">
        <v>49</v>
      </c>
      <c r="AC1744" s="1" t="s">
        <v>3964</v>
      </c>
      <c r="AD1744" s="1" t="s">
        <v>3965</v>
      </c>
      <c r="AE1744" s="1" t="s">
        <v>3964</v>
      </c>
      <c r="AF1744" s="1" t="s">
        <v>1099</v>
      </c>
      <c r="AG1744" s="1" t="s">
        <v>53</v>
      </c>
      <c r="AH1744" s="1" t="s">
        <v>49</v>
      </c>
      <c r="AI1744" s="1" t="s">
        <v>54</v>
      </c>
      <c r="AJ1744" s="1">
        <v>1</v>
      </c>
      <c r="AK1744" s="1" t="str">
        <f t="shared" si="27"/>
        <v xml:space="preserve"> =&lt;90</v>
      </c>
      <c r="AL1744" s="1" t="str">
        <f>VLOOKUP(C:C,[1]基础信息!B$1:D$65536,3,0)</f>
        <v>Jug</v>
      </c>
      <c r="AM1744" s="1" t="str">
        <f>VLOOKUP(C:C,[1]基础信息!B$1:E$65536,4,0)</f>
        <v>Marella XL</v>
      </c>
      <c r="AN1744" s="1" t="str">
        <f>VLOOKUP(C:C,[1]基础信息!B$1:F$65536,5,0)</f>
        <v>Blue</v>
      </c>
    </row>
    <row r="1745" spans="1:40">
      <c r="A1745" s="1" t="s">
        <v>41</v>
      </c>
      <c r="B1745" s="1" t="s">
        <v>42</v>
      </c>
      <c r="C1745" s="1" t="s">
        <v>2166</v>
      </c>
      <c r="D1745" s="1" t="s">
        <v>2167</v>
      </c>
      <c r="E1745" s="1" t="s">
        <v>45</v>
      </c>
      <c r="F1745" s="1" t="s">
        <v>3992</v>
      </c>
      <c r="G1745" s="1" t="s">
        <v>4049</v>
      </c>
      <c r="H1745" s="1" t="s">
        <v>4050</v>
      </c>
      <c r="I1745" s="1" t="s">
        <v>49</v>
      </c>
      <c r="J1745" s="1" t="s">
        <v>48</v>
      </c>
      <c r="K1745" s="1">
        <v>16</v>
      </c>
      <c r="L1745" s="1">
        <v>0</v>
      </c>
      <c r="M1745" s="1">
        <v>0</v>
      </c>
      <c r="N1745" s="1">
        <v>16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 t="s">
        <v>49</v>
      </c>
      <c r="AA1745" s="1" t="s">
        <v>49</v>
      </c>
      <c r="AB1745" s="1" t="s">
        <v>49</v>
      </c>
      <c r="AC1745" s="1" t="s">
        <v>3984</v>
      </c>
      <c r="AD1745" s="1" t="s">
        <v>3985</v>
      </c>
      <c r="AE1745" s="1" t="s">
        <v>3984</v>
      </c>
      <c r="AF1745" s="1" t="s">
        <v>2173</v>
      </c>
      <c r="AG1745" s="1" t="s">
        <v>53</v>
      </c>
      <c r="AH1745" s="1" t="s">
        <v>49</v>
      </c>
      <c r="AI1745" s="1" t="s">
        <v>54</v>
      </c>
      <c r="AJ1745" s="1">
        <v>1</v>
      </c>
      <c r="AK1745" s="1" t="str">
        <f t="shared" si="27"/>
        <v xml:space="preserve"> =&lt;90</v>
      </c>
      <c r="AL1745" s="1" t="str">
        <f>VLOOKUP(C:C,[1]基础信息!B$1:D$65536,3,0)</f>
        <v>UTS</v>
      </c>
      <c r="AM1745" s="1" t="str">
        <f>VLOOKUP(C:C,[1]基础信息!B$1:E$65536,4,0)</f>
        <v>RO</v>
      </c>
      <c r="AN1745" s="1" t="str">
        <f>VLOOKUP(C:C,[1]基础信息!B$1:F$65536,5,0)</f>
        <v>Starry Grey Color</v>
      </c>
    </row>
    <row r="1746" spans="1:40">
      <c r="A1746" s="1" t="s">
        <v>41</v>
      </c>
      <c r="B1746" s="1" t="s">
        <v>42</v>
      </c>
      <c r="C1746" s="1" t="s">
        <v>3999</v>
      </c>
      <c r="D1746" s="1" t="s">
        <v>4000</v>
      </c>
      <c r="E1746" s="1" t="s">
        <v>45</v>
      </c>
      <c r="F1746" s="1" t="s">
        <v>4051</v>
      </c>
      <c r="G1746" s="1" t="s">
        <v>4052</v>
      </c>
      <c r="H1746" s="1" t="s">
        <v>45</v>
      </c>
      <c r="I1746" s="1" t="s">
        <v>45</v>
      </c>
      <c r="J1746" s="1" t="s">
        <v>48</v>
      </c>
      <c r="K1746" s="1">
        <v>54</v>
      </c>
      <c r="L1746" s="1">
        <v>0</v>
      </c>
      <c r="M1746" s="1">
        <v>0</v>
      </c>
      <c r="N1746" s="1">
        <v>54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 t="s">
        <v>49</v>
      </c>
      <c r="AA1746" s="1" t="s">
        <v>49</v>
      </c>
      <c r="AB1746" s="1" t="s">
        <v>49</v>
      </c>
      <c r="AC1746" s="1" t="s">
        <v>4053</v>
      </c>
      <c r="AD1746" s="1" t="s">
        <v>4054</v>
      </c>
      <c r="AE1746" s="1" t="s">
        <v>4053</v>
      </c>
      <c r="AF1746" s="1" t="s">
        <v>49</v>
      </c>
      <c r="AG1746" s="1" t="s">
        <v>3464</v>
      </c>
      <c r="AH1746" s="1" t="s">
        <v>49</v>
      </c>
      <c r="AI1746" s="1" t="s">
        <v>54</v>
      </c>
      <c r="AJ1746" s="1">
        <v>1</v>
      </c>
      <c r="AK1746" s="1" t="str">
        <f t="shared" si="27"/>
        <v xml:space="preserve"> =&lt;90</v>
      </c>
      <c r="AL1746" s="1" t="str">
        <f>VLOOKUP(C:C,[1]基础信息!B$1:D$65536,3,0)</f>
        <v>Jug</v>
      </c>
      <c r="AM1746" s="1" t="str">
        <f>VLOOKUP(C:C,[1]基础信息!B$1:E$65536,4,0)</f>
        <v>Aluna</v>
      </c>
      <c r="AN1746" s="1" t="str">
        <f>VLOOKUP(C:C,[1]基础信息!B$1:F$65536,5,0)</f>
        <v>Blue</v>
      </c>
    </row>
    <row r="1747" spans="1:40">
      <c r="A1747" s="1" t="s">
        <v>41</v>
      </c>
      <c r="B1747" s="1" t="s">
        <v>42</v>
      </c>
      <c r="C1747" s="1" t="s">
        <v>56</v>
      </c>
      <c r="D1747" s="1" t="s">
        <v>57</v>
      </c>
      <c r="E1747" s="1" t="s">
        <v>45</v>
      </c>
      <c r="F1747" s="1" t="s">
        <v>3961</v>
      </c>
      <c r="G1747" s="1" t="s">
        <v>4055</v>
      </c>
      <c r="H1747" s="1" t="s">
        <v>4056</v>
      </c>
      <c r="I1747" s="1" t="s">
        <v>49</v>
      </c>
      <c r="J1747" s="1" t="s">
        <v>48</v>
      </c>
      <c r="K1747" s="1">
        <v>72</v>
      </c>
      <c r="L1747" s="1">
        <v>0</v>
      </c>
      <c r="M1747" s="1">
        <v>0</v>
      </c>
      <c r="N1747" s="1">
        <v>72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 t="s">
        <v>49</v>
      </c>
      <c r="AA1747" s="1" t="s">
        <v>49</v>
      </c>
      <c r="AB1747" s="1" t="s">
        <v>49</v>
      </c>
      <c r="AC1747" s="1" t="s">
        <v>3964</v>
      </c>
      <c r="AD1747" s="1" t="s">
        <v>3965</v>
      </c>
      <c r="AE1747" s="1" t="s">
        <v>3964</v>
      </c>
      <c r="AF1747" s="1" t="s">
        <v>1099</v>
      </c>
      <c r="AG1747" s="1" t="s">
        <v>53</v>
      </c>
      <c r="AH1747" s="1" t="s">
        <v>49</v>
      </c>
      <c r="AI1747" s="1" t="s">
        <v>54</v>
      </c>
      <c r="AJ1747" s="1">
        <v>1</v>
      </c>
      <c r="AK1747" s="1" t="str">
        <f t="shared" si="27"/>
        <v xml:space="preserve"> =&lt;90</v>
      </c>
      <c r="AL1747" s="1" t="str">
        <f>VLOOKUP(C:C,[1]基础信息!B$1:D$65536,3,0)</f>
        <v>Jug</v>
      </c>
      <c r="AM1747" s="1" t="str">
        <f>VLOOKUP(C:C,[1]基础信息!B$1:E$65536,4,0)</f>
        <v>Marella XL</v>
      </c>
      <c r="AN1747" s="1" t="str">
        <f>VLOOKUP(C:C,[1]基础信息!B$1:F$65536,5,0)</f>
        <v>Blue</v>
      </c>
    </row>
    <row r="1748" spans="1:40">
      <c r="A1748" s="1" t="s">
        <v>41</v>
      </c>
      <c r="B1748" s="1" t="s">
        <v>42</v>
      </c>
      <c r="C1748" s="1" t="s">
        <v>4057</v>
      </c>
      <c r="D1748" s="1" t="s">
        <v>4058</v>
      </c>
      <c r="E1748" s="1" t="s">
        <v>45</v>
      </c>
      <c r="F1748" s="1" t="s">
        <v>4059</v>
      </c>
      <c r="G1748" s="1" t="s">
        <v>4060</v>
      </c>
      <c r="H1748" s="1" t="s">
        <v>4061</v>
      </c>
      <c r="I1748" s="1" t="s">
        <v>49</v>
      </c>
      <c r="J1748" s="1" t="s">
        <v>48</v>
      </c>
      <c r="K1748" s="1">
        <v>12</v>
      </c>
      <c r="L1748" s="1">
        <v>0</v>
      </c>
      <c r="M1748" s="1">
        <v>0</v>
      </c>
      <c r="N1748" s="1">
        <v>12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 t="s">
        <v>49</v>
      </c>
      <c r="AA1748" s="1" t="s">
        <v>49</v>
      </c>
      <c r="AB1748" s="1" t="s">
        <v>49</v>
      </c>
      <c r="AC1748" s="1" t="s">
        <v>4062</v>
      </c>
      <c r="AD1748" s="1" t="s">
        <v>4063</v>
      </c>
      <c r="AE1748" s="1" t="s">
        <v>4062</v>
      </c>
      <c r="AF1748" s="1" t="s">
        <v>4064</v>
      </c>
      <c r="AG1748" s="1" t="s">
        <v>53</v>
      </c>
      <c r="AH1748" s="1" t="s">
        <v>49</v>
      </c>
      <c r="AI1748" s="1" t="s">
        <v>54</v>
      </c>
      <c r="AJ1748" s="1">
        <v>1</v>
      </c>
      <c r="AK1748" s="1" t="str">
        <f t="shared" si="27"/>
        <v xml:space="preserve"> =&lt;90</v>
      </c>
      <c r="AL1748" s="1" t="e">
        <f>VLOOKUP(C:C,[1]基础信息!B$1:D$65536,3,0)</f>
        <v>#N/A</v>
      </c>
      <c r="AM1748" s="1" t="e">
        <f>VLOOKUP(C:C,[1]基础信息!B$1:E$65536,4,0)</f>
        <v>#N/A</v>
      </c>
      <c r="AN1748" s="1" t="e">
        <f>VLOOKUP(C:C,[1]基础信息!B$1:F$65536,5,0)</f>
        <v>#N/A</v>
      </c>
    </row>
    <row r="1749" spans="1:40">
      <c r="A1749" s="1" t="s">
        <v>41</v>
      </c>
      <c r="B1749" s="1" t="s">
        <v>42</v>
      </c>
      <c r="C1749" s="1" t="s">
        <v>4057</v>
      </c>
      <c r="D1749" s="1" t="s">
        <v>4058</v>
      </c>
      <c r="E1749" s="1" t="s">
        <v>45</v>
      </c>
      <c r="F1749" s="1" t="s">
        <v>4059</v>
      </c>
      <c r="G1749" s="1" t="s">
        <v>4065</v>
      </c>
      <c r="H1749" s="1" t="s">
        <v>4066</v>
      </c>
      <c r="I1749" s="1" t="s">
        <v>49</v>
      </c>
      <c r="J1749" s="1" t="s">
        <v>48</v>
      </c>
      <c r="K1749" s="1">
        <v>12</v>
      </c>
      <c r="L1749" s="1">
        <v>0</v>
      </c>
      <c r="M1749" s="1">
        <v>0</v>
      </c>
      <c r="N1749" s="1">
        <v>12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 t="s">
        <v>49</v>
      </c>
      <c r="AA1749" s="1" t="s">
        <v>49</v>
      </c>
      <c r="AB1749" s="1" t="s">
        <v>49</v>
      </c>
      <c r="AC1749" s="1" t="s">
        <v>4062</v>
      </c>
      <c r="AD1749" s="1" t="s">
        <v>4063</v>
      </c>
      <c r="AE1749" s="1" t="s">
        <v>4062</v>
      </c>
      <c r="AF1749" s="1" t="s">
        <v>4064</v>
      </c>
      <c r="AG1749" s="1" t="s">
        <v>53</v>
      </c>
      <c r="AH1749" s="1" t="s">
        <v>49</v>
      </c>
      <c r="AI1749" s="1" t="s">
        <v>54</v>
      </c>
      <c r="AJ1749" s="1">
        <v>1</v>
      </c>
      <c r="AK1749" s="1" t="str">
        <f t="shared" si="27"/>
        <v xml:space="preserve"> =&lt;90</v>
      </c>
      <c r="AL1749" s="1" t="e">
        <f>VLOOKUP(C:C,[1]基础信息!B$1:D$65536,3,0)</f>
        <v>#N/A</v>
      </c>
      <c r="AM1749" s="1" t="e">
        <f>VLOOKUP(C:C,[1]基础信息!B$1:E$65536,4,0)</f>
        <v>#N/A</v>
      </c>
      <c r="AN1749" s="1" t="e">
        <f>VLOOKUP(C:C,[1]基础信息!B$1:F$65536,5,0)</f>
        <v>#N/A</v>
      </c>
    </row>
    <row r="1750" spans="1:40">
      <c r="A1750" s="1" t="s">
        <v>41</v>
      </c>
      <c r="B1750" s="1" t="s">
        <v>42</v>
      </c>
      <c r="C1750" s="1" t="s">
        <v>4057</v>
      </c>
      <c r="D1750" s="1" t="s">
        <v>4058</v>
      </c>
      <c r="E1750" s="1" t="s">
        <v>45</v>
      </c>
      <c r="F1750" s="1" t="s">
        <v>4059</v>
      </c>
      <c r="G1750" s="1" t="s">
        <v>4067</v>
      </c>
      <c r="H1750" s="1" t="s">
        <v>4068</v>
      </c>
      <c r="I1750" s="1" t="s">
        <v>49</v>
      </c>
      <c r="J1750" s="1" t="s">
        <v>48</v>
      </c>
      <c r="K1750" s="1">
        <v>12</v>
      </c>
      <c r="L1750" s="1">
        <v>0</v>
      </c>
      <c r="M1750" s="1">
        <v>0</v>
      </c>
      <c r="N1750" s="1">
        <v>12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 t="s">
        <v>49</v>
      </c>
      <c r="AA1750" s="1" t="s">
        <v>49</v>
      </c>
      <c r="AB1750" s="1" t="s">
        <v>49</v>
      </c>
      <c r="AC1750" s="1" t="s">
        <v>4062</v>
      </c>
      <c r="AD1750" s="1" t="s">
        <v>4063</v>
      </c>
      <c r="AE1750" s="1" t="s">
        <v>4062</v>
      </c>
      <c r="AF1750" s="1" t="s">
        <v>4064</v>
      </c>
      <c r="AG1750" s="1" t="s">
        <v>53</v>
      </c>
      <c r="AH1750" s="1" t="s">
        <v>49</v>
      </c>
      <c r="AI1750" s="1" t="s">
        <v>54</v>
      </c>
      <c r="AJ1750" s="1">
        <v>1</v>
      </c>
      <c r="AK1750" s="1" t="str">
        <f t="shared" si="27"/>
        <v xml:space="preserve"> =&lt;90</v>
      </c>
      <c r="AL1750" s="1" t="e">
        <f>VLOOKUP(C:C,[1]基础信息!B$1:D$65536,3,0)</f>
        <v>#N/A</v>
      </c>
      <c r="AM1750" s="1" t="e">
        <f>VLOOKUP(C:C,[1]基础信息!B$1:E$65536,4,0)</f>
        <v>#N/A</v>
      </c>
      <c r="AN1750" s="1" t="e">
        <f>VLOOKUP(C:C,[1]基础信息!B$1:F$65536,5,0)</f>
        <v>#N/A</v>
      </c>
    </row>
    <row r="1751" spans="1:40">
      <c r="A1751" s="1" t="s">
        <v>41</v>
      </c>
      <c r="B1751" s="1" t="s">
        <v>42</v>
      </c>
      <c r="C1751" s="1" t="s">
        <v>2166</v>
      </c>
      <c r="D1751" s="1" t="s">
        <v>2167</v>
      </c>
      <c r="E1751" s="1" t="s">
        <v>45</v>
      </c>
      <c r="F1751" s="1" t="s">
        <v>3992</v>
      </c>
      <c r="G1751" s="1" t="s">
        <v>4069</v>
      </c>
      <c r="H1751" s="1" t="s">
        <v>4070</v>
      </c>
      <c r="I1751" s="1" t="s">
        <v>49</v>
      </c>
      <c r="J1751" s="1" t="s">
        <v>48</v>
      </c>
      <c r="K1751" s="1">
        <v>16</v>
      </c>
      <c r="L1751" s="1">
        <v>0</v>
      </c>
      <c r="M1751" s="1">
        <v>0</v>
      </c>
      <c r="N1751" s="1">
        <v>16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 t="s">
        <v>49</v>
      </c>
      <c r="AA1751" s="1" t="s">
        <v>49</v>
      </c>
      <c r="AB1751" s="1" t="s">
        <v>49</v>
      </c>
      <c r="AC1751" s="1" t="s">
        <v>3984</v>
      </c>
      <c r="AD1751" s="1" t="s">
        <v>3985</v>
      </c>
      <c r="AE1751" s="1" t="s">
        <v>3984</v>
      </c>
      <c r="AF1751" s="1" t="s">
        <v>2173</v>
      </c>
      <c r="AG1751" s="1" t="s">
        <v>53</v>
      </c>
      <c r="AH1751" s="1" t="s">
        <v>49</v>
      </c>
      <c r="AI1751" s="1" t="s">
        <v>54</v>
      </c>
      <c r="AJ1751" s="1">
        <v>1</v>
      </c>
      <c r="AK1751" s="1" t="str">
        <f t="shared" si="27"/>
        <v xml:space="preserve"> =&lt;90</v>
      </c>
      <c r="AL1751" s="1" t="str">
        <f>VLOOKUP(C:C,[1]基础信息!B$1:D$65536,3,0)</f>
        <v>UTS</v>
      </c>
      <c r="AM1751" s="1" t="str">
        <f>VLOOKUP(C:C,[1]基础信息!B$1:E$65536,4,0)</f>
        <v>RO</v>
      </c>
      <c r="AN1751" s="1" t="str">
        <f>VLOOKUP(C:C,[1]基础信息!B$1:F$65536,5,0)</f>
        <v>Starry Grey Color</v>
      </c>
    </row>
    <row r="1752" spans="1:40">
      <c r="A1752" s="1" t="s">
        <v>41</v>
      </c>
      <c r="B1752" s="1" t="s">
        <v>42</v>
      </c>
      <c r="C1752" s="1" t="s">
        <v>4057</v>
      </c>
      <c r="D1752" s="1" t="s">
        <v>4058</v>
      </c>
      <c r="E1752" s="1" t="s">
        <v>45</v>
      </c>
      <c r="F1752" s="1" t="s">
        <v>4059</v>
      </c>
      <c r="G1752" s="1" t="s">
        <v>4071</v>
      </c>
      <c r="H1752" s="1" t="s">
        <v>4072</v>
      </c>
      <c r="I1752" s="1" t="s">
        <v>49</v>
      </c>
      <c r="J1752" s="1" t="s">
        <v>48</v>
      </c>
      <c r="K1752" s="1">
        <v>11</v>
      </c>
      <c r="L1752" s="1">
        <v>0</v>
      </c>
      <c r="M1752" s="1">
        <v>0</v>
      </c>
      <c r="N1752" s="1">
        <v>11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 t="s">
        <v>49</v>
      </c>
      <c r="AA1752" s="1" t="s">
        <v>49</v>
      </c>
      <c r="AB1752" s="1" t="s">
        <v>49</v>
      </c>
      <c r="AC1752" s="1" t="s">
        <v>4062</v>
      </c>
      <c r="AD1752" s="1" t="s">
        <v>4063</v>
      </c>
      <c r="AE1752" s="1" t="s">
        <v>4062</v>
      </c>
      <c r="AF1752" s="1" t="s">
        <v>4064</v>
      </c>
      <c r="AG1752" s="1" t="s">
        <v>53</v>
      </c>
      <c r="AH1752" s="1" t="s">
        <v>49</v>
      </c>
      <c r="AI1752" s="1" t="s">
        <v>54</v>
      </c>
      <c r="AJ1752" s="1">
        <v>1</v>
      </c>
      <c r="AK1752" s="1" t="str">
        <f t="shared" si="27"/>
        <v xml:space="preserve"> =&lt;90</v>
      </c>
      <c r="AL1752" s="1" t="e">
        <f>VLOOKUP(C:C,[1]基础信息!B$1:D$65536,3,0)</f>
        <v>#N/A</v>
      </c>
      <c r="AM1752" s="1" t="e">
        <f>VLOOKUP(C:C,[1]基础信息!B$1:E$65536,4,0)</f>
        <v>#N/A</v>
      </c>
      <c r="AN1752" s="1" t="e">
        <f>VLOOKUP(C:C,[1]基础信息!B$1:F$65536,5,0)</f>
        <v>#N/A</v>
      </c>
    </row>
    <row r="1753" spans="1:40">
      <c r="A1753" s="1" t="s">
        <v>41</v>
      </c>
      <c r="B1753" s="1" t="s">
        <v>42</v>
      </c>
      <c r="C1753" s="1" t="s">
        <v>2166</v>
      </c>
      <c r="D1753" s="1" t="s">
        <v>2167</v>
      </c>
      <c r="E1753" s="1" t="s">
        <v>45</v>
      </c>
      <c r="F1753" s="1" t="s">
        <v>2400</v>
      </c>
      <c r="G1753" s="1" t="s">
        <v>4073</v>
      </c>
      <c r="H1753" s="1" t="s">
        <v>4074</v>
      </c>
      <c r="I1753" s="1" t="s">
        <v>49</v>
      </c>
      <c r="J1753" s="1" t="s">
        <v>48</v>
      </c>
      <c r="K1753" s="1">
        <v>16</v>
      </c>
      <c r="L1753" s="1">
        <v>0</v>
      </c>
      <c r="M1753" s="1">
        <v>0</v>
      </c>
      <c r="N1753" s="1">
        <v>16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 t="s">
        <v>49</v>
      </c>
      <c r="AA1753" s="1" t="s">
        <v>49</v>
      </c>
      <c r="AB1753" s="1" t="s">
        <v>49</v>
      </c>
      <c r="AC1753" s="1" t="s">
        <v>2403</v>
      </c>
      <c r="AD1753" s="1" t="s">
        <v>2404</v>
      </c>
      <c r="AE1753" s="1" t="s">
        <v>2403</v>
      </c>
      <c r="AF1753" s="1" t="s">
        <v>2173</v>
      </c>
      <c r="AG1753" s="1" t="s">
        <v>53</v>
      </c>
      <c r="AH1753" s="1" t="s">
        <v>49</v>
      </c>
      <c r="AI1753" s="1" t="s">
        <v>54</v>
      </c>
      <c r="AJ1753" s="1">
        <v>1</v>
      </c>
      <c r="AK1753" s="1" t="str">
        <f t="shared" si="27"/>
        <v xml:space="preserve"> =&lt;90</v>
      </c>
      <c r="AL1753" s="1" t="str">
        <f>VLOOKUP(C:C,[1]基础信息!B$1:D$65536,3,0)</f>
        <v>UTS</v>
      </c>
      <c r="AM1753" s="1" t="str">
        <f>VLOOKUP(C:C,[1]基础信息!B$1:E$65536,4,0)</f>
        <v>RO</v>
      </c>
      <c r="AN1753" s="1" t="str">
        <f>VLOOKUP(C:C,[1]基础信息!B$1:F$65536,5,0)</f>
        <v>Starry Grey Color</v>
      </c>
    </row>
    <row r="1754" spans="1:40">
      <c r="A1754" s="1" t="s">
        <v>41</v>
      </c>
      <c r="B1754" s="1" t="s">
        <v>42</v>
      </c>
      <c r="C1754" s="1" t="s">
        <v>56</v>
      </c>
      <c r="D1754" s="1" t="s">
        <v>57</v>
      </c>
      <c r="E1754" s="1" t="s">
        <v>45</v>
      </c>
      <c r="F1754" s="1" t="s">
        <v>3961</v>
      </c>
      <c r="G1754" s="1" t="s">
        <v>4075</v>
      </c>
      <c r="H1754" s="1" t="s">
        <v>4076</v>
      </c>
      <c r="I1754" s="1" t="s">
        <v>49</v>
      </c>
      <c r="J1754" s="1" t="s">
        <v>48</v>
      </c>
      <c r="K1754" s="1">
        <v>72</v>
      </c>
      <c r="L1754" s="1">
        <v>0</v>
      </c>
      <c r="M1754" s="1">
        <v>0</v>
      </c>
      <c r="N1754" s="1">
        <v>72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 t="s">
        <v>49</v>
      </c>
      <c r="AA1754" s="1" t="s">
        <v>49</v>
      </c>
      <c r="AB1754" s="1" t="s">
        <v>49</v>
      </c>
      <c r="AC1754" s="1" t="s">
        <v>3964</v>
      </c>
      <c r="AD1754" s="1" t="s">
        <v>3965</v>
      </c>
      <c r="AE1754" s="1" t="s">
        <v>3964</v>
      </c>
      <c r="AF1754" s="1" t="s">
        <v>1099</v>
      </c>
      <c r="AG1754" s="1" t="s">
        <v>53</v>
      </c>
      <c r="AH1754" s="1" t="s">
        <v>49</v>
      </c>
      <c r="AI1754" s="1" t="s">
        <v>54</v>
      </c>
      <c r="AJ1754" s="1">
        <v>1</v>
      </c>
      <c r="AK1754" s="1" t="str">
        <f t="shared" si="27"/>
        <v xml:space="preserve"> =&lt;90</v>
      </c>
      <c r="AL1754" s="1" t="str">
        <f>VLOOKUP(C:C,[1]基础信息!B$1:D$65536,3,0)</f>
        <v>Jug</v>
      </c>
      <c r="AM1754" s="1" t="str">
        <f>VLOOKUP(C:C,[1]基础信息!B$1:E$65536,4,0)</f>
        <v>Marella XL</v>
      </c>
      <c r="AN1754" s="1" t="str">
        <f>VLOOKUP(C:C,[1]基础信息!B$1:F$65536,5,0)</f>
        <v>Blue</v>
      </c>
    </row>
    <row r="1755" spans="1:40">
      <c r="A1755" s="1" t="s">
        <v>41</v>
      </c>
      <c r="B1755" s="1" t="s">
        <v>42</v>
      </c>
      <c r="C1755" s="1" t="s">
        <v>4077</v>
      </c>
      <c r="D1755" s="1" t="s">
        <v>4078</v>
      </c>
      <c r="E1755" s="1" t="s">
        <v>45</v>
      </c>
      <c r="F1755" s="1" t="s">
        <v>4079</v>
      </c>
      <c r="G1755" s="1" t="s">
        <v>4080</v>
      </c>
      <c r="H1755" s="1" t="s">
        <v>4081</v>
      </c>
      <c r="I1755" s="1" t="s">
        <v>49</v>
      </c>
      <c r="J1755" s="1" t="s">
        <v>48</v>
      </c>
      <c r="K1755" s="1">
        <v>16</v>
      </c>
      <c r="L1755" s="1">
        <v>0</v>
      </c>
      <c r="M1755" s="1">
        <v>0</v>
      </c>
      <c r="N1755" s="1">
        <v>16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 t="s">
        <v>49</v>
      </c>
      <c r="AA1755" s="1" t="s">
        <v>49</v>
      </c>
      <c r="AB1755" s="1" t="s">
        <v>49</v>
      </c>
      <c r="AC1755" s="1" t="s">
        <v>2403</v>
      </c>
      <c r="AD1755" s="1" t="s">
        <v>2404</v>
      </c>
      <c r="AE1755" s="1" t="s">
        <v>2403</v>
      </c>
      <c r="AF1755" s="1" t="s">
        <v>4082</v>
      </c>
      <c r="AG1755" s="1" t="s">
        <v>53</v>
      </c>
      <c r="AH1755" s="1" t="s">
        <v>49</v>
      </c>
      <c r="AI1755" s="1" t="s">
        <v>54</v>
      </c>
      <c r="AJ1755" s="1">
        <v>1</v>
      </c>
      <c r="AK1755" s="1" t="str">
        <f t="shared" si="27"/>
        <v xml:space="preserve"> =&lt;90</v>
      </c>
      <c r="AL1755" s="1" t="str">
        <f>VLOOKUP(C:C,[1]基础信息!B$1:D$65536,3,0)</f>
        <v>UTS</v>
      </c>
      <c r="AM1755" s="1" t="str">
        <f>VLOOKUP(C:C,[1]基础信息!B$1:E$65536,4,0)</f>
        <v>RO</v>
      </c>
      <c r="AN1755" s="1" t="str">
        <f>VLOOKUP(C:C,[1]基础信息!B$1:F$65536,5,0)</f>
        <v>Starry Grey Color</v>
      </c>
    </row>
    <row r="1756" spans="1:40">
      <c r="A1756" s="1" t="s">
        <v>41</v>
      </c>
      <c r="B1756" s="1" t="s">
        <v>42</v>
      </c>
      <c r="C1756" s="1" t="s">
        <v>56</v>
      </c>
      <c r="D1756" s="1" t="s">
        <v>57</v>
      </c>
      <c r="E1756" s="1" t="s">
        <v>45</v>
      </c>
      <c r="F1756" s="1" t="s">
        <v>3961</v>
      </c>
      <c r="G1756" s="1" t="s">
        <v>4083</v>
      </c>
      <c r="H1756" s="1" t="s">
        <v>4084</v>
      </c>
      <c r="I1756" s="1" t="s">
        <v>49</v>
      </c>
      <c r="J1756" s="1" t="s">
        <v>48</v>
      </c>
      <c r="K1756" s="1">
        <v>72</v>
      </c>
      <c r="L1756" s="1">
        <v>0</v>
      </c>
      <c r="M1756" s="1">
        <v>0</v>
      </c>
      <c r="N1756" s="1">
        <v>72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 t="s">
        <v>49</v>
      </c>
      <c r="AA1756" s="1" t="s">
        <v>49</v>
      </c>
      <c r="AB1756" s="1" t="s">
        <v>49</v>
      </c>
      <c r="AC1756" s="1" t="s">
        <v>3964</v>
      </c>
      <c r="AD1756" s="1" t="s">
        <v>3965</v>
      </c>
      <c r="AE1756" s="1" t="s">
        <v>3964</v>
      </c>
      <c r="AF1756" s="1" t="s">
        <v>1099</v>
      </c>
      <c r="AG1756" s="1" t="s">
        <v>53</v>
      </c>
      <c r="AH1756" s="1" t="s">
        <v>49</v>
      </c>
      <c r="AI1756" s="1" t="s">
        <v>54</v>
      </c>
      <c r="AJ1756" s="1">
        <v>1</v>
      </c>
      <c r="AK1756" s="1" t="str">
        <f t="shared" si="27"/>
        <v xml:space="preserve"> =&lt;90</v>
      </c>
      <c r="AL1756" s="1" t="str">
        <f>VLOOKUP(C:C,[1]基础信息!B$1:D$65536,3,0)</f>
        <v>Jug</v>
      </c>
      <c r="AM1756" s="1" t="str">
        <f>VLOOKUP(C:C,[1]基础信息!B$1:E$65536,4,0)</f>
        <v>Marella XL</v>
      </c>
      <c r="AN1756" s="1" t="str">
        <f>VLOOKUP(C:C,[1]基础信息!B$1:F$65536,5,0)</f>
        <v>Blue</v>
      </c>
    </row>
    <row r="1757" spans="1:40">
      <c r="A1757" s="1" t="s">
        <v>41</v>
      </c>
      <c r="B1757" s="1" t="s">
        <v>42</v>
      </c>
      <c r="C1757" s="1" t="s">
        <v>4077</v>
      </c>
      <c r="D1757" s="1" t="s">
        <v>4078</v>
      </c>
      <c r="E1757" s="1" t="s">
        <v>45</v>
      </c>
      <c r="F1757" s="1" t="s">
        <v>4079</v>
      </c>
      <c r="G1757" s="1" t="s">
        <v>4085</v>
      </c>
      <c r="H1757" s="1" t="s">
        <v>4086</v>
      </c>
      <c r="I1757" s="1" t="s">
        <v>49</v>
      </c>
      <c r="J1757" s="1" t="s">
        <v>48</v>
      </c>
      <c r="K1757" s="1">
        <v>16</v>
      </c>
      <c r="L1757" s="1">
        <v>0</v>
      </c>
      <c r="M1757" s="1">
        <v>0</v>
      </c>
      <c r="N1757" s="1">
        <v>16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 t="s">
        <v>49</v>
      </c>
      <c r="AA1757" s="1" t="s">
        <v>49</v>
      </c>
      <c r="AB1757" s="1" t="s">
        <v>49</v>
      </c>
      <c r="AC1757" s="1" t="s">
        <v>2403</v>
      </c>
      <c r="AD1757" s="1" t="s">
        <v>2404</v>
      </c>
      <c r="AE1757" s="1" t="s">
        <v>2403</v>
      </c>
      <c r="AF1757" s="1" t="s">
        <v>4082</v>
      </c>
      <c r="AG1757" s="1" t="s">
        <v>53</v>
      </c>
      <c r="AH1757" s="1" t="s">
        <v>49</v>
      </c>
      <c r="AI1757" s="1" t="s">
        <v>54</v>
      </c>
      <c r="AJ1757" s="1">
        <v>1</v>
      </c>
      <c r="AK1757" s="1" t="str">
        <f t="shared" si="27"/>
        <v xml:space="preserve"> =&lt;90</v>
      </c>
      <c r="AL1757" s="1" t="str">
        <f>VLOOKUP(C:C,[1]基础信息!B$1:D$65536,3,0)</f>
        <v>UTS</v>
      </c>
      <c r="AM1757" s="1" t="str">
        <f>VLOOKUP(C:C,[1]基础信息!B$1:E$65536,4,0)</f>
        <v>RO</v>
      </c>
      <c r="AN1757" s="1" t="str">
        <f>VLOOKUP(C:C,[1]基础信息!B$1:F$65536,5,0)</f>
        <v>Starry Grey Color</v>
      </c>
    </row>
    <row r="1758" spans="1:40">
      <c r="A1758" s="1" t="s">
        <v>41</v>
      </c>
      <c r="B1758" s="1" t="s">
        <v>42</v>
      </c>
      <c r="C1758" s="1" t="s">
        <v>4077</v>
      </c>
      <c r="D1758" s="1" t="s">
        <v>4078</v>
      </c>
      <c r="E1758" s="1" t="s">
        <v>45</v>
      </c>
      <c r="F1758" s="1" t="s">
        <v>4079</v>
      </c>
      <c r="G1758" s="1" t="s">
        <v>4087</v>
      </c>
      <c r="H1758" s="1" t="s">
        <v>4088</v>
      </c>
      <c r="I1758" s="1" t="s">
        <v>49</v>
      </c>
      <c r="J1758" s="1" t="s">
        <v>48</v>
      </c>
      <c r="K1758" s="1">
        <v>16</v>
      </c>
      <c r="L1758" s="1">
        <v>0</v>
      </c>
      <c r="M1758" s="1">
        <v>0</v>
      </c>
      <c r="N1758" s="1">
        <v>16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 t="s">
        <v>49</v>
      </c>
      <c r="AA1758" s="1" t="s">
        <v>49</v>
      </c>
      <c r="AB1758" s="1" t="s">
        <v>49</v>
      </c>
      <c r="AC1758" s="1" t="s">
        <v>2403</v>
      </c>
      <c r="AD1758" s="1" t="s">
        <v>2404</v>
      </c>
      <c r="AE1758" s="1" t="s">
        <v>2403</v>
      </c>
      <c r="AF1758" s="1" t="s">
        <v>4082</v>
      </c>
      <c r="AG1758" s="1" t="s">
        <v>53</v>
      </c>
      <c r="AH1758" s="1" t="s">
        <v>49</v>
      </c>
      <c r="AI1758" s="1" t="s">
        <v>54</v>
      </c>
      <c r="AJ1758" s="1">
        <v>1</v>
      </c>
      <c r="AK1758" s="1" t="str">
        <f t="shared" si="27"/>
        <v xml:space="preserve"> =&lt;90</v>
      </c>
      <c r="AL1758" s="1" t="str">
        <f>VLOOKUP(C:C,[1]基础信息!B$1:D$65536,3,0)</f>
        <v>UTS</v>
      </c>
      <c r="AM1758" s="1" t="str">
        <f>VLOOKUP(C:C,[1]基础信息!B$1:E$65536,4,0)</f>
        <v>RO</v>
      </c>
      <c r="AN1758" s="1" t="str">
        <f>VLOOKUP(C:C,[1]基础信息!B$1:F$65536,5,0)</f>
        <v>Starry Grey Color</v>
      </c>
    </row>
    <row r="1759" spans="1:40">
      <c r="A1759" s="1" t="s">
        <v>41</v>
      </c>
      <c r="B1759" s="1" t="s">
        <v>42</v>
      </c>
      <c r="C1759" s="1" t="s">
        <v>1437</v>
      </c>
      <c r="D1759" s="1" t="s">
        <v>1438</v>
      </c>
      <c r="E1759" s="1" t="s">
        <v>45</v>
      </c>
      <c r="F1759" s="1" t="s">
        <v>4089</v>
      </c>
      <c r="G1759" s="1" t="s">
        <v>4090</v>
      </c>
      <c r="H1759" s="1" t="s">
        <v>45</v>
      </c>
      <c r="I1759" s="1" t="s">
        <v>45</v>
      </c>
      <c r="J1759" s="1" t="s">
        <v>48</v>
      </c>
      <c r="K1759" s="1">
        <v>6</v>
      </c>
      <c r="L1759" s="1">
        <v>0</v>
      </c>
      <c r="M1759" s="1">
        <v>0</v>
      </c>
      <c r="N1759" s="1">
        <v>6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 t="s">
        <v>49</v>
      </c>
      <c r="AA1759" s="1" t="s">
        <v>49</v>
      </c>
      <c r="AB1759" s="1" t="s">
        <v>49</v>
      </c>
      <c r="AC1759" s="1" t="s">
        <v>3836</v>
      </c>
      <c r="AD1759" s="1" t="s">
        <v>3837</v>
      </c>
      <c r="AE1759" s="1" t="s">
        <v>3836</v>
      </c>
      <c r="AF1759" s="1" t="s">
        <v>4091</v>
      </c>
      <c r="AG1759" s="1" t="s">
        <v>53</v>
      </c>
      <c r="AH1759" s="1" t="s">
        <v>49</v>
      </c>
      <c r="AI1759" s="1" t="s">
        <v>54</v>
      </c>
      <c r="AJ1759" s="1">
        <v>0</v>
      </c>
      <c r="AK1759" s="1" t="str">
        <f t="shared" si="27"/>
        <v xml:space="preserve"> =&lt;90</v>
      </c>
      <c r="AL1759" s="1" t="str">
        <f>VLOOKUP(C:C,[1]基础信息!B$1:D$65536,3,0)</f>
        <v>On tap</v>
      </c>
      <c r="AM1759" s="1" t="str">
        <f>VLOOKUP(C:C,[1]基础信息!B$1:E$65536,4,0)</f>
        <v>On tap</v>
      </c>
      <c r="AN1759" s="1" t="str">
        <f>VLOOKUP(C:C,[1]基础信息!B$1:F$65536,5,0)</f>
        <v>On tap</v>
      </c>
    </row>
    <row r="1760" spans="1:40">
      <c r="A1760" s="1" t="s">
        <v>41</v>
      </c>
      <c r="B1760" s="1" t="s">
        <v>42</v>
      </c>
      <c r="C1760" s="1" t="s">
        <v>1437</v>
      </c>
      <c r="D1760" s="1" t="s">
        <v>1438</v>
      </c>
      <c r="E1760" s="1" t="s">
        <v>45</v>
      </c>
      <c r="F1760" s="1" t="s">
        <v>4092</v>
      </c>
      <c r="G1760" s="1" t="s">
        <v>4090</v>
      </c>
      <c r="H1760" s="1" t="s">
        <v>45</v>
      </c>
      <c r="I1760" s="1" t="s">
        <v>45</v>
      </c>
      <c r="J1760" s="1" t="s">
        <v>48</v>
      </c>
      <c r="K1760" s="1">
        <v>384</v>
      </c>
      <c r="L1760" s="1">
        <v>0</v>
      </c>
      <c r="M1760" s="1">
        <v>0</v>
      </c>
      <c r="N1760" s="1">
        <v>384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 t="s">
        <v>49</v>
      </c>
      <c r="AA1760" s="1" t="s">
        <v>49</v>
      </c>
      <c r="AB1760" s="1" t="s">
        <v>49</v>
      </c>
      <c r="AC1760" s="1" t="s">
        <v>3836</v>
      </c>
      <c r="AD1760" s="1" t="s">
        <v>3837</v>
      </c>
      <c r="AE1760" s="1" t="s">
        <v>3836</v>
      </c>
      <c r="AF1760" s="1" t="s">
        <v>3676</v>
      </c>
      <c r="AG1760" s="1" t="s">
        <v>53</v>
      </c>
      <c r="AH1760" s="1" t="s">
        <v>49</v>
      </c>
      <c r="AI1760" s="1" t="s">
        <v>54</v>
      </c>
      <c r="AJ1760" s="1">
        <v>1</v>
      </c>
      <c r="AK1760" s="1" t="str">
        <f t="shared" si="27"/>
        <v xml:space="preserve"> =&lt;90</v>
      </c>
      <c r="AL1760" s="1" t="str">
        <f>VLOOKUP(C:C,[1]基础信息!B$1:D$65536,3,0)</f>
        <v>On tap</v>
      </c>
      <c r="AM1760" s="1" t="str">
        <f>VLOOKUP(C:C,[1]基础信息!B$1:E$65536,4,0)</f>
        <v>On tap</v>
      </c>
      <c r="AN1760" s="1" t="str">
        <f>VLOOKUP(C:C,[1]基础信息!B$1:F$65536,5,0)</f>
        <v>On tap</v>
      </c>
    </row>
    <row r="1761" spans="1:40">
      <c r="A1761" s="1" t="s">
        <v>41</v>
      </c>
      <c r="B1761" s="1" t="s">
        <v>42</v>
      </c>
      <c r="C1761" s="1" t="s">
        <v>4077</v>
      </c>
      <c r="D1761" s="1" t="s">
        <v>4078</v>
      </c>
      <c r="E1761" s="1" t="s">
        <v>45</v>
      </c>
      <c r="F1761" s="1" t="s">
        <v>4079</v>
      </c>
      <c r="G1761" s="1" t="s">
        <v>4093</v>
      </c>
      <c r="H1761" s="1" t="s">
        <v>4094</v>
      </c>
      <c r="I1761" s="1" t="s">
        <v>49</v>
      </c>
      <c r="J1761" s="1" t="s">
        <v>48</v>
      </c>
      <c r="K1761" s="1">
        <v>16</v>
      </c>
      <c r="L1761" s="1">
        <v>0</v>
      </c>
      <c r="M1761" s="1">
        <v>0</v>
      </c>
      <c r="N1761" s="1">
        <v>16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 t="s">
        <v>49</v>
      </c>
      <c r="AA1761" s="1" t="s">
        <v>49</v>
      </c>
      <c r="AB1761" s="1" t="s">
        <v>49</v>
      </c>
      <c r="AC1761" s="1" t="s">
        <v>2403</v>
      </c>
      <c r="AD1761" s="1" t="s">
        <v>2404</v>
      </c>
      <c r="AE1761" s="1" t="s">
        <v>2403</v>
      </c>
      <c r="AF1761" s="1" t="s">
        <v>4082</v>
      </c>
      <c r="AG1761" s="1" t="s">
        <v>53</v>
      </c>
      <c r="AH1761" s="1" t="s">
        <v>49</v>
      </c>
      <c r="AI1761" s="1" t="s">
        <v>54</v>
      </c>
      <c r="AJ1761" s="1">
        <v>1</v>
      </c>
      <c r="AK1761" s="1" t="str">
        <f t="shared" si="27"/>
        <v xml:space="preserve"> =&lt;90</v>
      </c>
      <c r="AL1761" s="1" t="str">
        <f>VLOOKUP(C:C,[1]基础信息!B$1:D$65536,3,0)</f>
        <v>UTS</v>
      </c>
      <c r="AM1761" s="1" t="str">
        <f>VLOOKUP(C:C,[1]基础信息!B$1:E$65536,4,0)</f>
        <v>RO</v>
      </c>
      <c r="AN1761" s="1" t="str">
        <f>VLOOKUP(C:C,[1]基础信息!B$1:F$65536,5,0)</f>
        <v>Starry Grey Color</v>
      </c>
    </row>
    <row r="1762" spans="1:40">
      <c r="A1762" s="1" t="s">
        <v>41</v>
      </c>
      <c r="B1762" s="1" t="s">
        <v>42</v>
      </c>
      <c r="C1762" s="1" t="s">
        <v>4077</v>
      </c>
      <c r="D1762" s="1" t="s">
        <v>4078</v>
      </c>
      <c r="E1762" s="1" t="s">
        <v>45</v>
      </c>
      <c r="F1762" s="1" t="s">
        <v>4079</v>
      </c>
      <c r="G1762" s="1" t="s">
        <v>4095</v>
      </c>
      <c r="H1762" s="1" t="s">
        <v>4096</v>
      </c>
      <c r="I1762" s="1" t="s">
        <v>49</v>
      </c>
      <c r="J1762" s="1" t="s">
        <v>48</v>
      </c>
      <c r="K1762" s="1">
        <v>16</v>
      </c>
      <c r="L1762" s="1">
        <v>0</v>
      </c>
      <c r="M1762" s="1">
        <v>0</v>
      </c>
      <c r="N1762" s="1">
        <v>16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 t="s">
        <v>49</v>
      </c>
      <c r="AA1762" s="1" t="s">
        <v>49</v>
      </c>
      <c r="AB1762" s="1" t="s">
        <v>49</v>
      </c>
      <c r="AC1762" s="1" t="s">
        <v>2403</v>
      </c>
      <c r="AD1762" s="1" t="s">
        <v>2404</v>
      </c>
      <c r="AE1762" s="1" t="s">
        <v>2403</v>
      </c>
      <c r="AF1762" s="1" t="s">
        <v>4082</v>
      </c>
      <c r="AG1762" s="1" t="s">
        <v>53</v>
      </c>
      <c r="AH1762" s="1" t="s">
        <v>49</v>
      </c>
      <c r="AI1762" s="1" t="s">
        <v>54</v>
      </c>
      <c r="AJ1762" s="1">
        <v>1</v>
      </c>
      <c r="AK1762" s="1" t="str">
        <f t="shared" si="27"/>
        <v xml:space="preserve"> =&lt;90</v>
      </c>
      <c r="AL1762" s="1" t="str">
        <f>VLOOKUP(C:C,[1]基础信息!B$1:D$65536,3,0)</f>
        <v>UTS</v>
      </c>
      <c r="AM1762" s="1" t="str">
        <f>VLOOKUP(C:C,[1]基础信息!B$1:E$65536,4,0)</f>
        <v>RO</v>
      </c>
      <c r="AN1762" s="1" t="str">
        <f>VLOOKUP(C:C,[1]基础信息!B$1:F$65536,5,0)</f>
        <v>Starry Grey Color</v>
      </c>
    </row>
    <row r="1763" spans="1:40">
      <c r="A1763" s="1" t="s">
        <v>41</v>
      </c>
      <c r="B1763" s="1" t="s">
        <v>42</v>
      </c>
      <c r="C1763" s="1" t="s">
        <v>4077</v>
      </c>
      <c r="D1763" s="1" t="s">
        <v>4078</v>
      </c>
      <c r="E1763" s="1" t="s">
        <v>45</v>
      </c>
      <c r="F1763" s="1" t="s">
        <v>4079</v>
      </c>
      <c r="G1763" s="1" t="s">
        <v>4097</v>
      </c>
      <c r="H1763" s="1" t="s">
        <v>4098</v>
      </c>
      <c r="I1763" s="1" t="s">
        <v>49</v>
      </c>
      <c r="J1763" s="1" t="s">
        <v>48</v>
      </c>
      <c r="K1763" s="1">
        <v>16</v>
      </c>
      <c r="L1763" s="1">
        <v>0</v>
      </c>
      <c r="M1763" s="1">
        <v>0</v>
      </c>
      <c r="N1763" s="1">
        <v>16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 t="s">
        <v>49</v>
      </c>
      <c r="AA1763" s="1" t="s">
        <v>49</v>
      </c>
      <c r="AB1763" s="1" t="s">
        <v>49</v>
      </c>
      <c r="AC1763" s="1" t="s">
        <v>2403</v>
      </c>
      <c r="AD1763" s="1" t="s">
        <v>2404</v>
      </c>
      <c r="AE1763" s="1" t="s">
        <v>2403</v>
      </c>
      <c r="AF1763" s="1" t="s">
        <v>4082</v>
      </c>
      <c r="AG1763" s="1" t="s">
        <v>53</v>
      </c>
      <c r="AH1763" s="1" t="s">
        <v>49</v>
      </c>
      <c r="AI1763" s="1" t="s">
        <v>54</v>
      </c>
      <c r="AJ1763" s="1">
        <v>1</v>
      </c>
      <c r="AK1763" s="1" t="str">
        <f t="shared" si="27"/>
        <v xml:space="preserve"> =&lt;90</v>
      </c>
      <c r="AL1763" s="1" t="str">
        <f>VLOOKUP(C:C,[1]基础信息!B$1:D$65536,3,0)</f>
        <v>UTS</v>
      </c>
      <c r="AM1763" s="1" t="str">
        <f>VLOOKUP(C:C,[1]基础信息!B$1:E$65536,4,0)</f>
        <v>RO</v>
      </c>
      <c r="AN1763" s="1" t="str">
        <f>VLOOKUP(C:C,[1]基础信息!B$1:F$65536,5,0)</f>
        <v>Starry Grey Color</v>
      </c>
    </row>
    <row r="1764" spans="1:40">
      <c r="A1764" s="1" t="s">
        <v>41</v>
      </c>
      <c r="B1764" s="1" t="s">
        <v>42</v>
      </c>
      <c r="C1764" s="1" t="s">
        <v>4077</v>
      </c>
      <c r="D1764" s="1" t="s">
        <v>4078</v>
      </c>
      <c r="E1764" s="1" t="s">
        <v>45</v>
      </c>
      <c r="F1764" s="1" t="s">
        <v>4079</v>
      </c>
      <c r="G1764" s="1" t="s">
        <v>4099</v>
      </c>
      <c r="H1764" s="1" t="s">
        <v>4100</v>
      </c>
      <c r="I1764" s="1" t="s">
        <v>49</v>
      </c>
      <c r="J1764" s="1" t="s">
        <v>48</v>
      </c>
      <c r="K1764" s="1">
        <v>16</v>
      </c>
      <c r="L1764" s="1">
        <v>0</v>
      </c>
      <c r="M1764" s="1">
        <v>0</v>
      </c>
      <c r="N1764" s="1">
        <v>16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 t="s">
        <v>49</v>
      </c>
      <c r="AA1764" s="1" t="s">
        <v>49</v>
      </c>
      <c r="AB1764" s="1" t="s">
        <v>49</v>
      </c>
      <c r="AC1764" s="1" t="s">
        <v>2403</v>
      </c>
      <c r="AD1764" s="1" t="s">
        <v>2404</v>
      </c>
      <c r="AE1764" s="1" t="s">
        <v>2403</v>
      </c>
      <c r="AF1764" s="1" t="s">
        <v>4082</v>
      </c>
      <c r="AG1764" s="1" t="s">
        <v>53</v>
      </c>
      <c r="AH1764" s="1" t="s">
        <v>49</v>
      </c>
      <c r="AI1764" s="1" t="s">
        <v>54</v>
      </c>
      <c r="AJ1764" s="1">
        <v>1</v>
      </c>
      <c r="AK1764" s="1" t="str">
        <f t="shared" si="27"/>
        <v xml:space="preserve"> =&lt;90</v>
      </c>
      <c r="AL1764" s="1" t="str">
        <f>VLOOKUP(C:C,[1]基础信息!B$1:D$65536,3,0)</f>
        <v>UTS</v>
      </c>
      <c r="AM1764" s="1" t="str">
        <f>VLOOKUP(C:C,[1]基础信息!B$1:E$65536,4,0)</f>
        <v>RO</v>
      </c>
      <c r="AN1764" s="1" t="str">
        <f>VLOOKUP(C:C,[1]基础信息!B$1:F$65536,5,0)</f>
        <v>Starry Grey Color</v>
      </c>
    </row>
    <row r="1765" spans="1:40">
      <c r="A1765" s="1" t="s">
        <v>41</v>
      </c>
      <c r="B1765" s="1" t="s">
        <v>42</v>
      </c>
      <c r="C1765" s="1" t="s">
        <v>4077</v>
      </c>
      <c r="D1765" s="1" t="s">
        <v>4078</v>
      </c>
      <c r="E1765" s="1" t="s">
        <v>45</v>
      </c>
      <c r="F1765" s="1" t="s">
        <v>4079</v>
      </c>
      <c r="G1765" s="1" t="s">
        <v>4101</v>
      </c>
      <c r="H1765" s="1" t="s">
        <v>4102</v>
      </c>
      <c r="I1765" s="1" t="s">
        <v>49</v>
      </c>
      <c r="J1765" s="1" t="s">
        <v>48</v>
      </c>
      <c r="K1765" s="1">
        <v>16</v>
      </c>
      <c r="L1765" s="1">
        <v>0</v>
      </c>
      <c r="M1765" s="1">
        <v>0</v>
      </c>
      <c r="N1765" s="1">
        <v>16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 t="s">
        <v>49</v>
      </c>
      <c r="AA1765" s="1" t="s">
        <v>49</v>
      </c>
      <c r="AB1765" s="1" t="s">
        <v>49</v>
      </c>
      <c r="AC1765" s="1" t="s">
        <v>2403</v>
      </c>
      <c r="AD1765" s="1" t="s">
        <v>2404</v>
      </c>
      <c r="AE1765" s="1" t="s">
        <v>2403</v>
      </c>
      <c r="AF1765" s="1" t="s">
        <v>4082</v>
      </c>
      <c r="AG1765" s="1" t="s">
        <v>53</v>
      </c>
      <c r="AH1765" s="1" t="s">
        <v>49</v>
      </c>
      <c r="AI1765" s="1" t="s">
        <v>54</v>
      </c>
      <c r="AJ1765" s="1">
        <v>1</v>
      </c>
      <c r="AK1765" s="1" t="str">
        <f t="shared" si="27"/>
        <v xml:space="preserve"> =&lt;90</v>
      </c>
      <c r="AL1765" s="1" t="str">
        <f>VLOOKUP(C:C,[1]基础信息!B$1:D$65536,3,0)</f>
        <v>UTS</v>
      </c>
      <c r="AM1765" s="1" t="str">
        <f>VLOOKUP(C:C,[1]基础信息!B$1:E$65536,4,0)</f>
        <v>RO</v>
      </c>
      <c r="AN1765" s="1" t="str">
        <f>VLOOKUP(C:C,[1]基础信息!B$1:F$65536,5,0)</f>
        <v>Starry Grey Color</v>
      </c>
    </row>
    <row r="1766" spans="1:40">
      <c r="A1766" s="1" t="s">
        <v>41</v>
      </c>
      <c r="B1766" s="1" t="s">
        <v>42</v>
      </c>
      <c r="C1766" s="1" t="s">
        <v>68</v>
      </c>
      <c r="D1766" s="1" t="s">
        <v>69</v>
      </c>
      <c r="E1766" s="1" t="s">
        <v>45</v>
      </c>
      <c r="F1766" s="1" t="s">
        <v>4103</v>
      </c>
      <c r="G1766" s="1" t="s">
        <v>4104</v>
      </c>
      <c r="H1766" s="1" t="s">
        <v>4105</v>
      </c>
      <c r="I1766" s="1" t="s">
        <v>49</v>
      </c>
      <c r="J1766" s="1" t="s">
        <v>48</v>
      </c>
      <c r="K1766" s="1">
        <v>36</v>
      </c>
      <c r="L1766" s="1">
        <v>0</v>
      </c>
      <c r="M1766" s="1">
        <v>0</v>
      </c>
      <c r="N1766" s="1">
        <v>36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 t="s">
        <v>49</v>
      </c>
      <c r="AA1766" s="1" t="s">
        <v>49</v>
      </c>
      <c r="AB1766" s="1" t="s">
        <v>49</v>
      </c>
      <c r="AC1766" s="1" t="s">
        <v>4106</v>
      </c>
      <c r="AD1766" s="1" t="s">
        <v>4107</v>
      </c>
      <c r="AE1766" s="1" t="s">
        <v>4108</v>
      </c>
      <c r="AF1766" s="1" t="s">
        <v>3455</v>
      </c>
      <c r="AG1766" s="1" t="s">
        <v>53</v>
      </c>
      <c r="AH1766" s="1" t="s">
        <v>49</v>
      </c>
      <c r="AI1766" s="1" t="s">
        <v>54</v>
      </c>
      <c r="AJ1766" s="1">
        <v>1</v>
      </c>
      <c r="AK1766" s="1" t="str">
        <f t="shared" si="27"/>
        <v xml:space="preserve"> =&lt;90</v>
      </c>
      <c r="AL1766" s="1" t="str">
        <f>VLOOKUP(C:C,[1]基础信息!B$1:D$65536,3,0)</f>
        <v>Hotcup</v>
      </c>
      <c r="AM1766" s="1" t="str">
        <f>VLOOKUP(C:C,[1]基础信息!B$1:E$65536,4,0)</f>
        <v>Hotcup</v>
      </c>
      <c r="AN1766" s="1" t="str">
        <f>VLOOKUP(C:C,[1]基础信息!B$1:F$65536,5,0)</f>
        <v xml:space="preserve"> Whi</v>
      </c>
    </row>
    <row r="1767" spans="1:40">
      <c r="A1767" s="1" t="s">
        <v>41</v>
      </c>
      <c r="B1767" s="1" t="s">
        <v>42</v>
      </c>
      <c r="C1767" s="1" t="s">
        <v>68</v>
      </c>
      <c r="D1767" s="1" t="s">
        <v>69</v>
      </c>
      <c r="E1767" s="1" t="s">
        <v>45</v>
      </c>
      <c r="F1767" s="1" t="s">
        <v>4103</v>
      </c>
      <c r="G1767" s="1" t="s">
        <v>4109</v>
      </c>
      <c r="H1767" s="1" t="s">
        <v>4110</v>
      </c>
      <c r="I1767" s="1" t="s">
        <v>49</v>
      </c>
      <c r="J1767" s="1" t="s">
        <v>48</v>
      </c>
      <c r="K1767" s="1">
        <v>36</v>
      </c>
      <c r="L1767" s="1">
        <v>0</v>
      </c>
      <c r="M1767" s="1">
        <v>0</v>
      </c>
      <c r="N1767" s="1">
        <v>36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 t="s">
        <v>49</v>
      </c>
      <c r="AA1767" s="1" t="s">
        <v>49</v>
      </c>
      <c r="AB1767" s="1" t="s">
        <v>49</v>
      </c>
      <c r="AC1767" s="1" t="s">
        <v>4106</v>
      </c>
      <c r="AD1767" s="1" t="s">
        <v>4107</v>
      </c>
      <c r="AE1767" s="1" t="s">
        <v>4108</v>
      </c>
      <c r="AF1767" s="1" t="s">
        <v>3455</v>
      </c>
      <c r="AG1767" s="1" t="s">
        <v>53</v>
      </c>
      <c r="AH1767" s="1" t="s">
        <v>49</v>
      </c>
      <c r="AI1767" s="1" t="s">
        <v>54</v>
      </c>
      <c r="AJ1767" s="1">
        <v>1</v>
      </c>
      <c r="AK1767" s="1" t="str">
        <f t="shared" si="27"/>
        <v xml:space="preserve"> =&lt;90</v>
      </c>
      <c r="AL1767" s="1" t="str">
        <f>VLOOKUP(C:C,[1]基础信息!B$1:D$65536,3,0)</f>
        <v>Hotcup</v>
      </c>
      <c r="AM1767" s="1" t="str">
        <f>VLOOKUP(C:C,[1]基础信息!B$1:E$65536,4,0)</f>
        <v>Hotcup</v>
      </c>
      <c r="AN1767" s="1" t="str">
        <f>VLOOKUP(C:C,[1]基础信息!B$1:F$65536,5,0)</f>
        <v xml:space="preserve"> Whi</v>
      </c>
    </row>
    <row r="1768" spans="1:40">
      <c r="A1768" s="1" t="s">
        <v>41</v>
      </c>
      <c r="B1768" s="1" t="s">
        <v>42</v>
      </c>
      <c r="C1768" s="1" t="s">
        <v>4077</v>
      </c>
      <c r="D1768" s="1" t="s">
        <v>4078</v>
      </c>
      <c r="E1768" s="1" t="s">
        <v>45</v>
      </c>
      <c r="F1768" s="1" t="s">
        <v>4079</v>
      </c>
      <c r="G1768" s="1" t="s">
        <v>4111</v>
      </c>
      <c r="H1768" s="1" t="s">
        <v>4112</v>
      </c>
      <c r="I1768" s="1" t="s">
        <v>49</v>
      </c>
      <c r="J1768" s="1" t="s">
        <v>48</v>
      </c>
      <c r="K1768" s="1">
        <v>16</v>
      </c>
      <c r="L1768" s="1">
        <v>0</v>
      </c>
      <c r="M1768" s="1">
        <v>0</v>
      </c>
      <c r="N1768" s="1">
        <v>16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 t="s">
        <v>49</v>
      </c>
      <c r="AA1768" s="1" t="s">
        <v>49</v>
      </c>
      <c r="AB1768" s="1" t="s">
        <v>49</v>
      </c>
      <c r="AC1768" s="1" t="s">
        <v>2403</v>
      </c>
      <c r="AD1768" s="1" t="s">
        <v>2404</v>
      </c>
      <c r="AE1768" s="1" t="s">
        <v>2403</v>
      </c>
      <c r="AF1768" s="1" t="s">
        <v>4082</v>
      </c>
      <c r="AG1768" s="1" t="s">
        <v>53</v>
      </c>
      <c r="AH1768" s="1" t="s">
        <v>49</v>
      </c>
      <c r="AI1768" s="1" t="s">
        <v>54</v>
      </c>
      <c r="AJ1768" s="1">
        <v>1</v>
      </c>
      <c r="AK1768" s="1" t="str">
        <f t="shared" si="27"/>
        <v xml:space="preserve"> =&lt;90</v>
      </c>
      <c r="AL1768" s="1" t="str">
        <f>VLOOKUP(C:C,[1]基础信息!B$1:D$65536,3,0)</f>
        <v>UTS</v>
      </c>
      <c r="AM1768" s="1" t="str">
        <f>VLOOKUP(C:C,[1]基础信息!B$1:E$65536,4,0)</f>
        <v>RO</v>
      </c>
      <c r="AN1768" s="1" t="str">
        <f>VLOOKUP(C:C,[1]基础信息!B$1:F$65536,5,0)</f>
        <v>Starry Grey Color</v>
      </c>
    </row>
    <row r="1769" spans="1:40">
      <c r="A1769" s="1" t="s">
        <v>41</v>
      </c>
      <c r="B1769" s="1" t="s">
        <v>42</v>
      </c>
      <c r="C1769" s="1" t="s">
        <v>68</v>
      </c>
      <c r="D1769" s="1" t="s">
        <v>69</v>
      </c>
      <c r="E1769" s="1" t="s">
        <v>45</v>
      </c>
      <c r="F1769" s="1" t="s">
        <v>4103</v>
      </c>
      <c r="G1769" s="1" t="s">
        <v>4113</v>
      </c>
      <c r="H1769" s="1" t="s">
        <v>4114</v>
      </c>
      <c r="I1769" s="1" t="s">
        <v>49</v>
      </c>
      <c r="J1769" s="1" t="s">
        <v>48</v>
      </c>
      <c r="K1769" s="1">
        <v>36</v>
      </c>
      <c r="L1769" s="1">
        <v>0</v>
      </c>
      <c r="M1769" s="1">
        <v>0</v>
      </c>
      <c r="N1769" s="1">
        <v>36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 t="s">
        <v>49</v>
      </c>
      <c r="AA1769" s="1" t="s">
        <v>49</v>
      </c>
      <c r="AB1769" s="1" t="s">
        <v>49</v>
      </c>
      <c r="AC1769" s="1" t="s">
        <v>4106</v>
      </c>
      <c r="AD1769" s="1" t="s">
        <v>4107</v>
      </c>
      <c r="AE1769" s="1" t="s">
        <v>4108</v>
      </c>
      <c r="AF1769" s="1" t="s">
        <v>3455</v>
      </c>
      <c r="AG1769" s="1" t="s">
        <v>53</v>
      </c>
      <c r="AH1769" s="1" t="s">
        <v>49</v>
      </c>
      <c r="AI1769" s="1" t="s">
        <v>54</v>
      </c>
      <c r="AJ1769" s="1">
        <v>1</v>
      </c>
      <c r="AK1769" s="1" t="str">
        <f t="shared" si="27"/>
        <v xml:space="preserve"> =&lt;90</v>
      </c>
      <c r="AL1769" s="1" t="str">
        <f>VLOOKUP(C:C,[1]基础信息!B$1:D$65536,3,0)</f>
        <v>Hotcup</v>
      </c>
      <c r="AM1769" s="1" t="str">
        <f>VLOOKUP(C:C,[1]基础信息!B$1:E$65536,4,0)</f>
        <v>Hotcup</v>
      </c>
      <c r="AN1769" s="1" t="str">
        <f>VLOOKUP(C:C,[1]基础信息!B$1:F$65536,5,0)</f>
        <v xml:space="preserve"> Whi</v>
      </c>
    </row>
    <row r="1770" spans="1:40">
      <c r="A1770" s="1" t="s">
        <v>41</v>
      </c>
      <c r="B1770" s="1" t="s">
        <v>42</v>
      </c>
      <c r="C1770" s="1" t="s">
        <v>285</v>
      </c>
      <c r="D1770" s="1" t="s">
        <v>286</v>
      </c>
      <c r="E1770" s="1" t="s">
        <v>45</v>
      </c>
      <c r="F1770" s="1" t="s">
        <v>3095</v>
      </c>
      <c r="G1770" s="1" t="s">
        <v>4115</v>
      </c>
      <c r="H1770" s="1" t="s">
        <v>4116</v>
      </c>
      <c r="I1770" s="1" t="s">
        <v>49</v>
      </c>
      <c r="J1770" s="1" t="s">
        <v>48</v>
      </c>
      <c r="K1770" s="1">
        <v>70</v>
      </c>
      <c r="L1770" s="1">
        <v>0</v>
      </c>
      <c r="M1770" s="1">
        <v>0</v>
      </c>
      <c r="N1770" s="1">
        <v>70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 t="s">
        <v>49</v>
      </c>
      <c r="AA1770" s="1" t="s">
        <v>49</v>
      </c>
      <c r="AB1770" s="1" t="s">
        <v>49</v>
      </c>
      <c r="AC1770" s="1" t="s">
        <v>3098</v>
      </c>
      <c r="AD1770" s="1" t="s">
        <v>3099</v>
      </c>
      <c r="AE1770" s="1" t="s">
        <v>3098</v>
      </c>
      <c r="AF1770" s="1" t="s">
        <v>1553</v>
      </c>
      <c r="AG1770" s="1" t="s">
        <v>53</v>
      </c>
      <c r="AH1770" s="1" t="s">
        <v>49</v>
      </c>
      <c r="AI1770" s="1" t="s">
        <v>54</v>
      </c>
      <c r="AJ1770" s="1">
        <v>1</v>
      </c>
      <c r="AK1770" s="1" t="str">
        <f t="shared" si="27"/>
        <v xml:space="preserve"> =&lt;90</v>
      </c>
      <c r="AL1770" s="1" t="str">
        <f>VLOOKUP(C:C,[1]基础信息!B$1:D$65536,3,0)</f>
        <v>Jug</v>
      </c>
      <c r="AM1770" s="1" t="str">
        <f>VLOOKUP(C:C,[1]基础信息!B$1:E$65536,4,0)</f>
        <v>Marella XL</v>
      </c>
      <c r="AN1770" s="1" t="str">
        <f>VLOOKUP(C:C,[1]基础信息!B$1:F$65536,5,0)</f>
        <v>Blue</v>
      </c>
    </row>
    <row r="1771" spans="1:40">
      <c r="A1771" s="1" t="s">
        <v>41</v>
      </c>
      <c r="B1771" s="1" t="s">
        <v>42</v>
      </c>
      <c r="C1771" s="1" t="s">
        <v>68</v>
      </c>
      <c r="D1771" s="1" t="s">
        <v>69</v>
      </c>
      <c r="E1771" s="1" t="s">
        <v>45</v>
      </c>
      <c r="F1771" s="1" t="s">
        <v>4103</v>
      </c>
      <c r="G1771" s="1" t="s">
        <v>4117</v>
      </c>
      <c r="H1771" s="1" t="s">
        <v>4118</v>
      </c>
      <c r="I1771" s="1" t="s">
        <v>49</v>
      </c>
      <c r="J1771" s="1" t="s">
        <v>48</v>
      </c>
      <c r="K1771" s="1">
        <v>36</v>
      </c>
      <c r="L1771" s="1">
        <v>0</v>
      </c>
      <c r="M1771" s="1">
        <v>0</v>
      </c>
      <c r="N1771" s="1">
        <v>36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 t="s">
        <v>49</v>
      </c>
      <c r="AA1771" s="1" t="s">
        <v>49</v>
      </c>
      <c r="AB1771" s="1" t="s">
        <v>49</v>
      </c>
      <c r="AC1771" s="1" t="s">
        <v>4106</v>
      </c>
      <c r="AD1771" s="1" t="s">
        <v>4107</v>
      </c>
      <c r="AE1771" s="1" t="s">
        <v>4108</v>
      </c>
      <c r="AF1771" s="1" t="s">
        <v>3455</v>
      </c>
      <c r="AG1771" s="1" t="s">
        <v>53</v>
      </c>
      <c r="AH1771" s="1" t="s">
        <v>49</v>
      </c>
      <c r="AI1771" s="1" t="s">
        <v>54</v>
      </c>
      <c r="AJ1771" s="1">
        <v>1</v>
      </c>
      <c r="AK1771" s="1" t="str">
        <f t="shared" si="27"/>
        <v xml:space="preserve"> =&lt;90</v>
      </c>
      <c r="AL1771" s="1" t="str">
        <f>VLOOKUP(C:C,[1]基础信息!B$1:D$65536,3,0)</f>
        <v>Hotcup</v>
      </c>
      <c r="AM1771" s="1" t="str">
        <f>VLOOKUP(C:C,[1]基础信息!B$1:E$65536,4,0)</f>
        <v>Hotcup</v>
      </c>
      <c r="AN1771" s="1" t="str">
        <f>VLOOKUP(C:C,[1]基础信息!B$1:F$65536,5,0)</f>
        <v xml:space="preserve"> Whi</v>
      </c>
    </row>
    <row r="1772" spans="1:40">
      <c r="A1772" s="1" t="s">
        <v>41</v>
      </c>
      <c r="B1772" s="1" t="s">
        <v>42</v>
      </c>
      <c r="C1772" s="1" t="s">
        <v>68</v>
      </c>
      <c r="D1772" s="1" t="s">
        <v>69</v>
      </c>
      <c r="E1772" s="1" t="s">
        <v>45</v>
      </c>
      <c r="F1772" s="1" t="s">
        <v>4103</v>
      </c>
      <c r="G1772" s="1" t="s">
        <v>4119</v>
      </c>
      <c r="H1772" s="1" t="s">
        <v>4120</v>
      </c>
      <c r="I1772" s="1" t="s">
        <v>49</v>
      </c>
      <c r="J1772" s="1" t="s">
        <v>48</v>
      </c>
      <c r="K1772" s="1">
        <v>36</v>
      </c>
      <c r="L1772" s="1">
        <v>0</v>
      </c>
      <c r="M1772" s="1">
        <v>0</v>
      </c>
      <c r="N1772" s="1">
        <v>36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 t="s">
        <v>49</v>
      </c>
      <c r="AA1772" s="1" t="s">
        <v>49</v>
      </c>
      <c r="AB1772" s="1" t="s">
        <v>49</v>
      </c>
      <c r="AC1772" s="1" t="s">
        <v>4106</v>
      </c>
      <c r="AD1772" s="1" t="s">
        <v>4107</v>
      </c>
      <c r="AE1772" s="1" t="s">
        <v>4108</v>
      </c>
      <c r="AF1772" s="1" t="s">
        <v>3455</v>
      </c>
      <c r="AG1772" s="1" t="s">
        <v>53</v>
      </c>
      <c r="AH1772" s="1" t="s">
        <v>49</v>
      </c>
      <c r="AI1772" s="1" t="s">
        <v>54</v>
      </c>
      <c r="AJ1772" s="1">
        <v>1</v>
      </c>
      <c r="AK1772" s="1" t="str">
        <f t="shared" si="27"/>
        <v xml:space="preserve"> =&lt;90</v>
      </c>
      <c r="AL1772" s="1" t="str">
        <f>VLOOKUP(C:C,[1]基础信息!B$1:D$65536,3,0)</f>
        <v>Hotcup</v>
      </c>
      <c r="AM1772" s="1" t="str">
        <f>VLOOKUP(C:C,[1]基础信息!B$1:E$65536,4,0)</f>
        <v>Hotcup</v>
      </c>
      <c r="AN1772" s="1" t="str">
        <f>VLOOKUP(C:C,[1]基础信息!B$1:F$65536,5,0)</f>
        <v xml:space="preserve"> Whi</v>
      </c>
    </row>
    <row r="1773" spans="1:40">
      <c r="A1773" s="1" t="s">
        <v>41</v>
      </c>
      <c r="B1773" s="1" t="s">
        <v>42</v>
      </c>
      <c r="C1773" s="1" t="s">
        <v>68</v>
      </c>
      <c r="D1773" s="1" t="s">
        <v>69</v>
      </c>
      <c r="E1773" s="1" t="s">
        <v>45</v>
      </c>
      <c r="F1773" s="1" t="s">
        <v>4103</v>
      </c>
      <c r="G1773" s="1" t="s">
        <v>4121</v>
      </c>
      <c r="H1773" s="1" t="s">
        <v>4122</v>
      </c>
      <c r="I1773" s="1" t="s">
        <v>49</v>
      </c>
      <c r="J1773" s="1" t="s">
        <v>48</v>
      </c>
      <c r="K1773" s="1">
        <v>36</v>
      </c>
      <c r="L1773" s="1">
        <v>0</v>
      </c>
      <c r="M1773" s="1">
        <v>0</v>
      </c>
      <c r="N1773" s="1">
        <v>36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 t="s">
        <v>49</v>
      </c>
      <c r="AA1773" s="1" t="s">
        <v>49</v>
      </c>
      <c r="AB1773" s="1" t="s">
        <v>49</v>
      </c>
      <c r="AC1773" s="1" t="s">
        <v>4106</v>
      </c>
      <c r="AD1773" s="1" t="s">
        <v>4107</v>
      </c>
      <c r="AE1773" s="1" t="s">
        <v>4108</v>
      </c>
      <c r="AF1773" s="1" t="s">
        <v>3455</v>
      </c>
      <c r="AG1773" s="1" t="s">
        <v>53</v>
      </c>
      <c r="AH1773" s="1" t="s">
        <v>49</v>
      </c>
      <c r="AI1773" s="1" t="s">
        <v>54</v>
      </c>
      <c r="AJ1773" s="1">
        <v>1</v>
      </c>
      <c r="AK1773" s="1" t="str">
        <f t="shared" si="27"/>
        <v xml:space="preserve"> =&lt;90</v>
      </c>
      <c r="AL1773" s="1" t="str">
        <f>VLOOKUP(C:C,[1]基础信息!B$1:D$65536,3,0)</f>
        <v>Hotcup</v>
      </c>
      <c r="AM1773" s="1" t="str">
        <f>VLOOKUP(C:C,[1]基础信息!B$1:E$65536,4,0)</f>
        <v>Hotcup</v>
      </c>
      <c r="AN1773" s="1" t="str">
        <f>VLOOKUP(C:C,[1]基础信息!B$1:F$65536,5,0)</f>
        <v xml:space="preserve"> Whi</v>
      </c>
    </row>
    <row r="1774" spans="1:40">
      <c r="A1774" s="1" t="s">
        <v>41</v>
      </c>
      <c r="B1774" s="1" t="s">
        <v>42</v>
      </c>
      <c r="C1774" s="1" t="s">
        <v>68</v>
      </c>
      <c r="D1774" s="1" t="s">
        <v>69</v>
      </c>
      <c r="E1774" s="1" t="s">
        <v>45</v>
      </c>
      <c r="F1774" s="1" t="s">
        <v>4103</v>
      </c>
      <c r="G1774" s="1" t="s">
        <v>4123</v>
      </c>
      <c r="H1774" s="1" t="s">
        <v>4124</v>
      </c>
      <c r="I1774" s="1" t="s">
        <v>49</v>
      </c>
      <c r="J1774" s="1" t="s">
        <v>48</v>
      </c>
      <c r="K1774" s="1">
        <v>36</v>
      </c>
      <c r="L1774" s="1">
        <v>0</v>
      </c>
      <c r="M1774" s="1">
        <v>0</v>
      </c>
      <c r="N1774" s="1">
        <v>36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 t="s">
        <v>49</v>
      </c>
      <c r="AA1774" s="1" t="s">
        <v>49</v>
      </c>
      <c r="AB1774" s="1" t="s">
        <v>49</v>
      </c>
      <c r="AC1774" s="1" t="s">
        <v>4106</v>
      </c>
      <c r="AD1774" s="1" t="s">
        <v>4107</v>
      </c>
      <c r="AE1774" s="1" t="s">
        <v>4108</v>
      </c>
      <c r="AF1774" s="1" t="s">
        <v>3455</v>
      </c>
      <c r="AG1774" s="1" t="s">
        <v>53</v>
      </c>
      <c r="AH1774" s="1" t="s">
        <v>49</v>
      </c>
      <c r="AI1774" s="1" t="s">
        <v>54</v>
      </c>
      <c r="AJ1774" s="1">
        <v>1</v>
      </c>
      <c r="AK1774" s="1" t="str">
        <f t="shared" si="27"/>
        <v xml:space="preserve"> =&lt;90</v>
      </c>
      <c r="AL1774" s="1" t="str">
        <f>VLOOKUP(C:C,[1]基础信息!B$1:D$65536,3,0)</f>
        <v>Hotcup</v>
      </c>
      <c r="AM1774" s="1" t="str">
        <f>VLOOKUP(C:C,[1]基础信息!B$1:E$65536,4,0)</f>
        <v>Hotcup</v>
      </c>
      <c r="AN1774" s="1" t="str">
        <f>VLOOKUP(C:C,[1]基础信息!B$1:F$65536,5,0)</f>
        <v xml:space="preserve"> Whi</v>
      </c>
    </row>
    <row r="1775" spans="1:40">
      <c r="A1775" s="1" t="s">
        <v>41</v>
      </c>
      <c r="B1775" s="1" t="s">
        <v>42</v>
      </c>
      <c r="C1775" s="1" t="s">
        <v>68</v>
      </c>
      <c r="D1775" s="1" t="s">
        <v>69</v>
      </c>
      <c r="E1775" s="1" t="s">
        <v>45</v>
      </c>
      <c r="F1775" s="1" t="s">
        <v>4103</v>
      </c>
      <c r="G1775" s="1" t="s">
        <v>4125</v>
      </c>
      <c r="H1775" s="1" t="s">
        <v>4126</v>
      </c>
      <c r="I1775" s="1" t="s">
        <v>49</v>
      </c>
      <c r="J1775" s="1" t="s">
        <v>48</v>
      </c>
      <c r="K1775" s="1">
        <v>36</v>
      </c>
      <c r="L1775" s="1">
        <v>0</v>
      </c>
      <c r="M1775" s="1">
        <v>0</v>
      </c>
      <c r="N1775" s="1">
        <v>36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 t="s">
        <v>49</v>
      </c>
      <c r="AA1775" s="1" t="s">
        <v>49</v>
      </c>
      <c r="AB1775" s="1" t="s">
        <v>49</v>
      </c>
      <c r="AC1775" s="1" t="s">
        <v>4106</v>
      </c>
      <c r="AD1775" s="1" t="s">
        <v>4107</v>
      </c>
      <c r="AE1775" s="1" t="s">
        <v>4108</v>
      </c>
      <c r="AF1775" s="1" t="s">
        <v>3455</v>
      </c>
      <c r="AG1775" s="1" t="s">
        <v>53</v>
      </c>
      <c r="AH1775" s="1" t="s">
        <v>49</v>
      </c>
      <c r="AI1775" s="1" t="s">
        <v>54</v>
      </c>
      <c r="AJ1775" s="1">
        <v>1</v>
      </c>
      <c r="AK1775" s="1" t="str">
        <f t="shared" si="27"/>
        <v xml:space="preserve"> =&lt;90</v>
      </c>
      <c r="AL1775" s="1" t="str">
        <f>VLOOKUP(C:C,[1]基础信息!B$1:D$65536,3,0)</f>
        <v>Hotcup</v>
      </c>
      <c r="AM1775" s="1" t="str">
        <f>VLOOKUP(C:C,[1]基础信息!B$1:E$65536,4,0)</f>
        <v>Hotcup</v>
      </c>
      <c r="AN1775" s="1" t="str">
        <f>VLOOKUP(C:C,[1]基础信息!B$1:F$65536,5,0)</f>
        <v xml:space="preserve"> Whi</v>
      </c>
    </row>
    <row r="1776" spans="1:40">
      <c r="A1776" s="1" t="s">
        <v>41</v>
      </c>
      <c r="B1776" s="1" t="s">
        <v>42</v>
      </c>
      <c r="C1776" s="1" t="s">
        <v>68</v>
      </c>
      <c r="D1776" s="1" t="s">
        <v>69</v>
      </c>
      <c r="E1776" s="1" t="s">
        <v>45</v>
      </c>
      <c r="F1776" s="1" t="s">
        <v>4103</v>
      </c>
      <c r="G1776" s="1" t="s">
        <v>4127</v>
      </c>
      <c r="H1776" s="1" t="s">
        <v>4128</v>
      </c>
      <c r="I1776" s="1" t="s">
        <v>49</v>
      </c>
      <c r="J1776" s="1" t="s">
        <v>48</v>
      </c>
      <c r="K1776" s="1">
        <v>36</v>
      </c>
      <c r="L1776" s="1">
        <v>0</v>
      </c>
      <c r="M1776" s="1">
        <v>0</v>
      </c>
      <c r="N1776" s="1">
        <v>36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 t="s">
        <v>49</v>
      </c>
      <c r="AA1776" s="1" t="s">
        <v>49</v>
      </c>
      <c r="AB1776" s="1" t="s">
        <v>49</v>
      </c>
      <c r="AC1776" s="1" t="s">
        <v>4106</v>
      </c>
      <c r="AD1776" s="1" t="s">
        <v>4107</v>
      </c>
      <c r="AE1776" s="1" t="s">
        <v>4108</v>
      </c>
      <c r="AF1776" s="1" t="s">
        <v>3455</v>
      </c>
      <c r="AG1776" s="1" t="s">
        <v>53</v>
      </c>
      <c r="AH1776" s="1" t="s">
        <v>49</v>
      </c>
      <c r="AI1776" s="1" t="s">
        <v>54</v>
      </c>
      <c r="AJ1776" s="1">
        <v>1</v>
      </c>
      <c r="AK1776" s="1" t="str">
        <f t="shared" si="27"/>
        <v xml:space="preserve"> =&lt;90</v>
      </c>
      <c r="AL1776" s="1" t="str">
        <f>VLOOKUP(C:C,[1]基础信息!B$1:D$65536,3,0)</f>
        <v>Hotcup</v>
      </c>
      <c r="AM1776" s="1" t="str">
        <f>VLOOKUP(C:C,[1]基础信息!B$1:E$65536,4,0)</f>
        <v>Hotcup</v>
      </c>
      <c r="AN1776" s="1" t="str">
        <f>VLOOKUP(C:C,[1]基础信息!B$1:F$65536,5,0)</f>
        <v xml:space="preserve"> Whi</v>
      </c>
    </row>
    <row r="1777" spans="1:40">
      <c r="A1777" s="1" t="s">
        <v>41</v>
      </c>
      <c r="B1777" s="1" t="s">
        <v>42</v>
      </c>
      <c r="C1777" s="1" t="s">
        <v>68</v>
      </c>
      <c r="D1777" s="1" t="s">
        <v>69</v>
      </c>
      <c r="E1777" s="1" t="s">
        <v>45</v>
      </c>
      <c r="F1777" s="1" t="s">
        <v>4103</v>
      </c>
      <c r="G1777" s="1" t="s">
        <v>4129</v>
      </c>
      <c r="H1777" s="1" t="s">
        <v>4130</v>
      </c>
      <c r="I1777" s="1" t="s">
        <v>49</v>
      </c>
      <c r="J1777" s="1" t="s">
        <v>48</v>
      </c>
      <c r="K1777" s="1">
        <v>36</v>
      </c>
      <c r="L1777" s="1">
        <v>0</v>
      </c>
      <c r="M1777" s="1">
        <v>0</v>
      </c>
      <c r="N1777" s="1">
        <v>36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 t="s">
        <v>49</v>
      </c>
      <c r="AA1777" s="1" t="s">
        <v>49</v>
      </c>
      <c r="AB1777" s="1" t="s">
        <v>49</v>
      </c>
      <c r="AC1777" s="1" t="s">
        <v>4106</v>
      </c>
      <c r="AD1777" s="1" t="s">
        <v>4107</v>
      </c>
      <c r="AE1777" s="1" t="s">
        <v>4108</v>
      </c>
      <c r="AF1777" s="1" t="s">
        <v>3455</v>
      </c>
      <c r="AG1777" s="1" t="s">
        <v>53</v>
      </c>
      <c r="AH1777" s="1" t="s">
        <v>49</v>
      </c>
      <c r="AI1777" s="1" t="s">
        <v>54</v>
      </c>
      <c r="AJ1777" s="1">
        <v>1</v>
      </c>
      <c r="AK1777" s="1" t="str">
        <f t="shared" si="27"/>
        <v xml:space="preserve"> =&lt;90</v>
      </c>
      <c r="AL1777" s="1" t="str">
        <f>VLOOKUP(C:C,[1]基础信息!B$1:D$65536,3,0)</f>
        <v>Hotcup</v>
      </c>
      <c r="AM1777" s="1" t="str">
        <f>VLOOKUP(C:C,[1]基础信息!B$1:E$65536,4,0)</f>
        <v>Hotcup</v>
      </c>
      <c r="AN1777" s="1" t="str">
        <f>VLOOKUP(C:C,[1]基础信息!B$1:F$65536,5,0)</f>
        <v xml:space="preserve"> Whi</v>
      </c>
    </row>
    <row r="1778" spans="1:40">
      <c r="A1778" s="1" t="s">
        <v>41</v>
      </c>
      <c r="B1778" s="1" t="s">
        <v>42</v>
      </c>
      <c r="C1778" s="1" t="s">
        <v>68</v>
      </c>
      <c r="D1778" s="1" t="s">
        <v>69</v>
      </c>
      <c r="E1778" s="1" t="s">
        <v>45</v>
      </c>
      <c r="F1778" s="1" t="s">
        <v>4103</v>
      </c>
      <c r="G1778" s="1" t="s">
        <v>4131</v>
      </c>
      <c r="H1778" s="1" t="s">
        <v>4132</v>
      </c>
      <c r="I1778" s="1" t="s">
        <v>49</v>
      </c>
      <c r="J1778" s="1" t="s">
        <v>48</v>
      </c>
      <c r="K1778" s="1">
        <v>36</v>
      </c>
      <c r="L1778" s="1">
        <v>0</v>
      </c>
      <c r="M1778" s="1">
        <v>0</v>
      </c>
      <c r="N1778" s="1">
        <v>36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 t="s">
        <v>49</v>
      </c>
      <c r="AA1778" s="1" t="s">
        <v>49</v>
      </c>
      <c r="AB1778" s="1" t="s">
        <v>49</v>
      </c>
      <c r="AC1778" s="1" t="s">
        <v>4106</v>
      </c>
      <c r="AD1778" s="1" t="s">
        <v>4107</v>
      </c>
      <c r="AE1778" s="1" t="s">
        <v>4108</v>
      </c>
      <c r="AF1778" s="1" t="s">
        <v>3455</v>
      </c>
      <c r="AG1778" s="1" t="s">
        <v>53</v>
      </c>
      <c r="AH1778" s="1" t="s">
        <v>49</v>
      </c>
      <c r="AI1778" s="1" t="s">
        <v>54</v>
      </c>
      <c r="AJ1778" s="1">
        <v>1</v>
      </c>
      <c r="AK1778" s="1" t="str">
        <f t="shared" si="27"/>
        <v xml:space="preserve"> =&lt;90</v>
      </c>
      <c r="AL1778" s="1" t="str">
        <f>VLOOKUP(C:C,[1]基础信息!B$1:D$65536,3,0)</f>
        <v>Hotcup</v>
      </c>
      <c r="AM1778" s="1" t="str">
        <f>VLOOKUP(C:C,[1]基础信息!B$1:E$65536,4,0)</f>
        <v>Hotcup</v>
      </c>
      <c r="AN1778" s="1" t="str">
        <f>VLOOKUP(C:C,[1]基础信息!B$1:F$65536,5,0)</f>
        <v xml:space="preserve"> Whi</v>
      </c>
    </row>
    <row r="1779" spans="1:40">
      <c r="A1779" s="1" t="s">
        <v>41</v>
      </c>
      <c r="B1779" s="1" t="s">
        <v>42</v>
      </c>
      <c r="C1779" s="1" t="s">
        <v>68</v>
      </c>
      <c r="D1779" s="1" t="s">
        <v>69</v>
      </c>
      <c r="E1779" s="1" t="s">
        <v>45</v>
      </c>
      <c r="F1779" s="1" t="s">
        <v>4103</v>
      </c>
      <c r="G1779" s="1" t="s">
        <v>4133</v>
      </c>
      <c r="H1779" s="1" t="s">
        <v>4134</v>
      </c>
      <c r="I1779" s="1" t="s">
        <v>49</v>
      </c>
      <c r="J1779" s="1" t="s">
        <v>48</v>
      </c>
      <c r="K1779" s="1">
        <v>36</v>
      </c>
      <c r="L1779" s="1">
        <v>0</v>
      </c>
      <c r="M1779" s="1">
        <v>0</v>
      </c>
      <c r="N1779" s="1">
        <v>36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 t="s">
        <v>49</v>
      </c>
      <c r="AA1779" s="1" t="s">
        <v>49</v>
      </c>
      <c r="AB1779" s="1" t="s">
        <v>49</v>
      </c>
      <c r="AC1779" s="1" t="s">
        <v>4106</v>
      </c>
      <c r="AD1779" s="1" t="s">
        <v>4107</v>
      </c>
      <c r="AE1779" s="1" t="s">
        <v>4108</v>
      </c>
      <c r="AF1779" s="1" t="s">
        <v>3455</v>
      </c>
      <c r="AG1779" s="1" t="s">
        <v>53</v>
      </c>
      <c r="AH1779" s="1" t="s">
        <v>49</v>
      </c>
      <c r="AI1779" s="1" t="s">
        <v>54</v>
      </c>
      <c r="AJ1779" s="1">
        <v>1</v>
      </c>
      <c r="AK1779" s="1" t="str">
        <f t="shared" si="27"/>
        <v xml:space="preserve"> =&lt;90</v>
      </c>
      <c r="AL1779" s="1" t="str">
        <f>VLOOKUP(C:C,[1]基础信息!B$1:D$65536,3,0)</f>
        <v>Hotcup</v>
      </c>
      <c r="AM1779" s="1" t="str">
        <f>VLOOKUP(C:C,[1]基础信息!B$1:E$65536,4,0)</f>
        <v>Hotcup</v>
      </c>
      <c r="AN1779" s="1" t="str">
        <f>VLOOKUP(C:C,[1]基础信息!B$1:F$65536,5,0)</f>
        <v xml:space="preserve"> Whi</v>
      </c>
    </row>
    <row r="1780" spans="1:40">
      <c r="A1780" s="1" t="s">
        <v>41</v>
      </c>
      <c r="B1780" s="1" t="s">
        <v>42</v>
      </c>
      <c r="C1780" s="1" t="s">
        <v>68</v>
      </c>
      <c r="D1780" s="1" t="s">
        <v>69</v>
      </c>
      <c r="E1780" s="1" t="s">
        <v>45</v>
      </c>
      <c r="F1780" s="1" t="s">
        <v>4103</v>
      </c>
      <c r="G1780" s="1" t="s">
        <v>4135</v>
      </c>
      <c r="H1780" s="1" t="s">
        <v>4136</v>
      </c>
      <c r="I1780" s="1" t="s">
        <v>49</v>
      </c>
      <c r="J1780" s="1" t="s">
        <v>48</v>
      </c>
      <c r="K1780" s="1">
        <v>36</v>
      </c>
      <c r="L1780" s="1">
        <v>0</v>
      </c>
      <c r="M1780" s="1">
        <v>0</v>
      </c>
      <c r="N1780" s="1">
        <v>36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 t="s">
        <v>49</v>
      </c>
      <c r="AA1780" s="1" t="s">
        <v>49</v>
      </c>
      <c r="AB1780" s="1" t="s">
        <v>49</v>
      </c>
      <c r="AC1780" s="1" t="s">
        <v>4106</v>
      </c>
      <c r="AD1780" s="1" t="s">
        <v>4107</v>
      </c>
      <c r="AE1780" s="1" t="s">
        <v>4108</v>
      </c>
      <c r="AF1780" s="1" t="s">
        <v>3455</v>
      </c>
      <c r="AG1780" s="1" t="s">
        <v>53</v>
      </c>
      <c r="AH1780" s="1" t="s">
        <v>49</v>
      </c>
      <c r="AI1780" s="1" t="s">
        <v>54</v>
      </c>
      <c r="AJ1780" s="1">
        <v>1</v>
      </c>
      <c r="AK1780" s="1" t="str">
        <f t="shared" si="27"/>
        <v xml:space="preserve"> =&lt;90</v>
      </c>
      <c r="AL1780" s="1" t="str">
        <f>VLOOKUP(C:C,[1]基础信息!B$1:D$65536,3,0)</f>
        <v>Hotcup</v>
      </c>
      <c r="AM1780" s="1" t="str">
        <f>VLOOKUP(C:C,[1]基础信息!B$1:E$65536,4,0)</f>
        <v>Hotcup</v>
      </c>
      <c r="AN1780" s="1" t="str">
        <f>VLOOKUP(C:C,[1]基础信息!B$1:F$65536,5,0)</f>
        <v xml:space="preserve"> Whi</v>
      </c>
    </row>
    <row r="1781" spans="1:40">
      <c r="A1781" s="1" t="s">
        <v>41</v>
      </c>
      <c r="B1781" s="1" t="s">
        <v>42</v>
      </c>
      <c r="C1781" s="1" t="s">
        <v>68</v>
      </c>
      <c r="D1781" s="1" t="s">
        <v>69</v>
      </c>
      <c r="E1781" s="1" t="s">
        <v>45</v>
      </c>
      <c r="F1781" s="1" t="s">
        <v>4103</v>
      </c>
      <c r="G1781" s="1" t="s">
        <v>4137</v>
      </c>
      <c r="H1781" s="1" t="s">
        <v>4138</v>
      </c>
      <c r="I1781" s="1" t="s">
        <v>49</v>
      </c>
      <c r="J1781" s="1" t="s">
        <v>48</v>
      </c>
      <c r="K1781" s="1">
        <v>36</v>
      </c>
      <c r="L1781" s="1">
        <v>0</v>
      </c>
      <c r="M1781" s="1">
        <v>0</v>
      </c>
      <c r="N1781" s="1">
        <v>36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 t="s">
        <v>49</v>
      </c>
      <c r="AA1781" s="1" t="s">
        <v>49</v>
      </c>
      <c r="AB1781" s="1" t="s">
        <v>49</v>
      </c>
      <c r="AC1781" s="1" t="s">
        <v>4106</v>
      </c>
      <c r="AD1781" s="1" t="s">
        <v>4107</v>
      </c>
      <c r="AE1781" s="1" t="s">
        <v>4108</v>
      </c>
      <c r="AF1781" s="1" t="s">
        <v>3455</v>
      </c>
      <c r="AG1781" s="1" t="s">
        <v>53</v>
      </c>
      <c r="AH1781" s="1" t="s">
        <v>49</v>
      </c>
      <c r="AI1781" s="1" t="s">
        <v>54</v>
      </c>
      <c r="AJ1781" s="1">
        <v>1</v>
      </c>
      <c r="AK1781" s="1" t="str">
        <f t="shared" si="27"/>
        <v xml:space="preserve"> =&lt;90</v>
      </c>
      <c r="AL1781" s="1" t="str">
        <f>VLOOKUP(C:C,[1]基础信息!B$1:D$65536,3,0)</f>
        <v>Hotcup</v>
      </c>
      <c r="AM1781" s="1" t="str">
        <f>VLOOKUP(C:C,[1]基础信息!B$1:E$65536,4,0)</f>
        <v>Hotcup</v>
      </c>
      <c r="AN1781" s="1" t="str">
        <f>VLOOKUP(C:C,[1]基础信息!B$1:F$65536,5,0)</f>
        <v xml:space="preserve"> Whi</v>
      </c>
    </row>
    <row r="1782" spans="1:40">
      <c r="A1782" s="1" t="s">
        <v>41</v>
      </c>
      <c r="B1782" s="1" t="s">
        <v>42</v>
      </c>
      <c r="C1782" s="1" t="s">
        <v>68</v>
      </c>
      <c r="D1782" s="1" t="s">
        <v>69</v>
      </c>
      <c r="E1782" s="1" t="s">
        <v>45</v>
      </c>
      <c r="F1782" s="1" t="s">
        <v>4103</v>
      </c>
      <c r="G1782" s="1" t="s">
        <v>4139</v>
      </c>
      <c r="H1782" s="1" t="s">
        <v>4140</v>
      </c>
      <c r="I1782" s="1" t="s">
        <v>49</v>
      </c>
      <c r="J1782" s="1" t="s">
        <v>48</v>
      </c>
      <c r="K1782" s="1">
        <v>36</v>
      </c>
      <c r="L1782" s="1">
        <v>0</v>
      </c>
      <c r="M1782" s="1">
        <v>0</v>
      </c>
      <c r="N1782" s="1">
        <v>36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 t="s">
        <v>49</v>
      </c>
      <c r="AA1782" s="1" t="s">
        <v>49</v>
      </c>
      <c r="AB1782" s="1" t="s">
        <v>49</v>
      </c>
      <c r="AC1782" s="1" t="s">
        <v>4106</v>
      </c>
      <c r="AD1782" s="1" t="s">
        <v>4107</v>
      </c>
      <c r="AE1782" s="1" t="s">
        <v>4108</v>
      </c>
      <c r="AF1782" s="1" t="s">
        <v>3455</v>
      </c>
      <c r="AG1782" s="1" t="s">
        <v>53</v>
      </c>
      <c r="AH1782" s="1" t="s">
        <v>49</v>
      </c>
      <c r="AI1782" s="1" t="s">
        <v>54</v>
      </c>
      <c r="AJ1782" s="1">
        <v>1</v>
      </c>
      <c r="AK1782" s="1" t="str">
        <f t="shared" si="27"/>
        <v xml:space="preserve"> =&lt;90</v>
      </c>
      <c r="AL1782" s="1" t="str">
        <f>VLOOKUP(C:C,[1]基础信息!B$1:D$65536,3,0)</f>
        <v>Hotcup</v>
      </c>
      <c r="AM1782" s="1" t="str">
        <f>VLOOKUP(C:C,[1]基础信息!B$1:E$65536,4,0)</f>
        <v>Hotcup</v>
      </c>
      <c r="AN1782" s="1" t="str">
        <f>VLOOKUP(C:C,[1]基础信息!B$1:F$65536,5,0)</f>
        <v xml:space="preserve"> Whi</v>
      </c>
    </row>
    <row r="1783" spans="1:40">
      <c r="A1783" s="1" t="s">
        <v>41</v>
      </c>
      <c r="B1783" s="1" t="s">
        <v>42</v>
      </c>
      <c r="C1783" s="1" t="s">
        <v>68</v>
      </c>
      <c r="D1783" s="1" t="s">
        <v>69</v>
      </c>
      <c r="E1783" s="1" t="s">
        <v>45</v>
      </c>
      <c r="F1783" s="1" t="s">
        <v>4103</v>
      </c>
      <c r="G1783" s="1" t="s">
        <v>4141</v>
      </c>
      <c r="H1783" s="1" t="s">
        <v>4142</v>
      </c>
      <c r="I1783" s="1" t="s">
        <v>49</v>
      </c>
      <c r="J1783" s="1" t="s">
        <v>48</v>
      </c>
      <c r="K1783" s="1">
        <v>36</v>
      </c>
      <c r="L1783" s="1">
        <v>0</v>
      </c>
      <c r="M1783" s="1">
        <v>0</v>
      </c>
      <c r="N1783" s="1">
        <v>36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 t="s">
        <v>49</v>
      </c>
      <c r="AA1783" s="1" t="s">
        <v>49</v>
      </c>
      <c r="AB1783" s="1" t="s">
        <v>49</v>
      </c>
      <c r="AC1783" s="1" t="s">
        <v>4106</v>
      </c>
      <c r="AD1783" s="1" t="s">
        <v>4107</v>
      </c>
      <c r="AE1783" s="1" t="s">
        <v>4108</v>
      </c>
      <c r="AF1783" s="1" t="s">
        <v>3455</v>
      </c>
      <c r="AG1783" s="1" t="s">
        <v>53</v>
      </c>
      <c r="AH1783" s="1" t="s">
        <v>49</v>
      </c>
      <c r="AI1783" s="1" t="s">
        <v>54</v>
      </c>
      <c r="AJ1783" s="1">
        <v>1</v>
      </c>
      <c r="AK1783" s="1" t="str">
        <f t="shared" si="27"/>
        <v xml:space="preserve"> =&lt;90</v>
      </c>
      <c r="AL1783" s="1" t="str">
        <f>VLOOKUP(C:C,[1]基础信息!B$1:D$65536,3,0)</f>
        <v>Hotcup</v>
      </c>
      <c r="AM1783" s="1" t="str">
        <f>VLOOKUP(C:C,[1]基础信息!B$1:E$65536,4,0)</f>
        <v>Hotcup</v>
      </c>
      <c r="AN1783" s="1" t="str">
        <f>VLOOKUP(C:C,[1]基础信息!B$1:F$65536,5,0)</f>
        <v xml:space="preserve"> Whi</v>
      </c>
    </row>
    <row r="1784" spans="1:40">
      <c r="A1784" s="1" t="s">
        <v>41</v>
      </c>
      <c r="B1784" s="1" t="s">
        <v>42</v>
      </c>
      <c r="C1784" s="1" t="s">
        <v>285</v>
      </c>
      <c r="D1784" s="1" t="s">
        <v>286</v>
      </c>
      <c r="E1784" s="1" t="s">
        <v>45</v>
      </c>
      <c r="F1784" s="1" t="s">
        <v>2547</v>
      </c>
      <c r="G1784" s="1" t="s">
        <v>4143</v>
      </c>
      <c r="H1784" s="1" t="s">
        <v>4144</v>
      </c>
      <c r="I1784" s="1" t="s">
        <v>49</v>
      </c>
      <c r="J1784" s="1" t="s">
        <v>48</v>
      </c>
      <c r="K1784" s="1">
        <v>70</v>
      </c>
      <c r="L1784" s="1">
        <v>0</v>
      </c>
      <c r="M1784" s="1">
        <v>0</v>
      </c>
      <c r="N1784" s="1">
        <v>70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 t="s">
        <v>49</v>
      </c>
      <c r="AA1784" s="1" t="s">
        <v>49</v>
      </c>
      <c r="AB1784" s="1" t="s">
        <v>49</v>
      </c>
      <c r="AC1784" s="1" t="s">
        <v>1551</v>
      </c>
      <c r="AD1784" s="1" t="s">
        <v>1552</v>
      </c>
      <c r="AE1784" s="1" t="s">
        <v>1551</v>
      </c>
      <c r="AF1784" s="1" t="s">
        <v>2550</v>
      </c>
      <c r="AG1784" s="1" t="s">
        <v>53</v>
      </c>
      <c r="AH1784" s="1" t="s">
        <v>49</v>
      </c>
      <c r="AI1784" s="1" t="s">
        <v>54</v>
      </c>
      <c r="AJ1784" s="1">
        <v>1</v>
      </c>
      <c r="AK1784" s="1" t="str">
        <f t="shared" si="27"/>
        <v xml:space="preserve"> =&lt;90</v>
      </c>
      <c r="AL1784" s="1" t="str">
        <f>VLOOKUP(C:C,[1]基础信息!B$1:D$65536,3,0)</f>
        <v>Jug</v>
      </c>
      <c r="AM1784" s="1" t="str">
        <f>VLOOKUP(C:C,[1]基础信息!B$1:E$65536,4,0)</f>
        <v>Marella XL</v>
      </c>
      <c r="AN1784" s="1" t="str">
        <f>VLOOKUP(C:C,[1]基础信息!B$1:F$65536,5,0)</f>
        <v>Blue</v>
      </c>
    </row>
    <row r="1785" spans="1:40">
      <c r="A1785" s="1" t="s">
        <v>41</v>
      </c>
      <c r="B1785" s="1" t="s">
        <v>42</v>
      </c>
      <c r="C1785" s="1" t="s">
        <v>1710</v>
      </c>
      <c r="D1785" s="1" t="s">
        <v>1711</v>
      </c>
      <c r="E1785" s="1" t="s">
        <v>45</v>
      </c>
      <c r="F1785" s="1" t="s">
        <v>2590</v>
      </c>
      <c r="G1785" s="1" t="s">
        <v>4145</v>
      </c>
      <c r="H1785" s="1" t="s">
        <v>4146</v>
      </c>
      <c r="I1785" s="1" t="s">
        <v>49</v>
      </c>
      <c r="J1785" s="1" t="s">
        <v>48</v>
      </c>
      <c r="K1785" s="1">
        <v>60</v>
      </c>
      <c r="L1785" s="1">
        <v>0</v>
      </c>
      <c r="M1785" s="1">
        <v>0</v>
      </c>
      <c r="N1785" s="1">
        <v>60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 t="s">
        <v>49</v>
      </c>
      <c r="AA1785" s="1" t="s">
        <v>49</v>
      </c>
      <c r="AB1785" s="1" t="s">
        <v>49</v>
      </c>
      <c r="AC1785" s="1" t="s">
        <v>1008</v>
      </c>
      <c r="AD1785" s="1" t="s">
        <v>1009</v>
      </c>
      <c r="AE1785" s="1" t="s">
        <v>1008</v>
      </c>
      <c r="AF1785" s="1" t="s">
        <v>2593</v>
      </c>
      <c r="AG1785" s="1" t="s">
        <v>53</v>
      </c>
      <c r="AH1785" s="1" t="s">
        <v>49</v>
      </c>
      <c r="AI1785" s="1" t="s">
        <v>54</v>
      </c>
      <c r="AJ1785" s="1">
        <v>1</v>
      </c>
      <c r="AK1785" s="1" t="str">
        <f t="shared" si="27"/>
        <v xml:space="preserve"> =&lt;90</v>
      </c>
      <c r="AL1785" s="1" t="str">
        <f>VLOOKUP(C:C,[1]基础信息!B$1:D$65536,3,0)</f>
        <v>Jug</v>
      </c>
      <c r="AM1785" s="1" t="str">
        <f>VLOOKUP(C:C,[1]基础信息!B$1:E$65536,4,0)</f>
        <v>Kalea XL ME4W</v>
      </c>
      <c r="AN1785" s="1" t="str">
        <f>VLOOKUP(C:C,[1]基础信息!B$1:F$65536,5,0)</f>
        <v>grey</v>
      </c>
    </row>
    <row r="1786" spans="1:40">
      <c r="A1786" s="1" t="s">
        <v>41</v>
      </c>
      <c r="B1786" s="1" t="s">
        <v>42</v>
      </c>
      <c r="C1786" s="1" t="s">
        <v>1710</v>
      </c>
      <c r="D1786" s="1" t="s">
        <v>1711</v>
      </c>
      <c r="E1786" s="1" t="s">
        <v>45</v>
      </c>
      <c r="F1786" s="1" t="s">
        <v>2590</v>
      </c>
      <c r="G1786" s="1" t="s">
        <v>4147</v>
      </c>
      <c r="H1786" s="1" t="s">
        <v>4148</v>
      </c>
      <c r="I1786" s="1" t="s">
        <v>49</v>
      </c>
      <c r="J1786" s="1" t="s">
        <v>48</v>
      </c>
      <c r="K1786" s="1">
        <v>60</v>
      </c>
      <c r="L1786" s="1">
        <v>0</v>
      </c>
      <c r="M1786" s="1">
        <v>0</v>
      </c>
      <c r="N1786" s="1">
        <v>60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 t="s">
        <v>49</v>
      </c>
      <c r="AA1786" s="1" t="s">
        <v>49</v>
      </c>
      <c r="AB1786" s="1" t="s">
        <v>49</v>
      </c>
      <c r="AC1786" s="1" t="s">
        <v>1008</v>
      </c>
      <c r="AD1786" s="1" t="s">
        <v>1009</v>
      </c>
      <c r="AE1786" s="1" t="s">
        <v>1008</v>
      </c>
      <c r="AF1786" s="1" t="s">
        <v>2593</v>
      </c>
      <c r="AG1786" s="1" t="s">
        <v>53</v>
      </c>
      <c r="AH1786" s="1" t="s">
        <v>49</v>
      </c>
      <c r="AI1786" s="1" t="s">
        <v>54</v>
      </c>
      <c r="AJ1786" s="1">
        <v>1</v>
      </c>
      <c r="AK1786" s="1" t="str">
        <f t="shared" si="27"/>
        <v xml:space="preserve"> =&lt;90</v>
      </c>
      <c r="AL1786" s="1" t="str">
        <f>VLOOKUP(C:C,[1]基础信息!B$1:D$65536,3,0)</f>
        <v>Jug</v>
      </c>
      <c r="AM1786" s="1" t="str">
        <f>VLOOKUP(C:C,[1]基础信息!B$1:E$65536,4,0)</f>
        <v>Kalea XL ME4W</v>
      </c>
      <c r="AN1786" s="1" t="str">
        <f>VLOOKUP(C:C,[1]基础信息!B$1:F$65536,5,0)</f>
        <v>grey</v>
      </c>
    </row>
    <row r="1787" spans="1:40">
      <c r="A1787" s="1" t="s">
        <v>41</v>
      </c>
      <c r="B1787" s="1" t="s">
        <v>42</v>
      </c>
      <c r="C1787" s="1" t="s">
        <v>1710</v>
      </c>
      <c r="D1787" s="1" t="s">
        <v>1711</v>
      </c>
      <c r="E1787" s="1" t="s">
        <v>45</v>
      </c>
      <c r="F1787" s="1" t="s">
        <v>2590</v>
      </c>
      <c r="G1787" s="1" t="s">
        <v>4149</v>
      </c>
      <c r="H1787" s="1" t="s">
        <v>4150</v>
      </c>
      <c r="I1787" s="1" t="s">
        <v>49</v>
      </c>
      <c r="J1787" s="1" t="s">
        <v>48</v>
      </c>
      <c r="K1787" s="1">
        <v>60</v>
      </c>
      <c r="L1787" s="1">
        <v>0</v>
      </c>
      <c r="M1787" s="1">
        <v>0</v>
      </c>
      <c r="N1787" s="1">
        <v>60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 t="s">
        <v>49</v>
      </c>
      <c r="AA1787" s="1" t="s">
        <v>49</v>
      </c>
      <c r="AB1787" s="1" t="s">
        <v>49</v>
      </c>
      <c r="AC1787" s="1" t="s">
        <v>1008</v>
      </c>
      <c r="AD1787" s="1" t="s">
        <v>1009</v>
      </c>
      <c r="AE1787" s="1" t="s">
        <v>1008</v>
      </c>
      <c r="AF1787" s="1" t="s">
        <v>2593</v>
      </c>
      <c r="AG1787" s="1" t="s">
        <v>53</v>
      </c>
      <c r="AH1787" s="1" t="s">
        <v>49</v>
      </c>
      <c r="AI1787" s="1" t="s">
        <v>54</v>
      </c>
      <c r="AJ1787" s="1">
        <v>1</v>
      </c>
      <c r="AK1787" s="1" t="str">
        <f t="shared" si="27"/>
        <v xml:space="preserve"> =&lt;90</v>
      </c>
      <c r="AL1787" s="1" t="str">
        <f>VLOOKUP(C:C,[1]基础信息!B$1:D$65536,3,0)</f>
        <v>Jug</v>
      </c>
      <c r="AM1787" s="1" t="str">
        <f>VLOOKUP(C:C,[1]基础信息!B$1:E$65536,4,0)</f>
        <v>Kalea XL ME4W</v>
      </c>
      <c r="AN1787" s="1" t="str">
        <f>VLOOKUP(C:C,[1]基础信息!B$1:F$65536,5,0)</f>
        <v>grey</v>
      </c>
    </row>
    <row r="1788" spans="1:40">
      <c r="A1788" s="1" t="s">
        <v>41</v>
      </c>
      <c r="B1788" s="1" t="s">
        <v>42</v>
      </c>
      <c r="C1788" s="1" t="s">
        <v>68</v>
      </c>
      <c r="D1788" s="1" t="s">
        <v>69</v>
      </c>
      <c r="E1788" s="1" t="s">
        <v>45</v>
      </c>
      <c r="F1788" s="1" t="s">
        <v>4103</v>
      </c>
      <c r="G1788" s="1" t="s">
        <v>4151</v>
      </c>
      <c r="H1788" s="1" t="s">
        <v>4152</v>
      </c>
      <c r="I1788" s="1" t="s">
        <v>49</v>
      </c>
      <c r="J1788" s="1" t="s">
        <v>48</v>
      </c>
      <c r="K1788" s="1">
        <v>36</v>
      </c>
      <c r="L1788" s="1">
        <v>0</v>
      </c>
      <c r="M1788" s="1">
        <v>0</v>
      </c>
      <c r="N1788" s="1">
        <v>36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 t="s">
        <v>49</v>
      </c>
      <c r="AA1788" s="1" t="s">
        <v>49</v>
      </c>
      <c r="AB1788" s="1" t="s">
        <v>49</v>
      </c>
      <c r="AC1788" s="1" t="s">
        <v>4106</v>
      </c>
      <c r="AD1788" s="1" t="s">
        <v>4107</v>
      </c>
      <c r="AE1788" s="1" t="s">
        <v>4108</v>
      </c>
      <c r="AF1788" s="1" t="s">
        <v>3455</v>
      </c>
      <c r="AG1788" s="1" t="s">
        <v>53</v>
      </c>
      <c r="AH1788" s="1" t="s">
        <v>49</v>
      </c>
      <c r="AI1788" s="1" t="s">
        <v>54</v>
      </c>
      <c r="AJ1788" s="1">
        <v>1</v>
      </c>
      <c r="AK1788" s="1" t="str">
        <f t="shared" si="27"/>
        <v xml:space="preserve"> =&lt;90</v>
      </c>
      <c r="AL1788" s="1" t="str">
        <f>VLOOKUP(C:C,[1]基础信息!B$1:D$65536,3,0)</f>
        <v>Hotcup</v>
      </c>
      <c r="AM1788" s="1" t="str">
        <f>VLOOKUP(C:C,[1]基础信息!B$1:E$65536,4,0)</f>
        <v>Hotcup</v>
      </c>
      <c r="AN1788" s="1" t="str">
        <f>VLOOKUP(C:C,[1]基础信息!B$1:F$65536,5,0)</f>
        <v xml:space="preserve"> Whi</v>
      </c>
    </row>
    <row r="1789" spans="1:40">
      <c r="A1789" s="1" t="s">
        <v>41</v>
      </c>
      <c r="B1789" s="1" t="s">
        <v>42</v>
      </c>
      <c r="C1789" s="1" t="s">
        <v>68</v>
      </c>
      <c r="D1789" s="1" t="s">
        <v>69</v>
      </c>
      <c r="E1789" s="1" t="s">
        <v>45</v>
      </c>
      <c r="F1789" s="1" t="s">
        <v>4103</v>
      </c>
      <c r="G1789" s="1" t="s">
        <v>4153</v>
      </c>
      <c r="H1789" s="1" t="s">
        <v>4154</v>
      </c>
      <c r="I1789" s="1" t="s">
        <v>49</v>
      </c>
      <c r="J1789" s="1" t="s">
        <v>48</v>
      </c>
      <c r="K1789" s="1">
        <v>36</v>
      </c>
      <c r="L1789" s="1">
        <v>0</v>
      </c>
      <c r="M1789" s="1">
        <v>0</v>
      </c>
      <c r="N1789" s="1">
        <v>36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 t="s">
        <v>49</v>
      </c>
      <c r="AA1789" s="1" t="s">
        <v>49</v>
      </c>
      <c r="AB1789" s="1" t="s">
        <v>49</v>
      </c>
      <c r="AC1789" s="1" t="s">
        <v>4106</v>
      </c>
      <c r="AD1789" s="1" t="s">
        <v>4107</v>
      </c>
      <c r="AE1789" s="1" t="s">
        <v>4108</v>
      </c>
      <c r="AF1789" s="1" t="s">
        <v>3455</v>
      </c>
      <c r="AG1789" s="1" t="s">
        <v>53</v>
      </c>
      <c r="AH1789" s="1" t="s">
        <v>49</v>
      </c>
      <c r="AI1789" s="1" t="s">
        <v>54</v>
      </c>
      <c r="AJ1789" s="1">
        <v>1</v>
      </c>
      <c r="AK1789" s="1" t="str">
        <f t="shared" si="27"/>
        <v xml:space="preserve"> =&lt;90</v>
      </c>
      <c r="AL1789" s="1" t="str">
        <f>VLOOKUP(C:C,[1]基础信息!B$1:D$65536,3,0)</f>
        <v>Hotcup</v>
      </c>
      <c r="AM1789" s="1" t="str">
        <f>VLOOKUP(C:C,[1]基础信息!B$1:E$65536,4,0)</f>
        <v>Hotcup</v>
      </c>
      <c r="AN1789" s="1" t="str">
        <f>VLOOKUP(C:C,[1]基础信息!B$1:F$65536,5,0)</f>
        <v xml:space="preserve"> Whi</v>
      </c>
    </row>
    <row r="1790" spans="1:40">
      <c r="A1790" s="1" t="s">
        <v>41</v>
      </c>
      <c r="B1790" s="1" t="s">
        <v>42</v>
      </c>
      <c r="C1790" s="1" t="s">
        <v>68</v>
      </c>
      <c r="D1790" s="1" t="s">
        <v>69</v>
      </c>
      <c r="E1790" s="1" t="s">
        <v>45</v>
      </c>
      <c r="F1790" s="1" t="s">
        <v>4103</v>
      </c>
      <c r="G1790" s="1" t="s">
        <v>4155</v>
      </c>
      <c r="H1790" s="1" t="s">
        <v>4156</v>
      </c>
      <c r="I1790" s="1" t="s">
        <v>49</v>
      </c>
      <c r="J1790" s="1" t="s">
        <v>48</v>
      </c>
      <c r="K1790" s="1">
        <v>36</v>
      </c>
      <c r="L1790" s="1">
        <v>0</v>
      </c>
      <c r="M1790" s="1">
        <v>0</v>
      </c>
      <c r="N1790" s="1">
        <v>36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 t="s">
        <v>49</v>
      </c>
      <c r="AA1790" s="1" t="s">
        <v>49</v>
      </c>
      <c r="AB1790" s="1" t="s">
        <v>49</v>
      </c>
      <c r="AC1790" s="1" t="s">
        <v>4106</v>
      </c>
      <c r="AD1790" s="1" t="s">
        <v>4107</v>
      </c>
      <c r="AE1790" s="1" t="s">
        <v>4108</v>
      </c>
      <c r="AF1790" s="1" t="s">
        <v>3455</v>
      </c>
      <c r="AG1790" s="1" t="s">
        <v>53</v>
      </c>
      <c r="AH1790" s="1" t="s">
        <v>49</v>
      </c>
      <c r="AI1790" s="1" t="s">
        <v>54</v>
      </c>
      <c r="AJ1790" s="1">
        <v>1</v>
      </c>
      <c r="AK1790" s="1" t="str">
        <f t="shared" si="27"/>
        <v xml:space="preserve"> =&lt;90</v>
      </c>
      <c r="AL1790" s="1" t="str">
        <f>VLOOKUP(C:C,[1]基础信息!B$1:D$65536,3,0)</f>
        <v>Hotcup</v>
      </c>
      <c r="AM1790" s="1" t="str">
        <f>VLOOKUP(C:C,[1]基础信息!B$1:E$65536,4,0)</f>
        <v>Hotcup</v>
      </c>
      <c r="AN1790" s="1" t="str">
        <f>VLOOKUP(C:C,[1]基础信息!B$1:F$65536,5,0)</f>
        <v xml:space="preserve"> Whi</v>
      </c>
    </row>
    <row r="1791" spans="1:40">
      <c r="A1791" s="1" t="s">
        <v>41</v>
      </c>
      <c r="B1791" s="1" t="s">
        <v>42</v>
      </c>
      <c r="C1791" s="1" t="s">
        <v>68</v>
      </c>
      <c r="D1791" s="1" t="s">
        <v>69</v>
      </c>
      <c r="E1791" s="1" t="s">
        <v>45</v>
      </c>
      <c r="F1791" s="1" t="s">
        <v>4103</v>
      </c>
      <c r="G1791" s="1" t="s">
        <v>4157</v>
      </c>
      <c r="H1791" s="1" t="s">
        <v>4158</v>
      </c>
      <c r="I1791" s="1" t="s">
        <v>49</v>
      </c>
      <c r="J1791" s="1" t="s">
        <v>48</v>
      </c>
      <c r="K1791" s="1">
        <v>36</v>
      </c>
      <c r="L1791" s="1">
        <v>0</v>
      </c>
      <c r="M1791" s="1">
        <v>0</v>
      </c>
      <c r="N1791" s="1">
        <v>36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 t="s">
        <v>49</v>
      </c>
      <c r="AA1791" s="1" t="s">
        <v>49</v>
      </c>
      <c r="AB1791" s="1" t="s">
        <v>49</v>
      </c>
      <c r="AC1791" s="1" t="s">
        <v>4106</v>
      </c>
      <c r="AD1791" s="1" t="s">
        <v>4107</v>
      </c>
      <c r="AE1791" s="1" t="s">
        <v>4108</v>
      </c>
      <c r="AF1791" s="1" t="s">
        <v>3455</v>
      </c>
      <c r="AG1791" s="1" t="s">
        <v>53</v>
      </c>
      <c r="AH1791" s="1" t="s">
        <v>49</v>
      </c>
      <c r="AI1791" s="1" t="s">
        <v>54</v>
      </c>
      <c r="AJ1791" s="1">
        <v>1</v>
      </c>
      <c r="AK1791" s="1" t="str">
        <f t="shared" si="27"/>
        <v xml:space="preserve"> =&lt;90</v>
      </c>
      <c r="AL1791" s="1" t="str">
        <f>VLOOKUP(C:C,[1]基础信息!B$1:D$65536,3,0)</f>
        <v>Hotcup</v>
      </c>
      <c r="AM1791" s="1" t="str">
        <f>VLOOKUP(C:C,[1]基础信息!B$1:E$65536,4,0)</f>
        <v>Hotcup</v>
      </c>
      <c r="AN1791" s="1" t="str">
        <f>VLOOKUP(C:C,[1]基础信息!B$1:F$65536,5,0)</f>
        <v xml:space="preserve"> Whi</v>
      </c>
    </row>
    <row r="1792" spans="1:40">
      <c r="A1792" s="1" t="s">
        <v>41</v>
      </c>
      <c r="B1792" s="1" t="s">
        <v>42</v>
      </c>
      <c r="C1792" s="1" t="s">
        <v>68</v>
      </c>
      <c r="D1792" s="1" t="s">
        <v>69</v>
      </c>
      <c r="E1792" s="1" t="s">
        <v>45</v>
      </c>
      <c r="F1792" s="1" t="s">
        <v>4103</v>
      </c>
      <c r="G1792" s="1" t="s">
        <v>4159</v>
      </c>
      <c r="H1792" s="1" t="s">
        <v>4160</v>
      </c>
      <c r="I1792" s="1" t="s">
        <v>49</v>
      </c>
      <c r="J1792" s="1" t="s">
        <v>48</v>
      </c>
      <c r="K1792" s="1">
        <v>36</v>
      </c>
      <c r="L1792" s="1">
        <v>0</v>
      </c>
      <c r="M1792" s="1">
        <v>0</v>
      </c>
      <c r="N1792" s="1">
        <v>36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 t="s">
        <v>49</v>
      </c>
      <c r="AA1792" s="1" t="s">
        <v>49</v>
      </c>
      <c r="AB1792" s="1" t="s">
        <v>49</v>
      </c>
      <c r="AC1792" s="1" t="s">
        <v>4106</v>
      </c>
      <c r="AD1792" s="1" t="s">
        <v>4107</v>
      </c>
      <c r="AE1792" s="1" t="s">
        <v>4108</v>
      </c>
      <c r="AF1792" s="1" t="s">
        <v>3455</v>
      </c>
      <c r="AG1792" s="1" t="s">
        <v>53</v>
      </c>
      <c r="AH1792" s="1" t="s">
        <v>49</v>
      </c>
      <c r="AI1792" s="1" t="s">
        <v>54</v>
      </c>
      <c r="AJ1792" s="1">
        <v>1</v>
      </c>
      <c r="AK1792" s="1" t="str">
        <f t="shared" si="27"/>
        <v xml:space="preserve"> =&lt;90</v>
      </c>
      <c r="AL1792" s="1" t="str">
        <f>VLOOKUP(C:C,[1]基础信息!B$1:D$65536,3,0)</f>
        <v>Hotcup</v>
      </c>
      <c r="AM1792" s="1" t="str">
        <f>VLOOKUP(C:C,[1]基础信息!B$1:E$65536,4,0)</f>
        <v>Hotcup</v>
      </c>
      <c r="AN1792" s="1" t="str">
        <f>VLOOKUP(C:C,[1]基础信息!B$1:F$65536,5,0)</f>
        <v xml:space="preserve"> Whi</v>
      </c>
    </row>
    <row r="1793" spans="1:40">
      <c r="A1793" s="1" t="s">
        <v>41</v>
      </c>
      <c r="B1793" s="1" t="s">
        <v>42</v>
      </c>
      <c r="C1793" s="1" t="s">
        <v>1710</v>
      </c>
      <c r="D1793" s="1" t="s">
        <v>1711</v>
      </c>
      <c r="E1793" s="1" t="s">
        <v>45</v>
      </c>
      <c r="F1793" s="1" t="s">
        <v>2590</v>
      </c>
      <c r="G1793" s="1" t="s">
        <v>4161</v>
      </c>
      <c r="H1793" s="1" t="s">
        <v>4162</v>
      </c>
      <c r="I1793" s="1" t="s">
        <v>49</v>
      </c>
      <c r="J1793" s="1" t="s">
        <v>48</v>
      </c>
      <c r="K1793" s="1">
        <v>60</v>
      </c>
      <c r="L1793" s="1">
        <v>0</v>
      </c>
      <c r="M1793" s="1">
        <v>0</v>
      </c>
      <c r="N1793" s="1">
        <v>60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 t="s">
        <v>49</v>
      </c>
      <c r="AA1793" s="1" t="s">
        <v>49</v>
      </c>
      <c r="AB1793" s="1" t="s">
        <v>49</v>
      </c>
      <c r="AC1793" s="1" t="s">
        <v>1008</v>
      </c>
      <c r="AD1793" s="1" t="s">
        <v>1009</v>
      </c>
      <c r="AE1793" s="1" t="s">
        <v>1008</v>
      </c>
      <c r="AF1793" s="1" t="s">
        <v>2593</v>
      </c>
      <c r="AG1793" s="1" t="s">
        <v>53</v>
      </c>
      <c r="AH1793" s="1" t="s">
        <v>49</v>
      </c>
      <c r="AI1793" s="1" t="s">
        <v>54</v>
      </c>
      <c r="AJ1793" s="1">
        <v>1</v>
      </c>
      <c r="AK1793" s="1" t="str">
        <f t="shared" si="27"/>
        <v xml:space="preserve"> =&lt;90</v>
      </c>
      <c r="AL1793" s="1" t="str">
        <f>VLOOKUP(C:C,[1]基础信息!B$1:D$65536,3,0)</f>
        <v>Jug</v>
      </c>
      <c r="AM1793" s="1" t="str">
        <f>VLOOKUP(C:C,[1]基础信息!B$1:E$65536,4,0)</f>
        <v>Kalea XL ME4W</v>
      </c>
      <c r="AN1793" s="1" t="str">
        <f>VLOOKUP(C:C,[1]基础信息!B$1:F$65536,5,0)</f>
        <v>grey</v>
      </c>
    </row>
    <row r="1794" spans="1:40">
      <c r="A1794" s="1" t="s">
        <v>41</v>
      </c>
      <c r="B1794" s="1" t="s">
        <v>42</v>
      </c>
      <c r="C1794" s="1" t="s">
        <v>1710</v>
      </c>
      <c r="D1794" s="1" t="s">
        <v>1711</v>
      </c>
      <c r="E1794" s="1" t="s">
        <v>45</v>
      </c>
      <c r="F1794" s="1" t="s">
        <v>2590</v>
      </c>
      <c r="G1794" s="1" t="s">
        <v>4163</v>
      </c>
      <c r="H1794" s="1" t="s">
        <v>4164</v>
      </c>
      <c r="I1794" s="1" t="s">
        <v>49</v>
      </c>
      <c r="J1794" s="1" t="s">
        <v>48</v>
      </c>
      <c r="K1794" s="1">
        <v>40</v>
      </c>
      <c r="L1794" s="1">
        <v>0</v>
      </c>
      <c r="M1794" s="1">
        <v>0</v>
      </c>
      <c r="N1794" s="1">
        <v>40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 t="s">
        <v>49</v>
      </c>
      <c r="AA1794" s="1" t="s">
        <v>49</v>
      </c>
      <c r="AB1794" s="1" t="s">
        <v>49</v>
      </c>
      <c r="AC1794" s="1" t="s">
        <v>1008</v>
      </c>
      <c r="AD1794" s="1" t="s">
        <v>1009</v>
      </c>
      <c r="AE1794" s="1" t="s">
        <v>1008</v>
      </c>
      <c r="AF1794" s="1" t="s">
        <v>2593</v>
      </c>
      <c r="AG1794" s="1" t="s">
        <v>53</v>
      </c>
      <c r="AH1794" s="1" t="s">
        <v>49</v>
      </c>
      <c r="AI1794" s="1" t="s">
        <v>54</v>
      </c>
      <c r="AJ1794" s="1">
        <v>1</v>
      </c>
      <c r="AK1794" s="1" t="str">
        <f t="shared" ref="AK1794:AK1857" si="28">IF(AJ1794&gt;$AP$2,$AQ$2,IF(AJ1794&gt;$AP$3,$AQ$3,IF(AJ1794&gt;$AP$4,$AQ$4,$AQ$5)))</f>
        <v xml:space="preserve"> =&lt;90</v>
      </c>
      <c r="AL1794" s="1" t="str">
        <f>VLOOKUP(C:C,[1]基础信息!B$1:D$65536,3,0)</f>
        <v>Jug</v>
      </c>
      <c r="AM1794" s="1" t="str">
        <f>VLOOKUP(C:C,[1]基础信息!B$1:E$65536,4,0)</f>
        <v>Kalea XL ME4W</v>
      </c>
      <c r="AN1794" s="1" t="str">
        <f>VLOOKUP(C:C,[1]基础信息!B$1:F$65536,5,0)</f>
        <v>grey</v>
      </c>
    </row>
    <row r="1795" spans="1:40">
      <c r="A1795" s="1" t="s">
        <v>41</v>
      </c>
      <c r="B1795" s="1" t="s">
        <v>42</v>
      </c>
      <c r="C1795" s="1" t="s">
        <v>285</v>
      </c>
      <c r="D1795" s="1" t="s">
        <v>286</v>
      </c>
      <c r="E1795" s="1" t="s">
        <v>45</v>
      </c>
      <c r="F1795" s="1" t="s">
        <v>4165</v>
      </c>
      <c r="G1795" s="1" t="s">
        <v>4166</v>
      </c>
      <c r="H1795" s="1" t="s">
        <v>4167</v>
      </c>
      <c r="I1795" s="1" t="s">
        <v>45</v>
      </c>
      <c r="J1795" s="1" t="s">
        <v>48</v>
      </c>
      <c r="K1795" s="1">
        <v>70</v>
      </c>
      <c r="L1795" s="1">
        <v>0</v>
      </c>
      <c r="M1795" s="1">
        <v>0</v>
      </c>
      <c r="N1795" s="1">
        <v>70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 t="s">
        <v>49</v>
      </c>
      <c r="AA1795" s="1" t="s">
        <v>49</v>
      </c>
      <c r="AB1795" s="1" t="s">
        <v>49</v>
      </c>
      <c r="AC1795" s="1" t="s">
        <v>1008</v>
      </c>
      <c r="AD1795" s="1" t="s">
        <v>1009</v>
      </c>
      <c r="AE1795" s="1" t="s">
        <v>1008</v>
      </c>
      <c r="AF1795" s="1" t="s">
        <v>2550</v>
      </c>
      <c r="AG1795" s="1" t="s">
        <v>53</v>
      </c>
      <c r="AH1795" s="1" t="s">
        <v>49</v>
      </c>
      <c r="AI1795" s="1" t="s">
        <v>54</v>
      </c>
      <c r="AJ1795" s="1">
        <v>1</v>
      </c>
      <c r="AK1795" s="1" t="str">
        <f t="shared" si="28"/>
        <v xml:space="preserve"> =&lt;90</v>
      </c>
      <c r="AL1795" s="1" t="str">
        <f>VLOOKUP(C:C,[1]基础信息!B$1:D$65536,3,0)</f>
        <v>Jug</v>
      </c>
      <c r="AM1795" s="1" t="str">
        <f>VLOOKUP(C:C,[1]基础信息!B$1:E$65536,4,0)</f>
        <v>Marella XL</v>
      </c>
      <c r="AN1795" s="1" t="str">
        <f>VLOOKUP(C:C,[1]基础信息!B$1:F$65536,5,0)</f>
        <v>Blue</v>
      </c>
    </row>
    <row r="1796" spans="1:40">
      <c r="A1796" s="1" t="s">
        <v>41</v>
      </c>
      <c r="B1796" s="1" t="s">
        <v>42</v>
      </c>
      <c r="C1796" s="1" t="s">
        <v>68</v>
      </c>
      <c r="D1796" s="1" t="s">
        <v>69</v>
      </c>
      <c r="E1796" s="1" t="s">
        <v>45</v>
      </c>
      <c r="F1796" s="1" t="s">
        <v>4103</v>
      </c>
      <c r="G1796" s="1" t="s">
        <v>4168</v>
      </c>
      <c r="H1796" s="1" t="s">
        <v>4169</v>
      </c>
      <c r="I1796" s="1" t="s">
        <v>49</v>
      </c>
      <c r="J1796" s="1" t="s">
        <v>48</v>
      </c>
      <c r="K1796" s="1">
        <v>36</v>
      </c>
      <c r="L1796" s="1">
        <v>0</v>
      </c>
      <c r="M1796" s="1">
        <v>0</v>
      </c>
      <c r="N1796" s="1">
        <v>36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 t="s">
        <v>49</v>
      </c>
      <c r="AA1796" s="1" t="s">
        <v>49</v>
      </c>
      <c r="AB1796" s="1" t="s">
        <v>49</v>
      </c>
      <c r="AC1796" s="1" t="s">
        <v>4106</v>
      </c>
      <c r="AD1796" s="1" t="s">
        <v>4107</v>
      </c>
      <c r="AE1796" s="1" t="s">
        <v>4108</v>
      </c>
      <c r="AF1796" s="1" t="s">
        <v>3455</v>
      </c>
      <c r="AG1796" s="1" t="s">
        <v>53</v>
      </c>
      <c r="AH1796" s="1" t="s">
        <v>49</v>
      </c>
      <c r="AI1796" s="1" t="s">
        <v>54</v>
      </c>
      <c r="AJ1796" s="1">
        <v>1</v>
      </c>
      <c r="AK1796" s="1" t="str">
        <f t="shared" si="28"/>
        <v xml:space="preserve"> =&lt;90</v>
      </c>
      <c r="AL1796" s="1" t="str">
        <f>VLOOKUP(C:C,[1]基础信息!B$1:D$65536,3,0)</f>
        <v>Hotcup</v>
      </c>
      <c r="AM1796" s="1" t="str">
        <f>VLOOKUP(C:C,[1]基础信息!B$1:E$65536,4,0)</f>
        <v>Hotcup</v>
      </c>
      <c r="AN1796" s="1" t="str">
        <f>VLOOKUP(C:C,[1]基础信息!B$1:F$65536,5,0)</f>
        <v xml:space="preserve"> Whi</v>
      </c>
    </row>
    <row r="1797" spans="1:40">
      <c r="A1797" s="1" t="s">
        <v>41</v>
      </c>
      <c r="B1797" s="1" t="s">
        <v>42</v>
      </c>
      <c r="C1797" s="1" t="s">
        <v>285</v>
      </c>
      <c r="D1797" s="1" t="s">
        <v>286</v>
      </c>
      <c r="E1797" s="1" t="s">
        <v>45</v>
      </c>
      <c r="F1797" s="1" t="s">
        <v>4165</v>
      </c>
      <c r="G1797" s="1" t="s">
        <v>4170</v>
      </c>
      <c r="H1797" s="1" t="s">
        <v>4171</v>
      </c>
      <c r="I1797" s="1" t="s">
        <v>45</v>
      </c>
      <c r="J1797" s="1" t="s">
        <v>48</v>
      </c>
      <c r="K1797" s="1">
        <v>70</v>
      </c>
      <c r="L1797" s="1">
        <v>0</v>
      </c>
      <c r="M1797" s="1">
        <v>0</v>
      </c>
      <c r="N1797" s="1">
        <v>70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 t="s">
        <v>49</v>
      </c>
      <c r="AA1797" s="1" t="s">
        <v>49</v>
      </c>
      <c r="AB1797" s="1" t="s">
        <v>49</v>
      </c>
      <c r="AC1797" s="1" t="s">
        <v>1008</v>
      </c>
      <c r="AD1797" s="1" t="s">
        <v>1009</v>
      </c>
      <c r="AE1797" s="1" t="s">
        <v>1008</v>
      </c>
      <c r="AF1797" s="1" t="s">
        <v>2550</v>
      </c>
      <c r="AG1797" s="1" t="s">
        <v>53</v>
      </c>
      <c r="AH1797" s="1" t="s">
        <v>49</v>
      </c>
      <c r="AI1797" s="1" t="s">
        <v>54</v>
      </c>
      <c r="AJ1797" s="1">
        <v>1</v>
      </c>
      <c r="AK1797" s="1" t="str">
        <f t="shared" si="28"/>
        <v xml:space="preserve"> =&lt;90</v>
      </c>
      <c r="AL1797" s="1" t="str">
        <f>VLOOKUP(C:C,[1]基础信息!B$1:D$65536,3,0)</f>
        <v>Jug</v>
      </c>
      <c r="AM1797" s="1" t="str">
        <f>VLOOKUP(C:C,[1]基础信息!B$1:E$65536,4,0)</f>
        <v>Marella XL</v>
      </c>
      <c r="AN1797" s="1" t="str">
        <f>VLOOKUP(C:C,[1]基础信息!B$1:F$65536,5,0)</f>
        <v>Blue</v>
      </c>
    </row>
    <row r="1798" spans="1:40">
      <c r="A1798" s="1" t="s">
        <v>41</v>
      </c>
      <c r="B1798" s="1" t="s">
        <v>42</v>
      </c>
      <c r="C1798" s="1" t="s">
        <v>285</v>
      </c>
      <c r="D1798" s="1" t="s">
        <v>286</v>
      </c>
      <c r="E1798" s="1" t="s">
        <v>45</v>
      </c>
      <c r="F1798" s="1" t="s">
        <v>4172</v>
      </c>
      <c r="G1798" s="1" t="s">
        <v>4173</v>
      </c>
      <c r="H1798" s="1" t="s">
        <v>45</v>
      </c>
      <c r="I1798" s="1" t="s">
        <v>45</v>
      </c>
      <c r="J1798" s="1" t="s">
        <v>48</v>
      </c>
      <c r="K1798" s="1">
        <v>70</v>
      </c>
      <c r="L1798" s="1">
        <v>0</v>
      </c>
      <c r="M1798" s="1">
        <v>0</v>
      </c>
      <c r="N1798" s="1">
        <v>70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 t="s">
        <v>49</v>
      </c>
      <c r="AA1798" s="1" t="s">
        <v>49</v>
      </c>
      <c r="AB1798" s="1" t="s">
        <v>49</v>
      </c>
      <c r="AC1798" s="1" t="s">
        <v>1008</v>
      </c>
      <c r="AD1798" s="1" t="s">
        <v>1009</v>
      </c>
      <c r="AE1798" s="1" t="s">
        <v>1008</v>
      </c>
      <c r="AF1798" s="1" t="s">
        <v>1553</v>
      </c>
      <c r="AG1798" s="1" t="s">
        <v>53</v>
      </c>
      <c r="AH1798" s="1" t="s">
        <v>49</v>
      </c>
      <c r="AI1798" s="1" t="s">
        <v>54</v>
      </c>
      <c r="AJ1798" s="1">
        <v>1</v>
      </c>
      <c r="AK1798" s="1" t="str">
        <f t="shared" si="28"/>
        <v xml:space="preserve"> =&lt;90</v>
      </c>
      <c r="AL1798" s="1" t="str">
        <f>VLOOKUP(C:C,[1]基础信息!B$1:D$65536,3,0)</f>
        <v>Jug</v>
      </c>
      <c r="AM1798" s="1" t="str">
        <f>VLOOKUP(C:C,[1]基础信息!B$1:E$65536,4,0)</f>
        <v>Marella XL</v>
      </c>
      <c r="AN1798" s="1" t="str">
        <f>VLOOKUP(C:C,[1]基础信息!B$1:F$65536,5,0)</f>
        <v>Blue</v>
      </c>
    </row>
    <row r="1799" spans="1:40">
      <c r="A1799" s="1" t="s">
        <v>41</v>
      </c>
      <c r="B1799" s="1" t="s">
        <v>42</v>
      </c>
      <c r="C1799" s="1" t="s">
        <v>285</v>
      </c>
      <c r="D1799" s="1" t="s">
        <v>286</v>
      </c>
      <c r="E1799" s="1" t="s">
        <v>45</v>
      </c>
      <c r="F1799" s="1" t="s">
        <v>4172</v>
      </c>
      <c r="G1799" s="1" t="s">
        <v>4174</v>
      </c>
      <c r="H1799" s="1" t="s">
        <v>45</v>
      </c>
      <c r="I1799" s="1" t="s">
        <v>45</v>
      </c>
      <c r="J1799" s="1" t="s">
        <v>48</v>
      </c>
      <c r="K1799" s="1">
        <v>70</v>
      </c>
      <c r="L1799" s="1">
        <v>0</v>
      </c>
      <c r="M1799" s="1">
        <v>0</v>
      </c>
      <c r="N1799" s="1">
        <v>70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 t="s">
        <v>49</v>
      </c>
      <c r="AA1799" s="1" t="s">
        <v>49</v>
      </c>
      <c r="AB1799" s="1" t="s">
        <v>49</v>
      </c>
      <c r="AC1799" s="1" t="s">
        <v>1008</v>
      </c>
      <c r="AD1799" s="1" t="s">
        <v>1009</v>
      </c>
      <c r="AE1799" s="1" t="s">
        <v>1008</v>
      </c>
      <c r="AF1799" s="1" t="s">
        <v>1553</v>
      </c>
      <c r="AG1799" s="1" t="s">
        <v>53</v>
      </c>
      <c r="AH1799" s="1" t="s">
        <v>49</v>
      </c>
      <c r="AI1799" s="1" t="s">
        <v>54</v>
      </c>
      <c r="AJ1799" s="1">
        <v>1</v>
      </c>
      <c r="AK1799" s="1" t="str">
        <f t="shared" si="28"/>
        <v xml:space="preserve"> =&lt;90</v>
      </c>
      <c r="AL1799" s="1" t="str">
        <f>VLOOKUP(C:C,[1]基础信息!B$1:D$65536,3,0)</f>
        <v>Jug</v>
      </c>
      <c r="AM1799" s="1" t="str">
        <f>VLOOKUP(C:C,[1]基础信息!B$1:E$65536,4,0)</f>
        <v>Marella XL</v>
      </c>
      <c r="AN1799" s="1" t="str">
        <f>VLOOKUP(C:C,[1]基础信息!B$1:F$65536,5,0)</f>
        <v>Blue</v>
      </c>
    </row>
    <row r="1800" spans="1:40">
      <c r="A1800" s="1" t="s">
        <v>41</v>
      </c>
      <c r="B1800" s="1" t="s">
        <v>42</v>
      </c>
      <c r="C1800" s="1" t="s">
        <v>285</v>
      </c>
      <c r="D1800" s="1" t="s">
        <v>286</v>
      </c>
      <c r="E1800" s="1" t="s">
        <v>45</v>
      </c>
      <c r="F1800" s="1" t="s">
        <v>4172</v>
      </c>
      <c r="G1800" s="1" t="s">
        <v>4175</v>
      </c>
      <c r="H1800" s="1" t="s">
        <v>45</v>
      </c>
      <c r="I1800" s="1" t="s">
        <v>45</v>
      </c>
      <c r="J1800" s="1" t="s">
        <v>48</v>
      </c>
      <c r="K1800" s="1">
        <v>70</v>
      </c>
      <c r="L1800" s="1">
        <v>0</v>
      </c>
      <c r="M1800" s="1">
        <v>0</v>
      </c>
      <c r="N1800" s="1">
        <v>70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 t="s">
        <v>49</v>
      </c>
      <c r="AA1800" s="1" t="s">
        <v>49</v>
      </c>
      <c r="AB1800" s="1" t="s">
        <v>49</v>
      </c>
      <c r="AC1800" s="1" t="s">
        <v>1008</v>
      </c>
      <c r="AD1800" s="1" t="s">
        <v>1009</v>
      </c>
      <c r="AE1800" s="1" t="s">
        <v>1008</v>
      </c>
      <c r="AF1800" s="1" t="s">
        <v>1553</v>
      </c>
      <c r="AG1800" s="1" t="s">
        <v>53</v>
      </c>
      <c r="AH1800" s="1" t="s">
        <v>49</v>
      </c>
      <c r="AI1800" s="1" t="s">
        <v>54</v>
      </c>
      <c r="AJ1800" s="1">
        <v>1</v>
      </c>
      <c r="AK1800" s="1" t="str">
        <f t="shared" si="28"/>
        <v xml:space="preserve"> =&lt;90</v>
      </c>
      <c r="AL1800" s="1" t="str">
        <f>VLOOKUP(C:C,[1]基础信息!B$1:D$65536,3,0)</f>
        <v>Jug</v>
      </c>
      <c r="AM1800" s="1" t="str">
        <f>VLOOKUP(C:C,[1]基础信息!B$1:E$65536,4,0)</f>
        <v>Marella XL</v>
      </c>
      <c r="AN1800" s="1" t="str">
        <f>VLOOKUP(C:C,[1]基础信息!B$1:F$65536,5,0)</f>
        <v>Blue</v>
      </c>
    </row>
    <row r="1801" spans="1:40">
      <c r="A1801" s="1" t="s">
        <v>41</v>
      </c>
      <c r="B1801" s="1" t="s">
        <v>42</v>
      </c>
      <c r="C1801" s="1" t="s">
        <v>285</v>
      </c>
      <c r="D1801" s="1" t="s">
        <v>286</v>
      </c>
      <c r="E1801" s="1" t="s">
        <v>45</v>
      </c>
      <c r="F1801" s="1" t="s">
        <v>4172</v>
      </c>
      <c r="G1801" s="1" t="s">
        <v>4176</v>
      </c>
      <c r="H1801" s="1" t="s">
        <v>45</v>
      </c>
      <c r="I1801" s="1" t="s">
        <v>45</v>
      </c>
      <c r="J1801" s="1" t="s">
        <v>48</v>
      </c>
      <c r="K1801" s="1">
        <v>70</v>
      </c>
      <c r="L1801" s="1">
        <v>0</v>
      </c>
      <c r="M1801" s="1">
        <v>0</v>
      </c>
      <c r="N1801" s="1">
        <v>70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 t="s">
        <v>49</v>
      </c>
      <c r="AA1801" s="1" t="s">
        <v>49</v>
      </c>
      <c r="AB1801" s="1" t="s">
        <v>49</v>
      </c>
      <c r="AC1801" s="1" t="s">
        <v>1008</v>
      </c>
      <c r="AD1801" s="1" t="s">
        <v>1009</v>
      </c>
      <c r="AE1801" s="1" t="s">
        <v>1008</v>
      </c>
      <c r="AF1801" s="1" t="s">
        <v>1553</v>
      </c>
      <c r="AG1801" s="1" t="s">
        <v>53</v>
      </c>
      <c r="AH1801" s="1" t="s">
        <v>49</v>
      </c>
      <c r="AI1801" s="1" t="s">
        <v>54</v>
      </c>
      <c r="AJ1801" s="1">
        <v>1</v>
      </c>
      <c r="AK1801" s="1" t="str">
        <f t="shared" si="28"/>
        <v xml:space="preserve"> =&lt;90</v>
      </c>
      <c r="AL1801" s="1" t="str">
        <f>VLOOKUP(C:C,[1]基础信息!B$1:D$65536,3,0)</f>
        <v>Jug</v>
      </c>
      <c r="AM1801" s="1" t="str">
        <f>VLOOKUP(C:C,[1]基础信息!B$1:E$65536,4,0)</f>
        <v>Marella XL</v>
      </c>
      <c r="AN1801" s="1" t="str">
        <f>VLOOKUP(C:C,[1]基础信息!B$1:F$65536,5,0)</f>
        <v>Blue</v>
      </c>
    </row>
    <row r="1802" spans="1:40">
      <c r="A1802" s="1" t="s">
        <v>41</v>
      </c>
      <c r="B1802" s="1" t="s">
        <v>42</v>
      </c>
      <c r="C1802" s="1" t="s">
        <v>1004</v>
      </c>
      <c r="D1802" s="1" t="s">
        <v>1005</v>
      </c>
      <c r="E1802" s="1" t="s">
        <v>1004</v>
      </c>
      <c r="F1802" s="1" t="s">
        <v>4177</v>
      </c>
      <c r="G1802" s="1" t="s">
        <v>4178</v>
      </c>
      <c r="H1802" s="1" t="s">
        <v>4179</v>
      </c>
      <c r="I1802" s="1" t="s">
        <v>49</v>
      </c>
      <c r="J1802" s="1" t="s">
        <v>48</v>
      </c>
      <c r="K1802" s="1">
        <v>96</v>
      </c>
      <c r="L1802" s="1">
        <v>0</v>
      </c>
      <c r="M1802" s="1">
        <v>0</v>
      </c>
      <c r="N1802" s="1">
        <v>96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 t="s">
        <v>49</v>
      </c>
      <c r="AA1802" s="1" t="s">
        <v>49</v>
      </c>
      <c r="AB1802" s="1" t="s">
        <v>49</v>
      </c>
      <c r="AC1802" s="1" t="s">
        <v>2658</v>
      </c>
      <c r="AD1802" s="1" t="s">
        <v>2659</v>
      </c>
      <c r="AE1802" s="1" t="s">
        <v>2658</v>
      </c>
      <c r="AF1802" s="1" t="s">
        <v>4180</v>
      </c>
      <c r="AG1802" s="1" t="s">
        <v>53</v>
      </c>
      <c r="AH1802" s="1" t="s">
        <v>49</v>
      </c>
      <c r="AI1802" s="1" t="s">
        <v>54</v>
      </c>
      <c r="AJ1802" s="1">
        <v>1</v>
      </c>
      <c r="AK1802" s="1" t="str">
        <f t="shared" si="28"/>
        <v xml:space="preserve"> =&lt;90</v>
      </c>
      <c r="AL1802" s="1" t="str">
        <f>VLOOKUP(C:C,[1]基础信息!B$1:D$65536,3,0)</f>
        <v>UTS</v>
      </c>
      <c r="AM1802" s="1" t="str">
        <f>VLOOKUP(C:C,[1]基础信息!B$1:E$65536,4,0)</f>
        <v>MyPure</v>
      </c>
      <c r="AN1802" s="1" t="str">
        <f>VLOOKUP(C:C,[1]基础信息!B$1:F$65536,5,0)</f>
        <v>U5</v>
      </c>
    </row>
    <row r="1803" spans="1:40">
      <c r="A1803" s="1" t="s">
        <v>41</v>
      </c>
      <c r="B1803" s="1" t="s">
        <v>42</v>
      </c>
      <c r="C1803" s="1" t="s">
        <v>285</v>
      </c>
      <c r="D1803" s="1" t="s">
        <v>286</v>
      </c>
      <c r="E1803" s="1" t="s">
        <v>45</v>
      </c>
      <c r="F1803" s="1" t="s">
        <v>2547</v>
      </c>
      <c r="G1803" s="1" t="s">
        <v>4181</v>
      </c>
      <c r="H1803" s="1" t="s">
        <v>4182</v>
      </c>
      <c r="I1803" s="1" t="s">
        <v>49</v>
      </c>
      <c r="J1803" s="1" t="s">
        <v>48</v>
      </c>
      <c r="K1803" s="1">
        <v>70</v>
      </c>
      <c r="L1803" s="1">
        <v>0</v>
      </c>
      <c r="M1803" s="1">
        <v>0</v>
      </c>
      <c r="N1803" s="1">
        <v>70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 t="s">
        <v>49</v>
      </c>
      <c r="AA1803" s="1" t="s">
        <v>49</v>
      </c>
      <c r="AB1803" s="1" t="s">
        <v>49</v>
      </c>
      <c r="AC1803" s="1" t="s">
        <v>1551</v>
      </c>
      <c r="AD1803" s="1" t="s">
        <v>1552</v>
      </c>
      <c r="AE1803" s="1" t="s">
        <v>1551</v>
      </c>
      <c r="AF1803" s="1" t="s">
        <v>2550</v>
      </c>
      <c r="AG1803" s="1" t="s">
        <v>53</v>
      </c>
      <c r="AH1803" s="1" t="s">
        <v>49</v>
      </c>
      <c r="AI1803" s="1" t="s">
        <v>54</v>
      </c>
      <c r="AJ1803" s="1">
        <v>1</v>
      </c>
      <c r="AK1803" s="1" t="str">
        <f t="shared" si="28"/>
        <v xml:space="preserve"> =&lt;90</v>
      </c>
      <c r="AL1803" s="1" t="str">
        <f>VLOOKUP(C:C,[1]基础信息!B$1:D$65536,3,0)</f>
        <v>Jug</v>
      </c>
      <c r="AM1803" s="1" t="str">
        <f>VLOOKUP(C:C,[1]基础信息!B$1:E$65536,4,0)</f>
        <v>Marella XL</v>
      </c>
      <c r="AN1803" s="1" t="str">
        <f>VLOOKUP(C:C,[1]基础信息!B$1:F$65536,5,0)</f>
        <v>Blue</v>
      </c>
    </row>
    <row r="1804" spans="1:40">
      <c r="A1804" s="1" t="s">
        <v>41</v>
      </c>
      <c r="B1804" s="1" t="s">
        <v>42</v>
      </c>
      <c r="C1804" s="1" t="s">
        <v>68</v>
      </c>
      <c r="D1804" s="1" t="s">
        <v>69</v>
      </c>
      <c r="E1804" s="1" t="s">
        <v>45</v>
      </c>
      <c r="F1804" s="1" t="s">
        <v>4103</v>
      </c>
      <c r="G1804" s="1" t="s">
        <v>4183</v>
      </c>
      <c r="H1804" s="1" t="s">
        <v>4184</v>
      </c>
      <c r="I1804" s="1" t="s">
        <v>49</v>
      </c>
      <c r="J1804" s="1" t="s">
        <v>48</v>
      </c>
      <c r="K1804" s="1">
        <v>32</v>
      </c>
      <c r="L1804" s="1">
        <v>0</v>
      </c>
      <c r="M1804" s="1">
        <v>0</v>
      </c>
      <c r="N1804" s="1">
        <v>32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 t="s">
        <v>49</v>
      </c>
      <c r="AA1804" s="1" t="s">
        <v>49</v>
      </c>
      <c r="AB1804" s="1" t="s">
        <v>49</v>
      </c>
      <c r="AC1804" s="1" t="s">
        <v>4106</v>
      </c>
      <c r="AD1804" s="1" t="s">
        <v>4107</v>
      </c>
      <c r="AE1804" s="1" t="s">
        <v>4108</v>
      </c>
      <c r="AF1804" s="1" t="s">
        <v>3455</v>
      </c>
      <c r="AG1804" s="1" t="s">
        <v>53</v>
      </c>
      <c r="AH1804" s="1" t="s">
        <v>49</v>
      </c>
      <c r="AI1804" s="1" t="s">
        <v>54</v>
      </c>
      <c r="AJ1804" s="1">
        <v>1</v>
      </c>
      <c r="AK1804" s="1" t="str">
        <f t="shared" si="28"/>
        <v xml:space="preserve"> =&lt;90</v>
      </c>
      <c r="AL1804" s="1" t="str">
        <f>VLOOKUP(C:C,[1]基础信息!B$1:D$65536,3,0)</f>
        <v>Hotcup</v>
      </c>
      <c r="AM1804" s="1" t="str">
        <f>VLOOKUP(C:C,[1]基础信息!B$1:E$65536,4,0)</f>
        <v>Hotcup</v>
      </c>
      <c r="AN1804" s="1" t="str">
        <f>VLOOKUP(C:C,[1]基础信息!B$1:F$65536,5,0)</f>
        <v xml:space="preserve"> Whi</v>
      </c>
    </row>
    <row r="1805" spans="1:40">
      <c r="A1805" s="1" t="s">
        <v>41</v>
      </c>
      <c r="B1805" s="1" t="s">
        <v>42</v>
      </c>
      <c r="C1805" s="1" t="s">
        <v>68</v>
      </c>
      <c r="D1805" s="1" t="s">
        <v>69</v>
      </c>
      <c r="E1805" s="1" t="s">
        <v>45</v>
      </c>
      <c r="F1805" s="1" t="s">
        <v>4103</v>
      </c>
      <c r="G1805" s="1" t="s">
        <v>4185</v>
      </c>
      <c r="H1805" s="1" t="s">
        <v>4186</v>
      </c>
      <c r="I1805" s="1" t="s">
        <v>49</v>
      </c>
      <c r="J1805" s="1" t="s">
        <v>48</v>
      </c>
      <c r="K1805" s="1">
        <v>36</v>
      </c>
      <c r="L1805" s="1">
        <v>0</v>
      </c>
      <c r="M1805" s="1">
        <v>0</v>
      </c>
      <c r="N1805" s="1">
        <v>36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 t="s">
        <v>49</v>
      </c>
      <c r="AA1805" s="1" t="s">
        <v>49</v>
      </c>
      <c r="AB1805" s="1" t="s">
        <v>49</v>
      </c>
      <c r="AC1805" s="1" t="s">
        <v>4106</v>
      </c>
      <c r="AD1805" s="1" t="s">
        <v>4107</v>
      </c>
      <c r="AE1805" s="1" t="s">
        <v>4108</v>
      </c>
      <c r="AF1805" s="1" t="s">
        <v>3455</v>
      </c>
      <c r="AG1805" s="1" t="s">
        <v>53</v>
      </c>
      <c r="AH1805" s="1" t="s">
        <v>49</v>
      </c>
      <c r="AI1805" s="1" t="s">
        <v>54</v>
      </c>
      <c r="AJ1805" s="1">
        <v>1</v>
      </c>
      <c r="AK1805" s="1" t="str">
        <f t="shared" si="28"/>
        <v xml:space="preserve"> =&lt;90</v>
      </c>
      <c r="AL1805" s="1" t="str">
        <f>VLOOKUP(C:C,[1]基础信息!B$1:D$65536,3,0)</f>
        <v>Hotcup</v>
      </c>
      <c r="AM1805" s="1" t="str">
        <f>VLOOKUP(C:C,[1]基础信息!B$1:E$65536,4,0)</f>
        <v>Hotcup</v>
      </c>
      <c r="AN1805" s="1" t="str">
        <f>VLOOKUP(C:C,[1]基础信息!B$1:F$65536,5,0)</f>
        <v xml:space="preserve"> Whi</v>
      </c>
    </row>
    <row r="1806" spans="1:40">
      <c r="A1806" s="1" t="s">
        <v>41</v>
      </c>
      <c r="B1806" s="1" t="s">
        <v>42</v>
      </c>
      <c r="C1806" s="1" t="s">
        <v>68</v>
      </c>
      <c r="D1806" s="1" t="s">
        <v>69</v>
      </c>
      <c r="E1806" s="1" t="s">
        <v>45</v>
      </c>
      <c r="F1806" s="1" t="s">
        <v>4103</v>
      </c>
      <c r="G1806" s="1" t="s">
        <v>4187</v>
      </c>
      <c r="H1806" s="1" t="s">
        <v>4188</v>
      </c>
      <c r="I1806" s="1" t="s">
        <v>49</v>
      </c>
      <c r="J1806" s="1" t="s">
        <v>48</v>
      </c>
      <c r="K1806" s="1">
        <v>36</v>
      </c>
      <c r="L1806" s="1">
        <v>0</v>
      </c>
      <c r="M1806" s="1">
        <v>0</v>
      </c>
      <c r="N1806" s="1">
        <v>36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 t="s">
        <v>49</v>
      </c>
      <c r="AA1806" s="1" t="s">
        <v>49</v>
      </c>
      <c r="AB1806" s="1" t="s">
        <v>49</v>
      </c>
      <c r="AC1806" s="1" t="s">
        <v>4106</v>
      </c>
      <c r="AD1806" s="1" t="s">
        <v>4107</v>
      </c>
      <c r="AE1806" s="1" t="s">
        <v>4108</v>
      </c>
      <c r="AF1806" s="1" t="s">
        <v>3455</v>
      </c>
      <c r="AG1806" s="1" t="s">
        <v>53</v>
      </c>
      <c r="AH1806" s="1" t="s">
        <v>49</v>
      </c>
      <c r="AI1806" s="1" t="s">
        <v>54</v>
      </c>
      <c r="AJ1806" s="1">
        <v>1</v>
      </c>
      <c r="AK1806" s="1" t="str">
        <f t="shared" si="28"/>
        <v xml:space="preserve"> =&lt;90</v>
      </c>
      <c r="AL1806" s="1" t="str">
        <f>VLOOKUP(C:C,[1]基础信息!B$1:D$65536,3,0)</f>
        <v>Hotcup</v>
      </c>
      <c r="AM1806" s="1" t="str">
        <f>VLOOKUP(C:C,[1]基础信息!B$1:E$65536,4,0)</f>
        <v>Hotcup</v>
      </c>
      <c r="AN1806" s="1" t="str">
        <f>VLOOKUP(C:C,[1]基础信息!B$1:F$65536,5,0)</f>
        <v xml:space="preserve"> Whi</v>
      </c>
    </row>
    <row r="1807" spans="1:40">
      <c r="A1807" s="1" t="s">
        <v>41</v>
      </c>
      <c r="B1807" s="1" t="s">
        <v>42</v>
      </c>
      <c r="C1807" s="1" t="s">
        <v>68</v>
      </c>
      <c r="D1807" s="1" t="s">
        <v>69</v>
      </c>
      <c r="E1807" s="1" t="s">
        <v>45</v>
      </c>
      <c r="F1807" s="1" t="s">
        <v>4103</v>
      </c>
      <c r="G1807" s="1" t="s">
        <v>4189</v>
      </c>
      <c r="H1807" s="1" t="s">
        <v>4190</v>
      </c>
      <c r="I1807" s="1" t="s">
        <v>49</v>
      </c>
      <c r="J1807" s="1" t="s">
        <v>48</v>
      </c>
      <c r="K1807" s="1">
        <v>36</v>
      </c>
      <c r="L1807" s="1">
        <v>0</v>
      </c>
      <c r="M1807" s="1">
        <v>0</v>
      </c>
      <c r="N1807" s="1">
        <v>36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 t="s">
        <v>49</v>
      </c>
      <c r="AA1807" s="1" t="s">
        <v>49</v>
      </c>
      <c r="AB1807" s="1" t="s">
        <v>49</v>
      </c>
      <c r="AC1807" s="1" t="s">
        <v>4106</v>
      </c>
      <c r="AD1807" s="1" t="s">
        <v>4107</v>
      </c>
      <c r="AE1807" s="1" t="s">
        <v>4108</v>
      </c>
      <c r="AF1807" s="1" t="s">
        <v>3455</v>
      </c>
      <c r="AG1807" s="1" t="s">
        <v>53</v>
      </c>
      <c r="AH1807" s="1" t="s">
        <v>49</v>
      </c>
      <c r="AI1807" s="1" t="s">
        <v>54</v>
      </c>
      <c r="AJ1807" s="1">
        <v>1</v>
      </c>
      <c r="AK1807" s="1" t="str">
        <f t="shared" si="28"/>
        <v xml:space="preserve"> =&lt;90</v>
      </c>
      <c r="AL1807" s="1" t="str">
        <f>VLOOKUP(C:C,[1]基础信息!B$1:D$65536,3,0)</f>
        <v>Hotcup</v>
      </c>
      <c r="AM1807" s="1" t="str">
        <f>VLOOKUP(C:C,[1]基础信息!B$1:E$65536,4,0)</f>
        <v>Hotcup</v>
      </c>
      <c r="AN1807" s="1" t="str">
        <f>VLOOKUP(C:C,[1]基础信息!B$1:F$65536,5,0)</f>
        <v xml:space="preserve"> Whi</v>
      </c>
    </row>
    <row r="1808" spans="1:40">
      <c r="A1808" s="1" t="s">
        <v>41</v>
      </c>
      <c r="B1808" s="1" t="s">
        <v>42</v>
      </c>
      <c r="C1808" s="1" t="s">
        <v>56</v>
      </c>
      <c r="D1808" s="1" t="s">
        <v>57</v>
      </c>
      <c r="E1808" s="1" t="s">
        <v>45</v>
      </c>
      <c r="F1808" s="1" t="s">
        <v>3961</v>
      </c>
      <c r="G1808" s="1" t="s">
        <v>4191</v>
      </c>
      <c r="H1808" s="1" t="s">
        <v>4192</v>
      </c>
      <c r="I1808" s="1" t="s">
        <v>49</v>
      </c>
      <c r="J1808" s="1" t="s">
        <v>48</v>
      </c>
      <c r="K1808" s="1">
        <v>72</v>
      </c>
      <c r="L1808" s="1">
        <v>0</v>
      </c>
      <c r="M1808" s="1">
        <v>0</v>
      </c>
      <c r="N1808" s="1">
        <v>72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 t="s">
        <v>49</v>
      </c>
      <c r="AA1808" s="1" t="s">
        <v>49</v>
      </c>
      <c r="AB1808" s="1" t="s">
        <v>49</v>
      </c>
      <c r="AC1808" s="1" t="s">
        <v>3964</v>
      </c>
      <c r="AD1808" s="1" t="s">
        <v>3965</v>
      </c>
      <c r="AE1808" s="1" t="s">
        <v>3964</v>
      </c>
      <c r="AF1808" s="1" t="s">
        <v>1099</v>
      </c>
      <c r="AG1808" s="1" t="s">
        <v>53</v>
      </c>
      <c r="AH1808" s="1" t="s">
        <v>49</v>
      </c>
      <c r="AI1808" s="1" t="s">
        <v>54</v>
      </c>
      <c r="AJ1808" s="1">
        <v>1</v>
      </c>
      <c r="AK1808" s="1" t="str">
        <f t="shared" si="28"/>
        <v xml:space="preserve"> =&lt;90</v>
      </c>
      <c r="AL1808" s="1" t="str">
        <f>VLOOKUP(C:C,[1]基础信息!B$1:D$65536,3,0)</f>
        <v>Jug</v>
      </c>
      <c r="AM1808" s="1" t="str">
        <f>VLOOKUP(C:C,[1]基础信息!B$1:E$65536,4,0)</f>
        <v>Marella XL</v>
      </c>
      <c r="AN1808" s="1" t="str">
        <f>VLOOKUP(C:C,[1]基础信息!B$1:F$65536,5,0)</f>
        <v>Blue</v>
      </c>
    </row>
    <row r="1809" spans="1:40">
      <c r="A1809" s="1" t="s">
        <v>41</v>
      </c>
      <c r="B1809" s="1" t="s">
        <v>42</v>
      </c>
      <c r="C1809" s="1" t="s">
        <v>68</v>
      </c>
      <c r="D1809" s="1" t="s">
        <v>69</v>
      </c>
      <c r="E1809" s="1" t="s">
        <v>45</v>
      </c>
      <c r="F1809" s="1" t="s">
        <v>4103</v>
      </c>
      <c r="G1809" s="1" t="s">
        <v>4193</v>
      </c>
      <c r="H1809" s="1" t="s">
        <v>4194</v>
      </c>
      <c r="I1809" s="1" t="s">
        <v>49</v>
      </c>
      <c r="J1809" s="1" t="s">
        <v>48</v>
      </c>
      <c r="K1809" s="1">
        <v>36</v>
      </c>
      <c r="L1809" s="1">
        <v>0</v>
      </c>
      <c r="M1809" s="1">
        <v>0</v>
      </c>
      <c r="N1809" s="1">
        <v>36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 t="s">
        <v>49</v>
      </c>
      <c r="AA1809" s="1" t="s">
        <v>49</v>
      </c>
      <c r="AB1809" s="1" t="s">
        <v>49</v>
      </c>
      <c r="AC1809" s="1" t="s">
        <v>4106</v>
      </c>
      <c r="AD1809" s="1" t="s">
        <v>4107</v>
      </c>
      <c r="AE1809" s="1" t="s">
        <v>4108</v>
      </c>
      <c r="AF1809" s="1" t="s">
        <v>3455</v>
      </c>
      <c r="AG1809" s="1" t="s">
        <v>53</v>
      </c>
      <c r="AH1809" s="1" t="s">
        <v>49</v>
      </c>
      <c r="AI1809" s="1" t="s">
        <v>54</v>
      </c>
      <c r="AJ1809" s="1">
        <v>1</v>
      </c>
      <c r="AK1809" s="1" t="str">
        <f t="shared" si="28"/>
        <v xml:space="preserve"> =&lt;90</v>
      </c>
      <c r="AL1809" s="1" t="str">
        <f>VLOOKUP(C:C,[1]基础信息!B$1:D$65536,3,0)</f>
        <v>Hotcup</v>
      </c>
      <c r="AM1809" s="1" t="str">
        <f>VLOOKUP(C:C,[1]基础信息!B$1:E$65536,4,0)</f>
        <v>Hotcup</v>
      </c>
      <c r="AN1809" s="1" t="str">
        <f>VLOOKUP(C:C,[1]基础信息!B$1:F$65536,5,0)</f>
        <v xml:space="preserve"> Whi</v>
      </c>
    </row>
    <row r="1810" spans="1:40">
      <c r="A1810" s="1" t="s">
        <v>41</v>
      </c>
      <c r="B1810" s="1" t="s">
        <v>42</v>
      </c>
      <c r="C1810" s="1" t="s">
        <v>68</v>
      </c>
      <c r="D1810" s="1" t="s">
        <v>69</v>
      </c>
      <c r="E1810" s="1" t="s">
        <v>45</v>
      </c>
      <c r="F1810" s="1" t="s">
        <v>4103</v>
      </c>
      <c r="G1810" s="1" t="s">
        <v>4195</v>
      </c>
      <c r="H1810" s="1" t="s">
        <v>4196</v>
      </c>
      <c r="I1810" s="1" t="s">
        <v>49</v>
      </c>
      <c r="J1810" s="1" t="s">
        <v>48</v>
      </c>
      <c r="K1810" s="1">
        <v>36</v>
      </c>
      <c r="L1810" s="1">
        <v>0</v>
      </c>
      <c r="M1810" s="1">
        <v>0</v>
      </c>
      <c r="N1810" s="1">
        <v>36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 t="s">
        <v>49</v>
      </c>
      <c r="AA1810" s="1" t="s">
        <v>49</v>
      </c>
      <c r="AB1810" s="1" t="s">
        <v>49</v>
      </c>
      <c r="AC1810" s="1" t="s">
        <v>4106</v>
      </c>
      <c r="AD1810" s="1" t="s">
        <v>4107</v>
      </c>
      <c r="AE1810" s="1" t="s">
        <v>4108</v>
      </c>
      <c r="AF1810" s="1" t="s">
        <v>3455</v>
      </c>
      <c r="AG1810" s="1" t="s">
        <v>53</v>
      </c>
      <c r="AH1810" s="1" t="s">
        <v>49</v>
      </c>
      <c r="AI1810" s="1" t="s">
        <v>54</v>
      </c>
      <c r="AJ1810" s="1">
        <v>1</v>
      </c>
      <c r="AK1810" s="1" t="str">
        <f t="shared" si="28"/>
        <v xml:space="preserve"> =&lt;90</v>
      </c>
      <c r="AL1810" s="1" t="str">
        <f>VLOOKUP(C:C,[1]基础信息!B$1:D$65536,3,0)</f>
        <v>Hotcup</v>
      </c>
      <c r="AM1810" s="1" t="str">
        <f>VLOOKUP(C:C,[1]基础信息!B$1:E$65536,4,0)</f>
        <v>Hotcup</v>
      </c>
      <c r="AN1810" s="1" t="str">
        <f>VLOOKUP(C:C,[1]基础信息!B$1:F$65536,5,0)</f>
        <v xml:space="preserve"> Whi</v>
      </c>
    </row>
    <row r="1811" spans="1:40">
      <c r="A1811" s="1" t="s">
        <v>41</v>
      </c>
      <c r="B1811" s="1" t="s">
        <v>42</v>
      </c>
      <c r="C1811" s="1" t="s">
        <v>68</v>
      </c>
      <c r="D1811" s="1" t="s">
        <v>69</v>
      </c>
      <c r="E1811" s="1" t="s">
        <v>45</v>
      </c>
      <c r="F1811" s="1" t="s">
        <v>4103</v>
      </c>
      <c r="G1811" s="1" t="s">
        <v>4197</v>
      </c>
      <c r="H1811" s="1" t="s">
        <v>4198</v>
      </c>
      <c r="I1811" s="1" t="s">
        <v>49</v>
      </c>
      <c r="J1811" s="1" t="s">
        <v>48</v>
      </c>
      <c r="K1811" s="1">
        <v>36</v>
      </c>
      <c r="L1811" s="1">
        <v>0</v>
      </c>
      <c r="M1811" s="1">
        <v>0</v>
      </c>
      <c r="N1811" s="1">
        <v>36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 t="s">
        <v>49</v>
      </c>
      <c r="AA1811" s="1" t="s">
        <v>49</v>
      </c>
      <c r="AB1811" s="1" t="s">
        <v>49</v>
      </c>
      <c r="AC1811" s="1" t="s">
        <v>4106</v>
      </c>
      <c r="AD1811" s="1" t="s">
        <v>4107</v>
      </c>
      <c r="AE1811" s="1" t="s">
        <v>4108</v>
      </c>
      <c r="AF1811" s="1" t="s">
        <v>3455</v>
      </c>
      <c r="AG1811" s="1" t="s">
        <v>53</v>
      </c>
      <c r="AH1811" s="1" t="s">
        <v>49</v>
      </c>
      <c r="AI1811" s="1" t="s">
        <v>54</v>
      </c>
      <c r="AJ1811" s="1">
        <v>1</v>
      </c>
      <c r="AK1811" s="1" t="str">
        <f t="shared" si="28"/>
        <v xml:space="preserve"> =&lt;90</v>
      </c>
      <c r="AL1811" s="1" t="str">
        <f>VLOOKUP(C:C,[1]基础信息!B$1:D$65536,3,0)</f>
        <v>Hotcup</v>
      </c>
      <c r="AM1811" s="1" t="str">
        <f>VLOOKUP(C:C,[1]基础信息!B$1:E$65536,4,0)</f>
        <v>Hotcup</v>
      </c>
      <c r="AN1811" s="1" t="str">
        <f>VLOOKUP(C:C,[1]基础信息!B$1:F$65536,5,0)</f>
        <v xml:space="preserve"> Whi</v>
      </c>
    </row>
    <row r="1812" spans="1:40">
      <c r="A1812" s="1" t="s">
        <v>41</v>
      </c>
      <c r="B1812" s="1" t="s">
        <v>42</v>
      </c>
      <c r="C1812" s="1" t="s">
        <v>68</v>
      </c>
      <c r="D1812" s="1" t="s">
        <v>69</v>
      </c>
      <c r="E1812" s="1" t="s">
        <v>45</v>
      </c>
      <c r="F1812" s="1" t="s">
        <v>4103</v>
      </c>
      <c r="G1812" s="1" t="s">
        <v>4199</v>
      </c>
      <c r="H1812" s="1" t="s">
        <v>4200</v>
      </c>
      <c r="I1812" s="1" t="s">
        <v>49</v>
      </c>
      <c r="J1812" s="1" t="s">
        <v>48</v>
      </c>
      <c r="K1812" s="1">
        <v>36</v>
      </c>
      <c r="L1812" s="1">
        <v>0</v>
      </c>
      <c r="M1812" s="1">
        <v>0</v>
      </c>
      <c r="N1812" s="1">
        <v>36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 t="s">
        <v>49</v>
      </c>
      <c r="AA1812" s="1" t="s">
        <v>49</v>
      </c>
      <c r="AB1812" s="1" t="s">
        <v>49</v>
      </c>
      <c r="AC1812" s="1" t="s">
        <v>4106</v>
      </c>
      <c r="AD1812" s="1" t="s">
        <v>4107</v>
      </c>
      <c r="AE1812" s="1" t="s">
        <v>4108</v>
      </c>
      <c r="AF1812" s="1" t="s">
        <v>3455</v>
      </c>
      <c r="AG1812" s="1" t="s">
        <v>53</v>
      </c>
      <c r="AH1812" s="1" t="s">
        <v>49</v>
      </c>
      <c r="AI1812" s="1" t="s">
        <v>54</v>
      </c>
      <c r="AJ1812" s="1">
        <v>1</v>
      </c>
      <c r="AK1812" s="1" t="str">
        <f t="shared" si="28"/>
        <v xml:space="preserve"> =&lt;90</v>
      </c>
      <c r="AL1812" s="1" t="str">
        <f>VLOOKUP(C:C,[1]基础信息!B$1:D$65536,3,0)</f>
        <v>Hotcup</v>
      </c>
      <c r="AM1812" s="1" t="str">
        <f>VLOOKUP(C:C,[1]基础信息!B$1:E$65536,4,0)</f>
        <v>Hotcup</v>
      </c>
      <c r="AN1812" s="1" t="str">
        <f>VLOOKUP(C:C,[1]基础信息!B$1:F$65536,5,0)</f>
        <v xml:space="preserve"> Whi</v>
      </c>
    </row>
    <row r="1813" spans="1:40">
      <c r="A1813" s="1" t="s">
        <v>41</v>
      </c>
      <c r="B1813" s="1" t="s">
        <v>42</v>
      </c>
      <c r="C1813" s="1" t="s">
        <v>68</v>
      </c>
      <c r="D1813" s="1" t="s">
        <v>69</v>
      </c>
      <c r="E1813" s="1" t="s">
        <v>45</v>
      </c>
      <c r="F1813" s="1" t="s">
        <v>4103</v>
      </c>
      <c r="G1813" s="1" t="s">
        <v>4201</v>
      </c>
      <c r="H1813" s="1" t="s">
        <v>4202</v>
      </c>
      <c r="I1813" s="1" t="s">
        <v>49</v>
      </c>
      <c r="J1813" s="1" t="s">
        <v>48</v>
      </c>
      <c r="K1813" s="1">
        <v>36</v>
      </c>
      <c r="L1813" s="1">
        <v>0</v>
      </c>
      <c r="M1813" s="1">
        <v>0</v>
      </c>
      <c r="N1813" s="1">
        <v>36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 t="s">
        <v>49</v>
      </c>
      <c r="AA1813" s="1" t="s">
        <v>49</v>
      </c>
      <c r="AB1813" s="1" t="s">
        <v>49</v>
      </c>
      <c r="AC1813" s="1" t="s">
        <v>4106</v>
      </c>
      <c r="AD1813" s="1" t="s">
        <v>4107</v>
      </c>
      <c r="AE1813" s="1" t="s">
        <v>4108</v>
      </c>
      <c r="AF1813" s="1" t="s">
        <v>3455</v>
      </c>
      <c r="AG1813" s="1" t="s">
        <v>53</v>
      </c>
      <c r="AH1813" s="1" t="s">
        <v>49</v>
      </c>
      <c r="AI1813" s="1" t="s">
        <v>54</v>
      </c>
      <c r="AJ1813" s="1">
        <v>1</v>
      </c>
      <c r="AK1813" s="1" t="str">
        <f t="shared" si="28"/>
        <v xml:space="preserve"> =&lt;90</v>
      </c>
      <c r="AL1813" s="1" t="str">
        <f>VLOOKUP(C:C,[1]基础信息!B$1:D$65536,3,0)</f>
        <v>Hotcup</v>
      </c>
      <c r="AM1813" s="1" t="str">
        <f>VLOOKUP(C:C,[1]基础信息!B$1:E$65536,4,0)</f>
        <v>Hotcup</v>
      </c>
      <c r="AN1813" s="1" t="str">
        <f>VLOOKUP(C:C,[1]基础信息!B$1:F$65536,5,0)</f>
        <v xml:space="preserve"> Whi</v>
      </c>
    </row>
    <row r="1814" spans="1:40">
      <c r="A1814" s="1" t="s">
        <v>41</v>
      </c>
      <c r="B1814" s="1" t="s">
        <v>42</v>
      </c>
      <c r="C1814" s="1" t="s">
        <v>1004</v>
      </c>
      <c r="D1814" s="1" t="s">
        <v>1005</v>
      </c>
      <c r="E1814" s="1" t="s">
        <v>1004</v>
      </c>
      <c r="F1814" s="1" t="s">
        <v>4203</v>
      </c>
      <c r="G1814" s="1" t="s">
        <v>4204</v>
      </c>
      <c r="H1814" s="1" t="s">
        <v>4205</v>
      </c>
      <c r="I1814" s="1" t="s">
        <v>49</v>
      </c>
      <c r="J1814" s="1" t="s">
        <v>48</v>
      </c>
      <c r="K1814" s="1">
        <v>90</v>
      </c>
      <c r="L1814" s="1">
        <v>0</v>
      </c>
      <c r="M1814" s="1">
        <v>0</v>
      </c>
      <c r="N1814" s="1">
        <v>90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 t="s">
        <v>49</v>
      </c>
      <c r="AA1814" s="1" t="s">
        <v>49</v>
      </c>
      <c r="AB1814" s="1" t="s">
        <v>49</v>
      </c>
      <c r="AC1814" s="1" t="s">
        <v>4206</v>
      </c>
      <c r="AD1814" s="1" t="s">
        <v>4207</v>
      </c>
      <c r="AE1814" s="1" t="s">
        <v>4206</v>
      </c>
      <c r="AF1814" s="1" t="s">
        <v>4180</v>
      </c>
      <c r="AG1814" s="1" t="s">
        <v>53</v>
      </c>
      <c r="AH1814" s="1" t="s">
        <v>49</v>
      </c>
      <c r="AI1814" s="1" t="s">
        <v>54</v>
      </c>
      <c r="AJ1814" s="1">
        <v>1</v>
      </c>
      <c r="AK1814" s="1" t="str">
        <f t="shared" si="28"/>
        <v xml:space="preserve"> =&lt;90</v>
      </c>
      <c r="AL1814" s="1" t="str">
        <f>VLOOKUP(C:C,[1]基础信息!B$1:D$65536,3,0)</f>
        <v>UTS</v>
      </c>
      <c r="AM1814" s="1" t="str">
        <f>VLOOKUP(C:C,[1]基础信息!B$1:E$65536,4,0)</f>
        <v>MyPure</v>
      </c>
      <c r="AN1814" s="1" t="str">
        <f>VLOOKUP(C:C,[1]基础信息!B$1:F$65536,5,0)</f>
        <v>U5</v>
      </c>
    </row>
    <row r="1815" spans="1:40">
      <c r="A1815" s="1" t="s">
        <v>41</v>
      </c>
      <c r="B1815" s="1" t="s">
        <v>42</v>
      </c>
      <c r="C1815" s="1" t="s">
        <v>3999</v>
      </c>
      <c r="D1815" s="1" t="s">
        <v>4000</v>
      </c>
      <c r="E1815" s="1" t="s">
        <v>45</v>
      </c>
      <c r="F1815" s="1" t="s">
        <v>4208</v>
      </c>
      <c r="G1815" s="1" t="s">
        <v>4209</v>
      </c>
      <c r="H1815" s="1" t="s">
        <v>45</v>
      </c>
      <c r="I1815" s="1" t="s">
        <v>45</v>
      </c>
      <c r="J1815" s="1" t="s">
        <v>48</v>
      </c>
      <c r="K1815" s="1">
        <v>2</v>
      </c>
      <c r="L1815" s="1">
        <v>0</v>
      </c>
      <c r="M1815" s="1">
        <v>0</v>
      </c>
      <c r="N1815" s="1">
        <v>2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 t="s">
        <v>49</v>
      </c>
      <c r="AA1815" s="1" t="s">
        <v>49</v>
      </c>
      <c r="AB1815" s="1" t="s">
        <v>49</v>
      </c>
      <c r="AC1815" s="1" t="s">
        <v>4210</v>
      </c>
      <c r="AD1815" s="1" t="s">
        <v>4211</v>
      </c>
      <c r="AE1815" s="1" t="s">
        <v>4210</v>
      </c>
      <c r="AF1815" s="1" t="s">
        <v>4013</v>
      </c>
      <c r="AG1815" s="1" t="s">
        <v>338</v>
      </c>
      <c r="AH1815" s="1" t="s">
        <v>49</v>
      </c>
      <c r="AI1815" s="1" t="s">
        <v>54</v>
      </c>
      <c r="AJ1815" s="1">
        <v>1</v>
      </c>
      <c r="AK1815" s="1" t="str">
        <f t="shared" si="28"/>
        <v xml:space="preserve"> =&lt;90</v>
      </c>
      <c r="AL1815" s="1" t="str">
        <f>VLOOKUP(C:C,[1]基础信息!B$1:D$65536,3,0)</f>
        <v>Jug</v>
      </c>
      <c r="AM1815" s="1" t="str">
        <f>VLOOKUP(C:C,[1]基础信息!B$1:E$65536,4,0)</f>
        <v>Aluna</v>
      </c>
      <c r="AN1815" s="1" t="str">
        <f>VLOOKUP(C:C,[1]基础信息!B$1:F$65536,5,0)</f>
        <v>Blue</v>
      </c>
    </row>
    <row r="1816" spans="1:40">
      <c r="A1816" s="1" t="s">
        <v>41</v>
      </c>
      <c r="B1816" s="1" t="s">
        <v>42</v>
      </c>
      <c r="C1816" s="1" t="s">
        <v>341</v>
      </c>
      <c r="D1816" s="1" t="s">
        <v>342</v>
      </c>
      <c r="E1816" s="1" t="s">
        <v>45</v>
      </c>
      <c r="F1816" s="1" t="s">
        <v>343</v>
      </c>
      <c r="G1816" s="1" t="s">
        <v>4212</v>
      </c>
      <c r="H1816" s="1" t="s">
        <v>4213</v>
      </c>
      <c r="I1816" s="1" t="s">
        <v>49</v>
      </c>
      <c r="J1816" s="1" t="s">
        <v>48</v>
      </c>
      <c r="K1816" s="1">
        <v>70</v>
      </c>
      <c r="L1816" s="1">
        <v>0</v>
      </c>
      <c r="M1816" s="1">
        <v>0</v>
      </c>
      <c r="N1816" s="1">
        <v>70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 t="s">
        <v>49</v>
      </c>
      <c r="AA1816" s="1" t="s">
        <v>49</v>
      </c>
      <c r="AB1816" s="1" t="s">
        <v>49</v>
      </c>
      <c r="AC1816" s="1" t="s">
        <v>346</v>
      </c>
      <c r="AD1816" s="1" t="s">
        <v>347</v>
      </c>
      <c r="AE1816" s="1" t="s">
        <v>346</v>
      </c>
      <c r="AF1816" s="1" t="s">
        <v>348</v>
      </c>
      <c r="AG1816" s="1" t="s">
        <v>338</v>
      </c>
      <c r="AH1816" s="1" t="s">
        <v>49</v>
      </c>
      <c r="AI1816" s="1" t="s">
        <v>54</v>
      </c>
      <c r="AJ1816" s="1">
        <v>1</v>
      </c>
      <c r="AK1816" s="1" t="str">
        <f t="shared" si="28"/>
        <v xml:space="preserve"> =&lt;90</v>
      </c>
      <c r="AL1816" s="1" t="str">
        <f>VLOOKUP(C:C,[1]基础信息!B$1:D$65536,3,0)</f>
        <v>Jug</v>
      </c>
      <c r="AM1816" s="1" t="str">
        <f>VLOOKUP(C:C,[1]基础信息!B$1:E$65536,4,0)</f>
        <v>Marella</v>
      </c>
      <c r="AN1816" s="1" t="str">
        <f>VLOOKUP(C:C,[1]基础信息!B$1:F$65536,5,0)</f>
        <v>Blue Glitter</v>
      </c>
    </row>
    <row r="1817" spans="1:40">
      <c r="A1817" s="1" t="s">
        <v>41</v>
      </c>
      <c r="B1817" s="1" t="s">
        <v>42</v>
      </c>
      <c r="C1817" s="1" t="s">
        <v>285</v>
      </c>
      <c r="D1817" s="1" t="s">
        <v>286</v>
      </c>
      <c r="E1817" s="1" t="s">
        <v>45</v>
      </c>
      <c r="F1817" s="1" t="s">
        <v>3095</v>
      </c>
      <c r="G1817" s="1" t="s">
        <v>4214</v>
      </c>
      <c r="H1817" s="1" t="s">
        <v>4215</v>
      </c>
      <c r="I1817" s="1" t="s">
        <v>49</v>
      </c>
      <c r="J1817" s="1" t="s">
        <v>48</v>
      </c>
      <c r="K1817" s="1">
        <v>70</v>
      </c>
      <c r="L1817" s="1">
        <v>0</v>
      </c>
      <c r="M1817" s="1">
        <v>0</v>
      </c>
      <c r="N1817" s="1">
        <v>70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 t="s">
        <v>49</v>
      </c>
      <c r="AA1817" s="1" t="s">
        <v>49</v>
      </c>
      <c r="AB1817" s="1" t="s">
        <v>49</v>
      </c>
      <c r="AC1817" s="1" t="s">
        <v>3098</v>
      </c>
      <c r="AD1817" s="1" t="s">
        <v>3099</v>
      </c>
      <c r="AE1817" s="1" t="s">
        <v>3098</v>
      </c>
      <c r="AF1817" s="1" t="s">
        <v>1553</v>
      </c>
      <c r="AG1817" s="1" t="s">
        <v>53</v>
      </c>
      <c r="AH1817" s="1" t="s">
        <v>49</v>
      </c>
      <c r="AI1817" s="1" t="s">
        <v>54</v>
      </c>
      <c r="AJ1817" s="1">
        <v>1</v>
      </c>
      <c r="AK1817" s="1" t="str">
        <f t="shared" si="28"/>
        <v xml:space="preserve"> =&lt;90</v>
      </c>
      <c r="AL1817" s="1" t="str">
        <f>VLOOKUP(C:C,[1]基础信息!B$1:D$65536,3,0)</f>
        <v>Jug</v>
      </c>
      <c r="AM1817" s="1" t="str">
        <f>VLOOKUP(C:C,[1]基础信息!B$1:E$65536,4,0)</f>
        <v>Marella XL</v>
      </c>
      <c r="AN1817" s="1" t="str">
        <f>VLOOKUP(C:C,[1]基础信息!B$1:F$65536,5,0)</f>
        <v>Blue</v>
      </c>
    </row>
    <row r="1818" spans="1:40">
      <c r="A1818" s="1" t="s">
        <v>41</v>
      </c>
      <c r="B1818" s="1" t="s">
        <v>42</v>
      </c>
      <c r="C1818" s="1" t="s">
        <v>4216</v>
      </c>
      <c r="D1818" s="1" t="s">
        <v>4217</v>
      </c>
      <c r="E1818" s="1" t="s">
        <v>45</v>
      </c>
      <c r="F1818" s="1" t="s">
        <v>4218</v>
      </c>
      <c r="G1818" s="1" t="s">
        <v>4219</v>
      </c>
      <c r="H1818" s="1" t="s">
        <v>45</v>
      </c>
      <c r="I1818" s="1" t="s">
        <v>45</v>
      </c>
      <c r="J1818" s="1" t="s">
        <v>48</v>
      </c>
      <c r="K1818" s="1">
        <v>3</v>
      </c>
      <c r="L1818" s="1">
        <v>0</v>
      </c>
      <c r="M1818" s="1">
        <v>0</v>
      </c>
      <c r="N1818" s="1">
        <v>3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 t="s">
        <v>49</v>
      </c>
      <c r="AA1818" s="1" t="s">
        <v>49</v>
      </c>
      <c r="AB1818" s="1" t="s">
        <v>49</v>
      </c>
      <c r="AC1818" s="1" t="s">
        <v>4210</v>
      </c>
      <c r="AD1818" s="1" t="s">
        <v>4211</v>
      </c>
      <c r="AE1818" s="1" t="s">
        <v>4210</v>
      </c>
      <c r="AF1818" s="1" t="s">
        <v>4220</v>
      </c>
      <c r="AG1818" s="1" t="s">
        <v>338</v>
      </c>
      <c r="AH1818" s="1" t="s">
        <v>49</v>
      </c>
      <c r="AI1818" s="1" t="s">
        <v>54</v>
      </c>
      <c r="AJ1818" s="1">
        <v>1</v>
      </c>
      <c r="AK1818" s="1" t="str">
        <f t="shared" si="28"/>
        <v xml:space="preserve"> =&lt;90</v>
      </c>
      <c r="AL1818" s="1" t="str">
        <f>VLOOKUP(C:C,[1]基础信息!B$1:D$65536,3,0)</f>
        <v>Jug</v>
      </c>
      <c r="AM1818" s="1" t="str">
        <f>VLOOKUP(C:C,[1]基础信息!B$1:E$65536,4,0)</f>
        <v>Aluna</v>
      </c>
      <c r="AN1818" s="1" t="str">
        <f>VLOOKUP(C:C,[1]基础信息!B$1:F$65536,5,0)</f>
        <v>Blue</v>
      </c>
    </row>
    <row r="1819" spans="1:40">
      <c r="A1819" s="1" t="s">
        <v>41</v>
      </c>
      <c r="B1819" s="1" t="s">
        <v>42</v>
      </c>
      <c r="C1819" s="1" t="s">
        <v>4077</v>
      </c>
      <c r="D1819" s="1" t="s">
        <v>4078</v>
      </c>
      <c r="E1819" s="1" t="s">
        <v>45</v>
      </c>
      <c r="F1819" s="1" t="s">
        <v>4221</v>
      </c>
      <c r="G1819" s="1" t="s">
        <v>4222</v>
      </c>
      <c r="H1819" s="1" t="s">
        <v>4223</v>
      </c>
      <c r="I1819" s="1" t="s">
        <v>49</v>
      </c>
      <c r="J1819" s="1" t="s">
        <v>48</v>
      </c>
      <c r="K1819" s="1">
        <v>16</v>
      </c>
      <c r="L1819" s="1">
        <v>0</v>
      </c>
      <c r="M1819" s="1">
        <v>0</v>
      </c>
      <c r="N1819" s="1">
        <v>16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 t="s">
        <v>49</v>
      </c>
      <c r="AA1819" s="1" t="s">
        <v>49</v>
      </c>
      <c r="AB1819" s="1" t="s">
        <v>49</v>
      </c>
      <c r="AC1819" s="1" t="s">
        <v>4224</v>
      </c>
      <c r="AD1819" s="1" t="s">
        <v>4225</v>
      </c>
      <c r="AE1819" s="1" t="s">
        <v>4224</v>
      </c>
      <c r="AF1819" s="1" t="s">
        <v>4226</v>
      </c>
      <c r="AG1819" s="1" t="s">
        <v>53</v>
      </c>
      <c r="AH1819" s="1" t="s">
        <v>49</v>
      </c>
      <c r="AI1819" s="1" t="s">
        <v>54</v>
      </c>
      <c r="AJ1819" s="1">
        <v>1</v>
      </c>
      <c r="AK1819" s="1" t="str">
        <f t="shared" si="28"/>
        <v xml:space="preserve"> =&lt;90</v>
      </c>
      <c r="AL1819" s="1" t="str">
        <f>VLOOKUP(C:C,[1]基础信息!B$1:D$65536,3,0)</f>
        <v>UTS</v>
      </c>
      <c r="AM1819" s="1" t="str">
        <f>VLOOKUP(C:C,[1]基础信息!B$1:E$65536,4,0)</f>
        <v>RO</v>
      </c>
      <c r="AN1819" s="1" t="str">
        <f>VLOOKUP(C:C,[1]基础信息!B$1:F$65536,5,0)</f>
        <v>Starry Grey Color</v>
      </c>
    </row>
    <row r="1820" spans="1:40">
      <c r="A1820" s="1" t="s">
        <v>41</v>
      </c>
      <c r="B1820" s="1" t="s">
        <v>42</v>
      </c>
      <c r="C1820" s="1" t="s">
        <v>341</v>
      </c>
      <c r="D1820" s="1" t="s">
        <v>342</v>
      </c>
      <c r="E1820" s="1" t="s">
        <v>45</v>
      </c>
      <c r="F1820" s="1" t="s">
        <v>343</v>
      </c>
      <c r="G1820" s="1" t="s">
        <v>4227</v>
      </c>
      <c r="H1820" s="1" t="s">
        <v>4228</v>
      </c>
      <c r="I1820" s="1" t="s">
        <v>49</v>
      </c>
      <c r="J1820" s="1" t="s">
        <v>48</v>
      </c>
      <c r="K1820" s="1">
        <v>70</v>
      </c>
      <c r="L1820" s="1">
        <v>0</v>
      </c>
      <c r="M1820" s="1">
        <v>0</v>
      </c>
      <c r="N1820" s="1">
        <v>70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 t="s">
        <v>49</v>
      </c>
      <c r="AA1820" s="1" t="s">
        <v>49</v>
      </c>
      <c r="AB1820" s="1" t="s">
        <v>49</v>
      </c>
      <c r="AC1820" s="1" t="s">
        <v>346</v>
      </c>
      <c r="AD1820" s="1" t="s">
        <v>347</v>
      </c>
      <c r="AE1820" s="1" t="s">
        <v>346</v>
      </c>
      <c r="AF1820" s="1" t="s">
        <v>348</v>
      </c>
      <c r="AG1820" s="1" t="s">
        <v>338</v>
      </c>
      <c r="AH1820" s="1" t="s">
        <v>49</v>
      </c>
      <c r="AI1820" s="1" t="s">
        <v>54</v>
      </c>
      <c r="AJ1820" s="1">
        <v>1</v>
      </c>
      <c r="AK1820" s="1" t="str">
        <f t="shared" si="28"/>
        <v xml:space="preserve"> =&lt;90</v>
      </c>
      <c r="AL1820" s="1" t="str">
        <f>VLOOKUP(C:C,[1]基础信息!B$1:D$65536,3,0)</f>
        <v>Jug</v>
      </c>
      <c r="AM1820" s="1" t="str">
        <f>VLOOKUP(C:C,[1]基础信息!B$1:E$65536,4,0)</f>
        <v>Marella</v>
      </c>
      <c r="AN1820" s="1" t="str">
        <f>VLOOKUP(C:C,[1]基础信息!B$1:F$65536,5,0)</f>
        <v>Blue Glitter</v>
      </c>
    </row>
    <row r="1821" spans="1:40">
      <c r="A1821" s="1" t="s">
        <v>41</v>
      </c>
      <c r="B1821" s="1" t="s">
        <v>42</v>
      </c>
      <c r="C1821" s="1" t="s">
        <v>4077</v>
      </c>
      <c r="D1821" s="1" t="s">
        <v>4078</v>
      </c>
      <c r="E1821" s="1" t="s">
        <v>45</v>
      </c>
      <c r="F1821" s="1" t="s">
        <v>4221</v>
      </c>
      <c r="G1821" s="1" t="s">
        <v>4229</v>
      </c>
      <c r="H1821" s="1" t="s">
        <v>4230</v>
      </c>
      <c r="I1821" s="1" t="s">
        <v>49</v>
      </c>
      <c r="J1821" s="1" t="s">
        <v>48</v>
      </c>
      <c r="K1821" s="1">
        <v>16</v>
      </c>
      <c r="L1821" s="1">
        <v>0</v>
      </c>
      <c r="M1821" s="1">
        <v>0</v>
      </c>
      <c r="N1821" s="1">
        <v>16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 t="s">
        <v>49</v>
      </c>
      <c r="AA1821" s="1" t="s">
        <v>49</v>
      </c>
      <c r="AB1821" s="1" t="s">
        <v>49</v>
      </c>
      <c r="AC1821" s="1" t="s">
        <v>4224</v>
      </c>
      <c r="AD1821" s="1" t="s">
        <v>4225</v>
      </c>
      <c r="AE1821" s="1" t="s">
        <v>4224</v>
      </c>
      <c r="AF1821" s="1" t="s">
        <v>4226</v>
      </c>
      <c r="AG1821" s="1" t="s">
        <v>53</v>
      </c>
      <c r="AH1821" s="1" t="s">
        <v>49</v>
      </c>
      <c r="AI1821" s="1" t="s">
        <v>54</v>
      </c>
      <c r="AJ1821" s="1">
        <v>1</v>
      </c>
      <c r="AK1821" s="1" t="str">
        <f t="shared" si="28"/>
        <v xml:space="preserve"> =&lt;90</v>
      </c>
      <c r="AL1821" s="1" t="str">
        <f>VLOOKUP(C:C,[1]基础信息!B$1:D$65536,3,0)</f>
        <v>UTS</v>
      </c>
      <c r="AM1821" s="1" t="str">
        <f>VLOOKUP(C:C,[1]基础信息!B$1:E$65536,4,0)</f>
        <v>RO</v>
      </c>
      <c r="AN1821" s="1" t="str">
        <f>VLOOKUP(C:C,[1]基础信息!B$1:F$65536,5,0)</f>
        <v>Starry Grey Color</v>
      </c>
    </row>
    <row r="1822" spans="1:40">
      <c r="A1822" s="1" t="s">
        <v>41</v>
      </c>
      <c r="B1822" s="1" t="s">
        <v>42</v>
      </c>
      <c r="C1822" s="1" t="s">
        <v>4077</v>
      </c>
      <c r="D1822" s="1" t="s">
        <v>4078</v>
      </c>
      <c r="E1822" s="1" t="s">
        <v>45</v>
      </c>
      <c r="F1822" s="1" t="s">
        <v>4221</v>
      </c>
      <c r="G1822" s="1" t="s">
        <v>4231</v>
      </c>
      <c r="H1822" s="1" t="s">
        <v>4232</v>
      </c>
      <c r="I1822" s="1" t="s">
        <v>49</v>
      </c>
      <c r="J1822" s="1" t="s">
        <v>48</v>
      </c>
      <c r="K1822" s="1">
        <v>16</v>
      </c>
      <c r="L1822" s="1">
        <v>0</v>
      </c>
      <c r="M1822" s="1">
        <v>0</v>
      </c>
      <c r="N1822" s="1">
        <v>16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 t="s">
        <v>49</v>
      </c>
      <c r="AA1822" s="1" t="s">
        <v>49</v>
      </c>
      <c r="AB1822" s="1" t="s">
        <v>49</v>
      </c>
      <c r="AC1822" s="1" t="s">
        <v>4224</v>
      </c>
      <c r="AD1822" s="1" t="s">
        <v>4225</v>
      </c>
      <c r="AE1822" s="1" t="s">
        <v>4224</v>
      </c>
      <c r="AF1822" s="1" t="s">
        <v>4226</v>
      </c>
      <c r="AG1822" s="1" t="s">
        <v>53</v>
      </c>
      <c r="AH1822" s="1" t="s">
        <v>49</v>
      </c>
      <c r="AI1822" s="1" t="s">
        <v>54</v>
      </c>
      <c r="AJ1822" s="1">
        <v>1</v>
      </c>
      <c r="AK1822" s="1" t="str">
        <f t="shared" si="28"/>
        <v xml:space="preserve"> =&lt;90</v>
      </c>
      <c r="AL1822" s="1" t="str">
        <f>VLOOKUP(C:C,[1]基础信息!B$1:D$65536,3,0)</f>
        <v>UTS</v>
      </c>
      <c r="AM1822" s="1" t="str">
        <f>VLOOKUP(C:C,[1]基础信息!B$1:E$65536,4,0)</f>
        <v>RO</v>
      </c>
      <c r="AN1822" s="1" t="str">
        <f>VLOOKUP(C:C,[1]基础信息!B$1:F$65536,5,0)</f>
        <v>Starry Grey Color</v>
      </c>
    </row>
    <row r="1823" spans="1:40">
      <c r="A1823" s="1" t="s">
        <v>41</v>
      </c>
      <c r="B1823" s="1" t="s">
        <v>42</v>
      </c>
      <c r="C1823" s="1" t="s">
        <v>3999</v>
      </c>
      <c r="D1823" s="1" t="s">
        <v>4000</v>
      </c>
      <c r="E1823" s="1" t="s">
        <v>45</v>
      </c>
      <c r="F1823" s="1" t="s">
        <v>4051</v>
      </c>
      <c r="G1823" s="1" t="s">
        <v>4233</v>
      </c>
      <c r="H1823" s="1" t="s">
        <v>45</v>
      </c>
      <c r="I1823" s="1" t="s">
        <v>45</v>
      </c>
      <c r="J1823" s="1" t="s">
        <v>48</v>
      </c>
      <c r="K1823" s="1">
        <v>57</v>
      </c>
      <c r="L1823" s="1">
        <v>0</v>
      </c>
      <c r="M1823" s="1">
        <v>0</v>
      </c>
      <c r="N1823" s="1">
        <v>57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 t="s">
        <v>49</v>
      </c>
      <c r="AA1823" s="1" t="s">
        <v>49</v>
      </c>
      <c r="AB1823" s="1" t="s">
        <v>49</v>
      </c>
      <c r="AC1823" s="1" t="s">
        <v>4053</v>
      </c>
      <c r="AD1823" s="1" t="s">
        <v>4054</v>
      </c>
      <c r="AE1823" s="1" t="s">
        <v>4053</v>
      </c>
      <c r="AF1823" s="1" t="s">
        <v>49</v>
      </c>
      <c r="AG1823" s="1" t="s">
        <v>3464</v>
      </c>
      <c r="AH1823" s="1" t="s">
        <v>49</v>
      </c>
      <c r="AI1823" s="1" t="s">
        <v>54</v>
      </c>
      <c r="AJ1823" s="1">
        <v>1</v>
      </c>
      <c r="AK1823" s="1" t="str">
        <f t="shared" si="28"/>
        <v xml:space="preserve"> =&lt;90</v>
      </c>
      <c r="AL1823" s="1" t="str">
        <f>VLOOKUP(C:C,[1]基础信息!B$1:D$65536,3,0)</f>
        <v>Jug</v>
      </c>
      <c r="AM1823" s="1" t="str">
        <f>VLOOKUP(C:C,[1]基础信息!B$1:E$65536,4,0)</f>
        <v>Aluna</v>
      </c>
      <c r="AN1823" s="1" t="str">
        <f>VLOOKUP(C:C,[1]基础信息!B$1:F$65536,5,0)</f>
        <v>Blue</v>
      </c>
    </row>
    <row r="1824" spans="1:40">
      <c r="A1824" s="1" t="s">
        <v>41</v>
      </c>
      <c r="B1824" s="1" t="s">
        <v>42</v>
      </c>
      <c r="C1824" s="1" t="s">
        <v>3999</v>
      </c>
      <c r="D1824" s="1" t="s">
        <v>4000</v>
      </c>
      <c r="E1824" s="1" t="s">
        <v>45</v>
      </c>
      <c r="F1824" s="1" t="s">
        <v>4051</v>
      </c>
      <c r="G1824" s="1" t="s">
        <v>4234</v>
      </c>
      <c r="H1824" s="1" t="s">
        <v>45</v>
      </c>
      <c r="I1824" s="1" t="s">
        <v>45</v>
      </c>
      <c r="J1824" s="1" t="s">
        <v>48</v>
      </c>
      <c r="K1824" s="1">
        <v>61</v>
      </c>
      <c r="L1824" s="1">
        <v>0</v>
      </c>
      <c r="M1824" s="1">
        <v>0</v>
      </c>
      <c r="N1824" s="1">
        <v>61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 t="s">
        <v>49</v>
      </c>
      <c r="AA1824" s="1" t="s">
        <v>49</v>
      </c>
      <c r="AB1824" s="1" t="s">
        <v>49</v>
      </c>
      <c r="AC1824" s="1" t="s">
        <v>4053</v>
      </c>
      <c r="AD1824" s="1" t="s">
        <v>4054</v>
      </c>
      <c r="AE1824" s="1" t="s">
        <v>4053</v>
      </c>
      <c r="AF1824" s="1" t="s">
        <v>49</v>
      </c>
      <c r="AG1824" s="1" t="s">
        <v>3464</v>
      </c>
      <c r="AH1824" s="1" t="s">
        <v>49</v>
      </c>
      <c r="AI1824" s="1" t="s">
        <v>54</v>
      </c>
      <c r="AJ1824" s="1">
        <v>1</v>
      </c>
      <c r="AK1824" s="1" t="str">
        <f t="shared" si="28"/>
        <v xml:space="preserve"> =&lt;90</v>
      </c>
      <c r="AL1824" s="1" t="str">
        <f>VLOOKUP(C:C,[1]基础信息!B$1:D$65536,3,0)</f>
        <v>Jug</v>
      </c>
      <c r="AM1824" s="1" t="str">
        <f>VLOOKUP(C:C,[1]基础信息!B$1:E$65536,4,0)</f>
        <v>Aluna</v>
      </c>
      <c r="AN1824" s="1" t="str">
        <f>VLOOKUP(C:C,[1]基础信息!B$1:F$65536,5,0)</f>
        <v>Blue</v>
      </c>
    </row>
    <row r="1825" spans="1:40">
      <c r="A1825" s="1" t="s">
        <v>41</v>
      </c>
      <c r="B1825" s="1" t="s">
        <v>42</v>
      </c>
      <c r="C1825" s="1" t="s">
        <v>1946</v>
      </c>
      <c r="D1825" s="1" t="s">
        <v>1947</v>
      </c>
      <c r="E1825" s="1" t="s">
        <v>1946</v>
      </c>
      <c r="F1825" s="1" t="s">
        <v>1948</v>
      </c>
      <c r="G1825" s="1" t="s">
        <v>4235</v>
      </c>
      <c r="H1825" s="1" t="s">
        <v>45</v>
      </c>
      <c r="I1825" s="1" t="s">
        <v>45</v>
      </c>
      <c r="J1825" s="1" t="s">
        <v>48</v>
      </c>
      <c r="K1825" s="1">
        <v>48</v>
      </c>
      <c r="L1825" s="1">
        <v>0</v>
      </c>
      <c r="M1825" s="1">
        <v>0</v>
      </c>
      <c r="N1825" s="1">
        <v>48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 t="s">
        <v>49</v>
      </c>
      <c r="AA1825" s="1" t="s">
        <v>49</v>
      </c>
      <c r="AB1825" s="1" t="s">
        <v>49</v>
      </c>
      <c r="AC1825" s="1" t="s">
        <v>1950</v>
      </c>
      <c r="AD1825" s="1" t="s">
        <v>1951</v>
      </c>
      <c r="AE1825" s="1" t="s">
        <v>1950</v>
      </c>
      <c r="AF1825" s="1" t="s">
        <v>49</v>
      </c>
      <c r="AG1825" s="1" t="s">
        <v>1952</v>
      </c>
      <c r="AH1825" s="1" t="s">
        <v>49</v>
      </c>
      <c r="AI1825" s="1" t="s">
        <v>54</v>
      </c>
      <c r="AJ1825" s="1">
        <v>1</v>
      </c>
      <c r="AK1825" s="1" t="str">
        <f t="shared" si="28"/>
        <v xml:space="preserve"> =&lt;90</v>
      </c>
      <c r="AL1825" s="1" t="str">
        <f>VLOOKUP(C:C,[1]基础信息!B$1:D$65536,3,0)</f>
        <v xml:space="preserve">Cartridge </v>
      </c>
      <c r="AM1825" s="1" t="str">
        <f>VLOOKUP(C:C,[1]基础信息!B$1:E$65536,4,0)</f>
        <v>UNIV</v>
      </c>
      <c r="AN1825" s="1" t="str">
        <f>VLOOKUP(C:C,[1]基础信息!B$1:F$65536,5,0)</f>
        <v>P6</v>
      </c>
    </row>
    <row r="1826" spans="1:40">
      <c r="A1826" s="1" t="s">
        <v>41</v>
      </c>
      <c r="B1826" s="1" t="s">
        <v>42</v>
      </c>
      <c r="C1826" s="1" t="s">
        <v>3512</v>
      </c>
      <c r="D1826" s="1" t="s">
        <v>3513</v>
      </c>
      <c r="E1826" s="1" t="s">
        <v>45</v>
      </c>
      <c r="F1826" s="1" t="s">
        <v>4236</v>
      </c>
      <c r="G1826" s="1" t="s">
        <v>4237</v>
      </c>
      <c r="H1826" s="1" t="s">
        <v>45</v>
      </c>
      <c r="I1826" s="1" t="s">
        <v>45</v>
      </c>
      <c r="J1826" s="1" t="s">
        <v>48</v>
      </c>
      <c r="K1826" s="1">
        <v>766</v>
      </c>
      <c r="L1826" s="1">
        <v>0</v>
      </c>
      <c r="M1826" s="1">
        <v>0</v>
      </c>
      <c r="N1826" s="1">
        <v>766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 t="s">
        <v>49</v>
      </c>
      <c r="AA1826" s="1" t="s">
        <v>49</v>
      </c>
      <c r="AB1826" s="1" t="s">
        <v>49</v>
      </c>
      <c r="AC1826" s="1" t="s">
        <v>414</v>
      </c>
      <c r="AD1826" s="1" t="s">
        <v>415</v>
      </c>
      <c r="AE1826" s="1" t="s">
        <v>414</v>
      </c>
      <c r="AF1826" s="1" t="s">
        <v>49</v>
      </c>
      <c r="AG1826" s="1" t="s">
        <v>3464</v>
      </c>
      <c r="AH1826" s="1" t="s">
        <v>49</v>
      </c>
      <c r="AI1826" s="1" t="s">
        <v>54</v>
      </c>
      <c r="AJ1826" s="1">
        <v>1</v>
      </c>
      <c r="AK1826" s="1" t="str">
        <f t="shared" si="28"/>
        <v xml:space="preserve"> =&lt;90</v>
      </c>
      <c r="AL1826" s="1" t="str">
        <f>VLOOKUP(C:C,[1]基础信息!B$1:D$65536,3,0)</f>
        <v xml:space="preserve">Cartridge </v>
      </c>
      <c r="AM1826" s="1" t="str">
        <f>VLOOKUP(C:C,[1]基础信息!B$1:E$65536,4,0)</f>
        <v>UNIV</v>
      </c>
      <c r="AN1826" s="1" t="str">
        <f>VLOOKUP(C:C,[1]基础信息!B$1:F$65536,5,0)</f>
        <v>P3</v>
      </c>
    </row>
    <row r="1827" spans="1:40">
      <c r="A1827" s="1" t="s">
        <v>41</v>
      </c>
      <c r="B1827" s="1" t="s">
        <v>42</v>
      </c>
      <c r="C1827" s="1" t="s">
        <v>481</v>
      </c>
      <c r="D1827" s="1" t="s">
        <v>482</v>
      </c>
      <c r="E1827" s="1" t="s">
        <v>45</v>
      </c>
      <c r="F1827" s="1" t="s">
        <v>4238</v>
      </c>
      <c r="G1827" s="1" t="s">
        <v>4239</v>
      </c>
      <c r="H1827" s="1" t="s">
        <v>45</v>
      </c>
      <c r="I1827" s="1" t="s">
        <v>45</v>
      </c>
      <c r="J1827" s="1" t="s">
        <v>48</v>
      </c>
      <c r="K1827" s="1">
        <v>168</v>
      </c>
      <c r="L1827" s="1">
        <v>0</v>
      </c>
      <c r="M1827" s="1">
        <v>0</v>
      </c>
      <c r="N1827" s="1">
        <v>168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 t="s">
        <v>49</v>
      </c>
      <c r="AA1827" s="1" t="s">
        <v>49</v>
      </c>
      <c r="AB1827" s="1" t="s">
        <v>49</v>
      </c>
      <c r="AC1827" s="1" t="s">
        <v>414</v>
      </c>
      <c r="AD1827" s="1" t="s">
        <v>415</v>
      </c>
      <c r="AE1827" s="1" t="s">
        <v>414</v>
      </c>
      <c r="AF1827" s="1" t="s">
        <v>49</v>
      </c>
      <c r="AG1827" s="1" t="s">
        <v>3464</v>
      </c>
      <c r="AH1827" s="1" t="s">
        <v>49</v>
      </c>
      <c r="AI1827" s="1" t="s">
        <v>54</v>
      </c>
      <c r="AJ1827" s="1">
        <v>1</v>
      </c>
      <c r="AK1827" s="1" t="str">
        <f t="shared" si="28"/>
        <v xml:space="preserve"> =&lt;90</v>
      </c>
      <c r="AL1827" s="1" t="str">
        <f>VLOOKUP(C:C,[1]基础信息!B$1:D$65536,3,0)</f>
        <v>Jug</v>
      </c>
      <c r="AM1827" s="1" t="str">
        <f>VLOOKUP(C:C,[1]基础信息!B$1:E$65536,4,0)</f>
        <v>Style COOL</v>
      </c>
      <c r="AN1827" s="1" t="str">
        <f>VLOOKUP(C:C,[1]基础信息!B$1:F$65536,5,0)</f>
        <v>Cool Blue</v>
      </c>
    </row>
    <row r="1828" spans="1:40">
      <c r="A1828" s="1" t="s">
        <v>41</v>
      </c>
      <c r="B1828" s="1" t="s">
        <v>42</v>
      </c>
      <c r="C1828" s="1" t="s">
        <v>2760</v>
      </c>
      <c r="D1828" s="1" t="s">
        <v>2761</v>
      </c>
      <c r="E1828" s="1" t="s">
        <v>45</v>
      </c>
      <c r="F1828" s="1" t="s">
        <v>4240</v>
      </c>
      <c r="G1828" s="1" t="s">
        <v>4241</v>
      </c>
      <c r="H1828" s="1" t="s">
        <v>4242</v>
      </c>
      <c r="I1828" s="1" t="s">
        <v>49</v>
      </c>
      <c r="J1828" s="1" t="s">
        <v>48</v>
      </c>
      <c r="K1828" s="1">
        <v>216</v>
      </c>
      <c r="L1828" s="1">
        <v>0</v>
      </c>
      <c r="M1828" s="1">
        <v>0</v>
      </c>
      <c r="N1828" s="1">
        <v>216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 t="s">
        <v>49</v>
      </c>
      <c r="AA1828" s="1" t="s">
        <v>49</v>
      </c>
      <c r="AB1828" s="1" t="s">
        <v>49</v>
      </c>
      <c r="AC1828" s="1" t="s">
        <v>215</v>
      </c>
      <c r="AD1828" s="1" t="s">
        <v>3025</v>
      </c>
      <c r="AE1828" s="1" t="s">
        <v>215</v>
      </c>
      <c r="AF1828" s="1" t="s">
        <v>3037</v>
      </c>
      <c r="AG1828" s="1" t="s">
        <v>53</v>
      </c>
      <c r="AH1828" s="1" t="s">
        <v>49</v>
      </c>
      <c r="AI1828" s="1" t="s">
        <v>54</v>
      </c>
      <c r="AJ1828" s="1">
        <v>1</v>
      </c>
      <c r="AK1828" s="1" t="str">
        <f t="shared" si="28"/>
        <v xml:space="preserve"> =&lt;90</v>
      </c>
      <c r="AL1828" s="1" t="str">
        <f>VLOOKUP(C:C,[1]基础信息!B$1:D$65536,3,0)</f>
        <v>UTS</v>
      </c>
      <c r="AM1828" s="1" t="str">
        <f>VLOOKUP(C:C,[1]基础信息!B$1:E$65536,4,0)</f>
        <v>MyPure</v>
      </c>
      <c r="AN1828" s="1" t="str">
        <f>VLOOKUP(C:C,[1]基础信息!B$1:F$65536,5,0)</f>
        <v>Refill</v>
      </c>
    </row>
    <row r="1829" spans="1:40">
      <c r="A1829" s="1" t="s">
        <v>41</v>
      </c>
      <c r="B1829" s="1" t="s">
        <v>42</v>
      </c>
      <c r="C1829" s="1" t="s">
        <v>285</v>
      </c>
      <c r="D1829" s="1" t="s">
        <v>286</v>
      </c>
      <c r="E1829" s="1" t="s">
        <v>45</v>
      </c>
      <c r="F1829" s="1" t="s">
        <v>3095</v>
      </c>
      <c r="G1829" s="1" t="s">
        <v>4243</v>
      </c>
      <c r="H1829" s="1" t="s">
        <v>4244</v>
      </c>
      <c r="I1829" s="1" t="s">
        <v>49</v>
      </c>
      <c r="J1829" s="1" t="s">
        <v>48</v>
      </c>
      <c r="K1829" s="1">
        <v>70</v>
      </c>
      <c r="L1829" s="1">
        <v>0</v>
      </c>
      <c r="M1829" s="1">
        <v>0</v>
      </c>
      <c r="N1829" s="1">
        <v>70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 t="s">
        <v>49</v>
      </c>
      <c r="AA1829" s="1" t="s">
        <v>49</v>
      </c>
      <c r="AB1829" s="1" t="s">
        <v>49</v>
      </c>
      <c r="AC1829" s="1" t="s">
        <v>3098</v>
      </c>
      <c r="AD1829" s="1" t="s">
        <v>3099</v>
      </c>
      <c r="AE1829" s="1" t="s">
        <v>3098</v>
      </c>
      <c r="AF1829" s="1" t="s">
        <v>1553</v>
      </c>
      <c r="AG1829" s="1" t="s">
        <v>53</v>
      </c>
      <c r="AH1829" s="1" t="s">
        <v>49</v>
      </c>
      <c r="AI1829" s="1" t="s">
        <v>54</v>
      </c>
      <c r="AJ1829" s="1">
        <v>1</v>
      </c>
      <c r="AK1829" s="1" t="str">
        <f t="shared" si="28"/>
        <v xml:space="preserve"> =&lt;90</v>
      </c>
      <c r="AL1829" s="1" t="str">
        <f>VLOOKUP(C:C,[1]基础信息!B$1:D$65536,3,0)</f>
        <v>Jug</v>
      </c>
      <c r="AM1829" s="1" t="str">
        <f>VLOOKUP(C:C,[1]基础信息!B$1:E$65536,4,0)</f>
        <v>Marella XL</v>
      </c>
      <c r="AN1829" s="1" t="str">
        <f>VLOOKUP(C:C,[1]基础信息!B$1:F$65536,5,0)</f>
        <v>Blue</v>
      </c>
    </row>
    <row r="1830" spans="1:40">
      <c r="A1830" s="1" t="s">
        <v>41</v>
      </c>
      <c r="B1830" s="1" t="s">
        <v>42</v>
      </c>
      <c r="C1830" s="1" t="s">
        <v>4245</v>
      </c>
      <c r="D1830" s="1" t="s">
        <v>4246</v>
      </c>
      <c r="E1830" s="1" t="s">
        <v>4245</v>
      </c>
      <c r="F1830" s="1" t="s">
        <v>4247</v>
      </c>
      <c r="G1830" s="1" t="s">
        <v>4248</v>
      </c>
      <c r="H1830" s="1" t="s">
        <v>45</v>
      </c>
      <c r="I1830" s="1" t="s">
        <v>45</v>
      </c>
      <c r="J1830" s="1" t="s">
        <v>48</v>
      </c>
      <c r="K1830" s="1">
        <v>5</v>
      </c>
      <c r="L1830" s="1">
        <v>0</v>
      </c>
      <c r="M1830" s="1">
        <v>0</v>
      </c>
      <c r="N1830" s="1">
        <v>5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 t="s">
        <v>49</v>
      </c>
      <c r="AA1830" s="1" t="s">
        <v>49</v>
      </c>
      <c r="AB1830" s="1" t="s">
        <v>49</v>
      </c>
      <c r="AC1830" s="1" t="s">
        <v>4249</v>
      </c>
      <c r="AD1830" s="1" t="s">
        <v>4250</v>
      </c>
      <c r="AE1830" s="1" t="s">
        <v>4249</v>
      </c>
      <c r="AF1830" s="1" t="s">
        <v>49</v>
      </c>
      <c r="AG1830" s="1" t="s">
        <v>53</v>
      </c>
      <c r="AH1830" s="1" t="s">
        <v>49</v>
      </c>
      <c r="AI1830" s="1" t="s">
        <v>54</v>
      </c>
      <c r="AJ1830" s="1">
        <v>1</v>
      </c>
      <c r="AK1830" s="1" t="str">
        <f t="shared" si="28"/>
        <v xml:space="preserve"> =&lt;90</v>
      </c>
      <c r="AL1830" s="1" t="str">
        <f>VLOOKUP(C:C,[1]基础信息!B$1:D$65536,3,0)</f>
        <v>UTS</v>
      </c>
      <c r="AM1830" s="1" t="str">
        <f>VLOOKUP(C:C,[1]基础信息!B$1:E$65536,4,0)</f>
        <v>MyPure Pro</v>
      </c>
      <c r="AN1830" s="1" t="str">
        <f>VLOOKUP(C:C,[1]基础信息!B$1:F$65536,5,0)</f>
        <v>X9</v>
      </c>
    </row>
    <row r="1831" spans="1:40">
      <c r="A1831" s="1" t="s">
        <v>41</v>
      </c>
      <c r="B1831" s="1" t="s">
        <v>42</v>
      </c>
      <c r="C1831" s="1" t="s">
        <v>2760</v>
      </c>
      <c r="D1831" s="1" t="s">
        <v>2761</v>
      </c>
      <c r="E1831" s="1" t="s">
        <v>45</v>
      </c>
      <c r="F1831" s="1" t="s">
        <v>4240</v>
      </c>
      <c r="G1831" s="1" t="s">
        <v>4251</v>
      </c>
      <c r="H1831" s="1" t="s">
        <v>4252</v>
      </c>
      <c r="I1831" s="1" t="s">
        <v>49</v>
      </c>
      <c r="J1831" s="1" t="s">
        <v>48</v>
      </c>
      <c r="K1831" s="1">
        <v>216</v>
      </c>
      <c r="L1831" s="1">
        <v>0</v>
      </c>
      <c r="M1831" s="1">
        <v>0</v>
      </c>
      <c r="N1831" s="1">
        <v>216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 t="s">
        <v>49</v>
      </c>
      <c r="AA1831" s="1" t="s">
        <v>49</v>
      </c>
      <c r="AB1831" s="1" t="s">
        <v>49</v>
      </c>
      <c r="AC1831" s="1" t="s">
        <v>215</v>
      </c>
      <c r="AD1831" s="1" t="s">
        <v>3025</v>
      </c>
      <c r="AE1831" s="1" t="s">
        <v>215</v>
      </c>
      <c r="AF1831" s="1" t="s">
        <v>3037</v>
      </c>
      <c r="AG1831" s="1" t="s">
        <v>53</v>
      </c>
      <c r="AH1831" s="1" t="s">
        <v>49</v>
      </c>
      <c r="AI1831" s="1" t="s">
        <v>54</v>
      </c>
      <c r="AJ1831" s="1">
        <v>1</v>
      </c>
      <c r="AK1831" s="1" t="str">
        <f t="shared" si="28"/>
        <v xml:space="preserve"> =&lt;90</v>
      </c>
      <c r="AL1831" s="1" t="str">
        <f>VLOOKUP(C:C,[1]基础信息!B$1:D$65536,3,0)</f>
        <v>UTS</v>
      </c>
      <c r="AM1831" s="1" t="str">
        <f>VLOOKUP(C:C,[1]基础信息!B$1:E$65536,4,0)</f>
        <v>MyPure</v>
      </c>
      <c r="AN1831" s="1" t="str">
        <f>VLOOKUP(C:C,[1]基础信息!B$1:F$65536,5,0)</f>
        <v>Refill</v>
      </c>
    </row>
    <row r="1832" spans="1:40">
      <c r="A1832" s="1" t="s">
        <v>41</v>
      </c>
      <c r="B1832" s="1" t="s">
        <v>42</v>
      </c>
      <c r="C1832" s="1" t="s">
        <v>4253</v>
      </c>
      <c r="D1832" s="1" t="s">
        <v>4254</v>
      </c>
      <c r="E1832" s="1" t="s">
        <v>45</v>
      </c>
      <c r="F1832" s="1" t="s">
        <v>4255</v>
      </c>
      <c r="G1832" s="1" t="s">
        <v>4256</v>
      </c>
      <c r="H1832" s="1" t="s">
        <v>45</v>
      </c>
      <c r="I1832" s="1" t="s">
        <v>45</v>
      </c>
      <c r="J1832" s="1" t="s">
        <v>48</v>
      </c>
      <c r="K1832" s="1">
        <v>98</v>
      </c>
      <c r="L1832" s="1">
        <v>0</v>
      </c>
      <c r="M1832" s="1">
        <v>0</v>
      </c>
      <c r="N1832" s="1">
        <v>98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 t="s">
        <v>49</v>
      </c>
      <c r="AA1832" s="1" t="s">
        <v>49</v>
      </c>
      <c r="AB1832" s="1" t="s">
        <v>49</v>
      </c>
      <c r="AC1832" s="1" t="s">
        <v>414</v>
      </c>
      <c r="AD1832" s="1" t="s">
        <v>415</v>
      </c>
      <c r="AE1832" s="1" t="s">
        <v>414</v>
      </c>
      <c r="AF1832" s="1" t="s">
        <v>49</v>
      </c>
      <c r="AG1832" s="1" t="s">
        <v>3464</v>
      </c>
      <c r="AH1832" s="1" t="s">
        <v>49</v>
      </c>
      <c r="AI1832" s="1" t="s">
        <v>54</v>
      </c>
      <c r="AJ1832" s="1">
        <v>1</v>
      </c>
      <c r="AK1832" s="1" t="str">
        <f t="shared" si="28"/>
        <v xml:space="preserve"> =&lt;90</v>
      </c>
      <c r="AL1832" s="1" t="str">
        <f>VLOOKUP(C:C,[1]基础信息!B$1:D$65536,3,0)</f>
        <v xml:space="preserve">Cartridge </v>
      </c>
      <c r="AM1832" s="1" t="str">
        <f>VLOOKUP(C:C,[1]基础信息!B$1:E$65536,4,0)</f>
        <v>UNIV</v>
      </c>
      <c r="AN1832" s="1" t="str">
        <f>VLOOKUP(C:C,[1]基础信息!B$1:F$65536,5,0)</f>
        <v>P6</v>
      </c>
    </row>
    <row r="1833" spans="1:40">
      <c r="A1833" s="1" t="s">
        <v>41</v>
      </c>
      <c r="B1833" s="1" t="s">
        <v>42</v>
      </c>
      <c r="C1833" s="1" t="s">
        <v>481</v>
      </c>
      <c r="D1833" s="1" t="s">
        <v>482</v>
      </c>
      <c r="E1833" s="1" t="s">
        <v>45</v>
      </c>
      <c r="F1833" s="1" t="s">
        <v>4238</v>
      </c>
      <c r="G1833" s="1" t="s">
        <v>4257</v>
      </c>
      <c r="H1833" s="1" t="s">
        <v>45</v>
      </c>
      <c r="I1833" s="1" t="s">
        <v>45</v>
      </c>
      <c r="J1833" s="1" t="s">
        <v>48</v>
      </c>
      <c r="K1833" s="1">
        <v>168</v>
      </c>
      <c r="L1833" s="1">
        <v>0</v>
      </c>
      <c r="M1833" s="1">
        <v>0</v>
      </c>
      <c r="N1833" s="1">
        <v>168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 t="s">
        <v>49</v>
      </c>
      <c r="AA1833" s="1" t="s">
        <v>49</v>
      </c>
      <c r="AB1833" s="1" t="s">
        <v>49</v>
      </c>
      <c r="AC1833" s="1" t="s">
        <v>414</v>
      </c>
      <c r="AD1833" s="1" t="s">
        <v>415</v>
      </c>
      <c r="AE1833" s="1" t="s">
        <v>414</v>
      </c>
      <c r="AF1833" s="1" t="s">
        <v>49</v>
      </c>
      <c r="AG1833" s="1" t="s">
        <v>3464</v>
      </c>
      <c r="AH1833" s="1" t="s">
        <v>49</v>
      </c>
      <c r="AI1833" s="1" t="s">
        <v>54</v>
      </c>
      <c r="AJ1833" s="1">
        <v>1</v>
      </c>
      <c r="AK1833" s="1" t="str">
        <f t="shared" si="28"/>
        <v xml:space="preserve"> =&lt;90</v>
      </c>
      <c r="AL1833" s="1" t="str">
        <f>VLOOKUP(C:C,[1]基础信息!B$1:D$65536,3,0)</f>
        <v>Jug</v>
      </c>
      <c r="AM1833" s="1" t="str">
        <f>VLOOKUP(C:C,[1]基础信息!B$1:E$65536,4,0)</f>
        <v>Style COOL</v>
      </c>
      <c r="AN1833" s="1" t="str">
        <f>VLOOKUP(C:C,[1]基础信息!B$1:F$65536,5,0)</f>
        <v>Cool Blue</v>
      </c>
    </row>
    <row r="1834" spans="1:40">
      <c r="A1834" s="1" t="s">
        <v>41</v>
      </c>
      <c r="B1834" s="1" t="s">
        <v>42</v>
      </c>
      <c r="C1834" s="1" t="s">
        <v>4258</v>
      </c>
      <c r="D1834" s="1" t="s">
        <v>4259</v>
      </c>
      <c r="E1834" s="1" t="s">
        <v>45</v>
      </c>
      <c r="F1834" s="1" t="s">
        <v>4260</v>
      </c>
      <c r="G1834" s="1" t="s">
        <v>4261</v>
      </c>
      <c r="H1834" s="1" t="s">
        <v>4262</v>
      </c>
      <c r="I1834" s="1" t="s">
        <v>49</v>
      </c>
      <c r="J1834" s="1" t="s">
        <v>48</v>
      </c>
      <c r="K1834" s="1">
        <v>216</v>
      </c>
      <c r="L1834" s="1">
        <v>0</v>
      </c>
      <c r="M1834" s="1">
        <v>0</v>
      </c>
      <c r="N1834" s="1">
        <v>216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 t="s">
        <v>49</v>
      </c>
      <c r="AA1834" s="1" t="s">
        <v>49</v>
      </c>
      <c r="AB1834" s="1" t="s">
        <v>49</v>
      </c>
      <c r="AC1834" s="1" t="s">
        <v>215</v>
      </c>
      <c r="AD1834" s="1" t="s">
        <v>3025</v>
      </c>
      <c r="AE1834" s="1" t="s">
        <v>215</v>
      </c>
      <c r="AF1834" s="1" t="s">
        <v>4263</v>
      </c>
      <c r="AG1834" s="1" t="s">
        <v>53</v>
      </c>
      <c r="AH1834" s="1" t="s">
        <v>49</v>
      </c>
      <c r="AI1834" s="1" t="s">
        <v>54</v>
      </c>
      <c r="AJ1834" s="1">
        <v>1</v>
      </c>
      <c r="AK1834" s="1" t="str">
        <f t="shared" si="28"/>
        <v xml:space="preserve"> =&lt;90</v>
      </c>
      <c r="AL1834" s="1" t="e">
        <f>VLOOKUP(C:C,[1]基础信息!B$1:D$65536,3,0)</f>
        <v>#N/A</v>
      </c>
      <c r="AM1834" s="1" t="e">
        <f>VLOOKUP(C:C,[1]基础信息!B$1:E$65536,4,0)</f>
        <v>#N/A</v>
      </c>
      <c r="AN1834" s="1" t="e">
        <f>VLOOKUP(C:C,[1]基础信息!B$1:F$65536,5,0)</f>
        <v>#N/A</v>
      </c>
    </row>
    <row r="1835" spans="1:40">
      <c r="A1835" s="1" t="s">
        <v>41</v>
      </c>
      <c r="B1835" s="1" t="s">
        <v>42</v>
      </c>
      <c r="C1835" s="1" t="s">
        <v>481</v>
      </c>
      <c r="D1835" s="1" t="s">
        <v>482</v>
      </c>
      <c r="E1835" s="1" t="s">
        <v>45</v>
      </c>
      <c r="F1835" s="1" t="s">
        <v>4238</v>
      </c>
      <c r="G1835" s="1" t="s">
        <v>4264</v>
      </c>
      <c r="H1835" s="1" t="s">
        <v>45</v>
      </c>
      <c r="I1835" s="1" t="s">
        <v>45</v>
      </c>
      <c r="J1835" s="1" t="s">
        <v>48</v>
      </c>
      <c r="K1835" s="1">
        <v>138</v>
      </c>
      <c r="L1835" s="1">
        <v>0</v>
      </c>
      <c r="M1835" s="1">
        <v>0</v>
      </c>
      <c r="N1835" s="1">
        <v>138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 t="s">
        <v>49</v>
      </c>
      <c r="AA1835" s="1" t="s">
        <v>49</v>
      </c>
      <c r="AB1835" s="1" t="s">
        <v>49</v>
      </c>
      <c r="AC1835" s="1" t="s">
        <v>414</v>
      </c>
      <c r="AD1835" s="1" t="s">
        <v>415</v>
      </c>
      <c r="AE1835" s="1" t="s">
        <v>414</v>
      </c>
      <c r="AF1835" s="1" t="s">
        <v>49</v>
      </c>
      <c r="AG1835" s="1" t="s">
        <v>3464</v>
      </c>
      <c r="AH1835" s="1" t="s">
        <v>49</v>
      </c>
      <c r="AI1835" s="1" t="s">
        <v>54</v>
      </c>
      <c r="AJ1835" s="1">
        <v>1</v>
      </c>
      <c r="AK1835" s="1" t="str">
        <f t="shared" si="28"/>
        <v xml:space="preserve"> =&lt;90</v>
      </c>
      <c r="AL1835" s="1" t="str">
        <f>VLOOKUP(C:C,[1]基础信息!B$1:D$65536,3,0)</f>
        <v>Jug</v>
      </c>
      <c r="AM1835" s="1" t="str">
        <f>VLOOKUP(C:C,[1]基础信息!B$1:E$65536,4,0)</f>
        <v>Style COOL</v>
      </c>
      <c r="AN1835" s="1" t="str">
        <f>VLOOKUP(C:C,[1]基础信息!B$1:F$65536,5,0)</f>
        <v>Cool Blue</v>
      </c>
    </row>
    <row r="1836" spans="1:40">
      <c r="A1836" s="1" t="s">
        <v>41</v>
      </c>
      <c r="B1836" s="1" t="s">
        <v>42</v>
      </c>
      <c r="C1836" s="1" t="s">
        <v>481</v>
      </c>
      <c r="D1836" s="1" t="s">
        <v>482</v>
      </c>
      <c r="E1836" s="1" t="s">
        <v>45</v>
      </c>
      <c r="F1836" s="1" t="s">
        <v>4238</v>
      </c>
      <c r="G1836" s="1" t="s">
        <v>4265</v>
      </c>
      <c r="H1836" s="1" t="s">
        <v>45</v>
      </c>
      <c r="I1836" s="1" t="s">
        <v>45</v>
      </c>
      <c r="J1836" s="1" t="s">
        <v>48</v>
      </c>
      <c r="K1836" s="1">
        <v>148</v>
      </c>
      <c r="L1836" s="1">
        <v>0</v>
      </c>
      <c r="M1836" s="1">
        <v>0</v>
      </c>
      <c r="N1836" s="1">
        <v>148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 t="s">
        <v>49</v>
      </c>
      <c r="AA1836" s="1" t="s">
        <v>49</v>
      </c>
      <c r="AB1836" s="1" t="s">
        <v>49</v>
      </c>
      <c r="AC1836" s="1" t="s">
        <v>414</v>
      </c>
      <c r="AD1836" s="1" t="s">
        <v>415</v>
      </c>
      <c r="AE1836" s="1" t="s">
        <v>414</v>
      </c>
      <c r="AF1836" s="1" t="s">
        <v>49</v>
      </c>
      <c r="AG1836" s="1" t="s">
        <v>3464</v>
      </c>
      <c r="AH1836" s="1" t="s">
        <v>49</v>
      </c>
      <c r="AI1836" s="1" t="s">
        <v>54</v>
      </c>
      <c r="AJ1836" s="1">
        <v>1</v>
      </c>
      <c r="AK1836" s="1" t="str">
        <f t="shared" si="28"/>
        <v xml:space="preserve"> =&lt;90</v>
      </c>
      <c r="AL1836" s="1" t="str">
        <f>VLOOKUP(C:C,[1]基础信息!B$1:D$65536,3,0)</f>
        <v>Jug</v>
      </c>
      <c r="AM1836" s="1" t="str">
        <f>VLOOKUP(C:C,[1]基础信息!B$1:E$65536,4,0)</f>
        <v>Style COOL</v>
      </c>
      <c r="AN1836" s="1" t="str">
        <f>VLOOKUP(C:C,[1]基础信息!B$1:F$65536,5,0)</f>
        <v>Cool Blue</v>
      </c>
    </row>
    <row r="1837" spans="1:40">
      <c r="A1837" s="1" t="s">
        <v>41</v>
      </c>
      <c r="B1837" s="1" t="s">
        <v>42</v>
      </c>
      <c r="C1837" s="1" t="s">
        <v>3731</v>
      </c>
      <c r="D1837" s="1" t="s">
        <v>3732</v>
      </c>
      <c r="E1837" s="1" t="s">
        <v>45</v>
      </c>
      <c r="F1837" s="1" t="s">
        <v>4266</v>
      </c>
      <c r="G1837" s="1" t="s">
        <v>4267</v>
      </c>
      <c r="H1837" s="1" t="s">
        <v>4268</v>
      </c>
      <c r="I1837" s="1" t="s">
        <v>49</v>
      </c>
      <c r="J1837" s="1" t="s">
        <v>48</v>
      </c>
      <c r="K1837" s="1">
        <v>216</v>
      </c>
      <c r="L1837" s="1">
        <v>0</v>
      </c>
      <c r="M1837" s="1">
        <v>0</v>
      </c>
      <c r="N1837" s="1">
        <v>216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 t="s">
        <v>49</v>
      </c>
      <c r="AA1837" s="1" t="s">
        <v>49</v>
      </c>
      <c r="AB1837" s="1" t="s">
        <v>49</v>
      </c>
      <c r="AC1837" s="1" t="s">
        <v>215</v>
      </c>
      <c r="AD1837" s="1" t="s">
        <v>3025</v>
      </c>
      <c r="AE1837" s="1" t="s">
        <v>215</v>
      </c>
      <c r="AF1837" s="1" t="s">
        <v>4269</v>
      </c>
      <c r="AG1837" s="1" t="s">
        <v>53</v>
      </c>
      <c r="AH1837" s="1" t="s">
        <v>49</v>
      </c>
      <c r="AI1837" s="1" t="s">
        <v>54</v>
      </c>
      <c r="AJ1837" s="1">
        <v>1</v>
      </c>
      <c r="AK1837" s="1" t="str">
        <f t="shared" si="28"/>
        <v xml:space="preserve"> =&lt;90</v>
      </c>
      <c r="AL1837" s="1" t="str">
        <f>VLOOKUP(C:C,[1]基础信息!B$1:D$65536,3,0)</f>
        <v>UTS</v>
      </c>
      <c r="AM1837" s="1" t="str">
        <f>VLOOKUP(C:C,[1]基础信息!B$1:E$65536,4,0)</f>
        <v>MyPure</v>
      </c>
      <c r="AN1837" s="1" t="str">
        <f>VLOOKUP(C:C,[1]基础信息!B$1:F$65536,5,0)</f>
        <v>Refill</v>
      </c>
    </row>
    <row r="1838" spans="1:40">
      <c r="A1838" s="1" t="s">
        <v>41</v>
      </c>
      <c r="B1838" s="1" t="s">
        <v>42</v>
      </c>
      <c r="C1838" s="1" t="s">
        <v>3999</v>
      </c>
      <c r="D1838" s="1" t="s">
        <v>4000</v>
      </c>
      <c r="E1838" s="1" t="s">
        <v>45</v>
      </c>
      <c r="F1838" s="1" t="s">
        <v>4011</v>
      </c>
      <c r="G1838" s="1" t="s">
        <v>4270</v>
      </c>
      <c r="H1838" s="1" t="s">
        <v>45</v>
      </c>
      <c r="I1838" s="1" t="s">
        <v>45</v>
      </c>
      <c r="J1838" s="1" t="s">
        <v>48</v>
      </c>
      <c r="K1838" s="1">
        <v>72</v>
      </c>
      <c r="L1838" s="1">
        <v>0</v>
      </c>
      <c r="M1838" s="1">
        <v>0</v>
      </c>
      <c r="N1838" s="1">
        <v>72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 t="s">
        <v>49</v>
      </c>
      <c r="AA1838" s="1" t="s">
        <v>49</v>
      </c>
      <c r="AB1838" s="1" t="s">
        <v>49</v>
      </c>
      <c r="AC1838" s="1" t="s">
        <v>2587</v>
      </c>
      <c r="AD1838" s="1" t="s">
        <v>2588</v>
      </c>
      <c r="AE1838" s="1" t="s">
        <v>2587</v>
      </c>
      <c r="AF1838" s="1" t="s">
        <v>4013</v>
      </c>
      <c r="AG1838" s="1" t="s">
        <v>338</v>
      </c>
      <c r="AH1838" s="1" t="s">
        <v>49</v>
      </c>
      <c r="AI1838" s="1" t="s">
        <v>54</v>
      </c>
      <c r="AJ1838" s="1">
        <v>1</v>
      </c>
      <c r="AK1838" s="1" t="str">
        <f t="shared" si="28"/>
        <v xml:space="preserve"> =&lt;90</v>
      </c>
      <c r="AL1838" s="1" t="str">
        <f>VLOOKUP(C:C,[1]基础信息!B$1:D$65536,3,0)</f>
        <v>Jug</v>
      </c>
      <c r="AM1838" s="1" t="str">
        <f>VLOOKUP(C:C,[1]基础信息!B$1:E$65536,4,0)</f>
        <v>Aluna</v>
      </c>
      <c r="AN1838" s="1" t="str">
        <f>VLOOKUP(C:C,[1]基础信息!B$1:F$65536,5,0)</f>
        <v>Blue</v>
      </c>
    </row>
    <row r="1839" spans="1:40">
      <c r="A1839" s="1" t="s">
        <v>41</v>
      </c>
      <c r="B1839" s="1" t="s">
        <v>42</v>
      </c>
      <c r="C1839" s="1" t="s">
        <v>83</v>
      </c>
      <c r="D1839" s="1" t="s">
        <v>84</v>
      </c>
      <c r="E1839" s="1" t="s">
        <v>45</v>
      </c>
      <c r="F1839" s="1" t="s">
        <v>4271</v>
      </c>
      <c r="G1839" s="1" t="s">
        <v>4272</v>
      </c>
      <c r="H1839" s="1" t="s">
        <v>45</v>
      </c>
      <c r="I1839" s="1" t="s">
        <v>45</v>
      </c>
      <c r="J1839" s="1" t="s">
        <v>48</v>
      </c>
      <c r="K1839" s="1">
        <v>92</v>
      </c>
      <c r="L1839" s="1">
        <v>0</v>
      </c>
      <c r="M1839" s="1">
        <v>0</v>
      </c>
      <c r="N1839" s="1">
        <v>92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 t="s">
        <v>49</v>
      </c>
      <c r="AA1839" s="1" t="s">
        <v>49</v>
      </c>
      <c r="AB1839" s="1" t="s">
        <v>49</v>
      </c>
      <c r="AC1839" s="1" t="s">
        <v>414</v>
      </c>
      <c r="AD1839" s="1" t="s">
        <v>415</v>
      </c>
      <c r="AE1839" s="1" t="s">
        <v>414</v>
      </c>
      <c r="AF1839" s="1" t="s">
        <v>49</v>
      </c>
      <c r="AG1839" s="1" t="s">
        <v>3464</v>
      </c>
      <c r="AH1839" s="1" t="s">
        <v>49</v>
      </c>
      <c r="AI1839" s="1" t="s">
        <v>54</v>
      </c>
      <c r="AJ1839" s="1">
        <v>1</v>
      </c>
      <c r="AK1839" s="1" t="str">
        <f t="shared" si="28"/>
        <v xml:space="preserve"> =&lt;90</v>
      </c>
      <c r="AL1839" s="1" t="str">
        <f>VLOOKUP(C:C,[1]基础信息!B$1:D$65536,3,0)</f>
        <v>Jug</v>
      </c>
      <c r="AM1839" s="1" t="str">
        <f>VLOOKUP(C:C,[1]基础信息!B$1:E$65536,4,0)</f>
        <v>Mxplus</v>
      </c>
      <c r="AN1839" s="1" t="str">
        <f>VLOOKUP(C:C,[1]基础信息!B$1:F$65536,5,0)</f>
        <v>Blue</v>
      </c>
    </row>
    <row r="1840" spans="1:40">
      <c r="A1840" s="1" t="s">
        <v>41</v>
      </c>
      <c r="B1840" s="1" t="s">
        <v>42</v>
      </c>
      <c r="C1840" s="1" t="s">
        <v>4273</v>
      </c>
      <c r="D1840" s="1" t="s">
        <v>4274</v>
      </c>
      <c r="E1840" s="1" t="s">
        <v>45</v>
      </c>
      <c r="F1840" s="1" t="s">
        <v>4275</v>
      </c>
      <c r="G1840" s="1" t="s">
        <v>4276</v>
      </c>
      <c r="H1840" s="1" t="s">
        <v>45</v>
      </c>
      <c r="I1840" s="1" t="s">
        <v>45</v>
      </c>
      <c r="J1840" s="1" t="s">
        <v>48</v>
      </c>
      <c r="K1840" s="1">
        <v>840</v>
      </c>
      <c r="L1840" s="1">
        <v>0</v>
      </c>
      <c r="M1840" s="1">
        <v>0</v>
      </c>
      <c r="N1840" s="1">
        <v>840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 t="s">
        <v>49</v>
      </c>
      <c r="AA1840" s="1" t="s">
        <v>49</v>
      </c>
      <c r="AB1840" s="1" t="s">
        <v>49</v>
      </c>
      <c r="AC1840" s="1" t="s">
        <v>414</v>
      </c>
      <c r="AD1840" s="1" t="s">
        <v>415</v>
      </c>
      <c r="AE1840" s="1" t="s">
        <v>414</v>
      </c>
      <c r="AF1840" s="1" t="s">
        <v>49</v>
      </c>
      <c r="AG1840" s="1" t="s">
        <v>3464</v>
      </c>
      <c r="AH1840" s="1" t="s">
        <v>49</v>
      </c>
      <c r="AI1840" s="1" t="s">
        <v>54</v>
      </c>
      <c r="AJ1840" s="1">
        <v>1</v>
      </c>
      <c r="AK1840" s="1" t="str">
        <f t="shared" si="28"/>
        <v xml:space="preserve"> =&lt;90</v>
      </c>
      <c r="AL1840" s="1" t="e">
        <f>VLOOKUP(C:C,[1]基础信息!B$1:D$65536,3,0)</f>
        <v>#N/A</v>
      </c>
      <c r="AM1840" s="1" t="e">
        <f>VLOOKUP(C:C,[1]基础信息!B$1:E$65536,4,0)</f>
        <v>#N/A</v>
      </c>
      <c r="AN1840" s="1" t="e">
        <f>VLOOKUP(C:C,[1]基础信息!B$1:F$65536,5,0)</f>
        <v>#N/A</v>
      </c>
    </row>
    <row r="1841" spans="1:40">
      <c r="A1841" s="1" t="s">
        <v>41</v>
      </c>
      <c r="B1841" s="1" t="s">
        <v>42</v>
      </c>
      <c r="C1841" s="1" t="s">
        <v>83</v>
      </c>
      <c r="D1841" s="1" t="s">
        <v>84</v>
      </c>
      <c r="E1841" s="1" t="s">
        <v>45</v>
      </c>
      <c r="F1841" s="1" t="s">
        <v>4271</v>
      </c>
      <c r="G1841" s="1" t="s">
        <v>4277</v>
      </c>
      <c r="H1841" s="1" t="s">
        <v>45</v>
      </c>
      <c r="I1841" s="1" t="s">
        <v>45</v>
      </c>
      <c r="J1841" s="1" t="s">
        <v>48</v>
      </c>
      <c r="K1841" s="1">
        <v>96</v>
      </c>
      <c r="L1841" s="1">
        <v>0</v>
      </c>
      <c r="M1841" s="1">
        <v>0</v>
      </c>
      <c r="N1841" s="1">
        <v>96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 t="s">
        <v>49</v>
      </c>
      <c r="AA1841" s="1" t="s">
        <v>49</v>
      </c>
      <c r="AB1841" s="1" t="s">
        <v>49</v>
      </c>
      <c r="AC1841" s="1" t="s">
        <v>414</v>
      </c>
      <c r="AD1841" s="1" t="s">
        <v>415</v>
      </c>
      <c r="AE1841" s="1" t="s">
        <v>414</v>
      </c>
      <c r="AF1841" s="1" t="s">
        <v>49</v>
      </c>
      <c r="AG1841" s="1" t="s">
        <v>3464</v>
      </c>
      <c r="AH1841" s="1" t="s">
        <v>49</v>
      </c>
      <c r="AI1841" s="1" t="s">
        <v>54</v>
      </c>
      <c r="AJ1841" s="1">
        <v>1</v>
      </c>
      <c r="AK1841" s="1" t="str">
        <f t="shared" si="28"/>
        <v xml:space="preserve"> =&lt;90</v>
      </c>
      <c r="AL1841" s="1" t="str">
        <f>VLOOKUP(C:C,[1]基础信息!B$1:D$65536,3,0)</f>
        <v>Jug</v>
      </c>
      <c r="AM1841" s="1" t="str">
        <f>VLOOKUP(C:C,[1]基础信息!B$1:E$65536,4,0)</f>
        <v>Mxplus</v>
      </c>
      <c r="AN1841" s="1" t="str">
        <f>VLOOKUP(C:C,[1]基础信息!B$1:F$65536,5,0)</f>
        <v>Blue</v>
      </c>
    </row>
    <row r="1842" spans="1:40">
      <c r="A1842" s="1" t="s">
        <v>41</v>
      </c>
      <c r="B1842" s="1" t="s">
        <v>42</v>
      </c>
      <c r="C1842" s="1" t="s">
        <v>4273</v>
      </c>
      <c r="D1842" s="1" t="s">
        <v>4274</v>
      </c>
      <c r="E1842" s="1" t="s">
        <v>45</v>
      </c>
      <c r="F1842" s="1" t="s">
        <v>4275</v>
      </c>
      <c r="G1842" s="1" t="s">
        <v>4278</v>
      </c>
      <c r="H1842" s="1" t="s">
        <v>45</v>
      </c>
      <c r="I1842" s="1" t="s">
        <v>45</v>
      </c>
      <c r="J1842" s="1" t="s">
        <v>48</v>
      </c>
      <c r="K1842" s="1">
        <v>840</v>
      </c>
      <c r="L1842" s="1">
        <v>0</v>
      </c>
      <c r="M1842" s="1">
        <v>0</v>
      </c>
      <c r="N1842" s="1">
        <v>840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 t="s">
        <v>49</v>
      </c>
      <c r="AA1842" s="1" t="s">
        <v>49</v>
      </c>
      <c r="AB1842" s="1" t="s">
        <v>49</v>
      </c>
      <c r="AC1842" s="1" t="s">
        <v>414</v>
      </c>
      <c r="AD1842" s="1" t="s">
        <v>415</v>
      </c>
      <c r="AE1842" s="1" t="s">
        <v>414</v>
      </c>
      <c r="AF1842" s="1" t="s">
        <v>49</v>
      </c>
      <c r="AG1842" s="1" t="s">
        <v>3464</v>
      </c>
      <c r="AH1842" s="1" t="s">
        <v>49</v>
      </c>
      <c r="AI1842" s="1" t="s">
        <v>54</v>
      </c>
      <c r="AJ1842" s="1">
        <v>1</v>
      </c>
      <c r="AK1842" s="1" t="str">
        <f t="shared" si="28"/>
        <v xml:space="preserve"> =&lt;90</v>
      </c>
      <c r="AL1842" s="1" t="e">
        <f>VLOOKUP(C:C,[1]基础信息!B$1:D$65536,3,0)</f>
        <v>#N/A</v>
      </c>
      <c r="AM1842" s="1" t="e">
        <f>VLOOKUP(C:C,[1]基础信息!B$1:E$65536,4,0)</f>
        <v>#N/A</v>
      </c>
      <c r="AN1842" s="1" t="e">
        <f>VLOOKUP(C:C,[1]基础信息!B$1:F$65536,5,0)</f>
        <v>#N/A</v>
      </c>
    </row>
    <row r="1843" spans="1:40">
      <c r="A1843" s="1" t="s">
        <v>41</v>
      </c>
      <c r="B1843" s="1" t="s">
        <v>42</v>
      </c>
      <c r="C1843" s="1" t="s">
        <v>83</v>
      </c>
      <c r="D1843" s="1" t="s">
        <v>84</v>
      </c>
      <c r="E1843" s="1" t="s">
        <v>45</v>
      </c>
      <c r="F1843" s="1" t="s">
        <v>4271</v>
      </c>
      <c r="G1843" s="1" t="s">
        <v>4279</v>
      </c>
      <c r="H1843" s="1" t="s">
        <v>45</v>
      </c>
      <c r="I1843" s="1" t="s">
        <v>45</v>
      </c>
      <c r="J1843" s="1" t="s">
        <v>48</v>
      </c>
      <c r="K1843" s="1">
        <v>96</v>
      </c>
      <c r="L1843" s="1">
        <v>0</v>
      </c>
      <c r="M1843" s="1">
        <v>0</v>
      </c>
      <c r="N1843" s="1">
        <v>96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 t="s">
        <v>49</v>
      </c>
      <c r="AA1843" s="1" t="s">
        <v>49</v>
      </c>
      <c r="AB1843" s="1" t="s">
        <v>49</v>
      </c>
      <c r="AC1843" s="1" t="s">
        <v>414</v>
      </c>
      <c r="AD1843" s="1" t="s">
        <v>415</v>
      </c>
      <c r="AE1843" s="1" t="s">
        <v>414</v>
      </c>
      <c r="AF1843" s="1" t="s">
        <v>49</v>
      </c>
      <c r="AG1843" s="1" t="s">
        <v>3464</v>
      </c>
      <c r="AH1843" s="1" t="s">
        <v>49</v>
      </c>
      <c r="AI1843" s="1" t="s">
        <v>54</v>
      </c>
      <c r="AJ1843" s="1">
        <v>1</v>
      </c>
      <c r="AK1843" s="1" t="str">
        <f t="shared" si="28"/>
        <v xml:space="preserve"> =&lt;90</v>
      </c>
      <c r="AL1843" s="1" t="str">
        <f>VLOOKUP(C:C,[1]基础信息!B$1:D$65536,3,0)</f>
        <v>Jug</v>
      </c>
      <c r="AM1843" s="1" t="str">
        <f>VLOOKUP(C:C,[1]基础信息!B$1:E$65536,4,0)</f>
        <v>Mxplus</v>
      </c>
      <c r="AN1843" s="1" t="str">
        <f>VLOOKUP(C:C,[1]基础信息!B$1:F$65536,5,0)</f>
        <v>Blue</v>
      </c>
    </row>
    <row r="1844" spans="1:40">
      <c r="A1844" s="1" t="s">
        <v>41</v>
      </c>
      <c r="B1844" s="1" t="s">
        <v>42</v>
      </c>
      <c r="C1844" s="1" t="s">
        <v>4273</v>
      </c>
      <c r="D1844" s="1" t="s">
        <v>4274</v>
      </c>
      <c r="E1844" s="1" t="s">
        <v>45</v>
      </c>
      <c r="F1844" s="1" t="s">
        <v>4275</v>
      </c>
      <c r="G1844" s="1" t="s">
        <v>4280</v>
      </c>
      <c r="H1844" s="1" t="s">
        <v>45</v>
      </c>
      <c r="I1844" s="1" t="s">
        <v>45</v>
      </c>
      <c r="J1844" s="1" t="s">
        <v>48</v>
      </c>
      <c r="K1844" s="1">
        <v>840</v>
      </c>
      <c r="L1844" s="1">
        <v>0</v>
      </c>
      <c r="M1844" s="1">
        <v>0</v>
      </c>
      <c r="N1844" s="1">
        <v>840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 t="s">
        <v>49</v>
      </c>
      <c r="AA1844" s="1" t="s">
        <v>49</v>
      </c>
      <c r="AB1844" s="1" t="s">
        <v>49</v>
      </c>
      <c r="AC1844" s="1" t="s">
        <v>414</v>
      </c>
      <c r="AD1844" s="1" t="s">
        <v>415</v>
      </c>
      <c r="AE1844" s="1" t="s">
        <v>414</v>
      </c>
      <c r="AF1844" s="1" t="s">
        <v>49</v>
      </c>
      <c r="AG1844" s="1" t="s">
        <v>3464</v>
      </c>
      <c r="AH1844" s="1" t="s">
        <v>49</v>
      </c>
      <c r="AI1844" s="1" t="s">
        <v>54</v>
      </c>
      <c r="AJ1844" s="1">
        <v>1</v>
      </c>
      <c r="AK1844" s="1" t="str">
        <f t="shared" si="28"/>
        <v xml:space="preserve"> =&lt;90</v>
      </c>
      <c r="AL1844" s="1" t="e">
        <f>VLOOKUP(C:C,[1]基础信息!B$1:D$65536,3,0)</f>
        <v>#N/A</v>
      </c>
      <c r="AM1844" s="1" t="e">
        <f>VLOOKUP(C:C,[1]基础信息!B$1:E$65536,4,0)</f>
        <v>#N/A</v>
      </c>
      <c r="AN1844" s="1" t="e">
        <f>VLOOKUP(C:C,[1]基础信息!B$1:F$65536,5,0)</f>
        <v>#N/A</v>
      </c>
    </row>
    <row r="1845" spans="1:40">
      <c r="A1845" s="1" t="s">
        <v>41</v>
      </c>
      <c r="B1845" s="1" t="s">
        <v>42</v>
      </c>
      <c r="C1845" s="1" t="s">
        <v>83</v>
      </c>
      <c r="D1845" s="1" t="s">
        <v>84</v>
      </c>
      <c r="E1845" s="1" t="s">
        <v>45</v>
      </c>
      <c r="F1845" s="1" t="s">
        <v>4271</v>
      </c>
      <c r="G1845" s="1" t="s">
        <v>4281</v>
      </c>
      <c r="H1845" s="1" t="s">
        <v>45</v>
      </c>
      <c r="I1845" s="1" t="s">
        <v>45</v>
      </c>
      <c r="J1845" s="1" t="s">
        <v>48</v>
      </c>
      <c r="K1845" s="1">
        <v>96</v>
      </c>
      <c r="L1845" s="1">
        <v>0</v>
      </c>
      <c r="M1845" s="1">
        <v>0</v>
      </c>
      <c r="N1845" s="1">
        <v>96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 t="s">
        <v>49</v>
      </c>
      <c r="AA1845" s="1" t="s">
        <v>49</v>
      </c>
      <c r="AB1845" s="1" t="s">
        <v>49</v>
      </c>
      <c r="AC1845" s="1" t="s">
        <v>414</v>
      </c>
      <c r="AD1845" s="1" t="s">
        <v>415</v>
      </c>
      <c r="AE1845" s="1" t="s">
        <v>414</v>
      </c>
      <c r="AF1845" s="1" t="s">
        <v>49</v>
      </c>
      <c r="AG1845" s="1" t="s">
        <v>3464</v>
      </c>
      <c r="AH1845" s="1" t="s">
        <v>49</v>
      </c>
      <c r="AI1845" s="1" t="s">
        <v>54</v>
      </c>
      <c r="AJ1845" s="1">
        <v>1</v>
      </c>
      <c r="AK1845" s="1" t="str">
        <f t="shared" si="28"/>
        <v xml:space="preserve"> =&lt;90</v>
      </c>
      <c r="AL1845" s="1" t="str">
        <f>VLOOKUP(C:C,[1]基础信息!B$1:D$65536,3,0)</f>
        <v>Jug</v>
      </c>
      <c r="AM1845" s="1" t="str">
        <f>VLOOKUP(C:C,[1]基础信息!B$1:E$65536,4,0)</f>
        <v>Mxplus</v>
      </c>
      <c r="AN1845" s="1" t="str">
        <f>VLOOKUP(C:C,[1]基础信息!B$1:F$65536,5,0)</f>
        <v>Blue</v>
      </c>
    </row>
    <row r="1846" spans="1:40">
      <c r="A1846" s="1" t="s">
        <v>41</v>
      </c>
      <c r="B1846" s="1" t="s">
        <v>42</v>
      </c>
      <c r="C1846" s="1" t="s">
        <v>43</v>
      </c>
      <c r="D1846" s="1" t="s">
        <v>44</v>
      </c>
      <c r="E1846" s="1" t="s">
        <v>45</v>
      </c>
      <c r="F1846" s="1" t="s">
        <v>4282</v>
      </c>
      <c r="G1846" s="1" t="s">
        <v>4283</v>
      </c>
      <c r="H1846" s="1" t="s">
        <v>4284</v>
      </c>
      <c r="I1846" s="1" t="s">
        <v>49</v>
      </c>
      <c r="J1846" s="1" t="s">
        <v>48</v>
      </c>
      <c r="K1846" s="1">
        <v>48</v>
      </c>
      <c r="L1846" s="1">
        <v>0</v>
      </c>
      <c r="M1846" s="1">
        <v>0</v>
      </c>
      <c r="N1846" s="1">
        <v>48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 t="s">
        <v>49</v>
      </c>
      <c r="AA1846" s="1" t="s">
        <v>49</v>
      </c>
      <c r="AB1846" s="1" t="s">
        <v>49</v>
      </c>
      <c r="AC1846" s="1" t="s">
        <v>4285</v>
      </c>
      <c r="AD1846" s="1" t="s">
        <v>4286</v>
      </c>
      <c r="AE1846" s="1" t="s">
        <v>4285</v>
      </c>
      <c r="AF1846" s="1" t="s">
        <v>4287</v>
      </c>
      <c r="AG1846" s="1" t="s">
        <v>53</v>
      </c>
      <c r="AH1846" s="1" t="s">
        <v>49</v>
      </c>
      <c r="AI1846" s="1" t="s">
        <v>54</v>
      </c>
      <c r="AJ1846" s="1">
        <v>1</v>
      </c>
      <c r="AK1846" s="1" t="str">
        <f t="shared" si="28"/>
        <v xml:space="preserve"> =&lt;90</v>
      </c>
      <c r="AL1846" s="1" t="str">
        <f>VLOOKUP(C:C,[1]基础信息!B$1:D$65536,3,0)</f>
        <v>Jug</v>
      </c>
      <c r="AM1846" s="1" t="str">
        <f>VLOOKUP(C:C,[1]基础信息!B$1:E$65536,4,0)</f>
        <v>Marella XL</v>
      </c>
      <c r="AN1846" s="1" t="str">
        <f>VLOOKUP(C:C,[1]基础信息!B$1:F$65536,5,0)</f>
        <v>Black</v>
      </c>
    </row>
    <row r="1847" spans="1:40">
      <c r="A1847" s="1" t="s">
        <v>41</v>
      </c>
      <c r="B1847" s="1" t="s">
        <v>42</v>
      </c>
      <c r="C1847" s="1" t="s">
        <v>43</v>
      </c>
      <c r="D1847" s="1" t="s">
        <v>44</v>
      </c>
      <c r="E1847" s="1" t="s">
        <v>45</v>
      </c>
      <c r="F1847" s="1" t="s">
        <v>4282</v>
      </c>
      <c r="G1847" s="1" t="s">
        <v>4288</v>
      </c>
      <c r="H1847" s="1" t="s">
        <v>4289</v>
      </c>
      <c r="I1847" s="1" t="s">
        <v>49</v>
      </c>
      <c r="J1847" s="1" t="s">
        <v>48</v>
      </c>
      <c r="K1847" s="1">
        <v>96</v>
      </c>
      <c r="L1847" s="1">
        <v>0</v>
      </c>
      <c r="M1847" s="1">
        <v>0</v>
      </c>
      <c r="N1847" s="1">
        <v>96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 t="s">
        <v>49</v>
      </c>
      <c r="AA1847" s="1" t="s">
        <v>49</v>
      </c>
      <c r="AB1847" s="1" t="s">
        <v>49</v>
      </c>
      <c r="AC1847" s="1" t="s">
        <v>4285</v>
      </c>
      <c r="AD1847" s="1" t="s">
        <v>4286</v>
      </c>
      <c r="AE1847" s="1" t="s">
        <v>4285</v>
      </c>
      <c r="AF1847" s="1" t="s">
        <v>4287</v>
      </c>
      <c r="AG1847" s="1" t="s">
        <v>53</v>
      </c>
      <c r="AH1847" s="1" t="s">
        <v>49</v>
      </c>
      <c r="AI1847" s="1" t="s">
        <v>54</v>
      </c>
      <c r="AJ1847" s="1">
        <v>1</v>
      </c>
      <c r="AK1847" s="1" t="str">
        <f t="shared" si="28"/>
        <v xml:space="preserve"> =&lt;90</v>
      </c>
      <c r="AL1847" s="1" t="str">
        <f>VLOOKUP(C:C,[1]基础信息!B$1:D$65536,3,0)</f>
        <v>Jug</v>
      </c>
      <c r="AM1847" s="1" t="str">
        <f>VLOOKUP(C:C,[1]基础信息!B$1:E$65536,4,0)</f>
        <v>Marella XL</v>
      </c>
      <c r="AN1847" s="1" t="str">
        <f>VLOOKUP(C:C,[1]基础信息!B$1:F$65536,5,0)</f>
        <v>Black</v>
      </c>
    </row>
    <row r="1848" spans="1:40">
      <c r="A1848" s="1" t="s">
        <v>41</v>
      </c>
      <c r="B1848" s="1" t="s">
        <v>42</v>
      </c>
      <c r="C1848" s="1" t="s">
        <v>1437</v>
      </c>
      <c r="D1848" s="1" t="s">
        <v>1438</v>
      </c>
      <c r="E1848" s="1" t="s">
        <v>45</v>
      </c>
      <c r="F1848" s="1" t="s">
        <v>3500</v>
      </c>
      <c r="G1848" s="1" t="s">
        <v>4290</v>
      </c>
      <c r="H1848" s="1" t="s">
        <v>45</v>
      </c>
      <c r="I1848" s="1" t="s">
        <v>45</v>
      </c>
      <c r="J1848" s="1" t="s">
        <v>48</v>
      </c>
      <c r="K1848" s="1">
        <v>468</v>
      </c>
      <c r="L1848" s="1">
        <v>0</v>
      </c>
      <c r="M1848" s="1">
        <v>0</v>
      </c>
      <c r="N1848" s="1">
        <v>468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 t="s">
        <v>49</v>
      </c>
      <c r="AA1848" s="1" t="s">
        <v>49</v>
      </c>
      <c r="AB1848" s="1" t="s">
        <v>49</v>
      </c>
      <c r="AC1848" s="1" t="s">
        <v>3502</v>
      </c>
      <c r="AD1848" s="1" t="s">
        <v>3503</v>
      </c>
      <c r="AE1848" s="1" t="s">
        <v>3502</v>
      </c>
      <c r="AF1848" s="1" t="s">
        <v>3504</v>
      </c>
      <c r="AG1848" s="1" t="s">
        <v>53</v>
      </c>
      <c r="AH1848" s="1" t="s">
        <v>49</v>
      </c>
      <c r="AI1848" s="1" t="s">
        <v>54</v>
      </c>
      <c r="AJ1848" s="1">
        <v>1</v>
      </c>
      <c r="AK1848" s="1" t="str">
        <f t="shared" si="28"/>
        <v xml:space="preserve"> =&lt;90</v>
      </c>
      <c r="AL1848" s="1" t="str">
        <f>VLOOKUP(C:C,[1]基础信息!B$1:D$65536,3,0)</f>
        <v>On tap</v>
      </c>
      <c r="AM1848" s="1" t="str">
        <f>VLOOKUP(C:C,[1]基础信息!B$1:E$65536,4,0)</f>
        <v>On tap</v>
      </c>
      <c r="AN1848" s="1" t="str">
        <f>VLOOKUP(C:C,[1]基础信息!B$1:F$65536,5,0)</f>
        <v>On tap</v>
      </c>
    </row>
    <row r="1849" spans="1:40">
      <c r="A1849" s="1" t="s">
        <v>41</v>
      </c>
      <c r="B1849" s="1" t="s">
        <v>42</v>
      </c>
      <c r="C1849" s="1" t="s">
        <v>83</v>
      </c>
      <c r="D1849" s="1" t="s">
        <v>84</v>
      </c>
      <c r="E1849" s="1" t="s">
        <v>45</v>
      </c>
      <c r="F1849" s="1" t="s">
        <v>4271</v>
      </c>
      <c r="G1849" s="1" t="s">
        <v>4291</v>
      </c>
      <c r="H1849" s="1" t="s">
        <v>45</v>
      </c>
      <c r="I1849" s="1" t="s">
        <v>45</v>
      </c>
      <c r="J1849" s="1" t="s">
        <v>48</v>
      </c>
      <c r="K1849" s="1">
        <v>96</v>
      </c>
      <c r="L1849" s="1">
        <v>0</v>
      </c>
      <c r="M1849" s="1">
        <v>0</v>
      </c>
      <c r="N1849" s="1">
        <v>96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 t="s">
        <v>49</v>
      </c>
      <c r="AA1849" s="1" t="s">
        <v>49</v>
      </c>
      <c r="AB1849" s="1" t="s">
        <v>49</v>
      </c>
      <c r="AC1849" s="1" t="s">
        <v>414</v>
      </c>
      <c r="AD1849" s="1" t="s">
        <v>415</v>
      </c>
      <c r="AE1849" s="1" t="s">
        <v>414</v>
      </c>
      <c r="AF1849" s="1" t="s">
        <v>49</v>
      </c>
      <c r="AG1849" s="1" t="s">
        <v>3464</v>
      </c>
      <c r="AH1849" s="1" t="s">
        <v>49</v>
      </c>
      <c r="AI1849" s="1" t="s">
        <v>54</v>
      </c>
      <c r="AJ1849" s="1">
        <v>1</v>
      </c>
      <c r="AK1849" s="1" t="str">
        <f t="shared" si="28"/>
        <v xml:space="preserve"> =&lt;90</v>
      </c>
      <c r="AL1849" s="1" t="str">
        <f>VLOOKUP(C:C,[1]基础信息!B$1:D$65536,3,0)</f>
        <v>Jug</v>
      </c>
      <c r="AM1849" s="1" t="str">
        <f>VLOOKUP(C:C,[1]基础信息!B$1:E$65536,4,0)</f>
        <v>Mxplus</v>
      </c>
      <c r="AN1849" s="1" t="str">
        <f>VLOOKUP(C:C,[1]基础信息!B$1:F$65536,5,0)</f>
        <v>Blue</v>
      </c>
    </row>
    <row r="1850" spans="1:40">
      <c r="A1850" s="1" t="s">
        <v>41</v>
      </c>
      <c r="B1850" s="1" t="s">
        <v>42</v>
      </c>
      <c r="C1850" s="1" t="s">
        <v>43</v>
      </c>
      <c r="D1850" s="1" t="s">
        <v>44</v>
      </c>
      <c r="E1850" s="1" t="s">
        <v>45</v>
      </c>
      <c r="F1850" s="1" t="s">
        <v>4282</v>
      </c>
      <c r="G1850" s="1" t="s">
        <v>4292</v>
      </c>
      <c r="H1850" s="1" t="s">
        <v>4293</v>
      </c>
      <c r="I1850" s="1" t="s">
        <v>49</v>
      </c>
      <c r="J1850" s="1" t="s">
        <v>48</v>
      </c>
      <c r="K1850" s="1">
        <v>96</v>
      </c>
      <c r="L1850" s="1">
        <v>0</v>
      </c>
      <c r="M1850" s="1">
        <v>0</v>
      </c>
      <c r="N1850" s="1">
        <v>96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 t="s">
        <v>49</v>
      </c>
      <c r="AA1850" s="1" t="s">
        <v>49</v>
      </c>
      <c r="AB1850" s="1" t="s">
        <v>49</v>
      </c>
      <c r="AC1850" s="1" t="s">
        <v>4285</v>
      </c>
      <c r="AD1850" s="1" t="s">
        <v>4286</v>
      </c>
      <c r="AE1850" s="1" t="s">
        <v>4285</v>
      </c>
      <c r="AF1850" s="1" t="s">
        <v>4287</v>
      </c>
      <c r="AG1850" s="1" t="s">
        <v>53</v>
      </c>
      <c r="AH1850" s="1" t="s">
        <v>49</v>
      </c>
      <c r="AI1850" s="1" t="s">
        <v>54</v>
      </c>
      <c r="AJ1850" s="1">
        <v>1</v>
      </c>
      <c r="AK1850" s="1" t="str">
        <f t="shared" si="28"/>
        <v xml:space="preserve"> =&lt;90</v>
      </c>
      <c r="AL1850" s="1" t="str">
        <f>VLOOKUP(C:C,[1]基础信息!B$1:D$65536,3,0)</f>
        <v>Jug</v>
      </c>
      <c r="AM1850" s="1" t="str">
        <f>VLOOKUP(C:C,[1]基础信息!B$1:E$65536,4,0)</f>
        <v>Marella XL</v>
      </c>
      <c r="AN1850" s="1" t="str">
        <f>VLOOKUP(C:C,[1]基础信息!B$1:F$65536,5,0)</f>
        <v>Black</v>
      </c>
    </row>
    <row r="1851" spans="1:40">
      <c r="A1851" s="1" t="s">
        <v>41</v>
      </c>
      <c r="B1851" s="1" t="s">
        <v>42</v>
      </c>
      <c r="C1851" s="1" t="s">
        <v>43</v>
      </c>
      <c r="D1851" s="1" t="s">
        <v>44</v>
      </c>
      <c r="E1851" s="1" t="s">
        <v>45</v>
      </c>
      <c r="F1851" s="1" t="s">
        <v>4282</v>
      </c>
      <c r="G1851" s="1" t="s">
        <v>4294</v>
      </c>
      <c r="H1851" s="1" t="s">
        <v>4295</v>
      </c>
      <c r="I1851" s="1" t="s">
        <v>49</v>
      </c>
      <c r="J1851" s="1" t="s">
        <v>48</v>
      </c>
      <c r="K1851" s="1">
        <v>96</v>
      </c>
      <c r="L1851" s="1">
        <v>0</v>
      </c>
      <c r="M1851" s="1">
        <v>0</v>
      </c>
      <c r="N1851" s="1">
        <v>96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 t="s">
        <v>49</v>
      </c>
      <c r="AA1851" s="1" t="s">
        <v>49</v>
      </c>
      <c r="AB1851" s="1" t="s">
        <v>49</v>
      </c>
      <c r="AC1851" s="1" t="s">
        <v>4285</v>
      </c>
      <c r="AD1851" s="1" t="s">
        <v>4286</v>
      </c>
      <c r="AE1851" s="1" t="s">
        <v>4285</v>
      </c>
      <c r="AF1851" s="1" t="s">
        <v>4287</v>
      </c>
      <c r="AG1851" s="1" t="s">
        <v>53</v>
      </c>
      <c r="AH1851" s="1" t="s">
        <v>49</v>
      </c>
      <c r="AI1851" s="1" t="s">
        <v>54</v>
      </c>
      <c r="AJ1851" s="1">
        <v>1</v>
      </c>
      <c r="AK1851" s="1" t="str">
        <f t="shared" si="28"/>
        <v xml:space="preserve"> =&lt;90</v>
      </c>
      <c r="AL1851" s="1" t="str">
        <f>VLOOKUP(C:C,[1]基础信息!B$1:D$65536,3,0)</f>
        <v>Jug</v>
      </c>
      <c r="AM1851" s="1" t="str">
        <f>VLOOKUP(C:C,[1]基础信息!B$1:E$65536,4,0)</f>
        <v>Marella XL</v>
      </c>
      <c r="AN1851" s="1" t="str">
        <f>VLOOKUP(C:C,[1]基础信息!B$1:F$65536,5,0)</f>
        <v>Black</v>
      </c>
    </row>
    <row r="1852" spans="1:40">
      <c r="A1852" s="1" t="s">
        <v>41</v>
      </c>
      <c r="B1852" s="1" t="s">
        <v>42</v>
      </c>
      <c r="C1852" s="1" t="s">
        <v>43</v>
      </c>
      <c r="D1852" s="1" t="s">
        <v>44</v>
      </c>
      <c r="E1852" s="1" t="s">
        <v>45</v>
      </c>
      <c r="F1852" s="1" t="s">
        <v>4282</v>
      </c>
      <c r="G1852" s="1" t="s">
        <v>4296</v>
      </c>
      <c r="H1852" s="1" t="s">
        <v>4297</v>
      </c>
      <c r="I1852" s="1" t="s">
        <v>49</v>
      </c>
      <c r="J1852" s="1" t="s">
        <v>48</v>
      </c>
      <c r="K1852" s="1">
        <v>96</v>
      </c>
      <c r="L1852" s="1">
        <v>0</v>
      </c>
      <c r="M1852" s="1">
        <v>0</v>
      </c>
      <c r="N1852" s="1">
        <v>96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 t="s">
        <v>49</v>
      </c>
      <c r="AA1852" s="1" t="s">
        <v>49</v>
      </c>
      <c r="AB1852" s="1" t="s">
        <v>49</v>
      </c>
      <c r="AC1852" s="1" t="s">
        <v>4285</v>
      </c>
      <c r="AD1852" s="1" t="s">
        <v>4286</v>
      </c>
      <c r="AE1852" s="1" t="s">
        <v>4285</v>
      </c>
      <c r="AF1852" s="1" t="s">
        <v>4287</v>
      </c>
      <c r="AG1852" s="1" t="s">
        <v>53</v>
      </c>
      <c r="AH1852" s="1" t="s">
        <v>49</v>
      </c>
      <c r="AI1852" s="1" t="s">
        <v>54</v>
      </c>
      <c r="AJ1852" s="1">
        <v>1</v>
      </c>
      <c r="AK1852" s="1" t="str">
        <f t="shared" si="28"/>
        <v xml:space="preserve"> =&lt;90</v>
      </c>
      <c r="AL1852" s="1" t="str">
        <f>VLOOKUP(C:C,[1]基础信息!B$1:D$65536,3,0)</f>
        <v>Jug</v>
      </c>
      <c r="AM1852" s="1" t="str">
        <f>VLOOKUP(C:C,[1]基础信息!B$1:E$65536,4,0)</f>
        <v>Marella XL</v>
      </c>
      <c r="AN1852" s="1" t="str">
        <f>VLOOKUP(C:C,[1]基础信息!B$1:F$65536,5,0)</f>
        <v>Black</v>
      </c>
    </row>
    <row r="1853" spans="1:40">
      <c r="A1853" s="1" t="s">
        <v>41</v>
      </c>
      <c r="B1853" s="1" t="s">
        <v>42</v>
      </c>
      <c r="C1853" s="1" t="s">
        <v>4245</v>
      </c>
      <c r="D1853" s="1" t="s">
        <v>4246</v>
      </c>
      <c r="E1853" s="1" t="s">
        <v>4245</v>
      </c>
      <c r="F1853" s="1" t="s">
        <v>4298</v>
      </c>
      <c r="G1853" s="1" t="s">
        <v>4299</v>
      </c>
      <c r="H1853" s="1" t="s">
        <v>45</v>
      </c>
      <c r="I1853" s="1" t="s">
        <v>45</v>
      </c>
      <c r="J1853" s="1" t="s">
        <v>48</v>
      </c>
      <c r="K1853" s="1">
        <v>1</v>
      </c>
      <c r="L1853" s="1">
        <v>0</v>
      </c>
      <c r="M1853" s="1">
        <v>0</v>
      </c>
      <c r="N1853" s="1">
        <v>1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 t="s">
        <v>49</v>
      </c>
      <c r="AA1853" s="1" t="s">
        <v>49</v>
      </c>
      <c r="AB1853" s="1" t="s">
        <v>49</v>
      </c>
      <c r="AC1853" s="1" t="s">
        <v>4300</v>
      </c>
      <c r="AD1853" s="1" t="s">
        <v>4301</v>
      </c>
      <c r="AE1853" s="1" t="s">
        <v>4300</v>
      </c>
      <c r="AF1853" s="1" t="s">
        <v>49</v>
      </c>
      <c r="AG1853" s="1" t="s">
        <v>227</v>
      </c>
      <c r="AH1853" s="1" t="s">
        <v>49</v>
      </c>
      <c r="AI1853" s="1" t="s">
        <v>54</v>
      </c>
      <c r="AJ1853" s="1">
        <v>1</v>
      </c>
      <c r="AK1853" s="1" t="str">
        <f t="shared" si="28"/>
        <v xml:space="preserve"> =&lt;90</v>
      </c>
      <c r="AL1853" s="1" t="str">
        <f>VLOOKUP(C:C,[1]基础信息!B$1:D$65536,3,0)</f>
        <v>UTS</v>
      </c>
      <c r="AM1853" s="1" t="str">
        <f>VLOOKUP(C:C,[1]基础信息!B$1:E$65536,4,0)</f>
        <v>MyPure Pro</v>
      </c>
      <c r="AN1853" s="1" t="str">
        <f>VLOOKUP(C:C,[1]基础信息!B$1:F$65536,5,0)</f>
        <v>X9</v>
      </c>
    </row>
    <row r="1854" spans="1:40">
      <c r="A1854" s="1" t="s">
        <v>41</v>
      </c>
      <c r="B1854" s="1" t="s">
        <v>42</v>
      </c>
      <c r="C1854" s="1" t="s">
        <v>3796</v>
      </c>
      <c r="D1854" s="1" t="s">
        <v>3797</v>
      </c>
      <c r="E1854" s="1" t="s">
        <v>3796</v>
      </c>
      <c r="F1854" s="1" t="s">
        <v>4302</v>
      </c>
      <c r="G1854" s="1" t="s">
        <v>4303</v>
      </c>
      <c r="H1854" s="1" t="s">
        <v>45</v>
      </c>
      <c r="I1854" s="1" t="s">
        <v>45</v>
      </c>
      <c r="J1854" s="1" t="s">
        <v>48</v>
      </c>
      <c r="K1854" s="1">
        <v>41</v>
      </c>
      <c r="L1854" s="1">
        <v>0</v>
      </c>
      <c r="M1854" s="1">
        <v>0</v>
      </c>
      <c r="N1854" s="1">
        <v>41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 t="s">
        <v>49</v>
      </c>
      <c r="AA1854" s="1" t="s">
        <v>49</v>
      </c>
      <c r="AB1854" s="1" t="s">
        <v>49</v>
      </c>
      <c r="AC1854" s="1" t="s">
        <v>4304</v>
      </c>
      <c r="AD1854" s="1" t="s">
        <v>4305</v>
      </c>
      <c r="AE1854" s="1" t="s">
        <v>4304</v>
      </c>
      <c r="AF1854" s="1" t="s">
        <v>4306</v>
      </c>
      <c r="AG1854" s="1" t="s">
        <v>338</v>
      </c>
      <c r="AH1854" s="1" t="s">
        <v>49</v>
      </c>
      <c r="AI1854" s="1" t="s">
        <v>54</v>
      </c>
      <c r="AJ1854" s="1">
        <v>1</v>
      </c>
      <c r="AK1854" s="1" t="str">
        <f t="shared" si="28"/>
        <v xml:space="preserve"> =&lt;90</v>
      </c>
      <c r="AL1854" s="1" t="str">
        <f>VLOOKUP(C:C,[1]基础信息!B$1:D$65536,3,0)</f>
        <v>Jug</v>
      </c>
      <c r="AM1854" s="1" t="str">
        <f>VLOOKUP(C:C,[1]基础信息!B$1:E$65536,4,0)</f>
        <v>Aluna</v>
      </c>
      <c r="AN1854" s="1" t="str">
        <f>VLOOKUP(C:C,[1]基础信息!B$1:F$65536,5,0)</f>
        <v>Blue</v>
      </c>
    </row>
    <row r="1855" spans="1:40">
      <c r="A1855" s="1" t="s">
        <v>41</v>
      </c>
      <c r="B1855" s="1" t="s">
        <v>42</v>
      </c>
      <c r="C1855" s="1" t="s">
        <v>43</v>
      </c>
      <c r="D1855" s="1" t="s">
        <v>44</v>
      </c>
      <c r="E1855" s="1" t="s">
        <v>45</v>
      </c>
      <c r="F1855" s="1" t="s">
        <v>4282</v>
      </c>
      <c r="G1855" s="1" t="s">
        <v>4307</v>
      </c>
      <c r="H1855" s="1" t="s">
        <v>4308</v>
      </c>
      <c r="I1855" s="1" t="s">
        <v>49</v>
      </c>
      <c r="J1855" s="1" t="s">
        <v>48</v>
      </c>
      <c r="K1855" s="1">
        <v>96</v>
      </c>
      <c r="L1855" s="1">
        <v>0</v>
      </c>
      <c r="M1855" s="1">
        <v>0</v>
      </c>
      <c r="N1855" s="1">
        <v>96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 t="s">
        <v>49</v>
      </c>
      <c r="AA1855" s="1" t="s">
        <v>49</v>
      </c>
      <c r="AB1855" s="1" t="s">
        <v>49</v>
      </c>
      <c r="AC1855" s="1" t="s">
        <v>4285</v>
      </c>
      <c r="AD1855" s="1" t="s">
        <v>4286</v>
      </c>
      <c r="AE1855" s="1" t="s">
        <v>4285</v>
      </c>
      <c r="AF1855" s="1" t="s">
        <v>4287</v>
      </c>
      <c r="AG1855" s="1" t="s">
        <v>53</v>
      </c>
      <c r="AH1855" s="1" t="s">
        <v>49</v>
      </c>
      <c r="AI1855" s="1" t="s">
        <v>54</v>
      </c>
      <c r="AJ1855" s="1">
        <v>1</v>
      </c>
      <c r="AK1855" s="1" t="str">
        <f t="shared" si="28"/>
        <v xml:space="preserve"> =&lt;90</v>
      </c>
      <c r="AL1855" s="1" t="str">
        <f>VLOOKUP(C:C,[1]基础信息!B$1:D$65536,3,0)</f>
        <v>Jug</v>
      </c>
      <c r="AM1855" s="1" t="str">
        <f>VLOOKUP(C:C,[1]基础信息!B$1:E$65536,4,0)</f>
        <v>Marella XL</v>
      </c>
      <c r="AN1855" s="1" t="str">
        <f>VLOOKUP(C:C,[1]基础信息!B$1:F$65536,5,0)</f>
        <v>Black</v>
      </c>
    </row>
    <row r="1856" spans="1:40">
      <c r="A1856" s="1" t="s">
        <v>41</v>
      </c>
      <c r="B1856" s="1" t="s">
        <v>42</v>
      </c>
      <c r="C1856" s="1" t="s">
        <v>43</v>
      </c>
      <c r="D1856" s="1" t="s">
        <v>44</v>
      </c>
      <c r="E1856" s="1" t="s">
        <v>45</v>
      </c>
      <c r="F1856" s="1" t="s">
        <v>4282</v>
      </c>
      <c r="G1856" s="1" t="s">
        <v>4309</v>
      </c>
      <c r="H1856" s="1" t="s">
        <v>4310</v>
      </c>
      <c r="I1856" s="1" t="s">
        <v>49</v>
      </c>
      <c r="J1856" s="1" t="s">
        <v>48</v>
      </c>
      <c r="K1856" s="1">
        <v>96</v>
      </c>
      <c r="L1856" s="1">
        <v>0</v>
      </c>
      <c r="M1856" s="1">
        <v>0</v>
      </c>
      <c r="N1856" s="1">
        <v>96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 t="s">
        <v>49</v>
      </c>
      <c r="AA1856" s="1" t="s">
        <v>49</v>
      </c>
      <c r="AB1856" s="1" t="s">
        <v>49</v>
      </c>
      <c r="AC1856" s="1" t="s">
        <v>4285</v>
      </c>
      <c r="AD1856" s="1" t="s">
        <v>4286</v>
      </c>
      <c r="AE1856" s="1" t="s">
        <v>4285</v>
      </c>
      <c r="AF1856" s="1" t="s">
        <v>4287</v>
      </c>
      <c r="AG1856" s="1" t="s">
        <v>53</v>
      </c>
      <c r="AH1856" s="1" t="s">
        <v>49</v>
      </c>
      <c r="AI1856" s="1" t="s">
        <v>54</v>
      </c>
      <c r="AJ1856" s="1">
        <v>1</v>
      </c>
      <c r="AK1856" s="1" t="str">
        <f t="shared" si="28"/>
        <v xml:space="preserve"> =&lt;90</v>
      </c>
      <c r="AL1856" s="1" t="str">
        <f>VLOOKUP(C:C,[1]基础信息!B$1:D$65536,3,0)</f>
        <v>Jug</v>
      </c>
      <c r="AM1856" s="1" t="str">
        <f>VLOOKUP(C:C,[1]基础信息!B$1:E$65536,4,0)</f>
        <v>Marella XL</v>
      </c>
      <c r="AN1856" s="1" t="str">
        <f>VLOOKUP(C:C,[1]基础信息!B$1:F$65536,5,0)</f>
        <v>Black</v>
      </c>
    </row>
    <row r="1857" spans="1:40">
      <c r="A1857" s="1" t="s">
        <v>41</v>
      </c>
      <c r="B1857" s="1" t="s">
        <v>42</v>
      </c>
      <c r="C1857" s="1" t="s">
        <v>43</v>
      </c>
      <c r="D1857" s="1" t="s">
        <v>44</v>
      </c>
      <c r="E1857" s="1" t="s">
        <v>45</v>
      </c>
      <c r="F1857" s="1" t="s">
        <v>4282</v>
      </c>
      <c r="G1857" s="1" t="s">
        <v>4311</v>
      </c>
      <c r="H1857" s="1" t="s">
        <v>4312</v>
      </c>
      <c r="I1857" s="1" t="s">
        <v>49</v>
      </c>
      <c r="J1857" s="1" t="s">
        <v>48</v>
      </c>
      <c r="K1857" s="1">
        <v>96</v>
      </c>
      <c r="L1857" s="1">
        <v>0</v>
      </c>
      <c r="M1857" s="1">
        <v>0</v>
      </c>
      <c r="N1857" s="1">
        <v>96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 t="s">
        <v>49</v>
      </c>
      <c r="AA1857" s="1" t="s">
        <v>49</v>
      </c>
      <c r="AB1857" s="1" t="s">
        <v>49</v>
      </c>
      <c r="AC1857" s="1" t="s">
        <v>4285</v>
      </c>
      <c r="AD1857" s="1" t="s">
        <v>4286</v>
      </c>
      <c r="AE1857" s="1" t="s">
        <v>4285</v>
      </c>
      <c r="AF1857" s="1" t="s">
        <v>4287</v>
      </c>
      <c r="AG1857" s="1" t="s">
        <v>53</v>
      </c>
      <c r="AH1857" s="1" t="s">
        <v>49</v>
      </c>
      <c r="AI1857" s="1" t="s">
        <v>54</v>
      </c>
      <c r="AJ1857" s="1">
        <v>1</v>
      </c>
      <c r="AK1857" s="1" t="str">
        <f t="shared" si="28"/>
        <v xml:space="preserve"> =&lt;90</v>
      </c>
      <c r="AL1857" s="1" t="str">
        <f>VLOOKUP(C:C,[1]基础信息!B$1:D$65536,3,0)</f>
        <v>Jug</v>
      </c>
      <c r="AM1857" s="1" t="str">
        <f>VLOOKUP(C:C,[1]基础信息!B$1:E$65536,4,0)</f>
        <v>Marella XL</v>
      </c>
      <c r="AN1857" s="1" t="str">
        <f>VLOOKUP(C:C,[1]基础信息!B$1:F$65536,5,0)</f>
        <v>Black</v>
      </c>
    </row>
    <row r="1858" spans="1:40">
      <c r="A1858" s="1" t="s">
        <v>41</v>
      </c>
      <c r="B1858" s="1" t="s">
        <v>42</v>
      </c>
      <c r="C1858" s="1" t="s">
        <v>43</v>
      </c>
      <c r="D1858" s="1" t="s">
        <v>44</v>
      </c>
      <c r="E1858" s="1" t="s">
        <v>45</v>
      </c>
      <c r="F1858" s="1" t="s">
        <v>4282</v>
      </c>
      <c r="G1858" s="1" t="s">
        <v>4313</v>
      </c>
      <c r="H1858" s="1" t="s">
        <v>4314</v>
      </c>
      <c r="I1858" s="1" t="s">
        <v>49</v>
      </c>
      <c r="J1858" s="1" t="s">
        <v>48</v>
      </c>
      <c r="K1858" s="1">
        <v>96</v>
      </c>
      <c r="L1858" s="1">
        <v>0</v>
      </c>
      <c r="M1858" s="1">
        <v>0</v>
      </c>
      <c r="N1858" s="1">
        <v>96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 t="s">
        <v>49</v>
      </c>
      <c r="AA1858" s="1" t="s">
        <v>49</v>
      </c>
      <c r="AB1858" s="1" t="s">
        <v>49</v>
      </c>
      <c r="AC1858" s="1" t="s">
        <v>4285</v>
      </c>
      <c r="AD1858" s="1" t="s">
        <v>4286</v>
      </c>
      <c r="AE1858" s="1" t="s">
        <v>4285</v>
      </c>
      <c r="AF1858" s="1" t="s">
        <v>4287</v>
      </c>
      <c r="AG1858" s="1" t="s">
        <v>53</v>
      </c>
      <c r="AH1858" s="1" t="s">
        <v>49</v>
      </c>
      <c r="AI1858" s="1" t="s">
        <v>54</v>
      </c>
      <c r="AJ1858" s="1">
        <v>1</v>
      </c>
      <c r="AK1858" s="1" t="str">
        <f t="shared" ref="AK1858:AK1921" si="29">IF(AJ1858&gt;$AP$2,$AQ$2,IF(AJ1858&gt;$AP$3,$AQ$3,IF(AJ1858&gt;$AP$4,$AQ$4,$AQ$5)))</f>
        <v xml:space="preserve"> =&lt;90</v>
      </c>
      <c r="AL1858" s="1" t="str">
        <f>VLOOKUP(C:C,[1]基础信息!B$1:D$65536,3,0)</f>
        <v>Jug</v>
      </c>
      <c r="AM1858" s="1" t="str">
        <f>VLOOKUP(C:C,[1]基础信息!B$1:E$65536,4,0)</f>
        <v>Marella XL</v>
      </c>
      <c r="AN1858" s="1" t="str">
        <f>VLOOKUP(C:C,[1]基础信息!B$1:F$65536,5,0)</f>
        <v>Black</v>
      </c>
    </row>
    <row r="1859" spans="1:40">
      <c r="A1859" s="1" t="s">
        <v>41</v>
      </c>
      <c r="B1859" s="1" t="s">
        <v>42</v>
      </c>
      <c r="C1859" s="1" t="s">
        <v>83</v>
      </c>
      <c r="D1859" s="1" t="s">
        <v>84</v>
      </c>
      <c r="E1859" s="1" t="s">
        <v>45</v>
      </c>
      <c r="F1859" s="1" t="s">
        <v>4271</v>
      </c>
      <c r="G1859" s="1" t="s">
        <v>4315</v>
      </c>
      <c r="H1859" s="1" t="s">
        <v>45</v>
      </c>
      <c r="I1859" s="1" t="s">
        <v>45</v>
      </c>
      <c r="J1859" s="1" t="s">
        <v>48</v>
      </c>
      <c r="K1859" s="1">
        <v>96</v>
      </c>
      <c r="L1859" s="1">
        <v>0</v>
      </c>
      <c r="M1859" s="1">
        <v>0</v>
      </c>
      <c r="N1859" s="1">
        <v>96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 t="s">
        <v>49</v>
      </c>
      <c r="AA1859" s="1" t="s">
        <v>49</v>
      </c>
      <c r="AB1859" s="1" t="s">
        <v>49</v>
      </c>
      <c r="AC1859" s="1" t="s">
        <v>414</v>
      </c>
      <c r="AD1859" s="1" t="s">
        <v>415</v>
      </c>
      <c r="AE1859" s="1" t="s">
        <v>414</v>
      </c>
      <c r="AF1859" s="1" t="s">
        <v>49</v>
      </c>
      <c r="AG1859" s="1" t="s">
        <v>3464</v>
      </c>
      <c r="AH1859" s="1" t="s">
        <v>49</v>
      </c>
      <c r="AI1859" s="1" t="s">
        <v>54</v>
      </c>
      <c r="AJ1859" s="1">
        <v>1</v>
      </c>
      <c r="AK1859" s="1" t="str">
        <f t="shared" si="29"/>
        <v xml:space="preserve"> =&lt;90</v>
      </c>
      <c r="AL1859" s="1" t="str">
        <f>VLOOKUP(C:C,[1]基础信息!B$1:D$65536,3,0)</f>
        <v>Jug</v>
      </c>
      <c r="AM1859" s="1" t="str">
        <f>VLOOKUP(C:C,[1]基础信息!B$1:E$65536,4,0)</f>
        <v>Mxplus</v>
      </c>
      <c r="AN1859" s="1" t="str">
        <f>VLOOKUP(C:C,[1]基础信息!B$1:F$65536,5,0)</f>
        <v>Blue</v>
      </c>
    </row>
    <row r="1860" spans="1:40">
      <c r="A1860" s="1" t="s">
        <v>41</v>
      </c>
      <c r="B1860" s="1" t="s">
        <v>42</v>
      </c>
      <c r="C1860" s="1" t="s">
        <v>43</v>
      </c>
      <c r="D1860" s="1" t="s">
        <v>44</v>
      </c>
      <c r="E1860" s="1" t="s">
        <v>45</v>
      </c>
      <c r="F1860" s="1" t="s">
        <v>4282</v>
      </c>
      <c r="G1860" s="1" t="s">
        <v>4316</v>
      </c>
      <c r="H1860" s="1" t="s">
        <v>4317</v>
      </c>
      <c r="I1860" s="1" t="s">
        <v>49</v>
      </c>
      <c r="J1860" s="1" t="s">
        <v>48</v>
      </c>
      <c r="K1860" s="1">
        <v>96</v>
      </c>
      <c r="L1860" s="1">
        <v>0</v>
      </c>
      <c r="M1860" s="1">
        <v>0</v>
      </c>
      <c r="N1860" s="1">
        <v>96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 t="s">
        <v>49</v>
      </c>
      <c r="AA1860" s="1" t="s">
        <v>49</v>
      </c>
      <c r="AB1860" s="1" t="s">
        <v>49</v>
      </c>
      <c r="AC1860" s="1" t="s">
        <v>4285</v>
      </c>
      <c r="AD1860" s="1" t="s">
        <v>4286</v>
      </c>
      <c r="AE1860" s="1" t="s">
        <v>4285</v>
      </c>
      <c r="AF1860" s="1" t="s">
        <v>4287</v>
      </c>
      <c r="AG1860" s="1" t="s">
        <v>53</v>
      </c>
      <c r="AH1860" s="1" t="s">
        <v>49</v>
      </c>
      <c r="AI1860" s="1" t="s">
        <v>54</v>
      </c>
      <c r="AJ1860" s="1">
        <v>1</v>
      </c>
      <c r="AK1860" s="1" t="str">
        <f t="shared" si="29"/>
        <v xml:space="preserve"> =&lt;90</v>
      </c>
      <c r="AL1860" s="1" t="str">
        <f>VLOOKUP(C:C,[1]基础信息!B$1:D$65536,3,0)</f>
        <v>Jug</v>
      </c>
      <c r="AM1860" s="1" t="str">
        <f>VLOOKUP(C:C,[1]基础信息!B$1:E$65536,4,0)</f>
        <v>Marella XL</v>
      </c>
      <c r="AN1860" s="1" t="str">
        <f>VLOOKUP(C:C,[1]基础信息!B$1:F$65536,5,0)</f>
        <v>Black</v>
      </c>
    </row>
    <row r="1861" spans="1:40">
      <c r="A1861" s="1" t="s">
        <v>41</v>
      </c>
      <c r="B1861" s="1" t="s">
        <v>42</v>
      </c>
      <c r="C1861" s="1" t="s">
        <v>43</v>
      </c>
      <c r="D1861" s="1" t="s">
        <v>44</v>
      </c>
      <c r="E1861" s="1" t="s">
        <v>45</v>
      </c>
      <c r="F1861" s="1" t="s">
        <v>4282</v>
      </c>
      <c r="G1861" s="1" t="s">
        <v>4318</v>
      </c>
      <c r="H1861" s="1" t="s">
        <v>4319</v>
      </c>
      <c r="I1861" s="1" t="s">
        <v>49</v>
      </c>
      <c r="J1861" s="1" t="s">
        <v>48</v>
      </c>
      <c r="K1861" s="1">
        <v>96</v>
      </c>
      <c r="L1861" s="1">
        <v>0</v>
      </c>
      <c r="M1861" s="1">
        <v>0</v>
      </c>
      <c r="N1861" s="1">
        <v>96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 t="s">
        <v>49</v>
      </c>
      <c r="AA1861" s="1" t="s">
        <v>49</v>
      </c>
      <c r="AB1861" s="1" t="s">
        <v>49</v>
      </c>
      <c r="AC1861" s="1" t="s">
        <v>4285</v>
      </c>
      <c r="AD1861" s="1" t="s">
        <v>4286</v>
      </c>
      <c r="AE1861" s="1" t="s">
        <v>4285</v>
      </c>
      <c r="AF1861" s="1" t="s">
        <v>4287</v>
      </c>
      <c r="AG1861" s="1" t="s">
        <v>53</v>
      </c>
      <c r="AH1861" s="1" t="s">
        <v>49</v>
      </c>
      <c r="AI1861" s="1" t="s">
        <v>54</v>
      </c>
      <c r="AJ1861" s="1">
        <v>1</v>
      </c>
      <c r="AK1861" s="1" t="str">
        <f t="shared" si="29"/>
        <v xml:space="preserve"> =&lt;90</v>
      </c>
      <c r="AL1861" s="1" t="str">
        <f>VLOOKUP(C:C,[1]基础信息!B$1:D$65536,3,0)</f>
        <v>Jug</v>
      </c>
      <c r="AM1861" s="1" t="str">
        <f>VLOOKUP(C:C,[1]基础信息!B$1:E$65536,4,0)</f>
        <v>Marella XL</v>
      </c>
      <c r="AN1861" s="1" t="str">
        <f>VLOOKUP(C:C,[1]基础信息!B$1:F$65536,5,0)</f>
        <v>Black</v>
      </c>
    </row>
    <row r="1862" spans="1:40">
      <c r="A1862" s="1" t="s">
        <v>41</v>
      </c>
      <c r="B1862" s="1" t="s">
        <v>42</v>
      </c>
      <c r="C1862" s="1" t="s">
        <v>4273</v>
      </c>
      <c r="D1862" s="1" t="s">
        <v>4274</v>
      </c>
      <c r="E1862" s="1" t="s">
        <v>45</v>
      </c>
      <c r="F1862" s="1" t="s">
        <v>4275</v>
      </c>
      <c r="G1862" s="1" t="s">
        <v>4320</v>
      </c>
      <c r="H1862" s="1" t="s">
        <v>45</v>
      </c>
      <c r="I1862" s="1" t="s">
        <v>45</v>
      </c>
      <c r="J1862" s="1" t="s">
        <v>48</v>
      </c>
      <c r="K1862" s="1">
        <v>840</v>
      </c>
      <c r="L1862" s="1">
        <v>0</v>
      </c>
      <c r="M1862" s="1">
        <v>0</v>
      </c>
      <c r="N1862" s="1">
        <v>840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 t="s">
        <v>49</v>
      </c>
      <c r="AA1862" s="1" t="s">
        <v>49</v>
      </c>
      <c r="AB1862" s="1" t="s">
        <v>49</v>
      </c>
      <c r="AC1862" s="1" t="s">
        <v>414</v>
      </c>
      <c r="AD1862" s="1" t="s">
        <v>415</v>
      </c>
      <c r="AE1862" s="1" t="s">
        <v>414</v>
      </c>
      <c r="AF1862" s="1" t="s">
        <v>49</v>
      </c>
      <c r="AG1862" s="1" t="s">
        <v>3464</v>
      </c>
      <c r="AH1862" s="1" t="s">
        <v>49</v>
      </c>
      <c r="AI1862" s="1" t="s">
        <v>54</v>
      </c>
      <c r="AJ1862" s="1">
        <v>1</v>
      </c>
      <c r="AK1862" s="1" t="str">
        <f t="shared" si="29"/>
        <v xml:space="preserve"> =&lt;90</v>
      </c>
      <c r="AL1862" s="1" t="e">
        <f>VLOOKUP(C:C,[1]基础信息!B$1:D$65536,3,0)</f>
        <v>#N/A</v>
      </c>
      <c r="AM1862" s="1" t="e">
        <f>VLOOKUP(C:C,[1]基础信息!B$1:E$65536,4,0)</f>
        <v>#N/A</v>
      </c>
      <c r="AN1862" s="1" t="e">
        <f>VLOOKUP(C:C,[1]基础信息!B$1:F$65536,5,0)</f>
        <v>#N/A</v>
      </c>
    </row>
    <row r="1863" spans="1:40">
      <c r="A1863" s="1" t="s">
        <v>41</v>
      </c>
      <c r="B1863" s="1" t="s">
        <v>42</v>
      </c>
      <c r="C1863" s="1" t="s">
        <v>83</v>
      </c>
      <c r="D1863" s="1" t="s">
        <v>84</v>
      </c>
      <c r="E1863" s="1" t="s">
        <v>45</v>
      </c>
      <c r="F1863" s="1" t="s">
        <v>4271</v>
      </c>
      <c r="G1863" s="1" t="s">
        <v>4321</v>
      </c>
      <c r="H1863" s="1" t="s">
        <v>45</v>
      </c>
      <c r="I1863" s="1" t="s">
        <v>45</v>
      </c>
      <c r="J1863" s="1" t="s">
        <v>48</v>
      </c>
      <c r="K1863" s="1">
        <v>96</v>
      </c>
      <c r="L1863" s="1">
        <v>0</v>
      </c>
      <c r="M1863" s="1">
        <v>0</v>
      </c>
      <c r="N1863" s="1">
        <v>96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 t="s">
        <v>49</v>
      </c>
      <c r="AA1863" s="1" t="s">
        <v>49</v>
      </c>
      <c r="AB1863" s="1" t="s">
        <v>49</v>
      </c>
      <c r="AC1863" s="1" t="s">
        <v>414</v>
      </c>
      <c r="AD1863" s="1" t="s">
        <v>415</v>
      </c>
      <c r="AE1863" s="1" t="s">
        <v>414</v>
      </c>
      <c r="AF1863" s="1" t="s">
        <v>49</v>
      </c>
      <c r="AG1863" s="1" t="s">
        <v>3464</v>
      </c>
      <c r="AH1863" s="1" t="s">
        <v>49</v>
      </c>
      <c r="AI1863" s="1" t="s">
        <v>54</v>
      </c>
      <c r="AJ1863" s="1">
        <v>1</v>
      </c>
      <c r="AK1863" s="1" t="str">
        <f t="shared" si="29"/>
        <v xml:space="preserve"> =&lt;90</v>
      </c>
      <c r="AL1863" s="1" t="str">
        <f>VLOOKUP(C:C,[1]基础信息!B$1:D$65536,3,0)</f>
        <v>Jug</v>
      </c>
      <c r="AM1863" s="1" t="str">
        <f>VLOOKUP(C:C,[1]基础信息!B$1:E$65536,4,0)</f>
        <v>Mxplus</v>
      </c>
      <c r="AN1863" s="1" t="str">
        <f>VLOOKUP(C:C,[1]基础信息!B$1:F$65536,5,0)</f>
        <v>Blue</v>
      </c>
    </row>
    <row r="1864" spans="1:40">
      <c r="A1864" s="1" t="s">
        <v>41</v>
      </c>
      <c r="B1864" s="1" t="s">
        <v>42</v>
      </c>
      <c r="C1864" s="1" t="s">
        <v>43</v>
      </c>
      <c r="D1864" s="1" t="s">
        <v>44</v>
      </c>
      <c r="E1864" s="1" t="s">
        <v>45</v>
      </c>
      <c r="F1864" s="1" t="s">
        <v>4282</v>
      </c>
      <c r="G1864" s="1" t="s">
        <v>4322</v>
      </c>
      <c r="H1864" s="1" t="s">
        <v>4323</v>
      </c>
      <c r="I1864" s="1" t="s">
        <v>49</v>
      </c>
      <c r="J1864" s="1" t="s">
        <v>48</v>
      </c>
      <c r="K1864" s="1">
        <v>96</v>
      </c>
      <c r="L1864" s="1">
        <v>0</v>
      </c>
      <c r="M1864" s="1">
        <v>0</v>
      </c>
      <c r="N1864" s="1">
        <v>96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 t="s">
        <v>49</v>
      </c>
      <c r="AA1864" s="1" t="s">
        <v>49</v>
      </c>
      <c r="AB1864" s="1" t="s">
        <v>49</v>
      </c>
      <c r="AC1864" s="1" t="s">
        <v>4285</v>
      </c>
      <c r="AD1864" s="1" t="s">
        <v>4286</v>
      </c>
      <c r="AE1864" s="1" t="s">
        <v>4285</v>
      </c>
      <c r="AF1864" s="1" t="s">
        <v>4287</v>
      </c>
      <c r="AG1864" s="1" t="s">
        <v>53</v>
      </c>
      <c r="AH1864" s="1" t="s">
        <v>49</v>
      </c>
      <c r="AI1864" s="1" t="s">
        <v>54</v>
      </c>
      <c r="AJ1864" s="1">
        <v>1</v>
      </c>
      <c r="AK1864" s="1" t="str">
        <f t="shared" si="29"/>
        <v xml:space="preserve"> =&lt;90</v>
      </c>
      <c r="AL1864" s="1" t="str">
        <f>VLOOKUP(C:C,[1]基础信息!B$1:D$65536,3,0)</f>
        <v>Jug</v>
      </c>
      <c r="AM1864" s="1" t="str">
        <f>VLOOKUP(C:C,[1]基础信息!B$1:E$65536,4,0)</f>
        <v>Marella XL</v>
      </c>
      <c r="AN1864" s="1" t="str">
        <f>VLOOKUP(C:C,[1]基础信息!B$1:F$65536,5,0)</f>
        <v>Black</v>
      </c>
    </row>
    <row r="1865" spans="1:40">
      <c r="A1865" s="1" t="s">
        <v>41</v>
      </c>
      <c r="B1865" s="1" t="s">
        <v>42</v>
      </c>
      <c r="C1865" s="1" t="s">
        <v>43</v>
      </c>
      <c r="D1865" s="1" t="s">
        <v>44</v>
      </c>
      <c r="E1865" s="1" t="s">
        <v>45</v>
      </c>
      <c r="F1865" s="1" t="s">
        <v>4282</v>
      </c>
      <c r="G1865" s="1" t="s">
        <v>4324</v>
      </c>
      <c r="H1865" s="1" t="s">
        <v>4325</v>
      </c>
      <c r="I1865" s="1" t="s">
        <v>49</v>
      </c>
      <c r="J1865" s="1" t="s">
        <v>48</v>
      </c>
      <c r="K1865" s="1">
        <v>96</v>
      </c>
      <c r="L1865" s="1">
        <v>0</v>
      </c>
      <c r="M1865" s="1">
        <v>0</v>
      </c>
      <c r="N1865" s="1">
        <v>96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 t="s">
        <v>49</v>
      </c>
      <c r="AA1865" s="1" t="s">
        <v>49</v>
      </c>
      <c r="AB1865" s="1" t="s">
        <v>49</v>
      </c>
      <c r="AC1865" s="1" t="s">
        <v>4285</v>
      </c>
      <c r="AD1865" s="1" t="s">
        <v>4286</v>
      </c>
      <c r="AE1865" s="1" t="s">
        <v>4285</v>
      </c>
      <c r="AF1865" s="1" t="s">
        <v>4287</v>
      </c>
      <c r="AG1865" s="1" t="s">
        <v>53</v>
      </c>
      <c r="AH1865" s="1" t="s">
        <v>49</v>
      </c>
      <c r="AI1865" s="1" t="s">
        <v>54</v>
      </c>
      <c r="AJ1865" s="1">
        <v>1</v>
      </c>
      <c r="AK1865" s="1" t="str">
        <f t="shared" si="29"/>
        <v xml:space="preserve"> =&lt;90</v>
      </c>
      <c r="AL1865" s="1" t="str">
        <f>VLOOKUP(C:C,[1]基础信息!B$1:D$65536,3,0)</f>
        <v>Jug</v>
      </c>
      <c r="AM1865" s="1" t="str">
        <f>VLOOKUP(C:C,[1]基础信息!B$1:E$65536,4,0)</f>
        <v>Marella XL</v>
      </c>
      <c r="AN1865" s="1" t="str">
        <f>VLOOKUP(C:C,[1]基础信息!B$1:F$65536,5,0)</f>
        <v>Black</v>
      </c>
    </row>
    <row r="1866" spans="1:40">
      <c r="A1866" s="1" t="s">
        <v>41</v>
      </c>
      <c r="B1866" s="1" t="s">
        <v>42</v>
      </c>
      <c r="C1866" s="1" t="s">
        <v>43</v>
      </c>
      <c r="D1866" s="1" t="s">
        <v>44</v>
      </c>
      <c r="E1866" s="1" t="s">
        <v>45</v>
      </c>
      <c r="F1866" s="1" t="s">
        <v>4282</v>
      </c>
      <c r="G1866" s="1" t="s">
        <v>4326</v>
      </c>
      <c r="H1866" s="1" t="s">
        <v>4327</v>
      </c>
      <c r="I1866" s="1" t="s">
        <v>49</v>
      </c>
      <c r="J1866" s="1" t="s">
        <v>48</v>
      </c>
      <c r="K1866" s="1">
        <v>96</v>
      </c>
      <c r="L1866" s="1">
        <v>0</v>
      </c>
      <c r="M1866" s="1">
        <v>0</v>
      </c>
      <c r="N1866" s="1">
        <v>96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 t="s">
        <v>49</v>
      </c>
      <c r="AA1866" s="1" t="s">
        <v>49</v>
      </c>
      <c r="AB1866" s="1" t="s">
        <v>49</v>
      </c>
      <c r="AC1866" s="1" t="s">
        <v>4285</v>
      </c>
      <c r="AD1866" s="1" t="s">
        <v>4286</v>
      </c>
      <c r="AE1866" s="1" t="s">
        <v>4285</v>
      </c>
      <c r="AF1866" s="1" t="s">
        <v>4287</v>
      </c>
      <c r="AG1866" s="1" t="s">
        <v>53</v>
      </c>
      <c r="AH1866" s="1" t="s">
        <v>49</v>
      </c>
      <c r="AI1866" s="1" t="s">
        <v>54</v>
      </c>
      <c r="AJ1866" s="1">
        <v>1</v>
      </c>
      <c r="AK1866" s="1" t="str">
        <f t="shared" si="29"/>
        <v xml:space="preserve"> =&lt;90</v>
      </c>
      <c r="AL1866" s="1" t="str">
        <f>VLOOKUP(C:C,[1]基础信息!B$1:D$65536,3,0)</f>
        <v>Jug</v>
      </c>
      <c r="AM1866" s="1" t="str">
        <f>VLOOKUP(C:C,[1]基础信息!B$1:E$65536,4,0)</f>
        <v>Marella XL</v>
      </c>
      <c r="AN1866" s="1" t="str">
        <f>VLOOKUP(C:C,[1]基础信息!B$1:F$65536,5,0)</f>
        <v>Black</v>
      </c>
    </row>
    <row r="1867" spans="1:40">
      <c r="A1867" s="1" t="s">
        <v>41</v>
      </c>
      <c r="B1867" s="1" t="s">
        <v>42</v>
      </c>
      <c r="C1867" s="1" t="s">
        <v>43</v>
      </c>
      <c r="D1867" s="1" t="s">
        <v>44</v>
      </c>
      <c r="E1867" s="1" t="s">
        <v>45</v>
      </c>
      <c r="F1867" s="1" t="s">
        <v>4282</v>
      </c>
      <c r="G1867" s="1" t="s">
        <v>4328</v>
      </c>
      <c r="H1867" s="1" t="s">
        <v>4329</v>
      </c>
      <c r="I1867" s="1" t="s">
        <v>49</v>
      </c>
      <c r="J1867" s="1" t="s">
        <v>48</v>
      </c>
      <c r="K1867" s="1">
        <v>96</v>
      </c>
      <c r="L1867" s="1">
        <v>0</v>
      </c>
      <c r="M1867" s="1">
        <v>0</v>
      </c>
      <c r="N1867" s="1">
        <v>96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 t="s">
        <v>49</v>
      </c>
      <c r="AA1867" s="1" t="s">
        <v>49</v>
      </c>
      <c r="AB1867" s="1" t="s">
        <v>49</v>
      </c>
      <c r="AC1867" s="1" t="s">
        <v>4285</v>
      </c>
      <c r="AD1867" s="1" t="s">
        <v>4286</v>
      </c>
      <c r="AE1867" s="1" t="s">
        <v>4285</v>
      </c>
      <c r="AF1867" s="1" t="s">
        <v>4287</v>
      </c>
      <c r="AG1867" s="1" t="s">
        <v>53</v>
      </c>
      <c r="AH1867" s="1" t="s">
        <v>49</v>
      </c>
      <c r="AI1867" s="1" t="s">
        <v>54</v>
      </c>
      <c r="AJ1867" s="1">
        <v>1</v>
      </c>
      <c r="AK1867" s="1" t="str">
        <f t="shared" si="29"/>
        <v xml:space="preserve"> =&lt;90</v>
      </c>
      <c r="AL1867" s="1" t="str">
        <f>VLOOKUP(C:C,[1]基础信息!B$1:D$65536,3,0)</f>
        <v>Jug</v>
      </c>
      <c r="AM1867" s="1" t="str">
        <f>VLOOKUP(C:C,[1]基础信息!B$1:E$65536,4,0)</f>
        <v>Marella XL</v>
      </c>
      <c r="AN1867" s="1" t="str">
        <f>VLOOKUP(C:C,[1]基础信息!B$1:F$65536,5,0)</f>
        <v>Black</v>
      </c>
    </row>
    <row r="1868" spans="1:40">
      <c r="A1868" s="1" t="s">
        <v>41</v>
      </c>
      <c r="B1868" s="1" t="s">
        <v>42</v>
      </c>
      <c r="C1868" s="1" t="s">
        <v>83</v>
      </c>
      <c r="D1868" s="1" t="s">
        <v>84</v>
      </c>
      <c r="E1868" s="1" t="s">
        <v>45</v>
      </c>
      <c r="F1868" s="1" t="s">
        <v>4271</v>
      </c>
      <c r="G1868" s="1" t="s">
        <v>4330</v>
      </c>
      <c r="H1868" s="1" t="s">
        <v>45</v>
      </c>
      <c r="I1868" s="1" t="s">
        <v>45</v>
      </c>
      <c r="J1868" s="1" t="s">
        <v>48</v>
      </c>
      <c r="K1868" s="1">
        <v>96</v>
      </c>
      <c r="L1868" s="1">
        <v>0</v>
      </c>
      <c r="M1868" s="1">
        <v>0</v>
      </c>
      <c r="N1868" s="1">
        <v>96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 t="s">
        <v>49</v>
      </c>
      <c r="AA1868" s="1" t="s">
        <v>49</v>
      </c>
      <c r="AB1868" s="1" t="s">
        <v>49</v>
      </c>
      <c r="AC1868" s="1" t="s">
        <v>414</v>
      </c>
      <c r="AD1868" s="1" t="s">
        <v>415</v>
      </c>
      <c r="AE1868" s="1" t="s">
        <v>414</v>
      </c>
      <c r="AF1868" s="1" t="s">
        <v>49</v>
      </c>
      <c r="AG1868" s="1" t="s">
        <v>3464</v>
      </c>
      <c r="AH1868" s="1" t="s">
        <v>49</v>
      </c>
      <c r="AI1868" s="1" t="s">
        <v>54</v>
      </c>
      <c r="AJ1868" s="1">
        <v>1</v>
      </c>
      <c r="AK1868" s="1" t="str">
        <f t="shared" si="29"/>
        <v xml:space="preserve"> =&lt;90</v>
      </c>
      <c r="AL1868" s="1" t="str">
        <f>VLOOKUP(C:C,[1]基础信息!B$1:D$65536,3,0)</f>
        <v>Jug</v>
      </c>
      <c r="AM1868" s="1" t="str">
        <f>VLOOKUP(C:C,[1]基础信息!B$1:E$65536,4,0)</f>
        <v>Mxplus</v>
      </c>
      <c r="AN1868" s="1" t="str">
        <f>VLOOKUP(C:C,[1]基础信息!B$1:F$65536,5,0)</f>
        <v>Blue</v>
      </c>
    </row>
    <row r="1869" spans="1:40">
      <c r="A1869" s="1" t="s">
        <v>41</v>
      </c>
      <c r="B1869" s="1" t="s">
        <v>42</v>
      </c>
      <c r="C1869" s="1" t="s">
        <v>43</v>
      </c>
      <c r="D1869" s="1" t="s">
        <v>44</v>
      </c>
      <c r="E1869" s="1" t="s">
        <v>45</v>
      </c>
      <c r="F1869" s="1" t="s">
        <v>4282</v>
      </c>
      <c r="G1869" s="1" t="s">
        <v>4331</v>
      </c>
      <c r="H1869" s="1" t="s">
        <v>4332</v>
      </c>
      <c r="I1869" s="1" t="s">
        <v>49</v>
      </c>
      <c r="J1869" s="1" t="s">
        <v>48</v>
      </c>
      <c r="K1869" s="1">
        <v>96</v>
      </c>
      <c r="L1869" s="1">
        <v>0</v>
      </c>
      <c r="M1869" s="1">
        <v>0</v>
      </c>
      <c r="N1869" s="1">
        <v>96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 t="s">
        <v>49</v>
      </c>
      <c r="AA1869" s="1" t="s">
        <v>49</v>
      </c>
      <c r="AB1869" s="1" t="s">
        <v>49</v>
      </c>
      <c r="AC1869" s="1" t="s">
        <v>4285</v>
      </c>
      <c r="AD1869" s="1" t="s">
        <v>4286</v>
      </c>
      <c r="AE1869" s="1" t="s">
        <v>4285</v>
      </c>
      <c r="AF1869" s="1" t="s">
        <v>4287</v>
      </c>
      <c r="AG1869" s="1" t="s">
        <v>53</v>
      </c>
      <c r="AH1869" s="1" t="s">
        <v>49</v>
      </c>
      <c r="AI1869" s="1" t="s">
        <v>54</v>
      </c>
      <c r="AJ1869" s="1">
        <v>1</v>
      </c>
      <c r="AK1869" s="1" t="str">
        <f t="shared" si="29"/>
        <v xml:space="preserve"> =&lt;90</v>
      </c>
      <c r="AL1869" s="1" t="str">
        <f>VLOOKUP(C:C,[1]基础信息!B$1:D$65536,3,0)</f>
        <v>Jug</v>
      </c>
      <c r="AM1869" s="1" t="str">
        <f>VLOOKUP(C:C,[1]基础信息!B$1:E$65536,4,0)</f>
        <v>Marella XL</v>
      </c>
      <c r="AN1869" s="1" t="str">
        <f>VLOOKUP(C:C,[1]基础信息!B$1:F$65536,5,0)</f>
        <v>Black</v>
      </c>
    </row>
    <row r="1870" spans="1:40">
      <c r="A1870" s="1" t="s">
        <v>41</v>
      </c>
      <c r="B1870" s="1" t="s">
        <v>42</v>
      </c>
      <c r="C1870" s="1" t="s">
        <v>43</v>
      </c>
      <c r="D1870" s="1" t="s">
        <v>44</v>
      </c>
      <c r="E1870" s="1" t="s">
        <v>45</v>
      </c>
      <c r="F1870" s="1" t="s">
        <v>4282</v>
      </c>
      <c r="G1870" s="1" t="s">
        <v>4333</v>
      </c>
      <c r="H1870" s="1" t="s">
        <v>4334</v>
      </c>
      <c r="I1870" s="1" t="s">
        <v>49</v>
      </c>
      <c r="J1870" s="1" t="s">
        <v>48</v>
      </c>
      <c r="K1870" s="1">
        <v>96</v>
      </c>
      <c r="L1870" s="1">
        <v>0</v>
      </c>
      <c r="M1870" s="1">
        <v>0</v>
      </c>
      <c r="N1870" s="1">
        <v>96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 t="s">
        <v>49</v>
      </c>
      <c r="AA1870" s="1" t="s">
        <v>49</v>
      </c>
      <c r="AB1870" s="1" t="s">
        <v>49</v>
      </c>
      <c r="AC1870" s="1" t="s">
        <v>4285</v>
      </c>
      <c r="AD1870" s="1" t="s">
        <v>4286</v>
      </c>
      <c r="AE1870" s="1" t="s">
        <v>4285</v>
      </c>
      <c r="AF1870" s="1" t="s">
        <v>4287</v>
      </c>
      <c r="AG1870" s="1" t="s">
        <v>53</v>
      </c>
      <c r="AH1870" s="1" t="s">
        <v>49</v>
      </c>
      <c r="AI1870" s="1" t="s">
        <v>54</v>
      </c>
      <c r="AJ1870" s="1">
        <v>1</v>
      </c>
      <c r="AK1870" s="1" t="str">
        <f t="shared" si="29"/>
        <v xml:space="preserve"> =&lt;90</v>
      </c>
      <c r="AL1870" s="1" t="str">
        <f>VLOOKUP(C:C,[1]基础信息!B$1:D$65536,3,0)</f>
        <v>Jug</v>
      </c>
      <c r="AM1870" s="1" t="str">
        <f>VLOOKUP(C:C,[1]基础信息!B$1:E$65536,4,0)</f>
        <v>Marella XL</v>
      </c>
      <c r="AN1870" s="1" t="str">
        <f>VLOOKUP(C:C,[1]基础信息!B$1:F$65536,5,0)</f>
        <v>Black</v>
      </c>
    </row>
    <row r="1871" spans="1:40">
      <c r="A1871" s="1" t="s">
        <v>41</v>
      </c>
      <c r="B1871" s="1" t="s">
        <v>42</v>
      </c>
      <c r="C1871" s="1" t="s">
        <v>43</v>
      </c>
      <c r="D1871" s="1" t="s">
        <v>44</v>
      </c>
      <c r="E1871" s="1" t="s">
        <v>45</v>
      </c>
      <c r="F1871" s="1" t="s">
        <v>4282</v>
      </c>
      <c r="G1871" s="1" t="s">
        <v>4335</v>
      </c>
      <c r="H1871" s="1" t="s">
        <v>4336</v>
      </c>
      <c r="I1871" s="1" t="s">
        <v>49</v>
      </c>
      <c r="J1871" s="1" t="s">
        <v>48</v>
      </c>
      <c r="K1871" s="1">
        <v>96</v>
      </c>
      <c r="L1871" s="1">
        <v>0</v>
      </c>
      <c r="M1871" s="1">
        <v>0</v>
      </c>
      <c r="N1871" s="1">
        <v>96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 t="s">
        <v>49</v>
      </c>
      <c r="AA1871" s="1" t="s">
        <v>49</v>
      </c>
      <c r="AB1871" s="1" t="s">
        <v>49</v>
      </c>
      <c r="AC1871" s="1" t="s">
        <v>4285</v>
      </c>
      <c r="AD1871" s="1" t="s">
        <v>4286</v>
      </c>
      <c r="AE1871" s="1" t="s">
        <v>4285</v>
      </c>
      <c r="AF1871" s="1" t="s">
        <v>4287</v>
      </c>
      <c r="AG1871" s="1" t="s">
        <v>53</v>
      </c>
      <c r="AH1871" s="1" t="s">
        <v>49</v>
      </c>
      <c r="AI1871" s="1" t="s">
        <v>54</v>
      </c>
      <c r="AJ1871" s="1">
        <v>1</v>
      </c>
      <c r="AK1871" s="1" t="str">
        <f t="shared" si="29"/>
        <v xml:space="preserve"> =&lt;90</v>
      </c>
      <c r="AL1871" s="1" t="str">
        <f>VLOOKUP(C:C,[1]基础信息!B$1:D$65536,3,0)</f>
        <v>Jug</v>
      </c>
      <c r="AM1871" s="1" t="str">
        <f>VLOOKUP(C:C,[1]基础信息!B$1:E$65536,4,0)</f>
        <v>Marella XL</v>
      </c>
      <c r="AN1871" s="1" t="str">
        <f>VLOOKUP(C:C,[1]基础信息!B$1:F$65536,5,0)</f>
        <v>Black</v>
      </c>
    </row>
    <row r="1872" spans="1:40">
      <c r="A1872" s="1" t="s">
        <v>41</v>
      </c>
      <c r="B1872" s="1" t="s">
        <v>42</v>
      </c>
      <c r="C1872" s="1" t="s">
        <v>1437</v>
      </c>
      <c r="D1872" s="1" t="s">
        <v>1438</v>
      </c>
      <c r="E1872" s="1" t="s">
        <v>45</v>
      </c>
      <c r="F1872" s="1" t="s">
        <v>4337</v>
      </c>
      <c r="G1872" s="1" t="s">
        <v>4338</v>
      </c>
      <c r="H1872" s="1" t="s">
        <v>45</v>
      </c>
      <c r="I1872" s="1" t="s">
        <v>45</v>
      </c>
      <c r="J1872" s="1" t="s">
        <v>48</v>
      </c>
      <c r="K1872" s="1">
        <v>6</v>
      </c>
      <c r="L1872" s="1">
        <v>0</v>
      </c>
      <c r="M1872" s="1">
        <v>0</v>
      </c>
      <c r="N1872" s="1">
        <v>6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 t="s">
        <v>49</v>
      </c>
      <c r="AA1872" s="1" t="s">
        <v>49</v>
      </c>
      <c r="AB1872" s="1" t="s">
        <v>49</v>
      </c>
      <c r="AC1872" s="1" t="s">
        <v>4300</v>
      </c>
      <c r="AD1872" s="1" t="s">
        <v>4301</v>
      </c>
      <c r="AE1872" s="1" t="s">
        <v>4300</v>
      </c>
      <c r="AF1872" s="1" t="s">
        <v>49</v>
      </c>
      <c r="AG1872" s="1" t="s">
        <v>53</v>
      </c>
      <c r="AH1872" s="1" t="s">
        <v>49</v>
      </c>
      <c r="AI1872" s="1" t="s">
        <v>54</v>
      </c>
      <c r="AJ1872" s="1">
        <v>1</v>
      </c>
      <c r="AK1872" s="1" t="str">
        <f t="shared" si="29"/>
        <v xml:space="preserve"> =&lt;90</v>
      </c>
      <c r="AL1872" s="1" t="str">
        <f>VLOOKUP(C:C,[1]基础信息!B$1:D$65536,3,0)</f>
        <v>On tap</v>
      </c>
      <c r="AM1872" s="1" t="str">
        <f>VLOOKUP(C:C,[1]基础信息!B$1:E$65536,4,0)</f>
        <v>On tap</v>
      </c>
      <c r="AN1872" s="1" t="str">
        <f>VLOOKUP(C:C,[1]基础信息!B$1:F$65536,5,0)</f>
        <v>On tap</v>
      </c>
    </row>
    <row r="1873" spans="1:40">
      <c r="A1873" s="1" t="s">
        <v>41</v>
      </c>
      <c r="B1873" s="1" t="s">
        <v>42</v>
      </c>
      <c r="C1873" s="1" t="s">
        <v>43</v>
      </c>
      <c r="D1873" s="1" t="s">
        <v>44</v>
      </c>
      <c r="E1873" s="1" t="s">
        <v>45</v>
      </c>
      <c r="F1873" s="1" t="s">
        <v>4282</v>
      </c>
      <c r="G1873" s="1" t="s">
        <v>4339</v>
      </c>
      <c r="H1873" s="1" t="s">
        <v>4340</v>
      </c>
      <c r="I1873" s="1" t="s">
        <v>49</v>
      </c>
      <c r="J1873" s="1" t="s">
        <v>48</v>
      </c>
      <c r="K1873" s="1">
        <v>96</v>
      </c>
      <c r="L1873" s="1">
        <v>0</v>
      </c>
      <c r="M1873" s="1">
        <v>0</v>
      </c>
      <c r="N1873" s="1">
        <v>96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 t="s">
        <v>49</v>
      </c>
      <c r="AA1873" s="1" t="s">
        <v>49</v>
      </c>
      <c r="AB1873" s="1" t="s">
        <v>49</v>
      </c>
      <c r="AC1873" s="1" t="s">
        <v>4285</v>
      </c>
      <c r="AD1873" s="1" t="s">
        <v>4286</v>
      </c>
      <c r="AE1873" s="1" t="s">
        <v>4285</v>
      </c>
      <c r="AF1873" s="1" t="s">
        <v>4287</v>
      </c>
      <c r="AG1873" s="1" t="s">
        <v>53</v>
      </c>
      <c r="AH1873" s="1" t="s">
        <v>49</v>
      </c>
      <c r="AI1873" s="1" t="s">
        <v>54</v>
      </c>
      <c r="AJ1873" s="1">
        <v>1</v>
      </c>
      <c r="AK1873" s="1" t="str">
        <f t="shared" si="29"/>
        <v xml:space="preserve"> =&lt;90</v>
      </c>
      <c r="AL1873" s="1" t="str">
        <f>VLOOKUP(C:C,[1]基础信息!B$1:D$65536,3,0)</f>
        <v>Jug</v>
      </c>
      <c r="AM1873" s="1" t="str">
        <f>VLOOKUP(C:C,[1]基础信息!B$1:E$65536,4,0)</f>
        <v>Marella XL</v>
      </c>
      <c r="AN1873" s="1" t="str">
        <f>VLOOKUP(C:C,[1]基础信息!B$1:F$65536,5,0)</f>
        <v>Black</v>
      </c>
    </row>
    <row r="1874" spans="1:40">
      <c r="A1874" s="1" t="s">
        <v>41</v>
      </c>
      <c r="B1874" s="1" t="s">
        <v>42</v>
      </c>
      <c r="C1874" s="1" t="s">
        <v>4273</v>
      </c>
      <c r="D1874" s="1" t="s">
        <v>4274</v>
      </c>
      <c r="E1874" s="1" t="s">
        <v>45</v>
      </c>
      <c r="F1874" s="1" t="s">
        <v>4275</v>
      </c>
      <c r="G1874" s="1" t="s">
        <v>4341</v>
      </c>
      <c r="H1874" s="1" t="s">
        <v>45</v>
      </c>
      <c r="I1874" s="1" t="s">
        <v>45</v>
      </c>
      <c r="J1874" s="1" t="s">
        <v>48</v>
      </c>
      <c r="K1874" s="1">
        <v>840</v>
      </c>
      <c r="L1874" s="1">
        <v>0</v>
      </c>
      <c r="M1874" s="1">
        <v>0</v>
      </c>
      <c r="N1874" s="1">
        <v>840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 t="s">
        <v>49</v>
      </c>
      <c r="AA1874" s="1" t="s">
        <v>49</v>
      </c>
      <c r="AB1874" s="1" t="s">
        <v>49</v>
      </c>
      <c r="AC1874" s="1" t="s">
        <v>414</v>
      </c>
      <c r="AD1874" s="1" t="s">
        <v>415</v>
      </c>
      <c r="AE1874" s="1" t="s">
        <v>414</v>
      </c>
      <c r="AF1874" s="1" t="s">
        <v>49</v>
      </c>
      <c r="AG1874" s="1" t="s">
        <v>3464</v>
      </c>
      <c r="AH1874" s="1" t="s">
        <v>49</v>
      </c>
      <c r="AI1874" s="1" t="s">
        <v>54</v>
      </c>
      <c r="AJ1874" s="1">
        <v>1</v>
      </c>
      <c r="AK1874" s="1" t="str">
        <f t="shared" si="29"/>
        <v xml:space="preserve"> =&lt;90</v>
      </c>
      <c r="AL1874" s="1" t="e">
        <f>VLOOKUP(C:C,[1]基础信息!B$1:D$65536,3,0)</f>
        <v>#N/A</v>
      </c>
      <c r="AM1874" s="1" t="e">
        <f>VLOOKUP(C:C,[1]基础信息!B$1:E$65536,4,0)</f>
        <v>#N/A</v>
      </c>
      <c r="AN1874" s="1" t="e">
        <f>VLOOKUP(C:C,[1]基础信息!B$1:F$65536,5,0)</f>
        <v>#N/A</v>
      </c>
    </row>
    <row r="1875" spans="1:40">
      <c r="A1875" s="1" t="s">
        <v>41</v>
      </c>
      <c r="B1875" s="1" t="s">
        <v>42</v>
      </c>
      <c r="C1875" s="1" t="s">
        <v>4342</v>
      </c>
      <c r="D1875" s="1" t="s">
        <v>4343</v>
      </c>
      <c r="E1875" s="1" t="s">
        <v>45</v>
      </c>
      <c r="F1875" s="1" t="s">
        <v>4344</v>
      </c>
      <c r="G1875" s="1" t="s">
        <v>4345</v>
      </c>
      <c r="H1875" s="1" t="s">
        <v>45</v>
      </c>
      <c r="I1875" s="1" t="s">
        <v>45</v>
      </c>
      <c r="J1875" s="1" t="s">
        <v>48</v>
      </c>
      <c r="K1875" s="1">
        <v>295</v>
      </c>
      <c r="L1875" s="1">
        <v>0</v>
      </c>
      <c r="M1875" s="1">
        <v>0</v>
      </c>
      <c r="N1875" s="1">
        <v>295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 t="s">
        <v>49</v>
      </c>
      <c r="AA1875" s="1" t="s">
        <v>49</v>
      </c>
      <c r="AB1875" s="1" t="s">
        <v>49</v>
      </c>
      <c r="AC1875" s="1" t="s">
        <v>3241</v>
      </c>
      <c r="AD1875" s="1" t="s">
        <v>3270</v>
      </c>
      <c r="AE1875" s="1" t="s">
        <v>3241</v>
      </c>
      <c r="AF1875" s="1" t="s">
        <v>4346</v>
      </c>
      <c r="AG1875" s="1" t="s">
        <v>53</v>
      </c>
      <c r="AH1875" s="1" t="s">
        <v>49</v>
      </c>
      <c r="AI1875" s="1" t="s">
        <v>54</v>
      </c>
      <c r="AJ1875" s="1">
        <v>1</v>
      </c>
      <c r="AK1875" s="1" t="str">
        <f t="shared" si="29"/>
        <v xml:space="preserve"> =&lt;90</v>
      </c>
      <c r="AL1875" s="1" t="e">
        <f>VLOOKUP(C:C,[1]基础信息!B$1:D$65536,3,0)</f>
        <v>#N/A</v>
      </c>
      <c r="AM1875" s="1" t="e">
        <f>VLOOKUP(C:C,[1]基础信息!B$1:E$65536,4,0)</f>
        <v>#N/A</v>
      </c>
      <c r="AN1875" s="1" t="e">
        <f>VLOOKUP(C:C,[1]基础信息!B$1:F$65536,5,0)</f>
        <v>#N/A</v>
      </c>
    </row>
    <row r="1876" spans="1:40">
      <c r="A1876" s="1" t="s">
        <v>41</v>
      </c>
      <c r="B1876" s="1" t="s">
        <v>42</v>
      </c>
      <c r="C1876" s="1" t="s">
        <v>1437</v>
      </c>
      <c r="D1876" s="1" t="s">
        <v>1438</v>
      </c>
      <c r="E1876" s="1" t="s">
        <v>45</v>
      </c>
      <c r="F1876" s="1" t="s">
        <v>4347</v>
      </c>
      <c r="G1876" s="1" t="s">
        <v>4348</v>
      </c>
      <c r="H1876" s="1" t="s">
        <v>45</v>
      </c>
      <c r="I1876" s="1" t="s">
        <v>45</v>
      </c>
      <c r="J1876" s="1" t="s">
        <v>48</v>
      </c>
      <c r="K1876" s="1">
        <v>166</v>
      </c>
      <c r="L1876" s="1">
        <v>0</v>
      </c>
      <c r="M1876" s="1">
        <v>0</v>
      </c>
      <c r="N1876" s="1">
        <v>166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 t="s">
        <v>49</v>
      </c>
      <c r="AA1876" s="1" t="s">
        <v>49</v>
      </c>
      <c r="AB1876" s="1" t="s">
        <v>49</v>
      </c>
      <c r="AC1876" s="1" t="s">
        <v>4349</v>
      </c>
      <c r="AD1876" s="1" t="s">
        <v>4350</v>
      </c>
      <c r="AE1876" s="1" t="s">
        <v>4349</v>
      </c>
      <c r="AF1876" s="1" t="s">
        <v>49</v>
      </c>
      <c r="AG1876" s="1" t="s">
        <v>227</v>
      </c>
      <c r="AH1876" s="1" t="s">
        <v>49</v>
      </c>
      <c r="AI1876" s="1" t="s">
        <v>54</v>
      </c>
      <c r="AJ1876" s="1">
        <v>1</v>
      </c>
      <c r="AK1876" s="1" t="str">
        <f t="shared" si="29"/>
        <v xml:space="preserve"> =&lt;90</v>
      </c>
      <c r="AL1876" s="1" t="str">
        <f>VLOOKUP(C:C,[1]基础信息!B$1:D$65536,3,0)</f>
        <v>On tap</v>
      </c>
      <c r="AM1876" s="1" t="str">
        <f>VLOOKUP(C:C,[1]基础信息!B$1:E$65536,4,0)</f>
        <v>On tap</v>
      </c>
      <c r="AN1876" s="1" t="str">
        <f>VLOOKUP(C:C,[1]基础信息!B$1:F$65536,5,0)</f>
        <v>On tap</v>
      </c>
    </row>
    <row r="1877" spans="1:40">
      <c r="A1877" s="1" t="s">
        <v>41</v>
      </c>
      <c r="B1877" s="1" t="s">
        <v>42</v>
      </c>
      <c r="C1877" s="1" t="s">
        <v>285</v>
      </c>
      <c r="D1877" s="1" t="s">
        <v>286</v>
      </c>
      <c r="E1877" s="1" t="s">
        <v>45</v>
      </c>
      <c r="F1877" s="1" t="s">
        <v>4172</v>
      </c>
      <c r="G1877" s="1" t="s">
        <v>4351</v>
      </c>
      <c r="H1877" s="1" t="s">
        <v>45</v>
      </c>
      <c r="I1877" s="1" t="s">
        <v>45</v>
      </c>
      <c r="J1877" s="1" t="s">
        <v>48</v>
      </c>
      <c r="K1877" s="1">
        <v>70</v>
      </c>
      <c r="L1877" s="1">
        <v>0</v>
      </c>
      <c r="M1877" s="1">
        <v>0</v>
      </c>
      <c r="N1877" s="1">
        <v>70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 t="s">
        <v>49</v>
      </c>
      <c r="AA1877" s="1" t="s">
        <v>49</v>
      </c>
      <c r="AB1877" s="1" t="s">
        <v>49</v>
      </c>
      <c r="AC1877" s="1" t="s">
        <v>1008</v>
      </c>
      <c r="AD1877" s="1" t="s">
        <v>1009</v>
      </c>
      <c r="AE1877" s="1" t="s">
        <v>1008</v>
      </c>
      <c r="AF1877" s="1" t="s">
        <v>1553</v>
      </c>
      <c r="AG1877" s="1" t="s">
        <v>53</v>
      </c>
      <c r="AH1877" s="1" t="s">
        <v>49</v>
      </c>
      <c r="AI1877" s="1" t="s">
        <v>54</v>
      </c>
      <c r="AJ1877" s="1">
        <v>1</v>
      </c>
      <c r="AK1877" s="1" t="str">
        <f t="shared" si="29"/>
        <v xml:space="preserve"> =&lt;90</v>
      </c>
      <c r="AL1877" s="1" t="str">
        <f>VLOOKUP(C:C,[1]基础信息!B$1:D$65536,3,0)</f>
        <v>Jug</v>
      </c>
      <c r="AM1877" s="1" t="str">
        <f>VLOOKUP(C:C,[1]基础信息!B$1:E$65536,4,0)</f>
        <v>Marella XL</v>
      </c>
      <c r="AN1877" s="1" t="str">
        <f>VLOOKUP(C:C,[1]基础信息!B$1:F$65536,5,0)</f>
        <v>Blue</v>
      </c>
    </row>
    <row r="1878" spans="1:40">
      <c r="A1878" s="1" t="s">
        <v>41</v>
      </c>
      <c r="B1878" s="1" t="s">
        <v>42</v>
      </c>
      <c r="C1878" s="1" t="s">
        <v>4352</v>
      </c>
      <c r="D1878" s="1" t="s">
        <v>4353</v>
      </c>
      <c r="E1878" s="1" t="s">
        <v>45</v>
      </c>
      <c r="F1878" s="1" t="s">
        <v>4354</v>
      </c>
      <c r="G1878" s="1" t="s">
        <v>4355</v>
      </c>
      <c r="H1878" s="1" t="s">
        <v>45</v>
      </c>
      <c r="I1878" s="1" t="s">
        <v>45</v>
      </c>
      <c r="J1878" s="1" t="s">
        <v>48</v>
      </c>
      <c r="K1878" s="1">
        <v>336</v>
      </c>
      <c r="L1878" s="1">
        <v>0</v>
      </c>
      <c r="M1878" s="1">
        <v>0</v>
      </c>
      <c r="N1878" s="1">
        <v>336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 t="s">
        <v>49</v>
      </c>
      <c r="AA1878" s="1" t="s">
        <v>49</v>
      </c>
      <c r="AB1878" s="1" t="s">
        <v>49</v>
      </c>
      <c r="AC1878" s="1" t="s">
        <v>414</v>
      </c>
      <c r="AD1878" s="1" t="s">
        <v>415</v>
      </c>
      <c r="AE1878" s="1" t="s">
        <v>414</v>
      </c>
      <c r="AF1878" s="1" t="s">
        <v>49</v>
      </c>
      <c r="AG1878" s="1" t="s">
        <v>3464</v>
      </c>
      <c r="AH1878" s="1" t="s">
        <v>49</v>
      </c>
      <c r="AI1878" s="1" t="s">
        <v>54</v>
      </c>
      <c r="AJ1878" s="1">
        <v>1</v>
      </c>
      <c r="AK1878" s="1" t="str">
        <f t="shared" si="29"/>
        <v xml:space="preserve"> =&lt;90</v>
      </c>
      <c r="AL1878" s="1" t="e">
        <f>VLOOKUP(C:C,[1]基础信息!B$1:D$65536,3,0)</f>
        <v>#N/A</v>
      </c>
      <c r="AM1878" s="1" t="e">
        <f>VLOOKUP(C:C,[1]基础信息!B$1:E$65536,4,0)</f>
        <v>#N/A</v>
      </c>
      <c r="AN1878" s="1" t="e">
        <f>VLOOKUP(C:C,[1]基础信息!B$1:F$65536,5,0)</f>
        <v>#N/A</v>
      </c>
    </row>
    <row r="1879" spans="1:40">
      <c r="A1879" s="1" t="s">
        <v>41</v>
      </c>
      <c r="B1879" s="1" t="s">
        <v>42</v>
      </c>
      <c r="C1879" s="1" t="s">
        <v>4352</v>
      </c>
      <c r="D1879" s="1" t="s">
        <v>4353</v>
      </c>
      <c r="E1879" s="1" t="s">
        <v>45</v>
      </c>
      <c r="F1879" s="1" t="s">
        <v>4354</v>
      </c>
      <c r="G1879" s="1" t="s">
        <v>4356</v>
      </c>
      <c r="H1879" s="1" t="s">
        <v>45</v>
      </c>
      <c r="I1879" s="1" t="s">
        <v>45</v>
      </c>
      <c r="J1879" s="1" t="s">
        <v>48</v>
      </c>
      <c r="K1879" s="1">
        <v>336</v>
      </c>
      <c r="L1879" s="1">
        <v>0</v>
      </c>
      <c r="M1879" s="1">
        <v>0</v>
      </c>
      <c r="N1879" s="1">
        <v>336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 t="s">
        <v>49</v>
      </c>
      <c r="AA1879" s="1" t="s">
        <v>49</v>
      </c>
      <c r="AB1879" s="1" t="s">
        <v>49</v>
      </c>
      <c r="AC1879" s="1" t="s">
        <v>414</v>
      </c>
      <c r="AD1879" s="1" t="s">
        <v>415</v>
      </c>
      <c r="AE1879" s="1" t="s">
        <v>414</v>
      </c>
      <c r="AF1879" s="1" t="s">
        <v>49</v>
      </c>
      <c r="AG1879" s="1" t="s">
        <v>3464</v>
      </c>
      <c r="AH1879" s="1" t="s">
        <v>49</v>
      </c>
      <c r="AI1879" s="1" t="s">
        <v>54</v>
      </c>
      <c r="AJ1879" s="1">
        <v>1</v>
      </c>
      <c r="AK1879" s="1" t="str">
        <f t="shared" si="29"/>
        <v xml:space="preserve"> =&lt;90</v>
      </c>
      <c r="AL1879" s="1" t="e">
        <f>VLOOKUP(C:C,[1]基础信息!B$1:D$65536,3,0)</f>
        <v>#N/A</v>
      </c>
      <c r="AM1879" s="1" t="e">
        <f>VLOOKUP(C:C,[1]基础信息!B$1:E$65536,4,0)</f>
        <v>#N/A</v>
      </c>
      <c r="AN1879" s="1" t="e">
        <f>VLOOKUP(C:C,[1]基础信息!B$1:F$65536,5,0)</f>
        <v>#N/A</v>
      </c>
    </row>
    <row r="1880" spans="1:40">
      <c r="A1880" s="1" t="s">
        <v>41</v>
      </c>
      <c r="B1880" s="1" t="s">
        <v>42</v>
      </c>
      <c r="C1880" s="1" t="s">
        <v>4352</v>
      </c>
      <c r="D1880" s="1" t="s">
        <v>4353</v>
      </c>
      <c r="E1880" s="1" t="s">
        <v>45</v>
      </c>
      <c r="F1880" s="1" t="s">
        <v>4354</v>
      </c>
      <c r="G1880" s="1" t="s">
        <v>4357</v>
      </c>
      <c r="H1880" s="1" t="s">
        <v>45</v>
      </c>
      <c r="I1880" s="1" t="s">
        <v>45</v>
      </c>
      <c r="J1880" s="1" t="s">
        <v>48</v>
      </c>
      <c r="K1880" s="1">
        <v>325</v>
      </c>
      <c r="L1880" s="1">
        <v>0</v>
      </c>
      <c r="M1880" s="1">
        <v>0</v>
      </c>
      <c r="N1880" s="1">
        <v>325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 t="s">
        <v>49</v>
      </c>
      <c r="AA1880" s="1" t="s">
        <v>49</v>
      </c>
      <c r="AB1880" s="1" t="s">
        <v>49</v>
      </c>
      <c r="AC1880" s="1" t="s">
        <v>414</v>
      </c>
      <c r="AD1880" s="1" t="s">
        <v>415</v>
      </c>
      <c r="AE1880" s="1" t="s">
        <v>414</v>
      </c>
      <c r="AF1880" s="1" t="s">
        <v>49</v>
      </c>
      <c r="AG1880" s="1" t="s">
        <v>3464</v>
      </c>
      <c r="AH1880" s="1" t="s">
        <v>49</v>
      </c>
      <c r="AI1880" s="1" t="s">
        <v>54</v>
      </c>
      <c r="AJ1880" s="1">
        <v>1</v>
      </c>
      <c r="AK1880" s="1" t="str">
        <f t="shared" si="29"/>
        <v xml:space="preserve"> =&lt;90</v>
      </c>
      <c r="AL1880" s="1" t="e">
        <f>VLOOKUP(C:C,[1]基础信息!B$1:D$65536,3,0)</f>
        <v>#N/A</v>
      </c>
      <c r="AM1880" s="1" t="e">
        <f>VLOOKUP(C:C,[1]基础信息!B$1:E$65536,4,0)</f>
        <v>#N/A</v>
      </c>
      <c r="AN1880" s="1" t="e">
        <f>VLOOKUP(C:C,[1]基础信息!B$1:F$65536,5,0)</f>
        <v>#N/A</v>
      </c>
    </row>
    <row r="1881" spans="1:40">
      <c r="A1881" s="1" t="s">
        <v>41</v>
      </c>
      <c r="B1881" s="1" t="s">
        <v>42</v>
      </c>
      <c r="C1881" s="1" t="s">
        <v>43</v>
      </c>
      <c r="D1881" s="1" t="s">
        <v>44</v>
      </c>
      <c r="E1881" s="1" t="s">
        <v>45</v>
      </c>
      <c r="F1881" s="1" t="s">
        <v>4282</v>
      </c>
      <c r="G1881" s="1" t="s">
        <v>4358</v>
      </c>
      <c r="H1881" s="1" t="s">
        <v>4359</v>
      </c>
      <c r="I1881" s="1" t="s">
        <v>49</v>
      </c>
      <c r="J1881" s="1" t="s">
        <v>48</v>
      </c>
      <c r="K1881" s="1">
        <v>96</v>
      </c>
      <c r="L1881" s="1">
        <v>0</v>
      </c>
      <c r="M1881" s="1">
        <v>0</v>
      </c>
      <c r="N1881" s="1">
        <v>96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 t="s">
        <v>49</v>
      </c>
      <c r="AA1881" s="1" t="s">
        <v>49</v>
      </c>
      <c r="AB1881" s="1" t="s">
        <v>49</v>
      </c>
      <c r="AC1881" s="1" t="s">
        <v>4285</v>
      </c>
      <c r="AD1881" s="1" t="s">
        <v>4286</v>
      </c>
      <c r="AE1881" s="1" t="s">
        <v>4285</v>
      </c>
      <c r="AF1881" s="1" t="s">
        <v>4287</v>
      </c>
      <c r="AG1881" s="1" t="s">
        <v>53</v>
      </c>
      <c r="AH1881" s="1" t="s">
        <v>49</v>
      </c>
      <c r="AI1881" s="1" t="s">
        <v>54</v>
      </c>
      <c r="AJ1881" s="1">
        <v>1</v>
      </c>
      <c r="AK1881" s="1" t="str">
        <f t="shared" si="29"/>
        <v xml:space="preserve"> =&lt;90</v>
      </c>
      <c r="AL1881" s="1" t="str">
        <f>VLOOKUP(C:C,[1]基础信息!B$1:D$65536,3,0)</f>
        <v>Jug</v>
      </c>
      <c r="AM1881" s="1" t="str">
        <f>VLOOKUP(C:C,[1]基础信息!B$1:E$65536,4,0)</f>
        <v>Marella XL</v>
      </c>
      <c r="AN1881" s="1" t="str">
        <f>VLOOKUP(C:C,[1]基础信息!B$1:F$65536,5,0)</f>
        <v>Black</v>
      </c>
    </row>
    <row r="1882" spans="1:40">
      <c r="A1882" s="1" t="s">
        <v>41</v>
      </c>
      <c r="B1882" s="1" t="s">
        <v>42</v>
      </c>
      <c r="C1882" s="1" t="s">
        <v>43</v>
      </c>
      <c r="D1882" s="1" t="s">
        <v>44</v>
      </c>
      <c r="E1882" s="1" t="s">
        <v>45</v>
      </c>
      <c r="F1882" s="1" t="s">
        <v>4282</v>
      </c>
      <c r="G1882" s="1" t="s">
        <v>4360</v>
      </c>
      <c r="H1882" s="1" t="s">
        <v>4361</v>
      </c>
      <c r="I1882" s="1" t="s">
        <v>49</v>
      </c>
      <c r="J1882" s="1" t="s">
        <v>48</v>
      </c>
      <c r="K1882" s="1">
        <v>96</v>
      </c>
      <c r="L1882" s="1">
        <v>0</v>
      </c>
      <c r="M1882" s="1">
        <v>0</v>
      </c>
      <c r="N1882" s="1">
        <v>96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 t="s">
        <v>49</v>
      </c>
      <c r="AA1882" s="1" t="s">
        <v>49</v>
      </c>
      <c r="AB1882" s="1" t="s">
        <v>49</v>
      </c>
      <c r="AC1882" s="1" t="s">
        <v>4285</v>
      </c>
      <c r="AD1882" s="1" t="s">
        <v>4286</v>
      </c>
      <c r="AE1882" s="1" t="s">
        <v>4285</v>
      </c>
      <c r="AF1882" s="1" t="s">
        <v>4287</v>
      </c>
      <c r="AG1882" s="1" t="s">
        <v>53</v>
      </c>
      <c r="AH1882" s="1" t="s">
        <v>49</v>
      </c>
      <c r="AI1882" s="1" t="s">
        <v>54</v>
      </c>
      <c r="AJ1882" s="1">
        <v>1</v>
      </c>
      <c r="AK1882" s="1" t="str">
        <f t="shared" si="29"/>
        <v xml:space="preserve"> =&lt;90</v>
      </c>
      <c r="AL1882" s="1" t="str">
        <f>VLOOKUP(C:C,[1]基础信息!B$1:D$65536,3,0)</f>
        <v>Jug</v>
      </c>
      <c r="AM1882" s="1" t="str">
        <f>VLOOKUP(C:C,[1]基础信息!B$1:E$65536,4,0)</f>
        <v>Marella XL</v>
      </c>
      <c r="AN1882" s="1" t="str">
        <f>VLOOKUP(C:C,[1]基础信息!B$1:F$65536,5,0)</f>
        <v>Black</v>
      </c>
    </row>
    <row r="1883" spans="1:40">
      <c r="A1883" s="1" t="s">
        <v>41</v>
      </c>
      <c r="B1883" s="1" t="s">
        <v>42</v>
      </c>
      <c r="C1883" s="1" t="s">
        <v>1437</v>
      </c>
      <c r="D1883" s="1" t="s">
        <v>1438</v>
      </c>
      <c r="E1883" s="1" t="s">
        <v>45</v>
      </c>
      <c r="F1883" s="1" t="s">
        <v>4362</v>
      </c>
      <c r="G1883" s="1" t="s">
        <v>4363</v>
      </c>
      <c r="H1883" s="1" t="s">
        <v>45</v>
      </c>
      <c r="I1883" s="1" t="s">
        <v>45</v>
      </c>
      <c r="J1883" s="1" t="s">
        <v>48</v>
      </c>
      <c r="K1883" s="1">
        <v>156</v>
      </c>
      <c r="L1883" s="1">
        <v>0</v>
      </c>
      <c r="M1883" s="1">
        <v>0</v>
      </c>
      <c r="N1883" s="1">
        <v>156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 t="s">
        <v>49</v>
      </c>
      <c r="AA1883" s="1" t="s">
        <v>49</v>
      </c>
      <c r="AB1883" s="1" t="s">
        <v>49</v>
      </c>
      <c r="AC1883" s="1" t="s">
        <v>4364</v>
      </c>
      <c r="AD1883" s="1" t="s">
        <v>4365</v>
      </c>
      <c r="AE1883" s="1" t="s">
        <v>4364</v>
      </c>
      <c r="AF1883" s="1" t="s">
        <v>4366</v>
      </c>
      <c r="AG1883" s="1" t="s">
        <v>53</v>
      </c>
      <c r="AH1883" s="1" t="s">
        <v>49</v>
      </c>
      <c r="AI1883" s="1" t="s">
        <v>54</v>
      </c>
      <c r="AJ1883" s="1">
        <v>1</v>
      </c>
      <c r="AK1883" s="1" t="str">
        <f t="shared" si="29"/>
        <v xml:space="preserve"> =&lt;90</v>
      </c>
      <c r="AL1883" s="1" t="str">
        <f>VLOOKUP(C:C,[1]基础信息!B$1:D$65536,3,0)</f>
        <v>On tap</v>
      </c>
      <c r="AM1883" s="1" t="str">
        <f>VLOOKUP(C:C,[1]基础信息!B$1:E$65536,4,0)</f>
        <v>On tap</v>
      </c>
      <c r="AN1883" s="1" t="str">
        <f>VLOOKUP(C:C,[1]基础信息!B$1:F$65536,5,0)</f>
        <v>On tap</v>
      </c>
    </row>
    <row r="1884" spans="1:40">
      <c r="A1884" s="1" t="s">
        <v>41</v>
      </c>
      <c r="B1884" s="1" t="s">
        <v>42</v>
      </c>
      <c r="C1884" s="1" t="s">
        <v>969</v>
      </c>
      <c r="D1884" s="1" t="s">
        <v>970</v>
      </c>
      <c r="E1884" s="1" t="s">
        <v>45</v>
      </c>
      <c r="F1884" s="1" t="s">
        <v>4367</v>
      </c>
      <c r="G1884" s="1" t="s">
        <v>4368</v>
      </c>
      <c r="H1884" s="1" t="s">
        <v>4369</v>
      </c>
      <c r="I1884" s="1" t="s">
        <v>49</v>
      </c>
      <c r="J1884" s="1" t="s">
        <v>48</v>
      </c>
      <c r="K1884" s="1">
        <v>24</v>
      </c>
      <c r="L1884" s="1">
        <v>0</v>
      </c>
      <c r="M1884" s="1">
        <v>0</v>
      </c>
      <c r="N1884" s="1">
        <v>24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 t="s">
        <v>49</v>
      </c>
      <c r="AA1884" s="1" t="s">
        <v>49</v>
      </c>
      <c r="AB1884" s="1" t="s">
        <v>49</v>
      </c>
      <c r="AC1884" s="1" t="s">
        <v>4370</v>
      </c>
      <c r="AD1884" s="1" t="s">
        <v>4371</v>
      </c>
      <c r="AE1884" s="1" t="s">
        <v>4370</v>
      </c>
      <c r="AF1884" s="1" t="s">
        <v>4372</v>
      </c>
      <c r="AG1884" s="1" t="s">
        <v>53</v>
      </c>
      <c r="AH1884" s="1" t="s">
        <v>49</v>
      </c>
      <c r="AI1884" s="1" t="s">
        <v>54</v>
      </c>
      <c r="AJ1884" s="1">
        <v>1</v>
      </c>
      <c r="AK1884" s="1" t="str">
        <f t="shared" si="29"/>
        <v xml:space="preserve"> =&lt;90</v>
      </c>
      <c r="AL1884" s="1" t="str">
        <f>VLOOKUP(C:C,[1]基础信息!B$1:D$65536,3,0)</f>
        <v>Jug</v>
      </c>
      <c r="AM1884" s="1" t="str">
        <f>VLOOKUP(C:C,[1]基础信息!B$1:E$65536,4,0)</f>
        <v>Mxplus</v>
      </c>
      <c r="AN1884" s="1" t="str">
        <f>VLOOKUP(C:C,[1]基础信息!B$1:F$65536,5,0)</f>
        <v xml:space="preserve"> blue</v>
      </c>
    </row>
    <row r="1885" spans="1:40">
      <c r="A1885" s="1" t="s">
        <v>41</v>
      </c>
      <c r="B1885" s="1" t="s">
        <v>42</v>
      </c>
      <c r="C1885" s="1" t="s">
        <v>969</v>
      </c>
      <c r="D1885" s="1" t="s">
        <v>970</v>
      </c>
      <c r="E1885" s="1" t="s">
        <v>45</v>
      </c>
      <c r="F1885" s="1" t="s">
        <v>4367</v>
      </c>
      <c r="G1885" s="1" t="s">
        <v>4373</v>
      </c>
      <c r="H1885" s="1" t="s">
        <v>4374</v>
      </c>
      <c r="I1885" s="1" t="s">
        <v>49</v>
      </c>
      <c r="J1885" s="1" t="s">
        <v>48</v>
      </c>
      <c r="K1885" s="1">
        <v>80</v>
      </c>
      <c r="L1885" s="1">
        <v>0</v>
      </c>
      <c r="M1885" s="1">
        <v>0</v>
      </c>
      <c r="N1885" s="1">
        <v>80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 t="s">
        <v>49</v>
      </c>
      <c r="AA1885" s="1" t="s">
        <v>49</v>
      </c>
      <c r="AB1885" s="1" t="s">
        <v>49</v>
      </c>
      <c r="AC1885" s="1" t="s">
        <v>4370</v>
      </c>
      <c r="AD1885" s="1" t="s">
        <v>4371</v>
      </c>
      <c r="AE1885" s="1" t="s">
        <v>4370</v>
      </c>
      <c r="AF1885" s="1" t="s">
        <v>4372</v>
      </c>
      <c r="AG1885" s="1" t="s">
        <v>53</v>
      </c>
      <c r="AH1885" s="1" t="s">
        <v>49</v>
      </c>
      <c r="AI1885" s="1" t="s">
        <v>54</v>
      </c>
      <c r="AJ1885" s="1">
        <v>1</v>
      </c>
      <c r="AK1885" s="1" t="str">
        <f t="shared" si="29"/>
        <v xml:space="preserve"> =&lt;90</v>
      </c>
      <c r="AL1885" s="1" t="str">
        <f>VLOOKUP(C:C,[1]基础信息!B$1:D$65536,3,0)</f>
        <v>Jug</v>
      </c>
      <c r="AM1885" s="1" t="str">
        <f>VLOOKUP(C:C,[1]基础信息!B$1:E$65536,4,0)</f>
        <v>Mxplus</v>
      </c>
      <c r="AN1885" s="1" t="str">
        <f>VLOOKUP(C:C,[1]基础信息!B$1:F$65536,5,0)</f>
        <v xml:space="preserve"> blue</v>
      </c>
    </row>
    <row r="1886" spans="1:40">
      <c r="A1886" s="1" t="s">
        <v>41</v>
      </c>
      <c r="B1886" s="1" t="s">
        <v>42</v>
      </c>
      <c r="C1886" s="1" t="s">
        <v>1437</v>
      </c>
      <c r="D1886" s="1" t="s">
        <v>1438</v>
      </c>
      <c r="E1886" s="1" t="s">
        <v>45</v>
      </c>
      <c r="F1886" s="1" t="s">
        <v>4375</v>
      </c>
      <c r="G1886" s="1" t="s">
        <v>4376</v>
      </c>
      <c r="H1886" s="1" t="s">
        <v>45</v>
      </c>
      <c r="I1886" s="1" t="s">
        <v>45</v>
      </c>
      <c r="J1886" s="1" t="s">
        <v>48</v>
      </c>
      <c r="K1886" s="1">
        <v>474</v>
      </c>
      <c r="L1886" s="1">
        <v>0</v>
      </c>
      <c r="M1886" s="1">
        <v>0</v>
      </c>
      <c r="N1886" s="1">
        <v>474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 t="s">
        <v>49</v>
      </c>
      <c r="AA1886" s="1" t="s">
        <v>49</v>
      </c>
      <c r="AB1886" s="1" t="s">
        <v>49</v>
      </c>
      <c r="AC1886" s="1" t="s">
        <v>4364</v>
      </c>
      <c r="AD1886" s="1" t="s">
        <v>4365</v>
      </c>
      <c r="AE1886" s="1" t="s">
        <v>4364</v>
      </c>
      <c r="AF1886" s="1" t="s">
        <v>4377</v>
      </c>
      <c r="AG1886" s="1" t="s">
        <v>53</v>
      </c>
      <c r="AH1886" s="1" t="s">
        <v>49</v>
      </c>
      <c r="AI1886" s="1" t="s">
        <v>54</v>
      </c>
      <c r="AJ1886" s="1">
        <v>1</v>
      </c>
      <c r="AK1886" s="1" t="str">
        <f t="shared" si="29"/>
        <v xml:space="preserve"> =&lt;90</v>
      </c>
      <c r="AL1886" s="1" t="str">
        <f>VLOOKUP(C:C,[1]基础信息!B$1:D$65536,3,0)</f>
        <v>On tap</v>
      </c>
      <c r="AM1886" s="1" t="str">
        <f>VLOOKUP(C:C,[1]基础信息!B$1:E$65536,4,0)</f>
        <v>On tap</v>
      </c>
      <c r="AN1886" s="1" t="str">
        <f>VLOOKUP(C:C,[1]基础信息!B$1:F$65536,5,0)</f>
        <v>On tap</v>
      </c>
    </row>
    <row r="1887" spans="1:40">
      <c r="A1887" s="1" t="s">
        <v>41</v>
      </c>
      <c r="B1887" s="1" t="s">
        <v>42</v>
      </c>
      <c r="C1887" s="1" t="s">
        <v>4378</v>
      </c>
      <c r="D1887" s="1" t="s">
        <v>4379</v>
      </c>
      <c r="E1887" s="1" t="s">
        <v>45</v>
      </c>
      <c r="F1887" s="1" t="s">
        <v>4380</v>
      </c>
      <c r="G1887" s="1" t="s">
        <v>4381</v>
      </c>
      <c r="H1887" s="1" t="s">
        <v>4382</v>
      </c>
      <c r="I1887" s="1" t="s">
        <v>45</v>
      </c>
      <c r="J1887" s="1" t="s">
        <v>48</v>
      </c>
      <c r="K1887" s="1">
        <v>2</v>
      </c>
      <c r="L1887" s="1">
        <v>0</v>
      </c>
      <c r="M1887" s="1">
        <v>0</v>
      </c>
      <c r="N1887" s="1">
        <v>2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 t="s">
        <v>49</v>
      </c>
      <c r="AA1887" s="1" t="s">
        <v>49</v>
      </c>
      <c r="AB1887" s="1" t="s">
        <v>49</v>
      </c>
      <c r="AC1887" s="1" t="s">
        <v>4383</v>
      </c>
      <c r="AD1887" s="1" t="s">
        <v>4384</v>
      </c>
      <c r="AE1887" s="1" t="s">
        <v>4383</v>
      </c>
      <c r="AF1887" s="1" t="s">
        <v>4385</v>
      </c>
      <c r="AG1887" s="1" t="s">
        <v>338</v>
      </c>
      <c r="AH1887" s="1" t="s">
        <v>49</v>
      </c>
      <c r="AI1887" s="1" t="s">
        <v>54</v>
      </c>
      <c r="AJ1887" s="1">
        <v>1</v>
      </c>
      <c r="AK1887" s="1" t="str">
        <f t="shared" si="29"/>
        <v xml:space="preserve"> =&lt;90</v>
      </c>
      <c r="AL1887" s="1" t="str">
        <f>VLOOKUP(C:C,[1]基础信息!B$1:D$65536,3,0)</f>
        <v>Jug</v>
      </c>
      <c r="AM1887" s="1" t="str">
        <f>VLOOKUP(C:C,[1]基础信息!B$1:E$65536,4,0)</f>
        <v>Style</v>
      </c>
      <c r="AN1887" s="1" t="str">
        <f>VLOOKUP(C:C,[1]基础信息!B$1:F$65536,5,0)</f>
        <v>Lime</v>
      </c>
    </row>
    <row r="1888" spans="1:40">
      <c r="A1888" s="1" t="s">
        <v>41</v>
      </c>
      <c r="B1888" s="1" t="s">
        <v>42</v>
      </c>
      <c r="C1888" s="1" t="s">
        <v>1437</v>
      </c>
      <c r="D1888" s="1" t="s">
        <v>1438</v>
      </c>
      <c r="E1888" s="1" t="s">
        <v>45</v>
      </c>
      <c r="F1888" s="1" t="s">
        <v>4362</v>
      </c>
      <c r="G1888" s="1" t="s">
        <v>4386</v>
      </c>
      <c r="H1888" s="1" t="s">
        <v>45</v>
      </c>
      <c r="I1888" s="1" t="s">
        <v>45</v>
      </c>
      <c r="J1888" s="1" t="s">
        <v>48</v>
      </c>
      <c r="K1888" s="1">
        <v>540</v>
      </c>
      <c r="L1888" s="1">
        <v>0</v>
      </c>
      <c r="M1888" s="1">
        <v>0</v>
      </c>
      <c r="N1888" s="1">
        <v>540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 t="s">
        <v>49</v>
      </c>
      <c r="AA1888" s="1" t="s">
        <v>49</v>
      </c>
      <c r="AB1888" s="1" t="s">
        <v>49</v>
      </c>
      <c r="AC1888" s="1" t="s">
        <v>4364</v>
      </c>
      <c r="AD1888" s="1" t="s">
        <v>4365</v>
      </c>
      <c r="AE1888" s="1" t="s">
        <v>4364</v>
      </c>
      <c r="AF1888" s="1" t="s">
        <v>4366</v>
      </c>
      <c r="AG1888" s="1" t="s">
        <v>53</v>
      </c>
      <c r="AH1888" s="1" t="s">
        <v>49</v>
      </c>
      <c r="AI1888" s="1" t="s">
        <v>54</v>
      </c>
      <c r="AJ1888" s="1">
        <v>1</v>
      </c>
      <c r="AK1888" s="1" t="str">
        <f t="shared" si="29"/>
        <v xml:space="preserve"> =&lt;90</v>
      </c>
      <c r="AL1888" s="1" t="str">
        <f>VLOOKUP(C:C,[1]基础信息!B$1:D$65536,3,0)</f>
        <v>On tap</v>
      </c>
      <c r="AM1888" s="1" t="str">
        <f>VLOOKUP(C:C,[1]基础信息!B$1:E$65536,4,0)</f>
        <v>On tap</v>
      </c>
      <c r="AN1888" s="1" t="str">
        <f>VLOOKUP(C:C,[1]基础信息!B$1:F$65536,5,0)</f>
        <v>On tap</v>
      </c>
    </row>
    <row r="1889" spans="1:40">
      <c r="A1889" s="1" t="s">
        <v>41</v>
      </c>
      <c r="B1889" s="1" t="s">
        <v>42</v>
      </c>
      <c r="C1889" s="1" t="s">
        <v>969</v>
      </c>
      <c r="D1889" s="1" t="s">
        <v>970</v>
      </c>
      <c r="E1889" s="1" t="s">
        <v>45</v>
      </c>
      <c r="F1889" s="1" t="s">
        <v>4367</v>
      </c>
      <c r="G1889" s="1" t="s">
        <v>4387</v>
      </c>
      <c r="H1889" s="1" t="s">
        <v>4388</v>
      </c>
      <c r="I1889" s="1" t="s">
        <v>49</v>
      </c>
      <c r="J1889" s="1" t="s">
        <v>48</v>
      </c>
      <c r="K1889" s="1">
        <v>80</v>
      </c>
      <c r="L1889" s="1">
        <v>0</v>
      </c>
      <c r="M1889" s="1">
        <v>0</v>
      </c>
      <c r="N1889" s="1">
        <v>80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 t="s">
        <v>49</v>
      </c>
      <c r="AA1889" s="1" t="s">
        <v>49</v>
      </c>
      <c r="AB1889" s="1" t="s">
        <v>49</v>
      </c>
      <c r="AC1889" s="1" t="s">
        <v>4370</v>
      </c>
      <c r="AD1889" s="1" t="s">
        <v>4371</v>
      </c>
      <c r="AE1889" s="1" t="s">
        <v>4370</v>
      </c>
      <c r="AF1889" s="1" t="s">
        <v>4372</v>
      </c>
      <c r="AG1889" s="1" t="s">
        <v>53</v>
      </c>
      <c r="AH1889" s="1" t="s">
        <v>49</v>
      </c>
      <c r="AI1889" s="1" t="s">
        <v>54</v>
      </c>
      <c r="AJ1889" s="1">
        <v>1</v>
      </c>
      <c r="AK1889" s="1" t="str">
        <f t="shared" si="29"/>
        <v xml:space="preserve"> =&lt;90</v>
      </c>
      <c r="AL1889" s="1" t="str">
        <f>VLOOKUP(C:C,[1]基础信息!B$1:D$65536,3,0)</f>
        <v>Jug</v>
      </c>
      <c r="AM1889" s="1" t="str">
        <f>VLOOKUP(C:C,[1]基础信息!B$1:E$65536,4,0)</f>
        <v>Mxplus</v>
      </c>
      <c r="AN1889" s="1" t="str">
        <f>VLOOKUP(C:C,[1]基础信息!B$1:F$65536,5,0)</f>
        <v xml:space="preserve"> blue</v>
      </c>
    </row>
    <row r="1890" spans="1:40">
      <c r="A1890" s="1" t="s">
        <v>41</v>
      </c>
      <c r="B1890" s="1" t="s">
        <v>42</v>
      </c>
      <c r="C1890" s="1" t="s">
        <v>969</v>
      </c>
      <c r="D1890" s="1" t="s">
        <v>970</v>
      </c>
      <c r="E1890" s="1" t="s">
        <v>45</v>
      </c>
      <c r="F1890" s="1" t="s">
        <v>4367</v>
      </c>
      <c r="G1890" s="1" t="s">
        <v>4389</v>
      </c>
      <c r="H1890" s="1" t="s">
        <v>4390</v>
      </c>
      <c r="I1890" s="1" t="s">
        <v>49</v>
      </c>
      <c r="J1890" s="1" t="s">
        <v>48</v>
      </c>
      <c r="K1890" s="1">
        <v>80</v>
      </c>
      <c r="L1890" s="1">
        <v>0</v>
      </c>
      <c r="M1890" s="1">
        <v>0</v>
      </c>
      <c r="N1890" s="1">
        <v>80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 t="s">
        <v>49</v>
      </c>
      <c r="AA1890" s="1" t="s">
        <v>49</v>
      </c>
      <c r="AB1890" s="1" t="s">
        <v>49</v>
      </c>
      <c r="AC1890" s="1" t="s">
        <v>4370</v>
      </c>
      <c r="AD1890" s="1" t="s">
        <v>4371</v>
      </c>
      <c r="AE1890" s="1" t="s">
        <v>4370</v>
      </c>
      <c r="AF1890" s="1" t="s">
        <v>4372</v>
      </c>
      <c r="AG1890" s="1" t="s">
        <v>53</v>
      </c>
      <c r="AH1890" s="1" t="s">
        <v>49</v>
      </c>
      <c r="AI1890" s="1" t="s">
        <v>54</v>
      </c>
      <c r="AJ1890" s="1">
        <v>1</v>
      </c>
      <c r="AK1890" s="1" t="str">
        <f t="shared" si="29"/>
        <v xml:space="preserve"> =&lt;90</v>
      </c>
      <c r="AL1890" s="1" t="str">
        <f>VLOOKUP(C:C,[1]基础信息!B$1:D$65536,3,0)</f>
        <v>Jug</v>
      </c>
      <c r="AM1890" s="1" t="str">
        <f>VLOOKUP(C:C,[1]基础信息!B$1:E$65536,4,0)</f>
        <v>Mxplus</v>
      </c>
      <c r="AN1890" s="1" t="str">
        <f>VLOOKUP(C:C,[1]基础信息!B$1:F$65536,5,0)</f>
        <v xml:space="preserve"> blue</v>
      </c>
    </row>
    <row r="1891" spans="1:40">
      <c r="A1891" s="1" t="s">
        <v>41</v>
      </c>
      <c r="B1891" s="1" t="s">
        <v>42</v>
      </c>
      <c r="C1891" s="1" t="s">
        <v>969</v>
      </c>
      <c r="D1891" s="1" t="s">
        <v>970</v>
      </c>
      <c r="E1891" s="1" t="s">
        <v>45</v>
      </c>
      <c r="F1891" s="1" t="s">
        <v>4367</v>
      </c>
      <c r="G1891" s="1" t="s">
        <v>4391</v>
      </c>
      <c r="H1891" s="1" t="s">
        <v>4392</v>
      </c>
      <c r="I1891" s="1" t="s">
        <v>49</v>
      </c>
      <c r="J1891" s="1" t="s">
        <v>48</v>
      </c>
      <c r="K1891" s="1">
        <v>80</v>
      </c>
      <c r="L1891" s="1">
        <v>0</v>
      </c>
      <c r="M1891" s="1">
        <v>0</v>
      </c>
      <c r="N1891" s="1">
        <v>80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 t="s">
        <v>49</v>
      </c>
      <c r="AA1891" s="1" t="s">
        <v>49</v>
      </c>
      <c r="AB1891" s="1" t="s">
        <v>49</v>
      </c>
      <c r="AC1891" s="1" t="s">
        <v>4370</v>
      </c>
      <c r="AD1891" s="1" t="s">
        <v>4371</v>
      </c>
      <c r="AE1891" s="1" t="s">
        <v>4370</v>
      </c>
      <c r="AF1891" s="1" t="s">
        <v>4372</v>
      </c>
      <c r="AG1891" s="1" t="s">
        <v>53</v>
      </c>
      <c r="AH1891" s="1" t="s">
        <v>49</v>
      </c>
      <c r="AI1891" s="1" t="s">
        <v>54</v>
      </c>
      <c r="AJ1891" s="1">
        <v>1</v>
      </c>
      <c r="AK1891" s="1" t="str">
        <f t="shared" si="29"/>
        <v xml:space="preserve"> =&lt;90</v>
      </c>
      <c r="AL1891" s="1" t="str">
        <f>VLOOKUP(C:C,[1]基础信息!B$1:D$65536,3,0)</f>
        <v>Jug</v>
      </c>
      <c r="AM1891" s="1" t="str">
        <f>VLOOKUP(C:C,[1]基础信息!B$1:E$65536,4,0)</f>
        <v>Mxplus</v>
      </c>
      <c r="AN1891" s="1" t="str">
        <f>VLOOKUP(C:C,[1]基础信息!B$1:F$65536,5,0)</f>
        <v xml:space="preserve"> blue</v>
      </c>
    </row>
    <row r="1892" spans="1:40">
      <c r="A1892" s="1" t="s">
        <v>41</v>
      </c>
      <c r="B1892" s="1" t="s">
        <v>42</v>
      </c>
      <c r="C1892" s="1" t="s">
        <v>1437</v>
      </c>
      <c r="D1892" s="1" t="s">
        <v>1438</v>
      </c>
      <c r="E1892" s="1" t="s">
        <v>45</v>
      </c>
      <c r="F1892" s="1" t="s">
        <v>4393</v>
      </c>
      <c r="G1892" s="1" t="s">
        <v>4394</v>
      </c>
      <c r="H1892" s="1" t="s">
        <v>45</v>
      </c>
      <c r="I1892" s="1" t="s">
        <v>45</v>
      </c>
      <c r="J1892" s="1" t="s">
        <v>48</v>
      </c>
      <c r="K1892" s="1">
        <v>540</v>
      </c>
      <c r="L1892" s="1">
        <v>0</v>
      </c>
      <c r="M1892" s="1">
        <v>0</v>
      </c>
      <c r="N1892" s="1">
        <v>540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 t="s">
        <v>49</v>
      </c>
      <c r="AA1892" s="1" t="s">
        <v>49</v>
      </c>
      <c r="AB1892" s="1" t="s">
        <v>49</v>
      </c>
      <c r="AC1892" s="1" t="s">
        <v>4395</v>
      </c>
      <c r="AD1892" s="1" t="s">
        <v>4396</v>
      </c>
      <c r="AE1892" s="1" t="s">
        <v>4395</v>
      </c>
      <c r="AF1892" s="1" t="s">
        <v>4397</v>
      </c>
      <c r="AG1892" s="1" t="s">
        <v>53</v>
      </c>
      <c r="AH1892" s="1" t="s">
        <v>49</v>
      </c>
      <c r="AI1892" s="1" t="s">
        <v>54</v>
      </c>
      <c r="AJ1892" s="1">
        <v>1</v>
      </c>
      <c r="AK1892" s="1" t="str">
        <f t="shared" si="29"/>
        <v xml:space="preserve"> =&lt;90</v>
      </c>
      <c r="AL1892" s="1" t="str">
        <f>VLOOKUP(C:C,[1]基础信息!B$1:D$65536,3,0)</f>
        <v>On tap</v>
      </c>
      <c r="AM1892" s="1" t="str">
        <f>VLOOKUP(C:C,[1]基础信息!B$1:E$65536,4,0)</f>
        <v>On tap</v>
      </c>
      <c r="AN1892" s="1" t="str">
        <f>VLOOKUP(C:C,[1]基础信息!B$1:F$65536,5,0)</f>
        <v>On tap</v>
      </c>
    </row>
    <row r="1893" spans="1:40">
      <c r="A1893" s="1" t="s">
        <v>41</v>
      </c>
      <c r="B1893" s="1" t="s">
        <v>42</v>
      </c>
      <c r="C1893" s="1" t="s">
        <v>1437</v>
      </c>
      <c r="D1893" s="1" t="s">
        <v>1438</v>
      </c>
      <c r="E1893" s="1" t="s">
        <v>45</v>
      </c>
      <c r="F1893" s="1" t="s">
        <v>4398</v>
      </c>
      <c r="G1893" s="1" t="s">
        <v>4399</v>
      </c>
      <c r="H1893" s="1" t="s">
        <v>45</v>
      </c>
      <c r="I1893" s="1" t="s">
        <v>45</v>
      </c>
      <c r="J1893" s="1" t="s">
        <v>48</v>
      </c>
      <c r="K1893" s="1">
        <v>540</v>
      </c>
      <c r="L1893" s="1">
        <v>0</v>
      </c>
      <c r="M1893" s="1">
        <v>0</v>
      </c>
      <c r="N1893" s="1">
        <v>540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 t="s">
        <v>49</v>
      </c>
      <c r="AA1893" s="1" t="s">
        <v>49</v>
      </c>
      <c r="AB1893" s="1" t="s">
        <v>49</v>
      </c>
      <c r="AC1893" s="1" t="s">
        <v>4395</v>
      </c>
      <c r="AD1893" s="1" t="s">
        <v>4396</v>
      </c>
      <c r="AE1893" s="1" t="s">
        <v>4395</v>
      </c>
      <c r="AF1893" s="1" t="s">
        <v>4400</v>
      </c>
      <c r="AG1893" s="1" t="s">
        <v>53</v>
      </c>
      <c r="AH1893" s="1" t="s">
        <v>49</v>
      </c>
      <c r="AI1893" s="1" t="s">
        <v>54</v>
      </c>
      <c r="AJ1893" s="1">
        <v>1</v>
      </c>
      <c r="AK1893" s="1" t="str">
        <f t="shared" si="29"/>
        <v xml:space="preserve"> =&lt;90</v>
      </c>
      <c r="AL1893" s="1" t="str">
        <f>VLOOKUP(C:C,[1]基础信息!B$1:D$65536,3,0)</f>
        <v>On tap</v>
      </c>
      <c r="AM1893" s="1" t="str">
        <f>VLOOKUP(C:C,[1]基础信息!B$1:E$65536,4,0)</f>
        <v>On tap</v>
      </c>
      <c r="AN1893" s="1" t="str">
        <f>VLOOKUP(C:C,[1]基础信息!B$1:F$65536,5,0)</f>
        <v>On tap</v>
      </c>
    </row>
    <row r="1894" spans="1:40">
      <c r="A1894" s="1" t="s">
        <v>41</v>
      </c>
      <c r="B1894" s="1" t="s">
        <v>42</v>
      </c>
      <c r="C1894" s="1" t="s">
        <v>1437</v>
      </c>
      <c r="D1894" s="1" t="s">
        <v>1438</v>
      </c>
      <c r="E1894" s="1" t="s">
        <v>45</v>
      </c>
      <c r="F1894" s="1" t="s">
        <v>4393</v>
      </c>
      <c r="G1894" s="1" t="s">
        <v>4401</v>
      </c>
      <c r="H1894" s="1" t="s">
        <v>45</v>
      </c>
      <c r="I1894" s="1" t="s">
        <v>45</v>
      </c>
      <c r="J1894" s="1" t="s">
        <v>48</v>
      </c>
      <c r="K1894" s="1">
        <v>468</v>
      </c>
      <c r="L1894" s="1">
        <v>0</v>
      </c>
      <c r="M1894" s="1">
        <v>0</v>
      </c>
      <c r="N1894" s="1">
        <v>468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 t="s">
        <v>49</v>
      </c>
      <c r="AA1894" s="1" t="s">
        <v>49</v>
      </c>
      <c r="AB1894" s="1" t="s">
        <v>49</v>
      </c>
      <c r="AC1894" s="1" t="s">
        <v>4395</v>
      </c>
      <c r="AD1894" s="1" t="s">
        <v>4396</v>
      </c>
      <c r="AE1894" s="1" t="s">
        <v>4395</v>
      </c>
      <c r="AF1894" s="1" t="s">
        <v>4397</v>
      </c>
      <c r="AG1894" s="1" t="s">
        <v>53</v>
      </c>
      <c r="AH1894" s="1" t="s">
        <v>49</v>
      </c>
      <c r="AI1894" s="1" t="s">
        <v>54</v>
      </c>
      <c r="AJ1894" s="1">
        <v>1</v>
      </c>
      <c r="AK1894" s="1" t="str">
        <f t="shared" si="29"/>
        <v xml:space="preserve"> =&lt;90</v>
      </c>
      <c r="AL1894" s="1" t="str">
        <f>VLOOKUP(C:C,[1]基础信息!B$1:D$65536,3,0)</f>
        <v>On tap</v>
      </c>
      <c r="AM1894" s="1" t="str">
        <f>VLOOKUP(C:C,[1]基础信息!B$1:E$65536,4,0)</f>
        <v>On tap</v>
      </c>
      <c r="AN1894" s="1" t="str">
        <f>VLOOKUP(C:C,[1]基础信息!B$1:F$65536,5,0)</f>
        <v>On tap</v>
      </c>
    </row>
    <row r="1895" spans="1:40">
      <c r="A1895" s="1" t="s">
        <v>41</v>
      </c>
      <c r="B1895" s="1" t="s">
        <v>42</v>
      </c>
      <c r="C1895" s="1" t="s">
        <v>4402</v>
      </c>
      <c r="D1895" s="1" t="s">
        <v>4403</v>
      </c>
      <c r="E1895" s="1" t="s">
        <v>45</v>
      </c>
      <c r="F1895" s="1" t="s">
        <v>4404</v>
      </c>
      <c r="G1895" s="1" t="s">
        <v>4405</v>
      </c>
      <c r="H1895" s="1" t="s">
        <v>4406</v>
      </c>
      <c r="I1895" s="1" t="s">
        <v>49</v>
      </c>
      <c r="J1895" s="1" t="s">
        <v>48</v>
      </c>
      <c r="K1895" s="1">
        <v>1</v>
      </c>
      <c r="L1895" s="1">
        <v>0</v>
      </c>
      <c r="M1895" s="1">
        <v>0</v>
      </c>
      <c r="N1895" s="1">
        <v>1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 t="s">
        <v>49</v>
      </c>
      <c r="AA1895" s="1" t="s">
        <v>49</v>
      </c>
      <c r="AB1895" s="1" t="s">
        <v>49</v>
      </c>
      <c r="AC1895" s="1" t="s">
        <v>4407</v>
      </c>
      <c r="AD1895" s="1" t="s">
        <v>4408</v>
      </c>
      <c r="AE1895" s="1" t="s">
        <v>4407</v>
      </c>
      <c r="AF1895" s="1" t="s">
        <v>4409</v>
      </c>
      <c r="AG1895" s="1" t="s">
        <v>338</v>
      </c>
      <c r="AH1895" s="1" t="s">
        <v>49</v>
      </c>
      <c r="AI1895" s="1" t="s">
        <v>54</v>
      </c>
      <c r="AJ1895" s="1">
        <v>1</v>
      </c>
      <c r="AK1895" s="1" t="str">
        <f t="shared" si="29"/>
        <v xml:space="preserve"> =&lt;90</v>
      </c>
      <c r="AL1895" s="1" t="str">
        <f>VLOOKUP(C:C,[1]基础信息!B$1:D$65536,3,0)</f>
        <v>Jug</v>
      </c>
      <c r="AM1895" s="1" t="str">
        <f>VLOOKUP(C:C,[1]基础信息!B$1:E$65536,4,0)</f>
        <v>Style</v>
      </c>
      <c r="AN1895" s="1" t="str">
        <f>VLOOKUP(C:C,[1]基础信息!B$1:F$65536,5,0)</f>
        <v>Lime</v>
      </c>
    </row>
    <row r="1896" spans="1:40">
      <c r="A1896" s="1" t="s">
        <v>41</v>
      </c>
      <c r="B1896" s="1" t="s">
        <v>42</v>
      </c>
      <c r="C1896" s="1" t="s">
        <v>285</v>
      </c>
      <c r="D1896" s="1" t="s">
        <v>286</v>
      </c>
      <c r="E1896" s="1" t="s">
        <v>45</v>
      </c>
      <c r="F1896" s="1" t="s">
        <v>4172</v>
      </c>
      <c r="G1896" s="1" t="s">
        <v>4410</v>
      </c>
      <c r="H1896" s="1" t="s">
        <v>45</v>
      </c>
      <c r="I1896" s="1" t="s">
        <v>45</v>
      </c>
      <c r="J1896" s="1" t="s">
        <v>48</v>
      </c>
      <c r="K1896" s="1">
        <v>70</v>
      </c>
      <c r="L1896" s="1">
        <v>0</v>
      </c>
      <c r="M1896" s="1">
        <v>0</v>
      </c>
      <c r="N1896" s="1">
        <v>70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 t="s">
        <v>49</v>
      </c>
      <c r="AA1896" s="1" t="s">
        <v>49</v>
      </c>
      <c r="AB1896" s="1" t="s">
        <v>49</v>
      </c>
      <c r="AC1896" s="1" t="s">
        <v>1008</v>
      </c>
      <c r="AD1896" s="1" t="s">
        <v>1009</v>
      </c>
      <c r="AE1896" s="1" t="s">
        <v>1008</v>
      </c>
      <c r="AF1896" s="1" t="s">
        <v>1553</v>
      </c>
      <c r="AG1896" s="1" t="s">
        <v>53</v>
      </c>
      <c r="AH1896" s="1" t="s">
        <v>49</v>
      </c>
      <c r="AI1896" s="1" t="s">
        <v>54</v>
      </c>
      <c r="AJ1896" s="1">
        <v>1</v>
      </c>
      <c r="AK1896" s="1" t="str">
        <f t="shared" si="29"/>
        <v xml:space="preserve"> =&lt;90</v>
      </c>
      <c r="AL1896" s="1" t="str">
        <f>VLOOKUP(C:C,[1]基础信息!B$1:D$65536,3,0)</f>
        <v>Jug</v>
      </c>
      <c r="AM1896" s="1" t="str">
        <f>VLOOKUP(C:C,[1]基础信息!B$1:E$65536,4,0)</f>
        <v>Marella XL</v>
      </c>
      <c r="AN1896" s="1" t="str">
        <f>VLOOKUP(C:C,[1]基础信息!B$1:F$65536,5,0)</f>
        <v>Blue</v>
      </c>
    </row>
    <row r="1897" spans="1:40">
      <c r="A1897" s="1" t="s">
        <v>41</v>
      </c>
      <c r="B1897" s="1" t="s">
        <v>42</v>
      </c>
      <c r="C1897" s="1" t="s">
        <v>341</v>
      </c>
      <c r="D1897" s="1" t="s">
        <v>342</v>
      </c>
      <c r="E1897" s="1" t="s">
        <v>45</v>
      </c>
      <c r="F1897" s="1" t="s">
        <v>343</v>
      </c>
      <c r="G1897" s="1" t="s">
        <v>4411</v>
      </c>
      <c r="H1897" s="1" t="s">
        <v>4412</v>
      </c>
      <c r="I1897" s="1" t="s">
        <v>49</v>
      </c>
      <c r="J1897" s="1" t="s">
        <v>48</v>
      </c>
      <c r="K1897" s="1">
        <v>70</v>
      </c>
      <c r="L1897" s="1">
        <v>0</v>
      </c>
      <c r="M1897" s="1">
        <v>0</v>
      </c>
      <c r="N1897" s="1">
        <v>70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 t="s">
        <v>49</v>
      </c>
      <c r="AA1897" s="1" t="s">
        <v>49</v>
      </c>
      <c r="AB1897" s="1" t="s">
        <v>49</v>
      </c>
      <c r="AC1897" s="1" t="s">
        <v>346</v>
      </c>
      <c r="AD1897" s="1" t="s">
        <v>347</v>
      </c>
      <c r="AE1897" s="1" t="s">
        <v>346</v>
      </c>
      <c r="AF1897" s="1" t="s">
        <v>348</v>
      </c>
      <c r="AG1897" s="1" t="s">
        <v>338</v>
      </c>
      <c r="AH1897" s="1" t="s">
        <v>49</v>
      </c>
      <c r="AI1897" s="1" t="s">
        <v>54</v>
      </c>
      <c r="AJ1897" s="1">
        <v>1</v>
      </c>
      <c r="AK1897" s="1" t="str">
        <f t="shared" si="29"/>
        <v xml:space="preserve"> =&lt;90</v>
      </c>
      <c r="AL1897" s="1" t="str">
        <f>VLOOKUP(C:C,[1]基础信息!B$1:D$65536,3,0)</f>
        <v>Jug</v>
      </c>
      <c r="AM1897" s="1" t="str">
        <f>VLOOKUP(C:C,[1]基础信息!B$1:E$65536,4,0)</f>
        <v>Marella</v>
      </c>
      <c r="AN1897" s="1" t="str">
        <f>VLOOKUP(C:C,[1]基础信息!B$1:F$65536,5,0)</f>
        <v>Blue Glitter</v>
      </c>
    </row>
    <row r="1898" spans="1:40">
      <c r="A1898" s="1" t="s">
        <v>41</v>
      </c>
      <c r="B1898" s="1" t="s">
        <v>42</v>
      </c>
      <c r="C1898" s="1" t="s">
        <v>1437</v>
      </c>
      <c r="D1898" s="1" t="s">
        <v>1438</v>
      </c>
      <c r="E1898" s="1" t="s">
        <v>45</v>
      </c>
      <c r="F1898" s="1" t="s">
        <v>4413</v>
      </c>
      <c r="G1898" s="1" t="s">
        <v>4414</v>
      </c>
      <c r="H1898" s="1" t="s">
        <v>45</v>
      </c>
      <c r="I1898" s="1" t="s">
        <v>45</v>
      </c>
      <c r="J1898" s="1" t="s">
        <v>48</v>
      </c>
      <c r="K1898" s="1">
        <v>540</v>
      </c>
      <c r="L1898" s="1">
        <v>0</v>
      </c>
      <c r="M1898" s="1">
        <v>0</v>
      </c>
      <c r="N1898" s="1">
        <v>540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 t="s">
        <v>49</v>
      </c>
      <c r="AA1898" s="1" t="s">
        <v>49</v>
      </c>
      <c r="AB1898" s="1" t="s">
        <v>49</v>
      </c>
      <c r="AC1898" s="1" t="s">
        <v>4395</v>
      </c>
      <c r="AD1898" s="1" t="s">
        <v>4396</v>
      </c>
      <c r="AE1898" s="1" t="s">
        <v>4395</v>
      </c>
      <c r="AF1898" s="1" t="s">
        <v>4415</v>
      </c>
      <c r="AG1898" s="1" t="s">
        <v>53</v>
      </c>
      <c r="AH1898" s="1" t="s">
        <v>49</v>
      </c>
      <c r="AI1898" s="1" t="s">
        <v>54</v>
      </c>
      <c r="AJ1898" s="1">
        <v>1</v>
      </c>
      <c r="AK1898" s="1" t="str">
        <f t="shared" si="29"/>
        <v xml:space="preserve"> =&lt;90</v>
      </c>
      <c r="AL1898" s="1" t="str">
        <f>VLOOKUP(C:C,[1]基础信息!B$1:D$65536,3,0)</f>
        <v>On tap</v>
      </c>
      <c r="AM1898" s="1" t="str">
        <f>VLOOKUP(C:C,[1]基础信息!B$1:E$65536,4,0)</f>
        <v>On tap</v>
      </c>
      <c r="AN1898" s="1" t="str">
        <f>VLOOKUP(C:C,[1]基础信息!B$1:F$65536,5,0)</f>
        <v>On tap</v>
      </c>
    </row>
    <row r="1899" spans="1:40">
      <c r="A1899" s="1" t="s">
        <v>41</v>
      </c>
      <c r="B1899" s="1" t="s">
        <v>42</v>
      </c>
      <c r="C1899" s="1" t="s">
        <v>341</v>
      </c>
      <c r="D1899" s="1" t="s">
        <v>342</v>
      </c>
      <c r="E1899" s="1" t="s">
        <v>45</v>
      </c>
      <c r="F1899" s="1" t="s">
        <v>343</v>
      </c>
      <c r="G1899" s="1" t="s">
        <v>4416</v>
      </c>
      <c r="H1899" s="1" t="s">
        <v>4417</v>
      </c>
      <c r="I1899" s="1" t="s">
        <v>49</v>
      </c>
      <c r="J1899" s="1" t="s">
        <v>48</v>
      </c>
      <c r="K1899" s="1">
        <v>70</v>
      </c>
      <c r="L1899" s="1">
        <v>0</v>
      </c>
      <c r="M1899" s="1">
        <v>0</v>
      </c>
      <c r="N1899" s="1">
        <v>70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 t="s">
        <v>49</v>
      </c>
      <c r="AA1899" s="1" t="s">
        <v>49</v>
      </c>
      <c r="AB1899" s="1" t="s">
        <v>49</v>
      </c>
      <c r="AC1899" s="1" t="s">
        <v>346</v>
      </c>
      <c r="AD1899" s="1" t="s">
        <v>347</v>
      </c>
      <c r="AE1899" s="1" t="s">
        <v>346</v>
      </c>
      <c r="AF1899" s="1" t="s">
        <v>348</v>
      </c>
      <c r="AG1899" s="1" t="s">
        <v>338</v>
      </c>
      <c r="AH1899" s="1" t="s">
        <v>49</v>
      </c>
      <c r="AI1899" s="1" t="s">
        <v>54</v>
      </c>
      <c r="AJ1899" s="1">
        <v>1</v>
      </c>
      <c r="AK1899" s="1" t="str">
        <f t="shared" si="29"/>
        <v xml:space="preserve"> =&lt;90</v>
      </c>
      <c r="AL1899" s="1" t="str">
        <f>VLOOKUP(C:C,[1]基础信息!B$1:D$65536,3,0)</f>
        <v>Jug</v>
      </c>
      <c r="AM1899" s="1" t="str">
        <f>VLOOKUP(C:C,[1]基础信息!B$1:E$65536,4,0)</f>
        <v>Marella</v>
      </c>
      <c r="AN1899" s="1" t="str">
        <f>VLOOKUP(C:C,[1]基础信息!B$1:F$65536,5,0)</f>
        <v>Blue Glitter</v>
      </c>
    </row>
    <row r="1900" spans="1:40">
      <c r="A1900" s="1" t="s">
        <v>41</v>
      </c>
      <c r="B1900" s="1" t="s">
        <v>42</v>
      </c>
      <c r="C1900" s="1" t="s">
        <v>4352</v>
      </c>
      <c r="D1900" s="1" t="s">
        <v>4353</v>
      </c>
      <c r="E1900" s="1" t="s">
        <v>45</v>
      </c>
      <c r="F1900" s="1" t="s">
        <v>4354</v>
      </c>
      <c r="G1900" s="1" t="s">
        <v>4418</v>
      </c>
      <c r="H1900" s="1" t="s">
        <v>45</v>
      </c>
      <c r="I1900" s="1" t="s">
        <v>45</v>
      </c>
      <c r="J1900" s="1" t="s">
        <v>48</v>
      </c>
      <c r="K1900" s="1">
        <v>336</v>
      </c>
      <c r="L1900" s="1">
        <v>0</v>
      </c>
      <c r="M1900" s="1">
        <v>0</v>
      </c>
      <c r="N1900" s="1">
        <v>336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 t="s">
        <v>49</v>
      </c>
      <c r="AA1900" s="1" t="s">
        <v>49</v>
      </c>
      <c r="AB1900" s="1" t="s">
        <v>49</v>
      </c>
      <c r="AC1900" s="1" t="s">
        <v>414</v>
      </c>
      <c r="AD1900" s="1" t="s">
        <v>415</v>
      </c>
      <c r="AE1900" s="1" t="s">
        <v>414</v>
      </c>
      <c r="AF1900" s="1" t="s">
        <v>49</v>
      </c>
      <c r="AG1900" s="1" t="s">
        <v>3464</v>
      </c>
      <c r="AH1900" s="1" t="s">
        <v>49</v>
      </c>
      <c r="AI1900" s="1" t="s">
        <v>54</v>
      </c>
      <c r="AJ1900" s="1">
        <v>1</v>
      </c>
      <c r="AK1900" s="1" t="str">
        <f t="shared" si="29"/>
        <v xml:space="preserve"> =&lt;90</v>
      </c>
      <c r="AL1900" s="1" t="e">
        <f>VLOOKUP(C:C,[1]基础信息!B$1:D$65536,3,0)</f>
        <v>#N/A</v>
      </c>
      <c r="AM1900" s="1" t="e">
        <f>VLOOKUP(C:C,[1]基础信息!B$1:E$65536,4,0)</f>
        <v>#N/A</v>
      </c>
      <c r="AN1900" s="1" t="e">
        <f>VLOOKUP(C:C,[1]基础信息!B$1:F$65536,5,0)</f>
        <v>#N/A</v>
      </c>
    </row>
    <row r="1901" spans="1:40">
      <c r="A1901" s="1" t="s">
        <v>41</v>
      </c>
      <c r="B1901" s="1" t="s">
        <v>42</v>
      </c>
      <c r="C1901" s="1" t="s">
        <v>4352</v>
      </c>
      <c r="D1901" s="1" t="s">
        <v>4353</v>
      </c>
      <c r="E1901" s="1" t="s">
        <v>45</v>
      </c>
      <c r="F1901" s="1" t="s">
        <v>4354</v>
      </c>
      <c r="G1901" s="1" t="s">
        <v>4419</v>
      </c>
      <c r="H1901" s="1" t="s">
        <v>45</v>
      </c>
      <c r="I1901" s="1" t="s">
        <v>45</v>
      </c>
      <c r="J1901" s="1" t="s">
        <v>48</v>
      </c>
      <c r="K1901" s="1">
        <v>336</v>
      </c>
      <c r="L1901" s="1">
        <v>0</v>
      </c>
      <c r="M1901" s="1">
        <v>0</v>
      </c>
      <c r="N1901" s="1">
        <v>336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 t="s">
        <v>49</v>
      </c>
      <c r="AA1901" s="1" t="s">
        <v>49</v>
      </c>
      <c r="AB1901" s="1" t="s">
        <v>49</v>
      </c>
      <c r="AC1901" s="1" t="s">
        <v>414</v>
      </c>
      <c r="AD1901" s="1" t="s">
        <v>415</v>
      </c>
      <c r="AE1901" s="1" t="s">
        <v>414</v>
      </c>
      <c r="AF1901" s="1" t="s">
        <v>49</v>
      </c>
      <c r="AG1901" s="1" t="s">
        <v>3464</v>
      </c>
      <c r="AH1901" s="1" t="s">
        <v>49</v>
      </c>
      <c r="AI1901" s="1" t="s">
        <v>54</v>
      </c>
      <c r="AJ1901" s="1">
        <v>1</v>
      </c>
      <c r="AK1901" s="1" t="str">
        <f t="shared" si="29"/>
        <v xml:space="preserve"> =&lt;90</v>
      </c>
      <c r="AL1901" s="1" t="e">
        <f>VLOOKUP(C:C,[1]基础信息!B$1:D$65536,3,0)</f>
        <v>#N/A</v>
      </c>
      <c r="AM1901" s="1" t="e">
        <f>VLOOKUP(C:C,[1]基础信息!B$1:E$65536,4,0)</f>
        <v>#N/A</v>
      </c>
      <c r="AN1901" s="1" t="e">
        <f>VLOOKUP(C:C,[1]基础信息!B$1:F$65536,5,0)</f>
        <v>#N/A</v>
      </c>
    </row>
    <row r="1902" spans="1:40">
      <c r="A1902" s="1" t="s">
        <v>41</v>
      </c>
      <c r="B1902" s="1" t="s">
        <v>42</v>
      </c>
      <c r="C1902" s="1" t="s">
        <v>341</v>
      </c>
      <c r="D1902" s="1" t="s">
        <v>342</v>
      </c>
      <c r="E1902" s="1" t="s">
        <v>45</v>
      </c>
      <c r="F1902" s="1" t="s">
        <v>343</v>
      </c>
      <c r="G1902" s="1" t="s">
        <v>4420</v>
      </c>
      <c r="H1902" s="1" t="s">
        <v>4421</v>
      </c>
      <c r="I1902" s="1" t="s">
        <v>49</v>
      </c>
      <c r="J1902" s="1" t="s">
        <v>48</v>
      </c>
      <c r="K1902" s="1">
        <v>10</v>
      </c>
      <c r="L1902" s="1">
        <v>0</v>
      </c>
      <c r="M1902" s="1">
        <v>0</v>
      </c>
      <c r="N1902" s="1">
        <v>10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 t="s">
        <v>49</v>
      </c>
      <c r="AA1902" s="1" t="s">
        <v>49</v>
      </c>
      <c r="AB1902" s="1" t="s">
        <v>49</v>
      </c>
      <c r="AC1902" s="1" t="s">
        <v>346</v>
      </c>
      <c r="AD1902" s="1" t="s">
        <v>347</v>
      </c>
      <c r="AE1902" s="1" t="s">
        <v>346</v>
      </c>
      <c r="AF1902" s="1" t="s">
        <v>348</v>
      </c>
      <c r="AG1902" s="1" t="s">
        <v>338</v>
      </c>
      <c r="AH1902" s="1" t="s">
        <v>49</v>
      </c>
      <c r="AI1902" s="1" t="s">
        <v>54</v>
      </c>
      <c r="AJ1902" s="1">
        <v>1</v>
      </c>
      <c r="AK1902" s="1" t="str">
        <f t="shared" si="29"/>
        <v xml:space="preserve"> =&lt;90</v>
      </c>
      <c r="AL1902" s="1" t="str">
        <f>VLOOKUP(C:C,[1]基础信息!B$1:D$65536,3,0)</f>
        <v>Jug</v>
      </c>
      <c r="AM1902" s="1" t="str">
        <f>VLOOKUP(C:C,[1]基础信息!B$1:E$65536,4,0)</f>
        <v>Marella</v>
      </c>
      <c r="AN1902" s="1" t="str">
        <f>VLOOKUP(C:C,[1]基础信息!B$1:F$65536,5,0)</f>
        <v>Blue Glitter</v>
      </c>
    </row>
    <row r="1903" spans="1:40">
      <c r="A1903" s="1" t="s">
        <v>41</v>
      </c>
      <c r="B1903" s="1" t="s">
        <v>42</v>
      </c>
      <c r="C1903" s="1" t="s">
        <v>4352</v>
      </c>
      <c r="D1903" s="1" t="s">
        <v>4353</v>
      </c>
      <c r="E1903" s="1" t="s">
        <v>45</v>
      </c>
      <c r="F1903" s="1" t="s">
        <v>4354</v>
      </c>
      <c r="G1903" s="1" t="s">
        <v>4422</v>
      </c>
      <c r="H1903" s="1" t="s">
        <v>45</v>
      </c>
      <c r="I1903" s="1" t="s">
        <v>45</v>
      </c>
      <c r="J1903" s="1" t="s">
        <v>48</v>
      </c>
      <c r="K1903" s="1">
        <v>336</v>
      </c>
      <c r="L1903" s="1">
        <v>0</v>
      </c>
      <c r="M1903" s="1">
        <v>0</v>
      </c>
      <c r="N1903" s="1">
        <v>336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 t="s">
        <v>49</v>
      </c>
      <c r="AA1903" s="1" t="s">
        <v>49</v>
      </c>
      <c r="AB1903" s="1" t="s">
        <v>49</v>
      </c>
      <c r="AC1903" s="1" t="s">
        <v>414</v>
      </c>
      <c r="AD1903" s="1" t="s">
        <v>415</v>
      </c>
      <c r="AE1903" s="1" t="s">
        <v>414</v>
      </c>
      <c r="AF1903" s="1" t="s">
        <v>49</v>
      </c>
      <c r="AG1903" s="1" t="s">
        <v>3464</v>
      </c>
      <c r="AH1903" s="1" t="s">
        <v>49</v>
      </c>
      <c r="AI1903" s="1" t="s">
        <v>54</v>
      </c>
      <c r="AJ1903" s="1">
        <v>1</v>
      </c>
      <c r="AK1903" s="1" t="str">
        <f t="shared" si="29"/>
        <v xml:space="preserve"> =&lt;90</v>
      </c>
      <c r="AL1903" s="1" t="e">
        <f>VLOOKUP(C:C,[1]基础信息!B$1:D$65536,3,0)</f>
        <v>#N/A</v>
      </c>
      <c r="AM1903" s="1" t="e">
        <f>VLOOKUP(C:C,[1]基础信息!B$1:E$65536,4,0)</f>
        <v>#N/A</v>
      </c>
      <c r="AN1903" s="1" t="e">
        <f>VLOOKUP(C:C,[1]基础信息!B$1:F$65536,5,0)</f>
        <v>#N/A</v>
      </c>
    </row>
    <row r="1904" spans="1:40">
      <c r="A1904" s="1" t="s">
        <v>41</v>
      </c>
      <c r="B1904" s="1" t="s">
        <v>42</v>
      </c>
      <c r="C1904" s="1" t="s">
        <v>4273</v>
      </c>
      <c r="D1904" s="1" t="s">
        <v>4274</v>
      </c>
      <c r="E1904" s="1" t="s">
        <v>45</v>
      </c>
      <c r="F1904" s="1" t="s">
        <v>4275</v>
      </c>
      <c r="G1904" s="1" t="s">
        <v>4423</v>
      </c>
      <c r="H1904" s="1" t="s">
        <v>45</v>
      </c>
      <c r="I1904" s="1" t="s">
        <v>45</v>
      </c>
      <c r="J1904" s="1" t="s">
        <v>48</v>
      </c>
      <c r="K1904" s="1">
        <v>840</v>
      </c>
      <c r="L1904" s="1">
        <v>0</v>
      </c>
      <c r="M1904" s="1">
        <v>0</v>
      </c>
      <c r="N1904" s="1">
        <v>840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 t="s">
        <v>49</v>
      </c>
      <c r="AA1904" s="1" t="s">
        <v>49</v>
      </c>
      <c r="AB1904" s="1" t="s">
        <v>49</v>
      </c>
      <c r="AC1904" s="1" t="s">
        <v>414</v>
      </c>
      <c r="AD1904" s="1" t="s">
        <v>415</v>
      </c>
      <c r="AE1904" s="1" t="s">
        <v>414</v>
      </c>
      <c r="AF1904" s="1" t="s">
        <v>49</v>
      </c>
      <c r="AG1904" s="1" t="s">
        <v>3464</v>
      </c>
      <c r="AH1904" s="1" t="s">
        <v>49</v>
      </c>
      <c r="AI1904" s="1" t="s">
        <v>54</v>
      </c>
      <c r="AJ1904" s="1">
        <v>1</v>
      </c>
      <c r="AK1904" s="1" t="str">
        <f t="shared" si="29"/>
        <v xml:space="preserve"> =&lt;90</v>
      </c>
      <c r="AL1904" s="1" t="e">
        <f>VLOOKUP(C:C,[1]基础信息!B$1:D$65536,3,0)</f>
        <v>#N/A</v>
      </c>
      <c r="AM1904" s="1" t="e">
        <f>VLOOKUP(C:C,[1]基础信息!B$1:E$65536,4,0)</f>
        <v>#N/A</v>
      </c>
      <c r="AN1904" s="1" t="e">
        <f>VLOOKUP(C:C,[1]基础信息!B$1:F$65536,5,0)</f>
        <v>#N/A</v>
      </c>
    </row>
    <row r="1905" spans="1:40">
      <c r="A1905" s="1" t="s">
        <v>41</v>
      </c>
      <c r="B1905" s="1" t="s">
        <v>42</v>
      </c>
      <c r="C1905" s="1" t="s">
        <v>1946</v>
      </c>
      <c r="D1905" s="1" t="s">
        <v>1947</v>
      </c>
      <c r="E1905" s="1" t="s">
        <v>1946</v>
      </c>
      <c r="F1905" s="1" t="s">
        <v>1948</v>
      </c>
      <c r="G1905" s="1" t="s">
        <v>4424</v>
      </c>
      <c r="H1905" s="1" t="s">
        <v>45</v>
      </c>
      <c r="I1905" s="1" t="s">
        <v>45</v>
      </c>
      <c r="J1905" s="1" t="s">
        <v>48</v>
      </c>
      <c r="K1905" s="1">
        <v>154</v>
      </c>
      <c r="L1905" s="1">
        <v>0</v>
      </c>
      <c r="M1905" s="1">
        <v>0</v>
      </c>
      <c r="N1905" s="1">
        <v>154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 t="s">
        <v>49</v>
      </c>
      <c r="AA1905" s="1" t="s">
        <v>49</v>
      </c>
      <c r="AB1905" s="1" t="s">
        <v>49</v>
      </c>
      <c r="AC1905" s="1" t="s">
        <v>1950</v>
      </c>
      <c r="AD1905" s="1" t="s">
        <v>1951</v>
      </c>
      <c r="AE1905" s="1" t="s">
        <v>1950</v>
      </c>
      <c r="AF1905" s="1" t="s">
        <v>49</v>
      </c>
      <c r="AG1905" s="1" t="s">
        <v>1952</v>
      </c>
      <c r="AH1905" s="1" t="s">
        <v>49</v>
      </c>
      <c r="AI1905" s="1" t="s">
        <v>54</v>
      </c>
      <c r="AJ1905" s="1">
        <v>1</v>
      </c>
      <c r="AK1905" s="1" t="str">
        <f t="shared" si="29"/>
        <v xml:space="preserve"> =&lt;90</v>
      </c>
      <c r="AL1905" s="1" t="str">
        <f>VLOOKUP(C:C,[1]基础信息!B$1:D$65536,3,0)</f>
        <v xml:space="preserve">Cartridge </v>
      </c>
      <c r="AM1905" s="1" t="str">
        <f>VLOOKUP(C:C,[1]基础信息!B$1:E$65536,4,0)</f>
        <v>UNIV</v>
      </c>
      <c r="AN1905" s="1" t="str">
        <f>VLOOKUP(C:C,[1]基础信息!B$1:F$65536,5,0)</f>
        <v>P6</v>
      </c>
    </row>
    <row r="1906" spans="1:40">
      <c r="A1906" s="1" t="s">
        <v>41</v>
      </c>
      <c r="B1906" s="1" t="s">
        <v>42</v>
      </c>
      <c r="C1906" s="1" t="s">
        <v>341</v>
      </c>
      <c r="D1906" s="1" t="s">
        <v>342</v>
      </c>
      <c r="E1906" s="1" t="s">
        <v>45</v>
      </c>
      <c r="F1906" s="1" t="s">
        <v>343</v>
      </c>
      <c r="G1906" s="1" t="s">
        <v>4425</v>
      </c>
      <c r="H1906" s="1" t="s">
        <v>4426</v>
      </c>
      <c r="I1906" s="1" t="s">
        <v>49</v>
      </c>
      <c r="J1906" s="1" t="s">
        <v>48</v>
      </c>
      <c r="K1906" s="1">
        <v>70</v>
      </c>
      <c r="L1906" s="1">
        <v>0</v>
      </c>
      <c r="M1906" s="1">
        <v>0</v>
      </c>
      <c r="N1906" s="1">
        <v>70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 t="s">
        <v>49</v>
      </c>
      <c r="AA1906" s="1" t="s">
        <v>49</v>
      </c>
      <c r="AB1906" s="1" t="s">
        <v>49</v>
      </c>
      <c r="AC1906" s="1" t="s">
        <v>346</v>
      </c>
      <c r="AD1906" s="1" t="s">
        <v>347</v>
      </c>
      <c r="AE1906" s="1" t="s">
        <v>346</v>
      </c>
      <c r="AF1906" s="1" t="s">
        <v>348</v>
      </c>
      <c r="AG1906" s="1" t="s">
        <v>338</v>
      </c>
      <c r="AH1906" s="1" t="s">
        <v>49</v>
      </c>
      <c r="AI1906" s="1" t="s">
        <v>54</v>
      </c>
      <c r="AJ1906" s="1">
        <v>1</v>
      </c>
      <c r="AK1906" s="1" t="str">
        <f t="shared" si="29"/>
        <v xml:space="preserve"> =&lt;90</v>
      </c>
      <c r="AL1906" s="1" t="str">
        <f>VLOOKUP(C:C,[1]基础信息!B$1:D$65536,3,0)</f>
        <v>Jug</v>
      </c>
      <c r="AM1906" s="1" t="str">
        <f>VLOOKUP(C:C,[1]基础信息!B$1:E$65536,4,0)</f>
        <v>Marella</v>
      </c>
      <c r="AN1906" s="1" t="str">
        <f>VLOOKUP(C:C,[1]基础信息!B$1:F$65536,5,0)</f>
        <v>Blue Glitter</v>
      </c>
    </row>
    <row r="1907" spans="1:40">
      <c r="A1907" s="1" t="s">
        <v>41</v>
      </c>
      <c r="B1907" s="1" t="s">
        <v>42</v>
      </c>
      <c r="C1907" s="1" t="s">
        <v>4273</v>
      </c>
      <c r="D1907" s="1" t="s">
        <v>4274</v>
      </c>
      <c r="E1907" s="1" t="s">
        <v>45</v>
      </c>
      <c r="F1907" s="1" t="s">
        <v>4275</v>
      </c>
      <c r="G1907" s="1" t="s">
        <v>4427</v>
      </c>
      <c r="H1907" s="1" t="s">
        <v>45</v>
      </c>
      <c r="I1907" s="1" t="s">
        <v>45</v>
      </c>
      <c r="J1907" s="1" t="s">
        <v>48</v>
      </c>
      <c r="K1907" s="1">
        <v>321</v>
      </c>
      <c r="L1907" s="1">
        <v>0</v>
      </c>
      <c r="M1907" s="1">
        <v>0</v>
      </c>
      <c r="N1907" s="1">
        <v>321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 t="s">
        <v>49</v>
      </c>
      <c r="AA1907" s="1" t="s">
        <v>49</v>
      </c>
      <c r="AB1907" s="1" t="s">
        <v>49</v>
      </c>
      <c r="AC1907" s="1" t="s">
        <v>414</v>
      </c>
      <c r="AD1907" s="1" t="s">
        <v>415</v>
      </c>
      <c r="AE1907" s="1" t="s">
        <v>414</v>
      </c>
      <c r="AF1907" s="1" t="s">
        <v>49</v>
      </c>
      <c r="AG1907" s="1" t="s">
        <v>3464</v>
      </c>
      <c r="AH1907" s="1" t="s">
        <v>49</v>
      </c>
      <c r="AI1907" s="1" t="s">
        <v>54</v>
      </c>
      <c r="AJ1907" s="1">
        <v>1</v>
      </c>
      <c r="AK1907" s="1" t="str">
        <f t="shared" si="29"/>
        <v xml:space="preserve"> =&lt;90</v>
      </c>
      <c r="AL1907" s="1" t="e">
        <f>VLOOKUP(C:C,[1]基础信息!B$1:D$65536,3,0)</f>
        <v>#N/A</v>
      </c>
      <c r="AM1907" s="1" t="e">
        <f>VLOOKUP(C:C,[1]基础信息!B$1:E$65536,4,0)</f>
        <v>#N/A</v>
      </c>
      <c r="AN1907" s="1" t="e">
        <f>VLOOKUP(C:C,[1]基础信息!B$1:F$65536,5,0)</f>
        <v>#N/A</v>
      </c>
    </row>
    <row r="1908" spans="1:40">
      <c r="A1908" s="1" t="s">
        <v>41</v>
      </c>
      <c r="B1908" s="1" t="s">
        <v>42</v>
      </c>
      <c r="C1908" s="1" t="s">
        <v>1946</v>
      </c>
      <c r="D1908" s="1" t="s">
        <v>1947</v>
      </c>
      <c r="E1908" s="1" t="s">
        <v>1946</v>
      </c>
      <c r="F1908" s="1" t="s">
        <v>1948</v>
      </c>
      <c r="G1908" s="1" t="s">
        <v>4428</v>
      </c>
      <c r="H1908" s="1" t="s">
        <v>45</v>
      </c>
      <c r="I1908" s="1" t="s">
        <v>45</v>
      </c>
      <c r="J1908" s="1" t="s">
        <v>48</v>
      </c>
      <c r="K1908" s="1">
        <v>99</v>
      </c>
      <c r="L1908" s="1">
        <v>0</v>
      </c>
      <c r="M1908" s="1">
        <v>0</v>
      </c>
      <c r="N1908" s="1">
        <v>99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 t="s">
        <v>49</v>
      </c>
      <c r="AA1908" s="1" t="s">
        <v>49</v>
      </c>
      <c r="AB1908" s="1" t="s">
        <v>49</v>
      </c>
      <c r="AC1908" s="1" t="s">
        <v>1950</v>
      </c>
      <c r="AD1908" s="1" t="s">
        <v>1951</v>
      </c>
      <c r="AE1908" s="1" t="s">
        <v>1950</v>
      </c>
      <c r="AF1908" s="1" t="s">
        <v>49</v>
      </c>
      <c r="AG1908" s="1" t="s">
        <v>1952</v>
      </c>
      <c r="AH1908" s="1" t="s">
        <v>49</v>
      </c>
      <c r="AI1908" s="1" t="s">
        <v>54</v>
      </c>
      <c r="AJ1908" s="1">
        <v>1</v>
      </c>
      <c r="AK1908" s="1" t="str">
        <f t="shared" si="29"/>
        <v xml:space="preserve"> =&lt;90</v>
      </c>
      <c r="AL1908" s="1" t="str">
        <f>VLOOKUP(C:C,[1]基础信息!B$1:D$65536,3,0)</f>
        <v xml:space="preserve">Cartridge </v>
      </c>
      <c r="AM1908" s="1" t="str">
        <f>VLOOKUP(C:C,[1]基础信息!B$1:E$65536,4,0)</f>
        <v>UNIV</v>
      </c>
      <c r="AN1908" s="1" t="str">
        <f>VLOOKUP(C:C,[1]基础信息!B$1:F$65536,5,0)</f>
        <v>P6</v>
      </c>
    </row>
    <row r="1909" spans="1:40">
      <c r="A1909" s="1" t="s">
        <v>41</v>
      </c>
      <c r="B1909" s="1" t="s">
        <v>42</v>
      </c>
      <c r="C1909" s="1" t="s">
        <v>208</v>
      </c>
      <c r="D1909" s="1" t="s">
        <v>209</v>
      </c>
      <c r="E1909" s="1" t="s">
        <v>208</v>
      </c>
      <c r="F1909" s="1" t="s">
        <v>4429</v>
      </c>
      <c r="G1909" s="1" t="s">
        <v>4430</v>
      </c>
      <c r="H1909" s="1" t="s">
        <v>45</v>
      </c>
      <c r="I1909" s="1" t="s">
        <v>45</v>
      </c>
      <c r="J1909" s="1" t="s">
        <v>48</v>
      </c>
      <c r="K1909" s="1">
        <v>24</v>
      </c>
      <c r="L1909" s="1">
        <v>0</v>
      </c>
      <c r="M1909" s="1">
        <v>0</v>
      </c>
      <c r="N1909" s="1">
        <v>24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 t="s">
        <v>49</v>
      </c>
      <c r="AA1909" s="1" t="s">
        <v>49</v>
      </c>
      <c r="AB1909" s="1" t="s">
        <v>49</v>
      </c>
      <c r="AC1909" s="1" t="s">
        <v>414</v>
      </c>
      <c r="AD1909" s="1" t="s">
        <v>415</v>
      </c>
      <c r="AE1909" s="1" t="s">
        <v>414</v>
      </c>
      <c r="AF1909" s="1" t="s">
        <v>49</v>
      </c>
      <c r="AG1909" s="1" t="s">
        <v>3464</v>
      </c>
      <c r="AH1909" s="1" t="s">
        <v>49</v>
      </c>
      <c r="AI1909" s="1" t="s">
        <v>54</v>
      </c>
      <c r="AJ1909" s="1">
        <v>1</v>
      </c>
      <c r="AK1909" s="1" t="str">
        <f t="shared" si="29"/>
        <v xml:space="preserve"> =&lt;90</v>
      </c>
      <c r="AL1909" s="1" t="str">
        <f>VLOOKUP(C:C,[1]基础信息!B$1:D$65536,3,0)</f>
        <v>Jug</v>
      </c>
      <c r="AM1909" s="1" t="str">
        <f>VLOOKUP(C:C,[1]基础信息!B$1:E$65536,4,0)</f>
        <v>MXpl</v>
      </c>
      <c r="AN1909" s="1" t="str">
        <f>VLOOKUP(C:C,[1]基础信息!B$1:F$65536,5,0)</f>
        <v>grey</v>
      </c>
    </row>
    <row r="1910" spans="1:40">
      <c r="A1910" s="1" t="s">
        <v>41</v>
      </c>
      <c r="B1910" s="1" t="s">
        <v>42</v>
      </c>
      <c r="C1910" s="1" t="s">
        <v>285</v>
      </c>
      <c r="D1910" s="1" t="s">
        <v>286</v>
      </c>
      <c r="E1910" s="1" t="s">
        <v>45</v>
      </c>
      <c r="F1910" s="1" t="s">
        <v>4172</v>
      </c>
      <c r="G1910" s="1" t="s">
        <v>4431</v>
      </c>
      <c r="H1910" s="1" t="s">
        <v>45</v>
      </c>
      <c r="I1910" s="1" t="s">
        <v>45</v>
      </c>
      <c r="J1910" s="1" t="s">
        <v>48</v>
      </c>
      <c r="K1910" s="1">
        <v>70</v>
      </c>
      <c r="L1910" s="1">
        <v>0</v>
      </c>
      <c r="M1910" s="1">
        <v>0</v>
      </c>
      <c r="N1910" s="1">
        <v>70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 t="s">
        <v>49</v>
      </c>
      <c r="AA1910" s="1" t="s">
        <v>49</v>
      </c>
      <c r="AB1910" s="1" t="s">
        <v>49</v>
      </c>
      <c r="AC1910" s="1" t="s">
        <v>1008</v>
      </c>
      <c r="AD1910" s="1" t="s">
        <v>1009</v>
      </c>
      <c r="AE1910" s="1" t="s">
        <v>1008</v>
      </c>
      <c r="AF1910" s="1" t="s">
        <v>1553</v>
      </c>
      <c r="AG1910" s="1" t="s">
        <v>53</v>
      </c>
      <c r="AH1910" s="1" t="s">
        <v>49</v>
      </c>
      <c r="AI1910" s="1" t="s">
        <v>54</v>
      </c>
      <c r="AJ1910" s="1">
        <v>1</v>
      </c>
      <c r="AK1910" s="1" t="str">
        <f t="shared" si="29"/>
        <v xml:space="preserve"> =&lt;90</v>
      </c>
      <c r="AL1910" s="1" t="str">
        <f>VLOOKUP(C:C,[1]基础信息!B$1:D$65536,3,0)</f>
        <v>Jug</v>
      </c>
      <c r="AM1910" s="1" t="str">
        <f>VLOOKUP(C:C,[1]基础信息!B$1:E$65536,4,0)</f>
        <v>Marella XL</v>
      </c>
      <c r="AN1910" s="1" t="str">
        <f>VLOOKUP(C:C,[1]基础信息!B$1:F$65536,5,0)</f>
        <v>Blue</v>
      </c>
    </row>
    <row r="1911" spans="1:40">
      <c r="A1911" s="1" t="s">
        <v>41</v>
      </c>
      <c r="B1911" s="1" t="s">
        <v>42</v>
      </c>
      <c r="C1911" s="1" t="s">
        <v>3601</v>
      </c>
      <c r="D1911" s="1" t="s">
        <v>3602</v>
      </c>
      <c r="E1911" s="1" t="s">
        <v>45</v>
      </c>
      <c r="F1911" s="1" t="s">
        <v>4432</v>
      </c>
      <c r="G1911" s="1" t="s">
        <v>4433</v>
      </c>
      <c r="H1911" s="1" t="s">
        <v>45</v>
      </c>
      <c r="I1911" s="1" t="s">
        <v>45</v>
      </c>
      <c r="J1911" s="1" t="s">
        <v>48</v>
      </c>
      <c r="K1911" s="1">
        <v>1442</v>
      </c>
      <c r="L1911" s="1">
        <v>0</v>
      </c>
      <c r="M1911" s="1">
        <v>0</v>
      </c>
      <c r="N1911" s="1">
        <v>1442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 t="s">
        <v>49</v>
      </c>
      <c r="AA1911" s="1" t="s">
        <v>49</v>
      </c>
      <c r="AB1911" s="1" t="s">
        <v>49</v>
      </c>
      <c r="AC1911" s="1" t="s">
        <v>414</v>
      </c>
      <c r="AD1911" s="1" t="s">
        <v>415</v>
      </c>
      <c r="AE1911" s="1" t="s">
        <v>414</v>
      </c>
      <c r="AF1911" s="1" t="s">
        <v>49</v>
      </c>
      <c r="AG1911" s="1" t="s">
        <v>3464</v>
      </c>
      <c r="AH1911" s="1" t="s">
        <v>49</v>
      </c>
      <c r="AI1911" s="1" t="s">
        <v>54</v>
      </c>
      <c r="AJ1911" s="1">
        <v>1</v>
      </c>
      <c r="AK1911" s="1" t="str">
        <f t="shared" si="29"/>
        <v xml:space="preserve"> =&lt;90</v>
      </c>
      <c r="AL1911" s="1" t="e">
        <f>VLOOKUP(C:C,[1]基础信息!B$1:D$65536,3,0)</f>
        <v>#N/A</v>
      </c>
      <c r="AM1911" s="1" t="e">
        <f>VLOOKUP(C:C,[1]基础信息!B$1:E$65536,4,0)</f>
        <v>#N/A</v>
      </c>
      <c r="AN1911" s="1" t="e">
        <f>VLOOKUP(C:C,[1]基础信息!B$1:F$65536,5,0)</f>
        <v>#N/A</v>
      </c>
    </row>
    <row r="1912" spans="1:40">
      <c r="A1912" s="1" t="s">
        <v>41</v>
      </c>
      <c r="B1912" s="1" t="s">
        <v>42</v>
      </c>
      <c r="C1912" s="1" t="s">
        <v>969</v>
      </c>
      <c r="D1912" s="1" t="s">
        <v>970</v>
      </c>
      <c r="E1912" s="1" t="s">
        <v>45</v>
      </c>
      <c r="F1912" s="1" t="s">
        <v>4434</v>
      </c>
      <c r="G1912" s="1" t="s">
        <v>4435</v>
      </c>
      <c r="H1912" s="1" t="s">
        <v>45</v>
      </c>
      <c r="I1912" s="1" t="s">
        <v>45</v>
      </c>
      <c r="J1912" s="1" t="s">
        <v>48</v>
      </c>
      <c r="K1912" s="1">
        <v>27</v>
      </c>
      <c r="L1912" s="1">
        <v>0</v>
      </c>
      <c r="M1912" s="1">
        <v>0</v>
      </c>
      <c r="N1912" s="1">
        <v>27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 t="s">
        <v>49</v>
      </c>
      <c r="AA1912" s="1" t="s">
        <v>49</v>
      </c>
      <c r="AB1912" s="1" t="s">
        <v>49</v>
      </c>
      <c r="AC1912" s="1" t="s">
        <v>414</v>
      </c>
      <c r="AD1912" s="1" t="s">
        <v>415</v>
      </c>
      <c r="AE1912" s="1" t="s">
        <v>414</v>
      </c>
      <c r="AF1912" s="1" t="s">
        <v>49</v>
      </c>
      <c r="AG1912" s="1" t="s">
        <v>3464</v>
      </c>
      <c r="AH1912" s="1" t="s">
        <v>49</v>
      </c>
      <c r="AI1912" s="1" t="s">
        <v>54</v>
      </c>
      <c r="AJ1912" s="1">
        <v>1</v>
      </c>
      <c r="AK1912" s="1" t="str">
        <f t="shared" si="29"/>
        <v xml:space="preserve"> =&lt;90</v>
      </c>
      <c r="AL1912" s="1" t="str">
        <f>VLOOKUP(C:C,[1]基础信息!B$1:D$65536,3,0)</f>
        <v>Jug</v>
      </c>
      <c r="AM1912" s="1" t="str">
        <f>VLOOKUP(C:C,[1]基础信息!B$1:E$65536,4,0)</f>
        <v>Mxplus</v>
      </c>
      <c r="AN1912" s="1" t="str">
        <f>VLOOKUP(C:C,[1]基础信息!B$1:F$65536,5,0)</f>
        <v xml:space="preserve"> blue</v>
      </c>
    </row>
    <row r="1913" spans="1:40">
      <c r="A1913" s="1" t="s">
        <v>41</v>
      </c>
      <c r="B1913" s="1" t="s">
        <v>42</v>
      </c>
      <c r="C1913" s="1" t="s">
        <v>68</v>
      </c>
      <c r="D1913" s="1" t="s">
        <v>69</v>
      </c>
      <c r="E1913" s="1" t="s">
        <v>45</v>
      </c>
      <c r="F1913" s="1" t="s">
        <v>4436</v>
      </c>
      <c r="G1913" s="1" t="s">
        <v>4437</v>
      </c>
      <c r="H1913" s="1" t="s">
        <v>45</v>
      </c>
      <c r="I1913" s="1" t="s">
        <v>45</v>
      </c>
      <c r="J1913" s="1" t="s">
        <v>48</v>
      </c>
      <c r="K1913" s="1">
        <v>13</v>
      </c>
      <c r="L1913" s="1">
        <v>0</v>
      </c>
      <c r="M1913" s="1">
        <v>0</v>
      </c>
      <c r="N1913" s="1">
        <v>13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 t="s">
        <v>49</v>
      </c>
      <c r="AA1913" s="1" t="s">
        <v>49</v>
      </c>
      <c r="AB1913" s="1" t="s">
        <v>49</v>
      </c>
      <c r="AC1913" s="1" t="s">
        <v>414</v>
      </c>
      <c r="AD1913" s="1" t="s">
        <v>415</v>
      </c>
      <c r="AE1913" s="1" t="s">
        <v>414</v>
      </c>
      <c r="AF1913" s="1" t="s">
        <v>49</v>
      </c>
      <c r="AG1913" s="1" t="s">
        <v>3464</v>
      </c>
      <c r="AH1913" s="1" t="s">
        <v>49</v>
      </c>
      <c r="AI1913" s="1" t="s">
        <v>54</v>
      </c>
      <c r="AJ1913" s="1">
        <v>1</v>
      </c>
      <c r="AK1913" s="1" t="str">
        <f t="shared" si="29"/>
        <v xml:space="preserve"> =&lt;90</v>
      </c>
      <c r="AL1913" s="1" t="str">
        <f>VLOOKUP(C:C,[1]基础信息!B$1:D$65536,3,0)</f>
        <v>Hotcup</v>
      </c>
      <c r="AM1913" s="1" t="str">
        <f>VLOOKUP(C:C,[1]基础信息!B$1:E$65536,4,0)</f>
        <v>Hotcup</v>
      </c>
      <c r="AN1913" s="1" t="str">
        <f>VLOOKUP(C:C,[1]基础信息!B$1:F$65536,5,0)</f>
        <v xml:space="preserve"> Whi</v>
      </c>
    </row>
    <row r="1914" spans="1:40">
      <c r="A1914" s="1" t="s">
        <v>41</v>
      </c>
      <c r="B1914" s="1" t="s">
        <v>42</v>
      </c>
      <c r="C1914" s="1" t="s">
        <v>4438</v>
      </c>
      <c r="D1914" s="1" t="s">
        <v>4439</v>
      </c>
      <c r="E1914" s="1" t="s">
        <v>45</v>
      </c>
      <c r="F1914" s="1" t="s">
        <v>4440</v>
      </c>
      <c r="G1914" s="1" t="s">
        <v>4441</v>
      </c>
      <c r="H1914" s="1" t="s">
        <v>45</v>
      </c>
      <c r="I1914" s="1" t="s">
        <v>45</v>
      </c>
      <c r="J1914" s="1" t="s">
        <v>48</v>
      </c>
      <c r="K1914" s="1">
        <v>36</v>
      </c>
      <c r="L1914" s="1">
        <v>0</v>
      </c>
      <c r="M1914" s="1">
        <v>0</v>
      </c>
      <c r="N1914" s="1">
        <v>36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 t="s">
        <v>49</v>
      </c>
      <c r="AA1914" s="1" t="s">
        <v>49</v>
      </c>
      <c r="AB1914" s="1" t="s">
        <v>49</v>
      </c>
      <c r="AC1914" s="1" t="s">
        <v>414</v>
      </c>
      <c r="AD1914" s="1" t="s">
        <v>415</v>
      </c>
      <c r="AE1914" s="1" t="s">
        <v>414</v>
      </c>
      <c r="AF1914" s="1" t="s">
        <v>49</v>
      </c>
      <c r="AG1914" s="1" t="s">
        <v>3464</v>
      </c>
      <c r="AH1914" s="1" t="s">
        <v>49</v>
      </c>
      <c r="AI1914" s="1" t="s">
        <v>54</v>
      </c>
      <c r="AJ1914" s="1">
        <v>1</v>
      </c>
      <c r="AK1914" s="1" t="str">
        <f t="shared" si="29"/>
        <v xml:space="preserve"> =&lt;90</v>
      </c>
      <c r="AL1914" s="1" t="str">
        <f>VLOOKUP(C:C,[1]基础信息!B$1:D$65536,3,0)</f>
        <v>Hotcup</v>
      </c>
      <c r="AM1914" s="1" t="str">
        <f>VLOOKUP(C:C,[1]基础信息!B$1:E$65536,4,0)</f>
        <v>Hotcup</v>
      </c>
      <c r="AN1914" s="1" t="str">
        <f>VLOOKUP(C:C,[1]基础信息!B$1:F$65536,5,0)</f>
        <v xml:space="preserve"> green</v>
      </c>
    </row>
    <row r="1915" spans="1:40">
      <c r="A1915" s="1" t="s">
        <v>41</v>
      </c>
      <c r="B1915" s="1" t="s">
        <v>42</v>
      </c>
      <c r="C1915" s="1" t="s">
        <v>359</v>
      </c>
      <c r="D1915" s="1" t="s">
        <v>360</v>
      </c>
      <c r="E1915" s="1" t="s">
        <v>45</v>
      </c>
      <c r="F1915" s="1" t="s">
        <v>4442</v>
      </c>
      <c r="G1915" s="1" t="s">
        <v>4443</v>
      </c>
      <c r="H1915" s="1" t="s">
        <v>4444</v>
      </c>
      <c r="I1915" s="1" t="s">
        <v>49</v>
      </c>
      <c r="J1915" s="1" t="s">
        <v>48</v>
      </c>
      <c r="K1915" s="1">
        <v>52</v>
      </c>
      <c r="L1915" s="1">
        <v>0</v>
      </c>
      <c r="M1915" s="1">
        <v>0</v>
      </c>
      <c r="N1915" s="1">
        <v>52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 t="s">
        <v>49</v>
      </c>
      <c r="AA1915" s="1" t="s">
        <v>49</v>
      </c>
      <c r="AB1915" s="1" t="s">
        <v>49</v>
      </c>
      <c r="AC1915" s="1" t="s">
        <v>2658</v>
      </c>
      <c r="AD1915" s="1" t="s">
        <v>2659</v>
      </c>
      <c r="AE1915" s="1" t="s">
        <v>2658</v>
      </c>
      <c r="AF1915" s="1" t="s">
        <v>366</v>
      </c>
      <c r="AG1915" s="1" t="s">
        <v>53</v>
      </c>
      <c r="AH1915" s="1" t="s">
        <v>49</v>
      </c>
      <c r="AI1915" s="1" t="s">
        <v>54</v>
      </c>
      <c r="AJ1915" s="1">
        <v>1</v>
      </c>
      <c r="AK1915" s="1" t="str">
        <f t="shared" si="29"/>
        <v xml:space="preserve"> =&lt;90</v>
      </c>
      <c r="AL1915" s="1" t="e">
        <f>VLOOKUP(C:C,[1]基础信息!B$1:D$65536,3,0)</f>
        <v>#N/A</v>
      </c>
      <c r="AM1915" s="1" t="e">
        <f>VLOOKUP(C:C,[1]基础信息!B$1:E$65536,4,0)</f>
        <v>#N/A</v>
      </c>
      <c r="AN1915" s="1" t="e">
        <f>VLOOKUP(C:C,[1]基础信息!B$1:F$65536,5,0)</f>
        <v>#N/A</v>
      </c>
    </row>
    <row r="1916" spans="1:40">
      <c r="A1916" s="1" t="s">
        <v>41</v>
      </c>
      <c r="B1916" s="1" t="s">
        <v>42</v>
      </c>
      <c r="C1916" s="1" t="s">
        <v>359</v>
      </c>
      <c r="D1916" s="1" t="s">
        <v>360</v>
      </c>
      <c r="E1916" s="1" t="s">
        <v>45</v>
      </c>
      <c r="F1916" s="1" t="s">
        <v>4442</v>
      </c>
      <c r="G1916" s="1" t="s">
        <v>4445</v>
      </c>
      <c r="H1916" s="1" t="s">
        <v>4446</v>
      </c>
      <c r="I1916" s="1" t="s">
        <v>49</v>
      </c>
      <c r="J1916" s="1" t="s">
        <v>48</v>
      </c>
      <c r="K1916" s="1">
        <v>95</v>
      </c>
      <c r="L1916" s="1">
        <v>0</v>
      </c>
      <c r="M1916" s="1">
        <v>0</v>
      </c>
      <c r="N1916" s="1">
        <v>95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 t="s">
        <v>49</v>
      </c>
      <c r="AA1916" s="1" t="s">
        <v>49</v>
      </c>
      <c r="AB1916" s="1" t="s">
        <v>49</v>
      </c>
      <c r="AC1916" s="1" t="s">
        <v>2658</v>
      </c>
      <c r="AD1916" s="1" t="s">
        <v>2659</v>
      </c>
      <c r="AE1916" s="1" t="s">
        <v>2658</v>
      </c>
      <c r="AF1916" s="1" t="s">
        <v>366</v>
      </c>
      <c r="AG1916" s="1" t="s">
        <v>53</v>
      </c>
      <c r="AH1916" s="1" t="s">
        <v>49</v>
      </c>
      <c r="AI1916" s="1" t="s">
        <v>54</v>
      </c>
      <c r="AJ1916" s="1">
        <v>1</v>
      </c>
      <c r="AK1916" s="1" t="str">
        <f t="shared" si="29"/>
        <v xml:space="preserve"> =&lt;90</v>
      </c>
      <c r="AL1916" s="1" t="e">
        <f>VLOOKUP(C:C,[1]基础信息!B$1:D$65536,3,0)</f>
        <v>#N/A</v>
      </c>
      <c r="AM1916" s="1" t="e">
        <f>VLOOKUP(C:C,[1]基础信息!B$1:E$65536,4,0)</f>
        <v>#N/A</v>
      </c>
      <c r="AN1916" s="1" t="e">
        <f>VLOOKUP(C:C,[1]基础信息!B$1:F$65536,5,0)</f>
        <v>#N/A</v>
      </c>
    </row>
    <row r="1917" spans="1:40">
      <c r="A1917" s="1" t="s">
        <v>41</v>
      </c>
      <c r="B1917" s="1" t="s">
        <v>42</v>
      </c>
      <c r="C1917" s="1" t="s">
        <v>1437</v>
      </c>
      <c r="D1917" s="1" t="s">
        <v>1438</v>
      </c>
      <c r="E1917" s="1" t="s">
        <v>45</v>
      </c>
      <c r="F1917" s="1" t="s">
        <v>4447</v>
      </c>
      <c r="G1917" s="1" t="s">
        <v>4448</v>
      </c>
      <c r="H1917" s="1" t="s">
        <v>45</v>
      </c>
      <c r="I1917" s="1" t="s">
        <v>45</v>
      </c>
      <c r="J1917" s="1" t="s">
        <v>48</v>
      </c>
      <c r="K1917" s="1">
        <v>540</v>
      </c>
      <c r="L1917" s="1">
        <v>0</v>
      </c>
      <c r="M1917" s="1">
        <v>0</v>
      </c>
      <c r="N1917" s="1">
        <v>540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 t="s">
        <v>49</v>
      </c>
      <c r="AA1917" s="1" t="s">
        <v>49</v>
      </c>
      <c r="AB1917" s="1" t="s">
        <v>49</v>
      </c>
      <c r="AC1917" s="1" t="s">
        <v>4364</v>
      </c>
      <c r="AD1917" s="1" t="s">
        <v>4365</v>
      </c>
      <c r="AE1917" s="1" t="s">
        <v>4364</v>
      </c>
      <c r="AF1917" s="1" t="s">
        <v>49</v>
      </c>
      <c r="AG1917" s="1" t="s">
        <v>53</v>
      </c>
      <c r="AH1917" s="1" t="s">
        <v>49</v>
      </c>
      <c r="AI1917" s="1" t="s">
        <v>54</v>
      </c>
      <c r="AJ1917" s="1">
        <v>1</v>
      </c>
      <c r="AK1917" s="1" t="str">
        <f t="shared" si="29"/>
        <v xml:space="preserve"> =&lt;90</v>
      </c>
      <c r="AL1917" s="1" t="str">
        <f>VLOOKUP(C:C,[1]基础信息!B$1:D$65536,3,0)</f>
        <v>On tap</v>
      </c>
      <c r="AM1917" s="1" t="str">
        <f>VLOOKUP(C:C,[1]基础信息!B$1:E$65536,4,0)</f>
        <v>On tap</v>
      </c>
      <c r="AN1917" s="1" t="str">
        <f>VLOOKUP(C:C,[1]基础信息!B$1:F$65536,5,0)</f>
        <v>On tap</v>
      </c>
    </row>
    <row r="1918" spans="1:40">
      <c r="A1918" s="1" t="s">
        <v>41</v>
      </c>
      <c r="B1918" s="1" t="s">
        <v>42</v>
      </c>
      <c r="C1918" s="1" t="s">
        <v>359</v>
      </c>
      <c r="D1918" s="1" t="s">
        <v>360</v>
      </c>
      <c r="E1918" s="1" t="s">
        <v>45</v>
      </c>
      <c r="F1918" s="1" t="s">
        <v>4442</v>
      </c>
      <c r="G1918" s="1" t="s">
        <v>4449</v>
      </c>
      <c r="H1918" s="1" t="s">
        <v>4450</v>
      </c>
      <c r="I1918" s="1" t="s">
        <v>49</v>
      </c>
      <c r="J1918" s="1" t="s">
        <v>48</v>
      </c>
      <c r="K1918" s="1">
        <v>95</v>
      </c>
      <c r="L1918" s="1">
        <v>0</v>
      </c>
      <c r="M1918" s="1">
        <v>0</v>
      </c>
      <c r="N1918" s="1">
        <v>95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 t="s">
        <v>49</v>
      </c>
      <c r="AA1918" s="1" t="s">
        <v>49</v>
      </c>
      <c r="AB1918" s="1" t="s">
        <v>49</v>
      </c>
      <c r="AC1918" s="1" t="s">
        <v>2658</v>
      </c>
      <c r="AD1918" s="1" t="s">
        <v>2659</v>
      </c>
      <c r="AE1918" s="1" t="s">
        <v>2658</v>
      </c>
      <c r="AF1918" s="1" t="s">
        <v>366</v>
      </c>
      <c r="AG1918" s="1" t="s">
        <v>53</v>
      </c>
      <c r="AH1918" s="1" t="s">
        <v>49</v>
      </c>
      <c r="AI1918" s="1" t="s">
        <v>54</v>
      </c>
      <c r="AJ1918" s="1">
        <v>1</v>
      </c>
      <c r="AK1918" s="1" t="str">
        <f t="shared" si="29"/>
        <v xml:space="preserve"> =&lt;90</v>
      </c>
      <c r="AL1918" s="1" t="e">
        <f>VLOOKUP(C:C,[1]基础信息!B$1:D$65536,3,0)</f>
        <v>#N/A</v>
      </c>
      <c r="AM1918" s="1" t="e">
        <f>VLOOKUP(C:C,[1]基础信息!B$1:E$65536,4,0)</f>
        <v>#N/A</v>
      </c>
      <c r="AN1918" s="1" t="e">
        <f>VLOOKUP(C:C,[1]基础信息!B$1:F$65536,5,0)</f>
        <v>#N/A</v>
      </c>
    </row>
    <row r="1919" spans="1:40">
      <c r="A1919" s="1" t="s">
        <v>41</v>
      </c>
      <c r="B1919" s="1" t="s">
        <v>42</v>
      </c>
      <c r="C1919" s="1" t="s">
        <v>359</v>
      </c>
      <c r="D1919" s="1" t="s">
        <v>360</v>
      </c>
      <c r="E1919" s="1" t="s">
        <v>45</v>
      </c>
      <c r="F1919" s="1" t="s">
        <v>4442</v>
      </c>
      <c r="G1919" s="1" t="s">
        <v>4451</v>
      </c>
      <c r="H1919" s="1" t="s">
        <v>4452</v>
      </c>
      <c r="I1919" s="1" t="s">
        <v>49</v>
      </c>
      <c r="J1919" s="1" t="s">
        <v>48</v>
      </c>
      <c r="K1919" s="1">
        <v>95</v>
      </c>
      <c r="L1919" s="1">
        <v>0</v>
      </c>
      <c r="M1919" s="1">
        <v>0</v>
      </c>
      <c r="N1919" s="1">
        <v>95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 t="s">
        <v>49</v>
      </c>
      <c r="AA1919" s="1" t="s">
        <v>49</v>
      </c>
      <c r="AB1919" s="1" t="s">
        <v>49</v>
      </c>
      <c r="AC1919" s="1" t="s">
        <v>2658</v>
      </c>
      <c r="AD1919" s="1" t="s">
        <v>2659</v>
      </c>
      <c r="AE1919" s="1" t="s">
        <v>2658</v>
      </c>
      <c r="AF1919" s="1" t="s">
        <v>366</v>
      </c>
      <c r="AG1919" s="1" t="s">
        <v>53</v>
      </c>
      <c r="AH1919" s="1" t="s">
        <v>49</v>
      </c>
      <c r="AI1919" s="1" t="s">
        <v>54</v>
      </c>
      <c r="AJ1919" s="1">
        <v>1</v>
      </c>
      <c r="AK1919" s="1" t="str">
        <f t="shared" si="29"/>
        <v xml:space="preserve"> =&lt;90</v>
      </c>
      <c r="AL1919" s="1" t="e">
        <f>VLOOKUP(C:C,[1]基础信息!B$1:D$65536,3,0)</f>
        <v>#N/A</v>
      </c>
      <c r="AM1919" s="1" t="e">
        <f>VLOOKUP(C:C,[1]基础信息!B$1:E$65536,4,0)</f>
        <v>#N/A</v>
      </c>
      <c r="AN1919" s="1" t="e">
        <f>VLOOKUP(C:C,[1]基础信息!B$1:F$65536,5,0)</f>
        <v>#N/A</v>
      </c>
    </row>
    <row r="1920" spans="1:40">
      <c r="A1920" s="1" t="s">
        <v>41</v>
      </c>
      <c r="B1920" s="1" t="s">
        <v>42</v>
      </c>
      <c r="C1920" s="1" t="s">
        <v>359</v>
      </c>
      <c r="D1920" s="1" t="s">
        <v>360</v>
      </c>
      <c r="E1920" s="1" t="s">
        <v>45</v>
      </c>
      <c r="F1920" s="1" t="s">
        <v>4442</v>
      </c>
      <c r="G1920" s="1" t="s">
        <v>4453</v>
      </c>
      <c r="H1920" s="1" t="s">
        <v>4454</v>
      </c>
      <c r="I1920" s="1" t="s">
        <v>49</v>
      </c>
      <c r="J1920" s="1" t="s">
        <v>48</v>
      </c>
      <c r="K1920" s="1">
        <v>95</v>
      </c>
      <c r="L1920" s="1">
        <v>0</v>
      </c>
      <c r="M1920" s="1">
        <v>0</v>
      </c>
      <c r="N1920" s="1">
        <v>95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 t="s">
        <v>49</v>
      </c>
      <c r="AA1920" s="1" t="s">
        <v>49</v>
      </c>
      <c r="AB1920" s="1" t="s">
        <v>49</v>
      </c>
      <c r="AC1920" s="1" t="s">
        <v>2658</v>
      </c>
      <c r="AD1920" s="1" t="s">
        <v>2659</v>
      </c>
      <c r="AE1920" s="1" t="s">
        <v>2658</v>
      </c>
      <c r="AF1920" s="1" t="s">
        <v>366</v>
      </c>
      <c r="AG1920" s="1" t="s">
        <v>53</v>
      </c>
      <c r="AH1920" s="1" t="s">
        <v>49</v>
      </c>
      <c r="AI1920" s="1" t="s">
        <v>54</v>
      </c>
      <c r="AJ1920" s="1">
        <v>1</v>
      </c>
      <c r="AK1920" s="1" t="str">
        <f t="shared" si="29"/>
        <v xml:space="preserve"> =&lt;90</v>
      </c>
      <c r="AL1920" s="1" t="e">
        <f>VLOOKUP(C:C,[1]基础信息!B$1:D$65536,3,0)</f>
        <v>#N/A</v>
      </c>
      <c r="AM1920" s="1" t="e">
        <f>VLOOKUP(C:C,[1]基础信息!B$1:E$65536,4,0)</f>
        <v>#N/A</v>
      </c>
      <c r="AN1920" s="1" t="e">
        <f>VLOOKUP(C:C,[1]基础信息!B$1:F$65536,5,0)</f>
        <v>#N/A</v>
      </c>
    </row>
    <row r="1921" spans="1:40">
      <c r="A1921" s="1" t="s">
        <v>41</v>
      </c>
      <c r="B1921" s="1" t="s">
        <v>42</v>
      </c>
      <c r="C1921" s="1" t="s">
        <v>481</v>
      </c>
      <c r="D1921" s="1" t="s">
        <v>482</v>
      </c>
      <c r="E1921" s="1" t="s">
        <v>45</v>
      </c>
      <c r="F1921" s="1" t="s">
        <v>4455</v>
      </c>
      <c r="G1921" s="1" t="s">
        <v>4456</v>
      </c>
      <c r="H1921" s="1" t="s">
        <v>4457</v>
      </c>
      <c r="I1921" s="1" t="s">
        <v>49</v>
      </c>
      <c r="J1921" s="1" t="s">
        <v>48</v>
      </c>
      <c r="K1921" s="1">
        <v>140</v>
      </c>
      <c r="L1921" s="1">
        <v>0</v>
      </c>
      <c r="M1921" s="1">
        <v>0</v>
      </c>
      <c r="N1921" s="1">
        <v>140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 t="s">
        <v>49</v>
      </c>
      <c r="AA1921" s="1" t="s">
        <v>49</v>
      </c>
      <c r="AB1921" s="1" t="s">
        <v>49</v>
      </c>
      <c r="AC1921" s="1" t="s">
        <v>4458</v>
      </c>
      <c r="AD1921" s="1" t="s">
        <v>4459</v>
      </c>
      <c r="AE1921" s="1" t="s">
        <v>4458</v>
      </c>
      <c r="AF1921" s="1" t="s">
        <v>488</v>
      </c>
      <c r="AG1921" s="1" t="s">
        <v>53</v>
      </c>
      <c r="AH1921" s="1" t="s">
        <v>49</v>
      </c>
      <c r="AI1921" s="1" t="s">
        <v>54</v>
      </c>
      <c r="AJ1921" s="1">
        <v>1</v>
      </c>
      <c r="AK1921" s="1" t="str">
        <f t="shared" si="29"/>
        <v xml:space="preserve"> =&lt;90</v>
      </c>
      <c r="AL1921" s="1" t="str">
        <f>VLOOKUP(C:C,[1]基础信息!B$1:D$65536,3,0)</f>
        <v>Jug</v>
      </c>
      <c r="AM1921" s="1" t="str">
        <f>VLOOKUP(C:C,[1]基础信息!B$1:E$65536,4,0)</f>
        <v>Style COOL</v>
      </c>
      <c r="AN1921" s="1" t="str">
        <f>VLOOKUP(C:C,[1]基础信息!B$1:F$65536,5,0)</f>
        <v>Cool Blue</v>
      </c>
    </row>
    <row r="1922" spans="1:40">
      <c r="A1922" s="1" t="s">
        <v>41</v>
      </c>
      <c r="B1922" s="1" t="s">
        <v>42</v>
      </c>
      <c r="C1922" s="1" t="s">
        <v>481</v>
      </c>
      <c r="D1922" s="1" t="s">
        <v>482</v>
      </c>
      <c r="E1922" s="1" t="s">
        <v>45</v>
      </c>
      <c r="F1922" s="1" t="s">
        <v>4455</v>
      </c>
      <c r="G1922" s="1" t="s">
        <v>4460</v>
      </c>
      <c r="H1922" s="1" t="s">
        <v>4461</v>
      </c>
      <c r="I1922" s="1" t="s">
        <v>49</v>
      </c>
      <c r="J1922" s="1" t="s">
        <v>48</v>
      </c>
      <c r="K1922" s="1">
        <v>168</v>
      </c>
      <c r="L1922" s="1">
        <v>0</v>
      </c>
      <c r="M1922" s="1">
        <v>0</v>
      </c>
      <c r="N1922" s="1">
        <v>168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 t="s">
        <v>49</v>
      </c>
      <c r="AA1922" s="1" t="s">
        <v>49</v>
      </c>
      <c r="AB1922" s="1" t="s">
        <v>49</v>
      </c>
      <c r="AC1922" s="1" t="s">
        <v>4458</v>
      </c>
      <c r="AD1922" s="1" t="s">
        <v>4459</v>
      </c>
      <c r="AE1922" s="1" t="s">
        <v>4458</v>
      </c>
      <c r="AF1922" s="1" t="s">
        <v>488</v>
      </c>
      <c r="AG1922" s="1" t="s">
        <v>53</v>
      </c>
      <c r="AH1922" s="1" t="s">
        <v>49</v>
      </c>
      <c r="AI1922" s="1" t="s">
        <v>54</v>
      </c>
      <c r="AJ1922" s="1">
        <v>1</v>
      </c>
      <c r="AK1922" s="1" t="str">
        <f t="shared" ref="AK1922:AK1985" si="30">IF(AJ1922&gt;$AP$2,$AQ$2,IF(AJ1922&gt;$AP$3,$AQ$3,IF(AJ1922&gt;$AP$4,$AQ$4,$AQ$5)))</f>
        <v xml:space="preserve"> =&lt;90</v>
      </c>
      <c r="AL1922" s="1" t="str">
        <f>VLOOKUP(C:C,[1]基础信息!B$1:D$65536,3,0)</f>
        <v>Jug</v>
      </c>
      <c r="AM1922" s="1" t="str">
        <f>VLOOKUP(C:C,[1]基础信息!B$1:E$65536,4,0)</f>
        <v>Style COOL</v>
      </c>
      <c r="AN1922" s="1" t="str">
        <f>VLOOKUP(C:C,[1]基础信息!B$1:F$65536,5,0)</f>
        <v>Cool Blue</v>
      </c>
    </row>
    <row r="1923" spans="1:40">
      <c r="A1923" s="1" t="s">
        <v>41</v>
      </c>
      <c r="B1923" s="1" t="s">
        <v>42</v>
      </c>
      <c r="C1923" s="1" t="s">
        <v>359</v>
      </c>
      <c r="D1923" s="1" t="s">
        <v>360</v>
      </c>
      <c r="E1923" s="1" t="s">
        <v>45</v>
      </c>
      <c r="F1923" s="1" t="s">
        <v>4442</v>
      </c>
      <c r="G1923" s="1" t="s">
        <v>4462</v>
      </c>
      <c r="H1923" s="1" t="s">
        <v>4463</v>
      </c>
      <c r="I1923" s="1" t="s">
        <v>49</v>
      </c>
      <c r="J1923" s="1" t="s">
        <v>48</v>
      </c>
      <c r="K1923" s="1">
        <v>95</v>
      </c>
      <c r="L1923" s="1">
        <v>0</v>
      </c>
      <c r="M1923" s="1">
        <v>0</v>
      </c>
      <c r="N1923" s="1">
        <v>95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 t="s">
        <v>49</v>
      </c>
      <c r="AA1923" s="1" t="s">
        <v>49</v>
      </c>
      <c r="AB1923" s="1" t="s">
        <v>49</v>
      </c>
      <c r="AC1923" s="1" t="s">
        <v>2658</v>
      </c>
      <c r="AD1923" s="1" t="s">
        <v>2659</v>
      </c>
      <c r="AE1923" s="1" t="s">
        <v>2658</v>
      </c>
      <c r="AF1923" s="1" t="s">
        <v>366</v>
      </c>
      <c r="AG1923" s="1" t="s">
        <v>53</v>
      </c>
      <c r="AH1923" s="1" t="s">
        <v>49</v>
      </c>
      <c r="AI1923" s="1" t="s">
        <v>54</v>
      </c>
      <c r="AJ1923" s="1">
        <v>1</v>
      </c>
      <c r="AK1923" s="1" t="str">
        <f t="shared" si="30"/>
        <v xml:space="preserve"> =&lt;90</v>
      </c>
      <c r="AL1923" s="1" t="e">
        <f>VLOOKUP(C:C,[1]基础信息!B$1:D$65536,3,0)</f>
        <v>#N/A</v>
      </c>
      <c r="AM1923" s="1" t="e">
        <f>VLOOKUP(C:C,[1]基础信息!B$1:E$65536,4,0)</f>
        <v>#N/A</v>
      </c>
      <c r="AN1923" s="1" t="e">
        <f>VLOOKUP(C:C,[1]基础信息!B$1:F$65536,5,0)</f>
        <v>#N/A</v>
      </c>
    </row>
    <row r="1924" spans="1:40">
      <c r="A1924" s="1" t="s">
        <v>41</v>
      </c>
      <c r="B1924" s="1" t="s">
        <v>42</v>
      </c>
      <c r="C1924" s="1" t="s">
        <v>2166</v>
      </c>
      <c r="D1924" s="1" t="s">
        <v>2167</v>
      </c>
      <c r="E1924" s="1" t="s">
        <v>45</v>
      </c>
      <c r="F1924" s="1" t="s">
        <v>4464</v>
      </c>
      <c r="G1924" s="1" t="s">
        <v>4465</v>
      </c>
      <c r="H1924" s="1" t="s">
        <v>4466</v>
      </c>
      <c r="I1924" s="1" t="s">
        <v>49</v>
      </c>
      <c r="J1924" s="1" t="s">
        <v>48</v>
      </c>
      <c r="K1924" s="1">
        <v>4</v>
      </c>
      <c r="L1924" s="1">
        <v>0</v>
      </c>
      <c r="M1924" s="1">
        <v>0</v>
      </c>
      <c r="N1924" s="1">
        <v>4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 t="s">
        <v>49</v>
      </c>
      <c r="AA1924" s="1" t="s">
        <v>49</v>
      </c>
      <c r="AB1924" s="1" t="s">
        <v>49</v>
      </c>
      <c r="AC1924" s="1" t="s">
        <v>4467</v>
      </c>
      <c r="AD1924" s="1" t="s">
        <v>4468</v>
      </c>
      <c r="AE1924" s="1" t="s">
        <v>4467</v>
      </c>
      <c r="AF1924" s="1" t="s">
        <v>4469</v>
      </c>
      <c r="AG1924" s="1" t="s">
        <v>53</v>
      </c>
      <c r="AH1924" s="1" t="s">
        <v>4470</v>
      </c>
      <c r="AI1924" s="1" t="s">
        <v>54</v>
      </c>
      <c r="AJ1924" s="1">
        <v>1</v>
      </c>
      <c r="AK1924" s="1" t="str">
        <f t="shared" si="30"/>
        <v xml:space="preserve"> =&lt;90</v>
      </c>
      <c r="AL1924" s="1" t="str">
        <f>VLOOKUP(C:C,[1]基础信息!B$1:D$65536,3,0)</f>
        <v>UTS</v>
      </c>
      <c r="AM1924" s="1" t="str">
        <f>VLOOKUP(C:C,[1]基础信息!B$1:E$65536,4,0)</f>
        <v>RO</v>
      </c>
      <c r="AN1924" s="1" t="str">
        <f>VLOOKUP(C:C,[1]基础信息!B$1:F$65536,5,0)</f>
        <v>Starry Grey Color</v>
      </c>
    </row>
    <row r="1925" spans="1:40">
      <c r="A1925" s="1" t="s">
        <v>41</v>
      </c>
      <c r="B1925" s="1" t="s">
        <v>42</v>
      </c>
      <c r="C1925" s="1" t="s">
        <v>481</v>
      </c>
      <c r="D1925" s="1" t="s">
        <v>482</v>
      </c>
      <c r="E1925" s="1" t="s">
        <v>45</v>
      </c>
      <c r="F1925" s="1" t="s">
        <v>4455</v>
      </c>
      <c r="G1925" s="1" t="s">
        <v>4471</v>
      </c>
      <c r="H1925" s="1" t="s">
        <v>4472</v>
      </c>
      <c r="I1925" s="1" t="s">
        <v>49</v>
      </c>
      <c r="J1925" s="1" t="s">
        <v>48</v>
      </c>
      <c r="K1925" s="1">
        <v>168</v>
      </c>
      <c r="L1925" s="1">
        <v>0</v>
      </c>
      <c r="M1925" s="1">
        <v>0</v>
      </c>
      <c r="N1925" s="1">
        <v>168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 t="s">
        <v>49</v>
      </c>
      <c r="AA1925" s="1" t="s">
        <v>49</v>
      </c>
      <c r="AB1925" s="1" t="s">
        <v>49</v>
      </c>
      <c r="AC1925" s="1" t="s">
        <v>4458</v>
      </c>
      <c r="AD1925" s="1" t="s">
        <v>4459</v>
      </c>
      <c r="AE1925" s="1" t="s">
        <v>4458</v>
      </c>
      <c r="AF1925" s="1" t="s">
        <v>488</v>
      </c>
      <c r="AG1925" s="1" t="s">
        <v>53</v>
      </c>
      <c r="AH1925" s="1" t="s">
        <v>49</v>
      </c>
      <c r="AI1925" s="1" t="s">
        <v>54</v>
      </c>
      <c r="AJ1925" s="1">
        <v>1</v>
      </c>
      <c r="AK1925" s="1" t="str">
        <f t="shared" si="30"/>
        <v xml:space="preserve"> =&lt;90</v>
      </c>
      <c r="AL1925" s="1" t="str">
        <f>VLOOKUP(C:C,[1]基础信息!B$1:D$65536,3,0)</f>
        <v>Jug</v>
      </c>
      <c r="AM1925" s="1" t="str">
        <f>VLOOKUP(C:C,[1]基础信息!B$1:E$65536,4,0)</f>
        <v>Style COOL</v>
      </c>
      <c r="AN1925" s="1" t="str">
        <f>VLOOKUP(C:C,[1]基础信息!B$1:F$65536,5,0)</f>
        <v>Cool Blue</v>
      </c>
    </row>
    <row r="1926" spans="1:40">
      <c r="A1926" s="1" t="s">
        <v>41</v>
      </c>
      <c r="B1926" s="1" t="s">
        <v>42</v>
      </c>
      <c r="C1926" s="1" t="s">
        <v>481</v>
      </c>
      <c r="D1926" s="1" t="s">
        <v>482</v>
      </c>
      <c r="E1926" s="1" t="s">
        <v>45</v>
      </c>
      <c r="F1926" s="1" t="s">
        <v>4455</v>
      </c>
      <c r="G1926" s="1" t="s">
        <v>4473</v>
      </c>
      <c r="H1926" s="1" t="s">
        <v>4474</v>
      </c>
      <c r="I1926" s="1" t="s">
        <v>49</v>
      </c>
      <c r="J1926" s="1" t="s">
        <v>48</v>
      </c>
      <c r="K1926" s="1">
        <v>168</v>
      </c>
      <c r="L1926" s="1">
        <v>0</v>
      </c>
      <c r="M1926" s="1">
        <v>0</v>
      </c>
      <c r="N1926" s="1">
        <v>168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 t="s">
        <v>49</v>
      </c>
      <c r="AA1926" s="1" t="s">
        <v>49</v>
      </c>
      <c r="AB1926" s="1" t="s">
        <v>49</v>
      </c>
      <c r="AC1926" s="1" t="s">
        <v>4458</v>
      </c>
      <c r="AD1926" s="1" t="s">
        <v>4459</v>
      </c>
      <c r="AE1926" s="1" t="s">
        <v>4458</v>
      </c>
      <c r="AF1926" s="1" t="s">
        <v>488</v>
      </c>
      <c r="AG1926" s="1" t="s">
        <v>53</v>
      </c>
      <c r="AH1926" s="1" t="s">
        <v>49</v>
      </c>
      <c r="AI1926" s="1" t="s">
        <v>54</v>
      </c>
      <c r="AJ1926" s="1">
        <v>1</v>
      </c>
      <c r="AK1926" s="1" t="str">
        <f t="shared" si="30"/>
        <v xml:space="preserve"> =&lt;90</v>
      </c>
      <c r="AL1926" s="1" t="str">
        <f>VLOOKUP(C:C,[1]基础信息!B$1:D$65536,3,0)</f>
        <v>Jug</v>
      </c>
      <c r="AM1926" s="1" t="str">
        <f>VLOOKUP(C:C,[1]基础信息!B$1:E$65536,4,0)</f>
        <v>Style COOL</v>
      </c>
      <c r="AN1926" s="1" t="str">
        <f>VLOOKUP(C:C,[1]基础信息!B$1:F$65536,5,0)</f>
        <v>Cool Blue</v>
      </c>
    </row>
    <row r="1927" spans="1:40">
      <c r="A1927" s="1" t="s">
        <v>41</v>
      </c>
      <c r="B1927" s="1" t="s">
        <v>42</v>
      </c>
      <c r="C1927" s="1" t="s">
        <v>359</v>
      </c>
      <c r="D1927" s="1" t="s">
        <v>360</v>
      </c>
      <c r="E1927" s="1" t="s">
        <v>45</v>
      </c>
      <c r="F1927" s="1" t="s">
        <v>4442</v>
      </c>
      <c r="G1927" s="1" t="s">
        <v>4475</v>
      </c>
      <c r="H1927" s="1" t="s">
        <v>4476</v>
      </c>
      <c r="I1927" s="1" t="s">
        <v>49</v>
      </c>
      <c r="J1927" s="1" t="s">
        <v>48</v>
      </c>
      <c r="K1927" s="1">
        <v>95</v>
      </c>
      <c r="L1927" s="1">
        <v>0</v>
      </c>
      <c r="M1927" s="1">
        <v>0</v>
      </c>
      <c r="N1927" s="1">
        <v>95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 t="s">
        <v>49</v>
      </c>
      <c r="AA1927" s="1" t="s">
        <v>49</v>
      </c>
      <c r="AB1927" s="1" t="s">
        <v>49</v>
      </c>
      <c r="AC1927" s="1" t="s">
        <v>2658</v>
      </c>
      <c r="AD1927" s="1" t="s">
        <v>2659</v>
      </c>
      <c r="AE1927" s="1" t="s">
        <v>2658</v>
      </c>
      <c r="AF1927" s="1" t="s">
        <v>366</v>
      </c>
      <c r="AG1927" s="1" t="s">
        <v>53</v>
      </c>
      <c r="AH1927" s="1" t="s">
        <v>49</v>
      </c>
      <c r="AI1927" s="1" t="s">
        <v>54</v>
      </c>
      <c r="AJ1927" s="1">
        <v>1</v>
      </c>
      <c r="AK1927" s="1" t="str">
        <f t="shared" si="30"/>
        <v xml:space="preserve"> =&lt;90</v>
      </c>
      <c r="AL1927" s="1" t="e">
        <f>VLOOKUP(C:C,[1]基础信息!B$1:D$65536,3,0)</f>
        <v>#N/A</v>
      </c>
      <c r="AM1927" s="1" t="e">
        <f>VLOOKUP(C:C,[1]基础信息!B$1:E$65536,4,0)</f>
        <v>#N/A</v>
      </c>
      <c r="AN1927" s="1" t="e">
        <f>VLOOKUP(C:C,[1]基础信息!B$1:F$65536,5,0)</f>
        <v>#N/A</v>
      </c>
    </row>
    <row r="1928" spans="1:40">
      <c r="A1928" s="1" t="s">
        <v>41</v>
      </c>
      <c r="B1928" s="1" t="s">
        <v>42</v>
      </c>
      <c r="C1928" s="1" t="s">
        <v>2166</v>
      </c>
      <c r="D1928" s="1" t="s">
        <v>2167</v>
      </c>
      <c r="E1928" s="1" t="s">
        <v>45</v>
      </c>
      <c r="F1928" s="1" t="s">
        <v>4464</v>
      </c>
      <c r="G1928" s="1" t="s">
        <v>4477</v>
      </c>
      <c r="H1928" s="1" t="s">
        <v>4478</v>
      </c>
      <c r="I1928" s="1" t="s">
        <v>49</v>
      </c>
      <c r="J1928" s="1" t="s">
        <v>48</v>
      </c>
      <c r="K1928" s="1">
        <v>16</v>
      </c>
      <c r="L1928" s="1">
        <v>0</v>
      </c>
      <c r="M1928" s="1">
        <v>0</v>
      </c>
      <c r="N1928" s="1">
        <v>16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 t="s">
        <v>49</v>
      </c>
      <c r="AA1928" s="1" t="s">
        <v>49</v>
      </c>
      <c r="AB1928" s="1" t="s">
        <v>49</v>
      </c>
      <c r="AC1928" s="1" t="s">
        <v>4467</v>
      </c>
      <c r="AD1928" s="1" t="s">
        <v>4468</v>
      </c>
      <c r="AE1928" s="1" t="s">
        <v>4467</v>
      </c>
      <c r="AF1928" s="1" t="s">
        <v>4469</v>
      </c>
      <c r="AG1928" s="1" t="s">
        <v>53</v>
      </c>
      <c r="AH1928" s="1" t="s">
        <v>4470</v>
      </c>
      <c r="AI1928" s="1" t="s">
        <v>54</v>
      </c>
      <c r="AJ1928" s="1">
        <v>1</v>
      </c>
      <c r="AK1928" s="1" t="str">
        <f t="shared" si="30"/>
        <v xml:space="preserve"> =&lt;90</v>
      </c>
      <c r="AL1928" s="1" t="str">
        <f>VLOOKUP(C:C,[1]基础信息!B$1:D$65536,3,0)</f>
        <v>UTS</v>
      </c>
      <c r="AM1928" s="1" t="str">
        <f>VLOOKUP(C:C,[1]基础信息!B$1:E$65536,4,0)</f>
        <v>RO</v>
      </c>
      <c r="AN1928" s="1" t="str">
        <f>VLOOKUP(C:C,[1]基础信息!B$1:F$65536,5,0)</f>
        <v>Starry Grey Color</v>
      </c>
    </row>
    <row r="1929" spans="1:40">
      <c r="A1929" s="1" t="s">
        <v>41</v>
      </c>
      <c r="B1929" s="1" t="s">
        <v>42</v>
      </c>
      <c r="C1929" s="1" t="s">
        <v>359</v>
      </c>
      <c r="D1929" s="1" t="s">
        <v>360</v>
      </c>
      <c r="E1929" s="1" t="s">
        <v>45</v>
      </c>
      <c r="F1929" s="1" t="s">
        <v>4442</v>
      </c>
      <c r="G1929" s="1" t="s">
        <v>4479</v>
      </c>
      <c r="H1929" s="1" t="s">
        <v>4480</v>
      </c>
      <c r="I1929" s="1" t="s">
        <v>49</v>
      </c>
      <c r="J1929" s="1" t="s">
        <v>48</v>
      </c>
      <c r="K1929" s="1">
        <v>95</v>
      </c>
      <c r="L1929" s="1">
        <v>0</v>
      </c>
      <c r="M1929" s="1">
        <v>0</v>
      </c>
      <c r="N1929" s="1">
        <v>95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 t="s">
        <v>49</v>
      </c>
      <c r="AA1929" s="1" t="s">
        <v>49</v>
      </c>
      <c r="AB1929" s="1" t="s">
        <v>49</v>
      </c>
      <c r="AC1929" s="1" t="s">
        <v>2658</v>
      </c>
      <c r="AD1929" s="1" t="s">
        <v>2659</v>
      </c>
      <c r="AE1929" s="1" t="s">
        <v>2658</v>
      </c>
      <c r="AF1929" s="1" t="s">
        <v>366</v>
      </c>
      <c r="AG1929" s="1" t="s">
        <v>53</v>
      </c>
      <c r="AH1929" s="1" t="s">
        <v>49</v>
      </c>
      <c r="AI1929" s="1" t="s">
        <v>54</v>
      </c>
      <c r="AJ1929" s="1">
        <v>1</v>
      </c>
      <c r="AK1929" s="1" t="str">
        <f t="shared" si="30"/>
        <v xml:space="preserve"> =&lt;90</v>
      </c>
      <c r="AL1929" s="1" t="e">
        <f>VLOOKUP(C:C,[1]基础信息!B$1:D$65536,3,0)</f>
        <v>#N/A</v>
      </c>
      <c r="AM1929" s="1" t="e">
        <f>VLOOKUP(C:C,[1]基础信息!B$1:E$65536,4,0)</f>
        <v>#N/A</v>
      </c>
      <c r="AN1929" s="1" t="e">
        <f>VLOOKUP(C:C,[1]基础信息!B$1:F$65536,5,0)</f>
        <v>#N/A</v>
      </c>
    </row>
    <row r="1930" spans="1:40">
      <c r="A1930" s="1" t="s">
        <v>41</v>
      </c>
      <c r="B1930" s="1" t="s">
        <v>42</v>
      </c>
      <c r="C1930" s="1" t="s">
        <v>1437</v>
      </c>
      <c r="D1930" s="1" t="s">
        <v>1438</v>
      </c>
      <c r="E1930" s="1" t="s">
        <v>45</v>
      </c>
      <c r="F1930" s="1" t="s">
        <v>4375</v>
      </c>
      <c r="G1930" s="1" t="s">
        <v>4481</v>
      </c>
      <c r="H1930" s="1" t="s">
        <v>45</v>
      </c>
      <c r="I1930" s="1" t="s">
        <v>45</v>
      </c>
      <c r="J1930" s="1" t="s">
        <v>48</v>
      </c>
      <c r="K1930" s="1">
        <v>540</v>
      </c>
      <c r="L1930" s="1">
        <v>0</v>
      </c>
      <c r="M1930" s="1">
        <v>0</v>
      </c>
      <c r="N1930" s="1">
        <v>540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 t="s">
        <v>49</v>
      </c>
      <c r="AA1930" s="1" t="s">
        <v>49</v>
      </c>
      <c r="AB1930" s="1" t="s">
        <v>49</v>
      </c>
      <c r="AC1930" s="1" t="s">
        <v>4364</v>
      </c>
      <c r="AD1930" s="1" t="s">
        <v>4365</v>
      </c>
      <c r="AE1930" s="1" t="s">
        <v>4364</v>
      </c>
      <c r="AF1930" s="1" t="s">
        <v>4377</v>
      </c>
      <c r="AG1930" s="1" t="s">
        <v>53</v>
      </c>
      <c r="AH1930" s="1" t="s">
        <v>49</v>
      </c>
      <c r="AI1930" s="1" t="s">
        <v>54</v>
      </c>
      <c r="AJ1930" s="1">
        <v>1</v>
      </c>
      <c r="AK1930" s="1" t="str">
        <f t="shared" si="30"/>
        <v xml:space="preserve"> =&lt;90</v>
      </c>
      <c r="AL1930" s="1" t="str">
        <f>VLOOKUP(C:C,[1]基础信息!B$1:D$65536,3,0)</f>
        <v>On tap</v>
      </c>
      <c r="AM1930" s="1" t="str">
        <f>VLOOKUP(C:C,[1]基础信息!B$1:E$65536,4,0)</f>
        <v>On tap</v>
      </c>
      <c r="AN1930" s="1" t="str">
        <f>VLOOKUP(C:C,[1]基础信息!B$1:F$65536,5,0)</f>
        <v>On tap</v>
      </c>
    </row>
    <row r="1931" spans="1:40">
      <c r="A1931" s="1" t="s">
        <v>41</v>
      </c>
      <c r="B1931" s="1" t="s">
        <v>42</v>
      </c>
      <c r="C1931" s="1" t="s">
        <v>359</v>
      </c>
      <c r="D1931" s="1" t="s">
        <v>360</v>
      </c>
      <c r="E1931" s="1" t="s">
        <v>45</v>
      </c>
      <c r="F1931" s="1" t="s">
        <v>4442</v>
      </c>
      <c r="G1931" s="1" t="s">
        <v>4482</v>
      </c>
      <c r="H1931" s="1" t="s">
        <v>4483</v>
      </c>
      <c r="I1931" s="1" t="s">
        <v>49</v>
      </c>
      <c r="J1931" s="1" t="s">
        <v>48</v>
      </c>
      <c r="K1931" s="1">
        <v>95</v>
      </c>
      <c r="L1931" s="1">
        <v>0</v>
      </c>
      <c r="M1931" s="1">
        <v>0</v>
      </c>
      <c r="N1931" s="1">
        <v>95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 t="s">
        <v>49</v>
      </c>
      <c r="AA1931" s="1" t="s">
        <v>49</v>
      </c>
      <c r="AB1931" s="1" t="s">
        <v>49</v>
      </c>
      <c r="AC1931" s="1" t="s">
        <v>2658</v>
      </c>
      <c r="AD1931" s="1" t="s">
        <v>2659</v>
      </c>
      <c r="AE1931" s="1" t="s">
        <v>2658</v>
      </c>
      <c r="AF1931" s="1" t="s">
        <v>366</v>
      </c>
      <c r="AG1931" s="1" t="s">
        <v>53</v>
      </c>
      <c r="AH1931" s="1" t="s">
        <v>49</v>
      </c>
      <c r="AI1931" s="1" t="s">
        <v>54</v>
      </c>
      <c r="AJ1931" s="1">
        <v>1</v>
      </c>
      <c r="AK1931" s="1" t="str">
        <f t="shared" si="30"/>
        <v xml:space="preserve"> =&lt;90</v>
      </c>
      <c r="AL1931" s="1" t="e">
        <f>VLOOKUP(C:C,[1]基础信息!B$1:D$65536,3,0)</f>
        <v>#N/A</v>
      </c>
      <c r="AM1931" s="1" t="e">
        <f>VLOOKUP(C:C,[1]基础信息!B$1:E$65536,4,0)</f>
        <v>#N/A</v>
      </c>
      <c r="AN1931" s="1" t="e">
        <f>VLOOKUP(C:C,[1]基础信息!B$1:F$65536,5,0)</f>
        <v>#N/A</v>
      </c>
    </row>
    <row r="1932" spans="1:40">
      <c r="A1932" s="1" t="s">
        <v>41</v>
      </c>
      <c r="B1932" s="1" t="s">
        <v>42</v>
      </c>
      <c r="C1932" s="1" t="s">
        <v>2166</v>
      </c>
      <c r="D1932" s="1" t="s">
        <v>2167</v>
      </c>
      <c r="E1932" s="1" t="s">
        <v>45</v>
      </c>
      <c r="F1932" s="1" t="s">
        <v>4464</v>
      </c>
      <c r="G1932" s="1" t="s">
        <v>4484</v>
      </c>
      <c r="H1932" s="1" t="s">
        <v>4485</v>
      </c>
      <c r="I1932" s="1" t="s">
        <v>49</v>
      </c>
      <c r="J1932" s="1" t="s">
        <v>48</v>
      </c>
      <c r="K1932" s="1">
        <v>16</v>
      </c>
      <c r="L1932" s="1">
        <v>0</v>
      </c>
      <c r="M1932" s="1">
        <v>0</v>
      </c>
      <c r="N1932" s="1">
        <v>16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 t="s">
        <v>49</v>
      </c>
      <c r="AA1932" s="1" t="s">
        <v>49</v>
      </c>
      <c r="AB1932" s="1" t="s">
        <v>49</v>
      </c>
      <c r="AC1932" s="1" t="s">
        <v>4467</v>
      </c>
      <c r="AD1932" s="1" t="s">
        <v>4468</v>
      </c>
      <c r="AE1932" s="1" t="s">
        <v>4467</v>
      </c>
      <c r="AF1932" s="1" t="s">
        <v>4469</v>
      </c>
      <c r="AG1932" s="1" t="s">
        <v>53</v>
      </c>
      <c r="AH1932" s="1" t="s">
        <v>4470</v>
      </c>
      <c r="AI1932" s="1" t="s">
        <v>54</v>
      </c>
      <c r="AJ1932" s="1">
        <v>1</v>
      </c>
      <c r="AK1932" s="1" t="str">
        <f t="shared" si="30"/>
        <v xml:space="preserve"> =&lt;90</v>
      </c>
      <c r="AL1932" s="1" t="str">
        <f>VLOOKUP(C:C,[1]基础信息!B$1:D$65536,3,0)</f>
        <v>UTS</v>
      </c>
      <c r="AM1932" s="1" t="str">
        <f>VLOOKUP(C:C,[1]基础信息!B$1:E$65536,4,0)</f>
        <v>RO</v>
      </c>
      <c r="AN1932" s="1" t="str">
        <f>VLOOKUP(C:C,[1]基础信息!B$1:F$65536,5,0)</f>
        <v>Starry Grey Color</v>
      </c>
    </row>
    <row r="1933" spans="1:40">
      <c r="A1933" s="1" t="s">
        <v>41</v>
      </c>
      <c r="B1933" s="1" t="s">
        <v>42</v>
      </c>
      <c r="C1933" s="1" t="s">
        <v>481</v>
      </c>
      <c r="D1933" s="1" t="s">
        <v>482</v>
      </c>
      <c r="E1933" s="1" t="s">
        <v>45</v>
      </c>
      <c r="F1933" s="1" t="s">
        <v>4455</v>
      </c>
      <c r="G1933" s="1" t="s">
        <v>4486</v>
      </c>
      <c r="H1933" s="1" t="s">
        <v>4487</v>
      </c>
      <c r="I1933" s="1" t="s">
        <v>49</v>
      </c>
      <c r="J1933" s="1" t="s">
        <v>48</v>
      </c>
      <c r="K1933" s="1">
        <v>168</v>
      </c>
      <c r="L1933" s="1">
        <v>0</v>
      </c>
      <c r="M1933" s="1">
        <v>0</v>
      </c>
      <c r="N1933" s="1">
        <v>168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 t="s">
        <v>49</v>
      </c>
      <c r="AA1933" s="1" t="s">
        <v>49</v>
      </c>
      <c r="AB1933" s="1" t="s">
        <v>49</v>
      </c>
      <c r="AC1933" s="1" t="s">
        <v>4458</v>
      </c>
      <c r="AD1933" s="1" t="s">
        <v>4459</v>
      </c>
      <c r="AE1933" s="1" t="s">
        <v>4458</v>
      </c>
      <c r="AF1933" s="1" t="s">
        <v>488</v>
      </c>
      <c r="AG1933" s="1" t="s">
        <v>53</v>
      </c>
      <c r="AH1933" s="1" t="s">
        <v>49</v>
      </c>
      <c r="AI1933" s="1" t="s">
        <v>54</v>
      </c>
      <c r="AJ1933" s="1">
        <v>1</v>
      </c>
      <c r="AK1933" s="1" t="str">
        <f t="shared" si="30"/>
        <v xml:space="preserve"> =&lt;90</v>
      </c>
      <c r="AL1933" s="1" t="str">
        <f>VLOOKUP(C:C,[1]基础信息!B$1:D$65536,3,0)</f>
        <v>Jug</v>
      </c>
      <c r="AM1933" s="1" t="str">
        <f>VLOOKUP(C:C,[1]基础信息!B$1:E$65536,4,0)</f>
        <v>Style COOL</v>
      </c>
      <c r="AN1933" s="1" t="str">
        <f>VLOOKUP(C:C,[1]基础信息!B$1:F$65536,5,0)</f>
        <v>Cool Blue</v>
      </c>
    </row>
    <row r="1934" spans="1:40">
      <c r="A1934" s="1" t="s">
        <v>41</v>
      </c>
      <c r="B1934" s="1" t="s">
        <v>42</v>
      </c>
      <c r="C1934" s="1" t="s">
        <v>1437</v>
      </c>
      <c r="D1934" s="1" t="s">
        <v>1438</v>
      </c>
      <c r="E1934" s="1" t="s">
        <v>45</v>
      </c>
      <c r="F1934" s="1" t="s">
        <v>4447</v>
      </c>
      <c r="G1934" s="1" t="s">
        <v>4488</v>
      </c>
      <c r="H1934" s="1" t="s">
        <v>45</v>
      </c>
      <c r="I1934" s="1" t="s">
        <v>45</v>
      </c>
      <c r="J1934" s="1" t="s">
        <v>48</v>
      </c>
      <c r="K1934" s="1">
        <v>30</v>
      </c>
      <c r="L1934" s="1">
        <v>0</v>
      </c>
      <c r="M1934" s="1">
        <v>0</v>
      </c>
      <c r="N1934" s="1">
        <v>30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 t="s">
        <v>49</v>
      </c>
      <c r="AA1934" s="1" t="s">
        <v>49</v>
      </c>
      <c r="AB1934" s="1" t="s">
        <v>49</v>
      </c>
      <c r="AC1934" s="1" t="s">
        <v>4364</v>
      </c>
      <c r="AD1934" s="1" t="s">
        <v>4365</v>
      </c>
      <c r="AE1934" s="1" t="s">
        <v>4364</v>
      </c>
      <c r="AF1934" s="1" t="s">
        <v>49</v>
      </c>
      <c r="AG1934" s="1" t="s">
        <v>53</v>
      </c>
      <c r="AH1934" s="1" t="s">
        <v>49</v>
      </c>
      <c r="AI1934" s="1" t="s">
        <v>54</v>
      </c>
      <c r="AJ1934" s="1">
        <v>1</v>
      </c>
      <c r="AK1934" s="1" t="str">
        <f t="shared" si="30"/>
        <v xml:space="preserve"> =&lt;90</v>
      </c>
      <c r="AL1934" s="1" t="str">
        <f>VLOOKUP(C:C,[1]基础信息!B$1:D$65536,3,0)</f>
        <v>On tap</v>
      </c>
      <c r="AM1934" s="1" t="str">
        <f>VLOOKUP(C:C,[1]基础信息!B$1:E$65536,4,0)</f>
        <v>On tap</v>
      </c>
      <c r="AN1934" s="1" t="str">
        <f>VLOOKUP(C:C,[1]基础信息!B$1:F$65536,5,0)</f>
        <v>On tap</v>
      </c>
    </row>
    <row r="1935" spans="1:40">
      <c r="A1935" s="1" t="s">
        <v>41</v>
      </c>
      <c r="B1935" s="1" t="s">
        <v>42</v>
      </c>
      <c r="C1935" s="1" t="s">
        <v>481</v>
      </c>
      <c r="D1935" s="1" t="s">
        <v>482</v>
      </c>
      <c r="E1935" s="1" t="s">
        <v>45</v>
      </c>
      <c r="F1935" s="1" t="s">
        <v>4455</v>
      </c>
      <c r="G1935" s="1" t="s">
        <v>4489</v>
      </c>
      <c r="H1935" s="1" t="s">
        <v>4490</v>
      </c>
      <c r="I1935" s="1" t="s">
        <v>49</v>
      </c>
      <c r="J1935" s="1" t="s">
        <v>48</v>
      </c>
      <c r="K1935" s="1">
        <v>168</v>
      </c>
      <c r="L1935" s="1">
        <v>0</v>
      </c>
      <c r="M1935" s="1">
        <v>0</v>
      </c>
      <c r="N1935" s="1">
        <v>168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 t="s">
        <v>49</v>
      </c>
      <c r="AA1935" s="1" t="s">
        <v>49</v>
      </c>
      <c r="AB1935" s="1" t="s">
        <v>49</v>
      </c>
      <c r="AC1935" s="1" t="s">
        <v>4458</v>
      </c>
      <c r="AD1935" s="1" t="s">
        <v>4459</v>
      </c>
      <c r="AE1935" s="1" t="s">
        <v>4458</v>
      </c>
      <c r="AF1935" s="1" t="s">
        <v>488</v>
      </c>
      <c r="AG1935" s="1" t="s">
        <v>53</v>
      </c>
      <c r="AH1935" s="1" t="s">
        <v>49</v>
      </c>
      <c r="AI1935" s="1" t="s">
        <v>54</v>
      </c>
      <c r="AJ1935" s="1">
        <v>1</v>
      </c>
      <c r="AK1935" s="1" t="str">
        <f t="shared" si="30"/>
        <v xml:space="preserve"> =&lt;90</v>
      </c>
      <c r="AL1935" s="1" t="str">
        <f>VLOOKUP(C:C,[1]基础信息!B$1:D$65536,3,0)</f>
        <v>Jug</v>
      </c>
      <c r="AM1935" s="1" t="str">
        <f>VLOOKUP(C:C,[1]基础信息!B$1:E$65536,4,0)</f>
        <v>Style COOL</v>
      </c>
      <c r="AN1935" s="1" t="str">
        <f>VLOOKUP(C:C,[1]基础信息!B$1:F$65536,5,0)</f>
        <v>Cool Blue</v>
      </c>
    </row>
    <row r="1936" spans="1:40">
      <c r="A1936" s="1" t="s">
        <v>41</v>
      </c>
      <c r="B1936" s="1" t="s">
        <v>42</v>
      </c>
      <c r="C1936" s="1" t="s">
        <v>359</v>
      </c>
      <c r="D1936" s="1" t="s">
        <v>360</v>
      </c>
      <c r="E1936" s="1" t="s">
        <v>45</v>
      </c>
      <c r="F1936" s="1" t="s">
        <v>4442</v>
      </c>
      <c r="G1936" s="1" t="s">
        <v>4491</v>
      </c>
      <c r="H1936" s="1" t="s">
        <v>4492</v>
      </c>
      <c r="I1936" s="1" t="s">
        <v>49</v>
      </c>
      <c r="J1936" s="1" t="s">
        <v>48</v>
      </c>
      <c r="K1936" s="1">
        <v>95</v>
      </c>
      <c r="L1936" s="1">
        <v>0</v>
      </c>
      <c r="M1936" s="1">
        <v>0</v>
      </c>
      <c r="N1936" s="1">
        <v>95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 t="s">
        <v>49</v>
      </c>
      <c r="AA1936" s="1" t="s">
        <v>49</v>
      </c>
      <c r="AB1936" s="1" t="s">
        <v>49</v>
      </c>
      <c r="AC1936" s="1" t="s">
        <v>2658</v>
      </c>
      <c r="AD1936" s="1" t="s">
        <v>2659</v>
      </c>
      <c r="AE1936" s="1" t="s">
        <v>2658</v>
      </c>
      <c r="AF1936" s="1" t="s">
        <v>366</v>
      </c>
      <c r="AG1936" s="1" t="s">
        <v>53</v>
      </c>
      <c r="AH1936" s="1" t="s">
        <v>49</v>
      </c>
      <c r="AI1936" s="1" t="s">
        <v>54</v>
      </c>
      <c r="AJ1936" s="1">
        <v>1</v>
      </c>
      <c r="AK1936" s="1" t="str">
        <f t="shared" si="30"/>
        <v xml:space="preserve"> =&lt;90</v>
      </c>
      <c r="AL1936" s="1" t="e">
        <f>VLOOKUP(C:C,[1]基础信息!B$1:D$65536,3,0)</f>
        <v>#N/A</v>
      </c>
      <c r="AM1936" s="1" t="e">
        <f>VLOOKUP(C:C,[1]基础信息!B$1:E$65536,4,0)</f>
        <v>#N/A</v>
      </c>
      <c r="AN1936" s="1" t="e">
        <f>VLOOKUP(C:C,[1]基础信息!B$1:F$65536,5,0)</f>
        <v>#N/A</v>
      </c>
    </row>
    <row r="1937" spans="1:40">
      <c r="A1937" s="1" t="s">
        <v>41</v>
      </c>
      <c r="B1937" s="1" t="s">
        <v>42</v>
      </c>
      <c r="C1937" s="1" t="s">
        <v>359</v>
      </c>
      <c r="D1937" s="1" t="s">
        <v>360</v>
      </c>
      <c r="E1937" s="1" t="s">
        <v>45</v>
      </c>
      <c r="F1937" s="1" t="s">
        <v>4442</v>
      </c>
      <c r="G1937" s="1" t="s">
        <v>4493</v>
      </c>
      <c r="H1937" s="1" t="s">
        <v>4494</v>
      </c>
      <c r="I1937" s="1" t="s">
        <v>49</v>
      </c>
      <c r="J1937" s="1" t="s">
        <v>48</v>
      </c>
      <c r="K1937" s="1">
        <v>95</v>
      </c>
      <c r="L1937" s="1">
        <v>0</v>
      </c>
      <c r="M1937" s="1">
        <v>0</v>
      </c>
      <c r="N1937" s="1">
        <v>95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 t="s">
        <v>49</v>
      </c>
      <c r="AA1937" s="1" t="s">
        <v>49</v>
      </c>
      <c r="AB1937" s="1" t="s">
        <v>49</v>
      </c>
      <c r="AC1937" s="1" t="s">
        <v>2658</v>
      </c>
      <c r="AD1937" s="1" t="s">
        <v>2659</v>
      </c>
      <c r="AE1937" s="1" t="s">
        <v>2658</v>
      </c>
      <c r="AF1937" s="1" t="s">
        <v>366</v>
      </c>
      <c r="AG1937" s="1" t="s">
        <v>53</v>
      </c>
      <c r="AH1937" s="1" t="s">
        <v>49</v>
      </c>
      <c r="AI1937" s="1" t="s">
        <v>54</v>
      </c>
      <c r="AJ1937" s="1">
        <v>1</v>
      </c>
      <c r="AK1937" s="1" t="str">
        <f t="shared" si="30"/>
        <v xml:space="preserve"> =&lt;90</v>
      </c>
      <c r="AL1937" s="1" t="e">
        <f>VLOOKUP(C:C,[1]基础信息!B$1:D$65536,3,0)</f>
        <v>#N/A</v>
      </c>
      <c r="AM1937" s="1" t="e">
        <f>VLOOKUP(C:C,[1]基础信息!B$1:E$65536,4,0)</f>
        <v>#N/A</v>
      </c>
      <c r="AN1937" s="1" t="e">
        <f>VLOOKUP(C:C,[1]基础信息!B$1:F$65536,5,0)</f>
        <v>#N/A</v>
      </c>
    </row>
    <row r="1938" spans="1:40">
      <c r="A1938" s="1" t="s">
        <v>41</v>
      </c>
      <c r="B1938" s="1" t="s">
        <v>42</v>
      </c>
      <c r="C1938" s="1" t="s">
        <v>359</v>
      </c>
      <c r="D1938" s="1" t="s">
        <v>360</v>
      </c>
      <c r="E1938" s="1" t="s">
        <v>45</v>
      </c>
      <c r="F1938" s="1" t="s">
        <v>4442</v>
      </c>
      <c r="G1938" s="1" t="s">
        <v>4495</v>
      </c>
      <c r="H1938" s="1" t="s">
        <v>4496</v>
      </c>
      <c r="I1938" s="1" t="s">
        <v>49</v>
      </c>
      <c r="J1938" s="1" t="s">
        <v>48</v>
      </c>
      <c r="K1938" s="1">
        <v>95</v>
      </c>
      <c r="L1938" s="1">
        <v>0</v>
      </c>
      <c r="M1938" s="1">
        <v>0</v>
      </c>
      <c r="N1938" s="1">
        <v>95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 t="s">
        <v>49</v>
      </c>
      <c r="AA1938" s="1" t="s">
        <v>49</v>
      </c>
      <c r="AB1938" s="1" t="s">
        <v>49</v>
      </c>
      <c r="AC1938" s="1" t="s">
        <v>2658</v>
      </c>
      <c r="AD1938" s="1" t="s">
        <v>2659</v>
      </c>
      <c r="AE1938" s="1" t="s">
        <v>2658</v>
      </c>
      <c r="AF1938" s="1" t="s">
        <v>366</v>
      </c>
      <c r="AG1938" s="1" t="s">
        <v>53</v>
      </c>
      <c r="AH1938" s="1" t="s">
        <v>49</v>
      </c>
      <c r="AI1938" s="1" t="s">
        <v>54</v>
      </c>
      <c r="AJ1938" s="1">
        <v>1</v>
      </c>
      <c r="AK1938" s="1" t="str">
        <f t="shared" si="30"/>
        <v xml:space="preserve"> =&lt;90</v>
      </c>
      <c r="AL1938" s="1" t="e">
        <f>VLOOKUP(C:C,[1]基础信息!B$1:D$65536,3,0)</f>
        <v>#N/A</v>
      </c>
      <c r="AM1938" s="1" t="e">
        <f>VLOOKUP(C:C,[1]基础信息!B$1:E$65536,4,0)</f>
        <v>#N/A</v>
      </c>
      <c r="AN1938" s="1" t="e">
        <f>VLOOKUP(C:C,[1]基础信息!B$1:F$65536,5,0)</f>
        <v>#N/A</v>
      </c>
    </row>
    <row r="1939" spans="1:40">
      <c r="A1939" s="1" t="s">
        <v>41</v>
      </c>
      <c r="B1939" s="1" t="s">
        <v>42</v>
      </c>
      <c r="C1939" s="1" t="s">
        <v>481</v>
      </c>
      <c r="D1939" s="1" t="s">
        <v>482</v>
      </c>
      <c r="E1939" s="1" t="s">
        <v>45</v>
      </c>
      <c r="F1939" s="1" t="s">
        <v>4455</v>
      </c>
      <c r="G1939" s="1" t="s">
        <v>4497</v>
      </c>
      <c r="H1939" s="1" t="s">
        <v>4498</v>
      </c>
      <c r="I1939" s="1" t="s">
        <v>49</v>
      </c>
      <c r="J1939" s="1" t="s">
        <v>48</v>
      </c>
      <c r="K1939" s="1">
        <v>168</v>
      </c>
      <c r="L1939" s="1">
        <v>0</v>
      </c>
      <c r="M1939" s="1">
        <v>0</v>
      </c>
      <c r="N1939" s="1">
        <v>168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 t="s">
        <v>49</v>
      </c>
      <c r="AA1939" s="1" t="s">
        <v>49</v>
      </c>
      <c r="AB1939" s="1" t="s">
        <v>49</v>
      </c>
      <c r="AC1939" s="1" t="s">
        <v>4458</v>
      </c>
      <c r="AD1939" s="1" t="s">
        <v>4459</v>
      </c>
      <c r="AE1939" s="1" t="s">
        <v>4458</v>
      </c>
      <c r="AF1939" s="1" t="s">
        <v>488</v>
      </c>
      <c r="AG1939" s="1" t="s">
        <v>53</v>
      </c>
      <c r="AH1939" s="1" t="s">
        <v>49</v>
      </c>
      <c r="AI1939" s="1" t="s">
        <v>54</v>
      </c>
      <c r="AJ1939" s="1">
        <v>1</v>
      </c>
      <c r="AK1939" s="1" t="str">
        <f t="shared" si="30"/>
        <v xml:space="preserve"> =&lt;90</v>
      </c>
      <c r="AL1939" s="1" t="str">
        <f>VLOOKUP(C:C,[1]基础信息!B$1:D$65536,3,0)</f>
        <v>Jug</v>
      </c>
      <c r="AM1939" s="1" t="str">
        <f>VLOOKUP(C:C,[1]基础信息!B$1:E$65536,4,0)</f>
        <v>Style COOL</v>
      </c>
      <c r="AN1939" s="1" t="str">
        <f>VLOOKUP(C:C,[1]基础信息!B$1:F$65536,5,0)</f>
        <v>Cool Blue</v>
      </c>
    </row>
    <row r="1940" spans="1:40">
      <c r="A1940" s="1" t="s">
        <v>41</v>
      </c>
      <c r="B1940" s="1" t="s">
        <v>42</v>
      </c>
      <c r="C1940" s="1" t="s">
        <v>301</v>
      </c>
      <c r="D1940" s="1" t="s">
        <v>302</v>
      </c>
      <c r="E1940" s="1" t="s">
        <v>45</v>
      </c>
      <c r="F1940" s="1" t="s">
        <v>4499</v>
      </c>
      <c r="G1940" s="1" t="s">
        <v>4500</v>
      </c>
      <c r="H1940" s="1" t="s">
        <v>4501</v>
      </c>
      <c r="I1940" s="1" t="s">
        <v>49</v>
      </c>
      <c r="J1940" s="1" t="s">
        <v>48</v>
      </c>
      <c r="K1940" s="1">
        <v>96</v>
      </c>
      <c r="L1940" s="1">
        <v>0</v>
      </c>
      <c r="M1940" s="1">
        <v>0</v>
      </c>
      <c r="N1940" s="1">
        <v>96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 t="s">
        <v>49</v>
      </c>
      <c r="AA1940" s="1" t="s">
        <v>49</v>
      </c>
      <c r="AB1940" s="1" t="s">
        <v>49</v>
      </c>
      <c r="AC1940" s="1" t="s">
        <v>2658</v>
      </c>
      <c r="AD1940" s="1" t="s">
        <v>2659</v>
      </c>
      <c r="AE1940" s="1" t="s">
        <v>2658</v>
      </c>
      <c r="AF1940" s="1" t="s">
        <v>4502</v>
      </c>
      <c r="AG1940" s="1" t="s">
        <v>53</v>
      </c>
      <c r="AH1940" s="1" t="s">
        <v>49</v>
      </c>
      <c r="AI1940" s="1" t="s">
        <v>54</v>
      </c>
      <c r="AJ1940" s="1">
        <v>1</v>
      </c>
      <c r="AK1940" s="1" t="str">
        <f t="shared" si="30"/>
        <v xml:space="preserve"> =&lt;90</v>
      </c>
      <c r="AL1940" s="1" t="str">
        <f>VLOOKUP(C:C,[1]基础信息!B$1:D$65536,3,0)</f>
        <v>Jug</v>
      </c>
      <c r="AM1940" s="1" t="str">
        <f>VLOOKUP(C:C,[1]基础信息!B$1:E$65536,4,0)</f>
        <v>Aluna</v>
      </c>
      <c r="AN1940" s="1" t="str">
        <f>VLOOKUP(C:C,[1]基础信息!B$1:F$65536,5,0)</f>
        <v>Blue</v>
      </c>
    </row>
    <row r="1941" spans="1:40">
      <c r="A1941" s="1" t="s">
        <v>41</v>
      </c>
      <c r="B1941" s="1" t="s">
        <v>42</v>
      </c>
      <c r="C1941" s="1" t="s">
        <v>2166</v>
      </c>
      <c r="D1941" s="1" t="s">
        <v>2167</v>
      </c>
      <c r="E1941" s="1" t="s">
        <v>45</v>
      </c>
      <c r="F1941" s="1" t="s">
        <v>4503</v>
      </c>
      <c r="G1941" s="1" t="s">
        <v>4504</v>
      </c>
      <c r="H1941" s="1" t="s">
        <v>4505</v>
      </c>
      <c r="I1941" s="1" t="s">
        <v>49</v>
      </c>
      <c r="J1941" s="1" t="s">
        <v>48</v>
      </c>
      <c r="K1941" s="1">
        <v>16</v>
      </c>
      <c r="L1941" s="1">
        <v>0</v>
      </c>
      <c r="M1941" s="1">
        <v>0</v>
      </c>
      <c r="N1941" s="1">
        <v>16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 t="s">
        <v>49</v>
      </c>
      <c r="AA1941" s="1" t="s">
        <v>49</v>
      </c>
      <c r="AB1941" s="1" t="s">
        <v>49</v>
      </c>
      <c r="AC1941" s="1" t="s">
        <v>4467</v>
      </c>
      <c r="AD1941" s="1" t="s">
        <v>4468</v>
      </c>
      <c r="AE1941" s="1" t="s">
        <v>4467</v>
      </c>
      <c r="AF1941" s="1" t="s">
        <v>4506</v>
      </c>
      <c r="AG1941" s="1" t="s">
        <v>53</v>
      </c>
      <c r="AH1941" s="1" t="s">
        <v>4470</v>
      </c>
      <c r="AI1941" s="1" t="s">
        <v>54</v>
      </c>
      <c r="AJ1941" s="1">
        <v>1</v>
      </c>
      <c r="AK1941" s="1" t="str">
        <f t="shared" si="30"/>
        <v xml:space="preserve"> =&lt;90</v>
      </c>
      <c r="AL1941" s="1" t="str">
        <f>VLOOKUP(C:C,[1]基础信息!B$1:D$65536,3,0)</f>
        <v>UTS</v>
      </c>
      <c r="AM1941" s="1" t="str">
        <f>VLOOKUP(C:C,[1]基础信息!B$1:E$65536,4,0)</f>
        <v>RO</v>
      </c>
      <c r="AN1941" s="1" t="str">
        <f>VLOOKUP(C:C,[1]基础信息!B$1:F$65536,5,0)</f>
        <v>Starry Grey Color</v>
      </c>
    </row>
    <row r="1942" spans="1:40">
      <c r="A1942" s="1" t="s">
        <v>41</v>
      </c>
      <c r="B1942" s="1" t="s">
        <v>42</v>
      </c>
      <c r="C1942" s="1" t="s">
        <v>301</v>
      </c>
      <c r="D1942" s="1" t="s">
        <v>302</v>
      </c>
      <c r="E1942" s="1" t="s">
        <v>45</v>
      </c>
      <c r="F1942" s="1" t="s">
        <v>4499</v>
      </c>
      <c r="G1942" s="1" t="s">
        <v>4507</v>
      </c>
      <c r="H1942" s="1" t="s">
        <v>4508</v>
      </c>
      <c r="I1942" s="1" t="s">
        <v>49</v>
      </c>
      <c r="J1942" s="1" t="s">
        <v>48</v>
      </c>
      <c r="K1942" s="1">
        <v>96</v>
      </c>
      <c r="L1942" s="1">
        <v>0</v>
      </c>
      <c r="M1942" s="1">
        <v>0</v>
      </c>
      <c r="N1942" s="1">
        <v>96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 t="s">
        <v>49</v>
      </c>
      <c r="AA1942" s="1" t="s">
        <v>49</v>
      </c>
      <c r="AB1942" s="1" t="s">
        <v>49</v>
      </c>
      <c r="AC1942" s="1" t="s">
        <v>2658</v>
      </c>
      <c r="AD1942" s="1" t="s">
        <v>2659</v>
      </c>
      <c r="AE1942" s="1" t="s">
        <v>2658</v>
      </c>
      <c r="AF1942" s="1" t="s">
        <v>4502</v>
      </c>
      <c r="AG1942" s="1" t="s">
        <v>53</v>
      </c>
      <c r="AH1942" s="1" t="s">
        <v>49</v>
      </c>
      <c r="AI1942" s="1" t="s">
        <v>54</v>
      </c>
      <c r="AJ1942" s="1">
        <v>1</v>
      </c>
      <c r="AK1942" s="1" t="str">
        <f t="shared" si="30"/>
        <v xml:space="preserve"> =&lt;90</v>
      </c>
      <c r="AL1942" s="1" t="str">
        <f>VLOOKUP(C:C,[1]基础信息!B$1:D$65536,3,0)</f>
        <v>Jug</v>
      </c>
      <c r="AM1942" s="1" t="str">
        <f>VLOOKUP(C:C,[1]基础信息!B$1:E$65536,4,0)</f>
        <v>Aluna</v>
      </c>
      <c r="AN1942" s="1" t="str">
        <f>VLOOKUP(C:C,[1]基础信息!B$1:F$65536,5,0)</f>
        <v>Blue</v>
      </c>
    </row>
    <row r="1943" spans="1:40">
      <c r="A1943" s="1" t="s">
        <v>41</v>
      </c>
      <c r="B1943" s="1" t="s">
        <v>42</v>
      </c>
      <c r="C1943" s="1" t="s">
        <v>301</v>
      </c>
      <c r="D1943" s="1" t="s">
        <v>302</v>
      </c>
      <c r="E1943" s="1" t="s">
        <v>45</v>
      </c>
      <c r="F1943" s="1" t="s">
        <v>4499</v>
      </c>
      <c r="G1943" s="1" t="s">
        <v>4509</v>
      </c>
      <c r="H1943" s="1" t="s">
        <v>4510</v>
      </c>
      <c r="I1943" s="1" t="s">
        <v>49</v>
      </c>
      <c r="J1943" s="1" t="s">
        <v>48</v>
      </c>
      <c r="K1943" s="1">
        <v>96</v>
      </c>
      <c r="L1943" s="1">
        <v>0</v>
      </c>
      <c r="M1943" s="1">
        <v>0</v>
      </c>
      <c r="N1943" s="1">
        <v>96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 t="s">
        <v>49</v>
      </c>
      <c r="AA1943" s="1" t="s">
        <v>49</v>
      </c>
      <c r="AB1943" s="1" t="s">
        <v>49</v>
      </c>
      <c r="AC1943" s="1" t="s">
        <v>2658</v>
      </c>
      <c r="AD1943" s="1" t="s">
        <v>2659</v>
      </c>
      <c r="AE1943" s="1" t="s">
        <v>2658</v>
      </c>
      <c r="AF1943" s="1" t="s">
        <v>4502</v>
      </c>
      <c r="AG1943" s="1" t="s">
        <v>53</v>
      </c>
      <c r="AH1943" s="1" t="s">
        <v>49</v>
      </c>
      <c r="AI1943" s="1" t="s">
        <v>54</v>
      </c>
      <c r="AJ1943" s="1">
        <v>1</v>
      </c>
      <c r="AK1943" s="1" t="str">
        <f t="shared" si="30"/>
        <v xml:space="preserve"> =&lt;90</v>
      </c>
      <c r="AL1943" s="1" t="str">
        <f>VLOOKUP(C:C,[1]基础信息!B$1:D$65536,3,0)</f>
        <v>Jug</v>
      </c>
      <c r="AM1943" s="1" t="str">
        <f>VLOOKUP(C:C,[1]基础信息!B$1:E$65536,4,0)</f>
        <v>Aluna</v>
      </c>
      <c r="AN1943" s="1" t="str">
        <f>VLOOKUP(C:C,[1]基础信息!B$1:F$65536,5,0)</f>
        <v>Blue</v>
      </c>
    </row>
    <row r="1944" spans="1:40">
      <c r="A1944" s="1" t="s">
        <v>41</v>
      </c>
      <c r="B1944" s="1" t="s">
        <v>42</v>
      </c>
      <c r="C1944" s="1" t="s">
        <v>301</v>
      </c>
      <c r="D1944" s="1" t="s">
        <v>302</v>
      </c>
      <c r="E1944" s="1" t="s">
        <v>45</v>
      </c>
      <c r="F1944" s="1" t="s">
        <v>4499</v>
      </c>
      <c r="G1944" s="1" t="s">
        <v>4511</v>
      </c>
      <c r="H1944" s="1" t="s">
        <v>4512</v>
      </c>
      <c r="I1944" s="1" t="s">
        <v>49</v>
      </c>
      <c r="J1944" s="1" t="s">
        <v>48</v>
      </c>
      <c r="K1944" s="1">
        <v>96</v>
      </c>
      <c r="L1944" s="1">
        <v>0</v>
      </c>
      <c r="M1944" s="1">
        <v>0</v>
      </c>
      <c r="N1944" s="1">
        <v>96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 t="s">
        <v>49</v>
      </c>
      <c r="AA1944" s="1" t="s">
        <v>49</v>
      </c>
      <c r="AB1944" s="1" t="s">
        <v>49</v>
      </c>
      <c r="AC1944" s="1" t="s">
        <v>2658</v>
      </c>
      <c r="AD1944" s="1" t="s">
        <v>2659</v>
      </c>
      <c r="AE1944" s="1" t="s">
        <v>2658</v>
      </c>
      <c r="AF1944" s="1" t="s">
        <v>4502</v>
      </c>
      <c r="AG1944" s="1" t="s">
        <v>53</v>
      </c>
      <c r="AH1944" s="1" t="s">
        <v>49</v>
      </c>
      <c r="AI1944" s="1" t="s">
        <v>54</v>
      </c>
      <c r="AJ1944" s="1">
        <v>1</v>
      </c>
      <c r="AK1944" s="1" t="str">
        <f t="shared" si="30"/>
        <v xml:space="preserve"> =&lt;90</v>
      </c>
      <c r="AL1944" s="1" t="str">
        <f>VLOOKUP(C:C,[1]基础信息!B$1:D$65536,3,0)</f>
        <v>Jug</v>
      </c>
      <c r="AM1944" s="1" t="str">
        <f>VLOOKUP(C:C,[1]基础信息!B$1:E$65536,4,0)</f>
        <v>Aluna</v>
      </c>
      <c r="AN1944" s="1" t="str">
        <f>VLOOKUP(C:C,[1]基础信息!B$1:F$65536,5,0)</f>
        <v>Blue</v>
      </c>
    </row>
    <row r="1945" spans="1:40">
      <c r="A1945" s="1" t="s">
        <v>41</v>
      </c>
      <c r="B1945" s="1" t="s">
        <v>42</v>
      </c>
      <c r="C1945" s="1" t="s">
        <v>301</v>
      </c>
      <c r="D1945" s="1" t="s">
        <v>302</v>
      </c>
      <c r="E1945" s="1" t="s">
        <v>45</v>
      </c>
      <c r="F1945" s="1" t="s">
        <v>4499</v>
      </c>
      <c r="G1945" s="1" t="s">
        <v>4513</v>
      </c>
      <c r="H1945" s="1" t="s">
        <v>4514</v>
      </c>
      <c r="I1945" s="1" t="s">
        <v>49</v>
      </c>
      <c r="J1945" s="1" t="s">
        <v>48</v>
      </c>
      <c r="K1945" s="1">
        <v>96</v>
      </c>
      <c r="L1945" s="1">
        <v>0</v>
      </c>
      <c r="M1945" s="1">
        <v>0</v>
      </c>
      <c r="N1945" s="1">
        <v>96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 t="s">
        <v>49</v>
      </c>
      <c r="AA1945" s="1" t="s">
        <v>49</v>
      </c>
      <c r="AB1945" s="1" t="s">
        <v>49</v>
      </c>
      <c r="AC1945" s="1" t="s">
        <v>2658</v>
      </c>
      <c r="AD1945" s="1" t="s">
        <v>2659</v>
      </c>
      <c r="AE1945" s="1" t="s">
        <v>2658</v>
      </c>
      <c r="AF1945" s="1" t="s">
        <v>4502</v>
      </c>
      <c r="AG1945" s="1" t="s">
        <v>53</v>
      </c>
      <c r="AH1945" s="1" t="s">
        <v>49</v>
      </c>
      <c r="AI1945" s="1" t="s">
        <v>54</v>
      </c>
      <c r="AJ1945" s="1">
        <v>1</v>
      </c>
      <c r="AK1945" s="1" t="str">
        <f t="shared" si="30"/>
        <v xml:space="preserve"> =&lt;90</v>
      </c>
      <c r="AL1945" s="1" t="str">
        <f>VLOOKUP(C:C,[1]基础信息!B$1:D$65536,3,0)</f>
        <v>Jug</v>
      </c>
      <c r="AM1945" s="1" t="str">
        <f>VLOOKUP(C:C,[1]基础信息!B$1:E$65536,4,0)</f>
        <v>Aluna</v>
      </c>
      <c r="AN1945" s="1" t="str">
        <f>VLOOKUP(C:C,[1]基础信息!B$1:F$65536,5,0)</f>
        <v>Blue</v>
      </c>
    </row>
    <row r="1946" spans="1:40">
      <c r="A1946" s="1" t="s">
        <v>41</v>
      </c>
      <c r="B1946" s="1" t="s">
        <v>42</v>
      </c>
      <c r="C1946" s="1" t="s">
        <v>301</v>
      </c>
      <c r="D1946" s="1" t="s">
        <v>302</v>
      </c>
      <c r="E1946" s="1" t="s">
        <v>45</v>
      </c>
      <c r="F1946" s="1" t="s">
        <v>4499</v>
      </c>
      <c r="G1946" s="1" t="s">
        <v>4515</v>
      </c>
      <c r="H1946" s="1" t="s">
        <v>4516</v>
      </c>
      <c r="I1946" s="1" t="s">
        <v>49</v>
      </c>
      <c r="J1946" s="1" t="s">
        <v>48</v>
      </c>
      <c r="K1946" s="1">
        <v>96</v>
      </c>
      <c r="L1946" s="1">
        <v>0</v>
      </c>
      <c r="M1946" s="1">
        <v>0</v>
      </c>
      <c r="N1946" s="1">
        <v>96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 t="s">
        <v>49</v>
      </c>
      <c r="AA1946" s="1" t="s">
        <v>49</v>
      </c>
      <c r="AB1946" s="1" t="s">
        <v>49</v>
      </c>
      <c r="AC1946" s="1" t="s">
        <v>2658</v>
      </c>
      <c r="AD1946" s="1" t="s">
        <v>2659</v>
      </c>
      <c r="AE1946" s="1" t="s">
        <v>2658</v>
      </c>
      <c r="AF1946" s="1" t="s">
        <v>4502</v>
      </c>
      <c r="AG1946" s="1" t="s">
        <v>53</v>
      </c>
      <c r="AH1946" s="1" t="s">
        <v>49</v>
      </c>
      <c r="AI1946" s="1" t="s">
        <v>54</v>
      </c>
      <c r="AJ1946" s="1">
        <v>1</v>
      </c>
      <c r="AK1946" s="1" t="str">
        <f t="shared" si="30"/>
        <v xml:space="preserve"> =&lt;90</v>
      </c>
      <c r="AL1946" s="1" t="str">
        <f>VLOOKUP(C:C,[1]基础信息!B$1:D$65536,3,0)</f>
        <v>Jug</v>
      </c>
      <c r="AM1946" s="1" t="str">
        <f>VLOOKUP(C:C,[1]基础信息!B$1:E$65536,4,0)</f>
        <v>Aluna</v>
      </c>
      <c r="AN1946" s="1" t="str">
        <f>VLOOKUP(C:C,[1]基础信息!B$1:F$65536,5,0)</f>
        <v>Blue</v>
      </c>
    </row>
    <row r="1947" spans="1:40">
      <c r="A1947" s="1" t="s">
        <v>41</v>
      </c>
      <c r="B1947" s="1" t="s">
        <v>42</v>
      </c>
      <c r="C1947" s="1" t="s">
        <v>301</v>
      </c>
      <c r="D1947" s="1" t="s">
        <v>302</v>
      </c>
      <c r="E1947" s="1" t="s">
        <v>45</v>
      </c>
      <c r="F1947" s="1" t="s">
        <v>4499</v>
      </c>
      <c r="G1947" s="1" t="s">
        <v>4517</v>
      </c>
      <c r="H1947" s="1" t="s">
        <v>4518</v>
      </c>
      <c r="I1947" s="1" t="s">
        <v>49</v>
      </c>
      <c r="J1947" s="1" t="s">
        <v>48</v>
      </c>
      <c r="K1947" s="1">
        <v>96</v>
      </c>
      <c r="L1947" s="1">
        <v>0</v>
      </c>
      <c r="M1947" s="1">
        <v>0</v>
      </c>
      <c r="N1947" s="1">
        <v>96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 t="s">
        <v>49</v>
      </c>
      <c r="AA1947" s="1" t="s">
        <v>49</v>
      </c>
      <c r="AB1947" s="1" t="s">
        <v>49</v>
      </c>
      <c r="AC1947" s="1" t="s">
        <v>2658</v>
      </c>
      <c r="AD1947" s="1" t="s">
        <v>2659</v>
      </c>
      <c r="AE1947" s="1" t="s">
        <v>2658</v>
      </c>
      <c r="AF1947" s="1" t="s">
        <v>4502</v>
      </c>
      <c r="AG1947" s="1" t="s">
        <v>53</v>
      </c>
      <c r="AH1947" s="1" t="s">
        <v>49</v>
      </c>
      <c r="AI1947" s="1" t="s">
        <v>54</v>
      </c>
      <c r="AJ1947" s="1">
        <v>1</v>
      </c>
      <c r="AK1947" s="1" t="str">
        <f t="shared" si="30"/>
        <v xml:space="preserve"> =&lt;90</v>
      </c>
      <c r="AL1947" s="1" t="str">
        <f>VLOOKUP(C:C,[1]基础信息!B$1:D$65536,3,0)</f>
        <v>Jug</v>
      </c>
      <c r="AM1947" s="1" t="str">
        <f>VLOOKUP(C:C,[1]基础信息!B$1:E$65536,4,0)</f>
        <v>Aluna</v>
      </c>
      <c r="AN1947" s="1" t="str">
        <f>VLOOKUP(C:C,[1]基础信息!B$1:F$65536,5,0)</f>
        <v>Blue</v>
      </c>
    </row>
    <row r="1948" spans="1:40">
      <c r="A1948" s="1" t="s">
        <v>41</v>
      </c>
      <c r="B1948" s="1" t="s">
        <v>42</v>
      </c>
      <c r="C1948" s="1" t="s">
        <v>301</v>
      </c>
      <c r="D1948" s="1" t="s">
        <v>302</v>
      </c>
      <c r="E1948" s="1" t="s">
        <v>45</v>
      </c>
      <c r="F1948" s="1" t="s">
        <v>4499</v>
      </c>
      <c r="G1948" s="1" t="s">
        <v>4519</v>
      </c>
      <c r="H1948" s="1" t="s">
        <v>4520</v>
      </c>
      <c r="I1948" s="1" t="s">
        <v>49</v>
      </c>
      <c r="J1948" s="1" t="s">
        <v>48</v>
      </c>
      <c r="K1948" s="1">
        <v>96</v>
      </c>
      <c r="L1948" s="1">
        <v>0</v>
      </c>
      <c r="M1948" s="1">
        <v>0</v>
      </c>
      <c r="N1948" s="1">
        <v>96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 t="s">
        <v>49</v>
      </c>
      <c r="AA1948" s="1" t="s">
        <v>49</v>
      </c>
      <c r="AB1948" s="1" t="s">
        <v>49</v>
      </c>
      <c r="AC1948" s="1" t="s">
        <v>2658</v>
      </c>
      <c r="AD1948" s="1" t="s">
        <v>2659</v>
      </c>
      <c r="AE1948" s="1" t="s">
        <v>2658</v>
      </c>
      <c r="AF1948" s="1" t="s">
        <v>4502</v>
      </c>
      <c r="AG1948" s="1" t="s">
        <v>53</v>
      </c>
      <c r="AH1948" s="1" t="s">
        <v>49</v>
      </c>
      <c r="AI1948" s="1" t="s">
        <v>54</v>
      </c>
      <c r="AJ1948" s="1">
        <v>1</v>
      </c>
      <c r="AK1948" s="1" t="str">
        <f t="shared" si="30"/>
        <v xml:space="preserve"> =&lt;90</v>
      </c>
      <c r="AL1948" s="1" t="str">
        <f>VLOOKUP(C:C,[1]基础信息!B$1:D$65536,3,0)</f>
        <v>Jug</v>
      </c>
      <c r="AM1948" s="1" t="str">
        <f>VLOOKUP(C:C,[1]基础信息!B$1:E$65536,4,0)</f>
        <v>Aluna</v>
      </c>
      <c r="AN1948" s="1" t="str">
        <f>VLOOKUP(C:C,[1]基础信息!B$1:F$65536,5,0)</f>
        <v>Blue</v>
      </c>
    </row>
    <row r="1949" spans="1:40">
      <c r="A1949" s="1" t="s">
        <v>41</v>
      </c>
      <c r="B1949" s="1" t="s">
        <v>42</v>
      </c>
      <c r="C1949" s="1" t="s">
        <v>301</v>
      </c>
      <c r="D1949" s="1" t="s">
        <v>302</v>
      </c>
      <c r="E1949" s="1" t="s">
        <v>45</v>
      </c>
      <c r="F1949" s="1" t="s">
        <v>4499</v>
      </c>
      <c r="G1949" s="1" t="s">
        <v>4521</v>
      </c>
      <c r="H1949" s="1" t="s">
        <v>4522</v>
      </c>
      <c r="I1949" s="1" t="s">
        <v>49</v>
      </c>
      <c r="J1949" s="1" t="s">
        <v>48</v>
      </c>
      <c r="K1949" s="1">
        <v>96</v>
      </c>
      <c r="L1949" s="1">
        <v>0</v>
      </c>
      <c r="M1949" s="1">
        <v>0</v>
      </c>
      <c r="N1949" s="1">
        <v>96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 t="s">
        <v>49</v>
      </c>
      <c r="AA1949" s="1" t="s">
        <v>49</v>
      </c>
      <c r="AB1949" s="1" t="s">
        <v>49</v>
      </c>
      <c r="AC1949" s="1" t="s">
        <v>2658</v>
      </c>
      <c r="AD1949" s="1" t="s">
        <v>2659</v>
      </c>
      <c r="AE1949" s="1" t="s">
        <v>2658</v>
      </c>
      <c r="AF1949" s="1" t="s">
        <v>4502</v>
      </c>
      <c r="AG1949" s="1" t="s">
        <v>53</v>
      </c>
      <c r="AH1949" s="1" t="s">
        <v>49</v>
      </c>
      <c r="AI1949" s="1" t="s">
        <v>54</v>
      </c>
      <c r="AJ1949" s="1">
        <v>1</v>
      </c>
      <c r="AK1949" s="1" t="str">
        <f t="shared" si="30"/>
        <v xml:space="preserve"> =&lt;90</v>
      </c>
      <c r="AL1949" s="1" t="str">
        <f>VLOOKUP(C:C,[1]基础信息!B$1:D$65536,3,0)</f>
        <v>Jug</v>
      </c>
      <c r="AM1949" s="1" t="str">
        <f>VLOOKUP(C:C,[1]基础信息!B$1:E$65536,4,0)</f>
        <v>Aluna</v>
      </c>
      <c r="AN1949" s="1" t="str">
        <f>VLOOKUP(C:C,[1]基础信息!B$1:F$65536,5,0)</f>
        <v>Blue</v>
      </c>
    </row>
    <row r="1950" spans="1:40">
      <c r="A1950" s="1" t="s">
        <v>41</v>
      </c>
      <c r="B1950" s="1" t="s">
        <v>42</v>
      </c>
      <c r="C1950" s="1" t="s">
        <v>301</v>
      </c>
      <c r="D1950" s="1" t="s">
        <v>302</v>
      </c>
      <c r="E1950" s="1" t="s">
        <v>45</v>
      </c>
      <c r="F1950" s="1" t="s">
        <v>4499</v>
      </c>
      <c r="G1950" s="1" t="s">
        <v>4523</v>
      </c>
      <c r="H1950" s="1" t="s">
        <v>4524</v>
      </c>
      <c r="I1950" s="1" t="s">
        <v>49</v>
      </c>
      <c r="J1950" s="1" t="s">
        <v>48</v>
      </c>
      <c r="K1950" s="1">
        <v>96</v>
      </c>
      <c r="L1950" s="1">
        <v>0</v>
      </c>
      <c r="M1950" s="1">
        <v>0</v>
      </c>
      <c r="N1950" s="1">
        <v>96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 t="s">
        <v>49</v>
      </c>
      <c r="AA1950" s="1" t="s">
        <v>49</v>
      </c>
      <c r="AB1950" s="1" t="s">
        <v>49</v>
      </c>
      <c r="AC1950" s="1" t="s">
        <v>2658</v>
      </c>
      <c r="AD1950" s="1" t="s">
        <v>2659</v>
      </c>
      <c r="AE1950" s="1" t="s">
        <v>2658</v>
      </c>
      <c r="AF1950" s="1" t="s">
        <v>4502</v>
      </c>
      <c r="AG1950" s="1" t="s">
        <v>53</v>
      </c>
      <c r="AH1950" s="1" t="s">
        <v>49</v>
      </c>
      <c r="AI1950" s="1" t="s">
        <v>54</v>
      </c>
      <c r="AJ1950" s="1">
        <v>1</v>
      </c>
      <c r="AK1950" s="1" t="str">
        <f t="shared" si="30"/>
        <v xml:space="preserve"> =&lt;90</v>
      </c>
      <c r="AL1950" s="1" t="str">
        <f>VLOOKUP(C:C,[1]基础信息!B$1:D$65536,3,0)</f>
        <v>Jug</v>
      </c>
      <c r="AM1950" s="1" t="str">
        <f>VLOOKUP(C:C,[1]基础信息!B$1:E$65536,4,0)</f>
        <v>Aluna</v>
      </c>
      <c r="AN1950" s="1" t="str">
        <f>VLOOKUP(C:C,[1]基础信息!B$1:F$65536,5,0)</f>
        <v>Blue</v>
      </c>
    </row>
    <row r="1951" spans="1:40">
      <c r="A1951" s="1" t="s">
        <v>41</v>
      </c>
      <c r="B1951" s="1" t="s">
        <v>42</v>
      </c>
      <c r="C1951" s="1" t="s">
        <v>301</v>
      </c>
      <c r="D1951" s="1" t="s">
        <v>302</v>
      </c>
      <c r="E1951" s="1" t="s">
        <v>45</v>
      </c>
      <c r="F1951" s="1" t="s">
        <v>4499</v>
      </c>
      <c r="G1951" s="1" t="s">
        <v>4525</v>
      </c>
      <c r="H1951" s="1" t="s">
        <v>4526</v>
      </c>
      <c r="I1951" s="1" t="s">
        <v>49</v>
      </c>
      <c r="J1951" s="1" t="s">
        <v>48</v>
      </c>
      <c r="K1951" s="1">
        <v>96</v>
      </c>
      <c r="L1951" s="1">
        <v>0</v>
      </c>
      <c r="M1951" s="1">
        <v>0</v>
      </c>
      <c r="N1951" s="1">
        <v>96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 t="s">
        <v>49</v>
      </c>
      <c r="AA1951" s="1" t="s">
        <v>49</v>
      </c>
      <c r="AB1951" s="1" t="s">
        <v>49</v>
      </c>
      <c r="AC1951" s="1" t="s">
        <v>2658</v>
      </c>
      <c r="AD1951" s="1" t="s">
        <v>2659</v>
      </c>
      <c r="AE1951" s="1" t="s">
        <v>2658</v>
      </c>
      <c r="AF1951" s="1" t="s">
        <v>4502</v>
      </c>
      <c r="AG1951" s="1" t="s">
        <v>53</v>
      </c>
      <c r="AH1951" s="1" t="s">
        <v>49</v>
      </c>
      <c r="AI1951" s="1" t="s">
        <v>54</v>
      </c>
      <c r="AJ1951" s="1">
        <v>1</v>
      </c>
      <c r="AK1951" s="1" t="str">
        <f t="shared" si="30"/>
        <v xml:space="preserve"> =&lt;90</v>
      </c>
      <c r="AL1951" s="1" t="str">
        <f>VLOOKUP(C:C,[1]基础信息!B$1:D$65536,3,0)</f>
        <v>Jug</v>
      </c>
      <c r="AM1951" s="1" t="str">
        <f>VLOOKUP(C:C,[1]基础信息!B$1:E$65536,4,0)</f>
        <v>Aluna</v>
      </c>
      <c r="AN1951" s="1" t="str">
        <f>VLOOKUP(C:C,[1]基础信息!B$1:F$65536,5,0)</f>
        <v>Blue</v>
      </c>
    </row>
    <row r="1952" spans="1:40">
      <c r="A1952" s="1" t="s">
        <v>41</v>
      </c>
      <c r="B1952" s="1" t="s">
        <v>42</v>
      </c>
      <c r="C1952" s="1" t="s">
        <v>481</v>
      </c>
      <c r="D1952" s="1" t="s">
        <v>482</v>
      </c>
      <c r="E1952" s="1" t="s">
        <v>45</v>
      </c>
      <c r="F1952" s="1" t="s">
        <v>4455</v>
      </c>
      <c r="G1952" s="1" t="s">
        <v>4527</v>
      </c>
      <c r="H1952" s="1" t="s">
        <v>4528</v>
      </c>
      <c r="I1952" s="1" t="s">
        <v>49</v>
      </c>
      <c r="J1952" s="1" t="s">
        <v>48</v>
      </c>
      <c r="K1952" s="1">
        <v>168</v>
      </c>
      <c r="L1952" s="1">
        <v>0</v>
      </c>
      <c r="M1952" s="1">
        <v>0</v>
      </c>
      <c r="N1952" s="1">
        <v>168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 t="s">
        <v>49</v>
      </c>
      <c r="AA1952" s="1" t="s">
        <v>49</v>
      </c>
      <c r="AB1952" s="1" t="s">
        <v>49</v>
      </c>
      <c r="AC1952" s="1" t="s">
        <v>4458</v>
      </c>
      <c r="AD1952" s="1" t="s">
        <v>4459</v>
      </c>
      <c r="AE1952" s="1" t="s">
        <v>4458</v>
      </c>
      <c r="AF1952" s="1" t="s">
        <v>488</v>
      </c>
      <c r="AG1952" s="1" t="s">
        <v>53</v>
      </c>
      <c r="AH1952" s="1" t="s">
        <v>49</v>
      </c>
      <c r="AI1952" s="1" t="s">
        <v>54</v>
      </c>
      <c r="AJ1952" s="1">
        <v>1</v>
      </c>
      <c r="AK1952" s="1" t="str">
        <f t="shared" si="30"/>
        <v xml:space="preserve"> =&lt;90</v>
      </c>
      <c r="AL1952" s="1" t="str">
        <f>VLOOKUP(C:C,[1]基础信息!B$1:D$65536,3,0)</f>
        <v>Jug</v>
      </c>
      <c r="AM1952" s="1" t="str">
        <f>VLOOKUP(C:C,[1]基础信息!B$1:E$65536,4,0)</f>
        <v>Style COOL</v>
      </c>
      <c r="AN1952" s="1" t="str">
        <f>VLOOKUP(C:C,[1]基础信息!B$1:F$65536,5,0)</f>
        <v>Cool Blue</v>
      </c>
    </row>
    <row r="1953" spans="1:40">
      <c r="A1953" s="1" t="s">
        <v>41</v>
      </c>
      <c r="B1953" s="1" t="s">
        <v>42</v>
      </c>
      <c r="C1953" s="1" t="s">
        <v>341</v>
      </c>
      <c r="D1953" s="1" t="s">
        <v>342</v>
      </c>
      <c r="E1953" s="1" t="s">
        <v>45</v>
      </c>
      <c r="F1953" s="1" t="s">
        <v>343</v>
      </c>
      <c r="G1953" s="1" t="s">
        <v>4529</v>
      </c>
      <c r="H1953" s="1" t="s">
        <v>4530</v>
      </c>
      <c r="I1953" s="1" t="s">
        <v>49</v>
      </c>
      <c r="J1953" s="1" t="s">
        <v>48</v>
      </c>
      <c r="K1953" s="1">
        <v>70</v>
      </c>
      <c r="L1953" s="1">
        <v>0</v>
      </c>
      <c r="M1953" s="1">
        <v>0</v>
      </c>
      <c r="N1953" s="1">
        <v>70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 t="s">
        <v>49</v>
      </c>
      <c r="AA1953" s="1" t="s">
        <v>49</v>
      </c>
      <c r="AB1953" s="1" t="s">
        <v>49</v>
      </c>
      <c r="AC1953" s="1" t="s">
        <v>346</v>
      </c>
      <c r="AD1953" s="1" t="s">
        <v>347</v>
      </c>
      <c r="AE1953" s="1" t="s">
        <v>346</v>
      </c>
      <c r="AF1953" s="1" t="s">
        <v>348</v>
      </c>
      <c r="AG1953" s="1" t="s">
        <v>338</v>
      </c>
      <c r="AH1953" s="1" t="s">
        <v>49</v>
      </c>
      <c r="AI1953" s="1" t="s">
        <v>54</v>
      </c>
      <c r="AJ1953" s="1">
        <v>1</v>
      </c>
      <c r="AK1953" s="1" t="str">
        <f t="shared" si="30"/>
        <v xml:space="preserve"> =&lt;90</v>
      </c>
      <c r="AL1953" s="1" t="str">
        <f>VLOOKUP(C:C,[1]基础信息!B$1:D$65536,3,0)</f>
        <v>Jug</v>
      </c>
      <c r="AM1953" s="1" t="str">
        <f>VLOOKUP(C:C,[1]基础信息!B$1:E$65536,4,0)</f>
        <v>Marella</v>
      </c>
      <c r="AN1953" s="1" t="str">
        <f>VLOOKUP(C:C,[1]基础信息!B$1:F$65536,5,0)</f>
        <v>Blue Glitter</v>
      </c>
    </row>
    <row r="1954" spans="1:40">
      <c r="A1954" s="1" t="s">
        <v>41</v>
      </c>
      <c r="B1954" s="1" t="s">
        <v>42</v>
      </c>
      <c r="C1954" s="1" t="s">
        <v>301</v>
      </c>
      <c r="D1954" s="1" t="s">
        <v>302</v>
      </c>
      <c r="E1954" s="1" t="s">
        <v>45</v>
      </c>
      <c r="F1954" s="1" t="s">
        <v>4499</v>
      </c>
      <c r="G1954" s="1" t="s">
        <v>4531</v>
      </c>
      <c r="H1954" s="1" t="s">
        <v>4532</v>
      </c>
      <c r="I1954" s="1" t="s">
        <v>49</v>
      </c>
      <c r="J1954" s="1" t="s">
        <v>48</v>
      </c>
      <c r="K1954" s="1">
        <v>96</v>
      </c>
      <c r="L1954" s="1">
        <v>0</v>
      </c>
      <c r="M1954" s="1">
        <v>0</v>
      </c>
      <c r="N1954" s="1">
        <v>96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 t="s">
        <v>49</v>
      </c>
      <c r="AA1954" s="1" t="s">
        <v>49</v>
      </c>
      <c r="AB1954" s="1" t="s">
        <v>49</v>
      </c>
      <c r="AC1954" s="1" t="s">
        <v>2658</v>
      </c>
      <c r="AD1954" s="1" t="s">
        <v>2659</v>
      </c>
      <c r="AE1954" s="1" t="s">
        <v>2658</v>
      </c>
      <c r="AF1954" s="1" t="s">
        <v>4502</v>
      </c>
      <c r="AG1954" s="1" t="s">
        <v>53</v>
      </c>
      <c r="AH1954" s="1" t="s">
        <v>49</v>
      </c>
      <c r="AI1954" s="1" t="s">
        <v>54</v>
      </c>
      <c r="AJ1954" s="1">
        <v>1</v>
      </c>
      <c r="AK1954" s="1" t="str">
        <f t="shared" si="30"/>
        <v xml:space="preserve"> =&lt;90</v>
      </c>
      <c r="AL1954" s="1" t="str">
        <f>VLOOKUP(C:C,[1]基础信息!B$1:D$65536,3,0)</f>
        <v>Jug</v>
      </c>
      <c r="AM1954" s="1" t="str">
        <f>VLOOKUP(C:C,[1]基础信息!B$1:E$65536,4,0)</f>
        <v>Aluna</v>
      </c>
      <c r="AN1954" s="1" t="str">
        <f>VLOOKUP(C:C,[1]基础信息!B$1:F$65536,5,0)</f>
        <v>Blue</v>
      </c>
    </row>
    <row r="1955" spans="1:40">
      <c r="A1955" s="1" t="s">
        <v>41</v>
      </c>
      <c r="B1955" s="1" t="s">
        <v>42</v>
      </c>
      <c r="C1955" s="1" t="s">
        <v>301</v>
      </c>
      <c r="D1955" s="1" t="s">
        <v>302</v>
      </c>
      <c r="E1955" s="1" t="s">
        <v>45</v>
      </c>
      <c r="F1955" s="1" t="s">
        <v>4499</v>
      </c>
      <c r="G1955" s="1" t="s">
        <v>4533</v>
      </c>
      <c r="H1955" s="1" t="s">
        <v>4534</v>
      </c>
      <c r="I1955" s="1" t="s">
        <v>49</v>
      </c>
      <c r="J1955" s="1" t="s">
        <v>48</v>
      </c>
      <c r="K1955" s="1">
        <v>96</v>
      </c>
      <c r="L1955" s="1">
        <v>0</v>
      </c>
      <c r="M1955" s="1">
        <v>0</v>
      </c>
      <c r="N1955" s="1">
        <v>96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 t="s">
        <v>49</v>
      </c>
      <c r="AA1955" s="1" t="s">
        <v>49</v>
      </c>
      <c r="AB1955" s="1" t="s">
        <v>49</v>
      </c>
      <c r="AC1955" s="1" t="s">
        <v>2658</v>
      </c>
      <c r="AD1955" s="1" t="s">
        <v>2659</v>
      </c>
      <c r="AE1955" s="1" t="s">
        <v>2658</v>
      </c>
      <c r="AF1955" s="1" t="s">
        <v>4502</v>
      </c>
      <c r="AG1955" s="1" t="s">
        <v>53</v>
      </c>
      <c r="AH1955" s="1" t="s">
        <v>49</v>
      </c>
      <c r="AI1955" s="1" t="s">
        <v>54</v>
      </c>
      <c r="AJ1955" s="1">
        <v>1</v>
      </c>
      <c r="AK1955" s="1" t="str">
        <f t="shared" si="30"/>
        <v xml:space="preserve"> =&lt;90</v>
      </c>
      <c r="AL1955" s="1" t="str">
        <f>VLOOKUP(C:C,[1]基础信息!B$1:D$65536,3,0)</f>
        <v>Jug</v>
      </c>
      <c r="AM1955" s="1" t="str">
        <f>VLOOKUP(C:C,[1]基础信息!B$1:E$65536,4,0)</f>
        <v>Aluna</v>
      </c>
      <c r="AN1955" s="1" t="str">
        <f>VLOOKUP(C:C,[1]基础信息!B$1:F$65536,5,0)</f>
        <v>Blue</v>
      </c>
    </row>
    <row r="1956" spans="1:40">
      <c r="A1956" s="1" t="s">
        <v>41</v>
      </c>
      <c r="B1956" s="1" t="s">
        <v>42</v>
      </c>
      <c r="C1956" s="1" t="s">
        <v>301</v>
      </c>
      <c r="D1956" s="1" t="s">
        <v>302</v>
      </c>
      <c r="E1956" s="1" t="s">
        <v>45</v>
      </c>
      <c r="F1956" s="1" t="s">
        <v>4499</v>
      </c>
      <c r="G1956" s="1" t="s">
        <v>4535</v>
      </c>
      <c r="H1956" s="1" t="s">
        <v>4536</v>
      </c>
      <c r="I1956" s="1" t="s">
        <v>49</v>
      </c>
      <c r="J1956" s="1" t="s">
        <v>48</v>
      </c>
      <c r="K1956" s="1">
        <v>96</v>
      </c>
      <c r="L1956" s="1">
        <v>0</v>
      </c>
      <c r="M1956" s="1">
        <v>0</v>
      </c>
      <c r="N1956" s="1">
        <v>96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 t="s">
        <v>49</v>
      </c>
      <c r="AA1956" s="1" t="s">
        <v>49</v>
      </c>
      <c r="AB1956" s="1" t="s">
        <v>49</v>
      </c>
      <c r="AC1956" s="1" t="s">
        <v>2658</v>
      </c>
      <c r="AD1956" s="1" t="s">
        <v>2659</v>
      </c>
      <c r="AE1956" s="1" t="s">
        <v>2658</v>
      </c>
      <c r="AF1956" s="1" t="s">
        <v>4502</v>
      </c>
      <c r="AG1956" s="1" t="s">
        <v>53</v>
      </c>
      <c r="AH1956" s="1" t="s">
        <v>49</v>
      </c>
      <c r="AI1956" s="1" t="s">
        <v>54</v>
      </c>
      <c r="AJ1956" s="1">
        <v>1</v>
      </c>
      <c r="AK1956" s="1" t="str">
        <f t="shared" si="30"/>
        <v xml:space="preserve"> =&lt;90</v>
      </c>
      <c r="AL1956" s="1" t="str">
        <f>VLOOKUP(C:C,[1]基础信息!B$1:D$65536,3,0)</f>
        <v>Jug</v>
      </c>
      <c r="AM1956" s="1" t="str">
        <f>VLOOKUP(C:C,[1]基础信息!B$1:E$65536,4,0)</f>
        <v>Aluna</v>
      </c>
      <c r="AN1956" s="1" t="str">
        <f>VLOOKUP(C:C,[1]基础信息!B$1:F$65536,5,0)</f>
        <v>Blue</v>
      </c>
    </row>
    <row r="1957" spans="1:40">
      <c r="A1957" s="1" t="s">
        <v>41</v>
      </c>
      <c r="B1957" s="1" t="s">
        <v>42</v>
      </c>
      <c r="C1957" s="1" t="s">
        <v>481</v>
      </c>
      <c r="D1957" s="1" t="s">
        <v>482</v>
      </c>
      <c r="E1957" s="1" t="s">
        <v>45</v>
      </c>
      <c r="F1957" s="1" t="s">
        <v>4455</v>
      </c>
      <c r="G1957" s="1" t="s">
        <v>4537</v>
      </c>
      <c r="H1957" s="1" t="s">
        <v>4538</v>
      </c>
      <c r="I1957" s="1" t="s">
        <v>49</v>
      </c>
      <c r="J1957" s="1" t="s">
        <v>48</v>
      </c>
      <c r="K1957" s="1">
        <v>168</v>
      </c>
      <c r="L1957" s="1">
        <v>0</v>
      </c>
      <c r="M1957" s="1">
        <v>0</v>
      </c>
      <c r="N1957" s="1">
        <v>168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 t="s">
        <v>49</v>
      </c>
      <c r="AA1957" s="1" t="s">
        <v>49</v>
      </c>
      <c r="AB1957" s="1" t="s">
        <v>49</v>
      </c>
      <c r="AC1957" s="1" t="s">
        <v>4458</v>
      </c>
      <c r="AD1957" s="1" t="s">
        <v>4459</v>
      </c>
      <c r="AE1957" s="1" t="s">
        <v>4458</v>
      </c>
      <c r="AF1957" s="1" t="s">
        <v>488</v>
      </c>
      <c r="AG1957" s="1" t="s">
        <v>53</v>
      </c>
      <c r="AH1957" s="1" t="s">
        <v>49</v>
      </c>
      <c r="AI1957" s="1" t="s">
        <v>54</v>
      </c>
      <c r="AJ1957" s="1">
        <v>1</v>
      </c>
      <c r="AK1957" s="1" t="str">
        <f t="shared" si="30"/>
        <v xml:space="preserve"> =&lt;90</v>
      </c>
      <c r="AL1957" s="1" t="str">
        <f>VLOOKUP(C:C,[1]基础信息!B$1:D$65536,3,0)</f>
        <v>Jug</v>
      </c>
      <c r="AM1957" s="1" t="str">
        <f>VLOOKUP(C:C,[1]基础信息!B$1:E$65536,4,0)</f>
        <v>Style COOL</v>
      </c>
      <c r="AN1957" s="1" t="str">
        <f>VLOOKUP(C:C,[1]基础信息!B$1:F$65536,5,0)</f>
        <v>Cool Blue</v>
      </c>
    </row>
    <row r="1958" spans="1:40">
      <c r="A1958" s="1" t="s">
        <v>41</v>
      </c>
      <c r="B1958" s="1" t="s">
        <v>42</v>
      </c>
      <c r="C1958" s="1" t="s">
        <v>481</v>
      </c>
      <c r="D1958" s="1" t="s">
        <v>482</v>
      </c>
      <c r="E1958" s="1" t="s">
        <v>45</v>
      </c>
      <c r="F1958" s="1" t="s">
        <v>4455</v>
      </c>
      <c r="G1958" s="1" t="s">
        <v>4539</v>
      </c>
      <c r="H1958" s="1" t="s">
        <v>4540</v>
      </c>
      <c r="I1958" s="1" t="s">
        <v>49</v>
      </c>
      <c r="J1958" s="1" t="s">
        <v>48</v>
      </c>
      <c r="K1958" s="1">
        <v>168</v>
      </c>
      <c r="L1958" s="1">
        <v>0</v>
      </c>
      <c r="M1958" s="1">
        <v>0</v>
      </c>
      <c r="N1958" s="1">
        <v>168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 t="s">
        <v>49</v>
      </c>
      <c r="AA1958" s="1" t="s">
        <v>49</v>
      </c>
      <c r="AB1958" s="1" t="s">
        <v>49</v>
      </c>
      <c r="AC1958" s="1" t="s">
        <v>4458</v>
      </c>
      <c r="AD1958" s="1" t="s">
        <v>4459</v>
      </c>
      <c r="AE1958" s="1" t="s">
        <v>4458</v>
      </c>
      <c r="AF1958" s="1" t="s">
        <v>488</v>
      </c>
      <c r="AG1958" s="1" t="s">
        <v>53</v>
      </c>
      <c r="AH1958" s="1" t="s">
        <v>49</v>
      </c>
      <c r="AI1958" s="1" t="s">
        <v>54</v>
      </c>
      <c r="AJ1958" s="1">
        <v>1</v>
      </c>
      <c r="AK1958" s="1" t="str">
        <f t="shared" si="30"/>
        <v xml:space="preserve"> =&lt;90</v>
      </c>
      <c r="AL1958" s="1" t="str">
        <f>VLOOKUP(C:C,[1]基础信息!B$1:D$65536,3,0)</f>
        <v>Jug</v>
      </c>
      <c r="AM1958" s="1" t="str">
        <f>VLOOKUP(C:C,[1]基础信息!B$1:E$65536,4,0)</f>
        <v>Style COOL</v>
      </c>
      <c r="AN1958" s="1" t="str">
        <f>VLOOKUP(C:C,[1]基础信息!B$1:F$65536,5,0)</f>
        <v>Cool Blue</v>
      </c>
    </row>
    <row r="1959" spans="1:40">
      <c r="A1959" s="1" t="s">
        <v>41</v>
      </c>
      <c r="B1959" s="1" t="s">
        <v>42</v>
      </c>
      <c r="C1959" s="1" t="s">
        <v>301</v>
      </c>
      <c r="D1959" s="1" t="s">
        <v>302</v>
      </c>
      <c r="E1959" s="1" t="s">
        <v>45</v>
      </c>
      <c r="F1959" s="1" t="s">
        <v>4499</v>
      </c>
      <c r="G1959" s="1" t="s">
        <v>4541</v>
      </c>
      <c r="H1959" s="1" t="s">
        <v>4542</v>
      </c>
      <c r="I1959" s="1" t="s">
        <v>49</v>
      </c>
      <c r="J1959" s="1" t="s">
        <v>48</v>
      </c>
      <c r="K1959" s="1">
        <v>96</v>
      </c>
      <c r="L1959" s="1">
        <v>0</v>
      </c>
      <c r="M1959" s="1">
        <v>0</v>
      </c>
      <c r="N1959" s="1">
        <v>96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 t="s">
        <v>49</v>
      </c>
      <c r="AA1959" s="1" t="s">
        <v>49</v>
      </c>
      <c r="AB1959" s="1" t="s">
        <v>49</v>
      </c>
      <c r="AC1959" s="1" t="s">
        <v>2658</v>
      </c>
      <c r="AD1959" s="1" t="s">
        <v>2659</v>
      </c>
      <c r="AE1959" s="1" t="s">
        <v>2658</v>
      </c>
      <c r="AF1959" s="1" t="s">
        <v>4502</v>
      </c>
      <c r="AG1959" s="1" t="s">
        <v>53</v>
      </c>
      <c r="AH1959" s="1" t="s">
        <v>49</v>
      </c>
      <c r="AI1959" s="1" t="s">
        <v>54</v>
      </c>
      <c r="AJ1959" s="1">
        <v>1</v>
      </c>
      <c r="AK1959" s="1" t="str">
        <f t="shared" si="30"/>
        <v xml:space="preserve"> =&lt;90</v>
      </c>
      <c r="AL1959" s="1" t="str">
        <f>VLOOKUP(C:C,[1]基础信息!B$1:D$65536,3,0)</f>
        <v>Jug</v>
      </c>
      <c r="AM1959" s="1" t="str">
        <f>VLOOKUP(C:C,[1]基础信息!B$1:E$65536,4,0)</f>
        <v>Aluna</v>
      </c>
      <c r="AN1959" s="1" t="str">
        <f>VLOOKUP(C:C,[1]基础信息!B$1:F$65536,5,0)</f>
        <v>Blue</v>
      </c>
    </row>
    <row r="1960" spans="1:40">
      <c r="A1960" s="1" t="s">
        <v>41</v>
      </c>
      <c r="B1960" s="1" t="s">
        <v>42</v>
      </c>
      <c r="C1960" s="1" t="s">
        <v>301</v>
      </c>
      <c r="D1960" s="1" t="s">
        <v>302</v>
      </c>
      <c r="E1960" s="1" t="s">
        <v>45</v>
      </c>
      <c r="F1960" s="1" t="s">
        <v>4499</v>
      </c>
      <c r="G1960" s="1" t="s">
        <v>4543</v>
      </c>
      <c r="H1960" s="1" t="s">
        <v>4544</v>
      </c>
      <c r="I1960" s="1" t="s">
        <v>49</v>
      </c>
      <c r="J1960" s="1" t="s">
        <v>48</v>
      </c>
      <c r="K1960" s="1">
        <v>96</v>
      </c>
      <c r="L1960" s="1">
        <v>0</v>
      </c>
      <c r="M1960" s="1">
        <v>0</v>
      </c>
      <c r="N1960" s="1">
        <v>96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 t="s">
        <v>49</v>
      </c>
      <c r="AA1960" s="1" t="s">
        <v>49</v>
      </c>
      <c r="AB1960" s="1" t="s">
        <v>49</v>
      </c>
      <c r="AC1960" s="1" t="s">
        <v>2658</v>
      </c>
      <c r="AD1960" s="1" t="s">
        <v>2659</v>
      </c>
      <c r="AE1960" s="1" t="s">
        <v>2658</v>
      </c>
      <c r="AF1960" s="1" t="s">
        <v>4502</v>
      </c>
      <c r="AG1960" s="1" t="s">
        <v>53</v>
      </c>
      <c r="AH1960" s="1" t="s">
        <v>49</v>
      </c>
      <c r="AI1960" s="1" t="s">
        <v>54</v>
      </c>
      <c r="AJ1960" s="1">
        <v>1</v>
      </c>
      <c r="AK1960" s="1" t="str">
        <f t="shared" si="30"/>
        <v xml:space="preserve"> =&lt;90</v>
      </c>
      <c r="AL1960" s="1" t="str">
        <f>VLOOKUP(C:C,[1]基础信息!B$1:D$65536,3,0)</f>
        <v>Jug</v>
      </c>
      <c r="AM1960" s="1" t="str">
        <f>VLOOKUP(C:C,[1]基础信息!B$1:E$65536,4,0)</f>
        <v>Aluna</v>
      </c>
      <c r="AN1960" s="1" t="str">
        <f>VLOOKUP(C:C,[1]基础信息!B$1:F$65536,5,0)</f>
        <v>Blue</v>
      </c>
    </row>
    <row r="1961" spans="1:40">
      <c r="A1961" s="1" t="s">
        <v>41</v>
      </c>
      <c r="B1961" s="1" t="s">
        <v>42</v>
      </c>
      <c r="C1961" s="1" t="s">
        <v>301</v>
      </c>
      <c r="D1961" s="1" t="s">
        <v>302</v>
      </c>
      <c r="E1961" s="1" t="s">
        <v>45</v>
      </c>
      <c r="F1961" s="1" t="s">
        <v>4499</v>
      </c>
      <c r="G1961" s="1" t="s">
        <v>4545</v>
      </c>
      <c r="H1961" s="1" t="s">
        <v>4546</v>
      </c>
      <c r="I1961" s="1" t="s">
        <v>49</v>
      </c>
      <c r="J1961" s="1" t="s">
        <v>48</v>
      </c>
      <c r="K1961" s="1">
        <v>96</v>
      </c>
      <c r="L1961" s="1">
        <v>0</v>
      </c>
      <c r="M1961" s="1">
        <v>0</v>
      </c>
      <c r="N1961" s="1">
        <v>96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 t="s">
        <v>49</v>
      </c>
      <c r="AA1961" s="1" t="s">
        <v>49</v>
      </c>
      <c r="AB1961" s="1" t="s">
        <v>49</v>
      </c>
      <c r="AC1961" s="1" t="s">
        <v>2658</v>
      </c>
      <c r="AD1961" s="1" t="s">
        <v>2659</v>
      </c>
      <c r="AE1961" s="1" t="s">
        <v>2658</v>
      </c>
      <c r="AF1961" s="1" t="s">
        <v>4502</v>
      </c>
      <c r="AG1961" s="1" t="s">
        <v>53</v>
      </c>
      <c r="AH1961" s="1" t="s">
        <v>49</v>
      </c>
      <c r="AI1961" s="1" t="s">
        <v>54</v>
      </c>
      <c r="AJ1961" s="1">
        <v>1</v>
      </c>
      <c r="AK1961" s="1" t="str">
        <f t="shared" si="30"/>
        <v xml:space="preserve"> =&lt;90</v>
      </c>
      <c r="AL1961" s="1" t="str">
        <f>VLOOKUP(C:C,[1]基础信息!B$1:D$65536,3,0)</f>
        <v>Jug</v>
      </c>
      <c r="AM1961" s="1" t="str">
        <f>VLOOKUP(C:C,[1]基础信息!B$1:E$65536,4,0)</f>
        <v>Aluna</v>
      </c>
      <c r="AN1961" s="1" t="str">
        <f>VLOOKUP(C:C,[1]基础信息!B$1:F$65536,5,0)</f>
        <v>Blue</v>
      </c>
    </row>
    <row r="1962" spans="1:40">
      <c r="A1962" s="1" t="s">
        <v>41</v>
      </c>
      <c r="B1962" s="1" t="s">
        <v>42</v>
      </c>
      <c r="C1962" s="1" t="s">
        <v>301</v>
      </c>
      <c r="D1962" s="1" t="s">
        <v>302</v>
      </c>
      <c r="E1962" s="1" t="s">
        <v>45</v>
      </c>
      <c r="F1962" s="1" t="s">
        <v>4499</v>
      </c>
      <c r="G1962" s="1" t="s">
        <v>4547</v>
      </c>
      <c r="H1962" s="1" t="s">
        <v>4548</v>
      </c>
      <c r="I1962" s="1" t="s">
        <v>49</v>
      </c>
      <c r="J1962" s="1" t="s">
        <v>48</v>
      </c>
      <c r="K1962" s="1">
        <v>96</v>
      </c>
      <c r="L1962" s="1">
        <v>0</v>
      </c>
      <c r="M1962" s="1">
        <v>0</v>
      </c>
      <c r="N1962" s="1">
        <v>96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 t="s">
        <v>49</v>
      </c>
      <c r="AA1962" s="1" t="s">
        <v>49</v>
      </c>
      <c r="AB1962" s="1" t="s">
        <v>49</v>
      </c>
      <c r="AC1962" s="1" t="s">
        <v>2658</v>
      </c>
      <c r="AD1962" s="1" t="s">
        <v>2659</v>
      </c>
      <c r="AE1962" s="1" t="s">
        <v>2658</v>
      </c>
      <c r="AF1962" s="1" t="s">
        <v>4502</v>
      </c>
      <c r="AG1962" s="1" t="s">
        <v>53</v>
      </c>
      <c r="AH1962" s="1" t="s">
        <v>49</v>
      </c>
      <c r="AI1962" s="1" t="s">
        <v>54</v>
      </c>
      <c r="AJ1962" s="1">
        <v>1</v>
      </c>
      <c r="AK1962" s="1" t="str">
        <f t="shared" si="30"/>
        <v xml:space="preserve"> =&lt;90</v>
      </c>
      <c r="AL1962" s="1" t="str">
        <f>VLOOKUP(C:C,[1]基础信息!B$1:D$65536,3,0)</f>
        <v>Jug</v>
      </c>
      <c r="AM1962" s="1" t="str">
        <f>VLOOKUP(C:C,[1]基础信息!B$1:E$65536,4,0)</f>
        <v>Aluna</v>
      </c>
      <c r="AN1962" s="1" t="str">
        <f>VLOOKUP(C:C,[1]基础信息!B$1:F$65536,5,0)</f>
        <v>Blue</v>
      </c>
    </row>
    <row r="1963" spans="1:40">
      <c r="A1963" s="1" t="s">
        <v>41</v>
      </c>
      <c r="B1963" s="1" t="s">
        <v>42</v>
      </c>
      <c r="C1963" s="1" t="s">
        <v>301</v>
      </c>
      <c r="D1963" s="1" t="s">
        <v>302</v>
      </c>
      <c r="E1963" s="1" t="s">
        <v>45</v>
      </c>
      <c r="F1963" s="1" t="s">
        <v>4499</v>
      </c>
      <c r="G1963" s="1" t="s">
        <v>4549</v>
      </c>
      <c r="H1963" s="1" t="s">
        <v>4550</v>
      </c>
      <c r="I1963" s="1" t="s">
        <v>49</v>
      </c>
      <c r="J1963" s="1" t="s">
        <v>48</v>
      </c>
      <c r="K1963" s="1">
        <v>96</v>
      </c>
      <c r="L1963" s="1">
        <v>0</v>
      </c>
      <c r="M1963" s="1">
        <v>0</v>
      </c>
      <c r="N1963" s="1">
        <v>96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 t="s">
        <v>49</v>
      </c>
      <c r="AA1963" s="1" t="s">
        <v>49</v>
      </c>
      <c r="AB1963" s="1" t="s">
        <v>49</v>
      </c>
      <c r="AC1963" s="1" t="s">
        <v>2658</v>
      </c>
      <c r="AD1963" s="1" t="s">
        <v>2659</v>
      </c>
      <c r="AE1963" s="1" t="s">
        <v>2658</v>
      </c>
      <c r="AF1963" s="1" t="s">
        <v>4502</v>
      </c>
      <c r="AG1963" s="1" t="s">
        <v>53</v>
      </c>
      <c r="AH1963" s="1" t="s">
        <v>49</v>
      </c>
      <c r="AI1963" s="1" t="s">
        <v>54</v>
      </c>
      <c r="AJ1963" s="1">
        <v>1</v>
      </c>
      <c r="AK1963" s="1" t="str">
        <f t="shared" si="30"/>
        <v xml:space="preserve"> =&lt;90</v>
      </c>
      <c r="AL1963" s="1" t="str">
        <f>VLOOKUP(C:C,[1]基础信息!B$1:D$65536,3,0)</f>
        <v>Jug</v>
      </c>
      <c r="AM1963" s="1" t="str">
        <f>VLOOKUP(C:C,[1]基础信息!B$1:E$65536,4,0)</f>
        <v>Aluna</v>
      </c>
      <c r="AN1963" s="1" t="str">
        <f>VLOOKUP(C:C,[1]基础信息!B$1:F$65536,5,0)</f>
        <v>Blue</v>
      </c>
    </row>
    <row r="1964" spans="1:40">
      <c r="A1964" s="1" t="s">
        <v>41</v>
      </c>
      <c r="B1964" s="1" t="s">
        <v>42</v>
      </c>
      <c r="C1964" s="1" t="s">
        <v>301</v>
      </c>
      <c r="D1964" s="1" t="s">
        <v>302</v>
      </c>
      <c r="E1964" s="1" t="s">
        <v>45</v>
      </c>
      <c r="F1964" s="1" t="s">
        <v>4499</v>
      </c>
      <c r="G1964" s="1" t="s">
        <v>4551</v>
      </c>
      <c r="H1964" s="1" t="s">
        <v>4552</v>
      </c>
      <c r="I1964" s="1" t="s">
        <v>49</v>
      </c>
      <c r="J1964" s="1" t="s">
        <v>48</v>
      </c>
      <c r="K1964" s="1">
        <v>96</v>
      </c>
      <c r="L1964" s="1">
        <v>0</v>
      </c>
      <c r="M1964" s="1">
        <v>0</v>
      </c>
      <c r="N1964" s="1">
        <v>96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 t="s">
        <v>49</v>
      </c>
      <c r="AA1964" s="1" t="s">
        <v>49</v>
      </c>
      <c r="AB1964" s="1" t="s">
        <v>49</v>
      </c>
      <c r="AC1964" s="1" t="s">
        <v>2658</v>
      </c>
      <c r="AD1964" s="1" t="s">
        <v>2659</v>
      </c>
      <c r="AE1964" s="1" t="s">
        <v>2658</v>
      </c>
      <c r="AF1964" s="1" t="s">
        <v>4502</v>
      </c>
      <c r="AG1964" s="1" t="s">
        <v>53</v>
      </c>
      <c r="AH1964" s="1" t="s">
        <v>49</v>
      </c>
      <c r="AI1964" s="1" t="s">
        <v>54</v>
      </c>
      <c r="AJ1964" s="1">
        <v>1</v>
      </c>
      <c r="AK1964" s="1" t="str">
        <f t="shared" si="30"/>
        <v xml:space="preserve"> =&lt;90</v>
      </c>
      <c r="AL1964" s="1" t="str">
        <f>VLOOKUP(C:C,[1]基础信息!B$1:D$65536,3,0)</f>
        <v>Jug</v>
      </c>
      <c r="AM1964" s="1" t="str">
        <f>VLOOKUP(C:C,[1]基础信息!B$1:E$65536,4,0)</f>
        <v>Aluna</v>
      </c>
      <c r="AN1964" s="1" t="str">
        <f>VLOOKUP(C:C,[1]基础信息!B$1:F$65536,5,0)</f>
        <v>Blue</v>
      </c>
    </row>
    <row r="1965" spans="1:40">
      <c r="A1965" s="1" t="s">
        <v>41</v>
      </c>
      <c r="B1965" s="1" t="s">
        <v>42</v>
      </c>
      <c r="C1965" s="1" t="s">
        <v>301</v>
      </c>
      <c r="D1965" s="1" t="s">
        <v>302</v>
      </c>
      <c r="E1965" s="1" t="s">
        <v>45</v>
      </c>
      <c r="F1965" s="1" t="s">
        <v>4499</v>
      </c>
      <c r="G1965" s="1" t="s">
        <v>4553</v>
      </c>
      <c r="H1965" s="1" t="s">
        <v>4554</v>
      </c>
      <c r="I1965" s="1" t="s">
        <v>49</v>
      </c>
      <c r="J1965" s="1" t="s">
        <v>48</v>
      </c>
      <c r="K1965" s="1">
        <v>96</v>
      </c>
      <c r="L1965" s="1">
        <v>0</v>
      </c>
      <c r="M1965" s="1">
        <v>0</v>
      </c>
      <c r="N1965" s="1">
        <v>96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 t="s">
        <v>49</v>
      </c>
      <c r="AA1965" s="1" t="s">
        <v>49</v>
      </c>
      <c r="AB1965" s="1" t="s">
        <v>49</v>
      </c>
      <c r="AC1965" s="1" t="s">
        <v>2658</v>
      </c>
      <c r="AD1965" s="1" t="s">
        <v>2659</v>
      </c>
      <c r="AE1965" s="1" t="s">
        <v>2658</v>
      </c>
      <c r="AF1965" s="1" t="s">
        <v>4502</v>
      </c>
      <c r="AG1965" s="1" t="s">
        <v>53</v>
      </c>
      <c r="AH1965" s="1" t="s">
        <v>49</v>
      </c>
      <c r="AI1965" s="1" t="s">
        <v>54</v>
      </c>
      <c r="AJ1965" s="1">
        <v>1</v>
      </c>
      <c r="AK1965" s="1" t="str">
        <f t="shared" si="30"/>
        <v xml:space="preserve"> =&lt;90</v>
      </c>
      <c r="AL1965" s="1" t="str">
        <f>VLOOKUP(C:C,[1]基础信息!B$1:D$65536,3,0)</f>
        <v>Jug</v>
      </c>
      <c r="AM1965" s="1" t="str">
        <f>VLOOKUP(C:C,[1]基础信息!B$1:E$65536,4,0)</f>
        <v>Aluna</v>
      </c>
      <c r="AN1965" s="1" t="str">
        <f>VLOOKUP(C:C,[1]基础信息!B$1:F$65536,5,0)</f>
        <v>Blue</v>
      </c>
    </row>
    <row r="1966" spans="1:40">
      <c r="A1966" s="1" t="s">
        <v>41</v>
      </c>
      <c r="B1966" s="1" t="s">
        <v>42</v>
      </c>
      <c r="C1966" s="1" t="s">
        <v>301</v>
      </c>
      <c r="D1966" s="1" t="s">
        <v>302</v>
      </c>
      <c r="E1966" s="1" t="s">
        <v>45</v>
      </c>
      <c r="F1966" s="1" t="s">
        <v>4499</v>
      </c>
      <c r="G1966" s="1" t="s">
        <v>4555</v>
      </c>
      <c r="H1966" s="1" t="s">
        <v>4556</v>
      </c>
      <c r="I1966" s="1" t="s">
        <v>49</v>
      </c>
      <c r="J1966" s="1" t="s">
        <v>48</v>
      </c>
      <c r="K1966" s="1">
        <v>96</v>
      </c>
      <c r="L1966" s="1">
        <v>0</v>
      </c>
      <c r="M1966" s="1">
        <v>0</v>
      </c>
      <c r="N1966" s="1">
        <v>96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 t="s">
        <v>49</v>
      </c>
      <c r="AA1966" s="1" t="s">
        <v>49</v>
      </c>
      <c r="AB1966" s="1" t="s">
        <v>49</v>
      </c>
      <c r="AC1966" s="1" t="s">
        <v>2658</v>
      </c>
      <c r="AD1966" s="1" t="s">
        <v>2659</v>
      </c>
      <c r="AE1966" s="1" t="s">
        <v>2658</v>
      </c>
      <c r="AF1966" s="1" t="s">
        <v>4502</v>
      </c>
      <c r="AG1966" s="1" t="s">
        <v>53</v>
      </c>
      <c r="AH1966" s="1" t="s">
        <v>49</v>
      </c>
      <c r="AI1966" s="1" t="s">
        <v>54</v>
      </c>
      <c r="AJ1966" s="1">
        <v>1</v>
      </c>
      <c r="AK1966" s="1" t="str">
        <f t="shared" si="30"/>
        <v xml:space="preserve"> =&lt;90</v>
      </c>
      <c r="AL1966" s="1" t="str">
        <f>VLOOKUP(C:C,[1]基础信息!B$1:D$65536,3,0)</f>
        <v>Jug</v>
      </c>
      <c r="AM1966" s="1" t="str">
        <f>VLOOKUP(C:C,[1]基础信息!B$1:E$65536,4,0)</f>
        <v>Aluna</v>
      </c>
      <c r="AN1966" s="1" t="str">
        <f>VLOOKUP(C:C,[1]基础信息!B$1:F$65536,5,0)</f>
        <v>Blue</v>
      </c>
    </row>
    <row r="1967" spans="1:40">
      <c r="A1967" s="1" t="s">
        <v>41</v>
      </c>
      <c r="B1967" s="1" t="s">
        <v>42</v>
      </c>
      <c r="C1967" s="1" t="s">
        <v>301</v>
      </c>
      <c r="D1967" s="1" t="s">
        <v>302</v>
      </c>
      <c r="E1967" s="1" t="s">
        <v>45</v>
      </c>
      <c r="F1967" s="1" t="s">
        <v>4499</v>
      </c>
      <c r="G1967" s="1" t="s">
        <v>4557</v>
      </c>
      <c r="H1967" s="1" t="s">
        <v>4558</v>
      </c>
      <c r="I1967" s="1" t="s">
        <v>49</v>
      </c>
      <c r="J1967" s="1" t="s">
        <v>48</v>
      </c>
      <c r="K1967" s="1">
        <v>96</v>
      </c>
      <c r="L1967" s="1">
        <v>0</v>
      </c>
      <c r="M1967" s="1">
        <v>0</v>
      </c>
      <c r="N1967" s="1">
        <v>96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 t="s">
        <v>49</v>
      </c>
      <c r="AA1967" s="1" t="s">
        <v>49</v>
      </c>
      <c r="AB1967" s="1" t="s">
        <v>49</v>
      </c>
      <c r="AC1967" s="1" t="s">
        <v>2658</v>
      </c>
      <c r="AD1967" s="1" t="s">
        <v>2659</v>
      </c>
      <c r="AE1967" s="1" t="s">
        <v>2658</v>
      </c>
      <c r="AF1967" s="1" t="s">
        <v>4502</v>
      </c>
      <c r="AG1967" s="1" t="s">
        <v>53</v>
      </c>
      <c r="AH1967" s="1" t="s">
        <v>49</v>
      </c>
      <c r="AI1967" s="1" t="s">
        <v>54</v>
      </c>
      <c r="AJ1967" s="1">
        <v>1</v>
      </c>
      <c r="AK1967" s="1" t="str">
        <f t="shared" si="30"/>
        <v xml:space="preserve"> =&lt;90</v>
      </c>
      <c r="AL1967" s="1" t="str">
        <f>VLOOKUP(C:C,[1]基础信息!B$1:D$65536,3,0)</f>
        <v>Jug</v>
      </c>
      <c r="AM1967" s="1" t="str">
        <f>VLOOKUP(C:C,[1]基础信息!B$1:E$65536,4,0)</f>
        <v>Aluna</v>
      </c>
      <c r="AN1967" s="1" t="str">
        <f>VLOOKUP(C:C,[1]基础信息!B$1:F$65536,5,0)</f>
        <v>Blue</v>
      </c>
    </row>
    <row r="1968" spans="1:40">
      <c r="A1968" s="1" t="s">
        <v>41</v>
      </c>
      <c r="B1968" s="1" t="s">
        <v>42</v>
      </c>
      <c r="C1968" s="1" t="s">
        <v>301</v>
      </c>
      <c r="D1968" s="1" t="s">
        <v>302</v>
      </c>
      <c r="E1968" s="1" t="s">
        <v>45</v>
      </c>
      <c r="F1968" s="1" t="s">
        <v>4499</v>
      </c>
      <c r="G1968" s="1" t="s">
        <v>4559</v>
      </c>
      <c r="H1968" s="1" t="s">
        <v>4560</v>
      </c>
      <c r="I1968" s="1" t="s">
        <v>49</v>
      </c>
      <c r="J1968" s="1" t="s">
        <v>48</v>
      </c>
      <c r="K1968" s="1">
        <v>96</v>
      </c>
      <c r="L1968" s="1">
        <v>0</v>
      </c>
      <c r="M1968" s="1">
        <v>0</v>
      </c>
      <c r="N1968" s="1">
        <v>96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 t="s">
        <v>49</v>
      </c>
      <c r="AA1968" s="1" t="s">
        <v>49</v>
      </c>
      <c r="AB1968" s="1" t="s">
        <v>49</v>
      </c>
      <c r="AC1968" s="1" t="s">
        <v>2658</v>
      </c>
      <c r="AD1968" s="1" t="s">
        <v>2659</v>
      </c>
      <c r="AE1968" s="1" t="s">
        <v>2658</v>
      </c>
      <c r="AF1968" s="1" t="s">
        <v>4502</v>
      </c>
      <c r="AG1968" s="1" t="s">
        <v>53</v>
      </c>
      <c r="AH1968" s="1" t="s">
        <v>49</v>
      </c>
      <c r="AI1968" s="1" t="s">
        <v>54</v>
      </c>
      <c r="AJ1968" s="1">
        <v>1</v>
      </c>
      <c r="AK1968" s="1" t="str">
        <f t="shared" si="30"/>
        <v xml:space="preserve"> =&lt;90</v>
      </c>
      <c r="AL1968" s="1" t="str">
        <f>VLOOKUP(C:C,[1]基础信息!B$1:D$65536,3,0)</f>
        <v>Jug</v>
      </c>
      <c r="AM1968" s="1" t="str">
        <f>VLOOKUP(C:C,[1]基础信息!B$1:E$65536,4,0)</f>
        <v>Aluna</v>
      </c>
      <c r="AN1968" s="1" t="str">
        <f>VLOOKUP(C:C,[1]基础信息!B$1:F$65536,5,0)</f>
        <v>Blue</v>
      </c>
    </row>
    <row r="1969" spans="1:40">
      <c r="A1969" s="1" t="s">
        <v>41</v>
      </c>
      <c r="B1969" s="1" t="s">
        <v>42</v>
      </c>
      <c r="C1969" s="1" t="s">
        <v>301</v>
      </c>
      <c r="D1969" s="1" t="s">
        <v>302</v>
      </c>
      <c r="E1969" s="1" t="s">
        <v>45</v>
      </c>
      <c r="F1969" s="1" t="s">
        <v>4499</v>
      </c>
      <c r="G1969" s="1" t="s">
        <v>4561</v>
      </c>
      <c r="H1969" s="1" t="s">
        <v>4562</v>
      </c>
      <c r="I1969" s="1" t="s">
        <v>49</v>
      </c>
      <c r="J1969" s="1" t="s">
        <v>48</v>
      </c>
      <c r="K1969" s="1">
        <v>96</v>
      </c>
      <c r="L1969" s="1">
        <v>0</v>
      </c>
      <c r="M1969" s="1">
        <v>0</v>
      </c>
      <c r="N1969" s="1">
        <v>96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 t="s">
        <v>49</v>
      </c>
      <c r="AA1969" s="1" t="s">
        <v>49</v>
      </c>
      <c r="AB1969" s="1" t="s">
        <v>49</v>
      </c>
      <c r="AC1969" s="1" t="s">
        <v>2658</v>
      </c>
      <c r="AD1969" s="1" t="s">
        <v>2659</v>
      </c>
      <c r="AE1969" s="1" t="s">
        <v>2658</v>
      </c>
      <c r="AF1969" s="1" t="s">
        <v>4502</v>
      </c>
      <c r="AG1969" s="1" t="s">
        <v>53</v>
      </c>
      <c r="AH1969" s="1" t="s">
        <v>49</v>
      </c>
      <c r="AI1969" s="1" t="s">
        <v>54</v>
      </c>
      <c r="AJ1969" s="1">
        <v>1</v>
      </c>
      <c r="AK1969" s="1" t="str">
        <f t="shared" si="30"/>
        <v xml:space="preserve"> =&lt;90</v>
      </c>
      <c r="AL1969" s="1" t="str">
        <f>VLOOKUP(C:C,[1]基础信息!B$1:D$65536,3,0)</f>
        <v>Jug</v>
      </c>
      <c r="AM1969" s="1" t="str">
        <f>VLOOKUP(C:C,[1]基础信息!B$1:E$65536,4,0)</f>
        <v>Aluna</v>
      </c>
      <c r="AN1969" s="1" t="str">
        <f>VLOOKUP(C:C,[1]基础信息!B$1:F$65536,5,0)</f>
        <v>Blue</v>
      </c>
    </row>
    <row r="1970" spans="1:40">
      <c r="A1970" s="1" t="s">
        <v>41</v>
      </c>
      <c r="B1970" s="1" t="s">
        <v>42</v>
      </c>
      <c r="C1970" s="1" t="s">
        <v>301</v>
      </c>
      <c r="D1970" s="1" t="s">
        <v>302</v>
      </c>
      <c r="E1970" s="1" t="s">
        <v>45</v>
      </c>
      <c r="F1970" s="1" t="s">
        <v>4499</v>
      </c>
      <c r="G1970" s="1" t="s">
        <v>4563</v>
      </c>
      <c r="H1970" s="1" t="s">
        <v>4564</v>
      </c>
      <c r="I1970" s="1" t="s">
        <v>49</v>
      </c>
      <c r="J1970" s="1" t="s">
        <v>48</v>
      </c>
      <c r="K1970" s="1">
        <v>96</v>
      </c>
      <c r="L1970" s="1">
        <v>0</v>
      </c>
      <c r="M1970" s="1">
        <v>0</v>
      </c>
      <c r="N1970" s="1">
        <v>96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 t="s">
        <v>49</v>
      </c>
      <c r="AA1970" s="1" t="s">
        <v>49</v>
      </c>
      <c r="AB1970" s="1" t="s">
        <v>49</v>
      </c>
      <c r="AC1970" s="1" t="s">
        <v>2658</v>
      </c>
      <c r="AD1970" s="1" t="s">
        <v>2659</v>
      </c>
      <c r="AE1970" s="1" t="s">
        <v>2658</v>
      </c>
      <c r="AF1970" s="1" t="s">
        <v>4502</v>
      </c>
      <c r="AG1970" s="1" t="s">
        <v>53</v>
      </c>
      <c r="AH1970" s="1" t="s">
        <v>49</v>
      </c>
      <c r="AI1970" s="1" t="s">
        <v>54</v>
      </c>
      <c r="AJ1970" s="1">
        <v>1</v>
      </c>
      <c r="AK1970" s="1" t="str">
        <f t="shared" si="30"/>
        <v xml:space="preserve"> =&lt;90</v>
      </c>
      <c r="AL1970" s="1" t="str">
        <f>VLOOKUP(C:C,[1]基础信息!B$1:D$65536,3,0)</f>
        <v>Jug</v>
      </c>
      <c r="AM1970" s="1" t="str">
        <f>VLOOKUP(C:C,[1]基础信息!B$1:E$65536,4,0)</f>
        <v>Aluna</v>
      </c>
      <c r="AN1970" s="1" t="str">
        <f>VLOOKUP(C:C,[1]基础信息!B$1:F$65536,5,0)</f>
        <v>Blue</v>
      </c>
    </row>
    <row r="1971" spans="1:40">
      <c r="A1971" s="1" t="s">
        <v>41</v>
      </c>
      <c r="B1971" s="1" t="s">
        <v>42</v>
      </c>
      <c r="C1971" s="1" t="s">
        <v>301</v>
      </c>
      <c r="D1971" s="1" t="s">
        <v>302</v>
      </c>
      <c r="E1971" s="1" t="s">
        <v>45</v>
      </c>
      <c r="F1971" s="1" t="s">
        <v>4499</v>
      </c>
      <c r="G1971" s="1" t="s">
        <v>4565</v>
      </c>
      <c r="H1971" s="1" t="s">
        <v>4566</v>
      </c>
      <c r="I1971" s="1" t="s">
        <v>49</v>
      </c>
      <c r="J1971" s="1" t="s">
        <v>48</v>
      </c>
      <c r="K1971" s="1">
        <v>96</v>
      </c>
      <c r="L1971" s="1">
        <v>0</v>
      </c>
      <c r="M1971" s="1">
        <v>0</v>
      </c>
      <c r="N1971" s="1">
        <v>96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 t="s">
        <v>49</v>
      </c>
      <c r="AA1971" s="1" t="s">
        <v>49</v>
      </c>
      <c r="AB1971" s="1" t="s">
        <v>49</v>
      </c>
      <c r="AC1971" s="1" t="s">
        <v>2658</v>
      </c>
      <c r="AD1971" s="1" t="s">
        <v>2659</v>
      </c>
      <c r="AE1971" s="1" t="s">
        <v>2658</v>
      </c>
      <c r="AF1971" s="1" t="s">
        <v>4502</v>
      </c>
      <c r="AG1971" s="1" t="s">
        <v>53</v>
      </c>
      <c r="AH1971" s="1" t="s">
        <v>49</v>
      </c>
      <c r="AI1971" s="1" t="s">
        <v>54</v>
      </c>
      <c r="AJ1971" s="1">
        <v>1</v>
      </c>
      <c r="AK1971" s="1" t="str">
        <f t="shared" si="30"/>
        <v xml:space="preserve"> =&lt;90</v>
      </c>
      <c r="AL1971" s="1" t="str">
        <f>VLOOKUP(C:C,[1]基础信息!B$1:D$65536,3,0)</f>
        <v>Jug</v>
      </c>
      <c r="AM1971" s="1" t="str">
        <f>VLOOKUP(C:C,[1]基础信息!B$1:E$65536,4,0)</f>
        <v>Aluna</v>
      </c>
      <c r="AN1971" s="1" t="str">
        <f>VLOOKUP(C:C,[1]基础信息!B$1:F$65536,5,0)</f>
        <v>Blue</v>
      </c>
    </row>
    <row r="1972" spans="1:40">
      <c r="A1972" s="1" t="s">
        <v>41</v>
      </c>
      <c r="B1972" s="1" t="s">
        <v>42</v>
      </c>
      <c r="C1972" s="1" t="s">
        <v>481</v>
      </c>
      <c r="D1972" s="1" t="s">
        <v>482</v>
      </c>
      <c r="E1972" s="1" t="s">
        <v>45</v>
      </c>
      <c r="F1972" s="1" t="s">
        <v>4455</v>
      </c>
      <c r="G1972" s="1" t="s">
        <v>4567</v>
      </c>
      <c r="H1972" s="1" t="s">
        <v>4568</v>
      </c>
      <c r="I1972" s="1" t="s">
        <v>49</v>
      </c>
      <c r="J1972" s="1" t="s">
        <v>48</v>
      </c>
      <c r="K1972" s="1">
        <v>168</v>
      </c>
      <c r="L1972" s="1">
        <v>0</v>
      </c>
      <c r="M1972" s="1">
        <v>0</v>
      </c>
      <c r="N1972" s="1">
        <v>168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 t="s">
        <v>49</v>
      </c>
      <c r="AA1972" s="1" t="s">
        <v>49</v>
      </c>
      <c r="AB1972" s="1" t="s">
        <v>49</v>
      </c>
      <c r="AC1972" s="1" t="s">
        <v>4458</v>
      </c>
      <c r="AD1972" s="1" t="s">
        <v>4459</v>
      </c>
      <c r="AE1972" s="1" t="s">
        <v>4458</v>
      </c>
      <c r="AF1972" s="1" t="s">
        <v>488</v>
      </c>
      <c r="AG1972" s="1" t="s">
        <v>53</v>
      </c>
      <c r="AH1972" s="1" t="s">
        <v>49</v>
      </c>
      <c r="AI1972" s="1" t="s">
        <v>54</v>
      </c>
      <c r="AJ1972" s="1">
        <v>1</v>
      </c>
      <c r="AK1972" s="1" t="str">
        <f t="shared" si="30"/>
        <v xml:space="preserve"> =&lt;90</v>
      </c>
      <c r="AL1972" s="1" t="str">
        <f>VLOOKUP(C:C,[1]基础信息!B$1:D$65536,3,0)</f>
        <v>Jug</v>
      </c>
      <c r="AM1972" s="1" t="str">
        <f>VLOOKUP(C:C,[1]基础信息!B$1:E$65536,4,0)</f>
        <v>Style COOL</v>
      </c>
      <c r="AN1972" s="1" t="str">
        <f>VLOOKUP(C:C,[1]基础信息!B$1:F$65536,5,0)</f>
        <v>Cool Blue</v>
      </c>
    </row>
    <row r="1973" spans="1:40">
      <c r="A1973" s="1" t="s">
        <v>41</v>
      </c>
      <c r="B1973" s="1" t="s">
        <v>42</v>
      </c>
      <c r="C1973" s="1" t="s">
        <v>301</v>
      </c>
      <c r="D1973" s="1" t="s">
        <v>302</v>
      </c>
      <c r="E1973" s="1" t="s">
        <v>45</v>
      </c>
      <c r="F1973" s="1" t="s">
        <v>4499</v>
      </c>
      <c r="G1973" s="1" t="s">
        <v>4569</v>
      </c>
      <c r="H1973" s="1" t="s">
        <v>4570</v>
      </c>
      <c r="I1973" s="1" t="s">
        <v>49</v>
      </c>
      <c r="J1973" s="1" t="s">
        <v>48</v>
      </c>
      <c r="K1973" s="1">
        <v>96</v>
      </c>
      <c r="L1973" s="1">
        <v>0</v>
      </c>
      <c r="M1973" s="1">
        <v>0</v>
      </c>
      <c r="N1973" s="1">
        <v>96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 t="s">
        <v>49</v>
      </c>
      <c r="AA1973" s="1" t="s">
        <v>49</v>
      </c>
      <c r="AB1973" s="1" t="s">
        <v>49</v>
      </c>
      <c r="AC1973" s="1" t="s">
        <v>2658</v>
      </c>
      <c r="AD1973" s="1" t="s">
        <v>2659</v>
      </c>
      <c r="AE1973" s="1" t="s">
        <v>2658</v>
      </c>
      <c r="AF1973" s="1" t="s">
        <v>4502</v>
      </c>
      <c r="AG1973" s="1" t="s">
        <v>53</v>
      </c>
      <c r="AH1973" s="1" t="s">
        <v>49</v>
      </c>
      <c r="AI1973" s="1" t="s">
        <v>54</v>
      </c>
      <c r="AJ1973" s="1">
        <v>1</v>
      </c>
      <c r="AK1973" s="1" t="str">
        <f t="shared" si="30"/>
        <v xml:space="preserve"> =&lt;90</v>
      </c>
      <c r="AL1973" s="1" t="str">
        <f>VLOOKUP(C:C,[1]基础信息!B$1:D$65536,3,0)</f>
        <v>Jug</v>
      </c>
      <c r="AM1973" s="1" t="str">
        <f>VLOOKUP(C:C,[1]基础信息!B$1:E$65536,4,0)</f>
        <v>Aluna</v>
      </c>
      <c r="AN1973" s="1" t="str">
        <f>VLOOKUP(C:C,[1]基础信息!B$1:F$65536,5,0)</f>
        <v>Blue</v>
      </c>
    </row>
    <row r="1974" spans="1:40">
      <c r="A1974" s="1" t="s">
        <v>41</v>
      </c>
      <c r="B1974" s="1" t="s">
        <v>42</v>
      </c>
      <c r="C1974" s="1" t="s">
        <v>481</v>
      </c>
      <c r="D1974" s="1" t="s">
        <v>482</v>
      </c>
      <c r="E1974" s="1" t="s">
        <v>45</v>
      </c>
      <c r="F1974" s="1" t="s">
        <v>4455</v>
      </c>
      <c r="G1974" s="1" t="s">
        <v>4571</v>
      </c>
      <c r="H1974" s="1" t="s">
        <v>4572</v>
      </c>
      <c r="I1974" s="1" t="s">
        <v>49</v>
      </c>
      <c r="J1974" s="1" t="s">
        <v>48</v>
      </c>
      <c r="K1974" s="1">
        <v>168</v>
      </c>
      <c r="L1974" s="1">
        <v>0</v>
      </c>
      <c r="M1974" s="1">
        <v>0</v>
      </c>
      <c r="N1974" s="1">
        <v>168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 t="s">
        <v>49</v>
      </c>
      <c r="AA1974" s="1" t="s">
        <v>49</v>
      </c>
      <c r="AB1974" s="1" t="s">
        <v>49</v>
      </c>
      <c r="AC1974" s="1" t="s">
        <v>4458</v>
      </c>
      <c r="AD1974" s="1" t="s">
        <v>4459</v>
      </c>
      <c r="AE1974" s="1" t="s">
        <v>4458</v>
      </c>
      <c r="AF1974" s="1" t="s">
        <v>488</v>
      </c>
      <c r="AG1974" s="1" t="s">
        <v>53</v>
      </c>
      <c r="AH1974" s="1" t="s">
        <v>49</v>
      </c>
      <c r="AI1974" s="1" t="s">
        <v>54</v>
      </c>
      <c r="AJ1974" s="1">
        <v>1</v>
      </c>
      <c r="AK1974" s="1" t="str">
        <f t="shared" si="30"/>
        <v xml:space="preserve"> =&lt;90</v>
      </c>
      <c r="AL1974" s="1" t="str">
        <f>VLOOKUP(C:C,[1]基础信息!B$1:D$65536,3,0)</f>
        <v>Jug</v>
      </c>
      <c r="AM1974" s="1" t="str">
        <f>VLOOKUP(C:C,[1]基础信息!B$1:E$65536,4,0)</f>
        <v>Style COOL</v>
      </c>
      <c r="AN1974" s="1" t="str">
        <f>VLOOKUP(C:C,[1]基础信息!B$1:F$65536,5,0)</f>
        <v>Cool Blue</v>
      </c>
    </row>
    <row r="1975" spans="1:40">
      <c r="A1975" s="1" t="s">
        <v>41</v>
      </c>
      <c r="B1975" s="1" t="s">
        <v>42</v>
      </c>
      <c r="C1975" s="1" t="s">
        <v>301</v>
      </c>
      <c r="D1975" s="1" t="s">
        <v>302</v>
      </c>
      <c r="E1975" s="1" t="s">
        <v>45</v>
      </c>
      <c r="F1975" s="1" t="s">
        <v>4499</v>
      </c>
      <c r="G1975" s="1" t="s">
        <v>4573</v>
      </c>
      <c r="H1975" s="1" t="s">
        <v>4574</v>
      </c>
      <c r="I1975" s="1" t="s">
        <v>49</v>
      </c>
      <c r="J1975" s="1" t="s">
        <v>48</v>
      </c>
      <c r="K1975" s="1">
        <v>96</v>
      </c>
      <c r="L1975" s="1">
        <v>0</v>
      </c>
      <c r="M1975" s="1">
        <v>0</v>
      </c>
      <c r="N1975" s="1">
        <v>96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 t="s">
        <v>49</v>
      </c>
      <c r="AA1975" s="1" t="s">
        <v>49</v>
      </c>
      <c r="AB1975" s="1" t="s">
        <v>49</v>
      </c>
      <c r="AC1975" s="1" t="s">
        <v>2658</v>
      </c>
      <c r="AD1975" s="1" t="s">
        <v>2659</v>
      </c>
      <c r="AE1975" s="1" t="s">
        <v>2658</v>
      </c>
      <c r="AF1975" s="1" t="s">
        <v>4502</v>
      </c>
      <c r="AG1975" s="1" t="s">
        <v>53</v>
      </c>
      <c r="AH1975" s="1" t="s">
        <v>49</v>
      </c>
      <c r="AI1975" s="1" t="s">
        <v>54</v>
      </c>
      <c r="AJ1975" s="1">
        <v>1</v>
      </c>
      <c r="AK1975" s="1" t="str">
        <f t="shared" si="30"/>
        <v xml:space="preserve"> =&lt;90</v>
      </c>
      <c r="AL1975" s="1" t="str">
        <f>VLOOKUP(C:C,[1]基础信息!B$1:D$65536,3,0)</f>
        <v>Jug</v>
      </c>
      <c r="AM1975" s="1" t="str">
        <f>VLOOKUP(C:C,[1]基础信息!B$1:E$65536,4,0)</f>
        <v>Aluna</v>
      </c>
      <c r="AN1975" s="1" t="str">
        <f>VLOOKUP(C:C,[1]基础信息!B$1:F$65536,5,0)</f>
        <v>Blue</v>
      </c>
    </row>
    <row r="1976" spans="1:40">
      <c r="A1976" s="1" t="s">
        <v>41</v>
      </c>
      <c r="B1976" s="1" t="s">
        <v>42</v>
      </c>
      <c r="C1976" s="1" t="s">
        <v>301</v>
      </c>
      <c r="D1976" s="1" t="s">
        <v>302</v>
      </c>
      <c r="E1976" s="1" t="s">
        <v>45</v>
      </c>
      <c r="F1976" s="1" t="s">
        <v>4499</v>
      </c>
      <c r="G1976" s="1" t="s">
        <v>4575</v>
      </c>
      <c r="H1976" s="1" t="s">
        <v>4576</v>
      </c>
      <c r="I1976" s="1" t="s">
        <v>49</v>
      </c>
      <c r="J1976" s="1" t="s">
        <v>48</v>
      </c>
      <c r="K1976" s="1">
        <v>96</v>
      </c>
      <c r="L1976" s="1">
        <v>0</v>
      </c>
      <c r="M1976" s="1">
        <v>0</v>
      </c>
      <c r="N1976" s="1">
        <v>96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 t="s">
        <v>49</v>
      </c>
      <c r="AA1976" s="1" t="s">
        <v>49</v>
      </c>
      <c r="AB1976" s="1" t="s">
        <v>49</v>
      </c>
      <c r="AC1976" s="1" t="s">
        <v>2658</v>
      </c>
      <c r="AD1976" s="1" t="s">
        <v>2659</v>
      </c>
      <c r="AE1976" s="1" t="s">
        <v>2658</v>
      </c>
      <c r="AF1976" s="1" t="s">
        <v>4502</v>
      </c>
      <c r="AG1976" s="1" t="s">
        <v>53</v>
      </c>
      <c r="AH1976" s="1" t="s">
        <v>49</v>
      </c>
      <c r="AI1976" s="1" t="s">
        <v>54</v>
      </c>
      <c r="AJ1976" s="1">
        <v>1</v>
      </c>
      <c r="AK1976" s="1" t="str">
        <f t="shared" si="30"/>
        <v xml:space="preserve"> =&lt;90</v>
      </c>
      <c r="AL1976" s="1" t="str">
        <f>VLOOKUP(C:C,[1]基础信息!B$1:D$65536,3,0)</f>
        <v>Jug</v>
      </c>
      <c r="AM1976" s="1" t="str">
        <f>VLOOKUP(C:C,[1]基础信息!B$1:E$65536,4,0)</f>
        <v>Aluna</v>
      </c>
      <c r="AN1976" s="1" t="str">
        <f>VLOOKUP(C:C,[1]基础信息!B$1:F$65536,5,0)</f>
        <v>Blue</v>
      </c>
    </row>
    <row r="1977" spans="1:40">
      <c r="A1977" s="1" t="s">
        <v>41</v>
      </c>
      <c r="B1977" s="1" t="s">
        <v>42</v>
      </c>
      <c r="C1977" s="1" t="s">
        <v>301</v>
      </c>
      <c r="D1977" s="1" t="s">
        <v>302</v>
      </c>
      <c r="E1977" s="1" t="s">
        <v>45</v>
      </c>
      <c r="F1977" s="1" t="s">
        <v>4499</v>
      </c>
      <c r="G1977" s="1" t="s">
        <v>4577</v>
      </c>
      <c r="H1977" s="1" t="s">
        <v>4578</v>
      </c>
      <c r="I1977" s="1" t="s">
        <v>49</v>
      </c>
      <c r="J1977" s="1" t="s">
        <v>48</v>
      </c>
      <c r="K1977" s="1">
        <v>96</v>
      </c>
      <c r="L1977" s="1">
        <v>0</v>
      </c>
      <c r="M1977" s="1">
        <v>0</v>
      </c>
      <c r="N1977" s="1">
        <v>96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 t="s">
        <v>49</v>
      </c>
      <c r="AA1977" s="1" t="s">
        <v>49</v>
      </c>
      <c r="AB1977" s="1" t="s">
        <v>49</v>
      </c>
      <c r="AC1977" s="1" t="s">
        <v>2658</v>
      </c>
      <c r="AD1977" s="1" t="s">
        <v>2659</v>
      </c>
      <c r="AE1977" s="1" t="s">
        <v>2658</v>
      </c>
      <c r="AF1977" s="1" t="s">
        <v>4502</v>
      </c>
      <c r="AG1977" s="1" t="s">
        <v>53</v>
      </c>
      <c r="AH1977" s="1" t="s">
        <v>49</v>
      </c>
      <c r="AI1977" s="1" t="s">
        <v>54</v>
      </c>
      <c r="AJ1977" s="1">
        <v>1</v>
      </c>
      <c r="AK1977" s="1" t="str">
        <f t="shared" si="30"/>
        <v xml:space="preserve"> =&lt;90</v>
      </c>
      <c r="AL1977" s="1" t="str">
        <f>VLOOKUP(C:C,[1]基础信息!B$1:D$65536,3,0)</f>
        <v>Jug</v>
      </c>
      <c r="AM1977" s="1" t="str">
        <f>VLOOKUP(C:C,[1]基础信息!B$1:E$65536,4,0)</f>
        <v>Aluna</v>
      </c>
      <c r="AN1977" s="1" t="str">
        <f>VLOOKUP(C:C,[1]基础信息!B$1:F$65536,5,0)</f>
        <v>Blue</v>
      </c>
    </row>
    <row r="1978" spans="1:40">
      <c r="A1978" s="1" t="s">
        <v>41</v>
      </c>
      <c r="B1978" s="1" t="s">
        <v>42</v>
      </c>
      <c r="C1978" s="1" t="s">
        <v>301</v>
      </c>
      <c r="D1978" s="1" t="s">
        <v>302</v>
      </c>
      <c r="E1978" s="1" t="s">
        <v>45</v>
      </c>
      <c r="F1978" s="1" t="s">
        <v>4499</v>
      </c>
      <c r="G1978" s="1" t="s">
        <v>4579</v>
      </c>
      <c r="H1978" s="1" t="s">
        <v>4580</v>
      </c>
      <c r="I1978" s="1" t="s">
        <v>49</v>
      </c>
      <c r="J1978" s="1" t="s">
        <v>48</v>
      </c>
      <c r="K1978" s="1">
        <v>96</v>
      </c>
      <c r="L1978" s="1">
        <v>0</v>
      </c>
      <c r="M1978" s="1">
        <v>0</v>
      </c>
      <c r="N1978" s="1">
        <v>96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 t="s">
        <v>49</v>
      </c>
      <c r="AA1978" s="1" t="s">
        <v>49</v>
      </c>
      <c r="AB1978" s="1" t="s">
        <v>49</v>
      </c>
      <c r="AC1978" s="1" t="s">
        <v>2658</v>
      </c>
      <c r="AD1978" s="1" t="s">
        <v>2659</v>
      </c>
      <c r="AE1978" s="1" t="s">
        <v>2658</v>
      </c>
      <c r="AF1978" s="1" t="s">
        <v>4502</v>
      </c>
      <c r="AG1978" s="1" t="s">
        <v>53</v>
      </c>
      <c r="AH1978" s="1" t="s">
        <v>49</v>
      </c>
      <c r="AI1978" s="1" t="s">
        <v>54</v>
      </c>
      <c r="AJ1978" s="1">
        <v>1</v>
      </c>
      <c r="AK1978" s="1" t="str">
        <f t="shared" si="30"/>
        <v xml:space="preserve"> =&lt;90</v>
      </c>
      <c r="AL1978" s="1" t="str">
        <f>VLOOKUP(C:C,[1]基础信息!B$1:D$65536,3,0)</f>
        <v>Jug</v>
      </c>
      <c r="AM1978" s="1" t="str">
        <f>VLOOKUP(C:C,[1]基础信息!B$1:E$65536,4,0)</f>
        <v>Aluna</v>
      </c>
      <c r="AN1978" s="1" t="str">
        <f>VLOOKUP(C:C,[1]基础信息!B$1:F$65536,5,0)</f>
        <v>Blue</v>
      </c>
    </row>
    <row r="1979" spans="1:40">
      <c r="A1979" s="1" t="s">
        <v>41</v>
      </c>
      <c r="B1979" s="1" t="s">
        <v>42</v>
      </c>
      <c r="C1979" s="1" t="s">
        <v>301</v>
      </c>
      <c r="D1979" s="1" t="s">
        <v>302</v>
      </c>
      <c r="E1979" s="1" t="s">
        <v>45</v>
      </c>
      <c r="F1979" s="1" t="s">
        <v>4499</v>
      </c>
      <c r="G1979" s="1" t="s">
        <v>4581</v>
      </c>
      <c r="H1979" s="1" t="s">
        <v>4582</v>
      </c>
      <c r="I1979" s="1" t="s">
        <v>49</v>
      </c>
      <c r="J1979" s="1" t="s">
        <v>48</v>
      </c>
      <c r="K1979" s="1">
        <v>96</v>
      </c>
      <c r="L1979" s="1">
        <v>0</v>
      </c>
      <c r="M1979" s="1">
        <v>0</v>
      </c>
      <c r="N1979" s="1">
        <v>96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 t="s">
        <v>49</v>
      </c>
      <c r="AA1979" s="1" t="s">
        <v>49</v>
      </c>
      <c r="AB1979" s="1" t="s">
        <v>49</v>
      </c>
      <c r="AC1979" s="1" t="s">
        <v>2658</v>
      </c>
      <c r="AD1979" s="1" t="s">
        <v>2659</v>
      </c>
      <c r="AE1979" s="1" t="s">
        <v>2658</v>
      </c>
      <c r="AF1979" s="1" t="s">
        <v>4502</v>
      </c>
      <c r="AG1979" s="1" t="s">
        <v>53</v>
      </c>
      <c r="AH1979" s="1" t="s">
        <v>49</v>
      </c>
      <c r="AI1979" s="1" t="s">
        <v>54</v>
      </c>
      <c r="AJ1979" s="1">
        <v>1</v>
      </c>
      <c r="AK1979" s="1" t="str">
        <f t="shared" si="30"/>
        <v xml:space="preserve"> =&lt;90</v>
      </c>
      <c r="AL1979" s="1" t="str">
        <f>VLOOKUP(C:C,[1]基础信息!B$1:D$65536,3,0)</f>
        <v>Jug</v>
      </c>
      <c r="AM1979" s="1" t="str">
        <f>VLOOKUP(C:C,[1]基础信息!B$1:E$65536,4,0)</f>
        <v>Aluna</v>
      </c>
      <c r="AN1979" s="1" t="str">
        <f>VLOOKUP(C:C,[1]基础信息!B$1:F$65536,5,0)</f>
        <v>Blue</v>
      </c>
    </row>
    <row r="1980" spans="1:40">
      <c r="A1980" s="1" t="s">
        <v>41</v>
      </c>
      <c r="B1980" s="1" t="s">
        <v>42</v>
      </c>
      <c r="C1980" s="1" t="s">
        <v>301</v>
      </c>
      <c r="D1980" s="1" t="s">
        <v>302</v>
      </c>
      <c r="E1980" s="1" t="s">
        <v>45</v>
      </c>
      <c r="F1980" s="1" t="s">
        <v>4499</v>
      </c>
      <c r="G1980" s="1" t="s">
        <v>4583</v>
      </c>
      <c r="H1980" s="1" t="s">
        <v>4584</v>
      </c>
      <c r="I1980" s="1" t="s">
        <v>49</v>
      </c>
      <c r="J1980" s="1" t="s">
        <v>48</v>
      </c>
      <c r="K1980" s="1">
        <v>96</v>
      </c>
      <c r="L1980" s="1">
        <v>0</v>
      </c>
      <c r="M1980" s="1">
        <v>0</v>
      </c>
      <c r="N1980" s="1">
        <v>96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 t="s">
        <v>49</v>
      </c>
      <c r="AA1980" s="1" t="s">
        <v>49</v>
      </c>
      <c r="AB1980" s="1" t="s">
        <v>49</v>
      </c>
      <c r="AC1980" s="1" t="s">
        <v>2658</v>
      </c>
      <c r="AD1980" s="1" t="s">
        <v>2659</v>
      </c>
      <c r="AE1980" s="1" t="s">
        <v>2658</v>
      </c>
      <c r="AF1980" s="1" t="s">
        <v>4502</v>
      </c>
      <c r="AG1980" s="1" t="s">
        <v>53</v>
      </c>
      <c r="AH1980" s="1" t="s">
        <v>49</v>
      </c>
      <c r="AI1980" s="1" t="s">
        <v>54</v>
      </c>
      <c r="AJ1980" s="1">
        <v>1</v>
      </c>
      <c r="AK1980" s="1" t="str">
        <f t="shared" si="30"/>
        <v xml:space="preserve"> =&lt;90</v>
      </c>
      <c r="AL1980" s="1" t="str">
        <f>VLOOKUP(C:C,[1]基础信息!B$1:D$65536,3,0)</f>
        <v>Jug</v>
      </c>
      <c r="AM1980" s="1" t="str">
        <f>VLOOKUP(C:C,[1]基础信息!B$1:E$65536,4,0)</f>
        <v>Aluna</v>
      </c>
      <c r="AN1980" s="1" t="str">
        <f>VLOOKUP(C:C,[1]基础信息!B$1:F$65536,5,0)</f>
        <v>Blue</v>
      </c>
    </row>
    <row r="1981" spans="1:40">
      <c r="A1981" s="1" t="s">
        <v>41</v>
      </c>
      <c r="B1981" s="1" t="s">
        <v>42</v>
      </c>
      <c r="C1981" s="1" t="s">
        <v>1437</v>
      </c>
      <c r="D1981" s="1" t="s">
        <v>1438</v>
      </c>
      <c r="E1981" s="1" t="s">
        <v>45</v>
      </c>
      <c r="F1981" s="1" t="s">
        <v>4585</v>
      </c>
      <c r="G1981" s="1" t="s">
        <v>4586</v>
      </c>
      <c r="H1981" s="1" t="s">
        <v>45</v>
      </c>
      <c r="I1981" s="1" t="s">
        <v>45</v>
      </c>
      <c r="J1981" s="1" t="s">
        <v>48</v>
      </c>
      <c r="K1981" s="1">
        <v>306</v>
      </c>
      <c r="L1981" s="1">
        <v>0</v>
      </c>
      <c r="M1981" s="1">
        <v>0</v>
      </c>
      <c r="N1981" s="1">
        <v>306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 t="s">
        <v>49</v>
      </c>
      <c r="AA1981" s="1" t="s">
        <v>49</v>
      </c>
      <c r="AB1981" s="1" t="s">
        <v>49</v>
      </c>
      <c r="AC1981" s="1" t="s">
        <v>3502</v>
      </c>
      <c r="AD1981" s="1" t="s">
        <v>3503</v>
      </c>
      <c r="AE1981" s="1" t="s">
        <v>3502</v>
      </c>
      <c r="AF1981" s="1" t="s">
        <v>4366</v>
      </c>
      <c r="AG1981" s="1" t="s">
        <v>53</v>
      </c>
      <c r="AH1981" s="1" t="s">
        <v>49</v>
      </c>
      <c r="AI1981" s="1" t="s">
        <v>54</v>
      </c>
      <c r="AJ1981" s="1">
        <v>1</v>
      </c>
      <c r="AK1981" s="1" t="str">
        <f t="shared" si="30"/>
        <v xml:space="preserve"> =&lt;90</v>
      </c>
      <c r="AL1981" s="1" t="str">
        <f>VLOOKUP(C:C,[1]基础信息!B$1:D$65536,3,0)</f>
        <v>On tap</v>
      </c>
      <c r="AM1981" s="1" t="str">
        <f>VLOOKUP(C:C,[1]基础信息!B$1:E$65536,4,0)</f>
        <v>On tap</v>
      </c>
      <c r="AN1981" s="1" t="str">
        <f>VLOOKUP(C:C,[1]基础信息!B$1:F$65536,5,0)</f>
        <v>On tap</v>
      </c>
    </row>
    <row r="1982" spans="1:40">
      <c r="A1982" s="1" t="s">
        <v>41</v>
      </c>
      <c r="B1982" s="1" t="s">
        <v>42</v>
      </c>
      <c r="C1982" s="1" t="s">
        <v>301</v>
      </c>
      <c r="D1982" s="1" t="s">
        <v>302</v>
      </c>
      <c r="E1982" s="1" t="s">
        <v>45</v>
      </c>
      <c r="F1982" s="1" t="s">
        <v>4499</v>
      </c>
      <c r="G1982" s="1" t="s">
        <v>4587</v>
      </c>
      <c r="H1982" s="1" t="s">
        <v>4588</v>
      </c>
      <c r="I1982" s="1" t="s">
        <v>49</v>
      </c>
      <c r="J1982" s="1" t="s">
        <v>48</v>
      </c>
      <c r="K1982" s="1">
        <v>96</v>
      </c>
      <c r="L1982" s="1">
        <v>0</v>
      </c>
      <c r="M1982" s="1">
        <v>0</v>
      </c>
      <c r="N1982" s="1">
        <v>96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 t="s">
        <v>49</v>
      </c>
      <c r="AA1982" s="1" t="s">
        <v>49</v>
      </c>
      <c r="AB1982" s="1" t="s">
        <v>49</v>
      </c>
      <c r="AC1982" s="1" t="s">
        <v>2658</v>
      </c>
      <c r="AD1982" s="1" t="s">
        <v>2659</v>
      </c>
      <c r="AE1982" s="1" t="s">
        <v>2658</v>
      </c>
      <c r="AF1982" s="1" t="s">
        <v>4502</v>
      </c>
      <c r="AG1982" s="1" t="s">
        <v>53</v>
      </c>
      <c r="AH1982" s="1" t="s">
        <v>49</v>
      </c>
      <c r="AI1982" s="1" t="s">
        <v>54</v>
      </c>
      <c r="AJ1982" s="1">
        <v>1</v>
      </c>
      <c r="AK1982" s="1" t="str">
        <f t="shared" si="30"/>
        <v xml:space="preserve"> =&lt;90</v>
      </c>
      <c r="AL1982" s="1" t="str">
        <f>VLOOKUP(C:C,[1]基础信息!B$1:D$65536,3,0)</f>
        <v>Jug</v>
      </c>
      <c r="AM1982" s="1" t="str">
        <f>VLOOKUP(C:C,[1]基础信息!B$1:E$65536,4,0)</f>
        <v>Aluna</v>
      </c>
      <c r="AN1982" s="1" t="str">
        <f>VLOOKUP(C:C,[1]基础信息!B$1:F$65536,5,0)</f>
        <v>Blue</v>
      </c>
    </row>
    <row r="1983" spans="1:40">
      <c r="A1983" s="1" t="s">
        <v>41</v>
      </c>
      <c r="B1983" s="1" t="s">
        <v>42</v>
      </c>
      <c r="C1983" s="1" t="s">
        <v>301</v>
      </c>
      <c r="D1983" s="1" t="s">
        <v>302</v>
      </c>
      <c r="E1983" s="1" t="s">
        <v>45</v>
      </c>
      <c r="F1983" s="1" t="s">
        <v>4499</v>
      </c>
      <c r="G1983" s="1" t="s">
        <v>4589</v>
      </c>
      <c r="H1983" s="1" t="s">
        <v>4590</v>
      </c>
      <c r="I1983" s="1" t="s">
        <v>49</v>
      </c>
      <c r="J1983" s="1" t="s">
        <v>48</v>
      </c>
      <c r="K1983" s="1">
        <v>96</v>
      </c>
      <c r="L1983" s="1">
        <v>0</v>
      </c>
      <c r="M1983" s="1">
        <v>0</v>
      </c>
      <c r="N1983" s="1">
        <v>96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 t="s">
        <v>49</v>
      </c>
      <c r="AA1983" s="1" t="s">
        <v>49</v>
      </c>
      <c r="AB1983" s="1" t="s">
        <v>49</v>
      </c>
      <c r="AC1983" s="1" t="s">
        <v>2658</v>
      </c>
      <c r="AD1983" s="1" t="s">
        <v>2659</v>
      </c>
      <c r="AE1983" s="1" t="s">
        <v>2658</v>
      </c>
      <c r="AF1983" s="1" t="s">
        <v>4502</v>
      </c>
      <c r="AG1983" s="1" t="s">
        <v>53</v>
      </c>
      <c r="AH1983" s="1" t="s">
        <v>49</v>
      </c>
      <c r="AI1983" s="1" t="s">
        <v>54</v>
      </c>
      <c r="AJ1983" s="1">
        <v>1</v>
      </c>
      <c r="AK1983" s="1" t="str">
        <f t="shared" si="30"/>
        <v xml:space="preserve"> =&lt;90</v>
      </c>
      <c r="AL1983" s="1" t="str">
        <f>VLOOKUP(C:C,[1]基础信息!B$1:D$65536,3,0)</f>
        <v>Jug</v>
      </c>
      <c r="AM1983" s="1" t="str">
        <f>VLOOKUP(C:C,[1]基础信息!B$1:E$65536,4,0)</f>
        <v>Aluna</v>
      </c>
      <c r="AN1983" s="1" t="str">
        <f>VLOOKUP(C:C,[1]基础信息!B$1:F$65536,5,0)</f>
        <v>Blue</v>
      </c>
    </row>
    <row r="1984" spans="1:40">
      <c r="A1984" s="1" t="s">
        <v>41</v>
      </c>
      <c r="B1984" s="1" t="s">
        <v>42</v>
      </c>
      <c r="C1984" s="1" t="s">
        <v>1437</v>
      </c>
      <c r="D1984" s="1" t="s">
        <v>1438</v>
      </c>
      <c r="E1984" s="1" t="s">
        <v>45</v>
      </c>
      <c r="F1984" s="1" t="s">
        <v>3542</v>
      </c>
      <c r="G1984" s="1" t="s">
        <v>4591</v>
      </c>
      <c r="H1984" s="1" t="s">
        <v>45</v>
      </c>
      <c r="I1984" s="1" t="s">
        <v>45</v>
      </c>
      <c r="J1984" s="1" t="s">
        <v>48</v>
      </c>
      <c r="K1984" s="1">
        <v>462</v>
      </c>
      <c r="L1984" s="1">
        <v>0</v>
      </c>
      <c r="M1984" s="1">
        <v>0</v>
      </c>
      <c r="N1984" s="1">
        <v>462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 t="s">
        <v>49</v>
      </c>
      <c r="AA1984" s="1" t="s">
        <v>49</v>
      </c>
      <c r="AB1984" s="1" t="s">
        <v>49</v>
      </c>
      <c r="AC1984" s="1" t="s">
        <v>3502</v>
      </c>
      <c r="AD1984" s="1" t="s">
        <v>3503</v>
      </c>
      <c r="AE1984" s="1" t="s">
        <v>3502</v>
      </c>
      <c r="AF1984" s="1" t="s">
        <v>3544</v>
      </c>
      <c r="AG1984" s="1" t="s">
        <v>53</v>
      </c>
      <c r="AH1984" s="1" t="s">
        <v>49</v>
      </c>
      <c r="AI1984" s="1" t="s">
        <v>54</v>
      </c>
      <c r="AJ1984" s="1">
        <v>1</v>
      </c>
      <c r="AK1984" s="1" t="str">
        <f t="shared" si="30"/>
        <v xml:space="preserve"> =&lt;90</v>
      </c>
      <c r="AL1984" s="1" t="str">
        <f>VLOOKUP(C:C,[1]基础信息!B$1:D$65536,3,0)</f>
        <v>On tap</v>
      </c>
      <c r="AM1984" s="1" t="str">
        <f>VLOOKUP(C:C,[1]基础信息!B$1:E$65536,4,0)</f>
        <v>On tap</v>
      </c>
      <c r="AN1984" s="1" t="str">
        <f>VLOOKUP(C:C,[1]基础信息!B$1:F$65536,5,0)</f>
        <v>On tap</v>
      </c>
    </row>
    <row r="1985" spans="1:40">
      <c r="A1985" s="1" t="s">
        <v>41</v>
      </c>
      <c r="B1985" s="1" t="s">
        <v>42</v>
      </c>
      <c r="C1985" s="1" t="s">
        <v>301</v>
      </c>
      <c r="D1985" s="1" t="s">
        <v>302</v>
      </c>
      <c r="E1985" s="1" t="s">
        <v>45</v>
      </c>
      <c r="F1985" s="1" t="s">
        <v>4499</v>
      </c>
      <c r="G1985" s="1" t="s">
        <v>4592</v>
      </c>
      <c r="H1985" s="1" t="s">
        <v>4593</v>
      </c>
      <c r="I1985" s="1" t="s">
        <v>49</v>
      </c>
      <c r="J1985" s="1" t="s">
        <v>48</v>
      </c>
      <c r="K1985" s="1">
        <v>96</v>
      </c>
      <c r="L1985" s="1">
        <v>0</v>
      </c>
      <c r="M1985" s="1">
        <v>0</v>
      </c>
      <c r="N1985" s="1">
        <v>96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 t="s">
        <v>49</v>
      </c>
      <c r="AA1985" s="1" t="s">
        <v>49</v>
      </c>
      <c r="AB1985" s="1" t="s">
        <v>49</v>
      </c>
      <c r="AC1985" s="1" t="s">
        <v>2658</v>
      </c>
      <c r="AD1985" s="1" t="s">
        <v>2659</v>
      </c>
      <c r="AE1985" s="1" t="s">
        <v>2658</v>
      </c>
      <c r="AF1985" s="1" t="s">
        <v>4502</v>
      </c>
      <c r="AG1985" s="1" t="s">
        <v>53</v>
      </c>
      <c r="AH1985" s="1" t="s">
        <v>49</v>
      </c>
      <c r="AI1985" s="1" t="s">
        <v>54</v>
      </c>
      <c r="AJ1985" s="1">
        <v>1</v>
      </c>
      <c r="AK1985" s="1" t="str">
        <f t="shared" si="30"/>
        <v xml:space="preserve"> =&lt;90</v>
      </c>
      <c r="AL1985" s="1" t="str">
        <f>VLOOKUP(C:C,[1]基础信息!B$1:D$65536,3,0)</f>
        <v>Jug</v>
      </c>
      <c r="AM1985" s="1" t="str">
        <f>VLOOKUP(C:C,[1]基础信息!B$1:E$65536,4,0)</f>
        <v>Aluna</v>
      </c>
      <c r="AN1985" s="1" t="str">
        <f>VLOOKUP(C:C,[1]基础信息!B$1:F$65536,5,0)</f>
        <v>Blue</v>
      </c>
    </row>
    <row r="1986" spans="1:40">
      <c r="A1986" s="1" t="s">
        <v>41</v>
      </c>
      <c r="B1986" s="1" t="s">
        <v>42</v>
      </c>
      <c r="C1986" s="1" t="s">
        <v>285</v>
      </c>
      <c r="D1986" s="1" t="s">
        <v>286</v>
      </c>
      <c r="E1986" s="1" t="s">
        <v>45</v>
      </c>
      <c r="F1986" s="1" t="s">
        <v>4172</v>
      </c>
      <c r="G1986" s="1" t="s">
        <v>4594</v>
      </c>
      <c r="H1986" s="1" t="s">
        <v>45</v>
      </c>
      <c r="I1986" s="1" t="s">
        <v>45</v>
      </c>
      <c r="J1986" s="1" t="s">
        <v>48</v>
      </c>
      <c r="K1986" s="1">
        <v>70</v>
      </c>
      <c r="L1986" s="1">
        <v>0</v>
      </c>
      <c r="M1986" s="1">
        <v>0</v>
      </c>
      <c r="N1986" s="1">
        <v>70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 t="s">
        <v>49</v>
      </c>
      <c r="AA1986" s="1" t="s">
        <v>49</v>
      </c>
      <c r="AB1986" s="1" t="s">
        <v>49</v>
      </c>
      <c r="AC1986" s="1" t="s">
        <v>1008</v>
      </c>
      <c r="AD1986" s="1" t="s">
        <v>1009</v>
      </c>
      <c r="AE1986" s="1" t="s">
        <v>1008</v>
      </c>
      <c r="AF1986" s="1" t="s">
        <v>1553</v>
      </c>
      <c r="AG1986" s="1" t="s">
        <v>53</v>
      </c>
      <c r="AH1986" s="1" t="s">
        <v>49</v>
      </c>
      <c r="AI1986" s="1" t="s">
        <v>54</v>
      </c>
      <c r="AJ1986" s="1">
        <v>1</v>
      </c>
      <c r="AK1986" s="1" t="str">
        <f t="shared" ref="AK1986:AK2049" si="31">IF(AJ1986&gt;$AP$2,$AQ$2,IF(AJ1986&gt;$AP$3,$AQ$3,IF(AJ1986&gt;$AP$4,$AQ$4,$AQ$5)))</f>
        <v xml:space="preserve"> =&lt;90</v>
      </c>
      <c r="AL1986" s="1" t="str">
        <f>VLOOKUP(C:C,[1]基础信息!B$1:D$65536,3,0)</f>
        <v>Jug</v>
      </c>
      <c r="AM1986" s="1" t="str">
        <f>VLOOKUP(C:C,[1]基础信息!B$1:E$65536,4,0)</f>
        <v>Marella XL</v>
      </c>
      <c r="AN1986" s="1" t="str">
        <f>VLOOKUP(C:C,[1]基础信息!B$1:F$65536,5,0)</f>
        <v>Blue</v>
      </c>
    </row>
    <row r="1987" spans="1:40">
      <c r="A1987" s="1" t="s">
        <v>41</v>
      </c>
      <c r="B1987" s="1" t="s">
        <v>42</v>
      </c>
      <c r="C1987" s="1" t="s">
        <v>301</v>
      </c>
      <c r="D1987" s="1" t="s">
        <v>302</v>
      </c>
      <c r="E1987" s="1" t="s">
        <v>45</v>
      </c>
      <c r="F1987" s="1" t="s">
        <v>4499</v>
      </c>
      <c r="G1987" s="1" t="s">
        <v>4595</v>
      </c>
      <c r="H1987" s="1" t="s">
        <v>4596</v>
      </c>
      <c r="I1987" s="1" t="s">
        <v>49</v>
      </c>
      <c r="J1987" s="1" t="s">
        <v>48</v>
      </c>
      <c r="K1987" s="1">
        <v>96</v>
      </c>
      <c r="L1987" s="1">
        <v>0</v>
      </c>
      <c r="M1987" s="1">
        <v>0</v>
      </c>
      <c r="N1987" s="1">
        <v>96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 t="s">
        <v>49</v>
      </c>
      <c r="AA1987" s="1" t="s">
        <v>49</v>
      </c>
      <c r="AB1987" s="1" t="s">
        <v>49</v>
      </c>
      <c r="AC1987" s="1" t="s">
        <v>2658</v>
      </c>
      <c r="AD1987" s="1" t="s">
        <v>2659</v>
      </c>
      <c r="AE1987" s="1" t="s">
        <v>2658</v>
      </c>
      <c r="AF1987" s="1" t="s">
        <v>4502</v>
      </c>
      <c r="AG1987" s="1" t="s">
        <v>53</v>
      </c>
      <c r="AH1987" s="1" t="s">
        <v>49</v>
      </c>
      <c r="AI1987" s="1" t="s">
        <v>54</v>
      </c>
      <c r="AJ1987" s="1">
        <v>1</v>
      </c>
      <c r="AK1987" s="1" t="str">
        <f t="shared" si="31"/>
        <v xml:space="preserve"> =&lt;90</v>
      </c>
      <c r="AL1987" s="1" t="str">
        <f>VLOOKUP(C:C,[1]基础信息!B$1:D$65536,3,0)</f>
        <v>Jug</v>
      </c>
      <c r="AM1987" s="1" t="str">
        <f>VLOOKUP(C:C,[1]基础信息!B$1:E$65536,4,0)</f>
        <v>Aluna</v>
      </c>
      <c r="AN1987" s="1" t="str">
        <f>VLOOKUP(C:C,[1]基础信息!B$1:F$65536,5,0)</f>
        <v>Blue</v>
      </c>
    </row>
    <row r="1988" spans="1:40">
      <c r="A1988" s="1" t="s">
        <v>41</v>
      </c>
      <c r="B1988" s="1" t="s">
        <v>42</v>
      </c>
      <c r="C1988" s="1" t="s">
        <v>4597</v>
      </c>
      <c r="D1988" s="1" t="s">
        <v>4598</v>
      </c>
      <c r="E1988" s="1" t="s">
        <v>45</v>
      </c>
      <c r="F1988" s="1" t="s">
        <v>4599</v>
      </c>
      <c r="G1988" s="1" t="s">
        <v>4600</v>
      </c>
      <c r="H1988" s="1" t="s">
        <v>4601</v>
      </c>
      <c r="I1988" s="1" t="s">
        <v>49</v>
      </c>
      <c r="J1988" s="1" t="s">
        <v>48</v>
      </c>
      <c r="K1988" s="1">
        <v>16</v>
      </c>
      <c r="L1988" s="1">
        <v>0</v>
      </c>
      <c r="M1988" s="1">
        <v>0</v>
      </c>
      <c r="N1988" s="1">
        <v>16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 t="s">
        <v>49</v>
      </c>
      <c r="AA1988" s="1" t="s">
        <v>49</v>
      </c>
      <c r="AB1988" s="1" t="s">
        <v>49</v>
      </c>
      <c r="AC1988" s="1" t="s">
        <v>4602</v>
      </c>
      <c r="AD1988" s="1" t="s">
        <v>4603</v>
      </c>
      <c r="AE1988" s="1" t="s">
        <v>4602</v>
      </c>
      <c r="AF1988" s="1" t="s">
        <v>4604</v>
      </c>
      <c r="AG1988" s="1" t="s">
        <v>53</v>
      </c>
      <c r="AH1988" s="1" t="s">
        <v>49</v>
      </c>
      <c r="AI1988" s="1" t="s">
        <v>54</v>
      </c>
      <c r="AJ1988" s="1">
        <v>1</v>
      </c>
      <c r="AK1988" s="1" t="str">
        <f t="shared" si="31"/>
        <v xml:space="preserve"> =&lt;90</v>
      </c>
      <c r="AL1988" s="1" t="e">
        <f>VLOOKUP(C:C,[1]基础信息!B$1:D$65536,3,0)</f>
        <v>#N/A</v>
      </c>
      <c r="AM1988" s="1" t="e">
        <f>VLOOKUP(C:C,[1]基础信息!B$1:E$65536,4,0)</f>
        <v>#N/A</v>
      </c>
      <c r="AN1988" s="1" t="e">
        <f>VLOOKUP(C:C,[1]基础信息!B$1:F$65536,5,0)</f>
        <v>#N/A</v>
      </c>
    </row>
    <row r="1989" spans="1:40">
      <c r="A1989" s="1" t="s">
        <v>41</v>
      </c>
      <c r="B1989" s="1" t="s">
        <v>42</v>
      </c>
      <c r="C1989" s="1" t="s">
        <v>4605</v>
      </c>
      <c r="D1989" s="1" t="s">
        <v>4606</v>
      </c>
      <c r="E1989" s="1" t="s">
        <v>45</v>
      </c>
      <c r="F1989" s="1" t="s">
        <v>4607</v>
      </c>
      <c r="G1989" s="1" t="s">
        <v>4608</v>
      </c>
      <c r="H1989" s="1" t="s">
        <v>4609</v>
      </c>
      <c r="I1989" s="1" t="s">
        <v>49</v>
      </c>
      <c r="J1989" s="1" t="s">
        <v>48</v>
      </c>
      <c r="K1989" s="1">
        <v>50</v>
      </c>
      <c r="L1989" s="1">
        <v>0</v>
      </c>
      <c r="M1989" s="1">
        <v>0</v>
      </c>
      <c r="N1989" s="1">
        <v>50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 t="s">
        <v>49</v>
      </c>
      <c r="AA1989" s="1" t="s">
        <v>49</v>
      </c>
      <c r="AB1989" s="1" t="s">
        <v>49</v>
      </c>
      <c r="AC1989" s="1" t="s">
        <v>4610</v>
      </c>
      <c r="AD1989" s="1" t="s">
        <v>4611</v>
      </c>
      <c r="AE1989" s="1" t="s">
        <v>4610</v>
      </c>
      <c r="AF1989" s="1" t="s">
        <v>4612</v>
      </c>
      <c r="AG1989" s="1" t="s">
        <v>227</v>
      </c>
      <c r="AH1989" s="1" t="s">
        <v>49</v>
      </c>
      <c r="AI1989" s="1" t="s">
        <v>54</v>
      </c>
      <c r="AJ1989" s="1">
        <v>1</v>
      </c>
      <c r="AK1989" s="1" t="str">
        <f t="shared" si="31"/>
        <v xml:space="preserve"> =&lt;90</v>
      </c>
      <c r="AL1989" s="1" t="str">
        <f>VLOOKUP(C:C,[1]基础信息!B$1:D$65536,3,0)</f>
        <v>Spare Parts</v>
      </c>
      <c r="AM1989" s="1" t="str">
        <f>VLOOKUP(C:C,[1]基础信息!B$1:E$65536,4,0)</f>
        <v>Spare Parts</v>
      </c>
      <c r="AN1989" s="1" t="str">
        <f>VLOOKUP(C:C,[1]基础信息!B$1:F$65536,5,0)</f>
        <v>Spare Parts</v>
      </c>
    </row>
    <row r="1990" spans="1:40">
      <c r="A1990" s="1" t="s">
        <v>41</v>
      </c>
      <c r="B1990" s="1" t="s">
        <v>42</v>
      </c>
      <c r="C1990" s="1" t="s">
        <v>4613</v>
      </c>
      <c r="D1990" s="1" t="s">
        <v>4614</v>
      </c>
      <c r="E1990" s="1" t="s">
        <v>45</v>
      </c>
      <c r="F1990" s="1" t="s">
        <v>4615</v>
      </c>
      <c r="G1990" s="1" t="s">
        <v>4616</v>
      </c>
      <c r="H1990" s="1" t="s">
        <v>4617</v>
      </c>
      <c r="I1990" s="1" t="s">
        <v>49</v>
      </c>
      <c r="J1990" s="1" t="s">
        <v>48</v>
      </c>
      <c r="K1990" s="1">
        <v>40</v>
      </c>
      <c r="L1990" s="1">
        <v>0</v>
      </c>
      <c r="M1990" s="1">
        <v>0</v>
      </c>
      <c r="N1990" s="1">
        <v>40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 t="s">
        <v>49</v>
      </c>
      <c r="AA1990" s="1" t="s">
        <v>49</v>
      </c>
      <c r="AB1990" s="1" t="s">
        <v>49</v>
      </c>
      <c r="AC1990" s="1" t="s">
        <v>2000</v>
      </c>
      <c r="AD1990" s="1" t="s">
        <v>2001</v>
      </c>
      <c r="AE1990" s="1" t="s">
        <v>2000</v>
      </c>
      <c r="AF1990" s="1" t="s">
        <v>4618</v>
      </c>
      <c r="AG1990" s="1" t="s">
        <v>53</v>
      </c>
      <c r="AH1990" s="1" t="s">
        <v>49</v>
      </c>
      <c r="AI1990" s="1" t="s">
        <v>54</v>
      </c>
      <c r="AJ1990" s="1">
        <v>1</v>
      </c>
      <c r="AK1990" s="1" t="str">
        <f t="shared" si="31"/>
        <v xml:space="preserve"> =&lt;90</v>
      </c>
      <c r="AL1990" s="1" t="str">
        <f>VLOOKUP(C:C,[1]基础信息!B$1:D$65536,3,0)</f>
        <v>Jug</v>
      </c>
      <c r="AM1990" s="1" t="str">
        <f>VLOOKUP(C:C,[1]基础信息!B$1:E$65536,4,0)</f>
        <v>Style</v>
      </c>
      <c r="AN1990" s="1" t="str">
        <f>VLOOKUP(C:C,[1]基础信息!B$1:F$65536,5,0)</f>
        <v>Blue</v>
      </c>
    </row>
    <row r="1991" spans="1:40">
      <c r="A1991" s="1" t="s">
        <v>41</v>
      </c>
      <c r="B1991" s="1" t="s">
        <v>42</v>
      </c>
      <c r="C1991" s="1" t="s">
        <v>301</v>
      </c>
      <c r="D1991" s="1" t="s">
        <v>302</v>
      </c>
      <c r="E1991" s="1" t="s">
        <v>45</v>
      </c>
      <c r="F1991" s="1" t="s">
        <v>4499</v>
      </c>
      <c r="G1991" s="1" t="s">
        <v>4619</v>
      </c>
      <c r="H1991" s="1" t="s">
        <v>4620</v>
      </c>
      <c r="I1991" s="1" t="s">
        <v>49</v>
      </c>
      <c r="J1991" s="1" t="s">
        <v>48</v>
      </c>
      <c r="K1991" s="1">
        <v>96</v>
      </c>
      <c r="L1991" s="1">
        <v>0</v>
      </c>
      <c r="M1991" s="1">
        <v>0</v>
      </c>
      <c r="N1991" s="1">
        <v>96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 t="s">
        <v>49</v>
      </c>
      <c r="AA1991" s="1" t="s">
        <v>49</v>
      </c>
      <c r="AB1991" s="1" t="s">
        <v>49</v>
      </c>
      <c r="AC1991" s="1" t="s">
        <v>2658</v>
      </c>
      <c r="AD1991" s="1" t="s">
        <v>2659</v>
      </c>
      <c r="AE1991" s="1" t="s">
        <v>2658</v>
      </c>
      <c r="AF1991" s="1" t="s">
        <v>4502</v>
      </c>
      <c r="AG1991" s="1" t="s">
        <v>53</v>
      </c>
      <c r="AH1991" s="1" t="s">
        <v>49</v>
      </c>
      <c r="AI1991" s="1" t="s">
        <v>54</v>
      </c>
      <c r="AJ1991" s="1">
        <v>1</v>
      </c>
      <c r="AK1991" s="1" t="str">
        <f t="shared" si="31"/>
        <v xml:space="preserve"> =&lt;90</v>
      </c>
      <c r="AL1991" s="1" t="str">
        <f>VLOOKUP(C:C,[1]基础信息!B$1:D$65536,3,0)</f>
        <v>Jug</v>
      </c>
      <c r="AM1991" s="1" t="str">
        <f>VLOOKUP(C:C,[1]基础信息!B$1:E$65536,4,0)</f>
        <v>Aluna</v>
      </c>
      <c r="AN1991" s="1" t="str">
        <f>VLOOKUP(C:C,[1]基础信息!B$1:F$65536,5,0)</f>
        <v>Blue</v>
      </c>
    </row>
    <row r="1992" spans="1:40">
      <c r="A1992" s="1" t="s">
        <v>41</v>
      </c>
      <c r="B1992" s="1" t="s">
        <v>42</v>
      </c>
      <c r="C1992" s="1" t="s">
        <v>301</v>
      </c>
      <c r="D1992" s="1" t="s">
        <v>302</v>
      </c>
      <c r="E1992" s="1" t="s">
        <v>45</v>
      </c>
      <c r="F1992" s="1" t="s">
        <v>4499</v>
      </c>
      <c r="G1992" s="1" t="s">
        <v>4621</v>
      </c>
      <c r="H1992" s="1" t="s">
        <v>4622</v>
      </c>
      <c r="I1992" s="1" t="s">
        <v>49</v>
      </c>
      <c r="J1992" s="1" t="s">
        <v>48</v>
      </c>
      <c r="K1992" s="1">
        <v>96</v>
      </c>
      <c r="L1992" s="1">
        <v>0</v>
      </c>
      <c r="M1992" s="1">
        <v>0</v>
      </c>
      <c r="N1992" s="1">
        <v>96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 t="s">
        <v>49</v>
      </c>
      <c r="AA1992" s="1" t="s">
        <v>49</v>
      </c>
      <c r="AB1992" s="1" t="s">
        <v>49</v>
      </c>
      <c r="AC1992" s="1" t="s">
        <v>2658</v>
      </c>
      <c r="AD1992" s="1" t="s">
        <v>2659</v>
      </c>
      <c r="AE1992" s="1" t="s">
        <v>2658</v>
      </c>
      <c r="AF1992" s="1" t="s">
        <v>4502</v>
      </c>
      <c r="AG1992" s="1" t="s">
        <v>53</v>
      </c>
      <c r="AH1992" s="1" t="s">
        <v>49</v>
      </c>
      <c r="AI1992" s="1" t="s">
        <v>54</v>
      </c>
      <c r="AJ1992" s="1">
        <v>1</v>
      </c>
      <c r="AK1992" s="1" t="str">
        <f t="shared" si="31"/>
        <v xml:space="preserve"> =&lt;90</v>
      </c>
      <c r="AL1992" s="1" t="str">
        <f>VLOOKUP(C:C,[1]基础信息!B$1:D$65536,3,0)</f>
        <v>Jug</v>
      </c>
      <c r="AM1992" s="1" t="str">
        <f>VLOOKUP(C:C,[1]基础信息!B$1:E$65536,4,0)</f>
        <v>Aluna</v>
      </c>
      <c r="AN1992" s="1" t="str">
        <f>VLOOKUP(C:C,[1]基础信息!B$1:F$65536,5,0)</f>
        <v>Blue</v>
      </c>
    </row>
    <row r="1993" spans="1:40">
      <c r="A1993" s="1" t="s">
        <v>41</v>
      </c>
      <c r="B1993" s="1" t="s">
        <v>42</v>
      </c>
      <c r="C1993" s="1" t="s">
        <v>301</v>
      </c>
      <c r="D1993" s="1" t="s">
        <v>302</v>
      </c>
      <c r="E1993" s="1" t="s">
        <v>45</v>
      </c>
      <c r="F1993" s="1" t="s">
        <v>4499</v>
      </c>
      <c r="G1993" s="1" t="s">
        <v>4623</v>
      </c>
      <c r="H1993" s="1" t="s">
        <v>4624</v>
      </c>
      <c r="I1993" s="1" t="s">
        <v>49</v>
      </c>
      <c r="J1993" s="1" t="s">
        <v>48</v>
      </c>
      <c r="K1993" s="1">
        <v>24</v>
      </c>
      <c r="L1993" s="1">
        <v>0</v>
      </c>
      <c r="M1993" s="1">
        <v>0</v>
      </c>
      <c r="N1993" s="1">
        <v>24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 t="s">
        <v>49</v>
      </c>
      <c r="AA1993" s="1" t="s">
        <v>49</v>
      </c>
      <c r="AB1993" s="1" t="s">
        <v>49</v>
      </c>
      <c r="AC1993" s="1" t="s">
        <v>2658</v>
      </c>
      <c r="AD1993" s="1" t="s">
        <v>2659</v>
      </c>
      <c r="AE1993" s="1" t="s">
        <v>2658</v>
      </c>
      <c r="AF1993" s="1" t="s">
        <v>4502</v>
      </c>
      <c r="AG1993" s="1" t="s">
        <v>53</v>
      </c>
      <c r="AH1993" s="1" t="s">
        <v>49</v>
      </c>
      <c r="AI1993" s="1" t="s">
        <v>54</v>
      </c>
      <c r="AJ1993" s="1">
        <v>1</v>
      </c>
      <c r="AK1993" s="1" t="str">
        <f t="shared" si="31"/>
        <v xml:space="preserve"> =&lt;90</v>
      </c>
      <c r="AL1993" s="1" t="str">
        <f>VLOOKUP(C:C,[1]基础信息!B$1:D$65536,3,0)</f>
        <v>Jug</v>
      </c>
      <c r="AM1993" s="1" t="str">
        <f>VLOOKUP(C:C,[1]基础信息!B$1:E$65536,4,0)</f>
        <v>Aluna</v>
      </c>
      <c r="AN1993" s="1" t="str">
        <f>VLOOKUP(C:C,[1]基础信息!B$1:F$65536,5,0)</f>
        <v>Blue</v>
      </c>
    </row>
    <row r="1994" spans="1:40">
      <c r="A1994" s="1" t="s">
        <v>41</v>
      </c>
      <c r="B1994" s="1" t="s">
        <v>42</v>
      </c>
      <c r="C1994" s="1" t="s">
        <v>1437</v>
      </c>
      <c r="D1994" s="1" t="s">
        <v>1438</v>
      </c>
      <c r="E1994" s="1" t="s">
        <v>45</v>
      </c>
      <c r="F1994" s="1" t="s">
        <v>4625</v>
      </c>
      <c r="G1994" s="1" t="s">
        <v>4626</v>
      </c>
      <c r="H1994" s="1" t="s">
        <v>45</v>
      </c>
      <c r="I1994" s="1" t="s">
        <v>45</v>
      </c>
      <c r="J1994" s="1" t="s">
        <v>48</v>
      </c>
      <c r="K1994" s="1">
        <v>51</v>
      </c>
      <c r="L1994" s="1">
        <v>0</v>
      </c>
      <c r="M1994" s="1">
        <v>0</v>
      </c>
      <c r="N1994" s="1">
        <v>51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 t="s">
        <v>49</v>
      </c>
      <c r="AA1994" s="1" t="s">
        <v>49</v>
      </c>
      <c r="AB1994" s="1" t="s">
        <v>49</v>
      </c>
      <c r="AC1994" s="1" t="s">
        <v>1991</v>
      </c>
      <c r="AD1994" s="1" t="s">
        <v>1992</v>
      </c>
      <c r="AE1994" s="1" t="s">
        <v>4627</v>
      </c>
      <c r="AF1994" s="1" t="s">
        <v>4628</v>
      </c>
      <c r="AG1994" s="1" t="s">
        <v>53</v>
      </c>
      <c r="AH1994" s="1" t="s">
        <v>49</v>
      </c>
      <c r="AI1994" s="1" t="s">
        <v>54</v>
      </c>
      <c r="AJ1994" s="1">
        <v>1</v>
      </c>
      <c r="AK1994" s="1" t="str">
        <f t="shared" si="31"/>
        <v xml:space="preserve"> =&lt;90</v>
      </c>
      <c r="AL1994" s="1" t="str">
        <f>VLOOKUP(C:C,[1]基础信息!B$1:D$65536,3,0)</f>
        <v>On tap</v>
      </c>
      <c r="AM1994" s="1" t="str">
        <f>VLOOKUP(C:C,[1]基础信息!B$1:E$65536,4,0)</f>
        <v>On tap</v>
      </c>
      <c r="AN1994" s="1" t="str">
        <f>VLOOKUP(C:C,[1]基础信息!B$1:F$65536,5,0)</f>
        <v>On tap</v>
      </c>
    </row>
    <row r="1995" spans="1:40">
      <c r="A1995" s="1" t="s">
        <v>41</v>
      </c>
      <c r="B1995" s="1" t="s">
        <v>42</v>
      </c>
      <c r="C1995" s="1" t="s">
        <v>4613</v>
      </c>
      <c r="D1995" s="1" t="s">
        <v>4614</v>
      </c>
      <c r="E1995" s="1" t="s">
        <v>45</v>
      </c>
      <c r="F1995" s="1" t="s">
        <v>4615</v>
      </c>
      <c r="G1995" s="1" t="s">
        <v>4629</v>
      </c>
      <c r="H1995" s="1" t="s">
        <v>4630</v>
      </c>
      <c r="I1995" s="1" t="s">
        <v>49</v>
      </c>
      <c r="J1995" s="1" t="s">
        <v>48</v>
      </c>
      <c r="K1995" s="1">
        <v>40</v>
      </c>
      <c r="L1995" s="1">
        <v>0</v>
      </c>
      <c r="M1995" s="1">
        <v>0</v>
      </c>
      <c r="N1995" s="1">
        <v>40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 t="s">
        <v>49</v>
      </c>
      <c r="AA1995" s="1" t="s">
        <v>49</v>
      </c>
      <c r="AB1995" s="1" t="s">
        <v>49</v>
      </c>
      <c r="AC1995" s="1" t="s">
        <v>2000</v>
      </c>
      <c r="AD1995" s="1" t="s">
        <v>2001</v>
      </c>
      <c r="AE1995" s="1" t="s">
        <v>2000</v>
      </c>
      <c r="AF1995" s="1" t="s">
        <v>4618</v>
      </c>
      <c r="AG1995" s="1" t="s">
        <v>53</v>
      </c>
      <c r="AH1995" s="1" t="s">
        <v>49</v>
      </c>
      <c r="AI1995" s="1" t="s">
        <v>54</v>
      </c>
      <c r="AJ1995" s="1">
        <v>1</v>
      </c>
      <c r="AK1995" s="1" t="str">
        <f t="shared" si="31"/>
        <v xml:space="preserve"> =&lt;90</v>
      </c>
      <c r="AL1995" s="1" t="str">
        <f>VLOOKUP(C:C,[1]基础信息!B$1:D$65536,3,0)</f>
        <v>Jug</v>
      </c>
      <c r="AM1995" s="1" t="str">
        <f>VLOOKUP(C:C,[1]基础信息!B$1:E$65536,4,0)</f>
        <v>Style</v>
      </c>
      <c r="AN1995" s="1" t="str">
        <f>VLOOKUP(C:C,[1]基础信息!B$1:F$65536,5,0)</f>
        <v>Blue</v>
      </c>
    </row>
    <row r="1996" spans="1:40">
      <c r="A1996" s="1" t="s">
        <v>41</v>
      </c>
      <c r="B1996" s="1" t="s">
        <v>42</v>
      </c>
      <c r="C1996" s="1" t="s">
        <v>2166</v>
      </c>
      <c r="D1996" s="1" t="s">
        <v>2167</v>
      </c>
      <c r="E1996" s="1" t="s">
        <v>45</v>
      </c>
      <c r="F1996" s="1" t="s">
        <v>4631</v>
      </c>
      <c r="G1996" s="1" t="s">
        <v>4632</v>
      </c>
      <c r="H1996" s="1" t="s">
        <v>4633</v>
      </c>
      <c r="I1996" s="1" t="s">
        <v>49</v>
      </c>
      <c r="J1996" s="1" t="s">
        <v>48</v>
      </c>
      <c r="K1996" s="1">
        <v>16</v>
      </c>
      <c r="L1996" s="1">
        <v>0</v>
      </c>
      <c r="M1996" s="1">
        <v>0</v>
      </c>
      <c r="N1996" s="1">
        <v>16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 t="s">
        <v>49</v>
      </c>
      <c r="AA1996" s="1" t="s">
        <v>49</v>
      </c>
      <c r="AB1996" s="1" t="s">
        <v>49</v>
      </c>
      <c r="AC1996" s="1" t="s">
        <v>3217</v>
      </c>
      <c r="AD1996" s="1" t="s">
        <v>3218</v>
      </c>
      <c r="AE1996" s="1" t="s">
        <v>3217</v>
      </c>
      <c r="AF1996" s="1" t="s">
        <v>4469</v>
      </c>
      <c r="AG1996" s="1" t="s">
        <v>53</v>
      </c>
      <c r="AH1996" s="1" t="s">
        <v>49</v>
      </c>
      <c r="AI1996" s="1" t="s">
        <v>54</v>
      </c>
      <c r="AJ1996" s="1">
        <v>1</v>
      </c>
      <c r="AK1996" s="1" t="str">
        <f t="shared" si="31"/>
        <v xml:space="preserve"> =&lt;90</v>
      </c>
      <c r="AL1996" s="1" t="str">
        <f>VLOOKUP(C:C,[1]基础信息!B$1:D$65536,3,0)</f>
        <v>UTS</v>
      </c>
      <c r="AM1996" s="1" t="str">
        <f>VLOOKUP(C:C,[1]基础信息!B$1:E$65536,4,0)</f>
        <v>RO</v>
      </c>
      <c r="AN1996" s="1" t="str">
        <f>VLOOKUP(C:C,[1]基础信息!B$1:F$65536,5,0)</f>
        <v>Starry Grey Color</v>
      </c>
    </row>
    <row r="1997" spans="1:40">
      <c r="A1997" s="1" t="s">
        <v>41</v>
      </c>
      <c r="B1997" s="1" t="s">
        <v>42</v>
      </c>
      <c r="C1997" s="1" t="s">
        <v>285</v>
      </c>
      <c r="D1997" s="1" t="s">
        <v>286</v>
      </c>
      <c r="E1997" s="1" t="s">
        <v>45</v>
      </c>
      <c r="F1997" s="1" t="s">
        <v>2547</v>
      </c>
      <c r="G1997" s="1" t="s">
        <v>4634</v>
      </c>
      <c r="H1997" s="1" t="s">
        <v>4635</v>
      </c>
      <c r="I1997" s="1" t="s">
        <v>49</v>
      </c>
      <c r="J1997" s="1" t="s">
        <v>48</v>
      </c>
      <c r="K1997" s="1">
        <v>70</v>
      </c>
      <c r="L1997" s="1">
        <v>0</v>
      </c>
      <c r="M1997" s="1">
        <v>0</v>
      </c>
      <c r="N1997" s="1">
        <v>70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 t="s">
        <v>49</v>
      </c>
      <c r="AA1997" s="1" t="s">
        <v>49</v>
      </c>
      <c r="AB1997" s="1" t="s">
        <v>49</v>
      </c>
      <c r="AC1997" s="1" t="s">
        <v>1551</v>
      </c>
      <c r="AD1997" s="1" t="s">
        <v>1552</v>
      </c>
      <c r="AE1997" s="1" t="s">
        <v>1551</v>
      </c>
      <c r="AF1997" s="1" t="s">
        <v>2550</v>
      </c>
      <c r="AG1997" s="1" t="s">
        <v>53</v>
      </c>
      <c r="AH1997" s="1" t="s">
        <v>49</v>
      </c>
      <c r="AI1997" s="1" t="s">
        <v>54</v>
      </c>
      <c r="AJ1997" s="1">
        <v>1</v>
      </c>
      <c r="AK1997" s="1" t="str">
        <f t="shared" si="31"/>
        <v xml:space="preserve"> =&lt;90</v>
      </c>
      <c r="AL1997" s="1" t="str">
        <f>VLOOKUP(C:C,[1]基础信息!B$1:D$65536,3,0)</f>
        <v>Jug</v>
      </c>
      <c r="AM1997" s="1" t="str">
        <f>VLOOKUP(C:C,[1]基础信息!B$1:E$65536,4,0)</f>
        <v>Marella XL</v>
      </c>
      <c r="AN1997" s="1" t="str">
        <f>VLOOKUP(C:C,[1]基础信息!B$1:F$65536,5,0)</f>
        <v>Blue</v>
      </c>
    </row>
    <row r="1998" spans="1:40">
      <c r="A1998" s="1" t="s">
        <v>41</v>
      </c>
      <c r="B1998" s="1" t="s">
        <v>42</v>
      </c>
      <c r="C1998" s="1" t="s">
        <v>4636</v>
      </c>
      <c r="D1998" s="1" t="s">
        <v>4637</v>
      </c>
      <c r="E1998" s="1" t="s">
        <v>4636</v>
      </c>
      <c r="F1998" s="1" t="s">
        <v>4638</v>
      </c>
      <c r="G1998" s="1" t="s">
        <v>4639</v>
      </c>
      <c r="H1998" s="1" t="s">
        <v>4640</v>
      </c>
      <c r="I1998" s="1" t="s">
        <v>45</v>
      </c>
      <c r="J1998" s="1" t="s">
        <v>48</v>
      </c>
      <c r="K1998" s="1">
        <v>19</v>
      </c>
      <c r="L1998" s="1">
        <v>0</v>
      </c>
      <c r="M1998" s="1">
        <v>0</v>
      </c>
      <c r="N1998" s="1">
        <v>19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 t="s">
        <v>49</v>
      </c>
      <c r="AA1998" s="1" t="s">
        <v>49</v>
      </c>
      <c r="AB1998" s="1" t="s">
        <v>49</v>
      </c>
      <c r="AC1998" s="1" t="s">
        <v>4641</v>
      </c>
      <c r="AD1998" s="1" t="s">
        <v>4642</v>
      </c>
      <c r="AE1998" s="1" t="s">
        <v>4641</v>
      </c>
      <c r="AF1998" s="1" t="s">
        <v>4643</v>
      </c>
      <c r="AG1998" s="1" t="s">
        <v>227</v>
      </c>
      <c r="AH1998" s="1" t="s">
        <v>49</v>
      </c>
      <c r="AI1998" s="1" t="s">
        <v>54</v>
      </c>
      <c r="AJ1998" s="1">
        <v>1</v>
      </c>
      <c r="AK1998" s="1" t="str">
        <f t="shared" si="31"/>
        <v xml:space="preserve"> =&lt;90</v>
      </c>
      <c r="AL1998" s="1" t="str">
        <f>VLOOKUP(C:C,[1]基础信息!B$1:D$65536,3,0)</f>
        <v>Spare Parts</v>
      </c>
      <c r="AM1998" s="1" t="str">
        <f>VLOOKUP(C:C,[1]基础信息!B$1:E$65536,4,0)</f>
        <v>Spare Parts</v>
      </c>
      <c r="AN1998" s="1" t="str">
        <f>VLOOKUP(C:C,[1]基础信息!B$1:F$65536,5,0)</f>
        <v>Spare Parts</v>
      </c>
    </row>
    <row r="1999" spans="1:40">
      <c r="A1999" s="1" t="s">
        <v>41</v>
      </c>
      <c r="B1999" s="1" t="s">
        <v>42</v>
      </c>
      <c r="C1999" s="1" t="s">
        <v>4077</v>
      </c>
      <c r="D1999" s="1" t="s">
        <v>4078</v>
      </c>
      <c r="E1999" s="1" t="s">
        <v>45</v>
      </c>
      <c r="F1999" s="1" t="s">
        <v>4644</v>
      </c>
      <c r="G1999" s="1" t="s">
        <v>4645</v>
      </c>
      <c r="H1999" s="1" t="s">
        <v>4646</v>
      </c>
      <c r="I1999" s="1" t="s">
        <v>49</v>
      </c>
      <c r="J1999" s="1" t="s">
        <v>48</v>
      </c>
      <c r="K1999" s="1">
        <v>16</v>
      </c>
      <c r="L1999" s="1">
        <v>0</v>
      </c>
      <c r="M1999" s="1">
        <v>0</v>
      </c>
      <c r="N1999" s="1">
        <v>16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 t="s">
        <v>49</v>
      </c>
      <c r="AA1999" s="1" t="s">
        <v>49</v>
      </c>
      <c r="AB1999" s="1" t="s">
        <v>49</v>
      </c>
      <c r="AC1999" s="1" t="s">
        <v>3217</v>
      </c>
      <c r="AD1999" s="1" t="s">
        <v>3218</v>
      </c>
      <c r="AE1999" s="1" t="s">
        <v>3217</v>
      </c>
      <c r="AF1999" s="1" t="s">
        <v>4647</v>
      </c>
      <c r="AG1999" s="1" t="s">
        <v>53</v>
      </c>
      <c r="AH1999" s="1" t="s">
        <v>49</v>
      </c>
      <c r="AI1999" s="1" t="s">
        <v>54</v>
      </c>
      <c r="AJ1999" s="1">
        <v>1</v>
      </c>
      <c r="AK1999" s="1" t="str">
        <f t="shared" si="31"/>
        <v xml:space="preserve"> =&lt;90</v>
      </c>
      <c r="AL1999" s="1" t="str">
        <f>VLOOKUP(C:C,[1]基础信息!B$1:D$65536,3,0)</f>
        <v>UTS</v>
      </c>
      <c r="AM1999" s="1" t="str">
        <f>VLOOKUP(C:C,[1]基础信息!B$1:E$65536,4,0)</f>
        <v>RO</v>
      </c>
      <c r="AN1999" s="1" t="str">
        <f>VLOOKUP(C:C,[1]基础信息!B$1:F$65536,5,0)</f>
        <v>Starry Grey Color</v>
      </c>
    </row>
    <row r="2000" spans="1:40">
      <c r="A2000" s="1" t="s">
        <v>41</v>
      </c>
      <c r="B2000" s="1" t="s">
        <v>42</v>
      </c>
      <c r="C2000" s="1" t="s">
        <v>1437</v>
      </c>
      <c r="D2000" s="1" t="s">
        <v>1438</v>
      </c>
      <c r="E2000" s="1" t="s">
        <v>45</v>
      </c>
      <c r="F2000" s="1" t="s">
        <v>4648</v>
      </c>
      <c r="G2000" s="1" t="s">
        <v>4649</v>
      </c>
      <c r="H2000" s="1" t="s">
        <v>45</v>
      </c>
      <c r="I2000" s="1" t="s">
        <v>45</v>
      </c>
      <c r="J2000" s="1" t="s">
        <v>48</v>
      </c>
      <c r="K2000" s="1">
        <v>8</v>
      </c>
      <c r="L2000" s="1">
        <v>0</v>
      </c>
      <c r="M2000" s="1">
        <v>0</v>
      </c>
      <c r="N2000" s="1">
        <v>8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 t="s">
        <v>49</v>
      </c>
      <c r="AA2000" s="1" t="s">
        <v>49</v>
      </c>
      <c r="AB2000" s="1" t="s">
        <v>49</v>
      </c>
      <c r="AC2000" s="1" t="s">
        <v>4650</v>
      </c>
      <c r="AD2000" s="1" t="s">
        <v>4651</v>
      </c>
      <c r="AE2000" s="1" t="s">
        <v>4650</v>
      </c>
      <c r="AF2000" s="1" t="s">
        <v>49</v>
      </c>
      <c r="AG2000" s="1" t="s">
        <v>53</v>
      </c>
      <c r="AH2000" s="1" t="s">
        <v>49</v>
      </c>
      <c r="AI2000" s="1" t="s">
        <v>54</v>
      </c>
      <c r="AJ2000" s="1">
        <v>1</v>
      </c>
      <c r="AK2000" s="1" t="str">
        <f t="shared" si="31"/>
        <v xml:space="preserve"> =&lt;90</v>
      </c>
      <c r="AL2000" s="1" t="str">
        <f>VLOOKUP(C:C,[1]基础信息!B$1:D$65536,3,0)</f>
        <v>On tap</v>
      </c>
      <c r="AM2000" s="1" t="str">
        <f>VLOOKUP(C:C,[1]基础信息!B$1:E$65536,4,0)</f>
        <v>On tap</v>
      </c>
      <c r="AN2000" s="1" t="str">
        <f>VLOOKUP(C:C,[1]基础信息!B$1:F$65536,5,0)</f>
        <v>On tap</v>
      </c>
    </row>
    <row r="2001" spans="1:40">
      <c r="A2001" s="1" t="s">
        <v>41</v>
      </c>
      <c r="B2001" s="1" t="s">
        <v>42</v>
      </c>
      <c r="C2001" s="1" t="s">
        <v>68</v>
      </c>
      <c r="D2001" s="1" t="s">
        <v>69</v>
      </c>
      <c r="E2001" s="1" t="s">
        <v>45</v>
      </c>
      <c r="F2001" s="1" t="s">
        <v>4652</v>
      </c>
      <c r="G2001" s="1" t="s">
        <v>4653</v>
      </c>
      <c r="H2001" s="1" t="s">
        <v>45</v>
      </c>
      <c r="I2001" s="1" t="s">
        <v>45</v>
      </c>
      <c r="J2001" s="1" t="s">
        <v>48</v>
      </c>
      <c r="K2001" s="1">
        <v>19</v>
      </c>
      <c r="L2001" s="1">
        <v>0</v>
      </c>
      <c r="M2001" s="1">
        <v>0</v>
      </c>
      <c r="N2001" s="1">
        <v>19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 t="s">
        <v>49</v>
      </c>
      <c r="AA2001" s="1" t="s">
        <v>49</v>
      </c>
      <c r="AB2001" s="1" t="s">
        <v>49</v>
      </c>
      <c r="AC2001" s="1" t="s">
        <v>3462</v>
      </c>
      <c r="AD2001" s="1" t="s">
        <v>3463</v>
      </c>
      <c r="AE2001" s="1" t="s">
        <v>3462</v>
      </c>
      <c r="AF2001" s="1" t="s">
        <v>49</v>
      </c>
      <c r="AG2001" s="1" t="s">
        <v>3464</v>
      </c>
      <c r="AH2001" s="1" t="s">
        <v>49</v>
      </c>
      <c r="AI2001" s="1" t="s">
        <v>54</v>
      </c>
      <c r="AJ2001" s="1">
        <v>1</v>
      </c>
      <c r="AK2001" s="1" t="str">
        <f t="shared" si="31"/>
        <v xml:space="preserve"> =&lt;90</v>
      </c>
      <c r="AL2001" s="1" t="str">
        <f>VLOOKUP(C:C,[1]基础信息!B$1:D$65536,3,0)</f>
        <v>Hotcup</v>
      </c>
      <c r="AM2001" s="1" t="str">
        <f>VLOOKUP(C:C,[1]基础信息!B$1:E$65536,4,0)</f>
        <v>Hotcup</v>
      </c>
      <c r="AN2001" s="1" t="str">
        <f>VLOOKUP(C:C,[1]基础信息!B$1:F$65536,5,0)</f>
        <v xml:space="preserve"> Whi</v>
      </c>
    </row>
    <row r="2002" spans="1:40">
      <c r="A2002" s="1" t="s">
        <v>41</v>
      </c>
      <c r="B2002" s="1" t="s">
        <v>42</v>
      </c>
      <c r="C2002" s="1" t="s">
        <v>4077</v>
      </c>
      <c r="D2002" s="1" t="s">
        <v>4078</v>
      </c>
      <c r="E2002" s="1" t="s">
        <v>45</v>
      </c>
      <c r="F2002" s="1" t="s">
        <v>4644</v>
      </c>
      <c r="G2002" s="1" t="s">
        <v>4654</v>
      </c>
      <c r="H2002" s="1" t="s">
        <v>4655</v>
      </c>
      <c r="I2002" s="1" t="s">
        <v>49</v>
      </c>
      <c r="J2002" s="1" t="s">
        <v>48</v>
      </c>
      <c r="K2002" s="1">
        <v>16</v>
      </c>
      <c r="L2002" s="1">
        <v>0</v>
      </c>
      <c r="M2002" s="1">
        <v>0</v>
      </c>
      <c r="N2002" s="1">
        <v>16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 t="s">
        <v>49</v>
      </c>
      <c r="AA2002" s="1" t="s">
        <v>49</v>
      </c>
      <c r="AB2002" s="1" t="s">
        <v>49</v>
      </c>
      <c r="AC2002" s="1" t="s">
        <v>3217</v>
      </c>
      <c r="AD2002" s="1" t="s">
        <v>3218</v>
      </c>
      <c r="AE2002" s="1" t="s">
        <v>3217</v>
      </c>
      <c r="AF2002" s="1" t="s">
        <v>4647</v>
      </c>
      <c r="AG2002" s="1" t="s">
        <v>53</v>
      </c>
      <c r="AH2002" s="1" t="s">
        <v>49</v>
      </c>
      <c r="AI2002" s="1" t="s">
        <v>54</v>
      </c>
      <c r="AJ2002" s="1">
        <v>1</v>
      </c>
      <c r="AK2002" s="1" t="str">
        <f t="shared" si="31"/>
        <v xml:space="preserve"> =&lt;90</v>
      </c>
      <c r="AL2002" s="1" t="str">
        <f>VLOOKUP(C:C,[1]基础信息!B$1:D$65536,3,0)</f>
        <v>UTS</v>
      </c>
      <c r="AM2002" s="1" t="str">
        <f>VLOOKUP(C:C,[1]基础信息!B$1:E$65536,4,0)</f>
        <v>RO</v>
      </c>
      <c r="AN2002" s="1" t="str">
        <f>VLOOKUP(C:C,[1]基础信息!B$1:F$65536,5,0)</f>
        <v>Starry Grey Color</v>
      </c>
    </row>
    <row r="2003" spans="1:40">
      <c r="A2003" s="1" t="s">
        <v>41</v>
      </c>
      <c r="B2003" s="1" t="s">
        <v>42</v>
      </c>
      <c r="C2003" s="1" t="s">
        <v>4656</v>
      </c>
      <c r="D2003" s="1" t="s">
        <v>4657</v>
      </c>
      <c r="E2003" s="1" t="s">
        <v>45</v>
      </c>
      <c r="F2003" s="1" t="s">
        <v>4658</v>
      </c>
      <c r="G2003" s="1" t="s">
        <v>4659</v>
      </c>
      <c r="H2003" s="1" t="s">
        <v>45</v>
      </c>
      <c r="I2003" s="1" t="s">
        <v>45</v>
      </c>
      <c r="J2003" s="1" t="s">
        <v>48</v>
      </c>
      <c r="K2003" s="1">
        <v>3</v>
      </c>
      <c r="L2003" s="1">
        <v>0</v>
      </c>
      <c r="M2003" s="1">
        <v>0</v>
      </c>
      <c r="N2003" s="1">
        <v>3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 t="s">
        <v>49</v>
      </c>
      <c r="AA2003" s="1" t="s">
        <v>49</v>
      </c>
      <c r="AB2003" s="1" t="s">
        <v>49</v>
      </c>
      <c r="AC2003" s="1" t="s">
        <v>4660</v>
      </c>
      <c r="AD2003" s="1" t="s">
        <v>4661</v>
      </c>
      <c r="AE2003" s="1" t="s">
        <v>4660</v>
      </c>
      <c r="AF2003" s="1" t="s">
        <v>49</v>
      </c>
      <c r="AG2003" s="1" t="s">
        <v>4662</v>
      </c>
      <c r="AH2003" s="1" t="s">
        <v>4663</v>
      </c>
      <c r="AI2003" s="1" t="s">
        <v>54</v>
      </c>
      <c r="AJ2003" s="1">
        <v>1</v>
      </c>
      <c r="AK2003" s="1" t="str">
        <f t="shared" si="31"/>
        <v xml:space="preserve"> =&lt;90</v>
      </c>
      <c r="AL2003" s="1" t="str">
        <f>VLOOKUP(C:C,[1]基础信息!B$1:D$65536,3,0)</f>
        <v>Jug</v>
      </c>
      <c r="AM2003" s="1" t="str">
        <f>VLOOKUP(C:C,[1]基础信息!B$1:E$65536,4,0)</f>
        <v>Marella</v>
      </c>
      <c r="AN2003" s="1" t="str">
        <f>VLOOKUP(C:C,[1]基础信息!B$1:F$65536,5,0)</f>
        <v>Blue</v>
      </c>
    </row>
    <row r="2004" spans="1:40">
      <c r="A2004" s="1" t="s">
        <v>41</v>
      </c>
      <c r="B2004" s="1" t="s">
        <v>42</v>
      </c>
      <c r="C2004" s="1" t="s">
        <v>68</v>
      </c>
      <c r="D2004" s="1" t="s">
        <v>69</v>
      </c>
      <c r="E2004" s="1" t="s">
        <v>45</v>
      </c>
      <c r="F2004" s="1" t="s">
        <v>4664</v>
      </c>
      <c r="G2004" s="1" t="s">
        <v>4665</v>
      </c>
      <c r="H2004" s="1" t="s">
        <v>45</v>
      </c>
      <c r="I2004" s="1" t="s">
        <v>45</v>
      </c>
      <c r="J2004" s="1" t="s">
        <v>48</v>
      </c>
      <c r="K2004" s="1">
        <v>36</v>
      </c>
      <c r="L2004" s="1">
        <v>0</v>
      </c>
      <c r="M2004" s="1">
        <v>0</v>
      </c>
      <c r="N2004" s="1">
        <v>36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 t="s">
        <v>49</v>
      </c>
      <c r="AA2004" s="1" t="s">
        <v>49</v>
      </c>
      <c r="AB2004" s="1" t="s">
        <v>49</v>
      </c>
      <c r="AC2004" s="1" t="s">
        <v>3462</v>
      </c>
      <c r="AD2004" s="1" t="s">
        <v>4666</v>
      </c>
      <c r="AE2004" s="1" t="s">
        <v>3462</v>
      </c>
      <c r="AF2004" s="1" t="s">
        <v>49</v>
      </c>
      <c r="AG2004" s="1" t="s">
        <v>3464</v>
      </c>
      <c r="AH2004" s="1" t="s">
        <v>49</v>
      </c>
      <c r="AI2004" s="1" t="s">
        <v>54</v>
      </c>
      <c r="AJ2004" s="1">
        <v>1</v>
      </c>
      <c r="AK2004" s="1" t="str">
        <f t="shared" si="31"/>
        <v xml:space="preserve"> =&lt;90</v>
      </c>
      <c r="AL2004" s="1" t="str">
        <f>VLOOKUP(C:C,[1]基础信息!B$1:D$65536,3,0)</f>
        <v>Hotcup</v>
      </c>
      <c r="AM2004" s="1" t="str">
        <f>VLOOKUP(C:C,[1]基础信息!B$1:E$65536,4,0)</f>
        <v>Hotcup</v>
      </c>
      <c r="AN2004" s="1" t="str">
        <f>VLOOKUP(C:C,[1]基础信息!B$1:F$65536,5,0)</f>
        <v xml:space="preserve"> Whi</v>
      </c>
    </row>
    <row r="2005" spans="1:40">
      <c r="A2005" s="1" t="s">
        <v>41</v>
      </c>
      <c r="B2005" s="1" t="s">
        <v>42</v>
      </c>
      <c r="C2005" s="1" t="s">
        <v>4077</v>
      </c>
      <c r="D2005" s="1" t="s">
        <v>4078</v>
      </c>
      <c r="E2005" s="1" t="s">
        <v>45</v>
      </c>
      <c r="F2005" s="1" t="s">
        <v>4644</v>
      </c>
      <c r="G2005" s="1" t="s">
        <v>4667</v>
      </c>
      <c r="H2005" s="1" t="s">
        <v>4668</v>
      </c>
      <c r="I2005" s="1" t="s">
        <v>49</v>
      </c>
      <c r="J2005" s="1" t="s">
        <v>48</v>
      </c>
      <c r="K2005" s="1">
        <v>16</v>
      </c>
      <c r="L2005" s="1">
        <v>0</v>
      </c>
      <c r="M2005" s="1">
        <v>0</v>
      </c>
      <c r="N2005" s="1">
        <v>16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 t="s">
        <v>49</v>
      </c>
      <c r="AA2005" s="1" t="s">
        <v>49</v>
      </c>
      <c r="AB2005" s="1" t="s">
        <v>49</v>
      </c>
      <c r="AC2005" s="1" t="s">
        <v>3217</v>
      </c>
      <c r="AD2005" s="1" t="s">
        <v>3218</v>
      </c>
      <c r="AE2005" s="1" t="s">
        <v>3217</v>
      </c>
      <c r="AF2005" s="1" t="s">
        <v>4647</v>
      </c>
      <c r="AG2005" s="1" t="s">
        <v>53</v>
      </c>
      <c r="AH2005" s="1" t="s">
        <v>49</v>
      </c>
      <c r="AI2005" s="1" t="s">
        <v>54</v>
      </c>
      <c r="AJ2005" s="1">
        <v>1</v>
      </c>
      <c r="AK2005" s="1" t="str">
        <f t="shared" si="31"/>
        <v xml:space="preserve"> =&lt;90</v>
      </c>
      <c r="AL2005" s="1" t="str">
        <f>VLOOKUP(C:C,[1]基础信息!B$1:D$65536,3,0)</f>
        <v>UTS</v>
      </c>
      <c r="AM2005" s="1" t="str">
        <f>VLOOKUP(C:C,[1]基础信息!B$1:E$65536,4,0)</f>
        <v>RO</v>
      </c>
      <c r="AN2005" s="1" t="str">
        <f>VLOOKUP(C:C,[1]基础信息!B$1:F$65536,5,0)</f>
        <v>Starry Grey Color</v>
      </c>
    </row>
    <row r="2006" spans="1:40">
      <c r="A2006" s="1" t="s">
        <v>41</v>
      </c>
      <c r="B2006" s="1" t="s">
        <v>42</v>
      </c>
      <c r="C2006" s="1" t="s">
        <v>285</v>
      </c>
      <c r="D2006" s="1" t="s">
        <v>286</v>
      </c>
      <c r="E2006" s="1" t="s">
        <v>45</v>
      </c>
      <c r="F2006" s="1" t="s">
        <v>2547</v>
      </c>
      <c r="G2006" s="1" t="s">
        <v>4669</v>
      </c>
      <c r="H2006" s="1" t="s">
        <v>4670</v>
      </c>
      <c r="I2006" s="1" t="s">
        <v>49</v>
      </c>
      <c r="J2006" s="1" t="s">
        <v>48</v>
      </c>
      <c r="K2006" s="1">
        <v>70</v>
      </c>
      <c r="L2006" s="1">
        <v>0</v>
      </c>
      <c r="M2006" s="1">
        <v>0</v>
      </c>
      <c r="N2006" s="1">
        <v>70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 t="s">
        <v>49</v>
      </c>
      <c r="AA2006" s="1" t="s">
        <v>49</v>
      </c>
      <c r="AB2006" s="1" t="s">
        <v>49</v>
      </c>
      <c r="AC2006" s="1" t="s">
        <v>1551</v>
      </c>
      <c r="AD2006" s="1" t="s">
        <v>1552</v>
      </c>
      <c r="AE2006" s="1" t="s">
        <v>1551</v>
      </c>
      <c r="AF2006" s="1" t="s">
        <v>2550</v>
      </c>
      <c r="AG2006" s="1" t="s">
        <v>53</v>
      </c>
      <c r="AH2006" s="1" t="s">
        <v>49</v>
      </c>
      <c r="AI2006" s="1" t="s">
        <v>54</v>
      </c>
      <c r="AJ2006" s="1">
        <v>1</v>
      </c>
      <c r="AK2006" s="1" t="str">
        <f t="shared" si="31"/>
        <v xml:space="preserve"> =&lt;90</v>
      </c>
      <c r="AL2006" s="1" t="str">
        <f>VLOOKUP(C:C,[1]基础信息!B$1:D$65536,3,0)</f>
        <v>Jug</v>
      </c>
      <c r="AM2006" s="1" t="str">
        <f>VLOOKUP(C:C,[1]基础信息!B$1:E$65536,4,0)</f>
        <v>Marella XL</v>
      </c>
      <c r="AN2006" s="1" t="str">
        <f>VLOOKUP(C:C,[1]基础信息!B$1:F$65536,5,0)</f>
        <v>Blue</v>
      </c>
    </row>
    <row r="2007" spans="1:40">
      <c r="A2007" s="1" t="s">
        <v>41</v>
      </c>
      <c r="B2007" s="1" t="s">
        <v>42</v>
      </c>
      <c r="C2007" s="1" t="s">
        <v>68</v>
      </c>
      <c r="D2007" s="1" t="s">
        <v>69</v>
      </c>
      <c r="E2007" s="1" t="s">
        <v>45</v>
      </c>
      <c r="F2007" s="1" t="s">
        <v>4652</v>
      </c>
      <c r="G2007" s="1" t="s">
        <v>4671</v>
      </c>
      <c r="H2007" s="1" t="s">
        <v>45</v>
      </c>
      <c r="I2007" s="1" t="s">
        <v>45</v>
      </c>
      <c r="J2007" s="1" t="s">
        <v>48</v>
      </c>
      <c r="K2007" s="1">
        <v>36</v>
      </c>
      <c r="L2007" s="1">
        <v>0</v>
      </c>
      <c r="M2007" s="1">
        <v>0</v>
      </c>
      <c r="N2007" s="1">
        <v>36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 t="s">
        <v>49</v>
      </c>
      <c r="AA2007" s="1" t="s">
        <v>49</v>
      </c>
      <c r="AB2007" s="1" t="s">
        <v>49</v>
      </c>
      <c r="AC2007" s="1" t="s">
        <v>3462</v>
      </c>
      <c r="AD2007" s="1" t="s">
        <v>3463</v>
      </c>
      <c r="AE2007" s="1" t="s">
        <v>3462</v>
      </c>
      <c r="AF2007" s="1" t="s">
        <v>49</v>
      </c>
      <c r="AG2007" s="1" t="s">
        <v>3464</v>
      </c>
      <c r="AH2007" s="1" t="s">
        <v>49</v>
      </c>
      <c r="AI2007" s="1" t="s">
        <v>54</v>
      </c>
      <c r="AJ2007" s="1">
        <v>1</v>
      </c>
      <c r="AK2007" s="1" t="str">
        <f t="shared" si="31"/>
        <v xml:space="preserve"> =&lt;90</v>
      </c>
      <c r="AL2007" s="1" t="str">
        <f>VLOOKUP(C:C,[1]基础信息!B$1:D$65536,3,0)</f>
        <v>Hotcup</v>
      </c>
      <c r="AM2007" s="1" t="str">
        <f>VLOOKUP(C:C,[1]基础信息!B$1:E$65536,4,0)</f>
        <v>Hotcup</v>
      </c>
      <c r="AN2007" s="1" t="str">
        <f>VLOOKUP(C:C,[1]基础信息!B$1:F$65536,5,0)</f>
        <v xml:space="preserve"> Whi</v>
      </c>
    </row>
    <row r="2008" spans="1:40">
      <c r="A2008" s="1" t="s">
        <v>41</v>
      </c>
      <c r="B2008" s="1" t="s">
        <v>42</v>
      </c>
      <c r="C2008" s="1" t="s">
        <v>2166</v>
      </c>
      <c r="D2008" s="1" t="s">
        <v>2167</v>
      </c>
      <c r="E2008" s="1" t="s">
        <v>45</v>
      </c>
      <c r="F2008" s="1" t="s">
        <v>4631</v>
      </c>
      <c r="G2008" s="1" t="s">
        <v>4672</v>
      </c>
      <c r="H2008" s="1" t="s">
        <v>4673</v>
      </c>
      <c r="I2008" s="1" t="s">
        <v>49</v>
      </c>
      <c r="J2008" s="1" t="s">
        <v>48</v>
      </c>
      <c r="K2008" s="1">
        <v>16</v>
      </c>
      <c r="L2008" s="1">
        <v>0</v>
      </c>
      <c r="M2008" s="1">
        <v>0</v>
      </c>
      <c r="N2008" s="1">
        <v>16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 t="s">
        <v>49</v>
      </c>
      <c r="AA2008" s="1" t="s">
        <v>49</v>
      </c>
      <c r="AB2008" s="1" t="s">
        <v>49</v>
      </c>
      <c r="AC2008" s="1" t="s">
        <v>3217</v>
      </c>
      <c r="AD2008" s="1" t="s">
        <v>3218</v>
      </c>
      <c r="AE2008" s="1" t="s">
        <v>3217</v>
      </c>
      <c r="AF2008" s="1" t="s">
        <v>4469</v>
      </c>
      <c r="AG2008" s="1" t="s">
        <v>53</v>
      </c>
      <c r="AH2008" s="1" t="s">
        <v>49</v>
      </c>
      <c r="AI2008" s="1" t="s">
        <v>54</v>
      </c>
      <c r="AJ2008" s="1">
        <v>1</v>
      </c>
      <c r="AK2008" s="1" t="str">
        <f t="shared" si="31"/>
        <v xml:space="preserve"> =&lt;90</v>
      </c>
      <c r="AL2008" s="1" t="str">
        <f>VLOOKUP(C:C,[1]基础信息!B$1:D$65536,3,0)</f>
        <v>UTS</v>
      </c>
      <c r="AM2008" s="1" t="str">
        <f>VLOOKUP(C:C,[1]基础信息!B$1:E$65536,4,0)</f>
        <v>RO</v>
      </c>
      <c r="AN2008" s="1" t="str">
        <f>VLOOKUP(C:C,[1]基础信息!B$1:F$65536,5,0)</f>
        <v>Starry Grey Color</v>
      </c>
    </row>
    <row r="2009" spans="1:40">
      <c r="A2009" s="1" t="s">
        <v>41</v>
      </c>
      <c r="B2009" s="1" t="s">
        <v>42</v>
      </c>
      <c r="C2009" s="1" t="s">
        <v>68</v>
      </c>
      <c r="D2009" s="1" t="s">
        <v>69</v>
      </c>
      <c r="E2009" s="1" t="s">
        <v>45</v>
      </c>
      <c r="F2009" s="1" t="s">
        <v>4652</v>
      </c>
      <c r="G2009" s="1" t="s">
        <v>4674</v>
      </c>
      <c r="H2009" s="1" t="s">
        <v>45</v>
      </c>
      <c r="I2009" s="1" t="s">
        <v>45</v>
      </c>
      <c r="J2009" s="1" t="s">
        <v>48</v>
      </c>
      <c r="K2009" s="1">
        <v>36</v>
      </c>
      <c r="L2009" s="1">
        <v>0</v>
      </c>
      <c r="M2009" s="1">
        <v>0</v>
      </c>
      <c r="N2009" s="1">
        <v>36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 t="s">
        <v>49</v>
      </c>
      <c r="AA2009" s="1" t="s">
        <v>49</v>
      </c>
      <c r="AB2009" s="1" t="s">
        <v>49</v>
      </c>
      <c r="AC2009" s="1" t="s">
        <v>3462</v>
      </c>
      <c r="AD2009" s="1" t="s">
        <v>3463</v>
      </c>
      <c r="AE2009" s="1" t="s">
        <v>3462</v>
      </c>
      <c r="AF2009" s="1" t="s">
        <v>49</v>
      </c>
      <c r="AG2009" s="1" t="s">
        <v>3464</v>
      </c>
      <c r="AH2009" s="1" t="s">
        <v>49</v>
      </c>
      <c r="AI2009" s="1" t="s">
        <v>54</v>
      </c>
      <c r="AJ2009" s="1">
        <v>1</v>
      </c>
      <c r="AK2009" s="1" t="str">
        <f t="shared" si="31"/>
        <v xml:space="preserve"> =&lt;90</v>
      </c>
      <c r="AL2009" s="1" t="str">
        <f>VLOOKUP(C:C,[1]基础信息!B$1:D$65536,3,0)</f>
        <v>Hotcup</v>
      </c>
      <c r="AM2009" s="1" t="str">
        <f>VLOOKUP(C:C,[1]基础信息!B$1:E$65536,4,0)</f>
        <v>Hotcup</v>
      </c>
      <c r="AN2009" s="1" t="str">
        <f>VLOOKUP(C:C,[1]基础信息!B$1:F$65536,5,0)</f>
        <v xml:space="preserve"> Whi</v>
      </c>
    </row>
    <row r="2010" spans="1:40">
      <c r="A2010" s="1" t="s">
        <v>41</v>
      </c>
      <c r="B2010" s="1" t="s">
        <v>42</v>
      </c>
      <c r="C2010" s="1" t="s">
        <v>2166</v>
      </c>
      <c r="D2010" s="1" t="s">
        <v>2167</v>
      </c>
      <c r="E2010" s="1" t="s">
        <v>45</v>
      </c>
      <c r="F2010" s="1" t="s">
        <v>4631</v>
      </c>
      <c r="G2010" s="1" t="s">
        <v>4675</v>
      </c>
      <c r="H2010" s="1" t="s">
        <v>4676</v>
      </c>
      <c r="I2010" s="1" t="s">
        <v>49</v>
      </c>
      <c r="J2010" s="1" t="s">
        <v>48</v>
      </c>
      <c r="K2010" s="1">
        <v>16</v>
      </c>
      <c r="L2010" s="1">
        <v>0</v>
      </c>
      <c r="M2010" s="1">
        <v>0</v>
      </c>
      <c r="N2010" s="1">
        <v>16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 t="s">
        <v>49</v>
      </c>
      <c r="AA2010" s="1" t="s">
        <v>49</v>
      </c>
      <c r="AB2010" s="1" t="s">
        <v>49</v>
      </c>
      <c r="AC2010" s="1" t="s">
        <v>3217</v>
      </c>
      <c r="AD2010" s="1" t="s">
        <v>3218</v>
      </c>
      <c r="AE2010" s="1" t="s">
        <v>3217</v>
      </c>
      <c r="AF2010" s="1" t="s">
        <v>4469</v>
      </c>
      <c r="AG2010" s="1" t="s">
        <v>53</v>
      </c>
      <c r="AH2010" s="1" t="s">
        <v>49</v>
      </c>
      <c r="AI2010" s="1" t="s">
        <v>54</v>
      </c>
      <c r="AJ2010" s="1">
        <v>1</v>
      </c>
      <c r="AK2010" s="1" t="str">
        <f t="shared" si="31"/>
        <v xml:space="preserve"> =&lt;90</v>
      </c>
      <c r="AL2010" s="1" t="str">
        <f>VLOOKUP(C:C,[1]基础信息!B$1:D$65536,3,0)</f>
        <v>UTS</v>
      </c>
      <c r="AM2010" s="1" t="str">
        <f>VLOOKUP(C:C,[1]基础信息!B$1:E$65536,4,0)</f>
        <v>RO</v>
      </c>
      <c r="AN2010" s="1" t="str">
        <f>VLOOKUP(C:C,[1]基础信息!B$1:F$65536,5,0)</f>
        <v>Starry Grey Color</v>
      </c>
    </row>
    <row r="2011" spans="1:40">
      <c r="A2011" s="1" t="s">
        <v>41</v>
      </c>
      <c r="B2011" s="1" t="s">
        <v>42</v>
      </c>
      <c r="C2011" s="1" t="s">
        <v>3601</v>
      </c>
      <c r="D2011" s="1" t="s">
        <v>3602</v>
      </c>
      <c r="E2011" s="1" t="s">
        <v>45</v>
      </c>
      <c r="F2011" s="1" t="s">
        <v>3603</v>
      </c>
      <c r="G2011" s="1" t="s">
        <v>4677</v>
      </c>
      <c r="H2011" s="1" t="s">
        <v>45</v>
      </c>
      <c r="I2011" s="1" t="s">
        <v>45</v>
      </c>
      <c r="J2011" s="1" t="s">
        <v>48</v>
      </c>
      <c r="K2011" s="1">
        <v>16</v>
      </c>
      <c r="L2011" s="1">
        <v>0</v>
      </c>
      <c r="M2011" s="1">
        <v>0</v>
      </c>
      <c r="N2011" s="1">
        <v>16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 t="s">
        <v>49</v>
      </c>
      <c r="AA2011" s="1" t="s">
        <v>49</v>
      </c>
      <c r="AB2011" s="1" t="s">
        <v>49</v>
      </c>
      <c r="AC2011" s="1" t="s">
        <v>3462</v>
      </c>
      <c r="AD2011" s="1" t="s">
        <v>3463</v>
      </c>
      <c r="AE2011" s="1" t="s">
        <v>3462</v>
      </c>
      <c r="AF2011" s="1" t="s">
        <v>49</v>
      </c>
      <c r="AG2011" s="1" t="s">
        <v>3464</v>
      </c>
      <c r="AH2011" s="1" t="s">
        <v>49</v>
      </c>
      <c r="AI2011" s="1" t="s">
        <v>54</v>
      </c>
      <c r="AJ2011" s="1">
        <v>1</v>
      </c>
      <c r="AK2011" s="1" t="str">
        <f t="shared" si="31"/>
        <v xml:space="preserve"> =&lt;90</v>
      </c>
      <c r="AL2011" s="1" t="e">
        <f>VLOOKUP(C:C,[1]基础信息!B$1:D$65536,3,0)</f>
        <v>#N/A</v>
      </c>
      <c r="AM2011" s="1" t="e">
        <f>VLOOKUP(C:C,[1]基础信息!B$1:E$65536,4,0)</f>
        <v>#N/A</v>
      </c>
      <c r="AN2011" s="1" t="e">
        <f>VLOOKUP(C:C,[1]基础信息!B$1:F$65536,5,0)</f>
        <v>#N/A</v>
      </c>
    </row>
    <row r="2012" spans="1:40">
      <c r="A2012" s="1" t="s">
        <v>41</v>
      </c>
      <c r="B2012" s="1" t="s">
        <v>42</v>
      </c>
      <c r="C2012" s="1" t="s">
        <v>3512</v>
      </c>
      <c r="D2012" s="1" t="s">
        <v>3513</v>
      </c>
      <c r="E2012" s="1" t="s">
        <v>45</v>
      </c>
      <c r="F2012" s="1" t="s">
        <v>4236</v>
      </c>
      <c r="G2012" s="1" t="s">
        <v>4678</v>
      </c>
      <c r="H2012" s="1" t="s">
        <v>45</v>
      </c>
      <c r="I2012" s="1" t="s">
        <v>45</v>
      </c>
      <c r="J2012" s="1" t="s">
        <v>48</v>
      </c>
      <c r="K2012" s="1">
        <v>840</v>
      </c>
      <c r="L2012" s="1">
        <v>0</v>
      </c>
      <c r="M2012" s="1">
        <v>0</v>
      </c>
      <c r="N2012" s="1">
        <v>840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 t="s">
        <v>49</v>
      </c>
      <c r="AA2012" s="1" t="s">
        <v>49</v>
      </c>
      <c r="AB2012" s="1" t="s">
        <v>49</v>
      </c>
      <c r="AC2012" s="1" t="s">
        <v>414</v>
      </c>
      <c r="AD2012" s="1" t="s">
        <v>415</v>
      </c>
      <c r="AE2012" s="1" t="s">
        <v>414</v>
      </c>
      <c r="AF2012" s="1" t="s">
        <v>49</v>
      </c>
      <c r="AG2012" s="1" t="s">
        <v>3464</v>
      </c>
      <c r="AH2012" s="1" t="s">
        <v>49</v>
      </c>
      <c r="AI2012" s="1" t="s">
        <v>54</v>
      </c>
      <c r="AJ2012" s="1">
        <v>1</v>
      </c>
      <c r="AK2012" s="1" t="str">
        <f t="shared" si="31"/>
        <v xml:space="preserve"> =&lt;90</v>
      </c>
      <c r="AL2012" s="1" t="str">
        <f>VLOOKUP(C:C,[1]基础信息!B$1:D$65536,3,0)</f>
        <v xml:space="preserve">Cartridge </v>
      </c>
      <c r="AM2012" s="1" t="str">
        <f>VLOOKUP(C:C,[1]基础信息!B$1:E$65536,4,0)</f>
        <v>UNIV</v>
      </c>
      <c r="AN2012" s="1" t="str">
        <f>VLOOKUP(C:C,[1]基础信息!B$1:F$65536,5,0)</f>
        <v>P3</v>
      </c>
    </row>
    <row r="2013" spans="1:40">
      <c r="A2013" s="1" t="s">
        <v>41</v>
      </c>
      <c r="B2013" s="1" t="s">
        <v>42</v>
      </c>
      <c r="C2013" s="1" t="s">
        <v>4077</v>
      </c>
      <c r="D2013" s="1" t="s">
        <v>4078</v>
      </c>
      <c r="E2013" s="1" t="s">
        <v>45</v>
      </c>
      <c r="F2013" s="1" t="s">
        <v>4644</v>
      </c>
      <c r="G2013" s="1" t="s">
        <v>4679</v>
      </c>
      <c r="H2013" s="1" t="s">
        <v>4680</v>
      </c>
      <c r="I2013" s="1" t="s">
        <v>49</v>
      </c>
      <c r="J2013" s="1" t="s">
        <v>48</v>
      </c>
      <c r="K2013" s="1">
        <v>16</v>
      </c>
      <c r="L2013" s="1">
        <v>0</v>
      </c>
      <c r="M2013" s="1">
        <v>0</v>
      </c>
      <c r="N2013" s="1">
        <v>16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 t="s">
        <v>49</v>
      </c>
      <c r="AA2013" s="1" t="s">
        <v>49</v>
      </c>
      <c r="AB2013" s="1" t="s">
        <v>49</v>
      </c>
      <c r="AC2013" s="1" t="s">
        <v>3217</v>
      </c>
      <c r="AD2013" s="1" t="s">
        <v>3218</v>
      </c>
      <c r="AE2013" s="1" t="s">
        <v>3217</v>
      </c>
      <c r="AF2013" s="1" t="s">
        <v>4647</v>
      </c>
      <c r="AG2013" s="1" t="s">
        <v>53</v>
      </c>
      <c r="AH2013" s="1" t="s">
        <v>49</v>
      </c>
      <c r="AI2013" s="1" t="s">
        <v>54</v>
      </c>
      <c r="AJ2013" s="1">
        <v>1</v>
      </c>
      <c r="AK2013" s="1" t="str">
        <f t="shared" si="31"/>
        <v xml:space="preserve"> =&lt;90</v>
      </c>
      <c r="AL2013" s="1" t="str">
        <f>VLOOKUP(C:C,[1]基础信息!B$1:D$65536,3,0)</f>
        <v>UTS</v>
      </c>
      <c r="AM2013" s="1" t="str">
        <f>VLOOKUP(C:C,[1]基础信息!B$1:E$65536,4,0)</f>
        <v>RO</v>
      </c>
      <c r="AN2013" s="1" t="str">
        <f>VLOOKUP(C:C,[1]基础信息!B$1:F$65536,5,0)</f>
        <v>Starry Grey Color</v>
      </c>
    </row>
    <row r="2014" spans="1:40">
      <c r="A2014" s="1" t="s">
        <v>41</v>
      </c>
      <c r="B2014" s="1" t="s">
        <v>42</v>
      </c>
      <c r="C2014" s="1" t="s">
        <v>481</v>
      </c>
      <c r="D2014" s="1" t="s">
        <v>482</v>
      </c>
      <c r="E2014" s="1" t="s">
        <v>45</v>
      </c>
      <c r="F2014" s="1" t="s">
        <v>4681</v>
      </c>
      <c r="G2014" s="1" t="s">
        <v>4682</v>
      </c>
      <c r="H2014" s="1" t="s">
        <v>45</v>
      </c>
      <c r="I2014" s="1" t="s">
        <v>45</v>
      </c>
      <c r="J2014" s="1" t="s">
        <v>48</v>
      </c>
      <c r="K2014" s="1">
        <v>52</v>
      </c>
      <c r="L2014" s="1">
        <v>0</v>
      </c>
      <c r="M2014" s="1">
        <v>0</v>
      </c>
      <c r="N2014" s="1">
        <v>52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 t="s">
        <v>49</v>
      </c>
      <c r="AA2014" s="1" t="s">
        <v>49</v>
      </c>
      <c r="AB2014" s="1" t="s">
        <v>49</v>
      </c>
      <c r="AC2014" s="1" t="s">
        <v>3462</v>
      </c>
      <c r="AD2014" s="1" t="s">
        <v>3463</v>
      </c>
      <c r="AE2014" s="1" t="s">
        <v>3462</v>
      </c>
      <c r="AF2014" s="1" t="s">
        <v>49</v>
      </c>
      <c r="AG2014" s="1" t="s">
        <v>3464</v>
      </c>
      <c r="AH2014" s="1" t="s">
        <v>49</v>
      </c>
      <c r="AI2014" s="1" t="s">
        <v>54</v>
      </c>
      <c r="AJ2014" s="1">
        <v>1</v>
      </c>
      <c r="AK2014" s="1" t="str">
        <f t="shared" si="31"/>
        <v xml:space="preserve"> =&lt;90</v>
      </c>
      <c r="AL2014" s="1" t="str">
        <f>VLOOKUP(C:C,[1]基础信息!B$1:D$65536,3,0)</f>
        <v>Jug</v>
      </c>
      <c r="AM2014" s="1" t="str">
        <f>VLOOKUP(C:C,[1]基础信息!B$1:E$65536,4,0)</f>
        <v>Style COOL</v>
      </c>
      <c r="AN2014" s="1" t="str">
        <f>VLOOKUP(C:C,[1]基础信息!B$1:F$65536,5,0)</f>
        <v>Cool Blue</v>
      </c>
    </row>
    <row r="2015" spans="1:40">
      <c r="A2015" s="1" t="s">
        <v>41</v>
      </c>
      <c r="B2015" s="1" t="s">
        <v>42</v>
      </c>
      <c r="C2015" s="1" t="s">
        <v>4077</v>
      </c>
      <c r="D2015" s="1" t="s">
        <v>4078</v>
      </c>
      <c r="E2015" s="1" t="s">
        <v>45</v>
      </c>
      <c r="F2015" s="1" t="s">
        <v>4644</v>
      </c>
      <c r="G2015" s="1" t="s">
        <v>4683</v>
      </c>
      <c r="H2015" s="1" t="s">
        <v>4684</v>
      </c>
      <c r="I2015" s="1" t="s">
        <v>49</v>
      </c>
      <c r="J2015" s="1" t="s">
        <v>48</v>
      </c>
      <c r="K2015" s="1">
        <v>15</v>
      </c>
      <c r="L2015" s="1">
        <v>0</v>
      </c>
      <c r="M2015" s="1">
        <v>0</v>
      </c>
      <c r="N2015" s="1">
        <v>15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 t="s">
        <v>49</v>
      </c>
      <c r="AA2015" s="1" t="s">
        <v>49</v>
      </c>
      <c r="AB2015" s="1" t="s">
        <v>49</v>
      </c>
      <c r="AC2015" s="1" t="s">
        <v>3217</v>
      </c>
      <c r="AD2015" s="1" t="s">
        <v>3218</v>
      </c>
      <c r="AE2015" s="1" t="s">
        <v>3217</v>
      </c>
      <c r="AF2015" s="1" t="s">
        <v>4647</v>
      </c>
      <c r="AG2015" s="1" t="s">
        <v>53</v>
      </c>
      <c r="AH2015" s="1" t="s">
        <v>49</v>
      </c>
      <c r="AI2015" s="1" t="s">
        <v>54</v>
      </c>
      <c r="AJ2015" s="1">
        <v>1</v>
      </c>
      <c r="AK2015" s="1" t="str">
        <f t="shared" si="31"/>
        <v xml:space="preserve"> =&lt;90</v>
      </c>
      <c r="AL2015" s="1" t="str">
        <f>VLOOKUP(C:C,[1]基础信息!B$1:D$65536,3,0)</f>
        <v>UTS</v>
      </c>
      <c r="AM2015" s="1" t="str">
        <f>VLOOKUP(C:C,[1]基础信息!B$1:E$65536,4,0)</f>
        <v>RO</v>
      </c>
      <c r="AN2015" s="1" t="str">
        <f>VLOOKUP(C:C,[1]基础信息!B$1:F$65536,5,0)</f>
        <v>Starry Grey Color</v>
      </c>
    </row>
    <row r="2016" spans="1:40">
      <c r="A2016" s="1" t="s">
        <v>41</v>
      </c>
      <c r="B2016" s="1" t="s">
        <v>42</v>
      </c>
      <c r="C2016" s="1" t="s">
        <v>4685</v>
      </c>
      <c r="D2016" s="1" t="s">
        <v>4686</v>
      </c>
      <c r="E2016" s="1" t="s">
        <v>45</v>
      </c>
      <c r="F2016" s="1" t="s">
        <v>4687</v>
      </c>
      <c r="G2016" s="1" t="s">
        <v>4688</v>
      </c>
      <c r="H2016" s="1" t="s">
        <v>4689</v>
      </c>
      <c r="I2016" s="1" t="s">
        <v>45</v>
      </c>
      <c r="J2016" s="1" t="s">
        <v>48</v>
      </c>
      <c r="K2016" s="1">
        <v>25</v>
      </c>
      <c r="L2016" s="1">
        <v>0</v>
      </c>
      <c r="M2016" s="1">
        <v>0</v>
      </c>
      <c r="N2016" s="1">
        <v>25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 t="s">
        <v>49</v>
      </c>
      <c r="AA2016" s="1" t="s">
        <v>49</v>
      </c>
      <c r="AB2016" s="1" t="s">
        <v>49</v>
      </c>
      <c r="AC2016" s="1" t="s">
        <v>4690</v>
      </c>
      <c r="AD2016" s="1" t="s">
        <v>4691</v>
      </c>
      <c r="AE2016" s="1" t="s">
        <v>4690</v>
      </c>
      <c r="AF2016" s="1" t="s">
        <v>49</v>
      </c>
      <c r="AG2016" s="1" t="s">
        <v>227</v>
      </c>
      <c r="AH2016" s="1" t="s">
        <v>49</v>
      </c>
      <c r="AI2016" s="1" t="s">
        <v>54</v>
      </c>
      <c r="AJ2016" s="1">
        <v>1</v>
      </c>
      <c r="AK2016" s="1" t="str">
        <f t="shared" si="31"/>
        <v xml:space="preserve"> =&lt;90</v>
      </c>
      <c r="AL2016" s="1" t="str">
        <f>VLOOKUP(C:C,[1]基础信息!B$1:D$65536,3,0)</f>
        <v>Spare Parts</v>
      </c>
      <c r="AM2016" s="1" t="str">
        <f>VLOOKUP(C:C,[1]基础信息!B$1:E$65536,4,0)</f>
        <v>Spare Parts</v>
      </c>
      <c r="AN2016" s="1" t="str">
        <f>VLOOKUP(C:C,[1]基础信息!B$1:F$65536,5,0)</f>
        <v>Spare Parts</v>
      </c>
    </row>
    <row r="2017" spans="1:40">
      <c r="A2017" s="1" t="s">
        <v>41</v>
      </c>
      <c r="B2017" s="1" t="s">
        <v>42</v>
      </c>
      <c r="C2017" s="1" t="s">
        <v>2166</v>
      </c>
      <c r="D2017" s="1" t="s">
        <v>2167</v>
      </c>
      <c r="E2017" s="1" t="s">
        <v>45</v>
      </c>
      <c r="F2017" s="1" t="s">
        <v>4631</v>
      </c>
      <c r="G2017" s="1" t="s">
        <v>4692</v>
      </c>
      <c r="H2017" s="1" t="s">
        <v>4693</v>
      </c>
      <c r="I2017" s="1" t="s">
        <v>49</v>
      </c>
      <c r="J2017" s="1" t="s">
        <v>48</v>
      </c>
      <c r="K2017" s="1">
        <v>16</v>
      </c>
      <c r="L2017" s="1">
        <v>0</v>
      </c>
      <c r="M2017" s="1">
        <v>0</v>
      </c>
      <c r="N2017" s="1">
        <v>16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 t="s">
        <v>49</v>
      </c>
      <c r="AA2017" s="1" t="s">
        <v>49</v>
      </c>
      <c r="AB2017" s="1" t="s">
        <v>49</v>
      </c>
      <c r="AC2017" s="1" t="s">
        <v>3217</v>
      </c>
      <c r="AD2017" s="1" t="s">
        <v>3218</v>
      </c>
      <c r="AE2017" s="1" t="s">
        <v>3217</v>
      </c>
      <c r="AF2017" s="1" t="s">
        <v>4469</v>
      </c>
      <c r="AG2017" s="1" t="s">
        <v>53</v>
      </c>
      <c r="AH2017" s="1" t="s">
        <v>49</v>
      </c>
      <c r="AI2017" s="1" t="s">
        <v>54</v>
      </c>
      <c r="AJ2017" s="1">
        <v>1</v>
      </c>
      <c r="AK2017" s="1" t="str">
        <f t="shared" si="31"/>
        <v xml:space="preserve"> =&lt;90</v>
      </c>
      <c r="AL2017" s="1" t="str">
        <f>VLOOKUP(C:C,[1]基础信息!B$1:D$65536,3,0)</f>
        <v>UTS</v>
      </c>
      <c r="AM2017" s="1" t="str">
        <f>VLOOKUP(C:C,[1]基础信息!B$1:E$65536,4,0)</f>
        <v>RO</v>
      </c>
      <c r="AN2017" s="1" t="str">
        <f>VLOOKUP(C:C,[1]基础信息!B$1:F$65536,5,0)</f>
        <v>Starry Grey Color</v>
      </c>
    </row>
    <row r="2018" spans="1:40">
      <c r="A2018" s="1" t="s">
        <v>41</v>
      </c>
      <c r="B2018" s="1" t="s">
        <v>42</v>
      </c>
      <c r="C2018" s="1" t="s">
        <v>4342</v>
      </c>
      <c r="D2018" s="1" t="s">
        <v>4343</v>
      </c>
      <c r="E2018" s="1" t="s">
        <v>45</v>
      </c>
      <c r="F2018" s="1" t="s">
        <v>4694</v>
      </c>
      <c r="G2018" s="1" t="s">
        <v>4695</v>
      </c>
      <c r="H2018" s="1" t="s">
        <v>45</v>
      </c>
      <c r="I2018" s="1" t="s">
        <v>45</v>
      </c>
      <c r="J2018" s="1" t="s">
        <v>48</v>
      </c>
      <c r="K2018" s="1">
        <v>164</v>
      </c>
      <c r="L2018" s="1">
        <v>0</v>
      </c>
      <c r="M2018" s="1">
        <v>0</v>
      </c>
      <c r="N2018" s="1">
        <v>164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 t="s">
        <v>49</v>
      </c>
      <c r="AA2018" s="1" t="s">
        <v>49</v>
      </c>
      <c r="AB2018" s="1" t="s">
        <v>49</v>
      </c>
      <c r="AC2018" s="1" t="s">
        <v>3241</v>
      </c>
      <c r="AD2018" s="1" t="s">
        <v>3270</v>
      </c>
      <c r="AE2018" s="1" t="s">
        <v>3241</v>
      </c>
      <c r="AF2018" s="1" t="s">
        <v>4696</v>
      </c>
      <c r="AG2018" s="1" t="s">
        <v>53</v>
      </c>
      <c r="AH2018" s="1" t="s">
        <v>49</v>
      </c>
      <c r="AI2018" s="1" t="s">
        <v>54</v>
      </c>
      <c r="AJ2018" s="1">
        <v>1</v>
      </c>
      <c r="AK2018" s="1" t="str">
        <f t="shared" si="31"/>
        <v xml:space="preserve"> =&lt;90</v>
      </c>
      <c r="AL2018" s="1" t="e">
        <f>VLOOKUP(C:C,[1]基础信息!B$1:D$65536,3,0)</f>
        <v>#N/A</v>
      </c>
      <c r="AM2018" s="1" t="e">
        <f>VLOOKUP(C:C,[1]基础信息!B$1:E$65536,4,0)</f>
        <v>#N/A</v>
      </c>
      <c r="AN2018" s="1" t="e">
        <f>VLOOKUP(C:C,[1]基础信息!B$1:F$65536,5,0)</f>
        <v>#N/A</v>
      </c>
    </row>
    <row r="2019" spans="1:40">
      <c r="A2019" s="1" t="s">
        <v>41</v>
      </c>
      <c r="B2019" s="1" t="s">
        <v>42</v>
      </c>
      <c r="C2019" s="1" t="s">
        <v>341</v>
      </c>
      <c r="D2019" s="1" t="s">
        <v>342</v>
      </c>
      <c r="E2019" s="1" t="s">
        <v>45</v>
      </c>
      <c r="F2019" s="1" t="s">
        <v>343</v>
      </c>
      <c r="G2019" s="1" t="s">
        <v>4697</v>
      </c>
      <c r="H2019" s="1" t="s">
        <v>4698</v>
      </c>
      <c r="I2019" s="1" t="s">
        <v>49</v>
      </c>
      <c r="J2019" s="1" t="s">
        <v>48</v>
      </c>
      <c r="K2019" s="1">
        <v>70</v>
      </c>
      <c r="L2019" s="1">
        <v>0</v>
      </c>
      <c r="M2019" s="1">
        <v>0</v>
      </c>
      <c r="N2019" s="1">
        <v>70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 t="s">
        <v>49</v>
      </c>
      <c r="AA2019" s="1" t="s">
        <v>49</v>
      </c>
      <c r="AB2019" s="1" t="s">
        <v>49</v>
      </c>
      <c r="AC2019" s="1" t="s">
        <v>346</v>
      </c>
      <c r="AD2019" s="1" t="s">
        <v>347</v>
      </c>
      <c r="AE2019" s="1" t="s">
        <v>346</v>
      </c>
      <c r="AF2019" s="1" t="s">
        <v>348</v>
      </c>
      <c r="AG2019" s="1" t="s">
        <v>338</v>
      </c>
      <c r="AH2019" s="1" t="s">
        <v>49</v>
      </c>
      <c r="AI2019" s="1" t="s">
        <v>54</v>
      </c>
      <c r="AJ2019" s="1">
        <v>1</v>
      </c>
      <c r="AK2019" s="1" t="str">
        <f t="shared" si="31"/>
        <v xml:space="preserve"> =&lt;90</v>
      </c>
      <c r="AL2019" s="1" t="str">
        <f>VLOOKUP(C:C,[1]基础信息!B$1:D$65536,3,0)</f>
        <v>Jug</v>
      </c>
      <c r="AM2019" s="1" t="str">
        <f>VLOOKUP(C:C,[1]基础信息!B$1:E$65536,4,0)</f>
        <v>Marella</v>
      </c>
      <c r="AN2019" s="1" t="str">
        <f>VLOOKUP(C:C,[1]基础信息!B$1:F$65536,5,0)</f>
        <v>Blue Glitter</v>
      </c>
    </row>
    <row r="2020" spans="1:40">
      <c r="A2020" s="1" t="s">
        <v>41</v>
      </c>
      <c r="B2020" s="1" t="s">
        <v>42</v>
      </c>
      <c r="C2020" s="1" t="s">
        <v>4077</v>
      </c>
      <c r="D2020" s="1" t="s">
        <v>4078</v>
      </c>
      <c r="E2020" s="1" t="s">
        <v>45</v>
      </c>
      <c r="F2020" s="1" t="s">
        <v>4644</v>
      </c>
      <c r="G2020" s="1" t="s">
        <v>4699</v>
      </c>
      <c r="H2020" s="1" t="s">
        <v>4700</v>
      </c>
      <c r="I2020" s="1" t="s">
        <v>49</v>
      </c>
      <c r="J2020" s="1" t="s">
        <v>48</v>
      </c>
      <c r="K2020" s="1">
        <v>16</v>
      </c>
      <c r="L2020" s="1">
        <v>0</v>
      </c>
      <c r="M2020" s="1">
        <v>0</v>
      </c>
      <c r="N2020" s="1">
        <v>16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 t="s">
        <v>49</v>
      </c>
      <c r="AA2020" s="1" t="s">
        <v>49</v>
      </c>
      <c r="AB2020" s="1" t="s">
        <v>49</v>
      </c>
      <c r="AC2020" s="1" t="s">
        <v>3217</v>
      </c>
      <c r="AD2020" s="1" t="s">
        <v>3218</v>
      </c>
      <c r="AE2020" s="1" t="s">
        <v>3217</v>
      </c>
      <c r="AF2020" s="1" t="s">
        <v>4647</v>
      </c>
      <c r="AG2020" s="1" t="s">
        <v>53</v>
      </c>
      <c r="AH2020" s="1" t="s">
        <v>49</v>
      </c>
      <c r="AI2020" s="1" t="s">
        <v>54</v>
      </c>
      <c r="AJ2020" s="1">
        <v>1</v>
      </c>
      <c r="AK2020" s="1" t="str">
        <f t="shared" si="31"/>
        <v xml:space="preserve"> =&lt;90</v>
      </c>
      <c r="AL2020" s="1" t="str">
        <f>VLOOKUP(C:C,[1]基础信息!B$1:D$65536,3,0)</f>
        <v>UTS</v>
      </c>
      <c r="AM2020" s="1" t="str">
        <f>VLOOKUP(C:C,[1]基础信息!B$1:E$65536,4,0)</f>
        <v>RO</v>
      </c>
      <c r="AN2020" s="1" t="str">
        <f>VLOOKUP(C:C,[1]基础信息!B$1:F$65536,5,0)</f>
        <v>Starry Grey Color</v>
      </c>
    </row>
    <row r="2021" spans="1:40">
      <c r="A2021" s="1" t="s">
        <v>41</v>
      </c>
      <c r="B2021" s="1" t="s">
        <v>42</v>
      </c>
      <c r="C2021" s="1" t="s">
        <v>4342</v>
      </c>
      <c r="D2021" s="1" t="s">
        <v>4343</v>
      </c>
      <c r="E2021" s="1" t="s">
        <v>45</v>
      </c>
      <c r="F2021" s="1" t="s">
        <v>4701</v>
      </c>
      <c r="G2021" s="1" t="s">
        <v>4702</v>
      </c>
      <c r="H2021" s="1" t="s">
        <v>45</v>
      </c>
      <c r="I2021" s="1" t="s">
        <v>45</v>
      </c>
      <c r="J2021" s="1" t="s">
        <v>48</v>
      </c>
      <c r="K2021" s="1">
        <v>166</v>
      </c>
      <c r="L2021" s="1">
        <v>0</v>
      </c>
      <c r="M2021" s="1">
        <v>0</v>
      </c>
      <c r="N2021" s="1">
        <v>166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 t="s">
        <v>49</v>
      </c>
      <c r="AA2021" s="1" t="s">
        <v>49</v>
      </c>
      <c r="AB2021" s="1" t="s">
        <v>49</v>
      </c>
      <c r="AC2021" s="1" t="s">
        <v>3241</v>
      </c>
      <c r="AD2021" s="1" t="s">
        <v>3270</v>
      </c>
      <c r="AE2021" s="1" t="s">
        <v>3241</v>
      </c>
      <c r="AF2021" s="1" t="s">
        <v>4703</v>
      </c>
      <c r="AG2021" s="1" t="s">
        <v>53</v>
      </c>
      <c r="AH2021" s="1" t="s">
        <v>49</v>
      </c>
      <c r="AI2021" s="1" t="s">
        <v>54</v>
      </c>
      <c r="AJ2021" s="1">
        <v>1</v>
      </c>
      <c r="AK2021" s="1" t="str">
        <f t="shared" si="31"/>
        <v xml:space="preserve"> =&lt;90</v>
      </c>
      <c r="AL2021" s="1" t="e">
        <f>VLOOKUP(C:C,[1]基础信息!B$1:D$65536,3,0)</f>
        <v>#N/A</v>
      </c>
      <c r="AM2021" s="1" t="e">
        <f>VLOOKUP(C:C,[1]基础信息!B$1:E$65536,4,0)</f>
        <v>#N/A</v>
      </c>
      <c r="AN2021" s="1" t="e">
        <f>VLOOKUP(C:C,[1]基础信息!B$1:F$65536,5,0)</f>
        <v>#N/A</v>
      </c>
    </row>
    <row r="2022" spans="1:40">
      <c r="A2022" s="1" t="s">
        <v>41</v>
      </c>
      <c r="B2022" s="1" t="s">
        <v>42</v>
      </c>
      <c r="C2022" s="1" t="s">
        <v>2166</v>
      </c>
      <c r="D2022" s="1" t="s">
        <v>2167</v>
      </c>
      <c r="E2022" s="1" t="s">
        <v>45</v>
      </c>
      <c r="F2022" s="1" t="s">
        <v>4631</v>
      </c>
      <c r="G2022" s="1" t="s">
        <v>4704</v>
      </c>
      <c r="H2022" s="1" t="s">
        <v>4705</v>
      </c>
      <c r="I2022" s="1" t="s">
        <v>49</v>
      </c>
      <c r="J2022" s="1" t="s">
        <v>48</v>
      </c>
      <c r="K2022" s="1">
        <v>16</v>
      </c>
      <c r="L2022" s="1">
        <v>0</v>
      </c>
      <c r="M2022" s="1">
        <v>0</v>
      </c>
      <c r="N2022" s="1">
        <v>16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 t="s">
        <v>49</v>
      </c>
      <c r="AA2022" s="1" t="s">
        <v>49</v>
      </c>
      <c r="AB2022" s="1" t="s">
        <v>49</v>
      </c>
      <c r="AC2022" s="1" t="s">
        <v>3217</v>
      </c>
      <c r="AD2022" s="1" t="s">
        <v>3218</v>
      </c>
      <c r="AE2022" s="1" t="s">
        <v>3217</v>
      </c>
      <c r="AF2022" s="1" t="s">
        <v>4469</v>
      </c>
      <c r="AG2022" s="1" t="s">
        <v>53</v>
      </c>
      <c r="AH2022" s="1" t="s">
        <v>49</v>
      </c>
      <c r="AI2022" s="1" t="s">
        <v>54</v>
      </c>
      <c r="AJ2022" s="1">
        <v>1</v>
      </c>
      <c r="AK2022" s="1" t="str">
        <f t="shared" si="31"/>
        <v xml:space="preserve"> =&lt;90</v>
      </c>
      <c r="AL2022" s="1" t="str">
        <f>VLOOKUP(C:C,[1]基础信息!B$1:D$65536,3,0)</f>
        <v>UTS</v>
      </c>
      <c r="AM2022" s="1" t="str">
        <f>VLOOKUP(C:C,[1]基础信息!B$1:E$65536,4,0)</f>
        <v>RO</v>
      </c>
      <c r="AN2022" s="1" t="str">
        <f>VLOOKUP(C:C,[1]基础信息!B$1:F$65536,5,0)</f>
        <v>Starry Grey Color</v>
      </c>
    </row>
    <row r="2023" spans="1:40">
      <c r="A2023" s="1" t="s">
        <v>41</v>
      </c>
      <c r="B2023" s="1" t="s">
        <v>42</v>
      </c>
      <c r="C2023" s="1" t="s">
        <v>969</v>
      </c>
      <c r="D2023" s="1" t="s">
        <v>970</v>
      </c>
      <c r="E2023" s="1" t="s">
        <v>45</v>
      </c>
      <c r="F2023" s="1" t="s">
        <v>4706</v>
      </c>
      <c r="G2023" s="1" t="s">
        <v>4707</v>
      </c>
      <c r="H2023" s="1" t="s">
        <v>4708</v>
      </c>
      <c r="I2023" s="1" t="s">
        <v>49</v>
      </c>
      <c r="J2023" s="1" t="s">
        <v>48</v>
      </c>
      <c r="K2023" s="1">
        <v>58</v>
      </c>
      <c r="L2023" s="1">
        <v>0</v>
      </c>
      <c r="M2023" s="1">
        <v>0</v>
      </c>
      <c r="N2023" s="1">
        <v>58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 t="s">
        <v>49</v>
      </c>
      <c r="AA2023" s="1" t="s">
        <v>49</v>
      </c>
      <c r="AB2023" s="1" t="s">
        <v>49</v>
      </c>
      <c r="AC2023" s="1" t="s">
        <v>2658</v>
      </c>
      <c r="AD2023" s="1" t="s">
        <v>2659</v>
      </c>
      <c r="AE2023" s="1" t="s">
        <v>2658</v>
      </c>
      <c r="AF2023" s="1" t="s">
        <v>4709</v>
      </c>
      <c r="AG2023" s="1" t="s">
        <v>53</v>
      </c>
      <c r="AH2023" s="1" t="s">
        <v>49</v>
      </c>
      <c r="AI2023" s="1" t="s">
        <v>54</v>
      </c>
      <c r="AJ2023" s="1">
        <v>1</v>
      </c>
      <c r="AK2023" s="1" t="str">
        <f t="shared" si="31"/>
        <v xml:space="preserve"> =&lt;90</v>
      </c>
      <c r="AL2023" s="1" t="str">
        <f>VLOOKUP(C:C,[1]基础信息!B$1:D$65536,3,0)</f>
        <v>Jug</v>
      </c>
      <c r="AM2023" s="1" t="str">
        <f>VLOOKUP(C:C,[1]基础信息!B$1:E$65536,4,0)</f>
        <v>Mxplus</v>
      </c>
      <c r="AN2023" s="1" t="str">
        <f>VLOOKUP(C:C,[1]基础信息!B$1:F$65536,5,0)</f>
        <v xml:space="preserve"> blue</v>
      </c>
    </row>
    <row r="2024" spans="1:40">
      <c r="A2024" s="1" t="s">
        <v>41</v>
      </c>
      <c r="B2024" s="1" t="s">
        <v>42</v>
      </c>
      <c r="C2024" s="1" t="s">
        <v>969</v>
      </c>
      <c r="D2024" s="1" t="s">
        <v>970</v>
      </c>
      <c r="E2024" s="1" t="s">
        <v>45</v>
      </c>
      <c r="F2024" s="1" t="s">
        <v>4706</v>
      </c>
      <c r="G2024" s="1" t="s">
        <v>4710</v>
      </c>
      <c r="H2024" s="1" t="s">
        <v>4711</v>
      </c>
      <c r="I2024" s="1" t="s">
        <v>49</v>
      </c>
      <c r="J2024" s="1" t="s">
        <v>48</v>
      </c>
      <c r="K2024" s="1">
        <v>80</v>
      </c>
      <c r="L2024" s="1">
        <v>0</v>
      </c>
      <c r="M2024" s="1">
        <v>0</v>
      </c>
      <c r="N2024" s="1">
        <v>80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 t="s">
        <v>49</v>
      </c>
      <c r="AA2024" s="1" t="s">
        <v>49</v>
      </c>
      <c r="AB2024" s="1" t="s">
        <v>49</v>
      </c>
      <c r="AC2024" s="1" t="s">
        <v>2658</v>
      </c>
      <c r="AD2024" s="1" t="s">
        <v>2659</v>
      </c>
      <c r="AE2024" s="1" t="s">
        <v>2658</v>
      </c>
      <c r="AF2024" s="1" t="s">
        <v>4709</v>
      </c>
      <c r="AG2024" s="1" t="s">
        <v>53</v>
      </c>
      <c r="AH2024" s="1" t="s">
        <v>49</v>
      </c>
      <c r="AI2024" s="1" t="s">
        <v>54</v>
      </c>
      <c r="AJ2024" s="1">
        <v>1</v>
      </c>
      <c r="AK2024" s="1" t="str">
        <f t="shared" si="31"/>
        <v xml:space="preserve"> =&lt;90</v>
      </c>
      <c r="AL2024" s="1" t="str">
        <f>VLOOKUP(C:C,[1]基础信息!B$1:D$65536,3,0)</f>
        <v>Jug</v>
      </c>
      <c r="AM2024" s="1" t="str">
        <f>VLOOKUP(C:C,[1]基础信息!B$1:E$65536,4,0)</f>
        <v>Mxplus</v>
      </c>
      <c r="AN2024" s="1" t="str">
        <f>VLOOKUP(C:C,[1]基础信息!B$1:F$65536,5,0)</f>
        <v xml:space="preserve"> blue</v>
      </c>
    </row>
    <row r="2025" spans="1:40">
      <c r="A2025" s="1" t="s">
        <v>41</v>
      </c>
      <c r="B2025" s="1" t="s">
        <v>42</v>
      </c>
      <c r="C2025" s="1" t="s">
        <v>969</v>
      </c>
      <c r="D2025" s="1" t="s">
        <v>970</v>
      </c>
      <c r="E2025" s="1" t="s">
        <v>45</v>
      </c>
      <c r="F2025" s="1" t="s">
        <v>4706</v>
      </c>
      <c r="G2025" s="1" t="s">
        <v>4712</v>
      </c>
      <c r="H2025" s="1" t="s">
        <v>4713</v>
      </c>
      <c r="I2025" s="1" t="s">
        <v>49</v>
      </c>
      <c r="J2025" s="1" t="s">
        <v>48</v>
      </c>
      <c r="K2025" s="1">
        <v>80</v>
      </c>
      <c r="L2025" s="1">
        <v>0</v>
      </c>
      <c r="M2025" s="1">
        <v>0</v>
      </c>
      <c r="N2025" s="1">
        <v>80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 t="s">
        <v>49</v>
      </c>
      <c r="AA2025" s="1" t="s">
        <v>49</v>
      </c>
      <c r="AB2025" s="1" t="s">
        <v>49</v>
      </c>
      <c r="AC2025" s="1" t="s">
        <v>2658</v>
      </c>
      <c r="AD2025" s="1" t="s">
        <v>2659</v>
      </c>
      <c r="AE2025" s="1" t="s">
        <v>2658</v>
      </c>
      <c r="AF2025" s="1" t="s">
        <v>4709</v>
      </c>
      <c r="AG2025" s="1" t="s">
        <v>53</v>
      </c>
      <c r="AH2025" s="1" t="s">
        <v>49</v>
      </c>
      <c r="AI2025" s="1" t="s">
        <v>54</v>
      </c>
      <c r="AJ2025" s="1">
        <v>1</v>
      </c>
      <c r="AK2025" s="1" t="str">
        <f t="shared" si="31"/>
        <v xml:space="preserve"> =&lt;90</v>
      </c>
      <c r="AL2025" s="1" t="str">
        <f>VLOOKUP(C:C,[1]基础信息!B$1:D$65536,3,0)</f>
        <v>Jug</v>
      </c>
      <c r="AM2025" s="1" t="str">
        <f>VLOOKUP(C:C,[1]基础信息!B$1:E$65536,4,0)</f>
        <v>Mxplus</v>
      </c>
      <c r="AN2025" s="1" t="str">
        <f>VLOOKUP(C:C,[1]基础信息!B$1:F$65536,5,0)</f>
        <v xml:space="preserve"> blue</v>
      </c>
    </row>
    <row r="2026" spans="1:40">
      <c r="A2026" s="1" t="s">
        <v>41</v>
      </c>
      <c r="B2026" s="1" t="s">
        <v>42</v>
      </c>
      <c r="C2026" s="1" t="s">
        <v>969</v>
      </c>
      <c r="D2026" s="1" t="s">
        <v>970</v>
      </c>
      <c r="E2026" s="1" t="s">
        <v>45</v>
      </c>
      <c r="F2026" s="1" t="s">
        <v>4706</v>
      </c>
      <c r="G2026" s="1" t="s">
        <v>4714</v>
      </c>
      <c r="H2026" s="1" t="s">
        <v>4715</v>
      </c>
      <c r="I2026" s="1" t="s">
        <v>49</v>
      </c>
      <c r="J2026" s="1" t="s">
        <v>48</v>
      </c>
      <c r="K2026" s="1">
        <v>80</v>
      </c>
      <c r="L2026" s="1">
        <v>0</v>
      </c>
      <c r="M2026" s="1">
        <v>0</v>
      </c>
      <c r="N2026" s="1">
        <v>80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 t="s">
        <v>49</v>
      </c>
      <c r="AA2026" s="1" t="s">
        <v>49</v>
      </c>
      <c r="AB2026" s="1" t="s">
        <v>49</v>
      </c>
      <c r="AC2026" s="1" t="s">
        <v>2658</v>
      </c>
      <c r="AD2026" s="1" t="s">
        <v>2659</v>
      </c>
      <c r="AE2026" s="1" t="s">
        <v>2658</v>
      </c>
      <c r="AF2026" s="1" t="s">
        <v>4709</v>
      </c>
      <c r="AG2026" s="1" t="s">
        <v>53</v>
      </c>
      <c r="AH2026" s="1" t="s">
        <v>49</v>
      </c>
      <c r="AI2026" s="1" t="s">
        <v>54</v>
      </c>
      <c r="AJ2026" s="1">
        <v>1</v>
      </c>
      <c r="AK2026" s="1" t="str">
        <f t="shared" si="31"/>
        <v xml:space="preserve"> =&lt;90</v>
      </c>
      <c r="AL2026" s="1" t="str">
        <f>VLOOKUP(C:C,[1]基础信息!B$1:D$65536,3,0)</f>
        <v>Jug</v>
      </c>
      <c r="AM2026" s="1" t="str">
        <f>VLOOKUP(C:C,[1]基础信息!B$1:E$65536,4,0)</f>
        <v>Mxplus</v>
      </c>
      <c r="AN2026" s="1" t="str">
        <f>VLOOKUP(C:C,[1]基础信息!B$1:F$65536,5,0)</f>
        <v xml:space="preserve"> blue</v>
      </c>
    </row>
    <row r="2027" spans="1:40">
      <c r="A2027" s="1" t="s">
        <v>41</v>
      </c>
      <c r="B2027" s="1" t="s">
        <v>42</v>
      </c>
      <c r="C2027" s="1" t="s">
        <v>4077</v>
      </c>
      <c r="D2027" s="1" t="s">
        <v>4078</v>
      </c>
      <c r="E2027" s="1" t="s">
        <v>45</v>
      </c>
      <c r="F2027" s="1" t="s">
        <v>4644</v>
      </c>
      <c r="G2027" s="1" t="s">
        <v>4716</v>
      </c>
      <c r="H2027" s="1" t="s">
        <v>4717</v>
      </c>
      <c r="I2027" s="1" t="s">
        <v>49</v>
      </c>
      <c r="J2027" s="1" t="s">
        <v>48</v>
      </c>
      <c r="K2027" s="1">
        <v>16</v>
      </c>
      <c r="L2027" s="1">
        <v>0</v>
      </c>
      <c r="M2027" s="1">
        <v>0</v>
      </c>
      <c r="N2027" s="1">
        <v>16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 t="s">
        <v>49</v>
      </c>
      <c r="AA2027" s="1" t="s">
        <v>49</v>
      </c>
      <c r="AB2027" s="1" t="s">
        <v>49</v>
      </c>
      <c r="AC2027" s="1" t="s">
        <v>3217</v>
      </c>
      <c r="AD2027" s="1" t="s">
        <v>3218</v>
      </c>
      <c r="AE2027" s="1" t="s">
        <v>3217</v>
      </c>
      <c r="AF2027" s="1" t="s">
        <v>4647</v>
      </c>
      <c r="AG2027" s="1" t="s">
        <v>53</v>
      </c>
      <c r="AH2027" s="1" t="s">
        <v>49</v>
      </c>
      <c r="AI2027" s="1" t="s">
        <v>54</v>
      </c>
      <c r="AJ2027" s="1">
        <v>1</v>
      </c>
      <c r="AK2027" s="1" t="str">
        <f t="shared" si="31"/>
        <v xml:space="preserve"> =&lt;90</v>
      </c>
      <c r="AL2027" s="1" t="str">
        <f>VLOOKUP(C:C,[1]基础信息!B$1:D$65536,3,0)</f>
        <v>UTS</v>
      </c>
      <c r="AM2027" s="1" t="str">
        <f>VLOOKUP(C:C,[1]基础信息!B$1:E$65536,4,0)</f>
        <v>RO</v>
      </c>
      <c r="AN2027" s="1" t="str">
        <f>VLOOKUP(C:C,[1]基础信息!B$1:F$65536,5,0)</f>
        <v>Starry Grey Color</v>
      </c>
    </row>
    <row r="2028" spans="1:40">
      <c r="A2028" s="1" t="s">
        <v>41</v>
      </c>
      <c r="B2028" s="1" t="s">
        <v>42</v>
      </c>
      <c r="C2028" s="1" t="s">
        <v>969</v>
      </c>
      <c r="D2028" s="1" t="s">
        <v>970</v>
      </c>
      <c r="E2028" s="1" t="s">
        <v>45</v>
      </c>
      <c r="F2028" s="1" t="s">
        <v>4706</v>
      </c>
      <c r="G2028" s="1" t="s">
        <v>4718</v>
      </c>
      <c r="H2028" s="1" t="s">
        <v>4719</v>
      </c>
      <c r="I2028" s="1" t="s">
        <v>49</v>
      </c>
      <c r="J2028" s="1" t="s">
        <v>48</v>
      </c>
      <c r="K2028" s="1">
        <v>80</v>
      </c>
      <c r="L2028" s="1">
        <v>0</v>
      </c>
      <c r="M2028" s="1">
        <v>0</v>
      </c>
      <c r="N2028" s="1">
        <v>80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 t="s">
        <v>49</v>
      </c>
      <c r="AA2028" s="1" t="s">
        <v>49</v>
      </c>
      <c r="AB2028" s="1" t="s">
        <v>49</v>
      </c>
      <c r="AC2028" s="1" t="s">
        <v>2658</v>
      </c>
      <c r="AD2028" s="1" t="s">
        <v>2659</v>
      </c>
      <c r="AE2028" s="1" t="s">
        <v>2658</v>
      </c>
      <c r="AF2028" s="1" t="s">
        <v>4709</v>
      </c>
      <c r="AG2028" s="1" t="s">
        <v>53</v>
      </c>
      <c r="AH2028" s="1" t="s">
        <v>49</v>
      </c>
      <c r="AI2028" s="1" t="s">
        <v>54</v>
      </c>
      <c r="AJ2028" s="1">
        <v>1</v>
      </c>
      <c r="AK2028" s="1" t="str">
        <f t="shared" si="31"/>
        <v xml:space="preserve"> =&lt;90</v>
      </c>
      <c r="AL2028" s="1" t="str">
        <f>VLOOKUP(C:C,[1]基础信息!B$1:D$65536,3,0)</f>
        <v>Jug</v>
      </c>
      <c r="AM2028" s="1" t="str">
        <f>VLOOKUP(C:C,[1]基础信息!B$1:E$65536,4,0)</f>
        <v>Mxplus</v>
      </c>
      <c r="AN2028" s="1" t="str">
        <f>VLOOKUP(C:C,[1]基础信息!B$1:F$65536,5,0)</f>
        <v xml:space="preserve"> blue</v>
      </c>
    </row>
    <row r="2029" spans="1:40">
      <c r="A2029" s="1" t="s">
        <v>41</v>
      </c>
      <c r="B2029" s="1" t="s">
        <v>42</v>
      </c>
      <c r="C2029" s="1" t="s">
        <v>969</v>
      </c>
      <c r="D2029" s="1" t="s">
        <v>970</v>
      </c>
      <c r="E2029" s="1" t="s">
        <v>45</v>
      </c>
      <c r="F2029" s="1" t="s">
        <v>4706</v>
      </c>
      <c r="G2029" s="1" t="s">
        <v>4720</v>
      </c>
      <c r="H2029" s="1" t="s">
        <v>4721</v>
      </c>
      <c r="I2029" s="1" t="s">
        <v>49</v>
      </c>
      <c r="J2029" s="1" t="s">
        <v>48</v>
      </c>
      <c r="K2029" s="1">
        <v>80</v>
      </c>
      <c r="L2029" s="1">
        <v>0</v>
      </c>
      <c r="M2029" s="1">
        <v>0</v>
      </c>
      <c r="N2029" s="1">
        <v>80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 t="s">
        <v>49</v>
      </c>
      <c r="AA2029" s="1" t="s">
        <v>49</v>
      </c>
      <c r="AB2029" s="1" t="s">
        <v>49</v>
      </c>
      <c r="AC2029" s="1" t="s">
        <v>2658</v>
      </c>
      <c r="AD2029" s="1" t="s">
        <v>2659</v>
      </c>
      <c r="AE2029" s="1" t="s">
        <v>2658</v>
      </c>
      <c r="AF2029" s="1" t="s">
        <v>4709</v>
      </c>
      <c r="AG2029" s="1" t="s">
        <v>53</v>
      </c>
      <c r="AH2029" s="1" t="s">
        <v>49</v>
      </c>
      <c r="AI2029" s="1" t="s">
        <v>54</v>
      </c>
      <c r="AJ2029" s="1">
        <v>1</v>
      </c>
      <c r="AK2029" s="1" t="str">
        <f t="shared" si="31"/>
        <v xml:space="preserve"> =&lt;90</v>
      </c>
      <c r="AL2029" s="1" t="str">
        <f>VLOOKUP(C:C,[1]基础信息!B$1:D$65536,3,0)</f>
        <v>Jug</v>
      </c>
      <c r="AM2029" s="1" t="str">
        <f>VLOOKUP(C:C,[1]基础信息!B$1:E$65536,4,0)</f>
        <v>Mxplus</v>
      </c>
      <c r="AN2029" s="1" t="str">
        <f>VLOOKUP(C:C,[1]基础信息!B$1:F$65536,5,0)</f>
        <v xml:space="preserve"> blue</v>
      </c>
    </row>
    <row r="2030" spans="1:40">
      <c r="A2030" s="1" t="s">
        <v>41</v>
      </c>
      <c r="B2030" s="1" t="s">
        <v>42</v>
      </c>
      <c r="C2030" s="1" t="s">
        <v>4636</v>
      </c>
      <c r="D2030" s="1" t="s">
        <v>4637</v>
      </c>
      <c r="E2030" s="1" t="s">
        <v>4636</v>
      </c>
      <c r="F2030" s="1" t="s">
        <v>4638</v>
      </c>
      <c r="G2030" s="1" t="s">
        <v>4722</v>
      </c>
      <c r="H2030" s="1" t="s">
        <v>4723</v>
      </c>
      <c r="I2030" s="1" t="s">
        <v>45</v>
      </c>
      <c r="J2030" s="1" t="s">
        <v>48</v>
      </c>
      <c r="K2030" s="1">
        <v>20</v>
      </c>
      <c r="L2030" s="1">
        <v>0</v>
      </c>
      <c r="M2030" s="1">
        <v>0</v>
      </c>
      <c r="N2030" s="1">
        <v>20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 t="s">
        <v>49</v>
      </c>
      <c r="AA2030" s="1" t="s">
        <v>49</v>
      </c>
      <c r="AB2030" s="1" t="s">
        <v>49</v>
      </c>
      <c r="AC2030" s="1" t="s">
        <v>4641</v>
      </c>
      <c r="AD2030" s="1" t="s">
        <v>4642</v>
      </c>
      <c r="AE2030" s="1" t="s">
        <v>4641</v>
      </c>
      <c r="AF2030" s="1" t="s">
        <v>4643</v>
      </c>
      <c r="AG2030" s="1" t="s">
        <v>227</v>
      </c>
      <c r="AH2030" s="1" t="s">
        <v>49</v>
      </c>
      <c r="AI2030" s="1" t="s">
        <v>54</v>
      </c>
      <c r="AJ2030" s="1">
        <v>1</v>
      </c>
      <c r="AK2030" s="1" t="str">
        <f t="shared" si="31"/>
        <v xml:space="preserve"> =&lt;90</v>
      </c>
      <c r="AL2030" s="1" t="str">
        <f>VLOOKUP(C:C,[1]基础信息!B$1:D$65536,3,0)</f>
        <v>Spare Parts</v>
      </c>
      <c r="AM2030" s="1" t="str">
        <f>VLOOKUP(C:C,[1]基础信息!B$1:E$65536,4,0)</f>
        <v>Spare Parts</v>
      </c>
      <c r="AN2030" s="1" t="str">
        <f>VLOOKUP(C:C,[1]基础信息!B$1:F$65536,5,0)</f>
        <v>Spare Parts</v>
      </c>
    </row>
    <row r="2031" spans="1:40">
      <c r="A2031" s="1" t="s">
        <v>41</v>
      </c>
      <c r="B2031" s="1" t="s">
        <v>42</v>
      </c>
      <c r="C2031" s="1" t="s">
        <v>341</v>
      </c>
      <c r="D2031" s="1" t="s">
        <v>342</v>
      </c>
      <c r="E2031" s="1" t="s">
        <v>45</v>
      </c>
      <c r="F2031" s="1" t="s">
        <v>343</v>
      </c>
      <c r="G2031" s="1" t="s">
        <v>4724</v>
      </c>
      <c r="H2031" s="1" t="s">
        <v>4725</v>
      </c>
      <c r="I2031" s="1" t="s">
        <v>49</v>
      </c>
      <c r="J2031" s="1" t="s">
        <v>48</v>
      </c>
      <c r="K2031" s="1">
        <v>70</v>
      </c>
      <c r="L2031" s="1">
        <v>0</v>
      </c>
      <c r="M2031" s="1">
        <v>0</v>
      </c>
      <c r="N2031" s="1">
        <v>70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 t="s">
        <v>49</v>
      </c>
      <c r="AA2031" s="1" t="s">
        <v>49</v>
      </c>
      <c r="AB2031" s="1" t="s">
        <v>49</v>
      </c>
      <c r="AC2031" s="1" t="s">
        <v>346</v>
      </c>
      <c r="AD2031" s="1" t="s">
        <v>347</v>
      </c>
      <c r="AE2031" s="1" t="s">
        <v>346</v>
      </c>
      <c r="AF2031" s="1" t="s">
        <v>348</v>
      </c>
      <c r="AG2031" s="1" t="s">
        <v>338</v>
      </c>
      <c r="AH2031" s="1" t="s">
        <v>49</v>
      </c>
      <c r="AI2031" s="1" t="s">
        <v>54</v>
      </c>
      <c r="AJ2031" s="1">
        <v>1</v>
      </c>
      <c r="AK2031" s="1" t="str">
        <f t="shared" si="31"/>
        <v xml:space="preserve"> =&lt;90</v>
      </c>
      <c r="AL2031" s="1" t="str">
        <f>VLOOKUP(C:C,[1]基础信息!B$1:D$65536,3,0)</f>
        <v>Jug</v>
      </c>
      <c r="AM2031" s="1" t="str">
        <f>VLOOKUP(C:C,[1]基础信息!B$1:E$65536,4,0)</f>
        <v>Marella</v>
      </c>
      <c r="AN2031" s="1" t="str">
        <f>VLOOKUP(C:C,[1]基础信息!B$1:F$65536,5,0)</f>
        <v>Blue Glitter</v>
      </c>
    </row>
    <row r="2032" spans="1:40">
      <c r="A2032" s="1" t="s">
        <v>41</v>
      </c>
      <c r="B2032" s="1" t="s">
        <v>42</v>
      </c>
      <c r="C2032" s="1" t="s">
        <v>4342</v>
      </c>
      <c r="D2032" s="1" t="s">
        <v>4343</v>
      </c>
      <c r="E2032" s="1" t="s">
        <v>45</v>
      </c>
      <c r="F2032" s="1" t="s">
        <v>4726</v>
      </c>
      <c r="G2032" s="1" t="s">
        <v>4727</v>
      </c>
      <c r="H2032" s="1" t="s">
        <v>45</v>
      </c>
      <c r="I2032" s="1" t="s">
        <v>45</v>
      </c>
      <c r="J2032" s="1" t="s">
        <v>48</v>
      </c>
      <c r="K2032" s="1">
        <v>528</v>
      </c>
      <c r="L2032" s="1">
        <v>0</v>
      </c>
      <c r="M2032" s="1">
        <v>0</v>
      </c>
      <c r="N2032" s="1">
        <v>528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 t="s">
        <v>49</v>
      </c>
      <c r="AA2032" s="1" t="s">
        <v>49</v>
      </c>
      <c r="AB2032" s="1" t="s">
        <v>49</v>
      </c>
      <c r="AC2032" s="1" t="s">
        <v>73</v>
      </c>
      <c r="AD2032" s="1" t="s">
        <v>74</v>
      </c>
      <c r="AE2032" s="1" t="s">
        <v>73</v>
      </c>
      <c r="AF2032" s="1" t="s">
        <v>4728</v>
      </c>
      <c r="AG2032" s="1" t="s">
        <v>53</v>
      </c>
      <c r="AH2032" s="1" t="s">
        <v>49</v>
      </c>
      <c r="AI2032" s="1" t="s">
        <v>54</v>
      </c>
      <c r="AJ2032" s="1">
        <v>1</v>
      </c>
      <c r="AK2032" s="1" t="str">
        <f t="shared" si="31"/>
        <v xml:space="preserve"> =&lt;90</v>
      </c>
      <c r="AL2032" s="1" t="e">
        <f>VLOOKUP(C:C,[1]基础信息!B$1:D$65536,3,0)</f>
        <v>#N/A</v>
      </c>
      <c r="AM2032" s="1" t="e">
        <f>VLOOKUP(C:C,[1]基础信息!B$1:E$65536,4,0)</f>
        <v>#N/A</v>
      </c>
      <c r="AN2032" s="1" t="e">
        <f>VLOOKUP(C:C,[1]基础信息!B$1:F$65536,5,0)</f>
        <v>#N/A</v>
      </c>
    </row>
    <row r="2033" spans="1:40">
      <c r="A2033" s="1" t="s">
        <v>41</v>
      </c>
      <c r="B2033" s="1" t="s">
        <v>42</v>
      </c>
      <c r="C2033" s="1" t="s">
        <v>2166</v>
      </c>
      <c r="D2033" s="1" t="s">
        <v>2167</v>
      </c>
      <c r="E2033" s="1" t="s">
        <v>45</v>
      </c>
      <c r="F2033" s="1" t="s">
        <v>4729</v>
      </c>
      <c r="G2033" s="1" t="s">
        <v>4730</v>
      </c>
      <c r="H2033" s="1" t="s">
        <v>4731</v>
      </c>
      <c r="I2033" s="1" t="s">
        <v>49</v>
      </c>
      <c r="J2033" s="1" t="s">
        <v>48</v>
      </c>
      <c r="K2033" s="1">
        <v>7</v>
      </c>
      <c r="L2033" s="1">
        <v>0</v>
      </c>
      <c r="M2033" s="1">
        <v>0</v>
      </c>
      <c r="N2033" s="1">
        <v>7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 t="s">
        <v>49</v>
      </c>
      <c r="AA2033" s="1" t="s">
        <v>49</v>
      </c>
      <c r="AB2033" s="1" t="s">
        <v>49</v>
      </c>
      <c r="AC2033" s="1" t="s">
        <v>4732</v>
      </c>
      <c r="AD2033" s="1" t="s">
        <v>4733</v>
      </c>
      <c r="AE2033" s="1" t="s">
        <v>4732</v>
      </c>
      <c r="AF2033" s="1" t="s">
        <v>3986</v>
      </c>
      <c r="AG2033" s="1" t="s">
        <v>53</v>
      </c>
      <c r="AH2033" s="1" t="s">
        <v>49</v>
      </c>
      <c r="AI2033" s="1" t="s">
        <v>54</v>
      </c>
      <c r="AJ2033" s="1">
        <v>1</v>
      </c>
      <c r="AK2033" s="1" t="str">
        <f t="shared" si="31"/>
        <v xml:space="preserve"> =&lt;90</v>
      </c>
      <c r="AL2033" s="1" t="str">
        <f>VLOOKUP(C:C,[1]基础信息!B$1:D$65536,3,0)</f>
        <v>UTS</v>
      </c>
      <c r="AM2033" s="1" t="str">
        <f>VLOOKUP(C:C,[1]基础信息!B$1:E$65536,4,0)</f>
        <v>RO</v>
      </c>
      <c r="AN2033" s="1" t="str">
        <f>VLOOKUP(C:C,[1]基础信息!B$1:F$65536,5,0)</f>
        <v>Starry Grey Color</v>
      </c>
    </row>
    <row r="2034" spans="1:40">
      <c r="A2034" s="1" t="s">
        <v>41</v>
      </c>
      <c r="B2034" s="1" t="s">
        <v>42</v>
      </c>
      <c r="C2034" s="1" t="s">
        <v>4342</v>
      </c>
      <c r="D2034" s="1" t="s">
        <v>4343</v>
      </c>
      <c r="E2034" s="1" t="s">
        <v>45</v>
      </c>
      <c r="F2034" s="1" t="s">
        <v>4726</v>
      </c>
      <c r="G2034" s="1" t="s">
        <v>4734</v>
      </c>
      <c r="H2034" s="1" t="s">
        <v>45</v>
      </c>
      <c r="I2034" s="1" t="s">
        <v>45</v>
      </c>
      <c r="J2034" s="1" t="s">
        <v>48</v>
      </c>
      <c r="K2034" s="1">
        <v>540</v>
      </c>
      <c r="L2034" s="1">
        <v>0</v>
      </c>
      <c r="M2034" s="1">
        <v>0</v>
      </c>
      <c r="N2034" s="1">
        <v>540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 t="s">
        <v>49</v>
      </c>
      <c r="AA2034" s="1" t="s">
        <v>49</v>
      </c>
      <c r="AB2034" s="1" t="s">
        <v>49</v>
      </c>
      <c r="AC2034" s="1" t="s">
        <v>73</v>
      </c>
      <c r="AD2034" s="1" t="s">
        <v>74</v>
      </c>
      <c r="AE2034" s="1" t="s">
        <v>73</v>
      </c>
      <c r="AF2034" s="1" t="s">
        <v>4728</v>
      </c>
      <c r="AG2034" s="1" t="s">
        <v>53</v>
      </c>
      <c r="AH2034" s="1" t="s">
        <v>49</v>
      </c>
      <c r="AI2034" s="1" t="s">
        <v>54</v>
      </c>
      <c r="AJ2034" s="1">
        <v>1</v>
      </c>
      <c r="AK2034" s="1" t="str">
        <f t="shared" si="31"/>
        <v xml:space="preserve"> =&lt;90</v>
      </c>
      <c r="AL2034" s="1" t="e">
        <f>VLOOKUP(C:C,[1]基础信息!B$1:D$65536,3,0)</f>
        <v>#N/A</v>
      </c>
      <c r="AM2034" s="1" t="e">
        <f>VLOOKUP(C:C,[1]基础信息!B$1:E$65536,4,0)</f>
        <v>#N/A</v>
      </c>
      <c r="AN2034" s="1" t="e">
        <f>VLOOKUP(C:C,[1]基础信息!B$1:F$65536,5,0)</f>
        <v>#N/A</v>
      </c>
    </row>
    <row r="2035" spans="1:40">
      <c r="A2035" s="1" t="s">
        <v>41</v>
      </c>
      <c r="B2035" s="1" t="s">
        <v>42</v>
      </c>
      <c r="C2035" s="1" t="s">
        <v>2166</v>
      </c>
      <c r="D2035" s="1" t="s">
        <v>2167</v>
      </c>
      <c r="E2035" s="1" t="s">
        <v>45</v>
      </c>
      <c r="F2035" s="1" t="s">
        <v>4729</v>
      </c>
      <c r="G2035" s="1" t="s">
        <v>4735</v>
      </c>
      <c r="H2035" s="1" t="s">
        <v>4736</v>
      </c>
      <c r="I2035" s="1" t="s">
        <v>49</v>
      </c>
      <c r="J2035" s="1" t="s">
        <v>48</v>
      </c>
      <c r="K2035" s="1">
        <v>16</v>
      </c>
      <c r="L2035" s="1">
        <v>0</v>
      </c>
      <c r="M2035" s="1">
        <v>0</v>
      </c>
      <c r="N2035" s="1">
        <v>16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 t="s">
        <v>49</v>
      </c>
      <c r="AA2035" s="1" t="s">
        <v>49</v>
      </c>
      <c r="AB2035" s="1" t="s">
        <v>49</v>
      </c>
      <c r="AC2035" s="1" t="s">
        <v>4732</v>
      </c>
      <c r="AD2035" s="1" t="s">
        <v>4733</v>
      </c>
      <c r="AE2035" s="1" t="s">
        <v>4732</v>
      </c>
      <c r="AF2035" s="1" t="s">
        <v>3986</v>
      </c>
      <c r="AG2035" s="1" t="s">
        <v>53</v>
      </c>
      <c r="AH2035" s="1" t="s">
        <v>49</v>
      </c>
      <c r="AI2035" s="1" t="s">
        <v>54</v>
      </c>
      <c r="AJ2035" s="1">
        <v>1</v>
      </c>
      <c r="AK2035" s="1" t="str">
        <f t="shared" si="31"/>
        <v xml:space="preserve"> =&lt;90</v>
      </c>
      <c r="AL2035" s="1" t="str">
        <f>VLOOKUP(C:C,[1]基础信息!B$1:D$65536,3,0)</f>
        <v>UTS</v>
      </c>
      <c r="AM2035" s="1" t="str">
        <f>VLOOKUP(C:C,[1]基础信息!B$1:E$65536,4,0)</f>
        <v>RO</v>
      </c>
      <c r="AN2035" s="1" t="str">
        <f>VLOOKUP(C:C,[1]基础信息!B$1:F$65536,5,0)</f>
        <v>Starry Grey Color</v>
      </c>
    </row>
    <row r="2036" spans="1:40">
      <c r="A2036" s="1" t="s">
        <v>41</v>
      </c>
      <c r="B2036" s="1" t="s">
        <v>42</v>
      </c>
      <c r="C2036" s="1" t="s">
        <v>1437</v>
      </c>
      <c r="D2036" s="1" t="s">
        <v>1438</v>
      </c>
      <c r="E2036" s="1" t="s">
        <v>45</v>
      </c>
      <c r="F2036" s="1" t="s">
        <v>4413</v>
      </c>
      <c r="G2036" s="1" t="s">
        <v>4737</v>
      </c>
      <c r="H2036" s="1" t="s">
        <v>45</v>
      </c>
      <c r="I2036" s="1" t="s">
        <v>45</v>
      </c>
      <c r="J2036" s="1" t="s">
        <v>48</v>
      </c>
      <c r="K2036" s="1">
        <v>540</v>
      </c>
      <c r="L2036" s="1">
        <v>0</v>
      </c>
      <c r="M2036" s="1">
        <v>0</v>
      </c>
      <c r="N2036" s="1">
        <v>540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 t="s">
        <v>49</v>
      </c>
      <c r="AA2036" s="1" t="s">
        <v>49</v>
      </c>
      <c r="AB2036" s="1" t="s">
        <v>49</v>
      </c>
      <c r="AC2036" s="1" t="s">
        <v>4395</v>
      </c>
      <c r="AD2036" s="1" t="s">
        <v>4396</v>
      </c>
      <c r="AE2036" s="1" t="s">
        <v>4395</v>
      </c>
      <c r="AF2036" s="1" t="s">
        <v>4415</v>
      </c>
      <c r="AG2036" s="1" t="s">
        <v>53</v>
      </c>
      <c r="AH2036" s="1" t="s">
        <v>49</v>
      </c>
      <c r="AI2036" s="1" t="s">
        <v>54</v>
      </c>
      <c r="AJ2036" s="1">
        <v>1</v>
      </c>
      <c r="AK2036" s="1" t="str">
        <f t="shared" si="31"/>
        <v xml:space="preserve"> =&lt;90</v>
      </c>
      <c r="AL2036" s="1" t="str">
        <f>VLOOKUP(C:C,[1]基础信息!B$1:D$65536,3,0)</f>
        <v>On tap</v>
      </c>
      <c r="AM2036" s="1" t="str">
        <f>VLOOKUP(C:C,[1]基础信息!B$1:E$65536,4,0)</f>
        <v>On tap</v>
      </c>
      <c r="AN2036" s="1" t="str">
        <f>VLOOKUP(C:C,[1]基础信息!B$1:F$65536,5,0)</f>
        <v>On tap</v>
      </c>
    </row>
    <row r="2037" spans="1:40">
      <c r="A2037" s="1" t="s">
        <v>41</v>
      </c>
      <c r="B2037" s="1" t="s">
        <v>42</v>
      </c>
      <c r="C2037" s="1" t="s">
        <v>2166</v>
      </c>
      <c r="D2037" s="1" t="s">
        <v>2167</v>
      </c>
      <c r="E2037" s="1" t="s">
        <v>45</v>
      </c>
      <c r="F2037" s="1" t="s">
        <v>4729</v>
      </c>
      <c r="G2037" s="1" t="s">
        <v>4738</v>
      </c>
      <c r="H2037" s="1" t="s">
        <v>4739</v>
      </c>
      <c r="I2037" s="1" t="s">
        <v>49</v>
      </c>
      <c r="J2037" s="1" t="s">
        <v>48</v>
      </c>
      <c r="K2037" s="1">
        <v>16</v>
      </c>
      <c r="L2037" s="1">
        <v>0</v>
      </c>
      <c r="M2037" s="1">
        <v>0</v>
      </c>
      <c r="N2037" s="1">
        <v>16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 t="s">
        <v>49</v>
      </c>
      <c r="AA2037" s="1" t="s">
        <v>49</v>
      </c>
      <c r="AB2037" s="1" t="s">
        <v>49</v>
      </c>
      <c r="AC2037" s="1" t="s">
        <v>4732</v>
      </c>
      <c r="AD2037" s="1" t="s">
        <v>4733</v>
      </c>
      <c r="AE2037" s="1" t="s">
        <v>4732</v>
      </c>
      <c r="AF2037" s="1" t="s">
        <v>3986</v>
      </c>
      <c r="AG2037" s="1" t="s">
        <v>53</v>
      </c>
      <c r="AH2037" s="1" t="s">
        <v>49</v>
      </c>
      <c r="AI2037" s="1" t="s">
        <v>54</v>
      </c>
      <c r="AJ2037" s="1">
        <v>1</v>
      </c>
      <c r="AK2037" s="1" t="str">
        <f t="shared" si="31"/>
        <v xml:space="preserve"> =&lt;90</v>
      </c>
      <c r="AL2037" s="1" t="str">
        <f>VLOOKUP(C:C,[1]基础信息!B$1:D$65536,3,0)</f>
        <v>UTS</v>
      </c>
      <c r="AM2037" s="1" t="str">
        <f>VLOOKUP(C:C,[1]基础信息!B$1:E$65536,4,0)</f>
        <v>RO</v>
      </c>
      <c r="AN2037" s="1" t="str">
        <f>VLOOKUP(C:C,[1]基础信息!B$1:F$65536,5,0)</f>
        <v>Starry Grey Color</v>
      </c>
    </row>
    <row r="2038" spans="1:40">
      <c r="A2038" s="1" t="s">
        <v>41</v>
      </c>
      <c r="B2038" s="1" t="s">
        <v>42</v>
      </c>
      <c r="C2038" s="1" t="s">
        <v>83</v>
      </c>
      <c r="D2038" s="1" t="s">
        <v>84</v>
      </c>
      <c r="E2038" s="1" t="s">
        <v>45</v>
      </c>
      <c r="F2038" s="1" t="s">
        <v>4271</v>
      </c>
      <c r="G2038" s="1" t="s">
        <v>4740</v>
      </c>
      <c r="H2038" s="1" t="s">
        <v>45</v>
      </c>
      <c r="I2038" s="1" t="s">
        <v>45</v>
      </c>
      <c r="J2038" s="1" t="s">
        <v>48</v>
      </c>
      <c r="K2038" s="1">
        <v>11</v>
      </c>
      <c r="L2038" s="1">
        <v>0</v>
      </c>
      <c r="M2038" s="1">
        <v>0</v>
      </c>
      <c r="N2038" s="1">
        <v>11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 t="s">
        <v>49</v>
      </c>
      <c r="AA2038" s="1" t="s">
        <v>49</v>
      </c>
      <c r="AB2038" s="1" t="s">
        <v>49</v>
      </c>
      <c r="AC2038" s="1" t="s">
        <v>414</v>
      </c>
      <c r="AD2038" s="1" t="s">
        <v>415</v>
      </c>
      <c r="AE2038" s="1" t="s">
        <v>414</v>
      </c>
      <c r="AF2038" s="1" t="s">
        <v>49</v>
      </c>
      <c r="AG2038" s="1" t="s">
        <v>3464</v>
      </c>
      <c r="AH2038" s="1" t="s">
        <v>49</v>
      </c>
      <c r="AI2038" s="1" t="s">
        <v>54</v>
      </c>
      <c r="AJ2038" s="1">
        <v>1</v>
      </c>
      <c r="AK2038" s="1" t="str">
        <f t="shared" si="31"/>
        <v xml:space="preserve"> =&lt;90</v>
      </c>
      <c r="AL2038" s="1" t="str">
        <f>VLOOKUP(C:C,[1]基础信息!B$1:D$65536,3,0)</f>
        <v>Jug</v>
      </c>
      <c r="AM2038" s="1" t="str">
        <f>VLOOKUP(C:C,[1]基础信息!B$1:E$65536,4,0)</f>
        <v>Mxplus</v>
      </c>
      <c r="AN2038" s="1" t="str">
        <f>VLOOKUP(C:C,[1]基础信息!B$1:F$65536,5,0)</f>
        <v>Blue</v>
      </c>
    </row>
    <row r="2039" spans="1:40">
      <c r="A2039" s="1" t="s">
        <v>41</v>
      </c>
      <c r="B2039" s="1" t="s">
        <v>42</v>
      </c>
      <c r="C2039" s="1" t="s">
        <v>285</v>
      </c>
      <c r="D2039" s="1" t="s">
        <v>286</v>
      </c>
      <c r="E2039" s="1" t="s">
        <v>45</v>
      </c>
      <c r="F2039" s="1" t="s">
        <v>4741</v>
      </c>
      <c r="G2039" s="1" t="s">
        <v>4742</v>
      </c>
      <c r="H2039" s="1" t="s">
        <v>4743</v>
      </c>
      <c r="I2039" s="1" t="s">
        <v>49</v>
      </c>
      <c r="J2039" s="1" t="s">
        <v>48</v>
      </c>
      <c r="K2039" s="1">
        <v>4</v>
      </c>
      <c r="L2039" s="1">
        <v>0</v>
      </c>
      <c r="M2039" s="1">
        <v>0</v>
      </c>
      <c r="N2039" s="1">
        <v>4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 t="s">
        <v>49</v>
      </c>
      <c r="AA2039" s="1" t="s">
        <v>49</v>
      </c>
      <c r="AB2039" s="1" t="s">
        <v>49</v>
      </c>
      <c r="AC2039" s="1" t="s">
        <v>3098</v>
      </c>
      <c r="AD2039" s="1" t="s">
        <v>3099</v>
      </c>
      <c r="AE2039" s="1" t="s">
        <v>3098</v>
      </c>
      <c r="AF2039" s="1" t="s">
        <v>2414</v>
      </c>
      <c r="AG2039" s="1" t="s">
        <v>53</v>
      </c>
      <c r="AH2039" s="1" t="s">
        <v>49</v>
      </c>
      <c r="AI2039" s="1" t="s">
        <v>54</v>
      </c>
      <c r="AJ2039" s="1">
        <v>1</v>
      </c>
      <c r="AK2039" s="1" t="str">
        <f t="shared" si="31"/>
        <v xml:space="preserve"> =&lt;90</v>
      </c>
      <c r="AL2039" s="1" t="str">
        <f>VLOOKUP(C:C,[1]基础信息!B$1:D$65536,3,0)</f>
        <v>Jug</v>
      </c>
      <c r="AM2039" s="1" t="str">
        <f>VLOOKUP(C:C,[1]基础信息!B$1:E$65536,4,0)</f>
        <v>Marella XL</v>
      </c>
      <c r="AN2039" s="1" t="str">
        <f>VLOOKUP(C:C,[1]基础信息!B$1:F$65536,5,0)</f>
        <v>Blue</v>
      </c>
    </row>
    <row r="2040" spans="1:40">
      <c r="A2040" s="1" t="s">
        <v>41</v>
      </c>
      <c r="B2040" s="1" t="s">
        <v>42</v>
      </c>
      <c r="C2040" s="1" t="s">
        <v>285</v>
      </c>
      <c r="D2040" s="1" t="s">
        <v>286</v>
      </c>
      <c r="E2040" s="1" t="s">
        <v>45</v>
      </c>
      <c r="F2040" s="1" t="s">
        <v>4741</v>
      </c>
      <c r="G2040" s="1" t="s">
        <v>4744</v>
      </c>
      <c r="H2040" s="1" t="s">
        <v>4745</v>
      </c>
      <c r="I2040" s="1" t="s">
        <v>49</v>
      </c>
      <c r="J2040" s="1" t="s">
        <v>48</v>
      </c>
      <c r="K2040" s="1">
        <v>70</v>
      </c>
      <c r="L2040" s="1">
        <v>0</v>
      </c>
      <c r="M2040" s="1">
        <v>0</v>
      </c>
      <c r="N2040" s="1">
        <v>70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 t="s">
        <v>49</v>
      </c>
      <c r="AA2040" s="1" t="s">
        <v>49</v>
      </c>
      <c r="AB2040" s="1" t="s">
        <v>49</v>
      </c>
      <c r="AC2040" s="1" t="s">
        <v>3098</v>
      </c>
      <c r="AD2040" s="1" t="s">
        <v>3099</v>
      </c>
      <c r="AE2040" s="1" t="s">
        <v>3098</v>
      </c>
      <c r="AF2040" s="1" t="s">
        <v>2414</v>
      </c>
      <c r="AG2040" s="1" t="s">
        <v>53</v>
      </c>
      <c r="AH2040" s="1" t="s">
        <v>49</v>
      </c>
      <c r="AI2040" s="1" t="s">
        <v>54</v>
      </c>
      <c r="AJ2040" s="1">
        <v>1</v>
      </c>
      <c r="AK2040" s="1" t="str">
        <f t="shared" si="31"/>
        <v xml:space="preserve"> =&lt;90</v>
      </c>
      <c r="AL2040" s="1" t="str">
        <f>VLOOKUP(C:C,[1]基础信息!B$1:D$65536,3,0)</f>
        <v>Jug</v>
      </c>
      <c r="AM2040" s="1" t="str">
        <f>VLOOKUP(C:C,[1]基础信息!B$1:E$65536,4,0)</f>
        <v>Marella XL</v>
      </c>
      <c r="AN2040" s="1" t="str">
        <f>VLOOKUP(C:C,[1]基础信息!B$1:F$65536,5,0)</f>
        <v>Blue</v>
      </c>
    </row>
    <row r="2041" spans="1:40">
      <c r="A2041" s="1" t="s">
        <v>41</v>
      </c>
      <c r="B2041" s="1" t="s">
        <v>42</v>
      </c>
      <c r="C2041" s="1" t="s">
        <v>2166</v>
      </c>
      <c r="D2041" s="1" t="s">
        <v>2167</v>
      </c>
      <c r="E2041" s="1" t="s">
        <v>45</v>
      </c>
      <c r="F2041" s="1" t="s">
        <v>4729</v>
      </c>
      <c r="G2041" s="1" t="s">
        <v>4746</v>
      </c>
      <c r="H2041" s="1" t="s">
        <v>4747</v>
      </c>
      <c r="I2041" s="1" t="s">
        <v>49</v>
      </c>
      <c r="J2041" s="1" t="s">
        <v>48</v>
      </c>
      <c r="K2041" s="1">
        <v>16</v>
      </c>
      <c r="L2041" s="1">
        <v>0</v>
      </c>
      <c r="M2041" s="1">
        <v>0</v>
      </c>
      <c r="N2041" s="1">
        <v>16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 t="s">
        <v>49</v>
      </c>
      <c r="AA2041" s="1" t="s">
        <v>49</v>
      </c>
      <c r="AB2041" s="1" t="s">
        <v>49</v>
      </c>
      <c r="AC2041" s="1" t="s">
        <v>4732</v>
      </c>
      <c r="AD2041" s="1" t="s">
        <v>4733</v>
      </c>
      <c r="AE2041" s="1" t="s">
        <v>4732</v>
      </c>
      <c r="AF2041" s="1" t="s">
        <v>3986</v>
      </c>
      <c r="AG2041" s="1" t="s">
        <v>53</v>
      </c>
      <c r="AH2041" s="1" t="s">
        <v>49</v>
      </c>
      <c r="AI2041" s="1" t="s">
        <v>54</v>
      </c>
      <c r="AJ2041" s="1">
        <v>1</v>
      </c>
      <c r="AK2041" s="1" t="str">
        <f t="shared" si="31"/>
        <v xml:space="preserve"> =&lt;90</v>
      </c>
      <c r="AL2041" s="1" t="str">
        <f>VLOOKUP(C:C,[1]基础信息!B$1:D$65536,3,0)</f>
        <v>UTS</v>
      </c>
      <c r="AM2041" s="1" t="str">
        <f>VLOOKUP(C:C,[1]基础信息!B$1:E$65536,4,0)</f>
        <v>RO</v>
      </c>
      <c r="AN2041" s="1" t="str">
        <f>VLOOKUP(C:C,[1]基础信息!B$1:F$65536,5,0)</f>
        <v>Starry Grey Color</v>
      </c>
    </row>
    <row r="2042" spans="1:40">
      <c r="A2042" s="1" t="s">
        <v>41</v>
      </c>
      <c r="B2042" s="1" t="s">
        <v>42</v>
      </c>
      <c r="C2042" s="1" t="s">
        <v>2166</v>
      </c>
      <c r="D2042" s="1" t="s">
        <v>2167</v>
      </c>
      <c r="E2042" s="1" t="s">
        <v>45</v>
      </c>
      <c r="F2042" s="1" t="s">
        <v>4729</v>
      </c>
      <c r="G2042" s="1" t="s">
        <v>4748</v>
      </c>
      <c r="H2042" s="1" t="s">
        <v>4749</v>
      </c>
      <c r="I2042" s="1" t="s">
        <v>49</v>
      </c>
      <c r="J2042" s="1" t="s">
        <v>48</v>
      </c>
      <c r="K2042" s="1">
        <v>16</v>
      </c>
      <c r="L2042" s="1">
        <v>0</v>
      </c>
      <c r="M2042" s="1">
        <v>0</v>
      </c>
      <c r="N2042" s="1">
        <v>16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 t="s">
        <v>49</v>
      </c>
      <c r="AA2042" s="1" t="s">
        <v>49</v>
      </c>
      <c r="AB2042" s="1" t="s">
        <v>49</v>
      </c>
      <c r="AC2042" s="1" t="s">
        <v>4732</v>
      </c>
      <c r="AD2042" s="1" t="s">
        <v>4733</v>
      </c>
      <c r="AE2042" s="1" t="s">
        <v>4732</v>
      </c>
      <c r="AF2042" s="1" t="s">
        <v>3986</v>
      </c>
      <c r="AG2042" s="1" t="s">
        <v>53</v>
      </c>
      <c r="AH2042" s="1" t="s">
        <v>49</v>
      </c>
      <c r="AI2042" s="1" t="s">
        <v>54</v>
      </c>
      <c r="AJ2042" s="1">
        <v>1</v>
      </c>
      <c r="AK2042" s="1" t="str">
        <f t="shared" si="31"/>
        <v xml:space="preserve"> =&lt;90</v>
      </c>
      <c r="AL2042" s="1" t="str">
        <f>VLOOKUP(C:C,[1]基础信息!B$1:D$65536,3,0)</f>
        <v>UTS</v>
      </c>
      <c r="AM2042" s="1" t="str">
        <f>VLOOKUP(C:C,[1]基础信息!B$1:E$65536,4,0)</f>
        <v>RO</v>
      </c>
      <c r="AN2042" s="1" t="str">
        <f>VLOOKUP(C:C,[1]基础信息!B$1:F$65536,5,0)</f>
        <v>Starry Grey Color</v>
      </c>
    </row>
    <row r="2043" spans="1:40">
      <c r="A2043" s="1" t="s">
        <v>41</v>
      </c>
      <c r="B2043" s="1" t="s">
        <v>42</v>
      </c>
      <c r="C2043" s="1" t="s">
        <v>1437</v>
      </c>
      <c r="D2043" s="1" t="s">
        <v>1438</v>
      </c>
      <c r="E2043" s="1" t="s">
        <v>45</v>
      </c>
      <c r="F2043" s="1" t="s">
        <v>4398</v>
      </c>
      <c r="G2043" s="1" t="s">
        <v>4750</v>
      </c>
      <c r="H2043" s="1" t="s">
        <v>45</v>
      </c>
      <c r="I2043" s="1" t="s">
        <v>45</v>
      </c>
      <c r="J2043" s="1" t="s">
        <v>48</v>
      </c>
      <c r="K2043" s="1">
        <v>450</v>
      </c>
      <c r="L2043" s="1">
        <v>0</v>
      </c>
      <c r="M2043" s="1">
        <v>0</v>
      </c>
      <c r="N2043" s="1">
        <v>450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 t="s">
        <v>49</v>
      </c>
      <c r="AA2043" s="1" t="s">
        <v>49</v>
      </c>
      <c r="AB2043" s="1" t="s">
        <v>49</v>
      </c>
      <c r="AC2043" s="1" t="s">
        <v>4395</v>
      </c>
      <c r="AD2043" s="1" t="s">
        <v>4396</v>
      </c>
      <c r="AE2043" s="1" t="s">
        <v>4395</v>
      </c>
      <c r="AF2043" s="1" t="s">
        <v>4400</v>
      </c>
      <c r="AG2043" s="1" t="s">
        <v>53</v>
      </c>
      <c r="AH2043" s="1" t="s">
        <v>49</v>
      </c>
      <c r="AI2043" s="1" t="s">
        <v>54</v>
      </c>
      <c r="AJ2043" s="1">
        <v>1</v>
      </c>
      <c r="AK2043" s="1" t="str">
        <f t="shared" si="31"/>
        <v xml:space="preserve"> =&lt;90</v>
      </c>
      <c r="AL2043" s="1" t="str">
        <f>VLOOKUP(C:C,[1]基础信息!B$1:D$65536,3,0)</f>
        <v>On tap</v>
      </c>
      <c r="AM2043" s="1" t="str">
        <f>VLOOKUP(C:C,[1]基础信息!B$1:E$65536,4,0)</f>
        <v>On tap</v>
      </c>
      <c r="AN2043" s="1" t="str">
        <f>VLOOKUP(C:C,[1]基础信息!B$1:F$65536,5,0)</f>
        <v>On tap</v>
      </c>
    </row>
    <row r="2044" spans="1:40">
      <c r="A2044" s="1" t="s">
        <v>41</v>
      </c>
      <c r="B2044" s="1" t="s">
        <v>42</v>
      </c>
      <c r="C2044" s="1" t="s">
        <v>3512</v>
      </c>
      <c r="D2044" s="1" t="s">
        <v>3513</v>
      </c>
      <c r="E2044" s="1" t="s">
        <v>45</v>
      </c>
      <c r="F2044" s="1" t="s">
        <v>4236</v>
      </c>
      <c r="G2044" s="1" t="s">
        <v>4751</v>
      </c>
      <c r="H2044" s="1" t="s">
        <v>45</v>
      </c>
      <c r="I2044" s="1" t="s">
        <v>45</v>
      </c>
      <c r="J2044" s="1" t="s">
        <v>48</v>
      </c>
      <c r="K2044" s="1">
        <v>847</v>
      </c>
      <c r="L2044" s="1">
        <v>0</v>
      </c>
      <c r="M2044" s="1">
        <v>0</v>
      </c>
      <c r="N2044" s="1">
        <v>847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 t="s">
        <v>49</v>
      </c>
      <c r="AA2044" s="1" t="s">
        <v>49</v>
      </c>
      <c r="AB2044" s="1" t="s">
        <v>49</v>
      </c>
      <c r="AC2044" s="1" t="s">
        <v>414</v>
      </c>
      <c r="AD2044" s="1" t="s">
        <v>415</v>
      </c>
      <c r="AE2044" s="1" t="s">
        <v>414</v>
      </c>
      <c r="AF2044" s="1" t="s">
        <v>49</v>
      </c>
      <c r="AG2044" s="1" t="s">
        <v>3464</v>
      </c>
      <c r="AH2044" s="1" t="s">
        <v>49</v>
      </c>
      <c r="AI2044" s="1" t="s">
        <v>54</v>
      </c>
      <c r="AJ2044" s="1">
        <v>1</v>
      </c>
      <c r="AK2044" s="1" t="str">
        <f t="shared" si="31"/>
        <v xml:space="preserve"> =&lt;90</v>
      </c>
      <c r="AL2044" s="1" t="str">
        <f>VLOOKUP(C:C,[1]基础信息!B$1:D$65536,3,0)</f>
        <v xml:space="preserve">Cartridge </v>
      </c>
      <c r="AM2044" s="1" t="str">
        <f>VLOOKUP(C:C,[1]基础信息!B$1:E$65536,4,0)</f>
        <v>UNIV</v>
      </c>
      <c r="AN2044" s="1" t="str">
        <f>VLOOKUP(C:C,[1]基础信息!B$1:F$65536,5,0)</f>
        <v>P3</v>
      </c>
    </row>
    <row r="2045" spans="1:40">
      <c r="A2045" s="1" t="s">
        <v>41</v>
      </c>
      <c r="B2045" s="1" t="s">
        <v>42</v>
      </c>
      <c r="C2045" s="1" t="s">
        <v>285</v>
      </c>
      <c r="D2045" s="1" t="s">
        <v>286</v>
      </c>
      <c r="E2045" s="1" t="s">
        <v>45</v>
      </c>
      <c r="F2045" s="1" t="s">
        <v>2547</v>
      </c>
      <c r="G2045" s="1" t="s">
        <v>4752</v>
      </c>
      <c r="H2045" s="1" t="s">
        <v>4753</v>
      </c>
      <c r="I2045" s="1" t="s">
        <v>49</v>
      </c>
      <c r="J2045" s="1" t="s">
        <v>48</v>
      </c>
      <c r="K2045" s="1">
        <v>70</v>
      </c>
      <c r="L2045" s="1">
        <v>0</v>
      </c>
      <c r="M2045" s="1">
        <v>0</v>
      </c>
      <c r="N2045" s="1">
        <v>70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 t="s">
        <v>49</v>
      </c>
      <c r="AA2045" s="1" t="s">
        <v>49</v>
      </c>
      <c r="AB2045" s="1" t="s">
        <v>49</v>
      </c>
      <c r="AC2045" s="1" t="s">
        <v>1551</v>
      </c>
      <c r="AD2045" s="1" t="s">
        <v>1552</v>
      </c>
      <c r="AE2045" s="1" t="s">
        <v>1551</v>
      </c>
      <c r="AF2045" s="1" t="s">
        <v>2550</v>
      </c>
      <c r="AG2045" s="1" t="s">
        <v>53</v>
      </c>
      <c r="AH2045" s="1" t="s">
        <v>49</v>
      </c>
      <c r="AI2045" s="1" t="s">
        <v>54</v>
      </c>
      <c r="AJ2045" s="1">
        <v>1</v>
      </c>
      <c r="AK2045" s="1" t="str">
        <f t="shared" si="31"/>
        <v xml:space="preserve"> =&lt;90</v>
      </c>
      <c r="AL2045" s="1" t="str">
        <f>VLOOKUP(C:C,[1]基础信息!B$1:D$65536,3,0)</f>
        <v>Jug</v>
      </c>
      <c r="AM2045" s="1" t="str">
        <f>VLOOKUP(C:C,[1]基础信息!B$1:E$65536,4,0)</f>
        <v>Marella XL</v>
      </c>
      <c r="AN2045" s="1" t="str">
        <f>VLOOKUP(C:C,[1]基础信息!B$1:F$65536,5,0)</f>
        <v>Blue</v>
      </c>
    </row>
    <row r="2046" spans="1:40">
      <c r="A2046" s="1" t="s">
        <v>41</v>
      </c>
      <c r="B2046" s="1" t="s">
        <v>42</v>
      </c>
      <c r="C2046" s="1" t="s">
        <v>285</v>
      </c>
      <c r="D2046" s="1" t="s">
        <v>286</v>
      </c>
      <c r="E2046" s="1" t="s">
        <v>45</v>
      </c>
      <c r="F2046" s="1" t="s">
        <v>2547</v>
      </c>
      <c r="G2046" s="1" t="s">
        <v>4754</v>
      </c>
      <c r="H2046" s="1" t="s">
        <v>4755</v>
      </c>
      <c r="I2046" s="1" t="s">
        <v>49</v>
      </c>
      <c r="J2046" s="1" t="s">
        <v>48</v>
      </c>
      <c r="K2046" s="1">
        <v>70</v>
      </c>
      <c r="L2046" s="1">
        <v>0</v>
      </c>
      <c r="M2046" s="1">
        <v>0</v>
      </c>
      <c r="N2046" s="1">
        <v>70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 t="s">
        <v>49</v>
      </c>
      <c r="AA2046" s="1" t="s">
        <v>49</v>
      </c>
      <c r="AB2046" s="1" t="s">
        <v>49</v>
      </c>
      <c r="AC2046" s="1" t="s">
        <v>1551</v>
      </c>
      <c r="AD2046" s="1" t="s">
        <v>1552</v>
      </c>
      <c r="AE2046" s="1" t="s">
        <v>1551</v>
      </c>
      <c r="AF2046" s="1" t="s">
        <v>2550</v>
      </c>
      <c r="AG2046" s="1" t="s">
        <v>53</v>
      </c>
      <c r="AH2046" s="1" t="s">
        <v>49</v>
      </c>
      <c r="AI2046" s="1" t="s">
        <v>54</v>
      </c>
      <c r="AJ2046" s="1">
        <v>1</v>
      </c>
      <c r="AK2046" s="1" t="str">
        <f t="shared" si="31"/>
        <v xml:space="preserve"> =&lt;90</v>
      </c>
      <c r="AL2046" s="1" t="str">
        <f>VLOOKUP(C:C,[1]基础信息!B$1:D$65536,3,0)</f>
        <v>Jug</v>
      </c>
      <c r="AM2046" s="1" t="str">
        <f>VLOOKUP(C:C,[1]基础信息!B$1:E$65536,4,0)</f>
        <v>Marella XL</v>
      </c>
      <c r="AN2046" s="1" t="str">
        <f>VLOOKUP(C:C,[1]基础信息!B$1:F$65536,5,0)</f>
        <v>Blue</v>
      </c>
    </row>
    <row r="2047" spans="1:40">
      <c r="A2047" s="1" t="s">
        <v>41</v>
      </c>
      <c r="B2047" s="1" t="s">
        <v>42</v>
      </c>
      <c r="C2047" s="1" t="s">
        <v>285</v>
      </c>
      <c r="D2047" s="1" t="s">
        <v>286</v>
      </c>
      <c r="E2047" s="1" t="s">
        <v>45</v>
      </c>
      <c r="F2047" s="1" t="s">
        <v>2547</v>
      </c>
      <c r="G2047" s="1" t="s">
        <v>4756</v>
      </c>
      <c r="H2047" s="1" t="s">
        <v>4757</v>
      </c>
      <c r="I2047" s="1" t="s">
        <v>49</v>
      </c>
      <c r="J2047" s="1" t="s">
        <v>48</v>
      </c>
      <c r="K2047" s="1">
        <v>70</v>
      </c>
      <c r="L2047" s="1">
        <v>0</v>
      </c>
      <c r="M2047" s="1">
        <v>0</v>
      </c>
      <c r="N2047" s="1">
        <v>70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 t="s">
        <v>49</v>
      </c>
      <c r="AA2047" s="1" t="s">
        <v>49</v>
      </c>
      <c r="AB2047" s="1" t="s">
        <v>49</v>
      </c>
      <c r="AC2047" s="1" t="s">
        <v>1551</v>
      </c>
      <c r="AD2047" s="1" t="s">
        <v>1552</v>
      </c>
      <c r="AE2047" s="1" t="s">
        <v>1551</v>
      </c>
      <c r="AF2047" s="1" t="s">
        <v>2550</v>
      </c>
      <c r="AG2047" s="1" t="s">
        <v>53</v>
      </c>
      <c r="AH2047" s="1" t="s">
        <v>49</v>
      </c>
      <c r="AI2047" s="1" t="s">
        <v>54</v>
      </c>
      <c r="AJ2047" s="1">
        <v>1</v>
      </c>
      <c r="AK2047" s="1" t="str">
        <f t="shared" si="31"/>
        <v xml:space="preserve"> =&lt;90</v>
      </c>
      <c r="AL2047" s="1" t="str">
        <f>VLOOKUP(C:C,[1]基础信息!B$1:D$65536,3,0)</f>
        <v>Jug</v>
      </c>
      <c r="AM2047" s="1" t="str">
        <f>VLOOKUP(C:C,[1]基础信息!B$1:E$65536,4,0)</f>
        <v>Marella XL</v>
      </c>
      <c r="AN2047" s="1" t="str">
        <f>VLOOKUP(C:C,[1]基础信息!B$1:F$65536,5,0)</f>
        <v>Blue</v>
      </c>
    </row>
    <row r="2048" spans="1:40">
      <c r="A2048" s="1" t="s">
        <v>41</v>
      </c>
      <c r="B2048" s="1" t="s">
        <v>42</v>
      </c>
      <c r="C2048" s="1" t="s">
        <v>2166</v>
      </c>
      <c r="D2048" s="1" t="s">
        <v>2167</v>
      </c>
      <c r="E2048" s="1" t="s">
        <v>45</v>
      </c>
      <c r="F2048" s="1" t="s">
        <v>4729</v>
      </c>
      <c r="G2048" s="1" t="s">
        <v>4758</v>
      </c>
      <c r="H2048" s="1" t="s">
        <v>4759</v>
      </c>
      <c r="I2048" s="1" t="s">
        <v>49</v>
      </c>
      <c r="J2048" s="1" t="s">
        <v>48</v>
      </c>
      <c r="K2048" s="1">
        <v>16</v>
      </c>
      <c r="L2048" s="1">
        <v>0</v>
      </c>
      <c r="M2048" s="1">
        <v>0</v>
      </c>
      <c r="N2048" s="1">
        <v>16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 t="s">
        <v>49</v>
      </c>
      <c r="AA2048" s="1" t="s">
        <v>49</v>
      </c>
      <c r="AB2048" s="1" t="s">
        <v>49</v>
      </c>
      <c r="AC2048" s="1" t="s">
        <v>4732</v>
      </c>
      <c r="AD2048" s="1" t="s">
        <v>4733</v>
      </c>
      <c r="AE2048" s="1" t="s">
        <v>4732</v>
      </c>
      <c r="AF2048" s="1" t="s">
        <v>3986</v>
      </c>
      <c r="AG2048" s="1" t="s">
        <v>53</v>
      </c>
      <c r="AH2048" s="1" t="s">
        <v>49</v>
      </c>
      <c r="AI2048" s="1" t="s">
        <v>54</v>
      </c>
      <c r="AJ2048" s="1">
        <v>1</v>
      </c>
      <c r="AK2048" s="1" t="str">
        <f t="shared" si="31"/>
        <v xml:space="preserve"> =&lt;90</v>
      </c>
      <c r="AL2048" s="1" t="str">
        <f>VLOOKUP(C:C,[1]基础信息!B$1:D$65536,3,0)</f>
        <v>UTS</v>
      </c>
      <c r="AM2048" s="1" t="str">
        <f>VLOOKUP(C:C,[1]基础信息!B$1:E$65536,4,0)</f>
        <v>RO</v>
      </c>
      <c r="AN2048" s="1" t="str">
        <f>VLOOKUP(C:C,[1]基础信息!B$1:F$65536,5,0)</f>
        <v>Starry Grey Color</v>
      </c>
    </row>
    <row r="2049" spans="1:40">
      <c r="A2049" s="1" t="s">
        <v>41</v>
      </c>
      <c r="B2049" s="1" t="s">
        <v>42</v>
      </c>
      <c r="C2049" s="1" t="s">
        <v>285</v>
      </c>
      <c r="D2049" s="1" t="s">
        <v>286</v>
      </c>
      <c r="E2049" s="1" t="s">
        <v>45</v>
      </c>
      <c r="F2049" s="1" t="s">
        <v>2547</v>
      </c>
      <c r="G2049" s="1" t="s">
        <v>4760</v>
      </c>
      <c r="H2049" s="1" t="s">
        <v>4761</v>
      </c>
      <c r="I2049" s="1" t="s">
        <v>49</v>
      </c>
      <c r="J2049" s="1" t="s">
        <v>48</v>
      </c>
      <c r="K2049" s="1">
        <v>70</v>
      </c>
      <c r="L2049" s="1">
        <v>0</v>
      </c>
      <c r="M2049" s="1">
        <v>0</v>
      </c>
      <c r="N2049" s="1">
        <v>70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 t="s">
        <v>49</v>
      </c>
      <c r="AA2049" s="1" t="s">
        <v>49</v>
      </c>
      <c r="AB2049" s="1" t="s">
        <v>49</v>
      </c>
      <c r="AC2049" s="1" t="s">
        <v>1551</v>
      </c>
      <c r="AD2049" s="1" t="s">
        <v>1552</v>
      </c>
      <c r="AE2049" s="1" t="s">
        <v>1551</v>
      </c>
      <c r="AF2049" s="1" t="s">
        <v>2550</v>
      </c>
      <c r="AG2049" s="1" t="s">
        <v>53</v>
      </c>
      <c r="AH2049" s="1" t="s">
        <v>49</v>
      </c>
      <c r="AI2049" s="1" t="s">
        <v>54</v>
      </c>
      <c r="AJ2049" s="1">
        <v>1</v>
      </c>
      <c r="AK2049" s="1" t="str">
        <f t="shared" si="31"/>
        <v xml:space="preserve"> =&lt;90</v>
      </c>
      <c r="AL2049" s="1" t="str">
        <f>VLOOKUP(C:C,[1]基础信息!B$1:D$65536,3,0)</f>
        <v>Jug</v>
      </c>
      <c r="AM2049" s="1" t="str">
        <f>VLOOKUP(C:C,[1]基础信息!B$1:E$65536,4,0)</f>
        <v>Marella XL</v>
      </c>
      <c r="AN2049" s="1" t="str">
        <f>VLOOKUP(C:C,[1]基础信息!B$1:F$65536,5,0)</f>
        <v>Blue</v>
      </c>
    </row>
    <row r="2050" spans="1:40">
      <c r="A2050" s="1" t="s">
        <v>41</v>
      </c>
      <c r="B2050" s="1" t="s">
        <v>42</v>
      </c>
      <c r="C2050" s="1" t="s">
        <v>285</v>
      </c>
      <c r="D2050" s="1" t="s">
        <v>286</v>
      </c>
      <c r="E2050" s="1" t="s">
        <v>45</v>
      </c>
      <c r="F2050" s="1" t="s">
        <v>2547</v>
      </c>
      <c r="G2050" s="1" t="s">
        <v>4762</v>
      </c>
      <c r="H2050" s="1" t="s">
        <v>4763</v>
      </c>
      <c r="I2050" s="1" t="s">
        <v>49</v>
      </c>
      <c r="J2050" s="1" t="s">
        <v>48</v>
      </c>
      <c r="K2050" s="1">
        <v>70</v>
      </c>
      <c r="L2050" s="1">
        <v>0</v>
      </c>
      <c r="M2050" s="1">
        <v>0</v>
      </c>
      <c r="N2050" s="1">
        <v>70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 t="s">
        <v>49</v>
      </c>
      <c r="AA2050" s="1" t="s">
        <v>49</v>
      </c>
      <c r="AB2050" s="1" t="s">
        <v>49</v>
      </c>
      <c r="AC2050" s="1" t="s">
        <v>1551</v>
      </c>
      <c r="AD2050" s="1" t="s">
        <v>1552</v>
      </c>
      <c r="AE2050" s="1" t="s">
        <v>1551</v>
      </c>
      <c r="AF2050" s="1" t="s">
        <v>2550</v>
      </c>
      <c r="AG2050" s="1" t="s">
        <v>53</v>
      </c>
      <c r="AH2050" s="1" t="s">
        <v>49</v>
      </c>
      <c r="AI2050" s="1" t="s">
        <v>54</v>
      </c>
      <c r="AJ2050" s="1">
        <v>1</v>
      </c>
      <c r="AK2050" s="1" t="str">
        <f t="shared" ref="AK2050:AK2113" si="32">IF(AJ2050&gt;$AP$2,$AQ$2,IF(AJ2050&gt;$AP$3,$AQ$3,IF(AJ2050&gt;$AP$4,$AQ$4,$AQ$5)))</f>
        <v xml:space="preserve"> =&lt;90</v>
      </c>
      <c r="AL2050" s="1" t="str">
        <f>VLOOKUP(C:C,[1]基础信息!B$1:D$65536,3,0)</f>
        <v>Jug</v>
      </c>
      <c r="AM2050" s="1" t="str">
        <f>VLOOKUP(C:C,[1]基础信息!B$1:E$65536,4,0)</f>
        <v>Marella XL</v>
      </c>
      <c r="AN2050" s="1" t="str">
        <f>VLOOKUP(C:C,[1]基础信息!B$1:F$65536,5,0)</f>
        <v>Blue</v>
      </c>
    </row>
    <row r="2051" spans="1:40">
      <c r="A2051" s="1" t="s">
        <v>41</v>
      </c>
      <c r="B2051" s="1" t="s">
        <v>42</v>
      </c>
      <c r="C2051" s="1" t="s">
        <v>285</v>
      </c>
      <c r="D2051" s="1" t="s">
        <v>286</v>
      </c>
      <c r="E2051" s="1" t="s">
        <v>45</v>
      </c>
      <c r="F2051" s="1" t="s">
        <v>2547</v>
      </c>
      <c r="G2051" s="1" t="s">
        <v>4764</v>
      </c>
      <c r="H2051" s="1" t="s">
        <v>4765</v>
      </c>
      <c r="I2051" s="1" t="s">
        <v>49</v>
      </c>
      <c r="J2051" s="1" t="s">
        <v>48</v>
      </c>
      <c r="K2051" s="1">
        <v>70</v>
      </c>
      <c r="L2051" s="1">
        <v>0</v>
      </c>
      <c r="M2051" s="1">
        <v>0</v>
      </c>
      <c r="N2051" s="1">
        <v>70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 t="s">
        <v>49</v>
      </c>
      <c r="AA2051" s="1" t="s">
        <v>49</v>
      </c>
      <c r="AB2051" s="1" t="s">
        <v>49</v>
      </c>
      <c r="AC2051" s="1" t="s">
        <v>1551</v>
      </c>
      <c r="AD2051" s="1" t="s">
        <v>1552</v>
      </c>
      <c r="AE2051" s="1" t="s">
        <v>1551</v>
      </c>
      <c r="AF2051" s="1" t="s">
        <v>2550</v>
      </c>
      <c r="AG2051" s="1" t="s">
        <v>53</v>
      </c>
      <c r="AH2051" s="1" t="s">
        <v>49</v>
      </c>
      <c r="AI2051" s="1" t="s">
        <v>54</v>
      </c>
      <c r="AJ2051" s="1">
        <v>1</v>
      </c>
      <c r="AK2051" s="1" t="str">
        <f t="shared" si="32"/>
        <v xml:space="preserve"> =&lt;90</v>
      </c>
      <c r="AL2051" s="1" t="str">
        <f>VLOOKUP(C:C,[1]基础信息!B$1:D$65536,3,0)</f>
        <v>Jug</v>
      </c>
      <c r="AM2051" s="1" t="str">
        <f>VLOOKUP(C:C,[1]基础信息!B$1:E$65536,4,0)</f>
        <v>Marella XL</v>
      </c>
      <c r="AN2051" s="1" t="str">
        <f>VLOOKUP(C:C,[1]基础信息!B$1:F$65536,5,0)</f>
        <v>Blue</v>
      </c>
    </row>
    <row r="2052" spans="1:40">
      <c r="A2052" s="1" t="s">
        <v>41</v>
      </c>
      <c r="B2052" s="1" t="s">
        <v>42</v>
      </c>
      <c r="C2052" s="1" t="s">
        <v>285</v>
      </c>
      <c r="D2052" s="1" t="s">
        <v>286</v>
      </c>
      <c r="E2052" s="1" t="s">
        <v>45</v>
      </c>
      <c r="F2052" s="1" t="s">
        <v>2547</v>
      </c>
      <c r="G2052" s="1" t="s">
        <v>4766</v>
      </c>
      <c r="H2052" s="1" t="s">
        <v>4767</v>
      </c>
      <c r="I2052" s="1" t="s">
        <v>49</v>
      </c>
      <c r="J2052" s="1" t="s">
        <v>48</v>
      </c>
      <c r="K2052" s="1">
        <v>70</v>
      </c>
      <c r="L2052" s="1">
        <v>0</v>
      </c>
      <c r="M2052" s="1">
        <v>0</v>
      </c>
      <c r="N2052" s="1">
        <v>70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 t="s">
        <v>49</v>
      </c>
      <c r="AA2052" s="1" t="s">
        <v>49</v>
      </c>
      <c r="AB2052" s="1" t="s">
        <v>49</v>
      </c>
      <c r="AC2052" s="1" t="s">
        <v>1551</v>
      </c>
      <c r="AD2052" s="1" t="s">
        <v>1552</v>
      </c>
      <c r="AE2052" s="1" t="s">
        <v>1551</v>
      </c>
      <c r="AF2052" s="1" t="s">
        <v>2550</v>
      </c>
      <c r="AG2052" s="1" t="s">
        <v>53</v>
      </c>
      <c r="AH2052" s="1" t="s">
        <v>49</v>
      </c>
      <c r="AI2052" s="1" t="s">
        <v>54</v>
      </c>
      <c r="AJ2052" s="1">
        <v>1</v>
      </c>
      <c r="AK2052" s="1" t="str">
        <f t="shared" si="32"/>
        <v xml:space="preserve"> =&lt;90</v>
      </c>
      <c r="AL2052" s="1" t="str">
        <f>VLOOKUP(C:C,[1]基础信息!B$1:D$65536,3,0)</f>
        <v>Jug</v>
      </c>
      <c r="AM2052" s="1" t="str">
        <f>VLOOKUP(C:C,[1]基础信息!B$1:E$65536,4,0)</f>
        <v>Marella XL</v>
      </c>
      <c r="AN2052" s="1" t="str">
        <f>VLOOKUP(C:C,[1]基础信息!B$1:F$65536,5,0)</f>
        <v>Blue</v>
      </c>
    </row>
    <row r="2053" spans="1:40">
      <c r="A2053" s="1" t="s">
        <v>41</v>
      </c>
      <c r="B2053" s="1" t="s">
        <v>42</v>
      </c>
      <c r="C2053" s="1" t="s">
        <v>2166</v>
      </c>
      <c r="D2053" s="1" t="s">
        <v>2167</v>
      </c>
      <c r="E2053" s="1" t="s">
        <v>45</v>
      </c>
      <c r="F2053" s="1" t="s">
        <v>4729</v>
      </c>
      <c r="G2053" s="1" t="s">
        <v>4768</v>
      </c>
      <c r="H2053" s="1" t="s">
        <v>4769</v>
      </c>
      <c r="I2053" s="1" t="s">
        <v>49</v>
      </c>
      <c r="J2053" s="1" t="s">
        <v>48</v>
      </c>
      <c r="K2053" s="1">
        <v>16</v>
      </c>
      <c r="L2053" s="1">
        <v>0</v>
      </c>
      <c r="M2053" s="1">
        <v>0</v>
      </c>
      <c r="N2053" s="1">
        <v>16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 t="s">
        <v>49</v>
      </c>
      <c r="AA2053" s="1" t="s">
        <v>49</v>
      </c>
      <c r="AB2053" s="1" t="s">
        <v>49</v>
      </c>
      <c r="AC2053" s="1" t="s">
        <v>4732</v>
      </c>
      <c r="AD2053" s="1" t="s">
        <v>4733</v>
      </c>
      <c r="AE2053" s="1" t="s">
        <v>4732</v>
      </c>
      <c r="AF2053" s="1" t="s">
        <v>3986</v>
      </c>
      <c r="AG2053" s="1" t="s">
        <v>53</v>
      </c>
      <c r="AH2053" s="1" t="s">
        <v>49</v>
      </c>
      <c r="AI2053" s="1" t="s">
        <v>54</v>
      </c>
      <c r="AJ2053" s="1">
        <v>1</v>
      </c>
      <c r="AK2053" s="1" t="str">
        <f t="shared" si="32"/>
        <v xml:space="preserve"> =&lt;90</v>
      </c>
      <c r="AL2053" s="1" t="str">
        <f>VLOOKUP(C:C,[1]基础信息!B$1:D$65536,3,0)</f>
        <v>UTS</v>
      </c>
      <c r="AM2053" s="1" t="str">
        <f>VLOOKUP(C:C,[1]基础信息!B$1:E$65536,4,0)</f>
        <v>RO</v>
      </c>
      <c r="AN2053" s="1" t="str">
        <f>VLOOKUP(C:C,[1]基础信息!B$1:F$65536,5,0)</f>
        <v>Starry Grey Color</v>
      </c>
    </row>
    <row r="2054" spans="1:40">
      <c r="A2054" s="1" t="s">
        <v>41</v>
      </c>
      <c r="B2054" s="1" t="s">
        <v>42</v>
      </c>
      <c r="C2054" s="1" t="s">
        <v>1437</v>
      </c>
      <c r="D2054" s="1" t="s">
        <v>1438</v>
      </c>
      <c r="E2054" s="1" t="s">
        <v>45</v>
      </c>
      <c r="F2054" s="1" t="s">
        <v>4770</v>
      </c>
      <c r="G2054" s="1" t="s">
        <v>4771</v>
      </c>
      <c r="H2054" s="1" t="s">
        <v>45</v>
      </c>
      <c r="I2054" s="1" t="s">
        <v>45</v>
      </c>
      <c r="J2054" s="1" t="s">
        <v>48</v>
      </c>
      <c r="K2054" s="1">
        <v>462</v>
      </c>
      <c r="L2054" s="1">
        <v>0</v>
      </c>
      <c r="M2054" s="1">
        <v>0</v>
      </c>
      <c r="N2054" s="1">
        <v>462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 t="s">
        <v>49</v>
      </c>
      <c r="AA2054" s="1" t="s">
        <v>49</v>
      </c>
      <c r="AB2054" s="1" t="s">
        <v>49</v>
      </c>
      <c r="AC2054" s="1" t="s">
        <v>4395</v>
      </c>
      <c r="AD2054" s="1" t="s">
        <v>4396</v>
      </c>
      <c r="AE2054" s="1" t="s">
        <v>4395</v>
      </c>
      <c r="AF2054" s="1" t="s">
        <v>4772</v>
      </c>
      <c r="AG2054" s="1" t="s">
        <v>53</v>
      </c>
      <c r="AH2054" s="1" t="s">
        <v>49</v>
      </c>
      <c r="AI2054" s="1" t="s">
        <v>54</v>
      </c>
      <c r="AJ2054" s="1">
        <v>1</v>
      </c>
      <c r="AK2054" s="1" t="str">
        <f t="shared" si="32"/>
        <v xml:space="preserve"> =&lt;90</v>
      </c>
      <c r="AL2054" s="1" t="str">
        <f>VLOOKUP(C:C,[1]基础信息!B$1:D$65536,3,0)</f>
        <v>On tap</v>
      </c>
      <c r="AM2054" s="1" t="str">
        <f>VLOOKUP(C:C,[1]基础信息!B$1:E$65536,4,0)</f>
        <v>On tap</v>
      </c>
      <c r="AN2054" s="1" t="str">
        <f>VLOOKUP(C:C,[1]基础信息!B$1:F$65536,5,0)</f>
        <v>On tap</v>
      </c>
    </row>
    <row r="2055" spans="1:40">
      <c r="A2055" s="1" t="s">
        <v>41</v>
      </c>
      <c r="B2055" s="1" t="s">
        <v>42</v>
      </c>
      <c r="C2055" s="1" t="s">
        <v>285</v>
      </c>
      <c r="D2055" s="1" t="s">
        <v>286</v>
      </c>
      <c r="E2055" s="1" t="s">
        <v>45</v>
      </c>
      <c r="F2055" s="1" t="s">
        <v>1548</v>
      </c>
      <c r="G2055" s="1" t="s">
        <v>4773</v>
      </c>
      <c r="H2055" s="1" t="s">
        <v>4774</v>
      </c>
      <c r="I2055" s="1" t="s">
        <v>49</v>
      </c>
      <c r="J2055" s="1" t="s">
        <v>48</v>
      </c>
      <c r="K2055" s="1">
        <v>70</v>
      </c>
      <c r="L2055" s="1">
        <v>0</v>
      </c>
      <c r="M2055" s="1">
        <v>0</v>
      </c>
      <c r="N2055" s="1">
        <v>70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 t="s">
        <v>49</v>
      </c>
      <c r="AA2055" s="1" t="s">
        <v>49</v>
      </c>
      <c r="AB2055" s="1" t="s">
        <v>49</v>
      </c>
      <c r="AC2055" s="1" t="s">
        <v>1551</v>
      </c>
      <c r="AD2055" s="1" t="s">
        <v>1552</v>
      </c>
      <c r="AE2055" s="1" t="s">
        <v>1551</v>
      </c>
      <c r="AF2055" s="1" t="s">
        <v>1553</v>
      </c>
      <c r="AG2055" s="1" t="s">
        <v>53</v>
      </c>
      <c r="AH2055" s="1" t="s">
        <v>49</v>
      </c>
      <c r="AI2055" s="1" t="s">
        <v>54</v>
      </c>
      <c r="AJ2055" s="1">
        <v>1</v>
      </c>
      <c r="AK2055" s="1" t="str">
        <f t="shared" si="32"/>
        <v xml:space="preserve"> =&lt;90</v>
      </c>
      <c r="AL2055" s="1" t="str">
        <f>VLOOKUP(C:C,[1]基础信息!B$1:D$65536,3,0)</f>
        <v>Jug</v>
      </c>
      <c r="AM2055" s="1" t="str">
        <f>VLOOKUP(C:C,[1]基础信息!B$1:E$65536,4,0)</f>
        <v>Marella XL</v>
      </c>
      <c r="AN2055" s="1" t="str">
        <f>VLOOKUP(C:C,[1]基础信息!B$1:F$65536,5,0)</f>
        <v>Blue</v>
      </c>
    </row>
    <row r="2056" spans="1:40">
      <c r="A2056" s="1" t="s">
        <v>41</v>
      </c>
      <c r="B2056" s="1" t="s">
        <v>42</v>
      </c>
      <c r="C2056" s="1" t="s">
        <v>285</v>
      </c>
      <c r="D2056" s="1" t="s">
        <v>286</v>
      </c>
      <c r="E2056" s="1" t="s">
        <v>45</v>
      </c>
      <c r="F2056" s="1" t="s">
        <v>1548</v>
      </c>
      <c r="G2056" s="1" t="s">
        <v>4775</v>
      </c>
      <c r="H2056" s="1" t="s">
        <v>4776</v>
      </c>
      <c r="I2056" s="1" t="s">
        <v>49</v>
      </c>
      <c r="J2056" s="1" t="s">
        <v>48</v>
      </c>
      <c r="K2056" s="1">
        <v>70</v>
      </c>
      <c r="L2056" s="1">
        <v>0</v>
      </c>
      <c r="M2056" s="1">
        <v>0</v>
      </c>
      <c r="N2056" s="1">
        <v>70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 t="s">
        <v>49</v>
      </c>
      <c r="AA2056" s="1" t="s">
        <v>49</v>
      </c>
      <c r="AB2056" s="1" t="s">
        <v>49</v>
      </c>
      <c r="AC2056" s="1" t="s">
        <v>1551</v>
      </c>
      <c r="AD2056" s="1" t="s">
        <v>1552</v>
      </c>
      <c r="AE2056" s="1" t="s">
        <v>1551</v>
      </c>
      <c r="AF2056" s="1" t="s">
        <v>1553</v>
      </c>
      <c r="AG2056" s="1" t="s">
        <v>53</v>
      </c>
      <c r="AH2056" s="1" t="s">
        <v>49</v>
      </c>
      <c r="AI2056" s="1" t="s">
        <v>54</v>
      </c>
      <c r="AJ2056" s="1">
        <v>1</v>
      </c>
      <c r="AK2056" s="1" t="str">
        <f t="shared" si="32"/>
        <v xml:space="preserve"> =&lt;90</v>
      </c>
      <c r="AL2056" s="1" t="str">
        <f>VLOOKUP(C:C,[1]基础信息!B$1:D$65536,3,0)</f>
        <v>Jug</v>
      </c>
      <c r="AM2056" s="1" t="str">
        <f>VLOOKUP(C:C,[1]基础信息!B$1:E$65536,4,0)</f>
        <v>Marella XL</v>
      </c>
      <c r="AN2056" s="1" t="str">
        <f>VLOOKUP(C:C,[1]基础信息!B$1:F$65536,5,0)</f>
        <v>Blue</v>
      </c>
    </row>
    <row r="2057" spans="1:40">
      <c r="A2057" s="1" t="s">
        <v>41</v>
      </c>
      <c r="B2057" s="1" t="s">
        <v>42</v>
      </c>
      <c r="C2057" s="1" t="s">
        <v>285</v>
      </c>
      <c r="D2057" s="1" t="s">
        <v>286</v>
      </c>
      <c r="E2057" s="1" t="s">
        <v>45</v>
      </c>
      <c r="F2057" s="1" t="s">
        <v>1548</v>
      </c>
      <c r="G2057" s="1" t="s">
        <v>4777</v>
      </c>
      <c r="H2057" s="1" t="s">
        <v>4778</v>
      </c>
      <c r="I2057" s="1" t="s">
        <v>49</v>
      </c>
      <c r="J2057" s="1" t="s">
        <v>48</v>
      </c>
      <c r="K2057" s="1">
        <v>70</v>
      </c>
      <c r="L2057" s="1">
        <v>0</v>
      </c>
      <c r="M2057" s="1">
        <v>0</v>
      </c>
      <c r="N2057" s="1">
        <v>70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 t="s">
        <v>49</v>
      </c>
      <c r="AA2057" s="1" t="s">
        <v>49</v>
      </c>
      <c r="AB2057" s="1" t="s">
        <v>49</v>
      </c>
      <c r="AC2057" s="1" t="s">
        <v>1551</v>
      </c>
      <c r="AD2057" s="1" t="s">
        <v>1552</v>
      </c>
      <c r="AE2057" s="1" t="s">
        <v>1551</v>
      </c>
      <c r="AF2057" s="1" t="s">
        <v>1553</v>
      </c>
      <c r="AG2057" s="1" t="s">
        <v>53</v>
      </c>
      <c r="AH2057" s="1" t="s">
        <v>49</v>
      </c>
      <c r="AI2057" s="1" t="s">
        <v>54</v>
      </c>
      <c r="AJ2057" s="1">
        <v>1</v>
      </c>
      <c r="AK2057" s="1" t="str">
        <f t="shared" si="32"/>
        <v xml:space="preserve"> =&lt;90</v>
      </c>
      <c r="AL2057" s="1" t="str">
        <f>VLOOKUP(C:C,[1]基础信息!B$1:D$65536,3,0)</f>
        <v>Jug</v>
      </c>
      <c r="AM2057" s="1" t="str">
        <f>VLOOKUP(C:C,[1]基础信息!B$1:E$65536,4,0)</f>
        <v>Marella XL</v>
      </c>
      <c r="AN2057" s="1" t="str">
        <f>VLOOKUP(C:C,[1]基础信息!B$1:F$65536,5,0)</f>
        <v>Blue</v>
      </c>
    </row>
    <row r="2058" spans="1:40">
      <c r="A2058" s="1" t="s">
        <v>41</v>
      </c>
      <c r="B2058" s="1" t="s">
        <v>42</v>
      </c>
      <c r="C2058" s="1" t="s">
        <v>2166</v>
      </c>
      <c r="D2058" s="1" t="s">
        <v>2167</v>
      </c>
      <c r="E2058" s="1" t="s">
        <v>45</v>
      </c>
      <c r="F2058" s="1" t="s">
        <v>4729</v>
      </c>
      <c r="G2058" s="1" t="s">
        <v>4779</v>
      </c>
      <c r="H2058" s="1" t="s">
        <v>4780</v>
      </c>
      <c r="I2058" s="1" t="s">
        <v>49</v>
      </c>
      <c r="J2058" s="1" t="s">
        <v>48</v>
      </c>
      <c r="K2058" s="1">
        <v>16</v>
      </c>
      <c r="L2058" s="1">
        <v>0</v>
      </c>
      <c r="M2058" s="1">
        <v>0</v>
      </c>
      <c r="N2058" s="1">
        <v>16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 t="s">
        <v>49</v>
      </c>
      <c r="AA2058" s="1" t="s">
        <v>49</v>
      </c>
      <c r="AB2058" s="1" t="s">
        <v>49</v>
      </c>
      <c r="AC2058" s="1" t="s">
        <v>4732</v>
      </c>
      <c r="AD2058" s="1" t="s">
        <v>4733</v>
      </c>
      <c r="AE2058" s="1" t="s">
        <v>4732</v>
      </c>
      <c r="AF2058" s="1" t="s">
        <v>3986</v>
      </c>
      <c r="AG2058" s="1" t="s">
        <v>53</v>
      </c>
      <c r="AH2058" s="1" t="s">
        <v>49</v>
      </c>
      <c r="AI2058" s="1" t="s">
        <v>54</v>
      </c>
      <c r="AJ2058" s="1">
        <v>1</v>
      </c>
      <c r="AK2058" s="1" t="str">
        <f t="shared" si="32"/>
        <v xml:space="preserve"> =&lt;90</v>
      </c>
      <c r="AL2058" s="1" t="str">
        <f>VLOOKUP(C:C,[1]基础信息!B$1:D$65536,3,0)</f>
        <v>UTS</v>
      </c>
      <c r="AM2058" s="1" t="str">
        <f>VLOOKUP(C:C,[1]基础信息!B$1:E$65536,4,0)</f>
        <v>RO</v>
      </c>
      <c r="AN2058" s="1" t="str">
        <f>VLOOKUP(C:C,[1]基础信息!B$1:F$65536,5,0)</f>
        <v>Starry Grey Color</v>
      </c>
    </row>
    <row r="2059" spans="1:40">
      <c r="A2059" s="1" t="s">
        <v>41</v>
      </c>
      <c r="B2059" s="1" t="s">
        <v>42</v>
      </c>
      <c r="C2059" s="1" t="s">
        <v>285</v>
      </c>
      <c r="D2059" s="1" t="s">
        <v>286</v>
      </c>
      <c r="E2059" s="1" t="s">
        <v>45</v>
      </c>
      <c r="F2059" s="1" t="s">
        <v>1548</v>
      </c>
      <c r="G2059" s="1" t="s">
        <v>4781</v>
      </c>
      <c r="H2059" s="1" t="s">
        <v>4782</v>
      </c>
      <c r="I2059" s="1" t="s">
        <v>49</v>
      </c>
      <c r="J2059" s="1" t="s">
        <v>48</v>
      </c>
      <c r="K2059" s="1">
        <v>70</v>
      </c>
      <c r="L2059" s="1">
        <v>0</v>
      </c>
      <c r="M2059" s="1">
        <v>0</v>
      </c>
      <c r="N2059" s="1">
        <v>70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 t="s">
        <v>49</v>
      </c>
      <c r="AA2059" s="1" t="s">
        <v>49</v>
      </c>
      <c r="AB2059" s="1" t="s">
        <v>49</v>
      </c>
      <c r="AC2059" s="1" t="s">
        <v>1551</v>
      </c>
      <c r="AD2059" s="1" t="s">
        <v>1552</v>
      </c>
      <c r="AE2059" s="1" t="s">
        <v>1551</v>
      </c>
      <c r="AF2059" s="1" t="s">
        <v>1553</v>
      </c>
      <c r="AG2059" s="1" t="s">
        <v>53</v>
      </c>
      <c r="AH2059" s="1" t="s">
        <v>49</v>
      </c>
      <c r="AI2059" s="1" t="s">
        <v>54</v>
      </c>
      <c r="AJ2059" s="1">
        <v>1</v>
      </c>
      <c r="AK2059" s="1" t="str">
        <f t="shared" si="32"/>
        <v xml:space="preserve"> =&lt;90</v>
      </c>
      <c r="AL2059" s="1" t="str">
        <f>VLOOKUP(C:C,[1]基础信息!B$1:D$65536,3,0)</f>
        <v>Jug</v>
      </c>
      <c r="AM2059" s="1" t="str">
        <f>VLOOKUP(C:C,[1]基础信息!B$1:E$65536,4,0)</f>
        <v>Marella XL</v>
      </c>
      <c r="AN2059" s="1" t="str">
        <f>VLOOKUP(C:C,[1]基础信息!B$1:F$65536,5,0)</f>
        <v>Blue</v>
      </c>
    </row>
    <row r="2060" spans="1:40">
      <c r="A2060" s="1" t="s">
        <v>41</v>
      </c>
      <c r="B2060" s="1" t="s">
        <v>42</v>
      </c>
      <c r="C2060" s="1" t="s">
        <v>285</v>
      </c>
      <c r="D2060" s="1" t="s">
        <v>286</v>
      </c>
      <c r="E2060" s="1" t="s">
        <v>45</v>
      </c>
      <c r="F2060" s="1" t="s">
        <v>1548</v>
      </c>
      <c r="G2060" s="1" t="s">
        <v>4783</v>
      </c>
      <c r="H2060" s="1" t="s">
        <v>4784</v>
      </c>
      <c r="I2060" s="1" t="s">
        <v>49</v>
      </c>
      <c r="J2060" s="1" t="s">
        <v>48</v>
      </c>
      <c r="K2060" s="1">
        <v>70</v>
      </c>
      <c r="L2060" s="1">
        <v>0</v>
      </c>
      <c r="M2060" s="1">
        <v>0</v>
      </c>
      <c r="N2060" s="1">
        <v>70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 t="s">
        <v>49</v>
      </c>
      <c r="AA2060" s="1" t="s">
        <v>49</v>
      </c>
      <c r="AB2060" s="1" t="s">
        <v>49</v>
      </c>
      <c r="AC2060" s="1" t="s">
        <v>1551</v>
      </c>
      <c r="AD2060" s="1" t="s">
        <v>1552</v>
      </c>
      <c r="AE2060" s="1" t="s">
        <v>1551</v>
      </c>
      <c r="AF2060" s="1" t="s">
        <v>1553</v>
      </c>
      <c r="AG2060" s="1" t="s">
        <v>53</v>
      </c>
      <c r="AH2060" s="1" t="s">
        <v>49</v>
      </c>
      <c r="AI2060" s="1" t="s">
        <v>54</v>
      </c>
      <c r="AJ2060" s="1">
        <v>1</v>
      </c>
      <c r="AK2060" s="1" t="str">
        <f t="shared" si="32"/>
        <v xml:space="preserve"> =&lt;90</v>
      </c>
      <c r="AL2060" s="1" t="str">
        <f>VLOOKUP(C:C,[1]基础信息!B$1:D$65536,3,0)</f>
        <v>Jug</v>
      </c>
      <c r="AM2060" s="1" t="str">
        <f>VLOOKUP(C:C,[1]基础信息!B$1:E$65536,4,0)</f>
        <v>Marella XL</v>
      </c>
      <c r="AN2060" s="1" t="str">
        <f>VLOOKUP(C:C,[1]基础信息!B$1:F$65536,5,0)</f>
        <v>Blue</v>
      </c>
    </row>
    <row r="2061" spans="1:40">
      <c r="A2061" s="1" t="s">
        <v>41</v>
      </c>
      <c r="B2061" s="1" t="s">
        <v>42</v>
      </c>
      <c r="C2061" s="1" t="s">
        <v>285</v>
      </c>
      <c r="D2061" s="1" t="s">
        <v>286</v>
      </c>
      <c r="E2061" s="1" t="s">
        <v>45</v>
      </c>
      <c r="F2061" s="1" t="s">
        <v>1548</v>
      </c>
      <c r="G2061" s="1" t="s">
        <v>4785</v>
      </c>
      <c r="H2061" s="1" t="s">
        <v>4786</v>
      </c>
      <c r="I2061" s="1" t="s">
        <v>49</v>
      </c>
      <c r="J2061" s="1" t="s">
        <v>48</v>
      </c>
      <c r="K2061" s="1">
        <v>70</v>
      </c>
      <c r="L2061" s="1">
        <v>0</v>
      </c>
      <c r="M2061" s="1">
        <v>0</v>
      </c>
      <c r="N2061" s="1">
        <v>70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 t="s">
        <v>49</v>
      </c>
      <c r="AA2061" s="1" t="s">
        <v>49</v>
      </c>
      <c r="AB2061" s="1" t="s">
        <v>49</v>
      </c>
      <c r="AC2061" s="1" t="s">
        <v>1551</v>
      </c>
      <c r="AD2061" s="1" t="s">
        <v>1552</v>
      </c>
      <c r="AE2061" s="1" t="s">
        <v>1551</v>
      </c>
      <c r="AF2061" s="1" t="s">
        <v>1553</v>
      </c>
      <c r="AG2061" s="1" t="s">
        <v>53</v>
      </c>
      <c r="AH2061" s="1" t="s">
        <v>49</v>
      </c>
      <c r="AI2061" s="1" t="s">
        <v>54</v>
      </c>
      <c r="AJ2061" s="1">
        <v>1</v>
      </c>
      <c r="AK2061" s="1" t="str">
        <f t="shared" si="32"/>
        <v xml:space="preserve"> =&lt;90</v>
      </c>
      <c r="AL2061" s="1" t="str">
        <f>VLOOKUP(C:C,[1]基础信息!B$1:D$65536,3,0)</f>
        <v>Jug</v>
      </c>
      <c r="AM2061" s="1" t="str">
        <f>VLOOKUP(C:C,[1]基础信息!B$1:E$65536,4,0)</f>
        <v>Marella XL</v>
      </c>
      <c r="AN2061" s="1" t="str">
        <f>VLOOKUP(C:C,[1]基础信息!B$1:F$65536,5,0)</f>
        <v>Blue</v>
      </c>
    </row>
    <row r="2062" spans="1:40">
      <c r="A2062" s="1" t="s">
        <v>41</v>
      </c>
      <c r="B2062" s="1" t="s">
        <v>42</v>
      </c>
      <c r="C2062" s="1" t="s">
        <v>2166</v>
      </c>
      <c r="D2062" s="1" t="s">
        <v>2167</v>
      </c>
      <c r="E2062" s="1" t="s">
        <v>45</v>
      </c>
      <c r="F2062" s="1" t="s">
        <v>4729</v>
      </c>
      <c r="G2062" s="1" t="s">
        <v>4787</v>
      </c>
      <c r="H2062" s="1" t="s">
        <v>4788</v>
      </c>
      <c r="I2062" s="1" t="s">
        <v>49</v>
      </c>
      <c r="J2062" s="1" t="s">
        <v>48</v>
      </c>
      <c r="K2062" s="1">
        <v>16</v>
      </c>
      <c r="L2062" s="1">
        <v>0</v>
      </c>
      <c r="M2062" s="1">
        <v>0</v>
      </c>
      <c r="N2062" s="1">
        <v>16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 t="s">
        <v>49</v>
      </c>
      <c r="AA2062" s="1" t="s">
        <v>49</v>
      </c>
      <c r="AB2062" s="1" t="s">
        <v>49</v>
      </c>
      <c r="AC2062" s="1" t="s">
        <v>4732</v>
      </c>
      <c r="AD2062" s="1" t="s">
        <v>4733</v>
      </c>
      <c r="AE2062" s="1" t="s">
        <v>4732</v>
      </c>
      <c r="AF2062" s="1" t="s">
        <v>3986</v>
      </c>
      <c r="AG2062" s="1" t="s">
        <v>53</v>
      </c>
      <c r="AH2062" s="1" t="s">
        <v>49</v>
      </c>
      <c r="AI2062" s="1" t="s">
        <v>54</v>
      </c>
      <c r="AJ2062" s="1">
        <v>1</v>
      </c>
      <c r="AK2062" s="1" t="str">
        <f t="shared" si="32"/>
        <v xml:space="preserve"> =&lt;90</v>
      </c>
      <c r="AL2062" s="1" t="str">
        <f>VLOOKUP(C:C,[1]基础信息!B$1:D$65536,3,0)</f>
        <v>UTS</v>
      </c>
      <c r="AM2062" s="1" t="str">
        <f>VLOOKUP(C:C,[1]基础信息!B$1:E$65536,4,0)</f>
        <v>RO</v>
      </c>
      <c r="AN2062" s="1" t="str">
        <f>VLOOKUP(C:C,[1]基础信息!B$1:F$65536,5,0)</f>
        <v>Starry Grey Color</v>
      </c>
    </row>
    <row r="2063" spans="1:40">
      <c r="A2063" s="1" t="s">
        <v>41</v>
      </c>
      <c r="B2063" s="1" t="s">
        <v>42</v>
      </c>
      <c r="C2063" s="1" t="s">
        <v>285</v>
      </c>
      <c r="D2063" s="1" t="s">
        <v>286</v>
      </c>
      <c r="E2063" s="1" t="s">
        <v>45</v>
      </c>
      <c r="F2063" s="1" t="s">
        <v>1548</v>
      </c>
      <c r="G2063" s="1" t="s">
        <v>4789</v>
      </c>
      <c r="H2063" s="1" t="s">
        <v>4790</v>
      </c>
      <c r="I2063" s="1" t="s">
        <v>49</v>
      </c>
      <c r="J2063" s="1" t="s">
        <v>48</v>
      </c>
      <c r="K2063" s="1">
        <v>70</v>
      </c>
      <c r="L2063" s="1">
        <v>0</v>
      </c>
      <c r="M2063" s="1">
        <v>0</v>
      </c>
      <c r="N2063" s="1">
        <v>70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 t="s">
        <v>49</v>
      </c>
      <c r="AA2063" s="1" t="s">
        <v>49</v>
      </c>
      <c r="AB2063" s="1" t="s">
        <v>49</v>
      </c>
      <c r="AC2063" s="1" t="s">
        <v>1551</v>
      </c>
      <c r="AD2063" s="1" t="s">
        <v>1552</v>
      </c>
      <c r="AE2063" s="1" t="s">
        <v>1551</v>
      </c>
      <c r="AF2063" s="1" t="s">
        <v>1553</v>
      </c>
      <c r="AG2063" s="1" t="s">
        <v>53</v>
      </c>
      <c r="AH2063" s="1" t="s">
        <v>49</v>
      </c>
      <c r="AI2063" s="1" t="s">
        <v>54</v>
      </c>
      <c r="AJ2063" s="1">
        <v>1</v>
      </c>
      <c r="AK2063" s="1" t="str">
        <f t="shared" si="32"/>
        <v xml:space="preserve"> =&lt;90</v>
      </c>
      <c r="AL2063" s="1" t="str">
        <f>VLOOKUP(C:C,[1]基础信息!B$1:D$65536,3,0)</f>
        <v>Jug</v>
      </c>
      <c r="AM2063" s="1" t="str">
        <f>VLOOKUP(C:C,[1]基础信息!B$1:E$65536,4,0)</f>
        <v>Marella XL</v>
      </c>
      <c r="AN2063" s="1" t="str">
        <f>VLOOKUP(C:C,[1]基础信息!B$1:F$65536,5,0)</f>
        <v>Blue</v>
      </c>
    </row>
    <row r="2064" spans="1:40">
      <c r="A2064" s="1" t="s">
        <v>41</v>
      </c>
      <c r="B2064" s="1" t="s">
        <v>42</v>
      </c>
      <c r="C2064" s="1" t="s">
        <v>285</v>
      </c>
      <c r="D2064" s="1" t="s">
        <v>286</v>
      </c>
      <c r="E2064" s="1" t="s">
        <v>45</v>
      </c>
      <c r="F2064" s="1" t="s">
        <v>1548</v>
      </c>
      <c r="G2064" s="1" t="s">
        <v>4791</v>
      </c>
      <c r="H2064" s="1" t="s">
        <v>4792</v>
      </c>
      <c r="I2064" s="1" t="s">
        <v>49</v>
      </c>
      <c r="J2064" s="1" t="s">
        <v>48</v>
      </c>
      <c r="K2064" s="1">
        <v>70</v>
      </c>
      <c r="L2064" s="1">
        <v>0</v>
      </c>
      <c r="M2064" s="1">
        <v>0</v>
      </c>
      <c r="N2064" s="1">
        <v>70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 t="s">
        <v>49</v>
      </c>
      <c r="AA2064" s="1" t="s">
        <v>49</v>
      </c>
      <c r="AB2064" s="1" t="s">
        <v>49</v>
      </c>
      <c r="AC2064" s="1" t="s">
        <v>1551</v>
      </c>
      <c r="AD2064" s="1" t="s">
        <v>1552</v>
      </c>
      <c r="AE2064" s="1" t="s">
        <v>1551</v>
      </c>
      <c r="AF2064" s="1" t="s">
        <v>1553</v>
      </c>
      <c r="AG2064" s="1" t="s">
        <v>53</v>
      </c>
      <c r="AH2064" s="1" t="s">
        <v>49</v>
      </c>
      <c r="AI2064" s="1" t="s">
        <v>54</v>
      </c>
      <c r="AJ2064" s="1">
        <v>1</v>
      </c>
      <c r="AK2064" s="1" t="str">
        <f t="shared" si="32"/>
        <v xml:space="preserve"> =&lt;90</v>
      </c>
      <c r="AL2064" s="1" t="str">
        <f>VLOOKUP(C:C,[1]基础信息!B$1:D$65536,3,0)</f>
        <v>Jug</v>
      </c>
      <c r="AM2064" s="1" t="str">
        <f>VLOOKUP(C:C,[1]基础信息!B$1:E$65536,4,0)</f>
        <v>Marella XL</v>
      </c>
      <c r="AN2064" s="1" t="str">
        <f>VLOOKUP(C:C,[1]基础信息!B$1:F$65536,5,0)</f>
        <v>Blue</v>
      </c>
    </row>
    <row r="2065" spans="1:40">
      <c r="A2065" s="1" t="s">
        <v>41</v>
      </c>
      <c r="B2065" s="1" t="s">
        <v>42</v>
      </c>
      <c r="C2065" s="1" t="s">
        <v>285</v>
      </c>
      <c r="D2065" s="1" t="s">
        <v>286</v>
      </c>
      <c r="E2065" s="1" t="s">
        <v>45</v>
      </c>
      <c r="F2065" s="1" t="s">
        <v>1548</v>
      </c>
      <c r="G2065" s="1" t="s">
        <v>4793</v>
      </c>
      <c r="H2065" s="1" t="s">
        <v>4794</v>
      </c>
      <c r="I2065" s="1" t="s">
        <v>49</v>
      </c>
      <c r="J2065" s="1" t="s">
        <v>48</v>
      </c>
      <c r="K2065" s="1">
        <v>70</v>
      </c>
      <c r="L2065" s="1">
        <v>0</v>
      </c>
      <c r="M2065" s="1">
        <v>0</v>
      </c>
      <c r="N2065" s="1">
        <v>70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 t="s">
        <v>49</v>
      </c>
      <c r="AA2065" s="1" t="s">
        <v>49</v>
      </c>
      <c r="AB2065" s="1" t="s">
        <v>49</v>
      </c>
      <c r="AC2065" s="1" t="s">
        <v>1551</v>
      </c>
      <c r="AD2065" s="1" t="s">
        <v>1552</v>
      </c>
      <c r="AE2065" s="1" t="s">
        <v>1551</v>
      </c>
      <c r="AF2065" s="1" t="s">
        <v>1553</v>
      </c>
      <c r="AG2065" s="1" t="s">
        <v>53</v>
      </c>
      <c r="AH2065" s="1" t="s">
        <v>49</v>
      </c>
      <c r="AI2065" s="1" t="s">
        <v>54</v>
      </c>
      <c r="AJ2065" s="1">
        <v>1</v>
      </c>
      <c r="AK2065" s="1" t="str">
        <f t="shared" si="32"/>
        <v xml:space="preserve"> =&lt;90</v>
      </c>
      <c r="AL2065" s="1" t="str">
        <f>VLOOKUP(C:C,[1]基础信息!B$1:D$65536,3,0)</f>
        <v>Jug</v>
      </c>
      <c r="AM2065" s="1" t="str">
        <f>VLOOKUP(C:C,[1]基础信息!B$1:E$65536,4,0)</f>
        <v>Marella XL</v>
      </c>
      <c r="AN2065" s="1" t="str">
        <f>VLOOKUP(C:C,[1]基础信息!B$1:F$65536,5,0)</f>
        <v>Blue</v>
      </c>
    </row>
    <row r="2066" spans="1:40">
      <c r="A2066" s="1" t="s">
        <v>41</v>
      </c>
      <c r="B2066" s="1" t="s">
        <v>42</v>
      </c>
      <c r="C2066" s="1" t="s">
        <v>2166</v>
      </c>
      <c r="D2066" s="1" t="s">
        <v>2167</v>
      </c>
      <c r="E2066" s="1" t="s">
        <v>45</v>
      </c>
      <c r="F2066" s="1" t="s">
        <v>4729</v>
      </c>
      <c r="G2066" s="1" t="s">
        <v>4795</v>
      </c>
      <c r="H2066" s="1" t="s">
        <v>4796</v>
      </c>
      <c r="I2066" s="1" t="s">
        <v>49</v>
      </c>
      <c r="J2066" s="1" t="s">
        <v>48</v>
      </c>
      <c r="K2066" s="1">
        <v>16</v>
      </c>
      <c r="L2066" s="1">
        <v>0</v>
      </c>
      <c r="M2066" s="1">
        <v>0</v>
      </c>
      <c r="N2066" s="1">
        <v>16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 t="s">
        <v>49</v>
      </c>
      <c r="AA2066" s="1" t="s">
        <v>49</v>
      </c>
      <c r="AB2066" s="1" t="s">
        <v>49</v>
      </c>
      <c r="AC2066" s="1" t="s">
        <v>4732</v>
      </c>
      <c r="AD2066" s="1" t="s">
        <v>4733</v>
      </c>
      <c r="AE2066" s="1" t="s">
        <v>4732</v>
      </c>
      <c r="AF2066" s="1" t="s">
        <v>3986</v>
      </c>
      <c r="AG2066" s="1" t="s">
        <v>53</v>
      </c>
      <c r="AH2066" s="1" t="s">
        <v>49</v>
      </c>
      <c r="AI2066" s="1" t="s">
        <v>54</v>
      </c>
      <c r="AJ2066" s="1">
        <v>1</v>
      </c>
      <c r="AK2066" s="1" t="str">
        <f t="shared" si="32"/>
        <v xml:space="preserve"> =&lt;90</v>
      </c>
      <c r="AL2066" s="1" t="str">
        <f>VLOOKUP(C:C,[1]基础信息!B$1:D$65536,3,0)</f>
        <v>UTS</v>
      </c>
      <c r="AM2066" s="1" t="str">
        <f>VLOOKUP(C:C,[1]基础信息!B$1:E$65536,4,0)</f>
        <v>RO</v>
      </c>
      <c r="AN2066" s="1" t="str">
        <f>VLOOKUP(C:C,[1]基础信息!B$1:F$65536,5,0)</f>
        <v>Starry Grey Color</v>
      </c>
    </row>
    <row r="2067" spans="1:40">
      <c r="A2067" s="1" t="s">
        <v>41</v>
      </c>
      <c r="B2067" s="1" t="s">
        <v>42</v>
      </c>
      <c r="C2067" s="1" t="s">
        <v>285</v>
      </c>
      <c r="D2067" s="1" t="s">
        <v>286</v>
      </c>
      <c r="E2067" s="1" t="s">
        <v>45</v>
      </c>
      <c r="F2067" s="1" t="s">
        <v>1548</v>
      </c>
      <c r="G2067" s="1" t="s">
        <v>4797</v>
      </c>
      <c r="H2067" s="1" t="s">
        <v>4798</v>
      </c>
      <c r="I2067" s="1" t="s">
        <v>49</v>
      </c>
      <c r="J2067" s="1" t="s">
        <v>48</v>
      </c>
      <c r="K2067" s="1">
        <v>70</v>
      </c>
      <c r="L2067" s="1">
        <v>0</v>
      </c>
      <c r="M2067" s="1">
        <v>0</v>
      </c>
      <c r="N2067" s="1">
        <v>70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 t="s">
        <v>49</v>
      </c>
      <c r="AA2067" s="1" t="s">
        <v>49</v>
      </c>
      <c r="AB2067" s="1" t="s">
        <v>49</v>
      </c>
      <c r="AC2067" s="1" t="s">
        <v>1551</v>
      </c>
      <c r="AD2067" s="1" t="s">
        <v>1552</v>
      </c>
      <c r="AE2067" s="1" t="s">
        <v>1551</v>
      </c>
      <c r="AF2067" s="1" t="s">
        <v>1553</v>
      </c>
      <c r="AG2067" s="1" t="s">
        <v>53</v>
      </c>
      <c r="AH2067" s="1" t="s">
        <v>49</v>
      </c>
      <c r="AI2067" s="1" t="s">
        <v>54</v>
      </c>
      <c r="AJ2067" s="1">
        <v>1</v>
      </c>
      <c r="AK2067" s="1" t="str">
        <f t="shared" si="32"/>
        <v xml:space="preserve"> =&lt;90</v>
      </c>
      <c r="AL2067" s="1" t="str">
        <f>VLOOKUP(C:C,[1]基础信息!B$1:D$65536,3,0)</f>
        <v>Jug</v>
      </c>
      <c r="AM2067" s="1" t="str">
        <f>VLOOKUP(C:C,[1]基础信息!B$1:E$65536,4,0)</f>
        <v>Marella XL</v>
      </c>
      <c r="AN2067" s="1" t="str">
        <f>VLOOKUP(C:C,[1]基础信息!B$1:F$65536,5,0)</f>
        <v>Blue</v>
      </c>
    </row>
    <row r="2068" spans="1:40">
      <c r="A2068" s="1" t="s">
        <v>41</v>
      </c>
      <c r="B2068" s="1" t="s">
        <v>42</v>
      </c>
      <c r="C2068" s="1" t="s">
        <v>285</v>
      </c>
      <c r="D2068" s="1" t="s">
        <v>286</v>
      </c>
      <c r="E2068" s="1" t="s">
        <v>45</v>
      </c>
      <c r="F2068" s="1" t="s">
        <v>1548</v>
      </c>
      <c r="G2068" s="1" t="s">
        <v>4799</v>
      </c>
      <c r="H2068" s="1" t="s">
        <v>4800</v>
      </c>
      <c r="I2068" s="1" t="s">
        <v>49</v>
      </c>
      <c r="J2068" s="1" t="s">
        <v>48</v>
      </c>
      <c r="K2068" s="1">
        <v>70</v>
      </c>
      <c r="L2068" s="1">
        <v>0</v>
      </c>
      <c r="M2068" s="1">
        <v>0</v>
      </c>
      <c r="N2068" s="1">
        <v>70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 t="s">
        <v>49</v>
      </c>
      <c r="AA2068" s="1" t="s">
        <v>49</v>
      </c>
      <c r="AB2068" s="1" t="s">
        <v>49</v>
      </c>
      <c r="AC2068" s="1" t="s">
        <v>1551</v>
      </c>
      <c r="AD2068" s="1" t="s">
        <v>1552</v>
      </c>
      <c r="AE2068" s="1" t="s">
        <v>1551</v>
      </c>
      <c r="AF2068" s="1" t="s">
        <v>1553</v>
      </c>
      <c r="AG2068" s="1" t="s">
        <v>53</v>
      </c>
      <c r="AH2068" s="1" t="s">
        <v>49</v>
      </c>
      <c r="AI2068" s="1" t="s">
        <v>54</v>
      </c>
      <c r="AJ2068" s="1">
        <v>1</v>
      </c>
      <c r="AK2068" s="1" t="str">
        <f t="shared" si="32"/>
        <v xml:space="preserve"> =&lt;90</v>
      </c>
      <c r="AL2068" s="1" t="str">
        <f>VLOOKUP(C:C,[1]基础信息!B$1:D$65536,3,0)</f>
        <v>Jug</v>
      </c>
      <c r="AM2068" s="1" t="str">
        <f>VLOOKUP(C:C,[1]基础信息!B$1:E$65536,4,0)</f>
        <v>Marella XL</v>
      </c>
      <c r="AN2068" s="1" t="str">
        <f>VLOOKUP(C:C,[1]基础信息!B$1:F$65536,5,0)</f>
        <v>Blue</v>
      </c>
    </row>
    <row r="2069" spans="1:40">
      <c r="A2069" s="1" t="s">
        <v>41</v>
      </c>
      <c r="B2069" s="1" t="s">
        <v>42</v>
      </c>
      <c r="C2069" s="1" t="s">
        <v>285</v>
      </c>
      <c r="D2069" s="1" t="s">
        <v>286</v>
      </c>
      <c r="E2069" s="1" t="s">
        <v>45</v>
      </c>
      <c r="F2069" s="1" t="s">
        <v>1548</v>
      </c>
      <c r="G2069" s="1" t="s">
        <v>4801</v>
      </c>
      <c r="H2069" s="1" t="s">
        <v>4802</v>
      </c>
      <c r="I2069" s="1" t="s">
        <v>49</v>
      </c>
      <c r="J2069" s="1" t="s">
        <v>48</v>
      </c>
      <c r="K2069" s="1">
        <v>70</v>
      </c>
      <c r="L2069" s="1">
        <v>0</v>
      </c>
      <c r="M2069" s="1">
        <v>0</v>
      </c>
      <c r="N2069" s="1">
        <v>70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 t="s">
        <v>49</v>
      </c>
      <c r="AA2069" s="1" t="s">
        <v>49</v>
      </c>
      <c r="AB2069" s="1" t="s">
        <v>49</v>
      </c>
      <c r="AC2069" s="1" t="s">
        <v>1551</v>
      </c>
      <c r="AD2069" s="1" t="s">
        <v>1552</v>
      </c>
      <c r="AE2069" s="1" t="s">
        <v>1551</v>
      </c>
      <c r="AF2069" s="1" t="s">
        <v>1553</v>
      </c>
      <c r="AG2069" s="1" t="s">
        <v>53</v>
      </c>
      <c r="AH2069" s="1" t="s">
        <v>49</v>
      </c>
      <c r="AI2069" s="1" t="s">
        <v>54</v>
      </c>
      <c r="AJ2069" s="1">
        <v>1</v>
      </c>
      <c r="AK2069" s="1" t="str">
        <f t="shared" si="32"/>
        <v xml:space="preserve"> =&lt;90</v>
      </c>
      <c r="AL2069" s="1" t="str">
        <f>VLOOKUP(C:C,[1]基础信息!B$1:D$65536,3,0)</f>
        <v>Jug</v>
      </c>
      <c r="AM2069" s="1" t="str">
        <f>VLOOKUP(C:C,[1]基础信息!B$1:E$65536,4,0)</f>
        <v>Marella XL</v>
      </c>
      <c r="AN2069" s="1" t="str">
        <f>VLOOKUP(C:C,[1]基础信息!B$1:F$65536,5,0)</f>
        <v>Blue</v>
      </c>
    </row>
    <row r="2070" spans="1:40">
      <c r="A2070" s="1" t="s">
        <v>41</v>
      </c>
      <c r="B2070" s="1" t="s">
        <v>42</v>
      </c>
      <c r="C2070" s="1" t="s">
        <v>2166</v>
      </c>
      <c r="D2070" s="1" t="s">
        <v>2167</v>
      </c>
      <c r="E2070" s="1" t="s">
        <v>45</v>
      </c>
      <c r="F2070" s="1" t="s">
        <v>4729</v>
      </c>
      <c r="G2070" s="1" t="s">
        <v>4803</v>
      </c>
      <c r="H2070" s="1" t="s">
        <v>4804</v>
      </c>
      <c r="I2070" s="1" t="s">
        <v>49</v>
      </c>
      <c r="J2070" s="1" t="s">
        <v>48</v>
      </c>
      <c r="K2070" s="1">
        <v>16</v>
      </c>
      <c r="L2070" s="1">
        <v>0</v>
      </c>
      <c r="M2070" s="1">
        <v>0</v>
      </c>
      <c r="N2070" s="1">
        <v>16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 t="s">
        <v>49</v>
      </c>
      <c r="AA2070" s="1" t="s">
        <v>49</v>
      </c>
      <c r="AB2070" s="1" t="s">
        <v>49</v>
      </c>
      <c r="AC2070" s="1" t="s">
        <v>4732</v>
      </c>
      <c r="AD2070" s="1" t="s">
        <v>4733</v>
      </c>
      <c r="AE2070" s="1" t="s">
        <v>4732</v>
      </c>
      <c r="AF2070" s="1" t="s">
        <v>3986</v>
      </c>
      <c r="AG2070" s="1" t="s">
        <v>53</v>
      </c>
      <c r="AH2070" s="1" t="s">
        <v>49</v>
      </c>
      <c r="AI2070" s="1" t="s">
        <v>54</v>
      </c>
      <c r="AJ2070" s="1">
        <v>1</v>
      </c>
      <c r="AK2070" s="1" t="str">
        <f t="shared" si="32"/>
        <v xml:space="preserve"> =&lt;90</v>
      </c>
      <c r="AL2070" s="1" t="str">
        <f>VLOOKUP(C:C,[1]基础信息!B$1:D$65536,3,0)</f>
        <v>UTS</v>
      </c>
      <c r="AM2070" s="1" t="str">
        <f>VLOOKUP(C:C,[1]基础信息!B$1:E$65536,4,0)</f>
        <v>RO</v>
      </c>
      <c r="AN2070" s="1" t="str">
        <f>VLOOKUP(C:C,[1]基础信息!B$1:F$65536,5,0)</f>
        <v>Starry Grey Color</v>
      </c>
    </row>
    <row r="2071" spans="1:40">
      <c r="A2071" s="1" t="s">
        <v>41</v>
      </c>
      <c r="B2071" s="1" t="s">
        <v>42</v>
      </c>
      <c r="C2071" s="1" t="s">
        <v>4342</v>
      </c>
      <c r="D2071" s="1" t="s">
        <v>4343</v>
      </c>
      <c r="E2071" s="1" t="s">
        <v>45</v>
      </c>
      <c r="F2071" s="1" t="s">
        <v>4805</v>
      </c>
      <c r="G2071" s="1" t="s">
        <v>4806</v>
      </c>
      <c r="H2071" s="1" t="s">
        <v>45</v>
      </c>
      <c r="I2071" s="1" t="s">
        <v>45</v>
      </c>
      <c r="J2071" s="1" t="s">
        <v>48</v>
      </c>
      <c r="K2071" s="1">
        <v>86</v>
      </c>
      <c r="L2071" s="1">
        <v>0</v>
      </c>
      <c r="M2071" s="1">
        <v>0</v>
      </c>
      <c r="N2071" s="1">
        <v>86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 t="s">
        <v>49</v>
      </c>
      <c r="AA2071" s="1" t="s">
        <v>49</v>
      </c>
      <c r="AB2071" s="1" t="s">
        <v>49</v>
      </c>
      <c r="AC2071" s="1" t="s">
        <v>3241</v>
      </c>
      <c r="AD2071" s="1" t="s">
        <v>3270</v>
      </c>
      <c r="AE2071" s="1" t="s">
        <v>3241</v>
      </c>
      <c r="AF2071" s="1" t="s">
        <v>4807</v>
      </c>
      <c r="AG2071" s="1" t="s">
        <v>53</v>
      </c>
      <c r="AH2071" s="1" t="s">
        <v>49</v>
      </c>
      <c r="AI2071" s="1" t="s">
        <v>54</v>
      </c>
      <c r="AJ2071" s="1">
        <v>1</v>
      </c>
      <c r="AK2071" s="1" t="str">
        <f t="shared" si="32"/>
        <v xml:space="preserve"> =&lt;90</v>
      </c>
      <c r="AL2071" s="1" t="e">
        <f>VLOOKUP(C:C,[1]基础信息!B$1:D$65536,3,0)</f>
        <v>#N/A</v>
      </c>
      <c r="AM2071" s="1" t="e">
        <f>VLOOKUP(C:C,[1]基础信息!B$1:E$65536,4,0)</f>
        <v>#N/A</v>
      </c>
      <c r="AN2071" s="1" t="e">
        <f>VLOOKUP(C:C,[1]基础信息!B$1:F$65536,5,0)</f>
        <v>#N/A</v>
      </c>
    </row>
    <row r="2072" spans="1:40">
      <c r="A2072" s="1" t="s">
        <v>41</v>
      </c>
      <c r="B2072" s="1" t="s">
        <v>42</v>
      </c>
      <c r="C2072" s="1" t="s">
        <v>285</v>
      </c>
      <c r="D2072" s="1" t="s">
        <v>286</v>
      </c>
      <c r="E2072" s="1" t="s">
        <v>45</v>
      </c>
      <c r="F2072" s="1" t="s">
        <v>2411</v>
      </c>
      <c r="G2072" s="1" t="s">
        <v>4808</v>
      </c>
      <c r="H2072" s="1" t="s">
        <v>4809</v>
      </c>
      <c r="I2072" s="1" t="s">
        <v>49</v>
      </c>
      <c r="J2072" s="1" t="s">
        <v>48</v>
      </c>
      <c r="K2072" s="1">
        <v>70</v>
      </c>
      <c r="L2072" s="1">
        <v>0</v>
      </c>
      <c r="M2072" s="1">
        <v>0</v>
      </c>
      <c r="N2072" s="1">
        <v>70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 t="s">
        <v>49</v>
      </c>
      <c r="AA2072" s="1" t="s">
        <v>49</v>
      </c>
      <c r="AB2072" s="1" t="s">
        <v>49</v>
      </c>
      <c r="AC2072" s="1" t="s">
        <v>1551</v>
      </c>
      <c r="AD2072" s="1" t="s">
        <v>1552</v>
      </c>
      <c r="AE2072" s="1" t="s">
        <v>1551</v>
      </c>
      <c r="AF2072" s="1" t="s">
        <v>2414</v>
      </c>
      <c r="AG2072" s="1" t="s">
        <v>53</v>
      </c>
      <c r="AH2072" s="1" t="s">
        <v>49</v>
      </c>
      <c r="AI2072" s="1" t="s">
        <v>54</v>
      </c>
      <c r="AJ2072" s="1">
        <v>1</v>
      </c>
      <c r="AK2072" s="1" t="str">
        <f t="shared" si="32"/>
        <v xml:space="preserve"> =&lt;90</v>
      </c>
      <c r="AL2072" s="1" t="str">
        <f>VLOOKUP(C:C,[1]基础信息!B$1:D$65536,3,0)</f>
        <v>Jug</v>
      </c>
      <c r="AM2072" s="1" t="str">
        <f>VLOOKUP(C:C,[1]基础信息!B$1:E$65536,4,0)</f>
        <v>Marella XL</v>
      </c>
      <c r="AN2072" s="1" t="str">
        <f>VLOOKUP(C:C,[1]基础信息!B$1:F$65536,5,0)</f>
        <v>Blue</v>
      </c>
    </row>
    <row r="2073" spans="1:40">
      <c r="A2073" s="1" t="s">
        <v>41</v>
      </c>
      <c r="B2073" s="1" t="s">
        <v>42</v>
      </c>
      <c r="C2073" s="1" t="s">
        <v>285</v>
      </c>
      <c r="D2073" s="1" t="s">
        <v>286</v>
      </c>
      <c r="E2073" s="1" t="s">
        <v>45</v>
      </c>
      <c r="F2073" s="1" t="s">
        <v>2411</v>
      </c>
      <c r="G2073" s="1" t="s">
        <v>4810</v>
      </c>
      <c r="H2073" s="1" t="s">
        <v>4811</v>
      </c>
      <c r="I2073" s="1" t="s">
        <v>49</v>
      </c>
      <c r="J2073" s="1" t="s">
        <v>48</v>
      </c>
      <c r="K2073" s="1">
        <v>70</v>
      </c>
      <c r="L2073" s="1">
        <v>0</v>
      </c>
      <c r="M2073" s="1">
        <v>0</v>
      </c>
      <c r="N2073" s="1">
        <v>70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 t="s">
        <v>49</v>
      </c>
      <c r="AA2073" s="1" t="s">
        <v>49</v>
      </c>
      <c r="AB2073" s="1" t="s">
        <v>49</v>
      </c>
      <c r="AC2073" s="1" t="s">
        <v>1551</v>
      </c>
      <c r="AD2073" s="1" t="s">
        <v>1552</v>
      </c>
      <c r="AE2073" s="1" t="s">
        <v>1551</v>
      </c>
      <c r="AF2073" s="1" t="s">
        <v>2414</v>
      </c>
      <c r="AG2073" s="1" t="s">
        <v>53</v>
      </c>
      <c r="AH2073" s="1" t="s">
        <v>49</v>
      </c>
      <c r="AI2073" s="1" t="s">
        <v>54</v>
      </c>
      <c r="AJ2073" s="1">
        <v>1</v>
      </c>
      <c r="AK2073" s="1" t="str">
        <f t="shared" si="32"/>
        <v xml:space="preserve"> =&lt;90</v>
      </c>
      <c r="AL2073" s="1" t="str">
        <f>VLOOKUP(C:C,[1]基础信息!B$1:D$65536,3,0)</f>
        <v>Jug</v>
      </c>
      <c r="AM2073" s="1" t="str">
        <f>VLOOKUP(C:C,[1]基础信息!B$1:E$65536,4,0)</f>
        <v>Marella XL</v>
      </c>
      <c r="AN2073" s="1" t="str">
        <f>VLOOKUP(C:C,[1]基础信息!B$1:F$65536,5,0)</f>
        <v>Blue</v>
      </c>
    </row>
    <row r="2074" spans="1:40">
      <c r="A2074" s="1" t="s">
        <v>41</v>
      </c>
      <c r="B2074" s="1" t="s">
        <v>42</v>
      </c>
      <c r="C2074" s="1" t="s">
        <v>285</v>
      </c>
      <c r="D2074" s="1" t="s">
        <v>286</v>
      </c>
      <c r="E2074" s="1" t="s">
        <v>45</v>
      </c>
      <c r="F2074" s="1" t="s">
        <v>2411</v>
      </c>
      <c r="G2074" s="1" t="s">
        <v>4812</v>
      </c>
      <c r="H2074" s="1" t="s">
        <v>4813</v>
      </c>
      <c r="I2074" s="1" t="s">
        <v>49</v>
      </c>
      <c r="J2074" s="1" t="s">
        <v>48</v>
      </c>
      <c r="K2074" s="1">
        <v>70</v>
      </c>
      <c r="L2074" s="1">
        <v>0</v>
      </c>
      <c r="M2074" s="1">
        <v>0</v>
      </c>
      <c r="N2074" s="1">
        <v>70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 t="s">
        <v>49</v>
      </c>
      <c r="AA2074" s="1" t="s">
        <v>49</v>
      </c>
      <c r="AB2074" s="1" t="s">
        <v>49</v>
      </c>
      <c r="AC2074" s="1" t="s">
        <v>1551</v>
      </c>
      <c r="AD2074" s="1" t="s">
        <v>1552</v>
      </c>
      <c r="AE2074" s="1" t="s">
        <v>1551</v>
      </c>
      <c r="AF2074" s="1" t="s">
        <v>2414</v>
      </c>
      <c r="AG2074" s="1" t="s">
        <v>53</v>
      </c>
      <c r="AH2074" s="1" t="s">
        <v>49</v>
      </c>
      <c r="AI2074" s="1" t="s">
        <v>54</v>
      </c>
      <c r="AJ2074" s="1">
        <v>1</v>
      </c>
      <c r="AK2074" s="1" t="str">
        <f t="shared" si="32"/>
        <v xml:space="preserve"> =&lt;90</v>
      </c>
      <c r="AL2074" s="1" t="str">
        <f>VLOOKUP(C:C,[1]基础信息!B$1:D$65536,3,0)</f>
        <v>Jug</v>
      </c>
      <c r="AM2074" s="1" t="str">
        <f>VLOOKUP(C:C,[1]基础信息!B$1:E$65536,4,0)</f>
        <v>Marella XL</v>
      </c>
      <c r="AN2074" s="1" t="str">
        <f>VLOOKUP(C:C,[1]基础信息!B$1:F$65536,5,0)</f>
        <v>Blue</v>
      </c>
    </row>
    <row r="2075" spans="1:40">
      <c r="A2075" s="1" t="s">
        <v>41</v>
      </c>
      <c r="B2075" s="1" t="s">
        <v>42</v>
      </c>
      <c r="C2075" s="1" t="s">
        <v>2166</v>
      </c>
      <c r="D2075" s="1" t="s">
        <v>2167</v>
      </c>
      <c r="E2075" s="1" t="s">
        <v>45</v>
      </c>
      <c r="F2075" s="1" t="s">
        <v>4729</v>
      </c>
      <c r="G2075" s="1" t="s">
        <v>4814</v>
      </c>
      <c r="H2075" s="1" t="s">
        <v>4815</v>
      </c>
      <c r="I2075" s="1" t="s">
        <v>49</v>
      </c>
      <c r="J2075" s="1" t="s">
        <v>48</v>
      </c>
      <c r="K2075" s="1">
        <v>16</v>
      </c>
      <c r="L2075" s="1">
        <v>0</v>
      </c>
      <c r="M2075" s="1">
        <v>0</v>
      </c>
      <c r="N2075" s="1">
        <v>16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 t="s">
        <v>49</v>
      </c>
      <c r="AA2075" s="1" t="s">
        <v>49</v>
      </c>
      <c r="AB2075" s="1" t="s">
        <v>49</v>
      </c>
      <c r="AC2075" s="1" t="s">
        <v>4732</v>
      </c>
      <c r="AD2075" s="1" t="s">
        <v>4733</v>
      </c>
      <c r="AE2075" s="1" t="s">
        <v>4732</v>
      </c>
      <c r="AF2075" s="1" t="s">
        <v>3986</v>
      </c>
      <c r="AG2075" s="1" t="s">
        <v>53</v>
      </c>
      <c r="AH2075" s="1" t="s">
        <v>49</v>
      </c>
      <c r="AI2075" s="1" t="s">
        <v>54</v>
      </c>
      <c r="AJ2075" s="1">
        <v>1</v>
      </c>
      <c r="AK2075" s="1" t="str">
        <f t="shared" si="32"/>
        <v xml:space="preserve"> =&lt;90</v>
      </c>
      <c r="AL2075" s="1" t="str">
        <f>VLOOKUP(C:C,[1]基础信息!B$1:D$65536,3,0)</f>
        <v>UTS</v>
      </c>
      <c r="AM2075" s="1" t="str">
        <f>VLOOKUP(C:C,[1]基础信息!B$1:E$65536,4,0)</f>
        <v>RO</v>
      </c>
      <c r="AN2075" s="1" t="str">
        <f>VLOOKUP(C:C,[1]基础信息!B$1:F$65536,5,0)</f>
        <v>Starry Grey Color</v>
      </c>
    </row>
    <row r="2076" spans="1:40">
      <c r="A2076" s="1" t="s">
        <v>41</v>
      </c>
      <c r="B2076" s="1" t="s">
        <v>42</v>
      </c>
      <c r="C2076" s="1" t="s">
        <v>285</v>
      </c>
      <c r="D2076" s="1" t="s">
        <v>286</v>
      </c>
      <c r="E2076" s="1" t="s">
        <v>45</v>
      </c>
      <c r="F2076" s="1" t="s">
        <v>4741</v>
      </c>
      <c r="G2076" s="1" t="s">
        <v>4816</v>
      </c>
      <c r="H2076" s="1" t="s">
        <v>4817</v>
      </c>
      <c r="I2076" s="1" t="s">
        <v>49</v>
      </c>
      <c r="J2076" s="1" t="s">
        <v>48</v>
      </c>
      <c r="K2076" s="1">
        <v>70</v>
      </c>
      <c r="L2076" s="1">
        <v>0</v>
      </c>
      <c r="M2076" s="1">
        <v>0</v>
      </c>
      <c r="N2076" s="1">
        <v>70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 t="s">
        <v>49</v>
      </c>
      <c r="AA2076" s="1" t="s">
        <v>49</v>
      </c>
      <c r="AB2076" s="1" t="s">
        <v>49</v>
      </c>
      <c r="AC2076" s="1" t="s">
        <v>3098</v>
      </c>
      <c r="AD2076" s="1" t="s">
        <v>3099</v>
      </c>
      <c r="AE2076" s="1" t="s">
        <v>3098</v>
      </c>
      <c r="AF2076" s="1" t="s">
        <v>2414</v>
      </c>
      <c r="AG2076" s="1" t="s">
        <v>53</v>
      </c>
      <c r="AH2076" s="1" t="s">
        <v>49</v>
      </c>
      <c r="AI2076" s="1" t="s">
        <v>54</v>
      </c>
      <c r="AJ2076" s="1">
        <v>1</v>
      </c>
      <c r="AK2076" s="1" t="str">
        <f t="shared" si="32"/>
        <v xml:space="preserve"> =&lt;90</v>
      </c>
      <c r="AL2076" s="1" t="str">
        <f>VLOOKUP(C:C,[1]基础信息!B$1:D$65536,3,0)</f>
        <v>Jug</v>
      </c>
      <c r="AM2076" s="1" t="str">
        <f>VLOOKUP(C:C,[1]基础信息!B$1:E$65536,4,0)</f>
        <v>Marella XL</v>
      </c>
      <c r="AN2076" s="1" t="str">
        <f>VLOOKUP(C:C,[1]基础信息!B$1:F$65536,5,0)</f>
        <v>Blue</v>
      </c>
    </row>
    <row r="2077" spans="1:40">
      <c r="A2077" s="1" t="s">
        <v>41</v>
      </c>
      <c r="B2077" s="1" t="s">
        <v>42</v>
      </c>
      <c r="C2077" s="1" t="s">
        <v>285</v>
      </c>
      <c r="D2077" s="1" t="s">
        <v>286</v>
      </c>
      <c r="E2077" s="1" t="s">
        <v>45</v>
      </c>
      <c r="F2077" s="1" t="s">
        <v>2411</v>
      </c>
      <c r="G2077" s="1" t="s">
        <v>4818</v>
      </c>
      <c r="H2077" s="1" t="s">
        <v>4819</v>
      </c>
      <c r="I2077" s="1" t="s">
        <v>49</v>
      </c>
      <c r="J2077" s="1" t="s">
        <v>48</v>
      </c>
      <c r="K2077" s="1">
        <v>70</v>
      </c>
      <c r="L2077" s="1">
        <v>0</v>
      </c>
      <c r="M2077" s="1">
        <v>0</v>
      </c>
      <c r="N2077" s="1">
        <v>70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 t="s">
        <v>49</v>
      </c>
      <c r="AA2077" s="1" t="s">
        <v>49</v>
      </c>
      <c r="AB2077" s="1" t="s">
        <v>49</v>
      </c>
      <c r="AC2077" s="1" t="s">
        <v>1551</v>
      </c>
      <c r="AD2077" s="1" t="s">
        <v>1552</v>
      </c>
      <c r="AE2077" s="1" t="s">
        <v>1551</v>
      </c>
      <c r="AF2077" s="1" t="s">
        <v>2414</v>
      </c>
      <c r="AG2077" s="1" t="s">
        <v>53</v>
      </c>
      <c r="AH2077" s="1" t="s">
        <v>49</v>
      </c>
      <c r="AI2077" s="1" t="s">
        <v>54</v>
      </c>
      <c r="AJ2077" s="1">
        <v>1</v>
      </c>
      <c r="AK2077" s="1" t="str">
        <f t="shared" si="32"/>
        <v xml:space="preserve"> =&lt;90</v>
      </c>
      <c r="AL2077" s="1" t="str">
        <f>VLOOKUP(C:C,[1]基础信息!B$1:D$65536,3,0)</f>
        <v>Jug</v>
      </c>
      <c r="AM2077" s="1" t="str">
        <f>VLOOKUP(C:C,[1]基础信息!B$1:E$65536,4,0)</f>
        <v>Marella XL</v>
      </c>
      <c r="AN2077" s="1" t="str">
        <f>VLOOKUP(C:C,[1]基础信息!B$1:F$65536,5,0)</f>
        <v>Blue</v>
      </c>
    </row>
    <row r="2078" spans="1:40">
      <c r="A2078" s="1" t="s">
        <v>41</v>
      </c>
      <c r="B2078" s="1" t="s">
        <v>42</v>
      </c>
      <c r="C2078" s="1" t="s">
        <v>285</v>
      </c>
      <c r="D2078" s="1" t="s">
        <v>286</v>
      </c>
      <c r="E2078" s="1" t="s">
        <v>45</v>
      </c>
      <c r="F2078" s="1" t="s">
        <v>2411</v>
      </c>
      <c r="G2078" s="1" t="s">
        <v>4820</v>
      </c>
      <c r="H2078" s="1" t="s">
        <v>4821</v>
      </c>
      <c r="I2078" s="1" t="s">
        <v>49</v>
      </c>
      <c r="J2078" s="1" t="s">
        <v>48</v>
      </c>
      <c r="K2078" s="1">
        <v>70</v>
      </c>
      <c r="L2078" s="1">
        <v>0</v>
      </c>
      <c r="M2078" s="1">
        <v>0</v>
      </c>
      <c r="N2078" s="1">
        <v>70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 t="s">
        <v>49</v>
      </c>
      <c r="AA2078" s="1" t="s">
        <v>49</v>
      </c>
      <c r="AB2078" s="1" t="s">
        <v>49</v>
      </c>
      <c r="AC2078" s="1" t="s">
        <v>1551</v>
      </c>
      <c r="AD2078" s="1" t="s">
        <v>1552</v>
      </c>
      <c r="AE2078" s="1" t="s">
        <v>1551</v>
      </c>
      <c r="AF2078" s="1" t="s">
        <v>2414</v>
      </c>
      <c r="AG2078" s="1" t="s">
        <v>53</v>
      </c>
      <c r="AH2078" s="1" t="s">
        <v>49</v>
      </c>
      <c r="AI2078" s="1" t="s">
        <v>54</v>
      </c>
      <c r="AJ2078" s="1">
        <v>1</v>
      </c>
      <c r="AK2078" s="1" t="str">
        <f t="shared" si="32"/>
        <v xml:space="preserve"> =&lt;90</v>
      </c>
      <c r="AL2078" s="1" t="str">
        <f>VLOOKUP(C:C,[1]基础信息!B$1:D$65536,3,0)</f>
        <v>Jug</v>
      </c>
      <c r="AM2078" s="1" t="str">
        <f>VLOOKUP(C:C,[1]基础信息!B$1:E$65536,4,0)</f>
        <v>Marella XL</v>
      </c>
      <c r="AN2078" s="1" t="str">
        <f>VLOOKUP(C:C,[1]基础信息!B$1:F$65536,5,0)</f>
        <v>Blue</v>
      </c>
    </row>
    <row r="2079" spans="1:40">
      <c r="A2079" s="1" t="s">
        <v>41</v>
      </c>
      <c r="B2079" s="1" t="s">
        <v>42</v>
      </c>
      <c r="C2079" s="1" t="s">
        <v>285</v>
      </c>
      <c r="D2079" s="1" t="s">
        <v>286</v>
      </c>
      <c r="E2079" s="1" t="s">
        <v>45</v>
      </c>
      <c r="F2079" s="1" t="s">
        <v>2411</v>
      </c>
      <c r="G2079" s="1" t="s">
        <v>4822</v>
      </c>
      <c r="H2079" s="1" t="s">
        <v>4823</v>
      </c>
      <c r="I2079" s="1" t="s">
        <v>49</v>
      </c>
      <c r="J2079" s="1" t="s">
        <v>48</v>
      </c>
      <c r="K2079" s="1">
        <v>70</v>
      </c>
      <c r="L2079" s="1">
        <v>0</v>
      </c>
      <c r="M2079" s="1">
        <v>0</v>
      </c>
      <c r="N2079" s="1">
        <v>70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 t="s">
        <v>49</v>
      </c>
      <c r="AA2079" s="1" t="s">
        <v>49</v>
      </c>
      <c r="AB2079" s="1" t="s">
        <v>49</v>
      </c>
      <c r="AC2079" s="1" t="s">
        <v>1551</v>
      </c>
      <c r="AD2079" s="1" t="s">
        <v>1552</v>
      </c>
      <c r="AE2079" s="1" t="s">
        <v>1551</v>
      </c>
      <c r="AF2079" s="1" t="s">
        <v>2414</v>
      </c>
      <c r="AG2079" s="1" t="s">
        <v>53</v>
      </c>
      <c r="AH2079" s="1" t="s">
        <v>49</v>
      </c>
      <c r="AI2079" s="1" t="s">
        <v>54</v>
      </c>
      <c r="AJ2079" s="1">
        <v>1</v>
      </c>
      <c r="AK2079" s="1" t="str">
        <f t="shared" si="32"/>
        <v xml:space="preserve"> =&lt;90</v>
      </c>
      <c r="AL2079" s="1" t="str">
        <f>VLOOKUP(C:C,[1]基础信息!B$1:D$65536,3,0)</f>
        <v>Jug</v>
      </c>
      <c r="AM2079" s="1" t="str">
        <f>VLOOKUP(C:C,[1]基础信息!B$1:E$65536,4,0)</f>
        <v>Marella XL</v>
      </c>
      <c r="AN2079" s="1" t="str">
        <f>VLOOKUP(C:C,[1]基础信息!B$1:F$65536,5,0)</f>
        <v>Blue</v>
      </c>
    </row>
    <row r="2080" spans="1:40">
      <c r="A2080" s="1" t="s">
        <v>41</v>
      </c>
      <c r="B2080" s="1" t="s">
        <v>42</v>
      </c>
      <c r="C2080" s="1" t="s">
        <v>2166</v>
      </c>
      <c r="D2080" s="1" t="s">
        <v>2167</v>
      </c>
      <c r="E2080" s="1" t="s">
        <v>45</v>
      </c>
      <c r="F2080" s="1" t="s">
        <v>4729</v>
      </c>
      <c r="G2080" s="1" t="s">
        <v>4824</v>
      </c>
      <c r="H2080" s="1" t="s">
        <v>4825</v>
      </c>
      <c r="I2080" s="1" t="s">
        <v>49</v>
      </c>
      <c r="J2080" s="1" t="s">
        <v>48</v>
      </c>
      <c r="K2080" s="1">
        <v>16</v>
      </c>
      <c r="L2080" s="1">
        <v>0</v>
      </c>
      <c r="M2080" s="1">
        <v>0</v>
      </c>
      <c r="N2080" s="1">
        <v>16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 t="s">
        <v>49</v>
      </c>
      <c r="AA2080" s="1" t="s">
        <v>49</v>
      </c>
      <c r="AB2080" s="1" t="s">
        <v>49</v>
      </c>
      <c r="AC2080" s="1" t="s">
        <v>4732</v>
      </c>
      <c r="AD2080" s="1" t="s">
        <v>4733</v>
      </c>
      <c r="AE2080" s="1" t="s">
        <v>4732</v>
      </c>
      <c r="AF2080" s="1" t="s">
        <v>3986</v>
      </c>
      <c r="AG2080" s="1" t="s">
        <v>53</v>
      </c>
      <c r="AH2080" s="1" t="s">
        <v>49</v>
      </c>
      <c r="AI2080" s="1" t="s">
        <v>54</v>
      </c>
      <c r="AJ2080" s="1">
        <v>1</v>
      </c>
      <c r="AK2080" s="1" t="str">
        <f t="shared" si="32"/>
        <v xml:space="preserve"> =&lt;90</v>
      </c>
      <c r="AL2080" s="1" t="str">
        <f>VLOOKUP(C:C,[1]基础信息!B$1:D$65536,3,0)</f>
        <v>UTS</v>
      </c>
      <c r="AM2080" s="1" t="str">
        <f>VLOOKUP(C:C,[1]基础信息!B$1:E$65536,4,0)</f>
        <v>RO</v>
      </c>
      <c r="AN2080" s="1" t="str">
        <f>VLOOKUP(C:C,[1]基础信息!B$1:F$65536,5,0)</f>
        <v>Starry Grey Color</v>
      </c>
    </row>
    <row r="2081" spans="1:40">
      <c r="A2081" s="1" t="s">
        <v>41</v>
      </c>
      <c r="B2081" s="1" t="s">
        <v>42</v>
      </c>
      <c r="C2081" s="1" t="s">
        <v>285</v>
      </c>
      <c r="D2081" s="1" t="s">
        <v>286</v>
      </c>
      <c r="E2081" s="1" t="s">
        <v>45</v>
      </c>
      <c r="F2081" s="1" t="s">
        <v>2411</v>
      </c>
      <c r="G2081" s="1" t="s">
        <v>4826</v>
      </c>
      <c r="H2081" s="1" t="s">
        <v>4827</v>
      </c>
      <c r="I2081" s="1" t="s">
        <v>49</v>
      </c>
      <c r="J2081" s="1" t="s">
        <v>48</v>
      </c>
      <c r="K2081" s="1">
        <v>70</v>
      </c>
      <c r="L2081" s="1">
        <v>0</v>
      </c>
      <c r="M2081" s="1">
        <v>0</v>
      </c>
      <c r="N2081" s="1">
        <v>70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 t="s">
        <v>49</v>
      </c>
      <c r="AA2081" s="1" t="s">
        <v>49</v>
      </c>
      <c r="AB2081" s="1" t="s">
        <v>49</v>
      </c>
      <c r="AC2081" s="1" t="s">
        <v>1551</v>
      </c>
      <c r="AD2081" s="1" t="s">
        <v>1552</v>
      </c>
      <c r="AE2081" s="1" t="s">
        <v>1551</v>
      </c>
      <c r="AF2081" s="1" t="s">
        <v>2414</v>
      </c>
      <c r="AG2081" s="1" t="s">
        <v>53</v>
      </c>
      <c r="AH2081" s="1" t="s">
        <v>49</v>
      </c>
      <c r="AI2081" s="1" t="s">
        <v>54</v>
      </c>
      <c r="AJ2081" s="1">
        <v>1</v>
      </c>
      <c r="AK2081" s="1" t="str">
        <f t="shared" si="32"/>
        <v xml:space="preserve"> =&lt;90</v>
      </c>
      <c r="AL2081" s="1" t="str">
        <f>VLOOKUP(C:C,[1]基础信息!B$1:D$65536,3,0)</f>
        <v>Jug</v>
      </c>
      <c r="AM2081" s="1" t="str">
        <f>VLOOKUP(C:C,[1]基础信息!B$1:E$65536,4,0)</f>
        <v>Marella XL</v>
      </c>
      <c r="AN2081" s="1" t="str">
        <f>VLOOKUP(C:C,[1]基础信息!B$1:F$65536,5,0)</f>
        <v>Blue</v>
      </c>
    </row>
    <row r="2082" spans="1:40">
      <c r="A2082" s="1" t="s">
        <v>41</v>
      </c>
      <c r="B2082" s="1" t="s">
        <v>42</v>
      </c>
      <c r="C2082" s="1" t="s">
        <v>285</v>
      </c>
      <c r="D2082" s="1" t="s">
        <v>286</v>
      </c>
      <c r="E2082" s="1" t="s">
        <v>45</v>
      </c>
      <c r="F2082" s="1" t="s">
        <v>2411</v>
      </c>
      <c r="G2082" s="1" t="s">
        <v>4828</v>
      </c>
      <c r="H2082" s="1" t="s">
        <v>4829</v>
      </c>
      <c r="I2082" s="1" t="s">
        <v>49</v>
      </c>
      <c r="J2082" s="1" t="s">
        <v>48</v>
      </c>
      <c r="K2082" s="1">
        <v>70</v>
      </c>
      <c r="L2082" s="1">
        <v>0</v>
      </c>
      <c r="M2082" s="1">
        <v>0</v>
      </c>
      <c r="N2082" s="1">
        <v>70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 t="s">
        <v>49</v>
      </c>
      <c r="AA2082" s="1" t="s">
        <v>49</v>
      </c>
      <c r="AB2082" s="1" t="s">
        <v>49</v>
      </c>
      <c r="AC2082" s="1" t="s">
        <v>1551</v>
      </c>
      <c r="AD2082" s="1" t="s">
        <v>1552</v>
      </c>
      <c r="AE2082" s="1" t="s">
        <v>1551</v>
      </c>
      <c r="AF2082" s="1" t="s">
        <v>2414</v>
      </c>
      <c r="AG2082" s="1" t="s">
        <v>53</v>
      </c>
      <c r="AH2082" s="1" t="s">
        <v>49</v>
      </c>
      <c r="AI2082" s="1" t="s">
        <v>54</v>
      </c>
      <c r="AJ2082" s="1">
        <v>1</v>
      </c>
      <c r="AK2082" s="1" t="str">
        <f t="shared" si="32"/>
        <v xml:space="preserve"> =&lt;90</v>
      </c>
      <c r="AL2082" s="1" t="str">
        <f>VLOOKUP(C:C,[1]基础信息!B$1:D$65536,3,0)</f>
        <v>Jug</v>
      </c>
      <c r="AM2082" s="1" t="str">
        <f>VLOOKUP(C:C,[1]基础信息!B$1:E$65536,4,0)</f>
        <v>Marella XL</v>
      </c>
      <c r="AN2082" s="1" t="str">
        <f>VLOOKUP(C:C,[1]基础信息!B$1:F$65536,5,0)</f>
        <v>Blue</v>
      </c>
    </row>
    <row r="2083" spans="1:40">
      <c r="A2083" s="1" t="s">
        <v>41</v>
      </c>
      <c r="B2083" s="1" t="s">
        <v>42</v>
      </c>
      <c r="C2083" s="1" t="s">
        <v>285</v>
      </c>
      <c r="D2083" s="1" t="s">
        <v>286</v>
      </c>
      <c r="E2083" s="1" t="s">
        <v>45</v>
      </c>
      <c r="F2083" s="1" t="s">
        <v>2411</v>
      </c>
      <c r="G2083" s="1" t="s">
        <v>4830</v>
      </c>
      <c r="H2083" s="1" t="s">
        <v>4831</v>
      </c>
      <c r="I2083" s="1" t="s">
        <v>49</v>
      </c>
      <c r="J2083" s="1" t="s">
        <v>48</v>
      </c>
      <c r="K2083" s="1">
        <v>70</v>
      </c>
      <c r="L2083" s="1">
        <v>0</v>
      </c>
      <c r="M2083" s="1">
        <v>0</v>
      </c>
      <c r="N2083" s="1">
        <v>70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 t="s">
        <v>49</v>
      </c>
      <c r="AA2083" s="1" t="s">
        <v>49</v>
      </c>
      <c r="AB2083" s="1" t="s">
        <v>49</v>
      </c>
      <c r="AC2083" s="1" t="s">
        <v>1551</v>
      </c>
      <c r="AD2083" s="1" t="s">
        <v>1552</v>
      </c>
      <c r="AE2083" s="1" t="s">
        <v>1551</v>
      </c>
      <c r="AF2083" s="1" t="s">
        <v>2414</v>
      </c>
      <c r="AG2083" s="1" t="s">
        <v>53</v>
      </c>
      <c r="AH2083" s="1" t="s">
        <v>49</v>
      </c>
      <c r="AI2083" s="1" t="s">
        <v>54</v>
      </c>
      <c r="AJ2083" s="1">
        <v>1</v>
      </c>
      <c r="AK2083" s="1" t="str">
        <f t="shared" si="32"/>
        <v xml:space="preserve"> =&lt;90</v>
      </c>
      <c r="AL2083" s="1" t="str">
        <f>VLOOKUP(C:C,[1]基础信息!B$1:D$65536,3,0)</f>
        <v>Jug</v>
      </c>
      <c r="AM2083" s="1" t="str">
        <f>VLOOKUP(C:C,[1]基础信息!B$1:E$65536,4,0)</f>
        <v>Marella XL</v>
      </c>
      <c r="AN2083" s="1" t="str">
        <f>VLOOKUP(C:C,[1]基础信息!B$1:F$65536,5,0)</f>
        <v>Blue</v>
      </c>
    </row>
    <row r="2084" spans="1:40">
      <c r="A2084" s="1" t="s">
        <v>41</v>
      </c>
      <c r="B2084" s="1" t="s">
        <v>42</v>
      </c>
      <c r="C2084" s="1" t="s">
        <v>2166</v>
      </c>
      <c r="D2084" s="1" t="s">
        <v>2167</v>
      </c>
      <c r="E2084" s="1" t="s">
        <v>45</v>
      </c>
      <c r="F2084" s="1" t="s">
        <v>4729</v>
      </c>
      <c r="G2084" s="1" t="s">
        <v>4832</v>
      </c>
      <c r="H2084" s="1" t="s">
        <v>4833</v>
      </c>
      <c r="I2084" s="1" t="s">
        <v>49</v>
      </c>
      <c r="J2084" s="1" t="s">
        <v>48</v>
      </c>
      <c r="K2084" s="1">
        <v>16</v>
      </c>
      <c r="L2084" s="1">
        <v>0</v>
      </c>
      <c r="M2084" s="1">
        <v>0</v>
      </c>
      <c r="N2084" s="1">
        <v>16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 t="s">
        <v>49</v>
      </c>
      <c r="AA2084" s="1" t="s">
        <v>49</v>
      </c>
      <c r="AB2084" s="1" t="s">
        <v>49</v>
      </c>
      <c r="AC2084" s="1" t="s">
        <v>4732</v>
      </c>
      <c r="AD2084" s="1" t="s">
        <v>4733</v>
      </c>
      <c r="AE2084" s="1" t="s">
        <v>4732</v>
      </c>
      <c r="AF2084" s="1" t="s">
        <v>3986</v>
      </c>
      <c r="AG2084" s="1" t="s">
        <v>53</v>
      </c>
      <c r="AH2084" s="1" t="s">
        <v>49</v>
      </c>
      <c r="AI2084" s="1" t="s">
        <v>54</v>
      </c>
      <c r="AJ2084" s="1">
        <v>1</v>
      </c>
      <c r="AK2084" s="1" t="str">
        <f t="shared" si="32"/>
        <v xml:space="preserve"> =&lt;90</v>
      </c>
      <c r="AL2084" s="1" t="str">
        <f>VLOOKUP(C:C,[1]基础信息!B$1:D$65536,3,0)</f>
        <v>UTS</v>
      </c>
      <c r="AM2084" s="1" t="str">
        <f>VLOOKUP(C:C,[1]基础信息!B$1:E$65536,4,0)</f>
        <v>RO</v>
      </c>
      <c r="AN2084" s="1" t="str">
        <f>VLOOKUP(C:C,[1]基础信息!B$1:F$65536,5,0)</f>
        <v>Starry Grey Color</v>
      </c>
    </row>
    <row r="2085" spans="1:40">
      <c r="A2085" s="1" t="s">
        <v>41</v>
      </c>
      <c r="B2085" s="1" t="s">
        <v>42</v>
      </c>
      <c r="C2085" s="1" t="s">
        <v>285</v>
      </c>
      <c r="D2085" s="1" t="s">
        <v>286</v>
      </c>
      <c r="E2085" s="1" t="s">
        <v>45</v>
      </c>
      <c r="F2085" s="1" t="s">
        <v>2547</v>
      </c>
      <c r="G2085" s="1" t="s">
        <v>4834</v>
      </c>
      <c r="H2085" s="1" t="s">
        <v>4835</v>
      </c>
      <c r="I2085" s="1" t="s">
        <v>49</v>
      </c>
      <c r="J2085" s="1" t="s">
        <v>48</v>
      </c>
      <c r="K2085" s="1">
        <v>70</v>
      </c>
      <c r="L2085" s="1">
        <v>0</v>
      </c>
      <c r="M2085" s="1">
        <v>0</v>
      </c>
      <c r="N2085" s="1">
        <v>70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 t="s">
        <v>49</v>
      </c>
      <c r="AA2085" s="1" t="s">
        <v>49</v>
      </c>
      <c r="AB2085" s="1" t="s">
        <v>49</v>
      </c>
      <c r="AC2085" s="1" t="s">
        <v>1551</v>
      </c>
      <c r="AD2085" s="1" t="s">
        <v>1552</v>
      </c>
      <c r="AE2085" s="1" t="s">
        <v>1551</v>
      </c>
      <c r="AF2085" s="1" t="s">
        <v>2550</v>
      </c>
      <c r="AG2085" s="1" t="s">
        <v>53</v>
      </c>
      <c r="AH2085" s="1" t="s">
        <v>49</v>
      </c>
      <c r="AI2085" s="1" t="s">
        <v>54</v>
      </c>
      <c r="AJ2085" s="1">
        <v>1</v>
      </c>
      <c r="AK2085" s="1" t="str">
        <f t="shared" si="32"/>
        <v xml:space="preserve"> =&lt;90</v>
      </c>
      <c r="AL2085" s="1" t="str">
        <f>VLOOKUP(C:C,[1]基础信息!B$1:D$65536,3,0)</f>
        <v>Jug</v>
      </c>
      <c r="AM2085" s="1" t="str">
        <f>VLOOKUP(C:C,[1]基础信息!B$1:E$65536,4,0)</f>
        <v>Marella XL</v>
      </c>
      <c r="AN2085" s="1" t="str">
        <f>VLOOKUP(C:C,[1]基础信息!B$1:F$65536,5,0)</f>
        <v>Blue</v>
      </c>
    </row>
    <row r="2086" spans="1:40">
      <c r="A2086" s="1" t="s">
        <v>41</v>
      </c>
      <c r="B2086" s="1" t="s">
        <v>42</v>
      </c>
      <c r="C2086" s="1" t="s">
        <v>285</v>
      </c>
      <c r="D2086" s="1" t="s">
        <v>286</v>
      </c>
      <c r="E2086" s="1" t="s">
        <v>45</v>
      </c>
      <c r="F2086" s="1" t="s">
        <v>2547</v>
      </c>
      <c r="G2086" s="1" t="s">
        <v>4836</v>
      </c>
      <c r="H2086" s="1" t="s">
        <v>4837</v>
      </c>
      <c r="I2086" s="1" t="s">
        <v>49</v>
      </c>
      <c r="J2086" s="1" t="s">
        <v>48</v>
      </c>
      <c r="K2086" s="1">
        <v>70</v>
      </c>
      <c r="L2086" s="1">
        <v>0</v>
      </c>
      <c r="M2086" s="1">
        <v>0</v>
      </c>
      <c r="N2086" s="1">
        <v>70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 t="s">
        <v>49</v>
      </c>
      <c r="AA2086" s="1" t="s">
        <v>49</v>
      </c>
      <c r="AB2086" s="1" t="s">
        <v>49</v>
      </c>
      <c r="AC2086" s="1" t="s">
        <v>1551</v>
      </c>
      <c r="AD2086" s="1" t="s">
        <v>1552</v>
      </c>
      <c r="AE2086" s="1" t="s">
        <v>1551</v>
      </c>
      <c r="AF2086" s="1" t="s">
        <v>2550</v>
      </c>
      <c r="AG2086" s="1" t="s">
        <v>53</v>
      </c>
      <c r="AH2086" s="1" t="s">
        <v>49</v>
      </c>
      <c r="AI2086" s="1" t="s">
        <v>54</v>
      </c>
      <c r="AJ2086" s="1">
        <v>1</v>
      </c>
      <c r="AK2086" s="1" t="str">
        <f t="shared" si="32"/>
        <v xml:space="preserve"> =&lt;90</v>
      </c>
      <c r="AL2086" s="1" t="str">
        <f>VLOOKUP(C:C,[1]基础信息!B$1:D$65536,3,0)</f>
        <v>Jug</v>
      </c>
      <c r="AM2086" s="1" t="str">
        <f>VLOOKUP(C:C,[1]基础信息!B$1:E$65536,4,0)</f>
        <v>Marella XL</v>
      </c>
      <c r="AN2086" s="1" t="str">
        <f>VLOOKUP(C:C,[1]基础信息!B$1:F$65536,5,0)</f>
        <v>Blue</v>
      </c>
    </row>
    <row r="2087" spans="1:40">
      <c r="A2087" s="1" t="s">
        <v>41</v>
      </c>
      <c r="B2087" s="1" t="s">
        <v>42</v>
      </c>
      <c r="C2087" s="1" t="s">
        <v>301</v>
      </c>
      <c r="D2087" s="1" t="s">
        <v>302</v>
      </c>
      <c r="E2087" s="1" t="s">
        <v>45</v>
      </c>
      <c r="F2087" s="1" t="s">
        <v>4838</v>
      </c>
      <c r="G2087" s="1" t="s">
        <v>4839</v>
      </c>
      <c r="H2087" s="1" t="s">
        <v>4840</v>
      </c>
      <c r="I2087" s="1" t="s">
        <v>49</v>
      </c>
      <c r="J2087" s="1" t="s">
        <v>48</v>
      </c>
      <c r="K2087" s="1">
        <v>96</v>
      </c>
      <c r="L2087" s="1">
        <v>0</v>
      </c>
      <c r="M2087" s="1">
        <v>0</v>
      </c>
      <c r="N2087" s="1">
        <v>96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 t="s">
        <v>49</v>
      </c>
      <c r="AA2087" s="1" t="s">
        <v>49</v>
      </c>
      <c r="AB2087" s="1" t="s">
        <v>49</v>
      </c>
      <c r="AC2087" s="1" t="s">
        <v>1551</v>
      </c>
      <c r="AD2087" s="1" t="s">
        <v>1552</v>
      </c>
      <c r="AE2087" s="1" t="s">
        <v>1551</v>
      </c>
      <c r="AF2087" s="1" t="s">
        <v>1905</v>
      </c>
      <c r="AG2087" s="1" t="s">
        <v>53</v>
      </c>
      <c r="AH2087" s="1" t="s">
        <v>49</v>
      </c>
      <c r="AI2087" s="1" t="s">
        <v>54</v>
      </c>
      <c r="AJ2087" s="1">
        <v>1</v>
      </c>
      <c r="AK2087" s="1" t="str">
        <f t="shared" si="32"/>
        <v xml:space="preserve"> =&lt;90</v>
      </c>
      <c r="AL2087" s="1" t="str">
        <f>VLOOKUP(C:C,[1]基础信息!B$1:D$65536,3,0)</f>
        <v>Jug</v>
      </c>
      <c r="AM2087" s="1" t="str">
        <f>VLOOKUP(C:C,[1]基础信息!B$1:E$65536,4,0)</f>
        <v>Aluna</v>
      </c>
      <c r="AN2087" s="1" t="str">
        <f>VLOOKUP(C:C,[1]基础信息!B$1:F$65536,5,0)</f>
        <v>Blue</v>
      </c>
    </row>
    <row r="2088" spans="1:40">
      <c r="A2088" s="1" t="s">
        <v>41</v>
      </c>
      <c r="B2088" s="1" t="s">
        <v>42</v>
      </c>
      <c r="C2088" s="1" t="s">
        <v>301</v>
      </c>
      <c r="D2088" s="1" t="s">
        <v>302</v>
      </c>
      <c r="E2088" s="1" t="s">
        <v>45</v>
      </c>
      <c r="F2088" s="1" t="s">
        <v>4838</v>
      </c>
      <c r="G2088" s="1" t="s">
        <v>4841</v>
      </c>
      <c r="H2088" s="1" t="s">
        <v>4842</v>
      </c>
      <c r="I2088" s="1" t="s">
        <v>49</v>
      </c>
      <c r="J2088" s="1" t="s">
        <v>48</v>
      </c>
      <c r="K2088" s="1">
        <v>96</v>
      </c>
      <c r="L2088" s="1">
        <v>0</v>
      </c>
      <c r="M2088" s="1">
        <v>0</v>
      </c>
      <c r="N2088" s="1">
        <v>96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 t="s">
        <v>49</v>
      </c>
      <c r="AA2088" s="1" t="s">
        <v>49</v>
      </c>
      <c r="AB2088" s="1" t="s">
        <v>49</v>
      </c>
      <c r="AC2088" s="1" t="s">
        <v>1551</v>
      </c>
      <c r="AD2088" s="1" t="s">
        <v>1552</v>
      </c>
      <c r="AE2088" s="1" t="s">
        <v>1551</v>
      </c>
      <c r="AF2088" s="1" t="s">
        <v>1905</v>
      </c>
      <c r="AG2088" s="1" t="s">
        <v>53</v>
      </c>
      <c r="AH2088" s="1" t="s">
        <v>49</v>
      </c>
      <c r="AI2088" s="1" t="s">
        <v>54</v>
      </c>
      <c r="AJ2088" s="1">
        <v>1</v>
      </c>
      <c r="AK2088" s="1" t="str">
        <f t="shared" si="32"/>
        <v xml:space="preserve"> =&lt;90</v>
      </c>
      <c r="AL2088" s="1" t="str">
        <f>VLOOKUP(C:C,[1]基础信息!B$1:D$65536,3,0)</f>
        <v>Jug</v>
      </c>
      <c r="AM2088" s="1" t="str">
        <f>VLOOKUP(C:C,[1]基础信息!B$1:E$65536,4,0)</f>
        <v>Aluna</v>
      </c>
      <c r="AN2088" s="1" t="str">
        <f>VLOOKUP(C:C,[1]基础信息!B$1:F$65536,5,0)</f>
        <v>Blue</v>
      </c>
    </row>
    <row r="2089" spans="1:40">
      <c r="A2089" s="1" t="s">
        <v>41</v>
      </c>
      <c r="B2089" s="1" t="s">
        <v>42</v>
      </c>
      <c r="C2089" s="1" t="s">
        <v>2166</v>
      </c>
      <c r="D2089" s="1" t="s">
        <v>2167</v>
      </c>
      <c r="E2089" s="1" t="s">
        <v>45</v>
      </c>
      <c r="F2089" s="1" t="s">
        <v>4729</v>
      </c>
      <c r="G2089" s="1" t="s">
        <v>4843</v>
      </c>
      <c r="H2089" s="1" t="s">
        <v>4844</v>
      </c>
      <c r="I2089" s="1" t="s">
        <v>49</v>
      </c>
      <c r="J2089" s="1" t="s">
        <v>48</v>
      </c>
      <c r="K2089" s="1">
        <v>16</v>
      </c>
      <c r="L2089" s="1">
        <v>0</v>
      </c>
      <c r="M2089" s="1">
        <v>0</v>
      </c>
      <c r="N2089" s="1">
        <v>16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 t="s">
        <v>49</v>
      </c>
      <c r="AA2089" s="1" t="s">
        <v>49</v>
      </c>
      <c r="AB2089" s="1" t="s">
        <v>49</v>
      </c>
      <c r="AC2089" s="1" t="s">
        <v>4732</v>
      </c>
      <c r="AD2089" s="1" t="s">
        <v>4733</v>
      </c>
      <c r="AE2089" s="1" t="s">
        <v>4732</v>
      </c>
      <c r="AF2089" s="1" t="s">
        <v>3986</v>
      </c>
      <c r="AG2089" s="1" t="s">
        <v>53</v>
      </c>
      <c r="AH2089" s="1" t="s">
        <v>49</v>
      </c>
      <c r="AI2089" s="1" t="s">
        <v>54</v>
      </c>
      <c r="AJ2089" s="1">
        <v>1</v>
      </c>
      <c r="AK2089" s="1" t="str">
        <f t="shared" si="32"/>
        <v xml:space="preserve"> =&lt;90</v>
      </c>
      <c r="AL2089" s="1" t="str">
        <f>VLOOKUP(C:C,[1]基础信息!B$1:D$65536,3,0)</f>
        <v>UTS</v>
      </c>
      <c r="AM2089" s="1" t="str">
        <f>VLOOKUP(C:C,[1]基础信息!B$1:E$65536,4,0)</f>
        <v>RO</v>
      </c>
      <c r="AN2089" s="1" t="str">
        <f>VLOOKUP(C:C,[1]基础信息!B$1:F$65536,5,0)</f>
        <v>Starry Grey Color</v>
      </c>
    </row>
    <row r="2090" spans="1:40">
      <c r="A2090" s="1" t="s">
        <v>41</v>
      </c>
      <c r="B2090" s="1" t="s">
        <v>42</v>
      </c>
      <c r="C2090" s="1" t="s">
        <v>301</v>
      </c>
      <c r="D2090" s="1" t="s">
        <v>302</v>
      </c>
      <c r="E2090" s="1" t="s">
        <v>45</v>
      </c>
      <c r="F2090" s="1" t="s">
        <v>4838</v>
      </c>
      <c r="G2090" s="1" t="s">
        <v>4845</v>
      </c>
      <c r="H2090" s="1" t="s">
        <v>4846</v>
      </c>
      <c r="I2090" s="1" t="s">
        <v>49</v>
      </c>
      <c r="J2090" s="1" t="s">
        <v>48</v>
      </c>
      <c r="K2090" s="1">
        <v>96</v>
      </c>
      <c r="L2090" s="1">
        <v>0</v>
      </c>
      <c r="M2090" s="1">
        <v>0</v>
      </c>
      <c r="N2090" s="1">
        <v>96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 t="s">
        <v>49</v>
      </c>
      <c r="AA2090" s="1" t="s">
        <v>49</v>
      </c>
      <c r="AB2090" s="1" t="s">
        <v>49</v>
      </c>
      <c r="AC2090" s="1" t="s">
        <v>1551</v>
      </c>
      <c r="AD2090" s="1" t="s">
        <v>1552</v>
      </c>
      <c r="AE2090" s="1" t="s">
        <v>1551</v>
      </c>
      <c r="AF2090" s="1" t="s">
        <v>1905</v>
      </c>
      <c r="AG2090" s="1" t="s">
        <v>53</v>
      </c>
      <c r="AH2090" s="1" t="s">
        <v>49</v>
      </c>
      <c r="AI2090" s="1" t="s">
        <v>54</v>
      </c>
      <c r="AJ2090" s="1">
        <v>1</v>
      </c>
      <c r="AK2090" s="1" t="str">
        <f t="shared" si="32"/>
        <v xml:space="preserve"> =&lt;90</v>
      </c>
      <c r="AL2090" s="1" t="str">
        <f>VLOOKUP(C:C,[1]基础信息!B$1:D$65536,3,0)</f>
        <v>Jug</v>
      </c>
      <c r="AM2090" s="1" t="str">
        <f>VLOOKUP(C:C,[1]基础信息!B$1:E$65536,4,0)</f>
        <v>Aluna</v>
      </c>
      <c r="AN2090" s="1" t="str">
        <f>VLOOKUP(C:C,[1]基础信息!B$1:F$65536,5,0)</f>
        <v>Blue</v>
      </c>
    </row>
    <row r="2091" spans="1:40">
      <c r="A2091" s="1" t="s">
        <v>41</v>
      </c>
      <c r="B2091" s="1" t="s">
        <v>42</v>
      </c>
      <c r="C2091" s="1" t="s">
        <v>301</v>
      </c>
      <c r="D2091" s="1" t="s">
        <v>302</v>
      </c>
      <c r="E2091" s="1" t="s">
        <v>45</v>
      </c>
      <c r="F2091" s="1" t="s">
        <v>4838</v>
      </c>
      <c r="G2091" s="1" t="s">
        <v>4847</v>
      </c>
      <c r="H2091" s="1" t="s">
        <v>4848</v>
      </c>
      <c r="I2091" s="1" t="s">
        <v>49</v>
      </c>
      <c r="J2091" s="1" t="s">
        <v>48</v>
      </c>
      <c r="K2091" s="1">
        <v>96</v>
      </c>
      <c r="L2091" s="1">
        <v>0</v>
      </c>
      <c r="M2091" s="1">
        <v>0</v>
      </c>
      <c r="N2091" s="1">
        <v>96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 t="s">
        <v>49</v>
      </c>
      <c r="AA2091" s="1" t="s">
        <v>49</v>
      </c>
      <c r="AB2091" s="1" t="s">
        <v>49</v>
      </c>
      <c r="AC2091" s="1" t="s">
        <v>1551</v>
      </c>
      <c r="AD2091" s="1" t="s">
        <v>1552</v>
      </c>
      <c r="AE2091" s="1" t="s">
        <v>1551</v>
      </c>
      <c r="AF2091" s="1" t="s">
        <v>1905</v>
      </c>
      <c r="AG2091" s="1" t="s">
        <v>53</v>
      </c>
      <c r="AH2091" s="1" t="s">
        <v>49</v>
      </c>
      <c r="AI2091" s="1" t="s">
        <v>54</v>
      </c>
      <c r="AJ2091" s="1">
        <v>1</v>
      </c>
      <c r="AK2091" s="1" t="str">
        <f t="shared" si="32"/>
        <v xml:space="preserve"> =&lt;90</v>
      </c>
      <c r="AL2091" s="1" t="str">
        <f>VLOOKUP(C:C,[1]基础信息!B$1:D$65536,3,0)</f>
        <v>Jug</v>
      </c>
      <c r="AM2091" s="1" t="str">
        <f>VLOOKUP(C:C,[1]基础信息!B$1:E$65536,4,0)</f>
        <v>Aluna</v>
      </c>
      <c r="AN2091" s="1" t="str">
        <f>VLOOKUP(C:C,[1]基础信息!B$1:F$65536,5,0)</f>
        <v>Blue</v>
      </c>
    </row>
    <row r="2092" spans="1:40">
      <c r="A2092" s="1" t="s">
        <v>41</v>
      </c>
      <c r="B2092" s="1" t="s">
        <v>42</v>
      </c>
      <c r="C2092" s="1" t="s">
        <v>301</v>
      </c>
      <c r="D2092" s="1" t="s">
        <v>302</v>
      </c>
      <c r="E2092" s="1" t="s">
        <v>45</v>
      </c>
      <c r="F2092" s="1" t="s">
        <v>4838</v>
      </c>
      <c r="G2092" s="1" t="s">
        <v>4849</v>
      </c>
      <c r="H2092" s="1" t="s">
        <v>4850</v>
      </c>
      <c r="I2092" s="1" t="s">
        <v>49</v>
      </c>
      <c r="J2092" s="1" t="s">
        <v>48</v>
      </c>
      <c r="K2092" s="1">
        <v>96</v>
      </c>
      <c r="L2092" s="1">
        <v>0</v>
      </c>
      <c r="M2092" s="1">
        <v>0</v>
      </c>
      <c r="N2092" s="1">
        <v>96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 t="s">
        <v>49</v>
      </c>
      <c r="AA2092" s="1" t="s">
        <v>49</v>
      </c>
      <c r="AB2092" s="1" t="s">
        <v>49</v>
      </c>
      <c r="AC2092" s="1" t="s">
        <v>1551</v>
      </c>
      <c r="AD2092" s="1" t="s">
        <v>1552</v>
      </c>
      <c r="AE2092" s="1" t="s">
        <v>1551</v>
      </c>
      <c r="AF2092" s="1" t="s">
        <v>1905</v>
      </c>
      <c r="AG2092" s="1" t="s">
        <v>53</v>
      </c>
      <c r="AH2092" s="1" t="s">
        <v>49</v>
      </c>
      <c r="AI2092" s="1" t="s">
        <v>54</v>
      </c>
      <c r="AJ2092" s="1">
        <v>1</v>
      </c>
      <c r="AK2092" s="1" t="str">
        <f t="shared" si="32"/>
        <v xml:space="preserve"> =&lt;90</v>
      </c>
      <c r="AL2092" s="1" t="str">
        <f>VLOOKUP(C:C,[1]基础信息!B$1:D$65536,3,0)</f>
        <v>Jug</v>
      </c>
      <c r="AM2092" s="1" t="str">
        <f>VLOOKUP(C:C,[1]基础信息!B$1:E$65536,4,0)</f>
        <v>Aluna</v>
      </c>
      <c r="AN2092" s="1" t="str">
        <f>VLOOKUP(C:C,[1]基础信息!B$1:F$65536,5,0)</f>
        <v>Blue</v>
      </c>
    </row>
    <row r="2093" spans="1:40">
      <c r="A2093" s="1" t="s">
        <v>41</v>
      </c>
      <c r="B2093" s="1" t="s">
        <v>42</v>
      </c>
      <c r="C2093" s="1" t="s">
        <v>301</v>
      </c>
      <c r="D2093" s="1" t="s">
        <v>302</v>
      </c>
      <c r="E2093" s="1" t="s">
        <v>45</v>
      </c>
      <c r="F2093" s="1" t="s">
        <v>4838</v>
      </c>
      <c r="G2093" s="1" t="s">
        <v>4851</v>
      </c>
      <c r="H2093" s="1" t="s">
        <v>4852</v>
      </c>
      <c r="I2093" s="1" t="s">
        <v>49</v>
      </c>
      <c r="J2093" s="1" t="s">
        <v>48</v>
      </c>
      <c r="K2093" s="1">
        <v>96</v>
      </c>
      <c r="L2093" s="1">
        <v>0</v>
      </c>
      <c r="M2093" s="1">
        <v>0</v>
      </c>
      <c r="N2093" s="1">
        <v>96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 t="s">
        <v>49</v>
      </c>
      <c r="AA2093" s="1" t="s">
        <v>49</v>
      </c>
      <c r="AB2093" s="1" t="s">
        <v>49</v>
      </c>
      <c r="AC2093" s="1" t="s">
        <v>1551</v>
      </c>
      <c r="AD2093" s="1" t="s">
        <v>1552</v>
      </c>
      <c r="AE2093" s="1" t="s">
        <v>1551</v>
      </c>
      <c r="AF2093" s="1" t="s">
        <v>1905</v>
      </c>
      <c r="AG2093" s="1" t="s">
        <v>53</v>
      </c>
      <c r="AH2093" s="1" t="s">
        <v>49</v>
      </c>
      <c r="AI2093" s="1" t="s">
        <v>54</v>
      </c>
      <c r="AJ2093" s="1">
        <v>1</v>
      </c>
      <c r="AK2093" s="1" t="str">
        <f t="shared" si="32"/>
        <v xml:space="preserve"> =&lt;90</v>
      </c>
      <c r="AL2093" s="1" t="str">
        <f>VLOOKUP(C:C,[1]基础信息!B$1:D$65536,3,0)</f>
        <v>Jug</v>
      </c>
      <c r="AM2093" s="1" t="str">
        <f>VLOOKUP(C:C,[1]基础信息!B$1:E$65536,4,0)</f>
        <v>Aluna</v>
      </c>
      <c r="AN2093" s="1" t="str">
        <f>VLOOKUP(C:C,[1]基础信息!B$1:F$65536,5,0)</f>
        <v>Blue</v>
      </c>
    </row>
    <row r="2094" spans="1:40">
      <c r="A2094" s="1" t="s">
        <v>41</v>
      </c>
      <c r="B2094" s="1" t="s">
        <v>42</v>
      </c>
      <c r="C2094" s="1" t="s">
        <v>2166</v>
      </c>
      <c r="D2094" s="1" t="s">
        <v>2167</v>
      </c>
      <c r="E2094" s="1" t="s">
        <v>45</v>
      </c>
      <c r="F2094" s="1" t="s">
        <v>2168</v>
      </c>
      <c r="G2094" s="1" t="s">
        <v>4853</v>
      </c>
      <c r="H2094" s="1" t="s">
        <v>4854</v>
      </c>
      <c r="I2094" s="1" t="s">
        <v>49</v>
      </c>
      <c r="J2094" s="1" t="s">
        <v>48</v>
      </c>
      <c r="K2094" s="1">
        <v>16</v>
      </c>
      <c r="L2094" s="1">
        <v>0</v>
      </c>
      <c r="M2094" s="1">
        <v>0</v>
      </c>
      <c r="N2094" s="1">
        <v>16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 t="s">
        <v>49</v>
      </c>
      <c r="AA2094" s="1" t="s">
        <v>49</v>
      </c>
      <c r="AB2094" s="1" t="s">
        <v>49</v>
      </c>
      <c r="AC2094" s="1" t="s">
        <v>2171</v>
      </c>
      <c r="AD2094" s="1" t="s">
        <v>2172</v>
      </c>
      <c r="AE2094" s="1" t="s">
        <v>2171</v>
      </c>
      <c r="AF2094" s="1" t="s">
        <v>2173</v>
      </c>
      <c r="AG2094" s="1" t="s">
        <v>53</v>
      </c>
      <c r="AH2094" s="1" t="s">
        <v>49</v>
      </c>
      <c r="AI2094" s="1" t="s">
        <v>54</v>
      </c>
      <c r="AJ2094" s="1">
        <v>1</v>
      </c>
      <c r="AK2094" s="1" t="str">
        <f t="shared" si="32"/>
        <v xml:space="preserve"> =&lt;90</v>
      </c>
      <c r="AL2094" s="1" t="str">
        <f>VLOOKUP(C:C,[1]基础信息!B$1:D$65536,3,0)</f>
        <v>UTS</v>
      </c>
      <c r="AM2094" s="1" t="str">
        <f>VLOOKUP(C:C,[1]基础信息!B$1:E$65536,4,0)</f>
        <v>RO</v>
      </c>
      <c r="AN2094" s="1" t="str">
        <f>VLOOKUP(C:C,[1]基础信息!B$1:F$65536,5,0)</f>
        <v>Starry Grey Color</v>
      </c>
    </row>
    <row r="2095" spans="1:40">
      <c r="A2095" s="1" t="s">
        <v>41</v>
      </c>
      <c r="B2095" s="1" t="s">
        <v>42</v>
      </c>
      <c r="C2095" s="1" t="s">
        <v>301</v>
      </c>
      <c r="D2095" s="1" t="s">
        <v>302</v>
      </c>
      <c r="E2095" s="1" t="s">
        <v>45</v>
      </c>
      <c r="F2095" s="1" t="s">
        <v>4838</v>
      </c>
      <c r="G2095" s="1" t="s">
        <v>4855</v>
      </c>
      <c r="H2095" s="1" t="s">
        <v>4856</v>
      </c>
      <c r="I2095" s="1" t="s">
        <v>49</v>
      </c>
      <c r="J2095" s="1" t="s">
        <v>48</v>
      </c>
      <c r="K2095" s="1">
        <v>96</v>
      </c>
      <c r="L2095" s="1">
        <v>0</v>
      </c>
      <c r="M2095" s="1">
        <v>0</v>
      </c>
      <c r="N2095" s="1">
        <v>96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 t="s">
        <v>49</v>
      </c>
      <c r="AA2095" s="1" t="s">
        <v>49</v>
      </c>
      <c r="AB2095" s="1" t="s">
        <v>49</v>
      </c>
      <c r="AC2095" s="1" t="s">
        <v>1551</v>
      </c>
      <c r="AD2095" s="1" t="s">
        <v>1552</v>
      </c>
      <c r="AE2095" s="1" t="s">
        <v>1551</v>
      </c>
      <c r="AF2095" s="1" t="s">
        <v>1905</v>
      </c>
      <c r="AG2095" s="1" t="s">
        <v>53</v>
      </c>
      <c r="AH2095" s="1" t="s">
        <v>49</v>
      </c>
      <c r="AI2095" s="1" t="s">
        <v>54</v>
      </c>
      <c r="AJ2095" s="1">
        <v>1</v>
      </c>
      <c r="AK2095" s="1" t="str">
        <f t="shared" si="32"/>
        <v xml:space="preserve"> =&lt;90</v>
      </c>
      <c r="AL2095" s="1" t="str">
        <f>VLOOKUP(C:C,[1]基础信息!B$1:D$65536,3,0)</f>
        <v>Jug</v>
      </c>
      <c r="AM2095" s="1" t="str">
        <f>VLOOKUP(C:C,[1]基础信息!B$1:E$65536,4,0)</f>
        <v>Aluna</v>
      </c>
      <c r="AN2095" s="1" t="str">
        <f>VLOOKUP(C:C,[1]基础信息!B$1:F$65536,5,0)</f>
        <v>Blue</v>
      </c>
    </row>
    <row r="2096" spans="1:40">
      <c r="A2096" s="1" t="s">
        <v>41</v>
      </c>
      <c r="B2096" s="1" t="s">
        <v>42</v>
      </c>
      <c r="C2096" s="1" t="s">
        <v>301</v>
      </c>
      <c r="D2096" s="1" t="s">
        <v>302</v>
      </c>
      <c r="E2096" s="1" t="s">
        <v>45</v>
      </c>
      <c r="F2096" s="1" t="s">
        <v>4838</v>
      </c>
      <c r="G2096" s="1" t="s">
        <v>4857</v>
      </c>
      <c r="H2096" s="1" t="s">
        <v>4858</v>
      </c>
      <c r="I2096" s="1" t="s">
        <v>49</v>
      </c>
      <c r="J2096" s="1" t="s">
        <v>48</v>
      </c>
      <c r="K2096" s="1">
        <v>96</v>
      </c>
      <c r="L2096" s="1">
        <v>0</v>
      </c>
      <c r="M2096" s="1">
        <v>0</v>
      </c>
      <c r="N2096" s="1">
        <v>96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 t="s">
        <v>49</v>
      </c>
      <c r="AA2096" s="1" t="s">
        <v>49</v>
      </c>
      <c r="AB2096" s="1" t="s">
        <v>49</v>
      </c>
      <c r="AC2096" s="1" t="s">
        <v>1551</v>
      </c>
      <c r="AD2096" s="1" t="s">
        <v>1552</v>
      </c>
      <c r="AE2096" s="1" t="s">
        <v>1551</v>
      </c>
      <c r="AF2096" s="1" t="s">
        <v>1905</v>
      </c>
      <c r="AG2096" s="1" t="s">
        <v>53</v>
      </c>
      <c r="AH2096" s="1" t="s">
        <v>49</v>
      </c>
      <c r="AI2096" s="1" t="s">
        <v>54</v>
      </c>
      <c r="AJ2096" s="1">
        <v>1</v>
      </c>
      <c r="AK2096" s="1" t="str">
        <f t="shared" si="32"/>
        <v xml:space="preserve"> =&lt;90</v>
      </c>
      <c r="AL2096" s="1" t="str">
        <f>VLOOKUP(C:C,[1]基础信息!B$1:D$65536,3,0)</f>
        <v>Jug</v>
      </c>
      <c r="AM2096" s="1" t="str">
        <f>VLOOKUP(C:C,[1]基础信息!B$1:E$65536,4,0)</f>
        <v>Aluna</v>
      </c>
      <c r="AN2096" s="1" t="str">
        <f>VLOOKUP(C:C,[1]基础信息!B$1:F$65536,5,0)</f>
        <v>Blue</v>
      </c>
    </row>
    <row r="2097" spans="1:40">
      <c r="A2097" s="1" t="s">
        <v>41</v>
      </c>
      <c r="B2097" s="1" t="s">
        <v>42</v>
      </c>
      <c r="C2097" s="1" t="s">
        <v>481</v>
      </c>
      <c r="D2097" s="1" t="s">
        <v>482</v>
      </c>
      <c r="E2097" s="1" t="s">
        <v>45</v>
      </c>
      <c r="F2097" s="1" t="s">
        <v>4455</v>
      </c>
      <c r="G2097" s="1" t="s">
        <v>4859</v>
      </c>
      <c r="H2097" s="1" t="s">
        <v>4860</v>
      </c>
      <c r="I2097" s="1" t="s">
        <v>49</v>
      </c>
      <c r="J2097" s="1" t="s">
        <v>48</v>
      </c>
      <c r="K2097" s="1">
        <v>168</v>
      </c>
      <c r="L2097" s="1">
        <v>0</v>
      </c>
      <c r="M2097" s="1">
        <v>0</v>
      </c>
      <c r="N2097" s="1">
        <v>168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 t="s">
        <v>49</v>
      </c>
      <c r="AA2097" s="1" t="s">
        <v>49</v>
      </c>
      <c r="AB2097" s="1" t="s">
        <v>49</v>
      </c>
      <c r="AC2097" s="1" t="s">
        <v>4458</v>
      </c>
      <c r="AD2097" s="1" t="s">
        <v>4459</v>
      </c>
      <c r="AE2097" s="1" t="s">
        <v>4458</v>
      </c>
      <c r="AF2097" s="1" t="s">
        <v>488</v>
      </c>
      <c r="AG2097" s="1" t="s">
        <v>53</v>
      </c>
      <c r="AH2097" s="1" t="s">
        <v>49</v>
      </c>
      <c r="AI2097" s="1" t="s">
        <v>54</v>
      </c>
      <c r="AJ2097" s="1">
        <v>1</v>
      </c>
      <c r="AK2097" s="1" t="str">
        <f t="shared" si="32"/>
        <v xml:space="preserve"> =&lt;90</v>
      </c>
      <c r="AL2097" s="1" t="str">
        <f>VLOOKUP(C:C,[1]基础信息!B$1:D$65536,3,0)</f>
        <v>Jug</v>
      </c>
      <c r="AM2097" s="1" t="str">
        <f>VLOOKUP(C:C,[1]基础信息!B$1:E$65536,4,0)</f>
        <v>Style COOL</v>
      </c>
      <c r="AN2097" s="1" t="str">
        <f>VLOOKUP(C:C,[1]基础信息!B$1:F$65536,5,0)</f>
        <v>Cool Blue</v>
      </c>
    </row>
    <row r="2098" spans="1:40">
      <c r="A2098" s="1" t="s">
        <v>41</v>
      </c>
      <c r="B2098" s="1" t="s">
        <v>42</v>
      </c>
      <c r="C2098" s="1" t="s">
        <v>481</v>
      </c>
      <c r="D2098" s="1" t="s">
        <v>482</v>
      </c>
      <c r="E2098" s="1" t="s">
        <v>45</v>
      </c>
      <c r="F2098" s="1" t="s">
        <v>4455</v>
      </c>
      <c r="G2098" s="1" t="s">
        <v>4861</v>
      </c>
      <c r="H2098" s="1" t="s">
        <v>4862</v>
      </c>
      <c r="I2098" s="1" t="s">
        <v>49</v>
      </c>
      <c r="J2098" s="1" t="s">
        <v>48</v>
      </c>
      <c r="K2098" s="1">
        <v>168</v>
      </c>
      <c r="L2098" s="1">
        <v>0</v>
      </c>
      <c r="M2098" s="1">
        <v>0</v>
      </c>
      <c r="N2098" s="1">
        <v>168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 t="s">
        <v>49</v>
      </c>
      <c r="AA2098" s="1" t="s">
        <v>49</v>
      </c>
      <c r="AB2098" s="1" t="s">
        <v>49</v>
      </c>
      <c r="AC2098" s="1" t="s">
        <v>4458</v>
      </c>
      <c r="AD2098" s="1" t="s">
        <v>4459</v>
      </c>
      <c r="AE2098" s="1" t="s">
        <v>4458</v>
      </c>
      <c r="AF2098" s="1" t="s">
        <v>488</v>
      </c>
      <c r="AG2098" s="1" t="s">
        <v>53</v>
      </c>
      <c r="AH2098" s="1" t="s">
        <v>49</v>
      </c>
      <c r="AI2098" s="1" t="s">
        <v>54</v>
      </c>
      <c r="AJ2098" s="1">
        <v>1</v>
      </c>
      <c r="AK2098" s="1" t="str">
        <f t="shared" si="32"/>
        <v xml:space="preserve"> =&lt;90</v>
      </c>
      <c r="AL2098" s="1" t="str">
        <f>VLOOKUP(C:C,[1]基础信息!B$1:D$65536,3,0)</f>
        <v>Jug</v>
      </c>
      <c r="AM2098" s="1" t="str">
        <f>VLOOKUP(C:C,[1]基础信息!B$1:E$65536,4,0)</f>
        <v>Style COOL</v>
      </c>
      <c r="AN2098" s="1" t="str">
        <f>VLOOKUP(C:C,[1]基础信息!B$1:F$65536,5,0)</f>
        <v>Cool Blue</v>
      </c>
    </row>
    <row r="2099" spans="1:40">
      <c r="A2099" s="1" t="s">
        <v>41</v>
      </c>
      <c r="B2099" s="1" t="s">
        <v>42</v>
      </c>
      <c r="C2099" s="1" t="s">
        <v>481</v>
      </c>
      <c r="D2099" s="1" t="s">
        <v>482</v>
      </c>
      <c r="E2099" s="1" t="s">
        <v>45</v>
      </c>
      <c r="F2099" s="1" t="s">
        <v>4455</v>
      </c>
      <c r="G2099" s="1" t="s">
        <v>4863</v>
      </c>
      <c r="H2099" s="1" t="s">
        <v>4864</v>
      </c>
      <c r="I2099" s="1" t="s">
        <v>49</v>
      </c>
      <c r="J2099" s="1" t="s">
        <v>48</v>
      </c>
      <c r="K2099" s="1">
        <v>168</v>
      </c>
      <c r="L2099" s="1">
        <v>0</v>
      </c>
      <c r="M2099" s="1">
        <v>0</v>
      </c>
      <c r="N2099" s="1">
        <v>168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 t="s">
        <v>49</v>
      </c>
      <c r="AA2099" s="1" t="s">
        <v>49</v>
      </c>
      <c r="AB2099" s="1" t="s">
        <v>49</v>
      </c>
      <c r="AC2099" s="1" t="s">
        <v>4458</v>
      </c>
      <c r="AD2099" s="1" t="s">
        <v>4459</v>
      </c>
      <c r="AE2099" s="1" t="s">
        <v>4458</v>
      </c>
      <c r="AF2099" s="1" t="s">
        <v>488</v>
      </c>
      <c r="AG2099" s="1" t="s">
        <v>53</v>
      </c>
      <c r="AH2099" s="1" t="s">
        <v>49</v>
      </c>
      <c r="AI2099" s="1" t="s">
        <v>54</v>
      </c>
      <c r="AJ2099" s="1">
        <v>1</v>
      </c>
      <c r="AK2099" s="1" t="str">
        <f t="shared" si="32"/>
        <v xml:space="preserve"> =&lt;90</v>
      </c>
      <c r="AL2099" s="1" t="str">
        <f>VLOOKUP(C:C,[1]基础信息!B$1:D$65536,3,0)</f>
        <v>Jug</v>
      </c>
      <c r="AM2099" s="1" t="str">
        <f>VLOOKUP(C:C,[1]基础信息!B$1:E$65536,4,0)</f>
        <v>Style COOL</v>
      </c>
      <c r="AN2099" s="1" t="str">
        <f>VLOOKUP(C:C,[1]基础信息!B$1:F$65536,5,0)</f>
        <v>Cool Blue</v>
      </c>
    </row>
    <row r="2100" spans="1:40">
      <c r="A2100" s="1" t="s">
        <v>41</v>
      </c>
      <c r="B2100" s="1" t="s">
        <v>42</v>
      </c>
      <c r="C2100" s="1" t="s">
        <v>301</v>
      </c>
      <c r="D2100" s="1" t="s">
        <v>302</v>
      </c>
      <c r="E2100" s="1" t="s">
        <v>45</v>
      </c>
      <c r="F2100" s="1" t="s">
        <v>4838</v>
      </c>
      <c r="G2100" s="1" t="s">
        <v>4865</v>
      </c>
      <c r="H2100" s="1" t="s">
        <v>4866</v>
      </c>
      <c r="I2100" s="1" t="s">
        <v>49</v>
      </c>
      <c r="J2100" s="1" t="s">
        <v>48</v>
      </c>
      <c r="K2100" s="1">
        <v>96</v>
      </c>
      <c r="L2100" s="1">
        <v>0</v>
      </c>
      <c r="M2100" s="1">
        <v>0</v>
      </c>
      <c r="N2100" s="1">
        <v>96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 t="s">
        <v>49</v>
      </c>
      <c r="AA2100" s="1" t="s">
        <v>49</v>
      </c>
      <c r="AB2100" s="1" t="s">
        <v>49</v>
      </c>
      <c r="AC2100" s="1" t="s">
        <v>1551</v>
      </c>
      <c r="AD2100" s="1" t="s">
        <v>1552</v>
      </c>
      <c r="AE2100" s="1" t="s">
        <v>1551</v>
      </c>
      <c r="AF2100" s="1" t="s">
        <v>1905</v>
      </c>
      <c r="AG2100" s="1" t="s">
        <v>53</v>
      </c>
      <c r="AH2100" s="1" t="s">
        <v>49</v>
      </c>
      <c r="AI2100" s="1" t="s">
        <v>54</v>
      </c>
      <c r="AJ2100" s="1">
        <v>1</v>
      </c>
      <c r="AK2100" s="1" t="str">
        <f t="shared" si="32"/>
        <v xml:space="preserve"> =&lt;90</v>
      </c>
      <c r="AL2100" s="1" t="str">
        <f>VLOOKUP(C:C,[1]基础信息!B$1:D$65536,3,0)</f>
        <v>Jug</v>
      </c>
      <c r="AM2100" s="1" t="str">
        <f>VLOOKUP(C:C,[1]基础信息!B$1:E$65536,4,0)</f>
        <v>Aluna</v>
      </c>
      <c r="AN2100" s="1" t="str">
        <f>VLOOKUP(C:C,[1]基础信息!B$1:F$65536,5,0)</f>
        <v>Blue</v>
      </c>
    </row>
    <row r="2101" spans="1:40">
      <c r="A2101" s="1" t="s">
        <v>41</v>
      </c>
      <c r="B2101" s="1" t="s">
        <v>42</v>
      </c>
      <c r="C2101" s="1" t="s">
        <v>301</v>
      </c>
      <c r="D2101" s="1" t="s">
        <v>302</v>
      </c>
      <c r="E2101" s="1" t="s">
        <v>45</v>
      </c>
      <c r="F2101" s="1" t="s">
        <v>4838</v>
      </c>
      <c r="G2101" s="1" t="s">
        <v>4867</v>
      </c>
      <c r="H2101" s="1" t="s">
        <v>4868</v>
      </c>
      <c r="I2101" s="1" t="s">
        <v>49</v>
      </c>
      <c r="J2101" s="1" t="s">
        <v>48</v>
      </c>
      <c r="K2101" s="1">
        <v>96</v>
      </c>
      <c r="L2101" s="1">
        <v>0</v>
      </c>
      <c r="M2101" s="1">
        <v>0</v>
      </c>
      <c r="N2101" s="1">
        <v>96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 t="s">
        <v>49</v>
      </c>
      <c r="AA2101" s="1" t="s">
        <v>49</v>
      </c>
      <c r="AB2101" s="1" t="s">
        <v>49</v>
      </c>
      <c r="AC2101" s="1" t="s">
        <v>1551</v>
      </c>
      <c r="AD2101" s="1" t="s">
        <v>1552</v>
      </c>
      <c r="AE2101" s="1" t="s">
        <v>1551</v>
      </c>
      <c r="AF2101" s="1" t="s">
        <v>1905</v>
      </c>
      <c r="AG2101" s="1" t="s">
        <v>53</v>
      </c>
      <c r="AH2101" s="1" t="s">
        <v>49</v>
      </c>
      <c r="AI2101" s="1" t="s">
        <v>54</v>
      </c>
      <c r="AJ2101" s="1">
        <v>1</v>
      </c>
      <c r="AK2101" s="1" t="str">
        <f t="shared" si="32"/>
        <v xml:space="preserve"> =&lt;90</v>
      </c>
      <c r="AL2101" s="1" t="str">
        <f>VLOOKUP(C:C,[1]基础信息!B$1:D$65536,3,0)</f>
        <v>Jug</v>
      </c>
      <c r="AM2101" s="1" t="str">
        <f>VLOOKUP(C:C,[1]基础信息!B$1:E$65536,4,0)</f>
        <v>Aluna</v>
      </c>
      <c r="AN2101" s="1" t="str">
        <f>VLOOKUP(C:C,[1]基础信息!B$1:F$65536,5,0)</f>
        <v>Blue</v>
      </c>
    </row>
    <row r="2102" spans="1:40">
      <c r="A2102" s="1" t="s">
        <v>41</v>
      </c>
      <c r="B2102" s="1" t="s">
        <v>42</v>
      </c>
      <c r="C2102" s="1" t="s">
        <v>301</v>
      </c>
      <c r="D2102" s="1" t="s">
        <v>302</v>
      </c>
      <c r="E2102" s="1" t="s">
        <v>45</v>
      </c>
      <c r="F2102" s="1" t="s">
        <v>4838</v>
      </c>
      <c r="G2102" s="1" t="s">
        <v>4869</v>
      </c>
      <c r="H2102" s="1" t="s">
        <v>4870</v>
      </c>
      <c r="I2102" s="1" t="s">
        <v>49</v>
      </c>
      <c r="J2102" s="1" t="s">
        <v>48</v>
      </c>
      <c r="K2102" s="1">
        <v>96</v>
      </c>
      <c r="L2102" s="1">
        <v>0</v>
      </c>
      <c r="M2102" s="1">
        <v>0</v>
      </c>
      <c r="N2102" s="1">
        <v>96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 t="s">
        <v>49</v>
      </c>
      <c r="AA2102" s="1" t="s">
        <v>49</v>
      </c>
      <c r="AB2102" s="1" t="s">
        <v>49</v>
      </c>
      <c r="AC2102" s="1" t="s">
        <v>1551</v>
      </c>
      <c r="AD2102" s="1" t="s">
        <v>1552</v>
      </c>
      <c r="AE2102" s="1" t="s">
        <v>1551</v>
      </c>
      <c r="AF2102" s="1" t="s">
        <v>1905</v>
      </c>
      <c r="AG2102" s="1" t="s">
        <v>53</v>
      </c>
      <c r="AH2102" s="1" t="s">
        <v>49</v>
      </c>
      <c r="AI2102" s="1" t="s">
        <v>54</v>
      </c>
      <c r="AJ2102" s="1">
        <v>1</v>
      </c>
      <c r="AK2102" s="1" t="str">
        <f t="shared" si="32"/>
        <v xml:space="preserve"> =&lt;90</v>
      </c>
      <c r="AL2102" s="1" t="str">
        <f>VLOOKUP(C:C,[1]基础信息!B$1:D$65536,3,0)</f>
        <v>Jug</v>
      </c>
      <c r="AM2102" s="1" t="str">
        <f>VLOOKUP(C:C,[1]基础信息!B$1:E$65536,4,0)</f>
        <v>Aluna</v>
      </c>
      <c r="AN2102" s="1" t="str">
        <f>VLOOKUP(C:C,[1]基础信息!B$1:F$65536,5,0)</f>
        <v>Blue</v>
      </c>
    </row>
    <row r="2103" spans="1:40">
      <c r="A2103" s="1" t="s">
        <v>41</v>
      </c>
      <c r="B2103" s="1" t="s">
        <v>42</v>
      </c>
      <c r="C2103" s="1" t="s">
        <v>301</v>
      </c>
      <c r="D2103" s="1" t="s">
        <v>302</v>
      </c>
      <c r="E2103" s="1" t="s">
        <v>45</v>
      </c>
      <c r="F2103" s="1" t="s">
        <v>4838</v>
      </c>
      <c r="G2103" s="1" t="s">
        <v>4871</v>
      </c>
      <c r="H2103" s="1" t="s">
        <v>4872</v>
      </c>
      <c r="I2103" s="1" t="s">
        <v>49</v>
      </c>
      <c r="J2103" s="1" t="s">
        <v>48</v>
      </c>
      <c r="K2103" s="1">
        <v>96</v>
      </c>
      <c r="L2103" s="1">
        <v>0</v>
      </c>
      <c r="M2103" s="1">
        <v>0</v>
      </c>
      <c r="N2103" s="1">
        <v>96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 t="s">
        <v>49</v>
      </c>
      <c r="AA2103" s="1" t="s">
        <v>49</v>
      </c>
      <c r="AB2103" s="1" t="s">
        <v>49</v>
      </c>
      <c r="AC2103" s="1" t="s">
        <v>1551</v>
      </c>
      <c r="AD2103" s="1" t="s">
        <v>1552</v>
      </c>
      <c r="AE2103" s="1" t="s">
        <v>1551</v>
      </c>
      <c r="AF2103" s="1" t="s">
        <v>1905</v>
      </c>
      <c r="AG2103" s="1" t="s">
        <v>53</v>
      </c>
      <c r="AH2103" s="1" t="s">
        <v>49</v>
      </c>
      <c r="AI2103" s="1" t="s">
        <v>54</v>
      </c>
      <c r="AJ2103" s="1">
        <v>1</v>
      </c>
      <c r="AK2103" s="1" t="str">
        <f t="shared" si="32"/>
        <v xml:space="preserve"> =&lt;90</v>
      </c>
      <c r="AL2103" s="1" t="str">
        <f>VLOOKUP(C:C,[1]基础信息!B$1:D$65536,3,0)</f>
        <v>Jug</v>
      </c>
      <c r="AM2103" s="1" t="str">
        <f>VLOOKUP(C:C,[1]基础信息!B$1:E$65536,4,0)</f>
        <v>Aluna</v>
      </c>
      <c r="AN2103" s="1" t="str">
        <f>VLOOKUP(C:C,[1]基础信息!B$1:F$65536,5,0)</f>
        <v>Blue</v>
      </c>
    </row>
    <row r="2104" spans="1:40">
      <c r="A2104" s="1" t="s">
        <v>41</v>
      </c>
      <c r="B2104" s="1" t="s">
        <v>42</v>
      </c>
      <c r="C2104" s="1" t="s">
        <v>301</v>
      </c>
      <c r="D2104" s="1" t="s">
        <v>302</v>
      </c>
      <c r="E2104" s="1" t="s">
        <v>45</v>
      </c>
      <c r="F2104" s="1" t="s">
        <v>4838</v>
      </c>
      <c r="G2104" s="1" t="s">
        <v>4873</v>
      </c>
      <c r="H2104" s="1" t="s">
        <v>4874</v>
      </c>
      <c r="I2104" s="1" t="s">
        <v>49</v>
      </c>
      <c r="J2104" s="1" t="s">
        <v>48</v>
      </c>
      <c r="K2104" s="1">
        <v>96</v>
      </c>
      <c r="L2104" s="1">
        <v>0</v>
      </c>
      <c r="M2104" s="1">
        <v>0</v>
      </c>
      <c r="N2104" s="1">
        <v>96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 t="s">
        <v>49</v>
      </c>
      <c r="AA2104" s="1" t="s">
        <v>49</v>
      </c>
      <c r="AB2104" s="1" t="s">
        <v>49</v>
      </c>
      <c r="AC2104" s="1" t="s">
        <v>1551</v>
      </c>
      <c r="AD2104" s="1" t="s">
        <v>1552</v>
      </c>
      <c r="AE2104" s="1" t="s">
        <v>1551</v>
      </c>
      <c r="AF2104" s="1" t="s">
        <v>1905</v>
      </c>
      <c r="AG2104" s="1" t="s">
        <v>53</v>
      </c>
      <c r="AH2104" s="1" t="s">
        <v>49</v>
      </c>
      <c r="AI2104" s="1" t="s">
        <v>54</v>
      </c>
      <c r="AJ2104" s="1">
        <v>1</v>
      </c>
      <c r="AK2104" s="1" t="str">
        <f t="shared" si="32"/>
        <v xml:space="preserve"> =&lt;90</v>
      </c>
      <c r="AL2104" s="1" t="str">
        <f>VLOOKUP(C:C,[1]基础信息!B$1:D$65536,3,0)</f>
        <v>Jug</v>
      </c>
      <c r="AM2104" s="1" t="str">
        <f>VLOOKUP(C:C,[1]基础信息!B$1:E$65536,4,0)</f>
        <v>Aluna</v>
      </c>
      <c r="AN2104" s="1" t="str">
        <f>VLOOKUP(C:C,[1]基础信息!B$1:F$65536,5,0)</f>
        <v>Blue</v>
      </c>
    </row>
    <row r="2105" spans="1:40">
      <c r="A2105" s="1" t="s">
        <v>41</v>
      </c>
      <c r="B2105" s="1" t="s">
        <v>42</v>
      </c>
      <c r="C2105" s="1" t="s">
        <v>1437</v>
      </c>
      <c r="D2105" s="1" t="s">
        <v>1438</v>
      </c>
      <c r="E2105" s="1" t="s">
        <v>45</v>
      </c>
      <c r="F2105" s="1" t="s">
        <v>4413</v>
      </c>
      <c r="G2105" s="1" t="s">
        <v>4875</v>
      </c>
      <c r="H2105" s="1" t="s">
        <v>45</v>
      </c>
      <c r="I2105" s="1" t="s">
        <v>45</v>
      </c>
      <c r="J2105" s="1" t="s">
        <v>48</v>
      </c>
      <c r="K2105" s="1">
        <v>240</v>
      </c>
      <c r="L2105" s="1">
        <v>0</v>
      </c>
      <c r="M2105" s="1">
        <v>0</v>
      </c>
      <c r="N2105" s="1">
        <v>240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 t="s">
        <v>49</v>
      </c>
      <c r="AA2105" s="1" t="s">
        <v>49</v>
      </c>
      <c r="AB2105" s="1" t="s">
        <v>49</v>
      </c>
      <c r="AC2105" s="1" t="s">
        <v>4395</v>
      </c>
      <c r="AD2105" s="1" t="s">
        <v>4396</v>
      </c>
      <c r="AE2105" s="1" t="s">
        <v>4395</v>
      </c>
      <c r="AF2105" s="1" t="s">
        <v>4415</v>
      </c>
      <c r="AG2105" s="1" t="s">
        <v>53</v>
      </c>
      <c r="AH2105" s="1" t="s">
        <v>49</v>
      </c>
      <c r="AI2105" s="1" t="s">
        <v>54</v>
      </c>
      <c r="AJ2105" s="1">
        <v>1</v>
      </c>
      <c r="AK2105" s="1" t="str">
        <f t="shared" si="32"/>
        <v xml:space="preserve"> =&lt;90</v>
      </c>
      <c r="AL2105" s="1" t="str">
        <f>VLOOKUP(C:C,[1]基础信息!B$1:D$65536,3,0)</f>
        <v>On tap</v>
      </c>
      <c r="AM2105" s="1" t="str">
        <f>VLOOKUP(C:C,[1]基础信息!B$1:E$65536,4,0)</f>
        <v>On tap</v>
      </c>
      <c r="AN2105" s="1" t="str">
        <f>VLOOKUP(C:C,[1]基础信息!B$1:F$65536,5,0)</f>
        <v>On tap</v>
      </c>
    </row>
    <row r="2106" spans="1:40">
      <c r="A2106" s="1" t="s">
        <v>41</v>
      </c>
      <c r="B2106" s="1" t="s">
        <v>42</v>
      </c>
      <c r="C2106" s="1" t="s">
        <v>301</v>
      </c>
      <c r="D2106" s="1" t="s">
        <v>302</v>
      </c>
      <c r="E2106" s="1" t="s">
        <v>45</v>
      </c>
      <c r="F2106" s="1" t="s">
        <v>4838</v>
      </c>
      <c r="G2106" s="1" t="s">
        <v>4876</v>
      </c>
      <c r="H2106" s="1" t="s">
        <v>4877</v>
      </c>
      <c r="I2106" s="1" t="s">
        <v>49</v>
      </c>
      <c r="J2106" s="1" t="s">
        <v>48</v>
      </c>
      <c r="K2106" s="1">
        <v>96</v>
      </c>
      <c r="L2106" s="1">
        <v>0</v>
      </c>
      <c r="M2106" s="1">
        <v>0</v>
      </c>
      <c r="N2106" s="1">
        <v>96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 t="s">
        <v>49</v>
      </c>
      <c r="AA2106" s="1" t="s">
        <v>49</v>
      </c>
      <c r="AB2106" s="1" t="s">
        <v>49</v>
      </c>
      <c r="AC2106" s="1" t="s">
        <v>1551</v>
      </c>
      <c r="AD2106" s="1" t="s">
        <v>1552</v>
      </c>
      <c r="AE2106" s="1" t="s">
        <v>1551</v>
      </c>
      <c r="AF2106" s="1" t="s">
        <v>1905</v>
      </c>
      <c r="AG2106" s="1" t="s">
        <v>53</v>
      </c>
      <c r="AH2106" s="1" t="s">
        <v>49</v>
      </c>
      <c r="AI2106" s="1" t="s">
        <v>54</v>
      </c>
      <c r="AJ2106" s="1">
        <v>1</v>
      </c>
      <c r="AK2106" s="1" t="str">
        <f t="shared" si="32"/>
        <v xml:space="preserve"> =&lt;90</v>
      </c>
      <c r="AL2106" s="1" t="str">
        <f>VLOOKUP(C:C,[1]基础信息!B$1:D$65536,3,0)</f>
        <v>Jug</v>
      </c>
      <c r="AM2106" s="1" t="str">
        <f>VLOOKUP(C:C,[1]基础信息!B$1:E$65536,4,0)</f>
        <v>Aluna</v>
      </c>
      <c r="AN2106" s="1" t="str">
        <f>VLOOKUP(C:C,[1]基础信息!B$1:F$65536,5,0)</f>
        <v>Blue</v>
      </c>
    </row>
    <row r="2107" spans="1:40">
      <c r="A2107" s="1" t="s">
        <v>41</v>
      </c>
      <c r="B2107" s="1" t="s">
        <v>42</v>
      </c>
      <c r="C2107" s="1" t="s">
        <v>301</v>
      </c>
      <c r="D2107" s="1" t="s">
        <v>302</v>
      </c>
      <c r="E2107" s="1" t="s">
        <v>45</v>
      </c>
      <c r="F2107" s="1" t="s">
        <v>4838</v>
      </c>
      <c r="G2107" s="1" t="s">
        <v>4878</v>
      </c>
      <c r="H2107" s="1" t="s">
        <v>4879</v>
      </c>
      <c r="I2107" s="1" t="s">
        <v>49</v>
      </c>
      <c r="J2107" s="1" t="s">
        <v>48</v>
      </c>
      <c r="K2107" s="1">
        <v>96</v>
      </c>
      <c r="L2107" s="1">
        <v>0</v>
      </c>
      <c r="M2107" s="1">
        <v>0</v>
      </c>
      <c r="N2107" s="1">
        <v>96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 t="s">
        <v>49</v>
      </c>
      <c r="AA2107" s="1" t="s">
        <v>49</v>
      </c>
      <c r="AB2107" s="1" t="s">
        <v>49</v>
      </c>
      <c r="AC2107" s="1" t="s">
        <v>1551</v>
      </c>
      <c r="AD2107" s="1" t="s">
        <v>1552</v>
      </c>
      <c r="AE2107" s="1" t="s">
        <v>1551</v>
      </c>
      <c r="AF2107" s="1" t="s">
        <v>1905</v>
      </c>
      <c r="AG2107" s="1" t="s">
        <v>53</v>
      </c>
      <c r="AH2107" s="1" t="s">
        <v>49</v>
      </c>
      <c r="AI2107" s="1" t="s">
        <v>54</v>
      </c>
      <c r="AJ2107" s="1">
        <v>1</v>
      </c>
      <c r="AK2107" s="1" t="str">
        <f t="shared" si="32"/>
        <v xml:space="preserve"> =&lt;90</v>
      </c>
      <c r="AL2107" s="1" t="str">
        <f>VLOOKUP(C:C,[1]基础信息!B$1:D$65536,3,0)</f>
        <v>Jug</v>
      </c>
      <c r="AM2107" s="1" t="str">
        <f>VLOOKUP(C:C,[1]基础信息!B$1:E$65536,4,0)</f>
        <v>Aluna</v>
      </c>
      <c r="AN2107" s="1" t="str">
        <f>VLOOKUP(C:C,[1]基础信息!B$1:F$65536,5,0)</f>
        <v>Blue</v>
      </c>
    </row>
    <row r="2108" spans="1:40">
      <c r="A2108" s="1" t="s">
        <v>41</v>
      </c>
      <c r="B2108" s="1" t="s">
        <v>42</v>
      </c>
      <c r="C2108" s="1" t="s">
        <v>301</v>
      </c>
      <c r="D2108" s="1" t="s">
        <v>302</v>
      </c>
      <c r="E2108" s="1" t="s">
        <v>45</v>
      </c>
      <c r="F2108" s="1" t="s">
        <v>4838</v>
      </c>
      <c r="G2108" s="1" t="s">
        <v>4880</v>
      </c>
      <c r="H2108" s="1" t="s">
        <v>4881</v>
      </c>
      <c r="I2108" s="1" t="s">
        <v>49</v>
      </c>
      <c r="J2108" s="1" t="s">
        <v>48</v>
      </c>
      <c r="K2108" s="1">
        <v>96</v>
      </c>
      <c r="L2108" s="1">
        <v>0</v>
      </c>
      <c r="M2108" s="1">
        <v>0</v>
      </c>
      <c r="N2108" s="1">
        <v>96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 t="s">
        <v>49</v>
      </c>
      <c r="AA2108" s="1" t="s">
        <v>49</v>
      </c>
      <c r="AB2108" s="1" t="s">
        <v>49</v>
      </c>
      <c r="AC2108" s="1" t="s">
        <v>1551</v>
      </c>
      <c r="AD2108" s="1" t="s">
        <v>1552</v>
      </c>
      <c r="AE2108" s="1" t="s">
        <v>1551</v>
      </c>
      <c r="AF2108" s="1" t="s">
        <v>1905</v>
      </c>
      <c r="AG2108" s="1" t="s">
        <v>53</v>
      </c>
      <c r="AH2108" s="1" t="s">
        <v>49</v>
      </c>
      <c r="AI2108" s="1" t="s">
        <v>54</v>
      </c>
      <c r="AJ2108" s="1">
        <v>1</v>
      </c>
      <c r="AK2108" s="1" t="str">
        <f t="shared" si="32"/>
        <v xml:space="preserve"> =&lt;90</v>
      </c>
      <c r="AL2108" s="1" t="str">
        <f>VLOOKUP(C:C,[1]基础信息!B$1:D$65536,3,0)</f>
        <v>Jug</v>
      </c>
      <c r="AM2108" s="1" t="str">
        <f>VLOOKUP(C:C,[1]基础信息!B$1:E$65536,4,0)</f>
        <v>Aluna</v>
      </c>
      <c r="AN2108" s="1" t="str">
        <f>VLOOKUP(C:C,[1]基础信息!B$1:F$65536,5,0)</f>
        <v>Blue</v>
      </c>
    </row>
    <row r="2109" spans="1:40">
      <c r="A2109" s="1" t="s">
        <v>41</v>
      </c>
      <c r="B2109" s="1" t="s">
        <v>42</v>
      </c>
      <c r="C2109" s="1" t="s">
        <v>301</v>
      </c>
      <c r="D2109" s="1" t="s">
        <v>302</v>
      </c>
      <c r="E2109" s="1" t="s">
        <v>45</v>
      </c>
      <c r="F2109" s="1" t="s">
        <v>4838</v>
      </c>
      <c r="G2109" s="1" t="s">
        <v>4882</v>
      </c>
      <c r="H2109" s="1" t="s">
        <v>4883</v>
      </c>
      <c r="I2109" s="1" t="s">
        <v>49</v>
      </c>
      <c r="J2109" s="1" t="s">
        <v>48</v>
      </c>
      <c r="K2109" s="1">
        <v>96</v>
      </c>
      <c r="L2109" s="1">
        <v>0</v>
      </c>
      <c r="M2109" s="1">
        <v>0</v>
      </c>
      <c r="N2109" s="1">
        <v>96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 t="s">
        <v>49</v>
      </c>
      <c r="AA2109" s="1" t="s">
        <v>49</v>
      </c>
      <c r="AB2109" s="1" t="s">
        <v>49</v>
      </c>
      <c r="AC2109" s="1" t="s">
        <v>1551</v>
      </c>
      <c r="AD2109" s="1" t="s">
        <v>1552</v>
      </c>
      <c r="AE2109" s="1" t="s">
        <v>1551</v>
      </c>
      <c r="AF2109" s="1" t="s">
        <v>1905</v>
      </c>
      <c r="AG2109" s="1" t="s">
        <v>53</v>
      </c>
      <c r="AH2109" s="1" t="s">
        <v>49</v>
      </c>
      <c r="AI2109" s="1" t="s">
        <v>54</v>
      </c>
      <c r="AJ2109" s="1">
        <v>1</v>
      </c>
      <c r="AK2109" s="1" t="str">
        <f t="shared" si="32"/>
        <v xml:space="preserve"> =&lt;90</v>
      </c>
      <c r="AL2109" s="1" t="str">
        <f>VLOOKUP(C:C,[1]基础信息!B$1:D$65536,3,0)</f>
        <v>Jug</v>
      </c>
      <c r="AM2109" s="1" t="str">
        <f>VLOOKUP(C:C,[1]基础信息!B$1:E$65536,4,0)</f>
        <v>Aluna</v>
      </c>
      <c r="AN2109" s="1" t="str">
        <f>VLOOKUP(C:C,[1]基础信息!B$1:F$65536,5,0)</f>
        <v>Blue</v>
      </c>
    </row>
    <row r="2110" spans="1:40">
      <c r="A2110" s="1" t="s">
        <v>41</v>
      </c>
      <c r="B2110" s="1" t="s">
        <v>42</v>
      </c>
      <c r="C2110" s="1" t="s">
        <v>301</v>
      </c>
      <c r="D2110" s="1" t="s">
        <v>302</v>
      </c>
      <c r="E2110" s="1" t="s">
        <v>45</v>
      </c>
      <c r="F2110" s="1" t="s">
        <v>4838</v>
      </c>
      <c r="G2110" s="1" t="s">
        <v>4884</v>
      </c>
      <c r="H2110" s="1" t="s">
        <v>4885</v>
      </c>
      <c r="I2110" s="1" t="s">
        <v>49</v>
      </c>
      <c r="J2110" s="1" t="s">
        <v>48</v>
      </c>
      <c r="K2110" s="1">
        <v>96</v>
      </c>
      <c r="L2110" s="1">
        <v>0</v>
      </c>
      <c r="M2110" s="1">
        <v>0</v>
      </c>
      <c r="N2110" s="1">
        <v>96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 t="s">
        <v>49</v>
      </c>
      <c r="AA2110" s="1" t="s">
        <v>49</v>
      </c>
      <c r="AB2110" s="1" t="s">
        <v>49</v>
      </c>
      <c r="AC2110" s="1" t="s">
        <v>1551</v>
      </c>
      <c r="AD2110" s="1" t="s">
        <v>1552</v>
      </c>
      <c r="AE2110" s="1" t="s">
        <v>1551</v>
      </c>
      <c r="AF2110" s="1" t="s">
        <v>1905</v>
      </c>
      <c r="AG2110" s="1" t="s">
        <v>53</v>
      </c>
      <c r="AH2110" s="1" t="s">
        <v>49</v>
      </c>
      <c r="AI2110" s="1" t="s">
        <v>54</v>
      </c>
      <c r="AJ2110" s="1">
        <v>1</v>
      </c>
      <c r="AK2110" s="1" t="str">
        <f t="shared" si="32"/>
        <v xml:space="preserve"> =&lt;90</v>
      </c>
      <c r="AL2110" s="1" t="str">
        <f>VLOOKUP(C:C,[1]基础信息!B$1:D$65536,3,0)</f>
        <v>Jug</v>
      </c>
      <c r="AM2110" s="1" t="str">
        <f>VLOOKUP(C:C,[1]基础信息!B$1:E$65536,4,0)</f>
        <v>Aluna</v>
      </c>
      <c r="AN2110" s="1" t="str">
        <f>VLOOKUP(C:C,[1]基础信息!B$1:F$65536,5,0)</f>
        <v>Blue</v>
      </c>
    </row>
    <row r="2111" spans="1:40">
      <c r="A2111" s="1" t="s">
        <v>41</v>
      </c>
      <c r="B2111" s="1" t="s">
        <v>42</v>
      </c>
      <c r="C2111" s="1" t="s">
        <v>301</v>
      </c>
      <c r="D2111" s="1" t="s">
        <v>302</v>
      </c>
      <c r="E2111" s="1" t="s">
        <v>45</v>
      </c>
      <c r="F2111" s="1" t="s">
        <v>4838</v>
      </c>
      <c r="G2111" s="1" t="s">
        <v>4886</v>
      </c>
      <c r="H2111" s="1" t="s">
        <v>4887</v>
      </c>
      <c r="I2111" s="1" t="s">
        <v>49</v>
      </c>
      <c r="J2111" s="1" t="s">
        <v>48</v>
      </c>
      <c r="K2111" s="1">
        <v>96</v>
      </c>
      <c r="L2111" s="1">
        <v>0</v>
      </c>
      <c r="M2111" s="1">
        <v>0</v>
      </c>
      <c r="N2111" s="1">
        <v>96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 t="s">
        <v>49</v>
      </c>
      <c r="AA2111" s="1" t="s">
        <v>49</v>
      </c>
      <c r="AB2111" s="1" t="s">
        <v>49</v>
      </c>
      <c r="AC2111" s="1" t="s">
        <v>1551</v>
      </c>
      <c r="AD2111" s="1" t="s">
        <v>1552</v>
      </c>
      <c r="AE2111" s="1" t="s">
        <v>1551</v>
      </c>
      <c r="AF2111" s="1" t="s">
        <v>1905</v>
      </c>
      <c r="AG2111" s="1" t="s">
        <v>53</v>
      </c>
      <c r="AH2111" s="1" t="s">
        <v>49</v>
      </c>
      <c r="AI2111" s="1" t="s">
        <v>54</v>
      </c>
      <c r="AJ2111" s="1">
        <v>1</v>
      </c>
      <c r="AK2111" s="1" t="str">
        <f t="shared" si="32"/>
        <v xml:space="preserve"> =&lt;90</v>
      </c>
      <c r="AL2111" s="1" t="str">
        <f>VLOOKUP(C:C,[1]基础信息!B$1:D$65536,3,0)</f>
        <v>Jug</v>
      </c>
      <c r="AM2111" s="1" t="str">
        <f>VLOOKUP(C:C,[1]基础信息!B$1:E$65536,4,0)</f>
        <v>Aluna</v>
      </c>
      <c r="AN2111" s="1" t="str">
        <f>VLOOKUP(C:C,[1]基础信息!B$1:F$65536,5,0)</f>
        <v>Blue</v>
      </c>
    </row>
    <row r="2112" spans="1:40">
      <c r="A2112" s="1" t="s">
        <v>41</v>
      </c>
      <c r="B2112" s="1" t="s">
        <v>42</v>
      </c>
      <c r="C2112" s="1" t="s">
        <v>301</v>
      </c>
      <c r="D2112" s="1" t="s">
        <v>302</v>
      </c>
      <c r="E2112" s="1" t="s">
        <v>45</v>
      </c>
      <c r="F2112" s="1" t="s">
        <v>4838</v>
      </c>
      <c r="G2112" s="1" t="s">
        <v>4888</v>
      </c>
      <c r="H2112" s="1" t="s">
        <v>4889</v>
      </c>
      <c r="I2112" s="1" t="s">
        <v>49</v>
      </c>
      <c r="J2112" s="1" t="s">
        <v>48</v>
      </c>
      <c r="K2112" s="1">
        <v>96</v>
      </c>
      <c r="L2112" s="1">
        <v>0</v>
      </c>
      <c r="M2112" s="1">
        <v>0</v>
      </c>
      <c r="N2112" s="1">
        <v>96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 t="s">
        <v>49</v>
      </c>
      <c r="AA2112" s="1" t="s">
        <v>49</v>
      </c>
      <c r="AB2112" s="1" t="s">
        <v>49</v>
      </c>
      <c r="AC2112" s="1" t="s">
        <v>1551</v>
      </c>
      <c r="AD2112" s="1" t="s">
        <v>1552</v>
      </c>
      <c r="AE2112" s="1" t="s">
        <v>1551</v>
      </c>
      <c r="AF2112" s="1" t="s">
        <v>1905</v>
      </c>
      <c r="AG2112" s="1" t="s">
        <v>53</v>
      </c>
      <c r="AH2112" s="1" t="s">
        <v>49</v>
      </c>
      <c r="AI2112" s="1" t="s">
        <v>54</v>
      </c>
      <c r="AJ2112" s="1">
        <v>1</v>
      </c>
      <c r="AK2112" s="1" t="str">
        <f t="shared" si="32"/>
        <v xml:space="preserve"> =&lt;90</v>
      </c>
      <c r="AL2112" s="1" t="str">
        <f>VLOOKUP(C:C,[1]基础信息!B$1:D$65536,3,0)</f>
        <v>Jug</v>
      </c>
      <c r="AM2112" s="1" t="str">
        <f>VLOOKUP(C:C,[1]基础信息!B$1:E$65536,4,0)</f>
        <v>Aluna</v>
      </c>
      <c r="AN2112" s="1" t="str">
        <f>VLOOKUP(C:C,[1]基础信息!B$1:F$65536,5,0)</f>
        <v>Blue</v>
      </c>
    </row>
    <row r="2113" spans="1:40">
      <c r="A2113" s="1" t="s">
        <v>41</v>
      </c>
      <c r="B2113" s="1" t="s">
        <v>42</v>
      </c>
      <c r="C2113" s="1" t="s">
        <v>301</v>
      </c>
      <c r="D2113" s="1" t="s">
        <v>302</v>
      </c>
      <c r="E2113" s="1" t="s">
        <v>45</v>
      </c>
      <c r="F2113" s="1" t="s">
        <v>4838</v>
      </c>
      <c r="G2113" s="1" t="s">
        <v>4890</v>
      </c>
      <c r="H2113" s="1" t="s">
        <v>4891</v>
      </c>
      <c r="I2113" s="1" t="s">
        <v>49</v>
      </c>
      <c r="J2113" s="1" t="s">
        <v>48</v>
      </c>
      <c r="K2113" s="1">
        <v>96</v>
      </c>
      <c r="L2113" s="1">
        <v>0</v>
      </c>
      <c r="M2113" s="1">
        <v>0</v>
      </c>
      <c r="N2113" s="1">
        <v>96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 t="s">
        <v>49</v>
      </c>
      <c r="AA2113" s="1" t="s">
        <v>49</v>
      </c>
      <c r="AB2113" s="1" t="s">
        <v>49</v>
      </c>
      <c r="AC2113" s="1" t="s">
        <v>1551</v>
      </c>
      <c r="AD2113" s="1" t="s">
        <v>1552</v>
      </c>
      <c r="AE2113" s="1" t="s">
        <v>1551</v>
      </c>
      <c r="AF2113" s="1" t="s">
        <v>1905</v>
      </c>
      <c r="AG2113" s="1" t="s">
        <v>53</v>
      </c>
      <c r="AH2113" s="1" t="s">
        <v>49</v>
      </c>
      <c r="AI2113" s="1" t="s">
        <v>54</v>
      </c>
      <c r="AJ2113" s="1">
        <v>1</v>
      </c>
      <c r="AK2113" s="1" t="str">
        <f t="shared" si="32"/>
        <v xml:space="preserve"> =&lt;90</v>
      </c>
      <c r="AL2113" s="1" t="str">
        <f>VLOOKUP(C:C,[1]基础信息!B$1:D$65536,3,0)</f>
        <v>Jug</v>
      </c>
      <c r="AM2113" s="1" t="str">
        <f>VLOOKUP(C:C,[1]基础信息!B$1:E$65536,4,0)</f>
        <v>Aluna</v>
      </c>
      <c r="AN2113" s="1" t="str">
        <f>VLOOKUP(C:C,[1]基础信息!B$1:F$65536,5,0)</f>
        <v>Blue</v>
      </c>
    </row>
    <row r="2114" spans="1:40">
      <c r="A2114" s="1" t="s">
        <v>41</v>
      </c>
      <c r="B2114" s="1" t="s">
        <v>42</v>
      </c>
      <c r="C2114" s="1" t="s">
        <v>301</v>
      </c>
      <c r="D2114" s="1" t="s">
        <v>302</v>
      </c>
      <c r="E2114" s="1" t="s">
        <v>45</v>
      </c>
      <c r="F2114" s="1" t="s">
        <v>4838</v>
      </c>
      <c r="G2114" s="1" t="s">
        <v>4892</v>
      </c>
      <c r="H2114" s="1" t="s">
        <v>4893</v>
      </c>
      <c r="I2114" s="1" t="s">
        <v>49</v>
      </c>
      <c r="J2114" s="1" t="s">
        <v>48</v>
      </c>
      <c r="K2114" s="1">
        <v>32</v>
      </c>
      <c r="L2114" s="1">
        <v>0</v>
      </c>
      <c r="M2114" s="1">
        <v>0</v>
      </c>
      <c r="N2114" s="1">
        <v>32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 t="s">
        <v>49</v>
      </c>
      <c r="AA2114" s="1" t="s">
        <v>49</v>
      </c>
      <c r="AB2114" s="1" t="s">
        <v>49</v>
      </c>
      <c r="AC2114" s="1" t="s">
        <v>1551</v>
      </c>
      <c r="AD2114" s="1" t="s">
        <v>1552</v>
      </c>
      <c r="AE2114" s="1" t="s">
        <v>1551</v>
      </c>
      <c r="AF2114" s="1" t="s">
        <v>1905</v>
      </c>
      <c r="AG2114" s="1" t="s">
        <v>53</v>
      </c>
      <c r="AH2114" s="1" t="s">
        <v>49</v>
      </c>
      <c r="AI2114" s="1" t="s">
        <v>54</v>
      </c>
      <c r="AJ2114" s="1">
        <v>1</v>
      </c>
      <c r="AK2114" s="1" t="str">
        <f t="shared" ref="AK2114:AK2177" si="33">IF(AJ2114&gt;$AP$2,$AQ$2,IF(AJ2114&gt;$AP$3,$AQ$3,IF(AJ2114&gt;$AP$4,$AQ$4,$AQ$5)))</f>
        <v xml:space="preserve"> =&lt;90</v>
      </c>
      <c r="AL2114" s="1" t="str">
        <f>VLOOKUP(C:C,[1]基础信息!B$1:D$65536,3,0)</f>
        <v>Jug</v>
      </c>
      <c r="AM2114" s="1" t="str">
        <f>VLOOKUP(C:C,[1]基础信息!B$1:E$65536,4,0)</f>
        <v>Aluna</v>
      </c>
      <c r="AN2114" s="1" t="str">
        <f>VLOOKUP(C:C,[1]基础信息!B$1:F$65536,5,0)</f>
        <v>Blue</v>
      </c>
    </row>
    <row r="2115" spans="1:40">
      <c r="A2115" s="1" t="s">
        <v>41</v>
      </c>
      <c r="B2115" s="1" t="s">
        <v>42</v>
      </c>
      <c r="C2115" s="1" t="s">
        <v>301</v>
      </c>
      <c r="D2115" s="1" t="s">
        <v>302</v>
      </c>
      <c r="E2115" s="1" t="s">
        <v>45</v>
      </c>
      <c r="F2115" s="1" t="s">
        <v>4894</v>
      </c>
      <c r="G2115" s="1" t="s">
        <v>4895</v>
      </c>
      <c r="H2115" s="1" t="s">
        <v>4896</v>
      </c>
      <c r="I2115" s="1" t="s">
        <v>49</v>
      </c>
      <c r="J2115" s="1" t="s">
        <v>48</v>
      </c>
      <c r="K2115" s="1">
        <v>96</v>
      </c>
      <c r="L2115" s="1">
        <v>0</v>
      </c>
      <c r="M2115" s="1">
        <v>0</v>
      </c>
      <c r="N2115" s="1">
        <v>96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 t="s">
        <v>49</v>
      </c>
      <c r="AA2115" s="1" t="s">
        <v>49</v>
      </c>
      <c r="AB2115" s="1" t="s">
        <v>49</v>
      </c>
      <c r="AC2115" s="1" t="s">
        <v>1551</v>
      </c>
      <c r="AD2115" s="1" t="s">
        <v>1552</v>
      </c>
      <c r="AE2115" s="1" t="s">
        <v>1551</v>
      </c>
      <c r="AF2115" s="1" t="s">
        <v>4502</v>
      </c>
      <c r="AG2115" s="1" t="s">
        <v>53</v>
      </c>
      <c r="AH2115" s="1" t="s">
        <v>49</v>
      </c>
      <c r="AI2115" s="1" t="s">
        <v>54</v>
      </c>
      <c r="AJ2115" s="1">
        <v>1</v>
      </c>
      <c r="AK2115" s="1" t="str">
        <f t="shared" si="33"/>
        <v xml:space="preserve"> =&lt;90</v>
      </c>
      <c r="AL2115" s="1" t="str">
        <f>VLOOKUP(C:C,[1]基础信息!B$1:D$65536,3,0)</f>
        <v>Jug</v>
      </c>
      <c r="AM2115" s="1" t="str">
        <f>VLOOKUP(C:C,[1]基础信息!B$1:E$65536,4,0)</f>
        <v>Aluna</v>
      </c>
      <c r="AN2115" s="1" t="str">
        <f>VLOOKUP(C:C,[1]基础信息!B$1:F$65536,5,0)</f>
        <v>Blue</v>
      </c>
    </row>
    <row r="2116" spans="1:40">
      <c r="A2116" s="1" t="s">
        <v>41</v>
      </c>
      <c r="B2116" s="1" t="s">
        <v>42</v>
      </c>
      <c r="C2116" s="1" t="s">
        <v>301</v>
      </c>
      <c r="D2116" s="1" t="s">
        <v>302</v>
      </c>
      <c r="E2116" s="1" t="s">
        <v>45</v>
      </c>
      <c r="F2116" s="1" t="s">
        <v>4894</v>
      </c>
      <c r="G2116" s="1" t="s">
        <v>4897</v>
      </c>
      <c r="H2116" s="1" t="s">
        <v>4898</v>
      </c>
      <c r="I2116" s="1" t="s">
        <v>49</v>
      </c>
      <c r="J2116" s="1" t="s">
        <v>48</v>
      </c>
      <c r="K2116" s="1">
        <v>96</v>
      </c>
      <c r="L2116" s="1">
        <v>0</v>
      </c>
      <c r="M2116" s="1">
        <v>0</v>
      </c>
      <c r="N2116" s="1">
        <v>96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 t="s">
        <v>49</v>
      </c>
      <c r="AA2116" s="1" t="s">
        <v>49</v>
      </c>
      <c r="AB2116" s="1" t="s">
        <v>49</v>
      </c>
      <c r="AC2116" s="1" t="s">
        <v>1551</v>
      </c>
      <c r="AD2116" s="1" t="s">
        <v>1552</v>
      </c>
      <c r="AE2116" s="1" t="s">
        <v>1551</v>
      </c>
      <c r="AF2116" s="1" t="s">
        <v>4502</v>
      </c>
      <c r="AG2116" s="1" t="s">
        <v>53</v>
      </c>
      <c r="AH2116" s="1" t="s">
        <v>49</v>
      </c>
      <c r="AI2116" s="1" t="s">
        <v>54</v>
      </c>
      <c r="AJ2116" s="1">
        <v>1</v>
      </c>
      <c r="AK2116" s="1" t="str">
        <f t="shared" si="33"/>
        <v xml:space="preserve"> =&lt;90</v>
      </c>
      <c r="AL2116" s="1" t="str">
        <f>VLOOKUP(C:C,[1]基础信息!B$1:D$65536,3,0)</f>
        <v>Jug</v>
      </c>
      <c r="AM2116" s="1" t="str">
        <f>VLOOKUP(C:C,[1]基础信息!B$1:E$65536,4,0)</f>
        <v>Aluna</v>
      </c>
      <c r="AN2116" s="1" t="str">
        <f>VLOOKUP(C:C,[1]基础信息!B$1:F$65536,5,0)</f>
        <v>Blue</v>
      </c>
    </row>
    <row r="2117" spans="1:40">
      <c r="A2117" s="1" t="s">
        <v>41</v>
      </c>
      <c r="B2117" s="1" t="s">
        <v>42</v>
      </c>
      <c r="C2117" s="1" t="s">
        <v>301</v>
      </c>
      <c r="D2117" s="1" t="s">
        <v>302</v>
      </c>
      <c r="E2117" s="1" t="s">
        <v>45</v>
      </c>
      <c r="F2117" s="1" t="s">
        <v>4894</v>
      </c>
      <c r="G2117" s="1" t="s">
        <v>4899</v>
      </c>
      <c r="H2117" s="1" t="s">
        <v>4900</v>
      </c>
      <c r="I2117" s="1" t="s">
        <v>49</v>
      </c>
      <c r="J2117" s="1" t="s">
        <v>48</v>
      </c>
      <c r="K2117" s="1">
        <v>96</v>
      </c>
      <c r="L2117" s="1">
        <v>0</v>
      </c>
      <c r="M2117" s="1">
        <v>0</v>
      </c>
      <c r="N2117" s="1">
        <v>96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 t="s">
        <v>49</v>
      </c>
      <c r="AA2117" s="1" t="s">
        <v>49</v>
      </c>
      <c r="AB2117" s="1" t="s">
        <v>49</v>
      </c>
      <c r="AC2117" s="1" t="s">
        <v>1551</v>
      </c>
      <c r="AD2117" s="1" t="s">
        <v>1552</v>
      </c>
      <c r="AE2117" s="1" t="s">
        <v>1551</v>
      </c>
      <c r="AF2117" s="1" t="s">
        <v>4502</v>
      </c>
      <c r="AG2117" s="1" t="s">
        <v>53</v>
      </c>
      <c r="AH2117" s="1" t="s">
        <v>49</v>
      </c>
      <c r="AI2117" s="1" t="s">
        <v>54</v>
      </c>
      <c r="AJ2117" s="1">
        <v>1</v>
      </c>
      <c r="AK2117" s="1" t="str">
        <f t="shared" si="33"/>
        <v xml:space="preserve"> =&lt;90</v>
      </c>
      <c r="AL2117" s="1" t="str">
        <f>VLOOKUP(C:C,[1]基础信息!B$1:D$65536,3,0)</f>
        <v>Jug</v>
      </c>
      <c r="AM2117" s="1" t="str">
        <f>VLOOKUP(C:C,[1]基础信息!B$1:E$65536,4,0)</f>
        <v>Aluna</v>
      </c>
      <c r="AN2117" s="1" t="str">
        <f>VLOOKUP(C:C,[1]基础信息!B$1:F$65536,5,0)</f>
        <v>Blue</v>
      </c>
    </row>
    <row r="2118" spans="1:40">
      <c r="A2118" s="1" t="s">
        <v>41</v>
      </c>
      <c r="B2118" s="1" t="s">
        <v>42</v>
      </c>
      <c r="C2118" s="1" t="s">
        <v>301</v>
      </c>
      <c r="D2118" s="1" t="s">
        <v>302</v>
      </c>
      <c r="E2118" s="1" t="s">
        <v>45</v>
      </c>
      <c r="F2118" s="1" t="s">
        <v>4894</v>
      </c>
      <c r="G2118" s="1" t="s">
        <v>4901</v>
      </c>
      <c r="H2118" s="1" t="s">
        <v>4902</v>
      </c>
      <c r="I2118" s="1" t="s">
        <v>49</v>
      </c>
      <c r="J2118" s="1" t="s">
        <v>48</v>
      </c>
      <c r="K2118" s="1">
        <v>96</v>
      </c>
      <c r="L2118" s="1">
        <v>0</v>
      </c>
      <c r="M2118" s="1">
        <v>0</v>
      </c>
      <c r="N2118" s="1">
        <v>96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 t="s">
        <v>49</v>
      </c>
      <c r="AA2118" s="1" t="s">
        <v>49</v>
      </c>
      <c r="AB2118" s="1" t="s">
        <v>49</v>
      </c>
      <c r="AC2118" s="1" t="s">
        <v>1551</v>
      </c>
      <c r="AD2118" s="1" t="s">
        <v>1552</v>
      </c>
      <c r="AE2118" s="1" t="s">
        <v>1551</v>
      </c>
      <c r="AF2118" s="1" t="s">
        <v>4502</v>
      </c>
      <c r="AG2118" s="1" t="s">
        <v>53</v>
      </c>
      <c r="AH2118" s="1" t="s">
        <v>49</v>
      </c>
      <c r="AI2118" s="1" t="s">
        <v>54</v>
      </c>
      <c r="AJ2118" s="1">
        <v>1</v>
      </c>
      <c r="AK2118" s="1" t="str">
        <f t="shared" si="33"/>
        <v xml:space="preserve"> =&lt;90</v>
      </c>
      <c r="AL2118" s="1" t="str">
        <f>VLOOKUP(C:C,[1]基础信息!B$1:D$65536,3,0)</f>
        <v>Jug</v>
      </c>
      <c r="AM2118" s="1" t="str">
        <f>VLOOKUP(C:C,[1]基础信息!B$1:E$65536,4,0)</f>
        <v>Aluna</v>
      </c>
      <c r="AN2118" s="1" t="str">
        <f>VLOOKUP(C:C,[1]基础信息!B$1:F$65536,5,0)</f>
        <v>Blue</v>
      </c>
    </row>
    <row r="2119" spans="1:40">
      <c r="A2119" s="1" t="s">
        <v>41</v>
      </c>
      <c r="B2119" s="1" t="s">
        <v>42</v>
      </c>
      <c r="C2119" s="1" t="s">
        <v>301</v>
      </c>
      <c r="D2119" s="1" t="s">
        <v>302</v>
      </c>
      <c r="E2119" s="1" t="s">
        <v>45</v>
      </c>
      <c r="F2119" s="1" t="s">
        <v>4894</v>
      </c>
      <c r="G2119" s="1" t="s">
        <v>4903</v>
      </c>
      <c r="H2119" s="1" t="s">
        <v>4904</v>
      </c>
      <c r="I2119" s="1" t="s">
        <v>49</v>
      </c>
      <c r="J2119" s="1" t="s">
        <v>48</v>
      </c>
      <c r="K2119" s="1">
        <v>96</v>
      </c>
      <c r="L2119" s="1">
        <v>0</v>
      </c>
      <c r="M2119" s="1">
        <v>0</v>
      </c>
      <c r="N2119" s="1">
        <v>96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 t="s">
        <v>49</v>
      </c>
      <c r="AA2119" s="1" t="s">
        <v>49</v>
      </c>
      <c r="AB2119" s="1" t="s">
        <v>49</v>
      </c>
      <c r="AC2119" s="1" t="s">
        <v>1551</v>
      </c>
      <c r="AD2119" s="1" t="s">
        <v>1552</v>
      </c>
      <c r="AE2119" s="1" t="s">
        <v>1551</v>
      </c>
      <c r="AF2119" s="1" t="s">
        <v>4502</v>
      </c>
      <c r="AG2119" s="1" t="s">
        <v>53</v>
      </c>
      <c r="AH2119" s="1" t="s">
        <v>49</v>
      </c>
      <c r="AI2119" s="1" t="s">
        <v>54</v>
      </c>
      <c r="AJ2119" s="1">
        <v>1</v>
      </c>
      <c r="AK2119" s="1" t="str">
        <f t="shared" si="33"/>
        <v xml:space="preserve"> =&lt;90</v>
      </c>
      <c r="AL2119" s="1" t="str">
        <f>VLOOKUP(C:C,[1]基础信息!B$1:D$65536,3,0)</f>
        <v>Jug</v>
      </c>
      <c r="AM2119" s="1" t="str">
        <f>VLOOKUP(C:C,[1]基础信息!B$1:E$65536,4,0)</f>
        <v>Aluna</v>
      </c>
      <c r="AN2119" s="1" t="str">
        <f>VLOOKUP(C:C,[1]基础信息!B$1:F$65536,5,0)</f>
        <v>Blue</v>
      </c>
    </row>
    <row r="2120" spans="1:40">
      <c r="A2120" s="1" t="s">
        <v>41</v>
      </c>
      <c r="B2120" s="1" t="s">
        <v>42</v>
      </c>
      <c r="C2120" s="1" t="s">
        <v>301</v>
      </c>
      <c r="D2120" s="1" t="s">
        <v>302</v>
      </c>
      <c r="E2120" s="1" t="s">
        <v>45</v>
      </c>
      <c r="F2120" s="1" t="s">
        <v>4894</v>
      </c>
      <c r="G2120" s="1" t="s">
        <v>4905</v>
      </c>
      <c r="H2120" s="1" t="s">
        <v>4906</v>
      </c>
      <c r="I2120" s="1" t="s">
        <v>49</v>
      </c>
      <c r="J2120" s="1" t="s">
        <v>48</v>
      </c>
      <c r="K2120" s="1">
        <v>96</v>
      </c>
      <c r="L2120" s="1">
        <v>0</v>
      </c>
      <c r="M2120" s="1">
        <v>0</v>
      </c>
      <c r="N2120" s="1">
        <v>96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 t="s">
        <v>49</v>
      </c>
      <c r="AA2120" s="1" t="s">
        <v>49</v>
      </c>
      <c r="AB2120" s="1" t="s">
        <v>49</v>
      </c>
      <c r="AC2120" s="1" t="s">
        <v>1551</v>
      </c>
      <c r="AD2120" s="1" t="s">
        <v>1552</v>
      </c>
      <c r="AE2120" s="1" t="s">
        <v>1551</v>
      </c>
      <c r="AF2120" s="1" t="s">
        <v>4502</v>
      </c>
      <c r="AG2120" s="1" t="s">
        <v>53</v>
      </c>
      <c r="AH2120" s="1" t="s">
        <v>49</v>
      </c>
      <c r="AI2120" s="1" t="s">
        <v>54</v>
      </c>
      <c r="AJ2120" s="1">
        <v>1</v>
      </c>
      <c r="AK2120" s="1" t="str">
        <f t="shared" si="33"/>
        <v xml:space="preserve"> =&lt;90</v>
      </c>
      <c r="AL2120" s="1" t="str">
        <f>VLOOKUP(C:C,[1]基础信息!B$1:D$65536,3,0)</f>
        <v>Jug</v>
      </c>
      <c r="AM2120" s="1" t="str">
        <f>VLOOKUP(C:C,[1]基础信息!B$1:E$65536,4,0)</f>
        <v>Aluna</v>
      </c>
      <c r="AN2120" s="1" t="str">
        <f>VLOOKUP(C:C,[1]基础信息!B$1:F$65536,5,0)</f>
        <v>Blue</v>
      </c>
    </row>
    <row r="2121" spans="1:40">
      <c r="A2121" s="1" t="s">
        <v>41</v>
      </c>
      <c r="B2121" s="1" t="s">
        <v>42</v>
      </c>
      <c r="C2121" s="1" t="s">
        <v>301</v>
      </c>
      <c r="D2121" s="1" t="s">
        <v>302</v>
      </c>
      <c r="E2121" s="1" t="s">
        <v>45</v>
      </c>
      <c r="F2121" s="1" t="s">
        <v>4894</v>
      </c>
      <c r="G2121" s="1" t="s">
        <v>4907</v>
      </c>
      <c r="H2121" s="1" t="s">
        <v>4908</v>
      </c>
      <c r="I2121" s="1" t="s">
        <v>49</v>
      </c>
      <c r="J2121" s="1" t="s">
        <v>48</v>
      </c>
      <c r="K2121" s="1">
        <v>24</v>
      </c>
      <c r="L2121" s="1">
        <v>0</v>
      </c>
      <c r="M2121" s="1">
        <v>0</v>
      </c>
      <c r="N2121" s="1">
        <v>24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 t="s">
        <v>49</v>
      </c>
      <c r="AA2121" s="1" t="s">
        <v>49</v>
      </c>
      <c r="AB2121" s="1" t="s">
        <v>49</v>
      </c>
      <c r="AC2121" s="1" t="s">
        <v>1551</v>
      </c>
      <c r="AD2121" s="1" t="s">
        <v>1552</v>
      </c>
      <c r="AE2121" s="1" t="s">
        <v>1551</v>
      </c>
      <c r="AF2121" s="1" t="s">
        <v>4502</v>
      </c>
      <c r="AG2121" s="1" t="s">
        <v>53</v>
      </c>
      <c r="AH2121" s="1" t="s">
        <v>49</v>
      </c>
      <c r="AI2121" s="1" t="s">
        <v>54</v>
      </c>
      <c r="AJ2121" s="1">
        <v>1</v>
      </c>
      <c r="AK2121" s="1" t="str">
        <f t="shared" si="33"/>
        <v xml:space="preserve"> =&lt;90</v>
      </c>
      <c r="AL2121" s="1" t="str">
        <f>VLOOKUP(C:C,[1]基础信息!B$1:D$65536,3,0)</f>
        <v>Jug</v>
      </c>
      <c r="AM2121" s="1" t="str">
        <f>VLOOKUP(C:C,[1]基础信息!B$1:E$65536,4,0)</f>
        <v>Aluna</v>
      </c>
      <c r="AN2121" s="1" t="str">
        <f>VLOOKUP(C:C,[1]基础信息!B$1:F$65536,5,0)</f>
        <v>Blue</v>
      </c>
    </row>
    <row r="2122" spans="1:40">
      <c r="A2122" s="1" t="s">
        <v>41</v>
      </c>
      <c r="B2122" s="1" t="s">
        <v>42</v>
      </c>
      <c r="C2122" s="1" t="s">
        <v>208</v>
      </c>
      <c r="D2122" s="1" t="s">
        <v>209</v>
      </c>
      <c r="E2122" s="1" t="s">
        <v>208</v>
      </c>
      <c r="F2122" s="1" t="s">
        <v>4909</v>
      </c>
      <c r="G2122" s="1" t="s">
        <v>4910</v>
      </c>
      <c r="H2122" s="1" t="s">
        <v>4911</v>
      </c>
      <c r="I2122" s="1" t="s">
        <v>49</v>
      </c>
      <c r="J2122" s="1" t="s">
        <v>48</v>
      </c>
      <c r="K2122" s="1">
        <v>66</v>
      </c>
      <c r="L2122" s="1">
        <v>0</v>
      </c>
      <c r="M2122" s="1">
        <v>0</v>
      </c>
      <c r="N2122" s="1">
        <v>66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 t="s">
        <v>49</v>
      </c>
      <c r="AA2122" s="1" t="s">
        <v>49</v>
      </c>
      <c r="AB2122" s="1" t="s">
        <v>49</v>
      </c>
      <c r="AC2122" s="1" t="s">
        <v>1551</v>
      </c>
      <c r="AD2122" s="1" t="s">
        <v>1552</v>
      </c>
      <c r="AE2122" s="1" t="s">
        <v>1551</v>
      </c>
      <c r="AF2122" s="1" t="s">
        <v>4912</v>
      </c>
      <c r="AG2122" s="1" t="s">
        <v>53</v>
      </c>
      <c r="AH2122" s="1" t="s">
        <v>49</v>
      </c>
      <c r="AI2122" s="1" t="s">
        <v>54</v>
      </c>
      <c r="AJ2122" s="1">
        <v>1</v>
      </c>
      <c r="AK2122" s="1" t="str">
        <f t="shared" si="33"/>
        <v xml:space="preserve"> =&lt;90</v>
      </c>
      <c r="AL2122" s="1" t="str">
        <f>VLOOKUP(C:C,[1]基础信息!B$1:D$65536,3,0)</f>
        <v>Jug</v>
      </c>
      <c r="AM2122" s="1" t="str">
        <f>VLOOKUP(C:C,[1]基础信息!B$1:E$65536,4,0)</f>
        <v>MXpl</v>
      </c>
      <c r="AN2122" s="1" t="str">
        <f>VLOOKUP(C:C,[1]基础信息!B$1:F$65536,5,0)</f>
        <v>grey</v>
      </c>
    </row>
    <row r="2123" spans="1:40">
      <c r="A2123" s="1" t="s">
        <v>41</v>
      </c>
      <c r="B2123" s="1" t="s">
        <v>42</v>
      </c>
      <c r="C2123" s="1" t="s">
        <v>208</v>
      </c>
      <c r="D2123" s="1" t="s">
        <v>209</v>
      </c>
      <c r="E2123" s="1" t="s">
        <v>208</v>
      </c>
      <c r="F2123" s="1" t="s">
        <v>4909</v>
      </c>
      <c r="G2123" s="1" t="s">
        <v>4913</v>
      </c>
      <c r="H2123" s="1" t="s">
        <v>4914</v>
      </c>
      <c r="I2123" s="1" t="s">
        <v>49</v>
      </c>
      <c r="J2123" s="1" t="s">
        <v>48</v>
      </c>
      <c r="K2123" s="1">
        <v>80</v>
      </c>
      <c r="L2123" s="1">
        <v>0</v>
      </c>
      <c r="M2123" s="1">
        <v>0</v>
      </c>
      <c r="N2123" s="1">
        <v>80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 t="s">
        <v>49</v>
      </c>
      <c r="AA2123" s="1" t="s">
        <v>49</v>
      </c>
      <c r="AB2123" s="1" t="s">
        <v>49</v>
      </c>
      <c r="AC2123" s="1" t="s">
        <v>1551</v>
      </c>
      <c r="AD2123" s="1" t="s">
        <v>1552</v>
      </c>
      <c r="AE2123" s="1" t="s">
        <v>1551</v>
      </c>
      <c r="AF2123" s="1" t="s">
        <v>4912</v>
      </c>
      <c r="AG2123" s="1" t="s">
        <v>53</v>
      </c>
      <c r="AH2123" s="1" t="s">
        <v>49</v>
      </c>
      <c r="AI2123" s="1" t="s">
        <v>54</v>
      </c>
      <c r="AJ2123" s="1">
        <v>1</v>
      </c>
      <c r="AK2123" s="1" t="str">
        <f t="shared" si="33"/>
        <v xml:space="preserve"> =&lt;90</v>
      </c>
      <c r="AL2123" s="1" t="str">
        <f>VLOOKUP(C:C,[1]基础信息!B$1:D$65536,3,0)</f>
        <v>Jug</v>
      </c>
      <c r="AM2123" s="1" t="str">
        <f>VLOOKUP(C:C,[1]基础信息!B$1:E$65536,4,0)</f>
        <v>MXpl</v>
      </c>
      <c r="AN2123" s="1" t="str">
        <f>VLOOKUP(C:C,[1]基础信息!B$1:F$65536,5,0)</f>
        <v>grey</v>
      </c>
    </row>
    <row r="2124" spans="1:40">
      <c r="A2124" s="1" t="s">
        <v>41</v>
      </c>
      <c r="B2124" s="1" t="s">
        <v>42</v>
      </c>
      <c r="C2124" s="1" t="s">
        <v>208</v>
      </c>
      <c r="D2124" s="1" t="s">
        <v>209</v>
      </c>
      <c r="E2124" s="1" t="s">
        <v>208</v>
      </c>
      <c r="F2124" s="1" t="s">
        <v>4909</v>
      </c>
      <c r="G2124" s="1" t="s">
        <v>4915</v>
      </c>
      <c r="H2124" s="1" t="s">
        <v>4916</v>
      </c>
      <c r="I2124" s="1" t="s">
        <v>49</v>
      </c>
      <c r="J2124" s="1" t="s">
        <v>48</v>
      </c>
      <c r="K2124" s="1">
        <v>80</v>
      </c>
      <c r="L2124" s="1">
        <v>0</v>
      </c>
      <c r="M2124" s="1">
        <v>0</v>
      </c>
      <c r="N2124" s="1">
        <v>80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 t="s">
        <v>49</v>
      </c>
      <c r="AA2124" s="1" t="s">
        <v>49</v>
      </c>
      <c r="AB2124" s="1" t="s">
        <v>49</v>
      </c>
      <c r="AC2124" s="1" t="s">
        <v>1551</v>
      </c>
      <c r="AD2124" s="1" t="s">
        <v>1552</v>
      </c>
      <c r="AE2124" s="1" t="s">
        <v>1551</v>
      </c>
      <c r="AF2124" s="1" t="s">
        <v>4912</v>
      </c>
      <c r="AG2124" s="1" t="s">
        <v>53</v>
      </c>
      <c r="AH2124" s="1" t="s">
        <v>49</v>
      </c>
      <c r="AI2124" s="1" t="s">
        <v>54</v>
      </c>
      <c r="AJ2124" s="1">
        <v>1</v>
      </c>
      <c r="AK2124" s="1" t="str">
        <f t="shared" si="33"/>
        <v xml:space="preserve"> =&lt;90</v>
      </c>
      <c r="AL2124" s="1" t="str">
        <f>VLOOKUP(C:C,[1]基础信息!B$1:D$65536,3,0)</f>
        <v>Jug</v>
      </c>
      <c r="AM2124" s="1" t="str">
        <f>VLOOKUP(C:C,[1]基础信息!B$1:E$65536,4,0)</f>
        <v>MXpl</v>
      </c>
      <c r="AN2124" s="1" t="str">
        <f>VLOOKUP(C:C,[1]基础信息!B$1:F$65536,5,0)</f>
        <v>grey</v>
      </c>
    </row>
    <row r="2125" spans="1:40">
      <c r="A2125" s="1" t="s">
        <v>41</v>
      </c>
      <c r="B2125" s="1" t="s">
        <v>42</v>
      </c>
      <c r="C2125" s="1" t="s">
        <v>208</v>
      </c>
      <c r="D2125" s="1" t="s">
        <v>209</v>
      </c>
      <c r="E2125" s="1" t="s">
        <v>208</v>
      </c>
      <c r="F2125" s="1" t="s">
        <v>4909</v>
      </c>
      <c r="G2125" s="1" t="s">
        <v>4917</v>
      </c>
      <c r="H2125" s="1" t="s">
        <v>4918</v>
      </c>
      <c r="I2125" s="1" t="s">
        <v>49</v>
      </c>
      <c r="J2125" s="1" t="s">
        <v>48</v>
      </c>
      <c r="K2125" s="1">
        <v>80</v>
      </c>
      <c r="L2125" s="1">
        <v>0</v>
      </c>
      <c r="M2125" s="1">
        <v>0</v>
      </c>
      <c r="N2125" s="1">
        <v>80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 t="s">
        <v>49</v>
      </c>
      <c r="AA2125" s="1" t="s">
        <v>49</v>
      </c>
      <c r="AB2125" s="1" t="s">
        <v>49</v>
      </c>
      <c r="AC2125" s="1" t="s">
        <v>1551</v>
      </c>
      <c r="AD2125" s="1" t="s">
        <v>1552</v>
      </c>
      <c r="AE2125" s="1" t="s">
        <v>1551</v>
      </c>
      <c r="AF2125" s="1" t="s">
        <v>4912</v>
      </c>
      <c r="AG2125" s="1" t="s">
        <v>53</v>
      </c>
      <c r="AH2125" s="1" t="s">
        <v>49</v>
      </c>
      <c r="AI2125" s="1" t="s">
        <v>54</v>
      </c>
      <c r="AJ2125" s="1">
        <v>1</v>
      </c>
      <c r="AK2125" s="1" t="str">
        <f t="shared" si="33"/>
        <v xml:space="preserve"> =&lt;90</v>
      </c>
      <c r="AL2125" s="1" t="str">
        <f>VLOOKUP(C:C,[1]基础信息!B$1:D$65536,3,0)</f>
        <v>Jug</v>
      </c>
      <c r="AM2125" s="1" t="str">
        <f>VLOOKUP(C:C,[1]基础信息!B$1:E$65536,4,0)</f>
        <v>MXpl</v>
      </c>
      <c r="AN2125" s="1" t="str">
        <f>VLOOKUP(C:C,[1]基础信息!B$1:F$65536,5,0)</f>
        <v>grey</v>
      </c>
    </row>
    <row r="2126" spans="1:40">
      <c r="A2126" s="1" t="s">
        <v>41</v>
      </c>
      <c r="B2126" s="1" t="s">
        <v>42</v>
      </c>
      <c r="C2126" s="1" t="s">
        <v>208</v>
      </c>
      <c r="D2126" s="1" t="s">
        <v>209</v>
      </c>
      <c r="E2126" s="1" t="s">
        <v>208</v>
      </c>
      <c r="F2126" s="1" t="s">
        <v>4909</v>
      </c>
      <c r="G2126" s="1" t="s">
        <v>4919</v>
      </c>
      <c r="H2126" s="1" t="s">
        <v>4920</v>
      </c>
      <c r="I2126" s="1" t="s">
        <v>49</v>
      </c>
      <c r="J2126" s="1" t="s">
        <v>48</v>
      </c>
      <c r="K2126" s="1">
        <v>80</v>
      </c>
      <c r="L2126" s="1">
        <v>0</v>
      </c>
      <c r="M2126" s="1">
        <v>0</v>
      </c>
      <c r="N2126" s="1">
        <v>80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 t="s">
        <v>49</v>
      </c>
      <c r="AA2126" s="1" t="s">
        <v>49</v>
      </c>
      <c r="AB2126" s="1" t="s">
        <v>49</v>
      </c>
      <c r="AC2126" s="1" t="s">
        <v>1551</v>
      </c>
      <c r="AD2126" s="1" t="s">
        <v>1552</v>
      </c>
      <c r="AE2126" s="1" t="s">
        <v>1551</v>
      </c>
      <c r="AF2126" s="1" t="s">
        <v>4912</v>
      </c>
      <c r="AG2126" s="1" t="s">
        <v>53</v>
      </c>
      <c r="AH2126" s="1" t="s">
        <v>49</v>
      </c>
      <c r="AI2126" s="1" t="s">
        <v>54</v>
      </c>
      <c r="AJ2126" s="1">
        <v>1</v>
      </c>
      <c r="AK2126" s="1" t="str">
        <f t="shared" si="33"/>
        <v xml:space="preserve"> =&lt;90</v>
      </c>
      <c r="AL2126" s="1" t="str">
        <f>VLOOKUP(C:C,[1]基础信息!B$1:D$65536,3,0)</f>
        <v>Jug</v>
      </c>
      <c r="AM2126" s="1" t="str">
        <f>VLOOKUP(C:C,[1]基础信息!B$1:E$65536,4,0)</f>
        <v>MXpl</v>
      </c>
      <c r="AN2126" s="1" t="str">
        <f>VLOOKUP(C:C,[1]基础信息!B$1:F$65536,5,0)</f>
        <v>grey</v>
      </c>
    </row>
    <row r="2127" spans="1:40">
      <c r="A2127" s="1" t="s">
        <v>41</v>
      </c>
      <c r="B2127" s="1" t="s">
        <v>42</v>
      </c>
      <c r="C2127" s="1" t="s">
        <v>208</v>
      </c>
      <c r="D2127" s="1" t="s">
        <v>209</v>
      </c>
      <c r="E2127" s="1" t="s">
        <v>208</v>
      </c>
      <c r="F2127" s="1" t="s">
        <v>4909</v>
      </c>
      <c r="G2127" s="1" t="s">
        <v>4921</v>
      </c>
      <c r="H2127" s="1" t="s">
        <v>4922</v>
      </c>
      <c r="I2127" s="1" t="s">
        <v>49</v>
      </c>
      <c r="J2127" s="1" t="s">
        <v>48</v>
      </c>
      <c r="K2127" s="1">
        <v>80</v>
      </c>
      <c r="L2127" s="1">
        <v>0</v>
      </c>
      <c r="M2127" s="1">
        <v>0</v>
      </c>
      <c r="N2127" s="1">
        <v>80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 t="s">
        <v>49</v>
      </c>
      <c r="AA2127" s="1" t="s">
        <v>49</v>
      </c>
      <c r="AB2127" s="1" t="s">
        <v>49</v>
      </c>
      <c r="AC2127" s="1" t="s">
        <v>1551</v>
      </c>
      <c r="AD2127" s="1" t="s">
        <v>1552</v>
      </c>
      <c r="AE2127" s="1" t="s">
        <v>1551</v>
      </c>
      <c r="AF2127" s="1" t="s">
        <v>4912</v>
      </c>
      <c r="AG2127" s="1" t="s">
        <v>53</v>
      </c>
      <c r="AH2127" s="1" t="s">
        <v>49</v>
      </c>
      <c r="AI2127" s="1" t="s">
        <v>54</v>
      </c>
      <c r="AJ2127" s="1">
        <v>1</v>
      </c>
      <c r="AK2127" s="1" t="str">
        <f t="shared" si="33"/>
        <v xml:space="preserve"> =&lt;90</v>
      </c>
      <c r="AL2127" s="1" t="str">
        <f>VLOOKUP(C:C,[1]基础信息!B$1:D$65536,3,0)</f>
        <v>Jug</v>
      </c>
      <c r="AM2127" s="1" t="str">
        <f>VLOOKUP(C:C,[1]基础信息!B$1:E$65536,4,0)</f>
        <v>MXpl</v>
      </c>
      <c r="AN2127" s="1" t="str">
        <f>VLOOKUP(C:C,[1]基础信息!B$1:F$65536,5,0)</f>
        <v>grey</v>
      </c>
    </row>
    <row r="2128" spans="1:40">
      <c r="A2128" s="1" t="s">
        <v>41</v>
      </c>
      <c r="B2128" s="1" t="s">
        <v>42</v>
      </c>
      <c r="C2128" s="1" t="s">
        <v>208</v>
      </c>
      <c r="D2128" s="1" t="s">
        <v>209</v>
      </c>
      <c r="E2128" s="1" t="s">
        <v>208</v>
      </c>
      <c r="F2128" s="1" t="s">
        <v>4909</v>
      </c>
      <c r="G2128" s="1" t="s">
        <v>4923</v>
      </c>
      <c r="H2128" s="1" t="s">
        <v>4924</v>
      </c>
      <c r="I2128" s="1" t="s">
        <v>49</v>
      </c>
      <c r="J2128" s="1" t="s">
        <v>48</v>
      </c>
      <c r="K2128" s="1">
        <v>80</v>
      </c>
      <c r="L2128" s="1">
        <v>0</v>
      </c>
      <c r="M2128" s="1">
        <v>0</v>
      </c>
      <c r="N2128" s="1">
        <v>80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 t="s">
        <v>49</v>
      </c>
      <c r="AA2128" s="1" t="s">
        <v>49</v>
      </c>
      <c r="AB2128" s="1" t="s">
        <v>49</v>
      </c>
      <c r="AC2128" s="1" t="s">
        <v>1551</v>
      </c>
      <c r="AD2128" s="1" t="s">
        <v>1552</v>
      </c>
      <c r="AE2128" s="1" t="s">
        <v>1551</v>
      </c>
      <c r="AF2128" s="1" t="s">
        <v>4912</v>
      </c>
      <c r="AG2128" s="1" t="s">
        <v>53</v>
      </c>
      <c r="AH2128" s="1" t="s">
        <v>49</v>
      </c>
      <c r="AI2128" s="1" t="s">
        <v>54</v>
      </c>
      <c r="AJ2128" s="1">
        <v>1</v>
      </c>
      <c r="AK2128" s="1" t="str">
        <f t="shared" si="33"/>
        <v xml:space="preserve"> =&lt;90</v>
      </c>
      <c r="AL2128" s="1" t="str">
        <f>VLOOKUP(C:C,[1]基础信息!B$1:D$65536,3,0)</f>
        <v>Jug</v>
      </c>
      <c r="AM2128" s="1" t="str">
        <f>VLOOKUP(C:C,[1]基础信息!B$1:E$65536,4,0)</f>
        <v>MXpl</v>
      </c>
      <c r="AN2128" s="1" t="str">
        <f>VLOOKUP(C:C,[1]基础信息!B$1:F$65536,5,0)</f>
        <v>grey</v>
      </c>
    </row>
    <row r="2129" spans="1:40">
      <c r="A2129" s="1" t="s">
        <v>41</v>
      </c>
      <c r="B2129" s="1" t="s">
        <v>42</v>
      </c>
      <c r="C2129" s="1" t="s">
        <v>208</v>
      </c>
      <c r="D2129" s="1" t="s">
        <v>209</v>
      </c>
      <c r="E2129" s="1" t="s">
        <v>208</v>
      </c>
      <c r="F2129" s="1" t="s">
        <v>4909</v>
      </c>
      <c r="G2129" s="1" t="s">
        <v>4925</v>
      </c>
      <c r="H2129" s="1" t="s">
        <v>4926</v>
      </c>
      <c r="I2129" s="1" t="s">
        <v>49</v>
      </c>
      <c r="J2129" s="1" t="s">
        <v>48</v>
      </c>
      <c r="K2129" s="1">
        <v>80</v>
      </c>
      <c r="L2129" s="1">
        <v>0</v>
      </c>
      <c r="M2129" s="1">
        <v>0</v>
      </c>
      <c r="N2129" s="1">
        <v>80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 t="s">
        <v>49</v>
      </c>
      <c r="AA2129" s="1" t="s">
        <v>49</v>
      </c>
      <c r="AB2129" s="1" t="s">
        <v>49</v>
      </c>
      <c r="AC2129" s="1" t="s">
        <v>1551</v>
      </c>
      <c r="AD2129" s="1" t="s">
        <v>1552</v>
      </c>
      <c r="AE2129" s="1" t="s">
        <v>1551</v>
      </c>
      <c r="AF2129" s="1" t="s">
        <v>4912</v>
      </c>
      <c r="AG2129" s="1" t="s">
        <v>53</v>
      </c>
      <c r="AH2129" s="1" t="s">
        <v>49</v>
      </c>
      <c r="AI2129" s="1" t="s">
        <v>54</v>
      </c>
      <c r="AJ2129" s="1">
        <v>1</v>
      </c>
      <c r="AK2129" s="1" t="str">
        <f t="shared" si="33"/>
        <v xml:space="preserve"> =&lt;90</v>
      </c>
      <c r="AL2129" s="1" t="str">
        <f>VLOOKUP(C:C,[1]基础信息!B$1:D$65536,3,0)</f>
        <v>Jug</v>
      </c>
      <c r="AM2129" s="1" t="str">
        <f>VLOOKUP(C:C,[1]基础信息!B$1:E$65536,4,0)</f>
        <v>MXpl</v>
      </c>
      <c r="AN2129" s="1" t="str">
        <f>VLOOKUP(C:C,[1]基础信息!B$1:F$65536,5,0)</f>
        <v>grey</v>
      </c>
    </row>
    <row r="2130" spans="1:40">
      <c r="A2130" s="1" t="s">
        <v>41</v>
      </c>
      <c r="B2130" s="1" t="s">
        <v>42</v>
      </c>
      <c r="C2130" s="1" t="s">
        <v>208</v>
      </c>
      <c r="D2130" s="1" t="s">
        <v>209</v>
      </c>
      <c r="E2130" s="1" t="s">
        <v>208</v>
      </c>
      <c r="F2130" s="1" t="s">
        <v>4909</v>
      </c>
      <c r="G2130" s="1" t="s">
        <v>4927</v>
      </c>
      <c r="H2130" s="1" t="s">
        <v>4928</v>
      </c>
      <c r="I2130" s="1" t="s">
        <v>49</v>
      </c>
      <c r="J2130" s="1" t="s">
        <v>48</v>
      </c>
      <c r="K2130" s="1">
        <v>80</v>
      </c>
      <c r="L2130" s="1">
        <v>0</v>
      </c>
      <c r="M2130" s="1">
        <v>0</v>
      </c>
      <c r="N2130" s="1">
        <v>80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 t="s">
        <v>49</v>
      </c>
      <c r="AA2130" s="1" t="s">
        <v>49</v>
      </c>
      <c r="AB2130" s="1" t="s">
        <v>49</v>
      </c>
      <c r="AC2130" s="1" t="s">
        <v>1551</v>
      </c>
      <c r="AD2130" s="1" t="s">
        <v>1552</v>
      </c>
      <c r="AE2130" s="1" t="s">
        <v>1551</v>
      </c>
      <c r="AF2130" s="1" t="s">
        <v>4912</v>
      </c>
      <c r="AG2130" s="1" t="s">
        <v>53</v>
      </c>
      <c r="AH2130" s="1" t="s">
        <v>49</v>
      </c>
      <c r="AI2130" s="1" t="s">
        <v>54</v>
      </c>
      <c r="AJ2130" s="1">
        <v>1</v>
      </c>
      <c r="AK2130" s="1" t="str">
        <f t="shared" si="33"/>
        <v xml:space="preserve"> =&lt;90</v>
      </c>
      <c r="AL2130" s="1" t="str">
        <f>VLOOKUP(C:C,[1]基础信息!B$1:D$65536,3,0)</f>
        <v>Jug</v>
      </c>
      <c r="AM2130" s="1" t="str">
        <f>VLOOKUP(C:C,[1]基础信息!B$1:E$65536,4,0)</f>
        <v>MXpl</v>
      </c>
      <c r="AN2130" s="1" t="str">
        <f>VLOOKUP(C:C,[1]基础信息!B$1:F$65536,5,0)</f>
        <v>grey</v>
      </c>
    </row>
    <row r="2131" spans="1:40">
      <c r="A2131" s="1" t="s">
        <v>41</v>
      </c>
      <c r="B2131" s="1" t="s">
        <v>42</v>
      </c>
      <c r="C2131" s="1" t="s">
        <v>208</v>
      </c>
      <c r="D2131" s="1" t="s">
        <v>209</v>
      </c>
      <c r="E2131" s="1" t="s">
        <v>208</v>
      </c>
      <c r="F2131" s="1" t="s">
        <v>4909</v>
      </c>
      <c r="G2131" s="1" t="s">
        <v>4929</v>
      </c>
      <c r="H2131" s="1" t="s">
        <v>4930</v>
      </c>
      <c r="I2131" s="1" t="s">
        <v>49</v>
      </c>
      <c r="J2131" s="1" t="s">
        <v>48</v>
      </c>
      <c r="K2131" s="1">
        <v>80</v>
      </c>
      <c r="L2131" s="1">
        <v>0</v>
      </c>
      <c r="M2131" s="1">
        <v>0</v>
      </c>
      <c r="N2131" s="1">
        <v>80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 t="s">
        <v>49</v>
      </c>
      <c r="AA2131" s="1" t="s">
        <v>49</v>
      </c>
      <c r="AB2131" s="1" t="s">
        <v>49</v>
      </c>
      <c r="AC2131" s="1" t="s">
        <v>1551</v>
      </c>
      <c r="AD2131" s="1" t="s">
        <v>1552</v>
      </c>
      <c r="AE2131" s="1" t="s">
        <v>1551</v>
      </c>
      <c r="AF2131" s="1" t="s">
        <v>4912</v>
      </c>
      <c r="AG2131" s="1" t="s">
        <v>53</v>
      </c>
      <c r="AH2131" s="1" t="s">
        <v>49</v>
      </c>
      <c r="AI2131" s="1" t="s">
        <v>54</v>
      </c>
      <c r="AJ2131" s="1">
        <v>1</v>
      </c>
      <c r="AK2131" s="1" t="str">
        <f t="shared" si="33"/>
        <v xml:space="preserve"> =&lt;90</v>
      </c>
      <c r="AL2131" s="1" t="str">
        <f>VLOOKUP(C:C,[1]基础信息!B$1:D$65536,3,0)</f>
        <v>Jug</v>
      </c>
      <c r="AM2131" s="1" t="str">
        <f>VLOOKUP(C:C,[1]基础信息!B$1:E$65536,4,0)</f>
        <v>MXpl</v>
      </c>
      <c r="AN2131" s="1" t="str">
        <f>VLOOKUP(C:C,[1]基础信息!B$1:F$65536,5,0)</f>
        <v>grey</v>
      </c>
    </row>
    <row r="2132" spans="1:40">
      <c r="A2132" s="1" t="s">
        <v>41</v>
      </c>
      <c r="B2132" s="1" t="s">
        <v>42</v>
      </c>
      <c r="C2132" s="1" t="s">
        <v>208</v>
      </c>
      <c r="D2132" s="1" t="s">
        <v>209</v>
      </c>
      <c r="E2132" s="1" t="s">
        <v>208</v>
      </c>
      <c r="F2132" s="1" t="s">
        <v>4909</v>
      </c>
      <c r="G2132" s="1" t="s">
        <v>4931</v>
      </c>
      <c r="H2132" s="1" t="s">
        <v>4932</v>
      </c>
      <c r="I2132" s="1" t="s">
        <v>49</v>
      </c>
      <c r="J2132" s="1" t="s">
        <v>48</v>
      </c>
      <c r="K2132" s="1">
        <v>80</v>
      </c>
      <c r="L2132" s="1">
        <v>0</v>
      </c>
      <c r="M2132" s="1">
        <v>0</v>
      </c>
      <c r="N2132" s="1">
        <v>80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 t="s">
        <v>49</v>
      </c>
      <c r="AA2132" s="1" t="s">
        <v>49</v>
      </c>
      <c r="AB2132" s="1" t="s">
        <v>49</v>
      </c>
      <c r="AC2132" s="1" t="s">
        <v>1551</v>
      </c>
      <c r="AD2132" s="1" t="s">
        <v>1552</v>
      </c>
      <c r="AE2132" s="1" t="s">
        <v>1551</v>
      </c>
      <c r="AF2132" s="1" t="s">
        <v>4912</v>
      </c>
      <c r="AG2132" s="1" t="s">
        <v>53</v>
      </c>
      <c r="AH2132" s="1" t="s">
        <v>49</v>
      </c>
      <c r="AI2132" s="1" t="s">
        <v>54</v>
      </c>
      <c r="AJ2132" s="1">
        <v>1</v>
      </c>
      <c r="AK2132" s="1" t="str">
        <f t="shared" si="33"/>
        <v xml:space="preserve"> =&lt;90</v>
      </c>
      <c r="AL2132" s="1" t="str">
        <f>VLOOKUP(C:C,[1]基础信息!B$1:D$65536,3,0)</f>
        <v>Jug</v>
      </c>
      <c r="AM2132" s="1" t="str">
        <f>VLOOKUP(C:C,[1]基础信息!B$1:E$65536,4,0)</f>
        <v>MXpl</v>
      </c>
      <c r="AN2132" s="1" t="str">
        <f>VLOOKUP(C:C,[1]基础信息!B$1:F$65536,5,0)</f>
        <v>grey</v>
      </c>
    </row>
    <row r="2133" spans="1:40">
      <c r="A2133" s="1" t="s">
        <v>41</v>
      </c>
      <c r="B2133" s="1" t="s">
        <v>42</v>
      </c>
      <c r="C2133" s="1" t="s">
        <v>208</v>
      </c>
      <c r="D2133" s="1" t="s">
        <v>209</v>
      </c>
      <c r="E2133" s="1" t="s">
        <v>208</v>
      </c>
      <c r="F2133" s="1" t="s">
        <v>4909</v>
      </c>
      <c r="G2133" s="1" t="s">
        <v>4933</v>
      </c>
      <c r="H2133" s="1" t="s">
        <v>4934</v>
      </c>
      <c r="I2133" s="1" t="s">
        <v>49</v>
      </c>
      <c r="J2133" s="1" t="s">
        <v>48</v>
      </c>
      <c r="K2133" s="1">
        <v>80</v>
      </c>
      <c r="L2133" s="1">
        <v>0</v>
      </c>
      <c r="M2133" s="1">
        <v>0</v>
      </c>
      <c r="N2133" s="1">
        <v>80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 t="s">
        <v>49</v>
      </c>
      <c r="AA2133" s="1" t="s">
        <v>49</v>
      </c>
      <c r="AB2133" s="1" t="s">
        <v>49</v>
      </c>
      <c r="AC2133" s="1" t="s">
        <v>1551</v>
      </c>
      <c r="AD2133" s="1" t="s">
        <v>1552</v>
      </c>
      <c r="AE2133" s="1" t="s">
        <v>1551</v>
      </c>
      <c r="AF2133" s="1" t="s">
        <v>4912</v>
      </c>
      <c r="AG2133" s="1" t="s">
        <v>53</v>
      </c>
      <c r="AH2133" s="1" t="s">
        <v>49</v>
      </c>
      <c r="AI2133" s="1" t="s">
        <v>54</v>
      </c>
      <c r="AJ2133" s="1">
        <v>1</v>
      </c>
      <c r="AK2133" s="1" t="str">
        <f t="shared" si="33"/>
        <v xml:space="preserve"> =&lt;90</v>
      </c>
      <c r="AL2133" s="1" t="str">
        <f>VLOOKUP(C:C,[1]基础信息!B$1:D$65536,3,0)</f>
        <v>Jug</v>
      </c>
      <c r="AM2133" s="1" t="str">
        <f>VLOOKUP(C:C,[1]基础信息!B$1:E$65536,4,0)</f>
        <v>MXpl</v>
      </c>
      <c r="AN2133" s="1" t="str">
        <f>VLOOKUP(C:C,[1]基础信息!B$1:F$65536,5,0)</f>
        <v>grey</v>
      </c>
    </row>
    <row r="2134" spans="1:40">
      <c r="A2134" s="1" t="s">
        <v>41</v>
      </c>
      <c r="B2134" s="1" t="s">
        <v>42</v>
      </c>
      <c r="C2134" s="1" t="s">
        <v>208</v>
      </c>
      <c r="D2134" s="1" t="s">
        <v>209</v>
      </c>
      <c r="E2134" s="1" t="s">
        <v>208</v>
      </c>
      <c r="F2134" s="1" t="s">
        <v>4909</v>
      </c>
      <c r="G2134" s="1" t="s">
        <v>4935</v>
      </c>
      <c r="H2134" s="1" t="s">
        <v>4936</v>
      </c>
      <c r="I2134" s="1" t="s">
        <v>49</v>
      </c>
      <c r="J2134" s="1" t="s">
        <v>48</v>
      </c>
      <c r="K2134" s="1">
        <v>80</v>
      </c>
      <c r="L2134" s="1">
        <v>0</v>
      </c>
      <c r="M2134" s="1">
        <v>0</v>
      </c>
      <c r="N2134" s="1">
        <v>80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 t="s">
        <v>49</v>
      </c>
      <c r="AA2134" s="1" t="s">
        <v>49</v>
      </c>
      <c r="AB2134" s="1" t="s">
        <v>49</v>
      </c>
      <c r="AC2134" s="1" t="s">
        <v>1551</v>
      </c>
      <c r="AD2134" s="1" t="s">
        <v>1552</v>
      </c>
      <c r="AE2134" s="1" t="s">
        <v>1551</v>
      </c>
      <c r="AF2134" s="1" t="s">
        <v>4912</v>
      </c>
      <c r="AG2134" s="1" t="s">
        <v>53</v>
      </c>
      <c r="AH2134" s="1" t="s">
        <v>49</v>
      </c>
      <c r="AI2134" s="1" t="s">
        <v>54</v>
      </c>
      <c r="AJ2134" s="1">
        <v>1</v>
      </c>
      <c r="AK2134" s="1" t="str">
        <f t="shared" si="33"/>
        <v xml:space="preserve"> =&lt;90</v>
      </c>
      <c r="AL2134" s="1" t="str">
        <f>VLOOKUP(C:C,[1]基础信息!B$1:D$65536,3,0)</f>
        <v>Jug</v>
      </c>
      <c r="AM2134" s="1" t="str">
        <f>VLOOKUP(C:C,[1]基础信息!B$1:E$65536,4,0)</f>
        <v>MXpl</v>
      </c>
      <c r="AN2134" s="1" t="str">
        <f>VLOOKUP(C:C,[1]基础信息!B$1:F$65536,5,0)</f>
        <v>grey</v>
      </c>
    </row>
    <row r="2135" spans="1:40">
      <c r="A2135" s="1" t="s">
        <v>41</v>
      </c>
      <c r="B2135" s="1" t="s">
        <v>42</v>
      </c>
      <c r="C2135" s="1" t="s">
        <v>208</v>
      </c>
      <c r="D2135" s="1" t="s">
        <v>209</v>
      </c>
      <c r="E2135" s="1" t="s">
        <v>208</v>
      </c>
      <c r="F2135" s="1" t="s">
        <v>4909</v>
      </c>
      <c r="G2135" s="1" t="s">
        <v>4937</v>
      </c>
      <c r="H2135" s="1" t="s">
        <v>4938</v>
      </c>
      <c r="I2135" s="1" t="s">
        <v>49</v>
      </c>
      <c r="J2135" s="1" t="s">
        <v>48</v>
      </c>
      <c r="K2135" s="1">
        <v>80</v>
      </c>
      <c r="L2135" s="1">
        <v>0</v>
      </c>
      <c r="M2135" s="1">
        <v>0</v>
      </c>
      <c r="N2135" s="1">
        <v>80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 t="s">
        <v>49</v>
      </c>
      <c r="AA2135" s="1" t="s">
        <v>49</v>
      </c>
      <c r="AB2135" s="1" t="s">
        <v>49</v>
      </c>
      <c r="AC2135" s="1" t="s">
        <v>1551</v>
      </c>
      <c r="AD2135" s="1" t="s">
        <v>1552</v>
      </c>
      <c r="AE2135" s="1" t="s">
        <v>1551</v>
      </c>
      <c r="AF2135" s="1" t="s">
        <v>4912</v>
      </c>
      <c r="AG2135" s="1" t="s">
        <v>53</v>
      </c>
      <c r="AH2135" s="1" t="s">
        <v>49</v>
      </c>
      <c r="AI2135" s="1" t="s">
        <v>54</v>
      </c>
      <c r="AJ2135" s="1">
        <v>1</v>
      </c>
      <c r="AK2135" s="1" t="str">
        <f t="shared" si="33"/>
        <v xml:space="preserve"> =&lt;90</v>
      </c>
      <c r="AL2135" s="1" t="str">
        <f>VLOOKUP(C:C,[1]基础信息!B$1:D$65536,3,0)</f>
        <v>Jug</v>
      </c>
      <c r="AM2135" s="1" t="str">
        <f>VLOOKUP(C:C,[1]基础信息!B$1:E$65536,4,0)</f>
        <v>MXpl</v>
      </c>
      <c r="AN2135" s="1" t="str">
        <f>VLOOKUP(C:C,[1]基础信息!B$1:F$65536,5,0)</f>
        <v>grey</v>
      </c>
    </row>
    <row r="2136" spans="1:40">
      <c r="A2136" s="1" t="s">
        <v>41</v>
      </c>
      <c r="B2136" s="1" t="s">
        <v>42</v>
      </c>
      <c r="C2136" s="1" t="s">
        <v>208</v>
      </c>
      <c r="D2136" s="1" t="s">
        <v>209</v>
      </c>
      <c r="E2136" s="1" t="s">
        <v>208</v>
      </c>
      <c r="F2136" s="1" t="s">
        <v>4909</v>
      </c>
      <c r="G2136" s="1" t="s">
        <v>4939</v>
      </c>
      <c r="H2136" s="1" t="s">
        <v>4940</v>
      </c>
      <c r="I2136" s="1" t="s">
        <v>49</v>
      </c>
      <c r="J2136" s="1" t="s">
        <v>48</v>
      </c>
      <c r="K2136" s="1">
        <v>80</v>
      </c>
      <c r="L2136" s="1">
        <v>0</v>
      </c>
      <c r="M2136" s="1">
        <v>0</v>
      </c>
      <c r="N2136" s="1">
        <v>80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 t="s">
        <v>49</v>
      </c>
      <c r="AA2136" s="1" t="s">
        <v>49</v>
      </c>
      <c r="AB2136" s="1" t="s">
        <v>49</v>
      </c>
      <c r="AC2136" s="1" t="s">
        <v>1551</v>
      </c>
      <c r="AD2136" s="1" t="s">
        <v>1552</v>
      </c>
      <c r="AE2136" s="1" t="s">
        <v>1551</v>
      </c>
      <c r="AF2136" s="1" t="s">
        <v>4912</v>
      </c>
      <c r="AG2136" s="1" t="s">
        <v>53</v>
      </c>
      <c r="AH2136" s="1" t="s">
        <v>49</v>
      </c>
      <c r="AI2136" s="1" t="s">
        <v>54</v>
      </c>
      <c r="AJ2136" s="1">
        <v>1</v>
      </c>
      <c r="AK2136" s="1" t="str">
        <f t="shared" si="33"/>
        <v xml:space="preserve"> =&lt;90</v>
      </c>
      <c r="AL2136" s="1" t="str">
        <f>VLOOKUP(C:C,[1]基础信息!B$1:D$65536,3,0)</f>
        <v>Jug</v>
      </c>
      <c r="AM2136" s="1" t="str">
        <f>VLOOKUP(C:C,[1]基础信息!B$1:E$65536,4,0)</f>
        <v>MXpl</v>
      </c>
      <c r="AN2136" s="1" t="str">
        <f>VLOOKUP(C:C,[1]基础信息!B$1:F$65536,5,0)</f>
        <v>grey</v>
      </c>
    </row>
    <row r="2137" spans="1:40">
      <c r="A2137" s="1" t="s">
        <v>41</v>
      </c>
      <c r="B2137" s="1" t="s">
        <v>42</v>
      </c>
      <c r="C2137" s="1" t="s">
        <v>208</v>
      </c>
      <c r="D2137" s="1" t="s">
        <v>209</v>
      </c>
      <c r="E2137" s="1" t="s">
        <v>208</v>
      </c>
      <c r="F2137" s="1" t="s">
        <v>4909</v>
      </c>
      <c r="G2137" s="1" t="s">
        <v>4941</v>
      </c>
      <c r="H2137" s="1" t="s">
        <v>4942</v>
      </c>
      <c r="I2137" s="1" t="s">
        <v>49</v>
      </c>
      <c r="J2137" s="1" t="s">
        <v>48</v>
      </c>
      <c r="K2137" s="1">
        <v>80</v>
      </c>
      <c r="L2137" s="1">
        <v>0</v>
      </c>
      <c r="M2137" s="1">
        <v>0</v>
      </c>
      <c r="N2137" s="1">
        <v>80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 t="s">
        <v>49</v>
      </c>
      <c r="AA2137" s="1" t="s">
        <v>49</v>
      </c>
      <c r="AB2137" s="1" t="s">
        <v>49</v>
      </c>
      <c r="AC2137" s="1" t="s">
        <v>1551</v>
      </c>
      <c r="AD2137" s="1" t="s">
        <v>1552</v>
      </c>
      <c r="AE2137" s="1" t="s">
        <v>1551</v>
      </c>
      <c r="AF2137" s="1" t="s">
        <v>4912</v>
      </c>
      <c r="AG2137" s="1" t="s">
        <v>53</v>
      </c>
      <c r="AH2137" s="1" t="s">
        <v>49</v>
      </c>
      <c r="AI2137" s="1" t="s">
        <v>54</v>
      </c>
      <c r="AJ2137" s="1">
        <v>1</v>
      </c>
      <c r="AK2137" s="1" t="str">
        <f t="shared" si="33"/>
        <v xml:space="preserve"> =&lt;90</v>
      </c>
      <c r="AL2137" s="1" t="str">
        <f>VLOOKUP(C:C,[1]基础信息!B$1:D$65536,3,0)</f>
        <v>Jug</v>
      </c>
      <c r="AM2137" s="1" t="str">
        <f>VLOOKUP(C:C,[1]基础信息!B$1:E$65536,4,0)</f>
        <v>MXpl</v>
      </c>
      <c r="AN2137" s="1" t="str">
        <f>VLOOKUP(C:C,[1]基础信息!B$1:F$65536,5,0)</f>
        <v>grey</v>
      </c>
    </row>
    <row r="2138" spans="1:40">
      <c r="A2138" s="1" t="s">
        <v>41</v>
      </c>
      <c r="B2138" s="1" t="s">
        <v>42</v>
      </c>
      <c r="C2138" s="1" t="s">
        <v>208</v>
      </c>
      <c r="D2138" s="1" t="s">
        <v>209</v>
      </c>
      <c r="E2138" s="1" t="s">
        <v>208</v>
      </c>
      <c r="F2138" s="1" t="s">
        <v>4909</v>
      </c>
      <c r="G2138" s="1" t="s">
        <v>4943</v>
      </c>
      <c r="H2138" s="1" t="s">
        <v>4944</v>
      </c>
      <c r="I2138" s="1" t="s">
        <v>49</v>
      </c>
      <c r="J2138" s="1" t="s">
        <v>48</v>
      </c>
      <c r="K2138" s="1">
        <v>80</v>
      </c>
      <c r="L2138" s="1">
        <v>0</v>
      </c>
      <c r="M2138" s="1">
        <v>0</v>
      </c>
      <c r="N2138" s="1">
        <v>80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 t="s">
        <v>49</v>
      </c>
      <c r="AA2138" s="1" t="s">
        <v>49</v>
      </c>
      <c r="AB2138" s="1" t="s">
        <v>49</v>
      </c>
      <c r="AC2138" s="1" t="s">
        <v>1551</v>
      </c>
      <c r="AD2138" s="1" t="s">
        <v>1552</v>
      </c>
      <c r="AE2138" s="1" t="s">
        <v>1551</v>
      </c>
      <c r="AF2138" s="1" t="s">
        <v>4912</v>
      </c>
      <c r="AG2138" s="1" t="s">
        <v>53</v>
      </c>
      <c r="AH2138" s="1" t="s">
        <v>49</v>
      </c>
      <c r="AI2138" s="1" t="s">
        <v>54</v>
      </c>
      <c r="AJ2138" s="1">
        <v>1</v>
      </c>
      <c r="AK2138" s="1" t="str">
        <f t="shared" si="33"/>
        <v xml:space="preserve"> =&lt;90</v>
      </c>
      <c r="AL2138" s="1" t="str">
        <f>VLOOKUP(C:C,[1]基础信息!B$1:D$65536,3,0)</f>
        <v>Jug</v>
      </c>
      <c r="AM2138" s="1" t="str">
        <f>VLOOKUP(C:C,[1]基础信息!B$1:E$65536,4,0)</f>
        <v>MXpl</v>
      </c>
      <c r="AN2138" s="1" t="str">
        <f>VLOOKUP(C:C,[1]基础信息!B$1:F$65536,5,0)</f>
        <v>grey</v>
      </c>
    </row>
    <row r="2139" spans="1:40">
      <c r="A2139" s="1" t="s">
        <v>41</v>
      </c>
      <c r="B2139" s="1" t="s">
        <v>42</v>
      </c>
      <c r="C2139" s="1" t="s">
        <v>208</v>
      </c>
      <c r="D2139" s="1" t="s">
        <v>209</v>
      </c>
      <c r="E2139" s="1" t="s">
        <v>208</v>
      </c>
      <c r="F2139" s="1" t="s">
        <v>4909</v>
      </c>
      <c r="G2139" s="1" t="s">
        <v>4945</v>
      </c>
      <c r="H2139" s="1" t="s">
        <v>4946</v>
      </c>
      <c r="I2139" s="1" t="s">
        <v>49</v>
      </c>
      <c r="J2139" s="1" t="s">
        <v>48</v>
      </c>
      <c r="K2139" s="1">
        <v>80</v>
      </c>
      <c r="L2139" s="1">
        <v>0</v>
      </c>
      <c r="M2139" s="1">
        <v>0</v>
      </c>
      <c r="N2139" s="1">
        <v>80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 t="s">
        <v>49</v>
      </c>
      <c r="AA2139" s="1" t="s">
        <v>49</v>
      </c>
      <c r="AB2139" s="1" t="s">
        <v>49</v>
      </c>
      <c r="AC2139" s="1" t="s">
        <v>1551</v>
      </c>
      <c r="AD2139" s="1" t="s">
        <v>1552</v>
      </c>
      <c r="AE2139" s="1" t="s">
        <v>1551</v>
      </c>
      <c r="AF2139" s="1" t="s">
        <v>4912</v>
      </c>
      <c r="AG2139" s="1" t="s">
        <v>53</v>
      </c>
      <c r="AH2139" s="1" t="s">
        <v>49</v>
      </c>
      <c r="AI2139" s="1" t="s">
        <v>54</v>
      </c>
      <c r="AJ2139" s="1">
        <v>1</v>
      </c>
      <c r="AK2139" s="1" t="str">
        <f t="shared" si="33"/>
        <v xml:space="preserve"> =&lt;90</v>
      </c>
      <c r="AL2139" s="1" t="str">
        <f>VLOOKUP(C:C,[1]基础信息!B$1:D$65536,3,0)</f>
        <v>Jug</v>
      </c>
      <c r="AM2139" s="1" t="str">
        <f>VLOOKUP(C:C,[1]基础信息!B$1:E$65536,4,0)</f>
        <v>MXpl</v>
      </c>
      <c r="AN2139" s="1" t="str">
        <f>VLOOKUP(C:C,[1]基础信息!B$1:F$65536,5,0)</f>
        <v>grey</v>
      </c>
    </row>
    <row r="2140" spans="1:40">
      <c r="A2140" s="1" t="s">
        <v>41</v>
      </c>
      <c r="B2140" s="1" t="s">
        <v>42</v>
      </c>
      <c r="C2140" s="1" t="s">
        <v>208</v>
      </c>
      <c r="D2140" s="1" t="s">
        <v>209</v>
      </c>
      <c r="E2140" s="1" t="s">
        <v>208</v>
      </c>
      <c r="F2140" s="1" t="s">
        <v>4909</v>
      </c>
      <c r="G2140" s="1" t="s">
        <v>4947</v>
      </c>
      <c r="H2140" s="1" t="s">
        <v>4948</v>
      </c>
      <c r="I2140" s="1" t="s">
        <v>49</v>
      </c>
      <c r="J2140" s="1" t="s">
        <v>48</v>
      </c>
      <c r="K2140" s="1">
        <v>80</v>
      </c>
      <c r="L2140" s="1">
        <v>0</v>
      </c>
      <c r="M2140" s="1">
        <v>0</v>
      </c>
      <c r="N2140" s="1">
        <v>80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 t="s">
        <v>49</v>
      </c>
      <c r="AA2140" s="1" t="s">
        <v>49</v>
      </c>
      <c r="AB2140" s="1" t="s">
        <v>49</v>
      </c>
      <c r="AC2140" s="1" t="s">
        <v>1551</v>
      </c>
      <c r="AD2140" s="1" t="s">
        <v>1552</v>
      </c>
      <c r="AE2140" s="1" t="s">
        <v>1551</v>
      </c>
      <c r="AF2140" s="1" t="s">
        <v>4912</v>
      </c>
      <c r="AG2140" s="1" t="s">
        <v>53</v>
      </c>
      <c r="AH2140" s="1" t="s">
        <v>49</v>
      </c>
      <c r="AI2140" s="1" t="s">
        <v>54</v>
      </c>
      <c r="AJ2140" s="1">
        <v>1</v>
      </c>
      <c r="AK2140" s="1" t="str">
        <f t="shared" si="33"/>
        <v xml:space="preserve"> =&lt;90</v>
      </c>
      <c r="AL2140" s="1" t="str">
        <f>VLOOKUP(C:C,[1]基础信息!B$1:D$65536,3,0)</f>
        <v>Jug</v>
      </c>
      <c r="AM2140" s="1" t="str">
        <f>VLOOKUP(C:C,[1]基础信息!B$1:E$65536,4,0)</f>
        <v>MXpl</v>
      </c>
      <c r="AN2140" s="1" t="str">
        <f>VLOOKUP(C:C,[1]基础信息!B$1:F$65536,5,0)</f>
        <v>grey</v>
      </c>
    </row>
    <row r="2141" spans="1:40">
      <c r="A2141" s="1" t="s">
        <v>41</v>
      </c>
      <c r="B2141" s="1" t="s">
        <v>42</v>
      </c>
      <c r="C2141" s="1" t="s">
        <v>208</v>
      </c>
      <c r="D2141" s="1" t="s">
        <v>209</v>
      </c>
      <c r="E2141" s="1" t="s">
        <v>208</v>
      </c>
      <c r="F2141" s="1" t="s">
        <v>4909</v>
      </c>
      <c r="G2141" s="1" t="s">
        <v>4949</v>
      </c>
      <c r="H2141" s="1" t="s">
        <v>4950</v>
      </c>
      <c r="I2141" s="1" t="s">
        <v>49</v>
      </c>
      <c r="J2141" s="1" t="s">
        <v>48</v>
      </c>
      <c r="K2141" s="1">
        <v>80</v>
      </c>
      <c r="L2141" s="1">
        <v>0</v>
      </c>
      <c r="M2141" s="1">
        <v>0</v>
      </c>
      <c r="N2141" s="1">
        <v>80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 t="s">
        <v>49</v>
      </c>
      <c r="AA2141" s="1" t="s">
        <v>49</v>
      </c>
      <c r="AB2141" s="1" t="s">
        <v>49</v>
      </c>
      <c r="AC2141" s="1" t="s">
        <v>1551</v>
      </c>
      <c r="AD2141" s="1" t="s">
        <v>1552</v>
      </c>
      <c r="AE2141" s="1" t="s">
        <v>1551</v>
      </c>
      <c r="AF2141" s="1" t="s">
        <v>4912</v>
      </c>
      <c r="AG2141" s="1" t="s">
        <v>53</v>
      </c>
      <c r="AH2141" s="1" t="s">
        <v>49</v>
      </c>
      <c r="AI2141" s="1" t="s">
        <v>54</v>
      </c>
      <c r="AJ2141" s="1">
        <v>1</v>
      </c>
      <c r="AK2141" s="1" t="str">
        <f t="shared" si="33"/>
        <v xml:space="preserve"> =&lt;90</v>
      </c>
      <c r="AL2141" s="1" t="str">
        <f>VLOOKUP(C:C,[1]基础信息!B$1:D$65536,3,0)</f>
        <v>Jug</v>
      </c>
      <c r="AM2141" s="1" t="str">
        <f>VLOOKUP(C:C,[1]基础信息!B$1:E$65536,4,0)</f>
        <v>MXpl</v>
      </c>
      <c r="AN2141" s="1" t="str">
        <f>VLOOKUP(C:C,[1]基础信息!B$1:F$65536,5,0)</f>
        <v>grey</v>
      </c>
    </row>
    <row r="2142" spans="1:40">
      <c r="A2142" s="1" t="s">
        <v>41</v>
      </c>
      <c r="B2142" s="1" t="s">
        <v>42</v>
      </c>
      <c r="C2142" s="1" t="s">
        <v>208</v>
      </c>
      <c r="D2142" s="1" t="s">
        <v>209</v>
      </c>
      <c r="E2142" s="1" t="s">
        <v>208</v>
      </c>
      <c r="F2142" s="1" t="s">
        <v>4909</v>
      </c>
      <c r="G2142" s="1" t="s">
        <v>4951</v>
      </c>
      <c r="H2142" s="1" t="s">
        <v>4952</v>
      </c>
      <c r="I2142" s="1" t="s">
        <v>49</v>
      </c>
      <c r="J2142" s="1" t="s">
        <v>48</v>
      </c>
      <c r="K2142" s="1">
        <v>80</v>
      </c>
      <c r="L2142" s="1">
        <v>0</v>
      </c>
      <c r="M2142" s="1">
        <v>0</v>
      </c>
      <c r="N2142" s="1">
        <v>80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 t="s">
        <v>49</v>
      </c>
      <c r="AA2142" s="1" t="s">
        <v>49</v>
      </c>
      <c r="AB2142" s="1" t="s">
        <v>49</v>
      </c>
      <c r="AC2142" s="1" t="s">
        <v>1551</v>
      </c>
      <c r="AD2142" s="1" t="s">
        <v>1552</v>
      </c>
      <c r="AE2142" s="1" t="s">
        <v>1551</v>
      </c>
      <c r="AF2142" s="1" t="s">
        <v>4912</v>
      </c>
      <c r="AG2142" s="1" t="s">
        <v>53</v>
      </c>
      <c r="AH2142" s="1" t="s">
        <v>49</v>
      </c>
      <c r="AI2142" s="1" t="s">
        <v>54</v>
      </c>
      <c r="AJ2142" s="1">
        <v>1</v>
      </c>
      <c r="AK2142" s="1" t="str">
        <f t="shared" si="33"/>
        <v xml:space="preserve"> =&lt;90</v>
      </c>
      <c r="AL2142" s="1" t="str">
        <f>VLOOKUP(C:C,[1]基础信息!B$1:D$65536,3,0)</f>
        <v>Jug</v>
      </c>
      <c r="AM2142" s="1" t="str">
        <f>VLOOKUP(C:C,[1]基础信息!B$1:E$65536,4,0)</f>
        <v>MXpl</v>
      </c>
      <c r="AN2142" s="1" t="str">
        <f>VLOOKUP(C:C,[1]基础信息!B$1:F$65536,5,0)</f>
        <v>grey</v>
      </c>
    </row>
    <row r="2143" spans="1:40">
      <c r="A2143" s="1" t="s">
        <v>41</v>
      </c>
      <c r="B2143" s="1" t="s">
        <v>42</v>
      </c>
      <c r="C2143" s="1" t="s">
        <v>208</v>
      </c>
      <c r="D2143" s="1" t="s">
        <v>209</v>
      </c>
      <c r="E2143" s="1" t="s">
        <v>208</v>
      </c>
      <c r="F2143" s="1" t="s">
        <v>4909</v>
      </c>
      <c r="G2143" s="1" t="s">
        <v>4953</v>
      </c>
      <c r="H2143" s="1" t="s">
        <v>4954</v>
      </c>
      <c r="I2143" s="1" t="s">
        <v>49</v>
      </c>
      <c r="J2143" s="1" t="s">
        <v>48</v>
      </c>
      <c r="K2143" s="1">
        <v>80</v>
      </c>
      <c r="L2143" s="1">
        <v>0</v>
      </c>
      <c r="M2143" s="1">
        <v>0</v>
      </c>
      <c r="N2143" s="1">
        <v>80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 t="s">
        <v>49</v>
      </c>
      <c r="AA2143" s="1" t="s">
        <v>49</v>
      </c>
      <c r="AB2143" s="1" t="s">
        <v>49</v>
      </c>
      <c r="AC2143" s="1" t="s">
        <v>1551</v>
      </c>
      <c r="AD2143" s="1" t="s">
        <v>1552</v>
      </c>
      <c r="AE2143" s="1" t="s">
        <v>1551</v>
      </c>
      <c r="AF2143" s="1" t="s">
        <v>4912</v>
      </c>
      <c r="AG2143" s="1" t="s">
        <v>53</v>
      </c>
      <c r="AH2143" s="1" t="s">
        <v>49</v>
      </c>
      <c r="AI2143" s="1" t="s">
        <v>54</v>
      </c>
      <c r="AJ2143" s="1">
        <v>1</v>
      </c>
      <c r="AK2143" s="1" t="str">
        <f t="shared" si="33"/>
        <v xml:space="preserve"> =&lt;90</v>
      </c>
      <c r="AL2143" s="1" t="str">
        <f>VLOOKUP(C:C,[1]基础信息!B$1:D$65536,3,0)</f>
        <v>Jug</v>
      </c>
      <c r="AM2143" s="1" t="str">
        <f>VLOOKUP(C:C,[1]基础信息!B$1:E$65536,4,0)</f>
        <v>MXpl</v>
      </c>
      <c r="AN2143" s="1" t="str">
        <f>VLOOKUP(C:C,[1]基础信息!B$1:F$65536,5,0)</f>
        <v>grey</v>
      </c>
    </row>
    <row r="2144" spans="1:40">
      <c r="A2144" s="1" t="s">
        <v>41</v>
      </c>
      <c r="B2144" s="1" t="s">
        <v>42</v>
      </c>
      <c r="C2144" s="1" t="s">
        <v>208</v>
      </c>
      <c r="D2144" s="1" t="s">
        <v>209</v>
      </c>
      <c r="E2144" s="1" t="s">
        <v>208</v>
      </c>
      <c r="F2144" s="1" t="s">
        <v>4909</v>
      </c>
      <c r="G2144" s="1" t="s">
        <v>4955</v>
      </c>
      <c r="H2144" s="1" t="s">
        <v>4956</v>
      </c>
      <c r="I2144" s="1" t="s">
        <v>49</v>
      </c>
      <c r="J2144" s="1" t="s">
        <v>48</v>
      </c>
      <c r="K2144" s="1">
        <v>80</v>
      </c>
      <c r="L2144" s="1">
        <v>0</v>
      </c>
      <c r="M2144" s="1">
        <v>0</v>
      </c>
      <c r="N2144" s="1">
        <v>80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 t="s">
        <v>49</v>
      </c>
      <c r="AA2144" s="1" t="s">
        <v>49</v>
      </c>
      <c r="AB2144" s="1" t="s">
        <v>49</v>
      </c>
      <c r="AC2144" s="1" t="s">
        <v>1551</v>
      </c>
      <c r="AD2144" s="1" t="s">
        <v>1552</v>
      </c>
      <c r="AE2144" s="1" t="s">
        <v>1551</v>
      </c>
      <c r="AF2144" s="1" t="s">
        <v>4912</v>
      </c>
      <c r="AG2144" s="1" t="s">
        <v>53</v>
      </c>
      <c r="AH2144" s="1" t="s">
        <v>49</v>
      </c>
      <c r="AI2144" s="1" t="s">
        <v>54</v>
      </c>
      <c r="AJ2144" s="1">
        <v>1</v>
      </c>
      <c r="AK2144" s="1" t="str">
        <f t="shared" si="33"/>
        <v xml:space="preserve"> =&lt;90</v>
      </c>
      <c r="AL2144" s="1" t="str">
        <f>VLOOKUP(C:C,[1]基础信息!B$1:D$65536,3,0)</f>
        <v>Jug</v>
      </c>
      <c r="AM2144" s="1" t="str">
        <f>VLOOKUP(C:C,[1]基础信息!B$1:E$65536,4,0)</f>
        <v>MXpl</v>
      </c>
      <c r="AN2144" s="1" t="str">
        <f>VLOOKUP(C:C,[1]基础信息!B$1:F$65536,5,0)</f>
        <v>grey</v>
      </c>
    </row>
    <row r="2145" spans="1:40">
      <c r="A2145" s="1" t="s">
        <v>41</v>
      </c>
      <c r="B2145" s="1" t="s">
        <v>42</v>
      </c>
      <c r="C2145" s="1" t="s">
        <v>208</v>
      </c>
      <c r="D2145" s="1" t="s">
        <v>209</v>
      </c>
      <c r="E2145" s="1" t="s">
        <v>208</v>
      </c>
      <c r="F2145" s="1" t="s">
        <v>4909</v>
      </c>
      <c r="G2145" s="1" t="s">
        <v>4957</v>
      </c>
      <c r="H2145" s="1" t="s">
        <v>4958</v>
      </c>
      <c r="I2145" s="1" t="s">
        <v>49</v>
      </c>
      <c r="J2145" s="1" t="s">
        <v>48</v>
      </c>
      <c r="K2145" s="1">
        <v>80</v>
      </c>
      <c r="L2145" s="1">
        <v>0</v>
      </c>
      <c r="M2145" s="1">
        <v>0</v>
      </c>
      <c r="N2145" s="1">
        <v>80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 t="s">
        <v>49</v>
      </c>
      <c r="AA2145" s="1" t="s">
        <v>49</v>
      </c>
      <c r="AB2145" s="1" t="s">
        <v>49</v>
      </c>
      <c r="AC2145" s="1" t="s">
        <v>1551</v>
      </c>
      <c r="AD2145" s="1" t="s">
        <v>1552</v>
      </c>
      <c r="AE2145" s="1" t="s">
        <v>1551</v>
      </c>
      <c r="AF2145" s="1" t="s">
        <v>4912</v>
      </c>
      <c r="AG2145" s="1" t="s">
        <v>53</v>
      </c>
      <c r="AH2145" s="1" t="s">
        <v>49</v>
      </c>
      <c r="AI2145" s="1" t="s">
        <v>54</v>
      </c>
      <c r="AJ2145" s="1">
        <v>1</v>
      </c>
      <c r="AK2145" s="1" t="str">
        <f t="shared" si="33"/>
        <v xml:space="preserve"> =&lt;90</v>
      </c>
      <c r="AL2145" s="1" t="str">
        <f>VLOOKUP(C:C,[1]基础信息!B$1:D$65536,3,0)</f>
        <v>Jug</v>
      </c>
      <c r="AM2145" s="1" t="str">
        <f>VLOOKUP(C:C,[1]基础信息!B$1:E$65536,4,0)</f>
        <v>MXpl</v>
      </c>
      <c r="AN2145" s="1" t="str">
        <f>VLOOKUP(C:C,[1]基础信息!B$1:F$65536,5,0)</f>
        <v>grey</v>
      </c>
    </row>
    <row r="2146" spans="1:40">
      <c r="A2146" s="1" t="s">
        <v>41</v>
      </c>
      <c r="B2146" s="1" t="s">
        <v>42</v>
      </c>
      <c r="C2146" s="1" t="s">
        <v>208</v>
      </c>
      <c r="D2146" s="1" t="s">
        <v>209</v>
      </c>
      <c r="E2146" s="1" t="s">
        <v>208</v>
      </c>
      <c r="F2146" s="1" t="s">
        <v>4909</v>
      </c>
      <c r="G2146" s="1" t="s">
        <v>4959</v>
      </c>
      <c r="H2146" s="1" t="s">
        <v>4960</v>
      </c>
      <c r="I2146" s="1" t="s">
        <v>49</v>
      </c>
      <c r="J2146" s="1" t="s">
        <v>48</v>
      </c>
      <c r="K2146" s="1">
        <v>80</v>
      </c>
      <c r="L2146" s="1">
        <v>0</v>
      </c>
      <c r="M2146" s="1">
        <v>0</v>
      </c>
      <c r="N2146" s="1">
        <v>80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 t="s">
        <v>49</v>
      </c>
      <c r="AA2146" s="1" t="s">
        <v>49</v>
      </c>
      <c r="AB2146" s="1" t="s">
        <v>49</v>
      </c>
      <c r="AC2146" s="1" t="s">
        <v>1551</v>
      </c>
      <c r="AD2146" s="1" t="s">
        <v>1552</v>
      </c>
      <c r="AE2146" s="1" t="s">
        <v>1551</v>
      </c>
      <c r="AF2146" s="1" t="s">
        <v>4912</v>
      </c>
      <c r="AG2146" s="1" t="s">
        <v>53</v>
      </c>
      <c r="AH2146" s="1" t="s">
        <v>49</v>
      </c>
      <c r="AI2146" s="1" t="s">
        <v>54</v>
      </c>
      <c r="AJ2146" s="1">
        <v>1</v>
      </c>
      <c r="AK2146" s="1" t="str">
        <f t="shared" si="33"/>
        <v xml:space="preserve"> =&lt;90</v>
      </c>
      <c r="AL2146" s="1" t="str">
        <f>VLOOKUP(C:C,[1]基础信息!B$1:D$65536,3,0)</f>
        <v>Jug</v>
      </c>
      <c r="AM2146" s="1" t="str">
        <f>VLOOKUP(C:C,[1]基础信息!B$1:E$65536,4,0)</f>
        <v>MXpl</v>
      </c>
      <c r="AN2146" s="1" t="str">
        <f>VLOOKUP(C:C,[1]基础信息!B$1:F$65536,5,0)</f>
        <v>grey</v>
      </c>
    </row>
    <row r="2147" spans="1:40">
      <c r="A2147" s="1" t="s">
        <v>41</v>
      </c>
      <c r="B2147" s="1" t="s">
        <v>42</v>
      </c>
      <c r="C2147" s="1" t="s">
        <v>208</v>
      </c>
      <c r="D2147" s="1" t="s">
        <v>209</v>
      </c>
      <c r="E2147" s="1" t="s">
        <v>208</v>
      </c>
      <c r="F2147" s="1" t="s">
        <v>4909</v>
      </c>
      <c r="G2147" s="1" t="s">
        <v>4961</v>
      </c>
      <c r="H2147" s="1" t="s">
        <v>4962</v>
      </c>
      <c r="I2147" s="1" t="s">
        <v>49</v>
      </c>
      <c r="J2147" s="1" t="s">
        <v>48</v>
      </c>
      <c r="K2147" s="1">
        <v>80</v>
      </c>
      <c r="L2147" s="1">
        <v>0</v>
      </c>
      <c r="M2147" s="1">
        <v>0</v>
      </c>
      <c r="N2147" s="1">
        <v>80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 t="s">
        <v>49</v>
      </c>
      <c r="AA2147" s="1" t="s">
        <v>49</v>
      </c>
      <c r="AB2147" s="1" t="s">
        <v>49</v>
      </c>
      <c r="AC2147" s="1" t="s">
        <v>1551</v>
      </c>
      <c r="AD2147" s="1" t="s">
        <v>1552</v>
      </c>
      <c r="AE2147" s="1" t="s">
        <v>1551</v>
      </c>
      <c r="AF2147" s="1" t="s">
        <v>4912</v>
      </c>
      <c r="AG2147" s="1" t="s">
        <v>53</v>
      </c>
      <c r="AH2147" s="1" t="s">
        <v>49</v>
      </c>
      <c r="AI2147" s="1" t="s">
        <v>54</v>
      </c>
      <c r="AJ2147" s="1">
        <v>1</v>
      </c>
      <c r="AK2147" s="1" t="str">
        <f t="shared" si="33"/>
        <v xml:space="preserve"> =&lt;90</v>
      </c>
      <c r="AL2147" s="1" t="str">
        <f>VLOOKUP(C:C,[1]基础信息!B$1:D$65536,3,0)</f>
        <v>Jug</v>
      </c>
      <c r="AM2147" s="1" t="str">
        <f>VLOOKUP(C:C,[1]基础信息!B$1:E$65536,4,0)</f>
        <v>MXpl</v>
      </c>
      <c r="AN2147" s="1" t="str">
        <f>VLOOKUP(C:C,[1]基础信息!B$1:F$65536,5,0)</f>
        <v>grey</v>
      </c>
    </row>
    <row r="2148" spans="1:40">
      <c r="A2148" s="1" t="s">
        <v>41</v>
      </c>
      <c r="B2148" s="1" t="s">
        <v>42</v>
      </c>
      <c r="C2148" s="1" t="s">
        <v>208</v>
      </c>
      <c r="D2148" s="1" t="s">
        <v>209</v>
      </c>
      <c r="E2148" s="1" t="s">
        <v>208</v>
      </c>
      <c r="F2148" s="1" t="s">
        <v>4909</v>
      </c>
      <c r="G2148" s="1" t="s">
        <v>4963</v>
      </c>
      <c r="H2148" s="1" t="s">
        <v>4964</v>
      </c>
      <c r="I2148" s="1" t="s">
        <v>49</v>
      </c>
      <c r="J2148" s="1" t="s">
        <v>48</v>
      </c>
      <c r="K2148" s="1">
        <v>80</v>
      </c>
      <c r="L2148" s="1">
        <v>0</v>
      </c>
      <c r="M2148" s="1">
        <v>0</v>
      </c>
      <c r="N2148" s="1">
        <v>80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 t="s">
        <v>49</v>
      </c>
      <c r="AA2148" s="1" t="s">
        <v>49</v>
      </c>
      <c r="AB2148" s="1" t="s">
        <v>49</v>
      </c>
      <c r="AC2148" s="1" t="s">
        <v>1551</v>
      </c>
      <c r="AD2148" s="1" t="s">
        <v>1552</v>
      </c>
      <c r="AE2148" s="1" t="s">
        <v>1551</v>
      </c>
      <c r="AF2148" s="1" t="s">
        <v>4912</v>
      </c>
      <c r="AG2148" s="1" t="s">
        <v>53</v>
      </c>
      <c r="AH2148" s="1" t="s">
        <v>49</v>
      </c>
      <c r="AI2148" s="1" t="s">
        <v>54</v>
      </c>
      <c r="AJ2148" s="1">
        <v>1</v>
      </c>
      <c r="AK2148" s="1" t="str">
        <f t="shared" si="33"/>
        <v xml:space="preserve"> =&lt;90</v>
      </c>
      <c r="AL2148" s="1" t="str">
        <f>VLOOKUP(C:C,[1]基础信息!B$1:D$65536,3,0)</f>
        <v>Jug</v>
      </c>
      <c r="AM2148" s="1" t="str">
        <f>VLOOKUP(C:C,[1]基础信息!B$1:E$65536,4,0)</f>
        <v>MXpl</v>
      </c>
      <c r="AN2148" s="1" t="str">
        <f>VLOOKUP(C:C,[1]基础信息!B$1:F$65536,5,0)</f>
        <v>grey</v>
      </c>
    </row>
    <row r="2149" spans="1:40">
      <c r="A2149" s="1" t="s">
        <v>41</v>
      </c>
      <c r="B2149" s="1" t="s">
        <v>42</v>
      </c>
      <c r="C2149" s="1" t="s">
        <v>2893</v>
      </c>
      <c r="D2149" s="1" t="s">
        <v>2894</v>
      </c>
      <c r="E2149" s="1" t="s">
        <v>45</v>
      </c>
      <c r="F2149" s="1" t="s">
        <v>4965</v>
      </c>
      <c r="G2149" s="1" t="s">
        <v>4966</v>
      </c>
      <c r="H2149" s="1" t="s">
        <v>4967</v>
      </c>
      <c r="I2149" s="1" t="s">
        <v>45</v>
      </c>
      <c r="J2149" s="1" t="s">
        <v>48</v>
      </c>
      <c r="K2149" s="1">
        <v>1757</v>
      </c>
      <c r="L2149" s="1">
        <v>0</v>
      </c>
      <c r="M2149" s="1">
        <v>0</v>
      </c>
      <c r="N2149" s="1">
        <v>1757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 t="s">
        <v>49</v>
      </c>
      <c r="AA2149" s="1" t="s">
        <v>49</v>
      </c>
      <c r="AB2149" s="1" t="s">
        <v>49</v>
      </c>
      <c r="AC2149" s="1" t="s">
        <v>1551</v>
      </c>
      <c r="AD2149" s="1" t="s">
        <v>1552</v>
      </c>
      <c r="AE2149" s="1" t="s">
        <v>1551</v>
      </c>
      <c r="AF2149" s="1" t="s">
        <v>4968</v>
      </c>
      <c r="AG2149" s="1" t="s">
        <v>53</v>
      </c>
      <c r="AH2149" s="1" t="s">
        <v>49</v>
      </c>
      <c r="AI2149" s="1" t="s">
        <v>54</v>
      </c>
      <c r="AJ2149" s="1">
        <v>1</v>
      </c>
      <c r="AK2149" s="1" t="str">
        <f t="shared" si="33"/>
        <v xml:space="preserve"> =&lt;90</v>
      </c>
      <c r="AL2149" s="1" t="str">
        <f>VLOOKUP(C:C,[1]基础信息!B$1:D$65536,3,0)</f>
        <v xml:space="preserve">Cartridge </v>
      </c>
      <c r="AM2149" s="1" t="str">
        <f>VLOOKUP(C:C,[1]基础信息!B$1:E$65536,4,0)</f>
        <v>UNIV</v>
      </c>
      <c r="AN2149" s="1" t="str">
        <f>VLOOKUP(C:C,[1]基础信息!B$1:F$65536,5,0)</f>
        <v>P1</v>
      </c>
    </row>
    <row r="2150" spans="1:40">
      <c r="A2150" s="1" t="s">
        <v>41</v>
      </c>
      <c r="B2150" s="1" t="s">
        <v>42</v>
      </c>
      <c r="C2150" s="1" t="s">
        <v>1710</v>
      </c>
      <c r="D2150" s="1" t="s">
        <v>1711</v>
      </c>
      <c r="E2150" s="1" t="s">
        <v>45</v>
      </c>
      <c r="F2150" s="1" t="s">
        <v>4969</v>
      </c>
      <c r="G2150" s="1" t="s">
        <v>4970</v>
      </c>
      <c r="H2150" s="1" t="s">
        <v>4971</v>
      </c>
      <c r="I2150" s="1" t="s">
        <v>49</v>
      </c>
      <c r="J2150" s="1" t="s">
        <v>48</v>
      </c>
      <c r="K2150" s="1">
        <v>60</v>
      </c>
      <c r="L2150" s="1">
        <v>0</v>
      </c>
      <c r="M2150" s="1">
        <v>0</v>
      </c>
      <c r="N2150" s="1">
        <v>60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 t="s">
        <v>49</v>
      </c>
      <c r="AA2150" s="1" t="s">
        <v>49</v>
      </c>
      <c r="AB2150" s="1" t="s">
        <v>49</v>
      </c>
      <c r="AC2150" s="1" t="s">
        <v>1551</v>
      </c>
      <c r="AD2150" s="1" t="s">
        <v>1552</v>
      </c>
      <c r="AE2150" s="1" t="s">
        <v>1551</v>
      </c>
      <c r="AF2150" s="1" t="s">
        <v>2593</v>
      </c>
      <c r="AG2150" s="1" t="s">
        <v>53</v>
      </c>
      <c r="AH2150" s="1" t="s">
        <v>49</v>
      </c>
      <c r="AI2150" s="1" t="s">
        <v>54</v>
      </c>
      <c r="AJ2150" s="1">
        <v>1</v>
      </c>
      <c r="AK2150" s="1" t="str">
        <f t="shared" si="33"/>
        <v xml:space="preserve"> =&lt;90</v>
      </c>
      <c r="AL2150" s="1" t="str">
        <f>VLOOKUP(C:C,[1]基础信息!B$1:D$65536,3,0)</f>
        <v>Jug</v>
      </c>
      <c r="AM2150" s="1" t="str">
        <f>VLOOKUP(C:C,[1]基础信息!B$1:E$65536,4,0)</f>
        <v>Kalea XL ME4W</v>
      </c>
      <c r="AN2150" s="1" t="str">
        <f>VLOOKUP(C:C,[1]基础信息!B$1:F$65536,5,0)</f>
        <v>grey</v>
      </c>
    </row>
    <row r="2151" spans="1:40">
      <c r="A2151" s="1" t="s">
        <v>41</v>
      </c>
      <c r="B2151" s="1" t="s">
        <v>42</v>
      </c>
      <c r="C2151" s="1" t="s">
        <v>1710</v>
      </c>
      <c r="D2151" s="1" t="s">
        <v>1711</v>
      </c>
      <c r="E2151" s="1" t="s">
        <v>45</v>
      </c>
      <c r="F2151" s="1" t="s">
        <v>4969</v>
      </c>
      <c r="G2151" s="1" t="s">
        <v>4972</v>
      </c>
      <c r="H2151" s="1" t="s">
        <v>4973</v>
      </c>
      <c r="I2151" s="1" t="s">
        <v>49</v>
      </c>
      <c r="J2151" s="1" t="s">
        <v>48</v>
      </c>
      <c r="K2151" s="1">
        <v>60</v>
      </c>
      <c r="L2151" s="1">
        <v>0</v>
      </c>
      <c r="M2151" s="1">
        <v>0</v>
      </c>
      <c r="N2151" s="1">
        <v>60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 t="s">
        <v>49</v>
      </c>
      <c r="AA2151" s="1" t="s">
        <v>49</v>
      </c>
      <c r="AB2151" s="1" t="s">
        <v>49</v>
      </c>
      <c r="AC2151" s="1" t="s">
        <v>1551</v>
      </c>
      <c r="AD2151" s="1" t="s">
        <v>1552</v>
      </c>
      <c r="AE2151" s="1" t="s">
        <v>1551</v>
      </c>
      <c r="AF2151" s="1" t="s">
        <v>2593</v>
      </c>
      <c r="AG2151" s="1" t="s">
        <v>53</v>
      </c>
      <c r="AH2151" s="1" t="s">
        <v>49</v>
      </c>
      <c r="AI2151" s="1" t="s">
        <v>54</v>
      </c>
      <c r="AJ2151" s="1">
        <v>1</v>
      </c>
      <c r="AK2151" s="1" t="str">
        <f t="shared" si="33"/>
        <v xml:space="preserve"> =&lt;90</v>
      </c>
      <c r="AL2151" s="1" t="str">
        <f>VLOOKUP(C:C,[1]基础信息!B$1:D$65536,3,0)</f>
        <v>Jug</v>
      </c>
      <c r="AM2151" s="1" t="str">
        <f>VLOOKUP(C:C,[1]基础信息!B$1:E$65536,4,0)</f>
        <v>Kalea XL ME4W</v>
      </c>
      <c r="AN2151" s="1" t="str">
        <f>VLOOKUP(C:C,[1]基础信息!B$1:F$65536,5,0)</f>
        <v>grey</v>
      </c>
    </row>
    <row r="2152" spans="1:40">
      <c r="A2152" s="1" t="s">
        <v>41</v>
      </c>
      <c r="B2152" s="1" t="s">
        <v>42</v>
      </c>
      <c r="C2152" s="1" t="s">
        <v>1710</v>
      </c>
      <c r="D2152" s="1" t="s">
        <v>1711</v>
      </c>
      <c r="E2152" s="1" t="s">
        <v>45</v>
      </c>
      <c r="F2152" s="1" t="s">
        <v>4969</v>
      </c>
      <c r="G2152" s="1" t="s">
        <v>4974</v>
      </c>
      <c r="H2152" s="1" t="s">
        <v>4975</v>
      </c>
      <c r="I2152" s="1" t="s">
        <v>49</v>
      </c>
      <c r="J2152" s="1" t="s">
        <v>48</v>
      </c>
      <c r="K2152" s="1">
        <v>24</v>
      </c>
      <c r="L2152" s="1">
        <v>0</v>
      </c>
      <c r="M2152" s="1">
        <v>0</v>
      </c>
      <c r="N2152" s="1">
        <v>24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 t="s">
        <v>49</v>
      </c>
      <c r="AA2152" s="1" t="s">
        <v>49</v>
      </c>
      <c r="AB2152" s="1" t="s">
        <v>49</v>
      </c>
      <c r="AC2152" s="1" t="s">
        <v>1551</v>
      </c>
      <c r="AD2152" s="1" t="s">
        <v>1552</v>
      </c>
      <c r="AE2152" s="1" t="s">
        <v>1551</v>
      </c>
      <c r="AF2152" s="1" t="s">
        <v>2593</v>
      </c>
      <c r="AG2152" s="1" t="s">
        <v>53</v>
      </c>
      <c r="AH2152" s="1" t="s">
        <v>49</v>
      </c>
      <c r="AI2152" s="1" t="s">
        <v>54</v>
      </c>
      <c r="AJ2152" s="1">
        <v>1</v>
      </c>
      <c r="AK2152" s="1" t="str">
        <f t="shared" si="33"/>
        <v xml:space="preserve"> =&lt;90</v>
      </c>
      <c r="AL2152" s="1" t="str">
        <f>VLOOKUP(C:C,[1]基础信息!B$1:D$65536,3,0)</f>
        <v>Jug</v>
      </c>
      <c r="AM2152" s="1" t="str">
        <f>VLOOKUP(C:C,[1]基础信息!B$1:E$65536,4,0)</f>
        <v>Kalea XL ME4W</v>
      </c>
      <c r="AN2152" s="1" t="str">
        <f>VLOOKUP(C:C,[1]基础信息!B$1:F$65536,5,0)</f>
        <v>grey</v>
      </c>
    </row>
    <row r="2153" spans="1:40">
      <c r="A2153" s="1" t="s">
        <v>41</v>
      </c>
      <c r="B2153" s="1" t="s">
        <v>42</v>
      </c>
      <c r="C2153" s="1" t="s">
        <v>1710</v>
      </c>
      <c r="D2153" s="1" t="s">
        <v>1711</v>
      </c>
      <c r="E2153" s="1" t="s">
        <v>45</v>
      </c>
      <c r="F2153" s="1" t="s">
        <v>4976</v>
      </c>
      <c r="G2153" s="1" t="s">
        <v>4977</v>
      </c>
      <c r="H2153" s="1" t="s">
        <v>4978</v>
      </c>
      <c r="I2153" s="1" t="s">
        <v>49</v>
      </c>
      <c r="J2153" s="1" t="s">
        <v>48</v>
      </c>
      <c r="K2153" s="1">
        <v>60</v>
      </c>
      <c r="L2153" s="1">
        <v>0</v>
      </c>
      <c r="M2153" s="1">
        <v>0</v>
      </c>
      <c r="N2153" s="1">
        <v>60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 t="s">
        <v>49</v>
      </c>
      <c r="AA2153" s="1" t="s">
        <v>49</v>
      </c>
      <c r="AB2153" s="1" t="s">
        <v>49</v>
      </c>
      <c r="AC2153" s="1" t="s">
        <v>1551</v>
      </c>
      <c r="AD2153" s="1" t="s">
        <v>1552</v>
      </c>
      <c r="AE2153" s="1" t="s">
        <v>1551</v>
      </c>
      <c r="AF2153" s="1" t="s">
        <v>4979</v>
      </c>
      <c r="AG2153" s="1" t="s">
        <v>53</v>
      </c>
      <c r="AH2153" s="1" t="s">
        <v>49</v>
      </c>
      <c r="AI2153" s="1" t="s">
        <v>54</v>
      </c>
      <c r="AJ2153" s="1">
        <v>1</v>
      </c>
      <c r="AK2153" s="1" t="str">
        <f t="shared" si="33"/>
        <v xml:space="preserve"> =&lt;90</v>
      </c>
      <c r="AL2153" s="1" t="str">
        <f>VLOOKUP(C:C,[1]基础信息!B$1:D$65536,3,0)</f>
        <v>Jug</v>
      </c>
      <c r="AM2153" s="1" t="str">
        <f>VLOOKUP(C:C,[1]基础信息!B$1:E$65536,4,0)</f>
        <v>Kalea XL ME4W</v>
      </c>
      <c r="AN2153" s="1" t="str">
        <f>VLOOKUP(C:C,[1]基础信息!B$1:F$65536,5,0)</f>
        <v>grey</v>
      </c>
    </row>
    <row r="2154" spans="1:40">
      <c r="A2154" s="1" t="s">
        <v>41</v>
      </c>
      <c r="B2154" s="1" t="s">
        <v>42</v>
      </c>
      <c r="C2154" s="1" t="s">
        <v>1710</v>
      </c>
      <c r="D2154" s="1" t="s">
        <v>1711</v>
      </c>
      <c r="E2154" s="1" t="s">
        <v>45</v>
      </c>
      <c r="F2154" s="1" t="s">
        <v>4976</v>
      </c>
      <c r="G2154" s="1" t="s">
        <v>4980</v>
      </c>
      <c r="H2154" s="1" t="s">
        <v>4981</v>
      </c>
      <c r="I2154" s="1" t="s">
        <v>49</v>
      </c>
      <c r="J2154" s="1" t="s">
        <v>48</v>
      </c>
      <c r="K2154" s="1">
        <v>60</v>
      </c>
      <c r="L2154" s="1">
        <v>0</v>
      </c>
      <c r="M2154" s="1">
        <v>0</v>
      </c>
      <c r="N2154" s="1">
        <v>60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 t="s">
        <v>49</v>
      </c>
      <c r="AA2154" s="1" t="s">
        <v>49</v>
      </c>
      <c r="AB2154" s="1" t="s">
        <v>49</v>
      </c>
      <c r="AC2154" s="1" t="s">
        <v>1551</v>
      </c>
      <c r="AD2154" s="1" t="s">
        <v>1552</v>
      </c>
      <c r="AE2154" s="1" t="s">
        <v>1551</v>
      </c>
      <c r="AF2154" s="1" t="s">
        <v>4979</v>
      </c>
      <c r="AG2154" s="1" t="s">
        <v>53</v>
      </c>
      <c r="AH2154" s="1" t="s">
        <v>49</v>
      </c>
      <c r="AI2154" s="1" t="s">
        <v>54</v>
      </c>
      <c r="AJ2154" s="1">
        <v>1</v>
      </c>
      <c r="AK2154" s="1" t="str">
        <f t="shared" si="33"/>
        <v xml:space="preserve"> =&lt;90</v>
      </c>
      <c r="AL2154" s="1" t="str">
        <f>VLOOKUP(C:C,[1]基础信息!B$1:D$65536,3,0)</f>
        <v>Jug</v>
      </c>
      <c r="AM2154" s="1" t="str">
        <f>VLOOKUP(C:C,[1]基础信息!B$1:E$65536,4,0)</f>
        <v>Kalea XL ME4W</v>
      </c>
      <c r="AN2154" s="1" t="str">
        <f>VLOOKUP(C:C,[1]基础信息!B$1:F$65536,5,0)</f>
        <v>grey</v>
      </c>
    </row>
    <row r="2155" spans="1:40">
      <c r="A2155" s="1" t="s">
        <v>41</v>
      </c>
      <c r="B2155" s="1" t="s">
        <v>42</v>
      </c>
      <c r="C2155" s="1" t="s">
        <v>1710</v>
      </c>
      <c r="D2155" s="1" t="s">
        <v>1711</v>
      </c>
      <c r="E2155" s="1" t="s">
        <v>45</v>
      </c>
      <c r="F2155" s="1" t="s">
        <v>4976</v>
      </c>
      <c r="G2155" s="1" t="s">
        <v>4982</v>
      </c>
      <c r="H2155" s="1" t="s">
        <v>4983</v>
      </c>
      <c r="I2155" s="1" t="s">
        <v>49</v>
      </c>
      <c r="J2155" s="1" t="s">
        <v>48</v>
      </c>
      <c r="K2155" s="1">
        <v>60</v>
      </c>
      <c r="L2155" s="1">
        <v>0</v>
      </c>
      <c r="M2155" s="1">
        <v>0</v>
      </c>
      <c r="N2155" s="1">
        <v>60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 t="s">
        <v>49</v>
      </c>
      <c r="AA2155" s="1" t="s">
        <v>49</v>
      </c>
      <c r="AB2155" s="1" t="s">
        <v>49</v>
      </c>
      <c r="AC2155" s="1" t="s">
        <v>1551</v>
      </c>
      <c r="AD2155" s="1" t="s">
        <v>1552</v>
      </c>
      <c r="AE2155" s="1" t="s">
        <v>1551</v>
      </c>
      <c r="AF2155" s="1" t="s">
        <v>4979</v>
      </c>
      <c r="AG2155" s="1" t="s">
        <v>53</v>
      </c>
      <c r="AH2155" s="1" t="s">
        <v>49</v>
      </c>
      <c r="AI2155" s="1" t="s">
        <v>54</v>
      </c>
      <c r="AJ2155" s="1">
        <v>1</v>
      </c>
      <c r="AK2155" s="1" t="str">
        <f t="shared" si="33"/>
        <v xml:space="preserve"> =&lt;90</v>
      </c>
      <c r="AL2155" s="1" t="str">
        <f>VLOOKUP(C:C,[1]基础信息!B$1:D$65536,3,0)</f>
        <v>Jug</v>
      </c>
      <c r="AM2155" s="1" t="str">
        <f>VLOOKUP(C:C,[1]基础信息!B$1:E$65536,4,0)</f>
        <v>Kalea XL ME4W</v>
      </c>
      <c r="AN2155" s="1" t="str">
        <f>VLOOKUP(C:C,[1]基础信息!B$1:F$65536,5,0)</f>
        <v>grey</v>
      </c>
    </row>
    <row r="2156" spans="1:40">
      <c r="A2156" s="1" t="s">
        <v>41</v>
      </c>
      <c r="B2156" s="1" t="s">
        <v>42</v>
      </c>
      <c r="C2156" s="1" t="s">
        <v>1710</v>
      </c>
      <c r="D2156" s="1" t="s">
        <v>1711</v>
      </c>
      <c r="E2156" s="1" t="s">
        <v>45</v>
      </c>
      <c r="F2156" s="1" t="s">
        <v>4976</v>
      </c>
      <c r="G2156" s="1" t="s">
        <v>4984</v>
      </c>
      <c r="H2156" s="1" t="s">
        <v>4985</v>
      </c>
      <c r="I2156" s="1" t="s">
        <v>49</v>
      </c>
      <c r="J2156" s="1" t="s">
        <v>48</v>
      </c>
      <c r="K2156" s="1">
        <v>60</v>
      </c>
      <c r="L2156" s="1">
        <v>0</v>
      </c>
      <c r="M2156" s="1">
        <v>0</v>
      </c>
      <c r="N2156" s="1">
        <v>60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 t="s">
        <v>49</v>
      </c>
      <c r="AA2156" s="1" t="s">
        <v>49</v>
      </c>
      <c r="AB2156" s="1" t="s">
        <v>49</v>
      </c>
      <c r="AC2156" s="1" t="s">
        <v>1551</v>
      </c>
      <c r="AD2156" s="1" t="s">
        <v>1552</v>
      </c>
      <c r="AE2156" s="1" t="s">
        <v>1551</v>
      </c>
      <c r="AF2156" s="1" t="s">
        <v>4979</v>
      </c>
      <c r="AG2156" s="1" t="s">
        <v>53</v>
      </c>
      <c r="AH2156" s="1" t="s">
        <v>49</v>
      </c>
      <c r="AI2156" s="1" t="s">
        <v>54</v>
      </c>
      <c r="AJ2156" s="1">
        <v>1</v>
      </c>
      <c r="AK2156" s="1" t="str">
        <f t="shared" si="33"/>
        <v xml:space="preserve"> =&lt;90</v>
      </c>
      <c r="AL2156" s="1" t="str">
        <f>VLOOKUP(C:C,[1]基础信息!B$1:D$65536,3,0)</f>
        <v>Jug</v>
      </c>
      <c r="AM2156" s="1" t="str">
        <f>VLOOKUP(C:C,[1]基础信息!B$1:E$65536,4,0)</f>
        <v>Kalea XL ME4W</v>
      </c>
      <c r="AN2156" s="1" t="str">
        <f>VLOOKUP(C:C,[1]基础信息!B$1:F$65536,5,0)</f>
        <v>grey</v>
      </c>
    </row>
    <row r="2157" spans="1:40">
      <c r="A2157" s="1" t="s">
        <v>41</v>
      </c>
      <c r="B2157" s="1" t="s">
        <v>42</v>
      </c>
      <c r="C2157" s="1" t="s">
        <v>1710</v>
      </c>
      <c r="D2157" s="1" t="s">
        <v>1711</v>
      </c>
      <c r="E2157" s="1" t="s">
        <v>45</v>
      </c>
      <c r="F2157" s="1" t="s">
        <v>4976</v>
      </c>
      <c r="G2157" s="1" t="s">
        <v>4986</v>
      </c>
      <c r="H2157" s="1" t="s">
        <v>4987</v>
      </c>
      <c r="I2157" s="1" t="s">
        <v>49</v>
      </c>
      <c r="J2157" s="1" t="s">
        <v>48</v>
      </c>
      <c r="K2157" s="1">
        <v>60</v>
      </c>
      <c r="L2157" s="1">
        <v>0</v>
      </c>
      <c r="M2157" s="1">
        <v>0</v>
      </c>
      <c r="N2157" s="1">
        <v>60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 t="s">
        <v>49</v>
      </c>
      <c r="AA2157" s="1" t="s">
        <v>49</v>
      </c>
      <c r="AB2157" s="1" t="s">
        <v>49</v>
      </c>
      <c r="AC2157" s="1" t="s">
        <v>1551</v>
      </c>
      <c r="AD2157" s="1" t="s">
        <v>1552</v>
      </c>
      <c r="AE2157" s="1" t="s">
        <v>1551</v>
      </c>
      <c r="AF2157" s="1" t="s">
        <v>4979</v>
      </c>
      <c r="AG2157" s="1" t="s">
        <v>53</v>
      </c>
      <c r="AH2157" s="1" t="s">
        <v>49</v>
      </c>
      <c r="AI2157" s="1" t="s">
        <v>54</v>
      </c>
      <c r="AJ2157" s="1">
        <v>1</v>
      </c>
      <c r="AK2157" s="1" t="str">
        <f t="shared" si="33"/>
        <v xml:space="preserve"> =&lt;90</v>
      </c>
      <c r="AL2157" s="1" t="str">
        <f>VLOOKUP(C:C,[1]基础信息!B$1:D$65536,3,0)</f>
        <v>Jug</v>
      </c>
      <c r="AM2157" s="1" t="str">
        <f>VLOOKUP(C:C,[1]基础信息!B$1:E$65536,4,0)</f>
        <v>Kalea XL ME4W</v>
      </c>
      <c r="AN2157" s="1" t="str">
        <f>VLOOKUP(C:C,[1]基础信息!B$1:F$65536,5,0)</f>
        <v>grey</v>
      </c>
    </row>
    <row r="2158" spans="1:40">
      <c r="A2158" s="1" t="s">
        <v>41</v>
      </c>
      <c r="B2158" s="1" t="s">
        <v>42</v>
      </c>
      <c r="C2158" s="1" t="s">
        <v>1710</v>
      </c>
      <c r="D2158" s="1" t="s">
        <v>1711</v>
      </c>
      <c r="E2158" s="1" t="s">
        <v>45</v>
      </c>
      <c r="F2158" s="1" t="s">
        <v>4976</v>
      </c>
      <c r="G2158" s="1" t="s">
        <v>4988</v>
      </c>
      <c r="H2158" s="1" t="s">
        <v>4989</v>
      </c>
      <c r="I2158" s="1" t="s">
        <v>49</v>
      </c>
      <c r="J2158" s="1" t="s">
        <v>48</v>
      </c>
      <c r="K2158" s="1">
        <v>60</v>
      </c>
      <c r="L2158" s="1">
        <v>0</v>
      </c>
      <c r="M2158" s="1">
        <v>0</v>
      </c>
      <c r="N2158" s="1">
        <v>60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 t="s">
        <v>49</v>
      </c>
      <c r="AA2158" s="1" t="s">
        <v>49</v>
      </c>
      <c r="AB2158" s="1" t="s">
        <v>49</v>
      </c>
      <c r="AC2158" s="1" t="s">
        <v>1551</v>
      </c>
      <c r="AD2158" s="1" t="s">
        <v>1552</v>
      </c>
      <c r="AE2158" s="1" t="s">
        <v>1551</v>
      </c>
      <c r="AF2158" s="1" t="s">
        <v>4979</v>
      </c>
      <c r="AG2158" s="1" t="s">
        <v>53</v>
      </c>
      <c r="AH2158" s="1" t="s">
        <v>49</v>
      </c>
      <c r="AI2158" s="1" t="s">
        <v>54</v>
      </c>
      <c r="AJ2158" s="1">
        <v>1</v>
      </c>
      <c r="AK2158" s="1" t="str">
        <f t="shared" si="33"/>
        <v xml:space="preserve"> =&lt;90</v>
      </c>
      <c r="AL2158" s="1" t="str">
        <f>VLOOKUP(C:C,[1]基础信息!B$1:D$65536,3,0)</f>
        <v>Jug</v>
      </c>
      <c r="AM2158" s="1" t="str">
        <f>VLOOKUP(C:C,[1]基础信息!B$1:E$65536,4,0)</f>
        <v>Kalea XL ME4W</v>
      </c>
      <c r="AN2158" s="1" t="str">
        <f>VLOOKUP(C:C,[1]基础信息!B$1:F$65536,5,0)</f>
        <v>grey</v>
      </c>
    </row>
    <row r="2159" spans="1:40">
      <c r="A2159" s="1" t="s">
        <v>41</v>
      </c>
      <c r="B2159" s="1" t="s">
        <v>42</v>
      </c>
      <c r="C2159" s="1" t="s">
        <v>1710</v>
      </c>
      <c r="D2159" s="1" t="s">
        <v>1711</v>
      </c>
      <c r="E2159" s="1" t="s">
        <v>45</v>
      </c>
      <c r="F2159" s="1" t="s">
        <v>4976</v>
      </c>
      <c r="G2159" s="1" t="s">
        <v>4990</v>
      </c>
      <c r="H2159" s="1" t="s">
        <v>4991</v>
      </c>
      <c r="I2159" s="1" t="s">
        <v>49</v>
      </c>
      <c r="J2159" s="1" t="s">
        <v>48</v>
      </c>
      <c r="K2159" s="1">
        <v>60</v>
      </c>
      <c r="L2159" s="1">
        <v>0</v>
      </c>
      <c r="M2159" s="1">
        <v>0</v>
      </c>
      <c r="N2159" s="1">
        <v>60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 t="s">
        <v>49</v>
      </c>
      <c r="AA2159" s="1" t="s">
        <v>49</v>
      </c>
      <c r="AB2159" s="1" t="s">
        <v>49</v>
      </c>
      <c r="AC2159" s="1" t="s">
        <v>1551</v>
      </c>
      <c r="AD2159" s="1" t="s">
        <v>1552</v>
      </c>
      <c r="AE2159" s="1" t="s">
        <v>1551</v>
      </c>
      <c r="AF2159" s="1" t="s">
        <v>4979</v>
      </c>
      <c r="AG2159" s="1" t="s">
        <v>53</v>
      </c>
      <c r="AH2159" s="1" t="s">
        <v>49</v>
      </c>
      <c r="AI2159" s="1" t="s">
        <v>54</v>
      </c>
      <c r="AJ2159" s="1">
        <v>1</v>
      </c>
      <c r="AK2159" s="1" t="str">
        <f t="shared" si="33"/>
        <v xml:space="preserve"> =&lt;90</v>
      </c>
      <c r="AL2159" s="1" t="str">
        <f>VLOOKUP(C:C,[1]基础信息!B$1:D$65536,3,0)</f>
        <v>Jug</v>
      </c>
      <c r="AM2159" s="1" t="str">
        <f>VLOOKUP(C:C,[1]基础信息!B$1:E$65536,4,0)</f>
        <v>Kalea XL ME4W</v>
      </c>
      <c r="AN2159" s="1" t="str">
        <f>VLOOKUP(C:C,[1]基础信息!B$1:F$65536,5,0)</f>
        <v>grey</v>
      </c>
    </row>
    <row r="2160" spans="1:40">
      <c r="A2160" s="1" t="s">
        <v>41</v>
      </c>
      <c r="B2160" s="1" t="s">
        <v>42</v>
      </c>
      <c r="C2160" s="1" t="s">
        <v>1710</v>
      </c>
      <c r="D2160" s="1" t="s">
        <v>1711</v>
      </c>
      <c r="E2160" s="1" t="s">
        <v>45</v>
      </c>
      <c r="F2160" s="1" t="s">
        <v>4976</v>
      </c>
      <c r="G2160" s="1" t="s">
        <v>4992</v>
      </c>
      <c r="H2160" s="1" t="s">
        <v>4993</v>
      </c>
      <c r="I2160" s="1" t="s">
        <v>49</v>
      </c>
      <c r="J2160" s="1" t="s">
        <v>48</v>
      </c>
      <c r="K2160" s="1">
        <v>60</v>
      </c>
      <c r="L2160" s="1">
        <v>0</v>
      </c>
      <c r="M2160" s="1">
        <v>0</v>
      </c>
      <c r="N2160" s="1">
        <v>60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 t="s">
        <v>49</v>
      </c>
      <c r="AA2160" s="1" t="s">
        <v>49</v>
      </c>
      <c r="AB2160" s="1" t="s">
        <v>49</v>
      </c>
      <c r="AC2160" s="1" t="s">
        <v>1551</v>
      </c>
      <c r="AD2160" s="1" t="s">
        <v>1552</v>
      </c>
      <c r="AE2160" s="1" t="s">
        <v>1551</v>
      </c>
      <c r="AF2160" s="1" t="s">
        <v>4979</v>
      </c>
      <c r="AG2160" s="1" t="s">
        <v>53</v>
      </c>
      <c r="AH2160" s="1" t="s">
        <v>49</v>
      </c>
      <c r="AI2160" s="1" t="s">
        <v>54</v>
      </c>
      <c r="AJ2160" s="1">
        <v>1</v>
      </c>
      <c r="AK2160" s="1" t="str">
        <f t="shared" si="33"/>
        <v xml:space="preserve"> =&lt;90</v>
      </c>
      <c r="AL2160" s="1" t="str">
        <f>VLOOKUP(C:C,[1]基础信息!B$1:D$65536,3,0)</f>
        <v>Jug</v>
      </c>
      <c r="AM2160" s="1" t="str">
        <f>VLOOKUP(C:C,[1]基础信息!B$1:E$65536,4,0)</f>
        <v>Kalea XL ME4W</v>
      </c>
      <c r="AN2160" s="1" t="str">
        <f>VLOOKUP(C:C,[1]基础信息!B$1:F$65536,5,0)</f>
        <v>grey</v>
      </c>
    </row>
    <row r="2161" spans="1:40">
      <c r="A2161" s="1" t="s">
        <v>41</v>
      </c>
      <c r="B2161" s="1" t="s">
        <v>42</v>
      </c>
      <c r="C2161" s="1" t="s">
        <v>1710</v>
      </c>
      <c r="D2161" s="1" t="s">
        <v>1711</v>
      </c>
      <c r="E2161" s="1" t="s">
        <v>45</v>
      </c>
      <c r="F2161" s="1" t="s">
        <v>4976</v>
      </c>
      <c r="G2161" s="1" t="s">
        <v>4994</v>
      </c>
      <c r="H2161" s="1" t="s">
        <v>4995</v>
      </c>
      <c r="I2161" s="1" t="s">
        <v>49</v>
      </c>
      <c r="J2161" s="1" t="s">
        <v>48</v>
      </c>
      <c r="K2161" s="1">
        <v>60</v>
      </c>
      <c r="L2161" s="1">
        <v>0</v>
      </c>
      <c r="M2161" s="1">
        <v>0</v>
      </c>
      <c r="N2161" s="1">
        <v>60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 t="s">
        <v>49</v>
      </c>
      <c r="AA2161" s="1" t="s">
        <v>49</v>
      </c>
      <c r="AB2161" s="1" t="s">
        <v>49</v>
      </c>
      <c r="AC2161" s="1" t="s">
        <v>1551</v>
      </c>
      <c r="AD2161" s="1" t="s">
        <v>1552</v>
      </c>
      <c r="AE2161" s="1" t="s">
        <v>1551</v>
      </c>
      <c r="AF2161" s="1" t="s">
        <v>4979</v>
      </c>
      <c r="AG2161" s="1" t="s">
        <v>53</v>
      </c>
      <c r="AH2161" s="1" t="s">
        <v>49</v>
      </c>
      <c r="AI2161" s="1" t="s">
        <v>54</v>
      </c>
      <c r="AJ2161" s="1">
        <v>1</v>
      </c>
      <c r="AK2161" s="1" t="str">
        <f t="shared" si="33"/>
        <v xml:space="preserve"> =&lt;90</v>
      </c>
      <c r="AL2161" s="1" t="str">
        <f>VLOOKUP(C:C,[1]基础信息!B$1:D$65536,3,0)</f>
        <v>Jug</v>
      </c>
      <c r="AM2161" s="1" t="str">
        <f>VLOOKUP(C:C,[1]基础信息!B$1:E$65536,4,0)</f>
        <v>Kalea XL ME4W</v>
      </c>
      <c r="AN2161" s="1" t="str">
        <f>VLOOKUP(C:C,[1]基础信息!B$1:F$65536,5,0)</f>
        <v>grey</v>
      </c>
    </row>
    <row r="2162" spans="1:40">
      <c r="A2162" s="1" t="s">
        <v>41</v>
      </c>
      <c r="B2162" s="1" t="s">
        <v>42</v>
      </c>
      <c r="C2162" s="1" t="s">
        <v>1710</v>
      </c>
      <c r="D2162" s="1" t="s">
        <v>1711</v>
      </c>
      <c r="E2162" s="1" t="s">
        <v>45</v>
      </c>
      <c r="F2162" s="1" t="s">
        <v>4976</v>
      </c>
      <c r="G2162" s="1" t="s">
        <v>4996</v>
      </c>
      <c r="H2162" s="1" t="s">
        <v>4997</v>
      </c>
      <c r="I2162" s="1" t="s">
        <v>49</v>
      </c>
      <c r="J2162" s="1" t="s">
        <v>48</v>
      </c>
      <c r="K2162" s="1">
        <v>60</v>
      </c>
      <c r="L2162" s="1">
        <v>0</v>
      </c>
      <c r="M2162" s="1">
        <v>0</v>
      </c>
      <c r="N2162" s="1">
        <v>60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 t="s">
        <v>49</v>
      </c>
      <c r="AA2162" s="1" t="s">
        <v>49</v>
      </c>
      <c r="AB2162" s="1" t="s">
        <v>49</v>
      </c>
      <c r="AC2162" s="1" t="s">
        <v>1551</v>
      </c>
      <c r="AD2162" s="1" t="s">
        <v>1552</v>
      </c>
      <c r="AE2162" s="1" t="s">
        <v>1551</v>
      </c>
      <c r="AF2162" s="1" t="s">
        <v>4979</v>
      </c>
      <c r="AG2162" s="1" t="s">
        <v>53</v>
      </c>
      <c r="AH2162" s="1" t="s">
        <v>49</v>
      </c>
      <c r="AI2162" s="1" t="s">
        <v>54</v>
      </c>
      <c r="AJ2162" s="1">
        <v>1</v>
      </c>
      <c r="AK2162" s="1" t="str">
        <f t="shared" si="33"/>
        <v xml:space="preserve"> =&lt;90</v>
      </c>
      <c r="AL2162" s="1" t="str">
        <f>VLOOKUP(C:C,[1]基础信息!B$1:D$65536,3,0)</f>
        <v>Jug</v>
      </c>
      <c r="AM2162" s="1" t="str">
        <f>VLOOKUP(C:C,[1]基础信息!B$1:E$65536,4,0)</f>
        <v>Kalea XL ME4W</v>
      </c>
      <c r="AN2162" s="1" t="str">
        <f>VLOOKUP(C:C,[1]基础信息!B$1:F$65536,5,0)</f>
        <v>grey</v>
      </c>
    </row>
    <row r="2163" spans="1:40">
      <c r="A2163" s="1" t="s">
        <v>41</v>
      </c>
      <c r="B2163" s="1" t="s">
        <v>42</v>
      </c>
      <c r="C2163" s="1" t="s">
        <v>1710</v>
      </c>
      <c r="D2163" s="1" t="s">
        <v>1711</v>
      </c>
      <c r="E2163" s="1" t="s">
        <v>45</v>
      </c>
      <c r="F2163" s="1" t="s">
        <v>4976</v>
      </c>
      <c r="G2163" s="1" t="s">
        <v>4998</v>
      </c>
      <c r="H2163" s="1" t="s">
        <v>4999</v>
      </c>
      <c r="I2163" s="1" t="s">
        <v>49</v>
      </c>
      <c r="J2163" s="1" t="s">
        <v>48</v>
      </c>
      <c r="K2163" s="1">
        <v>60</v>
      </c>
      <c r="L2163" s="1">
        <v>0</v>
      </c>
      <c r="M2163" s="1">
        <v>0</v>
      </c>
      <c r="N2163" s="1">
        <v>60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 t="s">
        <v>49</v>
      </c>
      <c r="AA2163" s="1" t="s">
        <v>49</v>
      </c>
      <c r="AB2163" s="1" t="s">
        <v>49</v>
      </c>
      <c r="AC2163" s="1" t="s">
        <v>1551</v>
      </c>
      <c r="AD2163" s="1" t="s">
        <v>1552</v>
      </c>
      <c r="AE2163" s="1" t="s">
        <v>1551</v>
      </c>
      <c r="AF2163" s="1" t="s">
        <v>4979</v>
      </c>
      <c r="AG2163" s="1" t="s">
        <v>53</v>
      </c>
      <c r="AH2163" s="1" t="s">
        <v>49</v>
      </c>
      <c r="AI2163" s="1" t="s">
        <v>54</v>
      </c>
      <c r="AJ2163" s="1">
        <v>1</v>
      </c>
      <c r="AK2163" s="1" t="str">
        <f t="shared" si="33"/>
        <v xml:space="preserve"> =&lt;90</v>
      </c>
      <c r="AL2163" s="1" t="str">
        <f>VLOOKUP(C:C,[1]基础信息!B$1:D$65536,3,0)</f>
        <v>Jug</v>
      </c>
      <c r="AM2163" s="1" t="str">
        <f>VLOOKUP(C:C,[1]基础信息!B$1:E$65536,4,0)</f>
        <v>Kalea XL ME4W</v>
      </c>
      <c r="AN2163" s="1" t="str">
        <f>VLOOKUP(C:C,[1]基础信息!B$1:F$65536,5,0)</f>
        <v>grey</v>
      </c>
    </row>
    <row r="2164" spans="1:40">
      <c r="A2164" s="1" t="s">
        <v>41</v>
      </c>
      <c r="B2164" s="1" t="s">
        <v>42</v>
      </c>
      <c r="C2164" s="1" t="s">
        <v>1710</v>
      </c>
      <c r="D2164" s="1" t="s">
        <v>1711</v>
      </c>
      <c r="E2164" s="1" t="s">
        <v>45</v>
      </c>
      <c r="F2164" s="1" t="s">
        <v>4976</v>
      </c>
      <c r="G2164" s="1" t="s">
        <v>5000</v>
      </c>
      <c r="H2164" s="1" t="s">
        <v>5001</v>
      </c>
      <c r="I2164" s="1" t="s">
        <v>49</v>
      </c>
      <c r="J2164" s="1" t="s">
        <v>48</v>
      </c>
      <c r="K2164" s="1">
        <v>60</v>
      </c>
      <c r="L2164" s="1">
        <v>0</v>
      </c>
      <c r="M2164" s="1">
        <v>0</v>
      </c>
      <c r="N2164" s="1">
        <v>60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 t="s">
        <v>49</v>
      </c>
      <c r="AA2164" s="1" t="s">
        <v>49</v>
      </c>
      <c r="AB2164" s="1" t="s">
        <v>49</v>
      </c>
      <c r="AC2164" s="1" t="s">
        <v>1551</v>
      </c>
      <c r="AD2164" s="1" t="s">
        <v>1552</v>
      </c>
      <c r="AE2164" s="1" t="s">
        <v>1551</v>
      </c>
      <c r="AF2164" s="1" t="s">
        <v>4979</v>
      </c>
      <c r="AG2164" s="1" t="s">
        <v>53</v>
      </c>
      <c r="AH2164" s="1" t="s">
        <v>49</v>
      </c>
      <c r="AI2164" s="1" t="s">
        <v>54</v>
      </c>
      <c r="AJ2164" s="1">
        <v>1</v>
      </c>
      <c r="AK2164" s="1" t="str">
        <f t="shared" si="33"/>
        <v xml:space="preserve"> =&lt;90</v>
      </c>
      <c r="AL2164" s="1" t="str">
        <f>VLOOKUP(C:C,[1]基础信息!B$1:D$65536,3,0)</f>
        <v>Jug</v>
      </c>
      <c r="AM2164" s="1" t="str">
        <f>VLOOKUP(C:C,[1]基础信息!B$1:E$65536,4,0)</f>
        <v>Kalea XL ME4W</v>
      </c>
      <c r="AN2164" s="1" t="str">
        <f>VLOOKUP(C:C,[1]基础信息!B$1:F$65536,5,0)</f>
        <v>grey</v>
      </c>
    </row>
    <row r="2165" spans="1:40">
      <c r="A2165" s="1" t="s">
        <v>41</v>
      </c>
      <c r="B2165" s="1" t="s">
        <v>42</v>
      </c>
      <c r="C2165" s="1" t="s">
        <v>1710</v>
      </c>
      <c r="D2165" s="1" t="s">
        <v>1711</v>
      </c>
      <c r="E2165" s="1" t="s">
        <v>45</v>
      </c>
      <c r="F2165" s="1" t="s">
        <v>4976</v>
      </c>
      <c r="G2165" s="1" t="s">
        <v>5002</v>
      </c>
      <c r="H2165" s="1" t="s">
        <v>5003</v>
      </c>
      <c r="I2165" s="1" t="s">
        <v>49</v>
      </c>
      <c r="J2165" s="1" t="s">
        <v>48</v>
      </c>
      <c r="K2165" s="1">
        <v>60</v>
      </c>
      <c r="L2165" s="1">
        <v>0</v>
      </c>
      <c r="M2165" s="1">
        <v>0</v>
      </c>
      <c r="N2165" s="1">
        <v>60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 t="s">
        <v>49</v>
      </c>
      <c r="AA2165" s="1" t="s">
        <v>49</v>
      </c>
      <c r="AB2165" s="1" t="s">
        <v>49</v>
      </c>
      <c r="AC2165" s="1" t="s">
        <v>1551</v>
      </c>
      <c r="AD2165" s="1" t="s">
        <v>1552</v>
      </c>
      <c r="AE2165" s="1" t="s">
        <v>1551</v>
      </c>
      <c r="AF2165" s="1" t="s">
        <v>4979</v>
      </c>
      <c r="AG2165" s="1" t="s">
        <v>53</v>
      </c>
      <c r="AH2165" s="1" t="s">
        <v>49</v>
      </c>
      <c r="AI2165" s="1" t="s">
        <v>54</v>
      </c>
      <c r="AJ2165" s="1">
        <v>1</v>
      </c>
      <c r="AK2165" s="1" t="str">
        <f t="shared" si="33"/>
        <v xml:space="preserve"> =&lt;90</v>
      </c>
      <c r="AL2165" s="1" t="str">
        <f>VLOOKUP(C:C,[1]基础信息!B$1:D$65536,3,0)</f>
        <v>Jug</v>
      </c>
      <c r="AM2165" s="1" t="str">
        <f>VLOOKUP(C:C,[1]基础信息!B$1:E$65536,4,0)</f>
        <v>Kalea XL ME4W</v>
      </c>
      <c r="AN2165" s="1" t="str">
        <f>VLOOKUP(C:C,[1]基础信息!B$1:F$65536,5,0)</f>
        <v>grey</v>
      </c>
    </row>
    <row r="2166" spans="1:40">
      <c r="A2166" s="1" t="s">
        <v>41</v>
      </c>
      <c r="B2166" s="1" t="s">
        <v>42</v>
      </c>
      <c r="C2166" s="1" t="s">
        <v>1710</v>
      </c>
      <c r="D2166" s="1" t="s">
        <v>1711</v>
      </c>
      <c r="E2166" s="1" t="s">
        <v>45</v>
      </c>
      <c r="F2166" s="1" t="s">
        <v>4976</v>
      </c>
      <c r="G2166" s="1" t="s">
        <v>5004</v>
      </c>
      <c r="H2166" s="1" t="s">
        <v>5005</v>
      </c>
      <c r="I2166" s="1" t="s">
        <v>49</v>
      </c>
      <c r="J2166" s="1" t="s">
        <v>48</v>
      </c>
      <c r="K2166" s="1">
        <v>60</v>
      </c>
      <c r="L2166" s="1">
        <v>0</v>
      </c>
      <c r="M2166" s="1">
        <v>0</v>
      </c>
      <c r="N2166" s="1">
        <v>60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 t="s">
        <v>49</v>
      </c>
      <c r="AA2166" s="1" t="s">
        <v>49</v>
      </c>
      <c r="AB2166" s="1" t="s">
        <v>49</v>
      </c>
      <c r="AC2166" s="1" t="s">
        <v>1551</v>
      </c>
      <c r="AD2166" s="1" t="s">
        <v>1552</v>
      </c>
      <c r="AE2166" s="1" t="s">
        <v>1551</v>
      </c>
      <c r="AF2166" s="1" t="s">
        <v>4979</v>
      </c>
      <c r="AG2166" s="1" t="s">
        <v>53</v>
      </c>
      <c r="AH2166" s="1" t="s">
        <v>49</v>
      </c>
      <c r="AI2166" s="1" t="s">
        <v>54</v>
      </c>
      <c r="AJ2166" s="1">
        <v>1</v>
      </c>
      <c r="AK2166" s="1" t="str">
        <f t="shared" si="33"/>
        <v xml:space="preserve"> =&lt;90</v>
      </c>
      <c r="AL2166" s="1" t="str">
        <f>VLOOKUP(C:C,[1]基础信息!B$1:D$65536,3,0)</f>
        <v>Jug</v>
      </c>
      <c r="AM2166" s="1" t="str">
        <f>VLOOKUP(C:C,[1]基础信息!B$1:E$65536,4,0)</f>
        <v>Kalea XL ME4W</v>
      </c>
      <c r="AN2166" s="1" t="str">
        <f>VLOOKUP(C:C,[1]基础信息!B$1:F$65536,5,0)</f>
        <v>grey</v>
      </c>
    </row>
    <row r="2167" spans="1:40">
      <c r="A2167" s="1" t="s">
        <v>41</v>
      </c>
      <c r="B2167" s="1" t="s">
        <v>42</v>
      </c>
      <c r="C2167" s="1" t="s">
        <v>1710</v>
      </c>
      <c r="D2167" s="1" t="s">
        <v>1711</v>
      </c>
      <c r="E2167" s="1" t="s">
        <v>45</v>
      </c>
      <c r="F2167" s="1" t="s">
        <v>4976</v>
      </c>
      <c r="G2167" s="1" t="s">
        <v>5006</v>
      </c>
      <c r="H2167" s="1" t="s">
        <v>5007</v>
      </c>
      <c r="I2167" s="1" t="s">
        <v>49</v>
      </c>
      <c r="J2167" s="1" t="s">
        <v>48</v>
      </c>
      <c r="K2167" s="1">
        <v>60</v>
      </c>
      <c r="L2167" s="1">
        <v>0</v>
      </c>
      <c r="M2167" s="1">
        <v>0</v>
      </c>
      <c r="N2167" s="1">
        <v>60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 t="s">
        <v>49</v>
      </c>
      <c r="AA2167" s="1" t="s">
        <v>49</v>
      </c>
      <c r="AB2167" s="1" t="s">
        <v>49</v>
      </c>
      <c r="AC2167" s="1" t="s">
        <v>1551</v>
      </c>
      <c r="AD2167" s="1" t="s">
        <v>1552</v>
      </c>
      <c r="AE2167" s="1" t="s">
        <v>1551</v>
      </c>
      <c r="AF2167" s="1" t="s">
        <v>4979</v>
      </c>
      <c r="AG2167" s="1" t="s">
        <v>53</v>
      </c>
      <c r="AH2167" s="1" t="s">
        <v>49</v>
      </c>
      <c r="AI2167" s="1" t="s">
        <v>54</v>
      </c>
      <c r="AJ2167" s="1">
        <v>1</v>
      </c>
      <c r="AK2167" s="1" t="str">
        <f t="shared" si="33"/>
        <v xml:space="preserve"> =&lt;90</v>
      </c>
      <c r="AL2167" s="1" t="str">
        <f>VLOOKUP(C:C,[1]基础信息!B$1:D$65536,3,0)</f>
        <v>Jug</v>
      </c>
      <c r="AM2167" s="1" t="str">
        <f>VLOOKUP(C:C,[1]基础信息!B$1:E$65536,4,0)</f>
        <v>Kalea XL ME4W</v>
      </c>
      <c r="AN2167" s="1" t="str">
        <f>VLOOKUP(C:C,[1]基础信息!B$1:F$65536,5,0)</f>
        <v>grey</v>
      </c>
    </row>
    <row r="2168" spans="1:40">
      <c r="A2168" s="1" t="s">
        <v>41</v>
      </c>
      <c r="B2168" s="1" t="s">
        <v>42</v>
      </c>
      <c r="C2168" s="1" t="s">
        <v>1710</v>
      </c>
      <c r="D2168" s="1" t="s">
        <v>1711</v>
      </c>
      <c r="E2168" s="1" t="s">
        <v>45</v>
      </c>
      <c r="F2168" s="1" t="s">
        <v>4976</v>
      </c>
      <c r="G2168" s="1" t="s">
        <v>5008</v>
      </c>
      <c r="H2168" s="1" t="s">
        <v>5009</v>
      </c>
      <c r="I2168" s="1" t="s">
        <v>49</v>
      </c>
      <c r="J2168" s="1" t="s">
        <v>48</v>
      </c>
      <c r="K2168" s="1">
        <v>60</v>
      </c>
      <c r="L2168" s="1">
        <v>0</v>
      </c>
      <c r="M2168" s="1">
        <v>0</v>
      </c>
      <c r="N2168" s="1">
        <v>60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 t="s">
        <v>49</v>
      </c>
      <c r="AA2168" s="1" t="s">
        <v>49</v>
      </c>
      <c r="AB2168" s="1" t="s">
        <v>49</v>
      </c>
      <c r="AC2168" s="1" t="s">
        <v>1551</v>
      </c>
      <c r="AD2168" s="1" t="s">
        <v>1552</v>
      </c>
      <c r="AE2168" s="1" t="s">
        <v>1551</v>
      </c>
      <c r="AF2168" s="1" t="s">
        <v>4979</v>
      </c>
      <c r="AG2168" s="1" t="s">
        <v>53</v>
      </c>
      <c r="AH2168" s="1" t="s">
        <v>49</v>
      </c>
      <c r="AI2168" s="1" t="s">
        <v>54</v>
      </c>
      <c r="AJ2168" s="1">
        <v>1</v>
      </c>
      <c r="AK2168" s="1" t="str">
        <f t="shared" si="33"/>
        <v xml:space="preserve"> =&lt;90</v>
      </c>
      <c r="AL2168" s="1" t="str">
        <f>VLOOKUP(C:C,[1]基础信息!B$1:D$65536,3,0)</f>
        <v>Jug</v>
      </c>
      <c r="AM2168" s="1" t="str">
        <f>VLOOKUP(C:C,[1]基础信息!B$1:E$65536,4,0)</f>
        <v>Kalea XL ME4W</v>
      </c>
      <c r="AN2168" s="1" t="str">
        <f>VLOOKUP(C:C,[1]基础信息!B$1:F$65536,5,0)</f>
        <v>grey</v>
      </c>
    </row>
    <row r="2169" spans="1:40">
      <c r="A2169" s="1" t="s">
        <v>41</v>
      </c>
      <c r="B2169" s="1" t="s">
        <v>42</v>
      </c>
      <c r="C2169" s="1" t="s">
        <v>1710</v>
      </c>
      <c r="D2169" s="1" t="s">
        <v>1711</v>
      </c>
      <c r="E2169" s="1" t="s">
        <v>45</v>
      </c>
      <c r="F2169" s="1" t="s">
        <v>4976</v>
      </c>
      <c r="G2169" s="1" t="s">
        <v>5010</v>
      </c>
      <c r="H2169" s="1" t="s">
        <v>5011</v>
      </c>
      <c r="I2169" s="1" t="s">
        <v>49</v>
      </c>
      <c r="J2169" s="1" t="s">
        <v>48</v>
      </c>
      <c r="K2169" s="1">
        <v>60</v>
      </c>
      <c r="L2169" s="1">
        <v>0</v>
      </c>
      <c r="M2169" s="1">
        <v>0</v>
      </c>
      <c r="N2169" s="1">
        <v>60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 t="s">
        <v>49</v>
      </c>
      <c r="AA2169" s="1" t="s">
        <v>49</v>
      </c>
      <c r="AB2169" s="1" t="s">
        <v>49</v>
      </c>
      <c r="AC2169" s="1" t="s">
        <v>1551</v>
      </c>
      <c r="AD2169" s="1" t="s">
        <v>1552</v>
      </c>
      <c r="AE2169" s="1" t="s">
        <v>1551</v>
      </c>
      <c r="AF2169" s="1" t="s">
        <v>4979</v>
      </c>
      <c r="AG2169" s="1" t="s">
        <v>53</v>
      </c>
      <c r="AH2169" s="1" t="s">
        <v>49</v>
      </c>
      <c r="AI2169" s="1" t="s">
        <v>54</v>
      </c>
      <c r="AJ2169" s="1">
        <v>1</v>
      </c>
      <c r="AK2169" s="1" t="str">
        <f t="shared" si="33"/>
        <v xml:space="preserve"> =&lt;90</v>
      </c>
      <c r="AL2169" s="1" t="str">
        <f>VLOOKUP(C:C,[1]基础信息!B$1:D$65536,3,0)</f>
        <v>Jug</v>
      </c>
      <c r="AM2169" s="1" t="str">
        <f>VLOOKUP(C:C,[1]基础信息!B$1:E$65536,4,0)</f>
        <v>Kalea XL ME4W</v>
      </c>
      <c r="AN2169" s="1" t="str">
        <f>VLOOKUP(C:C,[1]基础信息!B$1:F$65536,5,0)</f>
        <v>grey</v>
      </c>
    </row>
    <row r="2170" spans="1:40">
      <c r="A2170" s="1" t="s">
        <v>41</v>
      </c>
      <c r="B2170" s="1" t="s">
        <v>42</v>
      </c>
      <c r="C2170" s="1" t="s">
        <v>1710</v>
      </c>
      <c r="D2170" s="1" t="s">
        <v>1711</v>
      </c>
      <c r="E2170" s="1" t="s">
        <v>45</v>
      </c>
      <c r="F2170" s="1" t="s">
        <v>4976</v>
      </c>
      <c r="G2170" s="1" t="s">
        <v>5012</v>
      </c>
      <c r="H2170" s="1" t="s">
        <v>5013</v>
      </c>
      <c r="I2170" s="1" t="s">
        <v>49</v>
      </c>
      <c r="J2170" s="1" t="s">
        <v>48</v>
      </c>
      <c r="K2170" s="1">
        <v>60</v>
      </c>
      <c r="L2170" s="1">
        <v>0</v>
      </c>
      <c r="M2170" s="1">
        <v>0</v>
      </c>
      <c r="N2170" s="1">
        <v>60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 t="s">
        <v>49</v>
      </c>
      <c r="AA2170" s="1" t="s">
        <v>49</v>
      </c>
      <c r="AB2170" s="1" t="s">
        <v>49</v>
      </c>
      <c r="AC2170" s="1" t="s">
        <v>1551</v>
      </c>
      <c r="AD2170" s="1" t="s">
        <v>1552</v>
      </c>
      <c r="AE2170" s="1" t="s">
        <v>1551</v>
      </c>
      <c r="AF2170" s="1" t="s">
        <v>4979</v>
      </c>
      <c r="AG2170" s="1" t="s">
        <v>53</v>
      </c>
      <c r="AH2170" s="1" t="s">
        <v>49</v>
      </c>
      <c r="AI2170" s="1" t="s">
        <v>54</v>
      </c>
      <c r="AJ2170" s="1">
        <v>1</v>
      </c>
      <c r="AK2170" s="1" t="str">
        <f t="shared" si="33"/>
        <v xml:space="preserve"> =&lt;90</v>
      </c>
      <c r="AL2170" s="1" t="str">
        <f>VLOOKUP(C:C,[1]基础信息!B$1:D$65536,3,0)</f>
        <v>Jug</v>
      </c>
      <c r="AM2170" s="1" t="str">
        <f>VLOOKUP(C:C,[1]基础信息!B$1:E$65536,4,0)</f>
        <v>Kalea XL ME4W</v>
      </c>
      <c r="AN2170" s="1" t="str">
        <f>VLOOKUP(C:C,[1]基础信息!B$1:F$65536,5,0)</f>
        <v>grey</v>
      </c>
    </row>
    <row r="2171" spans="1:40">
      <c r="A2171" s="1" t="s">
        <v>41</v>
      </c>
      <c r="B2171" s="1" t="s">
        <v>42</v>
      </c>
      <c r="C2171" s="1" t="s">
        <v>1710</v>
      </c>
      <c r="D2171" s="1" t="s">
        <v>1711</v>
      </c>
      <c r="E2171" s="1" t="s">
        <v>45</v>
      </c>
      <c r="F2171" s="1" t="s">
        <v>4976</v>
      </c>
      <c r="G2171" s="1" t="s">
        <v>5014</v>
      </c>
      <c r="H2171" s="1" t="s">
        <v>5015</v>
      </c>
      <c r="I2171" s="1" t="s">
        <v>49</v>
      </c>
      <c r="J2171" s="1" t="s">
        <v>48</v>
      </c>
      <c r="K2171" s="1">
        <v>60</v>
      </c>
      <c r="L2171" s="1">
        <v>0</v>
      </c>
      <c r="M2171" s="1">
        <v>0</v>
      </c>
      <c r="N2171" s="1">
        <v>60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 t="s">
        <v>49</v>
      </c>
      <c r="AA2171" s="1" t="s">
        <v>49</v>
      </c>
      <c r="AB2171" s="1" t="s">
        <v>49</v>
      </c>
      <c r="AC2171" s="1" t="s">
        <v>1551</v>
      </c>
      <c r="AD2171" s="1" t="s">
        <v>1552</v>
      </c>
      <c r="AE2171" s="1" t="s">
        <v>1551</v>
      </c>
      <c r="AF2171" s="1" t="s">
        <v>4979</v>
      </c>
      <c r="AG2171" s="1" t="s">
        <v>53</v>
      </c>
      <c r="AH2171" s="1" t="s">
        <v>49</v>
      </c>
      <c r="AI2171" s="1" t="s">
        <v>54</v>
      </c>
      <c r="AJ2171" s="1">
        <v>1</v>
      </c>
      <c r="AK2171" s="1" t="str">
        <f t="shared" si="33"/>
        <v xml:space="preserve"> =&lt;90</v>
      </c>
      <c r="AL2171" s="1" t="str">
        <f>VLOOKUP(C:C,[1]基础信息!B$1:D$65536,3,0)</f>
        <v>Jug</v>
      </c>
      <c r="AM2171" s="1" t="str">
        <f>VLOOKUP(C:C,[1]基础信息!B$1:E$65536,4,0)</f>
        <v>Kalea XL ME4W</v>
      </c>
      <c r="AN2171" s="1" t="str">
        <f>VLOOKUP(C:C,[1]基础信息!B$1:F$65536,5,0)</f>
        <v>grey</v>
      </c>
    </row>
    <row r="2172" spans="1:40">
      <c r="A2172" s="1" t="s">
        <v>41</v>
      </c>
      <c r="B2172" s="1" t="s">
        <v>42</v>
      </c>
      <c r="C2172" s="1" t="s">
        <v>1710</v>
      </c>
      <c r="D2172" s="1" t="s">
        <v>1711</v>
      </c>
      <c r="E2172" s="1" t="s">
        <v>45</v>
      </c>
      <c r="F2172" s="1" t="s">
        <v>4976</v>
      </c>
      <c r="G2172" s="1" t="s">
        <v>5016</v>
      </c>
      <c r="H2172" s="1" t="s">
        <v>5017</v>
      </c>
      <c r="I2172" s="1" t="s">
        <v>49</v>
      </c>
      <c r="J2172" s="1" t="s">
        <v>48</v>
      </c>
      <c r="K2172" s="1">
        <v>60</v>
      </c>
      <c r="L2172" s="1">
        <v>0</v>
      </c>
      <c r="M2172" s="1">
        <v>0</v>
      </c>
      <c r="N2172" s="1">
        <v>60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 t="s">
        <v>49</v>
      </c>
      <c r="AA2172" s="1" t="s">
        <v>49</v>
      </c>
      <c r="AB2172" s="1" t="s">
        <v>49</v>
      </c>
      <c r="AC2172" s="1" t="s">
        <v>1551</v>
      </c>
      <c r="AD2172" s="1" t="s">
        <v>1552</v>
      </c>
      <c r="AE2172" s="1" t="s">
        <v>1551</v>
      </c>
      <c r="AF2172" s="1" t="s">
        <v>4979</v>
      </c>
      <c r="AG2172" s="1" t="s">
        <v>53</v>
      </c>
      <c r="AH2172" s="1" t="s">
        <v>49</v>
      </c>
      <c r="AI2172" s="1" t="s">
        <v>54</v>
      </c>
      <c r="AJ2172" s="1">
        <v>1</v>
      </c>
      <c r="AK2172" s="1" t="str">
        <f t="shared" si="33"/>
        <v xml:space="preserve"> =&lt;90</v>
      </c>
      <c r="AL2172" s="1" t="str">
        <f>VLOOKUP(C:C,[1]基础信息!B$1:D$65536,3,0)</f>
        <v>Jug</v>
      </c>
      <c r="AM2172" s="1" t="str">
        <f>VLOOKUP(C:C,[1]基础信息!B$1:E$65536,4,0)</f>
        <v>Kalea XL ME4W</v>
      </c>
      <c r="AN2172" s="1" t="str">
        <f>VLOOKUP(C:C,[1]基础信息!B$1:F$65536,5,0)</f>
        <v>grey</v>
      </c>
    </row>
    <row r="2173" spans="1:40">
      <c r="A2173" s="1" t="s">
        <v>41</v>
      </c>
      <c r="B2173" s="1" t="s">
        <v>42</v>
      </c>
      <c r="C2173" s="1" t="s">
        <v>1710</v>
      </c>
      <c r="D2173" s="1" t="s">
        <v>1711</v>
      </c>
      <c r="E2173" s="1" t="s">
        <v>45</v>
      </c>
      <c r="F2173" s="1" t="s">
        <v>4976</v>
      </c>
      <c r="G2173" s="1" t="s">
        <v>5018</v>
      </c>
      <c r="H2173" s="1" t="s">
        <v>5019</v>
      </c>
      <c r="I2173" s="1" t="s">
        <v>49</v>
      </c>
      <c r="J2173" s="1" t="s">
        <v>48</v>
      </c>
      <c r="K2173" s="1">
        <v>60</v>
      </c>
      <c r="L2173" s="1">
        <v>0</v>
      </c>
      <c r="M2173" s="1">
        <v>0</v>
      </c>
      <c r="N2173" s="1">
        <v>60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 t="s">
        <v>49</v>
      </c>
      <c r="AA2173" s="1" t="s">
        <v>49</v>
      </c>
      <c r="AB2173" s="1" t="s">
        <v>49</v>
      </c>
      <c r="AC2173" s="1" t="s">
        <v>1551</v>
      </c>
      <c r="AD2173" s="1" t="s">
        <v>1552</v>
      </c>
      <c r="AE2173" s="1" t="s">
        <v>1551</v>
      </c>
      <c r="AF2173" s="1" t="s">
        <v>4979</v>
      </c>
      <c r="AG2173" s="1" t="s">
        <v>53</v>
      </c>
      <c r="AH2173" s="1" t="s">
        <v>49</v>
      </c>
      <c r="AI2173" s="1" t="s">
        <v>54</v>
      </c>
      <c r="AJ2173" s="1">
        <v>1</v>
      </c>
      <c r="AK2173" s="1" t="str">
        <f t="shared" si="33"/>
        <v xml:space="preserve"> =&lt;90</v>
      </c>
      <c r="AL2173" s="1" t="str">
        <f>VLOOKUP(C:C,[1]基础信息!B$1:D$65536,3,0)</f>
        <v>Jug</v>
      </c>
      <c r="AM2173" s="1" t="str">
        <f>VLOOKUP(C:C,[1]基础信息!B$1:E$65536,4,0)</f>
        <v>Kalea XL ME4W</v>
      </c>
      <c r="AN2173" s="1" t="str">
        <f>VLOOKUP(C:C,[1]基础信息!B$1:F$65536,5,0)</f>
        <v>grey</v>
      </c>
    </row>
    <row r="2174" spans="1:40">
      <c r="A2174" s="1" t="s">
        <v>41</v>
      </c>
      <c r="B2174" s="1" t="s">
        <v>42</v>
      </c>
      <c r="C2174" s="1" t="s">
        <v>1710</v>
      </c>
      <c r="D2174" s="1" t="s">
        <v>1711</v>
      </c>
      <c r="E2174" s="1" t="s">
        <v>45</v>
      </c>
      <c r="F2174" s="1" t="s">
        <v>4976</v>
      </c>
      <c r="G2174" s="1" t="s">
        <v>5020</v>
      </c>
      <c r="H2174" s="1" t="s">
        <v>5021</v>
      </c>
      <c r="I2174" s="1" t="s">
        <v>49</v>
      </c>
      <c r="J2174" s="1" t="s">
        <v>48</v>
      </c>
      <c r="K2174" s="1">
        <v>60</v>
      </c>
      <c r="L2174" s="1">
        <v>0</v>
      </c>
      <c r="M2174" s="1">
        <v>0</v>
      </c>
      <c r="N2174" s="1">
        <v>60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 t="s">
        <v>49</v>
      </c>
      <c r="AA2174" s="1" t="s">
        <v>49</v>
      </c>
      <c r="AB2174" s="1" t="s">
        <v>49</v>
      </c>
      <c r="AC2174" s="1" t="s">
        <v>1551</v>
      </c>
      <c r="AD2174" s="1" t="s">
        <v>1552</v>
      </c>
      <c r="AE2174" s="1" t="s">
        <v>1551</v>
      </c>
      <c r="AF2174" s="1" t="s">
        <v>4979</v>
      </c>
      <c r="AG2174" s="1" t="s">
        <v>53</v>
      </c>
      <c r="AH2174" s="1" t="s">
        <v>49</v>
      </c>
      <c r="AI2174" s="1" t="s">
        <v>54</v>
      </c>
      <c r="AJ2174" s="1">
        <v>1</v>
      </c>
      <c r="AK2174" s="1" t="str">
        <f t="shared" si="33"/>
        <v xml:space="preserve"> =&lt;90</v>
      </c>
      <c r="AL2174" s="1" t="str">
        <f>VLOOKUP(C:C,[1]基础信息!B$1:D$65536,3,0)</f>
        <v>Jug</v>
      </c>
      <c r="AM2174" s="1" t="str">
        <f>VLOOKUP(C:C,[1]基础信息!B$1:E$65536,4,0)</f>
        <v>Kalea XL ME4W</v>
      </c>
      <c r="AN2174" s="1" t="str">
        <f>VLOOKUP(C:C,[1]基础信息!B$1:F$65536,5,0)</f>
        <v>grey</v>
      </c>
    </row>
    <row r="2175" spans="1:40">
      <c r="A2175" s="1" t="s">
        <v>41</v>
      </c>
      <c r="B2175" s="1" t="s">
        <v>42</v>
      </c>
      <c r="C2175" s="1" t="s">
        <v>1710</v>
      </c>
      <c r="D2175" s="1" t="s">
        <v>1711</v>
      </c>
      <c r="E2175" s="1" t="s">
        <v>45</v>
      </c>
      <c r="F2175" s="1" t="s">
        <v>4976</v>
      </c>
      <c r="G2175" s="1" t="s">
        <v>5022</v>
      </c>
      <c r="H2175" s="1" t="s">
        <v>5023</v>
      </c>
      <c r="I2175" s="1" t="s">
        <v>49</v>
      </c>
      <c r="J2175" s="1" t="s">
        <v>48</v>
      </c>
      <c r="K2175" s="1">
        <v>60</v>
      </c>
      <c r="L2175" s="1">
        <v>0</v>
      </c>
      <c r="M2175" s="1">
        <v>0</v>
      </c>
      <c r="N2175" s="1">
        <v>60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 t="s">
        <v>49</v>
      </c>
      <c r="AA2175" s="1" t="s">
        <v>49</v>
      </c>
      <c r="AB2175" s="1" t="s">
        <v>49</v>
      </c>
      <c r="AC2175" s="1" t="s">
        <v>1551</v>
      </c>
      <c r="AD2175" s="1" t="s">
        <v>1552</v>
      </c>
      <c r="AE2175" s="1" t="s">
        <v>1551</v>
      </c>
      <c r="AF2175" s="1" t="s">
        <v>4979</v>
      </c>
      <c r="AG2175" s="1" t="s">
        <v>53</v>
      </c>
      <c r="AH2175" s="1" t="s">
        <v>49</v>
      </c>
      <c r="AI2175" s="1" t="s">
        <v>54</v>
      </c>
      <c r="AJ2175" s="1">
        <v>1</v>
      </c>
      <c r="AK2175" s="1" t="str">
        <f t="shared" si="33"/>
        <v xml:space="preserve"> =&lt;90</v>
      </c>
      <c r="AL2175" s="1" t="str">
        <f>VLOOKUP(C:C,[1]基础信息!B$1:D$65536,3,0)</f>
        <v>Jug</v>
      </c>
      <c r="AM2175" s="1" t="str">
        <f>VLOOKUP(C:C,[1]基础信息!B$1:E$65536,4,0)</f>
        <v>Kalea XL ME4W</v>
      </c>
      <c r="AN2175" s="1" t="str">
        <f>VLOOKUP(C:C,[1]基础信息!B$1:F$65536,5,0)</f>
        <v>grey</v>
      </c>
    </row>
    <row r="2176" spans="1:40">
      <c r="A2176" s="1" t="s">
        <v>41</v>
      </c>
      <c r="B2176" s="1" t="s">
        <v>42</v>
      </c>
      <c r="C2176" s="1" t="s">
        <v>1710</v>
      </c>
      <c r="D2176" s="1" t="s">
        <v>1711</v>
      </c>
      <c r="E2176" s="1" t="s">
        <v>45</v>
      </c>
      <c r="F2176" s="1" t="s">
        <v>4976</v>
      </c>
      <c r="G2176" s="1" t="s">
        <v>5024</v>
      </c>
      <c r="H2176" s="1" t="s">
        <v>5025</v>
      </c>
      <c r="I2176" s="1" t="s">
        <v>49</v>
      </c>
      <c r="J2176" s="1" t="s">
        <v>48</v>
      </c>
      <c r="K2176" s="1">
        <v>60</v>
      </c>
      <c r="L2176" s="1">
        <v>0</v>
      </c>
      <c r="M2176" s="1">
        <v>0</v>
      </c>
      <c r="N2176" s="1">
        <v>60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 t="s">
        <v>49</v>
      </c>
      <c r="AA2176" s="1" t="s">
        <v>49</v>
      </c>
      <c r="AB2176" s="1" t="s">
        <v>49</v>
      </c>
      <c r="AC2176" s="1" t="s">
        <v>1551</v>
      </c>
      <c r="AD2176" s="1" t="s">
        <v>1552</v>
      </c>
      <c r="AE2176" s="1" t="s">
        <v>1551</v>
      </c>
      <c r="AF2176" s="1" t="s">
        <v>4979</v>
      </c>
      <c r="AG2176" s="1" t="s">
        <v>53</v>
      </c>
      <c r="AH2176" s="1" t="s">
        <v>49</v>
      </c>
      <c r="AI2176" s="1" t="s">
        <v>54</v>
      </c>
      <c r="AJ2176" s="1">
        <v>1</v>
      </c>
      <c r="AK2176" s="1" t="str">
        <f t="shared" si="33"/>
        <v xml:space="preserve"> =&lt;90</v>
      </c>
      <c r="AL2176" s="1" t="str">
        <f>VLOOKUP(C:C,[1]基础信息!B$1:D$65536,3,0)</f>
        <v>Jug</v>
      </c>
      <c r="AM2176" s="1" t="str">
        <f>VLOOKUP(C:C,[1]基础信息!B$1:E$65536,4,0)</f>
        <v>Kalea XL ME4W</v>
      </c>
      <c r="AN2176" s="1" t="str">
        <f>VLOOKUP(C:C,[1]基础信息!B$1:F$65536,5,0)</f>
        <v>grey</v>
      </c>
    </row>
    <row r="2177" spans="1:40">
      <c r="A2177" s="1" t="s">
        <v>41</v>
      </c>
      <c r="B2177" s="1" t="s">
        <v>42</v>
      </c>
      <c r="C2177" s="1" t="s">
        <v>1710</v>
      </c>
      <c r="D2177" s="1" t="s">
        <v>1711</v>
      </c>
      <c r="E2177" s="1" t="s">
        <v>45</v>
      </c>
      <c r="F2177" s="1" t="s">
        <v>4976</v>
      </c>
      <c r="G2177" s="1" t="s">
        <v>5026</v>
      </c>
      <c r="H2177" s="1" t="s">
        <v>5027</v>
      </c>
      <c r="I2177" s="1" t="s">
        <v>49</v>
      </c>
      <c r="J2177" s="1" t="s">
        <v>48</v>
      </c>
      <c r="K2177" s="1">
        <v>60</v>
      </c>
      <c r="L2177" s="1">
        <v>0</v>
      </c>
      <c r="M2177" s="1">
        <v>0</v>
      </c>
      <c r="N2177" s="1">
        <v>60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 t="s">
        <v>49</v>
      </c>
      <c r="AA2177" s="1" t="s">
        <v>49</v>
      </c>
      <c r="AB2177" s="1" t="s">
        <v>49</v>
      </c>
      <c r="AC2177" s="1" t="s">
        <v>1551</v>
      </c>
      <c r="AD2177" s="1" t="s">
        <v>1552</v>
      </c>
      <c r="AE2177" s="1" t="s">
        <v>1551</v>
      </c>
      <c r="AF2177" s="1" t="s">
        <v>4979</v>
      </c>
      <c r="AG2177" s="1" t="s">
        <v>53</v>
      </c>
      <c r="AH2177" s="1" t="s">
        <v>49</v>
      </c>
      <c r="AI2177" s="1" t="s">
        <v>54</v>
      </c>
      <c r="AJ2177" s="1">
        <v>1</v>
      </c>
      <c r="AK2177" s="1" t="str">
        <f t="shared" si="33"/>
        <v xml:space="preserve"> =&lt;90</v>
      </c>
      <c r="AL2177" s="1" t="str">
        <f>VLOOKUP(C:C,[1]基础信息!B$1:D$65536,3,0)</f>
        <v>Jug</v>
      </c>
      <c r="AM2177" s="1" t="str">
        <f>VLOOKUP(C:C,[1]基础信息!B$1:E$65536,4,0)</f>
        <v>Kalea XL ME4W</v>
      </c>
      <c r="AN2177" s="1" t="str">
        <f>VLOOKUP(C:C,[1]基础信息!B$1:F$65536,5,0)</f>
        <v>grey</v>
      </c>
    </row>
    <row r="2178" spans="1:40">
      <c r="A2178" s="1" t="s">
        <v>41</v>
      </c>
      <c r="B2178" s="1" t="s">
        <v>42</v>
      </c>
      <c r="C2178" s="1" t="s">
        <v>1710</v>
      </c>
      <c r="D2178" s="1" t="s">
        <v>1711</v>
      </c>
      <c r="E2178" s="1" t="s">
        <v>45</v>
      </c>
      <c r="F2178" s="1" t="s">
        <v>4976</v>
      </c>
      <c r="G2178" s="1" t="s">
        <v>5028</v>
      </c>
      <c r="H2178" s="1" t="s">
        <v>5029</v>
      </c>
      <c r="I2178" s="1" t="s">
        <v>49</v>
      </c>
      <c r="J2178" s="1" t="s">
        <v>48</v>
      </c>
      <c r="K2178" s="1">
        <v>60</v>
      </c>
      <c r="L2178" s="1">
        <v>0</v>
      </c>
      <c r="M2178" s="1">
        <v>0</v>
      </c>
      <c r="N2178" s="1">
        <v>60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 t="s">
        <v>49</v>
      </c>
      <c r="AA2178" s="1" t="s">
        <v>49</v>
      </c>
      <c r="AB2178" s="1" t="s">
        <v>49</v>
      </c>
      <c r="AC2178" s="1" t="s">
        <v>1551</v>
      </c>
      <c r="AD2178" s="1" t="s">
        <v>1552</v>
      </c>
      <c r="AE2178" s="1" t="s">
        <v>1551</v>
      </c>
      <c r="AF2178" s="1" t="s">
        <v>4979</v>
      </c>
      <c r="AG2178" s="1" t="s">
        <v>53</v>
      </c>
      <c r="AH2178" s="1" t="s">
        <v>49</v>
      </c>
      <c r="AI2178" s="1" t="s">
        <v>54</v>
      </c>
      <c r="AJ2178" s="1">
        <v>1</v>
      </c>
      <c r="AK2178" s="1" t="str">
        <f t="shared" ref="AK2178:AK2241" si="34">IF(AJ2178&gt;$AP$2,$AQ$2,IF(AJ2178&gt;$AP$3,$AQ$3,IF(AJ2178&gt;$AP$4,$AQ$4,$AQ$5)))</f>
        <v xml:space="preserve"> =&lt;90</v>
      </c>
      <c r="AL2178" s="1" t="str">
        <f>VLOOKUP(C:C,[1]基础信息!B$1:D$65536,3,0)</f>
        <v>Jug</v>
      </c>
      <c r="AM2178" s="1" t="str">
        <f>VLOOKUP(C:C,[1]基础信息!B$1:E$65536,4,0)</f>
        <v>Kalea XL ME4W</v>
      </c>
      <c r="AN2178" s="1" t="str">
        <f>VLOOKUP(C:C,[1]基础信息!B$1:F$65536,5,0)</f>
        <v>grey</v>
      </c>
    </row>
    <row r="2179" spans="1:40">
      <c r="A2179" s="1" t="s">
        <v>41</v>
      </c>
      <c r="B2179" s="1" t="s">
        <v>42</v>
      </c>
      <c r="C2179" s="1" t="s">
        <v>1710</v>
      </c>
      <c r="D2179" s="1" t="s">
        <v>1711</v>
      </c>
      <c r="E2179" s="1" t="s">
        <v>45</v>
      </c>
      <c r="F2179" s="1" t="s">
        <v>4976</v>
      </c>
      <c r="G2179" s="1" t="s">
        <v>5030</v>
      </c>
      <c r="H2179" s="1" t="s">
        <v>5031</v>
      </c>
      <c r="I2179" s="1" t="s">
        <v>49</v>
      </c>
      <c r="J2179" s="1" t="s">
        <v>48</v>
      </c>
      <c r="K2179" s="1">
        <v>60</v>
      </c>
      <c r="L2179" s="1">
        <v>0</v>
      </c>
      <c r="M2179" s="1">
        <v>0</v>
      </c>
      <c r="N2179" s="1">
        <v>60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 t="s">
        <v>49</v>
      </c>
      <c r="AA2179" s="1" t="s">
        <v>49</v>
      </c>
      <c r="AB2179" s="1" t="s">
        <v>49</v>
      </c>
      <c r="AC2179" s="1" t="s">
        <v>1551</v>
      </c>
      <c r="AD2179" s="1" t="s">
        <v>1552</v>
      </c>
      <c r="AE2179" s="1" t="s">
        <v>1551</v>
      </c>
      <c r="AF2179" s="1" t="s">
        <v>4979</v>
      </c>
      <c r="AG2179" s="1" t="s">
        <v>53</v>
      </c>
      <c r="AH2179" s="1" t="s">
        <v>49</v>
      </c>
      <c r="AI2179" s="1" t="s">
        <v>54</v>
      </c>
      <c r="AJ2179" s="1">
        <v>1</v>
      </c>
      <c r="AK2179" s="1" t="str">
        <f t="shared" si="34"/>
        <v xml:space="preserve"> =&lt;90</v>
      </c>
      <c r="AL2179" s="1" t="str">
        <f>VLOOKUP(C:C,[1]基础信息!B$1:D$65536,3,0)</f>
        <v>Jug</v>
      </c>
      <c r="AM2179" s="1" t="str">
        <f>VLOOKUP(C:C,[1]基础信息!B$1:E$65536,4,0)</f>
        <v>Kalea XL ME4W</v>
      </c>
      <c r="AN2179" s="1" t="str">
        <f>VLOOKUP(C:C,[1]基础信息!B$1:F$65536,5,0)</f>
        <v>grey</v>
      </c>
    </row>
    <row r="2180" spans="1:40">
      <c r="A2180" s="1" t="s">
        <v>41</v>
      </c>
      <c r="B2180" s="1" t="s">
        <v>42</v>
      </c>
      <c r="C2180" s="1" t="s">
        <v>1710</v>
      </c>
      <c r="D2180" s="1" t="s">
        <v>1711</v>
      </c>
      <c r="E2180" s="1" t="s">
        <v>45</v>
      </c>
      <c r="F2180" s="1" t="s">
        <v>4976</v>
      </c>
      <c r="G2180" s="1" t="s">
        <v>5032</v>
      </c>
      <c r="H2180" s="1" t="s">
        <v>5033</v>
      </c>
      <c r="I2180" s="1" t="s">
        <v>49</v>
      </c>
      <c r="J2180" s="1" t="s">
        <v>48</v>
      </c>
      <c r="K2180" s="1">
        <v>60</v>
      </c>
      <c r="L2180" s="1">
        <v>0</v>
      </c>
      <c r="M2180" s="1">
        <v>0</v>
      </c>
      <c r="N2180" s="1">
        <v>60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 t="s">
        <v>49</v>
      </c>
      <c r="AA2180" s="1" t="s">
        <v>49</v>
      </c>
      <c r="AB2180" s="1" t="s">
        <v>49</v>
      </c>
      <c r="AC2180" s="1" t="s">
        <v>1551</v>
      </c>
      <c r="AD2180" s="1" t="s">
        <v>1552</v>
      </c>
      <c r="AE2180" s="1" t="s">
        <v>1551</v>
      </c>
      <c r="AF2180" s="1" t="s">
        <v>4979</v>
      </c>
      <c r="AG2180" s="1" t="s">
        <v>53</v>
      </c>
      <c r="AH2180" s="1" t="s">
        <v>49</v>
      </c>
      <c r="AI2180" s="1" t="s">
        <v>54</v>
      </c>
      <c r="AJ2180" s="1">
        <v>1</v>
      </c>
      <c r="AK2180" s="1" t="str">
        <f t="shared" si="34"/>
        <v xml:space="preserve"> =&lt;90</v>
      </c>
      <c r="AL2180" s="1" t="str">
        <f>VLOOKUP(C:C,[1]基础信息!B$1:D$65536,3,0)</f>
        <v>Jug</v>
      </c>
      <c r="AM2180" s="1" t="str">
        <f>VLOOKUP(C:C,[1]基础信息!B$1:E$65536,4,0)</f>
        <v>Kalea XL ME4W</v>
      </c>
      <c r="AN2180" s="1" t="str">
        <f>VLOOKUP(C:C,[1]基础信息!B$1:F$65536,5,0)</f>
        <v>grey</v>
      </c>
    </row>
    <row r="2181" spans="1:40">
      <c r="A2181" s="1" t="s">
        <v>41</v>
      </c>
      <c r="B2181" s="1" t="s">
        <v>42</v>
      </c>
      <c r="C2181" s="1" t="s">
        <v>1710</v>
      </c>
      <c r="D2181" s="1" t="s">
        <v>1711</v>
      </c>
      <c r="E2181" s="1" t="s">
        <v>45</v>
      </c>
      <c r="F2181" s="1" t="s">
        <v>4976</v>
      </c>
      <c r="G2181" s="1" t="s">
        <v>5034</v>
      </c>
      <c r="H2181" s="1" t="s">
        <v>5035</v>
      </c>
      <c r="I2181" s="1" t="s">
        <v>49</v>
      </c>
      <c r="J2181" s="1" t="s">
        <v>48</v>
      </c>
      <c r="K2181" s="1">
        <v>60</v>
      </c>
      <c r="L2181" s="1">
        <v>0</v>
      </c>
      <c r="M2181" s="1">
        <v>0</v>
      </c>
      <c r="N2181" s="1">
        <v>60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 t="s">
        <v>49</v>
      </c>
      <c r="AA2181" s="1" t="s">
        <v>49</v>
      </c>
      <c r="AB2181" s="1" t="s">
        <v>49</v>
      </c>
      <c r="AC2181" s="1" t="s">
        <v>1551</v>
      </c>
      <c r="AD2181" s="1" t="s">
        <v>1552</v>
      </c>
      <c r="AE2181" s="1" t="s">
        <v>1551</v>
      </c>
      <c r="AF2181" s="1" t="s">
        <v>4979</v>
      </c>
      <c r="AG2181" s="1" t="s">
        <v>53</v>
      </c>
      <c r="AH2181" s="1" t="s">
        <v>49</v>
      </c>
      <c r="AI2181" s="1" t="s">
        <v>54</v>
      </c>
      <c r="AJ2181" s="1">
        <v>1</v>
      </c>
      <c r="AK2181" s="1" t="str">
        <f t="shared" si="34"/>
        <v xml:space="preserve"> =&lt;90</v>
      </c>
      <c r="AL2181" s="1" t="str">
        <f>VLOOKUP(C:C,[1]基础信息!B$1:D$65536,3,0)</f>
        <v>Jug</v>
      </c>
      <c r="AM2181" s="1" t="str">
        <f>VLOOKUP(C:C,[1]基础信息!B$1:E$65536,4,0)</f>
        <v>Kalea XL ME4W</v>
      </c>
      <c r="AN2181" s="1" t="str">
        <f>VLOOKUP(C:C,[1]基础信息!B$1:F$65536,5,0)</f>
        <v>grey</v>
      </c>
    </row>
    <row r="2182" spans="1:40">
      <c r="A2182" s="1" t="s">
        <v>41</v>
      </c>
      <c r="B2182" s="1" t="s">
        <v>42</v>
      </c>
      <c r="C2182" s="1" t="s">
        <v>1710</v>
      </c>
      <c r="D2182" s="1" t="s">
        <v>1711</v>
      </c>
      <c r="E2182" s="1" t="s">
        <v>45</v>
      </c>
      <c r="F2182" s="1" t="s">
        <v>4976</v>
      </c>
      <c r="G2182" s="1" t="s">
        <v>5036</v>
      </c>
      <c r="H2182" s="1" t="s">
        <v>5037</v>
      </c>
      <c r="I2182" s="1" t="s">
        <v>49</v>
      </c>
      <c r="J2182" s="1" t="s">
        <v>48</v>
      </c>
      <c r="K2182" s="1">
        <v>60</v>
      </c>
      <c r="L2182" s="1">
        <v>0</v>
      </c>
      <c r="M2182" s="1">
        <v>0</v>
      </c>
      <c r="N2182" s="1">
        <v>60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 t="s">
        <v>49</v>
      </c>
      <c r="AA2182" s="1" t="s">
        <v>49</v>
      </c>
      <c r="AB2182" s="1" t="s">
        <v>49</v>
      </c>
      <c r="AC2182" s="1" t="s">
        <v>1551</v>
      </c>
      <c r="AD2182" s="1" t="s">
        <v>1552</v>
      </c>
      <c r="AE2182" s="1" t="s">
        <v>1551</v>
      </c>
      <c r="AF2182" s="1" t="s">
        <v>4979</v>
      </c>
      <c r="AG2182" s="1" t="s">
        <v>53</v>
      </c>
      <c r="AH2182" s="1" t="s">
        <v>49</v>
      </c>
      <c r="AI2182" s="1" t="s">
        <v>54</v>
      </c>
      <c r="AJ2182" s="1">
        <v>1</v>
      </c>
      <c r="AK2182" s="1" t="str">
        <f t="shared" si="34"/>
        <v xml:space="preserve"> =&lt;90</v>
      </c>
      <c r="AL2182" s="1" t="str">
        <f>VLOOKUP(C:C,[1]基础信息!B$1:D$65536,3,0)</f>
        <v>Jug</v>
      </c>
      <c r="AM2182" s="1" t="str">
        <f>VLOOKUP(C:C,[1]基础信息!B$1:E$65536,4,0)</f>
        <v>Kalea XL ME4W</v>
      </c>
      <c r="AN2182" s="1" t="str">
        <f>VLOOKUP(C:C,[1]基础信息!B$1:F$65536,5,0)</f>
        <v>grey</v>
      </c>
    </row>
    <row r="2183" spans="1:40">
      <c r="A2183" s="1" t="s">
        <v>41</v>
      </c>
      <c r="B2183" s="1" t="s">
        <v>42</v>
      </c>
      <c r="C2183" s="1" t="s">
        <v>1710</v>
      </c>
      <c r="D2183" s="1" t="s">
        <v>1711</v>
      </c>
      <c r="E2183" s="1" t="s">
        <v>45</v>
      </c>
      <c r="F2183" s="1" t="s">
        <v>4976</v>
      </c>
      <c r="G2183" s="1" t="s">
        <v>5038</v>
      </c>
      <c r="H2183" s="1" t="s">
        <v>5039</v>
      </c>
      <c r="I2183" s="1" t="s">
        <v>49</v>
      </c>
      <c r="J2183" s="1" t="s">
        <v>48</v>
      </c>
      <c r="K2183" s="1">
        <v>60</v>
      </c>
      <c r="L2183" s="1">
        <v>0</v>
      </c>
      <c r="M2183" s="1">
        <v>0</v>
      </c>
      <c r="N2183" s="1">
        <v>60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 t="s">
        <v>49</v>
      </c>
      <c r="AA2183" s="1" t="s">
        <v>49</v>
      </c>
      <c r="AB2183" s="1" t="s">
        <v>49</v>
      </c>
      <c r="AC2183" s="1" t="s">
        <v>1551</v>
      </c>
      <c r="AD2183" s="1" t="s">
        <v>1552</v>
      </c>
      <c r="AE2183" s="1" t="s">
        <v>1551</v>
      </c>
      <c r="AF2183" s="1" t="s">
        <v>4979</v>
      </c>
      <c r="AG2183" s="1" t="s">
        <v>53</v>
      </c>
      <c r="AH2183" s="1" t="s">
        <v>49</v>
      </c>
      <c r="AI2183" s="1" t="s">
        <v>54</v>
      </c>
      <c r="AJ2183" s="1">
        <v>1</v>
      </c>
      <c r="AK2183" s="1" t="str">
        <f t="shared" si="34"/>
        <v xml:space="preserve"> =&lt;90</v>
      </c>
      <c r="AL2183" s="1" t="str">
        <f>VLOOKUP(C:C,[1]基础信息!B$1:D$65536,3,0)</f>
        <v>Jug</v>
      </c>
      <c r="AM2183" s="1" t="str">
        <f>VLOOKUP(C:C,[1]基础信息!B$1:E$65536,4,0)</f>
        <v>Kalea XL ME4W</v>
      </c>
      <c r="AN2183" s="1" t="str">
        <f>VLOOKUP(C:C,[1]基础信息!B$1:F$65536,5,0)</f>
        <v>grey</v>
      </c>
    </row>
    <row r="2184" spans="1:40">
      <c r="A2184" s="1" t="s">
        <v>41</v>
      </c>
      <c r="B2184" s="1" t="s">
        <v>42</v>
      </c>
      <c r="C2184" s="1" t="s">
        <v>1710</v>
      </c>
      <c r="D2184" s="1" t="s">
        <v>1711</v>
      </c>
      <c r="E2184" s="1" t="s">
        <v>45</v>
      </c>
      <c r="F2184" s="1" t="s">
        <v>4976</v>
      </c>
      <c r="G2184" s="1" t="s">
        <v>5040</v>
      </c>
      <c r="H2184" s="1" t="s">
        <v>5041</v>
      </c>
      <c r="I2184" s="1" t="s">
        <v>49</v>
      </c>
      <c r="J2184" s="1" t="s">
        <v>48</v>
      </c>
      <c r="K2184" s="1">
        <v>60</v>
      </c>
      <c r="L2184" s="1">
        <v>0</v>
      </c>
      <c r="M2184" s="1">
        <v>0</v>
      </c>
      <c r="N2184" s="1">
        <v>60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 t="s">
        <v>49</v>
      </c>
      <c r="AA2184" s="1" t="s">
        <v>49</v>
      </c>
      <c r="AB2184" s="1" t="s">
        <v>49</v>
      </c>
      <c r="AC2184" s="1" t="s">
        <v>1551</v>
      </c>
      <c r="AD2184" s="1" t="s">
        <v>1552</v>
      </c>
      <c r="AE2184" s="1" t="s">
        <v>1551</v>
      </c>
      <c r="AF2184" s="1" t="s">
        <v>4979</v>
      </c>
      <c r="AG2184" s="1" t="s">
        <v>53</v>
      </c>
      <c r="AH2184" s="1" t="s">
        <v>49</v>
      </c>
      <c r="AI2184" s="1" t="s">
        <v>54</v>
      </c>
      <c r="AJ2184" s="1">
        <v>1</v>
      </c>
      <c r="AK2184" s="1" t="str">
        <f t="shared" si="34"/>
        <v xml:space="preserve"> =&lt;90</v>
      </c>
      <c r="AL2184" s="1" t="str">
        <f>VLOOKUP(C:C,[1]基础信息!B$1:D$65536,3,0)</f>
        <v>Jug</v>
      </c>
      <c r="AM2184" s="1" t="str">
        <f>VLOOKUP(C:C,[1]基础信息!B$1:E$65536,4,0)</f>
        <v>Kalea XL ME4W</v>
      </c>
      <c r="AN2184" s="1" t="str">
        <f>VLOOKUP(C:C,[1]基础信息!B$1:F$65536,5,0)</f>
        <v>grey</v>
      </c>
    </row>
    <row r="2185" spans="1:40">
      <c r="A2185" s="1" t="s">
        <v>41</v>
      </c>
      <c r="B2185" s="1" t="s">
        <v>42</v>
      </c>
      <c r="C2185" s="1" t="s">
        <v>1710</v>
      </c>
      <c r="D2185" s="1" t="s">
        <v>1711</v>
      </c>
      <c r="E2185" s="1" t="s">
        <v>45</v>
      </c>
      <c r="F2185" s="1" t="s">
        <v>4976</v>
      </c>
      <c r="G2185" s="1" t="s">
        <v>5042</v>
      </c>
      <c r="H2185" s="1" t="s">
        <v>5043</v>
      </c>
      <c r="I2185" s="1" t="s">
        <v>49</v>
      </c>
      <c r="J2185" s="1" t="s">
        <v>48</v>
      </c>
      <c r="K2185" s="1">
        <v>60</v>
      </c>
      <c r="L2185" s="1">
        <v>0</v>
      </c>
      <c r="M2185" s="1">
        <v>0</v>
      </c>
      <c r="N2185" s="1">
        <v>60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 t="s">
        <v>49</v>
      </c>
      <c r="AA2185" s="1" t="s">
        <v>49</v>
      </c>
      <c r="AB2185" s="1" t="s">
        <v>49</v>
      </c>
      <c r="AC2185" s="1" t="s">
        <v>1551</v>
      </c>
      <c r="AD2185" s="1" t="s">
        <v>1552</v>
      </c>
      <c r="AE2185" s="1" t="s">
        <v>1551</v>
      </c>
      <c r="AF2185" s="1" t="s">
        <v>4979</v>
      </c>
      <c r="AG2185" s="1" t="s">
        <v>53</v>
      </c>
      <c r="AH2185" s="1" t="s">
        <v>49</v>
      </c>
      <c r="AI2185" s="1" t="s">
        <v>54</v>
      </c>
      <c r="AJ2185" s="1">
        <v>1</v>
      </c>
      <c r="AK2185" s="1" t="str">
        <f t="shared" si="34"/>
        <v xml:space="preserve"> =&lt;90</v>
      </c>
      <c r="AL2185" s="1" t="str">
        <f>VLOOKUP(C:C,[1]基础信息!B$1:D$65536,3,0)</f>
        <v>Jug</v>
      </c>
      <c r="AM2185" s="1" t="str">
        <f>VLOOKUP(C:C,[1]基础信息!B$1:E$65536,4,0)</f>
        <v>Kalea XL ME4W</v>
      </c>
      <c r="AN2185" s="1" t="str">
        <f>VLOOKUP(C:C,[1]基础信息!B$1:F$65536,5,0)</f>
        <v>grey</v>
      </c>
    </row>
    <row r="2186" spans="1:40">
      <c r="A2186" s="1" t="s">
        <v>41</v>
      </c>
      <c r="B2186" s="1" t="s">
        <v>42</v>
      </c>
      <c r="C2186" s="1" t="s">
        <v>1710</v>
      </c>
      <c r="D2186" s="1" t="s">
        <v>1711</v>
      </c>
      <c r="E2186" s="1" t="s">
        <v>45</v>
      </c>
      <c r="F2186" s="1" t="s">
        <v>4976</v>
      </c>
      <c r="G2186" s="1" t="s">
        <v>5044</v>
      </c>
      <c r="H2186" s="1" t="s">
        <v>5045</v>
      </c>
      <c r="I2186" s="1" t="s">
        <v>49</v>
      </c>
      <c r="J2186" s="1" t="s">
        <v>48</v>
      </c>
      <c r="K2186" s="1">
        <v>60</v>
      </c>
      <c r="L2186" s="1">
        <v>0</v>
      </c>
      <c r="M2186" s="1">
        <v>0</v>
      </c>
      <c r="N2186" s="1">
        <v>60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 t="s">
        <v>49</v>
      </c>
      <c r="AA2186" s="1" t="s">
        <v>49</v>
      </c>
      <c r="AB2186" s="1" t="s">
        <v>49</v>
      </c>
      <c r="AC2186" s="1" t="s">
        <v>1551</v>
      </c>
      <c r="AD2186" s="1" t="s">
        <v>1552</v>
      </c>
      <c r="AE2186" s="1" t="s">
        <v>1551</v>
      </c>
      <c r="AF2186" s="1" t="s">
        <v>4979</v>
      </c>
      <c r="AG2186" s="1" t="s">
        <v>53</v>
      </c>
      <c r="AH2186" s="1" t="s">
        <v>49</v>
      </c>
      <c r="AI2186" s="1" t="s">
        <v>54</v>
      </c>
      <c r="AJ2186" s="1">
        <v>1</v>
      </c>
      <c r="AK2186" s="1" t="str">
        <f t="shared" si="34"/>
        <v xml:space="preserve"> =&lt;90</v>
      </c>
      <c r="AL2186" s="1" t="str">
        <f>VLOOKUP(C:C,[1]基础信息!B$1:D$65536,3,0)</f>
        <v>Jug</v>
      </c>
      <c r="AM2186" s="1" t="str">
        <f>VLOOKUP(C:C,[1]基础信息!B$1:E$65536,4,0)</f>
        <v>Kalea XL ME4W</v>
      </c>
      <c r="AN2186" s="1" t="str">
        <f>VLOOKUP(C:C,[1]基础信息!B$1:F$65536,5,0)</f>
        <v>grey</v>
      </c>
    </row>
    <row r="2187" spans="1:40">
      <c r="A2187" s="1" t="s">
        <v>41</v>
      </c>
      <c r="B2187" s="1" t="s">
        <v>42</v>
      </c>
      <c r="C2187" s="1" t="s">
        <v>3971</v>
      </c>
      <c r="D2187" s="1" t="s">
        <v>3972</v>
      </c>
      <c r="E2187" s="1" t="s">
        <v>45</v>
      </c>
      <c r="F2187" s="1" t="s">
        <v>5046</v>
      </c>
      <c r="G2187" s="1" t="s">
        <v>5047</v>
      </c>
      <c r="H2187" s="1" t="s">
        <v>45</v>
      </c>
      <c r="I2187" s="1" t="s">
        <v>45</v>
      </c>
      <c r="J2187" s="1" t="s">
        <v>48</v>
      </c>
      <c r="K2187" s="1">
        <v>24</v>
      </c>
      <c r="L2187" s="1">
        <v>0</v>
      </c>
      <c r="M2187" s="1">
        <v>0</v>
      </c>
      <c r="N2187" s="1">
        <v>24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 t="s">
        <v>49</v>
      </c>
      <c r="AA2187" s="1" t="s">
        <v>49</v>
      </c>
      <c r="AB2187" s="1" t="s">
        <v>49</v>
      </c>
      <c r="AC2187" s="1" t="s">
        <v>414</v>
      </c>
      <c r="AD2187" s="1" t="s">
        <v>415</v>
      </c>
      <c r="AE2187" s="1" t="s">
        <v>414</v>
      </c>
      <c r="AF2187" s="1" t="s">
        <v>49</v>
      </c>
      <c r="AG2187" s="1" t="s">
        <v>3464</v>
      </c>
      <c r="AH2187" s="1" t="s">
        <v>49</v>
      </c>
      <c r="AI2187" s="1" t="s">
        <v>54</v>
      </c>
      <c r="AJ2187" s="1">
        <v>1</v>
      </c>
      <c r="AK2187" s="1" t="str">
        <f t="shared" si="34"/>
        <v xml:space="preserve"> =&lt;90</v>
      </c>
      <c r="AL2187" s="1" t="str">
        <f>VLOOKUP(C:C,[1]基础信息!B$1:D$65536,3,0)</f>
        <v>Jug</v>
      </c>
      <c r="AM2187" s="1" t="str">
        <f>VLOOKUP(C:C,[1]基础信息!B$1:E$65536,4,0)</f>
        <v>Mxplus</v>
      </c>
      <c r="AN2187" s="1" t="str">
        <f>VLOOKUP(C:C,[1]基础信息!B$1:F$65536,5,0)</f>
        <v xml:space="preserve"> lime</v>
      </c>
    </row>
    <row r="2188" spans="1:40">
      <c r="A2188" s="1" t="s">
        <v>41</v>
      </c>
      <c r="B2188" s="1" t="s">
        <v>42</v>
      </c>
      <c r="C2188" s="1" t="s">
        <v>1710</v>
      </c>
      <c r="D2188" s="1" t="s">
        <v>1711</v>
      </c>
      <c r="E2188" s="1" t="s">
        <v>45</v>
      </c>
      <c r="F2188" s="1" t="s">
        <v>4976</v>
      </c>
      <c r="G2188" s="1" t="s">
        <v>5048</v>
      </c>
      <c r="H2188" s="1" t="s">
        <v>5049</v>
      </c>
      <c r="I2188" s="1" t="s">
        <v>49</v>
      </c>
      <c r="J2188" s="1" t="s">
        <v>48</v>
      </c>
      <c r="K2188" s="1">
        <v>60</v>
      </c>
      <c r="L2188" s="1">
        <v>0</v>
      </c>
      <c r="M2188" s="1">
        <v>0</v>
      </c>
      <c r="N2188" s="1">
        <v>60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 t="s">
        <v>49</v>
      </c>
      <c r="AA2188" s="1" t="s">
        <v>49</v>
      </c>
      <c r="AB2188" s="1" t="s">
        <v>49</v>
      </c>
      <c r="AC2188" s="1" t="s">
        <v>1551</v>
      </c>
      <c r="AD2188" s="1" t="s">
        <v>1552</v>
      </c>
      <c r="AE2188" s="1" t="s">
        <v>1551</v>
      </c>
      <c r="AF2188" s="1" t="s">
        <v>4979</v>
      </c>
      <c r="AG2188" s="1" t="s">
        <v>53</v>
      </c>
      <c r="AH2188" s="1" t="s">
        <v>49</v>
      </c>
      <c r="AI2188" s="1" t="s">
        <v>54</v>
      </c>
      <c r="AJ2188" s="1">
        <v>1</v>
      </c>
      <c r="AK2188" s="1" t="str">
        <f t="shared" si="34"/>
        <v xml:space="preserve"> =&lt;90</v>
      </c>
      <c r="AL2188" s="1" t="str">
        <f>VLOOKUP(C:C,[1]基础信息!B$1:D$65536,3,0)</f>
        <v>Jug</v>
      </c>
      <c r="AM2188" s="1" t="str">
        <f>VLOOKUP(C:C,[1]基础信息!B$1:E$65536,4,0)</f>
        <v>Kalea XL ME4W</v>
      </c>
      <c r="AN2188" s="1" t="str">
        <f>VLOOKUP(C:C,[1]基础信息!B$1:F$65536,5,0)</f>
        <v>grey</v>
      </c>
    </row>
    <row r="2189" spans="1:40">
      <c r="A2189" s="1" t="s">
        <v>41</v>
      </c>
      <c r="B2189" s="1" t="s">
        <v>42</v>
      </c>
      <c r="C2189" s="1" t="s">
        <v>1710</v>
      </c>
      <c r="D2189" s="1" t="s">
        <v>1711</v>
      </c>
      <c r="E2189" s="1" t="s">
        <v>45</v>
      </c>
      <c r="F2189" s="1" t="s">
        <v>4976</v>
      </c>
      <c r="G2189" s="1" t="s">
        <v>5050</v>
      </c>
      <c r="H2189" s="1" t="s">
        <v>5051</v>
      </c>
      <c r="I2189" s="1" t="s">
        <v>49</v>
      </c>
      <c r="J2189" s="1" t="s">
        <v>48</v>
      </c>
      <c r="K2189" s="1">
        <v>60</v>
      </c>
      <c r="L2189" s="1">
        <v>0</v>
      </c>
      <c r="M2189" s="1">
        <v>0</v>
      </c>
      <c r="N2189" s="1">
        <v>60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 t="s">
        <v>49</v>
      </c>
      <c r="AA2189" s="1" t="s">
        <v>49</v>
      </c>
      <c r="AB2189" s="1" t="s">
        <v>49</v>
      </c>
      <c r="AC2189" s="1" t="s">
        <v>1551</v>
      </c>
      <c r="AD2189" s="1" t="s">
        <v>1552</v>
      </c>
      <c r="AE2189" s="1" t="s">
        <v>1551</v>
      </c>
      <c r="AF2189" s="1" t="s">
        <v>4979</v>
      </c>
      <c r="AG2189" s="1" t="s">
        <v>53</v>
      </c>
      <c r="AH2189" s="1" t="s">
        <v>49</v>
      </c>
      <c r="AI2189" s="1" t="s">
        <v>54</v>
      </c>
      <c r="AJ2189" s="1">
        <v>1</v>
      </c>
      <c r="AK2189" s="1" t="str">
        <f t="shared" si="34"/>
        <v xml:space="preserve"> =&lt;90</v>
      </c>
      <c r="AL2189" s="1" t="str">
        <f>VLOOKUP(C:C,[1]基础信息!B$1:D$65536,3,0)</f>
        <v>Jug</v>
      </c>
      <c r="AM2189" s="1" t="str">
        <f>VLOOKUP(C:C,[1]基础信息!B$1:E$65536,4,0)</f>
        <v>Kalea XL ME4W</v>
      </c>
      <c r="AN2189" s="1" t="str">
        <f>VLOOKUP(C:C,[1]基础信息!B$1:F$65536,5,0)</f>
        <v>grey</v>
      </c>
    </row>
    <row r="2190" spans="1:40">
      <c r="A2190" s="1" t="s">
        <v>41</v>
      </c>
      <c r="B2190" s="1" t="s">
        <v>42</v>
      </c>
      <c r="C2190" s="1" t="s">
        <v>1710</v>
      </c>
      <c r="D2190" s="1" t="s">
        <v>1711</v>
      </c>
      <c r="E2190" s="1" t="s">
        <v>45</v>
      </c>
      <c r="F2190" s="1" t="s">
        <v>4976</v>
      </c>
      <c r="G2190" s="1" t="s">
        <v>5052</v>
      </c>
      <c r="H2190" s="1" t="s">
        <v>5053</v>
      </c>
      <c r="I2190" s="1" t="s">
        <v>49</v>
      </c>
      <c r="J2190" s="1" t="s">
        <v>48</v>
      </c>
      <c r="K2190" s="1">
        <v>60</v>
      </c>
      <c r="L2190" s="1">
        <v>0</v>
      </c>
      <c r="M2190" s="1">
        <v>0</v>
      </c>
      <c r="N2190" s="1">
        <v>60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 t="s">
        <v>49</v>
      </c>
      <c r="AA2190" s="1" t="s">
        <v>49</v>
      </c>
      <c r="AB2190" s="1" t="s">
        <v>49</v>
      </c>
      <c r="AC2190" s="1" t="s">
        <v>1551</v>
      </c>
      <c r="AD2190" s="1" t="s">
        <v>1552</v>
      </c>
      <c r="AE2190" s="1" t="s">
        <v>1551</v>
      </c>
      <c r="AF2190" s="1" t="s">
        <v>4979</v>
      </c>
      <c r="AG2190" s="1" t="s">
        <v>53</v>
      </c>
      <c r="AH2190" s="1" t="s">
        <v>49</v>
      </c>
      <c r="AI2190" s="1" t="s">
        <v>54</v>
      </c>
      <c r="AJ2190" s="1">
        <v>1</v>
      </c>
      <c r="AK2190" s="1" t="str">
        <f t="shared" si="34"/>
        <v xml:space="preserve"> =&lt;90</v>
      </c>
      <c r="AL2190" s="1" t="str">
        <f>VLOOKUP(C:C,[1]基础信息!B$1:D$65536,3,0)</f>
        <v>Jug</v>
      </c>
      <c r="AM2190" s="1" t="str">
        <f>VLOOKUP(C:C,[1]基础信息!B$1:E$65536,4,0)</f>
        <v>Kalea XL ME4W</v>
      </c>
      <c r="AN2190" s="1" t="str">
        <f>VLOOKUP(C:C,[1]基础信息!B$1:F$65536,5,0)</f>
        <v>grey</v>
      </c>
    </row>
    <row r="2191" spans="1:40">
      <c r="A2191" s="1" t="s">
        <v>41</v>
      </c>
      <c r="B2191" s="1" t="s">
        <v>42</v>
      </c>
      <c r="C2191" s="1" t="s">
        <v>1710</v>
      </c>
      <c r="D2191" s="1" t="s">
        <v>1711</v>
      </c>
      <c r="E2191" s="1" t="s">
        <v>45</v>
      </c>
      <c r="F2191" s="1" t="s">
        <v>4976</v>
      </c>
      <c r="G2191" s="1" t="s">
        <v>5054</v>
      </c>
      <c r="H2191" s="1" t="s">
        <v>5055</v>
      </c>
      <c r="I2191" s="1" t="s">
        <v>49</v>
      </c>
      <c r="J2191" s="1" t="s">
        <v>48</v>
      </c>
      <c r="K2191" s="1">
        <v>60</v>
      </c>
      <c r="L2191" s="1">
        <v>0</v>
      </c>
      <c r="M2191" s="1">
        <v>0</v>
      </c>
      <c r="N2191" s="1">
        <v>60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 t="s">
        <v>49</v>
      </c>
      <c r="AA2191" s="1" t="s">
        <v>49</v>
      </c>
      <c r="AB2191" s="1" t="s">
        <v>49</v>
      </c>
      <c r="AC2191" s="1" t="s">
        <v>1551</v>
      </c>
      <c r="AD2191" s="1" t="s">
        <v>1552</v>
      </c>
      <c r="AE2191" s="1" t="s">
        <v>1551</v>
      </c>
      <c r="AF2191" s="1" t="s">
        <v>4979</v>
      </c>
      <c r="AG2191" s="1" t="s">
        <v>53</v>
      </c>
      <c r="AH2191" s="1" t="s">
        <v>49</v>
      </c>
      <c r="AI2191" s="1" t="s">
        <v>54</v>
      </c>
      <c r="AJ2191" s="1">
        <v>1</v>
      </c>
      <c r="AK2191" s="1" t="str">
        <f t="shared" si="34"/>
        <v xml:space="preserve"> =&lt;90</v>
      </c>
      <c r="AL2191" s="1" t="str">
        <f>VLOOKUP(C:C,[1]基础信息!B$1:D$65536,3,0)</f>
        <v>Jug</v>
      </c>
      <c r="AM2191" s="1" t="str">
        <f>VLOOKUP(C:C,[1]基础信息!B$1:E$65536,4,0)</f>
        <v>Kalea XL ME4W</v>
      </c>
      <c r="AN2191" s="1" t="str">
        <f>VLOOKUP(C:C,[1]基础信息!B$1:F$65536,5,0)</f>
        <v>grey</v>
      </c>
    </row>
    <row r="2192" spans="1:40">
      <c r="A2192" s="1" t="s">
        <v>41</v>
      </c>
      <c r="B2192" s="1" t="s">
        <v>42</v>
      </c>
      <c r="C2192" s="1" t="s">
        <v>1437</v>
      </c>
      <c r="D2192" s="1" t="s">
        <v>1438</v>
      </c>
      <c r="E2192" s="1" t="s">
        <v>45</v>
      </c>
      <c r="F2192" s="1" t="s">
        <v>5056</v>
      </c>
      <c r="G2192" s="1" t="s">
        <v>5057</v>
      </c>
      <c r="H2192" s="1" t="s">
        <v>45</v>
      </c>
      <c r="I2192" s="1" t="s">
        <v>45</v>
      </c>
      <c r="J2192" s="1" t="s">
        <v>48</v>
      </c>
      <c r="K2192" s="1">
        <v>10</v>
      </c>
      <c r="L2192" s="1">
        <v>0</v>
      </c>
      <c r="M2192" s="1">
        <v>0</v>
      </c>
      <c r="N2192" s="1">
        <v>10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 t="s">
        <v>49</v>
      </c>
      <c r="AA2192" s="1" t="s">
        <v>49</v>
      </c>
      <c r="AB2192" s="1" t="s">
        <v>49</v>
      </c>
      <c r="AC2192" s="1" t="s">
        <v>414</v>
      </c>
      <c r="AD2192" s="1" t="s">
        <v>415</v>
      </c>
      <c r="AE2192" s="1" t="s">
        <v>414</v>
      </c>
      <c r="AF2192" s="1" t="s">
        <v>49</v>
      </c>
      <c r="AG2192" s="1" t="s">
        <v>3464</v>
      </c>
      <c r="AH2192" s="1" t="s">
        <v>49</v>
      </c>
      <c r="AI2192" s="1" t="s">
        <v>54</v>
      </c>
      <c r="AJ2192" s="1">
        <v>1</v>
      </c>
      <c r="AK2192" s="1" t="str">
        <f t="shared" si="34"/>
        <v xml:space="preserve"> =&lt;90</v>
      </c>
      <c r="AL2192" s="1" t="str">
        <f>VLOOKUP(C:C,[1]基础信息!B$1:D$65536,3,0)</f>
        <v>On tap</v>
      </c>
      <c r="AM2192" s="1" t="str">
        <f>VLOOKUP(C:C,[1]基础信息!B$1:E$65536,4,0)</f>
        <v>On tap</v>
      </c>
      <c r="AN2192" s="1" t="str">
        <f>VLOOKUP(C:C,[1]基础信息!B$1:F$65536,5,0)</f>
        <v>On tap</v>
      </c>
    </row>
    <row r="2193" spans="1:40">
      <c r="A2193" s="1" t="s">
        <v>41</v>
      </c>
      <c r="B2193" s="1" t="s">
        <v>42</v>
      </c>
      <c r="C2193" s="1" t="s">
        <v>1710</v>
      </c>
      <c r="D2193" s="1" t="s">
        <v>1711</v>
      </c>
      <c r="E2193" s="1" t="s">
        <v>45</v>
      </c>
      <c r="F2193" s="1" t="s">
        <v>4976</v>
      </c>
      <c r="G2193" s="1" t="s">
        <v>5058</v>
      </c>
      <c r="H2193" s="1" t="s">
        <v>5059</v>
      </c>
      <c r="I2193" s="1" t="s">
        <v>49</v>
      </c>
      <c r="J2193" s="1" t="s">
        <v>48</v>
      </c>
      <c r="K2193" s="1">
        <v>60</v>
      </c>
      <c r="L2193" s="1">
        <v>0</v>
      </c>
      <c r="M2193" s="1">
        <v>0</v>
      </c>
      <c r="N2193" s="1">
        <v>60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 t="s">
        <v>49</v>
      </c>
      <c r="AA2193" s="1" t="s">
        <v>49</v>
      </c>
      <c r="AB2193" s="1" t="s">
        <v>49</v>
      </c>
      <c r="AC2193" s="1" t="s">
        <v>1551</v>
      </c>
      <c r="AD2193" s="1" t="s">
        <v>1552</v>
      </c>
      <c r="AE2193" s="1" t="s">
        <v>1551</v>
      </c>
      <c r="AF2193" s="1" t="s">
        <v>4979</v>
      </c>
      <c r="AG2193" s="1" t="s">
        <v>53</v>
      </c>
      <c r="AH2193" s="1" t="s">
        <v>49</v>
      </c>
      <c r="AI2193" s="1" t="s">
        <v>54</v>
      </c>
      <c r="AJ2193" s="1">
        <v>1</v>
      </c>
      <c r="AK2193" s="1" t="str">
        <f t="shared" si="34"/>
        <v xml:space="preserve"> =&lt;90</v>
      </c>
      <c r="AL2193" s="1" t="str">
        <f>VLOOKUP(C:C,[1]基础信息!B$1:D$65536,3,0)</f>
        <v>Jug</v>
      </c>
      <c r="AM2193" s="1" t="str">
        <f>VLOOKUP(C:C,[1]基础信息!B$1:E$65536,4,0)</f>
        <v>Kalea XL ME4W</v>
      </c>
      <c r="AN2193" s="1" t="str">
        <f>VLOOKUP(C:C,[1]基础信息!B$1:F$65536,5,0)</f>
        <v>grey</v>
      </c>
    </row>
    <row r="2194" spans="1:40">
      <c r="A2194" s="1" t="s">
        <v>41</v>
      </c>
      <c r="B2194" s="1" t="s">
        <v>42</v>
      </c>
      <c r="C2194" s="1" t="s">
        <v>1710</v>
      </c>
      <c r="D2194" s="1" t="s">
        <v>1711</v>
      </c>
      <c r="E2194" s="1" t="s">
        <v>45</v>
      </c>
      <c r="F2194" s="1" t="s">
        <v>4976</v>
      </c>
      <c r="G2194" s="1" t="s">
        <v>5060</v>
      </c>
      <c r="H2194" s="1" t="s">
        <v>5061</v>
      </c>
      <c r="I2194" s="1" t="s">
        <v>49</v>
      </c>
      <c r="J2194" s="1" t="s">
        <v>48</v>
      </c>
      <c r="K2194" s="1">
        <v>60</v>
      </c>
      <c r="L2194" s="1">
        <v>0</v>
      </c>
      <c r="M2194" s="1">
        <v>0</v>
      </c>
      <c r="N2194" s="1">
        <v>60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 t="s">
        <v>49</v>
      </c>
      <c r="AA2194" s="1" t="s">
        <v>49</v>
      </c>
      <c r="AB2194" s="1" t="s">
        <v>49</v>
      </c>
      <c r="AC2194" s="1" t="s">
        <v>1551</v>
      </c>
      <c r="AD2194" s="1" t="s">
        <v>1552</v>
      </c>
      <c r="AE2194" s="1" t="s">
        <v>1551</v>
      </c>
      <c r="AF2194" s="1" t="s">
        <v>4979</v>
      </c>
      <c r="AG2194" s="1" t="s">
        <v>53</v>
      </c>
      <c r="AH2194" s="1" t="s">
        <v>49</v>
      </c>
      <c r="AI2194" s="1" t="s">
        <v>54</v>
      </c>
      <c r="AJ2194" s="1">
        <v>1</v>
      </c>
      <c r="AK2194" s="1" t="str">
        <f t="shared" si="34"/>
        <v xml:space="preserve"> =&lt;90</v>
      </c>
      <c r="AL2194" s="1" t="str">
        <f>VLOOKUP(C:C,[1]基础信息!B$1:D$65536,3,0)</f>
        <v>Jug</v>
      </c>
      <c r="AM2194" s="1" t="str">
        <f>VLOOKUP(C:C,[1]基础信息!B$1:E$65536,4,0)</f>
        <v>Kalea XL ME4W</v>
      </c>
      <c r="AN2194" s="1" t="str">
        <f>VLOOKUP(C:C,[1]基础信息!B$1:F$65536,5,0)</f>
        <v>grey</v>
      </c>
    </row>
    <row r="2195" spans="1:40">
      <c r="A2195" s="1" t="s">
        <v>41</v>
      </c>
      <c r="B2195" s="1" t="s">
        <v>42</v>
      </c>
      <c r="C2195" s="1" t="s">
        <v>1710</v>
      </c>
      <c r="D2195" s="1" t="s">
        <v>1711</v>
      </c>
      <c r="E2195" s="1" t="s">
        <v>45</v>
      </c>
      <c r="F2195" s="1" t="s">
        <v>4976</v>
      </c>
      <c r="G2195" s="1" t="s">
        <v>5062</v>
      </c>
      <c r="H2195" s="1" t="s">
        <v>5063</v>
      </c>
      <c r="I2195" s="1" t="s">
        <v>49</v>
      </c>
      <c r="J2195" s="1" t="s">
        <v>48</v>
      </c>
      <c r="K2195" s="1">
        <v>60</v>
      </c>
      <c r="L2195" s="1">
        <v>0</v>
      </c>
      <c r="M2195" s="1">
        <v>0</v>
      </c>
      <c r="N2195" s="1">
        <v>60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 t="s">
        <v>49</v>
      </c>
      <c r="AA2195" s="1" t="s">
        <v>49</v>
      </c>
      <c r="AB2195" s="1" t="s">
        <v>49</v>
      </c>
      <c r="AC2195" s="1" t="s">
        <v>1551</v>
      </c>
      <c r="AD2195" s="1" t="s">
        <v>1552</v>
      </c>
      <c r="AE2195" s="1" t="s">
        <v>1551</v>
      </c>
      <c r="AF2195" s="1" t="s">
        <v>4979</v>
      </c>
      <c r="AG2195" s="1" t="s">
        <v>53</v>
      </c>
      <c r="AH2195" s="1" t="s">
        <v>49</v>
      </c>
      <c r="AI2195" s="1" t="s">
        <v>54</v>
      </c>
      <c r="AJ2195" s="1">
        <v>1</v>
      </c>
      <c r="AK2195" s="1" t="str">
        <f t="shared" si="34"/>
        <v xml:space="preserve"> =&lt;90</v>
      </c>
      <c r="AL2195" s="1" t="str">
        <f>VLOOKUP(C:C,[1]基础信息!B$1:D$65536,3,0)</f>
        <v>Jug</v>
      </c>
      <c r="AM2195" s="1" t="str">
        <f>VLOOKUP(C:C,[1]基础信息!B$1:E$65536,4,0)</f>
        <v>Kalea XL ME4W</v>
      </c>
      <c r="AN2195" s="1" t="str">
        <f>VLOOKUP(C:C,[1]基础信息!B$1:F$65536,5,0)</f>
        <v>grey</v>
      </c>
    </row>
    <row r="2196" spans="1:40">
      <c r="A2196" s="1" t="s">
        <v>41</v>
      </c>
      <c r="B2196" s="1" t="s">
        <v>42</v>
      </c>
      <c r="C2196" s="1" t="s">
        <v>4077</v>
      </c>
      <c r="D2196" s="1" t="s">
        <v>4078</v>
      </c>
      <c r="E2196" s="1" t="s">
        <v>45</v>
      </c>
      <c r="F2196" s="1" t="s">
        <v>4079</v>
      </c>
      <c r="G2196" s="1" t="s">
        <v>5064</v>
      </c>
      <c r="H2196" s="1" t="s">
        <v>5065</v>
      </c>
      <c r="I2196" s="1" t="s">
        <v>49</v>
      </c>
      <c r="J2196" s="1" t="s">
        <v>48</v>
      </c>
      <c r="K2196" s="1">
        <v>16</v>
      </c>
      <c r="L2196" s="1">
        <v>0</v>
      </c>
      <c r="M2196" s="1">
        <v>0</v>
      </c>
      <c r="N2196" s="1">
        <v>16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 t="s">
        <v>49</v>
      </c>
      <c r="AA2196" s="1" t="s">
        <v>49</v>
      </c>
      <c r="AB2196" s="1" t="s">
        <v>49</v>
      </c>
      <c r="AC2196" s="1" t="s">
        <v>2403</v>
      </c>
      <c r="AD2196" s="1" t="s">
        <v>2404</v>
      </c>
      <c r="AE2196" s="1" t="s">
        <v>2403</v>
      </c>
      <c r="AF2196" s="1" t="s">
        <v>4082</v>
      </c>
      <c r="AG2196" s="1" t="s">
        <v>53</v>
      </c>
      <c r="AH2196" s="1" t="s">
        <v>49</v>
      </c>
      <c r="AI2196" s="1" t="s">
        <v>54</v>
      </c>
      <c r="AJ2196" s="1">
        <v>1</v>
      </c>
      <c r="AK2196" s="1" t="str">
        <f t="shared" si="34"/>
        <v xml:space="preserve"> =&lt;90</v>
      </c>
      <c r="AL2196" s="1" t="str">
        <f>VLOOKUP(C:C,[1]基础信息!B$1:D$65536,3,0)</f>
        <v>UTS</v>
      </c>
      <c r="AM2196" s="1" t="str">
        <f>VLOOKUP(C:C,[1]基础信息!B$1:E$65536,4,0)</f>
        <v>RO</v>
      </c>
      <c r="AN2196" s="1" t="str">
        <f>VLOOKUP(C:C,[1]基础信息!B$1:F$65536,5,0)</f>
        <v>Starry Grey Color</v>
      </c>
    </row>
    <row r="2197" spans="1:40">
      <c r="A2197" s="1" t="s">
        <v>41</v>
      </c>
      <c r="B2197" s="1" t="s">
        <v>42</v>
      </c>
      <c r="C2197" s="1" t="s">
        <v>1116</v>
      </c>
      <c r="D2197" s="1" t="s">
        <v>1117</v>
      </c>
      <c r="E2197" s="1" t="s">
        <v>1116</v>
      </c>
      <c r="F2197" s="1" t="s">
        <v>5066</v>
      </c>
      <c r="G2197" s="1" t="s">
        <v>5067</v>
      </c>
      <c r="H2197" s="1" t="s">
        <v>45</v>
      </c>
      <c r="I2197" s="1" t="s">
        <v>45</v>
      </c>
      <c r="J2197" s="1" t="s">
        <v>48</v>
      </c>
      <c r="K2197" s="1">
        <v>16</v>
      </c>
      <c r="L2197" s="1">
        <v>0</v>
      </c>
      <c r="M2197" s="1">
        <v>0</v>
      </c>
      <c r="N2197" s="1">
        <v>16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 t="s">
        <v>49</v>
      </c>
      <c r="AA2197" s="1" t="s">
        <v>49</v>
      </c>
      <c r="AB2197" s="1" t="s">
        <v>49</v>
      </c>
      <c r="AC2197" s="1" t="s">
        <v>414</v>
      </c>
      <c r="AD2197" s="1" t="s">
        <v>415</v>
      </c>
      <c r="AE2197" s="1" t="s">
        <v>414</v>
      </c>
      <c r="AF2197" s="1" t="s">
        <v>49</v>
      </c>
      <c r="AG2197" s="1" t="s">
        <v>3464</v>
      </c>
      <c r="AH2197" s="1" t="s">
        <v>49</v>
      </c>
      <c r="AI2197" s="1" t="s">
        <v>54</v>
      </c>
      <c r="AJ2197" s="1">
        <v>1</v>
      </c>
      <c r="AK2197" s="1" t="str">
        <f t="shared" si="34"/>
        <v xml:space="preserve"> =&lt;90</v>
      </c>
      <c r="AL2197" s="1" t="str">
        <f>VLOOKUP(C:C,[1]基础信息!B$1:D$65536,3,0)</f>
        <v>UTS</v>
      </c>
      <c r="AM2197" s="1" t="str">
        <f>VLOOKUP(C:C,[1]基础信息!B$1:E$65536,4,0)</f>
        <v>MyPure Pro</v>
      </c>
      <c r="AN2197" s="1" t="str">
        <f>VLOOKUP(C:C,[1]基础信息!B$1:F$65536,5,0)</f>
        <v>Refill</v>
      </c>
    </row>
    <row r="2198" spans="1:40">
      <c r="A2198" s="1" t="s">
        <v>41</v>
      </c>
      <c r="B2198" s="1" t="s">
        <v>42</v>
      </c>
      <c r="C2198" s="1" t="s">
        <v>1710</v>
      </c>
      <c r="D2198" s="1" t="s">
        <v>1711</v>
      </c>
      <c r="E2198" s="1" t="s">
        <v>45</v>
      </c>
      <c r="F2198" s="1" t="s">
        <v>4976</v>
      </c>
      <c r="G2198" s="1" t="s">
        <v>5068</v>
      </c>
      <c r="H2198" s="1" t="s">
        <v>5069</v>
      </c>
      <c r="I2198" s="1" t="s">
        <v>49</v>
      </c>
      <c r="J2198" s="1" t="s">
        <v>48</v>
      </c>
      <c r="K2198" s="1">
        <v>60</v>
      </c>
      <c r="L2198" s="1">
        <v>0</v>
      </c>
      <c r="M2198" s="1">
        <v>0</v>
      </c>
      <c r="N2198" s="1">
        <v>60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 t="s">
        <v>49</v>
      </c>
      <c r="AA2198" s="1" t="s">
        <v>49</v>
      </c>
      <c r="AB2198" s="1" t="s">
        <v>49</v>
      </c>
      <c r="AC2198" s="1" t="s">
        <v>1551</v>
      </c>
      <c r="AD2198" s="1" t="s">
        <v>1552</v>
      </c>
      <c r="AE2198" s="1" t="s">
        <v>1551</v>
      </c>
      <c r="AF2198" s="1" t="s">
        <v>4979</v>
      </c>
      <c r="AG2198" s="1" t="s">
        <v>53</v>
      </c>
      <c r="AH2198" s="1" t="s">
        <v>49</v>
      </c>
      <c r="AI2198" s="1" t="s">
        <v>54</v>
      </c>
      <c r="AJ2198" s="1">
        <v>1</v>
      </c>
      <c r="AK2198" s="1" t="str">
        <f t="shared" si="34"/>
        <v xml:space="preserve"> =&lt;90</v>
      </c>
      <c r="AL2198" s="1" t="str">
        <f>VLOOKUP(C:C,[1]基础信息!B$1:D$65536,3,0)</f>
        <v>Jug</v>
      </c>
      <c r="AM2198" s="1" t="str">
        <f>VLOOKUP(C:C,[1]基础信息!B$1:E$65536,4,0)</f>
        <v>Kalea XL ME4W</v>
      </c>
      <c r="AN2198" s="1" t="str">
        <f>VLOOKUP(C:C,[1]基础信息!B$1:F$65536,5,0)</f>
        <v>grey</v>
      </c>
    </row>
    <row r="2199" spans="1:40">
      <c r="A2199" s="1" t="s">
        <v>41</v>
      </c>
      <c r="B2199" s="1" t="s">
        <v>42</v>
      </c>
      <c r="C2199" s="1" t="s">
        <v>1710</v>
      </c>
      <c r="D2199" s="1" t="s">
        <v>1711</v>
      </c>
      <c r="E2199" s="1" t="s">
        <v>45</v>
      </c>
      <c r="F2199" s="1" t="s">
        <v>4976</v>
      </c>
      <c r="G2199" s="1" t="s">
        <v>5070</v>
      </c>
      <c r="H2199" s="1" t="s">
        <v>5071</v>
      </c>
      <c r="I2199" s="1" t="s">
        <v>49</v>
      </c>
      <c r="J2199" s="1" t="s">
        <v>48</v>
      </c>
      <c r="K2199" s="1">
        <v>60</v>
      </c>
      <c r="L2199" s="1">
        <v>0</v>
      </c>
      <c r="M2199" s="1">
        <v>0</v>
      </c>
      <c r="N2199" s="1">
        <v>60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 t="s">
        <v>49</v>
      </c>
      <c r="AA2199" s="1" t="s">
        <v>49</v>
      </c>
      <c r="AB2199" s="1" t="s">
        <v>49</v>
      </c>
      <c r="AC2199" s="1" t="s">
        <v>1551</v>
      </c>
      <c r="AD2199" s="1" t="s">
        <v>1552</v>
      </c>
      <c r="AE2199" s="1" t="s">
        <v>1551</v>
      </c>
      <c r="AF2199" s="1" t="s">
        <v>4979</v>
      </c>
      <c r="AG2199" s="1" t="s">
        <v>53</v>
      </c>
      <c r="AH2199" s="1" t="s">
        <v>49</v>
      </c>
      <c r="AI2199" s="1" t="s">
        <v>54</v>
      </c>
      <c r="AJ2199" s="1">
        <v>1</v>
      </c>
      <c r="AK2199" s="1" t="str">
        <f t="shared" si="34"/>
        <v xml:space="preserve"> =&lt;90</v>
      </c>
      <c r="AL2199" s="1" t="str">
        <f>VLOOKUP(C:C,[1]基础信息!B$1:D$65536,3,0)</f>
        <v>Jug</v>
      </c>
      <c r="AM2199" s="1" t="str">
        <f>VLOOKUP(C:C,[1]基础信息!B$1:E$65536,4,0)</f>
        <v>Kalea XL ME4W</v>
      </c>
      <c r="AN2199" s="1" t="str">
        <f>VLOOKUP(C:C,[1]基础信息!B$1:F$65536,5,0)</f>
        <v>grey</v>
      </c>
    </row>
    <row r="2200" spans="1:40">
      <c r="A2200" s="1" t="s">
        <v>41</v>
      </c>
      <c r="B2200" s="1" t="s">
        <v>42</v>
      </c>
      <c r="C2200" s="1" t="s">
        <v>1710</v>
      </c>
      <c r="D2200" s="1" t="s">
        <v>1711</v>
      </c>
      <c r="E2200" s="1" t="s">
        <v>45</v>
      </c>
      <c r="F2200" s="1" t="s">
        <v>4976</v>
      </c>
      <c r="G2200" s="1" t="s">
        <v>5072</v>
      </c>
      <c r="H2200" s="1" t="s">
        <v>5073</v>
      </c>
      <c r="I2200" s="1" t="s">
        <v>49</v>
      </c>
      <c r="J2200" s="1" t="s">
        <v>48</v>
      </c>
      <c r="K2200" s="1">
        <v>60</v>
      </c>
      <c r="L2200" s="1">
        <v>0</v>
      </c>
      <c r="M2200" s="1">
        <v>0</v>
      </c>
      <c r="N2200" s="1">
        <v>60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 t="s">
        <v>49</v>
      </c>
      <c r="AA2200" s="1" t="s">
        <v>49</v>
      </c>
      <c r="AB2200" s="1" t="s">
        <v>49</v>
      </c>
      <c r="AC2200" s="1" t="s">
        <v>1551</v>
      </c>
      <c r="AD2200" s="1" t="s">
        <v>1552</v>
      </c>
      <c r="AE2200" s="1" t="s">
        <v>1551</v>
      </c>
      <c r="AF2200" s="1" t="s">
        <v>4979</v>
      </c>
      <c r="AG2200" s="1" t="s">
        <v>53</v>
      </c>
      <c r="AH2200" s="1" t="s">
        <v>49</v>
      </c>
      <c r="AI2200" s="1" t="s">
        <v>54</v>
      </c>
      <c r="AJ2200" s="1">
        <v>1</v>
      </c>
      <c r="AK2200" s="1" t="str">
        <f t="shared" si="34"/>
        <v xml:space="preserve"> =&lt;90</v>
      </c>
      <c r="AL2200" s="1" t="str">
        <f>VLOOKUP(C:C,[1]基础信息!B$1:D$65536,3,0)</f>
        <v>Jug</v>
      </c>
      <c r="AM2200" s="1" t="str">
        <f>VLOOKUP(C:C,[1]基础信息!B$1:E$65536,4,0)</f>
        <v>Kalea XL ME4W</v>
      </c>
      <c r="AN2200" s="1" t="str">
        <f>VLOOKUP(C:C,[1]基础信息!B$1:F$65536,5,0)</f>
        <v>grey</v>
      </c>
    </row>
    <row r="2201" spans="1:40">
      <c r="A2201" s="1" t="s">
        <v>41</v>
      </c>
      <c r="B2201" s="1" t="s">
        <v>42</v>
      </c>
      <c r="C2201" s="1" t="s">
        <v>2166</v>
      </c>
      <c r="D2201" s="1" t="s">
        <v>2167</v>
      </c>
      <c r="E2201" s="1" t="s">
        <v>45</v>
      </c>
      <c r="F2201" s="1" t="s">
        <v>2400</v>
      </c>
      <c r="G2201" s="1" t="s">
        <v>5074</v>
      </c>
      <c r="H2201" s="1" t="s">
        <v>5075</v>
      </c>
      <c r="I2201" s="1" t="s">
        <v>49</v>
      </c>
      <c r="J2201" s="1" t="s">
        <v>48</v>
      </c>
      <c r="K2201" s="1">
        <v>16</v>
      </c>
      <c r="L2201" s="1">
        <v>0</v>
      </c>
      <c r="M2201" s="1">
        <v>0</v>
      </c>
      <c r="N2201" s="1">
        <v>16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 t="s">
        <v>49</v>
      </c>
      <c r="AA2201" s="1" t="s">
        <v>49</v>
      </c>
      <c r="AB2201" s="1" t="s">
        <v>49</v>
      </c>
      <c r="AC2201" s="1" t="s">
        <v>2403</v>
      </c>
      <c r="AD2201" s="1" t="s">
        <v>2404</v>
      </c>
      <c r="AE2201" s="1" t="s">
        <v>2403</v>
      </c>
      <c r="AF2201" s="1" t="s">
        <v>2173</v>
      </c>
      <c r="AG2201" s="1" t="s">
        <v>53</v>
      </c>
      <c r="AH2201" s="1" t="s">
        <v>49</v>
      </c>
      <c r="AI2201" s="1" t="s">
        <v>54</v>
      </c>
      <c r="AJ2201" s="1">
        <v>1</v>
      </c>
      <c r="AK2201" s="1" t="str">
        <f t="shared" si="34"/>
        <v xml:space="preserve"> =&lt;90</v>
      </c>
      <c r="AL2201" s="1" t="str">
        <f>VLOOKUP(C:C,[1]基础信息!B$1:D$65536,3,0)</f>
        <v>UTS</v>
      </c>
      <c r="AM2201" s="1" t="str">
        <f>VLOOKUP(C:C,[1]基础信息!B$1:E$65536,4,0)</f>
        <v>RO</v>
      </c>
      <c r="AN2201" s="1" t="str">
        <f>VLOOKUP(C:C,[1]基础信息!B$1:F$65536,5,0)</f>
        <v>Starry Grey Color</v>
      </c>
    </row>
    <row r="2202" spans="1:40">
      <c r="A2202" s="1" t="s">
        <v>41</v>
      </c>
      <c r="B2202" s="1" t="s">
        <v>42</v>
      </c>
      <c r="C2202" s="1" t="s">
        <v>5076</v>
      </c>
      <c r="D2202" s="1" t="s">
        <v>5077</v>
      </c>
      <c r="E2202" s="1" t="s">
        <v>5076</v>
      </c>
      <c r="F2202" s="1" t="s">
        <v>5078</v>
      </c>
      <c r="G2202" s="1" t="s">
        <v>5079</v>
      </c>
      <c r="H2202" s="1" t="s">
        <v>45</v>
      </c>
      <c r="I2202" s="1" t="s">
        <v>45</v>
      </c>
      <c r="J2202" s="1" t="s">
        <v>48</v>
      </c>
      <c r="K2202" s="1">
        <v>2</v>
      </c>
      <c r="L2202" s="1">
        <v>0</v>
      </c>
      <c r="M2202" s="1">
        <v>0</v>
      </c>
      <c r="N2202" s="1">
        <v>2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 t="s">
        <v>49</v>
      </c>
      <c r="AA2202" s="1" t="s">
        <v>49</v>
      </c>
      <c r="AB2202" s="1" t="s">
        <v>49</v>
      </c>
      <c r="AC2202" s="1" t="s">
        <v>414</v>
      </c>
      <c r="AD2202" s="1" t="s">
        <v>415</v>
      </c>
      <c r="AE2202" s="1" t="s">
        <v>414</v>
      </c>
      <c r="AF2202" s="1" t="s">
        <v>49</v>
      </c>
      <c r="AG2202" s="1" t="s">
        <v>3464</v>
      </c>
      <c r="AH2202" s="1" t="s">
        <v>49</v>
      </c>
      <c r="AI2202" s="1" t="s">
        <v>54</v>
      </c>
      <c r="AJ2202" s="1">
        <v>1</v>
      </c>
      <c r="AK2202" s="1" t="str">
        <f t="shared" si="34"/>
        <v xml:space="preserve"> =&lt;90</v>
      </c>
      <c r="AL2202" s="1" t="str">
        <f>VLOOKUP(C:C,[1]基础信息!B$1:D$65536,3,0)</f>
        <v>UTS</v>
      </c>
      <c r="AM2202" s="1" t="str">
        <f>VLOOKUP(C:C,[1]基础信息!B$1:E$65536,4,0)</f>
        <v>MyPure Pro</v>
      </c>
      <c r="AN2202" s="1" t="str">
        <f>VLOOKUP(C:C,[1]基础信息!B$1:F$65536,5,0)</f>
        <v>Refill</v>
      </c>
    </row>
    <row r="2203" spans="1:40">
      <c r="A2203" s="1" t="s">
        <v>41</v>
      </c>
      <c r="B2203" s="1" t="s">
        <v>42</v>
      </c>
      <c r="C2203" s="1" t="s">
        <v>1710</v>
      </c>
      <c r="D2203" s="1" t="s">
        <v>1711</v>
      </c>
      <c r="E2203" s="1" t="s">
        <v>45</v>
      </c>
      <c r="F2203" s="1" t="s">
        <v>4976</v>
      </c>
      <c r="G2203" s="1" t="s">
        <v>5080</v>
      </c>
      <c r="H2203" s="1" t="s">
        <v>5081</v>
      </c>
      <c r="I2203" s="1" t="s">
        <v>49</v>
      </c>
      <c r="J2203" s="1" t="s">
        <v>48</v>
      </c>
      <c r="K2203" s="1">
        <v>60</v>
      </c>
      <c r="L2203" s="1">
        <v>0</v>
      </c>
      <c r="M2203" s="1">
        <v>0</v>
      </c>
      <c r="N2203" s="1">
        <v>60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 t="s">
        <v>49</v>
      </c>
      <c r="AA2203" s="1" t="s">
        <v>49</v>
      </c>
      <c r="AB2203" s="1" t="s">
        <v>49</v>
      </c>
      <c r="AC2203" s="1" t="s">
        <v>1551</v>
      </c>
      <c r="AD2203" s="1" t="s">
        <v>1552</v>
      </c>
      <c r="AE2203" s="1" t="s">
        <v>1551</v>
      </c>
      <c r="AF2203" s="1" t="s">
        <v>4979</v>
      </c>
      <c r="AG2203" s="1" t="s">
        <v>53</v>
      </c>
      <c r="AH2203" s="1" t="s">
        <v>49</v>
      </c>
      <c r="AI2203" s="1" t="s">
        <v>54</v>
      </c>
      <c r="AJ2203" s="1">
        <v>1</v>
      </c>
      <c r="AK2203" s="1" t="str">
        <f t="shared" si="34"/>
        <v xml:space="preserve"> =&lt;90</v>
      </c>
      <c r="AL2203" s="1" t="str">
        <f>VLOOKUP(C:C,[1]基础信息!B$1:D$65536,3,0)</f>
        <v>Jug</v>
      </c>
      <c r="AM2203" s="1" t="str">
        <f>VLOOKUP(C:C,[1]基础信息!B$1:E$65536,4,0)</f>
        <v>Kalea XL ME4W</v>
      </c>
      <c r="AN2203" s="1" t="str">
        <f>VLOOKUP(C:C,[1]基础信息!B$1:F$65536,5,0)</f>
        <v>grey</v>
      </c>
    </row>
    <row r="2204" spans="1:40">
      <c r="A2204" s="1" t="s">
        <v>41</v>
      </c>
      <c r="B2204" s="1" t="s">
        <v>42</v>
      </c>
      <c r="C2204" s="1" t="s">
        <v>1710</v>
      </c>
      <c r="D2204" s="1" t="s">
        <v>1711</v>
      </c>
      <c r="E2204" s="1" t="s">
        <v>45</v>
      </c>
      <c r="F2204" s="1" t="s">
        <v>4976</v>
      </c>
      <c r="G2204" s="1" t="s">
        <v>5082</v>
      </c>
      <c r="H2204" s="1" t="s">
        <v>5083</v>
      </c>
      <c r="I2204" s="1" t="s">
        <v>49</v>
      </c>
      <c r="J2204" s="1" t="s">
        <v>48</v>
      </c>
      <c r="K2204" s="1">
        <v>60</v>
      </c>
      <c r="L2204" s="1">
        <v>0</v>
      </c>
      <c r="M2204" s="1">
        <v>0</v>
      </c>
      <c r="N2204" s="1">
        <v>60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 t="s">
        <v>49</v>
      </c>
      <c r="AA2204" s="1" t="s">
        <v>49</v>
      </c>
      <c r="AB2204" s="1" t="s">
        <v>49</v>
      </c>
      <c r="AC2204" s="1" t="s">
        <v>1551</v>
      </c>
      <c r="AD2204" s="1" t="s">
        <v>1552</v>
      </c>
      <c r="AE2204" s="1" t="s">
        <v>1551</v>
      </c>
      <c r="AF2204" s="1" t="s">
        <v>4979</v>
      </c>
      <c r="AG2204" s="1" t="s">
        <v>53</v>
      </c>
      <c r="AH2204" s="1" t="s">
        <v>49</v>
      </c>
      <c r="AI2204" s="1" t="s">
        <v>54</v>
      </c>
      <c r="AJ2204" s="1">
        <v>1</v>
      </c>
      <c r="AK2204" s="1" t="str">
        <f t="shared" si="34"/>
        <v xml:space="preserve"> =&lt;90</v>
      </c>
      <c r="AL2204" s="1" t="str">
        <f>VLOOKUP(C:C,[1]基础信息!B$1:D$65536,3,0)</f>
        <v>Jug</v>
      </c>
      <c r="AM2204" s="1" t="str">
        <f>VLOOKUP(C:C,[1]基础信息!B$1:E$65536,4,0)</f>
        <v>Kalea XL ME4W</v>
      </c>
      <c r="AN2204" s="1" t="str">
        <f>VLOOKUP(C:C,[1]基础信息!B$1:F$65536,5,0)</f>
        <v>grey</v>
      </c>
    </row>
    <row r="2205" spans="1:40">
      <c r="A2205" s="1" t="s">
        <v>41</v>
      </c>
      <c r="B2205" s="1" t="s">
        <v>42</v>
      </c>
      <c r="C2205" s="1" t="s">
        <v>1710</v>
      </c>
      <c r="D2205" s="1" t="s">
        <v>1711</v>
      </c>
      <c r="E2205" s="1" t="s">
        <v>45</v>
      </c>
      <c r="F2205" s="1" t="s">
        <v>4976</v>
      </c>
      <c r="G2205" s="1" t="s">
        <v>5084</v>
      </c>
      <c r="H2205" s="1" t="s">
        <v>5085</v>
      </c>
      <c r="I2205" s="1" t="s">
        <v>49</v>
      </c>
      <c r="J2205" s="1" t="s">
        <v>48</v>
      </c>
      <c r="K2205" s="1">
        <v>60</v>
      </c>
      <c r="L2205" s="1">
        <v>0</v>
      </c>
      <c r="M2205" s="1">
        <v>0</v>
      </c>
      <c r="N2205" s="1">
        <v>60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 t="s">
        <v>49</v>
      </c>
      <c r="AA2205" s="1" t="s">
        <v>49</v>
      </c>
      <c r="AB2205" s="1" t="s">
        <v>49</v>
      </c>
      <c r="AC2205" s="1" t="s">
        <v>1551</v>
      </c>
      <c r="AD2205" s="1" t="s">
        <v>1552</v>
      </c>
      <c r="AE2205" s="1" t="s">
        <v>1551</v>
      </c>
      <c r="AF2205" s="1" t="s">
        <v>4979</v>
      </c>
      <c r="AG2205" s="1" t="s">
        <v>53</v>
      </c>
      <c r="AH2205" s="1" t="s">
        <v>49</v>
      </c>
      <c r="AI2205" s="1" t="s">
        <v>54</v>
      </c>
      <c r="AJ2205" s="1">
        <v>1</v>
      </c>
      <c r="AK2205" s="1" t="str">
        <f t="shared" si="34"/>
        <v xml:space="preserve"> =&lt;90</v>
      </c>
      <c r="AL2205" s="1" t="str">
        <f>VLOOKUP(C:C,[1]基础信息!B$1:D$65536,3,0)</f>
        <v>Jug</v>
      </c>
      <c r="AM2205" s="1" t="str">
        <f>VLOOKUP(C:C,[1]基础信息!B$1:E$65536,4,0)</f>
        <v>Kalea XL ME4W</v>
      </c>
      <c r="AN2205" s="1" t="str">
        <f>VLOOKUP(C:C,[1]基础信息!B$1:F$65536,5,0)</f>
        <v>grey</v>
      </c>
    </row>
    <row r="2206" spans="1:40">
      <c r="A2206" s="1" t="s">
        <v>41</v>
      </c>
      <c r="B2206" s="1" t="s">
        <v>42</v>
      </c>
      <c r="C2206" s="1" t="s">
        <v>2166</v>
      </c>
      <c r="D2206" s="1" t="s">
        <v>2167</v>
      </c>
      <c r="E2206" s="1" t="s">
        <v>45</v>
      </c>
      <c r="F2206" s="1" t="s">
        <v>2400</v>
      </c>
      <c r="G2206" s="1" t="s">
        <v>5086</v>
      </c>
      <c r="H2206" s="1" t="s">
        <v>5087</v>
      </c>
      <c r="I2206" s="1" t="s">
        <v>49</v>
      </c>
      <c r="J2206" s="1" t="s">
        <v>48</v>
      </c>
      <c r="K2206" s="1">
        <v>16</v>
      </c>
      <c r="L2206" s="1">
        <v>0</v>
      </c>
      <c r="M2206" s="1">
        <v>0</v>
      </c>
      <c r="N2206" s="1">
        <v>16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 t="s">
        <v>49</v>
      </c>
      <c r="AA2206" s="1" t="s">
        <v>49</v>
      </c>
      <c r="AB2206" s="1" t="s">
        <v>49</v>
      </c>
      <c r="AC2206" s="1" t="s">
        <v>2403</v>
      </c>
      <c r="AD2206" s="1" t="s">
        <v>2404</v>
      </c>
      <c r="AE2206" s="1" t="s">
        <v>2403</v>
      </c>
      <c r="AF2206" s="1" t="s">
        <v>2173</v>
      </c>
      <c r="AG2206" s="1" t="s">
        <v>53</v>
      </c>
      <c r="AH2206" s="1" t="s">
        <v>49</v>
      </c>
      <c r="AI2206" s="1" t="s">
        <v>54</v>
      </c>
      <c r="AJ2206" s="1">
        <v>1</v>
      </c>
      <c r="AK2206" s="1" t="str">
        <f t="shared" si="34"/>
        <v xml:space="preserve"> =&lt;90</v>
      </c>
      <c r="AL2206" s="1" t="str">
        <f>VLOOKUP(C:C,[1]基础信息!B$1:D$65536,3,0)</f>
        <v>UTS</v>
      </c>
      <c r="AM2206" s="1" t="str">
        <f>VLOOKUP(C:C,[1]基础信息!B$1:E$65536,4,0)</f>
        <v>RO</v>
      </c>
      <c r="AN2206" s="1" t="str">
        <f>VLOOKUP(C:C,[1]基础信息!B$1:F$65536,5,0)</f>
        <v>Starry Grey Color</v>
      </c>
    </row>
    <row r="2207" spans="1:40">
      <c r="A2207" s="1" t="s">
        <v>41</v>
      </c>
      <c r="B2207" s="1" t="s">
        <v>42</v>
      </c>
      <c r="C2207" s="1" t="s">
        <v>1437</v>
      </c>
      <c r="D2207" s="1" t="s">
        <v>1438</v>
      </c>
      <c r="E2207" s="1" t="s">
        <v>45</v>
      </c>
      <c r="F2207" s="1" t="s">
        <v>4770</v>
      </c>
      <c r="G2207" s="1" t="s">
        <v>5088</v>
      </c>
      <c r="H2207" s="1" t="s">
        <v>45</v>
      </c>
      <c r="I2207" s="1" t="s">
        <v>45</v>
      </c>
      <c r="J2207" s="1" t="s">
        <v>48</v>
      </c>
      <c r="K2207" s="1">
        <v>540</v>
      </c>
      <c r="L2207" s="1">
        <v>0</v>
      </c>
      <c r="M2207" s="1">
        <v>0</v>
      </c>
      <c r="N2207" s="1">
        <v>540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 t="s">
        <v>49</v>
      </c>
      <c r="AA2207" s="1" t="s">
        <v>49</v>
      </c>
      <c r="AB2207" s="1" t="s">
        <v>49</v>
      </c>
      <c r="AC2207" s="1" t="s">
        <v>4395</v>
      </c>
      <c r="AD2207" s="1" t="s">
        <v>4396</v>
      </c>
      <c r="AE2207" s="1" t="s">
        <v>4395</v>
      </c>
      <c r="AF2207" s="1" t="s">
        <v>4772</v>
      </c>
      <c r="AG2207" s="1" t="s">
        <v>53</v>
      </c>
      <c r="AH2207" s="1" t="s">
        <v>49</v>
      </c>
      <c r="AI2207" s="1" t="s">
        <v>54</v>
      </c>
      <c r="AJ2207" s="1">
        <v>1</v>
      </c>
      <c r="AK2207" s="1" t="str">
        <f t="shared" si="34"/>
        <v xml:space="preserve"> =&lt;90</v>
      </c>
      <c r="AL2207" s="1" t="str">
        <f>VLOOKUP(C:C,[1]基础信息!B$1:D$65536,3,0)</f>
        <v>On tap</v>
      </c>
      <c r="AM2207" s="1" t="str">
        <f>VLOOKUP(C:C,[1]基础信息!B$1:E$65536,4,0)</f>
        <v>On tap</v>
      </c>
      <c r="AN2207" s="1" t="str">
        <f>VLOOKUP(C:C,[1]基础信息!B$1:F$65536,5,0)</f>
        <v>On tap</v>
      </c>
    </row>
    <row r="2208" spans="1:40">
      <c r="A2208" s="1" t="s">
        <v>41</v>
      </c>
      <c r="B2208" s="1" t="s">
        <v>42</v>
      </c>
      <c r="C2208" s="1" t="s">
        <v>1710</v>
      </c>
      <c r="D2208" s="1" t="s">
        <v>1711</v>
      </c>
      <c r="E2208" s="1" t="s">
        <v>45</v>
      </c>
      <c r="F2208" s="1" t="s">
        <v>4976</v>
      </c>
      <c r="G2208" s="1" t="s">
        <v>5089</v>
      </c>
      <c r="H2208" s="1" t="s">
        <v>5090</v>
      </c>
      <c r="I2208" s="1" t="s">
        <v>49</v>
      </c>
      <c r="J2208" s="1" t="s">
        <v>48</v>
      </c>
      <c r="K2208" s="1">
        <v>60</v>
      </c>
      <c r="L2208" s="1">
        <v>0</v>
      </c>
      <c r="M2208" s="1">
        <v>0</v>
      </c>
      <c r="N2208" s="1">
        <v>60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 t="s">
        <v>49</v>
      </c>
      <c r="AA2208" s="1" t="s">
        <v>49</v>
      </c>
      <c r="AB2208" s="1" t="s">
        <v>49</v>
      </c>
      <c r="AC2208" s="1" t="s">
        <v>1551</v>
      </c>
      <c r="AD2208" s="1" t="s">
        <v>1552</v>
      </c>
      <c r="AE2208" s="1" t="s">
        <v>1551</v>
      </c>
      <c r="AF2208" s="1" t="s">
        <v>4979</v>
      </c>
      <c r="AG2208" s="1" t="s">
        <v>53</v>
      </c>
      <c r="AH2208" s="1" t="s">
        <v>49</v>
      </c>
      <c r="AI2208" s="1" t="s">
        <v>54</v>
      </c>
      <c r="AJ2208" s="1">
        <v>1</v>
      </c>
      <c r="AK2208" s="1" t="str">
        <f t="shared" si="34"/>
        <v xml:space="preserve"> =&lt;90</v>
      </c>
      <c r="AL2208" s="1" t="str">
        <f>VLOOKUP(C:C,[1]基础信息!B$1:D$65536,3,0)</f>
        <v>Jug</v>
      </c>
      <c r="AM2208" s="1" t="str">
        <f>VLOOKUP(C:C,[1]基础信息!B$1:E$65536,4,0)</f>
        <v>Kalea XL ME4W</v>
      </c>
      <c r="AN2208" s="1" t="str">
        <f>VLOOKUP(C:C,[1]基础信息!B$1:F$65536,5,0)</f>
        <v>grey</v>
      </c>
    </row>
    <row r="2209" spans="1:40">
      <c r="A2209" s="1" t="s">
        <v>41</v>
      </c>
      <c r="B2209" s="1" t="s">
        <v>42</v>
      </c>
      <c r="C2209" s="1" t="s">
        <v>1710</v>
      </c>
      <c r="D2209" s="1" t="s">
        <v>1711</v>
      </c>
      <c r="E2209" s="1" t="s">
        <v>45</v>
      </c>
      <c r="F2209" s="1" t="s">
        <v>4976</v>
      </c>
      <c r="G2209" s="1" t="s">
        <v>5091</v>
      </c>
      <c r="H2209" s="1" t="s">
        <v>5092</v>
      </c>
      <c r="I2209" s="1" t="s">
        <v>49</v>
      </c>
      <c r="J2209" s="1" t="s">
        <v>48</v>
      </c>
      <c r="K2209" s="1">
        <v>60</v>
      </c>
      <c r="L2209" s="1">
        <v>0</v>
      </c>
      <c r="M2209" s="1">
        <v>0</v>
      </c>
      <c r="N2209" s="1">
        <v>60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 t="s">
        <v>49</v>
      </c>
      <c r="AA2209" s="1" t="s">
        <v>49</v>
      </c>
      <c r="AB2209" s="1" t="s">
        <v>49</v>
      </c>
      <c r="AC2209" s="1" t="s">
        <v>1551</v>
      </c>
      <c r="AD2209" s="1" t="s">
        <v>1552</v>
      </c>
      <c r="AE2209" s="1" t="s">
        <v>1551</v>
      </c>
      <c r="AF2209" s="1" t="s">
        <v>4979</v>
      </c>
      <c r="AG2209" s="1" t="s">
        <v>53</v>
      </c>
      <c r="AH2209" s="1" t="s">
        <v>49</v>
      </c>
      <c r="AI2209" s="1" t="s">
        <v>54</v>
      </c>
      <c r="AJ2209" s="1">
        <v>1</v>
      </c>
      <c r="AK2209" s="1" t="str">
        <f t="shared" si="34"/>
        <v xml:space="preserve"> =&lt;90</v>
      </c>
      <c r="AL2209" s="1" t="str">
        <f>VLOOKUP(C:C,[1]基础信息!B$1:D$65536,3,0)</f>
        <v>Jug</v>
      </c>
      <c r="AM2209" s="1" t="str">
        <f>VLOOKUP(C:C,[1]基础信息!B$1:E$65536,4,0)</f>
        <v>Kalea XL ME4W</v>
      </c>
      <c r="AN2209" s="1" t="str">
        <f>VLOOKUP(C:C,[1]基础信息!B$1:F$65536,5,0)</f>
        <v>grey</v>
      </c>
    </row>
    <row r="2210" spans="1:40">
      <c r="A2210" s="1" t="s">
        <v>41</v>
      </c>
      <c r="B2210" s="1" t="s">
        <v>42</v>
      </c>
      <c r="C2210" s="1" t="s">
        <v>1710</v>
      </c>
      <c r="D2210" s="1" t="s">
        <v>1711</v>
      </c>
      <c r="E2210" s="1" t="s">
        <v>45</v>
      </c>
      <c r="F2210" s="1" t="s">
        <v>4976</v>
      </c>
      <c r="G2210" s="1" t="s">
        <v>5093</v>
      </c>
      <c r="H2210" s="1" t="s">
        <v>5094</v>
      </c>
      <c r="I2210" s="1" t="s">
        <v>49</v>
      </c>
      <c r="J2210" s="1" t="s">
        <v>48</v>
      </c>
      <c r="K2210" s="1">
        <v>60</v>
      </c>
      <c r="L2210" s="1">
        <v>0</v>
      </c>
      <c r="M2210" s="1">
        <v>0</v>
      </c>
      <c r="N2210" s="1">
        <v>60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 t="s">
        <v>49</v>
      </c>
      <c r="AA2210" s="1" t="s">
        <v>49</v>
      </c>
      <c r="AB2210" s="1" t="s">
        <v>49</v>
      </c>
      <c r="AC2210" s="1" t="s">
        <v>1551</v>
      </c>
      <c r="AD2210" s="1" t="s">
        <v>1552</v>
      </c>
      <c r="AE2210" s="1" t="s">
        <v>1551</v>
      </c>
      <c r="AF2210" s="1" t="s">
        <v>4979</v>
      </c>
      <c r="AG2210" s="1" t="s">
        <v>53</v>
      </c>
      <c r="AH2210" s="1" t="s">
        <v>49</v>
      </c>
      <c r="AI2210" s="1" t="s">
        <v>54</v>
      </c>
      <c r="AJ2210" s="1">
        <v>1</v>
      </c>
      <c r="AK2210" s="1" t="str">
        <f t="shared" si="34"/>
        <v xml:space="preserve"> =&lt;90</v>
      </c>
      <c r="AL2210" s="1" t="str">
        <f>VLOOKUP(C:C,[1]基础信息!B$1:D$65536,3,0)</f>
        <v>Jug</v>
      </c>
      <c r="AM2210" s="1" t="str">
        <f>VLOOKUP(C:C,[1]基础信息!B$1:E$65536,4,0)</f>
        <v>Kalea XL ME4W</v>
      </c>
      <c r="AN2210" s="1" t="str">
        <f>VLOOKUP(C:C,[1]基础信息!B$1:F$65536,5,0)</f>
        <v>grey</v>
      </c>
    </row>
    <row r="2211" spans="1:40">
      <c r="A2211" s="1" t="s">
        <v>41</v>
      </c>
      <c r="B2211" s="1" t="s">
        <v>42</v>
      </c>
      <c r="C2211" s="1" t="s">
        <v>4077</v>
      </c>
      <c r="D2211" s="1" t="s">
        <v>4078</v>
      </c>
      <c r="E2211" s="1" t="s">
        <v>45</v>
      </c>
      <c r="F2211" s="1" t="s">
        <v>4079</v>
      </c>
      <c r="G2211" s="1" t="s">
        <v>5095</v>
      </c>
      <c r="H2211" s="1" t="s">
        <v>5096</v>
      </c>
      <c r="I2211" s="1" t="s">
        <v>49</v>
      </c>
      <c r="J2211" s="1" t="s">
        <v>48</v>
      </c>
      <c r="K2211" s="1">
        <v>16</v>
      </c>
      <c r="L2211" s="1">
        <v>0</v>
      </c>
      <c r="M2211" s="1">
        <v>0</v>
      </c>
      <c r="N2211" s="1">
        <v>16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 t="s">
        <v>49</v>
      </c>
      <c r="AA2211" s="1" t="s">
        <v>49</v>
      </c>
      <c r="AB2211" s="1" t="s">
        <v>49</v>
      </c>
      <c r="AC2211" s="1" t="s">
        <v>2403</v>
      </c>
      <c r="AD2211" s="1" t="s">
        <v>2404</v>
      </c>
      <c r="AE2211" s="1" t="s">
        <v>2403</v>
      </c>
      <c r="AF2211" s="1" t="s">
        <v>4082</v>
      </c>
      <c r="AG2211" s="1" t="s">
        <v>53</v>
      </c>
      <c r="AH2211" s="1" t="s">
        <v>49</v>
      </c>
      <c r="AI2211" s="1" t="s">
        <v>54</v>
      </c>
      <c r="AJ2211" s="1">
        <v>1</v>
      </c>
      <c r="AK2211" s="1" t="str">
        <f t="shared" si="34"/>
        <v xml:space="preserve"> =&lt;90</v>
      </c>
      <c r="AL2211" s="1" t="str">
        <f>VLOOKUP(C:C,[1]基础信息!B$1:D$65536,3,0)</f>
        <v>UTS</v>
      </c>
      <c r="AM2211" s="1" t="str">
        <f>VLOOKUP(C:C,[1]基础信息!B$1:E$65536,4,0)</f>
        <v>RO</v>
      </c>
      <c r="AN2211" s="1" t="str">
        <f>VLOOKUP(C:C,[1]基础信息!B$1:F$65536,5,0)</f>
        <v>Starry Grey Color</v>
      </c>
    </row>
    <row r="2212" spans="1:40">
      <c r="A2212" s="1" t="s">
        <v>41</v>
      </c>
      <c r="B2212" s="1" t="s">
        <v>42</v>
      </c>
      <c r="C2212" s="1" t="s">
        <v>1710</v>
      </c>
      <c r="D2212" s="1" t="s">
        <v>1711</v>
      </c>
      <c r="E2212" s="1" t="s">
        <v>45</v>
      </c>
      <c r="F2212" s="1" t="s">
        <v>4976</v>
      </c>
      <c r="G2212" s="1" t="s">
        <v>5097</v>
      </c>
      <c r="H2212" s="1" t="s">
        <v>5098</v>
      </c>
      <c r="I2212" s="1" t="s">
        <v>49</v>
      </c>
      <c r="J2212" s="1" t="s">
        <v>48</v>
      </c>
      <c r="K2212" s="1">
        <v>60</v>
      </c>
      <c r="L2212" s="1">
        <v>0</v>
      </c>
      <c r="M2212" s="1">
        <v>0</v>
      </c>
      <c r="N2212" s="1">
        <v>60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 t="s">
        <v>49</v>
      </c>
      <c r="AA2212" s="1" t="s">
        <v>49</v>
      </c>
      <c r="AB2212" s="1" t="s">
        <v>49</v>
      </c>
      <c r="AC2212" s="1" t="s">
        <v>1551</v>
      </c>
      <c r="AD2212" s="1" t="s">
        <v>1552</v>
      </c>
      <c r="AE2212" s="1" t="s">
        <v>1551</v>
      </c>
      <c r="AF2212" s="1" t="s">
        <v>4979</v>
      </c>
      <c r="AG2212" s="1" t="s">
        <v>53</v>
      </c>
      <c r="AH2212" s="1" t="s">
        <v>49</v>
      </c>
      <c r="AI2212" s="1" t="s">
        <v>54</v>
      </c>
      <c r="AJ2212" s="1">
        <v>1</v>
      </c>
      <c r="AK2212" s="1" t="str">
        <f t="shared" si="34"/>
        <v xml:space="preserve"> =&lt;90</v>
      </c>
      <c r="AL2212" s="1" t="str">
        <f>VLOOKUP(C:C,[1]基础信息!B$1:D$65536,3,0)</f>
        <v>Jug</v>
      </c>
      <c r="AM2212" s="1" t="str">
        <f>VLOOKUP(C:C,[1]基础信息!B$1:E$65536,4,0)</f>
        <v>Kalea XL ME4W</v>
      </c>
      <c r="AN2212" s="1" t="str">
        <f>VLOOKUP(C:C,[1]基础信息!B$1:F$65536,5,0)</f>
        <v>grey</v>
      </c>
    </row>
    <row r="2213" spans="1:40">
      <c r="A2213" s="1" t="s">
        <v>41</v>
      </c>
      <c r="B2213" s="1" t="s">
        <v>42</v>
      </c>
      <c r="C2213" s="1" t="s">
        <v>1710</v>
      </c>
      <c r="D2213" s="1" t="s">
        <v>1711</v>
      </c>
      <c r="E2213" s="1" t="s">
        <v>45</v>
      </c>
      <c r="F2213" s="1" t="s">
        <v>4976</v>
      </c>
      <c r="G2213" s="1" t="s">
        <v>5099</v>
      </c>
      <c r="H2213" s="1" t="s">
        <v>5100</v>
      </c>
      <c r="I2213" s="1" t="s">
        <v>49</v>
      </c>
      <c r="J2213" s="1" t="s">
        <v>48</v>
      </c>
      <c r="K2213" s="1">
        <v>60</v>
      </c>
      <c r="L2213" s="1">
        <v>0</v>
      </c>
      <c r="M2213" s="1">
        <v>0</v>
      </c>
      <c r="N2213" s="1">
        <v>60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 t="s">
        <v>49</v>
      </c>
      <c r="AA2213" s="1" t="s">
        <v>49</v>
      </c>
      <c r="AB2213" s="1" t="s">
        <v>49</v>
      </c>
      <c r="AC2213" s="1" t="s">
        <v>1551</v>
      </c>
      <c r="AD2213" s="1" t="s">
        <v>1552</v>
      </c>
      <c r="AE2213" s="1" t="s">
        <v>1551</v>
      </c>
      <c r="AF2213" s="1" t="s">
        <v>4979</v>
      </c>
      <c r="AG2213" s="1" t="s">
        <v>53</v>
      </c>
      <c r="AH2213" s="1" t="s">
        <v>49</v>
      </c>
      <c r="AI2213" s="1" t="s">
        <v>54</v>
      </c>
      <c r="AJ2213" s="1">
        <v>1</v>
      </c>
      <c r="AK2213" s="1" t="str">
        <f t="shared" si="34"/>
        <v xml:space="preserve"> =&lt;90</v>
      </c>
      <c r="AL2213" s="1" t="str">
        <f>VLOOKUP(C:C,[1]基础信息!B$1:D$65536,3,0)</f>
        <v>Jug</v>
      </c>
      <c r="AM2213" s="1" t="str">
        <f>VLOOKUP(C:C,[1]基础信息!B$1:E$65536,4,0)</f>
        <v>Kalea XL ME4W</v>
      </c>
      <c r="AN2213" s="1" t="str">
        <f>VLOOKUP(C:C,[1]基础信息!B$1:F$65536,5,0)</f>
        <v>grey</v>
      </c>
    </row>
    <row r="2214" spans="1:40">
      <c r="A2214" s="1" t="s">
        <v>41</v>
      </c>
      <c r="B2214" s="1" t="s">
        <v>42</v>
      </c>
      <c r="C2214" s="1" t="s">
        <v>1710</v>
      </c>
      <c r="D2214" s="1" t="s">
        <v>1711</v>
      </c>
      <c r="E2214" s="1" t="s">
        <v>45</v>
      </c>
      <c r="F2214" s="1" t="s">
        <v>4976</v>
      </c>
      <c r="G2214" s="1" t="s">
        <v>5101</v>
      </c>
      <c r="H2214" s="1" t="s">
        <v>5102</v>
      </c>
      <c r="I2214" s="1" t="s">
        <v>49</v>
      </c>
      <c r="J2214" s="1" t="s">
        <v>48</v>
      </c>
      <c r="K2214" s="1">
        <v>60</v>
      </c>
      <c r="L2214" s="1">
        <v>0</v>
      </c>
      <c r="M2214" s="1">
        <v>0</v>
      </c>
      <c r="N2214" s="1">
        <v>60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 t="s">
        <v>49</v>
      </c>
      <c r="AA2214" s="1" t="s">
        <v>49</v>
      </c>
      <c r="AB2214" s="1" t="s">
        <v>49</v>
      </c>
      <c r="AC2214" s="1" t="s">
        <v>1551</v>
      </c>
      <c r="AD2214" s="1" t="s">
        <v>1552</v>
      </c>
      <c r="AE2214" s="1" t="s">
        <v>1551</v>
      </c>
      <c r="AF2214" s="1" t="s">
        <v>4979</v>
      </c>
      <c r="AG2214" s="1" t="s">
        <v>53</v>
      </c>
      <c r="AH2214" s="1" t="s">
        <v>49</v>
      </c>
      <c r="AI2214" s="1" t="s">
        <v>54</v>
      </c>
      <c r="AJ2214" s="1">
        <v>1</v>
      </c>
      <c r="AK2214" s="1" t="str">
        <f t="shared" si="34"/>
        <v xml:space="preserve"> =&lt;90</v>
      </c>
      <c r="AL2214" s="1" t="str">
        <f>VLOOKUP(C:C,[1]基础信息!B$1:D$65536,3,0)</f>
        <v>Jug</v>
      </c>
      <c r="AM2214" s="1" t="str">
        <f>VLOOKUP(C:C,[1]基础信息!B$1:E$65536,4,0)</f>
        <v>Kalea XL ME4W</v>
      </c>
      <c r="AN2214" s="1" t="str">
        <f>VLOOKUP(C:C,[1]基础信息!B$1:F$65536,5,0)</f>
        <v>grey</v>
      </c>
    </row>
    <row r="2215" spans="1:40">
      <c r="A2215" s="1" t="s">
        <v>41</v>
      </c>
      <c r="B2215" s="1" t="s">
        <v>42</v>
      </c>
      <c r="C2215" s="1" t="s">
        <v>4077</v>
      </c>
      <c r="D2215" s="1" t="s">
        <v>4078</v>
      </c>
      <c r="E2215" s="1" t="s">
        <v>45</v>
      </c>
      <c r="F2215" s="1" t="s">
        <v>4079</v>
      </c>
      <c r="G2215" s="1" t="s">
        <v>5103</v>
      </c>
      <c r="H2215" s="1" t="s">
        <v>5104</v>
      </c>
      <c r="I2215" s="1" t="s">
        <v>49</v>
      </c>
      <c r="J2215" s="1" t="s">
        <v>48</v>
      </c>
      <c r="K2215" s="1">
        <v>16</v>
      </c>
      <c r="L2215" s="1">
        <v>0</v>
      </c>
      <c r="M2215" s="1">
        <v>0</v>
      </c>
      <c r="N2215" s="1">
        <v>16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 t="s">
        <v>49</v>
      </c>
      <c r="AA2215" s="1" t="s">
        <v>49</v>
      </c>
      <c r="AB2215" s="1" t="s">
        <v>49</v>
      </c>
      <c r="AC2215" s="1" t="s">
        <v>2403</v>
      </c>
      <c r="AD2215" s="1" t="s">
        <v>2404</v>
      </c>
      <c r="AE2215" s="1" t="s">
        <v>2403</v>
      </c>
      <c r="AF2215" s="1" t="s">
        <v>4082</v>
      </c>
      <c r="AG2215" s="1" t="s">
        <v>53</v>
      </c>
      <c r="AH2215" s="1" t="s">
        <v>49</v>
      </c>
      <c r="AI2215" s="1" t="s">
        <v>54</v>
      </c>
      <c r="AJ2215" s="1">
        <v>1</v>
      </c>
      <c r="AK2215" s="1" t="str">
        <f t="shared" si="34"/>
        <v xml:space="preserve"> =&lt;90</v>
      </c>
      <c r="AL2215" s="1" t="str">
        <f>VLOOKUP(C:C,[1]基础信息!B$1:D$65536,3,0)</f>
        <v>UTS</v>
      </c>
      <c r="AM2215" s="1" t="str">
        <f>VLOOKUP(C:C,[1]基础信息!B$1:E$65536,4,0)</f>
        <v>RO</v>
      </c>
      <c r="AN2215" s="1" t="str">
        <f>VLOOKUP(C:C,[1]基础信息!B$1:F$65536,5,0)</f>
        <v>Starry Grey Color</v>
      </c>
    </row>
    <row r="2216" spans="1:40">
      <c r="A2216" s="1" t="s">
        <v>41</v>
      </c>
      <c r="B2216" s="1" t="s">
        <v>42</v>
      </c>
      <c r="C2216" s="1" t="s">
        <v>5105</v>
      </c>
      <c r="D2216" s="1" t="s">
        <v>5106</v>
      </c>
      <c r="E2216" s="1" t="s">
        <v>5105</v>
      </c>
      <c r="F2216" s="1" t="s">
        <v>5107</v>
      </c>
      <c r="G2216" s="1" t="s">
        <v>5108</v>
      </c>
      <c r="H2216" s="1" t="s">
        <v>45</v>
      </c>
      <c r="I2216" s="1" t="s">
        <v>45</v>
      </c>
      <c r="J2216" s="1" t="s">
        <v>48</v>
      </c>
      <c r="K2216" s="1">
        <v>6</v>
      </c>
      <c r="L2216" s="1">
        <v>0</v>
      </c>
      <c r="M2216" s="1">
        <v>0</v>
      </c>
      <c r="N2216" s="1">
        <v>6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 t="s">
        <v>49</v>
      </c>
      <c r="AA2216" s="1" t="s">
        <v>49</v>
      </c>
      <c r="AB2216" s="1" t="s">
        <v>49</v>
      </c>
      <c r="AC2216" s="1" t="s">
        <v>414</v>
      </c>
      <c r="AD2216" s="1" t="s">
        <v>415</v>
      </c>
      <c r="AE2216" s="1" t="s">
        <v>414</v>
      </c>
      <c r="AF2216" s="1" t="s">
        <v>49</v>
      </c>
      <c r="AG2216" s="1" t="s">
        <v>3464</v>
      </c>
      <c r="AH2216" s="1" t="s">
        <v>49</v>
      </c>
      <c r="AI2216" s="1" t="s">
        <v>54</v>
      </c>
      <c r="AJ2216" s="1">
        <v>1</v>
      </c>
      <c r="AK2216" s="1" t="str">
        <f t="shared" si="34"/>
        <v xml:space="preserve"> =&lt;90</v>
      </c>
      <c r="AL2216" s="1" t="str">
        <f>VLOOKUP(C:C,[1]基础信息!B$1:D$65536,3,0)</f>
        <v>UTS</v>
      </c>
      <c r="AM2216" s="1" t="str">
        <f>VLOOKUP(C:C,[1]基础信息!B$1:E$65536,4,0)</f>
        <v>MyPure Pro</v>
      </c>
      <c r="AN2216" s="1" t="str">
        <f>VLOOKUP(C:C,[1]基础信息!B$1:F$65536,5,0)</f>
        <v>X3</v>
      </c>
    </row>
    <row r="2217" spans="1:40">
      <c r="A2217" s="1" t="s">
        <v>41</v>
      </c>
      <c r="B2217" s="1" t="s">
        <v>42</v>
      </c>
      <c r="C2217" s="1" t="s">
        <v>1710</v>
      </c>
      <c r="D2217" s="1" t="s">
        <v>1711</v>
      </c>
      <c r="E2217" s="1" t="s">
        <v>45</v>
      </c>
      <c r="F2217" s="1" t="s">
        <v>4976</v>
      </c>
      <c r="G2217" s="1" t="s">
        <v>5109</v>
      </c>
      <c r="H2217" s="1" t="s">
        <v>5110</v>
      </c>
      <c r="I2217" s="1" t="s">
        <v>49</v>
      </c>
      <c r="J2217" s="1" t="s">
        <v>48</v>
      </c>
      <c r="K2217" s="1">
        <v>60</v>
      </c>
      <c r="L2217" s="1">
        <v>0</v>
      </c>
      <c r="M2217" s="1">
        <v>0</v>
      </c>
      <c r="N2217" s="1">
        <v>60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 t="s">
        <v>49</v>
      </c>
      <c r="AA2217" s="1" t="s">
        <v>49</v>
      </c>
      <c r="AB2217" s="1" t="s">
        <v>49</v>
      </c>
      <c r="AC2217" s="1" t="s">
        <v>1551</v>
      </c>
      <c r="AD2217" s="1" t="s">
        <v>1552</v>
      </c>
      <c r="AE2217" s="1" t="s">
        <v>1551</v>
      </c>
      <c r="AF2217" s="1" t="s">
        <v>4979</v>
      </c>
      <c r="AG2217" s="1" t="s">
        <v>53</v>
      </c>
      <c r="AH2217" s="1" t="s">
        <v>49</v>
      </c>
      <c r="AI2217" s="1" t="s">
        <v>54</v>
      </c>
      <c r="AJ2217" s="1">
        <v>1</v>
      </c>
      <c r="AK2217" s="1" t="str">
        <f t="shared" si="34"/>
        <v xml:space="preserve"> =&lt;90</v>
      </c>
      <c r="AL2217" s="1" t="str">
        <f>VLOOKUP(C:C,[1]基础信息!B$1:D$65536,3,0)</f>
        <v>Jug</v>
      </c>
      <c r="AM2217" s="1" t="str">
        <f>VLOOKUP(C:C,[1]基础信息!B$1:E$65536,4,0)</f>
        <v>Kalea XL ME4W</v>
      </c>
      <c r="AN2217" s="1" t="str">
        <f>VLOOKUP(C:C,[1]基础信息!B$1:F$65536,5,0)</f>
        <v>grey</v>
      </c>
    </row>
    <row r="2218" spans="1:40">
      <c r="A2218" s="1" t="s">
        <v>41</v>
      </c>
      <c r="B2218" s="1" t="s">
        <v>42</v>
      </c>
      <c r="C2218" s="1" t="s">
        <v>2166</v>
      </c>
      <c r="D2218" s="1" t="s">
        <v>2167</v>
      </c>
      <c r="E2218" s="1" t="s">
        <v>45</v>
      </c>
      <c r="F2218" s="1" t="s">
        <v>2168</v>
      </c>
      <c r="G2218" s="1" t="s">
        <v>5111</v>
      </c>
      <c r="H2218" s="1" t="s">
        <v>5112</v>
      </c>
      <c r="I2218" s="1" t="s">
        <v>49</v>
      </c>
      <c r="J2218" s="1" t="s">
        <v>48</v>
      </c>
      <c r="K2218" s="1">
        <v>16</v>
      </c>
      <c r="L2218" s="1">
        <v>0</v>
      </c>
      <c r="M2218" s="1">
        <v>0</v>
      </c>
      <c r="N2218" s="1">
        <v>16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 t="s">
        <v>49</v>
      </c>
      <c r="AA2218" s="1" t="s">
        <v>49</v>
      </c>
      <c r="AB2218" s="1" t="s">
        <v>49</v>
      </c>
      <c r="AC2218" s="1" t="s">
        <v>2171</v>
      </c>
      <c r="AD2218" s="1" t="s">
        <v>2172</v>
      </c>
      <c r="AE2218" s="1" t="s">
        <v>2171</v>
      </c>
      <c r="AF2218" s="1" t="s">
        <v>2173</v>
      </c>
      <c r="AG2218" s="1" t="s">
        <v>53</v>
      </c>
      <c r="AH2218" s="1" t="s">
        <v>49</v>
      </c>
      <c r="AI2218" s="1" t="s">
        <v>54</v>
      </c>
      <c r="AJ2218" s="1">
        <v>1</v>
      </c>
      <c r="AK2218" s="1" t="str">
        <f t="shared" si="34"/>
        <v xml:space="preserve"> =&lt;90</v>
      </c>
      <c r="AL2218" s="1" t="str">
        <f>VLOOKUP(C:C,[1]基础信息!B$1:D$65536,3,0)</f>
        <v>UTS</v>
      </c>
      <c r="AM2218" s="1" t="str">
        <f>VLOOKUP(C:C,[1]基础信息!B$1:E$65536,4,0)</f>
        <v>RO</v>
      </c>
      <c r="AN2218" s="1" t="str">
        <f>VLOOKUP(C:C,[1]基础信息!B$1:F$65536,5,0)</f>
        <v>Starry Grey Color</v>
      </c>
    </row>
    <row r="2219" spans="1:40">
      <c r="A2219" s="1" t="s">
        <v>41</v>
      </c>
      <c r="B2219" s="1" t="s">
        <v>42</v>
      </c>
      <c r="C2219" s="1" t="s">
        <v>1366</v>
      </c>
      <c r="D2219" s="1" t="s">
        <v>1367</v>
      </c>
      <c r="E2219" s="1" t="s">
        <v>45</v>
      </c>
      <c r="F2219" s="1" t="s">
        <v>5113</v>
      </c>
      <c r="G2219" s="1" t="s">
        <v>5114</v>
      </c>
      <c r="H2219" s="1" t="s">
        <v>45</v>
      </c>
      <c r="I2219" s="1" t="s">
        <v>45</v>
      </c>
      <c r="J2219" s="1" t="s">
        <v>48</v>
      </c>
      <c r="K2219" s="1">
        <v>22</v>
      </c>
      <c r="L2219" s="1">
        <v>0</v>
      </c>
      <c r="M2219" s="1">
        <v>0</v>
      </c>
      <c r="N2219" s="1">
        <v>22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 t="s">
        <v>49</v>
      </c>
      <c r="AA2219" s="1" t="s">
        <v>49</v>
      </c>
      <c r="AB2219" s="1" t="s">
        <v>49</v>
      </c>
      <c r="AC2219" s="1" t="s">
        <v>414</v>
      </c>
      <c r="AD2219" s="1" t="s">
        <v>415</v>
      </c>
      <c r="AE2219" s="1" t="s">
        <v>414</v>
      </c>
      <c r="AF2219" s="1" t="s">
        <v>49</v>
      </c>
      <c r="AG2219" s="1" t="s">
        <v>3464</v>
      </c>
      <c r="AH2219" s="1" t="s">
        <v>49</v>
      </c>
      <c r="AI2219" s="1" t="s">
        <v>54</v>
      </c>
      <c r="AJ2219" s="1">
        <v>1</v>
      </c>
      <c r="AK2219" s="1" t="str">
        <f t="shared" si="34"/>
        <v xml:space="preserve"> =&lt;90</v>
      </c>
      <c r="AL2219" s="1" t="str">
        <f>VLOOKUP(C:C,[1]基础信息!B$1:D$65536,3,0)</f>
        <v>UTS</v>
      </c>
      <c r="AM2219" s="1" t="str">
        <f>VLOOKUP(C:C,[1]基础信息!B$1:E$65536,4,0)</f>
        <v>MyPure</v>
      </c>
      <c r="AN2219" s="1" t="str">
        <f>VLOOKUP(C:C,[1]基础信息!B$1:F$65536,5,0)</f>
        <v>Refill</v>
      </c>
    </row>
    <row r="2220" spans="1:40">
      <c r="A2220" s="1" t="s">
        <v>41</v>
      </c>
      <c r="B2220" s="1" t="s">
        <v>42</v>
      </c>
      <c r="C2220" s="1" t="s">
        <v>2166</v>
      </c>
      <c r="D2220" s="1" t="s">
        <v>2167</v>
      </c>
      <c r="E2220" s="1" t="s">
        <v>45</v>
      </c>
      <c r="F2220" s="1" t="s">
        <v>2168</v>
      </c>
      <c r="G2220" s="1" t="s">
        <v>5115</v>
      </c>
      <c r="H2220" s="1" t="s">
        <v>5116</v>
      </c>
      <c r="I2220" s="1" t="s">
        <v>49</v>
      </c>
      <c r="J2220" s="1" t="s">
        <v>48</v>
      </c>
      <c r="K2220" s="1">
        <v>16</v>
      </c>
      <c r="L2220" s="1">
        <v>0</v>
      </c>
      <c r="M2220" s="1">
        <v>0</v>
      </c>
      <c r="N2220" s="1">
        <v>16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 t="s">
        <v>49</v>
      </c>
      <c r="AA2220" s="1" t="s">
        <v>49</v>
      </c>
      <c r="AB2220" s="1" t="s">
        <v>49</v>
      </c>
      <c r="AC2220" s="1" t="s">
        <v>2171</v>
      </c>
      <c r="AD2220" s="1" t="s">
        <v>2172</v>
      </c>
      <c r="AE2220" s="1" t="s">
        <v>2171</v>
      </c>
      <c r="AF2220" s="1" t="s">
        <v>2173</v>
      </c>
      <c r="AG2220" s="1" t="s">
        <v>53</v>
      </c>
      <c r="AH2220" s="1" t="s">
        <v>49</v>
      </c>
      <c r="AI2220" s="1" t="s">
        <v>54</v>
      </c>
      <c r="AJ2220" s="1">
        <v>1</v>
      </c>
      <c r="AK2220" s="1" t="str">
        <f t="shared" si="34"/>
        <v xml:space="preserve"> =&lt;90</v>
      </c>
      <c r="AL2220" s="1" t="str">
        <f>VLOOKUP(C:C,[1]基础信息!B$1:D$65536,3,0)</f>
        <v>UTS</v>
      </c>
      <c r="AM2220" s="1" t="str">
        <f>VLOOKUP(C:C,[1]基础信息!B$1:E$65536,4,0)</f>
        <v>RO</v>
      </c>
      <c r="AN2220" s="1" t="str">
        <f>VLOOKUP(C:C,[1]基础信息!B$1:F$65536,5,0)</f>
        <v>Starry Grey Color</v>
      </c>
    </row>
    <row r="2221" spans="1:40">
      <c r="A2221" s="1" t="s">
        <v>41</v>
      </c>
      <c r="B2221" s="1" t="s">
        <v>42</v>
      </c>
      <c r="C2221" s="1" t="s">
        <v>5117</v>
      </c>
      <c r="D2221" s="1" t="s">
        <v>5118</v>
      </c>
      <c r="E2221" s="1" t="s">
        <v>45</v>
      </c>
      <c r="F2221" s="1" t="s">
        <v>5119</v>
      </c>
      <c r="G2221" s="1" t="s">
        <v>5120</v>
      </c>
      <c r="H2221" s="1" t="s">
        <v>45</v>
      </c>
      <c r="I2221" s="1" t="s">
        <v>45</v>
      </c>
      <c r="J2221" s="1" t="s">
        <v>48</v>
      </c>
      <c r="K2221" s="1">
        <v>65</v>
      </c>
      <c r="L2221" s="1">
        <v>0</v>
      </c>
      <c r="M2221" s="1">
        <v>0</v>
      </c>
      <c r="N2221" s="1">
        <v>65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 t="s">
        <v>49</v>
      </c>
      <c r="AA2221" s="1" t="s">
        <v>49</v>
      </c>
      <c r="AB2221" s="1" t="s">
        <v>49</v>
      </c>
      <c r="AC2221" s="1" t="s">
        <v>414</v>
      </c>
      <c r="AD2221" s="1" t="s">
        <v>415</v>
      </c>
      <c r="AE2221" s="1" t="s">
        <v>414</v>
      </c>
      <c r="AF2221" s="1" t="s">
        <v>49</v>
      </c>
      <c r="AG2221" s="1" t="s">
        <v>3464</v>
      </c>
      <c r="AH2221" s="1" t="s">
        <v>49</v>
      </c>
      <c r="AI2221" s="1" t="s">
        <v>54</v>
      </c>
      <c r="AJ2221" s="1">
        <v>1</v>
      </c>
      <c r="AK2221" s="1" t="str">
        <f t="shared" si="34"/>
        <v xml:space="preserve"> =&lt;90</v>
      </c>
      <c r="AL2221" s="1" t="str">
        <f>VLOOKUP(C:C,[1]基础信息!B$1:D$65536,3,0)</f>
        <v>UTS</v>
      </c>
      <c r="AM2221" s="1" t="str">
        <f>VLOOKUP(C:C,[1]基础信息!B$1:E$65536,4,0)</f>
        <v>MyPure</v>
      </c>
      <c r="AN2221" s="1" t="str">
        <f>VLOOKUP(C:C,[1]基础信息!B$1:F$65536,5,0)</f>
        <v>Refill</v>
      </c>
    </row>
    <row r="2222" spans="1:40">
      <c r="A2222" s="1" t="s">
        <v>41</v>
      </c>
      <c r="B2222" s="1" t="s">
        <v>42</v>
      </c>
      <c r="C2222" s="1" t="s">
        <v>2628</v>
      </c>
      <c r="D2222" s="1" t="s">
        <v>2629</v>
      </c>
      <c r="E2222" s="1" t="s">
        <v>45</v>
      </c>
      <c r="F2222" s="1" t="s">
        <v>5121</v>
      </c>
      <c r="G2222" s="1" t="s">
        <v>5122</v>
      </c>
      <c r="H2222" s="1" t="s">
        <v>45</v>
      </c>
      <c r="I2222" s="1" t="s">
        <v>45</v>
      </c>
      <c r="J2222" s="1" t="s">
        <v>48</v>
      </c>
      <c r="K2222" s="1">
        <v>69</v>
      </c>
      <c r="L2222" s="1">
        <v>0</v>
      </c>
      <c r="M2222" s="1">
        <v>0</v>
      </c>
      <c r="N2222" s="1">
        <v>69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 t="s">
        <v>49</v>
      </c>
      <c r="AA2222" s="1" t="s">
        <v>49</v>
      </c>
      <c r="AB2222" s="1" t="s">
        <v>49</v>
      </c>
      <c r="AC2222" s="1" t="s">
        <v>414</v>
      </c>
      <c r="AD2222" s="1" t="s">
        <v>415</v>
      </c>
      <c r="AE2222" s="1" t="s">
        <v>414</v>
      </c>
      <c r="AF2222" s="1" t="s">
        <v>49</v>
      </c>
      <c r="AG2222" s="1" t="s">
        <v>3464</v>
      </c>
      <c r="AH2222" s="1" t="s">
        <v>49</v>
      </c>
      <c r="AI2222" s="1" t="s">
        <v>54</v>
      </c>
      <c r="AJ2222" s="1">
        <v>1</v>
      </c>
      <c r="AK2222" s="1" t="str">
        <f t="shared" si="34"/>
        <v xml:space="preserve"> =&lt;90</v>
      </c>
      <c r="AL2222" s="1" t="str">
        <f>VLOOKUP(C:C,[1]基础信息!B$1:D$65536,3,0)</f>
        <v>UTS</v>
      </c>
      <c r="AM2222" s="1" t="str">
        <f>VLOOKUP(C:C,[1]基础信息!B$1:E$65536,4,0)</f>
        <v>MyPure</v>
      </c>
      <c r="AN2222" s="1" t="str">
        <f>VLOOKUP(C:C,[1]基础信息!B$1:F$65536,5,0)</f>
        <v>Refill</v>
      </c>
    </row>
    <row r="2223" spans="1:40">
      <c r="A2223" s="1" t="s">
        <v>41</v>
      </c>
      <c r="B2223" s="1" t="s">
        <v>42</v>
      </c>
      <c r="C2223" s="1" t="s">
        <v>2760</v>
      </c>
      <c r="D2223" s="1" t="s">
        <v>2761</v>
      </c>
      <c r="E2223" s="1" t="s">
        <v>45</v>
      </c>
      <c r="F2223" s="1" t="s">
        <v>5123</v>
      </c>
      <c r="G2223" s="1" t="s">
        <v>5124</v>
      </c>
      <c r="H2223" s="1" t="s">
        <v>45</v>
      </c>
      <c r="I2223" s="1" t="s">
        <v>45</v>
      </c>
      <c r="J2223" s="1" t="s">
        <v>48</v>
      </c>
      <c r="K2223" s="1">
        <v>11</v>
      </c>
      <c r="L2223" s="1">
        <v>0</v>
      </c>
      <c r="M2223" s="1">
        <v>0</v>
      </c>
      <c r="N2223" s="1">
        <v>11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 t="s">
        <v>49</v>
      </c>
      <c r="AA2223" s="1" t="s">
        <v>49</v>
      </c>
      <c r="AB2223" s="1" t="s">
        <v>49</v>
      </c>
      <c r="AC2223" s="1" t="s">
        <v>414</v>
      </c>
      <c r="AD2223" s="1" t="s">
        <v>415</v>
      </c>
      <c r="AE2223" s="1" t="s">
        <v>414</v>
      </c>
      <c r="AF2223" s="1" t="s">
        <v>49</v>
      </c>
      <c r="AG2223" s="1" t="s">
        <v>3464</v>
      </c>
      <c r="AH2223" s="1" t="s">
        <v>49</v>
      </c>
      <c r="AI2223" s="1" t="s">
        <v>54</v>
      </c>
      <c r="AJ2223" s="1">
        <v>1</v>
      </c>
      <c r="AK2223" s="1" t="str">
        <f t="shared" si="34"/>
        <v xml:space="preserve"> =&lt;90</v>
      </c>
      <c r="AL2223" s="1" t="str">
        <f>VLOOKUP(C:C,[1]基础信息!B$1:D$65536,3,0)</f>
        <v>UTS</v>
      </c>
      <c r="AM2223" s="1" t="str">
        <f>VLOOKUP(C:C,[1]基础信息!B$1:E$65536,4,0)</f>
        <v>MyPure</v>
      </c>
      <c r="AN2223" s="1" t="str">
        <f>VLOOKUP(C:C,[1]基础信息!B$1:F$65536,5,0)</f>
        <v>Refill</v>
      </c>
    </row>
    <row r="2224" spans="1:40">
      <c r="A2224" s="1" t="s">
        <v>41</v>
      </c>
      <c r="B2224" s="1" t="s">
        <v>42</v>
      </c>
      <c r="C2224" s="1" t="s">
        <v>1004</v>
      </c>
      <c r="D2224" s="1" t="s">
        <v>1005</v>
      </c>
      <c r="E2224" s="1" t="s">
        <v>1004</v>
      </c>
      <c r="F2224" s="1" t="s">
        <v>5125</v>
      </c>
      <c r="G2224" s="1" t="s">
        <v>5126</v>
      </c>
      <c r="H2224" s="1" t="s">
        <v>45</v>
      </c>
      <c r="I2224" s="1" t="s">
        <v>45</v>
      </c>
      <c r="J2224" s="1" t="s">
        <v>48</v>
      </c>
      <c r="K2224" s="1">
        <v>22</v>
      </c>
      <c r="L2224" s="1">
        <v>0</v>
      </c>
      <c r="M2224" s="1">
        <v>0</v>
      </c>
      <c r="N2224" s="1">
        <v>22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 t="s">
        <v>49</v>
      </c>
      <c r="AA2224" s="1" t="s">
        <v>49</v>
      </c>
      <c r="AB2224" s="1" t="s">
        <v>49</v>
      </c>
      <c r="AC2224" s="1" t="s">
        <v>414</v>
      </c>
      <c r="AD2224" s="1" t="s">
        <v>415</v>
      </c>
      <c r="AE2224" s="1" t="s">
        <v>414</v>
      </c>
      <c r="AF2224" s="1" t="s">
        <v>49</v>
      </c>
      <c r="AG2224" s="1" t="s">
        <v>3464</v>
      </c>
      <c r="AH2224" s="1" t="s">
        <v>49</v>
      </c>
      <c r="AI2224" s="1" t="s">
        <v>54</v>
      </c>
      <c r="AJ2224" s="1">
        <v>1</v>
      </c>
      <c r="AK2224" s="1" t="str">
        <f t="shared" si="34"/>
        <v xml:space="preserve"> =&lt;90</v>
      </c>
      <c r="AL2224" s="1" t="str">
        <f>VLOOKUP(C:C,[1]基础信息!B$1:D$65536,3,0)</f>
        <v>UTS</v>
      </c>
      <c r="AM2224" s="1" t="str">
        <f>VLOOKUP(C:C,[1]基础信息!B$1:E$65536,4,0)</f>
        <v>MyPure</v>
      </c>
      <c r="AN2224" s="1" t="str">
        <f>VLOOKUP(C:C,[1]基础信息!B$1:F$65536,5,0)</f>
        <v>U5</v>
      </c>
    </row>
    <row r="2225" spans="1:40">
      <c r="A2225" s="1" t="s">
        <v>41</v>
      </c>
      <c r="B2225" s="1" t="s">
        <v>42</v>
      </c>
      <c r="C2225" s="1" t="s">
        <v>5127</v>
      </c>
      <c r="D2225" s="1" t="s">
        <v>5128</v>
      </c>
      <c r="E2225" s="1" t="s">
        <v>45</v>
      </c>
      <c r="F2225" s="1" t="s">
        <v>5129</v>
      </c>
      <c r="G2225" s="1" t="s">
        <v>5130</v>
      </c>
      <c r="H2225" s="1" t="s">
        <v>45</v>
      </c>
      <c r="I2225" s="1" t="s">
        <v>45</v>
      </c>
      <c r="J2225" s="1" t="s">
        <v>48</v>
      </c>
      <c r="K2225" s="1">
        <v>25</v>
      </c>
      <c r="L2225" s="1">
        <v>0</v>
      </c>
      <c r="M2225" s="1">
        <v>0</v>
      </c>
      <c r="N2225" s="1">
        <v>25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 t="s">
        <v>49</v>
      </c>
      <c r="AA2225" s="1" t="s">
        <v>49</v>
      </c>
      <c r="AB2225" s="1" t="s">
        <v>49</v>
      </c>
      <c r="AC2225" s="1" t="s">
        <v>5131</v>
      </c>
      <c r="AD2225" s="1" t="s">
        <v>5132</v>
      </c>
      <c r="AE2225" s="1" t="s">
        <v>5131</v>
      </c>
      <c r="AF2225" s="1" t="s">
        <v>5133</v>
      </c>
      <c r="AG2225" s="1" t="s">
        <v>338</v>
      </c>
      <c r="AH2225" s="1" t="s">
        <v>49</v>
      </c>
      <c r="AI2225" s="1" t="s">
        <v>54</v>
      </c>
      <c r="AJ2225" s="1">
        <v>1</v>
      </c>
      <c r="AK2225" s="1" t="str">
        <f t="shared" si="34"/>
        <v xml:space="preserve"> =&lt;90</v>
      </c>
      <c r="AL2225" s="1" t="str">
        <f>VLOOKUP(C:C,[1]基础信息!B$1:D$65536,3,0)</f>
        <v>Jug</v>
      </c>
      <c r="AM2225" s="1" t="str">
        <f>VLOOKUP(C:C,[1]基础信息!B$1:E$65536,4,0)</f>
        <v>Style</v>
      </c>
      <c r="AN2225" s="1" t="str">
        <f>VLOOKUP(C:C,[1]基础信息!B$1:F$65536,5,0)</f>
        <v>Lime</v>
      </c>
    </row>
    <row r="2226" spans="1:40">
      <c r="A2226" s="1" t="s">
        <v>41</v>
      </c>
      <c r="B2226" s="1" t="s">
        <v>42</v>
      </c>
      <c r="C2226" s="1" t="s">
        <v>1437</v>
      </c>
      <c r="D2226" s="1" t="s">
        <v>1438</v>
      </c>
      <c r="E2226" s="1" t="s">
        <v>45</v>
      </c>
      <c r="F2226" s="1" t="s">
        <v>5134</v>
      </c>
      <c r="G2226" s="1" t="s">
        <v>5135</v>
      </c>
      <c r="H2226" s="1" t="s">
        <v>45</v>
      </c>
      <c r="I2226" s="1" t="s">
        <v>45</v>
      </c>
      <c r="J2226" s="1" t="s">
        <v>48</v>
      </c>
      <c r="K2226" s="1">
        <v>80</v>
      </c>
      <c r="L2226" s="1">
        <v>0</v>
      </c>
      <c r="M2226" s="1">
        <v>0</v>
      </c>
      <c r="N2226" s="1">
        <v>80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 t="s">
        <v>49</v>
      </c>
      <c r="AA2226" s="1" t="s">
        <v>49</v>
      </c>
      <c r="AB2226" s="1" t="s">
        <v>49</v>
      </c>
      <c r="AC2226" s="1" t="s">
        <v>3462</v>
      </c>
      <c r="AD2226" s="1" t="s">
        <v>3463</v>
      </c>
      <c r="AE2226" s="1" t="s">
        <v>3462</v>
      </c>
      <c r="AF2226" s="1" t="s">
        <v>49</v>
      </c>
      <c r="AG2226" s="1" t="s">
        <v>3464</v>
      </c>
      <c r="AH2226" s="1" t="s">
        <v>49</v>
      </c>
      <c r="AI2226" s="1" t="s">
        <v>54</v>
      </c>
      <c r="AJ2226" s="1">
        <v>1</v>
      </c>
      <c r="AK2226" s="1" t="str">
        <f t="shared" si="34"/>
        <v xml:space="preserve"> =&lt;90</v>
      </c>
      <c r="AL2226" s="1" t="str">
        <f>VLOOKUP(C:C,[1]基础信息!B$1:D$65536,3,0)</f>
        <v>On tap</v>
      </c>
      <c r="AM2226" s="1" t="str">
        <f>VLOOKUP(C:C,[1]基础信息!B$1:E$65536,4,0)</f>
        <v>On tap</v>
      </c>
      <c r="AN2226" s="1" t="str">
        <f>VLOOKUP(C:C,[1]基础信息!B$1:F$65536,5,0)</f>
        <v>On tap</v>
      </c>
    </row>
    <row r="2227" spans="1:40">
      <c r="A2227" s="1" t="s">
        <v>41</v>
      </c>
      <c r="B2227" s="1" t="s">
        <v>42</v>
      </c>
      <c r="C2227" s="1" t="s">
        <v>3999</v>
      </c>
      <c r="D2227" s="1" t="s">
        <v>4000</v>
      </c>
      <c r="E2227" s="1" t="s">
        <v>45</v>
      </c>
      <c r="F2227" s="1" t="s">
        <v>4011</v>
      </c>
      <c r="G2227" s="1" t="s">
        <v>5136</v>
      </c>
      <c r="H2227" s="1" t="s">
        <v>45</v>
      </c>
      <c r="I2227" s="1" t="s">
        <v>45</v>
      </c>
      <c r="J2227" s="1" t="s">
        <v>48</v>
      </c>
      <c r="K2227" s="1">
        <v>72</v>
      </c>
      <c r="L2227" s="1">
        <v>0</v>
      </c>
      <c r="M2227" s="1">
        <v>0</v>
      </c>
      <c r="N2227" s="1">
        <v>72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 t="s">
        <v>49</v>
      </c>
      <c r="AA2227" s="1" t="s">
        <v>49</v>
      </c>
      <c r="AB2227" s="1" t="s">
        <v>49</v>
      </c>
      <c r="AC2227" s="1" t="s">
        <v>2587</v>
      </c>
      <c r="AD2227" s="1" t="s">
        <v>2588</v>
      </c>
      <c r="AE2227" s="1" t="s">
        <v>2587</v>
      </c>
      <c r="AF2227" s="1" t="s">
        <v>4013</v>
      </c>
      <c r="AG2227" s="1" t="s">
        <v>338</v>
      </c>
      <c r="AH2227" s="1" t="s">
        <v>49</v>
      </c>
      <c r="AI2227" s="1" t="s">
        <v>54</v>
      </c>
      <c r="AJ2227" s="1">
        <v>1</v>
      </c>
      <c r="AK2227" s="1" t="str">
        <f t="shared" si="34"/>
        <v xml:space="preserve"> =&lt;90</v>
      </c>
      <c r="AL2227" s="1" t="str">
        <f>VLOOKUP(C:C,[1]基础信息!B$1:D$65536,3,0)</f>
        <v>Jug</v>
      </c>
      <c r="AM2227" s="1" t="str">
        <f>VLOOKUP(C:C,[1]基础信息!B$1:E$65536,4,0)</f>
        <v>Aluna</v>
      </c>
      <c r="AN2227" s="1" t="str">
        <f>VLOOKUP(C:C,[1]基础信息!B$1:F$65536,5,0)</f>
        <v>Blue</v>
      </c>
    </row>
    <row r="2228" spans="1:40">
      <c r="A2228" s="1" t="s">
        <v>41</v>
      </c>
      <c r="B2228" s="1" t="s">
        <v>42</v>
      </c>
      <c r="C2228" s="1" t="s">
        <v>93</v>
      </c>
      <c r="D2228" s="1" t="s">
        <v>94</v>
      </c>
      <c r="E2228" s="1" t="s">
        <v>45</v>
      </c>
      <c r="F2228" s="1" t="s">
        <v>5137</v>
      </c>
      <c r="G2228" s="1" t="s">
        <v>5138</v>
      </c>
      <c r="H2228" s="1" t="s">
        <v>45</v>
      </c>
      <c r="I2228" s="1" t="s">
        <v>49</v>
      </c>
      <c r="J2228" s="1" t="s">
        <v>48</v>
      </c>
      <c r="K2228" s="1">
        <v>1</v>
      </c>
      <c r="L2228" s="1">
        <v>0</v>
      </c>
      <c r="M2228" s="1">
        <v>0</v>
      </c>
      <c r="N2228" s="1">
        <v>1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 t="s">
        <v>49</v>
      </c>
      <c r="AA2228" s="1" t="s">
        <v>49</v>
      </c>
      <c r="AB2228" s="1" t="s">
        <v>49</v>
      </c>
      <c r="AC2228" s="1" t="s">
        <v>5139</v>
      </c>
      <c r="AD2228" s="1" t="s">
        <v>5140</v>
      </c>
      <c r="AE2228" s="1" t="s">
        <v>5141</v>
      </c>
      <c r="AF2228" s="1" t="s">
        <v>5142</v>
      </c>
      <c r="AG2228" s="1" t="s">
        <v>227</v>
      </c>
      <c r="AH2228" s="1" t="s">
        <v>49</v>
      </c>
      <c r="AI2228" s="1" t="s">
        <v>54</v>
      </c>
      <c r="AJ2228" s="1">
        <v>1</v>
      </c>
      <c r="AK2228" s="1" t="str">
        <f t="shared" si="34"/>
        <v xml:space="preserve"> =&lt;90</v>
      </c>
      <c r="AL2228" s="1" t="str">
        <f>VLOOKUP(C:C,[1]基础信息!B$1:D$65536,3,0)</f>
        <v>UTS</v>
      </c>
      <c r="AM2228" s="1" t="str">
        <f>VLOOKUP(C:C,[1]基础信息!B$1:E$65536,4,0)</f>
        <v>MyPure Pro</v>
      </c>
      <c r="AN2228" s="1" t="str">
        <f>VLOOKUP(C:C,[1]基础信息!B$1:F$65536,5,0)</f>
        <v>Refill</v>
      </c>
    </row>
    <row r="2229" spans="1:40">
      <c r="A2229" s="1" t="s">
        <v>41</v>
      </c>
      <c r="B2229" s="1" t="s">
        <v>42</v>
      </c>
      <c r="C2229" s="1" t="s">
        <v>813</v>
      </c>
      <c r="D2229" s="1" t="s">
        <v>814</v>
      </c>
      <c r="E2229" s="1" t="s">
        <v>45</v>
      </c>
      <c r="F2229" s="1" t="s">
        <v>5143</v>
      </c>
      <c r="G2229" s="1" t="s">
        <v>5144</v>
      </c>
      <c r="H2229" s="1" t="s">
        <v>45</v>
      </c>
      <c r="I2229" s="1" t="s">
        <v>45</v>
      </c>
      <c r="J2229" s="1" t="s">
        <v>48</v>
      </c>
      <c r="K2229" s="1">
        <v>30</v>
      </c>
      <c r="L2229" s="1">
        <v>0</v>
      </c>
      <c r="M2229" s="1">
        <v>0</v>
      </c>
      <c r="N2229" s="1">
        <v>30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 t="s">
        <v>49</v>
      </c>
      <c r="AA2229" s="1" t="s">
        <v>49</v>
      </c>
      <c r="AB2229" s="1" t="s">
        <v>49</v>
      </c>
      <c r="AC2229" s="1" t="s">
        <v>3462</v>
      </c>
      <c r="AD2229" s="1" t="s">
        <v>3463</v>
      </c>
      <c r="AE2229" s="1" t="s">
        <v>3462</v>
      </c>
      <c r="AF2229" s="1" t="s">
        <v>49</v>
      </c>
      <c r="AG2229" s="1" t="s">
        <v>3464</v>
      </c>
      <c r="AH2229" s="1" t="s">
        <v>49</v>
      </c>
      <c r="AI2229" s="1" t="s">
        <v>54</v>
      </c>
      <c r="AJ2229" s="1">
        <v>1</v>
      </c>
      <c r="AK2229" s="1" t="str">
        <f t="shared" si="34"/>
        <v xml:space="preserve"> =&lt;90</v>
      </c>
      <c r="AL2229" s="1" t="str">
        <f>VLOOKUP(C:C,[1]基础信息!B$1:D$65536,3,0)</f>
        <v>Jug</v>
      </c>
      <c r="AM2229" s="1" t="str">
        <f>VLOOKUP(C:C,[1]基础信息!B$1:E$65536,4,0)</f>
        <v>Mxplus</v>
      </c>
      <c r="AN2229" s="1" t="str">
        <f>VLOOKUP(C:C,[1]基础信息!B$1:F$65536,5,0)</f>
        <v>Blue</v>
      </c>
    </row>
    <row r="2230" spans="1:40">
      <c r="A2230" s="1" t="s">
        <v>41</v>
      </c>
      <c r="B2230" s="1" t="s">
        <v>42</v>
      </c>
      <c r="C2230" s="1" t="s">
        <v>3512</v>
      </c>
      <c r="D2230" s="1" t="s">
        <v>3513</v>
      </c>
      <c r="E2230" s="1" t="s">
        <v>45</v>
      </c>
      <c r="F2230" s="1" t="s">
        <v>5145</v>
      </c>
      <c r="G2230" s="1" t="s">
        <v>5146</v>
      </c>
      <c r="H2230" s="1" t="s">
        <v>5147</v>
      </c>
      <c r="I2230" s="1" t="s">
        <v>49</v>
      </c>
      <c r="J2230" s="1" t="s">
        <v>48</v>
      </c>
      <c r="K2230" s="1">
        <v>840</v>
      </c>
      <c r="L2230" s="1">
        <v>0</v>
      </c>
      <c r="M2230" s="1">
        <v>0</v>
      </c>
      <c r="N2230" s="1">
        <v>840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 t="s">
        <v>49</v>
      </c>
      <c r="AA2230" s="1" t="s">
        <v>49</v>
      </c>
      <c r="AB2230" s="1" t="s">
        <v>49</v>
      </c>
      <c r="AC2230" s="1" t="s">
        <v>144</v>
      </c>
      <c r="AD2230" s="1" t="s">
        <v>145</v>
      </c>
      <c r="AE2230" s="1" t="s">
        <v>144</v>
      </c>
      <c r="AF2230" s="1" t="s">
        <v>5148</v>
      </c>
      <c r="AG2230" s="1" t="s">
        <v>53</v>
      </c>
      <c r="AH2230" s="1" t="s">
        <v>49</v>
      </c>
      <c r="AI2230" s="1" t="s">
        <v>54</v>
      </c>
      <c r="AJ2230" s="1">
        <v>1</v>
      </c>
      <c r="AK2230" s="1" t="str">
        <f t="shared" si="34"/>
        <v xml:space="preserve"> =&lt;90</v>
      </c>
      <c r="AL2230" s="1" t="str">
        <f>VLOOKUP(C:C,[1]基础信息!B$1:D$65536,3,0)</f>
        <v xml:space="preserve">Cartridge </v>
      </c>
      <c r="AM2230" s="1" t="str">
        <f>VLOOKUP(C:C,[1]基础信息!B$1:E$65536,4,0)</f>
        <v>UNIV</v>
      </c>
      <c r="AN2230" s="1" t="str">
        <f>VLOOKUP(C:C,[1]基础信息!B$1:F$65536,5,0)</f>
        <v>P3</v>
      </c>
    </row>
    <row r="2231" spans="1:40">
      <c r="A2231" s="1" t="s">
        <v>41</v>
      </c>
      <c r="B2231" s="1" t="s">
        <v>42</v>
      </c>
      <c r="C2231" s="1" t="s">
        <v>3971</v>
      </c>
      <c r="D2231" s="1" t="s">
        <v>3972</v>
      </c>
      <c r="E2231" s="1" t="s">
        <v>45</v>
      </c>
      <c r="F2231" s="1" t="s">
        <v>5149</v>
      </c>
      <c r="G2231" s="1" t="s">
        <v>5150</v>
      </c>
      <c r="H2231" s="1" t="s">
        <v>5151</v>
      </c>
      <c r="I2231" s="1" t="s">
        <v>49</v>
      </c>
      <c r="J2231" s="1" t="s">
        <v>48</v>
      </c>
      <c r="K2231" s="1">
        <v>96</v>
      </c>
      <c r="L2231" s="1">
        <v>0</v>
      </c>
      <c r="M2231" s="1">
        <v>0</v>
      </c>
      <c r="N2231" s="1">
        <v>96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 t="s">
        <v>49</v>
      </c>
      <c r="AA2231" s="1" t="s">
        <v>49</v>
      </c>
      <c r="AB2231" s="1" t="s">
        <v>49</v>
      </c>
      <c r="AC2231" s="1" t="s">
        <v>88</v>
      </c>
      <c r="AD2231" s="1" t="s">
        <v>89</v>
      </c>
      <c r="AE2231" s="1" t="s">
        <v>88</v>
      </c>
      <c r="AF2231" s="1" t="s">
        <v>3349</v>
      </c>
      <c r="AG2231" s="1" t="s">
        <v>53</v>
      </c>
      <c r="AH2231" s="1" t="s">
        <v>49</v>
      </c>
      <c r="AI2231" s="1" t="s">
        <v>54</v>
      </c>
      <c r="AJ2231" s="1">
        <v>1</v>
      </c>
      <c r="AK2231" s="1" t="str">
        <f t="shared" si="34"/>
        <v xml:space="preserve"> =&lt;90</v>
      </c>
      <c r="AL2231" s="1" t="str">
        <f>VLOOKUP(C:C,[1]基础信息!B$1:D$65536,3,0)</f>
        <v>Jug</v>
      </c>
      <c r="AM2231" s="1" t="str">
        <f>VLOOKUP(C:C,[1]基础信息!B$1:E$65536,4,0)</f>
        <v>Mxplus</v>
      </c>
      <c r="AN2231" s="1" t="str">
        <f>VLOOKUP(C:C,[1]基础信息!B$1:F$65536,5,0)</f>
        <v xml:space="preserve"> lime</v>
      </c>
    </row>
    <row r="2232" spans="1:40">
      <c r="A2232" s="1" t="s">
        <v>41</v>
      </c>
      <c r="B2232" s="1" t="s">
        <v>42</v>
      </c>
      <c r="C2232" s="1" t="s">
        <v>3971</v>
      </c>
      <c r="D2232" s="1" t="s">
        <v>3972</v>
      </c>
      <c r="E2232" s="1" t="s">
        <v>45</v>
      </c>
      <c r="F2232" s="1" t="s">
        <v>5149</v>
      </c>
      <c r="G2232" s="1" t="s">
        <v>5152</v>
      </c>
      <c r="H2232" s="1" t="s">
        <v>5153</v>
      </c>
      <c r="I2232" s="1" t="s">
        <v>49</v>
      </c>
      <c r="J2232" s="1" t="s">
        <v>48</v>
      </c>
      <c r="K2232" s="1">
        <v>96</v>
      </c>
      <c r="L2232" s="1">
        <v>0</v>
      </c>
      <c r="M2232" s="1">
        <v>0</v>
      </c>
      <c r="N2232" s="1">
        <v>96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 t="s">
        <v>49</v>
      </c>
      <c r="AA2232" s="1" t="s">
        <v>49</v>
      </c>
      <c r="AB2232" s="1" t="s">
        <v>49</v>
      </c>
      <c r="AC2232" s="1" t="s">
        <v>88</v>
      </c>
      <c r="AD2232" s="1" t="s">
        <v>89</v>
      </c>
      <c r="AE2232" s="1" t="s">
        <v>88</v>
      </c>
      <c r="AF2232" s="1" t="s">
        <v>3349</v>
      </c>
      <c r="AG2232" s="1" t="s">
        <v>53</v>
      </c>
      <c r="AH2232" s="1" t="s">
        <v>49</v>
      </c>
      <c r="AI2232" s="1" t="s">
        <v>54</v>
      </c>
      <c r="AJ2232" s="1">
        <v>1</v>
      </c>
      <c r="AK2232" s="1" t="str">
        <f t="shared" si="34"/>
        <v xml:space="preserve"> =&lt;90</v>
      </c>
      <c r="AL2232" s="1" t="str">
        <f>VLOOKUP(C:C,[1]基础信息!B$1:D$65536,3,0)</f>
        <v>Jug</v>
      </c>
      <c r="AM2232" s="1" t="str">
        <f>VLOOKUP(C:C,[1]基础信息!B$1:E$65536,4,0)</f>
        <v>Mxplus</v>
      </c>
      <c r="AN2232" s="1" t="str">
        <f>VLOOKUP(C:C,[1]基础信息!B$1:F$65536,5,0)</f>
        <v xml:space="preserve"> lime</v>
      </c>
    </row>
    <row r="2233" spans="1:40">
      <c r="A2233" s="1" t="s">
        <v>41</v>
      </c>
      <c r="B2233" s="1" t="s">
        <v>42</v>
      </c>
      <c r="C2233" s="1" t="s">
        <v>5154</v>
      </c>
      <c r="D2233" s="1" t="s">
        <v>5155</v>
      </c>
      <c r="E2233" s="1" t="s">
        <v>45</v>
      </c>
      <c r="F2233" s="1" t="s">
        <v>5156</v>
      </c>
      <c r="G2233" s="1" t="s">
        <v>5157</v>
      </c>
      <c r="H2233" s="1" t="s">
        <v>5158</v>
      </c>
      <c r="I2233" s="1" t="s">
        <v>49</v>
      </c>
      <c r="J2233" s="1" t="s">
        <v>48</v>
      </c>
      <c r="K2233" s="1">
        <v>270</v>
      </c>
      <c r="L2233" s="1">
        <v>0</v>
      </c>
      <c r="M2233" s="1">
        <v>0</v>
      </c>
      <c r="N2233" s="1">
        <v>270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 t="s">
        <v>49</v>
      </c>
      <c r="AA2233" s="1" t="s">
        <v>49</v>
      </c>
      <c r="AB2233" s="1" t="s">
        <v>49</v>
      </c>
      <c r="AC2233" s="1" t="s">
        <v>215</v>
      </c>
      <c r="AD2233" s="1" t="s">
        <v>3025</v>
      </c>
      <c r="AE2233" s="1" t="s">
        <v>215</v>
      </c>
      <c r="AF2233" s="1" t="s">
        <v>5159</v>
      </c>
      <c r="AG2233" s="1" t="s">
        <v>53</v>
      </c>
      <c r="AH2233" s="1" t="s">
        <v>49</v>
      </c>
      <c r="AI2233" s="1" t="s">
        <v>54</v>
      </c>
      <c r="AJ2233" s="1">
        <v>1</v>
      </c>
      <c r="AK2233" s="1" t="str">
        <f t="shared" si="34"/>
        <v xml:space="preserve"> =&lt;90</v>
      </c>
      <c r="AL2233" s="1" t="e">
        <f>VLOOKUP(C:C,[1]基础信息!B$1:D$65536,3,0)</f>
        <v>#N/A</v>
      </c>
      <c r="AM2233" s="1" t="e">
        <f>VLOOKUP(C:C,[1]基础信息!B$1:E$65536,4,0)</f>
        <v>#N/A</v>
      </c>
      <c r="AN2233" s="1" t="e">
        <f>VLOOKUP(C:C,[1]基础信息!B$1:F$65536,5,0)</f>
        <v>#N/A</v>
      </c>
    </row>
    <row r="2234" spans="1:40">
      <c r="A2234" s="1" t="s">
        <v>41</v>
      </c>
      <c r="B2234" s="1" t="s">
        <v>42</v>
      </c>
      <c r="C2234" s="1" t="s">
        <v>3971</v>
      </c>
      <c r="D2234" s="1" t="s">
        <v>3972</v>
      </c>
      <c r="E2234" s="1" t="s">
        <v>45</v>
      </c>
      <c r="F2234" s="1" t="s">
        <v>5149</v>
      </c>
      <c r="G2234" s="1" t="s">
        <v>5160</v>
      </c>
      <c r="H2234" s="1" t="s">
        <v>5161</v>
      </c>
      <c r="I2234" s="1" t="s">
        <v>49</v>
      </c>
      <c r="J2234" s="1" t="s">
        <v>48</v>
      </c>
      <c r="K2234" s="1">
        <v>96</v>
      </c>
      <c r="L2234" s="1">
        <v>0</v>
      </c>
      <c r="M2234" s="1">
        <v>0</v>
      </c>
      <c r="N2234" s="1">
        <v>96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 t="s">
        <v>49</v>
      </c>
      <c r="AA2234" s="1" t="s">
        <v>49</v>
      </c>
      <c r="AB2234" s="1" t="s">
        <v>49</v>
      </c>
      <c r="AC2234" s="1" t="s">
        <v>88</v>
      </c>
      <c r="AD2234" s="1" t="s">
        <v>89</v>
      </c>
      <c r="AE2234" s="1" t="s">
        <v>88</v>
      </c>
      <c r="AF2234" s="1" t="s">
        <v>3349</v>
      </c>
      <c r="AG2234" s="1" t="s">
        <v>53</v>
      </c>
      <c r="AH2234" s="1" t="s">
        <v>49</v>
      </c>
      <c r="AI2234" s="1" t="s">
        <v>54</v>
      </c>
      <c r="AJ2234" s="1">
        <v>1</v>
      </c>
      <c r="AK2234" s="1" t="str">
        <f t="shared" si="34"/>
        <v xml:space="preserve"> =&lt;90</v>
      </c>
      <c r="AL2234" s="1" t="str">
        <f>VLOOKUP(C:C,[1]基础信息!B$1:D$65536,3,0)</f>
        <v>Jug</v>
      </c>
      <c r="AM2234" s="1" t="str">
        <f>VLOOKUP(C:C,[1]基础信息!B$1:E$65536,4,0)</f>
        <v>Mxplus</v>
      </c>
      <c r="AN2234" s="1" t="str">
        <f>VLOOKUP(C:C,[1]基础信息!B$1:F$65536,5,0)</f>
        <v xml:space="preserve"> lime</v>
      </c>
    </row>
    <row r="2235" spans="1:40">
      <c r="A2235" s="1" t="s">
        <v>41</v>
      </c>
      <c r="B2235" s="1" t="s">
        <v>42</v>
      </c>
      <c r="C2235" s="1" t="s">
        <v>5076</v>
      </c>
      <c r="D2235" s="1" t="s">
        <v>5077</v>
      </c>
      <c r="E2235" s="1" t="s">
        <v>5076</v>
      </c>
      <c r="F2235" s="1" t="s">
        <v>5162</v>
      </c>
      <c r="G2235" s="1" t="s">
        <v>5163</v>
      </c>
      <c r="H2235" s="1" t="s">
        <v>5164</v>
      </c>
      <c r="I2235" s="1" t="s">
        <v>49</v>
      </c>
      <c r="J2235" s="1" t="s">
        <v>48</v>
      </c>
      <c r="K2235" s="1">
        <v>72</v>
      </c>
      <c r="L2235" s="1">
        <v>3</v>
      </c>
      <c r="M2235" s="1">
        <v>0</v>
      </c>
      <c r="N2235" s="1">
        <v>69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 t="s">
        <v>49</v>
      </c>
      <c r="AA2235" s="1" t="s">
        <v>49</v>
      </c>
      <c r="AB2235" s="1" t="s">
        <v>49</v>
      </c>
      <c r="AC2235" s="1" t="s">
        <v>117</v>
      </c>
      <c r="AD2235" s="1" t="s">
        <v>118</v>
      </c>
      <c r="AE2235" s="1" t="s">
        <v>117</v>
      </c>
      <c r="AF2235" s="1" t="s">
        <v>5165</v>
      </c>
      <c r="AG2235" s="1" t="s">
        <v>53</v>
      </c>
      <c r="AH2235" s="1" t="s">
        <v>49</v>
      </c>
      <c r="AI2235" s="1" t="s">
        <v>54</v>
      </c>
      <c r="AJ2235" s="1">
        <v>1</v>
      </c>
      <c r="AK2235" s="1" t="str">
        <f t="shared" si="34"/>
        <v xml:space="preserve"> =&lt;90</v>
      </c>
      <c r="AL2235" s="1" t="str">
        <f>VLOOKUP(C:C,[1]基础信息!B$1:D$65536,3,0)</f>
        <v>UTS</v>
      </c>
      <c r="AM2235" s="1" t="str">
        <f>VLOOKUP(C:C,[1]基础信息!B$1:E$65536,4,0)</f>
        <v>MyPure Pro</v>
      </c>
      <c r="AN2235" s="1" t="str">
        <f>VLOOKUP(C:C,[1]基础信息!B$1:F$65536,5,0)</f>
        <v>Refill</v>
      </c>
    </row>
    <row r="2236" spans="1:40">
      <c r="A2236" s="1" t="s">
        <v>41</v>
      </c>
      <c r="B2236" s="1" t="s">
        <v>42</v>
      </c>
      <c r="C2236" s="1" t="s">
        <v>3971</v>
      </c>
      <c r="D2236" s="1" t="s">
        <v>3972</v>
      </c>
      <c r="E2236" s="1" t="s">
        <v>45</v>
      </c>
      <c r="F2236" s="1" t="s">
        <v>5166</v>
      </c>
      <c r="G2236" s="1" t="s">
        <v>5167</v>
      </c>
      <c r="H2236" s="1" t="s">
        <v>5168</v>
      </c>
      <c r="I2236" s="1" t="s">
        <v>49</v>
      </c>
      <c r="J2236" s="1" t="s">
        <v>48</v>
      </c>
      <c r="K2236" s="1">
        <v>52</v>
      </c>
      <c r="L2236" s="1">
        <v>0</v>
      </c>
      <c r="M2236" s="1">
        <v>0</v>
      </c>
      <c r="N2236" s="1">
        <v>52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 t="s">
        <v>49</v>
      </c>
      <c r="AA2236" s="1" t="s">
        <v>49</v>
      </c>
      <c r="AB2236" s="1" t="s">
        <v>49</v>
      </c>
      <c r="AC2236" s="1" t="s">
        <v>213</v>
      </c>
      <c r="AD2236" s="1" t="s">
        <v>214</v>
      </c>
      <c r="AE2236" s="1" t="s">
        <v>215</v>
      </c>
      <c r="AF2236" s="1" t="s">
        <v>1172</v>
      </c>
      <c r="AG2236" s="1" t="s">
        <v>53</v>
      </c>
      <c r="AH2236" s="1" t="s">
        <v>49</v>
      </c>
      <c r="AI2236" s="1" t="s">
        <v>54</v>
      </c>
      <c r="AJ2236" s="1">
        <v>1</v>
      </c>
      <c r="AK2236" s="1" t="str">
        <f t="shared" si="34"/>
        <v xml:space="preserve"> =&lt;90</v>
      </c>
      <c r="AL2236" s="1" t="str">
        <f>VLOOKUP(C:C,[1]基础信息!B$1:D$65536,3,0)</f>
        <v>Jug</v>
      </c>
      <c r="AM2236" s="1" t="str">
        <f>VLOOKUP(C:C,[1]基础信息!B$1:E$65536,4,0)</f>
        <v>Mxplus</v>
      </c>
      <c r="AN2236" s="1" t="str">
        <f>VLOOKUP(C:C,[1]基础信息!B$1:F$65536,5,0)</f>
        <v xml:space="preserve"> lime</v>
      </c>
    </row>
    <row r="2237" spans="1:40">
      <c r="A2237" s="1" t="s">
        <v>41</v>
      </c>
      <c r="B2237" s="1" t="s">
        <v>42</v>
      </c>
      <c r="C2237" s="1" t="s">
        <v>5154</v>
      </c>
      <c r="D2237" s="1" t="s">
        <v>5155</v>
      </c>
      <c r="E2237" s="1" t="s">
        <v>45</v>
      </c>
      <c r="F2237" s="1" t="s">
        <v>5156</v>
      </c>
      <c r="G2237" s="1" t="s">
        <v>5169</v>
      </c>
      <c r="H2237" s="1" t="s">
        <v>5170</v>
      </c>
      <c r="I2237" s="1" t="s">
        <v>49</v>
      </c>
      <c r="J2237" s="1" t="s">
        <v>48</v>
      </c>
      <c r="K2237" s="1">
        <v>270</v>
      </c>
      <c r="L2237" s="1">
        <v>0</v>
      </c>
      <c r="M2237" s="1">
        <v>0</v>
      </c>
      <c r="N2237" s="1">
        <v>270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 t="s">
        <v>49</v>
      </c>
      <c r="AA2237" s="1" t="s">
        <v>49</v>
      </c>
      <c r="AB2237" s="1" t="s">
        <v>49</v>
      </c>
      <c r="AC2237" s="1" t="s">
        <v>215</v>
      </c>
      <c r="AD2237" s="1" t="s">
        <v>3025</v>
      </c>
      <c r="AE2237" s="1" t="s">
        <v>215</v>
      </c>
      <c r="AF2237" s="1" t="s">
        <v>5159</v>
      </c>
      <c r="AG2237" s="1" t="s">
        <v>53</v>
      </c>
      <c r="AH2237" s="1" t="s">
        <v>49</v>
      </c>
      <c r="AI2237" s="1" t="s">
        <v>54</v>
      </c>
      <c r="AJ2237" s="1">
        <v>1</v>
      </c>
      <c r="AK2237" s="1" t="str">
        <f t="shared" si="34"/>
        <v xml:space="preserve"> =&lt;90</v>
      </c>
      <c r="AL2237" s="1" t="e">
        <f>VLOOKUP(C:C,[1]基础信息!B$1:D$65536,3,0)</f>
        <v>#N/A</v>
      </c>
      <c r="AM2237" s="1" t="e">
        <f>VLOOKUP(C:C,[1]基础信息!B$1:E$65536,4,0)</f>
        <v>#N/A</v>
      </c>
      <c r="AN2237" s="1" t="e">
        <f>VLOOKUP(C:C,[1]基础信息!B$1:F$65536,5,0)</f>
        <v>#N/A</v>
      </c>
    </row>
    <row r="2238" spans="1:40">
      <c r="A2238" s="1" t="s">
        <v>41</v>
      </c>
      <c r="B2238" s="1" t="s">
        <v>42</v>
      </c>
      <c r="C2238" s="1" t="s">
        <v>3971</v>
      </c>
      <c r="D2238" s="1" t="s">
        <v>3972</v>
      </c>
      <c r="E2238" s="1" t="s">
        <v>45</v>
      </c>
      <c r="F2238" s="1" t="s">
        <v>5149</v>
      </c>
      <c r="G2238" s="1" t="s">
        <v>5171</v>
      </c>
      <c r="H2238" s="1" t="s">
        <v>5172</v>
      </c>
      <c r="I2238" s="1" t="s">
        <v>49</v>
      </c>
      <c r="J2238" s="1" t="s">
        <v>48</v>
      </c>
      <c r="K2238" s="1">
        <v>96</v>
      </c>
      <c r="L2238" s="1">
        <v>0</v>
      </c>
      <c r="M2238" s="1">
        <v>0</v>
      </c>
      <c r="N2238" s="1">
        <v>96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 t="s">
        <v>49</v>
      </c>
      <c r="AA2238" s="1" t="s">
        <v>49</v>
      </c>
      <c r="AB2238" s="1" t="s">
        <v>49</v>
      </c>
      <c r="AC2238" s="1" t="s">
        <v>88</v>
      </c>
      <c r="AD2238" s="1" t="s">
        <v>89</v>
      </c>
      <c r="AE2238" s="1" t="s">
        <v>88</v>
      </c>
      <c r="AF2238" s="1" t="s">
        <v>3349</v>
      </c>
      <c r="AG2238" s="1" t="s">
        <v>53</v>
      </c>
      <c r="AH2238" s="1" t="s">
        <v>49</v>
      </c>
      <c r="AI2238" s="1" t="s">
        <v>54</v>
      </c>
      <c r="AJ2238" s="1">
        <v>1</v>
      </c>
      <c r="AK2238" s="1" t="str">
        <f t="shared" si="34"/>
        <v xml:space="preserve"> =&lt;90</v>
      </c>
      <c r="AL2238" s="1" t="str">
        <f>VLOOKUP(C:C,[1]基础信息!B$1:D$65536,3,0)</f>
        <v>Jug</v>
      </c>
      <c r="AM2238" s="1" t="str">
        <f>VLOOKUP(C:C,[1]基础信息!B$1:E$65536,4,0)</f>
        <v>Mxplus</v>
      </c>
      <c r="AN2238" s="1" t="str">
        <f>VLOOKUP(C:C,[1]基础信息!B$1:F$65536,5,0)</f>
        <v xml:space="preserve"> lime</v>
      </c>
    </row>
    <row r="2239" spans="1:40">
      <c r="A2239" s="1" t="s">
        <v>41</v>
      </c>
      <c r="B2239" s="1" t="s">
        <v>42</v>
      </c>
      <c r="C2239" s="1" t="s">
        <v>5076</v>
      </c>
      <c r="D2239" s="1" t="s">
        <v>5077</v>
      </c>
      <c r="E2239" s="1" t="s">
        <v>5076</v>
      </c>
      <c r="F2239" s="1" t="s">
        <v>5162</v>
      </c>
      <c r="G2239" s="1" t="s">
        <v>5173</v>
      </c>
      <c r="H2239" s="1" t="s">
        <v>5174</v>
      </c>
      <c r="I2239" s="1" t="s">
        <v>49</v>
      </c>
      <c r="J2239" s="1" t="s">
        <v>48</v>
      </c>
      <c r="K2239" s="1">
        <v>120</v>
      </c>
      <c r="L2239" s="1">
        <v>0</v>
      </c>
      <c r="M2239" s="1">
        <v>0</v>
      </c>
      <c r="N2239" s="1">
        <v>120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 t="s">
        <v>49</v>
      </c>
      <c r="AA2239" s="1" t="s">
        <v>49</v>
      </c>
      <c r="AB2239" s="1" t="s">
        <v>49</v>
      </c>
      <c r="AC2239" s="1" t="s">
        <v>117</v>
      </c>
      <c r="AD2239" s="1" t="s">
        <v>118</v>
      </c>
      <c r="AE2239" s="1" t="s">
        <v>117</v>
      </c>
      <c r="AF2239" s="1" t="s">
        <v>5165</v>
      </c>
      <c r="AG2239" s="1" t="s">
        <v>53</v>
      </c>
      <c r="AH2239" s="1" t="s">
        <v>49</v>
      </c>
      <c r="AI2239" s="1" t="s">
        <v>54</v>
      </c>
      <c r="AJ2239" s="1">
        <v>1</v>
      </c>
      <c r="AK2239" s="1" t="str">
        <f t="shared" si="34"/>
        <v xml:space="preserve"> =&lt;90</v>
      </c>
      <c r="AL2239" s="1" t="str">
        <f>VLOOKUP(C:C,[1]基础信息!B$1:D$65536,3,0)</f>
        <v>UTS</v>
      </c>
      <c r="AM2239" s="1" t="str">
        <f>VLOOKUP(C:C,[1]基础信息!B$1:E$65536,4,0)</f>
        <v>MyPure Pro</v>
      </c>
      <c r="AN2239" s="1" t="str">
        <f>VLOOKUP(C:C,[1]基础信息!B$1:F$65536,5,0)</f>
        <v>Refill</v>
      </c>
    </row>
    <row r="2240" spans="1:40">
      <c r="A2240" s="1" t="s">
        <v>41</v>
      </c>
      <c r="B2240" s="1" t="s">
        <v>42</v>
      </c>
      <c r="C2240" s="1" t="s">
        <v>5076</v>
      </c>
      <c r="D2240" s="1" t="s">
        <v>5077</v>
      </c>
      <c r="E2240" s="1" t="s">
        <v>5076</v>
      </c>
      <c r="F2240" s="1" t="s">
        <v>5162</v>
      </c>
      <c r="G2240" s="1" t="s">
        <v>5175</v>
      </c>
      <c r="H2240" s="1" t="s">
        <v>5176</v>
      </c>
      <c r="I2240" s="1" t="s">
        <v>49</v>
      </c>
      <c r="J2240" s="1" t="s">
        <v>48</v>
      </c>
      <c r="K2240" s="1">
        <v>120</v>
      </c>
      <c r="L2240" s="1">
        <v>0</v>
      </c>
      <c r="M2240" s="1">
        <v>0</v>
      </c>
      <c r="N2240" s="1">
        <v>120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 t="s">
        <v>49</v>
      </c>
      <c r="AA2240" s="1" t="s">
        <v>49</v>
      </c>
      <c r="AB2240" s="1" t="s">
        <v>49</v>
      </c>
      <c r="AC2240" s="1" t="s">
        <v>117</v>
      </c>
      <c r="AD2240" s="1" t="s">
        <v>118</v>
      </c>
      <c r="AE2240" s="1" t="s">
        <v>117</v>
      </c>
      <c r="AF2240" s="1" t="s">
        <v>5165</v>
      </c>
      <c r="AG2240" s="1" t="s">
        <v>53</v>
      </c>
      <c r="AH2240" s="1" t="s">
        <v>49</v>
      </c>
      <c r="AI2240" s="1" t="s">
        <v>54</v>
      </c>
      <c r="AJ2240" s="1">
        <v>1</v>
      </c>
      <c r="AK2240" s="1" t="str">
        <f t="shared" si="34"/>
        <v xml:space="preserve"> =&lt;90</v>
      </c>
      <c r="AL2240" s="1" t="str">
        <f>VLOOKUP(C:C,[1]基础信息!B$1:D$65536,3,0)</f>
        <v>UTS</v>
      </c>
      <c r="AM2240" s="1" t="str">
        <f>VLOOKUP(C:C,[1]基础信息!B$1:E$65536,4,0)</f>
        <v>MyPure Pro</v>
      </c>
      <c r="AN2240" s="1" t="str">
        <f>VLOOKUP(C:C,[1]基础信息!B$1:F$65536,5,0)</f>
        <v>Refill</v>
      </c>
    </row>
    <row r="2241" spans="1:40">
      <c r="A2241" s="1" t="s">
        <v>41</v>
      </c>
      <c r="B2241" s="1" t="s">
        <v>42</v>
      </c>
      <c r="C2241" s="1" t="s">
        <v>5076</v>
      </c>
      <c r="D2241" s="1" t="s">
        <v>5077</v>
      </c>
      <c r="E2241" s="1" t="s">
        <v>5076</v>
      </c>
      <c r="F2241" s="1" t="s">
        <v>5177</v>
      </c>
      <c r="G2241" s="1" t="s">
        <v>5178</v>
      </c>
      <c r="H2241" s="1" t="s">
        <v>5179</v>
      </c>
      <c r="I2241" s="1" t="s">
        <v>49</v>
      </c>
      <c r="J2241" s="1" t="s">
        <v>48</v>
      </c>
      <c r="K2241" s="1">
        <v>120</v>
      </c>
      <c r="L2241" s="1">
        <v>0</v>
      </c>
      <c r="M2241" s="1">
        <v>0</v>
      </c>
      <c r="N2241" s="1">
        <v>120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 t="s">
        <v>49</v>
      </c>
      <c r="AA2241" s="1" t="s">
        <v>49</v>
      </c>
      <c r="AB2241" s="1" t="s">
        <v>49</v>
      </c>
      <c r="AC2241" s="1" t="s">
        <v>117</v>
      </c>
      <c r="AD2241" s="1" t="s">
        <v>118</v>
      </c>
      <c r="AE2241" s="1" t="s">
        <v>117</v>
      </c>
      <c r="AF2241" s="1" t="s">
        <v>5180</v>
      </c>
      <c r="AG2241" s="1" t="s">
        <v>53</v>
      </c>
      <c r="AH2241" s="1" t="s">
        <v>49</v>
      </c>
      <c r="AI2241" s="1" t="s">
        <v>54</v>
      </c>
      <c r="AJ2241" s="1">
        <v>1</v>
      </c>
      <c r="AK2241" s="1" t="str">
        <f t="shared" si="34"/>
        <v xml:space="preserve"> =&lt;90</v>
      </c>
      <c r="AL2241" s="1" t="str">
        <f>VLOOKUP(C:C,[1]基础信息!B$1:D$65536,3,0)</f>
        <v>UTS</v>
      </c>
      <c r="AM2241" s="1" t="str">
        <f>VLOOKUP(C:C,[1]基础信息!B$1:E$65536,4,0)</f>
        <v>MyPure Pro</v>
      </c>
      <c r="AN2241" s="1" t="str">
        <f>VLOOKUP(C:C,[1]基础信息!B$1:F$65536,5,0)</f>
        <v>Refill</v>
      </c>
    </row>
    <row r="2242" spans="1:40">
      <c r="A2242" s="1" t="s">
        <v>41</v>
      </c>
      <c r="B2242" s="1" t="s">
        <v>42</v>
      </c>
      <c r="C2242" s="1" t="s">
        <v>4352</v>
      </c>
      <c r="D2242" s="1" t="s">
        <v>4353</v>
      </c>
      <c r="E2242" s="1" t="s">
        <v>45</v>
      </c>
      <c r="F2242" s="1" t="s">
        <v>5181</v>
      </c>
      <c r="G2242" s="1" t="s">
        <v>5182</v>
      </c>
      <c r="H2242" s="1" t="s">
        <v>5183</v>
      </c>
      <c r="I2242" s="1" t="s">
        <v>49</v>
      </c>
      <c r="J2242" s="1" t="s">
        <v>48</v>
      </c>
      <c r="K2242" s="1">
        <v>336</v>
      </c>
      <c r="L2242" s="1">
        <v>0</v>
      </c>
      <c r="M2242" s="1">
        <v>0</v>
      </c>
      <c r="N2242" s="1">
        <v>336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 t="s">
        <v>49</v>
      </c>
      <c r="AA2242" s="1" t="s">
        <v>49</v>
      </c>
      <c r="AB2242" s="1" t="s">
        <v>49</v>
      </c>
      <c r="AC2242" s="1" t="s">
        <v>5184</v>
      </c>
      <c r="AD2242" s="1" t="s">
        <v>5185</v>
      </c>
      <c r="AE2242" s="1" t="s">
        <v>5184</v>
      </c>
      <c r="AF2242" s="1" t="s">
        <v>5186</v>
      </c>
      <c r="AG2242" s="1" t="s">
        <v>53</v>
      </c>
      <c r="AH2242" s="1" t="s">
        <v>49</v>
      </c>
      <c r="AI2242" s="1" t="s">
        <v>54</v>
      </c>
      <c r="AJ2242" s="1">
        <v>1</v>
      </c>
      <c r="AK2242" s="1" t="str">
        <f t="shared" ref="AK2242:AK2305" si="35">IF(AJ2242&gt;$AP$2,$AQ$2,IF(AJ2242&gt;$AP$3,$AQ$3,IF(AJ2242&gt;$AP$4,$AQ$4,$AQ$5)))</f>
        <v xml:space="preserve"> =&lt;90</v>
      </c>
      <c r="AL2242" s="1" t="e">
        <f>VLOOKUP(C:C,[1]基础信息!B$1:D$65536,3,0)</f>
        <v>#N/A</v>
      </c>
      <c r="AM2242" s="1" t="e">
        <f>VLOOKUP(C:C,[1]基础信息!B$1:E$65536,4,0)</f>
        <v>#N/A</v>
      </c>
      <c r="AN2242" s="1" t="e">
        <f>VLOOKUP(C:C,[1]基础信息!B$1:F$65536,5,0)</f>
        <v>#N/A</v>
      </c>
    </row>
    <row r="2243" spans="1:40">
      <c r="A2243" s="1" t="s">
        <v>41</v>
      </c>
      <c r="B2243" s="1" t="s">
        <v>42</v>
      </c>
      <c r="C2243" s="1" t="s">
        <v>4352</v>
      </c>
      <c r="D2243" s="1" t="s">
        <v>4353</v>
      </c>
      <c r="E2243" s="1" t="s">
        <v>45</v>
      </c>
      <c r="F2243" s="1" t="s">
        <v>5181</v>
      </c>
      <c r="G2243" s="1" t="s">
        <v>5187</v>
      </c>
      <c r="H2243" s="1" t="s">
        <v>5188</v>
      </c>
      <c r="I2243" s="1" t="s">
        <v>49</v>
      </c>
      <c r="J2243" s="1" t="s">
        <v>48</v>
      </c>
      <c r="K2243" s="1">
        <v>336</v>
      </c>
      <c r="L2243" s="1">
        <v>0</v>
      </c>
      <c r="M2243" s="1">
        <v>0</v>
      </c>
      <c r="N2243" s="1">
        <v>336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 t="s">
        <v>49</v>
      </c>
      <c r="AA2243" s="1" t="s">
        <v>49</v>
      </c>
      <c r="AB2243" s="1" t="s">
        <v>49</v>
      </c>
      <c r="AC2243" s="1" t="s">
        <v>5184</v>
      </c>
      <c r="AD2243" s="1" t="s">
        <v>5185</v>
      </c>
      <c r="AE2243" s="1" t="s">
        <v>5184</v>
      </c>
      <c r="AF2243" s="1" t="s">
        <v>5186</v>
      </c>
      <c r="AG2243" s="1" t="s">
        <v>53</v>
      </c>
      <c r="AH2243" s="1" t="s">
        <v>49</v>
      </c>
      <c r="AI2243" s="1" t="s">
        <v>54</v>
      </c>
      <c r="AJ2243" s="1">
        <v>1</v>
      </c>
      <c r="AK2243" s="1" t="str">
        <f t="shared" si="35"/>
        <v xml:space="preserve"> =&lt;90</v>
      </c>
      <c r="AL2243" s="1" t="e">
        <f>VLOOKUP(C:C,[1]基础信息!B$1:D$65536,3,0)</f>
        <v>#N/A</v>
      </c>
      <c r="AM2243" s="1" t="e">
        <f>VLOOKUP(C:C,[1]基础信息!B$1:E$65536,4,0)</f>
        <v>#N/A</v>
      </c>
      <c r="AN2243" s="1" t="e">
        <f>VLOOKUP(C:C,[1]基础信息!B$1:F$65536,5,0)</f>
        <v>#N/A</v>
      </c>
    </row>
    <row r="2244" spans="1:40">
      <c r="A2244" s="1" t="s">
        <v>41</v>
      </c>
      <c r="B2244" s="1" t="s">
        <v>42</v>
      </c>
      <c r="C2244" s="1" t="s">
        <v>4352</v>
      </c>
      <c r="D2244" s="1" t="s">
        <v>4353</v>
      </c>
      <c r="E2244" s="1" t="s">
        <v>45</v>
      </c>
      <c r="F2244" s="1" t="s">
        <v>5181</v>
      </c>
      <c r="G2244" s="1" t="s">
        <v>5189</v>
      </c>
      <c r="H2244" s="1" t="s">
        <v>5190</v>
      </c>
      <c r="I2244" s="1" t="s">
        <v>49</v>
      </c>
      <c r="J2244" s="1" t="s">
        <v>48</v>
      </c>
      <c r="K2244" s="1">
        <v>336</v>
      </c>
      <c r="L2244" s="1">
        <v>0</v>
      </c>
      <c r="M2244" s="1">
        <v>0</v>
      </c>
      <c r="N2244" s="1">
        <v>336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 t="s">
        <v>49</v>
      </c>
      <c r="AA2244" s="1" t="s">
        <v>49</v>
      </c>
      <c r="AB2244" s="1" t="s">
        <v>49</v>
      </c>
      <c r="AC2244" s="1" t="s">
        <v>5184</v>
      </c>
      <c r="AD2244" s="1" t="s">
        <v>5185</v>
      </c>
      <c r="AE2244" s="1" t="s">
        <v>5184</v>
      </c>
      <c r="AF2244" s="1" t="s">
        <v>5186</v>
      </c>
      <c r="AG2244" s="1" t="s">
        <v>53</v>
      </c>
      <c r="AH2244" s="1" t="s">
        <v>49</v>
      </c>
      <c r="AI2244" s="1" t="s">
        <v>54</v>
      </c>
      <c r="AJ2244" s="1">
        <v>1</v>
      </c>
      <c r="AK2244" s="1" t="str">
        <f t="shared" si="35"/>
        <v xml:space="preserve"> =&lt;90</v>
      </c>
      <c r="AL2244" s="1" t="e">
        <f>VLOOKUP(C:C,[1]基础信息!B$1:D$65536,3,0)</f>
        <v>#N/A</v>
      </c>
      <c r="AM2244" s="1" t="e">
        <f>VLOOKUP(C:C,[1]基础信息!B$1:E$65536,4,0)</f>
        <v>#N/A</v>
      </c>
      <c r="AN2244" s="1" t="e">
        <f>VLOOKUP(C:C,[1]基础信息!B$1:F$65536,5,0)</f>
        <v>#N/A</v>
      </c>
    </row>
    <row r="2245" spans="1:40">
      <c r="A2245" s="1" t="s">
        <v>41</v>
      </c>
      <c r="B2245" s="1" t="s">
        <v>42</v>
      </c>
      <c r="C2245" s="1" t="s">
        <v>3971</v>
      </c>
      <c r="D2245" s="1" t="s">
        <v>3972</v>
      </c>
      <c r="E2245" s="1" t="s">
        <v>45</v>
      </c>
      <c r="F2245" s="1" t="s">
        <v>5191</v>
      </c>
      <c r="G2245" s="1" t="s">
        <v>5192</v>
      </c>
      <c r="H2245" s="1" t="s">
        <v>5193</v>
      </c>
      <c r="I2245" s="1" t="s">
        <v>49</v>
      </c>
      <c r="J2245" s="1" t="s">
        <v>48</v>
      </c>
      <c r="K2245" s="1">
        <v>96</v>
      </c>
      <c r="L2245" s="1">
        <v>0</v>
      </c>
      <c r="M2245" s="1">
        <v>0</v>
      </c>
      <c r="N2245" s="1">
        <v>96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 t="s">
        <v>49</v>
      </c>
      <c r="AA2245" s="1" t="s">
        <v>49</v>
      </c>
      <c r="AB2245" s="1" t="s">
        <v>49</v>
      </c>
      <c r="AC2245" s="1" t="s">
        <v>376</v>
      </c>
      <c r="AD2245" s="1" t="s">
        <v>377</v>
      </c>
      <c r="AE2245" s="1" t="s">
        <v>376</v>
      </c>
      <c r="AF2245" s="1" t="s">
        <v>5194</v>
      </c>
      <c r="AG2245" s="1" t="s">
        <v>53</v>
      </c>
      <c r="AH2245" s="1" t="s">
        <v>49</v>
      </c>
      <c r="AI2245" s="1" t="s">
        <v>54</v>
      </c>
      <c r="AJ2245" s="1">
        <v>1</v>
      </c>
      <c r="AK2245" s="1" t="str">
        <f t="shared" si="35"/>
        <v xml:space="preserve"> =&lt;90</v>
      </c>
      <c r="AL2245" s="1" t="str">
        <f>VLOOKUP(C:C,[1]基础信息!B$1:D$65536,3,0)</f>
        <v>Jug</v>
      </c>
      <c r="AM2245" s="1" t="str">
        <f>VLOOKUP(C:C,[1]基础信息!B$1:E$65536,4,0)</f>
        <v>Mxplus</v>
      </c>
      <c r="AN2245" s="1" t="str">
        <f>VLOOKUP(C:C,[1]基础信息!B$1:F$65536,5,0)</f>
        <v xml:space="preserve"> lime</v>
      </c>
    </row>
    <row r="2246" spans="1:40">
      <c r="A2246" s="1" t="s">
        <v>41</v>
      </c>
      <c r="B2246" s="1" t="s">
        <v>42</v>
      </c>
      <c r="C2246" s="1" t="s">
        <v>4352</v>
      </c>
      <c r="D2246" s="1" t="s">
        <v>4353</v>
      </c>
      <c r="E2246" s="1" t="s">
        <v>45</v>
      </c>
      <c r="F2246" s="1" t="s">
        <v>5181</v>
      </c>
      <c r="G2246" s="1" t="s">
        <v>5195</v>
      </c>
      <c r="H2246" s="1" t="s">
        <v>5196</v>
      </c>
      <c r="I2246" s="1" t="s">
        <v>49</v>
      </c>
      <c r="J2246" s="1" t="s">
        <v>48</v>
      </c>
      <c r="K2246" s="1">
        <v>336</v>
      </c>
      <c r="L2246" s="1">
        <v>0</v>
      </c>
      <c r="M2246" s="1">
        <v>0</v>
      </c>
      <c r="N2246" s="1">
        <v>336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 t="s">
        <v>49</v>
      </c>
      <c r="AA2246" s="1" t="s">
        <v>49</v>
      </c>
      <c r="AB2246" s="1" t="s">
        <v>49</v>
      </c>
      <c r="AC2246" s="1" t="s">
        <v>5184</v>
      </c>
      <c r="AD2246" s="1" t="s">
        <v>5185</v>
      </c>
      <c r="AE2246" s="1" t="s">
        <v>5184</v>
      </c>
      <c r="AF2246" s="1" t="s">
        <v>5186</v>
      </c>
      <c r="AG2246" s="1" t="s">
        <v>53</v>
      </c>
      <c r="AH2246" s="1" t="s">
        <v>49</v>
      </c>
      <c r="AI2246" s="1" t="s">
        <v>54</v>
      </c>
      <c r="AJ2246" s="1">
        <v>1</v>
      </c>
      <c r="AK2246" s="1" t="str">
        <f t="shared" si="35"/>
        <v xml:space="preserve"> =&lt;90</v>
      </c>
      <c r="AL2246" s="1" t="e">
        <f>VLOOKUP(C:C,[1]基础信息!B$1:D$65536,3,0)</f>
        <v>#N/A</v>
      </c>
      <c r="AM2246" s="1" t="e">
        <f>VLOOKUP(C:C,[1]基础信息!B$1:E$65536,4,0)</f>
        <v>#N/A</v>
      </c>
      <c r="AN2246" s="1" t="e">
        <f>VLOOKUP(C:C,[1]基础信息!B$1:F$65536,5,0)</f>
        <v>#N/A</v>
      </c>
    </row>
    <row r="2247" spans="1:40">
      <c r="A2247" s="1" t="s">
        <v>41</v>
      </c>
      <c r="B2247" s="1" t="s">
        <v>42</v>
      </c>
      <c r="C2247" s="1" t="s">
        <v>4245</v>
      </c>
      <c r="D2247" s="1" t="s">
        <v>4246</v>
      </c>
      <c r="E2247" s="1" t="s">
        <v>4245</v>
      </c>
      <c r="F2247" s="1" t="s">
        <v>5197</v>
      </c>
      <c r="G2247" s="1" t="s">
        <v>5198</v>
      </c>
      <c r="H2247" s="1" t="s">
        <v>5199</v>
      </c>
      <c r="I2247" s="1" t="s">
        <v>49</v>
      </c>
      <c r="J2247" s="1" t="s">
        <v>48</v>
      </c>
      <c r="K2247" s="1">
        <v>14</v>
      </c>
      <c r="L2247" s="1">
        <v>0</v>
      </c>
      <c r="M2247" s="1">
        <v>0</v>
      </c>
      <c r="N2247" s="1">
        <v>14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 t="s">
        <v>49</v>
      </c>
      <c r="AA2247" s="1" t="s">
        <v>49</v>
      </c>
      <c r="AB2247" s="1" t="s">
        <v>49</v>
      </c>
      <c r="AC2247" s="1" t="s">
        <v>5200</v>
      </c>
      <c r="AD2247" s="1" t="s">
        <v>5201</v>
      </c>
      <c r="AE2247" s="1" t="s">
        <v>3502</v>
      </c>
      <c r="AF2247" s="1" t="s">
        <v>5202</v>
      </c>
      <c r="AG2247" s="1" t="s">
        <v>53</v>
      </c>
      <c r="AH2247" s="1" t="s">
        <v>49</v>
      </c>
      <c r="AI2247" s="1" t="s">
        <v>54</v>
      </c>
      <c r="AJ2247" s="1">
        <v>1</v>
      </c>
      <c r="AK2247" s="1" t="str">
        <f t="shared" si="35"/>
        <v xml:space="preserve"> =&lt;90</v>
      </c>
      <c r="AL2247" s="1" t="str">
        <f>VLOOKUP(C:C,[1]基础信息!B$1:D$65536,3,0)</f>
        <v>UTS</v>
      </c>
      <c r="AM2247" s="1" t="str">
        <f>VLOOKUP(C:C,[1]基础信息!B$1:E$65536,4,0)</f>
        <v>MyPure Pro</v>
      </c>
      <c r="AN2247" s="1" t="str">
        <f>VLOOKUP(C:C,[1]基础信息!B$1:F$65536,5,0)</f>
        <v>X9</v>
      </c>
    </row>
    <row r="2248" spans="1:40">
      <c r="A2248" s="1" t="s">
        <v>41</v>
      </c>
      <c r="B2248" s="1" t="s">
        <v>42</v>
      </c>
      <c r="C2248" s="1" t="s">
        <v>4352</v>
      </c>
      <c r="D2248" s="1" t="s">
        <v>4353</v>
      </c>
      <c r="E2248" s="1" t="s">
        <v>45</v>
      </c>
      <c r="F2248" s="1" t="s">
        <v>5181</v>
      </c>
      <c r="G2248" s="1" t="s">
        <v>5203</v>
      </c>
      <c r="H2248" s="1" t="s">
        <v>5204</v>
      </c>
      <c r="I2248" s="1" t="s">
        <v>49</v>
      </c>
      <c r="J2248" s="1" t="s">
        <v>48</v>
      </c>
      <c r="K2248" s="1">
        <v>336</v>
      </c>
      <c r="L2248" s="1">
        <v>0</v>
      </c>
      <c r="M2248" s="1">
        <v>0</v>
      </c>
      <c r="N2248" s="1">
        <v>336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 t="s">
        <v>49</v>
      </c>
      <c r="AA2248" s="1" t="s">
        <v>49</v>
      </c>
      <c r="AB2248" s="1" t="s">
        <v>49</v>
      </c>
      <c r="AC2248" s="1" t="s">
        <v>5184</v>
      </c>
      <c r="AD2248" s="1" t="s">
        <v>5185</v>
      </c>
      <c r="AE2248" s="1" t="s">
        <v>5184</v>
      </c>
      <c r="AF2248" s="1" t="s">
        <v>5186</v>
      </c>
      <c r="AG2248" s="1" t="s">
        <v>53</v>
      </c>
      <c r="AH2248" s="1" t="s">
        <v>49</v>
      </c>
      <c r="AI2248" s="1" t="s">
        <v>54</v>
      </c>
      <c r="AJ2248" s="1">
        <v>1</v>
      </c>
      <c r="AK2248" s="1" t="str">
        <f t="shared" si="35"/>
        <v xml:space="preserve"> =&lt;90</v>
      </c>
      <c r="AL2248" s="1" t="e">
        <f>VLOOKUP(C:C,[1]基础信息!B$1:D$65536,3,0)</f>
        <v>#N/A</v>
      </c>
      <c r="AM2248" s="1" t="e">
        <f>VLOOKUP(C:C,[1]基础信息!B$1:E$65536,4,0)</f>
        <v>#N/A</v>
      </c>
      <c r="AN2248" s="1" t="e">
        <f>VLOOKUP(C:C,[1]基础信息!B$1:F$65536,5,0)</f>
        <v>#N/A</v>
      </c>
    </row>
    <row r="2249" spans="1:40">
      <c r="A2249" s="1" t="s">
        <v>41</v>
      </c>
      <c r="B2249" s="1" t="s">
        <v>42</v>
      </c>
      <c r="C2249" s="1" t="s">
        <v>4352</v>
      </c>
      <c r="D2249" s="1" t="s">
        <v>4353</v>
      </c>
      <c r="E2249" s="1" t="s">
        <v>45</v>
      </c>
      <c r="F2249" s="1" t="s">
        <v>5181</v>
      </c>
      <c r="G2249" s="1" t="s">
        <v>5205</v>
      </c>
      <c r="H2249" s="1" t="s">
        <v>5206</v>
      </c>
      <c r="I2249" s="1" t="s">
        <v>49</v>
      </c>
      <c r="J2249" s="1" t="s">
        <v>48</v>
      </c>
      <c r="K2249" s="1">
        <v>336</v>
      </c>
      <c r="L2249" s="1">
        <v>0</v>
      </c>
      <c r="M2249" s="1">
        <v>0</v>
      </c>
      <c r="N2249" s="1">
        <v>336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 t="s">
        <v>49</v>
      </c>
      <c r="AA2249" s="1" t="s">
        <v>49</v>
      </c>
      <c r="AB2249" s="1" t="s">
        <v>49</v>
      </c>
      <c r="AC2249" s="1" t="s">
        <v>5184</v>
      </c>
      <c r="AD2249" s="1" t="s">
        <v>5185</v>
      </c>
      <c r="AE2249" s="1" t="s">
        <v>5184</v>
      </c>
      <c r="AF2249" s="1" t="s">
        <v>5186</v>
      </c>
      <c r="AG2249" s="1" t="s">
        <v>53</v>
      </c>
      <c r="AH2249" s="1" t="s">
        <v>49</v>
      </c>
      <c r="AI2249" s="1" t="s">
        <v>54</v>
      </c>
      <c r="AJ2249" s="1">
        <v>1</v>
      </c>
      <c r="AK2249" s="1" t="str">
        <f t="shared" si="35"/>
        <v xml:space="preserve"> =&lt;90</v>
      </c>
      <c r="AL2249" s="1" t="e">
        <f>VLOOKUP(C:C,[1]基础信息!B$1:D$65536,3,0)</f>
        <v>#N/A</v>
      </c>
      <c r="AM2249" s="1" t="e">
        <f>VLOOKUP(C:C,[1]基础信息!B$1:E$65536,4,0)</f>
        <v>#N/A</v>
      </c>
      <c r="AN2249" s="1" t="e">
        <f>VLOOKUP(C:C,[1]基础信息!B$1:F$65536,5,0)</f>
        <v>#N/A</v>
      </c>
    </row>
    <row r="2250" spans="1:40">
      <c r="A2250" s="1" t="s">
        <v>41</v>
      </c>
      <c r="B2250" s="1" t="s">
        <v>42</v>
      </c>
      <c r="C2250" s="1" t="s">
        <v>4352</v>
      </c>
      <c r="D2250" s="1" t="s">
        <v>4353</v>
      </c>
      <c r="E2250" s="1" t="s">
        <v>45</v>
      </c>
      <c r="F2250" s="1" t="s">
        <v>5181</v>
      </c>
      <c r="G2250" s="1" t="s">
        <v>5207</v>
      </c>
      <c r="H2250" s="1" t="s">
        <v>5208</v>
      </c>
      <c r="I2250" s="1" t="s">
        <v>49</v>
      </c>
      <c r="J2250" s="1" t="s">
        <v>48</v>
      </c>
      <c r="K2250" s="1">
        <v>336</v>
      </c>
      <c r="L2250" s="1">
        <v>0</v>
      </c>
      <c r="M2250" s="1">
        <v>0</v>
      </c>
      <c r="N2250" s="1">
        <v>336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 t="s">
        <v>49</v>
      </c>
      <c r="AA2250" s="1" t="s">
        <v>49</v>
      </c>
      <c r="AB2250" s="1" t="s">
        <v>49</v>
      </c>
      <c r="AC2250" s="1" t="s">
        <v>5184</v>
      </c>
      <c r="AD2250" s="1" t="s">
        <v>5185</v>
      </c>
      <c r="AE2250" s="1" t="s">
        <v>5184</v>
      </c>
      <c r="AF2250" s="1" t="s">
        <v>5186</v>
      </c>
      <c r="AG2250" s="1" t="s">
        <v>53</v>
      </c>
      <c r="AH2250" s="1" t="s">
        <v>49</v>
      </c>
      <c r="AI2250" s="1" t="s">
        <v>54</v>
      </c>
      <c r="AJ2250" s="1">
        <v>1</v>
      </c>
      <c r="AK2250" s="1" t="str">
        <f t="shared" si="35"/>
        <v xml:space="preserve"> =&lt;90</v>
      </c>
      <c r="AL2250" s="1" t="e">
        <f>VLOOKUP(C:C,[1]基础信息!B$1:D$65536,3,0)</f>
        <v>#N/A</v>
      </c>
      <c r="AM2250" s="1" t="e">
        <f>VLOOKUP(C:C,[1]基础信息!B$1:E$65536,4,0)</f>
        <v>#N/A</v>
      </c>
      <c r="AN2250" s="1" t="e">
        <f>VLOOKUP(C:C,[1]基础信息!B$1:F$65536,5,0)</f>
        <v>#N/A</v>
      </c>
    </row>
    <row r="2251" spans="1:40">
      <c r="A2251" s="1" t="s">
        <v>41</v>
      </c>
      <c r="B2251" s="1" t="s">
        <v>42</v>
      </c>
      <c r="C2251" s="1" t="s">
        <v>3971</v>
      </c>
      <c r="D2251" s="1" t="s">
        <v>3972</v>
      </c>
      <c r="E2251" s="1" t="s">
        <v>45</v>
      </c>
      <c r="F2251" s="1" t="s">
        <v>5191</v>
      </c>
      <c r="G2251" s="1" t="s">
        <v>5209</v>
      </c>
      <c r="H2251" s="1" t="s">
        <v>5210</v>
      </c>
      <c r="I2251" s="1" t="s">
        <v>49</v>
      </c>
      <c r="J2251" s="1" t="s">
        <v>48</v>
      </c>
      <c r="K2251" s="1">
        <v>96</v>
      </c>
      <c r="L2251" s="1">
        <v>0</v>
      </c>
      <c r="M2251" s="1">
        <v>0</v>
      </c>
      <c r="N2251" s="1">
        <v>96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 t="s">
        <v>49</v>
      </c>
      <c r="AA2251" s="1" t="s">
        <v>49</v>
      </c>
      <c r="AB2251" s="1" t="s">
        <v>49</v>
      </c>
      <c r="AC2251" s="1" t="s">
        <v>376</v>
      </c>
      <c r="AD2251" s="1" t="s">
        <v>377</v>
      </c>
      <c r="AE2251" s="1" t="s">
        <v>376</v>
      </c>
      <c r="AF2251" s="1" t="s">
        <v>5194</v>
      </c>
      <c r="AG2251" s="1" t="s">
        <v>53</v>
      </c>
      <c r="AH2251" s="1" t="s">
        <v>49</v>
      </c>
      <c r="AI2251" s="1" t="s">
        <v>54</v>
      </c>
      <c r="AJ2251" s="1">
        <v>1</v>
      </c>
      <c r="AK2251" s="1" t="str">
        <f t="shared" si="35"/>
        <v xml:space="preserve"> =&lt;90</v>
      </c>
      <c r="AL2251" s="1" t="str">
        <f>VLOOKUP(C:C,[1]基础信息!B$1:D$65536,3,0)</f>
        <v>Jug</v>
      </c>
      <c r="AM2251" s="1" t="str">
        <f>VLOOKUP(C:C,[1]基础信息!B$1:E$65536,4,0)</f>
        <v>Mxplus</v>
      </c>
      <c r="AN2251" s="1" t="str">
        <f>VLOOKUP(C:C,[1]基础信息!B$1:F$65536,5,0)</f>
        <v xml:space="preserve"> lime</v>
      </c>
    </row>
    <row r="2252" spans="1:40">
      <c r="A2252" s="1" t="s">
        <v>41</v>
      </c>
      <c r="B2252" s="1" t="s">
        <v>42</v>
      </c>
      <c r="C2252" s="1" t="s">
        <v>3971</v>
      </c>
      <c r="D2252" s="1" t="s">
        <v>3972</v>
      </c>
      <c r="E2252" s="1" t="s">
        <v>45</v>
      </c>
      <c r="F2252" s="1" t="s">
        <v>5191</v>
      </c>
      <c r="G2252" s="1" t="s">
        <v>5211</v>
      </c>
      <c r="H2252" s="1" t="s">
        <v>5212</v>
      </c>
      <c r="I2252" s="1" t="s">
        <v>49</v>
      </c>
      <c r="J2252" s="1" t="s">
        <v>48</v>
      </c>
      <c r="K2252" s="1">
        <v>96</v>
      </c>
      <c r="L2252" s="1">
        <v>0</v>
      </c>
      <c r="M2252" s="1">
        <v>0</v>
      </c>
      <c r="N2252" s="1">
        <v>96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 t="s">
        <v>49</v>
      </c>
      <c r="AA2252" s="1" t="s">
        <v>49</v>
      </c>
      <c r="AB2252" s="1" t="s">
        <v>49</v>
      </c>
      <c r="AC2252" s="1" t="s">
        <v>376</v>
      </c>
      <c r="AD2252" s="1" t="s">
        <v>377</v>
      </c>
      <c r="AE2252" s="1" t="s">
        <v>376</v>
      </c>
      <c r="AF2252" s="1" t="s">
        <v>5194</v>
      </c>
      <c r="AG2252" s="1" t="s">
        <v>53</v>
      </c>
      <c r="AH2252" s="1" t="s">
        <v>49</v>
      </c>
      <c r="AI2252" s="1" t="s">
        <v>54</v>
      </c>
      <c r="AJ2252" s="1">
        <v>1</v>
      </c>
      <c r="AK2252" s="1" t="str">
        <f t="shared" si="35"/>
        <v xml:space="preserve"> =&lt;90</v>
      </c>
      <c r="AL2252" s="1" t="str">
        <f>VLOOKUP(C:C,[1]基础信息!B$1:D$65536,3,0)</f>
        <v>Jug</v>
      </c>
      <c r="AM2252" s="1" t="str">
        <f>VLOOKUP(C:C,[1]基础信息!B$1:E$65536,4,0)</f>
        <v>Mxplus</v>
      </c>
      <c r="AN2252" s="1" t="str">
        <f>VLOOKUP(C:C,[1]基础信息!B$1:F$65536,5,0)</f>
        <v xml:space="preserve"> lime</v>
      </c>
    </row>
    <row r="2253" spans="1:40">
      <c r="A2253" s="1" t="s">
        <v>41</v>
      </c>
      <c r="B2253" s="1" t="s">
        <v>42</v>
      </c>
      <c r="C2253" s="1" t="s">
        <v>3971</v>
      </c>
      <c r="D2253" s="1" t="s">
        <v>3972</v>
      </c>
      <c r="E2253" s="1" t="s">
        <v>45</v>
      </c>
      <c r="F2253" s="1" t="s">
        <v>5191</v>
      </c>
      <c r="G2253" s="1" t="s">
        <v>5213</v>
      </c>
      <c r="H2253" s="1" t="s">
        <v>5214</v>
      </c>
      <c r="I2253" s="1" t="s">
        <v>49</v>
      </c>
      <c r="J2253" s="1" t="s">
        <v>48</v>
      </c>
      <c r="K2253" s="1">
        <v>96</v>
      </c>
      <c r="L2253" s="1">
        <v>0</v>
      </c>
      <c r="M2253" s="1">
        <v>0</v>
      </c>
      <c r="N2253" s="1">
        <v>96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 t="s">
        <v>49</v>
      </c>
      <c r="AA2253" s="1" t="s">
        <v>49</v>
      </c>
      <c r="AB2253" s="1" t="s">
        <v>49</v>
      </c>
      <c r="AC2253" s="1" t="s">
        <v>376</v>
      </c>
      <c r="AD2253" s="1" t="s">
        <v>377</v>
      </c>
      <c r="AE2253" s="1" t="s">
        <v>376</v>
      </c>
      <c r="AF2253" s="1" t="s">
        <v>5194</v>
      </c>
      <c r="AG2253" s="1" t="s">
        <v>53</v>
      </c>
      <c r="AH2253" s="1" t="s">
        <v>49</v>
      </c>
      <c r="AI2253" s="1" t="s">
        <v>54</v>
      </c>
      <c r="AJ2253" s="1">
        <v>1</v>
      </c>
      <c r="AK2253" s="1" t="str">
        <f t="shared" si="35"/>
        <v xml:space="preserve"> =&lt;90</v>
      </c>
      <c r="AL2253" s="1" t="str">
        <f>VLOOKUP(C:C,[1]基础信息!B$1:D$65536,3,0)</f>
        <v>Jug</v>
      </c>
      <c r="AM2253" s="1" t="str">
        <f>VLOOKUP(C:C,[1]基础信息!B$1:E$65536,4,0)</f>
        <v>Mxplus</v>
      </c>
      <c r="AN2253" s="1" t="str">
        <f>VLOOKUP(C:C,[1]基础信息!B$1:F$65536,5,0)</f>
        <v xml:space="preserve"> lime</v>
      </c>
    </row>
    <row r="2254" spans="1:40">
      <c r="A2254" s="1" t="s">
        <v>41</v>
      </c>
      <c r="B2254" s="1" t="s">
        <v>42</v>
      </c>
      <c r="C2254" s="1" t="s">
        <v>4352</v>
      </c>
      <c r="D2254" s="1" t="s">
        <v>4353</v>
      </c>
      <c r="E2254" s="1" t="s">
        <v>45</v>
      </c>
      <c r="F2254" s="1" t="s">
        <v>5181</v>
      </c>
      <c r="G2254" s="1" t="s">
        <v>5215</v>
      </c>
      <c r="H2254" s="1" t="s">
        <v>5216</v>
      </c>
      <c r="I2254" s="1" t="s">
        <v>49</v>
      </c>
      <c r="J2254" s="1" t="s">
        <v>48</v>
      </c>
      <c r="K2254" s="1">
        <v>336</v>
      </c>
      <c r="L2254" s="1">
        <v>0</v>
      </c>
      <c r="M2254" s="1">
        <v>0</v>
      </c>
      <c r="N2254" s="1">
        <v>336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 t="s">
        <v>49</v>
      </c>
      <c r="AA2254" s="1" t="s">
        <v>49</v>
      </c>
      <c r="AB2254" s="1" t="s">
        <v>49</v>
      </c>
      <c r="AC2254" s="1" t="s">
        <v>5184</v>
      </c>
      <c r="AD2254" s="1" t="s">
        <v>5185</v>
      </c>
      <c r="AE2254" s="1" t="s">
        <v>5184</v>
      </c>
      <c r="AF2254" s="1" t="s">
        <v>5186</v>
      </c>
      <c r="AG2254" s="1" t="s">
        <v>53</v>
      </c>
      <c r="AH2254" s="1" t="s">
        <v>49</v>
      </c>
      <c r="AI2254" s="1" t="s">
        <v>54</v>
      </c>
      <c r="AJ2254" s="1">
        <v>1</v>
      </c>
      <c r="AK2254" s="1" t="str">
        <f t="shared" si="35"/>
        <v xml:space="preserve"> =&lt;90</v>
      </c>
      <c r="AL2254" s="1" t="e">
        <f>VLOOKUP(C:C,[1]基础信息!B$1:D$65536,3,0)</f>
        <v>#N/A</v>
      </c>
      <c r="AM2254" s="1" t="e">
        <f>VLOOKUP(C:C,[1]基础信息!B$1:E$65536,4,0)</f>
        <v>#N/A</v>
      </c>
      <c r="AN2254" s="1" t="e">
        <f>VLOOKUP(C:C,[1]基础信息!B$1:F$65536,5,0)</f>
        <v>#N/A</v>
      </c>
    </row>
    <row r="2255" spans="1:40">
      <c r="A2255" s="1" t="s">
        <v>41</v>
      </c>
      <c r="B2255" s="1" t="s">
        <v>42</v>
      </c>
      <c r="C2255" s="1" t="s">
        <v>4273</v>
      </c>
      <c r="D2255" s="1" t="s">
        <v>4274</v>
      </c>
      <c r="E2255" s="1" t="s">
        <v>45</v>
      </c>
      <c r="F2255" s="1" t="s">
        <v>5217</v>
      </c>
      <c r="G2255" s="1" t="s">
        <v>5218</v>
      </c>
      <c r="H2255" s="1" t="s">
        <v>5219</v>
      </c>
      <c r="I2255" s="1" t="s">
        <v>49</v>
      </c>
      <c r="J2255" s="1" t="s">
        <v>48</v>
      </c>
      <c r="K2255" s="1">
        <v>40</v>
      </c>
      <c r="L2255" s="1">
        <v>0</v>
      </c>
      <c r="M2255" s="1">
        <v>0</v>
      </c>
      <c r="N2255" s="1">
        <v>40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 t="s">
        <v>49</v>
      </c>
      <c r="AA2255" s="1" t="s">
        <v>49</v>
      </c>
      <c r="AB2255" s="1" t="s">
        <v>49</v>
      </c>
      <c r="AC2255" s="1" t="s">
        <v>5220</v>
      </c>
      <c r="AD2255" s="1" t="s">
        <v>5221</v>
      </c>
      <c r="AE2255" s="1" t="s">
        <v>5220</v>
      </c>
      <c r="AF2255" s="1" t="s">
        <v>5222</v>
      </c>
      <c r="AG2255" s="1" t="s">
        <v>53</v>
      </c>
      <c r="AH2255" s="1" t="s">
        <v>49</v>
      </c>
      <c r="AI2255" s="1" t="s">
        <v>54</v>
      </c>
      <c r="AJ2255" s="1">
        <v>1</v>
      </c>
      <c r="AK2255" s="1" t="str">
        <f t="shared" si="35"/>
        <v xml:space="preserve"> =&lt;90</v>
      </c>
      <c r="AL2255" s="1" t="e">
        <f>VLOOKUP(C:C,[1]基础信息!B$1:D$65536,3,0)</f>
        <v>#N/A</v>
      </c>
      <c r="AM2255" s="1" t="e">
        <f>VLOOKUP(C:C,[1]基础信息!B$1:E$65536,4,0)</f>
        <v>#N/A</v>
      </c>
      <c r="AN2255" s="1" t="e">
        <f>VLOOKUP(C:C,[1]基础信息!B$1:F$65536,5,0)</f>
        <v>#N/A</v>
      </c>
    </row>
    <row r="2256" spans="1:40">
      <c r="A2256" s="1" t="s">
        <v>41</v>
      </c>
      <c r="B2256" s="1" t="s">
        <v>42</v>
      </c>
      <c r="C2256" s="1" t="s">
        <v>3971</v>
      </c>
      <c r="D2256" s="1" t="s">
        <v>3972</v>
      </c>
      <c r="E2256" s="1" t="s">
        <v>45</v>
      </c>
      <c r="F2256" s="1" t="s">
        <v>5191</v>
      </c>
      <c r="G2256" s="1" t="s">
        <v>5223</v>
      </c>
      <c r="H2256" s="1" t="s">
        <v>5224</v>
      </c>
      <c r="I2256" s="1" t="s">
        <v>49</v>
      </c>
      <c r="J2256" s="1" t="s">
        <v>48</v>
      </c>
      <c r="K2256" s="1">
        <v>96</v>
      </c>
      <c r="L2256" s="1">
        <v>0</v>
      </c>
      <c r="M2256" s="1">
        <v>0</v>
      </c>
      <c r="N2256" s="1">
        <v>96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 t="s">
        <v>49</v>
      </c>
      <c r="AA2256" s="1" t="s">
        <v>49</v>
      </c>
      <c r="AB2256" s="1" t="s">
        <v>49</v>
      </c>
      <c r="AC2256" s="1" t="s">
        <v>376</v>
      </c>
      <c r="AD2256" s="1" t="s">
        <v>377</v>
      </c>
      <c r="AE2256" s="1" t="s">
        <v>376</v>
      </c>
      <c r="AF2256" s="1" t="s">
        <v>5194</v>
      </c>
      <c r="AG2256" s="1" t="s">
        <v>53</v>
      </c>
      <c r="AH2256" s="1" t="s">
        <v>49</v>
      </c>
      <c r="AI2256" s="1" t="s">
        <v>54</v>
      </c>
      <c r="AJ2256" s="1">
        <v>1</v>
      </c>
      <c r="AK2256" s="1" t="str">
        <f t="shared" si="35"/>
        <v xml:space="preserve"> =&lt;90</v>
      </c>
      <c r="AL2256" s="1" t="str">
        <f>VLOOKUP(C:C,[1]基础信息!B$1:D$65536,3,0)</f>
        <v>Jug</v>
      </c>
      <c r="AM2256" s="1" t="str">
        <f>VLOOKUP(C:C,[1]基础信息!B$1:E$65536,4,0)</f>
        <v>Mxplus</v>
      </c>
      <c r="AN2256" s="1" t="str">
        <f>VLOOKUP(C:C,[1]基础信息!B$1:F$65536,5,0)</f>
        <v xml:space="preserve"> lime</v>
      </c>
    </row>
    <row r="2257" spans="1:40">
      <c r="A2257" s="1" t="s">
        <v>41</v>
      </c>
      <c r="B2257" s="1" t="s">
        <v>42</v>
      </c>
      <c r="C2257" s="1" t="s">
        <v>3601</v>
      </c>
      <c r="D2257" s="1" t="s">
        <v>3602</v>
      </c>
      <c r="E2257" s="1" t="s">
        <v>45</v>
      </c>
      <c r="F2257" s="1" t="s">
        <v>5225</v>
      </c>
      <c r="G2257" s="1" t="s">
        <v>5226</v>
      </c>
      <c r="H2257" s="1" t="s">
        <v>5227</v>
      </c>
      <c r="I2257" s="1" t="s">
        <v>49</v>
      </c>
      <c r="J2257" s="1" t="s">
        <v>48</v>
      </c>
      <c r="K2257" s="1">
        <v>2520</v>
      </c>
      <c r="L2257" s="1">
        <v>0</v>
      </c>
      <c r="M2257" s="1">
        <v>0</v>
      </c>
      <c r="N2257" s="1">
        <v>2520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 t="s">
        <v>49</v>
      </c>
      <c r="AA2257" s="1" t="s">
        <v>49</v>
      </c>
      <c r="AB2257" s="1" t="s">
        <v>49</v>
      </c>
      <c r="AC2257" s="1" t="s">
        <v>5228</v>
      </c>
      <c r="AD2257" s="1" t="s">
        <v>5229</v>
      </c>
      <c r="AE2257" s="1" t="s">
        <v>5230</v>
      </c>
      <c r="AF2257" s="1" t="s">
        <v>5231</v>
      </c>
      <c r="AG2257" s="1" t="s">
        <v>53</v>
      </c>
      <c r="AH2257" s="1" t="s">
        <v>49</v>
      </c>
      <c r="AI2257" s="1" t="s">
        <v>54</v>
      </c>
      <c r="AJ2257" s="1">
        <v>1</v>
      </c>
      <c r="AK2257" s="1" t="str">
        <f t="shared" si="35"/>
        <v xml:space="preserve"> =&lt;90</v>
      </c>
      <c r="AL2257" s="1" t="e">
        <f>VLOOKUP(C:C,[1]基础信息!B$1:D$65536,3,0)</f>
        <v>#N/A</v>
      </c>
      <c r="AM2257" s="1" t="e">
        <f>VLOOKUP(C:C,[1]基础信息!B$1:E$65536,4,0)</f>
        <v>#N/A</v>
      </c>
      <c r="AN2257" s="1" t="e">
        <f>VLOOKUP(C:C,[1]基础信息!B$1:F$65536,5,0)</f>
        <v>#N/A</v>
      </c>
    </row>
    <row r="2258" spans="1:40">
      <c r="A2258" s="1" t="s">
        <v>41</v>
      </c>
      <c r="B2258" s="1" t="s">
        <v>42</v>
      </c>
      <c r="C2258" s="1" t="s">
        <v>5076</v>
      </c>
      <c r="D2258" s="1" t="s">
        <v>5077</v>
      </c>
      <c r="E2258" s="1" t="s">
        <v>5076</v>
      </c>
      <c r="F2258" s="1" t="s">
        <v>5232</v>
      </c>
      <c r="G2258" s="1" t="s">
        <v>5233</v>
      </c>
      <c r="H2258" s="1" t="s">
        <v>5234</v>
      </c>
      <c r="I2258" s="1" t="s">
        <v>49</v>
      </c>
      <c r="J2258" s="1" t="s">
        <v>48</v>
      </c>
      <c r="K2258" s="1">
        <v>120</v>
      </c>
      <c r="L2258" s="1">
        <v>0</v>
      </c>
      <c r="M2258" s="1">
        <v>0</v>
      </c>
      <c r="N2258" s="1">
        <v>120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 t="s">
        <v>49</v>
      </c>
      <c r="AA2258" s="1" t="s">
        <v>49</v>
      </c>
      <c r="AB2258" s="1" t="s">
        <v>49</v>
      </c>
      <c r="AC2258" s="1" t="s">
        <v>117</v>
      </c>
      <c r="AD2258" s="1" t="s">
        <v>118</v>
      </c>
      <c r="AE2258" s="1" t="s">
        <v>117</v>
      </c>
      <c r="AF2258" s="1" t="s">
        <v>5235</v>
      </c>
      <c r="AG2258" s="1" t="s">
        <v>53</v>
      </c>
      <c r="AH2258" s="1" t="s">
        <v>49</v>
      </c>
      <c r="AI2258" s="1" t="s">
        <v>54</v>
      </c>
      <c r="AJ2258" s="1">
        <v>1</v>
      </c>
      <c r="AK2258" s="1" t="str">
        <f t="shared" si="35"/>
        <v xml:space="preserve"> =&lt;90</v>
      </c>
      <c r="AL2258" s="1" t="str">
        <f>VLOOKUP(C:C,[1]基础信息!B$1:D$65536,3,0)</f>
        <v>UTS</v>
      </c>
      <c r="AM2258" s="1" t="str">
        <f>VLOOKUP(C:C,[1]基础信息!B$1:E$65536,4,0)</f>
        <v>MyPure Pro</v>
      </c>
      <c r="AN2258" s="1" t="str">
        <f>VLOOKUP(C:C,[1]基础信息!B$1:F$65536,5,0)</f>
        <v>Refill</v>
      </c>
    </row>
    <row r="2259" spans="1:40">
      <c r="A2259" s="1" t="s">
        <v>41</v>
      </c>
      <c r="B2259" s="1" t="s">
        <v>42</v>
      </c>
      <c r="C2259" s="1" t="s">
        <v>5076</v>
      </c>
      <c r="D2259" s="1" t="s">
        <v>5077</v>
      </c>
      <c r="E2259" s="1" t="s">
        <v>5076</v>
      </c>
      <c r="F2259" s="1" t="s">
        <v>5177</v>
      </c>
      <c r="G2259" s="1" t="s">
        <v>5236</v>
      </c>
      <c r="H2259" s="1" t="s">
        <v>5237</v>
      </c>
      <c r="I2259" s="1" t="s">
        <v>49</v>
      </c>
      <c r="J2259" s="1" t="s">
        <v>48</v>
      </c>
      <c r="K2259" s="1">
        <v>24</v>
      </c>
      <c r="L2259" s="1">
        <v>0</v>
      </c>
      <c r="M2259" s="1">
        <v>0</v>
      </c>
      <c r="N2259" s="1">
        <v>24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 t="s">
        <v>49</v>
      </c>
      <c r="AA2259" s="1" t="s">
        <v>49</v>
      </c>
      <c r="AB2259" s="1" t="s">
        <v>49</v>
      </c>
      <c r="AC2259" s="1" t="s">
        <v>117</v>
      </c>
      <c r="AD2259" s="1" t="s">
        <v>118</v>
      </c>
      <c r="AE2259" s="1" t="s">
        <v>117</v>
      </c>
      <c r="AF2259" s="1" t="s">
        <v>5180</v>
      </c>
      <c r="AG2259" s="1" t="s">
        <v>53</v>
      </c>
      <c r="AH2259" s="1" t="s">
        <v>49</v>
      </c>
      <c r="AI2259" s="1" t="s">
        <v>54</v>
      </c>
      <c r="AJ2259" s="1">
        <v>1</v>
      </c>
      <c r="AK2259" s="1" t="str">
        <f t="shared" si="35"/>
        <v xml:space="preserve"> =&lt;90</v>
      </c>
      <c r="AL2259" s="1" t="str">
        <f>VLOOKUP(C:C,[1]基础信息!B$1:D$65536,3,0)</f>
        <v>UTS</v>
      </c>
      <c r="AM2259" s="1" t="str">
        <f>VLOOKUP(C:C,[1]基础信息!B$1:E$65536,4,0)</f>
        <v>MyPure Pro</v>
      </c>
      <c r="AN2259" s="1" t="str">
        <f>VLOOKUP(C:C,[1]基础信息!B$1:F$65536,5,0)</f>
        <v>Refill</v>
      </c>
    </row>
    <row r="2260" spans="1:40">
      <c r="A2260" s="1" t="s">
        <v>41</v>
      </c>
      <c r="B2260" s="1" t="s">
        <v>42</v>
      </c>
      <c r="C2260" s="1" t="s">
        <v>4245</v>
      </c>
      <c r="D2260" s="1" t="s">
        <v>4246</v>
      </c>
      <c r="E2260" s="1" t="s">
        <v>4245</v>
      </c>
      <c r="F2260" s="1" t="s">
        <v>5197</v>
      </c>
      <c r="G2260" s="1" t="s">
        <v>5238</v>
      </c>
      <c r="H2260" s="1" t="s">
        <v>5239</v>
      </c>
      <c r="I2260" s="1" t="s">
        <v>49</v>
      </c>
      <c r="J2260" s="1" t="s">
        <v>48</v>
      </c>
      <c r="K2260" s="1">
        <v>20</v>
      </c>
      <c r="L2260" s="1">
        <v>0</v>
      </c>
      <c r="M2260" s="1">
        <v>0</v>
      </c>
      <c r="N2260" s="1">
        <v>20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 t="s">
        <v>49</v>
      </c>
      <c r="AA2260" s="1" t="s">
        <v>49</v>
      </c>
      <c r="AB2260" s="1" t="s">
        <v>49</v>
      </c>
      <c r="AC2260" s="1" t="s">
        <v>5200</v>
      </c>
      <c r="AD2260" s="1" t="s">
        <v>5201</v>
      </c>
      <c r="AE2260" s="1" t="s">
        <v>3502</v>
      </c>
      <c r="AF2260" s="1" t="s">
        <v>5202</v>
      </c>
      <c r="AG2260" s="1" t="s">
        <v>53</v>
      </c>
      <c r="AH2260" s="1" t="s">
        <v>49</v>
      </c>
      <c r="AI2260" s="1" t="s">
        <v>54</v>
      </c>
      <c r="AJ2260" s="1">
        <v>1</v>
      </c>
      <c r="AK2260" s="1" t="str">
        <f t="shared" si="35"/>
        <v xml:space="preserve"> =&lt;90</v>
      </c>
      <c r="AL2260" s="1" t="str">
        <f>VLOOKUP(C:C,[1]基础信息!B$1:D$65536,3,0)</f>
        <v>UTS</v>
      </c>
      <c r="AM2260" s="1" t="str">
        <f>VLOOKUP(C:C,[1]基础信息!B$1:E$65536,4,0)</f>
        <v>MyPure Pro</v>
      </c>
      <c r="AN2260" s="1" t="str">
        <f>VLOOKUP(C:C,[1]基础信息!B$1:F$65536,5,0)</f>
        <v>X9</v>
      </c>
    </row>
    <row r="2261" spans="1:40">
      <c r="A2261" s="1" t="s">
        <v>41</v>
      </c>
      <c r="B2261" s="1" t="s">
        <v>42</v>
      </c>
      <c r="C2261" s="1" t="s">
        <v>3601</v>
      </c>
      <c r="D2261" s="1" t="s">
        <v>3602</v>
      </c>
      <c r="E2261" s="1" t="s">
        <v>45</v>
      </c>
      <c r="F2261" s="1" t="s">
        <v>5225</v>
      </c>
      <c r="G2261" s="1" t="s">
        <v>5240</v>
      </c>
      <c r="H2261" s="1" t="s">
        <v>5241</v>
      </c>
      <c r="I2261" s="1" t="s">
        <v>49</v>
      </c>
      <c r="J2261" s="1" t="s">
        <v>48</v>
      </c>
      <c r="K2261" s="1">
        <v>2520</v>
      </c>
      <c r="L2261" s="1">
        <v>0</v>
      </c>
      <c r="M2261" s="1">
        <v>0</v>
      </c>
      <c r="N2261" s="1">
        <v>2520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 t="s">
        <v>49</v>
      </c>
      <c r="AA2261" s="1" t="s">
        <v>49</v>
      </c>
      <c r="AB2261" s="1" t="s">
        <v>49</v>
      </c>
      <c r="AC2261" s="1" t="s">
        <v>5228</v>
      </c>
      <c r="AD2261" s="1" t="s">
        <v>5229</v>
      </c>
      <c r="AE2261" s="1" t="s">
        <v>5230</v>
      </c>
      <c r="AF2261" s="1" t="s">
        <v>5231</v>
      </c>
      <c r="AG2261" s="1" t="s">
        <v>53</v>
      </c>
      <c r="AH2261" s="1" t="s">
        <v>49</v>
      </c>
      <c r="AI2261" s="1" t="s">
        <v>54</v>
      </c>
      <c r="AJ2261" s="1">
        <v>1</v>
      </c>
      <c r="AK2261" s="1" t="str">
        <f t="shared" si="35"/>
        <v xml:space="preserve"> =&lt;90</v>
      </c>
      <c r="AL2261" s="1" t="e">
        <f>VLOOKUP(C:C,[1]基础信息!B$1:D$65536,3,0)</f>
        <v>#N/A</v>
      </c>
      <c r="AM2261" s="1" t="e">
        <f>VLOOKUP(C:C,[1]基础信息!B$1:E$65536,4,0)</f>
        <v>#N/A</v>
      </c>
      <c r="AN2261" s="1" t="e">
        <f>VLOOKUP(C:C,[1]基础信息!B$1:F$65536,5,0)</f>
        <v>#N/A</v>
      </c>
    </row>
    <row r="2262" spans="1:40">
      <c r="A2262" s="1" t="s">
        <v>41</v>
      </c>
      <c r="B2262" s="1" t="s">
        <v>42</v>
      </c>
      <c r="C2262" s="1" t="s">
        <v>3999</v>
      </c>
      <c r="D2262" s="1" t="s">
        <v>4000</v>
      </c>
      <c r="E2262" s="1" t="s">
        <v>45</v>
      </c>
      <c r="F2262" s="1" t="s">
        <v>5242</v>
      </c>
      <c r="G2262" s="1" t="s">
        <v>5243</v>
      </c>
      <c r="H2262" s="1" t="s">
        <v>45</v>
      </c>
      <c r="I2262" s="1" t="s">
        <v>45</v>
      </c>
      <c r="J2262" s="1" t="s">
        <v>48</v>
      </c>
      <c r="K2262" s="1">
        <v>52</v>
      </c>
      <c r="L2262" s="1">
        <v>0</v>
      </c>
      <c r="M2262" s="1">
        <v>0</v>
      </c>
      <c r="N2262" s="1">
        <v>52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 t="s">
        <v>49</v>
      </c>
      <c r="AA2262" s="1" t="s">
        <v>49</v>
      </c>
      <c r="AB2262" s="1" t="s">
        <v>49</v>
      </c>
      <c r="AC2262" s="1" t="s">
        <v>5244</v>
      </c>
      <c r="AD2262" s="1" t="s">
        <v>5245</v>
      </c>
      <c r="AE2262" s="1" t="s">
        <v>5244</v>
      </c>
      <c r="AF2262" s="1" t="s">
        <v>4013</v>
      </c>
      <c r="AG2262" s="1" t="s">
        <v>338</v>
      </c>
      <c r="AH2262" s="1" t="s">
        <v>49</v>
      </c>
      <c r="AI2262" s="1" t="s">
        <v>54</v>
      </c>
      <c r="AJ2262" s="1">
        <v>1</v>
      </c>
      <c r="AK2262" s="1" t="str">
        <f t="shared" si="35"/>
        <v xml:space="preserve"> =&lt;90</v>
      </c>
      <c r="AL2262" s="1" t="str">
        <f>VLOOKUP(C:C,[1]基础信息!B$1:D$65536,3,0)</f>
        <v>Jug</v>
      </c>
      <c r="AM2262" s="1" t="str">
        <f>VLOOKUP(C:C,[1]基础信息!B$1:E$65536,4,0)</f>
        <v>Aluna</v>
      </c>
      <c r="AN2262" s="1" t="str">
        <f>VLOOKUP(C:C,[1]基础信息!B$1:F$65536,5,0)</f>
        <v>Blue</v>
      </c>
    </row>
    <row r="2263" spans="1:40">
      <c r="A2263" s="1" t="s">
        <v>41</v>
      </c>
      <c r="B2263" s="1" t="s">
        <v>42</v>
      </c>
      <c r="C2263" s="1" t="s">
        <v>3601</v>
      </c>
      <c r="D2263" s="1" t="s">
        <v>3602</v>
      </c>
      <c r="E2263" s="1" t="s">
        <v>45</v>
      </c>
      <c r="F2263" s="1" t="s">
        <v>5225</v>
      </c>
      <c r="G2263" s="1" t="s">
        <v>5246</v>
      </c>
      <c r="H2263" s="1" t="s">
        <v>5247</v>
      </c>
      <c r="I2263" s="1" t="s">
        <v>49</v>
      </c>
      <c r="J2263" s="1" t="s">
        <v>48</v>
      </c>
      <c r="K2263" s="1">
        <v>1950</v>
      </c>
      <c r="L2263" s="1">
        <v>0</v>
      </c>
      <c r="M2263" s="1">
        <v>0</v>
      </c>
      <c r="N2263" s="1">
        <v>1950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 t="s">
        <v>49</v>
      </c>
      <c r="AA2263" s="1" t="s">
        <v>49</v>
      </c>
      <c r="AB2263" s="1" t="s">
        <v>49</v>
      </c>
      <c r="AC2263" s="1" t="s">
        <v>5228</v>
      </c>
      <c r="AD2263" s="1" t="s">
        <v>5229</v>
      </c>
      <c r="AE2263" s="1" t="s">
        <v>5230</v>
      </c>
      <c r="AF2263" s="1" t="s">
        <v>5231</v>
      </c>
      <c r="AG2263" s="1" t="s">
        <v>53</v>
      </c>
      <c r="AH2263" s="1" t="s">
        <v>49</v>
      </c>
      <c r="AI2263" s="1" t="s">
        <v>54</v>
      </c>
      <c r="AJ2263" s="1">
        <v>1</v>
      </c>
      <c r="AK2263" s="1" t="str">
        <f t="shared" si="35"/>
        <v xml:space="preserve"> =&lt;90</v>
      </c>
      <c r="AL2263" s="1" t="e">
        <f>VLOOKUP(C:C,[1]基础信息!B$1:D$65536,3,0)</f>
        <v>#N/A</v>
      </c>
      <c r="AM2263" s="1" t="e">
        <f>VLOOKUP(C:C,[1]基础信息!B$1:E$65536,4,0)</f>
        <v>#N/A</v>
      </c>
      <c r="AN2263" s="1" t="e">
        <f>VLOOKUP(C:C,[1]基础信息!B$1:F$65536,5,0)</f>
        <v>#N/A</v>
      </c>
    </row>
    <row r="2264" spans="1:40">
      <c r="A2264" s="1" t="s">
        <v>41</v>
      </c>
      <c r="B2264" s="1" t="s">
        <v>42</v>
      </c>
      <c r="C2264" s="1" t="s">
        <v>3512</v>
      </c>
      <c r="D2264" s="1" t="s">
        <v>3513</v>
      </c>
      <c r="E2264" s="1" t="s">
        <v>45</v>
      </c>
      <c r="F2264" s="1" t="s">
        <v>5248</v>
      </c>
      <c r="G2264" s="1" t="s">
        <v>5249</v>
      </c>
      <c r="H2264" s="1" t="s">
        <v>5250</v>
      </c>
      <c r="I2264" s="1" t="s">
        <v>49</v>
      </c>
      <c r="J2264" s="1" t="s">
        <v>48</v>
      </c>
      <c r="K2264" s="1">
        <v>58</v>
      </c>
      <c r="L2264" s="1">
        <v>0</v>
      </c>
      <c r="M2264" s="1">
        <v>0</v>
      </c>
      <c r="N2264" s="1">
        <v>58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 t="s">
        <v>49</v>
      </c>
      <c r="AA2264" s="1" t="s">
        <v>49</v>
      </c>
      <c r="AB2264" s="1" t="s">
        <v>49</v>
      </c>
      <c r="AC2264" s="1" t="s">
        <v>3241</v>
      </c>
      <c r="AD2264" s="1" t="s">
        <v>3270</v>
      </c>
      <c r="AE2264" s="1" t="s">
        <v>3241</v>
      </c>
      <c r="AF2264" s="1" t="s">
        <v>5251</v>
      </c>
      <c r="AG2264" s="1" t="s">
        <v>53</v>
      </c>
      <c r="AH2264" s="1" t="s">
        <v>49</v>
      </c>
      <c r="AI2264" s="1" t="s">
        <v>54</v>
      </c>
      <c r="AJ2264" s="1">
        <v>1</v>
      </c>
      <c r="AK2264" s="1" t="str">
        <f t="shared" si="35"/>
        <v xml:space="preserve"> =&lt;90</v>
      </c>
      <c r="AL2264" s="1" t="str">
        <f>VLOOKUP(C:C,[1]基础信息!B$1:D$65536,3,0)</f>
        <v xml:space="preserve">Cartridge </v>
      </c>
      <c r="AM2264" s="1" t="str">
        <f>VLOOKUP(C:C,[1]基础信息!B$1:E$65536,4,0)</f>
        <v>UNIV</v>
      </c>
      <c r="AN2264" s="1" t="str">
        <f>VLOOKUP(C:C,[1]基础信息!B$1:F$65536,5,0)</f>
        <v>P3</v>
      </c>
    </row>
    <row r="2265" spans="1:40">
      <c r="A2265" s="1" t="s">
        <v>41</v>
      </c>
      <c r="B2265" s="1" t="s">
        <v>42</v>
      </c>
      <c r="C2265" s="1" t="s">
        <v>4352</v>
      </c>
      <c r="D2265" s="1" t="s">
        <v>4353</v>
      </c>
      <c r="E2265" s="1" t="s">
        <v>45</v>
      </c>
      <c r="F2265" s="1" t="s">
        <v>5181</v>
      </c>
      <c r="G2265" s="1" t="s">
        <v>5252</v>
      </c>
      <c r="H2265" s="1" t="s">
        <v>5253</v>
      </c>
      <c r="I2265" s="1" t="s">
        <v>49</v>
      </c>
      <c r="J2265" s="1" t="s">
        <v>48</v>
      </c>
      <c r="K2265" s="1">
        <v>336</v>
      </c>
      <c r="L2265" s="1">
        <v>0</v>
      </c>
      <c r="M2265" s="1">
        <v>0</v>
      </c>
      <c r="N2265" s="1">
        <v>336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 t="s">
        <v>49</v>
      </c>
      <c r="AA2265" s="1" t="s">
        <v>49</v>
      </c>
      <c r="AB2265" s="1" t="s">
        <v>49</v>
      </c>
      <c r="AC2265" s="1" t="s">
        <v>5184</v>
      </c>
      <c r="AD2265" s="1" t="s">
        <v>5185</v>
      </c>
      <c r="AE2265" s="1" t="s">
        <v>5184</v>
      </c>
      <c r="AF2265" s="1" t="s">
        <v>5186</v>
      </c>
      <c r="AG2265" s="1" t="s">
        <v>53</v>
      </c>
      <c r="AH2265" s="1" t="s">
        <v>49</v>
      </c>
      <c r="AI2265" s="1" t="s">
        <v>54</v>
      </c>
      <c r="AJ2265" s="1">
        <v>1</v>
      </c>
      <c r="AK2265" s="1" t="str">
        <f t="shared" si="35"/>
        <v xml:space="preserve"> =&lt;90</v>
      </c>
      <c r="AL2265" s="1" t="e">
        <f>VLOOKUP(C:C,[1]基础信息!B$1:D$65536,3,0)</f>
        <v>#N/A</v>
      </c>
      <c r="AM2265" s="1" t="e">
        <f>VLOOKUP(C:C,[1]基础信息!B$1:E$65536,4,0)</f>
        <v>#N/A</v>
      </c>
      <c r="AN2265" s="1" t="e">
        <f>VLOOKUP(C:C,[1]基础信息!B$1:F$65536,5,0)</f>
        <v>#N/A</v>
      </c>
    </row>
    <row r="2266" spans="1:40">
      <c r="A2266" s="1" t="s">
        <v>41</v>
      </c>
      <c r="B2266" s="1" t="s">
        <v>42</v>
      </c>
      <c r="C2266" s="1" t="s">
        <v>5254</v>
      </c>
      <c r="D2266" s="1" t="s">
        <v>5255</v>
      </c>
      <c r="E2266" s="1" t="s">
        <v>45</v>
      </c>
      <c r="F2266" s="1" t="s">
        <v>5256</v>
      </c>
      <c r="G2266" s="1" t="s">
        <v>5257</v>
      </c>
      <c r="H2266" s="1" t="s">
        <v>5258</v>
      </c>
      <c r="I2266" s="1" t="s">
        <v>49</v>
      </c>
      <c r="J2266" s="1" t="s">
        <v>48</v>
      </c>
      <c r="K2266" s="1">
        <v>1870</v>
      </c>
      <c r="L2266" s="1">
        <v>0</v>
      </c>
      <c r="M2266" s="1">
        <v>0</v>
      </c>
      <c r="N2266" s="1">
        <v>1870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 t="s">
        <v>49</v>
      </c>
      <c r="AA2266" s="1" t="s">
        <v>49</v>
      </c>
      <c r="AB2266" s="1" t="s">
        <v>49</v>
      </c>
      <c r="AC2266" s="1" t="s">
        <v>5228</v>
      </c>
      <c r="AD2266" s="1" t="s">
        <v>5229</v>
      </c>
      <c r="AE2266" s="1" t="s">
        <v>5230</v>
      </c>
      <c r="AF2266" s="1" t="s">
        <v>5259</v>
      </c>
      <c r="AG2266" s="1" t="s">
        <v>53</v>
      </c>
      <c r="AH2266" s="1" t="s">
        <v>49</v>
      </c>
      <c r="AI2266" s="1" t="s">
        <v>54</v>
      </c>
      <c r="AJ2266" s="1">
        <v>1</v>
      </c>
      <c r="AK2266" s="1" t="str">
        <f t="shared" si="35"/>
        <v xml:space="preserve"> =&lt;90</v>
      </c>
      <c r="AL2266" s="1" t="str">
        <f>VLOOKUP(C:C,[1]基础信息!B$1:D$65536,3,0)</f>
        <v xml:space="preserve">Cartridge </v>
      </c>
      <c r="AM2266" s="1" t="str">
        <f>VLOOKUP(C:C,[1]基础信息!B$1:E$65536,4,0)</f>
        <v>UNIV</v>
      </c>
      <c r="AN2266" s="1" t="str">
        <f>VLOOKUP(C:C,[1]基础信息!B$1:F$65536,5,0)</f>
        <v>P55</v>
      </c>
    </row>
    <row r="2267" spans="1:40">
      <c r="A2267" s="1" t="s">
        <v>41</v>
      </c>
      <c r="B2267" s="1" t="s">
        <v>42</v>
      </c>
      <c r="C2267" s="1" t="s">
        <v>3999</v>
      </c>
      <c r="D2267" s="1" t="s">
        <v>4000</v>
      </c>
      <c r="E2267" s="1" t="s">
        <v>45</v>
      </c>
      <c r="F2267" s="1" t="s">
        <v>5242</v>
      </c>
      <c r="G2267" s="1" t="s">
        <v>5260</v>
      </c>
      <c r="H2267" s="1" t="s">
        <v>45</v>
      </c>
      <c r="I2267" s="1" t="s">
        <v>45</v>
      </c>
      <c r="J2267" s="1" t="s">
        <v>48</v>
      </c>
      <c r="K2267" s="1">
        <v>34</v>
      </c>
      <c r="L2267" s="1">
        <v>0</v>
      </c>
      <c r="M2267" s="1">
        <v>0</v>
      </c>
      <c r="N2267" s="1">
        <v>34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 t="s">
        <v>49</v>
      </c>
      <c r="AA2267" s="1" t="s">
        <v>49</v>
      </c>
      <c r="AB2267" s="1" t="s">
        <v>49</v>
      </c>
      <c r="AC2267" s="1" t="s">
        <v>5244</v>
      </c>
      <c r="AD2267" s="1" t="s">
        <v>5245</v>
      </c>
      <c r="AE2267" s="1" t="s">
        <v>5244</v>
      </c>
      <c r="AF2267" s="1" t="s">
        <v>4013</v>
      </c>
      <c r="AG2267" s="1" t="s">
        <v>338</v>
      </c>
      <c r="AH2267" s="1" t="s">
        <v>49</v>
      </c>
      <c r="AI2267" s="1" t="s">
        <v>54</v>
      </c>
      <c r="AJ2267" s="1">
        <v>1</v>
      </c>
      <c r="AK2267" s="1" t="str">
        <f t="shared" si="35"/>
        <v xml:space="preserve"> =&lt;90</v>
      </c>
      <c r="AL2267" s="1" t="str">
        <f>VLOOKUP(C:C,[1]基础信息!B$1:D$65536,3,0)</f>
        <v>Jug</v>
      </c>
      <c r="AM2267" s="1" t="str">
        <f>VLOOKUP(C:C,[1]基础信息!B$1:E$65536,4,0)</f>
        <v>Aluna</v>
      </c>
      <c r="AN2267" s="1" t="str">
        <f>VLOOKUP(C:C,[1]基础信息!B$1:F$65536,5,0)</f>
        <v>Blue</v>
      </c>
    </row>
    <row r="2268" spans="1:40">
      <c r="A2268" s="1" t="s">
        <v>41</v>
      </c>
      <c r="B2268" s="1" t="s">
        <v>42</v>
      </c>
      <c r="C2268" s="1" t="s">
        <v>5254</v>
      </c>
      <c r="D2268" s="1" t="s">
        <v>5255</v>
      </c>
      <c r="E2268" s="1" t="s">
        <v>45</v>
      </c>
      <c r="F2268" s="1" t="s">
        <v>5261</v>
      </c>
      <c r="G2268" s="1" t="s">
        <v>5262</v>
      </c>
      <c r="H2268" s="1" t="s">
        <v>5263</v>
      </c>
      <c r="I2268" s="1" t="s">
        <v>49</v>
      </c>
      <c r="J2268" s="1" t="s">
        <v>48</v>
      </c>
      <c r="K2268" s="1">
        <v>2200</v>
      </c>
      <c r="L2268" s="1">
        <v>0</v>
      </c>
      <c r="M2268" s="1">
        <v>0</v>
      </c>
      <c r="N2268" s="1">
        <v>2200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 t="s">
        <v>49</v>
      </c>
      <c r="AA2268" s="1" t="s">
        <v>49</v>
      </c>
      <c r="AB2268" s="1" t="s">
        <v>49</v>
      </c>
      <c r="AC2268" s="1" t="s">
        <v>5228</v>
      </c>
      <c r="AD2268" s="1" t="s">
        <v>5229</v>
      </c>
      <c r="AE2268" s="1" t="s">
        <v>5230</v>
      </c>
      <c r="AF2268" s="1" t="s">
        <v>5264</v>
      </c>
      <c r="AG2268" s="1" t="s">
        <v>53</v>
      </c>
      <c r="AH2268" s="1" t="s">
        <v>49</v>
      </c>
      <c r="AI2268" s="1" t="s">
        <v>54</v>
      </c>
      <c r="AJ2268" s="1">
        <v>1</v>
      </c>
      <c r="AK2268" s="1" t="str">
        <f t="shared" si="35"/>
        <v xml:space="preserve"> =&lt;90</v>
      </c>
      <c r="AL2268" s="1" t="str">
        <f>VLOOKUP(C:C,[1]基础信息!B$1:D$65536,3,0)</f>
        <v xml:space="preserve">Cartridge </v>
      </c>
      <c r="AM2268" s="1" t="str">
        <f>VLOOKUP(C:C,[1]基础信息!B$1:E$65536,4,0)</f>
        <v>UNIV</v>
      </c>
      <c r="AN2268" s="1" t="str">
        <f>VLOOKUP(C:C,[1]基础信息!B$1:F$65536,5,0)</f>
        <v>P55</v>
      </c>
    </row>
    <row r="2269" spans="1:40">
      <c r="A2269" s="1" t="s">
        <v>41</v>
      </c>
      <c r="B2269" s="1" t="s">
        <v>42</v>
      </c>
      <c r="C2269" s="1" t="s">
        <v>5254</v>
      </c>
      <c r="D2269" s="1" t="s">
        <v>5255</v>
      </c>
      <c r="E2269" s="1" t="s">
        <v>45</v>
      </c>
      <c r="F2269" s="1" t="s">
        <v>5261</v>
      </c>
      <c r="G2269" s="1" t="s">
        <v>5265</v>
      </c>
      <c r="H2269" s="1" t="s">
        <v>5266</v>
      </c>
      <c r="I2269" s="1" t="s">
        <v>49</v>
      </c>
      <c r="J2269" s="1" t="s">
        <v>48</v>
      </c>
      <c r="K2269" s="1">
        <v>2200</v>
      </c>
      <c r="L2269" s="1">
        <v>0</v>
      </c>
      <c r="M2269" s="1">
        <v>0</v>
      </c>
      <c r="N2269" s="1">
        <v>2200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 t="s">
        <v>49</v>
      </c>
      <c r="AA2269" s="1" t="s">
        <v>49</v>
      </c>
      <c r="AB2269" s="1" t="s">
        <v>49</v>
      </c>
      <c r="AC2269" s="1" t="s">
        <v>5228</v>
      </c>
      <c r="AD2269" s="1" t="s">
        <v>5229</v>
      </c>
      <c r="AE2269" s="1" t="s">
        <v>5230</v>
      </c>
      <c r="AF2269" s="1" t="s">
        <v>5264</v>
      </c>
      <c r="AG2269" s="1" t="s">
        <v>53</v>
      </c>
      <c r="AH2269" s="1" t="s">
        <v>49</v>
      </c>
      <c r="AI2269" s="1" t="s">
        <v>54</v>
      </c>
      <c r="AJ2269" s="1">
        <v>1</v>
      </c>
      <c r="AK2269" s="1" t="str">
        <f t="shared" si="35"/>
        <v xml:space="preserve"> =&lt;90</v>
      </c>
      <c r="AL2269" s="1" t="str">
        <f>VLOOKUP(C:C,[1]基础信息!B$1:D$65536,3,0)</f>
        <v xml:space="preserve">Cartridge </v>
      </c>
      <c r="AM2269" s="1" t="str">
        <f>VLOOKUP(C:C,[1]基础信息!B$1:E$65536,4,0)</f>
        <v>UNIV</v>
      </c>
      <c r="AN2269" s="1" t="str">
        <f>VLOOKUP(C:C,[1]基础信息!B$1:F$65536,5,0)</f>
        <v>P55</v>
      </c>
    </row>
    <row r="2270" spans="1:40">
      <c r="A2270" s="1" t="s">
        <v>41</v>
      </c>
      <c r="B2270" s="1" t="s">
        <v>42</v>
      </c>
      <c r="C2270" s="1" t="s">
        <v>5254</v>
      </c>
      <c r="D2270" s="1" t="s">
        <v>5255</v>
      </c>
      <c r="E2270" s="1" t="s">
        <v>45</v>
      </c>
      <c r="F2270" s="1" t="s">
        <v>5261</v>
      </c>
      <c r="G2270" s="1" t="s">
        <v>5267</v>
      </c>
      <c r="H2270" s="1" t="s">
        <v>5268</v>
      </c>
      <c r="I2270" s="1" t="s">
        <v>49</v>
      </c>
      <c r="J2270" s="1" t="s">
        <v>48</v>
      </c>
      <c r="K2270" s="1">
        <v>2200</v>
      </c>
      <c r="L2270" s="1">
        <v>0</v>
      </c>
      <c r="M2270" s="1">
        <v>0</v>
      </c>
      <c r="N2270" s="1">
        <v>2200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 t="s">
        <v>49</v>
      </c>
      <c r="AA2270" s="1" t="s">
        <v>49</v>
      </c>
      <c r="AB2270" s="1" t="s">
        <v>49</v>
      </c>
      <c r="AC2270" s="1" t="s">
        <v>5228</v>
      </c>
      <c r="AD2270" s="1" t="s">
        <v>5229</v>
      </c>
      <c r="AE2270" s="1" t="s">
        <v>5230</v>
      </c>
      <c r="AF2270" s="1" t="s">
        <v>5264</v>
      </c>
      <c r="AG2270" s="1" t="s">
        <v>53</v>
      </c>
      <c r="AH2270" s="1" t="s">
        <v>49</v>
      </c>
      <c r="AI2270" s="1" t="s">
        <v>54</v>
      </c>
      <c r="AJ2270" s="1">
        <v>1</v>
      </c>
      <c r="AK2270" s="1" t="str">
        <f t="shared" si="35"/>
        <v xml:space="preserve"> =&lt;90</v>
      </c>
      <c r="AL2270" s="1" t="str">
        <f>VLOOKUP(C:C,[1]基础信息!B$1:D$65536,3,0)</f>
        <v xml:space="preserve">Cartridge </v>
      </c>
      <c r="AM2270" s="1" t="str">
        <f>VLOOKUP(C:C,[1]基础信息!B$1:E$65536,4,0)</f>
        <v>UNIV</v>
      </c>
      <c r="AN2270" s="1" t="str">
        <f>VLOOKUP(C:C,[1]基础信息!B$1:F$65536,5,0)</f>
        <v>P55</v>
      </c>
    </row>
    <row r="2271" spans="1:40">
      <c r="A2271" s="1" t="s">
        <v>41</v>
      </c>
      <c r="B2271" s="1" t="s">
        <v>42</v>
      </c>
      <c r="C2271" s="1" t="s">
        <v>5254</v>
      </c>
      <c r="D2271" s="1" t="s">
        <v>5255</v>
      </c>
      <c r="E2271" s="1" t="s">
        <v>45</v>
      </c>
      <c r="F2271" s="1" t="s">
        <v>5261</v>
      </c>
      <c r="G2271" s="1" t="s">
        <v>5269</v>
      </c>
      <c r="H2271" s="1" t="s">
        <v>5270</v>
      </c>
      <c r="I2271" s="1" t="s">
        <v>49</v>
      </c>
      <c r="J2271" s="1" t="s">
        <v>48</v>
      </c>
      <c r="K2271" s="1">
        <v>2200</v>
      </c>
      <c r="L2271" s="1">
        <v>0</v>
      </c>
      <c r="M2271" s="1">
        <v>0</v>
      </c>
      <c r="N2271" s="1">
        <v>2200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 t="s">
        <v>49</v>
      </c>
      <c r="AA2271" s="1" t="s">
        <v>49</v>
      </c>
      <c r="AB2271" s="1" t="s">
        <v>49</v>
      </c>
      <c r="AC2271" s="1" t="s">
        <v>5228</v>
      </c>
      <c r="AD2271" s="1" t="s">
        <v>5229</v>
      </c>
      <c r="AE2271" s="1" t="s">
        <v>5230</v>
      </c>
      <c r="AF2271" s="1" t="s">
        <v>5264</v>
      </c>
      <c r="AG2271" s="1" t="s">
        <v>53</v>
      </c>
      <c r="AH2271" s="1" t="s">
        <v>49</v>
      </c>
      <c r="AI2271" s="1" t="s">
        <v>54</v>
      </c>
      <c r="AJ2271" s="1">
        <v>1</v>
      </c>
      <c r="AK2271" s="1" t="str">
        <f t="shared" si="35"/>
        <v xml:space="preserve"> =&lt;90</v>
      </c>
      <c r="AL2271" s="1" t="str">
        <f>VLOOKUP(C:C,[1]基础信息!B$1:D$65536,3,0)</f>
        <v xml:space="preserve">Cartridge </v>
      </c>
      <c r="AM2271" s="1" t="str">
        <f>VLOOKUP(C:C,[1]基础信息!B$1:E$65536,4,0)</f>
        <v>UNIV</v>
      </c>
      <c r="AN2271" s="1" t="str">
        <f>VLOOKUP(C:C,[1]基础信息!B$1:F$65536,5,0)</f>
        <v>P55</v>
      </c>
    </row>
    <row r="2272" spans="1:40">
      <c r="A2272" s="1" t="s">
        <v>41</v>
      </c>
      <c r="B2272" s="1" t="s">
        <v>42</v>
      </c>
      <c r="C2272" s="1" t="s">
        <v>5076</v>
      </c>
      <c r="D2272" s="1" t="s">
        <v>5077</v>
      </c>
      <c r="E2272" s="1" t="s">
        <v>5076</v>
      </c>
      <c r="F2272" s="1" t="s">
        <v>5271</v>
      </c>
      <c r="G2272" s="1" t="s">
        <v>5272</v>
      </c>
      <c r="H2272" s="1" t="s">
        <v>5273</v>
      </c>
      <c r="I2272" s="1" t="s">
        <v>49</v>
      </c>
      <c r="J2272" s="1" t="s">
        <v>48</v>
      </c>
      <c r="K2272" s="1">
        <v>120</v>
      </c>
      <c r="L2272" s="1">
        <v>0</v>
      </c>
      <c r="M2272" s="1">
        <v>0</v>
      </c>
      <c r="N2272" s="1">
        <v>120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 t="s">
        <v>49</v>
      </c>
      <c r="AA2272" s="1" t="s">
        <v>49</v>
      </c>
      <c r="AB2272" s="1" t="s">
        <v>49</v>
      </c>
      <c r="AC2272" s="1" t="s">
        <v>117</v>
      </c>
      <c r="AD2272" s="1" t="s">
        <v>118</v>
      </c>
      <c r="AE2272" s="1" t="s">
        <v>117</v>
      </c>
      <c r="AF2272" s="1" t="s">
        <v>5274</v>
      </c>
      <c r="AG2272" s="1" t="s">
        <v>53</v>
      </c>
      <c r="AH2272" s="1" t="s">
        <v>49</v>
      </c>
      <c r="AI2272" s="1" t="s">
        <v>54</v>
      </c>
      <c r="AJ2272" s="1">
        <v>1</v>
      </c>
      <c r="AK2272" s="1" t="str">
        <f t="shared" si="35"/>
        <v xml:space="preserve"> =&lt;90</v>
      </c>
      <c r="AL2272" s="1" t="str">
        <f>VLOOKUP(C:C,[1]基础信息!B$1:D$65536,3,0)</f>
        <v>UTS</v>
      </c>
      <c r="AM2272" s="1" t="str">
        <f>VLOOKUP(C:C,[1]基础信息!B$1:E$65536,4,0)</f>
        <v>MyPure Pro</v>
      </c>
      <c r="AN2272" s="1" t="str">
        <f>VLOOKUP(C:C,[1]基础信息!B$1:F$65536,5,0)</f>
        <v>Refill</v>
      </c>
    </row>
    <row r="2273" spans="1:40">
      <c r="A2273" s="1" t="s">
        <v>41</v>
      </c>
      <c r="B2273" s="1" t="s">
        <v>42</v>
      </c>
      <c r="C2273" s="1" t="s">
        <v>5076</v>
      </c>
      <c r="D2273" s="1" t="s">
        <v>5077</v>
      </c>
      <c r="E2273" s="1" t="s">
        <v>5076</v>
      </c>
      <c r="F2273" s="1" t="s">
        <v>5232</v>
      </c>
      <c r="G2273" s="1" t="s">
        <v>5275</v>
      </c>
      <c r="H2273" s="1" t="s">
        <v>5276</v>
      </c>
      <c r="I2273" s="1" t="s">
        <v>49</v>
      </c>
      <c r="J2273" s="1" t="s">
        <v>48</v>
      </c>
      <c r="K2273" s="1">
        <v>120</v>
      </c>
      <c r="L2273" s="1">
        <v>0</v>
      </c>
      <c r="M2273" s="1">
        <v>0</v>
      </c>
      <c r="N2273" s="1">
        <v>120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 t="s">
        <v>49</v>
      </c>
      <c r="AA2273" s="1" t="s">
        <v>49</v>
      </c>
      <c r="AB2273" s="1" t="s">
        <v>49</v>
      </c>
      <c r="AC2273" s="1" t="s">
        <v>117</v>
      </c>
      <c r="AD2273" s="1" t="s">
        <v>118</v>
      </c>
      <c r="AE2273" s="1" t="s">
        <v>117</v>
      </c>
      <c r="AF2273" s="1" t="s">
        <v>5235</v>
      </c>
      <c r="AG2273" s="1" t="s">
        <v>53</v>
      </c>
      <c r="AH2273" s="1" t="s">
        <v>49</v>
      </c>
      <c r="AI2273" s="1" t="s">
        <v>54</v>
      </c>
      <c r="AJ2273" s="1">
        <v>1</v>
      </c>
      <c r="AK2273" s="1" t="str">
        <f t="shared" si="35"/>
        <v xml:space="preserve"> =&lt;90</v>
      </c>
      <c r="AL2273" s="1" t="str">
        <f>VLOOKUP(C:C,[1]基础信息!B$1:D$65536,3,0)</f>
        <v>UTS</v>
      </c>
      <c r="AM2273" s="1" t="str">
        <f>VLOOKUP(C:C,[1]基础信息!B$1:E$65536,4,0)</f>
        <v>MyPure Pro</v>
      </c>
      <c r="AN2273" s="1" t="str">
        <f>VLOOKUP(C:C,[1]基础信息!B$1:F$65536,5,0)</f>
        <v>Refill</v>
      </c>
    </row>
    <row r="2274" spans="1:40">
      <c r="A2274" s="1" t="s">
        <v>41</v>
      </c>
      <c r="B2274" s="1" t="s">
        <v>42</v>
      </c>
      <c r="C2274" s="1" t="s">
        <v>4273</v>
      </c>
      <c r="D2274" s="1" t="s">
        <v>4274</v>
      </c>
      <c r="E2274" s="1" t="s">
        <v>45</v>
      </c>
      <c r="F2274" s="1" t="s">
        <v>5277</v>
      </c>
      <c r="G2274" s="1" t="s">
        <v>5278</v>
      </c>
      <c r="H2274" s="1" t="s">
        <v>5279</v>
      </c>
      <c r="I2274" s="1" t="s">
        <v>49</v>
      </c>
      <c r="J2274" s="1" t="s">
        <v>48</v>
      </c>
      <c r="K2274" s="1">
        <v>840</v>
      </c>
      <c r="L2274" s="1">
        <v>0</v>
      </c>
      <c r="M2274" s="1">
        <v>0</v>
      </c>
      <c r="N2274" s="1">
        <v>840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 t="s">
        <v>49</v>
      </c>
      <c r="AA2274" s="1" t="s">
        <v>49</v>
      </c>
      <c r="AB2274" s="1" t="s">
        <v>49</v>
      </c>
      <c r="AC2274" s="1" t="s">
        <v>117</v>
      </c>
      <c r="AD2274" s="1" t="s">
        <v>118</v>
      </c>
      <c r="AE2274" s="1" t="s">
        <v>117</v>
      </c>
      <c r="AF2274" s="1" t="s">
        <v>5280</v>
      </c>
      <c r="AG2274" s="1" t="s">
        <v>53</v>
      </c>
      <c r="AH2274" s="1" t="s">
        <v>49</v>
      </c>
      <c r="AI2274" s="1" t="s">
        <v>54</v>
      </c>
      <c r="AJ2274" s="1">
        <v>1</v>
      </c>
      <c r="AK2274" s="1" t="str">
        <f t="shared" si="35"/>
        <v xml:space="preserve"> =&lt;90</v>
      </c>
      <c r="AL2274" s="1" t="e">
        <f>VLOOKUP(C:C,[1]基础信息!B$1:D$65536,3,0)</f>
        <v>#N/A</v>
      </c>
      <c r="AM2274" s="1" t="e">
        <f>VLOOKUP(C:C,[1]基础信息!B$1:E$65536,4,0)</f>
        <v>#N/A</v>
      </c>
      <c r="AN2274" s="1" t="e">
        <f>VLOOKUP(C:C,[1]基础信息!B$1:F$65536,5,0)</f>
        <v>#N/A</v>
      </c>
    </row>
    <row r="2275" spans="1:40">
      <c r="A2275" s="1" t="s">
        <v>41</v>
      </c>
      <c r="B2275" s="1" t="s">
        <v>42</v>
      </c>
      <c r="C2275" s="1" t="s">
        <v>4273</v>
      </c>
      <c r="D2275" s="1" t="s">
        <v>4274</v>
      </c>
      <c r="E2275" s="1" t="s">
        <v>45</v>
      </c>
      <c r="F2275" s="1" t="s">
        <v>5277</v>
      </c>
      <c r="G2275" s="1" t="s">
        <v>5281</v>
      </c>
      <c r="H2275" s="1" t="s">
        <v>5282</v>
      </c>
      <c r="I2275" s="1" t="s">
        <v>49</v>
      </c>
      <c r="J2275" s="1" t="s">
        <v>48</v>
      </c>
      <c r="K2275" s="1">
        <v>840</v>
      </c>
      <c r="L2275" s="1">
        <v>0</v>
      </c>
      <c r="M2275" s="1">
        <v>0</v>
      </c>
      <c r="N2275" s="1">
        <v>840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 t="s">
        <v>49</v>
      </c>
      <c r="AA2275" s="1" t="s">
        <v>49</v>
      </c>
      <c r="AB2275" s="1" t="s">
        <v>49</v>
      </c>
      <c r="AC2275" s="1" t="s">
        <v>117</v>
      </c>
      <c r="AD2275" s="1" t="s">
        <v>118</v>
      </c>
      <c r="AE2275" s="1" t="s">
        <v>117</v>
      </c>
      <c r="AF2275" s="1" t="s">
        <v>5280</v>
      </c>
      <c r="AG2275" s="1" t="s">
        <v>53</v>
      </c>
      <c r="AH2275" s="1" t="s">
        <v>49</v>
      </c>
      <c r="AI2275" s="1" t="s">
        <v>54</v>
      </c>
      <c r="AJ2275" s="1">
        <v>1</v>
      </c>
      <c r="AK2275" s="1" t="str">
        <f t="shared" si="35"/>
        <v xml:space="preserve"> =&lt;90</v>
      </c>
      <c r="AL2275" s="1" t="e">
        <f>VLOOKUP(C:C,[1]基础信息!B$1:D$65536,3,0)</f>
        <v>#N/A</v>
      </c>
      <c r="AM2275" s="1" t="e">
        <f>VLOOKUP(C:C,[1]基础信息!B$1:E$65536,4,0)</f>
        <v>#N/A</v>
      </c>
      <c r="AN2275" s="1" t="e">
        <f>VLOOKUP(C:C,[1]基础信息!B$1:F$65536,5,0)</f>
        <v>#N/A</v>
      </c>
    </row>
    <row r="2276" spans="1:40">
      <c r="A2276" s="1" t="s">
        <v>41</v>
      </c>
      <c r="B2276" s="1" t="s">
        <v>42</v>
      </c>
      <c r="C2276" s="1" t="s">
        <v>4273</v>
      </c>
      <c r="D2276" s="1" t="s">
        <v>4274</v>
      </c>
      <c r="E2276" s="1" t="s">
        <v>45</v>
      </c>
      <c r="F2276" s="1" t="s">
        <v>5277</v>
      </c>
      <c r="G2276" s="1" t="s">
        <v>5283</v>
      </c>
      <c r="H2276" s="1" t="s">
        <v>5284</v>
      </c>
      <c r="I2276" s="1" t="s">
        <v>49</v>
      </c>
      <c r="J2276" s="1" t="s">
        <v>48</v>
      </c>
      <c r="K2276" s="1">
        <v>840</v>
      </c>
      <c r="L2276" s="1">
        <v>0</v>
      </c>
      <c r="M2276" s="1">
        <v>0</v>
      </c>
      <c r="N2276" s="1">
        <v>840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 t="s">
        <v>49</v>
      </c>
      <c r="AA2276" s="1" t="s">
        <v>49</v>
      </c>
      <c r="AB2276" s="1" t="s">
        <v>49</v>
      </c>
      <c r="AC2276" s="1" t="s">
        <v>117</v>
      </c>
      <c r="AD2276" s="1" t="s">
        <v>118</v>
      </c>
      <c r="AE2276" s="1" t="s">
        <v>117</v>
      </c>
      <c r="AF2276" s="1" t="s">
        <v>5280</v>
      </c>
      <c r="AG2276" s="1" t="s">
        <v>53</v>
      </c>
      <c r="AH2276" s="1" t="s">
        <v>49</v>
      </c>
      <c r="AI2276" s="1" t="s">
        <v>54</v>
      </c>
      <c r="AJ2276" s="1">
        <v>1</v>
      </c>
      <c r="AK2276" s="1" t="str">
        <f t="shared" si="35"/>
        <v xml:space="preserve"> =&lt;90</v>
      </c>
      <c r="AL2276" s="1" t="e">
        <f>VLOOKUP(C:C,[1]基础信息!B$1:D$65536,3,0)</f>
        <v>#N/A</v>
      </c>
      <c r="AM2276" s="1" t="e">
        <f>VLOOKUP(C:C,[1]基础信息!B$1:E$65536,4,0)</f>
        <v>#N/A</v>
      </c>
      <c r="AN2276" s="1" t="e">
        <f>VLOOKUP(C:C,[1]基础信息!B$1:F$65536,5,0)</f>
        <v>#N/A</v>
      </c>
    </row>
    <row r="2277" spans="1:40">
      <c r="A2277" s="1" t="s">
        <v>41</v>
      </c>
      <c r="B2277" s="1" t="s">
        <v>42</v>
      </c>
      <c r="C2277" s="1" t="s">
        <v>5154</v>
      </c>
      <c r="D2277" s="1" t="s">
        <v>5155</v>
      </c>
      <c r="E2277" s="1" t="s">
        <v>45</v>
      </c>
      <c r="F2277" s="1" t="s">
        <v>5285</v>
      </c>
      <c r="G2277" s="1" t="s">
        <v>5286</v>
      </c>
      <c r="H2277" s="1" t="s">
        <v>5287</v>
      </c>
      <c r="I2277" s="1" t="s">
        <v>49</v>
      </c>
      <c r="J2277" s="1" t="s">
        <v>48</v>
      </c>
      <c r="K2277" s="1">
        <v>270</v>
      </c>
      <c r="L2277" s="1">
        <v>0</v>
      </c>
      <c r="M2277" s="1">
        <v>0</v>
      </c>
      <c r="N2277" s="1">
        <v>270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 t="s">
        <v>49</v>
      </c>
      <c r="AA2277" s="1" t="s">
        <v>49</v>
      </c>
      <c r="AB2277" s="1" t="s">
        <v>49</v>
      </c>
      <c r="AC2277" s="1" t="s">
        <v>5288</v>
      </c>
      <c r="AD2277" s="1" t="s">
        <v>5289</v>
      </c>
      <c r="AE2277" s="1" t="s">
        <v>5290</v>
      </c>
      <c r="AF2277" s="1" t="s">
        <v>5159</v>
      </c>
      <c r="AG2277" s="1" t="s">
        <v>53</v>
      </c>
      <c r="AH2277" s="1" t="s">
        <v>49</v>
      </c>
      <c r="AI2277" s="1" t="s">
        <v>54</v>
      </c>
      <c r="AJ2277" s="1">
        <v>1</v>
      </c>
      <c r="AK2277" s="1" t="str">
        <f t="shared" si="35"/>
        <v xml:space="preserve"> =&lt;90</v>
      </c>
      <c r="AL2277" s="1" t="e">
        <f>VLOOKUP(C:C,[1]基础信息!B$1:D$65536,3,0)</f>
        <v>#N/A</v>
      </c>
      <c r="AM2277" s="1" t="e">
        <f>VLOOKUP(C:C,[1]基础信息!B$1:E$65536,4,0)</f>
        <v>#N/A</v>
      </c>
      <c r="AN2277" s="1" t="e">
        <f>VLOOKUP(C:C,[1]基础信息!B$1:F$65536,5,0)</f>
        <v>#N/A</v>
      </c>
    </row>
    <row r="2278" spans="1:40">
      <c r="A2278" s="1" t="s">
        <v>41</v>
      </c>
      <c r="B2278" s="1" t="s">
        <v>42</v>
      </c>
      <c r="C2278" s="1" t="s">
        <v>5154</v>
      </c>
      <c r="D2278" s="1" t="s">
        <v>5155</v>
      </c>
      <c r="E2278" s="1" t="s">
        <v>45</v>
      </c>
      <c r="F2278" s="1" t="s">
        <v>5285</v>
      </c>
      <c r="G2278" s="1" t="s">
        <v>5291</v>
      </c>
      <c r="H2278" s="1" t="s">
        <v>5292</v>
      </c>
      <c r="I2278" s="1" t="s">
        <v>49</v>
      </c>
      <c r="J2278" s="1" t="s">
        <v>48</v>
      </c>
      <c r="K2278" s="1">
        <v>270</v>
      </c>
      <c r="L2278" s="1">
        <v>0</v>
      </c>
      <c r="M2278" s="1">
        <v>0</v>
      </c>
      <c r="N2278" s="1">
        <v>270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 t="s">
        <v>49</v>
      </c>
      <c r="AA2278" s="1" t="s">
        <v>49</v>
      </c>
      <c r="AB2278" s="1" t="s">
        <v>49</v>
      </c>
      <c r="AC2278" s="1" t="s">
        <v>5288</v>
      </c>
      <c r="AD2278" s="1" t="s">
        <v>5289</v>
      </c>
      <c r="AE2278" s="1" t="s">
        <v>5290</v>
      </c>
      <c r="AF2278" s="1" t="s">
        <v>5159</v>
      </c>
      <c r="AG2278" s="1" t="s">
        <v>53</v>
      </c>
      <c r="AH2278" s="1" t="s">
        <v>49</v>
      </c>
      <c r="AI2278" s="1" t="s">
        <v>54</v>
      </c>
      <c r="AJ2278" s="1">
        <v>1</v>
      </c>
      <c r="AK2278" s="1" t="str">
        <f t="shared" si="35"/>
        <v xml:space="preserve"> =&lt;90</v>
      </c>
      <c r="AL2278" s="1" t="e">
        <f>VLOOKUP(C:C,[1]基础信息!B$1:D$65536,3,0)</f>
        <v>#N/A</v>
      </c>
      <c r="AM2278" s="1" t="e">
        <f>VLOOKUP(C:C,[1]基础信息!B$1:E$65536,4,0)</f>
        <v>#N/A</v>
      </c>
      <c r="AN2278" s="1" t="e">
        <f>VLOOKUP(C:C,[1]基础信息!B$1:F$65536,5,0)</f>
        <v>#N/A</v>
      </c>
    </row>
    <row r="2279" spans="1:40">
      <c r="A2279" s="1" t="s">
        <v>41</v>
      </c>
      <c r="B2279" s="1" t="s">
        <v>42</v>
      </c>
      <c r="C2279" s="1" t="s">
        <v>3601</v>
      </c>
      <c r="D2279" s="1" t="s">
        <v>3602</v>
      </c>
      <c r="E2279" s="1" t="s">
        <v>45</v>
      </c>
      <c r="F2279" s="1" t="s">
        <v>5293</v>
      </c>
      <c r="G2279" s="1" t="s">
        <v>5294</v>
      </c>
      <c r="H2279" s="1" t="s">
        <v>45</v>
      </c>
      <c r="I2279" s="1" t="s">
        <v>45</v>
      </c>
      <c r="J2279" s="1" t="s">
        <v>48</v>
      </c>
      <c r="K2279" s="1">
        <v>1920</v>
      </c>
      <c r="L2279" s="1">
        <v>0</v>
      </c>
      <c r="M2279" s="1">
        <v>0</v>
      </c>
      <c r="N2279" s="1">
        <v>1920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 t="s">
        <v>49</v>
      </c>
      <c r="AA2279" s="1" t="s">
        <v>49</v>
      </c>
      <c r="AB2279" s="1" t="s">
        <v>49</v>
      </c>
      <c r="AC2279" s="1" t="s">
        <v>1551</v>
      </c>
      <c r="AD2279" s="1" t="s">
        <v>1552</v>
      </c>
      <c r="AE2279" s="1" t="s">
        <v>1551</v>
      </c>
      <c r="AF2279" s="1" t="s">
        <v>5295</v>
      </c>
      <c r="AG2279" s="1" t="s">
        <v>53</v>
      </c>
      <c r="AH2279" s="1" t="s">
        <v>49</v>
      </c>
      <c r="AI2279" s="1" t="s">
        <v>54</v>
      </c>
      <c r="AJ2279" s="1">
        <v>1</v>
      </c>
      <c r="AK2279" s="1" t="str">
        <f t="shared" si="35"/>
        <v xml:space="preserve"> =&lt;90</v>
      </c>
      <c r="AL2279" s="1" t="e">
        <f>VLOOKUP(C:C,[1]基础信息!B$1:D$65536,3,0)</f>
        <v>#N/A</v>
      </c>
      <c r="AM2279" s="1" t="e">
        <f>VLOOKUP(C:C,[1]基础信息!B$1:E$65536,4,0)</f>
        <v>#N/A</v>
      </c>
      <c r="AN2279" s="1" t="e">
        <f>VLOOKUP(C:C,[1]基础信息!B$1:F$65536,5,0)</f>
        <v>#N/A</v>
      </c>
    </row>
    <row r="2280" spans="1:40">
      <c r="A2280" s="1" t="s">
        <v>41</v>
      </c>
      <c r="B2280" s="1" t="s">
        <v>42</v>
      </c>
      <c r="C2280" s="1" t="s">
        <v>5154</v>
      </c>
      <c r="D2280" s="1" t="s">
        <v>5155</v>
      </c>
      <c r="E2280" s="1" t="s">
        <v>45</v>
      </c>
      <c r="F2280" s="1" t="s">
        <v>5285</v>
      </c>
      <c r="G2280" s="1" t="s">
        <v>5296</v>
      </c>
      <c r="H2280" s="1" t="s">
        <v>5297</v>
      </c>
      <c r="I2280" s="1" t="s">
        <v>49</v>
      </c>
      <c r="J2280" s="1" t="s">
        <v>48</v>
      </c>
      <c r="K2280" s="1">
        <v>270</v>
      </c>
      <c r="L2280" s="1">
        <v>0</v>
      </c>
      <c r="M2280" s="1">
        <v>0</v>
      </c>
      <c r="N2280" s="1">
        <v>270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 t="s">
        <v>49</v>
      </c>
      <c r="AA2280" s="1" t="s">
        <v>49</v>
      </c>
      <c r="AB2280" s="1" t="s">
        <v>49</v>
      </c>
      <c r="AC2280" s="1" t="s">
        <v>5288</v>
      </c>
      <c r="AD2280" s="1" t="s">
        <v>5289</v>
      </c>
      <c r="AE2280" s="1" t="s">
        <v>5290</v>
      </c>
      <c r="AF2280" s="1" t="s">
        <v>5159</v>
      </c>
      <c r="AG2280" s="1" t="s">
        <v>53</v>
      </c>
      <c r="AH2280" s="1" t="s">
        <v>49</v>
      </c>
      <c r="AI2280" s="1" t="s">
        <v>54</v>
      </c>
      <c r="AJ2280" s="1">
        <v>1</v>
      </c>
      <c r="AK2280" s="1" t="str">
        <f t="shared" si="35"/>
        <v xml:space="preserve"> =&lt;90</v>
      </c>
      <c r="AL2280" s="1" t="e">
        <f>VLOOKUP(C:C,[1]基础信息!B$1:D$65536,3,0)</f>
        <v>#N/A</v>
      </c>
      <c r="AM2280" s="1" t="e">
        <f>VLOOKUP(C:C,[1]基础信息!B$1:E$65536,4,0)</f>
        <v>#N/A</v>
      </c>
      <c r="AN2280" s="1" t="e">
        <f>VLOOKUP(C:C,[1]基础信息!B$1:F$65536,5,0)</f>
        <v>#N/A</v>
      </c>
    </row>
    <row r="2281" spans="1:40">
      <c r="A2281" s="1" t="s">
        <v>41</v>
      </c>
      <c r="B2281" s="1" t="s">
        <v>42</v>
      </c>
      <c r="C2281" s="1" t="s">
        <v>5154</v>
      </c>
      <c r="D2281" s="1" t="s">
        <v>5155</v>
      </c>
      <c r="E2281" s="1" t="s">
        <v>45</v>
      </c>
      <c r="F2281" s="1" t="s">
        <v>5285</v>
      </c>
      <c r="G2281" s="1" t="s">
        <v>5298</v>
      </c>
      <c r="H2281" s="1" t="s">
        <v>5299</v>
      </c>
      <c r="I2281" s="1" t="s">
        <v>49</v>
      </c>
      <c r="J2281" s="1" t="s">
        <v>48</v>
      </c>
      <c r="K2281" s="1">
        <v>270</v>
      </c>
      <c r="L2281" s="1">
        <v>0</v>
      </c>
      <c r="M2281" s="1">
        <v>0</v>
      </c>
      <c r="N2281" s="1">
        <v>270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 t="s">
        <v>49</v>
      </c>
      <c r="AA2281" s="1" t="s">
        <v>49</v>
      </c>
      <c r="AB2281" s="1" t="s">
        <v>49</v>
      </c>
      <c r="AC2281" s="1" t="s">
        <v>5288</v>
      </c>
      <c r="AD2281" s="1" t="s">
        <v>5289</v>
      </c>
      <c r="AE2281" s="1" t="s">
        <v>5290</v>
      </c>
      <c r="AF2281" s="1" t="s">
        <v>5159</v>
      </c>
      <c r="AG2281" s="1" t="s">
        <v>53</v>
      </c>
      <c r="AH2281" s="1" t="s">
        <v>49</v>
      </c>
      <c r="AI2281" s="1" t="s">
        <v>54</v>
      </c>
      <c r="AJ2281" s="1">
        <v>1</v>
      </c>
      <c r="AK2281" s="1" t="str">
        <f t="shared" si="35"/>
        <v xml:space="preserve"> =&lt;90</v>
      </c>
      <c r="AL2281" s="1" t="e">
        <f>VLOOKUP(C:C,[1]基础信息!B$1:D$65536,3,0)</f>
        <v>#N/A</v>
      </c>
      <c r="AM2281" s="1" t="e">
        <f>VLOOKUP(C:C,[1]基础信息!B$1:E$65536,4,0)</f>
        <v>#N/A</v>
      </c>
      <c r="AN2281" s="1" t="e">
        <f>VLOOKUP(C:C,[1]基础信息!B$1:F$65536,5,0)</f>
        <v>#N/A</v>
      </c>
    </row>
    <row r="2282" spans="1:40">
      <c r="A2282" s="1" t="s">
        <v>41</v>
      </c>
      <c r="B2282" s="1" t="s">
        <v>42</v>
      </c>
      <c r="C2282" s="1" t="s">
        <v>5154</v>
      </c>
      <c r="D2282" s="1" t="s">
        <v>5155</v>
      </c>
      <c r="E2282" s="1" t="s">
        <v>45</v>
      </c>
      <c r="F2282" s="1" t="s">
        <v>5285</v>
      </c>
      <c r="G2282" s="1" t="s">
        <v>5300</v>
      </c>
      <c r="H2282" s="1" t="s">
        <v>5301</v>
      </c>
      <c r="I2282" s="1" t="s">
        <v>49</v>
      </c>
      <c r="J2282" s="1" t="s">
        <v>48</v>
      </c>
      <c r="K2282" s="1">
        <v>270</v>
      </c>
      <c r="L2282" s="1">
        <v>0</v>
      </c>
      <c r="M2282" s="1">
        <v>0</v>
      </c>
      <c r="N2282" s="1">
        <v>270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 t="s">
        <v>49</v>
      </c>
      <c r="AA2282" s="1" t="s">
        <v>49</v>
      </c>
      <c r="AB2282" s="1" t="s">
        <v>49</v>
      </c>
      <c r="AC2282" s="1" t="s">
        <v>5288</v>
      </c>
      <c r="AD2282" s="1" t="s">
        <v>5289</v>
      </c>
      <c r="AE2282" s="1" t="s">
        <v>5290</v>
      </c>
      <c r="AF2282" s="1" t="s">
        <v>5159</v>
      </c>
      <c r="AG2282" s="1" t="s">
        <v>53</v>
      </c>
      <c r="AH2282" s="1" t="s">
        <v>49</v>
      </c>
      <c r="AI2282" s="1" t="s">
        <v>54</v>
      </c>
      <c r="AJ2282" s="1">
        <v>1</v>
      </c>
      <c r="AK2282" s="1" t="str">
        <f t="shared" si="35"/>
        <v xml:space="preserve"> =&lt;90</v>
      </c>
      <c r="AL2282" s="1" t="e">
        <f>VLOOKUP(C:C,[1]基础信息!B$1:D$65536,3,0)</f>
        <v>#N/A</v>
      </c>
      <c r="AM2282" s="1" t="e">
        <f>VLOOKUP(C:C,[1]基础信息!B$1:E$65536,4,0)</f>
        <v>#N/A</v>
      </c>
      <c r="AN2282" s="1" t="e">
        <f>VLOOKUP(C:C,[1]基础信息!B$1:F$65536,5,0)</f>
        <v>#N/A</v>
      </c>
    </row>
    <row r="2283" spans="1:40">
      <c r="A2283" s="1" t="s">
        <v>41</v>
      </c>
      <c r="B2283" s="1" t="s">
        <v>42</v>
      </c>
      <c r="C2283" s="1" t="s">
        <v>5154</v>
      </c>
      <c r="D2283" s="1" t="s">
        <v>5155</v>
      </c>
      <c r="E2283" s="1" t="s">
        <v>45</v>
      </c>
      <c r="F2283" s="1" t="s">
        <v>5285</v>
      </c>
      <c r="G2283" s="1" t="s">
        <v>5302</v>
      </c>
      <c r="H2283" s="1" t="s">
        <v>5303</v>
      </c>
      <c r="I2283" s="1" t="s">
        <v>49</v>
      </c>
      <c r="J2283" s="1" t="s">
        <v>48</v>
      </c>
      <c r="K2283" s="1">
        <v>270</v>
      </c>
      <c r="L2283" s="1">
        <v>0</v>
      </c>
      <c r="M2283" s="1">
        <v>0</v>
      </c>
      <c r="N2283" s="1">
        <v>270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 t="s">
        <v>49</v>
      </c>
      <c r="AA2283" s="1" t="s">
        <v>49</v>
      </c>
      <c r="AB2283" s="1" t="s">
        <v>49</v>
      </c>
      <c r="AC2283" s="1" t="s">
        <v>5288</v>
      </c>
      <c r="AD2283" s="1" t="s">
        <v>5289</v>
      </c>
      <c r="AE2283" s="1" t="s">
        <v>5290</v>
      </c>
      <c r="AF2283" s="1" t="s">
        <v>5159</v>
      </c>
      <c r="AG2283" s="1" t="s">
        <v>53</v>
      </c>
      <c r="AH2283" s="1" t="s">
        <v>49</v>
      </c>
      <c r="AI2283" s="1" t="s">
        <v>54</v>
      </c>
      <c r="AJ2283" s="1">
        <v>1</v>
      </c>
      <c r="AK2283" s="1" t="str">
        <f t="shared" si="35"/>
        <v xml:space="preserve"> =&lt;90</v>
      </c>
      <c r="AL2283" s="1" t="e">
        <f>VLOOKUP(C:C,[1]基础信息!B$1:D$65536,3,0)</f>
        <v>#N/A</v>
      </c>
      <c r="AM2283" s="1" t="e">
        <f>VLOOKUP(C:C,[1]基础信息!B$1:E$65536,4,0)</f>
        <v>#N/A</v>
      </c>
      <c r="AN2283" s="1" t="e">
        <f>VLOOKUP(C:C,[1]基础信息!B$1:F$65536,5,0)</f>
        <v>#N/A</v>
      </c>
    </row>
    <row r="2284" spans="1:40">
      <c r="A2284" s="1" t="s">
        <v>41</v>
      </c>
      <c r="B2284" s="1" t="s">
        <v>42</v>
      </c>
      <c r="C2284" s="1" t="s">
        <v>4273</v>
      </c>
      <c r="D2284" s="1" t="s">
        <v>4274</v>
      </c>
      <c r="E2284" s="1" t="s">
        <v>45</v>
      </c>
      <c r="F2284" s="1" t="s">
        <v>5277</v>
      </c>
      <c r="G2284" s="1" t="s">
        <v>5304</v>
      </c>
      <c r="H2284" s="1" t="s">
        <v>5305</v>
      </c>
      <c r="I2284" s="1" t="s">
        <v>49</v>
      </c>
      <c r="J2284" s="1" t="s">
        <v>48</v>
      </c>
      <c r="K2284" s="1">
        <v>840</v>
      </c>
      <c r="L2284" s="1">
        <v>0</v>
      </c>
      <c r="M2284" s="1">
        <v>0</v>
      </c>
      <c r="N2284" s="1">
        <v>840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 t="s">
        <v>49</v>
      </c>
      <c r="AA2284" s="1" t="s">
        <v>49</v>
      </c>
      <c r="AB2284" s="1" t="s">
        <v>49</v>
      </c>
      <c r="AC2284" s="1" t="s">
        <v>117</v>
      </c>
      <c r="AD2284" s="1" t="s">
        <v>118</v>
      </c>
      <c r="AE2284" s="1" t="s">
        <v>117</v>
      </c>
      <c r="AF2284" s="1" t="s">
        <v>5280</v>
      </c>
      <c r="AG2284" s="1" t="s">
        <v>53</v>
      </c>
      <c r="AH2284" s="1" t="s">
        <v>49</v>
      </c>
      <c r="AI2284" s="1" t="s">
        <v>54</v>
      </c>
      <c r="AJ2284" s="1">
        <v>1</v>
      </c>
      <c r="AK2284" s="1" t="str">
        <f t="shared" si="35"/>
        <v xml:space="preserve"> =&lt;90</v>
      </c>
      <c r="AL2284" s="1" t="e">
        <f>VLOOKUP(C:C,[1]基础信息!B$1:D$65536,3,0)</f>
        <v>#N/A</v>
      </c>
      <c r="AM2284" s="1" t="e">
        <f>VLOOKUP(C:C,[1]基础信息!B$1:E$65536,4,0)</f>
        <v>#N/A</v>
      </c>
      <c r="AN2284" s="1" t="e">
        <f>VLOOKUP(C:C,[1]基础信息!B$1:F$65536,5,0)</f>
        <v>#N/A</v>
      </c>
    </row>
    <row r="2285" spans="1:40">
      <c r="A2285" s="1" t="s">
        <v>41</v>
      </c>
      <c r="B2285" s="1" t="s">
        <v>42</v>
      </c>
      <c r="C2285" s="1" t="s">
        <v>5154</v>
      </c>
      <c r="D2285" s="1" t="s">
        <v>5155</v>
      </c>
      <c r="E2285" s="1" t="s">
        <v>45</v>
      </c>
      <c r="F2285" s="1" t="s">
        <v>5285</v>
      </c>
      <c r="G2285" s="1" t="s">
        <v>5306</v>
      </c>
      <c r="H2285" s="1" t="s">
        <v>5307</v>
      </c>
      <c r="I2285" s="1" t="s">
        <v>49</v>
      </c>
      <c r="J2285" s="1" t="s">
        <v>48</v>
      </c>
      <c r="K2285" s="1">
        <v>270</v>
      </c>
      <c r="L2285" s="1">
        <v>0</v>
      </c>
      <c r="M2285" s="1">
        <v>0</v>
      </c>
      <c r="N2285" s="1">
        <v>270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 t="s">
        <v>49</v>
      </c>
      <c r="AA2285" s="1" t="s">
        <v>49</v>
      </c>
      <c r="AB2285" s="1" t="s">
        <v>49</v>
      </c>
      <c r="AC2285" s="1" t="s">
        <v>5288</v>
      </c>
      <c r="AD2285" s="1" t="s">
        <v>5289</v>
      </c>
      <c r="AE2285" s="1" t="s">
        <v>5290</v>
      </c>
      <c r="AF2285" s="1" t="s">
        <v>5159</v>
      </c>
      <c r="AG2285" s="1" t="s">
        <v>53</v>
      </c>
      <c r="AH2285" s="1" t="s">
        <v>49</v>
      </c>
      <c r="AI2285" s="1" t="s">
        <v>54</v>
      </c>
      <c r="AJ2285" s="1">
        <v>1</v>
      </c>
      <c r="AK2285" s="1" t="str">
        <f t="shared" si="35"/>
        <v xml:space="preserve"> =&lt;90</v>
      </c>
      <c r="AL2285" s="1" t="e">
        <f>VLOOKUP(C:C,[1]基础信息!B$1:D$65536,3,0)</f>
        <v>#N/A</v>
      </c>
      <c r="AM2285" s="1" t="e">
        <f>VLOOKUP(C:C,[1]基础信息!B$1:E$65536,4,0)</f>
        <v>#N/A</v>
      </c>
      <c r="AN2285" s="1" t="e">
        <f>VLOOKUP(C:C,[1]基础信息!B$1:F$65536,5,0)</f>
        <v>#N/A</v>
      </c>
    </row>
    <row r="2286" spans="1:40">
      <c r="A2286" s="1" t="s">
        <v>41</v>
      </c>
      <c r="B2286" s="1" t="s">
        <v>42</v>
      </c>
      <c r="C2286" s="1" t="s">
        <v>4352</v>
      </c>
      <c r="D2286" s="1" t="s">
        <v>4353</v>
      </c>
      <c r="E2286" s="1" t="s">
        <v>45</v>
      </c>
      <c r="F2286" s="1" t="s">
        <v>5181</v>
      </c>
      <c r="G2286" s="1" t="s">
        <v>5308</v>
      </c>
      <c r="H2286" s="1" t="s">
        <v>5309</v>
      </c>
      <c r="I2286" s="1" t="s">
        <v>49</v>
      </c>
      <c r="J2286" s="1" t="s">
        <v>48</v>
      </c>
      <c r="K2286" s="1">
        <v>336</v>
      </c>
      <c r="L2286" s="1">
        <v>0</v>
      </c>
      <c r="M2286" s="1">
        <v>0</v>
      </c>
      <c r="N2286" s="1">
        <v>336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 t="s">
        <v>49</v>
      </c>
      <c r="AA2286" s="1" t="s">
        <v>49</v>
      </c>
      <c r="AB2286" s="1" t="s">
        <v>49</v>
      </c>
      <c r="AC2286" s="1" t="s">
        <v>5184</v>
      </c>
      <c r="AD2286" s="1" t="s">
        <v>5185</v>
      </c>
      <c r="AE2286" s="1" t="s">
        <v>5184</v>
      </c>
      <c r="AF2286" s="1" t="s">
        <v>5186</v>
      </c>
      <c r="AG2286" s="1" t="s">
        <v>53</v>
      </c>
      <c r="AH2286" s="1" t="s">
        <v>49</v>
      </c>
      <c r="AI2286" s="1" t="s">
        <v>54</v>
      </c>
      <c r="AJ2286" s="1">
        <v>1</v>
      </c>
      <c r="AK2286" s="1" t="str">
        <f t="shared" si="35"/>
        <v xml:space="preserve"> =&lt;90</v>
      </c>
      <c r="AL2286" s="1" t="e">
        <f>VLOOKUP(C:C,[1]基础信息!B$1:D$65536,3,0)</f>
        <v>#N/A</v>
      </c>
      <c r="AM2286" s="1" t="e">
        <f>VLOOKUP(C:C,[1]基础信息!B$1:E$65536,4,0)</f>
        <v>#N/A</v>
      </c>
      <c r="AN2286" s="1" t="e">
        <f>VLOOKUP(C:C,[1]基础信息!B$1:F$65536,5,0)</f>
        <v>#N/A</v>
      </c>
    </row>
    <row r="2287" spans="1:40">
      <c r="A2287" s="1" t="s">
        <v>41</v>
      </c>
      <c r="B2287" s="1" t="s">
        <v>42</v>
      </c>
      <c r="C2287" s="1" t="s">
        <v>4352</v>
      </c>
      <c r="D2287" s="1" t="s">
        <v>4353</v>
      </c>
      <c r="E2287" s="1" t="s">
        <v>45</v>
      </c>
      <c r="F2287" s="1" t="s">
        <v>5181</v>
      </c>
      <c r="G2287" s="1" t="s">
        <v>5310</v>
      </c>
      <c r="H2287" s="1" t="s">
        <v>5311</v>
      </c>
      <c r="I2287" s="1" t="s">
        <v>49</v>
      </c>
      <c r="J2287" s="1" t="s">
        <v>48</v>
      </c>
      <c r="K2287" s="1">
        <v>336</v>
      </c>
      <c r="L2287" s="1">
        <v>0</v>
      </c>
      <c r="M2287" s="1">
        <v>0</v>
      </c>
      <c r="N2287" s="1">
        <v>336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 t="s">
        <v>49</v>
      </c>
      <c r="AA2287" s="1" t="s">
        <v>49</v>
      </c>
      <c r="AB2287" s="1" t="s">
        <v>49</v>
      </c>
      <c r="AC2287" s="1" t="s">
        <v>5184</v>
      </c>
      <c r="AD2287" s="1" t="s">
        <v>5185</v>
      </c>
      <c r="AE2287" s="1" t="s">
        <v>5184</v>
      </c>
      <c r="AF2287" s="1" t="s">
        <v>5186</v>
      </c>
      <c r="AG2287" s="1" t="s">
        <v>53</v>
      </c>
      <c r="AH2287" s="1" t="s">
        <v>49</v>
      </c>
      <c r="AI2287" s="1" t="s">
        <v>54</v>
      </c>
      <c r="AJ2287" s="1">
        <v>1</v>
      </c>
      <c r="AK2287" s="1" t="str">
        <f t="shared" si="35"/>
        <v xml:space="preserve"> =&lt;90</v>
      </c>
      <c r="AL2287" s="1" t="e">
        <f>VLOOKUP(C:C,[1]基础信息!B$1:D$65536,3,0)</f>
        <v>#N/A</v>
      </c>
      <c r="AM2287" s="1" t="e">
        <f>VLOOKUP(C:C,[1]基础信息!B$1:E$65536,4,0)</f>
        <v>#N/A</v>
      </c>
      <c r="AN2287" s="1" t="e">
        <f>VLOOKUP(C:C,[1]基础信息!B$1:F$65536,5,0)</f>
        <v>#N/A</v>
      </c>
    </row>
    <row r="2288" spans="1:40">
      <c r="A2288" s="1" t="s">
        <v>41</v>
      </c>
      <c r="B2288" s="1" t="s">
        <v>42</v>
      </c>
      <c r="C2288" s="1" t="s">
        <v>3796</v>
      </c>
      <c r="D2288" s="1" t="s">
        <v>3797</v>
      </c>
      <c r="E2288" s="1" t="s">
        <v>3796</v>
      </c>
      <c r="F2288" s="1" t="s">
        <v>5312</v>
      </c>
      <c r="G2288" s="1" t="s">
        <v>5313</v>
      </c>
      <c r="H2288" s="1" t="s">
        <v>45</v>
      </c>
      <c r="I2288" s="1" t="s">
        <v>45</v>
      </c>
      <c r="J2288" s="1" t="s">
        <v>48</v>
      </c>
      <c r="K2288" s="1">
        <v>80</v>
      </c>
      <c r="L2288" s="1">
        <v>54</v>
      </c>
      <c r="M2288" s="1">
        <v>0</v>
      </c>
      <c r="N2288" s="1">
        <v>26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 t="s">
        <v>49</v>
      </c>
      <c r="AA2288" s="1" t="s">
        <v>49</v>
      </c>
      <c r="AB2288" s="1" t="s">
        <v>49</v>
      </c>
      <c r="AC2288" s="1" t="s">
        <v>5244</v>
      </c>
      <c r="AD2288" s="1" t="s">
        <v>5245</v>
      </c>
      <c r="AE2288" s="1" t="s">
        <v>5244</v>
      </c>
      <c r="AF2288" s="1" t="s">
        <v>4306</v>
      </c>
      <c r="AG2288" s="1" t="s">
        <v>338</v>
      </c>
      <c r="AH2288" s="1" t="s">
        <v>49</v>
      </c>
      <c r="AI2288" s="1" t="s">
        <v>54</v>
      </c>
      <c r="AJ2288" s="1">
        <v>1</v>
      </c>
      <c r="AK2288" s="1" t="str">
        <f t="shared" si="35"/>
        <v xml:space="preserve"> =&lt;90</v>
      </c>
      <c r="AL2288" s="1" t="str">
        <f>VLOOKUP(C:C,[1]基础信息!B$1:D$65536,3,0)</f>
        <v>Jug</v>
      </c>
      <c r="AM2288" s="1" t="str">
        <f>VLOOKUP(C:C,[1]基础信息!B$1:E$65536,4,0)</f>
        <v>Aluna</v>
      </c>
      <c r="AN2288" s="1" t="str">
        <f>VLOOKUP(C:C,[1]基础信息!B$1:F$65536,5,0)</f>
        <v>Blue</v>
      </c>
    </row>
    <row r="2289" spans="1:40">
      <c r="A2289" s="1" t="s">
        <v>41</v>
      </c>
      <c r="B2289" s="1" t="s">
        <v>42</v>
      </c>
      <c r="C2289" s="1" t="s">
        <v>451</v>
      </c>
      <c r="D2289" s="1" t="s">
        <v>452</v>
      </c>
      <c r="E2289" s="1" t="s">
        <v>45</v>
      </c>
      <c r="F2289" s="1" t="s">
        <v>5314</v>
      </c>
      <c r="G2289" s="1" t="s">
        <v>5315</v>
      </c>
      <c r="H2289" s="1" t="s">
        <v>45</v>
      </c>
      <c r="I2289" s="1" t="s">
        <v>45</v>
      </c>
      <c r="J2289" s="1" t="s">
        <v>48</v>
      </c>
      <c r="K2289" s="1">
        <v>1</v>
      </c>
      <c r="L2289" s="1">
        <v>0</v>
      </c>
      <c r="M2289" s="1">
        <v>0</v>
      </c>
      <c r="N2289" s="1">
        <v>1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 t="s">
        <v>49</v>
      </c>
      <c r="AA2289" s="1" t="s">
        <v>49</v>
      </c>
      <c r="AB2289" s="1" t="s">
        <v>49</v>
      </c>
      <c r="AC2289" s="1" t="s">
        <v>4224</v>
      </c>
      <c r="AD2289" s="1" t="s">
        <v>4225</v>
      </c>
      <c r="AE2289" s="1" t="s">
        <v>4224</v>
      </c>
      <c r="AF2289" s="1" t="s">
        <v>49</v>
      </c>
      <c r="AG2289" s="1" t="s">
        <v>53</v>
      </c>
      <c r="AH2289" s="1" t="s">
        <v>49</v>
      </c>
      <c r="AI2289" s="1" t="s">
        <v>54</v>
      </c>
      <c r="AJ2289" s="1">
        <v>1</v>
      </c>
      <c r="AK2289" s="1" t="str">
        <f t="shared" si="35"/>
        <v xml:space="preserve"> =&lt;90</v>
      </c>
      <c r="AL2289" s="1" t="str">
        <f>VLOOKUP(C:C,[1]基础信息!B$1:D$65536,3,0)</f>
        <v>UTS</v>
      </c>
      <c r="AM2289" s="1" t="str">
        <f>VLOOKUP(C:C,[1]基础信息!B$1:E$65536,4,0)</f>
        <v>MyPure</v>
      </c>
      <c r="AN2289" s="1" t="str">
        <f>VLOOKUP(C:C,[1]基础信息!B$1:F$65536,5,0)</f>
        <v>R8</v>
      </c>
    </row>
    <row r="2290" spans="1:40">
      <c r="A2290" s="1" t="s">
        <v>41</v>
      </c>
      <c r="B2290" s="1" t="s">
        <v>42</v>
      </c>
      <c r="C2290" s="1" t="s">
        <v>5154</v>
      </c>
      <c r="D2290" s="1" t="s">
        <v>5155</v>
      </c>
      <c r="E2290" s="1" t="s">
        <v>45</v>
      </c>
      <c r="F2290" s="1" t="s">
        <v>5285</v>
      </c>
      <c r="G2290" s="1" t="s">
        <v>5316</v>
      </c>
      <c r="H2290" s="1" t="s">
        <v>5317</v>
      </c>
      <c r="I2290" s="1" t="s">
        <v>49</v>
      </c>
      <c r="J2290" s="1" t="s">
        <v>48</v>
      </c>
      <c r="K2290" s="1">
        <v>270</v>
      </c>
      <c r="L2290" s="1">
        <v>0</v>
      </c>
      <c r="M2290" s="1">
        <v>0</v>
      </c>
      <c r="N2290" s="1">
        <v>270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 t="s">
        <v>49</v>
      </c>
      <c r="AA2290" s="1" t="s">
        <v>49</v>
      </c>
      <c r="AB2290" s="1" t="s">
        <v>49</v>
      </c>
      <c r="AC2290" s="1" t="s">
        <v>5288</v>
      </c>
      <c r="AD2290" s="1" t="s">
        <v>5289</v>
      </c>
      <c r="AE2290" s="1" t="s">
        <v>5290</v>
      </c>
      <c r="AF2290" s="1" t="s">
        <v>5159</v>
      </c>
      <c r="AG2290" s="1" t="s">
        <v>53</v>
      </c>
      <c r="AH2290" s="1" t="s">
        <v>49</v>
      </c>
      <c r="AI2290" s="1" t="s">
        <v>54</v>
      </c>
      <c r="AJ2290" s="1">
        <v>1</v>
      </c>
      <c r="AK2290" s="1" t="str">
        <f t="shared" si="35"/>
        <v xml:space="preserve"> =&lt;90</v>
      </c>
      <c r="AL2290" s="1" t="e">
        <f>VLOOKUP(C:C,[1]基础信息!B$1:D$65536,3,0)</f>
        <v>#N/A</v>
      </c>
      <c r="AM2290" s="1" t="e">
        <f>VLOOKUP(C:C,[1]基础信息!B$1:E$65536,4,0)</f>
        <v>#N/A</v>
      </c>
      <c r="AN2290" s="1" t="e">
        <f>VLOOKUP(C:C,[1]基础信息!B$1:F$65536,5,0)</f>
        <v>#N/A</v>
      </c>
    </row>
    <row r="2291" spans="1:40">
      <c r="A2291" s="1" t="s">
        <v>41</v>
      </c>
      <c r="B2291" s="1" t="s">
        <v>42</v>
      </c>
      <c r="C2291" s="1" t="s">
        <v>5154</v>
      </c>
      <c r="D2291" s="1" t="s">
        <v>5155</v>
      </c>
      <c r="E2291" s="1" t="s">
        <v>45</v>
      </c>
      <c r="F2291" s="1" t="s">
        <v>5285</v>
      </c>
      <c r="G2291" s="1" t="s">
        <v>5318</v>
      </c>
      <c r="H2291" s="1" t="s">
        <v>5319</v>
      </c>
      <c r="I2291" s="1" t="s">
        <v>49</v>
      </c>
      <c r="J2291" s="1" t="s">
        <v>48</v>
      </c>
      <c r="K2291" s="1">
        <v>270</v>
      </c>
      <c r="L2291" s="1">
        <v>0</v>
      </c>
      <c r="M2291" s="1">
        <v>0</v>
      </c>
      <c r="N2291" s="1">
        <v>270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 t="s">
        <v>49</v>
      </c>
      <c r="AA2291" s="1" t="s">
        <v>49</v>
      </c>
      <c r="AB2291" s="1" t="s">
        <v>49</v>
      </c>
      <c r="AC2291" s="1" t="s">
        <v>5288</v>
      </c>
      <c r="AD2291" s="1" t="s">
        <v>5289</v>
      </c>
      <c r="AE2291" s="1" t="s">
        <v>5290</v>
      </c>
      <c r="AF2291" s="1" t="s">
        <v>5159</v>
      </c>
      <c r="AG2291" s="1" t="s">
        <v>53</v>
      </c>
      <c r="AH2291" s="1" t="s">
        <v>49</v>
      </c>
      <c r="AI2291" s="1" t="s">
        <v>54</v>
      </c>
      <c r="AJ2291" s="1">
        <v>1</v>
      </c>
      <c r="AK2291" s="1" t="str">
        <f t="shared" si="35"/>
        <v xml:space="preserve"> =&lt;90</v>
      </c>
      <c r="AL2291" s="1" t="e">
        <f>VLOOKUP(C:C,[1]基础信息!B$1:D$65536,3,0)</f>
        <v>#N/A</v>
      </c>
      <c r="AM2291" s="1" t="e">
        <f>VLOOKUP(C:C,[1]基础信息!B$1:E$65536,4,0)</f>
        <v>#N/A</v>
      </c>
      <c r="AN2291" s="1" t="e">
        <f>VLOOKUP(C:C,[1]基础信息!B$1:F$65536,5,0)</f>
        <v>#N/A</v>
      </c>
    </row>
    <row r="2292" spans="1:40">
      <c r="A2292" s="1" t="s">
        <v>41</v>
      </c>
      <c r="B2292" s="1" t="s">
        <v>42</v>
      </c>
      <c r="C2292" s="1" t="s">
        <v>5154</v>
      </c>
      <c r="D2292" s="1" t="s">
        <v>5155</v>
      </c>
      <c r="E2292" s="1" t="s">
        <v>45</v>
      </c>
      <c r="F2292" s="1" t="s">
        <v>5285</v>
      </c>
      <c r="G2292" s="1" t="s">
        <v>5320</v>
      </c>
      <c r="H2292" s="1" t="s">
        <v>5321</v>
      </c>
      <c r="I2292" s="1" t="s">
        <v>49</v>
      </c>
      <c r="J2292" s="1" t="s">
        <v>48</v>
      </c>
      <c r="K2292" s="1">
        <v>270</v>
      </c>
      <c r="L2292" s="1">
        <v>0</v>
      </c>
      <c r="M2292" s="1">
        <v>0</v>
      </c>
      <c r="N2292" s="1">
        <v>270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 t="s">
        <v>49</v>
      </c>
      <c r="AA2292" s="1" t="s">
        <v>49</v>
      </c>
      <c r="AB2292" s="1" t="s">
        <v>49</v>
      </c>
      <c r="AC2292" s="1" t="s">
        <v>5288</v>
      </c>
      <c r="AD2292" s="1" t="s">
        <v>5289</v>
      </c>
      <c r="AE2292" s="1" t="s">
        <v>5290</v>
      </c>
      <c r="AF2292" s="1" t="s">
        <v>5159</v>
      </c>
      <c r="AG2292" s="1" t="s">
        <v>53</v>
      </c>
      <c r="AH2292" s="1" t="s">
        <v>49</v>
      </c>
      <c r="AI2292" s="1" t="s">
        <v>54</v>
      </c>
      <c r="AJ2292" s="1">
        <v>1</v>
      </c>
      <c r="AK2292" s="1" t="str">
        <f t="shared" si="35"/>
        <v xml:space="preserve"> =&lt;90</v>
      </c>
      <c r="AL2292" s="1" t="e">
        <f>VLOOKUP(C:C,[1]基础信息!B$1:D$65536,3,0)</f>
        <v>#N/A</v>
      </c>
      <c r="AM2292" s="1" t="e">
        <f>VLOOKUP(C:C,[1]基础信息!B$1:E$65536,4,0)</f>
        <v>#N/A</v>
      </c>
      <c r="AN2292" s="1" t="e">
        <f>VLOOKUP(C:C,[1]基础信息!B$1:F$65536,5,0)</f>
        <v>#N/A</v>
      </c>
    </row>
    <row r="2293" spans="1:40">
      <c r="A2293" s="1" t="s">
        <v>41</v>
      </c>
      <c r="B2293" s="1" t="s">
        <v>42</v>
      </c>
      <c r="C2293" s="1" t="s">
        <v>5154</v>
      </c>
      <c r="D2293" s="1" t="s">
        <v>5155</v>
      </c>
      <c r="E2293" s="1" t="s">
        <v>45</v>
      </c>
      <c r="F2293" s="1" t="s">
        <v>5285</v>
      </c>
      <c r="G2293" s="1" t="s">
        <v>5322</v>
      </c>
      <c r="H2293" s="1" t="s">
        <v>5323</v>
      </c>
      <c r="I2293" s="1" t="s">
        <v>49</v>
      </c>
      <c r="J2293" s="1" t="s">
        <v>48</v>
      </c>
      <c r="K2293" s="1">
        <v>270</v>
      </c>
      <c r="L2293" s="1">
        <v>0</v>
      </c>
      <c r="M2293" s="1">
        <v>0</v>
      </c>
      <c r="N2293" s="1">
        <v>270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 t="s">
        <v>49</v>
      </c>
      <c r="AA2293" s="1" t="s">
        <v>49</v>
      </c>
      <c r="AB2293" s="1" t="s">
        <v>49</v>
      </c>
      <c r="AC2293" s="1" t="s">
        <v>5288</v>
      </c>
      <c r="AD2293" s="1" t="s">
        <v>5289</v>
      </c>
      <c r="AE2293" s="1" t="s">
        <v>5290</v>
      </c>
      <c r="AF2293" s="1" t="s">
        <v>5159</v>
      </c>
      <c r="AG2293" s="1" t="s">
        <v>53</v>
      </c>
      <c r="AH2293" s="1" t="s">
        <v>49</v>
      </c>
      <c r="AI2293" s="1" t="s">
        <v>54</v>
      </c>
      <c r="AJ2293" s="1">
        <v>1</v>
      </c>
      <c r="AK2293" s="1" t="str">
        <f t="shared" si="35"/>
        <v xml:space="preserve"> =&lt;90</v>
      </c>
      <c r="AL2293" s="1" t="e">
        <f>VLOOKUP(C:C,[1]基础信息!B$1:D$65536,3,0)</f>
        <v>#N/A</v>
      </c>
      <c r="AM2293" s="1" t="e">
        <f>VLOOKUP(C:C,[1]基础信息!B$1:E$65536,4,0)</f>
        <v>#N/A</v>
      </c>
      <c r="AN2293" s="1" t="e">
        <f>VLOOKUP(C:C,[1]基础信息!B$1:F$65536,5,0)</f>
        <v>#N/A</v>
      </c>
    </row>
    <row r="2294" spans="1:40">
      <c r="A2294" s="1" t="s">
        <v>41</v>
      </c>
      <c r="B2294" s="1" t="s">
        <v>42</v>
      </c>
      <c r="C2294" s="1" t="s">
        <v>5154</v>
      </c>
      <c r="D2294" s="1" t="s">
        <v>5155</v>
      </c>
      <c r="E2294" s="1" t="s">
        <v>45</v>
      </c>
      <c r="F2294" s="1" t="s">
        <v>5285</v>
      </c>
      <c r="G2294" s="1" t="s">
        <v>5324</v>
      </c>
      <c r="H2294" s="1" t="s">
        <v>5325</v>
      </c>
      <c r="I2294" s="1" t="s">
        <v>49</v>
      </c>
      <c r="J2294" s="1" t="s">
        <v>48</v>
      </c>
      <c r="K2294" s="1">
        <v>270</v>
      </c>
      <c r="L2294" s="1">
        <v>0</v>
      </c>
      <c r="M2294" s="1">
        <v>0</v>
      </c>
      <c r="N2294" s="1">
        <v>270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 t="s">
        <v>49</v>
      </c>
      <c r="AA2294" s="1" t="s">
        <v>49</v>
      </c>
      <c r="AB2294" s="1" t="s">
        <v>49</v>
      </c>
      <c r="AC2294" s="1" t="s">
        <v>5288</v>
      </c>
      <c r="AD2294" s="1" t="s">
        <v>5289</v>
      </c>
      <c r="AE2294" s="1" t="s">
        <v>5290</v>
      </c>
      <c r="AF2294" s="1" t="s">
        <v>5159</v>
      </c>
      <c r="AG2294" s="1" t="s">
        <v>53</v>
      </c>
      <c r="AH2294" s="1" t="s">
        <v>49</v>
      </c>
      <c r="AI2294" s="1" t="s">
        <v>54</v>
      </c>
      <c r="AJ2294" s="1">
        <v>1</v>
      </c>
      <c r="AK2294" s="1" t="str">
        <f t="shared" si="35"/>
        <v xml:space="preserve"> =&lt;90</v>
      </c>
      <c r="AL2294" s="1" t="e">
        <f>VLOOKUP(C:C,[1]基础信息!B$1:D$65536,3,0)</f>
        <v>#N/A</v>
      </c>
      <c r="AM2294" s="1" t="e">
        <f>VLOOKUP(C:C,[1]基础信息!B$1:E$65536,4,0)</f>
        <v>#N/A</v>
      </c>
      <c r="AN2294" s="1" t="e">
        <f>VLOOKUP(C:C,[1]基础信息!B$1:F$65536,5,0)</f>
        <v>#N/A</v>
      </c>
    </row>
    <row r="2295" spans="1:40">
      <c r="A2295" s="1" t="s">
        <v>41</v>
      </c>
      <c r="B2295" s="1" t="s">
        <v>42</v>
      </c>
      <c r="C2295" s="1" t="s">
        <v>5154</v>
      </c>
      <c r="D2295" s="1" t="s">
        <v>5155</v>
      </c>
      <c r="E2295" s="1" t="s">
        <v>45</v>
      </c>
      <c r="F2295" s="1" t="s">
        <v>5285</v>
      </c>
      <c r="G2295" s="1" t="s">
        <v>5326</v>
      </c>
      <c r="H2295" s="1" t="s">
        <v>5327</v>
      </c>
      <c r="I2295" s="1" t="s">
        <v>49</v>
      </c>
      <c r="J2295" s="1" t="s">
        <v>48</v>
      </c>
      <c r="K2295" s="1">
        <v>270</v>
      </c>
      <c r="L2295" s="1">
        <v>0</v>
      </c>
      <c r="M2295" s="1">
        <v>0</v>
      </c>
      <c r="N2295" s="1">
        <v>270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 t="s">
        <v>49</v>
      </c>
      <c r="AA2295" s="1" t="s">
        <v>49</v>
      </c>
      <c r="AB2295" s="1" t="s">
        <v>49</v>
      </c>
      <c r="AC2295" s="1" t="s">
        <v>5288</v>
      </c>
      <c r="AD2295" s="1" t="s">
        <v>5289</v>
      </c>
      <c r="AE2295" s="1" t="s">
        <v>5290</v>
      </c>
      <c r="AF2295" s="1" t="s">
        <v>5159</v>
      </c>
      <c r="AG2295" s="1" t="s">
        <v>53</v>
      </c>
      <c r="AH2295" s="1" t="s">
        <v>49</v>
      </c>
      <c r="AI2295" s="1" t="s">
        <v>54</v>
      </c>
      <c r="AJ2295" s="1">
        <v>1</v>
      </c>
      <c r="AK2295" s="1" t="str">
        <f t="shared" si="35"/>
        <v xml:space="preserve"> =&lt;90</v>
      </c>
      <c r="AL2295" s="1" t="e">
        <f>VLOOKUP(C:C,[1]基础信息!B$1:D$65536,3,0)</f>
        <v>#N/A</v>
      </c>
      <c r="AM2295" s="1" t="e">
        <f>VLOOKUP(C:C,[1]基础信息!B$1:E$65536,4,0)</f>
        <v>#N/A</v>
      </c>
      <c r="AN2295" s="1" t="e">
        <f>VLOOKUP(C:C,[1]基础信息!B$1:F$65536,5,0)</f>
        <v>#N/A</v>
      </c>
    </row>
    <row r="2296" spans="1:40">
      <c r="A2296" s="1" t="s">
        <v>41</v>
      </c>
      <c r="B2296" s="1" t="s">
        <v>42</v>
      </c>
      <c r="C2296" s="1" t="s">
        <v>5154</v>
      </c>
      <c r="D2296" s="1" t="s">
        <v>5155</v>
      </c>
      <c r="E2296" s="1" t="s">
        <v>45</v>
      </c>
      <c r="F2296" s="1" t="s">
        <v>5285</v>
      </c>
      <c r="G2296" s="1" t="s">
        <v>5328</v>
      </c>
      <c r="H2296" s="1" t="s">
        <v>5329</v>
      </c>
      <c r="I2296" s="1" t="s">
        <v>49</v>
      </c>
      <c r="J2296" s="1" t="s">
        <v>48</v>
      </c>
      <c r="K2296" s="1">
        <v>270</v>
      </c>
      <c r="L2296" s="1">
        <v>0</v>
      </c>
      <c r="M2296" s="1">
        <v>0</v>
      </c>
      <c r="N2296" s="1">
        <v>270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 t="s">
        <v>49</v>
      </c>
      <c r="AA2296" s="1" t="s">
        <v>49</v>
      </c>
      <c r="AB2296" s="1" t="s">
        <v>49</v>
      </c>
      <c r="AC2296" s="1" t="s">
        <v>5288</v>
      </c>
      <c r="AD2296" s="1" t="s">
        <v>5289</v>
      </c>
      <c r="AE2296" s="1" t="s">
        <v>5290</v>
      </c>
      <c r="AF2296" s="1" t="s">
        <v>5159</v>
      </c>
      <c r="AG2296" s="1" t="s">
        <v>53</v>
      </c>
      <c r="AH2296" s="1" t="s">
        <v>49</v>
      </c>
      <c r="AI2296" s="1" t="s">
        <v>54</v>
      </c>
      <c r="AJ2296" s="1">
        <v>1</v>
      </c>
      <c r="AK2296" s="1" t="str">
        <f t="shared" si="35"/>
        <v xml:space="preserve"> =&lt;90</v>
      </c>
      <c r="AL2296" s="1" t="e">
        <f>VLOOKUP(C:C,[1]基础信息!B$1:D$65536,3,0)</f>
        <v>#N/A</v>
      </c>
      <c r="AM2296" s="1" t="e">
        <f>VLOOKUP(C:C,[1]基础信息!B$1:E$65536,4,0)</f>
        <v>#N/A</v>
      </c>
      <c r="AN2296" s="1" t="e">
        <f>VLOOKUP(C:C,[1]基础信息!B$1:F$65536,5,0)</f>
        <v>#N/A</v>
      </c>
    </row>
    <row r="2297" spans="1:40">
      <c r="A2297" s="1" t="s">
        <v>41</v>
      </c>
      <c r="B2297" s="1" t="s">
        <v>42</v>
      </c>
      <c r="C2297" s="1" t="s">
        <v>4245</v>
      </c>
      <c r="D2297" s="1" t="s">
        <v>4246</v>
      </c>
      <c r="E2297" s="1" t="s">
        <v>4245</v>
      </c>
      <c r="F2297" s="1" t="s">
        <v>5330</v>
      </c>
      <c r="G2297" s="1" t="s">
        <v>5331</v>
      </c>
      <c r="H2297" s="1" t="s">
        <v>5332</v>
      </c>
      <c r="I2297" s="1" t="s">
        <v>49</v>
      </c>
      <c r="J2297" s="1" t="s">
        <v>48</v>
      </c>
      <c r="K2297" s="1">
        <v>20</v>
      </c>
      <c r="L2297" s="1">
        <v>0</v>
      </c>
      <c r="M2297" s="1">
        <v>0</v>
      </c>
      <c r="N2297" s="1">
        <v>20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 t="s">
        <v>49</v>
      </c>
      <c r="AA2297" s="1" t="s">
        <v>49</v>
      </c>
      <c r="AB2297" s="1" t="s">
        <v>49</v>
      </c>
      <c r="AC2297" s="1" t="s">
        <v>98</v>
      </c>
      <c r="AD2297" s="1" t="s">
        <v>99</v>
      </c>
      <c r="AE2297" s="1" t="s">
        <v>100</v>
      </c>
      <c r="AF2297" s="1" t="s">
        <v>5333</v>
      </c>
      <c r="AG2297" s="1" t="s">
        <v>53</v>
      </c>
      <c r="AH2297" s="1" t="s">
        <v>49</v>
      </c>
      <c r="AI2297" s="1" t="s">
        <v>54</v>
      </c>
      <c r="AJ2297" s="1">
        <v>1</v>
      </c>
      <c r="AK2297" s="1" t="str">
        <f t="shared" si="35"/>
        <v xml:space="preserve"> =&lt;90</v>
      </c>
      <c r="AL2297" s="1" t="str">
        <f>VLOOKUP(C:C,[1]基础信息!B$1:D$65536,3,0)</f>
        <v>UTS</v>
      </c>
      <c r="AM2297" s="1" t="str">
        <f>VLOOKUP(C:C,[1]基础信息!B$1:E$65536,4,0)</f>
        <v>MyPure Pro</v>
      </c>
      <c r="AN2297" s="1" t="str">
        <f>VLOOKUP(C:C,[1]基础信息!B$1:F$65536,5,0)</f>
        <v>X9</v>
      </c>
    </row>
    <row r="2298" spans="1:40">
      <c r="A2298" s="1" t="s">
        <v>41</v>
      </c>
      <c r="B2298" s="1" t="s">
        <v>42</v>
      </c>
      <c r="C2298" s="1" t="s">
        <v>1437</v>
      </c>
      <c r="D2298" s="1" t="s">
        <v>1438</v>
      </c>
      <c r="E2298" s="1" t="s">
        <v>45</v>
      </c>
      <c r="F2298" s="1" t="s">
        <v>5334</v>
      </c>
      <c r="G2298" s="1" t="s">
        <v>5335</v>
      </c>
      <c r="H2298" s="1" t="s">
        <v>45</v>
      </c>
      <c r="I2298" s="1" t="s">
        <v>45</v>
      </c>
      <c r="J2298" s="1" t="s">
        <v>48</v>
      </c>
      <c r="K2298" s="1">
        <v>25</v>
      </c>
      <c r="L2298" s="1">
        <v>0</v>
      </c>
      <c r="M2298" s="1">
        <v>0</v>
      </c>
      <c r="N2298" s="1">
        <v>25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 t="s">
        <v>49</v>
      </c>
      <c r="AA2298" s="1" t="s">
        <v>49</v>
      </c>
      <c r="AB2298" s="1" t="s">
        <v>49</v>
      </c>
      <c r="AC2298" s="1" t="s">
        <v>1991</v>
      </c>
      <c r="AD2298" s="1" t="s">
        <v>1992</v>
      </c>
      <c r="AE2298" s="1" t="s">
        <v>4627</v>
      </c>
      <c r="AF2298" s="1" t="s">
        <v>5336</v>
      </c>
      <c r="AG2298" s="1" t="s">
        <v>53</v>
      </c>
      <c r="AH2298" s="1" t="s">
        <v>49</v>
      </c>
      <c r="AI2298" s="1" t="s">
        <v>54</v>
      </c>
      <c r="AJ2298" s="1">
        <v>1</v>
      </c>
      <c r="AK2298" s="1" t="str">
        <f t="shared" si="35"/>
        <v xml:space="preserve"> =&lt;90</v>
      </c>
      <c r="AL2298" s="1" t="str">
        <f>VLOOKUP(C:C,[1]基础信息!B$1:D$65536,3,0)</f>
        <v>On tap</v>
      </c>
      <c r="AM2298" s="1" t="str">
        <f>VLOOKUP(C:C,[1]基础信息!B$1:E$65536,4,0)</f>
        <v>On tap</v>
      </c>
      <c r="AN2298" s="1" t="str">
        <f>VLOOKUP(C:C,[1]基础信息!B$1:F$65536,5,0)</f>
        <v>On tap</v>
      </c>
    </row>
    <row r="2299" spans="1:40">
      <c r="A2299" s="1" t="s">
        <v>41</v>
      </c>
      <c r="B2299" s="1" t="s">
        <v>42</v>
      </c>
      <c r="C2299" s="1" t="s">
        <v>5154</v>
      </c>
      <c r="D2299" s="1" t="s">
        <v>5155</v>
      </c>
      <c r="E2299" s="1" t="s">
        <v>45</v>
      </c>
      <c r="F2299" s="1" t="s">
        <v>5285</v>
      </c>
      <c r="G2299" s="1" t="s">
        <v>5337</v>
      </c>
      <c r="H2299" s="1" t="s">
        <v>5338</v>
      </c>
      <c r="I2299" s="1" t="s">
        <v>49</v>
      </c>
      <c r="J2299" s="1" t="s">
        <v>48</v>
      </c>
      <c r="K2299" s="1">
        <v>270</v>
      </c>
      <c r="L2299" s="1">
        <v>0</v>
      </c>
      <c r="M2299" s="1">
        <v>0</v>
      </c>
      <c r="N2299" s="1">
        <v>270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 t="s">
        <v>49</v>
      </c>
      <c r="AA2299" s="1" t="s">
        <v>49</v>
      </c>
      <c r="AB2299" s="1" t="s">
        <v>49</v>
      </c>
      <c r="AC2299" s="1" t="s">
        <v>5288</v>
      </c>
      <c r="AD2299" s="1" t="s">
        <v>5289</v>
      </c>
      <c r="AE2299" s="1" t="s">
        <v>5290</v>
      </c>
      <c r="AF2299" s="1" t="s">
        <v>5159</v>
      </c>
      <c r="AG2299" s="1" t="s">
        <v>53</v>
      </c>
      <c r="AH2299" s="1" t="s">
        <v>49</v>
      </c>
      <c r="AI2299" s="1" t="s">
        <v>54</v>
      </c>
      <c r="AJ2299" s="1">
        <v>1</v>
      </c>
      <c r="AK2299" s="1" t="str">
        <f t="shared" si="35"/>
        <v xml:space="preserve"> =&lt;90</v>
      </c>
      <c r="AL2299" s="1" t="e">
        <f>VLOOKUP(C:C,[1]基础信息!B$1:D$65536,3,0)</f>
        <v>#N/A</v>
      </c>
      <c r="AM2299" s="1" t="e">
        <f>VLOOKUP(C:C,[1]基础信息!B$1:E$65536,4,0)</f>
        <v>#N/A</v>
      </c>
      <c r="AN2299" s="1" t="e">
        <f>VLOOKUP(C:C,[1]基础信息!B$1:F$65536,5,0)</f>
        <v>#N/A</v>
      </c>
    </row>
    <row r="2300" spans="1:40">
      <c r="A2300" s="1" t="s">
        <v>41</v>
      </c>
      <c r="B2300" s="1" t="s">
        <v>42</v>
      </c>
      <c r="C2300" s="1" t="s">
        <v>3971</v>
      </c>
      <c r="D2300" s="1" t="s">
        <v>3972</v>
      </c>
      <c r="E2300" s="1" t="s">
        <v>45</v>
      </c>
      <c r="F2300" s="1" t="s">
        <v>5149</v>
      </c>
      <c r="G2300" s="1" t="s">
        <v>5339</v>
      </c>
      <c r="H2300" s="1" t="s">
        <v>5340</v>
      </c>
      <c r="I2300" s="1" t="s">
        <v>49</v>
      </c>
      <c r="J2300" s="1" t="s">
        <v>48</v>
      </c>
      <c r="K2300" s="1">
        <v>96</v>
      </c>
      <c r="L2300" s="1">
        <v>0</v>
      </c>
      <c r="M2300" s="1">
        <v>0</v>
      </c>
      <c r="N2300" s="1">
        <v>96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 t="s">
        <v>49</v>
      </c>
      <c r="AA2300" s="1" t="s">
        <v>49</v>
      </c>
      <c r="AB2300" s="1" t="s">
        <v>49</v>
      </c>
      <c r="AC2300" s="1" t="s">
        <v>88</v>
      </c>
      <c r="AD2300" s="1" t="s">
        <v>89</v>
      </c>
      <c r="AE2300" s="1" t="s">
        <v>88</v>
      </c>
      <c r="AF2300" s="1" t="s">
        <v>3349</v>
      </c>
      <c r="AG2300" s="1" t="s">
        <v>53</v>
      </c>
      <c r="AH2300" s="1" t="s">
        <v>49</v>
      </c>
      <c r="AI2300" s="1" t="s">
        <v>54</v>
      </c>
      <c r="AJ2300" s="1">
        <v>1</v>
      </c>
      <c r="AK2300" s="1" t="str">
        <f t="shared" si="35"/>
        <v xml:space="preserve"> =&lt;90</v>
      </c>
      <c r="AL2300" s="1" t="str">
        <f>VLOOKUP(C:C,[1]基础信息!B$1:D$65536,3,0)</f>
        <v>Jug</v>
      </c>
      <c r="AM2300" s="1" t="str">
        <f>VLOOKUP(C:C,[1]基础信息!B$1:E$65536,4,0)</f>
        <v>Mxplus</v>
      </c>
      <c r="AN2300" s="1" t="str">
        <f>VLOOKUP(C:C,[1]基础信息!B$1:F$65536,5,0)</f>
        <v xml:space="preserve"> lime</v>
      </c>
    </row>
    <row r="2301" spans="1:40">
      <c r="A2301" s="1" t="s">
        <v>41</v>
      </c>
      <c r="B2301" s="1" t="s">
        <v>42</v>
      </c>
      <c r="C2301" s="1" t="s">
        <v>5154</v>
      </c>
      <c r="D2301" s="1" t="s">
        <v>5155</v>
      </c>
      <c r="E2301" s="1" t="s">
        <v>45</v>
      </c>
      <c r="F2301" s="1" t="s">
        <v>5285</v>
      </c>
      <c r="G2301" s="1" t="s">
        <v>5341</v>
      </c>
      <c r="H2301" s="1" t="s">
        <v>5342</v>
      </c>
      <c r="I2301" s="1" t="s">
        <v>49</v>
      </c>
      <c r="J2301" s="1" t="s">
        <v>48</v>
      </c>
      <c r="K2301" s="1">
        <v>270</v>
      </c>
      <c r="L2301" s="1">
        <v>0</v>
      </c>
      <c r="M2301" s="1">
        <v>0</v>
      </c>
      <c r="N2301" s="1">
        <v>270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 t="s">
        <v>49</v>
      </c>
      <c r="AA2301" s="1" t="s">
        <v>49</v>
      </c>
      <c r="AB2301" s="1" t="s">
        <v>49</v>
      </c>
      <c r="AC2301" s="1" t="s">
        <v>5288</v>
      </c>
      <c r="AD2301" s="1" t="s">
        <v>5289</v>
      </c>
      <c r="AE2301" s="1" t="s">
        <v>5290</v>
      </c>
      <c r="AF2301" s="1" t="s">
        <v>5159</v>
      </c>
      <c r="AG2301" s="1" t="s">
        <v>53</v>
      </c>
      <c r="AH2301" s="1" t="s">
        <v>49</v>
      </c>
      <c r="AI2301" s="1" t="s">
        <v>54</v>
      </c>
      <c r="AJ2301" s="1">
        <v>1</v>
      </c>
      <c r="AK2301" s="1" t="str">
        <f t="shared" si="35"/>
        <v xml:space="preserve"> =&lt;90</v>
      </c>
      <c r="AL2301" s="1" t="e">
        <f>VLOOKUP(C:C,[1]基础信息!B$1:D$65536,3,0)</f>
        <v>#N/A</v>
      </c>
      <c r="AM2301" s="1" t="e">
        <f>VLOOKUP(C:C,[1]基础信息!B$1:E$65536,4,0)</f>
        <v>#N/A</v>
      </c>
      <c r="AN2301" s="1" t="e">
        <f>VLOOKUP(C:C,[1]基础信息!B$1:F$65536,5,0)</f>
        <v>#N/A</v>
      </c>
    </row>
    <row r="2302" spans="1:40">
      <c r="A2302" s="1" t="s">
        <v>41</v>
      </c>
      <c r="B2302" s="1" t="s">
        <v>42</v>
      </c>
      <c r="C2302" s="1" t="s">
        <v>5154</v>
      </c>
      <c r="D2302" s="1" t="s">
        <v>5155</v>
      </c>
      <c r="E2302" s="1" t="s">
        <v>45</v>
      </c>
      <c r="F2302" s="1" t="s">
        <v>5285</v>
      </c>
      <c r="G2302" s="1" t="s">
        <v>5343</v>
      </c>
      <c r="H2302" s="1" t="s">
        <v>5344</v>
      </c>
      <c r="I2302" s="1" t="s">
        <v>49</v>
      </c>
      <c r="J2302" s="1" t="s">
        <v>48</v>
      </c>
      <c r="K2302" s="1">
        <v>270</v>
      </c>
      <c r="L2302" s="1">
        <v>0</v>
      </c>
      <c r="M2302" s="1">
        <v>0</v>
      </c>
      <c r="N2302" s="1">
        <v>270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 t="s">
        <v>49</v>
      </c>
      <c r="AA2302" s="1" t="s">
        <v>49</v>
      </c>
      <c r="AB2302" s="1" t="s">
        <v>49</v>
      </c>
      <c r="AC2302" s="1" t="s">
        <v>5288</v>
      </c>
      <c r="AD2302" s="1" t="s">
        <v>5289</v>
      </c>
      <c r="AE2302" s="1" t="s">
        <v>5290</v>
      </c>
      <c r="AF2302" s="1" t="s">
        <v>5159</v>
      </c>
      <c r="AG2302" s="1" t="s">
        <v>53</v>
      </c>
      <c r="AH2302" s="1" t="s">
        <v>49</v>
      </c>
      <c r="AI2302" s="1" t="s">
        <v>54</v>
      </c>
      <c r="AJ2302" s="1">
        <v>1</v>
      </c>
      <c r="AK2302" s="1" t="str">
        <f t="shared" si="35"/>
        <v xml:space="preserve"> =&lt;90</v>
      </c>
      <c r="AL2302" s="1" t="e">
        <f>VLOOKUP(C:C,[1]基础信息!B$1:D$65536,3,0)</f>
        <v>#N/A</v>
      </c>
      <c r="AM2302" s="1" t="e">
        <f>VLOOKUP(C:C,[1]基础信息!B$1:E$65536,4,0)</f>
        <v>#N/A</v>
      </c>
      <c r="AN2302" s="1" t="e">
        <f>VLOOKUP(C:C,[1]基础信息!B$1:F$65536,5,0)</f>
        <v>#N/A</v>
      </c>
    </row>
    <row r="2303" spans="1:40">
      <c r="A2303" s="1" t="s">
        <v>41</v>
      </c>
      <c r="B2303" s="1" t="s">
        <v>42</v>
      </c>
      <c r="C2303" s="1" t="s">
        <v>5254</v>
      </c>
      <c r="D2303" s="1" t="s">
        <v>5255</v>
      </c>
      <c r="E2303" s="1" t="s">
        <v>45</v>
      </c>
      <c r="F2303" s="1" t="s">
        <v>5345</v>
      </c>
      <c r="G2303" s="1" t="s">
        <v>5346</v>
      </c>
      <c r="H2303" s="1" t="s">
        <v>5347</v>
      </c>
      <c r="I2303" s="1" t="s">
        <v>49</v>
      </c>
      <c r="J2303" s="1" t="s">
        <v>48</v>
      </c>
      <c r="K2303" s="1">
        <v>2200</v>
      </c>
      <c r="L2303" s="1">
        <v>0</v>
      </c>
      <c r="M2303" s="1">
        <v>0</v>
      </c>
      <c r="N2303" s="1">
        <v>2200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 t="s">
        <v>49</v>
      </c>
      <c r="AA2303" s="1" t="s">
        <v>49</v>
      </c>
      <c r="AB2303" s="1" t="s">
        <v>49</v>
      </c>
      <c r="AC2303" s="1" t="s">
        <v>5348</v>
      </c>
      <c r="AD2303" s="1" t="s">
        <v>5349</v>
      </c>
      <c r="AE2303" s="1" t="s">
        <v>5350</v>
      </c>
      <c r="AF2303" s="1" t="s">
        <v>5351</v>
      </c>
      <c r="AG2303" s="1" t="s">
        <v>53</v>
      </c>
      <c r="AH2303" s="1" t="s">
        <v>49</v>
      </c>
      <c r="AI2303" s="1" t="s">
        <v>54</v>
      </c>
      <c r="AJ2303" s="1">
        <v>1</v>
      </c>
      <c r="AK2303" s="1" t="str">
        <f t="shared" si="35"/>
        <v xml:space="preserve"> =&lt;90</v>
      </c>
      <c r="AL2303" s="1" t="str">
        <f>VLOOKUP(C:C,[1]基础信息!B$1:D$65536,3,0)</f>
        <v xml:space="preserve">Cartridge </v>
      </c>
      <c r="AM2303" s="1" t="str">
        <f>VLOOKUP(C:C,[1]基础信息!B$1:E$65536,4,0)</f>
        <v>UNIV</v>
      </c>
      <c r="AN2303" s="1" t="str">
        <f>VLOOKUP(C:C,[1]基础信息!B$1:F$65536,5,0)</f>
        <v>P55</v>
      </c>
    </row>
    <row r="2304" spans="1:40">
      <c r="A2304" s="1" t="s">
        <v>41</v>
      </c>
      <c r="B2304" s="1" t="s">
        <v>42</v>
      </c>
      <c r="C2304" s="1" t="s">
        <v>4352</v>
      </c>
      <c r="D2304" s="1" t="s">
        <v>4353</v>
      </c>
      <c r="E2304" s="1" t="s">
        <v>45</v>
      </c>
      <c r="F2304" s="1" t="s">
        <v>5181</v>
      </c>
      <c r="G2304" s="1" t="s">
        <v>5352</v>
      </c>
      <c r="H2304" s="1" t="s">
        <v>5353</v>
      </c>
      <c r="I2304" s="1" t="s">
        <v>49</v>
      </c>
      <c r="J2304" s="1" t="s">
        <v>48</v>
      </c>
      <c r="K2304" s="1">
        <v>336</v>
      </c>
      <c r="L2304" s="1">
        <v>0</v>
      </c>
      <c r="M2304" s="1">
        <v>0</v>
      </c>
      <c r="N2304" s="1">
        <v>336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 t="s">
        <v>49</v>
      </c>
      <c r="AA2304" s="1" t="s">
        <v>49</v>
      </c>
      <c r="AB2304" s="1" t="s">
        <v>49</v>
      </c>
      <c r="AC2304" s="1" t="s">
        <v>5184</v>
      </c>
      <c r="AD2304" s="1" t="s">
        <v>5185</v>
      </c>
      <c r="AE2304" s="1" t="s">
        <v>5184</v>
      </c>
      <c r="AF2304" s="1" t="s">
        <v>5186</v>
      </c>
      <c r="AG2304" s="1" t="s">
        <v>53</v>
      </c>
      <c r="AH2304" s="1" t="s">
        <v>49</v>
      </c>
      <c r="AI2304" s="1" t="s">
        <v>54</v>
      </c>
      <c r="AJ2304" s="1">
        <v>1</v>
      </c>
      <c r="AK2304" s="1" t="str">
        <f t="shared" si="35"/>
        <v xml:space="preserve"> =&lt;90</v>
      </c>
      <c r="AL2304" s="1" t="e">
        <f>VLOOKUP(C:C,[1]基础信息!B$1:D$65536,3,0)</f>
        <v>#N/A</v>
      </c>
      <c r="AM2304" s="1" t="e">
        <f>VLOOKUP(C:C,[1]基础信息!B$1:E$65536,4,0)</f>
        <v>#N/A</v>
      </c>
      <c r="AN2304" s="1" t="e">
        <f>VLOOKUP(C:C,[1]基础信息!B$1:F$65536,5,0)</f>
        <v>#N/A</v>
      </c>
    </row>
    <row r="2305" spans="1:40">
      <c r="A2305" s="1" t="s">
        <v>41</v>
      </c>
      <c r="B2305" s="1" t="s">
        <v>42</v>
      </c>
      <c r="C2305" s="1" t="s">
        <v>5154</v>
      </c>
      <c r="D2305" s="1" t="s">
        <v>5155</v>
      </c>
      <c r="E2305" s="1" t="s">
        <v>45</v>
      </c>
      <c r="F2305" s="1" t="s">
        <v>5285</v>
      </c>
      <c r="G2305" s="1" t="s">
        <v>5354</v>
      </c>
      <c r="H2305" s="1" t="s">
        <v>5355</v>
      </c>
      <c r="I2305" s="1" t="s">
        <v>49</v>
      </c>
      <c r="J2305" s="1" t="s">
        <v>48</v>
      </c>
      <c r="K2305" s="1">
        <v>270</v>
      </c>
      <c r="L2305" s="1">
        <v>0</v>
      </c>
      <c r="M2305" s="1">
        <v>0</v>
      </c>
      <c r="N2305" s="1">
        <v>270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 t="s">
        <v>49</v>
      </c>
      <c r="AA2305" s="1" t="s">
        <v>49</v>
      </c>
      <c r="AB2305" s="1" t="s">
        <v>49</v>
      </c>
      <c r="AC2305" s="1" t="s">
        <v>5288</v>
      </c>
      <c r="AD2305" s="1" t="s">
        <v>5289</v>
      </c>
      <c r="AE2305" s="1" t="s">
        <v>5290</v>
      </c>
      <c r="AF2305" s="1" t="s">
        <v>5159</v>
      </c>
      <c r="AG2305" s="1" t="s">
        <v>53</v>
      </c>
      <c r="AH2305" s="1" t="s">
        <v>49</v>
      </c>
      <c r="AI2305" s="1" t="s">
        <v>54</v>
      </c>
      <c r="AJ2305" s="1">
        <v>1</v>
      </c>
      <c r="AK2305" s="1" t="str">
        <f t="shared" si="35"/>
        <v xml:space="preserve"> =&lt;90</v>
      </c>
      <c r="AL2305" s="1" t="e">
        <f>VLOOKUP(C:C,[1]基础信息!B$1:D$65536,3,0)</f>
        <v>#N/A</v>
      </c>
      <c r="AM2305" s="1" t="e">
        <f>VLOOKUP(C:C,[1]基础信息!B$1:E$65536,4,0)</f>
        <v>#N/A</v>
      </c>
      <c r="AN2305" s="1" t="e">
        <f>VLOOKUP(C:C,[1]基础信息!B$1:F$65536,5,0)</f>
        <v>#N/A</v>
      </c>
    </row>
    <row r="2306" spans="1:40">
      <c r="A2306" s="1" t="s">
        <v>41</v>
      </c>
      <c r="B2306" s="1" t="s">
        <v>42</v>
      </c>
      <c r="C2306" s="1" t="s">
        <v>4273</v>
      </c>
      <c r="D2306" s="1" t="s">
        <v>4274</v>
      </c>
      <c r="E2306" s="1" t="s">
        <v>45</v>
      </c>
      <c r="F2306" s="1" t="s">
        <v>5277</v>
      </c>
      <c r="G2306" s="1" t="s">
        <v>5356</v>
      </c>
      <c r="H2306" s="1" t="s">
        <v>5357</v>
      </c>
      <c r="I2306" s="1" t="s">
        <v>49</v>
      </c>
      <c r="J2306" s="1" t="s">
        <v>48</v>
      </c>
      <c r="K2306" s="1">
        <v>840</v>
      </c>
      <c r="L2306" s="1">
        <v>0</v>
      </c>
      <c r="M2306" s="1">
        <v>0</v>
      </c>
      <c r="N2306" s="1">
        <v>840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 t="s">
        <v>49</v>
      </c>
      <c r="AA2306" s="1" t="s">
        <v>49</v>
      </c>
      <c r="AB2306" s="1" t="s">
        <v>49</v>
      </c>
      <c r="AC2306" s="1" t="s">
        <v>117</v>
      </c>
      <c r="AD2306" s="1" t="s">
        <v>118</v>
      </c>
      <c r="AE2306" s="1" t="s">
        <v>117</v>
      </c>
      <c r="AF2306" s="1" t="s">
        <v>5280</v>
      </c>
      <c r="AG2306" s="1" t="s">
        <v>53</v>
      </c>
      <c r="AH2306" s="1" t="s">
        <v>49</v>
      </c>
      <c r="AI2306" s="1" t="s">
        <v>54</v>
      </c>
      <c r="AJ2306" s="1">
        <v>1</v>
      </c>
      <c r="AK2306" s="1" t="str">
        <f t="shared" ref="AK2306:AK2369" si="36">IF(AJ2306&gt;$AP$2,$AQ$2,IF(AJ2306&gt;$AP$3,$AQ$3,IF(AJ2306&gt;$AP$4,$AQ$4,$AQ$5)))</f>
        <v xml:space="preserve"> =&lt;90</v>
      </c>
      <c r="AL2306" s="1" t="e">
        <f>VLOOKUP(C:C,[1]基础信息!B$1:D$65536,3,0)</f>
        <v>#N/A</v>
      </c>
      <c r="AM2306" s="1" t="e">
        <f>VLOOKUP(C:C,[1]基础信息!B$1:E$65536,4,0)</f>
        <v>#N/A</v>
      </c>
      <c r="AN2306" s="1" t="e">
        <f>VLOOKUP(C:C,[1]基础信息!B$1:F$65536,5,0)</f>
        <v>#N/A</v>
      </c>
    </row>
    <row r="2307" spans="1:40">
      <c r="A2307" s="1" t="s">
        <v>41</v>
      </c>
      <c r="B2307" s="1" t="s">
        <v>42</v>
      </c>
      <c r="C2307" s="1" t="s">
        <v>4273</v>
      </c>
      <c r="D2307" s="1" t="s">
        <v>4274</v>
      </c>
      <c r="E2307" s="1" t="s">
        <v>45</v>
      </c>
      <c r="F2307" s="1" t="s">
        <v>5277</v>
      </c>
      <c r="G2307" s="1" t="s">
        <v>5358</v>
      </c>
      <c r="H2307" s="1" t="s">
        <v>5359</v>
      </c>
      <c r="I2307" s="1" t="s">
        <v>49</v>
      </c>
      <c r="J2307" s="1" t="s">
        <v>48</v>
      </c>
      <c r="K2307" s="1">
        <v>840</v>
      </c>
      <c r="L2307" s="1">
        <v>0</v>
      </c>
      <c r="M2307" s="1">
        <v>0</v>
      </c>
      <c r="N2307" s="1">
        <v>840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 t="s">
        <v>49</v>
      </c>
      <c r="AA2307" s="1" t="s">
        <v>49</v>
      </c>
      <c r="AB2307" s="1" t="s">
        <v>49</v>
      </c>
      <c r="AC2307" s="1" t="s">
        <v>117</v>
      </c>
      <c r="AD2307" s="1" t="s">
        <v>118</v>
      </c>
      <c r="AE2307" s="1" t="s">
        <v>117</v>
      </c>
      <c r="AF2307" s="1" t="s">
        <v>5280</v>
      </c>
      <c r="AG2307" s="1" t="s">
        <v>53</v>
      </c>
      <c r="AH2307" s="1" t="s">
        <v>49</v>
      </c>
      <c r="AI2307" s="1" t="s">
        <v>54</v>
      </c>
      <c r="AJ2307" s="1">
        <v>1</v>
      </c>
      <c r="AK2307" s="1" t="str">
        <f t="shared" si="36"/>
        <v xml:space="preserve"> =&lt;90</v>
      </c>
      <c r="AL2307" s="1" t="e">
        <f>VLOOKUP(C:C,[1]基础信息!B$1:D$65536,3,0)</f>
        <v>#N/A</v>
      </c>
      <c r="AM2307" s="1" t="e">
        <f>VLOOKUP(C:C,[1]基础信息!B$1:E$65536,4,0)</f>
        <v>#N/A</v>
      </c>
      <c r="AN2307" s="1" t="e">
        <f>VLOOKUP(C:C,[1]基础信息!B$1:F$65536,5,0)</f>
        <v>#N/A</v>
      </c>
    </row>
    <row r="2308" spans="1:40">
      <c r="A2308" s="1" t="s">
        <v>41</v>
      </c>
      <c r="B2308" s="1" t="s">
        <v>42</v>
      </c>
      <c r="C2308" s="1" t="s">
        <v>4273</v>
      </c>
      <c r="D2308" s="1" t="s">
        <v>4274</v>
      </c>
      <c r="E2308" s="1" t="s">
        <v>45</v>
      </c>
      <c r="F2308" s="1" t="s">
        <v>5277</v>
      </c>
      <c r="G2308" s="1" t="s">
        <v>5360</v>
      </c>
      <c r="H2308" s="1" t="s">
        <v>5361</v>
      </c>
      <c r="I2308" s="1" t="s">
        <v>49</v>
      </c>
      <c r="J2308" s="1" t="s">
        <v>48</v>
      </c>
      <c r="K2308" s="1">
        <v>840</v>
      </c>
      <c r="L2308" s="1">
        <v>0</v>
      </c>
      <c r="M2308" s="1">
        <v>0</v>
      </c>
      <c r="N2308" s="1">
        <v>840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 t="s">
        <v>49</v>
      </c>
      <c r="AA2308" s="1" t="s">
        <v>49</v>
      </c>
      <c r="AB2308" s="1" t="s">
        <v>49</v>
      </c>
      <c r="AC2308" s="1" t="s">
        <v>117</v>
      </c>
      <c r="AD2308" s="1" t="s">
        <v>118</v>
      </c>
      <c r="AE2308" s="1" t="s">
        <v>117</v>
      </c>
      <c r="AF2308" s="1" t="s">
        <v>5280</v>
      </c>
      <c r="AG2308" s="1" t="s">
        <v>53</v>
      </c>
      <c r="AH2308" s="1" t="s">
        <v>49</v>
      </c>
      <c r="AI2308" s="1" t="s">
        <v>54</v>
      </c>
      <c r="AJ2308" s="1">
        <v>1</v>
      </c>
      <c r="AK2308" s="1" t="str">
        <f t="shared" si="36"/>
        <v xml:space="preserve"> =&lt;90</v>
      </c>
      <c r="AL2308" s="1" t="e">
        <f>VLOOKUP(C:C,[1]基础信息!B$1:D$65536,3,0)</f>
        <v>#N/A</v>
      </c>
      <c r="AM2308" s="1" t="e">
        <f>VLOOKUP(C:C,[1]基础信息!B$1:E$65536,4,0)</f>
        <v>#N/A</v>
      </c>
      <c r="AN2308" s="1" t="e">
        <f>VLOOKUP(C:C,[1]基础信息!B$1:F$65536,5,0)</f>
        <v>#N/A</v>
      </c>
    </row>
    <row r="2309" spans="1:40">
      <c r="A2309" s="1" t="s">
        <v>41</v>
      </c>
      <c r="B2309" s="1" t="s">
        <v>42</v>
      </c>
      <c r="C2309" s="1" t="s">
        <v>4273</v>
      </c>
      <c r="D2309" s="1" t="s">
        <v>4274</v>
      </c>
      <c r="E2309" s="1" t="s">
        <v>45</v>
      </c>
      <c r="F2309" s="1" t="s">
        <v>5277</v>
      </c>
      <c r="G2309" s="1" t="s">
        <v>5362</v>
      </c>
      <c r="H2309" s="1" t="s">
        <v>5363</v>
      </c>
      <c r="I2309" s="1" t="s">
        <v>49</v>
      </c>
      <c r="J2309" s="1" t="s">
        <v>48</v>
      </c>
      <c r="K2309" s="1">
        <v>840</v>
      </c>
      <c r="L2309" s="1">
        <v>0</v>
      </c>
      <c r="M2309" s="1">
        <v>0</v>
      </c>
      <c r="N2309" s="1">
        <v>840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 t="s">
        <v>49</v>
      </c>
      <c r="AA2309" s="1" t="s">
        <v>49</v>
      </c>
      <c r="AB2309" s="1" t="s">
        <v>49</v>
      </c>
      <c r="AC2309" s="1" t="s">
        <v>117</v>
      </c>
      <c r="AD2309" s="1" t="s">
        <v>118</v>
      </c>
      <c r="AE2309" s="1" t="s">
        <v>117</v>
      </c>
      <c r="AF2309" s="1" t="s">
        <v>5280</v>
      </c>
      <c r="AG2309" s="1" t="s">
        <v>53</v>
      </c>
      <c r="AH2309" s="1" t="s">
        <v>49</v>
      </c>
      <c r="AI2309" s="1" t="s">
        <v>54</v>
      </c>
      <c r="AJ2309" s="1">
        <v>1</v>
      </c>
      <c r="AK2309" s="1" t="str">
        <f t="shared" si="36"/>
        <v xml:space="preserve"> =&lt;90</v>
      </c>
      <c r="AL2309" s="1" t="e">
        <f>VLOOKUP(C:C,[1]基础信息!B$1:D$65536,3,0)</f>
        <v>#N/A</v>
      </c>
      <c r="AM2309" s="1" t="e">
        <f>VLOOKUP(C:C,[1]基础信息!B$1:E$65536,4,0)</f>
        <v>#N/A</v>
      </c>
      <c r="AN2309" s="1" t="e">
        <f>VLOOKUP(C:C,[1]基础信息!B$1:F$65536,5,0)</f>
        <v>#N/A</v>
      </c>
    </row>
    <row r="2310" spans="1:40">
      <c r="A2310" s="1" t="s">
        <v>41</v>
      </c>
      <c r="B2310" s="1" t="s">
        <v>42</v>
      </c>
      <c r="C2310" s="1" t="s">
        <v>4352</v>
      </c>
      <c r="D2310" s="1" t="s">
        <v>4353</v>
      </c>
      <c r="E2310" s="1" t="s">
        <v>45</v>
      </c>
      <c r="F2310" s="1" t="s">
        <v>5181</v>
      </c>
      <c r="G2310" s="1" t="s">
        <v>5364</v>
      </c>
      <c r="H2310" s="1" t="s">
        <v>5365</v>
      </c>
      <c r="I2310" s="1" t="s">
        <v>49</v>
      </c>
      <c r="J2310" s="1" t="s">
        <v>48</v>
      </c>
      <c r="K2310" s="1">
        <v>336</v>
      </c>
      <c r="L2310" s="1">
        <v>0</v>
      </c>
      <c r="M2310" s="1">
        <v>0</v>
      </c>
      <c r="N2310" s="1">
        <v>336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 t="s">
        <v>49</v>
      </c>
      <c r="AA2310" s="1" t="s">
        <v>49</v>
      </c>
      <c r="AB2310" s="1" t="s">
        <v>49</v>
      </c>
      <c r="AC2310" s="1" t="s">
        <v>5184</v>
      </c>
      <c r="AD2310" s="1" t="s">
        <v>5185</v>
      </c>
      <c r="AE2310" s="1" t="s">
        <v>5184</v>
      </c>
      <c r="AF2310" s="1" t="s">
        <v>5186</v>
      </c>
      <c r="AG2310" s="1" t="s">
        <v>53</v>
      </c>
      <c r="AH2310" s="1" t="s">
        <v>49</v>
      </c>
      <c r="AI2310" s="1" t="s">
        <v>54</v>
      </c>
      <c r="AJ2310" s="1">
        <v>1</v>
      </c>
      <c r="AK2310" s="1" t="str">
        <f t="shared" si="36"/>
        <v xml:space="preserve"> =&lt;90</v>
      </c>
      <c r="AL2310" s="1" t="e">
        <f>VLOOKUP(C:C,[1]基础信息!B$1:D$65536,3,0)</f>
        <v>#N/A</v>
      </c>
      <c r="AM2310" s="1" t="e">
        <f>VLOOKUP(C:C,[1]基础信息!B$1:E$65536,4,0)</f>
        <v>#N/A</v>
      </c>
      <c r="AN2310" s="1" t="e">
        <f>VLOOKUP(C:C,[1]基础信息!B$1:F$65536,5,0)</f>
        <v>#N/A</v>
      </c>
    </row>
    <row r="2311" spans="1:40">
      <c r="A2311" s="1" t="s">
        <v>41</v>
      </c>
      <c r="B2311" s="1" t="s">
        <v>42</v>
      </c>
      <c r="C2311" s="1" t="s">
        <v>4352</v>
      </c>
      <c r="D2311" s="1" t="s">
        <v>4353</v>
      </c>
      <c r="E2311" s="1" t="s">
        <v>45</v>
      </c>
      <c r="F2311" s="1" t="s">
        <v>5181</v>
      </c>
      <c r="G2311" s="1" t="s">
        <v>5366</v>
      </c>
      <c r="H2311" s="1" t="s">
        <v>5367</v>
      </c>
      <c r="I2311" s="1" t="s">
        <v>49</v>
      </c>
      <c r="J2311" s="1" t="s">
        <v>48</v>
      </c>
      <c r="K2311" s="1">
        <v>336</v>
      </c>
      <c r="L2311" s="1">
        <v>0</v>
      </c>
      <c r="M2311" s="1">
        <v>0</v>
      </c>
      <c r="N2311" s="1">
        <v>336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 t="s">
        <v>49</v>
      </c>
      <c r="AA2311" s="1" t="s">
        <v>49</v>
      </c>
      <c r="AB2311" s="1" t="s">
        <v>49</v>
      </c>
      <c r="AC2311" s="1" t="s">
        <v>5184</v>
      </c>
      <c r="AD2311" s="1" t="s">
        <v>5185</v>
      </c>
      <c r="AE2311" s="1" t="s">
        <v>5184</v>
      </c>
      <c r="AF2311" s="1" t="s">
        <v>5186</v>
      </c>
      <c r="AG2311" s="1" t="s">
        <v>53</v>
      </c>
      <c r="AH2311" s="1" t="s">
        <v>49</v>
      </c>
      <c r="AI2311" s="1" t="s">
        <v>54</v>
      </c>
      <c r="AJ2311" s="1">
        <v>1</v>
      </c>
      <c r="AK2311" s="1" t="str">
        <f t="shared" si="36"/>
        <v xml:space="preserve"> =&lt;90</v>
      </c>
      <c r="AL2311" s="1" t="e">
        <f>VLOOKUP(C:C,[1]基础信息!B$1:D$65536,3,0)</f>
        <v>#N/A</v>
      </c>
      <c r="AM2311" s="1" t="e">
        <f>VLOOKUP(C:C,[1]基础信息!B$1:E$65536,4,0)</f>
        <v>#N/A</v>
      </c>
      <c r="AN2311" s="1" t="e">
        <f>VLOOKUP(C:C,[1]基础信息!B$1:F$65536,5,0)</f>
        <v>#N/A</v>
      </c>
    </row>
    <row r="2312" spans="1:40">
      <c r="A2312" s="1" t="s">
        <v>41</v>
      </c>
      <c r="B2312" s="1" t="s">
        <v>42</v>
      </c>
      <c r="C2312" s="1" t="s">
        <v>4352</v>
      </c>
      <c r="D2312" s="1" t="s">
        <v>4353</v>
      </c>
      <c r="E2312" s="1" t="s">
        <v>45</v>
      </c>
      <c r="F2312" s="1" t="s">
        <v>5181</v>
      </c>
      <c r="G2312" s="1" t="s">
        <v>5368</v>
      </c>
      <c r="H2312" s="1" t="s">
        <v>5369</v>
      </c>
      <c r="I2312" s="1" t="s">
        <v>49</v>
      </c>
      <c r="J2312" s="1" t="s">
        <v>48</v>
      </c>
      <c r="K2312" s="1">
        <v>336</v>
      </c>
      <c r="L2312" s="1">
        <v>0</v>
      </c>
      <c r="M2312" s="1">
        <v>0</v>
      </c>
      <c r="N2312" s="1">
        <v>336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 t="s">
        <v>49</v>
      </c>
      <c r="AA2312" s="1" t="s">
        <v>49</v>
      </c>
      <c r="AB2312" s="1" t="s">
        <v>49</v>
      </c>
      <c r="AC2312" s="1" t="s">
        <v>5184</v>
      </c>
      <c r="AD2312" s="1" t="s">
        <v>5185</v>
      </c>
      <c r="AE2312" s="1" t="s">
        <v>5184</v>
      </c>
      <c r="AF2312" s="1" t="s">
        <v>5186</v>
      </c>
      <c r="AG2312" s="1" t="s">
        <v>53</v>
      </c>
      <c r="AH2312" s="1" t="s">
        <v>49</v>
      </c>
      <c r="AI2312" s="1" t="s">
        <v>54</v>
      </c>
      <c r="AJ2312" s="1">
        <v>1</v>
      </c>
      <c r="AK2312" s="1" t="str">
        <f t="shared" si="36"/>
        <v xml:space="preserve"> =&lt;90</v>
      </c>
      <c r="AL2312" s="1" t="e">
        <f>VLOOKUP(C:C,[1]基础信息!B$1:D$65536,3,0)</f>
        <v>#N/A</v>
      </c>
      <c r="AM2312" s="1" t="e">
        <f>VLOOKUP(C:C,[1]基础信息!B$1:E$65536,4,0)</f>
        <v>#N/A</v>
      </c>
      <c r="AN2312" s="1" t="e">
        <f>VLOOKUP(C:C,[1]基础信息!B$1:F$65536,5,0)</f>
        <v>#N/A</v>
      </c>
    </row>
    <row r="2313" spans="1:40">
      <c r="A2313" s="1" t="s">
        <v>41</v>
      </c>
      <c r="B2313" s="1" t="s">
        <v>42</v>
      </c>
      <c r="C2313" s="1" t="s">
        <v>4273</v>
      </c>
      <c r="D2313" s="1" t="s">
        <v>4274</v>
      </c>
      <c r="E2313" s="1" t="s">
        <v>45</v>
      </c>
      <c r="F2313" s="1" t="s">
        <v>5277</v>
      </c>
      <c r="G2313" s="1" t="s">
        <v>5370</v>
      </c>
      <c r="H2313" s="1" t="s">
        <v>5371</v>
      </c>
      <c r="I2313" s="1" t="s">
        <v>49</v>
      </c>
      <c r="J2313" s="1" t="s">
        <v>48</v>
      </c>
      <c r="K2313" s="1">
        <v>840</v>
      </c>
      <c r="L2313" s="1">
        <v>0</v>
      </c>
      <c r="M2313" s="1">
        <v>0</v>
      </c>
      <c r="N2313" s="1">
        <v>840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 t="s">
        <v>49</v>
      </c>
      <c r="AA2313" s="1" t="s">
        <v>49</v>
      </c>
      <c r="AB2313" s="1" t="s">
        <v>49</v>
      </c>
      <c r="AC2313" s="1" t="s">
        <v>117</v>
      </c>
      <c r="AD2313" s="1" t="s">
        <v>118</v>
      </c>
      <c r="AE2313" s="1" t="s">
        <v>117</v>
      </c>
      <c r="AF2313" s="1" t="s">
        <v>5280</v>
      </c>
      <c r="AG2313" s="1" t="s">
        <v>53</v>
      </c>
      <c r="AH2313" s="1" t="s">
        <v>49</v>
      </c>
      <c r="AI2313" s="1" t="s">
        <v>54</v>
      </c>
      <c r="AJ2313" s="1">
        <v>1</v>
      </c>
      <c r="AK2313" s="1" t="str">
        <f t="shared" si="36"/>
        <v xml:space="preserve"> =&lt;90</v>
      </c>
      <c r="AL2313" s="1" t="e">
        <f>VLOOKUP(C:C,[1]基础信息!B$1:D$65536,3,0)</f>
        <v>#N/A</v>
      </c>
      <c r="AM2313" s="1" t="e">
        <f>VLOOKUP(C:C,[1]基础信息!B$1:E$65536,4,0)</f>
        <v>#N/A</v>
      </c>
      <c r="AN2313" s="1" t="e">
        <f>VLOOKUP(C:C,[1]基础信息!B$1:F$65536,5,0)</f>
        <v>#N/A</v>
      </c>
    </row>
    <row r="2314" spans="1:40">
      <c r="A2314" s="1" t="s">
        <v>41</v>
      </c>
      <c r="B2314" s="1" t="s">
        <v>42</v>
      </c>
      <c r="C2314" s="1" t="s">
        <v>4273</v>
      </c>
      <c r="D2314" s="1" t="s">
        <v>4274</v>
      </c>
      <c r="E2314" s="1" t="s">
        <v>45</v>
      </c>
      <c r="F2314" s="1" t="s">
        <v>5277</v>
      </c>
      <c r="G2314" s="1" t="s">
        <v>5372</v>
      </c>
      <c r="H2314" s="1" t="s">
        <v>5373</v>
      </c>
      <c r="I2314" s="1" t="s">
        <v>49</v>
      </c>
      <c r="J2314" s="1" t="s">
        <v>48</v>
      </c>
      <c r="K2314" s="1">
        <v>840</v>
      </c>
      <c r="L2314" s="1">
        <v>0</v>
      </c>
      <c r="M2314" s="1">
        <v>0</v>
      </c>
      <c r="N2314" s="1">
        <v>840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 t="s">
        <v>49</v>
      </c>
      <c r="AA2314" s="1" t="s">
        <v>49</v>
      </c>
      <c r="AB2314" s="1" t="s">
        <v>49</v>
      </c>
      <c r="AC2314" s="1" t="s">
        <v>117</v>
      </c>
      <c r="AD2314" s="1" t="s">
        <v>118</v>
      </c>
      <c r="AE2314" s="1" t="s">
        <v>117</v>
      </c>
      <c r="AF2314" s="1" t="s">
        <v>5280</v>
      </c>
      <c r="AG2314" s="1" t="s">
        <v>53</v>
      </c>
      <c r="AH2314" s="1" t="s">
        <v>49</v>
      </c>
      <c r="AI2314" s="1" t="s">
        <v>54</v>
      </c>
      <c r="AJ2314" s="1">
        <v>1</v>
      </c>
      <c r="AK2314" s="1" t="str">
        <f t="shared" si="36"/>
        <v xml:space="preserve"> =&lt;90</v>
      </c>
      <c r="AL2314" s="1" t="e">
        <f>VLOOKUP(C:C,[1]基础信息!B$1:D$65536,3,0)</f>
        <v>#N/A</v>
      </c>
      <c r="AM2314" s="1" t="e">
        <f>VLOOKUP(C:C,[1]基础信息!B$1:E$65536,4,0)</f>
        <v>#N/A</v>
      </c>
      <c r="AN2314" s="1" t="e">
        <f>VLOOKUP(C:C,[1]基础信息!B$1:F$65536,5,0)</f>
        <v>#N/A</v>
      </c>
    </row>
    <row r="2315" spans="1:40">
      <c r="A2315" s="1" t="s">
        <v>41</v>
      </c>
      <c r="B2315" s="1" t="s">
        <v>42</v>
      </c>
      <c r="C2315" s="1" t="s">
        <v>4273</v>
      </c>
      <c r="D2315" s="1" t="s">
        <v>4274</v>
      </c>
      <c r="E2315" s="1" t="s">
        <v>45</v>
      </c>
      <c r="F2315" s="1" t="s">
        <v>5277</v>
      </c>
      <c r="G2315" s="1" t="s">
        <v>5374</v>
      </c>
      <c r="H2315" s="1" t="s">
        <v>5375</v>
      </c>
      <c r="I2315" s="1" t="s">
        <v>49</v>
      </c>
      <c r="J2315" s="1" t="s">
        <v>48</v>
      </c>
      <c r="K2315" s="1">
        <v>840</v>
      </c>
      <c r="L2315" s="1">
        <v>0</v>
      </c>
      <c r="M2315" s="1">
        <v>0</v>
      </c>
      <c r="N2315" s="1">
        <v>840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 t="s">
        <v>49</v>
      </c>
      <c r="AA2315" s="1" t="s">
        <v>49</v>
      </c>
      <c r="AB2315" s="1" t="s">
        <v>49</v>
      </c>
      <c r="AC2315" s="1" t="s">
        <v>117</v>
      </c>
      <c r="AD2315" s="1" t="s">
        <v>118</v>
      </c>
      <c r="AE2315" s="1" t="s">
        <v>117</v>
      </c>
      <c r="AF2315" s="1" t="s">
        <v>5280</v>
      </c>
      <c r="AG2315" s="1" t="s">
        <v>53</v>
      </c>
      <c r="AH2315" s="1" t="s">
        <v>49</v>
      </c>
      <c r="AI2315" s="1" t="s">
        <v>54</v>
      </c>
      <c r="AJ2315" s="1">
        <v>1</v>
      </c>
      <c r="AK2315" s="1" t="str">
        <f t="shared" si="36"/>
        <v xml:space="preserve"> =&lt;90</v>
      </c>
      <c r="AL2315" s="1" t="e">
        <f>VLOOKUP(C:C,[1]基础信息!B$1:D$65536,3,0)</f>
        <v>#N/A</v>
      </c>
      <c r="AM2315" s="1" t="e">
        <f>VLOOKUP(C:C,[1]基础信息!B$1:E$65536,4,0)</f>
        <v>#N/A</v>
      </c>
      <c r="AN2315" s="1" t="e">
        <f>VLOOKUP(C:C,[1]基础信息!B$1:F$65536,5,0)</f>
        <v>#N/A</v>
      </c>
    </row>
    <row r="2316" spans="1:40">
      <c r="A2316" s="1" t="s">
        <v>41</v>
      </c>
      <c r="B2316" s="1" t="s">
        <v>42</v>
      </c>
      <c r="C2316" s="1" t="s">
        <v>4273</v>
      </c>
      <c r="D2316" s="1" t="s">
        <v>4274</v>
      </c>
      <c r="E2316" s="1" t="s">
        <v>45</v>
      </c>
      <c r="F2316" s="1" t="s">
        <v>5277</v>
      </c>
      <c r="G2316" s="1" t="s">
        <v>5376</v>
      </c>
      <c r="H2316" s="1" t="s">
        <v>5377</v>
      </c>
      <c r="I2316" s="1" t="s">
        <v>49</v>
      </c>
      <c r="J2316" s="1" t="s">
        <v>48</v>
      </c>
      <c r="K2316" s="1">
        <v>800</v>
      </c>
      <c r="L2316" s="1">
        <v>0</v>
      </c>
      <c r="M2316" s="1">
        <v>0</v>
      </c>
      <c r="N2316" s="1">
        <v>800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 t="s">
        <v>49</v>
      </c>
      <c r="AA2316" s="1" t="s">
        <v>49</v>
      </c>
      <c r="AB2316" s="1" t="s">
        <v>49</v>
      </c>
      <c r="AC2316" s="1" t="s">
        <v>117</v>
      </c>
      <c r="AD2316" s="1" t="s">
        <v>118</v>
      </c>
      <c r="AE2316" s="1" t="s">
        <v>117</v>
      </c>
      <c r="AF2316" s="1" t="s">
        <v>5280</v>
      </c>
      <c r="AG2316" s="1" t="s">
        <v>53</v>
      </c>
      <c r="AH2316" s="1" t="s">
        <v>49</v>
      </c>
      <c r="AI2316" s="1" t="s">
        <v>54</v>
      </c>
      <c r="AJ2316" s="1">
        <v>1</v>
      </c>
      <c r="AK2316" s="1" t="str">
        <f t="shared" si="36"/>
        <v xml:space="preserve"> =&lt;90</v>
      </c>
      <c r="AL2316" s="1" t="e">
        <f>VLOOKUP(C:C,[1]基础信息!B$1:D$65536,3,0)</f>
        <v>#N/A</v>
      </c>
      <c r="AM2316" s="1" t="e">
        <f>VLOOKUP(C:C,[1]基础信息!B$1:E$65536,4,0)</f>
        <v>#N/A</v>
      </c>
      <c r="AN2316" s="1" t="e">
        <f>VLOOKUP(C:C,[1]基础信息!B$1:F$65536,5,0)</f>
        <v>#N/A</v>
      </c>
    </row>
    <row r="2317" spans="1:40">
      <c r="A2317" s="1" t="s">
        <v>41</v>
      </c>
      <c r="B2317" s="1" t="s">
        <v>42</v>
      </c>
      <c r="C2317" s="1" t="s">
        <v>4352</v>
      </c>
      <c r="D2317" s="1" t="s">
        <v>4353</v>
      </c>
      <c r="E2317" s="1" t="s">
        <v>45</v>
      </c>
      <c r="F2317" s="1" t="s">
        <v>5181</v>
      </c>
      <c r="G2317" s="1" t="s">
        <v>5378</v>
      </c>
      <c r="H2317" s="1" t="s">
        <v>5379</v>
      </c>
      <c r="I2317" s="1" t="s">
        <v>49</v>
      </c>
      <c r="J2317" s="1" t="s">
        <v>48</v>
      </c>
      <c r="K2317" s="1">
        <v>336</v>
      </c>
      <c r="L2317" s="1">
        <v>0</v>
      </c>
      <c r="M2317" s="1">
        <v>0</v>
      </c>
      <c r="N2317" s="1">
        <v>336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 t="s">
        <v>49</v>
      </c>
      <c r="AA2317" s="1" t="s">
        <v>49</v>
      </c>
      <c r="AB2317" s="1" t="s">
        <v>49</v>
      </c>
      <c r="AC2317" s="1" t="s">
        <v>5184</v>
      </c>
      <c r="AD2317" s="1" t="s">
        <v>5185</v>
      </c>
      <c r="AE2317" s="1" t="s">
        <v>5184</v>
      </c>
      <c r="AF2317" s="1" t="s">
        <v>5186</v>
      </c>
      <c r="AG2317" s="1" t="s">
        <v>53</v>
      </c>
      <c r="AH2317" s="1" t="s">
        <v>49</v>
      </c>
      <c r="AI2317" s="1" t="s">
        <v>54</v>
      </c>
      <c r="AJ2317" s="1">
        <v>1</v>
      </c>
      <c r="AK2317" s="1" t="str">
        <f t="shared" si="36"/>
        <v xml:space="preserve"> =&lt;90</v>
      </c>
      <c r="AL2317" s="1" t="e">
        <f>VLOOKUP(C:C,[1]基础信息!B$1:D$65536,3,0)</f>
        <v>#N/A</v>
      </c>
      <c r="AM2317" s="1" t="e">
        <f>VLOOKUP(C:C,[1]基础信息!B$1:E$65536,4,0)</f>
        <v>#N/A</v>
      </c>
      <c r="AN2317" s="1" t="e">
        <f>VLOOKUP(C:C,[1]基础信息!B$1:F$65536,5,0)</f>
        <v>#N/A</v>
      </c>
    </row>
    <row r="2318" spans="1:40">
      <c r="A2318" s="1" t="s">
        <v>41</v>
      </c>
      <c r="B2318" s="1" t="s">
        <v>42</v>
      </c>
      <c r="C2318" s="1" t="s">
        <v>3971</v>
      </c>
      <c r="D2318" s="1" t="s">
        <v>3972</v>
      </c>
      <c r="E2318" s="1" t="s">
        <v>45</v>
      </c>
      <c r="F2318" s="1" t="s">
        <v>5380</v>
      </c>
      <c r="G2318" s="1" t="s">
        <v>5381</v>
      </c>
      <c r="H2318" s="1" t="s">
        <v>5382</v>
      </c>
      <c r="I2318" s="1" t="s">
        <v>49</v>
      </c>
      <c r="J2318" s="1" t="s">
        <v>48</v>
      </c>
      <c r="K2318" s="1">
        <v>96</v>
      </c>
      <c r="L2318" s="1">
        <v>0</v>
      </c>
      <c r="M2318" s="1">
        <v>0</v>
      </c>
      <c r="N2318" s="1">
        <v>96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 t="s">
        <v>49</v>
      </c>
      <c r="AA2318" s="1" t="s">
        <v>49</v>
      </c>
      <c r="AB2318" s="1" t="s">
        <v>49</v>
      </c>
      <c r="AC2318" s="1" t="s">
        <v>1408</v>
      </c>
      <c r="AD2318" s="1" t="s">
        <v>1409</v>
      </c>
      <c r="AE2318" s="1" t="s">
        <v>1408</v>
      </c>
      <c r="AF2318" s="1" t="s">
        <v>1172</v>
      </c>
      <c r="AG2318" s="1" t="s">
        <v>53</v>
      </c>
      <c r="AH2318" s="1" t="s">
        <v>49</v>
      </c>
      <c r="AI2318" s="1" t="s">
        <v>54</v>
      </c>
      <c r="AJ2318" s="1">
        <v>1</v>
      </c>
      <c r="AK2318" s="1" t="str">
        <f t="shared" si="36"/>
        <v xml:space="preserve"> =&lt;90</v>
      </c>
      <c r="AL2318" s="1" t="str">
        <f>VLOOKUP(C:C,[1]基础信息!B$1:D$65536,3,0)</f>
        <v>Jug</v>
      </c>
      <c r="AM2318" s="1" t="str">
        <f>VLOOKUP(C:C,[1]基础信息!B$1:E$65536,4,0)</f>
        <v>Mxplus</v>
      </c>
      <c r="AN2318" s="1" t="str">
        <f>VLOOKUP(C:C,[1]基础信息!B$1:F$65536,5,0)</f>
        <v xml:space="preserve"> lime</v>
      </c>
    </row>
    <row r="2319" spans="1:40">
      <c r="A2319" s="1" t="s">
        <v>41</v>
      </c>
      <c r="B2319" s="1" t="s">
        <v>42</v>
      </c>
      <c r="C2319" s="1" t="s">
        <v>3971</v>
      </c>
      <c r="D2319" s="1" t="s">
        <v>3972</v>
      </c>
      <c r="E2319" s="1" t="s">
        <v>45</v>
      </c>
      <c r="F2319" s="1" t="s">
        <v>5380</v>
      </c>
      <c r="G2319" s="1" t="s">
        <v>5383</v>
      </c>
      <c r="H2319" s="1" t="s">
        <v>5384</v>
      </c>
      <c r="I2319" s="1" t="s">
        <v>49</v>
      </c>
      <c r="J2319" s="1" t="s">
        <v>48</v>
      </c>
      <c r="K2319" s="1">
        <v>96</v>
      </c>
      <c r="L2319" s="1">
        <v>0</v>
      </c>
      <c r="M2319" s="1">
        <v>0</v>
      </c>
      <c r="N2319" s="1">
        <v>96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 t="s">
        <v>49</v>
      </c>
      <c r="AA2319" s="1" t="s">
        <v>49</v>
      </c>
      <c r="AB2319" s="1" t="s">
        <v>49</v>
      </c>
      <c r="AC2319" s="1" t="s">
        <v>1408</v>
      </c>
      <c r="AD2319" s="1" t="s">
        <v>1409</v>
      </c>
      <c r="AE2319" s="1" t="s">
        <v>1408</v>
      </c>
      <c r="AF2319" s="1" t="s">
        <v>1172</v>
      </c>
      <c r="AG2319" s="1" t="s">
        <v>53</v>
      </c>
      <c r="AH2319" s="1" t="s">
        <v>49</v>
      </c>
      <c r="AI2319" s="1" t="s">
        <v>54</v>
      </c>
      <c r="AJ2319" s="1">
        <v>1</v>
      </c>
      <c r="AK2319" s="1" t="str">
        <f t="shared" si="36"/>
        <v xml:space="preserve"> =&lt;90</v>
      </c>
      <c r="AL2319" s="1" t="str">
        <f>VLOOKUP(C:C,[1]基础信息!B$1:D$65536,3,0)</f>
        <v>Jug</v>
      </c>
      <c r="AM2319" s="1" t="str">
        <f>VLOOKUP(C:C,[1]基础信息!B$1:E$65536,4,0)</f>
        <v>Mxplus</v>
      </c>
      <c r="AN2319" s="1" t="str">
        <f>VLOOKUP(C:C,[1]基础信息!B$1:F$65536,5,0)</f>
        <v xml:space="preserve"> lime</v>
      </c>
    </row>
    <row r="2320" spans="1:40">
      <c r="A2320" s="1" t="s">
        <v>41</v>
      </c>
      <c r="B2320" s="1" t="s">
        <v>42</v>
      </c>
      <c r="C2320" s="1" t="s">
        <v>3971</v>
      </c>
      <c r="D2320" s="1" t="s">
        <v>3972</v>
      </c>
      <c r="E2320" s="1" t="s">
        <v>45</v>
      </c>
      <c r="F2320" s="1" t="s">
        <v>5380</v>
      </c>
      <c r="G2320" s="1" t="s">
        <v>5385</v>
      </c>
      <c r="H2320" s="1" t="s">
        <v>5386</v>
      </c>
      <c r="I2320" s="1" t="s">
        <v>49</v>
      </c>
      <c r="J2320" s="1" t="s">
        <v>48</v>
      </c>
      <c r="K2320" s="1">
        <v>96</v>
      </c>
      <c r="L2320" s="1">
        <v>0</v>
      </c>
      <c r="M2320" s="1">
        <v>0</v>
      </c>
      <c r="N2320" s="1">
        <v>96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 t="s">
        <v>49</v>
      </c>
      <c r="AA2320" s="1" t="s">
        <v>49</v>
      </c>
      <c r="AB2320" s="1" t="s">
        <v>49</v>
      </c>
      <c r="AC2320" s="1" t="s">
        <v>1408</v>
      </c>
      <c r="AD2320" s="1" t="s">
        <v>1409</v>
      </c>
      <c r="AE2320" s="1" t="s">
        <v>1408</v>
      </c>
      <c r="AF2320" s="1" t="s">
        <v>1172</v>
      </c>
      <c r="AG2320" s="1" t="s">
        <v>53</v>
      </c>
      <c r="AH2320" s="1" t="s">
        <v>49</v>
      </c>
      <c r="AI2320" s="1" t="s">
        <v>54</v>
      </c>
      <c r="AJ2320" s="1">
        <v>1</v>
      </c>
      <c r="AK2320" s="1" t="str">
        <f t="shared" si="36"/>
        <v xml:space="preserve"> =&lt;90</v>
      </c>
      <c r="AL2320" s="1" t="str">
        <f>VLOOKUP(C:C,[1]基础信息!B$1:D$65536,3,0)</f>
        <v>Jug</v>
      </c>
      <c r="AM2320" s="1" t="str">
        <f>VLOOKUP(C:C,[1]基础信息!B$1:E$65536,4,0)</f>
        <v>Mxplus</v>
      </c>
      <c r="AN2320" s="1" t="str">
        <f>VLOOKUP(C:C,[1]基础信息!B$1:F$65536,5,0)</f>
        <v xml:space="preserve"> lime</v>
      </c>
    </row>
    <row r="2321" spans="1:40">
      <c r="A2321" s="1" t="s">
        <v>41</v>
      </c>
      <c r="B2321" s="1" t="s">
        <v>42</v>
      </c>
      <c r="C2321" s="1" t="s">
        <v>3971</v>
      </c>
      <c r="D2321" s="1" t="s">
        <v>3972</v>
      </c>
      <c r="E2321" s="1" t="s">
        <v>45</v>
      </c>
      <c r="F2321" s="1" t="s">
        <v>5380</v>
      </c>
      <c r="G2321" s="1" t="s">
        <v>5387</v>
      </c>
      <c r="H2321" s="1" t="s">
        <v>5388</v>
      </c>
      <c r="I2321" s="1" t="s">
        <v>49</v>
      </c>
      <c r="J2321" s="1" t="s">
        <v>48</v>
      </c>
      <c r="K2321" s="1">
        <v>96</v>
      </c>
      <c r="L2321" s="1">
        <v>0</v>
      </c>
      <c r="M2321" s="1">
        <v>0</v>
      </c>
      <c r="N2321" s="1">
        <v>96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 t="s">
        <v>49</v>
      </c>
      <c r="AA2321" s="1" t="s">
        <v>49</v>
      </c>
      <c r="AB2321" s="1" t="s">
        <v>49</v>
      </c>
      <c r="AC2321" s="1" t="s">
        <v>1408</v>
      </c>
      <c r="AD2321" s="1" t="s">
        <v>1409</v>
      </c>
      <c r="AE2321" s="1" t="s">
        <v>1408</v>
      </c>
      <c r="AF2321" s="1" t="s">
        <v>1172</v>
      </c>
      <c r="AG2321" s="1" t="s">
        <v>53</v>
      </c>
      <c r="AH2321" s="1" t="s">
        <v>49</v>
      </c>
      <c r="AI2321" s="1" t="s">
        <v>54</v>
      </c>
      <c r="AJ2321" s="1">
        <v>1</v>
      </c>
      <c r="AK2321" s="1" t="str">
        <f t="shared" si="36"/>
        <v xml:space="preserve"> =&lt;90</v>
      </c>
      <c r="AL2321" s="1" t="str">
        <f>VLOOKUP(C:C,[1]基础信息!B$1:D$65536,3,0)</f>
        <v>Jug</v>
      </c>
      <c r="AM2321" s="1" t="str">
        <f>VLOOKUP(C:C,[1]基础信息!B$1:E$65536,4,0)</f>
        <v>Mxplus</v>
      </c>
      <c r="AN2321" s="1" t="str">
        <f>VLOOKUP(C:C,[1]基础信息!B$1:F$65536,5,0)</f>
        <v xml:space="preserve"> lime</v>
      </c>
    </row>
    <row r="2322" spans="1:40">
      <c r="A2322" s="1" t="s">
        <v>41</v>
      </c>
      <c r="B2322" s="1" t="s">
        <v>42</v>
      </c>
      <c r="C2322" s="1" t="s">
        <v>3971</v>
      </c>
      <c r="D2322" s="1" t="s">
        <v>3972</v>
      </c>
      <c r="E2322" s="1" t="s">
        <v>45</v>
      </c>
      <c r="F2322" s="1" t="s">
        <v>5380</v>
      </c>
      <c r="G2322" s="1" t="s">
        <v>5389</v>
      </c>
      <c r="H2322" s="1" t="s">
        <v>5390</v>
      </c>
      <c r="I2322" s="1" t="s">
        <v>49</v>
      </c>
      <c r="J2322" s="1" t="s">
        <v>48</v>
      </c>
      <c r="K2322" s="1">
        <v>96</v>
      </c>
      <c r="L2322" s="1">
        <v>0</v>
      </c>
      <c r="M2322" s="1">
        <v>0</v>
      </c>
      <c r="N2322" s="1">
        <v>96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 t="s">
        <v>49</v>
      </c>
      <c r="AA2322" s="1" t="s">
        <v>49</v>
      </c>
      <c r="AB2322" s="1" t="s">
        <v>49</v>
      </c>
      <c r="AC2322" s="1" t="s">
        <v>1408</v>
      </c>
      <c r="AD2322" s="1" t="s">
        <v>1409</v>
      </c>
      <c r="AE2322" s="1" t="s">
        <v>1408</v>
      </c>
      <c r="AF2322" s="1" t="s">
        <v>1172</v>
      </c>
      <c r="AG2322" s="1" t="s">
        <v>53</v>
      </c>
      <c r="AH2322" s="1" t="s">
        <v>49</v>
      </c>
      <c r="AI2322" s="1" t="s">
        <v>54</v>
      </c>
      <c r="AJ2322" s="1">
        <v>1</v>
      </c>
      <c r="AK2322" s="1" t="str">
        <f t="shared" si="36"/>
        <v xml:space="preserve"> =&lt;90</v>
      </c>
      <c r="AL2322" s="1" t="str">
        <f>VLOOKUP(C:C,[1]基础信息!B$1:D$65536,3,0)</f>
        <v>Jug</v>
      </c>
      <c r="AM2322" s="1" t="str">
        <f>VLOOKUP(C:C,[1]基础信息!B$1:E$65536,4,0)</f>
        <v>Mxplus</v>
      </c>
      <c r="AN2322" s="1" t="str">
        <f>VLOOKUP(C:C,[1]基础信息!B$1:F$65536,5,0)</f>
        <v xml:space="preserve"> lime</v>
      </c>
    </row>
    <row r="2323" spans="1:40">
      <c r="A2323" s="1" t="s">
        <v>41</v>
      </c>
      <c r="B2323" s="1" t="s">
        <v>42</v>
      </c>
      <c r="C2323" s="1" t="s">
        <v>3971</v>
      </c>
      <c r="D2323" s="1" t="s">
        <v>3972</v>
      </c>
      <c r="E2323" s="1" t="s">
        <v>45</v>
      </c>
      <c r="F2323" s="1" t="s">
        <v>5380</v>
      </c>
      <c r="G2323" s="1" t="s">
        <v>5391</v>
      </c>
      <c r="H2323" s="1" t="s">
        <v>5392</v>
      </c>
      <c r="I2323" s="1" t="s">
        <v>49</v>
      </c>
      <c r="J2323" s="1" t="s">
        <v>48</v>
      </c>
      <c r="K2323" s="1">
        <v>96</v>
      </c>
      <c r="L2323" s="1">
        <v>0</v>
      </c>
      <c r="M2323" s="1">
        <v>0</v>
      </c>
      <c r="N2323" s="1">
        <v>96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 t="s">
        <v>49</v>
      </c>
      <c r="AA2323" s="1" t="s">
        <v>49</v>
      </c>
      <c r="AB2323" s="1" t="s">
        <v>49</v>
      </c>
      <c r="AC2323" s="1" t="s">
        <v>1408</v>
      </c>
      <c r="AD2323" s="1" t="s">
        <v>1409</v>
      </c>
      <c r="AE2323" s="1" t="s">
        <v>1408</v>
      </c>
      <c r="AF2323" s="1" t="s">
        <v>1172</v>
      </c>
      <c r="AG2323" s="1" t="s">
        <v>53</v>
      </c>
      <c r="AH2323" s="1" t="s">
        <v>49</v>
      </c>
      <c r="AI2323" s="1" t="s">
        <v>54</v>
      </c>
      <c r="AJ2323" s="1">
        <v>1</v>
      </c>
      <c r="AK2323" s="1" t="str">
        <f t="shared" si="36"/>
        <v xml:space="preserve"> =&lt;90</v>
      </c>
      <c r="AL2323" s="1" t="str">
        <f>VLOOKUP(C:C,[1]基础信息!B$1:D$65536,3,0)</f>
        <v>Jug</v>
      </c>
      <c r="AM2323" s="1" t="str">
        <f>VLOOKUP(C:C,[1]基础信息!B$1:E$65536,4,0)</f>
        <v>Mxplus</v>
      </c>
      <c r="AN2323" s="1" t="str">
        <f>VLOOKUP(C:C,[1]基础信息!B$1:F$65536,5,0)</f>
        <v xml:space="preserve"> lime</v>
      </c>
    </row>
    <row r="2324" spans="1:40">
      <c r="A2324" s="1" t="s">
        <v>41</v>
      </c>
      <c r="B2324" s="1" t="s">
        <v>42</v>
      </c>
      <c r="C2324" s="1" t="s">
        <v>4352</v>
      </c>
      <c r="D2324" s="1" t="s">
        <v>4353</v>
      </c>
      <c r="E2324" s="1" t="s">
        <v>45</v>
      </c>
      <c r="F2324" s="1" t="s">
        <v>5181</v>
      </c>
      <c r="G2324" s="1" t="s">
        <v>5393</v>
      </c>
      <c r="H2324" s="1" t="s">
        <v>5394</v>
      </c>
      <c r="I2324" s="1" t="s">
        <v>49</v>
      </c>
      <c r="J2324" s="1" t="s">
        <v>48</v>
      </c>
      <c r="K2324" s="1">
        <v>336</v>
      </c>
      <c r="L2324" s="1">
        <v>0</v>
      </c>
      <c r="M2324" s="1">
        <v>0</v>
      </c>
      <c r="N2324" s="1">
        <v>336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 t="s">
        <v>49</v>
      </c>
      <c r="AA2324" s="1" t="s">
        <v>49</v>
      </c>
      <c r="AB2324" s="1" t="s">
        <v>49</v>
      </c>
      <c r="AC2324" s="1" t="s">
        <v>5184</v>
      </c>
      <c r="AD2324" s="1" t="s">
        <v>5185</v>
      </c>
      <c r="AE2324" s="1" t="s">
        <v>5184</v>
      </c>
      <c r="AF2324" s="1" t="s">
        <v>5186</v>
      </c>
      <c r="AG2324" s="1" t="s">
        <v>53</v>
      </c>
      <c r="AH2324" s="1" t="s">
        <v>49</v>
      </c>
      <c r="AI2324" s="1" t="s">
        <v>54</v>
      </c>
      <c r="AJ2324" s="1">
        <v>1</v>
      </c>
      <c r="AK2324" s="1" t="str">
        <f t="shared" si="36"/>
        <v xml:space="preserve"> =&lt;90</v>
      </c>
      <c r="AL2324" s="1" t="e">
        <f>VLOOKUP(C:C,[1]基础信息!B$1:D$65536,3,0)</f>
        <v>#N/A</v>
      </c>
      <c r="AM2324" s="1" t="e">
        <f>VLOOKUP(C:C,[1]基础信息!B$1:E$65536,4,0)</f>
        <v>#N/A</v>
      </c>
      <c r="AN2324" s="1" t="e">
        <f>VLOOKUP(C:C,[1]基础信息!B$1:F$65536,5,0)</f>
        <v>#N/A</v>
      </c>
    </row>
    <row r="2325" spans="1:40">
      <c r="A2325" s="1" t="s">
        <v>41</v>
      </c>
      <c r="B2325" s="1" t="s">
        <v>42</v>
      </c>
      <c r="C2325" s="1" t="s">
        <v>3971</v>
      </c>
      <c r="D2325" s="1" t="s">
        <v>3972</v>
      </c>
      <c r="E2325" s="1" t="s">
        <v>45</v>
      </c>
      <c r="F2325" s="1" t="s">
        <v>5380</v>
      </c>
      <c r="G2325" s="1" t="s">
        <v>5395</v>
      </c>
      <c r="H2325" s="1" t="s">
        <v>5396</v>
      </c>
      <c r="I2325" s="1" t="s">
        <v>49</v>
      </c>
      <c r="J2325" s="1" t="s">
        <v>48</v>
      </c>
      <c r="K2325" s="1">
        <v>96</v>
      </c>
      <c r="L2325" s="1">
        <v>0</v>
      </c>
      <c r="M2325" s="1">
        <v>0</v>
      </c>
      <c r="N2325" s="1">
        <v>96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 t="s">
        <v>49</v>
      </c>
      <c r="AA2325" s="1" t="s">
        <v>49</v>
      </c>
      <c r="AB2325" s="1" t="s">
        <v>49</v>
      </c>
      <c r="AC2325" s="1" t="s">
        <v>1408</v>
      </c>
      <c r="AD2325" s="1" t="s">
        <v>1409</v>
      </c>
      <c r="AE2325" s="1" t="s">
        <v>1408</v>
      </c>
      <c r="AF2325" s="1" t="s">
        <v>1172</v>
      </c>
      <c r="AG2325" s="1" t="s">
        <v>53</v>
      </c>
      <c r="AH2325" s="1" t="s">
        <v>49</v>
      </c>
      <c r="AI2325" s="1" t="s">
        <v>54</v>
      </c>
      <c r="AJ2325" s="1">
        <v>1</v>
      </c>
      <c r="AK2325" s="1" t="str">
        <f t="shared" si="36"/>
        <v xml:space="preserve"> =&lt;90</v>
      </c>
      <c r="AL2325" s="1" t="str">
        <f>VLOOKUP(C:C,[1]基础信息!B$1:D$65536,3,0)</f>
        <v>Jug</v>
      </c>
      <c r="AM2325" s="1" t="str">
        <f>VLOOKUP(C:C,[1]基础信息!B$1:E$65536,4,0)</f>
        <v>Mxplus</v>
      </c>
      <c r="AN2325" s="1" t="str">
        <f>VLOOKUP(C:C,[1]基础信息!B$1:F$65536,5,0)</f>
        <v xml:space="preserve"> lime</v>
      </c>
    </row>
    <row r="2326" spans="1:40">
      <c r="A2326" s="1" t="s">
        <v>41</v>
      </c>
      <c r="B2326" s="1" t="s">
        <v>42</v>
      </c>
      <c r="C2326" s="1" t="s">
        <v>4352</v>
      </c>
      <c r="D2326" s="1" t="s">
        <v>4353</v>
      </c>
      <c r="E2326" s="1" t="s">
        <v>45</v>
      </c>
      <c r="F2326" s="1" t="s">
        <v>5181</v>
      </c>
      <c r="G2326" s="1" t="s">
        <v>5397</v>
      </c>
      <c r="H2326" s="1" t="s">
        <v>5398</v>
      </c>
      <c r="I2326" s="1" t="s">
        <v>49</v>
      </c>
      <c r="J2326" s="1" t="s">
        <v>48</v>
      </c>
      <c r="K2326" s="1">
        <v>336</v>
      </c>
      <c r="L2326" s="1">
        <v>0</v>
      </c>
      <c r="M2326" s="1">
        <v>0</v>
      </c>
      <c r="N2326" s="1">
        <v>336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 t="s">
        <v>49</v>
      </c>
      <c r="AA2326" s="1" t="s">
        <v>49</v>
      </c>
      <c r="AB2326" s="1" t="s">
        <v>49</v>
      </c>
      <c r="AC2326" s="1" t="s">
        <v>5184</v>
      </c>
      <c r="AD2326" s="1" t="s">
        <v>5185</v>
      </c>
      <c r="AE2326" s="1" t="s">
        <v>5184</v>
      </c>
      <c r="AF2326" s="1" t="s">
        <v>5186</v>
      </c>
      <c r="AG2326" s="1" t="s">
        <v>53</v>
      </c>
      <c r="AH2326" s="1" t="s">
        <v>49</v>
      </c>
      <c r="AI2326" s="1" t="s">
        <v>54</v>
      </c>
      <c r="AJ2326" s="1">
        <v>1</v>
      </c>
      <c r="AK2326" s="1" t="str">
        <f t="shared" si="36"/>
        <v xml:space="preserve"> =&lt;90</v>
      </c>
      <c r="AL2326" s="1" t="e">
        <f>VLOOKUP(C:C,[1]基础信息!B$1:D$65536,3,0)</f>
        <v>#N/A</v>
      </c>
      <c r="AM2326" s="1" t="e">
        <f>VLOOKUP(C:C,[1]基础信息!B$1:E$65536,4,0)</f>
        <v>#N/A</v>
      </c>
      <c r="AN2326" s="1" t="e">
        <f>VLOOKUP(C:C,[1]基础信息!B$1:F$65536,5,0)</f>
        <v>#N/A</v>
      </c>
    </row>
    <row r="2327" spans="1:40">
      <c r="A2327" s="1" t="s">
        <v>41</v>
      </c>
      <c r="B2327" s="1" t="s">
        <v>42</v>
      </c>
      <c r="C2327" s="1" t="s">
        <v>3971</v>
      </c>
      <c r="D2327" s="1" t="s">
        <v>3972</v>
      </c>
      <c r="E2327" s="1" t="s">
        <v>45</v>
      </c>
      <c r="F2327" s="1" t="s">
        <v>5380</v>
      </c>
      <c r="G2327" s="1" t="s">
        <v>5399</v>
      </c>
      <c r="H2327" s="1" t="s">
        <v>5400</v>
      </c>
      <c r="I2327" s="1" t="s">
        <v>49</v>
      </c>
      <c r="J2327" s="1" t="s">
        <v>48</v>
      </c>
      <c r="K2327" s="1">
        <v>96</v>
      </c>
      <c r="L2327" s="1">
        <v>0</v>
      </c>
      <c r="M2327" s="1">
        <v>0</v>
      </c>
      <c r="N2327" s="1">
        <v>96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 t="s">
        <v>49</v>
      </c>
      <c r="AA2327" s="1" t="s">
        <v>49</v>
      </c>
      <c r="AB2327" s="1" t="s">
        <v>49</v>
      </c>
      <c r="AC2327" s="1" t="s">
        <v>1408</v>
      </c>
      <c r="AD2327" s="1" t="s">
        <v>1409</v>
      </c>
      <c r="AE2327" s="1" t="s">
        <v>1408</v>
      </c>
      <c r="AF2327" s="1" t="s">
        <v>1172</v>
      </c>
      <c r="AG2327" s="1" t="s">
        <v>53</v>
      </c>
      <c r="AH2327" s="1" t="s">
        <v>49</v>
      </c>
      <c r="AI2327" s="1" t="s">
        <v>54</v>
      </c>
      <c r="AJ2327" s="1">
        <v>1</v>
      </c>
      <c r="AK2327" s="1" t="str">
        <f t="shared" si="36"/>
        <v xml:space="preserve"> =&lt;90</v>
      </c>
      <c r="AL2327" s="1" t="str">
        <f>VLOOKUP(C:C,[1]基础信息!B$1:D$65536,3,0)</f>
        <v>Jug</v>
      </c>
      <c r="AM2327" s="1" t="str">
        <f>VLOOKUP(C:C,[1]基础信息!B$1:E$65536,4,0)</f>
        <v>Mxplus</v>
      </c>
      <c r="AN2327" s="1" t="str">
        <f>VLOOKUP(C:C,[1]基础信息!B$1:F$65536,5,0)</f>
        <v xml:space="preserve"> lime</v>
      </c>
    </row>
    <row r="2328" spans="1:40">
      <c r="A2328" s="1" t="s">
        <v>41</v>
      </c>
      <c r="B2328" s="1" t="s">
        <v>42</v>
      </c>
      <c r="C2328" s="1" t="s">
        <v>3971</v>
      </c>
      <c r="D2328" s="1" t="s">
        <v>3972</v>
      </c>
      <c r="E2328" s="1" t="s">
        <v>45</v>
      </c>
      <c r="F2328" s="1" t="s">
        <v>5380</v>
      </c>
      <c r="G2328" s="1" t="s">
        <v>5401</v>
      </c>
      <c r="H2328" s="1" t="s">
        <v>5402</v>
      </c>
      <c r="I2328" s="1" t="s">
        <v>49</v>
      </c>
      <c r="J2328" s="1" t="s">
        <v>48</v>
      </c>
      <c r="K2328" s="1">
        <v>96</v>
      </c>
      <c r="L2328" s="1">
        <v>0</v>
      </c>
      <c r="M2328" s="1">
        <v>0</v>
      </c>
      <c r="N2328" s="1">
        <v>96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 t="s">
        <v>49</v>
      </c>
      <c r="AA2328" s="1" t="s">
        <v>49</v>
      </c>
      <c r="AB2328" s="1" t="s">
        <v>49</v>
      </c>
      <c r="AC2328" s="1" t="s">
        <v>1408</v>
      </c>
      <c r="AD2328" s="1" t="s">
        <v>1409</v>
      </c>
      <c r="AE2328" s="1" t="s">
        <v>1408</v>
      </c>
      <c r="AF2328" s="1" t="s">
        <v>1172</v>
      </c>
      <c r="AG2328" s="1" t="s">
        <v>53</v>
      </c>
      <c r="AH2328" s="1" t="s">
        <v>49</v>
      </c>
      <c r="AI2328" s="1" t="s">
        <v>54</v>
      </c>
      <c r="AJ2328" s="1">
        <v>1</v>
      </c>
      <c r="AK2328" s="1" t="str">
        <f t="shared" si="36"/>
        <v xml:space="preserve"> =&lt;90</v>
      </c>
      <c r="AL2328" s="1" t="str">
        <f>VLOOKUP(C:C,[1]基础信息!B$1:D$65536,3,0)</f>
        <v>Jug</v>
      </c>
      <c r="AM2328" s="1" t="str">
        <f>VLOOKUP(C:C,[1]基础信息!B$1:E$65536,4,0)</f>
        <v>Mxplus</v>
      </c>
      <c r="AN2328" s="1" t="str">
        <f>VLOOKUP(C:C,[1]基础信息!B$1:F$65536,5,0)</f>
        <v xml:space="preserve"> lime</v>
      </c>
    </row>
    <row r="2329" spans="1:40">
      <c r="A2329" s="1" t="s">
        <v>41</v>
      </c>
      <c r="B2329" s="1" t="s">
        <v>42</v>
      </c>
      <c r="C2329" s="1" t="s">
        <v>4352</v>
      </c>
      <c r="D2329" s="1" t="s">
        <v>4353</v>
      </c>
      <c r="E2329" s="1" t="s">
        <v>45</v>
      </c>
      <c r="F2329" s="1" t="s">
        <v>5181</v>
      </c>
      <c r="G2329" s="1" t="s">
        <v>5403</v>
      </c>
      <c r="H2329" s="1" t="s">
        <v>5404</v>
      </c>
      <c r="I2329" s="1" t="s">
        <v>49</v>
      </c>
      <c r="J2329" s="1" t="s">
        <v>48</v>
      </c>
      <c r="K2329" s="1">
        <v>336</v>
      </c>
      <c r="L2329" s="1">
        <v>0</v>
      </c>
      <c r="M2329" s="1">
        <v>0</v>
      </c>
      <c r="N2329" s="1">
        <v>336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 t="s">
        <v>49</v>
      </c>
      <c r="AA2329" s="1" t="s">
        <v>49</v>
      </c>
      <c r="AB2329" s="1" t="s">
        <v>49</v>
      </c>
      <c r="AC2329" s="1" t="s">
        <v>5184</v>
      </c>
      <c r="AD2329" s="1" t="s">
        <v>5185</v>
      </c>
      <c r="AE2329" s="1" t="s">
        <v>5184</v>
      </c>
      <c r="AF2329" s="1" t="s">
        <v>5186</v>
      </c>
      <c r="AG2329" s="1" t="s">
        <v>53</v>
      </c>
      <c r="AH2329" s="1" t="s">
        <v>49</v>
      </c>
      <c r="AI2329" s="1" t="s">
        <v>54</v>
      </c>
      <c r="AJ2329" s="1">
        <v>1</v>
      </c>
      <c r="AK2329" s="1" t="str">
        <f t="shared" si="36"/>
        <v xml:space="preserve"> =&lt;90</v>
      </c>
      <c r="AL2329" s="1" t="e">
        <f>VLOOKUP(C:C,[1]基础信息!B$1:D$65536,3,0)</f>
        <v>#N/A</v>
      </c>
      <c r="AM2329" s="1" t="e">
        <f>VLOOKUP(C:C,[1]基础信息!B$1:E$65536,4,0)</f>
        <v>#N/A</v>
      </c>
      <c r="AN2329" s="1" t="e">
        <f>VLOOKUP(C:C,[1]基础信息!B$1:F$65536,5,0)</f>
        <v>#N/A</v>
      </c>
    </row>
    <row r="2330" spans="1:40">
      <c r="A2330" s="1" t="s">
        <v>41</v>
      </c>
      <c r="B2330" s="1" t="s">
        <v>42</v>
      </c>
      <c r="C2330" s="1" t="s">
        <v>3971</v>
      </c>
      <c r="D2330" s="1" t="s">
        <v>3972</v>
      </c>
      <c r="E2330" s="1" t="s">
        <v>45</v>
      </c>
      <c r="F2330" s="1" t="s">
        <v>5149</v>
      </c>
      <c r="G2330" s="1" t="s">
        <v>5405</v>
      </c>
      <c r="H2330" s="1" t="s">
        <v>5406</v>
      </c>
      <c r="I2330" s="1" t="s">
        <v>49</v>
      </c>
      <c r="J2330" s="1" t="s">
        <v>48</v>
      </c>
      <c r="K2330" s="1">
        <v>96</v>
      </c>
      <c r="L2330" s="1">
        <v>0</v>
      </c>
      <c r="M2330" s="1">
        <v>0</v>
      </c>
      <c r="N2330" s="1">
        <v>96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 t="s">
        <v>49</v>
      </c>
      <c r="AA2330" s="1" t="s">
        <v>49</v>
      </c>
      <c r="AB2330" s="1" t="s">
        <v>49</v>
      </c>
      <c r="AC2330" s="1" t="s">
        <v>88</v>
      </c>
      <c r="AD2330" s="1" t="s">
        <v>89</v>
      </c>
      <c r="AE2330" s="1" t="s">
        <v>88</v>
      </c>
      <c r="AF2330" s="1" t="s">
        <v>3349</v>
      </c>
      <c r="AG2330" s="1" t="s">
        <v>53</v>
      </c>
      <c r="AH2330" s="1" t="s">
        <v>49</v>
      </c>
      <c r="AI2330" s="1" t="s">
        <v>54</v>
      </c>
      <c r="AJ2330" s="1">
        <v>1</v>
      </c>
      <c r="AK2330" s="1" t="str">
        <f t="shared" si="36"/>
        <v xml:space="preserve"> =&lt;90</v>
      </c>
      <c r="AL2330" s="1" t="str">
        <f>VLOOKUP(C:C,[1]基础信息!B$1:D$65536,3,0)</f>
        <v>Jug</v>
      </c>
      <c r="AM2330" s="1" t="str">
        <f>VLOOKUP(C:C,[1]基础信息!B$1:E$65536,4,0)</f>
        <v>Mxplus</v>
      </c>
      <c r="AN2330" s="1" t="str">
        <f>VLOOKUP(C:C,[1]基础信息!B$1:F$65536,5,0)</f>
        <v xml:space="preserve"> lime</v>
      </c>
    </row>
    <row r="2331" spans="1:40">
      <c r="A2331" s="1" t="s">
        <v>41</v>
      </c>
      <c r="B2331" s="1" t="s">
        <v>42</v>
      </c>
      <c r="C2331" s="1" t="s">
        <v>5254</v>
      </c>
      <c r="D2331" s="1" t="s">
        <v>5255</v>
      </c>
      <c r="E2331" s="1" t="s">
        <v>45</v>
      </c>
      <c r="F2331" s="1" t="s">
        <v>5407</v>
      </c>
      <c r="G2331" s="1" t="s">
        <v>5408</v>
      </c>
      <c r="H2331" s="1" t="s">
        <v>5409</v>
      </c>
      <c r="I2331" s="1" t="s">
        <v>49</v>
      </c>
      <c r="J2331" s="1" t="s">
        <v>48</v>
      </c>
      <c r="K2331" s="1">
        <v>2200</v>
      </c>
      <c r="L2331" s="1">
        <v>0</v>
      </c>
      <c r="M2331" s="1">
        <v>0</v>
      </c>
      <c r="N2331" s="1">
        <v>2200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 t="s">
        <v>49</v>
      </c>
      <c r="AA2331" s="1" t="s">
        <v>49</v>
      </c>
      <c r="AB2331" s="1" t="s">
        <v>49</v>
      </c>
      <c r="AC2331" s="1" t="s">
        <v>5410</v>
      </c>
      <c r="AD2331" s="1" t="s">
        <v>5411</v>
      </c>
      <c r="AE2331" s="1" t="s">
        <v>5410</v>
      </c>
      <c r="AF2331" s="1" t="s">
        <v>5412</v>
      </c>
      <c r="AG2331" s="1" t="s">
        <v>53</v>
      </c>
      <c r="AH2331" s="1" t="s">
        <v>49</v>
      </c>
      <c r="AI2331" s="1" t="s">
        <v>54</v>
      </c>
      <c r="AJ2331" s="1">
        <v>1</v>
      </c>
      <c r="AK2331" s="1" t="str">
        <f t="shared" si="36"/>
        <v xml:space="preserve"> =&lt;90</v>
      </c>
      <c r="AL2331" s="1" t="str">
        <f>VLOOKUP(C:C,[1]基础信息!B$1:D$65536,3,0)</f>
        <v xml:space="preserve">Cartridge </v>
      </c>
      <c r="AM2331" s="1" t="str">
        <f>VLOOKUP(C:C,[1]基础信息!B$1:E$65536,4,0)</f>
        <v>UNIV</v>
      </c>
      <c r="AN2331" s="1" t="str">
        <f>VLOOKUP(C:C,[1]基础信息!B$1:F$65536,5,0)</f>
        <v>P55</v>
      </c>
    </row>
    <row r="2332" spans="1:40">
      <c r="A2332" s="1" t="s">
        <v>41</v>
      </c>
      <c r="B2332" s="1" t="s">
        <v>42</v>
      </c>
      <c r="C2332" s="1" t="s">
        <v>5254</v>
      </c>
      <c r="D2332" s="1" t="s">
        <v>5255</v>
      </c>
      <c r="E2332" s="1" t="s">
        <v>45</v>
      </c>
      <c r="F2332" s="1" t="s">
        <v>5407</v>
      </c>
      <c r="G2332" s="1" t="s">
        <v>5413</v>
      </c>
      <c r="H2332" s="1" t="s">
        <v>5414</v>
      </c>
      <c r="I2332" s="1" t="s">
        <v>49</v>
      </c>
      <c r="J2332" s="1" t="s">
        <v>48</v>
      </c>
      <c r="K2332" s="1">
        <v>2200</v>
      </c>
      <c r="L2332" s="1">
        <v>0</v>
      </c>
      <c r="M2332" s="1">
        <v>0</v>
      </c>
      <c r="N2332" s="1">
        <v>2200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 t="s">
        <v>49</v>
      </c>
      <c r="AA2332" s="1" t="s">
        <v>49</v>
      </c>
      <c r="AB2332" s="1" t="s">
        <v>49</v>
      </c>
      <c r="AC2332" s="1" t="s">
        <v>5410</v>
      </c>
      <c r="AD2332" s="1" t="s">
        <v>5411</v>
      </c>
      <c r="AE2332" s="1" t="s">
        <v>5410</v>
      </c>
      <c r="AF2332" s="1" t="s">
        <v>5412</v>
      </c>
      <c r="AG2332" s="1" t="s">
        <v>53</v>
      </c>
      <c r="AH2332" s="1" t="s">
        <v>49</v>
      </c>
      <c r="AI2332" s="1" t="s">
        <v>54</v>
      </c>
      <c r="AJ2332" s="1">
        <v>1</v>
      </c>
      <c r="AK2332" s="1" t="str">
        <f t="shared" si="36"/>
        <v xml:space="preserve"> =&lt;90</v>
      </c>
      <c r="AL2332" s="1" t="str">
        <f>VLOOKUP(C:C,[1]基础信息!B$1:D$65536,3,0)</f>
        <v xml:space="preserve">Cartridge </v>
      </c>
      <c r="AM2332" s="1" t="str">
        <f>VLOOKUP(C:C,[1]基础信息!B$1:E$65536,4,0)</f>
        <v>UNIV</v>
      </c>
      <c r="AN2332" s="1" t="str">
        <f>VLOOKUP(C:C,[1]基础信息!B$1:F$65536,5,0)</f>
        <v>P55</v>
      </c>
    </row>
    <row r="2333" spans="1:40">
      <c r="A2333" s="1" t="s">
        <v>41</v>
      </c>
      <c r="B2333" s="1" t="s">
        <v>42</v>
      </c>
      <c r="C2333" s="1" t="s">
        <v>5254</v>
      </c>
      <c r="D2333" s="1" t="s">
        <v>5255</v>
      </c>
      <c r="E2333" s="1" t="s">
        <v>45</v>
      </c>
      <c r="F2333" s="1" t="s">
        <v>5407</v>
      </c>
      <c r="G2333" s="1" t="s">
        <v>5415</v>
      </c>
      <c r="H2333" s="1" t="s">
        <v>5416</v>
      </c>
      <c r="I2333" s="1" t="s">
        <v>49</v>
      </c>
      <c r="J2333" s="1" t="s">
        <v>48</v>
      </c>
      <c r="K2333" s="1">
        <v>2200</v>
      </c>
      <c r="L2333" s="1">
        <v>0</v>
      </c>
      <c r="M2333" s="1">
        <v>0</v>
      </c>
      <c r="N2333" s="1">
        <v>2200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 t="s">
        <v>49</v>
      </c>
      <c r="AA2333" s="1" t="s">
        <v>49</v>
      </c>
      <c r="AB2333" s="1" t="s">
        <v>49</v>
      </c>
      <c r="AC2333" s="1" t="s">
        <v>5410</v>
      </c>
      <c r="AD2333" s="1" t="s">
        <v>5411</v>
      </c>
      <c r="AE2333" s="1" t="s">
        <v>5410</v>
      </c>
      <c r="AF2333" s="1" t="s">
        <v>5412</v>
      </c>
      <c r="AG2333" s="1" t="s">
        <v>53</v>
      </c>
      <c r="AH2333" s="1" t="s">
        <v>49</v>
      </c>
      <c r="AI2333" s="1" t="s">
        <v>54</v>
      </c>
      <c r="AJ2333" s="1">
        <v>1</v>
      </c>
      <c r="AK2333" s="1" t="str">
        <f t="shared" si="36"/>
        <v xml:space="preserve"> =&lt;90</v>
      </c>
      <c r="AL2333" s="1" t="str">
        <f>VLOOKUP(C:C,[1]基础信息!B$1:D$65536,3,0)</f>
        <v xml:space="preserve">Cartridge </v>
      </c>
      <c r="AM2333" s="1" t="str">
        <f>VLOOKUP(C:C,[1]基础信息!B$1:E$65536,4,0)</f>
        <v>UNIV</v>
      </c>
      <c r="AN2333" s="1" t="str">
        <f>VLOOKUP(C:C,[1]基础信息!B$1:F$65536,5,0)</f>
        <v>P55</v>
      </c>
    </row>
    <row r="2334" spans="1:40">
      <c r="A2334" s="1" t="s">
        <v>41</v>
      </c>
      <c r="B2334" s="1" t="s">
        <v>42</v>
      </c>
      <c r="C2334" s="1" t="s">
        <v>5254</v>
      </c>
      <c r="D2334" s="1" t="s">
        <v>5255</v>
      </c>
      <c r="E2334" s="1" t="s">
        <v>45</v>
      </c>
      <c r="F2334" s="1" t="s">
        <v>5407</v>
      </c>
      <c r="G2334" s="1" t="s">
        <v>5417</v>
      </c>
      <c r="H2334" s="1" t="s">
        <v>5418</v>
      </c>
      <c r="I2334" s="1" t="s">
        <v>49</v>
      </c>
      <c r="J2334" s="1" t="s">
        <v>48</v>
      </c>
      <c r="K2334" s="1">
        <v>2200</v>
      </c>
      <c r="L2334" s="1">
        <v>0</v>
      </c>
      <c r="M2334" s="1">
        <v>0</v>
      </c>
      <c r="N2334" s="1">
        <v>2200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 t="s">
        <v>49</v>
      </c>
      <c r="AA2334" s="1" t="s">
        <v>49</v>
      </c>
      <c r="AB2334" s="1" t="s">
        <v>49</v>
      </c>
      <c r="AC2334" s="1" t="s">
        <v>5410</v>
      </c>
      <c r="AD2334" s="1" t="s">
        <v>5411</v>
      </c>
      <c r="AE2334" s="1" t="s">
        <v>5410</v>
      </c>
      <c r="AF2334" s="1" t="s">
        <v>5412</v>
      </c>
      <c r="AG2334" s="1" t="s">
        <v>53</v>
      </c>
      <c r="AH2334" s="1" t="s">
        <v>49</v>
      </c>
      <c r="AI2334" s="1" t="s">
        <v>54</v>
      </c>
      <c r="AJ2334" s="1">
        <v>1</v>
      </c>
      <c r="AK2334" s="1" t="str">
        <f t="shared" si="36"/>
        <v xml:space="preserve"> =&lt;90</v>
      </c>
      <c r="AL2334" s="1" t="str">
        <f>VLOOKUP(C:C,[1]基础信息!B$1:D$65536,3,0)</f>
        <v xml:space="preserve">Cartridge </v>
      </c>
      <c r="AM2334" s="1" t="str">
        <f>VLOOKUP(C:C,[1]基础信息!B$1:E$65536,4,0)</f>
        <v>UNIV</v>
      </c>
      <c r="AN2334" s="1" t="str">
        <f>VLOOKUP(C:C,[1]基础信息!B$1:F$65536,5,0)</f>
        <v>P55</v>
      </c>
    </row>
    <row r="2335" spans="1:40">
      <c r="A2335" s="1" t="s">
        <v>41</v>
      </c>
      <c r="B2335" s="1" t="s">
        <v>42</v>
      </c>
      <c r="C2335" s="1" t="s">
        <v>4352</v>
      </c>
      <c r="D2335" s="1" t="s">
        <v>4353</v>
      </c>
      <c r="E2335" s="1" t="s">
        <v>45</v>
      </c>
      <c r="F2335" s="1" t="s">
        <v>5181</v>
      </c>
      <c r="G2335" s="1" t="s">
        <v>5419</v>
      </c>
      <c r="H2335" s="1" t="s">
        <v>5420</v>
      </c>
      <c r="I2335" s="1" t="s">
        <v>49</v>
      </c>
      <c r="J2335" s="1" t="s">
        <v>48</v>
      </c>
      <c r="K2335" s="1">
        <v>336</v>
      </c>
      <c r="L2335" s="1">
        <v>0</v>
      </c>
      <c r="M2335" s="1">
        <v>0</v>
      </c>
      <c r="N2335" s="1">
        <v>336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 t="s">
        <v>49</v>
      </c>
      <c r="AA2335" s="1" t="s">
        <v>49</v>
      </c>
      <c r="AB2335" s="1" t="s">
        <v>49</v>
      </c>
      <c r="AC2335" s="1" t="s">
        <v>5184</v>
      </c>
      <c r="AD2335" s="1" t="s">
        <v>5185</v>
      </c>
      <c r="AE2335" s="1" t="s">
        <v>5184</v>
      </c>
      <c r="AF2335" s="1" t="s">
        <v>5186</v>
      </c>
      <c r="AG2335" s="1" t="s">
        <v>53</v>
      </c>
      <c r="AH2335" s="1" t="s">
        <v>49</v>
      </c>
      <c r="AI2335" s="1" t="s">
        <v>54</v>
      </c>
      <c r="AJ2335" s="1">
        <v>1</v>
      </c>
      <c r="AK2335" s="1" t="str">
        <f t="shared" si="36"/>
        <v xml:space="preserve"> =&lt;90</v>
      </c>
      <c r="AL2335" s="1" t="e">
        <f>VLOOKUP(C:C,[1]基础信息!B$1:D$65536,3,0)</f>
        <v>#N/A</v>
      </c>
      <c r="AM2335" s="1" t="e">
        <f>VLOOKUP(C:C,[1]基础信息!B$1:E$65536,4,0)</f>
        <v>#N/A</v>
      </c>
      <c r="AN2335" s="1" t="e">
        <f>VLOOKUP(C:C,[1]基础信息!B$1:F$65536,5,0)</f>
        <v>#N/A</v>
      </c>
    </row>
    <row r="2336" spans="1:40">
      <c r="A2336" s="1" t="s">
        <v>41</v>
      </c>
      <c r="B2336" s="1" t="s">
        <v>42</v>
      </c>
      <c r="C2336" s="1" t="s">
        <v>3971</v>
      </c>
      <c r="D2336" s="1" t="s">
        <v>3972</v>
      </c>
      <c r="E2336" s="1" t="s">
        <v>45</v>
      </c>
      <c r="F2336" s="1" t="s">
        <v>5380</v>
      </c>
      <c r="G2336" s="1" t="s">
        <v>5421</v>
      </c>
      <c r="H2336" s="1" t="s">
        <v>5422</v>
      </c>
      <c r="I2336" s="1" t="s">
        <v>49</v>
      </c>
      <c r="J2336" s="1" t="s">
        <v>48</v>
      </c>
      <c r="K2336" s="1">
        <v>96</v>
      </c>
      <c r="L2336" s="1">
        <v>0</v>
      </c>
      <c r="M2336" s="1">
        <v>0</v>
      </c>
      <c r="N2336" s="1">
        <v>96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 t="s">
        <v>49</v>
      </c>
      <c r="AA2336" s="1" t="s">
        <v>49</v>
      </c>
      <c r="AB2336" s="1" t="s">
        <v>49</v>
      </c>
      <c r="AC2336" s="1" t="s">
        <v>1408</v>
      </c>
      <c r="AD2336" s="1" t="s">
        <v>1409</v>
      </c>
      <c r="AE2336" s="1" t="s">
        <v>1408</v>
      </c>
      <c r="AF2336" s="1" t="s">
        <v>1172</v>
      </c>
      <c r="AG2336" s="1" t="s">
        <v>53</v>
      </c>
      <c r="AH2336" s="1" t="s">
        <v>49</v>
      </c>
      <c r="AI2336" s="1" t="s">
        <v>54</v>
      </c>
      <c r="AJ2336" s="1">
        <v>1</v>
      </c>
      <c r="AK2336" s="1" t="str">
        <f t="shared" si="36"/>
        <v xml:space="preserve"> =&lt;90</v>
      </c>
      <c r="AL2336" s="1" t="str">
        <f>VLOOKUP(C:C,[1]基础信息!B$1:D$65536,3,0)</f>
        <v>Jug</v>
      </c>
      <c r="AM2336" s="1" t="str">
        <f>VLOOKUP(C:C,[1]基础信息!B$1:E$65536,4,0)</f>
        <v>Mxplus</v>
      </c>
      <c r="AN2336" s="1" t="str">
        <f>VLOOKUP(C:C,[1]基础信息!B$1:F$65536,5,0)</f>
        <v xml:space="preserve"> lime</v>
      </c>
    </row>
    <row r="2337" spans="1:40">
      <c r="A2337" s="1" t="s">
        <v>41</v>
      </c>
      <c r="B2337" s="1" t="s">
        <v>42</v>
      </c>
      <c r="C2337" s="1" t="s">
        <v>4273</v>
      </c>
      <c r="D2337" s="1" t="s">
        <v>4274</v>
      </c>
      <c r="E2337" s="1" t="s">
        <v>45</v>
      </c>
      <c r="F2337" s="1" t="s">
        <v>5217</v>
      </c>
      <c r="G2337" s="1" t="s">
        <v>5423</v>
      </c>
      <c r="H2337" s="1" t="s">
        <v>5424</v>
      </c>
      <c r="I2337" s="1" t="s">
        <v>49</v>
      </c>
      <c r="J2337" s="1" t="s">
        <v>48</v>
      </c>
      <c r="K2337" s="1">
        <v>840</v>
      </c>
      <c r="L2337" s="1">
        <v>0</v>
      </c>
      <c r="M2337" s="1">
        <v>0</v>
      </c>
      <c r="N2337" s="1">
        <v>840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 t="s">
        <v>49</v>
      </c>
      <c r="AA2337" s="1" t="s">
        <v>49</v>
      </c>
      <c r="AB2337" s="1" t="s">
        <v>49</v>
      </c>
      <c r="AC2337" s="1" t="s">
        <v>5220</v>
      </c>
      <c r="AD2337" s="1" t="s">
        <v>5221</v>
      </c>
      <c r="AE2337" s="1" t="s">
        <v>5220</v>
      </c>
      <c r="AF2337" s="1" t="s">
        <v>5222</v>
      </c>
      <c r="AG2337" s="1" t="s">
        <v>53</v>
      </c>
      <c r="AH2337" s="1" t="s">
        <v>49</v>
      </c>
      <c r="AI2337" s="1" t="s">
        <v>54</v>
      </c>
      <c r="AJ2337" s="1">
        <v>1</v>
      </c>
      <c r="AK2337" s="1" t="str">
        <f t="shared" si="36"/>
        <v xml:space="preserve"> =&lt;90</v>
      </c>
      <c r="AL2337" s="1" t="e">
        <f>VLOOKUP(C:C,[1]基础信息!B$1:D$65536,3,0)</f>
        <v>#N/A</v>
      </c>
      <c r="AM2337" s="1" t="e">
        <f>VLOOKUP(C:C,[1]基础信息!B$1:E$65536,4,0)</f>
        <v>#N/A</v>
      </c>
      <c r="AN2337" s="1" t="e">
        <f>VLOOKUP(C:C,[1]基础信息!B$1:F$65536,5,0)</f>
        <v>#N/A</v>
      </c>
    </row>
    <row r="2338" spans="1:40">
      <c r="A2338" s="1" t="s">
        <v>41</v>
      </c>
      <c r="B2338" s="1" t="s">
        <v>42</v>
      </c>
      <c r="C2338" s="1" t="s">
        <v>3971</v>
      </c>
      <c r="D2338" s="1" t="s">
        <v>3972</v>
      </c>
      <c r="E2338" s="1" t="s">
        <v>45</v>
      </c>
      <c r="F2338" s="1" t="s">
        <v>5191</v>
      </c>
      <c r="G2338" s="1" t="s">
        <v>5425</v>
      </c>
      <c r="H2338" s="1" t="s">
        <v>5426</v>
      </c>
      <c r="I2338" s="1" t="s">
        <v>49</v>
      </c>
      <c r="J2338" s="1" t="s">
        <v>48</v>
      </c>
      <c r="K2338" s="1">
        <v>96</v>
      </c>
      <c r="L2338" s="1">
        <v>0</v>
      </c>
      <c r="M2338" s="1">
        <v>0</v>
      </c>
      <c r="N2338" s="1">
        <v>96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 t="s">
        <v>49</v>
      </c>
      <c r="AA2338" s="1" t="s">
        <v>49</v>
      </c>
      <c r="AB2338" s="1" t="s">
        <v>49</v>
      </c>
      <c r="AC2338" s="1" t="s">
        <v>376</v>
      </c>
      <c r="AD2338" s="1" t="s">
        <v>377</v>
      </c>
      <c r="AE2338" s="1" t="s">
        <v>376</v>
      </c>
      <c r="AF2338" s="1" t="s">
        <v>5194</v>
      </c>
      <c r="AG2338" s="1" t="s">
        <v>53</v>
      </c>
      <c r="AH2338" s="1" t="s">
        <v>49</v>
      </c>
      <c r="AI2338" s="1" t="s">
        <v>54</v>
      </c>
      <c r="AJ2338" s="1">
        <v>1</v>
      </c>
      <c r="AK2338" s="1" t="str">
        <f t="shared" si="36"/>
        <v xml:space="preserve"> =&lt;90</v>
      </c>
      <c r="AL2338" s="1" t="str">
        <f>VLOOKUP(C:C,[1]基础信息!B$1:D$65536,3,0)</f>
        <v>Jug</v>
      </c>
      <c r="AM2338" s="1" t="str">
        <f>VLOOKUP(C:C,[1]基础信息!B$1:E$65536,4,0)</f>
        <v>Mxplus</v>
      </c>
      <c r="AN2338" s="1" t="str">
        <f>VLOOKUP(C:C,[1]基础信息!B$1:F$65536,5,0)</f>
        <v xml:space="preserve"> lime</v>
      </c>
    </row>
    <row r="2339" spans="1:40">
      <c r="A2339" s="1" t="s">
        <v>41</v>
      </c>
      <c r="B2339" s="1" t="s">
        <v>42</v>
      </c>
      <c r="C2339" s="1" t="s">
        <v>3971</v>
      </c>
      <c r="D2339" s="1" t="s">
        <v>3972</v>
      </c>
      <c r="E2339" s="1" t="s">
        <v>45</v>
      </c>
      <c r="F2339" s="1" t="s">
        <v>5191</v>
      </c>
      <c r="G2339" s="1" t="s">
        <v>5427</v>
      </c>
      <c r="H2339" s="1" t="s">
        <v>5428</v>
      </c>
      <c r="I2339" s="1" t="s">
        <v>49</v>
      </c>
      <c r="J2339" s="1" t="s">
        <v>48</v>
      </c>
      <c r="K2339" s="1">
        <v>96</v>
      </c>
      <c r="L2339" s="1">
        <v>0</v>
      </c>
      <c r="M2339" s="1">
        <v>0</v>
      </c>
      <c r="N2339" s="1">
        <v>96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 t="s">
        <v>49</v>
      </c>
      <c r="AA2339" s="1" t="s">
        <v>49</v>
      </c>
      <c r="AB2339" s="1" t="s">
        <v>49</v>
      </c>
      <c r="AC2339" s="1" t="s">
        <v>376</v>
      </c>
      <c r="AD2339" s="1" t="s">
        <v>377</v>
      </c>
      <c r="AE2339" s="1" t="s">
        <v>376</v>
      </c>
      <c r="AF2339" s="1" t="s">
        <v>5194</v>
      </c>
      <c r="AG2339" s="1" t="s">
        <v>53</v>
      </c>
      <c r="AH2339" s="1" t="s">
        <v>49</v>
      </c>
      <c r="AI2339" s="1" t="s">
        <v>54</v>
      </c>
      <c r="AJ2339" s="1">
        <v>1</v>
      </c>
      <c r="AK2339" s="1" t="str">
        <f t="shared" si="36"/>
        <v xml:space="preserve"> =&lt;90</v>
      </c>
      <c r="AL2339" s="1" t="str">
        <f>VLOOKUP(C:C,[1]基础信息!B$1:D$65536,3,0)</f>
        <v>Jug</v>
      </c>
      <c r="AM2339" s="1" t="str">
        <f>VLOOKUP(C:C,[1]基础信息!B$1:E$65536,4,0)</f>
        <v>Mxplus</v>
      </c>
      <c r="AN2339" s="1" t="str">
        <f>VLOOKUP(C:C,[1]基础信息!B$1:F$65536,5,0)</f>
        <v xml:space="preserve"> lime</v>
      </c>
    </row>
    <row r="2340" spans="1:40">
      <c r="A2340" s="1" t="s">
        <v>41</v>
      </c>
      <c r="B2340" s="1" t="s">
        <v>42</v>
      </c>
      <c r="C2340" s="1" t="s">
        <v>3971</v>
      </c>
      <c r="D2340" s="1" t="s">
        <v>3972</v>
      </c>
      <c r="E2340" s="1" t="s">
        <v>45</v>
      </c>
      <c r="F2340" s="1" t="s">
        <v>5380</v>
      </c>
      <c r="G2340" s="1" t="s">
        <v>5429</v>
      </c>
      <c r="H2340" s="1" t="s">
        <v>5430</v>
      </c>
      <c r="I2340" s="1" t="s">
        <v>49</v>
      </c>
      <c r="J2340" s="1" t="s">
        <v>48</v>
      </c>
      <c r="K2340" s="1">
        <v>96</v>
      </c>
      <c r="L2340" s="1">
        <v>0</v>
      </c>
      <c r="M2340" s="1">
        <v>0</v>
      </c>
      <c r="N2340" s="1">
        <v>96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 t="s">
        <v>49</v>
      </c>
      <c r="AA2340" s="1" t="s">
        <v>49</v>
      </c>
      <c r="AB2340" s="1" t="s">
        <v>49</v>
      </c>
      <c r="AC2340" s="1" t="s">
        <v>1408</v>
      </c>
      <c r="AD2340" s="1" t="s">
        <v>1409</v>
      </c>
      <c r="AE2340" s="1" t="s">
        <v>1408</v>
      </c>
      <c r="AF2340" s="1" t="s">
        <v>1172</v>
      </c>
      <c r="AG2340" s="1" t="s">
        <v>53</v>
      </c>
      <c r="AH2340" s="1" t="s">
        <v>49</v>
      </c>
      <c r="AI2340" s="1" t="s">
        <v>54</v>
      </c>
      <c r="AJ2340" s="1">
        <v>1</v>
      </c>
      <c r="AK2340" s="1" t="str">
        <f t="shared" si="36"/>
        <v xml:space="preserve"> =&lt;90</v>
      </c>
      <c r="AL2340" s="1" t="str">
        <f>VLOOKUP(C:C,[1]基础信息!B$1:D$65536,3,0)</f>
        <v>Jug</v>
      </c>
      <c r="AM2340" s="1" t="str">
        <f>VLOOKUP(C:C,[1]基础信息!B$1:E$65536,4,0)</f>
        <v>Mxplus</v>
      </c>
      <c r="AN2340" s="1" t="str">
        <f>VLOOKUP(C:C,[1]基础信息!B$1:F$65536,5,0)</f>
        <v xml:space="preserve"> lime</v>
      </c>
    </row>
    <row r="2341" spans="1:40">
      <c r="A2341" s="1" t="s">
        <v>41</v>
      </c>
      <c r="B2341" s="1" t="s">
        <v>42</v>
      </c>
      <c r="C2341" s="1" t="s">
        <v>3971</v>
      </c>
      <c r="D2341" s="1" t="s">
        <v>3972</v>
      </c>
      <c r="E2341" s="1" t="s">
        <v>45</v>
      </c>
      <c r="F2341" s="1" t="s">
        <v>5380</v>
      </c>
      <c r="G2341" s="1" t="s">
        <v>5431</v>
      </c>
      <c r="H2341" s="1" t="s">
        <v>5432</v>
      </c>
      <c r="I2341" s="1" t="s">
        <v>49</v>
      </c>
      <c r="J2341" s="1" t="s">
        <v>48</v>
      </c>
      <c r="K2341" s="1">
        <v>96</v>
      </c>
      <c r="L2341" s="1">
        <v>0</v>
      </c>
      <c r="M2341" s="1">
        <v>0</v>
      </c>
      <c r="N2341" s="1">
        <v>96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 t="s">
        <v>49</v>
      </c>
      <c r="AA2341" s="1" t="s">
        <v>49</v>
      </c>
      <c r="AB2341" s="1" t="s">
        <v>49</v>
      </c>
      <c r="AC2341" s="1" t="s">
        <v>1408</v>
      </c>
      <c r="AD2341" s="1" t="s">
        <v>1409</v>
      </c>
      <c r="AE2341" s="1" t="s">
        <v>1408</v>
      </c>
      <c r="AF2341" s="1" t="s">
        <v>1172</v>
      </c>
      <c r="AG2341" s="1" t="s">
        <v>53</v>
      </c>
      <c r="AH2341" s="1" t="s">
        <v>49</v>
      </c>
      <c r="AI2341" s="1" t="s">
        <v>54</v>
      </c>
      <c r="AJ2341" s="1">
        <v>1</v>
      </c>
      <c r="AK2341" s="1" t="str">
        <f t="shared" si="36"/>
        <v xml:space="preserve"> =&lt;90</v>
      </c>
      <c r="AL2341" s="1" t="str">
        <f>VLOOKUP(C:C,[1]基础信息!B$1:D$65536,3,0)</f>
        <v>Jug</v>
      </c>
      <c r="AM2341" s="1" t="str">
        <f>VLOOKUP(C:C,[1]基础信息!B$1:E$65536,4,0)</f>
        <v>Mxplus</v>
      </c>
      <c r="AN2341" s="1" t="str">
        <f>VLOOKUP(C:C,[1]基础信息!B$1:F$65536,5,0)</f>
        <v xml:space="preserve"> lime</v>
      </c>
    </row>
    <row r="2342" spans="1:40">
      <c r="A2342" s="1" t="s">
        <v>41</v>
      </c>
      <c r="B2342" s="1" t="s">
        <v>42</v>
      </c>
      <c r="C2342" s="1" t="s">
        <v>4352</v>
      </c>
      <c r="D2342" s="1" t="s">
        <v>4353</v>
      </c>
      <c r="E2342" s="1" t="s">
        <v>45</v>
      </c>
      <c r="F2342" s="1" t="s">
        <v>5181</v>
      </c>
      <c r="G2342" s="1" t="s">
        <v>5433</v>
      </c>
      <c r="H2342" s="1" t="s">
        <v>5434</v>
      </c>
      <c r="I2342" s="1" t="s">
        <v>49</v>
      </c>
      <c r="J2342" s="1" t="s">
        <v>48</v>
      </c>
      <c r="K2342" s="1">
        <v>336</v>
      </c>
      <c r="L2342" s="1">
        <v>0</v>
      </c>
      <c r="M2342" s="1">
        <v>0</v>
      </c>
      <c r="N2342" s="1">
        <v>336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 t="s">
        <v>49</v>
      </c>
      <c r="AA2342" s="1" t="s">
        <v>49</v>
      </c>
      <c r="AB2342" s="1" t="s">
        <v>49</v>
      </c>
      <c r="AC2342" s="1" t="s">
        <v>5184</v>
      </c>
      <c r="AD2342" s="1" t="s">
        <v>5185</v>
      </c>
      <c r="AE2342" s="1" t="s">
        <v>5184</v>
      </c>
      <c r="AF2342" s="1" t="s">
        <v>5186</v>
      </c>
      <c r="AG2342" s="1" t="s">
        <v>53</v>
      </c>
      <c r="AH2342" s="1" t="s">
        <v>49</v>
      </c>
      <c r="AI2342" s="1" t="s">
        <v>54</v>
      </c>
      <c r="AJ2342" s="1">
        <v>1</v>
      </c>
      <c r="AK2342" s="1" t="str">
        <f t="shared" si="36"/>
        <v xml:space="preserve"> =&lt;90</v>
      </c>
      <c r="AL2342" s="1" t="e">
        <f>VLOOKUP(C:C,[1]基础信息!B$1:D$65536,3,0)</f>
        <v>#N/A</v>
      </c>
      <c r="AM2342" s="1" t="e">
        <f>VLOOKUP(C:C,[1]基础信息!B$1:E$65536,4,0)</f>
        <v>#N/A</v>
      </c>
      <c r="AN2342" s="1" t="e">
        <f>VLOOKUP(C:C,[1]基础信息!B$1:F$65536,5,0)</f>
        <v>#N/A</v>
      </c>
    </row>
    <row r="2343" spans="1:40">
      <c r="A2343" s="1" t="s">
        <v>41</v>
      </c>
      <c r="B2343" s="1" t="s">
        <v>42</v>
      </c>
      <c r="C2343" s="1" t="s">
        <v>3971</v>
      </c>
      <c r="D2343" s="1" t="s">
        <v>3972</v>
      </c>
      <c r="E2343" s="1" t="s">
        <v>45</v>
      </c>
      <c r="F2343" s="1" t="s">
        <v>5380</v>
      </c>
      <c r="G2343" s="1" t="s">
        <v>5435</v>
      </c>
      <c r="H2343" s="1" t="s">
        <v>5436</v>
      </c>
      <c r="I2343" s="1" t="s">
        <v>49</v>
      </c>
      <c r="J2343" s="1" t="s">
        <v>48</v>
      </c>
      <c r="K2343" s="1">
        <v>96</v>
      </c>
      <c r="L2343" s="1">
        <v>0</v>
      </c>
      <c r="M2343" s="1">
        <v>0</v>
      </c>
      <c r="N2343" s="1">
        <v>96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 t="s">
        <v>49</v>
      </c>
      <c r="AA2343" s="1" t="s">
        <v>49</v>
      </c>
      <c r="AB2343" s="1" t="s">
        <v>49</v>
      </c>
      <c r="AC2343" s="1" t="s">
        <v>1408</v>
      </c>
      <c r="AD2343" s="1" t="s">
        <v>1409</v>
      </c>
      <c r="AE2343" s="1" t="s">
        <v>1408</v>
      </c>
      <c r="AF2343" s="1" t="s">
        <v>1172</v>
      </c>
      <c r="AG2343" s="1" t="s">
        <v>53</v>
      </c>
      <c r="AH2343" s="1" t="s">
        <v>49</v>
      </c>
      <c r="AI2343" s="1" t="s">
        <v>54</v>
      </c>
      <c r="AJ2343" s="1">
        <v>1</v>
      </c>
      <c r="AK2343" s="1" t="str">
        <f t="shared" si="36"/>
        <v xml:space="preserve"> =&lt;90</v>
      </c>
      <c r="AL2343" s="1" t="str">
        <f>VLOOKUP(C:C,[1]基础信息!B$1:D$65536,3,0)</f>
        <v>Jug</v>
      </c>
      <c r="AM2343" s="1" t="str">
        <f>VLOOKUP(C:C,[1]基础信息!B$1:E$65536,4,0)</f>
        <v>Mxplus</v>
      </c>
      <c r="AN2343" s="1" t="str">
        <f>VLOOKUP(C:C,[1]基础信息!B$1:F$65536,5,0)</f>
        <v xml:space="preserve"> lime</v>
      </c>
    </row>
    <row r="2344" spans="1:40">
      <c r="A2344" s="1" t="s">
        <v>41</v>
      </c>
      <c r="B2344" s="1" t="s">
        <v>42</v>
      </c>
      <c r="C2344" s="1" t="s">
        <v>4352</v>
      </c>
      <c r="D2344" s="1" t="s">
        <v>4353</v>
      </c>
      <c r="E2344" s="1" t="s">
        <v>45</v>
      </c>
      <c r="F2344" s="1" t="s">
        <v>5181</v>
      </c>
      <c r="G2344" s="1" t="s">
        <v>5437</v>
      </c>
      <c r="H2344" s="1" t="s">
        <v>5438</v>
      </c>
      <c r="I2344" s="1" t="s">
        <v>49</v>
      </c>
      <c r="J2344" s="1" t="s">
        <v>48</v>
      </c>
      <c r="K2344" s="1">
        <v>336</v>
      </c>
      <c r="L2344" s="1">
        <v>0</v>
      </c>
      <c r="M2344" s="1">
        <v>0</v>
      </c>
      <c r="N2344" s="1">
        <v>336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 t="s">
        <v>49</v>
      </c>
      <c r="AA2344" s="1" t="s">
        <v>49</v>
      </c>
      <c r="AB2344" s="1" t="s">
        <v>49</v>
      </c>
      <c r="AC2344" s="1" t="s">
        <v>5184</v>
      </c>
      <c r="AD2344" s="1" t="s">
        <v>5185</v>
      </c>
      <c r="AE2344" s="1" t="s">
        <v>5184</v>
      </c>
      <c r="AF2344" s="1" t="s">
        <v>5186</v>
      </c>
      <c r="AG2344" s="1" t="s">
        <v>53</v>
      </c>
      <c r="AH2344" s="1" t="s">
        <v>49</v>
      </c>
      <c r="AI2344" s="1" t="s">
        <v>54</v>
      </c>
      <c r="AJ2344" s="1">
        <v>1</v>
      </c>
      <c r="AK2344" s="1" t="str">
        <f t="shared" si="36"/>
        <v xml:space="preserve"> =&lt;90</v>
      </c>
      <c r="AL2344" s="1" t="e">
        <f>VLOOKUP(C:C,[1]基础信息!B$1:D$65536,3,0)</f>
        <v>#N/A</v>
      </c>
      <c r="AM2344" s="1" t="e">
        <f>VLOOKUP(C:C,[1]基础信息!B$1:E$65536,4,0)</f>
        <v>#N/A</v>
      </c>
      <c r="AN2344" s="1" t="e">
        <f>VLOOKUP(C:C,[1]基础信息!B$1:F$65536,5,0)</f>
        <v>#N/A</v>
      </c>
    </row>
    <row r="2345" spans="1:40">
      <c r="A2345" s="1" t="s">
        <v>41</v>
      </c>
      <c r="B2345" s="1" t="s">
        <v>42</v>
      </c>
      <c r="C2345" s="1" t="s">
        <v>4352</v>
      </c>
      <c r="D2345" s="1" t="s">
        <v>4353</v>
      </c>
      <c r="E2345" s="1" t="s">
        <v>45</v>
      </c>
      <c r="F2345" s="1" t="s">
        <v>5181</v>
      </c>
      <c r="G2345" s="1" t="s">
        <v>5439</v>
      </c>
      <c r="H2345" s="1" t="s">
        <v>5440</v>
      </c>
      <c r="I2345" s="1" t="s">
        <v>49</v>
      </c>
      <c r="J2345" s="1" t="s">
        <v>48</v>
      </c>
      <c r="K2345" s="1">
        <v>336</v>
      </c>
      <c r="L2345" s="1">
        <v>0</v>
      </c>
      <c r="M2345" s="1">
        <v>0</v>
      </c>
      <c r="N2345" s="1">
        <v>336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 t="s">
        <v>49</v>
      </c>
      <c r="AA2345" s="1" t="s">
        <v>49</v>
      </c>
      <c r="AB2345" s="1" t="s">
        <v>49</v>
      </c>
      <c r="AC2345" s="1" t="s">
        <v>5184</v>
      </c>
      <c r="AD2345" s="1" t="s">
        <v>5185</v>
      </c>
      <c r="AE2345" s="1" t="s">
        <v>5184</v>
      </c>
      <c r="AF2345" s="1" t="s">
        <v>5186</v>
      </c>
      <c r="AG2345" s="1" t="s">
        <v>53</v>
      </c>
      <c r="AH2345" s="1" t="s">
        <v>49</v>
      </c>
      <c r="AI2345" s="1" t="s">
        <v>54</v>
      </c>
      <c r="AJ2345" s="1">
        <v>1</v>
      </c>
      <c r="AK2345" s="1" t="str">
        <f t="shared" si="36"/>
        <v xml:space="preserve"> =&lt;90</v>
      </c>
      <c r="AL2345" s="1" t="e">
        <f>VLOOKUP(C:C,[1]基础信息!B$1:D$65536,3,0)</f>
        <v>#N/A</v>
      </c>
      <c r="AM2345" s="1" t="e">
        <f>VLOOKUP(C:C,[1]基础信息!B$1:E$65536,4,0)</f>
        <v>#N/A</v>
      </c>
      <c r="AN2345" s="1" t="e">
        <f>VLOOKUP(C:C,[1]基础信息!B$1:F$65536,5,0)</f>
        <v>#N/A</v>
      </c>
    </row>
    <row r="2346" spans="1:40">
      <c r="A2346" s="1" t="s">
        <v>41</v>
      </c>
      <c r="B2346" s="1" t="s">
        <v>42</v>
      </c>
      <c r="C2346" s="1" t="s">
        <v>3971</v>
      </c>
      <c r="D2346" s="1" t="s">
        <v>3972</v>
      </c>
      <c r="E2346" s="1" t="s">
        <v>45</v>
      </c>
      <c r="F2346" s="1" t="s">
        <v>5149</v>
      </c>
      <c r="G2346" s="1" t="s">
        <v>5441</v>
      </c>
      <c r="H2346" s="1" t="s">
        <v>5442</v>
      </c>
      <c r="I2346" s="1" t="s">
        <v>49</v>
      </c>
      <c r="J2346" s="1" t="s">
        <v>48</v>
      </c>
      <c r="K2346" s="1">
        <v>96</v>
      </c>
      <c r="L2346" s="1">
        <v>0</v>
      </c>
      <c r="M2346" s="1">
        <v>0</v>
      </c>
      <c r="N2346" s="1">
        <v>96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 t="s">
        <v>49</v>
      </c>
      <c r="AA2346" s="1" t="s">
        <v>49</v>
      </c>
      <c r="AB2346" s="1" t="s">
        <v>49</v>
      </c>
      <c r="AC2346" s="1" t="s">
        <v>88</v>
      </c>
      <c r="AD2346" s="1" t="s">
        <v>89</v>
      </c>
      <c r="AE2346" s="1" t="s">
        <v>88</v>
      </c>
      <c r="AF2346" s="1" t="s">
        <v>3349</v>
      </c>
      <c r="AG2346" s="1" t="s">
        <v>53</v>
      </c>
      <c r="AH2346" s="1" t="s">
        <v>49</v>
      </c>
      <c r="AI2346" s="1" t="s">
        <v>54</v>
      </c>
      <c r="AJ2346" s="1">
        <v>1</v>
      </c>
      <c r="AK2346" s="1" t="str">
        <f t="shared" si="36"/>
        <v xml:space="preserve"> =&lt;90</v>
      </c>
      <c r="AL2346" s="1" t="str">
        <f>VLOOKUP(C:C,[1]基础信息!B$1:D$65536,3,0)</f>
        <v>Jug</v>
      </c>
      <c r="AM2346" s="1" t="str">
        <f>VLOOKUP(C:C,[1]基础信息!B$1:E$65536,4,0)</f>
        <v>Mxplus</v>
      </c>
      <c r="AN2346" s="1" t="str">
        <f>VLOOKUP(C:C,[1]基础信息!B$1:F$65536,5,0)</f>
        <v xml:space="preserve"> lime</v>
      </c>
    </row>
    <row r="2347" spans="1:40">
      <c r="A2347" s="1" t="s">
        <v>41</v>
      </c>
      <c r="B2347" s="1" t="s">
        <v>42</v>
      </c>
      <c r="C2347" s="1" t="s">
        <v>4352</v>
      </c>
      <c r="D2347" s="1" t="s">
        <v>4353</v>
      </c>
      <c r="E2347" s="1" t="s">
        <v>45</v>
      </c>
      <c r="F2347" s="1" t="s">
        <v>5181</v>
      </c>
      <c r="G2347" s="1" t="s">
        <v>5443</v>
      </c>
      <c r="H2347" s="1" t="s">
        <v>5444</v>
      </c>
      <c r="I2347" s="1" t="s">
        <v>49</v>
      </c>
      <c r="J2347" s="1" t="s">
        <v>48</v>
      </c>
      <c r="K2347" s="1">
        <v>336</v>
      </c>
      <c r="L2347" s="1">
        <v>0</v>
      </c>
      <c r="M2347" s="1">
        <v>0</v>
      </c>
      <c r="N2347" s="1">
        <v>336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 t="s">
        <v>49</v>
      </c>
      <c r="AA2347" s="1" t="s">
        <v>49</v>
      </c>
      <c r="AB2347" s="1" t="s">
        <v>49</v>
      </c>
      <c r="AC2347" s="1" t="s">
        <v>5184</v>
      </c>
      <c r="AD2347" s="1" t="s">
        <v>5185</v>
      </c>
      <c r="AE2347" s="1" t="s">
        <v>5184</v>
      </c>
      <c r="AF2347" s="1" t="s">
        <v>5186</v>
      </c>
      <c r="AG2347" s="1" t="s">
        <v>53</v>
      </c>
      <c r="AH2347" s="1" t="s">
        <v>49</v>
      </c>
      <c r="AI2347" s="1" t="s">
        <v>54</v>
      </c>
      <c r="AJ2347" s="1">
        <v>1</v>
      </c>
      <c r="AK2347" s="1" t="str">
        <f t="shared" si="36"/>
        <v xml:space="preserve"> =&lt;90</v>
      </c>
      <c r="AL2347" s="1" t="e">
        <f>VLOOKUP(C:C,[1]基础信息!B$1:D$65536,3,0)</f>
        <v>#N/A</v>
      </c>
      <c r="AM2347" s="1" t="e">
        <f>VLOOKUP(C:C,[1]基础信息!B$1:E$65536,4,0)</f>
        <v>#N/A</v>
      </c>
      <c r="AN2347" s="1" t="e">
        <f>VLOOKUP(C:C,[1]基础信息!B$1:F$65536,5,0)</f>
        <v>#N/A</v>
      </c>
    </row>
    <row r="2348" spans="1:40">
      <c r="A2348" s="1" t="s">
        <v>41</v>
      </c>
      <c r="B2348" s="1" t="s">
        <v>42</v>
      </c>
      <c r="C2348" s="1" t="s">
        <v>4352</v>
      </c>
      <c r="D2348" s="1" t="s">
        <v>4353</v>
      </c>
      <c r="E2348" s="1" t="s">
        <v>45</v>
      </c>
      <c r="F2348" s="1" t="s">
        <v>5181</v>
      </c>
      <c r="G2348" s="1" t="s">
        <v>5445</v>
      </c>
      <c r="H2348" s="1" t="s">
        <v>5446</v>
      </c>
      <c r="I2348" s="1" t="s">
        <v>49</v>
      </c>
      <c r="J2348" s="1" t="s">
        <v>48</v>
      </c>
      <c r="K2348" s="1">
        <v>336</v>
      </c>
      <c r="L2348" s="1">
        <v>0</v>
      </c>
      <c r="M2348" s="1">
        <v>0</v>
      </c>
      <c r="N2348" s="1">
        <v>336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 t="s">
        <v>49</v>
      </c>
      <c r="AA2348" s="1" t="s">
        <v>49</v>
      </c>
      <c r="AB2348" s="1" t="s">
        <v>49</v>
      </c>
      <c r="AC2348" s="1" t="s">
        <v>5184</v>
      </c>
      <c r="AD2348" s="1" t="s">
        <v>5185</v>
      </c>
      <c r="AE2348" s="1" t="s">
        <v>5184</v>
      </c>
      <c r="AF2348" s="1" t="s">
        <v>5186</v>
      </c>
      <c r="AG2348" s="1" t="s">
        <v>53</v>
      </c>
      <c r="AH2348" s="1" t="s">
        <v>49</v>
      </c>
      <c r="AI2348" s="1" t="s">
        <v>54</v>
      </c>
      <c r="AJ2348" s="1">
        <v>1</v>
      </c>
      <c r="AK2348" s="1" t="str">
        <f t="shared" si="36"/>
        <v xml:space="preserve"> =&lt;90</v>
      </c>
      <c r="AL2348" s="1" t="e">
        <f>VLOOKUP(C:C,[1]基础信息!B$1:D$65536,3,0)</f>
        <v>#N/A</v>
      </c>
      <c r="AM2348" s="1" t="e">
        <f>VLOOKUP(C:C,[1]基础信息!B$1:E$65536,4,0)</f>
        <v>#N/A</v>
      </c>
      <c r="AN2348" s="1" t="e">
        <f>VLOOKUP(C:C,[1]基础信息!B$1:F$65536,5,0)</f>
        <v>#N/A</v>
      </c>
    </row>
    <row r="2349" spans="1:40">
      <c r="A2349" s="1" t="s">
        <v>41</v>
      </c>
      <c r="B2349" s="1" t="s">
        <v>42</v>
      </c>
      <c r="C2349" s="1" t="s">
        <v>3971</v>
      </c>
      <c r="D2349" s="1" t="s">
        <v>3972</v>
      </c>
      <c r="E2349" s="1" t="s">
        <v>45</v>
      </c>
      <c r="F2349" s="1" t="s">
        <v>5149</v>
      </c>
      <c r="G2349" s="1" t="s">
        <v>5447</v>
      </c>
      <c r="H2349" s="1" t="s">
        <v>5448</v>
      </c>
      <c r="I2349" s="1" t="s">
        <v>49</v>
      </c>
      <c r="J2349" s="1" t="s">
        <v>48</v>
      </c>
      <c r="K2349" s="1">
        <v>96</v>
      </c>
      <c r="L2349" s="1">
        <v>0</v>
      </c>
      <c r="M2349" s="1">
        <v>0</v>
      </c>
      <c r="N2349" s="1">
        <v>96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 t="s">
        <v>49</v>
      </c>
      <c r="AA2349" s="1" t="s">
        <v>49</v>
      </c>
      <c r="AB2349" s="1" t="s">
        <v>49</v>
      </c>
      <c r="AC2349" s="1" t="s">
        <v>88</v>
      </c>
      <c r="AD2349" s="1" t="s">
        <v>89</v>
      </c>
      <c r="AE2349" s="1" t="s">
        <v>88</v>
      </c>
      <c r="AF2349" s="1" t="s">
        <v>3349</v>
      </c>
      <c r="AG2349" s="1" t="s">
        <v>53</v>
      </c>
      <c r="AH2349" s="1" t="s">
        <v>49</v>
      </c>
      <c r="AI2349" s="1" t="s">
        <v>54</v>
      </c>
      <c r="AJ2349" s="1">
        <v>1</v>
      </c>
      <c r="AK2349" s="1" t="str">
        <f t="shared" si="36"/>
        <v xml:space="preserve"> =&lt;90</v>
      </c>
      <c r="AL2349" s="1" t="str">
        <f>VLOOKUP(C:C,[1]基础信息!B$1:D$65536,3,0)</f>
        <v>Jug</v>
      </c>
      <c r="AM2349" s="1" t="str">
        <f>VLOOKUP(C:C,[1]基础信息!B$1:E$65536,4,0)</f>
        <v>Mxplus</v>
      </c>
      <c r="AN2349" s="1" t="str">
        <f>VLOOKUP(C:C,[1]基础信息!B$1:F$65536,5,0)</f>
        <v xml:space="preserve"> lime</v>
      </c>
    </row>
    <row r="2350" spans="1:40">
      <c r="A2350" s="1" t="s">
        <v>41</v>
      </c>
      <c r="B2350" s="1" t="s">
        <v>42</v>
      </c>
      <c r="C2350" s="1" t="s">
        <v>3971</v>
      </c>
      <c r="D2350" s="1" t="s">
        <v>3972</v>
      </c>
      <c r="E2350" s="1" t="s">
        <v>45</v>
      </c>
      <c r="F2350" s="1" t="s">
        <v>5149</v>
      </c>
      <c r="G2350" s="1" t="s">
        <v>5449</v>
      </c>
      <c r="H2350" s="1" t="s">
        <v>5450</v>
      </c>
      <c r="I2350" s="1" t="s">
        <v>49</v>
      </c>
      <c r="J2350" s="1" t="s">
        <v>48</v>
      </c>
      <c r="K2350" s="1">
        <v>96</v>
      </c>
      <c r="L2350" s="1">
        <v>0</v>
      </c>
      <c r="M2350" s="1">
        <v>0</v>
      </c>
      <c r="N2350" s="1">
        <v>96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 t="s">
        <v>49</v>
      </c>
      <c r="AA2350" s="1" t="s">
        <v>49</v>
      </c>
      <c r="AB2350" s="1" t="s">
        <v>49</v>
      </c>
      <c r="AC2350" s="1" t="s">
        <v>88</v>
      </c>
      <c r="AD2350" s="1" t="s">
        <v>89</v>
      </c>
      <c r="AE2350" s="1" t="s">
        <v>88</v>
      </c>
      <c r="AF2350" s="1" t="s">
        <v>3349</v>
      </c>
      <c r="AG2350" s="1" t="s">
        <v>53</v>
      </c>
      <c r="AH2350" s="1" t="s">
        <v>49</v>
      </c>
      <c r="AI2350" s="1" t="s">
        <v>54</v>
      </c>
      <c r="AJ2350" s="1">
        <v>1</v>
      </c>
      <c r="AK2350" s="1" t="str">
        <f t="shared" si="36"/>
        <v xml:space="preserve"> =&lt;90</v>
      </c>
      <c r="AL2350" s="1" t="str">
        <f>VLOOKUP(C:C,[1]基础信息!B$1:D$65536,3,0)</f>
        <v>Jug</v>
      </c>
      <c r="AM2350" s="1" t="str">
        <f>VLOOKUP(C:C,[1]基础信息!B$1:E$65536,4,0)</f>
        <v>Mxplus</v>
      </c>
      <c r="AN2350" s="1" t="str">
        <f>VLOOKUP(C:C,[1]基础信息!B$1:F$65536,5,0)</f>
        <v xml:space="preserve"> lime</v>
      </c>
    </row>
    <row r="2351" spans="1:40">
      <c r="A2351" s="1" t="s">
        <v>41</v>
      </c>
      <c r="B2351" s="1" t="s">
        <v>42</v>
      </c>
      <c r="C2351" s="1" t="s">
        <v>4352</v>
      </c>
      <c r="D2351" s="1" t="s">
        <v>4353</v>
      </c>
      <c r="E2351" s="1" t="s">
        <v>45</v>
      </c>
      <c r="F2351" s="1" t="s">
        <v>5181</v>
      </c>
      <c r="G2351" s="1" t="s">
        <v>5451</v>
      </c>
      <c r="H2351" s="1" t="s">
        <v>5452</v>
      </c>
      <c r="I2351" s="1" t="s">
        <v>49</v>
      </c>
      <c r="J2351" s="1" t="s">
        <v>48</v>
      </c>
      <c r="K2351" s="1">
        <v>336</v>
      </c>
      <c r="L2351" s="1">
        <v>0</v>
      </c>
      <c r="M2351" s="1">
        <v>0</v>
      </c>
      <c r="N2351" s="1">
        <v>336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 t="s">
        <v>49</v>
      </c>
      <c r="AA2351" s="1" t="s">
        <v>49</v>
      </c>
      <c r="AB2351" s="1" t="s">
        <v>49</v>
      </c>
      <c r="AC2351" s="1" t="s">
        <v>5184</v>
      </c>
      <c r="AD2351" s="1" t="s">
        <v>5185</v>
      </c>
      <c r="AE2351" s="1" t="s">
        <v>5184</v>
      </c>
      <c r="AF2351" s="1" t="s">
        <v>5186</v>
      </c>
      <c r="AG2351" s="1" t="s">
        <v>53</v>
      </c>
      <c r="AH2351" s="1" t="s">
        <v>49</v>
      </c>
      <c r="AI2351" s="1" t="s">
        <v>54</v>
      </c>
      <c r="AJ2351" s="1">
        <v>1</v>
      </c>
      <c r="AK2351" s="1" t="str">
        <f t="shared" si="36"/>
        <v xml:space="preserve"> =&lt;90</v>
      </c>
      <c r="AL2351" s="1" t="e">
        <f>VLOOKUP(C:C,[1]基础信息!B$1:D$65536,3,0)</f>
        <v>#N/A</v>
      </c>
      <c r="AM2351" s="1" t="e">
        <f>VLOOKUP(C:C,[1]基础信息!B$1:E$65536,4,0)</f>
        <v>#N/A</v>
      </c>
      <c r="AN2351" s="1" t="e">
        <f>VLOOKUP(C:C,[1]基础信息!B$1:F$65536,5,0)</f>
        <v>#N/A</v>
      </c>
    </row>
    <row r="2352" spans="1:40">
      <c r="A2352" s="1" t="s">
        <v>41</v>
      </c>
      <c r="B2352" s="1" t="s">
        <v>42</v>
      </c>
      <c r="C2352" s="1" t="s">
        <v>5254</v>
      </c>
      <c r="D2352" s="1" t="s">
        <v>5255</v>
      </c>
      <c r="E2352" s="1" t="s">
        <v>45</v>
      </c>
      <c r="F2352" s="1" t="s">
        <v>5345</v>
      </c>
      <c r="G2352" s="1" t="s">
        <v>5453</v>
      </c>
      <c r="H2352" s="1" t="s">
        <v>5454</v>
      </c>
      <c r="I2352" s="1" t="s">
        <v>49</v>
      </c>
      <c r="J2352" s="1" t="s">
        <v>48</v>
      </c>
      <c r="K2352" s="1">
        <v>2200</v>
      </c>
      <c r="L2352" s="1">
        <v>0</v>
      </c>
      <c r="M2352" s="1">
        <v>0</v>
      </c>
      <c r="N2352" s="1">
        <v>2200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 t="s">
        <v>49</v>
      </c>
      <c r="AA2352" s="1" t="s">
        <v>49</v>
      </c>
      <c r="AB2352" s="1" t="s">
        <v>49</v>
      </c>
      <c r="AC2352" s="1" t="s">
        <v>5348</v>
      </c>
      <c r="AD2352" s="1" t="s">
        <v>5349</v>
      </c>
      <c r="AE2352" s="1" t="s">
        <v>5350</v>
      </c>
      <c r="AF2352" s="1" t="s">
        <v>5351</v>
      </c>
      <c r="AG2352" s="1" t="s">
        <v>53</v>
      </c>
      <c r="AH2352" s="1" t="s">
        <v>49</v>
      </c>
      <c r="AI2352" s="1" t="s">
        <v>54</v>
      </c>
      <c r="AJ2352" s="1">
        <v>1</v>
      </c>
      <c r="AK2352" s="1" t="str">
        <f t="shared" si="36"/>
        <v xml:space="preserve"> =&lt;90</v>
      </c>
      <c r="AL2352" s="1" t="str">
        <f>VLOOKUP(C:C,[1]基础信息!B$1:D$65536,3,0)</f>
        <v xml:space="preserve">Cartridge </v>
      </c>
      <c r="AM2352" s="1" t="str">
        <f>VLOOKUP(C:C,[1]基础信息!B$1:E$65536,4,0)</f>
        <v>UNIV</v>
      </c>
      <c r="AN2352" s="1" t="str">
        <f>VLOOKUP(C:C,[1]基础信息!B$1:F$65536,5,0)</f>
        <v>P55</v>
      </c>
    </row>
    <row r="2353" spans="1:40">
      <c r="A2353" s="1" t="s">
        <v>41</v>
      </c>
      <c r="B2353" s="1" t="s">
        <v>42</v>
      </c>
      <c r="C2353" s="1" t="s">
        <v>4352</v>
      </c>
      <c r="D2353" s="1" t="s">
        <v>4353</v>
      </c>
      <c r="E2353" s="1" t="s">
        <v>45</v>
      </c>
      <c r="F2353" s="1" t="s">
        <v>5181</v>
      </c>
      <c r="G2353" s="1" t="s">
        <v>5455</v>
      </c>
      <c r="H2353" s="1" t="s">
        <v>5456</v>
      </c>
      <c r="I2353" s="1" t="s">
        <v>49</v>
      </c>
      <c r="J2353" s="1" t="s">
        <v>48</v>
      </c>
      <c r="K2353" s="1">
        <v>336</v>
      </c>
      <c r="L2353" s="1">
        <v>0</v>
      </c>
      <c r="M2353" s="1">
        <v>0</v>
      </c>
      <c r="N2353" s="1">
        <v>336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 t="s">
        <v>49</v>
      </c>
      <c r="AA2353" s="1" t="s">
        <v>49</v>
      </c>
      <c r="AB2353" s="1" t="s">
        <v>49</v>
      </c>
      <c r="AC2353" s="1" t="s">
        <v>5184</v>
      </c>
      <c r="AD2353" s="1" t="s">
        <v>5185</v>
      </c>
      <c r="AE2353" s="1" t="s">
        <v>5184</v>
      </c>
      <c r="AF2353" s="1" t="s">
        <v>5186</v>
      </c>
      <c r="AG2353" s="1" t="s">
        <v>53</v>
      </c>
      <c r="AH2353" s="1" t="s">
        <v>49</v>
      </c>
      <c r="AI2353" s="1" t="s">
        <v>54</v>
      </c>
      <c r="AJ2353" s="1">
        <v>1</v>
      </c>
      <c r="AK2353" s="1" t="str">
        <f t="shared" si="36"/>
        <v xml:space="preserve"> =&lt;90</v>
      </c>
      <c r="AL2353" s="1" t="e">
        <f>VLOOKUP(C:C,[1]基础信息!B$1:D$65536,3,0)</f>
        <v>#N/A</v>
      </c>
      <c r="AM2353" s="1" t="e">
        <f>VLOOKUP(C:C,[1]基础信息!B$1:E$65536,4,0)</f>
        <v>#N/A</v>
      </c>
      <c r="AN2353" s="1" t="e">
        <f>VLOOKUP(C:C,[1]基础信息!B$1:F$65536,5,0)</f>
        <v>#N/A</v>
      </c>
    </row>
    <row r="2354" spans="1:40">
      <c r="A2354" s="1" t="s">
        <v>41</v>
      </c>
      <c r="B2354" s="1" t="s">
        <v>42</v>
      </c>
      <c r="C2354" s="1" t="s">
        <v>4352</v>
      </c>
      <c r="D2354" s="1" t="s">
        <v>4353</v>
      </c>
      <c r="E2354" s="1" t="s">
        <v>45</v>
      </c>
      <c r="F2354" s="1" t="s">
        <v>5181</v>
      </c>
      <c r="G2354" s="1" t="s">
        <v>5457</v>
      </c>
      <c r="H2354" s="1" t="s">
        <v>5458</v>
      </c>
      <c r="I2354" s="1" t="s">
        <v>49</v>
      </c>
      <c r="J2354" s="1" t="s">
        <v>48</v>
      </c>
      <c r="K2354" s="1">
        <v>336</v>
      </c>
      <c r="L2354" s="1">
        <v>0</v>
      </c>
      <c r="M2354" s="1">
        <v>0</v>
      </c>
      <c r="N2354" s="1">
        <v>336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 t="s">
        <v>49</v>
      </c>
      <c r="AA2354" s="1" t="s">
        <v>49</v>
      </c>
      <c r="AB2354" s="1" t="s">
        <v>49</v>
      </c>
      <c r="AC2354" s="1" t="s">
        <v>5184</v>
      </c>
      <c r="AD2354" s="1" t="s">
        <v>5185</v>
      </c>
      <c r="AE2354" s="1" t="s">
        <v>5184</v>
      </c>
      <c r="AF2354" s="1" t="s">
        <v>5186</v>
      </c>
      <c r="AG2354" s="1" t="s">
        <v>53</v>
      </c>
      <c r="AH2354" s="1" t="s">
        <v>49</v>
      </c>
      <c r="AI2354" s="1" t="s">
        <v>54</v>
      </c>
      <c r="AJ2354" s="1">
        <v>1</v>
      </c>
      <c r="AK2354" s="1" t="str">
        <f t="shared" si="36"/>
        <v xml:space="preserve"> =&lt;90</v>
      </c>
      <c r="AL2354" s="1" t="e">
        <f>VLOOKUP(C:C,[1]基础信息!B$1:D$65536,3,0)</f>
        <v>#N/A</v>
      </c>
      <c r="AM2354" s="1" t="e">
        <f>VLOOKUP(C:C,[1]基础信息!B$1:E$65536,4,0)</f>
        <v>#N/A</v>
      </c>
      <c r="AN2354" s="1" t="e">
        <f>VLOOKUP(C:C,[1]基础信息!B$1:F$65536,5,0)</f>
        <v>#N/A</v>
      </c>
    </row>
    <row r="2355" spans="1:40">
      <c r="A2355" s="1" t="s">
        <v>41</v>
      </c>
      <c r="B2355" s="1" t="s">
        <v>42</v>
      </c>
      <c r="C2355" s="1" t="s">
        <v>4253</v>
      </c>
      <c r="D2355" s="1" t="s">
        <v>4254</v>
      </c>
      <c r="E2355" s="1" t="s">
        <v>45</v>
      </c>
      <c r="F2355" s="1" t="s">
        <v>5459</v>
      </c>
      <c r="G2355" s="1" t="s">
        <v>5460</v>
      </c>
      <c r="H2355" s="1" t="s">
        <v>5461</v>
      </c>
      <c r="I2355" s="1" t="s">
        <v>49</v>
      </c>
      <c r="J2355" s="1" t="s">
        <v>48</v>
      </c>
      <c r="K2355" s="1">
        <v>336</v>
      </c>
      <c r="L2355" s="1">
        <v>0</v>
      </c>
      <c r="M2355" s="1">
        <v>0</v>
      </c>
      <c r="N2355" s="1">
        <v>336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 t="s">
        <v>49</v>
      </c>
      <c r="AA2355" s="1" t="s">
        <v>49</v>
      </c>
      <c r="AB2355" s="1" t="s">
        <v>49</v>
      </c>
      <c r="AC2355" s="1" t="s">
        <v>5184</v>
      </c>
      <c r="AD2355" s="1" t="s">
        <v>5185</v>
      </c>
      <c r="AE2355" s="1" t="s">
        <v>5462</v>
      </c>
      <c r="AF2355" s="1" t="s">
        <v>5463</v>
      </c>
      <c r="AG2355" s="1" t="s">
        <v>53</v>
      </c>
      <c r="AH2355" s="1" t="s">
        <v>49</v>
      </c>
      <c r="AI2355" s="1" t="s">
        <v>54</v>
      </c>
      <c r="AJ2355" s="1">
        <v>1</v>
      </c>
      <c r="AK2355" s="1" t="str">
        <f t="shared" si="36"/>
        <v xml:space="preserve"> =&lt;90</v>
      </c>
      <c r="AL2355" s="1" t="str">
        <f>VLOOKUP(C:C,[1]基础信息!B$1:D$65536,3,0)</f>
        <v xml:space="preserve">Cartridge </v>
      </c>
      <c r="AM2355" s="1" t="str">
        <f>VLOOKUP(C:C,[1]基础信息!B$1:E$65536,4,0)</f>
        <v>UNIV</v>
      </c>
      <c r="AN2355" s="1" t="str">
        <f>VLOOKUP(C:C,[1]基础信息!B$1:F$65536,5,0)</f>
        <v>P6</v>
      </c>
    </row>
    <row r="2356" spans="1:40">
      <c r="A2356" s="1" t="s">
        <v>41</v>
      </c>
      <c r="B2356" s="1" t="s">
        <v>42</v>
      </c>
      <c r="C2356" s="1" t="s">
        <v>4253</v>
      </c>
      <c r="D2356" s="1" t="s">
        <v>4254</v>
      </c>
      <c r="E2356" s="1" t="s">
        <v>45</v>
      </c>
      <c r="F2356" s="1" t="s">
        <v>5459</v>
      </c>
      <c r="G2356" s="1" t="s">
        <v>5464</v>
      </c>
      <c r="H2356" s="1" t="s">
        <v>5465</v>
      </c>
      <c r="I2356" s="1" t="s">
        <v>49</v>
      </c>
      <c r="J2356" s="1" t="s">
        <v>48</v>
      </c>
      <c r="K2356" s="1">
        <v>336</v>
      </c>
      <c r="L2356" s="1">
        <v>0</v>
      </c>
      <c r="M2356" s="1">
        <v>0</v>
      </c>
      <c r="N2356" s="1">
        <v>336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 t="s">
        <v>49</v>
      </c>
      <c r="AA2356" s="1" t="s">
        <v>49</v>
      </c>
      <c r="AB2356" s="1" t="s">
        <v>49</v>
      </c>
      <c r="AC2356" s="1" t="s">
        <v>5184</v>
      </c>
      <c r="AD2356" s="1" t="s">
        <v>5185</v>
      </c>
      <c r="AE2356" s="1" t="s">
        <v>5462</v>
      </c>
      <c r="AF2356" s="1" t="s">
        <v>5463</v>
      </c>
      <c r="AG2356" s="1" t="s">
        <v>53</v>
      </c>
      <c r="AH2356" s="1" t="s">
        <v>49</v>
      </c>
      <c r="AI2356" s="1" t="s">
        <v>54</v>
      </c>
      <c r="AJ2356" s="1">
        <v>1</v>
      </c>
      <c r="AK2356" s="1" t="str">
        <f t="shared" si="36"/>
        <v xml:space="preserve"> =&lt;90</v>
      </c>
      <c r="AL2356" s="1" t="str">
        <f>VLOOKUP(C:C,[1]基础信息!B$1:D$65536,3,0)</f>
        <v xml:space="preserve">Cartridge </v>
      </c>
      <c r="AM2356" s="1" t="str">
        <f>VLOOKUP(C:C,[1]基础信息!B$1:E$65536,4,0)</f>
        <v>UNIV</v>
      </c>
      <c r="AN2356" s="1" t="str">
        <f>VLOOKUP(C:C,[1]基础信息!B$1:F$65536,5,0)</f>
        <v>P6</v>
      </c>
    </row>
    <row r="2357" spans="1:40">
      <c r="A2357" s="1" t="s">
        <v>41</v>
      </c>
      <c r="B2357" s="1" t="s">
        <v>42</v>
      </c>
      <c r="C2357" s="1" t="s">
        <v>4253</v>
      </c>
      <c r="D2357" s="1" t="s">
        <v>4254</v>
      </c>
      <c r="E2357" s="1" t="s">
        <v>45</v>
      </c>
      <c r="F2357" s="1" t="s">
        <v>5459</v>
      </c>
      <c r="G2357" s="1" t="s">
        <v>5466</v>
      </c>
      <c r="H2357" s="1" t="s">
        <v>5467</v>
      </c>
      <c r="I2357" s="1" t="s">
        <v>49</v>
      </c>
      <c r="J2357" s="1" t="s">
        <v>48</v>
      </c>
      <c r="K2357" s="1">
        <v>336</v>
      </c>
      <c r="L2357" s="1">
        <v>0</v>
      </c>
      <c r="M2357" s="1">
        <v>0</v>
      </c>
      <c r="N2357" s="1">
        <v>336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 t="s">
        <v>49</v>
      </c>
      <c r="AA2357" s="1" t="s">
        <v>49</v>
      </c>
      <c r="AB2357" s="1" t="s">
        <v>49</v>
      </c>
      <c r="AC2357" s="1" t="s">
        <v>5184</v>
      </c>
      <c r="AD2357" s="1" t="s">
        <v>5185</v>
      </c>
      <c r="AE2357" s="1" t="s">
        <v>5462</v>
      </c>
      <c r="AF2357" s="1" t="s">
        <v>5463</v>
      </c>
      <c r="AG2357" s="1" t="s">
        <v>53</v>
      </c>
      <c r="AH2357" s="1" t="s">
        <v>49</v>
      </c>
      <c r="AI2357" s="1" t="s">
        <v>54</v>
      </c>
      <c r="AJ2357" s="1">
        <v>1</v>
      </c>
      <c r="AK2357" s="1" t="str">
        <f t="shared" si="36"/>
        <v xml:space="preserve"> =&lt;90</v>
      </c>
      <c r="AL2357" s="1" t="str">
        <f>VLOOKUP(C:C,[1]基础信息!B$1:D$65536,3,0)</f>
        <v xml:space="preserve">Cartridge </v>
      </c>
      <c r="AM2357" s="1" t="str">
        <f>VLOOKUP(C:C,[1]基础信息!B$1:E$65536,4,0)</f>
        <v>UNIV</v>
      </c>
      <c r="AN2357" s="1" t="str">
        <f>VLOOKUP(C:C,[1]基础信息!B$1:F$65536,5,0)</f>
        <v>P6</v>
      </c>
    </row>
    <row r="2358" spans="1:40">
      <c r="A2358" s="1" t="s">
        <v>41</v>
      </c>
      <c r="B2358" s="1" t="s">
        <v>42</v>
      </c>
      <c r="C2358" s="1" t="s">
        <v>4253</v>
      </c>
      <c r="D2358" s="1" t="s">
        <v>4254</v>
      </c>
      <c r="E2358" s="1" t="s">
        <v>45</v>
      </c>
      <c r="F2358" s="1" t="s">
        <v>5459</v>
      </c>
      <c r="G2358" s="1" t="s">
        <v>5468</v>
      </c>
      <c r="H2358" s="1" t="s">
        <v>5469</v>
      </c>
      <c r="I2358" s="1" t="s">
        <v>49</v>
      </c>
      <c r="J2358" s="1" t="s">
        <v>48</v>
      </c>
      <c r="K2358" s="1">
        <v>336</v>
      </c>
      <c r="L2358" s="1">
        <v>0</v>
      </c>
      <c r="M2358" s="1">
        <v>0</v>
      </c>
      <c r="N2358" s="1">
        <v>336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 t="s">
        <v>49</v>
      </c>
      <c r="AA2358" s="1" t="s">
        <v>49</v>
      </c>
      <c r="AB2358" s="1" t="s">
        <v>49</v>
      </c>
      <c r="AC2358" s="1" t="s">
        <v>5184</v>
      </c>
      <c r="AD2358" s="1" t="s">
        <v>5185</v>
      </c>
      <c r="AE2358" s="1" t="s">
        <v>5462</v>
      </c>
      <c r="AF2358" s="1" t="s">
        <v>5463</v>
      </c>
      <c r="AG2358" s="1" t="s">
        <v>53</v>
      </c>
      <c r="AH2358" s="1" t="s">
        <v>49</v>
      </c>
      <c r="AI2358" s="1" t="s">
        <v>54</v>
      </c>
      <c r="AJ2358" s="1">
        <v>1</v>
      </c>
      <c r="AK2358" s="1" t="str">
        <f t="shared" si="36"/>
        <v xml:space="preserve"> =&lt;90</v>
      </c>
      <c r="AL2358" s="1" t="str">
        <f>VLOOKUP(C:C,[1]基础信息!B$1:D$65536,3,0)</f>
        <v xml:space="preserve">Cartridge </v>
      </c>
      <c r="AM2358" s="1" t="str">
        <f>VLOOKUP(C:C,[1]基础信息!B$1:E$65536,4,0)</f>
        <v>UNIV</v>
      </c>
      <c r="AN2358" s="1" t="str">
        <f>VLOOKUP(C:C,[1]基础信息!B$1:F$65536,5,0)</f>
        <v>P6</v>
      </c>
    </row>
    <row r="2359" spans="1:40">
      <c r="A2359" s="1" t="s">
        <v>41</v>
      </c>
      <c r="B2359" s="1" t="s">
        <v>42</v>
      </c>
      <c r="C2359" s="1" t="s">
        <v>4253</v>
      </c>
      <c r="D2359" s="1" t="s">
        <v>4254</v>
      </c>
      <c r="E2359" s="1" t="s">
        <v>45</v>
      </c>
      <c r="F2359" s="1" t="s">
        <v>5459</v>
      </c>
      <c r="G2359" s="1" t="s">
        <v>5470</v>
      </c>
      <c r="H2359" s="1" t="s">
        <v>5471</v>
      </c>
      <c r="I2359" s="1" t="s">
        <v>49</v>
      </c>
      <c r="J2359" s="1" t="s">
        <v>48</v>
      </c>
      <c r="K2359" s="1">
        <v>336</v>
      </c>
      <c r="L2359" s="1">
        <v>0</v>
      </c>
      <c r="M2359" s="1">
        <v>0</v>
      </c>
      <c r="N2359" s="1">
        <v>336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 t="s">
        <v>49</v>
      </c>
      <c r="AA2359" s="1" t="s">
        <v>49</v>
      </c>
      <c r="AB2359" s="1" t="s">
        <v>49</v>
      </c>
      <c r="AC2359" s="1" t="s">
        <v>5184</v>
      </c>
      <c r="AD2359" s="1" t="s">
        <v>5185</v>
      </c>
      <c r="AE2359" s="1" t="s">
        <v>5462</v>
      </c>
      <c r="AF2359" s="1" t="s">
        <v>5463</v>
      </c>
      <c r="AG2359" s="1" t="s">
        <v>53</v>
      </c>
      <c r="AH2359" s="1" t="s">
        <v>49</v>
      </c>
      <c r="AI2359" s="1" t="s">
        <v>54</v>
      </c>
      <c r="AJ2359" s="1">
        <v>1</v>
      </c>
      <c r="AK2359" s="1" t="str">
        <f t="shared" si="36"/>
        <v xml:space="preserve"> =&lt;90</v>
      </c>
      <c r="AL2359" s="1" t="str">
        <f>VLOOKUP(C:C,[1]基础信息!B$1:D$65536,3,0)</f>
        <v xml:space="preserve">Cartridge </v>
      </c>
      <c r="AM2359" s="1" t="str">
        <f>VLOOKUP(C:C,[1]基础信息!B$1:E$65536,4,0)</f>
        <v>UNIV</v>
      </c>
      <c r="AN2359" s="1" t="str">
        <f>VLOOKUP(C:C,[1]基础信息!B$1:F$65536,5,0)</f>
        <v>P6</v>
      </c>
    </row>
    <row r="2360" spans="1:40">
      <c r="A2360" s="1" t="s">
        <v>41</v>
      </c>
      <c r="B2360" s="1" t="s">
        <v>42</v>
      </c>
      <c r="C2360" s="1" t="s">
        <v>5254</v>
      </c>
      <c r="D2360" s="1" t="s">
        <v>5255</v>
      </c>
      <c r="E2360" s="1" t="s">
        <v>45</v>
      </c>
      <c r="F2360" s="1" t="s">
        <v>5407</v>
      </c>
      <c r="G2360" s="1" t="s">
        <v>5472</v>
      </c>
      <c r="H2360" s="1" t="s">
        <v>5473</v>
      </c>
      <c r="I2360" s="1" t="s">
        <v>49</v>
      </c>
      <c r="J2360" s="1" t="s">
        <v>48</v>
      </c>
      <c r="K2360" s="1">
        <v>2200</v>
      </c>
      <c r="L2360" s="1">
        <v>0</v>
      </c>
      <c r="M2360" s="1">
        <v>0</v>
      </c>
      <c r="N2360" s="1">
        <v>2200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 t="s">
        <v>49</v>
      </c>
      <c r="AA2360" s="1" t="s">
        <v>49</v>
      </c>
      <c r="AB2360" s="1" t="s">
        <v>49</v>
      </c>
      <c r="AC2360" s="1" t="s">
        <v>5410</v>
      </c>
      <c r="AD2360" s="1" t="s">
        <v>5411</v>
      </c>
      <c r="AE2360" s="1" t="s">
        <v>5410</v>
      </c>
      <c r="AF2360" s="1" t="s">
        <v>5412</v>
      </c>
      <c r="AG2360" s="1" t="s">
        <v>53</v>
      </c>
      <c r="AH2360" s="1" t="s">
        <v>49</v>
      </c>
      <c r="AI2360" s="1" t="s">
        <v>54</v>
      </c>
      <c r="AJ2360" s="1">
        <v>1</v>
      </c>
      <c r="AK2360" s="1" t="str">
        <f t="shared" si="36"/>
        <v xml:space="preserve"> =&lt;90</v>
      </c>
      <c r="AL2360" s="1" t="str">
        <f>VLOOKUP(C:C,[1]基础信息!B$1:D$65536,3,0)</f>
        <v xml:space="preserve">Cartridge </v>
      </c>
      <c r="AM2360" s="1" t="str">
        <f>VLOOKUP(C:C,[1]基础信息!B$1:E$65536,4,0)</f>
        <v>UNIV</v>
      </c>
      <c r="AN2360" s="1" t="str">
        <f>VLOOKUP(C:C,[1]基础信息!B$1:F$65536,5,0)</f>
        <v>P55</v>
      </c>
    </row>
    <row r="2361" spans="1:40">
      <c r="A2361" s="1" t="s">
        <v>41</v>
      </c>
      <c r="B2361" s="1" t="s">
        <v>42</v>
      </c>
      <c r="C2361" s="1" t="s">
        <v>5254</v>
      </c>
      <c r="D2361" s="1" t="s">
        <v>5255</v>
      </c>
      <c r="E2361" s="1" t="s">
        <v>45</v>
      </c>
      <c r="F2361" s="1" t="s">
        <v>5407</v>
      </c>
      <c r="G2361" s="1" t="s">
        <v>5474</v>
      </c>
      <c r="H2361" s="1" t="s">
        <v>5475</v>
      </c>
      <c r="I2361" s="1" t="s">
        <v>49</v>
      </c>
      <c r="J2361" s="1" t="s">
        <v>48</v>
      </c>
      <c r="K2361" s="1">
        <v>2200</v>
      </c>
      <c r="L2361" s="1">
        <v>0</v>
      </c>
      <c r="M2361" s="1">
        <v>0</v>
      </c>
      <c r="N2361" s="1">
        <v>2200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 t="s">
        <v>49</v>
      </c>
      <c r="AA2361" s="1" t="s">
        <v>49</v>
      </c>
      <c r="AB2361" s="1" t="s">
        <v>49</v>
      </c>
      <c r="AC2361" s="1" t="s">
        <v>5410</v>
      </c>
      <c r="AD2361" s="1" t="s">
        <v>5411</v>
      </c>
      <c r="AE2361" s="1" t="s">
        <v>5410</v>
      </c>
      <c r="AF2361" s="1" t="s">
        <v>5412</v>
      </c>
      <c r="AG2361" s="1" t="s">
        <v>53</v>
      </c>
      <c r="AH2361" s="1" t="s">
        <v>49</v>
      </c>
      <c r="AI2361" s="1" t="s">
        <v>54</v>
      </c>
      <c r="AJ2361" s="1">
        <v>1</v>
      </c>
      <c r="AK2361" s="1" t="str">
        <f t="shared" si="36"/>
        <v xml:space="preserve"> =&lt;90</v>
      </c>
      <c r="AL2361" s="1" t="str">
        <f>VLOOKUP(C:C,[1]基础信息!B$1:D$65536,3,0)</f>
        <v xml:space="preserve">Cartridge </v>
      </c>
      <c r="AM2361" s="1" t="str">
        <f>VLOOKUP(C:C,[1]基础信息!B$1:E$65536,4,0)</f>
        <v>UNIV</v>
      </c>
      <c r="AN2361" s="1" t="str">
        <f>VLOOKUP(C:C,[1]基础信息!B$1:F$65536,5,0)</f>
        <v>P55</v>
      </c>
    </row>
    <row r="2362" spans="1:40">
      <c r="A2362" s="1" t="s">
        <v>41</v>
      </c>
      <c r="B2362" s="1" t="s">
        <v>42</v>
      </c>
      <c r="C2362" s="1" t="s">
        <v>5254</v>
      </c>
      <c r="D2362" s="1" t="s">
        <v>5255</v>
      </c>
      <c r="E2362" s="1" t="s">
        <v>45</v>
      </c>
      <c r="F2362" s="1" t="s">
        <v>5407</v>
      </c>
      <c r="G2362" s="1" t="s">
        <v>5476</v>
      </c>
      <c r="H2362" s="1" t="s">
        <v>5477</v>
      </c>
      <c r="I2362" s="1" t="s">
        <v>49</v>
      </c>
      <c r="J2362" s="1" t="s">
        <v>48</v>
      </c>
      <c r="K2362" s="1">
        <v>2200</v>
      </c>
      <c r="L2362" s="1">
        <v>0</v>
      </c>
      <c r="M2362" s="1">
        <v>0</v>
      </c>
      <c r="N2362" s="1">
        <v>2200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 t="s">
        <v>49</v>
      </c>
      <c r="AA2362" s="1" t="s">
        <v>49</v>
      </c>
      <c r="AB2362" s="1" t="s">
        <v>49</v>
      </c>
      <c r="AC2362" s="1" t="s">
        <v>5410</v>
      </c>
      <c r="AD2362" s="1" t="s">
        <v>5411</v>
      </c>
      <c r="AE2362" s="1" t="s">
        <v>5410</v>
      </c>
      <c r="AF2362" s="1" t="s">
        <v>5412</v>
      </c>
      <c r="AG2362" s="1" t="s">
        <v>53</v>
      </c>
      <c r="AH2362" s="1" t="s">
        <v>49</v>
      </c>
      <c r="AI2362" s="1" t="s">
        <v>54</v>
      </c>
      <c r="AJ2362" s="1">
        <v>1</v>
      </c>
      <c r="AK2362" s="1" t="str">
        <f t="shared" si="36"/>
        <v xml:space="preserve"> =&lt;90</v>
      </c>
      <c r="AL2362" s="1" t="str">
        <f>VLOOKUP(C:C,[1]基础信息!B$1:D$65536,3,0)</f>
        <v xml:space="preserve">Cartridge </v>
      </c>
      <c r="AM2362" s="1" t="str">
        <f>VLOOKUP(C:C,[1]基础信息!B$1:E$65536,4,0)</f>
        <v>UNIV</v>
      </c>
      <c r="AN2362" s="1" t="str">
        <f>VLOOKUP(C:C,[1]基础信息!B$1:F$65536,5,0)</f>
        <v>P55</v>
      </c>
    </row>
    <row r="2363" spans="1:40">
      <c r="A2363" s="1" t="s">
        <v>41</v>
      </c>
      <c r="B2363" s="1" t="s">
        <v>42</v>
      </c>
      <c r="C2363" s="1" t="s">
        <v>5254</v>
      </c>
      <c r="D2363" s="1" t="s">
        <v>5255</v>
      </c>
      <c r="E2363" s="1" t="s">
        <v>45</v>
      </c>
      <c r="F2363" s="1" t="s">
        <v>5407</v>
      </c>
      <c r="G2363" s="1" t="s">
        <v>5478</v>
      </c>
      <c r="H2363" s="1" t="s">
        <v>5479</v>
      </c>
      <c r="I2363" s="1" t="s">
        <v>49</v>
      </c>
      <c r="J2363" s="1" t="s">
        <v>48</v>
      </c>
      <c r="K2363" s="1">
        <v>2200</v>
      </c>
      <c r="L2363" s="1">
        <v>0</v>
      </c>
      <c r="M2363" s="1">
        <v>0</v>
      </c>
      <c r="N2363" s="1">
        <v>2200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 t="s">
        <v>49</v>
      </c>
      <c r="AA2363" s="1" t="s">
        <v>49</v>
      </c>
      <c r="AB2363" s="1" t="s">
        <v>49</v>
      </c>
      <c r="AC2363" s="1" t="s">
        <v>5410</v>
      </c>
      <c r="AD2363" s="1" t="s">
        <v>5411</v>
      </c>
      <c r="AE2363" s="1" t="s">
        <v>5410</v>
      </c>
      <c r="AF2363" s="1" t="s">
        <v>5412</v>
      </c>
      <c r="AG2363" s="1" t="s">
        <v>53</v>
      </c>
      <c r="AH2363" s="1" t="s">
        <v>49</v>
      </c>
      <c r="AI2363" s="1" t="s">
        <v>54</v>
      </c>
      <c r="AJ2363" s="1">
        <v>1</v>
      </c>
      <c r="AK2363" s="1" t="str">
        <f t="shared" si="36"/>
        <v xml:space="preserve"> =&lt;90</v>
      </c>
      <c r="AL2363" s="1" t="str">
        <f>VLOOKUP(C:C,[1]基础信息!B$1:D$65536,3,0)</f>
        <v xml:space="preserve">Cartridge </v>
      </c>
      <c r="AM2363" s="1" t="str">
        <f>VLOOKUP(C:C,[1]基础信息!B$1:E$65536,4,0)</f>
        <v>UNIV</v>
      </c>
      <c r="AN2363" s="1" t="str">
        <f>VLOOKUP(C:C,[1]基础信息!B$1:F$65536,5,0)</f>
        <v>P55</v>
      </c>
    </row>
    <row r="2364" spans="1:40">
      <c r="A2364" s="1" t="s">
        <v>41</v>
      </c>
      <c r="B2364" s="1" t="s">
        <v>42</v>
      </c>
      <c r="C2364" s="1" t="s">
        <v>3971</v>
      </c>
      <c r="D2364" s="1" t="s">
        <v>3972</v>
      </c>
      <c r="E2364" s="1" t="s">
        <v>45</v>
      </c>
      <c r="F2364" s="1" t="s">
        <v>5480</v>
      </c>
      <c r="G2364" s="1" t="s">
        <v>5481</v>
      </c>
      <c r="H2364" s="1" t="s">
        <v>5482</v>
      </c>
      <c r="I2364" s="1" t="s">
        <v>49</v>
      </c>
      <c r="J2364" s="1" t="s">
        <v>48</v>
      </c>
      <c r="K2364" s="1">
        <v>96</v>
      </c>
      <c r="L2364" s="1">
        <v>0</v>
      </c>
      <c r="M2364" s="1">
        <v>0</v>
      </c>
      <c r="N2364" s="1">
        <v>96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 t="s">
        <v>49</v>
      </c>
      <c r="AA2364" s="1" t="s">
        <v>49</v>
      </c>
      <c r="AB2364" s="1" t="s">
        <v>49</v>
      </c>
      <c r="AC2364" s="1" t="s">
        <v>1330</v>
      </c>
      <c r="AD2364" s="1" t="s">
        <v>1331</v>
      </c>
      <c r="AE2364" s="1" t="s">
        <v>3719</v>
      </c>
      <c r="AF2364" s="1" t="s">
        <v>5483</v>
      </c>
      <c r="AG2364" s="1" t="s">
        <v>53</v>
      </c>
      <c r="AH2364" s="1" t="s">
        <v>49</v>
      </c>
      <c r="AI2364" s="1" t="s">
        <v>54</v>
      </c>
      <c r="AJ2364" s="1">
        <v>1</v>
      </c>
      <c r="AK2364" s="1" t="str">
        <f t="shared" si="36"/>
        <v xml:space="preserve"> =&lt;90</v>
      </c>
      <c r="AL2364" s="1" t="str">
        <f>VLOOKUP(C:C,[1]基础信息!B$1:D$65536,3,0)</f>
        <v>Jug</v>
      </c>
      <c r="AM2364" s="1" t="str">
        <f>VLOOKUP(C:C,[1]基础信息!B$1:E$65536,4,0)</f>
        <v>Mxplus</v>
      </c>
      <c r="AN2364" s="1" t="str">
        <f>VLOOKUP(C:C,[1]基础信息!B$1:F$65536,5,0)</f>
        <v xml:space="preserve"> lime</v>
      </c>
    </row>
    <row r="2365" spans="1:40">
      <c r="A2365" s="1" t="s">
        <v>41</v>
      </c>
      <c r="B2365" s="1" t="s">
        <v>42</v>
      </c>
      <c r="C2365" s="1" t="s">
        <v>3971</v>
      </c>
      <c r="D2365" s="1" t="s">
        <v>3972</v>
      </c>
      <c r="E2365" s="1" t="s">
        <v>45</v>
      </c>
      <c r="F2365" s="1" t="s">
        <v>5480</v>
      </c>
      <c r="G2365" s="1" t="s">
        <v>5484</v>
      </c>
      <c r="H2365" s="1" t="s">
        <v>5485</v>
      </c>
      <c r="I2365" s="1" t="s">
        <v>49</v>
      </c>
      <c r="J2365" s="1" t="s">
        <v>48</v>
      </c>
      <c r="K2365" s="1">
        <v>96</v>
      </c>
      <c r="L2365" s="1">
        <v>0</v>
      </c>
      <c r="M2365" s="1">
        <v>0</v>
      </c>
      <c r="N2365" s="1">
        <v>96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 t="s">
        <v>49</v>
      </c>
      <c r="AA2365" s="1" t="s">
        <v>49</v>
      </c>
      <c r="AB2365" s="1" t="s">
        <v>49</v>
      </c>
      <c r="AC2365" s="1" t="s">
        <v>1330</v>
      </c>
      <c r="AD2365" s="1" t="s">
        <v>1331</v>
      </c>
      <c r="AE2365" s="1" t="s">
        <v>3719</v>
      </c>
      <c r="AF2365" s="1" t="s">
        <v>5483</v>
      </c>
      <c r="AG2365" s="1" t="s">
        <v>53</v>
      </c>
      <c r="AH2365" s="1" t="s">
        <v>49</v>
      </c>
      <c r="AI2365" s="1" t="s">
        <v>54</v>
      </c>
      <c r="AJ2365" s="1">
        <v>1</v>
      </c>
      <c r="AK2365" s="1" t="str">
        <f t="shared" si="36"/>
        <v xml:space="preserve"> =&lt;90</v>
      </c>
      <c r="AL2365" s="1" t="str">
        <f>VLOOKUP(C:C,[1]基础信息!B$1:D$65536,3,0)</f>
        <v>Jug</v>
      </c>
      <c r="AM2365" s="1" t="str">
        <f>VLOOKUP(C:C,[1]基础信息!B$1:E$65536,4,0)</f>
        <v>Mxplus</v>
      </c>
      <c r="AN2365" s="1" t="str">
        <f>VLOOKUP(C:C,[1]基础信息!B$1:F$65536,5,0)</f>
        <v xml:space="preserve"> lime</v>
      </c>
    </row>
    <row r="2366" spans="1:40">
      <c r="A2366" s="1" t="s">
        <v>41</v>
      </c>
      <c r="B2366" s="1" t="s">
        <v>42</v>
      </c>
      <c r="C2366" s="1" t="s">
        <v>3971</v>
      </c>
      <c r="D2366" s="1" t="s">
        <v>3972</v>
      </c>
      <c r="E2366" s="1" t="s">
        <v>45</v>
      </c>
      <c r="F2366" s="1" t="s">
        <v>5480</v>
      </c>
      <c r="G2366" s="1" t="s">
        <v>5486</v>
      </c>
      <c r="H2366" s="1" t="s">
        <v>5487</v>
      </c>
      <c r="I2366" s="1" t="s">
        <v>49</v>
      </c>
      <c r="J2366" s="1" t="s">
        <v>48</v>
      </c>
      <c r="K2366" s="1">
        <v>96</v>
      </c>
      <c r="L2366" s="1">
        <v>0</v>
      </c>
      <c r="M2366" s="1">
        <v>0</v>
      </c>
      <c r="N2366" s="1">
        <v>96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 t="s">
        <v>49</v>
      </c>
      <c r="AA2366" s="1" t="s">
        <v>49</v>
      </c>
      <c r="AB2366" s="1" t="s">
        <v>49</v>
      </c>
      <c r="AC2366" s="1" t="s">
        <v>1330</v>
      </c>
      <c r="AD2366" s="1" t="s">
        <v>1331</v>
      </c>
      <c r="AE2366" s="1" t="s">
        <v>3719</v>
      </c>
      <c r="AF2366" s="1" t="s">
        <v>5483</v>
      </c>
      <c r="AG2366" s="1" t="s">
        <v>53</v>
      </c>
      <c r="AH2366" s="1" t="s">
        <v>49</v>
      </c>
      <c r="AI2366" s="1" t="s">
        <v>54</v>
      </c>
      <c r="AJ2366" s="1">
        <v>1</v>
      </c>
      <c r="AK2366" s="1" t="str">
        <f t="shared" si="36"/>
        <v xml:space="preserve"> =&lt;90</v>
      </c>
      <c r="AL2366" s="1" t="str">
        <f>VLOOKUP(C:C,[1]基础信息!B$1:D$65536,3,0)</f>
        <v>Jug</v>
      </c>
      <c r="AM2366" s="1" t="str">
        <f>VLOOKUP(C:C,[1]基础信息!B$1:E$65536,4,0)</f>
        <v>Mxplus</v>
      </c>
      <c r="AN2366" s="1" t="str">
        <f>VLOOKUP(C:C,[1]基础信息!B$1:F$65536,5,0)</f>
        <v xml:space="preserve"> lime</v>
      </c>
    </row>
    <row r="2367" spans="1:40">
      <c r="A2367" s="1" t="s">
        <v>41</v>
      </c>
      <c r="B2367" s="1" t="s">
        <v>42</v>
      </c>
      <c r="C2367" s="1" t="s">
        <v>5254</v>
      </c>
      <c r="D2367" s="1" t="s">
        <v>5255</v>
      </c>
      <c r="E2367" s="1" t="s">
        <v>45</v>
      </c>
      <c r="F2367" s="1" t="s">
        <v>5407</v>
      </c>
      <c r="G2367" s="1" t="s">
        <v>5488</v>
      </c>
      <c r="H2367" s="1" t="s">
        <v>5489</v>
      </c>
      <c r="I2367" s="1" t="s">
        <v>49</v>
      </c>
      <c r="J2367" s="1" t="s">
        <v>48</v>
      </c>
      <c r="K2367" s="1">
        <v>2200</v>
      </c>
      <c r="L2367" s="1">
        <v>0</v>
      </c>
      <c r="M2367" s="1">
        <v>0</v>
      </c>
      <c r="N2367" s="1">
        <v>2200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 t="s">
        <v>49</v>
      </c>
      <c r="AA2367" s="1" t="s">
        <v>49</v>
      </c>
      <c r="AB2367" s="1" t="s">
        <v>49</v>
      </c>
      <c r="AC2367" s="1" t="s">
        <v>5410</v>
      </c>
      <c r="AD2367" s="1" t="s">
        <v>5411</v>
      </c>
      <c r="AE2367" s="1" t="s">
        <v>5410</v>
      </c>
      <c r="AF2367" s="1" t="s">
        <v>5412</v>
      </c>
      <c r="AG2367" s="1" t="s">
        <v>53</v>
      </c>
      <c r="AH2367" s="1" t="s">
        <v>49</v>
      </c>
      <c r="AI2367" s="1" t="s">
        <v>54</v>
      </c>
      <c r="AJ2367" s="1">
        <v>1</v>
      </c>
      <c r="AK2367" s="1" t="str">
        <f t="shared" si="36"/>
        <v xml:space="preserve"> =&lt;90</v>
      </c>
      <c r="AL2367" s="1" t="str">
        <f>VLOOKUP(C:C,[1]基础信息!B$1:D$65536,3,0)</f>
        <v xml:space="preserve">Cartridge </v>
      </c>
      <c r="AM2367" s="1" t="str">
        <f>VLOOKUP(C:C,[1]基础信息!B$1:E$65536,4,0)</f>
        <v>UNIV</v>
      </c>
      <c r="AN2367" s="1" t="str">
        <f>VLOOKUP(C:C,[1]基础信息!B$1:F$65536,5,0)</f>
        <v>P55</v>
      </c>
    </row>
    <row r="2368" spans="1:40">
      <c r="A2368" s="1" t="s">
        <v>41</v>
      </c>
      <c r="B2368" s="1" t="s">
        <v>42</v>
      </c>
      <c r="C2368" s="1" t="s">
        <v>285</v>
      </c>
      <c r="D2368" s="1" t="s">
        <v>286</v>
      </c>
      <c r="E2368" s="1" t="s">
        <v>45</v>
      </c>
      <c r="F2368" s="1" t="s">
        <v>4172</v>
      </c>
      <c r="G2368" s="1" t="s">
        <v>5490</v>
      </c>
      <c r="H2368" s="1" t="s">
        <v>45</v>
      </c>
      <c r="I2368" s="1" t="s">
        <v>45</v>
      </c>
      <c r="J2368" s="1" t="s">
        <v>48</v>
      </c>
      <c r="K2368" s="1">
        <v>70</v>
      </c>
      <c r="L2368" s="1">
        <v>0</v>
      </c>
      <c r="M2368" s="1">
        <v>0</v>
      </c>
      <c r="N2368" s="1">
        <v>70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 t="s">
        <v>49</v>
      </c>
      <c r="AA2368" s="1" t="s">
        <v>49</v>
      </c>
      <c r="AB2368" s="1" t="s">
        <v>49</v>
      </c>
      <c r="AC2368" s="1" t="s">
        <v>1008</v>
      </c>
      <c r="AD2368" s="1" t="s">
        <v>1009</v>
      </c>
      <c r="AE2368" s="1" t="s">
        <v>1008</v>
      </c>
      <c r="AF2368" s="1" t="s">
        <v>1553</v>
      </c>
      <c r="AG2368" s="1" t="s">
        <v>53</v>
      </c>
      <c r="AH2368" s="1" t="s">
        <v>49</v>
      </c>
      <c r="AI2368" s="1" t="s">
        <v>54</v>
      </c>
      <c r="AJ2368" s="1">
        <v>1</v>
      </c>
      <c r="AK2368" s="1" t="str">
        <f t="shared" si="36"/>
        <v xml:space="preserve"> =&lt;90</v>
      </c>
      <c r="AL2368" s="1" t="str">
        <f>VLOOKUP(C:C,[1]基础信息!B$1:D$65536,3,0)</f>
        <v>Jug</v>
      </c>
      <c r="AM2368" s="1" t="str">
        <f>VLOOKUP(C:C,[1]基础信息!B$1:E$65536,4,0)</f>
        <v>Marella XL</v>
      </c>
      <c r="AN2368" s="1" t="str">
        <f>VLOOKUP(C:C,[1]基础信息!B$1:F$65536,5,0)</f>
        <v>Blue</v>
      </c>
    </row>
    <row r="2369" spans="1:40">
      <c r="A2369" s="1" t="s">
        <v>41</v>
      </c>
      <c r="B2369" s="1" t="s">
        <v>42</v>
      </c>
      <c r="C2369" s="1" t="s">
        <v>285</v>
      </c>
      <c r="D2369" s="1" t="s">
        <v>286</v>
      </c>
      <c r="E2369" s="1" t="s">
        <v>45</v>
      </c>
      <c r="F2369" s="1" t="s">
        <v>4172</v>
      </c>
      <c r="G2369" s="1" t="s">
        <v>5491</v>
      </c>
      <c r="H2369" s="1" t="s">
        <v>45</v>
      </c>
      <c r="I2369" s="1" t="s">
        <v>45</v>
      </c>
      <c r="J2369" s="1" t="s">
        <v>48</v>
      </c>
      <c r="K2369" s="1">
        <v>70</v>
      </c>
      <c r="L2369" s="1">
        <v>0</v>
      </c>
      <c r="M2369" s="1">
        <v>0</v>
      </c>
      <c r="N2369" s="1">
        <v>70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 t="s">
        <v>49</v>
      </c>
      <c r="AA2369" s="1" t="s">
        <v>49</v>
      </c>
      <c r="AB2369" s="1" t="s">
        <v>49</v>
      </c>
      <c r="AC2369" s="1" t="s">
        <v>1008</v>
      </c>
      <c r="AD2369" s="1" t="s">
        <v>1009</v>
      </c>
      <c r="AE2369" s="1" t="s">
        <v>1008</v>
      </c>
      <c r="AF2369" s="1" t="s">
        <v>1553</v>
      </c>
      <c r="AG2369" s="1" t="s">
        <v>53</v>
      </c>
      <c r="AH2369" s="1" t="s">
        <v>49</v>
      </c>
      <c r="AI2369" s="1" t="s">
        <v>54</v>
      </c>
      <c r="AJ2369" s="1">
        <v>1</v>
      </c>
      <c r="AK2369" s="1" t="str">
        <f t="shared" si="36"/>
        <v xml:space="preserve"> =&lt;90</v>
      </c>
      <c r="AL2369" s="1" t="str">
        <f>VLOOKUP(C:C,[1]基础信息!B$1:D$65536,3,0)</f>
        <v>Jug</v>
      </c>
      <c r="AM2369" s="1" t="str">
        <f>VLOOKUP(C:C,[1]基础信息!B$1:E$65536,4,0)</f>
        <v>Marella XL</v>
      </c>
      <c r="AN2369" s="1" t="str">
        <f>VLOOKUP(C:C,[1]基础信息!B$1:F$65536,5,0)</f>
        <v>Blue</v>
      </c>
    </row>
    <row r="2370" spans="1:40">
      <c r="A2370" s="1" t="s">
        <v>41</v>
      </c>
      <c r="B2370" s="1" t="s">
        <v>42</v>
      </c>
      <c r="C2370" s="1" t="s">
        <v>5254</v>
      </c>
      <c r="D2370" s="1" t="s">
        <v>5255</v>
      </c>
      <c r="E2370" s="1" t="s">
        <v>45</v>
      </c>
      <c r="F2370" s="1" t="s">
        <v>5407</v>
      </c>
      <c r="G2370" s="1" t="s">
        <v>5492</v>
      </c>
      <c r="H2370" s="1" t="s">
        <v>5493</v>
      </c>
      <c r="I2370" s="1" t="s">
        <v>49</v>
      </c>
      <c r="J2370" s="1" t="s">
        <v>48</v>
      </c>
      <c r="K2370" s="1">
        <v>2200</v>
      </c>
      <c r="L2370" s="1">
        <v>0</v>
      </c>
      <c r="M2370" s="1">
        <v>0</v>
      </c>
      <c r="N2370" s="1">
        <v>2200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 t="s">
        <v>49</v>
      </c>
      <c r="AA2370" s="1" t="s">
        <v>49</v>
      </c>
      <c r="AB2370" s="1" t="s">
        <v>49</v>
      </c>
      <c r="AC2370" s="1" t="s">
        <v>5410</v>
      </c>
      <c r="AD2370" s="1" t="s">
        <v>5411</v>
      </c>
      <c r="AE2370" s="1" t="s">
        <v>5410</v>
      </c>
      <c r="AF2370" s="1" t="s">
        <v>5412</v>
      </c>
      <c r="AG2370" s="1" t="s">
        <v>53</v>
      </c>
      <c r="AH2370" s="1" t="s">
        <v>49</v>
      </c>
      <c r="AI2370" s="1" t="s">
        <v>54</v>
      </c>
      <c r="AJ2370" s="1">
        <v>1</v>
      </c>
      <c r="AK2370" s="1" t="str">
        <f t="shared" ref="AK2370:AK2433" si="37">IF(AJ2370&gt;$AP$2,$AQ$2,IF(AJ2370&gt;$AP$3,$AQ$3,IF(AJ2370&gt;$AP$4,$AQ$4,$AQ$5)))</f>
        <v xml:space="preserve"> =&lt;90</v>
      </c>
      <c r="AL2370" s="1" t="str">
        <f>VLOOKUP(C:C,[1]基础信息!B$1:D$65536,3,0)</f>
        <v xml:space="preserve">Cartridge </v>
      </c>
      <c r="AM2370" s="1" t="str">
        <f>VLOOKUP(C:C,[1]基础信息!B$1:E$65536,4,0)</f>
        <v>UNIV</v>
      </c>
      <c r="AN2370" s="1" t="str">
        <f>VLOOKUP(C:C,[1]基础信息!B$1:F$65536,5,0)</f>
        <v>P55</v>
      </c>
    </row>
    <row r="2371" spans="1:40">
      <c r="A2371" s="1" t="s">
        <v>41</v>
      </c>
      <c r="B2371" s="1" t="s">
        <v>42</v>
      </c>
      <c r="C2371" s="1" t="s">
        <v>3971</v>
      </c>
      <c r="D2371" s="1" t="s">
        <v>3972</v>
      </c>
      <c r="E2371" s="1" t="s">
        <v>45</v>
      </c>
      <c r="F2371" s="1" t="s">
        <v>5480</v>
      </c>
      <c r="G2371" s="1" t="s">
        <v>5494</v>
      </c>
      <c r="H2371" s="1" t="s">
        <v>5495</v>
      </c>
      <c r="I2371" s="1" t="s">
        <v>49</v>
      </c>
      <c r="J2371" s="1" t="s">
        <v>48</v>
      </c>
      <c r="K2371" s="1">
        <v>96</v>
      </c>
      <c r="L2371" s="1">
        <v>0</v>
      </c>
      <c r="M2371" s="1">
        <v>0</v>
      </c>
      <c r="N2371" s="1">
        <v>96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 t="s">
        <v>49</v>
      </c>
      <c r="AA2371" s="1" t="s">
        <v>49</v>
      </c>
      <c r="AB2371" s="1" t="s">
        <v>49</v>
      </c>
      <c r="AC2371" s="1" t="s">
        <v>1330</v>
      </c>
      <c r="AD2371" s="1" t="s">
        <v>1331</v>
      </c>
      <c r="AE2371" s="1" t="s">
        <v>3719</v>
      </c>
      <c r="AF2371" s="1" t="s">
        <v>5483</v>
      </c>
      <c r="AG2371" s="1" t="s">
        <v>53</v>
      </c>
      <c r="AH2371" s="1" t="s">
        <v>49</v>
      </c>
      <c r="AI2371" s="1" t="s">
        <v>54</v>
      </c>
      <c r="AJ2371" s="1">
        <v>1</v>
      </c>
      <c r="AK2371" s="1" t="str">
        <f t="shared" si="37"/>
        <v xml:space="preserve"> =&lt;90</v>
      </c>
      <c r="AL2371" s="1" t="str">
        <f>VLOOKUP(C:C,[1]基础信息!B$1:D$65536,3,0)</f>
        <v>Jug</v>
      </c>
      <c r="AM2371" s="1" t="str">
        <f>VLOOKUP(C:C,[1]基础信息!B$1:E$65536,4,0)</f>
        <v>Mxplus</v>
      </c>
      <c r="AN2371" s="1" t="str">
        <f>VLOOKUP(C:C,[1]基础信息!B$1:F$65536,5,0)</f>
        <v xml:space="preserve"> lime</v>
      </c>
    </row>
    <row r="2372" spans="1:40">
      <c r="A2372" s="1" t="s">
        <v>41</v>
      </c>
      <c r="B2372" s="1" t="s">
        <v>42</v>
      </c>
      <c r="C2372" s="1" t="s">
        <v>285</v>
      </c>
      <c r="D2372" s="1" t="s">
        <v>286</v>
      </c>
      <c r="E2372" s="1" t="s">
        <v>45</v>
      </c>
      <c r="F2372" s="1" t="s">
        <v>4172</v>
      </c>
      <c r="G2372" s="1" t="s">
        <v>5496</v>
      </c>
      <c r="H2372" s="1" t="s">
        <v>45</v>
      </c>
      <c r="I2372" s="1" t="s">
        <v>45</v>
      </c>
      <c r="J2372" s="1" t="s">
        <v>48</v>
      </c>
      <c r="K2372" s="1">
        <v>70</v>
      </c>
      <c r="L2372" s="1">
        <v>0</v>
      </c>
      <c r="M2372" s="1">
        <v>0</v>
      </c>
      <c r="N2372" s="1">
        <v>70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 t="s">
        <v>49</v>
      </c>
      <c r="AA2372" s="1" t="s">
        <v>49</v>
      </c>
      <c r="AB2372" s="1" t="s">
        <v>49</v>
      </c>
      <c r="AC2372" s="1" t="s">
        <v>1008</v>
      </c>
      <c r="AD2372" s="1" t="s">
        <v>1009</v>
      </c>
      <c r="AE2372" s="1" t="s">
        <v>1008</v>
      </c>
      <c r="AF2372" s="1" t="s">
        <v>1553</v>
      </c>
      <c r="AG2372" s="1" t="s">
        <v>53</v>
      </c>
      <c r="AH2372" s="1" t="s">
        <v>49</v>
      </c>
      <c r="AI2372" s="1" t="s">
        <v>54</v>
      </c>
      <c r="AJ2372" s="1">
        <v>1</v>
      </c>
      <c r="AK2372" s="1" t="str">
        <f t="shared" si="37"/>
        <v xml:space="preserve"> =&lt;90</v>
      </c>
      <c r="AL2372" s="1" t="str">
        <f>VLOOKUP(C:C,[1]基础信息!B$1:D$65536,3,0)</f>
        <v>Jug</v>
      </c>
      <c r="AM2372" s="1" t="str">
        <f>VLOOKUP(C:C,[1]基础信息!B$1:E$65536,4,0)</f>
        <v>Marella XL</v>
      </c>
      <c r="AN2372" s="1" t="str">
        <f>VLOOKUP(C:C,[1]基础信息!B$1:F$65536,5,0)</f>
        <v>Blue</v>
      </c>
    </row>
    <row r="2373" spans="1:40">
      <c r="A2373" s="1" t="s">
        <v>41</v>
      </c>
      <c r="B2373" s="1" t="s">
        <v>42</v>
      </c>
      <c r="C2373" s="1" t="s">
        <v>3971</v>
      </c>
      <c r="D2373" s="1" t="s">
        <v>3972</v>
      </c>
      <c r="E2373" s="1" t="s">
        <v>45</v>
      </c>
      <c r="F2373" s="1" t="s">
        <v>5480</v>
      </c>
      <c r="G2373" s="1" t="s">
        <v>5497</v>
      </c>
      <c r="H2373" s="1" t="s">
        <v>5498</v>
      </c>
      <c r="I2373" s="1" t="s">
        <v>49</v>
      </c>
      <c r="J2373" s="1" t="s">
        <v>48</v>
      </c>
      <c r="K2373" s="1">
        <v>96</v>
      </c>
      <c r="L2373" s="1">
        <v>0</v>
      </c>
      <c r="M2373" s="1">
        <v>0</v>
      </c>
      <c r="N2373" s="1">
        <v>96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 t="s">
        <v>49</v>
      </c>
      <c r="AA2373" s="1" t="s">
        <v>49</v>
      </c>
      <c r="AB2373" s="1" t="s">
        <v>49</v>
      </c>
      <c r="AC2373" s="1" t="s">
        <v>1330</v>
      </c>
      <c r="AD2373" s="1" t="s">
        <v>1331</v>
      </c>
      <c r="AE2373" s="1" t="s">
        <v>3719</v>
      </c>
      <c r="AF2373" s="1" t="s">
        <v>5483</v>
      </c>
      <c r="AG2373" s="1" t="s">
        <v>53</v>
      </c>
      <c r="AH2373" s="1" t="s">
        <v>49</v>
      </c>
      <c r="AI2373" s="1" t="s">
        <v>54</v>
      </c>
      <c r="AJ2373" s="1">
        <v>1</v>
      </c>
      <c r="AK2373" s="1" t="str">
        <f t="shared" si="37"/>
        <v xml:space="preserve"> =&lt;90</v>
      </c>
      <c r="AL2373" s="1" t="str">
        <f>VLOOKUP(C:C,[1]基础信息!B$1:D$65536,3,0)</f>
        <v>Jug</v>
      </c>
      <c r="AM2373" s="1" t="str">
        <f>VLOOKUP(C:C,[1]基础信息!B$1:E$65536,4,0)</f>
        <v>Mxplus</v>
      </c>
      <c r="AN2373" s="1" t="str">
        <f>VLOOKUP(C:C,[1]基础信息!B$1:F$65536,5,0)</f>
        <v xml:space="preserve"> lime</v>
      </c>
    </row>
    <row r="2374" spans="1:40">
      <c r="A2374" s="1" t="s">
        <v>41</v>
      </c>
      <c r="B2374" s="1" t="s">
        <v>42</v>
      </c>
      <c r="C2374" s="1" t="s">
        <v>5254</v>
      </c>
      <c r="D2374" s="1" t="s">
        <v>5255</v>
      </c>
      <c r="E2374" s="1" t="s">
        <v>45</v>
      </c>
      <c r="F2374" s="1" t="s">
        <v>5345</v>
      </c>
      <c r="G2374" s="1" t="s">
        <v>5499</v>
      </c>
      <c r="H2374" s="1" t="s">
        <v>5500</v>
      </c>
      <c r="I2374" s="1" t="s">
        <v>49</v>
      </c>
      <c r="J2374" s="1" t="s">
        <v>48</v>
      </c>
      <c r="K2374" s="1">
        <v>2200</v>
      </c>
      <c r="L2374" s="1">
        <v>0</v>
      </c>
      <c r="M2374" s="1">
        <v>0</v>
      </c>
      <c r="N2374" s="1">
        <v>2200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 t="s">
        <v>49</v>
      </c>
      <c r="AA2374" s="1" t="s">
        <v>49</v>
      </c>
      <c r="AB2374" s="1" t="s">
        <v>49</v>
      </c>
      <c r="AC2374" s="1" t="s">
        <v>5348</v>
      </c>
      <c r="AD2374" s="1" t="s">
        <v>5349</v>
      </c>
      <c r="AE2374" s="1" t="s">
        <v>5350</v>
      </c>
      <c r="AF2374" s="1" t="s">
        <v>5351</v>
      </c>
      <c r="AG2374" s="1" t="s">
        <v>53</v>
      </c>
      <c r="AH2374" s="1" t="s">
        <v>49</v>
      </c>
      <c r="AI2374" s="1" t="s">
        <v>54</v>
      </c>
      <c r="AJ2374" s="1">
        <v>1</v>
      </c>
      <c r="AK2374" s="1" t="str">
        <f t="shared" si="37"/>
        <v xml:space="preserve"> =&lt;90</v>
      </c>
      <c r="AL2374" s="1" t="str">
        <f>VLOOKUP(C:C,[1]基础信息!B$1:D$65536,3,0)</f>
        <v xml:space="preserve">Cartridge </v>
      </c>
      <c r="AM2374" s="1" t="str">
        <f>VLOOKUP(C:C,[1]基础信息!B$1:E$65536,4,0)</f>
        <v>UNIV</v>
      </c>
      <c r="AN2374" s="1" t="str">
        <f>VLOOKUP(C:C,[1]基础信息!B$1:F$65536,5,0)</f>
        <v>P55</v>
      </c>
    </row>
    <row r="2375" spans="1:40">
      <c r="A2375" s="1" t="s">
        <v>41</v>
      </c>
      <c r="B2375" s="1" t="s">
        <v>42</v>
      </c>
      <c r="C2375" s="1" t="s">
        <v>5254</v>
      </c>
      <c r="D2375" s="1" t="s">
        <v>5255</v>
      </c>
      <c r="E2375" s="1" t="s">
        <v>45</v>
      </c>
      <c r="F2375" s="1" t="s">
        <v>5407</v>
      </c>
      <c r="G2375" s="1" t="s">
        <v>5501</v>
      </c>
      <c r="H2375" s="1" t="s">
        <v>5502</v>
      </c>
      <c r="I2375" s="1" t="s">
        <v>49</v>
      </c>
      <c r="J2375" s="1" t="s">
        <v>48</v>
      </c>
      <c r="K2375" s="1">
        <v>2200</v>
      </c>
      <c r="L2375" s="1">
        <v>0</v>
      </c>
      <c r="M2375" s="1">
        <v>0</v>
      </c>
      <c r="N2375" s="1">
        <v>2200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 t="s">
        <v>49</v>
      </c>
      <c r="AA2375" s="1" t="s">
        <v>49</v>
      </c>
      <c r="AB2375" s="1" t="s">
        <v>49</v>
      </c>
      <c r="AC2375" s="1" t="s">
        <v>5410</v>
      </c>
      <c r="AD2375" s="1" t="s">
        <v>5411</v>
      </c>
      <c r="AE2375" s="1" t="s">
        <v>5410</v>
      </c>
      <c r="AF2375" s="1" t="s">
        <v>5412</v>
      </c>
      <c r="AG2375" s="1" t="s">
        <v>53</v>
      </c>
      <c r="AH2375" s="1" t="s">
        <v>49</v>
      </c>
      <c r="AI2375" s="1" t="s">
        <v>54</v>
      </c>
      <c r="AJ2375" s="1">
        <v>1</v>
      </c>
      <c r="AK2375" s="1" t="str">
        <f t="shared" si="37"/>
        <v xml:space="preserve"> =&lt;90</v>
      </c>
      <c r="AL2375" s="1" t="str">
        <f>VLOOKUP(C:C,[1]基础信息!B$1:D$65536,3,0)</f>
        <v xml:space="preserve">Cartridge </v>
      </c>
      <c r="AM2375" s="1" t="str">
        <f>VLOOKUP(C:C,[1]基础信息!B$1:E$65536,4,0)</f>
        <v>UNIV</v>
      </c>
      <c r="AN2375" s="1" t="str">
        <f>VLOOKUP(C:C,[1]基础信息!B$1:F$65536,5,0)</f>
        <v>P55</v>
      </c>
    </row>
    <row r="2376" spans="1:40">
      <c r="A2376" s="1" t="s">
        <v>41</v>
      </c>
      <c r="B2376" s="1" t="s">
        <v>42</v>
      </c>
      <c r="C2376" s="1" t="s">
        <v>5254</v>
      </c>
      <c r="D2376" s="1" t="s">
        <v>5255</v>
      </c>
      <c r="E2376" s="1" t="s">
        <v>45</v>
      </c>
      <c r="F2376" s="1" t="s">
        <v>5503</v>
      </c>
      <c r="G2376" s="1" t="s">
        <v>5504</v>
      </c>
      <c r="H2376" s="1" t="s">
        <v>5505</v>
      </c>
      <c r="I2376" s="1" t="s">
        <v>49</v>
      </c>
      <c r="J2376" s="1" t="s">
        <v>48</v>
      </c>
      <c r="K2376" s="1">
        <v>1345</v>
      </c>
      <c r="L2376" s="1">
        <v>0</v>
      </c>
      <c r="M2376" s="1">
        <v>0</v>
      </c>
      <c r="N2376" s="1">
        <v>1345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 t="s">
        <v>49</v>
      </c>
      <c r="AA2376" s="1" t="s">
        <v>49</v>
      </c>
      <c r="AB2376" s="1" t="s">
        <v>49</v>
      </c>
      <c r="AC2376" s="1" t="s">
        <v>5506</v>
      </c>
      <c r="AD2376" s="1" t="s">
        <v>5507</v>
      </c>
      <c r="AE2376" s="1" t="s">
        <v>5506</v>
      </c>
      <c r="AF2376" s="1" t="s">
        <v>5508</v>
      </c>
      <c r="AG2376" s="1" t="s">
        <v>53</v>
      </c>
      <c r="AH2376" s="1" t="s">
        <v>49</v>
      </c>
      <c r="AI2376" s="1" t="s">
        <v>54</v>
      </c>
      <c r="AJ2376" s="1">
        <v>1</v>
      </c>
      <c r="AK2376" s="1" t="str">
        <f t="shared" si="37"/>
        <v xml:space="preserve"> =&lt;90</v>
      </c>
      <c r="AL2376" s="1" t="str">
        <f>VLOOKUP(C:C,[1]基础信息!B$1:D$65536,3,0)</f>
        <v xml:space="preserve">Cartridge </v>
      </c>
      <c r="AM2376" s="1" t="str">
        <f>VLOOKUP(C:C,[1]基础信息!B$1:E$65536,4,0)</f>
        <v>UNIV</v>
      </c>
      <c r="AN2376" s="1" t="str">
        <f>VLOOKUP(C:C,[1]基础信息!B$1:F$65536,5,0)</f>
        <v>P55</v>
      </c>
    </row>
    <row r="2377" spans="1:40">
      <c r="A2377" s="1" t="s">
        <v>41</v>
      </c>
      <c r="B2377" s="1" t="s">
        <v>42</v>
      </c>
      <c r="C2377" s="1" t="s">
        <v>3971</v>
      </c>
      <c r="D2377" s="1" t="s">
        <v>3972</v>
      </c>
      <c r="E2377" s="1" t="s">
        <v>45</v>
      </c>
      <c r="F2377" s="1" t="s">
        <v>5480</v>
      </c>
      <c r="G2377" s="1" t="s">
        <v>5509</v>
      </c>
      <c r="H2377" s="1" t="s">
        <v>5510</v>
      </c>
      <c r="I2377" s="1" t="s">
        <v>49</v>
      </c>
      <c r="J2377" s="1" t="s">
        <v>48</v>
      </c>
      <c r="K2377" s="1">
        <v>96</v>
      </c>
      <c r="L2377" s="1">
        <v>0</v>
      </c>
      <c r="M2377" s="1">
        <v>0</v>
      </c>
      <c r="N2377" s="1">
        <v>96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 t="s">
        <v>49</v>
      </c>
      <c r="AA2377" s="1" t="s">
        <v>49</v>
      </c>
      <c r="AB2377" s="1" t="s">
        <v>49</v>
      </c>
      <c r="AC2377" s="1" t="s">
        <v>1330</v>
      </c>
      <c r="AD2377" s="1" t="s">
        <v>1331</v>
      </c>
      <c r="AE2377" s="1" t="s">
        <v>3719</v>
      </c>
      <c r="AF2377" s="1" t="s">
        <v>5483</v>
      </c>
      <c r="AG2377" s="1" t="s">
        <v>53</v>
      </c>
      <c r="AH2377" s="1" t="s">
        <v>49</v>
      </c>
      <c r="AI2377" s="1" t="s">
        <v>54</v>
      </c>
      <c r="AJ2377" s="1">
        <v>1</v>
      </c>
      <c r="AK2377" s="1" t="str">
        <f t="shared" si="37"/>
        <v xml:space="preserve"> =&lt;90</v>
      </c>
      <c r="AL2377" s="1" t="str">
        <f>VLOOKUP(C:C,[1]基础信息!B$1:D$65536,3,0)</f>
        <v>Jug</v>
      </c>
      <c r="AM2377" s="1" t="str">
        <f>VLOOKUP(C:C,[1]基础信息!B$1:E$65536,4,0)</f>
        <v>Mxplus</v>
      </c>
      <c r="AN2377" s="1" t="str">
        <f>VLOOKUP(C:C,[1]基础信息!B$1:F$65536,5,0)</f>
        <v xml:space="preserve"> lime</v>
      </c>
    </row>
    <row r="2378" spans="1:40">
      <c r="A2378" s="1" t="s">
        <v>41</v>
      </c>
      <c r="B2378" s="1" t="s">
        <v>42</v>
      </c>
      <c r="C2378" s="1" t="s">
        <v>3971</v>
      </c>
      <c r="D2378" s="1" t="s">
        <v>3972</v>
      </c>
      <c r="E2378" s="1" t="s">
        <v>45</v>
      </c>
      <c r="F2378" s="1" t="s">
        <v>5480</v>
      </c>
      <c r="G2378" s="1" t="s">
        <v>5511</v>
      </c>
      <c r="H2378" s="1" t="s">
        <v>5512</v>
      </c>
      <c r="I2378" s="1" t="s">
        <v>49</v>
      </c>
      <c r="J2378" s="1" t="s">
        <v>48</v>
      </c>
      <c r="K2378" s="1">
        <v>96</v>
      </c>
      <c r="L2378" s="1">
        <v>0</v>
      </c>
      <c r="M2378" s="1">
        <v>0</v>
      </c>
      <c r="N2378" s="1">
        <v>96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 t="s">
        <v>49</v>
      </c>
      <c r="AA2378" s="1" t="s">
        <v>49</v>
      </c>
      <c r="AB2378" s="1" t="s">
        <v>49</v>
      </c>
      <c r="AC2378" s="1" t="s">
        <v>1330</v>
      </c>
      <c r="AD2378" s="1" t="s">
        <v>1331</v>
      </c>
      <c r="AE2378" s="1" t="s">
        <v>3719</v>
      </c>
      <c r="AF2378" s="1" t="s">
        <v>5483</v>
      </c>
      <c r="AG2378" s="1" t="s">
        <v>53</v>
      </c>
      <c r="AH2378" s="1" t="s">
        <v>49</v>
      </c>
      <c r="AI2378" s="1" t="s">
        <v>54</v>
      </c>
      <c r="AJ2378" s="1">
        <v>1</v>
      </c>
      <c r="AK2378" s="1" t="str">
        <f t="shared" si="37"/>
        <v xml:space="preserve"> =&lt;90</v>
      </c>
      <c r="AL2378" s="1" t="str">
        <f>VLOOKUP(C:C,[1]基础信息!B$1:D$65536,3,0)</f>
        <v>Jug</v>
      </c>
      <c r="AM2378" s="1" t="str">
        <f>VLOOKUP(C:C,[1]基础信息!B$1:E$65536,4,0)</f>
        <v>Mxplus</v>
      </c>
      <c r="AN2378" s="1" t="str">
        <f>VLOOKUP(C:C,[1]基础信息!B$1:F$65536,5,0)</f>
        <v xml:space="preserve"> lime</v>
      </c>
    </row>
    <row r="2379" spans="1:40">
      <c r="A2379" s="1" t="s">
        <v>41</v>
      </c>
      <c r="B2379" s="1" t="s">
        <v>42</v>
      </c>
      <c r="C2379" s="1" t="s">
        <v>3971</v>
      </c>
      <c r="D2379" s="1" t="s">
        <v>3972</v>
      </c>
      <c r="E2379" s="1" t="s">
        <v>45</v>
      </c>
      <c r="F2379" s="1" t="s">
        <v>5480</v>
      </c>
      <c r="G2379" s="1" t="s">
        <v>5513</v>
      </c>
      <c r="H2379" s="1" t="s">
        <v>5514</v>
      </c>
      <c r="I2379" s="1" t="s">
        <v>49</v>
      </c>
      <c r="J2379" s="1" t="s">
        <v>48</v>
      </c>
      <c r="K2379" s="1">
        <v>96</v>
      </c>
      <c r="L2379" s="1">
        <v>0</v>
      </c>
      <c r="M2379" s="1">
        <v>0</v>
      </c>
      <c r="N2379" s="1">
        <v>96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 t="s">
        <v>49</v>
      </c>
      <c r="AA2379" s="1" t="s">
        <v>49</v>
      </c>
      <c r="AB2379" s="1" t="s">
        <v>49</v>
      </c>
      <c r="AC2379" s="1" t="s">
        <v>1330</v>
      </c>
      <c r="AD2379" s="1" t="s">
        <v>1331</v>
      </c>
      <c r="AE2379" s="1" t="s">
        <v>3719</v>
      </c>
      <c r="AF2379" s="1" t="s">
        <v>5483</v>
      </c>
      <c r="AG2379" s="1" t="s">
        <v>53</v>
      </c>
      <c r="AH2379" s="1" t="s">
        <v>49</v>
      </c>
      <c r="AI2379" s="1" t="s">
        <v>54</v>
      </c>
      <c r="AJ2379" s="1">
        <v>1</v>
      </c>
      <c r="AK2379" s="1" t="str">
        <f t="shared" si="37"/>
        <v xml:space="preserve"> =&lt;90</v>
      </c>
      <c r="AL2379" s="1" t="str">
        <f>VLOOKUP(C:C,[1]基础信息!B$1:D$65536,3,0)</f>
        <v>Jug</v>
      </c>
      <c r="AM2379" s="1" t="str">
        <f>VLOOKUP(C:C,[1]基础信息!B$1:E$65536,4,0)</f>
        <v>Mxplus</v>
      </c>
      <c r="AN2379" s="1" t="str">
        <f>VLOOKUP(C:C,[1]基础信息!B$1:F$65536,5,0)</f>
        <v xml:space="preserve"> lime</v>
      </c>
    </row>
    <row r="2380" spans="1:40">
      <c r="A2380" s="1" t="s">
        <v>41</v>
      </c>
      <c r="B2380" s="1" t="s">
        <v>42</v>
      </c>
      <c r="C2380" s="1" t="s">
        <v>3971</v>
      </c>
      <c r="D2380" s="1" t="s">
        <v>3972</v>
      </c>
      <c r="E2380" s="1" t="s">
        <v>45</v>
      </c>
      <c r="F2380" s="1" t="s">
        <v>5480</v>
      </c>
      <c r="G2380" s="1" t="s">
        <v>5515</v>
      </c>
      <c r="H2380" s="1" t="s">
        <v>5516</v>
      </c>
      <c r="I2380" s="1" t="s">
        <v>49</v>
      </c>
      <c r="J2380" s="1" t="s">
        <v>48</v>
      </c>
      <c r="K2380" s="1">
        <v>96</v>
      </c>
      <c r="L2380" s="1">
        <v>0</v>
      </c>
      <c r="M2380" s="1">
        <v>0</v>
      </c>
      <c r="N2380" s="1">
        <v>96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 t="s">
        <v>49</v>
      </c>
      <c r="AA2380" s="1" t="s">
        <v>49</v>
      </c>
      <c r="AB2380" s="1" t="s">
        <v>49</v>
      </c>
      <c r="AC2380" s="1" t="s">
        <v>1330</v>
      </c>
      <c r="AD2380" s="1" t="s">
        <v>1331</v>
      </c>
      <c r="AE2380" s="1" t="s">
        <v>3719</v>
      </c>
      <c r="AF2380" s="1" t="s">
        <v>5483</v>
      </c>
      <c r="AG2380" s="1" t="s">
        <v>53</v>
      </c>
      <c r="AH2380" s="1" t="s">
        <v>49</v>
      </c>
      <c r="AI2380" s="1" t="s">
        <v>54</v>
      </c>
      <c r="AJ2380" s="1">
        <v>1</v>
      </c>
      <c r="AK2380" s="1" t="str">
        <f t="shared" si="37"/>
        <v xml:space="preserve"> =&lt;90</v>
      </c>
      <c r="AL2380" s="1" t="str">
        <f>VLOOKUP(C:C,[1]基础信息!B$1:D$65536,3,0)</f>
        <v>Jug</v>
      </c>
      <c r="AM2380" s="1" t="str">
        <f>VLOOKUP(C:C,[1]基础信息!B$1:E$65536,4,0)</f>
        <v>Mxplus</v>
      </c>
      <c r="AN2380" s="1" t="str">
        <f>VLOOKUP(C:C,[1]基础信息!B$1:F$65536,5,0)</f>
        <v xml:space="preserve"> lime</v>
      </c>
    </row>
    <row r="2381" spans="1:40">
      <c r="A2381" s="1" t="s">
        <v>41</v>
      </c>
      <c r="B2381" s="1" t="s">
        <v>42</v>
      </c>
      <c r="C2381" s="1" t="s">
        <v>5254</v>
      </c>
      <c r="D2381" s="1" t="s">
        <v>5255</v>
      </c>
      <c r="E2381" s="1" t="s">
        <v>45</v>
      </c>
      <c r="F2381" s="1" t="s">
        <v>5407</v>
      </c>
      <c r="G2381" s="1" t="s">
        <v>5517</v>
      </c>
      <c r="H2381" s="1" t="s">
        <v>5518</v>
      </c>
      <c r="I2381" s="1" t="s">
        <v>49</v>
      </c>
      <c r="J2381" s="1" t="s">
        <v>48</v>
      </c>
      <c r="K2381" s="1">
        <v>2200</v>
      </c>
      <c r="L2381" s="1">
        <v>0</v>
      </c>
      <c r="M2381" s="1">
        <v>0</v>
      </c>
      <c r="N2381" s="1">
        <v>2200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 t="s">
        <v>49</v>
      </c>
      <c r="AA2381" s="1" t="s">
        <v>49</v>
      </c>
      <c r="AB2381" s="1" t="s">
        <v>49</v>
      </c>
      <c r="AC2381" s="1" t="s">
        <v>5410</v>
      </c>
      <c r="AD2381" s="1" t="s">
        <v>5411</v>
      </c>
      <c r="AE2381" s="1" t="s">
        <v>5410</v>
      </c>
      <c r="AF2381" s="1" t="s">
        <v>5412</v>
      </c>
      <c r="AG2381" s="1" t="s">
        <v>53</v>
      </c>
      <c r="AH2381" s="1" t="s">
        <v>49</v>
      </c>
      <c r="AI2381" s="1" t="s">
        <v>54</v>
      </c>
      <c r="AJ2381" s="1">
        <v>1</v>
      </c>
      <c r="AK2381" s="1" t="str">
        <f t="shared" si="37"/>
        <v xml:space="preserve"> =&lt;90</v>
      </c>
      <c r="AL2381" s="1" t="str">
        <f>VLOOKUP(C:C,[1]基础信息!B$1:D$65536,3,0)</f>
        <v xml:space="preserve">Cartridge </v>
      </c>
      <c r="AM2381" s="1" t="str">
        <f>VLOOKUP(C:C,[1]基础信息!B$1:E$65536,4,0)</f>
        <v>UNIV</v>
      </c>
      <c r="AN2381" s="1" t="str">
        <f>VLOOKUP(C:C,[1]基础信息!B$1:F$65536,5,0)</f>
        <v>P55</v>
      </c>
    </row>
    <row r="2382" spans="1:40">
      <c r="A2382" s="1" t="s">
        <v>41</v>
      </c>
      <c r="B2382" s="1" t="s">
        <v>42</v>
      </c>
      <c r="C2382" s="1" t="s">
        <v>3971</v>
      </c>
      <c r="D2382" s="1" t="s">
        <v>3972</v>
      </c>
      <c r="E2382" s="1" t="s">
        <v>45</v>
      </c>
      <c r="F2382" s="1" t="s">
        <v>5519</v>
      </c>
      <c r="G2382" s="1" t="s">
        <v>5520</v>
      </c>
      <c r="H2382" s="1" t="s">
        <v>5521</v>
      </c>
      <c r="I2382" s="1" t="s">
        <v>49</v>
      </c>
      <c r="J2382" s="1" t="s">
        <v>48</v>
      </c>
      <c r="K2382" s="1">
        <v>16</v>
      </c>
      <c r="L2382" s="1">
        <v>0</v>
      </c>
      <c r="M2382" s="1">
        <v>0</v>
      </c>
      <c r="N2382" s="1">
        <v>16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 t="s">
        <v>49</v>
      </c>
      <c r="AA2382" s="1" t="s">
        <v>49</v>
      </c>
      <c r="AB2382" s="1" t="s">
        <v>49</v>
      </c>
      <c r="AC2382" s="1" t="s">
        <v>470</v>
      </c>
      <c r="AD2382" s="1" t="s">
        <v>471</v>
      </c>
      <c r="AE2382" s="1" t="s">
        <v>470</v>
      </c>
      <c r="AF2382" s="1" t="s">
        <v>5522</v>
      </c>
      <c r="AG2382" s="1" t="s">
        <v>53</v>
      </c>
      <c r="AH2382" s="1" t="s">
        <v>49</v>
      </c>
      <c r="AI2382" s="1" t="s">
        <v>54</v>
      </c>
      <c r="AJ2382" s="1">
        <v>1</v>
      </c>
      <c r="AK2382" s="1" t="str">
        <f t="shared" si="37"/>
        <v xml:space="preserve"> =&lt;90</v>
      </c>
      <c r="AL2382" s="1" t="str">
        <f>VLOOKUP(C:C,[1]基础信息!B$1:D$65536,3,0)</f>
        <v>Jug</v>
      </c>
      <c r="AM2382" s="1" t="str">
        <f>VLOOKUP(C:C,[1]基础信息!B$1:E$65536,4,0)</f>
        <v>Mxplus</v>
      </c>
      <c r="AN2382" s="1" t="str">
        <f>VLOOKUP(C:C,[1]基础信息!B$1:F$65536,5,0)</f>
        <v xml:space="preserve"> lime</v>
      </c>
    </row>
    <row r="2383" spans="1:40">
      <c r="A2383" s="1" t="s">
        <v>41</v>
      </c>
      <c r="B2383" s="1" t="s">
        <v>42</v>
      </c>
      <c r="C2383" s="1" t="s">
        <v>4273</v>
      </c>
      <c r="D2383" s="1" t="s">
        <v>4274</v>
      </c>
      <c r="E2383" s="1" t="s">
        <v>45</v>
      </c>
      <c r="F2383" s="1" t="s">
        <v>5523</v>
      </c>
      <c r="G2383" s="1" t="s">
        <v>5524</v>
      </c>
      <c r="H2383" s="1" t="s">
        <v>5525</v>
      </c>
      <c r="I2383" s="1" t="s">
        <v>49</v>
      </c>
      <c r="J2383" s="1" t="s">
        <v>48</v>
      </c>
      <c r="K2383" s="1">
        <v>840</v>
      </c>
      <c r="L2383" s="1">
        <v>0</v>
      </c>
      <c r="M2383" s="1">
        <v>0</v>
      </c>
      <c r="N2383" s="1">
        <v>840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 t="s">
        <v>49</v>
      </c>
      <c r="AA2383" s="1" t="s">
        <v>49</v>
      </c>
      <c r="AB2383" s="1" t="s">
        <v>49</v>
      </c>
      <c r="AC2383" s="1" t="s">
        <v>470</v>
      </c>
      <c r="AD2383" s="1" t="s">
        <v>471</v>
      </c>
      <c r="AE2383" s="1" t="s">
        <v>470</v>
      </c>
      <c r="AF2383" s="1" t="s">
        <v>5526</v>
      </c>
      <c r="AG2383" s="1" t="s">
        <v>53</v>
      </c>
      <c r="AH2383" s="1" t="s">
        <v>49</v>
      </c>
      <c r="AI2383" s="1" t="s">
        <v>54</v>
      </c>
      <c r="AJ2383" s="1">
        <v>1</v>
      </c>
      <c r="AK2383" s="1" t="str">
        <f t="shared" si="37"/>
        <v xml:space="preserve"> =&lt;90</v>
      </c>
      <c r="AL2383" s="1" t="e">
        <f>VLOOKUP(C:C,[1]基础信息!B$1:D$65536,3,0)</f>
        <v>#N/A</v>
      </c>
      <c r="AM2383" s="1" t="e">
        <f>VLOOKUP(C:C,[1]基础信息!B$1:E$65536,4,0)</f>
        <v>#N/A</v>
      </c>
      <c r="AN2383" s="1" t="e">
        <f>VLOOKUP(C:C,[1]基础信息!B$1:F$65536,5,0)</f>
        <v>#N/A</v>
      </c>
    </row>
    <row r="2384" spans="1:40">
      <c r="A2384" s="1" t="s">
        <v>41</v>
      </c>
      <c r="B2384" s="1" t="s">
        <v>42</v>
      </c>
      <c r="C2384" s="1" t="s">
        <v>5254</v>
      </c>
      <c r="D2384" s="1" t="s">
        <v>5255</v>
      </c>
      <c r="E2384" s="1" t="s">
        <v>45</v>
      </c>
      <c r="F2384" s="1" t="s">
        <v>5345</v>
      </c>
      <c r="G2384" s="1" t="s">
        <v>5527</v>
      </c>
      <c r="H2384" s="1" t="s">
        <v>5528</v>
      </c>
      <c r="I2384" s="1" t="s">
        <v>49</v>
      </c>
      <c r="J2384" s="1" t="s">
        <v>48</v>
      </c>
      <c r="K2384" s="1">
        <v>990</v>
      </c>
      <c r="L2384" s="1">
        <v>0</v>
      </c>
      <c r="M2384" s="1">
        <v>0</v>
      </c>
      <c r="N2384" s="1">
        <v>990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 t="s">
        <v>49</v>
      </c>
      <c r="AA2384" s="1" t="s">
        <v>49</v>
      </c>
      <c r="AB2384" s="1" t="s">
        <v>49</v>
      </c>
      <c r="AC2384" s="1" t="s">
        <v>5348</v>
      </c>
      <c r="AD2384" s="1" t="s">
        <v>5349</v>
      </c>
      <c r="AE2384" s="1" t="s">
        <v>5350</v>
      </c>
      <c r="AF2384" s="1" t="s">
        <v>5351</v>
      </c>
      <c r="AG2384" s="1" t="s">
        <v>53</v>
      </c>
      <c r="AH2384" s="1" t="s">
        <v>49</v>
      </c>
      <c r="AI2384" s="1" t="s">
        <v>54</v>
      </c>
      <c r="AJ2384" s="1">
        <v>1</v>
      </c>
      <c r="AK2384" s="1" t="str">
        <f t="shared" si="37"/>
        <v xml:space="preserve"> =&lt;90</v>
      </c>
      <c r="AL2384" s="1" t="str">
        <f>VLOOKUP(C:C,[1]基础信息!B$1:D$65536,3,0)</f>
        <v xml:space="preserve">Cartridge </v>
      </c>
      <c r="AM2384" s="1" t="str">
        <f>VLOOKUP(C:C,[1]基础信息!B$1:E$65536,4,0)</f>
        <v>UNIV</v>
      </c>
      <c r="AN2384" s="1" t="str">
        <f>VLOOKUP(C:C,[1]基础信息!B$1:F$65536,5,0)</f>
        <v>P55</v>
      </c>
    </row>
    <row r="2385" spans="1:40">
      <c r="A2385" s="1" t="s">
        <v>41</v>
      </c>
      <c r="B2385" s="1" t="s">
        <v>42</v>
      </c>
      <c r="C2385" s="1" t="s">
        <v>5254</v>
      </c>
      <c r="D2385" s="1" t="s">
        <v>5255</v>
      </c>
      <c r="E2385" s="1" t="s">
        <v>45</v>
      </c>
      <c r="F2385" s="1" t="s">
        <v>5529</v>
      </c>
      <c r="G2385" s="1" t="s">
        <v>5530</v>
      </c>
      <c r="H2385" s="1" t="s">
        <v>5531</v>
      </c>
      <c r="I2385" s="1" t="s">
        <v>49</v>
      </c>
      <c r="J2385" s="1" t="s">
        <v>48</v>
      </c>
      <c r="K2385" s="1">
        <v>2200</v>
      </c>
      <c r="L2385" s="1">
        <v>0</v>
      </c>
      <c r="M2385" s="1">
        <v>0</v>
      </c>
      <c r="N2385" s="1">
        <v>2200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 t="s">
        <v>49</v>
      </c>
      <c r="AA2385" s="1" t="s">
        <v>49</v>
      </c>
      <c r="AB2385" s="1" t="s">
        <v>49</v>
      </c>
      <c r="AC2385" s="1" t="s">
        <v>5348</v>
      </c>
      <c r="AD2385" s="1" t="s">
        <v>5349</v>
      </c>
      <c r="AE2385" s="1" t="s">
        <v>5350</v>
      </c>
      <c r="AF2385" s="1" t="s">
        <v>5532</v>
      </c>
      <c r="AG2385" s="1" t="s">
        <v>53</v>
      </c>
      <c r="AH2385" s="1" t="s">
        <v>49</v>
      </c>
      <c r="AI2385" s="1" t="s">
        <v>54</v>
      </c>
      <c r="AJ2385" s="1">
        <v>1</v>
      </c>
      <c r="AK2385" s="1" t="str">
        <f t="shared" si="37"/>
        <v xml:space="preserve"> =&lt;90</v>
      </c>
      <c r="AL2385" s="1" t="str">
        <f>VLOOKUP(C:C,[1]基础信息!B$1:D$65536,3,0)</f>
        <v xml:space="preserve">Cartridge </v>
      </c>
      <c r="AM2385" s="1" t="str">
        <f>VLOOKUP(C:C,[1]基础信息!B$1:E$65536,4,0)</f>
        <v>UNIV</v>
      </c>
      <c r="AN2385" s="1" t="str">
        <f>VLOOKUP(C:C,[1]基础信息!B$1:F$65536,5,0)</f>
        <v>P55</v>
      </c>
    </row>
    <row r="2386" spans="1:40">
      <c r="A2386" s="1" t="s">
        <v>41</v>
      </c>
      <c r="B2386" s="1" t="s">
        <v>42</v>
      </c>
      <c r="C2386" s="1" t="s">
        <v>5254</v>
      </c>
      <c r="D2386" s="1" t="s">
        <v>5255</v>
      </c>
      <c r="E2386" s="1" t="s">
        <v>45</v>
      </c>
      <c r="F2386" s="1" t="s">
        <v>5529</v>
      </c>
      <c r="G2386" s="1" t="s">
        <v>5533</v>
      </c>
      <c r="H2386" s="1" t="s">
        <v>5534</v>
      </c>
      <c r="I2386" s="1" t="s">
        <v>49</v>
      </c>
      <c r="J2386" s="1" t="s">
        <v>48</v>
      </c>
      <c r="K2386" s="1">
        <v>2200</v>
      </c>
      <c r="L2386" s="1">
        <v>0</v>
      </c>
      <c r="M2386" s="1">
        <v>0</v>
      </c>
      <c r="N2386" s="1">
        <v>2200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 t="s">
        <v>49</v>
      </c>
      <c r="AA2386" s="1" t="s">
        <v>49</v>
      </c>
      <c r="AB2386" s="1" t="s">
        <v>49</v>
      </c>
      <c r="AC2386" s="1" t="s">
        <v>5348</v>
      </c>
      <c r="AD2386" s="1" t="s">
        <v>5349</v>
      </c>
      <c r="AE2386" s="1" t="s">
        <v>5350</v>
      </c>
      <c r="AF2386" s="1" t="s">
        <v>5532</v>
      </c>
      <c r="AG2386" s="1" t="s">
        <v>53</v>
      </c>
      <c r="AH2386" s="1" t="s">
        <v>49</v>
      </c>
      <c r="AI2386" s="1" t="s">
        <v>54</v>
      </c>
      <c r="AJ2386" s="1">
        <v>1</v>
      </c>
      <c r="AK2386" s="1" t="str">
        <f t="shared" si="37"/>
        <v xml:space="preserve"> =&lt;90</v>
      </c>
      <c r="AL2386" s="1" t="str">
        <f>VLOOKUP(C:C,[1]基础信息!B$1:D$65536,3,0)</f>
        <v xml:space="preserve">Cartridge </v>
      </c>
      <c r="AM2386" s="1" t="str">
        <f>VLOOKUP(C:C,[1]基础信息!B$1:E$65536,4,0)</f>
        <v>UNIV</v>
      </c>
      <c r="AN2386" s="1" t="str">
        <f>VLOOKUP(C:C,[1]基础信息!B$1:F$65536,5,0)</f>
        <v>P55</v>
      </c>
    </row>
    <row r="2387" spans="1:40">
      <c r="A2387" s="1" t="s">
        <v>41</v>
      </c>
      <c r="B2387" s="1" t="s">
        <v>42</v>
      </c>
      <c r="C2387" s="1" t="s">
        <v>3971</v>
      </c>
      <c r="D2387" s="1" t="s">
        <v>3972</v>
      </c>
      <c r="E2387" s="1" t="s">
        <v>45</v>
      </c>
      <c r="F2387" s="1" t="s">
        <v>5380</v>
      </c>
      <c r="G2387" s="1" t="s">
        <v>5535</v>
      </c>
      <c r="H2387" s="1" t="s">
        <v>5536</v>
      </c>
      <c r="I2387" s="1" t="s">
        <v>49</v>
      </c>
      <c r="J2387" s="1" t="s">
        <v>48</v>
      </c>
      <c r="K2387" s="1">
        <v>96</v>
      </c>
      <c r="L2387" s="1">
        <v>0</v>
      </c>
      <c r="M2387" s="1">
        <v>0</v>
      </c>
      <c r="N2387" s="1">
        <v>96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 t="s">
        <v>49</v>
      </c>
      <c r="AA2387" s="1" t="s">
        <v>49</v>
      </c>
      <c r="AB2387" s="1" t="s">
        <v>49</v>
      </c>
      <c r="AC2387" s="1" t="s">
        <v>1408</v>
      </c>
      <c r="AD2387" s="1" t="s">
        <v>1409</v>
      </c>
      <c r="AE2387" s="1" t="s">
        <v>1408</v>
      </c>
      <c r="AF2387" s="1" t="s">
        <v>1172</v>
      </c>
      <c r="AG2387" s="1" t="s">
        <v>53</v>
      </c>
      <c r="AH2387" s="1" t="s">
        <v>49</v>
      </c>
      <c r="AI2387" s="1" t="s">
        <v>54</v>
      </c>
      <c r="AJ2387" s="1">
        <v>1</v>
      </c>
      <c r="AK2387" s="1" t="str">
        <f t="shared" si="37"/>
        <v xml:space="preserve"> =&lt;90</v>
      </c>
      <c r="AL2387" s="1" t="str">
        <f>VLOOKUP(C:C,[1]基础信息!B$1:D$65536,3,0)</f>
        <v>Jug</v>
      </c>
      <c r="AM2387" s="1" t="str">
        <f>VLOOKUP(C:C,[1]基础信息!B$1:E$65536,4,0)</f>
        <v>Mxplus</v>
      </c>
      <c r="AN2387" s="1" t="str">
        <f>VLOOKUP(C:C,[1]基础信息!B$1:F$65536,5,0)</f>
        <v xml:space="preserve"> lime</v>
      </c>
    </row>
    <row r="2388" spans="1:40">
      <c r="A2388" s="1" t="s">
        <v>41</v>
      </c>
      <c r="B2388" s="1" t="s">
        <v>42</v>
      </c>
      <c r="C2388" s="1" t="s">
        <v>3971</v>
      </c>
      <c r="D2388" s="1" t="s">
        <v>3972</v>
      </c>
      <c r="E2388" s="1" t="s">
        <v>45</v>
      </c>
      <c r="F2388" s="1" t="s">
        <v>5380</v>
      </c>
      <c r="G2388" s="1" t="s">
        <v>5537</v>
      </c>
      <c r="H2388" s="1" t="s">
        <v>5538</v>
      </c>
      <c r="I2388" s="1" t="s">
        <v>49</v>
      </c>
      <c r="J2388" s="1" t="s">
        <v>48</v>
      </c>
      <c r="K2388" s="1">
        <v>96</v>
      </c>
      <c r="L2388" s="1">
        <v>0</v>
      </c>
      <c r="M2388" s="1">
        <v>0</v>
      </c>
      <c r="N2388" s="1">
        <v>96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 t="s">
        <v>49</v>
      </c>
      <c r="AA2388" s="1" t="s">
        <v>49</v>
      </c>
      <c r="AB2388" s="1" t="s">
        <v>49</v>
      </c>
      <c r="AC2388" s="1" t="s">
        <v>1408</v>
      </c>
      <c r="AD2388" s="1" t="s">
        <v>1409</v>
      </c>
      <c r="AE2388" s="1" t="s">
        <v>1408</v>
      </c>
      <c r="AF2388" s="1" t="s">
        <v>1172</v>
      </c>
      <c r="AG2388" s="1" t="s">
        <v>53</v>
      </c>
      <c r="AH2388" s="1" t="s">
        <v>49</v>
      </c>
      <c r="AI2388" s="1" t="s">
        <v>54</v>
      </c>
      <c r="AJ2388" s="1">
        <v>1</v>
      </c>
      <c r="AK2388" s="1" t="str">
        <f t="shared" si="37"/>
        <v xml:space="preserve"> =&lt;90</v>
      </c>
      <c r="AL2388" s="1" t="str">
        <f>VLOOKUP(C:C,[1]基础信息!B$1:D$65536,3,0)</f>
        <v>Jug</v>
      </c>
      <c r="AM2388" s="1" t="str">
        <f>VLOOKUP(C:C,[1]基础信息!B$1:E$65536,4,0)</f>
        <v>Mxplus</v>
      </c>
      <c r="AN2388" s="1" t="str">
        <f>VLOOKUP(C:C,[1]基础信息!B$1:F$65536,5,0)</f>
        <v xml:space="preserve"> lime</v>
      </c>
    </row>
    <row r="2389" spans="1:40">
      <c r="A2389" s="1" t="s">
        <v>41</v>
      </c>
      <c r="B2389" s="1" t="s">
        <v>42</v>
      </c>
      <c r="C2389" s="1" t="s">
        <v>3971</v>
      </c>
      <c r="D2389" s="1" t="s">
        <v>3972</v>
      </c>
      <c r="E2389" s="1" t="s">
        <v>45</v>
      </c>
      <c r="F2389" s="1" t="s">
        <v>5149</v>
      </c>
      <c r="G2389" s="1" t="s">
        <v>5539</v>
      </c>
      <c r="H2389" s="1" t="s">
        <v>5540</v>
      </c>
      <c r="I2389" s="1" t="s">
        <v>49</v>
      </c>
      <c r="J2389" s="1" t="s">
        <v>48</v>
      </c>
      <c r="K2389" s="1">
        <v>96</v>
      </c>
      <c r="L2389" s="1">
        <v>0</v>
      </c>
      <c r="M2389" s="1">
        <v>0</v>
      </c>
      <c r="N2389" s="1">
        <v>96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 t="s">
        <v>49</v>
      </c>
      <c r="AA2389" s="1" t="s">
        <v>49</v>
      </c>
      <c r="AB2389" s="1" t="s">
        <v>49</v>
      </c>
      <c r="AC2389" s="1" t="s">
        <v>88</v>
      </c>
      <c r="AD2389" s="1" t="s">
        <v>89</v>
      </c>
      <c r="AE2389" s="1" t="s">
        <v>88</v>
      </c>
      <c r="AF2389" s="1" t="s">
        <v>3349</v>
      </c>
      <c r="AG2389" s="1" t="s">
        <v>53</v>
      </c>
      <c r="AH2389" s="1" t="s">
        <v>49</v>
      </c>
      <c r="AI2389" s="1" t="s">
        <v>54</v>
      </c>
      <c r="AJ2389" s="1">
        <v>1</v>
      </c>
      <c r="AK2389" s="1" t="str">
        <f t="shared" si="37"/>
        <v xml:space="preserve"> =&lt;90</v>
      </c>
      <c r="AL2389" s="1" t="str">
        <f>VLOOKUP(C:C,[1]基础信息!B$1:D$65536,3,0)</f>
        <v>Jug</v>
      </c>
      <c r="AM2389" s="1" t="str">
        <f>VLOOKUP(C:C,[1]基础信息!B$1:E$65536,4,0)</f>
        <v>Mxplus</v>
      </c>
      <c r="AN2389" s="1" t="str">
        <f>VLOOKUP(C:C,[1]基础信息!B$1:F$65536,5,0)</f>
        <v xml:space="preserve"> lime</v>
      </c>
    </row>
    <row r="2390" spans="1:40">
      <c r="A2390" s="1" t="s">
        <v>41</v>
      </c>
      <c r="B2390" s="1" t="s">
        <v>42</v>
      </c>
      <c r="C2390" s="1" t="s">
        <v>3971</v>
      </c>
      <c r="D2390" s="1" t="s">
        <v>3972</v>
      </c>
      <c r="E2390" s="1" t="s">
        <v>45</v>
      </c>
      <c r="F2390" s="1" t="s">
        <v>5149</v>
      </c>
      <c r="G2390" s="1" t="s">
        <v>5541</v>
      </c>
      <c r="H2390" s="1" t="s">
        <v>5542</v>
      </c>
      <c r="I2390" s="1" t="s">
        <v>49</v>
      </c>
      <c r="J2390" s="1" t="s">
        <v>48</v>
      </c>
      <c r="K2390" s="1">
        <v>96</v>
      </c>
      <c r="L2390" s="1">
        <v>0</v>
      </c>
      <c r="M2390" s="1">
        <v>0</v>
      </c>
      <c r="N2390" s="1">
        <v>96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 t="s">
        <v>49</v>
      </c>
      <c r="AA2390" s="1" t="s">
        <v>49</v>
      </c>
      <c r="AB2390" s="1" t="s">
        <v>49</v>
      </c>
      <c r="AC2390" s="1" t="s">
        <v>88</v>
      </c>
      <c r="AD2390" s="1" t="s">
        <v>89</v>
      </c>
      <c r="AE2390" s="1" t="s">
        <v>88</v>
      </c>
      <c r="AF2390" s="1" t="s">
        <v>3349</v>
      </c>
      <c r="AG2390" s="1" t="s">
        <v>53</v>
      </c>
      <c r="AH2390" s="1" t="s">
        <v>49</v>
      </c>
      <c r="AI2390" s="1" t="s">
        <v>54</v>
      </c>
      <c r="AJ2390" s="1">
        <v>1</v>
      </c>
      <c r="AK2390" s="1" t="str">
        <f t="shared" si="37"/>
        <v xml:space="preserve"> =&lt;90</v>
      </c>
      <c r="AL2390" s="1" t="str">
        <f>VLOOKUP(C:C,[1]基础信息!B$1:D$65536,3,0)</f>
        <v>Jug</v>
      </c>
      <c r="AM2390" s="1" t="str">
        <f>VLOOKUP(C:C,[1]基础信息!B$1:E$65536,4,0)</f>
        <v>Mxplus</v>
      </c>
      <c r="AN2390" s="1" t="str">
        <f>VLOOKUP(C:C,[1]基础信息!B$1:F$65536,5,0)</f>
        <v xml:space="preserve"> lime</v>
      </c>
    </row>
    <row r="2391" spans="1:40">
      <c r="A2391" s="1" t="s">
        <v>41</v>
      </c>
      <c r="B2391" s="1" t="s">
        <v>42</v>
      </c>
      <c r="C2391" s="1" t="s">
        <v>3971</v>
      </c>
      <c r="D2391" s="1" t="s">
        <v>3972</v>
      </c>
      <c r="E2391" s="1" t="s">
        <v>45</v>
      </c>
      <c r="F2391" s="1" t="s">
        <v>5149</v>
      </c>
      <c r="G2391" s="1" t="s">
        <v>5543</v>
      </c>
      <c r="H2391" s="1" t="s">
        <v>5544</v>
      </c>
      <c r="I2391" s="1" t="s">
        <v>49</v>
      </c>
      <c r="J2391" s="1" t="s">
        <v>48</v>
      </c>
      <c r="K2391" s="1">
        <v>96</v>
      </c>
      <c r="L2391" s="1">
        <v>0</v>
      </c>
      <c r="M2391" s="1">
        <v>0</v>
      </c>
      <c r="N2391" s="1">
        <v>96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 t="s">
        <v>49</v>
      </c>
      <c r="AA2391" s="1" t="s">
        <v>49</v>
      </c>
      <c r="AB2391" s="1" t="s">
        <v>49</v>
      </c>
      <c r="AC2391" s="1" t="s">
        <v>88</v>
      </c>
      <c r="AD2391" s="1" t="s">
        <v>89</v>
      </c>
      <c r="AE2391" s="1" t="s">
        <v>88</v>
      </c>
      <c r="AF2391" s="1" t="s">
        <v>3349</v>
      </c>
      <c r="AG2391" s="1" t="s">
        <v>53</v>
      </c>
      <c r="AH2391" s="1" t="s">
        <v>49</v>
      </c>
      <c r="AI2391" s="1" t="s">
        <v>54</v>
      </c>
      <c r="AJ2391" s="1">
        <v>1</v>
      </c>
      <c r="AK2391" s="1" t="str">
        <f t="shared" si="37"/>
        <v xml:space="preserve"> =&lt;90</v>
      </c>
      <c r="AL2391" s="1" t="str">
        <f>VLOOKUP(C:C,[1]基础信息!B$1:D$65536,3,0)</f>
        <v>Jug</v>
      </c>
      <c r="AM2391" s="1" t="str">
        <f>VLOOKUP(C:C,[1]基础信息!B$1:E$65536,4,0)</f>
        <v>Mxplus</v>
      </c>
      <c r="AN2391" s="1" t="str">
        <f>VLOOKUP(C:C,[1]基础信息!B$1:F$65536,5,0)</f>
        <v xml:space="preserve"> lime</v>
      </c>
    </row>
    <row r="2392" spans="1:40">
      <c r="A2392" s="1" t="s">
        <v>41</v>
      </c>
      <c r="B2392" s="1" t="s">
        <v>42</v>
      </c>
      <c r="C2392" s="1" t="s">
        <v>4273</v>
      </c>
      <c r="D2392" s="1" t="s">
        <v>4274</v>
      </c>
      <c r="E2392" s="1" t="s">
        <v>45</v>
      </c>
      <c r="F2392" s="1" t="s">
        <v>5523</v>
      </c>
      <c r="G2392" s="1" t="s">
        <v>5545</v>
      </c>
      <c r="H2392" s="1" t="s">
        <v>5546</v>
      </c>
      <c r="I2392" s="1" t="s">
        <v>49</v>
      </c>
      <c r="J2392" s="1" t="s">
        <v>48</v>
      </c>
      <c r="K2392" s="1">
        <v>840</v>
      </c>
      <c r="L2392" s="1">
        <v>0</v>
      </c>
      <c r="M2392" s="1">
        <v>0</v>
      </c>
      <c r="N2392" s="1">
        <v>840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 t="s">
        <v>49</v>
      </c>
      <c r="AA2392" s="1" t="s">
        <v>49</v>
      </c>
      <c r="AB2392" s="1" t="s">
        <v>49</v>
      </c>
      <c r="AC2392" s="1" t="s">
        <v>470</v>
      </c>
      <c r="AD2392" s="1" t="s">
        <v>471</v>
      </c>
      <c r="AE2392" s="1" t="s">
        <v>470</v>
      </c>
      <c r="AF2392" s="1" t="s">
        <v>5526</v>
      </c>
      <c r="AG2392" s="1" t="s">
        <v>53</v>
      </c>
      <c r="AH2392" s="1" t="s">
        <v>49</v>
      </c>
      <c r="AI2392" s="1" t="s">
        <v>54</v>
      </c>
      <c r="AJ2392" s="1">
        <v>1</v>
      </c>
      <c r="AK2392" s="1" t="str">
        <f t="shared" si="37"/>
        <v xml:space="preserve"> =&lt;90</v>
      </c>
      <c r="AL2392" s="1" t="e">
        <f>VLOOKUP(C:C,[1]基础信息!B$1:D$65536,3,0)</f>
        <v>#N/A</v>
      </c>
      <c r="AM2392" s="1" t="e">
        <f>VLOOKUP(C:C,[1]基础信息!B$1:E$65536,4,0)</f>
        <v>#N/A</v>
      </c>
      <c r="AN2392" s="1" t="e">
        <f>VLOOKUP(C:C,[1]基础信息!B$1:F$65536,5,0)</f>
        <v>#N/A</v>
      </c>
    </row>
    <row r="2393" spans="1:40">
      <c r="A2393" s="1" t="s">
        <v>41</v>
      </c>
      <c r="B2393" s="1" t="s">
        <v>42</v>
      </c>
      <c r="C2393" s="1" t="s">
        <v>4273</v>
      </c>
      <c r="D2393" s="1" t="s">
        <v>4274</v>
      </c>
      <c r="E2393" s="1" t="s">
        <v>45</v>
      </c>
      <c r="F2393" s="1" t="s">
        <v>5523</v>
      </c>
      <c r="G2393" s="1" t="s">
        <v>5547</v>
      </c>
      <c r="H2393" s="1" t="s">
        <v>5548</v>
      </c>
      <c r="I2393" s="1" t="s">
        <v>49</v>
      </c>
      <c r="J2393" s="1" t="s">
        <v>48</v>
      </c>
      <c r="K2393" s="1">
        <v>840</v>
      </c>
      <c r="L2393" s="1">
        <v>0</v>
      </c>
      <c r="M2393" s="1">
        <v>0</v>
      </c>
      <c r="N2393" s="1">
        <v>840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 t="s">
        <v>49</v>
      </c>
      <c r="AA2393" s="1" t="s">
        <v>49</v>
      </c>
      <c r="AB2393" s="1" t="s">
        <v>49</v>
      </c>
      <c r="AC2393" s="1" t="s">
        <v>470</v>
      </c>
      <c r="AD2393" s="1" t="s">
        <v>471</v>
      </c>
      <c r="AE2393" s="1" t="s">
        <v>470</v>
      </c>
      <c r="AF2393" s="1" t="s">
        <v>5526</v>
      </c>
      <c r="AG2393" s="1" t="s">
        <v>53</v>
      </c>
      <c r="AH2393" s="1" t="s">
        <v>49</v>
      </c>
      <c r="AI2393" s="1" t="s">
        <v>54</v>
      </c>
      <c r="AJ2393" s="1">
        <v>1</v>
      </c>
      <c r="AK2393" s="1" t="str">
        <f t="shared" si="37"/>
        <v xml:space="preserve"> =&lt;90</v>
      </c>
      <c r="AL2393" s="1" t="e">
        <f>VLOOKUP(C:C,[1]基础信息!B$1:D$65536,3,0)</f>
        <v>#N/A</v>
      </c>
      <c r="AM2393" s="1" t="e">
        <f>VLOOKUP(C:C,[1]基础信息!B$1:E$65536,4,0)</f>
        <v>#N/A</v>
      </c>
      <c r="AN2393" s="1" t="e">
        <f>VLOOKUP(C:C,[1]基础信息!B$1:F$65536,5,0)</f>
        <v>#N/A</v>
      </c>
    </row>
    <row r="2394" spans="1:40">
      <c r="A2394" s="1" t="s">
        <v>41</v>
      </c>
      <c r="B2394" s="1" t="s">
        <v>42</v>
      </c>
      <c r="C2394" s="1" t="s">
        <v>3971</v>
      </c>
      <c r="D2394" s="1" t="s">
        <v>3972</v>
      </c>
      <c r="E2394" s="1" t="s">
        <v>45</v>
      </c>
      <c r="F2394" s="1" t="s">
        <v>5149</v>
      </c>
      <c r="G2394" s="1" t="s">
        <v>5549</v>
      </c>
      <c r="H2394" s="1" t="s">
        <v>5550</v>
      </c>
      <c r="I2394" s="1" t="s">
        <v>49</v>
      </c>
      <c r="J2394" s="1" t="s">
        <v>48</v>
      </c>
      <c r="K2394" s="1">
        <v>96</v>
      </c>
      <c r="L2394" s="1">
        <v>0</v>
      </c>
      <c r="M2394" s="1">
        <v>0</v>
      </c>
      <c r="N2394" s="1">
        <v>96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 t="s">
        <v>49</v>
      </c>
      <c r="AA2394" s="1" t="s">
        <v>49</v>
      </c>
      <c r="AB2394" s="1" t="s">
        <v>49</v>
      </c>
      <c r="AC2394" s="1" t="s">
        <v>88</v>
      </c>
      <c r="AD2394" s="1" t="s">
        <v>89</v>
      </c>
      <c r="AE2394" s="1" t="s">
        <v>88</v>
      </c>
      <c r="AF2394" s="1" t="s">
        <v>3349</v>
      </c>
      <c r="AG2394" s="1" t="s">
        <v>53</v>
      </c>
      <c r="AH2394" s="1" t="s">
        <v>49</v>
      </c>
      <c r="AI2394" s="1" t="s">
        <v>54</v>
      </c>
      <c r="AJ2394" s="1">
        <v>1</v>
      </c>
      <c r="AK2394" s="1" t="str">
        <f t="shared" si="37"/>
        <v xml:space="preserve"> =&lt;90</v>
      </c>
      <c r="AL2394" s="1" t="str">
        <f>VLOOKUP(C:C,[1]基础信息!B$1:D$65536,3,0)</f>
        <v>Jug</v>
      </c>
      <c r="AM2394" s="1" t="str">
        <f>VLOOKUP(C:C,[1]基础信息!B$1:E$65536,4,0)</f>
        <v>Mxplus</v>
      </c>
      <c r="AN2394" s="1" t="str">
        <f>VLOOKUP(C:C,[1]基础信息!B$1:F$65536,5,0)</f>
        <v xml:space="preserve"> lime</v>
      </c>
    </row>
    <row r="2395" spans="1:40">
      <c r="A2395" s="1" t="s">
        <v>41</v>
      </c>
      <c r="B2395" s="1" t="s">
        <v>42</v>
      </c>
      <c r="C2395" s="1" t="s">
        <v>4273</v>
      </c>
      <c r="D2395" s="1" t="s">
        <v>4274</v>
      </c>
      <c r="E2395" s="1" t="s">
        <v>45</v>
      </c>
      <c r="F2395" s="1" t="s">
        <v>5523</v>
      </c>
      <c r="G2395" s="1" t="s">
        <v>5551</v>
      </c>
      <c r="H2395" s="1" t="s">
        <v>5552</v>
      </c>
      <c r="I2395" s="1" t="s">
        <v>49</v>
      </c>
      <c r="J2395" s="1" t="s">
        <v>48</v>
      </c>
      <c r="K2395" s="1">
        <v>840</v>
      </c>
      <c r="L2395" s="1">
        <v>0</v>
      </c>
      <c r="M2395" s="1">
        <v>0</v>
      </c>
      <c r="N2395" s="1">
        <v>840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 t="s">
        <v>49</v>
      </c>
      <c r="AA2395" s="1" t="s">
        <v>49</v>
      </c>
      <c r="AB2395" s="1" t="s">
        <v>49</v>
      </c>
      <c r="AC2395" s="1" t="s">
        <v>470</v>
      </c>
      <c r="AD2395" s="1" t="s">
        <v>471</v>
      </c>
      <c r="AE2395" s="1" t="s">
        <v>470</v>
      </c>
      <c r="AF2395" s="1" t="s">
        <v>5526</v>
      </c>
      <c r="AG2395" s="1" t="s">
        <v>53</v>
      </c>
      <c r="AH2395" s="1" t="s">
        <v>49</v>
      </c>
      <c r="AI2395" s="1" t="s">
        <v>54</v>
      </c>
      <c r="AJ2395" s="1">
        <v>1</v>
      </c>
      <c r="AK2395" s="1" t="str">
        <f t="shared" si="37"/>
        <v xml:space="preserve"> =&lt;90</v>
      </c>
      <c r="AL2395" s="1" t="e">
        <f>VLOOKUP(C:C,[1]基础信息!B$1:D$65536,3,0)</f>
        <v>#N/A</v>
      </c>
      <c r="AM2395" s="1" t="e">
        <f>VLOOKUP(C:C,[1]基础信息!B$1:E$65536,4,0)</f>
        <v>#N/A</v>
      </c>
      <c r="AN2395" s="1" t="e">
        <f>VLOOKUP(C:C,[1]基础信息!B$1:F$65536,5,0)</f>
        <v>#N/A</v>
      </c>
    </row>
    <row r="2396" spans="1:40">
      <c r="A2396" s="1" t="s">
        <v>41</v>
      </c>
      <c r="B2396" s="1" t="s">
        <v>42</v>
      </c>
      <c r="C2396" s="1" t="s">
        <v>4273</v>
      </c>
      <c r="D2396" s="1" t="s">
        <v>4274</v>
      </c>
      <c r="E2396" s="1" t="s">
        <v>45</v>
      </c>
      <c r="F2396" s="1" t="s">
        <v>5523</v>
      </c>
      <c r="G2396" s="1" t="s">
        <v>5553</v>
      </c>
      <c r="H2396" s="1" t="s">
        <v>5554</v>
      </c>
      <c r="I2396" s="1" t="s">
        <v>49</v>
      </c>
      <c r="J2396" s="1" t="s">
        <v>48</v>
      </c>
      <c r="K2396" s="1">
        <v>840</v>
      </c>
      <c r="L2396" s="1">
        <v>0</v>
      </c>
      <c r="M2396" s="1">
        <v>0</v>
      </c>
      <c r="N2396" s="1">
        <v>840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 t="s">
        <v>49</v>
      </c>
      <c r="AA2396" s="1" t="s">
        <v>49</v>
      </c>
      <c r="AB2396" s="1" t="s">
        <v>49</v>
      </c>
      <c r="AC2396" s="1" t="s">
        <v>470</v>
      </c>
      <c r="AD2396" s="1" t="s">
        <v>471</v>
      </c>
      <c r="AE2396" s="1" t="s">
        <v>470</v>
      </c>
      <c r="AF2396" s="1" t="s">
        <v>5526</v>
      </c>
      <c r="AG2396" s="1" t="s">
        <v>53</v>
      </c>
      <c r="AH2396" s="1" t="s">
        <v>49</v>
      </c>
      <c r="AI2396" s="1" t="s">
        <v>54</v>
      </c>
      <c r="AJ2396" s="1">
        <v>1</v>
      </c>
      <c r="AK2396" s="1" t="str">
        <f t="shared" si="37"/>
        <v xml:space="preserve"> =&lt;90</v>
      </c>
      <c r="AL2396" s="1" t="e">
        <f>VLOOKUP(C:C,[1]基础信息!B$1:D$65536,3,0)</f>
        <v>#N/A</v>
      </c>
      <c r="AM2396" s="1" t="e">
        <f>VLOOKUP(C:C,[1]基础信息!B$1:E$65536,4,0)</f>
        <v>#N/A</v>
      </c>
      <c r="AN2396" s="1" t="e">
        <f>VLOOKUP(C:C,[1]基础信息!B$1:F$65536,5,0)</f>
        <v>#N/A</v>
      </c>
    </row>
    <row r="2397" spans="1:40">
      <c r="A2397" s="1" t="s">
        <v>41</v>
      </c>
      <c r="B2397" s="1" t="s">
        <v>42</v>
      </c>
      <c r="C2397" s="1" t="s">
        <v>3971</v>
      </c>
      <c r="D2397" s="1" t="s">
        <v>3972</v>
      </c>
      <c r="E2397" s="1" t="s">
        <v>45</v>
      </c>
      <c r="F2397" s="1" t="s">
        <v>5191</v>
      </c>
      <c r="G2397" s="1" t="s">
        <v>5555</v>
      </c>
      <c r="H2397" s="1" t="s">
        <v>5556</v>
      </c>
      <c r="I2397" s="1" t="s">
        <v>49</v>
      </c>
      <c r="J2397" s="1" t="s">
        <v>48</v>
      </c>
      <c r="K2397" s="1">
        <v>96</v>
      </c>
      <c r="L2397" s="1">
        <v>0</v>
      </c>
      <c r="M2397" s="1">
        <v>0</v>
      </c>
      <c r="N2397" s="1">
        <v>96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 t="s">
        <v>49</v>
      </c>
      <c r="AA2397" s="1" t="s">
        <v>49</v>
      </c>
      <c r="AB2397" s="1" t="s">
        <v>49</v>
      </c>
      <c r="AC2397" s="1" t="s">
        <v>376</v>
      </c>
      <c r="AD2397" s="1" t="s">
        <v>377</v>
      </c>
      <c r="AE2397" s="1" t="s">
        <v>376</v>
      </c>
      <c r="AF2397" s="1" t="s">
        <v>5194</v>
      </c>
      <c r="AG2397" s="1" t="s">
        <v>53</v>
      </c>
      <c r="AH2397" s="1" t="s">
        <v>49</v>
      </c>
      <c r="AI2397" s="1" t="s">
        <v>54</v>
      </c>
      <c r="AJ2397" s="1">
        <v>1</v>
      </c>
      <c r="AK2397" s="1" t="str">
        <f t="shared" si="37"/>
        <v xml:space="preserve"> =&lt;90</v>
      </c>
      <c r="AL2397" s="1" t="str">
        <f>VLOOKUP(C:C,[1]基础信息!B$1:D$65536,3,0)</f>
        <v>Jug</v>
      </c>
      <c r="AM2397" s="1" t="str">
        <f>VLOOKUP(C:C,[1]基础信息!B$1:E$65536,4,0)</f>
        <v>Mxplus</v>
      </c>
      <c r="AN2397" s="1" t="str">
        <f>VLOOKUP(C:C,[1]基础信息!B$1:F$65536,5,0)</f>
        <v xml:space="preserve"> lime</v>
      </c>
    </row>
    <row r="2398" spans="1:40">
      <c r="A2398" s="1" t="s">
        <v>41</v>
      </c>
      <c r="B2398" s="1" t="s">
        <v>42</v>
      </c>
      <c r="C2398" s="1" t="s">
        <v>3971</v>
      </c>
      <c r="D2398" s="1" t="s">
        <v>3972</v>
      </c>
      <c r="E2398" s="1" t="s">
        <v>45</v>
      </c>
      <c r="F2398" s="1" t="s">
        <v>5149</v>
      </c>
      <c r="G2398" s="1" t="s">
        <v>5557</v>
      </c>
      <c r="H2398" s="1" t="s">
        <v>5558</v>
      </c>
      <c r="I2398" s="1" t="s">
        <v>49</v>
      </c>
      <c r="J2398" s="1" t="s">
        <v>48</v>
      </c>
      <c r="K2398" s="1">
        <v>96</v>
      </c>
      <c r="L2398" s="1">
        <v>0</v>
      </c>
      <c r="M2398" s="1">
        <v>0</v>
      </c>
      <c r="N2398" s="1">
        <v>96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 t="s">
        <v>49</v>
      </c>
      <c r="AA2398" s="1" t="s">
        <v>49</v>
      </c>
      <c r="AB2398" s="1" t="s">
        <v>49</v>
      </c>
      <c r="AC2398" s="1" t="s">
        <v>88</v>
      </c>
      <c r="AD2398" s="1" t="s">
        <v>89</v>
      </c>
      <c r="AE2398" s="1" t="s">
        <v>88</v>
      </c>
      <c r="AF2398" s="1" t="s">
        <v>3349</v>
      </c>
      <c r="AG2398" s="1" t="s">
        <v>53</v>
      </c>
      <c r="AH2398" s="1" t="s">
        <v>49</v>
      </c>
      <c r="AI2398" s="1" t="s">
        <v>54</v>
      </c>
      <c r="AJ2398" s="1">
        <v>1</v>
      </c>
      <c r="AK2398" s="1" t="str">
        <f t="shared" si="37"/>
        <v xml:space="preserve"> =&lt;90</v>
      </c>
      <c r="AL2398" s="1" t="str">
        <f>VLOOKUP(C:C,[1]基础信息!B$1:D$65536,3,0)</f>
        <v>Jug</v>
      </c>
      <c r="AM2398" s="1" t="str">
        <f>VLOOKUP(C:C,[1]基础信息!B$1:E$65536,4,0)</f>
        <v>Mxplus</v>
      </c>
      <c r="AN2398" s="1" t="str">
        <f>VLOOKUP(C:C,[1]基础信息!B$1:F$65536,5,0)</f>
        <v xml:space="preserve"> lime</v>
      </c>
    </row>
    <row r="2399" spans="1:40">
      <c r="A2399" s="1" t="s">
        <v>41</v>
      </c>
      <c r="B2399" s="1" t="s">
        <v>42</v>
      </c>
      <c r="C2399" s="1" t="s">
        <v>4273</v>
      </c>
      <c r="D2399" s="1" t="s">
        <v>4274</v>
      </c>
      <c r="E2399" s="1" t="s">
        <v>45</v>
      </c>
      <c r="F2399" s="1" t="s">
        <v>5217</v>
      </c>
      <c r="G2399" s="1" t="s">
        <v>5559</v>
      </c>
      <c r="H2399" s="1" t="s">
        <v>5560</v>
      </c>
      <c r="I2399" s="1" t="s">
        <v>49</v>
      </c>
      <c r="J2399" s="1" t="s">
        <v>48</v>
      </c>
      <c r="K2399" s="1">
        <v>840</v>
      </c>
      <c r="L2399" s="1">
        <v>0</v>
      </c>
      <c r="M2399" s="1">
        <v>0</v>
      </c>
      <c r="N2399" s="1">
        <v>840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 t="s">
        <v>49</v>
      </c>
      <c r="AA2399" s="1" t="s">
        <v>49</v>
      </c>
      <c r="AB2399" s="1" t="s">
        <v>49</v>
      </c>
      <c r="AC2399" s="1" t="s">
        <v>5220</v>
      </c>
      <c r="AD2399" s="1" t="s">
        <v>5221</v>
      </c>
      <c r="AE2399" s="1" t="s">
        <v>5220</v>
      </c>
      <c r="AF2399" s="1" t="s">
        <v>5222</v>
      </c>
      <c r="AG2399" s="1" t="s">
        <v>53</v>
      </c>
      <c r="AH2399" s="1" t="s">
        <v>49</v>
      </c>
      <c r="AI2399" s="1" t="s">
        <v>54</v>
      </c>
      <c r="AJ2399" s="1">
        <v>1</v>
      </c>
      <c r="AK2399" s="1" t="str">
        <f t="shared" si="37"/>
        <v xml:space="preserve"> =&lt;90</v>
      </c>
      <c r="AL2399" s="1" t="e">
        <f>VLOOKUP(C:C,[1]基础信息!B$1:D$65536,3,0)</f>
        <v>#N/A</v>
      </c>
      <c r="AM2399" s="1" t="e">
        <f>VLOOKUP(C:C,[1]基础信息!B$1:E$65536,4,0)</f>
        <v>#N/A</v>
      </c>
      <c r="AN2399" s="1" t="e">
        <f>VLOOKUP(C:C,[1]基础信息!B$1:F$65536,5,0)</f>
        <v>#N/A</v>
      </c>
    </row>
    <row r="2400" spans="1:40">
      <c r="A2400" s="1" t="s">
        <v>41</v>
      </c>
      <c r="B2400" s="1" t="s">
        <v>42</v>
      </c>
      <c r="C2400" s="1" t="s">
        <v>3971</v>
      </c>
      <c r="D2400" s="1" t="s">
        <v>3972</v>
      </c>
      <c r="E2400" s="1" t="s">
        <v>45</v>
      </c>
      <c r="F2400" s="1" t="s">
        <v>5191</v>
      </c>
      <c r="G2400" s="1" t="s">
        <v>5561</v>
      </c>
      <c r="H2400" s="1" t="s">
        <v>5562</v>
      </c>
      <c r="I2400" s="1" t="s">
        <v>49</v>
      </c>
      <c r="J2400" s="1" t="s">
        <v>48</v>
      </c>
      <c r="K2400" s="1">
        <v>96</v>
      </c>
      <c r="L2400" s="1">
        <v>0</v>
      </c>
      <c r="M2400" s="1">
        <v>0</v>
      </c>
      <c r="N2400" s="1">
        <v>96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 t="s">
        <v>49</v>
      </c>
      <c r="AA2400" s="1" t="s">
        <v>49</v>
      </c>
      <c r="AB2400" s="1" t="s">
        <v>49</v>
      </c>
      <c r="AC2400" s="1" t="s">
        <v>376</v>
      </c>
      <c r="AD2400" s="1" t="s">
        <v>377</v>
      </c>
      <c r="AE2400" s="1" t="s">
        <v>376</v>
      </c>
      <c r="AF2400" s="1" t="s">
        <v>5194</v>
      </c>
      <c r="AG2400" s="1" t="s">
        <v>53</v>
      </c>
      <c r="AH2400" s="1" t="s">
        <v>49</v>
      </c>
      <c r="AI2400" s="1" t="s">
        <v>54</v>
      </c>
      <c r="AJ2400" s="1">
        <v>1</v>
      </c>
      <c r="AK2400" s="1" t="str">
        <f t="shared" si="37"/>
        <v xml:space="preserve"> =&lt;90</v>
      </c>
      <c r="AL2400" s="1" t="str">
        <f>VLOOKUP(C:C,[1]基础信息!B$1:D$65536,3,0)</f>
        <v>Jug</v>
      </c>
      <c r="AM2400" s="1" t="str">
        <f>VLOOKUP(C:C,[1]基础信息!B$1:E$65536,4,0)</f>
        <v>Mxplus</v>
      </c>
      <c r="AN2400" s="1" t="str">
        <f>VLOOKUP(C:C,[1]基础信息!B$1:F$65536,5,0)</f>
        <v xml:space="preserve"> lime</v>
      </c>
    </row>
    <row r="2401" spans="1:40">
      <c r="A2401" s="1" t="s">
        <v>41</v>
      </c>
      <c r="B2401" s="1" t="s">
        <v>42</v>
      </c>
      <c r="C2401" s="1" t="s">
        <v>3971</v>
      </c>
      <c r="D2401" s="1" t="s">
        <v>3972</v>
      </c>
      <c r="E2401" s="1" t="s">
        <v>45</v>
      </c>
      <c r="F2401" s="1" t="s">
        <v>5191</v>
      </c>
      <c r="G2401" s="1" t="s">
        <v>5563</v>
      </c>
      <c r="H2401" s="1" t="s">
        <v>5564</v>
      </c>
      <c r="I2401" s="1" t="s">
        <v>49</v>
      </c>
      <c r="J2401" s="1" t="s">
        <v>48</v>
      </c>
      <c r="K2401" s="1">
        <v>96</v>
      </c>
      <c r="L2401" s="1">
        <v>0</v>
      </c>
      <c r="M2401" s="1">
        <v>0</v>
      </c>
      <c r="N2401" s="1">
        <v>96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 t="s">
        <v>49</v>
      </c>
      <c r="AA2401" s="1" t="s">
        <v>49</v>
      </c>
      <c r="AB2401" s="1" t="s">
        <v>49</v>
      </c>
      <c r="AC2401" s="1" t="s">
        <v>376</v>
      </c>
      <c r="AD2401" s="1" t="s">
        <v>377</v>
      </c>
      <c r="AE2401" s="1" t="s">
        <v>376</v>
      </c>
      <c r="AF2401" s="1" t="s">
        <v>5194</v>
      </c>
      <c r="AG2401" s="1" t="s">
        <v>53</v>
      </c>
      <c r="AH2401" s="1" t="s">
        <v>49</v>
      </c>
      <c r="AI2401" s="1" t="s">
        <v>54</v>
      </c>
      <c r="AJ2401" s="1">
        <v>1</v>
      </c>
      <c r="AK2401" s="1" t="str">
        <f t="shared" si="37"/>
        <v xml:space="preserve"> =&lt;90</v>
      </c>
      <c r="AL2401" s="1" t="str">
        <f>VLOOKUP(C:C,[1]基础信息!B$1:D$65536,3,0)</f>
        <v>Jug</v>
      </c>
      <c r="AM2401" s="1" t="str">
        <f>VLOOKUP(C:C,[1]基础信息!B$1:E$65536,4,0)</f>
        <v>Mxplus</v>
      </c>
      <c r="AN2401" s="1" t="str">
        <f>VLOOKUP(C:C,[1]基础信息!B$1:F$65536,5,0)</f>
        <v xml:space="preserve"> lime</v>
      </c>
    </row>
    <row r="2402" spans="1:40">
      <c r="A2402" s="1" t="s">
        <v>41</v>
      </c>
      <c r="B2402" s="1" t="s">
        <v>42</v>
      </c>
      <c r="C2402" s="1" t="s">
        <v>3971</v>
      </c>
      <c r="D2402" s="1" t="s">
        <v>3972</v>
      </c>
      <c r="E2402" s="1" t="s">
        <v>45</v>
      </c>
      <c r="F2402" s="1" t="s">
        <v>5149</v>
      </c>
      <c r="G2402" s="1" t="s">
        <v>5565</v>
      </c>
      <c r="H2402" s="1" t="s">
        <v>5566</v>
      </c>
      <c r="I2402" s="1" t="s">
        <v>49</v>
      </c>
      <c r="J2402" s="1" t="s">
        <v>48</v>
      </c>
      <c r="K2402" s="1">
        <v>96</v>
      </c>
      <c r="L2402" s="1">
        <v>0</v>
      </c>
      <c r="M2402" s="1">
        <v>0</v>
      </c>
      <c r="N2402" s="1">
        <v>96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 t="s">
        <v>49</v>
      </c>
      <c r="AA2402" s="1" t="s">
        <v>49</v>
      </c>
      <c r="AB2402" s="1" t="s">
        <v>49</v>
      </c>
      <c r="AC2402" s="1" t="s">
        <v>88</v>
      </c>
      <c r="AD2402" s="1" t="s">
        <v>89</v>
      </c>
      <c r="AE2402" s="1" t="s">
        <v>88</v>
      </c>
      <c r="AF2402" s="1" t="s">
        <v>3349</v>
      </c>
      <c r="AG2402" s="1" t="s">
        <v>53</v>
      </c>
      <c r="AH2402" s="1" t="s">
        <v>49</v>
      </c>
      <c r="AI2402" s="1" t="s">
        <v>54</v>
      </c>
      <c r="AJ2402" s="1">
        <v>1</v>
      </c>
      <c r="AK2402" s="1" t="str">
        <f t="shared" si="37"/>
        <v xml:space="preserve"> =&lt;90</v>
      </c>
      <c r="AL2402" s="1" t="str">
        <f>VLOOKUP(C:C,[1]基础信息!B$1:D$65536,3,0)</f>
        <v>Jug</v>
      </c>
      <c r="AM2402" s="1" t="str">
        <f>VLOOKUP(C:C,[1]基础信息!B$1:E$65536,4,0)</f>
        <v>Mxplus</v>
      </c>
      <c r="AN2402" s="1" t="str">
        <f>VLOOKUP(C:C,[1]基础信息!B$1:F$65536,5,0)</f>
        <v xml:space="preserve"> lime</v>
      </c>
    </row>
    <row r="2403" spans="1:40">
      <c r="A2403" s="1" t="s">
        <v>41</v>
      </c>
      <c r="B2403" s="1" t="s">
        <v>42</v>
      </c>
      <c r="C2403" s="1" t="s">
        <v>3971</v>
      </c>
      <c r="D2403" s="1" t="s">
        <v>3972</v>
      </c>
      <c r="E2403" s="1" t="s">
        <v>45</v>
      </c>
      <c r="F2403" s="1" t="s">
        <v>5149</v>
      </c>
      <c r="G2403" s="1" t="s">
        <v>5567</v>
      </c>
      <c r="H2403" s="1" t="s">
        <v>5568</v>
      </c>
      <c r="I2403" s="1" t="s">
        <v>49</v>
      </c>
      <c r="J2403" s="1" t="s">
        <v>48</v>
      </c>
      <c r="K2403" s="1">
        <v>96</v>
      </c>
      <c r="L2403" s="1">
        <v>0</v>
      </c>
      <c r="M2403" s="1">
        <v>0</v>
      </c>
      <c r="N2403" s="1">
        <v>96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 t="s">
        <v>49</v>
      </c>
      <c r="AA2403" s="1" t="s">
        <v>49</v>
      </c>
      <c r="AB2403" s="1" t="s">
        <v>49</v>
      </c>
      <c r="AC2403" s="1" t="s">
        <v>88</v>
      </c>
      <c r="AD2403" s="1" t="s">
        <v>89</v>
      </c>
      <c r="AE2403" s="1" t="s">
        <v>88</v>
      </c>
      <c r="AF2403" s="1" t="s">
        <v>3349</v>
      </c>
      <c r="AG2403" s="1" t="s">
        <v>53</v>
      </c>
      <c r="AH2403" s="1" t="s">
        <v>49</v>
      </c>
      <c r="AI2403" s="1" t="s">
        <v>54</v>
      </c>
      <c r="AJ2403" s="1">
        <v>1</v>
      </c>
      <c r="AK2403" s="1" t="str">
        <f t="shared" si="37"/>
        <v xml:space="preserve"> =&lt;90</v>
      </c>
      <c r="AL2403" s="1" t="str">
        <f>VLOOKUP(C:C,[1]基础信息!B$1:D$65536,3,0)</f>
        <v>Jug</v>
      </c>
      <c r="AM2403" s="1" t="str">
        <f>VLOOKUP(C:C,[1]基础信息!B$1:E$65536,4,0)</f>
        <v>Mxplus</v>
      </c>
      <c r="AN2403" s="1" t="str">
        <f>VLOOKUP(C:C,[1]基础信息!B$1:F$65536,5,0)</f>
        <v xml:space="preserve"> lime</v>
      </c>
    </row>
    <row r="2404" spans="1:40">
      <c r="A2404" s="1" t="s">
        <v>41</v>
      </c>
      <c r="B2404" s="1" t="s">
        <v>42</v>
      </c>
      <c r="C2404" s="1" t="s">
        <v>3971</v>
      </c>
      <c r="D2404" s="1" t="s">
        <v>3972</v>
      </c>
      <c r="E2404" s="1" t="s">
        <v>45</v>
      </c>
      <c r="F2404" s="1" t="s">
        <v>5149</v>
      </c>
      <c r="G2404" s="1" t="s">
        <v>5569</v>
      </c>
      <c r="H2404" s="1" t="s">
        <v>5570</v>
      </c>
      <c r="I2404" s="1" t="s">
        <v>49</v>
      </c>
      <c r="J2404" s="1" t="s">
        <v>48</v>
      </c>
      <c r="K2404" s="1">
        <v>96</v>
      </c>
      <c r="L2404" s="1">
        <v>0</v>
      </c>
      <c r="M2404" s="1">
        <v>0</v>
      </c>
      <c r="N2404" s="1">
        <v>96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 t="s">
        <v>49</v>
      </c>
      <c r="AA2404" s="1" t="s">
        <v>49</v>
      </c>
      <c r="AB2404" s="1" t="s">
        <v>49</v>
      </c>
      <c r="AC2404" s="1" t="s">
        <v>88</v>
      </c>
      <c r="AD2404" s="1" t="s">
        <v>89</v>
      </c>
      <c r="AE2404" s="1" t="s">
        <v>88</v>
      </c>
      <c r="AF2404" s="1" t="s">
        <v>3349</v>
      </c>
      <c r="AG2404" s="1" t="s">
        <v>53</v>
      </c>
      <c r="AH2404" s="1" t="s">
        <v>49</v>
      </c>
      <c r="AI2404" s="1" t="s">
        <v>54</v>
      </c>
      <c r="AJ2404" s="1">
        <v>1</v>
      </c>
      <c r="AK2404" s="1" t="str">
        <f t="shared" si="37"/>
        <v xml:space="preserve"> =&lt;90</v>
      </c>
      <c r="AL2404" s="1" t="str">
        <f>VLOOKUP(C:C,[1]基础信息!B$1:D$65536,3,0)</f>
        <v>Jug</v>
      </c>
      <c r="AM2404" s="1" t="str">
        <f>VLOOKUP(C:C,[1]基础信息!B$1:E$65536,4,0)</f>
        <v>Mxplus</v>
      </c>
      <c r="AN2404" s="1" t="str">
        <f>VLOOKUP(C:C,[1]基础信息!B$1:F$65536,5,0)</f>
        <v xml:space="preserve"> lime</v>
      </c>
    </row>
    <row r="2405" spans="1:40">
      <c r="A2405" s="1" t="s">
        <v>41</v>
      </c>
      <c r="B2405" s="1" t="s">
        <v>42</v>
      </c>
      <c r="C2405" s="1" t="s">
        <v>3971</v>
      </c>
      <c r="D2405" s="1" t="s">
        <v>3972</v>
      </c>
      <c r="E2405" s="1" t="s">
        <v>45</v>
      </c>
      <c r="F2405" s="1" t="s">
        <v>5191</v>
      </c>
      <c r="G2405" s="1" t="s">
        <v>5571</v>
      </c>
      <c r="H2405" s="1" t="s">
        <v>5572</v>
      </c>
      <c r="I2405" s="1" t="s">
        <v>49</v>
      </c>
      <c r="J2405" s="1" t="s">
        <v>48</v>
      </c>
      <c r="K2405" s="1">
        <v>96</v>
      </c>
      <c r="L2405" s="1">
        <v>0</v>
      </c>
      <c r="M2405" s="1">
        <v>0</v>
      </c>
      <c r="N2405" s="1">
        <v>96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 t="s">
        <v>49</v>
      </c>
      <c r="AA2405" s="1" t="s">
        <v>49</v>
      </c>
      <c r="AB2405" s="1" t="s">
        <v>49</v>
      </c>
      <c r="AC2405" s="1" t="s">
        <v>376</v>
      </c>
      <c r="AD2405" s="1" t="s">
        <v>377</v>
      </c>
      <c r="AE2405" s="1" t="s">
        <v>376</v>
      </c>
      <c r="AF2405" s="1" t="s">
        <v>5194</v>
      </c>
      <c r="AG2405" s="1" t="s">
        <v>53</v>
      </c>
      <c r="AH2405" s="1" t="s">
        <v>49</v>
      </c>
      <c r="AI2405" s="1" t="s">
        <v>54</v>
      </c>
      <c r="AJ2405" s="1">
        <v>1</v>
      </c>
      <c r="AK2405" s="1" t="str">
        <f t="shared" si="37"/>
        <v xml:space="preserve"> =&lt;90</v>
      </c>
      <c r="AL2405" s="1" t="str">
        <f>VLOOKUP(C:C,[1]基础信息!B$1:D$65536,3,0)</f>
        <v>Jug</v>
      </c>
      <c r="AM2405" s="1" t="str">
        <f>VLOOKUP(C:C,[1]基础信息!B$1:E$65536,4,0)</f>
        <v>Mxplus</v>
      </c>
      <c r="AN2405" s="1" t="str">
        <f>VLOOKUP(C:C,[1]基础信息!B$1:F$65536,5,0)</f>
        <v xml:space="preserve"> lime</v>
      </c>
    </row>
    <row r="2406" spans="1:40">
      <c r="A2406" s="1" t="s">
        <v>41</v>
      </c>
      <c r="B2406" s="1" t="s">
        <v>42</v>
      </c>
      <c r="C2406" s="1" t="s">
        <v>5254</v>
      </c>
      <c r="D2406" s="1" t="s">
        <v>5255</v>
      </c>
      <c r="E2406" s="1" t="s">
        <v>45</v>
      </c>
      <c r="F2406" s="1" t="s">
        <v>5529</v>
      </c>
      <c r="G2406" s="1" t="s">
        <v>5573</v>
      </c>
      <c r="H2406" s="1" t="s">
        <v>5574</v>
      </c>
      <c r="I2406" s="1" t="s">
        <v>49</v>
      </c>
      <c r="J2406" s="1" t="s">
        <v>48</v>
      </c>
      <c r="K2406" s="1">
        <v>2200</v>
      </c>
      <c r="L2406" s="1">
        <v>0</v>
      </c>
      <c r="M2406" s="1">
        <v>0</v>
      </c>
      <c r="N2406" s="1">
        <v>2200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 t="s">
        <v>49</v>
      </c>
      <c r="AA2406" s="1" t="s">
        <v>49</v>
      </c>
      <c r="AB2406" s="1" t="s">
        <v>49</v>
      </c>
      <c r="AC2406" s="1" t="s">
        <v>5348</v>
      </c>
      <c r="AD2406" s="1" t="s">
        <v>5349</v>
      </c>
      <c r="AE2406" s="1" t="s">
        <v>5350</v>
      </c>
      <c r="AF2406" s="1" t="s">
        <v>5532</v>
      </c>
      <c r="AG2406" s="1" t="s">
        <v>53</v>
      </c>
      <c r="AH2406" s="1" t="s">
        <v>49</v>
      </c>
      <c r="AI2406" s="1" t="s">
        <v>54</v>
      </c>
      <c r="AJ2406" s="1">
        <v>1</v>
      </c>
      <c r="AK2406" s="1" t="str">
        <f t="shared" si="37"/>
        <v xml:space="preserve"> =&lt;90</v>
      </c>
      <c r="AL2406" s="1" t="str">
        <f>VLOOKUP(C:C,[1]基础信息!B$1:D$65536,3,0)</f>
        <v xml:space="preserve">Cartridge </v>
      </c>
      <c r="AM2406" s="1" t="str">
        <f>VLOOKUP(C:C,[1]基础信息!B$1:E$65536,4,0)</f>
        <v>UNIV</v>
      </c>
      <c r="AN2406" s="1" t="str">
        <f>VLOOKUP(C:C,[1]基础信息!B$1:F$65536,5,0)</f>
        <v>P55</v>
      </c>
    </row>
    <row r="2407" spans="1:40">
      <c r="A2407" s="1" t="s">
        <v>41</v>
      </c>
      <c r="B2407" s="1" t="s">
        <v>42</v>
      </c>
      <c r="C2407" s="1" t="s">
        <v>3971</v>
      </c>
      <c r="D2407" s="1" t="s">
        <v>3972</v>
      </c>
      <c r="E2407" s="1" t="s">
        <v>45</v>
      </c>
      <c r="F2407" s="1" t="s">
        <v>5149</v>
      </c>
      <c r="G2407" s="1" t="s">
        <v>5575</v>
      </c>
      <c r="H2407" s="1" t="s">
        <v>5576</v>
      </c>
      <c r="I2407" s="1" t="s">
        <v>49</v>
      </c>
      <c r="J2407" s="1" t="s">
        <v>48</v>
      </c>
      <c r="K2407" s="1">
        <v>96</v>
      </c>
      <c r="L2407" s="1">
        <v>0</v>
      </c>
      <c r="M2407" s="1">
        <v>0</v>
      </c>
      <c r="N2407" s="1">
        <v>96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 t="s">
        <v>49</v>
      </c>
      <c r="AA2407" s="1" t="s">
        <v>49</v>
      </c>
      <c r="AB2407" s="1" t="s">
        <v>49</v>
      </c>
      <c r="AC2407" s="1" t="s">
        <v>88</v>
      </c>
      <c r="AD2407" s="1" t="s">
        <v>89</v>
      </c>
      <c r="AE2407" s="1" t="s">
        <v>88</v>
      </c>
      <c r="AF2407" s="1" t="s">
        <v>3349</v>
      </c>
      <c r="AG2407" s="1" t="s">
        <v>53</v>
      </c>
      <c r="AH2407" s="1" t="s">
        <v>49</v>
      </c>
      <c r="AI2407" s="1" t="s">
        <v>54</v>
      </c>
      <c r="AJ2407" s="1">
        <v>1</v>
      </c>
      <c r="AK2407" s="1" t="str">
        <f t="shared" si="37"/>
        <v xml:space="preserve"> =&lt;90</v>
      </c>
      <c r="AL2407" s="1" t="str">
        <f>VLOOKUP(C:C,[1]基础信息!B$1:D$65536,3,0)</f>
        <v>Jug</v>
      </c>
      <c r="AM2407" s="1" t="str">
        <f>VLOOKUP(C:C,[1]基础信息!B$1:E$65536,4,0)</f>
        <v>Mxplus</v>
      </c>
      <c r="AN2407" s="1" t="str">
        <f>VLOOKUP(C:C,[1]基础信息!B$1:F$65536,5,0)</f>
        <v xml:space="preserve"> lime</v>
      </c>
    </row>
    <row r="2408" spans="1:40">
      <c r="A2408" s="1" t="s">
        <v>41</v>
      </c>
      <c r="B2408" s="1" t="s">
        <v>42</v>
      </c>
      <c r="C2408" s="1" t="s">
        <v>3971</v>
      </c>
      <c r="D2408" s="1" t="s">
        <v>3972</v>
      </c>
      <c r="E2408" s="1" t="s">
        <v>45</v>
      </c>
      <c r="F2408" s="1" t="s">
        <v>5191</v>
      </c>
      <c r="G2408" s="1" t="s">
        <v>5577</v>
      </c>
      <c r="H2408" s="1" t="s">
        <v>5578</v>
      </c>
      <c r="I2408" s="1" t="s">
        <v>49</v>
      </c>
      <c r="J2408" s="1" t="s">
        <v>48</v>
      </c>
      <c r="K2408" s="1">
        <v>92</v>
      </c>
      <c r="L2408" s="1">
        <v>0</v>
      </c>
      <c r="M2408" s="1">
        <v>0</v>
      </c>
      <c r="N2408" s="1">
        <v>92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 t="s">
        <v>49</v>
      </c>
      <c r="AA2408" s="1" t="s">
        <v>49</v>
      </c>
      <c r="AB2408" s="1" t="s">
        <v>49</v>
      </c>
      <c r="AC2408" s="1" t="s">
        <v>376</v>
      </c>
      <c r="AD2408" s="1" t="s">
        <v>377</v>
      </c>
      <c r="AE2408" s="1" t="s">
        <v>376</v>
      </c>
      <c r="AF2408" s="1" t="s">
        <v>5194</v>
      </c>
      <c r="AG2408" s="1" t="s">
        <v>53</v>
      </c>
      <c r="AH2408" s="1" t="s">
        <v>49</v>
      </c>
      <c r="AI2408" s="1" t="s">
        <v>54</v>
      </c>
      <c r="AJ2408" s="1">
        <v>1</v>
      </c>
      <c r="AK2408" s="1" t="str">
        <f t="shared" si="37"/>
        <v xml:space="preserve"> =&lt;90</v>
      </c>
      <c r="AL2408" s="1" t="str">
        <f>VLOOKUP(C:C,[1]基础信息!B$1:D$65536,3,0)</f>
        <v>Jug</v>
      </c>
      <c r="AM2408" s="1" t="str">
        <f>VLOOKUP(C:C,[1]基础信息!B$1:E$65536,4,0)</f>
        <v>Mxplus</v>
      </c>
      <c r="AN2408" s="1" t="str">
        <f>VLOOKUP(C:C,[1]基础信息!B$1:F$65536,5,0)</f>
        <v xml:space="preserve"> lime</v>
      </c>
    </row>
    <row r="2409" spans="1:40">
      <c r="A2409" s="1" t="s">
        <v>41</v>
      </c>
      <c r="B2409" s="1" t="s">
        <v>42</v>
      </c>
      <c r="C2409" s="1" t="s">
        <v>3971</v>
      </c>
      <c r="D2409" s="1" t="s">
        <v>3972</v>
      </c>
      <c r="E2409" s="1" t="s">
        <v>45</v>
      </c>
      <c r="F2409" s="1" t="s">
        <v>5149</v>
      </c>
      <c r="G2409" s="1" t="s">
        <v>5579</v>
      </c>
      <c r="H2409" s="1" t="s">
        <v>5580</v>
      </c>
      <c r="I2409" s="1" t="s">
        <v>49</v>
      </c>
      <c r="J2409" s="1" t="s">
        <v>48</v>
      </c>
      <c r="K2409" s="1">
        <v>96</v>
      </c>
      <c r="L2409" s="1">
        <v>0</v>
      </c>
      <c r="M2409" s="1">
        <v>0</v>
      </c>
      <c r="N2409" s="1">
        <v>96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 t="s">
        <v>49</v>
      </c>
      <c r="AA2409" s="1" t="s">
        <v>49</v>
      </c>
      <c r="AB2409" s="1" t="s">
        <v>49</v>
      </c>
      <c r="AC2409" s="1" t="s">
        <v>88</v>
      </c>
      <c r="AD2409" s="1" t="s">
        <v>89</v>
      </c>
      <c r="AE2409" s="1" t="s">
        <v>88</v>
      </c>
      <c r="AF2409" s="1" t="s">
        <v>3349</v>
      </c>
      <c r="AG2409" s="1" t="s">
        <v>53</v>
      </c>
      <c r="AH2409" s="1" t="s">
        <v>49</v>
      </c>
      <c r="AI2409" s="1" t="s">
        <v>54</v>
      </c>
      <c r="AJ2409" s="1">
        <v>1</v>
      </c>
      <c r="AK2409" s="1" t="str">
        <f t="shared" si="37"/>
        <v xml:space="preserve"> =&lt;90</v>
      </c>
      <c r="AL2409" s="1" t="str">
        <f>VLOOKUP(C:C,[1]基础信息!B$1:D$65536,3,0)</f>
        <v>Jug</v>
      </c>
      <c r="AM2409" s="1" t="str">
        <f>VLOOKUP(C:C,[1]基础信息!B$1:E$65536,4,0)</f>
        <v>Mxplus</v>
      </c>
      <c r="AN2409" s="1" t="str">
        <f>VLOOKUP(C:C,[1]基础信息!B$1:F$65536,5,0)</f>
        <v xml:space="preserve"> lime</v>
      </c>
    </row>
    <row r="2410" spans="1:40">
      <c r="A2410" s="1" t="s">
        <v>41</v>
      </c>
      <c r="B2410" s="1" t="s">
        <v>42</v>
      </c>
      <c r="C2410" s="1" t="s">
        <v>3971</v>
      </c>
      <c r="D2410" s="1" t="s">
        <v>3972</v>
      </c>
      <c r="E2410" s="1" t="s">
        <v>45</v>
      </c>
      <c r="F2410" s="1" t="s">
        <v>5149</v>
      </c>
      <c r="G2410" s="1" t="s">
        <v>5581</v>
      </c>
      <c r="H2410" s="1" t="s">
        <v>5582</v>
      </c>
      <c r="I2410" s="1" t="s">
        <v>49</v>
      </c>
      <c r="J2410" s="1" t="s">
        <v>48</v>
      </c>
      <c r="K2410" s="1">
        <v>96</v>
      </c>
      <c r="L2410" s="1">
        <v>0</v>
      </c>
      <c r="M2410" s="1">
        <v>0</v>
      </c>
      <c r="N2410" s="1">
        <v>96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 t="s">
        <v>49</v>
      </c>
      <c r="AA2410" s="1" t="s">
        <v>49</v>
      </c>
      <c r="AB2410" s="1" t="s">
        <v>49</v>
      </c>
      <c r="AC2410" s="1" t="s">
        <v>88</v>
      </c>
      <c r="AD2410" s="1" t="s">
        <v>89</v>
      </c>
      <c r="AE2410" s="1" t="s">
        <v>88</v>
      </c>
      <c r="AF2410" s="1" t="s">
        <v>3349</v>
      </c>
      <c r="AG2410" s="1" t="s">
        <v>53</v>
      </c>
      <c r="AH2410" s="1" t="s">
        <v>49</v>
      </c>
      <c r="AI2410" s="1" t="s">
        <v>54</v>
      </c>
      <c r="AJ2410" s="1">
        <v>1</v>
      </c>
      <c r="AK2410" s="1" t="str">
        <f t="shared" si="37"/>
        <v xml:space="preserve"> =&lt;90</v>
      </c>
      <c r="AL2410" s="1" t="str">
        <f>VLOOKUP(C:C,[1]基础信息!B$1:D$65536,3,0)</f>
        <v>Jug</v>
      </c>
      <c r="AM2410" s="1" t="str">
        <f>VLOOKUP(C:C,[1]基础信息!B$1:E$65536,4,0)</f>
        <v>Mxplus</v>
      </c>
      <c r="AN2410" s="1" t="str">
        <f>VLOOKUP(C:C,[1]基础信息!B$1:F$65536,5,0)</f>
        <v xml:space="preserve"> lime</v>
      </c>
    </row>
    <row r="2411" spans="1:40">
      <c r="A2411" s="1" t="s">
        <v>41</v>
      </c>
      <c r="B2411" s="1" t="s">
        <v>42</v>
      </c>
      <c r="C2411" s="1" t="s">
        <v>3971</v>
      </c>
      <c r="D2411" s="1" t="s">
        <v>3972</v>
      </c>
      <c r="E2411" s="1" t="s">
        <v>45</v>
      </c>
      <c r="F2411" s="1" t="s">
        <v>5380</v>
      </c>
      <c r="G2411" s="1" t="s">
        <v>5583</v>
      </c>
      <c r="H2411" s="1" t="s">
        <v>5584</v>
      </c>
      <c r="I2411" s="1" t="s">
        <v>49</v>
      </c>
      <c r="J2411" s="1" t="s">
        <v>48</v>
      </c>
      <c r="K2411" s="1">
        <v>96</v>
      </c>
      <c r="L2411" s="1">
        <v>0</v>
      </c>
      <c r="M2411" s="1">
        <v>0</v>
      </c>
      <c r="N2411" s="1">
        <v>96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 t="s">
        <v>49</v>
      </c>
      <c r="AA2411" s="1" t="s">
        <v>49</v>
      </c>
      <c r="AB2411" s="1" t="s">
        <v>49</v>
      </c>
      <c r="AC2411" s="1" t="s">
        <v>1408</v>
      </c>
      <c r="AD2411" s="1" t="s">
        <v>1409</v>
      </c>
      <c r="AE2411" s="1" t="s">
        <v>1408</v>
      </c>
      <c r="AF2411" s="1" t="s">
        <v>1172</v>
      </c>
      <c r="AG2411" s="1" t="s">
        <v>53</v>
      </c>
      <c r="AH2411" s="1" t="s">
        <v>49</v>
      </c>
      <c r="AI2411" s="1" t="s">
        <v>54</v>
      </c>
      <c r="AJ2411" s="1">
        <v>1</v>
      </c>
      <c r="AK2411" s="1" t="str">
        <f t="shared" si="37"/>
        <v xml:space="preserve"> =&lt;90</v>
      </c>
      <c r="AL2411" s="1" t="str">
        <f>VLOOKUP(C:C,[1]基础信息!B$1:D$65536,3,0)</f>
        <v>Jug</v>
      </c>
      <c r="AM2411" s="1" t="str">
        <f>VLOOKUP(C:C,[1]基础信息!B$1:E$65536,4,0)</f>
        <v>Mxplus</v>
      </c>
      <c r="AN2411" s="1" t="str">
        <f>VLOOKUP(C:C,[1]基础信息!B$1:F$65536,5,0)</f>
        <v xml:space="preserve"> lime</v>
      </c>
    </row>
    <row r="2412" spans="1:40">
      <c r="A2412" s="1" t="s">
        <v>41</v>
      </c>
      <c r="B2412" s="1" t="s">
        <v>42</v>
      </c>
      <c r="C2412" s="1" t="s">
        <v>3971</v>
      </c>
      <c r="D2412" s="1" t="s">
        <v>3972</v>
      </c>
      <c r="E2412" s="1" t="s">
        <v>45</v>
      </c>
      <c r="F2412" s="1" t="s">
        <v>5149</v>
      </c>
      <c r="G2412" s="1" t="s">
        <v>5585</v>
      </c>
      <c r="H2412" s="1" t="s">
        <v>5586</v>
      </c>
      <c r="I2412" s="1" t="s">
        <v>49</v>
      </c>
      <c r="J2412" s="1" t="s">
        <v>48</v>
      </c>
      <c r="K2412" s="1">
        <v>96</v>
      </c>
      <c r="L2412" s="1">
        <v>0</v>
      </c>
      <c r="M2412" s="1">
        <v>0</v>
      </c>
      <c r="N2412" s="1">
        <v>96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 t="s">
        <v>49</v>
      </c>
      <c r="AA2412" s="1" t="s">
        <v>49</v>
      </c>
      <c r="AB2412" s="1" t="s">
        <v>49</v>
      </c>
      <c r="AC2412" s="1" t="s">
        <v>88</v>
      </c>
      <c r="AD2412" s="1" t="s">
        <v>89</v>
      </c>
      <c r="AE2412" s="1" t="s">
        <v>88</v>
      </c>
      <c r="AF2412" s="1" t="s">
        <v>3349</v>
      </c>
      <c r="AG2412" s="1" t="s">
        <v>53</v>
      </c>
      <c r="AH2412" s="1" t="s">
        <v>49</v>
      </c>
      <c r="AI2412" s="1" t="s">
        <v>54</v>
      </c>
      <c r="AJ2412" s="1">
        <v>1</v>
      </c>
      <c r="AK2412" s="1" t="str">
        <f t="shared" si="37"/>
        <v xml:space="preserve"> =&lt;90</v>
      </c>
      <c r="AL2412" s="1" t="str">
        <f>VLOOKUP(C:C,[1]基础信息!B$1:D$65536,3,0)</f>
        <v>Jug</v>
      </c>
      <c r="AM2412" s="1" t="str">
        <f>VLOOKUP(C:C,[1]基础信息!B$1:E$65536,4,0)</f>
        <v>Mxplus</v>
      </c>
      <c r="AN2412" s="1" t="str">
        <f>VLOOKUP(C:C,[1]基础信息!B$1:F$65536,5,0)</f>
        <v xml:space="preserve"> lime</v>
      </c>
    </row>
    <row r="2413" spans="1:40">
      <c r="A2413" s="1" t="s">
        <v>41</v>
      </c>
      <c r="B2413" s="1" t="s">
        <v>42</v>
      </c>
      <c r="C2413" s="1" t="s">
        <v>3971</v>
      </c>
      <c r="D2413" s="1" t="s">
        <v>3972</v>
      </c>
      <c r="E2413" s="1" t="s">
        <v>45</v>
      </c>
      <c r="F2413" s="1" t="s">
        <v>5149</v>
      </c>
      <c r="G2413" s="1" t="s">
        <v>5587</v>
      </c>
      <c r="H2413" s="1" t="s">
        <v>5588</v>
      </c>
      <c r="I2413" s="1" t="s">
        <v>49</v>
      </c>
      <c r="J2413" s="1" t="s">
        <v>48</v>
      </c>
      <c r="K2413" s="1">
        <v>96</v>
      </c>
      <c r="L2413" s="1">
        <v>0</v>
      </c>
      <c r="M2413" s="1">
        <v>0</v>
      </c>
      <c r="N2413" s="1">
        <v>96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 t="s">
        <v>49</v>
      </c>
      <c r="AA2413" s="1" t="s">
        <v>49</v>
      </c>
      <c r="AB2413" s="1" t="s">
        <v>49</v>
      </c>
      <c r="AC2413" s="1" t="s">
        <v>88</v>
      </c>
      <c r="AD2413" s="1" t="s">
        <v>89</v>
      </c>
      <c r="AE2413" s="1" t="s">
        <v>88</v>
      </c>
      <c r="AF2413" s="1" t="s">
        <v>3349</v>
      </c>
      <c r="AG2413" s="1" t="s">
        <v>53</v>
      </c>
      <c r="AH2413" s="1" t="s">
        <v>49</v>
      </c>
      <c r="AI2413" s="1" t="s">
        <v>54</v>
      </c>
      <c r="AJ2413" s="1">
        <v>1</v>
      </c>
      <c r="AK2413" s="1" t="str">
        <f t="shared" si="37"/>
        <v xml:space="preserve"> =&lt;90</v>
      </c>
      <c r="AL2413" s="1" t="str">
        <f>VLOOKUP(C:C,[1]基础信息!B$1:D$65536,3,0)</f>
        <v>Jug</v>
      </c>
      <c r="AM2413" s="1" t="str">
        <f>VLOOKUP(C:C,[1]基础信息!B$1:E$65536,4,0)</f>
        <v>Mxplus</v>
      </c>
      <c r="AN2413" s="1" t="str">
        <f>VLOOKUP(C:C,[1]基础信息!B$1:F$65536,5,0)</f>
        <v xml:space="preserve"> lime</v>
      </c>
    </row>
    <row r="2414" spans="1:40">
      <c r="A2414" s="1" t="s">
        <v>41</v>
      </c>
      <c r="B2414" s="1" t="s">
        <v>42</v>
      </c>
      <c r="C2414" s="1" t="s">
        <v>3971</v>
      </c>
      <c r="D2414" s="1" t="s">
        <v>3972</v>
      </c>
      <c r="E2414" s="1" t="s">
        <v>45</v>
      </c>
      <c r="F2414" s="1" t="s">
        <v>5149</v>
      </c>
      <c r="G2414" s="1" t="s">
        <v>5589</v>
      </c>
      <c r="H2414" s="1" t="s">
        <v>5590</v>
      </c>
      <c r="I2414" s="1" t="s">
        <v>49</v>
      </c>
      <c r="J2414" s="1" t="s">
        <v>48</v>
      </c>
      <c r="K2414" s="1">
        <v>96</v>
      </c>
      <c r="L2414" s="1">
        <v>0</v>
      </c>
      <c r="M2414" s="1">
        <v>0</v>
      </c>
      <c r="N2414" s="1">
        <v>96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 t="s">
        <v>49</v>
      </c>
      <c r="AA2414" s="1" t="s">
        <v>49</v>
      </c>
      <c r="AB2414" s="1" t="s">
        <v>49</v>
      </c>
      <c r="AC2414" s="1" t="s">
        <v>88</v>
      </c>
      <c r="AD2414" s="1" t="s">
        <v>89</v>
      </c>
      <c r="AE2414" s="1" t="s">
        <v>88</v>
      </c>
      <c r="AF2414" s="1" t="s">
        <v>3349</v>
      </c>
      <c r="AG2414" s="1" t="s">
        <v>53</v>
      </c>
      <c r="AH2414" s="1" t="s">
        <v>49</v>
      </c>
      <c r="AI2414" s="1" t="s">
        <v>54</v>
      </c>
      <c r="AJ2414" s="1">
        <v>1</v>
      </c>
      <c r="AK2414" s="1" t="str">
        <f t="shared" si="37"/>
        <v xml:space="preserve"> =&lt;90</v>
      </c>
      <c r="AL2414" s="1" t="str">
        <f>VLOOKUP(C:C,[1]基础信息!B$1:D$65536,3,0)</f>
        <v>Jug</v>
      </c>
      <c r="AM2414" s="1" t="str">
        <f>VLOOKUP(C:C,[1]基础信息!B$1:E$65536,4,0)</f>
        <v>Mxplus</v>
      </c>
      <c r="AN2414" s="1" t="str">
        <f>VLOOKUP(C:C,[1]基础信息!B$1:F$65536,5,0)</f>
        <v xml:space="preserve"> lime</v>
      </c>
    </row>
    <row r="2415" spans="1:40">
      <c r="A2415" s="1" t="s">
        <v>41</v>
      </c>
      <c r="B2415" s="1" t="s">
        <v>42</v>
      </c>
      <c r="C2415" s="1" t="s">
        <v>1437</v>
      </c>
      <c r="D2415" s="1" t="s">
        <v>1438</v>
      </c>
      <c r="E2415" s="1" t="s">
        <v>45</v>
      </c>
      <c r="F2415" s="1" t="s">
        <v>5591</v>
      </c>
      <c r="G2415" s="1" t="s">
        <v>5592</v>
      </c>
      <c r="H2415" s="1" t="s">
        <v>45</v>
      </c>
      <c r="I2415" s="1" t="s">
        <v>45</v>
      </c>
      <c r="J2415" s="1" t="s">
        <v>48</v>
      </c>
      <c r="K2415" s="1">
        <v>198</v>
      </c>
      <c r="L2415" s="1">
        <v>0</v>
      </c>
      <c r="M2415" s="1">
        <v>0</v>
      </c>
      <c r="N2415" s="1">
        <v>198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 t="s">
        <v>49</v>
      </c>
      <c r="AA2415" s="1" t="s">
        <v>49</v>
      </c>
      <c r="AB2415" s="1" t="s">
        <v>49</v>
      </c>
      <c r="AC2415" s="1" t="s">
        <v>3836</v>
      </c>
      <c r="AD2415" s="1" t="s">
        <v>3837</v>
      </c>
      <c r="AE2415" s="1" t="s">
        <v>3836</v>
      </c>
      <c r="AF2415" s="1" t="s">
        <v>5593</v>
      </c>
      <c r="AG2415" s="1" t="s">
        <v>53</v>
      </c>
      <c r="AH2415" s="1" t="s">
        <v>49</v>
      </c>
      <c r="AI2415" s="1" t="s">
        <v>54</v>
      </c>
      <c r="AJ2415" s="1">
        <v>1</v>
      </c>
      <c r="AK2415" s="1" t="str">
        <f t="shared" si="37"/>
        <v xml:space="preserve"> =&lt;90</v>
      </c>
      <c r="AL2415" s="1" t="str">
        <f>VLOOKUP(C:C,[1]基础信息!B$1:D$65536,3,0)</f>
        <v>On tap</v>
      </c>
      <c r="AM2415" s="1" t="str">
        <f>VLOOKUP(C:C,[1]基础信息!B$1:E$65536,4,0)</f>
        <v>On tap</v>
      </c>
      <c r="AN2415" s="1" t="str">
        <f>VLOOKUP(C:C,[1]基础信息!B$1:F$65536,5,0)</f>
        <v>On tap</v>
      </c>
    </row>
    <row r="2416" spans="1:40">
      <c r="A2416" s="1" t="s">
        <v>41</v>
      </c>
      <c r="B2416" s="1" t="s">
        <v>42</v>
      </c>
      <c r="C2416" s="1" t="s">
        <v>3971</v>
      </c>
      <c r="D2416" s="1" t="s">
        <v>3972</v>
      </c>
      <c r="E2416" s="1" t="s">
        <v>45</v>
      </c>
      <c r="F2416" s="1" t="s">
        <v>5149</v>
      </c>
      <c r="G2416" s="1" t="s">
        <v>5594</v>
      </c>
      <c r="H2416" s="1" t="s">
        <v>5595</v>
      </c>
      <c r="I2416" s="1" t="s">
        <v>49</v>
      </c>
      <c r="J2416" s="1" t="s">
        <v>48</v>
      </c>
      <c r="K2416" s="1">
        <v>96</v>
      </c>
      <c r="L2416" s="1">
        <v>0</v>
      </c>
      <c r="M2416" s="1">
        <v>0</v>
      </c>
      <c r="N2416" s="1">
        <v>96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 t="s">
        <v>49</v>
      </c>
      <c r="AA2416" s="1" t="s">
        <v>49</v>
      </c>
      <c r="AB2416" s="1" t="s">
        <v>49</v>
      </c>
      <c r="AC2416" s="1" t="s">
        <v>88</v>
      </c>
      <c r="AD2416" s="1" t="s">
        <v>89</v>
      </c>
      <c r="AE2416" s="1" t="s">
        <v>88</v>
      </c>
      <c r="AF2416" s="1" t="s">
        <v>3349</v>
      </c>
      <c r="AG2416" s="1" t="s">
        <v>53</v>
      </c>
      <c r="AH2416" s="1" t="s">
        <v>49</v>
      </c>
      <c r="AI2416" s="1" t="s">
        <v>54</v>
      </c>
      <c r="AJ2416" s="1">
        <v>1</v>
      </c>
      <c r="AK2416" s="1" t="str">
        <f t="shared" si="37"/>
        <v xml:space="preserve"> =&lt;90</v>
      </c>
      <c r="AL2416" s="1" t="str">
        <f>VLOOKUP(C:C,[1]基础信息!B$1:D$65536,3,0)</f>
        <v>Jug</v>
      </c>
      <c r="AM2416" s="1" t="str">
        <f>VLOOKUP(C:C,[1]基础信息!B$1:E$65536,4,0)</f>
        <v>Mxplus</v>
      </c>
      <c r="AN2416" s="1" t="str">
        <f>VLOOKUP(C:C,[1]基础信息!B$1:F$65536,5,0)</f>
        <v xml:space="preserve"> lime</v>
      </c>
    </row>
    <row r="2417" spans="1:40">
      <c r="A2417" s="1" t="s">
        <v>41</v>
      </c>
      <c r="B2417" s="1" t="s">
        <v>42</v>
      </c>
      <c r="C2417" s="1" t="s">
        <v>3971</v>
      </c>
      <c r="D2417" s="1" t="s">
        <v>3972</v>
      </c>
      <c r="E2417" s="1" t="s">
        <v>45</v>
      </c>
      <c r="F2417" s="1" t="s">
        <v>5149</v>
      </c>
      <c r="G2417" s="1" t="s">
        <v>5596</v>
      </c>
      <c r="H2417" s="1" t="s">
        <v>5597</v>
      </c>
      <c r="I2417" s="1" t="s">
        <v>49</v>
      </c>
      <c r="J2417" s="1" t="s">
        <v>48</v>
      </c>
      <c r="K2417" s="1">
        <v>96</v>
      </c>
      <c r="L2417" s="1">
        <v>0</v>
      </c>
      <c r="M2417" s="1">
        <v>0</v>
      </c>
      <c r="N2417" s="1">
        <v>96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 t="s">
        <v>49</v>
      </c>
      <c r="AA2417" s="1" t="s">
        <v>49</v>
      </c>
      <c r="AB2417" s="1" t="s">
        <v>49</v>
      </c>
      <c r="AC2417" s="1" t="s">
        <v>88</v>
      </c>
      <c r="AD2417" s="1" t="s">
        <v>89</v>
      </c>
      <c r="AE2417" s="1" t="s">
        <v>88</v>
      </c>
      <c r="AF2417" s="1" t="s">
        <v>3349</v>
      </c>
      <c r="AG2417" s="1" t="s">
        <v>53</v>
      </c>
      <c r="AH2417" s="1" t="s">
        <v>49</v>
      </c>
      <c r="AI2417" s="1" t="s">
        <v>54</v>
      </c>
      <c r="AJ2417" s="1">
        <v>1</v>
      </c>
      <c r="AK2417" s="1" t="str">
        <f t="shared" si="37"/>
        <v xml:space="preserve"> =&lt;90</v>
      </c>
      <c r="AL2417" s="1" t="str">
        <f>VLOOKUP(C:C,[1]基础信息!B$1:D$65536,3,0)</f>
        <v>Jug</v>
      </c>
      <c r="AM2417" s="1" t="str">
        <f>VLOOKUP(C:C,[1]基础信息!B$1:E$65536,4,0)</f>
        <v>Mxplus</v>
      </c>
      <c r="AN2417" s="1" t="str">
        <f>VLOOKUP(C:C,[1]基础信息!B$1:F$65536,5,0)</f>
        <v xml:space="preserve"> lime</v>
      </c>
    </row>
    <row r="2418" spans="1:40">
      <c r="A2418" s="1" t="s">
        <v>41</v>
      </c>
      <c r="B2418" s="1" t="s">
        <v>42</v>
      </c>
      <c r="C2418" s="1" t="s">
        <v>4273</v>
      </c>
      <c r="D2418" s="1" t="s">
        <v>4274</v>
      </c>
      <c r="E2418" s="1" t="s">
        <v>45</v>
      </c>
      <c r="F2418" s="1" t="s">
        <v>5217</v>
      </c>
      <c r="G2418" s="1" t="s">
        <v>5598</v>
      </c>
      <c r="H2418" s="1" t="s">
        <v>5599</v>
      </c>
      <c r="I2418" s="1" t="s">
        <v>49</v>
      </c>
      <c r="J2418" s="1" t="s">
        <v>48</v>
      </c>
      <c r="K2418" s="1">
        <v>840</v>
      </c>
      <c r="L2418" s="1">
        <v>0</v>
      </c>
      <c r="M2418" s="1">
        <v>0</v>
      </c>
      <c r="N2418" s="1">
        <v>840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 t="s">
        <v>49</v>
      </c>
      <c r="AA2418" s="1" t="s">
        <v>49</v>
      </c>
      <c r="AB2418" s="1" t="s">
        <v>49</v>
      </c>
      <c r="AC2418" s="1" t="s">
        <v>5220</v>
      </c>
      <c r="AD2418" s="1" t="s">
        <v>5221</v>
      </c>
      <c r="AE2418" s="1" t="s">
        <v>5220</v>
      </c>
      <c r="AF2418" s="1" t="s">
        <v>5222</v>
      </c>
      <c r="AG2418" s="1" t="s">
        <v>53</v>
      </c>
      <c r="AH2418" s="1" t="s">
        <v>49</v>
      </c>
      <c r="AI2418" s="1" t="s">
        <v>54</v>
      </c>
      <c r="AJ2418" s="1">
        <v>1</v>
      </c>
      <c r="AK2418" s="1" t="str">
        <f t="shared" si="37"/>
        <v xml:space="preserve"> =&lt;90</v>
      </c>
      <c r="AL2418" s="1" t="e">
        <f>VLOOKUP(C:C,[1]基础信息!B$1:D$65536,3,0)</f>
        <v>#N/A</v>
      </c>
      <c r="AM2418" s="1" t="e">
        <f>VLOOKUP(C:C,[1]基础信息!B$1:E$65536,4,0)</f>
        <v>#N/A</v>
      </c>
      <c r="AN2418" s="1" t="e">
        <f>VLOOKUP(C:C,[1]基础信息!B$1:F$65536,5,0)</f>
        <v>#N/A</v>
      </c>
    </row>
    <row r="2419" spans="1:40">
      <c r="A2419" s="1" t="s">
        <v>41</v>
      </c>
      <c r="B2419" s="1" t="s">
        <v>42</v>
      </c>
      <c r="C2419" s="1" t="s">
        <v>3971</v>
      </c>
      <c r="D2419" s="1" t="s">
        <v>3972</v>
      </c>
      <c r="E2419" s="1" t="s">
        <v>45</v>
      </c>
      <c r="F2419" s="1" t="s">
        <v>5149</v>
      </c>
      <c r="G2419" s="1" t="s">
        <v>5600</v>
      </c>
      <c r="H2419" s="1" t="s">
        <v>5601</v>
      </c>
      <c r="I2419" s="1" t="s">
        <v>49</v>
      </c>
      <c r="J2419" s="1" t="s">
        <v>48</v>
      </c>
      <c r="K2419" s="1">
        <v>96</v>
      </c>
      <c r="L2419" s="1">
        <v>0</v>
      </c>
      <c r="M2419" s="1">
        <v>0</v>
      </c>
      <c r="N2419" s="1">
        <v>96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 t="s">
        <v>49</v>
      </c>
      <c r="AA2419" s="1" t="s">
        <v>49</v>
      </c>
      <c r="AB2419" s="1" t="s">
        <v>49</v>
      </c>
      <c r="AC2419" s="1" t="s">
        <v>88</v>
      </c>
      <c r="AD2419" s="1" t="s">
        <v>89</v>
      </c>
      <c r="AE2419" s="1" t="s">
        <v>88</v>
      </c>
      <c r="AF2419" s="1" t="s">
        <v>3349</v>
      </c>
      <c r="AG2419" s="1" t="s">
        <v>53</v>
      </c>
      <c r="AH2419" s="1" t="s">
        <v>49</v>
      </c>
      <c r="AI2419" s="1" t="s">
        <v>54</v>
      </c>
      <c r="AJ2419" s="1">
        <v>1</v>
      </c>
      <c r="AK2419" s="1" t="str">
        <f t="shared" si="37"/>
        <v xml:space="preserve"> =&lt;90</v>
      </c>
      <c r="AL2419" s="1" t="str">
        <f>VLOOKUP(C:C,[1]基础信息!B$1:D$65536,3,0)</f>
        <v>Jug</v>
      </c>
      <c r="AM2419" s="1" t="str">
        <f>VLOOKUP(C:C,[1]基础信息!B$1:E$65536,4,0)</f>
        <v>Mxplus</v>
      </c>
      <c r="AN2419" s="1" t="str">
        <f>VLOOKUP(C:C,[1]基础信息!B$1:F$65536,5,0)</f>
        <v xml:space="preserve"> lime</v>
      </c>
    </row>
    <row r="2420" spans="1:40">
      <c r="A2420" s="1" t="s">
        <v>41</v>
      </c>
      <c r="B2420" s="1" t="s">
        <v>42</v>
      </c>
      <c r="C2420" s="1" t="s">
        <v>3971</v>
      </c>
      <c r="D2420" s="1" t="s">
        <v>3972</v>
      </c>
      <c r="E2420" s="1" t="s">
        <v>45</v>
      </c>
      <c r="F2420" s="1" t="s">
        <v>5602</v>
      </c>
      <c r="G2420" s="1" t="s">
        <v>5603</v>
      </c>
      <c r="H2420" s="1" t="s">
        <v>5604</v>
      </c>
      <c r="I2420" s="1" t="s">
        <v>49</v>
      </c>
      <c r="J2420" s="1" t="s">
        <v>48</v>
      </c>
      <c r="K2420" s="1">
        <v>5</v>
      </c>
      <c r="L2420" s="1">
        <v>0</v>
      </c>
      <c r="M2420" s="1">
        <v>0</v>
      </c>
      <c r="N2420" s="1">
        <v>5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 t="s">
        <v>49</v>
      </c>
      <c r="AA2420" s="1" t="s">
        <v>49</v>
      </c>
      <c r="AB2420" s="1" t="s">
        <v>49</v>
      </c>
      <c r="AC2420" s="1" t="s">
        <v>1008</v>
      </c>
      <c r="AD2420" s="1" t="s">
        <v>1009</v>
      </c>
      <c r="AE2420" s="1" t="s">
        <v>1008</v>
      </c>
      <c r="AF2420" s="1" t="s">
        <v>5605</v>
      </c>
      <c r="AG2420" s="1" t="s">
        <v>53</v>
      </c>
      <c r="AH2420" s="1" t="s">
        <v>49</v>
      </c>
      <c r="AI2420" s="1" t="s">
        <v>54</v>
      </c>
      <c r="AJ2420" s="1">
        <v>1</v>
      </c>
      <c r="AK2420" s="1" t="str">
        <f t="shared" si="37"/>
        <v xml:space="preserve"> =&lt;90</v>
      </c>
      <c r="AL2420" s="1" t="str">
        <f>VLOOKUP(C:C,[1]基础信息!B$1:D$65536,3,0)</f>
        <v>Jug</v>
      </c>
      <c r="AM2420" s="1" t="str">
        <f>VLOOKUP(C:C,[1]基础信息!B$1:E$65536,4,0)</f>
        <v>Mxplus</v>
      </c>
      <c r="AN2420" s="1" t="str">
        <f>VLOOKUP(C:C,[1]基础信息!B$1:F$65536,5,0)</f>
        <v xml:space="preserve"> lime</v>
      </c>
    </row>
    <row r="2421" spans="1:40">
      <c r="A2421" s="1" t="s">
        <v>41</v>
      </c>
      <c r="B2421" s="1" t="s">
        <v>42</v>
      </c>
      <c r="C2421" s="1" t="s">
        <v>3971</v>
      </c>
      <c r="D2421" s="1" t="s">
        <v>3972</v>
      </c>
      <c r="E2421" s="1" t="s">
        <v>45</v>
      </c>
      <c r="F2421" s="1" t="s">
        <v>5606</v>
      </c>
      <c r="G2421" s="1" t="s">
        <v>5607</v>
      </c>
      <c r="H2421" s="1" t="s">
        <v>5608</v>
      </c>
      <c r="I2421" s="1" t="s">
        <v>49</v>
      </c>
      <c r="J2421" s="1" t="s">
        <v>48</v>
      </c>
      <c r="K2421" s="1">
        <v>96</v>
      </c>
      <c r="L2421" s="1">
        <v>0</v>
      </c>
      <c r="M2421" s="1">
        <v>0</v>
      </c>
      <c r="N2421" s="1">
        <v>96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 t="s">
        <v>49</v>
      </c>
      <c r="AA2421" s="1" t="s">
        <v>49</v>
      </c>
      <c r="AB2421" s="1" t="s">
        <v>49</v>
      </c>
      <c r="AC2421" s="1" t="s">
        <v>376</v>
      </c>
      <c r="AD2421" s="1" t="s">
        <v>377</v>
      </c>
      <c r="AE2421" s="1" t="s">
        <v>376</v>
      </c>
      <c r="AF2421" s="1" t="s">
        <v>5609</v>
      </c>
      <c r="AG2421" s="1" t="s">
        <v>53</v>
      </c>
      <c r="AH2421" s="1" t="s">
        <v>49</v>
      </c>
      <c r="AI2421" s="1" t="s">
        <v>54</v>
      </c>
      <c r="AJ2421" s="1">
        <v>1</v>
      </c>
      <c r="AK2421" s="1" t="str">
        <f t="shared" si="37"/>
        <v xml:space="preserve"> =&lt;90</v>
      </c>
      <c r="AL2421" s="1" t="str">
        <f>VLOOKUP(C:C,[1]基础信息!B$1:D$65536,3,0)</f>
        <v>Jug</v>
      </c>
      <c r="AM2421" s="1" t="str">
        <f>VLOOKUP(C:C,[1]基础信息!B$1:E$65536,4,0)</f>
        <v>Mxplus</v>
      </c>
      <c r="AN2421" s="1" t="str">
        <f>VLOOKUP(C:C,[1]基础信息!B$1:F$65536,5,0)</f>
        <v xml:space="preserve"> lime</v>
      </c>
    </row>
    <row r="2422" spans="1:40">
      <c r="A2422" s="1" t="s">
        <v>41</v>
      </c>
      <c r="B2422" s="1" t="s">
        <v>42</v>
      </c>
      <c r="C2422" s="1" t="s">
        <v>4253</v>
      </c>
      <c r="D2422" s="1" t="s">
        <v>4254</v>
      </c>
      <c r="E2422" s="1" t="s">
        <v>45</v>
      </c>
      <c r="F2422" s="1" t="s">
        <v>5459</v>
      </c>
      <c r="G2422" s="1" t="s">
        <v>5610</v>
      </c>
      <c r="H2422" s="1" t="s">
        <v>5611</v>
      </c>
      <c r="I2422" s="1" t="s">
        <v>49</v>
      </c>
      <c r="J2422" s="1" t="s">
        <v>48</v>
      </c>
      <c r="K2422" s="1">
        <v>328</v>
      </c>
      <c r="L2422" s="1">
        <v>0</v>
      </c>
      <c r="M2422" s="1">
        <v>0</v>
      </c>
      <c r="N2422" s="1">
        <v>328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 t="s">
        <v>49</v>
      </c>
      <c r="AA2422" s="1" t="s">
        <v>49</v>
      </c>
      <c r="AB2422" s="1" t="s">
        <v>49</v>
      </c>
      <c r="AC2422" s="1" t="s">
        <v>5184</v>
      </c>
      <c r="AD2422" s="1" t="s">
        <v>5185</v>
      </c>
      <c r="AE2422" s="1" t="s">
        <v>5462</v>
      </c>
      <c r="AF2422" s="1" t="s">
        <v>5463</v>
      </c>
      <c r="AG2422" s="1" t="s">
        <v>53</v>
      </c>
      <c r="AH2422" s="1" t="s">
        <v>49</v>
      </c>
      <c r="AI2422" s="1" t="s">
        <v>54</v>
      </c>
      <c r="AJ2422" s="1">
        <v>1</v>
      </c>
      <c r="AK2422" s="1" t="str">
        <f t="shared" si="37"/>
        <v xml:space="preserve"> =&lt;90</v>
      </c>
      <c r="AL2422" s="1" t="str">
        <f>VLOOKUP(C:C,[1]基础信息!B$1:D$65536,3,0)</f>
        <v xml:space="preserve">Cartridge </v>
      </c>
      <c r="AM2422" s="1" t="str">
        <f>VLOOKUP(C:C,[1]基础信息!B$1:E$65536,4,0)</f>
        <v>UNIV</v>
      </c>
      <c r="AN2422" s="1" t="str">
        <f>VLOOKUP(C:C,[1]基础信息!B$1:F$65536,5,0)</f>
        <v>P6</v>
      </c>
    </row>
    <row r="2423" spans="1:40">
      <c r="A2423" s="1" t="s">
        <v>41</v>
      </c>
      <c r="B2423" s="1" t="s">
        <v>42</v>
      </c>
      <c r="C2423" s="1" t="s">
        <v>4273</v>
      </c>
      <c r="D2423" s="1" t="s">
        <v>4274</v>
      </c>
      <c r="E2423" s="1" t="s">
        <v>45</v>
      </c>
      <c r="F2423" s="1" t="s">
        <v>5217</v>
      </c>
      <c r="G2423" s="1" t="s">
        <v>5612</v>
      </c>
      <c r="H2423" s="1" t="s">
        <v>5613</v>
      </c>
      <c r="I2423" s="1" t="s">
        <v>49</v>
      </c>
      <c r="J2423" s="1" t="s">
        <v>48</v>
      </c>
      <c r="K2423" s="1">
        <v>840</v>
      </c>
      <c r="L2423" s="1">
        <v>0</v>
      </c>
      <c r="M2423" s="1">
        <v>0</v>
      </c>
      <c r="N2423" s="1">
        <v>840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 t="s">
        <v>49</v>
      </c>
      <c r="AA2423" s="1" t="s">
        <v>49</v>
      </c>
      <c r="AB2423" s="1" t="s">
        <v>49</v>
      </c>
      <c r="AC2423" s="1" t="s">
        <v>5220</v>
      </c>
      <c r="AD2423" s="1" t="s">
        <v>5221</v>
      </c>
      <c r="AE2423" s="1" t="s">
        <v>5220</v>
      </c>
      <c r="AF2423" s="1" t="s">
        <v>5222</v>
      </c>
      <c r="AG2423" s="1" t="s">
        <v>53</v>
      </c>
      <c r="AH2423" s="1" t="s">
        <v>49</v>
      </c>
      <c r="AI2423" s="1" t="s">
        <v>54</v>
      </c>
      <c r="AJ2423" s="1">
        <v>1</v>
      </c>
      <c r="AK2423" s="1" t="str">
        <f t="shared" si="37"/>
        <v xml:space="preserve"> =&lt;90</v>
      </c>
      <c r="AL2423" s="1" t="e">
        <f>VLOOKUP(C:C,[1]基础信息!B$1:D$65536,3,0)</f>
        <v>#N/A</v>
      </c>
      <c r="AM2423" s="1" t="e">
        <f>VLOOKUP(C:C,[1]基础信息!B$1:E$65536,4,0)</f>
        <v>#N/A</v>
      </c>
      <c r="AN2423" s="1" t="e">
        <f>VLOOKUP(C:C,[1]基础信息!B$1:F$65536,5,0)</f>
        <v>#N/A</v>
      </c>
    </row>
    <row r="2424" spans="1:40">
      <c r="A2424" s="1" t="s">
        <v>41</v>
      </c>
      <c r="B2424" s="1" t="s">
        <v>42</v>
      </c>
      <c r="C2424" s="1" t="s">
        <v>4352</v>
      </c>
      <c r="D2424" s="1" t="s">
        <v>4353</v>
      </c>
      <c r="E2424" s="1" t="s">
        <v>45</v>
      </c>
      <c r="F2424" s="1" t="s">
        <v>5614</v>
      </c>
      <c r="G2424" s="1" t="s">
        <v>5615</v>
      </c>
      <c r="H2424" s="1" t="s">
        <v>5616</v>
      </c>
      <c r="I2424" s="1" t="s">
        <v>49</v>
      </c>
      <c r="J2424" s="1" t="s">
        <v>48</v>
      </c>
      <c r="K2424" s="1">
        <v>336</v>
      </c>
      <c r="L2424" s="1">
        <v>0</v>
      </c>
      <c r="M2424" s="1">
        <v>0</v>
      </c>
      <c r="N2424" s="1">
        <v>336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 t="s">
        <v>49</v>
      </c>
      <c r="AA2424" s="1" t="s">
        <v>49</v>
      </c>
      <c r="AB2424" s="1" t="s">
        <v>49</v>
      </c>
      <c r="AC2424" s="1" t="s">
        <v>5184</v>
      </c>
      <c r="AD2424" s="1" t="s">
        <v>5185</v>
      </c>
      <c r="AE2424" s="1" t="s">
        <v>5462</v>
      </c>
      <c r="AF2424" s="1" t="s">
        <v>5186</v>
      </c>
      <c r="AG2424" s="1" t="s">
        <v>53</v>
      </c>
      <c r="AH2424" s="1" t="s">
        <v>49</v>
      </c>
      <c r="AI2424" s="1" t="s">
        <v>54</v>
      </c>
      <c r="AJ2424" s="1">
        <v>1</v>
      </c>
      <c r="AK2424" s="1" t="str">
        <f t="shared" si="37"/>
        <v xml:space="preserve"> =&lt;90</v>
      </c>
      <c r="AL2424" s="1" t="e">
        <f>VLOOKUP(C:C,[1]基础信息!B$1:D$65536,3,0)</f>
        <v>#N/A</v>
      </c>
      <c r="AM2424" s="1" t="e">
        <f>VLOOKUP(C:C,[1]基础信息!B$1:E$65536,4,0)</f>
        <v>#N/A</v>
      </c>
      <c r="AN2424" s="1" t="e">
        <f>VLOOKUP(C:C,[1]基础信息!B$1:F$65536,5,0)</f>
        <v>#N/A</v>
      </c>
    </row>
    <row r="2425" spans="1:40">
      <c r="A2425" s="1" t="s">
        <v>41</v>
      </c>
      <c r="B2425" s="1" t="s">
        <v>42</v>
      </c>
      <c r="C2425" s="1" t="s">
        <v>3971</v>
      </c>
      <c r="D2425" s="1" t="s">
        <v>3972</v>
      </c>
      <c r="E2425" s="1" t="s">
        <v>45</v>
      </c>
      <c r="F2425" s="1" t="s">
        <v>5606</v>
      </c>
      <c r="G2425" s="1" t="s">
        <v>5617</v>
      </c>
      <c r="H2425" s="1" t="s">
        <v>5618</v>
      </c>
      <c r="I2425" s="1" t="s">
        <v>49</v>
      </c>
      <c r="J2425" s="1" t="s">
        <v>48</v>
      </c>
      <c r="K2425" s="1">
        <v>96</v>
      </c>
      <c r="L2425" s="1">
        <v>0</v>
      </c>
      <c r="M2425" s="1">
        <v>0</v>
      </c>
      <c r="N2425" s="1">
        <v>96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 t="s">
        <v>49</v>
      </c>
      <c r="AA2425" s="1" t="s">
        <v>49</v>
      </c>
      <c r="AB2425" s="1" t="s">
        <v>49</v>
      </c>
      <c r="AC2425" s="1" t="s">
        <v>376</v>
      </c>
      <c r="AD2425" s="1" t="s">
        <v>377</v>
      </c>
      <c r="AE2425" s="1" t="s">
        <v>376</v>
      </c>
      <c r="AF2425" s="1" t="s">
        <v>5609</v>
      </c>
      <c r="AG2425" s="1" t="s">
        <v>53</v>
      </c>
      <c r="AH2425" s="1" t="s">
        <v>49</v>
      </c>
      <c r="AI2425" s="1" t="s">
        <v>54</v>
      </c>
      <c r="AJ2425" s="1">
        <v>1</v>
      </c>
      <c r="AK2425" s="1" t="str">
        <f t="shared" si="37"/>
        <v xml:space="preserve"> =&lt;90</v>
      </c>
      <c r="AL2425" s="1" t="str">
        <f>VLOOKUP(C:C,[1]基础信息!B$1:D$65536,3,0)</f>
        <v>Jug</v>
      </c>
      <c r="AM2425" s="1" t="str">
        <f>VLOOKUP(C:C,[1]基础信息!B$1:E$65536,4,0)</f>
        <v>Mxplus</v>
      </c>
      <c r="AN2425" s="1" t="str">
        <f>VLOOKUP(C:C,[1]基础信息!B$1:F$65536,5,0)</f>
        <v xml:space="preserve"> lime</v>
      </c>
    </row>
    <row r="2426" spans="1:40">
      <c r="A2426" s="1" t="s">
        <v>41</v>
      </c>
      <c r="B2426" s="1" t="s">
        <v>42</v>
      </c>
      <c r="C2426" s="1" t="s">
        <v>4352</v>
      </c>
      <c r="D2426" s="1" t="s">
        <v>4353</v>
      </c>
      <c r="E2426" s="1" t="s">
        <v>45</v>
      </c>
      <c r="F2426" s="1" t="s">
        <v>5614</v>
      </c>
      <c r="G2426" s="1" t="s">
        <v>5619</v>
      </c>
      <c r="H2426" s="1" t="s">
        <v>5620</v>
      </c>
      <c r="I2426" s="1" t="s">
        <v>49</v>
      </c>
      <c r="J2426" s="1" t="s">
        <v>48</v>
      </c>
      <c r="K2426" s="1">
        <v>336</v>
      </c>
      <c r="L2426" s="1">
        <v>0</v>
      </c>
      <c r="M2426" s="1">
        <v>0</v>
      </c>
      <c r="N2426" s="1">
        <v>336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 t="s">
        <v>49</v>
      </c>
      <c r="AA2426" s="1" t="s">
        <v>49</v>
      </c>
      <c r="AB2426" s="1" t="s">
        <v>49</v>
      </c>
      <c r="AC2426" s="1" t="s">
        <v>5184</v>
      </c>
      <c r="AD2426" s="1" t="s">
        <v>5185</v>
      </c>
      <c r="AE2426" s="1" t="s">
        <v>5462</v>
      </c>
      <c r="AF2426" s="1" t="s">
        <v>5186</v>
      </c>
      <c r="AG2426" s="1" t="s">
        <v>53</v>
      </c>
      <c r="AH2426" s="1" t="s">
        <v>49</v>
      </c>
      <c r="AI2426" s="1" t="s">
        <v>54</v>
      </c>
      <c r="AJ2426" s="1">
        <v>1</v>
      </c>
      <c r="AK2426" s="1" t="str">
        <f t="shared" si="37"/>
        <v xml:space="preserve"> =&lt;90</v>
      </c>
      <c r="AL2426" s="1" t="e">
        <f>VLOOKUP(C:C,[1]基础信息!B$1:D$65536,3,0)</f>
        <v>#N/A</v>
      </c>
      <c r="AM2426" s="1" t="e">
        <f>VLOOKUP(C:C,[1]基础信息!B$1:E$65536,4,0)</f>
        <v>#N/A</v>
      </c>
      <c r="AN2426" s="1" t="e">
        <f>VLOOKUP(C:C,[1]基础信息!B$1:F$65536,5,0)</f>
        <v>#N/A</v>
      </c>
    </row>
    <row r="2427" spans="1:40">
      <c r="A2427" s="1" t="s">
        <v>41</v>
      </c>
      <c r="B2427" s="1" t="s">
        <v>42</v>
      </c>
      <c r="C2427" s="1" t="s">
        <v>4273</v>
      </c>
      <c r="D2427" s="1" t="s">
        <v>4274</v>
      </c>
      <c r="E2427" s="1" t="s">
        <v>45</v>
      </c>
      <c r="F2427" s="1" t="s">
        <v>5523</v>
      </c>
      <c r="G2427" s="1" t="s">
        <v>5621</v>
      </c>
      <c r="H2427" s="1" t="s">
        <v>5622</v>
      </c>
      <c r="I2427" s="1" t="s">
        <v>49</v>
      </c>
      <c r="J2427" s="1" t="s">
        <v>48</v>
      </c>
      <c r="K2427" s="1">
        <v>840</v>
      </c>
      <c r="L2427" s="1">
        <v>0</v>
      </c>
      <c r="M2427" s="1">
        <v>0</v>
      </c>
      <c r="N2427" s="1">
        <v>840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 t="s">
        <v>49</v>
      </c>
      <c r="AA2427" s="1" t="s">
        <v>49</v>
      </c>
      <c r="AB2427" s="1" t="s">
        <v>49</v>
      </c>
      <c r="AC2427" s="1" t="s">
        <v>470</v>
      </c>
      <c r="AD2427" s="1" t="s">
        <v>471</v>
      </c>
      <c r="AE2427" s="1" t="s">
        <v>470</v>
      </c>
      <c r="AF2427" s="1" t="s">
        <v>5526</v>
      </c>
      <c r="AG2427" s="1" t="s">
        <v>53</v>
      </c>
      <c r="AH2427" s="1" t="s">
        <v>49</v>
      </c>
      <c r="AI2427" s="1" t="s">
        <v>54</v>
      </c>
      <c r="AJ2427" s="1">
        <v>1</v>
      </c>
      <c r="AK2427" s="1" t="str">
        <f t="shared" si="37"/>
        <v xml:space="preserve"> =&lt;90</v>
      </c>
      <c r="AL2427" s="1" t="e">
        <f>VLOOKUP(C:C,[1]基础信息!B$1:D$65536,3,0)</f>
        <v>#N/A</v>
      </c>
      <c r="AM2427" s="1" t="e">
        <f>VLOOKUP(C:C,[1]基础信息!B$1:E$65536,4,0)</f>
        <v>#N/A</v>
      </c>
      <c r="AN2427" s="1" t="e">
        <f>VLOOKUP(C:C,[1]基础信息!B$1:F$65536,5,0)</f>
        <v>#N/A</v>
      </c>
    </row>
    <row r="2428" spans="1:40">
      <c r="A2428" s="1" t="s">
        <v>41</v>
      </c>
      <c r="B2428" s="1" t="s">
        <v>42</v>
      </c>
      <c r="C2428" s="1" t="s">
        <v>4273</v>
      </c>
      <c r="D2428" s="1" t="s">
        <v>4274</v>
      </c>
      <c r="E2428" s="1" t="s">
        <v>45</v>
      </c>
      <c r="F2428" s="1" t="s">
        <v>5523</v>
      </c>
      <c r="G2428" s="1" t="s">
        <v>5623</v>
      </c>
      <c r="H2428" s="1" t="s">
        <v>5624</v>
      </c>
      <c r="I2428" s="1" t="s">
        <v>49</v>
      </c>
      <c r="J2428" s="1" t="s">
        <v>48</v>
      </c>
      <c r="K2428" s="1">
        <v>840</v>
      </c>
      <c r="L2428" s="1">
        <v>0</v>
      </c>
      <c r="M2428" s="1">
        <v>0</v>
      </c>
      <c r="N2428" s="1">
        <v>840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 t="s">
        <v>49</v>
      </c>
      <c r="AA2428" s="1" t="s">
        <v>49</v>
      </c>
      <c r="AB2428" s="1" t="s">
        <v>49</v>
      </c>
      <c r="AC2428" s="1" t="s">
        <v>470</v>
      </c>
      <c r="AD2428" s="1" t="s">
        <v>471</v>
      </c>
      <c r="AE2428" s="1" t="s">
        <v>470</v>
      </c>
      <c r="AF2428" s="1" t="s">
        <v>5526</v>
      </c>
      <c r="AG2428" s="1" t="s">
        <v>53</v>
      </c>
      <c r="AH2428" s="1" t="s">
        <v>49</v>
      </c>
      <c r="AI2428" s="1" t="s">
        <v>54</v>
      </c>
      <c r="AJ2428" s="1">
        <v>1</v>
      </c>
      <c r="AK2428" s="1" t="str">
        <f t="shared" si="37"/>
        <v xml:space="preserve"> =&lt;90</v>
      </c>
      <c r="AL2428" s="1" t="e">
        <f>VLOOKUP(C:C,[1]基础信息!B$1:D$65536,3,0)</f>
        <v>#N/A</v>
      </c>
      <c r="AM2428" s="1" t="e">
        <f>VLOOKUP(C:C,[1]基础信息!B$1:E$65536,4,0)</f>
        <v>#N/A</v>
      </c>
      <c r="AN2428" s="1" t="e">
        <f>VLOOKUP(C:C,[1]基础信息!B$1:F$65536,5,0)</f>
        <v>#N/A</v>
      </c>
    </row>
    <row r="2429" spans="1:40">
      <c r="A2429" s="1" t="s">
        <v>41</v>
      </c>
      <c r="B2429" s="1" t="s">
        <v>42</v>
      </c>
      <c r="C2429" s="1" t="s">
        <v>4273</v>
      </c>
      <c r="D2429" s="1" t="s">
        <v>4274</v>
      </c>
      <c r="E2429" s="1" t="s">
        <v>45</v>
      </c>
      <c r="F2429" s="1" t="s">
        <v>5217</v>
      </c>
      <c r="G2429" s="1" t="s">
        <v>5625</v>
      </c>
      <c r="H2429" s="1" t="s">
        <v>5626</v>
      </c>
      <c r="I2429" s="1" t="s">
        <v>49</v>
      </c>
      <c r="J2429" s="1" t="s">
        <v>48</v>
      </c>
      <c r="K2429" s="1">
        <v>840</v>
      </c>
      <c r="L2429" s="1">
        <v>0</v>
      </c>
      <c r="M2429" s="1">
        <v>0</v>
      </c>
      <c r="N2429" s="1">
        <v>840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 t="s">
        <v>49</v>
      </c>
      <c r="AA2429" s="1" t="s">
        <v>49</v>
      </c>
      <c r="AB2429" s="1" t="s">
        <v>49</v>
      </c>
      <c r="AC2429" s="1" t="s">
        <v>5220</v>
      </c>
      <c r="AD2429" s="1" t="s">
        <v>5221</v>
      </c>
      <c r="AE2429" s="1" t="s">
        <v>5220</v>
      </c>
      <c r="AF2429" s="1" t="s">
        <v>5222</v>
      </c>
      <c r="AG2429" s="1" t="s">
        <v>53</v>
      </c>
      <c r="AH2429" s="1" t="s">
        <v>49</v>
      </c>
      <c r="AI2429" s="1" t="s">
        <v>54</v>
      </c>
      <c r="AJ2429" s="1">
        <v>1</v>
      </c>
      <c r="AK2429" s="1" t="str">
        <f t="shared" si="37"/>
        <v xml:space="preserve"> =&lt;90</v>
      </c>
      <c r="AL2429" s="1" t="e">
        <f>VLOOKUP(C:C,[1]基础信息!B$1:D$65536,3,0)</f>
        <v>#N/A</v>
      </c>
      <c r="AM2429" s="1" t="e">
        <f>VLOOKUP(C:C,[1]基础信息!B$1:E$65536,4,0)</f>
        <v>#N/A</v>
      </c>
      <c r="AN2429" s="1" t="e">
        <f>VLOOKUP(C:C,[1]基础信息!B$1:F$65536,5,0)</f>
        <v>#N/A</v>
      </c>
    </row>
    <row r="2430" spans="1:40">
      <c r="A2430" s="1" t="s">
        <v>41</v>
      </c>
      <c r="B2430" s="1" t="s">
        <v>42</v>
      </c>
      <c r="C2430" s="1" t="s">
        <v>3971</v>
      </c>
      <c r="D2430" s="1" t="s">
        <v>3972</v>
      </c>
      <c r="E2430" s="1" t="s">
        <v>45</v>
      </c>
      <c r="F2430" s="1" t="s">
        <v>5380</v>
      </c>
      <c r="G2430" s="1" t="s">
        <v>5627</v>
      </c>
      <c r="H2430" s="1" t="s">
        <v>5628</v>
      </c>
      <c r="I2430" s="1" t="s">
        <v>49</v>
      </c>
      <c r="J2430" s="1" t="s">
        <v>48</v>
      </c>
      <c r="K2430" s="1">
        <v>96</v>
      </c>
      <c r="L2430" s="1">
        <v>0</v>
      </c>
      <c r="M2430" s="1">
        <v>0</v>
      </c>
      <c r="N2430" s="1">
        <v>96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 t="s">
        <v>49</v>
      </c>
      <c r="AA2430" s="1" t="s">
        <v>49</v>
      </c>
      <c r="AB2430" s="1" t="s">
        <v>49</v>
      </c>
      <c r="AC2430" s="1" t="s">
        <v>1408</v>
      </c>
      <c r="AD2430" s="1" t="s">
        <v>1409</v>
      </c>
      <c r="AE2430" s="1" t="s">
        <v>1408</v>
      </c>
      <c r="AF2430" s="1" t="s">
        <v>1172</v>
      </c>
      <c r="AG2430" s="1" t="s">
        <v>53</v>
      </c>
      <c r="AH2430" s="1" t="s">
        <v>49</v>
      </c>
      <c r="AI2430" s="1" t="s">
        <v>54</v>
      </c>
      <c r="AJ2430" s="1">
        <v>1</v>
      </c>
      <c r="AK2430" s="1" t="str">
        <f t="shared" si="37"/>
        <v xml:space="preserve"> =&lt;90</v>
      </c>
      <c r="AL2430" s="1" t="str">
        <f>VLOOKUP(C:C,[1]基础信息!B$1:D$65536,3,0)</f>
        <v>Jug</v>
      </c>
      <c r="AM2430" s="1" t="str">
        <f>VLOOKUP(C:C,[1]基础信息!B$1:E$65536,4,0)</f>
        <v>Mxplus</v>
      </c>
      <c r="AN2430" s="1" t="str">
        <f>VLOOKUP(C:C,[1]基础信息!B$1:F$65536,5,0)</f>
        <v xml:space="preserve"> lime</v>
      </c>
    </row>
    <row r="2431" spans="1:40">
      <c r="A2431" s="1" t="s">
        <v>41</v>
      </c>
      <c r="B2431" s="1" t="s">
        <v>42</v>
      </c>
      <c r="C2431" s="1" t="s">
        <v>3971</v>
      </c>
      <c r="D2431" s="1" t="s">
        <v>3972</v>
      </c>
      <c r="E2431" s="1" t="s">
        <v>45</v>
      </c>
      <c r="F2431" s="1" t="s">
        <v>5380</v>
      </c>
      <c r="G2431" s="1" t="s">
        <v>5629</v>
      </c>
      <c r="H2431" s="1" t="s">
        <v>5630</v>
      </c>
      <c r="I2431" s="1" t="s">
        <v>49</v>
      </c>
      <c r="J2431" s="1" t="s">
        <v>48</v>
      </c>
      <c r="K2431" s="1">
        <v>96</v>
      </c>
      <c r="L2431" s="1">
        <v>0</v>
      </c>
      <c r="M2431" s="1">
        <v>0</v>
      </c>
      <c r="N2431" s="1">
        <v>96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 t="s">
        <v>49</v>
      </c>
      <c r="AA2431" s="1" t="s">
        <v>49</v>
      </c>
      <c r="AB2431" s="1" t="s">
        <v>49</v>
      </c>
      <c r="AC2431" s="1" t="s">
        <v>1408</v>
      </c>
      <c r="AD2431" s="1" t="s">
        <v>1409</v>
      </c>
      <c r="AE2431" s="1" t="s">
        <v>1408</v>
      </c>
      <c r="AF2431" s="1" t="s">
        <v>1172</v>
      </c>
      <c r="AG2431" s="1" t="s">
        <v>53</v>
      </c>
      <c r="AH2431" s="1" t="s">
        <v>49</v>
      </c>
      <c r="AI2431" s="1" t="s">
        <v>54</v>
      </c>
      <c r="AJ2431" s="1">
        <v>1</v>
      </c>
      <c r="AK2431" s="1" t="str">
        <f t="shared" si="37"/>
        <v xml:space="preserve"> =&lt;90</v>
      </c>
      <c r="AL2431" s="1" t="str">
        <f>VLOOKUP(C:C,[1]基础信息!B$1:D$65536,3,0)</f>
        <v>Jug</v>
      </c>
      <c r="AM2431" s="1" t="str">
        <f>VLOOKUP(C:C,[1]基础信息!B$1:E$65536,4,0)</f>
        <v>Mxplus</v>
      </c>
      <c r="AN2431" s="1" t="str">
        <f>VLOOKUP(C:C,[1]基础信息!B$1:F$65536,5,0)</f>
        <v xml:space="preserve"> lime</v>
      </c>
    </row>
    <row r="2432" spans="1:40">
      <c r="A2432" s="1" t="s">
        <v>41</v>
      </c>
      <c r="B2432" s="1" t="s">
        <v>42</v>
      </c>
      <c r="C2432" s="1" t="s">
        <v>3971</v>
      </c>
      <c r="D2432" s="1" t="s">
        <v>3972</v>
      </c>
      <c r="E2432" s="1" t="s">
        <v>45</v>
      </c>
      <c r="F2432" s="1" t="s">
        <v>5149</v>
      </c>
      <c r="G2432" s="1" t="s">
        <v>5631</v>
      </c>
      <c r="H2432" s="1" t="s">
        <v>5632</v>
      </c>
      <c r="I2432" s="1" t="s">
        <v>49</v>
      </c>
      <c r="J2432" s="1" t="s">
        <v>48</v>
      </c>
      <c r="K2432" s="1">
        <v>96</v>
      </c>
      <c r="L2432" s="1">
        <v>0</v>
      </c>
      <c r="M2432" s="1">
        <v>0</v>
      </c>
      <c r="N2432" s="1">
        <v>96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 t="s">
        <v>49</v>
      </c>
      <c r="AA2432" s="1" t="s">
        <v>49</v>
      </c>
      <c r="AB2432" s="1" t="s">
        <v>49</v>
      </c>
      <c r="AC2432" s="1" t="s">
        <v>88</v>
      </c>
      <c r="AD2432" s="1" t="s">
        <v>89</v>
      </c>
      <c r="AE2432" s="1" t="s">
        <v>88</v>
      </c>
      <c r="AF2432" s="1" t="s">
        <v>3349</v>
      </c>
      <c r="AG2432" s="1" t="s">
        <v>53</v>
      </c>
      <c r="AH2432" s="1" t="s">
        <v>49</v>
      </c>
      <c r="AI2432" s="1" t="s">
        <v>54</v>
      </c>
      <c r="AJ2432" s="1">
        <v>1</v>
      </c>
      <c r="AK2432" s="1" t="str">
        <f t="shared" si="37"/>
        <v xml:space="preserve"> =&lt;90</v>
      </c>
      <c r="AL2432" s="1" t="str">
        <f>VLOOKUP(C:C,[1]基础信息!B$1:D$65536,3,0)</f>
        <v>Jug</v>
      </c>
      <c r="AM2432" s="1" t="str">
        <f>VLOOKUP(C:C,[1]基础信息!B$1:E$65536,4,0)</f>
        <v>Mxplus</v>
      </c>
      <c r="AN2432" s="1" t="str">
        <f>VLOOKUP(C:C,[1]基础信息!B$1:F$65536,5,0)</f>
        <v xml:space="preserve"> lime</v>
      </c>
    </row>
    <row r="2433" spans="1:40">
      <c r="A2433" s="1" t="s">
        <v>41</v>
      </c>
      <c r="B2433" s="1" t="s">
        <v>42</v>
      </c>
      <c r="C2433" s="1" t="s">
        <v>3971</v>
      </c>
      <c r="D2433" s="1" t="s">
        <v>3972</v>
      </c>
      <c r="E2433" s="1" t="s">
        <v>45</v>
      </c>
      <c r="F2433" s="1" t="s">
        <v>5380</v>
      </c>
      <c r="G2433" s="1" t="s">
        <v>5633</v>
      </c>
      <c r="H2433" s="1" t="s">
        <v>5634</v>
      </c>
      <c r="I2433" s="1" t="s">
        <v>49</v>
      </c>
      <c r="J2433" s="1" t="s">
        <v>48</v>
      </c>
      <c r="K2433" s="1">
        <v>96</v>
      </c>
      <c r="L2433" s="1">
        <v>0</v>
      </c>
      <c r="M2433" s="1">
        <v>0</v>
      </c>
      <c r="N2433" s="1">
        <v>96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 t="s">
        <v>49</v>
      </c>
      <c r="AA2433" s="1" t="s">
        <v>49</v>
      </c>
      <c r="AB2433" s="1" t="s">
        <v>49</v>
      </c>
      <c r="AC2433" s="1" t="s">
        <v>1408</v>
      </c>
      <c r="AD2433" s="1" t="s">
        <v>1409</v>
      </c>
      <c r="AE2433" s="1" t="s">
        <v>1408</v>
      </c>
      <c r="AF2433" s="1" t="s">
        <v>1172</v>
      </c>
      <c r="AG2433" s="1" t="s">
        <v>53</v>
      </c>
      <c r="AH2433" s="1" t="s">
        <v>49</v>
      </c>
      <c r="AI2433" s="1" t="s">
        <v>54</v>
      </c>
      <c r="AJ2433" s="1">
        <v>1</v>
      </c>
      <c r="AK2433" s="1" t="str">
        <f t="shared" si="37"/>
        <v xml:space="preserve"> =&lt;90</v>
      </c>
      <c r="AL2433" s="1" t="str">
        <f>VLOOKUP(C:C,[1]基础信息!B$1:D$65536,3,0)</f>
        <v>Jug</v>
      </c>
      <c r="AM2433" s="1" t="str">
        <f>VLOOKUP(C:C,[1]基础信息!B$1:E$65536,4,0)</f>
        <v>Mxplus</v>
      </c>
      <c r="AN2433" s="1" t="str">
        <f>VLOOKUP(C:C,[1]基础信息!B$1:F$65536,5,0)</f>
        <v xml:space="preserve"> lime</v>
      </c>
    </row>
    <row r="2434" spans="1:40">
      <c r="A2434" s="1" t="s">
        <v>41</v>
      </c>
      <c r="B2434" s="1" t="s">
        <v>42</v>
      </c>
      <c r="C2434" s="1" t="s">
        <v>5254</v>
      </c>
      <c r="D2434" s="1" t="s">
        <v>5255</v>
      </c>
      <c r="E2434" s="1" t="s">
        <v>45</v>
      </c>
      <c r="F2434" s="1" t="s">
        <v>5261</v>
      </c>
      <c r="G2434" s="1" t="s">
        <v>5635</v>
      </c>
      <c r="H2434" s="1" t="s">
        <v>5636</v>
      </c>
      <c r="I2434" s="1" t="s">
        <v>49</v>
      </c>
      <c r="J2434" s="1" t="s">
        <v>48</v>
      </c>
      <c r="K2434" s="1">
        <v>2200</v>
      </c>
      <c r="L2434" s="1">
        <v>0</v>
      </c>
      <c r="M2434" s="1">
        <v>0</v>
      </c>
      <c r="N2434" s="1">
        <v>2200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 t="s">
        <v>49</v>
      </c>
      <c r="AA2434" s="1" t="s">
        <v>49</v>
      </c>
      <c r="AB2434" s="1" t="s">
        <v>49</v>
      </c>
      <c r="AC2434" s="1" t="s">
        <v>5228</v>
      </c>
      <c r="AD2434" s="1" t="s">
        <v>5229</v>
      </c>
      <c r="AE2434" s="1" t="s">
        <v>5230</v>
      </c>
      <c r="AF2434" s="1" t="s">
        <v>5264</v>
      </c>
      <c r="AG2434" s="1" t="s">
        <v>53</v>
      </c>
      <c r="AH2434" s="1" t="s">
        <v>49</v>
      </c>
      <c r="AI2434" s="1" t="s">
        <v>54</v>
      </c>
      <c r="AJ2434" s="1">
        <v>1</v>
      </c>
      <c r="AK2434" s="1" t="str">
        <f t="shared" ref="AK2434:AK2497" si="38">IF(AJ2434&gt;$AP$2,$AQ$2,IF(AJ2434&gt;$AP$3,$AQ$3,IF(AJ2434&gt;$AP$4,$AQ$4,$AQ$5)))</f>
        <v xml:space="preserve"> =&lt;90</v>
      </c>
      <c r="AL2434" s="1" t="str">
        <f>VLOOKUP(C:C,[1]基础信息!B$1:D$65536,3,0)</f>
        <v xml:space="preserve">Cartridge </v>
      </c>
      <c r="AM2434" s="1" t="str">
        <f>VLOOKUP(C:C,[1]基础信息!B$1:E$65536,4,0)</f>
        <v>UNIV</v>
      </c>
      <c r="AN2434" s="1" t="str">
        <f>VLOOKUP(C:C,[1]基础信息!B$1:F$65536,5,0)</f>
        <v>P55</v>
      </c>
    </row>
    <row r="2435" spans="1:40">
      <c r="A2435" s="1" t="s">
        <v>41</v>
      </c>
      <c r="B2435" s="1" t="s">
        <v>42</v>
      </c>
      <c r="C2435" s="1" t="s">
        <v>5254</v>
      </c>
      <c r="D2435" s="1" t="s">
        <v>5255</v>
      </c>
      <c r="E2435" s="1" t="s">
        <v>45</v>
      </c>
      <c r="F2435" s="1" t="s">
        <v>5261</v>
      </c>
      <c r="G2435" s="1" t="s">
        <v>5637</v>
      </c>
      <c r="H2435" s="1" t="s">
        <v>5638</v>
      </c>
      <c r="I2435" s="1" t="s">
        <v>49</v>
      </c>
      <c r="J2435" s="1" t="s">
        <v>48</v>
      </c>
      <c r="K2435" s="1">
        <v>2200</v>
      </c>
      <c r="L2435" s="1">
        <v>0</v>
      </c>
      <c r="M2435" s="1">
        <v>0</v>
      </c>
      <c r="N2435" s="1">
        <v>2200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 t="s">
        <v>49</v>
      </c>
      <c r="AA2435" s="1" t="s">
        <v>49</v>
      </c>
      <c r="AB2435" s="1" t="s">
        <v>49</v>
      </c>
      <c r="AC2435" s="1" t="s">
        <v>5228</v>
      </c>
      <c r="AD2435" s="1" t="s">
        <v>5229</v>
      </c>
      <c r="AE2435" s="1" t="s">
        <v>5230</v>
      </c>
      <c r="AF2435" s="1" t="s">
        <v>5264</v>
      </c>
      <c r="AG2435" s="1" t="s">
        <v>53</v>
      </c>
      <c r="AH2435" s="1" t="s">
        <v>49</v>
      </c>
      <c r="AI2435" s="1" t="s">
        <v>54</v>
      </c>
      <c r="AJ2435" s="1">
        <v>1</v>
      </c>
      <c r="AK2435" s="1" t="str">
        <f t="shared" si="38"/>
        <v xml:space="preserve"> =&lt;90</v>
      </c>
      <c r="AL2435" s="1" t="str">
        <f>VLOOKUP(C:C,[1]基础信息!B$1:D$65536,3,0)</f>
        <v xml:space="preserve">Cartridge </v>
      </c>
      <c r="AM2435" s="1" t="str">
        <f>VLOOKUP(C:C,[1]基础信息!B$1:E$65536,4,0)</f>
        <v>UNIV</v>
      </c>
      <c r="AN2435" s="1" t="str">
        <f>VLOOKUP(C:C,[1]基础信息!B$1:F$65536,5,0)</f>
        <v>P55</v>
      </c>
    </row>
    <row r="2436" spans="1:40">
      <c r="A2436" s="1" t="s">
        <v>41</v>
      </c>
      <c r="B2436" s="1" t="s">
        <v>42</v>
      </c>
      <c r="C2436" s="1" t="s">
        <v>5254</v>
      </c>
      <c r="D2436" s="1" t="s">
        <v>5255</v>
      </c>
      <c r="E2436" s="1" t="s">
        <v>45</v>
      </c>
      <c r="F2436" s="1" t="s">
        <v>5261</v>
      </c>
      <c r="G2436" s="1" t="s">
        <v>5639</v>
      </c>
      <c r="H2436" s="1" t="s">
        <v>5640</v>
      </c>
      <c r="I2436" s="1" t="s">
        <v>49</v>
      </c>
      <c r="J2436" s="1" t="s">
        <v>48</v>
      </c>
      <c r="K2436" s="1">
        <v>2200</v>
      </c>
      <c r="L2436" s="1">
        <v>0</v>
      </c>
      <c r="M2436" s="1">
        <v>0</v>
      </c>
      <c r="N2436" s="1">
        <v>2200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 t="s">
        <v>49</v>
      </c>
      <c r="AA2436" s="1" t="s">
        <v>49</v>
      </c>
      <c r="AB2436" s="1" t="s">
        <v>49</v>
      </c>
      <c r="AC2436" s="1" t="s">
        <v>5228</v>
      </c>
      <c r="AD2436" s="1" t="s">
        <v>5229</v>
      </c>
      <c r="AE2436" s="1" t="s">
        <v>5230</v>
      </c>
      <c r="AF2436" s="1" t="s">
        <v>5264</v>
      </c>
      <c r="AG2436" s="1" t="s">
        <v>53</v>
      </c>
      <c r="AH2436" s="1" t="s">
        <v>49</v>
      </c>
      <c r="AI2436" s="1" t="s">
        <v>54</v>
      </c>
      <c r="AJ2436" s="1">
        <v>1</v>
      </c>
      <c r="AK2436" s="1" t="str">
        <f t="shared" si="38"/>
        <v xml:space="preserve"> =&lt;90</v>
      </c>
      <c r="AL2436" s="1" t="str">
        <f>VLOOKUP(C:C,[1]基础信息!B$1:D$65536,3,0)</f>
        <v xml:space="preserve">Cartridge </v>
      </c>
      <c r="AM2436" s="1" t="str">
        <f>VLOOKUP(C:C,[1]基础信息!B$1:E$65536,4,0)</f>
        <v>UNIV</v>
      </c>
      <c r="AN2436" s="1" t="str">
        <f>VLOOKUP(C:C,[1]基础信息!B$1:F$65536,5,0)</f>
        <v>P55</v>
      </c>
    </row>
    <row r="2437" spans="1:40">
      <c r="A2437" s="1" t="s">
        <v>41</v>
      </c>
      <c r="B2437" s="1" t="s">
        <v>42</v>
      </c>
      <c r="C2437" s="1" t="s">
        <v>5254</v>
      </c>
      <c r="D2437" s="1" t="s">
        <v>5255</v>
      </c>
      <c r="E2437" s="1" t="s">
        <v>45</v>
      </c>
      <c r="F2437" s="1" t="s">
        <v>5261</v>
      </c>
      <c r="G2437" s="1" t="s">
        <v>5641</v>
      </c>
      <c r="H2437" s="1" t="s">
        <v>5642</v>
      </c>
      <c r="I2437" s="1" t="s">
        <v>49</v>
      </c>
      <c r="J2437" s="1" t="s">
        <v>48</v>
      </c>
      <c r="K2437" s="1">
        <v>2200</v>
      </c>
      <c r="L2437" s="1">
        <v>0</v>
      </c>
      <c r="M2437" s="1">
        <v>0</v>
      </c>
      <c r="N2437" s="1">
        <v>2200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 t="s">
        <v>49</v>
      </c>
      <c r="AA2437" s="1" t="s">
        <v>49</v>
      </c>
      <c r="AB2437" s="1" t="s">
        <v>49</v>
      </c>
      <c r="AC2437" s="1" t="s">
        <v>5228</v>
      </c>
      <c r="AD2437" s="1" t="s">
        <v>5229</v>
      </c>
      <c r="AE2437" s="1" t="s">
        <v>5230</v>
      </c>
      <c r="AF2437" s="1" t="s">
        <v>5264</v>
      </c>
      <c r="AG2437" s="1" t="s">
        <v>53</v>
      </c>
      <c r="AH2437" s="1" t="s">
        <v>49</v>
      </c>
      <c r="AI2437" s="1" t="s">
        <v>54</v>
      </c>
      <c r="AJ2437" s="1">
        <v>1</v>
      </c>
      <c r="AK2437" s="1" t="str">
        <f t="shared" si="38"/>
        <v xml:space="preserve"> =&lt;90</v>
      </c>
      <c r="AL2437" s="1" t="str">
        <f>VLOOKUP(C:C,[1]基础信息!B$1:D$65536,3,0)</f>
        <v xml:space="preserve">Cartridge </v>
      </c>
      <c r="AM2437" s="1" t="str">
        <f>VLOOKUP(C:C,[1]基础信息!B$1:E$65536,4,0)</f>
        <v>UNIV</v>
      </c>
      <c r="AN2437" s="1" t="str">
        <f>VLOOKUP(C:C,[1]基础信息!B$1:F$65536,5,0)</f>
        <v>P55</v>
      </c>
    </row>
    <row r="2438" spans="1:40">
      <c r="A2438" s="1" t="s">
        <v>41</v>
      </c>
      <c r="B2438" s="1" t="s">
        <v>42</v>
      </c>
      <c r="C2438" s="1" t="s">
        <v>3971</v>
      </c>
      <c r="D2438" s="1" t="s">
        <v>3972</v>
      </c>
      <c r="E2438" s="1" t="s">
        <v>45</v>
      </c>
      <c r="F2438" s="1" t="s">
        <v>5380</v>
      </c>
      <c r="G2438" s="1" t="s">
        <v>5643</v>
      </c>
      <c r="H2438" s="1" t="s">
        <v>5644</v>
      </c>
      <c r="I2438" s="1" t="s">
        <v>49</v>
      </c>
      <c r="J2438" s="1" t="s">
        <v>48</v>
      </c>
      <c r="K2438" s="1">
        <v>96</v>
      </c>
      <c r="L2438" s="1">
        <v>0</v>
      </c>
      <c r="M2438" s="1">
        <v>0</v>
      </c>
      <c r="N2438" s="1">
        <v>96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 t="s">
        <v>49</v>
      </c>
      <c r="AA2438" s="1" t="s">
        <v>49</v>
      </c>
      <c r="AB2438" s="1" t="s">
        <v>49</v>
      </c>
      <c r="AC2438" s="1" t="s">
        <v>1408</v>
      </c>
      <c r="AD2438" s="1" t="s">
        <v>1409</v>
      </c>
      <c r="AE2438" s="1" t="s">
        <v>1408</v>
      </c>
      <c r="AF2438" s="1" t="s">
        <v>1172</v>
      </c>
      <c r="AG2438" s="1" t="s">
        <v>53</v>
      </c>
      <c r="AH2438" s="1" t="s">
        <v>49</v>
      </c>
      <c r="AI2438" s="1" t="s">
        <v>54</v>
      </c>
      <c r="AJ2438" s="1">
        <v>1</v>
      </c>
      <c r="AK2438" s="1" t="str">
        <f t="shared" si="38"/>
        <v xml:space="preserve"> =&lt;90</v>
      </c>
      <c r="AL2438" s="1" t="str">
        <f>VLOOKUP(C:C,[1]基础信息!B$1:D$65536,3,0)</f>
        <v>Jug</v>
      </c>
      <c r="AM2438" s="1" t="str">
        <f>VLOOKUP(C:C,[1]基础信息!B$1:E$65536,4,0)</f>
        <v>Mxplus</v>
      </c>
      <c r="AN2438" s="1" t="str">
        <f>VLOOKUP(C:C,[1]基础信息!B$1:F$65536,5,0)</f>
        <v xml:space="preserve"> lime</v>
      </c>
    </row>
    <row r="2439" spans="1:40">
      <c r="A2439" s="1" t="s">
        <v>41</v>
      </c>
      <c r="B2439" s="1" t="s">
        <v>42</v>
      </c>
      <c r="C2439" s="1" t="s">
        <v>5254</v>
      </c>
      <c r="D2439" s="1" t="s">
        <v>5255</v>
      </c>
      <c r="E2439" s="1" t="s">
        <v>45</v>
      </c>
      <c r="F2439" s="1" t="s">
        <v>5261</v>
      </c>
      <c r="G2439" s="1" t="s">
        <v>5645</v>
      </c>
      <c r="H2439" s="1" t="s">
        <v>5646</v>
      </c>
      <c r="I2439" s="1" t="s">
        <v>49</v>
      </c>
      <c r="J2439" s="1" t="s">
        <v>48</v>
      </c>
      <c r="K2439" s="1">
        <v>2200</v>
      </c>
      <c r="L2439" s="1">
        <v>0</v>
      </c>
      <c r="M2439" s="1">
        <v>0</v>
      </c>
      <c r="N2439" s="1">
        <v>2200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 t="s">
        <v>49</v>
      </c>
      <c r="AA2439" s="1" t="s">
        <v>49</v>
      </c>
      <c r="AB2439" s="1" t="s">
        <v>49</v>
      </c>
      <c r="AC2439" s="1" t="s">
        <v>5228</v>
      </c>
      <c r="AD2439" s="1" t="s">
        <v>5229</v>
      </c>
      <c r="AE2439" s="1" t="s">
        <v>5230</v>
      </c>
      <c r="AF2439" s="1" t="s">
        <v>5264</v>
      </c>
      <c r="AG2439" s="1" t="s">
        <v>53</v>
      </c>
      <c r="AH2439" s="1" t="s">
        <v>49</v>
      </c>
      <c r="AI2439" s="1" t="s">
        <v>54</v>
      </c>
      <c r="AJ2439" s="1">
        <v>1</v>
      </c>
      <c r="AK2439" s="1" t="str">
        <f t="shared" si="38"/>
        <v xml:space="preserve"> =&lt;90</v>
      </c>
      <c r="AL2439" s="1" t="str">
        <f>VLOOKUP(C:C,[1]基础信息!B$1:D$65536,3,0)</f>
        <v xml:space="preserve">Cartridge </v>
      </c>
      <c r="AM2439" s="1" t="str">
        <f>VLOOKUP(C:C,[1]基础信息!B$1:E$65536,4,0)</f>
        <v>UNIV</v>
      </c>
      <c r="AN2439" s="1" t="str">
        <f>VLOOKUP(C:C,[1]基础信息!B$1:F$65536,5,0)</f>
        <v>P55</v>
      </c>
    </row>
    <row r="2440" spans="1:40">
      <c r="A2440" s="1" t="s">
        <v>41</v>
      </c>
      <c r="B2440" s="1" t="s">
        <v>42</v>
      </c>
      <c r="C2440" s="1" t="s">
        <v>5254</v>
      </c>
      <c r="D2440" s="1" t="s">
        <v>5255</v>
      </c>
      <c r="E2440" s="1" t="s">
        <v>45</v>
      </c>
      <c r="F2440" s="1" t="s">
        <v>5261</v>
      </c>
      <c r="G2440" s="1" t="s">
        <v>5647</v>
      </c>
      <c r="H2440" s="1" t="s">
        <v>5648</v>
      </c>
      <c r="I2440" s="1" t="s">
        <v>49</v>
      </c>
      <c r="J2440" s="1" t="s">
        <v>48</v>
      </c>
      <c r="K2440" s="1">
        <v>2200</v>
      </c>
      <c r="L2440" s="1">
        <v>0</v>
      </c>
      <c r="M2440" s="1">
        <v>0</v>
      </c>
      <c r="N2440" s="1">
        <v>2200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 t="s">
        <v>49</v>
      </c>
      <c r="AA2440" s="1" t="s">
        <v>49</v>
      </c>
      <c r="AB2440" s="1" t="s">
        <v>49</v>
      </c>
      <c r="AC2440" s="1" t="s">
        <v>5228</v>
      </c>
      <c r="AD2440" s="1" t="s">
        <v>5229</v>
      </c>
      <c r="AE2440" s="1" t="s">
        <v>5230</v>
      </c>
      <c r="AF2440" s="1" t="s">
        <v>5264</v>
      </c>
      <c r="AG2440" s="1" t="s">
        <v>53</v>
      </c>
      <c r="AH2440" s="1" t="s">
        <v>49</v>
      </c>
      <c r="AI2440" s="1" t="s">
        <v>54</v>
      </c>
      <c r="AJ2440" s="1">
        <v>1</v>
      </c>
      <c r="AK2440" s="1" t="str">
        <f t="shared" si="38"/>
        <v xml:space="preserve"> =&lt;90</v>
      </c>
      <c r="AL2440" s="1" t="str">
        <f>VLOOKUP(C:C,[1]基础信息!B$1:D$65536,3,0)</f>
        <v xml:space="preserve">Cartridge </v>
      </c>
      <c r="AM2440" s="1" t="str">
        <f>VLOOKUP(C:C,[1]基础信息!B$1:E$65536,4,0)</f>
        <v>UNIV</v>
      </c>
      <c r="AN2440" s="1" t="str">
        <f>VLOOKUP(C:C,[1]基础信息!B$1:F$65536,5,0)</f>
        <v>P55</v>
      </c>
    </row>
    <row r="2441" spans="1:40">
      <c r="A2441" s="1" t="s">
        <v>41</v>
      </c>
      <c r="B2441" s="1" t="s">
        <v>42</v>
      </c>
      <c r="C2441" s="1" t="s">
        <v>5254</v>
      </c>
      <c r="D2441" s="1" t="s">
        <v>5255</v>
      </c>
      <c r="E2441" s="1" t="s">
        <v>45</v>
      </c>
      <c r="F2441" s="1" t="s">
        <v>5261</v>
      </c>
      <c r="G2441" s="1" t="s">
        <v>5649</v>
      </c>
      <c r="H2441" s="1" t="s">
        <v>5650</v>
      </c>
      <c r="I2441" s="1" t="s">
        <v>49</v>
      </c>
      <c r="J2441" s="1" t="s">
        <v>48</v>
      </c>
      <c r="K2441" s="1">
        <v>2200</v>
      </c>
      <c r="L2441" s="1">
        <v>0</v>
      </c>
      <c r="M2441" s="1">
        <v>0</v>
      </c>
      <c r="N2441" s="1">
        <v>2200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 t="s">
        <v>49</v>
      </c>
      <c r="AA2441" s="1" t="s">
        <v>49</v>
      </c>
      <c r="AB2441" s="1" t="s">
        <v>49</v>
      </c>
      <c r="AC2441" s="1" t="s">
        <v>5228</v>
      </c>
      <c r="AD2441" s="1" t="s">
        <v>5229</v>
      </c>
      <c r="AE2441" s="1" t="s">
        <v>5230</v>
      </c>
      <c r="AF2441" s="1" t="s">
        <v>5264</v>
      </c>
      <c r="AG2441" s="1" t="s">
        <v>53</v>
      </c>
      <c r="AH2441" s="1" t="s">
        <v>49</v>
      </c>
      <c r="AI2441" s="1" t="s">
        <v>54</v>
      </c>
      <c r="AJ2441" s="1">
        <v>1</v>
      </c>
      <c r="AK2441" s="1" t="str">
        <f t="shared" si="38"/>
        <v xml:space="preserve"> =&lt;90</v>
      </c>
      <c r="AL2441" s="1" t="str">
        <f>VLOOKUP(C:C,[1]基础信息!B$1:D$65536,3,0)</f>
        <v xml:space="preserve">Cartridge </v>
      </c>
      <c r="AM2441" s="1" t="str">
        <f>VLOOKUP(C:C,[1]基础信息!B$1:E$65536,4,0)</f>
        <v>UNIV</v>
      </c>
      <c r="AN2441" s="1" t="str">
        <f>VLOOKUP(C:C,[1]基础信息!B$1:F$65536,5,0)</f>
        <v>P55</v>
      </c>
    </row>
    <row r="2442" spans="1:40">
      <c r="A2442" s="1" t="s">
        <v>41</v>
      </c>
      <c r="B2442" s="1" t="s">
        <v>42</v>
      </c>
      <c r="C2442" s="1" t="s">
        <v>5254</v>
      </c>
      <c r="D2442" s="1" t="s">
        <v>5255</v>
      </c>
      <c r="E2442" s="1" t="s">
        <v>45</v>
      </c>
      <c r="F2442" s="1" t="s">
        <v>5261</v>
      </c>
      <c r="G2442" s="1" t="s">
        <v>5651</v>
      </c>
      <c r="H2442" s="1" t="s">
        <v>5652</v>
      </c>
      <c r="I2442" s="1" t="s">
        <v>49</v>
      </c>
      <c r="J2442" s="1" t="s">
        <v>48</v>
      </c>
      <c r="K2442" s="1">
        <v>2200</v>
      </c>
      <c r="L2442" s="1">
        <v>0</v>
      </c>
      <c r="M2442" s="1">
        <v>0</v>
      </c>
      <c r="N2442" s="1">
        <v>2200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 t="s">
        <v>49</v>
      </c>
      <c r="AA2442" s="1" t="s">
        <v>49</v>
      </c>
      <c r="AB2442" s="1" t="s">
        <v>49</v>
      </c>
      <c r="AC2442" s="1" t="s">
        <v>5228</v>
      </c>
      <c r="AD2442" s="1" t="s">
        <v>5229</v>
      </c>
      <c r="AE2442" s="1" t="s">
        <v>5230</v>
      </c>
      <c r="AF2442" s="1" t="s">
        <v>5264</v>
      </c>
      <c r="AG2442" s="1" t="s">
        <v>53</v>
      </c>
      <c r="AH2442" s="1" t="s">
        <v>49</v>
      </c>
      <c r="AI2442" s="1" t="s">
        <v>54</v>
      </c>
      <c r="AJ2442" s="1">
        <v>1</v>
      </c>
      <c r="AK2442" s="1" t="str">
        <f t="shared" si="38"/>
        <v xml:space="preserve"> =&lt;90</v>
      </c>
      <c r="AL2442" s="1" t="str">
        <f>VLOOKUP(C:C,[1]基础信息!B$1:D$65536,3,0)</f>
        <v xml:space="preserve">Cartridge </v>
      </c>
      <c r="AM2442" s="1" t="str">
        <f>VLOOKUP(C:C,[1]基础信息!B$1:E$65536,4,0)</f>
        <v>UNIV</v>
      </c>
      <c r="AN2442" s="1" t="str">
        <f>VLOOKUP(C:C,[1]基础信息!B$1:F$65536,5,0)</f>
        <v>P55</v>
      </c>
    </row>
    <row r="2443" spans="1:40">
      <c r="A2443" s="1" t="s">
        <v>41</v>
      </c>
      <c r="B2443" s="1" t="s">
        <v>42</v>
      </c>
      <c r="C2443" s="1" t="s">
        <v>3971</v>
      </c>
      <c r="D2443" s="1" t="s">
        <v>3972</v>
      </c>
      <c r="E2443" s="1" t="s">
        <v>45</v>
      </c>
      <c r="F2443" s="1" t="s">
        <v>5606</v>
      </c>
      <c r="G2443" s="1" t="s">
        <v>5653</v>
      </c>
      <c r="H2443" s="1" t="s">
        <v>5654</v>
      </c>
      <c r="I2443" s="1" t="s">
        <v>49</v>
      </c>
      <c r="J2443" s="1" t="s">
        <v>48</v>
      </c>
      <c r="K2443" s="1">
        <v>96</v>
      </c>
      <c r="L2443" s="1">
        <v>0</v>
      </c>
      <c r="M2443" s="1">
        <v>0</v>
      </c>
      <c r="N2443" s="1">
        <v>96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 t="s">
        <v>49</v>
      </c>
      <c r="AA2443" s="1" t="s">
        <v>49</v>
      </c>
      <c r="AB2443" s="1" t="s">
        <v>49</v>
      </c>
      <c r="AC2443" s="1" t="s">
        <v>376</v>
      </c>
      <c r="AD2443" s="1" t="s">
        <v>377</v>
      </c>
      <c r="AE2443" s="1" t="s">
        <v>376</v>
      </c>
      <c r="AF2443" s="1" t="s">
        <v>5609</v>
      </c>
      <c r="AG2443" s="1" t="s">
        <v>53</v>
      </c>
      <c r="AH2443" s="1" t="s">
        <v>49</v>
      </c>
      <c r="AI2443" s="1" t="s">
        <v>54</v>
      </c>
      <c r="AJ2443" s="1">
        <v>1</v>
      </c>
      <c r="AK2443" s="1" t="str">
        <f t="shared" si="38"/>
        <v xml:space="preserve"> =&lt;90</v>
      </c>
      <c r="AL2443" s="1" t="str">
        <f>VLOOKUP(C:C,[1]基础信息!B$1:D$65536,3,0)</f>
        <v>Jug</v>
      </c>
      <c r="AM2443" s="1" t="str">
        <f>VLOOKUP(C:C,[1]基础信息!B$1:E$65536,4,0)</f>
        <v>Mxplus</v>
      </c>
      <c r="AN2443" s="1" t="str">
        <f>VLOOKUP(C:C,[1]基础信息!B$1:F$65536,5,0)</f>
        <v xml:space="preserve"> lime</v>
      </c>
    </row>
    <row r="2444" spans="1:40">
      <c r="A2444" s="1" t="s">
        <v>41</v>
      </c>
      <c r="B2444" s="1" t="s">
        <v>42</v>
      </c>
      <c r="C2444" s="1" t="s">
        <v>3971</v>
      </c>
      <c r="D2444" s="1" t="s">
        <v>3972</v>
      </c>
      <c r="E2444" s="1" t="s">
        <v>45</v>
      </c>
      <c r="F2444" s="1" t="s">
        <v>5380</v>
      </c>
      <c r="G2444" s="1" t="s">
        <v>5655</v>
      </c>
      <c r="H2444" s="1" t="s">
        <v>5656</v>
      </c>
      <c r="I2444" s="1" t="s">
        <v>49</v>
      </c>
      <c r="J2444" s="1" t="s">
        <v>48</v>
      </c>
      <c r="K2444" s="1">
        <v>96</v>
      </c>
      <c r="L2444" s="1">
        <v>0</v>
      </c>
      <c r="M2444" s="1">
        <v>0</v>
      </c>
      <c r="N2444" s="1">
        <v>96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 t="s">
        <v>49</v>
      </c>
      <c r="AA2444" s="1" t="s">
        <v>49</v>
      </c>
      <c r="AB2444" s="1" t="s">
        <v>49</v>
      </c>
      <c r="AC2444" s="1" t="s">
        <v>1408</v>
      </c>
      <c r="AD2444" s="1" t="s">
        <v>1409</v>
      </c>
      <c r="AE2444" s="1" t="s">
        <v>1408</v>
      </c>
      <c r="AF2444" s="1" t="s">
        <v>1172</v>
      </c>
      <c r="AG2444" s="1" t="s">
        <v>53</v>
      </c>
      <c r="AH2444" s="1" t="s">
        <v>49</v>
      </c>
      <c r="AI2444" s="1" t="s">
        <v>54</v>
      </c>
      <c r="AJ2444" s="1">
        <v>1</v>
      </c>
      <c r="AK2444" s="1" t="str">
        <f t="shared" si="38"/>
        <v xml:space="preserve"> =&lt;90</v>
      </c>
      <c r="AL2444" s="1" t="str">
        <f>VLOOKUP(C:C,[1]基础信息!B$1:D$65536,3,0)</f>
        <v>Jug</v>
      </c>
      <c r="AM2444" s="1" t="str">
        <f>VLOOKUP(C:C,[1]基础信息!B$1:E$65536,4,0)</f>
        <v>Mxplus</v>
      </c>
      <c r="AN2444" s="1" t="str">
        <f>VLOOKUP(C:C,[1]基础信息!B$1:F$65536,5,0)</f>
        <v xml:space="preserve"> lime</v>
      </c>
    </row>
    <row r="2445" spans="1:40">
      <c r="A2445" s="1" t="s">
        <v>41</v>
      </c>
      <c r="B2445" s="1" t="s">
        <v>42</v>
      </c>
      <c r="C2445" s="1" t="s">
        <v>4273</v>
      </c>
      <c r="D2445" s="1" t="s">
        <v>4274</v>
      </c>
      <c r="E2445" s="1" t="s">
        <v>45</v>
      </c>
      <c r="F2445" s="1" t="s">
        <v>5217</v>
      </c>
      <c r="G2445" s="1" t="s">
        <v>5657</v>
      </c>
      <c r="H2445" s="1" t="s">
        <v>5658</v>
      </c>
      <c r="I2445" s="1" t="s">
        <v>49</v>
      </c>
      <c r="J2445" s="1" t="s">
        <v>48</v>
      </c>
      <c r="K2445" s="1">
        <v>840</v>
      </c>
      <c r="L2445" s="1">
        <v>0</v>
      </c>
      <c r="M2445" s="1">
        <v>0</v>
      </c>
      <c r="N2445" s="1">
        <v>840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 t="s">
        <v>49</v>
      </c>
      <c r="AA2445" s="1" t="s">
        <v>49</v>
      </c>
      <c r="AB2445" s="1" t="s">
        <v>49</v>
      </c>
      <c r="AC2445" s="1" t="s">
        <v>5220</v>
      </c>
      <c r="AD2445" s="1" t="s">
        <v>5221</v>
      </c>
      <c r="AE2445" s="1" t="s">
        <v>5220</v>
      </c>
      <c r="AF2445" s="1" t="s">
        <v>5222</v>
      </c>
      <c r="AG2445" s="1" t="s">
        <v>53</v>
      </c>
      <c r="AH2445" s="1" t="s">
        <v>49</v>
      </c>
      <c r="AI2445" s="1" t="s">
        <v>54</v>
      </c>
      <c r="AJ2445" s="1">
        <v>1</v>
      </c>
      <c r="AK2445" s="1" t="str">
        <f t="shared" si="38"/>
        <v xml:space="preserve"> =&lt;90</v>
      </c>
      <c r="AL2445" s="1" t="e">
        <f>VLOOKUP(C:C,[1]基础信息!B$1:D$65536,3,0)</f>
        <v>#N/A</v>
      </c>
      <c r="AM2445" s="1" t="e">
        <f>VLOOKUP(C:C,[1]基础信息!B$1:E$65536,4,0)</f>
        <v>#N/A</v>
      </c>
      <c r="AN2445" s="1" t="e">
        <f>VLOOKUP(C:C,[1]基础信息!B$1:F$65536,5,0)</f>
        <v>#N/A</v>
      </c>
    </row>
    <row r="2446" spans="1:40">
      <c r="A2446" s="1" t="s">
        <v>41</v>
      </c>
      <c r="B2446" s="1" t="s">
        <v>42</v>
      </c>
      <c r="C2446" s="1" t="s">
        <v>4273</v>
      </c>
      <c r="D2446" s="1" t="s">
        <v>4274</v>
      </c>
      <c r="E2446" s="1" t="s">
        <v>45</v>
      </c>
      <c r="F2446" s="1" t="s">
        <v>5217</v>
      </c>
      <c r="G2446" s="1" t="s">
        <v>5659</v>
      </c>
      <c r="H2446" s="1" t="s">
        <v>5660</v>
      </c>
      <c r="I2446" s="1" t="s">
        <v>49</v>
      </c>
      <c r="J2446" s="1" t="s">
        <v>48</v>
      </c>
      <c r="K2446" s="1">
        <v>840</v>
      </c>
      <c r="L2446" s="1">
        <v>0</v>
      </c>
      <c r="M2446" s="1">
        <v>0</v>
      </c>
      <c r="N2446" s="1">
        <v>840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 t="s">
        <v>49</v>
      </c>
      <c r="AA2446" s="1" t="s">
        <v>49</v>
      </c>
      <c r="AB2446" s="1" t="s">
        <v>49</v>
      </c>
      <c r="AC2446" s="1" t="s">
        <v>5220</v>
      </c>
      <c r="AD2446" s="1" t="s">
        <v>5221</v>
      </c>
      <c r="AE2446" s="1" t="s">
        <v>5220</v>
      </c>
      <c r="AF2446" s="1" t="s">
        <v>5222</v>
      </c>
      <c r="AG2446" s="1" t="s">
        <v>53</v>
      </c>
      <c r="AH2446" s="1" t="s">
        <v>49</v>
      </c>
      <c r="AI2446" s="1" t="s">
        <v>54</v>
      </c>
      <c r="AJ2446" s="1">
        <v>1</v>
      </c>
      <c r="AK2446" s="1" t="str">
        <f t="shared" si="38"/>
        <v xml:space="preserve"> =&lt;90</v>
      </c>
      <c r="AL2446" s="1" t="e">
        <f>VLOOKUP(C:C,[1]基础信息!B$1:D$65536,3,0)</f>
        <v>#N/A</v>
      </c>
      <c r="AM2446" s="1" t="e">
        <f>VLOOKUP(C:C,[1]基础信息!B$1:E$65536,4,0)</f>
        <v>#N/A</v>
      </c>
      <c r="AN2446" s="1" t="e">
        <f>VLOOKUP(C:C,[1]基础信息!B$1:F$65536,5,0)</f>
        <v>#N/A</v>
      </c>
    </row>
    <row r="2447" spans="1:40">
      <c r="A2447" s="1" t="s">
        <v>41</v>
      </c>
      <c r="B2447" s="1" t="s">
        <v>42</v>
      </c>
      <c r="C2447" s="1" t="s">
        <v>4273</v>
      </c>
      <c r="D2447" s="1" t="s">
        <v>4274</v>
      </c>
      <c r="E2447" s="1" t="s">
        <v>45</v>
      </c>
      <c r="F2447" s="1" t="s">
        <v>5217</v>
      </c>
      <c r="G2447" s="1" t="s">
        <v>5661</v>
      </c>
      <c r="H2447" s="1" t="s">
        <v>5662</v>
      </c>
      <c r="I2447" s="1" t="s">
        <v>49</v>
      </c>
      <c r="J2447" s="1" t="s">
        <v>48</v>
      </c>
      <c r="K2447" s="1">
        <v>840</v>
      </c>
      <c r="L2447" s="1">
        <v>0</v>
      </c>
      <c r="M2447" s="1">
        <v>0</v>
      </c>
      <c r="N2447" s="1">
        <v>840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 t="s">
        <v>49</v>
      </c>
      <c r="AA2447" s="1" t="s">
        <v>49</v>
      </c>
      <c r="AB2447" s="1" t="s">
        <v>49</v>
      </c>
      <c r="AC2447" s="1" t="s">
        <v>5220</v>
      </c>
      <c r="AD2447" s="1" t="s">
        <v>5221</v>
      </c>
      <c r="AE2447" s="1" t="s">
        <v>5220</v>
      </c>
      <c r="AF2447" s="1" t="s">
        <v>5222</v>
      </c>
      <c r="AG2447" s="1" t="s">
        <v>53</v>
      </c>
      <c r="AH2447" s="1" t="s">
        <v>49</v>
      </c>
      <c r="AI2447" s="1" t="s">
        <v>54</v>
      </c>
      <c r="AJ2447" s="1">
        <v>1</v>
      </c>
      <c r="AK2447" s="1" t="str">
        <f t="shared" si="38"/>
        <v xml:space="preserve"> =&lt;90</v>
      </c>
      <c r="AL2447" s="1" t="e">
        <f>VLOOKUP(C:C,[1]基础信息!B$1:D$65536,3,0)</f>
        <v>#N/A</v>
      </c>
      <c r="AM2447" s="1" t="e">
        <f>VLOOKUP(C:C,[1]基础信息!B$1:E$65536,4,0)</f>
        <v>#N/A</v>
      </c>
      <c r="AN2447" s="1" t="e">
        <f>VLOOKUP(C:C,[1]基础信息!B$1:F$65536,5,0)</f>
        <v>#N/A</v>
      </c>
    </row>
    <row r="2448" spans="1:40">
      <c r="A2448" s="1" t="s">
        <v>41</v>
      </c>
      <c r="B2448" s="1" t="s">
        <v>42</v>
      </c>
      <c r="C2448" s="1" t="s">
        <v>3971</v>
      </c>
      <c r="D2448" s="1" t="s">
        <v>3972</v>
      </c>
      <c r="E2448" s="1" t="s">
        <v>45</v>
      </c>
      <c r="F2448" s="1" t="s">
        <v>5149</v>
      </c>
      <c r="G2448" s="1" t="s">
        <v>5663</v>
      </c>
      <c r="H2448" s="1" t="s">
        <v>5664</v>
      </c>
      <c r="I2448" s="1" t="s">
        <v>49</v>
      </c>
      <c r="J2448" s="1" t="s">
        <v>48</v>
      </c>
      <c r="K2448" s="1">
        <v>96</v>
      </c>
      <c r="L2448" s="1">
        <v>0</v>
      </c>
      <c r="M2448" s="1">
        <v>0</v>
      </c>
      <c r="N2448" s="1">
        <v>96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 t="s">
        <v>49</v>
      </c>
      <c r="AA2448" s="1" t="s">
        <v>49</v>
      </c>
      <c r="AB2448" s="1" t="s">
        <v>49</v>
      </c>
      <c r="AC2448" s="1" t="s">
        <v>88</v>
      </c>
      <c r="AD2448" s="1" t="s">
        <v>89</v>
      </c>
      <c r="AE2448" s="1" t="s">
        <v>88</v>
      </c>
      <c r="AF2448" s="1" t="s">
        <v>3349</v>
      </c>
      <c r="AG2448" s="1" t="s">
        <v>53</v>
      </c>
      <c r="AH2448" s="1" t="s">
        <v>49</v>
      </c>
      <c r="AI2448" s="1" t="s">
        <v>54</v>
      </c>
      <c r="AJ2448" s="1">
        <v>1</v>
      </c>
      <c r="AK2448" s="1" t="str">
        <f t="shared" si="38"/>
        <v xml:space="preserve"> =&lt;90</v>
      </c>
      <c r="AL2448" s="1" t="str">
        <f>VLOOKUP(C:C,[1]基础信息!B$1:D$65536,3,0)</f>
        <v>Jug</v>
      </c>
      <c r="AM2448" s="1" t="str">
        <f>VLOOKUP(C:C,[1]基础信息!B$1:E$65536,4,0)</f>
        <v>Mxplus</v>
      </c>
      <c r="AN2448" s="1" t="str">
        <f>VLOOKUP(C:C,[1]基础信息!B$1:F$65536,5,0)</f>
        <v xml:space="preserve"> lime</v>
      </c>
    </row>
    <row r="2449" spans="1:40">
      <c r="A2449" s="1" t="s">
        <v>41</v>
      </c>
      <c r="B2449" s="1" t="s">
        <v>42</v>
      </c>
      <c r="C2449" s="1" t="s">
        <v>3971</v>
      </c>
      <c r="D2449" s="1" t="s">
        <v>3972</v>
      </c>
      <c r="E2449" s="1" t="s">
        <v>45</v>
      </c>
      <c r="F2449" s="1" t="s">
        <v>5149</v>
      </c>
      <c r="G2449" s="1" t="s">
        <v>5665</v>
      </c>
      <c r="H2449" s="1" t="s">
        <v>5666</v>
      </c>
      <c r="I2449" s="1" t="s">
        <v>49</v>
      </c>
      <c r="J2449" s="1" t="s">
        <v>48</v>
      </c>
      <c r="K2449" s="1">
        <v>96</v>
      </c>
      <c r="L2449" s="1">
        <v>0</v>
      </c>
      <c r="M2449" s="1">
        <v>0</v>
      </c>
      <c r="N2449" s="1">
        <v>96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 t="s">
        <v>49</v>
      </c>
      <c r="AA2449" s="1" t="s">
        <v>49</v>
      </c>
      <c r="AB2449" s="1" t="s">
        <v>49</v>
      </c>
      <c r="AC2449" s="1" t="s">
        <v>88</v>
      </c>
      <c r="AD2449" s="1" t="s">
        <v>89</v>
      </c>
      <c r="AE2449" s="1" t="s">
        <v>88</v>
      </c>
      <c r="AF2449" s="1" t="s">
        <v>3349</v>
      </c>
      <c r="AG2449" s="1" t="s">
        <v>53</v>
      </c>
      <c r="AH2449" s="1" t="s">
        <v>49</v>
      </c>
      <c r="AI2449" s="1" t="s">
        <v>54</v>
      </c>
      <c r="AJ2449" s="1">
        <v>1</v>
      </c>
      <c r="AK2449" s="1" t="str">
        <f t="shared" si="38"/>
        <v xml:space="preserve"> =&lt;90</v>
      </c>
      <c r="AL2449" s="1" t="str">
        <f>VLOOKUP(C:C,[1]基础信息!B$1:D$65536,3,0)</f>
        <v>Jug</v>
      </c>
      <c r="AM2449" s="1" t="str">
        <f>VLOOKUP(C:C,[1]基础信息!B$1:E$65536,4,0)</f>
        <v>Mxplus</v>
      </c>
      <c r="AN2449" s="1" t="str">
        <f>VLOOKUP(C:C,[1]基础信息!B$1:F$65536,5,0)</f>
        <v xml:space="preserve"> lime</v>
      </c>
    </row>
    <row r="2450" spans="1:40">
      <c r="A2450" s="1" t="s">
        <v>41</v>
      </c>
      <c r="B2450" s="1" t="s">
        <v>42</v>
      </c>
      <c r="C2450" s="1" t="s">
        <v>3971</v>
      </c>
      <c r="D2450" s="1" t="s">
        <v>3972</v>
      </c>
      <c r="E2450" s="1" t="s">
        <v>45</v>
      </c>
      <c r="F2450" s="1" t="s">
        <v>5149</v>
      </c>
      <c r="G2450" s="1" t="s">
        <v>5667</v>
      </c>
      <c r="H2450" s="1" t="s">
        <v>5668</v>
      </c>
      <c r="I2450" s="1" t="s">
        <v>49</v>
      </c>
      <c r="J2450" s="1" t="s">
        <v>48</v>
      </c>
      <c r="K2450" s="1">
        <v>96</v>
      </c>
      <c r="L2450" s="1">
        <v>0</v>
      </c>
      <c r="M2450" s="1">
        <v>0</v>
      </c>
      <c r="N2450" s="1">
        <v>96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 t="s">
        <v>49</v>
      </c>
      <c r="AA2450" s="1" t="s">
        <v>49</v>
      </c>
      <c r="AB2450" s="1" t="s">
        <v>49</v>
      </c>
      <c r="AC2450" s="1" t="s">
        <v>88</v>
      </c>
      <c r="AD2450" s="1" t="s">
        <v>89</v>
      </c>
      <c r="AE2450" s="1" t="s">
        <v>88</v>
      </c>
      <c r="AF2450" s="1" t="s">
        <v>3349</v>
      </c>
      <c r="AG2450" s="1" t="s">
        <v>53</v>
      </c>
      <c r="AH2450" s="1" t="s">
        <v>49</v>
      </c>
      <c r="AI2450" s="1" t="s">
        <v>54</v>
      </c>
      <c r="AJ2450" s="1">
        <v>1</v>
      </c>
      <c r="AK2450" s="1" t="str">
        <f t="shared" si="38"/>
        <v xml:space="preserve"> =&lt;90</v>
      </c>
      <c r="AL2450" s="1" t="str">
        <f>VLOOKUP(C:C,[1]基础信息!B$1:D$65536,3,0)</f>
        <v>Jug</v>
      </c>
      <c r="AM2450" s="1" t="str">
        <f>VLOOKUP(C:C,[1]基础信息!B$1:E$65536,4,0)</f>
        <v>Mxplus</v>
      </c>
      <c r="AN2450" s="1" t="str">
        <f>VLOOKUP(C:C,[1]基础信息!B$1:F$65536,5,0)</f>
        <v xml:space="preserve"> lime</v>
      </c>
    </row>
    <row r="2451" spans="1:40">
      <c r="A2451" s="1" t="s">
        <v>41</v>
      </c>
      <c r="B2451" s="1" t="s">
        <v>42</v>
      </c>
      <c r="C2451" s="1" t="s">
        <v>4273</v>
      </c>
      <c r="D2451" s="1" t="s">
        <v>4274</v>
      </c>
      <c r="E2451" s="1" t="s">
        <v>45</v>
      </c>
      <c r="F2451" s="1" t="s">
        <v>5217</v>
      </c>
      <c r="G2451" s="1" t="s">
        <v>5669</v>
      </c>
      <c r="H2451" s="1" t="s">
        <v>5670</v>
      </c>
      <c r="I2451" s="1" t="s">
        <v>49</v>
      </c>
      <c r="J2451" s="1" t="s">
        <v>48</v>
      </c>
      <c r="K2451" s="1">
        <v>840</v>
      </c>
      <c r="L2451" s="1">
        <v>0</v>
      </c>
      <c r="M2451" s="1">
        <v>0</v>
      </c>
      <c r="N2451" s="1">
        <v>840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 t="s">
        <v>49</v>
      </c>
      <c r="AA2451" s="1" t="s">
        <v>49</v>
      </c>
      <c r="AB2451" s="1" t="s">
        <v>49</v>
      </c>
      <c r="AC2451" s="1" t="s">
        <v>5220</v>
      </c>
      <c r="AD2451" s="1" t="s">
        <v>5221</v>
      </c>
      <c r="AE2451" s="1" t="s">
        <v>5220</v>
      </c>
      <c r="AF2451" s="1" t="s">
        <v>5222</v>
      </c>
      <c r="AG2451" s="1" t="s">
        <v>53</v>
      </c>
      <c r="AH2451" s="1" t="s">
        <v>49</v>
      </c>
      <c r="AI2451" s="1" t="s">
        <v>54</v>
      </c>
      <c r="AJ2451" s="1">
        <v>1</v>
      </c>
      <c r="AK2451" s="1" t="str">
        <f t="shared" si="38"/>
        <v xml:space="preserve"> =&lt;90</v>
      </c>
      <c r="AL2451" s="1" t="e">
        <f>VLOOKUP(C:C,[1]基础信息!B$1:D$65536,3,0)</f>
        <v>#N/A</v>
      </c>
      <c r="AM2451" s="1" t="e">
        <f>VLOOKUP(C:C,[1]基础信息!B$1:E$65536,4,0)</f>
        <v>#N/A</v>
      </c>
      <c r="AN2451" s="1" t="e">
        <f>VLOOKUP(C:C,[1]基础信息!B$1:F$65536,5,0)</f>
        <v>#N/A</v>
      </c>
    </row>
    <row r="2452" spans="1:40">
      <c r="A2452" s="1" t="s">
        <v>41</v>
      </c>
      <c r="B2452" s="1" t="s">
        <v>42</v>
      </c>
      <c r="C2452" s="1" t="s">
        <v>4273</v>
      </c>
      <c r="D2452" s="1" t="s">
        <v>4274</v>
      </c>
      <c r="E2452" s="1" t="s">
        <v>45</v>
      </c>
      <c r="F2452" s="1" t="s">
        <v>5217</v>
      </c>
      <c r="G2452" s="1" t="s">
        <v>5671</v>
      </c>
      <c r="H2452" s="1" t="s">
        <v>5672</v>
      </c>
      <c r="I2452" s="1" t="s">
        <v>49</v>
      </c>
      <c r="J2452" s="1" t="s">
        <v>48</v>
      </c>
      <c r="K2452" s="1">
        <v>840</v>
      </c>
      <c r="L2452" s="1">
        <v>0</v>
      </c>
      <c r="M2452" s="1">
        <v>0</v>
      </c>
      <c r="N2452" s="1">
        <v>840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 t="s">
        <v>49</v>
      </c>
      <c r="AA2452" s="1" t="s">
        <v>49</v>
      </c>
      <c r="AB2452" s="1" t="s">
        <v>49</v>
      </c>
      <c r="AC2452" s="1" t="s">
        <v>5220</v>
      </c>
      <c r="AD2452" s="1" t="s">
        <v>5221</v>
      </c>
      <c r="AE2452" s="1" t="s">
        <v>5220</v>
      </c>
      <c r="AF2452" s="1" t="s">
        <v>5222</v>
      </c>
      <c r="AG2452" s="1" t="s">
        <v>53</v>
      </c>
      <c r="AH2452" s="1" t="s">
        <v>49</v>
      </c>
      <c r="AI2452" s="1" t="s">
        <v>54</v>
      </c>
      <c r="AJ2452" s="1">
        <v>1</v>
      </c>
      <c r="AK2452" s="1" t="str">
        <f t="shared" si="38"/>
        <v xml:space="preserve"> =&lt;90</v>
      </c>
      <c r="AL2452" s="1" t="e">
        <f>VLOOKUP(C:C,[1]基础信息!B$1:D$65536,3,0)</f>
        <v>#N/A</v>
      </c>
      <c r="AM2452" s="1" t="e">
        <f>VLOOKUP(C:C,[1]基础信息!B$1:E$65536,4,0)</f>
        <v>#N/A</v>
      </c>
      <c r="AN2452" s="1" t="e">
        <f>VLOOKUP(C:C,[1]基础信息!B$1:F$65536,5,0)</f>
        <v>#N/A</v>
      </c>
    </row>
    <row r="2453" spans="1:40">
      <c r="A2453" s="1" t="s">
        <v>41</v>
      </c>
      <c r="B2453" s="1" t="s">
        <v>42</v>
      </c>
      <c r="C2453" s="1" t="s">
        <v>3971</v>
      </c>
      <c r="D2453" s="1" t="s">
        <v>3972</v>
      </c>
      <c r="E2453" s="1" t="s">
        <v>45</v>
      </c>
      <c r="F2453" s="1" t="s">
        <v>5149</v>
      </c>
      <c r="G2453" s="1" t="s">
        <v>5673</v>
      </c>
      <c r="H2453" s="1" t="s">
        <v>5674</v>
      </c>
      <c r="I2453" s="1" t="s">
        <v>49</v>
      </c>
      <c r="J2453" s="1" t="s">
        <v>48</v>
      </c>
      <c r="K2453" s="1">
        <v>96</v>
      </c>
      <c r="L2453" s="1">
        <v>0</v>
      </c>
      <c r="M2453" s="1">
        <v>0</v>
      </c>
      <c r="N2453" s="1">
        <v>96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 t="s">
        <v>49</v>
      </c>
      <c r="AA2453" s="1" t="s">
        <v>49</v>
      </c>
      <c r="AB2453" s="1" t="s">
        <v>49</v>
      </c>
      <c r="AC2453" s="1" t="s">
        <v>88</v>
      </c>
      <c r="AD2453" s="1" t="s">
        <v>89</v>
      </c>
      <c r="AE2453" s="1" t="s">
        <v>88</v>
      </c>
      <c r="AF2453" s="1" t="s">
        <v>3349</v>
      </c>
      <c r="AG2453" s="1" t="s">
        <v>53</v>
      </c>
      <c r="AH2453" s="1" t="s">
        <v>49</v>
      </c>
      <c r="AI2453" s="1" t="s">
        <v>54</v>
      </c>
      <c r="AJ2453" s="1">
        <v>1</v>
      </c>
      <c r="AK2453" s="1" t="str">
        <f t="shared" si="38"/>
        <v xml:space="preserve"> =&lt;90</v>
      </c>
      <c r="AL2453" s="1" t="str">
        <f>VLOOKUP(C:C,[1]基础信息!B$1:D$65536,3,0)</f>
        <v>Jug</v>
      </c>
      <c r="AM2453" s="1" t="str">
        <f>VLOOKUP(C:C,[1]基础信息!B$1:E$65536,4,0)</f>
        <v>Mxplus</v>
      </c>
      <c r="AN2453" s="1" t="str">
        <f>VLOOKUP(C:C,[1]基础信息!B$1:F$65536,5,0)</f>
        <v xml:space="preserve"> lime</v>
      </c>
    </row>
    <row r="2454" spans="1:40">
      <c r="A2454" s="1" t="s">
        <v>41</v>
      </c>
      <c r="B2454" s="1" t="s">
        <v>42</v>
      </c>
      <c r="C2454" s="1" t="s">
        <v>4352</v>
      </c>
      <c r="D2454" s="1" t="s">
        <v>4353</v>
      </c>
      <c r="E2454" s="1" t="s">
        <v>45</v>
      </c>
      <c r="F2454" s="1" t="s">
        <v>5614</v>
      </c>
      <c r="G2454" s="1" t="s">
        <v>5675</v>
      </c>
      <c r="H2454" s="1" t="s">
        <v>5676</v>
      </c>
      <c r="I2454" s="1" t="s">
        <v>49</v>
      </c>
      <c r="J2454" s="1" t="s">
        <v>48</v>
      </c>
      <c r="K2454" s="1">
        <v>336</v>
      </c>
      <c r="L2454" s="1">
        <v>0</v>
      </c>
      <c r="M2454" s="1">
        <v>0</v>
      </c>
      <c r="N2454" s="1">
        <v>336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 t="s">
        <v>49</v>
      </c>
      <c r="AA2454" s="1" t="s">
        <v>49</v>
      </c>
      <c r="AB2454" s="1" t="s">
        <v>49</v>
      </c>
      <c r="AC2454" s="1" t="s">
        <v>5184</v>
      </c>
      <c r="AD2454" s="1" t="s">
        <v>5185</v>
      </c>
      <c r="AE2454" s="1" t="s">
        <v>5462</v>
      </c>
      <c r="AF2454" s="1" t="s">
        <v>5186</v>
      </c>
      <c r="AG2454" s="1" t="s">
        <v>53</v>
      </c>
      <c r="AH2454" s="1" t="s">
        <v>49</v>
      </c>
      <c r="AI2454" s="1" t="s">
        <v>54</v>
      </c>
      <c r="AJ2454" s="1">
        <v>1</v>
      </c>
      <c r="AK2454" s="1" t="str">
        <f t="shared" si="38"/>
        <v xml:space="preserve"> =&lt;90</v>
      </c>
      <c r="AL2454" s="1" t="e">
        <f>VLOOKUP(C:C,[1]基础信息!B$1:D$65536,3,0)</f>
        <v>#N/A</v>
      </c>
      <c r="AM2454" s="1" t="e">
        <f>VLOOKUP(C:C,[1]基础信息!B$1:E$65536,4,0)</f>
        <v>#N/A</v>
      </c>
      <c r="AN2454" s="1" t="e">
        <f>VLOOKUP(C:C,[1]基础信息!B$1:F$65536,5,0)</f>
        <v>#N/A</v>
      </c>
    </row>
    <row r="2455" spans="1:40">
      <c r="A2455" s="1" t="s">
        <v>41</v>
      </c>
      <c r="B2455" s="1" t="s">
        <v>42</v>
      </c>
      <c r="C2455" s="1" t="s">
        <v>4273</v>
      </c>
      <c r="D2455" s="1" t="s">
        <v>4274</v>
      </c>
      <c r="E2455" s="1" t="s">
        <v>45</v>
      </c>
      <c r="F2455" s="1" t="s">
        <v>5523</v>
      </c>
      <c r="G2455" s="1" t="s">
        <v>5677</v>
      </c>
      <c r="H2455" s="1" t="s">
        <v>5678</v>
      </c>
      <c r="I2455" s="1" t="s">
        <v>49</v>
      </c>
      <c r="J2455" s="1" t="s">
        <v>48</v>
      </c>
      <c r="K2455" s="1">
        <v>840</v>
      </c>
      <c r="L2455" s="1">
        <v>0</v>
      </c>
      <c r="M2455" s="1">
        <v>0</v>
      </c>
      <c r="N2455" s="1">
        <v>840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 t="s">
        <v>49</v>
      </c>
      <c r="AA2455" s="1" t="s">
        <v>49</v>
      </c>
      <c r="AB2455" s="1" t="s">
        <v>49</v>
      </c>
      <c r="AC2455" s="1" t="s">
        <v>470</v>
      </c>
      <c r="AD2455" s="1" t="s">
        <v>471</v>
      </c>
      <c r="AE2455" s="1" t="s">
        <v>470</v>
      </c>
      <c r="AF2455" s="1" t="s">
        <v>5526</v>
      </c>
      <c r="AG2455" s="1" t="s">
        <v>53</v>
      </c>
      <c r="AH2455" s="1" t="s">
        <v>49</v>
      </c>
      <c r="AI2455" s="1" t="s">
        <v>54</v>
      </c>
      <c r="AJ2455" s="1">
        <v>1</v>
      </c>
      <c r="AK2455" s="1" t="str">
        <f t="shared" si="38"/>
        <v xml:space="preserve"> =&lt;90</v>
      </c>
      <c r="AL2455" s="1" t="e">
        <f>VLOOKUP(C:C,[1]基础信息!B$1:D$65536,3,0)</f>
        <v>#N/A</v>
      </c>
      <c r="AM2455" s="1" t="e">
        <f>VLOOKUP(C:C,[1]基础信息!B$1:E$65536,4,0)</f>
        <v>#N/A</v>
      </c>
      <c r="AN2455" s="1" t="e">
        <f>VLOOKUP(C:C,[1]基础信息!B$1:F$65536,5,0)</f>
        <v>#N/A</v>
      </c>
    </row>
    <row r="2456" spans="1:40">
      <c r="A2456" s="1" t="s">
        <v>41</v>
      </c>
      <c r="B2456" s="1" t="s">
        <v>42</v>
      </c>
      <c r="C2456" s="1" t="s">
        <v>3971</v>
      </c>
      <c r="D2456" s="1" t="s">
        <v>3972</v>
      </c>
      <c r="E2456" s="1" t="s">
        <v>45</v>
      </c>
      <c r="F2456" s="1" t="s">
        <v>5606</v>
      </c>
      <c r="G2456" s="1" t="s">
        <v>5679</v>
      </c>
      <c r="H2456" s="1" t="s">
        <v>5680</v>
      </c>
      <c r="I2456" s="1" t="s">
        <v>49</v>
      </c>
      <c r="J2456" s="1" t="s">
        <v>48</v>
      </c>
      <c r="K2456" s="1">
        <v>96</v>
      </c>
      <c r="L2456" s="1">
        <v>0</v>
      </c>
      <c r="M2456" s="1">
        <v>0</v>
      </c>
      <c r="N2456" s="1">
        <v>96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 t="s">
        <v>49</v>
      </c>
      <c r="AA2456" s="1" t="s">
        <v>49</v>
      </c>
      <c r="AB2456" s="1" t="s">
        <v>49</v>
      </c>
      <c r="AC2456" s="1" t="s">
        <v>376</v>
      </c>
      <c r="AD2456" s="1" t="s">
        <v>377</v>
      </c>
      <c r="AE2456" s="1" t="s">
        <v>376</v>
      </c>
      <c r="AF2456" s="1" t="s">
        <v>5609</v>
      </c>
      <c r="AG2456" s="1" t="s">
        <v>53</v>
      </c>
      <c r="AH2456" s="1" t="s">
        <v>49</v>
      </c>
      <c r="AI2456" s="1" t="s">
        <v>54</v>
      </c>
      <c r="AJ2456" s="1">
        <v>1</v>
      </c>
      <c r="AK2456" s="1" t="str">
        <f t="shared" si="38"/>
        <v xml:space="preserve"> =&lt;90</v>
      </c>
      <c r="AL2456" s="1" t="str">
        <f>VLOOKUP(C:C,[1]基础信息!B$1:D$65536,3,0)</f>
        <v>Jug</v>
      </c>
      <c r="AM2456" s="1" t="str">
        <f>VLOOKUP(C:C,[1]基础信息!B$1:E$65536,4,0)</f>
        <v>Mxplus</v>
      </c>
      <c r="AN2456" s="1" t="str">
        <f>VLOOKUP(C:C,[1]基础信息!B$1:F$65536,5,0)</f>
        <v xml:space="preserve"> lime</v>
      </c>
    </row>
    <row r="2457" spans="1:40">
      <c r="A2457" s="1" t="s">
        <v>41</v>
      </c>
      <c r="B2457" s="1" t="s">
        <v>42</v>
      </c>
      <c r="C2457" s="1" t="s">
        <v>3971</v>
      </c>
      <c r="D2457" s="1" t="s">
        <v>3972</v>
      </c>
      <c r="E2457" s="1" t="s">
        <v>45</v>
      </c>
      <c r="F2457" s="1" t="s">
        <v>5606</v>
      </c>
      <c r="G2457" s="1" t="s">
        <v>5681</v>
      </c>
      <c r="H2457" s="1" t="s">
        <v>5682</v>
      </c>
      <c r="I2457" s="1" t="s">
        <v>49</v>
      </c>
      <c r="J2457" s="1" t="s">
        <v>48</v>
      </c>
      <c r="K2457" s="1">
        <v>96</v>
      </c>
      <c r="L2457" s="1">
        <v>0</v>
      </c>
      <c r="M2457" s="1">
        <v>0</v>
      </c>
      <c r="N2457" s="1">
        <v>96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 t="s">
        <v>49</v>
      </c>
      <c r="AA2457" s="1" t="s">
        <v>49</v>
      </c>
      <c r="AB2457" s="1" t="s">
        <v>49</v>
      </c>
      <c r="AC2457" s="1" t="s">
        <v>376</v>
      </c>
      <c r="AD2457" s="1" t="s">
        <v>377</v>
      </c>
      <c r="AE2457" s="1" t="s">
        <v>376</v>
      </c>
      <c r="AF2457" s="1" t="s">
        <v>5609</v>
      </c>
      <c r="AG2457" s="1" t="s">
        <v>53</v>
      </c>
      <c r="AH2457" s="1" t="s">
        <v>49</v>
      </c>
      <c r="AI2457" s="1" t="s">
        <v>54</v>
      </c>
      <c r="AJ2457" s="1">
        <v>1</v>
      </c>
      <c r="AK2457" s="1" t="str">
        <f t="shared" si="38"/>
        <v xml:space="preserve"> =&lt;90</v>
      </c>
      <c r="AL2457" s="1" t="str">
        <f>VLOOKUP(C:C,[1]基础信息!B$1:D$65536,3,0)</f>
        <v>Jug</v>
      </c>
      <c r="AM2457" s="1" t="str">
        <f>VLOOKUP(C:C,[1]基础信息!B$1:E$65536,4,0)</f>
        <v>Mxplus</v>
      </c>
      <c r="AN2457" s="1" t="str">
        <f>VLOOKUP(C:C,[1]基础信息!B$1:F$65536,5,0)</f>
        <v xml:space="preserve"> lime</v>
      </c>
    </row>
    <row r="2458" spans="1:40">
      <c r="A2458" s="1" t="s">
        <v>41</v>
      </c>
      <c r="B2458" s="1" t="s">
        <v>42</v>
      </c>
      <c r="C2458" s="1" t="s">
        <v>3971</v>
      </c>
      <c r="D2458" s="1" t="s">
        <v>3972</v>
      </c>
      <c r="E2458" s="1" t="s">
        <v>45</v>
      </c>
      <c r="F2458" s="1" t="s">
        <v>5149</v>
      </c>
      <c r="G2458" s="1" t="s">
        <v>5683</v>
      </c>
      <c r="H2458" s="1" t="s">
        <v>5684</v>
      </c>
      <c r="I2458" s="1" t="s">
        <v>49</v>
      </c>
      <c r="J2458" s="1" t="s">
        <v>48</v>
      </c>
      <c r="K2458" s="1">
        <v>96</v>
      </c>
      <c r="L2458" s="1">
        <v>0</v>
      </c>
      <c r="M2458" s="1">
        <v>0</v>
      </c>
      <c r="N2458" s="1">
        <v>96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 t="s">
        <v>49</v>
      </c>
      <c r="AA2458" s="1" t="s">
        <v>49</v>
      </c>
      <c r="AB2458" s="1" t="s">
        <v>49</v>
      </c>
      <c r="AC2458" s="1" t="s">
        <v>88</v>
      </c>
      <c r="AD2458" s="1" t="s">
        <v>89</v>
      </c>
      <c r="AE2458" s="1" t="s">
        <v>88</v>
      </c>
      <c r="AF2458" s="1" t="s">
        <v>3349</v>
      </c>
      <c r="AG2458" s="1" t="s">
        <v>53</v>
      </c>
      <c r="AH2458" s="1" t="s">
        <v>49</v>
      </c>
      <c r="AI2458" s="1" t="s">
        <v>54</v>
      </c>
      <c r="AJ2458" s="1">
        <v>1</v>
      </c>
      <c r="AK2458" s="1" t="str">
        <f t="shared" si="38"/>
        <v xml:space="preserve"> =&lt;90</v>
      </c>
      <c r="AL2458" s="1" t="str">
        <f>VLOOKUP(C:C,[1]基础信息!B$1:D$65536,3,0)</f>
        <v>Jug</v>
      </c>
      <c r="AM2458" s="1" t="str">
        <f>VLOOKUP(C:C,[1]基础信息!B$1:E$65536,4,0)</f>
        <v>Mxplus</v>
      </c>
      <c r="AN2458" s="1" t="str">
        <f>VLOOKUP(C:C,[1]基础信息!B$1:F$65536,5,0)</f>
        <v xml:space="preserve"> lime</v>
      </c>
    </row>
    <row r="2459" spans="1:40">
      <c r="A2459" s="1" t="s">
        <v>41</v>
      </c>
      <c r="B2459" s="1" t="s">
        <v>42</v>
      </c>
      <c r="C2459" s="1" t="s">
        <v>3971</v>
      </c>
      <c r="D2459" s="1" t="s">
        <v>3972</v>
      </c>
      <c r="E2459" s="1" t="s">
        <v>45</v>
      </c>
      <c r="F2459" s="1" t="s">
        <v>5149</v>
      </c>
      <c r="G2459" s="1" t="s">
        <v>5685</v>
      </c>
      <c r="H2459" s="1" t="s">
        <v>5686</v>
      </c>
      <c r="I2459" s="1" t="s">
        <v>49</v>
      </c>
      <c r="J2459" s="1" t="s">
        <v>48</v>
      </c>
      <c r="K2459" s="1">
        <v>96</v>
      </c>
      <c r="L2459" s="1">
        <v>0</v>
      </c>
      <c r="M2459" s="1">
        <v>0</v>
      </c>
      <c r="N2459" s="1">
        <v>96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 t="s">
        <v>49</v>
      </c>
      <c r="AA2459" s="1" t="s">
        <v>49</v>
      </c>
      <c r="AB2459" s="1" t="s">
        <v>49</v>
      </c>
      <c r="AC2459" s="1" t="s">
        <v>88</v>
      </c>
      <c r="AD2459" s="1" t="s">
        <v>89</v>
      </c>
      <c r="AE2459" s="1" t="s">
        <v>88</v>
      </c>
      <c r="AF2459" s="1" t="s">
        <v>3349</v>
      </c>
      <c r="AG2459" s="1" t="s">
        <v>53</v>
      </c>
      <c r="AH2459" s="1" t="s">
        <v>49</v>
      </c>
      <c r="AI2459" s="1" t="s">
        <v>54</v>
      </c>
      <c r="AJ2459" s="1">
        <v>1</v>
      </c>
      <c r="AK2459" s="1" t="str">
        <f t="shared" si="38"/>
        <v xml:space="preserve"> =&lt;90</v>
      </c>
      <c r="AL2459" s="1" t="str">
        <f>VLOOKUP(C:C,[1]基础信息!B$1:D$65536,3,0)</f>
        <v>Jug</v>
      </c>
      <c r="AM2459" s="1" t="str">
        <f>VLOOKUP(C:C,[1]基础信息!B$1:E$65536,4,0)</f>
        <v>Mxplus</v>
      </c>
      <c r="AN2459" s="1" t="str">
        <f>VLOOKUP(C:C,[1]基础信息!B$1:F$65536,5,0)</f>
        <v xml:space="preserve"> lime</v>
      </c>
    </row>
    <row r="2460" spans="1:40">
      <c r="A2460" s="1" t="s">
        <v>41</v>
      </c>
      <c r="B2460" s="1" t="s">
        <v>42</v>
      </c>
      <c r="C2460" s="1" t="s">
        <v>3971</v>
      </c>
      <c r="D2460" s="1" t="s">
        <v>3972</v>
      </c>
      <c r="E2460" s="1" t="s">
        <v>45</v>
      </c>
      <c r="F2460" s="1" t="s">
        <v>5149</v>
      </c>
      <c r="G2460" s="1" t="s">
        <v>5687</v>
      </c>
      <c r="H2460" s="1" t="s">
        <v>5688</v>
      </c>
      <c r="I2460" s="1" t="s">
        <v>49</v>
      </c>
      <c r="J2460" s="1" t="s">
        <v>48</v>
      </c>
      <c r="K2460" s="1">
        <v>96</v>
      </c>
      <c r="L2460" s="1">
        <v>0</v>
      </c>
      <c r="M2460" s="1">
        <v>0</v>
      </c>
      <c r="N2460" s="1">
        <v>96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 t="s">
        <v>49</v>
      </c>
      <c r="AA2460" s="1" t="s">
        <v>49</v>
      </c>
      <c r="AB2460" s="1" t="s">
        <v>49</v>
      </c>
      <c r="AC2460" s="1" t="s">
        <v>88</v>
      </c>
      <c r="AD2460" s="1" t="s">
        <v>89</v>
      </c>
      <c r="AE2460" s="1" t="s">
        <v>88</v>
      </c>
      <c r="AF2460" s="1" t="s">
        <v>3349</v>
      </c>
      <c r="AG2460" s="1" t="s">
        <v>53</v>
      </c>
      <c r="AH2460" s="1" t="s">
        <v>49</v>
      </c>
      <c r="AI2460" s="1" t="s">
        <v>54</v>
      </c>
      <c r="AJ2460" s="1">
        <v>1</v>
      </c>
      <c r="AK2460" s="1" t="str">
        <f t="shared" si="38"/>
        <v xml:space="preserve"> =&lt;90</v>
      </c>
      <c r="AL2460" s="1" t="str">
        <f>VLOOKUP(C:C,[1]基础信息!B$1:D$65536,3,0)</f>
        <v>Jug</v>
      </c>
      <c r="AM2460" s="1" t="str">
        <f>VLOOKUP(C:C,[1]基础信息!B$1:E$65536,4,0)</f>
        <v>Mxplus</v>
      </c>
      <c r="AN2460" s="1" t="str">
        <f>VLOOKUP(C:C,[1]基础信息!B$1:F$65536,5,0)</f>
        <v xml:space="preserve"> lime</v>
      </c>
    </row>
    <row r="2461" spans="1:40">
      <c r="A2461" s="1" t="s">
        <v>41</v>
      </c>
      <c r="B2461" s="1" t="s">
        <v>42</v>
      </c>
      <c r="C2461" s="1" t="s">
        <v>3971</v>
      </c>
      <c r="D2461" s="1" t="s">
        <v>3972</v>
      </c>
      <c r="E2461" s="1" t="s">
        <v>45</v>
      </c>
      <c r="F2461" s="1" t="s">
        <v>5149</v>
      </c>
      <c r="G2461" s="1" t="s">
        <v>5689</v>
      </c>
      <c r="H2461" s="1" t="s">
        <v>5690</v>
      </c>
      <c r="I2461" s="1" t="s">
        <v>49</v>
      </c>
      <c r="J2461" s="1" t="s">
        <v>48</v>
      </c>
      <c r="K2461" s="1">
        <v>96</v>
      </c>
      <c r="L2461" s="1">
        <v>0</v>
      </c>
      <c r="M2461" s="1">
        <v>0</v>
      </c>
      <c r="N2461" s="1">
        <v>96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 t="s">
        <v>49</v>
      </c>
      <c r="AA2461" s="1" t="s">
        <v>49</v>
      </c>
      <c r="AB2461" s="1" t="s">
        <v>49</v>
      </c>
      <c r="AC2461" s="1" t="s">
        <v>88</v>
      </c>
      <c r="AD2461" s="1" t="s">
        <v>89</v>
      </c>
      <c r="AE2461" s="1" t="s">
        <v>88</v>
      </c>
      <c r="AF2461" s="1" t="s">
        <v>3349</v>
      </c>
      <c r="AG2461" s="1" t="s">
        <v>53</v>
      </c>
      <c r="AH2461" s="1" t="s">
        <v>49</v>
      </c>
      <c r="AI2461" s="1" t="s">
        <v>54</v>
      </c>
      <c r="AJ2461" s="1">
        <v>1</v>
      </c>
      <c r="AK2461" s="1" t="str">
        <f t="shared" si="38"/>
        <v xml:space="preserve"> =&lt;90</v>
      </c>
      <c r="AL2461" s="1" t="str">
        <f>VLOOKUP(C:C,[1]基础信息!B$1:D$65536,3,0)</f>
        <v>Jug</v>
      </c>
      <c r="AM2461" s="1" t="str">
        <f>VLOOKUP(C:C,[1]基础信息!B$1:E$65536,4,0)</f>
        <v>Mxplus</v>
      </c>
      <c r="AN2461" s="1" t="str">
        <f>VLOOKUP(C:C,[1]基础信息!B$1:F$65536,5,0)</f>
        <v xml:space="preserve"> lime</v>
      </c>
    </row>
    <row r="2462" spans="1:40">
      <c r="A2462" s="1" t="s">
        <v>41</v>
      </c>
      <c r="B2462" s="1" t="s">
        <v>42</v>
      </c>
      <c r="C2462" s="1" t="s">
        <v>3971</v>
      </c>
      <c r="D2462" s="1" t="s">
        <v>3972</v>
      </c>
      <c r="E2462" s="1" t="s">
        <v>45</v>
      </c>
      <c r="F2462" s="1" t="s">
        <v>5149</v>
      </c>
      <c r="G2462" s="1" t="s">
        <v>5691</v>
      </c>
      <c r="H2462" s="1" t="s">
        <v>5692</v>
      </c>
      <c r="I2462" s="1" t="s">
        <v>49</v>
      </c>
      <c r="J2462" s="1" t="s">
        <v>48</v>
      </c>
      <c r="K2462" s="1">
        <v>56</v>
      </c>
      <c r="L2462" s="1">
        <v>0</v>
      </c>
      <c r="M2462" s="1">
        <v>0</v>
      </c>
      <c r="N2462" s="1">
        <v>56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 t="s">
        <v>49</v>
      </c>
      <c r="AA2462" s="1" t="s">
        <v>49</v>
      </c>
      <c r="AB2462" s="1" t="s">
        <v>49</v>
      </c>
      <c r="AC2462" s="1" t="s">
        <v>88</v>
      </c>
      <c r="AD2462" s="1" t="s">
        <v>89</v>
      </c>
      <c r="AE2462" s="1" t="s">
        <v>88</v>
      </c>
      <c r="AF2462" s="1" t="s">
        <v>3349</v>
      </c>
      <c r="AG2462" s="1" t="s">
        <v>53</v>
      </c>
      <c r="AH2462" s="1" t="s">
        <v>49</v>
      </c>
      <c r="AI2462" s="1" t="s">
        <v>54</v>
      </c>
      <c r="AJ2462" s="1">
        <v>1</v>
      </c>
      <c r="AK2462" s="1" t="str">
        <f t="shared" si="38"/>
        <v xml:space="preserve"> =&lt;90</v>
      </c>
      <c r="AL2462" s="1" t="str">
        <f>VLOOKUP(C:C,[1]基础信息!B$1:D$65536,3,0)</f>
        <v>Jug</v>
      </c>
      <c r="AM2462" s="1" t="str">
        <f>VLOOKUP(C:C,[1]基础信息!B$1:E$65536,4,0)</f>
        <v>Mxplus</v>
      </c>
      <c r="AN2462" s="1" t="str">
        <f>VLOOKUP(C:C,[1]基础信息!B$1:F$65536,5,0)</f>
        <v xml:space="preserve"> lime</v>
      </c>
    </row>
    <row r="2463" spans="1:40">
      <c r="A2463" s="1" t="s">
        <v>41</v>
      </c>
      <c r="B2463" s="1" t="s">
        <v>42</v>
      </c>
      <c r="C2463" s="1" t="s">
        <v>3971</v>
      </c>
      <c r="D2463" s="1" t="s">
        <v>3972</v>
      </c>
      <c r="E2463" s="1" t="s">
        <v>45</v>
      </c>
      <c r="F2463" s="1" t="s">
        <v>5380</v>
      </c>
      <c r="G2463" s="1" t="s">
        <v>5693</v>
      </c>
      <c r="H2463" s="1" t="s">
        <v>5694</v>
      </c>
      <c r="I2463" s="1" t="s">
        <v>49</v>
      </c>
      <c r="J2463" s="1" t="s">
        <v>48</v>
      </c>
      <c r="K2463" s="1">
        <v>96</v>
      </c>
      <c r="L2463" s="1">
        <v>0</v>
      </c>
      <c r="M2463" s="1">
        <v>0</v>
      </c>
      <c r="N2463" s="1">
        <v>96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 t="s">
        <v>49</v>
      </c>
      <c r="AA2463" s="1" t="s">
        <v>49</v>
      </c>
      <c r="AB2463" s="1" t="s">
        <v>49</v>
      </c>
      <c r="AC2463" s="1" t="s">
        <v>1408</v>
      </c>
      <c r="AD2463" s="1" t="s">
        <v>1409</v>
      </c>
      <c r="AE2463" s="1" t="s">
        <v>1408</v>
      </c>
      <c r="AF2463" s="1" t="s">
        <v>1172</v>
      </c>
      <c r="AG2463" s="1" t="s">
        <v>53</v>
      </c>
      <c r="AH2463" s="1" t="s">
        <v>49</v>
      </c>
      <c r="AI2463" s="1" t="s">
        <v>54</v>
      </c>
      <c r="AJ2463" s="1">
        <v>1</v>
      </c>
      <c r="AK2463" s="1" t="str">
        <f t="shared" si="38"/>
        <v xml:space="preserve"> =&lt;90</v>
      </c>
      <c r="AL2463" s="1" t="str">
        <f>VLOOKUP(C:C,[1]基础信息!B$1:D$65536,3,0)</f>
        <v>Jug</v>
      </c>
      <c r="AM2463" s="1" t="str">
        <f>VLOOKUP(C:C,[1]基础信息!B$1:E$65536,4,0)</f>
        <v>Mxplus</v>
      </c>
      <c r="AN2463" s="1" t="str">
        <f>VLOOKUP(C:C,[1]基础信息!B$1:F$65536,5,0)</f>
        <v xml:space="preserve"> lime</v>
      </c>
    </row>
    <row r="2464" spans="1:40">
      <c r="A2464" s="1" t="s">
        <v>41</v>
      </c>
      <c r="B2464" s="1" t="s">
        <v>42</v>
      </c>
      <c r="C2464" s="1" t="s">
        <v>3971</v>
      </c>
      <c r="D2464" s="1" t="s">
        <v>3972</v>
      </c>
      <c r="E2464" s="1" t="s">
        <v>45</v>
      </c>
      <c r="F2464" s="1" t="s">
        <v>5380</v>
      </c>
      <c r="G2464" s="1" t="s">
        <v>5695</v>
      </c>
      <c r="H2464" s="1" t="s">
        <v>5696</v>
      </c>
      <c r="I2464" s="1" t="s">
        <v>49</v>
      </c>
      <c r="J2464" s="1" t="s">
        <v>48</v>
      </c>
      <c r="K2464" s="1">
        <v>96</v>
      </c>
      <c r="L2464" s="1">
        <v>0</v>
      </c>
      <c r="M2464" s="1">
        <v>0</v>
      </c>
      <c r="N2464" s="1">
        <v>96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 t="s">
        <v>49</v>
      </c>
      <c r="AA2464" s="1" t="s">
        <v>49</v>
      </c>
      <c r="AB2464" s="1" t="s">
        <v>49</v>
      </c>
      <c r="AC2464" s="1" t="s">
        <v>1408</v>
      </c>
      <c r="AD2464" s="1" t="s">
        <v>1409</v>
      </c>
      <c r="AE2464" s="1" t="s">
        <v>1408</v>
      </c>
      <c r="AF2464" s="1" t="s">
        <v>1172</v>
      </c>
      <c r="AG2464" s="1" t="s">
        <v>53</v>
      </c>
      <c r="AH2464" s="1" t="s">
        <v>49</v>
      </c>
      <c r="AI2464" s="1" t="s">
        <v>54</v>
      </c>
      <c r="AJ2464" s="1">
        <v>1</v>
      </c>
      <c r="AK2464" s="1" t="str">
        <f t="shared" si="38"/>
        <v xml:space="preserve"> =&lt;90</v>
      </c>
      <c r="AL2464" s="1" t="str">
        <f>VLOOKUP(C:C,[1]基础信息!B$1:D$65536,3,0)</f>
        <v>Jug</v>
      </c>
      <c r="AM2464" s="1" t="str">
        <f>VLOOKUP(C:C,[1]基础信息!B$1:E$65536,4,0)</f>
        <v>Mxplus</v>
      </c>
      <c r="AN2464" s="1" t="str">
        <f>VLOOKUP(C:C,[1]基础信息!B$1:F$65536,5,0)</f>
        <v xml:space="preserve"> lime</v>
      </c>
    </row>
    <row r="2465" spans="1:40">
      <c r="A2465" s="1" t="s">
        <v>41</v>
      </c>
      <c r="B2465" s="1" t="s">
        <v>42</v>
      </c>
      <c r="C2465" s="1" t="s">
        <v>3971</v>
      </c>
      <c r="D2465" s="1" t="s">
        <v>3972</v>
      </c>
      <c r="E2465" s="1" t="s">
        <v>45</v>
      </c>
      <c r="F2465" s="1" t="s">
        <v>5380</v>
      </c>
      <c r="G2465" s="1" t="s">
        <v>5697</v>
      </c>
      <c r="H2465" s="1" t="s">
        <v>5698</v>
      </c>
      <c r="I2465" s="1" t="s">
        <v>49</v>
      </c>
      <c r="J2465" s="1" t="s">
        <v>48</v>
      </c>
      <c r="K2465" s="1">
        <v>96</v>
      </c>
      <c r="L2465" s="1">
        <v>0</v>
      </c>
      <c r="M2465" s="1">
        <v>0</v>
      </c>
      <c r="N2465" s="1">
        <v>96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 t="s">
        <v>49</v>
      </c>
      <c r="AA2465" s="1" t="s">
        <v>49</v>
      </c>
      <c r="AB2465" s="1" t="s">
        <v>49</v>
      </c>
      <c r="AC2465" s="1" t="s">
        <v>1408</v>
      </c>
      <c r="AD2465" s="1" t="s">
        <v>1409</v>
      </c>
      <c r="AE2465" s="1" t="s">
        <v>1408</v>
      </c>
      <c r="AF2465" s="1" t="s">
        <v>1172</v>
      </c>
      <c r="AG2465" s="1" t="s">
        <v>53</v>
      </c>
      <c r="AH2465" s="1" t="s">
        <v>49</v>
      </c>
      <c r="AI2465" s="1" t="s">
        <v>54</v>
      </c>
      <c r="AJ2465" s="1">
        <v>1</v>
      </c>
      <c r="AK2465" s="1" t="str">
        <f t="shared" si="38"/>
        <v xml:space="preserve"> =&lt;90</v>
      </c>
      <c r="AL2465" s="1" t="str">
        <f>VLOOKUP(C:C,[1]基础信息!B$1:D$65536,3,0)</f>
        <v>Jug</v>
      </c>
      <c r="AM2465" s="1" t="str">
        <f>VLOOKUP(C:C,[1]基础信息!B$1:E$65536,4,0)</f>
        <v>Mxplus</v>
      </c>
      <c r="AN2465" s="1" t="str">
        <f>VLOOKUP(C:C,[1]基础信息!B$1:F$65536,5,0)</f>
        <v xml:space="preserve"> lime</v>
      </c>
    </row>
    <row r="2466" spans="1:40">
      <c r="A2466" s="1" t="s">
        <v>41</v>
      </c>
      <c r="B2466" s="1" t="s">
        <v>42</v>
      </c>
      <c r="C2466" s="1" t="s">
        <v>3971</v>
      </c>
      <c r="D2466" s="1" t="s">
        <v>3972</v>
      </c>
      <c r="E2466" s="1" t="s">
        <v>45</v>
      </c>
      <c r="F2466" s="1" t="s">
        <v>5380</v>
      </c>
      <c r="G2466" s="1" t="s">
        <v>5699</v>
      </c>
      <c r="H2466" s="1" t="s">
        <v>5700</v>
      </c>
      <c r="I2466" s="1" t="s">
        <v>49</v>
      </c>
      <c r="J2466" s="1" t="s">
        <v>48</v>
      </c>
      <c r="K2466" s="1">
        <v>96</v>
      </c>
      <c r="L2466" s="1">
        <v>0</v>
      </c>
      <c r="M2466" s="1">
        <v>0</v>
      </c>
      <c r="N2466" s="1">
        <v>96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 t="s">
        <v>49</v>
      </c>
      <c r="AA2466" s="1" t="s">
        <v>49</v>
      </c>
      <c r="AB2466" s="1" t="s">
        <v>49</v>
      </c>
      <c r="AC2466" s="1" t="s">
        <v>1408</v>
      </c>
      <c r="AD2466" s="1" t="s">
        <v>1409</v>
      </c>
      <c r="AE2466" s="1" t="s">
        <v>1408</v>
      </c>
      <c r="AF2466" s="1" t="s">
        <v>1172</v>
      </c>
      <c r="AG2466" s="1" t="s">
        <v>53</v>
      </c>
      <c r="AH2466" s="1" t="s">
        <v>49</v>
      </c>
      <c r="AI2466" s="1" t="s">
        <v>54</v>
      </c>
      <c r="AJ2466" s="1">
        <v>1</v>
      </c>
      <c r="AK2466" s="1" t="str">
        <f t="shared" si="38"/>
        <v xml:space="preserve"> =&lt;90</v>
      </c>
      <c r="AL2466" s="1" t="str">
        <f>VLOOKUP(C:C,[1]基础信息!B$1:D$65536,3,0)</f>
        <v>Jug</v>
      </c>
      <c r="AM2466" s="1" t="str">
        <f>VLOOKUP(C:C,[1]基础信息!B$1:E$65536,4,0)</f>
        <v>Mxplus</v>
      </c>
      <c r="AN2466" s="1" t="str">
        <f>VLOOKUP(C:C,[1]基础信息!B$1:F$65536,5,0)</f>
        <v xml:space="preserve"> lime</v>
      </c>
    </row>
    <row r="2467" spans="1:40">
      <c r="A2467" s="1" t="s">
        <v>41</v>
      </c>
      <c r="B2467" s="1" t="s">
        <v>42</v>
      </c>
      <c r="C2467" s="1" t="s">
        <v>3971</v>
      </c>
      <c r="D2467" s="1" t="s">
        <v>3972</v>
      </c>
      <c r="E2467" s="1" t="s">
        <v>45</v>
      </c>
      <c r="F2467" s="1" t="s">
        <v>5701</v>
      </c>
      <c r="G2467" s="1" t="s">
        <v>5702</v>
      </c>
      <c r="H2467" s="1" t="s">
        <v>5703</v>
      </c>
      <c r="I2467" s="1" t="s">
        <v>49</v>
      </c>
      <c r="J2467" s="1" t="s">
        <v>48</v>
      </c>
      <c r="K2467" s="1">
        <v>96</v>
      </c>
      <c r="L2467" s="1">
        <v>0</v>
      </c>
      <c r="M2467" s="1">
        <v>0</v>
      </c>
      <c r="N2467" s="1">
        <v>96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 t="s">
        <v>49</v>
      </c>
      <c r="AA2467" s="1" t="s">
        <v>49</v>
      </c>
      <c r="AB2467" s="1" t="s">
        <v>49</v>
      </c>
      <c r="AC2467" s="1" t="s">
        <v>88</v>
      </c>
      <c r="AD2467" s="1" t="s">
        <v>89</v>
      </c>
      <c r="AE2467" s="1" t="s">
        <v>88</v>
      </c>
      <c r="AF2467" s="1" t="s">
        <v>5704</v>
      </c>
      <c r="AG2467" s="1" t="s">
        <v>53</v>
      </c>
      <c r="AH2467" s="1" t="s">
        <v>49</v>
      </c>
      <c r="AI2467" s="1" t="s">
        <v>54</v>
      </c>
      <c r="AJ2467" s="1">
        <v>1</v>
      </c>
      <c r="AK2467" s="1" t="str">
        <f t="shared" si="38"/>
        <v xml:space="preserve"> =&lt;90</v>
      </c>
      <c r="AL2467" s="1" t="str">
        <f>VLOOKUP(C:C,[1]基础信息!B$1:D$65536,3,0)</f>
        <v>Jug</v>
      </c>
      <c r="AM2467" s="1" t="str">
        <f>VLOOKUP(C:C,[1]基础信息!B$1:E$65536,4,0)</f>
        <v>Mxplus</v>
      </c>
      <c r="AN2467" s="1" t="str">
        <f>VLOOKUP(C:C,[1]基础信息!B$1:F$65536,5,0)</f>
        <v xml:space="preserve"> lime</v>
      </c>
    </row>
    <row r="2468" spans="1:40">
      <c r="A2468" s="1" t="s">
        <v>41</v>
      </c>
      <c r="B2468" s="1" t="s">
        <v>42</v>
      </c>
      <c r="C2468" s="1" t="s">
        <v>3971</v>
      </c>
      <c r="D2468" s="1" t="s">
        <v>3972</v>
      </c>
      <c r="E2468" s="1" t="s">
        <v>45</v>
      </c>
      <c r="F2468" s="1" t="s">
        <v>5701</v>
      </c>
      <c r="G2468" s="1" t="s">
        <v>5705</v>
      </c>
      <c r="H2468" s="1" t="s">
        <v>5706</v>
      </c>
      <c r="I2468" s="1" t="s">
        <v>49</v>
      </c>
      <c r="J2468" s="1" t="s">
        <v>48</v>
      </c>
      <c r="K2468" s="1">
        <v>96</v>
      </c>
      <c r="L2468" s="1">
        <v>0</v>
      </c>
      <c r="M2468" s="1">
        <v>0</v>
      </c>
      <c r="N2468" s="1">
        <v>96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 t="s">
        <v>49</v>
      </c>
      <c r="AA2468" s="1" t="s">
        <v>49</v>
      </c>
      <c r="AB2468" s="1" t="s">
        <v>49</v>
      </c>
      <c r="AC2468" s="1" t="s">
        <v>88</v>
      </c>
      <c r="AD2468" s="1" t="s">
        <v>89</v>
      </c>
      <c r="AE2468" s="1" t="s">
        <v>88</v>
      </c>
      <c r="AF2468" s="1" t="s">
        <v>5704</v>
      </c>
      <c r="AG2468" s="1" t="s">
        <v>53</v>
      </c>
      <c r="AH2468" s="1" t="s">
        <v>49</v>
      </c>
      <c r="AI2468" s="1" t="s">
        <v>54</v>
      </c>
      <c r="AJ2468" s="1">
        <v>1</v>
      </c>
      <c r="AK2468" s="1" t="str">
        <f t="shared" si="38"/>
        <v xml:space="preserve"> =&lt;90</v>
      </c>
      <c r="AL2468" s="1" t="str">
        <f>VLOOKUP(C:C,[1]基础信息!B$1:D$65536,3,0)</f>
        <v>Jug</v>
      </c>
      <c r="AM2468" s="1" t="str">
        <f>VLOOKUP(C:C,[1]基础信息!B$1:E$65536,4,0)</f>
        <v>Mxplus</v>
      </c>
      <c r="AN2468" s="1" t="str">
        <f>VLOOKUP(C:C,[1]基础信息!B$1:F$65536,5,0)</f>
        <v xml:space="preserve"> lime</v>
      </c>
    </row>
    <row r="2469" spans="1:40">
      <c r="A2469" s="1" t="s">
        <v>41</v>
      </c>
      <c r="B2469" s="1" t="s">
        <v>42</v>
      </c>
      <c r="C2469" s="1" t="s">
        <v>3971</v>
      </c>
      <c r="D2469" s="1" t="s">
        <v>3972</v>
      </c>
      <c r="E2469" s="1" t="s">
        <v>45</v>
      </c>
      <c r="F2469" s="1" t="s">
        <v>5701</v>
      </c>
      <c r="G2469" s="1" t="s">
        <v>5707</v>
      </c>
      <c r="H2469" s="1" t="s">
        <v>5708</v>
      </c>
      <c r="I2469" s="1" t="s">
        <v>49</v>
      </c>
      <c r="J2469" s="1" t="s">
        <v>48</v>
      </c>
      <c r="K2469" s="1">
        <v>96</v>
      </c>
      <c r="L2469" s="1">
        <v>0</v>
      </c>
      <c r="M2469" s="1">
        <v>0</v>
      </c>
      <c r="N2469" s="1">
        <v>96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 t="s">
        <v>49</v>
      </c>
      <c r="AA2469" s="1" t="s">
        <v>49</v>
      </c>
      <c r="AB2469" s="1" t="s">
        <v>49</v>
      </c>
      <c r="AC2469" s="1" t="s">
        <v>88</v>
      </c>
      <c r="AD2469" s="1" t="s">
        <v>89</v>
      </c>
      <c r="AE2469" s="1" t="s">
        <v>88</v>
      </c>
      <c r="AF2469" s="1" t="s">
        <v>5704</v>
      </c>
      <c r="AG2469" s="1" t="s">
        <v>53</v>
      </c>
      <c r="AH2469" s="1" t="s">
        <v>49</v>
      </c>
      <c r="AI2469" s="1" t="s">
        <v>54</v>
      </c>
      <c r="AJ2469" s="1">
        <v>1</v>
      </c>
      <c r="AK2469" s="1" t="str">
        <f t="shared" si="38"/>
        <v xml:space="preserve"> =&lt;90</v>
      </c>
      <c r="AL2469" s="1" t="str">
        <f>VLOOKUP(C:C,[1]基础信息!B$1:D$65536,3,0)</f>
        <v>Jug</v>
      </c>
      <c r="AM2469" s="1" t="str">
        <f>VLOOKUP(C:C,[1]基础信息!B$1:E$65536,4,0)</f>
        <v>Mxplus</v>
      </c>
      <c r="AN2469" s="1" t="str">
        <f>VLOOKUP(C:C,[1]基础信息!B$1:F$65536,5,0)</f>
        <v xml:space="preserve"> lime</v>
      </c>
    </row>
    <row r="2470" spans="1:40">
      <c r="A2470" s="1" t="s">
        <v>41</v>
      </c>
      <c r="B2470" s="1" t="s">
        <v>42</v>
      </c>
      <c r="C2470" s="1" t="s">
        <v>3512</v>
      </c>
      <c r="D2470" s="1" t="s">
        <v>3513</v>
      </c>
      <c r="E2470" s="1" t="s">
        <v>45</v>
      </c>
      <c r="F2470" s="1" t="s">
        <v>5248</v>
      </c>
      <c r="G2470" s="1" t="s">
        <v>5709</v>
      </c>
      <c r="H2470" s="1" t="s">
        <v>5710</v>
      </c>
      <c r="I2470" s="1" t="s">
        <v>49</v>
      </c>
      <c r="J2470" s="1" t="s">
        <v>48</v>
      </c>
      <c r="K2470" s="1">
        <v>840</v>
      </c>
      <c r="L2470" s="1">
        <v>0</v>
      </c>
      <c r="M2470" s="1">
        <v>0</v>
      </c>
      <c r="N2470" s="1">
        <v>840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 t="s">
        <v>49</v>
      </c>
      <c r="AA2470" s="1" t="s">
        <v>49</v>
      </c>
      <c r="AB2470" s="1" t="s">
        <v>49</v>
      </c>
      <c r="AC2470" s="1" t="s">
        <v>3241</v>
      </c>
      <c r="AD2470" s="1" t="s">
        <v>3270</v>
      </c>
      <c r="AE2470" s="1" t="s">
        <v>3241</v>
      </c>
      <c r="AF2470" s="1" t="s">
        <v>5251</v>
      </c>
      <c r="AG2470" s="1" t="s">
        <v>53</v>
      </c>
      <c r="AH2470" s="1" t="s">
        <v>49</v>
      </c>
      <c r="AI2470" s="1" t="s">
        <v>54</v>
      </c>
      <c r="AJ2470" s="1">
        <v>1</v>
      </c>
      <c r="AK2470" s="1" t="str">
        <f t="shared" si="38"/>
        <v xml:space="preserve"> =&lt;90</v>
      </c>
      <c r="AL2470" s="1" t="str">
        <f>VLOOKUP(C:C,[1]基础信息!B$1:D$65536,3,0)</f>
        <v xml:space="preserve">Cartridge </v>
      </c>
      <c r="AM2470" s="1" t="str">
        <f>VLOOKUP(C:C,[1]基础信息!B$1:E$65536,4,0)</f>
        <v>UNIV</v>
      </c>
      <c r="AN2470" s="1" t="str">
        <f>VLOOKUP(C:C,[1]基础信息!B$1:F$65536,5,0)</f>
        <v>P3</v>
      </c>
    </row>
    <row r="2471" spans="1:40">
      <c r="A2471" s="1" t="s">
        <v>41</v>
      </c>
      <c r="B2471" s="1" t="s">
        <v>42</v>
      </c>
      <c r="C2471" s="1" t="s">
        <v>3971</v>
      </c>
      <c r="D2471" s="1" t="s">
        <v>3972</v>
      </c>
      <c r="E2471" s="1" t="s">
        <v>45</v>
      </c>
      <c r="F2471" s="1" t="s">
        <v>5701</v>
      </c>
      <c r="G2471" s="1" t="s">
        <v>5711</v>
      </c>
      <c r="H2471" s="1" t="s">
        <v>5712</v>
      </c>
      <c r="I2471" s="1" t="s">
        <v>49</v>
      </c>
      <c r="J2471" s="1" t="s">
        <v>48</v>
      </c>
      <c r="K2471" s="1">
        <v>96</v>
      </c>
      <c r="L2471" s="1">
        <v>0</v>
      </c>
      <c r="M2471" s="1">
        <v>0</v>
      </c>
      <c r="N2471" s="1">
        <v>96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 t="s">
        <v>49</v>
      </c>
      <c r="AA2471" s="1" t="s">
        <v>49</v>
      </c>
      <c r="AB2471" s="1" t="s">
        <v>49</v>
      </c>
      <c r="AC2471" s="1" t="s">
        <v>88</v>
      </c>
      <c r="AD2471" s="1" t="s">
        <v>89</v>
      </c>
      <c r="AE2471" s="1" t="s">
        <v>88</v>
      </c>
      <c r="AF2471" s="1" t="s">
        <v>5704</v>
      </c>
      <c r="AG2471" s="1" t="s">
        <v>53</v>
      </c>
      <c r="AH2471" s="1" t="s">
        <v>49</v>
      </c>
      <c r="AI2471" s="1" t="s">
        <v>54</v>
      </c>
      <c r="AJ2471" s="1">
        <v>1</v>
      </c>
      <c r="AK2471" s="1" t="str">
        <f t="shared" si="38"/>
        <v xml:space="preserve"> =&lt;90</v>
      </c>
      <c r="AL2471" s="1" t="str">
        <f>VLOOKUP(C:C,[1]基础信息!B$1:D$65536,3,0)</f>
        <v>Jug</v>
      </c>
      <c r="AM2471" s="1" t="str">
        <f>VLOOKUP(C:C,[1]基础信息!B$1:E$65536,4,0)</f>
        <v>Mxplus</v>
      </c>
      <c r="AN2471" s="1" t="str">
        <f>VLOOKUP(C:C,[1]基础信息!B$1:F$65536,5,0)</f>
        <v xml:space="preserve"> lime</v>
      </c>
    </row>
    <row r="2472" spans="1:40">
      <c r="A2472" s="1" t="s">
        <v>41</v>
      </c>
      <c r="B2472" s="1" t="s">
        <v>42</v>
      </c>
      <c r="C2472" s="1" t="s">
        <v>3971</v>
      </c>
      <c r="D2472" s="1" t="s">
        <v>3972</v>
      </c>
      <c r="E2472" s="1" t="s">
        <v>45</v>
      </c>
      <c r="F2472" s="1" t="s">
        <v>5701</v>
      </c>
      <c r="G2472" s="1" t="s">
        <v>5713</v>
      </c>
      <c r="H2472" s="1" t="s">
        <v>5714</v>
      </c>
      <c r="I2472" s="1" t="s">
        <v>49</v>
      </c>
      <c r="J2472" s="1" t="s">
        <v>48</v>
      </c>
      <c r="K2472" s="1">
        <v>96</v>
      </c>
      <c r="L2472" s="1">
        <v>0</v>
      </c>
      <c r="M2472" s="1">
        <v>0</v>
      </c>
      <c r="N2472" s="1">
        <v>96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 t="s">
        <v>49</v>
      </c>
      <c r="AA2472" s="1" t="s">
        <v>49</v>
      </c>
      <c r="AB2472" s="1" t="s">
        <v>49</v>
      </c>
      <c r="AC2472" s="1" t="s">
        <v>88</v>
      </c>
      <c r="AD2472" s="1" t="s">
        <v>89</v>
      </c>
      <c r="AE2472" s="1" t="s">
        <v>88</v>
      </c>
      <c r="AF2472" s="1" t="s">
        <v>5704</v>
      </c>
      <c r="AG2472" s="1" t="s">
        <v>53</v>
      </c>
      <c r="AH2472" s="1" t="s">
        <v>49</v>
      </c>
      <c r="AI2472" s="1" t="s">
        <v>54</v>
      </c>
      <c r="AJ2472" s="1">
        <v>1</v>
      </c>
      <c r="AK2472" s="1" t="str">
        <f t="shared" si="38"/>
        <v xml:space="preserve"> =&lt;90</v>
      </c>
      <c r="AL2472" s="1" t="str">
        <f>VLOOKUP(C:C,[1]基础信息!B$1:D$65536,3,0)</f>
        <v>Jug</v>
      </c>
      <c r="AM2472" s="1" t="str">
        <f>VLOOKUP(C:C,[1]基础信息!B$1:E$65536,4,0)</f>
        <v>Mxplus</v>
      </c>
      <c r="AN2472" s="1" t="str">
        <f>VLOOKUP(C:C,[1]基础信息!B$1:F$65536,5,0)</f>
        <v xml:space="preserve"> lime</v>
      </c>
    </row>
    <row r="2473" spans="1:40">
      <c r="A2473" s="1" t="s">
        <v>41</v>
      </c>
      <c r="B2473" s="1" t="s">
        <v>42</v>
      </c>
      <c r="C2473" s="1" t="s">
        <v>3971</v>
      </c>
      <c r="D2473" s="1" t="s">
        <v>3972</v>
      </c>
      <c r="E2473" s="1" t="s">
        <v>45</v>
      </c>
      <c r="F2473" s="1" t="s">
        <v>5701</v>
      </c>
      <c r="G2473" s="1" t="s">
        <v>5715</v>
      </c>
      <c r="H2473" s="1" t="s">
        <v>5716</v>
      </c>
      <c r="I2473" s="1" t="s">
        <v>49</v>
      </c>
      <c r="J2473" s="1" t="s">
        <v>48</v>
      </c>
      <c r="K2473" s="1">
        <v>96</v>
      </c>
      <c r="L2473" s="1">
        <v>0</v>
      </c>
      <c r="M2473" s="1">
        <v>0</v>
      </c>
      <c r="N2473" s="1">
        <v>96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 t="s">
        <v>49</v>
      </c>
      <c r="AA2473" s="1" t="s">
        <v>49</v>
      </c>
      <c r="AB2473" s="1" t="s">
        <v>49</v>
      </c>
      <c r="AC2473" s="1" t="s">
        <v>88</v>
      </c>
      <c r="AD2473" s="1" t="s">
        <v>89</v>
      </c>
      <c r="AE2473" s="1" t="s">
        <v>88</v>
      </c>
      <c r="AF2473" s="1" t="s">
        <v>5704</v>
      </c>
      <c r="AG2473" s="1" t="s">
        <v>53</v>
      </c>
      <c r="AH2473" s="1" t="s">
        <v>49</v>
      </c>
      <c r="AI2473" s="1" t="s">
        <v>54</v>
      </c>
      <c r="AJ2473" s="1">
        <v>1</v>
      </c>
      <c r="AK2473" s="1" t="str">
        <f t="shared" si="38"/>
        <v xml:space="preserve"> =&lt;90</v>
      </c>
      <c r="AL2473" s="1" t="str">
        <f>VLOOKUP(C:C,[1]基础信息!B$1:D$65536,3,0)</f>
        <v>Jug</v>
      </c>
      <c r="AM2473" s="1" t="str">
        <f>VLOOKUP(C:C,[1]基础信息!B$1:E$65536,4,0)</f>
        <v>Mxplus</v>
      </c>
      <c r="AN2473" s="1" t="str">
        <f>VLOOKUP(C:C,[1]基础信息!B$1:F$65536,5,0)</f>
        <v xml:space="preserve"> lime</v>
      </c>
    </row>
    <row r="2474" spans="1:40">
      <c r="A2474" s="1" t="s">
        <v>41</v>
      </c>
      <c r="B2474" s="1" t="s">
        <v>42</v>
      </c>
      <c r="C2474" s="1" t="s">
        <v>3512</v>
      </c>
      <c r="D2474" s="1" t="s">
        <v>3513</v>
      </c>
      <c r="E2474" s="1" t="s">
        <v>45</v>
      </c>
      <c r="F2474" s="1" t="s">
        <v>5248</v>
      </c>
      <c r="G2474" s="1" t="s">
        <v>5717</v>
      </c>
      <c r="H2474" s="1" t="s">
        <v>5718</v>
      </c>
      <c r="I2474" s="1" t="s">
        <v>49</v>
      </c>
      <c r="J2474" s="1" t="s">
        <v>48</v>
      </c>
      <c r="K2474" s="1">
        <v>840</v>
      </c>
      <c r="L2474" s="1">
        <v>0</v>
      </c>
      <c r="M2474" s="1">
        <v>0</v>
      </c>
      <c r="N2474" s="1">
        <v>840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 t="s">
        <v>49</v>
      </c>
      <c r="AA2474" s="1" t="s">
        <v>49</v>
      </c>
      <c r="AB2474" s="1" t="s">
        <v>49</v>
      </c>
      <c r="AC2474" s="1" t="s">
        <v>3241</v>
      </c>
      <c r="AD2474" s="1" t="s">
        <v>3270</v>
      </c>
      <c r="AE2474" s="1" t="s">
        <v>3241</v>
      </c>
      <c r="AF2474" s="1" t="s">
        <v>5251</v>
      </c>
      <c r="AG2474" s="1" t="s">
        <v>53</v>
      </c>
      <c r="AH2474" s="1" t="s">
        <v>49</v>
      </c>
      <c r="AI2474" s="1" t="s">
        <v>54</v>
      </c>
      <c r="AJ2474" s="1">
        <v>1</v>
      </c>
      <c r="AK2474" s="1" t="str">
        <f t="shared" si="38"/>
        <v xml:space="preserve"> =&lt;90</v>
      </c>
      <c r="AL2474" s="1" t="str">
        <f>VLOOKUP(C:C,[1]基础信息!B$1:D$65536,3,0)</f>
        <v xml:space="preserve">Cartridge </v>
      </c>
      <c r="AM2474" s="1" t="str">
        <f>VLOOKUP(C:C,[1]基础信息!B$1:E$65536,4,0)</f>
        <v>UNIV</v>
      </c>
      <c r="AN2474" s="1" t="str">
        <f>VLOOKUP(C:C,[1]基础信息!B$1:F$65536,5,0)</f>
        <v>P3</v>
      </c>
    </row>
    <row r="2475" spans="1:40">
      <c r="A2475" s="1" t="s">
        <v>41</v>
      </c>
      <c r="B2475" s="1" t="s">
        <v>42</v>
      </c>
      <c r="C2475" s="1" t="s">
        <v>3512</v>
      </c>
      <c r="D2475" s="1" t="s">
        <v>3513</v>
      </c>
      <c r="E2475" s="1" t="s">
        <v>45</v>
      </c>
      <c r="F2475" s="1" t="s">
        <v>5248</v>
      </c>
      <c r="G2475" s="1" t="s">
        <v>5719</v>
      </c>
      <c r="H2475" s="1" t="s">
        <v>5720</v>
      </c>
      <c r="I2475" s="1" t="s">
        <v>49</v>
      </c>
      <c r="J2475" s="1" t="s">
        <v>48</v>
      </c>
      <c r="K2475" s="1">
        <v>840</v>
      </c>
      <c r="L2475" s="1">
        <v>0</v>
      </c>
      <c r="M2475" s="1">
        <v>0</v>
      </c>
      <c r="N2475" s="1">
        <v>840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 t="s">
        <v>49</v>
      </c>
      <c r="AA2475" s="1" t="s">
        <v>49</v>
      </c>
      <c r="AB2475" s="1" t="s">
        <v>49</v>
      </c>
      <c r="AC2475" s="1" t="s">
        <v>3241</v>
      </c>
      <c r="AD2475" s="1" t="s">
        <v>3270</v>
      </c>
      <c r="AE2475" s="1" t="s">
        <v>3241</v>
      </c>
      <c r="AF2475" s="1" t="s">
        <v>5251</v>
      </c>
      <c r="AG2475" s="1" t="s">
        <v>53</v>
      </c>
      <c r="AH2475" s="1" t="s">
        <v>49</v>
      </c>
      <c r="AI2475" s="1" t="s">
        <v>54</v>
      </c>
      <c r="AJ2475" s="1">
        <v>1</v>
      </c>
      <c r="AK2475" s="1" t="str">
        <f t="shared" si="38"/>
        <v xml:space="preserve"> =&lt;90</v>
      </c>
      <c r="AL2475" s="1" t="str">
        <f>VLOOKUP(C:C,[1]基础信息!B$1:D$65536,3,0)</f>
        <v xml:space="preserve">Cartridge </v>
      </c>
      <c r="AM2475" s="1" t="str">
        <f>VLOOKUP(C:C,[1]基础信息!B$1:E$65536,4,0)</f>
        <v>UNIV</v>
      </c>
      <c r="AN2475" s="1" t="str">
        <f>VLOOKUP(C:C,[1]基础信息!B$1:F$65536,5,0)</f>
        <v>P3</v>
      </c>
    </row>
    <row r="2476" spans="1:40">
      <c r="A2476" s="1" t="s">
        <v>41</v>
      </c>
      <c r="B2476" s="1" t="s">
        <v>42</v>
      </c>
      <c r="C2476" s="1" t="s">
        <v>3971</v>
      </c>
      <c r="D2476" s="1" t="s">
        <v>3972</v>
      </c>
      <c r="E2476" s="1" t="s">
        <v>45</v>
      </c>
      <c r="F2476" s="1" t="s">
        <v>5701</v>
      </c>
      <c r="G2476" s="1" t="s">
        <v>5721</v>
      </c>
      <c r="H2476" s="1" t="s">
        <v>5722</v>
      </c>
      <c r="I2476" s="1" t="s">
        <v>49</v>
      </c>
      <c r="J2476" s="1" t="s">
        <v>48</v>
      </c>
      <c r="K2476" s="1">
        <v>96</v>
      </c>
      <c r="L2476" s="1">
        <v>0</v>
      </c>
      <c r="M2476" s="1">
        <v>0</v>
      </c>
      <c r="N2476" s="1">
        <v>96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 t="s">
        <v>49</v>
      </c>
      <c r="AA2476" s="1" t="s">
        <v>49</v>
      </c>
      <c r="AB2476" s="1" t="s">
        <v>49</v>
      </c>
      <c r="AC2476" s="1" t="s">
        <v>88</v>
      </c>
      <c r="AD2476" s="1" t="s">
        <v>89</v>
      </c>
      <c r="AE2476" s="1" t="s">
        <v>88</v>
      </c>
      <c r="AF2476" s="1" t="s">
        <v>5704</v>
      </c>
      <c r="AG2476" s="1" t="s">
        <v>53</v>
      </c>
      <c r="AH2476" s="1" t="s">
        <v>49</v>
      </c>
      <c r="AI2476" s="1" t="s">
        <v>54</v>
      </c>
      <c r="AJ2476" s="1">
        <v>1</v>
      </c>
      <c r="AK2476" s="1" t="str">
        <f t="shared" si="38"/>
        <v xml:space="preserve"> =&lt;90</v>
      </c>
      <c r="AL2476" s="1" t="str">
        <f>VLOOKUP(C:C,[1]基础信息!B$1:D$65536,3,0)</f>
        <v>Jug</v>
      </c>
      <c r="AM2476" s="1" t="str">
        <f>VLOOKUP(C:C,[1]基础信息!B$1:E$65536,4,0)</f>
        <v>Mxplus</v>
      </c>
      <c r="AN2476" s="1" t="str">
        <f>VLOOKUP(C:C,[1]基础信息!B$1:F$65536,5,0)</f>
        <v xml:space="preserve"> lime</v>
      </c>
    </row>
    <row r="2477" spans="1:40">
      <c r="A2477" s="1" t="s">
        <v>41</v>
      </c>
      <c r="B2477" s="1" t="s">
        <v>42</v>
      </c>
      <c r="C2477" s="1" t="s">
        <v>3971</v>
      </c>
      <c r="D2477" s="1" t="s">
        <v>3972</v>
      </c>
      <c r="E2477" s="1" t="s">
        <v>45</v>
      </c>
      <c r="F2477" s="1" t="s">
        <v>5380</v>
      </c>
      <c r="G2477" s="1" t="s">
        <v>5723</v>
      </c>
      <c r="H2477" s="1" t="s">
        <v>5724</v>
      </c>
      <c r="I2477" s="1" t="s">
        <v>49</v>
      </c>
      <c r="J2477" s="1" t="s">
        <v>48</v>
      </c>
      <c r="K2477" s="1">
        <v>96</v>
      </c>
      <c r="L2477" s="1">
        <v>0</v>
      </c>
      <c r="M2477" s="1">
        <v>0</v>
      </c>
      <c r="N2477" s="1">
        <v>96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 t="s">
        <v>49</v>
      </c>
      <c r="AA2477" s="1" t="s">
        <v>49</v>
      </c>
      <c r="AB2477" s="1" t="s">
        <v>49</v>
      </c>
      <c r="AC2477" s="1" t="s">
        <v>1408</v>
      </c>
      <c r="AD2477" s="1" t="s">
        <v>1409</v>
      </c>
      <c r="AE2477" s="1" t="s">
        <v>1408</v>
      </c>
      <c r="AF2477" s="1" t="s">
        <v>1172</v>
      </c>
      <c r="AG2477" s="1" t="s">
        <v>53</v>
      </c>
      <c r="AH2477" s="1" t="s">
        <v>49</v>
      </c>
      <c r="AI2477" s="1" t="s">
        <v>54</v>
      </c>
      <c r="AJ2477" s="1">
        <v>1</v>
      </c>
      <c r="AK2477" s="1" t="str">
        <f t="shared" si="38"/>
        <v xml:space="preserve"> =&lt;90</v>
      </c>
      <c r="AL2477" s="1" t="str">
        <f>VLOOKUP(C:C,[1]基础信息!B$1:D$65536,3,0)</f>
        <v>Jug</v>
      </c>
      <c r="AM2477" s="1" t="str">
        <f>VLOOKUP(C:C,[1]基础信息!B$1:E$65536,4,0)</f>
        <v>Mxplus</v>
      </c>
      <c r="AN2477" s="1" t="str">
        <f>VLOOKUP(C:C,[1]基础信息!B$1:F$65536,5,0)</f>
        <v xml:space="preserve"> lime</v>
      </c>
    </row>
    <row r="2478" spans="1:40">
      <c r="A2478" s="1" t="s">
        <v>41</v>
      </c>
      <c r="B2478" s="1" t="s">
        <v>42</v>
      </c>
      <c r="C2478" s="1" t="s">
        <v>3512</v>
      </c>
      <c r="D2478" s="1" t="s">
        <v>3513</v>
      </c>
      <c r="E2478" s="1" t="s">
        <v>45</v>
      </c>
      <c r="F2478" s="1" t="s">
        <v>5248</v>
      </c>
      <c r="G2478" s="1" t="s">
        <v>5725</v>
      </c>
      <c r="H2478" s="1" t="s">
        <v>5726</v>
      </c>
      <c r="I2478" s="1" t="s">
        <v>49</v>
      </c>
      <c r="J2478" s="1" t="s">
        <v>48</v>
      </c>
      <c r="K2478" s="1">
        <v>840</v>
      </c>
      <c r="L2478" s="1">
        <v>0</v>
      </c>
      <c r="M2478" s="1">
        <v>0</v>
      </c>
      <c r="N2478" s="1">
        <v>840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 t="s">
        <v>49</v>
      </c>
      <c r="AA2478" s="1" t="s">
        <v>49</v>
      </c>
      <c r="AB2478" s="1" t="s">
        <v>49</v>
      </c>
      <c r="AC2478" s="1" t="s">
        <v>3241</v>
      </c>
      <c r="AD2478" s="1" t="s">
        <v>3270</v>
      </c>
      <c r="AE2478" s="1" t="s">
        <v>3241</v>
      </c>
      <c r="AF2478" s="1" t="s">
        <v>5251</v>
      </c>
      <c r="AG2478" s="1" t="s">
        <v>53</v>
      </c>
      <c r="AH2478" s="1" t="s">
        <v>49</v>
      </c>
      <c r="AI2478" s="1" t="s">
        <v>54</v>
      </c>
      <c r="AJ2478" s="1">
        <v>1</v>
      </c>
      <c r="AK2478" s="1" t="str">
        <f t="shared" si="38"/>
        <v xml:space="preserve"> =&lt;90</v>
      </c>
      <c r="AL2478" s="1" t="str">
        <f>VLOOKUP(C:C,[1]基础信息!B$1:D$65536,3,0)</f>
        <v xml:space="preserve">Cartridge </v>
      </c>
      <c r="AM2478" s="1" t="str">
        <f>VLOOKUP(C:C,[1]基础信息!B$1:E$65536,4,0)</f>
        <v>UNIV</v>
      </c>
      <c r="AN2478" s="1" t="str">
        <f>VLOOKUP(C:C,[1]基础信息!B$1:F$65536,5,0)</f>
        <v>P3</v>
      </c>
    </row>
    <row r="2479" spans="1:40">
      <c r="A2479" s="1" t="s">
        <v>41</v>
      </c>
      <c r="B2479" s="1" t="s">
        <v>42</v>
      </c>
      <c r="C2479" s="1" t="s">
        <v>3512</v>
      </c>
      <c r="D2479" s="1" t="s">
        <v>3513</v>
      </c>
      <c r="E2479" s="1" t="s">
        <v>45</v>
      </c>
      <c r="F2479" s="1" t="s">
        <v>5248</v>
      </c>
      <c r="G2479" s="1" t="s">
        <v>5727</v>
      </c>
      <c r="H2479" s="1" t="s">
        <v>5728</v>
      </c>
      <c r="I2479" s="1" t="s">
        <v>49</v>
      </c>
      <c r="J2479" s="1" t="s">
        <v>48</v>
      </c>
      <c r="K2479" s="1">
        <v>840</v>
      </c>
      <c r="L2479" s="1">
        <v>0</v>
      </c>
      <c r="M2479" s="1">
        <v>0</v>
      </c>
      <c r="N2479" s="1">
        <v>840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 t="s">
        <v>49</v>
      </c>
      <c r="AA2479" s="1" t="s">
        <v>49</v>
      </c>
      <c r="AB2479" s="1" t="s">
        <v>49</v>
      </c>
      <c r="AC2479" s="1" t="s">
        <v>3241</v>
      </c>
      <c r="AD2479" s="1" t="s">
        <v>3270</v>
      </c>
      <c r="AE2479" s="1" t="s">
        <v>3241</v>
      </c>
      <c r="AF2479" s="1" t="s">
        <v>5251</v>
      </c>
      <c r="AG2479" s="1" t="s">
        <v>53</v>
      </c>
      <c r="AH2479" s="1" t="s">
        <v>49</v>
      </c>
      <c r="AI2479" s="1" t="s">
        <v>54</v>
      </c>
      <c r="AJ2479" s="1">
        <v>1</v>
      </c>
      <c r="AK2479" s="1" t="str">
        <f t="shared" si="38"/>
        <v xml:space="preserve"> =&lt;90</v>
      </c>
      <c r="AL2479" s="1" t="str">
        <f>VLOOKUP(C:C,[1]基础信息!B$1:D$65536,3,0)</f>
        <v xml:space="preserve">Cartridge </v>
      </c>
      <c r="AM2479" s="1" t="str">
        <f>VLOOKUP(C:C,[1]基础信息!B$1:E$65536,4,0)</f>
        <v>UNIV</v>
      </c>
      <c r="AN2479" s="1" t="str">
        <f>VLOOKUP(C:C,[1]基础信息!B$1:F$65536,5,0)</f>
        <v>P3</v>
      </c>
    </row>
    <row r="2480" spans="1:40">
      <c r="A2480" s="1" t="s">
        <v>41</v>
      </c>
      <c r="B2480" s="1" t="s">
        <v>42</v>
      </c>
      <c r="C2480" s="1" t="s">
        <v>3512</v>
      </c>
      <c r="D2480" s="1" t="s">
        <v>3513</v>
      </c>
      <c r="E2480" s="1" t="s">
        <v>45</v>
      </c>
      <c r="F2480" s="1" t="s">
        <v>5248</v>
      </c>
      <c r="G2480" s="1" t="s">
        <v>5729</v>
      </c>
      <c r="H2480" s="1" t="s">
        <v>5730</v>
      </c>
      <c r="I2480" s="1" t="s">
        <v>49</v>
      </c>
      <c r="J2480" s="1" t="s">
        <v>48</v>
      </c>
      <c r="K2480" s="1">
        <v>840</v>
      </c>
      <c r="L2480" s="1">
        <v>0</v>
      </c>
      <c r="M2480" s="1">
        <v>0</v>
      </c>
      <c r="N2480" s="1">
        <v>840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 t="s">
        <v>49</v>
      </c>
      <c r="AA2480" s="1" t="s">
        <v>49</v>
      </c>
      <c r="AB2480" s="1" t="s">
        <v>49</v>
      </c>
      <c r="AC2480" s="1" t="s">
        <v>3241</v>
      </c>
      <c r="AD2480" s="1" t="s">
        <v>3270</v>
      </c>
      <c r="AE2480" s="1" t="s">
        <v>3241</v>
      </c>
      <c r="AF2480" s="1" t="s">
        <v>5251</v>
      </c>
      <c r="AG2480" s="1" t="s">
        <v>53</v>
      </c>
      <c r="AH2480" s="1" t="s">
        <v>49</v>
      </c>
      <c r="AI2480" s="1" t="s">
        <v>54</v>
      </c>
      <c r="AJ2480" s="1">
        <v>1</v>
      </c>
      <c r="AK2480" s="1" t="str">
        <f t="shared" si="38"/>
        <v xml:space="preserve"> =&lt;90</v>
      </c>
      <c r="AL2480" s="1" t="str">
        <f>VLOOKUP(C:C,[1]基础信息!B$1:D$65536,3,0)</f>
        <v xml:space="preserve">Cartridge </v>
      </c>
      <c r="AM2480" s="1" t="str">
        <f>VLOOKUP(C:C,[1]基础信息!B$1:E$65536,4,0)</f>
        <v>UNIV</v>
      </c>
      <c r="AN2480" s="1" t="str">
        <f>VLOOKUP(C:C,[1]基础信息!B$1:F$65536,5,0)</f>
        <v>P3</v>
      </c>
    </row>
    <row r="2481" spans="1:40">
      <c r="A2481" s="1" t="s">
        <v>41</v>
      </c>
      <c r="B2481" s="1" t="s">
        <v>42</v>
      </c>
      <c r="C2481" s="1" t="s">
        <v>3512</v>
      </c>
      <c r="D2481" s="1" t="s">
        <v>3513</v>
      </c>
      <c r="E2481" s="1" t="s">
        <v>45</v>
      </c>
      <c r="F2481" s="1" t="s">
        <v>5248</v>
      </c>
      <c r="G2481" s="1" t="s">
        <v>5731</v>
      </c>
      <c r="H2481" s="1" t="s">
        <v>5732</v>
      </c>
      <c r="I2481" s="1" t="s">
        <v>49</v>
      </c>
      <c r="J2481" s="1" t="s">
        <v>48</v>
      </c>
      <c r="K2481" s="1">
        <v>840</v>
      </c>
      <c r="L2481" s="1">
        <v>0</v>
      </c>
      <c r="M2481" s="1">
        <v>0</v>
      </c>
      <c r="N2481" s="1">
        <v>840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 t="s">
        <v>49</v>
      </c>
      <c r="AA2481" s="1" t="s">
        <v>49</v>
      </c>
      <c r="AB2481" s="1" t="s">
        <v>49</v>
      </c>
      <c r="AC2481" s="1" t="s">
        <v>3241</v>
      </c>
      <c r="AD2481" s="1" t="s">
        <v>3270</v>
      </c>
      <c r="AE2481" s="1" t="s">
        <v>3241</v>
      </c>
      <c r="AF2481" s="1" t="s">
        <v>5251</v>
      </c>
      <c r="AG2481" s="1" t="s">
        <v>53</v>
      </c>
      <c r="AH2481" s="1" t="s">
        <v>49</v>
      </c>
      <c r="AI2481" s="1" t="s">
        <v>54</v>
      </c>
      <c r="AJ2481" s="1">
        <v>1</v>
      </c>
      <c r="AK2481" s="1" t="str">
        <f t="shared" si="38"/>
        <v xml:space="preserve"> =&lt;90</v>
      </c>
      <c r="AL2481" s="1" t="str">
        <f>VLOOKUP(C:C,[1]基础信息!B$1:D$65536,3,0)</f>
        <v xml:space="preserve">Cartridge </v>
      </c>
      <c r="AM2481" s="1" t="str">
        <f>VLOOKUP(C:C,[1]基础信息!B$1:E$65536,4,0)</f>
        <v>UNIV</v>
      </c>
      <c r="AN2481" s="1" t="str">
        <f>VLOOKUP(C:C,[1]基础信息!B$1:F$65536,5,0)</f>
        <v>P3</v>
      </c>
    </row>
    <row r="2482" spans="1:40">
      <c r="A2482" s="1" t="s">
        <v>41</v>
      </c>
      <c r="B2482" s="1" t="s">
        <v>42</v>
      </c>
      <c r="C2482" s="1" t="s">
        <v>3512</v>
      </c>
      <c r="D2482" s="1" t="s">
        <v>3513</v>
      </c>
      <c r="E2482" s="1" t="s">
        <v>45</v>
      </c>
      <c r="F2482" s="1" t="s">
        <v>5248</v>
      </c>
      <c r="G2482" s="1" t="s">
        <v>5733</v>
      </c>
      <c r="H2482" s="1" t="s">
        <v>5734</v>
      </c>
      <c r="I2482" s="1" t="s">
        <v>49</v>
      </c>
      <c r="J2482" s="1" t="s">
        <v>48</v>
      </c>
      <c r="K2482" s="1">
        <v>840</v>
      </c>
      <c r="L2482" s="1">
        <v>0</v>
      </c>
      <c r="M2482" s="1">
        <v>0</v>
      </c>
      <c r="N2482" s="1">
        <v>840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 t="s">
        <v>49</v>
      </c>
      <c r="AA2482" s="1" t="s">
        <v>49</v>
      </c>
      <c r="AB2482" s="1" t="s">
        <v>49</v>
      </c>
      <c r="AC2482" s="1" t="s">
        <v>3241</v>
      </c>
      <c r="AD2482" s="1" t="s">
        <v>3270</v>
      </c>
      <c r="AE2482" s="1" t="s">
        <v>3241</v>
      </c>
      <c r="AF2482" s="1" t="s">
        <v>5251</v>
      </c>
      <c r="AG2482" s="1" t="s">
        <v>53</v>
      </c>
      <c r="AH2482" s="1" t="s">
        <v>49</v>
      </c>
      <c r="AI2482" s="1" t="s">
        <v>54</v>
      </c>
      <c r="AJ2482" s="1">
        <v>1</v>
      </c>
      <c r="AK2482" s="1" t="str">
        <f t="shared" si="38"/>
        <v xml:space="preserve"> =&lt;90</v>
      </c>
      <c r="AL2482" s="1" t="str">
        <f>VLOOKUP(C:C,[1]基础信息!B$1:D$65536,3,0)</f>
        <v xml:space="preserve">Cartridge </v>
      </c>
      <c r="AM2482" s="1" t="str">
        <f>VLOOKUP(C:C,[1]基础信息!B$1:E$65536,4,0)</f>
        <v>UNIV</v>
      </c>
      <c r="AN2482" s="1" t="str">
        <f>VLOOKUP(C:C,[1]基础信息!B$1:F$65536,5,0)</f>
        <v>P3</v>
      </c>
    </row>
    <row r="2483" spans="1:40">
      <c r="A2483" s="1" t="s">
        <v>41</v>
      </c>
      <c r="B2483" s="1" t="s">
        <v>42</v>
      </c>
      <c r="C2483" s="1" t="s">
        <v>3512</v>
      </c>
      <c r="D2483" s="1" t="s">
        <v>3513</v>
      </c>
      <c r="E2483" s="1" t="s">
        <v>45</v>
      </c>
      <c r="F2483" s="1" t="s">
        <v>5248</v>
      </c>
      <c r="G2483" s="1" t="s">
        <v>5735</v>
      </c>
      <c r="H2483" s="1" t="s">
        <v>5736</v>
      </c>
      <c r="I2483" s="1" t="s">
        <v>49</v>
      </c>
      <c r="J2483" s="1" t="s">
        <v>48</v>
      </c>
      <c r="K2483" s="1">
        <v>840</v>
      </c>
      <c r="L2483" s="1">
        <v>0</v>
      </c>
      <c r="M2483" s="1">
        <v>0</v>
      </c>
      <c r="N2483" s="1">
        <v>840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 t="s">
        <v>49</v>
      </c>
      <c r="AA2483" s="1" t="s">
        <v>49</v>
      </c>
      <c r="AB2483" s="1" t="s">
        <v>49</v>
      </c>
      <c r="AC2483" s="1" t="s">
        <v>3241</v>
      </c>
      <c r="AD2483" s="1" t="s">
        <v>3270</v>
      </c>
      <c r="AE2483" s="1" t="s">
        <v>3241</v>
      </c>
      <c r="AF2483" s="1" t="s">
        <v>5251</v>
      </c>
      <c r="AG2483" s="1" t="s">
        <v>53</v>
      </c>
      <c r="AH2483" s="1" t="s">
        <v>49</v>
      </c>
      <c r="AI2483" s="1" t="s">
        <v>54</v>
      </c>
      <c r="AJ2483" s="1">
        <v>1</v>
      </c>
      <c r="AK2483" s="1" t="str">
        <f t="shared" si="38"/>
        <v xml:space="preserve"> =&lt;90</v>
      </c>
      <c r="AL2483" s="1" t="str">
        <f>VLOOKUP(C:C,[1]基础信息!B$1:D$65536,3,0)</f>
        <v xml:space="preserve">Cartridge </v>
      </c>
      <c r="AM2483" s="1" t="str">
        <f>VLOOKUP(C:C,[1]基础信息!B$1:E$65536,4,0)</f>
        <v>UNIV</v>
      </c>
      <c r="AN2483" s="1" t="str">
        <f>VLOOKUP(C:C,[1]基础信息!B$1:F$65536,5,0)</f>
        <v>P3</v>
      </c>
    </row>
    <row r="2484" spans="1:40">
      <c r="A2484" s="1" t="s">
        <v>41</v>
      </c>
      <c r="B2484" s="1" t="s">
        <v>42</v>
      </c>
      <c r="C2484" s="1" t="s">
        <v>3512</v>
      </c>
      <c r="D2484" s="1" t="s">
        <v>3513</v>
      </c>
      <c r="E2484" s="1" t="s">
        <v>45</v>
      </c>
      <c r="F2484" s="1" t="s">
        <v>5248</v>
      </c>
      <c r="G2484" s="1" t="s">
        <v>5737</v>
      </c>
      <c r="H2484" s="1" t="s">
        <v>5738</v>
      </c>
      <c r="I2484" s="1" t="s">
        <v>49</v>
      </c>
      <c r="J2484" s="1" t="s">
        <v>48</v>
      </c>
      <c r="K2484" s="1">
        <v>840</v>
      </c>
      <c r="L2484" s="1">
        <v>0</v>
      </c>
      <c r="M2484" s="1">
        <v>0</v>
      </c>
      <c r="N2484" s="1">
        <v>840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 t="s">
        <v>49</v>
      </c>
      <c r="AA2484" s="1" t="s">
        <v>49</v>
      </c>
      <c r="AB2484" s="1" t="s">
        <v>49</v>
      </c>
      <c r="AC2484" s="1" t="s">
        <v>3241</v>
      </c>
      <c r="AD2484" s="1" t="s">
        <v>3270</v>
      </c>
      <c r="AE2484" s="1" t="s">
        <v>3241</v>
      </c>
      <c r="AF2484" s="1" t="s">
        <v>5251</v>
      </c>
      <c r="AG2484" s="1" t="s">
        <v>53</v>
      </c>
      <c r="AH2484" s="1" t="s">
        <v>49</v>
      </c>
      <c r="AI2484" s="1" t="s">
        <v>54</v>
      </c>
      <c r="AJ2484" s="1">
        <v>1</v>
      </c>
      <c r="AK2484" s="1" t="str">
        <f t="shared" si="38"/>
        <v xml:space="preserve"> =&lt;90</v>
      </c>
      <c r="AL2484" s="1" t="str">
        <f>VLOOKUP(C:C,[1]基础信息!B$1:D$65536,3,0)</f>
        <v xml:space="preserve">Cartridge </v>
      </c>
      <c r="AM2484" s="1" t="str">
        <f>VLOOKUP(C:C,[1]基础信息!B$1:E$65536,4,0)</f>
        <v>UNIV</v>
      </c>
      <c r="AN2484" s="1" t="str">
        <f>VLOOKUP(C:C,[1]基础信息!B$1:F$65536,5,0)</f>
        <v>P3</v>
      </c>
    </row>
    <row r="2485" spans="1:40">
      <c r="A2485" s="1" t="s">
        <v>41</v>
      </c>
      <c r="B2485" s="1" t="s">
        <v>42</v>
      </c>
      <c r="C2485" s="1" t="s">
        <v>3512</v>
      </c>
      <c r="D2485" s="1" t="s">
        <v>3513</v>
      </c>
      <c r="E2485" s="1" t="s">
        <v>45</v>
      </c>
      <c r="F2485" s="1" t="s">
        <v>5248</v>
      </c>
      <c r="G2485" s="1" t="s">
        <v>5739</v>
      </c>
      <c r="H2485" s="1" t="s">
        <v>5740</v>
      </c>
      <c r="I2485" s="1" t="s">
        <v>49</v>
      </c>
      <c r="J2485" s="1" t="s">
        <v>48</v>
      </c>
      <c r="K2485" s="1">
        <v>840</v>
      </c>
      <c r="L2485" s="1">
        <v>0</v>
      </c>
      <c r="M2485" s="1">
        <v>0</v>
      </c>
      <c r="N2485" s="1">
        <v>840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 t="s">
        <v>49</v>
      </c>
      <c r="AA2485" s="1" t="s">
        <v>49</v>
      </c>
      <c r="AB2485" s="1" t="s">
        <v>49</v>
      </c>
      <c r="AC2485" s="1" t="s">
        <v>3241</v>
      </c>
      <c r="AD2485" s="1" t="s">
        <v>3270</v>
      </c>
      <c r="AE2485" s="1" t="s">
        <v>3241</v>
      </c>
      <c r="AF2485" s="1" t="s">
        <v>5251</v>
      </c>
      <c r="AG2485" s="1" t="s">
        <v>53</v>
      </c>
      <c r="AH2485" s="1" t="s">
        <v>49</v>
      </c>
      <c r="AI2485" s="1" t="s">
        <v>54</v>
      </c>
      <c r="AJ2485" s="1">
        <v>1</v>
      </c>
      <c r="AK2485" s="1" t="str">
        <f t="shared" si="38"/>
        <v xml:space="preserve"> =&lt;90</v>
      </c>
      <c r="AL2485" s="1" t="str">
        <f>VLOOKUP(C:C,[1]基础信息!B$1:D$65536,3,0)</f>
        <v xml:space="preserve">Cartridge </v>
      </c>
      <c r="AM2485" s="1" t="str">
        <f>VLOOKUP(C:C,[1]基础信息!B$1:E$65536,4,0)</f>
        <v>UNIV</v>
      </c>
      <c r="AN2485" s="1" t="str">
        <f>VLOOKUP(C:C,[1]基础信息!B$1:F$65536,5,0)</f>
        <v>P3</v>
      </c>
    </row>
    <row r="2486" spans="1:40">
      <c r="A2486" s="1" t="s">
        <v>41</v>
      </c>
      <c r="B2486" s="1" t="s">
        <v>42</v>
      </c>
      <c r="C2486" s="1" t="s">
        <v>3512</v>
      </c>
      <c r="D2486" s="1" t="s">
        <v>3513</v>
      </c>
      <c r="E2486" s="1" t="s">
        <v>45</v>
      </c>
      <c r="F2486" s="1" t="s">
        <v>5248</v>
      </c>
      <c r="G2486" s="1" t="s">
        <v>5741</v>
      </c>
      <c r="H2486" s="1" t="s">
        <v>5742</v>
      </c>
      <c r="I2486" s="1" t="s">
        <v>49</v>
      </c>
      <c r="J2486" s="1" t="s">
        <v>48</v>
      </c>
      <c r="K2486" s="1">
        <v>840</v>
      </c>
      <c r="L2486" s="1">
        <v>0</v>
      </c>
      <c r="M2486" s="1">
        <v>0</v>
      </c>
      <c r="N2486" s="1">
        <v>840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 t="s">
        <v>49</v>
      </c>
      <c r="AA2486" s="1" t="s">
        <v>49</v>
      </c>
      <c r="AB2486" s="1" t="s">
        <v>49</v>
      </c>
      <c r="AC2486" s="1" t="s">
        <v>3241</v>
      </c>
      <c r="AD2486" s="1" t="s">
        <v>3270</v>
      </c>
      <c r="AE2486" s="1" t="s">
        <v>3241</v>
      </c>
      <c r="AF2486" s="1" t="s">
        <v>5251</v>
      </c>
      <c r="AG2486" s="1" t="s">
        <v>53</v>
      </c>
      <c r="AH2486" s="1" t="s">
        <v>49</v>
      </c>
      <c r="AI2486" s="1" t="s">
        <v>54</v>
      </c>
      <c r="AJ2486" s="1">
        <v>1</v>
      </c>
      <c r="AK2486" s="1" t="str">
        <f t="shared" si="38"/>
        <v xml:space="preserve"> =&lt;90</v>
      </c>
      <c r="AL2486" s="1" t="str">
        <f>VLOOKUP(C:C,[1]基础信息!B$1:D$65536,3,0)</f>
        <v xml:space="preserve">Cartridge </v>
      </c>
      <c r="AM2486" s="1" t="str">
        <f>VLOOKUP(C:C,[1]基础信息!B$1:E$65536,4,0)</f>
        <v>UNIV</v>
      </c>
      <c r="AN2486" s="1" t="str">
        <f>VLOOKUP(C:C,[1]基础信息!B$1:F$65536,5,0)</f>
        <v>P3</v>
      </c>
    </row>
    <row r="2487" spans="1:40">
      <c r="A2487" s="1" t="s">
        <v>41</v>
      </c>
      <c r="B2487" s="1" t="s">
        <v>42</v>
      </c>
      <c r="C2487" s="1" t="s">
        <v>3512</v>
      </c>
      <c r="D2487" s="1" t="s">
        <v>3513</v>
      </c>
      <c r="E2487" s="1" t="s">
        <v>45</v>
      </c>
      <c r="F2487" s="1" t="s">
        <v>5248</v>
      </c>
      <c r="G2487" s="1" t="s">
        <v>5743</v>
      </c>
      <c r="H2487" s="1" t="s">
        <v>5744</v>
      </c>
      <c r="I2487" s="1" t="s">
        <v>49</v>
      </c>
      <c r="J2487" s="1" t="s">
        <v>48</v>
      </c>
      <c r="K2487" s="1">
        <v>840</v>
      </c>
      <c r="L2487" s="1">
        <v>0</v>
      </c>
      <c r="M2487" s="1">
        <v>0</v>
      </c>
      <c r="N2487" s="1">
        <v>840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 t="s">
        <v>49</v>
      </c>
      <c r="AA2487" s="1" t="s">
        <v>49</v>
      </c>
      <c r="AB2487" s="1" t="s">
        <v>49</v>
      </c>
      <c r="AC2487" s="1" t="s">
        <v>3241</v>
      </c>
      <c r="AD2487" s="1" t="s">
        <v>3270</v>
      </c>
      <c r="AE2487" s="1" t="s">
        <v>3241</v>
      </c>
      <c r="AF2487" s="1" t="s">
        <v>5251</v>
      </c>
      <c r="AG2487" s="1" t="s">
        <v>53</v>
      </c>
      <c r="AH2487" s="1" t="s">
        <v>49</v>
      </c>
      <c r="AI2487" s="1" t="s">
        <v>54</v>
      </c>
      <c r="AJ2487" s="1">
        <v>1</v>
      </c>
      <c r="AK2487" s="1" t="str">
        <f t="shared" si="38"/>
        <v xml:space="preserve"> =&lt;90</v>
      </c>
      <c r="AL2487" s="1" t="str">
        <f>VLOOKUP(C:C,[1]基础信息!B$1:D$65536,3,0)</f>
        <v xml:space="preserve">Cartridge </v>
      </c>
      <c r="AM2487" s="1" t="str">
        <f>VLOOKUP(C:C,[1]基础信息!B$1:E$65536,4,0)</f>
        <v>UNIV</v>
      </c>
      <c r="AN2487" s="1" t="str">
        <f>VLOOKUP(C:C,[1]基础信息!B$1:F$65536,5,0)</f>
        <v>P3</v>
      </c>
    </row>
    <row r="2488" spans="1:40">
      <c r="A2488" s="1" t="s">
        <v>41</v>
      </c>
      <c r="B2488" s="1" t="s">
        <v>42</v>
      </c>
      <c r="C2488" s="1" t="s">
        <v>3971</v>
      </c>
      <c r="D2488" s="1" t="s">
        <v>3972</v>
      </c>
      <c r="E2488" s="1" t="s">
        <v>45</v>
      </c>
      <c r="F2488" s="1" t="s">
        <v>5701</v>
      </c>
      <c r="G2488" s="1" t="s">
        <v>5745</v>
      </c>
      <c r="H2488" s="1" t="s">
        <v>5746</v>
      </c>
      <c r="I2488" s="1" t="s">
        <v>49</v>
      </c>
      <c r="J2488" s="1" t="s">
        <v>48</v>
      </c>
      <c r="K2488" s="1">
        <v>96</v>
      </c>
      <c r="L2488" s="1">
        <v>0</v>
      </c>
      <c r="M2488" s="1">
        <v>0</v>
      </c>
      <c r="N2488" s="1">
        <v>96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 t="s">
        <v>49</v>
      </c>
      <c r="AA2488" s="1" t="s">
        <v>49</v>
      </c>
      <c r="AB2488" s="1" t="s">
        <v>49</v>
      </c>
      <c r="AC2488" s="1" t="s">
        <v>88</v>
      </c>
      <c r="AD2488" s="1" t="s">
        <v>89</v>
      </c>
      <c r="AE2488" s="1" t="s">
        <v>88</v>
      </c>
      <c r="AF2488" s="1" t="s">
        <v>5704</v>
      </c>
      <c r="AG2488" s="1" t="s">
        <v>53</v>
      </c>
      <c r="AH2488" s="1" t="s">
        <v>49</v>
      </c>
      <c r="AI2488" s="1" t="s">
        <v>54</v>
      </c>
      <c r="AJ2488" s="1">
        <v>1</v>
      </c>
      <c r="AK2488" s="1" t="str">
        <f t="shared" si="38"/>
        <v xml:space="preserve"> =&lt;90</v>
      </c>
      <c r="AL2488" s="1" t="str">
        <f>VLOOKUP(C:C,[1]基础信息!B$1:D$65536,3,0)</f>
        <v>Jug</v>
      </c>
      <c r="AM2488" s="1" t="str">
        <f>VLOOKUP(C:C,[1]基础信息!B$1:E$65536,4,0)</f>
        <v>Mxplus</v>
      </c>
      <c r="AN2488" s="1" t="str">
        <f>VLOOKUP(C:C,[1]基础信息!B$1:F$65536,5,0)</f>
        <v xml:space="preserve"> lime</v>
      </c>
    </row>
    <row r="2489" spans="1:40">
      <c r="A2489" s="1" t="s">
        <v>41</v>
      </c>
      <c r="B2489" s="1" t="s">
        <v>42</v>
      </c>
      <c r="C2489" s="1" t="s">
        <v>4352</v>
      </c>
      <c r="D2489" s="1" t="s">
        <v>4353</v>
      </c>
      <c r="E2489" s="1" t="s">
        <v>45</v>
      </c>
      <c r="F2489" s="1" t="s">
        <v>5614</v>
      </c>
      <c r="G2489" s="1" t="s">
        <v>5747</v>
      </c>
      <c r="H2489" s="1" t="s">
        <v>5748</v>
      </c>
      <c r="I2489" s="1" t="s">
        <v>49</v>
      </c>
      <c r="J2489" s="1" t="s">
        <v>48</v>
      </c>
      <c r="K2489" s="1">
        <v>336</v>
      </c>
      <c r="L2489" s="1">
        <v>0</v>
      </c>
      <c r="M2489" s="1">
        <v>0</v>
      </c>
      <c r="N2489" s="1">
        <v>336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 t="s">
        <v>49</v>
      </c>
      <c r="AA2489" s="1" t="s">
        <v>49</v>
      </c>
      <c r="AB2489" s="1" t="s">
        <v>49</v>
      </c>
      <c r="AC2489" s="1" t="s">
        <v>5184</v>
      </c>
      <c r="AD2489" s="1" t="s">
        <v>5185</v>
      </c>
      <c r="AE2489" s="1" t="s">
        <v>5462</v>
      </c>
      <c r="AF2489" s="1" t="s">
        <v>5186</v>
      </c>
      <c r="AG2489" s="1" t="s">
        <v>53</v>
      </c>
      <c r="AH2489" s="1" t="s">
        <v>49</v>
      </c>
      <c r="AI2489" s="1" t="s">
        <v>54</v>
      </c>
      <c r="AJ2489" s="1">
        <v>1</v>
      </c>
      <c r="AK2489" s="1" t="str">
        <f t="shared" si="38"/>
        <v xml:space="preserve"> =&lt;90</v>
      </c>
      <c r="AL2489" s="1" t="e">
        <f>VLOOKUP(C:C,[1]基础信息!B$1:D$65536,3,0)</f>
        <v>#N/A</v>
      </c>
      <c r="AM2489" s="1" t="e">
        <f>VLOOKUP(C:C,[1]基础信息!B$1:E$65536,4,0)</f>
        <v>#N/A</v>
      </c>
      <c r="AN2489" s="1" t="e">
        <f>VLOOKUP(C:C,[1]基础信息!B$1:F$65536,5,0)</f>
        <v>#N/A</v>
      </c>
    </row>
    <row r="2490" spans="1:40">
      <c r="A2490" s="1" t="s">
        <v>41</v>
      </c>
      <c r="B2490" s="1" t="s">
        <v>42</v>
      </c>
      <c r="C2490" s="1" t="s">
        <v>4352</v>
      </c>
      <c r="D2490" s="1" t="s">
        <v>4353</v>
      </c>
      <c r="E2490" s="1" t="s">
        <v>45</v>
      </c>
      <c r="F2490" s="1" t="s">
        <v>5614</v>
      </c>
      <c r="G2490" s="1" t="s">
        <v>5749</v>
      </c>
      <c r="H2490" s="1" t="s">
        <v>5750</v>
      </c>
      <c r="I2490" s="1" t="s">
        <v>49</v>
      </c>
      <c r="J2490" s="1" t="s">
        <v>48</v>
      </c>
      <c r="K2490" s="1">
        <v>336</v>
      </c>
      <c r="L2490" s="1">
        <v>0</v>
      </c>
      <c r="M2490" s="1">
        <v>0</v>
      </c>
      <c r="N2490" s="1">
        <v>336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 t="s">
        <v>49</v>
      </c>
      <c r="AA2490" s="1" t="s">
        <v>49</v>
      </c>
      <c r="AB2490" s="1" t="s">
        <v>49</v>
      </c>
      <c r="AC2490" s="1" t="s">
        <v>5184</v>
      </c>
      <c r="AD2490" s="1" t="s">
        <v>5185</v>
      </c>
      <c r="AE2490" s="1" t="s">
        <v>5462</v>
      </c>
      <c r="AF2490" s="1" t="s">
        <v>5186</v>
      </c>
      <c r="AG2490" s="1" t="s">
        <v>53</v>
      </c>
      <c r="AH2490" s="1" t="s">
        <v>49</v>
      </c>
      <c r="AI2490" s="1" t="s">
        <v>54</v>
      </c>
      <c r="AJ2490" s="1">
        <v>1</v>
      </c>
      <c r="AK2490" s="1" t="str">
        <f t="shared" si="38"/>
        <v xml:space="preserve"> =&lt;90</v>
      </c>
      <c r="AL2490" s="1" t="e">
        <f>VLOOKUP(C:C,[1]基础信息!B$1:D$65536,3,0)</f>
        <v>#N/A</v>
      </c>
      <c r="AM2490" s="1" t="e">
        <f>VLOOKUP(C:C,[1]基础信息!B$1:E$65536,4,0)</f>
        <v>#N/A</v>
      </c>
      <c r="AN2490" s="1" t="e">
        <f>VLOOKUP(C:C,[1]基础信息!B$1:F$65536,5,0)</f>
        <v>#N/A</v>
      </c>
    </row>
    <row r="2491" spans="1:40">
      <c r="A2491" s="1" t="s">
        <v>41</v>
      </c>
      <c r="B2491" s="1" t="s">
        <v>42</v>
      </c>
      <c r="C2491" s="1" t="s">
        <v>4352</v>
      </c>
      <c r="D2491" s="1" t="s">
        <v>4353</v>
      </c>
      <c r="E2491" s="1" t="s">
        <v>45</v>
      </c>
      <c r="F2491" s="1" t="s">
        <v>5614</v>
      </c>
      <c r="G2491" s="1" t="s">
        <v>5751</v>
      </c>
      <c r="H2491" s="1" t="s">
        <v>5752</v>
      </c>
      <c r="I2491" s="1" t="s">
        <v>49</v>
      </c>
      <c r="J2491" s="1" t="s">
        <v>48</v>
      </c>
      <c r="K2491" s="1">
        <v>336</v>
      </c>
      <c r="L2491" s="1">
        <v>0</v>
      </c>
      <c r="M2491" s="1">
        <v>0</v>
      </c>
      <c r="N2491" s="1">
        <v>336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 t="s">
        <v>49</v>
      </c>
      <c r="AA2491" s="1" t="s">
        <v>49</v>
      </c>
      <c r="AB2491" s="1" t="s">
        <v>49</v>
      </c>
      <c r="AC2491" s="1" t="s">
        <v>5184</v>
      </c>
      <c r="AD2491" s="1" t="s">
        <v>5185</v>
      </c>
      <c r="AE2491" s="1" t="s">
        <v>5462</v>
      </c>
      <c r="AF2491" s="1" t="s">
        <v>5186</v>
      </c>
      <c r="AG2491" s="1" t="s">
        <v>53</v>
      </c>
      <c r="AH2491" s="1" t="s">
        <v>49</v>
      </c>
      <c r="AI2491" s="1" t="s">
        <v>54</v>
      </c>
      <c r="AJ2491" s="1">
        <v>1</v>
      </c>
      <c r="AK2491" s="1" t="str">
        <f t="shared" si="38"/>
        <v xml:space="preserve"> =&lt;90</v>
      </c>
      <c r="AL2491" s="1" t="e">
        <f>VLOOKUP(C:C,[1]基础信息!B$1:D$65536,3,0)</f>
        <v>#N/A</v>
      </c>
      <c r="AM2491" s="1" t="e">
        <f>VLOOKUP(C:C,[1]基础信息!B$1:E$65536,4,0)</f>
        <v>#N/A</v>
      </c>
      <c r="AN2491" s="1" t="e">
        <f>VLOOKUP(C:C,[1]基础信息!B$1:F$65536,5,0)</f>
        <v>#N/A</v>
      </c>
    </row>
    <row r="2492" spans="1:40">
      <c r="A2492" s="1" t="s">
        <v>41</v>
      </c>
      <c r="B2492" s="1" t="s">
        <v>42</v>
      </c>
      <c r="C2492" s="1" t="s">
        <v>3971</v>
      </c>
      <c r="D2492" s="1" t="s">
        <v>3972</v>
      </c>
      <c r="E2492" s="1" t="s">
        <v>45</v>
      </c>
      <c r="F2492" s="1" t="s">
        <v>5701</v>
      </c>
      <c r="G2492" s="1" t="s">
        <v>5753</v>
      </c>
      <c r="H2492" s="1" t="s">
        <v>5754</v>
      </c>
      <c r="I2492" s="1" t="s">
        <v>49</v>
      </c>
      <c r="J2492" s="1" t="s">
        <v>48</v>
      </c>
      <c r="K2492" s="1">
        <v>96</v>
      </c>
      <c r="L2492" s="1">
        <v>0</v>
      </c>
      <c r="M2492" s="1">
        <v>0</v>
      </c>
      <c r="N2492" s="1">
        <v>96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 t="s">
        <v>49</v>
      </c>
      <c r="AA2492" s="1" t="s">
        <v>49</v>
      </c>
      <c r="AB2492" s="1" t="s">
        <v>49</v>
      </c>
      <c r="AC2492" s="1" t="s">
        <v>88</v>
      </c>
      <c r="AD2492" s="1" t="s">
        <v>89</v>
      </c>
      <c r="AE2492" s="1" t="s">
        <v>88</v>
      </c>
      <c r="AF2492" s="1" t="s">
        <v>5704</v>
      </c>
      <c r="AG2492" s="1" t="s">
        <v>53</v>
      </c>
      <c r="AH2492" s="1" t="s">
        <v>49</v>
      </c>
      <c r="AI2492" s="1" t="s">
        <v>54</v>
      </c>
      <c r="AJ2492" s="1">
        <v>1</v>
      </c>
      <c r="AK2492" s="1" t="str">
        <f t="shared" si="38"/>
        <v xml:space="preserve"> =&lt;90</v>
      </c>
      <c r="AL2492" s="1" t="str">
        <f>VLOOKUP(C:C,[1]基础信息!B$1:D$65536,3,0)</f>
        <v>Jug</v>
      </c>
      <c r="AM2492" s="1" t="str">
        <f>VLOOKUP(C:C,[1]基础信息!B$1:E$65536,4,0)</f>
        <v>Mxplus</v>
      </c>
      <c r="AN2492" s="1" t="str">
        <f>VLOOKUP(C:C,[1]基础信息!B$1:F$65536,5,0)</f>
        <v xml:space="preserve"> lime</v>
      </c>
    </row>
    <row r="2493" spans="1:40">
      <c r="A2493" s="1" t="s">
        <v>41</v>
      </c>
      <c r="B2493" s="1" t="s">
        <v>42</v>
      </c>
      <c r="C2493" s="1" t="s">
        <v>3971</v>
      </c>
      <c r="D2493" s="1" t="s">
        <v>3972</v>
      </c>
      <c r="E2493" s="1" t="s">
        <v>45</v>
      </c>
      <c r="F2493" s="1" t="s">
        <v>5380</v>
      </c>
      <c r="G2493" s="1" t="s">
        <v>5755</v>
      </c>
      <c r="H2493" s="1" t="s">
        <v>5756</v>
      </c>
      <c r="I2493" s="1" t="s">
        <v>49</v>
      </c>
      <c r="J2493" s="1" t="s">
        <v>48</v>
      </c>
      <c r="K2493" s="1">
        <v>96</v>
      </c>
      <c r="L2493" s="1">
        <v>0</v>
      </c>
      <c r="M2493" s="1">
        <v>0</v>
      </c>
      <c r="N2493" s="1">
        <v>96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 t="s">
        <v>49</v>
      </c>
      <c r="AA2493" s="1" t="s">
        <v>49</v>
      </c>
      <c r="AB2493" s="1" t="s">
        <v>49</v>
      </c>
      <c r="AC2493" s="1" t="s">
        <v>1408</v>
      </c>
      <c r="AD2493" s="1" t="s">
        <v>1409</v>
      </c>
      <c r="AE2493" s="1" t="s">
        <v>1408</v>
      </c>
      <c r="AF2493" s="1" t="s">
        <v>1172</v>
      </c>
      <c r="AG2493" s="1" t="s">
        <v>53</v>
      </c>
      <c r="AH2493" s="1" t="s">
        <v>49</v>
      </c>
      <c r="AI2493" s="1" t="s">
        <v>54</v>
      </c>
      <c r="AJ2493" s="1">
        <v>1</v>
      </c>
      <c r="AK2493" s="1" t="str">
        <f t="shared" si="38"/>
        <v xml:space="preserve"> =&lt;90</v>
      </c>
      <c r="AL2493" s="1" t="str">
        <f>VLOOKUP(C:C,[1]基础信息!B$1:D$65536,3,0)</f>
        <v>Jug</v>
      </c>
      <c r="AM2493" s="1" t="str">
        <f>VLOOKUP(C:C,[1]基础信息!B$1:E$65536,4,0)</f>
        <v>Mxplus</v>
      </c>
      <c r="AN2493" s="1" t="str">
        <f>VLOOKUP(C:C,[1]基础信息!B$1:F$65536,5,0)</f>
        <v xml:space="preserve"> lime</v>
      </c>
    </row>
    <row r="2494" spans="1:40">
      <c r="A2494" s="1" t="s">
        <v>41</v>
      </c>
      <c r="B2494" s="1" t="s">
        <v>42</v>
      </c>
      <c r="C2494" s="1" t="s">
        <v>3971</v>
      </c>
      <c r="D2494" s="1" t="s">
        <v>3972</v>
      </c>
      <c r="E2494" s="1" t="s">
        <v>45</v>
      </c>
      <c r="F2494" s="1" t="s">
        <v>5380</v>
      </c>
      <c r="G2494" s="1" t="s">
        <v>5757</v>
      </c>
      <c r="H2494" s="1" t="s">
        <v>5758</v>
      </c>
      <c r="I2494" s="1" t="s">
        <v>49</v>
      </c>
      <c r="J2494" s="1" t="s">
        <v>48</v>
      </c>
      <c r="K2494" s="1">
        <v>96</v>
      </c>
      <c r="L2494" s="1">
        <v>0</v>
      </c>
      <c r="M2494" s="1">
        <v>0</v>
      </c>
      <c r="N2494" s="1">
        <v>96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 t="s">
        <v>49</v>
      </c>
      <c r="AA2494" s="1" t="s">
        <v>49</v>
      </c>
      <c r="AB2494" s="1" t="s">
        <v>49</v>
      </c>
      <c r="AC2494" s="1" t="s">
        <v>1408</v>
      </c>
      <c r="AD2494" s="1" t="s">
        <v>1409</v>
      </c>
      <c r="AE2494" s="1" t="s">
        <v>1408</v>
      </c>
      <c r="AF2494" s="1" t="s">
        <v>1172</v>
      </c>
      <c r="AG2494" s="1" t="s">
        <v>53</v>
      </c>
      <c r="AH2494" s="1" t="s">
        <v>49</v>
      </c>
      <c r="AI2494" s="1" t="s">
        <v>54</v>
      </c>
      <c r="AJ2494" s="1">
        <v>1</v>
      </c>
      <c r="AK2494" s="1" t="str">
        <f t="shared" si="38"/>
        <v xml:space="preserve"> =&lt;90</v>
      </c>
      <c r="AL2494" s="1" t="str">
        <f>VLOOKUP(C:C,[1]基础信息!B$1:D$65536,3,0)</f>
        <v>Jug</v>
      </c>
      <c r="AM2494" s="1" t="str">
        <f>VLOOKUP(C:C,[1]基础信息!B$1:E$65536,4,0)</f>
        <v>Mxplus</v>
      </c>
      <c r="AN2494" s="1" t="str">
        <f>VLOOKUP(C:C,[1]基础信息!B$1:F$65536,5,0)</f>
        <v xml:space="preserve"> lime</v>
      </c>
    </row>
    <row r="2495" spans="1:40">
      <c r="A2495" s="1" t="s">
        <v>41</v>
      </c>
      <c r="B2495" s="1" t="s">
        <v>42</v>
      </c>
      <c r="C2495" s="1" t="s">
        <v>3971</v>
      </c>
      <c r="D2495" s="1" t="s">
        <v>3972</v>
      </c>
      <c r="E2495" s="1" t="s">
        <v>45</v>
      </c>
      <c r="F2495" s="1" t="s">
        <v>5380</v>
      </c>
      <c r="G2495" s="1" t="s">
        <v>5759</v>
      </c>
      <c r="H2495" s="1" t="s">
        <v>5760</v>
      </c>
      <c r="I2495" s="1" t="s">
        <v>49</v>
      </c>
      <c r="J2495" s="1" t="s">
        <v>48</v>
      </c>
      <c r="K2495" s="1">
        <v>96</v>
      </c>
      <c r="L2495" s="1">
        <v>0</v>
      </c>
      <c r="M2495" s="1">
        <v>0</v>
      </c>
      <c r="N2495" s="1">
        <v>96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 t="s">
        <v>49</v>
      </c>
      <c r="AA2495" s="1" t="s">
        <v>49</v>
      </c>
      <c r="AB2495" s="1" t="s">
        <v>49</v>
      </c>
      <c r="AC2495" s="1" t="s">
        <v>1408</v>
      </c>
      <c r="AD2495" s="1" t="s">
        <v>1409</v>
      </c>
      <c r="AE2495" s="1" t="s">
        <v>1408</v>
      </c>
      <c r="AF2495" s="1" t="s">
        <v>1172</v>
      </c>
      <c r="AG2495" s="1" t="s">
        <v>53</v>
      </c>
      <c r="AH2495" s="1" t="s">
        <v>49</v>
      </c>
      <c r="AI2495" s="1" t="s">
        <v>54</v>
      </c>
      <c r="AJ2495" s="1">
        <v>1</v>
      </c>
      <c r="AK2495" s="1" t="str">
        <f t="shared" si="38"/>
        <v xml:space="preserve"> =&lt;90</v>
      </c>
      <c r="AL2495" s="1" t="str">
        <f>VLOOKUP(C:C,[1]基础信息!B$1:D$65536,3,0)</f>
        <v>Jug</v>
      </c>
      <c r="AM2495" s="1" t="str">
        <f>VLOOKUP(C:C,[1]基础信息!B$1:E$65536,4,0)</f>
        <v>Mxplus</v>
      </c>
      <c r="AN2495" s="1" t="str">
        <f>VLOOKUP(C:C,[1]基础信息!B$1:F$65536,5,0)</f>
        <v xml:space="preserve"> lime</v>
      </c>
    </row>
    <row r="2496" spans="1:40">
      <c r="A2496" s="1" t="s">
        <v>41</v>
      </c>
      <c r="B2496" s="1" t="s">
        <v>42</v>
      </c>
      <c r="C2496" s="1" t="s">
        <v>3971</v>
      </c>
      <c r="D2496" s="1" t="s">
        <v>3972</v>
      </c>
      <c r="E2496" s="1" t="s">
        <v>45</v>
      </c>
      <c r="F2496" s="1" t="s">
        <v>5701</v>
      </c>
      <c r="G2496" s="1" t="s">
        <v>5761</v>
      </c>
      <c r="H2496" s="1" t="s">
        <v>5762</v>
      </c>
      <c r="I2496" s="1" t="s">
        <v>49</v>
      </c>
      <c r="J2496" s="1" t="s">
        <v>48</v>
      </c>
      <c r="K2496" s="1">
        <v>96</v>
      </c>
      <c r="L2496" s="1">
        <v>0</v>
      </c>
      <c r="M2496" s="1">
        <v>0</v>
      </c>
      <c r="N2496" s="1">
        <v>96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 t="s">
        <v>49</v>
      </c>
      <c r="AA2496" s="1" t="s">
        <v>49</v>
      </c>
      <c r="AB2496" s="1" t="s">
        <v>49</v>
      </c>
      <c r="AC2496" s="1" t="s">
        <v>88</v>
      </c>
      <c r="AD2496" s="1" t="s">
        <v>89</v>
      </c>
      <c r="AE2496" s="1" t="s">
        <v>88</v>
      </c>
      <c r="AF2496" s="1" t="s">
        <v>5704</v>
      </c>
      <c r="AG2496" s="1" t="s">
        <v>53</v>
      </c>
      <c r="AH2496" s="1" t="s">
        <v>49</v>
      </c>
      <c r="AI2496" s="1" t="s">
        <v>54</v>
      </c>
      <c r="AJ2496" s="1">
        <v>1</v>
      </c>
      <c r="AK2496" s="1" t="str">
        <f t="shared" si="38"/>
        <v xml:space="preserve"> =&lt;90</v>
      </c>
      <c r="AL2496" s="1" t="str">
        <f>VLOOKUP(C:C,[1]基础信息!B$1:D$65536,3,0)</f>
        <v>Jug</v>
      </c>
      <c r="AM2496" s="1" t="str">
        <f>VLOOKUP(C:C,[1]基础信息!B$1:E$65536,4,0)</f>
        <v>Mxplus</v>
      </c>
      <c r="AN2496" s="1" t="str">
        <f>VLOOKUP(C:C,[1]基础信息!B$1:F$65536,5,0)</f>
        <v xml:space="preserve"> lime</v>
      </c>
    </row>
    <row r="2497" spans="1:40">
      <c r="A2497" s="1" t="s">
        <v>41</v>
      </c>
      <c r="B2497" s="1" t="s">
        <v>42</v>
      </c>
      <c r="C2497" s="1" t="s">
        <v>3971</v>
      </c>
      <c r="D2497" s="1" t="s">
        <v>3972</v>
      </c>
      <c r="E2497" s="1" t="s">
        <v>45</v>
      </c>
      <c r="F2497" s="1" t="s">
        <v>5701</v>
      </c>
      <c r="G2497" s="1" t="s">
        <v>5763</v>
      </c>
      <c r="H2497" s="1" t="s">
        <v>5764</v>
      </c>
      <c r="I2497" s="1" t="s">
        <v>49</v>
      </c>
      <c r="J2497" s="1" t="s">
        <v>48</v>
      </c>
      <c r="K2497" s="1">
        <v>96</v>
      </c>
      <c r="L2497" s="1">
        <v>0</v>
      </c>
      <c r="M2497" s="1">
        <v>0</v>
      </c>
      <c r="N2497" s="1">
        <v>96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 t="s">
        <v>49</v>
      </c>
      <c r="AA2497" s="1" t="s">
        <v>49</v>
      </c>
      <c r="AB2497" s="1" t="s">
        <v>49</v>
      </c>
      <c r="AC2497" s="1" t="s">
        <v>88</v>
      </c>
      <c r="AD2497" s="1" t="s">
        <v>89</v>
      </c>
      <c r="AE2497" s="1" t="s">
        <v>88</v>
      </c>
      <c r="AF2497" s="1" t="s">
        <v>5704</v>
      </c>
      <c r="AG2497" s="1" t="s">
        <v>53</v>
      </c>
      <c r="AH2497" s="1" t="s">
        <v>49</v>
      </c>
      <c r="AI2497" s="1" t="s">
        <v>54</v>
      </c>
      <c r="AJ2497" s="1">
        <v>1</v>
      </c>
      <c r="AK2497" s="1" t="str">
        <f t="shared" si="38"/>
        <v xml:space="preserve"> =&lt;90</v>
      </c>
      <c r="AL2497" s="1" t="str">
        <f>VLOOKUP(C:C,[1]基础信息!B$1:D$65536,3,0)</f>
        <v>Jug</v>
      </c>
      <c r="AM2497" s="1" t="str">
        <f>VLOOKUP(C:C,[1]基础信息!B$1:E$65536,4,0)</f>
        <v>Mxplus</v>
      </c>
      <c r="AN2497" s="1" t="str">
        <f>VLOOKUP(C:C,[1]基础信息!B$1:F$65536,5,0)</f>
        <v xml:space="preserve"> lime</v>
      </c>
    </row>
    <row r="2498" spans="1:40">
      <c r="A2498" s="1" t="s">
        <v>41</v>
      </c>
      <c r="B2498" s="1" t="s">
        <v>42</v>
      </c>
      <c r="C2498" s="1" t="s">
        <v>4253</v>
      </c>
      <c r="D2498" s="1" t="s">
        <v>4254</v>
      </c>
      <c r="E2498" s="1" t="s">
        <v>45</v>
      </c>
      <c r="F2498" s="1" t="s">
        <v>5765</v>
      </c>
      <c r="G2498" s="1" t="s">
        <v>5766</v>
      </c>
      <c r="H2498" s="1" t="s">
        <v>5767</v>
      </c>
      <c r="I2498" s="1" t="s">
        <v>49</v>
      </c>
      <c r="J2498" s="1" t="s">
        <v>48</v>
      </c>
      <c r="K2498" s="1">
        <v>275</v>
      </c>
      <c r="L2498" s="1">
        <v>0</v>
      </c>
      <c r="M2498" s="1">
        <v>0</v>
      </c>
      <c r="N2498" s="1">
        <v>275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 t="s">
        <v>49</v>
      </c>
      <c r="AA2498" s="1" t="s">
        <v>49</v>
      </c>
      <c r="AB2498" s="1" t="s">
        <v>49</v>
      </c>
      <c r="AC2498" s="1" t="s">
        <v>215</v>
      </c>
      <c r="AD2498" s="1" t="s">
        <v>3025</v>
      </c>
      <c r="AE2498" s="1" t="s">
        <v>215</v>
      </c>
      <c r="AF2498" s="1" t="s">
        <v>5768</v>
      </c>
      <c r="AG2498" s="1" t="s">
        <v>5769</v>
      </c>
      <c r="AH2498" s="1" t="s">
        <v>49</v>
      </c>
      <c r="AI2498" s="1" t="s">
        <v>54</v>
      </c>
      <c r="AJ2498" s="1">
        <v>1</v>
      </c>
      <c r="AK2498" s="1" t="str">
        <f t="shared" ref="AK2498:AK2561" si="39">IF(AJ2498&gt;$AP$2,$AQ$2,IF(AJ2498&gt;$AP$3,$AQ$3,IF(AJ2498&gt;$AP$4,$AQ$4,$AQ$5)))</f>
        <v xml:space="preserve"> =&lt;90</v>
      </c>
      <c r="AL2498" s="1" t="str">
        <f>VLOOKUP(C:C,[1]基础信息!B$1:D$65536,3,0)</f>
        <v xml:space="preserve">Cartridge </v>
      </c>
      <c r="AM2498" s="1" t="str">
        <f>VLOOKUP(C:C,[1]基础信息!B$1:E$65536,4,0)</f>
        <v>UNIV</v>
      </c>
      <c r="AN2498" s="1" t="str">
        <f>VLOOKUP(C:C,[1]基础信息!B$1:F$65536,5,0)</f>
        <v>P6</v>
      </c>
    </row>
    <row r="2499" spans="1:40">
      <c r="A2499" s="1" t="s">
        <v>41</v>
      </c>
      <c r="B2499" s="1" t="s">
        <v>42</v>
      </c>
      <c r="C2499" s="1" t="s">
        <v>3971</v>
      </c>
      <c r="D2499" s="1" t="s">
        <v>3972</v>
      </c>
      <c r="E2499" s="1" t="s">
        <v>45</v>
      </c>
      <c r="F2499" s="1" t="s">
        <v>5380</v>
      </c>
      <c r="G2499" s="1" t="s">
        <v>5770</v>
      </c>
      <c r="H2499" s="1" t="s">
        <v>5771</v>
      </c>
      <c r="I2499" s="1" t="s">
        <v>49</v>
      </c>
      <c r="J2499" s="1" t="s">
        <v>48</v>
      </c>
      <c r="K2499" s="1">
        <v>96</v>
      </c>
      <c r="L2499" s="1">
        <v>0</v>
      </c>
      <c r="M2499" s="1">
        <v>0</v>
      </c>
      <c r="N2499" s="1">
        <v>96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 t="s">
        <v>49</v>
      </c>
      <c r="AA2499" s="1" t="s">
        <v>49</v>
      </c>
      <c r="AB2499" s="1" t="s">
        <v>49</v>
      </c>
      <c r="AC2499" s="1" t="s">
        <v>1408</v>
      </c>
      <c r="AD2499" s="1" t="s">
        <v>1409</v>
      </c>
      <c r="AE2499" s="1" t="s">
        <v>1408</v>
      </c>
      <c r="AF2499" s="1" t="s">
        <v>1172</v>
      </c>
      <c r="AG2499" s="1" t="s">
        <v>53</v>
      </c>
      <c r="AH2499" s="1" t="s">
        <v>49</v>
      </c>
      <c r="AI2499" s="1" t="s">
        <v>54</v>
      </c>
      <c r="AJ2499" s="1">
        <v>1</v>
      </c>
      <c r="AK2499" s="1" t="str">
        <f t="shared" si="39"/>
        <v xml:space="preserve"> =&lt;90</v>
      </c>
      <c r="AL2499" s="1" t="str">
        <f>VLOOKUP(C:C,[1]基础信息!B$1:D$65536,3,0)</f>
        <v>Jug</v>
      </c>
      <c r="AM2499" s="1" t="str">
        <f>VLOOKUP(C:C,[1]基础信息!B$1:E$65536,4,0)</f>
        <v>Mxplus</v>
      </c>
      <c r="AN2499" s="1" t="str">
        <f>VLOOKUP(C:C,[1]基础信息!B$1:F$65536,5,0)</f>
        <v xml:space="preserve"> lime</v>
      </c>
    </row>
    <row r="2500" spans="1:40">
      <c r="A2500" s="1" t="s">
        <v>41</v>
      </c>
      <c r="B2500" s="1" t="s">
        <v>42</v>
      </c>
      <c r="C2500" s="1" t="s">
        <v>3971</v>
      </c>
      <c r="D2500" s="1" t="s">
        <v>3972</v>
      </c>
      <c r="E2500" s="1" t="s">
        <v>45</v>
      </c>
      <c r="F2500" s="1" t="s">
        <v>5380</v>
      </c>
      <c r="G2500" s="1" t="s">
        <v>5772</v>
      </c>
      <c r="H2500" s="1" t="s">
        <v>5773</v>
      </c>
      <c r="I2500" s="1" t="s">
        <v>49</v>
      </c>
      <c r="J2500" s="1" t="s">
        <v>48</v>
      </c>
      <c r="K2500" s="1">
        <v>96</v>
      </c>
      <c r="L2500" s="1">
        <v>0</v>
      </c>
      <c r="M2500" s="1">
        <v>0</v>
      </c>
      <c r="N2500" s="1">
        <v>96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 t="s">
        <v>49</v>
      </c>
      <c r="AA2500" s="1" t="s">
        <v>49</v>
      </c>
      <c r="AB2500" s="1" t="s">
        <v>49</v>
      </c>
      <c r="AC2500" s="1" t="s">
        <v>1408</v>
      </c>
      <c r="AD2500" s="1" t="s">
        <v>1409</v>
      </c>
      <c r="AE2500" s="1" t="s">
        <v>1408</v>
      </c>
      <c r="AF2500" s="1" t="s">
        <v>1172</v>
      </c>
      <c r="AG2500" s="1" t="s">
        <v>53</v>
      </c>
      <c r="AH2500" s="1" t="s">
        <v>49</v>
      </c>
      <c r="AI2500" s="1" t="s">
        <v>54</v>
      </c>
      <c r="AJ2500" s="1">
        <v>1</v>
      </c>
      <c r="AK2500" s="1" t="str">
        <f t="shared" si="39"/>
        <v xml:space="preserve"> =&lt;90</v>
      </c>
      <c r="AL2500" s="1" t="str">
        <f>VLOOKUP(C:C,[1]基础信息!B$1:D$65536,3,0)</f>
        <v>Jug</v>
      </c>
      <c r="AM2500" s="1" t="str">
        <f>VLOOKUP(C:C,[1]基础信息!B$1:E$65536,4,0)</f>
        <v>Mxplus</v>
      </c>
      <c r="AN2500" s="1" t="str">
        <f>VLOOKUP(C:C,[1]基础信息!B$1:F$65536,5,0)</f>
        <v xml:space="preserve"> lime</v>
      </c>
    </row>
    <row r="2501" spans="1:40">
      <c r="A2501" s="1" t="s">
        <v>41</v>
      </c>
      <c r="B2501" s="1" t="s">
        <v>42</v>
      </c>
      <c r="C2501" s="1" t="s">
        <v>3971</v>
      </c>
      <c r="D2501" s="1" t="s">
        <v>3972</v>
      </c>
      <c r="E2501" s="1" t="s">
        <v>45</v>
      </c>
      <c r="F2501" s="1" t="s">
        <v>5380</v>
      </c>
      <c r="G2501" s="1" t="s">
        <v>5774</v>
      </c>
      <c r="H2501" s="1" t="s">
        <v>5775</v>
      </c>
      <c r="I2501" s="1" t="s">
        <v>49</v>
      </c>
      <c r="J2501" s="1" t="s">
        <v>48</v>
      </c>
      <c r="K2501" s="1">
        <v>96</v>
      </c>
      <c r="L2501" s="1">
        <v>0</v>
      </c>
      <c r="M2501" s="1">
        <v>0</v>
      </c>
      <c r="N2501" s="1">
        <v>96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 t="s">
        <v>49</v>
      </c>
      <c r="AA2501" s="1" t="s">
        <v>49</v>
      </c>
      <c r="AB2501" s="1" t="s">
        <v>49</v>
      </c>
      <c r="AC2501" s="1" t="s">
        <v>1408</v>
      </c>
      <c r="AD2501" s="1" t="s">
        <v>1409</v>
      </c>
      <c r="AE2501" s="1" t="s">
        <v>1408</v>
      </c>
      <c r="AF2501" s="1" t="s">
        <v>1172</v>
      </c>
      <c r="AG2501" s="1" t="s">
        <v>53</v>
      </c>
      <c r="AH2501" s="1" t="s">
        <v>49</v>
      </c>
      <c r="AI2501" s="1" t="s">
        <v>54</v>
      </c>
      <c r="AJ2501" s="1">
        <v>1</v>
      </c>
      <c r="AK2501" s="1" t="str">
        <f t="shared" si="39"/>
        <v xml:space="preserve"> =&lt;90</v>
      </c>
      <c r="AL2501" s="1" t="str">
        <f>VLOOKUP(C:C,[1]基础信息!B$1:D$65536,3,0)</f>
        <v>Jug</v>
      </c>
      <c r="AM2501" s="1" t="str">
        <f>VLOOKUP(C:C,[1]基础信息!B$1:E$65536,4,0)</f>
        <v>Mxplus</v>
      </c>
      <c r="AN2501" s="1" t="str">
        <f>VLOOKUP(C:C,[1]基础信息!B$1:F$65536,5,0)</f>
        <v xml:space="preserve"> lime</v>
      </c>
    </row>
    <row r="2502" spans="1:40">
      <c r="A2502" s="1" t="s">
        <v>41</v>
      </c>
      <c r="B2502" s="1" t="s">
        <v>42</v>
      </c>
      <c r="C2502" s="1" t="s">
        <v>3971</v>
      </c>
      <c r="D2502" s="1" t="s">
        <v>3972</v>
      </c>
      <c r="E2502" s="1" t="s">
        <v>45</v>
      </c>
      <c r="F2502" s="1" t="s">
        <v>5380</v>
      </c>
      <c r="G2502" s="1" t="s">
        <v>5776</v>
      </c>
      <c r="H2502" s="1" t="s">
        <v>5777</v>
      </c>
      <c r="I2502" s="1" t="s">
        <v>49</v>
      </c>
      <c r="J2502" s="1" t="s">
        <v>48</v>
      </c>
      <c r="K2502" s="1">
        <v>96</v>
      </c>
      <c r="L2502" s="1">
        <v>0</v>
      </c>
      <c r="M2502" s="1">
        <v>0</v>
      </c>
      <c r="N2502" s="1">
        <v>96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 t="s">
        <v>49</v>
      </c>
      <c r="AA2502" s="1" t="s">
        <v>49</v>
      </c>
      <c r="AB2502" s="1" t="s">
        <v>49</v>
      </c>
      <c r="AC2502" s="1" t="s">
        <v>1408</v>
      </c>
      <c r="AD2502" s="1" t="s">
        <v>1409</v>
      </c>
      <c r="AE2502" s="1" t="s">
        <v>1408</v>
      </c>
      <c r="AF2502" s="1" t="s">
        <v>1172</v>
      </c>
      <c r="AG2502" s="1" t="s">
        <v>53</v>
      </c>
      <c r="AH2502" s="1" t="s">
        <v>49</v>
      </c>
      <c r="AI2502" s="1" t="s">
        <v>54</v>
      </c>
      <c r="AJ2502" s="1">
        <v>1</v>
      </c>
      <c r="AK2502" s="1" t="str">
        <f t="shared" si="39"/>
        <v xml:space="preserve"> =&lt;90</v>
      </c>
      <c r="AL2502" s="1" t="str">
        <f>VLOOKUP(C:C,[1]基础信息!B$1:D$65536,3,0)</f>
        <v>Jug</v>
      </c>
      <c r="AM2502" s="1" t="str">
        <f>VLOOKUP(C:C,[1]基础信息!B$1:E$65536,4,0)</f>
        <v>Mxplus</v>
      </c>
      <c r="AN2502" s="1" t="str">
        <f>VLOOKUP(C:C,[1]基础信息!B$1:F$65536,5,0)</f>
        <v xml:space="preserve"> lime</v>
      </c>
    </row>
    <row r="2503" spans="1:40">
      <c r="A2503" s="1" t="s">
        <v>41</v>
      </c>
      <c r="B2503" s="1" t="s">
        <v>42</v>
      </c>
      <c r="C2503" s="1" t="s">
        <v>3971</v>
      </c>
      <c r="D2503" s="1" t="s">
        <v>3972</v>
      </c>
      <c r="E2503" s="1" t="s">
        <v>45</v>
      </c>
      <c r="F2503" s="1" t="s">
        <v>5380</v>
      </c>
      <c r="G2503" s="1" t="s">
        <v>5778</v>
      </c>
      <c r="H2503" s="1" t="s">
        <v>5779</v>
      </c>
      <c r="I2503" s="1" t="s">
        <v>49</v>
      </c>
      <c r="J2503" s="1" t="s">
        <v>48</v>
      </c>
      <c r="K2503" s="1">
        <v>96</v>
      </c>
      <c r="L2503" s="1">
        <v>0</v>
      </c>
      <c r="M2503" s="1">
        <v>0</v>
      </c>
      <c r="N2503" s="1">
        <v>96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 t="s">
        <v>49</v>
      </c>
      <c r="AA2503" s="1" t="s">
        <v>49</v>
      </c>
      <c r="AB2503" s="1" t="s">
        <v>49</v>
      </c>
      <c r="AC2503" s="1" t="s">
        <v>1408</v>
      </c>
      <c r="AD2503" s="1" t="s">
        <v>1409</v>
      </c>
      <c r="AE2503" s="1" t="s">
        <v>1408</v>
      </c>
      <c r="AF2503" s="1" t="s">
        <v>1172</v>
      </c>
      <c r="AG2503" s="1" t="s">
        <v>53</v>
      </c>
      <c r="AH2503" s="1" t="s">
        <v>49</v>
      </c>
      <c r="AI2503" s="1" t="s">
        <v>54</v>
      </c>
      <c r="AJ2503" s="1">
        <v>1</v>
      </c>
      <c r="AK2503" s="1" t="str">
        <f t="shared" si="39"/>
        <v xml:space="preserve"> =&lt;90</v>
      </c>
      <c r="AL2503" s="1" t="str">
        <f>VLOOKUP(C:C,[1]基础信息!B$1:D$65536,3,0)</f>
        <v>Jug</v>
      </c>
      <c r="AM2503" s="1" t="str">
        <f>VLOOKUP(C:C,[1]基础信息!B$1:E$65536,4,0)</f>
        <v>Mxplus</v>
      </c>
      <c r="AN2503" s="1" t="str">
        <f>VLOOKUP(C:C,[1]基础信息!B$1:F$65536,5,0)</f>
        <v xml:space="preserve"> lime</v>
      </c>
    </row>
    <row r="2504" spans="1:40">
      <c r="A2504" s="1" t="s">
        <v>41</v>
      </c>
      <c r="B2504" s="1" t="s">
        <v>42</v>
      </c>
      <c r="C2504" s="1" t="s">
        <v>3971</v>
      </c>
      <c r="D2504" s="1" t="s">
        <v>3972</v>
      </c>
      <c r="E2504" s="1" t="s">
        <v>45</v>
      </c>
      <c r="F2504" s="1" t="s">
        <v>5380</v>
      </c>
      <c r="G2504" s="1" t="s">
        <v>5780</v>
      </c>
      <c r="H2504" s="1" t="s">
        <v>5781</v>
      </c>
      <c r="I2504" s="1" t="s">
        <v>49</v>
      </c>
      <c r="J2504" s="1" t="s">
        <v>48</v>
      </c>
      <c r="K2504" s="1">
        <v>96</v>
      </c>
      <c r="L2504" s="1">
        <v>0</v>
      </c>
      <c r="M2504" s="1">
        <v>0</v>
      </c>
      <c r="N2504" s="1">
        <v>96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 t="s">
        <v>49</v>
      </c>
      <c r="AA2504" s="1" t="s">
        <v>49</v>
      </c>
      <c r="AB2504" s="1" t="s">
        <v>49</v>
      </c>
      <c r="AC2504" s="1" t="s">
        <v>1408</v>
      </c>
      <c r="AD2504" s="1" t="s">
        <v>1409</v>
      </c>
      <c r="AE2504" s="1" t="s">
        <v>1408</v>
      </c>
      <c r="AF2504" s="1" t="s">
        <v>1172</v>
      </c>
      <c r="AG2504" s="1" t="s">
        <v>53</v>
      </c>
      <c r="AH2504" s="1" t="s">
        <v>49</v>
      </c>
      <c r="AI2504" s="1" t="s">
        <v>54</v>
      </c>
      <c r="AJ2504" s="1">
        <v>1</v>
      </c>
      <c r="AK2504" s="1" t="str">
        <f t="shared" si="39"/>
        <v xml:space="preserve"> =&lt;90</v>
      </c>
      <c r="AL2504" s="1" t="str">
        <f>VLOOKUP(C:C,[1]基础信息!B$1:D$65536,3,0)</f>
        <v>Jug</v>
      </c>
      <c r="AM2504" s="1" t="str">
        <f>VLOOKUP(C:C,[1]基础信息!B$1:E$65536,4,0)</f>
        <v>Mxplus</v>
      </c>
      <c r="AN2504" s="1" t="str">
        <f>VLOOKUP(C:C,[1]基础信息!B$1:F$65536,5,0)</f>
        <v xml:space="preserve"> lime</v>
      </c>
    </row>
    <row r="2505" spans="1:40">
      <c r="A2505" s="1" t="s">
        <v>41</v>
      </c>
      <c r="B2505" s="1" t="s">
        <v>42</v>
      </c>
      <c r="C2505" s="1" t="s">
        <v>4273</v>
      </c>
      <c r="D2505" s="1" t="s">
        <v>4274</v>
      </c>
      <c r="E2505" s="1" t="s">
        <v>45</v>
      </c>
      <c r="F2505" s="1" t="s">
        <v>5217</v>
      </c>
      <c r="G2505" s="1" t="s">
        <v>5782</v>
      </c>
      <c r="H2505" s="1" t="s">
        <v>5783</v>
      </c>
      <c r="I2505" s="1" t="s">
        <v>49</v>
      </c>
      <c r="J2505" s="1" t="s">
        <v>48</v>
      </c>
      <c r="K2505" s="1">
        <v>840</v>
      </c>
      <c r="L2505" s="1">
        <v>0</v>
      </c>
      <c r="M2505" s="1">
        <v>0</v>
      </c>
      <c r="N2505" s="1">
        <v>840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 t="s">
        <v>49</v>
      </c>
      <c r="AA2505" s="1" t="s">
        <v>49</v>
      </c>
      <c r="AB2505" s="1" t="s">
        <v>49</v>
      </c>
      <c r="AC2505" s="1" t="s">
        <v>5220</v>
      </c>
      <c r="AD2505" s="1" t="s">
        <v>5221</v>
      </c>
      <c r="AE2505" s="1" t="s">
        <v>5220</v>
      </c>
      <c r="AF2505" s="1" t="s">
        <v>5222</v>
      </c>
      <c r="AG2505" s="1" t="s">
        <v>53</v>
      </c>
      <c r="AH2505" s="1" t="s">
        <v>49</v>
      </c>
      <c r="AI2505" s="1" t="s">
        <v>54</v>
      </c>
      <c r="AJ2505" s="1">
        <v>1</v>
      </c>
      <c r="AK2505" s="1" t="str">
        <f t="shared" si="39"/>
        <v xml:space="preserve"> =&lt;90</v>
      </c>
      <c r="AL2505" s="1" t="e">
        <f>VLOOKUP(C:C,[1]基础信息!B$1:D$65536,3,0)</f>
        <v>#N/A</v>
      </c>
      <c r="AM2505" s="1" t="e">
        <f>VLOOKUP(C:C,[1]基础信息!B$1:E$65536,4,0)</f>
        <v>#N/A</v>
      </c>
      <c r="AN2505" s="1" t="e">
        <f>VLOOKUP(C:C,[1]基础信息!B$1:F$65536,5,0)</f>
        <v>#N/A</v>
      </c>
    </row>
    <row r="2506" spans="1:40">
      <c r="A2506" s="1" t="s">
        <v>41</v>
      </c>
      <c r="B2506" s="1" t="s">
        <v>42</v>
      </c>
      <c r="C2506" s="1" t="s">
        <v>4273</v>
      </c>
      <c r="D2506" s="1" t="s">
        <v>4274</v>
      </c>
      <c r="E2506" s="1" t="s">
        <v>45</v>
      </c>
      <c r="F2506" s="1" t="s">
        <v>5217</v>
      </c>
      <c r="G2506" s="1" t="s">
        <v>5784</v>
      </c>
      <c r="H2506" s="1" t="s">
        <v>5785</v>
      </c>
      <c r="I2506" s="1" t="s">
        <v>49</v>
      </c>
      <c r="J2506" s="1" t="s">
        <v>48</v>
      </c>
      <c r="K2506" s="1">
        <v>840</v>
      </c>
      <c r="L2506" s="1">
        <v>0</v>
      </c>
      <c r="M2506" s="1">
        <v>0</v>
      </c>
      <c r="N2506" s="1">
        <v>840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 t="s">
        <v>49</v>
      </c>
      <c r="AA2506" s="1" t="s">
        <v>49</v>
      </c>
      <c r="AB2506" s="1" t="s">
        <v>49</v>
      </c>
      <c r="AC2506" s="1" t="s">
        <v>5220</v>
      </c>
      <c r="AD2506" s="1" t="s">
        <v>5221</v>
      </c>
      <c r="AE2506" s="1" t="s">
        <v>5220</v>
      </c>
      <c r="AF2506" s="1" t="s">
        <v>5222</v>
      </c>
      <c r="AG2506" s="1" t="s">
        <v>53</v>
      </c>
      <c r="AH2506" s="1" t="s">
        <v>49</v>
      </c>
      <c r="AI2506" s="1" t="s">
        <v>54</v>
      </c>
      <c r="AJ2506" s="1">
        <v>1</v>
      </c>
      <c r="AK2506" s="1" t="str">
        <f t="shared" si="39"/>
        <v xml:space="preserve"> =&lt;90</v>
      </c>
      <c r="AL2506" s="1" t="e">
        <f>VLOOKUP(C:C,[1]基础信息!B$1:D$65536,3,0)</f>
        <v>#N/A</v>
      </c>
      <c r="AM2506" s="1" t="e">
        <f>VLOOKUP(C:C,[1]基础信息!B$1:E$65536,4,0)</f>
        <v>#N/A</v>
      </c>
      <c r="AN2506" s="1" t="e">
        <f>VLOOKUP(C:C,[1]基础信息!B$1:F$65536,5,0)</f>
        <v>#N/A</v>
      </c>
    </row>
    <row r="2507" spans="1:40">
      <c r="A2507" s="1" t="s">
        <v>41</v>
      </c>
      <c r="B2507" s="1" t="s">
        <v>42</v>
      </c>
      <c r="C2507" s="1" t="s">
        <v>4273</v>
      </c>
      <c r="D2507" s="1" t="s">
        <v>4274</v>
      </c>
      <c r="E2507" s="1" t="s">
        <v>45</v>
      </c>
      <c r="F2507" s="1" t="s">
        <v>5523</v>
      </c>
      <c r="G2507" s="1" t="s">
        <v>5786</v>
      </c>
      <c r="H2507" s="1" t="s">
        <v>5787</v>
      </c>
      <c r="I2507" s="1" t="s">
        <v>49</v>
      </c>
      <c r="J2507" s="1" t="s">
        <v>48</v>
      </c>
      <c r="K2507" s="1">
        <v>840</v>
      </c>
      <c r="L2507" s="1">
        <v>0</v>
      </c>
      <c r="M2507" s="1">
        <v>0</v>
      </c>
      <c r="N2507" s="1">
        <v>840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 t="s">
        <v>49</v>
      </c>
      <c r="AA2507" s="1" t="s">
        <v>49</v>
      </c>
      <c r="AB2507" s="1" t="s">
        <v>49</v>
      </c>
      <c r="AC2507" s="1" t="s">
        <v>470</v>
      </c>
      <c r="AD2507" s="1" t="s">
        <v>471</v>
      </c>
      <c r="AE2507" s="1" t="s">
        <v>470</v>
      </c>
      <c r="AF2507" s="1" t="s">
        <v>5526</v>
      </c>
      <c r="AG2507" s="1" t="s">
        <v>53</v>
      </c>
      <c r="AH2507" s="1" t="s">
        <v>49</v>
      </c>
      <c r="AI2507" s="1" t="s">
        <v>54</v>
      </c>
      <c r="AJ2507" s="1">
        <v>1</v>
      </c>
      <c r="AK2507" s="1" t="str">
        <f t="shared" si="39"/>
        <v xml:space="preserve"> =&lt;90</v>
      </c>
      <c r="AL2507" s="1" t="e">
        <f>VLOOKUP(C:C,[1]基础信息!B$1:D$65536,3,0)</f>
        <v>#N/A</v>
      </c>
      <c r="AM2507" s="1" t="e">
        <f>VLOOKUP(C:C,[1]基础信息!B$1:E$65536,4,0)</f>
        <v>#N/A</v>
      </c>
      <c r="AN2507" s="1" t="e">
        <f>VLOOKUP(C:C,[1]基础信息!B$1:F$65536,5,0)</f>
        <v>#N/A</v>
      </c>
    </row>
    <row r="2508" spans="1:40">
      <c r="A2508" s="1" t="s">
        <v>41</v>
      </c>
      <c r="B2508" s="1" t="s">
        <v>42</v>
      </c>
      <c r="C2508" s="1" t="s">
        <v>3971</v>
      </c>
      <c r="D2508" s="1" t="s">
        <v>3972</v>
      </c>
      <c r="E2508" s="1" t="s">
        <v>45</v>
      </c>
      <c r="F2508" s="1" t="s">
        <v>5380</v>
      </c>
      <c r="G2508" s="1" t="s">
        <v>5788</v>
      </c>
      <c r="H2508" s="1" t="s">
        <v>5789</v>
      </c>
      <c r="I2508" s="1" t="s">
        <v>49</v>
      </c>
      <c r="J2508" s="1" t="s">
        <v>48</v>
      </c>
      <c r="K2508" s="1">
        <v>96</v>
      </c>
      <c r="L2508" s="1">
        <v>0</v>
      </c>
      <c r="M2508" s="1">
        <v>0</v>
      </c>
      <c r="N2508" s="1">
        <v>96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 t="s">
        <v>49</v>
      </c>
      <c r="AA2508" s="1" t="s">
        <v>49</v>
      </c>
      <c r="AB2508" s="1" t="s">
        <v>49</v>
      </c>
      <c r="AC2508" s="1" t="s">
        <v>1408</v>
      </c>
      <c r="AD2508" s="1" t="s">
        <v>1409</v>
      </c>
      <c r="AE2508" s="1" t="s">
        <v>1408</v>
      </c>
      <c r="AF2508" s="1" t="s">
        <v>1172</v>
      </c>
      <c r="AG2508" s="1" t="s">
        <v>53</v>
      </c>
      <c r="AH2508" s="1" t="s">
        <v>49</v>
      </c>
      <c r="AI2508" s="1" t="s">
        <v>54</v>
      </c>
      <c r="AJ2508" s="1">
        <v>1</v>
      </c>
      <c r="AK2508" s="1" t="str">
        <f t="shared" si="39"/>
        <v xml:space="preserve"> =&lt;90</v>
      </c>
      <c r="AL2508" s="1" t="str">
        <f>VLOOKUP(C:C,[1]基础信息!B$1:D$65536,3,0)</f>
        <v>Jug</v>
      </c>
      <c r="AM2508" s="1" t="str">
        <f>VLOOKUP(C:C,[1]基础信息!B$1:E$65536,4,0)</f>
        <v>Mxplus</v>
      </c>
      <c r="AN2508" s="1" t="str">
        <f>VLOOKUP(C:C,[1]基础信息!B$1:F$65536,5,0)</f>
        <v xml:space="preserve"> lime</v>
      </c>
    </row>
    <row r="2509" spans="1:40">
      <c r="A2509" s="1" t="s">
        <v>41</v>
      </c>
      <c r="B2509" s="1" t="s">
        <v>42</v>
      </c>
      <c r="C2509" s="1" t="s">
        <v>4253</v>
      </c>
      <c r="D2509" s="1" t="s">
        <v>4254</v>
      </c>
      <c r="E2509" s="1" t="s">
        <v>45</v>
      </c>
      <c r="F2509" s="1" t="s">
        <v>5765</v>
      </c>
      <c r="G2509" s="1" t="s">
        <v>5790</v>
      </c>
      <c r="H2509" s="1" t="s">
        <v>5791</v>
      </c>
      <c r="I2509" s="1" t="s">
        <v>49</v>
      </c>
      <c r="J2509" s="1" t="s">
        <v>48</v>
      </c>
      <c r="K2509" s="1">
        <v>336</v>
      </c>
      <c r="L2509" s="1">
        <v>0</v>
      </c>
      <c r="M2509" s="1">
        <v>0</v>
      </c>
      <c r="N2509" s="1">
        <v>336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 t="s">
        <v>49</v>
      </c>
      <c r="AA2509" s="1" t="s">
        <v>49</v>
      </c>
      <c r="AB2509" s="1" t="s">
        <v>49</v>
      </c>
      <c r="AC2509" s="1" t="s">
        <v>215</v>
      </c>
      <c r="AD2509" s="1" t="s">
        <v>3025</v>
      </c>
      <c r="AE2509" s="1" t="s">
        <v>215</v>
      </c>
      <c r="AF2509" s="1" t="s">
        <v>5768</v>
      </c>
      <c r="AG2509" s="1" t="s">
        <v>5769</v>
      </c>
      <c r="AH2509" s="1" t="s">
        <v>49</v>
      </c>
      <c r="AI2509" s="1" t="s">
        <v>54</v>
      </c>
      <c r="AJ2509" s="1">
        <v>1</v>
      </c>
      <c r="AK2509" s="1" t="str">
        <f t="shared" si="39"/>
        <v xml:space="preserve"> =&lt;90</v>
      </c>
      <c r="AL2509" s="1" t="str">
        <f>VLOOKUP(C:C,[1]基础信息!B$1:D$65536,3,0)</f>
        <v xml:space="preserve">Cartridge </v>
      </c>
      <c r="AM2509" s="1" t="str">
        <f>VLOOKUP(C:C,[1]基础信息!B$1:E$65536,4,0)</f>
        <v>UNIV</v>
      </c>
      <c r="AN2509" s="1" t="str">
        <f>VLOOKUP(C:C,[1]基础信息!B$1:F$65536,5,0)</f>
        <v>P6</v>
      </c>
    </row>
    <row r="2510" spans="1:40">
      <c r="A2510" s="1" t="s">
        <v>41</v>
      </c>
      <c r="B2510" s="1" t="s">
        <v>42</v>
      </c>
      <c r="C2510" s="1" t="s">
        <v>4352</v>
      </c>
      <c r="D2510" s="1" t="s">
        <v>4353</v>
      </c>
      <c r="E2510" s="1" t="s">
        <v>45</v>
      </c>
      <c r="F2510" s="1" t="s">
        <v>5792</v>
      </c>
      <c r="G2510" s="1" t="s">
        <v>5793</v>
      </c>
      <c r="H2510" s="1" t="s">
        <v>5794</v>
      </c>
      <c r="I2510" s="1" t="s">
        <v>49</v>
      </c>
      <c r="J2510" s="1" t="s">
        <v>48</v>
      </c>
      <c r="K2510" s="1">
        <v>336</v>
      </c>
      <c r="L2510" s="1">
        <v>0</v>
      </c>
      <c r="M2510" s="1">
        <v>0</v>
      </c>
      <c r="N2510" s="1">
        <v>336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 t="s">
        <v>49</v>
      </c>
      <c r="AA2510" s="1" t="s">
        <v>49</v>
      </c>
      <c r="AB2510" s="1" t="s">
        <v>49</v>
      </c>
      <c r="AC2510" s="1" t="s">
        <v>206</v>
      </c>
      <c r="AD2510" s="1" t="s">
        <v>5795</v>
      </c>
      <c r="AE2510" s="1" t="s">
        <v>206</v>
      </c>
      <c r="AF2510" s="1" t="s">
        <v>5186</v>
      </c>
      <c r="AG2510" s="1" t="s">
        <v>53</v>
      </c>
      <c r="AH2510" s="1" t="s">
        <v>49</v>
      </c>
      <c r="AI2510" s="1" t="s">
        <v>54</v>
      </c>
      <c r="AJ2510" s="1">
        <v>1</v>
      </c>
      <c r="AK2510" s="1" t="str">
        <f t="shared" si="39"/>
        <v xml:space="preserve"> =&lt;90</v>
      </c>
      <c r="AL2510" s="1" t="e">
        <f>VLOOKUP(C:C,[1]基础信息!B$1:D$65536,3,0)</f>
        <v>#N/A</v>
      </c>
      <c r="AM2510" s="1" t="e">
        <f>VLOOKUP(C:C,[1]基础信息!B$1:E$65536,4,0)</f>
        <v>#N/A</v>
      </c>
      <c r="AN2510" s="1" t="e">
        <f>VLOOKUP(C:C,[1]基础信息!B$1:F$65536,5,0)</f>
        <v>#N/A</v>
      </c>
    </row>
    <row r="2511" spans="1:40">
      <c r="A2511" s="1" t="s">
        <v>41</v>
      </c>
      <c r="B2511" s="1" t="s">
        <v>42</v>
      </c>
      <c r="C2511" s="1" t="s">
        <v>4352</v>
      </c>
      <c r="D2511" s="1" t="s">
        <v>4353</v>
      </c>
      <c r="E2511" s="1" t="s">
        <v>45</v>
      </c>
      <c r="F2511" s="1" t="s">
        <v>5796</v>
      </c>
      <c r="G2511" s="1" t="s">
        <v>5797</v>
      </c>
      <c r="H2511" s="1" t="s">
        <v>5798</v>
      </c>
      <c r="I2511" s="1" t="s">
        <v>49</v>
      </c>
      <c r="J2511" s="1" t="s">
        <v>48</v>
      </c>
      <c r="K2511" s="1">
        <v>336</v>
      </c>
      <c r="L2511" s="1">
        <v>0</v>
      </c>
      <c r="M2511" s="1">
        <v>0</v>
      </c>
      <c r="N2511" s="1">
        <v>336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 t="s">
        <v>49</v>
      </c>
      <c r="AA2511" s="1" t="s">
        <v>49</v>
      </c>
      <c r="AB2511" s="1" t="s">
        <v>49</v>
      </c>
      <c r="AC2511" s="1" t="s">
        <v>206</v>
      </c>
      <c r="AD2511" s="1" t="s">
        <v>5795</v>
      </c>
      <c r="AE2511" s="1" t="s">
        <v>206</v>
      </c>
      <c r="AF2511" s="1" t="s">
        <v>5799</v>
      </c>
      <c r="AG2511" s="1" t="s">
        <v>53</v>
      </c>
      <c r="AH2511" s="1" t="s">
        <v>49</v>
      </c>
      <c r="AI2511" s="1" t="s">
        <v>54</v>
      </c>
      <c r="AJ2511" s="1">
        <v>1</v>
      </c>
      <c r="AK2511" s="1" t="str">
        <f t="shared" si="39"/>
        <v xml:space="preserve"> =&lt;90</v>
      </c>
      <c r="AL2511" s="1" t="e">
        <f>VLOOKUP(C:C,[1]基础信息!B$1:D$65536,3,0)</f>
        <v>#N/A</v>
      </c>
      <c r="AM2511" s="1" t="e">
        <f>VLOOKUP(C:C,[1]基础信息!B$1:E$65536,4,0)</f>
        <v>#N/A</v>
      </c>
      <c r="AN2511" s="1" t="e">
        <f>VLOOKUP(C:C,[1]基础信息!B$1:F$65536,5,0)</f>
        <v>#N/A</v>
      </c>
    </row>
    <row r="2512" spans="1:40">
      <c r="A2512" s="1" t="s">
        <v>41</v>
      </c>
      <c r="B2512" s="1" t="s">
        <v>42</v>
      </c>
      <c r="C2512" s="1" t="s">
        <v>4352</v>
      </c>
      <c r="D2512" s="1" t="s">
        <v>4353</v>
      </c>
      <c r="E2512" s="1" t="s">
        <v>45</v>
      </c>
      <c r="F2512" s="1" t="s">
        <v>5796</v>
      </c>
      <c r="G2512" s="1" t="s">
        <v>5800</v>
      </c>
      <c r="H2512" s="1" t="s">
        <v>5801</v>
      </c>
      <c r="I2512" s="1" t="s">
        <v>49</v>
      </c>
      <c r="J2512" s="1" t="s">
        <v>48</v>
      </c>
      <c r="K2512" s="1">
        <v>336</v>
      </c>
      <c r="L2512" s="1">
        <v>0</v>
      </c>
      <c r="M2512" s="1">
        <v>0</v>
      </c>
      <c r="N2512" s="1">
        <v>336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 t="s">
        <v>49</v>
      </c>
      <c r="AA2512" s="1" t="s">
        <v>49</v>
      </c>
      <c r="AB2512" s="1" t="s">
        <v>49</v>
      </c>
      <c r="AC2512" s="1" t="s">
        <v>206</v>
      </c>
      <c r="AD2512" s="1" t="s">
        <v>5795</v>
      </c>
      <c r="AE2512" s="1" t="s">
        <v>206</v>
      </c>
      <c r="AF2512" s="1" t="s">
        <v>5799</v>
      </c>
      <c r="AG2512" s="1" t="s">
        <v>53</v>
      </c>
      <c r="AH2512" s="1" t="s">
        <v>49</v>
      </c>
      <c r="AI2512" s="1" t="s">
        <v>54</v>
      </c>
      <c r="AJ2512" s="1">
        <v>1</v>
      </c>
      <c r="AK2512" s="1" t="str">
        <f t="shared" si="39"/>
        <v xml:space="preserve"> =&lt;90</v>
      </c>
      <c r="AL2512" s="1" t="e">
        <f>VLOOKUP(C:C,[1]基础信息!B$1:D$65536,3,0)</f>
        <v>#N/A</v>
      </c>
      <c r="AM2512" s="1" t="e">
        <f>VLOOKUP(C:C,[1]基础信息!B$1:E$65536,4,0)</f>
        <v>#N/A</v>
      </c>
      <c r="AN2512" s="1" t="e">
        <f>VLOOKUP(C:C,[1]基础信息!B$1:F$65536,5,0)</f>
        <v>#N/A</v>
      </c>
    </row>
    <row r="2513" spans="1:40">
      <c r="A2513" s="1" t="s">
        <v>41</v>
      </c>
      <c r="B2513" s="1" t="s">
        <v>42</v>
      </c>
      <c r="C2513" s="1" t="s">
        <v>5117</v>
      </c>
      <c r="D2513" s="1" t="s">
        <v>5118</v>
      </c>
      <c r="E2513" s="1" t="s">
        <v>45</v>
      </c>
      <c r="F2513" s="1" t="s">
        <v>5802</v>
      </c>
      <c r="G2513" s="1" t="s">
        <v>5803</v>
      </c>
      <c r="H2513" s="1" t="s">
        <v>5804</v>
      </c>
      <c r="I2513" s="1" t="s">
        <v>49</v>
      </c>
      <c r="J2513" s="1" t="s">
        <v>48</v>
      </c>
      <c r="K2513" s="1">
        <v>298</v>
      </c>
      <c r="L2513" s="1">
        <v>1</v>
      </c>
      <c r="M2513" s="1">
        <v>0</v>
      </c>
      <c r="N2513" s="1">
        <v>297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 t="s">
        <v>49</v>
      </c>
      <c r="AA2513" s="1" t="s">
        <v>49</v>
      </c>
      <c r="AB2513" s="1" t="s">
        <v>49</v>
      </c>
      <c r="AC2513" s="1" t="s">
        <v>215</v>
      </c>
      <c r="AD2513" s="1" t="s">
        <v>3025</v>
      </c>
      <c r="AE2513" s="1" t="s">
        <v>215</v>
      </c>
      <c r="AF2513" s="1" t="s">
        <v>3041</v>
      </c>
      <c r="AG2513" s="1" t="s">
        <v>53</v>
      </c>
      <c r="AH2513" s="1" t="s">
        <v>49</v>
      </c>
      <c r="AI2513" s="1" t="s">
        <v>54</v>
      </c>
      <c r="AJ2513" s="1">
        <v>1</v>
      </c>
      <c r="AK2513" s="1" t="str">
        <f t="shared" si="39"/>
        <v xml:space="preserve"> =&lt;90</v>
      </c>
      <c r="AL2513" s="1" t="str">
        <f>VLOOKUP(C:C,[1]基础信息!B$1:D$65536,3,0)</f>
        <v>UTS</v>
      </c>
      <c r="AM2513" s="1" t="str">
        <f>VLOOKUP(C:C,[1]基础信息!B$1:E$65536,4,0)</f>
        <v>MyPure</v>
      </c>
      <c r="AN2513" s="1" t="str">
        <f>VLOOKUP(C:C,[1]基础信息!B$1:F$65536,5,0)</f>
        <v>Refill</v>
      </c>
    </row>
    <row r="2514" spans="1:40">
      <c r="A2514" s="1" t="s">
        <v>41</v>
      </c>
      <c r="B2514" s="1" t="s">
        <v>42</v>
      </c>
      <c r="C2514" s="1" t="s">
        <v>3971</v>
      </c>
      <c r="D2514" s="1" t="s">
        <v>3972</v>
      </c>
      <c r="E2514" s="1" t="s">
        <v>45</v>
      </c>
      <c r="F2514" s="1" t="s">
        <v>5380</v>
      </c>
      <c r="G2514" s="1" t="s">
        <v>5805</v>
      </c>
      <c r="H2514" s="1" t="s">
        <v>5806</v>
      </c>
      <c r="I2514" s="1" t="s">
        <v>49</v>
      </c>
      <c r="J2514" s="1" t="s">
        <v>48</v>
      </c>
      <c r="K2514" s="1">
        <v>44</v>
      </c>
      <c r="L2514" s="1">
        <v>0</v>
      </c>
      <c r="M2514" s="1">
        <v>0</v>
      </c>
      <c r="N2514" s="1">
        <v>44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 t="s">
        <v>49</v>
      </c>
      <c r="AA2514" s="1" t="s">
        <v>49</v>
      </c>
      <c r="AB2514" s="1" t="s">
        <v>49</v>
      </c>
      <c r="AC2514" s="1" t="s">
        <v>1408</v>
      </c>
      <c r="AD2514" s="1" t="s">
        <v>1409</v>
      </c>
      <c r="AE2514" s="1" t="s">
        <v>1408</v>
      </c>
      <c r="AF2514" s="1" t="s">
        <v>1172</v>
      </c>
      <c r="AG2514" s="1" t="s">
        <v>53</v>
      </c>
      <c r="AH2514" s="1" t="s">
        <v>49</v>
      </c>
      <c r="AI2514" s="1" t="s">
        <v>54</v>
      </c>
      <c r="AJ2514" s="1">
        <v>1</v>
      </c>
      <c r="AK2514" s="1" t="str">
        <f t="shared" si="39"/>
        <v xml:space="preserve"> =&lt;90</v>
      </c>
      <c r="AL2514" s="1" t="str">
        <f>VLOOKUP(C:C,[1]基础信息!B$1:D$65536,3,0)</f>
        <v>Jug</v>
      </c>
      <c r="AM2514" s="1" t="str">
        <f>VLOOKUP(C:C,[1]基础信息!B$1:E$65536,4,0)</f>
        <v>Mxplus</v>
      </c>
      <c r="AN2514" s="1" t="str">
        <f>VLOOKUP(C:C,[1]基础信息!B$1:F$65536,5,0)</f>
        <v xml:space="preserve"> lime</v>
      </c>
    </row>
    <row r="2515" spans="1:40">
      <c r="A2515" s="1" t="s">
        <v>41</v>
      </c>
      <c r="B2515" s="1" t="s">
        <v>42</v>
      </c>
      <c r="C2515" s="1" t="s">
        <v>4273</v>
      </c>
      <c r="D2515" s="1" t="s">
        <v>4274</v>
      </c>
      <c r="E2515" s="1" t="s">
        <v>45</v>
      </c>
      <c r="F2515" s="1" t="s">
        <v>5217</v>
      </c>
      <c r="G2515" s="1" t="s">
        <v>5807</v>
      </c>
      <c r="H2515" s="1" t="s">
        <v>5808</v>
      </c>
      <c r="I2515" s="1" t="s">
        <v>49</v>
      </c>
      <c r="J2515" s="1" t="s">
        <v>48</v>
      </c>
      <c r="K2515" s="1">
        <v>840</v>
      </c>
      <c r="L2515" s="1">
        <v>0</v>
      </c>
      <c r="M2515" s="1">
        <v>0</v>
      </c>
      <c r="N2515" s="1">
        <v>840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 t="s">
        <v>49</v>
      </c>
      <c r="AA2515" s="1" t="s">
        <v>49</v>
      </c>
      <c r="AB2515" s="1" t="s">
        <v>49</v>
      </c>
      <c r="AC2515" s="1" t="s">
        <v>5220</v>
      </c>
      <c r="AD2515" s="1" t="s">
        <v>5221</v>
      </c>
      <c r="AE2515" s="1" t="s">
        <v>5220</v>
      </c>
      <c r="AF2515" s="1" t="s">
        <v>5222</v>
      </c>
      <c r="AG2515" s="1" t="s">
        <v>53</v>
      </c>
      <c r="AH2515" s="1" t="s">
        <v>49</v>
      </c>
      <c r="AI2515" s="1" t="s">
        <v>54</v>
      </c>
      <c r="AJ2515" s="1">
        <v>1</v>
      </c>
      <c r="AK2515" s="1" t="str">
        <f t="shared" si="39"/>
        <v xml:space="preserve"> =&lt;90</v>
      </c>
      <c r="AL2515" s="1" t="e">
        <f>VLOOKUP(C:C,[1]基础信息!B$1:D$65536,3,0)</f>
        <v>#N/A</v>
      </c>
      <c r="AM2515" s="1" t="e">
        <f>VLOOKUP(C:C,[1]基础信息!B$1:E$65536,4,0)</f>
        <v>#N/A</v>
      </c>
      <c r="AN2515" s="1" t="e">
        <f>VLOOKUP(C:C,[1]基础信息!B$1:F$65536,5,0)</f>
        <v>#N/A</v>
      </c>
    </row>
    <row r="2516" spans="1:40">
      <c r="A2516" s="1" t="s">
        <v>41</v>
      </c>
      <c r="B2516" s="1" t="s">
        <v>42</v>
      </c>
      <c r="C2516" s="1" t="s">
        <v>4273</v>
      </c>
      <c r="D2516" s="1" t="s">
        <v>4274</v>
      </c>
      <c r="E2516" s="1" t="s">
        <v>45</v>
      </c>
      <c r="F2516" s="1" t="s">
        <v>5217</v>
      </c>
      <c r="G2516" s="1" t="s">
        <v>5809</v>
      </c>
      <c r="H2516" s="1" t="s">
        <v>5810</v>
      </c>
      <c r="I2516" s="1" t="s">
        <v>49</v>
      </c>
      <c r="J2516" s="1" t="s">
        <v>48</v>
      </c>
      <c r="K2516" s="1">
        <v>840</v>
      </c>
      <c r="L2516" s="1">
        <v>0</v>
      </c>
      <c r="M2516" s="1">
        <v>0</v>
      </c>
      <c r="N2516" s="1">
        <v>840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 t="s">
        <v>49</v>
      </c>
      <c r="AA2516" s="1" t="s">
        <v>49</v>
      </c>
      <c r="AB2516" s="1" t="s">
        <v>49</v>
      </c>
      <c r="AC2516" s="1" t="s">
        <v>5220</v>
      </c>
      <c r="AD2516" s="1" t="s">
        <v>5221</v>
      </c>
      <c r="AE2516" s="1" t="s">
        <v>5220</v>
      </c>
      <c r="AF2516" s="1" t="s">
        <v>5222</v>
      </c>
      <c r="AG2516" s="1" t="s">
        <v>53</v>
      </c>
      <c r="AH2516" s="1" t="s">
        <v>49</v>
      </c>
      <c r="AI2516" s="1" t="s">
        <v>54</v>
      </c>
      <c r="AJ2516" s="1">
        <v>1</v>
      </c>
      <c r="AK2516" s="1" t="str">
        <f t="shared" si="39"/>
        <v xml:space="preserve"> =&lt;90</v>
      </c>
      <c r="AL2516" s="1" t="e">
        <f>VLOOKUP(C:C,[1]基础信息!B$1:D$65536,3,0)</f>
        <v>#N/A</v>
      </c>
      <c r="AM2516" s="1" t="e">
        <f>VLOOKUP(C:C,[1]基础信息!B$1:E$65536,4,0)</f>
        <v>#N/A</v>
      </c>
      <c r="AN2516" s="1" t="e">
        <f>VLOOKUP(C:C,[1]基础信息!B$1:F$65536,5,0)</f>
        <v>#N/A</v>
      </c>
    </row>
    <row r="2517" spans="1:40">
      <c r="A2517" s="1" t="s">
        <v>41</v>
      </c>
      <c r="B2517" s="1" t="s">
        <v>42</v>
      </c>
      <c r="C2517" s="1" t="s">
        <v>5076</v>
      </c>
      <c r="D2517" s="1" t="s">
        <v>5077</v>
      </c>
      <c r="E2517" s="1" t="s">
        <v>5076</v>
      </c>
      <c r="F2517" s="1" t="s">
        <v>5811</v>
      </c>
      <c r="G2517" s="1" t="s">
        <v>5812</v>
      </c>
      <c r="H2517" s="1" t="s">
        <v>5813</v>
      </c>
      <c r="I2517" s="1" t="s">
        <v>49</v>
      </c>
      <c r="J2517" s="1" t="s">
        <v>48</v>
      </c>
      <c r="K2517" s="1">
        <v>120</v>
      </c>
      <c r="L2517" s="1">
        <v>0</v>
      </c>
      <c r="M2517" s="1">
        <v>0</v>
      </c>
      <c r="N2517" s="1">
        <v>120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 t="s">
        <v>49</v>
      </c>
      <c r="AA2517" s="1" t="s">
        <v>49</v>
      </c>
      <c r="AB2517" s="1" t="s">
        <v>49</v>
      </c>
      <c r="AC2517" s="1" t="s">
        <v>3190</v>
      </c>
      <c r="AD2517" s="1" t="s">
        <v>3254</v>
      </c>
      <c r="AE2517" s="1" t="s">
        <v>3255</v>
      </c>
      <c r="AF2517" s="1" t="s">
        <v>5180</v>
      </c>
      <c r="AG2517" s="1" t="s">
        <v>53</v>
      </c>
      <c r="AH2517" s="1" t="s">
        <v>49</v>
      </c>
      <c r="AI2517" s="1" t="s">
        <v>54</v>
      </c>
      <c r="AJ2517" s="1">
        <v>1</v>
      </c>
      <c r="AK2517" s="1" t="str">
        <f t="shared" si="39"/>
        <v xml:space="preserve"> =&lt;90</v>
      </c>
      <c r="AL2517" s="1" t="str">
        <f>VLOOKUP(C:C,[1]基础信息!B$1:D$65536,3,0)</f>
        <v>UTS</v>
      </c>
      <c r="AM2517" s="1" t="str">
        <f>VLOOKUP(C:C,[1]基础信息!B$1:E$65536,4,0)</f>
        <v>MyPure Pro</v>
      </c>
      <c r="AN2517" s="1" t="str">
        <f>VLOOKUP(C:C,[1]基础信息!B$1:F$65536,5,0)</f>
        <v>Refill</v>
      </c>
    </row>
    <row r="2518" spans="1:40">
      <c r="A2518" s="1" t="s">
        <v>41</v>
      </c>
      <c r="B2518" s="1" t="s">
        <v>42</v>
      </c>
      <c r="C2518" s="1" t="s">
        <v>4273</v>
      </c>
      <c r="D2518" s="1" t="s">
        <v>4274</v>
      </c>
      <c r="E2518" s="1" t="s">
        <v>45</v>
      </c>
      <c r="F2518" s="1" t="s">
        <v>5217</v>
      </c>
      <c r="G2518" s="1" t="s">
        <v>5814</v>
      </c>
      <c r="H2518" s="1" t="s">
        <v>5815</v>
      </c>
      <c r="I2518" s="1" t="s">
        <v>49</v>
      </c>
      <c r="J2518" s="1" t="s">
        <v>48</v>
      </c>
      <c r="K2518" s="1">
        <v>840</v>
      </c>
      <c r="L2518" s="1">
        <v>0</v>
      </c>
      <c r="M2518" s="1">
        <v>0</v>
      </c>
      <c r="N2518" s="1">
        <v>840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 t="s">
        <v>49</v>
      </c>
      <c r="AA2518" s="1" t="s">
        <v>49</v>
      </c>
      <c r="AB2518" s="1" t="s">
        <v>49</v>
      </c>
      <c r="AC2518" s="1" t="s">
        <v>5220</v>
      </c>
      <c r="AD2518" s="1" t="s">
        <v>5221</v>
      </c>
      <c r="AE2518" s="1" t="s">
        <v>5220</v>
      </c>
      <c r="AF2518" s="1" t="s">
        <v>5222</v>
      </c>
      <c r="AG2518" s="1" t="s">
        <v>53</v>
      </c>
      <c r="AH2518" s="1" t="s">
        <v>49</v>
      </c>
      <c r="AI2518" s="1" t="s">
        <v>54</v>
      </c>
      <c r="AJ2518" s="1">
        <v>1</v>
      </c>
      <c r="AK2518" s="1" t="str">
        <f t="shared" si="39"/>
        <v xml:space="preserve"> =&lt;90</v>
      </c>
      <c r="AL2518" s="1" t="e">
        <f>VLOOKUP(C:C,[1]基础信息!B$1:D$65536,3,0)</f>
        <v>#N/A</v>
      </c>
      <c r="AM2518" s="1" t="e">
        <f>VLOOKUP(C:C,[1]基础信息!B$1:E$65536,4,0)</f>
        <v>#N/A</v>
      </c>
      <c r="AN2518" s="1" t="e">
        <f>VLOOKUP(C:C,[1]基础信息!B$1:F$65536,5,0)</f>
        <v>#N/A</v>
      </c>
    </row>
    <row r="2519" spans="1:40">
      <c r="A2519" s="1" t="s">
        <v>41</v>
      </c>
      <c r="B2519" s="1" t="s">
        <v>42</v>
      </c>
      <c r="C2519" s="1" t="s">
        <v>3512</v>
      </c>
      <c r="D2519" s="1" t="s">
        <v>3513</v>
      </c>
      <c r="E2519" s="1" t="s">
        <v>45</v>
      </c>
      <c r="F2519" s="1" t="s">
        <v>5816</v>
      </c>
      <c r="G2519" s="1" t="s">
        <v>5817</v>
      </c>
      <c r="H2519" s="1" t="s">
        <v>5818</v>
      </c>
      <c r="I2519" s="1" t="s">
        <v>49</v>
      </c>
      <c r="J2519" s="1" t="s">
        <v>48</v>
      </c>
      <c r="K2519" s="1">
        <v>840</v>
      </c>
      <c r="L2519" s="1">
        <v>0</v>
      </c>
      <c r="M2519" s="1">
        <v>0</v>
      </c>
      <c r="N2519" s="1">
        <v>840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 t="s">
        <v>49</v>
      </c>
      <c r="AA2519" s="1" t="s">
        <v>49</v>
      </c>
      <c r="AB2519" s="1" t="s">
        <v>49</v>
      </c>
      <c r="AC2519" s="1" t="s">
        <v>5220</v>
      </c>
      <c r="AD2519" s="1" t="s">
        <v>5221</v>
      </c>
      <c r="AE2519" s="1" t="s">
        <v>5220</v>
      </c>
      <c r="AF2519" s="1" t="s">
        <v>5819</v>
      </c>
      <c r="AG2519" s="1" t="s">
        <v>53</v>
      </c>
      <c r="AH2519" s="1" t="s">
        <v>49</v>
      </c>
      <c r="AI2519" s="1" t="s">
        <v>54</v>
      </c>
      <c r="AJ2519" s="1">
        <v>1</v>
      </c>
      <c r="AK2519" s="1" t="str">
        <f t="shared" si="39"/>
        <v xml:space="preserve"> =&lt;90</v>
      </c>
      <c r="AL2519" s="1" t="str">
        <f>VLOOKUP(C:C,[1]基础信息!B$1:D$65536,3,0)</f>
        <v xml:space="preserve">Cartridge </v>
      </c>
      <c r="AM2519" s="1" t="str">
        <f>VLOOKUP(C:C,[1]基础信息!B$1:E$65536,4,0)</f>
        <v>UNIV</v>
      </c>
      <c r="AN2519" s="1" t="str">
        <f>VLOOKUP(C:C,[1]基础信息!B$1:F$65536,5,0)</f>
        <v>P3</v>
      </c>
    </row>
    <row r="2520" spans="1:40">
      <c r="A2520" s="1" t="s">
        <v>41</v>
      </c>
      <c r="B2520" s="1" t="s">
        <v>42</v>
      </c>
      <c r="C2520" s="1" t="s">
        <v>5117</v>
      </c>
      <c r="D2520" s="1" t="s">
        <v>5118</v>
      </c>
      <c r="E2520" s="1" t="s">
        <v>45</v>
      </c>
      <c r="F2520" s="1" t="s">
        <v>5802</v>
      </c>
      <c r="G2520" s="1" t="s">
        <v>5820</v>
      </c>
      <c r="H2520" s="1" t="s">
        <v>5821</v>
      </c>
      <c r="I2520" s="1" t="s">
        <v>49</v>
      </c>
      <c r="J2520" s="1" t="s">
        <v>48</v>
      </c>
      <c r="K2520" s="1">
        <v>384</v>
      </c>
      <c r="L2520" s="1">
        <v>0</v>
      </c>
      <c r="M2520" s="1">
        <v>0</v>
      </c>
      <c r="N2520" s="1">
        <v>384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 t="s">
        <v>49</v>
      </c>
      <c r="AA2520" s="1" t="s">
        <v>49</v>
      </c>
      <c r="AB2520" s="1" t="s">
        <v>49</v>
      </c>
      <c r="AC2520" s="1" t="s">
        <v>215</v>
      </c>
      <c r="AD2520" s="1" t="s">
        <v>3025</v>
      </c>
      <c r="AE2520" s="1" t="s">
        <v>215</v>
      </c>
      <c r="AF2520" s="1" t="s">
        <v>3041</v>
      </c>
      <c r="AG2520" s="1" t="s">
        <v>53</v>
      </c>
      <c r="AH2520" s="1" t="s">
        <v>49</v>
      </c>
      <c r="AI2520" s="1" t="s">
        <v>54</v>
      </c>
      <c r="AJ2520" s="1">
        <v>1</v>
      </c>
      <c r="AK2520" s="1" t="str">
        <f t="shared" si="39"/>
        <v xml:space="preserve"> =&lt;90</v>
      </c>
      <c r="AL2520" s="1" t="str">
        <f>VLOOKUP(C:C,[1]基础信息!B$1:D$65536,3,0)</f>
        <v>UTS</v>
      </c>
      <c r="AM2520" s="1" t="str">
        <f>VLOOKUP(C:C,[1]基础信息!B$1:E$65536,4,0)</f>
        <v>MyPure</v>
      </c>
      <c r="AN2520" s="1" t="str">
        <f>VLOOKUP(C:C,[1]基础信息!B$1:F$65536,5,0)</f>
        <v>Refill</v>
      </c>
    </row>
    <row r="2521" spans="1:40">
      <c r="A2521" s="1" t="s">
        <v>41</v>
      </c>
      <c r="B2521" s="1" t="s">
        <v>42</v>
      </c>
      <c r="C2521" s="1" t="s">
        <v>5154</v>
      </c>
      <c r="D2521" s="1" t="s">
        <v>5155</v>
      </c>
      <c r="E2521" s="1" t="s">
        <v>45</v>
      </c>
      <c r="F2521" s="1" t="s">
        <v>5156</v>
      </c>
      <c r="G2521" s="1" t="s">
        <v>5822</v>
      </c>
      <c r="H2521" s="1" t="s">
        <v>5823</v>
      </c>
      <c r="I2521" s="1" t="s">
        <v>49</v>
      </c>
      <c r="J2521" s="1" t="s">
        <v>48</v>
      </c>
      <c r="K2521" s="1">
        <v>270</v>
      </c>
      <c r="L2521" s="1">
        <v>0</v>
      </c>
      <c r="M2521" s="1">
        <v>0</v>
      </c>
      <c r="N2521" s="1">
        <v>270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 t="s">
        <v>49</v>
      </c>
      <c r="AA2521" s="1" t="s">
        <v>49</v>
      </c>
      <c r="AB2521" s="1" t="s">
        <v>49</v>
      </c>
      <c r="AC2521" s="1" t="s">
        <v>215</v>
      </c>
      <c r="AD2521" s="1" t="s">
        <v>3025</v>
      </c>
      <c r="AE2521" s="1" t="s">
        <v>215</v>
      </c>
      <c r="AF2521" s="1" t="s">
        <v>5159</v>
      </c>
      <c r="AG2521" s="1" t="s">
        <v>53</v>
      </c>
      <c r="AH2521" s="1" t="s">
        <v>49</v>
      </c>
      <c r="AI2521" s="1" t="s">
        <v>54</v>
      </c>
      <c r="AJ2521" s="1">
        <v>1</v>
      </c>
      <c r="AK2521" s="1" t="str">
        <f t="shared" si="39"/>
        <v xml:space="preserve"> =&lt;90</v>
      </c>
      <c r="AL2521" s="1" t="e">
        <f>VLOOKUP(C:C,[1]基础信息!B$1:D$65536,3,0)</f>
        <v>#N/A</v>
      </c>
      <c r="AM2521" s="1" t="e">
        <f>VLOOKUP(C:C,[1]基础信息!B$1:E$65536,4,0)</f>
        <v>#N/A</v>
      </c>
      <c r="AN2521" s="1" t="e">
        <f>VLOOKUP(C:C,[1]基础信息!B$1:F$65536,5,0)</f>
        <v>#N/A</v>
      </c>
    </row>
    <row r="2522" spans="1:40">
      <c r="A2522" s="1" t="s">
        <v>41</v>
      </c>
      <c r="B2522" s="1" t="s">
        <v>42</v>
      </c>
      <c r="C2522" s="1" t="s">
        <v>4258</v>
      </c>
      <c r="D2522" s="1" t="s">
        <v>4259</v>
      </c>
      <c r="E2522" s="1" t="s">
        <v>45</v>
      </c>
      <c r="F2522" s="1" t="s">
        <v>4260</v>
      </c>
      <c r="G2522" s="1" t="s">
        <v>5824</v>
      </c>
      <c r="H2522" s="1" t="s">
        <v>5825</v>
      </c>
      <c r="I2522" s="1" t="s">
        <v>49</v>
      </c>
      <c r="J2522" s="1" t="s">
        <v>48</v>
      </c>
      <c r="K2522" s="1">
        <v>145</v>
      </c>
      <c r="L2522" s="1">
        <v>0</v>
      </c>
      <c r="M2522" s="1">
        <v>0</v>
      </c>
      <c r="N2522" s="1">
        <v>145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 t="s">
        <v>49</v>
      </c>
      <c r="AA2522" s="1" t="s">
        <v>49</v>
      </c>
      <c r="AB2522" s="1" t="s">
        <v>49</v>
      </c>
      <c r="AC2522" s="1" t="s">
        <v>215</v>
      </c>
      <c r="AD2522" s="1" t="s">
        <v>3025</v>
      </c>
      <c r="AE2522" s="1" t="s">
        <v>215</v>
      </c>
      <c r="AF2522" s="1" t="s">
        <v>4263</v>
      </c>
      <c r="AG2522" s="1" t="s">
        <v>53</v>
      </c>
      <c r="AH2522" s="1" t="s">
        <v>49</v>
      </c>
      <c r="AI2522" s="1" t="s">
        <v>54</v>
      </c>
      <c r="AJ2522" s="1">
        <v>1</v>
      </c>
      <c r="AK2522" s="1" t="str">
        <f t="shared" si="39"/>
        <v xml:space="preserve"> =&lt;90</v>
      </c>
      <c r="AL2522" s="1" t="e">
        <f>VLOOKUP(C:C,[1]基础信息!B$1:D$65536,3,0)</f>
        <v>#N/A</v>
      </c>
      <c r="AM2522" s="1" t="e">
        <f>VLOOKUP(C:C,[1]基础信息!B$1:E$65536,4,0)</f>
        <v>#N/A</v>
      </c>
      <c r="AN2522" s="1" t="e">
        <f>VLOOKUP(C:C,[1]基础信息!B$1:F$65536,5,0)</f>
        <v>#N/A</v>
      </c>
    </row>
    <row r="2523" spans="1:40">
      <c r="A2523" s="1" t="s">
        <v>41</v>
      </c>
      <c r="B2523" s="1" t="s">
        <v>42</v>
      </c>
      <c r="C2523" s="1" t="s">
        <v>4273</v>
      </c>
      <c r="D2523" s="1" t="s">
        <v>4274</v>
      </c>
      <c r="E2523" s="1" t="s">
        <v>45</v>
      </c>
      <c r="F2523" s="1" t="s">
        <v>5523</v>
      </c>
      <c r="G2523" s="1" t="s">
        <v>5826</v>
      </c>
      <c r="H2523" s="1" t="s">
        <v>5827</v>
      </c>
      <c r="I2523" s="1" t="s">
        <v>49</v>
      </c>
      <c r="J2523" s="1" t="s">
        <v>48</v>
      </c>
      <c r="K2523" s="1">
        <v>840</v>
      </c>
      <c r="L2523" s="1">
        <v>0</v>
      </c>
      <c r="M2523" s="1">
        <v>0</v>
      </c>
      <c r="N2523" s="1">
        <v>840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 t="s">
        <v>49</v>
      </c>
      <c r="AA2523" s="1" t="s">
        <v>49</v>
      </c>
      <c r="AB2523" s="1" t="s">
        <v>49</v>
      </c>
      <c r="AC2523" s="1" t="s">
        <v>470</v>
      </c>
      <c r="AD2523" s="1" t="s">
        <v>471</v>
      </c>
      <c r="AE2523" s="1" t="s">
        <v>470</v>
      </c>
      <c r="AF2523" s="1" t="s">
        <v>5526</v>
      </c>
      <c r="AG2523" s="1" t="s">
        <v>53</v>
      </c>
      <c r="AH2523" s="1" t="s">
        <v>49</v>
      </c>
      <c r="AI2523" s="1" t="s">
        <v>54</v>
      </c>
      <c r="AJ2523" s="1">
        <v>1</v>
      </c>
      <c r="AK2523" s="1" t="str">
        <f t="shared" si="39"/>
        <v xml:space="preserve"> =&lt;90</v>
      </c>
      <c r="AL2523" s="1" t="e">
        <f>VLOOKUP(C:C,[1]基础信息!B$1:D$65536,3,0)</f>
        <v>#N/A</v>
      </c>
      <c r="AM2523" s="1" t="e">
        <f>VLOOKUP(C:C,[1]基础信息!B$1:E$65536,4,0)</f>
        <v>#N/A</v>
      </c>
      <c r="AN2523" s="1" t="e">
        <f>VLOOKUP(C:C,[1]基础信息!B$1:F$65536,5,0)</f>
        <v>#N/A</v>
      </c>
    </row>
    <row r="2524" spans="1:40">
      <c r="A2524" s="1" t="s">
        <v>41</v>
      </c>
      <c r="B2524" s="1" t="s">
        <v>42</v>
      </c>
      <c r="C2524" s="1" t="s">
        <v>5154</v>
      </c>
      <c r="D2524" s="1" t="s">
        <v>5155</v>
      </c>
      <c r="E2524" s="1" t="s">
        <v>45</v>
      </c>
      <c r="F2524" s="1" t="s">
        <v>5156</v>
      </c>
      <c r="G2524" s="1" t="s">
        <v>5828</v>
      </c>
      <c r="H2524" s="1" t="s">
        <v>5829</v>
      </c>
      <c r="I2524" s="1" t="s">
        <v>49</v>
      </c>
      <c r="J2524" s="1" t="s">
        <v>48</v>
      </c>
      <c r="K2524" s="1">
        <v>270</v>
      </c>
      <c r="L2524" s="1">
        <v>0</v>
      </c>
      <c r="M2524" s="1">
        <v>0</v>
      </c>
      <c r="N2524" s="1">
        <v>270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 t="s">
        <v>49</v>
      </c>
      <c r="AA2524" s="1" t="s">
        <v>49</v>
      </c>
      <c r="AB2524" s="1" t="s">
        <v>49</v>
      </c>
      <c r="AC2524" s="1" t="s">
        <v>215</v>
      </c>
      <c r="AD2524" s="1" t="s">
        <v>3025</v>
      </c>
      <c r="AE2524" s="1" t="s">
        <v>215</v>
      </c>
      <c r="AF2524" s="1" t="s">
        <v>5159</v>
      </c>
      <c r="AG2524" s="1" t="s">
        <v>53</v>
      </c>
      <c r="AH2524" s="1" t="s">
        <v>49</v>
      </c>
      <c r="AI2524" s="1" t="s">
        <v>54</v>
      </c>
      <c r="AJ2524" s="1">
        <v>1</v>
      </c>
      <c r="AK2524" s="1" t="str">
        <f t="shared" si="39"/>
        <v xml:space="preserve"> =&lt;90</v>
      </c>
      <c r="AL2524" s="1" t="e">
        <f>VLOOKUP(C:C,[1]基础信息!B$1:D$65536,3,0)</f>
        <v>#N/A</v>
      </c>
      <c r="AM2524" s="1" t="e">
        <f>VLOOKUP(C:C,[1]基础信息!B$1:E$65536,4,0)</f>
        <v>#N/A</v>
      </c>
      <c r="AN2524" s="1" t="e">
        <f>VLOOKUP(C:C,[1]基础信息!B$1:F$65536,5,0)</f>
        <v>#N/A</v>
      </c>
    </row>
    <row r="2525" spans="1:40">
      <c r="A2525" s="1" t="s">
        <v>41</v>
      </c>
      <c r="B2525" s="1" t="s">
        <v>42</v>
      </c>
      <c r="C2525" s="1" t="s">
        <v>5154</v>
      </c>
      <c r="D2525" s="1" t="s">
        <v>5155</v>
      </c>
      <c r="E2525" s="1" t="s">
        <v>45</v>
      </c>
      <c r="F2525" s="1" t="s">
        <v>5156</v>
      </c>
      <c r="G2525" s="1" t="s">
        <v>5830</v>
      </c>
      <c r="H2525" s="1" t="s">
        <v>5831</v>
      </c>
      <c r="I2525" s="1" t="s">
        <v>49</v>
      </c>
      <c r="J2525" s="1" t="s">
        <v>48</v>
      </c>
      <c r="K2525" s="1">
        <v>270</v>
      </c>
      <c r="L2525" s="1">
        <v>0</v>
      </c>
      <c r="M2525" s="1">
        <v>0</v>
      </c>
      <c r="N2525" s="1">
        <v>270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 t="s">
        <v>49</v>
      </c>
      <c r="AA2525" s="1" t="s">
        <v>49</v>
      </c>
      <c r="AB2525" s="1" t="s">
        <v>49</v>
      </c>
      <c r="AC2525" s="1" t="s">
        <v>215</v>
      </c>
      <c r="AD2525" s="1" t="s">
        <v>3025</v>
      </c>
      <c r="AE2525" s="1" t="s">
        <v>215</v>
      </c>
      <c r="AF2525" s="1" t="s">
        <v>5159</v>
      </c>
      <c r="AG2525" s="1" t="s">
        <v>53</v>
      </c>
      <c r="AH2525" s="1" t="s">
        <v>49</v>
      </c>
      <c r="AI2525" s="1" t="s">
        <v>54</v>
      </c>
      <c r="AJ2525" s="1">
        <v>1</v>
      </c>
      <c r="AK2525" s="1" t="str">
        <f t="shared" si="39"/>
        <v xml:space="preserve"> =&lt;90</v>
      </c>
      <c r="AL2525" s="1" t="e">
        <f>VLOOKUP(C:C,[1]基础信息!B$1:D$65536,3,0)</f>
        <v>#N/A</v>
      </c>
      <c r="AM2525" s="1" t="e">
        <f>VLOOKUP(C:C,[1]基础信息!B$1:E$65536,4,0)</f>
        <v>#N/A</v>
      </c>
      <c r="AN2525" s="1" t="e">
        <f>VLOOKUP(C:C,[1]基础信息!B$1:F$65536,5,0)</f>
        <v>#N/A</v>
      </c>
    </row>
    <row r="2526" spans="1:40">
      <c r="A2526" s="1" t="s">
        <v>41</v>
      </c>
      <c r="B2526" s="1" t="s">
        <v>42</v>
      </c>
      <c r="C2526" s="1" t="s">
        <v>5154</v>
      </c>
      <c r="D2526" s="1" t="s">
        <v>5155</v>
      </c>
      <c r="E2526" s="1" t="s">
        <v>45</v>
      </c>
      <c r="F2526" s="1" t="s">
        <v>5156</v>
      </c>
      <c r="G2526" s="1" t="s">
        <v>5832</v>
      </c>
      <c r="H2526" s="1" t="s">
        <v>5833</v>
      </c>
      <c r="I2526" s="1" t="s">
        <v>49</v>
      </c>
      <c r="J2526" s="1" t="s">
        <v>48</v>
      </c>
      <c r="K2526" s="1">
        <v>270</v>
      </c>
      <c r="L2526" s="1">
        <v>0</v>
      </c>
      <c r="M2526" s="1">
        <v>0</v>
      </c>
      <c r="N2526" s="1">
        <v>270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 t="s">
        <v>49</v>
      </c>
      <c r="AA2526" s="1" t="s">
        <v>49</v>
      </c>
      <c r="AB2526" s="1" t="s">
        <v>49</v>
      </c>
      <c r="AC2526" s="1" t="s">
        <v>215</v>
      </c>
      <c r="AD2526" s="1" t="s">
        <v>3025</v>
      </c>
      <c r="AE2526" s="1" t="s">
        <v>215</v>
      </c>
      <c r="AF2526" s="1" t="s">
        <v>5159</v>
      </c>
      <c r="AG2526" s="1" t="s">
        <v>53</v>
      </c>
      <c r="AH2526" s="1" t="s">
        <v>49</v>
      </c>
      <c r="AI2526" s="1" t="s">
        <v>54</v>
      </c>
      <c r="AJ2526" s="1">
        <v>1</v>
      </c>
      <c r="AK2526" s="1" t="str">
        <f t="shared" si="39"/>
        <v xml:space="preserve"> =&lt;90</v>
      </c>
      <c r="AL2526" s="1" t="e">
        <f>VLOOKUP(C:C,[1]基础信息!B$1:D$65536,3,0)</f>
        <v>#N/A</v>
      </c>
      <c r="AM2526" s="1" t="e">
        <f>VLOOKUP(C:C,[1]基础信息!B$1:E$65536,4,0)</f>
        <v>#N/A</v>
      </c>
      <c r="AN2526" s="1" t="e">
        <f>VLOOKUP(C:C,[1]基础信息!B$1:F$65536,5,0)</f>
        <v>#N/A</v>
      </c>
    </row>
    <row r="2527" spans="1:40">
      <c r="A2527" s="1" t="s">
        <v>41</v>
      </c>
      <c r="B2527" s="1" t="s">
        <v>42</v>
      </c>
      <c r="C2527" s="1" t="s">
        <v>5154</v>
      </c>
      <c r="D2527" s="1" t="s">
        <v>5155</v>
      </c>
      <c r="E2527" s="1" t="s">
        <v>45</v>
      </c>
      <c r="F2527" s="1" t="s">
        <v>5156</v>
      </c>
      <c r="G2527" s="1" t="s">
        <v>5834</v>
      </c>
      <c r="H2527" s="1" t="s">
        <v>5835</v>
      </c>
      <c r="I2527" s="1" t="s">
        <v>49</v>
      </c>
      <c r="J2527" s="1" t="s">
        <v>48</v>
      </c>
      <c r="K2527" s="1">
        <v>270</v>
      </c>
      <c r="L2527" s="1">
        <v>0</v>
      </c>
      <c r="M2527" s="1">
        <v>0</v>
      </c>
      <c r="N2527" s="1">
        <v>270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 t="s">
        <v>49</v>
      </c>
      <c r="AA2527" s="1" t="s">
        <v>49</v>
      </c>
      <c r="AB2527" s="1" t="s">
        <v>49</v>
      </c>
      <c r="AC2527" s="1" t="s">
        <v>215</v>
      </c>
      <c r="AD2527" s="1" t="s">
        <v>3025</v>
      </c>
      <c r="AE2527" s="1" t="s">
        <v>215</v>
      </c>
      <c r="AF2527" s="1" t="s">
        <v>5159</v>
      </c>
      <c r="AG2527" s="1" t="s">
        <v>53</v>
      </c>
      <c r="AH2527" s="1" t="s">
        <v>49</v>
      </c>
      <c r="AI2527" s="1" t="s">
        <v>54</v>
      </c>
      <c r="AJ2527" s="1">
        <v>1</v>
      </c>
      <c r="AK2527" s="1" t="str">
        <f t="shared" si="39"/>
        <v xml:space="preserve"> =&lt;90</v>
      </c>
      <c r="AL2527" s="1" t="e">
        <f>VLOOKUP(C:C,[1]基础信息!B$1:D$65536,3,0)</f>
        <v>#N/A</v>
      </c>
      <c r="AM2527" s="1" t="e">
        <f>VLOOKUP(C:C,[1]基础信息!B$1:E$65536,4,0)</f>
        <v>#N/A</v>
      </c>
      <c r="AN2527" s="1" t="e">
        <f>VLOOKUP(C:C,[1]基础信息!B$1:F$65536,5,0)</f>
        <v>#N/A</v>
      </c>
    </row>
    <row r="2528" spans="1:40">
      <c r="A2528" s="1" t="s">
        <v>41</v>
      </c>
      <c r="B2528" s="1" t="s">
        <v>42</v>
      </c>
      <c r="C2528" s="1" t="s">
        <v>5154</v>
      </c>
      <c r="D2528" s="1" t="s">
        <v>5155</v>
      </c>
      <c r="E2528" s="1" t="s">
        <v>45</v>
      </c>
      <c r="F2528" s="1" t="s">
        <v>5156</v>
      </c>
      <c r="G2528" s="1" t="s">
        <v>5836</v>
      </c>
      <c r="H2528" s="1" t="s">
        <v>5837</v>
      </c>
      <c r="I2528" s="1" t="s">
        <v>49</v>
      </c>
      <c r="J2528" s="1" t="s">
        <v>48</v>
      </c>
      <c r="K2528" s="1">
        <v>270</v>
      </c>
      <c r="L2528" s="1">
        <v>0</v>
      </c>
      <c r="M2528" s="1">
        <v>0</v>
      </c>
      <c r="N2528" s="1">
        <v>270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 t="s">
        <v>49</v>
      </c>
      <c r="AA2528" s="1" t="s">
        <v>49</v>
      </c>
      <c r="AB2528" s="1" t="s">
        <v>49</v>
      </c>
      <c r="AC2528" s="1" t="s">
        <v>215</v>
      </c>
      <c r="AD2528" s="1" t="s">
        <v>3025</v>
      </c>
      <c r="AE2528" s="1" t="s">
        <v>215</v>
      </c>
      <c r="AF2528" s="1" t="s">
        <v>5159</v>
      </c>
      <c r="AG2528" s="1" t="s">
        <v>53</v>
      </c>
      <c r="AH2528" s="1" t="s">
        <v>49</v>
      </c>
      <c r="AI2528" s="1" t="s">
        <v>54</v>
      </c>
      <c r="AJ2528" s="1">
        <v>1</v>
      </c>
      <c r="AK2528" s="1" t="str">
        <f t="shared" si="39"/>
        <v xml:space="preserve"> =&lt;90</v>
      </c>
      <c r="AL2528" s="1" t="e">
        <f>VLOOKUP(C:C,[1]基础信息!B$1:D$65536,3,0)</f>
        <v>#N/A</v>
      </c>
      <c r="AM2528" s="1" t="e">
        <f>VLOOKUP(C:C,[1]基础信息!B$1:E$65536,4,0)</f>
        <v>#N/A</v>
      </c>
      <c r="AN2528" s="1" t="e">
        <f>VLOOKUP(C:C,[1]基础信息!B$1:F$65536,5,0)</f>
        <v>#N/A</v>
      </c>
    </row>
    <row r="2529" spans="1:40">
      <c r="A2529" s="1" t="s">
        <v>41</v>
      </c>
      <c r="B2529" s="1" t="s">
        <v>42</v>
      </c>
      <c r="C2529" s="1" t="s">
        <v>3512</v>
      </c>
      <c r="D2529" s="1" t="s">
        <v>3513</v>
      </c>
      <c r="E2529" s="1" t="s">
        <v>45</v>
      </c>
      <c r="F2529" s="1" t="s">
        <v>5816</v>
      </c>
      <c r="G2529" s="1" t="s">
        <v>5838</v>
      </c>
      <c r="H2529" s="1" t="s">
        <v>5839</v>
      </c>
      <c r="I2529" s="1" t="s">
        <v>49</v>
      </c>
      <c r="J2529" s="1" t="s">
        <v>48</v>
      </c>
      <c r="K2529" s="1">
        <v>840</v>
      </c>
      <c r="L2529" s="1">
        <v>0</v>
      </c>
      <c r="M2529" s="1">
        <v>0</v>
      </c>
      <c r="N2529" s="1">
        <v>840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 t="s">
        <v>49</v>
      </c>
      <c r="AA2529" s="1" t="s">
        <v>49</v>
      </c>
      <c r="AB2529" s="1" t="s">
        <v>49</v>
      </c>
      <c r="AC2529" s="1" t="s">
        <v>5220</v>
      </c>
      <c r="AD2529" s="1" t="s">
        <v>5221</v>
      </c>
      <c r="AE2529" s="1" t="s">
        <v>5220</v>
      </c>
      <c r="AF2529" s="1" t="s">
        <v>5819</v>
      </c>
      <c r="AG2529" s="1" t="s">
        <v>53</v>
      </c>
      <c r="AH2529" s="1" t="s">
        <v>49</v>
      </c>
      <c r="AI2529" s="1" t="s">
        <v>54</v>
      </c>
      <c r="AJ2529" s="1">
        <v>1</v>
      </c>
      <c r="AK2529" s="1" t="str">
        <f t="shared" si="39"/>
        <v xml:space="preserve"> =&lt;90</v>
      </c>
      <c r="AL2529" s="1" t="str">
        <f>VLOOKUP(C:C,[1]基础信息!B$1:D$65536,3,0)</f>
        <v xml:space="preserve">Cartridge </v>
      </c>
      <c r="AM2529" s="1" t="str">
        <f>VLOOKUP(C:C,[1]基础信息!B$1:E$65536,4,0)</f>
        <v>UNIV</v>
      </c>
      <c r="AN2529" s="1" t="str">
        <f>VLOOKUP(C:C,[1]基础信息!B$1:F$65536,5,0)</f>
        <v>P3</v>
      </c>
    </row>
    <row r="2530" spans="1:40">
      <c r="A2530" s="1" t="s">
        <v>41</v>
      </c>
      <c r="B2530" s="1" t="s">
        <v>42</v>
      </c>
      <c r="C2530" s="1" t="s">
        <v>3512</v>
      </c>
      <c r="D2530" s="1" t="s">
        <v>3513</v>
      </c>
      <c r="E2530" s="1" t="s">
        <v>45</v>
      </c>
      <c r="F2530" s="1" t="s">
        <v>5816</v>
      </c>
      <c r="G2530" s="1" t="s">
        <v>5840</v>
      </c>
      <c r="H2530" s="1" t="s">
        <v>5841</v>
      </c>
      <c r="I2530" s="1" t="s">
        <v>49</v>
      </c>
      <c r="J2530" s="1" t="s">
        <v>48</v>
      </c>
      <c r="K2530" s="1">
        <v>840</v>
      </c>
      <c r="L2530" s="1">
        <v>0</v>
      </c>
      <c r="M2530" s="1">
        <v>0</v>
      </c>
      <c r="N2530" s="1">
        <v>840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 t="s">
        <v>49</v>
      </c>
      <c r="AA2530" s="1" t="s">
        <v>49</v>
      </c>
      <c r="AB2530" s="1" t="s">
        <v>49</v>
      </c>
      <c r="AC2530" s="1" t="s">
        <v>5220</v>
      </c>
      <c r="AD2530" s="1" t="s">
        <v>5221</v>
      </c>
      <c r="AE2530" s="1" t="s">
        <v>5220</v>
      </c>
      <c r="AF2530" s="1" t="s">
        <v>5819</v>
      </c>
      <c r="AG2530" s="1" t="s">
        <v>53</v>
      </c>
      <c r="AH2530" s="1" t="s">
        <v>49</v>
      </c>
      <c r="AI2530" s="1" t="s">
        <v>54</v>
      </c>
      <c r="AJ2530" s="1">
        <v>1</v>
      </c>
      <c r="AK2530" s="1" t="str">
        <f t="shared" si="39"/>
        <v xml:space="preserve"> =&lt;90</v>
      </c>
      <c r="AL2530" s="1" t="str">
        <f>VLOOKUP(C:C,[1]基础信息!B$1:D$65536,3,0)</f>
        <v xml:space="preserve">Cartridge </v>
      </c>
      <c r="AM2530" s="1" t="str">
        <f>VLOOKUP(C:C,[1]基础信息!B$1:E$65536,4,0)</f>
        <v>UNIV</v>
      </c>
      <c r="AN2530" s="1" t="str">
        <f>VLOOKUP(C:C,[1]基础信息!B$1:F$65536,5,0)</f>
        <v>P3</v>
      </c>
    </row>
    <row r="2531" spans="1:40">
      <c r="A2531" s="1" t="s">
        <v>41</v>
      </c>
      <c r="B2531" s="1" t="s">
        <v>42</v>
      </c>
      <c r="C2531" s="1" t="s">
        <v>3512</v>
      </c>
      <c r="D2531" s="1" t="s">
        <v>3513</v>
      </c>
      <c r="E2531" s="1" t="s">
        <v>45</v>
      </c>
      <c r="F2531" s="1" t="s">
        <v>5816</v>
      </c>
      <c r="G2531" s="1" t="s">
        <v>5842</v>
      </c>
      <c r="H2531" s="1" t="s">
        <v>5843</v>
      </c>
      <c r="I2531" s="1" t="s">
        <v>49</v>
      </c>
      <c r="J2531" s="1" t="s">
        <v>48</v>
      </c>
      <c r="K2531" s="1">
        <v>840</v>
      </c>
      <c r="L2531" s="1">
        <v>0</v>
      </c>
      <c r="M2531" s="1">
        <v>0</v>
      </c>
      <c r="N2531" s="1">
        <v>840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 t="s">
        <v>49</v>
      </c>
      <c r="AA2531" s="1" t="s">
        <v>49</v>
      </c>
      <c r="AB2531" s="1" t="s">
        <v>49</v>
      </c>
      <c r="AC2531" s="1" t="s">
        <v>5220</v>
      </c>
      <c r="AD2531" s="1" t="s">
        <v>5221</v>
      </c>
      <c r="AE2531" s="1" t="s">
        <v>5220</v>
      </c>
      <c r="AF2531" s="1" t="s">
        <v>5819</v>
      </c>
      <c r="AG2531" s="1" t="s">
        <v>53</v>
      </c>
      <c r="AH2531" s="1" t="s">
        <v>49</v>
      </c>
      <c r="AI2531" s="1" t="s">
        <v>54</v>
      </c>
      <c r="AJ2531" s="1">
        <v>1</v>
      </c>
      <c r="AK2531" s="1" t="str">
        <f t="shared" si="39"/>
        <v xml:space="preserve"> =&lt;90</v>
      </c>
      <c r="AL2531" s="1" t="str">
        <f>VLOOKUP(C:C,[1]基础信息!B$1:D$65536,3,0)</f>
        <v xml:space="preserve">Cartridge </v>
      </c>
      <c r="AM2531" s="1" t="str">
        <f>VLOOKUP(C:C,[1]基础信息!B$1:E$65536,4,0)</f>
        <v>UNIV</v>
      </c>
      <c r="AN2531" s="1" t="str">
        <f>VLOOKUP(C:C,[1]基础信息!B$1:F$65536,5,0)</f>
        <v>P3</v>
      </c>
    </row>
    <row r="2532" spans="1:40">
      <c r="A2532" s="1" t="s">
        <v>41</v>
      </c>
      <c r="B2532" s="1" t="s">
        <v>42</v>
      </c>
      <c r="C2532" s="1" t="s">
        <v>3512</v>
      </c>
      <c r="D2532" s="1" t="s">
        <v>3513</v>
      </c>
      <c r="E2532" s="1" t="s">
        <v>45</v>
      </c>
      <c r="F2532" s="1" t="s">
        <v>5816</v>
      </c>
      <c r="G2532" s="1" t="s">
        <v>5844</v>
      </c>
      <c r="H2532" s="1" t="s">
        <v>5845</v>
      </c>
      <c r="I2532" s="1" t="s">
        <v>49</v>
      </c>
      <c r="J2532" s="1" t="s">
        <v>48</v>
      </c>
      <c r="K2532" s="1">
        <v>840</v>
      </c>
      <c r="L2532" s="1">
        <v>0</v>
      </c>
      <c r="M2532" s="1">
        <v>0</v>
      </c>
      <c r="N2532" s="1">
        <v>840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 t="s">
        <v>49</v>
      </c>
      <c r="AA2532" s="1" t="s">
        <v>49</v>
      </c>
      <c r="AB2532" s="1" t="s">
        <v>49</v>
      </c>
      <c r="AC2532" s="1" t="s">
        <v>5220</v>
      </c>
      <c r="AD2532" s="1" t="s">
        <v>5221</v>
      </c>
      <c r="AE2532" s="1" t="s">
        <v>5220</v>
      </c>
      <c r="AF2532" s="1" t="s">
        <v>5819</v>
      </c>
      <c r="AG2532" s="1" t="s">
        <v>53</v>
      </c>
      <c r="AH2532" s="1" t="s">
        <v>49</v>
      </c>
      <c r="AI2532" s="1" t="s">
        <v>54</v>
      </c>
      <c r="AJ2532" s="1">
        <v>1</v>
      </c>
      <c r="AK2532" s="1" t="str">
        <f t="shared" si="39"/>
        <v xml:space="preserve"> =&lt;90</v>
      </c>
      <c r="AL2532" s="1" t="str">
        <f>VLOOKUP(C:C,[1]基础信息!B$1:D$65536,3,0)</f>
        <v xml:space="preserve">Cartridge </v>
      </c>
      <c r="AM2532" s="1" t="str">
        <f>VLOOKUP(C:C,[1]基础信息!B$1:E$65536,4,0)</f>
        <v>UNIV</v>
      </c>
      <c r="AN2532" s="1" t="str">
        <f>VLOOKUP(C:C,[1]基础信息!B$1:F$65536,5,0)</f>
        <v>P3</v>
      </c>
    </row>
    <row r="2533" spans="1:40">
      <c r="A2533" s="1" t="s">
        <v>41</v>
      </c>
      <c r="B2533" s="1" t="s">
        <v>42</v>
      </c>
      <c r="C2533" s="1" t="s">
        <v>3512</v>
      </c>
      <c r="D2533" s="1" t="s">
        <v>3513</v>
      </c>
      <c r="E2533" s="1" t="s">
        <v>45</v>
      </c>
      <c r="F2533" s="1" t="s">
        <v>5816</v>
      </c>
      <c r="G2533" s="1" t="s">
        <v>5846</v>
      </c>
      <c r="H2533" s="1" t="s">
        <v>5847</v>
      </c>
      <c r="I2533" s="1" t="s">
        <v>49</v>
      </c>
      <c r="J2533" s="1" t="s">
        <v>48</v>
      </c>
      <c r="K2533" s="1">
        <v>840</v>
      </c>
      <c r="L2533" s="1">
        <v>0</v>
      </c>
      <c r="M2533" s="1">
        <v>0</v>
      </c>
      <c r="N2533" s="1">
        <v>840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 t="s">
        <v>49</v>
      </c>
      <c r="AA2533" s="1" t="s">
        <v>49</v>
      </c>
      <c r="AB2533" s="1" t="s">
        <v>49</v>
      </c>
      <c r="AC2533" s="1" t="s">
        <v>5220</v>
      </c>
      <c r="AD2533" s="1" t="s">
        <v>5221</v>
      </c>
      <c r="AE2533" s="1" t="s">
        <v>5220</v>
      </c>
      <c r="AF2533" s="1" t="s">
        <v>5819</v>
      </c>
      <c r="AG2533" s="1" t="s">
        <v>53</v>
      </c>
      <c r="AH2533" s="1" t="s">
        <v>49</v>
      </c>
      <c r="AI2533" s="1" t="s">
        <v>54</v>
      </c>
      <c r="AJ2533" s="1">
        <v>1</v>
      </c>
      <c r="AK2533" s="1" t="str">
        <f t="shared" si="39"/>
        <v xml:space="preserve"> =&lt;90</v>
      </c>
      <c r="AL2533" s="1" t="str">
        <f>VLOOKUP(C:C,[1]基础信息!B$1:D$65536,3,0)</f>
        <v xml:space="preserve">Cartridge </v>
      </c>
      <c r="AM2533" s="1" t="str">
        <f>VLOOKUP(C:C,[1]基础信息!B$1:E$65536,4,0)</f>
        <v>UNIV</v>
      </c>
      <c r="AN2533" s="1" t="str">
        <f>VLOOKUP(C:C,[1]基础信息!B$1:F$65536,5,0)</f>
        <v>P3</v>
      </c>
    </row>
    <row r="2534" spans="1:40">
      <c r="A2534" s="1" t="s">
        <v>41</v>
      </c>
      <c r="B2534" s="1" t="s">
        <v>42</v>
      </c>
      <c r="C2534" s="1" t="s">
        <v>3512</v>
      </c>
      <c r="D2534" s="1" t="s">
        <v>3513</v>
      </c>
      <c r="E2534" s="1" t="s">
        <v>45</v>
      </c>
      <c r="F2534" s="1" t="s">
        <v>5816</v>
      </c>
      <c r="G2534" s="1" t="s">
        <v>5848</v>
      </c>
      <c r="H2534" s="1" t="s">
        <v>5849</v>
      </c>
      <c r="I2534" s="1" t="s">
        <v>49</v>
      </c>
      <c r="J2534" s="1" t="s">
        <v>48</v>
      </c>
      <c r="K2534" s="1">
        <v>840</v>
      </c>
      <c r="L2534" s="1">
        <v>0</v>
      </c>
      <c r="M2534" s="1">
        <v>0</v>
      </c>
      <c r="N2534" s="1">
        <v>840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 t="s">
        <v>49</v>
      </c>
      <c r="AA2534" s="1" t="s">
        <v>49</v>
      </c>
      <c r="AB2534" s="1" t="s">
        <v>49</v>
      </c>
      <c r="AC2534" s="1" t="s">
        <v>5220</v>
      </c>
      <c r="AD2534" s="1" t="s">
        <v>5221</v>
      </c>
      <c r="AE2534" s="1" t="s">
        <v>5220</v>
      </c>
      <c r="AF2534" s="1" t="s">
        <v>5819</v>
      </c>
      <c r="AG2534" s="1" t="s">
        <v>53</v>
      </c>
      <c r="AH2534" s="1" t="s">
        <v>49</v>
      </c>
      <c r="AI2534" s="1" t="s">
        <v>54</v>
      </c>
      <c r="AJ2534" s="1">
        <v>1</v>
      </c>
      <c r="AK2534" s="1" t="str">
        <f t="shared" si="39"/>
        <v xml:space="preserve"> =&lt;90</v>
      </c>
      <c r="AL2534" s="1" t="str">
        <f>VLOOKUP(C:C,[1]基础信息!B$1:D$65536,3,0)</f>
        <v xml:space="preserve">Cartridge </v>
      </c>
      <c r="AM2534" s="1" t="str">
        <f>VLOOKUP(C:C,[1]基础信息!B$1:E$65536,4,0)</f>
        <v>UNIV</v>
      </c>
      <c r="AN2534" s="1" t="str">
        <f>VLOOKUP(C:C,[1]基础信息!B$1:F$65536,5,0)</f>
        <v>P3</v>
      </c>
    </row>
    <row r="2535" spans="1:40">
      <c r="A2535" s="1" t="s">
        <v>41</v>
      </c>
      <c r="B2535" s="1" t="s">
        <v>42</v>
      </c>
      <c r="C2535" s="1" t="s">
        <v>5154</v>
      </c>
      <c r="D2535" s="1" t="s">
        <v>5155</v>
      </c>
      <c r="E2535" s="1" t="s">
        <v>45</v>
      </c>
      <c r="F2535" s="1" t="s">
        <v>5156</v>
      </c>
      <c r="G2535" s="1" t="s">
        <v>5850</v>
      </c>
      <c r="H2535" s="1" t="s">
        <v>5851</v>
      </c>
      <c r="I2535" s="1" t="s">
        <v>49</v>
      </c>
      <c r="J2535" s="1" t="s">
        <v>48</v>
      </c>
      <c r="K2535" s="1">
        <v>270</v>
      </c>
      <c r="L2535" s="1">
        <v>0</v>
      </c>
      <c r="M2535" s="1">
        <v>0</v>
      </c>
      <c r="N2535" s="1">
        <v>270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 t="s">
        <v>49</v>
      </c>
      <c r="AA2535" s="1" t="s">
        <v>49</v>
      </c>
      <c r="AB2535" s="1" t="s">
        <v>49</v>
      </c>
      <c r="AC2535" s="1" t="s">
        <v>215</v>
      </c>
      <c r="AD2535" s="1" t="s">
        <v>3025</v>
      </c>
      <c r="AE2535" s="1" t="s">
        <v>215</v>
      </c>
      <c r="AF2535" s="1" t="s">
        <v>5159</v>
      </c>
      <c r="AG2535" s="1" t="s">
        <v>53</v>
      </c>
      <c r="AH2535" s="1" t="s">
        <v>49</v>
      </c>
      <c r="AI2535" s="1" t="s">
        <v>54</v>
      </c>
      <c r="AJ2535" s="1">
        <v>1</v>
      </c>
      <c r="AK2535" s="1" t="str">
        <f t="shared" si="39"/>
        <v xml:space="preserve"> =&lt;90</v>
      </c>
      <c r="AL2535" s="1" t="e">
        <f>VLOOKUP(C:C,[1]基础信息!B$1:D$65536,3,0)</f>
        <v>#N/A</v>
      </c>
      <c r="AM2535" s="1" t="e">
        <f>VLOOKUP(C:C,[1]基础信息!B$1:E$65536,4,0)</f>
        <v>#N/A</v>
      </c>
      <c r="AN2535" s="1" t="e">
        <f>VLOOKUP(C:C,[1]基础信息!B$1:F$65536,5,0)</f>
        <v>#N/A</v>
      </c>
    </row>
    <row r="2536" spans="1:40">
      <c r="A2536" s="1" t="s">
        <v>41</v>
      </c>
      <c r="B2536" s="1" t="s">
        <v>42</v>
      </c>
      <c r="C2536" s="1" t="s">
        <v>3512</v>
      </c>
      <c r="D2536" s="1" t="s">
        <v>3513</v>
      </c>
      <c r="E2536" s="1" t="s">
        <v>45</v>
      </c>
      <c r="F2536" s="1" t="s">
        <v>5816</v>
      </c>
      <c r="G2536" s="1" t="s">
        <v>5852</v>
      </c>
      <c r="H2536" s="1" t="s">
        <v>5853</v>
      </c>
      <c r="I2536" s="1" t="s">
        <v>49</v>
      </c>
      <c r="J2536" s="1" t="s">
        <v>48</v>
      </c>
      <c r="K2536" s="1">
        <v>840</v>
      </c>
      <c r="L2536" s="1">
        <v>0</v>
      </c>
      <c r="M2536" s="1">
        <v>0</v>
      </c>
      <c r="N2536" s="1">
        <v>840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 t="s">
        <v>49</v>
      </c>
      <c r="AA2536" s="1" t="s">
        <v>49</v>
      </c>
      <c r="AB2536" s="1" t="s">
        <v>49</v>
      </c>
      <c r="AC2536" s="1" t="s">
        <v>5220</v>
      </c>
      <c r="AD2536" s="1" t="s">
        <v>5221</v>
      </c>
      <c r="AE2536" s="1" t="s">
        <v>5220</v>
      </c>
      <c r="AF2536" s="1" t="s">
        <v>5819</v>
      </c>
      <c r="AG2536" s="1" t="s">
        <v>53</v>
      </c>
      <c r="AH2536" s="1" t="s">
        <v>49</v>
      </c>
      <c r="AI2536" s="1" t="s">
        <v>54</v>
      </c>
      <c r="AJ2536" s="1">
        <v>1</v>
      </c>
      <c r="AK2536" s="1" t="str">
        <f t="shared" si="39"/>
        <v xml:space="preserve"> =&lt;90</v>
      </c>
      <c r="AL2536" s="1" t="str">
        <f>VLOOKUP(C:C,[1]基础信息!B$1:D$65536,3,0)</f>
        <v xml:space="preserve">Cartridge </v>
      </c>
      <c r="AM2536" s="1" t="str">
        <f>VLOOKUP(C:C,[1]基础信息!B$1:E$65536,4,0)</f>
        <v>UNIV</v>
      </c>
      <c r="AN2536" s="1" t="str">
        <f>VLOOKUP(C:C,[1]基础信息!B$1:F$65536,5,0)</f>
        <v>P3</v>
      </c>
    </row>
    <row r="2537" spans="1:40">
      <c r="A2537" s="1" t="s">
        <v>41</v>
      </c>
      <c r="B2537" s="1" t="s">
        <v>42</v>
      </c>
      <c r="C2537" s="1" t="s">
        <v>3512</v>
      </c>
      <c r="D2537" s="1" t="s">
        <v>3513</v>
      </c>
      <c r="E2537" s="1" t="s">
        <v>45</v>
      </c>
      <c r="F2537" s="1" t="s">
        <v>5816</v>
      </c>
      <c r="G2537" s="1" t="s">
        <v>5854</v>
      </c>
      <c r="H2537" s="1" t="s">
        <v>5855</v>
      </c>
      <c r="I2537" s="1" t="s">
        <v>49</v>
      </c>
      <c r="J2537" s="1" t="s">
        <v>48</v>
      </c>
      <c r="K2537" s="1">
        <v>840</v>
      </c>
      <c r="L2537" s="1">
        <v>0</v>
      </c>
      <c r="M2537" s="1">
        <v>0</v>
      </c>
      <c r="N2537" s="1">
        <v>840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 t="s">
        <v>49</v>
      </c>
      <c r="AA2537" s="1" t="s">
        <v>49</v>
      </c>
      <c r="AB2537" s="1" t="s">
        <v>49</v>
      </c>
      <c r="AC2537" s="1" t="s">
        <v>5220</v>
      </c>
      <c r="AD2537" s="1" t="s">
        <v>5221</v>
      </c>
      <c r="AE2537" s="1" t="s">
        <v>5220</v>
      </c>
      <c r="AF2537" s="1" t="s">
        <v>5819</v>
      </c>
      <c r="AG2537" s="1" t="s">
        <v>53</v>
      </c>
      <c r="AH2537" s="1" t="s">
        <v>49</v>
      </c>
      <c r="AI2537" s="1" t="s">
        <v>54</v>
      </c>
      <c r="AJ2537" s="1">
        <v>1</v>
      </c>
      <c r="AK2537" s="1" t="str">
        <f t="shared" si="39"/>
        <v xml:space="preserve"> =&lt;90</v>
      </c>
      <c r="AL2537" s="1" t="str">
        <f>VLOOKUP(C:C,[1]基础信息!B$1:D$65536,3,0)</f>
        <v xml:space="preserve">Cartridge </v>
      </c>
      <c r="AM2537" s="1" t="str">
        <f>VLOOKUP(C:C,[1]基础信息!B$1:E$65536,4,0)</f>
        <v>UNIV</v>
      </c>
      <c r="AN2537" s="1" t="str">
        <f>VLOOKUP(C:C,[1]基础信息!B$1:F$65536,5,0)</f>
        <v>P3</v>
      </c>
    </row>
    <row r="2538" spans="1:40">
      <c r="A2538" s="1" t="s">
        <v>41</v>
      </c>
      <c r="B2538" s="1" t="s">
        <v>42</v>
      </c>
      <c r="C2538" s="1" t="s">
        <v>3512</v>
      </c>
      <c r="D2538" s="1" t="s">
        <v>3513</v>
      </c>
      <c r="E2538" s="1" t="s">
        <v>45</v>
      </c>
      <c r="F2538" s="1" t="s">
        <v>5816</v>
      </c>
      <c r="G2538" s="1" t="s">
        <v>5856</v>
      </c>
      <c r="H2538" s="1" t="s">
        <v>5857</v>
      </c>
      <c r="I2538" s="1" t="s">
        <v>49</v>
      </c>
      <c r="J2538" s="1" t="s">
        <v>48</v>
      </c>
      <c r="K2538" s="1">
        <v>840</v>
      </c>
      <c r="L2538" s="1">
        <v>0</v>
      </c>
      <c r="M2538" s="1">
        <v>0</v>
      </c>
      <c r="N2538" s="1">
        <v>840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 t="s">
        <v>49</v>
      </c>
      <c r="AA2538" s="1" t="s">
        <v>49</v>
      </c>
      <c r="AB2538" s="1" t="s">
        <v>49</v>
      </c>
      <c r="AC2538" s="1" t="s">
        <v>5220</v>
      </c>
      <c r="AD2538" s="1" t="s">
        <v>5221</v>
      </c>
      <c r="AE2538" s="1" t="s">
        <v>5220</v>
      </c>
      <c r="AF2538" s="1" t="s">
        <v>5819</v>
      </c>
      <c r="AG2538" s="1" t="s">
        <v>53</v>
      </c>
      <c r="AH2538" s="1" t="s">
        <v>49</v>
      </c>
      <c r="AI2538" s="1" t="s">
        <v>54</v>
      </c>
      <c r="AJ2538" s="1">
        <v>1</v>
      </c>
      <c r="AK2538" s="1" t="str">
        <f t="shared" si="39"/>
        <v xml:space="preserve"> =&lt;90</v>
      </c>
      <c r="AL2538" s="1" t="str">
        <f>VLOOKUP(C:C,[1]基础信息!B$1:D$65536,3,0)</f>
        <v xml:space="preserve">Cartridge </v>
      </c>
      <c r="AM2538" s="1" t="str">
        <f>VLOOKUP(C:C,[1]基础信息!B$1:E$65536,4,0)</f>
        <v>UNIV</v>
      </c>
      <c r="AN2538" s="1" t="str">
        <f>VLOOKUP(C:C,[1]基础信息!B$1:F$65536,5,0)</f>
        <v>P3</v>
      </c>
    </row>
    <row r="2539" spans="1:40">
      <c r="A2539" s="1" t="s">
        <v>41</v>
      </c>
      <c r="B2539" s="1" t="s">
        <v>42</v>
      </c>
      <c r="C2539" s="1" t="s">
        <v>4273</v>
      </c>
      <c r="D2539" s="1" t="s">
        <v>4274</v>
      </c>
      <c r="E2539" s="1" t="s">
        <v>45</v>
      </c>
      <c r="F2539" s="1" t="s">
        <v>5523</v>
      </c>
      <c r="G2539" s="1" t="s">
        <v>5858</v>
      </c>
      <c r="H2539" s="1" t="s">
        <v>5859</v>
      </c>
      <c r="I2539" s="1" t="s">
        <v>49</v>
      </c>
      <c r="J2539" s="1" t="s">
        <v>48</v>
      </c>
      <c r="K2539" s="1">
        <v>840</v>
      </c>
      <c r="L2539" s="1">
        <v>0</v>
      </c>
      <c r="M2539" s="1">
        <v>0</v>
      </c>
      <c r="N2539" s="1">
        <v>840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 t="s">
        <v>49</v>
      </c>
      <c r="AA2539" s="1" t="s">
        <v>49</v>
      </c>
      <c r="AB2539" s="1" t="s">
        <v>49</v>
      </c>
      <c r="AC2539" s="1" t="s">
        <v>470</v>
      </c>
      <c r="AD2539" s="1" t="s">
        <v>471</v>
      </c>
      <c r="AE2539" s="1" t="s">
        <v>470</v>
      </c>
      <c r="AF2539" s="1" t="s">
        <v>5526</v>
      </c>
      <c r="AG2539" s="1" t="s">
        <v>53</v>
      </c>
      <c r="AH2539" s="1" t="s">
        <v>49</v>
      </c>
      <c r="AI2539" s="1" t="s">
        <v>54</v>
      </c>
      <c r="AJ2539" s="1">
        <v>1</v>
      </c>
      <c r="AK2539" s="1" t="str">
        <f t="shared" si="39"/>
        <v xml:space="preserve"> =&lt;90</v>
      </c>
      <c r="AL2539" s="1" t="e">
        <f>VLOOKUP(C:C,[1]基础信息!B$1:D$65536,3,0)</f>
        <v>#N/A</v>
      </c>
      <c r="AM2539" s="1" t="e">
        <f>VLOOKUP(C:C,[1]基础信息!B$1:E$65536,4,0)</f>
        <v>#N/A</v>
      </c>
      <c r="AN2539" s="1" t="e">
        <f>VLOOKUP(C:C,[1]基础信息!B$1:F$65536,5,0)</f>
        <v>#N/A</v>
      </c>
    </row>
    <row r="2540" spans="1:40">
      <c r="A2540" s="1" t="s">
        <v>41</v>
      </c>
      <c r="B2540" s="1" t="s">
        <v>42</v>
      </c>
      <c r="C2540" s="1" t="s">
        <v>3512</v>
      </c>
      <c r="D2540" s="1" t="s">
        <v>3513</v>
      </c>
      <c r="E2540" s="1" t="s">
        <v>45</v>
      </c>
      <c r="F2540" s="1" t="s">
        <v>5816</v>
      </c>
      <c r="G2540" s="1" t="s">
        <v>5860</v>
      </c>
      <c r="H2540" s="1" t="s">
        <v>5861</v>
      </c>
      <c r="I2540" s="1" t="s">
        <v>49</v>
      </c>
      <c r="J2540" s="1" t="s">
        <v>48</v>
      </c>
      <c r="K2540" s="1">
        <v>840</v>
      </c>
      <c r="L2540" s="1">
        <v>0</v>
      </c>
      <c r="M2540" s="1">
        <v>0</v>
      </c>
      <c r="N2540" s="1">
        <v>840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 t="s">
        <v>49</v>
      </c>
      <c r="AA2540" s="1" t="s">
        <v>49</v>
      </c>
      <c r="AB2540" s="1" t="s">
        <v>49</v>
      </c>
      <c r="AC2540" s="1" t="s">
        <v>5220</v>
      </c>
      <c r="AD2540" s="1" t="s">
        <v>5221</v>
      </c>
      <c r="AE2540" s="1" t="s">
        <v>5220</v>
      </c>
      <c r="AF2540" s="1" t="s">
        <v>5819</v>
      </c>
      <c r="AG2540" s="1" t="s">
        <v>53</v>
      </c>
      <c r="AH2540" s="1" t="s">
        <v>49</v>
      </c>
      <c r="AI2540" s="1" t="s">
        <v>54</v>
      </c>
      <c r="AJ2540" s="1">
        <v>1</v>
      </c>
      <c r="AK2540" s="1" t="str">
        <f t="shared" si="39"/>
        <v xml:space="preserve"> =&lt;90</v>
      </c>
      <c r="AL2540" s="1" t="str">
        <f>VLOOKUP(C:C,[1]基础信息!B$1:D$65536,3,0)</f>
        <v xml:space="preserve">Cartridge </v>
      </c>
      <c r="AM2540" s="1" t="str">
        <f>VLOOKUP(C:C,[1]基础信息!B$1:E$65536,4,0)</f>
        <v>UNIV</v>
      </c>
      <c r="AN2540" s="1" t="str">
        <f>VLOOKUP(C:C,[1]基础信息!B$1:F$65536,5,0)</f>
        <v>P3</v>
      </c>
    </row>
    <row r="2541" spans="1:40">
      <c r="A2541" s="1" t="s">
        <v>41</v>
      </c>
      <c r="B2541" s="1" t="s">
        <v>42</v>
      </c>
      <c r="C2541" s="1" t="s">
        <v>5154</v>
      </c>
      <c r="D2541" s="1" t="s">
        <v>5155</v>
      </c>
      <c r="E2541" s="1" t="s">
        <v>45</v>
      </c>
      <c r="F2541" s="1" t="s">
        <v>5156</v>
      </c>
      <c r="G2541" s="1" t="s">
        <v>5862</v>
      </c>
      <c r="H2541" s="1" t="s">
        <v>5863</v>
      </c>
      <c r="I2541" s="1" t="s">
        <v>49</v>
      </c>
      <c r="J2541" s="1" t="s">
        <v>48</v>
      </c>
      <c r="K2541" s="1">
        <v>270</v>
      </c>
      <c r="L2541" s="1">
        <v>0</v>
      </c>
      <c r="M2541" s="1">
        <v>0</v>
      </c>
      <c r="N2541" s="1">
        <v>270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 t="s">
        <v>49</v>
      </c>
      <c r="AA2541" s="1" t="s">
        <v>49</v>
      </c>
      <c r="AB2541" s="1" t="s">
        <v>49</v>
      </c>
      <c r="AC2541" s="1" t="s">
        <v>215</v>
      </c>
      <c r="AD2541" s="1" t="s">
        <v>3025</v>
      </c>
      <c r="AE2541" s="1" t="s">
        <v>215</v>
      </c>
      <c r="AF2541" s="1" t="s">
        <v>5159</v>
      </c>
      <c r="AG2541" s="1" t="s">
        <v>53</v>
      </c>
      <c r="AH2541" s="1" t="s">
        <v>49</v>
      </c>
      <c r="AI2541" s="1" t="s">
        <v>54</v>
      </c>
      <c r="AJ2541" s="1">
        <v>1</v>
      </c>
      <c r="AK2541" s="1" t="str">
        <f t="shared" si="39"/>
        <v xml:space="preserve"> =&lt;90</v>
      </c>
      <c r="AL2541" s="1" t="e">
        <f>VLOOKUP(C:C,[1]基础信息!B$1:D$65536,3,0)</f>
        <v>#N/A</v>
      </c>
      <c r="AM2541" s="1" t="e">
        <f>VLOOKUP(C:C,[1]基础信息!B$1:E$65536,4,0)</f>
        <v>#N/A</v>
      </c>
      <c r="AN2541" s="1" t="e">
        <f>VLOOKUP(C:C,[1]基础信息!B$1:F$65536,5,0)</f>
        <v>#N/A</v>
      </c>
    </row>
    <row r="2542" spans="1:40">
      <c r="A2542" s="1" t="s">
        <v>41</v>
      </c>
      <c r="B2542" s="1" t="s">
        <v>42</v>
      </c>
      <c r="C2542" s="1" t="s">
        <v>5154</v>
      </c>
      <c r="D2542" s="1" t="s">
        <v>5155</v>
      </c>
      <c r="E2542" s="1" t="s">
        <v>45</v>
      </c>
      <c r="F2542" s="1" t="s">
        <v>5156</v>
      </c>
      <c r="G2542" s="1" t="s">
        <v>5864</v>
      </c>
      <c r="H2542" s="1" t="s">
        <v>5865</v>
      </c>
      <c r="I2542" s="1" t="s">
        <v>49</v>
      </c>
      <c r="J2542" s="1" t="s">
        <v>48</v>
      </c>
      <c r="K2542" s="1">
        <v>270</v>
      </c>
      <c r="L2542" s="1">
        <v>0</v>
      </c>
      <c r="M2542" s="1">
        <v>0</v>
      </c>
      <c r="N2542" s="1">
        <v>270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 t="s">
        <v>49</v>
      </c>
      <c r="AA2542" s="1" t="s">
        <v>49</v>
      </c>
      <c r="AB2542" s="1" t="s">
        <v>49</v>
      </c>
      <c r="AC2542" s="1" t="s">
        <v>215</v>
      </c>
      <c r="AD2542" s="1" t="s">
        <v>3025</v>
      </c>
      <c r="AE2542" s="1" t="s">
        <v>215</v>
      </c>
      <c r="AF2542" s="1" t="s">
        <v>5159</v>
      </c>
      <c r="AG2542" s="1" t="s">
        <v>53</v>
      </c>
      <c r="AH2542" s="1" t="s">
        <v>49</v>
      </c>
      <c r="AI2542" s="1" t="s">
        <v>54</v>
      </c>
      <c r="AJ2542" s="1">
        <v>1</v>
      </c>
      <c r="AK2542" s="1" t="str">
        <f t="shared" si="39"/>
        <v xml:space="preserve"> =&lt;90</v>
      </c>
      <c r="AL2542" s="1" t="e">
        <f>VLOOKUP(C:C,[1]基础信息!B$1:D$65536,3,0)</f>
        <v>#N/A</v>
      </c>
      <c r="AM2542" s="1" t="e">
        <f>VLOOKUP(C:C,[1]基础信息!B$1:E$65536,4,0)</f>
        <v>#N/A</v>
      </c>
      <c r="AN2542" s="1" t="e">
        <f>VLOOKUP(C:C,[1]基础信息!B$1:F$65536,5,0)</f>
        <v>#N/A</v>
      </c>
    </row>
    <row r="2543" spans="1:40">
      <c r="A2543" s="1" t="s">
        <v>41</v>
      </c>
      <c r="B2543" s="1" t="s">
        <v>42</v>
      </c>
      <c r="C2543" s="1" t="s">
        <v>4273</v>
      </c>
      <c r="D2543" s="1" t="s">
        <v>4274</v>
      </c>
      <c r="E2543" s="1" t="s">
        <v>45</v>
      </c>
      <c r="F2543" s="1" t="s">
        <v>5523</v>
      </c>
      <c r="G2543" s="1" t="s">
        <v>5866</v>
      </c>
      <c r="H2543" s="1" t="s">
        <v>5867</v>
      </c>
      <c r="I2543" s="1" t="s">
        <v>49</v>
      </c>
      <c r="J2543" s="1" t="s">
        <v>48</v>
      </c>
      <c r="K2543" s="1">
        <v>840</v>
      </c>
      <c r="L2543" s="1">
        <v>0</v>
      </c>
      <c r="M2543" s="1">
        <v>0</v>
      </c>
      <c r="N2543" s="1">
        <v>840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 t="s">
        <v>49</v>
      </c>
      <c r="AA2543" s="1" t="s">
        <v>49</v>
      </c>
      <c r="AB2543" s="1" t="s">
        <v>49</v>
      </c>
      <c r="AC2543" s="1" t="s">
        <v>470</v>
      </c>
      <c r="AD2543" s="1" t="s">
        <v>471</v>
      </c>
      <c r="AE2543" s="1" t="s">
        <v>470</v>
      </c>
      <c r="AF2543" s="1" t="s">
        <v>5526</v>
      </c>
      <c r="AG2543" s="1" t="s">
        <v>53</v>
      </c>
      <c r="AH2543" s="1" t="s">
        <v>49</v>
      </c>
      <c r="AI2543" s="1" t="s">
        <v>54</v>
      </c>
      <c r="AJ2543" s="1">
        <v>1</v>
      </c>
      <c r="AK2543" s="1" t="str">
        <f t="shared" si="39"/>
        <v xml:space="preserve"> =&lt;90</v>
      </c>
      <c r="AL2543" s="1" t="e">
        <f>VLOOKUP(C:C,[1]基础信息!B$1:D$65536,3,0)</f>
        <v>#N/A</v>
      </c>
      <c r="AM2543" s="1" t="e">
        <f>VLOOKUP(C:C,[1]基础信息!B$1:E$65536,4,0)</f>
        <v>#N/A</v>
      </c>
      <c r="AN2543" s="1" t="e">
        <f>VLOOKUP(C:C,[1]基础信息!B$1:F$65536,5,0)</f>
        <v>#N/A</v>
      </c>
    </row>
    <row r="2544" spans="1:40">
      <c r="A2544" s="1" t="s">
        <v>41</v>
      </c>
      <c r="B2544" s="1" t="s">
        <v>42</v>
      </c>
      <c r="C2544" s="1" t="s">
        <v>5154</v>
      </c>
      <c r="D2544" s="1" t="s">
        <v>5155</v>
      </c>
      <c r="E2544" s="1" t="s">
        <v>45</v>
      </c>
      <c r="F2544" s="1" t="s">
        <v>5156</v>
      </c>
      <c r="G2544" s="1" t="s">
        <v>5868</v>
      </c>
      <c r="H2544" s="1" t="s">
        <v>5869</v>
      </c>
      <c r="I2544" s="1" t="s">
        <v>49</v>
      </c>
      <c r="J2544" s="1" t="s">
        <v>48</v>
      </c>
      <c r="K2544" s="1">
        <v>270</v>
      </c>
      <c r="L2544" s="1">
        <v>0</v>
      </c>
      <c r="M2544" s="1">
        <v>0</v>
      </c>
      <c r="N2544" s="1">
        <v>270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 t="s">
        <v>49</v>
      </c>
      <c r="AA2544" s="1" t="s">
        <v>49</v>
      </c>
      <c r="AB2544" s="1" t="s">
        <v>49</v>
      </c>
      <c r="AC2544" s="1" t="s">
        <v>215</v>
      </c>
      <c r="AD2544" s="1" t="s">
        <v>3025</v>
      </c>
      <c r="AE2544" s="1" t="s">
        <v>215</v>
      </c>
      <c r="AF2544" s="1" t="s">
        <v>5159</v>
      </c>
      <c r="AG2544" s="1" t="s">
        <v>53</v>
      </c>
      <c r="AH2544" s="1" t="s">
        <v>49</v>
      </c>
      <c r="AI2544" s="1" t="s">
        <v>54</v>
      </c>
      <c r="AJ2544" s="1">
        <v>1</v>
      </c>
      <c r="AK2544" s="1" t="str">
        <f t="shared" si="39"/>
        <v xml:space="preserve"> =&lt;90</v>
      </c>
      <c r="AL2544" s="1" t="e">
        <f>VLOOKUP(C:C,[1]基础信息!B$1:D$65536,3,0)</f>
        <v>#N/A</v>
      </c>
      <c r="AM2544" s="1" t="e">
        <f>VLOOKUP(C:C,[1]基础信息!B$1:E$65536,4,0)</f>
        <v>#N/A</v>
      </c>
      <c r="AN2544" s="1" t="e">
        <f>VLOOKUP(C:C,[1]基础信息!B$1:F$65536,5,0)</f>
        <v>#N/A</v>
      </c>
    </row>
    <row r="2545" spans="1:40">
      <c r="A2545" s="1" t="s">
        <v>41</v>
      </c>
      <c r="B2545" s="1" t="s">
        <v>42</v>
      </c>
      <c r="C2545" s="1" t="s">
        <v>4352</v>
      </c>
      <c r="D2545" s="1" t="s">
        <v>4353</v>
      </c>
      <c r="E2545" s="1" t="s">
        <v>45</v>
      </c>
      <c r="F2545" s="1" t="s">
        <v>5614</v>
      </c>
      <c r="G2545" s="1" t="s">
        <v>5870</v>
      </c>
      <c r="H2545" s="1" t="s">
        <v>5871</v>
      </c>
      <c r="I2545" s="1" t="s">
        <v>49</v>
      </c>
      <c r="J2545" s="1" t="s">
        <v>48</v>
      </c>
      <c r="K2545" s="1">
        <v>336</v>
      </c>
      <c r="L2545" s="1">
        <v>0</v>
      </c>
      <c r="M2545" s="1">
        <v>0</v>
      </c>
      <c r="N2545" s="1">
        <v>336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 t="s">
        <v>49</v>
      </c>
      <c r="AA2545" s="1" t="s">
        <v>49</v>
      </c>
      <c r="AB2545" s="1" t="s">
        <v>49</v>
      </c>
      <c r="AC2545" s="1" t="s">
        <v>5184</v>
      </c>
      <c r="AD2545" s="1" t="s">
        <v>5185</v>
      </c>
      <c r="AE2545" s="1" t="s">
        <v>5462</v>
      </c>
      <c r="AF2545" s="1" t="s">
        <v>5186</v>
      </c>
      <c r="AG2545" s="1" t="s">
        <v>53</v>
      </c>
      <c r="AH2545" s="1" t="s">
        <v>49</v>
      </c>
      <c r="AI2545" s="1" t="s">
        <v>54</v>
      </c>
      <c r="AJ2545" s="1">
        <v>1</v>
      </c>
      <c r="AK2545" s="1" t="str">
        <f t="shared" si="39"/>
        <v xml:space="preserve"> =&lt;90</v>
      </c>
      <c r="AL2545" s="1" t="e">
        <f>VLOOKUP(C:C,[1]基础信息!B$1:D$65536,3,0)</f>
        <v>#N/A</v>
      </c>
      <c r="AM2545" s="1" t="e">
        <f>VLOOKUP(C:C,[1]基础信息!B$1:E$65536,4,0)</f>
        <v>#N/A</v>
      </c>
      <c r="AN2545" s="1" t="e">
        <f>VLOOKUP(C:C,[1]基础信息!B$1:F$65536,5,0)</f>
        <v>#N/A</v>
      </c>
    </row>
    <row r="2546" spans="1:40">
      <c r="A2546" s="1" t="s">
        <v>41</v>
      </c>
      <c r="B2546" s="1" t="s">
        <v>42</v>
      </c>
      <c r="C2546" s="1" t="s">
        <v>3512</v>
      </c>
      <c r="D2546" s="1" t="s">
        <v>3513</v>
      </c>
      <c r="E2546" s="1" t="s">
        <v>45</v>
      </c>
      <c r="F2546" s="1" t="s">
        <v>5816</v>
      </c>
      <c r="G2546" s="1" t="s">
        <v>5872</v>
      </c>
      <c r="H2546" s="1" t="s">
        <v>5873</v>
      </c>
      <c r="I2546" s="1" t="s">
        <v>49</v>
      </c>
      <c r="J2546" s="1" t="s">
        <v>48</v>
      </c>
      <c r="K2546" s="1">
        <v>730</v>
      </c>
      <c r="L2546" s="1">
        <v>0</v>
      </c>
      <c r="M2546" s="1">
        <v>0</v>
      </c>
      <c r="N2546" s="1">
        <v>730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 t="s">
        <v>49</v>
      </c>
      <c r="AA2546" s="1" t="s">
        <v>49</v>
      </c>
      <c r="AB2546" s="1" t="s">
        <v>49</v>
      </c>
      <c r="AC2546" s="1" t="s">
        <v>5220</v>
      </c>
      <c r="AD2546" s="1" t="s">
        <v>5221</v>
      </c>
      <c r="AE2546" s="1" t="s">
        <v>5220</v>
      </c>
      <c r="AF2546" s="1" t="s">
        <v>5819</v>
      </c>
      <c r="AG2546" s="1" t="s">
        <v>53</v>
      </c>
      <c r="AH2546" s="1" t="s">
        <v>49</v>
      </c>
      <c r="AI2546" s="1" t="s">
        <v>54</v>
      </c>
      <c r="AJ2546" s="1">
        <v>1</v>
      </c>
      <c r="AK2546" s="1" t="str">
        <f t="shared" si="39"/>
        <v xml:space="preserve"> =&lt;90</v>
      </c>
      <c r="AL2546" s="1" t="str">
        <f>VLOOKUP(C:C,[1]基础信息!B$1:D$65536,3,0)</f>
        <v xml:space="preserve">Cartridge </v>
      </c>
      <c r="AM2546" s="1" t="str">
        <f>VLOOKUP(C:C,[1]基础信息!B$1:E$65536,4,0)</f>
        <v>UNIV</v>
      </c>
      <c r="AN2546" s="1" t="str">
        <f>VLOOKUP(C:C,[1]基础信息!B$1:F$65536,5,0)</f>
        <v>P3</v>
      </c>
    </row>
    <row r="2547" spans="1:40">
      <c r="A2547" s="1" t="s">
        <v>41</v>
      </c>
      <c r="B2547" s="1" t="s">
        <v>42</v>
      </c>
      <c r="C2547" s="1" t="s">
        <v>4273</v>
      </c>
      <c r="D2547" s="1" t="s">
        <v>4274</v>
      </c>
      <c r="E2547" s="1" t="s">
        <v>45</v>
      </c>
      <c r="F2547" s="1" t="s">
        <v>5523</v>
      </c>
      <c r="G2547" s="1" t="s">
        <v>5874</v>
      </c>
      <c r="H2547" s="1" t="s">
        <v>5875</v>
      </c>
      <c r="I2547" s="1" t="s">
        <v>49</v>
      </c>
      <c r="J2547" s="1" t="s">
        <v>48</v>
      </c>
      <c r="K2547" s="1">
        <v>840</v>
      </c>
      <c r="L2547" s="1">
        <v>0</v>
      </c>
      <c r="M2547" s="1">
        <v>0</v>
      </c>
      <c r="N2547" s="1">
        <v>840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 t="s">
        <v>49</v>
      </c>
      <c r="AA2547" s="1" t="s">
        <v>49</v>
      </c>
      <c r="AB2547" s="1" t="s">
        <v>49</v>
      </c>
      <c r="AC2547" s="1" t="s">
        <v>470</v>
      </c>
      <c r="AD2547" s="1" t="s">
        <v>471</v>
      </c>
      <c r="AE2547" s="1" t="s">
        <v>470</v>
      </c>
      <c r="AF2547" s="1" t="s">
        <v>5526</v>
      </c>
      <c r="AG2547" s="1" t="s">
        <v>53</v>
      </c>
      <c r="AH2547" s="1" t="s">
        <v>49</v>
      </c>
      <c r="AI2547" s="1" t="s">
        <v>54</v>
      </c>
      <c r="AJ2547" s="1">
        <v>1</v>
      </c>
      <c r="AK2547" s="1" t="str">
        <f t="shared" si="39"/>
        <v xml:space="preserve"> =&lt;90</v>
      </c>
      <c r="AL2547" s="1" t="e">
        <f>VLOOKUP(C:C,[1]基础信息!B$1:D$65536,3,0)</f>
        <v>#N/A</v>
      </c>
      <c r="AM2547" s="1" t="e">
        <f>VLOOKUP(C:C,[1]基础信息!B$1:E$65536,4,0)</f>
        <v>#N/A</v>
      </c>
      <c r="AN2547" s="1" t="e">
        <f>VLOOKUP(C:C,[1]基础信息!B$1:F$65536,5,0)</f>
        <v>#N/A</v>
      </c>
    </row>
    <row r="2548" spans="1:40">
      <c r="A2548" s="1" t="s">
        <v>41</v>
      </c>
      <c r="B2548" s="1" t="s">
        <v>42</v>
      </c>
      <c r="C2548" s="1" t="s">
        <v>4273</v>
      </c>
      <c r="D2548" s="1" t="s">
        <v>4274</v>
      </c>
      <c r="E2548" s="1" t="s">
        <v>45</v>
      </c>
      <c r="F2548" s="1" t="s">
        <v>5523</v>
      </c>
      <c r="G2548" s="1" t="s">
        <v>5876</v>
      </c>
      <c r="H2548" s="1" t="s">
        <v>5877</v>
      </c>
      <c r="I2548" s="1" t="s">
        <v>49</v>
      </c>
      <c r="J2548" s="1" t="s">
        <v>48</v>
      </c>
      <c r="K2548" s="1">
        <v>840</v>
      </c>
      <c r="L2548" s="1">
        <v>0</v>
      </c>
      <c r="M2548" s="1">
        <v>0</v>
      </c>
      <c r="N2548" s="1">
        <v>840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 t="s">
        <v>49</v>
      </c>
      <c r="AA2548" s="1" t="s">
        <v>49</v>
      </c>
      <c r="AB2548" s="1" t="s">
        <v>49</v>
      </c>
      <c r="AC2548" s="1" t="s">
        <v>470</v>
      </c>
      <c r="AD2548" s="1" t="s">
        <v>471</v>
      </c>
      <c r="AE2548" s="1" t="s">
        <v>470</v>
      </c>
      <c r="AF2548" s="1" t="s">
        <v>5526</v>
      </c>
      <c r="AG2548" s="1" t="s">
        <v>53</v>
      </c>
      <c r="AH2548" s="1" t="s">
        <v>49</v>
      </c>
      <c r="AI2548" s="1" t="s">
        <v>54</v>
      </c>
      <c r="AJ2548" s="1">
        <v>1</v>
      </c>
      <c r="AK2548" s="1" t="str">
        <f t="shared" si="39"/>
        <v xml:space="preserve"> =&lt;90</v>
      </c>
      <c r="AL2548" s="1" t="e">
        <f>VLOOKUP(C:C,[1]基础信息!B$1:D$65536,3,0)</f>
        <v>#N/A</v>
      </c>
      <c r="AM2548" s="1" t="e">
        <f>VLOOKUP(C:C,[1]基础信息!B$1:E$65536,4,0)</f>
        <v>#N/A</v>
      </c>
      <c r="AN2548" s="1" t="e">
        <f>VLOOKUP(C:C,[1]基础信息!B$1:F$65536,5,0)</f>
        <v>#N/A</v>
      </c>
    </row>
    <row r="2549" spans="1:40">
      <c r="A2549" s="1" t="s">
        <v>41</v>
      </c>
      <c r="B2549" s="1" t="s">
        <v>42</v>
      </c>
      <c r="C2549" s="1" t="s">
        <v>4273</v>
      </c>
      <c r="D2549" s="1" t="s">
        <v>4274</v>
      </c>
      <c r="E2549" s="1" t="s">
        <v>45</v>
      </c>
      <c r="F2549" s="1" t="s">
        <v>5523</v>
      </c>
      <c r="G2549" s="1" t="s">
        <v>5878</v>
      </c>
      <c r="H2549" s="1" t="s">
        <v>5879</v>
      </c>
      <c r="I2549" s="1" t="s">
        <v>49</v>
      </c>
      <c r="J2549" s="1" t="s">
        <v>48</v>
      </c>
      <c r="K2549" s="1">
        <v>840</v>
      </c>
      <c r="L2549" s="1">
        <v>0</v>
      </c>
      <c r="M2549" s="1">
        <v>0</v>
      </c>
      <c r="N2549" s="1">
        <v>840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 t="s">
        <v>49</v>
      </c>
      <c r="AA2549" s="1" t="s">
        <v>49</v>
      </c>
      <c r="AB2549" s="1" t="s">
        <v>49</v>
      </c>
      <c r="AC2549" s="1" t="s">
        <v>470</v>
      </c>
      <c r="AD2549" s="1" t="s">
        <v>471</v>
      </c>
      <c r="AE2549" s="1" t="s">
        <v>470</v>
      </c>
      <c r="AF2549" s="1" t="s">
        <v>5526</v>
      </c>
      <c r="AG2549" s="1" t="s">
        <v>53</v>
      </c>
      <c r="AH2549" s="1" t="s">
        <v>49</v>
      </c>
      <c r="AI2549" s="1" t="s">
        <v>54</v>
      </c>
      <c r="AJ2549" s="1">
        <v>1</v>
      </c>
      <c r="AK2549" s="1" t="str">
        <f t="shared" si="39"/>
        <v xml:space="preserve"> =&lt;90</v>
      </c>
      <c r="AL2549" s="1" t="e">
        <f>VLOOKUP(C:C,[1]基础信息!B$1:D$65536,3,0)</f>
        <v>#N/A</v>
      </c>
      <c r="AM2549" s="1" t="e">
        <f>VLOOKUP(C:C,[1]基础信息!B$1:E$65536,4,0)</f>
        <v>#N/A</v>
      </c>
      <c r="AN2549" s="1" t="e">
        <f>VLOOKUP(C:C,[1]基础信息!B$1:F$65536,5,0)</f>
        <v>#N/A</v>
      </c>
    </row>
    <row r="2550" spans="1:40">
      <c r="A2550" s="1" t="s">
        <v>41</v>
      </c>
      <c r="B2550" s="1" t="s">
        <v>42</v>
      </c>
      <c r="C2550" s="1" t="s">
        <v>4273</v>
      </c>
      <c r="D2550" s="1" t="s">
        <v>4274</v>
      </c>
      <c r="E2550" s="1" t="s">
        <v>45</v>
      </c>
      <c r="F2550" s="1" t="s">
        <v>5523</v>
      </c>
      <c r="G2550" s="1" t="s">
        <v>5880</v>
      </c>
      <c r="H2550" s="1" t="s">
        <v>5881</v>
      </c>
      <c r="I2550" s="1" t="s">
        <v>49</v>
      </c>
      <c r="J2550" s="1" t="s">
        <v>48</v>
      </c>
      <c r="K2550" s="1">
        <v>840</v>
      </c>
      <c r="L2550" s="1">
        <v>0</v>
      </c>
      <c r="M2550" s="1">
        <v>0</v>
      </c>
      <c r="N2550" s="1">
        <v>840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 t="s">
        <v>49</v>
      </c>
      <c r="AA2550" s="1" t="s">
        <v>49</v>
      </c>
      <c r="AB2550" s="1" t="s">
        <v>49</v>
      </c>
      <c r="AC2550" s="1" t="s">
        <v>470</v>
      </c>
      <c r="AD2550" s="1" t="s">
        <v>471</v>
      </c>
      <c r="AE2550" s="1" t="s">
        <v>470</v>
      </c>
      <c r="AF2550" s="1" t="s">
        <v>5526</v>
      </c>
      <c r="AG2550" s="1" t="s">
        <v>53</v>
      </c>
      <c r="AH2550" s="1" t="s">
        <v>49</v>
      </c>
      <c r="AI2550" s="1" t="s">
        <v>54</v>
      </c>
      <c r="AJ2550" s="1">
        <v>1</v>
      </c>
      <c r="AK2550" s="1" t="str">
        <f t="shared" si="39"/>
        <v xml:space="preserve"> =&lt;90</v>
      </c>
      <c r="AL2550" s="1" t="e">
        <f>VLOOKUP(C:C,[1]基础信息!B$1:D$65536,3,0)</f>
        <v>#N/A</v>
      </c>
      <c r="AM2550" s="1" t="e">
        <f>VLOOKUP(C:C,[1]基础信息!B$1:E$65536,4,0)</f>
        <v>#N/A</v>
      </c>
      <c r="AN2550" s="1" t="e">
        <f>VLOOKUP(C:C,[1]基础信息!B$1:F$65536,5,0)</f>
        <v>#N/A</v>
      </c>
    </row>
    <row r="2551" spans="1:40">
      <c r="A2551" s="1" t="s">
        <v>41</v>
      </c>
      <c r="B2551" s="1" t="s">
        <v>42</v>
      </c>
      <c r="C2551" s="1" t="s">
        <v>4273</v>
      </c>
      <c r="D2551" s="1" t="s">
        <v>4274</v>
      </c>
      <c r="E2551" s="1" t="s">
        <v>45</v>
      </c>
      <c r="F2551" s="1" t="s">
        <v>5523</v>
      </c>
      <c r="G2551" s="1" t="s">
        <v>5882</v>
      </c>
      <c r="H2551" s="1" t="s">
        <v>5883</v>
      </c>
      <c r="I2551" s="1" t="s">
        <v>49</v>
      </c>
      <c r="J2551" s="1" t="s">
        <v>48</v>
      </c>
      <c r="K2551" s="1">
        <v>840</v>
      </c>
      <c r="L2551" s="1">
        <v>0</v>
      </c>
      <c r="M2551" s="1">
        <v>0</v>
      </c>
      <c r="N2551" s="1">
        <v>840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 t="s">
        <v>49</v>
      </c>
      <c r="AA2551" s="1" t="s">
        <v>49</v>
      </c>
      <c r="AB2551" s="1" t="s">
        <v>49</v>
      </c>
      <c r="AC2551" s="1" t="s">
        <v>470</v>
      </c>
      <c r="AD2551" s="1" t="s">
        <v>471</v>
      </c>
      <c r="AE2551" s="1" t="s">
        <v>470</v>
      </c>
      <c r="AF2551" s="1" t="s">
        <v>5526</v>
      </c>
      <c r="AG2551" s="1" t="s">
        <v>53</v>
      </c>
      <c r="AH2551" s="1" t="s">
        <v>49</v>
      </c>
      <c r="AI2551" s="1" t="s">
        <v>54</v>
      </c>
      <c r="AJ2551" s="1">
        <v>1</v>
      </c>
      <c r="AK2551" s="1" t="str">
        <f t="shared" si="39"/>
        <v xml:space="preserve"> =&lt;90</v>
      </c>
      <c r="AL2551" s="1" t="e">
        <f>VLOOKUP(C:C,[1]基础信息!B$1:D$65536,3,0)</f>
        <v>#N/A</v>
      </c>
      <c r="AM2551" s="1" t="e">
        <f>VLOOKUP(C:C,[1]基础信息!B$1:E$65536,4,0)</f>
        <v>#N/A</v>
      </c>
      <c r="AN2551" s="1" t="e">
        <f>VLOOKUP(C:C,[1]基础信息!B$1:F$65536,5,0)</f>
        <v>#N/A</v>
      </c>
    </row>
    <row r="2552" spans="1:40">
      <c r="A2552" s="1" t="s">
        <v>41</v>
      </c>
      <c r="B2552" s="1" t="s">
        <v>42</v>
      </c>
      <c r="C2552" s="1" t="s">
        <v>5154</v>
      </c>
      <c r="D2552" s="1" t="s">
        <v>5155</v>
      </c>
      <c r="E2552" s="1" t="s">
        <v>45</v>
      </c>
      <c r="F2552" s="1" t="s">
        <v>5156</v>
      </c>
      <c r="G2552" s="1" t="s">
        <v>5884</v>
      </c>
      <c r="H2552" s="1" t="s">
        <v>5885</v>
      </c>
      <c r="I2552" s="1" t="s">
        <v>49</v>
      </c>
      <c r="J2552" s="1" t="s">
        <v>48</v>
      </c>
      <c r="K2552" s="1">
        <v>270</v>
      </c>
      <c r="L2552" s="1">
        <v>0</v>
      </c>
      <c r="M2552" s="1">
        <v>0</v>
      </c>
      <c r="N2552" s="1">
        <v>270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 t="s">
        <v>49</v>
      </c>
      <c r="AA2552" s="1" t="s">
        <v>49</v>
      </c>
      <c r="AB2552" s="1" t="s">
        <v>49</v>
      </c>
      <c r="AC2552" s="1" t="s">
        <v>215</v>
      </c>
      <c r="AD2552" s="1" t="s">
        <v>3025</v>
      </c>
      <c r="AE2552" s="1" t="s">
        <v>215</v>
      </c>
      <c r="AF2552" s="1" t="s">
        <v>5159</v>
      </c>
      <c r="AG2552" s="1" t="s">
        <v>53</v>
      </c>
      <c r="AH2552" s="1" t="s">
        <v>49</v>
      </c>
      <c r="AI2552" s="1" t="s">
        <v>54</v>
      </c>
      <c r="AJ2552" s="1">
        <v>1</v>
      </c>
      <c r="AK2552" s="1" t="str">
        <f t="shared" si="39"/>
        <v xml:space="preserve"> =&lt;90</v>
      </c>
      <c r="AL2552" s="1" t="e">
        <f>VLOOKUP(C:C,[1]基础信息!B$1:D$65536,3,0)</f>
        <v>#N/A</v>
      </c>
      <c r="AM2552" s="1" t="e">
        <f>VLOOKUP(C:C,[1]基础信息!B$1:E$65536,4,0)</f>
        <v>#N/A</v>
      </c>
      <c r="AN2552" s="1" t="e">
        <f>VLOOKUP(C:C,[1]基础信息!B$1:F$65536,5,0)</f>
        <v>#N/A</v>
      </c>
    </row>
    <row r="2553" spans="1:40">
      <c r="A2553" s="1" t="s">
        <v>41</v>
      </c>
      <c r="B2553" s="1" t="s">
        <v>42</v>
      </c>
      <c r="C2553" s="1" t="s">
        <v>5154</v>
      </c>
      <c r="D2553" s="1" t="s">
        <v>5155</v>
      </c>
      <c r="E2553" s="1" t="s">
        <v>45</v>
      </c>
      <c r="F2553" s="1" t="s">
        <v>5156</v>
      </c>
      <c r="G2553" s="1" t="s">
        <v>5886</v>
      </c>
      <c r="H2553" s="1" t="s">
        <v>5887</v>
      </c>
      <c r="I2553" s="1" t="s">
        <v>49</v>
      </c>
      <c r="J2553" s="1" t="s">
        <v>48</v>
      </c>
      <c r="K2553" s="1">
        <v>270</v>
      </c>
      <c r="L2553" s="1">
        <v>0</v>
      </c>
      <c r="M2553" s="1">
        <v>0</v>
      </c>
      <c r="N2553" s="1">
        <v>270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 t="s">
        <v>49</v>
      </c>
      <c r="AA2553" s="1" t="s">
        <v>49</v>
      </c>
      <c r="AB2553" s="1" t="s">
        <v>49</v>
      </c>
      <c r="AC2553" s="1" t="s">
        <v>215</v>
      </c>
      <c r="AD2553" s="1" t="s">
        <v>3025</v>
      </c>
      <c r="AE2553" s="1" t="s">
        <v>215</v>
      </c>
      <c r="AF2553" s="1" t="s">
        <v>5159</v>
      </c>
      <c r="AG2553" s="1" t="s">
        <v>53</v>
      </c>
      <c r="AH2553" s="1" t="s">
        <v>49</v>
      </c>
      <c r="AI2553" s="1" t="s">
        <v>54</v>
      </c>
      <c r="AJ2553" s="1">
        <v>1</v>
      </c>
      <c r="AK2553" s="1" t="str">
        <f t="shared" si="39"/>
        <v xml:space="preserve"> =&lt;90</v>
      </c>
      <c r="AL2553" s="1" t="e">
        <f>VLOOKUP(C:C,[1]基础信息!B$1:D$65536,3,0)</f>
        <v>#N/A</v>
      </c>
      <c r="AM2553" s="1" t="e">
        <f>VLOOKUP(C:C,[1]基础信息!B$1:E$65536,4,0)</f>
        <v>#N/A</v>
      </c>
      <c r="AN2553" s="1" t="e">
        <f>VLOOKUP(C:C,[1]基础信息!B$1:F$65536,5,0)</f>
        <v>#N/A</v>
      </c>
    </row>
    <row r="2554" spans="1:40">
      <c r="A2554" s="1" t="s">
        <v>41</v>
      </c>
      <c r="B2554" s="1" t="s">
        <v>42</v>
      </c>
      <c r="C2554" s="1" t="s">
        <v>4273</v>
      </c>
      <c r="D2554" s="1" t="s">
        <v>4274</v>
      </c>
      <c r="E2554" s="1" t="s">
        <v>45</v>
      </c>
      <c r="F2554" s="1" t="s">
        <v>5523</v>
      </c>
      <c r="G2554" s="1" t="s">
        <v>5888</v>
      </c>
      <c r="H2554" s="1" t="s">
        <v>5889</v>
      </c>
      <c r="I2554" s="1" t="s">
        <v>49</v>
      </c>
      <c r="J2554" s="1" t="s">
        <v>48</v>
      </c>
      <c r="K2554" s="1">
        <v>840</v>
      </c>
      <c r="L2554" s="1">
        <v>0</v>
      </c>
      <c r="M2554" s="1">
        <v>0</v>
      </c>
      <c r="N2554" s="1">
        <v>840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 t="s">
        <v>49</v>
      </c>
      <c r="AA2554" s="1" t="s">
        <v>49</v>
      </c>
      <c r="AB2554" s="1" t="s">
        <v>49</v>
      </c>
      <c r="AC2554" s="1" t="s">
        <v>470</v>
      </c>
      <c r="AD2554" s="1" t="s">
        <v>471</v>
      </c>
      <c r="AE2554" s="1" t="s">
        <v>470</v>
      </c>
      <c r="AF2554" s="1" t="s">
        <v>5526</v>
      </c>
      <c r="AG2554" s="1" t="s">
        <v>53</v>
      </c>
      <c r="AH2554" s="1" t="s">
        <v>49</v>
      </c>
      <c r="AI2554" s="1" t="s">
        <v>54</v>
      </c>
      <c r="AJ2554" s="1">
        <v>1</v>
      </c>
      <c r="AK2554" s="1" t="str">
        <f t="shared" si="39"/>
        <v xml:space="preserve"> =&lt;90</v>
      </c>
      <c r="AL2554" s="1" t="e">
        <f>VLOOKUP(C:C,[1]基础信息!B$1:D$65536,3,0)</f>
        <v>#N/A</v>
      </c>
      <c r="AM2554" s="1" t="e">
        <f>VLOOKUP(C:C,[1]基础信息!B$1:E$65536,4,0)</f>
        <v>#N/A</v>
      </c>
      <c r="AN2554" s="1" t="e">
        <f>VLOOKUP(C:C,[1]基础信息!B$1:F$65536,5,0)</f>
        <v>#N/A</v>
      </c>
    </row>
    <row r="2555" spans="1:40">
      <c r="A2555" s="1" t="s">
        <v>41</v>
      </c>
      <c r="B2555" s="1" t="s">
        <v>42</v>
      </c>
      <c r="C2555" s="1" t="s">
        <v>4273</v>
      </c>
      <c r="D2555" s="1" t="s">
        <v>4274</v>
      </c>
      <c r="E2555" s="1" t="s">
        <v>45</v>
      </c>
      <c r="F2555" s="1" t="s">
        <v>5523</v>
      </c>
      <c r="G2555" s="1" t="s">
        <v>5890</v>
      </c>
      <c r="H2555" s="1" t="s">
        <v>5891</v>
      </c>
      <c r="I2555" s="1" t="s">
        <v>49</v>
      </c>
      <c r="J2555" s="1" t="s">
        <v>48</v>
      </c>
      <c r="K2555" s="1">
        <v>840</v>
      </c>
      <c r="L2555" s="1">
        <v>0</v>
      </c>
      <c r="M2555" s="1">
        <v>0</v>
      </c>
      <c r="N2555" s="1">
        <v>840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 t="s">
        <v>49</v>
      </c>
      <c r="AA2555" s="1" t="s">
        <v>49</v>
      </c>
      <c r="AB2555" s="1" t="s">
        <v>49</v>
      </c>
      <c r="AC2555" s="1" t="s">
        <v>470</v>
      </c>
      <c r="AD2555" s="1" t="s">
        <v>471</v>
      </c>
      <c r="AE2555" s="1" t="s">
        <v>470</v>
      </c>
      <c r="AF2555" s="1" t="s">
        <v>5526</v>
      </c>
      <c r="AG2555" s="1" t="s">
        <v>53</v>
      </c>
      <c r="AH2555" s="1" t="s">
        <v>49</v>
      </c>
      <c r="AI2555" s="1" t="s">
        <v>54</v>
      </c>
      <c r="AJ2555" s="1">
        <v>1</v>
      </c>
      <c r="AK2555" s="1" t="str">
        <f t="shared" si="39"/>
        <v xml:space="preserve"> =&lt;90</v>
      </c>
      <c r="AL2555" s="1" t="e">
        <f>VLOOKUP(C:C,[1]基础信息!B$1:D$65536,3,0)</f>
        <v>#N/A</v>
      </c>
      <c r="AM2555" s="1" t="e">
        <f>VLOOKUP(C:C,[1]基础信息!B$1:E$65536,4,0)</f>
        <v>#N/A</v>
      </c>
      <c r="AN2555" s="1" t="e">
        <f>VLOOKUP(C:C,[1]基础信息!B$1:F$65536,5,0)</f>
        <v>#N/A</v>
      </c>
    </row>
    <row r="2556" spans="1:40">
      <c r="A2556" s="1" t="s">
        <v>41</v>
      </c>
      <c r="B2556" s="1" t="s">
        <v>42</v>
      </c>
      <c r="C2556" s="1" t="s">
        <v>4273</v>
      </c>
      <c r="D2556" s="1" t="s">
        <v>4274</v>
      </c>
      <c r="E2556" s="1" t="s">
        <v>45</v>
      </c>
      <c r="F2556" s="1" t="s">
        <v>5523</v>
      </c>
      <c r="G2556" s="1" t="s">
        <v>5892</v>
      </c>
      <c r="H2556" s="1" t="s">
        <v>5893</v>
      </c>
      <c r="I2556" s="1" t="s">
        <v>49</v>
      </c>
      <c r="J2556" s="1" t="s">
        <v>48</v>
      </c>
      <c r="K2556" s="1">
        <v>840</v>
      </c>
      <c r="L2556" s="1">
        <v>0</v>
      </c>
      <c r="M2556" s="1">
        <v>0</v>
      </c>
      <c r="N2556" s="1">
        <v>840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 t="s">
        <v>49</v>
      </c>
      <c r="AA2556" s="1" t="s">
        <v>49</v>
      </c>
      <c r="AB2556" s="1" t="s">
        <v>49</v>
      </c>
      <c r="AC2556" s="1" t="s">
        <v>470</v>
      </c>
      <c r="AD2556" s="1" t="s">
        <v>471</v>
      </c>
      <c r="AE2556" s="1" t="s">
        <v>470</v>
      </c>
      <c r="AF2556" s="1" t="s">
        <v>5526</v>
      </c>
      <c r="AG2556" s="1" t="s">
        <v>53</v>
      </c>
      <c r="AH2556" s="1" t="s">
        <v>49</v>
      </c>
      <c r="AI2556" s="1" t="s">
        <v>54</v>
      </c>
      <c r="AJ2556" s="1">
        <v>1</v>
      </c>
      <c r="AK2556" s="1" t="str">
        <f t="shared" si="39"/>
        <v xml:space="preserve"> =&lt;90</v>
      </c>
      <c r="AL2556" s="1" t="e">
        <f>VLOOKUP(C:C,[1]基础信息!B$1:D$65536,3,0)</f>
        <v>#N/A</v>
      </c>
      <c r="AM2556" s="1" t="e">
        <f>VLOOKUP(C:C,[1]基础信息!B$1:E$65536,4,0)</f>
        <v>#N/A</v>
      </c>
      <c r="AN2556" s="1" t="e">
        <f>VLOOKUP(C:C,[1]基础信息!B$1:F$65536,5,0)</f>
        <v>#N/A</v>
      </c>
    </row>
    <row r="2557" spans="1:40">
      <c r="A2557" s="1" t="s">
        <v>41</v>
      </c>
      <c r="B2557" s="1" t="s">
        <v>42</v>
      </c>
      <c r="C2557" s="1" t="s">
        <v>4273</v>
      </c>
      <c r="D2557" s="1" t="s">
        <v>4274</v>
      </c>
      <c r="E2557" s="1" t="s">
        <v>45</v>
      </c>
      <c r="F2557" s="1" t="s">
        <v>5523</v>
      </c>
      <c r="G2557" s="1" t="s">
        <v>5894</v>
      </c>
      <c r="H2557" s="1" t="s">
        <v>5895</v>
      </c>
      <c r="I2557" s="1" t="s">
        <v>49</v>
      </c>
      <c r="J2557" s="1" t="s">
        <v>48</v>
      </c>
      <c r="K2557" s="1">
        <v>840</v>
      </c>
      <c r="L2557" s="1">
        <v>0</v>
      </c>
      <c r="M2557" s="1">
        <v>0</v>
      </c>
      <c r="N2557" s="1">
        <v>840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 t="s">
        <v>49</v>
      </c>
      <c r="AA2557" s="1" t="s">
        <v>49</v>
      </c>
      <c r="AB2557" s="1" t="s">
        <v>49</v>
      </c>
      <c r="AC2557" s="1" t="s">
        <v>470</v>
      </c>
      <c r="AD2557" s="1" t="s">
        <v>471</v>
      </c>
      <c r="AE2557" s="1" t="s">
        <v>470</v>
      </c>
      <c r="AF2557" s="1" t="s">
        <v>5526</v>
      </c>
      <c r="AG2557" s="1" t="s">
        <v>53</v>
      </c>
      <c r="AH2557" s="1" t="s">
        <v>49</v>
      </c>
      <c r="AI2557" s="1" t="s">
        <v>54</v>
      </c>
      <c r="AJ2557" s="1">
        <v>1</v>
      </c>
      <c r="AK2557" s="1" t="str">
        <f t="shared" si="39"/>
        <v xml:space="preserve"> =&lt;90</v>
      </c>
      <c r="AL2557" s="1" t="e">
        <f>VLOOKUP(C:C,[1]基础信息!B$1:D$65536,3,0)</f>
        <v>#N/A</v>
      </c>
      <c r="AM2557" s="1" t="e">
        <f>VLOOKUP(C:C,[1]基础信息!B$1:E$65536,4,0)</f>
        <v>#N/A</v>
      </c>
      <c r="AN2557" s="1" t="e">
        <f>VLOOKUP(C:C,[1]基础信息!B$1:F$65536,5,0)</f>
        <v>#N/A</v>
      </c>
    </row>
    <row r="2558" spans="1:40">
      <c r="A2558" s="1" t="s">
        <v>41</v>
      </c>
      <c r="B2558" s="1" t="s">
        <v>42</v>
      </c>
      <c r="C2558" s="1" t="s">
        <v>5254</v>
      </c>
      <c r="D2558" s="1" t="s">
        <v>5255</v>
      </c>
      <c r="E2558" s="1" t="s">
        <v>45</v>
      </c>
      <c r="F2558" s="1" t="s">
        <v>5896</v>
      </c>
      <c r="G2558" s="1" t="s">
        <v>5897</v>
      </c>
      <c r="H2558" s="1" t="s">
        <v>5898</v>
      </c>
      <c r="I2558" s="1" t="s">
        <v>49</v>
      </c>
      <c r="J2558" s="1" t="s">
        <v>48</v>
      </c>
      <c r="K2558" s="1">
        <v>2200</v>
      </c>
      <c r="L2558" s="1">
        <v>0</v>
      </c>
      <c r="M2558" s="1">
        <v>0</v>
      </c>
      <c r="N2558" s="1">
        <v>2200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 t="s">
        <v>49</v>
      </c>
      <c r="AA2558" s="1" t="s">
        <v>49</v>
      </c>
      <c r="AB2558" s="1" t="s">
        <v>49</v>
      </c>
      <c r="AC2558" s="1" t="s">
        <v>5899</v>
      </c>
      <c r="AD2558" s="1" t="s">
        <v>5900</v>
      </c>
      <c r="AE2558" s="1" t="s">
        <v>5901</v>
      </c>
      <c r="AF2558" s="1" t="s">
        <v>5902</v>
      </c>
      <c r="AG2558" s="1" t="s">
        <v>53</v>
      </c>
      <c r="AH2558" s="1" t="s">
        <v>49</v>
      </c>
      <c r="AI2558" s="1" t="s">
        <v>54</v>
      </c>
      <c r="AJ2558" s="1">
        <v>1</v>
      </c>
      <c r="AK2558" s="1" t="str">
        <f t="shared" si="39"/>
        <v xml:space="preserve"> =&lt;90</v>
      </c>
      <c r="AL2558" s="1" t="str">
        <f>VLOOKUP(C:C,[1]基础信息!B$1:D$65536,3,0)</f>
        <v xml:space="preserve">Cartridge </v>
      </c>
      <c r="AM2558" s="1" t="str">
        <f>VLOOKUP(C:C,[1]基础信息!B$1:E$65536,4,0)</f>
        <v>UNIV</v>
      </c>
      <c r="AN2558" s="1" t="str">
        <f>VLOOKUP(C:C,[1]基础信息!B$1:F$65536,5,0)</f>
        <v>P55</v>
      </c>
    </row>
    <row r="2559" spans="1:40">
      <c r="A2559" s="1" t="s">
        <v>41</v>
      </c>
      <c r="B2559" s="1" t="s">
        <v>42</v>
      </c>
      <c r="C2559" s="1" t="s">
        <v>4273</v>
      </c>
      <c r="D2559" s="1" t="s">
        <v>4274</v>
      </c>
      <c r="E2559" s="1" t="s">
        <v>45</v>
      </c>
      <c r="F2559" s="1" t="s">
        <v>5523</v>
      </c>
      <c r="G2559" s="1" t="s">
        <v>5903</v>
      </c>
      <c r="H2559" s="1" t="s">
        <v>5904</v>
      </c>
      <c r="I2559" s="1" t="s">
        <v>49</v>
      </c>
      <c r="J2559" s="1" t="s">
        <v>48</v>
      </c>
      <c r="K2559" s="1">
        <v>640</v>
      </c>
      <c r="L2559" s="1">
        <v>0</v>
      </c>
      <c r="M2559" s="1">
        <v>0</v>
      </c>
      <c r="N2559" s="1">
        <v>640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 t="s">
        <v>49</v>
      </c>
      <c r="AA2559" s="1" t="s">
        <v>49</v>
      </c>
      <c r="AB2559" s="1" t="s">
        <v>49</v>
      </c>
      <c r="AC2559" s="1" t="s">
        <v>470</v>
      </c>
      <c r="AD2559" s="1" t="s">
        <v>471</v>
      </c>
      <c r="AE2559" s="1" t="s">
        <v>470</v>
      </c>
      <c r="AF2559" s="1" t="s">
        <v>5526</v>
      </c>
      <c r="AG2559" s="1" t="s">
        <v>53</v>
      </c>
      <c r="AH2559" s="1" t="s">
        <v>49</v>
      </c>
      <c r="AI2559" s="1" t="s">
        <v>54</v>
      </c>
      <c r="AJ2559" s="1">
        <v>1</v>
      </c>
      <c r="AK2559" s="1" t="str">
        <f t="shared" si="39"/>
        <v xml:space="preserve"> =&lt;90</v>
      </c>
      <c r="AL2559" s="1" t="e">
        <f>VLOOKUP(C:C,[1]基础信息!B$1:D$65536,3,0)</f>
        <v>#N/A</v>
      </c>
      <c r="AM2559" s="1" t="e">
        <f>VLOOKUP(C:C,[1]基础信息!B$1:E$65536,4,0)</f>
        <v>#N/A</v>
      </c>
      <c r="AN2559" s="1" t="e">
        <f>VLOOKUP(C:C,[1]基础信息!B$1:F$65536,5,0)</f>
        <v>#N/A</v>
      </c>
    </row>
    <row r="2560" spans="1:40">
      <c r="A2560" s="1" t="s">
        <v>41</v>
      </c>
      <c r="B2560" s="1" t="s">
        <v>42</v>
      </c>
      <c r="C2560" s="1" t="s">
        <v>3512</v>
      </c>
      <c r="D2560" s="1" t="s">
        <v>3513</v>
      </c>
      <c r="E2560" s="1" t="s">
        <v>45</v>
      </c>
      <c r="F2560" s="1" t="s">
        <v>5905</v>
      </c>
      <c r="G2560" s="1" t="s">
        <v>5906</v>
      </c>
      <c r="H2560" s="1" t="s">
        <v>5907</v>
      </c>
      <c r="I2560" s="1" t="s">
        <v>49</v>
      </c>
      <c r="J2560" s="1" t="s">
        <v>48</v>
      </c>
      <c r="K2560" s="1">
        <v>840</v>
      </c>
      <c r="L2560" s="1">
        <v>0</v>
      </c>
      <c r="M2560" s="1">
        <v>0</v>
      </c>
      <c r="N2560" s="1">
        <v>840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 t="s">
        <v>49</v>
      </c>
      <c r="AA2560" s="1" t="s">
        <v>49</v>
      </c>
      <c r="AB2560" s="1" t="s">
        <v>49</v>
      </c>
      <c r="AC2560" s="1" t="s">
        <v>470</v>
      </c>
      <c r="AD2560" s="1" t="s">
        <v>471</v>
      </c>
      <c r="AE2560" s="1" t="s">
        <v>470</v>
      </c>
      <c r="AF2560" s="1" t="s">
        <v>5908</v>
      </c>
      <c r="AG2560" s="1" t="s">
        <v>53</v>
      </c>
      <c r="AH2560" s="1" t="s">
        <v>49</v>
      </c>
      <c r="AI2560" s="1" t="s">
        <v>54</v>
      </c>
      <c r="AJ2560" s="1">
        <v>1</v>
      </c>
      <c r="AK2560" s="1" t="str">
        <f t="shared" si="39"/>
        <v xml:space="preserve"> =&lt;90</v>
      </c>
      <c r="AL2560" s="1" t="str">
        <f>VLOOKUP(C:C,[1]基础信息!B$1:D$65536,3,0)</f>
        <v xml:space="preserve">Cartridge </v>
      </c>
      <c r="AM2560" s="1" t="str">
        <f>VLOOKUP(C:C,[1]基础信息!B$1:E$65536,4,0)</f>
        <v>UNIV</v>
      </c>
      <c r="AN2560" s="1" t="str">
        <f>VLOOKUP(C:C,[1]基础信息!B$1:F$65536,5,0)</f>
        <v>P3</v>
      </c>
    </row>
    <row r="2561" spans="1:40">
      <c r="A2561" s="1" t="s">
        <v>41</v>
      </c>
      <c r="B2561" s="1" t="s">
        <v>42</v>
      </c>
      <c r="C2561" s="1" t="s">
        <v>3512</v>
      </c>
      <c r="D2561" s="1" t="s">
        <v>3513</v>
      </c>
      <c r="E2561" s="1" t="s">
        <v>45</v>
      </c>
      <c r="F2561" s="1" t="s">
        <v>5905</v>
      </c>
      <c r="G2561" s="1" t="s">
        <v>5909</v>
      </c>
      <c r="H2561" s="1" t="s">
        <v>5910</v>
      </c>
      <c r="I2561" s="1" t="s">
        <v>49</v>
      </c>
      <c r="J2561" s="1" t="s">
        <v>48</v>
      </c>
      <c r="K2561" s="1">
        <v>840</v>
      </c>
      <c r="L2561" s="1">
        <v>0</v>
      </c>
      <c r="M2561" s="1">
        <v>0</v>
      </c>
      <c r="N2561" s="1">
        <v>840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 t="s">
        <v>49</v>
      </c>
      <c r="AA2561" s="1" t="s">
        <v>49</v>
      </c>
      <c r="AB2561" s="1" t="s">
        <v>49</v>
      </c>
      <c r="AC2561" s="1" t="s">
        <v>470</v>
      </c>
      <c r="AD2561" s="1" t="s">
        <v>471</v>
      </c>
      <c r="AE2561" s="1" t="s">
        <v>470</v>
      </c>
      <c r="AF2561" s="1" t="s">
        <v>5908</v>
      </c>
      <c r="AG2561" s="1" t="s">
        <v>53</v>
      </c>
      <c r="AH2561" s="1" t="s">
        <v>49</v>
      </c>
      <c r="AI2561" s="1" t="s">
        <v>54</v>
      </c>
      <c r="AJ2561" s="1">
        <v>1</v>
      </c>
      <c r="AK2561" s="1" t="str">
        <f t="shared" si="39"/>
        <v xml:space="preserve"> =&lt;90</v>
      </c>
      <c r="AL2561" s="1" t="str">
        <f>VLOOKUP(C:C,[1]基础信息!B$1:D$65536,3,0)</f>
        <v xml:space="preserve">Cartridge </v>
      </c>
      <c r="AM2561" s="1" t="str">
        <f>VLOOKUP(C:C,[1]基础信息!B$1:E$65536,4,0)</f>
        <v>UNIV</v>
      </c>
      <c r="AN2561" s="1" t="str">
        <f>VLOOKUP(C:C,[1]基础信息!B$1:F$65536,5,0)</f>
        <v>P3</v>
      </c>
    </row>
    <row r="2562" spans="1:40">
      <c r="A2562" s="1" t="s">
        <v>41</v>
      </c>
      <c r="B2562" s="1" t="s">
        <v>42</v>
      </c>
      <c r="C2562" s="1" t="s">
        <v>3512</v>
      </c>
      <c r="D2562" s="1" t="s">
        <v>3513</v>
      </c>
      <c r="E2562" s="1" t="s">
        <v>45</v>
      </c>
      <c r="F2562" s="1" t="s">
        <v>5905</v>
      </c>
      <c r="G2562" s="1" t="s">
        <v>5911</v>
      </c>
      <c r="H2562" s="1" t="s">
        <v>5912</v>
      </c>
      <c r="I2562" s="1" t="s">
        <v>49</v>
      </c>
      <c r="J2562" s="1" t="s">
        <v>48</v>
      </c>
      <c r="K2562" s="1">
        <v>840</v>
      </c>
      <c r="L2562" s="1">
        <v>0</v>
      </c>
      <c r="M2562" s="1">
        <v>0</v>
      </c>
      <c r="N2562" s="1">
        <v>840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 t="s">
        <v>49</v>
      </c>
      <c r="AA2562" s="1" t="s">
        <v>49</v>
      </c>
      <c r="AB2562" s="1" t="s">
        <v>49</v>
      </c>
      <c r="AC2562" s="1" t="s">
        <v>470</v>
      </c>
      <c r="AD2562" s="1" t="s">
        <v>471</v>
      </c>
      <c r="AE2562" s="1" t="s">
        <v>470</v>
      </c>
      <c r="AF2562" s="1" t="s">
        <v>5908</v>
      </c>
      <c r="AG2562" s="1" t="s">
        <v>53</v>
      </c>
      <c r="AH2562" s="1" t="s">
        <v>49</v>
      </c>
      <c r="AI2562" s="1" t="s">
        <v>54</v>
      </c>
      <c r="AJ2562" s="1">
        <v>1</v>
      </c>
      <c r="AK2562" s="1" t="str">
        <f t="shared" ref="AK2562:AK2625" si="40">IF(AJ2562&gt;$AP$2,$AQ$2,IF(AJ2562&gt;$AP$3,$AQ$3,IF(AJ2562&gt;$AP$4,$AQ$4,$AQ$5)))</f>
        <v xml:space="preserve"> =&lt;90</v>
      </c>
      <c r="AL2562" s="1" t="str">
        <f>VLOOKUP(C:C,[1]基础信息!B$1:D$65536,3,0)</f>
        <v xml:space="preserve">Cartridge </v>
      </c>
      <c r="AM2562" s="1" t="str">
        <f>VLOOKUP(C:C,[1]基础信息!B$1:E$65536,4,0)</f>
        <v>UNIV</v>
      </c>
      <c r="AN2562" s="1" t="str">
        <f>VLOOKUP(C:C,[1]基础信息!B$1:F$65536,5,0)</f>
        <v>P3</v>
      </c>
    </row>
    <row r="2563" spans="1:40">
      <c r="A2563" s="1" t="s">
        <v>41</v>
      </c>
      <c r="B2563" s="1" t="s">
        <v>42</v>
      </c>
      <c r="C2563" s="1" t="s">
        <v>3971</v>
      </c>
      <c r="D2563" s="1" t="s">
        <v>3972</v>
      </c>
      <c r="E2563" s="1" t="s">
        <v>45</v>
      </c>
      <c r="F2563" s="1" t="s">
        <v>5606</v>
      </c>
      <c r="G2563" s="1" t="s">
        <v>5913</v>
      </c>
      <c r="H2563" s="1" t="s">
        <v>5914</v>
      </c>
      <c r="I2563" s="1" t="s">
        <v>49</v>
      </c>
      <c r="J2563" s="1" t="s">
        <v>48</v>
      </c>
      <c r="K2563" s="1">
        <v>96</v>
      </c>
      <c r="L2563" s="1">
        <v>0</v>
      </c>
      <c r="M2563" s="1">
        <v>0</v>
      </c>
      <c r="N2563" s="1">
        <v>96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 t="s">
        <v>49</v>
      </c>
      <c r="AA2563" s="1" t="s">
        <v>49</v>
      </c>
      <c r="AB2563" s="1" t="s">
        <v>49</v>
      </c>
      <c r="AC2563" s="1" t="s">
        <v>376</v>
      </c>
      <c r="AD2563" s="1" t="s">
        <v>377</v>
      </c>
      <c r="AE2563" s="1" t="s">
        <v>376</v>
      </c>
      <c r="AF2563" s="1" t="s">
        <v>5609</v>
      </c>
      <c r="AG2563" s="1" t="s">
        <v>53</v>
      </c>
      <c r="AH2563" s="1" t="s">
        <v>49</v>
      </c>
      <c r="AI2563" s="1" t="s">
        <v>54</v>
      </c>
      <c r="AJ2563" s="1">
        <v>1</v>
      </c>
      <c r="AK2563" s="1" t="str">
        <f t="shared" si="40"/>
        <v xml:space="preserve"> =&lt;90</v>
      </c>
      <c r="AL2563" s="1" t="str">
        <f>VLOOKUP(C:C,[1]基础信息!B$1:D$65536,3,0)</f>
        <v>Jug</v>
      </c>
      <c r="AM2563" s="1" t="str">
        <f>VLOOKUP(C:C,[1]基础信息!B$1:E$65536,4,0)</f>
        <v>Mxplus</v>
      </c>
      <c r="AN2563" s="1" t="str">
        <f>VLOOKUP(C:C,[1]基础信息!B$1:F$65536,5,0)</f>
        <v xml:space="preserve"> lime</v>
      </c>
    </row>
    <row r="2564" spans="1:40">
      <c r="A2564" s="1" t="s">
        <v>41</v>
      </c>
      <c r="B2564" s="1" t="s">
        <v>42</v>
      </c>
      <c r="C2564" s="1" t="s">
        <v>3971</v>
      </c>
      <c r="D2564" s="1" t="s">
        <v>3972</v>
      </c>
      <c r="E2564" s="1" t="s">
        <v>45</v>
      </c>
      <c r="F2564" s="1" t="s">
        <v>5606</v>
      </c>
      <c r="G2564" s="1" t="s">
        <v>5915</v>
      </c>
      <c r="H2564" s="1" t="s">
        <v>5916</v>
      </c>
      <c r="I2564" s="1" t="s">
        <v>49</v>
      </c>
      <c r="J2564" s="1" t="s">
        <v>48</v>
      </c>
      <c r="K2564" s="1">
        <v>96</v>
      </c>
      <c r="L2564" s="1">
        <v>0</v>
      </c>
      <c r="M2564" s="1">
        <v>0</v>
      </c>
      <c r="N2564" s="1">
        <v>96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 t="s">
        <v>49</v>
      </c>
      <c r="AA2564" s="1" t="s">
        <v>49</v>
      </c>
      <c r="AB2564" s="1" t="s">
        <v>49</v>
      </c>
      <c r="AC2564" s="1" t="s">
        <v>376</v>
      </c>
      <c r="AD2564" s="1" t="s">
        <v>377</v>
      </c>
      <c r="AE2564" s="1" t="s">
        <v>376</v>
      </c>
      <c r="AF2564" s="1" t="s">
        <v>5609</v>
      </c>
      <c r="AG2564" s="1" t="s">
        <v>53</v>
      </c>
      <c r="AH2564" s="1" t="s">
        <v>49</v>
      </c>
      <c r="AI2564" s="1" t="s">
        <v>54</v>
      </c>
      <c r="AJ2564" s="1">
        <v>1</v>
      </c>
      <c r="AK2564" s="1" t="str">
        <f t="shared" si="40"/>
        <v xml:space="preserve"> =&lt;90</v>
      </c>
      <c r="AL2564" s="1" t="str">
        <f>VLOOKUP(C:C,[1]基础信息!B$1:D$65536,3,0)</f>
        <v>Jug</v>
      </c>
      <c r="AM2564" s="1" t="str">
        <f>VLOOKUP(C:C,[1]基础信息!B$1:E$65536,4,0)</f>
        <v>Mxplus</v>
      </c>
      <c r="AN2564" s="1" t="str">
        <f>VLOOKUP(C:C,[1]基础信息!B$1:F$65536,5,0)</f>
        <v xml:space="preserve"> lime</v>
      </c>
    </row>
    <row r="2565" spans="1:40">
      <c r="A2565" s="1" t="s">
        <v>41</v>
      </c>
      <c r="B2565" s="1" t="s">
        <v>42</v>
      </c>
      <c r="C2565" s="1" t="s">
        <v>3971</v>
      </c>
      <c r="D2565" s="1" t="s">
        <v>3972</v>
      </c>
      <c r="E2565" s="1" t="s">
        <v>45</v>
      </c>
      <c r="F2565" s="1" t="s">
        <v>5606</v>
      </c>
      <c r="G2565" s="1" t="s">
        <v>5917</v>
      </c>
      <c r="H2565" s="1" t="s">
        <v>5918</v>
      </c>
      <c r="I2565" s="1" t="s">
        <v>49</v>
      </c>
      <c r="J2565" s="1" t="s">
        <v>48</v>
      </c>
      <c r="K2565" s="1">
        <v>96</v>
      </c>
      <c r="L2565" s="1">
        <v>0</v>
      </c>
      <c r="M2565" s="1">
        <v>0</v>
      </c>
      <c r="N2565" s="1">
        <v>96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 t="s">
        <v>49</v>
      </c>
      <c r="AA2565" s="1" t="s">
        <v>49</v>
      </c>
      <c r="AB2565" s="1" t="s">
        <v>49</v>
      </c>
      <c r="AC2565" s="1" t="s">
        <v>376</v>
      </c>
      <c r="AD2565" s="1" t="s">
        <v>377</v>
      </c>
      <c r="AE2565" s="1" t="s">
        <v>376</v>
      </c>
      <c r="AF2565" s="1" t="s">
        <v>5609</v>
      </c>
      <c r="AG2565" s="1" t="s">
        <v>53</v>
      </c>
      <c r="AH2565" s="1" t="s">
        <v>49</v>
      </c>
      <c r="AI2565" s="1" t="s">
        <v>54</v>
      </c>
      <c r="AJ2565" s="1">
        <v>1</v>
      </c>
      <c r="AK2565" s="1" t="str">
        <f t="shared" si="40"/>
        <v xml:space="preserve"> =&lt;90</v>
      </c>
      <c r="AL2565" s="1" t="str">
        <f>VLOOKUP(C:C,[1]基础信息!B$1:D$65536,3,0)</f>
        <v>Jug</v>
      </c>
      <c r="AM2565" s="1" t="str">
        <f>VLOOKUP(C:C,[1]基础信息!B$1:E$65536,4,0)</f>
        <v>Mxplus</v>
      </c>
      <c r="AN2565" s="1" t="str">
        <f>VLOOKUP(C:C,[1]基础信息!B$1:F$65536,5,0)</f>
        <v xml:space="preserve"> lime</v>
      </c>
    </row>
    <row r="2566" spans="1:40">
      <c r="A2566" s="1" t="s">
        <v>41</v>
      </c>
      <c r="B2566" s="1" t="s">
        <v>42</v>
      </c>
      <c r="C2566" s="1" t="s">
        <v>3512</v>
      </c>
      <c r="D2566" s="1" t="s">
        <v>3513</v>
      </c>
      <c r="E2566" s="1" t="s">
        <v>45</v>
      </c>
      <c r="F2566" s="1" t="s">
        <v>5905</v>
      </c>
      <c r="G2566" s="1" t="s">
        <v>5919</v>
      </c>
      <c r="H2566" s="1" t="s">
        <v>5920</v>
      </c>
      <c r="I2566" s="1" t="s">
        <v>49</v>
      </c>
      <c r="J2566" s="1" t="s">
        <v>48</v>
      </c>
      <c r="K2566" s="1">
        <v>840</v>
      </c>
      <c r="L2566" s="1">
        <v>0</v>
      </c>
      <c r="M2566" s="1">
        <v>0</v>
      </c>
      <c r="N2566" s="1">
        <v>840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 t="s">
        <v>49</v>
      </c>
      <c r="AA2566" s="1" t="s">
        <v>49</v>
      </c>
      <c r="AB2566" s="1" t="s">
        <v>49</v>
      </c>
      <c r="AC2566" s="1" t="s">
        <v>470</v>
      </c>
      <c r="AD2566" s="1" t="s">
        <v>471</v>
      </c>
      <c r="AE2566" s="1" t="s">
        <v>470</v>
      </c>
      <c r="AF2566" s="1" t="s">
        <v>5908</v>
      </c>
      <c r="AG2566" s="1" t="s">
        <v>53</v>
      </c>
      <c r="AH2566" s="1" t="s">
        <v>49</v>
      </c>
      <c r="AI2566" s="1" t="s">
        <v>54</v>
      </c>
      <c r="AJ2566" s="1">
        <v>1</v>
      </c>
      <c r="AK2566" s="1" t="str">
        <f t="shared" si="40"/>
        <v xml:space="preserve"> =&lt;90</v>
      </c>
      <c r="AL2566" s="1" t="str">
        <f>VLOOKUP(C:C,[1]基础信息!B$1:D$65536,3,0)</f>
        <v xml:space="preserve">Cartridge </v>
      </c>
      <c r="AM2566" s="1" t="str">
        <f>VLOOKUP(C:C,[1]基础信息!B$1:E$65536,4,0)</f>
        <v>UNIV</v>
      </c>
      <c r="AN2566" s="1" t="str">
        <f>VLOOKUP(C:C,[1]基础信息!B$1:F$65536,5,0)</f>
        <v>P3</v>
      </c>
    </row>
    <row r="2567" spans="1:40">
      <c r="A2567" s="1" t="s">
        <v>41</v>
      </c>
      <c r="B2567" s="1" t="s">
        <v>42</v>
      </c>
      <c r="C2567" s="1" t="s">
        <v>3971</v>
      </c>
      <c r="D2567" s="1" t="s">
        <v>3972</v>
      </c>
      <c r="E2567" s="1" t="s">
        <v>45</v>
      </c>
      <c r="F2567" s="1" t="s">
        <v>5606</v>
      </c>
      <c r="G2567" s="1" t="s">
        <v>5921</v>
      </c>
      <c r="H2567" s="1" t="s">
        <v>5922</v>
      </c>
      <c r="I2567" s="1" t="s">
        <v>49</v>
      </c>
      <c r="J2567" s="1" t="s">
        <v>48</v>
      </c>
      <c r="K2567" s="1">
        <v>96</v>
      </c>
      <c r="L2567" s="1">
        <v>0</v>
      </c>
      <c r="M2567" s="1">
        <v>0</v>
      </c>
      <c r="N2567" s="1">
        <v>96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 t="s">
        <v>49</v>
      </c>
      <c r="AA2567" s="1" t="s">
        <v>49</v>
      </c>
      <c r="AB2567" s="1" t="s">
        <v>49</v>
      </c>
      <c r="AC2567" s="1" t="s">
        <v>376</v>
      </c>
      <c r="AD2567" s="1" t="s">
        <v>377</v>
      </c>
      <c r="AE2567" s="1" t="s">
        <v>376</v>
      </c>
      <c r="AF2567" s="1" t="s">
        <v>5609</v>
      </c>
      <c r="AG2567" s="1" t="s">
        <v>53</v>
      </c>
      <c r="AH2567" s="1" t="s">
        <v>49</v>
      </c>
      <c r="AI2567" s="1" t="s">
        <v>54</v>
      </c>
      <c r="AJ2567" s="1">
        <v>1</v>
      </c>
      <c r="AK2567" s="1" t="str">
        <f t="shared" si="40"/>
        <v xml:space="preserve"> =&lt;90</v>
      </c>
      <c r="AL2567" s="1" t="str">
        <f>VLOOKUP(C:C,[1]基础信息!B$1:D$65536,3,0)</f>
        <v>Jug</v>
      </c>
      <c r="AM2567" s="1" t="str">
        <f>VLOOKUP(C:C,[1]基础信息!B$1:E$65536,4,0)</f>
        <v>Mxplus</v>
      </c>
      <c r="AN2567" s="1" t="str">
        <f>VLOOKUP(C:C,[1]基础信息!B$1:F$65536,5,0)</f>
        <v xml:space="preserve"> lime</v>
      </c>
    </row>
    <row r="2568" spans="1:40">
      <c r="A2568" s="1" t="s">
        <v>41</v>
      </c>
      <c r="B2568" s="1" t="s">
        <v>42</v>
      </c>
      <c r="C2568" s="1" t="s">
        <v>3971</v>
      </c>
      <c r="D2568" s="1" t="s">
        <v>3972</v>
      </c>
      <c r="E2568" s="1" t="s">
        <v>45</v>
      </c>
      <c r="F2568" s="1" t="s">
        <v>5606</v>
      </c>
      <c r="G2568" s="1" t="s">
        <v>5923</v>
      </c>
      <c r="H2568" s="1" t="s">
        <v>5924</v>
      </c>
      <c r="I2568" s="1" t="s">
        <v>49</v>
      </c>
      <c r="J2568" s="1" t="s">
        <v>48</v>
      </c>
      <c r="K2568" s="1">
        <v>96</v>
      </c>
      <c r="L2568" s="1">
        <v>0</v>
      </c>
      <c r="M2568" s="1">
        <v>0</v>
      </c>
      <c r="N2568" s="1">
        <v>96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 t="s">
        <v>49</v>
      </c>
      <c r="AA2568" s="1" t="s">
        <v>49</v>
      </c>
      <c r="AB2568" s="1" t="s">
        <v>49</v>
      </c>
      <c r="AC2568" s="1" t="s">
        <v>376</v>
      </c>
      <c r="AD2568" s="1" t="s">
        <v>377</v>
      </c>
      <c r="AE2568" s="1" t="s">
        <v>376</v>
      </c>
      <c r="AF2568" s="1" t="s">
        <v>5609</v>
      </c>
      <c r="AG2568" s="1" t="s">
        <v>53</v>
      </c>
      <c r="AH2568" s="1" t="s">
        <v>49</v>
      </c>
      <c r="AI2568" s="1" t="s">
        <v>54</v>
      </c>
      <c r="AJ2568" s="1">
        <v>1</v>
      </c>
      <c r="AK2568" s="1" t="str">
        <f t="shared" si="40"/>
        <v xml:space="preserve"> =&lt;90</v>
      </c>
      <c r="AL2568" s="1" t="str">
        <f>VLOOKUP(C:C,[1]基础信息!B$1:D$65536,3,0)</f>
        <v>Jug</v>
      </c>
      <c r="AM2568" s="1" t="str">
        <f>VLOOKUP(C:C,[1]基础信息!B$1:E$65536,4,0)</f>
        <v>Mxplus</v>
      </c>
      <c r="AN2568" s="1" t="str">
        <f>VLOOKUP(C:C,[1]基础信息!B$1:F$65536,5,0)</f>
        <v xml:space="preserve"> lime</v>
      </c>
    </row>
    <row r="2569" spans="1:40">
      <c r="A2569" s="1" t="s">
        <v>41</v>
      </c>
      <c r="B2569" s="1" t="s">
        <v>42</v>
      </c>
      <c r="C2569" s="1" t="s">
        <v>3971</v>
      </c>
      <c r="D2569" s="1" t="s">
        <v>3972</v>
      </c>
      <c r="E2569" s="1" t="s">
        <v>45</v>
      </c>
      <c r="F2569" s="1" t="s">
        <v>5606</v>
      </c>
      <c r="G2569" s="1" t="s">
        <v>5925</v>
      </c>
      <c r="H2569" s="1" t="s">
        <v>5926</v>
      </c>
      <c r="I2569" s="1" t="s">
        <v>49</v>
      </c>
      <c r="J2569" s="1" t="s">
        <v>48</v>
      </c>
      <c r="K2569" s="1">
        <v>96</v>
      </c>
      <c r="L2569" s="1">
        <v>0</v>
      </c>
      <c r="M2569" s="1">
        <v>0</v>
      </c>
      <c r="N2569" s="1">
        <v>96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 t="s">
        <v>49</v>
      </c>
      <c r="AA2569" s="1" t="s">
        <v>49</v>
      </c>
      <c r="AB2569" s="1" t="s">
        <v>49</v>
      </c>
      <c r="AC2569" s="1" t="s">
        <v>376</v>
      </c>
      <c r="AD2569" s="1" t="s">
        <v>377</v>
      </c>
      <c r="AE2569" s="1" t="s">
        <v>376</v>
      </c>
      <c r="AF2569" s="1" t="s">
        <v>5609</v>
      </c>
      <c r="AG2569" s="1" t="s">
        <v>53</v>
      </c>
      <c r="AH2569" s="1" t="s">
        <v>49</v>
      </c>
      <c r="AI2569" s="1" t="s">
        <v>54</v>
      </c>
      <c r="AJ2569" s="1">
        <v>1</v>
      </c>
      <c r="AK2569" s="1" t="str">
        <f t="shared" si="40"/>
        <v xml:space="preserve"> =&lt;90</v>
      </c>
      <c r="AL2569" s="1" t="str">
        <f>VLOOKUP(C:C,[1]基础信息!B$1:D$65536,3,0)</f>
        <v>Jug</v>
      </c>
      <c r="AM2569" s="1" t="str">
        <f>VLOOKUP(C:C,[1]基础信息!B$1:E$65536,4,0)</f>
        <v>Mxplus</v>
      </c>
      <c r="AN2569" s="1" t="str">
        <f>VLOOKUP(C:C,[1]基础信息!B$1:F$65536,5,0)</f>
        <v xml:space="preserve"> lime</v>
      </c>
    </row>
    <row r="2570" spans="1:40">
      <c r="A2570" s="1" t="s">
        <v>41</v>
      </c>
      <c r="B2570" s="1" t="s">
        <v>42</v>
      </c>
      <c r="C2570" s="1" t="s">
        <v>3971</v>
      </c>
      <c r="D2570" s="1" t="s">
        <v>3972</v>
      </c>
      <c r="E2570" s="1" t="s">
        <v>45</v>
      </c>
      <c r="F2570" s="1" t="s">
        <v>5606</v>
      </c>
      <c r="G2570" s="1" t="s">
        <v>5927</v>
      </c>
      <c r="H2570" s="1" t="s">
        <v>5928</v>
      </c>
      <c r="I2570" s="1" t="s">
        <v>49</v>
      </c>
      <c r="J2570" s="1" t="s">
        <v>48</v>
      </c>
      <c r="K2570" s="1">
        <v>96</v>
      </c>
      <c r="L2570" s="1">
        <v>0</v>
      </c>
      <c r="M2570" s="1">
        <v>0</v>
      </c>
      <c r="N2570" s="1">
        <v>96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 t="s">
        <v>49</v>
      </c>
      <c r="AA2570" s="1" t="s">
        <v>49</v>
      </c>
      <c r="AB2570" s="1" t="s">
        <v>49</v>
      </c>
      <c r="AC2570" s="1" t="s">
        <v>376</v>
      </c>
      <c r="AD2570" s="1" t="s">
        <v>377</v>
      </c>
      <c r="AE2570" s="1" t="s">
        <v>376</v>
      </c>
      <c r="AF2570" s="1" t="s">
        <v>5609</v>
      </c>
      <c r="AG2570" s="1" t="s">
        <v>53</v>
      </c>
      <c r="AH2570" s="1" t="s">
        <v>49</v>
      </c>
      <c r="AI2570" s="1" t="s">
        <v>54</v>
      </c>
      <c r="AJ2570" s="1">
        <v>1</v>
      </c>
      <c r="AK2570" s="1" t="str">
        <f t="shared" si="40"/>
        <v xml:space="preserve"> =&lt;90</v>
      </c>
      <c r="AL2570" s="1" t="str">
        <f>VLOOKUP(C:C,[1]基础信息!B$1:D$65536,3,0)</f>
        <v>Jug</v>
      </c>
      <c r="AM2570" s="1" t="str">
        <f>VLOOKUP(C:C,[1]基础信息!B$1:E$65536,4,0)</f>
        <v>Mxplus</v>
      </c>
      <c r="AN2570" s="1" t="str">
        <f>VLOOKUP(C:C,[1]基础信息!B$1:F$65536,5,0)</f>
        <v xml:space="preserve"> lime</v>
      </c>
    </row>
    <row r="2571" spans="1:40">
      <c r="A2571" s="1" t="s">
        <v>41</v>
      </c>
      <c r="B2571" s="1" t="s">
        <v>42</v>
      </c>
      <c r="C2571" s="1" t="s">
        <v>3971</v>
      </c>
      <c r="D2571" s="1" t="s">
        <v>3972</v>
      </c>
      <c r="E2571" s="1" t="s">
        <v>45</v>
      </c>
      <c r="F2571" s="1" t="s">
        <v>5480</v>
      </c>
      <c r="G2571" s="1" t="s">
        <v>5929</v>
      </c>
      <c r="H2571" s="1" t="s">
        <v>5930</v>
      </c>
      <c r="I2571" s="1" t="s">
        <v>49</v>
      </c>
      <c r="J2571" s="1" t="s">
        <v>48</v>
      </c>
      <c r="K2571" s="1">
        <v>96</v>
      </c>
      <c r="L2571" s="1">
        <v>0</v>
      </c>
      <c r="M2571" s="1">
        <v>0</v>
      </c>
      <c r="N2571" s="1">
        <v>96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 t="s">
        <v>49</v>
      </c>
      <c r="AA2571" s="1" t="s">
        <v>49</v>
      </c>
      <c r="AB2571" s="1" t="s">
        <v>49</v>
      </c>
      <c r="AC2571" s="1" t="s">
        <v>1330</v>
      </c>
      <c r="AD2571" s="1" t="s">
        <v>1331</v>
      </c>
      <c r="AE2571" s="1" t="s">
        <v>3719</v>
      </c>
      <c r="AF2571" s="1" t="s">
        <v>5483</v>
      </c>
      <c r="AG2571" s="1" t="s">
        <v>53</v>
      </c>
      <c r="AH2571" s="1" t="s">
        <v>49</v>
      </c>
      <c r="AI2571" s="1" t="s">
        <v>54</v>
      </c>
      <c r="AJ2571" s="1">
        <v>1</v>
      </c>
      <c r="AK2571" s="1" t="str">
        <f t="shared" si="40"/>
        <v xml:space="preserve"> =&lt;90</v>
      </c>
      <c r="AL2571" s="1" t="str">
        <f>VLOOKUP(C:C,[1]基础信息!B$1:D$65536,3,0)</f>
        <v>Jug</v>
      </c>
      <c r="AM2571" s="1" t="str">
        <f>VLOOKUP(C:C,[1]基础信息!B$1:E$65536,4,0)</f>
        <v>Mxplus</v>
      </c>
      <c r="AN2571" s="1" t="str">
        <f>VLOOKUP(C:C,[1]基础信息!B$1:F$65536,5,0)</f>
        <v xml:space="preserve"> lime</v>
      </c>
    </row>
    <row r="2572" spans="1:40">
      <c r="A2572" s="1" t="s">
        <v>41</v>
      </c>
      <c r="B2572" s="1" t="s">
        <v>42</v>
      </c>
      <c r="C2572" s="1" t="s">
        <v>3971</v>
      </c>
      <c r="D2572" s="1" t="s">
        <v>3972</v>
      </c>
      <c r="E2572" s="1" t="s">
        <v>45</v>
      </c>
      <c r="F2572" s="1" t="s">
        <v>5606</v>
      </c>
      <c r="G2572" s="1" t="s">
        <v>5931</v>
      </c>
      <c r="H2572" s="1" t="s">
        <v>5932</v>
      </c>
      <c r="I2572" s="1" t="s">
        <v>49</v>
      </c>
      <c r="J2572" s="1" t="s">
        <v>48</v>
      </c>
      <c r="K2572" s="1">
        <v>96</v>
      </c>
      <c r="L2572" s="1">
        <v>0</v>
      </c>
      <c r="M2572" s="1">
        <v>0</v>
      </c>
      <c r="N2572" s="1">
        <v>96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 t="s">
        <v>49</v>
      </c>
      <c r="AA2572" s="1" t="s">
        <v>49</v>
      </c>
      <c r="AB2572" s="1" t="s">
        <v>49</v>
      </c>
      <c r="AC2572" s="1" t="s">
        <v>376</v>
      </c>
      <c r="AD2572" s="1" t="s">
        <v>377</v>
      </c>
      <c r="AE2572" s="1" t="s">
        <v>376</v>
      </c>
      <c r="AF2572" s="1" t="s">
        <v>5609</v>
      </c>
      <c r="AG2572" s="1" t="s">
        <v>53</v>
      </c>
      <c r="AH2572" s="1" t="s">
        <v>49</v>
      </c>
      <c r="AI2572" s="1" t="s">
        <v>54</v>
      </c>
      <c r="AJ2572" s="1">
        <v>1</v>
      </c>
      <c r="AK2572" s="1" t="str">
        <f t="shared" si="40"/>
        <v xml:space="preserve"> =&lt;90</v>
      </c>
      <c r="AL2572" s="1" t="str">
        <f>VLOOKUP(C:C,[1]基础信息!B$1:D$65536,3,0)</f>
        <v>Jug</v>
      </c>
      <c r="AM2572" s="1" t="str">
        <f>VLOOKUP(C:C,[1]基础信息!B$1:E$65536,4,0)</f>
        <v>Mxplus</v>
      </c>
      <c r="AN2572" s="1" t="str">
        <f>VLOOKUP(C:C,[1]基础信息!B$1:F$65536,5,0)</f>
        <v xml:space="preserve"> lime</v>
      </c>
    </row>
    <row r="2573" spans="1:40">
      <c r="A2573" s="1" t="s">
        <v>41</v>
      </c>
      <c r="B2573" s="1" t="s">
        <v>42</v>
      </c>
      <c r="C2573" s="1" t="s">
        <v>5254</v>
      </c>
      <c r="D2573" s="1" t="s">
        <v>5255</v>
      </c>
      <c r="E2573" s="1" t="s">
        <v>45</v>
      </c>
      <c r="F2573" s="1" t="s">
        <v>5933</v>
      </c>
      <c r="G2573" s="1" t="s">
        <v>5934</v>
      </c>
      <c r="H2573" s="1" t="s">
        <v>5935</v>
      </c>
      <c r="I2573" s="1" t="s">
        <v>49</v>
      </c>
      <c r="J2573" s="1" t="s">
        <v>48</v>
      </c>
      <c r="K2573" s="1">
        <v>2200</v>
      </c>
      <c r="L2573" s="1">
        <v>0</v>
      </c>
      <c r="M2573" s="1">
        <v>0</v>
      </c>
      <c r="N2573" s="1">
        <v>2200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 t="s">
        <v>49</v>
      </c>
      <c r="AA2573" s="1" t="s">
        <v>49</v>
      </c>
      <c r="AB2573" s="1" t="s">
        <v>49</v>
      </c>
      <c r="AC2573" s="1" t="s">
        <v>3190</v>
      </c>
      <c r="AD2573" s="1" t="s">
        <v>3254</v>
      </c>
      <c r="AE2573" s="1" t="s">
        <v>3255</v>
      </c>
      <c r="AF2573" s="1" t="s">
        <v>5936</v>
      </c>
      <c r="AG2573" s="1" t="s">
        <v>53</v>
      </c>
      <c r="AH2573" s="1" t="s">
        <v>49</v>
      </c>
      <c r="AI2573" s="1" t="s">
        <v>54</v>
      </c>
      <c r="AJ2573" s="1">
        <v>1</v>
      </c>
      <c r="AK2573" s="1" t="str">
        <f t="shared" si="40"/>
        <v xml:space="preserve"> =&lt;90</v>
      </c>
      <c r="AL2573" s="1" t="str">
        <f>VLOOKUP(C:C,[1]基础信息!B$1:D$65536,3,0)</f>
        <v xml:space="preserve">Cartridge </v>
      </c>
      <c r="AM2573" s="1" t="str">
        <f>VLOOKUP(C:C,[1]基础信息!B$1:E$65536,4,0)</f>
        <v>UNIV</v>
      </c>
      <c r="AN2573" s="1" t="str">
        <f>VLOOKUP(C:C,[1]基础信息!B$1:F$65536,5,0)</f>
        <v>P55</v>
      </c>
    </row>
    <row r="2574" spans="1:40">
      <c r="A2574" s="1" t="s">
        <v>41</v>
      </c>
      <c r="B2574" s="1" t="s">
        <v>42</v>
      </c>
      <c r="C2574" s="1" t="s">
        <v>5254</v>
      </c>
      <c r="D2574" s="1" t="s">
        <v>5255</v>
      </c>
      <c r="E2574" s="1" t="s">
        <v>45</v>
      </c>
      <c r="F2574" s="1" t="s">
        <v>5933</v>
      </c>
      <c r="G2574" s="1" t="s">
        <v>5937</v>
      </c>
      <c r="H2574" s="1" t="s">
        <v>5938</v>
      </c>
      <c r="I2574" s="1" t="s">
        <v>49</v>
      </c>
      <c r="J2574" s="1" t="s">
        <v>48</v>
      </c>
      <c r="K2574" s="1">
        <v>2200</v>
      </c>
      <c r="L2574" s="1">
        <v>0</v>
      </c>
      <c r="M2574" s="1">
        <v>0</v>
      </c>
      <c r="N2574" s="1">
        <v>2200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 t="s">
        <v>49</v>
      </c>
      <c r="AA2574" s="1" t="s">
        <v>49</v>
      </c>
      <c r="AB2574" s="1" t="s">
        <v>49</v>
      </c>
      <c r="AC2574" s="1" t="s">
        <v>3190</v>
      </c>
      <c r="AD2574" s="1" t="s">
        <v>3254</v>
      </c>
      <c r="AE2574" s="1" t="s">
        <v>3255</v>
      </c>
      <c r="AF2574" s="1" t="s">
        <v>5936</v>
      </c>
      <c r="AG2574" s="1" t="s">
        <v>53</v>
      </c>
      <c r="AH2574" s="1" t="s">
        <v>49</v>
      </c>
      <c r="AI2574" s="1" t="s">
        <v>54</v>
      </c>
      <c r="AJ2574" s="1">
        <v>1</v>
      </c>
      <c r="AK2574" s="1" t="str">
        <f t="shared" si="40"/>
        <v xml:space="preserve"> =&lt;90</v>
      </c>
      <c r="AL2574" s="1" t="str">
        <f>VLOOKUP(C:C,[1]基础信息!B$1:D$65536,3,0)</f>
        <v xml:space="preserve">Cartridge </v>
      </c>
      <c r="AM2574" s="1" t="str">
        <f>VLOOKUP(C:C,[1]基础信息!B$1:E$65536,4,0)</f>
        <v>UNIV</v>
      </c>
      <c r="AN2574" s="1" t="str">
        <f>VLOOKUP(C:C,[1]基础信息!B$1:F$65536,5,0)</f>
        <v>P55</v>
      </c>
    </row>
    <row r="2575" spans="1:40">
      <c r="A2575" s="1" t="s">
        <v>41</v>
      </c>
      <c r="B2575" s="1" t="s">
        <v>42</v>
      </c>
      <c r="C2575" s="1" t="s">
        <v>3971</v>
      </c>
      <c r="D2575" s="1" t="s">
        <v>3972</v>
      </c>
      <c r="E2575" s="1" t="s">
        <v>45</v>
      </c>
      <c r="F2575" s="1" t="s">
        <v>5939</v>
      </c>
      <c r="G2575" s="1" t="s">
        <v>5940</v>
      </c>
      <c r="H2575" s="1" t="s">
        <v>5941</v>
      </c>
      <c r="I2575" s="1" t="s">
        <v>49</v>
      </c>
      <c r="J2575" s="1" t="s">
        <v>48</v>
      </c>
      <c r="K2575" s="1">
        <v>96</v>
      </c>
      <c r="L2575" s="1">
        <v>0</v>
      </c>
      <c r="M2575" s="1">
        <v>0</v>
      </c>
      <c r="N2575" s="1">
        <v>96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 t="s">
        <v>49</v>
      </c>
      <c r="AA2575" s="1" t="s">
        <v>49</v>
      </c>
      <c r="AB2575" s="1" t="s">
        <v>49</v>
      </c>
      <c r="AC2575" s="1" t="s">
        <v>470</v>
      </c>
      <c r="AD2575" s="1" t="s">
        <v>471</v>
      </c>
      <c r="AE2575" s="1" t="s">
        <v>974</v>
      </c>
      <c r="AF2575" s="1" t="s">
        <v>5194</v>
      </c>
      <c r="AG2575" s="1" t="s">
        <v>53</v>
      </c>
      <c r="AH2575" s="1" t="s">
        <v>49</v>
      </c>
      <c r="AI2575" s="1" t="s">
        <v>54</v>
      </c>
      <c r="AJ2575" s="1">
        <v>1</v>
      </c>
      <c r="AK2575" s="1" t="str">
        <f t="shared" si="40"/>
        <v xml:space="preserve"> =&lt;90</v>
      </c>
      <c r="AL2575" s="1" t="str">
        <f>VLOOKUP(C:C,[1]基础信息!B$1:D$65536,3,0)</f>
        <v>Jug</v>
      </c>
      <c r="AM2575" s="1" t="str">
        <f>VLOOKUP(C:C,[1]基础信息!B$1:E$65536,4,0)</f>
        <v>Mxplus</v>
      </c>
      <c r="AN2575" s="1" t="str">
        <f>VLOOKUP(C:C,[1]基础信息!B$1:F$65536,5,0)</f>
        <v xml:space="preserve"> lime</v>
      </c>
    </row>
    <row r="2576" spans="1:40">
      <c r="A2576" s="1" t="s">
        <v>41</v>
      </c>
      <c r="B2576" s="1" t="s">
        <v>42</v>
      </c>
      <c r="C2576" s="1" t="s">
        <v>3971</v>
      </c>
      <c r="D2576" s="1" t="s">
        <v>3972</v>
      </c>
      <c r="E2576" s="1" t="s">
        <v>45</v>
      </c>
      <c r="F2576" s="1" t="s">
        <v>5939</v>
      </c>
      <c r="G2576" s="1" t="s">
        <v>5942</v>
      </c>
      <c r="H2576" s="1" t="s">
        <v>5943</v>
      </c>
      <c r="I2576" s="1" t="s">
        <v>49</v>
      </c>
      <c r="J2576" s="1" t="s">
        <v>48</v>
      </c>
      <c r="K2576" s="1">
        <v>96</v>
      </c>
      <c r="L2576" s="1">
        <v>0</v>
      </c>
      <c r="M2576" s="1">
        <v>0</v>
      </c>
      <c r="N2576" s="1">
        <v>96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 t="s">
        <v>49</v>
      </c>
      <c r="AA2576" s="1" t="s">
        <v>49</v>
      </c>
      <c r="AB2576" s="1" t="s">
        <v>49</v>
      </c>
      <c r="AC2576" s="1" t="s">
        <v>470</v>
      </c>
      <c r="AD2576" s="1" t="s">
        <v>471</v>
      </c>
      <c r="AE2576" s="1" t="s">
        <v>974</v>
      </c>
      <c r="AF2576" s="1" t="s">
        <v>5194</v>
      </c>
      <c r="AG2576" s="1" t="s">
        <v>53</v>
      </c>
      <c r="AH2576" s="1" t="s">
        <v>49</v>
      </c>
      <c r="AI2576" s="1" t="s">
        <v>54</v>
      </c>
      <c r="AJ2576" s="1">
        <v>1</v>
      </c>
      <c r="AK2576" s="1" t="str">
        <f t="shared" si="40"/>
        <v xml:space="preserve"> =&lt;90</v>
      </c>
      <c r="AL2576" s="1" t="str">
        <f>VLOOKUP(C:C,[1]基础信息!B$1:D$65536,3,0)</f>
        <v>Jug</v>
      </c>
      <c r="AM2576" s="1" t="str">
        <f>VLOOKUP(C:C,[1]基础信息!B$1:E$65536,4,0)</f>
        <v>Mxplus</v>
      </c>
      <c r="AN2576" s="1" t="str">
        <f>VLOOKUP(C:C,[1]基础信息!B$1:F$65536,5,0)</f>
        <v xml:space="preserve"> lime</v>
      </c>
    </row>
    <row r="2577" spans="1:40">
      <c r="A2577" s="1" t="s">
        <v>41</v>
      </c>
      <c r="B2577" s="1" t="s">
        <v>42</v>
      </c>
      <c r="C2577" s="1" t="s">
        <v>5254</v>
      </c>
      <c r="D2577" s="1" t="s">
        <v>5255</v>
      </c>
      <c r="E2577" s="1" t="s">
        <v>45</v>
      </c>
      <c r="F2577" s="1" t="s">
        <v>5896</v>
      </c>
      <c r="G2577" s="1" t="s">
        <v>5944</v>
      </c>
      <c r="H2577" s="1" t="s">
        <v>5945</v>
      </c>
      <c r="I2577" s="1" t="s">
        <v>49</v>
      </c>
      <c r="J2577" s="1" t="s">
        <v>48</v>
      </c>
      <c r="K2577" s="1">
        <v>2200</v>
      </c>
      <c r="L2577" s="1">
        <v>0</v>
      </c>
      <c r="M2577" s="1">
        <v>0</v>
      </c>
      <c r="N2577" s="1">
        <v>2200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 t="s">
        <v>49</v>
      </c>
      <c r="AA2577" s="1" t="s">
        <v>49</v>
      </c>
      <c r="AB2577" s="1" t="s">
        <v>49</v>
      </c>
      <c r="AC2577" s="1" t="s">
        <v>5899</v>
      </c>
      <c r="AD2577" s="1" t="s">
        <v>5900</v>
      </c>
      <c r="AE2577" s="1" t="s">
        <v>5901</v>
      </c>
      <c r="AF2577" s="1" t="s">
        <v>5902</v>
      </c>
      <c r="AG2577" s="1" t="s">
        <v>53</v>
      </c>
      <c r="AH2577" s="1" t="s">
        <v>49</v>
      </c>
      <c r="AI2577" s="1" t="s">
        <v>54</v>
      </c>
      <c r="AJ2577" s="1">
        <v>1</v>
      </c>
      <c r="AK2577" s="1" t="str">
        <f t="shared" si="40"/>
        <v xml:space="preserve"> =&lt;90</v>
      </c>
      <c r="AL2577" s="1" t="str">
        <f>VLOOKUP(C:C,[1]基础信息!B$1:D$65536,3,0)</f>
        <v xml:space="preserve">Cartridge </v>
      </c>
      <c r="AM2577" s="1" t="str">
        <f>VLOOKUP(C:C,[1]基础信息!B$1:E$65536,4,0)</f>
        <v>UNIV</v>
      </c>
      <c r="AN2577" s="1" t="str">
        <f>VLOOKUP(C:C,[1]基础信息!B$1:F$65536,5,0)</f>
        <v>P55</v>
      </c>
    </row>
    <row r="2578" spans="1:40">
      <c r="A2578" s="1" t="s">
        <v>41</v>
      </c>
      <c r="B2578" s="1" t="s">
        <v>42</v>
      </c>
      <c r="C2578" s="1" t="s">
        <v>3971</v>
      </c>
      <c r="D2578" s="1" t="s">
        <v>3972</v>
      </c>
      <c r="E2578" s="1" t="s">
        <v>45</v>
      </c>
      <c r="F2578" s="1" t="s">
        <v>5939</v>
      </c>
      <c r="G2578" s="1" t="s">
        <v>5946</v>
      </c>
      <c r="H2578" s="1" t="s">
        <v>5947</v>
      </c>
      <c r="I2578" s="1" t="s">
        <v>49</v>
      </c>
      <c r="J2578" s="1" t="s">
        <v>48</v>
      </c>
      <c r="K2578" s="1">
        <v>96</v>
      </c>
      <c r="L2578" s="1">
        <v>0</v>
      </c>
      <c r="M2578" s="1">
        <v>0</v>
      </c>
      <c r="N2578" s="1">
        <v>96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 t="s">
        <v>49</v>
      </c>
      <c r="AA2578" s="1" t="s">
        <v>49</v>
      </c>
      <c r="AB2578" s="1" t="s">
        <v>49</v>
      </c>
      <c r="AC2578" s="1" t="s">
        <v>470</v>
      </c>
      <c r="AD2578" s="1" t="s">
        <v>471</v>
      </c>
      <c r="AE2578" s="1" t="s">
        <v>974</v>
      </c>
      <c r="AF2578" s="1" t="s">
        <v>5194</v>
      </c>
      <c r="AG2578" s="1" t="s">
        <v>53</v>
      </c>
      <c r="AH2578" s="1" t="s">
        <v>49</v>
      </c>
      <c r="AI2578" s="1" t="s">
        <v>54</v>
      </c>
      <c r="AJ2578" s="1">
        <v>1</v>
      </c>
      <c r="AK2578" s="1" t="str">
        <f t="shared" si="40"/>
        <v xml:space="preserve"> =&lt;90</v>
      </c>
      <c r="AL2578" s="1" t="str">
        <f>VLOOKUP(C:C,[1]基础信息!B$1:D$65536,3,0)</f>
        <v>Jug</v>
      </c>
      <c r="AM2578" s="1" t="str">
        <f>VLOOKUP(C:C,[1]基础信息!B$1:E$65536,4,0)</f>
        <v>Mxplus</v>
      </c>
      <c r="AN2578" s="1" t="str">
        <f>VLOOKUP(C:C,[1]基础信息!B$1:F$65536,5,0)</f>
        <v xml:space="preserve"> lime</v>
      </c>
    </row>
    <row r="2579" spans="1:40">
      <c r="A2579" s="1" t="s">
        <v>41</v>
      </c>
      <c r="B2579" s="1" t="s">
        <v>42</v>
      </c>
      <c r="C2579" s="1" t="s">
        <v>3971</v>
      </c>
      <c r="D2579" s="1" t="s">
        <v>3972</v>
      </c>
      <c r="E2579" s="1" t="s">
        <v>45</v>
      </c>
      <c r="F2579" s="1" t="s">
        <v>5939</v>
      </c>
      <c r="G2579" s="1" t="s">
        <v>5948</v>
      </c>
      <c r="H2579" s="1" t="s">
        <v>5949</v>
      </c>
      <c r="I2579" s="1" t="s">
        <v>49</v>
      </c>
      <c r="J2579" s="1" t="s">
        <v>48</v>
      </c>
      <c r="K2579" s="1">
        <v>96</v>
      </c>
      <c r="L2579" s="1">
        <v>0</v>
      </c>
      <c r="M2579" s="1">
        <v>0</v>
      </c>
      <c r="N2579" s="1">
        <v>96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 t="s">
        <v>49</v>
      </c>
      <c r="AA2579" s="1" t="s">
        <v>49</v>
      </c>
      <c r="AB2579" s="1" t="s">
        <v>49</v>
      </c>
      <c r="AC2579" s="1" t="s">
        <v>470</v>
      </c>
      <c r="AD2579" s="1" t="s">
        <v>471</v>
      </c>
      <c r="AE2579" s="1" t="s">
        <v>974</v>
      </c>
      <c r="AF2579" s="1" t="s">
        <v>5194</v>
      </c>
      <c r="AG2579" s="1" t="s">
        <v>53</v>
      </c>
      <c r="AH2579" s="1" t="s">
        <v>49</v>
      </c>
      <c r="AI2579" s="1" t="s">
        <v>54</v>
      </c>
      <c r="AJ2579" s="1">
        <v>1</v>
      </c>
      <c r="AK2579" s="1" t="str">
        <f t="shared" si="40"/>
        <v xml:space="preserve"> =&lt;90</v>
      </c>
      <c r="AL2579" s="1" t="str">
        <f>VLOOKUP(C:C,[1]基础信息!B$1:D$65536,3,0)</f>
        <v>Jug</v>
      </c>
      <c r="AM2579" s="1" t="str">
        <f>VLOOKUP(C:C,[1]基础信息!B$1:E$65536,4,0)</f>
        <v>Mxplus</v>
      </c>
      <c r="AN2579" s="1" t="str">
        <f>VLOOKUP(C:C,[1]基础信息!B$1:F$65536,5,0)</f>
        <v xml:space="preserve"> lime</v>
      </c>
    </row>
    <row r="2580" spans="1:40">
      <c r="A2580" s="1" t="s">
        <v>41</v>
      </c>
      <c r="B2580" s="1" t="s">
        <v>42</v>
      </c>
      <c r="C2580" s="1" t="s">
        <v>3971</v>
      </c>
      <c r="D2580" s="1" t="s">
        <v>3972</v>
      </c>
      <c r="E2580" s="1" t="s">
        <v>45</v>
      </c>
      <c r="F2580" s="1" t="s">
        <v>5939</v>
      </c>
      <c r="G2580" s="1" t="s">
        <v>5950</v>
      </c>
      <c r="H2580" s="1" t="s">
        <v>5951</v>
      </c>
      <c r="I2580" s="1" t="s">
        <v>49</v>
      </c>
      <c r="J2580" s="1" t="s">
        <v>48</v>
      </c>
      <c r="K2580" s="1">
        <v>96</v>
      </c>
      <c r="L2580" s="1">
        <v>0</v>
      </c>
      <c r="M2580" s="1">
        <v>0</v>
      </c>
      <c r="N2580" s="1">
        <v>96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 t="s">
        <v>49</v>
      </c>
      <c r="AA2580" s="1" t="s">
        <v>49</v>
      </c>
      <c r="AB2580" s="1" t="s">
        <v>49</v>
      </c>
      <c r="AC2580" s="1" t="s">
        <v>470</v>
      </c>
      <c r="AD2580" s="1" t="s">
        <v>471</v>
      </c>
      <c r="AE2580" s="1" t="s">
        <v>974</v>
      </c>
      <c r="AF2580" s="1" t="s">
        <v>5194</v>
      </c>
      <c r="AG2580" s="1" t="s">
        <v>53</v>
      </c>
      <c r="AH2580" s="1" t="s">
        <v>49</v>
      </c>
      <c r="AI2580" s="1" t="s">
        <v>54</v>
      </c>
      <c r="AJ2580" s="1">
        <v>1</v>
      </c>
      <c r="AK2580" s="1" t="str">
        <f t="shared" si="40"/>
        <v xml:space="preserve"> =&lt;90</v>
      </c>
      <c r="AL2580" s="1" t="str">
        <f>VLOOKUP(C:C,[1]基础信息!B$1:D$65536,3,0)</f>
        <v>Jug</v>
      </c>
      <c r="AM2580" s="1" t="str">
        <f>VLOOKUP(C:C,[1]基础信息!B$1:E$65536,4,0)</f>
        <v>Mxplus</v>
      </c>
      <c r="AN2580" s="1" t="str">
        <f>VLOOKUP(C:C,[1]基础信息!B$1:F$65536,5,0)</f>
        <v xml:space="preserve"> lime</v>
      </c>
    </row>
    <row r="2581" spans="1:40">
      <c r="A2581" s="1" t="s">
        <v>41</v>
      </c>
      <c r="B2581" s="1" t="s">
        <v>42</v>
      </c>
      <c r="C2581" s="1" t="s">
        <v>3971</v>
      </c>
      <c r="D2581" s="1" t="s">
        <v>3972</v>
      </c>
      <c r="E2581" s="1" t="s">
        <v>45</v>
      </c>
      <c r="F2581" s="1" t="s">
        <v>5939</v>
      </c>
      <c r="G2581" s="1" t="s">
        <v>5952</v>
      </c>
      <c r="H2581" s="1" t="s">
        <v>5953</v>
      </c>
      <c r="I2581" s="1" t="s">
        <v>49</v>
      </c>
      <c r="J2581" s="1" t="s">
        <v>48</v>
      </c>
      <c r="K2581" s="1">
        <v>96</v>
      </c>
      <c r="L2581" s="1">
        <v>0</v>
      </c>
      <c r="M2581" s="1">
        <v>0</v>
      </c>
      <c r="N2581" s="1">
        <v>96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 t="s">
        <v>49</v>
      </c>
      <c r="AA2581" s="1" t="s">
        <v>49</v>
      </c>
      <c r="AB2581" s="1" t="s">
        <v>49</v>
      </c>
      <c r="AC2581" s="1" t="s">
        <v>470</v>
      </c>
      <c r="AD2581" s="1" t="s">
        <v>471</v>
      </c>
      <c r="AE2581" s="1" t="s">
        <v>974</v>
      </c>
      <c r="AF2581" s="1" t="s">
        <v>5194</v>
      </c>
      <c r="AG2581" s="1" t="s">
        <v>53</v>
      </c>
      <c r="AH2581" s="1" t="s">
        <v>49</v>
      </c>
      <c r="AI2581" s="1" t="s">
        <v>54</v>
      </c>
      <c r="AJ2581" s="1">
        <v>1</v>
      </c>
      <c r="AK2581" s="1" t="str">
        <f t="shared" si="40"/>
        <v xml:space="preserve"> =&lt;90</v>
      </c>
      <c r="AL2581" s="1" t="str">
        <f>VLOOKUP(C:C,[1]基础信息!B$1:D$65536,3,0)</f>
        <v>Jug</v>
      </c>
      <c r="AM2581" s="1" t="str">
        <f>VLOOKUP(C:C,[1]基础信息!B$1:E$65536,4,0)</f>
        <v>Mxplus</v>
      </c>
      <c r="AN2581" s="1" t="str">
        <f>VLOOKUP(C:C,[1]基础信息!B$1:F$65536,5,0)</f>
        <v xml:space="preserve"> lime</v>
      </c>
    </row>
    <row r="2582" spans="1:40">
      <c r="A2582" s="1" t="s">
        <v>41</v>
      </c>
      <c r="B2582" s="1" t="s">
        <v>42</v>
      </c>
      <c r="C2582" s="1" t="s">
        <v>3971</v>
      </c>
      <c r="D2582" s="1" t="s">
        <v>3972</v>
      </c>
      <c r="E2582" s="1" t="s">
        <v>45</v>
      </c>
      <c r="F2582" s="1" t="s">
        <v>5939</v>
      </c>
      <c r="G2582" s="1" t="s">
        <v>5954</v>
      </c>
      <c r="H2582" s="1" t="s">
        <v>5955</v>
      </c>
      <c r="I2582" s="1" t="s">
        <v>49</v>
      </c>
      <c r="J2582" s="1" t="s">
        <v>48</v>
      </c>
      <c r="K2582" s="1">
        <v>96</v>
      </c>
      <c r="L2582" s="1">
        <v>0</v>
      </c>
      <c r="M2582" s="1">
        <v>0</v>
      </c>
      <c r="N2582" s="1">
        <v>96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 t="s">
        <v>49</v>
      </c>
      <c r="AA2582" s="1" t="s">
        <v>49</v>
      </c>
      <c r="AB2582" s="1" t="s">
        <v>49</v>
      </c>
      <c r="AC2582" s="1" t="s">
        <v>470</v>
      </c>
      <c r="AD2582" s="1" t="s">
        <v>471</v>
      </c>
      <c r="AE2582" s="1" t="s">
        <v>974</v>
      </c>
      <c r="AF2582" s="1" t="s">
        <v>5194</v>
      </c>
      <c r="AG2582" s="1" t="s">
        <v>53</v>
      </c>
      <c r="AH2582" s="1" t="s">
        <v>49</v>
      </c>
      <c r="AI2582" s="1" t="s">
        <v>54</v>
      </c>
      <c r="AJ2582" s="1">
        <v>1</v>
      </c>
      <c r="AK2582" s="1" t="str">
        <f t="shared" si="40"/>
        <v xml:space="preserve"> =&lt;90</v>
      </c>
      <c r="AL2582" s="1" t="str">
        <f>VLOOKUP(C:C,[1]基础信息!B$1:D$65536,3,0)</f>
        <v>Jug</v>
      </c>
      <c r="AM2582" s="1" t="str">
        <f>VLOOKUP(C:C,[1]基础信息!B$1:E$65536,4,0)</f>
        <v>Mxplus</v>
      </c>
      <c r="AN2582" s="1" t="str">
        <f>VLOOKUP(C:C,[1]基础信息!B$1:F$65536,5,0)</f>
        <v xml:space="preserve"> lime</v>
      </c>
    </row>
    <row r="2583" spans="1:40">
      <c r="A2583" s="1" t="s">
        <v>41</v>
      </c>
      <c r="B2583" s="1" t="s">
        <v>42</v>
      </c>
      <c r="C2583" s="1" t="s">
        <v>3971</v>
      </c>
      <c r="D2583" s="1" t="s">
        <v>3972</v>
      </c>
      <c r="E2583" s="1" t="s">
        <v>45</v>
      </c>
      <c r="F2583" s="1" t="s">
        <v>5939</v>
      </c>
      <c r="G2583" s="1" t="s">
        <v>5956</v>
      </c>
      <c r="H2583" s="1" t="s">
        <v>5957</v>
      </c>
      <c r="I2583" s="1" t="s">
        <v>49</v>
      </c>
      <c r="J2583" s="1" t="s">
        <v>48</v>
      </c>
      <c r="K2583" s="1">
        <v>96</v>
      </c>
      <c r="L2583" s="1">
        <v>0</v>
      </c>
      <c r="M2583" s="1">
        <v>0</v>
      </c>
      <c r="N2583" s="1">
        <v>96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 t="s">
        <v>49</v>
      </c>
      <c r="AA2583" s="1" t="s">
        <v>49</v>
      </c>
      <c r="AB2583" s="1" t="s">
        <v>49</v>
      </c>
      <c r="AC2583" s="1" t="s">
        <v>470</v>
      </c>
      <c r="AD2583" s="1" t="s">
        <v>471</v>
      </c>
      <c r="AE2583" s="1" t="s">
        <v>974</v>
      </c>
      <c r="AF2583" s="1" t="s">
        <v>5194</v>
      </c>
      <c r="AG2583" s="1" t="s">
        <v>53</v>
      </c>
      <c r="AH2583" s="1" t="s">
        <v>49</v>
      </c>
      <c r="AI2583" s="1" t="s">
        <v>54</v>
      </c>
      <c r="AJ2583" s="1">
        <v>1</v>
      </c>
      <c r="AK2583" s="1" t="str">
        <f t="shared" si="40"/>
        <v xml:space="preserve"> =&lt;90</v>
      </c>
      <c r="AL2583" s="1" t="str">
        <f>VLOOKUP(C:C,[1]基础信息!B$1:D$65536,3,0)</f>
        <v>Jug</v>
      </c>
      <c r="AM2583" s="1" t="str">
        <f>VLOOKUP(C:C,[1]基础信息!B$1:E$65536,4,0)</f>
        <v>Mxplus</v>
      </c>
      <c r="AN2583" s="1" t="str">
        <f>VLOOKUP(C:C,[1]基础信息!B$1:F$65536,5,0)</f>
        <v xml:space="preserve"> lime</v>
      </c>
    </row>
    <row r="2584" spans="1:40">
      <c r="A2584" s="1" t="s">
        <v>41</v>
      </c>
      <c r="B2584" s="1" t="s">
        <v>42</v>
      </c>
      <c r="C2584" s="1" t="s">
        <v>3971</v>
      </c>
      <c r="D2584" s="1" t="s">
        <v>3972</v>
      </c>
      <c r="E2584" s="1" t="s">
        <v>45</v>
      </c>
      <c r="F2584" s="1" t="s">
        <v>5939</v>
      </c>
      <c r="G2584" s="1" t="s">
        <v>5958</v>
      </c>
      <c r="H2584" s="1" t="s">
        <v>5959</v>
      </c>
      <c r="I2584" s="1" t="s">
        <v>49</v>
      </c>
      <c r="J2584" s="1" t="s">
        <v>48</v>
      </c>
      <c r="K2584" s="1">
        <v>96</v>
      </c>
      <c r="L2584" s="1">
        <v>0</v>
      </c>
      <c r="M2584" s="1">
        <v>0</v>
      </c>
      <c r="N2584" s="1">
        <v>96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 t="s">
        <v>49</v>
      </c>
      <c r="AA2584" s="1" t="s">
        <v>49</v>
      </c>
      <c r="AB2584" s="1" t="s">
        <v>49</v>
      </c>
      <c r="AC2584" s="1" t="s">
        <v>470</v>
      </c>
      <c r="AD2584" s="1" t="s">
        <v>471</v>
      </c>
      <c r="AE2584" s="1" t="s">
        <v>974</v>
      </c>
      <c r="AF2584" s="1" t="s">
        <v>5194</v>
      </c>
      <c r="AG2584" s="1" t="s">
        <v>53</v>
      </c>
      <c r="AH2584" s="1" t="s">
        <v>49</v>
      </c>
      <c r="AI2584" s="1" t="s">
        <v>54</v>
      </c>
      <c r="AJ2584" s="1">
        <v>1</v>
      </c>
      <c r="AK2584" s="1" t="str">
        <f t="shared" si="40"/>
        <v xml:space="preserve"> =&lt;90</v>
      </c>
      <c r="AL2584" s="1" t="str">
        <f>VLOOKUP(C:C,[1]基础信息!B$1:D$65536,3,0)</f>
        <v>Jug</v>
      </c>
      <c r="AM2584" s="1" t="str">
        <f>VLOOKUP(C:C,[1]基础信息!B$1:E$65536,4,0)</f>
        <v>Mxplus</v>
      </c>
      <c r="AN2584" s="1" t="str">
        <f>VLOOKUP(C:C,[1]基础信息!B$1:F$65536,5,0)</f>
        <v xml:space="preserve"> lime</v>
      </c>
    </row>
    <row r="2585" spans="1:40">
      <c r="A2585" s="1" t="s">
        <v>41</v>
      </c>
      <c r="B2585" s="1" t="s">
        <v>42</v>
      </c>
      <c r="C2585" s="1" t="s">
        <v>3971</v>
      </c>
      <c r="D2585" s="1" t="s">
        <v>3972</v>
      </c>
      <c r="E2585" s="1" t="s">
        <v>45</v>
      </c>
      <c r="F2585" s="1" t="s">
        <v>5939</v>
      </c>
      <c r="G2585" s="1" t="s">
        <v>5960</v>
      </c>
      <c r="H2585" s="1" t="s">
        <v>5961</v>
      </c>
      <c r="I2585" s="1" t="s">
        <v>49</v>
      </c>
      <c r="J2585" s="1" t="s">
        <v>48</v>
      </c>
      <c r="K2585" s="1">
        <v>96</v>
      </c>
      <c r="L2585" s="1">
        <v>0</v>
      </c>
      <c r="M2585" s="1">
        <v>0</v>
      </c>
      <c r="N2585" s="1">
        <v>96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 t="s">
        <v>49</v>
      </c>
      <c r="AA2585" s="1" t="s">
        <v>49</v>
      </c>
      <c r="AB2585" s="1" t="s">
        <v>49</v>
      </c>
      <c r="AC2585" s="1" t="s">
        <v>470</v>
      </c>
      <c r="AD2585" s="1" t="s">
        <v>471</v>
      </c>
      <c r="AE2585" s="1" t="s">
        <v>974</v>
      </c>
      <c r="AF2585" s="1" t="s">
        <v>5194</v>
      </c>
      <c r="AG2585" s="1" t="s">
        <v>53</v>
      </c>
      <c r="AH2585" s="1" t="s">
        <v>49</v>
      </c>
      <c r="AI2585" s="1" t="s">
        <v>54</v>
      </c>
      <c r="AJ2585" s="1">
        <v>1</v>
      </c>
      <c r="AK2585" s="1" t="str">
        <f t="shared" si="40"/>
        <v xml:space="preserve"> =&lt;90</v>
      </c>
      <c r="AL2585" s="1" t="str">
        <f>VLOOKUP(C:C,[1]基础信息!B$1:D$65536,3,0)</f>
        <v>Jug</v>
      </c>
      <c r="AM2585" s="1" t="str">
        <f>VLOOKUP(C:C,[1]基础信息!B$1:E$65536,4,0)</f>
        <v>Mxplus</v>
      </c>
      <c r="AN2585" s="1" t="str">
        <f>VLOOKUP(C:C,[1]基础信息!B$1:F$65536,5,0)</f>
        <v xml:space="preserve"> lime</v>
      </c>
    </row>
    <row r="2586" spans="1:40">
      <c r="A2586" s="1" t="s">
        <v>41</v>
      </c>
      <c r="B2586" s="1" t="s">
        <v>42</v>
      </c>
      <c r="C2586" s="1" t="s">
        <v>4352</v>
      </c>
      <c r="D2586" s="1" t="s">
        <v>4353</v>
      </c>
      <c r="E2586" s="1" t="s">
        <v>45</v>
      </c>
      <c r="F2586" s="1" t="s">
        <v>5614</v>
      </c>
      <c r="G2586" s="1" t="s">
        <v>5962</v>
      </c>
      <c r="H2586" s="1" t="s">
        <v>5963</v>
      </c>
      <c r="I2586" s="1" t="s">
        <v>49</v>
      </c>
      <c r="J2586" s="1" t="s">
        <v>48</v>
      </c>
      <c r="K2586" s="1">
        <v>336</v>
      </c>
      <c r="L2586" s="1">
        <v>0</v>
      </c>
      <c r="M2586" s="1">
        <v>0</v>
      </c>
      <c r="N2586" s="1">
        <v>336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 t="s">
        <v>49</v>
      </c>
      <c r="AA2586" s="1" t="s">
        <v>49</v>
      </c>
      <c r="AB2586" s="1" t="s">
        <v>49</v>
      </c>
      <c r="AC2586" s="1" t="s">
        <v>5184</v>
      </c>
      <c r="AD2586" s="1" t="s">
        <v>5185</v>
      </c>
      <c r="AE2586" s="1" t="s">
        <v>5462</v>
      </c>
      <c r="AF2586" s="1" t="s">
        <v>5186</v>
      </c>
      <c r="AG2586" s="1" t="s">
        <v>53</v>
      </c>
      <c r="AH2586" s="1" t="s">
        <v>49</v>
      </c>
      <c r="AI2586" s="1" t="s">
        <v>54</v>
      </c>
      <c r="AJ2586" s="1">
        <v>1</v>
      </c>
      <c r="AK2586" s="1" t="str">
        <f t="shared" si="40"/>
        <v xml:space="preserve"> =&lt;90</v>
      </c>
      <c r="AL2586" s="1" t="e">
        <f>VLOOKUP(C:C,[1]基础信息!B$1:D$65536,3,0)</f>
        <v>#N/A</v>
      </c>
      <c r="AM2586" s="1" t="e">
        <f>VLOOKUP(C:C,[1]基础信息!B$1:E$65536,4,0)</f>
        <v>#N/A</v>
      </c>
      <c r="AN2586" s="1" t="e">
        <f>VLOOKUP(C:C,[1]基础信息!B$1:F$65536,5,0)</f>
        <v>#N/A</v>
      </c>
    </row>
    <row r="2587" spans="1:40">
      <c r="A2587" s="1" t="s">
        <v>41</v>
      </c>
      <c r="B2587" s="1" t="s">
        <v>42</v>
      </c>
      <c r="C2587" s="1" t="s">
        <v>3971</v>
      </c>
      <c r="D2587" s="1" t="s">
        <v>3972</v>
      </c>
      <c r="E2587" s="1" t="s">
        <v>45</v>
      </c>
      <c r="F2587" s="1" t="s">
        <v>5939</v>
      </c>
      <c r="G2587" s="1" t="s">
        <v>5964</v>
      </c>
      <c r="H2587" s="1" t="s">
        <v>5965</v>
      </c>
      <c r="I2587" s="1" t="s">
        <v>49</v>
      </c>
      <c r="J2587" s="1" t="s">
        <v>48</v>
      </c>
      <c r="K2587" s="1">
        <v>96</v>
      </c>
      <c r="L2587" s="1">
        <v>0</v>
      </c>
      <c r="M2587" s="1">
        <v>0</v>
      </c>
      <c r="N2587" s="1">
        <v>96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 t="s">
        <v>49</v>
      </c>
      <c r="AA2587" s="1" t="s">
        <v>49</v>
      </c>
      <c r="AB2587" s="1" t="s">
        <v>49</v>
      </c>
      <c r="AC2587" s="1" t="s">
        <v>470</v>
      </c>
      <c r="AD2587" s="1" t="s">
        <v>471</v>
      </c>
      <c r="AE2587" s="1" t="s">
        <v>974</v>
      </c>
      <c r="AF2587" s="1" t="s">
        <v>5194</v>
      </c>
      <c r="AG2587" s="1" t="s">
        <v>53</v>
      </c>
      <c r="AH2587" s="1" t="s">
        <v>49</v>
      </c>
      <c r="AI2587" s="1" t="s">
        <v>54</v>
      </c>
      <c r="AJ2587" s="1">
        <v>1</v>
      </c>
      <c r="AK2587" s="1" t="str">
        <f t="shared" si="40"/>
        <v xml:space="preserve"> =&lt;90</v>
      </c>
      <c r="AL2587" s="1" t="str">
        <f>VLOOKUP(C:C,[1]基础信息!B$1:D$65536,3,0)</f>
        <v>Jug</v>
      </c>
      <c r="AM2587" s="1" t="str">
        <f>VLOOKUP(C:C,[1]基础信息!B$1:E$65536,4,0)</f>
        <v>Mxplus</v>
      </c>
      <c r="AN2587" s="1" t="str">
        <f>VLOOKUP(C:C,[1]基础信息!B$1:F$65536,5,0)</f>
        <v xml:space="preserve"> lime</v>
      </c>
    </row>
    <row r="2588" spans="1:40">
      <c r="A2588" s="1" t="s">
        <v>41</v>
      </c>
      <c r="B2588" s="1" t="s">
        <v>42</v>
      </c>
      <c r="C2588" s="1" t="s">
        <v>3971</v>
      </c>
      <c r="D2588" s="1" t="s">
        <v>3972</v>
      </c>
      <c r="E2588" s="1" t="s">
        <v>45</v>
      </c>
      <c r="F2588" s="1" t="s">
        <v>5939</v>
      </c>
      <c r="G2588" s="1" t="s">
        <v>5966</v>
      </c>
      <c r="H2588" s="1" t="s">
        <v>5967</v>
      </c>
      <c r="I2588" s="1" t="s">
        <v>49</v>
      </c>
      <c r="J2588" s="1" t="s">
        <v>48</v>
      </c>
      <c r="K2588" s="1">
        <v>96</v>
      </c>
      <c r="L2588" s="1">
        <v>0</v>
      </c>
      <c r="M2588" s="1">
        <v>0</v>
      </c>
      <c r="N2588" s="1">
        <v>96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 t="s">
        <v>49</v>
      </c>
      <c r="AA2588" s="1" t="s">
        <v>49</v>
      </c>
      <c r="AB2588" s="1" t="s">
        <v>49</v>
      </c>
      <c r="AC2588" s="1" t="s">
        <v>470</v>
      </c>
      <c r="AD2588" s="1" t="s">
        <v>471</v>
      </c>
      <c r="AE2588" s="1" t="s">
        <v>974</v>
      </c>
      <c r="AF2588" s="1" t="s">
        <v>5194</v>
      </c>
      <c r="AG2588" s="1" t="s">
        <v>53</v>
      </c>
      <c r="AH2588" s="1" t="s">
        <v>49</v>
      </c>
      <c r="AI2588" s="1" t="s">
        <v>54</v>
      </c>
      <c r="AJ2588" s="1">
        <v>1</v>
      </c>
      <c r="AK2588" s="1" t="str">
        <f t="shared" si="40"/>
        <v xml:space="preserve"> =&lt;90</v>
      </c>
      <c r="AL2588" s="1" t="str">
        <f>VLOOKUP(C:C,[1]基础信息!B$1:D$65536,3,0)</f>
        <v>Jug</v>
      </c>
      <c r="AM2588" s="1" t="str">
        <f>VLOOKUP(C:C,[1]基础信息!B$1:E$65536,4,0)</f>
        <v>Mxplus</v>
      </c>
      <c r="AN2588" s="1" t="str">
        <f>VLOOKUP(C:C,[1]基础信息!B$1:F$65536,5,0)</f>
        <v xml:space="preserve"> lime</v>
      </c>
    </row>
    <row r="2589" spans="1:40">
      <c r="A2589" s="1" t="s">
        <v>41</v>
      </c>
      <c r="B2589" s="1" t="s">
        <v>42</v>
      </c>
      <c r="C2589" s="1" t="s">
        <v>4352</v>
      </c>
      <c r="D2589" s="1" t="s">
        <v>4353</v>
      </c>
      <c r="E2589" s="1" t="s">
        <v>45</v>
      </c>
      <c r="F2589" s="1" t="s">
        <v>5614</v>
      </c>
      <c r="G2589" s="1" t="s">
        <v>5968</v>
      </c>
      <c r="H2589" s="1" t="s">
        <v>5969</v>
      </c>
      <c r="I2589" s="1" t="s">
        <v>49</v>
      </c>
      <c r="J2589" s="1" t="s">
        <v>48</v>
      </c>
      <c r="K2589" s="1">
        <v>336</v>
      </c>
      <c r="L2589" s="1">
        <v>0</v>
      </c>
      <c r="M2589" s="1">
        <v>0</v>
      </c>
      <c r="N2589" s="1">
        <v>336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 t="s">
        <v>49</v>
      </c>
      <c r="AA2589" s="1" t="s">
        <v>49</v>
      </c>
      <c r="AB2589" s="1" t="s">
        <v>49</v>
      </c>
      <c r="AC2589" s="1" t="s">
        <v>5184</v>
      </c>
      <c r="AD2589" s="1" t="s">
        <v>5185</v>
      </c>
      <c r="AE2589" s="1" t="s">
        <v>5462</v>
      </c>
      <c r="AF2589" s="1" t="s">
        <v>5186</v>
      </c>
      <c r="AG2589" s="1" t="s">
        <v>53</v>
      </c>
      <c r="AH2589" s="1" t="s">
        <v>49</v>
      </c>
      <c r="AI2589" s="1" t="s">
        <v>54</v>
      </c>
      <c r="AJ2589" s="1">
        <v>1</v>
      </c>
      <c r="AK2589" s="1" t="str">
        <f t="shared" si="40"/>
        <v xml:space="preserve"> =&lt;90</v>
      </c>
      <c r="AL2589" s="1" t="e">
        <f>VLOOKUP(C:C,[1]基础信息!B$1:D$65536,3,0)</f>
        <v>#N/A</v>
      </c>
      <c r="AM2589" s="1" t="e">
        <f>VLOOKUP(C:C,[1]基础信息!B$1:E$65536,4,0)</f>
        <v>#N/A</v>
      </c>
      <c r="AN2589" s="1" t="e">
        <f>VLOOKUP(C:C,[1]基础信息!B$1:F$65536,5,0)</f>
        <v>#N/A</v>
      </c>
    </row>
    <row r="2590" spans="1:40">
      <c r="A2590" s="1" t="s">
        <v>41</v>
      </c>
      <c r="B2590" s="1" t="s">
        <v>42</v>
      </c>
      <c r="C2590" s="1" t="s">
        <v>3971</v>
      </c>
      <c r="D2590" s="1" t="s">
        <v>3972</v>
      </c>
      <c r="E2590" s="1" t="s">
        <v>45</v>
      </c>
      <c r="F2590" s="1" t="s">
        <v>5939</v>
      </c>
      <c r="G2590" s="1" t="s">
        <v>5970</v>
      </c>
      <c r="H2590" s="1" t="s">
        <v>5971</v>
      </c>
      <c r="I2590" s="1" t="s">
        <v>49</v>
      </c>
      <c r="J2590" s="1" t="s">
        <v>48</v>
      </c>
      <c r="K2590" s="1">
        <v>96</v>
      </c>
      <c r="L2590" s="1">
        <v>0</v>
      </c>
      <c r="M2590" s="1">
        <v>0</v>
      </c>
      <c r="N2590" s="1">
        <v>96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 t="s">
        <v>49</v>
      </c>
      <c r="AA2590" s="1" t="s">
        <v>49</v>
      </c>
      <c r="AB2590" s="1" t="s">
        <v>49</v>
      </c>
      <c r="AC2590" s="1" t="s">
        <v>470</v>
      </c>
      <c r="AD2590" s="1" t="s">
        <v>471</v>
      </c>
      <c r="AE2590" s="1" t="s">
        <v>974</v>
      </c>
      <c r="AF2590" s="1" t="s">
        <v>5194</v>
      </c>
      <c r="AG2590" s="1" t="s">
        <v>53</v>
      </c>
      <c r="AH2590" s="1" t="s">
        <v>49</v>
      </c>
      <c r="AI2590" s="1" t="s">
        <v>54</v>
      </c>
      <c r="AJ2590" s="1">
        <v>1</v>
      </c>
      <c r="AK2590" s="1" t="str">
        <f t="shared" si="40"/>
        <v xml:space="preserve"> =&lt;90</v>
      </c>
      <c r="AL2590" s="1" t="str">
        <f>VLOOKUP(C:C,[1]基础信息!B$1:D$65536,3,0)</f>
        <v>Jug</v>
      </c>
      <c r="AM2590" s="1" t="str">
        <f>VLOOKUP(C:C,[1]基础信息!B$1:E$65536,4,0)</f>
        <v>Mxplus</v>
      </c>
      <c r="AN2590" s="1" t="str">
        <f>VLOOKUP(C:C,[1]基础信息!B$1:F$65536,5,0)</f>
        <v xml:space="preserve"> lime</v>
      </c>
    </row>
    <row r="2591" spans="1:40">
      <c r="A2591" s="1" t="s">
        <v>41</v>
      </c>
      <c r="B2591" s="1" t="s">
        <v>42</v>
      </c>
      <c r="C2591" s="1" t="s">
        <v>3971</v>
      </c>
      <c r="D2591" s="1" t="s">
        <v>3972</v>
      </c>
      <c r="E2591" s="1" t="s">
        <v>45</v>
      </c>
      <c r="F2591" s="1" t="s">
        <v>5939</v>
      </c>
      <c r="G2591" s="1" t="s">
        <v>5972</v>
      </c>
      <c r="H2591" s="1" t="s">
        <v>5973</v>
      </c>
      <c r="I2591" s="1" t="s">
        <v>49</v>
      </c>
      <c r="J2591" s="1" t="s">
        <v>48</v>
      </c>
      <c r="K2591" s="1">
        <v>96</v>
      </c>
      <c r="L2591" s="1">
        <v>0</v>
      </c>
      <c r="M2591" s="1">
        <v>0</v>
      </c>
      <c r="N2591" s="1">
        <v>96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 t="s">
        <v>49</v>
      </c>
      <c r="AA2591" s="1" t="s">
        <v>49</v>
      </c>
      <c r="AB2591" s="1" t="s">
        <v>49</v>
      </c>
      <c r="AC2591" s="1" t="s">
        <v>470</v>
      </c>
      <c r="AD2591" s="1" t="s">
        <v>471</v>
      </c>
      <c r="AE2591" s="1" t="s">
        <v>974</v>
      </c>
      <c r="AF2591" s="1" t="s">
        <v>5194</v>
      </c>
      <c r="AG2591" s="1" t="s">
        <v>53</v>
      </c>
      <c r="AH2591" s="1" t="s">
        <v>49</v>
      </c>
      <c r="AI2591" s="1" t="s">
        <v>54</v>
      </c>
      <c r="AJ2591" s="1">
        <v>1</v>
      </c>
      <c r="AK2591" s="1" t="str">
        <f t="shared" si="40"/>
        <v xml:space="preserve"> =&lt;90</v>
      </c>
      <c r="AL2591" s="1" t="str">
        <f>VLOOKUP(C:C,[1]基础信息!B$1:D$65536,3,0)</f>
        <v>Jug</v>
      </c>
      <c r="AM2591" s="1" t="str">
        <f>VLOOKUP(C:C,[1]基础信息!B$1:E$65536,4,0)</f>
        <v>Mxplus</v>
      </c>
      <c r="AN2591" s="1" t="str">
        <f>VLOOKUP(C:C,[1]基础信息!B$1:F$65536,5,0)</f>
        <v xml:space="preserve"> lime</v>
      </c>
    </row>
    <row r="2592" spans="1:40">
      <c r="A2592" s="1" t="s">
        <v>41</v>
      </c>
      <c r="B2592" s="1" t="s">
        <v>42</v>
      </c>
      <c r="C2592" s="1" t="s">
        <v>4352</v>
      </c>
      <c r="D2592" s="1" t="s">
        <v>4353</v>
      </c>
      <c r="E2592" s="1" t="s">
        <v>45</v>
      </c>
      <c r="F2592" s="1" t="s">
        <v>5614</v>
      </c>
      <c r="G2592" s="1" t="s">
        <v>5974</v>
      </c>
      <c r="H2592" s="1" t="s">
        <v>5975</v>
      </c>
      <c r="I2592" s="1" t="s">
        <v>49</v>
      </c>
      <c r="J2592" s="1" t="s">
        <v>48</v>
      </c>
      <c r="K2592" s="1">
        <v>336</v>
      </c>
      <c r="L2592" s="1">
        <v>0</v>
      </c>
      <c r="M2592" s="1">
        <v>0</v>
      </c>
      <c r="N2592" s="1">
        <v>336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 t="s">
        <v>49</v>
      </c>
      <c r="AA2592" s="1" t="s">
        <v>49</v>
      </c>
      <c r="AB2592" s="1" t="s">
        <v>49</v>
      </c>
      <c r="AC2592" s="1" t="s">
        <v>5184</v>
      </c>
      <c r="AD2592" s="1" t="s">
        <v>5185</v>
      </c>
      <c r="AE2592" s="1" t="s">
        <v>5462</v>
      </c>
      <c r="AF2592" s="1" t="s">
        <v>5186</v>
      </c>
      <c r="AG2592" s="1" t="s">
        <v>53</v>
      </c>
      <c r="AH2592" s="1" t="s">
        <v>49</v>
      </c>
      <c r="AI2592" s="1" t="s">
        <v>54</v>
      </c>
      <c r="AJ2592" s="1">
        <v>1</v>
      </c>
      <c r="AK2592" s="1" t="str">
        <f t="shared" si="40"/>
        <v xml:space="preserve"> =&lt;90</v>
      </c>
      <c r="AL2592" s="1" t="e">
        <f>VLOOKUP(C:C,[1]基础信息!B$1:D$65536,3,0)</f>
        <v>#N/A</v>
      </c>
      <c r="AM2592" s="1" t="e">
        <f>VLOOKUP(C:C,[1]基础信息!B$1:E$65536,4,0)</f>
        <v>#N/A</v>
      </c>
      <c r="AN2592" s="1" t="e">
        <f>VLOOKUP(C:C,[1]基础信息!B$1:F$65536,5,0)</f>
        <v>#N/A</v>
      </c>
    </row>
    <row r="2593" spans="1:40">
      <c r="A2593" s="1" t="s">
        <v>41</v>
      </c>
      <c r="B2593" s="1" t="s">
        <v>42</v>
      </c>
      <c r="C2593" s="1" t="s">
        <v>5254</v>
      </c>
      <c r="D2593" s="1" t="s">
        <v>5255</v>
      </c>
      <c r="E2593" s="1" t="s">
        <v>45</v>
      </c>
      <c r="F2593" s="1" t="s">
        <v>5896</v>
      </c>
      <c r="G2593" s="1" t="s">
        <v>5976</v>
      </c>
      <c r="H2593" s="1" t="s">
        <v>5977</v>
      </c>
      <c r="I2593" s="1" t="s">
        <v>49</v>
      </c>
      <c r="J2593" s="1" t="s">
        <v>48</v>
      </c>
      <c r="K2593" s="1">
        <v>2200</v>
      </c>
      <c r="L2593" s="1">
        <v>0</v>
      </c>
      <c r="M2593" s="1">
        <v>0</v>
      </c>
      <c r="N2593" s="1">
        <v>2200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 t="s">
        <v>49</v>
      </c>
      <c r="AA2593" s="1" t="s">
        <v>49</v>
      </c>
      <c r="AB2593" s="1" t="s">
        <v>49</v>
      </c>
      <c r="AC2593" s="1" t="s">
        <v>5899</v>
      </c>
      <c r="AD2593" s="1" t="s">
        <v>5900</v>
      </c>
      <c r="AE2593" s="1" t="s">
        <v>5901</v>
      </c>
      <c r="AF2593" s="1" t="s">
        <v>5902</v>
      </c>
      <c r="AG2593" s="1" t="s">
        <v>53</v>
      </c>
      <c r="AH2593" s="1" t="s">
        <v>49</v>
      </c>
      <c r="AI2593" s="1" t="s">
        <v>54</v>
      </c>
      <c r="AJ2593" s="1">
        <v>1</v>
      </c>
      <c r="AK2593" s="1" t="str">
        <f t="shared" si="40"/>
        <v xml:space="preserve"> =&lt;90</v>
      </c>
      <c r="AL2593" s="1" t="str">
        <f>VLOOKUP(C:C,[1]基础信息!B$1:D$65536,3,0)</f>
        <v xml:space="preserve">Cartridge </v>
      </c>
      <c r="AM2593" s="1" t="str">
        <f>VLOOKUP(C:C,[1]基础信息!B$1:E$65536,4,0)</f>
        <v>UNIV</v>
      </c>
      <c r="AN2593" s="1" t="str">
        <f>VLOOKUP(C:C,[1]基础信息!B$1:F$65536,5,0)</f>
        <v>P55</v>
      </c>
    </row>
    <row r="2594" spans="1:40">
      <c r="A2594" s="1" t="s">
        <v>41</v>
      </c>
      <c r="B2594" s="1" t="s">
        <v>42</v>
      </c>
      <c r="C2594" s="1" t="s">
        <v>3971</v>
      </c>
      <c r="D2594" s="1" t="s">
        <v>3972</v>
      </c>
      <c r="E2594" s="1" t="s">
        <v>45</v>
      </c>
      <c r="F2594" s="1" t="s">
        <v>5939</v>
      </c>
      <c r="G2594" s="1" t="s">
        <v>5978</v>
      </c>
      <c r="H2594" s="1" t="s">
        <v>5979</v>
      </c>
      <c r="I2594" s="1" t="s">
        <v>49</v>
      </c>
      <c r="J2594" s="1" t="s">
        <v>48</v>
      </c>
      <c r="K2594" s="1">
        <v>96</v>
      </c>
      <c r="L2594" s="1">
        <v>0</v>
      </c>
      <c r="M2594" s="1">
        <v>0</v>
      </c>
      <c r="N2594" s="1">
        <v>96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 t="s">
        <v>49</v>
      </c>
      <c r="AA2594" s="1" t="s">
        <v>49</v>
      </c>
      <c r="AB2594" s="1" t="s">
        <v>49</v>
      </c>
      <c r="AC2594" s="1" t="s">
        <v>470</v>
      </c>
      <c r="AD2594" s="1" t="s">
        <v>471</v>
      </c>
      <c r="AE2594" s="1" t="s">
        <v>974</v>
      </c>
      <c r="AF2594" s="1" t="s">
        <v>5194</v>
      </c>
      <c r="AG2594" s="1" t="s">
        <v>53</v>
      </c>
      <c r="AH2594" s="1" t="s">
        <v>49</v>
      </c>
      <c r="AI2594" s="1" t="s">
        <v>54</v>
      </c>
      <c r="AJ2594" s="1">
        <v>1</v>
      </c>
      <c r="AK2594" s="1" t="str">
        <f t="shared" si="40"/>
        <v xml:space="preserve"> =&lt;90</v>
      </c>
      <c r="AL2594" s="1" t="str">
        <f>VLOOKUP(C:C,[1]基础信息!B$1:D$65536,3,0)</f>
        <v>Jug</v>
      </c>
      <c r="AM2594" s="1" t="str">
        <f>VLOOKUP(C:C,[1]基础信息!B$1:E$65536,4,0)</f>
        <v>Mxplus</v>
      </c>
      <c r="AN2594" s="1" t="str">
        <f>VLOOKUP(C:C,[1]基础信息!B$1:F$65536,5,0)</f>
        <v xml:space="preserve"> lime</v>
      </c>
    </row>
    <row r="2595" spans="1:40">
      <c r="A2595" s="1" t="s">
        <v>41</v>
      </c>
      <c r="B2595" s="1" t="s">
        <v>42</v>
      </c>
      <c r="C2595" s="1" t="s">
        <v>5254</v>
      </c>
      <c r="D2595" s="1" t="s">
        <v>5255</v>
      </c>
      <c r="E2595" s="1" t="s">
        <v>45</v>
      </c>
      <c r="F2595" s="1" t="s">
        <v>5896</v>
      </c>
      <c r="G2595" s="1" t="s">
        <v>5980</v>
      </c>
      <c r="H2595" s="1" t="s">
        <v>5981</v>
      </c>
      <c r="I2595" s="1" t="s">
        <v>49</v>
      </c>
      <c r="J2595" s="1" t="s">
        <v>48</v>
      </c>
      <c r="K2595" s="1">
        <v>2200</v>
      </c>
      <c r="L2595" s="1">
        <v>0</v>
      </c>
      <c r="M2595" s="1">
        <v>0</v>
      </c>
      <c r="N2595" s="1">
        <v>2200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 t="s">
        <v>49</v>
      </c>
      <c r="AA2595" s="1" t="s">
        <v>49</v>
      </c>
      <c r="AB2595" s="1" t="s">
        <v>49</v>
      </c>
      <c r="AC2595" s="1" t="s">
        <v>5899</v>
      </c>
      <c r="AD2595" s="1" t="s">
        <v>5900</v>
      </c>
      <c r="AE2595" s="1" t="s">
        <v>5901</v>
      </c>
      <c r="AF2595" s="1" t="s">
        <v>5902</v>
      </c>
      <c r="AG2595" s="1" t="s">
        <v>53</v>
      </c>
      <c r="AH2595" s="1" t="s">
        <v>49</v>
      </c>
      <c r="AI2595" s="1" t="s">
        <v>54</v>
      </c>
      <c r="AJ2595" s="1">
        <v>1</v>
      </c>
      <c r="AK2595" s="1" t="str">
        <f t="shared" si="40"/>
        <v xml:space="preserve"> =&lt;90</v>
      </c>
      <c r="AL2595" s="1" t="str">
        <f>VLOOKUP(C:C,[1]基础信息!B$1:D$65536,3,0)</f>
        <v xml:space="preserve">Cartridge </v>
      </c>
      <c r="AM2595" s="1" t="str">
        <f>VLOOKUP(C:C,[1]基础信息!B$1:E$65536,4,0)</f>
        <v>UNIV</v>
      </c>
      <c r="AN2595" s="1" t="str">
        <f>VLOOKUP(C:C,[1]基础信息!B$1:F$65536,5,0)</f>
        <v>P55</v>
      </c>
    </row>
    <row r="2596" spans="1:40">
      <c r="A2596" s="1" t="s">
        <v>41</v>
      </c>
      <c r="B2596" s="1" t="s">
        <v>42</v>
      </c>
      <c r="C2596" s="1" t="s">
        <v>3971</v>
      </c>
      <c r="D2596" s="1" t="s">
        <v>3972</v>
      </c>
      <c r="E2596" s="1" t="s">
        <v>45</v>
      </c>
      <c r="F2596" s="1" t="s">
        <v>5939</v>
      </c>
      <c r="G2596" s="1" t="s">
        <v>5982</v>
      </c>
      <c r="H2596" s="1" t="s">
        <v>5983</v>
      </c>
      <c r="I2596" s="1" t="s">
        <v>49</v>
      </c>
      <c r="J2596" s="1" t="s">
        <v>48</v>
      </c>
      <c r="K2596" s="1">
        <v>96</v>
      </c>
      <c r="L2596" s="1">
        <v>0</v>
      </c>
      <c r="M2596" s="1">
        <v>0</v>
      </c>
      <c r="N2596" s="1">
        <v>96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 t="s">
        <v>49</v>
      </c>
      <c r="AA2596" s="1" t="s">
        <v>49</v>
      </c>
      <c r="AB2596" s="1" t="s">
        <v>49</v>
      </c>
      <c r="AC2596" s="1" t="s">
        <v>470</v>
      </c>
      <c r="AD2596" s="1" t="s">
        <v>471</v>
      </c>
      <c r="AE2596" s="1" t="s">
        <v>974</v>
      </c>
      <c r="AF2596" s="1" t="s">
        <v>5194</v>
      </c>
      <c r="AG2596" s="1" t="s">
        <v>53</v>
      </c>
      <c r="AH2596" s="1" t="s">
        <v>49</v>
      </c>
      <c r="AI2596" s="1" t="s">
        <v>54</v>
      </c>
      <c r="AJ2596" s="1">
        <v>1</v>
      </c>
      <c r="AK2596" s="1" t="str">
        <f t="shared" si="40"/>
        <v xml:space="preserve"> =&lt;90</v>
      </c>
      <c r="AL2596" s="1" t="str">
        <f>VLOOKUP(C:C,[1]基础信息!B$1:D$65536,3,0)</f>
        <v>Jug</v>
      </c>
      <c r="AM2596" s="1" t="str">
        <f>VLOOKUP(C:C,[1]基础信息!B$1:E$65536,4,0)</f>
        <v>Mxplus</v>
      </c>
      <c r="AN2596" s="1" t="str">
        <f>VLOOKUP(C:C,[1]基础信息!B$1:F$65536,5,0)</f>
        <v xml:space="preserve"> lime</v>
      </c>
    </row>
    <row r="2597" spans="1:40">
      <c r="A2597" s="1" t="s">
        <v>41</v>
      </c>
      <c r="B2597" s="1" t="s">
        <v>42</v>
      </c>
      <c r="C2597" s="1" t="s">
        <v>4352</v>
      </c>
      <c r="D2597" s="1" t="s">
        <v>4353</v>
      </c>
      <c r="E2597" s="1" t="s">
        <v>45</v>
      </c>
      <c r="F2597" s="1" t="s">
        <v>5614</v>
      </c>
      <c r="G2597" s="1" t="s">
        <v>5984</v>
      </c>
      <c r="H2597" s="1" t="s">
        <v>5985</v>
      </c>
      <c r="I2597" s="1" t="s">
        <v>49</v>
      </c>
      <c r="J2597" s="1" t="s">
        <v>48</v>
      </c>
      <c r="K2597" s="1">
        <v>336</v>
      </c>
      <c r="L2597" s="1">
        <v>0</v>
      </c>
      <c r="M2597" s="1">
        <v>0</v>
      </c>
      <c r="N2597" s="1">
        <v>336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 t="s">
        <v>49</v>
      </c>
      <c r="AA2597" s="1" t="s">
        <v>49</v>
      </c>
      <c r="AB2597" s="1" t="s">
        <v>49</v>
      </c>
      <c r="AC2597" s="1" t="s">
        <v>5184</v>
      </c>
      <c r="AD2597" s="1" t="s">
        <v>5185</v>
      </c>
      <c r="AE2597" s="1" t="s">
        <v>5462</v>
      </c>
      <c r="AF2597" s="1" t="s">
        <v>5186</v>
      </c>
      <c r="AG2597" s="1" t="s">
        <v>53</v>
      </c>
      <c r="AH2597" s="1" t="s">
        <v>49</v>
      </c>
      <c r="AI2597" s="1" t="s">
        <v>54</v>
      </c>
      <c r="AJ2597" s="1">
        <v>1</v>
      </c>
      <c r="AK2597" s="1" t="str">
        <f t="shared" si="40"/>
        <v xml:space="preserve"> =&lt;90</v>
      </c>
      <c r="AL2597" s="1" t="e">
        <f>VLOOKUP(C:C,[1]基础信息!B$1:D$65536,3,0)</f>
        <v>#N/A</v>
      </c>
      <c r="AM2597" s="1" t="e">
        <f>VLOOKUP(C:C,[1]基础信息!B$1:E$65536,4,0)</f>
        <v>#N/A</v>
      </c>
      <c r="AN2597" s="1" t="e">
        <f>VLOOKUP(C:C,[1]基础信息!B$1:F$65536,5,0)</f>
        <v>#N/A</v>
      </c>
    </row>
    <row r="2598" spans="1:40">
      <c r="A2598" s="1" t="s">
        <v>41</v>
      </c>
      <c r="B2598" s="1" t="s">
        <v>42</v>
      </c>
      <c r="C2598" s="1" t="s">
        <v>5254</v>
      </c>
      <c r="D2598" s="1" t="s">
        <v>5255</v>
      </c>
      <c r="E2598" s="1" t="s">
        <v>45</v>
      </c>
      <c r="F2598" s="1" t="s">
        <v>5896</v>
      </c>
      <c r="G2598" s="1" t="s">
        <v>5986</v>
      </c>
      <c r="H2598" s="1" t="s">
        <v>5987</v>
      </c>
      <c r="I2598" s="1" t="s">
        <v>49</v>
      </c>
      <c r="J2598" s="1" t="s">
        <v>48</v>
      </c>
      <c r="K2598" s="1">
        <v>2200</v>
      </c>
      <c r="L2598" s="1">
        <v>0</v>
      </c>
      <c r="M2598" s="1">
        <v>0</v>
      </c>
      <c r="N2598" s="1">
        <v>2200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 t="s">
        <v>49</v>
      </c>
      <c r="AA2598" s="1" t="s">
        <v>49</v>
      </c>
      <c r="AB2598" s="1" t="s">
        <v>49</v>
      </c>
      <c r="AC2598" s="1" t="s">
        <v>5899</v>
      </c>
      <c r="AD2598" s="1" t="s">
        <v>5900</v>
      </c>
      <c r="AE2598" s="1" t="s">
        <v>5901</v>
      </c>
      <c r="AF2598" s="1" t="s">
        <v>5902</v>
      </c>
      <c r="AG2598" s="1" t="s">
        <v>53</v>
      </c>
      <c r="AH2598" s="1" t="s">
        <v>49</v>
      </c>
      <c r="AI2598" s="1" t="s">
        <v>54</v>
      </c>
      <c r="AJ2598" s="1">
        <v>1</v>
      </c>
      <c r="AK2598" s="1" t="str">
        <f t="shared" si="40"/>
        <v xml:space="preserve"> =&lt;90</v>
      </c>
      <c r="AL2598" s="1" t="str">
        <f>VLOOKUP(C:C,[1]基础信息!B$1:D$65536,3,0)</f>
        <v xml:space="preserve">Cartridge </v>
      </c>
      <c r="AM2598" s="1" t="str">
        <f>VLOOKUP(C:C,[1]基础信息!B$1:E$65536,4,0)</f>
        <v>UNIV</v>
      </c>
      <c r="AN2598" s="1" t="str">
        <f>VLOOKUP(C:C,[1]基础信息!B$1:F$65536,5,0)</f>
        <v>P55</v>
      </c>
    </row>
    <row r="2599" spans="1:40">
      <c r="A2599" s="1" t="s">
        <v>41</v>
      </c>
      <c r="B2599" s="1" t="s">
        <v>42</v>
      </c>
      <c r="C2599" s="1" t="s">
        <v>3971</v>
      </c>
      <c r="D2599" s="1" t="s">
        <v>3972</v>
      </c>
      <c r="E2599" s="1" t="s">
        <v>45</v>
      </c>
      <c r="F2599" s="1" t="s">
        <v>5939</v>
      </c>
      <c r="G2599" s="1" t="s">
        <v>5988</v>
      </c>
      <c r="H2599" s="1" t="s">
        <v>5989</v>
      </c>
      <c r="I2599" s="1" t="s">
        <v>49</v>
      </c>
      <c r="J2599" s="1" t="s">
        <v>48</v>
      </c>
      <c r="K2599" s="1">
        <v>96</v>
      </c>
      <c r="L2599" s="1">
        <v>0</v>
      </c>
      <c r="M2599" s="1">
        <v>0</v>
      </c>
      <c r="N2599" s="1">
        <v>96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 t="s">
        <v>49</v>
      </c>
      <c r="AA2599" s="1" t="s">
        <v>49</v>
      </c>
      <c r="AB2599" s="1" t="s">
        <v>49</v>
      </c>
      <c r="AC2599" s="1" t="s">
        <v>470</v>
      </c>
      <c r="AD2599" s="1" t="s">
        <v>471</v>
      </c>
      <c r="AE2599" s="1" t="s">
        <v>974</v>
      </c>
      <c r="AF2599" s="1" t="s">
        <v>5194</v>
      </c>
      <c r="AG2599" s="1" t="s">
        <v>53</v>
      </c>
      <c r="AH2599" s="1" t="s">
        <v>49</v>
      </c>
      <c r="AI2599" s="1" t="s">
        <v>54</v>
      </c>
      <c r="AJ2599" s="1">
        <v>1</v>
      </c>
      <c r="AK2599" s="1" t="str">
        <f t="shared" si="40"/>
        <v xml:space="preserve"> =&lt;90</v>
      </c>
      <c r="AL2599" s="1" t="str">
        <f>VLOOKUP(C:C,[1]基础信息!B$1:D$65536,3,0)</f>
        <v>Jug</v>
      </c>
      <c r="AM2599" s="1" t="str">
        <f>VLOOKUP(C:C,[1]基础信息!B$1:E$65536,4,0)</f>
        <v>Mxplus</v>
      </c>
      <c r="AN2599" s="1" t="str">
        <f>VLOOKUP(C:C,[1]基础信息!B$1:F$65536,5,0)</f>
        <v xml:space="preserve"> lime</v>
      </c>
    </row>
    <row r="2600" spans="1:40">
      <c r="A2600" s="1" t="s">
        <v>41</v>
      </c>
      <c r="B2600" s="1" t="s">
        <v>42</v>
      </c>
      <c r="C2600" s="1" t="s">
        <v>3971</v>
      </c>
      <c r="D2600" s="1" t="s">
        <v>3972</v>
      </c>
      <c r="E2600" s="1" t="s">
        <v>45</v>
      </c>
      <c r="F2600" s="1" t="s">
        <v>5606</v>
      </c>
      <c r="G2600" s="1" t="s">
        <v>5990</v>
      </c>
      <c r="H2600" s="1" t="s">
        <v>5991</v>
      </c>
      <c r="I2600" s="1" t="s">
        <v>49</v>
      </c>
      <c r="J2600" s="1" t="s">
        <v>48</v>
      </c>
      <c r="K2600" s="1">
        <v>96</v>
      </c>
      <c r="L2600" s="1">
        <v>0</v>
      </c>
      <c r="M2600" s="1">
        <v>0</v>
      </c>
      <c r="N2600" s="1">
        <v>96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 t="s">
        <v>49</v>
      </c>
      <c r="AA2600" s="1" t="s">
        <v>49</v>
      </c>
      <c r="AB2600" s="1" t="s">
        <v>49</v>
      </c>
      <c r="AC2600" s="1" t="s">
        <v>376</v>
      </c>
      <c r="AD2600" s="1" t="s">
        <v>377</v>
      </c>
      <c r="AE2600" s="1" t="s">
        <v>376</v>
      </c>
      <c r="AF2600" s="1" t="s">
        <v>5609</v>
      </c>
      <c r="AG2600" s="1" t="s">
        <v>53</v>
      </c>
      <c r="AH2600" s="1" t="s">
        <v>49</v>
      </c>
      <c r="AI2600" s="1" t="s">
        <v>54</v>
      </c>
      <c r="AJ2600" s="1">
        <v>1</v>
      </c>
      <c r="AK2600" s="1" t="str">
        <f t="shared" si="40"/>
        <v xml:space="preserve"> =&lt;90</v>
      </c>
      <c r="AL2600" s="1" t="str">
        <f>VLOOKUP(C:C,[1]基础信息!B$1:D$65536,3,0)</f>
        <v>Jug</v>
      </c>
      <c r="AM2600" s="1" t="str">
        <f>VLOOKUP(C:C,[1]基础信息!B$1:E$65536,4,0)</f>
        <v>Mxplus</v>
      </c>
      <c r="AN2600" s="1" t="str">
        <f>VLOOKUP(C:C,[1]基础信息!B$1:F$65536,5,0)</f>
        <v xml:space="preserve"> lime</v>
      </c>
    </row>
    <row r="2601" spans="1:40">
      <c r="A2601" s="1" t="s">
        <v>41</v>
      </c>
      <c r="B2601" s="1" t="s">
        <v>42</v>
      </c>
      <c r="C2601" s="1" t="s">
        <v>3971</v>
      </c>
      <c r="D2601" s="1" t="s">
        <v>3972</v>
      </c>
      <c r="E2601" s="1" t="s">
        <v>45</v>
      </c>
      <c r="F2601" s="1" t="s">
        <v>5939</v>
      </c>
      <c r="G2601" s="1" t="s">
        <v>5992</v>
      </c>
      <c r="H2601" s="1" t="s">
        <v>5993</v>
      </c>
      <c r="I2601" s="1" t="s">
        <v>49</v>
      </c>
      <c r="J2601" s="1" t="s">
        <v>48</v>
      </c>
      <c r="K2601" s="1">
        <v>96</v>
      </c>
      <c r="L2601" s="1">
        <v>0</v>
      </c>
      <c r="M2601" s="1">
        <v>0</v>
      </c>
      <c r="N2601" s="1">
        <v>96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 t="s">
        <v>49</v>
      </c>
      <c r="AA2601" s="1" t="s">
        <v>49</v>
      </c>
      <c r="AB2601" s="1" t="s">
        <v>49</v>
      </c>
      <c r="AC2601" s="1" t="s">
        <v>470</v>
      </c>
      <c r="AD2601" s="1" t="s">
        <v>471</v>
      </c>
      <c r="AE2601" s="1" t="s">
        <v>974</v>
      </c>
      <c r="AF2601" s="1" t="s">
        <v>5194</v>
      </c>
      <c r="AG2601" s="1" t="s">
        <v>53</v>
      </c>
      <c r="AH2601" s="1" t="s">
        <v>49</v>
      </c>
      <c r="AI2601" s="1" t="s">
        <v>54</v>
      </c>
      <c r="AJ2601" s="1">
        <v>1</v>
      </c>
      <c r="AK2601" s="1" t="str">
        <f t="shared" si="40"/>
        <v xml:space="preserve"> =&lt;90</v>
      </c>
      <c r="AL2601" s="1" t="str">
        <f>VLOOKUP(C:C,[1]基础信息!B$1:D$65536,3,0)</f>
        <v>Jug</v>
      </c>
      <c r="AM2601" s="1" t="str">
        <f>VLOOKUP(C:C,[1]基础信息!B$1:E$65536,4,0)</f>
        <v>Mxplus</v>
      </c>
      <c r="AN2601" s="1" t="str">
        <f>VLOOKUP(C:C,[1]基础信息!B$1:F$65536,5,0)</f>
        <v xml:space="preserve"> lime</v>
      </c>
    </row>
    <row r="2602" spans="1:40">
      <c r="A2602" s="1" t="s">
        <v>41</v>
      </c>
      <c r="B2602" s="1" t="s">
        <v>42</v>
      </c>
      <c r="C2602" s="1" t="s">
        <v>5254</v>
      </c>
      <c r="D2602" s="1" t="s">
        <v>5255</v>
      </c>
      <c r="E2602" s="1" t="s">
        <v>45</v>
      </c>
      <c r="F2602" s="1" t="s">
        <v>5896</v>
      </c>
      <c r="G2602" s="1" t="s">
        <v>5994</v>
      </c>
      <c r="H2602" s="1" t="s">
        <v>5995</v>
      </c>
      <c r="I2602" s="1" t="s">
        <v>49</v>
      </c>
      <c r="J2602" s="1" t="s">
        <v>48</v>
      </c>
      <c r="K2602" s="1">
        <v>2200</v>
      </c>
      <c r="L2602" s="1">
        <v>0</v>
      </c>
      <c r="M2602" s="1">
        <v>0</v>
      </c>
      <c r="N2602" s="1">
        <v>2200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 t="s">
        <v>49</v>
      </c>
      <c r="AA2602" s="1" t="s">
        <v>49</v>
      </c>
      <c r="AB2602" s="1" t="s">
        <v>49</v>
      </c>
      <c r="AC2602" s="1" t="s">
        <v>5899</v>
      </c>
      <c r="AD2602" s="1" t="s">
        <v>5900</v>
      </c>
      <c r="AE2602" s="1" t="s">
        <v>5901</v>
      </c>
      <c r="AF2602" s="1" t="s">
        <v>5902</v>
      </c>
      <c r="AG2602" s="1" t="s">
        <v>53</v>
      </c>
      <c r="AH2602" s="1" t="s">
        <v>49</v>
      </c>
      <c r="AI2602" s="1" t="s">
        <v>54</v>
      </c>
      <c r="AJ2602" s="1">
        <v>1</v>
      </c>
      <c r="AK2602" s="1" t="str">
        <f t="shared" si="40"/>
        <v xml:space="preserve"> =&lt;90</v>
      </c>
      <c r="AL2602" s="1" t="str">
        <f>VLOOKUP(C:C,[1]基础信息!B$1:D$65536,3,0)</f>
        <v xml:space="preserve">Cartridge </v>
      </c>
      <c r="AM2602" s="1" t="str">
        <f>VLOOKUP(C:C,[1]基础信息!B$1:E$65536,4,0)</f>
        <v>UNIV</v>
      </c>
      <c r="AN2602" s="1" t="str">
        <f>VLOOKUP(C:C,[1]基础信息!B$1:F$65536,5,0)</f>
        <v>P55</v>
      </c>
    </row>
    <row r="2603" spans="1:40">
      <c r="A2603" s="1" t="s">
        <v>41</v>
      </c>
      <c r="B2603" s="1" t="s">
        <v>42</v>
      </c>
      <c r="C2603" s="1" t="s">
        <v>3971</v>
      </c>
      <c r="D2603" s="1" t="s">
        <v>3972</v>
      </c>
      <c r="E2603" s="1" t="s">
        <v>45</v>
      </c>
      <c r="F2603" s="1" t="s">
        <v>5606</v>
      </c>
      <c r="G2603" s="1" t="s">
        <v>5996</v>
      </c>
      <c r="H2603" s="1" t="s">
        <v>5997</v>
      </c>
      <c r="I2603" s="1" t="s">
        <v>49</v>
      </c>
      <c r="J2603" s="1" t="s">
        <v>48</v>
      </c>
      <c r="K2603" s="1">
        <v>96</v>
      </c>
      <c r="L2603" s="1">
        <v>0</v>
      </c>
      <c r="M2603" s="1">
        <v>0</v>
      </c>
      <c r="N2603" s="1">
        <v>96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 t="s">
        <v>49</v>
      </c>
      <c r="AA2603" s="1" t="s">
        <v>49</v>
      </c>
      <c r="AB2603" s="1" t="s">
        <v>49</v>
      </c>
      <c r="AC2603" s="1" t="s">
        <v>376</v>
      </c>
      <c r="AD2603" s="1" t="s">
        <v>377</v>
      </c>
      <c r="AE2603" s="1" t="s">
        <v>376</v>
      </c>
      <c r="AF2603" s="1" t="s">
        <v>5609</v>
      </c>
      <c r="AG2603" s="1" t="s">
        <v>53</v>
      </c>
      <c r="AH2603" s="1" t="s">
        <v>49</v>
      </c>
      <c r="AI2603" s="1" t="s">
        <v>54</v>
      </c>
      <c r="AJ2603" s="1">
        <v>1</v>
      </c>
      <c r="AK2603" s="1" t="str">
        <f t="shared" si="40"/>
        <v xml:space="preserve"> =&lt;90</v>
      </c>
      <c r="AL2603" s="1" t="str">
        <f>VLOOKUP(C:C,[1]基础信息!B$1:D$65536,3,0)</f>
        <v>Jug</v>
      </c>
      <c r="AM2603" s="1" t="str">
        <f>VLOOKUP(C:C,[1]基础信息!B$1:E$65536,4,0)</f>
        <v>Mxplus</v>
      </c>
      <c r="AN2603" s="1" t="str">
        <f>VLOOKUP(C:C,[1]基础信息!B$1:F$65536,5,0)</f>
        <v xml:space="preserve"> lime</v>
      </c>
    </row>
    <row r="2604" spans="1:40">
      <c r="A2604" s="1" t="s">
        <v>41</v>
      </c>
      <c r="B2604" s="1" t="s">
        <v>42</v>
      </c>
      <c r="C2604" s="1" t="s">
        <v>5254</v>
      </c>
      <c r="D2604" s="1" t="s">
        <v>5255</v>
      </c>
      <c r="E2604" s="1" t="s">
        <v>45</v>
      </c>
      <c r="F2604" s="1" t="s">
        <v>5896</v>
      </c>
      <c r="G2604" s="1" t="s">
        <v>5998</v>
      </c>
      <c r="H2604" s="1" t="s">
        <v>5999</v>
      </c>
      <c r="I2604" s="1" t="s">
        <v>49</v>
      </c>
      <c r="J2604" s="1" t="s">
        <v>48</v>
      </c>
      <c r="K2604" s="1">
        <v>2200</v>
      </c>
      <c r="L2604" s="1">
        <v>0</v>
      </c>
      <c r="M2604" s="1">
        <v>0</v>
      </c>
      <c r="N2604" s="1">
        <v>2200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 t="s">
        <v>49</v>
      </c>
      <c r="AA2604" s="1" t="s">
        <v>49</v>
      </c>
      <c r="AB2604" s="1" t="s">
        <v>49</v>
      </c>
      <c r="AC2604" s="1" t="s">
        <v>5899</v>
      </c>
      <c r="AD2604" s="1" t="s">
        <v>5900</v>
      </c>
      <c r="AE2604" s="1" t="s">
        <v>5901</v>
      </c>
      <c r="AF2604" s="1" t="s">
        <v>5902</v>
      </c>
      <c r="AG2604" s="1" t="s">
        <v>53</v>
      </c>
      <c r="AH2604" s="1" t="s">
        <v>49</v>
      </c>
      <c r="AI2604" s="1" t="s">
        <v>54</v>
      </c>
      <c r="AJ2604" s="1">
        <v>1</v>
      </c>
      <c r="AK2604" s="1" t="str">
        <f t="shared" si="40"/>
        <v xml:space="preserve"> =&lt;90</v>
      </c>
      <c r="AL2604" s="1" t="str">
        <f>VLOOKUP(C:C,[1]基础信息!B$1:D$65536,3,0)</f>
        <v xml:space="preserve">Cartridge </v>
      </c>
      <c r="AM2604" s="1" t="str">
        <f>VLOOKUP(C:C,[1]基础信息!B$1:E$65536,4,0)</f>
        <v>UNIV</v>
      </c>
      <c r="AN2604" s="1" t="str">
        <f>VLOOKUP(C:C,[1]基础信息!B$1:F$65536,5,0)</f>
        <v>P55</v>
      </c>
    </row>
    <row r="2605" spans="1:40">
      <c r="A2605" s="1" t="s">
        <v>41</v>
      </c>
      <c r="B2605" s="1" t="s">
        <v>42</v>
      </c>
      <c r="C2605" s="1" t="s">
        <v>3971</v>
      </c>
      <c r="D2605" s="1" t="s">
        <v>3972</v>
      </c>
      <c r="E2605" s="1" t="s">
        <v>45</v>
      </c>
      <c r="F2605" s="1" t="s">
        <v>5939</v>
      </c>
      <c r="G2605" s="1" t="s">
        <v>6000</v>
      </c>
      <c r="H2605" s="1" t="s">
        <v>6001</v>
      </c>
      <c r="I2605" s="1" t="s">
        <v>49</v>
      </c>
      <c r="J2605" s="1" t="s">
        <v>48</v>
      </c>
      <c r="K2605" s="1">
        <v>96</v>
      </c>
      <c r="L2605" s="1">
        <v>0</v>
      </c>
      <c r="M2605" s="1">
        <v>0</v>
      </c>
      <c r="N2605" s="1">
        <v>96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 t="s">
        <v>49</v>
      </c>
      <c r="AA2605" s="1" t="s">
        <v>49</v>
      </c>
      <c r="AB2605" s="1" t="s">
        <v>49</v>
      </c>
      <c r="AC2605" s="1" t="s">
        <v>470</v>
      </c>
      <c r="AD2605" s="1" t="s">
        <v>471</v>
      </c>
      <c r="AE2605" s="1" t="s">
        <v>974</v>
      </c>
      <c r="AF2605" s="1" t="s">
        <v>5194</v>
      </c>
      <c r="AG2605" s="1" t="s">
        <v>53</v>
      </c>
      <c r="AH2605" s="1" t="s">
        <v>49</v>
      </c>
      <c r="AI2605" s="1" t="s">
        <v>54</v>
      </c>
      <c r="AJ2605" s="1">
        <v>1</v>
      </c>
      <c r="AK2605" s="1" t="str">
        <f t="shared" si="40"/>
        <v xml:space="preserve"> =&lt;90</v>
      </c>
      <c r="AL2605" s="1" t="str">
        <f>VLOOKUP(C:C,[1]基础信息!B$1:D$65536,3,0)</f>
        <v>Jug</v>
      </c>
      <c r="AM2605" s="1" t="str">
        <f>VLOOKUP(C:C,[1]基础信息!B$1:E$65536,4,0)</f>
        <v>Mxplus</v>
      </c>
      <c r="AN2605" s="1" t="str">
        <f>VLOOKUP(C:C,[1]基础信息!B$1:F$65536,5,0)</f>
        <v xml:space="preserve"> lime</v>
      </c>
    </row>
    <row r="2606" spans="1:40">
      <c r="A2606" s="1" t="s">
        <v>41</v>
      </c>
      <c r="B2606" s="1" t="s">
        <v>42</v>
      </c>
      <c r="C2606" s="1" t="s">
        <v>4352</v>
      </c>
      <c r="D2606" s="1" t="s">
        <v>4353</v>
      </c>
      <c r="E2606" s="1" t="s">
        <v>45</v>
      </c>
      <c r="F2606" s="1" t="s">
        <v>5614</v>
      </c>
      <c r="G2606" s="1" t="s">
        <v>6002</v>
      </c>
      <c r="H2606" s="1" t="s">
        <v>6003</v>
      </c>
      <c r="I2606" s="1" t="s">
        <v>49</v>
      </c>
      <c r="J2606" s="1" t="s">
        <v>48</v>
      </c>
      <c r="K2606" s="1">
        <v>336</v>
      </c>
      <c r="L2606" s="1">
        <v>0</v>
      </c>
      <c r="M2606" s="1">
        <v>0</v>
      </c>
      <c r="N2606" s="1">
        <v>336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 t="s">
        <v>49</v>
      </c>
      <c r="AA2606" s="1" t="s">
        <v>49</v>
      </c>
      <c r="AB2606" s="1" t="s">
        <v>49</v>
      </c>
      <c r="AC2606" s="1" t="s">
        <v>5184</v>
      </c>
      <c r="AD2606" s="1" t="s">
        <v>5185</v>
      </c>
      <c r="AE2606" s="1" t="s">
        <v>5462</v>
      </c>
      <c r="AF2606" s="1" t="s">
        <v>5186</v>
      </c>
      <c r="AG2606" s="1" t="s">
        <v>53</v>
      </c>
      <c r="AH2606" s="1" t="s">
        <v>49</v>
      </c>
      <c r="AI2606" s="1" t="s">
        <v>54</v>
      </c>
      <c r="AJ2606" s="1">
        <v>1</v>
      </c>
      <c r="AK2606" s="1" t="str">
        <f t="shared" si="40"/>
        <v xml:space="preserve"> =&lt;90</v>
      </c>
      <c r="AL2606" s="1" t="e">
        <f>VLOOKUP(C:C,[1]基础信息!B$1:D$65536,3,0)</f>
        <v>#N/A</v>
      </c>
      <c r="AM2606" s="1" t="e">
        <f>VLOOKUP(C:C,[1]基础信息!B$1:E$65536,4,0)</f>
        <v>#N/A</v>
      </c>
      <c r="AN2606" s="1" t="e">
        <f>VLOOKUP(C:C,[1]基础信息!B$1:F$65536,5,0)</f>
        <v>#N/A</v>
      </c>
    </row>
    <row r="2607" spans="1:40">
      <c r="A2607" s="1" t="s">
        <v>41</v>
      </c>
      <c r="B2607" s="1" t="s">
        <v>42</v>
      </c>
      <c r="C2607" s="1" t="s">
        <v>3971</v>
      </c>
      <c r="D2607" s="1" t="s">
        <v>3972</v>
      </c>
      <c r="E2607" s="1" t="s">
        <v>45</v>
      </c>
      <c r="F2607" s="1" t="s">
        <v>5939</v>
      </c>
      <c r="G2607" s="1" t="s">
        <v>6004</v>
      </c>
      <c r="H2607" s="1" t="s">
        <v>6005</v>
      </c>
      <c r="I2607" s="1" t="s">
        <v>49</v>
      </c>
      <c r="J2607" s="1" t="s">
        <v>48</v>
      </c>
      <c r="K2607" s="1">
        <v>96</v>
      </c>
      <c r="L2607" s="1">
        <v>0</v>
      </c>
      <c r="M2607" s="1">
        <v>0</v>
      </c>
      <c r="N2607" s="1">
        <v>96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 t="s">
        <v>49</v>
      </c>
      <c r="AA2607" s="1" t="s">
        <v>49</v>
      </c>
      <c r="AB2607" s="1" t="s">
        <v>49</v>
      </c>
      <c r="AC2607" s="1" t="s">
        <v>470</v>
      </c>
      <c r="AD2607" s="1" t="s">
        <v>471</v>
      </c>
      <c r="AE2607" s="1" t="s">
        <v>974</v>
      </c>
      <c r="AF2607" s="1" t="s">
        <v>5194</v>
      </c>
      <c r="AG2607" s="1" t="s">
        <v>53</v>
      </c>
      <c r="AH2607" s="1" t="s">
        <v>49</v>
      </c>
      <c r="AI2607" s="1" t="s">
        <v>54</v>
      </c>
      <c r="AJ2607" s="1">
        <v>1</v>
      </c>
      <c r="AK2607" s="1" t="str">
        <f t="shared" si="40"/>
        <v xml:space="preserve"> =&lt;90</v>
      </c>
      <c r="AL2607" s="1" t="str">
        <f>VLOOKUP(C:C,[1]基础信息!B$1:D$65536,3,0)</f>
        <v>Jug</v>
      </c>
      <c r="AM2607" s="1" t="str">
        <f>VLOOKUP(C:C,[1]基础信息!B$1:E$65536,4,0)</f>
        <v>Mxplus</v>
      </c>
      <c r="AN2607" s="1" t="str">
        <f>VLOOKUP(C:C,[1]基础信息!B$1:F$65536,5,0)</f>
        <v xml:space="preserve"> lime</v>
      </c>
    </row>
    <row r="2608" spans="1:40">
      <c r="A2608" s="1" t="s">
        <v>41</v>
      </c>
      <c r="B2608" s="1" t="s">
        <v>42</v>
      </c>
      <c r="C2608" s="1" t="s">
        <v>4352</v>
      </c>
      <c r="D2608" s="1" t="s">
        <v>4353</v>
      </c>
      <c r="E2608" s="1" t="s">
        <v>45</v>
      </c>
      <c r="F2608" s="1" t="s">
        <v>5614</v>
      </c>
      <c r="G2608" s="1" t="s">
        <v>6006</v>
      </c>
      <c r="H2608" s="1" t="s">
        <v>6007</v>
      </c>
      <c r="I2608" s="1" t="s">
        <v>49</v>
      </c>
      <c r="J2608" s="1" t="s">
        <v>48</v>
      </c>
      <c r="K2608" s="1">
        <v>336</v>
      </c>
      <c r="L2608" s="1">
        <v>0</v>
      </c>
      <c r="M2608" s="1">
        <v>0</v>
      </c>
      <c r="N2608" s="1">
        <v>336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 t="s">
        <v>49</v>
      </c>
      <c r="AA2608" s="1" t="s">
        <v>49</v>
      </c>
      <c r="AB2608" s="1" t="s">
        <v>49</v>
      </c>
      <c r="AC2608" s="1" t="s">
        <v>5184</v>
      </c>
      <c r="AD2608" s="1" t="s">
        <v>5185</v>
      </c>
      <c r="AE2608" s="1" t="s">
        <v>5462</v>
      </c>
      <c r="AF2608" s="1" t="s">
        <v>5186</v>
      </c>
      <c r="AG2608" s="1" t="s">
        <v>53</v>
      </c>
      <c r="AH2608" s="1" t="s">
        <v>49</v>
      </c>
      <c r="AI2608" s="1" t="s">
        <v>54</v>
      </c>
      <c r="AJ2608" s="1">
        <v>1</v>
      </c>
      <c r="AK2608" s="1" t="str">
        <f t="shared" si="40"/>
        <v xml:space="preserve"> =&lt;90</v>
      </c>
      <c r="AL2608" s="1" t="e">
        <f>VLOOKUP(C:C,[1]基础信息!B$1:D$65536,3,0)</f>
        <v>#N/A</v>
      </c>
      <c r="AM2608" s="1" t="e">
        <f>VLOOKUP(C:C,[1]基础信息!B$1:E$65536,4,0)</f>
        <v>#N/A</v>
      </c>
      <c r="AN2608" s="1" t="e">
        <f>VLOOKUP(C:C,[1]基础信息!B$1:F$65536,5,0)</f>
        <v>#N/A</v>
      </c>
    </row>
    <row r="2609" spans="1:40">
      <c r="A2609" s="1" t="s">
        <v>41</v>
      </c>
      <c r="B2609" s="1" t="s">
        <v>42</v>
      </c>
      <c r="C2609" s="1" t="s">
        <v>4352</v>
      </c>
      <c r="D2609" s="1" t="s">
        <v>4353</v>
      </c>
      <c r="E2609" s="1" t="s">
        <v>45</v>
      </c>
      <c r="F2609" s="1" t="s">
        <v>5614</v>
      </c>
      <c r="G2609" s="1" t="s">
        <v>6008</v>
      </c>
      <c r="H2609" s="1" t="s">
        <v>6009</v>
      </c>
      <c r="I2609" s="1" t="s">
        <v>49</v>
      </c>
      <c r="J2609" s="1" t="s">
        <v>48</v>
      </c>
      <c r="K2609" s="1">
        <v>336</v>
      </c>
      <c r="L2609" s="1">
        <v>0</v>
      </c>
      <c r="M2609" s="1">
        <v>0</v>
      </c>
      <c r="N2609" s="1">
        <v>336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 t="s">
        <v>49</v>
      </c>
      <c r="AA2609" s="1" t="s">
        <v>49</v>
      </c>
      <c r="AB2609" s="1" t="s">
        <v>49</v>
      </c>
      <c r="AC2609" s="1" t="s">
        <v>5184</v>
      </c>
      <c r="AD2609" s="1" t="s">
        <v>5185</v>
      </c>
      <c r="AE2609" s="1" t="s">
        <v>5462</v>
      </c>
      <c r="AF2609" s="1" t="s">
        <v>5186</v>
      </c>
      <c r="AG2609" s="1" t="s">
        <v>53</v>
      </c>
      <c r="AH2609" s="1" t="s">
        <v>49</v>
      </c>
      <c r="AI2609" s="1" t="s">
        <v>54</v>
      </c>
      <c r="AJ2609" s="1">
        <v>1</v>
      </c>
      <c r="AK2609" s="1" t="str">
        <f t="shared" si="40"/>
        <v xml:space="preserve"> =&lt;90</v>
      </c>
      <c r="AL2609" s="1" t="e">
        <f>VLOOKUP(C:C,[1]基础信息!B$1:D$65536,3,0)</f>
        <v>#N/A</v>
      </c>
      <c r="AM2609" s="1" t="e">
        <f>VLOOKUP(C:C,[1]基础信息!B$1:E$65536,4,0)</f>
        <v>#N/A</v>
      </c>
      <c r="AN2609" s="1" t="e">
        <f>VLOOKUP(C:C,[1]基础信息!B$1:F$65536,5,0)</f>
        <v>#N/A</v>
      </c>
    </row>
    <row r="2610" spans="1:40">
      <c r="A2610" s="1" t="s">
        <v>41</v>
      </c>
      <c r="B2610" s="1" t="s">
        <v>42</v>
      </c>
      <c r="C2610" s="1" t="s">
        <v>5254</v>
      </c>
      <c r="D2610" s="1" t="s">
        <v>5255</v>
      </c>
      <c r="E2610" s="1" t="s">
        <v>45</v>
      </c>
      <c r="F2610" s="1" t="s">
        <v>5407</v>
      </c>
      <c r="G2610" s="1" t="s">
        <v>6010</v>
      </c>
      <c r="H2610" s="1" t="s">
        <v>6011</v>
      </c>
      <c r="I2610" s="1" t="s">
        <v>49</v>
      </c>
      <c r="J2610" s="1" t="s">
        <v>48</v>
      </c>
      <c r="K2610" s="1">
        <v>2200</v>
      </c>
      <c r="L2610" s="1">
        <v>0</v>
      </c>
      <c r="M2610" s="1">
        <v>0</v>
      </c>
      <c r="N2610" s="1">
        <v>2200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 t="s">
        <v>49</v>
      </c>
      <c r="AA2610" s="1" t="s">
        <v>49</v>
      </c>
      <c r="AB2610" s="1" t="s">
        <v>49</v>
      </c>
      <c r="AC2610" s="1" t="s">
        <v>5410</v>
      </c>
      <c r="AD2610" s="1" t="s">
        <v>5411</v>
      </c>
      <c r="AE2610" s="1" t="s">
        <v>5410</v>
      </c>
      <c r="AF2610" s="1" t="s">
        <v>5412</v>
      </c>
      <c r="AG2610" s="1" t="s">
        <v>53</v>
      </c>
      <c r="AH2610" s="1" t="s">
        <v>49</v>
      </c>
      <c r="AI2610" s="1" t="s">
        <v>54</v>
      </c>
      <c r="AJ2610" s="1">
        <v>1</v>
      </c>
      <c r="AK2610" s="1" t="str">
        <f t="shared" si="40"/>
        <v xml:space="preserve"> =&lt;90</v>
      </c>
      <c r="AL2610" s="1" t="str">
        <f>VLOOKUP(C:C,[1]基础信息!B$1:D$65536,3,0)</f>
        <v xml:space="preserve">Cartridge </v>
      </c>
      <c r="AM2610" s="1" t="str">
        <f>VLOOKUP(C:C,[1]基础信息!B$1:E$65536,4,0)</f>
        <v>UNIV</v>
      </c>
      <c r="AN2610" s="1" t="str">
        <f>VLOOKUP(C:C,[1]基础信息!B$1:F$65536,5,0)</f>
        <v>P55</v>
      </c>
    </row>
    <row r="2611" spans="1:40">
      <c r="A2611" s="1" t="s">
        <v>41</v>
      </c>
      <c r="B2611" s="1" t="s">
        <v>42</v>
      </c>
      <c r="C2611" s="1" t="s">
        <v>3971</v>
      </c>
      <c r="D2611" s="1" t="s">
        <v>3972</v>
      </c>
      <c r="E2611" s="1" t="s">
        <v>45</v>
      </c>
      <c r="F2611" s="1" t="s">
        <v>5939</v>
      </c>
      <c r="G2611" s="1" t="s">
        <v>6012</v>
      </c>
      <c r="H2611" s="1" t="s">
        <v>6013</v>
      </c>
      <c r="I2611" s="1" t="s">
        <v>49</v>
      </c>
      <c r="J2611" s="1" t="s">
        <v>48</v>
      </c>
      <c r="K2611" s="1">
        <v>96</v>
      </c>
      <c r="L2611" s="1">
        <v>0</v>
      </c>
      <c r="M2611" s="1">
        <v>0</v>
      </c>
      <c r="N2611" s="1">
        <v>96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 t="s">
        <v>49</v>
      </c>
      <c r="AA2611" s="1" t="s">
        <v>49</v>
      </c>
      <c r="AB2611" s="1" t="s">
        <v>49</v>
      </c>
      <c r="AC2611" s="1" t="s">
        <v>470</v>
      </c>
      <c r="AD2611" s="1" t="s">
        <v>471</v>
      </c>
      <c r="AE2611" s="1" t="s">
        <v>974</v>
      </c>
      <c r="AF2611" s="1" t="s">
        <v>5194</v>
      </c>
      <c r="AG2611" s="1" t="s">
        <v>53</v>
      </c>
      <c r="AH2611" s="1" t="s">
        <v>49</v>
      </c>
      <c r="AI2611" s="1" t="s">
        <v>54</v>
      </c>
      <c r="AJ2611" s="1">
        <v>1</v>
      </c>
      <c r="AK2611" s="1" t="str">
        <f t="shared" si="40"/>
        <v xml:space="preserve"> =&lt;90</v>
      </c>
      <c r="AL2611" s="1" t="str">
        <f>VLOOKUP(C:C,[1]基础信息!B$1:D$65536,3,0)</f>
        <v>Jug</v>
      </c>
      <c r="AM2611" s="1" t="str">
        <f>VLOOKUP(C:C,[1]基础信息!B$1:E$65536,4,0)</f>
        <v>Mxplus</v>
      </c>
      <c r="AN2611" s="1" t="str">
        <f>VLOOKUP(C:C,[1]基础信息!B$1:F$65536,5,0)</f>
        <v xml:space="preserve"> lime</v>
      </c>
    </row>
    <row r="2612" spans="1:40">
      <c r="A2612" s="1" t="s">
        <v>41</v>
      </c>
      <c r="B2612" s="1" t="s">
        <v>42</v>
      </c>
      <c r="C2612" s="1" t="s">
        <v>4352</v>
      </c>
      <c r="D2612" s="1" t="s">
        <v>4353</v>
      </c>
      <c r="E2612" s="1" t="s">
        <v>45</v>
      </c>
      <c r="F2612" s="1" t="s">
        <v>5614</v>
      </c>
      <c r="G2612" s="1" t="s">
        <v>6014</v>
      </c>
      <c r="H2612" s="1" t="s">
        <v>6015</v>
      </c>
      <c r="I2612" s="1" t="s">
        <v>49</v>
      </c>
      <c r="J2612" s="1" t="s">
        <v>48</v>
      </c>
      <c r="K2612" s="1">
        <v>336</v>
      </c>
      <c r="L2612" s="1">
        <v>0</v>
      </c>
      <c r="M2612" s="1">
        <v>0</v>
      </c>
      <c r="N2612" s="1">
        <v>336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 t="s">
        <v>49</v>
      </c>
      <c r="AA2612" s="1" t="s">
        <v>49</v>
      </c>
      <c r="AB2612" s="1" t="s">
        <v>49</v>
      </c>
      <c r="AC2612" s="1" t="s">
        <v>5184</v>
      </c>
      <c r="AD2612" s="1" t="s">
        <v>5185</v>
      </c>
      <c r="AE2612" s="1" t="s">
        <v>5462</v>
      </c>
      <c r="AF2612" s="1" t="s">
        <v>5186</v>
      </c>
      <c r="AG2612" s="1" t="s">
        <v>53</v>
      </c>
      <c r="AH2612" s="1" t="s">
        <v>49</v>
      </c>
      <c r="AI2612" s="1" t="s">
        <v>54</v>
      </c>
      <c r="AJ2612" s="1">
        <v>1</v>
      </c>
      <c r="AK2612" s="1" t="str">
        <f t="shared" si="40"/>
        <v xml:space="preserve"> =&lt;90</v>
      </c>
      <c r="AL2612" s="1" t="e">
        <f>VLOOKUP(C:C,[1]基础信息!B$1:D$65536,3,0)</f>
        <v>#N/A</v>
      </c>
      <c r="AM2612" s="1" t="e">
        <f>VLOOKUP(C:C,[1]基础信息!B$1:E$65536,4,0)</f>
        <v>#N/A</v>
      </c>
      <c r="AN2612" s="1" t="e">
        <f>VLOOKUP(C:C,[1]基础信息!B$1:F$65536,5,0)</f>
        <v>#N/A</v>
      </c>
    </row>
    <row r="2613" spans="1:40">
      <c r="A2613" s="1" t="s">
        <v>41</v>
      </c>
      <c r="B2613" s="1" t="s">
        <v>42</v>
      </c>
      <c r="C2613" s="1" t="s">
        <v>3971</v>
      </c>
      <c r="D2613" s="1" t="s">
        <v>3972</v>
      </c>
      <c r="E2613" s="1" t="s">
        <v>45</v>
      </c>
      <c r="F2613" s="1" t="s">
        <v>5606</v>
      </c>
      <c r="G2613" s="1" t="s">
        <v>6016</v>
      </c>
      <c r="H2613" s="1" t="s">
        <v>6017</v>
      </c>
      <c r="I2613" s="1" t="s">
        <v>49</v>
      </c>
      <c r="J2613" s="1" t="s">
        <v>48</v>
      </c>
      <c r="K2613" s="1">
        <v>96</v>
      </c>
      <c r="L2613" s="1">
        <v>0</v>
      </c>
      <c r="M2613" s="1">
        <v>0</v>
      </c>
      <c r="N2613" s="1">
        <v>96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 t="s">
        <v>49</v>
      </c>
      <c r="AA2613" s="1" t="s">
        <v>49</v>
      </c>
      <c r="AB2613" s="1" t="s">
        <v>49</v>
      </c>
      <c r="AC2613" s="1" t="s">
        <v>376</v>
      </c>
      <c r="AD2613" s="1" t="s">
        <v>377</v>
      </c>
      <c r="AE2613" s="1" t="s">
        <v>376</v>
      </c>
      <c r="AF2613" s="1" t="s">
        <v>5609</v>
      </c>
      <c r="AG2613" s="1" t="s">
        <v>53</v>
      </c>
      <c r="AH2613" s="1" t="s">
        <v>49</v>
      </c>
      <c r="AI2613" s="1" t="s">
        <v>54</v>
      </c>
      <c r="AJ2613" s="1">
        <v>1</v>
      </c>
      <c r="AK2613" s="1" t="str">
        <f t="shared" si="40"/>
        <v xml:space="preserve"> =&lt;90</v>
      </c>
      <c r="AL2613" s="1" t="str">
        <f>VLOOKUP(C:C,[1]基础信息!B$1:D$65536,3,0)</f>
        <v>Jug</v>
      </c>
      <c r="AM2613" s="1" t="str">
        <f>VLOOKUP(C:C,[1]基础信息!B$1:E$65536,4,0)</f>
        <v>Mxplus</v>
      </c>
      <c r="AN2613" s="1" t="str">
        <f>VLOOKUP(C:C,[1]基础信息!B$1:F$65536,5,0)</f>
        <v xml:space="preserve"> lime</v>
      </c>
    </row>
    <row r="2614" spans="1:40">
      <c r="A2614" s="1" t="s">
        <v>41</v>
      </c>
      <c r="B2614" s="1" t="s">
        <v>42</v>
      </c>
      <c r="C2614" s="1" t="s">
        <v>3971</v>
      </c>
      <c r="D2614" s="1" t="s">
        <v>3972</v>
      </c>
      <c r="E2614" s="1" t="s">
        <v>45</v>
      </c>
      <c r="F2614" s="1" t="s">
        <v>5939</v>
      </c>
      <c r="G2614" s="1" t="s">
        <v>6018</v>
      </c>
      <c r="H2614" s="1" t="s">
        <v>6019</v>
      </c>
      <c r="I2614" s="1" t="s">
        <v>49</v>
      </c>
      <c r="J2614" s="1" t="s">
        <v>48</v>
      </c>
      <c r="K2614" s="1">
        <v>96</v>
      </c>
      <c r="L2614" s="1">
        <v>0</v>
      </c>
      <c r="M2614" s="1">
        <v>0</v>
      </c>
      <c r="N2614" s="1">
        <v>96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 t="s">
        <v>49</v>
      </c>
      <c r="AA2614" s="1" t="s">
        <v>49</v>
      </c>
      <c r="AB2614" s="1" t="s">
        <v>49</v>
      </c>
      <c r="AC2614" s="1" t="s">
        <v>470</v>
      </c>
      <c r="AD2614" s="1" t="s">
        <v>471</v>
      </c>
      <c r="AE2614" s="1" t="s">
        <v>974</v>
      </c>
      <c r="AF2614" s="1" t="s">
        <v>5194</v>
      </c>
      <c r="AG2614" s="1" t="s">
        <v>53</v>
      </c>
      <c r="AH2614" s="1" t="s">
        <v>49</v>
      </c>
      <c r="AI2614" s="1" t="s">
        <v>54</v>
      </c>
      <c r="AJ2614" s="1">
        <v>1</v>
      </c>
      <c r="AK2614" s="1" t="str">
        <f t="shared" si="40"/>
        <v xml:space="preserve"> =&lt;90</v>
      </c>
      <c r="AL2614" s="1" t="str">
        <f>VLOOKUP(C:C,[1]基础信息!B$1:D$65536,3,0)</f>
        <v>Jug</v>
      </c>
      <c r="AM2614" s="1" t="str">
        <f>VLOOKUP(C:C,[1]基础信息!B$1:E$65536,4,0)</f>
        <v>Mxplus</v>
      </c>
      <c r="AN2614" s="1" t="str">
        <f>VLOOKUP(C:C,[1]基础信息!B$1:F$65536,5,0)</f>
        <v xml:space="preserve"> lime</v>
      </c>
    </row>
    <row r="2615" spans="1:40">
      <c r="A2615" s="1" t="s">
        <v>41</v>
      </c>
      <c r="B2615" s="1" t="s">
        <v>42</v>
      </c>
      <c r="C2615" s="1" t="s">
        <v>3999</v>
      </c>
      <c r="D2615" s="1" t="s">
        <v>4000</v>
      </c>
      <c r="E2615" s="1" t="s">
        <v>45</v>
      </c>
      <c r="F2615" s="1" t="s">
        <v>4011</v>
      </c>
      <c r="G2615" s="1" t="s">
        <v>6020</v>
      </c>
      <c r="H2615" s="1" t="s">
        <v>45</v>
      </c>
      <c r="I2615" s="1" t="s">
        <v>45</v>
      </c>
      <c r="J2615" s="1" t="s">
        <v>48</v>
      </c>
      <c r="K2615" s="1">
        <v>72</v>
      </c>
      <c r="L2615" s="1">
        <v>0</v>
      </c>
      <c r="M2615" s="1">
        <v>0</v>
      </c>
      <c r="N2615" s="1">
        <v>72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 t="s">
        <v>49</v>
      </c>
      <c r="AA2615" s="1" t="s">
        <v>49</v>
      </c>
      <c r="AB2615" s="1" t="s">
        <v>49</v>
      </c>
      <c r="AC2615" s="1" t="s">
        <v>2587</v>
      </c>
      <c r="AD2615" s="1" t="s">
        <v>2588</v>
      </c>
      <c r="AE2615" s="1" t="s">
        <v>2587</v>
      </c>
      <c r="AF2615" s="1" t="s">
        <v>4013</v>
      </c>
      <c r="AG2615" s="1" t="s">
        <v>338</v>
      </c>
      <c r="AH2615" s="1" t="s">
        <v>49</v>
      </c>
      <c r="AI2615" s="1" t="s">
        <v>54</v>
      </c>
      <c r="AJ2615" s="1">
        <v>1</v>
      </c>
      <c r="AK2615" s="1" t="str">
        <f t="shared" si="40"/>
        <v xml:space="preserve"> =&lt;90</v>
      </c>
      <c r="AL2615" s="1" t="str">
        <f>VLOOKUP(C:C,[1]基础信息!B$1:D$65536,3,0)</f>
        <v>Jug</v>
      </c>
      <c r="AM2615" s="1" t="str">
        <f>VLOOKUP(C:C,[1]基础信息!B$1:E$65536,4,0)</f>
        <v>Aluna</v>
      </c>
      <c r="AN2615" s="1" t="str">
        <f>VLOOKUP(C:C,[1]基础信息!B$1:F$65536,5,0)</f>
        <v>Blue</v>
      </c>
    </row>
    <row r="2616" spans="1:40">
      <c r="A2616" s="1" t="s">
        <v>41</v>
      </c>
      <c r="B2616" s="1" t="s">
        <v>42</v>
      </c>
      <c r="C2616" s="1" t="s">
        <v>4352</v>
      </c>
      <c r="D2616" s="1" t="s">
        <v>4353</v>
      </c>
      <c r="E2616" s="1" t="s">
        <v>45</v>
      </c>
      <c r="F2616" s="1" t="s">
        <v>5614</v>
      </c>
      <c r="G2616" s="1" t="s">
        <v>6021</v>
      </c>
      <c r="H2616" s="1" t="s">
        <v>6022</v>
      </c>
      <c r="I2616" s="1" t="s">
        <v>49</v>
      </c>
      <c r="J2616" s="1" t="s">
        <v>48</v>
      </c>
      <c r="K2616" s="1">
        <v>336</v>
      </c>
      <c r="L2616" s="1">
        <v>0</v>
      </c>
      <c r="M2616" s="1">
        <v>0</v>
      </c>
      <c r="N2616" s="1">
        <v>336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 t="s">
        <v>49</v>
      </c>
      <c r="AA2616" s="1" t="s">
        <v>49</v>
      </c>
      <c r="AB2616" s="1" t="s">
        <v>49</v>
      </c>
      <c r="AC2616" s="1" t="s">
        <v>5184</v>
      </c>
      <c r="AD2616" s="1" t="s">
        <v>5185</v>
      </c>
      <c r="AE2616" s="1" t="s">
        <v>5462</v>
      </c>
      <c r="AF2616" s="1" t="s">
        <v>5186</v>
      </c>
      <c r="AG2616" s="1" t="s">
        <v>53</v>
      </c>
      <c r="AH2616" s="1" t="s">
        <v>49</v>
      </c>
      <c r="AI2616" s="1" t="s">
        <v>54</v>
      </c>
      <c r="AJ2616" s="1">
        <v>1</v>
      </c>
      <c r="AK2616" s="1" t="str">
        <f t="shared" si="40"/>
        <v xml:space="preserve"> =&lt;90</v>
      </c>
      <c r="AL2616" s="1" t="e">
        <f>VLOOKUP(C:C,[1]基础信息!B$1:D$65536,3,0)</f>
        <v>#N/A</v>
      </c>
      <c r="AM2616" s="1" t="e">
        <f>VLOOKUP(C:C,[1]基础信息!B$1:E$65536,4,0)</f>
        <v>#N/A</v>
      </c>
      <c r="AN2616" s="1" t="e">
        <f>VLOOKUP(C:C,[1]基础信息!B$1:F$65536,5,0)</f>
        <v>#N/A</v>
      </c>
    </row>
    <row r="2617" spans="1:40">
      <c r="A2617" s="1" t="s">
        <v>41</v>
      </c>
      <c r="B2617" s="1" t="s">
        <v>42</v>
      </c>
      <c r="C2617" s="1" t="s">
        <v>3971</v>
      </c>
      <c r="D2617" s="1" t="s">
        <v>3972</v>
      </c>
      <c r="E2617" s="1" t="s">
        <v>45</v>
      </c>
      <c r="F2617" s="1" t="s">
        <v>5606</v>
      </c>
      <c r="G2617" s="1" t="s">
        <v>6023</v>
      </c>
      <c r="H2617" s="1" t="s">
        <v>6024</v>
      </c>
      <c r="I2617" s="1" t="s">
        <v>49</v>
      </c>
      <c r="J2617" s="1" t="s">
        <v>48</v>
      </c>
      <c r="K2617" s="1">
        <v>96</v>
      </c>
      <c r="L2617" s="1">
        <v>0</v>
      </c>
      <c r="M2617" s="1">
        <v>0</v>
      </c>
      <c r="N2617" s="1">
        <v>96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 t="s">
        <v>49</v>
      </c>
      <c r="AA2617" s="1" t="s">
        <v>49</v>
      </c>
      <c r="AB2617" s="1" t="s">
        <v>49</v>
      </c>
      <c r="AC2617" s="1" t="s">
        <v>376</v>
      </c>
      <c r="AD2617" s="1" t="s">
        <v>377</v>
      </c>
      <c r="AE2617" s="1" t="s">
        <v>376</v>
      </c>
      <c r="AF2617" s="1" t="s">
        <v>5609</v>
      </c>
      <c r="AG2617" s="1" t="s">
        <v>53</v>
      </c>
      <c r="AH2617" s="1" t="s">
        <v>49</v>
      </c>
      <c r="AI2617" s="1" t="s">
        <v>54</v>
      </c>
      <c r="AJ2617" s="1">
        <v>1</v>
      </c>
      <c r="AK2617" s="1" t="str">
        <f t="shared" si="40"/>
        <v xml:space="preserve"> =&lt;90</v>
      </c>
      <c r="AL2617" s="1" t="str">
        <f>VLOOKUP(C:C,[1]基础信息!B$1:D$65536,3,0)</f>
        <v>Jug</v>
      </c>
      <c r="AM2617" s="1" t="str">
        <f>VLOOKUP(C:C,[1]基础信息!B$1:E$65536,4,0)</f>
        <v>Mxplus</v>
      </c>
      <c r="AN2617" s="1" t="str">
        <f>VLOOKUP(C:C,[1]基础信息!B$1:F$65536,5,0)</f>
        <v xml:space="preserve"> lime</v>
      </c>
    </row>
    <row r="2618" spans="1:40">
      <c r="A2618" s="1" t="s">
        <v>41</v>
      </c>
      <c r="B2618" s="1" t="s">
        <v>42</v>
      </c>
      <c r="C2618" s="1" t="s">
        <v>5254</v>
      </c>
      <c r="D2618" s="1" t="s">
        <v>5255</v>
      </c>
      <c r="E2618" s="1" t="s">
        <v>45</v>
      </c>
      <c r="F2618" s="1" t="s">
        <v>5933</v>
      </c>
      <c r="G2618" s="1" t="s">
        <v>6025</v>
      </c>
      <c r="H2618" s="1" t="s">
        <v>6026</v>
      </c>
      <c r="I2618" s="1" t="s">
        <v>49</v>
      </c>
      <c r="J2618" s="1" t="s">
        <v>48</v>
      </c>
      <c r="K2618" s="1">
        <v>2200</v>
      </c>
      <c r="L2618" s="1">
        <v>0</v>
      </c>
      <c r="M2618" s="1">
        <v>0</v>
      </c>
      <c r="N2618" s="1">
        <v>2200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 t="s">
        <v>49</v>
      </c>
      <c r="AA2618" s="1" t="s">
        <v>49</v>
      </c>
      <c r="AB2618" s="1" t="s">
        <v>49</v>
      </c>
      <c r="AC2618" s="1" t="s">
        <v>3190</v>
      </c>
      <c r="AD2618" s="1" t="s">
        <v>3254</v>
      </c>
      <c r="AE2618" s="1" t="s">
        <v>3255</v>
      </c>
      <c r="AF2618" s="1" t="s">
        <v>5936</v>
      </c>
      <c r="AG2618" s="1" t="s">
        <v>53</v>
      </c>
      <c r="AH2618" s="1" t="s">
        <v>49</v>
      </c>
      <c r="AI2618" s="1" t="s">
        <v>54</v>
      </c>
      <c r="AJ2618" s="1">
        <v>1</v>
      </c>
      <c r="AK2618" s="1" t="str">
        <f t="shared" si="40"/>
        <v xml:space="preserve"> =&lt;90</v>
      </c>
      <c r="AL2618" s="1" t="str">
        <f>VLOOKUP(C:C,[1]基础信息!B$1:D$65536,3,0)</f>
        <v xml:space="preserve">Cartridge </v>
      </c>
      <c r="AM2618" s="1" t="str">
        <f>VLOOKUP(C:C,[1]基础信息!B$1:E$65536,4,0)</f>
        <v>UNIV</v>
      </c>
      <c r="AN2618" s="1" t="str">
        <f>VLOOKUP(C:C,[1]基础信息!B$1:F$65536,5,0)</f>
        <v>P55</v>
      </c>
    </row>
    <row r="2619" spans="1:40">
      <c r="A2619" s="1" t="s">
        <v>41</v>
      </c>
      <c r="B2619" s="1" t="s">
        <v>42</v>
      </c>
      <c r="C2619" s="1" t="s">
        <v>3971</v>
      </c>
      <c r="D2619" s="1" t="s">
        <v>3972</v>
      </c>
      <c r="E2619" s="1" t="s">
        <v>45</v>
      </c>
      <c r="F2619" s="1" t="s">
        <v>5939</v>
      </c>
      <c r="G2619" s="1" t="s">
        <v>6027</v>
      </c>
      <c r="H2619" s="1" t="s">
        <v>6028</v>
      </c>
      <c r="I2619" s="1" t="s">
        <v>49</v>
      </c>
      <c r="J2619" s="1" t="s">
        <v>48</v>
      </c>
      <c r="K2619" s="1">
        <v>96</v>
      </c>
      <c r="L2619" s="1">
        <v>0</v>
      </c>
      <c r="M2619" s="1">
        <v>0</v>
      </c>
      <c r="N2619" s="1">
        <v>96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 t="s">
        <v>49</v>
      </c>
      <c r="AA2619" s="1" t="s">
        <v>49</v>
      </c>
      <c r="AB2619" s="1" t="s">
        <v>49</v>
      </c>
      <c r="AC2619" s="1" t="s">
        <v>470</v>
      </c>
      <c r="AD2619" s="1" t="s">
        <v>471</v>
      </c>
      <c r="AE2619" s="1" t="s">
        <v>974</v>
      </c>
      <c r="AF2619" s="1" t="s">
        <v>5194</v>
      </c>
      <c r="AG2619" s="1" t="s">
        <v>53</v>
      </c>
      <c r="AH2619" s="1" t="s">
        <v>49</v>
      </c>
      <c r="AI2619" s="1" t="s">
        <v>54</v>
      </c>
      <c r="AJ2619" s="1">
        <v>1</v>
      </c>
      <c r="AK2619" s="1" t="str">
        <f t="shared" si="40"/>
        <v xml:space="preserve"> =&lt;90</v>
      </c>
      <c r="AL2619" s="1" t="str">
        <f>VLOOKUP(C:C,[1]基础信息!B$1:D$65536,3,0)</f>
        <v>Jug</v>
      </c>
      <c r="AM2619" s="1" t="str">
        <f>VLOOKUP(C:C,[1]基础信息!B$1:E$65536,4,0)</f>
        <v>Mxplus</v>
      </c>
      <c r="AN2619" s="1" t="str">
        <f>VLOOKUP(C:C,[1]基础信息!B$1:F$65536,5,0)</f>
        <v xml:space="preserve"> lime</v>
      </c>
    </row>
    <row r="2620" spans="1:40">
      <c r="A2620" s="1" t="s">
        <v>41</v>
      </c>
      <c r="B2620" s="1" t="s">
        <v>42</v>
      </c>
      <c r="C2620" s="1" t="s">
        <v>3971</v>
      </c>
      <c r="D2620" s="1" t="s">
        <v>3972</v>
      </c>
      <c r="E2620" s="1" t="s">
        <v>45</v>
      </c>
      <c r="F2620" s="1" t="s">
        <v>5939</v>
      </c>
      <c r="G2620" s="1" t="s">
        <v>6029</v>
      </c>
      <c r="H2620" s="1" t="s">
        <v>6030</v>
      </c>
      <c r="I2620" s="1" t="s">
        <v>49</v>
      </c>
      <c r="J2620" s="1" t="s">
        <v>48</v>
      </c>
      <c r="K2620" s="1">
        <v>96</v>
      </c>
      <c r="L2620" s="1">
        <v>0</v>
      </c>
      <c r="M2620" s="1">
        <v>0</v>
      </c>
      <c r="N2620" s="1">
        <v>96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 t="s">
        <v>49</v>
      </c>
      <c r="AA2620" s="1" t="s">
        <v>49</v>
      </c>
      <c r="AB2620" s="1" t="s">
        <v>49</v>
      </c>
      <c r="AC2620" s="1" t="s">
        <v>470</v>
      </c>
      <c r="AD2620" s="1" t="s">
        <v>471</v>
      </c>
      <c r="AE2620" s="1" t="s">
        <v>974</v>
      </c>
      <c r="AF2620" s="1" t="s">
        <v>5194</v>
      </c>
      <c r="AG2620" s="1" t="s">
        <v>53</v>
      </c>
      <c r="AH2620" s="1" t="s">
        <v>49</v>
      </c>
      <c r="AI2620" s="1" t="s">
        <v>54</v>
      </c>
      <c r="AJ2620" s="1">
        <v>1</v>
      </c>
      <c r="AK2620" s="1" t="str">
        <f t="shared" si="40"/>
        <v xml:space="preserve"> =&lt;90</v>
      </c>
      <c r="AL2620" s="1" t="str">
        <f>VLOOKUP(C:C,[1]基础信息!B$1:D$65536,3,0)</f>
        <v>Jug</v>
      </c>
      <c r="AM2620" s="1" t="str">
        <f>VLOOKUP(C:C,[1]基础信息!B$1:E$65536,4,0)</f>
        <v>Mxplus</v>
      </c>
      <c r="AN2620" s="1" t="str">
        <f>VLOOKUP(C:C,[1]基础信息!B$1:F$65536,5,0)</f>
        <v xml:space="preserve"> lime</v>
      </c>
    </row>
    <row r="2621" spans="1:40">
      <c r="A2621" s="1" t="s">
        <v>41</v>
      </c>
      <c r="B2621" s="1" t="s">
        <v>42</v>
      </c>
      <c r="C2621" s="1" t="s">
        <v>4352</v>
      </c>
      <c r="D2621" s="1" t="s">
        <v>4353</v>
      </c>
      <c r="E2621" s="1" t="s">
        <v>45</v>
      </c>
      <c r="F2621" s="1" t="s">
        <v>5796</v>
      </c>
      <c r="G2621" s="1" t="s">
        <v>6031</v>
      </c>
      <c r="H2621" s="1" t="s">
        <v>6032</v>
      </c>
      <c r="I2621" s="1" t="s">
        <v>49</v>
      </c>
      <c r="J2621" s="1" t="s">
        <v>48</v>
      </c>
      <c r="K2621" s="1">
        <v>336</v>
      </c>
      <c r="L2621" s="1">
        <v>0</v>
      </c>
      <c r="M2621" s="1">
        <v>0</v>
      </c>
      <c r="N2621" s="1">
        <v>336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 t="s">
        <v>49</v>
      </c>
      <c r="AA2621" s="1" t="s">
        <v>49</v>
      </c>
      <c r="AB2621" s="1" t="s">
        <v>49</v>
      </c>
      <c r="AC2621" s="1" t="s">
        <v>206</v>
      </c>
      <c r="AD2621" s="1" t="s">
        <v>5795</v>
      </c>
      <c r="AE2621" s="1" t="s">
        <v>206</v>
      </c>
      <c r="AF2621" s="1" t="s">
        <v>5799</v>
      </c>
      <c r="AG2621" s="1" t="s">
        <v>53</v>
      </c>
      <c r="AH2621" s="1" t="s">
        <v>49</v>
      </c>
      <c r="AI2621" s="1" t="s">
        <v>54</v>
      </c>
      <c r="AJ2621" s="1">
        <v>1</v>
      </c>
      <c r="AK2621" s="1" t="str">
        <f t="shared" si="40"/>
        <v xml:space="preserve"> =&lt;90</v>
      </c>
      <c r="AL2621" s="1" t="e">
        <f>VLOOKUP(C:C,[1]基础信息!B$1:D$65536,3,0)</f>
        <v>#N/A</v>
      </c>
      <c r="AM2621" s="1" t="e">
        <f>VLOOKUP(C:C,[1]基础信息!B$1:E$65536,4,0)</f>
        <v>#N/A</v>
      </c>
      <c r="AN2621" s="1" t="e">
        <f>VLOOKUP(C:C,[1]基础信息!B$1:F$65536,5,0)</f>
        <v>#N/A</v>
      </c>
    </row>
    <row r="2622" spans="1:40">
      <c r="A2622" s="1" t="s">
        <v>41</v>
      </c>
      <c r="B2622" s="1" t="s">
        <v>42</v>
      </c>
      <c r="C2622" s="1" t="s">
        <v>3971</v>
      </c>
      <c r="D2622" s="1" t="s">
        <v>3972</v>
      </c>
      <c r="E2622" s="1" t="s">
        <v>45</v>
      </c>
      <c r="F2622" s="1" t="s">
        <v>5606</v>
      </c>
      <c r="G2622" s="1" t="s">
        <v>6033</v>
      </c>
      <c r="H2622" s="1" t="s">
        <v>6034</v>
      </c>
      <c r="I2622" s="1" t="s">
        <v>49</v>
      </c>
      <c r="J2622" s="1" t="s">
        <v>48</v>
      </c>
      <c r="K2622" s="1">
        <v>96</v>
      </c>
      <c r="L2622" s="1">
        <v>0</v>
      </c>
      <c r="M2622" s="1">
        <v>0</v>
      </c>
      <c r="N2622" s="1">
        <v>96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 t="s">
        <v>49</v>
      </c>
      <c r="AA2622" s="1" t="s">
        <v>49</v>
      </c>
      <c r="AB2622" s="1" t="s">
        <v>49</v>
      </c>
      <c r="AC2622" s="1" t="s">
        <v>376</v>
      </c>
      <c r="AD2622" s="1" t="s">
        <v>377</v>
      </c>
      <c r="AE2622" s="1" t="s">
        <v>376</v>
      </c>
      <c r="AF2622" s="1" t="s">
        <v>5609</v>
      </c>
      <c r="AG2622" s="1" t="s">
        <v>53</v>
      </c>
      <c r="AH2622" s="1" t="s">
        <v>49</v>
      </c>
      <c r="AI2622" s="1" t="s">
        <v>54</v>
      </c>
      <c r="AJ2622" s="1">
        <v>1</v>
      </c>
      <c r="AK2622" s="1" t="str">
        <f t="shared" si="40"/>
        <v xml:space="preserve"> =&lt;90</v>
      </c>
      <c r="AL2622" s="1" t="str">
        <f>VLOOKUP(C:C,[1]基础信息!B$1:D$65536,3,0)</f>
        <v>Jug</v>
      </c>
      <c r="AM2622" s="1" t="str">
        <f>VLOOKUP(C:C,[1]基础信息!B$1:E$65536,4,0)</f>
        <v>Mxplus</v>
      </c>
      <c r="AN2622" s="1" t="str">
        <f>VLOOKUP(C:C,[1]基础信息!B$1:F$65536,5,0)</f>
        <v xml:space="preserve"> lime</v>
      </c>
    </row>
    <row r="2623" spans="1:40">
      <c r="A2623" s="1" t="s">
        <v>41</v>
      </c>
      <c r="B2623" s="1" t="s">
        <v>42</v>
      </c>
      <c r="C2623" s="1" t="s">
        <v>3971</v>
      </c>
      <c r="D2623" s="1" t="s">
        <v>3972</v>
      </c>
      <c r="E2623" s="1" t="s">
        <v>45</v>
      </c>
      <c r="F2623" s="1" t="s">
        <v>5606</v>
      </c>
      <c r="G2623" s="1" t="s">
        <v>6035</v>
      </c>
      <c r="H2623" s="1" t="s">
        <v>6036</v>
      </c>
      <c r="I2623" s="1" t="s">
        <v>49</v>
      </c>
      <c r="J2623" s="1" t="s">
        <v>48</v>
      </c>
      <c r="K2623" s="1">
        <v>96</v>
      </c>
      <c r="L2623" s="1">
        <v>0</v>
      </c>
      <c r="M2623" s="1">
        <v>0</v>
      </c>
      <c r="N2623" s="1">
        <v>96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 t="s">
        <v>49</v>
      </c>
      <c r="AA2623" s="1" t="s">
        <v>49</v>
      </c>
      <c r="AB2623" s="1" t="s">
        <v>49</v>
      </c>
      <c r="AC2623" s="1" t="s">
        <v>376</v>
      </c>
      <c r="AD2623" s="1" t="s">
        <v>377</v>
      </c>
      <c r="AE2623" s="1" t="s">
        <v>376</v>
      </c>
      <c r="AF2623" s="1" t="s">
        <v>5609</v>
      </c>
      <c r="AG2623" s="1" t="s">
        <v>53</v>
      </c>
      <c r="AH2623" s="1" t="s">
        <v>49</v>
      </c>
      <c r="AI2623" s="1" t="s">
        <v>54</v>
      </c>
      <c r="AJ2623" s="1">
        <v>1</v>
      </c>
      <c r="AK2623" s="1" t="str">
        <f t="shared" si="40"/>
        <v xml:space="preserve"> =&lt;90</v>
      </c>
      <c r="AL2623" s="1" t="str">
        <f>VLOOKUP(C:C,[1]基础信息!B$1:D$65536,3,0)</f>
        <v>Jug</v>
      </c>
      <c r="AM2623" s="1" t="str">
        <f>VLOOKUP(C:C,[1]基础信息!B$1:E$65536,4,0)</f>
        <v>Mxplus</v>
      </c>
      <c r="AN2623" s="1" t="str">
        <f>VLOOKUP(C:C,[1]基础信息!B$1:F$65536,5,0)</f>
        <v xml:space="preserve"> lime</v>
      </c>
    </row>
    <row r="2624" spans="1:40">
      <c r="A2624" s="1" t="s">
        <v>41</v>
      </c>
      <c r="B2624" s="1" t="s">
        <v>42</v>
      </c>
      <c r="C2624" s="1" t="s">
        <v>3971</v>
      </c>
      <c r="D2624" s="1" t="s">
        <v>3972</v>
      </c>
      <c r="E2624" s="1" t="s">
        <v>45</v>
      </c>
      <c r="F2624" s="1" t="s">
        <v>5606</v>
      </c>
      <c r="G2624" s="1" t="s">
        <v>6037</v>
      </c>
      <c r="H2624" s="1" t="s">
        <v>6038</v>
      </c>
      <c r="I2624" s="1" t="s">
        <v>49</v>
      </c>
      <c r="J2624" s="1" t="s">
        <v>48</v>
      </c>
      <c r="K2624" s="1">
        <v>96</v>
      </c>
      <c r="L2624" s="1">
        <v>0</v>
      </c>
      <c r="M2624" s="1">
        <v>0</v>
      </c>
      <c r="N2624" s="1">
        <v>96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 t="s">
        <v>49</v>
      </c>
      <c r="AA2624" s="1" t="s">
        <v>49</v>
      </c>
      <c r="AB2624" s="1" t="s">
        <v>49</v>
      </c>
      <c r="AC2624" s="1" t="s">
        <v>376</v>
      </c>
      <c r="AD2624" s="1" t="s">
        <v>377</v>
      </c>
      <c r="AE2624" s="1" t="s">
        <v>376</v>
      </c>
      <c r="AF2624" s="1" t="s">
        <v>5609</v>
      </c>
      <c r="AG2624" s="1" t="s">
        <v>53</v>
      </c>
      <c r="AH2624" s="1" t="s">
        <v>49</v>
      </c>
      <c r="AI2624" s="1" t="s">
        <v>54</v>
      </c>
      <c r="AJ2624" s="1">
        <v>1</v>
      </c>
      <c r="AK2624" s="1" t="str">
        <f t="shared" si="40"/>
        <v xml:space="preserve"> =&lt;90</v>
      </c>
      <c r="AL2624" s="1" t="str">
        <f>VLOOKUP(C:C,[1]基础信息!B$1:D$65536,3,0)</f>
        <v>Jug</v>
      </c>
      <c r="AM2624" s="1" t="str">
        <f>VLOOKUP(C:C,[1]基础信息!B$1:E$65536,4,0)</f>
        <v>Mxplus</v>
      </c>
      <c r="AN2624" s="1" t="str">
        <f>VLOOKUP(C:C,[1]基础信息!B$1:F$65536,5,0)</f>
        <v xml:space="preserve"> lime</v>
      </c>
    </row>
    <row r="2625" spans="1:40">
      <c r="A2625" s="1" t="s">
        <v>41</v>
      </c>
      <c r="B2625" s="1" t="s">
        <v>42</v>
      </c>
      <c r="C2625" s="1" t="s">
        <v>813</v>
      </c>
      <c r="D2625" s="1" t="s">
        <v>814</v>
      </c>
      <c r="E2625" s="1" t="s">
        <v>45</v>
      </c>
      <c r="F2625" s="1" t="s">
        <v>6039</v>
      </c>
      <c r="G2625" s="1" t="s">
        <v>6040</v>
      </c>
      <c r="H2625" s="1" t="s">
        <v>45</v>
      </c>
      <c r="I2625" s="1" t="s">
        <v>45</v>
      </c>
      <c r="J2625" s="1" t="s">
        <v>48</v>
      </c>
      <c r="K2625" s="1">
        <v>25</v>
      </c>
      <c r="L2625" s="1">
        <v>0</v>
      </c>
      <c r="M2625" s="1">
        <v>0</v>
      </c>
      <c r="N2625" s="1">
        <v>25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 t="s">
        <v>49</v>
      </c>
      <c r="AA2625" s="1" t="s">
        <v>49</v>
      </c>
      <c r="AB2625" s="1" t="s">
        <v>49</v>
      </c>
      <c r="AC2625" s="1" t="s">
        <v>6041</v>
      </c>
      <c r="AD2625" s="1" t="s">
        <v>6042</v>
      </c>
      <c r="AE2625" s="1" t="s">
        <v>6041</v>
      </c>
      <c r="AF2625" s="1" t="s">
        <v>6043</v>
      </c>
      <c r="AG2625" s="1" t="s">
        <v>53</v>
      </c>
      <c r="AH2625" s="1" t="s">
        <v>49</v>
      </c>
      <c r="AI2625" s="1" t="s">
        <v>54</v>
      </c>
      <c r="AJ2625" s="1">
        <v>1</v>
      </c>
      <c r="AK2625" s="1" t="str">
        <f t="shared" si="40"/>
        <v xml:space="preserve"> =&lt;90</v>
      </c>
      <c r="AL2625" s="1" t="str">
        <f>VLOOKUP(C:C,[1]基础信息!B$1:D$65536,3,0)</f>
        <v>Jug</v>
      </c>
      <c r="AM2625" s="1" t="str">
        <f>VLOOKUP(C:C,[1]基础信息!B$1:E$65536,4,0)</f>
        <v>Mxplus</v>
      </c>
      <c r="AN2625" s="1" t="str">
        <f>VLOOKUP(C:C,[1]基础信息!B$1:F$65536,5,0)</f>
        <v>Blue</v>
      </c>
    </row>
    <row r="2626" spans="1:40">
      <c r="A2626" s="1" t="s">
        <v>41</v>
      </c>
      <c r="B2626" s="1" t="s">
        <v>42</v>
      </c>
      <c r="C2626" s="1" t="s">
        <v>3971</v>
      </c>
      <c r="D2626" s="1" t="s">
        <v>3972</v>
      </c>
      <c r="E2626" s="1" t="s">
        <v>45</v>
      </c>
      <c r="F2626" s="1" t="s">
        <v>5701</v>
      </c>
      <c r="G2626" s="1" t="s">
        <v>6044</v>
      </c>
      <c r="H2626" s="1" t="s">
        <v>6045</v>
      </c>
      <c r="I2626" s="1" t="s">
        <v>49</v>
      </c>
      <c r="J2626" s="1" t="s">
        <v>48</v>
      </c>
      <c r="K2626" s="1">
        <v>96</v>
      </c>
      <c r="L2626" s="1">
        <v>0</v>
      </c>
      <c r="M2626" s="1">
        <v>0</v>
      </c>
      <c r="N2626" s="1">
        <v>96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 t="s">
        <v>49</v>
      </c>
      <c r="AA2626" s="1" t="s">
        <v>49</v>
      </c>
      <c r="AB2626" s="1" t="s">
        <v>49</v>
      </c>
      <c r="AC2626" s="1" t="s">
        <v>88</v>
      </c>
      <c r="AD2626" s="1" t="s">
        <v>89</v>
      </c>
      <c r="AE2626" s="1" t="s">
        <v>88</v>
      </c>
      <c r="AF2626" s="1" t="s">
        <v>5704</v>
      </c>
      <c r="AG2626" s="1" t="s">
        <v>53</v>
      </c>
      <c r="AH2626" s="1" t="s">
        <v>49</v>
      </c>
      <c r="AI2626" s="1" t="s">
        <v>54</v>
      </c>
      <c r="AJ2626" s="1">
        <v>1</v>
      </c>
      <c r="AK2626" s="1" t="str">
        <f t="shared" ref="AK2626:AK2689" si="41">IF(AJ2626&gt;$AP$2,$AQ$2,IF(AJ2626&gt;$AP$3,$AQ$3,IF(AJ2626&gt;$AP$4,$AQ$4,$AQ$5)))</f>
        <v xml:space="preserve"> =&lt;90</v>
      </c>
      <c r="AL2626" s="1" t="str">
        <f>VLOOKUP(C:C,[1]基础信息!B$1:D$65536,3,0)</f>
        <v>Jug</v>
      </c>
      <c r="AM2626" s="1" t="str">
        <f>VLOOKUP(C:C,[1]基础信息!B$1:E$65536,4,0)</f>
        <v>Mxplus</v>
      </c>
      <c r="AN2626" s="1" t="str">
        <f>VLOOKUP(C:C,[1]基础信息!B$1:F$65536,5,0)</f>
        <v xml:space="preserve"> lime</v>
      </c>
    </row>
    <row r="2627" spans="1:40">
      <c r="A2627" s="1" t="s">
        <v>41</v>
      </c>
      <c r="B2627" s="1" t="s">
        <v>42</v>
      </c>
      <c r="C2627" s="1" t="s">
        <v>3971</v>
      </c>
      <c r="D2627" s="1" t="s">
        <v>3972</v>
      </c>
      <c r="E2627" s="1" t="s">
        <v>45</v>
      </c>
      <c r="F2627" s="1" t="s">
        <v>5606</v>
      </c>
      <c r="G2627" s="1" t="s">
        <v>6046</v>
      </c>
      <c r="H2627" s="1" t="s">
        <v>6047</v>
      </c>
      <c r="I2627" s="1" t="s">
        <v>49</v>
      </c>
      <c r="J2627" s="1" t="s">
        <v>48</v>
      </c>
      <c r="K2627" s="1">
        <v>48</v>
      </c>
      <c r="L2627" s="1">
        <v>0</v>
      </c>
      <c r="M2627" s="1">
        <v>0</v>
      </c>
      <c r="N2627" s="1">
        <v>48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 t="s">
        <v>49</v>
      </c>
      <c r="AA2627" s="1" t="s">
        <v>49</v>
      </c>
      <c r="AB2627" s="1" t="s">
        <v>49</v>
      </c>
      <c r="AC2627" s="1" t="s">
        <v>376</v>
      </c>
      <c r="AD2627" s="1" t="s">
        <v>377</v>
      </c>
      <c r="AE2627" s="1" t="s">
        <v>376</v>
      </c>
      <c r="AF2627" s="1" t="s">
        <v>5609</v>
      </c>
      <c r="AG2627" s="1" t="s">
        <v>53</v>
      </c>
      <c r="AH2627" s="1" t="s">
        <v>49</v>
      </c>
      <c r="AI2627" s="1" t="s">
        <v>54</v>
      </c>
      <c r="AJ2627" s="1">
        <v>1</v>
      </c>
      <c r="AK2627" s="1" t="str">
        <f t="shared" si="41"/>
        <v xml:space="preserve"> =&lt;90</v>
      </c>
      <c r="AL2627" s="1" t="str">
        <f>VLOOKUP(C:C,[1]基础信息!B$1:D$65536,3,0)</f>
        <v>Jug</v>
      </c>
      <c r="AM2627" s="1" t="str">
        <f>VLOOKUP(C:C,[1]基础信息!B$1:E$65536,4,0)</f>
        <v>Mxplus</v>
      </c>
      <c r="AN2627" s="1" t="str">
        <f>VLOOKUP(C:C,[1]基础信息!B$1:F$65536,5,0)</f>
        <v xml:space="preserve"> lime</v>
      </c>
    </row>
    <row r="2628" spans="1:40">
      <c r="A2628" s="1" t="s">
        <v>41</v>
      </c>
      <c r="B2628" s="1" t="s">
        <v>42</v>
      </c>
      <c r="C2628" s="1" t="s">
        <v>3512</v>
      </c>
      <c r="D2628" s="1" t="s">
        <v>3513</v>
      </c>
      <c r="E2628" s="1" t="s">
        <v>45</v>
      </c>
      <c r="F2628" s="1" t="s">
        <v>6048</v>
      </c>
      <c r="G2628" s="1" t="s">
        <v>6049</v>
      </c>
      <c r="H2628" s="1" t="s">
        <v>6050</v>
      </c>
      <c r="I2628" s="1" t="s">
        <v>49</v>
      </c>
      <c r="J2628" s="1" t="s">
        <v>48</v>
      </c>
      <c r="K2628" s="1">
        <v>840</v>
      </c>
      <c r="L2628" s="1">
        <v>0</v>
      </c>
      <c r="M2628" s="1">
        <v>0</v>
      </c>
      <c r="N2628" s="1">
        <v>840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 t="s">
        <v>49</v>
      </c>
      <c r="AA2628" s="1" t="s">
        <v>49</v>
      </c>
      <c r="AB2628" s="1" t="s">
        <v>49</v>
      </c>
      <c r="AC2628" s="1" t="s">
        <v>376</v>
      </c>
      <c r="AD2628" s="1" t="s">
        <v>377</v>
      </c>
      <c r="AE2628" s="1" t="s">
        <v>2898</v>
      </c>
      <c r="AF2628" s="1" t="s">
        <v>5908</v>
      </c>
      <c r="AG2628" s="1" t="s">
        <v>53</v>
      </c>
      <c r="AH2628" s="1" t="s">
        <v>49</v>
      </c>
      <c r="AI2628" s="1" t="s">
        <v>54</v>
      </c>
      <c r="AJ2628" s="1">
        <v>1</v>
      </c>
      <c r="AK2628" s="1" t="str">
        <f t="shared" si="41"/>
        <v xml:space="preserve"> =&lt;90</v>
      </c>
      <c r="AL2628" s="1" t="str">
        <f>VLOOKUP(C:C,[1]基础信息!B$1:D$65536,3,0)</f>
        <v xml:space="preserve">Cartridge </v>
      </c>
      <c r="AM2628" s="1" t="str">
        <f>VLOOKUP(C:C,[1]基础信息!B$1:E$65536,4,0)</f>
        <v>UNIV</v>
      </c>
      <c r="AN2628" s="1" t="str">
        <f>VLOOKUP(C:C,[1]基础信息!B$1:F$65536,5,0)</f>
        <v>P3</v>
      </c>
    </row>
    <row r="2629" spans="1:40">
      <c r="A2629" s="1" t="s">
        <v>41</v>
      </c>
      <c r="B2629" s="1" t="s">
        <v>42</v>
      </c>
      <c r="C2629" s="1" t="s">
        <v>3512</v>
      </c>
      <c r="D2629" s="1" t="s">
        <v>3513</v>
      </c>
      <c r="E2629" s="1" t="s">
        <v>45</v>
      </c>
      <c r="F2629" s="1" t="s">
        <v>6048</v>
      </c>
      <c r="G2629" s="1" t="s">
        <v>6051</v>
      </c>
      <c r="H2629" s="1" t="s">
        <v>6052</v>
      </c>
      <c r="I2629" s="1" t="s">
        <v>49</v>
      </c>
      <c r="J2629" s="1" t="s">
        <v>48</v>
      </c>
      <c r="K2629" s="1">
        <v>840</v>
      </c>
      <c r="L2629" s="1">
        <v>0</v>
      </c>
      <c r="M2629" s="1">
        <v>0</v>
      </c>
      <c r="N2629" s="1">
        <v>840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 t="s">
        <v>49</v>
      </c>
      <c r="AA2629" s="1" t="s">
        <v>49</v>
      </c>
      <c r="AB2629" s="1" t="s">
        <v>49</v>
      </c>
      <c r="AC2629" s="1" t="s">
        <v>376</v>
      </c>
      <c r="AD2629" s="1" t="s">
        <v>377</v>
      </c>
      <c r="AE2629" s="1" t="s">
        <v>2898</v>
      </c>
      <c r="AF2629" s="1" t="s">
        <v>5908</v>
      </c>
      <c r="AG2629" s="1" t="s">
        <v>53</v>
      </c>
      <c r="AH2629" s="1" t="s">
        <v>49</v>
      </c>
      <c r="AI2629" s="1" t="s">
        <v>54</v>
      </c>
      <c r="AJ2629" s="1">
        <v>1</v>
      </c>
      <c r="AK2629" s="1" t="str">
        <f t="shared" si="41"/>
        <v xml:space="preserve"> =&lt;90</v>
      </c>
      <c r="AL2629" s="1" t="str">
        <f>VLOOKUP(C:C,[1]基础信息!B$1:D$65536,3,0)</f>
        <v xml:space="preserve">Cartridge </v>
      </c>
      <c r="AM2629" s="1" t="str">
        <f>VLOOKUP(C:C,[1]基础信息!B$1:E$65536,4,0)</f>
        <v>UNIV</v>
      </c>
      <c r="AN2629" s="1" t="str">
        <f>VLOOKUP(C:C,[1]基础信息!B$1:F$65536,5,0)</f>
        <v>P3</v>
      </c>
    </row>
    <row r="2630" spans="1:40">
      <c r="A2630" s="1" t="s">
        <v>41</v>
      </c>
      <c r="B2630" s="1" t="s">
        <v>42</v>
      </c>
      <c r="C2630" s="1" t="s">
        <v>3971</v>
      </c>
      <c r="D2630" s="1" t="s">
        <v>3972</v>
      </c>
      <c r="E2630" s="1" t="s">
        <v>45</v>
      </c>
      <c r="F2630" s="1" t="s">
        <v>5939</v>
      </c>
      <c r="G2630" s="1" t="s">
        <v>6053</v>
      </c>
      <c r="H2630" s="1" t="s">
        <v>6054</v>
      </c>
      <c r="I2630" s="1" t="s">
        <v>49</v>
      </c>
      <c r="J2630" s="1" t="s">
        <v>48</v>
      </c>
      <c r="K2630" s="1">
        <v>96</v>
      </c>
      <c r="L2630" s="1">
        <v>0</v>
      </c>
      <c r="M2630" s="1">
        <v>0</v>
      </c>
      <c r="N2630" s="1">
        <v>96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 t="s">
        <v>49</v>
      </c>
      <c r="AA2630" s="1" t="s">
        <v>49</v>
      </c>
      <c r="AB2630" s="1" t="s">
        <v>49</v>
      </c>
      <c r="AC2630" s="1" t="s">
        <v>470</v>
      </c>
      <c r="AD2630" s="1" t="s">
        <v>471</v>
      </c>
      <c r="AE2630" s="1" t="s">
        <v>974</v>
      </c>
      <c r="AF2630" s="1" t="s">
        <v>5194</v>
      </c>
      <c r="AG2630" s="1" t="s">
        <v>53</v>
      </c>
      <c r="AH2630" s="1" t="s">
        <v>49</v>
      </c>
      <c r="AI2630" s="1" t="s">
        <v>54</v>
      </c>
      <c r="AJ2630" s="1">
        <v>1</v>
      </c>
      <c r="AK2630" s="1" t="str">
        <f t="shared" si="41"/>
        <v xml:space="preserve"> =&lt;90</v>
      </c>
      <c r="AL2630" s="1" t="str">
        <f>VLOOKUP(C:C,[1]基础信息!B$1:D$65536,3,0)</f>
        <v>Jug</v>
      </c>
      <c r="AM2630" s="1" t="str">
        <f>VLOOKUP(C:C,[1]基础信息!B$1:E$65536,4,0)</f>
        <v>Mxplus</v>
      </c>
      <c r="AN2630" s="1" t="str">
        <f>VLOOKUP(C:C,[1]基础信息!B$1:F$65536,5,0)</f>
        <v xml:space="preserve"> lime</v>
      </c>
    </row>
    <row r="2631" spans="1:40">
      <c r="A2631" s="1" t="s">
        <v>41</v>
      </c>
      <c r="B2631" s="1" t="s">
        <v>42</v>
      </c>
      <c r="C2631" s="1" t="s">
        <v>5254</v>
      </c>
      <c r="D2631" s="1" t="s">
        <v>5255</v>
      </c>
      <c r="E2631" s="1" t="s">
        <v>45</v>
      </c>
      <c r="F2631" s="1" t="s">
        <v>5896</v>
      </c>
      <c r="G2631" s="1" t="s">
        <v>6055</v>
      </c>
      <c r="H2631" s="1" t="s">
        <v>6056</v>
      </c>
      <c r="I2631" s="1" t="s">
        <v>49</v>
      </c>
      <c r="J2631" s="1" t="s">
        <v>48</v>
      </c>
      <c r="K2631" s="1">
        <v>2200</v>
      </c>
      <c r="L2631" s="1">
        <v>0</v>
      </c>
      <c r="M2631" s="1">
        <v>0</v>
      </c>
      <c r="N2631" s="1">
        <v>2200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 t="s">
        <v>49</v>
      </c>
      <c r="AA2631" s="1" t="s">
        <v>49</v>
      </c>
      <c r="AB2631" s="1" t="s">
        <v>49</v>
      </c>
      <c r="AC2631" s="1" t="s">
        <v>5899</v>
      </c>
      <c r="AD2631" s="1" t="s">
        <v>5900</v>
      </c>
      <c r="AE2631" s="1" t="s">
        <v>5901</v>
      </c>
      <c r="AF2631" s="1" t="s">
        <v>5902</v>
      </c>
      <c r="AG2631" s="1" t="s">
        <v>53</v>
      </c>
      <c r="AH2631" s="1" t="s">
        <v>49</v>
      </c>
      <c r="AI2631" s="1" t="s">
        <v>54</v>
      </c>
      <c r="AJ2631" s="1">
        <v>1</v>
      </c>
      <c r="AK2631" s="1" t="str">
        <f t="shared" si="41"/>
        <v xml:space="preserve"> =&lt;90</v>
      </c>
      <c r="AL2631" s="1" t="str">
        <f>VLOOKUP(C:C,[1]基础信息!B$1:D$65536,3,0)</f>
        <v xml:space="preserve">Cartridge </v>
      </c>
      <c r="AM2631" s="1" t="str">
        <f>VLOOKUP(C:C,[1]基础信息!B$1:E$65536,4,0)</f>
        <v>UNIV</v>
      </c>
      <c r="AN2631" s="1" t="str">
        <f>VLOOKUP(C:C,[1]基础信息!B$1:F$65536,5,0)</f>
        <v>P55</v>
      </c>
    </row>
    <row r="2632" spans="1:40">
      <c r="A2632" s="1" t="s">
        <v>41</v>
      </c>
      <c r="B2632" s="1" t="s">
        <v>42</v>
      </c>
      <c r="C2632" s="1" t="s">
        <v>3512</v>
      </c>
      <c r="D2632" s="1" t="s">
        <v>3513</v>
      </c>
      <c r="E2632" s="1" t="s">
        <v>45</v>
      </c>
      <c r="F2632" s="1" t="s">
        <v>6048</v>
      </c>
      <c r="G2632" s="1" t="s">
        <v>6057</v>
      </c>
      <c r="H2632" s="1" t="s">
        <v>6058</v>
      </c>
      <c r="I2632" s="1" t="s">
        <v>49</v>
      </c>
      <c r="J2632" s="1" t="s">
        <v>48</v>
      </c>
      <c r="K2632" s="1">
        <v>840</v>
      </c>
      <c r="L2632" s="1">
        <v>0</v>
      </c>
      <c r="M2632" s="1">
        <v>0</v>
      </c>
      <c r="N2632" s="1">
        <v>840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 t="s">
        <v>49</v>
      </c>
      <c r="AA2632" s="1" t="s">
        <v>49</v>
      </c>
      <c r="AB2632" s="1" t="s">
        <v>49</v>
      </c>
      <c r="AC2632" s="1" t="s">
        <v>376</v>
      </c>
      <c r="AD2632" s="1" t="s">
        <v>377</v>
      </c>
      <c r="AE2632" s="1" t="s">
        <v>2898</v>
      </c>
      <c r="AF2632" s="1" t="s">
        <v>5908</v>
      </c>
      <c r="AG2632" s="1" t="s">
        <v>53</v>
      </c>
      <c r="AH2632" s="1" t="s">
        <v>49</v>
      </c>
      <c r="AI2632" s="1" t="s">
        <v>54</v>
      </c>
      <c r="AJ2632" s="1">
        <v>1</v>
      </c>
      <c r="AK2632" s="1" t="str">
        <f t="shared" si="41"/>
        <v xml:space="preserve"> =&lt;90</v>
      </c>
      <c r="AL2632" s="1" t="str">
        <f>VLOOKUP(C:C,[1]基础信息!B$1:D$65536,3,0)</f>
        <v xml:space="preserve">Cartridge </v>
      </c>
      <c r="AM2632" s="1" t="str">
        <f>VLOOKUP(C:C,[1]基础信息!B$1:E$65536,4,0)</f>
        <v>UNIV</v>
      </c>
      <c r="AN2632" s="1" t="str">
        <f>VLOOKUP(C:C,[1]基础信息!B$1:F$65536,5,0)</f>
        <v>P3</v>
      </c>
    </row>
    <row r="2633" spans="1:40">
      <c r="A2633" s="1" t="s">
        <v>41</v>
      </c>
      <c r="B2633" s="1" t="s">
        <v>42</v>
      </c>
      <c r="C2633" s="1" t="s">
        <v>3512</v>
      </c>
      <c r="D2633" s="1" t="s">
        <v>3513</v>
      </c>
      <c r="E2633" s="1" t="s">
        <v>45</v>
      </c>
      <c r="F2633" s="1" t="s">
        <v>6048</v>
      </c>
      <c r="G2633" s="1" t="s">
        <v>6059</v>
      </c>
      <c r="H2633" s="1" t="s">
        <v>6060</v>
      </c>
      <c r="I2633" s="1" t="s">
        <v>49</v>
      </c>
      <c r="J2633" s="1" t="s">
        <v>48</v>
      </c>
      <c r="K2633" s="1">
        <v>840</v>
      </c>
      <c r="L2633" s="1">
        <v>0</v>
      </c>
      <c r="M2633" s="1">
        <v>0</v>
      </c>
      <c r="N2633" s="1">
        <v>840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 t="s">
        <v>49</v>
      </c>
      <c r="AA2633" s="1" t="s">
        <v>49</v>
      </c>
      <c r="AB2633" s="1" t="s">
        <v>49</v>
      </c>
      <c r="AC2633" s="1" t="s">
        <v>376</v>
      </c>
      <c r="AD2633" s="1" t="s">
        <v>377</v>
      </c>
      <c r="AE2633" s="1" t="s">
        <v>2898</v>
      </c>
      <c r="AF2633" s="1" t="s">
        <v>5908</v>
      </c>
      <c r="AG2633" s="1" t="s">
        <v>53</v>
      </c>
      <c r="AH2633" s="1" t="s">
        <v>49</v>
      </c>
      <c r="AI2633" s="1" t="s">
        <v>54</v>
      </c>
      <c r="AJ2633" s="1">
        <v>1</v>
      </c>
      <c r="AK2633" s="1" t="str">
        <f t="shared" si="41"/>
        <v xml:space="preserve"> =&lt;90</v>
      </c>
      <c r="AL2633" s="1" t="str">
        <f>VLOOKUP(C:C,[1]基础信息!B$1:D$65536,3,0)</f>
        <v xml:space="preserve">Cartridge </v>
      </c>
      <c r="AM2633" s="1" t="str">
        <f>VLOOKUP(C:C,[1]基础信息!B$1:E$65536,4,0)</f>
        <v>UNIV</v>
      </c>
      <c r="AN2633" s="1" t="str">
        <f>VLOOKUP(C:C,[1]基础信息!B$1:F$65536,5,0)</f>
        <v>P3</v>
      </c>
    </row>
    <row r="2634" spans="1:40">
      <c r="A2634" s="1" t="s">
        <v>41</v>
      </c>
      <c r="B2634" s="1" t="s">
        <v>42</v>
      </c>
      <c r="C2634" s="1" t="s">
        <v>5254</v>
      </c>
      <c r="D2634" s="1" t="s">
        <v>5255</v>
      </c>
      <c r="E2634" s="1" t="s">
        <v>45</v>
      </c>
      <c r="F2634" s="1" t="s">
        <v>5896</v>
      </c>
      <c r="G2634" s="1" t="s">
        <v>6061</v>
      </c>
      <c r="H2634" s="1" t="s">
        <v>6062</v>
      </c>
      <c r="I2634" s="1" t="s">
        <v>49</v>
      </c>
      <c r="J2634" s="1" t="s">
        <v>48</v>
      </c>
      <c r="K2634" s="1">
        <v>2200</v>
      </c>
      <c r="L2634" s="1">
        <v>0</v>
      </c>
      <c r="M2634" s="1">
        <v>0</v>
      </c>
      <c r="N2634" s="1">
        <v>2200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 t="s">
        <v>49</v>
      </c>
      <c r="AA2634" s="1" t="s">
        <v>49</v>
      </c>
      <c r="AB2634" s="1" t="s">
        <v>49</v>
      </c>
      <c r="AC2634" s="1" t="s">
        <v>5899</v>
      </c>
      <c r="AD2634" s="1" t="s">
        <v>5900</v>
      </c>
      <c r="AE2634" s="1" t="s">
        <v>5901</v>
      </c>
      <c r="AF2634" s="1" t="s">
        <v>5902</v>
      </c>
      <c r="AG2634" s="1" t="s">
        <v>53</v>
      </c>
      <c r="AH2634" s="1" t="s">
        <v>49</v>
      </c>
      <c r="AI2634" s="1" t="s">
        <v>54</v>
      </c>
      <c r="AJ2634" s="1">
        <v>1</v>
      </c>
      <c r="AK2634" s="1" t="str">
        <f t="shared" si="41"/>
        <v xml:space="preserve"> =&lt;90</v>
      </c>
      <c r="AL2634" s="1" t="str">
        <f>VLOOKUP(C:C,[1]基础信息!B$1:D$65536,3,0)</f>
        <v xml:space="preserve">Cartridge </v>
      </c>
      <c r="AM2634" s="1" t="str">
        <f>VLOOKUP(C:C,[1]基础信息!B$1:E$65536,4,0)</f>
        <v>UNIV</v>
      </c>
      <c r="AN2634" s="1" t="str">
        <f>VLOOKUP(C:C,[1]基础信息!B$1:F$65536,5,0)</f>
        <v>P55</v>
      </c>
    </row>
    <row r="2635" spans="1:40">
      <c r="A2635" s="1" t="s">
        <v>41</v>
      </c>
      <c r="B2635" s="1" t="s">
        <v>42</v>
      </c>
      <c r="C2635" s="1" t="s">
        <v>5254</v>
      </c>
      <c r="D2635" s="1" t="s">
        <v>5255</v>
      </c>
      <c r="E2635" s="1" t="s">
        <v>45</v>
      </c>
      <c r="F2635" s="1" t="s">
        <v>5407</v>
      </c>
      <c r="G2635" s="1" t="s">
        <v>6063</v>
      </c>
      <c r="H2635" s="1" t="s">
        <v>6064</v>
      </c>
      <c r="I2635" s="1" t="s">
        <v>49</v>
      </c>
      <c r="J2635" s="1" t="s">
        <v>48</v>
      </c>
      <c r="K2635" s="1">
        <v>2200</v>
      </c>
      <c r="L2635" s="1">
        <v>0</v>
      </c>
      <c r="M2635" s="1">
        <v>0</v>
      </c>
      <c r="N2635" s="1">
        <v>2200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 t="s">
        <v>49</v>
      </c>
      <c r="AA2635" s="1" t="s">
        <v>49</v>
      </c>
      <c r="AB2635" s="1" t="s">
        <v>49</v>
      </c>
      <c r="AC2635" s="1" t="s">
        <v>5410</v>
      </c>
      <c r="AD2635" s="1" t="s">
        <v>5411</v>
      </c>
      <c r="AE2635" s="1" t="s">
        <v>5410</v>
      </c>
      <c r="AF2635" s="1" t="s">
        <v>5412</v>
      </c>
      <c r="AG2635" s="1" t="s">
        <v>53</v>
      </c>
      <c r="AH2635" s="1" t="s">
        <v>49</v>
      </c>
      <c r="AI2635" s="1" t="s">
        <v>54</v>
      </c>
      <c r="AJ2635" s="1">
        <v>1</v>
      </c>
      <c r="AK2635" s="1" t="str">
        <f t="shared" si="41"/>
        <v xml:space="preserve"> =&lt;90</v>
      </c>
      <c r="AL2635" s="1" t="str">
        <f>VLOOKUP(C:C,[1]基础信息!B$1:D$65536,3,0)</f>
        <v xml:space="preserve">Cartridge </v>
      </c>
      <c r="AM2635" s="1" t="str">
        <f>VLOOKUP(C:C,[1]基础信息!B$1:E$65536,4,0)</f>
        <v>UNIV</v>
      </c>
      <c r="AN2635" s="1" t="str">
        <f>VLOOKUP(C:C,[1]基础信息!B$1:F$65536,5,0)</f>
        <v>P55</v>
      </c>
    </row>
    <row r="2636" spans="1:40">
      <c r="A2636" s="1" t="s">
        <v>41</v>
      </c>
      <c r="B2636" s="1" t="s">
        <v>42</v>
      </c>
      <c r="C2636" s="1" t="s">
        <v>3971</v>
      </c>
      <c r="D2636" s="1" t="s">
        <v>3972</v>
      </c>
      <c r="E2636" s="1" t="s">
        <v>45</v>
      </c>
      <c r="F2636" s="1" t="s">
        <v>5939</v>
      </c>
      <c r="G2636" s="1" t="s">
        <v>6065</v>
      </c>
      <c r="H2636" s="1" t="s">
        <v>6066</v>
      </c>
      <c r="I2636" s="1" t="s">
        <v>49</v>
      </c>
      <c r="J2636" s="1" t="s">
        <v>48</v>
      </c>
      <c r="K2636" s="1">
        <v>96</v>
      </c>
      <c r="L2636" s="1">
        <v>0</v>
      </c>
      <c r="M2636" s="1">
        <v>0</v>
      </c>
      <c r="N2636" s="1">
        <v>96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 t="s">
        <v>49</v>
      </c>
      <c r="AA2636" s="1" t="s">
        <v>49</v>
      </c>
      <c r="AB2636" s="1" t="s">
        <v>49</v>
      </c>
      <c r="AC2636" s="1" t="s">
        <v>470</v>
      </c>
      <c r="AD2636" s="1" t="s">
        <v>471</v>
      </c>
      <c r="AE2636" s="1" t="s">
        <v>974</v>
      </c>
      <c r="AF2636" s="1" t="s">
        <v>5194</v>
      </c>
      <c r="AG2636" s="1" t="s">
        <v>53</v>
      </c>
      <c r="AH2636" s="1" t="s">
        <v>49</v>
      </c>
      <c r="AI2636" s="1" t="s">
        <v>54</v>
      </c>
      <c r="AJ2636" s="1">
        <v>1</v>
      </c>
      <c r="AK2636" s="1" t="str">
        <f t="shared" si="41"/>
        <v xml:space="preserve"> =&lt;90</v>
      </c>
      <c r="AL2636" s="1" t="str">
        <f>VLOOKUP(C:C,[1]基础信息!B$1:D$65536,3,0)</f>
        <v>Jug</v>
      </c>
      <c r="AM2636" s="1" t="str">
        <f>VLOOKUP(C:C,[1]基础信息!B$1:E$65536,4,0)</f>
        <v>Mxplus</v>
      </c>
      <c r="AN2636" s="1" t="str">
        <f>VLOOKUP(C:C,[1]基础信息!B$1:F$65536,5,0)</f>
        <v xml:space="preserve"> lime</v>
      </c>
    </row>
    <row r="2637" spans="1:40">
      <c r="A2637" s="1" t="s">
        <v>41</v>
      </c>
      <c r="B2637" s="1" t="s">
        <v>42</v>
      </c>
      <c r="C2637" s="1" t="s">
        <v>3971</v>
      </c>
      <c r="D2637" s="1" t="s">
        <v>3972</v>
      </c>
      <c r="E2637" s="1" t="s">
        <v>45</v>
      </c>
      <c r="F2637" s="1" t="s">
        <v>5939</v>
      </c>
      <c r="G2637" s="1" t="s">
        <v>6067</v>
      </c>
      <c r="H2637" s="1" t="s">
        <v>6068</v>
      </c>
      <c r="I2637" s="1" t="s">
        <v>49</v>
      </c>
      <c r="J2637" s="1" t="s">
        <v>48</v>
      </c>
      <c r="K2637" s="1">
        <v>96</v>
      </c>
      <c r="L2637" s="1">
        <v>0</v>
      </c>
      <c r="M2637" s="1">
        <v>0</v>
      </c>
      <c r="N2637" s="1">
        <v>96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 t="s">
        <v>49</v>
      </c>
      <c r="AA2637" s="1" t="s">
        <v>49</v>
      </c>
      <c r="AB2637" s="1" t="s">
        <v>49</v>
      </c>
      <c r="AC2637" s="1" t="s">
        <v>470</v>
      </c>
      <c r="AD2637" s="1" t="s">
        <v>471</v>
      </c>
      <c r="AE2637" s="1" t="s">
        <v>974</v>
      </c>
      <c r="AF2637" s="1" t="s">
        <v>5194</v>
      </c>
      <c r="AG2637" s="1" t="s">
        <v>53</v>
      </c>
      <c r="AH2637" s="1" t="s">
        <v>49</v>
      </c>
      <c r="AI2637" s="1" t="s">
        <v>54</v>
      </c>
      <c r="AJ2637" s="1">
        <v>1</v>
      </c>
      <c r="AK2637" s="1" t="str">
        <f t="shared" si="41"/>
        <v xml:space="preserve"> =&lt;90</v>
      </c>
      <c r="AL2637" s="1" t="str">
        <f>VLOOKUP(C:C,[1]基础信息!B$1:D$65536,3,0)</f>
        <v>Jug</v>
      </c>
      <c r="AM2637" s="1" t="str">
        <f>VLOOKUP(C:C,[1]基础信息!B$1:E$65536,4,0)</f>
        <v>Mxplus</v>
      </c>
      <c r="AN2637" s="1" t="str">
        <f>VLOOKUP(C:C,[1]基础信息!B$1:F$65536,5,0)</f>
        <v xml:space="preserve"> lime</v>
      </c>
    </row>
    <row r="2638" spans="1:40">
      <c r="A2638" s="1" t="s">
        <v>41</v>
      </c>
      <c r="B2638" s="1" t="s">
        <v>42</v>
      </c>
      <c r="C2638" s="1" t="s">
        <v>3971</v>
      </c>
      <c r="D2638" s="1" t="s">
        <v>3972</v>
      </c>
      <c r="E2638" s="1" t="s">
        <v>45</v>
      </c>
      <c r="F2638" s="1" t="s">
        <v>5939</v>
      </c>
      <c r="G2638" s="1" t="s">
        <v>6069</v>
      </c>
      <c r="H2638" s="1" t="s">
        <v>6070</v>
      </c>
      <c r="I2638" s="1" t="s">
        <v>49</v>
      </c>
      <c r="J2638" s="1" t="s">
        <v>48</v>
      </c>
      <c r="K2638" s="1">
        <v>96</v>
      </c>
      <c r="L2638" s="1">
        <v>0</v>
      </c>
      <c r="M2638" s="1">
        <v>0</v>
      </c>
      <c r="N2638" s="1">
        <v>96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 t="s">
        <v>49</v>
      </c>
      <c r="AA2638" s="1" t="s">
        <v>49</v>
      </c>
      <c r="AB2638" s="1" t="s">
        <v>49</v>
      </c>
      <c r="AC2638" s="1" t="s">
        <v>470</v>
      </c>
      <c r="AD2638" s="1" t="s">
        <v>471</v>
      </c>
      <c r="AE2638" s="1" t="s">
        <v>974</v>
      </c>
      <c r="AF2638" s="1" t="s">
        <v>5194</v>
      </c>
      <c r="AG2638" s="1" t="s">
        <v>53</v>
      </c>
      <c r="AH2638" s="1" t="s">
        <v>49</v>
      </c>
      <c r="AI2638" s="1" t="s">
        <v>54</v>
      </c>
      <c r="AJ2638" s="1">
        <v>1</v>
      </c>
      <c r="AK2638" s="1" t="str">
        <f t="shared" si="41"/>
        <v xml:space="preserve"> =&lt;90</v>
      </c>
      <c r="AL2638" s="1" t="str">
        <f>VLOOKUP(C:C,[1]基础信息!B$1:D$65536,3,0)</f>
        <v>Jug</v>
      </c>
      <c r="AM2638" s="1" t="str">
        <f>VLOOKUP(C:C,[1]基础信息!B$1:E$65536,4,0)</f>
        <v>Mxplus</v>
      </c>
      <c r="AN2638" s="1" t="str">
        <f>VLOOKUP(C:C,[1]基础信息!B$1:F$65536,5,0)</f>
        <v xml:space="preserve"> lime</v>
      </c>
    </row>
    <row r="2639" spans="1:40">
      <c r="A2639" s="1" t="s">
        <v>41</v>
      </c>
      <c r="B2639" s="1" t="s">
        <v>42</v>
      </c>
      <c r="C2639" s="1" t="s">
        <v>3971</v>
      </c>
      <c r="D2639" s="1" t="s">
        <v>3972</v>
      </c>
      <c r="E2639" s="1" t="s">
        <v>45</v>
      </c>
      <c r="F2639" s="1" t="s">
        <v>5939</v>
      </c>
      <c r="G2639" s="1" t="s">
        <v>6071</v>
      </c>
      <c r="H2639" s="1" t="s">
        <v>6072</v>
      </c>
      <c r="I2639" s="1" t="s">
        <v>49</v>
      </c>
      <c r="J2639" s="1" t="s">
        <v>48</v>
      </c>
      <c r="K2639" s="1">
        <v>96</v>
      </c>
      <c r="L2639" s="1">
        <v>0</v>
      </c>
      <c r="M2639" s="1">
        <v>0</v>
      </c>
      <c r="N2639" s="1">
        <v>96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 t="s">
        <v>49</v>
      </c>
      <c r="AA2639" s="1" t="s">
        <v>49</v>
      </c>
      <c r="AB2639" s="1" t="s">
        <v>49</v>
      </c>
      <c r="AC2639" s="1" t="s">
        <v>470</v>
      </c>
      <c r="AD2639" s="1" t="s">
        <v>471</v>
      </c>
      <c r="AE2639" s="1" t="s">
        <v>974</v>
      </c>
      <c r="AF2639" s="1" t="s">
        <v>5194</v>
      </c>
      <c r="AG2639" s="1" t="s">
        <v>53</v>
      </c>
      <c r="AH2639" s="1" t="s">
        <v>49</v>
      </c>
      <c r="AI2639" s="1" t="s">
        <v>54</v>
      </c>
      <c r="AJ2639" s="1">
        <v>1</v>
      </c>
      <c r="AK2639" s="1" t="str">
        <f t="shared" si="41"/>
        <v xml:space="preserve"> =&lt;90</v>
      </c>
      <c r="AL2639" s="1" t="str">
        <f>VLOOKUP(C:C,[1]基础信息!B$1:D$65536,3,0)</f>
        <v>Jug</v>
      </c>
      <c r="AM2639" s="1" t="str">
        <f>VLOOKUP(C:C,[1]基础信息!B$1:E$65536,4,0)</f>
        <v>Mxplus</v>
      </c>
      <c r="AN2639" s="1" t="str">
        <f>VLOOKUP(C:C,[1]基础信息!B$1:F$65536,5,0)</f>
        <v xml:space="preserve"> lime</v>
      </c>
    </row>
    <row r="2640" spans="1:40">
      <c r="A2640" s="1" t="s">
        <v>41</v>
      </c>
      <c r="B2640" s="1" t="s">
        <v>42</v>
      </c>
      <c r="C2640" s="1" t="s">
        <v>3971</v>
      </c>
      <c r="D2640" s="1" t="s">
        <v>3972</v>
      </c>
      <c r="E2640" s="1" t="s">
        <v>45</v>
      </c>
      <c r="F2640" s="1" t="s">
        <v>5939</v>
      </c>
      <c r="G2640" s="1" t="s">
        <v>6073</v>
      </c>
      <c r="H2640" s="1" t="s">
        <v>6074</v>
      </c>
      <c r="I2640" s="1" t="s">
        <v>49</v>
      </c>
      <c r="J2640" s="1" t="s">
        <v>48</v>
      </c>
      <c r="K2640" s="1">
        <v>96</v>
      </c>
      <c r="L2640" s="1">
        <v>0</v>
      </c>
      <c r="M2640" s="1">
        <v>0</v>
      </c>
      <c r="N2640" s="1">
        <v>96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 t="s">
        <v>49</v>
      </c>
      <c r="AA2640" s="1" t="s">
        <v>49</v>
      </c>
      <c r="AB2640" s="1" t="s">
        <v>49</v>
      </c>
      <c r="AC2640" s="1" t="s">
        <v>470</v>
      </c>
      <c r="AD2640" s="1" t="s">
        <v>471</v>
      </c>
      <c r="AE2640" s="1" t="s">
        <v>974</v>
      </c>
      <c r="AF2640" s="1" t="s">
        <v>5194</v>
      </c>
      <c r="AG2640" s="1" t="s">
        <v>53</v>
      </c>
      <c r="AH2640" s="1" t="s">
        <v>49</v>
      </c>
      <c r="AI2640" s="1" t="s">
        <v>54</v>
      </c>
      <c r="AJ2640" s="1">
        <v>1</v>
      </c>
      <c r="AK2640" s="1" t="str">
        <f t="shared" si="41"/>
        <v xml:space="preserve"> =&lt;90</v>
      </c>
      <c r="AL2640" s="1" t="str">
        <f>VLOOKUP(C:C,[1]基础信息!B$1:D$65536,3,0)</f>
        <v>Jug</v>
      </c>
      <c r="AM2640" s="1" t="str">
        <f>VLOOKUP(C:C,[1]基础信息!B$1:E$65536,4,0)</f>
        <v>Mxplus</v>
      </c>
      <c r="AN2640" s="1" t="str">
        <f>VLOOKUP(C:C,[1]基础信息!B$1:F$65536,5,0)</f>
        <v xml:space="preserve"> lime</v>
      </c>
    </row>
    <row r="2641" spans="1:40">
      <c r="A2641" s="1" t="s">
        <v>41</v>
      </c>
      <c r="B2641" s="1" t="s">
        <v>42</v>
      </c>
      <c r="C2641" s="1" t="s">
        <v>3971</v>
      </c>
      <c r="D2641" s="1" t="s">
        <v>3972</v>
      </c>
      <c r="E2641" s="1" t="s">
        <v>45</v>
      </c>
      <c r="F2641" s="1" t="s">
        <v>5939</v>
      </c>
      <c r="G2641" s="1" t="s">
        <v>6075</v>
      </c>
      <c r="H2641" s="1" t="s">
        <v>6076</v>
      </c>
      <c r="I2641" s="1" t="s">
        <v>49</v>
      </c>
      <c r="J2641" s="1" t="s">
        <v>48</v>
      </c>
      <c r="K2641" s="1">
        <v>96</v>
      </c>
      <c r="L2641" s="1">
        <v>0</v>
      </c>
      <c r="M2641" s="1">
        <v>0</v>
      </c>
      <c r="N2641" s="1">
        <v>96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 t="s">
        <v>49</v>
      </c>
      <c r="AA2641" s="1" t="s">
        <v>49</v>
      </c>
      <c r="AB2641" s="1" t="s">
        <v>49</v>
      </c>
      <c r="AC2641" s="1" t="s">
        <v>470</v>
      </c>
      <c r="AD2641" s="1" t="s">
        <v>471</v>
      </c>
      <c r="AE2641" s="1" t="s">
        <v>974</v>
      </c>
      <c r="AF2641" s="1" t="s">
        <v>5194</v>
      </c>
      <c r="AG2641" s="1" t="s">
        <v>53</v>
      </c>
      <c r="AH2641" s="1" t="s">
        <v>49</v>
      </c>
      <c r="AI2641" s="1" t="s">
        <v>54</v>
      </c>
      <c r="AJ2641" s="1">
        <v>1</v>
      </c>
      <c r="AK2641" s="1" t="str">
        <f t="shared" si="41"/>
        <v xml:space="preserve"> =&lt;90</v>
      </c>
      <c r="AL2641" s="1" t="str">
        <f>VLOOKUP(C:C,[1]基础信息!B$1:D$65536,3,0)</f>
        <v>Jug</v>
      </c>
      <c r="AM2641" s="1" t="str">
        <f>VLOOKUP(C:C,[1]基础信息!B$1:E$65536,4,0)</f>
        <v>Mxplus</v>
      </c>
      <c r="AN2641" s="1" t="str">
        <f>VLOOKUP(C:C,[1]基础信息!B$1:F$65536,5,0)</f>
        <v xml:space="preserve"> lime</v>
      </c>
    </row>
    <row r="2642" spans="1:40">
      <c r="A2642" s="1" t="s">
        <v>41</v>
      </c>
      <c r="B2642" s="1" t="s">
        <v>42</v>
      </c>
      <c r="C2642" s="1" t="s">
        <v>3512</v>
      </c>
      <c r="D2642" s="1" t="s">
        <v>3513</v>
      </c>
      <c r="E2642" s="1" t="s">
        <v>45</v>
      </c>
      <c r="F2642" s="1" t="s">
        <v>6048</v>
      </c>
      <c r="G2642" s="1" t="s">
        <v>6077</v>
      </c>
      <c r="H2642" s="1" t="s">
        <v>6078</v>
      </c>
      <c r="I2642" s="1" t="s">
        <v>49</v>
      </c>
      <c r="J2642" s="1" t="s">
        <v>48</v>
      </c>
      <c r="K2642" s="1">
        <v>840</v>
      </c>
      <c r="L2642" s="1">
        <v>0</v>
      </c>
      <c r="M2642" s="1">
        <v>0</v>
      </c>
      <c r="N2642" s="1">
        <v>840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 t="s">
        <v>49</v>
      </c>
      <c r="AA2642" s="1" t="s">
        <v>49</v>
      </c>
      <c r="AB2642" s="1" t="s">
        <v>49</v>
      </c>
      <c r="AC2642" s="1" t="s">
        <v>376</v>
      </c>
      <c r="AD2642" s="1" t="s">
        <v>377</v>
      </c>
      <c r="AE2642" s="1" t="s">
        <v>2898</v>
      </c>
      <c r="AF2642" s="1" t="s">
        <v>5908</v>
      </c>
      <c r="AG2642" s="1" t="s">
        <v>53</v>
      </c>
      <c r="AH2642" s="1" t="s">
        <v>49</v>
      </c>
      <c r="AI2642" s="1" t="s">
        <v>54</v>
      </c>
      <c r="AJ2642" s="1">
        <v>1</v>
      </c>
      <c r="AK2642" s="1" t="str">
        <f t="shared" si="41"/>
        <v xml:space="preserve"> =&lt;90</v>
      </c>
      <c r="AL2642" s="1" t="str">
        <f>VLOOKUP(C:C,[1]基础信息!B$1:D$65536,3,0)</f>
        <v xml:space="preserve">Cartridge </v>
      </c>
      <c r="AM2642" s="1" t="str">
        <f>VLOOKUP(C:C,[1]基础信息!B$1:E$65536,4,0)</f>
        <v>UNIV</v>
      </c>
      <c r="AN2642" s="1" t="str">
        <f>VLOOKUP(C:C,[1]基础信息!B$1:F$65536,5,0)</f>
        <v>P3</v>
      </c>
    </row>
    <row r="2643" spans="1:40">
      <c r="A2643" s="1" t="s">
        <v>41</v>
      </c>
      <c r="B2643" s="1" t="s">
        <v>42</v>
      </c>
      <c r="C2643" s="1" t="s">
        <v>3512</v>
      </c>
      <c r="D2643" s="1" t="s">
        <v>3513</v>
      </c>
      <c r="E2643" s="1" t="s">
        <v>45</v>
      </c>
      <c r="F2643" s="1" t="s">
        <v>6048</v>
      </c>
      <c r="G2643" s="1" t="s">
        <v>6079</v>
      </c>
      <c r="H2643" s="1" t="s">
        <v>6080</v>
      </c>
      <c r="I2643" s="1" t="s">
        <v>49</v>
      </c>
      <c r="J2643" s="1" t="s">
        <v>48</v>
      </c>
      <c r="K2643" s="1">
        <v>840</v>
      </c>
      <c r="L2643" s="1">
        <v>0</v>
      </c>
      <c r="M2643" s="1">
        <v>0</v>
      </c>
      <c r="N2643" s="1">
        <v>840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 t="s">
        <v>49</v>
      </c>
      <c r="AA2643" s="1" t="s">
        <v>49</v>
      </c>
      <c r="AB2643" s="1" t="s">
        <v>49</v>
      </c>
      <c r="AC2643" s="1" t="s">
        <v>376</v>
      </c>
      <c r="AD2643" s="1" t="s">
        <v>377</v>
      </c>
      <c r="AE2643" s="1" t="s">
        <v>2898</v>
      </c>
      <c r="AF2643" s="1" t="s">
        <v>5908</v>
      </c>
      <c r="AG2643" s="1" t="s">
        <v>53</v>
      </c>
      <c r="AH2643" s="1" t="s">
        <v>49</v>
      </c>
      <c r="AI2643" s="1" t="s">
        <v>54</v>
      </c>
      <c r="AJ2643" s="1">
        <v>1</v>
      </c>
      <c r="AK2643" s="1" t="str">
        <f t="shared" si="41"/>
        <v xml:space="preserve"> =&lt;90</v>
      </c>
      <c r="AL2643" s="1" t="str">
        <f>VLOOKUP(C:C,[1]基础信息!B$1:D$65536,3,0)</f>
        <v xml:space="preserve">Cartridge </v>
      </c>
      <c r="AM2643" s="1" t="str">
        <f>VLOOKUP(C:C,[1]基础信息!B$1:E$65536,4,0)</f>
        <v>UNIV</v>
      </c>
      <c r="AN2643" s="1" t="str">
        <f>VLOOKUP(C:C,[1]基础信息!B$1:F$65536,5,0)</f>
        <v>P3</v>
      </c>
    </row>
    <row r="2644" spans="1:40">
      <c r="A2644" s="1" t="s">
        <v>41</v>
      </c>
      <c r="B2644" s="1" t="s">
        <v>42</v>
      </c>
      <c r="C2644" s="1" t="s">
        <v>3512</v>
      </c>
      <c r="D2644" s="1" t="s">
        <v>3513</v>
      </c>
      <c r="E2644" s="1" t="s">
        <v>45</v>
      </c>
      <c r="F2644" s="1" t="s">
        <v>6048</v>
      </c>
      <c r="G2644" s="1" t="s">
        <v>6081</v>
      </c>
      <c r="H2644" s="1" t="s">
        <v>6082</v>
      </c>
      <c r="I2644" s="1" t="s">
        <v>49</v>
      </c>
      <c r="J2644" s="1" t="s">
        <v>48</v>
      </c>
      <c r="K2644" s="1">
        <v>840</v>
      </c>
      <c r="L2644" s="1">
        <v>0</v>
      </c>
      <c r="M2644" s="1">
        <v>0</v>
      </c>
      <c r="N2644" s="1">
        <v>840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 t="s">
        <v>49</v>
      </c>
      <c r="AA2644" s="1" t="s">
        <v>49</v>
      </c>
      <c r="AB2644" s="1" t="s">
        <v>49</v>
      </c>
      <c r="AC2644" s="1" t="s">
        <v>376</v>
      </c>
      <c r="AD2644" s="1" t="s">
        <v>377</v>
      </c>
      <c r="AE2644" s="1" t="s">
        <v>2898</v>
      </c>
      <c r="AF2644" s="1" t="s">
        <v>5908</v>
      </c>
      <c r="AG2644" s="1" t="s">
        <v>53</v>
      </c>
      <c r="AH2644" s="1" t="s">
        <v>49</v>
      </c>
      <c r="AI2644" s="1" t="s">
        <v>54</v>
      </c>
      <c r="AJ2644" s="1">
        <v>1</v>
      </c>
      <c r="AK2644" s="1" t="str">
        <f t="shared" si="41"/>
        <v xml:space="preserve"> =&lt;90</v>
      </c>
      <c r="AL2644" s="1" t="str">
        <f>VLOOKUP(C:C,[1]基础信息!B$1:D$65536,3,0)</f>
        <v xml:space="preserve">Cartridge </v>
      </c>
      <c r="AM2644" s="1" t="str">
        <f>VLOOKUP(C:C,[1]基础信息!B$1:E$65536,4,0)</f>
        <v>UNIV</v>
      </c>
      <c r="AN2644" s="1" t="str">
        <f>VLOOKUP(C:C,[1]基础信息!B$1:F$65536,5,0)</f>
        <v>P3</v>
      </c>
    </row>
    <row r="2645" spans="1:40">
      <c r="A2645" s="1" t="s">
        <v>41</v>
      </c>
      <c r="B2645" s="1" t="s">
        <v>42</v>
      </c>
      <c r="C2645" s="1" t="s">
        <v>4352</v>
      </c>
      <c r="D2645" s="1" t="s">
        <v>4353</v>
      </c>
      <c r="E2645" s="1" t="s">
        <v>45</v>
      </c>
      <c r="F2645" s="1" t="s">
        <v>6083</v>
      </c>
      <c r="G2645" s="1" t="s">
        <v>6084</v>
      </c>
      <c r="H2645" s="1" t="s">
        <v>6085</v>
      </c>
      <c r="I2645" s="1" t="s">
        <v>49</v>
      </c>
      <c r="J2645" s="1" t="s">
        <v>48</v>
      </c>
      <c r="K2645" s="1">
        <v>336</v>
      </c>
      <c r="L2645" s="1">
        <v>0</v>
      </c>
      <c r="M2645" s="1">
        <v>0</v>
      </c>
      <c r="N2645" s="1">
        <v>336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 t="s">
        <v>49</v>
      </c>
      <c r="AA2645" s="1" t="s">
        <v>49</v>
      </c>
      <c r="AB2645" s="1" t="s">
        <v>49</v>
      </c>
      <c r="AC2645" s="1" t="s">
        <v>3264</v>
      </c>
      <c r="AD2645" s="1" t="s">
        <v>3265</v>
      </c>
      <c r="AE2645" s="1" t="s">
        <v>3264</v>
      </c>
      <c r="AF2645" s="1" t="s">
        <v>6086</v>
      </c>
      <c r="AG2645" s="1" t="s">
        <v>53</v>
      </c>
      <c r="AH2645" s="1" t="s">
        <v>49</v>
      </c>
      <c r="AI2645" s="1" t="s">
        <v>54</v>
      </c>
      <c r="AJ2645" s="1">
        <v>1</v>
      </c>
      <c r="AK2645" s="1" t="str">
        <f t="shared" si="41"/>
        <v xml:space="preserve"> =&lt;90</v>
      </c>
      <c r="AL2645" s="1" t="e">
        <f>VLOOKUP(C:C,[1]基础信息!B$1:D$65536,3,0)</f>
        <v>#N/A</v>
      </c>
      <c r="AM2645" s="1" t="e">
        <f>VLOOKUP(C:C,[1]基础信息!B$1:E$65536,4,0)</f>
        <v>#N/A</v>
      </c>
      <c r="AN2645" s="1" t="e">
        <f>VLOOKUP(C:C,[1]基础信息!B$1:F$65536,5,0)</f>
        <v>#N/A</v>
      </c>
    </row>
    <row r="2646" spans="1:40">
      <c r="A2646" s="1" t="s">
        <v>41</v>
      </c>
      <c r="B2646" s="1" t="s">
        <v>42</v>
      </c>
      <c r="C2646" s="1" t="s">
        <v>4352</v>
      </c>
      <c r="D2646" s="1" t="s">
        <v>4353</v>
      </c>
      <c r="E2646" s="1" t="s">
        <v>45</v>
      </c>
      <c r="F2646" s="1" t="s">
        <v>6083</v>
      </c>
      <c r="G2646" s="1" t="s">
        <v>6087</v>
      </c>
      <c r="H2646" s="1" t="s">
        <v>6088</v>
      </c>
      <c r="I2646" s="1" t="s">
        <v>49</v>
      </c>
      <c r="J2646" s="1" t="s">
        <v>48</v>
      </c>
      <c r="K2646" s="1">
        <v>336</v>
      </c>
      <c r="L2646" s="1">
        <v>0</v>
      </c>
      <c r="M2646" s="1">
        <v>0</v>
      </c>
      <c r="N2646" s="1">
        <v>336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 t="s">
        <v>49</v>
      </c>
      <c r="AA2646" s="1" t="s">
        <v>49</v>
      </c>
      <c r="AB2646" s="1" t="s">
        <v>49</v>
      </c>
      <c r="AC2646" s="1" t="s">
        <v>3264</v>
      </c>
      <c r="AD2646" s="1" t="s">
        <v>3265</v>
      </c>
      <c r="AE2646" s="1" t="s">
        <v>3264</v>
      </c>
      <c r="AF2646" s="1" t="s">
        <v>6086</v>
      </c>
      <c r="AG2646" s="1" t="s">
        <v>53</v>
      </c>
      <c r="AH2646" s="1" t="s">
        <v>49</v>
      </c>
      <c r="AI2646" s="1" t="s">
        <v>54</v>
      </c>
      <c r="AJ2646" s="1">
        <v>1</v>
      </c>
      <c r="AK2646" s="1" t="str">
        <f t="shared" si="41"/>
        <v xml:space="preserve"> =&lt;90</v>
      </c>
      <c r="AL2646" s="1" t="e">
        <f>VLOOKUP(C:C,[1]基础信息!B$1:D$65536,3,0)</f>
        <v>#N/A</v>
      </c>
      <c r="AM2646" s="1" t="e">
        <f>VLOOKUP(C:C,[1]基础信息!B$1:E$65536,4,0)</f>
        <v>#N/A</v>
      </c>
      <c r="AN2646" s="1" t="e">
        <f>VLOOKUP(C:C,[1]基础信息!B$1:F$65536,5,0)</f>
        <v>#N/A</v>
      </c>
    </row>
    <row r="2647" spans="1:40">
      <c r="A2647" s="1" t="s">
        <v>41</v>
      </c>
      <c r="B2647" s="1" t="s">
        <v>42</v>
      </c>
      <c r="C2647" s="1" t="s">
        <v>4352</v>
      </c>
      <c r="D2647" s="1" t="s">
        <v>4353</v>
      </c>
      <c r="E2647" s="1" t="s">
        <v>45</v>
      </c>
      <c r="F2647" s="1" t="s">
        <v>6083</v>
      </c>
      <c r="G2647" s="1" t="s">
        <v>6089</v>
      </c>
      <c r="H2647" s="1" t="s">
        <v>6090</v>
      </c>
      <c r="I2647" s="1" t="s">
        <v>49</v>
      </c>
      <c r="J2647" s="1" t="s">
        <v>48</v>
      </c>
      <c r="K2647" s="1">
        <v>336</v>
      </c>
      <c r="L2647" s="1">
        <v>0</v>
      </c>
      <c r="M2647" s="1">
        <v>0</v>
      </c>
      <c r="N2647" s="1">
        <v>336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 t="s">
        <v>49</v>
      </c>
      <c r="AA2647" s="1" t="s">
        <v>49</v>
      </c>
      <c r="AB2647" s="1" t="s">
        <v>49</v>
      </c>
      <c r="AC2647" s="1" t="s">
        <v>3264</v>
      </c>
      <c r="AD2647" s="1" t="s">
        <v>3265</v>
      </c>
      <c r="AE2647" s="1" t="s">
        <v>3264</v>
      </c>
      <c r="AF2647" s="1" t="s">
        <v>6086</v>
      </c>
      <c r="AG2647" s="1" t="s">
        <v>53</v>
      </c>
      <c r="AH2647" s="1" t="s">
        <v>49</v>
      </c>
      <c r="AI2647" s="1" t="s">
        <v>54</v>
      </c>
      <c r="AJ2647" s="1">
        <v>1</v>
      </c>
      <c r="AK2647" s="1" t="str">
        <f t="shared" si="41"/>
        <v xml:space="preserve"> =&lt;90</v>
      </c>
      <c r="AL2647" s="1" t="e">
        <f>VLOOKUP(C:C,[1]基础信息!B$1:D$65536,3,0)</f>
        <v>#N/A</v>
      </c>
      <c r="AM2647" s="1" t="e">
        <f>VLOOKUP(C:C,[1]基础信息!B$1:E$65536,4,0)</f>
        <v>#N/A</v>
      </c>
      <c r="AN2647" s="1" t="e">
        <f>VLOOKUP(C:C,[1]基础信息!B$1:F$65536,5,0)</f>
        <v>#N/A</v>
      </c>
    </row>
    <row r="2648" spans="1:40">
      <c r="A2648" s="1" t="s">
        <v>41</v>
      </c>
      <c r="B2648" s="1" t="s">
        <v>42</v>
      </c>
      <c r="C2648" s="1" t="s">
        <v>3512</v>
      </c>
      <c r="D2648" s="1" t="s">
        <v>3513</v>
      </c>
      <c r="E2648" s="1" t="s">
        <v>45</v>
      </c>
      <c r="F2648" s="1" t="s">
        <v>6048</v>
      </c>
      <c r="G2648" s="1" t="s">
        <v>6091</v>
      </c>
      <c r="H2648" s="1" t="s">
        <v>6092</v>
      </c>
      <c r="I2648" s="1" t="s">
        <v>49</v>
      </c>
      <c r="J2648" s="1" t="s">
        <v>48</v>
      </c>
      <c r="K2648" s="1">
        <v>840</v>
      </c>
      <c r="L2648" s="1">
        <v>0</v>
      </c>
      <c r="M2648" s="1">
        <v>0</v>
      </c>
      <c r="N2648" s="1">
        <v>840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 t="s">
        <v>49</v>
      </c>
      <c r="AA2648" s="1" t="s">
        <v>49</v>
      </c>
      <c r="AB2648" s="1" t="s">
        <v>49</v>
      </c>
      <c r="AC2648" s="1" t="s">
        <v>376</v>
      </c>
      <c r="AD2648" s="1" t="s">
        <v>377</v>
      </c>
      <c r="AE2648" s="1" t="s">
        <v>2898</v>
      </c>
      <c r="AF2648" s="1" t="s">
        <v>5908</v>
      </c>
      <c r="AG2648" s="1" t="s">
        <v>53</v>
      </c>
      <c r="AH2648" s="1" t="s">
        <v>49</v>
      </c>
      <c r="AI2648" s="1" t="s">
        <v>54</v>
      </c>
      <c r="AJ2648" s="1">
        <v>1</v>
      </c>
      <c r="AK2648" s="1" t="str">
        <f t="shared" si="41"/>
        <v xml:space="preserve"> =&lt;90</v>
      </c>
      <c r="AL2648" s="1" t="str">
        <f>VLOOKUP(C:C,[1]基础信息!B$1:D$65536,3,0)</f>
        <v xml:space="preserve">Cartridge </v>
      </c>
      <c r="AM2648" s="1" t="str">
        <f>VLOOKUP(C:C,[1]基础信息!B$1:E$65536,4,0)</f>
        <v>UNIV</v>
      </c>
      <c r="AN2648" s="1" t="str">
        <f>VLOOKUP(C:C,[1]基础信息!B$1:F$65536,5,0)</f>
        <v>P3</v>
      </c>
    </row>
    <row r="2649" spans="1:40">
      <c r="A2649" s="1" t="s">
        <v>41</v>
      </c>
      <c r="B2649" s="1" t="s">
        <v>42</v>
      </c>
      <c r="C2649" s="1" t="s">
        <v>3601</v>
      </c>
      <c r="D2649" s="1" t="s">
        <v>3602</v>
      </c>
      <c r="E2649" s="1" t="s">
        <v>45</v>
      </c>
      <c r="F2649" s="1" t="s">
        <v>6093</v>
      </c>
      <c r="G2649" s="1" t="s">
        <v>6094</v>
      </c>
      <c r="H2649" s="1" t="s">
        <v>6095</v>
      </c>
      <c r="I2649" s="1" t="s">
        <v>49</v>
      </c>
      <c r="J2649" s="1" t="s">
        <v>48</v>
      </c>
      <c r="K2649" s="1">
        <v>2520</v>
      </c>
      <c r="L2649" s="1">
        <v>0</v>
      </c>
      <c r="M2649" s="1">
        <v>0</v>
      </c>
      <c r="N2649" s="1">
        <v>2520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 t="s">
        <v>49</v>
      </c>
      <c r="AA2649" s="1" t="s">
        <v>49</v>
      </c>
      <c r="AB2649" s="1" t="s">
        <v>49</v>
      </c>
      <c r="AC2649" s="1" t="s">
        <v>376</v>
      </c>
      <c r="AD2649" s="1" t="s">
        <v>377</v>
      </c>
      <c r="AE2649" s="1" t="s">
        <v>2898</v>
      </c>
      <c r="AF2649" s="1" t="s">
        <v>5231</v>
      </c>
      <c r="AG2649" s="1" t="s">
        <v>53</v>
      </c>
      <c r="AH2649" s="1" t="s">
        <v>49</v>
      </c>
      <c r="AI2649" s="1" t="s">
        <v>54</v>
      </c>
      <c r="AJ2649" s="1">
        <v>1</v>
      </c>
      <c r="AK2649" s="1" t="str">
        <f t="shared" si="41"/>
        <v xml:space="preserve"> =&lt;90</v>
      </c>
      <c r="AL2649" s="1" t="e">
        <f>VLOOKUP(C:C,[1]基础信息!B$1:D$65536,3,0)</f>
        <v>#N/A</v>
      </c>
      <c r="AM2649" s="1" t="e">
        <f>VLOOKUP(C:C,[1]基础信息!B$1:E$65536,4,0)</f>
        <v>#N/A</v>
      </c>
      <c r="AN2649" s="1" t="e">
        <f>VLOOKUP(C:C,[1]基础信息!B$1:F$65536,5,0)</f>
        <v>#N/A</v>
      </c>
    </row>
    <row r="2650" spans="1:40">
      <c r="A2650" s="1" t="s">
        <v>41</v>
      </c>
      <c r="B2650" s="1" t="s">
        <v>42</v>
      </c>
      <c r="C2650" s="1" t="s">
        <v>4352</v>
      </c>
      <c r="D2650" s="1" t="s">
        <v>4353</v>
      </c>
      <c r="E2650" s="1" t="s">
        <v>45</v>
      </c>
      <c r="F2650" s="1" t="s">
        <v>5796</v>
      </c>
      <c r="G2650" s="1" t="s">
        <v>6096</v>
      </c>
      <c r="H2650" s="1" t="s">
        <v>6097</v>
      </c>
      <c r="I2650" s="1" t="s">
        <v>49</v>
      </c>
      <c r="J2650" s="1" t="s">
        <v>48</v>
      </c>
      <c r="K2650" s="1">
        <v>336</v>
      </c>
      <c r="L2650" s="1">
        <v>0</v>
      </c>
      <c r="M2650" s="1">
        <v>0</v>
      </c>
      <c r="N2650" s="1">
        <v>336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 t="s">
        <v>49</v>
      </c>
      <c r="AA2650" s="1" t="s">
        <v>49</v>
      </c>
      <c r="AB2650" s="1" t="s">
        <v>49</v>
      </c>
      <c r="AC2650" s="1" t="s">
        <v>206</v>
      </c>
      <c r="AD2650" s="1" t="s">
        <v>5795</v>
      </c>
      <c r="AE2650" s="1" t="s">
        <v>206</v>
      </c>
      <c r="AF2650" s="1" t="s">
        <v>5799</v>
      </c>
      <c r="AG2650" s="1" t="s">
        <v>53</v>
      </c>
      <c r="AH2650" s="1" t="s">
        <v>49</v>
      </c>
      <c r="AI2650" s="1" t="s">
        <v>54</v>
      </c>
      <c r="AJ2650" s="1">
        <v>1</v>
      </c>
      <c r="AK2650" s="1" t="str">
        <f t="shared" si="41"/>
        <v xml:space="preserve"> =&lt;90</v>
      </c>
      <c r="AL2650" s="1" t="e">
        <f>VLOOKUP(C:C,[1]基础信息!B$1:D$65536,3,0)</f>
        <v>#N/A</v>
      </c>
      <c r="AM2650" s="1" t="e">
        <f>VLOOKUP(C:C,[1]基础信息!B$1:E$65536,4,0)</f>
        <v>#N/A</v>
      </c>
      <c r="AN2650" s="1" t="e">
        <f>VLOOKUP(C:C,[1]基础信息!B$1:F$65536,5,0)</f>
        <v>#N/A</v>
      </c>
    </row>
    <row r="2651" spans="1:40">
      <c r="A2651" s="1" t="s">
        <v>41</v>
      </c>
      <c r="B2651" s="1" t="s">
        <v>42</v>
      </c>
      <c r="C2651" s="1" t="s">
        <v>4352</v>
      </c>
      <c r="D2651" s="1" t="s">
        <v>4353</v>
      </c>
      <c r="E2651" s="1" t="s">
        <v>45</v>
      </c>
      <c r="F2651" s="1" t="s">
        <v>6083</v>
      </c>
      <c r="G2651" s="1" t="s">
        <v>6098</v>
      </c>
      <c r="H2651" s="1" t="s">
        <v>6099</v>
      </c>
      <c r="I2651" s="1" t="s">
        <v>49</v>
      </c>
      <c r="J2651" s="1" t="s">
        <v>48</v>
      </c>
      <c r="K2651" s="1">
        <v>336</v>
      </c>
      <c r="L2651" s="1">
        <v>0</v>
      </c>
      <c r="M2651" s="1">
        <v>0</v>
      </c>
      <c r="N2651" s="1">
        <v>336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 t="s">
        <v>49</v>
      </c>
      <c r="AA2651" s="1" t="s">
        <v>49</v>
      </c>
      <c r="AB2651" s="1" t="s">
        <v>49</v>
      </c>
      <c r="AC2651" s="1" t="s">
        <v>3264</v>
      </c>
      <c r="AD2651" s="1" t="s">
        <v>3265</v>
      </c>
      <c r="AE2651" s="1" t="s">
        <v>3264</v>
      </c>
      <c r="AF2651" s="1" t="s">
        <v>6086</v>
      </c>
      <c r="AG2651" s="1" t="s">
        <v>53</v>
      </c>
      <c r="AH2651" s="1" t="s">
        <v>49</v>
      </c>
      <c r="AI2651" s="1" t="s">
        <v>54</v>
      </c>
      <c r="AJ2651" s="1">
        <v>1</v>
      </c>
      <c r="AK2651" s="1" t="str">
        <f t="shared" si="41"/>
        <v xml:space="preserve"> =&lt;90</v>
      </c>
      <c r="AL2651" s="1" t="e">
        <f>VLOOKUP(C:C,[1]基础信息!B$1:D$65536,3,0)</f>
        <v>#N/A</v>
      </c>
      <c r="AM2651" s="1" t="e">
        <f>VLOOKUP(C:C,[1]基础信息!B$1:E$65536,4,0)</f>
        <v>#N/A</v>
      </c>
      <c r="AN2651" s="1" t="e">
        <f>VLOOKUP(C:C,[1]基础信息!B$1:F$65536,5,0)</f>
        <v>#N/A</v>
      </c>
    </row>
    <row r="2652" spans="1:40">
      <c r="A2652" s="1" t="s">
        <v>41</v>
      </c>
      <c r="B2652" s="1" t="s">
        <v>42</v>
      </c>
      <c r="C2652" s="1" t="s">
        <v>3601</v>
      </c>
      <c r="D2652" s="1" t="s">
        <v>3602</v>
      </c>
      <c r="E2652" s="1" t="s">
        <v>45</v>
      </c>
      <c r="F2652" s="1" t="s">
        <v>6093</v>
      </c>
      <c r="G2652" s="1" t="s">
        <v>6100</v>
      </c>
      <c r="H2652" s="1" t="s">
        <v>6101</v>
      </c>
      <c r="I2652" s="1" t="s">
        <v>49</v>
      </c>
      <c r="J2652" s="1" t="s">
        <v>48</v>
      </c>
      <c r="K2652" s="1">
        <v>2520</v>
      </c>
      <c r="L2652" s="1">
        <v>0</v>
      </c>
      <c r="M2652" s="1">
        <v>0</v>
      </c>
      <c r="N2652" s="1">
        <v>2520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 t="s">
        <v>49</v>
      </c>
      <c r="AA2652" s="1" t="s">
        <v>49</v>
      </c>
      <c r="AB2652" s="1" t="s">
        <v>49</v>
      </c>
      <c r="AC2652" s="1" t="s">
        <v>376</v>
      </c>
      <c r="AD2652" s="1" t="s">
        <v>377</v>
      </c>
      <c r="AE2652" s="1" t="s">
        <v>2898</v>
      </c>
      <c r="AF2652" s="1" t="s">
        <v>5231</v>
      </c>
      <c r="AG2652" s="1" t="s">
        <v>53</v>
      </c>
      <c r="AH2652" s="1" t="s">
        <v>49</v>
      </c>
      <c r="AI2652" s="1" t="s">
        <v>54</v>
      </c>
      <c r="AJ2652" s="1">
        <v>1</v>
      </c>
      <c r="AK2652" s="1" t="str">
        <f t="shared" si="41"/>
        <v xml:space="preserve"> =&lt;90</v>
      </c>
      <c r="AL2652" s="1" t="e">
        <f>VLOOKUP(C:C,[1]基础信息!B$1:D$65536,3,0)</f>
        <v>#N/A</v>
      </c>
      <c r="AM2652" s="1" t="e">
        <f>VLOOKUP(C:C,[1]基础信息!B$1:E$65536,4,0)</f>
        <v>#N/A</v>
      </c>
      <c r="AN2652" s="1" t="e">
        <f>VLOOKUP(C:C,[1]基础信息!B$1:F$65536,5,0)</f>
        <v>#N/A</v>
      </c>
    </row>
    <row r="2653" spans="1:40">
      <c r="A2653" s="1" t="s">
        <v>41</v>
      </c>
      <c r="B2653" s="1" t="s">
        <v>42</v>
      </c>
      <c r="C2653" s="1" t="s">
        <v>5254</v>
      </c>
      <c r="D2653" s="1" t="s">
        <v>5255</v>
      </c>
      <c r="E2653" s="1" t="s">
        <v>45</v>
      </c>
      <c r="F2653" s="1" t="s">
        <v>5261</v>
      </c>
      <c r="G2653" s="1" t="s">
        <v>6102</v>
      </c>
      <c r="H2653" s="1" t="s">
        <v>6103</v>
      </c>
      <c r="I2653" s="1" t="s">
        <v>49</v>
      </c>
      <c r="J2653" s="1" t="s">
        <v>48</v>
      </c>
      <c r="K2653" s="1">
        <v>2200</v>
      </c>
      <c r="L2653" s="1">
        <v>0</v>
      </c>
      <c r="M2653" s="1">
        <v>0</v>
      </c>
      <c r="N2653" s="1">
        <v>2200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 t="s">
        <v>49</v>
      </c>
      <c r="AA2653" s="1" t="s">
        <v>49</v>
      </c>
      <c r="AB2653" s="1" t="s">
        <v>49</v>
      </c>
      <c r="AC2653" s="1" t="s">
        <v>5228</v>
      </c>
      <c r="AD2653" s="1" t="s">
        <v>5229</v>
      </c>
      <c r="AE2653" s="1" t="s">
        <v>5230</v>
      </c>
      <c r="AF2653" s="1" t="s">
        <v>5264</v>
      </c>
      <c r="AG2653" s="1" t="s">
        <v>53</v>
      </c>
      <c r="AH2653" s="1" t="s">
        <v>49</v>
      </c>
      <c r="AI2653" s="1" t="s">
        <v>54</v>
      </c>
      <c r="AJ2653" s="1">
        <v>1</v>
      </c>
      <c r="AK2653" s="1" t="str">
        <f t="shared" si="41"/>
        <v xml:space="preserve"> =&lt;90</v>
      </c>
      <c r="AL2653" s="1" t="str">
        <f>VLOOKUP(C:C,[1]基础信息!B$1:D$65536,3,0)</f>
        <v xml:space="preserve">Cartridge </v>
      </c>
      <c r="AM2653" s="1" t="str">
        <f>VLOOKUP(C:C,[1]基础信息!B$1:E$65536,4,0)</f>
        <v>UNIV</v>
      </c>
      <c r="AN2653" s="1" t="str">
        <f>VLOOKUP(C:C,[1]基础信息!B$1:F$65536,5,0)</f>
        <v>P55</v>
      </c>
    </row>
    <row r="2654" spans="1:40">
      <c r="A2654" s="1" t="s">
        <v>41</v>
      </c>
      <c r="B2654" s="1" t="s">
        <v>42</v>
      </c>
      <c r="C2654" s="1" t="s">
        <v>5254</v>
      </c>
      <c r="D2654" s="1" t="s">
        <v>5255</v>
      </c>
      <c r="E2654" s="1" t="s">
        <v>45</v>
      </c>
      <c r="F2654" s="1" t="s">
        <v>5261</v>
      </c>
      <c r="G2654" s="1" t="s">
        <v>6104</v>
      </c>
      <c r="H2654" s="1" t="s">
        <v>6105</v>
      </c>
      <c r="I2654" s="1" t="s">
        <v>49</v>
      </c>
      <c r="J2654" s="1" t="s">
        <v>48</v>
      </c>
      <c r="K2654" s="1">
        <v>2200</v>
      </c>
      <c r="L2654" s="1">
        <v>0</v>
      </c>
      <c r="M2654" s="1">
        <v>0</v>
      </c>
      <c r="N2654" s="1">
        <v>2200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 t="s">
        <v>49</v>
      </c>
      <c r="AA2654" s="1" t="s">
        <v>49</v>
      </c>
      <c r="AB2654" s="1" t="s">
        <v>49</v>
      </c>
      <c r="AC2654" s="1" t="s">
        <v>5228</v>
      </c>
      <c r="AD2654" s="1" t="s">
        <v>5229</v>
      </c>
      <c r="AE2654" s="1" t="s">
        <v>5230</v>
      </c>
      <c r="AF2654" s="1" t="s">
        <v>5264</v>
      </c>
      <c r="AG2654" s="1" t="s">
        <v>53</v>
      </c>
      <c r="AH2654" s="1" t="s">
        <v>49</v>
      </c>
      <c r="AI2654" s="1" t="s">
        <v>54</v>
      </c>
      <c r="AJ2654" s="1">
        <v>1</v>
      </c>
      <c r="AK2654" s="1" t="str">
        <f t="shared" si="41"/>
        <v xml:space="preserve"> =&lt;90</v>
      </c>
      <c r="AL2654" s="1" t="str">
        <f>VLOOKUP(C:C,[1]基础信息!B$1:D$65536,3,0)</f>
        <v xml:space="preserve">Cartridge </v>
      </c>
      <c r="AM2654" s="1" t="str">
        <f>VLOOKUP(C:C,[1]基础信息!B$1:E$65536,4,0)</f>
        <v>UNIV</v>
      </c>
      <c r="AN2654" s="1" t="str">
        <f>VLOOKUP(C:C,[1]基础信息!B$1:F$65536,5,0)</f>
        <v>P55</v>
      </c>
    </row>
    <row r="2655" spans="1:40">
      <c r="A2655" s="1" t="s">
        <v>41</v>
      </c>
      <c r="B2655" s="1" t="s">
        <v>42</v>
      </c>
      <c r="C2655" s="1" t="s">
        <v>6106</v>
      </c>
      <c r="D2655" s="1" t="s">
        <v>6107</v>
      </c>
      <c r="E2655" s="1" t="s">
        <v>45</v>
      </c>
      <c r="F2655" s="1" t="s">
        <v>6108</v>
      </c>
      <c r="G2655" s="1" t="s">
        <v>6109</v>
      </c>
      <c r="H2655" s="1" t="s">
        <v>45</v>
      </c>
      <c r="I2655" s="1" t="s">
        <v>45</v>
      </c>
      <c r="J2655" s="1" t="s">
        <v>48</v>
      </c>
      <c r="K2655" s="1">
        <v>101</v>
      </c>
      <c r="L2655" s="1">
        <v>0</v>
      </c>
      <c r="M2655" s="1">
        <v>0</v>
      </c>
      <c r="N2655" s="1">
        <v>101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 t="s">
        <v>49</v>
      </c>
      <c r="AA2655" s="1" t="s">
        <v>49</v>
      </c>
      <c r="AB2655" s="1" t="s">
        <v>49</v>
      </c>
      <c r="AC2655" s="1" t="s">
        <v>6110</v>
      </c>
      <c r="AD2655" s="1" t="s">
        <v>6111</v>
      </c>
      <c r="AE2655" s="1" t="s">
        <v>6110</v>
      </c>
      <c r="AF2655" s="1" t="s">
        <v>49</v>
      </c>
      <c r="AG2655" s="1" t="s">
        <v>53</v>
      </c>
      <c r="AH2655" s="1" t="s">
        <v>49</v>
      </c>
      <c r="AI2655" s="1" t="s">
        <v>54</v>
      </c>
      <c r="AJ2655" s="1">
        <v>1</v>
      </c>
      <c r="AK2655" s="1" t="str">
        <f t="shared" si="41"/>
        <v xml:space="preserve"> =&lt;90</v>
      </c>
      <c r="AL2655" s="1" t="str">
        <f>VLOOKUP(C:C,[1]基础信息!B$1:D$65536,3,0)</f>
        <v>On tap</v>
      </c>
      <c r="AM2655" s="1" t="str">
        <f>VLOOKUP(C:C,[1]基础信息!B$1:E$65536,4,0)</f>
        <v>On tap</v>
      </c>
      <c r="AN2655" s="1" t="str">
        <f>VLOOKUP(C:C,[1]基础信息!B$1:F$65536,5,0)</f>
        <v>Refill</v>
      </c>
    </row>
    <row r="2656" spans="1:40">
      <c r="A2656" s="1" t="s">
        <v>41</v>
      </c>
      <c r="B2656" s="1" t="s">
        <v>42</v>
      </c>
      <c r="C2656" s="1" t="s">
        <v>5254</v>
      </c>
      <c r="D2656" s="1" t="s">
        <v>5255</v>
      </c>
      <c r="E2656" s="1" t="s">
        <v>45</v>
      </c>
      <c r="F2656" s="1" t="s">
        <v>5933</v>
      </c>
      <c r="G2656" s="1" t="s">
        <v>6112</v>
      </c>
      <c r="H2656" s="1" t="s">
        <v>6113</v>
      </c>
      <c r="I2656" s="1" t="s">
        <v>49</v>
      </c>
      <c r="J2656" s="1" t="s">
        <v>48</v>
      </c>
      <c r="K2656" s="1">
        <v>2200</v>
      </c>
      <c r="L2656" s="1">
        <v>0</v>
      </c>
      <c r="M2656" s="1">
        <v>0</v>
      </c>
      <c r="N2656" s="1">
        <v>2200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 t="s">
        <v>49</v>
      </c>
      <c r="AA2656" s="1" t="s">
        <v>49</v>
      </c>
      <c r="AB2656" s="1" t="s">
        <v>49</v>
      </c>
      <c r="AC2656" s="1" t="s">
        <v>3190</v>
      </c>
      <c r="AD2656" s="1" t="s">
        <v>3254</v>
      </c>
      <c r="AE2656" s="1" t="s">
        <v>3255</v>
      </c>
      <c r="AF2656" s="1" t="s">
        <v>5936</v>
      </c>
      <c r="AG2656" s="1" t="s">
        <v>53</v>
      </c>
      <c r="AH2656" s="1" t="s">
        <v>49</v>
      </c>
      <c r="AI2656" s="1" t="s">
        <v>54</v>
      </c>
      <c r="AJ2656" s="1">
        <v>1</v>
      </c>
      <c r="AK2656" s="1" t="str">
        <f t="shared" si="41"/>
        <v xml:space="preserve"> =&lt;90</v>
      </c>
      <c r="AL2656" s="1" t="str">
        <f>VLOOKUP(C:C,[1]基础信息!B$1:D$65536,3,0)</f>
        <v xml:space="preserve">Cartridge </v>
      </c>
      <c r="AM2656" s="1" t="str">
        <f>VLOOKUP(C:C,[1]基础信息!B$1:E$65536,4,0)</f>
        <v>UNIV</v>
      </c>
      <c r="AN2656" s="1" t="str">
        <f>VLOOKUP(C:C,[1]基础信息!B$1:F$65536,5,0)</f>
        <v>P55</v>
      </c>
    </row>
    <row r="2657" spans="1:40">
      <c r="A2657" s="1" t="s">
        <v>41</v>
      </c>
      <c r="B2657" s="1" t="s">
        <v>42</v>
      </c>
      <c r="C2657" s="1" t="s">
        <v>5254</v>
      </c>
      <c r="D2657" s="1" t="s">
        <v>5255</v>
      </c>
      <c r="E2657" s="1" t="s">
        <v>45</v>
      </c>
      <c r="F2657" s="1" t="s">
        <v>5933</v>
      </c>
      <c r="G2657" s="1" t="s">
        <v>6114</v>
      </c>
      <c r="H2657" s="1" t="s">
        <v>6115</v>
      </c>
      <c r="I2657" s="1" t="s">
        <v>49</v>
      </c>
      <c r="J2657" s="1" t="s">
        <v>48</v>
      </c>
      <c r="K2657" s="1">
        <v>2200</v>
      </c>
      <c r="L2657" s="1">
        <v>0</v>
      </c>
      <c r="M2657" s="1">
        <v>0</v>
      </c>
      <c r="N2657" s="1">
        <v>2200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 t="s">
        <v>49</v>
      </c>
      <c r="AA2657" s="1" t="s">
        <v>49</v>
      </c>
      <c r="AB2657" s="1" t="s">
        <v>49</v>
      </c>
      <c r="AC2657" s="1" t="s">
        <v>3190</v>
      </c>
      <c r="AD2657" s="1" t="s">
        <v>3254</v>
      </c>
      <c r="AE2657" s="1" t="s">
        <v>3255</v>
      </c>
      <c r="AF2657" s="1" t="s">
        <v>5936</v>
      </c>
      <c r="AG2657" s="1" t="s">
        <v>53</v>
      </c>
      <c r="AH2657" s="1" t="s">
        <v>49</v>
      </c>
      <c r="AI2657" s="1" t="s">
        <v>54</v>
      </c>
      <c r="AJ2657" s="1">
        <v>1</v>
      </c>
      <c r="AK2657" s="1" t="str">
        <f t="shared" si="41"/>
        <v xml:space="preserve"> =&lt;90</v>
      </c>
      <c r="AL2657" s="1" t="str">
        <f>VLOOKUP(C:C,[1]基础信息!B$1:D$65536,3,0)</f>
        <v xml:space="preserve">Cartridge </v>
      </c>
      <c r="AM2657" s="1" t="str">
        <f>VLOOKUP(C:C,[1]基础信息!B$1:E$65536,4,0)</f>
        <v>UNIV</v>
      </c>
      <c r="AN2657" s="1" t="str">
        <f>VLOOKUP(C:C,[1]基础信息!B$1:F$65536,5,0)</f>
        <v>P55</v>
      </c>
    </row>
    <row r="2658" spans="1:40">
      <c r="A2658" s="1" t="s">
        <v>41</v>
      </c>
      <c r="B2658" s="1" t="s">
        <v>42</v>
      </c>
      <c r="C2658" s="1" t="s">
        <v>4352</v>
      </c>
      <c r="D2658" s="1" t="s">
        <v>4353</v>
      </c>
      <c r="E2658" s="1" t="s">
        <v>45</v>
      </c>
      <c r="F2658" s="1" t="s">
        <v>6083</v>
      </c>
      <c r="G2658" s="1" t="s">
        <v>6116</v>
      </c>
      <c r="H2658" s="1" t="s">
        <v>6117</v>
      </c>
      <c r="I2658" s="1" t="s">
        <v>49</v>
      </c>
      <c r="J2658" s="1" t="s">
        <v>48</v>
      </c>
      <c r="K2658" s="1">
        <v>336</v>
      </c>
      <c r="L2658" s="1">
        <v>0</v>
      </c>
      <c r="M2658" s="1">
        <v>0</v>
      </c>
      <c r="N2658" s="1">
        <v>336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 t="s">
        <v>49</v>
      </c>
      <c r="AA2658" s="1" t="s">
        <v>49</v>
      </c>
      <c r="AB2658" s="1" t="s">
        <v>49</v>
      </c>
      <c r="AC2658" s="1" t="s">
        <v>3264</v>
      </c>
      <c r="AD2658" s="1" t="s">
        <v>3265</v>
      </c>
      <c r="AE2658" s="1" t="s">
        <v>3264</v>
      </c>
      <c r="AF2658" s="1" t="s">
        <v>6086</v>
      </c>
      <c r="AG2658" s="1" t="s">
        <v>53</v>
      </c>
      <c r="AH2658" s="1" t="s">
        <v>49</v>
      </c>
      <c r="AI2658" s="1" t="s">
        <v>54</v>
      </c>
      <c r="AJ2658" s="1">
        <v>1</v>
      </c>
      <c r="AK2658" s="1" t="str">
        <f t="shared" si="41"/>
        <v xml:space="preserve"> =&lt;90</v>
      </c>
      <c r="AL2658" s="1" t="e">
        <f>VLOOKUP(C:C,[1]基础信息!B$1:D$65536,3,0)</f>
        <v>#N/A</v>
      </c>
      <c r="AM2658" s="1" t="e">
        <f>VLOOKUP(C:C,[1]基础信息!B$1:E$65536,4,0)</f>
        <v>#N/A</v>
      </c>
      <c r="AN2658" s="1" t="e">
        <f>VLOOKUP(C:C,[1]基础信息!B$1:F$65536,5,0)</f>
        <v>#N/A</v>
      </c>
    </row>
    <row r="2659" spans="1:40">
      <c r="A2659" s="1" t="s">
        <v>41</v>
      </c>
      <c r="B2659" s="1" t="s">
        <v>42</v>
      </c>
      <c r="C2659" s="1" t="s">
        <v>5254</v>
      </c>
      <c r="D2659" s="1" t="s">
        <v>5255</v>
      </c>
      <c r="E2659" s="1" t="s">
        <v>45</v>
      </c>
      <c r="F2659" s="1" t="s">
        <v>5261</v>
      </c>
      <c r="G2659" s="1" t="s">
        <v>6118</v>
      </c>
      <c r="H2659" s="1" t="s">
        <v>6119</v>
      </c>
      <c r="I2659" s="1" t="s">
        <v>49</v>
      </c>
      <c r="J2659" s="1" t="s">
        <v>48</v>
      </c>
      <c r="K2659" s="1">
        <v>2200</v>
      </c>
      <c r="L2659" s="1">
        <v>0</v>
      </c>
      <c r="M2659" s="1">
        <v>0</v>
      </c>
      <c r="N2659" s="1">
        <v>2200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 t="s">
        <v>49</v>
      </c>
      <c r="AA2659" s="1" t="s">
        <v>49</v>
      </c>
      <c r="AB2659" s="1" t="s">
        <v>49</v>
      </c>
      <c r="AC2659" s="1" t="s">
        <v>5228</v>
      </c>
      <c r="AD2659" s="1" t="s">
        <v>5229</v>
      </c>
      <c r="AE2659" s="1" t="s">
        <v>5230</v>
      </c>
      <c r="AF2659" s="1" t="s">
        <v>5264</v>
      </c>
      <c r="AG2659" s="1" t="s">
        <v>53</v>
      </c>
      <c r="AH2659" s="1" t="s">
        <v>49</v>
      </c>
      <c r="AI2659" s="1" t="s">
        <v>54</v>
      </c>
      <c r="AJ2659" s="1">
        <v>1</v>
      </c>
      <c r="AK2659" s="1" t="str">
        <f t="shared" si="41"/>
        <v xml:space="preserve"> =&lt;90</v>
      </c>
      <c r="AL2659" s="1" t="str">
        <f>VLOOKUP(C:C,[1]基础信息!B$1:D$65536,3,0)</f>
        <v xml:space="preserve">Cartridge </v>
      </c>
      <c r="AM2659" s="1" t="str">
        <f>VLOOKUP(C:C,[1]基础信息!B$1:E$65536,4,0)</f>
        <v>UNIV</v>
      </c>
      <c r="AN2659" s="1" t="str">
        <f>VLOOKUP(C:C,[1]基础信息!B$1:F$65536,5,0)</f>
        <v>P55</v>
      </c>
    </row>
    <row r="2660" spans="1:40">
      <c r="A2660" s="1" t="s">
        <v>41</v>
      </c>
      <c r="B2660" s="1" t="s">
        <v>42</v>
      </c>
      <c r="C2660" s="1" t="s">
        <v>5254</v>
      </c>
      <c r="D2660" s="1" t="s">
        <v>5255</v>
      </c>
      <c r="E2660" s="1" t="s">
        <v>45</v>
      </c>
      <c r="F2660" s="1" t="s">
        <v>6120</v>
      </c>
      <c r="G2660" s="1" t="s">
        <v>6121</v>
      </c>
      <c r="H2660" s="1" t="s">
        <v>6122</v>
      </c>
      <c r="I2660" s="1" t="s">
        <v>49</v>
      </c>
      <c r="J2660" s="1" t="s">
        <v>48</v>
      </c>
      <c r="K2660" s="1">
        <v>2035</v>
      </c>
      <c r="L2660" s="1">
        <v>0</v>
      </c>
      <c r="M2660" s="1">
        <v>0</v>
      </c>
      <c r="N2660" s="1">
        <v>2035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 t="s">
        <v>49</v>
      </c>
      <c r="AA2660" s="1" t="s">
        <v>49</v>
      </c>
      <c r="AB2660" s="1" t="s">
        <v>49</v>
      </c>
      <c r="AC2660" s="1" t="s">
        <v>5899</v>
      </c>
      <c r="AD2660" s="1" t="s">
        <v>5900</v>
      </c>
      <c r="AE2660" s="1" t="s">
        <v>5901</v>
      </c>
      <c r="AF2660" s="1" t="s">
        <v>6123</v>
      </c>
      <c r="AG2660" s="1" t="s">
        <v>53</v>
      </c>
      <c r="AH2660" s="1" t="s">
        <v>49</v>
      </c>
      <c r="AI2660" s="1" t="s">
        <v>54</v>
      </c>
      <c r="AJ2660" s="1">
        <v>1</v>
      </c>
      <c r="AK2660" s="1" t="str">
        <f t="shared" si="41"/>
        <v xml:space="preserve"> =&lt;90</v>
      </c>
      <c r="AL2660" s="1" t="str">
        <f>VLOOKUP(C:C,[1]基础信息!B$1:D$65536,3,0)</f>
        <v xml:space="preserve">Cartridge </v>
      </c>
      <c r="AM2660" s="1" t="str">
        <f>VLOOKUP(C:C,[1]基础信息!B$1:E$65536,4,0)</f>
        <v>UNIV</v>
      </c>
      <c r="AN2660" s="1" t="str">
        <f>VLOOKUP(C:C,[1]基础信息!B$1:F$65536,5,0)</f>
        <v>P55</v>
      </c>
    </row>
    <row r="2661" spans="1:40">
      <c r="A2661" s="1" t="s">
        <v>41</v>
      </c>
      <c r="B2661" s="1" t="s">
        <v>42</v>
      </c>
      <c r="C2661" s="1" t="s">
        <v>4352</v>
      </c>
      <c r="D2661" s="1" t="s">
        <v>4353</v>
      </c>
      <c r="E2661" s="1" t="s">
        <v>45</v>
      </c>
      <c r="F2661" s="1" t="s">
        <v>6083</v>
      </c>
      <c r="G2661" s="1" t="s">
        <v>6124</v>
      </c>
      <c r="H2661" s="1" t="s">
        <v>6125</v>
      </c>
      <c r="I2661" s="1" t="s">
        <v>49</v>
      </c>
      <c r="J2661" s="1" t="s">
        <v>48</v>
      </c>
      <c r="K2661" s="1">
        <v>336</v>
      </c>
      <c r="L2661" s="1">
        <v>0</v>
      </c>
      <c r="M2661" s="1">
        <v>0</v>
      </c>
      <c r="N2661" s="1">
        <v>336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 t="s">
        <v>49</v>
      </c>
      <c r="AA2661" s="1" t="s">
        <v>49</v>
      </c>
      <c r="AB2661" s="1" t="s">
        <v>49</v>
      </c>
      <c r="AC2661" s="1" t="s">
        <v>3264</v>
      </c>
      <c r="AD2661" s="1" t="s">
        <v>3265</v>
      </c>
      <c r="AE2661" s="1" t="s">
        <v>3264</v>
      </c>
      <c r="AF2661" s="1" t="s">
        <v>6086</v>
      </c>
      <c r="AG2661" s="1" t="s">
        <v>53</v>
      </c>
      <c r="AH2661" s="1" t="s">
        <v>49</v>
      </c>
      <c r="AI2661" s="1" t="s">
        <v>54</v>
      </c>
      <c r="AJ2661" s="1">
        <v>1</v>
      </c>
      <c r="AK2661" s="1" t="str">
        <f t="shared" si="41"/>
        <v xml:space="preserve"> =&lt;90</v>
      </c>
      <c r="AL2661" s="1" t="e">
        <f>VLOOKUP(C:C,[1]基础信息!B$1:D$65536,3,0)</f>
        <v>#N/A</v>
      </c>
      <c r="AM2661" s="1" t="e">
        <f>VLOOKUP(C:C,[1]基础信息!B$1:E$65536,4,0)</f>
        <v>#N/A</v>
      </c>
      <c r="AN2661" s="1" t="e">
        <f>VLOOKUP(C:C,[1]基础信息!B$1:F$65536,5,0)</f>
        <v>#N/A</v>
      </c>
    </row>
    <row r="2662" spans="1:40">
      <c r="A2662" s="1" t="s">
        <v>41</v>
      </c>
      <c r="B2662" s="1" t="s">
        <v>42</v>
      </c>
      <c r="C2662" s="1" t="s">
        <v>5154</v>
      </c>
      <c r="D2662" s="1" t="s">
        <v>5155</v>
      </c>
      <c r="E2662" s="1" t="s">
        <v>45</v>
      </c>
      <c r="F2662" s="1" t="s">
        <v>5156</v>
      </c>
      <c r="G2662" s="1" t="s">
        <v>6126</v>
      </c>
      <c r="H2662" s="1" t="s">
        <v>6127</v>
      </c>
      <c r="I2662" s="1" t="s">
        <v>49</v>
      </c>
      <c r="J2662" s="1" t="s">
        <v>48</v>
      </c>
      <c r="K2662" s="1">
        <v>270</v>
      </c>
      <c r="L2662" s="1">
        <v>0</v>
      </c>
      <c r="M2662" s="1">
        <v>0</v>
      </c>
      <c r="N2662" s="1">
        <v>270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 t="s">
        <v>49</v>
      </c>
      <c r="AA2662" s="1" t="s">
        <v>49</v>
      </c>
      <c r="AB2662" s="1" t="s">
        <v>49</v>
      </c>
      <c r="AC2662" s="1" t="s">
        <v>215</v>
      </c>
      <c r="AD2662" s="1" t="s">
        <v>3025</v>
      </c>
      <c r="AE2662" s="1" t="s">
        <v>215</v>
      </c>
      <c r="AF2662" s="1" t="s">
        <v>5159</v>
      </c>
      <c r="AG2662" s="1" t="s">
        <v>53</v>
      </c>
      <c r="AH2662" s="1" t="s">
        <v>49</v>
      </c>
      <c r="AI2662" s="1" t="s">
        <v>54</v>
      </c>
      <c r="AJ2662" s="1">
        <v>1</v>
      </c>
      <c r="AK2662" s="1" t="str">
        <f t="shared" si="41"/>
        <v xml:space="preserve"> =&lt;90</v>
      </c>
      <c r="AL2662" s="1" t="e">
        <f>VLOOKUP(C:C,[1]基础信息!B$1:D$65536,3,0)</f>
        <v>#N/A</v>
      </c>
      <c r="AM2662" s="1" t="e">
        <f>VLOOKUP(C:C,[1]基础信息!B$1:E$65536,4,0)</f>
        <v>#N/A</v>
      </c>
      <c r="AN2662" s="1" t="e">
        <f>VLOOKUP(C:C,[1]基础信息!B$1:F$65536,5,0)</f>
        <v>#N/A</v>
      </c>
    </row>
    <row r="2663" spans="1:40">
      <c r="A2663" s="1" t="s">
        <v>41</v>
      </c>
      <c r="B2663" s="1" t="s">
        <v>42</v>
      </c>
      <c r="C2663" s="1" t="s">
        <v>5254</v>
      </c>
      <c r="D2663" s="1" t="s">
        <v>5255</v>
      </c>
      <c r="E2663" s="1" t="s">
        <v>45</v>
      </c>
      <c r="F2663" s="1" t="s">
        <v>6128</v>
      </c>
      <c r="G2663" s="1" t="s">
        <v>6129</v>
      </c>
      <c r="H2663" s="1" t="s">
        <v>6130</v>
      </c>
      <c r="I2663" s="1" t="s">
        <v>49</v>
      </c>
      <c r="J2663" s="1" t="s">
        <v>48</v>
      </c>
      <c r="K2663" s="1">
        <v>990</v>
      </c>
      <c r="L2663" s="1">
        <v>0</v>
      </c>
      <c r="M2663" s="1">
        <v>0</v>
      </c>
      <c r="N2663" s="1">
        <v>990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 t="s">
        <v>49</v>
      </c>
      <c r="AA2663" s="1" t="s">
        <v>49</v>
      </c>
      <c r="AB2663" s="1" t="s">
        <v>49</v>
      </c>
      <c r="AC2663" s="1" t="s">
        <v>5899</v>
      </c>
      <c r="AD2663" s="1" t="s">
        <v>5900</v>
      </c>
      <c r="AE2663" s="1" t="s">
        <v>5901</v>
      </c>
      <c r="AF2663" s="1" t="s">
        <v>6131</v>
      </c>
      <c r="AG2663" s="1" t="s">
        <v>53</v>
      </c>
      <c r="AH2663" s="1" t="s">
        <v>49</v>
      </c>
      <c r="AI2663" s="1" t="s">
        <v>54</v>
      </c>
      <c r="AJ2663" s="1">
        <v>1</v>
      </c>
      <c r="AK2663" s="1" t="str">
        <f t="shared" si="41"/>
        <v xml:space="preserve"> =&lt;90</v>
      </c>
      <c r="AL2663" s="1" t="str">
        <f>VLOOKUP(C:C,[1]基础信息!B$1:D$65536,3,0)</f>
        <v xml:space="preserve">Cartridge </v>
      </c>
      <c r="AM2663" s="1" t="str">
        <f>VLOOKUP(C:C,[1]基础信息!B$1:E$65536,4,0)</f>
        <v>UNIV</v>
      </c>
      <c r="AN2663" s="1" t="str">
        <f>VLOOKUP(C:C,[1]基础信息!B$1:F$65536,5,0)</f>
        <v>P55</v>
      </c>
    </row>
    <row r="2664" spans="1:40">
      <c r="A2664" s="1" t="s">
        <v>41</v>
      </c>
      <c r="B2664" s="1" t="s">
        <v>42</v>
      </c>
      <c r="C2664" s="1" t="s">
        <v>5254</v>
      </c>
      <c r="D2664" s="1" t="s">
        <v>5255</v>
      </c>
      <c r="E2664" s="1" t="s">
        <v>45</v>
      </c>
      <c r="F2664" s="1" t="s">
        <v>5933</v>
      </c>
      <c r="G2664" s="1" t="s">
        <v>6132</v>
      </c>
      <c r="H2664" s="1" t="s">
        <v>6133</v>
      </c>
      <c r="I2664" s="1" t="s">
        <v>49</v>
      </c>
      <c r="J2664" s="1" t="s">
        <v>48</v>
      </c>
      <c r="K2664" s="1">
        <v>2200</v>
      </c>
      <c r="L2664" s="1">
        <v>0</v>
      </c>
      <c r="M2664" s="1">
        <v>0</v>
      </c>
      <c r="N2664" s="1">
        <v>2200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 t="s">
        <v>49</v>
      </c>
      <c r="AA2664" s="1" t="s">
        <v>49</v>
      </c>
      <c r="AB2664" s="1" t="s">
        <v>49</v>
      </c>
      <c r="AC2664" s="1" t="s">
        <v>3190</v>
      </c>
      <c r="AD2664" s="1" t="s">
        <v>3254</v>
      </c>
      <c r="AE2664" s="1" t="s">
        <v>3255</v>
      </c>
      <c r="AF2664" s="1" t="s">
        <v>5936</v>
      </c>
      <c r="AG2664" s="1" t="s">
        <v>53</v>
      </c>
      <c r="AH2664" s="1" t="s">
        <v>49</v>
      </c>
      <c r="AI2664" s="1" t="s">
        <v>54</v>
      </c>
      <c r="AJ2664" s="1">
        <v>1</v>
      </c>
      <c r="AK2664" s="1" t="str">
        <f t="shared" si="41"/>
        <v xml:space="preserve"> =&lt;90</v>
      </c>
      <c r="AL2664" s="1" t="str">
        <f>VLOOKUP(C:C,[1]基础信息!B$1:D$65536,3,0)</f>
        <v xml:space="preserve">Cartridge </v>
      </c>
      <c r="AM2664" s="1" t="str">
        <f>VLOOKUP(C:C,[1]基础信息!B$1:E$65536,4,0)</f>
        <v>UNIV</v>
      </c>
      <c r="AN2664" s="1" t="str">
        <f>VLOOKUP(C:C,[1]基础信息!B$1:F$65536,5,0)</f>
        <v>P55</v>
      </c>
    </row>
    <row r="2665" spans="1:40">
      <c r="A2665" s="1" t="s">
        <v>41</v>
      </c>
      <c r="B2665" s="1" t="s">
        <v>42</v>
      </c>
      <c r="C2665" s="1" t="s">
        <v>4352</v>
      </c>
      <c r="D2665" s="1" t="s">
        <v>4353</v>
      </c>
      <c r="E2665" s="1" t="s">
        <v>45</v>
      </c>
      <c r="F2665" s="1" t="s">
        <v>6083</v>
      </c>
      <c r="G2665" s="1" t="s">
        <v>6134</v>
      </c>
      <c r="H2665" s="1" t="s">
        <v>6135</v>
      </c>
      <c r="I2665" s="1" t="s">
        <v>49</v>
      </c>
      <c r="J2665" s="1" t="s">
        <v>48</v>
      </c>
      <c r="K2665" s="1">
        <v>336</v>
      </c>
      <c r="L2665" s="1">
        <v>0</v>
      </c>
      <c r="M2665" s="1">
        <v>0</v>
      </c>
      <c r="N2665" s="1">
        <v>336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 t="s">
        <v>49</v>
      </c>
      <c r="AA2665" s="1" t="s">
        <v>49</v>
      </c>
      <c r="AB2665" s="1" t="s">
        <v>49</v>
      </c>
      <c r="AC2665" s="1" t="s">
        <v>3264</v>
      </c>
      <c r="AD2665" s="1" t="s">
        <v>3265</v>
      </c>
      <c r="AE2665" s="1" t="s">
        <v>3264</v>
      </c>
      <c r="AF2665" s="1" t="s">
        <v>6086</v>
      </c>
      <c r="AG2665" s="1" t="s">
        <v>53</v>
      </c>
      <c r="AH2665" s="1" t="s">
        <v>49</v>
      </c>
      <c r="AI2665" s="1" t="s">
        <v>54</v>
      </c>
      <c r="AJ2665" s="1">
        <v>1</v>
      </c>
      <c r="AK2665" s="1" t="str">
        <f t="shared" si="41"/>
        <v xml:space="preserve"> =&lt;90</v>
      </c>
      <c r="AL2665" s="1" t="e">
        <f>VLOOKUP(C:C,[1]基础信息!B$1:D$65536,3,0)</f>
        <v>#N/A</v>
      </c>
      <c r="AM2665" s="1" t="e">
        <f>VLOOKUP(C:C,[1]基础信息!B$1:E$65536,4,0)</f>
        <v>#N/A</v>
      </c>
      <c r="AN2665" s="1" t="e">
        <f>VLOOKUP(C:C,[1]基础信息!B$1:F$65536,5,0)</f>
        <v>#N/A</v>
      </c>
    </row>
    <row r="2666" spans="1:40">
      <c r="A2666" s="1" t="s">
        <v>41</v>
      </c>
      <c r="B2666" s="1" t="s">
        <v>42</v>
      </c>
      <c r="C2666" s="1" t="s">
        <v>4352</v>
      </c>
      <c r="D2666" s="1" t="s">
        <v>4353</v>
      </c>
      <c r="E2666" s="1" t="s">
        <v>45</v>
      </c>
      <c r="F2666" s="1" t="s">
        <v>6136</v>
      </c>
      <c r="G2666" s="1" t="s">
        <v>6137</v>
      </c>
      <c r="H2666" s="1" t="s">
        <v>6138</v>
      </c>
      <c r="I2666" s="1" t="s">
        <v>49</v>
      </c>
      <c r="J2666" s="1" t="s">
        <v>48</v>
      </c>
      <c r="K2666" s="1">
        <v>336</v>
      </c>
      <c r="L2666" s="1">
        <v>0</v>
      </c>
      <c r="M2666" s="1">
        <v>0</v>
      </c>
      <c r="N2666" s="1">
        <v>336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 t="s">
        <v>49</v>
      </c>
      <c r="AA2666" s="1" t="s">
        <v>49</v>
      </c>
      <c r="AB2666" s="1" t="s">
        <v>49</v>
      </c>
      <c r="AC2666" s="1" t="s">
        <v>215</v>
      </c>
      <c r="AD2666" s="1" t="s">
        <v>3025</v>
      </c>
      <c r="AE2666" s="1" t="s">
        <v>215</v>
      </c>
      <c r="AF2666" s="1" t="s">
        <v>6139</v>
      </c>
      <c r="AG2666" s="1" t="s">
        <v>53</v>
      </c>
      <c r="AH2666" s="1" t="s">
        <v>49</v>
      </c>
      <c r="AI2666" s="1" t="s">
        <v>54</v>
      </c>
      <c r="AJ2666" s="1">
        <v>1</v>
      </c>
      <c r="AK2666" s="1" t="str">
        <f t="shared" si="41"/>
        <v xml:space="preserve"> =&lt;90</v>
      </c>
      <c r="AL2666" s="1" t="e">
        <f>VLOOKUP(C:C,[1]基础信息!B$1:D$65536,3,0)</f>
        <v>#N/A</v>
      </c>
      <c r="AM2666" s="1" t="e">
        <f>VLOOKUP(C:C,[1]基础信息!B$1:E$65536,4,0)</f>
        <v>#N/A</v>
      </c>
      <c r="AN2666" s="1" t="e">
        <f>VLOOKUP(C:C,[1]基础信息!B$1:F$65536,5,0)</f>
        <v>#N/A</v>
      </c>
    </row>
    <row r="2667" spans="1:40">
      <c r="A2667" s="1" t="s">
        <v>41</v>
      </c>
      <c r="B2667" s="1" t="s">
        <v>42</v>
      </c>
      <c r="C2667" s="1" t="s">
        <v>4352</v>
      </c>
      <c r="D2667" s="1" t="s">
        <v>4353</v>
      </c>
      <c r="E2667" s="1" t="s">
        <v>45</v>
      </c>
      <c r="F2667" s="1" t="s">
        <v>6136</v>
      </c>
      <c r="G2667" s="1" t="s">
        <v>6140</v>
      </c>
      <c r="H2667" s="1" t="s">
        <v>6141</v>
      </c>
      <c r="I2667" s="1" t="s">
        <v>49</v>
      </c>
      <c r="J2667" s="1" t="s">
        <v>48</v>
      </c>
      <c r="K2667" s="1">
        <v>336</v>
      </c>
      <c r="L2667" s="1">
        <v>0</v>
      </c>
      <c r="M2667" s="1">
        <v>0</v>
      </c>
      <c r="N2667" s="1">
        <v>336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 t="s">
        <v>49</v>
      </c>
      <c r="AA2667" s="1" t="s">
        <v>49</v>
      </c>
      <c r="AB2667" s="1" t="s">
        <v>49</v>
      </c>
      <c r="AC2667" s="1" t="s">
        <v>215</v>
      </c>
      <c r="AD2667" s="1" t="s">
        <v>3025</v>
      </c>
      <c r="AE2667" s="1" t="s">
        <v>215</v>
      </c>
      <c r="AF2667" s="1" t="s">
        <v>6139</v>
      </c>
      <c r="AG2667" s="1" t="s">
        <v>53</v>
      </c>
      <c r="AH2667" s="1" t="s">
        <v>49</v>
      </c>
      <c r="AI2667" s="1" t="s">
        <v>54</v>
      </c>
      <c r="AJ2667" s="1">
        <v>1</v>
      </c>
      <c r="AK2667" s="1" t="str">
        <f t="shared" si="41"/>
        <v xml:space="preserve"> =&lt;90</v>
      </c>
      <c r="AL2667" s="1" t="e">
        <f>VLOOKUP(C:C,[1]基础信息!B$1:D$65536,3,0)</f>
        <v>#N/A</v>
      </c>
      <c r="AM2667" s="1" t="e">
        <f>VLOOKUP(C:C,[1]基础信息!B$1:E$65536,4,0)</f>
        <v>#N/A</v>
      </c>
      <c r="AN2667" s="1" t="e">
        <f>VLOOKUP(C:C,[1]基础信息!B$1:F$65536,5,0)</f>
        <v>#N/A</v>
      </c>
    </row>
    <row r="2668" spans="1:40">
      <c r="A2668" s="1" t="s">
        <v>41</v>
      </c>
      <c r="B2668" s="1" t="s">
        <v>42</v>
      </c>
      <c r="C2668" s="1" t="s">
        <v>5254</v>
      </c>
      <c r="D2668" s="1" t="s">
        <v>5255</v>
      </c>
      <c r="E2668" s="1" t="s">
        <v>45</v>
      </c>
      <c r="F2668" s="1" t="s">
        <v>5407</v>
      </c>
      <c r="G2668" s="1" t="s">
        <v>6142</v>
      </c>
      <c r="H2668" s="1" t="s">
        <v>6143</v>
      </c>
      <c r="I2668" s="1" t="s">
        <v>49</v>
      </c>
      <c r="J2668" s="1" t="s">
        <v>48</v>
      </c>
      <c r="K2668" s="1">
        <v>2200</v>
      </c>
      <c r="L2668" s="1">
        <v>0</v>
      </c>
      <c r="M2668" s="1">
        <v>0</v>
      </c>
      <c r="N2668" s="1">
        <v>2200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 t="s">
        <v>49</v>
      </c>
      <c r="AA2668" s="1" t="s">
        <v>49</v>
      </c>
      <c r="AB2668" s="1" t="s">
        <v>49</v>
      </c>
      <c r="AC2668" s="1" t="s">
        <v>5410</v>
      </c>
      <c r="AD2668" s="1" t="s">
        <v>5411</v>
      </c>
      <c r="AE2668" s="1" t="s">
        <v>5410</v>
      </c>
      <c r="AF2668" s="1" t="s">
        <v>5412</v>
      </c>
      <c r="AG2668" s="1" t="s">
        <v>53</v>
      </c>
      <c r="AH2668" s="1" t="s">
        <v>49</v>
      </c>
      <c r="AI2668" s="1" t="s">
        <v>54</v>
      </c>
      <c r="AJ2668" s="1">
        <v>1</v>
      </c>
      <c r="AK2668" s="1" t="str">
        <f t="shared" si="41"/>
        <v xml:space="preserve"> =&lt;90</v>
      </c>
      <c r="AL2668" s="1" t="str">
        <f>VLOOKUP(C:C,[1]基础信息!B$1:D$65536,3,0)</f>
        <v xml:space="preserve">Cartridge </v>
      </c>
      <c r="AM2668" s="1" t="str">
        <f>VLOOKUP(C:C,[1]基础信息!B$1:E$65536,4,0)</f>
        <v>UNIV</v>
      </c>
      <c r="AN2668" s="1" t="str">
        <f>VLOOKUP(C:C,[1]基础信息!B$1:F$65536,5,0)</f>
        <v>P55</v>
      </c>
    </row>
    <row r="2669" spans="1:40">
      <c r="A2669" s="1" t="s">
        <v>41</v>
      </c>
      <c r="B2669" s="1" t="s">
        <v>42</v>
      </c>
      <c r="C2669" s="1" t="s">
        <v>5254</v>
      </c>
      <c r="D2669" s="1" t="s">
        <v>5255</v>
      </c>
      <c r="E2669" s="1" t="s">
        <v>45</v>
      </c>
      <c r="F2669" s="1" t="s">
        <v>5933</v>
      </c>
      <c r="G2669" s="1" t="s">
        <v>6144</v>
      </c>
      <c r="H2669" s="1" t="s">
        <v>6145</v>
      </c>
      <c r="I2669" s="1" t="s">
        <v>49</v>
      </c>
      <c r="J2669" s="1" t="s">
        <v>48</v>
      </c>
      <c r="K2669" s="1">
        <v>2200</v>
      </c>
      <c r="L2669" s="1">
        <v>0</v>
      </c>
      <c r="M2669" s="1">
        <v>0</v>
      </c>
      <c r="N2669" s="1">
        <v>2200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 t="s">
        <v>49</v>
      </c>
      <c r="AA2669" s="1" t="s">
        <v>49</v>
      </c>
      <c r="AB2669" s="1" t="s">
        <v>49</v>
      </c>
      <c r="AC2669" s="1" t="s">
        <v>3190</v>
      </c>
      <c r="AD2669" s="1" t="s">
        <v>3254</v>
      </c>
      <c r="AE2669" s="1" t="s">
        <v>3255</v>
      </c>
      <c r="AF2669" s="1" t="s">
        <v>5936</v>
      </c>
      <c r="AG2669" s="1" t="s">
        <v>53</v>
      </c>
      <c r="AH2669" s="1" t="s">
        <v>49</v>
      </c>
      <c r="AI2669" s="1" t="s">
        <v>54</v>
      </c>
      <c r="AJ2669" s="1">
        <v>1</v>
      </c>
      <c r="AK2669" s="1" t="str">
        <f t="shared" si="41"/>
        <v xml:space="preserve"> =&lt;90</v>
      </c>
      <c r="AL2669" s="1" t="str">
        <f>VLOOKUP(C:C,[1]基础信息!B$1:D$65536,3,0)</f>
        <v xml:space="preserve">Cartridge </v>
      </c>
      <c r="AM2669" s="1" t="str">
        <f>VLOOKUP(C:C,[1]基础信息!B$1:E$65536,4,0)</f>
        <v>UNIV</v>
      </c>
      <c r="AN2669" s="1" t="str">
        <f>VLOOKUP(C:C,[1]基础信息!B$1:F$65536,5,0)</f>
        <v>P55</v>
      </c>
    </row>
    <row r="2670" spans="1:40">
      <c r="A2670" s="1" t="s">
        <v>41</v>
      </c>
      <c r="B2670" s="1" t="s">
        <v>42</v>
      </c>
      <c r="C2670" s="1" t="s">
        <v>5254</v>
      </c>
      <c r="D2670" s="1" t="s">
        <v>5255</v>
      </c>
      <c r="E2670" s="1" t="s">
        <v>45</v>
      </c>
      <c r="F2670" s="1" t="s">
        <v>5933</v>
      </c>
      <c r="G2670" s="1" t="s">
        <v>6146</v>
      </c>
      <c r="H2670" s="1" t="s">
        <v>6147</v>
      </c>
      <c r="I2670" s="1" t="s">
        <v>49</v>
      </c>
      <c r="J2670" s="1" t="s">
        <v>48</v>
      </c>
      <c r="K2670" s="1">
        <v>2200</v>
      </c>
      <c r="L2670" s="1">
        <v>0</v>
      </c>
      <c r="M2670" s="1">
        <v>0</v>
      </c>
      <c r="N2670" s="1">
        <v>2200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 t="s">
        <v>49</v>
      </c>
      <c r="AA2670" s="1" t="s">
        <v>49</v>
      </c>
      <c r="AB2670" s="1" t="s">
        <v>49</v>
      </c>
      <c r="AC2670" s="1" t="s">
        <v>3190</v>
      </c>
      <c r="AD2670" s="1" t="s">
        <v>3254</v>
      </c>
      <c r="AE2670" s="1" t="s">
        <v>3255</v>
      </c>
      <c r="AF2670" s="1" t="s">
        <v>5936</v>
      </c>
      <c r="AG2670" s="1" t="s">
        <v>53</v>
      </c>
      <c r="AH2670" s="1" t="s">
        <v>49</v>
      </c>
      <c r="AI2670" s="1" t="s">
        <v>54</v>
      </c>
      <c r="AJ2670" s="1">
        <v>1</v>
      </c>
      <c r="AK2670" s="1" t="str">
        <f t="shared" si="41"/>
        <v xml:space="preserve"> =&lt;90</v>
      </c>
      <c r="AL2670" s="1" t="str">
        <f>VLOOKUP(C:C,[1]基础信息!B$1:D$65536,3,0)</f>
        <v xml:space="preserve">Cartridge </v>
      </c>
      <c r="AM2670" s="1" t="str">
        <f>VLOOKUP(C:C,[1]基础信息!B$1:E$65536,4,0)</f>
        <v>UNIV</v>
      </c>
      <c r="AN2670" s="1" t="str">
        <f>VLOOKUP(C:C,[1]基础信息!B$1:F$65536,5,0)</f>
        <v>P55</v>
      </c>
    </row>
    <row r="2671" spans="1:40">
      <c r="A2671" s="1" t="s">
        <v>41</v>
      </c>
      <c r="B2671" s="1" t="s">
        <v>42</v>
      </c>
      <c r="C2671" s="1" t="s">
        <v>5254</v>
      </c>
      <c r="D2671" s="1" t="s">
        <v>5255</v>
      </c>
      <c r="E2671" s="1" t="s">
        <v>45</v>
      </c>
      <c r="F2671" s="1" t="s">
        <v>5933</v>
      </c>
      <c r="G2671" s="1" t="s">
        <v>6148</v>
      </c>
      <c r="H2671" s="1" t="s">
        <v>6149</v>
      </c>
      <c r="I2671" s="1" t="s">
        <v>49</v>
      </c>
      <c r="J2671" s="1" t="s">
        <v>48</v>
      </c>
      <c r="K2671" s="1">
        <v>2200</v>
      </c>
      <c r="L2671" s="1">
        <v>0</v>
      </c>
      <c r="M2671" s="1">
        <v>0</v>
      </c>
      <c r="N2671" s="1">
        <v>2200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 t="s">
        <v>49</v>
      </c>
      <c r="AA2671" s="1" t="s">
        <v>49</v>
      </c>
      <c r="AB2671" s="1" t="s">
        <v>49</v>
      </c>
      <c r="AC2671" s="1" t="s">
        <v>3190</v>
      </c>
      <c r="AD2671" s="1" t="s">
        <v>3254</v>
      </c>
      <c r="AE2671" s="1" t="s">
        <v>3255</v>
      </c>
      <c r="AF2671" s="1" t="s">
        <v>5936</v>
      </c>
      <c r="AG2671" s="1" t="s">
        <v>53</v>
      </c>
      <c r="AH2671" s="1" t="s">
        <v>49</v>
      </c>
      <c r="AI2671" s="1" t="s">
        <v>54</v>
      </c>
      <c r="AJ2671" s="1">
        <v>1</v>
      </c>
      <c r="AK2671" s="1" t="str">
        <f t="shared" si="41"/>
        <v xml:space="preserve"> =&lt;90</v>
      </c>
      <c r="AL2671" s="1" t="str">
        <f>VLOOKUP(C:C,[1]基础信息!B$1:D$65536,3,0)</f>
        <v xml:space="preserve">Cartridge </v>
      </c>
      <c r="AM2671" s="1" t="str">
        <f>VLOOKUP(C:C,[1]基础信息!B$1:E$65536,4,0)</f>
        <v>UNIV</v>
      </c>
      <c r="AN2671" s="1" t="str">
        <f>VLOOKUP(C:C,[1]基础信息!B$1:F$65536,5,0)</f>
        <v>P55</v>
      </c>
    </row>
    <row r="2672" spans="1:40">
      <c r="A2672" s="1" t="s">
        <v>41</v>
      </c>
      <c r="B2672" s="1" t="s">
        <v>42</v>
      </c>
      <c r="C2672" s="1" t="s">
        <v>3971</v>
      </c>
      <c r="D2672" s="1" t="s">
        <v>3972</v>
      </c>
      <c r="E2672" s="1" t="s">
        <v>45</v>
      </c>
      <c r="F2672" s="1" t="s">
        <v>5701</v>
      </c>
      <c r="G2672" s="1" t="s">
        <v>6150</v>
      </c>
      <c r="H2672" s="1" t="s">
        <v>6151</v>
      </c>
      <c r="I2672" s="1" t="s">
        <v>49</v>
      </c>
      <c r="J2672" s="1" t="s">
        <v>48</v>
      </c>
      <c r="K2672" s="1">
        <v>96</v>
      </c>
      <c r="L2672" s="1">
        <v>0</v>
      </c>
      <c r="M2672" s="1">
        <v>0</v>
      </c>
      <c r="N2672" s="1">
        <v>96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 t="s">
        <v>49</v>
      </c>
      <c r="AA2672" s="1" t="s">
        <v>49</v>
      </c>
      <c r="AB2672" s="1" t="s">
        <v>49</v>
      </c>
      <c r="AC2672" s="1" t="s">
        <v>88</v>
      </c>
      <c r="AD2672" s="1" t="s">
        <v>89</v>
      </c>
      <c r="AE2672" s="1" t="s">
        <v>88</v>
      </c>
      <c r="AF2672" s="1" t="s">
        <v>5704</v>
      </c>
      <c r="AG2672" s="1" t="s">
        <v>53</v>
      </c>
      <c r="AH2672" s="1" t="s">
        <v>49</v>
      </c>
      <c r="AI2672" s="1" t="s">
        <v>54</v>
      </c>
      <c r="AJ2672" s="1">
        <v>1</v>
      </c>
      <c r="AK2672" s="1" t="str">
        <f t="shared" si="41"/>
        <v xml:space="preserve"> =&lt;90</v>
      </c>
      <c r="AL2672" s="1" t="str">
        <f>VLOOKUP(C:C,[1]基础信息!B$1:D$65536,3,0)</f>
        <v>Jug</v>
      </c>
      <c r="AM2672" s="1" t="str">
        <f>VLOOKUP(C:C,[1]基础信息!B$1:E$65536,4,0)</f>
        <v>Mxplus</v>
      </c>
      <c r="AN2672" s="1" t="str">
        <f>VLOOKUP(C:C,[1]基础信息!B$1:F$65536,5,0)</f>
        <v xml:space="preserve"> lime</v>
      </c>
    </row>
    <row r="2673" spans="1:40">
      <c r="A2673" s="1" t="s">
        <v>41</v>
      </c>
      <c r="B2673" s="1" t="s">
        <v>42</v>
      </c>
      <c r="C2673" s="1" t="s">
        <v>3971</v>
      </c>
      <c r="D2673" s="1" t="s">
        <v>3972</v>
      </c>
      <c r="E2673" s="1" t="s">
        <v>45</v>
      </c>
      <c r="F2673" s="1" t="s">
        <v>5701</v>
      </c>
      <c r="G2673" s="1" t="s">
        <v>6152</v>
      </c>
      <c r="H2673" s="1" t="s">
        <v>6153</v>
      </c>
      <c r="I2673" s="1" t="s">
        <v>49</v>
      </c>
      <c r="J2673" s="1" t="s">
        <v>48</v>
      </c>
      <c r="K2673" s="1">
        <v>96</v>
      </c>
      <c r="L2673" s="1">
        <v>0</v>
      </c>
      <c r="M2673" s="1">
        <v>0</v>
      </c>
      <c r="N2673" s="1">
        <v>96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 t="s">
        <v>49</v>
      </c>
      <c r="AA2673" s="1" t="s">
        <v>49</v>
      </c>
      <c r="AB2673" s="1" t="s">
        <v>49</v>
      </c>
      <c r="AC2673" s="1" t="s">
        <v>88</v>
      </c>
      <c r="AD2673" s="1" t="s">
        <v>89</v>
      </c>
      <c r="AE2673" s="1" t="s">
        <v>88</v>
      </c>
      <c r="AF2673" s="1" t="s">
        <v>5704</v>
      </c>
      <c r="AG2673" s="1" t="s">
        <v>53</v>
      </c>
      <c r="AH2673" s="1" t="s">
        <v>49</v>
      </c>
      <c r="AI2673" s="1" t="s">
        <v>54</v>
      </c>
      <c r="AJ2673" s="1">
        <v>1</v>
      </c>
      <c r="AK2673" s="1" t="str">
        <f t="shared" si="41"/>
        <v xml:space="preserve"> =&lt;90</v>
      </c>
      <c r="AL2673" s="1" t="str">
        <f>VLOOKUP(C:C,[1]基础信息!B$1:D$65536,3,0)</f>
        <v>Jug</v>
      </c>
      <c r="AM2673" s="1" t="str">
        <f>VLOOKUP(C:C,[1]基础信息!B$1:E$65536,4,0)</f>
        <v>Mxplus</v>
      </c>
      <c r="AN2673" s="1" t="str">
        <f>VLOOKUP(C:C,[1]基础信息!B$1:F$65536,5,0)</f>
        <v xml:space="preserve"> lime</v>
      </c>
    </row>
    <row r="2674" spans="1:40">
      <c r="A2674" s="1" t="s">
        <v>41</v>
      </c>
      <c r="B2674" s="1" t="s">
        <v>42</v>
      </c>
      <c r="C2674" s="1" t="s">
        <v>4352</v>
      </c>
      <c r="D2674" s="1" t="s">
        <v>4353</v>
      </c>
      <c r="E2674" s="1" t="s">
        <v>45</v>
      </c>
      <c r="F2674" s="1" t="s">
        <v>6136</v>
      </c>
      <c r="G2674" s="1" t="s">
        <v>6154</v>
      </c>
      <c r="H2674" s="1" t="s">
        <v>6155</v>
      </c>
      <c r="I2674" s="1" t="s">
        <v>49</v>
      </c>
      <c r="J2674" s="1" t="s">
        <v>48</v>
      </c>
      <c r="K2674" s="1">
        <v>336</v>
      </c>
      <c r="L2674" s="1">
        <v>0</v>
      </c>
      <c r="M2674" s="1">
        <v>0</v>
      </c>
      <c r="N2674" s="1">
        <v>336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 t="s">
        <v>49</v>
      </c>
      <c r="AA2674" s="1" t="s">
        <v>49</v>
      </c>
      <c r="AB2674" s="1" t="s">
        <v>49</v>
      </c>
      <c r="AC2674" s="1" t="s">
        <v>215</v>
      </c>
      <c r="AD2674" s="1" t="s">
        <v>3025</v>
      </c>
      <c r="AE2674" s="1" t="s">
        <v>215</v>
      </c>
      <c r="AF2674" s="1" t="s">
        <v>6139</v>
      </c>
      <c r="AG2674" s="1" t="s">
        <v>53</v>
      </c>
      <c r="AH2674" s="1" t="s">
        <v>49</v>
      </c>
      <c r="AI2674" s="1" t="s">
        <v>54</v>
      </c>
      <c r="AJ2674" s="1">
        <v>1</v>
      </c>
      <c r="AK2674" s="1" t="str">
        <f t="shared" si="41"/>
        <v xml:space="preserve"> =&lt;90</v>
      </c>
      <c r="AL2674" s="1" t="e">
        <f>VLOOKUP(C:C,[1]基础信息!B$1:D$65536,3,0)</f>
        <v>#N/A</v>
      </c>
      <c r="AM2674" s="1" t="e">
        <f>VLOOKUP(C:C,[1]基础信息!B$1:E$65536,4,0)</f>
        <v>#N/A</v>
      </c>
      <c r="AN2674" s="1" t="e">
        <f>VLOOKUP(C:C,[1]基础信息!B$1:F$65536,5,0)</f>
        <v>#N/A</v>
      </c>
    </row>
    <row r="2675" spans="1:40">
      <c r="A2675" s="1" t="s">
        <v>41</v>
      </c>
      <c r="B2675" s="1" t="s">
        <v>42</v>
      </c>
      <c r="C2675" s="1" t="s">
        <v>4352</v>
      </c>
      <c r="D2675" s="1" t="s">
        <v>4353</v>
      </c>
      <c r="E2675" s="1" t="s">
        <v>45</v>
      </c>
      <c r="F2675" s="1" t="s">
        <v>6083</v>
      </c>
      <c r="G2675" s="1" t="s">
        <v>6156</v>
      </c>
      <c r="H2675" s="1" t="s">
        <v>6157</v>
      </c>
      <c r="I2675" s="1" t="s">
        <v>49</v>
      </c>
      <c r="J2675" s="1" t="s">
        <v>48</v>
      </c>
      <c r="K2675" s="1">
        <v>336</v>
      </c>
      <c r="L2675" s="1">
        <v>0</v>
      </c>
      <c r="M2675" s="1">
        <v>0</v>
      </c>
      <c r="N2675" s="1">
        <v>336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 t="s">
        <v>49</v>
      </c>
      <c r="AA2675" s="1" t="s">
        <v>49</v>
      </c>
      <c r="AB2675" s="1" t="s">
        <v>49</v>
      </c>
      <c r="AC2675" s="1" t="s">
        <v>3264</v>
      </c>
      <c r="AD2675" s="1" t="s">
        <v>3265</v>
      </c>
      <c r="AE2675" s="1" t="s">
        <v>3264</v>
      </c>
      <c r="AF2675" s="1" t="s">
        <v>6086</v>
      </c>
      <c r="AG2675" s="1" t="s">
        <v>53</v>
      </c>
      <c r="AH2675" s="1" t="s">
        <v>49</v>
      </c>
      <c r="AI2675" s="1" t="s">
        <v>54</v>
      </c>
      <c r="AJ2675" s="1">
        <v>1</v>
      </c>
      <c r="AK2675" s="1" t="str">
        <f t="shared" si="41"/>
        <v xml:space="preserve"> =&lt;90</v>
      </c>
      <c r="AL2675" s="1" t="e">
        <f>VLOOKUP(C:C,[1]基础信息!B$1:D$65536,3,0)</f>
        <v>#N/A</v>
      </c>
      <c r="AM2675" s="1" t="e">
        <f>VLOOKUP(C:C,[1]基础信息!B$1:E$65536,4,0)</f>
        <v>#N/A</v>
      </c>
      <c r="AN2675" s="1" t="e">
        <f>VLOOKUP(C:C,[1]基础信息!B$1:F$65536,5,0)</f>
        <v>#N/A</v>
      </c>
    </row>
    <row r="2676" spans="1:40">
      <c r="A2676" s="1" t="s">
        <v>41</v>
      </c>
      <c r="B2676" s="1" t="s">
        <v>42</v>
      </c>
      <c r="C2676" s="1" t="s">
        <v>4352</v>
      </c>
      <c r="D2676" s="1" t="s">
        <v>4353</v>
      </c>
      <c r="E2676" s="1" t="s">
        <v>45</v>
      </c>
      <c r="F2676" s="1" t="s">
        <v>6083</v>
      </c>
      <c r="G2676" s="1" t="s">
        <v>6158</v>
      </c>
      <c r="H2676" s="1" t="s">
        <v>6159</v>
      </c>
      <c r="I2676" s="1" t="s">
        <v>49</v>
      </c>
      <c r="J2676" s="1" t="s">
        <v>48</v>
      </c>
      <c r="K2676" s="1">
        <v>336</v>
      </c>
      <c r="L2676" s="1">
        <v>0</v>
      </c>
      <c r="M2676" s="1">
        <v>0</v>
      </c>
      <c r="N2676" s="1">
        <v>336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 t="s">
        <v>49</v>
      </c>
      <c r="AA2676" s="1" t="s">
        <v>49</v>
      </c>
      <c r="AB2676" s="1" t="s">
        <v>49</v>
      </c>
      <c r="AC2676" s="1" t="s">
        <v>3264</v>
      </c>
      <c r="AD2676" s="1" t="s">
        <v>3265</v>
      </c>
      <c r="AE2676" s="1" t="s">
        <v>3264</v>
      </c>
      <c r="AF2676" s="1" t="s">
        <v>6086</v>
      </c>
      <c r="AG2676" s="1" t="s">
        <v>53</v>
      </c>
      <c r="AH2676" s="1" t="s">
        <v>49</v>
      </c>
      <c r="AI2676" s="1" t="s">
        <v>54</v>
      </c>
      <c r="AJ2676" s="1">
        <v>1</v>
      </c>
      <c r="AK2676" s="1" t="str">
        <f t="shared" si="41"/>
        <v xml:space="preserve"> =&lt;90</v>
      </c>
      <c r="AL2676" s="1" t="e">
        <f>VLOOKUP(C:C,[1]基础信息!B$1:D$65536,3,0)</f>
        <v>#N/A</v>
      </c>
      <c r="AM2676" s="1" t="e">
        <f>VLOOKUP(C:C,[1]基础信息!B$1:E$65536,4,0)</f>
        <v>#N/A</v>
      </c>
      <c r="AN2676" s="1" t="e">
        <f>VLOOKUP(C:C,[1]基础信息!B$1:F$65536,5,0)</f>
        <v>#N/A</v>
      </c>
    </row>
    <row r="2677" spans="1:40">
      <c r="A2677" s="1" t="s">
        <v>41</v>
      </c>
      <c r="B2677" s="1" t="s">
        <v>42</v>
      </c>
      <c r="C2677" s="1" t="s">
        <v>5254</v>
      </c>
      <c r="D2677" s="1" t="s">
        <v>5255</v>
      </c>
      <c r="E2677" s="1" t="s">
        <v>45</v>
      </c>
      <c r="F2677" s="1" t="s">
        <v>6160</v>
      </c>
      <c r="G2677" s="1" t="s">
        <v>6161</v>
      </c>
      <c r="H2677" s="1" t="s">
        <v>6162</v>
      </c>
      <c r="I2677" s="1" t="s">
        <v>49</v>
      </c>
      <c r="J2677" s="1" t="s">
        <v>48</v>
      </c>
      <c r="K2677" s="1">
        <v>220</v>
      </c>
      <c r="L2677" s="1">
        <v>0</v>
      </c>
      <c r="M2677" s="1">
        <v>0</v>
      </c>
      <c r="N2677" s="1">
        <v>220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 t="s">
        <v>49</v>
      </c>
      <c r="AA2677" s="1" t="s">
        <v>49</v>
      </c>
      <c r="AB2677" s="1" t="s">
        <v>49</v>
      </c>
      <c r="AC2677" s="1" t="s">
        <v>5899</v>
      </c>
      <c r="AD2677" s="1" t="s">
        <v>5900</v>
      </c>
      <c r="AE2677" s="1" t="s">
        <v>5901</v>
      </c>
      <c r="AF2677" s="1" t="s">
        <v>5412</v>
      </c>
      <c r="AG2677" s="1" t="s">
        <v>53</v>
      </c>
      <c r="AH2677" s="1" t="s">
        <v>49</v>
      </c>
      <c r="AI2677" s="1" t="s">
        <v>54</v>
      </c>
      <c r="AJ2677" s="1">
        <v>1</v>
      </c>
      <c r="AK2677" s="1" t="str">
        <f t="shared" si="41"/>
        <v xml:space="preserve"> =&lt;90</v>
      </c>
      <c r="AL2677" s="1" t="str">
        <f>VLOOKUP(C:C,[1]基础信息!B$1:D$65536,3,0)</f>
        <v xml:space="preserve">Cartridge </v>
      </c>
      <c r="AM2677" s="1" t="str">
        <f>VLOOKUP(C:C,[1]基础信息!B$1:E$65536,4,0)</f>
        <v>UNIV</v>
      </c>
      <c r="AN2677" s="1" t="str">
        <f>VLOOKUP(C:C,[1]基础信息!B$1:F$65536,5,0)</f>
        <v>P55</v>
      </c>
    </row>
    <row r="2678" spans="1:40">
      <c r="A2678" s="1" t="s">
        <v>41</v>
      </c>
      <c r="B2678" s="1" t="s">
        <v>42</v>
      </c>
      <c r="C2678" s="1" t="s">
        <v>5254</v>
      </c>
      <c r="D2678" s="1" t="s">
        <v>5255</v>
      </c>
      <c r="E2678" s="1" t="s">
        <v>45</v>
      </c>
      <c r="F2678" s="1" t="s">
        <v>5261</v>
      </c>
      <c r="G2678" s="1" t="s">
        <v>6163</v>
      </c>
      <c r="H2678" s="1" t="s">
        <v>6164</v>
      </c>
      <c r="I2678" s="1" t="s">
        <v>49</v>
      </c>
      <c r="J2678" s="1" t="s">
        <v>48</v>
      </c>
      <c r="K2678" s="1">
        <v>2200</v>
      </c>
      <c r="L2678" s="1">
        <v>0</v>
      </c>
      <c r="M2678" s="1">
        <v>0</v>
      </c>
      <c r="N2678" s="1">
        <v>2200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 t="s">
        <v>49</v>
      </c>
      <c r="AA2678" s="1" t="s">
        <v>49</v>
      </c>
      <c r="AB2678" s="1" t="s">
        <v>49</v>
      </c>
      <c r="AC2678" s="1" t="s">
        <v>5228</v>
      </c>
      <c r="AD2678" s="1" t="s">
        <v>5229</v>
      </c>
      <c r="AE2678" s="1" t="s">
        <v>5230</v>
      </c>
      <c r="AF2678" s="1" t="s">
        <v>5264</v>
      </c>
      <c r="AG2678" s="1" t="s">
        <v>53</v>
      </c>
      <c r="AH2678" s="1" t="s">
        <v>49</v>
      </c>
      <c r="AI2678" s="1" t="s">
        <v>54</v>
      </c>
      <c r="AJ2678" s="1">
        <v>1</v>
      </c>
      <c r="AK2678" s="1" t="str">
        <f t="shared" si="41"/>
        <v xml:space="preserve"> =&lt;90</v>
      </c>
      <c r="AL2678" s="1" t="str">
        <f>VLOOKUP(C:C,[1]基础信息!B$1:D$65536,3,0)</f>
        <v xml:space="preserve">Cartridge </v>
      </c>
      <c r="AM2678" s="1" t="str">
        <f>VLOOKUP(C:C,[1]基础信息!B$1:E$65536,4,0)</f>
        <v>UNIV</v>
      </c>
      <c r="AN2678" s="1" t="str">
        <f>VLOOKUP(C:C,[1]基础信息!B$1:F$65536,5,0)</f>
        <v>P55</v>
      </c>
    </row>
    <row r="2679" spans="1:40">
      <c r="A2679" s="1" t="s">
        <v>41</v>
      </c>
      <c r="B2679" s="1" t="s">
        <v>42</v>
      </c>
      <c r="C2679" s="1" t="s">
        <v>3971</v>
      </c>
      <c r="D2679" s="1" t="s">
        <v>3972</v>
      </c>
      <c r="E2679" s="1" t="s">
        <v>45</v>
      </c>
      <c r="F2679" s="1" t="s">
        <v>5939</v>
      </c>
      <c r="G2679" s="1" t="s">
        <v>6165</v>
      </c>
      <c r="H2679" s="1" t="s">
        <v>6166</v>
      </c>
      <c r="I2679" s="1" t="s">
        <v>49</v>
      </c>
      <c r="J2679" s="1" t="s">
        <v>48</v>
      </c>
      <c r="K2679" s="1">
        <v>96</v>
      </c>
      <c r="L2679" s="1">
        <v>0</v>
      </c>
      <c r="M2679" s="1">
        <v>0</v>
      </c>
      <c r="N2679" s="1">
        <v>96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 t="s">
        <v>49</v>
      </c>
      <c r="AA2679" s="1" t="s">
        <v>49</v>
      </c>
      <c r="AB2679" s="1" t="s">
        <v>49</v>
      </c>
      <c r="AC2679" s="1" t="s">
        <v>470</v>
      </c>
      <c r="AD2679" s="1" t="s">
        <v>471</v>
      </c>
      <c r="AE2679" s="1" t="s">
        <v>974</v>
      </c>
      <c r="AF2679" s="1" t="s">
        <v>5194</v>
      </c>
      <c r="AG2679" s="1" t="s">
        <v>53</v>
      </c>
      <c r="AH2679" s="1" t="s">
        <v>49</v>
      </c>
      <c r="AI2679" s="1" t="s">
        <v>54</v>
      </c>
      <c r="AJ2679" s="1">
        <v>1</v>
      </c>
      <c r="AK2679" s="1" t="str">
        <f t="shared" si="41"/>
        <v xml:space="preserve"> =&lt;90</v>
      </c>
      <c r="AL2679" s="1" t="str">
        <f>VLOOKUP(C:C,[1]基础信息!B$1:D$65536,3,0)</f>
        <v>Jug</v>
      </c>
      <c r="AM2679" s="1" t="str">
        <f>VLOOKUP(C:C,[1]基础信息!B$1:E$65536,4,0)</f>
        <v>Mxplus</v>
      </c>
      <c r="AN2679" s="1" t="str">
        <f>VLOOKUP(C:C,[1]基础信息!B$1:F$65536,5,0)</f>
        <v xml:space="preserve"> lime</v>
      </c>
    </row>
    <row r="2680" spans="1:40">
      <c r="A2680" s="1" t="s">
        <v>41</v>
      </c>
      <c r="B2680" s="1" t="s">
        <v>42</v>
      </c>
      <c r="C2680" s="1" t="s">
        <v>3971</v>
      </c>
      <c r="D2680" s="1" t="s">
        <v>3972</v>
      </c>
      <c r="E2680" s="1" t="s">
        <v>45</v>
      </c>
      <c r="F2680" s="1" t="s">
        <v>5480</v>
      </c>
      <c r="G2680" s="1" t="s">
        <v>6167</v>
      </c>
      <c r="H2680" s="1" t="s">
        <v>6168</v>
      </c>
      <c r="I2680" s="1" t="s">
        <v>49</v>
      </c>
      <c r="J2680" s="1" t="s">
        <v>48</v>
      </c>
      <c r="K2680" s="1">
        <v>96</v>
      </c>
      <c r="L2680" s="1">
        <v>0</v>
      </c>
      <c r="M2680" s="1">
        <v>0</v>
      </c>
      <c r="N2680" s="1">
        <v>96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 t="s">
        <v>49</v>
      </c>
      <c r="AA2680" s="1" t="s">
        <v>49</v>
      </c>
      <c r="AB2680" s="1" t="s">
        <v>49</v>
      </c>
      <c r="AC2680" s="1" t="s">
        <v>1330</v>
      </c>
      <c r="AD2680" s="1" t="s">
        <v>1331</v>
      </c>
      <c r="AE2680" s="1" t="s">
        <v>3719</v>
      </c>
      <c r="AF2680" s="1" t="s">
        <v>5483</v>
      </c>
      <c r="AG2680" s="1" t="s">
        <v>53</v>
      </c>
      <c r="AH2680" s="1" t="s">
        <v>49</v>
      </c>
      <c r="AI2680" s="1" t="s">
        <v>54</v>
      </c>
      <c r="AJ2680" s="1">
        <v>1</v>
      </c>
      <c r="AK2680" s="1" t="str">
        <f t="shared" si="41"/>
        <v xml:space="preserve"> =&lt;90</v>
      </c>
      <c r="AL2680" s="1" t="str">
        <f>VLOOKUP(C:C,[1]基础信息!B$1:D$65536,3,0)</f>
        <v>Jug</v>
      </c>
      <c r="AM2680" s="1" t="str">
        <f>VLOOKUP(C:C,[1]基础信息!B$1:E$65536,4,0)</f>
        <v>Mxplus</v>
      </c>
      <c r="AN2680" s="1" t="str">
        <f>VLOOKUP(C:C,[1]基础信息!B$1:F$65536,5,0)</f>
        <v xml:space="preserve"> lime</v>
      </c>
    </row>
    <row r="2681" spans="1:40">
      <c r="A2681" s="1" t="s">
        <v>41</v>
      </c>
      <c r="B2681" s="1" t="s">
        <v>42</v>
      </c>
      <c r="C2681" s="1" t="s">
        <v>3971</v>
      </c>
      <c r="D2681" s="1" t="s">
        <v>3972</v>
      </c>
      <c r="E2681" s="1" t="s">
        <v>45</v>
      </c>
      <c r="F2681" s="1" t="s">
        <v>5939</v>
      </c>
      <c r="G2681" s="1" t="s">
        <v>6169</v>
      </c>
      <c r="H2681" s="1" t="s">
        <v>6170</v>
      </c>
      <c r="I2681" s="1" t="s">
        <v>49</v>
      </c>
      <c r="J2681" s="1" t="s">
        <v>48</v>
      </c>
      <c r="K2681" s="1">
        <v>96</v>
      </c>
      <c r="L2681" s="1">
        <v>0</v>
      </c>
      <c r="M2681" s="1">
        <v>0</v>
      </c>
      <c r="N2681" s="1">
        <v>96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 t="s">
        <v>49</v>
      </c>
      <c r="AA2681" s="1" t="s">
        <v>49</v>
      </c>
      <c r="AB2681" s="1" t="s">
        <v>49</v>
      </c>
      <c r="AC2681" s="1" t="s">
        <v>470</v>
      </c>
      <c r="AD2681" s="1" t="s">
        <v>471</v>
      </c>
      <c r="AE2681" s="1" t="s">
        <v>974</v>
      </c>
      <c r="AF2681" s="1" t="s">
        <v>5194</v>
      </c>
      <c r="AG2681" s="1" t="s">
        <v>53</v>
      </c>
      <c r="AH2681" s="1" t="s">
        <v>49</v>
      </c>
      <c r="AI2681" s="1" t="s">
        <v>54</v>
      </c>
      <c r="AJ2681" s="1">
        <v>1</v>
      </c>
      <c r="AK2681" s="1" t="str">
        <f t="shared" si="41"/>
        <v xml:space="preserve"> =&lt;90</v>
      </c>
      <c r="AL2681" s="1" t="str">
        <f>VLOOKUP(C:C,[1]基础信息!B$1:D$65536,3,0)</f>
        <v>Jug</v>
      </c>
      <c r="AM2681" s="1" t="str">
        <f>VLOOKUP(C:C,[1]基础信息!B$1:E$65536,4,0)</f>
        <v>Mxplus</v>
      </c>
      <c r="AN2681" s="1" t="str">
        <f>VLOOKUP(C:C,[1]基础信息!B$1:F$65536,5,0)</f>
        <v xml:space="preserve"> lime</v>
      </c>
    </row>
    <row r="2682" spans="1:40">
      <c r="A2682" s="1" t="s">
        <v>41</v>
      </c>
      <c r="B2682" s="1" t="s">
        <v>42</v>
      </c>
      <c r="C2682" s="1" t="s">
        <v>3971</v>
      </c>
      <c r="D2682" s="1" t="s">
        <v>3972</v>
      </c>
      <c r="E2682" s="1" t="s">
        <v>45</v>
      </c>
      <c r="F2682" s="1" t="s">
        <v>5480</v>
      </c>
      <c r="G2682" s="1" t="s">
        <v>6171</v>
      </c>
      <c r="H2682" s="1" t="s">
        <v>6172</v>
      </c>
      <c r="I2682" s="1" t="s">
        <v>49</v>
      </c>
      <c r="J2682" s="1" t="s">
        <v>48</v>
      </c>
      <c r="K2682" s="1">
        <v>96</v>
      </c>
      <c r="L2682" s="1">
        <v>0</v>
      </c>
      <c r="M2682" s="1">
        <v>0</v>
      </c>
      <c r="N2682" s="1">
        <v>96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 t="s">
        <v>49</v>
      </c>
      <c r="AA2682" s="1" t="s">
        <v>49</v>
      </c>
      <c r="AB2682" s="1" t="s">
        <v>49</v>
      </c>
      <c r="AC2682" s="1" t="s">
        <v>1330</v>
      </c>
      <c r="AD2682" s="1" t="s">
        <v>1331</v>
      </c>
      <c r="AE2682" s="1" t="s">
        <v>3719</v>
      </c>
      <c r="AF2682" s="1" t="s">
        <v>5483</v>
      </c>
      <c r="AG2682" s="1" t="s">
        <v>53</v>
      </c>
      <c r="AH2682" s="1" t="s">
        <v>49</v>
      </c>
      <c r="AI2682" s="1" t="s">
        <v>54</v>
      </c>
      <c r="AJ2682" s="1">
        <v>1</v>
      </c>
      <c r="AK2682" s="1" t="str">
        <f t="shared" si="41"/>
        <v xml:space="preserve"> =&lt;90</v>
      </c>
      <c r="AL2682" s="1" t="str">
        <f>VLOOKUP(C:C,[1]基础信息!B$1:D$65536,3,0)</f>
        <v>Jug</v>
      </c>
      <c r="AM2682" s="1" t="str">
        <f>VLOOKUP(C:C,[1]基础信息!B$1:E$65536,4,0)</f>
        <v>Mxplus</v>
      </c>
      <c r="AN2682" s="1" t="str">
        <f>VLOOKUP(C:C,[1]基础信息!B$1:F$65536,5,0)</f>
        <v xml:space="preserve"> lime</v>
      </c>
    </row>
    <row r="2683" spans="1:40">
      <c r="A2683" s="1" t="s">
        <v>41</v>
      </c>
      <c r="B2683" s="1" t="s">
        <v>42</v>
      </c>
      <c r="C2683" s="1" t="s">
        <v>4352</v>
      </c>
      <c r="D2683" s="1" t="s">
        <v>4353</v>
      </c>
      <c r="E2683" s="1" t="s">
        <v>45</v>
      </c>
      <c r="F2683" s="1" t="s">
        <v>5614</v>
      </c>
      <c r="G2683" s="1" t="s">
        <v>6173</v>
      </c>
      <c r="H2683" s="1" t="s">
        <v>6174</v>
      </c>
      <c r="I2683" s="1" t="s">
        <v>49</v>
      </c>
      <c r="J2683" s="1" t="s">
        <v>48</v>
      </c>
      <c r="K2683" s="1">
        <v>336</v>
      </c>
      <c r="L2683" s="1">
        <v>0</v>
      </c>
      <c r="M2683" s="1">
        <v>0</v>
      </c>
      <c r="N2683" s="1">
        <v>336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 t="s">
        <v>49</v>
      </c>
      <c r="AA2683" s="1" t="s">
        <v>49</v>
      </c>
      <c r="AB2683" s="1" t="s">
        <v>49</v>
      </c>
      <c r="AC2683" s="1" t="s">
        <v>5184</v>
      </c>
      <c r="AD2683" s="1" t="s">
        <v>5185</v>
      </c>
      <c r="AE2683" s="1" t="s">
        <v>5462</v>
      </c>
      <c r="AF2683" s="1" t="s">
        <v>5186</v>
      </c>
      <c r="AG2683" s="1" t="s">
        <v>53</v>
      </c>
      <c r="AH2683" s="1" t="s">
        <v>49</v>
      </c>
      <c r="AI2683" s="1" t="s">
        <v>54</v>
      </c>
      <c r="AJ2683" s="1">
        <v>1</v>
      </c>
      <c r="AK2683" s="1" t="str">
        <f t="shared" si="41"/>
        <v xml:space="preserve"> =&lt;90</v>
      </c>
      <c r="AL2683" s="1" t="e">
        <f>VLOOKUP(C:C,[1]基础信息!B$1:D$65536,3,0)</f>
        <v>#N/A</v>
      </c>
      <c r="AM2683" s="1" t="e">
        <f>VLOOKUP(C:C,[1]基础信息!B$1:E$65536,4,0)</f>
        <v>#N/A</v>
      </c>
      <c r="AN2683" s="1" t="e">
        <f>VLOOKUP(C:C,[1]基础信息!B$1:F$65536,5,0)</f>
        <v>#N/A</v>
      </c>
    </row>
    <row r="2684" spans="1:40">
      <c r="A2684" s="1" t="s">
        <v>41</v>
      </c>
      <c r="B2684" s="1" t="s">
        <v>42</v>
      </c>
      <c r="C2684" s="1" t="s">
        <v>3971</v>
      </c>
      <c r="D2684" s="1" t="s">
        <v>3972</v>
      </c>
      <c r="E2684" s="1" t="s">
        <v>45</v>
      </c>
      <c r="F2684" s="1" t="s">
        <v>5939</v>
      </c>
      <c r="G2684" s="1" t="s">
        <v>6175</v>
      </c>
      <c r="H2684" s="1" t="s">
        <v>6176</v>
      </c>
      <c r="I2684" s="1" t="s">
        <v>49</v>
      </c>
      <c r="J2684" s="1" t="s">
        <v>48</v>
      </c>
      <c r="K2684" s="1">
        <v>96</v>
      </c>
      <c r="L2684" s="1">
        <v>0</v>
      </c>
      <c r="M2684" s="1">
        <v>0</v>
      </c>
      <c r="N2684" s="1">
        <v>96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 t="s">
        <v>49</v>
      </c>
      <c r="AA2684" s="1" t="s">
        <v>49</v>
      </c>
      <c r="AB2684" s="1" t="s">
        <v>49</v>
      </c>
      <c r="AC2684" s="1" t="s">
        <v>470</v>
      </c>
      <c r="AD2684" s="1" t="s">
        <v>471</v>
      </c>
      <c r="AE2684" s="1" t="s">
        <v>974</v>
      </c>
      <c r="AF2684" s="1" t="s">
        <v>5194</v>
      </c>
      <c r="AG2684" s="1" t="s">
        <v>53</v>
      </c>
      <c r="AH2684" s="1" t="s">
        <v>49</v>
      </c>
      <c r="AI2684" s="1" t="s">
        <v>54</v>
      </c>
      <c r="AJ2684" s="1">
        <v>1</v>
      </c>
      <c r="AK2684" s="1" t="str">
        <f t="shared" si="41"/>
        <v xml:space="preserve"> =&lt;90</v>
      </c>
      <c r="AL2684" s="1" t="str">
        <f>VLOOKUP(C:C,[1]基础信息!B$1:D$65536,3,0)</f>
        <v>Jug</v>
      </c>
      <c r="AM2684" s="1" t="str">
        <f>VLOOKUP(C:C,[1]基础信息!B$1:E$65536,4,0)</f>
        <v>Mxplus</v>
      </c>
      <c r="AN2684" s="1" t="str">
        <f>VLOOKUP(C:C,[1]基础信息!B$1:F$65536,5,0)</f>
        <v xml:space="preserve"> lime</v>
      </c>
    </row>
    <row r="2685" spans="1:40">
      <c r="A2685" s="1" t="s">
        <v>41</v>
      </c>
      <c r="B2685" s="1" t="s">
        <v>42</v>
      </c>
      <c r="C2685" s="1" t="s">
        <v>3971</v>
      </c>
      <c r="D2685" s="1" t="s">
        <v>3972</v>
      </c>
      <c r="E2685" s="1" t="s">
        <v>45</v>
      </c>
      <c r="F2685" s="1" t="s">
        <v>5939</v>
      </c>
      <c r="G2685" s="1" t="s">
        <v>6177</v>
      </c>
      <c r="H2685" s="1" t="s">
        <v>6178</v>
      </c>
      <c r="I2685" s="1" t="s">
        <v>49</v>
      </c>
      <c r="J2685" s="1" t="s">
        <v>48</v>
      </c>
      <c r="K2685" s="1">
        <v>48</v>
      </c>
      <c r="L2685" s="1">
        <v>0</v>
      </c>
      <c r="M2685" s="1">
        <v>0</v>
      </c>
      <c r="N2685" s="1">
        <v>48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 t="s">
        <v>49</v>
      </c>
      <c r="AA2685" s="1" t="s">
        <v>49</v>
      </c>
      <c r="AB2685" s="1" t="s">
        <v>49</v>
      </c>
      <c r="AC2685" s="1" t="s">
        <v>470</v>
      </c>
      <c r="AD2685" s="1" t="s">
        <v>471</v>
      </c>
      <c r="AE2685" s="1" t="s">
        <v>974</v>
      </c>
      <c r="AF2685" s="1" t="s">
        <v>5194</v>
      </c>
      <c r="AG2685" s="1" t="s">
        <v>53</v>
      </c>
      <c r="AH2685" s="1" t="s">
        <v>49</v>
      </c>
      <c r="AI2685" s="1" t="s">
        <v>54</v>
      </c>
      <c r="AJ2685" s="1">
        <v>1</v>
      </c>
      <c r="AK2685" s="1" t="str">
        <f t="shared" si="41"/>
        <v xml:space="preserve"> =&lt;90</v>
      </c>
      <c r="AL2685" s="1" t="str">
        <f>VLOOKUP(C:C,[1]基础信息!B$1:D$65536,3,0)</f>
        <v>Jug</v>
      </c>
      <c r="AM2685" s="1" t="str">
        <f>VLOOKUP(C:C,[1]基础信息!B$1:E$65536,4,0)</f>
        <v>Mxplus</v>
      </c>
      <c r="AN2685" s="1" t="str">
        <f>VLOOKUP(C:C,[1]基础信息!B$1:F$65536,5,0)</f>
        <v xml:space="preserve"> lime</v>
      </c>
    </row>
    <row r="2686" spans="1:40">
      <c r="A2686" s="1" t="s">
        <v>41</v>
      </c>
      <c r="B2686" s="1" t="s">
        <v>42</v>
      </c>
      <c r="C2686" s="1" t="s">
        <v>5254</v>
      </c>
      <c r="D2686" s="1" t="s">
        <v>5255</v>
      </c>
      <c r="E2686" s="1" t="s">
        <v>45</v>
      </c>
      <c r="F2686" s="1" t="s">
        <v>5261</v>
      </c>
      <c r="G2686" s="1" t="s">
        <v>6179</v>
      </c>
      <c r="H2686" s="1" t="s">
        <v>6180</v>
      </c>
      <c r="I2686" s="1" t="s">
        <v>49</v>
      </c>
      <c r="J2686" s="1" t="s">
        <v>48</v>
      </c>
      <c r="K2686" s="1">
        <v>1155</v>
      </c>
      <c r="L2686" s="1">
        <v>0</v>
      </c>
      <c r="M2686" s="1">
        <v>0</v>
      </c>
      <c r="N2686" s="1">
        <v>1155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 t="s">
        <v>49</v>
      </c>
      <c r="AA2686" s="1" t="s">
        <v>49</v>
      </c>
      <c r="AB2686" s="1" t="s">
        <v>49</v>
      </c>
      <c r="AC2686" s="1" t="s">
        <v>5228</v>
      </c>
      <c r="AD2686" s="1" t="s">
        <v>5229</v>
      </c>
      <c r="AE2686" s="1" t="s">
        <v>5230</v>
      </c>
      <c r="AF2686" s="1" t="s">
        <v>5264</v>
      </c>
      <c r="AG2686" s="1" t="s">
        <v>53</v>
      </c>
      <c r="AH2686" s="1" t="s">
        <v>49</v>
      </c>
      <c r="AI2686" s="1" t="s">
        <v>54</v>
      </c>
      <c r="AJ2686" s="1">
        <v>1</v>
      </c>
      <c r="AK2686" s="1" t="str">
        <f t="shared" si="41"/>
        <v xml:space="preserve"> =&lt;90</v>
      </c>
      <c r="AL2686" s="1" t="str">
        <f>VLOOKUP(C:C,[1]基础信息!B$1:D$65536,3,0)</f>
        <v xml:space="preserve">Cartridge </v>
      </c>
      <c r="AM2686" s="1" t="str">
        <f>VLOOKUP(C:C,[1]基础信息!B$1:E$65536,4,0)</f>
        <v>UNIV</v>
      </c>
      <c r="AN2686" s="1" t="str">
        <f>VLOOKUP(C:C,[1]基础信息!B$1:F$65536,5,0)</f>
        <v>P55</v>
      </c>
    </row>
    <row r="2687" spans="1:40">
      <c r="A2687" s="1" t="s">
        <v>41</v>
      </c>
      <c r="B2687" s="1" t="s">
        <v>42</v>
      </c>
      <c r="C2687" s="1" t="s">
        <v>5254</v>
      </c>
      <c r="D2687" s="1" t="s">
        <v>5255</v>
      </c>
      <c r="E2687" s="1" t="s">
        <v>45</v>
      </c>
      <c r="F2687" s="1" t="s">
        <v>6181</v>
      </c>
      <c r="G2687" s="1" t="s">
        <v>6182</v>
      </c>
      <c r="H2687" s="1" t="s">
        <v>6183</v>
      </c>
      <c r="I2687" s="1" t="s">
        <v>49</v>
      </c>
      <c r="J2687" s="1" t="s">
        <v>48</v>
      </c>
      <c r="K2687" s="1">
        <v>2200</v>
      </c>
      <c r="L2687" s="1">
        <v>0</v>
      </c>
      <c r="M2687" s="1">
        <v>0</v>
      </c>
      <c r="N2687" s="1">
        <v>2200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 t="s">
        <v>49</v>
      </c>
      <c r="AA2687" s="1" t="s">
        <v>49</v>
      </c>
      <c r="AB2687" s="1" t="s">
        <v>49</v>
      </c>
      <c r="AC2687" s="1" t="s">
        <v>5228</v>
      </c>
      <c r="AD2687" s="1" t="s">
        <v>5229</v>
      </c>
      <c r="AE2687" s="1" t="s">
        <v>5230</v>
      </c>
      <c r="AF2687" s="1" t="s">
        <v>5936</v>
      </c>
      <c r="AG2687" s="1" t="s">
        <v>53</v>
      </c>
      <c r="AH2687" s="1" t="s">
        <v>49</v>
      </c>
      <c r="AI2687" s="1" t="s">
        <v>54</v>
      </c>
      <c r="AJ2687" s="1">
        <v>1</v>
      </c>
      <c r="AK2687" s="1" t="str">
        <f t="shared" si="41"/>
        <v xml:space="preserve"> =&lt;90</v>
      </c>
      <c r="AL2687" s="1" t="str">
        <f>VLOOKUP(C:C,[1]基础信息!B$1:D$65536,3,0)</f>
        <v xml:space="preserve">Cartridge </v>
      </c>
      <c r="AM2687" s="1" t="str">
        <f>VLOOKUP(C:C,[1]基础信息!B$1:E$65536,4,0)</f>
        <v>UNIV</v>
      </c>
      <c r="AN2687" s="1" t="str">
        <f>VLOOKUP(C:C,[1]基础信息!B$1:F$65536,5,0)</f>
        <v>P55</v>
      </c>
    </row>
    <row r="2688" spans="1:40">
      <c r="A2688" s="1" t="s">
        <v>41</v>
      </c>
      <c r="B2688" s="1" t="s">
        <v>42</v>
      </c>
      <c r="C2688" s="1" t="s">
        <v>3512</v>
      </c>
      <c r="D2688" s="1" t="s">
        <v>3513</v>
      </c>
      <c r="E2688" s="1" t="s">
        <v>45</v>
      </c>
      <c r="F2688" s="1" t="s">
        <v>6184</v>
      </c>
      <c r="G2688" s="1" t="s">
        <v>6185</v>
      </c>
      <c r="H2688" s="1" t="s">
        <v>6186</v>
      </c>
      <c r="I2688" s="1" t="s">
        <v>49</v>
      </c>
      <c r="J2688" s="1" t="s">
        <v>48</v>
      </c>
      <c r="K2688" s="1">
        <v>58</v>
      </c>
      <c r="L2688" s="1">
        <v>0</v>
      </c>
      <c r="M2688" s="1">
        <v>0</v>
      </c>
      <c r="N2688" s="1">
        <v>58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 t="s">
        <v>49</v>
      </c>
      <c r="AA2688" s="1" t="s">
        <v>49</v>
      </c>
      <c r="AB2688" s="1" t="s">
        <v>49</v>
      </c>
      <c r="AC2688" s="1" t="s">
        <v>6187</v>
      </c>
      <c r="AD2688" s="1" t="s">
        <v>6188</v>
      </c>
      <c r="AE2688" s="1" t="s">
        <v>6187</v>
      </c>
      <c r="AF2688" s="1" t="s">
        <v>6189</v>
      </c>
      <c r="AG2688" s="1" t="s">
        <v>53</v>
      </c>
      <c r="AH2688" s="1" t="s">
        <v>49</v>
      </c>
      <c r="AI2688" s="1" t="s">
        <v>54</v>
      </c>
      <c r="AJ2688" s="1">
        <v>1</v>
      </c>
      <c r="AK2688" s="1" t="str">
        <f t="shared" si="41"/>
        <v xml:space="preserve"> =&lt;90</v>
      </c>
      <c r="AL2688" s="1" t="str">
        <f>VLOOKUP(C:C,[1]基础信息!B$1:D$65536,3,0)</f>
        <v xml:space="preserve">Cartridge </v>
      </c>
      <c r="AM2688" s="1" t="str">
        <f>VLOOKUP(C:C,[1]基础信息!B$1:E$65536,4,0)</f>
        <v>UNIV</v>
      </c>
      <c r="AN2688" s="1" t="str">
        <f>VLOOKUP(C:C,[1]基础信息!B$1:F$65536,5,0)</f>
        <v>P3</v>
      </c>
    </row>
    <row r="2689" spans="1:40">
      <c r="A2689" s="1" t="s">
        <v>41</v>
      </c>
      <c r="B2689" s="1" t="s">
        <v>42</v>
      </c>
      <c r="C2689" s="1" t="s">
        <v>5254</v>
      </c>
      <c r="D2689" s="1" t="s">
        <v>5255</v>
      </c>
      <c r="E2689" s="1" t="s">
        <v>45</v>
      </c>
      <c r="F2689" s="1" t="s">
        <v>5933</v>
      </c>
      <c r="G2689" s="1" t="s">
        <v>6190</v>
      </c>
      <c r="H2689" s="1" t="s">
        <v>6191</v>
      </c>
      <c r="I2689" s="1" t="s">
        <v>49</v>
      </c>
      <c r="J2689" s="1" t="s">
        <v>48</v>
      </c>
      <c r="K2689" s="1">
        <v>2200</v>
      </c>
      <c r="L2689" s="1">
        <v>0</v>
      </c>
      <c r="M2689" s="1">
        <v>0</v>
      </c>
      <c r="N2689" s="1">
        <v>2200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 t="s">
        <v>49</v>
      </c>
      <c r="AA2689" s="1" t="s">
        <v>49</v>
      </c>
      <c r="AB2689" s="1" t="s">
        <v>49</v>
      </c>
      <c r="AC2689" s="1" t="s">
        <v>3190</v>
      </c>
      <c r="AD2689" s="1" t="s">
        <v>3254</v>
      </c>
      <c r="AE2689" s="1" t="s">
        <v>3255</v>
      </c>
      <c r="AF2689" s="1" t="s">
        <v>5936</v>
      </c>
      <c r="AG2689" s="1" t="s">
        <v>53</v>
      </c>
      <c r="AH2689" s="1" t="s">
        <v>49</v>
      </c>
      <c r="AI2689" s="1" t="s">
        <v>54</v>
      </c>
      <c r="AJ2689" s="1">
        <v>1</v>
      </c>
      <c r="AK2689" s="1" t="str">
        <f t="shared" si="41"/>
        <v xml:space="preserve"> =&lt;90</v>
      </c>
      <c r="AL2689" s="1" t="str">
        <f>VLOOKUP(C:C,[1]基础信息!B$1:D$65536,3,0)</f>
        <v xml:space="preserve">Cartridge </v>
      </c>
      <c r="AM2689" s="1" t="str">
        <f>VLOOKUP(C:C,[1]基础信息!B$1:E$65536,4,0)</f>
        <v>UNIV</v>
      </c>
      <c r="AN2689" s="1" t="str">
        <f>VLOOKUP(C:C,[1]基础信息!B$1:F$65536,5,0)</f>
        <v>P55</v>
      </c>
    </row>
    <row r="2690" spans="1:40">
      <c r="A2690" s="1" t="s">
        <v>41</v>
      </c>
      <c r="B2690" s="1" t="s">
        <v>42</v>
      </c>
      <c r="C2690" s="1" t="s">
        <v>5254</v>
      </c>
      <c r="D2690" s="1" t="s">
        <v>5255</v>
      </c>
      <c r="E2690" s="1" t="s">
        <v>45</v>
      </c>
      <c r="F2690" s="1" t="s">
        <v>6181</v>
      </c>
      <c r="G2690" s="1" t="s">
        <v>6192</v>
      </c>
      <c r="H2690" s="1" t="s">
        <v>6193</v>
      </c>
      <c r="I2690" s="1" t="s">
        <v>49</v>
      </c>
      <c r="J2690" s="1" t="s">
        <v>48</v>
      </c>
      <c r="K2690" s="1">
        <v>2200</v>
      </c>
      <c r="L2690" s="1">
        <v>0</v>
      </c>
      <c r="M2690" s="1">
        <v>0</v>
      </c>
      <c r="N2690" s="1">
        <v>2200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 t="s">
        <v>49</v>
      </c>
      <c r="AA2690" s="1" t="s">
        <v>49</v>
      </c>
      <c r="AB2690" s="1" t="s">
        <v>49</v>
      </c>
      <c r="AC2690" s="1" t="s">
        <v>5228</v>
      </c>
      <c r="AD2690" s="1" t="s">
        <v>5229</v>
      </c>
      <c r="AE2690" s="1" t="s">
        <v>5230</v>
      </c>
      <c r="AF2690" s="1" t="s">
        <v>5936</v>
      </c>
      <c r="AG2690" s="1" t="s">
        <v>53</v>
      </c>
      <c r="AH2690" s="1" t="s">
        <v>49</v>
      </c>
      <c r="AI2690" s="1" t="s">
        <v>54</v>
      </c>
      <c r="AJ2690" s="1">
        <v>1</v>
      </c>
      <c r="AK2690" s="1" t="str">
        <f t="shared" ref="AK2690:AK2753" si="42">IF(AJ2690&gt;$AP$2,$AQ$2,IF(AJ2690&gt;$AP$3,$AQ$3,IF(AJ2690&gt;$AP$4,$AQ$4,$AQ$5)))</f>
        <v xml:space="preserve"> =&lt;90</v>
      </c>
      <c r="AL2690" s="1" t="str">
        <f>VLOOKUP(C:C,[1]基础信息!B$1:D$65536,3,0)</f>
        <v xml:space="preserve">Cartridge </v>
      </c>
      <c r="AM2690" s="1" t="str">
        <f>VLOOKUP(C:C,[1]基础信息!B$1:E$65536,4,0)</f>
        <v>UNIV</v>
      </c>
      <c r="AN2690" s="1" t="str">
        <f>VLOOKUP(C:C,[1]基础信息!B$1:F$65536,5,0)</f>
        <v>P55</v>
      </c>
    </row>
    <row r="2691" spans="1:40">
      <c r="A2691" s="1" t="s">
        <v>41</v>
      </c>
      <c r="B2691" s="1" t="s">
        <v>42</v>
      </c>
      <c r="C2691" s="1" t="s">
        <v>3971</v>
      </c>
      <c r="D2691" s="1" t="s">
        <v>3972</v>
      </c>
      <c r="E2691" s="1" t="s">
        <v>45</v>
      </c>
      <c r="F2691" s="1" t="s">
        <v>5480</v>
      </c>
      <c r="G2691" s="1" t="s">
        <v>6194</v>
      </c>
      <c r="H2691" s="1" t="s">
        <v>6195</v>
      </c>
      <c r="I2691" s="1" t="s">
        <v>49</v>
      </c>
      <c r="J2691" s="1" t="s">
        <v>48</v>
      </c>
      <c r="K2691" s="1">
        <v>96</v>
      </c>
      <c r="L2691" s="1">
        <v>0</v>
      </c>
      <c r="M2691" s="1">
        <v>0</v>
      </c>
      <c r="N2691" s="1">
        <v>96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 t="s">
        <v>49</v>
      </c>
      <c r="AA2691" s="1" t="s">
        <v>49</v>
      </c>
      <c r="AB2691" s="1" t="s">
        <v>49</v>
      </c>
      <c r="AC2691" s="1" t="s">
        <v>1330</v>
      </c>
      <c r="AD2691" s="1" t="s">
        <v>1331</v>
      </c>
      <c r="AE2691" s="1" t="s">
        <v>3719</v>
      </c>
      <c r="AF2691" s="1" t="s">
        <v>5483</v>
      </c>
      <c r="AG2691" s="1" t="s">
        <v>53</v>
      </c>
      <c r="AH2691" s="1" t="s">
        <v>49</v>
      </c>
      <c r="AI2691" s="1" t="s">
        <v>54</v>
      </c>
      <c r="AJ2691" s="1">
        <v>1</v>
      </c>
      <c r="AK2691" s="1" t="str">
        <f t="shared" si="42"/>
        <v xml:space="preserve"> =&lt;90</v>
      </c>
      <c r="AL2691" s="1" t="str">
        <f>VLOOKUP(C:C,[1]基础信息!B$1:D$65536,3,0)</f>
        <v>Jug</v>
      </c>
      <c r="AM2691" s="1" t="str">
        <f>VLOOKUP(C:C,[1]基础信息!B$1:E$65536,4,0)</f>
        <v>Mxplus</v>
      </c>
      <c r="AN2691" s="1" t="str">
        <f>VLOOKUP(C:C,[1]基础信息!B$1:F$65536,5,0)</f>
        <v xml:space="preserve"> lime</v>
      </c>
    </row>
    <row r="2692" spans="1:40">
      <c r="A2692" s="1" t="s">
        <v>41</v>
      </c>
      <c r="B2692" s="1" t="s">
        <v>42</v>
      </c>
      <c r="C2692" s="1" t="s">
        <v>5254</v>
      </c>
      <c r="D2692" s="1" t="s">
        <v>5255</v>
      </c>
      <c r="E2692" s="1" t="s">
        <v>45</v>
      </c>
      <c r="F2692" s="1" t="s">
        <v>5933</v>
      </c>
      <c r="G2692" s="1" t="s">
        <v>6196</v>
      </c>
      <c r="H2692" s="1" t="s">
        <v>6197</v>
      </c>
      <c r="I2692" s="1" t="s">
        <v>49</v>
      </c>
      <c r="J2692" s="1" t="s">
        <v>48</v>
      </c>
      <c r="K2692" s="1">
        <v>2200</v>
      </c>
      <c r="L2692" s="1">
        <v>0</v>
      </c>
      <c r="M2692" s="1">
        <v>0</v>
      </c>
      <c r="N2692" s="1">
        <v>2200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 t="s">
        <v>49</v>
      </c>
      <c r="AA2692" s="1" t="s">
        <v>49</v>
      </c>
      <c r="AB2692" s="1" t="s">
        <v>49</v>
      </c>
      <c r="AC2692" s="1" t="s">
        <v>3190</v>
      </c>
      <c r="AD2692" s="1" t="s">
        <v>3254</v>
      </c>
      <c r="AE2692" s="1" t="s">
        <v>3255</v>
      </c>
      <c r="AF2692" s="1" t="s">
        <v>5936</v>
      </c>
      <c r="AG2692" s="1" t="s">
        <v>53</v>
      </c>
      <c r="AH2692" s="1" t="s">
        <v>49</v>
      </c>
      <c r="AI2692" s="1" t="s">
        <v>54</v>
      </c>
      <c r="AJ2692" s="1">
        <v>1</v>
      </c>
      <c r="AK2692" s="1" t="str">
        <f t="shared" si="42"/>
        <v xml:space="preserve"> =&lt;90</v>
      </c>
      <c r="AL2692" s="1" t="str">
        <f>VLOOKUP(C:C,[1]基础信息!B$1:D$65536,3,0)</f>
        <v xml:space="preserve">Cartridge </v>
      </c>
      <c r="AM2692" s="1" t="str">
        <f>VLOOKUP(C:C,[1]基础信息!B$1:E$65536,4,0)</f>
        <v>UNIV</v>
      </c>
      <c r="AN2692" s="1" t="str">
        <f>VLOOKUP(C:C,[1]基础信息!B$1:F$65536,5,0)</f>
        <v>P55</v>
      </c>
    </row>
    <row r="2693" spans="1:40">
      <c r="A2693" s="1" t="s">
        <v>41</v>
      </c>
      <c r="B2693" s="1" t="s">
        <v>42</v>
      </c>
      <c r="C2693" s="1" t="s">
        <v>3971</v>
      </c>
      <c r="D2693" s="1" t="s">
        <v>3972</v>
      </c>
      <c r="E2693" s="1" t="s">
        <v>45</v>
      </c>
      <c r="F2693" s="1" t="s">
        <v>5480</v>
      </c>
      <c r="G2693" s="1" t="s">
        <v>6198</v>
      </c>
      <c r="H2693" s="1" t="s">
        <v>6199</v>
      </c>
      <c r="I2693" s="1" t="s">
        <v>49</v>
      </c>
      <c r="J2693" s="1" t="s">
        <v>48</v>
      </c>
      <c r="K2693" s="1">
        <v>96</v>
      </c>
      <c r="L2693" s="1">
        <v>0</v>
      </c>
      <c r="M2693" s="1">
        <v>0</v>
      </c>
      <c r="N2693" s="1">
        <v>96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 t="s">
        <v>49</v>
      </c>
      <c r="AA2693" s="1" t="s">
        <v>49</v>
      </c>
      <c r="AB2693" s="1" t="s">
        <v>49</v>
      </c>
      <c r="AC2693" s="1" t="s">
        <v>1330</v>
      </c>
      <c r="AD2693" s="1" t="s">
        <v>1331</v>
      </c>
      <c r="AE2693" s="1" t="s">
        <v>3719</v>
      </c>
      <c r="AF2693" s="1" t="s">
        <v>5483</v>
      </c>
      <c r="AG2693" s="1" t="s">
        <v>53</v>
      </c>
      <c r="AH2693" s="1" t="s">
        <v>49</v>
      </c>
      <c r="AI2693" s="1" t="s">
        <v>54</v>
      </c>
      <c r="AJ2693" s="1">
        <v>1</v>
      </c>
      <c r="AK2693" s="1" t="str">
        <f t="shared" si="42"/>
        <v xml:space="preserve"> =&lt;90</v>
      </c>
      <c r="AL2693" s="1" t="str">
        <f>VLOOKUP(C:C,[1]基础信息!B$1:D$65536,3,0)</f>
        <v>Jug</v>
      </c>
      <c r="AM2693" s="1" t="str">
        <f>VLOOKUP(C:C,[1]基础信息!B$1:E$65536,4,0)</f>
        <v>Mxplus</v>
      </c>
      <c r="AN2693" s="1" t="str">
        <f>VLOOKUP(C:C,[1]基础信息!B$1:F$65536,5,0)</f>
        <v xml:space="preserve"> lime</v>
      </c>
    </row>
    <row r="2694" spans="1:40">
      <c r="A2694" s="1" t="s">
        <v>41</v>
      </c>
      <c r="B2694" s="1" t="s">
        <v>42</v>
      </c>
      <c r="C2694" s="1" t="s">
        <v>3971</v>
      </c>
      <c r="D2694" s="1" t="s">
        <v>3972</v>
      </c>
      <c r="E2694" s="1" t="s">
        <v>45</v>
      </c>
      <c r="F2694" s="1" t="s">
        <v>5480</v>
      </c>
      <c r="G2694" s="1" t="s">
        <v>6200</v>
      </c>
      <c r="H2694" s="1" t="s">
        <v>6201</v>
      </c>
      <c r="I2694" s="1" t="s">
        <v>49</v>
      </c>
      <c r="J2694" s="1" t="s">
        <v>48</v>
      </c>
      <c r="K2694" s="1">
        <v>96</v>
      </c>
      <c r="L2694" s="1">
        <v>0</v>
      </c>
      <c r="M2694" s="1">
        <v>0</v>
      </c>
      <c r="N2694" s="1">
        <v>96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 t="s">
        <v>49</v>
      </c>
      <c r="AA2694" s="1" t="s">
        <v>49</v>
      </c>
      <c r="AB2694" s="1" t="s">
        <v>49</v>
      </c>
      <c r="AC2694" s="1" t="s">
        <v>1330</v>
      </c>
      <c r="AD2694" s="1" t="s">
        <v>1331</v>
      </c>
      <c r="AE2694" s="1" t="s">
        <v>3719</v>
      </c>
      <c r="AF2694" s="1" t="s">
        <v>5483</v>
      </c>
      <c r="AG2694" s="1" t="s">
        <v>53</v>
      </c>
      <c r="AH2694" s="1" t="s">
        <v>49</v>
      </c>
      <c r="AI2694" s="1" t="s">
        <v>54</v>
      </c>
      <c r="AJ2694" s="1">
        <v>1</v>
      </c>
      <c r="AK2694" s="1" t="str">
        <f t="shared" si="42"/>
        <v xml:space="preserve"> =&lt;90</v>
      </c>
      <c r="AL2694" s="1" t="str">
        <f>VLOOKUP(C:C,[1]基础信息!B$1:D$65536,3,0)</f>
        <v>Jug</v>
      </c>
      <c r="AM2694" s="1" t="str">
        <f>VLOOKUP(C:C,[1]基础信息!B$1:E$65536,4,0)</f>
        <v>Mxplus</v>
      </c>
      <c r="AN2694" s="1" t="str">
        <f>VLOOKUP(C:C,[1]基础信息!B$1:F$65536,5,0)</f>
        <v xml:space="preserve"> lime</v>
      </c>
    </row>
    <row r="2695" spans="1:40">
      <c r="A2695" s="1" t="s">
        <v>41</v>
      </c>
      <c r="B2695" s="1" t="s">
        <v>42</v>
      </c>
      <c r="C2695" s="1" t="s">
        <v>3971</v>
      </c>
      <c r="D2695" s="1" t="s">
        <v>3972</v>
      </c>
      <c r="E2695" s="1" t="s">
        <v>45</v>
      </c>
      <c r="F2695" s="1" t="s">
        <v>5480</v>
      </c>
      <c r="G2695" s="1" t="s">
        <v>6202</v>
      </c>
      <c r="H2695" s="1" t="s">
        <v>6203</v>
      </c>
      <c r="I2695" s="1" t="s">
        <v>49</v>
      </c>
      <c r="J2695" s="1" t="s">
        <v>48</v>
      </c>
      <c r="K2695" s="1">
        <v>96</v>
      </c>
      <c r="L2695" s="1">
        <v>0</v>
      </c>
      <c r="M2695" s="1">
        <v>0</v>
      </c>
      <c r="N2695" s="1">
        <v>96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 t="s">
        <v>49</v>
      </c>
      <c r="AA2695" s="1" t="s">
        <v>49</v>
      </c>
      <c r="AB2695" s="1" t="s">
        <v>49</v>
      </c>
      <c r="AC2695" s="1" t="s">
        <v>1330</v>
      </c>
      <c r="AD2695" s="1" t="s">
        <v>1331</v>
      </c>
      <c r="AE2695" s="1" t="s">
        <v>3719</v>
      </c>
      <c r="AF2695" s="1" t="s">
        <v>5483</v>
      </c>
      <c r="AG2695" s="1" t="s">
        <v>53</v>
      </c>
      <c r="AH2695" s="1" t="s">
        <v>49</v>
      </c>
      <c r="AI2695" s="1" t="s">
        <v>54</v>
      </c>
      <c r="AJ2695" s="1">
        <v>1</v>
      </c>
      <c r="AK2695" s="1" t="str">
        <f t="shared" si="42"/>
        <v xml:space="preserve"> =&lt;90</v>
      </c>
      <c r="AL2695" s="1" t="str">
        <f>VLOOKUP(C:C,[1]基础信息!B$1:D$65536,3,0)</f>
        <v>Jug</v>
      </c>
      <c r="AM2695" s="1" t="str">
        <f>VLOOKUP(C:C,[1]基础信息!B$1:E$65536,4,0)</f>
        <v>Mxplus</v>
      </c>
      <c r="AN2695" s="1" t="str">
        <f>VLOOKUP(C:C,[1]基础信息!B$1:F$65536,5,0)</f>
        <v xml:space="preserve"> lime</v>
      </c>
    </row>
    <row r="2696" spans="1:40">
      <c r="A2696" s="1" t="s">
        <v>41</v>
      </c>
      <c r="B2696" s="1" t="s">
        <v>42</v>
      </c>
      <c r="C2696" s="1" t="s">
        <v>4352</v>
      </c>
      <c r="D2696" s="1" t="s">
        <v>4353</v>
      </c>
      <c r="E2696" s="1" t="s">
        <v>45</v>
      </c>
      <c r="F2696" s="1" t="s">
        <v>6136</v>
      </c>
      <c r="G2696" s="1" t="s">
        <v>6204</v>
      </c>
      <c r="H2696" s="1" t="s">
        <v>6205</v>
      </c>
      <c r="I2696" s="1" t="s">
        <v>49</v>
      </c>
      <c r="J2696" s="1" t="s">
        <v>48</v>
      </c>
      <c r="K2696" s="1">
        <v>152</v>
      </c>
      <c r="L2696" s="1">
        <v>0</v>
      </c>
      <c r="M2696" s="1">
        <v>0</v>
      </c>
      <c r="N2696" s="1">
        <v>152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 t="s">
        <v>49</v>
      </c>
      <c r="AA2696" s="1" t="s">
        <v>49</v>
      </c>
      <c r="AB2696" s="1" t="s">
        <v>49</v>
      </c>
      <c r="AC2696" s="1" t="s">
        <v>215</v>
      </c>
      <c r="AD2696" s="1" t="s">
        <v>3025</v>
      </c>
      <c r="AE2696" s="1" t="s">
        <v>215</v>
      </c>
      <c r="AF2696" s="1" t="s">
        <v>6139</v>
      </c>
      <c r="AG2696" s="1" t="s">
        <v>53</v>
      </c>
      <c r="AH2696" s="1" t="s">
        <v>49</v>
      </c>
      <c r="AI2696" s="1" t="s">
        <v>54</v>
      </c>
      <c r="AJ2696" s="1">
        <v>1</v>
      </c>
      <c r="AK2696" s="1" t="str">
        <f t="shared" si="42"/>
        <v xml:space="preserve"> =&lt;90</v>
      </c>
      <c r="AL2696" s="1" t="e">
        <f>VLOOKUP(C:C,[1]基础信息!B$1:D$65536,3,0)</f>
        <v>#N/A</v>
      </c>
      <c r="AM2696" s="1" t="e">
        <f>VLOOKUP(C:C,[1]基础信息!B$1:E$65536,4,0)</f>
        <v>#N/A</v>
      </c>
      <c r="AN2696" s="1" t="e">
        <f>VLOOKUP(C:C,[1]基础信息!B$1:F$65536,5,0)</f>
        <v>#N/A</v>
      </c>
    </row>
    <row r="2697" spans="1:40">
      <c r="A2697" s="1" t="s">
        <v>41</v>
      </c>
      <c r="B2697" s="1" t="s">
        <v>42</v>
      </c>
      <c r="C2697" s="1" t="s">
        <v>5154</v>
      </c>
      <c r="D2697" s="1" t="s">
        <v>5155</v>
      </c>
      <c r="E2697" s="1" t="s">
        <v>45</v>
      </c>
      <c r="F2697" s="1" t="s">
        <v>5156</v>
      </c>
      <c r="G2697" s="1" t="s">
        <v>6206</v>
      </c>
      <c r="H2697" s="1" t="s">
        <v>6207</v>
      </c>
      <c r="I2697" s="1" t="s">
        <v>49</v>
      </c>
      <c r="J2697" s="1" t="s">
        <v>48</v>
      </c>
      <c r="K2697" s="1">
        <v>270</v>
      </c>
      <c r="L2697" s="1">
        <v>0</v>
      </c>
      <c r="M2697" s="1">
        <v>0</v>
      </c>
      <c r="N2697" s="1">
        <v>270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 t="s">
        <v>49</v>
      </c>
      <c r="AA2697" s="1" t="s">
        <v>49</v>
      </c>
      <c r="AB2697" s="1" t="s">
        <v>49</v>
      </c>
      <c r="AC2697" s="1" t="s">
        <v>215</v>
      </c>
      <c r="AD2697" s="1" t="s">
        <v>3025</v>
      </c>
      <c r="AE2697" s="1" t="s">
        <v>215</v>
      </c>
      <c r="AF2697" s="1" t="s">
        <v>5159</v>
      </c>
      <c r="AG2697" s="1" t="s">
        <v>53</v>
      </c>
      <c r="AH2697" s="1" t="s">
        <v>49</v>
      </c>
      <c r="AI2697" s="1" t="s">
        <v>54</v>
      </c>
      <c r="AJ2697" s="1">
        <v>1</v>
      </c>
      <c r="AK2697" s="1" t="str">
        <f t="shared" si="42"/>
        <v xml:space="preserve"> =&lt;90</v>
      </c>
      <c r="AL2697" s="1" t="e">
        <f>VLOOKUP(C:C,[1]基础信息!B$1:D$65536,3,0)</f>
        <v>#N/A</v>
      </c>
      <c r="AM2697" s="1" t="e">
        <f>VLOOKUP(C:C,[1]基础信息!B$1:E$65536,4,0)</f>
        <v>#N/A</v>
      </c>
      <c r="AN2697" s="1" t="e">
        <f>VLOOKUP(C:C,[1]基础信息!B$1:F$65536,5,0)</f>
        <v>#N/A</v>
      </c>
    </row>
    <row r="2698" spans="1:40">
      <c r="A2698" s="1" t="s">
        <v>41</v>
      </c>
      <c r="B2698" s="1" t="s">
        <v>42</v>
      </c>
      <c r="C2698" s="1" t="s">
        <v>5254</v>
      </c>
      <c r="D2698" s="1" t="s">
        <v>5255</v>
      </c>
      <c r="E2698" s="1" t="s">
        <v>45</v>
      </c>
      <c r="F2698" s="1" t="s">
        <v>6181</v>
      </c>
      <c r="G2698" s="1" t="s">
        <v>6208</v>
      </c>
      <c r="H2698" s="1" t="s">
        <v>6209</v>
      </c>
      <c r="I2698" s="1" t="s">
        <v>49</v>
      </c>
      <c r="J2698" s="1" t="s">
        <v>48</v>
      </c>
      <c r="K2698" s="1">
        <v>2200</v>
      </c>
      <c r="L2698" s="1">
        <v>0</v>
      </c>
      <c r="M2698" s="1">
        <v>0</v>
      </c>
      <c r="N2698" s="1">
        <v>2200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 t="s">
        <v>49</v>
      </c>
      <c r="AA2698" s="1" t="s">
        <v>49</v>
      </c>
      <c r="AB2698" s="1" t="s">
        <v>49</v>
      </c>
      <c r="AC2698" s="1" t="s">
        <v>5228</v>
      </c>
      <c r="AD2698" s="1" t="s">
        <v>5229</v>
      </c>
      <c r="AE2698" s="1" t="s">
        <v>5230</v>
      </c>
      <c r="AF2698" s="1" t="s">
        <v>5936</v>
      </c>
      <c r="AG2698" s="1" t="s">
        <v>53</v>
      </c>
      <c r="AH2698" s="1" t="s">
        <v>49</v>
      </c>
      <c r="AI2698" s="1" t="s">
        <v>54</v>
      </c>
      <c r="AJ2698" s="1">
        <v>1</v>
      </c>
      <c r="AK2698" s="1" t="str">
        <f t="shared" si="42"/>
        <v xml:space="preserve"> =&lt;90</v>
      </c>
      <c r="AL2698" s="1" t="str">
        <f>VLOOKUP(C:C,[1]基础信息!B$1:D$65536,3,0)</f>
        <v xml:space="preserve">Cartridge </v>
      </c>
      <c r="AM2698" s="1" t="str">
        <f>VLOOKUP(C:C,[1]基础信息!B$1:E$65536,4,0)</f>
        <v>UNIV</v>
      </c>
      <c r="AN2698" s="1" t="str">
        <f>VLOOKUP(C:C,[1]基础信息!B$1:F$65536,5,0)</f>
        <v>P55</v>
      </c>
    </row>
    <row r="2699" spans="1:40">
      <c r="A2699" s="1" t="s">
        <v>41</v>
      </c>
      <c r="B2699" s="1" t="s">
        <v>42</v>
      </c>
      <c r="C2699" s="1" t="s">
        <v>5154</v>
      </c>
      <c r="D2699" s="1" t="s">
        <v>5155</v>
      </c>
      <c r="E2699" s="1" t="s">
        <v>45</v>
      </c>
      <c r="F2699" s="1" t="s">
        <v>5156</v>
      </c>
      <c r="G2699" s="1" t="s">
        <v>6210</v>
      </c>
      <c r="H2699" s="1" t="s">
        <v>6211</v>
      </c>
      <c r="I2699" s="1" t="s">
        <v>49</v>
      </c>
      <c r="J2699" s="1" t="s">
        <v>48</v>
      </c>
      <c r="K2699" s="1">
        <v>270</v>
      </c>
      <c r="L2699" s="1">
        <v>0</v>
      </c>
      <c r="M2699" s="1">
        <v>0</v>
      </c>
      <c r="N2699" s="1">
        <v>270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 t="s">
        <v>49</v>
      </c>
      <c r="AA2699" s="1" t="s">
        <v>49</v>
      </c>
      <c r="AB2699" s="1" t="s">
        <v>49</v>
      </c>
      <c r="AC2699" s="1" t="s">
        <v>215</v>
      </c>
      <c r="AD2699" s="1" t="s">
        <v>3025</v>
      </c>
      <c r="AE2699" s="1" t="s">
        <v>215</v>
      </c>
      <c r="AF2699" s="1" t="s">
        <v>5159</v>
      </c>
      <c r="AG2699" s="1" t="s">
        <v>53</v>
      </c>
      <c r="AH2699" s="1" t="s">
        <v>49</v>
      </c>
      <c r="AI2699" s="1" t="s">
        <v>54</v>
      </c>
      <c r="AJ2699" s="1">
        <v>1</v>
      </c>
      <c r="AK2699" s="1" t="str">
        <f t="shared" si="42"/>
        <v xml:space="preserve"> =&lt;90</v>
      </c>
      <c r="AL2699" s="1" t="e">
        <f>VLOOKUP(C:C,[1]基础信息!B$1:D$65536,3,0)</f>
        <v>#N/A</v>
      </c>
      <c r="AM2699" s="1" t="e">
        <f>VLOOKUP(C:C,[1]基础信息!B$1:E$65536,4,0)</f>
        <v>#N/A</v>
      </c>
      <c r="AN2699" s="1" t="e">
        <f>VLOOKUP(C:C,[1]基础信息!B$1:F$65536,5,0)</f>
        <v>#N/A</v>
      </c>
    </row>
    <row r="2700" spans="1:40">
      <c r="A2700" s="1" t="s">
        <v>41</v>
      </c>
      <c r="B2700" s="1" t="s">
        <v>42</v>
      </c>
      <c r="C2700" s="1" t="s">
        <v>3971</v>
      </c>
      <c r="D2700" s="1" t="s">
        <v>3972</v>
      </c>
      <c r="E2700" s="1" t="s">
        <v>45</v>
      </c>
      <c r="F2700" s="1" t="s">
        <v>5602</v>
      </c>
      <c r="G2700" s="1" t="s">
        <v>6212</v>
      </c>
      <c r="H2700" s="1" t="s">
        <v>6213</v>
      </c>
      <c r="I2700" s="1" t="s">
        <v>49</v>
      </c>
      <c r="J2700" s="1" t="s">
        <v>48</v>
      </c>
      <c r="K2700" s="1">
        <v>96</v>
      </c>
      <c r="L2700" s="1">
        <v>0</v>
      </c>
      <c r="M2700" s="1">
        <v>0</v>
      </c>
      <c r="N2700" s="1">
        <v>96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 t="s">
        <v>49</v>
      </c>
      <c r="AA2700" s="1" t="s">
        <v>49</v>
      </c>
      <c r="AB2700" s="1" t="s">
        <v>49</v>
      </c>
      <c r="AC2700" s="1" t="s">
        <v>1008</v>
      </c>
      <c r="AD2700" s="1" t="s">
        <v>1009</v>
      </c>
      <c r="AE2700" s="1" t="s">
        <v>1008</v>
      </c>
      <c r="AF2700" s="1" t="s">
        <v>5605</v>
      </c>
      <c r="AG2700" s="1" t="s">
        <v>53</v>
      </c>
      <c r="AH2700" s="1" t="s">
        <v>49</v>
      </c>
      <c r="AI2700" s="1" t="s">
        <v>54</v>
      </c>
      <c r="AJ2700" s="1">
        <v>1</v>
      </c>
      <c r="AK2700" s="1" t="str">
        <f t="shared" si="42"/>
        <v xml:space="preserve"> =&lt;90</v>
      </c>
      <c r="AL2700" s="1" t="str">
        <f>VLOOKUP(C:C,[1]基础信息!B$1:D$65536,3,0)</f>
        <v>Jug</v>
      </c>
      <c r="AM2700" s="1" t="str">
        <f>VLOOKUP(C:C,[1]基础信息!B$1:E$65536,4,0)</f>
        <v>Mxplus</v>
      </c>
      <c r="AN2700" s="1" t="str">
        <f>VLOOKUP(C:C,[1]基础信息!B$1:F$65536,5,0)</f>
        <v xml:space="preserve"> lime</v>
      </c>
    </row>
    <row r="2701" spans="1:40">
      <c r="A2701" s="1" t="s">
        <v>41</v>
      </c>
      <c r="B2701" s="1" t="s">
        <v>42</v>
      </c>
      <c r="C2701" s="1" t="s">
        <v>3971</v>
      </c>
      <c r="D2701" s="1" t="s">
        <v>3972</v>
      </c>
      <c r="E2701" s="1" t="s">
        <v>45</v>
      </c>
      <c r="F2701" s="1" t="s">
        <v>5480</v>
      </c>
      <c r="G2701" s="1" t="s">
        <v>6214</v>
      </c>
      <c r="H2701" s="1" t="s">
        <v>6215</v>
      </c>
      <c r="I2701" s="1" t="s">
        <v>49</v>
      </c>
      <c r="J2701" s="1" t="s">
        <v>48</v>
      </c>
      <c r="K2701" s="1">
        <v>96</v>
      </c>
      <c r="L2701" s="1">
        <v>0</v>
      </c>
      <c r="M2701" s="1">
        <v>0</v>
      </c>
      <c r="N2701" s="1">
        <v>96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 t="s">
        <v>49</v>
      </c>
      <c r="AA2701" s="1" t="s">
        <v>49</v>
      </c>
      <c r="AB2701" s="1" t="s">
        <v>49</v>
      </c>
      <c r="AC2701" s="1" t="s">
        <v>1330</v>
      </c>
      <c r="AD2701" s="1" t="s">
        <v>1331</v>
      </c>
      <c r="AE2701" s="1" t="s">
        <v>3719</v>
      </c>
      <c r="AF2701" s="1" t="s">
        <v>5483</v>
      </c>
      <c r="AG2701" s="1" t="s">
        <v>53</v>
      </c>
      <c r="AH2701" s="1" t="s">
        <v>49</v>
      </c>
      <c r="AI2701" s="1" t="s">
        <v>54</v>
      </c>
      <c r="AJ2701" s="1">
        <v>1</v>
      </c>
      <c r="AK2701" s="1" t="str">
        <f t="shared" si="42"/>
        <v xml:space="preserve"> =&lt;90</v>
      </c>
      <c r="AL2701" s="1" t="str">
        <f>VLOOKUP(C:C,[1]基础信息!B$1:D$65536,3,0)</f>
        <v>Jug</v>
      </c>
      <c r="AM2701" s="1" t="str">
        <f>VLOOKUP(C:C,[1]基础信息!B$1:E$65536,4,0)</f>
        <v>Mxplus</v>
      </c>
      <c r="AN2701" s="1" t="str">
        <f>VLOOKUP(C:C,[1]基础信息!B$1:F$65536,5,0)</f>
        <v xml:space="preserve"> lime</v>
      </c>
    </row>
    <row r="2702" spans="1:40">
      <c r="A2702" s="1" t="s">
        <v>41</v>
      </c>
      <c r="B2702" s="1" t="s">
        <v>42</v>
      </c>
      <c r="C2702" s="1" t="s">
        <v>3971</v>
      </c>
      <c r="D2702" s="1" t="s">
        <v>3972</v>
      </c>
      <c r="E2702" s="1" t="s">
        <v>45</v>
      </c>
      <c r="F2702" s="1" t="s">
        <v>5480</v>
      </c>
      <c r="G2702" s="1" t="s">
        <v>6216</v>
      </c>
      <c r="H2702" s="1" t="s">
        <v>6217</v>
      </c>
      <c r="I2702" s="1" t="s">
        <v>49</v>
      </c>
      <c r="J2702" s="1" t="s">
        <v>48</v>
      </c>
      <c r="K2702" s="1">
        <v>96</v>
      </c>
      <c r="L2702" s="1">
        <v>0</v>
      </c>
      <c r="M2702" s="1">
        <v>0</v>
      </c>
      <c r="N2702" s="1">
        <v>96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 t="s">
        <v>49</v>
      </c>
      <c r="AA2702" s="1" t="s">
        <v>49</v>
      </c>
      <c r="AB2702" s="1" t="s">
        <v>49</v>
      </c>
      <c r="AC2702" s="1" t="s">
        <v>1330</v>
      </c>
      <c r="AD2702" s="1" t="s">
        <v>1331</v>
      </c>
      <c r="AE2702" s="1" t="s">
        <v>3719</v>
      </c>
      <c r="AF2702" s="1" t="s">
        <v>5483</v>
      </c>
      <c r="AG2702" s="1" t="s">
        <v>53</v>
      </c>
      <c r="AH2702" s="1" t="s">
        <v>49</v>
      </c>
      <c r="AI2702" s="1" t="s">
        <v>54</v>
      </c>
      <c r="AJ2702" s="1">
        <v>1</v>
      </c>
      <c r="AK2702" s="1" t="str">
        <f t="shared" si="42"/>
        <v xml:space="preserve"> =&lt;90</v>
      </c>
      <c r="AL2702" s="1" t="str">
        <f>VLOOKUP(C:C,[1]基础信息!B$1:D$65536,3,0)</f>
        <v>Jug</v>
      </c>
      <c r="AM2702" s="1" t="str">
        <f>VLOOKUP(C:C,[1]基础信息!B$1:E$65536,4,0)</f>
        <v>Mxplus</v>
      </c>
      <c r="AN2702" s="1" t="str">
        <f>VLOOKUP(C:C,[1]基础信息!B$1:F$65536,5,0)</f>
        <v xml:space="preserve"> lime</v>
      </c>
    </row>
    <row r="2703" spans="1:40">
      <c r="A2703" s="1" t="s">
        <v>41</v>
      </c>
      <c r="B2703" s="1" t="s">
        <v>42</v>
      </c>
      <c r="C2703" s="1" t="s">
        <v>3971</v>
      </c>
      <c r="D2703" s="1" t="s">
        <v>3972</v>
      </c>
      <c r="E2703" s="1" t="s">
        <v>45</v>
      </c>
      <c r="F2703" s="1" t="s">
        <v>5602</v>
      </c>
      <c r="G2703" s="1" t="s">
        <v>6218</v>
      </c>
      <c r="H2703" s="1" t="s">
        <v>6219</v>
      </c>
      <c r="I2703" s="1" t="s">
        <v>49</v>
      </c>
      <c r="J2703" s="1" t="s">
        <v>48</v>
      </c>
      <c r="K2703" s="1">
        <v>96</v>
      </c>
      <c r="L2703" s="1">
        <v>0</v>
      </c>
      <c r="M2703" s="1">
        <v>0</v>
      </c>
      <c r="N2703" s="1">
        <v>96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 t="s">
        <v>49</v>
      </c>
      <c r="AA2703" s="1" t="s">
        <v>49</v>
      </c>
      <c r="AB2703" s="1" t="s">
        <v>49</v>
      </c>
      <c r="AC2703" s="1" t="s">
        <v>1008</v>
      </c>
      <c r="AD2703" s="1" t="s">
        <v>1009</v>
      </c>
      <c r="AE2703" s="1" t="s">
        <v>1008</v>
      </c>
      <c r="AF2703" s="1" t="s">
        <v>5605</v>
      </c>
      <c r="AG2703" s="1" t="s">
        <v>53</v>
      </c>
      <c r="AH2703" s="1" t="s">
        <v>49</v>
      </c>
      <c r="AI2703" s="1" t="s">
        <v>54</v>
      </c>
      <c r="AJ2703" s="1">
        <v>1</v>
      </c>
      <c r="AK2703" s="1" t="str">
        <f t="shared" si="42"/>
        <v xml:space="preserve"> =&lt;90</v>
      </c>
      <c r="AL2703" s="1" t="str">
        <f>VLOOKUP(C:C,[1]基础信息!B$1:D$65536,3,0)</f>
        <v>Jug</v>
      </c>
      <c r="AM2703" s="1" t="str">
        <f>VLOOKUP(C:C,[1]基础信息!B$1:E$65536,4,0)</f>
        <v>Mxplus</v>
      </c>
      <c r="AN2703" s="1" t="str">
        <f>VLOOKUP(C:C,[1]基础信息!B$1:F$65536,5,0)</f>
        <v xml:space="preserve"> lime</v>
      </c>
    </row>
    <row r="2704" spans="1:40">
      <c r="A2704" s="1" t="s">
        <v>41</v>
      </c>
      <c r="B2704" s="1" t="s">
        <v>42</v>
      </c>
      <c r="C2704" s="1" t="s">
        <v>5154</v>
      </c>
      <c r="D2704" s="1" t="s">
        <v>5155</v>
      </c>
      <c r="E2704" s="1" t="s">
        <v>45</v>
      </c>
      <c r="F2704" s="1" t="s">
        <v>5156</v>
      </c>
      <c r="G2704" s="1" t="s">
        <v>6220</v>
      </c>
      <c r="H2704" s="1" t="s">
        <v>6221</v>
      </c>
      <c r="I2704" s="1" t="s">
        <v>49</v>
      </c>
      <c r="J2704" s="1" t="s">
        <v>48</v>
      </c>
      <c r="K2704" s="1">
        <v>61</v>
      </c>
      <c r="L2704" s="1">
        <v>0</v>
      </c>
      <c r="M2704" s="1">
        <v>0</v>
      </c>
      <c r="N2704" s="1">
        <v>61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 t="s">
        <v>49</v>
      </c>
      <c r="AA2704" s="1" t="s">
        <v>49</v>
      </c>
      <c r="AB2704" s="1" t="s">
        <v>49</v>
      </c>
      <c r="AC2704" s="1" t="s">
        <v>215</v>
      </c>
      <c r="AD2704" s="1" t="s">
        <v>3025</v>
      </c>
      <c r="AE2704" s="1" t="s">
        <v>215</v>
      </c>
      <c r="AF2704" s="1" t="s">
        <v>5159</v>
      </c>
      <c r="AG2704" s="1" t="s">
        <v>53</v>
      </c>
      <c r="AH2704" s="1" t="s">
        <v>49</v>
      </c>
      <c r="AI2704" s="1" t="s">
        <v>54</v>
      </c>
      <c r="AJ2704" s="1">
        <v>1</v>
      </c>
      <c r="AK2704" s="1" t="str">
        <f t="shared" si="42"/>
        <v xml:space="preserve"> =&lt;90</v>
      </c>
      <c r="AL2704" s="1" t="e">
        <f>VLOOKUP(C:C,[1]基础信息!B$1:D$65536,3,0)</f>
        <v>#N/A</v>
      </c>
      <c r="AM2704" s="1" t="e">
        <f>VLOOKUP(C:C,[1]基础信息!B$1:E$65536,4,0)</f>
        <v>#N/A</v>
      </c>
      <c r="AN2704" s="1" t="e">
        <f>VLOOKUP(C:C,[1]基础信息!B$1:F$65536,5,0)</f>
        <v>#N/A</v>
      </c>
    </row>
    <row r="2705" spans="1:40">
      <c r="A2705" s="1" t="s">
        <v>41</v>
      </c>
      <c r="B2705" s="1" t="s">
        <v>42</v>
      </c>
      <c r="C2705" s="1" t="s">
        <v>3971</v>
      </c>
      <c r="D2705" s="1" t="s">
        <v>3972</v>
      </c>
      <c r="E2705" s="1" t="s">
        <v>45</v>
      </c>
      <c r="F2705" s="1" t="s">
        <v>5480</v>
      </c>
      <c r="G2705" s="1" t="s">
        <v>6222</v>
      </c>
      <c r="H2705" s="1" t="s">
        <v>6223</v>
      </c>
      <c r="I2705" s="1" t="s">
        <v>49</v>
      </c>
      <c r="J2705" s="1" t="s">
        <v>48</v>
      </c>
      <c r="K2705" s="1">
        <v>96</v>
      </c>
      <c r="L2705" s="1">
        <v>0</v>
      </c>
      <c r="M2705" s="1">
        <v>0</v>
      </c>
      <c r="N2705" s="1">
        <v>96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 t="s">
        <v>49</v>
      </c>
      <c r="AA2705" s="1" t="s">
        <v>49</v>
      </c>
      <c r="AB2705" s="1" t="s">
        <v>49</v>
      </c>
      <c r="AC2705" s="1" t="s">
        <v>1330</v>
      </c>
      <c r="AD2705" s="1" t="s">
        <v>1331</v>
      </c>
      <c r="AE2705" s="1" t="s">
        <v>3719</v>
      </c>
      <c r="AF2705" s="1" t="s">
        <v>5483</v>
      </c>
      <c r="AG2705" s="1" t="s">
        <v>53</v>
      </c>
      <c r="AH2705" s="1" t="s">
        <v>49</v>
      </c>
      <c r="AI2705" s="1" t="s">
        <v>54</v>
      </c>
      <c r="AJ2705" s="1">
        <v>1</v>
      </c>
      <c r="AK2705" s="1" t="str">
        <f t="shared" si="42"/>
        <v xml:space="preserve"> =&lt;90</v>
      </c>
      <c r="AL2705" s="1" t="str">
        <f>VLOOKUP(C:C,[1]基础信息!B$1:D$65536,3,0)</f>
        <v>Jug</v>
      </c>
      <c r="AM2705" s="1" t="str">
        <f>VLOOKUP(C:C,[1]基础信息!B$1:E$65536,4,0)</f>
        <v>Mxplus</v>
      </c>
      <c r="AN2705" s="1" t="str">
        <f>VLOOKUP(C:C,[1]基础信息!B$1:F$65536,5,0)</f>
        <v xml:space="preserve"> lime</v>
      </c>
    </row>
    <row r="2706" spans="1:40">
      <c r="A2706" s="1" t="s">
        <v>41</v>
      </c>
      <c r="B2706" s="1" t="s">
        <v>42</v>
      </c>
      <c r="C2706" s="1" t="s">
        <v>3971</v>
      </c>
      <c r="D2706" s="1" t="s">
        <v>3972</v>
      </c>
      <c r="E2706" s="1" t="s">
        <v>45</v>
      </c>
      <c r="F2706" s="1" t="s">
        <v>5480</v>
      </c>
      <c r="G2706" s="1" t="s">
        <v>6224</v>
      </c>
      <c r="H2706" s="1" t="s">
        <v>6225</v>
      </c>
      <c r="I2706" s="1" t="s">
        <v>49</v>
      </c>
      <c r="J2706" s="1" t="s">
        <v>48</v>
      </c>
      <c r="K2706" s="1">
        <v>96</v>
      </c>
      <c r="L2706" s="1">
        <v>0</v>
      </c>
      <c r="M2706" s="1">
        <v>0</v>
      </c>
      <c r="N2706" s="1">
        <v>96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 t="s">
        <v>49</v>
      </c>
      <c r="AA2706" s="1" t="s">
        <v>49</v>
      </c>
      <c r="AB2706" s="1" t="s">
        <v>49</v>
      </c>
      <c r="AC2706" s="1" t="s">
        <v>1330</v>
      </c>
      <c r="AD2706" s="1" t="s">
        <v>1331</v>
      </c>
      <c r="AE2706" s="1" t="s">
        <v>3719</v>
      </c>
      <c r="AF2706" s="1" t="s">
        <v>5483</v>
      </c>
      <c r="AG2706" s="1" t="s">
        <v>53</v>
      </c>
      <c r="AH2706" s="1" t="s">
        <v>49</v>
      </c>
      <c r="AI2706" s="1" t="s">
        <v>54</v>
      </c>
      <c r="AJ2706" s="1">
        <v>1</v>
      </c>
      <c r="AK2706" s="1" t="str">
        <f t="shared" si="42"/>
        <v xml:space="preserve"> =&lt;90</v>
      </c>
      <c r="AL2706" s="1" t="str">
        <f>VLOOKUP(C:C,[1]基础信息!B$1:D$65536,3,0)</f>
        <v>Jug</v>
      </c>
      <c r="AM2706" s="1" t="str">
        <f>VLOOKUP(C:C,[1]基础信息!B$1:E$65536,4,0)</f>
        <v>Mxplus</v>
      </c>
      <c r="AN2706" s="1" t="str">
        <f>VLOOKUP(C:C,[1]基础信息!B$1:F$65536,5,0)</f>
        <v xml:space="preserve"> lime</v>
      </c>
    </row>
    <row r="2707" spans="1:40">
      <c r="A2707" s="1" t="s">
        <v>41</v>
      </c>
      <c r="B2707" s="1" t="s">
        <v>42</v>
      </c>
      <c r="C2707" s="1" t="s">
        <v>3971</v>
      </c>
      <c r="D2707" s="1" t="s">
        <v>3972</v>
      </c>
      <c r="E2707" s="1" t="s">
        <v>45</v>
      </c>
      <c r="F2707" s="1" t="s">
        <v>5602</v>
      </c>
      <c r="G2707" s="1" t="s">
        <v>6226</v>
      </c>
      <c r="H2707" s="1" t="s">
        <v>6227</v>
      </c>
      <c r="I2707" s="1" t="s">
        <v>49</v>
      </c>
      <c r="J2707" s="1" t="s">
        <v>48</v>
      </c>
      <c r="K2707" s="1">
        <v>96</v>
      </c>
      <c r="L2707" s="1">
        <v>0</v>
      </c>
      <c r="M2707" s="1">
        <v>0</v>
      </c>
      <c r="N2707" s="1">
        <v>96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 t="s">
        <v>49</v>
      </c>
      <c r="AA2707" s="1" t="s">
        <v>49</v>
      </c>
      <c r="AB2707" s="1" t="s">
        <v>49</v>
      </c>
      <c r="AC2707" s="1" t="s">
        <v>1008</v>
      </c>
      <c r="AD2707" s="1" t="s">
        <v>1009</v>
      </c>
      <c r="AE2707" s="1" t="s">
        <v>1008</v>
      </c>
      <c r="AF2707" s="1" t="s">
        <v>5605</v>
      </c>
      <c r="AG2707" s="1" t="s">
        <v>53</v>
      </c>
      <c r="AH2707" s="1" t="s">
        <v>49</v>
      </c>
      <c r="AI2707" s="1" t="s">
        <v>54</v>
      </c>
      <c r="AJ2707" s="1">
        <v>1</v>
      </c>
      <c r="AK2707" s="1" t="str">
        <f t="shared" si="42"/>
        <v xml:space="preserve"> =&lt;90</v>
      </c>
      <c r="AL2707" s="1" t="str">
        <f>VLOOKUP(C:C,[1]基础信息!B$1:D$65536,3,0)</f>
        <v>Jug</v>
      </c>
      <c r="AM2707" s="1" t="str">
        <f>VLOOKUP(C:C,[1]基础信息!B$1:E$65536,4,0)</f>
        <v>Mxplus</v>
      </c>
      <c r="AN2707" s="1" t="str">
        <f>VLOOKUP(C:C,[1]基础信息!B$1:F$65536,5,0)</f>
        <v xml:space="preserve"> lime</v>
      </c>
    </row>
    <row r="2708" spans="1:40">
      <c r="A2708" s="1" t="s">
        <v>41</v>
      </c>
      <c r="B2708" s="1" t="s">
        <v>42</v>
      </c>
      <c r="C2708" s="1" t="s">
        <v>1116</v>
      </c>
      <c r="D2708" s="1" t="s">
        <v>1117</v>
      </c>
      <c r="E2708" s="1" t="s">
        <v>1116</v>
      </c>
      <c r="F2708" s="1" t="s">
        <v>6228</v>
      </c>
      <c r="G2708" s="1" t="s">
        <v>6229</v>
      </c>
      <c r="H2708" s="1" t="s">
        <v>45</v>
      </c>
      <c r="I2708" s="1" t="s">
        <v>45</v>
      </c>
      <c r="J2708" s="1" t="s">
        <v>48</v>
      </c>
      <c r="K2708" s="1">
        <v>8</v>
      </c>
      <c r="L2708" s="1">
        <v>0</v>
      </c>
      <c r="M2708" s="1">
        <v>0</v>
      </c>
      <c r="N2708" s="1">
        <v>8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 t="s">
        <v>49</v>
      </c>
      <c r="AA2708" s="1" t="s">
        <v>49</v>
      </c>
      <c r="AB2708" s="1" t="s">
        <v>49</v>
      </c>
      <c r="AC2708" s="1" t="s">
        <v>4210</v>
      </c>
      <c r="AD2708" s="1" t="s">
        <v>4211</v>
      </c>
      <c r="AE2708" s="1" t="s">
        <v>4210</v>
      </c>
      <c r="AF2708" s="1" t="s">
        <v>6230</v>
      </c>
      <c r="AG2708" s="1" t="s">
        <v>53</v>
      </c>
      <c r="AH2708" s="1" t="s">
        <v>49</v>
      </c>
      <c r="AI2708" s="1" t="s">
        <v>54</v>
      </c>
      <c r="AJ2708" s="1">
        <v>1</v>
      </c>
      <c r="AK2708" s="1" t="str">
        <f t="shared" si="42"/>
        <v xml:space="preserve"> =&lt;90</v>
      </c>
      <c r="AL2708" s="1" t="str">
        <f>VLOOKUP(C:C,[1]基础信息!B$1:D$65536,3,0)</f>
        <v>UTS</v>
      </c>
      <c r="AM2708" s="1" t="str">
        <f>VLOOKUP(C:C,[1]基础信息!B$1:E$65536,4,0)</f>
        <v>MyPure Pro</v>
      </c>
      <c r="AN2708" s="1" t="str">
        <f>VLOOKUP(C:C,[1]基础信息!B$1:F$65536,5,0)</f>
        <v>Refill</v>
      </c>
    </row>
    <row r="2709" spans="1:40">
      <c r="A2709" s="1" t="s">
        <v>41</v>
      </c>
      <c r="B2709" s="1" t="s">
        <v>42</v>
      </c>
      <c r="C2709" s="1" t="s">
        <v>3971</v>
      </c>
      <c r="D2709" s="1" t="s">
        <v>3972</v>
      </c>
      <c r="E2709" s="1" t="s">
        <v>45</v>
      </c>
      <c r="F2709" s="1" t="s">
        <v>5602</v>
      </c>
      <c r="G2709" s="1" t="s">
        <v>6231</v>
      </c>
      <c r="H2709" s="1" t="s">
        <v>6232</v>
      </c>
      <c r="I2709" s="1" t="s">
        <v>49</v>
      </c>
      <c r="J2709" s="1" t="s">
        <v>48</v>
      </c>
      <c r="K2709" s="1">
        <v>96</v>
      </c>
      <c r="L2709" s="1">
        <v>0</v>
      </c>
      <c r="M2709" s="1">
        <v>0</v>
      </c>
      <c r="N2709" s="1">
        <v>96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 t="s">
        <v>49</v>
      </c>
      <c r="AA2709" s="1" t="s">
        <v>49</v>
      </c>
      <c r="AB2709" s="1" t="s">
        <v>49</v>
      </c>
      <c r="AC2709" s="1" t="s">
        <v>1008</v>
      </c>
      <c r="AD2709" s="1" t="s">
        <v>1009</v>
      </c>
      <c r="AE2709" s="1" t="s">
        <v>1008</v>
      </c>
      <c r="AF2709" s="1" t="s">
        <v>5605</v>
      </c>
      <c r="AG2709" s="1" t="s">
        <v>53</v>
      </c>
      <c r="AH2709" s="1" t="s">
        <v>49</v>
      </c>
      <c r="AI2709" s="1" t="s">
        <v>54</v>
      </c>
      <c r="AJ2709" s="1">
        <v>1</v>
      </c>
      <c r="AK2709" s="1" t="str">
        <f t="shared" si="42"/>
        <v xml:space="preserve"> =&lt;90</v>
      </c>
      <c r="AL2709" s="1" t="str">
        <f>VLOOKUP(C:C,[1]基础信息!B$1:D$65536,3,0)</f>
        <v>Jug</v>
      </c>
      <c r="AM2709" s="1" t="str">
        <f>VLOOKUP(C:C,[1]基础信息!B$1:E$65536,4,0)</f>
        <v>Mxplus</v>
      </c>
      <c r="AN2709" s="1" t="str">
        <f>VLOOKUP(C:C,[1]基础信息!B$1:F$65536,5,0)</f>
        <v xml:space="preserve"> lime</v>
      </c>
    </row>
    <row r="2710" spans="1:40">
      <c r="A2710" s="1" t="s">
        <v>41</v>
      </c>
      <c r="B2710" s="1" t="s">
        <v>42</v>
      </c>
      <c r="C2710" s="1" t="s">
        <v>3971</v>
      </c>
      <c r="D2710" s="1" t="s">
        <v>3972</v>
      </c>
      <c r="E2710" s="1" t="s">
        <v>45</v>
      </c>
      <c r="F2710" s="1" t="s">
        <v>5602</v>
      </c>
      <c r="G2710" s="1" t="s">
        <v>6233</v>
      </c>
      <c r="H2710" s="1" t="s">
        <v>6234</v>
      </c>
      <c r="I2710" s="1" t="s">
        <v>49</v>
      </c>
      <c r="J2710" s="1" t="s">
        <v>48</v>
      </c>
      <c r="K2710" s="1">
        <v>96</v>
      </c>
      <c r="L2710" s="1">
        <v>0</v>
      </c>
      <c r="M2710" s="1">
        <v>0</v>
      </c>
      <c r="N2710" s="1">
        <v>96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 t="s">
        <v>49</v>
      </c>
      <c r="AA2710" s="1" t="s">
        <v>49</v>
      </c>
      <c r="AB2710" s="1" t="s">
        <v>49</v>
      </c>
      <c r="AC2710" s="1" t="s">
        <v>1008</v>
      </c>
      <c r="AD2710" s="1" t="s">
        <v>1009</v>
      </c>
      <c r="AE2710" s="1" t="s">
        <v>1008</v>
      </c>
      <c r="AF2710" s="1" t="s">
        <v>5605</v>
      </c>
      <c r="AG2710" s="1" t="s">
        <v>53</v>
      </c>
      <c r="AH2710" s="1" t="s">
        <v>49</v>
      </c>
      <c r="AI2710" s="1" t="s">
        <v>54</v>
      </c>
      <c r="AJ2710" s="1">
        <v>1</v>
      </c>
      <c r="AK2710" s="1" t="str">
        <f t="shared" si="42"/>
        <v xml:space="preserve"> =&lt;90</v>
      </c>
      <c r="AL2710" s="1" t="str">
        <f>VLOOKUP(C:C,[1]基础信息!B$1:D$65536,3,0)</f>
        <v>Jug</v>
      </c>
      <c r="AM2710" s="1" t="str">
        <f>VLOOKUP(C:C,[1]基础信息!B$1:E$65536,4,0)</f>
        <v>Mxplus</v>
      </c>
      <c r="AN2710" s="1" t="str">
        <f>VLOOKUP(C:C,[1]基础信息!B$1:F$65536,5,0)</f>
        <v xml:space="preserve"> lime</v>
      </c>
    </row>
    <row r="2711" spans="1:40">
      <c r="A2711" s="1" t="s">
        <v>41</v>
      </c>
      <c r="B2711" s="1" t="s">
        <v>42</v>
      </c>
      <c r="C2711" s="1" t="s">
        <v>3971</v>
      </c>
      <c r="D2711" s="1" t="s">
        <v>3972</v>
      </c>
      <c r="E2711" s="1" t="s">
        <v>45</v>
      </c>
      <c r="F2711" s="1" t="s">
        <v>5602</v>
      </c>
      <c r="G2711" s="1" t="s">
        <v>6235</v>
      </c>
      <c r="H2711" s="1" t="s">
        <v>6236</v>
      </c>
      <c r="I2711" s="1" t="s">
        <v>49</v>
      </c>
      <c r="J2711" s="1" t="s">
        <v>48</v>
      </c>
      <c r="K2711" s="1">
        <v>96</v>
      </c>
      <c r="L2711" s="1">
        <v>0</v>
      </c>
      <c r="M2711" s="1">
        <v>0</v>
      </c>
      <c r="N2711" s="1">
        <v>96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 t="s">
        <v>49</v>
      </c>
      <c r="AA2711" s="1" t="s">
        <v>49</v>
      </c>
      <c r="AB2711" s="1" t="s">
        <v>49</v>
      </c>
      <c r="AC2711" s="1" t="s">
        <v>1008</v>
      </c>
      <c r="AD2711" s="1" t="s">
        <v>1009</v>
      </c>
      <c r="AE2711" s="1" t="s">
        <v>1008</v>
      </c>
      <c r="AF2711" s="1" t="s">
        <v>5605</v>
      </c>
      <c r="AG2711" s="1" t="s">
        <v>53</v>
      </c>
      <c r="AH2711" s="1" t="s">
        <v>49</v>
      </c>
      <c r="AI2711" s="1" t="s">
        <v>54</v>
      </c>
      <c r="AJ2711" s="1">
        <v>1</v>
      </c>
      <c r="AK2711" s="1" t="str">
        <f t="shared" si="42"/>
        <v xml:space="preserve"> =&lt;90</v>
      </c>
      <c r="AL2711" s="1" t="str">
        <f>VLOOKUP(C:C,[1]基础信息!B$1:D$65536,3,0)</f>
        <v>Jug</v>
      </c>
      <c r="AM2711" s="1" t="str">
        <f>VLOOKUP(C:C,[1]基础信息!B$1:E$65536,4,0)</f>
        <v>Mxplus</v>
      </c>
      <c r="AN2711" s="1" t="str">
        <f>VLOOKUP(C:C,[1]基础信息!B$1:F$65536,5,0)</f>
        <v xml:space="preserve"> lime</v>
      </c>
    </row>
    <row r="2712" spans="1:40">
      <c r="A2712" s="1" t="s">
        <v>41</v>
      </c>
      <c r="B2712" s="1" t="s">
        <v>42</v>
      </c>
      <c r="C2712" s="1" t="s">
        <v>3971</v>
      </c>
      <c r="D2712" s="1" t="s">
        <v>3972</v>
      </c>
      <c r="E2712" s="1" t="s">
        <v>45</v>
      </c>
      <c r="F2712" s="1" t="s">
        <v>5602</v>
      </c>
      <c r="G2712" s="1" t="s">
        <v>6237</v>
      </c>
      <c r="H2712" s="1" t="s">
        <v>6238</v>
      </c>
      <c r="I2712" s="1" t="s">
        <v>49</v>
      </c>
      <c r="J2712" s="1" t="s">
        <v>48</v>
      </c>
      <c r="K2712" s="1">
        <v>96</v>
      </c>
      <c r="L2712" s="1">
        <v>0</v>
      </c>
      <c r="M2712" s="1">
        <v>0</v>
      </c>
      <c r="N2712" s="1">
        <v>96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 t="s">
        <v>49</v>
      </c>
      <c r="AA2712" s="1" t="s">
        <v>49</v>
      </c>
      <c r="AB2712" s="1" t="s">
        <v>49</v>
      </c>
      <c r="AC2712" s="1" t="s">
        <v>1008</v>
      </c>
      <c r="AD2712" s="1" t="s">
        <v>1009</v>
      </c>
      <c r="AE2712" s="1" t="s">
        <v>1008</v>
      </c>
      <c r="AF2712" s="1" t="s">
        <v>5605</v>
      </c>
      <c r="AG2712" s="1" t="s">
        <v>53</v>
      </c>
      <c r="AH2712" s="1" t="s">
        <v>49</v>
      </c>
      <c r="AI2712" s="1" t="s">
        <v>54</v>
      </c>
      <c r="AJ2712" s="1">
        <v>1</v>
      </c>
      <c r="AK2712" s="1" t="str">
        <f t="shared" si="42"/>
        <v xml:space="preserve"> =&lt;90</v>
      </c>
      <c r="AL2712" s="1" t="str">
        <f>VLOOKUP(C:C,[1]基础信息!B$1:D$65536,3,0)</f>
        <v>Jug</v>
      </c>
      <c r="AM2712" s="1" t="str">
        <f>VLOOKUP(C:C,[1]基础信息!B$1:E$65536,4,0)</f>
        <v>Mxplus</v>
      </c>
      <c r="AN2712" s="1" t="str">
        <f>VLOOKUP(C:C,[1]基础信息!B$1:F$65536,5,0)</f>
        <v xml:space="preserve"> lime</v>
      </c>
    </row>
    <row r="2713" spans="1:40">
      <c r="A2713" s="1" t="s">
        <v>41</v>
      </c>
      <c r="B2713" s="1" t="s">
        <v>42</v>
      </c>
      <c r="C2713" s="1" t="s">
        <v>3971</v>
      </c>
      <c r="D2713" s="1" t="s">
        <v>3972</v>
      </c>
      <c r="E2713" s="1" t="s">
        <v>45</v>
      </c>
      <c r="F2713" s="1" t="s">
        <v>5602</v>
      </c>
      <c r="G2713" s="1" t="s">
        <v>6239</v>
      </c>
      <c r="H2713" s="1" t="s">
        <v>6240</v>
      </c>
      <c r="I2713" s="1" t="s">
        <v>49</v>
      </c>
      <c r="J2713" s="1" t="s">
        <v>48</v>
      </c>
      <c r="K2713" s="1">
        <v>96</v>
      </c>
      <c r="L2713" s="1">
        <v>0</v>
      </c>
      <c r="M2713" s="1">
        <v>0</v>
      </c>
      <c r="N2713" s="1">
        <v>96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 t="s">
        <v>49</v>
      </c>
      <c r="AA2713" s="1" t="s">
        <v>49</v>
      </c>
      <c r="AB2713" s="1" t="s">
        <v>49</v>
      </c>
      <c r="AC2713" s="1" t="s">
        <v>1008</v>
      </c>
      <c r="AD2713" s="1" t="s">
        <v>1009</v>
      </c>
      <c r="AE2713" s="1" t="s">
        <v>1008</v>
      </c>
      <c r="AF2713" s="1" t="s">
        <v>5605</v>
      </c>
      <c r="AG2713" s="1" t="s">
        <v>53</v>
      </c>
      <c r="AH2713" s="1" t="s">
        <v>49</v>
      </c>
      <c r="AI2713" s="1" t="s">
        <v>54</v>
      </c>
      <c r="AJ2713" s="1">
        <v>1</v>
      </c>
      <c r="AK2713" s="1" t="str">
        <f t="shared" si="42"/>
        <v xml:space="preserve"> =&lt;90</v>
      </c>
      <c r="AL2713" s="1" t="str">
        <f>VLOOKUP(C:C,[1]基础信息!B$1:D$65536,3,0)</f>
        <v>Jug</v>
      </c>
      <c r="AM2713" s="1" t="str">
        <f>VLOOKUP(C:C,[1]基础信息!B$1:E$65536,4,0)</f>
        <v>Mxplus</v>
      </c>
      <c r="AN2713" s="1" t="str">
        <f>VLOOKUP(C:C,[1]基础信息!B$1:F$65536,5,0)</f>
        <v xml:space="preserve"> lime</v>
      </c>
    </row>
    <row r="2714" spans="1:40">
      <c r="A2714" s="1" t="s">
        <v>41</v>
      </c>
      <c r="B2714" s="1" t="s">
        <v>42</v>
      </c>
      <c r="C2714" s="1" t="s">
        <v>5254</v>
      </c>
      <c r="D2714" s="1" t="s">
        <v>5255</v>
      </c>
      <c r="E2714" s="1" t="s">
        <v>45</v>
      </c>
      <c r="F2714" s="1" t="s">
        <v>5933</v>
      </c>
      <c r="G2714" s="1" t="s">
        <v>6241</v>
      </c>
      <c r="H2714" s="1" t="s">
        <v>6242</v>
      </c>
      <c r="I2714" s="1" t="s">
        <v>49</v>
      </c>
      <c r="J2714" s="1" t="s">
        <v>48</v>
      </c>
      <c r="K2714" s="1">
        <v>2200</v>
      </c>
      <c r="L2714" s="1">
        <v>0</v>
      </c>
      <c r="M2714" s="1">
        <v>0</v>
      </c>
      <c r="N2714" s="1">
        <v>2200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 t="s">
        <v>49</v>
      </c>
      <c r="AA2714" s="1" t="s">
        <v>49</v>
      </c>
      <c r="AB2714" s="1" t="s">
        <v>49</v>
      </c>
      <c r="AC2714" s="1" t="s">
        <v>3190</v>
      </c>
      <c r="AD2714" s="1" t="s">
        <v>3254</v>
      </c>
      <c r="AE2714" s="1" t="s">
        <v>3255</v>
      </c>
      <c r="AF2714" s="1" t="s">
        <v>5936</v>
      </c>
      <c r="AG2714" s="1" t="s">
        <v>53</v>
      </c>
      <c r="AH2714" s="1" t="s">
        <v>49</v>
      </c>
      <c r="AI2714" s="1" t="s">
        <v>54</v>
      </c>
      <c r="AJ2714" s="1">
        <v>1</v>
      </c>
      <c r="AK2714" s="1" t="str">
        <f t="shared" si="42"/>
        <v xml:space="preserve"> =&lt;90</v>
      </c>
      <c r="AL2714" s="1" t="str">
        <f>VLOOKUP(C:C,[1]基础信息!B$1:D$65536,3,0)</f>
        <v xml:space="preserve">Cartridge </v>
      </c>
      <c r="AM2714" s="1" t="str">
        <f>VLOOKUP(C:C,[1]基础信息!B$1:E$65536,4,0)</f>
        <v>UNIV</v>
      </c>
      <c r="AN2714" s="1" t="str">
        <f>VLOOKUP(C:C,[1]基础信息!B$1:F$65536,5,0)</f>
        <v>P55</v>
      </c>
    </row>
    <row r="2715" spans="1:40">
      <c r="A2715" s="1" t="s">
        <v>41</v>
      </c>
      <c r="B2715" s="1" t="s">
        <v>42</v>
      </c>
      <c r="C2715" s="1" t="s">
        <v>4245</v>
      </c>
      <c r="D2715" s="1" t="s">
        <v>4246</v>
      </c>
      <c r="E2715" s="1" t="s">
        <v>4245</v>
      </c>
      <c r="F2715" s="1" t="s">
        <v>6243</v>
      </c>
      <c r="G2715" s="1" t="s">
        <v>6244</v>
      </c>
      <c r="H2715" s="1" t="s">
        <v>6245</v>
      </c>
      <c r="I2715" s="1" t="s">
        <v>49</v>
      </c>
      <c r="J2715" s="1" t="s">
        <v>48</v>
      </c>
      <c r="K2715" s="1">
        <v>20</v>
      </c>
      <c r="L2715" s="1">
        <v>0</v>
      </c>
      <c r="M2715" s="1">
        <v>0</v>
      </c>
      <c r="N2715" s="1">
        <v>20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 t="s">
        <v>49</v>
      </c>
      <c r="AA2715" s="1" t="s">
        <v>49</v>
      </c>
      <c r="AB2715" s="1" t="s">
        <v>49</v>
      </c>
      <c r="AC2715" s="1" t="s">
        <v>6246</v>
      </c>
      <c r="AD2715" s="1" t="s">
        <v>6247</v>
      </c>
      <c r="AE2715" s="1" t="s">
        <v>6246</v>
      </c>
      <c r="AF2715" s="1" t="s">
        <v>6248</v>
      </c>
      <c r="AG2715" s="1" t="s">
        <v>53</v>
      </c>
      <c r="AH2715" s="1" t="s">
        <v>49</v>
      </c>
      <c r="AI2715" s="1" t="s">
        <v>54</v>
      </c>
      <c r="AJ2715" s="1">
        <v>1</v>
      </c>
      <c r="AK2715" s="1" t="str">
        <f t="shared" si="42"/>
        <v xml:space="preserve"> =&lt;90</v>
      </c>
      <c r="AL2715" s="1" t="str">
        <f>VLOOKUP(C:C,[1]基础信息!B$1:D$65536,3,0)</f>
        <v>UTS</v>
      </c>
      <c r="AM2715" s="1" t="str">
        <f>VLOOKUP(C:C,[1]基础信息!B$1:E$65536,4,0)</f>
        <v>MyPure Pro</v>
      </c>
      <c r="AN2715" s="1" t="str">
        <f>VLOOKUP(C:C,[1]基础信息!B$1:F$65536,5,0)</f>
        <v>X9</v>
      </c>
    </row>
    <row r="2716" spans="1:40">
      <c r="A2716" s="1" t="s">
        <v>41</v>
      </c>
      <c r="B2716" s="1" t="s">
        <v>42</v>
      </c>
      <c r="C2716" s="1" t="s">
        <v>5254</v>
      </c>
      <c r="D2716" s="1" t="s">
        <v>5255</v>
      </c>
      <c r="E2716" s="1" t="s">
        <v>45</v>
      </c>
      <c r="F2716" s="1" t="s">
        <v>6181</v>
      </c>
      <c r="G2716" s="1" t="s">
        <v>6249</v>
      </c>
      <c r="H2716" s="1" t="s">
        <v>6250</v>
      </c>
      <c r="I2716" s="1" t="s">
        <v>49</v>
      </c>
      <c r="J2716" s="1" t="s">
        <v>48</v>
      </c>
      <c r="K2716" s="1">
        <v>2200</v>
      </c>
      <c r="L2716" s="1">
        <v>0</v>
      </c>
      <c r="M2716" s="1">
        <v>0</v>
      </c>
      <c r="N2716" s="1">
        <v>2200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 t="s">
        <v>49</v>
      </c>
      <c r="AA2716" s="1" t="s">
        <v>49</v>
      </c>
      <c r="AB2716" s="1" t="s">
        <v>49</v>
      </c>
      <c r="AC2716" s="1" t="s">
        <v>5228</v>
      </c>
      <c r="AD2716" s="1" t="s">
        <v>5229</v>
      </c>
      <c r="AE2716" s="1" t="s">
        <v>5230</v>
      </c>
      <c r="AF2716" s="1" t="s">
        <v>5936</v>
      </c>
      <c r="AG2716" s="1" t="s">
        <v>53</v>
      </c>
      <c r="AH2716" s="1" t="s">
        <v>49</v>
      </c>
      <c r="AI2716" s="1" t="s">
        <v>54</v>
      </c>
      <c r="AJ2716" s="1">
        <v>1</v>
      </c>
      <c r="AK2716" s="1" t="str">
        <f t="shared" si="42"/>
        <v xml:space="preserve"> =&lt;90</v>
      </c>
      <c r="AL2716" s="1" t="str">
        <f>VLOOKUP(C:C,[1]基础信息!B$1:D$65536,3,0)</f>
        <v xml:space="preserve">Cartridge </v>
      </c>
      <c r="AM2716" s="1" t="str">
        <f>VLOOKUP(C:C,[1]基础信息!B$1:E$65536,4,0)</f>
        <v>UNIV</v>
      </c>
      <c r="AN2716" s="1" t="str">
        <f>VLOOKUP(C:C,[1]基础信息!B$1:F$65536,5,0)</f>
        <v>P55</v>
      </c>
    </row>
    <row r="2717" spans="1:40">
      <c r="A2717" s="1" t="s">
        <v>41</v>
      </c>
      <c r="B2717" s="1" t="s">
        <v>42</v>
      </c>
      <c r="C2717" s="1" t="s">
        <v>3971</v>
      </c>
      <c r="D2717" s="1" t="s">
        <v>3972</v>
      </c>
      <c r="E2717" s="1" t="s">
        <v>45</v>
      </c>
      <c r="F2717" s="1" t="s">
        <v>5602</v>
      </c>
      <c r="G2717" s="1" t="s">
        <v>6251</v>
      </c>
      <c r="H2717" s="1" t="s">
        <v>6252</v>
      </c>
      <c r="I2717" s="1" t="s">
        <v>49</v>
      </c>
      <c r="J2717" s="1" t="s">
        <v>48</v>
      </c>
      <c r="K2717" s="1">
        <v>96</v>
      </c>
      <c r="L2717" s="1">
        <v>0</v>
      </c>
      <c r="M2717" s="1">
        <v>0</v>
      </c>
      <c r="N2717" s="1">
        <v>96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 t="s">
        <v>49</v>
      </c>
      <c r="AA2717" s="1" t="s">
        <v>49</v>
      </c>
      <c r="AB2717" s="1" t="s">
        <v>49</v>
      </c>
      <c r="AC2717" s="1" t="s">
        <v>1008</v>
      </c>
      <c r="AD2717" s="1" t="s">
        <v>1009</v>
      </c>
      <c r="AE2717" s="1" t="s">
        <v>1008</v>
      </c>
      <c r="AF2717" s="1" t="s">
        <v>5605</v>
      </c>
      <c r="AG2717" s="1" t="s">
        <v>53</v>
      </c>
      <c r="AH2717" s="1" t="s">
        <v>49</v>
      </c>
      <c r="AI2717" s="1" t="s">
        <v>54</v>
      </c>
      <c r="AJ2717" s="1">
        <v>1</v>
      </c>
      <c r="AK2717" s="1" t="str">
        <f t="shared" si="42"/>
        <v xml:space="preserve"> =&lt;90</v>
      </c>
      <c r="AL2717" s="1" t="str">
        <f>VLOOKUP(C:C,[1]基础信息!B$1:D$65536,3,0)</f>
        <v>Jug</v>
      </c>
      <c r="AM2717" s="1" t="str">
        <f>VLOOKUP(C:C,[1]基础信息!B$1:E$65536,4,0)</f>
        <v>Mxplus</v>
      </c>
      <c r="AN2717" s="1" t="str">
        <f>VLOOKUP(C:C,[1]基础信息!B$1:F$65536,5,0)</f>
        <v xml:space="preserve"> lime</v>
      </c>
    </row>
    <row r="2718" spans="1:40">
      <c r="A2718" s="1" t="s">
        <v>41</v>
      </c>
      <c r="B2718" s="1" t="s">
        <v>42</v>
      </c>
      <c r="C2718" s="1" t="s">
        <v>5254</v>
      </c>
      <c r="D2718" s="1" t="s">
        <v>5255</v>
      </c>
      <c r="E2718" s="1" t="s">
        <v>45</v>
      </c>
      <c r="F2718" s="1" t="s">
        <v>6160</v>
      </c>
      <c r="G2718" s="1" t="s">
        <v>6253</v>
      </c>
      <c r="H2718" s="1" t="s">
        <v>6254</v>
      </c>
      <c r="I2718" s="1" t="s">
        <v>49</v>
      </c>
      <c r="J2718" s="1" t="s">
        <v>48</v>
      </c>
      <c r="K2718" s="1">
        <v>1155</v>
      </c>
      <c r="L2718" s="1">
        <v>0</v>
      </c>
      <c r="M2718" s="1">
        <v>0</v>
      </c>
      <c r="N2718" s="1">
        <v>1155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 t="s">
        <v>49</v>
      </c>
      <c r="AA2718" s="1" t="s">
        <v>49</v>
      </c>
      <c r="AB2718" s="1" t="s">
        <v>49</v>
      </c>
      <c r="AC2718" s="1" t="s">
        <v>5899</v>
      </c>
      <c r="AD2718" s="1" t="s">
        <v>5900</v>
      </c>
      <c r="AE2718" s="1" t="s">
        <v>5901</v>
      </c>
      <c r="AF2718" s="1" t="s">
        <v>5412</v>
      </c>
      <c r="AG2718" s="1" t="s">
        <v>53</v>
      </c>
      <c r="AH2718" s="1" t="s">
        <v>49</v>
      </c>
      <c r="AI2718" s="1" t="s">
        <v>54</v>
      </c>
      <c r="AJ2718" s="1">
        <v>1</v>
      </c>
      <c r="AK2718" s="1" t="str">
        <f t="shared" si="42"/>
        <v xml:space="preserve"> =&lt;90</v>
      </c>
      <c r="AL2718" s="1" t="str">
        <f>VLOOKUP(C:C,[1]基础信息!B$1:D$65536,3,0)</f>
        <v xml:space="preserve">Cartridge </v>
      </c>
      <c r="AM2718" s="1" t="str">
        <f>VLOOKUP(C:C,[1]基础信息!B$1:E$65536,4,0)</f>
        <v>UNIV</v>
      </c>
      <c r="AN2718" s="1" t="str">
        <f>VLOOKUP(C:C,[1]基础信息!B$1:F$65536,5,0)</f>
        <v>P55</v>
      </c>
    </row>
    <row r="2719" spans="1:40">
      <c r="A2719" s="1" t="s">
        <v>41</v>
      </c>
      <c r="B2719" s="1" t="s">
        <v>42</v>
      </c>
      <c r="C2719" s="1" t="s">
        <v>5254</v>
      </c>
      <c r="D2719" s="1" t="s">
        <v>5255</v>
      </c>
      <c r="E2719" s="1" t="s">
        <v>45</v>
      </c>
      <c r="F2719" s="1" t="s">
        <v>5933</v>
      </c>
      <c r="G2719" s="1" t="s">
        <v>6255</v>
      </c>
      <c r="H2719" s="1" t="s">
        <v>6256</v>
      </c>
      <c r="I2719" s="1" t="s">
        <v>49</v>
      </c>
      <c r="J2719" s="1" t="s">
        <v>48</v>
      </c>
      <c r="K2719" s="1">
        <v>2200</v>
      </c>
      <c r="L2719" s="1">
        <v>0</v>
      </c>
      <c r="M2719" s="1">
        <v>0</v>
      </c>
      <c r="N2719" s="1">
        <v>2200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 t="s">
        <v>49</v>
      </c>
      <c r="AA2719" s="1" t="s">
        <v>49</v>
      </c>
      <c r="AB2719" s="1" t="s">
        <v>49</v>
      </c>
      <c r="AC2719" s="1" t="s">
        <v>3190</v>
      </c>
      <c r="AD2719" s="1" t="s">
        <v>3254</v>
      </c>
      <c r="AE2719" s="1" t="s">
        <v>3255</v>
      </c>
      <c r="AF2719" s="1" t="s">
        <v>5936</v>
      </c>
      <c r="AG2719" s="1" t="s">
        <v>53</v>
      </c>
      <c r="AH2719" s="1" t="s">
        <v>49</v>
      </c>
      <c r="AI2719" s="1" t="s">
        <v>54</v>
      </c>
      <c r="AJ2719" s="1">
        <v>1</v>
      </c>
      <c r="AK2719" s="1" t="str">
        <f t="shared" si="42"/>
        <v xml:space="preserve"> =&lt;90</v>
      </c>
      <c r="AL2719" s="1" t="str">
        <f>VLOOKUP(C:C,[1]基础信息!B$1:D$65536,3,0)</f>
        <v xml:space="preserve">Cartridge </v>
      </c>
      <c r="AM2719" s="1" t="str">
        <f>VLOOKUP(C:C,[1]基础信息!B$1:E$65536,4,0)</f>
        <v>UNIV</v>
      </c>
      <c r="AN2719" s="1" t="str">
        <f>VLOOKUP(C:C,[1]基础信息!B$1:F$65536,5,0)</f>
        <v>P55</v>
      </c>
    </row>
    <row r="2720" spans="1:40">
      <c r="A2720" s="1" t="s">
        <v>41</v>
      </c>
      <c r="B2720" s="1" t="s">
        <v>42</v>
      </c>
      <c r="C2720" s="1" t="s">
        <v>3971</v>
      </c>
      <c r="D2720" s="1" t="s">
        <v>3972</v>
      </c>
      <c r="E2720" s="1" t="s">
        <v>45</v>
      </c>
      <c r="F2720" s="1" t="s">
        <v>5701</v>
      </c>
      <c r="G2720" s="1" t="s">
        <v>6257</v>
      </c>
      <c r="H2720" s="1" t="s">
        <v>6258</v>
      </c>
      <c r="I2720" s="1" t="s">
        <v>49</v>
      </c>
      <c r="J2720" s="1" t="s">
        <v>48</v>
      </c>
      <c r="K2720" s="1">
        <v>96</v>
      </c>
      <c r="L2720" s="1">
        <v>0</v>
      </c>
      <c r="M2720" s="1">
        <v>0</v>
      </c>
      <c r="N2720" s="1">
        <v>96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 t="s">
        <v>49</v>
      </c>
      <c r="AA2720" s="1" t="s">
        <v>49</v>
      </c>
      <c r="AB2720" s="1" t="s">
        <v>49</v>
      </c>
      <c r="AC2720" s="1" t="s">
        <v>88</v>
      </c>
      <c r="AD2720" s="1" t="s">
        <v>89</v>
      </c>
      <c r="AE2720" s="1" t="s">
        <v>88</v>
      </c>
      <c r="AF2720" s="1" t="s">
        <v>5704</v>
      </c>
      <c r="AG2720" s="1" t="s">
        <v>53</v>
      </c>
      <c r="AH2720" s="1" t="s">
        <v>49</v>
      </c>
      <c r="AI2720" s="1" t="s">
        <v>54</v>
      </c>
      <c r="AJ2720" s="1">
        <v>1</v>
      </c>
      <c r="AK2720" s="1" t="str">
        <f t="shared" si="42"/>
        <v xml:space="preserve"> =&lt;90</v>
      </c>
      <c r="AL2720" s="1" t="str">
        <f>VLOOKUP(C:C,[1]基础信息!B$1:D$65536,3,0)</f>
        <v>Jug</v>
      </c>
      <c r="AM2720" s="1" t="str">
        <f>VLOOKUP(C:C,[1]基础信息!B$1:E$65536,4,0)</f>
        <v>Mxplus</v>
      </c>
      <c r="AN2720" s="1" t="str">
        <f>VLOOKUP(C:C,[1]基础信息!B$1:F$65536,5,0)</f>
        <v xml:space="preserve"> lime</v>
      </c>
    </row>
    <row r="2721" spans="1:40">
      <c r="A2721" s="1" t="s">
        <v>41</v>
      </c>
      <c r="B2721" s="1" t="s">
        <v>42</v>
      </c>
      <c r="C2721" s="1" t="s">
        <v>5254</v>
      </c>
      <c r="D2721" s="1" t="s">
        <v>5255</v>
      </c>
      <c r="E2721" s="1" t="s">
        <v>45</v>
      </c>
      <c r="F2721" s="1" t="s">
        <v>6181</v>
      </c>
      <c r="G2721" s="1" t="s">
        <v>6259</v>
      </c>
      <c r="H2721" s="1" t="s">
        <v>6260</v>
      </c>
      <c r="I2721" s="1" t="s">
        <v>49</v>
      </c>
      <c r="J2721" s="1" t="s">
        <v>48</v>
      </c>
      <c r="K2721" s="1">
        <v>2200</v>
      </c>
      <c r="L2721" s="1">
        <v>0</v>
      </c>
      <c r="M2721" s="1">
        <v>0</v>
      </c>
      <c r="N2721" s="1">
        <v>2200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 t="s">
        <v>49</v>
      </c>
      <c r="AA2721" s="1" t="s">
        <v>49</v>
      </c>
      <c r="AB2721" s="1" t="s">
        <v>49</v>
      </c>
      <c r="AC2721" s="1" t="s">
        <v>5228</v>
      </c>
      <c r="AD2721" s="1" t="s">
        <v>5229</v>
      </c>
      <c r="AE2721" s="1" t="s">
        <v>5230</v>
      </c>
      <c r="AF2721" s="1" t="s">
        <v>5936</v>
      </c>
      <c r="AG2721" s="1" t="s">
        <v>53</v>
      </c>
      <c r="AH2721" s="1" t="s">
        <v>49</v>
      </c>
      <c r="AI2721" s="1" t="s">
        <v>54</v>
      </c>
      <c r="AJ2721" s="1">
        <v>1</v>
      </c>
      <c r="AK2721" s="1" t="str">
        <f t="shared" si="42"/>
        <v xml:space="preserve"> =&lt;90</v>
      </c>
      <c r="AL2721" s="1" t="str">
        <f>VLOOKUP(C:C,[1]基础信息!B$1:D$65536,3,0)</f>
        <v xml:space="preserve">Cartridge </v>
      </c>
      <c r="AM2721" s="1" t="str">
        <f>VLOOKUP(C:C,[1]基础信息!B$1:E$65536,4,0)</f>
        <v>UNIV</v>
      </c>
      <c r="AN2721" s="1" t="str">
        <f>VLOOKUP(C:C,[1]基础信息!B$1:F$65536,5,0)</f>
        <v>P55</v>
      </c>
    </row>
    <row r="2722" spans="1:40">
      <c r="A2722" s="1" t="s">
        <v>41</v>
      </c>
      <c r="B2722" s="1" t="s">
        <v>42</v>
      </c>
      <c r="C2722" s="1" t="s">
        <v>5254</v>
      </c>
      <c r="D2722" s="1" t="s">
        <v>5255</v>
      </c>
      <c r="E2722" s="1" t="s">
        <v>45</v>
      </c>
      <c r="F2722" s="1" t="s">
        <v>6181</v>
      </c>
      <c r="G2722" s="1" t="s">
        <v>6261</v>
      </c>
      <c r="H2722" s="1" t="s">
        <v>6262</v>
      </c>
      <c r="I2722" s="1" t="s">
        <v>49</v>
      </c>
      <c r="J2722" s="1" t="s">
        <v>48</v>
      </c>
      <c r="K2722" s="1">
        <v>2200</v>
      </c>
      <c r="L2722" s="1">
        <v>0</v>
      </c>
      <c r="M2722" s="1">
        <v>0</v>
      </c>
      <c r="N2722" s="1">
        <v>2200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 t="s">
        <v>49</v>
      </c>
      <c r="AA2722" s="1" t="s">
        <v>49</v>
      </c>
      <c r="AB2722" s="1" t="s">
        <v>49</v>
      </c>
      <c r="AC2722" s="1" t="s">
        <v>5228</v>
      </c>
      <c r="AD2722" s="1" t="s">
        <v>5229</v>
      </c>
      <c r="AE2722" s="1" t="s">
        <v>5230</v>
      </c>
      <c r="AF2722" s="1" t="s">
        <v>5936</v>
      </c>
      <c r="AG2722" s="1" t="s">
        <v>53</v>
      </c>
      <c r="AH2722" s="1" t="s">
        <v>49</v>
      </c>
      <c r="AI2722" s="1" t="s">
        <v>54</v>
      </c>
      <c r="AJ2722" s="1">
        <v>1</v>
      </c>
      <c r="AK2722" s="1" t="str">
        <f t="shared" si="42"/>
        <v xml:space="preserve"> =&lt;90</v>
      </c>
      <c r="AL2722" s="1" t="str">
        <f>VLOOKUP(C:C,[1]基础信息!B$1:D$65536,3,0)</f>
        <v xml:space="preserve">Cartridge </v>
      </c>
      <c r="AM2722" s="1" t="str">
        <f>VLOOKUP(C:C,[1]基础信息!B$1:E$65536,4,0)</f>
        <v>UNIV</v>
      </c>
      <c r="AN2722" s="1" t="str">
        <f>VLOOKUP(C:C,[1]基础信息!B$1:F$65536,5,0)</f>
        <v>P55</v>
      </c>
    </row>
    <row r="2723" spans="1:40">
      <c r="A2723" s="1" t="s">
        <v>41</v>
      </c>
      <c r="B2723" s="1" t="s">
        <v>42</v>
      </c>
      <c r="C2723" s="1" t="s">
        <v>5254</v>
      </c>
      <c r="D2723" s="1" t="s">
        <v>5255</v>
      </c>
      <c r="E2723" s="1" t="s">
        <v>45</v>
      </c>
      <c r="F2723" s="1" t="s">
        <v>6263</v>
      </c>
      <c r="G2723" s="1" t="s">
        <v>6264</v>
      </c>
      <c r="H2723" s="1" t="s">
        <v>6265</v>
      </c>
      <c r="I2723" s="1" t="s">
        <v>49</v>
      </c>
      <c r="J2723" s="1" t="s">
        <v>48</v>
      </c>
      <c r="K2723" s="1">
        <v>2200</v>
      </c>
      <c r="L2723" s="1">
        <v>0</v>
      </c>
      <c r="M2723" s="1">
        <v>0</v>
      </c>
      <c r="N2723" s="1">
        <v>2200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 t="s">
        <v>49</v>
      </c>
      <c r="AA2723" s="1" t="s">
        <v>49</v>
      </c>
      <c r="AB2723" s="1" t="s">
        <v>49</v>
      </c>
      <c r="AC2723" s="1" t="s">
        <v>6246</v>
      </c>
      <c r="AD2723" s="1" t="s">
        <v>6247</v>
      </c>
      <c r="AE2723" s="1" t="s">
        <v>6246</v>
      </c>
      <c r="AF2723" s="1" t="s">
        <v>6266</v>
      </c>
      <c r="AG2723" s="1" t="s">
        <v>53</v>
      </c>
      <c r="AH2723" s="1" t="s">
        <v>49</v>
      </c>
      <c r="AI2723" s="1" t="s">
        <v>54</v>
      </c>
      <c r="AJ2723" s="1">
        <v>1</v>
      </c>
      <c r="AK2723" s="1" t="str">
        <f t="shared" si="42"/>
        <v xml:space="preserve"> =&lt;90</v>
      </c>
      <c r="AL2723" s="1" t="str">
        <f>VLOOKUP(C:C,[1]基础信息!B$1:D$65536,3,0)</f>
        <v xml:space="preserve">Cartridge </v>
      </c>
      <c r="AM2723" s="1" t="str">
        <f>VLOOKUP(C:C,[1]基础信息!B$1:E$65536,4,0)</f>
        <v>UNIV</v>
      </c>
      <c r="AN2723" s="1" t="str">
        <f>VLOOKUP(C:C,[1]基础信息!B$1:F$65536,5,0)</f>
        <v>P55</v>
      </c>
    </row>
    <row r="2724" spans="1:40">
      <c r="A2724" s="1" t="s">
        <v>41</v>
      </c>
      <c r="B2724" s="1" t="s">
        <v>42</v>
      </c>
      <c r="C2724" s="1" t="s">
        <v>5254</v>
      </c>
      <c r="D2724" s="1" t="s">
        <v>5255</v>
      </c>
      <c r="E2724" s="1" t="s">
        <v>45</v>
      </c>
      <c r="F2724" s="1" t="s">
        <v>6181</v>
      </c>
      <c r="G2724" s="1" t="s">
        <v>6267</v>
      </c>
      <c r="H2724" s="1" t="s">
        <v>6268</v>
      </c>
      <c r="I2724" s="1" t="s">
        <v>49</v>
      </c>
      <c r="J2724" s="1" t="s">
        <v>48</v>
      </c>
      <c r="K2724" s="1">
        <v>1540</v>
      </c>
      <c r="L2724" s="1">
        <v>0</v>
      </c>
      <c r="M2724" s="1">
        <v>0</v>
      </c>
      <c r="N2724" s="1">
        <v>1540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 t="s">
        <v>49</v>
      </c>
      <c r="AA2724" s="1" t="s">
        <v>49</v>
      </c>
      <c r="AB2724" s="1" t="s">
        <v>49</v>
      </c>
      <c r="AC2724" s="1" t="s">
        <v>5228</v>
      </c>
      <c r="AD2724" s="1" t="s">
        <v>5229</v>
      </c>
      <c r="AE2724" s="1" t="s">
        <v>5230</v>
      </c>
      <c r="AF2724" s="1" t="s">
        <v>5936</v>
      </c>
      <c r="AG2724" s="1" t="s">
        <v>53</v>
      </c>
      <c r="AH2724" s="1" t="s">
        <v>49</v>
      </c>
      <c r="AI2724" s="1" t="s">
        <v>54</v>
      </c>
      <c r="AJ2724" s="1">
        <v>1</v>
      </c>
      <c r="AK2724" s="1" t="str">
        <f t="shared" si="42"/>
        <v xml:space="preserve"> =&lt;90</v>
      </c>
      <c r="AL2724" s="1" t="str">
        <f>VLOOKUP(C:C,[1]基础信息!B$1:D$65536,3,0)</f>
        <v xml:space="preserve">Cartridge </v>
      </c>
      <c r="AM2724" s="1" t="str">
        <f>VLOOKUP(C:C,[1]基础信息!B$1:E$65536,4,0)</f>
        <v>UNIV</v>
      </c>
      <c r="AN2724" s="1" t="str">
        <f>VLOOKUP(C:C,[1]基础信息!B$1:F$65536,5,0)</f>
        <v>P55</v>
      </c>
    </row>
    <row r="2725" spans="1:40">
      <c r="A2725" s="1" t="s">
        <v>41</v>
      </c>
      <c r="B2725" s="1" t="s">
        <v>42</v>
      </c>
      <c r="C2725" s="1" t="s">
        <v>3971</v>
      </c>
      <c r="D2725" s="1" t="s">
        <v>3972</v>
      </c>
      <c r="E2725" s="1" t="s">
        <v>45</v>
      </c>
      <c r="F2725" s="1" t="s">
        <v>5701</v>
      </c>
      <c r="G2725" s="1" t="s">
        <v>6269</v>
      </c>
      <c r="H2725" s="1" t="s">
        <v>6270</v>
      </c>
      <c r="I2725" s="1" t="s">
        <v>49</v>
      </c>
      <c r="J2725" s="1" t="s">
        <v>48</v>
      </c>
      <c r="K2725" s="1">
        <v>96</v>
      </c>
      <c r="L2725" s="1">
        <v>0</v>
      </c>
      <c r="M2725" s="1">
        <v>0</v>
      </c>
      <c r="N2725" s="1">
        <v>96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 t="s">
        <v>49</v>
      </c>
      <c r="AA2725" s="1" t="s">
        <v>49</v>
      </c>
      <c r="AB2725" s="1" t="s">
        <v>49</v>
      </c>
      <c r="AC2725" s="1" t="s">
        <v>88</v>
      </c>
      <c r="AD2725" s="1" t="s">
        <v>89</v>
      </c>
      <c r="AE2725" s="1" t="s">
        <v>88</v>
      </c>
      <c r="AF2725" s="1" t="s">
        <v>5704</v>
      </c>
      <c r="AG2725" s="1" t="s">
        <v>53</v>
      </c>
      <c r="AH2725" s="1" t="s">
        <v>49</v>
      </c>
      <c r="AI2725" s="1" t="s">
        <v>54</v>
      </c>
      <c r="AJ2725" s="1">
        <v>1</v>
      </c>
      <c r="AK2725" s="1" t="str">
        <f t="shared" si="42"/>
        <v xml:space="preserve"> =&lt;90</v>
      </c>
      <c r="AL2725" s="1" t="str">
        <f>VLOOKUP(C:C,[1]基础信息!B$1:D$65536,3,0)</f>
        <v>Jug</v>
      </c>
      <c r="AM2725" s="1" t="str">
        <f>VLOOKUP(C:C,[1]基础信息!B$1:E$65536,4,0)</f>
        <v>Mxplus</v>
      </c>
      <c r="AN2725" s="1" t="str">
        <f>VLOOKUP(C:C,[1]基础信息!B$1:F$65536,5,0)</f>
        <v xml:space="preserve"> lime</v>
      </c>
    </row>
    <row r="2726" spans="1:40">
      <c r="A2726" s="1" t="s">
        <v>41</v>
      </c>
      <c r="B2726" s="1" t="s">
        <v>42</v>
      </c>
      <c r="C2726" s="1" t="s">
        <v>3971</v>
      </c>
      <c r="D2726" s="1" t="s">
        <v>3972</v>
      </c>
      <c r="E2726" s="1" t="s">
        <v>45</v>
      </c>
      <c r="F2726" s="1" t="s">
        <v>5701</v>
      </c>
      <c r="G2726" s="1" t="s">
        <v>6271</v>
      </c>
      <c r="H2726" s="1" t="s">
        <v>6272</v>
      </c>
      <c r="I2726" s="1" t="s">
        <v>49</v>
      </c>
      <c r="J2726" s="1" t="s">
        <v>48</v>
      </c>
      <c r="K2726" s="1">
        <v>48</v>
      </c>
      <c r="L2726" s="1">
        <v>0</v>
      </c>
      <c r="M2726" s="1">
        <v>0</v>
      </c>
      <c r="N2726" s="1">
        <v>48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 t="s">
        <v>49</v>
      </c>
      <c r="AA2726" s="1" t="s">
        <v>49</v>
      </c>
      <c r="AB2726" s="1" t="s">
        <v>49</v>
      </c>
      <c r="AC2726" s="1" t="s">
        <v>88</v>
      </c>
      <c r="AD2726" s="1" t="s">
        <v>89</v>
      </c>
      <c r="AE2726" s="1" t="s">
        <v>88</v>
      </c>
      <c r="AF2726" s="1" t="s">
        <v>5704</v>
      </c>
      <c r="AG2726" s="1" t="s">
        <v>53</v>
      </c>
      <c r="AH2726" s="1" t="s">
        <v>49</v>
      </c>
      <c r="AI2726" s="1" t="s">
        <v>54</v>
      </c>
      <c r="AJ2726" s="1">
        <v>1</v>
      </c>
      <c r="AK2726" s="1" t="str">
        <f t="shared" si="42"/>
        <v xml:space="preserve"> =&lt;90</v>
      </c>
      <c r="AL2726" s="1" t="str">
        <f>VLOOKUP(C:C,[1]基础信息!B$1:D$65536,3,0)</f>
        <v>Jug</v>
      </c>
      <c r="AM2726" s="1" t="str">
        <f>VLOOKUP(C:C,[1]基础信息!B$1:E$65536,4,0)</f>
        <v>Mxplus</v>
      </c>
      <c r="AN2726" s="1" t="str">
        <f>VLOOKUP(C:C,[1]基础信息!B$1:F$65536,5,0)</f>
        <v xml:space="preserve"> lime</v>
      </c>
    </row>
    <row r="2727" spans="1:40">
      <c r="A2727" s="1" t="s">
        <v>41</v>
      </c>
      <c r="B2727" s="1" t="s">
        <v>42</v>
      </c>
      <c r="C2727" s="1" t="s">
        <v>5254</v>
      </c>
      <c r="D2727" s="1" t="s">
        <v>5255</v>
      </c>
      <c r="E2727" s="1" t="s">
        <v>45</v>
      </c>
      <c r="F2727" s="1" t="s">
        <v>6273</v>
      </c>
      <c r="G2727" s="1" t="s">
        <v>6274</v>
      </c>
      <c r="H2727" s="1" t="s">
        <v>6275</v>
      </c>
      <c r="I2727" s="1" t="s">
        <v>49</v>
      </c>
      <c r="J2727" s="1" t="s">
        <v>48</v>
      </c>
      <c r="K2727" s="1">
        <v>2200</v>
      </c>
      <c r="L2727" s="1">
        <v>0</v>
      </c>
      <c r="M2727" s="1">
        <v>0</v>
      </c>
      <c r="N2727" s="1">
        <v>2200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 t="s">
        <v>49</v>
      </c>
      <c r="AA2727" s="1" t="s">
        <v>49</v>
      </c>
      <c r="AB2727" s="1" t="s">
        <v>49</v>
      </c>
      <c r="AC2727" s="1" t="s">
        <v>3361</v>
      </c>
      <c r="AD2727" s="1" t="s">
        <v>3362</v>
      </c>
      <c r="AE2727" s="1" t="s">
        <v>3363</v>
      </c>
      <c r="AF2727" s="1" t="s">
        <v>5936</v>
      </c>
      <c r="AG2727" s="1" t="s">
        <v>53</v>
      </c>
      <c r="AH2727" s="1" t="s">
        <v>49</v>
      </c>
      <c r="AI2727" s="1" t="s">
        <v>54</v>
      </c>
      <c r="AJ2727" s="1">
        <v>1</v>
      </c>
      <c r="AK2727" s="1" t="str">
        <f t="shared" si="42"/>
        <v xml:space="preserve"> =&lt;90</v>
      </c>
      <c r="AL2727" s="1" t="str">
        <f>VLOOKUP(C:C,[1]基础信息!B$1:D$65536,3,0)</f>
        <v xml:space="preserve">Cartridge </v>
      </c>
      <c r="AM2727" s="1" t="str">
        <f>VLOOKUP(C:C,[1]基础信息!B$1:E$65536,4,0)</f>
        <v>UNIV</v>
      </c>
      <c r="AN2727" s="1" t="str">
        <f>VLOOKUP(C:C,[1]基础信息!B$1:F$65536,5,0)</f>
        <v>P55</v>
      </c>
    </row>
    <row r="2728" spans="1:40">
      <c r="A2728" s="1" t="s">
        <v>41</v>
      </c>
      <c r="B2728" s="1" t="s">
        <v>42</v>
      </c>
      <c r="C2728" s="1" t="s">
        <v>5254</v>
      </c>
      <c r="D2728" s="1" t="s">
        <v>5255</v>
      </c>
      <c r="E2728" s="1" t="s">
        <v>45</v>
      </c>
      <c r="F2728" s="1" t="s">
        <v>6273</v>
      </c>
      <c r="G2728" s="1" t="s">
        <v>6276</v>
      </c>
      <c r="H2728" s="1" t="s">
        <v>6277</v>
      </c>
      <c r="I2728" s="1" t="s">
        <v>49</v>
      </c>
      <c r="J2728" s="1" t="s">
        <v>48</v>
      </c>
      <c r="K2728" s="1">
        <v>2200</v>
      </c>
      <c r="L2728" s="1">
        <v>0</v>
      </c>
      <c r="M2728" s="1">
        <v>0</v>
      </c>
      <c r="N2728" s="1">
        <v>2200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 t="s">
        <v>49</v>
      </c>
      <c r="AA2728" s="1" t="s">
        <v>49</v>
      </c>
      <c r="AB2728" s="1" t="s">
        <v>49</v>
      </c>
      <c r="AC2728" s="1" t="s">
        <v>3361</v>
      </c>
      <c r="AD2728" s="1" t="s">
        <v>3362</v>
      </c>
      <c r="AE2728" s="1" t="s">
        <v>3363</v>
      </c>
      <c r="AF2728" s="1" t="s">
        <v>5936</v>
      </c>
      <c r="AG2728" s="1" t="s">
        <v>53</v>
      </c>
      <c r="AH2728" s="1" t="s">
        <v>49</v>
      </c>
      <c r="AI2728" s="1" t="s">
        <v>54</v>
      </c>
      <c r="AJ2728" s="1">
        <v>1</v>
      </c>
      <c r="AK2728" s="1" t="str">
        <f t="shared" si="42"/>
        <v xml:space="preserve"> =&lt;90</v>
      </c>
      <c r="AL2728" s="1" t="str">
        <f>VLOOKUP(C:C,[1]基础信息!B$1:D$65536,3,0)</f>
        <v xml:space="preserve">Cartridge </v>
      </c>
      <c r="AM2728" s="1" t="str">
        <f>VLOOKUP(C:C,[1]基础信息!B$1:E$65536,4,0)</f>
        <v>UNIV</v>
      </c>
      <c r="AN2728" s="1" t="str">
        <f>VLOOKUP(C:C,[1]基础信息!B$1:F$65536,5,0)</f>
        <v>P55</v>
      </c>
    </row>
    <row r="2729" spans="1:40">
      <c r="A2729" s="1" t="s">
        <v>41</v>
      </c>
      <c r="B2729" s="1" t="s">
        <v>42</v>
      </c>
      <c r="C2729" s="1" t="s">
        <v>3971</v>
      </c>
      <c r="D2729" s="1" t="s">
        <v>3972</v>
      </c>
      <c r="E2729" s="1" t="s">
        <v>45</v>
      </c>
      <c r="F2729" s="1" t="s">
        <v>5602</v>
      </c>
      <c r="G2729" s="1" t="s">
        <v>6278</v>
      </c>
      <c r="H2729" s="1" t="s">
        <v>6279</v>
      </c>
      <c r="I2729" s="1" t="s">
        <v>49</v>
      </c>
      <c r="J2729" s="1" t="s">
        <v>48</v>
      </c>
      <c r="K2729" s="1">
        <v>96</v>
      </c>
      <c r="L2729" s="1">
        <v>0</v>
      </c>
      <c r="M2729" s="1">
        <v>0</v>
      </c>
      <c r="N2729" s="1">
        <v>96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 t="s">
        <v>49</v>
      </c>
      <c r="AA2729" s="1" t="s">
        <v>49</v>
      </c>
      <c r="AB2729" s="1" t="s">
        <v>49</v>
      </c>
      <c r="AC2729" s="1" t="s">
        <v>1008</v>
      </c>
      <c r="AD2729" s="1" t="s">
        <v>1009</v>
      </c>
      <c r="AE2729" s="1" t="s">
        <v>1008</v>
      </c>
      <c r="AF2729" s="1" t="s">
        <v>5605</v>
      </c>
      <c r="AG2729" s="1" t="s">
        <v>53</v>
      </c>
      <c r="AH2729" s="1" t="s">
        <v>49</v>
      </c>
      <c r="AI2729" s="1" t="s">
        <v>54</v>
      </c>
      <c r="AJ2729" s="1">
        <v>1</v>
      </c>
      <c r="AK2729" s="1" t="str">
        <f t="shared" si="42"/>
        <v xml:space="preserve"> =&lt;90</v>
      </c>
      <c r="AL2729" s="1" t="str">
        <f>VLOOKUP(C:C,[1]基础信息!B$1:D$65536,3,0)</f>
        <v>Jug</v>
      </c>
      <c r="AM2729" s="1" t="str">
        <f>VLOOKUP(C:C,[1]基础信息!B$1:E$65536,4,0)</f>
        <v>Mxplus</v>
      </c>
      <c r="AN2729" s="1" t="str">
        <f>VLOOKUP(C:C,[1]基础信息!B$1:F$65536,5,0)</f>
        <v xml:space="preserve"> lime</v>
      </c>
    </row>
    <row r="2730" spans="1:40">
      <c r="A2730" s="1" t="s">
        <v>41</v>
      </c>
      <c r="B2730" s="1" t="s">
        <v>42</v>
      </c>
      <c r="C2730" s="1" t="s">
        <v>3971</v>
      </c>
      <c r="D2730" s="1" t="s">
        <v>3972</v>
      </c>
      <c r="E2730" s="1" t="s">
        <v>45</v>
      </c>
      <c r="F2730" s="1" t="s">
        <v>5602</v>
      </c>
      <c r="G2730" s="1" t="s">
        <v>6280</v>
      </c>
      <c r="H2730" s="1" t="s">
        <v>6281</v>
      </c>
      <c r="I2730" s="1" t="s">
        <v>49</v>
      </c>
      <c r="J2730" s="1" t="s">
        <v>48</v>
      </c>
      <c r="K2730" s="1">
        <v>96</v>
      </c>
      <c r="L2730" s="1">
        <v>0</v>
      </c>
      <c r="M2730" s="1">
        <v>0</v>
      </c>
      <c r="N2730" s="1">
        <v>96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 t="s">
        <v>49</v>
      </c>
      <c r="AA2730" s="1" t="s">
        <v>49</v>
      </c>
      <c r="AB2730" s="1" t="s">
        <v>49</v>
      </c>
      <c r="AC2730" s="1" t="s">
        <v>1008</v>
      </c>
      <c r="AD2730" s="1" t="s">
        <v>1009</v>
      </c>
      <c r="AE2730" s="1" t="s">
        <v>1008</v>
      </c>
      <c r="AF2730" s="1" t="s">
        <v>5605</v>
      </c>
      <c r="AG2730" s="1" t="s">
        <v>53</v>
      </c>
      <c r="AH2730" s="1" t="s">
        <v>49</v>
      </c>
      <c r="AI2730" s="1" t="s">
        <v>54</v>
      </c>
      <c r="AJ2730" s="1">
        <v>1</v>
      </c>
      <c r="AK2730" s="1" t="str">
        <f t="shared" si="42"/>
        <v xml:space="preserve"> =&lt;90</v>
      </c>
      <c r="AL2730" s="1" t="str">
        <f>VLOOKUP(C:C,[1]基础信息!B$1:D$65536,3,0)</f>
        <v>Jug</v>
      </c>
      <c r="AM2730" s="1" t="str">
        <f>VLOOKUP(C:C,[1]基础信息!B$1:E$65536,4,0)</f>
        <v>Mxplus</v>
      </c>
      <c r="AN2730" s="1" t="str">
        <f>VLOOKUP(C:C,[1]基础信息!B$1:F$65536,5,0)</f>
        <v xml:space="preserve"> lime</v>
      </c>
    </row>
    <row r="2731" spans="1:40">
      <c r="A2731" s="1" t="s">
        <v>41</v>
      </c>
      <c r="B2731" s="1" t="s">
        <v>42</v>
      </c>
      <c r="C2731" s="1" t="s">
        <v>3971</v>
      </c>
      <c r="D2731" s="1" t="s">
        <v>3972</v>
      </c>
      <c r="E2731" s="1" t="s">
        <v>45</v>
      </c>
      <c r="F2731" s="1" t="s">
        <v>5602</v>
      </c>
      <c r="G2731" s="1" t="s">
        <v>6282</v>
      </c>
      <c r="H2731" s="1" t="s">
        <v>6283</v>
      </c>
      <c r="I2731" s="1" t="s">
        <v>49</v>
      </c>
      <c r="J2731" s="1" t="s">
        <v>48</v>
      </c>
      <c r="K2731" s="1">
        <v>96</v>
      </c>
      <c r="L2731" s="1">
        <v>0</v>
      </c>
      <c r="M2731" s="1">
        <v>0</v>
      </c>
      <c r="N2731" s="1">
        <v>96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 t="s">
        <v>49</v>
      </c>
      <c r="AA2731" s="1" t="s">
        <v>49</v>
      </c>
      <c r="AB2731" s="1" t="s">
        <v>49</v>
      </c>
      <c r="AC2731" s="1" t="s">
        <v>1008</v>
      </c>
      <c r="AD2731" s="1" t="s">
        <v>1009</v>
      </c>
      <c r="AE2731" s="1" t="s">
        <v>1008</v>
      </c>
      <c r="AF2731" s="1" t="s">
        <v>5605</v>
      </c>
      <c r="AG2731" s="1" t="s">
        <v>53</v>
      </c>
      <c r="AH2731" s="1" t="s">
        <v>49</v>
      </c>
      <c r="AI2731" s="1" t="s">
        <v>54</v>
      </c>
      <c r="AJ2731" s="1">
        <v>1</v>
      </c>
      <c r="AK2731" s="1" t="str">
        <f t="shared" si="42"/>
        <v xml:space="preserve"> =&lt;90</v>
      </c>
      <c r="AL2731" s="1" t="str">
        <f>VLOOKUP(C:C,[1]基础信息!B$1:D$65536,3,0)</f>
        <v>Jug</v>
      </c>
      <c r="AM2731" s="1" t="str">
        <f>VLOOKUP(C:C,[1]基础信息!B$1:E$65536,4,0)</f>
        <v>Mxplus</v>
      </c>
      <c r="AN2731" s="1" t="str">
        <f>VLOOKUP(C:C,[1]基础信息!B$1:F$65536,5,0)</f>
        <v xml:space="preserve"> lime</v>
      </c>
    </row>
    <row r="2732" spans="1:40">
      <c r="A2732" s="1" t="s">
        <v>41</v>
      </c>
      <c r="B2732" s="1" t="s">
        <v>42</v>
      </c>
      <c r="C2732" s="1" t="s">
        <v>3971</v>
      </c>
      <c r="D2732" s="1" t="s">
        <v>3972</v>
      </c>
      <c r="E2732" s="1" t="s">
        <v>45</v>
      </c>
      <c r="F2732" s="1" t="s">
        <v>5602</v>
      </c>
      <c r="G2732" s="1" t="s">
        <v>6284</v>
      </c>
      <c r="H2732" s="1" t="s">
        <v>6285</v>
      </c>
      <c r="I2732" s="1" t="s">
        <v>49</v>
      </c>
      <c r="J2732" s="1" t="s">
        <v>48</v>
      </c>
      <c r="K2732" s="1">
        <v>96</v>
      </c>
      <c r="L2732" s="1">
        <v>0</v>
      </c>
      <c r="M2732" s="1">
        <v>0</v>
      </c>
      <c r="N2732" s="1">
        <v>96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 t="s">
        <v>49</v>
      </c>
      <c r="AA2732" s="1" t="s">
        <v>49</v>
      </c>
      <c r="AB2732" s="1" t="s">
        <v>49</v>
      </c>
      <c r="AC2732" s="1" t="s">
        <v>1008</v>
      </c>
      <c r="AD2732" s="1" t="s">
        <v>1009</v>
      </c>
      <c r="AE2732" s="1" t="s">
        <v>1008</v>
      </c>
      <c r="AF2732" s="1" t="s">
        <v>5605</v>
      </c>
      <c r="AG2732" s="1" t="s">
        <v>53</v>
      </c>
      <c r="AH2732" s="1" t="s">
        <v>49</v>
      </c>
      <c r="AI2732" s="1" t="s">
        <v>54</v>
      </c>
      <c r="AJ2732" s="1">
        <v>1</v>
      </c>
      <c r="AK2732" s="1" t="str">
        <f t="shared" si="42"/>
        <v xml:space="preserve"> =&lt;90</v>
      </c>
      <c r="AL2732" s="1" t="str">
        <f>VLOOKUP(C:C,[1]基础信息!B$1:D$65536,3,0)</f>
        <v>Jug</v>
      </c>
      <c r="AM2732" s="1" t="str">
        <f>VLOOKUP(C:C,[1]基础信息!B$1:E$65536,4,0)</f>
        <v>Mxplus</v>
      </c>
      <c r="AN2732" s="1" t="str">
        <f>VLOOKUP(C:C,[1]基础信息!B$1:F$65536,5,0)</f>
        <v xml:space="preserve"> lime</v>
      </c>
    </row>
    <row r="2733" spans="1:40">
      <c r="A2733" s="1" t="s">
        <v>41</v>
      </c>
      <c r="B2733" s="1" t="s">
        <v>42</v>
      </c>
      <c r="C2733" s="1" t="s">
        <v>3971</v>
      </c>
      <c r="D2733" s="1" t="s">
        <v>3972</v>
      </c>
      <c r="E2733" s="1" t="s">
        <v>45</v>
      </c>
      <c r="F2733" s="1" t="s">
        <v>5602</v>
      </c>
      <c r="G2733" s="1" t="s">
        <v>6286</v>
      </c>
      <c r="H2733" s="1" t="s">
        <v>6287</v>
      </c>
      <c r="I2733" s="1" t="s">
        <v>49</v>
      </c>
      <c r="J2733" s="1" t="s">
        <v>48</v>
      </c>
      <c r="K2733" s="1">
        <v>96</v>
      </c>
      <c r="L2733" s="1">
        <v>0</v>
      </c>
      <c r="M2733" s="1">
        <v>0</v>
      </c>
      <c r="N2733" s="1">
        <v>96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 t="s">
        <v>49</v>
      </c>
      <c r="AA2733" s="1" t="s">
        <v>49</v>
      </c>
      <c r="AB2733" s="1" t="s">
        <v>49</v>
      </c>
      <c r="AC2733" s="1" t="s">
        <v>1008</v>
      </c>
      <c r="AD2733" s="1" t="s">
        <v>1009</v>
      </c>
      <c r="AE2733" s="1" t="s">
        <v>1008</v>
      </c>
      <c r="AF2733" s="1" t="s">
        <v>5605</v>
      </c>
      <c r="AG2733" s="1" t="s">
        <v>53</v>
      </c>
      <c r="AH2733" s="1" t="s">
        <v>49</v>
      </c>
      <c r="AI2733" s="1" t="s">
        <v>54</v>
      </c>
      <c r="AJ2733" s="1">
        <v>1</v>
      </c>
      <c r="AK2733" s="1" t="str">
        <f t="shared" si="42"/>
        <v xml:space="preserve"> =&lt;90</v>
      </c>
      <c r="AL2733" s="1" t="str">
        <f>VLOOKUP(C:C,[1]基础信息!B$1:D$65536,3,0)</f>
        <v>Jug</v>
      </c>
      <c r="AM2733" s="1" t="str">
        <f>VLOOKUP(C:C,[1]基础信息!B$1:E$65536,4,0)</f>
        <v>Mxplus</v>
      </c>
      <c r="AN2733" s="1" t="str">
        <f>VLOOKUP(C:C,[1]基础信息!B$1:F$65536,5,0)</f>
        <v xml:space="preserve"> lime</v>
      </c>
    </row>
    <row r="2734" spans="1:40">
      <c r="A2734" s="1" t="s">
        <v>41</v>
      </c>
      <c r="B2734" s="1" t="s">
        <v>42</v>
      </c>
      <c r="C2734" s="1" t="s">
        <v>3971</v>
      </c>
      <c r="D2734" s="1" t="s">
        <v>3972</v>
      </c>
      <c r="E2734" s="1" t="s">
        <v>45</v>
      </c>
      <c r="F2734" s="1" t="s">
        <v>5602</v>
      </c>
      <c r="G2734" s="1" t="s">
        <v>6288</v>
      </c>
      <c r="H2734" s="1" t="s">
        <v>6289</v>
      </c>
      <c r="I2734" s="1" t="s">
        <v>49</v>
      </c>
      <c r="J2734" s="1" t="s">
        <v>48</v>
      </c>
      <c r="K2734" s="1">
        <v>96</v>
      </c>
      <c r="L2734" s="1">
        <v>0</v>
      </c>
      <c r="M2734" s="1">
        <v>0</v>
      </c>
      <c r="N2734" s="1">
        <v>96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 t="s">
        <v>49</v>
      </c>
      <c r="AA2734" s="1" t="s">
        <v>49</v>
      </c>
      <c r="AB2734" s="1" t="s">
        <v>49</v>
      </c>
      <c r="AC2734" s="1" t="s">
        <v>1008</v>
      </c>
      <c r="AD2734" s="1" t="s">
        <v>1009</v>
      </c>
      <c r="AE2734" s="1" t="s">
        <v>1008</v>
      </c>
      <c r="AF2734" s="1" t="s">
        <v>5605</v>
      </c>
      <c r="AG2734" s="1" t="s">
        <v>53</v>
      </c>
      <c r="AH2734" s="1" t="s">
        <v>49</v>
      </c>
      <c r="AI2734" s="1" t="s">
        <v>54</v>
      </c>
      <c r="AJ2734" s="1">
        <v>1</v>
      </c>
      <c r="AK2734" s="1" t="str">
        <f t="shared" si="42"/>
        <v xml:space="preserve"> =&lt;90</v>
      </c>
      <c r="AL2734" s="1" t="str">
        <f>VLOOKUP(C:C,[1]基础信息!B$1:D$65536,3,0)</f>
        <v>Jug</v>
      </c>
      <c r="AM2734" s="1" t="str">
        <f>VLOOKUP(C:C,[1]基础信息!B$1:E$65536,4,0)</f>
        <v>Mxplus</v>
      </c>
      <c r="AN2734" s="1" t="str">
        <f>VLOOKUP(C:C,[1]基础信息!B$1:F$65536,5,0)</f>
        <v xml:space="preserve"> lime</v>
      </c>
    </row>
    <row r="2735" spans="1:40">
      <c r="A2735" s="1" t="s">
        <v>41</v>
      </c>
      <c r="B2735" s="1" t="s">
        <v>42</v>
      </c>
      <c r="C2735" s="1" t="s">
        <v>3971</v>
      </c>
      <c r="D2735" s="1" t="s">
        <v>3972</v>
      </c>
      <c r="E2735" s="1" t="s">
        <v>45</v>
      </c>
      <c r="F2735" s="1" t="s">
        <v>5602</v>
      </c>
      <c r="G2735" s="1" t="s">
        <v>6290</v>
      </c>
      <c r="H2735" s="1" t="s">
        <v>6291</v>
      </c>
      <c r="I2735" s="1" t="s">
        <v>49</v>
      </c>
      <c r="J2735" s="1" t="s">
        <v>48</v>
      </c>
      <c r="K2735" s="1">
        <v>96</v>
      </c>
      <c r="L2735" s="1">
        <v>0</v>
      </c>
      <c r="M2735" s="1">
        <v>0</v>
      </c>
      <c r="N2735" s="1">
        <v>96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 t="s">
        <v>49</v>
      </c>
      <c r="AA2735" s="1" t="s">
        <v>49</v>
      </c>
      <c r="AB2735" s="1" t="s">
        <v>49</v>
      </c>
      <c r="AC2735" s="1" t="s">
        <v>1008</v>
      </c>
      <c r="AD2735" s="1" t="s">
        <v>1009</v>
      </c>
      <c r="AE2735" s="1" t="s">
        <v>1008</v>
      </c>
      <c r="AF2735" s="1" t="s">
        <v>5605</v>
      </c>
      <c r="AG2735" s="1" t="s">
        <v>53</v>
      </c>
      <c r="AH2735" s="1" t="s">
        <v>49</v>
      </c>
      <c r="AI2735" s="1" t="s">
        <v>54</v>
      </c>
      <c r="AJ2735" s="1">
        <v>1</v>
      </c>
      <c r="AK2735" s="1" t="str">
        <f t="shared" si="42"/>
        <v xml:space="preserve"> =&lt;90</v>
      </c>
      <c r="AL2735" s="1" t="str">
        <f>VLOOKUP(C:C,[1]基础信息!B$1:D$65536,3,0)</f>
        <v>Jug</v>
      </c>
      <c r="AM2735" s="1" t="str">
        <f>VLOOKUP(C:C,[1]基础信息!B$1:E$65536,4,0)</f>
        <v>Mxplus</v>
      </c>
      <c r="AN2735" s="1" t="str">
        <f>VLOOKUP(C:C,[1]基础信息!B$1:F$65536,5,0)</f>
        <v xml:space="preserve"> lime</v>
      </c>
    </row>
    <row r="2736" spans="1:40">
      <c r="A2736" s="1" t="s">
        <v>41</v>
      </c>
      <c r="B2736" s="1" t="s">
        <v>42</v>
      </c>
      <c r="C2736" s="1" t="s">
        <v>5254</v>
      </c>
      <c r="D2736" s="1" t="s">
        <v>5255</v>
      </c>
      <c r="E2736" s="1" t="s">
        <v>45</v>
      </c>
      <c r="F2736" s="1" t="s">
        <v>6273</v>
      </c>
      <c r="G2736" s="1" t="s">
        <v>6292</v>
      </c>
      <c r="H2736" s="1" t="s">
        <v>6293</v>
      </c>
      <c r="I2736" s="1" t="s">
        <v>49</v>
      </c>
      <c r="J2736" s="1" t="s">
        <v>48</v>
      </c>
      <c r="K2736" s="1">
        <v>2200</v>
      </c>
      <c r="L2736" s="1">
        <v>0</v>
      </c>
      <c r="M2736" s="1">
        <v>0</v>
      </c>
      <c r="N2736" s="1">
        <v>2200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 t="s">
        <v>49</v>
      </c>
      <c r="AA2736" s="1" t="s">
        <v>49</v>
      </c>
      <c r="AB2736" s="1" t="s">
        <v>49</v>
      </c>
      <c r="AC2736" s="1" t="s">
        <v>3361</v>
      </c>
      <c r="AD2736" s="1" t="s">
        <v>3362</v>
      </c>
      <c r="AE2736" s="1" t="s">
        <v>3363</v>
      </c>
      <c r="AF2736" s="1" t="s">
        <v>5936</v>
      </c>
      <c r="AG2736" s="1" t="s">
        <v>53</v>
      </c>
      <c r="AH2736" s="1" t="s">
        <v>49</v>
      </c>
      <c r="AI2736" s="1" t="s">
        <v>54</v>
      </c>
      <c r="AJ2736" s="1">
        <v>1</v>
      </c>
      <c r="AK2736" s="1" t="str">
        <f t="shared" si="42"/>
        <v xml:space="preserve"> =&lt;90</v>
      </c>
      <c r="AL2736" s="1" t="str">
        <f>VLOOKUP(C:C,[1]基础信息!B$1:D$65536,3,0)</f>
        <v xml:space="preserve">Cartridge </v>
      </c>
      <c r="AM2736" s="1" t="str">
        <f>VLOOKUP(C:C,[1]基础信息!B$1:E$65536,4,0)</f>
        <v>UNIV</v>
      </c>
      <c r="AN2736" s="1" t="str">
        <f>VLOOKUP(C:C,[1]基础信息!B$1:F$65536,5,0)</f>
        <v>P55</v>
      </c>
    </row>
    <row r="2737" spans="1:40">
      <c r="A2737" s="1" t="s">
        <v>41</v>
      </c>
      <c r="B2737" s="1" t="s">
        <v>42</v>
      </c>
      <c r="C2737" s="1" t="s">
        <v>5254</v>
      </c>
      <c r="D2737" s="1" t="s">
        <v>5255</v>
      </c>
      <c r="E2737" s="1" t="s">
        <v>45</v>
      </c>
      <c r="F2737" s="1" t="s">
        <v>6273</v>
      </c>
      <c r="G2737" s="1" t="s">
        <v>6294</v>
      </c>
      <c r="H2737" s="1" t="s">
        <v>6295</v>
      </c>
      <c r="I2737" s="1" t="s">
        <v>49</v>
      </c>
      <c r="J2737" s="1" t="s">
        <v>48</v>
      </c>
      <c r="K2737" s="1">
        <v>2200</v>
      </c>
      <c r="L2737" s="1">
        <v>0</v>
      </c>
      <c r="M2737" s="1">
        <v>0</v>
      </c>
      <c r="N2737" s="1">
        <v>2200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 t="s">
        <v>49</v>
      </c>
      <c r="AA2737" s="1" t="s">
        <v>49</v>
      </c>
      <c r="AB2737" s="1" t="s">
        <v>49</v>
      </c>
      <c r="AC2737" s="1" t="s">
        <v>3361</v>
      </c>
      <c r="AD2737" s="1" t="s">
        <v>3362</v>
      </c>
      <c r="AE2737" s="1" t="s">
        <v>3363</v>
      </c>
      <c r="AF2737" s="1" t="s">
        <v>5936</v>
      </c>
      <c r="AG2737" s="1" t="s">
        <v>53</v>
      </c>
      <c r="AH2737" s="1" t="s">
        <v>49</v>
      </c>
      <c r="AI2737" s="1" t="s">
        <v>54</v>
      </c>
      <c r="AJ2737" s="1">
        <v>1</v>
      </c>
      <c r="AK2737" s="1" t="str">
        <f t="shared" si="42"/>
        <v xml:space="preserve"> =&lt;90</v>
      </c>
      <c r="AL2737" s="1" t="str">
        <f>VLOOKUP(C:C,[1]基础信息!B$1:D$65536,3,0)</f>
        <v xml:space="preserve">Cartridge </v>
      </c>
      <c r="AM2737" s="1" t="str">
        <f>VLOOKUP(C:C,[1]基础信息!B$1:E$65536,4,0)</f>
        <v>UNIV</v>
      </c>
      <c r="AN2737" s="1" t="str">
        <f>VLOOKUP(C:C,[1]基础信息!B$1:F$65536,5,0)</f>
        <v>P55</v>
      </c>
    </row>
    <row r="2738" spans="1:40">
      <c r="A2738" s="1" t="s">
        <v>41</v>
      </c>
      <c r="B2738" s="1" t="s">
        <v>42</v>
      </c>
      <c r="C2738" s="1" t="s">
        <v>3971</v>
      </c>
      <c r="D2738" s="1" t="s">
        <v>3972</v>
      </c>
      <c r="E2738" s="1" t="s">
        <v>45</v>
      </c>
      <c r="F2738" s="1" t="s">
        <v>5602</v>
      </c>
      <c r="G2738" s="1" t="s">
        <v>6296</v>
      </c>
      <c r="H2738" s="1" t="s">
        <v>6297</v>
      </c>
      <c r="I2738" s="1" t="s">
        <v>49</v>
      </c>
      <c r="J2738" s="1" t="s">
        <v>48</v>
      </c>
      <c r="K2738" s="1">
        <v>96</v>
      </c>
      <c r="L2738" s="1">
        <v>0</v>
      </c>
      <c r="M2738" s="1">
        <v>0</v>
      </c>
      <c r="N2738" s="1">
        <v>96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 t="s">
        <v>49</v>
      </c>
      <c r="AA2738" s="1" t="s">
        <v>49</v>
      </c>
      <c r="AB2738" s="1" t="s">
        <v>49</v>
      </c>
      <c r="AC2738" s="1" t="s">
        <v>1008</v>
      </c>
      <c r="AD2738" s="1" t="s">
        <v>1009</v>
      </c>
      <c r="AE2738" s="1" t="s">
        <v>1008</v>
      </c>
      <c r="AF2738" s="1" t="s">
        <v>5605</v>
      </c>
      <c r="AG2738" s="1" t="s">
        <v>53</v>
      </c>
      <c r="AH2738" s="1" t="s">
        <v>49</v>
      </c>
      <c r="AI2738" s="1" t="s">
        <v>54</v>
      </c>
      <c r="AJ2738" s="1">
        <v>1</v>
      </c>
      <c r="AK2738" s="1" t="str">
        <f t="shared" si="42"/>
        <v xml:space="preserve"> =&lt;90</v>
      </c>
      <c r="AL2738" s="1" t="str">
        <f>VLOOKUP(C:C,[1]基础信息!B$1:D$65536,3,0)</f>
        <v>Jug</v>
      </c>
      <c r="AM2738" s="1" t="str">
        <f>VLOOKUP(C:C,[1]基础信息!B$1:E$65536,4,0)</f>
        <v>Mxplus</v>
      </c>
      <c r="AN2738" s="1" t="str">
        <f>VLOOKUP(C:C,[1]基础信息!B$1:F$65536,5,0)</f>
        <v xml:space="preserve"> lime</v>
      </c>
    </row>
    <row r="2739" spans="1:40">
      <c r="A2739" s="1" t="s">
        <v>41</v>
      </c>
      <c r="B2739" s="1" t="s">
        <v>42</v>
      </c>
      <c r="C2739" s="1" t="s">
        <v>3971</v>
      </c>
      <c r="D2739" s="1" t="s">
        <v>3972</v>
      </c>
      <c r="E2739" s="1" t="s">
        <v>45</v>
      </c>
      <c r="F2739" s="1" t="s">
        <v>5602</v>
      </c>
      <c r="G2739" s="1" t="s">
        <v>6298</v>
      </c>
      <c r="H2739" s="1" t="s">
        <v>6299</v>
      </c>
      <c r="I2739" s="1" t="s">
        <v>49</v>
      </c>
      <c r="J2739" s="1" t="s">
        <v>48</v>
      </c>
      <c r="K2739" s="1">
        <v>96</v>
      </c>
      <c r="L2739" s="1">
        <v>0</v>
      </c>
      <c r="M2739" s="1">
        <v>0</v>
      </c>
      <c r="N2739" s="1">
        <v>96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 t="s">
        <v>49</v>
      </c>
      <c r="AA2739" s="1" t="s">
        <v>49</v>
      </c>
      <c r="AB2739" s="1" t="s">
        <v>49</v>
      </c>
      <c r="AC2739" s="1" t="s">
        <v>1008</v>
      </c>
      <c r="AD2739" s="1" t="s">
        <v>1009</v>
      </c>
      <c r="AE2739" s="1" t="s">
        <v>1008</v>
      </c>
      <c r="AF2739" s="1" t="s">
        <v>5605</v>
      </c>
      <c r="AG2739" s="1" t="s">
        <v>53</v>
      </c>
      <c r="AH2739" s="1" t="s">
        <v>49</v>
      </c>
      <c r="AI2739" s="1" t="s">
        <v>54</v>
      </c>
      <c r="AJ2739" s="1">
        <v>1</v>
      </c>
      <c r="AK2739" s="1" t="str">
        <f t="shared" si="42"/>
        <v xml:space="preserve"> =&lt;90</v>
      </c>
      <c r="AL2739" s="1" t="str">
        <f>VLOOKUP(C:C,[1]基础信息!B$1:D$65536,3,0)</f>
        <v>Jug</v>
      </c>
      <c r="AM2739" s="1" t="str">
        <f>VLOOKUP(C:C,[1]基础信息!B$1:E$65536,4,0)</f>
        <v>Mxplus</v>
      </c>
      <c r="AN2739" s="1" t="str">
        <f>VLOOKUP(C:C,[1]基础信息!B$1:F$65536,5,0)</f>
        <v xml:space="preserve"> lime</v>
      </c>
    </row>
    <row r="2740" spans="1:40">
      <c r="A2740" s="1" t="s">
        <v>41</v>
      </c>
      <c r="B2740" s="1" t="s">
        <v>42</v>
      </c>
      <c r="C2740" s="1" t="s">
        <v>3971</v>
      </c>
      <c r="D2740" s="1" t="s">
        <v>3972</v>
      </c>
      <c r="E2740" s="1" t="s">
        <v>45</v>
      </c>
      <c r="F2740" s="1" t="s">
        <v>5602</v>
      </c>
      <c r="G2740" s="1" t="s">
        <v>6300</v>
      </c>
      <c r="H2740" s="1" t="s">
        <v>6301</v>
      </c>
      <c r="I2740" s="1" t="s">
        <v>49</v>
      </c>
      <c r="J2740" s="1" t="s">
        <v>48</v>
      </c>
      <c r="K2740" s="1">
        <v>96</v>
      </c>
      <c r="L2740" s="1">
        <v>0</v>
      </c>
      <c r="M2740" s="1">
        <v>0</v>
      </c>
      <c r="N2740" s="1">
        <v>96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 t="s">
        <v>49</v>
      </c>
      <c r="AA2740" s="1" t="s">
        <v>49</v>
      </c>
      <c r="AB2740" s="1" t="s">
        <v>49</v>
      </c>
      <c r="AC2740" s="1" t="s">
        <v>1008</v>
      </c>
      <c r="AD2740" s="1" t="s">
        <v>1009</v>
      </c>
      <c r="AE2740" s="1" t="s">
        <v>1008</v>
      </c>
      <c r="AF2740" s="1" t="s">
        <v>5605</v>
      </c>
      <c r="AG2740" s="1" t="s">
        <v>53</v>
      </c>
      <c r="AH2740" s="1" t="s">
        <v>49</v>
      </c>
      <c r="AI2740" s="1" t="s">
        <v>54</v>
      </c>
      <c r="AJ2740" s="1">
        <v>1</v>
      </c>
      <c r="AK2740" s="1" t="str">
        <f t="shared" si="42"/>
        <v xml:space="preserve"> =&lt;90</v>
      </c>
      <c r="AL2740" s="1" t="str">
        <f>VLOOKUP(C:C,[1]基础信息!B$1:D$65536,3,0)</f>
        <v>Jug</v>
      </c>
      <c r="AM2740" s="1" t="str">
        <f>VLOOKUP(C:C,[1]基础信息!B$1:E$65536,4,0)</f>
        <v>Mxplus</v>
      </c>
      <c r="AN2740" s="1" t="str">
        <f>VLOOKUP(C:C,[1]基础信息!B$1:F$65536,5,0)</f>
        <v xml:space="preserve"> lime</v>
      </c>
    </row>
    <row r="2741" spans="1:40">
      <c r="A2741" s="1" t="s">
        <v>41</v>
      </c>
      <c r="B2741" s="1" t="s">
        <v>42</v>
      </c>
      <c r="C2741" s="1" t="s">
        <v>3971</v>
      </c>
      <c r="D2741" s="1" t="s">
        <v>3972</v>
      </c>
      <c r="E2741" s="1" t="s">
        <v>45</v>
      </c>
      <c r="F2741" s="1" t="s">
        <v>5602</v>
      </c>
      <c r="G2741" s="1" t="s">
        <v>6302</v>
      </c>
      <c r="H2741" s="1" t="s">
        <v>6303</v>
      </c>
      <c r="I2741" s="1" t="s">
        <v>49</v>
      </c>
      <c r="J2741" s="1" t="s">
        <v>48</v>
      </c>
      <c r="K2741" s="1">
        <v>96</v>
      </c>
      <c r="L2741" s="1">
        <v>0</v>
      </c>
      <c r="M2741" s="1">
        <v>0</v>
      </c>
      <c r="N2741" s="1">
        <v>96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 t="s">
        <v>49</v>
      </c>
      <c r="AA2741" s="1" t="s">
        <v>49</v>
      </c>
      <c r="AB2741" s="1" t="s">
        <v>49</v>
      </c>
      <c r="AC2741" s="1" t="s">
        <v>1008</v>
      </c>
      <c r="AD2741" s="1" t="s">
        <v>1009</v>
      </c>
      <c r="AE2741" s="1" t="s">
        <v>1008</v>
      </c>
      <c r="AF2741" s="1" t="s">
        <v>5605</v>
      </c>
      <c r="AG2741" s="1" t="s">
        <v>53</v>
      </c>
      <c r="AH2741" s="1" t="s">
        <v>49</v>
      </c>
      <c r="AI2741" s="1" t="s">
        <v>54</v>
      </c>
      <c r="AJ2741" s="1">
        <v>1</v>
      </c>
      <c r="AK2741" s="1" t="str">
        <f t="shared" si="42"/>
        <v xml:space="preserve"> =&lt;90</v>
      </c>
      <c r="AL2741" s="1" t="str">
        <f>VLOOKUP(C:C,[1]基础信息!B$1:D$65536,3,0)</f>
        <v>Jug</v>
      </c>
      <c r="AM2741" s="1" t="str">
        <f>VLOOKUP(C:C,[1]基础信息!B$1:E$65536,4,0)</f>
        <v>Mxplus</v>
      </c>
      <c r="AN2741" s="1" t="str">
        <f>VLOOKUP(C:C,[1]基础信息!B$1:F$65536,5,0)</f>
        <v xml:space="preserve"> lime</v>
      </c>
    </row>
    <row r="2742" spans="1:40">
      <c r="A2742" s="1" t="s">
        <v>41</v>
      </c>
      <c r="B2742" s="1" t="s">
        <v>42</v>
      </c>
      <c r="C2742" s="1" t="s">
        <v>3971</v>
      </c>
      <c r="D2742" s="1" t="s">
        <v>3972</v>
      </c>
      <c r="E2742" s="1" t="s">
        <v>45</v>
      </c>
      <c r="F2742" s="1" t="s">
        <v>5602</v>
      </c>
      <c r="G2742" s="1" t="s">
        <v>6304</v>
      </c>
      <c r="H2742" s="1" t="s">
        <v>6305</v>
      </c>
      <c r="I2742" s="1" t="s">
        <v>49</v>
      </c>
      <c r="J2742" s="1" t="s">
        <v>48</v>
      </c>
      <c r="K2742" s="1">
        <v>96</v>
      </c>
      <c r="L2742" s="1">
        <v>0</v>
      </c>
      <c r="M2742" s="1">
        <v>0</v>
      </c>
      <c r="N2742" s="1">
        <v>96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 t="s">
        <v>49</v>
      </c>
      <c r="AA2742" s="1" t="s">
        <v>49</v>
      </c>
      <c r="AB2742" s="1" t="s">
        <v>49</v>
      </c>
      <c r="AC2742" s="1" t="s">
        <v>1008</v>
      </c>
      <c r="AD2742" s="1" t="s">
        <v>1009</v>
      </c>
      <c r="AE2742" s="1" t="s">
        <v>1008</v>
      </c>
      <c r="AF2742" s="1" t="s">
        <v>5605</v>
      </c>
      <c r="AG2742" s="1" t="s">
        <v>53</v>
      </c>
      <c r="AH2742" s="1" t="s">
        <v>49</v>
      </c>
      <c r="AI2742" s="1" t="s">
        <v>54</v>
      </c>
      <c r="AJ2742" s="1">
        <v>1</v>
      </c>
      <c r="AK2742" s="1" t="str">
        <f t="shared" si="42"/>
        <v xml:space="preserve"> =&lt;90</v>
      </c>
      <c r="AL2742" s="1" t="str">
        <f>VLOOKUP(C:C,[1]基础信息!B$1:D$65536,3,0)</f>
        <v>Jug</v>
      </c>
      <c r="AM2742" s="1" t="str">
        <f>VLOOKUP(C:C,[1]基础信息!B$1:E$65536,4,0)</f>
        <v>Mxplus</v>
      </c>
      <c r="AN2742" s="1" t="str">
        <f>VLOOKUP(C:C,[1]基础信息!B$1:F$65536,5,0)</f>
        <v xml:space="preserve"> lime</v>
      </c>
    </row>
    <row r="2743" spans="1:40">
      <c r="A2743" s="1" t="s">
        <v>41</v>
      </c>
      <c r="B2743" s="1" t="s">
        <v>42</v>
      </c>
      <c r="C2743" s="1" t="s">
        <v>3971</v>
      </c>
      <c r="D2743" s="1" t="s">
        <v>3972</v>
      </c>
      <c r="E2743" s="1" t="s">
        <v>45</v>
      </c>
      <c r="F2743" s="1" t="s">
        <v>5480</v>
      </c>
      <c r="G2743" s="1" t="s">
        <v>6306</v>
      </c>
      <c r="H2743" s="1" t="s">
        <v>6307</v>
      </c>
      <c r="I2743" s="1" t="s">
        <v>49</v>
      </c>
      <c r="J2743" s="1" t="s">
        <v>48</v>
      </c>
      <c r="K2743" s="1">
        <v>96</v>
      </c>
      <c r="L2743" s="1">
        <v>0</v>
      </c>
      <c r="M2743" s="1">
        <v>0</v>
      </c>
      <c r="N2743" s="1">
        <v>96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 t="s">
        <v>49</v>
      </c>
      <c r="AA2743" s="1" t="s">
        <v>49</v>
      </c>
      <c r="AB2743" s="1" t="s">
        <v>49</v>
      </c>
      <c r="AC2743" s="1" t="s">
        <v>1330</v>
      </c>
      <c r="AD2743" s="1" t="s">
        <v>1331</v>
      </c>
      <c r="AE2743" s="1" t="s">
        <v>3719</v>
      </c>
      <c r="AF2743" s="1" t="s">
        <v>5483</v>
      </c>
      <c r="AG2743" s="1" t="s">
        <v>53</v>
      </c>
      <c r="AH2743" s="1" t="s">
        <v>49</v>
      </c>
      <c r="AI2743" s="1" t="s">
        <v>54</v>
      </c>
      <c r="AJ2743" s="1">
        <v>1</v>
      </c>
      <c r="AK2743" s="1" t="str">
        <f t="shared" si="42"/>
        <v xml:space="preserve"> =&lt;90</v>
      </c>
      <c r="AL2743" s="1" t="str">
        <f>VLOOKUP(C:C,[1]基础信息!B$1:D$65536,3,0)</f>
        <v>Jug</v>
      </c>
      <c r="AM2743" s="1" t="str">
        <f>VLOOKUP(C:C,[1]基础信息!B$1:E$65536,4,0)</f>
        <v>Mxplus</v>
      </c>
      <c r="AN2743" s="1" t="str">
        <f>VLOOKUP(C:C,[1]基础信息!B$1:F$65536,5,0)</f>
        <v xml:space="preserve"> lime</v>
      </c>
    </row>
    <row r="2744" spans="1:40">
      <c r="A2744" s="1" t="s">
        <v>41</v>
      </c>
      <c r="B2744" s="1" t="s">
        <v>42</v>
      </c>
      <c r="C2744" s="1" t="s">
        <v>3971</v>
      </c>
      <c r="D2744" s="1" t="s">
        <v>3972</v>
      </c>
      <c r="E2744" s="1" t="s">
        <v>45</v>
      </c>
      <c r="F2744" s="1" t="s">
        <v>5480</v>
      </c>
      <c r="G2744" s="1" t="s">
        <v>6308</v>
      </c>
      <c r="H2744" s="1" t="s">
        <v>6309</v>
      </c>
      <c r="I2744" s="1" t="s">
        <v>49</v>
      </c>
      <c r="J2744" s="1" t="s">
        <v>48</v>
      </c>
      <c r="K2744" s="1">
        <v>96</v>
      </c>
      <c r="L2744" s="1">
        <v>0</v>
      </c>
      <c r="M2744" s="1">
        <v>0</v>
      </c>
      <c r="N2744" s="1">
        <v>96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 t="s">
        <v>49</v>
      </c>
      <c r="AA2744" s="1" t="s">
        <v>49</v>
      </c>
      <c r="AB2744" s="1" t="s">
        <v>49</v>
      </c>
      <c r="AC2744" s="1" t="s">
        <v>1330</v>
      </c>
      <c r="AD2744" s="1" t="s">
        <v>1331</v>
      </c>
      <c r="AE2744" s="1" t="s">
        <v>3719</v>
      </c>
      <c r="AF2744" s="1" t="s">
        <v>5483</v>
      </c>
      <c r="AG2744" s="1" t="s">
        <v>53</v>
      </c>
      <c r="AH2744" s="1" t="s">
        <v>49</v>
      </c>
      <c r="AI2744" s="1" t="s">
        <v>54</v>
      </c>
      <c r="AJ2744" s="1">
        <v>1</v>
      </c>
      <c r="AK2744" s="1" t="str">
        <f t="shared" si="42"/>
        <v xml:space="preserve"> =&lt;90</v>
      </c>
      <c r="AL2744" s="1" t="str">
        <f>VLOOKUP(C:C,[1]基础信息!B$1:D$65536,3,0)</f>
        <v>Jug</v>
      </c>
      <c r="AM2744" s="1" t="str">
        <f>VLOOKUP(C:C,[1]基础信息!B$1:E$65536,4,0)</f>
        <v>Mxplus</v>
      </c>
      <c r="AN2744" s="1" t="str">
        <f>VLOOKUP(C:C,[1]基础信息!B$1:F$65536,5,0)</f>
        <v xml:space="preserve"> lime</v>
      </c>
    </row>
    <row r="2745" spans="1:40">
      <c r="A2745" s="1" t="s">
        <v>41</v>
      </c>
      <c r="B2745" s="1" t="s">
        <v>42</v>
      </c>
      <c r="C2745" s="1" t="s">
        <v>3971</v>
      </c>
      <c r="D2745" s="1" t="s">
        <v>3972</v>
      </c>
      <c r="E2745" s="1" t="s">
        <v>45</v>
      </c>
      <c r="F2745" s="1" t="s">
        <v>5480</v>
      </c>
      <c r="G2745" s="1" t="s">
        <v>6310</v>
      </c>
      <c r="H2745" s="1" t="s">
        <v>6311</v>
      </c>
      <c r="I2745" s="1" t="s">
        <v>49</v>
      </c>
      <c r="J2745" s="1" t="s">
        <v>48</v>
      </c>
      <c r="K2745" s="1">
        <v>8</v>
      </c>
      <c r="L2745" s="1">
        <v>0</v>
      </c>
      <c r="M2745" s="1">
        <v>0</v>
      </c>
      <c r="N2745" s="1">
        <v>8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 t="s">
        <v>49</v>
      </c>
      <c r="AA2745" s="1" t="s">
        <v>49</v>
      </c>
      <c r="AB2745" s="1" t="s">
        <v>49</v>
      </c>
      <c r="AC2745" s="1" t="s">
        <v>1330</v>
      </c>
      <c r="AD2745" s="1" t="s">
        <v>1331</v>
      </c>
      <c r="AE2745" s="1" t="s">
        <v>3719</v>
      </c>
      <c r="AF2745" s="1" t="s">
        <v>5483</v>
      </c>
      <c r="AG2745" s="1" t="s">
        <v>53</v>
      </c>
      <c r="AH2745" s="1" t="s">
        <v>49</v>
      </c>
      <c r="AI2745" s="1" t="s">
        <v>54</v>
      </c>
      <c r="AJ2745" s="1">
        <v>1</v>
      </c>
      <c r="AK2745" s="1" t="str">
        <f t="shared" si="42"/>
        <v xml:space="preserve"> =&lt;90</v>
      </c>
      <c r="AL2745" s="1" t="str">
        <f>VLOOKUP(C:C,[1]基础信息!B$1:D$65536,3,0)</f>
        <v>Jug</v>
      </c>
      <c r="AM2745" s="1" t="str">
        <f>VLOOKUP(C:C,[1]基础信息!B$1:E$65536,4,0)</f>
        <v>Mxplus</v>
      </c>
      <c r="AN2745" s="1" t="str">
        <f>VLOOKUP(C:C,[1]基础信息!B$1:F$65536,5,0)</f>
        <v xml:space="preserve"> lime</v>
      </c>
    </row>
    <row r="2746" spans="1:40">
      <c r="A2746" s="1" t="s">
        <v>41</v>
      </c>
      <c r="B2746" s="1" t="s">
        <v>42</v>
      </c>
      <c r="C2746" s="1" t="s">
        <v>3971</v>
      </c>
      <c r="D2746" s="1" t="s">
        <v>3972</v>
      </c>
      <c r="E2746" s="1" t="s">
        <v>45</v>
      </c>
      <c r="F2746" s="1" t="s">
        <v>6312</v>
      </c>
      <c r="G2746" s="1" t="s">
        <v>6313</v>
      </c>
      <c r="H2746" s="1" t="s">
        <v>6314</v>
      </c>
      <c r="I2746" s="1" t="s">
        <v>49</v>
      </c>
      <c r="J2746" s="1" t="s">
        <v>48</v>
      </c>
      <c r="K2746" s="1">
        <v>96</v>
      </c>
      <c r="L2746" s="1">
        <v>0</v>
      </c>
      <c r="M2746" s="1">
        <v>0</v>
      </c>
      <c r="N2746" s="1">
        <v>96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 t="s">
        <v>49</v>
      </c>
      <c r="AA2746" s="1" t="s">
        <v>49</v>
      </c>
      <c r="AB2746" s="1" t="s">
        <v>49</v>
      </c>
      <c r="AC2746" s="1" t="s">
        <v>1330</v>
      </c>
      <c r="AD2746" s="1" t="s">
        <v>1331</v>
      </c>
      <c r="AE2746" s="1" t="s">
        <v>3719</v>
      </c>
      <c r="AF2746" s="1" t="s">
        <v>6315</v>
      </c>
      <c r="AG2746" s="1" t="s">
        <v>53</v>
      </c>
      <c r="AH2746" s="1" t="s">
        <v>49</v>
      </c>
      <c r="AI2746" s="1" t="s">
        <v>54</v>
      </c>
      <c r="AJ2746" s="1">
        <v>1</v>
      </c>
      <c r="AK2746" s="1" t="str">
        <f t="shared" si="42"/>
        <v xml:space="preserve"> =&lt;90</v>
      </c>
      <c r="AL2746" s="1" t="str">
        <f>VLOOKUP(C:C,[1]基础信息!B$1:D$65536,3,0)</f>
        <v>Jug</v>
      </c>
      <c r="AM2746" s="1" t="str">
        <f>VLOOKUP(C:C,[1]基础信息!B$1:E$65536,4,0)</f>
        <v>Mxplus</v>
      </c>
      <c r="AN2746" s="1" t="str">
        <f>VLOOKUP(C:C,[1]基础信息!B$1:F$65536,5,0)</f>
        <v xml:space="preserve"> lime</v>
      </c>
    </row>
    <row r="2747" spans="1:40">
      <c r="A2747" s="1" t="s">
        <v>41</v>
      </c>
      <c r="B2747" s="1" t="s">
        <v>42</v>
      </c>
      <c r="C2747" s="1" t="s">
        <v>5254</v>
      </c>
      <c r="D2747" s="1" t="s">
        <v>5255</v>
      </c>
      <c r="E2747" s="1" t="s">
        <v>45</v>
      </c>
      <c r="F2747" s="1" t="s">
        <v>6316</v>
      </c>
      <c r="G2747" s="1" t="s">
        <v>6317</v>
      </c>
      <c r="H2747" s="1" t="s">
        <v>6318</v>
      </c>
      <c r="I2747" s="1" t="s">
        <v>49</v>
      </c>
      <c r="J2747" s="1" t="s">
        <v>48</v>
      </c>
      <c r="K2747" s="1">
        <v>2200</v>
      </c>
      <c r="L2747" s="1">
        <v>0</v>
      </c>
      <c r="M2747" s="1">
        <v>0</v>
      </c>
      <c r="N2747" s="1">
        <v>2200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 t="s">
        <v>49</v>
      </c>
      <c r="AA2747" s="1" t="s">
        <v>49</v>
      </c>
      <c r="AB2747" s="1" t="s">
        <v>49</v>
      </c>
      <c r="AC2747" s="1" t="s">
        <v>6246</v>
      </c>
      <c r="AD2747" s="1" t="s">
        <v>6247</v>
      </c>
      <c r="AE2747" s="1" t="s">
        <v>6246</v>
      </c>
      <c r="AF2747" s="1" t="s">
        <v>5508</v>
      </c>
      <c r="AG2747" s="1" t="s">
        <v>53</v>
      </c>
      <c r="AH2747" s="1" t="s">
        <v>49</v>
      </c>
      <c r="AI2747" s="1" t="s">
        <v>54</v>
      </c>
      <c r="AJ2747" s="1">
        <v>1</v>
      </c>
      <c r="AK2747" s="1" t="str">
        <f t="shared" si="42"/>
        <v xml:space="preserve"> =&lt;90</v>
      </c>
      <c r="AL2747" s="1" t="str">
        <f>VLOOKUP(C:C,[1]基础信息!B$1:D$65536,3,0)</f>
        <v xml:space="preserve">Cartridge </v>
      </c>
      <c r="AM2747" s="1" t="str">
        <f>VLOOKUP(C:C,[1]基础信息!B$1:E$65536,4,0)</f>
        <v>UNIV</v>
      </c>
      <c r="AN2747" s="1" t="str">
        <f>VLOOKUP(C:C,[1]基础信息!B$1:F$65536,5,0)</f>
        <v>P55</v>
      </c>
    </row>
    <row r="2748" spans="1:40">
      <c r="A2748" s="1" t="s">
        <v>41</v>
      </c>
      <c r="B2748" s="1" t="s">
        <v>42</v>
      </c>
      <c r="C2748" s="1" t="s">
        <v>5254</v>
      </c>
      <c r="D2748" s="1" t="s">
        <v>5255</v>
      </c>
      <c r="E2748" s="1" t="s">
        <v>45</v>
      </c>
      <c r="F2748" s="1" t="s">
        <v>6273</v>
      </c>
      <c r="G2748" s="1" t="s">
        <v>6319</v>
      </c>
      <c r="H2748" s="1" t="s">
        <v>6320</v>
      </c>
      <c r="I2748" s="1" t="s">
        <v>49</v>
      </c>
      <c r="J2748" s="1" t="s">
        <v>48</v>
      </c>
      <c r="K2748" s="1">
        <v>2200</v>
      </c>
      <c r="L2748" s="1">
        <v>0</v>
      </c>
      <c r="M2748" s="1">
        <v>0</v>
      </c>
      <c r="N2748" s="1">
        <v>2200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 t="s">
        <v>49</v>
      </c>
      <c r="AA2748" s="1" t="s">
        <v>49</v>
      </c>
      <c r="AB2748" s="1" t="s">
        <v>49</v>
      </c>
      <c r="AC2748" s="1" t="s">
        <v>3361</v>
      </c>
      <c r="AD2748" s="1" t="s">
        <v>3362</v>
      </c>
      <c r="AE2748" s="1" t="s">
        <v>3363</v>
      </c>
      <c r="AF2748" s="1" t="s">
        <v>5936</v>
      </c>
      <c r="AG2748" s="1" t="s">
        <v>53</v>
      </c>
      <c r="AH2748" s="1" t="s">
        <v>49</v>
      </c>
      <c r="AI2748" s="1" t="s">
        <v>54</v>
      </c>
      <c r="AJ2748" s="1">
        <v>1</v>
      </c>
      <c r="AK2748" s="1" t="str">
        <f t="shared" si="42"/>
        <v xml:space="preserve"> =&lt;90</v>
      </c>
      <c r="AL2748" s="1" t="str">
        <f>VLOOKUP(C:C,[1]基础信息!B$1:D$65536,3,0)</f>
        <v xml:space="preserve">Cartridge </v>
      </c>
      <c r="AM2748" s="1" t="str">
        <f>VLOOKUP(C:C,[1]基础信息!B$1:E$65536,4,0)</f>
        <v>UNIV</v>
      </c>
      <c r="AN2748" s="1" t="str">
        <f>VLOOKUP(C:C,[1]基础信息!B$1:F$65536,5,0)</f>
        <v>P55</v>
      </c>
    </row>
    <row r="2749" spans="1:40">
      <c r="A2749" s="1" t="s">
        <v>41</v>
      </c>
      <c r="B2749" s="1" t="s">
        <v>42</v>
      </c>
      <c r="C2749" s="1" t="s">
        <v>5254</v>
      </c>
      <c r="D2749" s="1" t="s">
        <v>5255</v>
      </c>
      <c r="E2749" s="1" t="s">
        <v>45</v>
      </c>
      <c r="F2749" s="1" t="s">
        <v>6273</v>
      </c>
      <c r="G2749" s="1" t="s">
        <v>6321</v>
      </c>
      <c r="H2749" s="1" t="s">
        <v>6322</v>
      </c>
      <c r="I2749" s="1" t="s">
        <v>49</v>
      </c>
      <c r="J2749" s="1" t="s">
        <v>48</v>
      </c>
      <c r="K2749" s="1">
        <v>2200</v>
      </c>
      <c r="L2749" s="1">
        <v>0</v>
      </c>
      <c r="M2749" s="1">
        <v>0</v>
      </c>
      <c r="N2749" s="1">
        <v>2200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 t="s">
        <v>49</v>
      </c>
      <c r="AA2749" s="1" t="s">
        <v>49</v>
      </c>
      <c r="AB2749" s="1" t="s">
        <v>49</v>
      </c>
      <c r="AC2749" s="1" t="s">
        <v>3361</v>
      </c>
      <c r="AD2749" s="1" t="s">
        <v>3362</v>
      </c>
      <c r="AE2749" s="1" t="s">
        <v>3363</v>
      </c>
      <c r="AF2749" s="1" t="s">
        <v>5936</v>
      </c>
      <c r="AG2749" s="1" t="s">
        <v>53</v>
      </c>
      <c r="AH2749" s="1" t="s">
        <v>49</v>
      </c>
      <c r="AI2749" s="1" t="s">
        <v>54</v>
      </c>
      <c r="AJ2749" s="1">
        <v>1</v>
      </c>
      <c r="AK2749" s="1" t="str">
        <f t="shared" si="42"/>
        <v xml:space="preserve"> =&lt;90</v>
      </c>
      <c r="AL2749" s="1" t="str">
        <f>VLOOKUP(C:C,[1]基础信息!B$1:D$65536,3,0)</f>
        <v xml:space="preserve">Cartridge </v>
      </c>
      <c r="AM2749" s="1" t="str">
        <f>VLOOKUP(C:C,[1]基础信息!B$1:E$65536,4,0)</f>
        <v>UNIV</v>
      </c>
      <c r="AN2749" s="1" t="str">
        <f>VLOOKUP(C:C,[1]基础信息!B$1:F$65536,5,0)</f>
        <v>P55</v>
      </c>
    </row>
    <row r="2750" spans="1:40">
      <c r="A2750" s="1" t="s">
        <v>41</v>
      </c>
      <c r="B2750" s="1" t="s">
        <v>42</v>
      </c>
      <c r="C2750" s="1" t="s">
        <v>3971</v>
      </c>
      <c r="D2750" s="1" t="s">
        <v>3972</v>
      </c>
      <c r="E2750" s="1" t="s">
        <v>45</v>
      </c>
      <c r="F2750" s="1" t="s">
        <v>6312</v>
      </c>
      <c r="G2750" s="1" t="s">
        <v>6323</v>
      </c>
      <c r="H2750" s="1" t="s">
        <v>6324</v>
      </c>
      <c r="I2750" s="1" t="s">
        <v>49</v>
      </c>
      <c r="J2750" s="1" t="s">
        <v>48</v>
      </c>
      <c r="K2750" s="1">
        <v>96</v>
      </c>
      <c r="L2750" s="1">
        <v>0</v>
      </c>
      <c r="M2750" s="1">
        <v>0</v>
      </c>
      <c r="N2750" s="1">
        <v>96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 t="s">
        <v>49</v>
      </c>
      <c r="AA2750" s="1" t="s">
        <v>49</v>
      </c>
      <c r="AB2750" s="1" t="s">
        <v>49</v>
      </c>
      <c r="AC2750" s="1" t="s">
        <v>1330</v>
      </c>
      <c r="AD2750" s="1" t="s">
        <v>1331</v>
      </c>
      <c r="AE2750" s="1" t="s">
        <v>3719</v>
      </c>
      <c r="AF2750" s="1" t="s">
        <v>6315</v>
      </c>
      <c r="AG2750" s="1" t="s">
        <v>53</v>
      </c>
      <c r="AH2750" s="1" t="s">
        <v>49</v>
      </c>
      <c r="AI2750" s="1" t="s">
        <v>54</v>
      </c>
      <c r="AJ2750" s="1">
        <v>1</v>
      </c>
      <c r="AK2750" s="1" t="str">
        <f t="shared" si="42"/>
        <v xml:space="preserve"> =&lt;90</v>
      </c>
      <c r="AL2750" s="1" t="str">
        <f>VLOOKUP(C:C,[1]基础信息!B$1:D$65536,3,0)</f>
        <v>Jug</v>
      </c>
      <c r="AM2750" s="1" t="str">
        <f>VLOOKUP(C:C,[1]基础信息!B$1:E$65536,4,0)</f>
        <v>Mxplus</v>
      </c>
      <c r="AN2750" s="1" t="str">
        <f>VLOOKUP(C:C,[1]基础信息!B$1:F$65536,5,0)</f>
        <v xml:space="preserve"> lime</v>
      </c>
    </row>
    <row r="2751" spans="1:40">
      <c r="A2751" s="1" t="s">
        <v>41</v>
      </c>
      <c r="B2751" s="1" t="s">
        <v>42</v>
      </c>
      <c r="C2751" s="1" t="s">
        <v>5254</v>
      </c>
      <c r="D2751" s="1" t="s">
        <v>5255</v>
      </c>
      <c r="E2751" s="1" t="s">
        <v>45</v>
      </c>
      <c r="F2751" s="1" t="s">
        <v>6273</v>
      </c>
      <c r="G2751" s="1" t="s">
        <v>6325</v>
      </c>
      <c r="H2751" s="1" t="s">
        <v>6326</v>
      </c>
      <c r="I2751" s="1" t="s">
        <v>49</v>
      </c>
      <c r="J2751" s="1" t="s">
        <v>48</v>
      </c>
      <c r="K2751" s="1">
        <v>2200</v>
      </c>
      <c r="L2751" s="1">
        <v>0</v>
      </c>
      <c r="M2751" s="1">
        <v>0</v>
      </c>
      <c r="N2751" s="1">
        <v>2200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 t="s">
        <v>49</v>
      </c>
      <c r="AA2751" s="1" t="s">
        <v>49</v>
      </c>
      <c r="AB2751" s="1" t="s">
        <v>49</v>
      </c>
      <c r="AC2751" s="1" t="s">
        <v>3361</v>
      </c>
      <c r="AD2751" s="1" t="s">
        <v>3362</v>
      </c>
      <c r="AE2751" s="1" t="s">
        <v>3363</v>
      </c>
      <c r="AF2751" s="1" t="s">
        <v>5936</v>
      </c>
      <c r="AG2751" s="1" t="s">
        <v>53</v>
      </c>
      <c r="AH2751" s="1" t="s">
        <v>49</v>
      </c>
      <c r="AI2751" s="1" t="s">
        <v>54</v>
      </c>
      <c r="AJ2751" s="1">
        <v>1</v>
      </c>
      <c r="AK2751" s="1" t="str">
        <f t="shared" si="42"/>
        <v xml:space="preserve"> =&lt;90</v>
      </c>
      <c r="AL2751" s="1" t="str">
        <f>VLOOKUP(C:C,[1]基础信息!B$1:D$65536,3,0)</f>
        <v xml:space="preserve">Cartridge </v>
      </c>
      <c r="AM2751" s="1" t="str">
        <f>VLOOKUP(C:C,[1]基础信息!B$1:E$65536,4,0)</f>
        <v>UNIV</v>
      </c>
      <c r="AN2751" s="1" t="str">
        <f>VLOOKUP(C:C,[1]基础信息!B$1:F$65536,5,0)</f>
        <v>P55</v>
      </c>
    </row>
    <row r="2752" spans="1:40">
      <c r="A2752" s="1" t="s">
        <v>41</v>
      </c>
      <c r="B2752" s="1" t="s">
        <v>42</v>
      </c>
      <c r="C2752" s="1" t="s">
        <v>5254</v>
      </c>
      <c r="D2752" s="1" t="s">
        <v>5255</v>
      </c>
      <c r="E2752" s="1" t="s">
        <v>45</v>
      </c>
      <c r="F2752" s="1" t="s">
        <v>6273</v>
      </c>
      <c r="G2752" s="1" t="s">
        <v>6327</v>
      </c>
      <c r="H2752" s="1" t="s">
        <v>6328</v>
      </c>
      <c r="I2752" s="1" t="s">
        <v>49</v>
      </c>
      <c r="J2752" s="1" t="s">
        <v>48</v>
      </c>
      <c r="K2752" s="1">
        <v>2200</v>
      </c>
      <c r="L2752" s="1">
        <v>0</v>
      </c>
      <c r="M2752" s="1">
        <v>0</v>
      </c>
      <c r="N2752" s="1">
        <v>2200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 t="s">
        <v>49</v>
      </c>
      <c r="AA2752" s="1" t="s">
        <v>49</v>
      </c>
      <c r="AB2752" s="1" t="s">
        <v>49</v>
      </c>
      <c r="AC2752" s="1" t="s">
        <v>3361</v>
      </c>
      <c r="AD2752" s="1" t="s">
        <v>3362</v>
      </c>
      <c r="AE2752" s="1" t="s">
        <v>3363</v>
      </c>
      <c r="AF2752" s="1" t="s">
        <v>5936</v>
      </c>
      <c r="AG2752" s="1" t="s">
        <v>53</v>
      </c>
      <c r="AH2752" s="1" t="s">
        <v>49</v>
      </c>
      <c r="AI2752" s="1" t="s">
        <v>54</v>
      </c>
      <c r="AJ2752" s="1">
        <v>1</v>
      </c>
      <c r="AK2752" s="1" t="str">
        <f t="shared" si="42"/>
        <v xml:space="preserve"> =&lt;90</v>
      </c>
      <c r="AL2752" s="1" t="str">
        <f>VLOOKUP(C:C,[1]基础信息!B$1:D$65536,3,0)</f>
        <v xml:space="preserve">Cartridge </v>
      </c>
      <c r="AM2752" s="1" t="str">
        <f>VLOOKUP(C:C,[1]基础信息!B$1:E$65536,4,0)</f>
        <v>UNIV</v>
      </c>
      <c r="AN2752" s="1" t="str">
        <f>VLOOKUP(C:C,[1]基础信息!B$1:F$65536,5,0)</f>
        <v>P55</v>
      </c>
    </row>
    <row r="2753" spans="1:40">
      <c r="A2753" s="1" t="s">
        <v>41</v>
      </c>
      <c r="B2753" s="1" t="s">
        <v>42</v>
      </c>
      <c r="C2753" s="1" t="s">
        <v>5254</v>
      </c>
      <c r="D2753" s="1" t="s">
        <v>5255</v>
      </c>
      <c r="E2753" s="1" t="s">
        <v>45</v>
      </c>
      <c r="F2753" s="1" t="s">
        <v>6329</v>
      </c>
      <c r="G2753" s="1" t="s">
        <v>6330</v>
      </c>
      <c r="H2753" s="1" t="s">
        <v>6331</v>
      </c>
      <c r="I2753" s="1" t="s">
        <v>49</v>
      </c>
      <c r="J2753" s="1" t="s">
        <v>48</v>
      </c>
      <c r="K2753" s="1">
        <v>2200</v>
      </c>
      <c r="L2753" s="1">
        <v>0</v>
      </c>
      <c r="M2753" s="1">
        <v>0</v>
      </c>
      <c r="N2753" s="1">
        <v>2200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 t="s">
        <v>49</v>
      </c>
      <c r="AA2753" s="1" t="s">
        <v>49</v>
      </c>
      <c r="AB2753" s="1" t="s">
        <v>49</v>
      </c>
      <c r="AC2753" s="1" t="s">
        <v>3361</v>
      </c>
      <c r="AD2753" s="1" t="s">
        <v>3362</v>
      </c>
      <c r="AE2753" s="1" t="s">
        <v>3363</v>
      </c>
      <c r="AF2753" s="1" t="s">
        <v>6332</v>
      </c>
      <c r="AG2753" s="1" t="s">
        <v>53</v>
      </c>
      <c r="AH2753" s="1" t="s">
        <v>49</v>
      </c>
      <c r="AI2753" s="1" t="s">
        <v>54</v>
      </c>
      <c r="AJ2753" s="1">
        <v>1</v>
      </c>
      <c r="AK2753" s="1" t="str">
        <f t="shared" si="42"/>
        <v xml:space="preserve"> =&lt;90</v>
      </c>
      <c r="AL2753" s="1" t="str">
        <f>VLOOKUP(C:C,[1]基础信息!B$1:D$65536,3,0)</f>
        <v xml:space="preserve">Cartridge </v>
      </c>
      <c r="AM2753" s="1" t="str">
        <f>VLOOKUP(C:C,[1]基础信息!B$1:E$65536,4,0)</f>
        <v>UNIV</v>
      </c>
      <c r="AN2753" s="1" t="str">
        <f>VLOOKUP(C:C,[1]基础信息!B$1:F$65536,5,0)</f>
        <v>P55</v>
      </c>
    </row>
    <row r="2754" spans="1:40">
      <c r="A2754" s="1" t="s">
        <v>41</v>
      </c>
      <c r="B2754" s="1" t="s">
        <v>42</v>
      </c>
      <c r="C2754" s="1" t="s">
        <v>5254</v>
      </c>
      <c r="D2754" s="1" t="s">
        <v>5255</v>
      </c>
      <c r="E2754" s="1" t="s">
        <v>45</v>
      </c>
      <c r="F2754" s="1" t="s">
        <v>6329</v>
      </c>
      <c r="G2754" s="1" t="s">
        <v>6333</v>
      </c>
      <c r="H2754" s="1" t="s">
        <v>6334</v>
      </c>
      <c r="I2754" s="1" t="s">
        <v>49</v>
      </c>
      <c r="J2754" s="1" t="s">
        <v>48</v>
      </c>
      <c r="K2754" s="1">
        <v>2200</v>
      </c>
      <c r="L2754" s="1">
        <v>0</v>
      </c>
      <c r="M2754" s="1">
        <v>0</v>
      </c>
      <c r="N2754" s="1">
        <v>2200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 t="s">
        <v>49</v>
      </c>
      <c r="AA2754" s="1" t="s">
        <v>49</v>
      </c>
      <c r="AB2754" s="1" t="s">
        <v>49</v>
      </c>
      <c r="AC2754" s="1" t="s">
        <v>3361</v>
      </c>
      <c r="AD2754" s="1" t="s">
        <v>3362</v>
      </c>
      <c r="AE2754" s="1" t="s">
        <v>3363</v>
      </c>
      <c r="AF2754" s="1" t="s">
        <v>6332</v>
      </c>
      <c r="AG2754" s="1" t="s">
        <v>53</v>
      </c>
      <c r="AH2754" s="1" t="s">
        <v>49</v>
      </c>
      <c r="AI2754" s="1" t="s">
        <v>54</v>
      </c>
      <c r="AJ2754" s="1">
        <v>1</v>
      </c>
      <c r="AK2754" s="1" t="str">
        <f t="shared" ref="AK2754:AK2817" si="43">IF(AJ2754&gt;$AP$2,$AQ$2,IF(AJ2754&gt;$AP$3,$AQ$3,IF(AJ2754&gt;$AP$4,$AQ$4,$AQ$5)))</f>
        <v xml:space="preserve"> =&lt;90</v>
      </c>
      <c r="AL2754" s="1" t="str">
        <f>VLOOKUP(C:C,[1]基础信息!B$1:D$65536,3,0)</f>
        <v xml:space="preserve">Cartridge </v>
      </c>
      <c r="AM2754" s="1" t="str">
        <f>VLOOKUP(C:C,[1]基础信息!B$1:E$65536,4,0)</f>
        <v>UNIV</v>
      </c>
      <c r="AN2754" s="1" t="str">
        <f>VLOOKUP(C:C,[1]基础信息!B$1:F$65536,5,0)</f>
        <v>P55</v>
      </c>
    </row>
    <row r="2755" spans="1:40">
      <c r="A2755" s="1" t="s">
        <v>41</v>
      </c>
      <c r="B2755" s="1" t="s">
        <v>42</v>
      </c>
      <c r="C2755" s="1" t="s">
        <v>5254</v>
      </c>
      <c r="D2755" s="1" t="s">
        <v>5255</v>
      </c>
      <c r="E2755" s="1" t="s">
        <v>45</v>
      </c>
      <c r="F2755" s="1" t="s">
        <v>6329</v>
      </c>
      <c r="G2755" s="1" t="s">
        <v>6335</v>
      </c>
      <c r="H2755" s="1" t="s">
        <v>6336</v>
      </c>
      <c r="I2755" s="1" t="s">
        <v>49</v>
      </c>
      <c r="J2755" s="1" t="s">
        <v>48</v>
      </c>
      <c r="K2755" s="1">
        <v>2200</v>
      </c>
      <c r="L2755" s="1">
        <v>0</v>
      </c>
      <c r="M2755" s="1">
        <v>0</v>
      </c>
      <c r="N2755" s="1">
        <v>2200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 t="s">
        <v>49</v>
      </c>
      <c r="AA2755" s="1" t="s">
        <v>49</v>
      </c>
      <c r="AB2755" s="1" t="s">
        <v>49</v>
      </c>
      <c r="AC2755" s="1" t="s">
        <v>3361</v>
      </c>
      <c r="AD2755" s="1" t="s">
        <v>3362</v>
      </c>
      <c r="AE2755" s="1" t="s">
        <v>3363</v>
      </c>
      <c r="AF2755" s="1" t="s">
        <v>6332</v>
      </c>
      <c r="AG2755" s="1" t="s">
        <v>53</v>
      </c>
      <c r="AH2755" s="1" t="s">
        <v>49</v>
      </c>
      <c r="AI2755" s="1" t="s">
        <v>54</v>
      </c>
      <c r="AJ2755" s="1">
        <v>1</v>
      </c>
      <c r="AK2755" s="1" t="str">
        <f t="shared" si="43"/>
        <v xml:space="preserve"> =&lt;90</v>
      </c>
      <c r="AL2755" s="1" t="str">
        <f>VLOOKUP(C:C,[1]基础信息!B$1:D$65536,3,0)</f>
        <v xml:space="preserve">Cartridge </v>
      </c>
      <c r="AM2755" s="1" t="str">
        <f>VLOOKUP(C:C,[1]基础信息!B$1:E$65536,4,0)</f>
        <v>UNIV</v>
      </c>
      <c r="AN2755" s="1" t="str">
        <f>VLOOKUP(C:C,[1]基础信息!B$1:F$65536,5,0)</f>
        <v>P55</v>
      </c>
    </row>
    <row r="2756" spans="1:40">
      <c r="A2756" s="1" t="s">
        <v>41</v>
      </c>
      <c r="B2756" s="1" t="s">
        <v>42</v>
      </c>
      <c r="C2756" s="1" t="s">
        <v>5254</v>
      </c>
      <c r="D2756" s="1" t="s">
        <v>5255</v>
      </c>
      <c r="E2756" s="1" t="s">
        <v>45</v>
      </c>
      <c r="F2756" s="1" t="s">
        <v>6329</v>
      </c>
      <c r="G2756" s="1" t="s">
        <v>6337</v>
      </c>
      <c r="H2756" s="1" t="s">
        <v>6338</v>
      </c>
      <c r="I2756" s="1" t="s">
        <v>49</v>
      </c>
      <c r="J2756" s="1" t="s">
        <v>48</v>
      </c>
      <c r="K2756" s="1">
        <v>2200</v>
      </c>
      <c r="L2756" s="1">
        <v>0</v>
      </c>
      <c r="M2756" s="1">
        <v>0</v>
      </c>
      <c r="N2756" s="1">
        <v>2200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 t="s">
        <v>49</v>
      </c>
      <c r="AA2756" s="1" t="s">
        <v>49</v>
      </c>
      <c r="AB2756" s="1" t="s">
        <v>49</v>
      </c>
      <c r="AC2756" s="1" t="s">
        <v>3361</v>
      </c>
      <c r="AD2756" s="1" t="s">
        <v>3362</v>
      </c>
      <c r="AE2756" s="1" t="s">
        <v>3363</v>
      </c>
      <c r="AF2756" s="1" t="s">
        <v>6332</v>
      </c>
      <c r="AG2756" s="1" t="s">
        <v>53</v>
      </c>
      <c r="AH2756" s="1" t="s">
        <v>49</v>
      </c>
      <c r="AI2756" s="1" t="s">
        <v>54</v>
      </c>
      <c r="AJ2756" s="1">
        <v>1</v>
      </c>
      <c r="AK2756" s="1" t="str">
        <f t="shared" si="43"/>
        <v xml:space="preserve"> =&lt;90</v>
      </c>
      <c r="AL2756" s="1" t="str">
        <f>VLOOKUP(C:C,[1]基础信息!B$1:D$65536,3,0)</f>
        <v xml:space="preserve">Cartridge </v>
      </c>
      <c r="AM2756" s="1" t="str">
        <f>VLOOKUP(C:C,[1]基础信息!B$1:E$65536,4,0)</f>
        <v>UNIV</v>
      </c>
      <c r="AN2756" s="1" t="str">
        <f>VLOOKUP(C:C,[1]基础信息!B$1:F$65536,5,0)</f>
        <v>P55</v>
      </c>
    </row>
    <row r="2757" spans="1:40">
      <c r="A2757" s="1" t="s">
        <v>41</v>
      </c>
      <c r="B2757" s="1" t="s">
        <v>42</v>
      </c>
      <c r="C2757" s="1" t="s">
        <v>5254</v>
      </c>
      <c r="D2757" s="1" t="s">
        <v>5255</v>
      </c>
      <c r="E2757" s="1" t="s">
        <v>45</v>
      </c>
      <c r="F2757" s="1" t="s">
        <v>6329</v>
      </c>
      <c r="G2757" s="1" t="s">
        <v>6339</v>
      </c>
      <c r="H2757" s="1" t="s">
        <v>6340</v>
      </c>
      <c r="I2757" s="1" t="s">
        <v>49</v>
      </c>
      <c r="J2757" s="1" t="s">
        <v>48</v>
      </c>
      <c r="K2757" s="1">
        <v>2200</v>
      </c>
      <c r="L2757" s="1">
        <v>0</v>
      </c>
      <c r="M2757" s="1">
        <v>0</v>
      </c>
      <c r="N2757" s="1">
        <v>2200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 t="s">
        <v>49</v>
      </c>
      <c r="AA2757" s="1" t="s">
        <v>49</v>
      </c>
      <c r="AB2757" s="1" t="s">
        <v>49</v>
      </c>
      <c r="AC2757" s="1" t="s">
        <v>3361</v>
      </c>
      <c r="AD2757" s="1" t="s">
        <v>3362</v>
      </c>
      <c r="AE2757" s="1" t="s">
        <v>3363</v>
      </c>
      <c r="AF2757" s="1" t="s">
        <v>6332</v>
      </c>
      <c r="AG2757" s="1" t="s">
        <v>53</v>
      </c>
      <c r="AH2757" s="1" t="s">
        <v>49</v>
      </c>
      <c r="AI2757" s="1" t="s">
        <v>54</v>
      </c>
      <c r="AJ2757" s="1">
        <v>1</v>
      </c>
      <c r="AK2757" s="1" t="str">
        <f t="shared" si="43"/>
        <v xml:space="preserve"> =&lt;90</v>
      </c>
      <c r="AL2757" s="1" t="str">
        <f>VLOOKUP(C:C,[1]基础信息!B$1:D$65536,3,0)</f>
        <v xml:space="preserve">Cartridge </v>
      </c>
      <c r="AM2757" s="1" t="str">
        <f>VLOOKUP(C:C,[1]基础信息!B$1:E$65536,4,0)</f>
        <v>UNIV</v>
      </c>
      <c r="AN2757" s="1" t="str">
        <f>VLOOKUP(C:C,[1]基础信息!B$1:F$65536,5,0)</f>
        <v>P55</v>
      </c>
    </row>
    <row r="2758" spans="1:40">
      <c r="A2758" s="1" t="s">
        <v>41</v>
      </c>
      <c r="B2758" s="1" t="s">
        <v>42</v>
      </c>
      <c r="C2758" s="1" t="s">
        <v>5254</v>
      </c>
      <c r="D2758" s="1" t="s">
        <v>5255</v>
      </c>
      <c r="E2758" s="1" t="s">
        <v>45</v>
      </c>
      <c r="F2758" s="1" t="s">
        <v>6329</v>
      </c>
      <c r="G2758" s="1" t="s">
        <v>6341</v>
      </c>
      <c r="H2758" s="1" t="s">
        <v>6342</v>
      </c>
      <c r="I2758" s="1" t="s">
        <v>49</v>
      </c>
      <c r="J2758" s="1" t="s">
        <v>48</v>
      </c>
      <c r="K2758" s="1">
        <v>2200</v>
      </c>
      <c r="L2758" s="1">
        <v>0</v>
      </c>
      <c r="M2758" s="1">
        <v>0</v>
      </c>
      <c r="N2758" s="1">
        <v>2200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 t="s">
        <v>49</v>
      </c>
      <c r="AA2758" s="1" t="s">
        <v>49</v>
      </c>
      <c r="AB2758" s="1" t="s">
        <v>49</v>
      </c>
      <c r="AC2758" s="1" t="s">
        <v>3361</v>
      </c>
      <c r="AD2758" s="1" t="s">
        <v>3362</v>
      </c>
      <c r="AE2758" s="1" t="s">
        <v>3363</v>
      </c>
      <c r="AF2758" s="1" t="s">
        <v>6332</v>
      </c>
      <c r="AG2758" s="1" t="s">
        <v>53</v>
      </c>
      <c r="AH2758" s="1" t="s">
        <v>49</v>
      </c>
      <c r="AI2758" s="1" t="s">
        <v>54</v>
      </c>
      <c r="AJ2758" s="1">
        <v>1</v>
      </c>
      <c r="AK2758" s="1" t="str">
        <f t="shared" si="43"/>
        <v xml:space="preserve"> =&lt;90</v>
      </c>
      <c r="AL2758" s="1" t="str">
        <f>VLOOKUP(C:C,[1]基础信息!B$1:D$65536,3,0)</f>
        <v xml:space="preserve">Cartridge </v>
      </c>
      <c r="AM2758" s="1" t="str">
        <f>VLOOKUP(C:C,[1]基础信息!B$1:E$65536,4,0)</f>
        <v>UNIV</v>
      </c>
      <c r="AN2758" s="1" t="str">
        <f>VLOOKUP(C:C,[1]基础信息!B$1:F$65536,5,0)</f>
        <v>P55</v>
      </c>
    </row>
    <row r="2759" spans="1:40">
      <c r="A2759" s="1" t="s">
        <v>41</v>
      </c>
      <c r="B2759" s="1" t="s">
        <v>42</v>
      </c>
      <c r="C2759" s="1" t="s">
        <v>3971</v>
      </c>
      <c r="D2759" s="1" t="s">
        <v>3972</v>
      </c>
      <c r="E2759" s="1" t="s">
        <v>45</v>
      </c>
      <c r="F2759" s="1" t="s">
        <v>6312</v>
      </c>
      <c r="G2759" s="1" t="s">
        <v>6343</v>
      </c>
      <c r="H2759" s="1" t="s">
        <v>6344</v>
      </c>
      <c r="I2759" s="1" t="s">
        <v>49</v>
      </c>
      <c r="J2759" s="1" t="s">
        <v>48</v>
      </c>
      <c r="K2759" s="1">
        <v>96</v>
      </c>
      <c r="L2759" s="1">
        <v>0</v>
      </c>
      <c r="M2759" s="1">
        <v>0</v>
      </c>
      <c r="N2759" s="1">
        <v>96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 t="s">
        <v>49</v>
      </c>
      <c r="AA2759" s="1" t="s">
        <v>49</v>
      </c>
      <c r="AB2759" s="1" t="s">
        <v>49</v>
      </c>
      <c r="AC2759" s="1" t="s">
        <v>1330</v>
      </c>
      <c r="AD2759" s="1" t="s">
        <v>1331</v>
      </c>
      <c r="AE2759" s="1" t="s">
        <v>3719</v>
      </c>
      <c r="AF2759" s="1" t="s">
        <v>6315</v>
      </c>
      <c r="AG2759" s="1" t="s">
        <v>53</v>
      </c>
      <c r="AH2759" s="1" t="s">
        <v>49</v>
      </c>
      <c r="AI2759" s="1" t="s">
        <v>54</v>
      </c>
      <c r="AJ2759" s="1">
        <v>1</v>
      </c>
      <c r="AK2759" s="1" t="str">
        <f t="shared" si="43"/>
        <v xml:space="preserve"> =&lt;90</v>
      </c>
      <c r="AL2759" s="1" t="str">
        <f>VLOOKUP(C:C,[1]基础信息!B$1:D$65536,3,0)</f>
        <v>Jug</v>
      </c>
      <c r="AM2759" s="1" t="str">
        <f>VLOOKUP(C:C,[1]基础信息!B$1:E$65536,4,0)</f>
        <v>Mxplus</v>
      </c>
      <c r="AN2759" s="1" t="str">
        <f>VLOOKUP(C:C,[1]基础信息!B$1:F$65536,5,0)</f>
        <v xml:space="preserve"> lime</v>
      </c>
    </row>
    <row r="2760" spans="1:40">
      <c r="A2760" s="1" t="s">
        <v>41</v>
      </c>
      <c r="B2760" s="1" t="s">
        <v>42</v>
      </c>
      <c r="C2760" s="1" t="s">
        <v>3971</v>
      </c>
      <c r="D2760" s="1" t="s">
        <v>3972</v>
      </c>
      <c r="E2760" s="1" t="s">
        <v>45</v>
      </c>
      <c r="F2760" s="1" t="s">
        <v>6312</v>
      </c>
      <c r="G2760" s="1" t="s">
        <v>6345</v>
      </c>
      <c r="H2760" s="1" t="s">
        <v>6346</v>
      </c>
      <c r="I2760" s="1" t="s">
        <v>49</v>
      </c>
      <c r="J2760" s="1" t="s">
        <v>48</v>
      </c>
      <c r="K2760" s="1">
        <v>96</v>
      </c>
      <c r="L2760" s="1">
        <v>0</v>
      </c>
      <c r="M2760" s="1">
        <v>0</v>
      </c>
      <c r="N2760" s="1">
        <v>96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 t="s">
        <v>49</v>
      </c>
      <c r="AA2760" s="1" t="s">
        <v>49</v>
      </c>
      <c r="AB2760" s="1" t="s">
        <v>49</v>
      </c>
      <c r="AC2760" s="1" t="s">
        <v>1330</v>
      </c>
      <c r="AD2760" s="1" t="s">
        <v>1331</v>
      </c>
      <c r="AE2760" s="1" t="s">
        <v>3719</v>
      </c>
      <c r="AF2760" s="1" t="s">
        <v>6315</v>
      </c>
      <c r="AG2760" s="1" t="s">
        <v>53</v>
      </c>
      <c r="AH2760" s="1" t="s">
        <v>49</v>
      </c>
      <c r="AI2760" s="1" t="s">
        <v>54</v>
      </c>
      <c r="AJ2760" s="1">
        <v>1</v>
      </c>
      <c r="AK2760" s="1" t="str">
        <f t="shared" si="43"/>
        <v xml:space="preserve"> =&lt;90</v>
      </c>
      <c r="AL2760" s="1" t="str">
        <f>VLOOKUP(C:C,[1]基础信息!B$1:D$65536,3,0)</f>
        <v>Jug</v>
      </c>
      <c r="AM2760" s="1" t="str">
        <f>VLOOKUP(C:C,[1]基础信息!B$1:E$65536,4,0)</f>
        <v>Mxplus</v>
      </c>
      <c r="AN2760" s="1" t="str">
        <f>VLOOKUP(C:C,[1]基础信息!B$1:F$65536,5,0)</f>
        <v xml:space="preserve"> lime</v>
      </c>
    </row>
    <row r="2761" spans="1:40">
      <c r="A2761" s="1" t="s">
        <v>41</v>
      </c>
      <c r="B2761" s="1" t="s">
        <v>42</v>
      </c>
      <c r="C2761" s="1" t="s">
        <v>5254</v>
      </c>
      <c r="D2761" s="1" t="s">
        <v>5255</v>
      </c>
      <c r="E2761" s="1" t="s">
        <v>45</v>
      </c>
      <c r="F2761" s="1" t="s">
        <v>6329</v>
      </c>
      <c r="G2761" s="1" t="s">
        <v>6347</v>
      </c>
      <c r="H2761" s="1" t="s">
        <v>6348</v>
      </c>
      <c r="I2761" s="1" t="s">
        <v>49</v>
      </c>
      <c r="J2761" s="1" t="s">
        <v>48</v>
      </c>
      <c r="K2761" s="1">
        <v>2200</v>
      </c>
      <c r="L2761" s="1">
        <v>0</v>
      </c>
      <c r="M2761" s="1">
        <v>0</v>
      </c>
      <c r="N2761" s="1">
        <v>2200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 t="s">
        <v>49</v>
      </c>
      <c r="AA2761" s="1" t="s">
        <v>49</v>
      </c>
      <c r="AB2761" s="1" t="s">
        <v>49</v>
      </c>
      <c r="AC2761" s="1" t="s">
        <v>3361</v>
      </c>
      <c r="AD2761" s="1" t="s">
        <v>3362</v>
      </c>
      <c r="AE2761" s="1" t="s">
        <v>3363</v>
      </c>
      <c r="AF2761" s="1" t="s">
        <v>6332</v>
      </c>
      <c r="AG2761" s="1" t="s">
        <v>53</v>
      </c>
      <c r="AH2761" s="1" t="s">
        <v>49</v>
      </c>
      <c r="AI2761" s="1" t="s">
        <v>54</v>
      </c>
      <c r="AJ2761" s="1">
        <v>1</v>
      </c>
      <c r="AK2761" s="1" t="str">
        <f t="shared" si="43"/>
        <v xml:space="preserve"> =&lt;90</v>
      </c>
      <c r="AL2761" s="1" t="str">
        <f>VLOOKUP(C:C,[1]基础信息!B$1:D$65536,3,0)</f>
        <v xml:space="preserve">Cartridge </v>
      </c>
      <c r="AM2761" s="1" t="str">
        <f>VLOOKUP(C:C,[1]基础信息!B$1:E$65536,4,0)</f>
        <v>UNIV</v>
      </c>
      <c r="AN2761" s="1" t="str">
        <f>VLOOKUP(C:C,[1]基础信息!B$1:F$65536,5,0)</f>
        <v>P55</v>
      </c>
    </row>
    <row r="2762" spans="1:40">
      <c r="A2762" s="1" t="s">
        <v>41</v>
      </c>
      <c r="B2762" s="1" t="s">
        <v>42</v>
      </c>
      <c r="C2762" s="1" t="s">
        <v>5254</v>
      </c>
      <c r="D2762" s="1" t="s">
        <v>5255</v>
      </c>
      <c r="E2762" s="1" t="s">
        <v>45</v>
      </c>
      <c r="F2762" s="1" t="s">
        <v>6329</v>
      </c>
      <c r="G2762" s="1" t="s">
        <v>6349</v>
      </c>
      <c r="H2762" s="1" t="s">
        <v>6350</v>
      </c>
      <c r="I2762" s="1" t="s">
        <v>49</v>
      </c>
      <c r="J2762" s="1" t="s">
        <v>48</v>
      </c>
      <c r="K2762" s="1">
        <v>1375</v>
      </c>
      <c r="L2762" s="1">
        <v>0</v>
      </c>
      <c r="M2762" s="1">
        <v>0</v>
      </c>
      <c r="N2762" s="1">
        <v>1375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 t="s">
        <v>49</v>
      </c>
      <c r="AA2762" s="1" t="s">
        <v>49</v>
      </c>
      <c r="AB2762" s="1" t="s">
        <v>49</v>
      </c>
      <c r="AC2762" s="1" t="s">
        <v>3361</v>
      </c>
      <c r="AD2762" s="1" t="s">
        <v>3362</v>
      </c>
      <c r="AE2762" s="1" t="s">
        <v>3363</v>
      </c>
      <c r="AF2762" s="1" t="s">
        <v>6332</v>
      </c>
      <c r="AG2762" s="1" t="s">
        <v>53</v>
      </c>
      <c r="AH2762" s="1" t="s">
        <v>49</v>
      </c>
      <c r="AI2762" s="1" t="s">
        <v>54</v>
      </c>
      <c r="AJ2762" s="1">
        <v>1</v>
      </c>
      <c r="AK2762" s="1" t="str">
        <f t="shared" si="43"/>
        <v xml:space="preserve"> =&lt;90</v>
      </c>
      <c r="AL2762" s="1" t="str">
        <f>VLOOKUP(C:C,[1]基础信息!B$1:D$65536,3,0)</f>
        <v xml:space="preserve">Cartridge </v>
      </c>
      <c r="AM2762" s="1" t="str">
        <f>VLOOKUP(C:C,[1]基础信息!B$1:E$65536,4,0)</f>
        <v>UNIV</v>
      </c>
      <c r="AN2762" s="1" t="str">
        <f>VLOOKUP(C:C,[1]基础信息!B$1:F$65536,5,0)</f>
        <v>P55</v>
      </c>
    </row>
    <row r="2763" spans="1:40">
      <c r="A2763" s="1" t="s">
        <v>41</v>
      </c>
      <c r="B2763" s="1" t="s">
        <v>42</v>
      </c>
      <c r="C2763" s="1" t="s">
        <v>3971</v>
      </c>
      <c r="D2763" s="1" t="s">
        <v>3972</v>
      </c>
      <c r="E2763" s="1" t="s">
        <v>45</v>
      </c>
      <c r="F2763" s="1" t="s">
        <v>6312</v>
      </c>
      <c r="G2763" s="1" t="s">
        <v>6351</v>
      </c>
      <c r="H2763" s="1" t="s">
        <v>6352</v>
      </c>
      <c r="I2763" s="1" t="s">
        <v>49</v>
      </c>
      <c r="J2763" s="1" t="s">
        <v>48</v>
      </c>
      <c r="K2763" s="1">
        <v>96</v>
      </c>
      <c r="L2763" s="1">
        <v>0</v>
      </c>
      <c r="M2763" s="1">
        <v>0</v>
      </c>
      <c r="N2763" s="1">
        <v>96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 t="s">
        <v>49</v>
      </c>
      <c r="AA2763" s="1" t="s">
        <v>49</v>
      </c>
      <c r="AB2763" s="1" t="s">
        <v>49</v>
      </c>
      <c r="AC2763" s="1" t="s">
        <v>1330</v>
      </c>
      <c r="AD2763" s="1" t="s">
        <v>1331</v>
      </c>
      <c r="AE2763" s="1" t="s">
        <v>3719</v>
      </c>
      <c r="AF2763" s="1" t="s">
        <v>6315</v>
      </c>
      <c r="AG2763" s="1" t="s">
        <v>53</v>
      </c>
      <c r="AH2763" s="1" t="s">
        <v>49</v>
      </c>
      <c r="AI2763" s="1" t="s">
        <v>54</v>
      </c>
      <c r="AJ2763" s="1">
        <v>1</v>
      </c>
      <c r="AK2763" s="1" t="str">
        <f t="shared" si="43"/>
        <v xml:space="preserve"> =&lt;90</v>
      </c>
      <c r="AL2763" s="1" t="str">
        <f>VLOOKUP(C:C,[1]基础信息!B$1:D$65536,3,0)</f>
        <v>Jug</v>
      </c>
      <c r="AM2763" s="1" t="str">
        <f>VLOOKUP(C:C,[1]基础信息!B$1:E$65536,4,0)</f>
        <v>Mxplus</v>
      </c>
      <c r="AN2763" s="1" t="str">
        <f>VLOOKUP(C:C,[1]基础信息!B$1:F$65536,5,0)</f>
        <v xml:space="preserve"> lime</v>
      </c>
    </row>
    <row r="2764" spans="1:40">
      <c r="A2764" s="1" t="s">
        <v>41</v>
      </c>
      <c r="B2764" s="1" t="s">
        <v>42</v>
      </c>
      <c r="C2764" s="1" t="s">
        <v>3971</v>
      </c>
      <c r="D2764" s="1" t="s">
        <v>3972</v>
      </c>
      <c r="E2764" s="1" t="s">
        <v>45</v>
      </c>
      <c r="F2764" s="1" t="s">
        <v>6312</v>
      </c>
      <c r="G2764" s="1" t="s">
        <v>6353</v>
      </c>
      <c r="H2764" s="1" t="s">
        <v>6354</v>
      </c>
      <c r="I2764" s="1" t="s">
        <v>49</v>
      </c>
      <c r="J2764" s="1" t="s">
        <v>48</v>
      </c>
      <c r="K2764" s="1">
        <v>96</v>
      </c>
      <c r="L2764" s="1">
        <v>0</v>
      </c>
      <c r="M2764" s="1">
        <v>0</v>
      </c>
      <c r="N2764" s="1">
        <v>96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 t="s">
        <v>49</v>
      </c>
      <c r="AA2764" s="1" t="s">
        <v>49</v>
      </c>
      <c r="AB2764" s="1" t="s">
        <v>49</v>
      </c>
      <c r="AC2764" s="1" t="s">
        <v>1330</v>
      </c>
      <c r="AD2764" s="1" t="s">
        <v>1331</v>
      </c>
      <c r="AE2764" s="1" t="s">
        <v>3719</v>
      </c>
      <c r="AF2764" s="1" t="s">
        <v>6315</v>
      </c>
      <c r="AG2764" s="1" t="s">
        <v>53</v>
      </c>
      <c r="AH2764" s="1" t="s">
        <v>49</v>
      </c>
      <c r="AI2764" s="1" t="s">
        <v>54</v>
      </c>
      <c r="AJ2764" s="1">
        <v>1</v>
      </c>
      <c r="AK2764" s="1" t="str">
        <f t="shared" si="43"/>
        <v xml:space="preserve"> =&lt;90</v>
      </c>
      <c r="AL2764" s="1" t="str">
        <f>VLOOKUP(C:C,[1]基础信息!B$1:D$65536,3,0)</f>
        <v>Jug</v>
      </c>
      <c r="AM2764" s="1" t="str">
        <f>VLOOKUP(C:C,[1]基础信息!B$1:E$65536,4,0)</f>
        <v>Mxplus</v>
      </c>
      <c r="AN2764" s="1" t="str">
        <f>VLOOKUP(C:C,[1]基础信息!B$1:F$65536,5,0)</f>
        <v xml:space="preserve"> lime</v>
      </c>
    </row>
    <row r="2765" spans="1:40">
      <c r="A2765" s="1" t="s">
        <v>41</v>
      </c>
      <c r="B2765" s="1" t="s">
        <v>42</v>
      </c>
      <c r="C2765" s="1" t="s">
        <v>3971</v>
      </c>
      <c r="D2765" s="1" t="s">
        <v>3972</v>
      </c>
      <c r="E2765" s="1" t="s">
        <v>45</v>
      </c>
      <c r="F2765" s="1" t="s">
        <v>6312</v>
      </c>
      <c r="G2765" s="1" t="s">
        <v>6355</v>
      </c>
      <c r="H2765" s="1" t="s">
        <v>6356</v>
      </c>
      <c r="I2765" s="1" t="s">
        <v>49</v>
      </c>
      <c r="J2765" s="1" t="s">
        <v>48</v>
      </c>
      <c r="K2765" s="1">
        <v>96</v>
      </c>
      <c r="L2765" s="1">
        <v>0</v>
      </c>
      <c r="M2765" s="1">
        <v>0</v>
      </c>
      <c r="N2765" s="1">
        <v>96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 t="s">
        <v>49</v>
      </c>
      <c r="AA2765" s="1" t="s">
        <v>49</v>
      </c>
      <c r="AB2765" s="1" t="s">
        <v>49</v>
      </c>
      <c r="AC2765" s="1" t="s">
        <v>1330</v>
      </c>
      <c r="AD2765" s="1" t="s">
        <v>1331</v>
      </c>
      <c r="AE2765" s="1" t="s">
        <v>3719</v>
      </c>
      <c r="AF2765" s="1" t="s">
        <v>6315</v>
      </c>
      <c r="AG2765" s="1" t="s">
        <v>53</v>
      </c>
      <c r="AH2765" s="1" t="s">
        <v>49</v>
      </c>
      <c r="AI2765" s="1" t="s">
        <v>54</v>
      </c>
      <c r="AJ2765" s="1">
        <v>1</v>
      </c>
      <c r="AK2765" s="1" t="str">
        <f t="shared" si="43"/>
        <v xml:space="preserve"> =&lt;90</v>
      </c>
      <c r="AL2765" s="1" t="str">
        <f>VLOOKUP(C:C,[1]基础信息!B$1:D$65536,3,0)</f>
        <v>Jug</v>
      </c>
      <c r="AM2765" s="1" t="str">
        <f>VLOOKUP(C:C,[1]基础信息!B$1:E$65536,4,0)</f>
        <v>Mxplus</v>
      </c>
      <c r="AN2765" s="1" t="str">
        <f>VLOOKUP(C:C,[1]基础信息!B$1:F$65536,5,0)</f>
        <v xml:space="preserve"> lime</v>
      </c>
    </row>
    <row r="2766" spans="1:40">
      <c r="A2766" s="1" t="s">
        <v>41</v>
      </c>
      <c r="B2766" s="1" t="s">
        <v>42</v>
      </c>
      <c r="C2766" s="1" t="s">
        <v>3971</v>
      </c>
      <c r="D2766" s="1" t="s">
        <v>3972</v>
      </c>
      <c r="E2766" s="1" t="s">
        <v>45</v>
      </c>
      <c r="F2766" s="1" t="s">
        <v>6312</v>
      </c>
      <c r="G2766" s="1" t="s">
        <v>6357</v>
      </c>
      <c r="H2766" s="1" t="s">
        <v>6358</v>
      </c>
      <c r="I2766" s="1" t="s">
        <v>49</v>
      </c>
      <c r="J2766" s="1" t="s">
        <v>48</v>
      </c>
      <c r="K2766" s="1">
        <v>96</v>
      </c>
      <c r="L2766" s="1">
        <v>0</v>
      </c>
      <c r="M2766" s="1">
        <v>0</v>
      </c>
      <c r="N2766" s="1">
        <v>96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 t="s">
        <v>49</v>
      </c>
      <c r="AA2766" s="1" t="s">
        <v>49</v>
      </c>
      <c r="AB2766" s="1" t="s">
        <v>49</v>
      </c>
      <c r="AC2766" s="1" t="s">
        <v>1330</v>
      </c>
      <c r="AD2766" s="1" t="s">
        <v>1331</v>
      </c>
      <c r="AE2766" s="1" t="s">
        <v>3719</v>
      </c>
      <c r="AF2766" s="1" t="s">
        <v>6315</v>
      </c>
      <c r="AG2766" s="1" t="s">
        <v>53</v>
      </c>
      <c r="AH2766" s="1" t="s">
        <v>49</v>
      </c>
      <c r="AI2766" s="1" t="s">
        <v>54</v>
      </c>
      <c r="AJ2766" s="1">
        <v>1</v>
      </c>
      <c r="AK2766" s="1" t="str">
        <f t="shared" si="43"/>
        <v xml:space="preserve"> =&lt;90</v>
      </c>
      <c r="AL2766" s="1" t="str">
        <f>VLOOKUP(C:C,[1]基础信息!B$1:D$65536,3,0)</f>
        <v>Jug</v>
      </c>
      <c r="AM2766" s="1" t="str">
        <f>VLOOKUP(C:C,[1]基础信息!B$1:E$65536,4,0)</f>
        <v>Mxplus</v>
      </c>
      <c r="AN2766" s="1" t="str">
        <f>VLOOKUP(C:C,[1]基础信息!B$1:F$65536,5,0)</f>
        <v xml:space="preserve"> lime</v>
      </c>
    </row>
    <row r="2767" spans="1:40">
      <c r="A2767" s="1" t="s">
        <v>41</v>
      </c>
      <c r="B2767" s="1" t="s">
        <v>42</v>
      </c>
      <c r="C2767" s="1" t="s">
        <v>3971</v>
      </c>
      <c r="D2767" s="1" t="s">
        <v>3972</v>
      </c>
      <c r="E2767" s="1" t="s">
        <v>45</v>
      </c>
      <c r="F2767" s="1" t="s">
        <v>6312</v>
      </c>
      <c r="G2767" s="1" t="s">
        <v>6359</v>
      </c>
      <c r="H2767" s="1" t="s">
        <v>6360</v>
      </c>
      <c r="I2767" s="1" t="s">
        <v>49</v>
      </c>
      <c r="J2767" s="1" t="s">
        <v>48</v>
      </c>
      <c r="K2767" s="1">
        <v>96</v>
      </c>
      <c r="L2767" s="1">
        <v>0</v>
      </c>
      <c r="M2767" s="1">
        <v>0</v>
      </c>
      <c r="N2767" s="1">
        <v>96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 t="s">
        <v>49</v>
      </c>
      <c r="AA2767" s="1" t="s">
        <v>49</v>
      </c>
      <c r="AB2767" s="1" t="s">
        <v>49</v>
      </c>
      <c r="AC2767" s="1" t="s">
        <v>1330</v>
      </c>
      <c r="AD2767" s="1" t="s">
        <v>1331</v>
      </c>
      <c r="AE2767" s="1" t="s">
        <v>3719</v>
      </c>
      <c r="AF2767" s="1" t="s">
        <v>6315</v>
      </c>
      <c r="AG2767" s="1" t="s">
        <v>53</v>
      </c>
      <c r="AH2767" s="1" t="s">
        <v>49</v>
      </c>
      <c r="AI2767" s="1" t="s">
        <v>54</v>
      </c>
      <c r="AJ2767" s="1">
        <v>1</v>
      </c>
      <c r="AK2767" s="1" t="str">
        <f t="shared" si="43"/>
        <v xml:space="preserve"> =&lt;90</v>
      </c>
      <c r="AL2767" s="1" t="str">
        <f>VLOOKUP(C:C,[1]基础信息!B$1:D$65536,3,0)</f>
        <v>Jug</v>
      </c>
      <c r="AM2767" s="1" t="str">
        <f>VLOOKUP(C:C,[1]基础信息!B$1:E$65536,4,0)</f>
        <v>Mxplus</v>
      </c>
      <c r="AN2767" s="1" t="str">
        <f>VLOOKUP(C:C,[1]基础信息!B$1:F$65536,5,0)</f>
        <v xml:space="preserve"> lime</v>
      </c>
    </row>
    <row r="2768" spans="1:40">
      <c r="A2768" s="1" t="s">
        <v>41</v>
      </c>
      <c r="B2768" s="1" t="s">
        <v>42</v>
      </c>
      <c r="C2768" s="1" t="s">
        <v>3971</v>
      </c>
      <c r="D2768" s="1" t="s">
        <v>3972</v>
      </c>
      <c r="E2768" s="1" t="s">
        <v>45</v>
      </c>
      <c r="F2768" s="1" t="s">
        <v>6312</v>
      </c>
      <c r="G2768" s="1" t="s">
        <v>6361</v>
      </c>
      <c r="H2768" s="1" t="s">
        <v>6362</v>
      </c>
      <c r="I2768" s="1" t="s">
        <v>49</v>
      </c>
      <c r="J2768" s="1" t="s">
        <v>48</v>
      </c>
      <c r="K2768" s="1">
        <v>96</v>
      </c>
      <c r="L2768" s="1">
        <v>0</v>
      </c>
      <c r="M2768" s="1">
        <v>0</v>
      </c>
      <c r="N2768" s="1">
        <v>96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 t="s">
        <v>49</v>
      </c>
      <c r="AA2768" s="1" t="s">
        <v>49</v>
      </c>
      <c r="AB2768" s="1" t="s">
        <v>49</v>
      </c>
      <c r="AC2768" s="1" t="s">
        <v>1330</v>
      </c>
      <c r="AD2768" s="1" t="s">
        <v>1331</v>
      </c>
      <c r="AE2768" s="1" t="s">
        <v>3719</v>
      </c>
      <c r="AF2768" s="1" t="s">
        <v>6315</v>
      </c>
      <c r="AG2768" s="1" t="s">
        <v>53</v>
      </c>
      <c r="AH2768" s="1" t="s">
        <v>49</v>
      </c>
      <c r="AI2768" s="1" t="s">
        <v>54</v>
      </c>
      <c r="AJ2768" s="1">
        <v>1</v>
      </c>
      <c r="AK2768" s="1" t="str">
        <f t="shared" si="43"/>
        <v xml:space="preserve"> =&lt;90</v>
      </c>
      <c r="AL2768" s="1" t="str">
        <f>VLOOKUP(C:C,[1]基础信息!B$1:D$65536,3,0)</f>
        <v>Jug</v>
      </c>
      <c r="AM2768" s="1" t="str">
        <f>VLOOKUP(C:C,[1]基础信息!B$1:E$65536,4,0)</f>
        <v>Mxplus</v>
      </c>
      <c r="AN2768" s="1" t="str">
        <f>VLOOKUP(C:C,[1]基础信息!B$1:F$65536,5,0)</f>
        <v xml:space="preserve"> lime</v>
      </c>
    </row>
    <row r="2769" spans="1:40">
      <c r="A2769" s="1" t="s">
        <v>41</v>
      </c>
      <c r="B2769" s="1" t="s">
        <v>42</v>
      </c>
      <c r="C2769" s="1" t="s">
        <v>3971</v>
      </c>
      <c r="D2769" s="1" t="s">
        <v>3972</v>
      </c>
      <c r="E2769" s="1" t="s">
        <v>45</v>
      </c>
      <c r="F2769" s="1" t="s">
        <v>6312</v>
      </c>
      <c r="G2769" s="1" t="s">
        <v>6363</v>
      </c>
      <c r="H2769" s="1" t="s">
        <v>6364</v>
      </c>
      <c r="I2769" s="1" t="s">
        <v>49</v>
      </c>
      <c r="J2769" s="1" t="s">
        <v>48</v>
      </c>
      <c r="K2769" s="1">
        <v>96</v>
      </c>
      <c r="L2769" s="1">
        <v>0</v>
      </c>
      <c r="M2769" s="1">
        <v>0</v>
      </c>
      <c r="N2769" s="1">
        <v>96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 t="s">
        <v>49</v>
      </c>
      <c r="AA2769" s="1" t="s">
        <v>49</v>
      </c>
      <c r="AB2769" s="1" t="s">
        <v>49</v>
      </c>
      <c r="AC2769" s="1" t="s">
        <v>1330</v>
      </c>
      <c r="AD2769" s="1" t="s">
        <v>1331</v>
      </c>
      <c r="AE2769" s="1" t="s">
        <v>3719</v>
      </c>
      <c r="AF2769" s="1" t="s">
        <v>6315</v>
      </c>
      <c r="AG2769" s="1" t="s">
        <v>53</v>
      </c>
      <c r="AH2769" s="1" t="s">
        <v>49</v>
      </c>
      <c r="AI2769" s="1" t="s">
        <v>54</v>
      </c>
      <c r="AJ2769" s="1">
        <v>1</v>
      </c>
      <c r="AK2769" s="1" t="str">
        <f t="shared" si="43"/>
        <v xml:space="preserve"> =&lt;90</v>
      </c>
      <c r="AL2769" s="1" t="str">
        <f>VLOOKUP(C:C,[1]基础信息!B$1:D$65536,3,0)</f>
        <v>Jug</v>
      </c>
      <c r="AM2769" s="1" t="str">
        <f>VLOOKUP(C:C,[1]基础信息!B$1:E$65536,4,0)</f>
        <v>Mxplus</v>
      </c>
      <c r="AN2769" s="1" t="str">
        <f>VLOOKUP(C:C,[1]基础信息!B$1:F$65536,5,0)</f>
        <v xml:space="preserve"> lime</v>
      </c>
    </row>
    <row r="2770" spans="1:40">
      <c r="A2770" s="1" t="s">
        <v>41</v>
      </c>
      <c r="B2770" s="1" t="s">
        <v>42</v>
      </c>
      <c r="C2770" s="1" t="s">
        <v>3512</v>
      </c>
      <c r="D2770" s="1" t="s">
        <v>3513</v>
      </c>
      <c r="E2770" s="1" t="s">
        <v>45</v>
      </c>
      <c r="F2770" s="1" t="s">
        <v>5145</v>
      </c>
      <c r="G2770" s="1" t="s">
        <v>6365</v>
      </c>
      <c r="H2770" s="1" t="s">
        <v>6366</v>
      </c>
      <c r="I2770" s="1" t="s">
        <v>49</v>
      </c>
      <c r="J2770" s="1" t="s">
        <v>48</v>
      </c>
      <c r="K2770" s="1">
        <v>840</v>
      </c>
      <c r="L2770" s="1">
        <v>0</v>
      </c>
      <c r="M2770" s="1">
        <v>0</v>
      </c>
      <c r="N2770" s="1">
        <v>840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 t="s">
        <v>49</v>
      </c>
      <c r="AA2770" s="1" t="s">
        <v>49</v>
      </c>
      <c r="AB2770" s="1" t="s">
        <v>49</v>
      </c>
      <c r="AC2770" s="1" t="s">
        <v>144</v>
      </c>
      <c r="AD2770" s="1" t="s">
        <v>145</v>
      </c>
      <c r="AE2770" s="1" t="s">
        <v>144</v>
      </c>
      <c r="AF2770" s="1" t="s">
        <v>5148</v>
      </c>
      <c r="AG2770" s="1" t="s">
        <v>53</v>
      </c>
      <c r="AH2770" s="1" t="s">
        <v>49</v>
      </c>
      <c r="AI2770" s="1" t="s">
        <v>54</v>
      </c>
      <c r="AJ2770" s="1">
        <v>1</v>
      </c>
      <c r="AK2770" s="1" t="str">
        <f t="shared" si="43"/>
        <v xml:space="preserve"> =&lt;90</v>
      </c>
      <c r="AL2770" s="1" t="str">
        <f>VLOOKUP(C:C,[1]基础信息!B$1:D$65536,3,0)</f>
        <v xml:space="preserve">Cartridge </v>
      </c>
      <c r="AM2770" s="1" t="str">
        <f>VLOOKUP(C:C,[1]基础信息!B$1:E$65536,4,0)</f>
        <v>UNIV</v>
      </c>
      <c r="AN2770" s="1" t="str">
        <f>VLOOKUP(C:C,[1]基础信息!B$1:F$65536,5,0)</f>
        <v>P3</v>
      </c>
    </row>
    <row r="2771" spans="1:40">
      <c r="A2771" s="1" t="s">
        <v>41</v>
      </c>
      <c r="B2771" s="1" t="s">
        <v>42</v>
      </c>
      <c r="C2771" s="1" t="s">
        <v>3971</v>
      </c>
      <c r="D2771" s="1" t="s">
        <v>3972</v>
      </c>
      <c r="E2771" s="1" t="s">
        <v>45</v>
      </c>
      <c r="F2771" s="1" t="s">
        <v>6312</v>
      </c>
      <c r="G2771" s="1" t="s">
        <v>6367</v>
      </c>
      <c r="H2771" s="1" t="s">
        <v>6368</v>
      </c>
      <c r="I2771" s="1" t="s">
        <v>49</v>
      </c>
      <c r="J2771" s="1" t="s">
        <v>48</v>
      </c>
      <c r="K2771" s="1">
        <v>96</v>
      </c>
      <c r="L2771" s="1">
        <v>0</v>
      </c>
      <c r="M2771" s="1">
        <v>0</v>
      </c>
      <c r="N2771" s="1">
        <v>96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 t="s">
        <v>49</v>
      </c>
      <c r="AA2771" s="1" t="s">
        <v>49</v>
      </c>
      <c r="AB2771" s="1" t="s">
        <v>49</v>
      </c>
      <c r="AC2771" s="1" t="s">
        <v>1330</v>
      </c>
      <c r="AD2771" s="1" t="s">
        <v>1331</v>
      </c>
      <c r="AE2771" s="1" t="s">
        <v>3719</v>
      </c>
      <c r="AF2771" s="1" t="s">
        <v>6315</v>
      </c>
      <c r="AG2771" s="1" t="s">
        <v>53</v>
      </c>
      <c r="AH2771" s="1" t="s">
        <v>49</v>
      </c>
      <c r="AI2771" s="1" t="s">
        <v>54</v>
      </c>
      <c r="AJ2771" s="1">
        <v>1</v>
      </c>
      <c r="AK2771" s="1" t="str">
        <f t="shared" si="43"/>
        <v xml:space="preserve"> =&lt;90</v>
      </c>
      <c r="AL2771" s="1" t="str">
        <f>VLOOKUP(C:C,[1]基础信息!B$1:D$65536,3,0)</f>
        <v>Jug</v>
      </c>
      <c r="AM2771" s="1" t="str">
        <f>VLOOKUP(C:C,[1]基础信息!B$1:E$65536,4,0)</f>
        <v>Mxplus</v>
      </c>
      <c r="AN2771" s="1" t="str">
        <f>VLOOKUP(C:C,[1]基础信息!B$1:F$65536,5,0)</f>
        <v xml:space="preserve"> lime</v>
      </c>
    </row>
    <row r="2772" spans="1:40">
      <c r="A2772" s="1" t="s">
        <v>41</v>
      </c>
      <c r="B2772" s="1" t="s">
        <v>42</v>
      </c>
      <c r="C2772" s="1" t="s">
        <v>3971</v>
      </c>
      <c r="D2772" s="1" t="s">
        <v>3972</v>
      </c>
      <c r="E2772" s="1" t="s">
        <v>45</v>
      </c>
      <c r="F2772" s="1" t="s">
        <v>6312</v>
      </c>
      <c r="G2772" s="1" t="s">
        <v>6369</v>
      </c>
      <c r="H2772" s="1" t="s">
        <v>6370</v>
      </c>
      <c r="I2772" s="1" t="s">
        <v>49</v>
      </c>
      <c r="J2772" s="1" t="s">
        <v>48</v>
      </c>
      <c r="K2772" s="1">
        <v>96</v>
      </c>
      <c r="L2772" s="1">
        <v>0</v>
      </c>
      <c r="M2772" s="1">
        <v>0</v>
      </c>
      <c r="N2772" s="1">
        <v>96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 t="s">
        <v>49</v>
      </c>
      <c r="AA2772" s="1" t="s">
        <v>49</v>
      </c>
      <c r="AB2772" s="1" t="s">
        <v>49</v>
      </c>
      <c r="AC2772" s="1" t="s">
        <v>1330</v>
      </c>
      <c r="AD2772" s="1" t="s">
        <v>1331</v>
      </c>
      <c r="AE2772" s="1" t="s">
        <v>3719</v>
      </c>
      <c r="AF2772" s="1" t="s">
        <v>6315</v>
      </c>
      <c r="AG2772" s="1" t="s">
        <v>53</v>
      </c>
      <c r="AH2772" s="1" t="s">
        <v>49</v>
      </c>
      <c r="AI2772" s="1" t="s">
        <v>54</v>
      </c>
      <c r="AJ2772" s="1">
        <v>1</v>
      </c>
      <c r="AK2772" s="1" t="str">
        <f t="shared" si="43"/>
        <v xml:space="preserve"> =&lt;90</v>
      </c>
      <c r="AL2772" s="1" t="str">
        <f>VLOOKUP(C:C,[1]基础信息!B$1:D$65536,3,0)</f>
        <v>Jug</v>
      </c>
      <c r="AM2772" s="1" t="str">
        <f>VLOOKUP(C:C,[1]基础信息!B$1:E$65536,4,0)</f>
        <v>Mxplus</v>
      </c>
      <c r="AN2772" s="1" t="str">
        <f>VLOOKUP(C:C,[1]基础信息!B$1:F$65536,5,0)</f>
        <v xml:space="preserve"> lime</v>
      </c>
    </row>
    <row r="2773" spans="1:40">
      <c r="A2773" s="1" t="s">
        <v>41</v>
      </c>
      <c r="B2773" s="1" t="s">
        <v>42</v>
      </c>
      <c r="C2773" s="1" t="s">
        <v>3971</v>
      </c>
      <c r="D2773" s="1" t="s">
        <v>3972</v>
      </c>
      <c r="E2773" s="1" t="s">
        <v>45</v>
      </c>
      <c r="F2773" s="1" t="s">
        <v>6312</v>
      </c>
      <c r="G2773" s="1" t="s">
        <v>6371</v>
      </c>
      <c r="H2773" s="1" t="s">
        <v>6372</v>
      </c>
      <c r="I2773" s="1" t="s">
        <v>49</v>
      </c>
      <c r="J2773" s="1" t="s">
        <v>48</v>
      </c>
      <c r="K2773" s="1">
        <v>96</v>
      </c>
      <c r="L2773" s="1">
        <v>0</v>
      </c>
      <c r="M2773" s="1">
        <v>0</v>
      </c>
      <c r="N2773" s="1">
        <v>96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 t="s">
        <v>49</v>
      </c>
      <c r="AA2773" s="1" t="s">
        <v>49</v>
      </c>
      <c r="AB2773" s="1" t="s">
        <v>49</v>
      </c>
      <c r="AC2773" s="1" t="s">
        <v>1330</v>
      </c>
      <c r="AD2773" s="1" t="s">
        <v>1331</v>
      </c>
      <c r="AE2773" s="1" t="s">
        <v>3719</v>
      </c>
      <c r="AF2773" s="1" t="s">
        <v>6315</v>
      </c>
      <c r="AG2773" s="1" t="s">
        <v>53</v>
      </c>
      <c r="AH2773" s="1" t="s">
        <v>49</v>
      </c>
      <c r="AI2773" s="1" t="s">
        <v>54</v>
      </c>
      <c r="AJ2773" s="1">
        <v>1</v>
      </c>
      <c r="AK2773" s="1" t="str">
        <f t="shared" si="43"/>
        <v xml:space="preserve"> =&lt;90</v>
      </c>
      <c r="AL2773" s="1" t="str">
        <f>VLOOKUP(C:C,[1]基础信息!B$1:D$65536,3,0)</f>
        <v>Jug</v>
      </c>
      <c r="AM2773" s="1" t="str">
        <f>VLOOKUP(C:C,[1]基础信息!B$1:E$65536,4,0)</f>
        <v>Mxplus</v>
      </c>
      <c r="AN2773" s="1" t="str">
        <f>VLOOKUP(C:C,[1]基础信息!B$1:F$65536,5,0)</f>
        <v xml:space="preserve"> lime</v>
      </c>
    </row>
    <row r="2774" spans="1:40">
      <c r="A2774" s="1" t="s">
        <v>41</v>
      </c>
      <c r="B2774" s="1" t="s">
        <v>42</v>
      </c>
      <c r="C2774" s="1" t="s">
        <v>5254</v>
      </c>
      <c r="D2774" s="1" t="s">
        <v>5255</v>
      </c>
      <c r="E2774" s="1" t="s">
        <v>45</v>
      </c>
      <c r="F2774" s="1" t="s">
        <v>6316</v>
      </c>
      <c r="G2774" s="1" t="s">
        <v>6373</v>
      </c>
      <c r="H2774" s="1" t="s">
        <v>6374</v>
      </c>
      <c r="I2774" s="1" t="s">
        <v>49</v>
      </c>
      <c r="J2774" s="1" t="s">
        <v>48</v>
      </c>
      <c r="K2774" s="1">
        <v>2200</v>
      </c>
      <c r="L2774" s="1">
        <v>0</v>
      </c>
      <c r="M2774" s="1">
        <v>0</v>
      </c>
      <c r="N2774" s="1">
        <v>2200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 t="s">
        <v>49</v>
      </c>
      <c r="AA2774" s="1" t="s">
        <v>49</v>
      </c>
      <c r="AB2774" s="1" t="s">
        <v>49</v>
      </c>
      <c r="AC2774" s="1" t="s">
        <v>6246</v>
      </c>
      <c r="AD2774" s="1" t="s">
        <v>6247</v>
      </c>
      <c r="AE2774" s="1" t="s">
        <v>6246</v>
      </c>
      <c r="AF2774" s="1" t="s">
        <v>5508</v>
      </c>
      <c r="AG2774" s="1" t="s">
        <v>53</v>
      </c>
      <c r="AH2774" s="1" t="s">
        <v>49</v>
      </c>
      <c r="AI2774" s="1" t="s">
        <v>54</v>
      </c>
      <c r="AJ2774" s="1">
        <v>1</v>
      </c>
      <c r="AK2774" s="1" t="str">
        <f t="shared" si="43"/>
        <v xml:space="preserve"> =&lt;90</v>
      </c>
      <c r="AL2774" s="1" t="str">
        <f>VLOOKUP(C:C,[1]基础信息!B$1:D$65536,3,0)</f>
        <v xml:space="preserve">Cartridge </v>
      </c>
      <c r="AM2774" s="1" t="str">
        <f>VLOOKUP(C:C,[1]基础信息!B$1:E$65536,4,0)</f>
        <v>UNIV</v>
      </c>
      <c r="AN2774" s="1" t="str">
        <f>VLOOKUP(C:C,[1]基础信息!B$1:F$65536,5,0)</f>
        <v>P55</v>
      </c>
    </row>
    <row r="2775" spans="1:40">
      <c r="A2775" s="1" t="s">
        <v>41</v>
      </c>
      <c r="B2775" s="1" t="s">
        <v>42</v>
      </c>
      <c r="C2775" s="1" t="s">
        <v>3971</v>
      </c>
      <c r="D2775" s="1" t="s">
        <v>3972</v>
      </c>
      <c r="E2775" s="1" t="s">
        <v>45</v>
      </c>
      <c r="F2775" s="1" t="s">
        <v>6312</v>
      </c>
      <c r="G2775" s="1" t="s">
        <v>6375</v>
      </c>
      <c r="H2775" s="1" t="s">
        <v>6376</v>
      </c>
      <c r="I2775" s="1" t="s">
        <v>49</v>
      </c>
      <c r="J2775" s="1" t="s">
        <v>48</v>
      </c>
      <c r="K2775" s="1">
        <v>96</v>
      </c>
      <c r="L2775" s="1">
        <v>0</v>
      </c>
      <c r="M2775" s="1">
        <v>0</v>
      </c>
      <c r="N2775" s="1">
        <v>96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 t="s">
        <v>49</v>
      </c>
      <c r="AA2775" s="1" t="s">
        <v>49</v>
      </c>
      <c r="AB2775" s="1" t="s">
        <v>49</v>
      </c>
      <c r="AC2775" s="1" t="s">
        <v>1330</v>
      </c>
      <c r="AD2775" s="1" t="s">
        <v>1331</v>
      </c>
      <c r="AE2775" s="1" t="s">
        <v>3719</v>
      </c>
      <c r="AF2775" s="1" t="s">
        <v>6315</v>
      </c>
      <c r="AG2775" s="1" t="s">
        <v>53</v>
      </c>
      <c r="AH2775" s="1" t="s">
        <v>49</v>
      </c>
      <c r="AI2775" s="1" t="s">
        <v>54</v>
      </c>
      <c r="AJ2775" s="1">
        <v>1</v>
      </c>
      <c r="AK2775" s="1" t="str">
        <f t="shared" si="43"/>
        <v xml:space="preserve"> =&lt;90</v>
      </c>
      <c r="AL2775" s="1" t="str">
        <f>VLOOKUP(C:C,[1]基础信息!B$1:D$65536,3,0)</f>
        <v>Jug</v>
      </c>
      <c r="AM2775" s="1" t="str">
        <f>VLOOKUP(C:C,[1]基础信息!B$1:E$65536,4,0)</f>
        <v>Mxplus</v>
      </c>
      <c r="AN2775" s="1" t="str">
        <f>VLOOKUP(C:C,[1]基础信息!B$1:F$65536,5,0)</f>
        <v xml:space="preserve"> lime</v>
      </c>
    </row>
    <row r="2776" spans="1:40">
      <c r="A2776" s="1" t="s">
        <v>41</v>
      </c>
      <c r="B2776" s="1" t="s">
        <v>42</v>
      </c>
      <c r="C2776" s="1" t="s">
        <v>5254</v>
      </c>
      <c r="D2776" s="1" t="s">
        <v>5255</v>
      </c>
      <c r="E2776" s="1" t="s">
        <v>45</v>
      </c>
      <c r="F2776" s="1" t="s">
        <v>6316</v>
      </c>
      <c r="G2776" s="1" t="s">
        <v>6377</v>
      </c>
      <c r="H2776" s="1" t="s">
        <v>6378</v>
      </c>
      <c r="I2776" s="1" t="s">
        <v>49</v>
      </c>
      <c r="J2776" s="1" t="s">
        <v>48</v>
      </c>
      <c r="K2776" s="1">
        <v>1870</v>
      </c>
      <c r="L2776" s="1">
        <v>0</v>
      </c>
      <c r="M2776" s="1">
        <v>0</v>
      </c>
      <c r="N2776" s="1">
        <v>1870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 t="s">
        <v>49</v>
      </c>
      <c r="AA2776" s="1" t="s">
        <v>49</v>
      </c>
      <c r="AB2776" s="1" t="s">
        <v>49</v>
      </c>
      <c r="AC2776" s="1" t="s">
        <v>6246</v>
      </c>
      <c r="AD2776" s="1" t="s">
        <v>6247</v>
      </c>
      <c r="AE2776" s="1" t="s">
        <v>6246</v>
      </c>
      <c r="AF2776" s="1" t="s">
        <v>5508</v>
      </c>
      <c r="AG2776" s="1" t="s">
        <v>53</v>
      </c>
      <c r="AH2776" s="1" t="s">
        <v>49</v>
      </c>
      <c r="AI2776" s="1" t="s">
        <v>54</v>
      </c>
      <c r="AJ2776" s="1">
        <v>1</v>
      </c>
      <c r="AK2776" s="1" t="str">
        <f t="shared" si="43"/>
        <v xml:space="preserve"> =&lt;90</v>
      </c>
      <c r="AL2776" s="1" t="str">
        <f>VLOOKUP(C:C,[1]基础信息!B$1:D$65536,3,0)</f>
        <v xml:space="preserve">Cartridge </v>
      </c>
      <c r="AM2776" s="1" t="str">
        <f>VLOOKUP(C:C,[1]基础信息!B$1:E$65536,4,0)</f>
        <v>UNIV</v>
      </c>
      <c r="AN2776" s="1" t="str">
        <f>VLOOKUP(C:C,[1]基础信息!B$1:F$65536,5,0)</f>
        <v>P55</v>
      </c>
    </row>
    <row r="2777" spans="1:40">
      <c r="A2777" s="1" t="s">
        <v>41</v>
      </c>
      <c r="B2777" s="1" t="s">
        <v>42</v>
      </c>
      <c r="C2777" s="1" t="s">
        <v>3971</v>
      </c>
      <c r="D2777" s="1" t="s">
        <v>3972</v>
      </c>
      <c r="E2777" s="1" t="s">
        <v>45</v>
      </c>
      <c r="F2777" s="1" t="s">
        <v>6312</v>
      </c>
      <c r="G2777" s="1" t="s">
        <v>6379</v>
      </c>
      <c r="H2777" s="1" t="s">
        <v>6380</v>
      </c>
      <c r="I2777" s="1" t="s">
        <v>49</v>
      </c>
      <c r="J2777" s="1" t="s">
        <v>48</v>
      </c>
      <c r="K2777" s="1">
        <v>96</v>
      </c>
      <c r="L2777" s="1">
        <v>0</v>
      </c>
      <c r="M2777" s="1">
        <v>0</v>
      </c>
      <c r="N2777" s="1">
        <v>96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 t="s">
        <v>49</v>
      </c>
      <c r="AA2777" s="1" t="s">
        <v>49</v>
      </c>
      <c r="AB2777" s="1" t="s">
        <v>49</v>
      </c>
      <c r="AC2777" s="1" t="s">
        <v>1330</v>
      </c>
      <c r="AD2777" s="1" t="s">
        <v>1331</v>
      </c>
      <c r="AE2777" s="1" t="s">
        <v>3719</v>
      </c>
      <c r="AF2777" s="1" t="s">
        <v>6315</v>
      </c>
      <c r="AG2777" s="1" t="s">
        <v>53</v>
      </c>
      <c r="AH2777" s="1" t="s">
        <v>49</v>
      </c>
      <c r="AI2777" s="1" t="s">
        <v>54</v>
      </c>
      <c r="AJ2777" s="1">
        <v>1</v>
      </c>
      <c r="AK2777" s="1" t="str">
        <f t="shared" si="43"/>
        <v xml:space="preserve"> =&lt;90</v>
      </c>
      <c r="AL2777" s="1" t="str">
        <f>VLOOKUP(C:C,[1]基础信息!B$1:D$65536,3,0)</f>
        <v>Jug</v>
      </c>
      <c r="AM2777" s="1" t="str">
        <f>VLOOKUP(C:C,[1]基础信息!B$1:E$65536,4,0)</f>
        <v>Mxplus</v>
      </c>
      <c r="AN2777" s="1" t="str">
        <f>VLOOKUP(C:C,[1]基础信息!B$1:F$65536,5,0)</f>
        <v xml:space="preserve"> lime</v>
      </c>
    </row>
    <row r="2778" spans="1:40">
      <c r="A2778" s="1" t="s">
        <v>41</v>
      </c>
      <c r="B2778" s="1" t="s">
        <v>42</v>
      </c>
      <c r="C2778" s="1" t="s">
        <v>3971</v>
      </c>
      <c r="D2778" s="1" t="s">
        <v>3972</v>
      </c>
      <c r="E2778" s="1" t="s">
        <v>45</v>
      </c>
      <c r="F2778" s="1" t="s">
        <v>6312</v>
      </c>
      <c r="G2778" s="1" t="s">
        <v>6381</v>
      </c>
      <c r="H2778" s="1" t="s">
        <v>6382</v>
      </c>
      <c r="I2778" s="1" t="s">
        <v>49</v>
      </c>
      <c r="J2778" s="1" t="s">
        <v>48</v>
      </c>
      <c r="K2778" s="1">
        <v>96</v>
      </c>
      <c r="L2778" s="1">
        <v>0</v>
      </c>
      <c r="M2778" s="1">
        <v>0</v>
      </c>
      <c r="N2778" s="1">
        <v>96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 t="s">
        <v>49</v>
      </c>
      <c r="AA2778" s="1" t="s">
        <v>49</v>
      </c>
      <c r="AB2778" s="1" t="s">
        <v>49</v>
      </c>
      <c r="AC2778" s="1" t="s">
        <v>1330</v>
      </c>
      <c r="AD2778" s="1" t="s">
        <v>1331</v>
      </c>
      <c r="AE2778" s="1" t="s">
        <v>3719</v>
      </c>
      <c r="AF2778" s="1" t="s">
        <v>6315</v>
      </c>
      <c r="AG2778" s="1" t="s">
        <v>53</v>
      </c>
      <c r="AH2778" s="1" t="s">
        <v>49</v>
      </c>
      <c r="AI2778" s="1" t="s">
        <v>54</v>
      </c>
      <c r="AJ2778" s="1">
        <v>1</v>
      </c>
      <c r="AK2778" s="1" t="str">
        <f t="shared" si="43"/>
        <v xml:space="preserve"> =&lt;90</v>
      </c>
      <c r="AL2778" s="1" t="str">
        <f>VLOOKUP(C:C,[1]基础信息!B$1:D$65536,3,0)</f>
        <v>Jug</v>
      </c>
      <c r="AM2778" s="1" t="str">
        <f>VLOOKUP(C:C,[1]基础信息!B$1:E$65536,4,0)</f>
        <v>Mxplus</v>
      </c>
      <c r="AN2778" s="1" t="str">
        <f>VLOOKUP(C:C,[1]基础信息!B$1:F$65536,5,0)</f>
        <v xml:space="preserve"> lime</v>
      </c>
    </row>
    <row r="2779" spans="1:40">
      <c r="A2779" s="1" t="s">
        <v>41</v>
      </c>
      <c r="B2779" s="1" t="s">
        <v>42</v>
      </c>
      <c r="C2779" s="1" t="s">
        <v>3512</v>
      </c>
      <c r="D2779" s="1" t="s">
        <v>3513</v>
      </c>
      <c r="E2779" s="1" t="s">
        <v>45</v>
      </c>
      <c r="F2779" s="1" t="s">
        <v>5145</v>
      </c>
      <c r="G2779" s="1" t="s">
        <v>6383</v>
      </c>
      <c r="H2779" s="1" t="s">
        <v>6384</v>
      </c>
      <c r="I2779" s="1" t="s">
        <v>49</v>
      </c>
      <c r="J2779" s="1" t="s">
        <v>48</v>
      </c>
      <c r="K2779" s="1">
        <v>840</v>
      </c>
      <c r="L2779" s="1">
        <v>0</v>
      </c>
      <c r="M2779" s="1">
        <v>0</v>
      </c>
      <c r="N2779" s="1">
        <v>840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 t="s">
        <v>49</v>
      </c>
      <c r="AA2779" s="1" t="s">
        <v>49</v>
      </c>
      <c r="AB2779" s="1" t="s">
        <v>49</v>
      </c>
      <c r="AC2779" s="1" t="s">
        <v>144</v>
      </c>
      <c r="AD2779" s="1" t="s">
        <v>145</v>
      </c>
      <c r="AE2779" s="1" t="s">
        <v>144</v>
      </c>
      <c r="AF2779" s="1" t="s">
        <v>5148</v>
      </c>
      <c r="AG2779" s="1" t="s">
        <v>53</v>
      </c>
      <c r="AH2779" s="1" t="s">
        <v>49</v>
      </c>
      <c r="AI2779" s="1" t="s">
        <v>54</v>
      </c>
      <c r="AJ2779" s="1">
        <v>1</v>
      </c>
      <c r="AK2779" s="1" t="str">
        <f t="shared" si="43"/>
        <v xml:space="preserve"> =&lt;90</v>
      </c>
      <c r="AL2779" s="1" t="str">
        <f>VLOOKUP(C:C,[1]基础信息!B$1:D$65536,3,0)</f>
        <v xml:space="preserve">Cartridge </v>
      </c>
      <c r="AM2779" s="1" t="str">
        <f>VLOOKUP(C:C,[1]基础信息!B$1:E$65536,4,0)</f>
        <v>UNIV</v>
      </c>
      <c r="AN2779" s="1" t="str">
        <f>VLOOKUP(C:C,[1]基础信息!B$1:F$65536,5,0)</f>
        <v>P3</v>
      </c>
    </row>
    <row r="2780" spans="1:40">
      <c r="A2780" s="1" t="s">
        <v>41</v>
      </c>
      <c r="B2780" s="1" t="s">
        <v>42</v>
      </c>
      <c r="C2780" s="1" t="s">
        <v>3512</v>
      </c>
      <c r="D2780" s="1" t="s">
        <v>3513</v>
      </c>
      <c r="E2780" s="1" t="s">
        <v>45</v>
      </c>
      <c r="F2780" s="1" t="s">
        <v>5145</v>
      </c>
      <c r="G2780" s="1" t="s">
        <v>6385</v>
      </c>
      <c r="H2780" s="1" t="s">
        <v>6386</v>
      </c>
      <c r="I2780" s="1" t="s">
        <v>49</v>
      </c>
      <c r="J2780" s="1" t="s">
        <v>48</v>
      </c>
      <c r="K2780" s="1">
        <v>840</v>
      </c>
      <c r="L2780" s="1">
        <v>0</v>
      </c>
      <c r="M2780" s="1">
        <v>0</v>
      </c>
      <c r="N2780" s="1">
        <v>840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 t="s">
        <v>49</v>
      </c>
      <c r="AA2780" s="1" t="s">
        <v>49</v>
      </c>
      <c r="AB2780" s="1" t="s">
        <v>49</v>
      </c>
      <c r="AC2780" s="1" t="s">
        <v>144</v>
      </c>
      <c r="AD2780" s="1" t="s">
        <v>145</v>
      </c>
      <c r="AE2780" s="1" t="s">
        <v>144</v>
      </c>
      <c r="AF2780" s="1" t="s">
        <v>5148</v>
      </c>
      <c r="AG2780" s="1" t="s">
        <v>53</v>
      </c>
      <c r="AH2780" s="1" t="s">
        <v>49</v>
      </c>
      <c r="AI2780" s="1" t="s">
        <v>54</v>
      </c>
      <c r="AJ2780" s="1">
        <v>1</v>
      </c>
      <c r="AK2780" s="1" t="str">
        <f t="shared" si="43"/>
        <v xml:space="preserve"> =&lt;90</v>
      </c>
      <c r="AL2780" s="1" t="str">
        <f>VLOOKUP(C:C,[1]基础信息!B$1:D$65536,3,0)</f>
        <v xml:space="preserve">Cartridge </v>
      </c>
      <c r="AM2780" s="1" t="str">
        <f>VLOOKUP(C:C,[1]基础信息!B$1:E$65536,4,0)</f>
        <v>UNIV</v>
      </c>
      <c r="AN2780" s="1" t="str">
        <f>VLOOKUP(C:C,[1]基础信息!B$1:F$65536,5,0)</f>
        <v>P3</v>
      </c>
    </row>
    <row r="2781" spans="1:40">
      <c r="A2781" s="1" t="s">
        <v>41</v>
      </c>
      <c r="B2781" s="1" t="s">
        <v>42</v>
      </c>
      <c r="C2781" s="1" t="s">
        <v>3512</v>
      </c>
      <c r="D2781" s="1" t="s">
        <v>3513</v>
      </c>
      <c r="E2781" s="1" t="s">
        <v>45</v>
      </c>
      <c r="F2781" s="1" t="s">
        <v>5145</v>
      </c>
      <c r="G2781" s="1" t="s">
        <v>6387</v>
      </c>
      <c r="H2781" s="1" t="s">
        <v>6388</v>
      </c>
      <c r="I2781" s="1" t="s">
        <v>49</v>
      </c>
      <c r="J2781" s="1" t="s">
        <v>48</v>
      </c>
      <c r="K2781" s="1">
        <v>840</v>
      </c>
      <c r="L2781" s="1">
        <v>0</v>
      </c>
      <c r="M2781" s="1">
        <v>0</v>
      </c>
      <c r="N2781" s="1">
        <v>840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 t="s">
        <v>49</v>
      </c>
      <c r="AA2781" s="1" t="s">
        <v>49</v>
      </c>
      <c r="AB2781" s="1" t="s">
        <v>49</v>
      </c>
      <c r="AC2781" s="1" t="s">
        <v>144</v>
      </c>
      <c r="AD2781" s="1" t="s">
        <v>145</v>
      </c>
      <c r="AE2781" s="1" t="s">
        <v>144</v>
      </c>
      <c r="AF2781" s="1" t="s">
        <v>5148</v>
      </c>
      <c r="AG2781" s="1" t="s">
        <v>53</v>
      </c>
      <c r="AH2781" s="1" t="s">
        <v>49</v>
      </c>
      <c r="AI2781" s="1" t="s">
        <v>54</v>
      </c>
      <c r="AJ2781" s="1">
        <v>1</v>
      </c>
      <c r="AK2781" s="1" t="str">
        <f t="shared" si="43"/>
        <v xml:space="preserve"> =&lt;90</v>
      </c>
      <c r="AL2781" s="1" t="str">
        <f>VLOOKUP(C:C,[1]基础信息!B$1:D$65536,3,0)</f>
        <v xml:space="preserve">Cartridge </v>
      </c>
      <c r="AM2781" s="1" t="str">
        <f>VLOOKUP(C:C,[1]基础信息!B$1:E$65536,4,0)</f>
        <v>UNIV</v>
      </c>
      <c r="AN2781" s="1" t="str">
        <f>VLOOKUP(C:C,[1]基础信息!B$1:F$65536,5,0)</f>
        <v>P3</v>
      </c>
    </row>
    <row r="2782" spans="1:40">
      <c r="A2782" s="1" t="s">
        <v>41</v>
      </c>
      <c r="B2782" s="1" t="s">
        <v>42</v>
      </c>
      <c r="C2782" s="1" t="s">
        <v>3512</v>
      </c>
      <c r="D2782" s="1" t="s">
        <v>3513</v>
      </c>
      <c r="E2782" s="1" t="s">
        <v>45</v>
      </c>
      <c r="F2782" s="1" t="s">
        <v>5145</v>
      </c>
      <c r="G2782" s="1" t="s">
        <v>6389</v>
      </c>
      <c r="H2782" s="1" t="s">
        <v>6390</v>
      </c>
      <c r="I2782" s="1" t="s">
        <v>49</v>
      </c>
      <c r="J2782" s="1" t="s">
        <v>48</v>
      </c>
      <c r="K2782" s="1">
        <v>840</v>
      </c>
      <c r="L2782" s="1">
        <v>0</v>
      </c>
      <c r="M2782" s="1">
        <v>0</v>
      </c>
      <c r="N2782" s="1">
        <v>840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 t="s">
        <v>49</v>
      </c>
      <c r="AA2782" s="1" t="s">
        <v>49</v>
      </c>
      <c r="AB2782" s="1" t="s">
        <v>49</v>
      </c>
      <c r="AC2782" s="1" t="s">
        <v>144</v>
      </c>
      <c r="AD2782" s="1" t="s">
        <v>145</v>
      </c>
      <c r="AE2782" s="1" t="s">
        <v>144</v>
      </c>
      <c r="AF2782" s="1" t="s">
        <v>5148</v>
      </c>
      <c r="AG2782" s="1" t="s">
        <v>53</v>
      </c>
      <c r="AH2782" s="1" t="s">
        <v>49</v>
      </c>
      <c r="AI2782" s="1" t="s">
        <v>54</v>
      </c>
      <c r="AJ2782" s="1">
        <v>1</v>
      </c>
      <c r="AK2782" s="1" t="str">
        <f t="shared" si="43"/>
        <v xml:space="preserve"> =&lt;90</v>
      </c>
      <c r="AL2782" s="1" t="str">
        <f>VLOOKUP(C:C,[1]基础信息!B$1:D$65536,3,0)</f>
        <v xml:space="preserve">Cartridge </v>
      </c>
      <c r="AM2782" s="1" t="str">
        <f>VLOOKUP(C:C,[1]基础信息!B$1:E$65536,4,0)</f>
        <v>UNIV</v>
      </c>
      <c r="AN2782" s="1" t="str">
        <f>VLOOKUP(C:C,[1]基础信息!B$1:F$65536,5,0)</f>
        <v>P3</v>
      </c>
    </row>
    <row r="2783" spans="1:40">
      <c r="A2783" s="1" t="s">
        <v>41</v>
      </c>
      <c r="B2783" s="1" t="s">
        <v>42</v>
      </c>
      <c r="C2783" s="1" t="s">
        <v>3971</v>
      </c>
      <c r="D2783" s="1" t="s">
        <v>3972</v>
      </c>
      <c r="E2783" s="1" t="s">
        <v>45</v>
      </c>
      <c r="F2783" s="1" t="s">
        <v>6312</v>
      </c>
      <c r="G2783" s="1" t="s">
        <v>6391</v>
      </c>
      <c r="H2783" s="1" t="s">
        <v>6392</v>
      </c>
      <c r="I2783" s="1" t="s">
        <v>49</v>
      </c>
      <c r="J2783" s="1" t="s">
        <v>48</v>
      </c>
      <c r="K2783" s="1">
        <v>96</v>
      </c>
      <c r="L2783" s="1">
        <v>0</v>
      </c>
      <c r="M2783" s="1">
        <v>0</v>
      </c>
      <c r="N2783" s="1">
        <v>96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 t="s">
        <v>49</v>
      </c>
      <c r="AA2783" s="1" t="s">
        <v>49</v>
      </c>
      <c r="AB2783" s="1" t="s">
        <v>49</v>
      </c>
      <c r="AC2783" s="1" t="s">
        <v>1330</v>
      </c>
      <c r="AD2783" s="1" t="s">
        <v>1331</v>
      </c>
      <c r="AE2783" s="1" t="s">
        <v>3719</v>
      </c>
      <c r="AF2783" s="1" t="s">
        <v>6315</v>
      </c>
      <c r="AG2783" s="1" t="s">
        <v>53</v>
      </c>
      <c r="AH2783" s="1" t="s">
        <v>49</v>
      </c>
      <c r="AI2783" s="1" t="s">
        <v>54</v>
      </c>
      <c r="AJ2783" s="1">
        <v>1</v>
      </c>
      <c r="AK2783" s="1" t="str">
        <f t="shared" si="43"/>
        <v xml:space="preserve"> =&lt;90</v>
      </c>
      <c r="AL2783" s="1" t="str">
        <f>VLOOKUP(C:C,[1]基础信息!B$1:D$65536,3,0)</f>
        <v>Jug</v>
      </c>
      <c r="AM2783" s="1" t="str">
        <f>VLOOKUP(C:C,[1]基础信息!B$1:E$65536,4,0)</f>
        <v>Mxplus</v>
      </c>
      <c r="AN2783" s="1" t="str">
        <f>VLOOKUP(C:C,[1]基础信息!B$1:F$65536,5,0)</f>
        <v xml:space="preserve"> lime</v>
      </c>
    </row>
    <row r="2784" spans="1:40">
      <c r="A2784" s="1" t="s">
        <v>41</v>
      </c>
      <c r="B2784" s="1" t="s">
        <v>42</v>
      </c>
      <c r="C2784" s="1" t="s">
        <v>3971</v>
      </c>
      <c r="D2784" s="1" t="s">
        <v>3972</v>
      </c>
      <c r="E2784" s="1" t="s">
        <v>45</v>
      </c>
      <c r="F2784" s="1" t="s">
        <v>6312</v>
      </c>
      <c r="G2784" s="1" t="s">
        <v>6393</v>
      </c>
      <c r="H2784" s="1" t="s">
        <v>6394</v>
      </c>
      <c r="I2784" s="1" t="s">
        <v>49</v>
      </c>
      <c r="J2784" s="1" t="s">
        <v>48</v>
      </c>
      <c r="K2784" s="1">
        <v>96</v>
      </c>
      <c r="L2784" s="1">
        <v>0</v>
      </c>
      <c r="M2784" s="1">
        <v>0</v>
      </c>
      <c r="N2784" s="1">
        <v>96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 t="s">
        <v>49</v>
      </c>
      <c r="AA2784" s="1" t="s">
        <v>49</v>
      </c>
      <c r="AB2784" s="1" t="s">
        <v>49</v>
      </c>
      <c r="AC2784" s="1" t="s">
        <v>1330</v>
      </c>
      <c r="AD2784" s="1" t="s">
        <v>1331</v>
      </c>
      <c r="AE2784" s="1" t="s">
        <v>3719</v>
      </c>
      <c r="AF2784" s="1" t="s">
        <v>6315</v>
      </c>
      <c r="AG2784" s="1" t="s">
        <v>53</v>
      </c>
      <c r="AH2784" s="1" t="s">
        <v>49</v>
      </c>
      <c r="AI2784" s="1" t="s">
        <v>54</v>
      </c>
      <c r="AJ2784" s="1">
        <v>1</v>
      </c>
      <c r="AK2784" s="1" t="str">
        <f t="shared" si="43"/>
        <v xml:space="preserve"> =&lt;90</v>
      </c>
      <c r="AL2784" s="1" t="str">
        <f>VLOOKUP(C:C,[1]基础信息!B$1:D$65536,3,0)</f>
        <v>Jug</v>
      </c>
      <c r="AM2784" s="1" t="str">
        <f>VLOOKUP(C:C,[1]基础信息!B$1:E$65536,4,0)</f>
        <v>Mxplus</v>
      </c>
      <c r="AN2784" s="1" t="str">
        <f>VLOOKUP(C:C,[1]基础信息!B$1:F$65536,5,0)</f>
        <v xml:space="preserve"> lime</v>
      </c>
    </row>
    <row r="2785" spans="1:40">
      <c r="A2785" s="1" t="s">
        <v>41</v>
      </c>
      <c r="B2785" s="1" t="s">
        <v>42</v>
      </c>
      <c r="C2785" s="1" t="s">
        <v>3971</v>
      </c>
      <c r="D2785" s="1" t="s">
        <v>3972</v>
      </c>
      <c r="E2785" s="1" t="s">
        <v>45</v>
      </c>
      <c r="F2785" s="1" t="s">
        <v>6312</v>
      </c>
      <c r="G2785" s="1" t="s">
        <v>6395</v>
      </c>
      <c r="H2785" s="1" t="s">
        <v>6396</v>
      </c>
      <c r="I2785" s="1" t="s">
        <v>49</v>
      </c>
      <c r="J2785" s="1" t="s">
        <v>48</v>
      </c>
      <c r="K2785" s="1">
        <v>96</v>
      </c>
      <c r="L2785" s="1">
        <v>0</v>
      </c>
      <c r="M2785" s="1">
        <v>0</v>
      </c>
      <c r="N2785" s="1">
        <v>96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 t="s">
        <v>49</v>
      </c>
      <c r="AA2785" s="1" t="s">
        <v>49</v>
      </c>
      <c r="AB2785" s="1" t="s">
        <v>49</v>
      </c>
      <c r="AC2785" s="1" t="s">
        <v>1330</v>
      </c>
      <c r="AD2785" s="1" t="s">
        <v>1331</v>
      </c>
      <c r="AE2785" s="1" t="s">
        <v>3719</v>
      </c>
      <c r="AF2785" s="1" t="s">
        <v>6315</v>
      </c>
      <c r="AG2785" s="1" t="s">
        <v>53</v>
      </c>
      <c r="AH2785" s="1" t="s">
        <v>49</v>
      </c>
      <c r="AI2785" s="1" t="s">
        <v>54</v>
      </c>
      <c r="AJ2785" s="1">
        <v>1</v>
      </c>
      <c r="AK2785" s="1" t="str">
        <f t="shared" si="43"/>
        <v xml:space="preserve"> =&lt;90</v>
      </c>
      <c r="AL2785" s="1" t="str">
        <f>VLOOKUP(C:C,[1]基础信息!B$1:D$65536,3,0)</f>
        <v>Jug</v>
      </c>
      <c r="AM2785" s="1" t="str">
        <f>VLOOKUP(C:C,[1]基础信息!B$1:E$65536,4,0)</f>
        <v>Mxplus</v>
      </c>
      <c r="AN2785" s="1" t="str">
        <f>VLOOKUP(C:C,[1]基础信息!B$1:F$65536,5,0)</f>
        <v xml:space="preserve"> lime</v>
      </c>
    </row>
    <row r="2786" spans="1:40">
      <c r="A2786" s="1" t="s">
        <v>41</v>
      </c>
      <c r="B2786" s="1" t="s">
        <v>42</v>
      </c>
      <c r="C2786" s="1" t="s">
        <v>3971</v>
      </c>
      <c r="D2786" s="1" t="s">
        <v>3972</v>
      </c>
      <c r="E2786" s="1" t="s">
        <v>45</v>
      </c>
      <c r="F2786" s="1" t="s">
        <v>6312</v>
      </c>
      <c r="G2786" s="1" t="s">
        <v>6397</v>
      </c>
      <c r="H2786" s="1" t="s">
        <v>6398</v>
      </c>
      <c r="I2786" s="1" t="s">
        <v>49</v>
      </c>
      <c r="J2786" s="1" t="s">
        <v>48</v>
      </c>
      <c r="K2786" s="1">
        <v>96</v>
      </c>
      <c r="L2786" s="1">
        <v>0</v>
      </c>
      <c r="M2786" s="1">
        <v>0</v>
      </c>
      <c r="N2786" s="1">
        <v>96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 t="s">
        <v>49</v>
      </c>
      <c r="AA2786" s="1" t="s">
        <v>49</v>
      </c>
      <c r="AB2786" s="1" t="s">
        <v>49</v>
      </c>
      <c r="AC2786" s="1" t="s">
        <v>1330</v>
      </c>
      <c r="AD2786" s="1" t="s">
        <v>1331</v>
      </c>
      <c r="AE2786" s="1" t="s">
        <v>3719</v>
      </c>
      <c r="AF2786" s="1" t="s">
        <v>6315</v>
      </c>
      <c r="AG2786" s="1" t="s">
        <v>53</v>
      </c>
      <c r="AH2786" s="1" t="s">
        <v>49</v>
      </c>
      <c r="AI2786" s="1" t="s">
        <v>54</v>
      </c>
      <c r="AJ2786" s="1">
        <v>1</v>
      </c>
      <c r="AK2786" s="1" t="str">
        <f t="shared" si="43"/>
        <v xml:space="preserve"> =&lt;90</v>
      </c>
      <c r="AL2786" s="1" t="str">
        <f>VLOOKUP(C:C,[1]基础信息!B$1:D$65536,3,0)</f>
        <v>Jug</v>
      </c>
      <c r="AM2786" s="1" t="str">
        <f>VLOOKUP(C:C,[1]基础信息!B$1:E$65536,4,0)</f>
        <v>Mxplus</v>
      </c>
      <c r="AN2786" s="1" t="str">
        <f>VLOOKUP(C:C,[1]基础信息!B$1:F$65536,5,0)</f>
        <v xml:space="preserve"> lime</v>
      </c>
    </row>
    <row r="2787" spans="1:40">
      <c r="A2787" s="1" t="s">
        <v>41</v>
      </c>
      <c r="B2787" s="1" t="s">
        <v>42</v>
      </c>
      <c r="C2787" s="1" t="s">
        <v>3971</v>
      </c>
      <c r="D2787" s="1" t="s">
        <v>3972</v>
      </c>
      <c r="E2787" s="1" t="s">
        <v>45</v>
      </c>
      <c r="F2787" s="1" t="s">
        <v>6312</v>
      </c>
      <c r="G2787" s="1" t="s">
        <v>6399</v>
      </c>
      <c r="H2787" s="1" t="s">
        <v>6400</v>
      </c>
      <c r="I2787" s="1" t="s">
        <v>49</v>
      </c>
      <c r="J2787" s="1" t="s">
        <v>48</v>
      </c>
      <c r="K2787" s="1">
        <v>96</v>
      </c>
      <c r="L2787" s="1">
        <v>0</v>
      </c>
      <c r="M2787" s="1">
        <v>0</v>
      </c>
      <c r="N2787" s="1">
        <v>96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 t="s">
        <v>49</v>
      </c>
      <c r="AA2787" s="1" t="s">
        <v>49</v>
      </c>
      <c r="AB2787" s="1" t="s">
        <v>49</v>
      </c>
      <c r="AC2787" s="1" t="s">
        <v>1330</v>
      </c>
      <c r="AD2787" s="1" t="s">
        <v>1331</v>
      </c>
      <c r="AE2787" s="1" t="s">
        <v>3719</v>
      </c>
      <c r="AF2787" s="1" t="s">
        <v>6315</v>
      </c>
      <c r="AG2787" s="1" t="s">
        <v>53</v>
      </c>
      <c r="AH2787" s="1" t="s">
        <v>49</v>
      </c>
      <c r="AI2787" s="1" t="s">
        <v>54</v>
      </c>
      <c r="AJ2787" s="1">
        <v>1</v>
      </c>
      <c r="AK2787" s="1" t="str">
        <f t="shared" si="43"/>
        <v xml:space="preserve"> =&lt;90</v>
      </c>
      <c r="AL2787" s="1" t="str">
        <f>VLOOKUP(C:C,[1]基础信息!B$1:D$65536,3,0)</f>
        <v>Jug</v>
      </c>
      <c r="AM2787" s="1" t="str">
        <f>VLOOKUP(C:C,[1]基础信息!B$1:E$65536,4,0)</f>
        <v>Mxplus</v>
      </c>
      <c r="AN2787" s="1" t="str">
        <f>VLOOKUP(C:C,[1]基础信息!B$1:F$65536,5,0)</f>
        <v xml:space="preserve"> lime</v>
      </c>
    </row>
    <row r="2788" spans="1:40">
      <c r="A2788" s="1" t="s">
        <v>41</v>
      </c>
      <c r="B2788" s="1" t="s">
        <v>42</v>
      </c>
      <c r="C2788" s="1" t="s">
        <v>3971</v>
      </c>
      <c r="D2788" s="1" t="s">
        <v>3972</v>
      </c>
      <c r="E2788" s="1" t="s">
        <v>45</v>
      </c>
      <c r="F2788" s="1" t="s">
        <v>6312</v>
      </c>
      <c r="G2788" s="1" t="s">
        <v>6401</v>
      </c>
      <c r="H2788" s="1" t="s">
        <v>6402</v>
      </c>
      <c r="I2788" s="1" t="s">
        <v>49</v>
      </c>
      <c r="J2788" s="1" t="s">
        <v>48</v>
      </c>
      <c r="K2788" s="1">
        <v>96</v>
      </c>
      <c r="L2788" s="1">
        <v>0</v>
      </c>
      <c r="M2788" s="1">
        <v>0</v>
      </c>
      <c r="N2788" s="1">
        <v>96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 t="s">
        <v>49</v>
      </c>
      <c r="AA2788" s="1" t="s">
        <v>49</v>
      </c>
      <c r="AB2788" s="1" t="s">
        <v>49</v>
      </c>
      <c r="AC2788" s="1" t="s">
        <v>1330</v>
      </c>
      <c r="AD2788" s="1" t="s">
        <v>1331</v>
      </c>
      <c r="AE2788" s="1" t="s">
        <v>3719</v>
      </c>
      <c r="AF2788" s="1" t="s">
        <v>6315</v>
      </c>
      <c r="AG2788" s="1" t="s">
        <v>53</v>
      </c>
      <c r="AH2788" s="1" t="s">
        <v>49</v>
      </c>
      <c r="AI2788" s="1" t="s">
        <v>54</v>
      </c>
      <c r="AJ2788" s="1">
        <v>1</v>
      </c>
      <c r="AK2788" s="1" t="str">
        <f t="shared" si="43"/>
        <v xml:space="preserve"> =&lt;90</v>
      </c>
      <c r="AL2788" s="1" t="str">
        <f>VLOOKUP(C:C,[1]基础信息!B$1:D$65536,3,0)</f>
        <v>Jug</v>
      </c>
      <c r="AM2788" s="1" t="str">
        <f>VLOOKUP(C:C,[1]基础信息!B$1:E$65536,4,0)</f>
        <v>Mxplus</v>
      </c>
      <c r="AN2788" s="1" t="str">
        <f>VLOOKUP(C:C,[1]基础信息!B$1:F$65536,5,0)</f>
        <v xml:space="preserve"> lime</v>
      </c>
    </row>
    <row r="2789" spans="1:40">
      <c r="A2789" s="1" t="s">
        <v>41</v>
      </c>
      <c r="B2789" s="1" t="s">
        <v>42</v>
      </c>
      <c r="C2789" s="1" t="s">
        <v>3971</v>
      </c>
      <c r="D2789" s="1" t="s">
        <v>3972</v>
      </c>
      <c r="E2789" s="1" t="s">
        <v>45</v>
      </c>
      <c r="F2789" s="1" t="s">
        <v>6312</v>
      </c>
      <c r="G2789" s="1" t="s">
        <v>6403</v>
      </c>
      <c r="H2789" s="1" t="s">
        <v>6404</v>
      </c>
      <c r="I2789" s="1" t="s">
        <v>49</v>
      </c>
      <c r="J2789" s="1" t="s">
        <v>48</v>
      </c>
      <c r="K2789" s="1">
        <v>96</v>
      </c>
      <c r="L2789" s="1">
        <v>0</v>
      </c>
      <c r="M2789" s="1">
        <v>0</v>
      </c>
      <c r="N2789" s="1">
        <v>96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 t="s">
        <v>49</v>
      </c>
      <c r="AA2789" s="1" t="s">
        <v>49</v>
      </c>
      <c r="AB2789" s="1" t="s">
        <v>49</v>
      </c>
      <c r="AC2789" s="1" t="s">
        <v>1330</v>
      </c>
      <c r="AD2789" s="1" t="s">
        <v>1331</v>
      </c>
      <c r="AE2789" s="1" t="s">
        <v>3719</v>
      </c>
      <c r="AF2789" s="1" t="s">
        <v>6315</v>
      </c>
      <c r="AG2789" s="1" t="s">
        <v>53</v>
      </c>
      <c r="AH2789" s="1" t="s">
        <v>49</v>
      </c>
      <c r="AI2789" s="1" t="s">
        <v>54</v>
      </c>
      <c r="AJ2789" s="1">
        <v>1</v>
      </c>
      <c r="AK2789" s="1" t="str">
        <f t="shared" si="43"/>
        <v xml:space="preserve"> =&lt;90</v>
      </c>
      <c r="AL2789" s="1" t="str">
        <f>VLOOKUP(C:C,[1]基础信息!B$1:D$65536,3,0)</f>
        <v>Jug</v>
      </c>
      <c r="AM2789" s="1" t="str">
        <f>VLOOKUP(C:C,[1]基础信息!B$1:E$65536,4,0)</f>
        <v>Mxplus</v>
      </c>
      <c r="AN2789" s="1" t="str">
        <f>VLOOKUP(C:C,[1]基础信息!B$1:F$65536,5,0)</f>
        <v xml:space="preserve"> lime</v>
      </c>
    </row>
    <row r="2790" spans="1:40">
      <c r="A2790" s="1" t="s">
        <v>41</v>
      </c>
      <c r="B2790" s="1" t="s">
        <v>42</v>
      </c>
      <c r="C2790" s="1" t="s">
        <v>3971</v>
      </c>
      <c r="D2790" s="1" t="s">
        <v>3972</v>
      </c>
      <c r="E2790" s="1" t="s">
        <v>45</v>
      </c>
      <c r="F2790" s="1" t="s">
        <v>6312</v>
      </c>
      <c r="G2790" s="1" t="s">
        <v>6405</v>
      </c>
      <c r="H2790" s="1" t="s">
        <v>6406</v>
      </c>
      <c r="I2790" s="1" t="s">
        <v>49</v>
      </c>
      <c r="J2790" s="1" t="s">
        <v>48</v>
      </c>
      <c r="K2790" s="1">
        <v>96</v>
      </c>
      <c r="L2790" s="1">
        <v>0</v>
      </c>
      <c r="M2790" s="1">
        <v>0</v>
      </c>
      <c r="N2790" s="1">
        <v>96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 t="s">
        <v>49</v>
      </c>
      <c r="AA2790" s="1" t="s">
        <v>49</v>
      </c>
      <c r="AB2790" s="1" t="s">
        <v>49</v>
      </c>
      <c r="AC2790" s="1" t="s">
        <v>1330</v>
      </c>
      <c r="AD2790" s="1" t="s">
        <v>1331</v>
      </c>
      <c r="AE2790" s="1" t="s">
        <v>3719</v>
      </c>
      <c r="AF2790" s="1" t="s">
        <v>6315</v>
      </c>
      <c r="AG2790" s="1" t="s">
        <v>53</v>
      </c>
      <c r="AH2790" s="1" t="s">
        <v>49</v>
      </c>
      <c r="AI2790" s="1" t="s">
        <v>54</v>
      </c>
      <c r="AJ2790" s="1">
        <v>1</v>
      </c>
      <c r="AK2790" s="1" t="str">
        <f t="shared" si="43"/>
        <v xml:space="preserve"> =&lt;90</v>
      </c>
      <c r="AL2790" s="1" t="str">
        <f>VLOOKUP(C:C,[1]基础信息!B$1:D$65536,3,0)</f>
        <v>Jug</v>
      </c>
      <c r="AM2790" s="1" t="str">
        <f>VLOOKUP(C:C,[1]基础信息!B$1:E$65536,4,0)</f>
        <v>Mxplus</v>
      </c>
      <c r="AN2790" s="1" t="str">
        <f>VLOOKUP(C:C,[1]基础信息!B$1:F$65536,5,0)</f>
        <v xml:space="preserve"> lime</v>
      </c>
    </row>
    <row r="2791" spans="1:40">
      <c r="A2791" s="1" t="s">
        <v>41</v>
      </c>
      <c r="B2791" s="1" t="s">
        <v>42</v>
      </c>
      <c r="C2791" s="1" t="s">
        <v>3971</v>
      </c>
      <c r="D2791" s="1" t="s">
        <v>3972</v>
      </c>
      <c r="E2791" s="1" t="s">
        <v>45</v>
      </c>
      <c r="F2791" s="1" t="s">
        <v>6312</v>
      </c>
      <c r="G2791" s="1" t="s">
        <v>6407</v>
      </c>
      <c r="H2791" s="1" t="s">
        <v>6408</v>
      </c>
      <c r="I2791" s="1" t="s">
        <v>49</v>
      </c>
      <c r="J2791" s="1" t="s">
        <v>48</v>
      </c>
      <c r="K2791" s="1">
        <v>96</v>
      </c>
      <c r="L2791" s="1">
        <v>0</v>
      </c>
      <c r="M2791" s="1">
        <v>0</v>
      </c>
      <c r="N2791" s="1">
        <v>96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 t="s">
        <v>49</v>
      </c>
      <c r="AA2791" s="1" t="s">
        <v>49</v>
      </c>
      <c r="AB2791" s="1" t="s">
        <v>49</v>
      </c>
      <c r="AC2791" s="1" t="s">
        <v>1330</v>
      </c>
      <c r="AD2791" s="1" t="s">
        <v>1331</v>
      </c>
      <c r="AE2791" s="1" t="s">
        <v>3719</v>
      </c>
      <c r="AF2791" s="1" t="s">
        <v>6315</v>
      </c>
      <c r="AG2791" s="1" t="s">
        <v>53</v>
      </c>
      <c r="AH2791" s="1" t="s">
        <v>49</v>
      </c>
      <c r="AI2791" s="1" t="s">
        <v>54</v>
      </c>
      <c r="AJ2791" s="1">
        <v>1</v>
      </c>
      <c r="AK2791" s="1" t="str">
        <f t="shared" si="43"/>
        <v xml:space="preserve"> =&lt;90</v>
      </c>
      <c r="AL2791" s="1" t="str">
        <f>VLOOKUP(C:C,[1]基础信息!B$1:D$65536,3,0)</f>
        <v>Jug</v>
      </c>
      <c r="AM2791" s="1" t="str">
        <f>VLOOKUP(C:C,[1]基础信息!B$1:E$65536,4,0)</f>
        <v>Mxplus</v>
      </c>
      <c r="AN2791" s="1" t="str">
        <f>VLOOKUP(C:C,[1]基础信息!B$1:F$65536,5,0)</f>
        <v xml:space="preserve"> lime</v>
      </c>
    </row>
    <row r="2792" spans="1:40">
      <c r="A2792" s="1" t="s">
        <v>41</v>
      </c>
      <c r="B2792" s="1" t="s">
        <v>42</v>
      </c>
      <c r="C2792" s="1" t="s">
        <v>6409</v>
      </c>
      <c r="D2792" s="1" t="s">
        <v>6410</v>
      </c>
      <c r="E2792" s="1" t="s">
        <v>45</v>
      </c>
      <c r="F2792" s="1" t="s">
        <v>6411</v>
      </c>
      <c r="G2792" s="1" t="s">
        <v>6412</v>
      </c>
      <c r="H2792" s="1" t="s">
        <v>6413</v>
      </c>
      <c r="I2792" s="1" t="s">
        <v>49</v>
      </c>
      <c r="J2792" s="1" t="s">
        <v>48</v>
      </c>
      <c r="K2792" s="1">
        <v>2</v>
      </c>
      <c r="L2792" s="1">
        <v>0</v>
      </c>
      <c r="M2792" s="1">
        <v>0</v>
      </c>
      <c r="N2792" s="1">
        <v>2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 t="s">
        <v>49</v>
      </c>
      <c r="AA2792" s="1" t="s">
        <v>49</v>
      </c>
      <c r="AB2792" s="1" t="s">
        <v>49</v>
      </c>
      <c r="AC2792" s="1" t="s">
        <v>5141</v>
      </c>
      <c r="AD2792" s="1" t="s">
        <v>6414</v>
      </c>
      <c r="AE2792" s="1" t="s">
        <v>5141</v>
      </c>
      <c r="AF2792" s="1" t="s">
        <v>6415</v>
      </c>
      <c r="AG2792" s="1" t="s">
        <v>338</v>
      </c>
      <c r="AH2792" s="1" t="s">
        <v>49</v>
      </c>
      <c r="AI2792" s="1" t="s">
        <v>54</v>
      </c>
      <c r="AJ2792" s="1">
        <v>1</v>
      </c>
      <c r="AK2792" s="1" t="str">
        <f t="shared" si="43"/>
        <v xml:space="preserve"> =&lt;90</v>
      </c>
      <c r="AL2792" s="1" t="str">
        <f>VLOOKUP(C:C,[1]基础信息!B$1:D$65536,3,0)</f>
        <v>Jug</v>
      </c>
      <c r="AM2792" s="1" t="str">
        <f>VLOOKUP(C:C,[1]基础信息!B$1:E$65536,4,0)</f>
        <v>Style</v>
      </c>
      <c r="AN2792" s="1" t="str">
        <f>VLOOKUP(C:C,[1]基础信息!B$1:F$65536,5,0)</f>
        <v>Lime</v>
      </c>
    </row>
    <row r="2793" spans="1:40">
      <c r="A2793" s="1" t="s">
        <v>41</v>
      </c>
      <c r="B2793" s="1" t="s">
        <v>42</v>
      </c>
      <c r="C2793" s="1" t="s">
        <v>3971</v>
      </c>
      <c r="D2793" s="1" t="s">
        <v>3972</v>
      </c>
      <c r="E2793" s="1" t="s">
        <v>45</v>
      </c>
      <c r="F2793" s="1" t="s">
        <v>6312</v>
      </c>
      <c r="G2793" s="1" t="s">
        <v>6416</v>
      </c>
      <c r="H2793" s="1" t="s">
        <v>6417</v>
      </c>
      <c r="I2793" s="1" t="s">
        <v>49</v>
      </c>
      <c r="J2793" s="1" t="s">
        <v>48</v>
      </c>
      <c r="K2793" s="1">
        <v>96</v>
      </c>
      <c r="L2793" s="1">
        <v>0</v>
      </c>
      <c r="M2793" s="1">
        <v>0</v>
      </c>
      <c r="N2793" s="1">
        <v>96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 t="s">
        <v>49</v>
      </c>
      <c r="AA2793" s="1" t="s">
        <v>49</v>
      </c>
      <c r="AB2793" s="1" t="s">
        <v>49</v>
      </c>
      <c r="AC2793" s="1" t="s">
        <v>1330</v>
      </c>
      <c r="AD2793" s="1" t="s">
        <v>1331</v>
      </c>
      <c r="AE2793" s="1" t="s">
        <v>3719</v>
      </c>
      <c r="AF2793" s="1" t="s">
        <v>6315</v>
      </c>
      <c r="AG2793" s="1" t="s">
        <v>53</v>
      </c>
      <c r="AH2793" s="1" t="s">
        <v>49</v>
      </c>
      <c r="AI2793" s="1" t="s">
        <v>54</v>
      </c>
      <c r="AJ2793" s="1">
        <v>1</v>
      </c>
      <c r="AK2793" s="1" t="str">
        <f t="shared" si="43"/>
        <v xml:space="preserve"> =&lt;90</v>
      </c>
      <c r="AL2793" s="1" t="str">
        <f>VLOOKUP(C:C,[1]基础信息!B$1:D$65536,3,0)</f>
        <v>Jug</v>
      </c>
      <c r="AM2793" s="1" t="str">
        <f>VLOOKUP(C:C,[1]基础信息!B$1:E$65536,4,0)</f>
        <v>Mxplus</v>
      </c>
      <c r="AN2793" s="1" t="str">
        <f>VLOOKUP(C:C,[1]基础信息!B$1:F$65536,5,0)</f>
        <v xml:space="preserve"> lime</v>
      </c>
    </row>
    <row r="2794" spans="1:40">
      <c r="A2794" s="1" t="s">
        <v>41</v>
      </c>
      <c r="B2794" s="1" t="s">
        <v>42</v>
      </c>
      <c r="C2794" s="1" t="s">
        <v>3971</v>
      </c>
      <c r="D2794" s="1" t="s">
        <v>3972</v>
      </c>
      <c r="E2794" s="1" t="s">
        <v>45</v>
      </c>
      <c r="F2794" s="1" t="s">
        <v>6312</v>
      </c>
      <c r="G2794" s="1" t="s">
        <v>6418</v>
      </c>
      <c r="H2794" s="1" t="s">
        <v>6419</v>
      </c>
      <c r="I2794" s="1" t="s">
        <v>49</v>
      </c>
      <c r="J2794" s="1" t="s">
        <v>48</v>
      </c>
      <c r="K2794" s="1">
        <v>96</v>
      </c>
      <c r="L2794" s="1">
        <v>0</v>
      </c>
      <c r="M2794" s="1">
        <v>0</v>
      </c>
      <c r="N2794" s="1">
        <v>96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 t="s">
        <v>49</v>
      </c>
      <c r="AA2794" s="1" t="s">
        <v>49</v>
      </c>
      <c r="AB2794" s="1" t="s">
        <v>49</v>
      </c>
      <c r="AC2794" s="1" t="s">
        <v>1330</v>
      </c>
      <c r="AD2794" s="1" t="s">
        <v>1331</v>
      </c>
      <c r="AE2794" s="1" t="s">
        <v>3719</v>
      </c>
      <c r="AF2794" s="1" t="s">
        <v>6315</v>
      </c>
      <c r="AG2794" s="1" t="s">
        <v>53</v>
      </c>
      <c r="AH2794" s="1" t="s">
        <v>49</v>
      </c>
      <c r="AI2794" s="1" t="s">
        <v>54</v>
      </c>
      <c r="AJ2794" s="1">
        <v>1</v>
      </c>
      <c r="AK2794" s="1" t="str">
        <f t="shared" si="43"/>
        <v xml:space="preserve"> =&lt;90</v>
      </c>
      <c r="AL2794" s="1" t="str">
        <f>VLOOKUP(C:C,[1]基础信息!B$1:D$65536,3,0)</f>
        <v>Jug</v>
      </c>
      <c r="AM2794" s="1" t="str">
        <f>VLOOKUP(C:C,[1]基础信息!B$1:E$65536,4,0)</f>
        <v>Mxplus</v>
      </c>
      <c r="AN2794" s="1" t="str">
        <f>VLOOKUP(C:C,[1]基础信息!B$1:F$65536,5,0)</f>
        <v xml:space="preserve"> lime</v>
      </c>
    </row>
    <row r="2795" spans="1:40">
      <c r="A2795" s="1" t="s">
        <v>41</v>
      </c>
      <c r="B2795" s="1" t="s">
        <v>42</v>
      </c>
      <c r="C2795" s="1" t="s">
        <v>3971</v>
      </c>
      <c r="D2795" s="1" t="s">
        <v>3972</v>
      </c>
      <c r="E2795" s="1" t="s">
        <v>45</v>
      </c>
      <c r="F2795" s="1" t="s">
        <v>6312</v>
      </c>
      <c r="G2795" s="1" t="s">
        <v>6420</v>
      </c>
      <c r="H2795" s="1" t="s">
        <v>6421</v>
      </c>
      <c r="I2795" s="1" t="s">
        <v>49</v>
      </c>
      <c r="J2795" s="1" t="s">
        <v>48</v>
      </c>
      <c r="K2795" s="1">
        <v>96</v>
      </c>
      <c r="L2795" s="1">
        <v>0</v>
      </c>
      <c r="M2795" s="1">
        <v>0</v>
      </c>
      <c r="N2795" s="1">
        <v>96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 t="s">
        <v>49</v>
      </c>
      <c r="AA2795" s="1" t="s">
        <v>49</v>
      </c>
      <c r="AB2795" s="1" t="s">
        <v>49</v>
      </c>
      <c r="AC2795" s="1" t="s">
        <v>1330</v>
      </c>
      <c r="AD2795" s="1" t="s">
        <v>1331</v>
      </c>
      <c r="AE2795" s="1" t="s">
        <v>3719</v>
      </c>
      <c r="AF2795" s="1" t="s">
        <v>6315</v>
      </c>
      <c r="AG2795" s="1" t="s">
        <v>53</v>
      </c>
      <c r="AH2795" s="1" t="s">
        <v>49</v>
      </c>
      <c r="AI2795" s="1" t="s">
        <v>54</v>
      </c>
      <c r="AJ2795" s="1">
        <v>1</v>
      </c>
      <c r="AK2795" s="1" t="str">
        <f t="shared" si="43"/>
        <v xml:space="preserve"> =&lt;90</v>
      </c>
      <c r="AL2795" s="1" t="str">
        <f>VLOOKUP(C:C,[1]基础信息!B$1:D$65536,3,0)</f>
        <v>Jug</v>
      </c>
      <c r="AM2795" s="1" t="str">
        <f>VLOOKUP(C:C,[1]基础信息!B$1:E$65536,4,0)</f>
        <v>Mxplus</v>
      </c>
      <c r="AN2795" s="1" t="str">
        <f>VLOOKUP(C:C,[1]基础信息!B$1:F$65536,5,0)</f>
        <v xml:space="preserve"> lime</v>
      </c>
    </row>
    <row r="2796" spans="1:40">
      <c r="A2796" s="1" t="s">
        <v>41</v>
      </c>
      <c r="B2796" s="1" t="s">
        <v>42</v>
      </c>
      <c r="C2796" s="1" t="s">
        <v>3971</v>
      </c>
      <c r="D2796" s="1" t="s">
        <v>3972</v>
      </c>
      <c r="E2796" s="1" t="s">
        <v>45</v>
      </c>
      <c r="F2796" s="1" t="s">
        <v>6312</v>
      </c>
      <c r="G2796" s="1" t="s">
        <v>6422</v>
      </c>
      <c r="H2796" s="1" t="s">
        <v>6423</v>
      </c>
      <c r="I2796" s="1" t="s">
        <v>49</v>
      </c>
      <c r="J2796" s="1" t="s">
        <v>48</v>
      </c>
      <c r="K2796" s="1">
        <v>96</v>
      </c>
      <c r="L2796" s="1">
        <v>0</v>
      </c>
      <c r="M2796" s="1">
        <v>0</v>
      </c>
      <c r="N2796" s="1">
        <v>96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 t="s">
        <v>49</v>
      </c>
      <c r="AA2796" s="1" t="s">
        <v>49</v>
      </c>
      <c r="AB2796" s="1" t="s">
        <v>49</v>
      </c>
      <c r="AC2796" s="1" t="s">
        <v>1330</v>
      </c>
      <c r="AD2796" s="1" t="s">
        <v>1331</v>
      </c>
      <c r="AE2796" s="1" t="s">
        <v>3719</v>
      </c>
      <c r="AF2796" s="1" t="s">
        <v>6315</v>
      </c>
      <c r="AG2796" s="1" t="s">
        <v>53</v>
      </c>
      <c r="AH2796" s="1" t="s">
        <v>49</v>
      </c>
      <c r="AI2796" s="1" t="s">
        <v>54</v>
      </c>
      <c r="AJ2796" s="1">
        <v>1</v>
      </c>
      <c r="AK2796" s="1" t="str">
        <f t="shared" si="43"/>
        <v xml:space="preserve"> =&lt;90</v>
      </c>
      <c r="AL2796" s="1" t="str">
        <f>VLOOKUP(C:C,[1]基础信息!B$1:D$65536,3,0)</f>
        <v>Jug</v>
      </c>
      <c r="AM2796" s="1" t="str">
        <f>VLOOKUP(C:C,[1]基础信息!B$1:E$65536,4,0)</f>
        <v>Mxplus</v>
      </c>
      <c r="AN2796" s="1" t="str">
        <f>VLOOKUP(C:C,[1]基础信息!B$1:F$65536,5,0)</f>
        <v xml:space="preserve"> lime</v>
      </c>
    </row>
    <row r="2797" spans="1:40">
      <c r="A2797" s="1" t="s">
        <v>41</v>
      </c>
      <c r="B2797" s="1" t="s">
        <v>42</v>
      </c>
      <c r="C2797" s="1" t="s">
        <v>5117</v>
      </c>
      <c r="D2797" s="1" t="s">
        <v>5118</v>
      </c>
      <c r="E2797" s="1" t="s">
        <v>45</v>
      </c>
      <c r="F2797" s="1" t="s">
        <v>6424</v>
      </c>
      <c r="G2797" s="1" t="s">
        <v>6425</v>
      </c>
      <c r="H2797" s="1" t="s">
        <v>6426</v>
      </c>
      <c r="I2797" s="1" t="s">
        <v>49</v>
      </c>
      <c r="J2797" s="1" t="s">
        <v>48</v>
      </c>
      <c r="K2797" s="1">
        <v>8</v>
      </c>
      <c r="L2797" s="1">
        <v>0</v>
      </c>
      <c r="M2797" s="1">
        <v>0</v>
      </c>
      <c r="N2797" s="1">
        <v>8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 t="s">
        <v>49</v>
      </c>
      <c r="AA2797" s="1" t="s">
        <v>49</v>
      </c>
      <c r="AB2797" s="1" t="s">
        <v>49</v>
      </c>
      <c r="AC2797" s="1" t="s">
        <v>3719</v>
      </c>
      <c r="AD2797" s="1" t="s">
        <v>3720</v>
      </c>
      <c r="AE2797" s="1" t="s">
        <v>3719</v>
      </c>
      <c r="AF2797" s="1" t="s">
        <v>3725</v>
      </c>
      <c r="AG2797" s="1" t="s">
        <v>227</v>
      </c>
      <c r="AH2797" s="1" t="s">
        <v>49</v>
      </c>
      <c r="AI2797" s="1" t="s">
        <v>54</v>
      </c>
      <c r="AJ2797" s="1">
        <v>1</v>
      </c>
      <c r="AK2797" s="1" t="str">
        <f t="shared" si="43"/>
        <v xml:space="preserve"> =&lt;90</v>
      </c>
      <c r="AL2797" s="1" t="str">
        <f>VLOOKUP(C:C,[1]基础信息!B$1:D$65536,3,0)</f>
        <v>UTS</v>
      </c>
      <c r="AM2797" s="1" t="str">
        <f>VLOOKUP(C:C,[1]基础信息!B$1:E$65536,4,0)</f>
        <v>MyPure</v>
      </c>
      <c r="AN2797" s="1" t="str">
        <f>VLOOKUP(C:C,[1]基础信息!B$1:F$65536,5,0)</f>
        <v>Refill</v>
      </c>
    </row>
    <row r="2798" spans="1:40">
      <c r="A2798" s="1" t="s">
        <v>41</v>
      </c>
      <c r="B2798" s="1" t="s">
        <v>42</v>
      </c>
      <c r="C2798" s="1" t="s">
        <v>3512</v>
      </c>
      <c r="D2798" s="1" t="s">
        <v>3513</v>
      </c>
      <c r="E2798" s="1" t="s">
        <v>45</v>
      </c>
      <c r="F2798" s="1" t="s">
        <v>5145</v>
      </c>
      <c r="G2798" s="1" t="s">
        <v>6427</v>
      </c>
      <c r="H2798" s="1" t="s">
        <v>6428</v>
      </c>
      <c r="I2798" s="1" t="s">
        <v>49</v>
      </c>
      <c r="J2798" s="1" t="s">
        <v>48</v>
      </c>
      <c r="K2798" s="1">
        <v>840</v>
      </c>
      <c r="L2798" s="1">
        <v>0</v>
      </c>
      <c r="M2798" s="1">
        <v>0</v>
      </c>
      <c r="N2798" s="1">
        <v>840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 t="s">
        <v>49</v>
      </c>
      <c r="AA2798" s="1" t="s">
        <v>49</v>
      </c>
      <c r="AB2798" s="1" t="s">
        <v>49</v>
      </c>
      <c r="AC2798" s="1" t="s">
        <v>144</v>
      </c>
      <c r="AD2798" s="1" t="s">
        <v>145</v>
      </c>
      <c r="AE2798" s="1" t="s">
        <v>144</v>
      </c>
      <c r="AF2798" s="1" t="s">
        <v>5148</v>
      </c>
      <c r="AG2798" s="1" t="s">
        <v>53</v>
      </c>
      <c r="AH2798" s="1" t="s">
        <v>49</v>
      </c>
      <c r="AI2798" s="1" t="s">
        <v>54</v>
      </c>
      <c r="AJ2798" s="1">
        <v>1</v>
      </c>
      <c r="AK2798" s="1" t="str">
        <f t="shared" si="43"/>
        <v xml:space="preserve"> =&lt;90</v>
      </c>
      <c r="AL2798" s="1" t="str">
        <f>VLOOKUP(C:C,[1]基础信息!B$1:D$65536,3,0)</f>
        <v xml:space="preserve">Cartridge </v>
      </c>
      <c r="AM2798" s="1" t="str">
        <f>VLOOKUP(C:C,[1]基础信息!B$1:E$65536,4,0)</f>
        <v>UNIV</v>
      </c>
      <c r="AN2798" s="1" t="str">
        <f>VLOOKUP(C:C,[1]基础信息!B$1:F$65536,5,0)</f>
        <v>P3</v>
      </c>
    </row>
    <row r="2799" spans="1:40">
      <c r="A2799" s="1" t="s">
        <v>41</v>
      </c>
      <c r="B2799" s="1" t="s">
        <v>42</v>
      </c>
      <c r="C2799" s="1" t="s">
        <v>3512</v>
      </c>
      <c r="D2799" s="1" t="s">
        <v>3513</v>
      </c>
      <c r="E2799" s="1" t="s">
        <v>45</v>
      </c>
      <c r="F2799" s="1" t="s">
        <v>5145</v>
      </c>
      <c r="G2799" s="1" t="s">
        <v>6429</v>
      </c>
      <c r="H2799" s="1" t="s">
        <v>6430</v>
      </c>
      <c r="I2799" s="1" t="s">
        <v>49</v>
      </c>
      <c r="J2799" s="1" t="s">
        <v>48</v>
      </c>
      <c r="K2799" s="1">
        <v>840</v>
      </c>
      <c r="L2799" s="1">
        <v>0</v>
      </c>
      <c r="M2799" s="1">
        <v>0</v>
      </c>
      <c r="N2799" s="1">
        <v>840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 t="s">
        <v>49</v>
      </c>
      <c r="AA2799" s="1" t="s">
        <v>49</v>
      </c>
      <c r="AB2799" s="1" t="s">
        <v>49</v>
      </c>
      <c r="AC2799" s="1" t="s">
        <v>144</v>
      </c>
      <c r="AD2799" s="1" t="s">
        <v>145</v>
      </c>
      <c r="AE2799" s="1" t="s">
        <v>144</v>
      </c>
      <c r="AF2799" s="1" t="s">
        <v>5148</v>
      </c>
      <c r="AG2799" s="1" t="s">
        <v>53</v>
      </c>
      <c r="AH2799" s="1" t="s">
        <v>49</v>
      </c>
      <c r="AI2799" s="1" t="s">
        <v>54</v>
      </c>
      <c r="AJ2799" s="1">
        <v>1</v>
      </c>
      <c r="AK2799" s="1" t="str">
        <f t="shared" si="43"/>
        <v xml:space="preserve"> =&lt;90</v>
      </c>
      <c r="AL2799" s="1" t="str">
        <f>VLOOKUP(C:C,[1]基础信息!B$1:D$65536,3,0)</f>
        <v xml:space="preserve">Cartridge </v>
      </c>
      <c r="AM2799" s="1" t="str">
        <f>VLOOKUP(C:C,[1]基础信息!B$1:E$65536,4,0)</f>
        <v>UNIV</v>
      </c>
      <c r="AN2799" s="1" t="str">
        <f>VLOOKUP(C:C,[1]基础信息!B$1:F$65536,5,0)</f>
        <v>P3</v>
      </c>
    </row>
    <row r="2800" spans="1:40">
      <c r="A2800" s="1" t="s">
        <v>41</v>
      </c>
      <c r="B2800" s="1" t="s">
        <v>42</v>
      </c>
      <c r="C2800" s="1" t="s">
        <v>3512</v>
      </c>
      <c r="D2800" s="1" t="s">
        <v>3513</v>
      </c>
      <c r="E2800" s="1" t="s">
        <v>45</v>
      </c>
      <c r="F2800" s="1" t="s">
        <v>5145</v>
      </c>
      <c r="G2800" s="1" t="s">
        <v>6431</v>
      </c>
      <c r="H2800" s="1" t="s">
        <v>6432</v>
      </c>
      <c r="I2800" s="1" t="s">
        <v>49</v>
      </c>
      <c r="J2800" s="1" t="s">
        <v>48</v>
      </c>
      <c r="K2800" s="1">
        <v>840</v>
      </c>
      <c r="L2800" s="1">
        <v>0</v>
      </c>
      <c r="M2800" s="1">
        <v>0</v>
      </c>
      <c r="N2800" s="1">
        <v>840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 t="s">
        <v>49</v>
      </c>
      <c r="AA2800" s="1" t="s">
        <v>49</v>
      </c>
      <c r="AB2800" s="1" t="s">
        <v>49</v>
      </c>
      <c r="AC2800" s="1" t="s">
        <v>144</v>
      </c>
      <c r="AD2800" s="1" t="s">
        <v>145</v>
      </c>
      <c r="AE2800" s="1" t="s">
        <v>144</v>
      </c>
      <c r="AF2800" s="1" t="s">
        <v>5148</v>
      </c>
      <c r="AG2800" s="1" t="s">
        <v>53</v>
      </c>
      <c r="AH2800" s="1" t="s">
        <v>49</v>
      </c>
      <c r="AI2800" s="1" t="s">
        <v>54</v>
      </c>
      <c r="AJ2800" s="1">
        <v>1</v>
      </c>
      <c r="AK2800" s="1" t="str">
        <f t="shared" si="43"/>
        <v xml:space="preserve"> =&lt;90</v>
      </c>
      <c r="AL2800" s="1" t="str">
        <f>VLOOKUP(C:C,[1]基础信息!B$1:D$65536,3,0)</f>
        <v xml:space="preserve">Cartridge </v>
      </c>
      <c r="AM2800" s="1" t="str">
        <f>VLOOKUP(C:C,[1]基础信息!B$1:E$65536,4,0)</f>
        <v>UNIV</v>
      </c>
      <c r="AN2800" s="1" t="str">
        <f>VLOOKUP(C:C,[1]基础信息!B$1:F$65536,5,0)</f>
        <v>P3</v>
      </c>
    </row>
    <row r="2801" spans="1:40">
      <c r="A2801" s="1" t="s">
        <v>41</v>
      </c>
      <c r="B2801" s="1" t="s">
        <v>42</v>
      </c>
      <c r="C2801" s="1" t="s">
        <v>3512</v>
      </c>
      <c r="D2801" s="1" t="s">
        <v>3513</v>
      </c>
      <c r="E2801" s="1" t="s">
        <v>45</v>
      </c>
      <c r="F2801" s="1" t="s">
        <v>5145</v>
      </c>
      <c r="G2801" s="1" t="s">
        <v>6433</v>
      </c>
      <c r="H2801" s="1" t="s">
        <v>6434</v>
      </c>
      <c r="I2801" s="1" t="s">
        <v>49</v>
      </c>
      <c r="J2801" s="1" t="s">
        <v>48</v>
      </c>
      <c r="K2801" s="1">
        <v>840</v>
      </c>
      <c r="L2801" s="1">
        <v>0</v>
      </c>
      <c r="M2801" s="1">
        <v>0</v>
      </c>
      <c r="N2801" s="1">
        <v>840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 t="s">
        <v>49</v>
      </c>
      <c r="AA2801" s="1" t="s">
        <v>49</v>
      </c>
      <c r="AB2801" s="1" t="s">
        <v>49</v>
      </c>
      <c r="AC2801" s="1" t="s">
        <v>144</v>
      </c>
      <c r="AD2801" s="1" t="s">
        <v>145</v>
      </c>
      <c r="AE2801" s="1" t="s">
        <v>144</v>
      </c>
      <c r="AF2801" s="1" t="s">
        <v>5148</v>
      </c>
      <c r="AG2801" s="1" t="s">
        <v>53</v>
      </c>
      <c r="AH2801" s="1" t="s">
        <v>49</v>
      </c>
      <c r="AI2801" s="1" t="s">
        <v>54</v>
      </c>
      <c r="AJ2801" s="1">
        <v>1</v>
      </c>
      <c r="AK2801" s="1" t="str">
        <f t="shared" si="43"/>
        <v xml:space="preserve"> =&lt;90</v>
      </c>
      <c r="AL2801" s="1" t="str">
        <f>VLOOKUP(C:C,[1]基础信息!B$1:D$65536,3,0)</f>
        <v xml:space="preserve">Cartridge </v>
      </c>
      <c r="AM2801" s="1" t="str">
        <f>VLOOKUP(C:C,[1]基础信息!B$1:E$65536,4,0)</f>
        <v>UNIV</v>
      </c>
      <c r="AN2801" s="1" t="str">
        <f>VLOOKUP(C:C,[1]基础信息!B$1:F$65536,5,0)</f>
        <v>P3</v>
      </c>
    </row>
    <row r="2802" spans="1:40">
      <c r="A2802" s="1" t="s">
        <v>41</v>
      </c>
      <c r="B2802" s="1" t="s">
        <v>42</v>
      </c>
      <c r="C2802" s="1" t="s">
        <v>3512</v>
      </c>
      <c r="D2802" s="1" t="s">
        <v>3513</v>
      </c>
      <c r="E2802" s="1" t="s">
        <v>45</v>
      </c>
      <c r="F2802" s="1" t="s">
        <v>5145</v>
      </c>
      <c r="G2802" s="1" t="s">
        <v>6435</v>
      </c>
      <c r="H2802" s="1" t="s">
        <v>6436</v>
      </c>
      <c r="I2802" s="1" t="s">
        <v>49</v>
      </c>
      <c r="J2802" s="1" t="s">
        <v>48</v>
      </c>
      <c r="K2802" s="1">
        <v>840</v>
      </c>
      <c r="L2802" s="1">
        <v>0</v>
      </c>
      <c r="M2802" s="1">
        <v>0</v>
      </c>
      <c r="N2802" s="1">
        <v>840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 t="s">
        <v>49</v>
      </c>
      <c r="AA2802" s="1" t="s">
        <v>49</v>
      </c>
      <c r="AB2802" s="1" t="s">
        <v>49</v>
      </c>
      <c r="AC2802" s="1" t="s">
        <v>144</v>
      </c>
      <c r="AD2802" s="1" t="s">
        <v>145</v>
      </c>
      <c r="AE2802" s="1" t="s">
        <v>144</v>
      </c>
      <c r="AF2802" s="1" t="s">
        <v>5148</v>
      </c>
      <c r="AG2802" s="1" t="s">
        <v>53</v>
      </c>
      <c r="AH2802" s="1" t="s">
        <v>49</v>
      </c>
      <c r="AI2802" s="1" t="s">
        <v>54</v>
      </c>
      <c r="AJ2802" s="1">
        <v>1</v>
      </c>
      <c r="AK2802" s="1" t="str">
        <f t="shared" si="43"/>
        <v xml:space="preserve"> =&lt;90</v>
      </c>
      <c r="AL2802" s="1" t="str">
        <f>VLOOKUP(C:C,[1]基础信息!B$1:D$65536,3,0)</f>
        <v xml:space="preserve">Cartridge </v>
      </c>
      <c r="AM2802" s="1" t="str">
        <f>VLOOKUP(C:C,[1]基础信息!B$1:E$65536,4,0)</f>
        <v>UNIV</v>
      </c>
      <c r="AN2802" s="1" t="str">
        <f>VLOOKUP(C:C,[1]基础信息!B$1:F$65536,5,0)</f>
        <v>P3</v>
      </c>
    </row>
    <row r="2803" spans="1:40">
      <c r="A2803" s="1" t="s">
        <v>41</v>
      </c>
      <c r="B2803" s="1" t="s">
        <v>42</v>
      </c>
      <c r="C2803" s="1" t="s">
        <v>3512</v>
      </c>
      <c r="D2803" s="1" t="s">
        <v>3513</v>
      </c>
      <c r="E2803" s="1" t="s">
        <v>45</v>
      </c>
      <c r="F2803" s="1" t="s">
        <v>5145</v>
      </c>
      <c r="G2803" s="1" t="s">
        <v>6437</v>
      </c>
      <c r="H2803" s="1" t="s">
        <v>6438</v>
      </c>
      <c r="I2803" s="1" t="s">
        <v>49</v>
      </c>
      <c r="J2803" s="1" t="s">
        <v>48</v>
      </c>
      <c r="K2803" s="1">
        <v>840</v>
      </c>
      <c r="L2803" s="1">
        <v>0</v>
      </c>
      <c r="M2803" s="1">
        <v>0</v>
      </c>
      <c r="N2803" s="1">
        <v>840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 t="s">
        <v>49</v>
      </c>
      <c r="AA2803" s="1" t="s">
        <v>49</v>
      </c>
      <c r="AB2803" s="1" t="s">
        <v>49</v>
      </c>
      <c r="AC2803" s="1" t="s">
        <v>144</v>
      </c>
      <c r="AD2803" s="1" t="s">
        <v>145</v>
      </c>
      <c r="AE2803" s="1" t="s">
        <v>144</v>
      </c>
      <c r="AF2803" s="1" t="s">
        <v>5148</v>
      </c>
      <c r="AG2803" s="1" t="s">
        <v>53</v>
      </c>
      <c r="AH2803" s="1" t="s">
        <v>49</v>
      </c>
      <c r="AI2803" s="1" t="s">
        <v>54</v>
      </c>
      <c r="AJ2803" s="1">
        <v>1</v>
      </c>
      <c r="AK2803" s="1" t="str">
        <f t="shared" si="43"/>
        <v xml:space="preserve"> =&lt;90</v>
      </c>
      <c r="AL2803" s="1" t="str">
        <f>VLOOKUP(C:C,[1]基础信息!B$1:D$65536,3,0)</f>
        <v xml:space="preserve">Cartridge </v>
      </c>
      <c r="AM2803" s="1" t="str">
        <f>VLOOKUP(C:C,[1]基础信息!B$1:E$65536,4,0)</f>
        <v>UNIV</v>
      </c>
      <c r="AN2803" s="1" t="str">
        <f>VLOOKUP(C:C,[1]基础信息!B$1:F$65536,5,0)</f>
        <v>P3</v>
      </c>
    </row>
    <row r="2804" spans="1:40">
      <c r="A2804" s="1" t="s">
        <v>41</v>
      </c>
      <c r="B2804" s="1" t="s">
        <v>42</v>
      </c>
      <c r="C2804" s="1" t="s">
        <v>4352</v>
      </c>
      <c r="D2804" s="1" t="s">
        <v>4353</v>
      </c>
      <c r="E2804" s="1" t="s">
        <v>45</v>
      </c>
      <c r="F2804" s="1" t="s">
        <v>6439</v>
      </c>
      <c r="G2804" s="1" t="s">
        <v>6440</v>
      </c>
      <c r="H2804" s="1" t="s">
        <v>6441</v>
      </c>
      <c r="I2804" s="1" t="s">
        <v>49</v>
      </c>
      <c r="J2804" s="1" t="s">
        <v>48</v>
      </c>
      <c r="K2804" s="1">
        <v>336</v>
      </c>
      <c r="L2804" s="1">
        <v>0</v>
      </c>
      <c r="M2804" s="1">
        <v>0</v>
      </c>
      <c r="N2804" s="1">
        <v>336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 t="s">
        <v>49</v>
      </c>
      <c r="AA2804" s="1" t="s">
        <v>49</v>
      </c>
      <c r="AB2804" s="1" t="s">
        <v>49</v>
      </c>
      <c r="AC2804" s="1" t="s">
        <v>144</v>
      </c>
      <c r="AD2804" s="1" t="s">
        <v>145</v>
      </c>
      <c r="AE2804" s="1" t="s">
        <v>144</v>
      </c>
      <c r="AF2804" s="1" t="s">
        <v>6086</v>
      </c>
      <c r="AG2804" s="1" t="s">
        <v>53</v>
      </c>
      <c r="AH2804" s="1" t="s">
        <v>49</v>
      </c>
      <c r="AI2804" s="1" t="s">
        <v>54</v>
      </c>
      <c r="AJ2804" s="1">
        <v>1</v>
      </c>
      <c r="AK2804" s="1" t="str">
        <f t="shared" si="43"/>
        <v xml:space="preserve"> =&lt;90</v>
      </c>
      <c r="AL2804" s="1" t="e">
        <f>VLOOKUP(C:C,[1]基础信息!B$1:D$65536,3,0)</f>
        <v>#N/A</v>
      </c>
      <c r="AM2804" s="1" t="e">
        <f>VLOOKUP(C:C,[1]基础信息!B$1:E$65536,4,0)</f>
        <v>#N/A</v>
      </c>
      <c r="AN2804" s="1" t="e">
        <f>VLOOKUP(C:C,[1]基础信息!B$1:F$65536,5,0)</f>
        <v>#N/A</v>
      </c>
    </row>
    <row r="2805" spans="1:40">
      <c r="A2805" s="1" t="s">
        <v>41</v>
      </c>
      <c r="B2805" s="1" t="s">
        <v>42</v>
      </c>
      <c r="C2805" s="1" t="s">
        <v>4352</v>
      </c>
      <c r="D2805" s="1" t="s">
        <v>4353</v>
      </c>
      <c r="E2805" s="1" t="s">
        <v>45</v>
      </c>
      <c r="F2805" s="1" t="s">
        <v>6439</v>
      </c>
      <c r="G2805" s="1" t="s">
        <v>6442</v>
      </c>
      <c r="H2805" s="1" t="s">
        <v>6443</v>
      </c>
      <c r="I2805" s="1" t="s">
        <v>49</v>
      </c>
      <c r="J2805" s="1" t="s">
        <v>48</v>
      </c>
      <c r="K2805" s="1">
        <v>336</v>
      </c>
      <c r="L2805" s="1">
        <v>0</v>
      </c>
      <c r="M2805" s="1">
        <v>0</v>
      </c>
      <c r="N2805" s="1">
        <v>336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 t="s">
        <v>49</v>
      </c>
      <c r="AA2805" s="1" t="s">
        <v>49</v>
      </c>
      <c r="AB2805" s="1" t="s">
        <v>49</v>
      </c>
      <c r="AC2805" s="1" t="s">
        <v>144</v>
      </c>
      <c r="AD2805" s="1" t="s">
        <v>145</v>
      </c>
      <c r="AE2805" s="1" t="s">
        <v>144</v>
      </c>
      <c r="AF2805" s="1" t="s">
        <v>6086</v>
      </c>
      <c r="AG2805" s="1" t="s">
        <v>53</v>
      </c>
      <c r="AH2805" s="1" t="s">
        <v>49</v>
      </c>
      <c r="AI2805" s="1" t="s">
        <v>54</v>
      </c>
      <c r="AJ2805" s="1">
        <v>1</v>
      </c>
      <c r="AK2805" s="1" t="str">
        <f t="shared" si="43"/>
        <v xml:space="preserve"> =&lt;90</v>
      </c>
      <c r="AL2805" s="1" t="e">
        <f>VLOOKUP(C:C,[1]基础信息!B$1:D$65536,3,0)</f>
        <v>#N/A</v>
      </c>
      <c r="AM2805" s="1" t="e">
        <f>VLOOKUP(C:C,[1]基础信息!B$1:E$65536,4,0)</f>
        <v>#N/A</v>
      </c>
      <c r="AN2805" s="1" t="e">
        <f>VLOOKUP(C:C,[1]基础信息!B$1:F$65536,5,0)</f>
        <v>#N/A</v>
      </c>
    </row>
    <row r="2806" spans="1:40">
      <c r="A2806" s="1" t="s">
        <v>41</v>
      </c>
      <c r="B2806" s="1" t="s">
        <v>42</v>
      </c>
      <c r="C2806" s="1" t="s">
        <v>4352</v>
      </c>
      <c r="D2806" s="1" t="s">
        <v>4353</v>
      </c>
      <c r="E2806" s="1" t="s">
        <v>45</v>
      </c>
      <c r="F2806" s="1" t="s">
        <v>6439</v>
      </c>
      <c r="G2806" s="1" t="s">
        <v>6444</v>
      </c>
      <c r="H2806" s="1" t="s">
        <v>6445</v>
      </c>
      <c r="I2806" s="1" t="s">
        <v>49</v>
      </c>
      <c r="J2806" s="1" t="s">
        <v>48</v>
      </c>
      <c r="K2806" s="1">
        <v>336</v>
      </c>
      <c r="L2806" s="1">
        <v>0</v>
      </c>
      <c r="M2806" s="1">
        <v>0</v>
      </c>
      <c r="N2806" s="1">
        <v>336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 t="s">
        <v>49</v>
      </c>
      <c r="AA2806" s="1" t="s">
        <v>49</v>
      </c>
      <c r="AB2806" s="1" t="s">
        <v>49</v>
      </c>
      <c r="AC2806" s="1" t="s">
        <v>144</v>
      </c>
      <c r="AD2806" s="1" t="s">
        <v>145</v>
      </c>
      <c r="AE2806" s="1" t="s">
        <v>144</v>
      </c>
      <c r="AF2806" s="1" t="s">
        <v>6086</v>
      </c>
      <c r="AG2806" s="1" t="s">
        <v>53</v>
      </c>
      <c r="AH2806" s="1" t="s">
        <v>49</v>
      </c>
      <c r="AI2806" s="1" t="s">
        <v>54</v>
      </c>
      <c r="AJ2806" s="1">
        <v>1</v>
      </c>
      <c r="AK2806" s="1" t="str">
        <f t="shared" si="43"/>
        <v xml:space="preserve"> =&lt;90</v>
      </c>
      <c r="AL2806" s="1" t="e">
        <f>VLOOKUP(C:C,[1]基础信息!B$1:D$65536,3,0)</f>
        <v>#N/A</v>
      </c>
      <c r="AM2806" s="1" t="e">
        <f>VLOOKUP(C:C,[1]基础信息!B$1:E$65536,4,0)</f>
        <v>#N/A</v>
      </c>
      <c r="AN2806" s="1" t="e">
        <f>VLOOKUP(C:C,[1]基础信息!B$1:F$65536,5,0)</f>
        <v>#N/A</v>
      </c>
    </row>
    <row r="2807" spans="1:40">
      <c r="A2807" s="1" t="s">
        <v>41</v>
      </c>
      <c r="B2807" s="1" t="s">
        <v>42</v>
      </c>
      <c r="C2807" s="1" t="s">
        <v>4352</v>
      </c>
      <c r="D2807" s="1" t="s">
        <v>4353</v>
      </c>
      <c r="E2807" s="1" t="s">
        <v>45</v>
      </c>
      <c r="F2807" s="1" t="s">
        <v>6439</v>
      </c>
      <c r="G2807" s="1" t="s">
        <v>6446</v>
      </c>
      <c r="H2807" s="1" t="s">
        <v>6447</v>
      </c>
      <c r="I2807" s="1" t="s">
        <v>49</v>
      </c>
      <c r="J2807" s="1" t="s">
        <v>48</v>
      </c>
      <c r="K2807" s="1">
        <v>336</v>
      </c>
      <c r="L2807" s="1">
        <v>0</v>
      </c>
      <c r="M2807" s="1">
        <v>0</v>
      </c>
      <c r="N2807" s="1">
        <v>336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 t="s">
        <v>49</v>
      </c>
      <c r="AA2807" s="1" t="s">
        <v>49</v>
      </c>
      <c r="AB2807" s="1" t="s">
        <v>49</v>
      </c>
      <c r="AC2807" s="1" t="s">
        <v>144</v>
      </c>
      <c r="AD2807" s="1" t="s">
        <v>145</v>
      </c>
      <c r="AE2807" s="1" t="s">
        <v>144</v>
      </c>
      <c r="AF2807" s="1" t="s">
        <v>6086</v>
      </c>
      <c r="AG2807" s="1" t="s">
        <v>53</v>
      </c>
      <c r="AH2807" s="1" t="s">
        <v>49</v>
      </c>
      <c r="AI2807" s="1" t="s">
        <v>54</v>
      </c>
      <c r="AJ2807" s="1">
        <v>1</v>
      </c>
      <c r="AK2807" s="1" t="str">
        <f t="shared" si="43"/>
        <v xml:space="preserve"> =&lt;90</v>
      </c>
      <c r="AL2807" s="1" t="e">
        <f>VLOOKUP(C:C,[1]基础信息!B$1:D$65536,3,0)</f>
        <v>#N/A</v>
      </c>
      <c r="AM2807" s="1" t="e">
        <f>VLOOKUP(C:C,[1]基础信息!B$1:E$65536,4,0)</f>
        <v>#N/A</v>
      </c>
      <c r="AN2807" s="1" t="e">
        <f>VLOOKUP(C:C,[1]基础信息!B$1:F$65536,5,0)</f>
        <v>#N/A</v>
      </c>
    </row>
    <row r="2808" spans="1:40">
      <c r="A2808" s="1" t="s">
        <v>41</v>
      </c>
      <c r="B2808" s="1" t="s">
        <v>42</v>
      </c>
      <c r="C2808" s="1" t="s">
        <v>4352</v>
      </c>
      <c r="D2808" s="1" t="s">
        <v>4353</v>
      </c>
      <c r="E2808" s="1" t="s">
        <v>45</v>
      </c>
      <c r="F2808" s="1" t="s">
        <v>6439</v>
      </c>
      <c r="G2808" s="1" t="s">
        <v>6448</v>
      </c>
      <c r="H2808" s="1" t="s">
        <v>6449</v>
      </c>
      <c r="I2808" s="1" t="s">
        <v>49</v>
      </c>
      <c r="J2808" s="1" t="s">
        <v>48</v>
      </c>
      <c r="K2808" s="1">
        <v>336</v>
      </c>
      <c r="L2808" s="1">
        <v>0</v>
      </c>
      <c r="M2808" s="1">
        <v>0</v>
      </c>
      <c r="N2808" s="1">
        <v>336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 t="s">
        <v>49</v>
      </c>
      <c r="AA2808" s="1" t="s">
        <v>49</v>
      </c>
      <c r="AB2808" s="1" t="s">
        <v>49</v>
      </c>
      <c r="AC2808" s="1" t="s">
        <v>144</v>
      </c>
      <c r="AD2808" s="1" t="s">
        <v>145</v>
      </c>
      <c r="AE2808" s="1" t="s">
        <v>144</v>
      </c>
      <c r="AF2808" s="1" t="s">
        <v>6086</v>
      </c>
      <c r="AG2808" s="1" t="s">
        <v>53</v>
      </c>
      <c r="AH2808" s="1" t="s">
        <v>49</v>
      </c>
      <c r="AI2808" s="1" t="s">
        <v>54</v>
      </c>
      <c r="AJ2808" s="1">
        <v>1</v>
      </c>
      <c r="AK2808" s="1" t="str">
        <f t="shared" si="43"/>
        <v xml:space="preserve"> =&lt;90</v>
      </c>
      <c r="AL2808" s="1" t="e">
        <f>VLOOKUP(C:C,[1]基础信息!B$1:D$65536,3,0)</f>
        <v>#N/A</v>
      </c>
      <c r="AM2808" s="1" t="e">
        <f>VLOOKUP(C:C,[1]基础信息!B$1:E$65536,4,0)</f>
        <v>#N/A</v>
      </c>
      <c r="AN2808" s="1" t="e">
        <f>VLOOKUP(C:C,[1]基础信息!B$1:F$65536,5,0)</f>
        <v>#N/A</v>
      </c>
    </row>
    <row r="2809" spans="1:40">
      <c r="A2809" s="1" t="s">
        <v>41</v>
      </c>
      <c r="B2809" s="1" t="s">
        <v>42</v>
      </c>
      <c r="C2809" s="1" t="s">
        <v>4352</v>
      </c>
      <c r="D2809" s="1" t="s">
        <v>4353</v>
      </c>
      <c r="E2809" s="1" t="s">
        <v>45</v>
      </c>
      <c r="F2809" s="1" t="s">
        <v>6439</v>
      </c>
      <c r="G2809" s="1" t="s">
        <v>6450</v>
      </c>
      <c r="H2809" s="1" t="s">
        <v>6451</v>
      </c>
      <c r="I2809" s="1" t="s">
        <v>49</v>
      </c>
      <c r="J2809" s="1" t="s">
        <v>48</v>
      </c>
      <c r="K2809" s="1">
        <v>336</v>
      </c>
      <c r="L2809" s="1">
        <v>0</v>
      </c>
      <c r="M2809" s="1">
        <v>0</v>
      </c>
      <c r="N2809" s="1">
        <v>336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 t="s">
        <v>49</v>
      </c>
      <c r="AA2809" s="1" t="s">
        <v>49</v>
      </c>
      <c r="AB2809" s="1" t="s">
        <v>49</v>
      </c>
      <c r="AC2809" s="1" t="s">
        <v>144</v>
      </c>
      <c r="AD2809" s="1" t="s">
        <v>145</v>
      </c>
      <c r="AE2809" s="1" t="s">
        <v>144</v>
      </c>
      <c r="AF2809" s="1" t="s">
        <v>6086</v>
      </c>
      <c r="AG2809" s="1" t="s">
        <v>53</v>
      </c>
      <c r="AH2809" s="1" t="s">
        <v>49</v>
      </c>
      <c r="AI2809" s="1" t="s">
        <v>54</v>
      </c>
      <c r="AJ2809" s="1">
        <v>1</v>
      </c>
      <c r="AK2809" s="1" t="str">
        <f t="shared" si="43"/>
        <v xml:space="preserve"> =&lt;90</v>
      </c>
      <c r="AL2809" s="1" t="e">
        <f>VLOOKUP(C:C,[1]基础信息!B$1:D$65536,3,0)</f>
        <v>#N/A</v>
      </c>
      <c r="AM2809" s="1" t="e">
        <f>VLOOKUP(C:C,[1]基础信息!B$1:E$65536,4,0)</f>
        <v>#N/A</v>
      </c>
      <c r="AN2809" s="1" t="e">
        <f>VLOOKUP(C:C,[1]基础信息!B$1:F$65536,5,0)</f>
        <v>#N/A</v>
      </c>
    </row>
    <row r="2810" spans="1:40">
      <c r="A2810" s="1" t="s">
        <v>41</v>
      </c>
      <c r="B2810" s="1" t="s">
        <v>42</v>
      </c>
      <c r="C2810" s="1" t="s">
        <v>4352</v>
      </c>
      <c r="D2810" s="1" t="s">
        <v>4353</v>
      </c>
      <c r="E2810" s="1" t="s">
        <v>45</v>
      </c>
      <c r="F2810" s="1" t="s">
        <v>6439</v>
      </c>
      <c r="G2810" s="1" t="s">
        <v>6452</v>
      </c>
      <c r="H2810" s="1" t="s">
        <v>6453</v>
      </c>
      <c r="I2810" s="1" t="s">
        <v>49</v>
      </c>
      <c r="J2810" s="1" t="s">
        <v>48</v>
      </c>
      <c r="K2810" s="1">
        <v>336</v>
      </c>
      <c r="L2810" s="1">
        <v>0</v>
      </c>
      <c r="M2810" s="1">
        <v>0</v>
      </c>
      <c r="N2810" s="1">
        <v>336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 t="s">
        <v>49</v>
      </c>
      <c r="AA2810" s="1" t="s">
        <v>49</v>
      </c>
      <c r="AB2810" s="1" t="s">
        <v>49</v>
      </c>
      <c r="AC2810" s="1" t="s">
        <v>144</v>
      </c>
      <c r="AD2810" s="1" t="s">
        <v>145</v>
      </c>
      <c r="AE2810" s="1" t="s">
        <v>144</v>
      </c>
      <c r="AF2810" s="1" t="s">
        <v>6086</v>
      </c>
      <c r="AG2810" s="1" t="s">
        <v>53</v>
      </c>
      <c r="AH2810" s="1" t="s">
        <v>49</v>
      </c>
      <c r="AI2810" s="1" t="s">
        <v>54</v>
      </c>
      <c r="AJ2810" s="1">
        <v>1</v>
      </c>
      <c r="AK2810" s="1" t="str">
        <f t="shared" si="43"/>
        <v xml:space="preserve"> =&lt;90</v>
      </c>
      <c r="AL2810" s="1" t="e">
        <f>VLOOKUP(C:C,[1]基础信息!B$1:D$65536,3,0)</f>
        <v>#N/A</v>
      </c>
      <c r="AM2810" s="1" t="e">
        <f>VLOOKUP(C:C,[1]基础信息!B$1:E$65536,4,0)</f>
        <v>#N/A</v>
      </c>
      <c r="AN2810" s="1" t="e">
        <f>VLOOKUP(C:C,[1]基础信息!B$1:F$65536,5,0)</f>
        <v>#N/A</v>
      </c>
    </row>
    <row r="2811" spans="1:40">
      <c r="A2811" s="1" t="s">
        <v>41</v>
      </c>
      <c r="B2811" s="1" t="s">
        <v>42</v>
      </c>
      <c r="C2811" s="1" t="s">
        <v>4352</v>
      </c>
      <c r="D2811" s="1" t="s">
        <v>4353</v>
      </c>
      <c r="E2811" s="1" t="s">
        <v>45</v>
      </c>
      <c r="F2811" s="1" t="s">
        <v>6439</v>
      </c>
      <c r="G2811" s="1" t="s">
        <v>6454</v>
      </c>
      <c r="H2811" s="1" t="s">
        <v>6455</v>
      </c>
      <c r="I2811" s="1" t="s">
        <v>49</v>
      </c>
      <c r="J2811" s="1" t="s">
        <v>48</v>
      </c>
      <c r="K2811" s="1">
        <v>184</v>
      </c>
      <c r="L2811" s="1">
        <v>0</v>
      </c>
      <c r="M2811" s="1">
        <v>0</v>
      </c>
      <c r="N2811" s="1">
        <v>184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 t="s">
        <v>49</v>
      </c>
      <c r="AA2811" s="1" t="s">
        <v>49</v>
      </c>
      <c r="AB2811" s="1" t="s">
        <v>49</v>
      </c>
      <c r="AC2811" s="1" t="s">
        <v>144</v>
      </c>
      <c r="AD2811" s="1" t="s">
        <v>145</v>
      </c>
      <c r="AE2811" s="1" t="s">
        <v>144</v>
      </c>
      <c r="AF2811" s="1" t="s">
        <v>6086</v>
      </c>
      <c r="AG2811" s="1" t="s">
        <v>53</v>
      </c>
      <c r="AH2811" s="1" t="s">
        <v>49</v>
      </c>
      <c r="AI2811" s="1" t="s">
        <v>54</v>
      </c>
      <c r="AJ2811" s="1">
        <v>1</v>
      </c>
      <c r="AK2811" s="1" t="str">
        <f t="shared" si="43"/>
        <v xml:space="preserve"> =&lt;90</v>
      </c>
      <c r="AL2811" s="1" t="e">
        <f>VLOOKUP(C:C,[1]基础信息!B$1:D$65536,3,0)</f>
        <v>#N/A</v>
      </c>
      <c r="AM2811" s="1" t="e">
        <f>VLOOKUP(C:C,[1]基础信息!B$1:E$65536,4,0)</f>
        <v>#N/A</v>
      </c>
      <c r="AN2811" s="1" t="e">
        <f>VLOOKUP(C:C,[1]基础信息!B$1:F$65536,5,0)</f>
        <v>#N/A</v>
      </c>
    </row>
    <row r="2812" spans="1:40">
      <c r="A2812" s="1" t="s">
        <v>41</v>
      </c>
      <c r="B2812" s="1" t="s">
        <v>42</v>
      </c>
      <c r="C2812" s="1" t="s">
        <v>3971</v>
      </c>
      <c r="D2812" s="1" t="s">
        <v>3972</v>
      </c>
      <c r="E2812" s="1" t="s">
        <v>45</v>
      </c>
      <c r="F2812" s="1" t="s">
        <v>5602</v>
      </c>
      <c r="G2812" s="1" t="s">
        <v>6456</v>
      </c>
      <c r="H2812" s="1" t="s">
        <v>6457</v>
      </c>
      <c r="I2812" s="1" t="s">
        <v>49</v>
      </c>
      <c r="J2812" s="1" t="s">
        <v>48</v>
      </c>
      <c r="K2812" s="1">
        <v>96</v>
      </c>
      <c r="L2812" s="1">
        <v>0</v>
      </c>
      <c r="M2812" s="1">
        <v>0</v>
      </c>
      <c r="N2812" s="1">
        <v>96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 t="s">
        <v>49</v>
      </c>
      <c r="AA2812" s="1" t="s">
        <v>49</v>
      </c>
      <c r="AB2812" s="1" t="s">
        <v>49</v>
      </c>
      <c r="AC2812" s="1" t="s">
        <v>1008</v>
      </c>
      <c r="AD2812" s="1" t="s">
        <v>1009</v>
      </c>
      <c r="AE2812" s="1" t="s">
        <v>1008</v>
      </c>
      <c r="AF2812" s="1" t="s">
        <v>5605</v>
      </c>
      <c r="AG2812" s="1" t="s">
        <v>53</v>
      </c>
      <c r="AH2812" s="1" t="s">
        <v>49</v>
      </c>
      <c r="AI2812" s="1" t="s">
        <v>54</v>
      </c>
      <c r="AJ2812" s="1">
        <v>1</v>
      </c>
      <c r="AK2812" s="1" t="str">
        <f t="shared" si="43"/>
        <v xml:space="preserve"> =&lt;90</v>
      </c>
      <c r="AL2812" s="1" t="str">
        <f>VLOOKUP(C:C,[1]基础信息!B$1:D$65536,3,0)</f>
        <v>Jug</v>
      </c>
      <c r="AM2812" s="1" t="str">
        <f>VLOOKUP(C:C,[1]基础信息!B$1:E$65536,4,0)</f>
        <v>Mxplus</v>
      </c>
      <c r="AN2812" s="1" t="str">
        <f>VLOOKUP(C:C,[1]基础信息!B$1:F$65536,5,0)</f>
        <v xml:space="preserve"> lime</v>
      </c>
    </row>
    <row r="2813" spans="1:40">
      <c r="A2813" s="1" t="s">
        <v>41</v>
      </c>
      <c r="B2813" s="1" t="s">
        <v>42</v>
      </c>
      <c r="C2813" s="1" t="s">
        <v>5076</v>
      </c>
      <c r="D2813" s="1" t="s">
        <v>5077</v>
      </c>
      <c r="E2813" s="1" t="s">
        <v>5076</v>
      </c>
      <c r="F2813" s="1" t="s">
        <v>6458</v>
      </c>
      <c r="G2813" s="1" t="s">
        <v>6459</v>
      </c>
      <c r="H2813" s="1" t="s">
        <v>6460</v>
      </c>
      <c r="I2813" s="1" t="s">
        <v>49</v>
      </c>
      <c r="J2813" s="1" t="s">
        <v>48</v>
      </c>
      <c r="K2813" s="1">
        <v>120</v>
      </c>
      <c r="L2813" s="1">
        <v>0</v>
      </c>
      <c r="M2813" s="1">
        <v>0</v>
      </c>
      <c r="N2813" s="1">
        <v>120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 t="s">
        <v>49</v>
      </c>
      <c r="AA2813" s="1" t="s">
        <v>49</v>
      </c>
      <c r="AB2813" s="1" t="s">
        <v>49</v>
      </c>
      <c r="AC2813" s="1" t="s">
        <v>144</v>
      </c>
      <c r="AD2813" s="1" t="s">
        <v>145</v>
      </c>
      <c r="AE2813" s="1" t="s">
        <v>144</v>
      </c>
      <c r="AF2813" s="1" t="s">
        <v>6461</v>
      </c>
      <c r="AG2813" s="1" t="s">
        <v>53</v>
      </c>
      <c r="AH2813" s="1" t="s">
        <v>49</v>
      </c>
      <c r="AI2813" s="1" t="s">
        <v>54</v>
      </c>
      <c r="AJ2813" s="1">
        <v>1</v>
      </c>
      <c r="AK2813" s="1" t="str">
        <f t="shared" si="43"/>
        <v xml:space="preserve"> =&lt;90</v>
      </c>
      <c r="AL2813" s="1" t="str">
        <f>VLOOKUP(C:C,[1]基础信息!B$1:D$65536,3,0)</f>
        <v>UTS</v>
      </c>
      <c r="AM2813" s="1" t="str">
        <f>VLOOKUP(C:C,[1]基础信息!B$1:E$65536,4,0)</f>
        <v>MyPure Pro</v>
      </c>
      <c r="AN2813" s="1" t="str">
        <f>VLOOKUP(C:C,[1]基础信息!B$1:F$65536,5,0)</f>
        <v>Refill</v>
      </c>
    </row>
    <row r="2814" spans="1:40">
      <c r="A2814" s="1" t="s">
        <v>41</v>
      </c>
      <c r="B2814" s="1" t="s">
        <v>42</v>
      </c>
      <c r="C2814" s="1" t="s">
        <v>5076</v>
      </c>
      <c r="D2814" s="1" t="s">
        <v>5077</v>
      </c>
      <c r="E2814" s="1" t="s">
        <v>5076</v>
      </c>
      <c r="F2814" s="1" t="s">
        <v>6458</v>
      </c>
      <c r="G2814" s="1" t="s">
        <v>6462</v>
      </c>
      <c r="H2814" s="1" t="s">
        <v>6463</v>
      </c>
      <c r="I2814" s="1" t="s">
        <v>49</v>
      </c>
      <c r="J2814" s="1" t="s">
        <v>48</v>
      </c>
      <c r="K2814" s="1">
        <v>120</v>
      </c>
      <c r="L2814" s="1">
        <v>0</v>
      </c>
      <c r="M2814" s="1">
        <v>0</v>
      </c>
      <c r="N2814" s="1">
        <v>120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 t="s">
        <v>49</v>
      </c>
      <c r="AA2814" s="1" t="s">
        <v>49</v>
      </c>
      <c r="AB2814" s="1" t="s">
        <v>49</v>
      </c>
      <c r="AC2814" s="1" t="s">
        <v>144</v>
      </c>
      <c r="AD2814" s="1" t="s">
        <v>145</v>
      </c>
      <c r="AE2814" s="1" t="s">
        <v>144</v>
      </c>
      <c r="AF2814" s="1" t="s">
        <v>6461</v>
      </c>
      <c r="AG2814" s="1" t="s">
        <v>53</v>
      </c>
      <c r="AH2814" s="1" t="s">
        <v>49</v>
      </c>
      <c r="AI2814" s="1" t="s">
        <v>54</v>
      </c>
      <c r="AJ2814" s="1">
        <v>1</v>
      </c>
      <c r="AK2814" s="1" t="str">
        <f t="shared" si="43"/>
        <v xml:space="preserve"> =&lt;90</v>
      </c>
      <c r="AL2814" s="1" t="str">
        <f>VLOOKUP(C:C,[1]基础信息!B$1:D$65536,3,0)</f>
        <v>UTS</v>
      </c>
      <c r="AM2814" s="1" t="str">
        <f>VLOOKUP(C:C,[1]基础信息!B$1:E$65536,4,0)</f>
        <v>MyPure Pro</v>
      </c>
      <c r="AN2814" s="1" t="str">
        <f>VLOOKUP(C:C,[1]基础信息!B$1:F$65536,5,0)</f>
        <v>Refill</v>
      </c>
    </row>
    <row r="2815" spans="1:40">
      <c r="A2815" s="1" t="s">
        <v>41</v>
      </c>
      <c r="B2815" s="1" t="s">
        <v>42</v>
      </c>
      <c r="C2815" s="1" t="s">
        <v>6464</v>
      </c>
      <c r="D2815" s="1" t="s">
        <v>6465</v>
      </c>
      <c r="E2815" s="1" t="s">
        <v>6464</v>
      </c>
      <c r="F2815" s="1" t="s">
        <v>6466</v>
      </c>
      <c r="G2815" s="1" t="s">
        <v>6467</v>
      </c>
      <c r="H2815" s="1" t="s">
        <v>45</v>
      </c>
      <c r="I2815" s="1" t="s">
        <v>45</v>
      </c>
      <c r="J2815" s="1" t="s">
        <v>48</v>
      </c>
      <c r="K2815" s="1">
        <v>3</v>
      </c>
      <c r="L2815" s="1">
        <v>0</v>
      </c>
      <c r="M2815" s="1">
        <v>0</v>
      </c>
      <c r="N2815" s="1">
        <v>3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 t="s">
        <v>49</v>
      </c>
      <c r="AA2815" s="1" t="s">
        <v>49</v>
      </c>
      <c r="AB2815" s="1" t="s">
        <v>49</v>
      </c>
      <c r="AC2815" s="1" t="s">
        <v>6468</v>
      </c>
      <c r="AD2815" s="1" t="s">
        <v>6469</v>
      </c>
      <c r="AE2815" s="1" t="s">
        <v>6468</v>
      </c>
      <c r="AF2815" s="1" t="s">
        <v>6470</v>
      </c>
      <c r="AG2815" s="1" t="s">
        <v>338</v>
      </c>
      <c r="AH2815" s="1" t="s">
        <v>49</v>
      </c>
      <c r="AI2815" s="1" t="s">
        <v>54</v>
      </c>
      <c r="AJ2815" s="1">
        <v>1</v>
      </c>
      <c r="AK2815" s="1" t="str">
        <f t="shared" si="43"/>
        <v xml:space="preserve"> =&lt;90</v>
      </c>
      <c r="AL2815" s="1" t="str">
        <f>VLOOKUP(C:C,[1]基础信息!B$1:D$65536,3,0)</f>
        <v>Jug</v>
      </c>
      <c r="AM2815" s="1" t="str">
        <f>VLOOKUP(C:C,[1]基础信息!B$1:E$65536,4,0)</f>
        <v>Aluna</v>
      </c>
      <c r="AN2815" s="1" t="str">
        <f>VLOOKUP(C:C,[1]基础信息!B$1:F$65536,5,0)</f>
        <v>Blue</v>
      </c>
    </row>
    <row r="2816" spans="1:40">
      <c r="A2816" s="1" t="s">
        <v>41</v>
      </c>
      <c r="B2816" s="1" t="s">
        <v>42</v>
      </c>
      <c r="C2816" s="1" t="s">
        <v>5076</v>
      </c>
      <c r="D2816" s="1" t="s">
        <v>5077</v>
      </c>
      <c r="E2816" s="1" t="s">
        <v>5076</v>
      </c>
      <c r="F2816" s="1" t="s">
        <v>6458</v>
      </c>
      <c r="G2816" s="1" t="s">
        <v>6471</v>
      </c>
      <c r="H2816" s="1" t="s">
        <v>6472</v>
      </c>
      <c r="I2816" s="1" t="s">
        <v>49</v>
      </c>
      <c r="J2816" s="1" t="s">
        <v>48</v>
      </c>
      <c r="K2816" s="1">
        <v>120</v>
      </c>
      <c r="L2816" s="1">
        <v>0</v>
      </c>
      <c r="M2816" s="1">
        <v>0</v>
      </c>
      <c r="N2816" s="1">
        <v>120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 t="s">
        <v>49</v>
      </c>
      <c r="AA2816" s="1" t="s">
        <v>49</v>
      </c>
      <c r="AB2816" s="1" t="s">
        <v>49</v>
      </c>
      <c r="AC2816" s="1" t="s">
        <v>144</v>
      </c>
      <c r="AD2816" s="1" t="s">
        <v>145</v>
      </c>
      <c r="AE2816" s="1" t="s">
        <v>144</v>
      </c>
      <c r="AF2816" s="1" t="s">
        <v>6461</v>
      </c>
      <c r="AG2816" s="1" t="s">
        <v>53</v>
      </c>
      <c r="AH2816" s="1" t="s">
        <v>49</v>
      </c>
      <c r="AI2816" s="1" t="s">
        <v>54</v>
      </c>
      <c r="AJ2816" s="1">
        <v>1</v>
      </c>
      <c r="AK2816" s="1" t="str">
        <f t="shared" si="43"/>
        <v xml:space="preserve"> =&lt;90</v>
      </c>
      <c r="AL2816" s="1" t="str">
        <f>VLOOKUP(C:C,[1]基础信息!B$1:D$65536,3,0)</f>
        <v>UTS</v>
      </c>
      <c r="AM2816" s="1" t="str">
        <f>VLOOKUP(C:C,[1]基础信息!B$1:E$65536,4,0)</f>
        <v>MyPure Pro</v>
      </c>
      <c r="AN2816" s="1" t="str">
        <f>VLOOKUP(C:C,[1]基础信息!B$1:F$65536,5,0)</f>
        <v>Refill</v>
      </c>
    </row>
    <row r="2817" spans="1:40">
      <c r="A2817" s="1" t="s">
        <v>41</v>
      </c>
      <c r="B2817" s="1" t="s">
        <v>42</v>
      </c>
      <c r="C2817" s="1" t="s">
        <v>3971</v>
      </c>
      <c r="D2817" s="1" t="s">
        <v>3972</v>
      </c>
      <c r="E2817" s="1" t="s">
        <v>45</v>
      </c>
      <c r="F2817" s="1" t="s">
        <v>5602</v>
      </c>
      <c r="G2817" s="1" t="s">
        <v>6473</v>
      </c>
      <c r="H2817" s="1" t="s">
        <v>6474</v>
      </c>
      <c r="I2817" s="1" t="s">
        <v>49</v>
      </c>
      <c r="J2817" s="1" t="s">
        <v>48</v>
      </c>
      <c r="K2817" s="1">
        <v>96</v>
      </c>
      <c r="L2817" s="1">
        <v>0</v>
      </c>
      <c r="M2817" s="1">
        <v>0</v>
      </c>
      <c r="N2817" s="1">
        <v>96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 t="s">
        <v>49</v>
      </c>
      <c r="AA2817" s="1" t="s">
        <v>49</v>
      </c>
      <c r="AB2817" s="1" t="s">
        <v>49</v>
      </c>
      <c r="AC2817" s="1" t="s">
        <v>1008</v>
      </c>
      <c r="AD2817" s="1" t="s">
        <v>1009</v>
      </c>
      <c r="AE2817" s="1" t="s">
        <v>1008</v>
      </c>
      <c r="AF2817" s="1" t="s">
        <v>5605</v>
      </c>
      <c r="AG2817" s="1" t="s">
        <v>53</v>
      </c>
      <c r="AH2817" s="1" t="s">
        <v>49</v>
      </c>
      <c r="AI2817" s="1" t="s">
        <v>54</v>
      </c>
      <c r="AJ2817" s="1">
        <v>1</v>
      </c>
      <c r="AK2817" s="1" t="str">
        <f t="shared" si="43"/>
        <v xml:space="preserve"> =&lt;90</v>
      </c>
      <c r="AL2817" s="1" t="str">
        <f>VLOOKUP(C:C,[1]基础信息!B$1:D$65536,3,0)</f>
        <v>Jug</v>
      </c>
      <c r="AM2817" s="1" t="str">
        <f>VLOOKUP(C:C,[1]基础信息!B$1:E$65536,4,0)</f>
        <v>Mxplus</v>
      </c>
      <c r="AN2817" s="1" t="str">
        <f>VLOOKUP(C:C,[1]基础信息!B$1:F$65536,5,0)</f>
        <v xml:space="preserve"> lime</v>
      </c>
    </row>
    <row r="2818" spans="1:40">
      <c r="A2818" s="1" t="s">
        <v>41</v>
      </c>
      <c r="B2818" s="1" t="s">
        <v>42</v>
      </c>
      <c r="C2818" s="1" t="s">
        <v>4352</v>
      </c>
      <c r="D2818" s="1" t="s">
        <v>4353</v>
      </c>
      <c r="E2818" s="1" t="s">
        <v>45</v>
      </c>
      <c r="F2818" s="1" t="s">
        <v>5614</v>
      </c>
      <c r="G2818" s="1" t="s">
        <v>6475</v>
      </c>
      <c r="H2818" s="1" t="s">
        <v>6476</v>
      </c>
      <c r="I2818" s="1" t="s">
        <v>49</v>
      </c>
      <c r="J2818" s="1" t="s">
        <v>48</v>
      </c>
      <c r="K2818" s="1">
        <v>336</v>
      </c>
      <c r="L2818" s="1">
        <v>0</v>
      </c>
      <c r="M2818" s="1">
        <v>0</v>
      </c>
      <c r="N2818" s="1">
        <v>336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 t="s">
        <v>49</v>
      </c>
      <c r="AA2818" s="1" t="s">
        <v>49</v>
      </c>
      <c r="AB2818" s="1" t="s">
        <v>49</v>
      </c>
      <c r="AC2818" s="1" t="s">
        <v>5184</v>
      </c>
      <c r="AD2818" s="1" t="s">
        <v>5185</v>
      </c>
      <c r="AE2818" s="1" t="s">
        <v>5462</v>
      </c>
      <c r="AF2818" s="1" t="s">
        <v>5186</v>
      </c>
      <c r="AG2818" s="1" t="s">
        <v>53</v>
      </c>
      <c r="AH2818" s="1" t="s">
        <v>49</v>
      </c>
      <c r="AI2818" s="1" t="s">
        <v>54</v>
      </c>
      <c r="AJ2818" s="1">
        <v>1</v>
      </c>
      <c r="AK2818" s="1" t="str">
        <f t="shared" ref="AK2818:AK2881" si="44">IF(AJ2818&gt;$AP$2,$AQ$2,IF(AJ2818&gt;$AP$3,$AQ$3,IF(AJ2818&gt;$AP$4,$AQ$4,$AQ$5)))</f>
        <v xml:space="preserve"> =&lt;90</v>
      </c>
      <c r="AL2818" s="1" t="e">
        <f>VLOOKUP(C:C,[1]基础信息!B$1:D$65536,3,0)</f>
        <v>#N/A</v>
      </c>
      <c r="AM2818" s="1" t="e">
        <f>VLOOKUP(C:C,[1]基础信息!B$1:E$65536,4,0)</f>
        <v>#N/A</v>
      </c>
      <c r="AN2818" s="1" t="e">
        <f>VLOOKUP(C:C,[1]基础信息!B$1:F$65536,5,0)</f>
        <v>#N/A</v>
      </c>
    </row>
    <row r="2819" spans="1:40">
      <c r="A2819" s="1" t="s">
        <v>41</v>
      </c>
      <c r="B2819" s="1" t="s">
        <v>42</v>
      </c>
      <c r="C2819" s="1" t="s">
        <v>4253</v>
      </c>
      <c r="D2819" s="1" t="s">
        <v>4254</v>
      </c>
      <c r="E2819" s="1" t="s">
        <v>45</v>
      </c>
      <c r="F2819" s="1" t="s">
        <v>6477</v>
      </c>
      <c r="G2819" s="1" t="s">
        <v>6478</v>
      </c>
      <c r="H2819" s="1" t="s">
        <v>6479</v>
      </c>
      <c r="I2819" s="1" t="s">
        <v>49</v>
      </c>
      <c r="J2819" s="1" t="s">
        <v>48</v>
      </c>
      <c r="K2819" s="1">
        <v>314</v>
      </c>
      <c r="L2819" s="1">
        <v>184</v>
      </c>
      <c r="M2819" s="1">
        <v>0</v>
      </c>
      <c r="N2819" s="1">
        <v>130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 t="s">
        <v>49</v>
      </c>
      <c r="AA2819" s="1" t="s">
        <v>49</v>
      </c>
      <c r="AB2819" s="1" t="s">
        <v>49</v>
      </c>
      <c r="AC2819" s="1" t="s">
        <v>3363</v>
      </c>
      <c r="AD2819" s="1" t="s">
        <v>6480</v>
      </c>
      <c r="AE2819" s="1" t="s">
        <v>3363</v>
      </c>
      <c r="AF2819" s="1" t="s">
        <v>5463</v>
      </c>
      <c r="AG2819" s="1" t="s">
        <v>53</v>
      </c>
      <c r="AH2819" s="1" t="s">
        <v>49</v>
      </c>
      <c r="AI2819" s="1" t="s">
        <v>54</v>
      </c>
      <c r="AJ2819" s="1">
        <v>1</v>
      </c>
      <c r="AK2819" s="1" t="str">
        <f t="shared" si="44"/>
        <v xml:space="preserve"> =&lt;90</v>
      </c>
      <c r="AL2819" s="1" t="str">
        <f>VLOOKUP(C:C,[1]基础信息!B$1:D$65536,3,0)</f>
        <v xml:space="preserve">Cartridge </v>
      </c>
      <c r="AM2819" s="1" t="str">
        <f>VLOOKUP(C:C,[1]基础信息!B$1:E$65536,4,0)</f>
        <v>UNIV</v>
      </c>
      <c r="AN2819" s="1" t="str">
        <f>VLOOKUP(C:C,[1]基础信息!B$1:F$65536,5,0)</f>
        <v>P6</v>
      </c>
    </row>
    <row r="2820" spans="1:40">
      <c r="A2820" s="1" t="s">
        <v>41</v>
      </c>
      <c r="B2820" s="1" t="s">
        <v>42</v>
      </c>
      <c r="C2820" s="1" t="s">
        <v>4253</v>
      </c>
      <c r="D2820" s="1" t="s">
        <v>4254</v>
      </c>
      <c r="E2820" s="1" t="s">
        <v>45</v>
      </c>
      <c r="F2820" s="1" t="s">
        <v>6477</v>
      </c>
      <c r="G2820" s="1" t="s">
        <v>6481</v>
      </c>
      <c r="H2820" s="1" t="s">
        <v>6482</v>
      </c>
      <c r="I2820" s="1" t="s">
        <v>49</v>
      </c>
      <c r="J2820" s="1" t="s">
        <v>48</v>
      </c>
      <c r="K2820" s="1">
        <v>336</v>
      </c>
      <c r="L2820" s="1">
        <v>0</v>
      </c>
      <c r="M2820" s="1">
        <v>0</v>
      </c>
      <c r="N2820" s="1">
        <v>336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 t="s">
        <v>49</v>
      </c>
      <c r="AA2820" s="1" t="s">
        <v>49</v>
      </c>
      <c r="AB2820" s="1" t="s">
        <v>49</v>
      </c>
      <c r="AC2820" s="1" t="s">
        <v>3363</v>
      </c>
      <c r="AD2820" s="1" t="s">
        <v>6480</v>
      </c>
      <c r="AE2820" s="1" t="s">
        <v>3363</v>
      </c>
      <c r="AF2820" s="1" t="s">
        <v>5463</v>
      </c>
      <c r="AG2820" s="1" t="s">
        <v>53</v>
      </c>
      <c r="AH2820" s="1" t="s">
        <v>49</v>
      </c>
      <c r="AI2820" s="1" t="s">
        <v>54</v>
      </c>
      <c r="AJ2820" s="1">
        <v>1</v>
      </c>
      <c r="AK2820" s="1" t="str">
        <f t="shared" si="44"/>
        <v xml:space="preserve"> =&lt;90</v>
      </c>
      <c r="AL2820" s="1" t="str">
        <f>VLOOKUP(C:C,[1]基础信息!B$1:D$65536,3,0)</f>
        <v xml:space="preserve">Cartridge </v>
      </c>
      <c r="AM2820" s="1" t="str">
        <f>VLOOKUP(C:C,[1]基础信息!B$1:E$65536,4,0)</f>
        <v>UNIV</v>
      </c>
      <c r="AN2820" s="1" t="str">
        <f>VLOOKUP(C:C,[1]基础信息!B$1:F$65536,5,0)</f>
        <v>P6</v>
      </c>
    </row>
    <row r="2821" spans="1:40">
      <c r="A2821" s="1" t="s">
        <v>41</v>
      </c>
      <c r="B2821" s="1" t="s">
        <v>42</v>
      </c>
      <c r="C2821" s="1" t="s">
        <v>4253</v>
      </c>
      <c r="D2821" s="1" t="s">
        <v>4254</v>
      </c>
      <c r="E2821" s="1" t="s">
        <v>45</v>
      </c>
      <c r="F2821" s="1" t="s">
        <v>6477</v>
      </c>
      <c r="G2821" s="1" t="s">
        <v>6483</v>
      </c>
      <c r="H2821" s="1" t="s">
        <v>6484</v>
      </c>
      <c r="I2821" s="1" t="s">
        <v>49</v>
      </c>
      <c r="J2821" s="1" t="s">
        <v>48</v>
      </c>
      <c r="K2821" s="1">
        <v>336</v>
      </c>
      <c r="L2821" s="1">
        <v>0</v>
      </c>
      <c r="M2821" s="1">
        <v>0</v>
      </c>
      <c r="N2821" s="1">
        <v>336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 t="s">
        <v>49</v>
      </c>
      <c r="AA2821" s="1" t="s">
        <v>49</v>
      </c>
      <c r="AB2821" s="1" t="s">
        <v>49</v>
      </c>
      <c r="AC2821" s="1" t="s">
        <v>3363</v>
      </c>
      <c r="AD2821" s="1" t="s">
        <v>6480</v>
      </c>
      <c r="AE2821" s="1" t="s">
        <v>3363</v>
      </c>
      <c r="AF2821" s="1" t="s">
        <v>5463</v>
      </c>
      <c r="AG2821" s="1" t="s">
        <v>53</v>
      </c>
      <c r="AH2821" s="1" t="s">
        <v>49</v>
      </c>
      <c r="AI2821" s="1" t="s">
        <v>54</v>
      </c>
      <c r="AJ2821" s="1">
        <v>1</v>
      </c>
      <c r="AK2821" s="1" t="str">
        <f t="shared" si="44"/>
        <v xml:space="preserve"> =&lt;90</v>
      </c>
      <c r="AL2821" s="1" t="str">
        <f>VLOOKUP(C:C,[1]基础信息!B$1:D$65536,3,0)</f>
        <v xml:space="preserve">Cartridge </v>
      </c>
      <c r="AM2821" s="1" t="str">
        <f>VLOOKUP(C:C,[1]基础信息!B$1:E$65536,4,0)</f>
        <v>UNIV</v>
      </c>
      <c r="AN2821" s="1" t="str">
        <f>VLOOKUP(C:C,[1]基础信息!B$1:F$65536,5,0)</f>
        <v>P6</v>
      </c>
    </row>
    <row r="2822" spans="1:40">
      <c r="A2822" s="1" t="s">
        <v>41</v>
      </c>
      <c r="B2822" s="1" t="s">
        <v>42</v>
      </c>
      <c r="C2822" s="1" t="s">
        <v>4253</v>
      </c>
      <c r="D2822" s="1" t="s">
        <v>4254</v>
      </c>
      <c r="E2822" s="1" t="s">
        <v>45</v>
      </c>
      <c r="F2822" s="1" t="s">
        <v>6477</v>
      </c>
      <c r="G2822" s="1" t="s">
        <v>6485</v>
      </c>
      <c r="H2822" s="1" t="s">
        <v>6486</v>
      </c>
      <c r="I2822" s="1" t="s">
        <v>49</v>
      </c>
      <c r="J2822" s="1" t="s">
        <v>48</v>
      </c>
      <c r="K2822" s="1">
        <v>336</v>
      </c>
      <c r="L2822" s="1">
        <v>0</v>
      </c>
      <c r="M2822" s="1">
        <v>0</v>
      </c>
      <c r="N2822" s="1">
        <v>336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 t="s">
        <v>49</v>
      </c>
      <c r="AA2822" s="1" t="s">
        <v>49</v>
      </c>
      <c r="AB2822" s="1" t="s">
        <v>49</v>
      </c>
      <c r="AC2822" s="1" t="s">
        <v>3363</v>
      </c>
      <c r="AD2822" s="1" t="s">
        <v>6480</v>
      </c>
      <c r="AE2822" s="1" t="s">
        <v>3363</v>
      </c>
      <c r="AF2822" s="1" t="s">
        <v>5463</v>
      </c>
      <c r="AG2822" s="1" t="s">
        <v>53</v>
      </c>
      <c r="AH2822" s="1" t="s">
        <v>49</v>
      </c>
      <c r="AI2822" s="1" t="s">
        <v>54</v>
      </c>
      <c r="AJ2822" s="1">
        <v>1</v>
      </c>
      <c r="AK2822" s="1" t="str">
        <f t="shared" si="44"/>
        <v xml:space="preserve"> =&lt;90</v>
      </c>
      <c r="AL2822" s="1" t="str">
        <f>VLOOKUP(C:C,[1]基础信息!B$1:D$65536,3,0)</f>
        <v xml:space="preserve">Cartridge </v>
      </c>
      <c r="AM2822" s="1" t="str">
        <f>VLOOKUP(C:C,[1]基础信息!B$1:E$65536,4,0)</f>
        <v>UNIV</v>
      </c>
      <c r="AN2822" s="1" t="str">
        <f>VLOOKUP(C:C,[1]基础信息!B$1:F$65536,5,0)</f>
        <v>P6</v>
      </c>
    </row>
    <row r="2823" spans="1:40">
      <c r="A2823" s="1" t="s">
        <v>41</v>
      </c>
      <c r="B2823" s="1" t="s">
        <v>42</v>
      </c>
      <c r="C2823" s="1" t="s">
        <v>4253</v>
      </c>
      <c r="D2823" s="1" t="s">
        <v>4254</v>
      </c>
      <c r="E2823" s="1" t="s">
        <v>45</v>
      </c>
      <c r="F2823" s="1" t="s">
        <v>6477</v>
      </c>
      <c r="G2823" s="1" t="s">
        <v>6487</v>
      </c>
      <c r="H2823" s="1" t="s">
        <v>6488</v>
      </c>
      <c r="I2823" s="1" t="s">
        <v>49</v>
      </c>
      <c r="J2823" s="1" t="s">
        <v>48</v>
      </c>
      <c r="K2823" s="1">
        <v>336</v>
      </c>
      <c r="L2823" s="1">
        <v>0</v>
      </c>
      <c r="M2823" s="1">
        <v>0</v>
      </c>
      <c r="N2823" s="1">
        <v>336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 t="s">
        <v>49</v>
      </c>
      <c r="AA2823" s="1" t="s">
        <v>49</v>
      </c>
      <c r="AB2823" s="1" t="s">
        <v>49</v>
      </c>
      <c r="AC2823" s="1" t="s">
        <v>3363</v>
      </c>
      <c r="AD2823" s="1" t="s">
        <v>6480</v>
      </c>
      <c r="AE2823" s="1" t="s">
        <v>3363</v>
      </c>
      <c r="AF2823" s="1" t="s">
        <v>5463</v>
      </c>
      <c r="AG2823" s="1" t="s">
        <v>53</v>
      </c>
      <c r="AH2823" s="1" t="s">
        <v>49</v>
      </c>
      <c r="AI2823" s="1" t="s">
        <v>54</v>
      </c>
      <c r="AJ2823" s="1">
        <v>1</v>
      </c>
      <c r="AK2823" s="1" t="str">
        <f t="shared" si="44"/>
        <v xml:space="preserve"> =&lt;90</v>
      </c>
      <c r="AL2823" s="1" t="str">
        <f>VLOOKUP(C:C,[1]基础信息!B$1:D$65536,3,0)</f>
        <v xml:space="preserve">Cartridge </v>
      </c>
      <c r="AM2823" s="1" t="str">
        <f>VLOOKUP(C:C,[1]基础信息!B$1:E$65536,4,0)</f>
        <v>UNIV</v>
      </c>
      <c r="AN2823" s="1" t="str">
        <f>VLOOKUP(C:C,[1]基础信息!B$1:F$65536,5,0)</f>
        <v>P6</v>
      </c>
    </row>
    <row r="2824" spans="1:40">
      <c r="A2824" s="1" t="s">
        <v>41</v>
      </c>
      <c r="B2824" s="1" t="s">
        <v>42</v>
      </c>
      <c r="C2824" s="1" t="s">
        <v>4253</v>
      </c>
      <c r="D2824" s="1" t="s">
        <v>4254</v>
      </c>
      <c r="E2824" s="1" t="s">
        <v>45</v>
      </c>
      <c r="F2824" s="1" t="s">
        <v>6477</v>
      </c>
      <c r="G2824" s="1" t="s">
        <v>6489</v>
      </c>
      <c r="H2824" s="1" t="s">
        <v>6490</v>
      </c>
      <c r="I2824" s="1" t="s">
        <v>49</v>
      </c>
      <c r="J2824" s="1" t="s">
        <v>48</v>
      </c>
      <c r="K2824" s="1">
        <v>336</v>
      </c>
      <c r="L2824" s="1">
        <v>0</v>
      </c>
      <c r="M2824" s="1">
        <v>0</v>
      </c>
      <c r="N2824" s="1">
        <v>336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 t="s">
        <v>49</v>
      </c>
      <c r="AA2824" s="1" t="s">
        <v>49</v>
      </c>
      <c r="AB2824" s="1" t="s">
        <v>49</v>
      </c>
      <c r="AC2824" s="1" t="s">
        <v>3363</v>
      </c>
      <c r="AD2824" s="1" t="s">
        <v>6480</v>
      </c>
      <c r="AE2824" s="1" t="s">
        <v>3363</v>
      </c>
      <c r="AF2824" s="1" t="s">
        <v>5463</v>
      </c>
      <c r="AG2824" s="1" t="s">
        <v>53</v>
      </c>
      <c r="AH2824" s="1" t="s">
        <v>49</v>
      </c>
      <c r="AI2824" s="1" t="s">
        <v>54</v>
      </c>
      <c r="AJ2824" s="1">
        <v>1</v>
      </c>
      <c r="AK2824" s="1" t="str">
        <f t="shared" si="44"/>
        <v xml:space="preserve"> =&lt;90</v>
      </c>
      <c r="AL2824" s="1" t="str">
        <f>VLOOKUP(C:C,[1]基础信息!B$1:D$65536,3,0)</f>
        <v xml:space="preserve">Cartridge </v>
      </c>
      <c r="AM2824" s="1" t="str">
        <f>VLOOKUP(C:C,[1]基础信息!B$1:E$65536,4,0)</f>
        <v>UNIV</v>
      </c>
      <c r="AN2824" s="1" t="str">
        <f>VLOOKUP(C:C,[1]基础信息!B$1:F$65536,5,0)</f>
        <v>P6</v>
      </c>
    </row>
    <row r="2825" spans="1:40">
      <c r="A2825" s="1" t="s">
        <v>41</v>
      </c>
      <c r="B2825" s="1" t="s">
        <v>42</v>
      </c>
      <c r="C2825" s="1" t="s">
        <v>813</v>
      </c>
      <c r="D2825" s="1" t="s">
        <v>814</v>
      </c>
      <c r="E2825" s="1" t="s">
        <v>45</v>
      </c>
      <c r="F2825" s="1" t="s">
        <v>6039</v>
      </c>
      <c r="G2825" s="1" t="s">
        <v>6491</v>
      </c>
      <c r="H2825" s="1" t="s">
        <v>45</v>
      </c>
      <c r="I2825" s="1" t="s">
        <v>45</v>
      </c>
      <c r="J2825" s="1" t="s">
        <v>48</v>
      </c>
      <c r="K2825" s="1">
        <v>70</v>
      </c>
      <c r="L2825" s="1">
        <v>0</v>
      </c>
      <c r="M2825" s="1">
        <v>0</v>
      </c>
      <c r="N2825" s="1">
        <v>70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 t="s">
        <v>49</v>
      </c>
      <c r="AA2825" s="1" t="s">
        <v>49</v>
      </c>
      <c r="AB2825" s="1" t="s">
        <v>49</v>
      </c>
      <c r="AC2825" s="1" t="s">
        <v>6041</v>
      </c>
      <c r="AD2825" s="1" t="s">
        <v>6042</v>
      </c>
      <c r="AE2825" s="1" t="s">
        <v>6041</v>
      </c>
      <c r="AF2825" s="1" t="s">
        <v>6043</v>
      </c>
      <c r="AG2825" s="1" t="s">
        <v>53</v>
      </c>
      <c r="AH2825" s="1" t="s">
        <v>49</v>
      </c>
      <c r="AI2825" s="1" t="s">
        <v>54</v>
      </c>
      <c r="AJ2825" s="1">
        <v>1</v>
      </c>
      <c r="AK2825" s="1" t="str">
        <f t="shared" si="44"/>
        <v xml:space="preserve"> =&lt;90</v>
      </c>
      <c r="AL2825" s="1" t="str">
        <f>VLOOKUP(C:C,[1]基础信息!B$1:D$65536,3,0)</f>
        <v>Jug</v>
      </c>
      <c r="AM2825" s="1" t="str">
        <f>VLOOKUP(C:C,[1]基础信息!B$1:E$65536,4,0)</f>
        <v>Mxplus</v>
      </c>
      <c r="AN2825" s="1" t="str">
        <f>VLOOKUP(C:C,[1]基础信息!B$1:F$65536,5,0)</f>
        <v>Blue</v>
      </c>
    </row>
    <row r="2826" spans="1:40">
      <c r="A2826" s="1" t="s">
        <v>41</v>
      </c>
      <c r="B2826" s="1" t="s">
        <v>42</v>
      </c>
      <c r="C2826" s="1" t="s">
        <v>4253</v>
      </c>
      <c r="D2826" s="1" t="s">
        <v>4254</v>
      </c>
      <c r="E2826" s="1" t="s">
        <v>45</v>
      </c>
      <c r="F2826" s="1" t="s">
        <v>6477</v>
      </c>
      <c r="G2826" s="1" t="s">
        <v>6492</v>
      </c>
      <c r="H2826" s="1" t="s">
        <v>6493</v>
      </c>
      <c r="I2826" s="1" t="s">
        <v>49</v>
      </c>
      <c r="J2826" s="1" t="s">
        <v>48</v>
      </c>
      <c r="K2826" s="1">
        <v>336</v>
      </c>
      <c r="L2826" s="1">
        <v>0</v>
      </c>
      <c r="M2826" s="1">
        <v>0</v>
      </c>
      <c r="N2826" s="1">
        <v>336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 t="s">
        <v>49</v>
      </c>
      <c r="AA2826" s="1" t="s">
        <v>49</v>
      </c>
      <c r="AB2826" s="1" t="s">
        <v>49</v>
      </c>
      <c r="AC2826" s="1" t="s">
        <v>3363</v>
      </c>
      <c r="AD2826" s="1" t="s">
        <v>6480</v>
      </c>
      <c r="AE2826" s="1" t="s">
        <v>3363</v>
      </c>
      <c r="AF2826" s="1" t="s">
        <v>5463</v>
      </c>
      <c r="AG2826" s="1" t="s">
        <v>53</v>
      </c>
      <c r="AH2826" s="1" t="s">
        <v>49</v>
      </c>
      <c r="AI2826" s="1" t="s">
        <v>54</v>
      </c>
      <c r="AJ2826" s="1">
        <v>1</v>
      </c>
      <c r="AK2826" s="1" t="str">
        <f t="shared" si="44"/>
        <v xml:space="preserve"> =&lt;90</v>
      </c>
      <c r="AL2826" s="1" t="str">
        <f>VLOOKUP(C:C,[1]基础信息!B$1:D$65536,3,0)</f>
        <v xml:space="preserve">Cartridge </v>
      </c>
      <c r="AM2826" s="1" t="str">
        <f>VLOOKUP(C:C,[1]基础信息!B$1:E$65536,4,0)</f>
        <v>UNIV</v>
      </c>
      <c r="AN2826" s="1" t="str">
        <f>VLOOKUP(C:C,[1]基础信息!B$1:F$65536,5,0)</f>
        <v>P6</v>
      </c>
    </row>
    <row r="2827" spans="1:40">
      <c r="A2827" s="1" t="s">
        <v>41</v>
      </c>
      <c r="B2827" s="1" t="s">
        <v>42</v>
      </c>
      <c r="C2827" s="1" t="s">
        <v>4253</v>
      </c>
      <c r="D2827" s="1" t="s">
        <v>4254</v>
      </c>
      <c r="E2827" s="1" t="s">
        <v>45</v>
      </c>
      <c r="F2827" s="1" t="s">
        <v>6477</v>
      </c>
      <c r="G2827" s="1" t="s">
        <v>6494</v>
      </c>
      <c r="H2827" s="1" t="s">
        <v>6495</v>
      </c>
      <c r="I2827" s="1" t="s">
        <v>49</v>
      </c>
      <c r="J2827" s="1" t="s">
        <v>48</v>
      </c>
      <c r="K2827" s="1">
        <v>336</v>
      </c>
      <c r="L2827" s="1">
        <v>0</v>
      </c>
      <c r="M2827" s="1">
        <v>0</v>
      </c>
      <c r="N2827" s="1">
        <v>336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 t="s">
        <v>49</v>
      </c>
      <c r="AA2827" s="1" t="s">
        <v>49</v>
      </c>
      <c r="AB2827" s="1" t="s">
        <v>49</v>
      </c>
      <c r="AC2827" s="1" t="s">
        <v>3363</v>
      </c>
      <c r="AD2827" s="1" t="s">
        <v>6480</v>
      </c>
      <c r="AE2827" s="1" t="s">
        <v>3363</v>
      </c>
      <c r="AF2827" s="1" t="s">
        <v>5463</v>
      </c>
      <c r="AG2827" s="1" t="s">
        <v>53</v>
      </c>
      <c r="AH2827" s="1" t="s">
        <v>49</v>
      </c>
      <c r="AI2827" s="1" t="s">
        <v>54</v>
      </c>
      <c r="AJ2827" s="1">
        <v>1</v>
      </c>
      <c r="AK2827" s="1" t="str">
        <f t="shared" si="44"/>
        <v xml:space="preserve"> =&lt;90</v>
      </c>
      <c r="AL2827" s="1" t="str">
        <f>VLOOKUP(C:C,[1]基础信息!B$1:D$65536,3,0)</f>
        <v xml:space="preserve">Cartridge </v>
      </c>
      <c r="AM2827" s="1" t="str">
        <f>VLOOKUP(C:C,[1]基础信息!B$1:E$65536,4,0)</f>
        <v>UNIV</v>
      </c>
      <c r="AN2827" s="1" t="str">
        <f>VLOOKUP(C:C,[1]基础信息!B$1:F$65536,5,0)</f>
        <v>P6</v>
      </c>
    </row>
    <row r="2828" spans="1:40">
      <c r="A2828" s="1" t="s">
        <v>41</v>
      </c>
      <c r="B2828" s="1" t="s">
        <v>42</v>
      </c>
      <c r="C2828" s="1" t="s">
        <v>4253</v>
      </c>
      <c r="D2828" s="1" t="s">
        <v>4254</v>
      </c>
      <c r="E2828" s="1" t="s">
        <v>45</v>
      </c>
      <c r="F2828" s="1" t="s">
        <v>6477</v>
      </c>
      <c r="G2828" s="1" t="s">
        <v>6496</v>
      </c>
      <c r="H2828" s="1" t="s">
        <v>6497</v>
      </c>
      <c r="I2828" s="1" t="s">
        <v>49</v>
      </c>
      <c r="J2828" s="1" t="s">
        <v>48</v>
      </c>
      <c r="K2828" s="1">
        <v>336</v>
      </c>
      <c r="L2828" s="1">
        <v>0</v>
      </c>
      <c r="M2828" s="1">
        <v>0</v>
      </c>
      <c r="N2828" s="1">
        <v>336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 t="s">
        <v>49</v>
      </c>
      <c r="AA2828" s="1" t="s">
        <v>49</v>
      </c>
      <c r="AB2828" s="1" t="s">
        <v>49</v>
      </c>
      <c r="AC2828" s="1" t="s">
        <v>3363</v>
      </c>
      <c r="AD2828" s="1" t="s">
        <v>6480</v>
      </c>
      <c r="AE2828" s="1" t="s">
        <v>3363</v>
      </c>
      <c r="AF2828" s="1" t="s">
        <v>5463</v>
      </c>
      <c r="AG2828" s="1" t="s">
        <v>53</v>
      </c>
      <c r="AH2828" s="1" t="s">
        <v>49</v>
      </c>
      <c r="AI2828" s="1" t="s">
        <v>54</v>
      </c>
      <c r="AJ2828" s="1">
        <v>1</v>
      </c>
      <c r="AK2828" s="1" t="str">
        <f t="shared" si="44"/>
        <v xml:space="preserve"> =&lt;90</v>
      </c>
      <c r="AL2828" s="1" t="str">
        <f>VLOOKUP(C:C,[1]基础信息!B$1:D$65536,3,0)</f>
        <v xml:space="preserve">Cartridge </v>
      </c>
      <c r="AM2828" s="1" t="str">
        <f>VLOOKUP(C:C,[1]基础信息!B$1:E$65536,4,0)</f>
        <v>UNIV</v>
      </c>
      <c r="AN2828" s="1" t="str">
        <f>VLOOKUP(C:C,[1]基础信息!B$1:F$65536,5,0)</f>
        <v>P6</v>
      </c>
    </row>
    <row r="2829" spans="1:40">
      <c r="A2829" s="1" t="s">
        <v>41</v>
      </c>
      <c r="B2829" s="1" t="s">
        <v>42</v>
      </c>
      <c r="C2829" s="1" t="s">
        <v>4253</v>
      </c>
      <c r="D2829" s="1" t="s">
        <v>4254</v>
      </c>
      <c r="E2829" s="1" t="s">
        <v>45</v>
      </c>
      <c r="F2829" s="1" t="s">
        <v>6477</v>
      </c>
      <c r="G2829" s="1" t="s">
        <v>6498</v>
      </c>
      <c r="H2829" s="1" t="s">
        <v>6499</v>
      </c>
      <c r="I2829" s="1" t="s">
        <v>49</v>
      </c>
      <c r="J2829" s="1" t="s">
        <v>48</v>
      </c>
      <c r="K2829" s="1">
        <v>336</v>
      </c>
      <c r="L2829" s="1">
        <v>0</v>
      </c>
      <c r="M2829" s="1">
        <v>0</v>
      </c>
      <c r="N2829" s="1">
        <v>336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 t="s">
        <v>49</v>
      </c>
      <c r="AA2829" s="1" t="s">
        <v>49</v>
      </c>
      <c r="AB2829" s="1" t="s">
        <v>49</v>
      </c>
      <c r="AC2829" s="1" t="s">
        <v>3363</v>
      </c>
      <c r="AD2829" s="1" t="s">
        <v>6480</v>
      </c>
      <c r="AE2829" s="1" t="s">
        <v>3363</v>
      </c>
      <c r="AF2829" s="1" t="s">
        <v>5463</v>
      </c>
      <c r="AG2829" s="1" t="s">
        <v>53</v>
      </c>
      <c r="AH2829" s="1" t="s">
        <v>49</v>
      </c>
      <c r="AI2829" s="1" t="s">
        <v>54</v>
      </c>
      <c r="AJ2829" s="1">
        <v>1</v>
      </c>
      <c r="AK2829" s="1" t="str">
        <f t="shared" si="44"/>
        <v xml:space="preserve"> =&lt;90</v>
      </c>
      <c r="AL2829" s="1" t="str">
        <f>VLOOKUP(C:C,[1]基础信息!B$1:D$65536,3,0)</f>
        <v xml:space="preserve">Cartridge </v>
      </c>
      <c r="AM2829" s="1" t="str">
        <f>VLOOKUP(C:C,[1]基础信息!B$1:E$65536,4,0)</f>
        <v>UNIV</v>
      </c>
      <c r="AN2829" s="1" t="str">
        <f>VLOOKUP(C:C,[1]基础信息!B$1:F$65536,5,0)</f>
        <v>P6</v>
      </c>
    </row>
    <row r="2830" spans="1:40">
      <c r="A2830" s="1" t="s">
        <v>41</v>
      </c>
      <c r="B2830" s="1" t="s">
        <v>42</v>
      </c>
      <c r="C2830" s="1" t="s">
        <v>4253</v>
      </c>
      <c r="D2830" s="1" t="s">
        <v>4254</v>
      </c>
      <c r="E2830" s="1" t="s">
        <v>45</v>
      </c>
      <c r="F2830" s="1" t="s">
        <v>6477</v>
      </c>
      <c r="G2830" s="1" t="s">
        <v>6500</v>
      </c>
      <c r="H2830" s="1" t="s">
        <v>6501</v>
      </c>
      <c r="I2830" s="1" t="s">
        <v>49</v>
      </c>
      <c r="J2830" s="1" t="s">
        <v>48</v>
      </c>
      <c r="K2830" s="1">
        <v>336</v>
      </c>
      <c r="L2830" s="1">
        <v>0</v>
      </c>
      <c r="M2830" s="1">
        <v>0</v>
      </c>
      <c r="N2830" s="1">
        <v>336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 t="s">
        <v>49</v>
      </c>
      <c r="AA2830" s="1" t="s">
        <v>49</v>
      </c>
      <c r="AB2830" s="1" t="s">
        <v>49</v>
      </c>
      <c r="AC2830" s="1" t="s">
        <v>3363</v>
      </c>
      <c r="AD2830" s="1" t="s">
        <v>6480</v>
      </c>
      <c r="AE2830" s="1" t="s">
        <v>3363</v>
      </c>
      <c r="AF2830" s="1" t="s">
        <v>5463</v>
      </c>
      <c r="AG2830" s="1" t="s">
        <v>53</v>
      </c>
      <c r="AH2830" s="1" t="s">
        <v>49</v>
      </c>
      <c r="AI2830" s="1" t="s">
        <v>54</v>
      </c>
      <c r="AJ2830" s="1">
        <v>1</v>
      </c>
      <c r="AK2830" s="1" t="str">
        <f t="shared" si="44"/>
        <v xml:space="preserve"> =&lt;90</v>
      </c>
      <c r="AL2830" s="1" t="str">
        <f>VLOOKUP(C:C,[1]基础信息!B$1:D$65536,3,0)</f>
        <v xml:space="preserve">Cartridge </v>
      </c>
      <c r="AM2830" s="1" t="str">
        <f>VLOOKUP(C:C,[1]基础信息!B$1:E$65536,4,0)</f>
        <v>UNIV</v>
      </c>
      <c r="AN2830" s="1" t="str">
        <f>VLOOKUP(C:C,[1]基础信息!B$1:F$65536,5,0)</f>
        <v>P6</v>
      </c>
    </row>
    <row r="2831" spans="1:40">
      <c r="A2831" s="1" t="s">
        <v>41</v>
      </c>
      <c r="B2831" s="1" t="s">
        <v>42</v>
      </c>
      <c r="C2831" s="1" t="s">
        <v>4253</v>
      </c>
      <c r="D2831" s="1" t="s">
        <v>4254</v>
      </c>
      <c r="E2831" s="1" t="s">
        <v>45</v>
      </c>
      <c r="F2831" s="1" t="s">
        <v>6477</v>
      </c>
      <c r="G2831" s="1" t="s">
        <v>6502</v>
      </c>
      <c r="H2831" s="1" t="s">
        <v>6503</v>
      </c>
      <c r="I2831" s="1" t="s">
        <v>49</v>
      </c>
      <c r="J2831" s="1" t="s">
        <v>48</v>
      </c>
      <c r="K2831" s="1">
        <v>336</v>
      </c>
      <c r="L2831" s="1">
        <v>0</v>
      </c>
      <c r="M2831" s="1">
        <v>0</v>
      </c>
      <c r="N2831" s="1">
        <v>336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 t="s">
        <v>49</v>
      </c>
      <c r="AA2831" s="1" t="s">
        <v>49</v>
      </c>
      <c r="AB2831" s="1" t="s">
        <v>49</v>
      </c>
      <c r="AC2831" s="1" t="s">
        <v>3363</v>
      </c>
      <c r="AD2831" s="1" t="s">
        <v>6480</v>
      </c>
      <c r="AE2831" s="1" t="s">
        <v>3363</v>
      </c>
      <c r="AF2831" s="1" t="s">
        <v>5463</v>
      </c>
      <c r="AG2831" s="1" t="s">
        <v>53</v>
      </c>
      <c r="AH2831" s="1" t="s">
        <v>49</v>
      </c>
      <c r="AI2831" s="1" t="s">
        <v>54</v>
      </c>
      <c r="AJ2831" s="1">
        <v>1</v>
      </c>
      <c r="AK2831" s="1" t="str">
        <f t="shared" si="44"/>
        <v xml:space="preserve"> =&lt;90</v>
      </c>
      <c r="AL2831" s="1" t="str">
        <f>VLOOKUP(C:C,[1]基础信息!B$1:D$65536,3,0)</f>
        <v xml:space="preserve">Cartridge </v>
      </c>
      <c r="AM2831" s="1" t="str">
        <f>VLOOKUP(C:C,[1]基础信息!B$1:E$65536,4,0)</f>
        <v>UNIV</v>
      </c>
      <c r="AN2831" s="1" t="str">
        <f>VLOOKUP(C:C,[1]基础信息!B$1:F$65536,5,0)</f>
        <v>P6</v>
      </c>
    </row>
    <row r="2832" spans="1:40">
      <c r="A2832" s="1" t="s">
        <v>41</v>
      </c>
      <c r="B2832" s="1" t="s">
        <v>42</v>
      </c>
      <c r="C2832" s="1" t="s">
        <v>4253</v>
      </c>
      <c r="D2832" s="1" t="s">
        <v>4254</v>
      </c>
      <c r="E2832" s="1" t="s">
        <v>45</v>
      </c>
      <c r="F2832" s="1" t="s">
        <v>6477</v>
      </c>
      <c r="G2832" s="1" t="s">
        <v>6504</v>
      </c>
      <c r="H2832" s="1" t="s">
        <v>6505</v>
      </c>
      <c r="I2832" s="1" t="s">
        <v>49</v>
      </c>
      <c r="J2832" s="1" t="s">
        <v>48</v>
      </c>
      <c r="K2832" s="1">
        <v>336</v>
      </c>
      <c r="L2832" s="1">
        <v>0</v>
      </c>
      <c r="M2832" s="1">
        <v>0</v>
      </c>
      <c r="N2832" s="1">
        <v>336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 t="s">
        <v>49</v>
      </c>
      <c r="AA2832" s="1" t="s">
        <v>49</v>
      </c>
      <c r="AB2832" s="1" t="s">
        <v>49</v>
      </c>
      <c r="AC2832" s="1" t="s">
        <v>3363</v>
      </c>
      <c r="AD2832" s="1" t="s">
        <v>6480</v>
      </c>
      <c r="AE2832" s="1" t="s">
        <v>3363</v>
      </c>
      <c r="AF2832" s="1" t="s">
        <v>5463</v>
      </c>
      <c r="AG2832" s="1" t="s">
        <v>53</v>
      </c>
      <c r="AH2832" s="1" t="s">
        <v>49</v>
      </c>
      <c r="AI2832" s="1" t="s">
        <v>54</v>
      </c>
      <c r="AJ2832" s="1">
        <v>1</v>
      </c>
      <c r="AK2832" s="1" t="str">
        <f t="shared" si="44"/>
        <v xml:space="preserve"> =&lt;90</v>
      </c>
      <c r="AL2832" s="1" t="str">
        <f>VLOOKUP(C:C,[1]基础信息!B$1:D$65536,3,0)</f>
        <v xml:space="preserve">Cartridge </v>
      </c>
      <c r="AM2832" s="1" t="str">
        <f>VLOOKUP(C:C,[1]基础信息!B$1:E$65536,4,0)</f>
        <v>UNIV</v>
      </c>
      <c r="AN2832" s="1" t="str">
        <f>VLOOKUP(C:C,[1]基础信息!B$1:F$65536,5,0)</f>
        <v>P6</v>
      </c>
    </row>
    <row r="2833" spans="1:40">
      <c r="A2833" s="1" t="s">
        <v>41</v>
      </c>
      <c r="B2833" s="1" t="s">
        <v>42</v>
      </c>
      <c r="C2833" s="1" t="s">
        <v>4253</v>
      </c>
      <c r="D2833" s="1" t="s">
        <v>4254</v>
      </c>
      <c r="E2833" s="1" t="s">
        <v>45</v>
      </c>
      <c r="F2833" s="1" t="s">
        <v>6477</v>
      </c>
      <c r="G2833" s="1" t="s">
        <v>6506</v>
      </c>
      <c r="H2833" s="1" t="s">
        <v>6507</v>
      </c>
      <c r="I2833" s="1" t="s">
        <v>49</v>
      </c>
      <c r="J2833" s="1" t="s">
        <v>48</v>
      </c>
      <c r="K2833" s="1">
        <v>336</v>
      </c>
      <c r="L2833" s="1">
        <v>0</v>
      </c>
      <c r="M2833" s="1">
        <v>0</v>
      </c>
      <c r="N2833" s="1">
        <v>336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 t="s">
        <v>49</v>
      </c>
      <c r="AA2833" s="1" t="s">
        <v>49</v>
      </c>
      <c r="AB2833" s="1" t="s">
        <v>49</v>
      </c>
      <c r="AC2833" s="1" t="s">
        <v>3363</v>
      </c>
      <c r="AD2833" s="1" t="s">
        <v>6480</v>
      </c>
      <c r="AE2833" s="1" t="s">
        <v>3363</v>
      </c>
      <c r="AF2833" s="1" t="s">
        <v>5463</v>
      </c>
      <c r="AG2833" s="1" t="s">
        <v>53</v>
      </c>
      <c r="AH2833" s="1" t="s">
        <v>49</v>
      </c>
      <c r="AI2833" s="1" t="s">
        <v>54</v>
      </c>
      <c r="AJ2833" s="1">
        <v>1</v>
      </c>
      <c r="AK2833" s="1" t="str">
        <f t="shared" si="44"/>
        <v xml:space="preserve"> =&lt;90</v>
      </c>
      <c r="AL2833" s="1" t="str">
        <f>VLOOKUP(C:C,[1]基础信息!B$1:D$65536,3,0)</f>
        <v xml:space="preserve">Cartridge </v>
      </c>
      <c r="AM2833" s="1" t="str">
        <f>VLOOKUP(C:C,[1]基础信息!B$1:E$65536,4,0)</f>
        <v>UNIV</v>
      </c>
      <c r="AN2833" s="1" t="str">
        <f>VLOOKUP(C:C,[1]基础信息!B$1:F$65536,5,0)</f>
        <v>P6</v>
      </c>
    </row>
    <row r="2834" spans="1:40">
      <c r="A2834" s="1" t="s">
        <v>41</v>
      </c>
      <c r="B2834" s="1" t="s">
        <v>42</v>
      </c>
      <c r="C2834" s="1" t="s">
        <v>4253</v>
      </c>
      <c r="D2834" s="1" t="s">
        <v>4254</v>
      </c>
      <c r="E2834" s="1" t="s">
        <v>45</v>
      </c>
      <c r="F2834" s="1" t="s">
        <v>6477</v>
      </c>
      <c r="G2834" s="1" t="s">
        <v>6508</v>
      </c>
      <c r="H2834" s="1" t="s">
        <v>6509</v>
      </c>
      <c r="I2834" s="1" t="s">
        <v>49</v>
      </c>
      <c r="J2834" s="1" t="s">
        <v>48</v>
      </c>
      <c r="K2834" s="1">
        <v>336</v>
      </c>
      <c r="L2834" s="1">
        <v>0</v>
      </c>
      <c r="M2834" s="1">
        <v>0</v>
      </c>
      <c r="N2834" s="1">
        <v>336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 t="s">
        <v>49</v>
      </c>
      <c r="AA2834" s="1" t="s">
        <v>49</v>
      </c>
      <c r="AB2834" s="1" t="s">
        <v>49</v>
      </c>
      <c r="AC2834" s="1" t="s">
        <v>3363</v>
      </c>
      <c r="AD2834" s="1" t="s">
        <v>6480</v>
      </c>
      <c r="AE2834" s="1" t="s">
        <v>3363</v>
      </c>
      <c r="AF2834" s="1" t="s">
        <v>5463</v>
      </c>
      <c r="AG2834" s="1" t="s">
        <v>53</v>
      </c>
      <c r="AH2834" s="1" t="s">
        <v>49</v>
      </c>
      <c r="AI2834" s="1" t="s">
        <v>54</v>
      </c>
      <c r="AJ2834" s="1">
        <v>1</v>
      </c>
      <c r="AK2834" s="1" t="str">
        <f t="shared" si="44"/>
        <v xml:space="preserve"> =&lt;90</v>
      </c>
      <c r="AL2834" s="1" t="str">
        <f>VLOOKUP(C:C,[1]基础信息!B$1:D$65536,3,0)</f>
        <v xml:space="preserve">Cartridge </v>
      </c>
      <c r="AM2834" s="1" t="str">
        <f>VLOOKUP(C:C,[1]基础信息!B$1:E$65536,4,0)</f>
        <v>UNIV</v>
      </c>
      <c r="AN2834" s="1" t="str">
        <f>VLOOKUP(C:C,[1]基础信息!B$1:F$65536,5,0)</f>
        <v>P6</v>
      </c>
    </row>
    <row r="2835" spans="1:40">
      <c r="A2835" s="1" t="s">
        <v>41</v>
      </c>
      <c r="B2835" s="1" t="s">
        <v>42</v>
      </c>
      <c r="C2835" s="1" t="s">
        <v>4253</v>
      </c>
      <c r="D2835" s="1" t="s">
        <v>4254</v>
      </c>
      <c r="E2835" s="1" t="s">
        <v>45</v>
      </c>
      <c r="F2835" s="1" t="s">
        <v>6477</v>
      </c>
      <c r="G2835" s="1" t="s">
        <v>6510</v>
      </c>
      <c r="H2835" s="1" t="s">
        <v>6511</v>
      </c>
      <c r="I2835" s="1" t="s">
        <v>49</v>
      </c>
      <c r="J2835" s="1" t="s">
        <v>48</v>
      </c>
      <c r="K2835" s="1">
        <v>336</v>
      </c>
      <c r="L2835" s="1">
        <v>0</v>
      </c>
      <c r="M2835" s="1">
        <v>0</v>
      </c>
      <c r="N2835" s="1">
        <v>336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 t="s">
        <v>49</v>
      </c>
      <c r="AA2835" s="1" t="s">
        <v>49</v>
      </c>
      <c r="AB2835" s="1" t="s">
        <v>49</v>
      </c>
      <c r="AC2835" s="1" t="s">
        <v>3363</v>
      </c>
      <c r="AD2835" s="1" t="s">
        <v>6480</v>
      </c>
      <c r="AE2835" s="1" t="s">
        <v>3363</v>
      </c>
      <c r="AF2835" s="1" t="s">
        <v>5463</v>
      </c>
      <c r="AG2835" s="1" t="s">
        <v>53</v>
      </c>
      <c r="AH2835" s="1" t="s">
        <v>49</v>
      </c>
      <c r="AI2835" s="1" t="s">
        <v>54</v>
      </c>
      <c r="AJ2835" s="1">
        <v>1</v>
      </c>
      <c r="AK2835" s="1" t="str">
        <f t="shared" si="44"/>
        <v xml:space="preserve"> =&lt;90</v>
      </c>
      <c r="AL2835" s="1" t="str">
        <f>VLOOKUP(C:C,[1]基础信息!B$1:D$65536,3,0)</f>
        <v xml:space="preserve">Cartridge </v>
      </c>
      <c r="AM2835" s="1" t="str">
        <f>VLOOKUP(C:C,[1]基础信息!B$1:E$65536,4,0)</f>
        <v>UNIV</v>
      </c>
      <c r="AN2835" s="1" t="str">
        <f>VLOOKUP(C:C,[1]基础信息!B$1:F$65536,5,0)</f>
        <v>P6</v>
      </c>
    </row>
    <row r="2836" spans="1:40">
      <c r="A2836" s="1" t="s">
        <v>41</v>
      </c>
      <c r="B2836" s="1" t="s">
        <v>42</v>
      </c>
      <c r="C2836" s="1" t="s">
        <v>5254</v>
      </c>
      <c r="D2836" s="1" t="s">
        <v>5255</v>
      </c>
      <c r="E2836" s="1" t="s">
        <v>45</v>
      </c>
      <c r="F2836" s="1" t="s">
        <v>6512</v>
      </c>
      <c r="G2836" s="1" t="s">
        <v>6513</v>
      </c>
      <c r="H2836" s="1" t="s">
        <v>6514</v>
      </c>
      <c r="I2836" s="1" t="s">
        <v>49</v>
      </c>
      <c r="J2836" s="1" t="s">
        <v>48</v>
      </c>
      <c r="K2836" s="1">
        <v>2200</v>
      </c>
      <c r="L2836" s="1">
        <v>0</v>
      </c>
      <c r="M2836" s="1">
        <v>0</v>
      </c>
      <c r="N2836" s="1">
        <v>2200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 t="s">
        <v>49</v>
      </c>
      <c r="AA2836" s="1" t="s">
        <v>49</v>
      </c>
      <c r="AB2836" s="1" t="s">
        <v>49</v>
      </c>
      <c r="AC2836" s="1" t="s">
        <v>6515</v>
      </c>
      <c r="AD2836" s="1" t="s">
        <v>6516</v>
      </c>
      <c r="AE2836" s="1" t="s">
        <v>6515</v>
      </c>
      <c r="AF2836" s="1" t="s">
        <v>6517</v>
      </c>
      <c r="AG2836" s="1" t="s">
        <v>53</v>
      </c>
      <c r="AH2836" s="1" t="s">
        <v>49</v>
      </c>
      <c r="AI2836" s="1" t="s">
        <v>54</v>
      </c>
      <c r="AJ2836" s="1">
        <v>1</v>
      </c>
      <c r="AK2836" s="1" t="str">
        <f t="shared" si="44"/>
        <v xml:space="preserve"> =&lt;90</v>
      </c>
      <c r="AL2836" s="1" t="str">
        <f>VLOOKUP(C:C,[1]基础信息!B$1:D$65536,3,0)</f>
        <v xml:space="preserve">Cartridge </v>
      </c>
      <c r="AM2836" s="1" t="str">
        <f>VLOOKUP(C:C,[1]基础信息!B$1:E$65536,4,0)</f>
        <v>UNIV</v>
      </c>
      <c r="AN2836" s="1" t="str">
        <f>VLOOKUP(C:C,[1]基础信息!B$1:F$65536,5,0)</f>
        <v>P55</v>
      </c>
    </row>
    <row r="2837" spans="1:40">
      <c r="A2837" s="1" t="s">
        <v>41</v>
      </c>
      <c r="B2837" s="1" t="s">
        <v>42</v>
      </c>
      <c r="C2837" s="1" t="s">
        <v>5254</v>
      </c>
      <c r="D2837" s="1" t="s">
        <v>5255</v>
      </c>
      <c r="E2837" s="1" t="s">
        <v>45</v>
      </c>
      <c r="F2837" s="1" t="s">
        <v>6512</v>
      </c>
      <c r="G2837" s="1" t="s">
        <v>6518</v>
      </c>
      <c r="H2837" s="1" t="s">
        <v>6519</v>
      </c>
      <c r="I2837" s="1" t="s">
        <v>49</v>
      </c>
      <c r="J2837" s="1" t="s">
        <v>48</v>
      </c>
      <c r="K2837" s="1">
        <v>2200</v>
      </c>
      <c r="L2837" s="1">
        <v>0</v>
      </c>
      <c r="M2837" s="1">
        <v>0</v>
      </c>
      <c r="N2837" s="1">
        <v>2200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 t="s">
        <v>49</v>
      </c>
      <c r="AA2837" s="1" t="s">
        <v>49</v>
      </c>
      <c r="AB2837" s="1" t="s">
        <v>49</v>
      </c>
      <c r="AC2837" s="1" t="s">
        <v>6515</v>
      </c>
      <c r="AD2837" s="1" t="s">
        <v>6516</v>
      </c>
      <c r="AE2837" s="1" t="s">
        <v>6515</v>
      </c>
      <c r="AF2837" s="1" t="s">
        <v>6517</v>
      </c>
      <c r="AG2837" s="1" t="s">
        <v>53</v>
      </c>
      <c r="AH2837" s="1" t="s">
        <v>49</v>
      </c>
      <c r="AI2837" s="1" t="s">
        <v>54</v>
      </c>
      <c r="AJ2837" s="1">
        <v>1</v>
      </c>
      <c r="AK2837" s="1" t="str">
        <f t="shared" si="44"/>
        <v xml:space="preserve"> =&lt;90</v>
      </c>
      <c r="AL2837" s="1" t="str">
        <f>VLOOKUP(C:C,[1]基础信息!B$1:D$65536,3,0)</f>
        <v xml:space="preserve">Cartridge </v>
      </c>
      <c r="AM2837" s="1" t="str">
        <f>VLOOKUP(C:C,[1]基础信息!B$1:E$65536,4,0)</f>
        <v>UNIV</v>
      </c>
      <c r="AN2837" s="1" t="str">
        <f>VLOOKUP(C:C,[1]基础信息!B$1:F$65536,5,0)</f>
        <v>P55</v>
      </c>
    </row>
    <row r="2838" spans="1:40">
      <c r="A2838" s="1" t="s">
        <v>41</v>
      </c>
      <c r="B2838" s="1" t="s">
        <v>42</v>
      </c>
      <c r="C2838" s="1" t="s">
        <v>4253</v>
      </c>
      <c r="D2838" s="1" t="s">
        <v>4254</v>
      </c>
      <c r="E2838" s="1" t="s">
        <v>45</v>
      </c>
      <c r="F2838" s="1" t="s">
        <v>6477</v>
      </c>
      <c r="G2838" s="1" t="s">
        <v>6520</v>
      </c>
      <c r="H2838" s="1" t="s">
        <v>6521</v>
      </c>
      <c r="I2838" s="1" t="s">
        <v>49</v>
      </c>
      <c r="J2838" s="1" t="s">
        <v>48</v>
      </c>
      <c r="K2838" s="1">
        <v>336</v>
      </c>
      <c r="L2838" s="1">
        <v>0</v>
      </c>
      <c r="M2838" s="1">
        <v>0</v>
      </c>
      <c r="N2838" s="1">
        <v>336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 t="s">
        <v>49</v>
      </c>
      <c r="AA2838" s="1" t="s">
        <v>49</v>
      </c>
      <c r="AB2838" s="1" t="s">
        <v>49</v>
      </c>
      <c r="AC2838" s="1" t="s">
        <v>3363</v>
      </c>
      <c r="AD2838" s="1" t="s">
        <v>6480</v>
      </c>
      <c r="AE2838" s="1" t="s">
        <v>3363</v>
      </c>
      <c r="AF2838" s="1" t="s">
        <v>5463</v>
      </c>
      <c r="AG2838" s="1" t="s">
        <v>53</v>
      </c>
      <c r="AH2838" s="1" t="s">
        <v>49</v>
      </c>
      <c r="AI2838" s="1" t="s">
        <v>54</v>
      </c>
      <c r="AJ2838" s="1">
        <v>1</v>
      </c>
      <c r="AK2838" s="1" t="str">
        <f t="shared" si="44"/>
        <v xml:space="preserve"> =&lt;90</v>
      </c>
      <c r="AL2838" s="1" t="str">
        <f>VLOOKUP(C:C,[1]基础信息!B$1:D$65536,3,0)</f>
        <v xml:space="preserve">Cartridge </v>
      </c>
      <c r="AM2838" s="1" t="str">
        <f>VLOOKUP(C:C,[1]基础信息!B$1:E$65536,4,0)</f>
        <v>UNIV</v>
      </c>
      <c r="AN2838" s="1" t="str">
        <f>VLOOKUP(C:C,[1]基础信息!B$1:F$65536,5,0)</f>
        <v>P6</v>
      </c>
    </row>
    <row r="2839" spans="1:40">
      <c r="A2839" s="1" t="s">
        <v>41</v>
      </c>
      <c r="B2839" s="1" t="s">
        <v>42</v>
      </c>
      <c r="C2839" s="1" t="s">
        <v>5254</v>
      </c>
      <c r="D2839" s="1" t="s">
        <v>5255</v>
      </c>
      <c r="E2839" s="1" t="s">
        <v>45</v>
      </c>
      <c r="F2839" s="1" t="s">
        <v>6512</v>
      </c>
      <c r="G2839" s="1" t="s">
        <v>6522</v>
      </c>
      <c r="H2839" s="1" t="s">
        <v>6523</v>
      </c>
      <c r="I2839" s="1" t="s">
        <v>49</v>
      </c>
      <c r="J2839" s="1" t="s">
        <v>48</v>
      </c>
      <c r="K2839" s="1">
        <v>2200</v>
      </c>
      <c r="L2839" s="1">
        <v>0</v>
      </c>
      <c r="M2839" s="1">
        <v>0</v>
      </c>
      <c r="N2839" s="1">
        <v>2200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 t="s">
        <v>49</v>
      </c>
      <c r="AA2839" s="1" t="s">
        <v>49</v>
      </c>
      <c r="AB2839" s="1" t="s">
        <v>49</v>
      </c>
      <c r="AC2839" s="1" t="s">
        <v>6515</v>
      </c>
      <c r="AD2839" s="1" t="s">
        <v>6516</v>
      </c>
      <c r="AE2839" s="1" t="s">
        <v>6515</v>
      </c>
      <c r="AF2839" s="1" t="s">
        <v>6517</v>
      </c>
      <c r="AG2839" s="1" t="s">
        <v>53</v>
      </c>
      <c r="AH2839" s="1" t="s">
        <v>49</v>
      </c>
      <c r="AI2839" s="1" t="s">
        <v>54</v>
      </c>
      <c r="AJ2839" s="1">
        <v>1</v>
      </c>
      <c r="AK2839" s="1" t="str">
        <f t="shared" si="44"/>
        <v xml:space="preserve"> =&lt;90</v>
      </c>
      <c r="AL2839" s="1" t="str">
        <f>VLOOKUP(C:C,[1]基础信息!B$1:D$65536,3,0)</f>
        <v xml:space="preserve">Cartridge </v>
      </c>
      <c r="AM2839" s="1" t="str">
        <f>VLOOKUP(C:C,[1]基础信息!B$1:E$65536,4,0)</f>
        <v>UNIV</v>
      </c>
      <c r="AN2839" s="1" t="str">
        <f>VLOOKUP(C:C,[1]基础信息!B$1:F$65536,5,0)</f>
        <v>P55</v>
      </c>
    </row>
    <row r="2840" spans="1:40">
      <c r="A2840" s="1" t="s">
        <v>41</v>
      </c>
      <c r="B2840" s="1" t="s">
        <v>42</v>
      </c>
      <c r="C2840" s="1" t="s">
        <v>4253</v>
      </c>
      <c r="D2840" s="1" t="s">
        <v>4254</v>
      </c>
      <c r="E2840" s="1" t="s">
        <v>45</v>
      </c>
      <c r="F2840" s="1" t="s">
        <v>6477</v>
      </c>
      <c r="G2840" s="1" t="s">
        <v>6524</v>
      </c>
      <c r="H2840" s="1" t="s">
        <v>6525</v>
      </c>
      <c r="I2840" s="1" t="s">
        <v>49</v>
      </c>
      <c r="J2840" s="1" t="s">
        <v>48</v>
      </c>
      <c r="K2840" s="1">
        <v>336</v>
      </c>
      <c r="L2840" s="1">
        <v>0</v>
      </c>
      <c r="M2840" s="1">
        <v>0</v>
      </c>
      <c r="N2840" s="1">
        <v>336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 t="s">
        <v>49</v>
      </c>
      <c r="AA2840" s="1" t="s">
        <v>49</v>
      </c>
      <c r="AB2840" s="1" t="s">
        <v>49</v>
      </c>
      <c r="AC2840" s="1" t="s">
        <v>3363</v>
      </c>
      <c r="AD2840" s="1" t="s">
        <v>6480</v>
      </c>
      <c r="AE2840" s="1" t="s">
        <v>3363</v>
      </c>
      <c r="AF2840" s="1" t="s">
        <v>5463</v>
      </c>
      <c r="AG2840" s="1" t="s">
        <v>53</v>
      </c>
      <c r="AH2840" s="1" t="s">
        <v>49</v>
      </c>
      <c r="AI2840" s="1" t="s">
        <v>54</v>
      </c>
      <c r="AJ2840" s="1">
        <v>1</v>
      </c>
      <c r="AK2840" s="1" t="str">
        <f t="shared" si="44"/>
        <v xml:space="preserve"> =&lt;90</v>
      </c>
      <c r="AL2840" s="1" t="str">
        <f>VLOOKUP(C:C,[1]基础信息!B$1:D$65536,3,0)</f>
        <v xml:space="preserve">Cartridge </v>
      </c>
      <c r="AM2840" s="1" t="str">
        <f>VLOOKUP(C:C,[1]基础信息!B$1:E$65536,4,0)</f>
        <v>UNIV</v>
      </c>
      <c r="AN2840" s="1" t="str">
        <f>VLOOKUP(C:C,[1]基础信息!B$1:F$65536,5,0)</f>
        <v>P6</v>
      </c>
    </row>
    <row r="2841" spans="1:40">
      <c r="A2841" s="1" t="s">
        <v>41</v>
      </c>
      <c r="B2841" s="1" t="s">
        <v>42</v>
      </c>
      <c r="C2841" s="1" t="s">
        <v>5254</v>
      </c>
      <c r="D2841" s="1" t="s">
        <v>5255</v>
      </c>
      <c r="E2841" s="1" t="s">
        <v>45</v>
      </c>
      <c r="F2841" s="1" t="s">
        <v>6512</v>
      </c>
      <c r="G2841" s="1" t="s">
        <v>6526</v>
      </c>
      <c r="H2841" s="1" t="s">
        <v>6527</v>
      </c>
      <c r="I2841" s="1" t="s">
        <v>49</v>
      </c>
      <c r="J2841" s="1" t="s">
        <v>48</v>
      </c>
      <c r="K2841" s="1">
        <v>2200</v>
      </c>
      <c r="L2841" s="1">
        <v>0</v>
      </c>
      <c r="M2841" s="1">
        <v>0</v>
      </c>
      <c r="N2841" s="1">
        <v>2200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 t="s">
        <v>49</v>
      </c>
      <c r="AA2841" s="1" t="s">
        <v>49</v>
      </c>
      <c r="AB2841" s="1" t="s">
        <v>49</v>
      </c>
      <c r="AC2841" s="1" t="s">
        <v>6515</v>
      </c>
      <c r="AD2841" s="1" t="s">
        <v>6516</v>
      </c>
      <c r="AE2841" s="1" t="s">
        <v>6515</v>
      </c>
      <c r="AF2841" s="1" t="s">
        <v>6517</v>
      </c>
      <c r="AG2841" s="1" t="s">
        <v>53</v>
      </c>
      <c r="AH2841" s="1" t="s">
        <v>49</v>
      </c>
      <c r="AI2841" s="1" t="s">
        <v>54</v>
      </c>
      <c r="AJ2841" s="1">
        <v>1</v>
      </c>
      <c r="AK2841" s="1" t="str">
        <f t="shared" si="44"/>
        <v xml:space="preserve"> =&lt;90</v>
      </c>
      <c r="AL2841" s="1" t="str">
        <f>VLOOKUP(C:C,[1]基础信息!B$1:D$65536,3,0)</f>
        <v xml:space="preserve">Cartridge </v>
      </c>
      <c r="AM2841" s="1" t="str">
        <f>VLOOKUP(C:C,[1]基础信息!B$1:E$65536,4,0)</f>
        <v>UNIV</v>
      </c>
      <c r="AN2841" s="1" t="str">
        <f>VLOOKUP(C:C,[1]基础信息!B$1:F$65536,5,0)</f>
        <v>P55</v>
      </c>
    </row>
    <row r="2842" spans="1:40">
      <c r="A2842" s="1" t="s">
        <v>41</v>
      </c>
      <c r="B2842" s="1" t="s">
        <v>42</v>
      </c>
      <c r="C2842" s="1" t="s">
        <v>5254</v>
      </c>
      <c r="D2842" s="1" t="s">
        <v>5255</v>
      </c>
      <c r="E2842" s="1" t="s">
        <v>45</v>
      </c>
      <c r="F2842" s="1" t="s">
        <v>6512</v>
      </c>
      <c r="G2842" s="1" t="s">
        <v>6528</v>
      </c>
      <c r="H2842" s="1" t="s">
        <v>6529</v>
      </c>
      <c r="I2842" s="1" t="s">
        <v>49</v>
      </c>
      <c r="J2842" s="1" t="s">
        <v>48</v>
      </c>
      <c r="K2842" s="1">
        <v>2200</v>
      </c>
      <c r="L2842" s="1">
        <v>0</v>
      </c>
      <c r="M2842" s="1">
        <v>0</v>
      </c>
      <c r="N2842" s="1">
        <v>2200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 t="s">
        <v>49</v>
      </c>
      <c r="AA2842" s="1" t="s">
        <v>49</v>
      </c>
      <c r="AB2842" s="1" t="s">
        <v>49</v>
      </c>
      <c r="AC2842" s="1" t="s">
        <v>6515</v>
      </c>
      <c r="AD2842" s="1" t="s">
        <v>6516</v>
      </c>
      <c r="AE2842" s="1" t="s">
        <v>6515</v>
      </c>
      <c r="AF2842" s="1" t="s">
        <v>6517</v>
      </c>
      <c r="AG2842" s="1" t="s">
        <v>53</v>
      </c>
      <c r="AH2842" s="1" t="s">
        <v>49</v>
      </c>
      <c r="AI2842" s="1" t="s">
        <v>54</v>
      </c>
      <c r="AJ2842" s="1">
        <v>1</v>
      </c>
      <c r="AK2842" s="1" t="str">
        <f t="shared" si="44"/>
        <v xml:space="preserve"> =&lt;90</v>
      </c>
      <c r="AL2842" s="1" t="str">
        <f>VLOOKUP(C:C,[1]基础信息!B$1:D$65536,3,0)</f>
        <v xml:space="preserve">Cartridge </v>
      </c>
      <c r="AM2842" s="1" t="str">
        <f>VLOOKUP(C:C,[1]基础信息!B$1:E$65536,4,0)</f>
        <v>UNIV</v>
      </c>
      <c r="AN2842" s="1" t="str">
        <f>VLOOKUP(C:C,[1]基础信息!B$1:F$65536,5,0)</f>
        <v>P55</v>
      </c>
    </row>
    <row r="2843" spans="1:40">
      <c r="A2843" s="1" t="s">
        <v>41</v>
      </c>
      <c r="B2843" s="1" t="s">
        <v>42</v>
      </c>
      <c r="C2843" s="1" t="s">
        <v>5254</v>
      </c>
      <c r="D2843" s="1" t="s">
        <v>5255</v>
      </c>
      <c r="E2843" s="1" t="s">
        <v>45</v>
      </c>
      <c r="F2843" s="1" t="s">
        <v>6530</v>
      </c>
      <c r="G2843" s="1" t="s">
        <v>6531</v>
      </c>
      <c r="H2843" s="1" t="s">
        <v>6532</v>
      </c>
      <c r="I2843" s="1" t="s">
        <v>49</v>
      </c>
      <c r="J2843" s="1" t="s">
        <v>48</v>
      </c>
      <c r="K2843" s="1">
        <v>440</v>
      </c>
      <c r="L2843" s="1">
        <v>0</v>
      </c>
      <c r="M2843" s="1">
        <v>0</v>
      </c>
      <c r="N2843" s="1">
        <v>440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 t="s">
        <v>49</v>
      </c>
      <c r="AA2843" s="1" t="s">
        <v>49</v>
      </c>
      <c r="AB2843" s="1" t="s">
        <v>49</v>
      </c>
      <c r="AC2843" s="1" t="s">
        <v>6515</v>
      </c>
      <c r="AD2843" s="1" t="s">
        <v>6516</v>
      </c>
      <c r="AE2843" s="1" t="s">
        <v>6515</v>
      </c>
      <c r="AF2843" s="1" t="s">
        <v>6533</v>
      </c>
      <c r="AG2843" s="1" t="s">
        <v>53</v>
      </c>
      <c r="AH2843" s="1" t="s">
        <v>49</v>
      </c>
      <c r="AI2843" s="1" t="s">
        <v>54</v>
      </c>
      <c r="AJ2843" s="1">
        <v>1</v>
      </c>
      <c r="AK2843" s="1" t="str">
        <f t="shared" si="44"/>
        <v xml:space="preserve"> =&lt;90</v>
      </c>
      <c r="AL2843" s="1" t="str">
        <f>VLOOKUP(C:C,[1]基础信息!B$1:D$65536,3,0)</f>
        <v xml:space="preserve">Cartridge </v>
      </c>
      <c r="AM2843" s="1" t="str">
        <f>VLOOKUP(C:C,[1]基础信息!B$1:E$65536,4,0)</f>
        <v>UNIV</v>
      </c>
      <c r="AN2843" s="1" t="str">
        <f>VLOOKUP(C:C,[1]基础信息!B$1:F$65536,5,0)</f>
        <v>P55</v>
      </c>
    </row>
    <row r="2844" spans="1:40">
      <c r="A2844" s="1" t="s">
        <v>41</v>
      </c>
      <c r="B2844" s="1" t="s">
        <v>42</v>
      </c>
      <c r="C2844" s="1" t="s">
        <v>4253</v>
      </c>
      <c r="D2844" s="1" t="s">
        <v>4254</v>
      </c>
      <c r="E2844" s="1" t="s">
        <v>45</v>
      </c>
      <c r="F2844" s="1" t="s">
        <v>6477</v>
      </c>
      <c r="G2844" s="1" t="s">
        <v>6534</v>
      </c>
      <c r="H2844" s="1" t="s">
        <v>6535</v>
      </c>
      <c r="I2844" s="1" t="s">
        <v>49</v>
      </c>
      <c r="J2844" s="1" t="s">
        <v>48</v>
      </c>
      <c r="K2844" s="1">
        <v>336</v>
      </c>
      <c r="L2844" s="1">
        <v>0</v>
      </c>
      <c r="M2844" s="1">
        <v>0</v>
      </c>
      <c r="N2844" s="1">
        <v>336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 t="s">
        <v>49</v>
      </c>
      <c r="AA2844" s="1" t="s">
        <v>49</v>
      </c>
      <c r="AB2844" s="1" t="s">
        <v>49</v>
      </c>
      <c r="AC2844" s="1" t="s">
        <v>3363</v>
      </c>
      <c r="AD2844" s="1" t="s">
        <v>6480</v>
      </c>
      <c r="AE2844" s="1" t="s">
        <v>3363</v>
      </c>
      <c r="AF2844" s="1" t="s">
        <v>5463</v>
      </c>
      <c r="AG2844" s="1" t="s">
        <v>53</v>
      </c>
      <c r="AH2844" s="1" t="s">
        <v>49</v>
      </c>
      <c r="AI2844" s="1" t="s">
        <v>54</v>
      </c>
      <c r="AJ2844" s="1">
        <v>1</v>
      </c>
      <c r="AK2844" s="1" t="str">
        <f t="shared" si="44"/>
        <v xml:space="preserve"> =&lt;90</v>
      </c>
      <c r="AL2844" s="1" t="str">
        <f>VLOOKUP(C:C,[1]基础信息!B$1:D$65536,3,0)</f>
        <v xml:space="preserve">Cartridge </v>
      </c>
      <c r="AM2844" s="1" t="str">
        <f>VLOOKUP(C:C,[1]基础信息!B$1:E$65536,4,0)</f>
        <v>UNIV</v>
      </c>
      <c r="AN2844" s="1" t="str">
        <f>VLOOKUP(C:C,[1]基础信息!B$1:F$65536,5,0)</f>
        <v>P6</v>
      </c>
    </row>
    <row r="2845" spans="1:40">
      <c r="A2845" s="1" t="s">
        <v>41</v>
      </c>
      <c r="B2845" s="1" t="s">
        <v>42</v>
      </c>
      <c r="C2845" s="1" t="s">
        <v>4253</v>
      </c>
      <c r="D2845" s="1" t="s">
        <v>4254</v>
      </c>
      <c r="E2845" s="1" t="s">
        <v>45</v>
      </c>
      <c r="F2845" s="1" t="s">
        <v>6477</v>
      </c>
      <c r="G2845" s="1" t="s">
        <v>6536</v>
      </c>
      <c r="H2845" s="1" t="s">
        <v>6537</v>
      </c>
      <c r="I2845" s="1" t="s">
        <v>49</v>
      </c>
      <c r="J2845" s="1" t="s">
        <v>48</v>
      </c>
      <c r="K2845" s="1">
        <v>336</v>
      </c>
      <c r="L2845" s="1">
        <v>0</v>
      </c>
      <c r="M2845" s="1">
        <v>0</v>
      </c>
      <c r="N2845" s="1">
        <v>336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 t="s">
        <v>49</v>
      </c>
      <c r="AA2845" s="1" t="s">
        <v>49</v>
      </c>
      <c r="AB2845" s="1" t="s">
        <v>49</v>
      </c>
      <c r="AC2845" s="1" t="s">
        <v>3363</v>
      </c>
      <c r="AD2845" s="1" t="s">
        <v>6480</v>
      </c>
      <c r="AE2845" s="1" t="s">
        <v>3363</v>
      </c>
      <c r="AF2845" s="1" t="s">
        <v>5463</v>
      </c>
      <c r="AG2845" s="1" t="s">
        <v>53</v>
      </c>
      <c r="AH2845" s="1" t="s">
        <v>49</v>
      </c>
      <c r="AI2845" s="1" t="s">
        <v>54</v>
      </c>
      <c r="AJ2845" s="1">
        <v>1</v>
      </c>
      <c r="AK2845" s="1" t="str">
        <f t="shared" si="44"/>
        <v xml:space="preserve"> =&lt;90</v>
      </c>
      <c r="AL2845" s="1" t="str">
        <f>VLOOKUP(C:C,[1]基础信息!B$1:D$65536,3,0)</f>
        <v xml:space="preserve">Cartridge </v>
      </c>
      <c r="AM2845" s="1" t="str">
        <f>VLOOKUP(C:C,[1]基础信息!B$1:E$65536,4,0)</f>
        <v>UNIV</v>
      </c>
      <c r="AN2845" s="1" t="str">
        <f>VLOOKUP(C:C,[1]基础信息!B$1:F$65536,5,0)</f>
        <v>P6</v>
      </c>
    </row>
    <row r="2846" spans="1:40">
      <c r="A2846" s="1" t="s">
        <v>41</v>
      </c>
      <c r="B2846" s="1" t="s">
        <v>42</v>
      </c>
      <c r="C2846" s="1" t="s">
        <v>4253</v>
      </c>
      <c r="D2846" s="1" t="s">
        <v>4254</v>
      </c>
      <c r="E2846" s="1" t="s">
        <v>45</v>
      </c>
      <c r="F2846" s="1" t="s">
        <v>6477</v>
      </c>
      <c r="G2846" s="1" t="s">
        <v>6538</v>
      </c>
      <c r="H2846" s="1" t="s">
        <v>6539</v>
      </c>
      <c r="I2846" s="1" t="s">
        <v>49</v>
      </c>
      <c r="J2846" s="1" t="s">
        <v>48</v>
      </c>
      <c r="K2846" s="1">
        <v>336</v>
      </c>
      <c r="L2846" s="1">
        <v>0</v>
      </c>
      <c r="M2846" s="1">
        <v>0</v>
      </c>
      <c r="N2846" s="1">
        <v>336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 t="s">
        <v>49</v>
      </c>
      <c r="AA2846" s="1" t="s">
        <v>49</v>
      </c>
      <c r="AB2846" s="1" t="s">
        <v>49</v>
      </c>
      <c r="AC2846" s="1" t="s">
        <v>3363</v>
      </c>
      <c r="AD2846" s="1" t="s">
        <v>6480</v>
      </c>
      <c r="AE2846" s="1" t="s">
        <v>3363</v>
      </c>
      <c r="AF2846" s="1" t="s">
        <v>5463</v>
      </c>
      <c r="AG2846" s="1" t="s">
        <v>53</v>
      </c>
      <c r="AH2846" s="1" t="s">
        <v>49</v>
      </c>
      <c r="AI2846" s="1" t="s">
        <v>54</v>
      </c>
      <c r="AJ2846" s="1">
        <v>1</v>
      </c>
      <c r="AK2846" s="1" t="str">
        <f t="shared" si="44"/>
        <v xml:space="preserve"> =&lt;90</v>
      </c>
      <c r="AL2846" s="1" t="str">
        <f>VLOOKUP(C:C,[1]基础信息!B$1:D$65536,3,0)</f>
        <v xml:space="preserve">Cartridge </v>
      </c>
      <c r="AM2846" s="1" t="str">
        <f>VLOOKUP(C:C,[1]基础信息!B$1:E$65536,4,0)</f>
        <v>UNIV</v>
      </c>
      <c r="AN2846" s="1" t="str">
        <f>VLOOKUP(C:C,[1]基础信息!B$1:F$65536,5,0)</f>
        <v>P6</v>
      </c>
    </row>
    <row r="2847" spans="1:40">
      <c r="A2847" s="1" t="s">
        <v>41</v>
      </c>
      <c r="B2847" s="1" t="s">
        <v>42</v>
      </c>
      <c r="C2847" s="1" t="s">
        <v>4253</v>
      </c>
      <c r="D2847" s="1" t="s">
        <v>4254</v>
      </c>
      <c r="E2847" s="1" t="s">
        <v>45</v>
      </c>
      <c r="F2847" s="1" t="s">
        <v>6477</v>
      </c>
      <c r="G2847" s="1" t="s">
        <v>6540</v>
      </c>
      <c r="H2847" s="1" t="s">
        <v>6541</v>
      </c>
      <c r="I2847" s="1" t="s">
        <v>49</v>
      </c>
      <c r="J2847" s="1" t="s">
        <v>48</v>
      </c>
      <c r="K2847" s="1">
        <v>336</v>
      </c>
      <c r="L2847" s="1">
        <v>0</v>
      </c>
      <c r="M2847" s="1">
        <v>0</v>
      </c>
      <c r="N2847" s="1">
        <v>336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 t="s">
        <v>49</v>
      </c>
      <c r="AA2847" s="1" t="s">
        <v>49</v>
      </c>
      <c r="AB2847" s="1" t="s">
        <v>49</v>
      </c>
      <c r="AC2847" s="1" t="s">
        <v>3363</v>
      </c>
      <c r="AD2847" s="1" t="s">
        <v>6480</v>
      </c>
      <c r="AE2847" s="1" t="s">
        <v>3363</v>
      </c>
      <c r="AF2847" s="1" t="s">
        <v>5463</v>
      </c>
      <c r="AG2847" s="1" t="s">
        <v>53</v>
      </c>
      <c r="AH2847" s="1" t="s">
        <v>49</v>
      </c>
      <c r="AI2847" s="1" t="s">
        <v>54</v>
      </c>
      <c r="AJ2847" s="1">
        <v>1</v>
      </c>
      <c r="AK2847" s="1" t="str">
        <f t="shared" si="44"/>
        <v xml:space="preserve"> =&lt;90</v>
      </c>
      <c r="AL2847" s="1" t="str">
        <f>VLOOKUP(C:C,[1]基础信息!B$1:D$65536,3,0)</f>
        <v xml:space="preserve">Cartridge </v>
      </c>
      <c r="AM2847" s="1" t="str">
        <f>VLOOKUP(C:C,[1]基础信息!B$1:E$65536,4,0)</f>
        <v>UNIV</v>
      </c>
      <c r="AN2847" s="1" t="str">
        <f>VLOOKUP(C:C,[1]基础信息!B$1:F$65536,5,0)</f>
        <v>P6</v>
      </c>
    </row>
    <row r="2848" spans="1:40">
      <c r="A2848" s="1" t="s">
        <v>41</v>
      </c>
      <c r="B2848" s="1" t="s">
        <v>42</v>
      </c>
      <c r="C2848" s="1" t="s">
        <v>4253</v>
      </c>
      <c r="D2848" s="1" t="s">
        <v>4254</v>
      </c>
      <c r="E2848" s="1" t="s">
        <v>45</v>
      </c>
      <c r="F2848" s="1" t="s">
        <v>6477</v>
      </c>
      <c r="G2848" s="1" t="s">
        <v>6542</v>
      </c>
      <c r="H2848" s="1" t="s">
        <v>6543</v>
      </c>
      <c r="I2848" s="1" t="s">
        <v>49</v>
      </c>
      <c r="J2848" s="1" t="s">
        <v>48</v>
      </c>
      <c r="K2848" s="1">
        <v>336</v>
      </c>
      <c r="L2848" s="1">
        <v>0</v>
      </c>
      <c r="M2848" s="1">
        <v>0</v>
      </c>
      <c r="N2848" s="1">
        <v>336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 t="s">
        <v>49</v>
      </c>
      <c r="AA2848" s="1" t="s">
        <v>49</v>
      </c>
      <c r="AB2848" s="1" t="s">
        <v>49</v>
      </c>
      <c r="AC2848" s="1" t="s">
        <v>3363</v>
      </c>
      <c r="AD2848" s="1" t="s">
        <v>6480</v>
      </c>
      <c r="AE2848" s="1" t="s">
        <v>3363</v>
      </c>
      <c r="AF2848" s="1" t="s">
        <v>5463</v>
      </c>
      <c r="AG2848" s="1" t="s">
        <v>53</v>
      </c>
      <c r="AH2848" s="1" t="s">
        <v>49</v>
      </c>
      <c r="AI2848" s="1" t="s">
        <v>54</v>
      </c>
      <c r="AJ2848" s="1">
        <v>1</v>
      </c>
      <c r="AK2848" s="1" t="str">
        <f t="shared" si="44"/>
        <v xml:space="preserve"> =&lt;90</v>
      </c>
      <c r="AL2848" s="1" t="str">
        <f>VLOOKUP(C:C,[1]基础信息!B$1:D$65536,3,0)</f>
        <v xml:space="preserve">Cartridge </v>
      </c>
      <c r="AM2848" s="1" t="str">
        <f>VLOOKUP(C:C,[1]基础信息!B$1:E$65536,4,0)</f>
        <v>UNIV</v>
      </c>
      <c r="AN2848" s="1" t="str">
        <f>VLOOKUP(C:C,[1]基础信息!B$1:F$65536,5,0)</f>
        <v>P6</v>
      </c>
    </row>
    <row r="2849" spans="1:40">
      <c r="A2849" s="1" t="s">
        <v>41</v>
      </c>
      <c r="B2849" s="1" t="s">
        <v>42</v>
      </c>
      <c r="C2849" s="1" t="s">
        <v>4253</v>
      </c>
      <c r="D2849" s="1" t="s">
        <v>4254</v>
      </c>
      <c r="E2849" s="1" t="s">
        <v>45</v>
      </c>
      <c r="F2849" s="1" t="s">
        <v>6477</v>
      </c>
      <c r="G2849" s="1" t="s">
        <v>6544</v>
      </c>
      <c r="H2849" s="1" t="s">
        <v>6545</v>
      </c>
      <c r="I2849" s="1" t="s">
        <v>49</v>
      </c>
      <c r="J2849" s="1" t="s">
        <v>48</v>
      </c>
      <c r="K2849" s="1">
        <v>336</v>
      </c>
      <c r="L2849" s="1">
        <v>0</v>
      </c>
      <c r="M2849" s="1">
        <v>0</v>
      </c>
      <c r="N2849" s="1">
        <v>336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 t="s">
        <v>49</v>
      </c>
      <c r="AA2849" s="1" t="s">
        <v>49</v>
      </c>
      <c r="AB2849" s="1" t="s">
        <v>49</v>
      </c>
      <c r="AC2849" s="1" t="s">
        <v>3363</v>
      </c>
      <c r="AD2849" s="1" t="s">
        <v>6480</v>
      </c>
      <c r="AE2849" s="1" t="s">
        <v>3363</v>
      </c>
      <c r="AF2849" s="1" t="s">
        <v>5463</v>
      </c>
      <c r="AG2849" s="1" t="s">
        <v>53</v>
      </c>
      <c r="AH2849" s="1" t="s">
        <v>49</v>
      </c>
      <c r="AI2849" s="1" t="s">
        <v>54</v>
      </c>
      <c r="AJ2849" s="1">
        <v>1</v>
      </c>
      <c r="AK2849" s="1" t="str">
        <f t="shared" si="44"/>
        <v xml:space="preserve"> =&lt;90</v>
      </c>
      <c r="AL2849" s="1" t="str">
        <f>VLOOKUP(C:C,[1]基础信息!B$1:D$65536,3,0)</f>
        <v xml:space="preserve">Cartridge </v>
      </c>
      <c r="AM2849" s="1" t="str">
        <f>VLOOKUP(C:C,[1]基础信息!B$1:E$65536,4,0)</f>
        <v>UNIV</v>
      </c>
      <c r="AN2849" s="1" t="str">
        <f>VLOOKUP(C:C,[1]基础信息!B$1:F$65536,5,0)</f>
        <v>P6</v>
      </c>
    </row>
    <row r="2850" spans="1:40">
      <c r="A2850" s="1" t="s">
        <v>41</v>
      </c>
      <c r="B2850" s="1" t="s">
        <v>42</v>
      </c>
      <c r="C2850" s="1" t="s">
        <v>4253</v>
      </c>
      <c r="D2850" s="1" t="s">
        <v>4254</v>
      </c>
      <c r="E2850" s="1" t="s">
        <v>45</v>
      </c>
      <c r="F2850" s="1" t="s">
        <v>6477</v>
      </c>
      <c r="G2850" s="1" t="s">
        <v>6546</v>
      </c>
      <c r="H2850" s="1" t="s">
        <v>6547</v>
      </c>
      <c r="I2850" s="1" t="s">
        <v>49</v>
      </c>
      <c r="J2850" s="1" t="s">
        <v>48</v>
      </c>
      <c r="K2850" s="1">
        <v>336</v>
      </c>
      <c r="L2850" s="1">
        <v>0</v>
      </c>
      <c r="M2850" s="1">
        <v>0</v>
      </c>
      <c r="N2850" s="1">
        <v>336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 t="s">
        <v>49</v>
      </c>
      <c r="AA2850" s="1" t="s">
        <v>49</v>
      </c>
      <c r="AB2850" s="1" t="s">
        <v>49</v>
      </c>
      <c r="AC2850" s="1" t="s">
        <v>3363</v>
      </c>
      <c r="AD2850" s="1" t="s">
        <v>6480</v>
      </c>
      <c r="AE2850" s="1" t="s">
        <v>3363</v>
      </c>
      <c r="AF2850" s="1" t="s">
        <v>5463</v>
      </c>
      <c r="AG2850" s="1" t="s">
        <v>53</v>
      </c>
      <c r="AH2850" s="1" t="s">
        <v>49</v>
      </c>
      <c r="AI2850" s="1" t="s">
        <v>54</v>
      </c>
      <c r="AJ2850" s="1">
        <v>1</v>
      </c>
      <c r="AK2850" s="1" t="str">
        <f t="shared" si="44"/>
        <v xml:space="preserve"> =&lt;90</v>
      </c>
      <c r="AL2850" s="1" t="str">
        <f>VLOOKUP(C:C,[1]基础信息!B$1:D$65536,3,0)</f>
        <v xml:space="preserve">Cartridge </v>
      </c>
      <c r="AM2850" s="1" t="str">
        <f>VLOOKUP(C:C,[1]基础信息!B$1:E$65536,4,0)</f>
        <v>UNIV</v>
      </c>
      <c r="AN2850" s="1" t="str">
        <f>VLOOKUP(C:C,[1]基础信息!B$1:F$65536,5,0)</f>
        <v>P6</v>
      </c>
    </row>
    <row r="2851" spans="1:40">
      <c r="A2851" s="1" t="s">
        <v>41</v>
      </c>
      <c r="B2851" s="1" t="s">
        <v>42</v>
      </c>
      <c r="C2851" s="1" t="s">
        <v>4253</v>
      </c>
      <c r="D2851" s="1" t="s">
        <v>4254</v>
      </c>
      <c r="E2851" s="1" t="s">
        <v>45</v>
      </c>
      <c r="F2851" s="1" t="s">
        <v>6477</v>
      </c>
      <c r="G2851" s="1" t="s">
        <v>6548</v>
      </c>
      <c r="H2851" s="1" t="s">
        <v>6549</v>
      </c>
      <c r="I2851" s="1" t="s">
        <v>49</v>
      </c>
      <c r="J2851" s="1" t="s">
        <v>48</v>
      </c>
      <c r="K2851" s="1">
        <v>336</v>
      </c>
      <c r="L2851" s="1">
        <v>0</v>
      </c>
      <c r="M2851" s="1">
        <v>0</v>
      </c>
      <c r="N2851" s="1">
        <v>336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 t="s">
        <v>49</v>
      </c>
      <c r="AA2851" s="1" t="s">
        <v>49</v>
      </c>
      <c r="AB2851" s="1" t="s">
        <v>49</v>
      </c>
      <c r="AC2851" s="1" t="s">
        <v>3363</v>
      </c>
      <c r="AD2851" s="1" t="s">
        <v>6480</v>
      </c>
      <c r="AE2851" s="1" t="s">
        <v>3363</v>
      </c>
      <c r="AF2851" s="1" t="s">
        <v>5463</v>
      </c>
      <c r="AG2851" s="1" t="s">
        <v>53</v>
      </c>
      <c r="AH2851" s="1" t="s">
        <v>49</v>
      </c>
      <c r="AI2851" s="1" t="s">
        <v>54</v>
      </c>
      <c r="AJ2851" s="1">
        <v>1</v>
      </c>
      <c r="AK2851" s="1" t="str">
        <f t="shared" si="44"/>
        <v xml:space="preserve"> =&lt;90</v>
      </c>
      <c r="AL2851" s="1" t="str">
        <f>VLOOKUP(C:C,[1]基础信息!B$1:D$65536,3,0)</f>
        <v xml:space="preserve">Cartridge </v>
      </c>
      <c r="AM2851" s="1" t="str">
        <f>VLOOKUP(C:C,[1]基础信息!B$1:E$65536,4,0)</f>
        <v>UNIV</v>
      </c>
      <c r="AN2851" s="1" t="str">
        <f>VLOOKUP(C:C,[1]基础信息!B$1:F$65536,5,0)</f>
        <v>P6</v>
      </c>
    </row>
    <row r="2852" spans="1:40">
      <c r="A2852" s="1" t="s">
        <v>41</v>
      </c>
      <c r="B2852" s="1" t="s">
        <v>42</v>
      </c>
      <c r="C2852" s="1" t="s">
        <v>4253</v>
      </c>
      <c r="D2852" s="1" t="s">
        <v>4254</v>
      </c>
      <c r="E2852" s="1" t="s">
        <v>45</v>
      </c>
      <c r="F2852" s="1" t="s">
        <v>6477</v>
      </c>
      <c r="G2852" s="1" t="s">
        <v>6550</v>
      </c>
      <c r="H2852" s="1" t="s">
        <v>6551</v>
      </c>
      <c r="I2852" s="1" t="s">
        <v>49</v>
      </c>
      <c r="J2852" s="1" t="s">
        <v>48</v>
      </c>
      <c r="K2852" s="1">
        <v>336</v>
      </c>
      <c r="L2852" s="1">
        <v>0</v>
      </c>
      <c r="M2852" s="1">
        <v>0</v>
      </c>
      <c r="N2852" s="1">
        <v>336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 t="s">
        <v>49</v>
      </c>
      <c r="AA2852" s="1" t="s">
        <v>49</v>
      </c>
      <c r="AB2852" s="1" t="s">
        <v>49</v>
      </c>
      <c r="AC2852" s="1" t="s">
        <v>3363</v>
      </c>
      <c r="AD2852" s="1" t="s">
        <v>6480</v>
      </c>
      <c r="AE2852" s="1" t="s">
        <v>3363</v>
      </c>
      <c r="AF2852" s="1" t="s">
        <v>5463</v>
      </c>
      <c r="AG2852" s="1" t="s">
        <v>53</v>
      </c>
      <c r="AH2852" s="1" t="s">
        <v>49</v>
      </c>
      <c r="AI2852" s="1" t="s">
        <v>54</v>
      </c>
      <c r="AJ2852" s="1">
        <v>1</v>
      </c>
      <c r="AK2852" s="1" t="str">
        <f t="shared" si="44"/>
        <v xml:space="preserve"> =&lt;90</v>
      </c>
      <c r="AL2852" s="1" t="str">
        <f>VLOOKUP(C:C,[1]基础信息!B$1:D$65536,3,0)</f>
        <v xml:space="preserve">Cartridge </v>
      </c>
      <c r="AM2852" s="1" t="str">
        <f>VLOOKUP(C:C,[1]基础信息!B$1:E$65536,4,0)</f>
        <v>UNIV</v>
      </c>
      <c r="AN2852" s="1" t="str">
        <f>VLOOKUP(C:C,[1]基础信息!B$1:F$65536,5,0)</f>
        <v>P6</v>
      </c>
    </row>
    <row r="2853" spans="1:40">
      <c r="A2853" s="1" t="s">
        <v>41</v>
      </c>
      <c r="B2853" s="1" t="s">
        <v>42</v>
      </c>
      <c r="C2853" s="1" t="s">
        <v>4253</v>
      </c>
      <c r="D2853" s="1" t="s">
        <v>4254</v>
      </c>
      <c r="E2853" s="1" t="s">
        <v>45</v>
      </c>
      <c r="F2853" s="1" t="s">
        <v>6477</v>
      </c>
      <c r="G2853" s="1" t="s">
        <v>6552</v>
      </c>
      <c r="H2853" s="1" t="s">
        <v>6553</v>
      </c>
      <c r="I2853" s="1" t="s">
        <v>49</v>
      </c>
      <c r="J2853" s="1" t="s">
        <v>48</v>
      </c>
      <c r="K2853" s="1">
        <v>336</v>
      </c>
      <c r="L2853" s="1">
        <v>0</v>
      </c>
      <c r="M2853" s="1">
        <v>0</v>
      </c>
      <c r="N2853" s="1">
        <v>336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 t="s">
        <v>49</v>
      </c>
      <c r="AA2853" s="1" t="s">
        <v>49</v>
      </c>
      <c r="AB2853" s="1" t="s">
        <v>49</v>
      </c>
      <c r="AC2853" s="1" t="s">
        <v>3363</v>
      </c>
      <c r="AD2853" s="1" t="s">
        <v>6480</v>
      </c>
      <c r="AE2853" s="1" t="s">
        <v>3363</v>
      </c>
      <c r="AF2853" s="1" t="s">
        <v>5463</v>
      </c>
      <c r="AG2853" s="1" t="s">
        <v>53</v>
      </c>
      <c r="AH2853" s="1" t="s">
        <v>49</v>
      </c>
      <c r="AI2853" s="1" t="s">
        <v>54</v>
      </c>
      <c r="AJ2853" s="1">
        <v>1</v>
      </c>
      <c r="AK2853" s="1" t="str">
        <f t="shared" si="44"/>
        <v xml:space="preserve"> =&lt;90</v>
      </c>
      <c r="AL2853" s="1" t="str">
        <f>VLOOKUP(C:C,[1]基础信息!B$1:D$65536,3,0)</f>
        <v xml:space="preserve">Cartridge </v>
      </c>
      <c r="AM2853" s="1" t="str">
        <f>VLOOKUP(C:C,[1]基础信息!B$1:E$65536,4,0)</f>
        <v>UNIV</v>
      </c>
      <c r="AN2853" s="1" t="str">
        <f>VLOOKUP(C:C,[1]基础信息!B$1:F$65536,5,0)</f>
        <v>P6</v>
      </c>
    </row>
    <row r="2854" spans="1:40">
      <c r="A2854" s="1" t="s">
        <v>41</v>
      </c>
      <c r="B2854" s="1" t="s">
        <v>42</v>
      </c>
      <c r="C2854" s="1" t="s">
        <v>4253</v>
      </c>
      <c r="D2854" s="1" t="s">
        <v>4254</v>
      </c>
      <c r="E2854" s="1" t="s">
        <v>45</v>
      </c>
      <c r="F2854" s="1" t="s">
        <v>6477</v>
      </c>
      <c r="G2854" s="1" t="s">
        <v>6554</v>
      </c>
      <c r="H2854" s="1" t="s">
        <v>6555</v>
      </c>
      <c r="I2854" s="1" t="s">
        <v>49</v>
      </c>
      <c r="J2854" s="1" t="s">
        <v>48</v>
      </c>
      <c r="K2854" s="1">
        <v>336</v>
      </c>
      <c r="L2854" s="1">
        <v>0</v>
      </c>
      <c r="M2854" s="1">
        <v>0</v>
      </c>
      <c r="N2854" s="1">
        <v>336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 t="s">
        <v>49</v>
      </c>
      <c r="AA2854" s="1" t="s">
        <v>49</v>
      </c>
      <c r="AB2854" s="1" t="s">
        <v>49</v>
      </c>
      <c r="AC2854" s="1" t="s">
        <v>3363</v>
      </c>
      <c r="AD2854" s="1" t="s">
        <v>6480</v>
      </c>
      <c r="AE2854" s="1" t="s">
        <v>3363</v>
      </c>
      <c r="AF2854" s="1" t="s">
        <v>5463</v>
      </c>
      <c r="AG2854" s="1" t="s">
        <v>53</v>
      </c>
      <c r="AH2854" s="1" t="s">
        <v>49</v>
      </c>
      <c r="AI2854" s="1" t="s">
        <v>54</v>
      </c>
      <c r="AJ2854" s="1">
        <v>1</v>
      </c>
      <c r="AK2854" s="1" t="str">
        <f t="shared" si="44"/>
        <v xml:space="preserve"> =&lt;90</v>
      </c>
      <c r="AL2854" s="1" t="str">
        <f>VLOOKUP(C:C,[1]基础信息!B$1:D$65536,3,0)</f>
        <v xml:space="preserve">Cartridge </v>
      </c>
      <c r="AM2854" s="1" t="str">
        <f>VLOOKUP(C:C,[1]基础信息!B$1:E$65536,4,0)</f>
        <v>UNIV</v>
      </c>
      <c r="AN2854" s="1" t="str">
        <f>VLOOKUP(C:C,[1]基础信息!B$1:F$65536,5,0)</f>
        <v>P6</v>
      </c>
    </row>
    <row r="2855" spans="1:40">
      <c r="A2855" s="1" t="s">
        <v>41</v>
      </c>
      <c r="B2855" s="1" t="s">
        <v>42</v>
      </c>
      <c r="C2855" s="1" t="s">
        <v>4253</v>
      </c>
      <c r="D2855" s="1" t="s">
        <v>4254</v>
      </c>
      <c r="E2855" s="1" t="s">
        <v>45</v>
      </c>
      <c r="F2855" s="1" t="s">
        <v>6477</v>
      </c>
      <c r="G2855" s="1" t="s">
        <v>6556</v>
      </c>
      <c r="H2855" s="1" t="s">
        <v>6557</v>
      </c>
      <c r="I2855" s="1" t="s">
        <v>49</v>
      </c>
      <c r="J2855" s="1" t="s">
        <v>48</v>
      </c>
      <c r="K2855" s="1">
        <v>336</v>
      </c>
      <c r="L2855" s="1">
        <v>0</v>
      </c>
      <c r="M2855" s="1">
        <v>0</v>
      </c>
      <c r="N2855" s="1">
        <v>336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 t="s">
        <v>49</v>
      </c>
      <c r="AA2855" s="1" t="s">
        <v>49</v>
      </c>
      <c r="AB2855" s="1" t="s">
        <v>49</v>
      </c>
      <c r="AC2855" s="1" t="s">
        <v>3363</v>
      </c>
      <c r="AD2855" s="1" t="s">
        <v>6480</v>
      </c>
      <c r="AE2855" s="1" t="s">
        <v>3363</v>
      </c>
      <c r="AF2855" s="1" t="s">
        <v>5463</v>
      </c>
      <c r="AG2855" s="1" t="s">
        <v>53</v>
      </c>
      <c r="AH2855" s="1" t="s">
        <v>49</v>
      </c>
      <c r="AI2855" s="1" t="s">
        <v>54</v>
      </c>
      <c r="AJ2855" s="1">
        <v>1</v>
      </c>
      <c r="AK2855" s="1" t="str">
        <f t="shared" si="44"/>
        <v xml:space="preserve"> =&lt;90</v>
      </c>
      <c r="AL2855" s="1" t="str">
        <f>VLOOKUP(C:C,[1]基础信息!B$1:D$65536,3,0)</f>
        <v xml:space="preserve">Cartridge </v>
      </c>
      <c r="AM2855" s="1" t="str">
        <f>VLOOKUP(C:C,[1]基础信息!B$1:E$65536,4,0)</f>
        <v>UNIV</v>
      </c>
      <c r="AN2855" s="1" t="str">
        <f>VLOOKUP(C:C,[1]基础信息!B$1:F$65536,5,0)</f>
        <v>P6</v>
      </c>
    </row>
    <row r="2856" spans="1:40">
      <c r="A2856" s="1" t="s">
        <v>41</v>
      </c>
      <c r="B2856" s="1" t="s">
        <v>42</v>
      </c>
      <c r="C2856" s="1" t="s">
        <v>4253</v>
      </c>
      <c r="D2856" s="1" t="s">
        <v>4254</v>
      </c>
      <c r="E2856" s="1" t="s">
        <v>45</v>
      </c>
      <c r="F2856" s="1" t="s">
        <v>6477</v>
      </c>
      <c r="G2856" s="1" t="s">
        <v>6558</v>
      </c>
      <c r="H2856" s="1" t="s">
        <v>6559</v>
      </c>
      <c r="I2856" s="1" t="s">
        <v>49</v>
      </c>
      <c r="J2856" s="1" t="s">
        <v>48</v>
      </c>
      <c r="K2856" s="1">
        <v>336</v>
      </c>
      <c r="L2856" s="1">
        <v>0</v>
      </c>
      <c r="M2856" s="1">
        <v>0</v>
      </c>
      <c r="N2856" s="1">
        <v>336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 t="s">
        <v>49</v>
      </c>
      <c r="AA2856" s="1" t="s">
        <v>49</v>
      </c>
      <c r="AB2856" s="1" t="s">
        <v>49</v>
      </c>
      <c r="AC2856" s="1" t="s">
        <v>3363</v>
      </c>
      <c r="AD2856" s="1" t="s">
        <v>6480</v>
      </c>
      <c r="AE2856" s="1" t="s">
        <v>3363</v>
      </c>
      <c r="AF2856" s="1" t="s">
        <v>5463</v>
      </c>
      <c r="AG2856" s="1" t="s">
        <v>53</v>
      </c>
      <c r="AH2856" s="1" t="s">
        <v>49</v>
      </c>
      <c r="AI2856" s="1" t="s">
        <v>54</v>
      </c>
      <c r="AJ2856" s="1">
        <v>1</v>
      </c>
      <c r="AK2856" s="1" t="str">
        <f t="shared" si="44"/>
        <v xml:space="preserve"> =&lt;90</v>
      </c>
      <c r="AL2856" s="1" t="str">
        <f>VLOOKUP(C:C,[1]基础信息!B$1:D$65536,3,0)</f>
        <v xml:space="preserve">Cartridge </v>
      </c>
      <c r="AM2856" s="1" t="str">
        <f>VLOOKUP(C:C,[1]基础信息!B$1:E$65536,4,0)</f>
        <v>UNIV</v>
      </c>
      <c r="AN2856" s="1" t="str">
        <f>VLOOKUP(C:C,[1]基础信息!B$1:F$65536,5,0)</f>
        <v>P6</v>
      </c>
    </row>
    <row r="2857" spans="1:40">
      <c r="A2857" s="1" t="s">
        <v>41</v>
      </c>
      <c r="B2857" s="1" t="s">
        <v>42</v>
      </c>
      <c r="C2857" s="1" t="s">
        <v>4253</v>
      </c>
      <c r="D2857" s="1" t="s">
        <v>4254</v>
      </c>
      <c r="E2857" s="1" t="s">
        <v>45</v>
      </c>
      <c r="F2857" s="1" t="s">
        <v>6477</v>
      </c>
      <c r="G2857" s="1" t="s">
        <v>6560</v>
      </c>
      <c r="H2857" s="1" t="s">
        <v>6561</v>
      </c>
      <c r="I2857" s="1" t="s">
        <v>49</v>
      </c>
      <c r="J2857" s="1" t="s">
        <v>48</v>
      </c>
      <c r="K2857" s="1">
        <v>336</v>
      </c>
      <c r="L2857" s="1">
        <v>0</v>
      </c>
      <c r="M2857" s="1">
        <v>0</v>
      </c>
      <c r="N2857" s="1">
        <v>336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 t="s">
        <v>49</v>
      </c>
      <c r="AA2857" s="1" t="s">
        <v>49</v>
      </c>
      <c r="AB2857" s="1" t="s">
        <v>49</v>
      </c>
      <c r="AC2857" s="1" t="s">
        <v>3363</v>
      </c>
      <c r="AD2857" s="1" t="s">
        <v>6480</v>
      </c>
      <c r="AE2857" s="1" t="s">
        <v>3363</v>
      </c>
      <c r="AF2857" s="1" t="s">
        <v>5463</v>
      </c>
      <c r="AG2857" s="1" t="s">
        <v>53</v>
      </c>
      <c r="AH2857" s="1" t="s">
        <v>49</v>
      </c>
      <c r="AI2857" s="1" t="s">
        <v>54</v>
      </c>
      <c r="AJ2857" s="1">
        <v>1</v>
      </c>
      <c r="AK2857" s="1" t="str">
        <f t="shared" si="44"/>
        <v xml:space="preserve"> =&lt;90</v>
      </c>
      <c r="AL2857" s="1" t="str">
        <f>VLOOKUP(C:C,[1]基础信息!B$1:D$65536,3,0)</f>
        <v xml:space="preserve">Cartridge </v>
      </c>
      <c r="AM2857" s="1" t="str">
        <f>VLOOKUP(C:C,[1]基础信息!B$1:E$65536,4,0)</f>
        <v>UNIV</v>
      </c>
      <c r="AN2857" s="1" t="str">
        <f>VLOOKUP(C:C,[1]基础信息!B$1:F$65536,5,0)</f>
        <v>P6</v>
      </c>
    </row>
    <row r="2858" spans="1:40">
      <c r="A2858" s="1" t="s">
        <v>41</v>
      </c>
      <c r="B2858" s="1" t="s">
        <v>42</v>
      </c>
      <c r="C2858" s="1" t="s">
        <v>4253</v>
      </c>
      <c r="D2858" s="1" t="s">
        <v>4254</v>
      </c>
      <c r="E2858" s="1" t="s">
        <v>45</v>
      </c>
      <c r="F2858" s="1" t="s">
        <v>6477</v>
      </c>
      <c r="G2858" s="1" t="s">
        <v>6562</v>
      </c>
      <c r="H2858" s="1" t="s">
        <v>6563</v>
      </c>
      <c r="I2858" s="1" t="s">
        <v>49</v>
      </c>
      <c r="J2858" s="1" t="s">
        <v>48</v>
      </c>
      <c r="K2858" s="1">
        <v>336</v>
      </c>
      <c r="L2858" s="1">
        <v>0</v>
      </c>
      <c r="M2858" s="1">
        <v>0</v>
      </c>
      <c r="N2858" s="1">
        <v>336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 t="s">
        <v>49</v>
      </c>
      <c r="AA2858" s="1" t="s">
        <v>49</v>
      </c>
      <c r="AB2858" s="1" t="s">
        <v>49</v>
      </c>
      <c r="AC2858" s="1" t="s">
        <v>3363</v>
      </c>
      <c r="AD2858" s="1" t="s">
        <v>6480</v>
      </c>
      <c r="AE2858" s="1" t="s">
        <v>3363</v>
      </c>
      <c r="AF2858" s="1" t="s">
        <v>5463</v>
      </c>
      <c r="AG2858" s="1" t="s">
        <v>53</v>
      </c>
      <c r="AH2858" s="1" t="s">
        <v>49</v>
      </c>
      <c r="AI2858" s="1" t="s">
        <v>54</v>
      </c>
      <c r="AJ2858" s="1">
        <v>1</v>
      </c>
      <c r="AK2858" s="1" t="str">
        <f t="shared" si="44"/>
        <v xml:space="preserve"> =&lt;90</v>
      </c>
      <c r="AL2858" s="1" t="str">
        <f>VLOOKUP(C:C,[1]基础信息!B$1:D$65536,3,0)</f>
        <v xml:space="preserve">Cartridge </v>
      </c>
      <c r="AM2858" s="1" t="str">
        <f>VLOOKUP(C:C,[1]基础信息!B$1:E$65536,4,0)</f>
        <v>UNIV</v>
      </c>
      <c r="AN2858" s="1" t="str">
        <f>VLOOKUP(C:C,[1]基础信息!B$1:F$65536,5,0)</f>
        <v>P6</v>
      </c>
    </row>
    <row r="2859" spans="1:40">
      <c r="A2859" s="1" t="s">
        <v>41</v>
      </c>
      <c r="B2859" s="1" t="s">
        <v>42</v>
      </c>
      <c r="C2859" s="1" t="s">
        <v>4253</v>
      </c>
      <c r="D2859" s="1" t="s">
        <v>4254</v>
      </c>
      <c r="E2859" s="1" t="s">
        <v>45</v>
      </c>
      <c r="F2859" s="1" t="s">
        <v>6477</v>
      </c>
      <c r="G2859" s="1" t="s">
        <v>6564</v>
      </c>
      <c r="H2859" s="1" t="s">
        <v>6565</v>
      </c>
      <c r="I2859" s="1" t="s">
        <v>49</v>
      </c>
      <c r="J2859" s="1" t="s">
        <v>48</v>
      </c>
      <c r="K2859" s="1">
        <v>336</v>
      </c>
      <c r="L2859" s="1">
        <v>0</v>
      </c>
      <c r="M2859" s="1">
        <v>0</v>
      </c>
      <c r="N2859" s="1">
        <v>336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 t="s">
        <v>49</v>
      </c>
      <c r="AA2859" s="1" t="s">
        <v>49</v>
      </c>
      <c r="AB2859" s="1" t="s">
        <v>49</v>
      </c>
      <c r="AC2859" s="1" t="s">
        <v>3363</v>
      </c>
      <c r="AD2859" s="1" t="s">
        <v>6480</v>
      </c>
      <c r="AE2859" s="1" t="s">
        <v>3363</v>
      </c>
      <c r="AF2859" s="1" t="s">
        <v>5463</v>
      </c>
      <c r="AG2859" s="1" t="s">
        <v>53</v>
      </c>
      <c r="AH2859" s="1" t="s">
        <v>49</v>
      </c>
      <c r="AI2859" s="1" t="s">
        <v>54</v>
      </c>
      <c r="AJ2859" s="1">
        <v>1</v>
      </c>
      <c r="AK2859" s="1" t="str">
        <f t="shared" si="44"/>
        <v xml:space="preserve"> =&lt;90</v>
      </c>
      <c r="AL2859" s="1" t="str">
        <f>VLOOKUP(C:C,[1]基础信息!B$1:D$65536,3,0)</f>
        <v xml:space="preserve">Cartridge </v>
      </c>
      <c r="AM2859" s="1" t="str">
        <f>VLOOKUP(C:C,[1]基础信息!B$1:E$65536,4,0)</f>
        <v>UNIV</v>
      </c>
      <c r="AN2859" s="1" t="str">
        <f>VLOOKUP(C:C,[1]基础信息!B$1:F$65536,5,0)</f>
        <v>P6</v>
      </c>
    </row>
    <row r="2860" spans="1:40">
      <c r="A2860" s="1" t="s">
        <v>41</v>
      </c>
      <c r="B2860" s="1" t="s">
        <v>42</v>
      </c>
      <c r="C2860" s="1" t="s">
        <v>4253</v>
      </c>
      <c r="D2860" s="1" t="s">
        <v>4254</v>
      </c>
      <c r="E2860" s="1" t="s">
        <v>45</v>
      </c>
      <c r="F2860" s="1" t="s">
        <v>6477</v>
      </c>
      <c r="G2860" s="1" t="s">
        <v>6566</v>
      </c>
      <c r="H2860" s="1" t="s">
        <v>6567</v>
      </c>
      <c r="I2860" s="1" t="s">
        <v>49</v>
      </c>
      <c r="J2860" s="1" t="s">
        <v>48</v>
      </c>
      <c r="K2860" s="1">
        <v>336</v>
      </c>
      <c r="L2860" s="1">
        <v>0</v>
      </c>
      <c r="M2860" s="1">
        <v>0</v>
      </c>
      <c r="N2860" s="1">
        <v>336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 t="s">
        <v>49</v>
      </c>
      <c r="AA2860" s="1" t="s">
        <v>49</v>
      </c>
      <c r="AB2860" s="1" t="s">
        <v>49</v>
      </c>
      <c r="AC2860" s="1" t="s">
        <v>3363</v>
      </c>
      <c r="AD2860" s="1" t="s">
        <v>6480</v>
      </c>
      <c r="AE2860" s="1" t="s">
        <v>3363</v>
      </c>
      <c r="AF2860" s="1" t="s">
        <v>5463</v>
      </c>
      <c r="AG2860" s="1" t="s">
        <v>53</v>
      </c>
      <c r="AH2860" s="1" t="s">
        <v>49</v>
      </c>
      <c r="AI2860" s="1" t="s">
        <v>54</v>
      </c>
      <c r="AJ2860" s="1">
        <v>1</v>
      </c>
      <c r="AK2860" s="1" t="str">
        <f t="shared" si="44"/>
        <v xml:space="preserve"> =&lt;90</v>
      </c>
      <c r="AL2860" s="1" t="str">
        <f>VLOOKUP(C:C,[1]基础信息!B$1:D$65536,3,0)</f>
        <v xml:space="preserve">Cartridge </v>
      </c>
      <c r="AM2860" s="1" t="str">
        <f>VLOOKUP(C:C,[1]基础信息!B$1:E$65536,4,0)</f>
        <v>UNIV</v>
      </c>
      <c r="AN2860" s="1" t="str">
        <f>VLOOKUP(C:C,[1]基础信息!B$1:F$65536,5,0)</f>
        <v>P6</v>
      </c>
    </row>
    <row r="2861" spans="1:40">
      <c r="A2861" s="1" t="s">
        <v>41</v>
      </c>
      <c r="B2861" s="1" t="s">
        <v>42</v>
      </c>
      <c r="C2861" s="1" t="s">
        <v>4253</v>
      </c>
      <c r="D2861" s="1" t="s">
        <v>4254</v>
      </c>
      <c r="E2861" s="1" t="s">
        <v>45</v>
      </c>
      <c r="F2861" s="1" t="s">
        <v>6477</v>
      </c>
      <c r="G2861" s="1" t="s">
        <v>6568</v>
      </c>
      <c r="H2861" s="1" t="s">
        <v>6569</v>
      </c>
      <c r="I2861" s="1" t="s">
        <v>49</v>
      </c>
      <c r="J2861" s="1" t="s">
        <v>48</v>
      </c>
      <c r="K2861" s="1">
        <v>336</v>
      </c>
      <c r="L2861" s="1">
        <v>0</v>
      </c>
      <c r="M2861" s="1">
        <v>0</v>
      </c>
      <c r="N2861" s="1">
        <v>336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 t="s">
        <v>49</v>
      </c>
      <c r="AA2861" s="1" t="s">
        <v>49</v>
      </c>
      <c r="AB2861" s="1" t="s">
        <v>49</v>
      </c>
      <c r="AC2861" s="1" t="s">
        <v>3363</v>
      </c>
      <c r="AD2861" s="1" t="s">
        <v>6480</v>
      </c>
      <c r="AE2861" s="1" t="s">
        <v>3363</v>
      </c>
      <c r="AF2861" s="1" t="s">
        <v>5463</v>
      </c>
      <c r="AG2861" s="1" t="s">
        <v>53</v>
      </c>
      <c r="AH2861" s="1" t="s">
        <v>49</v>
      </c>
      <c r="AI2861" s="1" t="s">
        <v>54</v>
      </c>
      <c r="AJ2861" s="1">
        <v>1</v>
      </c>
      <c r="AK2861" s="1" t="str">
        <f t="shared" si="44"/>
        <v xml:space="preserve"> =&lt;90</v>
      </c>
      <c r="AL2861" s="1" t="str">
        <f>VLOOKUP(C:C,[1]基础信息!B$1:D$65536,3,0)</f>
        <v xml:space="preserve">Cartridge </v>
      </c>
      <c r="AM2861" s="1" t="str">
        <f>VLOOKUP(C:C,[1]基础信息!B$1:E$65536,4,0)</f>
        <v>UNIV</v>
      </c>
      <c r="AN2861" s="1" t="str">
        <f>VLOOKUP(C:C,[1]基础信息!B$1:F$65536,5,0)</f>
        <v>P6</v>
      </c>
    </row>
    <row r="2862" spans="1:40">
      <c r="A2862" s="1" t="s">
        <v>41</v>
      </c>
      <c r="B2862" s="1" t="s">
        <v>42</v>
      </c>
      <c r="C2862" s="1" t="s">
        <v>4253</v>
      </c>
      <c r="D2862" s="1" t="s">
        <v>4254</v>
      </c>
      <c r="E2862" s="1" t="s">
        <v>45</v>
      </c>
      <c r="F2862" s="1" t="s">
        <v>6477</v>
      </c>
      <c r="G2862" s="1" t="s">
        <v>6570</v>
      </c>
      <c r="H2862" s="1" t="s">
        <v>6571</v>
      </c>
      <c r="I2862" s="1" t="s">
        <v>49</v>
      </c>
      <c r="J2862" s="1" t="s">
        <v>48</v>
      </c>
      <c r="K2862" s="1">
        <v>336</v>
      </c>
      <c r="L2862" s="1">
        <v>0</v>
      </c>
      <c r="M2862" s="1">
        <v>0</v>
      </c>
      <c r="N2862" s="1">
        <v>336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 t="s">
        <v>49</v>
      </c>
      <c r="AA2862" s="1" t="s">
        <v>49</v>
      </c>
      <c r="AB2862" s="1" t="s">
        <v>49</v>
      </c>
      <c r="AC2862" s="1" t="s">
        <v>3363</v>
      </c>
      <c r="AD2862" s="1" t="s">
        <v>6480</v>
      </c>
      <c r="AE2862" s="1" t="s">
        <v>3363</v>
      </c>
      <c r="AF2862" s="1" t="s">
        <v>5463</v>
      </c>
      <c r="AG2862" s="1" t="s">
        <v>53</v>
      </c>
      <c r="AH2862" s="1" t="s">
        <v>49</v>
      </c>
      <c r="AI2862" s="1" t="s">
        <v>54</v>
      </c>
      <c r="AJ2862" s="1">
        <v>1</v>
      </c>
      <c r="AK2862" s="1" t="str">
        <f t="shared" si="44"/>
        <v xml:space="preserve"> =&lt;90</v>
      </c>
      <c r="AL2862" s="1" t="str">
        <f>VLOOKUP(C:C,[1]基础信息!B$1:D$65536,3,0)</f>
        <v xml:space="preserve">Cartridge </v>
      </c>
      <c r="AM2862" s="1" t="str">
        <f>VLOOKUP(C:C,[1]基础信息!B$1:E$65536,4,0)</f>
        <v>UNIV</v>
      </c>
      <c r="AN2862" s="1" t="str">
        <f>VLOOKUP(C:C,[1]基础信息!B$1:F$65536,5,0)</f>
        <v>P6</v>
      </c>
    </row>
    <row r="2863" spans="1:40">
      <c r="A2863" s="1" t="s">
        <v>41</v>
      </c>
      <c r="B2863" s="1" t="s">
        <v>42</v>
      </c>
      <c r="C2863" s="1" t="s">
        <v>4253</v>
      </c>
      <c r="D2863" s="1" t="s">
        <v>4254</v>
      </c>
      <c r="E2863" s="1" t="s">
        <v>45</v>
      </c>
      <c r="F2863" s="1" t="s">
        <v>6477</v>
      </c>
      <c r="G2863" s="1" t="s">
        <v>6572</v>
      </c>
      <c r="H2863" s="1" t="s">
        <v>6573</v>
      </c>
      <c r="I2863" s="1" t="s">
        <v>49</v>
      </c>
      <c r="J2863" s="1" t="s">
        <v>48</v>
      </c>
      <c r="K2863" s="1">
        <v>336</v>
      </c>
      <c r="L2863" s="1">
        <v>0</v>
      </c>
      <c r="M2863" s="1">
        <v>0</v>
      </c>
      <c r="N2863" s="1">
        <v>336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 t="s">
        <v>49</v>
      </c>
      <c r="AA2863" s="1" t="s">
        <v>49</v>
      </c>
      <c r="AB2863" s="1" t="s">
        <v>49</v>
      </c>
      <c r="AC2863" s="1" t="s">
        <v>3363</v>
      </c>
      <c r="AD2863" s="1" t="s">
        <v>6480</v>
      </c>
      <c r="AE2863" s="1" t="s">
        <v>3363</v>
      </c>
      <c r="AF2863" s="1" t="s">
        <v>5463</v>
      </c>
      <c r="AG2863" s="1" t="s">
        <v>53</v>
      </c>
      <c r="AH2863" s="1" t="s">
        <v>49</v>
      </c>
      <c r="AI2863" s="1" t="s">
        <v>54</v>
      </c>
      <c r="AJ2863" s="1">
        <v>1</v>
      </c>
      <c r="AK2863" s="1" t="str">
        <f t="shared" si="44"/>
        <v xml:space="preserve"> =&lt;90</v>
      </c>
      <c r="AL2863" s="1" t="str">
        <f>VLOOKUP(C:C,[1]基础信息!B$1:D$65536,3,0)</f>
        <v xml:space="preserve">Cartridge </v>
      </c>
      <c r="AM2863" s="1" t="str">
        <f>VLOOKUP(C:C,[1]基础信息!B$1:E$65536,4,0)</f>
        <v>UNIV</v>
      </c>
      <c r="AN2863" s="1" t="str">
        <f>VLOOKUP(C:C,[1]基础信息!B$1:F$65536,5,0)</f>
        <v>P6</v>
      </c>
    </row>
    <row r="2864" spans="1:40">
      <c r="A2864" s="1" t="s">
        <v>41</v>
      </c>
      <c r="B2864" s="1" t="s">
        <v>42</v>
      </c>
      <c r="C2864" s="1" t="s">
        <v>4253</v>
      </c>
      <c r="D2864" s="1" t="s">
        <v>4254</v>
      </c>
      <c r="E2864" s="1" t="s">
        <v>45</v>
      </c>
      <c r="F2864" s="1" t="s">
        <v>6477</v>
      </c>
      <c r="G2864" s="1" t="s">
        <v>6574</v>
      </c>
      <c r="H2864" s="1" t="s">
        <v>6575</v>
      </c>
      <c r="I2864" s="1" t="s">
        <v>49</v>
      </c>
      <c r="J2864" s="1" t="s">
        <v>48</v>
      </c>
      <c r="K2864" s="1">
        <v>336</v>
      </c>
      <c r="L2864" s="1">
        <v>0</v>
      </c>
      <c r="M2864" s="1">
        <v>0</v>
      </c>
      <c r="N2864" s="1">
        <v>336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 t="s">
        <v>49</v>
      </c>
      <c r="AA2864" s="1" t="s">
        <v>49</v>
      </c>
      <c r="AB2864" s="1" t="s">
        <v>49</v>
      </c>
      <c r="AC2864" s="1" t="s">
        <v>3363</v>
      </c>
      <c r="AD2864" s="1" t="s">
        <v>6480</v>
      </c>
      <c r="AE2864" s="1" t="s">
        <v>3363</v>
      </c>
      <c r="AF2864" s="1" t="s">
        <v>5463</v>
      </c>
      <c r="AG2864" s="1" t="s">
        <v>53</v>
      </c>
      <c r="AH2864" s="1" t="s">
        <v>49</v>
      </c>
      <c r="AI2864" s="1" t="s">
        <v>54</v>
      </c>
      <c r="AJ2864" s="1">
        <v>1</v>
      </c>
      <c r="AK2864" s="1" t="str">
        <f t="shared" si="44"/>
        <v xml:space="preserve"> =&lt;90</v>
      </c>
      <c r="AL2864" s="1" t="str">
        <f>VLOOKUP(C:C,[1]基础信息!B$1:D$65536,3,0)</f>
        <v xml:space="preserve">Cartridge </v>
      </c>
      <c r="AM2864" s="1" t="str">
        <f>VLOOKUP(C:C,[1]基础信息!B$1:E$65536,4,0)</f>
        <v>UNIV</v>
      </c>
      <c r="AN2864" s="1" t="str">
        <f>VLOOKUP(C:C,[1]基础信息!B$1:F$65536,5,0)</f>
        <v>P6</v>
      </c>
    </row>
    <row r="2865" spans="1:40">
      <c r="A2865" s="1" t="s">
        <v>41</v>
      </c>
      <c r="B2865" s="1" t="s">
        <v>42</v>
      </c>
      <c r="C2865" s="1" t="s">
        <v>4253</v>
      </c>
      <c r="D2865" s="1" t="s">
        <v>4254</v>
      </c>
      <c r="E2865" s="1" t="s">
        <v>45</v>
      </c>
      <c r="F2865" s="1" t="s">
        <v>6477</v>
      </c>
      <c r="G2865" s="1" t="s">
        <v>6576</v>
      </c>
      <c r="H2865" s="1" t="s">
        <v>6577</v>
      </c>
      <c r="I2865" s="1" t="s">
        <v>49</v>
      </c>
      <c r="J2865" s="1" t="s">
        <v>48</v>
      </c>
      <c r="K2865" s="1">
        <v>336</v>
      </c>
      <c r="L2865" s="1">
        <v>0</v>
      </c>
      <c r="M2865" s="1">
        <v>0</v>
      </c>
      <c r="N2865" s="1">
        <v>336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 t="s">
        <v>49</v>
      </c>
      <c r="AA2865" s="1" t="s">
        <v>49</v>
      </c>
      <c r="AB2865" s="1" t="s">
        <v>49</v>
      </c>
      <c r="AC2865" s="1" t="s">
        <v>3363</v>
      </c>
      <c r="AD2865" s="1" t="s">
        <v>6480</v>
      </c>
      <c r="AE2865" s="1" t="s">
        <v>3363</v>
      </c>
      <c r="AF2865" s="1" t="s">
        <v>5463</v>
      </c>
      <c r="AG2865" s="1" t="s">
        <v>53</v>
      </c>
      <c r="AH2865" s="1" t="s">
        <v>49</v>
      </c>
      <c r="AI2865" s="1" t="s">
        <v>54</v>
      </c>
      <c r="AJ2865" s="1">
        <v>1</v>
      </c>
      <c r="AK2865" s="1" t="str">
        <f t="shared" si="44"/>
        <v xml:space="preserve"> =&lt;90</v>
      </c>
      <c r="AL2865" s="1" t="str">
        <f>VLOOKUP(C:C,[1]基础信息!B$1:D$65536,3,0)</f>
        <v xml:space="preserve">Cartridge </v>
      </c>
      <c r="AM2865" s="1" t="str">
        <f>VLOOKUP(C:C,[1]基础信息!B$1:E$65536,4,0)</f>
        <v>UNIV</v>
      </c>
      <c r="AN2865" s="1" t="str">
        <f>VLOOKUP(C:C,[1]基础信息!B$1:F$65536,5,0)</f>
        <v>P6</v>
      </c>
    </row>
    <row r="2866" spans="1:40">
      <c r="A2866" s="1" t="s">
        <v>41</v>
      </c>
      <c r="B2866" s="1" t="s">
        <v>42</v>
      </c>
      <c r="C2866" s="1" t="s">
        <v>4253</v>
      </c>
      <c r="D2866" s="1" t="s">
        <v>4254</v>
      </c>
      <c r="E2866" s="1" t="s">
        <v>45</v>
      </c>
      <c r="F2866" s="1" t="s">
        <v>6477</v>
      </c>
      <c r="G2866" s="1" t="s">
        <v>6578</v>
      </c>
      <c r="H2866" s="1" t="s">
        <v>6579</v>
      </c>
      <c r="I2866" s="1" t="s">
        <v>49</v>
      </c>
      <c r="J2866" s="1" t="s">
        <v>48</v>
      </c>
      <c r="K2866" s="1">
        <v>336</v>
      </c>
      <c r="L2866" s="1">
        <v>0</v>
      </c>
      <c r="M2866" s="1">
        <v>0</v>
      </c>
      <c r="N2866" s="1">
        <v>336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 t="s">
        <v>49</v>
      </c>
      <c r="AA2866" s="1" t="s">
        <v>49</v>
      </c>
      <c r="AB2866" s="1" t="s">
        <v>49</v>
      </c>
      <c r="AC2866" s="1" t="s">
        <v>3363</v>
      </c>
      <c r="AD2866" s="1" t="s">
        <v>6480</v>
      </c>
      <c r="AE2866" s="1" t="s">
        <v>3363</v>
      </c>
      <c r="AF2866" s="1" t="s">
        <v>5463</v>
      </c>
      <c r="AG2866" s="1" t="s">
        <v>53</v>
      </c>
      <c r="AH2866" s="1" t="s">
        <v>49</v>
      </c>
      <c r="AI2866" s="1" t="s">
        <v>54</v>
      </c>
      <c r="AJ2866" s="1">
        <v>1</v>
      </c>
      <c r="AK2866" s="1" t="str">
        <f t="shared" si="44"/>
        <v xml:space="preserve"> =&lt;90</v>
      </c>
      <c r="AL2866" s="1" t="str">
        <f>VLOOKUP(C:C,[1]基础信息!B$1:D$65536,3,0)</f>
        <v xml:space="preserve">Cartridge </v>
      </c>
      <c r="AM2866" s="1" t="str">
        <f>VLOOKUP(C:C,[1]基础信息!B$1:E$65536,4,0)</f>
        <v>UNIV</v>
      </c>
      <c r="AN2866" s="1" t="str">
        <f>VLOOKUP(C:C,[1]基础信息!B$1:F$65536,5,0)</f>
        <v>P6</v>
      </c>
    </row>
    <row r="2867" spans="1:40">
      <c r="A2867" s="1" t="s">
        <v>41</v>
      </c>
      <c r="B2867" s="1" t="s">
        <v>42</v>
      </c>
      <c r="C2867" s="1" t="s">
        <v>4253</v>
      </c>
      <c r="D2867" s="1" t="s">
        <v>4254</v>
      </c>
      <c r="E2867" s="1" t="s">
        <v>45</v>
      </c>
      <c r="F2867" s="1" t="s">
        <v>6477</v>
      </c>
      <c r="G2867" s="1" t="s">
        <v>6580</v>
      </c>
      <c r="H2867" s="1" t="s">
        <v>6581</v>
      </c>
      <c r="I2867" s="1" t="s">
        <v>49</v>
      </c>
      <c r="J2867" s="1" t="s">
        <v>48</v>
      </c>
      <c r="K2867" s="1">
        <v>336</v>
      </c>
      <c r="L2867" s="1">
        <v>0</v>
      </c>
      <c r="M2867" s="1">
        <v>0</v>
      </c>
      <c r="N2867" s="1">
        <v>336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 t="s">
        <v>49</v>
      </c>
      <c r="AA2867" s="1" t="s">
        <v>49</v>
      </c>
      <c r="AB2867" s="1" t="s">
        <v>49</v>
      </c>
      <c r="AC2867" s="1" t="s">
        <v>3363</v>
      </c>
      <c r="AD2867" s="1" t="s">
        <v>6480</v>
      </c>
      <c r="AE2867" s="1" t="s">
        <v>3363</v>
      </c>
      <c r="AF2867" s="1" t="s">
        <v>5463</v>
      </c>
      <c r="AG2867" s="1" t="s">
        <v>53</v>
      </c>
      <c r="AH2867" s="1" t="s">
        <v>49</v>
      </c>
      <c r="AI2867" s="1" t="s">
        <v>54</v>
      </c>
      <c r="AJ2867" s="1">
        <v>1</v>
      </c>
      <c r="AK2867" s="1" t="str">
        <f t="shared" si="44"/>
        <v xml:space="preserve"> =&lt;90</v>
      </c>
      <c r="AL2867" s="1" t="str">
        <f>VLOOKUP(C:C,[1]基础信息!B$1:D$65536,3,0)</f>
        <v xml:space="preserve">Cartridge </v>
      </c>
      <c r="AM2867" s="1" t="str">
        <f>VLOOKUP(C:C,[1]基础信息!B$1:E$65536,4,0)</f>
        <v>UNIV</v>
      </c>
      <c r="AN2867" s="1" t="str">
        <f>VLOOKUP(C:C,[1]基础信息!B$1:F$65536,5,0)</f>
        <v>P6</v>
      </c>
    </row>
    <row r="2868" spans="1:40">
      <c r="A2868" s="1" t="s">
        <v>41</v>
      </c>
      <c r="B2868" s="1" t="s">
        <v>42</v>
      </c>
      <c r="C2868" s="1" t="s">
        <v>4253</v>
      </c>
      <c r="D2868" s="1" t="s">
        <v>4254</v>
      </c>
      <c r="E2868" s="1" t="s">
        <v>45</v>
      </c>
      <c r="F2868" s="1" t="s">
        <v>6477</v>
      </c>
      <c r="G2868" s="1" t="s">
        <v>6582</v>
      </c>
      <c r="H2868" s="1" t="s">
        <v>6583</v>
      </c>
      <c r="I2868" s="1" t="s">
        <v>49</v>
      </c>
      <c r="J2868" s="1" t="s">
        <v>48</v>
      </c>
      <c r="K2868" s="1">
        <v>336</v>
      </c>
      <c r="L2868" s="1">
        <v>0</v>
      </c>
      <c r="M2868" s="1">
        <v>0</v>
      </c>
      <c r="N2868" s="1">
        <v>336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 t="s">
        <v>49</v>
      </c>
      <c r="AA2868" s="1" t="s">
        <v>49</v>
      </c>
      <c r="AB2868" s="1" t="s">
        <v>49</v>
      </c>
      <c r="AC2868" s="1" t="s">
        <v>3363</v>
      </c>
      <c r="AD2868" s="1" t="s">
        <v>6480</v>
      </c>
      <c r="AE2868" s="1" t="s">
        <v>3363</v>
      </c>
      <c r="AF2868" s="1" t="s">
        <v>5463</v>
      </c>
      <c r="AG2868" s="1" t="s">
        <v>53</v>
      </c>
      <c r="AH2868" s="1" t="s">
        <v>49</v>
      </c>
      <c r="AI2868" s="1" t="s">
        <v>54</v>
      </c>
      <c r="AJ2868" s="1">
        <v>1</v>
      </c>
      <c r="AK2868" s="1" t="str">
        <f t="shared" si="44"/>
        <v xml:space="preserve"> =&lt;90</v>
      </c>
      <c r="AL2868" s="1" t="str">
        <f>VLOOKUP(C:C,[1]基础信息!B$1:D$65536,3,0)</f>
        <v xml:space="preserve">Cartridge </v>
      </c>
      <c r="AM2868" s="1" t="str">
        <f>VLOOKUP(C:C,[1]基础信息!B$1:E$65536,4,0)</f>
        <v>UNIV</v>
      </c>
      <c r="AN2868" s="1" t="str">
        <f>VLOOKUP(C:C,[1]基础信息!B$1:F$65536,5,0)</f>
        <v>P6</v>
      </c>
    </row>
    <row r="2869" spans="1:40">
      <c r="A2869" s="1" t="s">
        <v>41</v>
      </c>
      <c r="B2869" s="1" t="s">
        <v>42</v>
      </c>
      <c r="C2869" s="1" t="s">
        <v>4253</v>
      </c>
      <c r="D2869" s="1" t="s">
        <v>4254</v>
      </c>
      <c r="E2869" s="1" t="s">
        <v>45</v>
      </c>
      <c r="F2869" s="1" t="s">
        <v>6477</v>
      </c>
      <c r="G2869" s="1" t="s">
        <v>6584</v>
      </c>
      <c r="H2869" s="1" t="s">
        <v>6585</v>
      </c>
      <c r="I2869" s="1" t="s">
        <v>49</v>
      </c>
      <c r="J2869" s="1" t="s">
        <v>48</v>
      </c>
      <c r="K2869" s="1">
        <v>336</v>
      </c>
      <c r="L2869" s="1">
        <v>0</v>
      </c>
      <c r="M2869" s="1">
        <v>0</v>
      </c>
      <c r="N2869" s="1">
        <v>336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 t="s">
        <v>49</v>
      </c>
      <c r="AA2869" s="1" t="s">
        <v>49</v>
      </c>
      <c r="AB2869" s="1" t="s">
        <v>49</v>
      </c>
      <c r="AC2869" s="1" t="s">
        <v>3363</v>
      </c>
      <c r="AD2869" s="1" t="s">
        <v>6480</v>
      </c>
      <c r="AE2869" s="1" t="s">
        <v>3363</v>
      </c>
      <c r="AF2869" s="1" t="s">
        <v>5463</v>
      </c>
      <c r="AG2869" s="1" t="s">
        <v>53</v>
      </c>
      <c r="AH2869" s="1" t="s">
        <v>49</v>
      </c>
      <c r="AI2869" s="1" t="s">
        <v>54</v>
      </c>
      <c r="AJ2869" s="1">
        <v>1</v>
      </c>
      <c r="AK2869" s="1" t="str">
        <f t="shared" si="44"/>
        <v xml:space="preserve"> =&lt;90</v>
      </c>
      <c r="AL2869" s="1" t="str">
        <f>VLOOKUP(C:C,[1]基础信息!B$1:D$65536,3,0)</f>
        <v xml:space="preserve">Cartridge </v>
      </c>
      <c r="AM2869" s="1" t="str">
        <f>VLOOKUP(C:C,[1]基础信息!B$1:E$65536,4,0)</f>
        <v>UNIV</v>
      </c>
      <c r="AN2869" s="1" t="str">
        <f>VLOOKUP(C:C,[1]基础信息!B$1:F$65536,5,0)</f>
        <v>P6</v>
      </c>
    </row>
    <row r="2870" spans="1:40">
      <c r="A2870" s="1" t="s">
        <v>41</v>
      </c>
      <c r="B2870" s="1" t="s">
        <v>42</v>
      </c>
      <c r="C2870" s="1" t="s">
        <v>4253</v>
      </c>
      <c r="D2870" s="1" t="s">
        <v>4254</v>
      </c>
      <c r="E2870" s="1" t="s">
        <v>45</v>
      </c>
      <c r="F2870" s="1" t="s">
        <v>6477</v>
      </c>
      <c r="G2870" s="1" t="s">
        <v>6586</v>
      </c>
      <c r="H2870" s="1" t="s">
        <v>6587</v>
      </c>
      <c r="I2870" s="1" t="s">
        <v>49</v>
      </c>
      <c r="J2870" s="1" t="s">
        <v>48</v>
      </c>
      <c r="K2870" s="1">
        <v>336</v>
      </c>
      <c r="L2870" s="1">
        <v>0</v>
      </c>
      <c r="M2870" s="1">
        <v>0</v>
      </c>
      <c r="N2870" s="1">
        <v>336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 t="s">
        <v>49</v>
      </c>
      <c r="AA2870" s="1" t="s">
        <v>49</v>
      </c>
      <c r="AB2870" s="1" t="s">
        <v>49</v>
      </c>
      <c r="AC2870" s="1" t="s">
        <v>3363</v>
      </c>
      <c r="AD2870" s="1" t="s">
        <v>6480</v>
      </c>
      <c r="AE2870" s="1" t="s">
        <v>3363</v>
      </c>
      <c r="AF2870" s="1" t="s">
        <v>5463</v>
      </c>
      <c r="AG2870" s="1" t="s">
        <v>53</v>
      </c>
      <c r="AH2870" s="1" t="s">
        <v>49</v>
      </c>
      <c r="AI2870" s="1" t="s">
        <v>54</v>
      </c>
      <c r="AJ2870" s="1">
        <v>1</v>
      </c>
      <c r="AK2870" s="1" t="str">
        <f t="shared" si="44"/>
        <v xml:space="preserve"> =&lt;90</v>
      </c>
      <c r="AL2870" s="1" t="str">
        <f>VLOOKUP(C:C,[1]基础信息!B$1:D$65536,3,0)</f>
        <v xml:space="preserve">Cartridge </v>
      </c>
      <c r="AM2870" s="1" t="str">
        <f>VLOOKUP(C:C,[1]基础信息!B$1:E$65536,4,0)</f>
        <v>UNIV</v>
      </c>
      <c r="AN2870" s="1" t="str">
        <f>VLOOKUP(C:C,[1]基础信息!B$1:F$65536,5,0)</f>
        <v>P6</v>
      </c>
    </row>
    <row r="2871" spans="1:40">
      <c r="A2871" s="1" t="s">
        <v>41</v>
      </c>
      <c r="B2871" s="1" t="s">
        <v>42</v>
      </c>
      <c r="C2871" s="1" t="s">
        <v>4253</v>
      </c>
      <c r="D2871" s="1" t="s">
        <v>4254</v>
      </c>
      <c r="E2871" s="1" t="s">
        <v>45</v>
      </c>
      <c r="F2871" s="1" t="s">
        <v>6477</v>
      </c>
      <c r="G2871" s="1" t="s">
        <v>6588</v>
      </c>
      <c r="H2871" s="1" t="s">
        <v>6589</v>
      </c>
      <c r="I2871" s="1" t="s">
        <v>49</v>
      </c>
      <c r="J2871" s="1" t="s">
        <v>48</v>
      </c>
      <c r="K2871" s="1">
        <v>336</v>
      </c>
      <c r="L2871" s="1">
        <v>0</v>
      </c>
      <c r="M2871" s="1">
        <v>0</v>
      </c>
      <c r="N2871" s="1">
        <v>336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 t="s">
        <v>49</v>
      </c>
      <c r="AA2871" s="1" t="s">
        <v>49</v>
      </c>
      <c r="AB2871" s="1" t="s">
        <v>49</v>
      </c>
      <c r="AC2871" s="1" t="s">
        <v>3363</v>
      </c>
      <c r="AD2871" s="1" t="s">
        <v>6480</v>
      </c>
      <c r="AE2871" s="1" t="s">
        <v>3363</v>
      </c>
      <c r="AF2871" s="1" t="s">
        <v>5463</v>
      </c>
      <c r="AG2871" s="1" t="s">
        <v>53</v>
      </c>
      <c r="AH2871" s="1" t="s">
        <v>49</v>
      </c>
      <c r="AI2871" s="1" t="s">
        <v>54</v>
      </c>
      <c r="AJ2871" s="1">
        <v>1</v>
      </c>
      <c r="AK2871" s="1" t="str">
        <f t="shared" si="44"/>
        <v xml:space="preserve"> =&lt;90</v>
      </c>
      <c r="AL2871" s="1" t="str">
        <f>VLOOKUP(C:C,[1]基础信息!B$1:D$65536,3,0)</f>
        <v xml:space="preserve">Cartridge </v>
      </c>
      <c r="AM2871" s="1" t="str">
        <f>VLOOKUP(C:C,[1]基础信息!B$1:E$65536,4,0)</f>
        <v>UNIV</v>
      </c>
      <c r="AN2871" s="1" t="str">
        <f>VLOOKUP(C:C,[1]基础信息!B$1:F$65536,5,0)</f>
        <v>P6</v>
      </c>
    </row>
    <row r="2872" spans="1:40">
      <c r="A2872" s="1" t="s">
        <v>41</v>
      </c>
      <c r="B2872" s="1" t="s">
        <v>42</v>
      </c>
      <c r="C2872" s="1" t="s">
        <v>4352</v>
      </c>
      <c r="D2872" s="1" t="s">
        <v>4353</v>
      </c>
      <c r="E2872" s="1" t="s">
        <v>45</v>
      </c>
      <c r="F2872" s="1" t="s">
        <v>5614</v>
      </c>
      <c r="G2872" s="1" t="s">
        <v>6590</v>
      </c>
      <c r="H2872" s="1" t="s">
        <v>6591</v>
      </c>
      <c r="I2872" s="1" t="s">
        <v>49</v>
      </c>
      <c r="J2872" s="1" t="s">
        <v>48</v>
      </c>
      <c r="K2872" s="1">
        <v>336</v>
      </c>
      <c r="L2872" s="1">
        <v>0</v>
      </c>
      <c r="M2872" s="1">
        <v>0</v>
      </c>
      <c r="N2872" s="1">
        <v>336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 t="s">
        <v>49</v>
      </c>
      <c r="AA2872" s="1" t="s">
        <v>49</v>
      </c>
      <c r="AB2872" s="1" t="s">
        <v>49</v>
      </c>
      <c r="AC2872" s="1" t="s">
        <v>5184</v>
      </c>
      <c r="AD2872" s="1" t="s">
        <v>5185</v>
      </c>
      <c r="AE2872" s="1" t="s">
        <v>5462</v>
      </c>
      <c r="AF2872" s="1" t="s">
        <v>5186</v>
      </c>
      <c r="AG2872" s="1" t="s">
        <v>53</v>
      </c>
      <c r="AH2872" s="1" t="s">
        <v>49</v>
      </c>
      <c r="AI2872" s="1" t="s">
        <v>54</v>
      </c>
      <c r="AJ2872" s="1">
        <v>1</v>
      </c>
      <c r="AK2872" s="1" t="str">
        <f t="shared" si="44"/>
        <v xml:space="preserve"> =&lt;90</v>
      </c>
      <c r="AL2872" s="1" t="e">
        <f>VLOOKUP(C:C,[1]基础信息!B$1:D$65536,3,0)</f>
        <v>#N/A</v>
      </c>
      <c r="AM2872" s="1" t="e">
        <f>VLOOKUP(C:C,[1]基础信息!B$1:E$65536,4,0)</f>
        <v>#N/A</v>
      </c>
      <c r="AN2872" s="1" t="e">
        <f>VLOOKUP(C:C,[1]基础信息!B$1:F$65536,5,0)</f>
        <v>#N/A</v>
      </c>
    </row>
    <row r="2873" spans="1:40">
      <c r="A2873" s="1" t="s">
        <v>41</v>
      </c>
      <c r="B2873" s="1" t="s">
        <v>42</v>
      </c>
      <c r="C2873" s="1" t="s">
        <v>4352</v>
      </c>
      <c r="D2873" s="1" t="s">
        <v>4353</v>
      </c>
      <c r="E2873" s="1" t="s">
        <v>45</v>
      </c>
      <c r="F2873" s="1" t="s">
        <v>5614</v>
      </c>
      <c r="G2873" s="1" t="s">
        <v>6592</v>
      </c>
      <c r="H2873" s="1" t="s">
        <v>6593</v>
      </c>
      <c r="I2873" s="1" t="s">
        <v>49</v>
      </c>
      <c r="J2873" s="1" t="s">
        <v>48</v>
      </c>
      <c r="K2873" s="1">
        <v>336</v>
      </c>
      <c r="L2873" s="1">
        <v>0</v>
      </c>
      <c r="M2873" s="1">
        <v>0</v>
      </c>
      <c r="N2873" s="1">
        <v>336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 t="s">
        <v>49</v>
      </c>
      <c r="AA2873" s="1" t="s">
        <v>49</v>
      </c>
      <c r="AB2873" s="1" t="s">
        <v>49</v>
      </c>
      <c r="AC2873" s="1" t="s">
        <v>5184</v>
      </c>
      <c r="AD2873" s="1" t="s">
        <v>5185</v>
      </c>
      <c r="AE2873" s="1" t="s">
        <v>5462</v>
      </c>
      <c r="AF2873" s="1" t="s">
        <v>5186</v>
      </c>
      <c r="AG2873" s="1" t="s">
        <v>53</v>
      </c>
      <c r="AH2873" s="1" t="s">
        <v>49</v>
      </c>
      <c r="AI2873" s="1" t="s">
        <v>54</v>
      </c>
      <c r="AJ2873" s="1">
        <v>1</v>
      </c>
      <c r="AK2873" s="1" t="str">
        <f t="shared" si="44"/>
        <v xml:space="preserve"> =&lt;90</v>
      </c>
      <c r="AL2873" s="1" t="e">
        <f>VLOOKUP(C:C,[1]基础信息!B$1:D$65536,3,0)</f>
        <v>#N/A</v>
      </c>
      <c r="AM2873" s="1" t="e">
        <f>VLOOKUP(C:C,[1]基础信息!B$1:E$65536,4,0)</f>
        <v>#N/A</v>
      </c>
      <c r="AN2873" s="1" t="e">
        <f>VLOOKUP(C:C,[1]基础信息!B$1:F$65536,5,0)</f>
        <v>#N/A</v>
      </c>
    </row>
    <row r="2874" spans="1:40">
      <c r="A2874" s="1" t="s">
        <v>41</v>
      </c>
      <c r="B2874" s="1" t="s">
        <v>42</v>
      </c>
      <c r="C2874" s="1" t="s">
        <v>4352</v>
      </c>
      <c r="D2874" s="1" t="s">
        <v>4353</v>
      </c>
      <c r="E2874" s="1" t="s">
        <v>45</v>
      </c>
      <c r="F2874" s="1" t="s">
        <v>5614</v>
      </c>
      <c r="G2874" s="1" t="s">
        <v>6594</v>
      </c>
      <c r="H2874" s="1" t="s">
        <v>6595</v>
      </c>
      <c r="I2874" s="1" t="s">
        <v>49</v>
      </c>
      <c r="J2874" s="1" t="s">
        <v>48</v>
      </c>
      <c r="K2874" s="1">
        <v>336</v>
      </c>
      <c r="L2874" s="1">
        <v>0</v>
      </c>
      <c r="M2874" s="1">
        <v>0</v>
      </c>
      <c r="N2874" s="1">
        <v>336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 t="s">
        <v>49</v>
      </c>
      <c r="AA2874" s="1" t="s">
        <v>49</v>
      </c>
      <c r="AB2874" s="1" t="s">
        <v>49</v>
      </c>
      <c r="AC2874" s="1" t="s">
        <v>5184</v>
      </c>
      <c r="AD2874" s="1" t="s">
        <v>5185</v>
      </c>
      <c r="AE2874" s="1" t="s">
        <v>5462</v>
      </c>
      <c r="AF2874" s="1" t="s">
        <v>5186</v>
      </c>
      <c r="AG2874" s="1" t="s">
        <v>53</v>
      </c>
      <c r="AH2874" s="1" t="s">
        <v>49</v>
      </c>
      <c r="AI2874" s="1" t="s">
        <v>54</v>
      </c>
      <c r="AJ2874" s="1">
        <v>1</v>
      </c>
      <c r="AK2874" s="1" t="str">
        <f t="shared" si="44"/>
        <v xml:space="preserve"> =&lt;90</v>
      </c>
      <c r="AL2874" s="1" t="e">
        <f>VLOOKUP(C:C,[1]基础信息!B$1:D$65536,3,0)</f>
        <v>#N/A</v>
      </c>
      <c r="AM2874" s="1" t="e">
        <f>VLOOKUP(C:C,[1]基础信息!B$1:E$65536,4,0)</f>
        <v>#N/A</v>
      </c>
      <c r="AN2874" s="1" t="e">
        <f>VLOOKUP(C:C,[1]基础信息!B$1:F$65536,5,0)</f>
        <v>#N/A</v>
      </c>
    </row>
    <row r="2875" spans="1:40">
      <c r="A2875" s="1" t="s">
        <v>41</v>
      </c>
      <c r="B2875" s="1" t="s">
        <v>42</v>
      </c>
      <c r="C2875" s="1" t="s">
        <v>4352</v>
      </c>
      <c r="D2875" s="1" t="s">
        <v>4353</v>
      </c>
      <c r="E2875" s="1" t="s">
        <v>45</v>
      </c>
      <c r="F2875" s="1" t="s">
        <v>5614</v>
      </c>
      <c r="G2875" s="1" t="s">
        <v>6596</v>
      </c>
      <c r="H2875" s="1" t="s">
        <v>6597</v>
      </c>
      <c r="I2875" s="1" t="s">
        <v>49</v>
      </c>
      <c r="J2875" s="1" t="s">
        <v>48</v>
      </c>
      <c r="K2875" s="1">
        <v>336</v>
      </c>
      <c r="L2875" s="1">
        <v>0</v>
      </c>
      <c r="M2875" s="1">
        <v>0</v>
      </c>
      <c r="N2875" s="1">
        <v>336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 t="s">
        <v>49</v>
      </c>
      <c r="AA2875" s="1" t="s">
        <v>49</v>
      </c>
      <c r="AB2875" s="1" t="s">
        <v>49</v>
      </c>
      <c r="AC2875" s="1" t="s">
        <v>5184</v>
      </c>
      <c r="AD2875" s="1" t="s">
        <v>5185</v>
      </c>
      <c r="AE2875" s="1" t="s">
        <v>5462</v>
      </c>
      <c r="AF2875" s="1" t="s">
        <v>5186</v>
      </c>
      <c r="AG2875" s="1" t="s">
        <v>53</v>
      </c>
      <c r="AH2875" s="1" t="s">
        <v>49</v>
      </c>
      <c r="AI2875" s="1" t="s">
        <v>54</v>
      </c>
      <c r="AJ2875" s="1">
        <v>1</v>
      </c>
      <c r="AK2875" s="1" t="str">
        <f t="shared" si="44"/>
        <v xml:space="preserve"> =&lt;90</v>
      </c>
      <c r="AL2875" s="1" t="e">
        <f>VLOOKUP(C:C,[1]基础信息!B$1:D$65536,3,0)</f>
        <v>#N/A</v>
      </c>
      <c r="AM2875" s="1" t="e">
        <f>VLOOKUP(C:C,[1]基础信息!B$1:E$65536,4,0)</f>
        <v>#N/A</v>
      </c>
      <c r="AN2875" s="1" t="e">
        <f>VLOOKUP(C:C,[1]基础信息!B$1:F$65536,5,0)</f>
        <v>#N/A</v>
      </c>
    </row>
    <row r="2876" spans="1:40">
      <c r="A2876" s="1" t="s">
        <v>41</v>
      </c>
      <c r="B2876" s="1" t="s">
        <v>42</v>
      </c>
      <c r="C2876" s="1" t="s">
        <v>4352</v>
      </c>
      <c r="D2876" s="1" t="s">
        <v>4353</v>
      </c>
      <c r="E2876" s="1" t="s">
        <v>45</v>
      </c>
      <c r="F2876" s="1" t="s">
        <v>6598</v>
      </c>
      <c r="G2876" s="1" t="s">
        <v>6599</v>
      </c>
      <c r="H2876" s="1" t="s">
        <v>6600</v>
      </c>
      <c r="I2876" s="1" t="s">
        <v>49</v>
      </c>
      <c r="J2876" s="1" t="s">
        <v>48</v>
      </c>
      <c r="K2876" s="1">
        <v>336</v>
      </c>
      <c r="L2876" s="1">
        <v>0</v>
      </c>
      <c r="M2876" s="1">
        <v>0</v>
      </c>
      <c r="N2876" s="1">
        <v>336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 t="s">
        <v>49</v>
      </c>
      <c r="AA2876" s="1" t="s">
        <v>49</v>
      </c>
      <c r="AB2876" s="1" t="s">
        <v>49</v>
      </c>
      <c r="AC2876" s="1" t="s">
        <v>5462</v>
      </c>
      <c r="AD2876" s="1" t="s">
        <v>6601</v>
      </c>
      <c r="AE2876" s="1" t="s">
        <v>5462</v>
      </c>
      <c r="AF2876" s="1" t="s">
        <v>5186</v>
      </c>
      <c r="AG2876" s="1" t="s">
        <v>53</v>
      </c>
      <c r="AH2876" s="1" t="s">
        <v>49</v>
      </c>
      <c r="AI2876" s="1" t="s">
        <v>54</v>
      </c>
      <c r="AJ2876" s="1">
        <v>1</v>
      </c>
      <c r="AK2876" s="1" t="str">
        <f t="shared" si="44"/>
        <v xml:space="preserve"> =&lt;90</v>
      </c>
      <c r="AL2876" s="1" t="e">
        <f>VLOOKUP(C:C,[1]基础信息!B$1:D$65536,3,0)</f>
        <v>#N/A</v>
      </c>
      <c r="AM2876" s="1" t="e">
        <f>VLOOKUP(C:C,[1]基础信息!B$1:E$65536,4,0)</f>
        <v>#N/A</v>
      </c>
      <c r="AN2876" s="1" t="e">
        <f>VLOOKUP(C:C,[1]基础信息!B$1:F$65536,5,0)</f>
        <v>#N/A</v>
      </c>
    </row>
    <row r="2877" spans="1:40">
      <c r="A2877" s="1" t="s">
        <v>41</v>
      </c>
      <c r="B2877" s="1" t="s">
        <v>42</v>
      </c>
      <c r="C2877" s="1" t="s">
        <v>4352</v>
      </c>
      <c r="D2877" s="1" t="s">
        <v>4353</v>
      </c>
      <c r="E2877" s="1" t="s">
        <v>45</v>
      </c>
      <c r="F2877" s="1" t="s">
        <v>6598</v>
      </c>
      <c r="G2877" s="1" t="s">
        <v>6602</v>
      </c>
      <c r="H2877" s="1" t="s">
        <v>6603</v>
      </c>
      <c r="I2877" s="1" t="s">
        <v>49</v>
      </c>
      <c r="J2877" s="1" t="s">
        <v>48</v>
      </c>
      <c r="K2877" s="1">
        <v>336</v>
      </c>
      <c r="L2877" s="1">
        <v>0</v>
      </c>
      <c r="M2877" s="1">
        <v>0</v>
      </c>
      <c r="N2877" s="1">
        <v>336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 t="s">
        <v>49</v>
      </c>
      <c r="AA2877" s="1" t="s">
        <v>49</v>
      </c>
      <c r="AB2877" s="1" t="s">
        <v>49</v>
      </c>
      <c r="AC2877" s="1" t="s">
        <v>5462</v>
      </c>
      <c r="AD2877" s="1" t="s">
        <v>6601</v>
      </c>
      <c r="AE2877" s="1" t="s">
        <v>5462</v>
      </c>
      <c r="AF2877" s="1" t="s">
        <v>5186</v>
      </c>
      <c r="AG2877" s="1" t="s">
        <v>53</v>
      </c>
      <c r="AH2877" s="1" t="s">
        <v>49</v>
      </c>
      <c r="AI2877" s="1" t="s">
        <v>54</v>
      </c>
      <c r="AJ2877" s="1">
        <v>1</v>
      </c>
      <c r="AK2877" s="1" t="str">
        <f t="shared" si="44"/>
        <v xml:space="preserve"> =&lt;90</v>
      </c>
      <c r="AL2877" s="1" t="e">
        <f>VLOOKUP(C:C,[1]基础信息!B$1:D$65536,3,0)</f>
        <v>#N/A</v>
      </c>
      <c r="AM2877" s="1" t="e">
        <f>VLOOKUP(C:C,[1]基础信息!B$1:E$65536,4,0)</f>
        <v>#N/A</v>
      </c>
      <c r="AN2877" s="1" t="e">
        <f>VLOOKUP(C:C,[1]基础信息!B$1:F$65536,5,0)</f>
        <v>#N/A</v>
      </c>
    </row>
    <row r="2878" spans="1:40">
      <c r="A2878" s="1" t="s">
        <v>41</v>
      </c>
      <c r="B2878" s="1" t="s">
        <v>42</v>
      </c>
      <c r="C2878" s="1" t="s">
        <v>4352</v>
      </c>
      <c r="D2878" s="1" t="s">
        <v>4353</v>
      </c>
      <c r="E2878" s="1" t="s">
        <v>45</v>
      </c>
      <c r="F2878" s="1" t="s">
        <v>6598</v>
      </c>
      <c r="G2878" s="1" t="s">
        <v>6604</v>
      </c>
      <c r="H2878" s="1" t="s">
        <v>6605</v>
      </c>
      <c r="I2878" s="1" t="s">
        <v>49</v>
      </c>
      <c r="J2878" s="1" t="s">
        <v>48</v>
      </c>
      <c r="K2878" s="1">
        <v>336</v>
      </c>
      <c r="L2878" s="1">
        <v>0</v>
      </c>
      <c r="M2878" s="1">
        <v>0</v>
      </c>
      <c r="N2878" s="1">
        <v>336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 t="s">
        <v>49</v>
      </c>
      <c r="AA2878" s="1" t="s">
        <v>49</v>
      </c>
      <c r="AB2878" s="1" t="s">
        <v>49</v>
      </c>
      <c r="AC2878" s="1" t="s">
        <v>5462</v>
      </c>
      <c r="AD2878" s="1" t="s">
        <v>6601</v>
      </c>
      <c r="AE2878" s="1" t="s">
        <v>5462</v>
      </c>
      <c r="AF2878" s="1" t="s">
        <v>5186</v>
      </c>
      <c r="AG2878" s="1" t="s">
        <v>53</v>
      </c>
      <c r="AH2878" s="1" t="s">
        <v>49</v>
      </c>
      <c r="AI2878" s="1" t="s">
        <v>54</v>
      </c>
      <c r="AJ2878" s="1">
        <v>1</v>
      </c>
      <c r="AK2878" s="1" t="str">
        <f t="shared" si="44"/>
        <v xml:space="preserve"> =&lt;90</v>
      </c>
      <c r="AL2878" s="1" t="e">
        <f>VLOOKUP(C:C,[1]基础信息!B$1:D$65536,3,0)</f>
        <v>#N/A</v>
      </c>
      <c r="AM2878" s="1" t="e">
        <f>VLOOKUP(C:C,[1]基础信息!B$1:E$65536,4,0)</f>
        <v>#N/A</v>
      </c>
      <c r="AN2878" s="1" t="e">
        <f>VLOOKUP(C:C,[1]基础信息!B$1:F$65536,5,0)</f>
        <v>#N/A</v>
      </c>
    </row>
    <row r="2879" spans="1:40">
      <c r="A2879" s="1" t="s">
        <v>41</v>
      </c>
      <c r="B2879" s="1" t="s">
        <v>42</v>
      </c>
      <c r="C2879" s="1" t="s">
        <v>4352</v>
      </c>
      <c r="D2879" s="1" t="s">
        <v>4353</v>
      </c>
      <c r="E2879" s="1" t="s">
        <v>45</v>
      </c>
      <c r="F2879" s="1" t="s">
        <v>6598</v>
      </c>
      <c r="G2879" s="1" t="s">
        <v>6606</v>
      </c>
      <c r="H2879" s="1" t="s">
        <v>6607</v>
      </c>
      <c r="I2879" s="1" t="s">
        <v>49</v>
      </c>
      <c r="J2879" s="1" t="s">
        <v>48</v>
      </c>
      <c r="K2879" s="1">
        <v>336</v>
      </c>
      <c r="L2879" s="1">
        <v>0</v>
      </c>
      <c r="M2879" s="1">
        <v>0</v>
      </c>
      <c r="N2879" s="1">
        <v>336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 t="s">
        <v>49</v>
      </c>
      <c r="AA2879" s="1" t="s">
        <v>49</v>
      </c>
      <c r="AB2879" s="1" t="s">
        <v>49</v>
      </c>
      <c r="AC2879" s="1" t="s">
        <v>5462</v>
      </c>
      <c r="AD2879" s="1" t="s">
        <v>6601</v>
      </c>
      <c r="AE2879" s="1" t="s">
        <v>5462</v>
      </c>
      <c r="AF2879" s="1" t="s">
        <v>5186</v>
      </c>
      <c r="AG2879" s="1" t="s">
        <v>53</v>
      </c>
      <c r="AH2879" s="1" t="s">
        <v>49</v>
      </c>
      <c r="AI2879" s="1" t="s">
        <v>54</v>
      </c>
      <c r="AJ2879" s="1">
        <v>1</v>
      </c>
      <c r="AK2879" s="1" t="str">
        <f t="shared" si="44"/>
        <v xml:space="preserve"> =&lt;90</v>
      </c>
      <c r="AL2879" s="1" t="e">
        <f>VLOOKUP(C:C,[1]基础信息!B$1:D$65536,3,0)</f>
        <v>#N/A</v>
      </c>
      <c r="AM2879" s="1" t="e">
        <f>VLOOKUP(C:C,[1]基础信息!B$1:E$65536,4,0)</f>
        <v>#N/A</v>
      </c>
      <c r="AN2879" s="1" t="e">
        <f>VLOOKUP(C:C,[1]基础信息!B$1:F$65536,5,0)</f>
        <v>#N/A</v>
      </c>
    </row>
    <row r="2880" spans="1:40">
      <c r="A2880" s="1" t="s">
        <v>41</v>
      </c>
      <c r="B2880" s="1" t="s">
        <v>42</v>
      </c>
      <c r="C2880" s="1" t="s">
        <v>4352</v>
      </c>
      <c r="D2880" s="1" t="s">
        <v>4353</v>
      </c>
      <c r="E2880" s="1" t="s">
        <v>45</v>
      </c>
      <c r="F2880" s="1" t="s">
        <v>6598</v>
      </c>
      <c r="G2880" s="1" t="s">
        <v>6608</v>
      </c>
      <c r="H2880" s="1" t="s">
        <v>6609</v>
      </c>
      <c r="I2880" s="1" t="s">
        <v>49</v>
      </c>
      <c r="J2880" s="1" t="s">
        <v>48</v>
      </c>
      <c r="K2880" s="1">
        <v>336</v>
      </c>
      <c r="L2880" s="1">
        <v>0</v>
      </c>
      <c r="M2880" s="1">
        <v>0</v>
      </c>
      <c r="N2880" s="1">
        <v>336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 t="s">
        <v>49</v>
      </c>
      <c r="AA2880" s="1" t="s">
        <v>49</v>
      </c>
      <c r="AB2880" s="1" t="s">
        <v>49</v>
      </c>
      <c r="AC2880" s="1" t="s">
        <v>5462</v>
      </c>
      <c r="AD2880" s="1" t="s">
        <v>6601</v>
      </c>
      <c r="AE2880" s="1" t="s">
        <v>5462</v>
      </c>
      <c r="AF2880" s="1" t="s">
        <v>5186</v>
      </c>
      <c r="AG2880" s="1" t="s">
        <v>53</v>
      </c>
      <c r="AH2880" s="1" t="s">
        <v>49</v>
      </c>
      <c r="AI2880" s="1" t="s">
        <v>54</v>
      </c>
      <c r="AJ2880" s="1">
        <v>1</v>
      </c>
      <c r="AK2880" s="1" t="str">
        <f t="shared" si="44"/>
        <v xml:space="preserve"> =&lt;90</v>
      </c>
      <c r="AL2880" s="1" t="e">
        <f>VLOOKUP(C:C,[1]基础信息!B$1:D$65536,3,0)</f>
        <v>#N/A</v>
      </c>
      <c r="AM2880" s="1" t="e">
        <f>VLOOKUP(C:C,[1]基础信息!B$1:E$65536,4,0)</f>
        <v>#N/A</v>
      </c>
      <c r="AN2880" s="1" t="e">
        <f>VLOOKUP(C:C,[1]基础信息!B$1:F$65536,5,0)</f>
        <v>#N/A</v>
      </c>
    </row>
    <row r="2881" spans="1:40">
      <c r="A2881" s="1" t="s">
        <v>41</v>
      </c>
      <c r="B2881" s="1" t="s">
        <v>42</v>
      </c>
      <c r="C2881" s="1" t="s">
        <v>4352</v>
      </c>
      <c r="D2881" s="1" t="s">
        <v>4353</v>
      </c>
      <c r="E2881" s="1" t="s">
        <v>45</v>
      </c>
      <c r="F2881" s="1" t="s">
        <v>6598</v>
      </c>
      <c r="G2881" s="1" t="s">
        <v>6610</v>
      </c>
      <c r="H2881" s="1" t="s">
        <v>6611</v>
      </c>
      <c r="I2881" s="1" t="s">
        <v>49</v>
      </c>
      <c r="J2881" s="1" t="s">
        <v>48</v>
      </c>
      <c r="K2881" s="1">
        <v>336</v>
      </c>
      <c r="L2881" s="1">
        <v>0</v>
      </c>
      <c r="M2881" s="1">
        <v>0</v>
      </c>
      <c r="N2881" s="1">
        <v>336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 t="s">
        <v>49</v>
      </c>
      <c r="AA2881" s="1" t="s">
        <v>49</v>
      </c>
      <c r="AB2881" s="1" t="s">
        <v>49</v>
      </c>
      <c r="AC2881" s="1" t="s">
        <v>5462</v>
      </c>
      <c r="AD2881" s="1" t="s">
        <v>6601</v>
      </c>
      <c r="AE2881" s="1" t="s">
        <v>5462</v>
      </c>
      <c r="AF2881" s="1" t="s">
        <v>5186</v>
      </c>
      <c r="AG2881" s="1" t="s">
        <v>53</v>
      </c>
      <c r="AH2881" s="1" t="s">
        <v>49</v>
      </c>
      <c r="AI2881" s="1" t="s">
        <v>54</v>
      </c>
      <c r="AJ2881" s="1">
        <v>1</v>
      </c>
      <c r="AK2881" s="1" t="str">
        <f t="shared" si="44"/>
        <v xml:space="preserve"> =&lt;90</v>
      </c>
      <c r="AL2881" s="1" t="e">
        <f>VLOOKUP(C:C,[1]基础信息!B$1:D$65536,3,0)</f>
        <v>#N/A</v>
      </c>
      <c r="AM2881" s="1" t="e">
        <f>VLOOKUP(C:C,[1]基础信息!B$1:E$65536,4,0)</f>
        <v>#N/A</v>
      </c>
      <c r="AN2881" s="1" t="e">
        <f>VLOOKUP(C:C,[1]基础信息!B$1:F$65536,5,0)</f>
        <v>#N/A</v>
      </c>
    </row>
    <row r="2882" spans="1:40">
      <c r="A2882" s="1" t="s">
        <v>41</v>
      </c>
      <c r="B2882" s="1" t="s">
        <v>42</v>
      </c>
      <c r="C2882" s="1" t="s">
        <v>4352</v>
      </c>
      <c r="D2882" s="1" t="s">
        <v>4353</v>
      </c>
      <c r="E2882" s="1" t="s">
        <v>45</v>
      </c>
      <c r="F2882" s="1" t="s">
        <v>6598</v>
      </c>
      <c r="G2882" s="1" t="s">
        <v>6612</v>
      </c>
      <c r="H2882" s="1" t="s">
        <v>6613</v>
      </c>
      <c r="I2882" s="1" t="s">
        <v>49</v>
      </c>
      <c r="J2882" s="1" t="s">
        <v>48</v>
      </c>
      <c r="K2882" s="1">
        <v>336</v>
      </c>
      <c r="L2882" s="1">
        <v>0</v>
      </c>
      <c r="M2882" s="1">
        <v>0</v>
      </c>
      <c r="N2882" s="1">
        <v>336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 t="s">
        <v>49</v>
      </c>
      <c r="AA2882" s="1" t="s">
        <v>49</v>
      </c>
      <c r="AB2882" s="1" t="s">
        <v>49</v>
      </c>
      <c r="AC2882" s="1" t="s">
        <v>5462</v>
      </c>
      <c r="AD2882" s="1" t="s">
        <v>6601</v>
      </c>
      <c r="AE2882" s="1" t="s">
        <v>5462</v>
      </c>
      <c r="AF2882" s="1" t="s">
        <v>5186</v>
      </c>
      <c r="AG2882" s="1" t="s">
        <v>53</v>
      </c>
      <c r="AH2882" s="1" t="s">
        <v>49</v>
      </c>
      <c r="AI2882" s="1" t="s">
        <v>54</v>
      </c>
      <c r="AJ2882" s="1">
        <v>1</v>
      </c>
      <c r="AK2882" s="1" t="str">
        <f t="shared" ref="AK2882:AK2945" si="45">IF(AJ2882&gt;$AP$2,$AQ$2,IF(AJ2882&gt;$AP$3,$AQ$3,IF(AJ2882&gt;$AP$4,$AQ$4,$AQ$5)))</f>
        <v xml:space="preserve"> =&lt;90</v>
      </c>
      <c r="AL2882" s="1" t="e">
        <f>VLOOKUP(C:C,[1]基础信息!B$1:D$65536,3,0)</f>
        <v>#N/A</v>
      </c>
      <c r="AM2882" s="1" t="e">
        <f>VLOOKUP(C:C,[1]基础信息!B$1:E$65536,4,0)</f>
        <v>#N/A</v>
      </c>
      <c r="AN2882" s="1" t="e">
        <f>VLOOKUP(C:C,[1]基础信息!B$1:F$65536,5,0)</f>
        <v>#N/A</v>
      </c>
    </row>
    <row r="2883" spans="1:40">
      <c r="A2883" s="1" t="s">
        <v>41</v>
      </c>
      <c r="B2883" s="1" t="s">
        <v>42</v>
      </c>
      <c r="C2883" s="1" t="s">
        <v>4352</v>
      </c>
      <c r="D2883" s="1" t="s">
        <v>4353</v>
      </c>
      <c r="E2883" s="1" t="s">
        <v>45</v>
      </c>
      <c r="F2883" s="1" t="s">
        <v>6598</v>
      </c>
      <c r="G2883" s="1" t="s">
        <v>6614</v>
      </c>
      <c r="H2883" s="1" t="s">
        <v>6615</v>
      </c>
      <c r="I2883" s="1" t="s">
        <v>49</v>
      </c>
      <c r="J2883" s="1" t="s">
        <v>48</v>
      </c>
      <c r="K2883" s="1">
        <v>336</v>
      </c>
      <c r="L2883" s="1">
        <v>0</v>
      </c>
      <c r="M2883" s="1">
        <v>0</v>
      </c>
      <c r="N2883" s="1">
        <v>336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 t="s">
        <v>49</v>
      </c>
      <c r="AA2883" s="1" t="s">
        <v>49</v>
      </c>
      <c r="AB2883" s="1" t="s">
        <v>49</v>
      </c>
      <c r="AC2883" s="1" t="s">
        <v>5462</v>
      </c>
      <c r="AD2883" s="1" t="s">
        <v>6601</v>
      </c>
      <c r="AE2883" s="1" t="s">
        <v>5462</v>
      </c>
      <c r="AF2883" s="1" t="s">
        <v>5186</v>
      </c>
      <c r="AG2883" s="1" t="s">
        <v>53</v>
      </c>
      <c r="AH2883" s="1" t="s">
        <v>49</v>
      </c>
      <c r="AI2883" s="1" t="s">
        <v>54</v>
      </c>
      <c r="AJ2883" s="1">
        <v>1</v>
      </c>
      <c r="AK2883" s="1" t="str">
        <f t="shared" si="45"/>
        <v xml:space="preserve"> =&lt;90</v>
      </c>
      <c r="AL2883" s="1" t="e">
        <f>VLOOKUP(C:C,[1]基础信息!B$1:D$65536,3,0)</f>
        <v>#N/A</v>
      </c>
      <c r="AM2883" s="1" t="e">
        <f>VLOOKUP(C:C,[1]基础信息!B$1:E$65536,4,0)</f>
        <v>#N/A</v>
      </c>
      <c r="AN2883" s="1" t="e">
        <f>VLOOKUP(C:C,[1]基础信息!B$1:F$65536,5,0)</f>
        <v>#N/A</v>
      </c>
    </row>
    <row r="2884" spans="1:40">
      <c r="A2884" s="1" t="s">
        <v>41</v>
      </c>
      <c r="B2884" s="1" t="s">
        <v>42</v>
      </c>
      <c r="C2884" s="1" t="s">
        <v>4352</v>
      </c>
      <c r="D2884" s="1" t="s">
        <v>4353</v>
      </c>
      <c r="E2884" s="1" t="s">
        <v>45</v>
      </c>
      <c r="F2884" s="1" t="s">
        <v>6598</v>
      </c>
      <c r="G2884" s="1" t="s">
        <v>6616</v>
      </c>
      <c r="H2884" s="1" t="s">
        <v>6617</v>
      </c>
      <c r="I2884" s="1" t="s">
        <v>49</v>
      </c>
      <c r="J2884" s="1" t="s">
        <v>48</v>
      </c>
      <c r="K2884" s="1">
        <v>336</v>
      </c>
      <c r="L2884" s="1">
        <v>0</v>
      </c>
      <c r="M2884" s="1">
        <v>0</v>
      </c>
      <c r="N2884" s="1">
        <v>336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 t="s">
        <v>49</v>
      </c>
      <c r="AA2884" s="1" t="s">
        <v>49</v>
      </c>
      <c r="AB2884" s="1" t="s">
        <v>49</v>
      </c>
      <c r="AC2884" s="1" t="s">
        <v>5462</v>
      </c>
      <c r="AD2884" s="1" t="s">
        <v>6601</v>
      </c>
      <c r="AE2884" s="1" t="s">
        <v>5462</v>
      </c>
      <c r="AF2884" s="1" t="s">
        <v>5186</v>
      </c>
      <c r="AG2884" s="1" t="s">
        <v>53</v>
      </c>
      <c r="AH2884" s="1" t="s">
        <v>49</v>
      </c>
      <c r="AI2884" s="1" t="s">
        <v>54</v>
      </c>
      <c r="AJ2884" s="1">
        <v>1</v>
      </c>
      <c r="AK2884" s="1" t="str">
        <f t="shared" si="45"/>
        <v xml:space="preserve"> =&lt;90</v>
      </c>
      <c r="AL2884" s="1" t="e">
        <f>VLOOKUP(C:C,[1]基础信息!B$1:D$65536,3,0)</f>
        <v>#N/A</v>
      </c>
      <c r="AM2884" s="1" t="e">
        <f>VLOOKUP(C:C,[1]基础信息!B$1:E$65536,4,0)</f>
        <v>#N/A</v>
      </c>
      <c r="AN2884" s="1" t="e">
        <f>VLOOKUP(C:C,[1]基础信息!B$1:F$65536,5,0)</f>
        <v>#N/A</v>
      </c>
    </row>
    <row r="2885" spans="1:40">
      <c r="A2885" s="1" t="s">
        <v>41</v>
      </c>
      <c r="B2885" s="1" t="s">
        <v>42</v>
      </c>
      <c r="C2885" s="1" t="s">
        <v>4352</v>
      </c>
      <c r="D2885" s="1" t="s">
        <v>4353</v>
      </c>
      <c r="E2885" s="1" t="s">
        <v>45</v>
      </c>
      <c r="F2885" s="1" t="s">
        <v>6598</v>
      </c>
      <c r="G2885" s="1" t="s">
        <v>6618</v>
      </c>
      <c r="H2885" s="1" t="s">
        <v>6619</v>
      </c>
      <c r="I2885" s="1" t="s">
        <v>49</v>
      </c>
      <c r="J2885" s="1" t="s">
        <v>48</v>
      </c>
      <c r="K2885" s="1">
        <v>336</v>
      </c>
      <c r="L2885" s="1">
        <v>0</v>
      </c>
      <c r="M2885" s="1">
        <v>0</v>
      </c>
      <c r="N2885" s="1">
        <v>336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 t="s">
        <v>49</v>
      </c>
      <c r="AA2885" s="1" t="s">
        <v>49</v>
      </c>
      <c r="AB2885" s="1" t="s">
        <v>49</v>
      </c>
      <c r="AC2885" s="1" t="s">
        <v>5462</v>
      </c>
      <c r="AD2885" s="1" t="s">
        <v>6601</v>
      </c>
      <c r="AE2885" s="1" t="s">
        <v>5462</v>
      </c>
      <c r="AF2885" s="1" t="s">
        <v>5186</v>
      </c>
      <c r="AG2885" s="1" t="s">
        <v>53</v>
      </c>
      <c r="AH2885" s="1" t="s">
        <v>49</v>
      </c>
      <c r="AI2885" s="1" t="s">
        <v>54</v>
      </c>
      <c r="AJ2885" s="1">
        <v>1</v>
      </c>
      <c r="AK2885" s="1" t="str">
        <f t="shared" si="45"/>
        <v xml:space="preserve"> =&lt;90</v>
      </c>
      <c r="AL2885" s="1" t="e">
        <f>VLOOKUP(C:C,[1]基础信息!B$1:D$65536,3,0)</f>
        <v>#N/A</v>
      </c>
      <c r="AM2885" s="1" t="e">
        <f>VLOOKUP(C:C,[1]基础信息!B$1:E$65536,4,0)</f>
        <v>#N/A</v>
      </c>
      <c r="AN2885" s="1" t="e">
        <f>VLOOKUP(C:C,[1]基础信息!B$1:F$65536,5,0)</f>
        <v>#N/A</v>
      </c>
    </row>
    <row r="2886" spans="1:40">
      <c r="A2886" s="1" t="s">
        <v>41</v>
      </c>
      <c r="B2886" s="1" t="s">
        <v>42</v>
      </c>
      <c r="C2886" s="1" t="s">
        <v>4352</v>
      </c>
      <c r="D2886" s="1" t="s">
        <v>4353</v>
      </c>
      <c r="E2886" s="1" t="s">
        <v>45</v>
      </c>
      <c r="F2886" s="1" t="s">
        <v>6598</v>
      </c>
      <c r="G2886" s="1" t="s">
        <v>6620</v>
      </c>
      <c r="H2886" s="1" t="s">
        <v>6621</v>
      </c>
      <c r="I2886" s="1" t="s">
        <v>49</v>
      </c>
      <c r="J2886" s="1" t="s">
        <v>48</v>
      </c>
      <c r="K2886" s="1">
        <v>336</v>
      </c>
      <c r="L2886" s="1">
        <v>0</v>
      </c>
      <c r="M2886" s="1">
        <v>0</v>
      </c>
      <c r="N2886" s="1">
        <v>336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 t="s">
        <v>49</v>
      </c>
      <c r="AA2886" s="1" t="s">
        <v>49</v>
      </c>
      <c r="AB2886" s="1" t="s">
        <v>49</v>
      </c>
      <c r="AC2886" s="1" t="s">
        <v>5462</v>
      </c>
      <c r="AD2886" s="1" t="s">
        <v>6601</v>
      </c>
      <c r="AE2886" s="1" t="s">
        <v>5462</v>
      </c>
      <c r="AF2886" s="1" t="s">
        <v>5186</v>
      </c>
      <c r="AG2886" s="1" t="s">
        <v>53</v>
      </c>
      <c r="AH2886" s="1" t="s">
        <v>49</v>
      </c>
      <c r="AI2886" s="1" t="s">
        <v>54</v>
      </c>
      <c r="AJ2886" s="1">
        <v>1</v>
      </c>
      <c r="AK2886" s="1" t="str">
        <f t="shared" si="45"/>
        <v xml:space="preserve"> =&lt;90</v>
      </c>
      <c r="AL2886" s="1" t="e">
        <f>VLOOKUP(C:C,[1]基础信息!B$1:D$65536,3,0)</f>
        <v>#N/A</v>
      </c>
      <c r="AM2886" s="1" t="e">
        <f>VLOOKUP(C:C,[1]基础信息!B$1:E$65536,4,0)</f>
        <v>#N/A</v>
      </c>
      <c r="AN2886" s="1" t="e">
        <f>VLOOKUP(C:C,[1]基础信息!B$1:F$65536,5,0)</f>
        <v>#N/A</v>
      </c>
    </row>
    <row r="2887" spans="1:40">
      <c r="A2887" s="1" t="s">
        <v>41</v>
      </c>
      <c r="B2887" s="1" t="s">
        <v>42</v>
      </c>
      <c r="C2887" s="1" t="s">
        <v>4352</v>
      </c>
      <c r="D2887" s="1" t="s">
        <v>4353</v>
      </c>
      <c r="E2887" s="1" t="s">
        <v>45</v>
      </c>
      <c r="F2887" s="1" t="s">
        <v>6598</v>
      </c>
      <c r="G2887" s="1" t="s">
        <v>6622</v>
      </c>
      <c r="H2887" s="1" t="s">
        <v>6623</v>
      </c>
      <c r="I2887" s="1" t="s">
        <v>49</v>
      </c>
      <c r="J2887" s="1" t="s">
        <v>48</v>
      </c>
      <c r="K2887" s="1">
        <v>336</v>
      </c>
      <c r="L2887" s="1">
        <v>0</v>
      </c>
      <c r="M2887" s="1">
        <v>0</v>
      </c>
      <c r="N2887" s="1">
        <v>336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 t="s">
        <v>49</v>
      </c>
      <c r="AA2887" s="1" t="s">
        <v>49</v>
      </c>
      <c r="AB2887" s="1" t="s">
        <v>49</v>
      </c>
      <c r="AC2887" s="1" t="s">
        <v>5462</v>
      </c>
      <c r="AD2887" s="1" t="s">
        <v>6601</v>
      </c>
      <c r="AE2887" s="1" t="s">
        <v>5462</v>
      </c>
      <c r="AF2887" s="1" t="s">
        <v>5186</v>
      </c>
      <c r="AG2887" s="1" t="s">
        <v>53</v>
      </c>
      <c r="AH2887" s="1" t="s">
        <v>49</v>
      </c>
      <c r="AI2887" s="1" t="s">
        <v>54</v>
      </c>
      <c r="AJ2887" s="1">
        <v>1</v>
      </c>
      <c r="AK2887" s="1" t="str">
        <f t="shared" si="45"/>
        <v xml:space="preserve"> =&lt;90</v>
      </c>
      <c r="AL2887" s="1" t="e">
        <f>VLOOKUP(C:C,[1]基础信息!B$1:D$65536,3,0)</f>
        <v>#N/A</v>
      </c>
      <c r="AM2887" s="1" t="e">
        <f>VLOOKUP(C:C,[1]基础信息!B$1:E$65536,4,0)</f>
        <v>#N/A</v>
      </c>
      <c r="AN2887" s="1" t="e">
        <f>VLOOKUP(C:C,[1]基础信息!B$1:F$65536,5,0)</f>
        <v>#N/A</v>
      </c>
    </row>
    <row r="2888" spans="1:40">
      <c r="A2888" s="1" t="s">
        <v>41</v>
      </c>
      <c r="B2888" s="1" t="s">
        <v>42</v>
      </c>
      <c r="C2888" s="1" t="s">
        <v>341</v>
      </c>
      <c r="D2888" s="1" t="s">
        <v>342</v>
      </c>
      <c r="E2888" s="1" t="s">
        <v>45</v>
      </c>
      <c r="F2888" s="1" t="s">
        <v>343</v>
      </c>
      <c r="G2888" s="1" t="s">
        <v>6624</v>
      </c>
      <c r="H2888" s="1" t="s">
        <v>6625</v>
      </c>
      <c r="I2888" s="1" t="s">
        <v>49</v>
      </c>
      <c r="J2888" s="1" t="s">
        <v>48</v>
      </c>
      <c r="K2888" s="1">
        <v>70</v>
      </c>
      <c r="L2888" s="1">
        <v>0</v>
      </c>
      <c r="M2888" s="1">
        <v>0</v>
      </c>
      <c r="N2888" s="1">
        <v>70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 t="s">
        <v>49</v>
      </c>
      <c r="AA2888" s="1" t="s">
        <v>49</v>
      </c>
      <c r="AB2888" s="1" t="s">
        <v>49</v>
      </c>
      <c r="AC2888" s="1" t="s">
        <v>346</v>
      </c>
      <c r="AD2888" s="1" t="s">
        <v>347</v>
      </c>
      <c r="AE2888" s="1" t="s">
        <v>346</v>
      </c>
      <c r="AF2888" s="1" t="s">
        <v>348</v>
      </c>
      <c r="AG2888" s="1" t="s">
        <v>338</v>
      </c>
      <c r="AH2888" s="1" t="s">
        <v>49</v>
      </c>
      <c r="AI2888" s="1" t="s">
        <v>54</v>
      </c>
      <c r="AJ2888" s="1">
        <v>1</v>
      </c>
      <c r="AK2888" s="1" t="str">
        <f t="shared" si="45"/>
        <v xml:space="preserve"> =&lt;90</v>
      </c>
      <c r="AL2888" s="1" t="str">
        <f>VLOOKUP(C:C,[1]基础信息!B$1:D$65536,3,0)</f>
        <v>Jug</v>
      </c>
      <c r="AM2888" s="1" t="str">
        <f>VLOOKUP(C:C,[1]基础信息!B$1:E$65536,4,0)</f>
        <v>Marella</v>
      </c>
      <c r="AN2888" s="1" t="str">
        <f>VLOOKUP(C:C,[1]基础信息!B$1:F$65536,5,0)</f>
        <v>Blue Glitter</v>
      </c>
    </row>
    <row r="2889" spans="1:40">
      <c r="A2889" s="1" t="s">
        <v>41</v>
      </c>
      <c r="B2889" s="1" t="s">
        <v>42</v>
      </c>
      <c r="C2889" s="1" t="s">
        <v>4352</v>
      </c>
      <c r="D2889" s="1" t="s">
        <v>4353</v>
      </c>
      <c r="E2889" s="1" t="s">
        <v>45</v>
      </c>
      <c r="F2889" s="1" t="s">
        <v>6598</v>
      </c>
      <c r="G2889" s="1" t="s">
        <v>6626</v>
      </c>
      <c r="H2889" s="1" t="s">
        <v>6627</v>
      </c>
      <c r="I2889" s="1" t="s">
        <v>49</v>
      </c>
      <c r="J2889" s="1" t="s">
        <v>48</v>
      </c>
      <c r="K2889" s="1">
        <v>336</v>
      </c>
      <c r="L2889" s="1">
        <v>0</v>
      </c>
      <c r="M2889" s="1">
        <v>0</v>
      </c>
      <c r="N2889" s="1">
        <v>336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 t="s">
        <v>49</v>
      </c>
      <c r="AA2889" s="1" t="s">
        <v>49</v>
      </c>
      <c r="AB2889" s="1" t="s">
        <v>49</v>
      </c>
      <c r="AC2889" s="1" t="s">
        <v>5462</v>
      </c>
      <c r="AD2889" s="1" t="s">
        <v>6601</v>
      </c>
      <c r="AE2889" s="1" t="s">
        <v>5462</v>
      </c>
      <c r="AF2889" s="1" t="s">
        <v>5186</v>
      </c>
      <c r="AG2889" s="1" t="s">
        <v>53</v>
      </c>
      <c r="AH2889" s="1" t="s">
        <v>49</v>
      </c>
      <c r="AI2889" s="1" t="s">
        <v>54</v>
      </c>
      <c r="AJ2889" s="1">
        <v>1</v>
      </c>
      <c r="AK2889" s="1" t="str">
        <f t="shared" si="45"/>
        <v xml:space="preserve"> =&lt;90</v>
      </c>
      <c r="AL2889" s="1" t="e">
        <f>VLOOKUP(C:C,[1]基础信息!B$1:D$65536,3,0)</f>
        <v>#N/A</v>
      </c>
      <c r="AM2889" s="1" t="e">
        <f>VLOOKUP(C:C,[1]基础信息!B$1:E$65536,4,0)</f>
        <v>#N/A</v>
      </c>
      <c r="AN2889" s="1" t="e">
        <f>VLOOKUP(C:C,[1]基础信息!B$1:F$65536,5,0)</f>
        <v>#N/A</v>
      </c>
    </row>
    <row r="2890" spans="1:40">
      <c r="A2890" s="1" t="s">
        <v>41</v>
      </c>
      <c r="B2890" s="1" t="s">
        <v>42</v>
      </c>
      <c r="C2890" s="1" t="s">
        <v>4352</v>
      </c>
      <c r="D2890" s="1" t="s">
        <v>4353</v>
      </c>
      <c r="E2890" s="1" t="s">
        <v>45</v>
      </c>
      <c r="F2890" s="1" t="s">
        <v>6598</v>
      </c>
      <c r="G2890" s="1" t="s">
        <v>6628</v>
      </c>
      <c r="H2890" s="1" t="s">
        <v>6629</v>
      </c>
      <c r="I2890" s="1" t="s">
        <v>49</v>
      </c>
      <c r="J2890" s="1" t="s">
        <v>48</v>
      </c>
      <c r="K2890" s="1">
        <v>336</v>
      </c>
      <c r="L2890" s="1">
        <v>0</v>
      </c>
      <c r="M2890" s="1">
        <v>0</v>
      </c>
      <c r="N2890" s="1">
        <v>336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 t="s">
        <v>49</v>
      </c>
      <c r="AA2890" s="1" t="s">
        <v>49</v>
      </c>
      <c r="AB2890" s="1" t="s">
        <v>49</v>
      </c>
      <c r="AC2890" s="1" t="s">
        <v>5462</v>
      </c>
      <c r="AD2890" s="1" t="s">
        <v>6601</v>
      </c>
      <c r="AE2890" s="1" t="s">
        <v>5462</v>
      </c>
      <c r="AF2890" s="1" t="s">
        <v>5186</v>
      </c>
      <c r="AG2890" s="1" t="s">
        <v>53</v>
      </c>
      <c r="AH2890" s="1" t="s">
        <v>49</v>
      </c>
      <c r="AI2890" s="1" t="s">
        <v>54</v>
      </c>
      <c r="AJ2890" s="1">
        <v>1</v>
      </c>
      <c r="AK2890" s="1" t="str">
        <f t="shared" si="45"/>
        <v xml:space="preserve"> =&lt;90</v>
      </c>
      <c r="AL2890" s="1" t="e">
        <f>VLOOKUP(C:C,[1]基础信息!B$1:D$65536,3,0)</f>
        <v>#N/A</v>
      </c>
      <c r="AM2890" s="1" t="e">
        <f>VLOOKUP(C:C,[1]基础信息!B$1:E$65536,4,0)</f>
        <v>#N/A</v>
      </c>
      <c r="AN2890" s="1" t="e">
        <f>VLOOKUP(C:C,[1]基础信息!B$1:F$65536,5,0)</f>
        <v>#N/A</v>
      </c>
    </row>
    <row r="2891" spans="1:40">
      <c r="A2891" s="1" t="s">
        <v>41</v>
      </c>
      <c r="B2891" s="1" t="s">
        <v>42</v>
      </c>
      <c r="C2891" s="1" t="s">
        <v>4352</v>
      </c>
      <c r="D2891" s="1" t="s">
        <v>4353</v>
      </c>
      <c r="E2891" s="1" t="s">
        <v>45</v>
      </c>
      <c r="F2891" s="1" t="s">
        <v>6598</v>
      </c>
      <c r="G2891" s="1" t="s">
        <v>6630</v>
      </c>
      <c r="H2891" s="1" t="s">
        <v>6631</v>
      </c>
      <c r="I2891" s="1" t="s">
        <v>49</v>
      </c>
      <c r="J2891" s="1" t="s">
        <v>48</v>
      </c>
      <c r="K2891" s="1">
        <v>336</v>
      </c>
      <c r="L2891" s="1">
        <v>0</v>
      </c>
      <c r="M2891" s="1">
        <v>0</v>
      </c>
      <c r="N2891" s="1">
        <v>336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 t="s">
        <v>49</v>
      </c>
      <c r="AA2891" s="1" t="s">
        <v>49</v>
      </c>
      <c r="AB2891" s="1" t="s">
        <v>49</v>
      </c>
      <c r="AC2891" s="1" t="s">
        <v>5462</v>
      </c>
      <c r="AD2891" s="1" t="s">
        <v>6601</v>
      </c>
      <c r="AE2891" s="1" t="s">
        <v>5462</v>
      </c>
      <c r="AF2891" s="1" t="s">
        <v>5186</v>
      </c>
      <c r="AG2891" s="1" t="s">
        <v>53</v>
      </c>
      <c r="AH2891" s="1" t="s">
        <v>49</v>
      </c>
      <c r="AI2891" s="1" t="s">
        <v>54</v>
      </c>
      <c r="AJ2891" s="1">
        <v>1</v>
      </c>
      <c r="AK2891" s="1" t="str">
        <f t="shared" si="45"/>
        <v xml:space="preserve"> =&lt;90</v>
      </c>
      <c r="AL2891" s="1" t="e">
        <f>VLOOKUP(C:C,[1]基础信息!B$1:D$65536,3,0)</f>
        <v>#N/A</v>
      </c>
      <c r="AM2891" s="1" t="e">
        <f>VLOOKUP(C:C,[1]基础信息!B$1:E$65536,4,0)</f>
        <v>#N/A</v>
      </c>
      <c r="AN2891" s="1" t="e">
        <f>VLOOKUP(C:C,[1]基础信息!B$1:F$65536,5,0)</f>
        <v>#N/A</v>
      </c>
    </row>
    <row r="2892" spans="1:40">
      <c r="A2892" s="1" t="s">
        <v>41</v>
      </c>
      <c r="B2892" s="1" t="s">
        <v>42</v>
      </c>
      <c r="C2892" s="1" t="s">
        <v>4352</v>
      </c>
      <c r="D2892" s="1" t="s">
        <v>4353</v>
      </c>
      <c r="E2892" s="1" t="s">
        <v>45</v>
      </c>
      <c r="F2892" s="1" t="s">
        <v>6598</v>
      </c>
      <c r="G2892" s="1" t="s">
        <v>6632</v>
      </c>
      <c r="H2892" s="1" t="s">
        <v>6633</v>
      </c>
      <c r="I2892" s="1" t="s">
        <v>49</v>
      </c>
      <c r="J2892" s="1" t="s">
        <v>48</v>
      </c>
      <c r="K2892" s="1">
        <v>336</v>
      </c>
      <c r="L2892" s="1">
        <v>0</v>
      </c>
      <c r="M2892" s="1">
        <v>0</v>
      </c>
      <c r="N2892" s="1">
        <v>336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 t="s">
        <v>49</v>
      </c>
      <c r="AA2892" s="1" t="s">
        <v>49</v>
      </c>
      <c r="AB2892" s="1" t="s">
        <v>49</v>
      </c>
      <c r="AC2892" s="1" t="s">
        <v>5462</v>
      </c>
      <c r="AD2892" s="1" t="s">
        <v>6601</v>
      </c>
      <c r="AE2892" s="1" t="s">
        <v>5462</v>
      </c>
      <c r="AF2892" s="1" t="s">
        <v>5186</v>
      </c>
      <c r="AG2892" s="1" t="s">
        <v>53</v>
      </c>
      <c r="AH2892" s="1" t="s">
        <v>49</v>
      </c>
      <c r="AI2892" s="1" t="s">
        <v>54</v>
      </c>
      <c r="AJ2892" s="1">
        <v>1</v>
      </c>
      <c r="AK2892" s="1" t="str">
        <f t="shared" si="45"/>
        <v xml:space="preserve"> =&lt;90</v>
      </c>
      <c r="AL2892" s="1" t="e">
        <f>VLOOKUP(C:C,[1]基础信息!B$1:D$65536,3,0)</f>
        <v>#N/A</v>
      </c>
      <c r="AM2892" s="1" t="e">
        <f>VLOOKUP(C:C,[1]基础信息!B$1:E$65536,4,0)</f>
        <v>#N/A</v>
      </c>
      <c r="AN2892" s="1" t="e">
        <f>VLOOKUP(C:C,[1]基础信息!B$1:F$65536,5,0)</f>
        <v>#N/A</v>
      </c>
    </row>
    <row r="2893" spans="1:40">
      <c r="A2893" s="1" t="s">
        <v>41</v>
      </c>
      <c r="B2893" s="1" t="s">
        <v>42</v>
      </c>
      <c r="C2893" s="1" t="s">
        <v>341</v>
      </c>
      <c r="D2893" s="1" t="s">
        <v>342</v>
      </c>
      <c r="E2893" s="1" t="s">
        <v>45</v>
      </c>
      <c r="F2893" s="1" t="s">
        <v>343</v>
      </c>
      <c r="G2893" s="1" t="s">
        <v>6634</v>
      </c>
      <c r="H2893" s="1" t="s">
        <v>6635</v>
      </c>
      <c r="I2893" s="1" t="s">
        <v>49</v>
      </c>
      <c r="J2893" s="1" t="s">
        <v>48</v>
      </c>
      <c r="K2893" s="1">
        <v>70</v>
      </c>
      <c r="L2893" s="1">
        <v>0</v>
      </c>
      <c r="M2893" s="1">
        <v>0</v>
      </c>
      <c r="N2893" s="1">
        <v>70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 t="s">
        <v>49</v>
      </c>
      <c r="AA2893" s="1" t="s">
        <v>49</v>
      </c>
      <c r="AB2893" s="1" t="s">
        <v>49</v>
      </c>
      <c r="AC2893" s="1" t="s">
        <v>346</v>
      </c>
      <c r="AD2893" s="1" t="s">
        <v>347</v>
      </c>
      <c r="AE2893" s="1" t="s">
        <v>346</v>
      </c>
      <c r="AF2893" s="1" t="s">
        <v>348</v>
      </c>
      <c r="AG2893" s="1" t="s">
        <v>338</v>
      </c>
      <c r="AH2893" s="1" t="s">
        <v>49</v>
      </c>
      <c r="AI2893" s="1" t="s">
        <v>54</v>
      </c>
      <c r="AJ2893" s="1">
        <v>1</v>
      </c>
      <c r="AK2893" s="1" t="str">
        <f t="shared" si="45"/>
        <v xml:space="preserve"> =&lt;90</v>
      </c>
      <c r="AL2893" s="1" t="str">
        <f>VLOOKUP(C:C,[1]基础信息!B$1:D$65536,3,0)</f>
        <v>Jug</v>
      </c>
      <c r="AM2893" s="1" t="str">
        <f>VLOOKUP(C:C,[1]基础信息!B$1:E$65536,4,0)</f>
        <v>Marella</v>
      </c>
      <c r="AN2893" s="1" t="str">
        <f>VLOOKUP(C:C,[1]基础信息!B$1:F$65536,5,0)</f>
        <v>Blue Glitter</v>
      </c>
    </row>
    <row r="2894" spans="1:40">
      <c r="A2894" s="1" t="s">
        <v>41</v>
      </c>
      <c r="B2894" s="1" t="s">
        <v>42</v>
      </c>
      <c r="C2894" s="1" t="s">
        <v>4352</v>
      </c>
      <c r="D2894" s="1" t="s">
        <v>4353</v>
      </c>
      <c r="E2894" s="1" t="s">
        <v>45</v>
      </c>
      <c r="F2894" s="1" t="s">
        <v>6598</v>
      </c>
      <c r="G2894" s="1" t="s">
        <v>6636</v>
      </c>
      <c r="H2894" s="1" t="s">
        <v>6637</v>
      </c>
      <c r="I2894" s="1" t="s">
        <v>49</v>
      </c>
      <c r="J2894" s="1" t="s">
        <v>48</v>
      </c>
      <c r="K2894" s="1">
        <v>336</v>
      </c>
      <c r="L2894" s="1">
        <v>0</v>
      </c>
      <c r="M2894" s="1">
        <v>0</v>
      </c>
      <c r="N2894" s="1">
        <v>336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 t="s">
        <v>49</v>
      </c>
      <c r="AA2894" s="1" t="s">
        <v>49</v>
      </c>
      <c r="AB2894" s="1" t="s">
        <v>49</v>
      </c>
      <c r="AC2894" s="1" t="s">
        <v>5462</v>
      </c>
      <c r="AD2894" s="1" t="s">
        <v>6601</v>
      </c>
      <c r="AE2894" s="1" t="s">
        <v>5462</v>
      </c>
      <c r="AF2894" s="1" t="s">
        <v>5186</v>
      </c>
      <c r="AG2894" s="1" t="s">
        <v>53</v>
      </c>
      <c r="AH2894" s="1" t="s">
        <v>49</v>
      </c>
      <c r="AI2894" s="1" t="s">
        <v>54</v>
      </c>
      <c r="AJ2894" s="1">
        <v>1</v>
      </c>
      <c r="AK2894" s="1" t="str">
        <f t="shared" si="45"/>
        <v xml:space="preserve"> =&lt;90</v>
      </c>
      <c r="AL2894" s="1" t="e">
        <f>VLOOKUP(C:C,[1]基础信息!B$1:D$65536,3,0)</f>
        <v>#N/A</v>
      </c>
      <c r="AM2894" s="1" t="e">
        <f>VLOOKUP(C:C,[1]基础信息!B$1:E$65536,4,0)</f>
        <v>#N/A</v>
      </c>
      <c r="AN2894" s="1" t="e">
        <f>VLOOKUP(C:C,[1]基础信息!B$1:F$65536,5,0)</f>
        <v>#N/A</v>
      </c>
    </row>
    <row r="2895" spans="1:40">
      <c r="A2895" s="1" t="s">
        <v>41</v>
      </c>
      <c r="B2895" s="1" t="s">
        <v>42</v>
      </c>
      <c r="C2895" s="1" t="s">
        <v>4352</v>
      </c>
      <c r="D2895" s="1" t="s">
        <v>4353</v>
      </c>
      <c r="E2895" s="1" t="s">
        <v>45</v>
      </c>
      <c r="F2895" s="1" t="s">
        <v>6598</v>
      </c>
      <c r="G2895" s="1" t="s">
        <v>6638</v>
      </c>
      <c r="H2895" s="1" t="s">
        <v>6639</v>
      </c>
      <c r="I2895" s="1" t="s">
        <v>49</v>
      </c>
      <c r="J2895" s="1" t="s">
        <v>48</v>
      </c>
      <c r="K2895" s="1">
        <v>336</v>
      </c>
      <c r="L2895" s="1">
        <v>0</v>
      </c>
      <c r="M2895" s="1">
        <v>0</v>
      </c>
      <c r="N2895" s="1">
        <v>336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 t="s">
        <v>49</v>
      </c>
      <c r="AA2895" s="1" t="s">
        <v>49</v>
      </c>
      <c r="AB2895" s="1" t="s">
        <v>49</v>
      </c>
      <c r="AC2895" s="1" t="s">
        <v>5462</v>
      </c>
      <c r="AD2895" s="1" t="s">
        <v>6601</v>
      </c>
      <c r="AE2895" s="1" t="s">
        <v>5462</v>
      </c>
      <c r="AF2895" s="1" t="s">
        <v>5186</v>
      </c>
      <c r="AG2895" s="1" t="s">
        <v>53</v>
      </c>
      <c r="AH2895" s="1" t="s">
        <v>49</v>
      </c>
      <c r="AI2895" s="1" t="s">
        <v>54</v>
      </c>
      <c r="AJ2895" s="1">
        <v>1</v>
      </c>
      <c r="AK2895" s="1" t="str">
        <f t="shared" si="45"/>
        <v xml:space="preserve"> =&lt;90</v>
      </c>
      <c r="AL2895" s="1" t="e">
        <f>VLOOKUP(C:C,[1]基础信息!B$1:D$65536,3,0)</f>
        <v>#N/A</v>
      </c>
      <c r="AM2895" s="1" t="e">
        <f>VLOOKUP(C:C,[1]基础信息!B$1:E$65536,4,0)</f>
        <v>#N/A</v>
      </c>
      <c r="AN2895" s="1" t="e">
        <f>VLOOKUP(C:C,[1]基础信息!B$1:F$65536,5,0)</f>
        <v>#N/A</v>
      </c>
    </row>
    <row r="2896" spans="1:40">
      <c r="A2896" s="1" t="s">
        <v>41</v>
      </c>
      <c r="B2896" s="1" t="s">
        <v>42</v>
      </c>
      <c r="C2896" s="1" t="s">
        <v>4352</v>
      </c>
      <c r="D2896" s="1" t="s">
        <v>4353</v>
      </c>
      <c r="E2896" s="1" t="s">
        <v>45</v>
      </c>
      <c r="F2896" s="1" t="s">
        <v>6598</v>
      </c>
      <c r="G2896" s="1" t="s">
        <v>6640</v>
      </c>
      <c r="H2896" s="1" t="s">
        <v>6641</v>
      </c>
      <c r="I2896" s="1" t="s">
        <v>49</v>
      </c>
      <c r="J2896" s="1" t="s">
        <v>48</v>
      </c>
      <c r="K2896" s="1">
        <v>16</v>
      </c>
      <c r="L2896" s="1">
        <v>0</v>
      </c>
      <c r="M2896" s="1">
        <v>0</v>
      </c>
      <c r="N2896" s="1">
        <v>16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 t="s">
        <v>49</v>
      </c>
      <c r="AA2896" s="1" t="s">
        <v>49</v>
      </c>
      <c r="AB2896" s="1" t="s">
        <v>49</v>
      </c>
      <c r="AC2896" s="1" t="s">
        <v>5462</v>
      </c>
      <c r="AD2896" s="1" t="s">
        <v>6601</v>
      </c>
      <c r="AE2896" s="1" t="s">
        <v>5462</v>
      </c>
      <c r="AF2896" s="1" t="s">
        <v>5186</v>
      </c>
      <c r="AG2896" s="1" t="s">
        <v>53</v>
      </c>
      <c r="AH2896" s="1" t="s">
        <v>49</v>
      </c>
      <c r="AI2896" s="1" t="s">
        <v>54</v>
      </c>
      <c r="AJ2896" s="1">
        <v>1</v>
      </c>
      <c r="AK2896" s="1" t="str">
        <f t="shared" si="45"/>
        <v xml:space="preserve"> =&lt;90</v>
      </c>
      <c r="AL2896" s="1" t="e">
        <f>VLOOKUP(C:C,[1]基础信息!B$1:D$65536,3,0)</f>
        <v>#N/A</v>
      </c>
      <c r="AM2896" s="1" t="e">
        <f>VLOOKUP(C:C,[1]基础信息!B$1:E$65536,4,0)</f>
        <v>#N/A</v>
      </c>
      <c r="AN2896" s="1" t="e">
        <f>VLOOKUP(C:C,[1]基础信息!B$1:F$65536,5,0)</f>
        <v>#N/A</v>
      </c>
    </row>
    <row r="2897" spans="1:40">
      <c r="A2897" s="1" t="s">
        <v>41</v>
      </c>
      <c r="B2897" s="1" t="s">
        <v>42</v>
      </c>
      <c r="C2897" s="1" t="s">
        <v>4352</v>
      </c>
      <c r="D2897" s="1" t="s">
        <v>4353</v>
      </c>
      <c r="E2897" s="1" t="s">
        <v>45</v>
      </c>
      <c r="F2897" s="1" t="s">
        <v>6642</v>
      </c>
      <c r="G2897" s="1" t="s">
        <v>6643</v>
      </c>
      <c r="H2897" s="1" t="s">
        <v>6644</v>
      </c>
      <c r="I2897" s="1" t="s">
        <v>49</v>
      </c>
      <c r="J2897" s="1" t="s">
        <v>48</v>
      </c>
      <c r="K2897" s="1">
        <v>336</v>
      </c>
      <c r="L2897" s="1">
        <v>0</v>
      </c>
      <c r="M2897" s="1">
        <v>0</v>
      </c>
      <c r="N2897" s="1">
        <v>336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 t="s">
        <v>49</v>
      </c>
      <c r="AA2897" s="1" t="s">
        <v>49</v>
      </c>
      <c r="AB2897" s="1" t="s">
        <v>49</v>
      </c>
      <c r="AC2897" s="1" t="s">
        <v>5462</v>
      </c>
      <c r="AD2897" s="1" t="s">
        <v>6601</v>
      </c>
      <c r="AE2897" s="1" t="s">
        <v>5462</v>
      </c>
      <c r="AF2897" s="1" t="s">
        <v>5799</v>
      </c>
      <c r="AG2897" s="1" t="s">
        <v>53</v>
      </c>
      <c r="AH2897" s="1" t="s">
        <v>49</v>
      </c>
      <c r="AI2897" s="1" t="s">
        <v>54</v>
      </c>
      <c r="AJ2897" s="1">
        <v>1</v>
      </c>
      <c r="AK2897" s="1" t="str">
        <f t="shared" si="45"/>
        <v xml:space="preserve"> =&lt;90</v>
      </c>
      <c r="AL2897" s="1" t="e">
        <f>VLOOKUP(C:C,[1]基础信息!B$1:D$65536,3,0)</f>
        <v>#N/A</v>
      </c>
      <c r="AM2897" s="1" t="e">
        <f>VLOOKUP(C:C,[1]基础信息!B$1:E$65536,4,0)</f>
        <v>#N/A</v>
      </c>
      <c r="AN2897" s="1" t="e">
        <f>VLOOKUP(C:C,[1]基础信息!B$1:F$65536,5,0)</f>
        <v>#N/A</v>
      </c>
    </row>
    <row r="2898" spans="1:40">
      <c r="A2898" s="1" t="s">
        <v>41</v>
      </c>
      <c r="B2898" s="1" t="s">
        <v>42</v>
      </c>
      <c r="C2898" s="1" t="s">
        <v>341</v>
      </c>
      <c r="D2898" s="1" t="s">
        <v>342</v>
      </c>
      <c r="E2898" s="1" t="s">
        <v>45</v>
      </c>
      <c r="F2898" s="1" t="s">
        <v>343</v>
      </c>
      <c r="G2898" s="1" t="s">
        <v>6645</v>
      </c>
      <c r="H2898" s="1" t="s">
        <v>6646</v>
      </c>
      <c r="I2898" s="1" t="s">
        <v>49</v>
      </c>
      <c r="J2898" s="1" t="s">
        <v>48</v>
      </c>
      <c r="K2898" s="1">
        <v>70</v>
      </c>
      <c r="L2898" s="1">
        <v>0</v>
      </c>
      <c r="M2898" s="1">
        <v>0</v>
      </c>
      <c r="N2898" s="1">
        <v>70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 t="s">
        <v>49</v>
      </c>
      <c r="AA2898" s="1" t="s">
        <v>49</v>
      </c>
      <c r="AB2898" s="1" t="s">
        <v>49</v>
      </c>
      <c r="AC2898" s="1" t="s">
        <v>346</v>
      </c>
      <c r="AD2898" s="1" t="s">
        <v>347</v>
      </c>
      <c r="AE2898" s="1" t="s">
        <v>346</v>
      </c>
      <c r="AF2898" s="1" t="s">
        <v>348</v>
      </c>
      <c r="AG2898" s="1" t="s">
        <v>338</v>
      </c>
      <c r="AH2898" s="1" t="s">
        <v>49</v>
      </c>
      <c r="AI2898" s="1" t="s">
        <v>54</v>
      </c>
      <c r="AJ2898" s="1">
        <v>1</v>
      </c>
      <c r="AK2898" s="1" t="str">
        <f t="shared" si="45"/>
        <v xml:space="preserve"> =&lt;90</v>
      </c>
      <c r="AL2898" s="1" t="str">
        <f>VLOOKUP(C:C,[1]基础信息!B$1:D$65536,3,0)</f>
        <v>Jug</v>
      </c>
      <c r="AM2898" s="1" t="str">
        <f>VLOOKUP(C:C,[1]基础信息!B$1:E$65536,4,0)</f>
        <v>Marella</v>
      </c>
      <c r="AN2898" s="1" t="str">
        <f>VLOOKUP(C:C,[1]基础信息!B$1:F$65536,5,0)</f>
        <v>Blue Glitter</v>
      </c>
    </row>
    <row r="2899" spans="1:40">
      <c r="A2899" s="1" t="s">
        <v>41</v>
      </c>
      <c r="B2899" s="1" t="s">
        <v>42</v>
      </c>
      <c r="C2899" s="1" t="s">
        <v>4352</v>
      </c>
      <c r="D2899" s="1" t="s">
        <v>4353</v>
      </c>
      <c r="E2899" s="1" t="s">
        <v>45</v>
      </c>
      <c r="F2899" s="1" t="s">
        <v>6642</v>
      </c>
      <c r="G2899" s="1" t="s">
        <v>6647</v>
      </c>
      <c r="H2899" s="1" t="s">
        <v>6648</v>
      </c>
      <c r="I2899" s="1" t="s">
        <v>49</v>
      </c>
      <c r="J2899" s="1" t="s">
        <v>48</v>
      </c>
      <c r="K2899" s="1">
        <v>336</v>
      </c>
      <c r="L2899" s="1">
        <v>0</v>
      </c>
      <c r="M2899" s="1">
        <v>0</v>
      </c>
      <c r="N2899" s="1">
        <v>336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 t="s">
        <v>49</v>
      </c>
      <c r="AA2899" s="1" t="s">
        <v>49</v>
      </c>
      <c r="AB2899" s="1" t="s">
        <v>49</v>
      </c>
      <c r="AC2899" s="1" t="s">
        <v>5462</v>
      </c>
      <c r="AD2899" s="1" t="s">
        <v>6601</v>
      </c>
      <c r="AE2899" s="1" t="s">
        <v>5462</v>
      </c>
      <c r="AF2899" s="1" t="s">
        <v>5799</v>
      </c>
      <c r="AG2899" s="1" t="s">
        <v>53</v>
      </c>
      <c r="AH2899" s="1" t="s">
        <v>49</v>
      </c>
      <c r="AI2899" s="1" t="s">
        <v>54</v>
      </c>
      <c r="AJ2899" s="1">
        <v>1</v>
      </c>
      <c r="AK2899" s="1" t="str">
        <f t="shared" si="45"/>
        <v xml:space="preserve"> =&lt;90</v>
      </c>
      <c r="AL2899" s="1" t="e">
        <f>VLOOKUP(C:C,[1]基础信息!B$1:D$65536,3,0)</f>
        <v>#N/A</v>
      </c>
      <c r="AM2899" s="1" t="e">
        <f>VLOOKUP(C:C,[1]基础信息!B$1:E$65536,4,0)</f>
        <v>#N/A</v>
      </c>
      <c r="AN2899" s="1" t="e">
        <f>VLOOKUP(C:C,[1]基础信息!B$1:F$65536,5,0)</f>
        <v>#N/A</v>
      </c>
    </row>
    <row r="2900" spans="1:40">
      <c r="A2900" s="1" t="s">
        <v>41</v>
      </c>
      <c r="B2900" s="1" t="s">
        <v>42</v>
      </c>
      <c r="C2900" s="1" t="s">
        <v>4352</v>
      </c>
      <c r="D2900" s="1" t="s">
        <v>4353</v>
      </c>
      <c r="E2900" s="1" t="s">
        <v>45</v>
      </c>
      <c r="F2900" s="1" t="s">
        <v>6642</v>
      </c>
      <c r="G2900" s="1" t="s">
        <v>6649</v>
      </c>
      <c r="H2900" s="1" t="s">
        <v>6650</v>
      </c>
      <c r="I2900" s="1" t="s">
        <v>49</v>
      </c>
      <c r="J2900" s="1" t="s">
        <v>48</v>
      </c>
      <c r="K2900" s="1">
        <v>336</v>
      </c>
      <c r="L2900" s="1">
        <v>0</v>
      </c>
      <c r="M2900" s="1">
        <v>0</v>
      </c>
      <c r="N2900" s="1">
        <v>336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 t="s">
        <v>49</v>
      </c>
      <c r="AA2900" s="1" t="s">
        <v>49</v>
      </c>
      <c r="AB2900" s="1" t="s">
        <v>49</v>
      </c>
      <c r="AC2900" s="1" t="s">
        <v>5462</v>
      </c>
      <c r="AD2900" s="1" t="s">
        <v>6601</v>
      </c>
      <c r="AE2900" s="1" t="s">
        <v>5462</v>
      </c>
      <c r="AF2900" s="1" t="s">
        <v>5799</v>
      </c>
      <c r="AG2900" s="1" t="s">
        <v>53</v>
      </c>
      <c r="AH2900" s="1" t="s">
        <v>49</v>
      </c>
      <c r="AI2900" s="1" t="s">
        <v>54</v>
      </c>
      <c r="AJ2900" s="1">
        <v>1</v>
      </c>
      <c r="AK2900" s="1" t="str">
        <f t="shared" si="45"/>
        <v xml:space="preserve"> =&lt;90</v>
      </c>
      <c r="AL2900" s="1" t="e">
        <f>VLOOKUP(C:C,[1]基础信息!B$1:D$65536,3,0)</f>
        <v>#N/A</v>
      </c>
      <c r="AM2900" s="1" t="e">
        <f>VLOOKUP(C:C,[1]基础信息!B$1:E$65536,4,0)</f>
        <v>#N/A</v>
      </c>
      <c r="AN2900" s="1" t="e">
        <f>VLOOKUP(C:C,[1]基础信息!B$1:F$65536,5,0)</f>
        <v>#N/A</v>
      </c>
    </row>
    <row r="2901" spans="1:40">
      <c r="A2901" s="1" t="s">
        <v>41</v>
      </c>
      <c r="B2901" s="1" t="s">
        <v>42</v>
      </c>
      <c r="C2901" s="1" t="s">
        <v>4352</v>
      </c>
      <c r="D2901" s="1" t="s">
        <v>4353</v>
      </c>
      <c r="E2901" s="1" t="s">
        <v>45</v>
      </c>
      <c r="F2901" s="1" t="s">
        <v>6642</v>
      </c>
      <c r="G2901" s="1" t="s">
        <v>6651</v>
      </c>
      <c r="H2901" s="1" t="s">
        <v>6652</v>
      </c>
      <c r="I2901" s="1" t="s">
        <v>49</v>
      </c>
      <c r="J2901" s="1" t="s">
        <v>48</v>
      </c>
      <c r="K2901" s="1">
        <v>336</v>
      </c>
      <c r="L2901" s="1">
        <v>0</v>
      </c>
      <c r="M2901" s="1">
        <v>0</v>
      </c>
      <c r="N2901" s="1">
        <v>336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 t="s">
        <v>49</v>
      </c>
      <c r="AA2901" s="1" t="s">
        <v>49</v>
      </c>
      <c r="AB2901" s="1" t="s">
        <v>49</v>
      </c>
      <c r="AC2901" s="1" t="s">
        <v>5462</v>
      </c>
      <c r="AD2901" s="1" t="s">
        <v>6601</v>
      </c>
      <c r="AE2901" s="1" t="s">
        <v>5462</v>
      </c>
      <c r="AF2901" s="1" t="s">
        <v>5799</v>
      </c>
      <c r="AG2901" s="1" t="s">
        <v>53</v>
      </c>
      <c r="AH2901" s="1" t="s">
        <v>49</v>
      </c>
      <c r="AI2901" s="1" t="s">
        <v>54</v>
      </c>
      <c r="AJ2901" s="1">
        <v>1</v>
      </c>
      <c r="AK2901" s="1" t="str">
        <f t="shared" si="45"/>
        <v xml:space="preserve"> =&lt;90</v>
      </c>
      <c r="AL2901" s="1" t="e">
        <f>VLOOKUP(C:C,[1]基础信息!B$1:D$65536,3,0)</f>
        <v>#N/A</v>
      </c>
      <c r="AM2901" s="1" t="e">
        <f>VLOOKUP(C:C,[1]基础信息!B$1:E$65536,4,0)</f>
        <v>#N/A</v>
      </c>
      <c r="AN2901" s="1" t="e">
        <f>VLOOKUP(C:C,[1]基础信息!B$1:F$65536,5,0)</f>
        <v>#N/A</v>
      </c>
    </row>
    <row r="2902" spans="1:40">
      <c r="A2902" s="1" t="s">
        <v>41</v>
      </c>
      <c r="B2902" s="1" t="s">
        <v>42</v>
      </c>
      <c r="C2902" s="1" t="s">
        <v>5154</v>
      </c>
      <c r="D2902" s="1" t="s">
        <v>5155</v>
      </c>
      <c r="E2902" s="1" t="s">
        <v>45</v>
      </c>
      <c r="F2902" s="1" t="s">
        <v>6653</v>
      </c>
      <c r="G2902" s="1" t="s">
        <v>6654</v>
      </c>
      <c r="H2902" s="1" t="s">
        <v>6655</v>
      </c>
      <c r="I2902" s="1" t="s">
        <v>49</v>
      </c>
      <c r="J2902" s="1" t="s">
        <v>48</v>
      </c>
      <c r="K2902" s="1">
        <v>270</v>
      </c>
      <c r="L2902" s="1">
        <v>0</v>
      </c>
      <c r="M2902" s="1">
        <v>0</v>
      </c>
      <c r="N2902" s="1">
        <v>270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 t="s">
        <v>49</v>
      </c>
      <c r="AA2902" s="1" t="s">
        <v>49</v>
      </c>
      <c r="AB2902" s="1" t="s">
        <v>49</v>
      </c>
      <c r="AC2902" s="1" t="s">
        <v>5462</v>
      </c>
      <c r="AD2902" s="1" t="s">
        <v>6601</v>
      </c>
      <c r="AE2902" s="1" t="s">
        <v>5462</v>
      </c>
      <c r="AF2902" s="1" t="s">
        <v>6656</v>
      </c>
      <c r="AG2902" s="1" t="s">
        <v>53</v>
      </c>
      <c r="AH2902" s="1" t="s">
        <v>49</v>
      </c>
      <c r="AI2902" s="1" t="s">
        <v>54</v>
      </c>
      <c r="AJ2902" s="1">
        <v>1</v>
      </c>
      <c r="AK2902" s="1" t="str">
        <f t="shared" si="45"/>
        <v xml:space="preserve"> =&lt;90</v>
      </c>
      <c r="AL2902" s="1" t="e">
        <f>VLOOKUP(C:C,[1]基础信息!B$1:D$65536,3,0)</f>
        <v>#N/A</v>
      </c>
      <c r="AM2902" s="1" t="e">
        <f>VLOOKUP(C:C,[1]基础信息!B$1:E$65536,4,0)</f>
        <v>#N/A</v>
      </c>
      <c r="AN2902" s="1" t="e">
        <f>VLOOKUP(C:C,[1]基础信息!B$1:F$65536,5,0)</f>
        <v>#N/A</v>
      </c>
    </row>
    <row r="2903" spans="1:40">
      <c r="A2903" s="1" t="s">
        <v>41</v>
      </c>
      <c r="B2903" s="1" t="s">
        <v>42</v>
      </c>
      <c r="C2903" s="1" t="s">
        <v>5154</v>
      </c>
      <c r="D2903" s="1" t="s">
        <v>5155</v>
      </c>
      <c r="E2903" s="1" t="s">
        <v>45</v>
      </c>
      <c r="F2903" s="1" t="s">
        <v>6653</v>
      </c>
      <c r="G2903" s="1" t="s">
        <v>6657</v>
      </c>
      <c r="H2903" s="1" t="s">
        <v>6658</v>
      </c>
      <c r="I2903" s="1" t="s">
        <v>49</v>
      </c>
      <c r="J2903" s="1" t="s">
        <v>48</v>
      </c>
      <c r="K2903" s="1">
        <v>270</v>
      </c>
      <c r="L2903" s="1">
        <v>0</v>
      </c>
      <c r="M2903" s="1">
        <v>0</v>
      </c>
      <c r="N2903" s="1">
        <v>270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 t="s">
        <v>49</v>
      </c>
      <c r="AA2903" s="1" t="s">
        <v>49</v>
      </c>
      <c r="AB2903" s="1" t="s">
        <v>49</v>
      </c>
      <c r="AC2903" s="1" t="s">
        <v>5462</v>
      </c>
      <c r="AD2903" s="1" t="s">
        <v>6601</v>
      </c>
      <c r="AE2903" s="1" t="s">
        <v>5462</v>
      </c>
      <c r="AF2903" s="1" t="s">
        <v>6656</v>
      </c>
      <c r="AG2903" s="1" t="s">
        <v>53</v>
      </c>
      <c r="AH2903" s="1" t="s">
        <v>49</v>
      </c>
      <c r="AI2903" s="1" t="s">
        <v>54</v>
      </c>
      <c r="AJ2903" s="1">
        <v>1</v>
      </c>
      <c r="AK2903" s="1" t="str">
        <f t="shared" si="45"/>
        <v xml:space="preserve"> =&lt;90</v>
      </c>
      <c r="AL2903" s="1" t="e">
        <f>VLOOKUP(C:C,[1]基础信息!B$1:D$65536,3,0)</f>
        <v>#N/A</v>
      </c>
      <c r="AM2903" s="1" t="e">
        <f>VLOOKUP(C:C,[1]基础信息!B$1:E$65536,4,0)</f>
        <v>#N/A</v>
      </c>
      <c r="AN2903" s="1" t="e">
        <f>VLOOKUP(C:C,[1]基础信息!B$1:F$65536,5,0)</f>
        <v>#N/A</v>
      </c>
    </row>
    <row r="2904" spans="1:40">
      <c r="A2904" s="1" t="s">
        <v>41</v>
      </c>
      <c r="B2904" s="1" t="s">
        <v>42</v>
      </c>
      <c r="C2904" s="1" t="s">
        <v>5154</v>
      </c>
      <c r="D2904" s="1" t="s">
        <v>5155</v>
      </c>
      <c r="E2904" s="1" t="s">
        <v>45</v>
      </c>
      <c r="F2904" s="1" t="s">
        <v>6653</v>
      </c>
      <c r="G2904" s="1" t="s">
        <v>6659</v>
      </c>
      <c r="H2904" s="1" t="s">
        <v>6660</v>
      </c>
      <c r="I2904" s="1" t="s">
        <v>49</v>
      </c>
      <c r="J2904" s="1" t="s">
        <v>48</v>
      </c>
      <c r="K2904" s="1">
        <v>270</v>
      </c>
      <c r="L2904" s="1">
        <v>0</v>
      </c>
      <c r="M2904" s="1">
        <v>0</v>
      </c>
      <c r="N2904" s="1">
        <v>270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 t="s">
        <v>49</v>
      </c>
      <c r="AA2904" s="1" t="s">
        <v>49</v>
      </c>
      <c r="AB2904" s="1" t="s">
        <v>49</v>
      </c>
      <c r="AC2904" s="1" t="s">
        <v>5462</v>
      </c>
      <c r="AD2904" s="1" t="s">
        <v>6601</v>
      </c>
      <c r="AE2904" s="1" t="s">
        <v>5462</v>
      </c>
      <c r="AF2904" s="1" t="s">
        <v>6656</v>
      </c>
      <c r="AG2904" s="1" t="s">
        <v>53</v>
      </c>
      <c r="AH2904" s="1" t="s">
        <v>49</v>
      </c>
      <c r="AI2904" s="1" t="s">
        <v>54</v>
      </c>
      <c r="AJ2904" s="1">
        <v>1</v>
      </c>
      <c r="AK2904" s="1" t="str">
        <f t="shared" si="45"/>
        <v xml:space="preserve"> =&lt;90</v>
      </c>
      <c r="AL2904" s="1" t="e">
        <f>VLOOKUP(C:C,[1]基础信息!B$1:D$65536,3,0)</f>
        <v>#N/A</v>
      </c>
      <c r="AM2904" s="1" t="e">
        <f>VLOOKUP(C:C,[1]基础信息!B$1:E$65536,4,0)</f>
        <v>#N/A</v>
      </c>
      <c r="AN2904" s="1" t="e">
        <f>VLOOKUP(C:C,[1]基础信息!B$1:F$65536,5,0)</f>
        <v>#N/A</v>
      </c>
    </row>
    <row r="2905" spans="1:40">
      <c r="A2905" s="1" t="s">
        <v>41</v>
      </c>
      <c r="B2905" s="1" t="s">
        <v>42</v>
      </c>
      <c r="C2905" s="1" t="s">
        <v>5154</v>
      </c>
      <c r="D2905" s="1" t="s">
        <v>5155</v>
      </c>
      <c r="E2905" s="1" t="s">
        <v>45</v>
      </c>
      <c r="F2905" s="1" t="s">
        <v>6653</v>
      </c>
      <c r="G2905" s="1" t="s">
        <v>6661</v>
      </c>
      <c r="H2905" s="1" t="s">
        <v>6662</v>
      </c>
      <c r="I2905" s="1" t="s">
        <v>49</v>
      </c>
      <c r="J2905" s="1" t="s">
        <v>48</v>
      </c>
      <c r="K2905" s="1">
        <v>270</v>
      </c>
      <c r="L2905" s="1">
        <v>0</v>
      </c>
      <c r="M2905" s="1">
        <v>0</v>
      </c>
      <c r="N2905" s="1">
        <v>270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 t="s">
        <v>49</v>
      </c>
      <c r="AA2905" s="1" t="s">
        <v>49</v>
      </c>
      <c r="AB2905" s="1" t="s">
        <v>49</v>
      </c>
      <c r="AC2905" s="1" t="s">
        <v>5462</v>
      </c>
      <c r="AD2905" s="1" t="s">
        <v>6601</v>
      </c>
      <c r="AE2905" s="1" t="s">
        <v>5462</v>
      </c>
      <c r="AF2905" s="1" t="s">
        <v>6656</v>
      </c>
      <c r="AG2905" s="1" t="s">
        <v>53</v>
      </c>
      <c r="AH2905" s="1" t="s">
        <v>49</v>
      </c>
      <c r="AI2905" s="1" t="s">
        <v>54</v>
      </c>
      <c r="AJ2905" s="1">
        <v>1</v>
      </c>
      <c r="AK2905" s="1" t="str">
        <f t="shared" si="45"/>
        <v xml:space="preserve"> =&lt;90</v>
      </c>
      <c r="AL2905" s="1" t="e">
        <f>VLOOKUP(C:C,[1]基础信息!B$1:D$65536,3,0)</f>
        <v>#N/A</v>
      </c>
      <c r="AM2905" s="1" t="e">
        <f>VLOOKUP(C:C,[1]基础信息!B$1:E$65536,4,0)</f>
        <v>#N/A</v>
      </c>
      <c r="AN2905" s="1" t="e">
        <f>VLOOKUP(C:C,[1]基础信息!B$1:F$65536,5,0)</f>
        <v>#N/A</v>
      </c>
    </row>
    <row r="2906" spans="1:40">
      <c r="A2906" s="1" t="s">
        <v>41</v>
      </c>
      <c r="B2906" s="1" t="s">
        <v>42</v>
      </c>
      <c r="C2906" s="1" t="s">
        <v>5154</v>
      </c>
      <c r="D2906" s="1" t="s">
        <v>5155</v>
      </c>
      <c r="E2906" s="1" t="s">
        <v>45</v>
      </c>
      <c r="F2906" s="1" t="s">
        <v>6653</v>
      </c>
      <c r="G2906" s="1" t="s">
        <v>6663</v>
      </c>
      <c r="H2906" s="1" t="s">
        <v>6664</v>
      </c>
      <c r="I2906" s="1" t="s">
        <v>49</v>
      </c>
      <c r="J2906" s="1" t="s">
        <v>48</v>
      </c>
      <c r="K2906" s="1">
        <v>270</v>
      </c>
      <c r="L2906" s="1">
        <v>0</v>
      </c>
      <c r="M2906" s="1">
        <v>0</v>
      </c>
      <c r="N2906" s="1">
        <v>270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 t="s">
        <v>49</v>
      </c>
      <c r="AA2906" s="1" t="s">
        <v>49</v>
      </c>
      <c r="AB2906" s="1" t="s">
        <v>49</v>
      </c>
      <c r="AC2906" s="1" t="s">
        <v>5462</v>
      </c>
      <c r="AD2906" s="1" t="s">
        <v>6601</v>
      </c>
      <c r="AE2906" s="1" t="s">
        <v>5462</v>
      </c>
      <c r="AF2906" s="1" t="s">
        <v>6656</v>
      </c>
      <c r="AG2906" s="1" t="s">
        <v>53</v>
      </c>
      <c r="AH2906" s="1" t="s">
        <v>49</v>
      </c>
      <c r="AI2906" s="1" t="s">
        <v>54</v>
      </c>
      <c r="AJ2906" s="1">
        <v>1</v>
      </c>
      <c r="AK2906" s="1" t="str">
        <f t="shared" si="45"/>
        <v xml:space="preserve"> =&lt;90</v>
      </c>
      <c r="AL2906" s="1" t="e">
        <f>VLOOKUP(C:C,[1]基础信息!B$1:D$65536,3,0)</f>
        <v>#N/A</v>
      </c>
      <c r="AM2906" s="1" t="e">
        <f>VLOOKUP(C:C,[1]基础信息!B$1:E$65536,4,0)</f>
        <v>#N/A</v>
      </c>
      <c r="AN2906" s="1" t="e">
        <f>VLOOKUP(C:C,[1]基础信息!B$1:F$65536,5,0)</f>
        <v>#N/A</v>
      </c>
    </row>
    <row r="2907" spans="1:40">
      <c r="A2907" s="1" t="s">
        <v>41</v>
      </c>
      <c r="B2907" s="1" t="s">
        <v>42</v>
      </c>
      <c r="C2907" s="1" t="s">
        <v>4352</v>
      </c>
      <c r="D2907" s="1" t="s">
        <v>4353</v>
      </c>
      <c r="E2907" s="1" t="s">
        <v>45</v>
      </c>
      <c r="F2907" s="1" t="s">
        <v>6665</v>
      </c>
      <c r="G2907" s="1" t="s">
        <v>6666</v>
      </c>
      <c r="H2907" s="1" t="s">
        <v>6667</v>
      </c>
      <c r="I2907" s="1" t="s">
        <v>49</v>
      </c>
      <c r="J2907" s="1" t="s">
        <v>48</v>
      </c>
      <c r="K2907" s="1">
        <v>336</v>
      </c>
      <c r="L2907" s="1">
        <v>0</v>
      </c>
      <c r="M2907" s="1">
        <v>0</v>
      </c>
      <c r="N2907" s="1">
        <v>336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 t="s">
        <v>49</v>
      </c>
      <c r="AA2907" s="1" t="s">
        <v>49</v>
      </c>
      <c r="AB2907" s="1" t="s">
        <v>49</v>
      </c>
      <c r="AC2907" s="1" t="s">
        <v>5462</v>
      </c>
      <c r="AD2907" s="1" t="s">
        <v>6601</v>
      </c>
      <c r="AE2907" s="1" t="s">
        <v>204</v>
      </c>
      <c r="AF2907" s="1" t="s">
        <v>5799</v>
      </c>
      <c r="AG2907" s="1" t="s">
        <v>53</v>
      </c>
      <c r="AH2907" s="1" t="s">
        <v>49</v>
      </c>
      <c r="AI2907" s="1" t="s">
        <v>54</v>
      </c>
      <c r="AJ2907" s="1">
        <v>1</v>
      </c>
      <c r="AK2907" s="1" t="str">
        <f t="shared" si="45"/>
        <v xml:space="preserve"> =&lt;90</v>
      </c>
      <c r="AL2907" s="1" t="e">
        <f>VLOOKUP(C:C,[1]基础信息!B$1:D$65536,3,0)</f>
        <v>#N/A</v>
      </c>
      <c r="AM2907" s="1" t="e">
        <f>VLOOKUP(C:C,[1]基础信息!B$1:E$65536,4,0)</f>
        <v>#N/A</v>
      </c>
      <c r="AN2907" s="1" t="e">
        <f>VLOOKUP(C:C,[1]基础信息!B$1:F$65536,5,0)</f>
        <v>#N/A</v>
      </c>
    </row>
    <row r="2908" spans="1:40">
      <c r="A2908" s="1" t="s">
        <v>41</v>
      </c>
      <c r="B2908" s="1" t="s">
        <v>42</v>
      </c>
      <c r="C2908" s="1" t="s">
        <v>4352</v>
      </c>
      <c r="D2908" s="1" t="s">
        <v>4353</v>
      </c>
      <c r="E2908" s="1" t="s">
        <v>45</v>
      </c>
      <c r="F2908" s="1" t="s">
        <v>6665</v>
      </c>
      <c r="G2908" s="1" t="s">
        <v>6668</v>
      </c>
      <c r="H2908" s="1" t="s">
        <v>6669</v>
      </c>
      <c r="I2908" s="1" t="s">
        <v>49</v>
      </c>
      <c r="J2908" s="1" t="s">
        <v>48</v>
      </c>
      <c r="K2908" s="1">
        <v>336</v>
      </c>
      <c r="L2908" s="1">
        <v>0</v>
      </c>
      <c r="M2908" s="1">
        <v>0</v>
      </c>
      <c r="N2908" s="1">
        <v>336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 t="s">
        <v>49</v>
      </c>
      <c r="AA2908" s="1" t="s">
        <v>49</v>
      </c>
      <c r="AB2908" s="1" t="s">
        <v>49</v>
      </c>
      <c r="AC2908" s="1" t="s">
        <v>5462</v>
      </c>
      <c r="AD2908" s="1" t="s">
        <v>6601</v>
      </c>
      <c r="AE2908" s="1" t="s">
        <v>204</v>
      </c>
      <c r="AF2908" s="1" t="s">
        <v>5799</v>
      </c>
      <c r="AG2908" s="1" t="s">
        <v>53</v>
      </c>
      <c r="AH2908" s="1" t="s">
        <v>49</v>
      </c>
      <c r="AI2908" s="1" t="s">
        <v>54</v>
      </c>
      <c r="AJ2908" s="1">
        <v>1</v>
      </c>
      <c r="AK2908" s="1" t="str">
        <f t="shared" si="45"/>
        <v xml:space="preserve"> =&lt;90</v>
      </c>
      <c r="AL2908" s="1" t="e">
        <f>VLOOKUP(C:C,[1]基础信息!B$1:D$65536,3,0)</f>
        <v>#N/A</v>
      </c>
      <c r="AM2908" s="1" t="e">
        <f>VLOOKUP(C:C,[1]基础信息!B$1:E$65536,4,0)</f>
        <v>#N/A</v>
      </c>
      <c r="AN2908" s="1" t="e">
        <f>VLOOKUP(C:C,[1]基础信息!B$1:F$65536,5,0)</f>
        <v>#N/A</v>
      </c>
    </row>
    <row r="2909" spans="1:40">
      <c r="A2909" s="1" t="s">
        <v>41</v>
      </c>
      <c r="B2909" s="1" t="s">
        <v>42</v>
      </c>
      <c r="C2909" s="1" t="s">
        <v>4352</v>
      </c>
      <c r="D2909" s="1" t="s">
        <v>4353</v>
      </c>
      <c r="E2909" s="1" t="s">
        <v>45</v>
      </c>
      <c r="F2909" s="1" t="s">
        <v>6665</v>
      </c>
      <c r="G2909" s="1" t="s">
        <v>6670</v>
      </c>
      <c r="H2909" s="1" t="s">
        <v>6671</v>
      </c>
      <c r="I2909" s="1" t="s">
        <v>49</v>
      </c>
      <c r="J2909" s="1" t="s">
        <v>48</v>
      </c>
      <c r="K2909" s="1">
        <v>336</v>
      </c>
      <c r="L2909" s="1">
        <v>0</v>
      </c>
      <c r="M2909" s="1">
        <v>0</v>
      </c>
      <c r="N2909" s="1">
        <v>336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 t="s">
        <v>49</v>
      </c>
      <c r="AA2909" s="1" t="s">
        <v>49</v>
      </c>
      <c r="AB2909" s="1" t="s">
        <v>49</v>
      </c>
      <c r="AC2909" s="1" t="s">
        <v>5462</v>
      </c>
      <c r="AD2909" s="1" t="s">
        <v>6601</v>
      </c>
      <c r="AE2909" s="1" t="s">
        <v>204</v>
      </c>
      <c r="AF2909" s="1" t="s">
        <v>5799</v>
      </c>
      <c r="AG2909" s="1" t="s">
        <v>53</v>
      </c>
      <c r="AH2909" s="1" t="s">
        <v>49</v>
      </c>
      <c r="AI2909" s="1" t="s">
        <v>54</v>
      </c>
      <c r="AJ2909" s="1">
        <v>1</v>
      </c>
      <c r="AK2909" s="1" t="str">
        <f t="shared" si="45"/>
        <v xml:space="preserve"> =&lt;90</v>
      </c>
      <c r="AL2909" s="1" t="e">
        <f>VLOOKUP(C:C,[1]基础信息!B$1:D$65536,3,0)</f>
        <v>#N/A</v>
      </c>
      <c r="AM2909" s="1" t="e">
        <f>VLOOKUP(C:C,[1]基础信息!B$1:E$65536,4,0)</f>
        <v>#N/A</v>
      </c>
      <c r="AN2909" s="1" t="e">
        <f>VLOOKUP(C:C,[1]基础信息!B$1:F$65536,5,0)</f>
        <v>#N/A</v>
      </c>
    </row>
    <row r="2910" spans="1:40">
      <c r="A2910" s="1" t="s">
        <v>41</v>
      </c>
      <c r="B2910" s="1" t="s">
        <v>42</v>
      </c>
      <c r="C2910" s="1" t="s">
        <v>4352</v>
      </c>
      <c r="D2910" s="1" t="s">
        <v>4353</v>
      </c>
      <c r="E2910" s="1" t="s">
        <v>45</v>
      </c>
      <c r="F2910" s="1" t="s">
        <v>6665</v>
      </c>
      <c r="G2910" s="1" t="s">
        <v>6672</v>
      </c>
      <c r="H2910" s="1" t="s">
        <v>6673</v>
      </c>
      <c r="I2910" s="1" t="s">
        <v>49</v>
      </c>
      <c r="J2910" s="1" t="s">
        <v>48</v>
      </c>
      <c r="K2910" s="1">
        <v>336</v>
      </c>
      <c r="L2910" s="1">
        <v>0</v>
      </c>
      <c r="M2910" s="1">
        <v>0</v>
      </c>
      <c r="N2910" s="1">
        <v>336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 t="s">
        <v>49</v>
      </c>
      <c r="AA2910" s="1" t="s">
        <v>49</v>
      </c>
      <c r="AB2910" s="1" t="s">
        <v>49</v>
      </c>
      <c r="AC2910" s="1" t="s">
        <v>5462</v>
      </c>
      <c r="AD2910" s="1" t="s">
        <v>6601</v>
      </c>
      <c r="AE2910" s="1" t="s">
        <v>204</v>
      </c>
      <c r="AF2910" s="1" t="s">
        <v>5799</v>
      </c>
      <c r="AG2910" s="1" t="s">
        <v>53</v>
      </c>
      <c r="AH2910" s="1" t="s">
        <v>49</v>
      </c>
      <c r="AI2910" s="1" t="s">
        <v>54</v>
      </c>
      <c r="AJ2910" s="1">
        <v>1</v>
      </c>
      <c r="AK2910" s="1" t="str">
        <f t="shared" si="45"/>
        <v xml:space="preserve"> =&lt;90</v>
      </c>
      <c r="AL2910" s="1" t="e">
        <f>VLOOKUP(C:C,[1]基础信息!B$1:D$65536,3,0)</f>
        <v>#N/A</v>
      </c>
      <c r="AM2910" s="1" t="e">
        <f>VLOOKUP(C:C,[1]基础信息!B$1:E$65536,4,0)</f>
        <v>#N/A</v>
      </c>
      <c r="AN2910" s="1" t="e">
        <f>VLOOKUP(C:C,[1]基础信息!B$1:F$65536,5,0)</f>
        <v>#N/A</v>
      </c>
    </row>
    <row r="2911" spans="1:40">
      <c r="A2911" s="1" t="s">
        <v>41</v>
      </c>
      <c r="B2911" s="1" t="s">
        <v>42</v>
      </c>
      <c r="C2911" s="1" t="s">
        <v>4352</v>
      </c>
      <c r="D2911" s="1" t="s">
        <v>4353</v>
      </c>
      <c r="E2911" s="1" t="s">
        <v>45</v>
      </c>
      <c r="F2911" s="1" t="s">
        <v>6665</v>
      </c>
      <c r="G2911" s="1" t="s">
        <v>6674</v>
      </c>
      <c r="H2911" s="1" t="s">
        <v>6675</v>
      </c>
      <c r="I2911" s="1" t="s">
        <v>49</v>
      </c>
      <c r="J2911" s="1" t="s">
        <v>48</v>
      </c>
      <c r="K2911" s="1">
        <v>336</v>
      </c>
      <c r="L2911" s="1">
        <v>0</v>
      </c>
      <c r="M2911" s="1">
        <v>0</v>
      </c>
      <c r="N2911" s="1">
        <v>336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 t="s">
        <v>49</v>
      </c>
      <c r="AA2911" s="1" t="s">
        <v>49</v>
      </c>
      <c r="AB2911" s="1" t="s">
        <v>49</v>
      </c>
      <c r="AC2911" s="1" t="s">
        <v>5462</v>
      </c>
      <c r="AD2911" s="1" t="s">
        <v>6601</v>
      </c>
      <c r="AE2911" s="1" t="s">
        <v>204</v>
      </c>
      <c r="AF2911" s="1" t="s">
        <v>5799</v>
      </c>
      <c r="AG2911" s="1" t="s">
        <v>53</v>
      </c>
      <c r="AH2911" s="1" t="s">
        <v>49</v>
      </c>
      <c r="AI2911" s="1" t="s">
        <v>54</v>
      </c>
      <c r="AJ2911" s="1">
        <v>1</v>
      </c>
      <c r="AK2911" s="1" t="str">
        <f t="shared" si="45"/>
        <v xml:space="preserve"> =&lt;90</v>
      </c>
      <c r="AL2911" s="1" t="e">
        <f>VLOOKUP(C:C,[1]基础信息!B$1:D$65536,3,0)</f>
        <v>#N/A</v>
      </c>
      <c r="AM2911" s="1" t="e">
        <f>VLOOKUP(C:C,[1]基础信息!B$1:E$65536,4,0)</f>
        <v>#N/A</v>
      </c>
      <c r="AN2911" s="1" t="e">
        <f>VLOOKUP(C:C,[1]基础信息!B$1:F$65536,5,0)</f>
        <v>#N/A</v>
      </c>
    </row>
    <row r="2912" spans="1:40">
      <c r="A2912" s="1" t="s">
        <v>41</v>
      </c>
      <c r="B2912" s="1" t="s">
        <v>42</v>
      </c>
      <c r="C2912" s="1" t="s">
        <v>4216</v>
      </c>
      <c r="D2912" s="1" t="s">
        <v>4217</v>
      </c>
      <c r="E2912" s="1" t="s">
        <v>45</v>
      </c>
      <c r="F2912" s="1" t="s">
        <v>4218</v>
      </c>
      <c r="G2912" s="1" t="s">
        <v>6676</v>
      </c>
      <c r="H2912" s="1" t="s">
        <v>45</v>
      </c>
      <c r="I2912" s="1" t="s">
        <v>45</v>
      </c>
      <c r="J2912" s="1" t="s">
        <v>48</v>
      </c>
      <c r="K2912" s="1">
        <v>1</v>
      </c>
      <c r="L2912" s="1">
        <v>0</v>
      </c>
      <c r="M2912" s="1">
        <v>0</v>
      </c>
      <c r="N2912" s="1">
        <v>1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 t="s">
        <v>49</v>
      </c>
      <c r="AA2912" s="1" t="s">
        <v>49</v>
      </c>
      <c r="AB2912" s="1" t="s">
        <v>49</v>
      </c>
      <c r="AC2912" s="1" t="s">
        <v>4210</v>
      </c>
      <c r="AD2912" s="1" t="s">
        <v>4211</v>
      </c>
      <c r="AE2912" s="1" t="s">
        <v>4210</v>
      </c>
      <c r="AF2912" s="1" t="s">
        <v>4220</v>
      </c>
      <c r="AG2912" s="1" t="s">
        <v>338</v>
      </c>
      <c r="AH2912" s="1" t="s">
        <v>49</v>
      </c>
      <c r="AI2912" s="1" t="s">
        <v>54</v>
      </c>
      <c r="AJ2912" s="1">
        <v>1</v>
      </c>
      <c r="AK2912" s="1" t="str">
        <f t="shared" si="45"/>
        <v xml:space="preserve"> =&lt;90</v>
      </c>
      <c r="AL2912" s="1" t="str">
        <f>VLOOKUP(C:C,[1]基础信息!B$1:D$65536,3,0)</f>
        <v>Jug</v>
      </c>
      <c r="AM2912" s="1" t="str">
        <f>VLOOKUP(C:C,[1]基础信息!B$1:E$65536,4,0)</f>
        <v>Aluna</v>
      </c>
      <c r="AN2912" s="1" t="str">
        <f>VLOOKUP(C:C,[1]基础信息!B$1:F$65536,5,0)</f>
        <v>Blue</v>
      </c>
    </row>
    <row r="2913" spans="1:40">
      <c r="A2913" s="1" t="s">
        <v>41</v>
      </c>
      <c r="B2913" s="1" t="s">
        <v>42</v>
      </c>
      <c r="C2913" s="1" t="s">
        <v>4352</v>
      </c>
      <c r="D2913" s="1" t="s">
        <v>4353</v>
      </c>
      <c r="E2913" s="1" t="s">
        <v>45</v>
      </c>
      <c r="F2913" s="1" t="s">
        <v>6665</v>
      </c>
      <c r="G2913" s="1" t="s">
        <v>6677</v>
      </c>
      <c r="H2913" s="1" t="s">
        <v>6678</v>
      </c>
      <c r="I2913" s="1" t="s">
        <v>49</v>
      </c>
      <c r="J2913" s="1" t="s">
        <v>48</v>
      </c>
      <c r="K2913" s="1">
        <v>336</v>
      </c>
      <c r="L2913" s="1">
        <v>0</v>
      </c>
      <c r="M2913" s="1">
        <v>0</v>
      </c>
      <c r="N2913" s="1">
        <v>336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 t="s">
        <v>49</v>
      </c>
      <c r="AA2913" s="1" t="s">
        <v>49</v>
      </c>
      <c r="AB2913" s="1" t="s">
        <v>49</v>
      </c>
      <c r="AC2913" s="1" t="s">
        <v>5462</v>
      </c>
      <c r="AD2913" s="1" t="s">
        <v>6601</v>
      </c>
      <c r="AE2913" s="1" t="s">
        <v>204</v>
      </c>
      <c r="AF2913" s="1" t="s">
        <v>5799</v>
      </c>
      <c r="AG2913" s="1" t="s">
        <v>53</v>
      </c>
      <c r="AH2913" s="1" t="s">
        <v>49</v>
      </c>
      <c r="AI2913" s="1" t="s">
        <v>54</v>
      </c>
      <c r="AJ2913" s="1">
        <v>1</v>
      </c>
      <c r="AK2913" s="1" t="str">
        <f t="shared" si="45"/>
        <v xml:space="preserve"> =&lt;90</v>
      </c>
      <c r="AL2913" s="1" t="e">
        <f>VLOOKUP(C:C,[1]基础信息!B$1:D$65536,3,0)</f>
        <v>#N/A</v>
      </c>
      <c r="AM2913" s="1" t="e">
        <f>VLOOKUP(C:C,[1]基础信息!B$1:E$65536,4,0)</f>
        <v>#N/A</v>
      </c>
      <c r="AN2913" s="1" t="e">
        <f>VLOOKUP(C:C,[1]基础信息!B$1:F$65536,5,0)</f>
        <v>#N/A</v>
      </c>
    </row>
    <row r="2914" spans="1:40">
      <c r="A2914" s="1" t="s">
        <v>41</v>
      </c>
      <c r="B2914" s="1" t="s">
        <v>42</v>
      </c>
      <c r="C2914" s="1" t="s">
        <v>4352</v>
      </c>
      <c r="D2914" s="1" t="s">
        <v>4353</v>
      </c>
      <c r="E2914" s="1" t="s">
        <v>45</v>
      </c>
      <c r="F2914" s="1" t="s">
        <v>6665</v>
      </c>
      <c r="G2914" s="1" t="s">
        <v>6679</v>
      </c>
      <c r="H2914" s="1" t="s">
        <v>6680</v>
      </c>
      <c r="I2914" s="1" t="s">
        <v>49</v>
      </c>
      <c r="J2914" s="1" t="s">
        <v>48</v>
      </c>
      <c r="K2914" s="1">
        <v>336</v>
      </c>
      <c r="L2914" s="1">
        <v>0</v>
      </c>
      <c r="M2914" s="1">
        <v>0</v>
      </c>
      <c r="N2914" s="1">
        <v>336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 t="s">
        <v>49</v>
      </c>
      <c r="AA2914" s="1" t="s">
        <v>49</v>
      </c>
      <c r="AB2914" s="1" t="s">
        <v>49</v>
      </c>
      <c r="AC2914" s="1" t="s">
        <v>5462</v>
      </c>
      <c r="AD2914" s="1" t="s">
        <v>6601</v>
      </c>
      <c r="AE2914" s="1" t="s">
        <v>204</v>
      </c>
      <c r="AF2914" s="1" t="s">
        <v>5799</v>
      </c>
      <c r="AG2914" s="1" t="s">
        <v>53</v>
      </c>
      <c r="AH2914" s="1" t="s">
        <v>49</v>
      </c>
      <c r="AI2914" s="1" t="s">
        <v>54</v>
      </c>
      <c r="AJ2914" s="1">
        <v>1</v>
      </c>
      <c r="AK2914" s="1" t="str">
        <f t="shared" si="45"/>
        <v xml:space="preserve"> =&lt;90</v>
      </c>
      <c r="AL2914" s="1" t="e">
        <f>VLOOKUP(C:C,[1]基础信息!B$1:D$65536,3,0)</f>
        <v>#N/A</v>
      </c>
      <c r="AM2914" s="1" t="e">
        <f>VLOOKUP(C:C,[1]基础信息!B$1:E$65536,4,0)</f>
        <v>#N/A</v>
      </c>
      <c r="AN2914" s="1" t="e">
        <f>VLOOKUP(C:C,[1]基础信息!B$1:F$65536,5,0)</f>
        <v>#N/A</v>
      </c>
    </row>
    <row r="2915" spans="1:40">
      <c r="A2915" s="1" t="s">
        <v>41</v>
      </c>
      <c r="B2915" s="1" t="s">
        <v>42</v>
      </c>
      <c r="C2915" s="1" t="s">
        <v>4352</v>
      </c>
      <c r="D2915" s="1" t="s">
        <v>4353</v>
      </c>
      <c r="E2915" s="1" t="s">
        <v>45</v>
      </c>
      <c r="F2915" s="1" t="s">
        <v>6665</v>
      </c>
      <c r="G2915" s="1" t="s">
        <v>6681</v>
      </c>
      <c r="H2915" s="1" t="s">
        <v>6682</v>
      </c>
      <c r="I2915" s="1" t="s">
        <v>49</v>
      </c>
      <c r="J2915" s="1" t="s">
        <v>48</v>
      </c>
      <c r="K2915" s="1">
        <v>336</v>
      </c>
      <c r="L2915" s="1">
        <v>0</v>
      </c>
      <c r="M2915" s="1">
        <v>0</v>
      </c>
      <c r="N2915" s="1">
        <v>336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 t="s">
        <v>49</v>
      </c>
      <c r="AA2915" s="1" t="s">
        <v>49</v>
      </c>
      <c r="AB2915" s="1" t="s">
        <v>49</v>
      </c>
      <c r="AC2915" s="1" t="s">
        <v>5462</v>
      </c>
      <c r="AD2915" s="1" t="s">
        <v>6601</v>
      </c>
      <c r="AE2915" s="1" t="s">
        <v>204</v>
      </c>
      <c r="AF2915" s="1" t="s">
        <v>5799</v>
      </c>
      <c r="AG2915" s="1" t="s">
        <v>53</v>
      </c>
      <c r="AH2915" s="1" t="s">
        <v>49</v>
      </c>
      <c r="AI2915" s="1" t="s">
        <v>54</v>
      </c>
      <c r="AJ2915" s="1">
        <v>1</v>
      </c>
      <c r="AK2915" s="1" t="str">
        <f t="shared" si="45"/>
        <v xml:space="preserve"> =&lt;90</v>
      </c>
      <c r="AL2915" s="1" t="e">
        <f>VLOOKUP(C:C,[1]基础信息!B$1:D$65536,3,0)</f>
        <v>#N/A</v>
      </c>
      <c r="AM2915" s="1" t="e">
        <f>VLOOKUP(C:C,[1]基础信息!B$1:E$65536,4,0)</f>
        <v>#N/A</v>
      </c>
      <c r="AN2915" s="1" t="e">
        <f>VLOOKUP(C:C,[1]基础信息!B$1:F$65536,5,0)</f>
        <v>#N/A</v>
      </c>
    </row>
    <row r="2916" spans="1:40">
      <c r="A2916" s="1" t="s">
        <v>41</v>
      </c>
      <c r="B2916" s="1" t="s">
        <v>42</v>
      </c>
      <c r="C2916" s="1" t="s">
        <v>4352</v>
      </c>
      <c r="D2916" s="1" t="s">
        <v>4353</v>
      </c>
      <c r="E2916" s="1" t="s">
        <v>45</v>
      </c>
      <c r="F2916" s="1" t="s">
        <v>6665</v>
      </c>
      <c r="G2916" s="1" t="s">
        <v>6683</v>
      </c>
      <c r="H2916" s="1" t="s">
        <v>6684</v>
      </c>
      <c r="I2916" s="1" t="s">
        <v>49</v>
      </c>
      <c r="J2916" s="1" t="s">
        <v>48</v>
      </c>
      <c r="K2916" s="1">
        <v>336</v>
      </c>
      <c r="L2916" s="1">
        <v>0</v>
      </c>
      <c r="M2916" s="1">
        <v>0</v>
      </c>
      <c r="N2916" s="1">
        <v>336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 t="s">
        <v>49</v>
      </c>
      <c r="AA2916" s="1" t="s">
        <v>49</v>
      </c>
      <c r="AB2916" s="1" t="s">
        <v>49</v>
      </c>
      <c r="AC2916" s="1" t="s">
        <v>5462</v>
      </c>
      <c r="AD2916" s="1" t="s">
        <v>6601</v>
      </c>
      <c r="AE2916" s="1" t="s">
        <v>204</v>
      </c>
      <c r="AF2916" s="1" t="s">
        <v>5799</v>
      </c>
      <c r="AG2916" s="1" t="s">
        <v>53</v>
      </c>
      <c r="AH2916" s="1" t="s">
        <v>49</v>
      </c>
      <c r="AI2916" s="1" t="s">
        <v>54</v>
      </c>
      <c r="AJ2916" s="1">
        <v>1</v>
      </c>
      <c r="AK2916" s="1" t="str">
        <f t="shared" si="45"/>
        <v xml:space="preserve"> =&lt;90</v>
      </c>
      <c r="AL2916" s="1" t="e">
        <f>VLOOKUP(C:C,[1]基础信息!B$1:D$65536,3,0)</f>
        <v>#N/A</v>
      </c>
      <c r="AM2916" s="1" t="e">
        <f>VLOOKUP(C:C,[1]基础信息!B$1:E$65536,4,0)</f>
        <v>#N/A</v>
      </c>
      <c r="AN2916" s="1" t="e">
        <f>VLOOKUP(C:C,[1]基础信息!B$1:F$65536,5,0)</f>
        <v>#N/A</v>
      </c>
    </row>
    <row r="2917" spans="1:40">
      <c r="A2917" s="1" t="s">
        <v>41</v>
      </c>
      <c r="B2917" s="1" t="s">
        <v>42</v>
      </c>
      <c r="C2917" s="1" t="s">
        <v>4352</v>
      </c>
      <c r="D2917" s="1" t="s">
        <v>4353</v>
      </c>
      <c r="E2917" s="1" t="s">
        <v>45</v>
      </c>
      <c r="F2917" s="1" t="s">
        <v>6665</v>
      </c>
      <c r="G2917" s="1" t="s">
        <v>6685</v>
      </c>
      <c r="H2917" s="1" t="s">
        <v>6686</v>
      </c>
      <c r="I2917" s="1" t="s">
        <v>49</v>
      </c>
      <c r="J2917" s="1" t="s">
        <v>48</v>
      </c>
      <c r="K2917" s="1">
        <v>336</v>
      </c>
      <c r="L2917" s="1">
        <v>0</v>
      </c>
      <c r="M2917" s="1">
        <v>0</v>
      </c>
      <c r="N2917" s="1">
        <v>336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 t="s">
        <v>49</v>
      </c>
      <c r="AA2917" s="1" t="s">
        <v>49</v>
      </c>
      <c r="AB2917" s="1" t="s">
        <v>49</v>
      </c>
      <c r="AC2917" s="1" t="s">
        <v>5462</v>
      </c>
      <c r="AD2917" s="1" t="s">
        <v>6601</v>
      </c>
      <c r="AE2917" s="1" t="s">
        <v>204</v>
      </c>
      <c r="AF2917" s="1" t="s">
        <v>5799</v>
      </c>
      <c r="AG2917" s="1" t="s">
        <v>53</v>
      </c>
      <c r="AH2917" s="1" t="s">
        <v>49</v>
      </c>
      <c r="AI2917" s="1" t="s">
        <v>54</v>
      </c>
      <c r="AJ2917" s="1">
        <v>1</v>
      </c>
      <c r="AK2917" s="1" t="str">
        <f t="shared" si="45"/>
        <v xml:space="preserve"> =&lt;90</v>
      </c>
      <c r="AL2917" s="1" t="e">
        <f>VLOOKUP(C:C,[1]基础信息!B$1:D$65536,3,0)</f>
        <v>#N/A</v>
      </c>
      <c r="AM2917" s="1" t="e">
        <f>VLOOKUP(C:C,[1]基础信息!B$1:E$65536,4,0)</f>
        <v>#N/A</v>
      </c>
      <c r="AN2917" s="1" t="e">
        <f>VLOOKUP(C:C,[1]基础信息!B$1:F$65536,5,0)</f>
        <v>#N/A</v>
      </c>
    </row>
    <row r="2918" spans="1:40">
      <c r="A2918" s="1" t="s">
        <v>41</v>
      </c>
      <c r="B2918" s="1" t="s">
        <v>42</v>
      </c>
      <c r="C2918" s="1" t="s">
        <v>5154</v>
      </c>
      <c r="D2918" s="1" t="s">
        <v>5155</v>
      </c>
      <c r="E2918" s="1" t="s">
        <v>45</v>
      </c>
      <c r="F2918" s="1" t="s">
        <v>6687</v>
      </c>
      <c r="G2918" s="1" t="s">
        <v>6688</v>
      </c>
      <c r="H2918" s="1" t="s">
        <v>6689</v>
      </c>
      <c r="I2918" s="1" t="s">
        <v>49</v>
      </c>
      <c r="J2918" s="1" t="s">
        <v>48</v>
      </c>
      <c r="K2918" s="1">
        <v>270</v>
      </c>
      <c r="L2918" s="1">
        <v>0</v>
      </c>
      <c r="M2918" s="1">
        <v>0</v>
      </c>
      <c r="N2918" s="1">
        <v>270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 t="s">
        <v>49</v>
      </c>
      <c r="AA2918" s="1" t="s">
        <v>49</v>
      </c>
      <c r="AB2918" s="1" t="s">
        <v>49</v>
      </c>
      <c r="AC2918" s="1" t="s">
        <v>5462</v>
      </c>
      <c r="AD2918" s="1" t="s">
        <v>6601</v>
      </c>
      <c r="AE2918" s="1" t="s">
        <v>204</v>
      </c>
      <c r="AF2918" s="1" t="s">
        <v>6656</v>
      </c>
      <c r="AG2918" s="1" t="s">
        <v>53</v>
      </c>
      <c r="AH2918" s="1" t="s">
        <v>49</v>
      </c>
      <c r="AI2918" s="1" t="s">
        <v>54</v>
      </c>
      <c r="AJ2918" s="1">
        <v>1</v>
      </c>
      <c r="AK2918" s="1" t="str">
        <f t="shared" si="45"/>
        <v xml:space="preserve"> =&lt;90</v>
      </c>
      <c r="AL2918" s="1" t="e">
        <f>VLOOKUP(C:C,[1]基础信息!B$1:D$65536,3,0)</f>
        <v>#N/A</v>
      </c>
      <c r="AM2918" s="1" t="e">
        <f>VLOOKUP(C:C,[1]基础信息!B$1:E$65536,4,0)</f>
        <v>#N/A</v>
      </c>
      <c r="AN2918" s="1" t="e">
        <f>VLOOKUP(C:C,[1]基础信息!B$1:F$65536,5,0)</f>
        <v>#N/A</v>
      </c>
    </row>
    <row r="2919" spans="1:40">
      <c r="A2919" s="1" t="s">
        <v>41</v>
      </c>
      <c r="B2919" s="1" t="s">
        <v>42</v>
      </c>
      <c r="C2919" s="1" t="s">
        <v>5154</v>
      </c>
      <c r="D2919" s="1" t="s">
        <v>5155</v>
      </c>
      <c r="E2919" s="1" t="s">
        <v>45</v>
      </c>
      <c r="F2919" s="1" t="s">
        <v>6687</v>
      </c>
      <c r="G2919" s="1" t="s">
        <v>6690</v>
      </c>
      <c r="H2919" s="1" t="s">
        <v>6691</v>
      </c>
      <c r="I2919" s="1" t="s">
        <v>49</v>
      </c>
      <c r="J2919" s="1" t="s">
        <v>48</v>
      </c>
      <c r="K2919" s="1">
        <v>270</v>
      </c>
      <c r="L2919" s="1">
        <v>0</v>
      </c>
      <c r="M2919" s="1">
        <v>0</v>
      </c>
      <c r="N2919" s="1">
        <v>270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 t="s">
        <v>49</v>
      </c>
      <c r="AA2919" s="1" t="s">
        <v>49</v>
      </c>
      <c r="AB2919" s="1" t="s">
        <v>49</v>
      </c>
      <c r="AC2919" s="1" t="s">
        <v>5462</v>
      </c>
      <c r="AD2919" s="1" t="s">
        <v>6601</v>
      </c>
      <c r="AE2919" s="1" t="s">
        <v>204</v>
      </c>
      <c r="AF2919" s="1" t="s">
        <v>6656</v>
      </c>
      <c r="AG2919" s="1" t="s">
        <v>53</v>
      </c>
      <c r="AH2919" s="1" t="s">
        <v>49</v>
      </c>
      <c r="AI2919" s="1" t="s">
        <v>54</v>
      </c>
      <c r="AJ2919" s="1">
        <v>1</v>
      </c>
      <c r="AK2919" s="1" t="str">
        <f t="shared" si="45"/>
        <v xml:space="preserve"> =&lt;90</v>
      </c>
      <c r="AL2919" s="1" t="e">
        <f>VLOOKUP(C:C,[1]基础信息!B$1:D$65536,3,0)</f>
        <v>#N/A</v>
      </c>
      <c r="AM2919" s="1" t="e">
        <f>VLOOKUP(C:C,[1]基础信息!B$1:E$65536,4,0)</f>
        <v>#N/A</v>
      </c>
      <c r="AN2919" s="1" t="e">
        <f>VLOOKUP(C:C,[1]基础信息!B$1:F$65536,5,0)</f>
        <v>#N/A</v>
      </c>
    </row>
    <row r="2920" spans="1:40">
      <c r="A2920" s="1" t="s">
        <v>41</v>
      </c>
      <c r="B2920" s="1" t="s">
        <v>42</v>
      </c>
      <c r="C2920" s="1" t="s">
        <v>5154</v>
      </c>
      <c r="D2920" s="1" t="s">
        <v>5155</v>
      </c>
      <c r="E2920" s="1" t="s">
        <v>45</v>
      </c>
      <c r="F2920" s="1" t="s">
        <v>6687</v>
      </c>
      <c r="G2920" s="1" t="s">
        <v>6692</v>
      </c>
      <c r="H2920" s="1" t="s">
        <v>6693</v>
      </c>
      <c r="I2920" s="1" t="s">
        <v>49</v>
      </c>
      <c r="J2920" s="1" t="s">
        <v>48</v>
      </c>
      <c r="K2920" s="1">
        <v>270</v>
      </c>
      <c r="L2920" s="1">
        <v>0</v>
      </c>
      <c r="M2920" s="1">
        <v>0</v>
      </c>
      <c r="N2920" s="1">
        <v>270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 t="s">
        <v>49</v>
      </c>
      <c r="AA2920" s="1" t="s">
        <v>49</v>
      </c>
      <c r="AB2920" s="1" t="s">
        <v>49</v>
      </c>
      <c r="AC2920" s="1" t="s">
        <v>5462</v>
      </c>
      <c r="AD2920" s="1" t="s">
        <v>6601</v>
      </c>
      <c r="AE2920" s="1" t="s">
        <v>204</v>
      </c>
      <c r="AF2920" s="1" t="s">
        <v>6656</v>
      </c>
      <c r="AG2920" s="1" t="s">
        <v>53</v>
      </c>
      <c r="AH2920" s="1" t="s">
        <v>49</v>
      </c>
      <c r="AI2920" s="1" t="s">
        <v>54</v>
      </c>
      <c r="AJ2920" s="1">
        <v>1</v>
      </c>
      <c r="AK2920" s="1" t="str">
        <f t="shared" si="45"/>
        <v xml:space="preserve"> =&lt;90</v>
      </c>
      <c r="AL2920" s="1" t="e">
        <f>VLOOKUP(C:C,[1]基础信息!B$1:D$65536,3,0)</f>
        <v>#N/A</v>
      </c>
      <c r="AM2920" s="1" t="e">
        <f>VLOOKUP(C:C,[1]基础信息!B$1:E$65536,4,0)</f>
        <v>#N/A</v>
      </c>
      <c r="AN2920" s="1" t="e">
        <f>VLOOKUP(C:C,[1]基础信息!B$1:F$65536,5,0)</f>
        <v>#N/A</v>
      </c>
    </row>
    <row r="2921" spans="1:40">
      <c r="A2921" s="1" t="s">
        <v>41</v>
      </c>
      <c r="B2921" s="1" t="s">
        <v>42</v>
      </c>
      <c r="C2921" s="1" t="s">
        <v>1437</v>
      </c>
      <c r="D2921" s="1" t="s">
        <v>1438</v>
      </c>
      <c r="E2921" s="1" t="s">
        <v>45</v>
      </c>
      <c r="F2921" s="1" t="s">
        <v>6694</v>
      </c>
      <c r="G2921" s="1" t="s">
        <v>6695</v>
      </c>
      <c r="H2921" s="1" t="s">
        <v>45</v>
      </c>
      <c r="I2921" s="1" t="s">
        <v>45</v>
      </c>
      <c r="J2921" s="1" t="s">
        <v>48</v>
      </c>
      <c r="K2921" s="1">
        <v>352</v>
      </c>
      <c r="L2921" s="1">
        <v>0</v>
      </c>
      <c r="M2921" s="1">
        <v>0</v>
      </c>
      <c r="N2921" s="1">
        <v>352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 t="s">
        <v>49</v>
      </c>
      <c r="AA2921" s="1" t="s">
        <v>49</v>
      </c>
      <c r="AB2921" s="1" t="s">
        <v>49</v>
      </c>
      <c r="AC2921" s="1" t="s">
        <v>3836</v>
      </c>
      <c r="AD2921" s="1" t="s">
        <v>3837</v>
      </c>
      <c r="AE2921" s="1" t="s">
        <v>3836</v>
      </c>
      <c r="AF2921" s="1" t="s">
        <v>6696</v>
      </c>
      <c r="AG2921" s="1" t="s">
        <v>53</v>
      </c>
      <c r="AH2921" s="1" t="s">
        <v>49</v>
      </c>
      <c r="AI2921" s="1" t="s">
        <v>54</v>
      </c>
      <c r="AJ2921" s="1">
        <v>1</v>
      </c>
      <c r="AK2921" s="1" t="str">
        <f t="shared" si="45"/>
        <v xml:space="preserve"> =&lt;90</v>
      </c>
      <c r="AL2921" s="1" t="str">
        <f>VLOOKUP(C:C,[1]基础信息!B$1:D$65536,3,0)</f>
        <v>On tap</v>
      </c>
      <c r="AM2921" s="1" t="str">
        <f>VLOOKUP(C:C,[1]基础信息!B$1:E$65536,4,0)</f>
        <v>On tap</v>
      </c>
      <c r="AN2921" s="1" t="str">
        <f>VLOOKUP(C:C,[1]基础信息!B$1:F$65536,5,0)</f>
        <v>On tap</v>
      </c>
    </row>
    <row r="2922" spans="1:40">
      <c r="A2922" s="1" t="s">
        <v>41</v>
      </c>
      <c r="B2922" s="1" t="s">
        <v>42</v>
      </c>
      <c r="C2922" s="1" t="s">
        <v>5154</v>
      </c>
      <c r="D2922" s="1" t="s">
        <v>5155</v>
      </c>
      <c r="E2922" s="1" t="s">
        <v>45</v>
      </c>
      <c r="F2922" s="1" t="s">
        <v>6687</v>
      </c>
      <c r="G2922" s="1" t="s">
        <v>6697</v>
      </c>
      <c r="H2922" s="1" t="s">
        <v>6698</v>
      </c>
      <c r="I2922" s="1" t="s">
        <v>49</v>
      </c>
      <c r="J2922" s="1" t="s">
        <v>48</v>
      </c>
      <c r="K2922" s="1">
        <v>270</v>
      </c>
      <c r="L2922" s="1">
        <v>0</v>
      </c>
      <c r="M2922" s="1">
        <v>0</v>
      </c>
      <c r="N2922" s="1">
        <v>270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 t="s">
        <v>49</v>
      </c>
      <c r="AA2922" s="1" t="s">
        <v>49</v>
      </c>
      <c r="AB2922" s="1" t="s">
        <v>49</v>
      </c>
      <c r="AC2922" s="1" t="s">
        <v>5462</v>
      </c>
      <c r="AD2922" s="1" t="s">
        <v>6601</v>
      </c>
      <c r="AE2922" s="1" t="s">
        <v>204</v>
      </c>
      <c r="AF2922" s="1" t="s">
        <v>6656</v>
      </c>
      <c r="AG2922" s="1" t="s">
        <v>53</v>
      </c>
      <c r="AH2922" s="1" t="s">
        <v>49</v>
      </c>
      <c r="AI2922" s="1" t="s">
        <v>54</v>
      </c>
      <c r="AJ2922" s="1">
        <v>1</v>
      </c>
      <c r="AK2922" s="1" t="str">
        <f t="shared" si="45"/>
        <v xml:space="preserve"> =&lt;90</v>
      </c>
      <c r="AL2922" s="1" t="e">
        <f>VLOOKUP(C:C,[1]基础信息!B$1:D$65536,3,0)</f>
        <v>#N/A</v>
      </c>
      <c r="AM2922" s="1" t="e">
        <f>VLOOKUP(C:C,[1]基础信息!B$1:E$65536,4,0)</f>
        <v>#N/A</v>
      </c>
      <c r="AN2922" s="1" t="e">
        <f>VLOOKUP(C:C,[1]基础信息!B$1:F$65536,5,0)</f>
        <v>#N/A</v>
      </c>
    </row>
    <row r="2923" spans="1:40">
      <c r="A2923" s="1" t="s">
        <v>41</v>
      </c>
      <c r="B2923" s="1" t="s">
        <v>42</v>
      </c>
      <c r="C2923" s="1" t="s">
        <v>5154</v>
      </c>
      <c r="D2923" s="1" t="s">
        <v>5155</v>
      </c>
      <c r="E2923" s="1" t="s">
        <v>45</v>
      </c>
      <c r="F2923" s="1" t="s">
        <v>6687</v>
      </c>
      <c r="G2923" s="1" t="s">
        <v>6699</v>
      </c>
      <c r="H2923" s="1" t="s">
        <v>6700</v>
      </c>
      <c r="I2923" s="1" t="s">
        <v>49</v>
      </c>
      <c r="J2923" s="1" t="s">
        <v>48</v>
      </c>
      <c r="K2923" s="1">
        <v>270</v>
      </c>
      <c r="L2923" s="1">
        <v>0</v>
      </c>
      <c r="M2923" s="1">
        <v>0</v>
      </c>
      <c r="N2923" s="1">
        <v>270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 t="s">
        <v>49</v>
      </c>
      <c r="AA2923" s="1" t="s">
        <v>49</v>
      </c>
      <c r="AB2923" s="1" t="s">
        <v>49</v>
      </c>
      <c r="AC2923" s="1" t="s">
        <v>5462</v>
      </c>
      <c r="AD2923" s="1" t="s">
        <v>6601</v>
      </c>
      <c r="AE2923" s="1" t="s">
        <v>204</v>
      </c>
      <c r="AF2923" s="1" t="s">
        <v>6656</v>
      </c>
      <c r="AG2923" s="1" t="s">
        <v>53</v>
      </c>
      <c r="AH2923" s="1" t="s">
        <v>49</v>
      </c>
      <c r="AI2923" s="1" t="s">
        <v>54</v>
      </c>
      <c r="AJ2923" s="1">
        <v>1</v>
      </c>
      <c r="AK2923" s="1" t="str">
        <f t="shared" si="45"/>
        <v xml:space="preserve"> =&lt;90</v>
      </c>
      <c r="AL2923" s="1" t="e">
        <f>VLOOKUP(C:C,[1]基础信息!B$1:D$65536,3,0)</f>
        <v>#N/A</v>
      </c>
      <c r="AM2923" s="1" t="e">
        <f>VLOOKUP(C:C,[1]基础信息!B$1:E$65536,4,0)</f>
        <v>#N/A</v>
      </c>
      <c r="AN2923" s="1" t="e">
        <f>VLOOKUP(C:C,[1]基础信息!B$1:F$65536,5,0)</f>
        <v>#N/A</v>
      </c>
    </row>
    <row r="2924" spans="1:40">
      <c r="A2924" s="1" t="s">
        <v>41</v>
      </c>
      <c r="B2924" s="1" t="s">
        <v>42</v>
      </c>
      <c r="C2924" s="1" t="s">
        <v>5154</v>
      </c>
      <c r="D2924" s="1" t="s">
        <v>5155</v>
      </c>
      <c r="E2924" s="1" t="s">
        <v>45</v>
      </c>
      <c r="F2924" s="1" t="s">
        <v>6687</v>
      </c>
      <c r="G2924" s="1" t="s">
        <v>6701</v>
      </c>
      <c r="H2924" s="1" t="s">
        <v>6702</v>
      </c>
      <c r="I2924" s="1" t="s">
        <v>49</v>
      </c>
      <c r="J2924" s="1" t="s">
        <v>48</v>
      </c>
      <c r="K2924" s="1">
        <v>270</v>
      </c>
      <c r="L2924" s="1">
        <v>0</v>
      </c>
      <c r="M2924" s="1">
        <v>0</v>
      </c>
      <c r="N2924" s="1">
        <v>270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 t="s">
        <v>49</v>
      </c>
      <c r="AA2924" s="1" t="s">
        <v>49</v>
      </c>
      <c r="AB2924" s="1" t="s">
        <v>49</v>
      </c>
      <c r="AC2924" s="1" t="s">
        <v>5462</v>
      </c>
      <c r="AD2924" s="1" t="s">
        <v>6601</v>
      </c>
      <c r="AE2924" s="1" t="s">
        <v>204</v>
      </c>
      <c r="AF2924" s="1" t="s">
        <v>6656</v>
      </c>
      <c r="AG2924" s="1" t="s">
        <v>53</v>
      </c>
      <c r="AH2924" s="1" t="s">
        <v>49</v>
      </c>
      <c r="AI2924" s="1" t="s">
        <v>54</v>
      </c>
      <c r="AJ2924" s="1">
        <v>1</v>
      </c>
      <c r="AK2924" s="1" t="str">
        <f t="shared" si="45"/>
        <v xml:space="preserve"> =&lt;90</v>
      </c>
      <c r="AL2924" s="1" t="e">
        <f>VLOOKUP(C:C,[1]基础信息!B$1:D$65536,3,0)</f>
        <v>#N/A</v>
      </c>
      <c r="AM2924" s="1" t="e">
        <f>VLOOKUP(C:C,[1]基础信息!B$1:E$65536,4,0)</f>
        <v>#N/A</v>
      </c>
      <c r="AN2924" s="1" t="e">
        <f>VLOOKUP(C:C,[1]基础信息!B$1:F$65536,5,0)</f>
        <v>#N/A</v>
      </c>
    </row>
    <row r="2925" spans="1:40">
      <c r="A2925" s="1" t="s">
        <v>41</v>
      </c>
      <c r="B2925" s="1" t="s">
        <v>42</v>
      </c>
      <c r="C2925" s="1" t="s">
        <v>5154</v>
      </c>
      <c r="D2925" s="1" t="s">
        <v>5155</v>
      </c>
      <c r="E2925" s="1" t="s">
        <v>45</v>
      </c>
      <c r="F2925" s="1" t="s">
        <v>6687</v>
      </c>
      <c r="G2925" s="1" t="s">
        <v>6703</v>
      </c>
      <c r="H2925" s="1" t="s">
        <v>6704</v>
      </c>
      <c r="I2925" s="1" t="s">
        <v>49</v>
      </c>
      <c r="J2925" s="1" t="s">
        <v>48</v>
      </c>
      <c r="K2925" s="1">
        <v>270</v>
      </c>
      <c r="L2925" s="1">
        <v>0</v>
      </c>
      <c r="M2925" s="1">
        <v>0</v>
      </c>
      <c r="N2925" s="1">
        <v>270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 t="s">
        <v>49</v>
      </c>
      <c r="AA2925" s="1" t="s">
        <v>49</v>
      </c>
      <c r="AB2925" s="1" t="s">
        <v>49</v>
      </c>
      <c r="AC2925" s="1" t="s">
        <v>5462</v>
      </c>
      <c r="AD2925" s="1" t="s">
        <v>6601</v>
      </c>
      <c r="AE2925" s="1" t="s">
        <v>204</v>
      </c>
      <c r="AF2925" s="1" t="s">
        <v>6656</v>
      </c>
      <c r="AG2925" s="1" t="s">
        <v>53</v>
      </c>
      <c r="AH2925" s="1" t="s">
        <v>49</v>
      </c>
      <c r="AI2925" s="1" t="s">
        <v>54</v>
      </c>
      <c r="AJ2925" s="1">
        <v>1</v>
      </c>
      <c r="AK2925" s="1" t="str">
        <f t="shared" si="45"/>
        <v xml:space="preserve"> =&lt;90</v>
      </c>
      <c r="AL2925" s="1" t="e">
        <f>VLOOKUP(C:C,[1]基础信息!B$1:D$65536,3,0)</f>
        <v>#N/A</v>
      </c>
      <c r="AM2925" s="1" t="e">
        <f>VLOOKUP(C:C,[1]基础信息!B$1:E$65536,4,0)</f>
        <v>#N/A</v>
      </c>
      <c r="AN2925" s="1" t="e">
        <f>VLOOKUP(C:C,[1]基础信息!B$1:F$65536,5,0)</f>
        <v>#N/A</v>
      </c>
    </row>
    <row r="2926" spans="1:40">
      <c r="A2926" s="1" t="s">
        <v>41</v>
      </c>
      <c r="B2926" s="1" t="s">
        <v>42</v>
      </c>
      <c r="C2926" s="1" t="s">
        <v>5154</v>
      </c>
      <c r="D2926" s="1" t="s">
        <v>5155</v>
      </c>
      <c r="E2926" s="1" t="s">
        <v>45</v>
      </c>
      <c r="F2926" s="1" t="s">
        <v>6687</v>
      </c>
      <c r="G2926" s="1" t="s">
        <v>6705</v>
      </c>
      <c r="H2926" s="1" t="s">
        <v>6706</v>
      </c>
      <c r="I2926" s="1" t="s">
        <v>49</v>
      </c>
      <c r="J2926" s="1" t="s">
        <v>48</v>
      </c>
      <c r="K2926" s="1">
        <v>270</v>
      </c>
      <c r="L2926" s="1">
        <v>0</v>
      </c>
      <c r="M2926" s="1">
        <v>0</v>
      </c>
      <c r="N2926" s="1">
        <v>270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 t="s">
        <v>49</v>
      </c>
      <c r="AA2926" s="1" t="s">
        <v>49</v>
      </c>
      <c r="AB2926" s="1" t="s">
        <v>49</v>
      </c>
      <c r="AC2926" s="1" t="s">
        <v>5462</v>
      </c>
      <c r="AD2926" s="1" t="s">
        <v>6601</v>
      </c>
      <c r="AE2926" s="1" t="s">
        <v>204</v>
      </c>
      <c r="AF2926" s="1" t="s">
        <v>6656</v>
      </c>
      <c r="AG2926" s="1" t="s">
        <v>53</v>
      </c>
      <c r="AH2926" s="1" t="s">
        <v>49</v>
      </c>
      <c r="AI2926" s="1" t="s">
        <v>54</v>
      </c>
      <c r="AJ2926" s="1">
        <v>1</v>
      </c>
      <c r="AK2926" s="1" t="str">
        <f t="shared" si="45"/>
        <v xml:space="preserve"> =&lt;90</v>
      </c>
      <c r="AL2926" s="1" t="e">
        <f>VLOOKUP(C:C,[1]基础信息!B$1:D$65536,3,0)</f>
        <v>#N/A</v>
      </c>
      <c r="AM2926" s="1" t="e">
        <f>VLOOKUP(C:C,[1]基础信息!B$1:E$65536,4,0)</f>
        <v>#N/A</v>
      </c>
      <c r="AN2926" s="1" t="e">
        <f>VLOOKUP(C:C,[1]基础信息!B$1:F$65536,5,0)</f>
        <v>#N/A</v>
      </c>
    </row>
    <row r="2927" spans="1:40">
      <c r="A2927" s="1" t="s">
        <v>41</v>
      </c>
      <c r="B2927" s="1" t="s">
        <v>42</v>
      </c>
      <c r="C2927" s="1" t="s">
        <v>5154</v>
      </c>
      <c r="D2927" s="1" t="s">
        <v>5155</v>
      </c>
      <c r="E2927" s="1" t="s">
        <v>45</v>
      </c>
      <c r="F2927" s="1" t="s">
        <v>6687</v>
      </c>
      <c r="G2927" s="1" t="s">
        <v>6707</v>
      </c>
      <c r="H2927" s="1" t="s">
        <v>6708</v>
      </c>
      <c r="I2927" s="1" t="s">
        <v>49</v>
      </c>
      <c r="J2927" s="1" t="s">
        <v>48</v>
      </c>
      <c r="K2927" s="1">
        <v>270</v>
      </c>
      <c r="L2927" s="1">
        <v>0</v>
      </c>
      <c r="M2927" s="1">
        <v>0</v>
      </c>
      <c r="N2927" s="1">
        <v>270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 t="s">
        <v>49</v>
      </c>
      <c r="AA2927" s="1" t="s">
        <v>49</v>
      </c>
      <c r="AB2927" s="1" t="s">
        <v>49</v>
      </c>
      <c r="AC2927" s="1" t="s">
        <v>5462</v>
      </c>
      <c r="AD2927" s="1" t="s">
        <v>6601</v>
      </c>
      <c r="AE2927" s="1" t="s">
        <v>204</v>
      </c>
      <c r="AF2927" s="1" t="s">
        <v>6656</v>
      </c>
      <c r="AG2927" s="1" t="s">
        <v>53</v>
      </c>
      <c r="AH2927" s="1" t="s">
        <v>49</v>
      </c>
      <c r="AI2927" s="1" t="s">
        <v>54</v>
      </c>
      <c r="AJ2927" s="1">
        <v>1</v>
      </c>
      <c r="AK2927" s="1" t="str">
        <f t="shared" si="45"/>
        <v xml:space="preserve"> =&lt;90</v>
      </c>
      <c r="AL2927" s="1" t="e">
        <f>VLOOKUP(C:C,[1]基础信息!B$1:D$65536,3,0)</f>
        <v>#N/A</v>
      </c>
      <c r="AM2927" s="1" t="e">
        <f>VLOOKUP(C:C,[1]基础信息!B$1:E$65536,4,0)</f>
        <v>#N/A</v>
      </c>
      <c r="AN2927" s="1" t="e">
        <f>VLOOKUP(C:C,[1]基础信息!B$1:F$65536,5,0)</f>
        <v>#N/A</v>
      </c>
    </row>
    <row r="2928" spans="1:40">
      <c r="A2928" s="1" t="s">
        <v>41</v>
      </c>
      <c r="B2928" s="1" t="s">
        <v>42</v>
      </c>
      <c r="C2928" s="1" t="s">
        <v>5154</v>
      </c>
      <c r="D2928" s="1" t="s">
        <v>5155</v>
      </c>
      <c r="E2928" s="1" t="s">
        <v>45</v>
      </c>
      <c r="F2928" s="1" t="s">
        <v>6687</v>
      </c>
      <c r="G2928" s="1" t="s">
        <v>6709</v>
      </c>
      <c r="H2928" s="1" t="s">
        <v>6710</v>
      </c>
      <c r="I2928" s="1" t="s">
        <v>49</v>
      </c>
      <c r="J2928" s="1" t="s">
        <v>48</v>
      </c>
      <c r="K2928" s="1">
        <v>270</v>
      </c>
      <c r="L2928" s="1">
        <v>0</v>
      </c>
      <c r="M2928" s="1">
        <v>0</v>
      </c>
      <c r="N2928" s="1">
        <v>270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 t="s">
        <v>49</v>
      </c>
      <c r="AA2928" s="1" t="s">
        <v>49</v>
      </c>
      <c r="AB2928" s="1" t="s">
        <v>49</v>
      </c>
      <c r="AC2928" s="1" t="s">
        <v>5462</v>
      </c>
      <c r="AD2928" s="1" t="s">
        <v>6601</v>
      </c>
      <c r="AE2928" s="1" t="s">
        <v>204</v>
      </c>
      <c r="AF2928" s="1" t="s">
        <v>6656</v>
      </c>
      <c r="AG2928" s="1" t="s">
        <v>53</v>
      </c>
      <c r="AH2928" s="1" t="s">
        <v>49</v>
      </c>
      <c r="AI2928" s="1" t="s">
        <v>54</v>
      </c>
      <c r="AJ2928" s="1">
        <v>1</v>
      </c>
      <c r="AK2928" s="1" t="str">
        <f t="shared" si="45"/>
        <v xml:space="preserve"> =&lt;90</v>
      </c>
      <c r="AL2928" s="1" t="e">
        <f>VLOOKUP(C:C,[1]基础信息!B$1:D$65536,3,0)</f>
        <v>#N/A</v>
      </c>
      <c r="AM2928" s="1" t="e">
        <f>VLOOKUP(C:C,[1]基础信息!B$1:E$65536,4,0)</f>
        <v>#N/A</v>
      </c>
      <c r="AN2928" s="1" t="e">
        <f>VLOOKUP(C:C,[1]基础信息!B$1:F$65536,5,0)</f>
        <v>#N/A</v>
      </c>
    </row>
    <row r="2929" spans="1:40">
      <c r="A2929" s="1" t="s">
        <v>41</v>
      </c>
      <c r="B2929" s="1" t="s">
        <v>42</v>
      </c>
      <c r="C2929" s="1" t="s">
        <v>5154</v>
      </c>
      <c r="D2929" s="1" t="s">
        <v>5155</v>
      </c>
      <c r="E2929" s="1" t="s">
        <v>45</v>
      </c>
      <c r="F2929" s="1" t="s">
        <v>6687</v>
      </c>
      <c r="G2929" s="1" t="s">
        <v>6711</v>
      </c>
      <c r="H2929" s="1" t="s">
        <v>6712</v>
      </c>
      <c r="I2929" s="1" t="s">
        <v>49</v>
      </c>
      <c r="J2929" s="1" t="s">
        <v>48</v>
      </c>
      <c r="K2929" s="1">
        <v>270</v>
      </c>
      <c r="L2929" s="1">
        <v>0</v>
      </c>
      <c r="M2929" s="1">
        <v>0</v>
      </c>
      <c r="N2929" s="1">
        <v>270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 t="s">
        <v>49</v>
      </c>
      <c r="AA2929" s="1" t="s">
        <v>49</v>
      </c>
      <c r="AB2929" s="1" t="s">
        <v>49</v>
      </c>
      <c r="AC2929" s="1" t="s">
        <v>5462</v>
      </c>
      <c r="AD2929" s="1" t="s">
        <v>6601</v>
      </c>
      <c r="AE2929" s="1" t="s">
        <v>204</v>
      </c>
      <c r="AF2929" s="1" t="s">
        <v>6656</v>
      </c>
      <c r="AG2929" s="1" t="s">
        <v>53</v>
      </c>
      <c r="AH2929" s="1" t="s">
        <v>49</v>
      </c>
      <c r="AI2929" s="1" t="s">
        <v>54</v>
      </c>
      <c r="AJ2929" s="1">
        <v>1</v>
      </c>
      <c r="AK2929" s="1" t="str">
        <f t="shared" si="45"/>
        <v xml:space="preserve"> =&lt;90</v>
      </c>
      <c r="AL2929" s="1" t="e">
        <f>VLOOKUP(C:C,[1]基础信息!B$1:D$65536,3,0)</f>
        <v>#N/A</v>
      </c>
      <c r="AM2929" s="1" t="e">
        <f>VLOOKUP(C:C,[1]基础信息!B$1:E$65536,4,0)</f>
        <v>#N/A</v>
      </c>
      <c r="AN2929" s="1" t="e">
        <f>VLOOKUP(C:C,[1]基础信息!B$1:F$65536,5,0)</f>
        <v>#N/A</v>
      </c>
    </row>
    <row r="2930" spans="1:40">
      <c r="A2930" s="1" t="s">
        <v>41</v>
      </c>
      <c r="B2930" s="1" t="s">
        <v>42</v>
      </c>
      <c r="C2930" s="1" t="s">
        <v>5154</v>
      </c>
      <c r="D2930" s="1" t="s">
        <v>5155</v>
      </c>
      <c r="E2930" s="1" t="s">
        <v>45</v>
      </c>
      <c r="F2930" s="1" t="s">
        <v>6687</v>
      </c>
      <c r="G2930" s="1" t="s">
        <v>6713</v>
      </c>
      <c r="H2930" s="1" t="s">
        <v>6714</v>
      </c>
      <c r="I2930" s="1" t="s">
        <v>49</v>
      </c>
      <c r="J2930" s="1" t="s">
        <v>48</v>
      </c>
      <c r="K2930" s="1">
        <v>270</v>
      </c>
      <c r="L2930" s="1">
        <v>0</v>
      </c>
      <c r="M2930" s="1">
        <v>0</v>
      </c>
      <c r="N2930" s="1">
        <v>270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 t="s">
        <v>49</v>
      </c>
      <c r="AA2930" s="1" t="s">
        <v>49</v>
      </c>
      <c r="AB2930" s="1" t="s">
        <v>49</v>
      </c>
      <c r="AC2930" s="1" t="s">
        <v>5462</v>
      </c>
      <c r="AD2930" s="1" t="s">
        <v>6601</v>
      </c>
      <c r="AE2930" s="1" t="s">
        <v>204</v>
      </c>
      <c r="AF2930" s="1" t="s">
        <v>6656</v>
      </c>
      <c r="AG2930" s="1" t="s">
        <v>53</v>
      </c>
      <c r="AH2930" s="1" t="s">
        <v>49</v>
      </c>
      <c r="AI2930" s="1" t="s">
        <v>54</v>
      </c>
      <c r="AJ2930" s="1">
        <v>1</v>
      </c>
      <c r="AK2930" s="1" t="str">
        <f t="shared" si="45"/>
        <v xml:space="preserve"> =&lt;90</v>
      </c>
      <c r="AL2930" s="1" t="e">
        <f>VLOOKUP(C:C,[1]基础信息!B$1:D$65536,3,0)</f>
        <v>#N/A</v>
      </c>
      <c r="AM2930" s="1" t="e">
        <f>VLOOKUP(C:C,[1]基础信息!B$1:E$65536,4,0)</f>
        <v>#N/A</v>
      </c>
      <c r="AN2930" s="1" t="e">
        <f>VLOOKUP(C:C,[1]基础信息!B$1:F$65536,5,0)</f>
        <v>#N/A</v>
      </c>
    </row>
    <row r="2931" spans="1:40">
      <c r="A2931" s="1" t="s">
        <v>41</v>
      </c>
      <c r="B2931" s="1" t="s">
        <v>42</v>
      </c>
      <c r="C2931" s="1" t="s">
        <v>5154</v>
      </c>
      <c r="D2931" s="1" t="s">
        <v>5155</v>
      </c>
      <c r="E2931" s="1" t="s">
        <v>45</v>
      </c>
      <c r="F2931" s="1" t="s">
        <v>6687</v>
      </c>
      <c r="G2931" s="1" t="s">
        <v>6715</v>
      </c>
      <c r="H2931" s="1" t="s">
        <v>6716</v>
      </c>
      <c r="I2931" s="1" t="s">
        <v>49</v>
      </c>
      <c r="J2931" s="1" t="s">
        <v>48</v>
      </c>
      <c r="K2931" s="1">
        <v>270</v>
      </c>
      <c r="L2931" s="1">
        <v>0</v>
      </c>
      <c r="M2931" s="1">
        <v>0</v>
      </c>
      <c r="N2931" s="1">
        <v>270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 t="s">
        <v>49</v>
      </c>
      <c r="AA2931" s="1" t="s">
        <v>49</v>
      </c>
      <c r="AB2931" s="1" t="s">
        <v>49</v>
      </c>
      <c r="AC2931" s="1" t="s">
        <v>5462</v>
      </c>
      <c r="AD2931" s="1" t="s">
        <v>6601</v>
      </c>
      <c r="AE2931" s="1" t="s">
        <v>204</v>
      </c>
      <c r="AF2931" s="1" t="s">
        <v>6656</v>
      </c>
      <c r="AG2931" s="1" t="s">
        <v>53</v>
      </c>
      <c r="AH2931" s="1" t="s">
        <v>49</v>
      </c>
      <c r="AI2931" s="1" t="s">
        <v>54</v>
      </c>
      <c r="AJ2931" s="1">
        <v>1</v>
      </c>
      <c r="AK2931" s="1" t="str">
        <f t="shared" si="45"/>
        <v xml:space="preserve"> =&lt;90</v>
      </c>
      <c r="AL2931" s="1" t="e">
        <f>VLOOKUP(C:C,[1]基础信息!B$1:D$65536,3,0)</f>
        <v>#N/A</v>
      </c>
      <c r="AM2931" s="1" t="e">
        <f>VLOOKUP(C:C,[1]基础信息!B$1:E$65536,4,0)</f>
        <v>#N/A</v>
      </c>
      <c r="AN2931" s="1" t="e">
        <f>VLOOKUP(C:C,[1]基础信息!B$1:F$65536,5,0)</f>
        <v>#N/A</v>
      </c>
    </row>
    <row r="2932" spans="1:40">
      <c r="A2932" s="1" t="s">
        <v>41</v>
      </c>
      <c r="B2932" s="1" t="s">
        <v>42</v>
      </c>
      <c r="C2932" s="1" t="s">
        <v>5154</v>
      </c>
      <c r="D2932" s="1" t="s">
        <v>5155</v>
      </c>
      <c r="E2932" s="1" t="s">
        <v>45</v>
      </c>
      <c r="F2932" s="1" t="s">
        <v>6687</v>
      </c>
      <c r="G2932" s="1" t="s">
        <v>6717</v>
      </c>
      <c r="H2932" s="1" t="s">
        <v>6718</v>
      </c>
      <c r="I2932" s="1" t="s">
        <v>49</v>
      </c>
      <c r="J2932" s="1" t="s">
        <v>48</v>
      </c>
      <c r="K2932" s="1">
        <v>270</v>
      </c>
      <c r="L2932" s="1">
        <v>0</v>
      </c>
      <c r="M2932" s="1">
        <v>0</v>
      </c>
      <c r="N2932" s="1">
        <v>270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 t="s">
        <v>49</v>
      </c>
      <c r="AA2932" s="1" t="s">
        <v>49</v>
      </c>
      <c r="AB2932" s="1" t="s">
        <v>49</v>
      </c>
      <c r="AC2932" s="1" t="s">
        <v>5462</v>
      </c>
      <c r="AD2932" s="1" t="s">
        <v>6601</v>
      </c>
      <c r="AE2932" s="1" t="s">
        <v>204</v>
      </c>
      <c r="AF2932" s="1" t="s">
        <v>6656</v>
      </c>
      <c r="AG2932" s="1" t="s">
        <v>53</v>
      </c>
      <c r="AH2932" s="1" t="s">
        <v>49</v>
      </c>
      <c r="AI2932" s="1" t="s">
        <v>54</v>
      </c>
      <c r="AJ2932" s="1">
        <v>1</v>
      </c>
      <c r="AK2932" s="1" t="str">
        <f t="shared" si="45"/>
        <v xml:space="preserve"> =&lt;90</v>
      </c>
      <c r="AL2932" s="1" t="e">
        <f>VLOOKUP(C:C,[1]基础信息!B$1:D$65536,3,0)</f>
        <v>#N/A</v>
      </c>
      <c r="AM2932" s="1" t="e">
        <f>VLOOKUP(C:C,[1]基础信息!B$1:E$65536,4,0)</f>
        <v>#N/A</v>
      </c>
      <c r="AN2932" s="1" t="e">
        <f>VLOOKUP(C:C,[1]基础信息!B$1:F$65536,5,0)</f>
        <v>#N/A</v>
      </c>
    </row>
    <row r="2933" spans="1:40">
      <c r="A2933" s="1" t="s">
        <v>41</v>
      </c>
      <c r="B2933" s="1" t="s">
        <v>42</v>
      </c>
      <c r="C2933" s="1" t="s">
        <v>5154</v>
      </c>
      <c r="D2933" s="1" t="s">
        <v>5155</v>
      </c>
      <c r="E2933" s="1" t="s">
        <v>45</v>
      </c>
      <c r="F2933" s="1" t="s">
        <v>6687</v>
      </c>
      <c r="G2933" s="1" t="s">
        <v>6719</v>
      </c>
      <c r="H2933" s="1" t="s">
        <v>6720</v>
      </c>
      <c r="I2933" s="1" t="s">
        <v>49</v>
      </c>
      <c r="J2933" s="1" t="s">
        <v>48</v>
      </c>
      <c r="K2933" s="1">
        <v>270</v>
      </c>
      <c r="L2933" s="1">
        <v>0</v>
      </c>
      <c r="M2933" s="1">
        <v>0</v>
      </c>
      <c r="N2933" s="1">
        <v>270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 t="s">
        <v>49</v>
      </c>
      <c r="AA2933" s="1" t="s">
        <v>49</v>
      </c>
      <c r="AB2933" s="1" t="s">
        <v>49</v>
      </c>
      <c r="AC2933" s="1" t="s">
        <v>5462</v>
      </c>
      <c r="AD2933" s="1" t="s">
        <v>6601</v>
      </c>
      <c r="AE2933" s="1" t="s">
        <v>204</v>
      </c>
      <c r="AF2933" s="1" t="s">
        <v>6656</v>
      </c>
      <c r="AG2933" s="1" t="s">
        <v>53</v>
      </c>
      <c r="AH2933" s="1" t="s">
        <v>49</v>
      </c>
      <c r="AI2933" s="1" t="s">
        <v>54</v>
      </c>
      <c r="AJ2933" s="1">
        <v>1</v>
      </c>
      <c r="AK2933" s="1" t="str">
        <f t="shared" si="45"/>
        <v xml:space="preserve"> =&lt;90</v>
      </c>
      <c r="AL2933" s="1" t="e">
        <f>VLOOKUP(C:C,[1]基础信息!B$1:D$65536,3,0)</f>
        <v>#N/A</v>
      </c>
      <c r="AM2933" s="1" t="e">
        <f>VLOOKUP(C:C,[1]基础信息!B$1:E$65536,4,0)</f>
        <v>#N/A</v>
      </c>
      <c r="AN2933" s="1" t="e">
        <f>VLOOKUP(C:C,[1]基础信息!B$1:F$65536,5,0)</f>
        <v>#N/A</v>
      </c>
    </row>
    <row r="2934" spans="1:40">
      <c r="A2934" s="1" t="s">
        <v>41</v>
      </c>
      <c r="B2934" s="1" t="s">
        <v>42</v>
      </c>
      <c r="C2934" s="1" t="s">
        <v>5154</v>
      </c>
      <c r="D2934" s="1" t="s">
        <v>5155</v>
      </c>
      <c r="E2934" s="1" t="s">
        <v>45</v>
      </c>
      <c r="F2934" s="1" t="s">
        <v>6687</v>
      </c>
      <c r="G2934" s="1" t="s">
        <v>6721</v>
      </c>
      <c r="H2934" s="1" t="s">
        <v>6722</v>
      </c>
      <c r="I2934" s="1" t="s">
        <v>49</v>
      </c>
      <c r="J2934" s="1" t="s">
        <v>48</v>
      </c>
      <c r="K2934" s="1">
        <v>270</v>
      </c>
      <c r="L2934" s="1">
        <v>0</v>
      </c>
      <c r="M2934" s="1">
        <v>0</v>
      </c>
      <c r="N2934" s="1">
        <v>270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 t="s">
        <v>49</v>
      </c>
      <c r="AA2934" s="1" t="s">
        <v>49</v>
      </c>
      <c r="AB2934" s="1" t="s">
        <v>49</v>
      </c>
      <c r="AC2934" s="1" t="s">
        <v>5462</v>
      </c>
      <c r="AD2934" s="1" t="s">
        <v>6601</v>
      </c>
      <c r="AE2934" s="1" t="s">
        <v>204</v>
      </c>
      <c r="AF2934" s="1" t="s">
        <v>6656</v>
      </c>
      <c r="AG2934" s="1" t="s">
        <v>53</v>
      </c>
      <c r="AH2934" s="1" t="s">
        <v>49</v>
      </c>
      <c r="AI2934" s="1" t="s">
        <v>54</v>
      </c>
      <c r="AJ2934" s="1">
        <v>1</v>
      </c>
      <c r="AK2934" s="1" t="str">
        <f t="shared" si="45"/>
        <v xml:space="preserve"> =&lt;90</v>
      </c>
      <c r="AL2934" s="1" t="e">
        <f>VLOOKUP(C:C,[1]基础信息!B$1:D$65536,3,0)</f>
        <v>#N/A</v>
      </c>
      <c r="AM2934" s="1" t="e">
        <f>VLOOKUP(C:C,[1]基础信息!B$1:E$65536,4,0)</f>
        <v>#N/A</v>
      </c>
      <c r="AN2934" s="1" t="e">
        <f>VLOOKUP(C:C,[1]基础信息!B$1:F$65536,5,0)</f>
        <v>#N/A</v>
      </c>
    </row>
    <row r="2935" spans="1:40">
      <c r="A2935" s="1" t="s">
        <v>41</v>
      </c>
      <c r="B2935" s="1" t="s">
        <v>42</v>
      </c>
      <c r="C2935" s="1" t="s">
        <v>5154</v>
      </c>
      <c r="D2935" s="1" t="s">
        <v>5155</v>
      </c>
      <c r="E2935" s="1" t="s">
        <v>45</v>
      </c>
      <c r="F2935" s="1" t="s">
        <v>6687</v>
      </c>
      <c r="G2935" s="1" t="s">
        <v>6723</v>
      </c>
      <c r="H2935" s="1" t="s">
        <v>6724</v>
      </c>
      <c r="I2935" s="1" t="s">
        <v>49</v>
      </c>
      <c r="J2935" s="1" t="s">
        <v>48</v>
      </c>
      <c r="K2935" s="1">
        <v>270</v>
      </c>
      <c r="L2935" s="1">
        <v>0</v>
      </c>
      <c r="M2935" s="1">
        <v>0</v>
      </c>
      <c r="N2935" s="1">
        <v>270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 t="s">
        <v>49</v>
      </c>
      <c r="AA2935" s="1" t="s">
        <v>49</v>
      </c>
      <c r="AB2935" s="1" t="s">
        <v>49</v>
      </c>
      <c r="AC2935" s="1" t="s">
        <v>5462</v>
      </c>
      <c r="AD2935" s="1" t="s">
        <v>6601</v>
      </c>
      <c r="AE2935" s="1" t="s">
        <v>204</v>
      </c>
      <c r="AF2935" s="1" t="s">
        <v>6656</v>
      </c>
      <c r="AG2935" s="1" t="s">
        <v>53</v>
      </c>
      <c r="AH2935" s="1" t="s">
        <v>49</v>
      </c>
      <c r="AI2935" s="1" t="s">
        <v>54</v>
      </c>
      <c r="AJ2935" s="1">
        <v>1</v>
      </c>
      <c r="AK2935" s="1" t="str">
        <f t="shared" si="45"/>
        <v xml:space="preserve"> =&lt;90</v>
      </c>
      <c r="AL2935" s="1" t="e">
        <f>VLOOKUP(C:C,[1]基础信息!B$1:D$65536,3,0)</f>
        <v>#N/A</v>
      </c>
      <c r="AM2935" s="1" t="e">
        <f>VLOOKUP(C:C,[1]基础信息!B$1:E$65536,4,0)</f>
        <v>#N/A</v>
      </c>
      <c r="AN2935" s="1" t="e">
        <f>VLOOKUP(C:C,[1]基础信息!B$1:F$65536,5,0)</f>
        <v>#N/A</v>
      </c>
    </row>
    <row r="2936" spans="1:40">
      <c r="A2936" s="1" t="s">
        <v>41</v>
      </c>
      <c r="B2936" s="1" t="s">
        <v>42</v>
      </c>
      <c r="C2936" s="1" t="s">
        <v>6725</v>
      </c>
      <c r="D2936" s="1" t="s">
        <v>6726</v>
      </c>
      <c r="E2936" s="1" t="s">
        <v>45</v>
      </c>
      <c r="F2936" s="1" t="s">
        <v>6727</v>
      </c>
      <c r="G2936" s="1" t="s">
        <v>6728</v>
      </c>
      <c r="H2936" s="1" t="s">
        <v>45</v>
      </c>
      <c r="I2936" s="1" t="s">
        <v>45</v>
      </c>
      <c r="J2936" s="1" t="s">
        <v>48</v>
      </c>
      <c r="K2936" s="1">
        <v>1</v>
      </c>
      <c r="L2936" s="1">
        <v>0</v>
      </c>
      <c r="M2936" s="1">
        <v>0</v>
      </c>
      <c r="N2936" s="1">
        <v>1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 t="s">
        <v>49</v>
      </c>
      <c r="AA2936" s="1" t="s">
        <v>49</v>
      </c>
      <c r="AB2936" s="1" t="s">
        <v>49</v>
      </c>
      <c r="AC2936" s="1" t="s">
        <v>6468</v>
      </c>
      <c r="AD2936" s="1" t="s">
        <v>6469</v>
      </c>
      <c r="AE2936" s="1" t="s">
        <v>6729</v>
      </c>
      <c r="AF2936" s="1" t="s">
        <v>6730</v>
      </c>
      <c r="AG2936" s="1" t="s">
        <v>338</v>
      </c>
      <c r="AH2936" s="1" t="s">
        <v>49</v>
      </c>
      <c r="AI2936" s="1" t="s">
        <v>54</v>
      </c>
      <c r="AJ2936" s="1">
        <v>1</v>
      </c>
      <c r="AK2936" s="1" t="str">
        <f t="shared" si="45"/>
        <v xml:space="preserve"> =&lt;90</v>
      </c>
      <c r="AL2936" s="1" t="str">
        <f>VLOOKUP(C:C,[1]基础信息!B$1:D$65536,3,0)</f>
        <v>Jug</v>
      </c>
      <c r="AM2936" s="1" t="str">
        <f>VLOOKUP(C:C,[1]基础信息!B$1:E$65536,4,0)</f>
        <v>Style</v>
      </c>
      <c r="AN2936" s="1" t="str">
        <f>VLOOKUP(C:C,[1]基础信息!B$1:F$65536,5,0)</f>
        <v>Grey</v>
      </c>
    </row>
    <row r="2937" spans="1:40">
      <c r="A2937" s="1" t="s">
        <v>41</v>
      </c>
      <c r="B2937" s="1" t="s">
        <v>42</v>
      </c>
      <c r="C2937" s="1" t="s">
        <v>3971</v>
      </c>
      <c r="D2937" s="1" t="s">
        <v>3972</v>
      </c>
      <c r="E2937" s="1" t="s">
        <v>45</v>
      </c>
      <c r="F2937" s="1" t="s">
        <v>5602</v>
      </c>
      <c r="G2937" s="1" t="s">
        <v>6731</v>
      </c>
      <c r="H2937" s="1" t="s">
        <v>6732</v>
      </c>
      <c r="I2937" s="1" t="s">
        <v>49</v>
      </c>
      <c r="J2937" s="1" t="s">
        <v>48</v>
      </c>
      <c r="K2937" s="1">
        <v>96</v>
      </c>
      <c r="L2937" s="1">
        <v>0</v>
      </c>
      <c r="M2937" s="1">
        <v>0</v>
      </c>
      <c r="N2937" s="1">
        <v>96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 t="s">
        <v>49</v>
      </c>
      <c r="AA2937" s="1" t="s">
        <v>49</v>
      </c>
      <c r="AB2937" s="1" t="s">
        <v>49</v>
      </c>
      <c r="AC2937" s="1" t="s">
        <v>1008</v>
      </c>
      <c r="AD2937" s="1" t="s">
        <v>1009</v>
      </c>
      <c r="AE2937" s="1" t="s">
        <v>1008</v>
      </c>
      <c r="AF2937" s="1" t="s">
        <v>5605</v>
      </c>
      <c r="AG2937" s="1" t="s">
        <v>53</v>
      </c>
      <c r="AH2937" s="1" t="s">
        <v>49</v>
      </c>
      <c r="AI2937" s="1" t="s">
        <v>54</v>
      </c>
      <c r="AJ2937" s="1">
        <v>1</v>
      </c>
      <c r="AK2937" s="1" t="str">
        <f t="shared" si="45"/>
        <v xml:space="preserve"> =&lt;90</v>
      </c>
      <c r="AL2937" s="1" t="str">
        <f>VLOOKUP(C:C,[1]基础信息!B$1:D$65536,3,0)</f>
        <v>Jug</v>
      </c>
      <c r="AM2937" s="1" t="str">
        <f>VLOOKUP(C:C,[1]基础信息!B$1:E$65536,4,0)</f>
        <v>Mxplus</v>
      </c>
      <c r="AN2937" s="1" t="str">
        <f>VLOOKUP(C:C,[1]基础信息!B$1:F$65536,5,0)</f>
        <v xml:space="preserve"> lime</v>
      </c>
    </row>
    <row r="2938" spans="1:40">
      <c r="A2938" s="1" t="s">
        <v>41</v>
      </c>
      <c r="B2938" s="1" t="s">
        <v>42</v>
      </c>
      <c r="C2938" s="1" t="s">
        <v>5154</v>
      </c>
      <c r="D2938" s="1" t="s">
        <v>5155</v>
      </c>
      <c r="E2938" s="1" t="s">
        <v>45</v>
      </c>
      <c r="F2938" s="1" t="s">
        <v>6687</v>
      </c>
      <c r="G2938" s="1" t="s">
        <v>6733</v>
      </c>
      <c r="H2938" s="1" t="s">
        <v>6734</v>
      </c>
      <c r="I2938" s="1" t="s">
        <v>49</v>
      </c>
      <c r="J2938" s="1" t="s">
        <v>48</v>
      </c>
      <c r="K2938" s="1">
        <v>270</v>
      </c>
      <c r="L2938" s="1">
        <v>0</v>
      </c>
      <c r="M2938" s="1">
        <v>0</v>
      </c>
      <c r="N2938" s="1">
        <v>270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 t="s">
        <v>49</v>
      </c>
      <c r="AA2938" s="1" t="s">
        <v>49</v>
      </c>
      <c r="AB2938" s="1" t="s">
        <v>49</v>
      </c>
      <c r="AC2938" s="1" t="s">
        <v>5462</v>
      </c>
      <c r="AD2938" s="1" t="s">
        <v>6601</v>
      </c>
      <c r="AE2938" s="1" t="s">
        <v>204</v>
      </c>
      <c r="AF2938" s="1" t="s">
        <v>6656</v>
      </c>
      <c r="AG2938" s="1" t="s">
        <v>53</v>
      </c>
      <c r="AH2938" s="1" t="s">
        <v>49</v>
      </c>
      <c r="AI2938" s="1" t="s">
        <v>54</v>
      </c>
      <c r="AJ2938" s="1">
        <v>1</v>
      </c>
      <c r="AK2938" s="1" t="str">
        <f t="shared" si="45"/>
        <v xml:space="preserve"> =&lt;90</v>
      </c>
      <c r="AL2938" s="1" t="e">
        <f>VLOOKUP(C:C,[1]基础信息!B$1:D$65536,3,0)</f>
        <v>#N/A</v>
      </c>
      <c r="AM2938" s="1" t="e">
        <f>VLOOKUP(C:C,[1]基础信息!B$1:E$65536,4,0)</f>
        <v>#N/A</v>
      </c>
      <c r="AN2938" s="1" t="e">
        <f>VLOOKUP(C:C,[1]基础信息!B$1:F$65536,5,0)</f>
        <v>#N/A</v>
      </c>
    </row>
    <row r="2939" spans="1:40">
      <c r="A2939" s="1" t="s">
        <v>41</v>
      </c>
      <c r="B2939" s="1" t="s">
        <v>42</v>
      </c>
      <c r="C2939" s="1" t="s">
        <v>4258</v>
      </c>
      <c r="D2939" s="1" t="s">
        <v>4259</v>
      </c>
      <c r="E2939" s="1" t="s">
        <v>45</v>
      </c>
      <c r="F2939" s="1" t="s">
        <v>6735</v>
      </c>
      <c r="G2939" s="1" t="s">
        <v>6736</v>
      </c>
      <c r="H2939" s="1" t="s">
        <v>6737</v>
      </c>
      <c r="I2939" s="1" t="s">
        <v>49</v>
      </c>
      <c r="J2939" s="1" t="s">
        <v>48</v>
      </c>
      <c r="K2939" s="1">
        <v>216</v>
      </c>
      <c r="L2939" s="1">
        <v>0</v>
      </c>
      <c r="M2939" s="1">
        <v>0</v>
      </c>
      <c r="N2939" s="1">
        <v>216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 t="s">
        <v>49</v>
      </c>
      <c r="AA2939" s="1" t="s">
        <v>49</v>
      </c>
      <c r="AB2939" s="1" t="s">
        <v>49</v>
      </c>
      <c r="AC2939" s="1" t="s">
        <v>204</v>
      </c>
      <c r="AD2939" s="1" t="s">
        <v>205</v>
      </c>
      <c r="AE2939" s="1" t="s">
        <v>204</v>
      </c>
      <c r="AF2939" s="1" t="s">
        <v>2765</v>
      </c>
      <c r="AG2939" s="1" t="s">
        <v>53</v>
      </c>
      <c r="AH2939" s="1" t="s">
        <v>49</v>
      </c>
      <c r="AI2939" s="1" t="s">
        <v>54</v>
      </c>
      <c r="AJ2939" s="1">
        <v>1</v>
      </c>
      <c r="AK2939" s="1" t="str">
        <f t="shared" si="45"/>
        <v xml:space="preserve"> =&lt;90</v>
      </c>
      <c r="AL2939" s="1" t="e">
        <f>VLOOKUP(C:C,[1]基础信息!B$1:D$65536,3,0)</f>
        <v>#N/A</v>
      </c>
      <c r="AM2939" s="1" t="e">
        <f>VLOOKUP(C:C,[1]基础信息!B$1:E$65536,4,0)</f>
        <v>#N/A</v>
      </c>
      <c r="AN2939" s="1" t="e">
        <f>VLOOKUP(C:C,[1]基础信息!B$1:F$65536,5,0)</f>
        <v>#N/A</v>
      </c>
    </row>
    <row r="2940" spans="1:40">
      <c r="A2940" s="1" t="s">
        <v>41</v>
      </c>
      <c r="B2940" s="1" t="s">
        <v>42</v>
      </c>
      <c r="C2940" s="1" t="s">
        <v>4258</v>
      </c>
      <c r="D2940" s="1" t="s">
        <v>4259</v>
      </c>
      <c r="E2940" s="1" t="s">
        <v>45</v>
      </c>
      <c r="F2940" s="1" t="s">
        <v>6735</v>
      </c>
      <c r="G2940" s="1" t="s">
        <v>6738</v>
      </c>
      <c r="H2940" s="1" t="s">
        <v>6739</v>
      </c>
      <c r="I2940" s="1" t="s">
        <v>49</v>
      </c>
      <c r="J2940" s="1" t="s">
        <v>48</v>
      </c>
      <c r="K2940" s="1">
        <v>216</v>
      </c>
      <c r="L2940" s="1">
        <v>0</v>
      </c>
      <c r="M2940" s="1">
        <v>0</v>
      </c>
      <c r="N2940" s="1">
        <v>216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 t="s">
        <v>49</v>
      </c>
      <c r="AA2940" s="1" t="s">
        <v>49</v>
      </c>
      <c r="AB2940" s="1" t="s">
        <v>49</v>
      </c>
      <c r="AC2940" s="1" t="s">
        <v>204</v>
      </c>
      <c r="AD2940" s="1" t="s">
        <v>205</v>
      </c>
      <c r="AE2940" s="1" t="s">
        <v>204</v>
      </c>
      <c r="AF2940" s="1" t="s">
        <v>2765</v>
      </c>
      <c r="AG2940" s="1" t="s">
        <v>53</v>
      </c>
      <c r="AH2940" s="1" t="s">
        <v>49</v>
      </c>
      <c r="AI2940" s="1" t="s">
        <v>54</v>
      </c>
      <c r="AJ2940" s="1">
        <v>1</v>
      </c>
      <c r="AK2940" s="1" t="str">
        <f t="shared" si="45"/>
        <v xml:space="preserve"> =&lt;90</v>
      </c>
      <c r="AL2940" s="1" t="e">
        <f>VLOOKUP(C:C,[1]基础信息!B$1:D$65536,3,0)</f>
        <v>#N/A</v>
      </c>
      <c r="AM2940" s="1" t="e">
        <f>VLOOKUP(C:C,[1]基础信息!B$1:E$65536,4,0)</f>
        <v>#N/A</v>
      </c>
      <c r="AN2940" s="1" t="e">
        <f>VLOOKUP(C:C,[1]基础信息!B$1:F$65536,5,0)</f>
        <v>#N/A</v>
      </c>
    </row>
    <row r="2941" spans="1:40">
      <c r="A2941" s="1" t="s">
        <v>41</v>
      </c>
      <c r="B2941" s="1" t="s">
        <v>42</v>
      </c>
      <c r="C2941" s="1" t="s">
        <v>4258</v>
      </c>
      <c r="D2941" s="1" t="s">
        <v>4259</v>
      </c>
      <c r="E2941" s="1" t="s">
        <v>45</v>
      </c>
      <c r="F2941" s="1" t="s">
        <v>6735</v>
      </c>
      <c r="G2941" s="1" t="s">
        <v>6740</v>
      </c>
      <c r="H2941" s="1" t="s">
        <v>6741</v>
      </c>
      <c r="I2941" s="1" t="s">
        <v>49</v>
      </c>
      <c r="J2941" s="1" t="s">
        <v>48</v>
      </c>
      <c r="K2941" s="1">
        <v>102</v>
      </c>
      <c r="L2941" s="1">
        <v>0</v>
      </c>
      <c r="M2941" s="1">
        <v>0</v>
      </c>
      <c r="N2941" s="1">
        <v>102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 t="s">
        <v>49</v>
      </c>
      <c r="AA2941" s="1" t="s">
        <v>49</v>
      </c>
      <c r="AB2941" s="1" t="s">
        <v>49</v>
      </c>
      <c r="AC2941" s="1" t="s">
        <v>204</v>
      </c>
      <c r="AD2941" s="1" t="s">
        <v>205</v>
      </c>
      <c r="AE2941" s="1" t="s">
        <v>204</v>
      </c>
      <c r="AF2941" s="1" t="s">
        <v>2765</v>
      </c>
      <c r="AG2941" s="1" t="s">
        <v>53</v>
      </c>
      <c r="AH2941" s="1" t="s">
        <v>49</v>
      </c>
      <c r="AI2941" s="1" t="s">
        <v>54</v>
      </c>
      <c r="AJ2941" s="1">
        <v>1</v>
      </c>
      <c r="AK2941" s="1" t="str">
        <f t="shared" si="45"/>
        <v xml:space="preserve"> =&lt;90</v>
      </c>
      <c r="AL2941" s="1" t="e">
        <f>VLOOKUP(C:C,[1]基础信息!B$1:D$65536,3,0)</f>
        <v>#N/A</v>
      </c>
      <c r="AM2941" s="1" t="e">
        <f>VLOOKUP(C:C,[1]基础信息!B$1:E$65536,4,0)</f>
        <v>#N/A</v>
      </c>
      <c r="AN2941" s="1" t="e">
        <f>VLOOKUP(C:C,[1]基础信息!B$1:F$65536,5,0)</f>
        <v>#N/A</v>
      </c>
    </row>
    <row r="2942" spans="1:40">
      <c r="A2942" s="1" t="s">
        <v>41</v>
      </c>
      <c r="B2942" s="1" t="s">
        <v>42</v>
      </c>
      <c r="C2942" s="1" t="s">
        <v>5117</v>
      </c>
      <c r="D2942" s="1" t="s">
        <v>5118</v>
      </c>
      <c r="E2942" s="1" t="s">
        <v>45</v>
      </c>
      <c r="F2942" s="1" t="s">
        <v>6742</v>
      </c>
      <c r="G2942" s="1" t="s">
        <v>6743</v>
      </c>
      <c r="H2942" s="1" t="s">
        <v>6744</v>
      </c>
      <c r="I2942" s="1" t="s">
        <v>49</v>
      </c>
      <c r="J2942" s="1" t="s">
        <v>48</v>
      </c>
      <c r="K2942" s="1">
        <v>384</v>
      </c>
      <c r="L2942" s="1">
        <v>0</v>
      </c>
      <c r="M2942" s="1">
        <v>0</v>
      </c>
      <c r="N2942" s="1">
        <v>384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 t="s">
        <v>49</v>
      </c>
      <c r="AA2942" s="1" t="s">
        <v>49</v>
      </c>
      <c r="AB2942" s="1" t="s">
        <v>49</v>
      </c>
      <c r="AC2942" s="1" t="s">
        <v>204</v>
      </c>
      <c r="AD2942" s="1" t="s">
        <v>205</v>
      </c>
      <c r="AE2942" s="1" t="s">
        <v>204</v>
      </c>
      <c r="AF2942" s="1" t="s">
        <v>1190</v>
      </c>
      <c r="AG2942" s="1" t="s">
        <v>53</v>
      </c>
      <c r="AH2942" s="1" t="s">
        <v>49</v>
      </c>
      <c r="AI2942" s="1" t="s">
        <v>54</v>
      </c>
      <c r="AJ2942" s="1">
        <v>1</v>
      </c>
      <c r="AK2942" s="1" t="str">
        <f t="shared" si="45"/>
        <v xml:space="preserve"> =&lt;90</v>
      </c>
      <c r="AL2942" s="1" t="str">
        <f>VLOOKUP(C:C,[1]基础信息!B$1:D$65536,3,0)</f>
        <v>UTS</v>
      </c>
      <c r="AM2942" s="1" t="str">
        <f>VLOOKUP(C:C,[1]基础信息!B$1:E$65536,4,0)</f>
        <v>MyPure</v>
      </c>
      <c r="AN2942" s="1" t="str">
        <f>VLOOKUP(C:C,[1]基础信息!B$1:F$65536,5,0)</f>
        <v>Refill</v>
      </c>
    </row>
    <row r="2943" spans="1:40">
      <c r="A2943" s="1" t="s">
        <v>41</v>
      </c>
      <c r="B2943" s="1" t="s">
        <v>42</v>
      </c>
      <c r="C2943" s="1" t="s">
        <v>4352</v>
      </c>
      <c r="D2943" s="1" t="s">
        <v>4353</v>
      </c>
      <c r="E2943" s="1" t="s">
        <v>45</v>
      </c>
      <c r="F2943" s="1" t="s">
        <v>5796</v>
      </c>
      <c r="G2943" s="1" t="s">
        <v>6745</v>
      </c>
      <c r="H2943" s="1" t="s">
        <v>6746</v>
      </c>
      <c r="I2943" s="1" t="s">
        <v>49</v>
      </c>
      <c r="J2943" s="1" t="s">
        <v>48</v>
      </c>
      <c r="K2943" s="1">
        <v>336</v>
      </c>
      <c r="L2943" s="1">
        <v>0</v>
      </c>
      <c r="M2943" s="1">
        <v>0</v>
      </c>
      <c r="N2943" s="1">
        <v>336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 t="s">
        <v>49</v>
      </c>
      <c r="AA2943" s="1" t="s">
        <v>49</v>
      </c>
      <c r="AB2943" s="1" t="s">
        <v>49</v>
      </c>
      <c r="AC2943" s="1" t="s">
        <v>206</v>
      </c>
      <c r="AD2943" s="1" t="s">
        <v>5795</v>
      </c>
      <c r="AE2943" s="1" t="s">
        <v>206</v>
      </c>
      <c r="AF2943" s="1" t="s">
        <v>5799</v>
      </c>
      <c r="AG2943" s="1" t="s">
        <v>53</v>
      </c>
      <c r="AH2943" s="1" t="s">
        <v>49</v>
      </c>
      <c r="AI2943" s="1" t="s">
        <v>54</v>
      </c>
      <c r="AJ2943" s="1">
        <v>1</v>
      </c>
      <c r="AK2943" s="1" t="str">
        <f t="shared" si="45"/>
        <v xml:space="preserve"> =&lt;90</v>
      </c>
      <c r="AL2943" s="1" t="e">
        <f>VLOOKUP(C:C,[1]基础信息!B$1:D$65536,3,0)</f>
        <v>#N/A</v>
      </c>
      <c r="AM2943" s="1" t="e">
        <f>VLOOKUP(C:C,[1]基础信息!B$1:E$65536,4,0)</f>
        <v>#N/A</v>
      </c>
      <c r="AN2943" s="1" t="e">
        <f>VLOOKUP(C:C,[1]基础信息!B$1:F$65536,5,0)</f>
        <v>#N/A</v>
      </c>
    </row>
    <row r="2944" spans="1:40">
      <c r="A2944" s="1" t="s">
        <v>41</v>
      </c>
      <c r="B2944" s="1" t="s">
        <v>42</v>
      </c>
      <c r="C2944" s="1" t="s">
        <v>4352</v>
      </c>
      <c r="D2944" s="1" t="s">
        <v>4353</v>
      </c>
      <c r="E2944" s="1" t="s">
        <v>45</v>
      </c>
      <c r="F2944" s="1" t="s">
        <v>5796</v>
      </c>
      <c r="G2944" s="1" t="s">
        <v>6747</v>
      </c>
      <c r="H2944" s="1" t="s">
        <v>6748</v>
      </c>
      <c r="I2944" s="1" t="s">
        <v>49</v>
      </c>
      <c r="J2944" s="1" t="s">
        <v>48</v>
      </c>
      <c r="K2944" s="1">
        <v>336</v>
      </c>
      <c r="L2944" s="1">
        <v>0</v>
      </c>
      <c r="M2944" s="1">
        <v>0</v>
      </c>
      <c r="N2944" s="1">
        <v>336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 t="s">
        <v>49</v>
      </c>
      <c r="AA2944" s="1" t="s">
        <v>49</v>
      </c>
      <c r="AB2944" s="1" t="s">
        <v>49</v>
      </c>
      <c r="AC2944" s="1" t="s">
        <v>206</v>
      </c>
      <c r="AD2944" s="1" t="s">
        <v>5795</v>
      </c>
      <c r="AE2944" s="1" t="s">
        <v>206</v>
      </c>
      <c r="AF2944" s="1" t="s">
        <v>5799</v>
      </c>
      <c r="AG2944" s="1" t="s">
        <v>53</v>
      </c>
      <c r="AH2944" s="1" t="s">
        <v>49</v>
      </c>
      <c r="AI2944" s="1" t="s">
        <v>54</v>
      </c>
      <c r="AJ2944" s="1">
        <v>1</v>
      </c>
      <c r="AK2944" s="1" t="str">
        <f t="shared" si="45"/>
        <v xml:space="preserve"> =&lt;90</v>
      </c>
      <c r="AL2944" s="1" t="e">
        <f>VLOOKUP(C:C,[1]基础信息!B$1:D$65536,3,0)</f>
        <v>#N/A</v>
      </c>
      <c r="AM2944" s="1" t="e">
        <f>VLOOKUP(C:C,[1]基础信息!B$1:E$65536,4,0)</f>
        <v>#N/A</v>
      </c>
      <c r="AN2944" s="1" t="e">
        <f>VLOOKUP(C:C,[1]基础信息!B$1:F$65536,5,0)</f>
        <v>#N/A</v>
      </c>
    </row>
    <row r="2945" spans="1:40">
      <c r="A2945" s="1" t="s">
        <v>41</v>
      </c>
      <c r="B2945" s="1" t="s">
        <v>42</v>
      </c>
      <c r="C2945" s="1" t="s">
        <v>4352</v>
      </c>
      <c r="D2945" s="1" t="s">
        <v>4353</v>
      </c>
      <c r="E2945" s="1" t="s">
        <v>45</v>
      </c>
      <c r="F2945" s="1" t="s">
        <v>5796</v>
      </c>
      <c r="G2945" s="1" t="s">
        <v>6749</v>
      </c>
      <c r="H2945" s="1" t="s">
        <v>6750</v>
      </c>
      <c r="I2945" s="1" t="s">
        <v>49</v>
      </c>
      <c r="J2945" s="1" t="s">
        <v>48</v>
      </c>
      <c r="K2945" s="1">
        <v>336</v>
      </c>
      <c r="L2945" s="1">
        <v>0</v>
      </c>
      <c r="M2945" s="1">
        <v>0</v>
      </c>
      <c r="N2945" s="1">
        <v>336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 t="s">
        <v>49</v>
      </c>
      <c r="AA2945" s="1" t="s">
        <v>49</v>
      </c>
      <c r="AB2945" s="1" t="s">
        <v>49</v>
      </c>
      <c r="AC2945" s="1" t="s">
        <v>206</v>
      </c>
      <c r="AD2945" s="1" t="s">
        <v>5795</v>
      </c>
      <c r="AE2945" s="1" t="s">
        <v>206</v>
      </c>
      <c r="AF2945" s="1" t="s">
        <v>5799</v>
      </c>
      <c r="AG2945" s="1" t="s">
        <v>53</v>
      </c>
      <c r="AH2945" s="1" t="s">
        <v>49</v>
      </c>
      <c r="AI2945" s="1" t="s">
        <v>54</v>
      </c>
      <c r="AJ2945" s="1">
        <v>1</v>
      </c>
      <c r="AK2945" s="1" t="str">
        <f t="shared" si="45"/>
        <v xml:space="preserve"> =&lt;90</v>
      </c>
      <c r="AL2945" s="1" t="e">
        <f>VLOOKUP(C:C,[1]基础信息!B$1:D$65536,3,0)</f>
        <v>#N/A</v>
      </c>
      <c r="AM2945" s="1" t="e">
        <f>VLOOKUP(C:C,[1]基础信息!B$1:E$65536,4,0)</f>
        <v>#N/A</v>
      </c>
      <c r="AN2945" s="1" t="e">
        <f>VLOOKUP(C:C,[1]基础信息!B$1:F$65536,5,0)</f>
        <v>#N/A</v>
      </c>
    </row>
    <row r="2946" spans="1:40">
      <c r="A2946" s="1" t="s">
        <v>41</v>
      </c>
      <c r="B2946" s="1" t="s">
        <v>42</v>
      </c>
      <c r="C2946" s="1" t="s">
        <v>1437</v>
      </c>
      <c r="D2946" s="1" t="s">
        <v>1438</v>
      </c>
      <c r="E2946" s="1" t="s">
        <v>45</v>
      </c>
      <c r="F2946" s="1" t="s">
        <v>4089</v>
      </c>
      <c r="G2946" s="1" t="s">
        <v>6751</v>
      </c>
      <c r="H2946" s="1" t="s">
        <v>45</v>
      </c>
      <c r="I2946" s="1" t="s">
        <v>45</v>
      </c>
      <c r="J2946" s="1" t="s">
        <v>48</v>
      </c>
      <c r="K2946" s="1">
        <v>252</v>
      </c>
      <c r="L2946" s="1">
        <v>0</v>
      </c>
      <c r="M2946" s="1">
        <v>0</v>
      </c>
      <c r="N2946" s="1">
        <v>252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 t="s">
        <v>49</v>
      </c>
      <c r="AA2946" s="1" t="s">
        <v>49</v>
      </c>
      <c r="AB2946" s="1" t="s">
        <v>49</v>
      </c>
      <c r="AC2946" s="1" t="s">
        <v>3836</v>
      </c>
      <c r="AD2946" s="1" t="s">
        <v>3837</v>
      </c>
      <c r="AE2946" s="1" t="s">
        <v>3836</v>
      </c>
      <c r="AF2946" s="1" t="s">
        <v>4091</v>
      </c>
      <c r="AG2946" s="1" t="s">
        <v>53</v>
      </c>
      <c r="AH2946" s="1" t="s">
        <v>49</v>
      </c>
      <c r="AI2946" s="1" t="s">
        <v>54</v>
      </c>
      <c r="AJ2946" s="1">
        <v>1</v>
      </c>
      <c r="AK2946" s="1" t="str">
        <f t="shared" ref="AK2946:AK3009" si="46">IF(AJ2946&gt;$AP$2,$AQ$2,IF(AJ2946&gt;$AP$3,$AQ$3,IF(AJ2946&gt;$AP$4,$AQ$4,$AQ$5)))</f>
        <v xml:space="preserve"> =&lt;90</v>
      </c>
      <c r="AL2946" s="1" t="str">
        <f>VLOOKUP(C:C,[1]基础信息!B$1:D$65536,3,0)</f>
        <v>On tap</v>
      </c>
      <c r="AM2946" s="1" t="str">
        <f>VLOOKUP(C:C,[1]基础信息!B$1:E$65536,4,0)</f>
        <v>On tap</v>
      </c>
      <c r="AN2946" s="1" t="str">
        <f>VLOOKUP(C:C,[1]基础信息!B$1:F$65536,5,0)</f>
        <v>On tap</v>
      </c>
    </row>
    <row r="2947" spans="1:40">
      <c r="A2947" s="1" t="s">
        <v>41</v>
      </c>
      <c r="B2947" s="1" t="s">
        <v>42</v>
      </c>
      <c r="C2947" s="1" t="s">
        <v>4352</v>
      </c>
      <c r="D2947" s="1" t="s">
        <v>4353</v>
      </c>
      <c r="E2947" s="1" t="s">
        <v>45</v>
      </c>
      <c r="F2947" s="1" t="s">
        <v>5796</v>
      </c>
      <c r="G2947" s="1" t="s">
        <v>6752</v>
      </c>
      <c r="H2947" s="1" t="s">
        <v>6753</v>
      </c>
      <c r="I2947" s="1" t="s">
        <v>49</v>
      </c>
      <c r="J2947" s="1" t="s">
        <v>48</v>
      </c>
      <c r="K2947" s="1">
        <v>336</v>
      </c>
      <c r="L2947" s="1">
        <v>0</v>
      </c>
      <c r="M2947" s="1">
        <v>0</v>
      </c>
      <c r="N2947" s="1">
        <v>336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 t="s">
        <v>49</v>
      </c>
      <c r="AA2947" s="1" t="s">
        <v>49</v>
      </c>
      <c r="AB2947" s="1" t="s">
        <v>49</v>
      </c>
      <c r="AC2947" s="1" t="s">
        <v>206</v>
      </c>
      <c r="AD2947" s="1" t="s">
        <v>5795</v>
      </c>
      <c r="AE2947" s="1" t="s">
        <v>206</v>
      </c>
      <c r="AF2947" s="1" t="s">
        <v>5799</v>
      </c>
      <c r="AG2947" s="1" t="s">
        <v>53</v>
      </c>
      <c r="AH2947" s="1" t="s">
        <v>49</v>
      </c>
      <c r="AI2947" s="1" t="s">
        <v>54</v>
      </c>
      <c r="AJ2947" s="1">
        <v>1</v>
      </c>
      <c r="AK2947" s="1" t="str">
        <f t="shared" si="46"/>
        <v xml:space="preserve"> =&lt;90</v>
      </c>
      <c r="AL2947" s="1" t="e">
        <f>VLOOKUP(C:C,[1]基础信息!B$1:D$65536,3,0)</f>
        <v>#N/A</v>
      </c>
      <c r="AM2947" s="1" t="e">
        <f>VLOOKUP(C:C,[1]基础信息!B$1:E$65536,4,0)</f>
        <v>#N/A</v>
      </c>
      <c r="AN2947" s="1" t="e">
        <f>VLOOKUP(C:C,[1]基础信息!B$1:F$65536,5,0)</f>
        <v>#N/A</v>
      </c>
    </row>
    <row r="2948" spans="1:40">
      <c r="A2948" s="1" t="s">
        <v>41</v>
      </c>
      <c r="B2948" s="1" t="s">
        <v>42</v>
      </c>
      <c r="C2948" s="1" t="s">
        <v>4352</v>
      </c>
      <c r="D2948" s="1" t="s">
        <v>4353</v>
      </c>
      <c r="E2948" s="1" t="s">
        <v>45</v>
      </c>
      <c r="F2948" s="1" t="s">
        <v>5796</v>
      </c>
      <c r="G2948" s="1" t="s">
        <v>6754</v>
      </c>
      <c r="H2948" s="1" t="s">
        <v>6755</v>
      </c>
      <c r="I2948" s="1" t="s">
        <v>49</v>
      </c>
      <c r="J2948" s="1" t="s">
        <v>48</v>
      </c>
      <c r="K2948" s="1">
        <v>336</v>
      </c>
      <c r="L2948" s="1">
        <v>0</v>
      </c>
      <c r="M2948" s="1">
        <v>0</v>
      </c>
      <c r="N2948" s="1">
        <v>336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 t="s">
        <v>49</v>
      </c>
      <c r="AA2948" s="1" t="s">
        <v>49</v>
      </c>
      <c r="AB2948" s="1" t="s">
        <v>49</v>
      </c>
      <c r="AC2948" s="1" t="s">
        <v>206</v>
      </c>
      <c r="AD2948" s="1" t="s">
        <v>5795</v>
      </c>
      <c r="AE2948" s="1" t="s">
        <v>206</v>
      </c>
      <c r="AF2948" s="1" t="s">
        <v>5799</v>
      </c>
      <c r="AG2948" s="1" t="s">
        <v>53</v>
      </c>
      <c r="AH2948" s="1" t="s">
        <v>49</v>
      </c>
      <c r="AI2948" s="1" t="s">
        <v>54</v>
      </c>
      <c r="AJ2948" s="1">
        <v>1</v>
      </c>
      <c r="AK2948" s="1" t="str">
        <f t="shared" si="46"/>
        <v xml:space="preserve"> =&lt;90</v>
      </c>
      <c r="AL2948" s="1" t="e">
        <f>VLOOKUP(C:C,[1]基础信息!B$1:D$65536,3,0)</f>
        <v>#N/A</v>
      </c>
      <c r="AM2948" s="1" t="e">
        <f>VLOOKUP(C:C,[1]基础信息!B$1:E$65536,4,0)</f>
        <v>#N/A</v>
      </c>
      <c r="AN2948" s="1" t="e">
        <f>VLOOKUP(C:C,[1]基础信息!B$1:F$65536,5,0)</f>
        <v>#N/A</v>
      </c>
    </row>
    <row r="2949" spans="1:40">
      <c r="A2949" s="1" t="s">
        <v>41</v>
      </c>
      <c r="B2949" s="1" t="s">
        <v>42</v>
      </c>
      <c r="C2949" s="1" t="s">
        <v>4352</v>
      </c>
      <c r="D2949" s="1" t="s">
        <v>4353</v>
      </c>
      <c r="E2949" s="1" t="s">
        <v>45</v>
      </c>
      <c r="F2949" s="1" t="s">
        <v>5796</v>
      </c>
      <c r="G2949" s="1" t="s">
        <v>6756</v>
      </c>
      <c r="H2949" s="1" t="s">
        <v>6757</v>
      </c>
      <c r="I2949" s="1" t="s">
        <v>49</v>
      </c>
      <c r="J2949" s="1" t="s">
        <v>48</v>
      </c>
      <c r="K2949" s="1">
        <v>336</v>
      </c>
      <c r="L2949" s="1">
        <v>0</v>
      </c>
      <c r="M2949" s="1">
        <v>0</v>
      </c>
      <c r="N2949" s="1">
        <v>336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 t="s">
        <v>49</v>
      </c>
      <c r="AA2949" s="1" t="s">
        <v>49</v>
      </c>
      <c r="AB2949" s="1" t="s">
        <v>49</v>
      </c>
      <c r="AC2949" s="1" t="s">
        <v>206</v>
      </c>
      <c r="AD2949" s="1" t="s">
        <v>5795</v>
      </c>
      <c r="AE2949" s="1" t="s">
        <v>206</v>
      </c>
      <c r="AF2949" s="1" t="s">
        <v>5799</v>
      </c>
      <c r="AG2949" s="1" t="s">
        <v>53</v>
      </c>
      <c r="AH2949" s="1" t="s">
        <v>49</v>
      </c>
      <c r="AI2949" s="1" t="s">
        <v>54</v>
      </c>
      <c r="AJ2949" s="1">
        <v>1</v>
      </c>
      <c r="AK2949" s="1" t="str">
        <f t="shared" si="46"/>
        <v xml:space="preserve"> =&lt;90</v>
      </c>
      <c r="AL2949" s="1" t="e">
        <f>VLOOKUP(C:C,[1]基础信息!B$1:D$65536,3,0)</f>
        <v>#N/A</v>
      </c>
      <c r="AM2949" s="1" t="e">
        <f>VLOOKUP(C:C,[1]基础信息!B$1:E$65536,4,0)</f>
        <v>#N/A</v>
      </c>
      <c r="AN2949" s="1" t="e">
        <f>VLOOKUP(C:C,[1]基础信息!B$1:F$65536,5,0)</f>
        <v>#N/A</v>
      </c>
    </row>
    <row r="2950" spans="1:40">
      <c r="A2950" s="1" t="s">
        <v>41</v>
      </c>
      <c r="B2950" s="1" t="s">
        <v>42</v>
      </c>
      <c r="C2950" s="1" t="s">
        <v>4352</v>
      </c>
      <c r="D2950" s="1" t="s">
        <v>4353</v>
      </c>
      <c r="E2950" s="1" t="s">
        <v>45</v>
      </c>
      <c r="F2950" s="1" t="s">
        <v>5796</v>
      </c>
      <c r="G2950" s="1" t="s">
        <v>6758</v>
      </c>
      <c r="H2950" s="1" t="s">
        <v>6759</v>
      </c>
      <c r="I2950" s="1" t="s">
        <v>49</v>
      </c>
      <c r="J2950" s="1" t="s">
        <v>48</v>
      </c>
      <c r="K2950" s="1">
        <v>336</v>
      </c>
      <c r="L2950" s="1">
        <v>0</v>
      </c>
      <c r="M2950" s="1">
        <v>0</v>
      </c>
      <c r="N2950" s="1">
        <v>336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 t="s">
        <v>49</v>
      </c>
      <c r="AA2950" s="1" t="s">
        <v>49</v>
      </c>
      <c r="AB2950" s="1" t="s">
        <v>49</v>
      </c>
      <c r="AC2950" s="1" t="s">
        <v>206</v>
      </c>
      <c r="AD2950" s="1" t="s">
        <v>5795</v>
      </c>
      <c r="AE2950" s="1" t="s">
        <v>206</v>
      </c>
      <c r="AF2950" s="1" t="s">
        <v>5799</v>
      </c>
      <c r="AG2950" s="1" t="s">
        <v>53</v>
      </c>
      <c r="AH2950" s="1" t="s">
        <v>49</v>
      </c>
      <c r="AI2950" s="1" t="s">
        <v>54</v>
      </c>
      <c r="AJ2950" s="1">
        <v>1</v>
      </c>
      <c r="AK2950" s="1" t="str">
        <f t="shared" si="46"/>
        <v xml:space="preserve"> =&lt;90</v>
      </c>
      <c r="AL2950" s="1" t="e">
        <f>VLOOKUP(C:C,[1]基础信息!B$1:D$65536,3,0)</f>
        <v>#N/A</v>
      </c>
      <c r="AM2950" s="1" t="e">
        <f>VLOOKUP(C:C,[1]基础信息!B$1:E$65536,4,0)</f>
        <v>#N/A</v>
      </c>
      <c r="AN2950" s="1" t="e">
        <f>VLOOKUP(C:C,[1]基础信息!B$1:F$65536,5,0)</f>
        <v>#N/A</v>
      </c>
    </row>
    <row r="2951" spans="1:40">
      <c r="A2951" s="1" t="s">
        <v>41</v>
      </c>
      <c r="B2951" s="1" t="s">
        <v>42</v>
      </c>
      <c r="C2951" s="1" t="s">
        <v>1437</v>
      </c>
      <c r="D2951" s="1" t="s">
        <v>1438</v>
      </c>
      <c r="E2951" s="1" t="s">
        <v>45</v>
      </c>
      <c r="F2951" s="1" t="s">
        <v>6760</v>
      </c>
      <c r="G2951" s="1" t="s">
        <v>6761</v>
      </c>
      <c r="H2951" s="1" t="s">
        <v>45</v>
      </c>
      <c r="I2951" s="1" t="s">
        <v>45</v>
      </c>
      <c r="J2951" s="1" t="s">
        <v>48</v>
      </c>
      <c r="K2951" s="1">
        <v>6</v>
      </c>
      <c r="L2951" s="1">
        <v>0</v>
      </c>
      <c r="M2951" s="1">
        <v>0</v>
      </c>
      <c r="N2951" s="1">
        <v>6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 t="s">
        <v>49</v>
      </c>
      <c r="AA2951" s="1" t="s">
        <v>49</v>
      </c>
      <c r="AB2951" s="1" t="s">
        <v>49</v>
      </c>
      <c r="AC2951" s="1" t="s">
        <v>1991</v>
      </c>
      <c r="AD2951" s="1" t="s">
        <v>1992</v>
      </c>
      <c r="AE2951" s="1" t="s">
        <v>4627</v>
      </c>
      <c r="AF2951" s="1" t="s">
        <v>6762</v>
      </c>
      <c r="AG2951" s="1" t="s">
        <v>53</v>
      </c>
      <c r="AH2951" s="1" t="s">
        <v>49</v>
      </c>
      <c r="AI2951" s="1" t="s">
        <v>54</v>
      </c>
      <c r="AJ2951" s="1">
        <v>0</v>
      </c>
      <c r="AK2951" s="1" t="str">
        <f t="shared" si="46"/>
        <v xml:space="preserve"> =&lt;90</v>
      </c>
      <c r="AL2951" s="1" t="str">
        <f>VLOOKUP(C:C,[1]基础信息!B$1:D$65536,3,0)</f>
        <v>On tap</v>
      </c>
      <c r="AM2951" s="1" t="str">
        <f>VLOOKUP(C:C,[1]基础信息!B$1:E$65536,4,0)</f>
        <v>On tap</v>
      </c>
      <c r="AN2951" s="1" t="str">
        <f>VLOOKUP(C:C,[1]基础信息!B$1:F$65536,5,0)</f>
        <v>On tap</v>
      </c>
    </row>
    <row r="2952" spans="1:40">
      <c r="A2952" s="1" t="s">
        <v>41</v>
      </c>
      <c r="B2952" s="1" t="s">
        <v>42</v>
      </c>
      <c r="C2952" s="1" t="s">
        <v>1437</v>
      </c>
      <c r="D2952" s="1" t="s">
        <v>1438</v>
      </c>
      <c r="E2952" s="1" t="s">
        <v>45</v>
      </c>
      <c r="F2952" s="1" t="s">
        <v>6763</v>
      </c>
      <c r="G2952" s="1" t="s">
        <v>6761</v>
      </c>
      <c r="H2952" s="1" t="s">
        <v>45</v>
      </c>
      <c r="I2952" s="1" t="s">
        <v>45</v>
      </c>
      <c r="J2952" s="1" t="s">
        <v>48</v>
      </c>
      <c r="K2952" s="1">
        <v>4</v>
      </c>
      <c r="L2952" s="1">
        <v>0</v>
      </c>
      <c r="M2952" s="1">
        <v>0</v>
      </c>
      <c r="N2952" s="1">
        <v>4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 t="s">
        <v>49</v>
      </c>
      <c r="AA2952" s="1" t="s">
        <v>49</v>
      </c>
      <c r="AB2952" s="1" t="s">
        <v>49</v>
      </c>
      <c r="AC2952" s="1" t="s">
        <v>1991</v>
      </c>
      <c r="AD2952" s="1" t="s">
        <v>1992</v>
      </c>
      <c r="AE2952" s="1" t="s">
        <v>4627</v>
      </c>
      <c r="AF2952" s="1" t="s">
        <v>6762</v>
      </c>
      <c r="AG2952" s="1" t="s">
        <v>227</v>
      </c>
      <c r="AH2952" s="1" t="s">
        <v>49</v>
      </c>
      <c r="AI2952" s="1" t="s">
        <v>54</v>
      </c>
      <c r="AJ2952" s="1">
        <v>1</v>
      </c>
      <c r="AK2952" s="1" t="str">
        <f t="shared" si="46"/>
        <v xml:space="preserve"> =&lt;90</v>
      </c>
      <c r="AL2952" s="1" t="str">
        <f>VLOOKUP(C:C,[1]基础信息!B$1:D$65536,3,0)</f>
        <v>On tap</v>
      </c>
      <c r="AM2952" s="1" t="str">
        <f>VLOOKUP(C:C,[1]基础信息!B$1:E$65536,4,0)</f>
        <v>On tap</v>
      </c>
      <c r="AN2952" s="1" t="str">
        <f>VLOOKUP(C:C,[1]基础信息!B$1:F$65536,5,0)</f>
        <v>On tap</v>
      </c>
    </row>
    <row r="2953" spans="1:40">
      <c r="A2953" s="1" t="s">
        <v>41</v>
      </c>
      <c r="B2953" s="1" t="s">
        <v>42</v>
      </c>
      <c r="C2953" s="1" t="s">
        <v>4352</v>
      </c>
      <c r="D2953" s="1" t="s">
        <v>4353</v>
      </c>
      <c r="E2953" s="1" t="s">
        <v>45</v>
      </c>
      <c r="F2953" s="1" t="s">
        <v>5796</v>
      </c>
      <c r="G2953" s="1" t="s">
        <v>6764</v>
      </c>
      <c r="H2953" s="1" t="s">
        <v>6765</v>
      </c>
      <c r="I2953" s="1" t="s">
        <v>49</v>
      </c>
      <c r="J2953" s="1" t="s">
        <v>48</v>
      </c>
      <c r="K2953" s="1">
        <v>336</v>
      </c>
      <c r="L2953" s="1">
        <v>0</v>
      </c>
      <c r="M2953" s="1">
        <v>0</v>
      </c>
      <c r="N2953" s="1">
        <v>336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 t="s">
        <v>49</v>
      </c>
      <c r="AA2953" s="1" t="s">
        <v>49</v>
      </c>
      <c r="AB2953" s="1" t="s">
        <v>49</v>
      </c>
      <c r="AC2953" s="1" t="s">
        <v>206</v>
      </c>
      <c r="AD2953" s="1" t="s">
        <v>5795</v>
      </c>
      <c r="AE2953" s="1" t="s">
        <v>206</v>
      </c>
      <c r="AF2953" s="1" t="s">
        <v>5799</v>
      </c>
      <c r="AG2953" s="1" t="s">
        <v>53</v>
      </c>
      <c r="AH2953" s="1" t="s">
        <v>49</v>
      </c>
      <c r="AI2953" s="1" t="s">
        <v>54</v>
      </c>
      <c r="AJ2953" s="1">
        <v>1</v>
      </c>
      <c r="AK2953" s="1" t="str">
        <f t="shared" si="46"/>
        <v xml:space="preserve"> =&lt;90</v>
      </c>
      <c r="AL2953" s="1" t="e">
        <f>VLOOKUP(C:C,[1]基础信息!B$1:D$65536,3,0)</f>
        <v>#N/A</v>
      </c>
      <c r="AM2953" s="1" t="e">
        <f>VLOOKUP(C:C,[1]基础信息!B$1:E$65536,4,0)</f>
        <v>#N/A</v>
      </c>
      <c r="AN2953" s="1" t="e">
        <f>VLOOKUP(C:C,[1]基础信息!B$1:F$65536,5,0)</f>
        <v>#N/A</v>
      </c>
    </row>
    <row r="2954" spans="1:40">
      <c r="A2954" s="1" t="s">
        <v>41</v>
      </c>
      <c r="B2954" s="1" t="s">
        <v>42</v>
      </c>
      <c r="C2954" s="1" t="s">
        <v>4352</v>
      </c>
      <c r="D2954" s="1" t="s">
        <v>4353</v>
      </c>
      <c r="E2954" s="1" t="s">
        <v>45</v>
      </c>
      <c r="F2954" s="1" t="s">
        <v>5796</v>
      </c>
      <c r="G2954" s="1" t="s">
        <v>6766</v>
      </c>
      <c r="H2954" s="1" t="s">
        <v>6767</v>
      </c>
      <c r="I2954" s="1" t="s">
        <v>49</v>
      </c>
      <c r="J2954" s="1" t="s">
        <v>48</v>
      </c>
      <c r="K2954" s="1">
        <v>336</v>
      </c>
      <c r="L2954" s="1">
        <v>0</v>
      </c>
      <c r="M2954" s="1">
        <v>0</v>
      </c>
      <c r="N2954" s="1">
        <v>336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 t="s">
        <v>49</v>
      </c>
      <c r="AA2954" s="1" t="s">
        <v>49</v>
      </c>
      <c r="AB2954" s="1" t="s">
        <v>49</v>
      </c>
      <c r="AC2954" s="1" t="s">
        <v>206</v>
      </c>
      <c r="AD2954" s="1" t="s">
        <v>5795</v>
      </c>
      <c r="AE2954" s="1" t="s">
        <v>206</v>
      </c>
      <c r="AF2954" s="1" t="s">
        <v>5799</v>
      </c>
      <c r="AG2954" s="1" t="s">
        <v>53</v>
      </c>
      <c r="AH2954" s="1" t="s">
        <v>49</v>
      </c>
      <c r="AI2954" s="1" t="s">
        <v>54</v>
      </c>
      <c r="AJ2954" s="1">
        <v>1</v>
      </c>
      <c r="AK2954" s="1" t="str">
        <f t="shared" si="46"/>
        <v xml:space="preserve"> =&lt;90</v>
      </c>
      <c r="AL2954" s="1" t="e">
        <f>VLOOKUP(C:C,[1]基础信息!B$1:D$65536,3,0)</f>
        <v>#N/A</v>
      </c>
      <c r="AM2954" s="1" t="e">
        <f>VLOOKUP(C:C,[1]基础信息!B$1:E$65536,4,0)</f>
        <v>#N/A</v>
      </c>
      <c r="AN2954" s="1" t="e">
        <f>VLOOKUP(C:C,[1]基础信息!B$1:F$65536,5,0)</f>
        <v>#N/A</v>
      </c>
    </row>
    <row r="2955" spans="1:40">
      <c r="A2955" s="1" t="s">
        <v>41</v>
      </c>
      <c r="B2955" s="1" t="s">
        <v>42</v>
      </c>
      <c r="C2955" s="1" t="s">
        <v>4352</v>
      </c>
      <c r="D2955" s="1" t="s">
        <v>4353</v>
      </c>
      <c r="E2955" s="1" t="s">
        <v>45</v>
      </c>
      <c r="F2955" s="1" t="s">
        <v>5796</v>
      </c>
      <c r="G2955" s="1" t="s">
        <v>6768</v>
      </c>
      <c r="H2955" s="1" t="s">
        <v>6769</v>
      </c>
      <c r="I2955" s="1" t="s">
        <v>49</v>
      </c>
      <c r="J2955" s="1" t="s">
        <v>48</v>
      </c>
      <c r="K2955" s="1">
        <v>336</v>
      </c>
      <c r="L2955" s="1">
        <v>0</v>
      </c>
      <c r="M2955" s="1">
        <v>0</v>
      </c>
      <c r="N2955" s="1">
        <v>336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 t="s">
        <v>49</v>
      </c>
      <c r="AA2955" s="1" t="s">
        <v>49</v>
      </c>
      <c r="AB2955" s="1" t="s">
        <v>49</v>
      </c>
      <c r="AC2955" s="1" t="s">
        <v>206</v>
      </c>
      <c r="AD2955" s="1" t="s">
        <v>5795</v>
      </c>
      <c r="AE2955" s="1" t="s">
        <v>206</v>
      </c>
      <c r="AF2955" s="1" t="s">
        <v>5799</v>
      </c>
      <c r="AG2955" s="1" t="s">
        <v>53</v>
      </c>
      <c r="AH2955" s="1" t="s">
        <v>49</v>
      </c>
      <c r="AI2955" s="1" t="s">
        <v>54</v>
      </c>
      <c r="AJ2955" s="1">
        <v>1</v>
      </c>
      <c r="AK2955" s="1" t="str">
        <f t="shared" si="46"/>
        <v xml:space="preserve"> =&lt;90</v>
      </c>
      <c r="AL2955" s="1" t="e">
        <f>VLOOKUP(C:C,[1]基础信息!B$1:D$65536,3,0)</f>
        <v>#N/A</v>
      </c>
      <c r="AM2955" s="1" t="e">
        <f>VLOOKUP(C:C,[1]基础信息!B$1:E$65536,4,0)</f>
        <v>#N/A</v>
      </c>
      <c r="AN2955" s="1" t="e">
        <f>VLOOKUP(C:C,[1]基础信息!B$1:F$65536,5,0)</f>
        <v>#N/A</v>
      </c>
    </row>
    <row r="2956" spans="1:40">
      <c r="A2956" s="1" t="s">
        <v>41</v>
      </c>
      <c r="B2956" s="1" t="s">
        <v>42</v>
      </c>
      <c r="C2956" s="1" t="s">
        <v>341</v>
      </c>
      <c r="D2956" s="1" t="s">
        <v>342</v>
      </c>
      <c r="E2956" s="1" t="s">
        <v>45</v>
      </c>
      <c r="F2956" s="1" t="s">
        <v>6770</v>
      </c>
      <c r="G2956" s="1" t="s">
        <v>6771</v>
      </c>
      <c r="H2956" s="1" t="s">
        <v>6772</v>
      </c>
      <c r="I2956" s="1" t="s">
        <v>49</v>
      </c>
      <c r="J2956" s="1" t="s">
        <v>48</v>
      </c>
      <c r="K2956" s="1">
        <v>15</v>
      </c>
      <c r="L2956" s="1">
        <v>0</v>
      </c>
      <c r="M2956" s="1">
        <v>0</v>
      </c>
      <c r="N2956" s="1">
        <v>15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 t="s">
        <v>49</v>
      </c>
      <c r="AA2956" s="1" t="s">
        <v>49</v>
      </c>
      <c r="AB2956" s="1" t="s">
        <v>49</v>
      </c>
      <c r="AC2956" s="1" t="s">
        <v>346</v>
      </c>
      <c r="AD2956" s="1" t="s">
        <v>347</v>
      </c>
      <c r="AE2956" s="1" t="s">
        <v>346</v>
      </c>
      <c r="AF2956" s="1" t="s">
        <v>6773</v>
      </c>
      <c r="AG2956" s="1" t="s">
        <v>338</v>
      </c>
      <c r="AH2956" s="1" t="s">
        <v>49</v>
      </c>
      <c r="AI2956" s="1" t="s">
        <v>54</v>
      </c>
      <c r="AJ2956" s="1">
        <v>1</v>
      </c>
      <c r="AK2956" s="1" t="str">
        <f t="shared" si="46"/>
        <v xml:space="preserve"> =&lt;90</v>
      </c>
      <c r="AL2956" s="1" t="str">
        <f>VLOOKUP(C:C,[1]基础信息!B$1:D$65536,3,0)</f>
        <v>Jug</v>
      </c>
      <c r="AM2956" s="1" t="str">
        <f>VLOOKUP(C:C,[1]基础信息!B$1:E$65536,4,0)</f>
        <v>Marella</v>
      </c>
      <c r="AN2956" s="1" t="str">
        <f>VLOOKUP(C:C,[1]基础信息!B$1:F$65536,5,0)</f>
        <v>Blue Glitter</v>
      </c>
    </row>
    <row r="2957" spans="1:40">
      <c r="A2957" s="1" t="s">
        <v>41</v>
      </c>
      <c r="B2957" s="1" t="s">
        <v>42</v>
      </c>
      <c r="C2957" s="1" t="s">
        <v>4352</v>
      </c>
      <c r="D2957" s="1" t="s">
        <v>4353</v>
      </c>
      <c r="E2957" s="1" t="s">
        <v>45</v>
      </c>
      <c r="F2957" s="1" t="s">
        <v>5796</v>
      </c>
      <c r="G2957" s="1" t="s">
        <v>6774</v>
      </c>
      <c r="H2957" s="1" t="s">
        <v>6775</v>
      </c>
      <c r="I2957" s="1" t="s">
        <v>49</v>
      </c>
      <c r="J2957" s="1" t="s">
        <v>48</v>
      </c>
      <c r="K2957" s="1">
        <v>336</v>
      </c>
      <c r="L2957" s="1">
        <v>0</v>
      </c>
      <c r="M2957" s="1">
        <v>0</v>
      </c>
      <c r="N2957" s="1">
        <v>336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 t="s">
        <v>49</v>
      </c>
      <c r="AA2957" s="1" t="s">
        <v>49</v>
      </c>
      <c r="AB2957" s="1" t="s">
        <v>49</v>
      </c>
      <c r="AC2957" s="1" t="s">
        <v>206</v>
      </c>
      <c r="AD2957" s="1" t="s">
        <v>5795</v>
      </c>
      <c r="AE2957" s="1" t="s">
        <v>206</v>
      </c>
      <c r="AF2957" s="1" t="s">
        <v>5799</v>
      </c>
      <c r="AG2957" s="1" t="s">
        <v>53</v>
      </c>
      <c r="AH2957" s="1" t="s">
        <v>49</v>
      </c>
      <c r="AI2957" s="1" t="s">
        <v>54</v>
      </c>
      <c r="AJ2957" s="1">
        <v>1</v>
      </c>
      <c r="AK2957" s="1" t="str">
        <f t="shared" si="46"/>
        <v xml:space="preserve"> =&lt;90</v>
      </c>
      <c r="AL2957" s="1" t="e">
        <f>VLOOKUP(C:C,[1]基础信息!B$1:D$65536,3,0)</f>
        <v>#N/A</v>
      </c>
      <c r="AM2957" s="1" t="e">
        <f>VLOOKUP(C:C,[1]基础信息!B$1:E$65536,4,0)</f>
        <v>#N/A</v>
      </c>
      <c r="AN2957" s="1" t="e">
        <f>VLOOKUP(C:C,[1]基础信息!B$1:F$65536,5,0)</f>
        <v>#N/A</v>
      </c>
    </row>
    <row r="2958" spans="1:40">
      <c r="A2958" s="1" t="s">
        <v>41</v>
      </c>
      <c r="B2958" s="1" t="s">
        <v>42</v>
      </c>
      <c r="C2958" s="1" t="s">
        <v>4352</v>
      </c>
      <c r="D2958" s="1" t="s">
        <v>4353</v>
      </c>
      <c r="E2958" s="1" t="s">
        <v>45</v>
      </c>
      <c r="F2958" s="1" t="s">
        <v>6776</v>
      </c>
      <c r="G2958" s="1" t="s">
        <v>6777</v>
      </c>
      <c r="H2958" s="1" t="s">
        <v>6778</v>
      </c>
      <c r="I2958" s="1" t="s">
        <v>49</v>
      </c>
      <c r="J2958" s="1" t="s">
        <v>48</v>
      </c>
      <c r="K2958" s="1">
        <v>336</v>
      </c>
      <c r="L2958" s="1">
        <v>104</v>
      </c>
      <c r="M2958" s="1">
        <v>0</v>
      </c>
      <c r="N2958" s="1">
        <v>232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 t="s">
        <v>49</v>
      </c>
      <c r="AA2958" s="1" t="s">
        <v>49</v>
      </c>
      <c r="AB2958" s="1" t="s">
        <v>49</v>
      </c>
      <c r="AC2958" s="1" t="s">
        <v>938</v>
      </c>
      <c r="AD2958" s="1" t="s">
        <v>939</v>
      </c>
      <c r="AE2958" s="1" t="s">
        <v>3964</v>
      </c>
      <c r="AF2958" s="1" t="s">
        <v>6779</v>
      </c>
      <c r="AG2958" s="1" t="s">
        <v>53</v>
      </c>
      <c r="AH2958" s="1" t="s">
        <v>49</v>
      </c>
      <c r="AI2958" s="1" t="s">
        <v>54</v>
      </c>
      <c r="AJ2958" s="1">
        <v>1</v>
      </c>
      <c r="AK2958" s="1" t="str">
        <f t="shared" si="46"/>
        <v xml:space="preserve"> =&lt;90</v>
      </c>
      <c r="AL2958" s="1" t="e">
        <f>VLOOKUP(C:C,[1]基础信息!B$1:D$65536,3,0)</f>
        <v>#N/A</v>
      </c>
      <c r="AM2958" s="1" t="e">
        <f>VLOOKUP(C:C,[1]基础信息!B$1:E$65536,4,0)</f>
        <v>#N/A</v>
      </c>
      <c r="AN2958" s="1" t="e">
        <f>VLOOKUP(C:C,[1]基础信息!B$1:F$65536,5,0)</f>
        <v>#N/A</v>
      </c>
    </row>
    <row r="2959" spans="1:40">
      <c r="A2959" s="1" t="s">
        <v>41</v>
      </c>
      <c r="B2959" s="1" t="s">
        <v>42</v>
      </c>
      <c r="C2959" s="1" t="s">
        <v>341</v>
      </c>
      <c r="D2959" s="1" t="s">
        <v>342</v>
      </c>
      <c r="E2959" s="1" t="s">
        <v>45</v>
      </c>
      <c r="F2959" s="1" t="s">
        <v>343</v>
      </c>
      <c r="G2959" s="1" t="s">
        <v>6780</v>
      </c>
      <c r="H2959" s="1" t="s">
        <v>6781</v>
      </c>
      <c r="I2959" s="1" t="s">
        <v>49</v>
      </c>
      <c r="J2959" s="1" t="s">
        <v>48</v>
      </c>
      <c r="K2959" s="1">
        <v>70</v>
      </c>
      <c r="L2959" s="1">
        <v>0</v>
      </c>
      <c r="M2959" s="1">
        <v>0</v>
      </c>
      <c r="N2959" s="1">
        <v>70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 t="s">
        <v>49</v>
      </c>
      <c r="AA2959" s="1" t="s">
        <v>49</v>
      </c>
      <c r="AB2959" s="1" t="s">
        <v>49</v>
      </c>
      <c r="AC2959" s="1" t="s">
        <v>346</v>
      </c>
      <c r="AD2959" s="1" t="s">
        <v>347</v>
      </c>
      <c r="AE2959" s="1" t="s">
        <v>346</v>
      </c>
      <c r="AF2959" s="1" t="s">
        <v>348</v>
      </c>
      <c r="AG2959" s="1" t="s">
        <v>338</v>
      </c>
      <c r="AH2959" s="1" t="s">
        <v>49</v>
      </c>
      <c r="AI2959" s="1" t="s">
        <v>54</v>
      </c>
      <c r="AJ2959" s="1">
        <v>1</v>
      </c>
      <c r="AK2959" s="1" t="str">
        <f t="shared" si="46"/>
        <v xml:space="preserve"> =&lt;90</v>
      </c>
      <c r="AL2959" s="1" t="str">
        <f>VLOOKUP(C:C,[1]基础信息!B$1:D$65536,3,0)</f>
        <v>Jug</v>
      </c>
      <c r="AM2959" s="1" t="str">
        <f>VLOOKUP(C:C,[1]基础信息!B$1:E$65536,4,0)</f>
        <v>Marella</v>
      </c>
      <c r="AN2959" s="1" t="str">
        <f>VLOOKUP(C:C,[1]基础信息!B$1:F$65536,5,0)</f>
        <v>Blue Glitter</v>
      </c>
    </row>
    <row r="2960" spans="1:40">
      <c r="A2960" s="1" t="s">
        <v>41</v>
      </c>
      <c r="B2960" s="1" t="s">
        <v>42</v>
      </c>
      <c r="C2960" s="1" t="s">
        <v>4342</v>
      </c>
      <c r="D2960" s="1" t="s">
        <v>4343</v>
      </c>
      <c r="E2960" s="1" t="s">
        <v>45</v>
      </c>
      <c r="F2960" s="1" t="s">
        <v>6782</v>
      </c>
      <c r="G2960" s="1" t="s">
        <v>6783</v>
      </c>
      <c r="H2960" s="1" t="s">
        <v>45</v>
      </c>
      <c r="I2960" s="1" t="s">
        <v>45</v>
      </c>
      <c r="J2960" s="1" t="s">
        <v>48</v>
      </c>
      <c r="K2960" s="1">
        <v>498</v>
      </c>
      <c r="L2960" s="1">
        <v>0</v>
      </c>
      <c r="M2960" s="1">
        <v>0</v>
      </c>
      <c r="N2960" s="1">
        <v>498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 t="s">
        <v>49</v>
      </c>
      <c r="AA2960" s="1" t="s">
        <v>49</v>
      </c>
      <c r="AB2960" s="1" t="s">
        <v>49</v>
      </c>
      <c r="AC2960" s="1" t="s">
        <v>3361</v>
      </c>
      <c r="AD2960" s="1" t="s">
        <v>3362</v>
      </c>
      <c r="AE2960" s="1" t="s">
        <v>3361</v>
      </c>
      <c r="AF2960" s="1" t="s">
        <v>6784</v>
      </c>
      <c r="AG2960" s="1" t="s">
        <v>53</v>
      </c>
      <c r="AH2960" s="1" t="s">
        <v>49</v>
      </c>
      <c r="AI2960" s="1" t="s">
        <v>54</v>
      </c>
      <c r="AJ2960" s="1">
        <v>1</v>
      </c>
      <c r="AK2960" s="1" t="str">
        <f t="shared" si="46"/>
        <v xml:space="preserve"> =&lt;90</v>
      </c>
      <c r="AL2960" s="1" t="e">
        <f>VLOOKUP(C:C,[1]基础信息!B$1:D$65536,3,0)</f>
        <v>#N/A</v>
      </c>
      <c r="AM2960" s="1" t="e">
        <f>VLOOKUP(C:C,[1]基础信息!B$1:E$65536,4,0)</f>
        <v>#N/A</v>
      </c>
      <c r="AN2960" s="1" t="e">
        <f>VLOOKUP(C:C,[1]基础信息!B$1:F$65536,5,0)</f>
        <v>#N/A</v>
      </c>
    </row>
    <row r="2961" spans="1:40">
      <c r="A2961" s="1" t="s">
        <v>41</v>
      </c>
      <c r="B2961" s="1" t="s">
        <v>42</v>
      </c>
      <c r="C2961" s="1" t="s">
        <v>341</v>
      </c>
      <c r="D2961" s="1" t="s">
        <v>342</v>
      </c>
      <c r="E2961" s="1" t="s">
        <v>45</v>
      </c>
      <c r="F2961" s="1" t="s">
        <v>343</v>
      </c>
      <c r="G2961" s="1" t="s">
        <v>6785</v>
      </c>
      <c r="H2961" s="1" t="s">
        <v>6786</v>
      </c>
      <c r="I2961" s="1" t="s">
        <v>49</v>
      </c>
      <c r="J2961" s="1" t="s">
        <v>48</v>
      </c>
      <c r="K2961" s="1">
        <v>70</v>
      </c>
      <c r="L2961" s="1">
        <v>0</v>
      </c>
      <c r="M2961" s="1">
        <v>0</v>
      </c>
      <c r="N2961" s="1">
        <v>70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 t="s">
        <v>49</v>
      </c>
      <c r="AA2961" s="1" t="s">
        <v>49</v>
      </c>
      <c r="AB2961" s="1" t="s">
        <v>49</v>
      </c>
      <c r="AC2961" s="1" t="s">
        <v>346</v>
      </c>
      <c r="AD2961" s="1" t="s">
        <v>347</v>
      </c>
      <c r="AE2961" s="1" t="s">
        <v>346</v>
      </c>
      <c r="AF2961" s="1" t="s">
        <v>348</v>
      </c>
      <c r="AG2961" s="1" t="s">
        <v>338</v>
      </c>
      <c r="AH2961" s="1" t="s">
        <v>49</v>
      </c>
      <c r="AI2961" s="1" t="s">
        <v>54</v>
      </c>
      <c r="AJ2961" s="1">
        <v>1</v>
      </c>
      <c r="AK2961" s="1" t="str">
        <f t="shared" si="46"/>
        <v xml:space="preserve"> =&lt;90</v>
      </c>
      <c r="AL2961" s="1" t="str">
        <f>VLOOKUP(C:C,[1]基础信息!B$1:D$65536,3,0)</f>
        <v>Jug</v>
      </c>
      <c r="AM2961" s="1" t="str">
        <f>VLOOKUP(C:C,[1]基础信息!B$1:E$65536,4,0)</f>
        <v>Marella</v>
      </c>
      <c r="AN2961" s="1" t="str">
        <f>VLOOKUP(C:C,[1]基础信息!B$1:F$65536,5,0)</f>
        <v>Blue Glitter</v>
      </c>
    </row>
    <row r="2962" spans="1:40">
      <c r="A2962" s="1" t="s">
        <v>41</v>
      </c>
      <c r="B2962" s="1" t="s">
        <v>42</v>
      </c>
      <c r="C2962" s="1" t="s">
        <v>4352</v>
      </c>
      <c r="D2962" s="1" t="s">
        <v>4353</v>
      </c>
      <c r="E2962" s="1" t="s">
        <v>45</v>
      </c>
      <c r="F2962" s="1" t="s">
        <v>5796</v>
      </c>
      <c r="G2962" s="1" t="s">
        <v>6787</v>
      </c>
      <c r="H2962" s="1" t="s">
        <v>6788</v>
      </c>
      <c r="I2962" s="1" t="s">
        <v>49</v>
      </c>
      <c r="J2962" s="1" t="s">
        <v>48</v>
      </c>
      <c r="K2962" s="1">
        <v>336</v>
      </c>
      <c r="L2962" s="1">
        <v>0</v>
      </c>
      <c r="M2962" s="1">
        <v>0</v>
      </c>
      <c r="N2962" s="1">
        <v>336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 t="s">
        <v>49</v>
      </c>
      <c r="AA2962" s="1" t="s">
        <v>49</v>
      </c>
      <c r="AB2962" s="1" t="s">
        <v>49</v>
      </c>
      <c r="AC2962" s="1" t="s">
        <v>206</v>
      </c>
      <c r="AD2962" s="1" t="s">
        <v>5795</v>
      </c>
      <c r="AE2962" s="1" t="s">
        <v>206</v>
      </c>
      <c r="AF2962" s="1" t="s">
        <v>5799</v>
      </c>
      <c r="AG2962" s="1" t="s">
        <v>53</v>
      </c>
      <c r="AH2962" s="1" t="s">
        <v>49</v>
      </c>
      <c r="AI2962" s="1" t="s">
        <v>54</v>
      </c>
      <c r="AJ2962" s="1">
        <v>1</v>
      </c>
      <c r="AK2962" s="1" t="str">
        <f t="shared" si="46"/>
        <v xml:space="preserve"> =&lt;90</v>
      </c>
      <c r="AL2962" s="1" t="e">
        <f>VLOOKUP(C:C,[1]基础信息!B$1:D$65536,3,0)</f>
        <v>#N/A</v>
      </c>
      <c r="AM2962" s="1" t="e">
        <f>VLOOKUP(C:C,[1]基础信息!B$1:E$65536,4,0)</f>
        <v>#N/A</v>
      </c>
      <c r="AN2962" s="1" t="e">
        <f>VLOOKUP(C:C,[1]基础信息!B$1:F$65536,5,0)</f>
        <v>#N/A</v>
      </c>
    </row>
    <row r="2963" spans="1:40">
      <c r="A2963" s="1" t="s">
        <v>41</v>
      </c>
      <c r="B2963" s="1" t="s">
        <v>42</v>
      </c>
      <c r="C2963" s="1" t="s">
        <v>4352</v>
      </c>
      <c r="D2963" s="1" t="s">
        <v>4353</v>
      </c>
      <c r="E2963" s="1" t="s">
        <v>45</v>
      </c>
      <c r="F2963" s="1" t="s">
        <v>5796</v>
      </c>
      <c r="G2963" s="1" t="s">
        <v>6789</v>
      </c>
      <c r="H2963" s="1" t="s">
        <v>6790</v>
      </c>
      <c r="I2963" s="1" t="s">
        <v>49</v>
      </c>
      <c r="J2963" s="1" t="s">
        <v>48</v>
      </c>
      <c r="K2963" s="1">
        <v>336</v>
      </c>
      <c r="L2963" s="1">
        <v>0</v>
      </c>
      <c r="M2963" s="1">
        <v>0</v>
      </c>
      <c r="N2963" s="1">
        <v>336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 t="s">
        <v>49</v>
      </c>
      <c r="AA2963" s="1" t="s">
        <v>49</v>
      </c>
      <c r="AB2963" s="1" t="s">
        <v>49</v>
      </c>
      <c r="AC2963" s="1" t="s">
        <v>206</v>
      </c>
      <c r="AD2963" s="1" t="s">
        <v>5795</v>
      </c>
      <c r="AE2963" s="1" t="s">
        <v>206</v>
      </c>
      <c r="AF2963" s="1" t="s">
        <v>5799</v>
      </c>
      <c r="AG2963" s="1" t="s">
        <v>53</v>
      </c>
      <c r="AH2963" s="1" t="s">
        <v>49</v>
      </c>
      <c r="AI2963" s="1" t="s">
        <v>54</v>
      </c>
      <c r="AJ2963" s="1">
        <v>1</v>
      </c>
      <c r="AK2963" s="1" t="str">
        <f t="shared" si="46"/>
        <v xml:space="preserve"> =&lt;90</v>
      </c>
      <c r="AL2963" s="1" t="e">
        <f>VLOOKUP(C:C,[1]基础信息!B$1:D$65536,3,0)</f>
        <v>#N/A</v>
      </c>
      <c r="AM2963" s="1" t="e">
        <f>VLOOKUP(C:C,[1]基础信息!B$1:E$65536,4,0)</f>
        <v>#N/A</v>
      </c>
      <c r="AN2963" s="1" t="e">
        <f>VLOOKUP(C:C,[1]基础信息!B$1:F$65536,5,0)</f>
        <v>#N/A</v>
      </c>
    </row>
    <row r="2964" spans="1:40">
      <c r="A2964" s="1" t="s">
        <v>41</v>
      </c>
      <c r="B2964" s="1" t="s">
        <v>42</v>
      </c>
      <c r="C2964" s="1" t="s">
        <v>4352</v>
      </c>
      <c r="D2964" s="1" t="s">
        <v>4353</v>
      </c>
      <c r="E2964" s="1" t="s">
        <v>45</v>
      </c>
      <c r="F2964" s="1" t="s">
        <v>5796</v>
      </c>
      <c r="G2964" s="1" t="s">
        <v>6791</v>
      </c>
      <c r="H2964" s="1" t="s">
        <v>6792</v>
      </c>
      <c r="I2964" s="1" t="s">
        <v>49</v>
      </c>
      <c r="J2964" s="1" t="s">
        <v>48</v>
      </c>
      <c r="K2964" s="1">
        <v>336</v>
      </c>
      <c r="L2964" s="1">
        <v>0</v>
      </c>
      <c r="M2964" s="1">
        <v>0</v>
      </c>
      <c r="N2964" s="1">
        <v>336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 t="s">
        <v>49</v>
      </c>
      <c r="AA2964" s="1" t="s">
        <v>49</v>
      </c>
      <c r="AB2964" s="1" t="s">
        <v>49</v>
      </c>
      <c r="AC2964" s="1" t="s">
        <v>206</v>
      </c>
      <c r="AD2964" s="1" t="s">
        <v>5795</v>
      </c>
      <c r="AE2964" s="1" t="s">
        <v>206</v>
      </c>
      <c r="AF2964" s="1" t="s">
        <v>5799</v>
      </c>
      <c r="AG2964" s="1" t="s">
        <v>53</v>
      </c>
      <c r="AH2964" s="1" t="s">
        <v>49</v>
      </c>
      <c r="AI2964" s="1" t="s">
        <v>54</v>
      </c>
      <c r="AJ2964" s="1">
        <v>1</v>
      </c>
      <c r="AK2964" s="1" t="str">
        <f t="shared" si="46"/>
        <v xml:space="preserve"> =&lt;90</v>
      </c>
      <c r="AL2964" s="1" t="e">
        <f>VLOOKUP(C:C,[1]基础信息!B$1:D$65536,3,0)</f>
        <v>#N/A</v>
      </c>
      <c r="AM2964" s="1" t="e">
        <f>VLOOKUP(C:C,[1]基础信息!B$1:E$65536,4,0)</f>
        <v>#N/A</v>
      </c>
      <c r="AN2964" s="1" t="e">
        <f>VLOOKUP(C:C,[1]基础信息!B$1:F$65536,5,0)</f>
        <v>#N/A</v>
      </c>
    </row>
    <row r="2965" spans="1:40">
      <c r="A2965" s="1" t="s">
        <v>41</v>
      </c>
      <c r="B2965" s="1" t="s">
        <v>42</v>
      </c>
      <c r="C2965" s="1" t="s">
        <v>1437</v>
      </c>
      <c r="D2965" s="1" t="s">
        <v>1438</v>
      </c>
      <c r="E2965" s="1" t="s">
        <v>45</v>
      </c>
      <c r="F2965" s="1" t="s">
        <v>6793</v>
      </c>
      <c r="G2965" s="1" t="s">
        <v>6794</v>
      </c>
      <c r="H2965" s="1" t="s">
        <v>45</v>
      </c>
      <c r="I2965" s="1" t="s">
        <v>45</v>
      </c>
      <c r="J2965" s="1" t="s">
        <v>48</v>
      </c>
      <c r="K2965" s="1">
        <v>6</v>
      </c>
      <c r="L2965" s="1">
        <v>0</v>
      </c>
      <c r="M2965" s="1">
        <v>0</v>
      </c>
      <c r="N2965" s="1">
        <v>6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 t="s">
        <v>49</v>
      </c>
      <c r="AA2965" s="1" t="s">
        <v>49</v>
      </c>
      <c r="AB2965" s="1" t="s">
        <v>49</v>
      </c>
      <c r="AC2965" s="1" t="s">
        <v>6795</v>
      </c>
      <c r="AD2965" s="1" t="s">
        <v>6796</v>
      </c>
      <c r="AE2965" s="1" t="s">
        <v>6795</v>
      </c>
      <c r="AF2965" s="1" t="s">
        <v>6797</v>
      </c>
      <c r="AG2965" s="1" t="s">
        <v>53</v>
      </c>
      <c r="AH2965" s="1" t="s">
        <v>49</v>
      </c>
      <c r="AI2965" s="1" t="s">
        <v>54</v>
      </c>
      <c r="AJ2965" s="1">
        <v>1</v>
      </c>
      <c r="AK2965" s="1" t="str">
        <f t="shared" si="46"/>
        <v xml:space="preserve"> =&lt;90</v>
      </c>
      <c r="AL2965" s="1" t="str">
        <f>VLOOKUP(C:C,[1]基础信息!B$1:D$65536,3,0)</f>
        <v>On tap</v>
      </c>
      <c r="AM2965" s="1" t="str">
        <f>VLOOKUP(C:C,[1]基础信息!B$1:E$65536,4,0)</f>
        <v>On tap</v>
      </c>
      <c r="AN2965" s="1" t="str">
        <f>VLOOKUP(C:C,[1]基础信息!B$1:F$65536,5,0)</f>
        <v>On tap</v>
      </c>
    </row>
    <row r="2966" spans="1:40">
      <c r="A2966" s="1" t="s">
        <v>41</v>
      </c>
      <c r="B2966" s="1" t="s">
        <v>42</v>
      </c>
      <c r="C2966" s="1" t="s">
        <v>4352</v>
      </c>
      <c r="D2966" s="1" t="s">
        <v>4353</v>
      </c>
      <c r="E2966" s="1" t="s">
        <v>45</v>
      </c>
      <c r="F2966" s="1" t="s">
        <v>5796</v>
      </c>
      <c r="G2966" s="1" t="s">
        <v>6798</v>
      </c>
      <c r="H2966" s="1" t="s">
        <v>6799</v>
      </c>
      <c r="I2966" s="1" t="s">
        <v>49</v>
      </c>
      <c r="J2966" s="1" t="s">
        <v>48</v>
      </c>
      <c r="K2966" s="1">
        <v>336</v>
      </c>
      <c r="L2966" s="1">
        <v>0</v>
      </c>
      <c r="M2966" s="1">
        <v>0</v>
      </c>
      <c r="N2966" s="1">
        <v>336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 t="s">
        <v>49</v>
      </c>
      <c r="AA2966" s="1" t="s">
        <v>49</v>
      </c>
      <c r="AB2966" s="1" t="s">
        <v>49</v>
      </c>
      <c r="AC2966" s="1" t="s">
        <v>206</v>
      </c>
      <c r="AD2966" s="1" t="s">
        <v>5795</v>
      </c>
      <c r="AE2966" s="1" t="s">
        <v>206</v>
      </c>
      <c r="AF2966" s="1" t="s">
        <v>5799</v>
      </c>
      <c r="AG2966" s="1" t="s">
        <v>53</v>
      </c>
      <c r="AH2966" s="1" t="s">
        <v>49</v>
      </c>
      <c r="AI2966" s="1" t="s">
        <v>54</v>
      </c>
      <c r="AJ2966" s="1">
        <v>1</v>
      </c>
      <c r="AK2966" s="1" t="str">
        <f t="shared" si="46"/>
        <v xml:space="preserve"> =&lt;90</v>
      </c>
      <c r="AL2966" s="1" t="e">
        <f>VLOOKUP(C:C,[1]基础信息!B$1:D$65536,3,0)</f>
        <v>#N/A</v>
      </c>
      <c r="AM2966" s="1" t="e">
        <f>VLOOKUP(C:C,[1]基础信息!B$1:E$65536,4,0)</f>
        <v>#N/A</v>
      </c>
      <c r="AN2966" s="1" t="e">
        <f>VLOOKUP(C:C,[1]基础信息!B$1:F$65536,5,0)</f>
        <v>#N/A</v>
      </c>
    </row>
    <row r="2967" spans="1:40">
      <c r="A2967" s="1" t="s">
        <v>41</v>
      </c>
      <c r="B2967" s="1" t="s">
        <v>42</v>
      </c>
      <c r="C2967" s="1" t="s">
        <v>4352</v>
      </c>
      <c r="D2967" s="1" t="s">
        <v>4353</v>
      </c>
      <c r="E2967" s="1" t="s">
        <v>45</v>
      </c>
      <c r="F2967" s="1" t="s">
        <v>5796</v>
      </c>
      <c r="G2967" s="1" t="s">
        <v>6800</v>
      </c>
      <c r="H2967" s="1" t="s">
        <v>6801</v>
      </c>
      <c r="I2967" s="1" t="s">
        <v>49</v>
      </c>
      <c r="J2967" s="1" t="s">
        <v>48</v>
      </c>
      <c r="K2967" s="1">
        <v>336</v>
      </c>
      <c r="L2967" s="1">
        <v>0</v>
      </c>
      <c r="M2967" s="1">
        <v>0</v>
      </c>
      <c r="N2967" s="1">
        <v>336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 t="s">
        <v>49</v>
      </c>
      <c r="AA2967" s="1" t="s">
        <v>49</v>
      </c>
      <c r="AB2967" s="1" t="s">
        <v>49</v>
      </c>
      <c r="AC2967" s="1" t="s">
        <v>206</v>
      </c>
      <c r="AD2967" s="1" t="s">
        <v>5795</v>
      </c>
      <c r="AE2967" s="1" t="s">
        <v>206</v>
      </c>
      <c r="AF2967" s="1" t="s">
        <v>5799</v>
      </c>
      <c r="AG2967" s="1" t="s">
        <v>53</v>
      </c>
      <c r="AH2967" s="1" t="s">
        <v>49</v>
      </c>
      <c r="AI2967" s="1" t="s">
        <v>54</v>
      </c>
      <c r="AJ2967" s="1">
        <v>1</v>
      </c>
      <c r="AK2967" s="1" t="str">
        <f t="shared" si="46"/>
        <v xml:space="preserve"> =&lt;90</v>
      </c>
      <c r="AL2967" s="1" t="e">
        <f>VLOOKUP(C:C,[1]基础信息!B$1:D$65536,3,0)</f>
        <v>#N/A</v>
      </c>
      <c r="AM2967" s="1" t="e">
        <f>VLOOKUP(C:C,[1]基础信息!B$1:E$65536,4,0)</f>
        <v>#N/A</v>
      </c>
      <c r="AN2967" s="1" t="e">
        <f>VLOOKUP(C:C,[1]基础信息!B$1:F$65536,5,0)</f>
        <v>#N/A</v>
      </c>
    </row>
    <row r="2968" spans="1:40">
      <c r="A2968" s="1" t="s">
        <v>41</v>
      </c>
      <c r="B2968" s="1" t="s">
        <v>42</v>
      </c>
      <c r="C2968" s="1" t="s">
        <v>4352</v>
      </c>
      <c r="D2968" s="1" t="s">
        <v>4353</v>
      </c>
      <c r="E2968" s="1" t="s">
        <v>45</v>
      </c>
      <c r="F2968" s="1" t="s">
        <v>5796</v>
      </c>
      <c r="G2968" s="1" t="s">
        <v>6802</v>
      </c>
      <c r="H2968" s="1" t="s">
        <v>6803</v>
      </c>
      <c r="I2968" s="1" t="s">
        <v>49</v>
      </c>
      <c r="J2968" s="1" t="s">
        <v>48</v>
      </c>
      <c r="K2968" s="1">
        <v>336</v>
      </c>
      <c r="L2968" s="1">
        <v>0</v>
      </c>
      <c r="M2968" s="1">
        <v>0</v>
      </c>
      <c r="N2968" s="1">
        <v>336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 t="s">
        <v>49</v>
      </c>
      <c r="AA2968" s="1" t="s">
        <v>49</v>
      </c>
      <c r="AB2968" s="1" t="s">
        <v>49</v>
      </c>
      <c r="AC2968" s="1" t="s">
        <v>206</v>
      </c>
      <c r="AD2968" s="1" t="s">
        <v>5795</v>
      </c>
      <c r="AE2968" s="1" t="s">
        <v>206</v>
      </c>
      <c r="AF2968" s="1" t="s">
        <v>5799</v>
      </c>
      <c r="AG2968" s="1" t="s">
        <v>53</v>
      </c>
      <c r="AH2968" s="1" t="s">
        <v>49</v>
      </c>
      <c r="AI2968" s="1" t="s">
        <v>54</v>
      </c>
      <c r="AJ2968" s="1">
        <v>1</v>
      </c>
      <c r="AK2968" s="1" t="str">
        <f t="shared" si="46"/>
        <v xml:space="preserve"> =&lt;90</v>
      </c>
      <c r="AL2968" s="1" t="e">
        <f>VLOOKUP(C:C,[1]基础信息!B$1:D$65536,3,0)</f>
        <v>#N/A</v>
      </c>
      <c r="AM2968" s="1" t="e">
        <f>VLOOKUP(C:C,[1]基础信息!B$1:E$65536,4,0)</f>
        <v>#N/A</v>
      </c>
      <c r="AN2968" s="1" t="e">
        <f>VLOOKUP(C:C,[1]基础信息!B$1:F$65536,5,0)</f>
        <v>#N/A</v>
      </c>
    </row>
    <row r="2969" spans="1:40">
      <c r="A2969" s="1" t="s">
        <v>41</v>
      </c>
      <c r="B2969" s="1" t="s">
        <v>42</v>
      </c>
      <c r="C2969" s="1" t="s">
        <v>4352</v>
      </c>
      <c r="D2969" s="1" t="s">
        <v>4353</v>
      </c>
      <c r="E2969" s="1" t="s">
        <v>45</v>
      </c>
      <c r="F2969" s="1" t="s">
        <v>5796</v>
      </c>
      <c r="G2969" s="1" t="s">
        <v>6804</v>
      </c>
      <c r="H2969" s="1" t="s">
        <v>6805</v>
      </c>
      <c r="I2969" s="1" t="s">
        <v>49</v>
      </c>
      <c r="J2969" s="1" t="s">
        <v>48</v>
      </c>
      <c r="K2969" s="1">
        <v>336</v>
      </c>
      <c r="L2969" s="1">
        <v>0</v>
      </c>
      <c r="M2969" s="1">
        <v>0</v>
      </c>
      <c r="N2969" s="1">
        <v>336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 t="s">
        <v>49</v>
      </c>
      <c r="AA2969" s="1" t="s">
        <v>49</v>
      </c>
      <c r="AB2969" s="1" t="s">
        <v>49</v>
      </c>
      <c r="AC2969" s="1" t="s">
        <v>206</v>
      </c>
      <c r="AD2969" s="1" t="s">
        <v>5795</v>
      </c>
      <c r="AE2969" s="1" t="s">
        <v>206</v>
      </c>
      <c r="AF2969" s="1" t="s">
        <v>5799</v>
      </c>
      <c r="AG2969" s="1" t="s">
        <v>53</v>
      </c>
      <c r="AH2969" s="1" t="s">
        <v>49</v>
      </c>
      <c r="AI2969" s="1" t="s">
        <v>54</v>
      </c>
      <c r="AJ2969" s="1">
        <v>1</v>
      </c>
      <c r="AK2969" s="1" t="str">
        <f t="shared" si="46"/>
        <v xml:space="preserve"> =&lt;90</v>
      </c>
      <c r="AL2969" s="1" t="e">
        <f>VLOOKUP(C:C,[1]基础信息!B$1:D$65536,3,0)</f>
        <v>#N/A</v>
      </c>
      <c r="AM2969" s="1" t="e">
        <f>VLOOKUP(C:C,[1]基础信息!B$1:E$65536,4,0)</f>
        <v>#N/A</v>
      </c>
      <c r="AN2969" s="1" t="e">
        <f>VLOOKUP(C:C,[1]基础信息!B$1:F$65536,5,0)</f>
        <v>#N/A</v>
      </c>
    </row>
    <row r="2970" spans="1:40">
      <c r="A2970" s="1" t="s">
        <v>41</v>
      </c>
      <c r="B2970" s="1" t="s">
        <v>42</v>
      </c>
      <c r="C2970" s="1" t="s">
        <v>6806</v>
      </c>
      <c r="D2970" s="1" t="s">
        <v>6807</v>
      </c>
      <c r="E2970" s="1" t="s">
        <v>45</v>
      </c>
      <c r="F2970" s="1" t="s">
        <v>6808</v>
      </c>
      <c r="G2970" s="1" t="s">
        <v>6809</v>
      </c>
      <c r="H2970" s="1" t="s">
        <v>45</v>
      </c>
      <c r="I2970" s="1" t="s">
        <v>45</v>
      </c>
      <c r="J2970" s="1" t="s">
        <v>48</v>
      </c>
      <c r="K2970" s="1">
        <v>1079</v>
      </c>
      <c r="L2970" s="1">
        <v>0</v>
      </c>
      <c r="M2970" s="1">
        <v>0</v>
      </c>
      <c r="N2970" s="1">
        <v>1079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 t="s">
        <v>49</v>
      </c>
      <c r="AA2970" s="1" t="s">
        <v>49</v>
      </c>
      <c r="AB2970" s="1" t="s">
        <v>49</v>
      </c>
      <c r="AC2970" s="1" t="s">
        <v>6810</v>
      </c>
      <c r="AD2970" s="1" t="s">
        <v>6811</v>
      </c>
      <c r="AE2970" s="1" t="s">
        <v>6810</v>
      </c>
      <c r="AF2970" s="1" t="s">
        <v>6812</v>
      </c>
      <c r="AG2970" s="1" t="s">
        <v>53</v>
      </c>
      <c r="AH2970" s="1" t="s">
        <v>49</v>
      </c>
      <c r="AI2970" s="1" t="s">
        <v>54</v>
      </c>
      <c r="AJ2970" s="1">
        <v>1</v>
      </c>
      <c r="AK2970" s="1" t="str">
        <f t="shared" si="46"/>
        <v xml:space="preserve"> =&lt;90</v>
      </c>
      <c r="AL2970" s="1" t="e">
        <f>VLOOKUP(C:C,[1]基础信息!B$1:D$65536,3,0)</f>
        <v>#N/A</v>
      </c>
      <c r="AM2970" s="1" t="e">
        <f>VLOOKUP(C:C,[1]基础信息!B$1:E$65536,4,0)</f>
        <v>#N/A</v>
      </c>
      <c r="AN2970" s="1" t="e">
        <f>VLOOKUP(C:C,[1]基础信息!B$1:F$65536,5,0)</f>
        <v>#N/A</v>
      </c>
    </row>
    <row r="2971" spans="1:40">
      <c r="A2971" s="1" t="s">
        <v>41</v>
      </c>
      <c r="B2971" s="1" t="s">
        <v>42</v>
      </c>
      <c r="C2971" s="1" t="s">
        <v>4352</v>
      </c>
      <c r="D2971" s="1" t="s">
        <v>4353</v>
      </c>
      <c r="E2971" s="1" t="s">
        <v>45</v>
      </c>
      <c r="F2971" s="1" t="s">
        <v>5796</v>
      </c>
      <c r="G2971" s="1" t="s">
        <v>6813</v>
      </c>
      <c r="H2971" s="1" t="s">
        <v>6814</v>
      </c>
      <c r="I2971" s="1" t="s">
        <v>49</v>
      </c>
      <c r="J2971" s="1" t="s">
        <v>48</v>
      </c>
      <c r="K2971" s="1">
        <v>336</v>
      </c>
      <c r="L2971" s="1">
        <v>0</v>
      </c>
      <c r="M2971" s="1">
        <v>0</v>
      </c>
      <c r="N2971" s="1">
        <v>336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 t="s">
        <v>49</v>
      </c>
      <c r="AA2971" s="1" t="s">
        <v>49</v>
      </c>
      <c r="AB2971" s="1" t="s">
        <v>49</v>
      </c>
      <c r="AC2971" s="1" t="s">
        <v>206</v>
      </c>
      <c r="AD2971" s="1" t="s">
        <v>5795</v>
      </c>
      <c r="AE2971" s="1" t="s">
        <v>206</v>
      </c>
      <c r="AF2971" s="1" t="s">
        <v>5799</v>
      </c>
      <c r="AG2971" s="1" t="s">
        <v>53</v>
      </c>
      <c r="AH2971" s="1" t="s">
        <v>49</v>
      </c>
      <c r="AI2971" s="1" t="s">
        <v>54</v>
      </c>
      <c r="AJ2971" s="1">
        <v>1</v>
      </c>
      <c r="AK2971" s="1" t="str">
        <f t="shared" si="46"/>
        <v xml:space="preserve"> =&lt;90</v>
      </c>
      <c r="AL2971" s="1" t="e">
        <f>VLOOKUP(C:C,[1]基础信息!B$1:D$65536,3,0)</f>
        <v>#N/A</v>
      </c>
      <c r="AM2971" s="1" t="e">
        <f>VLOOKUP(C:C,[1]基础信息!B$1:E$65536,4,0)</f>
        <v>#N/A</v>
      </c>
      <c r="AN2971" s="1" t="e">
        <f>VLOOKUP(C:C,[1]基础信息!B$1:F$65536,5,0)</f>
        <v>#N/A</v>
      </c>
    </row>
    <row r="2972" spans="1:40">
      <c r="A2972" s="1" t="s">
        <v>41</v>
      </c>
      <c r="B2972" s="1" t="s">
        <v>42</v>
      </c>
      <c r="C2972" s="1" t="s">
        <v>4352</v>
      </c>
      <c r="D2972" s="1" t="s">
        <v>4353</v>
      </c>
      <c r="E2972" s="1" t="s">
        <v>45</v>
      </c>
      <c r="F2972" s="1" t="s">
        <v>5796</v>
      </c>
      <c r="G2972" s="1" t="s">
        <v>6815</v>
      </c>
      <c r="H2972" s="1" t="s">
        <v>6816</v>
      </c>
      <c r="I2972" s="1" t="s">
        <v>49</v>
      </c>
      <c r="J2972" s="1" t="s">
        <v>48</v>
      </c>
      <c r="K2972" s="1">
        <v>336</v>
      </c>
      <c r="L2972" s="1">
        <v>0</v>
      </c>
      <c r="M2972" s="1">
        <v>0</v>
      </c>
      <c r="N2972" s="1">
        <v>336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 t="s">
        <v>49</v>
      </c>
      <c r="AA2972" s="1" t="s">
        <v>49</v>
      </c>
      <c r="AB2972" s="1" t="s">
        <v>49</v>
      </c>
      <c r="AC2972" s="1" t="s">
        <v>206</v>
      </c>
      <c r="AD2972" s="1" t="s">
        <v>5795</v>
      </c>
      <c r="AE2972" s="1" t="s">
        <v>206</v>
      </c>
      <c r="AF2972" s="1" t="s">
        <v>5799</v>
      </c>
      <c r="AG2972" s="1" t="s">
        <v>53</v>
      </c>
      <c r="AH2972" s="1" t="s">
        <v>49</v>
      </c>
      <c r="AI2972" s="1" t="s">
        <v>54</v>
      </c>
      <c r="AJ2972" s="1">
        <v>1</v>
      </c>
      <c r="AK2972" s="1" t="str">
        <f t="shared" si="46"/>
        <v xml:space="preserve"> =&lt;90</v>
      </c>
      <c r="AL2972" s="1" t="e">
        <f>VLOOKUP(C:C,[1]基础信息!B$1:D$65536,3,0)</f>
        <v>#N/A</v>
      </c>
      <c r="AM2972" s="1" t="e">
        <f>VLOOKUP(C:C,[1]基础信息!B$1:E$65536,4,0)</f>
        <v>#N/A</v>
      </c>
      <c r="AN2972" s="1" t="e">
        <f>VLOOKUP(C:C,[1]基础信息!B$1:F$65536,5,0)</f>
        <v>#N/A</v>
      </c>
    </row>
    <row r="2973" spans="1:40">
      <c r="A2973" s="1" t="s">
        <v>41</v>
      </c>
      <c r="B2973" s="1" t="s">
        <v>42</v>
      </c>
      <c r="C2973" s="1" t="s">
        <v>5154</v>
      </c>
      <c r="D2973" s="1" t="s">
        <v>5155</v>
      </c>
      <c r="E2973" s="1" t="s">
        <v>45</v>
      </c>
      <c r="F2973" s="1" t="s">
        <v>6817</v>
      </c>
      <c r="G2973" s="1" t="s">
        <v>6818</v>
      </c>
      <c r="H2973" s="1" t="s">
        <v>6819</v>
      </c>
      <c r="I2973" s="1" t="s">
        <v>49</v>
      </c>
      <c r="J2973" s="1" t="s">
        <v>48</v>
      </c>
      <c r="K2973" s="1">
        <v>270</v>
      </c>
      <c r="L2973" s="1">
        <v>0</v>
      </c>
      <c r="M2973" s="1">
        <v>0</v>
      </c>
      <c r="N2973" s="1">
        <v>270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 t="s">
        <v>49</v>
      </c>
      <c r="AA2973" s="1" t="s">
        <v>49</v>
      </c>
      <c r="AB2973" s="1" t="s">
        <v>49</v>
      </c>
      <c r="AC2973" s="1" t="s">
        <v>206</v>
      </c>
      <c r="AD2973" s="1" t="s">
        <v>5795</v>
      </c>
      <c r="AE2973" s="1" t="s">
        <v>206</v>
      </c>
      <c r="AF2973" s="1" t="s">
        <v>6656</v>
      </c>
      <c r="AG2973" s="1" t="s">
        <v>53</v>
      </c>
      <c r="AH2973" s="1" t="s">
        <v>49</v>
      </c>
      <c r="AI2973" s="1" t="s">
        <v>54</v>
      </c>
      <c r="AJ2973" s="1">
        <v>1</v>
      </c>
      <c r="AK2973" s="1" t="str">
        <f t="shared" si="46"/>
        <v xml:space="preserve"> =&lt;90</v>
      </c>
      <c r="AL2973" s="1" t="e">
        <f>VLOOKUP(C:C,[1]基础信息!B$1:D$65536,3,0)</f>
        <v>#N/A</v>
      </c>
      <c r="AM2973" s="1" t="e">
        <f>VLOOKUP(C:C,[1]基础信息!B$1:E$65536,4,0)</f>
        <v>#N/A</v>
      </c>
      <c r="AN2973" s="1" t="e">
        <f>VLOOKUP(C:C,[1]基础信息!B$1:F$65536,5,0)</f>
        <v>#N/A</v>
      </c>
    </row>
    <row r="2974" spans="1:40">
      <c r="A2974" s="1" t="s">
        <v>41</v>
      </c>
      <c r="B2974" s="1" t="s">
        <v>42</v>
      </c>
      <c r="C2974" s="1" t="s">
        <v>5154</v>
      </c>
      <c r="D2974" s="1" t="s">
        <v>5155</v>
      </c>
      <c r="E2974" s="1" t="s">
        <v>45</v>
      </c>
      <c r="F2974" s="1" t="s">
        <v>6817</v>
      </c>
      <c r="G2974" s="1" t="s">
        <v>6820</v>
      </c>
      <c r="H2974" s="1" t="s">
        <v>6821</v>
      </c>
      <c r="I2974" s="1" t="s">
        <v>49</v>
      </c>
      <c r="J2974" s="1" t="s">
        <v>48</v>
      </c>
      <c r="K2974" s="1">
        <v>270</v>
      </c>
      <c r="L2974" s="1">
        <v>0</v>
      </c>
      <c r="M2974" s="1">
        <v>0</v>
      </c>
      <c r="N2974" s="1">
        <v>270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 t="s">
        <v>49</v>
      </c>
      <c r="AA2974" s="1" t="s">
        <v>49</v>
      </c>
      <c r="AB2974" s="1" t="s">
        <v>49</v>
      </c>
      <c r="AC2974" s="1" t="s">
        <v>206</v>
      </c>
      <c r="AD2974" s="1" t="s">
        <v>5795</v>
      </c>
      <c r="AE2974" s="1" t="s">
        <v>206</v>
      </c>
      <c r="AF2974" s="1" t="s">
        <v>6656</v>
      </c>
      <c r="AG2974" s="1" t="s">
        <v>53</v>
      </c>
      <c r="AH2974" s="1" t="s">
        <v>49</v>
      </c>
      <c r="AI2974" s="1" t="s">
        <v>54</v>
      </c>
      <c r="AJ2974" s="1">
        <v>1</v>
      </c>
      <c r="AK2974" s="1" t="str">
        <f t="shared" si="46"/>
        <v xml:space="preserve"> =&lt;90</v>
      </c>
      <c r="AL2974" s="1" t="e">
        <f>VLOOKUP(C:C,[1]基础信息!B$1:D$65536,3,0)</f>
        <v>#N/A</v>
      </c>
      <c r="AM2974" s="1" t="e">
        <f>VLOOKUP(C:C,[1]基础信息!B$1:E$65536,4,0)</f>
        <v>#N/A</v>
      </c>
      <c r="AN2974" s="1" t="e">
        <f>VLOOKUP(C:C,[1]基础信息!B$1:F$65536,5,0)</f>
        <v>#N/A</v>
      </c>
    </row>
    <row r="2975" spans="1:40">
      <c r="A2975" s="1" t="s">
        <v>41</v>
      </c>
      <c r="B2975" s="1" t="s">
        <v>42</v>
      </c>
      <c r="C2975" s="1" t="s">
        <v>5154</v>
      </c>
      <c r="D2975" s="1" t="s">
        <v>5155</v>
      </c>
      <c r="E2975" s="1" t="s">
        <v>45</v>
      </c>
      <c r="F2975" s="1" t="s">
        <v>6817</v>
      </c>
      <c r="G2975" s="1" t="s">
        <v>6822</v>
      </c>
      <c r="H2975" s="1" t="s">
        <v>6823</v>
      </c>
      <c r="I2975" s="1" t="s">
        <v>49</v>
      </c>
      <c r="J2975" s="1" t="s">
        <v>48</v>
      </c>
      <c r="K2975" s="1">
        <v>270</v>
      </c>
      <c r="L2975" s="1">
        <v>0</v>
      </c>
      <c r="M2975" s="1">
        <v>0</v>
      </c>
      <c r="N2975" s="1">
        <v>270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 t="s">
        <v>49</v>
      </c>
      <c r="AA2975" s="1" t="s">
        <v>49</v>
      </c>
      <c r="AB2975" s="1" t="s">
        <v>49</v>
      </c>
      <c r="AC2975" s="1" t="s">
        <v>206</v>
      </c>
      <c r="AD2975" s="1" t="s">
        <v>5795</v>
      </c>
      <c r="AE2975" s="1" t="s">
        <v>206</v>
      </c>
      <c r="AF2975" s="1" t="s">
        <v>6656</v>
      </c>
      <c r="AG2975" s="1" t="s">
        <v>53</v>
      </c>
      <c r="AH2975" s="1" t="s">
        <v>49</v>
      </c>
      <c r="AI2975" s="1" t="s">
        <v>54</v>
      </c>
      <c r="AJ2975" s="1">
        <v>1</v>
      </c>
      <c r="AK2975" s="1" t="str">
        <f t="shared" si="46"/>
        <v xml:space="preserve"> =&lt;90</v>
      </c>
      <c r="AL2975" s="1" t="e">
        <f>VLOOKUP(C:C,[1]基础信息!B$1:D$65536,3,0)</f>
        <v>#N/A</v>
      </c>
      <c r="AM2975" s="1" t="e">
        <f>VLOOKUP(C:C,[1]基础信息!B$1:E$65536,4,0)</f>
        <v>#N/A</v>
      </c>
      <c r="AN2975" s="1" t="e">
        <f>VLOOKUP(C:C,[1]基础信息!B$1:F$65536,5,0)</f>
        <v>#N/A</v>
      </c>
    </row>
    <row r="2976" spans="1:40">
      <c r="A2976" s="1" t="s">
        <v>41</v>
      </c>
      <c r="B2976" s="1" t="s">
        <v>42</v>
      </c>
      <c r="C2976" s="1" t="s">
        <v>341</v>
      </c>
      <c r="D2976" s="1" t="s">
        <v>342</v>
      </c>
      <c r="E2976" s="1" t="s">
        <v>45</v>
      </c>
      <c r="F2976" s="1" t="s">
        <v>6770</v>
      </c>
      <c r="G2976" s="1" t="s">
        <v>6824</v>
      </c>
      <c r="H2976" s="1" t="s">
        <v>6825</v>
      </c>
      <c r="I2976" s="1" t="s">
        <v>49</v>
      </c>
      <c r="J2976" s="1" t="s">
        <v>48</v>
      </c>
      <c r="K2976" s="1">
        <v>70</v>
      </c>
      <c r="L2976" s="1">
        <v>0</v>
      </c>
      <c r="M2976" s="1">
        <v>0</v>
      </c>
      <c r="N2976" s="1">
        <v>70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 t="s">
        <v>49</v>
      </c>
      <c r="AA2976" s="1" t="s">
        <v>49</v>
      </c>
      <c r="AB2976" s="1" t="s">
        <v>49</v>
      </c>
      <c r="AC2976" s="1" t="s">
        <v>346</v>
      </c>
      <c r="AD2976" s="1" t="s">
        <v>347</v>
      </c>
      <c r="AE2976" s="1" t="s">
        <v>346</v>
      </c>
      <c r="AF2976" s="1" t="s">
        <v>6773</v>
      </c>
      <c r="AG2976" s="1" t="s">
        <v>338</v>
      </c>
      <c r="AH2976" s="1" t="s">
        <v>49</v>
      </c>
      <c r="AI2976" s="1" t="s">
        <v>54</v>
      </c>
      <c r="AJ2976" s="1">
        <v>1</v>
      </c>
      <c r="AK2976" s="1" t="str">
        <f t="shared" si="46"/>
        <v xml:space="preserve"> =&lt;90</v>
      </c>
      <c r="AL2976" s="1" t="str">
        <f>VLOOKUP(C:C,[1]基础信息!B$1:D$65536,3,0)</f>
        <v>Jug</v>
      </c>
      <c r="AM2976" s="1" t="str">
        <f>VLOOKUP(C:C,[1]基础信息!B$1:E$65536,4,0)</f>
        <v>Marella</v>
      </c>
      <c r="AN2976" s="1" t="str">
        <f>VLOOKUP(C:C,[1]基础信息!B$1:F$65536,5,0)</f>
        <v>Blue Glitter</v>
      </c>
    </row>
    <row r="2977" spans="1:40">
      <c r="A2977" s="1" t="s">
        <v>41</v>
      </c>
      <c r="B2977" s="1" t="s">
        <v>42</v>
      </c>
      <c r="C2977" s="1" t="s">
        <v>4352</v>
      </c>
      <c r="D2977" s="1" t="s">
        <v>4353</v>
      </c>
      <c r="E2977" s="1" t="s">
        <v>45</v>
      </c>
      <c r="F2977" s="1" t="s">
        <v>5792</v>
      </c>
      <c r="G2977" s="1" t="s">
        <v>6826</v>
      </c>
      <c r="H2977" s="1" t="s">
        <v>6827</v>
      </c>
      <c r="I2977" s="1" t="s">
        <v>49</v>
      </c>
      <c r="J2977" s="1" t="s">
        <v>48</v>
      </c>
      <c r="K2977" s="1">
        <v>336</v>
      </c>
      <c r="L2977" s="1">
        <v>0</v>
      </c>
      <c r="M2977" s="1">
        <v>0</v>
      </c>
      <c r="N2977" s="1">
        <v>336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 t="s">
        <v>49</v>
      </c>
      <c r="AA2977" s="1" t="s">
        <v>49</v>
      </c>
      <c r="AB2977" s="1" t="s">
        <v>49</v>
      </c>
      <c r="AC2977" s="1" t="s">
        <v>206</v>
      </c>
      <c r="AD2977" s="1" t="s">
        <v>5795</v>
      </c>
      <c r="AE2977" s="1" t="s">
        <v>206</v>
      </c>
      <c r="AF2977" s="1" t="s">
        <v>5186</v>
      </c>
      <c r="AG2977" s="1" t="s">
        <v>53</v>
      </c>
      <c r="AH2977" s="1" t="s">
        <v>49</v>
      </c>
      <c r="AI2977" s="1" t="s">
        <v>54</v>
      </c>
      <c r="AJ2977" s="1">
        <v>1</v>
      </c>
      <c r="AK2977" s="1" t="str">
        <f t="shared" si="46"/>
        <v xml:space="preserve"> =&lt;90</v>
      </c>
      <c r="AL2977" s="1" t="e">
        <f>VLOOKUP(C:C,[1]基础信息!B$1:D$65536,3,0)</f>
        <v>#N/A</v>
      </c>
      <c r="AM2977" s="1" t="e">
        <f>VLOOKUP(C:C,[1]基础信息!B$1:E$65536,4,0)</f>
        <v>#N/A</v>
      </c>
      <c r="AN2977" s="1" t="e">
        <f>VLOOKUP(C:C,[1]基础信息!B$1:F$65536,5,0)</f>
        <v>#N/A</v>
      </c>
    </row>
    <row r="2978" spans="1:40">
      <c r="A2978" s="1" t="s">
        <v>41</v>
      </c>
      <c r="B2978" s="1" t="s">
        <v>42</v>
      </c>
      <c r="C2978" s="1" t="s">
        <v>4352</v>
      </c>
      <c r="D2978" s="1" t="s">
        <v>4353</v>
      </c>
      <c r="E2978" s="1" t="s">
        <v>45</v>
      </c>
      <c r="F2978" s="1" t="s">
        <v>5792</v>
      </c>
      <c r="G2978" s="1" t="s">
        <v>6828</v>
      </c>
      <c r="H2978" s="1" t="s">
        <v>6829</v>
      </c>
      <c r="I2978" s="1" t="s">
        <v>49</v>
      </c>
      <c r="J2978" s="1" t="s">
        <v>48</v>
      </c>
      <c r="K2978" s="1">
        <v>336</v>
      </c>
      <c r="L2978" s="1">
        <v>0</v>
      </c>
      <c r="M2978" s="1">
        <v>0</v>
      </c>
      <c r="N2978" s="1">
        <v>336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 t="s">
        <v>49</v>
      </c>
      <c r="AA2978" s="1" t="s">
        <v>49</v>
      </c>
      <c r="AB2978" s="1" t="s">
        <v>49</v>
      </c>
      <c r="AC2978" s="1" t="s">
        <v>206</v>
      </c>
      <c r="AD2978" s="1" t="s">
        <v>5795</v>
      </c>
      <c r="AE2978" s="1" t="s">
        <v>206</v>
      </c>
      <c r="AF2978" s="1" t="s">
        <v>5186</v>
      </c>
      <c r="AG2978" s="1" t="s">
        <v>53</v>
      </c>
      <c r="AH2978" s="1" t="s">
        <v>49</v>
      </c>
      <c r="AI2978" s="1" t="s">
        <v>54</v>
      </c>
      <c r="AJ2978" s="1">
        <v>1</v>
      </c>
      <c r="AK2978" s="1" t="str">
        <f t="shared" si="46"/>
        <v xml:space="preserve"> =&lt;90</v>
      </c>
      <c r="AL2978" s="1" t="e">
        <f>VLOOKUP(C:C,[1]基础信息!B$1:D$65536,3,0)</f>
        <v>#N/A</v>
      </c>
      <c r="AM2978" s="1" t="e">
        <f>VLOOKUP(C:C,[1]基础信息!B$1:E$65536,4,0)</f>
        <v>#N/A</v>
      </c>
      <c r="AN2978" s="1" t="e">
        <f>VLOOKUP(C:C,[1]基础信息!B$1:F$65536,5,0)</f>
        <v>#N/A</v>
      </c>
    </row>
    <row r="2979" spans="1:40">
      <c r="A2979" s="1" t="s">
        <v>41</v>
      </c>
      <c r="B2979" s="1" t="s">
        <v>42</v>
      </c>
      <c r="C2979" s="1" t="s">
        <v>4352</v>
      </c>
      <c r="D2979" s="1" t="s">
        <v>4353</v>
      </c>
      <c r="E2979" s="1" t="s">
        <v>45</v>
      </c>
      <c r="F2979" s="1" t="s">
        <v>5792</v>
      </c>
      <c r="G2979" s="1" t="s">
        <v>6830</v>
      </c>
      <c r="H2979" s="1" t="s">
        <v>6831</v>
      </c>
      <c r="I2979" s="1" t="s">
        <v>49</v>
      </c>
      <c r="J2979" s="1" t="s">
        <v>48</v>
      </c>
      <c r="K2979" s="1">
        <v>336</v>
      </c>
      <c r="L2979" s="1">
        <v>0</v>
      </c>
      <c r="M2979" s="1">
        <v>0</v>
      </c>
      <c r="N2979" s="1">
        <v>336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 t="s">
        <v>49</v>
      </c>
      <c r="AA2979" s="1" t="s">
        <v>49</v>
      </c>
      <c r="AB2979" s="1" t="s">
        <v>49</v>
      </c>
      <c r="AC2979" s="1" t="s">
        <v>206</v>
      </c>
      <c r="AD2979" s="1" t="s">
        <v>5795</v>
      </c>
      <c r="AE2979" s="1" t="s">
        <v>206</v>
      </c>
      <c r="AF2979" s="1" t="s">
        <v>5186</v>
      </c>
      <c r="AG2979" s="1" t="s">
        <v>53</v>
      </c>
      <c r="AH2979" s="1" t="s">
        <v>49</v>
      </c>
      <c r="AI2979" s="1" t="s">
        <v>54</v>
      </c>
      <c r="AJ2979" s="1">
        <v>1</v>
      </c>
      <c r="AK2979" s="1" t="str">
        <f t="shared" si="46"/>
        <v xml:space="preserve"> =&lt;90</v>
      </c>
      <c r="AL2979" s="1" t="e">
        <f>VLOOKUP(C:C,[1]基础信息!B$1:D$65536,3,0)</f>
        <v>#N/A</v>
      </c>
      <c r="AM2979" s="1" t="e">
        <f>VLOOKUP(C:C,[1]基础信息!B$1:E$65536,4,0)</f>
        <v>#N/A</v>
      </c>
      <c r="AN2979" s="1" t="e">
        <f>VLOOKUP(C:C,[1]基础信息!B$1:F$65536,5,0)</f>
        <v>#N/A</v>
      </c>
    </row>
    <row r="2980" spans="1:40">
      <c r="A2980" s="1" t="s">
        <v>41</v>
      </c>
      <c r="B2980" s="1" t="s">
        <v>42</v>
      </c>
      <c r="C2980" s="1" t="s">
        <v>6806</v>
      </c>
      <c r="D2980" s="1" t="s">
        <v>6807</v>
      </c>
      <c r="E2980" s="1" t="s">
        <v>45</v>
      </c>
      <c r="F2980" s="1" t="s">
        <v>6832</v>
      </c>
      <c r="G2980" s="1" t="s">
        <v>6833</v>
      </c>
      <c r="H2980" s="1" t="s">
        <v>45</v>
      </c>
      <c r="I2980" s="1" t="s">
        <v>45</v>
      </c>
      <c r="J2980" s="1" t="s">
        <v>48</v>
      </c>
      <c r="K2980" s="1">
        <v>593</v>
      </c>
      <c r="L2980" s="1">
        <v>0</v>
      </c>
      <c r="M2980" s="1">
        <v>0</v>
      </c>
      <c r="N2980" s="1">
        <v>593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 t="s">
        <v>49</v>
      </c>
      <c r="AA2980" s="1" t="s">
        <v>49</v>
      </c>
      <c r="AB2980" s="1" t="s">
        <v>49</v>
      </c>
      <c r="AC2980" s="1" t="s">
        <v>6810</v>
      </c>
      <c r="AD2980" s="1" t="s">
        <v>6811</v>
      </c>
      <c r="AE2980" s="1" t="s">
        <v>6810</v>
      </c>
      <c r="AF2980" s="1" t="s">
        <v>6834</v>
      </c>
      <c r="AG2980" s="1" t="s">
        <v>53</v>
      </c>
      <c r="AH2980" s="1" t="s">
        <v>49</v>
      </c>
      <c r="AI2980" s="1" t="s">
        <v>54</v>
      </c>
      <c r="AJ2980" s="1">
        <v>1</v>
      </c>
      <c r="AK2980" s="1" t="str">
        <f t="shared" si="46"/>
        <v xml:space="preserve"> =&lt;90</v>
      </c>
      <c r="AL2980" s="1" t="e">
        <f>VLOOKUP(C:C,[1]基础信息!B$1:D$65536,3,0)</f>
        <v>#N/A</v>
      </c>
      <c r="AM2980" s="1" t="e">
        <f>VLOOKUP(C:C,[1]基础信息!B$1:E$65536,4,0)</f>
        <v>#N/A</v>
      </c>
      <c r="AN2980" s="1" t="e">
        <f>VLOOKUP(C:C,[1]基础信息!B$1:F$65536,5,0)</f>
        <v>#N/A</v>
      </c>
    </row>
    <row r="2981" spans="1:40">
      <c r="A2981" s="1" t="s">
        <v>41</v>
      </c>
      <c r="B2981" s="1" t="s">
        <v>42</v>
      </c>
      <c r="C2981" s="1" t="s">
        <v>4352</v>
      </c>
      <c r="D2981" s="1" t="s">
        <v>4353</v>
      </c>
      <c r="E2981" s="1" t="s">
        <v>45</v>
      </c>
      <c r="F2981" s="1" t="s">
        <v>5792</v>
      </c>
      <c r="G2981" s="1" t="s">
        <v>6835</v>
      </c>
      <c r="H2981" s="1" t="s">
        <v>6836</v>
      </c>
      <c r="I2981" s="1" t="s">
        <v>49</v>
      </c>
      <c r="J2981" s="1" t="s">
        <v>48</v>
      </c>
      <c r="K2981" s="1">
        <v>336</v>
      </c>
      <c r="L2981" s="1">
        <v>0</v>
      </c>
      <c r="M2981" s="1">
        <v>0</v>
      </c>
      <c r="N2981" s="1">
        <v>336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 t="s">
        <v>49</v>
      </c>
      <c r="AA2981" s="1" t="s">
        <v>49</v>
      </c>
      <c r="AB2981" s="1" t="s">
        <v>49</v>
      </c>
      <c r="AC2981" s="1" t="s">
        <v>206</v>
      </c>
      <c r="AD2981" s="1" t="s">
        <v>5795</v>
      </c>
      <c r="AE2981" s="1" t="s">
        <v>206</v>
      </c>
      <c r="AF2981" s="1" t="s">
        <v>5186</v>
      </c>
      <c r="AG2981" s="1" t="s">
        <v>53</v>
      </c>
      <c r="AH2981" s="1" t="s">
        <v>49</v>
      </c>
      <c r="AI2981" s="1" t="s">
        <v>54</v>
      </c>
      <c r="AJ2981" s="1">
        <v>1</v>
      </c>
      <c r="AK2981" s="1" t="str">
        <f t="shared" si="46"/>
        <v xml:space="preserve"> =&lt;90</v>
      </c>
      <c r="AL2981" s="1" t="e">
        <f>VLOOKUP(C:C,[1]基础信息!B$1:D$65536,3,0)</f>
        <v>#N/A</v>
      </c>
      <c r="AM2981" s="1" t="e">
        <f>VLOOKUP(C:C,[1]基础信息!B$1:E$65536,4,0)</f>
        <v>#N/A</v>
      </c>
      <c r="AN2981" s="1" t="e">
        <f>VLOOKUP(C:C,[1]基础信息!B$1:F$65536,5,0)</f>
        <v>#N/A</v>
      </c>
    </row>
    <row r="2982" spans="1:40">
      <c r="A2982" s="1" t="s">
        <v>41</v>
      </c>
      <c r="B2982" s="1" t="s">
        <v>42</v>
      </c>
      <c r="C2982" s="1" t="s">
        <v>4352</v>
      </c>
      <c r="D2982" s="1" t="s">
        <v>4353</v>
      </c>
      <c r="E2982" s="1" t="s">
        <v>45</v>
      </c>
      <c r="F2982" s="1" t="s">
        <v>5792</v>
      </c>
      <c r="G2982" s="1" t="s">
        <v>6837</v>
      </c>
      <c r="H2982" s="1" t="s">
        <v>6838</v>
      </c>
      <c r="I2982" s="1" t="s">
        <v>49</v>
      </c>
      <c r="J2982" s="1" t="s">
        <v>48</v>
      </c>
      <c r="K2982" s="1">
        <v>336</v>
      </c>
      <c r="L2982" s="1">
        <v>0</v>
      </c>
      <c r="M2982" s="1">
        <v>0</v>
      </c>
      <c r="N2982" s="1">
        <v>336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 t="s">
        <v>49</v>
      </c>
      <c r="AA2982" s="1" t="s">
        <v>49</v>
      </c>
      <c r="AB2982" s="1" t="s">
        <v>49</v>
      </c>
      <c r="AC2982" s="1" t="s">
        <v>206</v>
      </c>
      <c r="AD2982" s="1" t="s">
        <v>5795</v>
      </c>
      <c r="AE2982" s="1" t="s">
        <v>206</v>
      </c>
      <c r="AF2982" s="1" t="s">
        <v>5186</v>
      </c>
      <c r="AG2982" s="1" t="s">
        <v>53</v>
      </c>
      <c r="AH2982" s="1" t="s">
        <v>49</v>
      </c>
      <c r="AI2982" s="1" t="s">
        <v>54</v>
      </c>
      <c r="AJ2982" s="1">
        <v>1</v>
      </c>
      <c r="AK2982" s="1" t="str">
        <f t="shared" si="46"/>
        <v xml:space="preserve"> =&lt;90</v>
      </c>
      <c r="AL2982" s="1" t="e">
        <f>VLOOKUP(C:C,[1]基础信息!B$1:D$65536,3,0)</f>
        <v>#N/A</v>
      </c>
      <c r="AM2982" s="1" t="e">
        <f>VLOOKUP(C:C,[1]基础信息!B$1:E$65536,4,0)</f>
        <v>#N/A</v>
      </c>
      <c r="AN2982" s="1" t="e">
        <f>VLOOKUP(C:C,[1]基础信息!B$1:F$65536,5,0)</f>
        <v>#N/A</v>
      </c>
    </row>
    <row r="2983" spans="1:40">
      <c r="A2983" s="1" t="s">
        <v>41</v>
      </c>
      <c r="B2983" s="1" t="s">
        <v>42</v>
      </c>
      <c r="C2983" s="1" t="s">
        <v>4352</v>
      </c>
      <c r="D2983" s="1" t="s">
        <v>4353</v>
      </c>
      <c r="E2983" s="1" t="s">
        <v>45</v>
      </c>
      <c r="F2983" s="1" t="s">
        <v>5792</v>
      </c>
      <c r="G2983" s="1" t="s">
        <v>6839</v>
      </c>
      <c r="H2983" s="1" t="s">
        <v>6840</v>
      </c>
      <c r="I2983" s="1" t="s">
        <v>49</v>
      </c>
      <c r="J2983" s="1" t="s">
        <v>48</v>
      </c>
      <c r="K2983" s="1">
        <v>336</v>
      </c>
      <c r="L2983" s="1">
        <v>0</v>
      </c>
      <c r="M2983" s="1">
        <v>0</v>
      </c>
      <c r="N2983" s="1">
        <v>336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 t="s">
        <v>49</v>
      </c>
      <c r="AA2983" s="1" t="s">
        <v>49</v>
      </c>
      <c r="AB2983" s="1" t="s">
        <v>49</v>
      </c>
      <c r="AC2983" s="1" t="s">
        <v>206</v>
      </c>
      <c r="AD2983" s="1" t="s">
        <v>5795</v>
      </c>
      <c r="AE2983" s="1" t="s">
        <v>206</v>
      </c>
      <c r="AF2983" s="1" t="s">
        <v>5186</v>
      </c>
      <c r="AG2983" s="1" t="s">
        <v>53</v>
      </c>
      <c r="AH2983" s="1" t="s">
        <v>49</v>
      </c>
      <c r="AI2983" s="1" t="s">
        <v>54</v>
      </c>
      <c r="AJ2983" s="1">
        <v>1</v>
      </c>
      <c r="AK2983" s="1" t="str">
        <f t="shared" si="46"/>
        <v xml:space="preserve"> =&lt;90</v>
      </c>
      <c r="AL2983" s="1" t="e">
        <f>VLOOKUP(C:C,[1]基础信息!B$1:D$65536,3,0)</f>
        <v>#N/A</v>
      </c>
      <c r="AM2983" s="1" t="e">
        <f>VLOOKUP(C:C,[1]基础信息!B$1:E$65536,4,0)</f>
        <v>#N/A</v>
      </c>
      <c r="AN2983" s="1" t="e">
        <f>VLOOKUP(C:C,[1]基础信息!B$1:F$65536,5,0)</f>
        <v>#N/A</v>
      </c>
    </row>
    <row r="2984" spans="1:40">
      <c r="A2984" s="1" t="s">
        <v>41</v>
      </c>
      <c r="B2984" s="1" t="s">
        <v>42</v>
      </c>
      <c r="C2984" s="1" t="s">
        <v>4352</v>
      </c>
      <c r="D2984" s="1" t="s">
        <v>4353</v>
      </c>
      <c r="E2984" s="1" t="s">
        <v>45</v>
      </c>
      <c r="F2984" s="1" t="s">
        <v>5792</v>
      </c>
      <c r="G2984" s="1" t="s">
        <v>6841</v>
      </c>
      <c r="H2984" s="1" t="s">
        <v>6842</v>
      </c>
      <c r="I2984" s="1" t="s">
        <v>49</v>
      </c>
      <c r="J2984" s="1" t="s">
        <v>48</v>
      </c>
      <c r="K2984" s="1">
        <v>336</v>
      </c>
      <c r="L2984" s="1">
        <v>0</v>
      </c>
      <c r="M2984" s="1">
        <v>0</v>
      </c>
      <c r="N2984" s="1">
        <v>336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 t="s">
        <v>49</v>
      </c>
      <c r="AA2984" s="1" t="s">
        <v>49</v>
      </c>
      <c r="AB2984" s="1" t="s">
        <v>49</v>
      </c>
      <c r="AC2984" s="1" t="s">
        <v>206</v>
      </c>
      <c r="AD2984" s="1" t="s">
        <v>5795</v>
      </c>
      <c r="AE2984" s="1" t="s">
        <v>206</v>
      </c>
      <c r="AF2984" s="1" t="s">
        <v>5186</v>
      </c>
      <c r="AG2984" s="1" t="s">
        <v>53</v>
      </c>
      <c r="AH2984" s="1" t="s">
        <v>49</v>
      </c>
      <c r="AI2984" s="1" t="s">
        <v>54</v>
      </c>
      <c r="AJ2984" s="1">
        <v>1</v>
      </c>
      <c r="AK2984" s="1" t="str">
        <f t="shared" si="46"/>
        <v xml:space="preserve"> =&lt;90</v>
      </c>
      <c r="AL2984" s="1" t="e">
        <f>VLOOKUP(C:C,[1]基础信息!B$1:D$65536,3,0)</f>
        <v>#N/A</v>
      </c>
      <c r="AM2984" s="1" t="e">
        <f>VLOOKUP(C:C,[1]基础信息!B$1:E$65536,4,0)</f>
        <v>#N/A</v>
      </c>
      <c r="AN2984" s="1" t="e">
        <f>VLOOKUP(C:C,[1]基础信息!B$1:F$65536,5,0)</f>
        <v>#N/A</v>
      </c>
    </row>
    <row r="2985" spans="1:40">
      <c r="A2985" s="1" t="s">
        <v>41</v>
      </c>
      <c r="B2985" s="1" t="s">
        <v>42</v>
      </c>
      <c r="C2985" s="1" t="s">
        <v>6806</v>
      </c>
      <c r="D2985" s="1" t="s">
        <v>6807</v>
      </c>
      <c r="E2985" s="1" t="s">
        <v>45</v>
      </c>
      <c r="F2985" s="1" t="s">
        <v>6832</v>
      </c>
      <c r="G2985" s="1" t="s">
        <v>6843</v>
      </c>
      <c r="H2985" s="1" t="s">
        <v>45</v>
      </c>
      <c r="I2985" s="1" t="s">
        <v>45</v>
      </c>
      <c r="J2985" s="1" t="s">
        <v>48</v>
      </c>
      <c r="K2985" s="1">
        <v>80</v>
      </c>
      <c r="L2985" s="1">
        <v>0</v>
      </c>
      <c r="M2985" s="1">
        <v>0</v>
      </c>
      <c r="N2985" s="1">
        <v>80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 t="s">
        <v>49</v>
      </c>
      <c r="AA2985" s="1" t="s">
        <v>49</v>
      </c>
      <c r="AB2985" s="1" t="s">
        <v>49</v>
      </c>
      <c r="AC2985" s="1" t="s">
        <v>6810</v>
      </c>
      <c r="AD2985" s="1" t="s">
        <v>6811</v>
      </c>
      <c r="AE2985" s="1" t="s">
        <v>6810</v>
      </c>
      <c r="AF2985" s="1" t="s">
        <v>6834</v>
      </c>
      <c r="AG2985" s="1" t="s">
        <v>53</v>
      </c>
      <c r="AH2985" s="1" t="s">
        <v>49</v>
      </c>
      <c r="AI2985" s="1" t="s">
        <v>54</v>
      </c>
      <c r="AJ2985" s="1">
        <v>1</v>
      </c>
      <c r="AK2985" s="1" t="str">
        <f t="shared" si="46"/>
        <v xml:space="preserve"> =&lt;90</v>
      </c>
      <c r="AL2985" s="1" t="e">
        <f>VLOOKUP(C:C,[1]基础信息!B$1:D$65536,3,0)</f>
        <v>#N/A</v>
      </c>
      <c r="AM2985" s="1" t="e">
        <f>VLOOKUP(C:C,[1]基础信息!B$1:E$65536,4,0)</f>
        <v>#N/A</v>
      </c>
      <c r="AN2985" s="1" t="e">
        <f>VLOOKUP(C:C,[1]基础信息!B$1:F$65536,5,0)</f>
        <v>#N/A</v>
      </c>
    </row>
    <row r="2986" spans="1:40">
      <c r="A2986" s="1" t="s">
        <v>41</v>
      </c>
      <c r="B2986" s="1" t="s">
        <v>42</v>
      </c>
      <c r="C2986" s="1" t="s">
        <v>3971</v>
      </c>
      <c r="D2986" s="1" t="s">
        <v>3972</v>
      </c>
      <c r="E2986" s="1" t="s">
        <v>45</v>
      </c>
      <c r="F2986" s="1" t="s">
        <v>5602</v>
      </c>
      <c r="G2986" s="1" t="s">
        <v>6844</v>
      </c>
      <c r="H2986" s="1" t="s">
        <v>6845</v>
      </c>
      <c r="I2986" s="1" t="s">
        <v>49</v>
      </c>
      <c r="J2986" s="1" t="s">
        <v>48</v>
      </c>
      <c r="K2986" s="1">
        <v>96</v>
      </c>
      <c r="L2986" s="1">
        <v>0</v>
      </c>
      <c r="M2986" s="1">
        <v>0</v>
      </c>
      <c r="N2986" s="1">
        <v>96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 t="s">
        <v>49</v>
      </c>
      <c r="AA2986" s="1" t="s">
        <v>49</v>
      </c>
      <c r="AB2986" s="1" t="s">
        <v>49</v>
      </c>
      <c r="AC2986" s="1" t="s">
        <v>1008</v>
      </c>
      <c r="AD2986" s="1" t="s">
        <v>1009</v>
      </c>
      <c r="AE2986" s="1" t="s">
        <v>1008</v>
      </c>
      <c r="AF2986" s="1" t="s">
        <v>5605</v>
      </c>
      <c r="AG2986" s="1" t="s">
        <v>53</v>
      </c>
      <c r="AH2986" s="1" t="s">
        <v>49</v>
      </c>
      <c r="AI2986" s="1" t="s">
        <v>54</v>
      </c>
      <c r="AJ2986" s="1">
        <v>1</v>
      </c>
      <c r="AK2986" s="1" t="str">
        <f t="shared" si="46"/>
        <v xml:space="preserve"> =&lt;90</v>
      </c>
      <c r="AL2986" s="1" t="str">
        <f>VLOOKUP(C:C,[1]基础信息!B$1:D$65536,3,0)</f>
        <v>Jug</v>
      </c>
      <c r="AM2986" s="1" t="str">
        <f>VLOOKUP(C:C,[1]基础信息!B$1:E$65536,4,0)</f>
        <v>Mxplus</v>
      </c>
      <c r="AN2986" s="1" t="str">
        <f>VLOOKUP(C:C,[1]基础信息!B$1:F$65536,5,0)</f>
        <v xml:space="preserve"> lime</v>
      </c>
    </row>
    <row r="2987" spans="1:40">
      <c r="A2987" s="1" t="s">
        <v>41</v>
      </c>
      <c r="B2987" s="1" t="s">
        <v>42</v>
      </c>
      <c r="C2987" s="1" t="s">
        <v>4352</v>
      </c>
      <c r="D2987" s="1" t="s">
        <v>4353</v>
      </c>
      <c r="E2987" s="1" t="s">
        <v>45</v>
      </c>
      <c r="F2987" s="1" t="s">
        <v>5792</v>
      </c>
      <c r="G2987" s="1" t="s">
        <v>6846</v>
      </c>
      <c r="H2987" s="1" t="s">
        <v>6847</v>
      </c>
      <c r="I2987" s="1" t="s">
        <v>49</v>
      </c>
      <c r="J2987" s="1" t="s">
        <v>48</v>
      </c>
      <c r="K2987" s="1">
        <v>336</v>
      </c>
      <c r="L2987" s="1">
        <v>0</v>
      </c>
      <c r="M2987" s="1">
        <v>0</v>
      </c>
      <c r="N2987" s="1">
        <v>336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 t="s">
        <v>49</v>
      </c>
      <c r="AA2987" s="1" t="s">
        <v>49</v>
      </c>
      <c r="AB2987" s="1" t="s">
        <v>49</v>
      </c>
      <c r="AC2987" s="1" t="s">
        <v>206</v>
      </c>
      <c r="AD2987" s="1" t="s">
        <v>5795</v>
      </c>
      <c r="AE2987" s="1" t="s">
        <v>206</v>
      </c>
      <c r="AF2987" s="1" t="s">
        <v>5186</v>
      </c>
      <c r="AG2987" s="1" t="s">
        <v>53</v>
      </c>
      <c r="AH2987" s="1" t="s">
        <v>49</v>
      </c>
      <c r="AI2987" s="1" t="s">
        <v>54</v>
      </c>
      <c r="AJ2987" s="1">
        <v>1</v>
      </c>
      <c r="AK2987" s="1" t="str">
        <f t="shared" si="46"/>
        <v xml:space="preserve"> =&lt;90</v>
      </c>
      <c r="AL2987" s="1" t="e">
        <f>VLOOKUP(C:C,[1]基础信息!B$1:D$65536,3,0)</f>
        <v>#N/A</v>
      </c>
      <c r="AM2987" s="1" t="e">
        <f>VLOOKUP(C:C,[1]基础信息!B$1:E$65536,4,0)</f>
        <v>#N/A</v>
      </c>
      <c r="AN2987" s="1" t="e">
        <f>VLOOKUP(C:C,[1]基础信息!B$1:F$65536,5,0)</f>
        <v>#N/A</v>
      </c>
    </row>
    <row r="2988" spans="1:40">
      <c r="A2988" s="1" t="s">
        <v>41</v>
      </c>
      <c r="B2988" s="1" t="s">
        <v>42</v>
      </c>
      <c r="C2988" s="1" t="s">
        <v>4352</v>
      </c>
      <c r="D2988" s="1" t="s">
        <v>4353</v>
      </c>
      <c r="E2988" s="1" t="s">
        <v>45</v>
      </c>
      <c r="F2988" s="1" t="s">
        <v>5792</v>
      </c>
      <c r="G2988" s="1" t="s">
        <v>6848</v>
      </c>
      <c r="H2988" s="1" t="s">
        <v>6849</v>
      </c>
      <c r="I2988" s="1" t="s">
        <v>49</v>
      </c>
      <c r="J2988" s="1" t="s">
        <v>48</v>
      </c>
      <c r="K2988" s="1">
        <v>336</v>
      </c>
      <c r="L2988" s="1">
        <v>0</v>
      </c>
      <c r="M2988" s="1">
        <v>0</v>
      </c>
      <c r="N2988" s="1">
        <v>336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 t="s">
        <v>49</v>
      </c>
      <c r="AA2988" s="1" t="s">
        <v>49</v>
      </c>
      <c r="AB2988" s="1" t="s">
        <v>49</v>
      </c>
      <c r="AC2988" s="1" t="s">
        <v>206</v>
      </c>
      <c r="AD2988" s="1" t="s">
        <v>5795</v>
      </c>
      <c r="AE2988" s="1" t="s">
        <v>206</v>
      </c>
      <c r="AF2988" s="1" t="s">
        <v>5186</v>
      </c>
      <c r="AG2988" s="1" t="s">
        <v>53</v>
      </c>
      <c r="AH2988" s="1" t="s">
        <v>49</v>
      </c>
      <c r="AI2988" s="1" t="s">
        <v>54</v>
      </c>
      <c r="AJ2988" s="1">
        <v>1</v>
      </c>
      <c r="AK2988" s="1" t="str">
        <f t="shared" si="46"/>
        <v xml:space="preserve"> =&lt;90</v>
      </c>
      <c r="AL2988" s="1" t="e">
        <f>VLOOKUP(C:C,[1]基础信息!B$1:D$65536,3,0)</f>
        <v>#N/A</v>
      </c>
      <c r="AM2988" s="1" t="e">
        <f>VLOOKUP(C:C,[1]基础信息!B$1:E$65536,4,0)</f>
        <v>#N/A</v>
      </c>
      <c r="AN2988" s="1" t="e">
        <f>VLOOKUP(C:C,[1]基础信息!B$1:F$65536,5,0)</f>
        <v>#N/A</v>
      </c>
    </row>
    <row r="2989" spans="1:40">
      <c r="A2989" s="1" t="s">
        <v>41</v>
      </c>
      <c r="B2989" s="1" t="s">
        <v>42</v>
      </c>
      <c r="C2989" s="1" t="s">
        <v>4352</v>
      </c>
      <c r="D2989" s="1" t="s">
        <v>4353</v>
      </c>
      <c r="E2989" s="1" t="s">
        <v>45</v>
      </c>
      <c r="F2989" s="1" t="s">
        <v>5796</v>
      </c>
      <c r="G2989" s="1" t="s">
        <v>6850</v>
      </c>
      <c r="H2989" s="1" t="s">
        <v>6851</v>
      </c>
      <c r="I2989" s="1" t="s">
        <v>49</v>
      </c>
      <c r="J2989" s="1" t="s">
        <v>48</v>
      </c>
      <c r="K2989" s="1">
        <v>336</v>
      </c>
      <c r="L2989" s="1">
        <v>0</v>
      </c>
      <c r="M2989" s="1">
        <v>0</v>
      </c>
      <c r="N2989" s="1">
        <v>336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 t="s">
        <v>49</v>
      </c>
      <c r="AA2989" s="1" t="s">
        <v>49</v>
      </c>
      <c r="AB2989" s="1" t="s">
        <v>49</v>
      </c>
      <c r="AC2989" s="1" t="s">
        <v>206</v>
      </c>
      <c r="AD2989" s="1" t="s">
        <v>5795</v>
      </c>
      <c r="AE2989" s="1" t="s">
        <v>206</v>
      </c>
      <c r="AF2989" s="1" t="s">
        <v>5799</v>
      </c>
      <c r="AG2989" s="1" t="s">
        <v>53</v>
      </c>
      <c r="AH2989" s="1" t="s">
        <v>49</v>
      </c>
      <c r="AI2989" s="1" t="s">
        <v>54</v>
      </c>
      <c r="AJ2989" s="1">
        <v>1</v>
      </c>
      <c r="AK2989" s="1" t="str">
        <f t="shared" si="46"/>
        <v xml:space="preserve"> =&lt;90</v>
      </c>
      <c r="AL2989" s="1" t="e">
        <f>VLOOKUP(C:C,[1]基础信息!B$1:D$65536,3,0)</f>
        <v>#N/A</v>
      </c>
      <c r="AM2989" s="1" t="e">
        <f>VLOOKUP(C:C,[1]基础信息!B$1:E$65536,4,0)</f>
        <v>#N/A</v>
      </c>
      <c r="AN2989" s="1" t="e">
        <f>VLOOKUP(C:C,[1]基础信息!B$1:F$65536,5,0)</f>
        <v>#N/A</v>
      </c>
    </row>
    <row r="2990" spans="1:40">
      <c r="A2990" s="1" t="s">
        <v>41</v>
      </c>
      <c r="B2990" s="1" t="s">
        <v>42</v>
      </c>
      <c r="C2990" s="1" t="s">
        <v>1437</v>
      </c>
      <c r="D2990" s="1" t="s">
        <v>1438</v>
      </c>
      <c r="E2990" s="1" t="s">
        <v>45</v>
      </c>
      <c r="F2990" s="1" t="s">
        <v>6852</v>
      </c>
      <c r="G2990" s="1" t="s">
        <v>6853</v>
      </c>
      <c r="H2990" s="1" t="s">
        <v>45</v>
      </c>
      <c r="I2990" s="1" t="s">
        <v>45</v>
      </c>
      <c r="J2990" s="1" t="s">
        <v>48</v>
      </c>
      <c r="K2990" s="1">
        <v>399</v>
      </c>
      <c r="L2990" s="1">
        <v>0</v>
      </c>
      <c r="M2990" s="1">
        <v>0</v>
      </c>
      <c r="N2990" s="1">
        <v>399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 t="s">
        <v>49</v>
      </c>
      <c r="AA2990" s="1" t="s">
        <v>49</v>
      </c>
      <c r="AB2990" s="1" t="s">
        <v>49</v>
      </c>
      <c r="AC2990" s="1" t="s">
        <v>6854</v>
      </c>
      <c r="AD2990" s="1" t="s">
        <v>6855</v>
      </c>
      <c r="AE2990" s="1" t="s">
        <v>6854</v>
      </c>
      <c r="AF2990" s="1" t="s">
        <v>49</v>
      </c>
      <c r="AG2990" s="1" t="s">
        <v>227</v>
      </c>
      <c r="AH2990" s="1" t="s">
        <v>49</v>
      </c>
      <c r="AI2990" s="1" t="s">
        <v>54</v>
      </c>
      <c r="AJ2990" s="1">
        <v>1</v>
      </c>
      <c r="AK2990" s="1" t="str">
        <f t="shared" si="46"/>
        <v xml:space="preserve"> =&lt;90</v>
      </c>
      <c r="AL2990" s="1" t="str">
        <f>VLOOKUP(C:C,[1]基础信息!B$1:D$65536,3,0)</f>
        <v>On tap</v>
      </c>
      <c r="AM2990" s="1" t="str">
        <f>VLOOKUP(C:C,[1]基础信息!B$1:E$65536,4,0)</f>
        <v>On tap</v>
      </c>
      <c r="AN2990" s="1" t="str">
        <f>VLOOKUP(C:C,[1]基础信息!B$1:F$65536,5,0)</f>
        <v>On tap</v>
      </c>
    </row>
    <row r="2991" spans="1:40">
      <c r="A2991" s="1" t="s">
        <v>41</v>
      </c>
      <c r="B2991" s="1" t="s">
        <v>42</v>
      </c>
      <c r="C2991" s="1" t="s">
        <v>4352</v>
      </c>
      <c r="D2991" s="1" t="s">
        <v>4353</v>
      </c>
      <c r="E2991" s="1" t="s">
        <v>45</v>
      </c>
      <c r="F2991" s="1" t="s">
        <v>5796</v>
      </c>
      <c r="G2991" s="1" t="s">
        <v>6856</v>
      </c>
      <c r="H2991" s="1" t="s">
        <v>6857</v>
      </c>
      <c r="I2991" s="1" t="s">
        <v>49</v>
      </c>
      <c r="J2991" s="1" t="s">
        <v>48</v>
      </c>
      <c r="K2991" s="1">
        <v>336</v>
      </c>
      <c r="L2991" s="1">
        <v>0</v>
      </c>
      <c r="M2991" s="1">
        <v>0</v>
      </c>
      <c r="N2991" s="1">
        <v>336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 t="s">
        <v>49</v>
      </c>
      <c r="AA2991" s="1" t="s">
        <v>49</v>
      </c>
      <c r="AB2991" s="1" t="s">
        <v>49</v>
      </c>
      <c r="AC2991" s="1" t="s">
        <v>206</v>
      </c>
      <c r="AD2991" s="1" t="s">
        <v>5795</v>
      </c>
      <c r="AE2991" s="1" t="s">
        <v>206</v>
      </c>
      <c r="AF2991" s="1" t="s">
        <v>5799</v>
      </c>
      <c r="AG2991" s="1" t="s">
        <v>53</v>
      </c>
      <c r="AH2991" s="1" t="s">
        <v>49</v>
      </c>
      <c r="AI2991" s="1" t="s">
        <v>54</v>
      </c>
      <c r="AJ2991" s="1">
        <v>1</v>
      </c>
      <c r="AK2991" s="1" t="str">
        <f t="shared" si="46"/>
        <v xml:space="preserve"> =&lt;90</v>
      </c>
      <c r="AL2991" s="1" t="e">
        <f>VLOOKUP(C:C,[1]基础信息!B$1:D$65536,3,0)</f>
        <v>#N/A</v>
      </c>
      <c r="AM2991" s="1" t="e">
        <f>VLOOKUP(C:C,[1]基础信息!B$1:E$65536,4,0)</f>
        <v>#N/A</v>
      </c>
      <c r="AN2991" s="1" t="e">
        <f>VLOOKUP(C:C,[1]基础信息!B$1:F$65536,5,0)</f>
        <v>#N/A</v>
      </c>
    </row>
    <row r="2992" spans="1:40">
      <c r="A2992" s="1" t="s">
        <v>41</v>
      </c>
      <c r="B2992" s="1" t="s">
        <v>42</v>
      </c>
      <c r="C2992" s="1" t="s">
        <v>5154</v>
      </c>
      <c r="D2992" s="1" t="s">
        <v>5155</v>
      </c>
      <c r="E2992" s="1" t="s">
        <v>45</v>
      </c>
      <c r="F2992" s="1" t="s">
        <v>6817</v>
      </c>
      <c r="G2992" s="1" t="s">
        <v>6858</v>
      </c>
      <c r="H2992" s="1" t="s">
        <v>6859</v>
      </c>
      <c r="I2992" s="1" t="s">
        <v>49</v>
      </c>
      <c r="J2992" s="1" t="s">
        <v>48</v>
      </c>
      <c r="K2992" s="1">
        <v>270</v>
      </c>
      <c r="L2992" s="1">
        <v>0</v>
      </c>
      <c r="M2992" s="1">
        <v>0</v>
      </c>
      <c r="N2992" s="1">
        <v>270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 t="s">
        <v>49</v>
      </c>
      <c r="AA2992" s="1" t="s">
        <v>49</v>
      </c>
      <c r="AB2992" s="1" t="s">
        <v>49</v>
      </c>
      <c r="AC2992" s="1" t="s">
        <v>206</v>
      </c>
      <c r="AD2992" s="1" t="s">
        <v>5795</v>
      </c>
      <c r="AE2992" s="1" t="s">
        <v>206</v>
      </c>
      <c r="AF2992" s="1" t="s">
        <v>6656</v>
      </c>
      <c r="AG2992" s="1" t="s">
        <v>53</v>
      </c>
      <c r="AH2992" s="1" t="s">
        <v>49</v>
      </c>
      <c r="AI2992" s="1" t="s">
        <v>54</v>
      </c>
      <c r="AJ2992" s="1">
        <v>1</v>
      </c>
      <c r="AK2992" s="1" t="str">
        <f t="shared" si="46"/>
        <v xml:space="preserve"> =&lt;90</v>
      </c>
      <c r="AL2992" s="1" t="e">
        <f>VLOOKUP(C:C,[1]基础信息!B$1:D$65536,3,0)</f>
        <v>#N/A</v>
      </c>
      <c r="AM2992" s="1" t="e">
        <f>VLOOKUP(C:C,[1]基础信息!B$1:E$65536,4,0)</f>
        <v>#N/A</v>
      </c>
      <c r="AN2992" s="1" t="e">
        <f>VLOOKUP(C:C,[1]基础信息!B$1:F$65536,5,0)</f>
        <v>#N/A</v>
      </c>
    </row>
    <row r="2993" spans="1:40">
      <c r="A2993" s="1" t="s">
        <v>41</v>
      </c>
      <c r="B2993" s="1" t="s">
        <v>42</v>
      </c>
      <c r="C2993" s="1" t="s">
        <v>5154</v>
      </c>
      <c r="D2993" s="1" t="s">
        <v>5155</v>
      </c>
      <c r="E2993" s="1" t="s">
        <v>45</v>
      </c>
      <c r="F2993" s="1" t="s">
        <v>6817</v>
      </c>
      <c r="G2993" s="1" t="s">
        <v>6860</v>
      </c>
      <c r="H2993" s="1" t="s">
        <v>6861</v>
      </c>
      <c r="I2993" s="1" t="s">
        <v>49</v>
      </c>
      <c r="J2993" s="1" t="s">
        <v>48</v>
      </c>
      <c r="K2993" s="1">
        <v>270</v>
      </c>
      <c r="L2993" s="1">
        <v>0</v>
      </c>
      <c r="M2993" s="1">
        <v>0</v>
      </c>
      <c r="N2993" s="1">
        <v>270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 t="s">
        <v>49</v>
      </c>
      <c r="AA2993" s="1" t="s">
        <v>49</v>
      </c>
      <c r="AB2993" s="1" t="s">
        <v>49</v>
      </c>
      <c r="AC2993" s="1" t="s">
        <v>206</v>
      </c>
      <c r="AD2993" s="1" t="s">
        <v>5795</v>
      </c>
      <c r="AE2993" s="1" t="s">
        <v>206</v>
      </c>
      <c r="AF2993" s="1" t="s">
        <v>6656</v>
      </c>
      <c r="AG2993" s="1" t="s">
        <v>53</v>
      </c>
      <c r="AH2993" s="1" t="s">
        <v>49</v>
      </c>
      <c r="AI2993" s="1" t="s">
        <v>54</v>
      </c>
      <c r="AJ2993" s="1">
        <v>1</v>
      </c>
      <c r="AK2993" s="1" t="str">
        <f t="shared" si="46"/>
        <v xml:space="preserve"> =&lt;90</v>
      </c>
      <c r="AL2993" s="1" t="e">
        <f>VLOOKUP(C:C,[1]基础信息!B$1:D$65536,3,0)</f>
        <v>#N/A</v>
      </c>
      <c r="AM2993" s="1" t="e">
        <f>VLOOKUP(C:C,[1]基础信息!B$1:E$65536,4,0)</f>
        <v>#N/A</v>
      </c>
      <c r="AN2993" s="1" t="e">
        <f>VLOOKUP(C:C,[1]基础信息!B$1:F$65536,5,0)</f>
        <v>#N/A</v>
      </c>
    </row>
    <row r="2994" spans="1:40">
      <c r="A2994" s="1" t="s">
        <v>41</v>
      </c>
      <c r="B2994" s="1" t="s">
        <v>42</v>
      </c>
      <c r="C2994" s="1" t="s">
        <v>5154</v>
      </c>
      <c r="D2994" s="1" t="s">
        <v>5155</v>
      </c>
      <c r="E2994" s="1" t="s">
        <v>45</v>
      </c>
      <c r="F2994" s="1" t="s">
        <v>6817</v>
      </c>
      <c r="G2994" s="1" t="s">
        <v>6862</v>
      </c>
      <c r="H2994" s="1" t="s">
        <v>6863</v>
      </c>
      <c r="I2994" s="1" t="s">
        <v>49</v>
      </c>
      <c r="J2994" s="1" t="s">
        <v>48</v>
      </c>
      <c r="K2994" s="1">
        <v>270</v>
      </c>
      <c r="L2994" s="1">
        <v>0</v>
      </c>
      <c r="M2994" s="1">
        <v>0</v>
      </c>
      <c r="N2994" s="1">
        <v>270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 t="s">
        <v>49</v>
      </c>
      <c r="AA2994" s="1" t="s">
        <v>49</v>
      </c>
      <c r="AB2994" s="1" t="s">
        <v>49</v>
      </c>
      <c r="AC2994" s="1" t="s">
        <v>206</v>
      </c>
      <c r="AD2994" s="1" t="s">
        <v>5795</v>
      </c>
      <c r="AE2994" s="1" t="s">
        <v>206</v>
      </c>
      <c r="AF2994" s="1" t="s">
        <v>6656</v>
      </c>
      <c r="AG2994" s="1" t="s">
        <v>53</v>
      </c>
      <c r="AH2994" s="1" t="s">
        <v>49</v>
      </c>
      <c r="AI2994" s="1" t="s">
        <v>54</v>
      </c>
      <c r="AJ2994" s="1">
        <v>1</v>
      </c>
      <c r="AK2994" s="1" t="str">
        <f t="shared" si="46"/>
        <v xml:space="preserve"> =&lt;90</v>
      </c>
      <c r="AL2994" s="1" t="e">
        <f>VLOOKUP(C:C,[1]基础信息!B$1:D$65536,3,0)</f>
        <v>#N/A</v>
      </c>
      <c r="AM2994" s="1" t="e">
        <f>VLOOKUP(C:C,[1]基础信息!B$1:E$65536,4,0)</f>
        <v>#N/A</v>
      </c>
      <c r="AN2994" s="1" t="e">
        <f>VLOOKUP(C:C,[1]基础信息!B$1:F$65536,5,0)</f>
        <v>#N/A</v>
      </c>
    </row>
    <row r="2995" spans="1:40">
      <c r="A2995" s="1" t="s">
        <v>41</v>
      </c>
      <c r="B2995" s="1" t="s">
        <v>42</v>
      </c>
      <c r="C2995" s="1" t="s">
        <v>5154</v>
      </c>
      <c r="D2995" s="1" t="s">
        <v>5155</v>
      </c>
      <c r="E2995" s="1" t="s">
        <v>45</v>
      </c>
      <c r="F2995" s="1" t="s">
        <v>6817</v>
      </c>
      <c r="G2995" s="1" t="s">
        <v>6864</v>
      </c>
      <c r="H2995" s="1" t="s">
        <v>6865</v>
      </c>
      <c r="I2995" s="1" t="s">
        <v>49</v>
      </c>
      <c r="J2995" s="1" t="s">
        <v>48</v>
      </c>
      <c r="K2995" s="1">
        <v>270</v>
      </c>
      <c r="L2995" s="1">
        <v>0</v>
      </c>
      <c r="M2995" s="1">
        <v>0</v>
      </c>
      <c r="N2995" s="1">
        <v>270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 t="s">
        <v>49</v>
      </c>
      <c r="AA2995" s="1" t="s">
        <v>49</v>
      </c>
      <c r="AB2995" s="1" t="s">
        <v>49</v>
      </c>
      <c r="AC2995" s="1" t="s">
        <v>206</v>
      </c>
      <c r="AD2995" s="1" t="s">
        <v>5795</v>
      </c>
      <c r="AE2995" s="1" t="s">
        <v>206</v>
      </c>
      <c r="AF2995" s="1" t="s">
        <v>6656</v>
      </c>
      <c r="AG2995" s="1" t="s">
        <v>53</v>
      </c>
      <c r="AH2995" s="1" t="s">
        <v>49</v>
      </c>
      <c r="AI2995" s="1" t="s">
        <v>54</v>
      </c>
      <c r="AJ2995" s="1">
        <v>1</v>
      </c>
      <c r="AK2995" s="1" t="str">
        <f t="shared" si="46"/>
        <v xml:space="preserve"> =&lt;90</v>
      </c>
      <c r="AL2995" s="1" t="e">
        <f>VLOOKUP(C:C,[1]基础信息!B$1:D$65536,3,0)</f>
        <v>#N/A</v>
      </c>
      <c r="AM2995" s="1" t="e">
        <f>VLOOKUP(C:C,[1]基础信息!B$1:E$65536,4,0)</f>
        <v>#N/A</v>
      </c>
      <c r="AN2995" s="1" t="e">
        <f>VLOOKUP(C:C,[1]基础信息!B$1:F$65536,5,0)</f>
        <v>#N/A</v>
      </c>
    </row>
    <row r="2996" spans="1:40">
      <c r="A2996" s="1" t="s">
        <v>41</v>
      </c>
      <c r="B2996" s="1" t="s">
        <v>42</v>
      </c>
      <c r="C2996" s="1" t="s">
        <v>5154</v>
      </c>
      <c r="D2996" s="1" t="s">
        <v>5155</v>
      </c>
      <c r="E2996" s="1" t="s">
        <v>45</v>
      </c>
      <c r="F2996" s="1" t="s">
        <v>6817</v>
      </c>
      <c r="G2996" s="1" t="s">
        <v>6866</v>
      </c>
      <c r="H2996" s="1" t="s">
        <v>6867</v>
      </c>
      <c r="I2996" s="1" t="s">
        <v>49</v>
      </c>
      <c r="J2996" s="1" t="s">
        <v>48</v>
      </c>
      <c r="K2996" s="1">
        <v>270</v>
      </c>
      <c r="L2996" s="1">
        <v>0</v>
      </c>
      <c r="M2996" s="1">
        <v>0</v>
      </c>
      <c r="N2996" s="1">
        <v>270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 t="s">
        <v>49</v>
      </c>
      <c r="AA2996" s="1" t="s">
        <v>49</v>
      </c>
      <c r="AB2996" s="1" t="s">
        <v>49</v>
      </c>
      <c r="AC2996" s="1" t="s">
        <v>206</v>
      </c>
      <c r="AD2996" s="1" t="s">
        <v>5795</v>
      </c>
      <c r="AE2996" s="1" t="s">
        <v>206</v>
      </c>
      <c r="AF2996" s="1" t="s">
        <v>6656</v>
      </c>
      <c r="AG2996" s="1" t="s">
        <v>53</v>
      </c>
      <c r="AH2996" s="1" t="s">
        <v>49</v>
      </c>
      <c r="AI2996" s="1" t="s">
        <v>54</v>
      </c>
      <c r="AJ2996" s="1">
        <v>1</v>
      </c>
      <c r="AK2996" s="1" t="str">
        <f t="shared" si="46"/>
        <v xml:space="preserve"> =&lt;90</v>
      </c>
      <c r="AL2996" s="1" t="e">
        <f>VLOOKUP(C:C,[1]基础信息!B$1:D$65536,3,0)</f>
        <v>#N/A</v>
      </c>
      <c r="AM2996" s="1" t="e">
        <f>VLOOKUP(C:C,[1]基础信息!B$1:E$65536,4,0)</f>
        <v>#N/A</v>
      </c>
      <c r="AN2996" s="1" t="e">
        <f>VLOOKUP(C:C,[1]基础信息!B$1:F$65536,5,0)</f>
        <v>#N/A</v>
      </c>
    </row>
    <row r="2997" spans="1:40">
      <c r="A2997" s="1" t="s">
        <v>41</v>
      </c>
      <c r="B2997" s="1" t="s">
        <v>42</v>
      </c>
      <c r="C2997" s="1" t="s">
        <v>5154</v>
      </c>
      <c r="D2997" s="1" t="s">
        <v>5155</v>
      </c>
      <c r="E2997" s="1" t="s">
        <v>45</v>
      </c>
      <c r="F2997" s="1" t="s">
        <v>6817</v>
      </c>
      <c r="G2997" s="1" t="s">
        <v>6868</v>
      </c>
      <c r="H2997" s="1" t="s">
        <v>6869</v>
      </c>
      <c r="I2997" s="1" t="s">
        <v>49</v>
      </c>
      <c r="J2997" s="1" t="s">
        <v>48</v>
      </c>
      <c r="K2997" s="1">
        <v>270</v>
      </c>
      <c r="L2997" s="1">
        <v>0</v>
      </c>
      <c r="M2997" s="1">
        <v>0</v>
      </c>
      <c r="N2997" s="1">
        <v>270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 t="s">
        <v>49</v>
      </c>
      <c r="AA2997" s="1" t="s">
        <v>49</v>
      </c>
      <c r="AB2997" s="1" t="s">
        <v>49</v>
      </c>
      <c r="AC2997" s="1" t="s">
        <v>206</v>
      </c>
      <c r="AD2997" s="1" t="s">
        <v>5795</v>
      </c>
      <c r="AE2997" s="1" t="s">
        <v>206</v>
      </c>
      <c r="AF2997" s="1" t="s">
        <v>6656</v>
      </c>
      <c r="AG2997" s="1" t="s">
        <v>53</v>
      </c>
      <c r="AH2997" s="1" t="s">
        <v>49</v>
      </c>
      <c r="AI2997" s="1" t="s">
        <v>54</v>
      </c>
      <c r="AJ2997" s="1">
        <v>1</v>
      </c>
      <c r="AK2997" s="1" t="str">
        <f t="shared" si="46"/>
        <v xml:space="preserve"> =&lt;90</v>
      </c>
      <c r="AL2997" s="1" t="e">
        <f>VLOOKUP(C:C,[1]基础信息!B$1:D$65536,3,0)</f>
        <v>#N/A</v>
      </c>
      <c r="AM2997" s="1" t="e">
        <f>VLOOKUP(C:C,[1]基础信息!B$1:E$65536,4,0)</f>
        <v>#N/A</v>
      </c>
      <c r="AN2997" s="1" t="e">
        <f>VLOOKUP(C:C,[1]基础信息!B$1:F$65536,5,0)</f>
        <v>#N/A</v>
      </c>
    </row>
    <row r="2998" spans="1:40">
      <c r="A2998" s="1" t="s">
        <v>41</v>
      </c>
      <c r="B2998" s="1" t="s">
        <v>42</v>
      </c>
      <c r="C2998" s="1" t="s">
        <v>5154</v>
      </c>
      <c r="D2998" s="1" t="s">
        <v>5155</v>
      </c>
      <c r="E2998" s="1" t="s">
        <v>45</v>
      </c>
      <c r="F2998" s="1" t="s">
        <v>6817</v>
      </c>
      <c r="G2998" s="1" t="s">
        <v>6870</v>
      </c>
      <c r="H2998" s="1" t="s">
        <v>6871</v>
      </c>
      <c r="I2998" s="1" t="s">
        <v>49</v>
      </c>
      <c r="J2998" s="1" t="s">
        <v>48</v>
      </c>
      <c r="K2998" s="1">
        <v>270</v>
      </c>
      <c r="L2998" s="1">
        <v>0</v>
      </c>
      <c r="M2998" s="1">
        <v>0</v>
      </c>
      <c r="N2998" s="1">
        <v>270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 t="s">
        <v>49</v>
      </c>
      <c r="AA2998" s="1" t="s">
        <v>49</v>
      </c>
      <c r="AB2998" s="1" t="s">
        <v>49</v>
      </c>
      <c r="AC2998" s="1" t="s">
        <v>206</v>
      </c>
      <c r="AD2998" s="1" t="s">
        <v>5795</v>
      </c>
      <c r="AE2998" s="1" t="s">
        <v>206</v>
      </c>
      <c r="AF2998" s="1" t="s">
        <v>6656</v>
      </c>
      <c r="AG2998" s="1" t="s">
        <v>53</v>
      </c>
      <c r="AH2998" s="1" t="s">
        <v>49</v>
      </c>
      <c r="AI2998" s="1" t="s">
        <v>54</v>
      </c>
      <c r="AJ2998" s="1">
        <v>1</v>
      </c>
      <c r="AK2998" s="1" t="str">
        <f t="shared" si="46"/>
        <v xml:space="preserve"> =&lt;90</v>
      </c>
      <c r="AL2998" s="1" t="e">
        <f>VLOOKUP(C:C,[1]基础信息!B$1:D$65536,3,0)</f>
        <v>#N/A</v>
      </c>
      <c r="AM2998" s="1" t="e">
        <f>VLOOKUP(C:C,[1]基础信息!B$1:E$65536,4,0)</f>
        <v>#N/A</v>
      </c>
      <c r="AN2998" s="1" t="e">
        <f>VLOOKUP(C:C,[1]基础信息!B$1:F$65536,5,0)</f>
        <v>#N/A</v>
      </c>
    </row>
    <row r="2999" spans="1:40">
      <c r="A2999" s="1" t="s">
        <v>41</v>
      </c>
      <c r="B2999" s="1" t="s">
        <v>42</v>
      </c>
      <c r="C2999" s="1" t="s">
        <v>6872</v>
      </c>
      <c r="D2999" s="1" t="s">
        <v>6873</v>
      </c>
      <c r="E2999" s="1" t="s">
        <v>45</v>
      </c>
      <c r="F2999" s="1" t="s">
        <v>6874</v>
      </c>
      <c r="G2999" s="1" t="s">
        <v>6875</v>
      </c>
      <c r="H2999" s="1" t="s">
        <v>45</v>
      </c>
      <c r="I2999" s="1" t="s">
        <v>45</v>
      </c>
      <c r="J2999" s="1" t="s">
        <v>48</v>
      </c>
      <c r="K2999" s="1">
        <v>212</v>
      </c>
      <c r="L2999" s="1">
        <v>0</v>
      </c>
      <c r="M2999" s="1">
        <v>0</v>
      </c>
      <c r="N2999" s="1">
        <v>212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 t="s">
        <v>49</v>
      </c>
      <c r="AA2999" s="1" t="s">
        <v>49</v>
      </c>
      <c r="AB2999" s="1" t="s">
        <v>49</v>
      </c>
      <c r="AC2999" s="1" t="s">
        <v>128</v>
      </c>
      <c r="AD2999" s="1" t="s">
        <v>129</v>
      </c>
      <c r="AE2999" s="1" t="s">
        <v>128</v>
      </c>
      <c r="AF2999" s="1" t="s">
        <v>49</v>
      </c>
      <c r="AG2999" s="1" t="s">
        <v>53</v>
      </c>
      <c r="AH2999" s="1" t="s">
        <v>49</v>
      </c>
      <c r="AI2999" s="1" t="s">
        <v>54</v>
      </c>
      <c r="AJ2999" s="1">
        <v>1</v>
      </c>
      <c r="AK2999" s="1" t="str">
        <f t="shared" si="46"/>
        <v xml:space="preserve"> =&lt;90</v>
      </c>
      <c r="AL2999" s="1" t="str">
        <f>VLOOKUP(C:C,[1]基础信息!B$1:D$65536,3,0)</f>
        <v>OnTap</v>
      </c>
      <c r="AM2999" s="1" t="str">
        <f>VLOOKUP(C:C,[1]基础信息!B$1:E$65536,4,0)</f>
        <v>OnTap</v>
      </c>
      <c r="AN2999" s="1" t="str">
        <f>VLOOKUP(C:C,[1]基础信息!B$1:F$65536,5,0)</f>
        <v>OnTap</v>
      </c>
    </row>
    <row r="3000" spans="1:40">
      <c r="A3000" s="1" t="s">
        <v>41</v>
      </c>
      <c r="B3000" s="1" t="s">
        <v>42</v>
      </c>
      <c r="C3000" s="1" t="s">
        <v>5154</v>
      </c>
      <c r="D3000" s="1" t="s">
        <v>5155</v>
      </c>
      <c r="E3000" s="1" t="s">
        <v>45</v>
      </c>
      <c r="F3000" s="1" t="s">
        <v>6817</v>
      </c>
      <c r="G3000" s="1" t="s">
        <v>6876</v>
      </c>
      <c r="H3000" s="1" t="s">
        <v>6877</v>
      </c>
      <c r="I3000" s="1" t="s">
        <v>49</v>
      </c>
      <c r="J3000" s="1" t="s">
        <v>48</v>
      </c>
      <c r="K3000" s="1">
        <v>270</v>
      </c>
      <c r="L3000" s="1">
        <v>0</v>
      </c>
      <c r="M3000" s="1">
        <v>0</v>
      </c>
      <c r="N3000" s="1">
        <v>270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 t="s">
        <v>49</v>
      </c>
      <c r="AA3000" s="1" t="s">
        <v>49</v>
      </c>
      <c r="AB3000" s="1" t="s">
        <v>49</v>
      </c>
      <c r="AC3000" s="1" t="s">
        <v>206</v>
      </c>
      <c r="AD3000" s="1" t="s">
        <v>5795</v>
      </c>
      <c r="AE3000" s="1" t="s">
        <v>206</v>
      </c>
      <c r="AF3000" s="1" t="s">
        <v>6656</v>
      </c>
      <c r="AG3000" s="1" t="s">
        <v>53</v>
      </c>
      <c r="AH3000" s="1" t="s">
        <v>49</v>
      </c>
      <c r="AI3000" s="1" t="s">
        <v>54</v>
      </c>
      <c r="AJ3000" s="1">
        <v>1</v>
      </c>
      <c r="AK3000" s="1" t="str">
        <f t="shared" si="46"/>
        <v xml:space="preserve"> =&lt;90</v>
      </c>
      <c r="AL3000" s="1" t="e">
        <f>VLOOKUP(C:C,[1]基础信息!B$1:D$65536,3,0)</f>
        <v>#N/A</v>
      </c>
      <c r="AM3000" s="1" t="e">
        <f>VLOOKUP(C:C,[1]基础信息!B$1:E$65536,4,0)</f>
        <v>#N/A</v>
      </c>
      <c r="AN3000" s="1" t="e">
        <f>VLOOKUP(C:C,[1]基础信息!B$1:F$65536,5,0)</f>
        <v>#N/A</v>
      </c>
    </row>
    <row r="3001" spans="1:40">
      <c r="A3001" s="1" t="s">
        <v>41</v>
      </c>
      <c r="B3001" s="1" t="s">
        <v>42</v>
      </c>
      <c r="C3001" s="1" t="s">
        <v>5154</v>
      </c>
      <c r="D3001" s="1" t="s">
        <v>5155</v>
      </c>
      <c r="E3001" s="1" t="s">
        <v>45</v>
      </c>
      <c r="F3001" s="1" t="s">
        <v>6817</v>
      </c>
      <c r="G3001" s="1" t="s">
        <v>6878</v>
      </c>
      <c r="H3001" s="1" t="s">
        <v>6879</v>
      </c>
      <c r="I3001" s="1" t="s">
        <v>49</v>
      </c>
      <c r="J3001" s="1" t="s">
        <v>48</v>
      </c>
      <c r="K3001" s="1">
        <v>270</v>
      </c>
      <c r="L3001" s="1">
        <v>0</v>
      </c>
      <c r="M3001" s="1">
        <v>0</v>
      </c>
      <c r="N3001" s="1">
        <v>270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 t="s">
        <v>49</v>
      </c>
      <c r="AA3001" s="1" t="s">
        <v>49</v>
      </c>
      <c r="AB3001" s="1" t="s">
        <v>49</v>
      </c>
      <c r="AC3001" s="1" t="s">
        <v>206</v>
      </c>
      <c r="AD3001" s="1" t="s">
        <v>5795</v>
      </c>
      <c r="AE3001" s="1" t="s">
        <v>206</v>
      </c>
      <c r="AF3001" s="1" t="s">
        <v>6656</v>
      </c>
      <c r="AG3001" s="1" t="s">
        <v>53</v>
      </c>
      <c r="AH3001" s="1" t="s">
        <v>49</v>
      </c>
      <c r="AI3001" s="1" t="s">
        <v>54</v>
      </c>
      <c r="AJ3001" s="1">
        <v>1</v>
      </c>
      <c r="AK3001" s="1" t="str">
        <f t="shared" si="46"/>
        <v xml:space="preserve"> =&lt;90</v>
      </c>
      <c r="AL3001" s="1" t="e">
        <f>VLOOKUP(C:C,[1]基础信息!B$1:D$65536,3,0)</f>
        <v>#N/A</v>
      </c>
      <c r="AM3001" s="1" t="e">
        <f>VLOOKUP(C:C,[1]基础信息!B$1:E$65536,4,0)</f>
        <v>#N/A</v>
      </c>
      <c r="AN3001" s="1" t="e">
        <f>VLOOKUP(C:C,[1]基础信息!B$1:F$65536,5,0)</f>
        <v>#N/A</v>
      </c>
    </row>
    <row r="3002" spans="1:40">
      <c r="A3002" s="1" t="s">
        <v>41</v>
      </c>
      <c r="B3002" s="1" t="s">
        <v>42</v>
      </c>
      <c r="C3002" s="1" t="s">
        <v>5154</v>
      </c>
      <c r="D3002" s="1" t="s">
        <v>5155</v>
      </c>
      <c r="E3002" s="1" t="s">
        <v>45</v>
      </c>
      <c r="F3002" s="1" t="s">
        <v>6817</v>
      </c>
      <c r="G3002" s="1" t="s">
        <v>6880</v>
      </c>
      <c r="H3002" s="1" t="s">
        <v>6881</v>
      </c>
      <c r="I3002" s="1" t="s">
        <v>49</v>
      </c>
      <c r="J3002" s="1" t="s">
        <v>48</v>
      </c>
      <c r="K3002" s="1">
        <v>270</v>
      </c>
      <c r="L3002" s="1">
        <v>0</v>
      </c>
      <c r="M3002" s="1">
        <v>0</v>
      </c>
      <c r="N3002" s="1">
        <v>270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 t="s">
        <v>49</v>
      </c>
      <c r="AA3002" s="1" t="s">
        <v>49</v>
      </c>
      <c r="AB3002" s="1" t="s">
        <v>49</v>
      </c>
      <c r="AC3002" s="1" t="s">
        <v>206</v>
      </c>
      <c r="AD3002" s="1" t="s">
        <v>5795</v>
      </c>
      <c r="AE3002" s="1" t="s">
        <v>206</v>
      </c>
      <c r="AF3002" s="1" t="s">
        <v>6656</v>
      </c>
      <c r="AG3002" s="1" t="s">
        <v>53</v>
      </c>
      <c r="AH3002" s="1" t="s">
        <v>49</v>
      </c>
      <c r="AI3002" s="1" t="s">
        <v>54</v>
      </c>
      <c r="AJ3002" s="1">
        <v>1</v>
      </c>
      <c r="AK3002" s="1" t="str">
        <f t="shared" si="46"/>
        <v xml:space="preserve"> =&lt;90</v>
      </c>
      <c r="AL3002" s="1" t="e">
        <f>VLOOKUP(C:C,[1]基础信息!B$1:D$65536,3,0)</f>
        <v>#N/A</v>
      </c>
      <c r="AM3002" s="1" t="e">
        <f>VLOOKUP(C:C,[1]基础信息!B$1:E$65536,4,0)</f>
        <v>#N/A</v>
      </c>
      <c r="AN3002" s="1" t="e">
        <f>VLOOKUP(C:C,[1]基础信息!B$1:F$65536,5,0)</f>
        <v>#N/A</v>
      </c>
    </row>
    <row r="3003" spans="1:40">
      <c r="A3003" s="1" t="s">
        <v>41</v>
      </c>
      <c r="B3003" s="1" t="s">
        <v>42</v>
      </c>
      <c r="C3003" s="1" t="s">
        <v>5154</v>
      </c>
      <c r="D3003" s="1" t="s">
        <v>5155</v>
      </c>
      <c r="E3003" s="1" t="s">
        <v>45</v>
      </c>
      <c r="F3003" s="1" t="s">
        <v>6817</v>
      </c>
      <c r="G3003" s="1" t="s">
        <v>6882</v>
      </c>
      <c r="H3003" s="1" t="s">
        <v>6883</v>
      </c>
      <c r="I3003" s="1" t="s">
        <v>49</v>
      </c>
      <c r="J3003" s="1" t="s">
        <v>48</v>
      </c>
      <c r="K3003" s="1">
        <v>270</v>
      </c>
      <c r="L3003" s="1">
        <v>0</v>
      </c>
      <c r="M3003" s="1">
        <v>0</v>
      </c>
      <c r="N3003" s="1">
        <v>270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 t="s">
        <v>49</v>
      </c>
      <c r="AA3003" s="1" t="s">
        <v>49</v>
      </c>
      <c r="AB3003" s="1" t="s">
        <v>49</v>
      </c>
      <c r="AC3003" s="1" t="s">
        <v>206</v>
      </c>
      <c r="AD3003" s="1" t="s">
        <v>5795</v>
      </c>
      <c r="AE3003" s="1" t="s">
        <v>206</v>
      </c>
      <c r="AF3003" s="1" t="s">
        <v>6656</v>
      </c>
      <c r="AG3003" s="1" t="s">
        <v>53</v>
      </c>
      <c r="AH3003" s="1" t="s">
        <v>49</v>
      </c>
      <c r="AI3003" s="1" t="s">
        <v>54</v>
      </c>
      <c r="AJ3003" s="1">
        <v>1</v>
      </c>
      <c r="AK3003" s="1" t="str">
        <f t="shared" si="46"/>
        <v xml:space="preserve"> =&lt;90</v>
      </c>
      <c r="AL3003" s="1" t="e">
        <f>VLOOKUP(C:C,[1]基础信息!B$1:D$65536,3,0)</f>
        <v>#N/A</v>
      </c>
      <c r="AM3003" s="1" t="e">
        <f>VLOOKUP(C:C,[1]基础信息!B$1:E$65536,4,0)</f>
        <v>#N/A</v>
      </c>
      <c r="AN3003" s="1" t="e">
        <f>VLOOKUP(C:C,[1]基础信息!B$1:F$65536,5,0)</f>
        <v>#N/A</v>
      </c>
    </row>
    <row r="3004" spans="1:40">
      <c r="A3004" s="1" t="s">
        <v>41</v>
      </c>
      <c r="B3004" s="1" t="s">
        <v>42</v>
      </c>
      <c r="C3004" s="1" t="s">
        <v>1116</v>
      </c>
      <c r="D3004" s="1" t="s">
        <v>1117</v>
      </c>
      <c r="E3004" s="1" t="s">
        <v>1116</v>
      </c>
      <c r="F3004" s="1" t="s">
        <v>6884</v>
      </c>
      <c r="G3004" s="1" t="s">
        <v>6885</v>
      </c>
      <c r="H3004" s="1" t="s">
        <v>6886</v>
      </c>
      <c r="I3004" s="1" t="s">
        <v>49</v>
      </c>
      <c r="J3004" s="1" t="s">
        <v>48</v>
      </c>
      <c r="K3004" s="1">
        <v>52</v>
      </c>
      <c r="L3004" s="1">
        <v>0</v>
      </c>
      <c r="M3004" s="1">
        <v>0</v>
      </c>
      <c r="N3004" s="1">
        <v>52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 t="s">
        <v>49</v>
      </c>
      <c r="AA3004" s="1" t="s">
        <v>49</v>
      </c>
      <c r="AB3004" s="1" t="s">
        <v>49</v>
      </c>
      <c r="AC3004" s="1" t="s">
        <v>2884</v>
      </c>
      <c r="AD3004" s="1" t="s">
        <v>2885</v>
      </c>
      <c r="AE3004" s="1" t="s">
        <v>2884</v>
      </c>
      <c r="AF3004" s="1" t="s">
        <v>6230</v>
      </c>
      <c r="AG3004" s="1" t="s">
        <v>53</v>
      </c>
      <c r="AH3004" s="1" t="s">
        <v>49</v>
      </c>
      <c r="AI3004" s="1" t="s">
        <v>54</v>
      </c>
      <c r="AJ3004" s="1">
        <v>1</v>
      </c>
      <c r="AK3004" s="1" t="str">
        <f t="shared" si="46"/>
        <v xml:space="preserve"> =&lt;90</v>
      </c>
      <c r="AL3004" s="1" t="str">
        <f>VLOOKUP(C:C,[1]基础信息!B$1:D$65536,3,0)</f>
        <v>UTS</v>
      </c>
      <c r="AM3004" s="1" t="str">
        <f>VLOOKUP(C:C,[1]基础信息!B$1:E$65536,4,0)</f>
        <v>MyPure Pro</v>
      </c>
      <c r="AN3004" s="1" t="str">
        <f>VLOOKUP(C:C,[1]基础信息!B$1:F$65536,5,0)</f>
        <v>Refill</v>
      </c>
    </row>
    <row r="3005" spans="1:40">
      <c r="A3005" s="1" t="s">
        <v>41</v>
      </c>
      <c r="B3005" s="1" t="s">
        <v>42</v>
      </c>
      <c r="C3005" s="1" t="s">
        <v>5154</v>
      </c>
      <c r="D3005" s="1" t="s">
        <v>5155</v>
      </c>
      <c r="E3005" s="1" t="s">
        <v>45</v>
      </c>
      <c r="F3005" s="1" t="s">
        <v>6817</v>
      </c>
      <c r="G3005" s="1" t="s">
        <v>6887</v>
      </c>
      <c r="H3005" s="1" t="s">
        <v>6888</v>
      </c>
      <c r="I3005" s="1" t="s">
        <v>49</v>
      </c>
      <c r="J3005" s="1" t="s">
        <v>48</v>
      </c>
      <c r="K3005" s="1">
        <v>270</v>
      </c>
      <c r="L3005" s="1">
        <v>0</v>
      </c>
      <c r="M3005" s="1">
        <v>0</v>
      </c>
      <c r="N3005" s="1">
        <v>270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 t="s">
        <v>49</v>
      </c>
      <c r="AA3005" s="1" t="s">
        <v>49</v>
      </c>
      <c r="AB3005" s="1" t="s">
        <v>49</v>
      </c>
      <c r="AC3005" s="1" t="s">
        <v>206</v>
      </c>
      <c r="AD3005" s="1" t="s">
        <v>5795</v>
      </c>
      <c r="AE3005" s="1" t="s">
        <v>206</v>
      </c>
      <c r="AF3005" s="1" t="s">
        <v>6656</v>
      </c>
      <c r="AG3005" s="1" t="s">
        <v>53</v>
      </c>
      <c r="AH3005" s="1" t="s">
        <v>49</v>
      </c>
      <c r="AI3005" s="1" t="s">
        <v>54</v>
      </c>
      <c r="AJ3005" s="1">
        <v>1</v>
      </c>
      <c r="AK3005" s="1" t="str">
        <f t="shared" si="46"/>
        <v xml:space="preserve"> =&lt;90</v>
      </c>
      <c r="AL3005" s="1" t="e">
        <f>VLOOKUP(C:C,[1]基础信息!B$1:D$65536,3,0)</f>
        <v>#N/A</v>
      </c>
      <c r="AM3005" s="1" t="e">
        <f>VLOOKUP(C:C,[1]基础信息!B$1:E$65536,4,0)</f>
        <v>#N/A</v>
      </c>
      <c r="AN3005" s="1" t="e">
        <f>VLOOKUP(C:C,[1]基础信息!B$1:F$65536,5,0)</f>
        <v>#N/A</v>
      </c>
    </row>
    <row r="3006" spans="1:40">
      <c r="A3006" s="1" t="s">
        <v>41</v>
      </c>
      <c r="B3006" s="1" t="s">
        <v>42</v>
      </c>
      <c r="C3006" s="1" t="s">
        <v>6806</v>
      </c>
      <c r="D3006" s="1" t="s">
        <v>6807</v>
      </c>
      <c r="E3006" s="1" t="s">
        <v>45</v>
      </c>
      <c r="F3006" s="1" t="s">
        <v>6832</v>
      </c>
      <c r="G3006" s="1" t="s">
        <v>6889</v>
      </c>
      <c r="H3006" s="1" t="s">
        <v>45</v>
      </c>
      <c r="I3006" s="1" t="s">
        <v>45</v>
      </c>
      <c r="J3006" s="1" t="s">
        <v>48</v>
      </c>
      <c r="K3006" s="1">
        <v>1680</v>
      </c>
      <c r="L3006" s="1">
        <v>0</v>
      </c>
      <c r="M3006" s="1">
        <v>0</v>
      </c>
      <c r="N3006" s="1">
        <v>1680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 t="s">
        <v>49</v>
      </c>
      <c r="AA3006" s="1" t="s">
        <v>49</v>
      </c>
      <c r="AB3006" s="1" t="s">
        <v>49</v>
      </c>
      <c r="AC3006" s="1" t="s">
        <v>6810</v>
      </c>
      <c r="AD3006" s="1" t="s">
        <v>6811</v>
      </c>
      <c r="AE3006" s="1" t="s">
        <v>6810</v>
      </c>
      <c r="AF3006" s="1" t="s">
        <v>6834</v>
      </c>
      <c r="AG3006" s="1" t="s">
        <v>53</v>
      </c>
      <c r="AH3006" s="1" t="s">
        <v>49</v>
      </c>
      <c r="AI3006" s="1" t="s">
        <v>54</v>
      </c>
      <c r="AJ3006" s="1">
        <v>1</v>
      </c>
      <c r="AK3006" s="1" t="str">
        <f t="shared" si="46"/>
        <v xml:space="preserve"> =&lt;90</v>
      </c>
      <c r="AL3006" s="1" t="e">
        <f>VLOOKUP(C:C,[1]基础信息!B$1:D$65536,3,0)</f>
        <v>#N/A</v>
      </c>
      <c r="AM3006" s="1" t="e">
        <f>VLOOKUP(C:C,[1]基础信息!B$1:E$65536,4,0)</f>
        <v>#N/A</v>
      </c>
      <c r="AN3006" s="1" t="e">
        <f>VLOOKUP(C:C,[1]基础信息!B$1:F$65536,5,0)</f>
        <v>#N/A</v>
      </c>
    </row>
    <row r="3007" spans="1:40">
      <c r="A3007" s="1" t="s">
        <v>41</v>
      </c>
      <c r="B3007" s="1" t="s">
        <v>42</v>
      </c>
      <c r="C3007" s="1" t="s">
        <v>2244</v>
      </c>
      <c r="D3007" s="1" t="s">
        <v>2245</v>
      </c>
      <c r="E3007" s="1" t="s">
        <v>2244</v>
      </c>
      <c r="F3007" s="1" t="s">
        <v>6890</v>
      </c>
      <c r="G3007" s="1" t="s">
        <v>6891</v>
      </c>
      <c r="H3007" s="1" t="s">
        <v>6892</v>
      </c>
      <c r="I3007" s="1" t="s">
        <v>49</v>
      </c>
      <c r="J3007" s="1" t="s">
        <v>48</v>
      </c>
      <c r="K3007" s="1">
        <v>16</v>
      </c>
      <c r="L3007" s="1">
        <v>0</v>
      </c>
      <c r="M3007" s="1">
        <v>0</v>
      </c>
      <c r="N3007" s="1">
        <v>16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 t="s">
        <v>49</v>
      </c>
      <c r="AA3007" s="1" t="s">
        <v>49</v>
      </c>
      <c r="AB3007" s="1" t="s">
        <v>49</v>
      </c>
      <c r="AC3007" s="1" t="s">
        <v>6893</v>
      </c>
      <c r="AD3007" s="1" t="s">
        <v>6894</v>
      </c>
      <c r="AE3007" s="1" t="s">
        <v>6893</v>
      </c>
      <c r="AF3007" s="1" t="s">
        <v>6895</v>
      </c>
      <c r="AG3007" s="1" t="s">
        <v>227</v>
      </c>
      <c r="AH3007" s="1" t="s">
        <v>49</v>
      </c>
      <c r="AI3007" s="1" t="s">
        <v>54</v>
      </c>
      <c r="AJ3007" s="1">
        <v>1</v>
      </c>
      <c r="AK3007" s="1" t="str">
        <f t="shared" si="46"/>
        <v xml:space="preserve"> =&lt;90</v>
      </c>
      <c r="AL3007" s="1" t="str">
        <f>VLOOKUP(C:C,[1]基础信息!B$1:D$65536,3,0)</f>
        <v>Spare Parts</v>
      </c>
      <c r="AM3007" s="1" t="str">
        <f>VLOOKUP(C:C,[1]基础信息!B$1:E$65536,4,0)</f>
        <v>Spare Parts</v>
      </c>
      <c r="AN3007" s="1" t="str">
        <f>VLOOKUP(C:C,[1]基础信息!B$1:F$65536,5,0)</f>
        <v>Spare Parts</v>
      </c>
    </row>
    <row r="3008" spans="1:40">
      <c r="A3008" s="1" t="s">
        <v>41</v>
      </c>
      <c r="B3008" s="1" t="s">
        <v>42</v>
      </c>
      <c r="C3008" s="1" t="s">
        <v>6806</v>
      </c>
      <c r="D3008" s="1" t="s">
        <v>6807</v>
      </c>
      <c r="E3008" s="1" t="s">
        <v>45</v>
      </c>
      <c r="F3008" s="1" t="s">
        <v>6832</v>
      </c>
      <c r="G3008" s="1" t="s">
        <v>6896</v>
      </c>
      <c r="H3008" s="1" t="s">
        <v>45</v>
      </c>
      <c r="I3008" s="1" t="s">
        <v>45</v>
      </c>
      <c r="J3008" s="1" t="s">
        <v>48</v>
      </c>
      <c r="K3008" s="1">
        <v>1680</v>
      </c>
      <c r="L3008" s="1">
        <v>0</v>
      </c>
      <c r="M3008" s="1">
        <v>0</v>
      </c>
      <c r="N3008" s="1">
        <v>1680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 t="s">
        <v>49</v>
      </c>
      <c r="AA3008" s="1" t="s">
        <v>49</v>
      </c>
      <c r="AB3008" s="1" t="s">
        <v>49</v>
      </c>
      <c r="AC3008" s="1" t="s">
        <v>6810</v>
      </c>
      <c r="AD3008" s="1" t="s">
        <v>6811</v>
      </c>
      <c r="AE3008" s="1" t="s">
        <v>6810</v>
      </c>
      <c r="AF3008" s="1" t="s">
        <v>6834</v>
      </c>
      <c r="AG3008" s="1" t="s">
        <v>53</v>
      </c>
      <c r="AH3008" s="1" t="s">
        <v>49</v>
      </c>
      <c r="AI3008" s="1" t="s">
        <v>54</v>
      </c>
      <c r="AJ3008" s="1">
        <v>1</v>
      </c>
      <c r="AK3008" s="1" t="str">
        <f t="shared" si="46"/>
        <v xml:space="preserve"> =&lt;90</v>
      </c>
      <c r="AL3008" s="1" t="e">
        <f>VLOOKUP(C:C,[1]基础信息!B$1:D$65536,3,0)</f>
        <v>#N/A</v>
      </c>
      <c r="AM3008" s="1" t="e">
        <f>VLOOKUP(C:C,[1]基础信息!B$1:E$65536,4,0)</f>
        <v>#N/A</v>
      </c>
      <c r="AN3008" s="1" t="e">
        <f>VLOOKUP(C:C,[1]基础信息!B$1:F$65536,5,0)</f>
        <v>#N/A</v>
      </c>
    </row>
    <row r="3009" spans="1:40">
      <c r="A3009" s="1" t="s">
        <v>41</v>
      </c>
      <c r="B3009" s="1" t="s">
        <v>42</v>
      </c>
      <c r="C3009" s="1" t="s">
        <v>5154</v>
      </c>
      <c r="D3009" s="1" t="s">
        <v>5155</v>
      </c>
      <c r="E3009" s="1" t="s">
        <v>45</v>
      </c>
      <c r="F3009" s="1" t="s">
        <v>6817</v>
      </c>
      <c r="G3009" s="1" t="s">
        <v>6897</v>
      </c>
      <c r="H3009" s="1" t="s">
        <v>6898</v>
      </c>
      <c r="I3009" s="1" t="s">
        <v>49</v>
      </c>
      <c r="J3009" s="1" t="s">
        <v>48</v>
      </c>
      <c r="K3009" s="1">
        <v>270</v>
      </c>
      <c r="L3009" s="1">
        <v>0</v>
      </c>
      <c r="M3009" s="1">
        <v>0</v>
      </c>
      <c r="N3009" s="1">
        <v>270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 t="s">
        <v>49</v>
      </c>
      <c r="AA3009" s="1" t="s">
        <v>49</v>
      </c>
      <c r="AB3009" s="1" t="s">
        <v>49</v>
      </c>
      <c r="AC3009" s="1" t="s">
        <v>206</v>
      </c>
      <c r="AD3009" s="1" t="s">
        <v>5795</v>
      </c>
      <c r="AE3009" s="1" t="s">
        <v>206</v>
      </c>
      <c r="AF3009" s="1" t="s">
        <v>6656</v>
      </c>
      <c r="AG3009" s="1" t="s">
        <v>53</v>
      </c>
      <c r="AH3009" s="1" t="s">
        <v>49</v>
      </c>
      <c r="AI3009" s="1" t="s">
        <v>54</v>
      </c>
      <c r="AJ3009" s="1">
        <v>1</v>
      </c>
      <c r="AK3009" s="1" t="str">
        <f t="shared" si="46"/>
        <v xml:space="preserve"> =&lt;90</v>
      </c>
      <c r="AL3009" s="1" t="e">
        <f>VLOOKUP(C:C,[1]基础信息!B$1:D$65536,3,0)</f>
        <v>#N/A</v>
      </c>
      <c r="AM3009" s="1" t="e">
        <f>VLOOKUP(C:C,[1]基础信息!B$1:E$65536,4,0)</f>
        <v>#N/A</v>
      </c>
      <c r="AN3009" s="1" t="e">
        <f>VLOOKUP(C:C,[1]基础信息!B$1:F$65536,5,0)</f>
        <v>#N/A</v>
      </c>
    </row>
    <row r="3010" spans="1:40">
      <c r="A3010" s="1" t="s">
        <v>41</v>
      </c>
      <c r="B3010" s="1" t="s">
        <v>42</v>
      </c>
      <c r="C3010" s="1" t="s">
        <v>5154</v>
      </c>
      <c r="D3010" s="1" t="s">
        <v>5155</v>
      </c>
      <c r="E3010" s="1" t="s">
        <v>45</v>
      </c>
      <c r="F3010" s="1" t="s">
        <v>6817</v>
      </c>
      <c r="G3010" s="1" t="s">
        <v>6899</v>
      </c>
      <c r="H3010" s="1" t="s">
        <v>6900</v>
      </c>
      <c r="I3010" s="1" t="s">
        <v>49</v>
      </c>
      <c r="J3010" s="1" t="s">
        <v>48</v>
      </c>
      <c r="K3010" s="1">
        <v>270</v>
      </c>
      <c r="L3010" s="1">
        <v>0</v>
      </c>
      <c r="M3010" s="1">
        <v>0</v>
      </c>
      <c r="N3010" s="1">
        <v>270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 t="s">
        <v>49</v>
      </c>
      <c r="AA3010" s="1" t="s">
        <v>49</v>
      </c>
      <c r="AB3010" s="1" t="s">
        <v>49</v>
      </c>
      <c r="AC3010" s="1" t="s">
        <v>206</v>
      </c>
      <c r="AD3010" s="1" t="s">
        <v>5795</v>
      </c>
      <c r="AE3010" s="1" t="s">
        <v>206</v>
      </c>
      <c r="AF3010" s="1" t="s">
        <v>6656</v>
      </c>
      <c r="AG3010" s="1" t="s">
        <v>53</v>
      </c>
      <c r="AH3010" s="1" t="s">
        <v>49</v>
      </c>
      <c r="AI3010" s="1" t="s">
        <v>54</v>
      </c>
      <c r="AJ3010" s="1">
        <v>1</v>
      </c>
      <c r="AK3010" s="1" t="str">
        <f t="shared" ref="AK3010:AK3073" si="47">IF(AJ3010&gt;$AP$2,$AQ$2,IF(AJ3010&gt;$AP$3,$AQ$3,IF(AJ3010&gt;$AP$4,$AQ$4,$AQ$5)))</f>
        <v xml:space="preserve"> =&lt;90</v>
      </c>
      <c r="AL3010" s="1" t="e">
        <f>VLOOKUP(C:C,[1]基础信息!B$1:D$65536,3,0)</f>
        <v>#N/A</v>
      </c>
      <c r="AM3010" s="1" t="e">
        <f>VLOOKUP(C:C,[1]基础信息!B$1:E$65536,4,0)</f>
        <v>#N/A</v>
      </c>
      <c r="AN3010" s="1" t="e">
        <f>VLOOKUP(C:C,[1]基础信息!B$1:F$65536,5,0)</f>
        <v>#N/A</v>
      </c>
    </row>
    <row r="3011" spans="1:40">
      <c r="A3011" s="1" t="s">
        <v>41</v>
      </c>
      <c r="B3011" s="1" t="s">
        <v>42</v>
      </c>
      <c r="C3011" s="1" t="s">
        <v>5154</v>
      </c>
      <c r="D3011" s="1" t="s">
        <v>5155</v>
      </c>
      <c r="E3011" s="1" t="s">
        <v>45</v>
      </c>
      <c r="F3011" s="1" t="s">
        <v>6817</v>
      </c>
      <c r="G3011" s="1" t="s">
        <v>6901</v>
      </c>
      <c r="H3011" s="1" t="s">
        <v>6902</v>
      </c>
      <c r="I3011" s="1" t="s">
        <v>49</v>
      </c>
      <c r="J3011" s="1" t="s">
        <v>48</v>
      </c>
      <c r="K3011" s="1">
        <v>270</v>
      </c>
      <c r="L3011" s="1">
        <v>0</v>
      </c>
      <c r="M3011" s="1">
        <v>0</v>
      </c>
      <c r="N3011" s="1">
        <v>270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 t="s">
        <v>49</v>
      </c>
      <c r="AA3011" s="1" t="s">
        <v>49</v>
      </c>
      <c r="AB3011" s="1" t="s">
        <v>49</v>
      </c>
      <c r="AC3011" s="1" t="s">
        <v>206</v>
      </c>
      <c r="AD3011" s="1" t="s">
        <v>5795</v>
      </c>
      <c r="AE3011" s="1" t="s">
        <v>206</v>
      </c>
      <c r="AF3011" s="1" t="s">
        <v>6656</v>
      </c>
      <c r="AG3011" s="1" t="s">
        <v>53</v>
      </c>
      <c r="AH3011" s="1" t="s">
        <v>49</v>
      </c>
      <c r="AI3011" s="1" t="s">
        <v>54</v>
      </c>
      <c r="AJ3011" s="1">
        <v>1</v>
      </c>
      <c r="AK3011" s="1" t="str">
        <f t="shared" si="47"/>
        <v xml:space="preserve"> =&lt;90</v>
      </c>
      <c r="AL3011" s="1" t="e">
        <f>VLOOKUP(C:C,[1]基础信息!B$1:D$65536,3,0)</f>
        <v>#N/A</v>
      </c>
      <c r="AM3011" s="1" t="e">
        <f>VLOOKUP(C:C,[1]基础信息!B$1:E$65536,4,0)</f>
        <v>#N/A</v>
      </c>
      <c r="AN3011" s="1" t="e">
        <f>VLOOKUP(C:C,[1]基础信息!B$1:F$65536,5,0)</f>
        <v>#N/A</v>
      </c>
    </row>
    <row r="3012" spans="1:40">
      <c r="A3012" s="1" t="s">
        <v>41</v>
      </c>
      <c r="B3012" s="1" t="s">
        <v>42</v>
      </c>
      <c r="C3012" s="1" t="s">
        <v>6806</v>
      </c>
      <c r="D3012" s="1" t="s">
        <v>6807</v>
      </c>
      <c r="E3012" s="1" t="s">
        <v>45</v>
      </c>
      <c r="F3012" s="1" t="s">
        <v>6832</v>
      </c>
      <c r="G3012" s="1" t="s">
        <v>6903</v>
      </c>
      <c r="H3012" s="1" t="s">
        <v>45</v>
      </c>
      <c r="I3012" s="1" t="s">
        <v>45</v>
      </c>
      <c r="J3012" s="1" t="s">
        <v>48</v>
      </c>
      <c r="K3012" s="1">
        <v>1680</v>
      </c>
      <c r="L3012" s="1">
        <v>0</v>
      </c>
      <c r="M3012" s="1">
        <v>0</v>
      </c>
      <c r="N3012" s="1">
        <v>1680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 t="s">
        <v>49</v>
      </c>
      <c r="AA3012" s="1" t="s">
        <v>49</v>
      </c>
      <c r="AB3012" s="1" t="s">
        <v>49</v>
      </c>
      <c r="AC3012" s="1" t="s">
        <v>6810</v>
      </c>
      <c r="AD3012" s="1" t="s">
        <v>6811</v>
      </c>
      <c r="AE3012" s="1" t="s">
        <v>6810</v>
      </c>
      <c r="AF3012" s="1" t="s">
        <v>6834</v>
      </c>
      <c r="AG3012" s="1" t="s">
        <v>53</v>
      </c>
      <c r="AH3012" s="1" t="s">
        <v>49</v>
      </c>
      <c r="AI3012" s="1" t="s">
        <v>54</v>
      </c>
      <c r="AJ3012" s="1">
        <v>1</v>
      </c>
      <c r="AK3012" s="1" t="str">
        <f t="shared" si="47"/>
        <v xml:space="preserve"> =&lt;90</v>
      </c>
      <c r="AL3012" s="1" t="e">
        <f>VLOOKUP(C:C,[1]基础信息!B$1:D$65536,3,0)</f>
        <v>#N/A</v>
      </c>
      <c r="AM3012" s="1" t="e">
        <f>VLOOKUP(C:C,[1]基础信息!B$1:E$65536,4,0)</f>
        <v>#N/A</v>
      </c>
      <c r="AN3012" s="1" t="e">
        <f>VLOOKUP(C:C,[1]基础信息!B$1:F$65536,5,0)</f>
        <v>#N/A</v>
      </c>
    </row>
    <row r="3013" spans="1:40">
      <c r="A3013" s="1" t="s">
        <v>41</v>
      </c>
      <c r="B3013" s="1" t="s">
        <v>42</v>
      </c>
      <c r="C3013" s="1" t="s">
        <v>5154</v>
      </c>
      <c r="D3013" s="1" t="s">
        <v>5155</v>
      </c>
      <c r="E3013" s="1" t="s">
        <v>45</v>
      </c>
      <c r="F3013" s="1" t="s">
        <v>6817</v>
      </c>
      <c r="G3013" s="1" t="s">
        <v>6904</v>
      </c>
      <c r="H3013" s="1" t="s">
        <v>6905</v>
      </c>
      <c r="I3013" s="1" t="s">
        <v>49</v>
      </c>
      <c r="J3013" s="1" t="s">
        <v>48</v>
      </c>
      <c r="K3013" s="1">
        <v>270</v>
      </c>
      <c r="L3013" s="1">
        <v>0</v>
      </c>
      <c r="M3013" s="1">
        <v>0</v>
      </c>
      <c r="N3013" s="1">
        <v>270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 t="s">
        <v>49</v>
      </c>
      <c r="AA3013" s="1" t="s">
        <v>49</v>
      </c>
      <c r="AB3013" s="1" t="s">
        <v>49</v>
      </c>
      <c r="AC3013" s="1" t="s">
        <v>206</v>
      </c>
      <c r="AD3013" s="1" t="s">
        <v>5795</v>
      </c>
      <c r="AE3013" s="1" t="s">
        <v>206</v>
      </c>
      <c r="AF3013" s="1" t="s">
        <v>6656</v>
      </c>
      <c r="AG3013" s="1" t="s">
        <v>53</v>
      </c>
      <c r="AH3013" s="1" t="s">
        <v>49</v>
      </c>
      <c r="AI3013" s="1" t="s">
        <v>54</v>
      </c>
      <c r="AJ3013" s="1">
        <v>1</v>
      </c>
      <c r="AK3013" s="1" t="str">
        <f t="shared" si="47"/>
        <v xml:space="preserve"> =&lt;90</v>
      </c>
      <c r="AL3013" s="1" t="e">
        <f>VLOOKUP(C:C,[1]基础信息!B$1:D$65536,3,0)</f>
        <v>#N/A</v>
      </c>
      <c r="AM3013" s="1" t="e">
        <f>VLOOKUP(C:C,[1]基础信息!B$1:E$65536,4,0)</f>
        <v>#N/A</v>
      </c>
      <c r="AN3013" s="1" t="e">
        <f>VLOOKUP(C:C,[1]基础信息!B$1:F$65536,5,0)</f>
        <v>#N/A</v>
      </c>
    </row>
    <row r="3014" spans="1:40">
      <c r="A3014" s="1" t="s">
        <v>41</v>
      </c>
      <c r="B3014" s="1" t="s">
        <v>42</v>
      </c>
      <c r="C3014" s="1" t="s">
        <v>5154</v>
      </c>
      <c r="D3014" s="1" t="s">
        <v>5155</v>
      </c>
      <c r="E3014" s="1" t="s">
        <v>45</v>
      </c>
      <c r="F3014" s="1" t="s">
        <v>6817</v>
      </c>
      <c r="G3014" s="1" t="s">
        <v>6906</v>
      </c>
      <c r="H3014" s="1" t="s">
        <v>6907</v>
      </c>
      <c r="I3014" s="1" t="s">
        <v>49</v>
      </c>
      <c r="J3014" s="1" t="s">
        <v>48</v>
      </c>
      <c r="K3014" s="1">
        <v>270</v>
      </c>
      <c r="L3014" s="1">
        <v>0</v>
      </c>
      <c r="M3014" s="1">
        <v>0</v>
      </c>
      <c r="N3014" s="1">
        <v>270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 t="s">
        <v>49</v>
      </c>
      <c r="AA3014" s="1" t="s">
        <v>49</v>
      </c>
      <c r="AB3014" s="1" t="s">
        <v>49</v>
      </c>
      <c r="AC3014" s="1" t="s">
        <v>206</v>
      </c>
      <c r="AD3014" s="1" t="s">
        <v>5795</v>
      </c>
      <c r="AE3014" s="1" t="s">
        <v>206</v>
      </c>
      <c r="AF3014" s="1" t="s">
        <v>6656</v>
      </c>
      <c r="AG3014" s="1" t="s">
        <v>53</v>
      </c>
      <c r="AH3014" s="1" t="s">
        <v>49</v>
      </c>
      <c r="AI3014" s="1" t="s">
        <v>54</v>
      </c>
      <c r="AJ3014" s="1">
        <v>1</v>
      </c>
      <c r="AK3014" s="1" t="str">
        <f t="shared" si="47"/>
        <v xml:space="preserve"> =&lt;90</v>
      </c>
      <c r="AL3014" s="1" t="e">
        <f>VLOOKUP(C:C,[1]基础信息!B$1:D$65536,3,0)</f>
        <v>#N/A</v>
      </c>
      <c r="AM3014" s="1" t="e">
        <f>VLOOKUP(C:C,[1]基础信息!B$1:E$65536,4,0)</f>
        <v>#N/A</v>
      </c>
      <c r="AN3014" s="1" t="e">
        <f>VLOOKUP(C:C,[1]基础信息!B$1:F$65536,5,0)</f>
        <v>#N/A</v>
      </c>
    </row>
    <row r="3015" spans="1:40">
      <c r="A3015" s="1" t="s">
        <v>41</v>
      </c>
      <c r="B3015" s="1" t="s">
        <v>42</v>
      </c>
      <c r="C3015" s="1" t="s">
        <v>5154</v>
      </c>
      <c r="D3015" s="1" t="s">
        <v>5155</v>
      </c>
      <c r="E3015" s="1" t="s">
        <v>45</v>
      </c>
      <c r="F3015" s="1" t="s">
        <v>6908</v>
      </c>
      <c r="G3015" s="1" t="s">
        <v>6909</v>
      </c>
      <c r="H3015" s="1" t="s">
        <v>6910</v>
      </c>
      <c r="I3015" s="1" t="s">
        <v>49</v>
      </c>
      <c r="J3015" s="1" t="s">
        <v>48</v>
      </c>
      <c r="K3015" s="1">
        <v>270</v>
      </c>
      <c r="L3015" s="1">
        <v>0</v>
      </c>
      <c r="M3015" s="1">
        <v>0</v>
      </c>
      <c r="N3015" s="1">
        <v>270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 t="s">
        <v>49</v>
      </c>
      <c r="AA3015" s="1" t="s">
        <v>49</v>
      </c>
      <c r="AB3015" s="1" t="s">
        <v>49</v>
      </c>
      <c r="AC3015" s="1" t="s">
        <v>206</v>
      </c>
      <c r="AD3015" s="1" t="s">
        <v>5795</v>
      </c>
      <c r="AE3015" s="1" t="s">
        <v>6911</v>
      </c>
      <c r="AF3015" s="1" t="s">
        <v>6656</v>
      </c>
      <c r="AG3015" s="1" t="s">
        <v>53</v>
      </c>
      <c r="AH3015" s="1" t="s">
        <v>49</v>
      </c>
      <c r="AI3015" s="1" t="s">
        <v>54</v>
      </c>
      <c r="AJ3015" s="1">
        <v>1</v>
      </c>
      <c r="AK3015" s="1" t="str">
        <f t="shared" si="47"/>
        <v xml:space="preserve"> =&lt;90</v>
      </c>
      <c r="AL3015" s="1" t="e">
        <f>VLOOKUP(C:C,[1]基础信息!B$1:D$65536,3,0)</f>
        <v>#N/A</v>
      </c>
      <c r="AM3015" s="1" t="e">
        <f>VLOOKUP(C:C,[1]基础信息!B$1:E$65536,4,0)</f>
        <v>#N/A</v>
      </c>
      <c r="AN3015" s="1" t="e">
        <f>VLOOKUP(C:C,[1]基础信息!B$1:F$65536,5,0)</f>
        <v>#N/A</v>
      </c>
    </row>
    <row r="3016" spans="1:40">
      <c r="A3016" s="1" t="s">
        <v>41</v>
      </c>
      <c r="B3016" s="1" t="s">
        <v>42</v>
      </c>
      <c r="C3016" s="1" t="s">
        <v>5154</v>
      </c>
      <c r="D3016" s="1" t="s">
        <v>5155</v>
      </c>
      <c r="E3016" s="1" t="s">
        <v>45</v>
      </c>
      <c r="F3016" s="1" t="s">
        <v>6908</v>
      </c>
      <c r="G3016" s="1" t="s">
        <v>6912</v>
      </c>
      <c r="H3016" s="1" t="s">
        <v>6913</v>
      </c>
      <c r="I3016" s="1" t="s">
        <v>49</v>
      </c>
      <c r="J3016" s="1" t="s">
        <v>48</v>
      </c>
      <c r="K3016" s="1">
        <v>270</v>
      </c>
      <c r="L3016" s="1">
        <v>0</v>
      </c>
      <c r="M3016" s="1">
        <v>0</v>
      </c>
      <c r="N3016" s="1">
        <v>270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 t="s">
        <v>49</v>
      </c>
      <c r="AA3016" s="1" t="s">
        <v>49</v>
      </c>
      <c r="AB3016" s="1" t="s">
        <v>49</v>
      </c>
      <c r="AC3016" s="1" t="s">
        <v>206</v>
      </c>
      <c r="AD3016" s="1" t="s">
        <v>5795</v>
      </c>
      <c r="AE3016" s="1" t="s">
        <v>6911</v>
      </c>
      <c r="AF3016" s="1" t="s">
        <v>6656</v>
      </c>
      <c r="AG3016" s="1" t="s">
        <v>53</v>
      </c>
      <c r="AH3016" s="1" t="s">
        <v>49</v>
      </c>
      <c r="AI3016" s="1" t="s">
        <v>54</v>
      </c>
      <c r="AJ3016" s="1">
        <v>1</v>
      </c>
      <c r="AK3016" s="1" t="str">
        <f t="shared" si="47"/>
        <v xml:space="preserve"> =&lt;90</v>
      </c>
      <c r="AL3016" s="1" t="e">
        <f>VLOOKUP(C:C,[1]基础信息!B$1:D$65536,3,0)</f>
        <v>#N/A</v>
      </c>
      <c r="AM3016" s="1" t="e">
        <f>VLOOKUP(C:C,[1]基础信息!B$1:E$65536,4,0)</f>
        <v>#N/A</v>
      </c>
      <c r="AN3016" s="1" t="e">
        <f>VLOOKUP(C:C,[1]基础信息!B$1:F$65536,5,0)</f>
        <v>#N/A</v>
      </c>
    </row>
    <row r="3017" spans="1:40">
      <c r="A3017" s="1" t="s">
        <v>41</v>
      </c>
      <c r="B3017" s="1" t="s">
        <v>42</v>
      </c>
      <c r="C3017" s="1" t="s">
        <v>6914</v>
      </c>
      <c r="D3017" s="1" t="s">
        <v>6915</v>
      </c>
      <c r="E3017" s="1" t="s">
        <v>45</v>
      </c>
      <c r="F3017" s="1" t="s">
        <v>6916</v>
      </c>
      <c r="G3017" s="1" t="s">
        <v>6917</v>
      </c>
      <c r="H3017" s="1" t="s">
        <v>45</v>
      </c>
      <c r="I3017" s="1" t="s">
        <v>45</v>
      </c>
      <c r="J3017" s="1" t="s">
        <v>48</v>
      </c>
      <c r="K3017" s="1">
        <v>4</v>
      </c>
      <c r="L3017" s="1">
        <v>0</v>
      </c>
      <c r="M3017" s="1">
        <v>0</v>
      </c>
      <c r="N3017" s="1">
        <v>4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 t="s">
        <v>49</v>
      </c>
      <c r="AA3017" s="1" t="s">
        <v>49</v>
      </c>
      <c r="AB3017" s="1" t="s">
        <v>49</v>
      </c>
      <c r="AC3017" s="1" t="s">
        <v>6918</v>
      </c>
      <c r="AD3017" s="1" t="s">
        <v>6919</v>
      </c>
      <c r="AE3017" s="1" t="s">
        <v>6918</v>
      </c>
      <c r="AF3017" s="1" t="s">
        <v>6920</v>
      </c>
      <c r="AG3017" s="1" t="s">
        <v>6921</v>
      </c>
      <c r="AH3017" s="1" t="s">
        <v>49</v>
      </c>
      <c r="AI3017" s="1" t="s">
        <v>54</v>
      </c>
      <c r="AJ3017" s="1">
        <v>1</v>
      </c>
      <c r="AK3017" s="1" t="str">
        <f t="shared" si="47"/>
        <v xml:space="preserve"> =&lt;90</v>
      </c>
      <c r="AL3017" s="1" t="str">
        <f>VLOOKUP(C:C,[1]基础信息!B$1:D$65536,3,0)</f>
        <v>Hotcup</v>
      </c>
      <c r="AM3017" s="1" t="str">
        <f>VLOOKUP(C:C,[1]基础信息!B$1:E$65536,4,0)</f>
        <v>Hotcup</v>
      </c>
      <c r="AN3017" s="1" t="str">
        <f>VLOOKUP(C:C,[1]基础信息!B$1:F$65536,5,0)</f>
        <v>Silver</v>
      </c>
    </row>
    <row r="3018" spans="1:40">
      <c r="A3018" s="1" t="s">
        <v>41</v>
      </c>
      <c r="B3018" s="1" t="s">
        <v>42</v>
      </c>
      <c r="C3018" s="1" t="s">
        <v>341</v>
      </c>
      <c r="D3018" s="1" t="s">
        <v>342</v>
      </c>
      <c r="E3018" s="1" t="s">
        <v>45</v>
      </c>
      <c r="F3018" s="1" t="s">
        <v>6770</v>
      </c>
      <c r="G3018" s="1" t="s">
        <v>6922</v>
      </c>
      <c r="H3018" s="1" t="s">
        <v>6923</v>
      </c>
      <c r="I3018" s="1" t="s">
        <v>49</v>
      </c>
      <c r="J3018" s="1" t="s">
        <v>48</v>
      </c>
      <c r="K3018" s="1">
        <v>70</v>
      </c>
      <c r="L3018" s="1">
        <v>0</v>
      </c>
      <c r="M3018" s="1">
        <v>0</v>
      </c>
      <c r="N3018" s="1">
        <v>70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 t="s">
        <v>49</v>
      </c>
      <c r="AA3018" s="1" t="s">
        <v>49</v>
      </c>
      <c r="AB3018" s="1" t="s">
        <v>49</v>
      </c>
      <c r="AC3018" s="1" t="s">
        <v>346</v>
      </c>
      <c r="AD3018" s="1" t="s">
        <v>347</v>
      </c>
      <c r="AE3018" s="1" t="s">
        <v>346</v>
      </c>
      <c r="AF3018" s="1" t="s">
        <v>6773</v>
      </c>
      <c r="AG3018" s="1" t="s">
        <v>338</v>
      </c>
      <c r="AH3018" s="1" t="s">
        <v>49</v>
      </c>
      <c r="AI3018" s="1" t="s">
        <v>54</v>
      </c>
      <c r="AJ3018" s="1">
        <v>1</v>
      </c>
      <c r="AK3018" s="1" t="str">
        <f t="shared" si="47"/>
        <v xml:space="preserve"> =&lt;90</v>
      </c>
      <c r="AL3018" s="1" t="str">
        <f>VLOOKUP(C:C,[1]基础信息!B$1:D$65536,3,0)</f>
        <v>Jug</v>
      </c>
      <c r="AM3018" s="1" t="str">
        <f>VLOOKUP(C:C,[1]基础信息!B$1:E$65536,4,0)</f>
        <v>Marella</v>
      </c>
      <c r="AN3018" s="1" t="str">
        <f>VLOOKUP(C:C,[1]基础信息!B$1:F$65536,5,0)</f>
        <v>Blue Glitter</v>
      </c>
    </row>
    <row r="3019" spans="1:40">
      <c r="A3019" s="1" t="s">
        <v>41</v>
      </c>
      <c r="B3019" s="1" t="s">
        <v>42</v>
      </c>
      <c r="C3019" s="1" t="s">
        <v>341</v>
      </c>
      <c r="D3019" s="1" t="s">
        <v>342</v>
      </c>
      <c r="E3019" s="1" t="s">
        <v>45</v>
      </c>
      <c r="F3019" s="1" t="s">
        <v>343</v>
      </c>
      <c r="G3019" s="1" t="s">
        <v>6924</v>
      </c>
      <c r="H3019" s="1" t="s">
        <v>6925</v>
      </c>
      <c r="I3019" s="1" t="s">
        <v>49</v>
      </c>
      <c r="J3019" s="1" t="s">
        <v>48</v>
      </c>
      <c r="K3019" s="1">
        <v>70</v>
      </c>
      <c r="L3019" s="1">
        <v>0</v>
      </c>
      <c r="M3019" s="1">
        <v>0</v>
      </c>
      <c r="N3019" s="1">
        <v>70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 t="s">
        <v>49</v>
      </c>
      <c r="AA3019" s="1" t="s">
        <v>49</v>
      </c>
      <c r="AB3019" s="1" t="s">
        <v>49</v>
      </c>
      <c r="AC3019" s="1" t="s">
        <v>346</v>
      </c>
      <c r="AD3019" s="1" t="s">
        <v>347</v>
      </c>
      <c r="AE3019" s="1" t="s">
        <v>346</v>
      </c>
      <c r="AF3019" s="1" t="s">
        <v>348</v>
      </c>
      <c r="AG3019" s="1" t="s">
        <v>338</v>
      </c>
      <c r="AH3019" s="1" t="s">
        <v>49</v>
      </c>
      <c r="AI3019" s="1" t="s">
        <v>54</v>
      </c>
      <c r="AJ3019" s="1">
        <v>1</v>
      </c>
      <c r="AK3019" s="1" t="str">
        <f t="shared" si="47"/>
        <v xml:space="preserve"> =&lt;90</v>
      </c>
      <c r="AL3019" s="1" t="str">
        <f>VLOOKUP(C:C,[1]基础信息!B$1:D$65536,3,0)</f>
        <v>Jug</v>
      </c>
      <c r="AM3019" s="1" t="str">
        <f>VLOOKUP(C:C,[1]基础信息!B$1:E$65536,4,0)</f>
        <v>Marella</v>
      </c>
      <c r="AN3019" s="1" t="str">
        <f>VLOOKUP(C:C,[1]基础信息!B$1:F$65536,5,0)</f>
        <v>Blue Glitter</v>
      </c>
    </row>
    <row r="3020" spans="1:40">
      <c r="A3020" s="1" t="s">
        <v>41</v>
      </c>
      <c r="B3020" s="1" t="s">
        <v>42</v>
      </c>
      <c r="C3020" s="1" t="s">
        <v>6806</v>
      </c>
      <c r="D3020" s="1" t="s">
        <v>6807</v>
      </c>
      <c r="E3020" s="1" t="s">
        <v>45</v>
      </c>
      <c r="F3020" s="1" t="s">
        <v>6832</v>
      </c>
      <c r="G3020" s="1" t="s">
        <v>6926</v>
      </c>
      <c r="H3020" s="1" t="s">
        <v>45</v>
      </c>
      <c r="I3020" s="1" t="s">
        <v>45</v>
      </c>
      <c r="J3020" s="1" t="s">
        <v>48</v>
      </c>
      <c r="K3020" s="1">
        <v>1680</v>
      </c>
      <c r="L3020" s="1">
        <v>0</v>
      </c>
      <c r="M3020" s="1">
        <v>0</v>
      </c>
      <c r="N3020" s="1">
        <v>1680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 t="s">
        <v>49</v>
      </c>
      <c r="AA3020" s="1" t="s">
        <v>49</v>
      </c>
      <c r="AB3020" s="1" t="s">
        <v>49</v>
      </c>
      <c r="AC3020" s="1" t="s">
        <v>6810</v>
      </c>
      <c r="AD3020" s="1" t="s">
        <v>6811</v>
      </c>
      <c r="AE3020" s="1" t="s">
        <v>6810</v>
      </c>
      <c r="AF3020" s="1" t="s">
        <v>6834</v>
      </c>
      <c r="AG3020" s="1" t="s">
        <v>53</v>
      </c>
      <c r="AH3020" s="1" t="s">
        <v>49</v>
      </c>
      <c r="AI3020" s="1" t="s">
        <v>54</v>
      </c>
      <c r="AJ3020" s="1">
        <v>1</v>
      </c>
      <c r="AK3020" s="1" t="str">
        <f t="shared" si="47"/>
        <v xml:space="preserve"> =&lt;90</v>
      </c>
      <c r="AL3020" s="1" t="e">
        <f>VLOOKUP(C:C,[1]基础信息!B$1:D$65536,3,0)</f>
        <v>#N/A</v>
      </c>
      <c r="AM3020" s="1" t="e">
        <f>VLOOKUP(C:C,[1]基础信息!B$1:E$65536,4,0)</f>
        <v>#N/A</v>
      </c>
      <c r="AN3020" s="1" t="e">
        <f>VLOOKUP(C:C,[1]基础信息!B$1:F$65536,5,0)</f>
        <v>#N/A</v>
      </c>
    </row>
    <row r="3021" spans="1:40">
      <c r="A3021" s="1" t="s">
        <v>41</v>
      </c>
      <c r="B3021" s="1" t="s">
        <v>42</v>
      </c>
      <c r="C3021" s="1" t="s">
        <v>722</v>
      </c>
      <c r="D3021" s="1" t="s">
        <v>723</v>
      </c>
      <c r="E3021" s="1" t="s">
        <v>45</v>
      </c>
      <c r="F3021" s="1" t="s">
        <v>6927</v>
      </c>
      <c r="G3021" s="1" t="s">
        <v>6928</v>
      </c>
      <c r="H3021" s="1" t="s">
        <v>6929</v>
      </c>
      <c r="I3021" s="1" t="s">
        <v>49</v>
      </c>
      <c r="J3021" s="1" t="s">
        <v>48</v>
      </c>
      <c r="K3021" s="1">
        <v>2</v>
      </c>
      <c r="L3021" s="1">
        <v>0</v>
      </c>
      <c r="M3021" s="1">
        <v>0</v>
      </c>
      <c r="N3021" s="1">
        <v>2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 t="s">
        <v>49</v>
      </c>
      <c r="AA3021" s="1" t="s">
        <v>49</v>
      </c>
      <c r="AB3021" s="1" t="s">
        <v>49</v>
      </c>
      <c r="AC3021" s="1" t="s">
        <v>6930</v>
      </c>
      <c r="AD3021" s="1" t="s">
        <v>6931</v>
      </c>
      <c r="AE3021" s="1" t="s">
        <v>6932</v>
      </c>
      <c r="AF3021" s="1" t="s">
        <v>49</v>
      </c>
      <c r="AG3021" s="1" t="s">
        <v>227</v>
      </c>
      <c r="AH3021" s="1" t="s">
        <v>49</v>
      </c>
      <c r="AI3021" s="1" t="s">
        <v>54</v>
      </c>
      <c r="AJ3021" s="1">
        <v>1</v>
      </c>
      <c r="AK3021" s="1" t="str">
        <f t="shared" si="47"/>
        <v xml:space="preserve"> =&lt;90</v>
      </c>
      <c r="AL3021" s="1" t="str">
        <f>VLOOKUP(C:C,[1]基础信息!B$1:D$65536,3,0)</f>
        <v>Spare Parts</v>
      </c>
      <c r="AM3021" s="1" t="str">
        <f>VLOOKUP(C:C,[1]基础信息!B$1:E$65536,4,0)</f>
        <v>Spare Parts</v>
      </c>
      <c r="AN3021" s="1" t="str">
        <f>VLOOKUP(C:C,[1]基础信息!B$1:F$65536,5,0)</f>
        <v>Spare Parts</v>
      </c>
    </row>
    <row r="3022" spans="1:40">
      <c r="A3022" s="1" t="s">
        <v>41</v>
      </c>
      <c r="B3022" s="1" t="s">
        <v>42</v>
      </c>
      <c r="C3022" s="1" t="s">
        <v>5154</v>
      </c>
      <c r="D3022" s="1" t="s">
        <v>5155</v>
      </c>
      <c r="E3022" s="1" t="s">
        <v>45</v>
      </c>
      <c r="F3022" s="1" t="s">
        <v>6908</v>
      </c>
      <c r="G3022" s="1" t="s">
        <v>6933</v>
      </c>
      <c r="H3022" s="1" t="s">
        <v>6934</v>
      </c>
      <c r="I3022" s="1" t="s">
        <v>49</v>
      </c>
      <c r="J3022" s="1" t="s">
        <v>48</v>
      </c>
      <c r="K3022" s="1">
        <v>270</v>
      </c>
      <c r="L3022" s="1">
        <v>0</v>
      </c>
      <c r="M3022" s="1">
        <v>0</v>
      </c>
      <c r="N3022" s="1">
        <v>270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 t="s">
        <v>49</v>
      </c>
      <c r="AA3022" s="1" t="s">
        <v>49</v>
      </c>
      <c r="AB3022" s="1" t="s">
        <v>49</v>
      </c>
      <c r="AC3022" s="1" t="s">
        <v>206</v>
      </c>
      <c r="AD3022" s="1" t="s">
        <v>5795</v>
      </c>
      <c r="AE3022" s="1" t="s">
        <v>6911</v>
      </c>
      <c r="AF3022" s="1" t="s">
        <v>6656</v>
      </c>
      <c r="AG3022" s="1" t="s">
        <v>53</v>
      </c>
      <c r="AH3022" s="1" t="s">
        <v>49</v>
      </c>
      <c r="AI3022" s="1" t="s">
        <v>54</v>
      </c>
      <c r="AJ3022" s="1">
        <v>1</v>
      </c>
      <c r="AK3022" s="1" t="str">
        <f t="shared" si="47"/>
        <v xml:space="preserve"> =&lt;90</v>
      </c>
      <c r="AL3022" s="1" t="e">
        <f>VLOOKUP(C:C,[1]基础信息!B$1:D$65536,3,0)</f>
        <v>#N/A</v>
      </c>
      <c r="AM3022" s="1" t="e">
        <f>VLOOKUP(C:C,[1]基础信息!B$1:E$65536,4,0)</f>
        <v>#N/A</v>
      </c>
      <c r="AN3022" s="1" t="e">
        <f>VLOOKUP(C:C,[1]基础信息!B$1:F$65536,5,0)</f>
        <v>#N/A</v>
      </c>
    </row>
    <row r="3023" spans="1:40">
      <c r="A3023" s="1" t="s">
        <v>41</v>
      </c>
      <c r="B3023" s="1" t="s">
        <v>42</v>
      </c>
      <c r="C3023" s="1" t="s">
        <v>4352</v>
      </c>
      <c r="D3023" s="1" t="s">
        <v>4353</v>
      </c>
      <c r="E3023" s="1" t="s">
        <v>45</v>
      </c>
      <c r="F3023" s="1" t="s">
        <v>6935</v>
      </c>
      <c r="G3023" s="1" t="s">
        <v>6936</v>
      </c>
      <c r="H3023" s="1" t="s">
        <v>6937</v>
      </c>
      <c r="I3023" s="1" t="s">
        <v>49</v>
      </c>
      <c r="J3023" s="1" t="s">
        <v>48</v>
      </c>
      <c r="K3023" s="1">
        <v>336</v>
      </c>
      <c r="L3023" s="1">
        <v>0</v>
      </c>
      <c r="M3023" s="1">
        <v>0</v>
      </c>
      <c r="N3023" s="1">
        <v>336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 t="s">
        <v>49</v>
      </c>
      <c r="AA3023" s="1" t="s">
        <v>49</v>
      </c>
      <c r="AB3023" s="1" t="s">
        <v>49</v>
      </c>
      <c r="AC3023" s="1" t="s">
        <v>6911</v>
      </c>
      <c r="AD3023" s="1" t="s">
        <v>6938</v>
      </c>
      <c r="AE3023" s="1" t="s">
        <v>6911</v>
      </c>
      <c r="AF3023" s="1" t="s">
        <v>5799</v>
      </c>
      <c r="AG3023" s="1" t="s">
        <v>53</v>
      </c>
      <c r="AH3023" s="1" t="s">
        <v>49</v>
      </c>
      <c r="AI3023" s="1" t="s">
        <v>54</v>
      </c>
      <c r="AJ3023" s="1">
        <v>1</v>
      </c>
      <c r="AK3023" s="1" t="str">
        <f t="shared" si="47"/>
        <v xml:space="preserve"> =&lt;90</v>
      </c>
      <c r="AL3023" s="1" t="e">
        <f>VLOOKUP(C:C,[1]基础信息!B$1:D$65536,3,0)</f>
        <v>#N/A</v>
      </c>
      <c r="AM3023" s="1" t="e">
        <f>VLOOKUP(C:C,[1]基础信息!B$1:E$65536,4,0)</f>
        <v>#N/A</v>
      </c>
      <c r="AN3023" s="1" t="e">
        <f>VLOOKUP(C:C,[1]基础信息!B$1:F$65536,5,0)</f>
        <v>#N/A</v>
      </c>
    </row>
    <row r="3024" spans="1:40">
      <c r="A3024" s="1" t="s">
        <v>41</v>
      </c>
      <c r="B3024" s="1" t="s">
        <v>42</v>
      </c>
      <c r="C3024" s="1" t="s">
        <v>4352</v>
      </c>
      <c r="D3024" s="1" t="s">
        <v>4353</v>
      </c>
      <c r="E3024" s="1" t="s">
        <v>45</v>
      </c>
      <c r="F3024" s="1" t="s">
        <v>6935</v>
      </c>
      <c r="G3024" s="1" t="s">
        <v>6939</v>
      </c>
      <c r="H3024" s="1" t="s">
        <v>6940</v>
      </c>
      <c r="I3024" s="1" t="s">
        <v>49</v>
      </c>
      <c r="J3024" s="1" t="s">
        <v>48</v>
      </c>
      <c r="K3024" s="1">
        <v>192</v>
      </c>
      <c r="L3024" s="1">
        <v>0</v>
      </c>
      <c r="M3024" s="1">
        <v>0</v>
      </c>
      <c r="N3024" s="1">
        <v>192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 t="s">
        <v>49</v>
      </c>
      <c r="AA3024" s="1" t="s">
        <v>49</v>
      </c>
      <c r="AB3024" s="1" t="s">
        <v>49</v>
      </c>
      <c r="AC3024" s="1" t="s">
        <v>6911</v>
      </c>
      <c r="AD3024" s="1" t="s">
        <v>6938</v>
      </c>
      <c r="AE3024" s="1" t="s">
        <v>6911</v>
      </c>
      <c r="AF3024" s="1" t="s">
        <v>5799</v>
      </c>
      <c r="AG3024" s="1" t="s">
        <v>53</v>
      </c>
      <c r="AH3024" s="1" t="s">
        <v>49</v>
      </c>
      <c r="AI3024" s="1" t="s">
        <v>54</v>
      </c>
      <c r="AJ3024" s="1">
        <v>1</v>
      </c>
      <c r="AK3024" s="1" t="str">
        <f t="shared" si="47"/>
        <v xml:space="preserve"> =&lt;90</v>
      </c>
      <c r="AL3024" s="1" t="e">
        <f>VLOOKUP(C:C,[1]基础信息!B$1:D$65536,3,0)</f>
        <v>#N/A</v>
      </c>
      <c r="AM3024" s="1" t="e">
        <f>VLOOKUP(C:C,[1]基础信息!B$1:E$65536,4,0)</f>
        <v>#N/A</v>
      </c>
      <c r="AN3024" s="1" t="e">
        <f>VLOOKUP(C:C,[1]基础信息!B$1:F$65536,5,0)</f>
        <v>#N/A</v>
      </c>
    </row>
    <row r="3025" spans="1:40">
      <c r="A3025" s="1" t="s">
        <v>41</v>
      </c>
      <c r="B3025" s="1" t="s">
        <v>42</v>
      </c>
      <c r="C3025" s="1" t="s">
        <v>4342</v>
      </c>
      <c r="D3025" s="1" t="s">
        <v>4343</v>
      </c>
      <c r="E3025" s="1" t="s">
        <v>45</v>
      </c>
      <c r="F3025" s="1" t="s">
        <v>6782</v>
      </c>
      <c r="G3025" s="1" t="s">
        <v>6941</v>
      </c>
      <c r="H3025" s="1" t="s">
        <v>45</v>
      </c>
      <c r="I3025" s="1" t="s">
        <v>45</v>
      </c>
      <c r="J3025" s="1" t="s">
        <v>48</v>
      </c>
      <c r="K3025" s="1">
        <v>540</v>
      </c>
      <c r="L3025" s="1">
        <v>0</v>
      </c>
      <c r="M3025" s="1">
        <v>0</v>
      </c>
      <c r="N3025" s="1">
        <v>540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 t="s">
        <v>49</v>
      </c>
      <c r="AA3025" s="1" t="s">
        <v>49</v>
      </c>
      <c r="AB3025" s="1" t="s">
        <v>49</v>
      </c>
      <c r="AC3025" s="1" t="s">
        <v>3361</v>
      </c>
      <c r="AD3025" s="1" t="s">
        <v>3362</v>
      </c>
      <c r="AE3025" s="1" t="s">
        <v>3361</v>
      </c>
      <c r="AF3025" s="1" t="s">
        <v>6784</v>
      </c>
      <c r="AG3025" s="1" t="s">
        <v>53</v>
      </c>
      <c r="AH3025" s="1" t="s">
        <v>49</v>
      </c>
      <c r="AI3025" s="1" t="s">
        <v>54</v>
      </c>
      <c r="AJ3025" s="1">
        <v>1</v>
      </c>
      <c r="AK3025" s="1" t="str">
        <f t="shared" si="47"/>
        <v xml:space="preserve"> =&lt;90</v>
      </c>
      <c r="AL3025" s="1" t="e">
        <f>VLOOKUP(C:C,[1]基础信息!B$1:D$65536,3,0)</f>
        <v>#N/A</v>
      </c>
      <c r="AM3025" s="1" t="e">
        <f>VLOOKUP(C:C,[1]基础信息!B$1:E$65536,4,0)</f>
        <v>#N/A</v>
      </c>
      <c r="AN3025" s="1" t="e">
        <f>VLOOKUP(C:C,[1]基础信息!B$1:F$65536,5,0)</f>
        <v>#N/A</v>
      </c>
    </row>
    <row r="3026" spans="1:40">
      <c r="A3026" s="1" t="s">
        <v>41</v>
      </c>
      <c r="B3026" s="1" t="s">
        <v>42</v>
      </c>
      <c r="C3026" s="1" t="s">
        <v>6942</v>
      </c>
      <c r="D3026" s="1" t="s">
        <v>6943</v>
      </c>
      <c r="E3026" s="1" t="s">
        <v>45</v>
      </c>
      <c r="F3026" s="1" t="s">
        <v>6944</v>
      </c>
      <c r="G3026" s="1" t="s">
        <v>6945</v>
      </c>
      <c r="H3026" s="1" t="s">
        <v>45</v>
      </c>
      <c r="I3026" s="1" t="s">
        <v>45</v>
      </c>
      <c r="J3026" s="1" t="s">
        <v>48</v>
      </c>
      <c r="K3026" s="1">
        <v>363</v>
      </c>
      <c r="L3026" s="1">
        <v>0</v>
      </c>
      <c r="M3026" s="1">
        <v>0</v>
      </c>
      <c r="N3026" s="1">
        <v>363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 t="s">
        <v>49</v>
      </c>
      <c r="AA3026" s="1" t="s">
        <v>49</v>
      </c>
      <c r="AB3026" s="1" t="s">
        <v>49</v>
      </c>
      <c r="AC3026" s="1" t="s">
        <v>3719</v>
      </c>
      <c r="AD3026" s="1" t="s">
        <v>3720</v>
      </c>
      <c r="AE3026" s="1" t="s">
        <v>3719</v>
      </c>
      <c r="AF3026" s="1" t="s">
        <v>6946</v>
      </c>
      <c r="AG3026" s="1" t="s">
        <v>53</v>
      </c>
      <c r="AH3026" s="1" t="s">
        <v>49</v>
      </c>
      <c r="AI3026" s="1" t="s">
        <v>54</v>
      </c>
      <c r="AJ3026" s="1">
        <v>1</v>
      </c>
      <c r="AK3026" s="1" t="str">
        <f t="shared" si="47"/>
        <v xml:space="preserve"> =&lt;90</v>
      </c>
      <c r="AL3026" s="1" t="e">
        <f>VLOOKUP(C:C,[1]基础信息!B$1:D$65536,3,0)</f>
        <v>#N/A</v>
      </c>
      <c r="AM3026" s="1" t="e">
        <f>VLOOKUP(C:C,[1]基础信息!B$1:E$65536,4,0)</f>
        <v>#N/A</v>
      </c>
      <c r="AN3026" s="1" t="e">
        <f>VLOOKUP(C:C,[1]基础信息!B$1:F$65536,5,0)</f>
        <v>#N/A</v>
      </c>
    </row>
    <row r="3027" spans="1:40">
      <c r="A3027" s="1" t="s">
        <v>41</v>
      </c>
      <c r="B3027" s="1" t="s">
        <v>42</v>
      </c>
      <c r="C3027" s="1" t="s">
        <v>6806</v>
      </c>
      <c r="D3027" s="1" t="s">
        <v>6807</v>
      </c>
      <c r="E3027" s="1" t="s">
        <v>45</v>
      </c>
      <c r="F3027" s="1" t="s">
        <v>6832</v>
      </c>
      <c r="G3027" s="1" t="s">
        <v>6947</v>
      </c>
      <c r="H3027" s="1" t="s">
        <v>45</v>
      </c>
      <c r="I3027" s="1" t="s">
        <v>45</v>
      </c>
      <c r="J3027" s="1" t="s">
        <v>48</v>
      </c>
      <c r="K3027" s="1">
        <v>1680</v>
      </c>
      <c r="L3027" s="1">
        <v>0</v>
      </c>
      <c r="M3027" s="1">
        <v>0</v>
      </c>
      <c r="N3027" s="1">
        <v>1680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 t="s">
        <v>49</v>
      </c>
      <c r="AA3027" s="1" t="s">
        <v>49</v>
      </c>
      <c r="AB3027" s="1" t="s">
        <v>49</v>
      </c>
      <c r="AC3027" s="1" t="s">
        <v>6810</v>
      </c>
      <c r="AD3027" s="1" t="s">
        <v>6811</v>
      </c>
      <c r="AE3027" s="1" t="s">
        <v>6810</v>
      </c>
      <c r="AF3027" s="1" t="s">
        <v>6834</v>
      </c>
      <c r="AG3027" s="1" t="s">
        <v>53</v>
      </c>
      <c r="AH3027" s="1" t="s">
        <v>49</v>
      </c>
      <c r="AI3027" s="1" t="s">
        <v>54</v>
      </c>
      <c r="AJ3027" s="1">
        <v>1</v>
      </c>
      <c r="AK3027" s="1" t="str">
        <f t="shared" si="47"/>
        <v xml:space="preserve"> =&lt;90</v>
      </c>
      <c r="AL3027" s="1" t="e">
        <f>VLOOKUP(C:C,[1]基础信息!B$1:D$65536,3,0)</f>
        <v>#N/A</v>
      </c>
      <c r="AM3027" s="1" t="e">
        <f>VLOOKUP(C:C,[1]基础信息!B$1:E$65536,4,0)</f>
        <v>#N/A</v>
      </c>
      <c r="AN3027" s="1" t="e">
        <f>VLOOKUP(C:C,[1]基础信息!B$1:F$65536,5,0)</f>
        <v>#N/A</v>
      </c>
    </row>
    <row r="3028" spans="1:40">
      <c r="A3028" s="1" t="s">
        <v>41</v>
      </c>
      <c r="B3028" s="1" t="s">
        <v>42</v>
      </c>
      <c r="C3028" s="1" t="s">
        <v>6806</v>
      </c>
      <c r="D3028" s="1" t="s">
        <v>6807</v>
      </c>
      <c r="E3028" s="1" t="s">
        <v>45</v>
      </c>
      <c r="F3028" s="1" t="s">
        <v>6808</v>
      </c>
      <c r="G3028" s="1" t="s">
        <v>6948</v>
      </c>
      <c r="H3028" s="1" t="s">
        <v>45</v>
      </c>
      <c r="I3028" s="1" t="s">
        <v>45</v>
      </c>
      <c r="J3028" s="1" t="s">
        <v>48</v>
      </c>
      <c r="K3028" s="1">
        <v>1680</v>
      </c>
      <c r="L3028" s="1">
        <v>0</v>
      </c>
      <c r="M3028" s="1">
        <v>0</v>
      </c>
      <c r="N3028" s="1">
        <v>1680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 t="s">
        <v>49</v>
      </c>
      <c r="AA3028" s="1" t="s">
        <v>49</v>
      </c>
      <c r="AB3028" s="1" t="s">
        <v>49</v>
      </c>
      <c r="AC3028" s="1" t="s">
        <v>6810</v>
      </c>
      <c r="AD3028" s="1" t="s">
        <v>6811</v>
      </c>
      <c r="AE3028" s="1" t="s">
        <v>6810</v>
      </c>
      <c r="AF3028" s="1" t="s">
        <v>6812</v>
      </c>
      <c r="AG3028" s="1" t="s">
        <v>53</v>
      </c>
      <c r="AH3028" s="1" t="s">
        <v>49</v>
      </c>
      <c r="AI3028" s="1" t="s">
        <v>54</v>
      </c>
      <c r="AJ3028" s="1">
        <v>1</v>
      </c>
      <c r="AK3028" s="1" t="str">
        <f t="shared" si="47"/>
        <v xml:space="preserve"> =&lt;90</v>
      </c>
      <c r="AL3028" s="1" t="e">
        <f>VLOOKUP(C:C,[1]基础信息!B$1:D$65536,3,0)</f>
        <v>#N/A</v>
      </c>
      <c r="AM3028" s="1" t="e">
        <f>VLOOKUP(C:C,[1]基础信息!B$1:E$65536,4,0)</f>
        <v>#N/A</v>
      </c>
      <c r="AN3028" s="1" t="e">
        <f>VLOOKUP(C:C,[1]基础信息!B$1:F$65536,5,0)</f>
        <v>#N/A</v>
      </c>
    </row>
    <row r="3029" spans="1:40">
      <c r="A3029" s="1" t="s">
        <v>41</v>
      </c>
      <c r="B3029" s="1" t="s">
        <v>42</v>
      </c>
      <c r="C3029" s="1" t="s">
        <v>56</v>
      </c>
      <c r="D3029" s="1" t="s">
        <v>57</v>
      </c>
      <c r="E3029" s="1" t="s">
        <v>45</v>
      </c>
      <c r="F3029" s="1" t="s">
        <v>6949</v>
      </c>
      <c r="G3029" s="1" t="s">
        <v>6950</v>
      </c>
      <c r="H3029" s="1" t="s">
        <v>6951</v>
      </c>
      <c r="I3029" s="1" t="s">
        <v>49</v>
      </c>
      <c r="J3029" s="1" t="s">
        <v>48</v>
      </c>
      <c r="K3029" s="1">
        <v>72</v>
      </c>
      <c r="L3029" s="1">
        <v>0</v>
      </c>
      <c r="M3029" s="1">
        <v>0</v>
      </c>
      <c r="N3029" s="1">
        <v>72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 t="s">
        <v>49</v>
      </c>
      <c r="AA3029" s="1" t="s">
        <v>49</v>
      </c>
      <c r="AB3029" s="1" t="s">
        <v>49</v>
      </c>
      <c r="AC3029" s="1" t="s">
        <v>6952</v>
      </c>
      <c r="AD3029" s="1" t="s">
        <v>6953</v>
      </c>
      <c r="AE3029" s="1" t="s">
        <v>61</v>
      </c>
      <c r="AF3029" s="1" t="s">
        <v>6954</v>
      </c>
      <c r="AG3029" s="1" t="s">
        <v>53</v>
      </c>
      <c r="AH3029" s="1" t="s">
        <v>49</v>
      </c>
      <c r="AI3029" s="1" t="s">
        <v>54</v>
      </c>
      <c r="AJ3029" s="1">
        <v>1</v>
      </c>
      <c r="AK3029" s="1" t="str">
        <f t="shared" si="47"/>
        <v xml:space="preserve"> =&lt;90</v>
      </c>
      <c r="AL3029" s="1" t="str">
        <f>VLOOKUP(C:C,[1]基础信息!B$1:D$65536,3,0)</f>
        <v>Jug</v>
      </c>
      <c r="AM3029" s="1" t="str">
        <f>VLOOKUP(C:C,[1]基础信息!B$1:E$65536,4,0)</f>
        <v>Marella XL</v>
      </c>
      <c r="AN3029" s="1" t="str">
        <f>VLOOKUP(C:C,[1]基础信息!B$1:F$65536,5,0)</f>
        <v>Blue</v>
      </c>
    </row>
    <row r="3030" spans="1:40">
      <c r="A3030" s="1" t="s">
        <v>41</v>
      </c>
      <c r="B3030" s="1" t="s">
        <v>42</v>
      </c>
      <c r="C3030" s="1" t="s">
        <v>56</v>
      </c>
      <c r="D3030" s="1" t="s">
        <v>57</v>
      </c>
      <c r="E3030" s="1" t="s">
        <v>45</v>
      </c>
      <c r="F3030" s="1" t="s">
        <v>6949</v>
      </c>
      <c r="G3030" s="1" t="s">
        <v>6955</v>
      </c>
      <c r="H3030" s="1" t="s">
        <v>6956</v>
      </c>
      <c r="I3030" s="1" t="s">
        <v>49</v>
      </c>
      <c r="J3030" s="1" t="s">
        <v>48</v>
      </c>
      <c r="K3030" s="1">
        <v>72</v>
      </c>
      <c r="L3030" s="1">
        <v>0</v>
      </c>
      <c r="M3030" s="1">
        <v>0</v>
      </c>
      <c r="N3030" s="1">
        <v>72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 t="s">
        <v>49</v>
      </c>
      <c r="AA3030" s="1" t="s">
        <v>49</v>
      </c>
      <c r="AB3030" s="1" t="s">
        <v>49</v>
      </c>
      <c r="AC3030" s="1" t="s">
        <v>6952</v>
      </c>
      <c r="AD3030" s="1" t="s">
        <v>6953</v>
      </c>
      <c r="AE3030" s="1" t="s">
        <v>61</v>
      </c>
      <c r="AF3030" s="1" t="s">
        <v>6954</v>
      </c>
      <c r="AG3030" s="1" t="s">
        <v>53</v>
      </c>
      <c r="AH3030" s="1" t="s">
        <v>49</v>
      </c>
      <c r="AI3030" s="1" t="s">
        <v>54</v>
      </c>
      <c r="AJ3030" s="1">
        <v>1</v>
      </c>
      <c r="AK3030" s="1" t="str">
        <f t="shared" si="47"/>
        <v xml:space="preserve"> =&lt;90</v>
      </c>
      <c r="AL3030" s="1" t="str">
        <f>VLOOKUP(C:C,[1]基础信息!B$1:D$65536,3,0)</f>
        <v>Jug</v>
      </c>
      <c r="AM3030" s="1" t="str">
        <f>VLOOKUP(C:C,[1]基础信息!B$1:E$65536,4,0)</f>
        <v>Marella XL</v>
      </c>
      <c r="AN3030" s="1" t="str">
        <f>VLOOKUP(C:C,[1]基础信息!B$1:F$65536,5,0)</f>
        <v>Blue</v>
      </c>
    </row>
    <row r="3031" spans="1:40">
      <c r="A3031" s="1" t="s">
        <v>41</v>
      </c>
      <c r="B3031" s="1" t="s">
        <v>42</v>
      </c>
      <c r="C3031" s="1" t="s">
        <v>56</v>
      </c>
      <c r="D3031" s="1" t="s">
        <v>57</v>
      </c>
      <c r="E3031" s="1" t="s">
        <v>45</v>
      </c>
      <c r="F3031" s="1" t="s">
        <v>6949</v>
      </c>
      <c r="G3031" s="1" t="s">
        <v>6957</v>
      </c>
      <c r="H3031" s="1" t="s">
        <v>6958</v>
      </c>
      <c r="I3031" s="1" t="s">
        <v>49</v>
      </c>
      <c r="J3031" s="1" t="s">
        <v>48</v>
      </c>
      <c r="K3031" s="1">
        <v>72</v>
      </c>
      <c r="L3031" s="1">
        <v>0</v>
      </c>
      <c r="M3031" s="1">
        <v>0</v>
      </c>
      <c r="N3031" s="1">
        <v>72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 t="s">
        <v>49</v>
      </c>
      <c r="AA3031" s="1" t="s">
        <v>49</v>
      </c>
      <c r="AB3031" s="1" t="s">
        <v>49</v>
      </c>
      <c r="AC3031" s="1" t="s">
        <v>6952</v>
      </c>
      <c r="AD3031" s="1" t="s">
        <v>6953</v>
      </c>
      <c r="AE3031" s="1" t="s">
        <v>61</v>
      </c>
      <c r="AF3031" s="1" t="s">
        <v>6954</v>
      </c>
      <c r="AG3031" s="1" t="s">
        <v>53</v>
      </c>
      <c r="AH3031" s="1" t="s">
        <v>49</v>
      </c>
      <c r="AI3031" s="1" t="s">
        <v>54</v>
      </c>
      <c r="AJ3031" s="1">
        <v>1</v>
      </c>
      <c r="AK3031" s="1" t="str">
        <f t="shared" si="47"/>
        <v xml:space="preserve"> =&lt;90</v>
      </c>
      <c r="AL3031" s="1" t="str">
        <f>VLOOKUP(C:C,[1]基础信息!B$1:D$65536,3,0)</f>
        <v>Jug</v>
      </c>
      <c r="AM3031" s="1" t="str">
        <f>VLOOKUP(C:C,[1]基础信息!B$1:E$65536,4,0)</f>
        <v>Marella XL</v>
      </c>
      <c r="AN3031" s="1" t="str">
        <f>VLOOKUP(C:C,[1]基础信息!B$1:F$65536,5,0)</f>
        <v>Blue</v>
      </c>
    </row>
    <row r="3032" spans="1:40">
      <c r="A3032" s="1" t="s">
        <v>41</v>
      </c>
      <c r="B3032" s="1" t="s">
        <v>42</v>
      </c>
      <c r="C3032" s="1" t="s">
        <v>56</v>
      </c>
      <c r="D3032" s="1" t="s">
        <v>57</v>
      </c>
      <c r="E3032" s="1" t="s">
        <v>45</v>
      </c>
      <c r="F3032" s="1" t="s">
        <v>6949</v>
      </c>
      <c r="G3032" s="1" t="s">
        <v>6959</v>
      </c>
      <c r="H3032" s="1" t="s">
        <v>6960</v>
      </c>
      <c r="I3032" s="1" t="s">
        <v>49</v>
      </c>
      <c r="J3032" s="1" t="s">
        <v>48</v>
      </c>
      <c r="K3032" s="1">
        <v>72</v>
      </c>
      <c r="L3032" s="1">
        <v>0</v>
      </c>
      <c r="M3032" s="1">
        <v>0</v>
      </c>
      <c r="N3032" s="1">
        <v>72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 t="s">
        <v>49</v>
      </c>
      <c r="AA3032" s="1" t="s">
        <v>49</v>
      </c>
      <c r="AB3032" s="1" t="s">
        <v>49</v>
      </c>
      <c r="AC3032" s="1" t="s">
        <v>6952</v>
      </c>
      <c r="AD3032" s="1" t="s">
        <v>6953</v>
      </c>
      <c r="AE3032" s="1" t="s">
        <v>61</v>
      </c>
      <c r="AF3032" s="1" t="s">
        <v>6954</v>
      </c>
      <c r="AG3032" s="1" t="s">
        <v>53</v>
      </c>
      <c r="AH3032" s="1" t="s">
        <v>49</v>
      </c>
      <c r="AI3032" s="1" t="s">
        <v>54</v>
      </c>
      <c r="AJ3032" s="1">
        <v>1</v>
      </c>
      <c r="AK3032" s="1" t="str">
        <f t="shared" si="47"/>
        <v xml:space="preserve"> =&lt;90</v>
      </c>
      <c r="AL3032" s="1" t="str">
        <f>VLOOKUP(C:C,[1]基础信息!B$1:D$65536,3,0)</f>
        <v>Jug</v>
      </c>
      <c r="AM3032" s="1" t="str">
        <f>VLOOKUP(C:C,[1]基础信息!B$1:E$65536,4,0)</f>
        <v>Marella XL</v>
      </c>
      <c r="AN3032" s="1" t="str">
        <f>VLOOKUP(C:C,[1]基础信息!B$1:F$65536,5,0)</f>
        <v>Blue</v>
      </c>
    </row>
    <row r="3033" spans="1:40">
      <c r="A3033" s="1" t="s">
        <v>41</v>
      </c>
      <c r="B3033" s="1" t="s">
        <v>42</v>
      </c>
      <c r="C3033" s="1" t="s">
        <v>56</v>
      </c>
      <c r="D3033" s="1" t="s">
        <v>57</v>
      </c>
      <c r="E3033" s="1" t="s">
        <v>45</v>
      </c>
      <c r="F3033" s="1" t="s">
        <v>6949</v>
      </c>
      <c r="G3033" s="1" t="s">
        <v>6961</v>
      </c>
      <c r="H3033" s="1" t="s">
        <v>6962</v>
      </c>
      <c r="I3033" s="1" t="s">
        <v>49</v>
      </c>
      <c r="J3033" s="1" t="s">
        <v>48</v>
      </c>
      <c r="K3033" s="1">
        <v>72</v>
      </c>
      <c r="L3033" s="1">
        <v>0</v>
      </c>
      <c r="M3033" s="1">
        <v>0</v>
      </c>
      <c r="N3033" s="1">
        <v>72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 t="s">
        <v>49</v>
      </c>
      <c r="AA3033" s="1" t="s">
        <v>49</v>
      </c>
      <c r="AB3033" s="1" t="s">
        <v>49</v>
      </c>
      <c r="AC3033" s="1" t="s">
        <v>6952</v>
      </c>
      <c r="AD3033" s="1" t="s">
        <v>6953</v>
      </c>
      <c r="AE3033" s="1" t="s">
        <v>61</v>
      </c>
      <c r="AF3033" s="1" t="s">
        <v>6954</v>
      </c>
      <c r="AG3033" s="1" t="s">
        <v>53</v>
      </c>
      <c r="AH3033" s="1" t="s">
        <v>49</v>
      </c>
      <c r="AI3033" s="1" t="s">
        <v>54</v>
      </c>
      <c r="AJ3033" s="1">
        <v>1</v>
      </c>
      <c r="AK3033" s="1" t="str">
        <f t="shared" si="47"/>
        <v xml:space="preserve"> =&lt;90</v>
      </c>
      <c r="AL3033" s="1" t="str">
        <f>VLOOKUP(C:C,[1]基础信息!B$1:D$65536,3,0)</f>
        <v>Jug</v>
      </c>
      <c r="AM3033" s="1" t="str">
        <f>VLOOKUP(C:C,[1]基础信息!B$1:E$65536,4,0)</f>
        <v>Marella XL</v>
      </c>
      <c r="AN3033" s="1" t="str">
        <f>VLOOKUP(C:C,[1]基础信息!B$1:F$65536,5,0)</f>
        <v>Blue</v>
      </c>
    </row>
    <row r="3034" spans="1:40">
      <c r="A3034" s="1" t="s">
        <v>41</v>
      </c>
      <c r="B3034" s="1" t="s">
        <v>42</v>
      </c>
      <c r="C3034" s="1" t="s">
        <v>56</v>
      </c>
      <c r="D3034" s="1" t="s">
        <v>57</v>
      </c>
      <c r="E3034" s="1" t="s">
        <v>45</v>
      </c>
      <c r="F3034" s="1" t="s">
        <v>6949</v>
      </c>
      <c r="G3034" s="1" t="s">
        <v>6963</v>
      </c>
      <c r="H3034" s="1" t="s">
        <v>6964</v>
      </c>
      <c r="I3034" s="1" t="s">
        <v>49</v>
      </c>
      <c r="J3034" s="1" t="s">
        <v>48</v>
      </c>
      <c r="K3034" s="1">
        <v>72</v>
      </c>
      <c r="L3034" s="1">
        <v>0</v>
      </c>
      <c r="M3034" s="1">
        <v>0</v>
      </c>
      <c r="N3034" s="1">
        <v>72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 t="s">
        <v>49</v>
      </c>
      <c r="AA3034" s="1" t="s">
        <v>49</v>
      </c>
      <c r="AB3034" s="1" t="s">
        <v>49</v>
      </c>
      <c r="AC3034" s="1" t="s">
        <v>6952</v>
      </c>
      <c r="AD3034" s="1" t="s">
        <v>6953</v>
      </c>
      <c r="AE3034" s="1" t="s">
        <v>61</v>
      </c>
      <c r="AF3034" s="1" t="s">
        <v>6954</v>
      </c>
      <c r="AG3034" s="1" t="s">
        <v>53</v>
      </c>
      <c r="AH3034" s="1" t="s">
        <v>49</v>
      </c>
      <c r="AI3034" s="1" t="s">
        <v>54</v>
      </c>
      <c r="AJ3034" s="1">
        <v>1</v>
      </c>
      <c r="AK3034" s="1" t="str">
        <f t="shared" si="47"/>
        <v xml:space="preserve"> =&lt;90</v>
      </c>
      <c r="AL3034" s="1" t="str">
        <f>VLOOKUP(C:C,[1]基础信息!B$1:D$65536,3,0)</f>
        <v>Jug</v>
      </c>
      <c r="AM3034" s="1" t="str">
        <f>VLOOKUP(C:C,[1]基础信息!B$1:E$65536,4,0)</f>
        <v>Marella XL</v>
      </c>
      <c r="AN3034" s="1" t="str">
        <f>VLOOKUP(C:C,[1]基础信息!B$1:F$65536,5,0)</f>
        <v>Blue</v>
      </c>
    </row>
    <row r="3035" spans="1:40">
      <c r="A3035" s="1" t="s">
        <v>41</v>
      </c>
      <c r="B3035" s="1" t="s">
        <v>42</v>
      </c>
      <c r="C3035" s="1" t="s">
        <v>1437</v>
      </c>
      <c r="D3035" s="1" t="s">
        <v>1438</v>
      </c>
      <c r="E3035" s="1" t="s">
        <v>45</v>
      </c>
      <c r="F3035" s="1" t="s">
        <v>6965</v>
      </c>
      <c r="G3035" s="1" t="s">
        <v>6966</v>
      </c>
      <c r="H3035" s="1" t="s">
        <v>45</v>
      </c>
      <c r="I3035" s="1" t="s">
        <v>45</v>
      </c>
      <c r="J3035" s="1" t="s">
        <v>48</v>
      </c>
      <c r="K3035" s="1">
        <v>528</v>
      </c>
      <c r="L3035" s="1">
        <v>0</v>
      </c>
      <c r="M3035" s="1">
        <v>0</v>
      </c>
      <c r="N3035" s="1">
        <v>528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 t="s">
        <v>49</v>
      </c>
      <c r="AA3035" s="1" t="s">
        <v>49</v>
      </c>
      <c r="AB3035" s="1" t="s">
        <v>49</v>
      </c>
      <c r="AC3035" s="1" t="s">
        <v>3241</v>
      </c>
      <c r="AD3035" s="1" t="s">
        <v>3270</v>
      </c>
      <c r="AE3035" s="1" t="s">
        <v>3241</v>
      </c>
      <c r="AF3035" s="1" t="s">
        <v>6967</v>
      </c>
      <c r="AG3035" s="1" t="s">
        <v>53</v>
      </c>
      <c r="AH3035" s="1" t="s">
        <v>49</v>
      </c>
      <c r="AI3035" s="1" t="s">
        <v>54</v>
      </c>
      <c r="AJ3035" s="1">
        <v>1</v>
      </c>
      <c r="AK3035" s="1" t="str">
        <f t="shared" si="47"/>
        <v xml:space="preserve"> =&lt;90</v>
      </c>
      <c r="AL3035" s="1" t="str">
        <f>VLOOKUP(C:C,[1]基础信息!B$1:D$65536,3,0)</f>
        <v>On tap</v>
      </c>
      <c r="AM3035" s="1" t="str">
        <f>VLOOKUP(C:C,[1]基础信息!B$1:E$65536,4,0)</f>
        <v>On tap</v>
      </c>
      <c r="AN3035" s="1" t="str">
        <f>VLOOKUP(C:C,[1]基础信息!B$1:F$65536,5,0)</f>
        <v>On tap</v>
      </c>
    </row>
    <row r="3036" spans="1:40">
      <c r="A3036" s="1" t="s">
        <v>41</v>
      </c>
      <c r="B3036" s="1" t="s">
        <v>42</v>
      </c>
      <c r="C3036" s="1" t="s">
        <v>56</v>
      </c>
      <c r="D3036" s="1" t="s">
        <v>57</v>
      </c>
      <c r="E3036" s="1" t="s">
        <v>45</v>
      </c>
      <c r="F3036" s="1" t="s">
        <v>6949</v>
      </c>
      <c r="G3036" s="1" t="s">
        <v>6968</v>
      </c>
      <c r="H3036" s="1" t="s">
        <v>6969</v>
      </c>
      <c r="I3036" s="1" t="s">
        <v>49</v>
      </c>
      <c r="J3036" s="1" t="s">
        <v>48</v>
      </c>
      <c r="K3036" s="1">
        <v>72</v>
      </c>
      <c r="L3036" s="1">
        <v>0</v>
      </c>
      <c r="M3036" s="1">
        <v>0</v>
      </c>
      <c r="N3036" s="1">
        <v>72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 t="s">
        <v>49</v>
      </c>
      <c r="AA3036" s="1" t="s">
        <v>49</v>
      </c>
      <c r="AB3036" s="1" t="s">
        <v>49</v>
      </c>
      <c r="AC3036" s="1" t="s">
        <v>6952</v>
      </c>
      <c r="AD3036" s="1" t="s">
        <v>6953</v>
      </c>
      <c r="AE3036" s="1" t="s">
        <v>61</v>
      </c>
      <c r="AF3036" s="1" t="s">
        <v>6954</v>
      </c>
      <c r="AG3036" s="1" t="s">
        <v>53</v>
      </c>
      <c r="AH3036" s="1" t="s">
        <v>49</v>
      </c>
      <c r="AI3036" s="1" t="s">
        <v>54</v>
      </c>
      <c r="AJ3036" s="1">
        <v>1</v>
      </c>
      <c r="AK3036" s="1" t="str">
        <f t="shared" si="47"/>
        <v xml:space="preserve"> =&lt;90</v>
      </c>
      <c r="AL3036" s="1" t="str">
        <f>VLOOKUP(C:C,[1]基础信息!B$1:D$65536,3,0)</f>
        <v>Jug</v>
      </c>
      <c r="AM3036" s="1" t="str">
        <f>VLOOKUP(C:C,[1]基础信息!B$1:E$65536,4,0)</f>
        <v>Marella XL</v>
      </c>
      <c r="AN3036" s="1" t="str">
        <f>VLOOKUP(C:C,[1]基础信息!B$1:F$65536,5,0)</f>
        <v>Blue</v>
      </c>
    </row>
    <row r="3037" spans="1:40">
      <c r="A3037" s="1" t="s">
        <v>41</v>
      </c>
      <c r="B3037" s="1" t="s">
        <v>42</v>
      </c>
      <c r="C3037" s="1" t="s">
        <v>56</v>
      </c>
      <c r="D3037" s="1" t="s">
        <v>57</v>
      </c>
      <c r="E3037" s="1" t="s">
        <v>45</v>
      </c>
      <c r="F3037" s="1" t="s">
        <v>6949</v>
      </c>
      <c r="G3037" s="1" t="s">
        <v>6970</v>
      </c>
      <c r="H3037" s="1" t="s">
        <v>6971</v>
      </c>
      <c r="I3037" s="1" t="s">
        <v>49</v>
      </c>
      <c r="J3037" s="1" t="s">
        <v>48</v>
      </c>
      <c r="K3037" s="1">
        <v>72</v>
      </c>
      <c r="L3037" s="1">
        <v>0</v>
      </c>
      <c r="M3037" s="1">
        <v>0</v>
      </c>
      <c r="N3037" s="1">
        <v>72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 t="s">
        <v>49</v>
      </c>
      <c r="AA3037" s="1" t="s">
        <v>49</v>
      </c>
      <c r="AB3037" s="1" t="s">
        <v>49</v>
      </c>
      <c r="AC3037" s="1" t="s">
        <v>6952</v>
      </c>
      <c r="AD3037" s="1" t="s">
        <v>6953</v>
      </c>
      <c r="AE3037" s="1" t="s">
        <v>61</v>
      </c>
      <c r="AF3037" s="1" t="s">
        <v>6954</v>
      </c>
      <c r="AG3037" s="1" t="s">
        <v>53</v>
      </c>
      <c r="AH3037" s="1" t="s">
        <v>49</v>
      </c>
      <c r="AI3037" s="1" t="s">
        <v>54</v>
      </c>
      <c r="AJ3037" s="1">
        <v>1</v>
      </c>
      <c r="AK3037" s="1" t="str">
        <f t="shared" si="47"/>
        <v xml:space="preserve"> =&lt;90</v>
      </c>
      <c r="AL3037" s="1" t="str">
        <f>VLOOKUP(C:C,[1]基础信息!B$1:D$65536,3,0)</f>
        <v>Jug</v>
      </c>
      <c r="AM3037" s="1" t="str">
        <f>VLOOKUP(C:C,[1]基础信息!B$1:E$65536,4,0)</f>
        <v>Marella XL</v>
      </c>
      <c r="AN3037" s="1" t="str">
        <f>VLOOKUP(C:C,[1]基础信息!B$1:F$65536,5,0)</f>
        <v>Blue</v>
      </c>
    </row>
    <row r="3038" spans="1:40">
      <c r="A3038" s="1" t="s">
        <v>41</v>
      </c>
      <c r="B3038" s="1" t="s">
        <v>42</v>
      </c>
      <c r="C3038" s="1" t="s">
        <v>56</v>
      </c>
      <c r="D3038" s="1" t="s">
        <v>57</v>
      </c>
      <c r="E3038" s="1" t="s">
        <v>45</v>
      </c>
      <c r="F3038" s="1" t="s">
        <v>6949</v>
      </c>
      <c r="G3038" s="1" t="s">
        <v>6972</v>
      </c>
      <c r="H3038" s="1" t="s">
        <v>6973</v>
      </c>
      <c r="I3038" s="1" t="s">
        <v>49</v>
      </c>
      <c r="J3038" s="1" t="s">
        <v>48</v>
      </c>
      <c r="K3038" s="1">
        <v>72</v>
      </c>
      <c r="L3038" s="1">
        <v>0</v>
      </c>
      <c r="M3038" s="1">
        <v>0</v>
      </c>
      <c r="N3038" s="1">
        <v>72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 t="s">
        <v>49</v>
      </c>
      <c r="AA3038" s="1" t="s">
        <v>49</v>
      </c>
      <c r="AB3038" s="1" t="s">
        <v>49</v>
      </c>
      <c r="AC3038" s="1" t="s">
        <v>6952</v>
      </c>
      <c r="AD3038" s="1" t="s">
        <v>6953</v>
      </c>
      <c r="AE3038" s="1" t="s">
        <v>61</v>
      </c>
      <c r="AF3038" s="1" t="s">
        <v>6954</v>
      </c>
      <c r="AG3038" s="1" t="s">
        <v>53</v>
      </c>
      <c r="AH3038" s="1" t="s">
        <v>49</v>
      </c>
      <c r="AI3038" s="1" t="s">
        <v>54</v>
      </c>
      <c r="AJ3038" s="1">
        <v>1</v>
      </c>
      <c r="AK3038" s="1" t="str">
        <f t="shared" si="47"/>
        <v xml:space="preserve"> =&lt;90</v>
      </c>
      <c r="AL3038" s="1" t="str">
        <f>VLOOKUP(C:C,[1]基础信息!B$1:D$65536,3,0)</f>
        <v>Jug</v>
      </c>
      <c r="AM3038" s="1" t="str">
        <f>VLOOKUP(C:C,[1]基础信息!B$1:E$65536,4,0)</f>
        <v>Marella XL</v>
      </c>
      <c r="AN3038" s="1" t="str">
        <f>VLOOKUP(C:C,[1]基础信息!B$1:F$65536,5,0)</f>
        <v>Blue</v>
      </c>
    </row>
    <row r="3039" spans="1:40">
      <c r="A3039" s="1" t="s">
        <v>41</v>
      </c>
      <c r="B3039" s="1" t="s">
        <v>42</v>
      </c>
      <c r="C3039" s="1" t="s">
        <v>56</v>
      </c>
      <c r="D3039" s="1" t="s">
        <v>57</v>
      </c>
      <c r="E3039" s="1" t="s">
        <v>45</v>
      </c>
      <c r="F3039" s="1" t="s">
        <v>6949</v>
      </c>
      <c r="G3039" s="1" t="s">
        <v>6974</v>
      </c>
      <c r="H3039" s="1" t="s">
        <v>6975</v>
      </c>
      <c r="I3039" s="1" t="s">
        <v>49</v>
      </c>
      <c r="J3039" s="1" t="s">
        <v>48</v>
      </c>
      <c r="K3039" s="1">
        <v>72</v>
      </c>
      <c r="L3039" s="1">
        <v>0</v>
      </c>
      <c r="M3039" s="1">
        <v>0</v>
      </c>
      <c r="N3039" s="1">
        <v>72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 t="s">
        <v>49</v>
      </c>
      <c r="AA3039" s="1" t="s">
        <v>49</v>
      </c>
      <c r="AB3039" s="1" t="s">
        <v>49</v>
      </c>
      <c r="AC3039" s="1" t="s">
        <v>6952</v>
      </c>
      <c r="AD3039" s="1" t="s">
        <v>6953</v>
      </c>
      <c r="AE3039" s="1" t="s">
        <v>61</v>
      </c>
      <c r="AF3039" s="1" t="s">
        <v>6954</v>
      </c>
      <c r="AG3039" s="1" t="s">
        <v>53</v>
      </c>
      <c r="AH3039" s="1" t="s">
        <v>49</v>
      </c>
      <c r="AI3039" s="1" t="s">
        <v>54</v>
      </c>
      <c r="AJ3039" s="1">
        <v>1</v>
      </c>
      <c r="AK3039" s="1" t="str">
        <f t="shared" si="47"/>
        <v xml:space="preserve"> =&lt;90</v>
      </c>
      <c r="AL3039" s="1" t="str">
        <f>VLOOKUP(C:C,[1]基础信息!B$1:D$65536,3,0)</f>
        <v>Jug</v>
      </c>
      <c r="AM3039" s="1" t="str">
        <f>VLOOKUP(C:C,[1]基础信息!B$1:E$65536,4,0)</f>
        <v>Marella XL</v>
      </c>
      <c r="AN3039" s="1" t="str">
        <f>VLOOKUP(C:C,[1]基础信息!B$1:F$65536,5,0)</f>
        <v>Blue</v>
      </c>
    </row>
    <row r="3040" spans="1:40">
      <c r="A3040" s="1" t="s">
        <v>41</v>
      </c>
      <c r="B3040" s="1" t="s">
        <v>42</v>
      </c>
      <c r="C3040" s="1" t="s">
        <v>56</v>
      </c>
      <c r="D3040" s="1" t="s">
        <v>57</v>
      </c>
      <c r="E3040" s="1" t="s">
        <v>45</v>
      </c>
      <c r="F3040" s="1" t="s">
        <v>6949</v>
      </c>
      <c r="G3040" s="1" t="s">
        <v>6976</v>
      </c>
      <c r="H3040" s="1" t="s">
        <v>6977</v>
      </c>
      <c r="I3040" s="1" t="s">
        <v>49</v>
      </c>
      <c r="J3040" s="1" t="s">
        <v>48</v>
      </c>
      <c r="K3040" s="1">
        <v>72</v>
      </c>
      <c r="L3040" s="1">
        <v>0</v>
      </c>
      <c r="M3040" s="1">
        <v>0</v>
      </c>
      <c r="N3040" s="1">
        <v>72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 t="s">
        <v>49</v>
      </c>
      <c r="AA3040" s="1" t="s">
        <v>49</v>
      </c>
      <c r="AB3040" s="1" t="s">
        <v>49</v>
      </c>
      <c r="AC3040" s="1" t="s">
        <v>6952</v>
      </c>
      <c r="AD3040" s="1" t="s">
        <v>6953</v>
      </c>
      <c r="AE3040" s="1" t="s">
        <v>61</v>
      </c>
      <c r="AF3040" s="1" t="s">
        <v>6954</v>
      </c>
      <c r="AG3040" s="1" t="s">
        <v>53</v>
      </c>
      <c r="AH3040" s="1" t="s">
        <v>49</v>
      </c>
      <c r="AI3040" s="1" t="s">
        <v>54</v>
      </c>
      <c r="AJ3040" s="1">
        <v>1</v>
      </c>
      <c r="AK3040" s="1" t="str">
        <f t="shared" si="47"/>
        <v xml:space="preserve"> =&lt;90</v>
      </c>
      <c r="AL3040" s="1" t="str">
        <f>VLOOKUP(C:C,[1]基础信息!B$1:D$65536,3,0)</f>
        <v>Jug</v>
      </c>
      <c r="AM3040" s="1" t="str">
        <f>VLOOKUP(C:C,[1]基础信息!B$1:E$65536,4,0)</f>
        <v>Marella XL</v>
      </c>
      <c r="AN3040" s="1" t="str">
        <f>VLOOKUP(C:C,[1]基础信息!B$1:F$65536,5,0)</f>
        <v>Blue</v>
      </c>
    </row>
    <row r="3041" spans="1:40">
      <c r="A3041" s="1" t="s">
        <v>41</v>
      </c>
      <c r="B3041" s="1" t="s">
        <v>42</v>
      </c>
      <c r="C3041" s="1" t="s">
        <v>56</v>
      </c>
      <c r="D3041" s="1" t="s">
        <v>57</v>
      </c>
      <c r="E3041" s="1" t="s">
        <v>45</v>
      </c>
      <c r="F3041" s="1" t="s">
        <v>6949</v>
      </c>
      <c r="G3041" s="1" t="s">
        <v>6978</v>
      </c>
      <c r="H3041" s="1" t="s">
        <v>6979</v>
      </c>
      <c r="I3041" s="1" t="s">
        <v>49</v>
      </c>
      <c r="J3041" s="1" t="s">
        <v>48</v>
      </c>
      <c r="K3041" s="1">
        <v>72</v>
      </c>
      <c r="L3041" s="1">
        <v>0</v>
      </c>
      <c r="M3041" s="1">
        <v>0</v>
      </c>
      <c r="N3041" s="1">
        <v>72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 t="s">
        <v>49</v>
      </c>
      <c r="AA3041" s="1" t="s">
        <v>49</v>
      </c>
      <c r="AB3041" s="1" t="s">
        <v>49</v>
      </c>
      <c r="AC3041" s="1" t="s">
        <v>6952</v>
      </c>
      <c r="AD3041" s="1" t="s">
        <v>6953</v>
      </c>
      <c r="AE3041" s="1" t="s">
        <v>61</v>
      </c>
      <c r="AF3041" s="1" t="s">
        <v>6954</v>
      </c>
      <c r="AG3041" s="1" t="s">
        <v>53</v>
      </c>
      <c r="AH3041" s="1" t="s">
        <v>49</v>
      </c>
      <c r="AI3041" s="1" t="s">
        <v>54</v>
      </c>
      <c r="AJ3041" s="1">
        <v>1</v>
      </c>
      <c r="AK3041" s="1" t="str">
        <f t="shared" si="47"/>
        <v xml:space="preserve"> =&lt;90</v>
      </c>
      <c r="AL3041" s="1" t="str">
        <f>VLOOKUP(C:C,[1]基础信息!B$1:D$65536,3,0)</f>
        <v>Jug</v>
      </c>
      <c r="AM3041" s="1" t="str">
        <f>VLOOKUP(C:C,[1]基础信息!B$1:E$65536,4,0)</f>
        <v>Marella XL</v>
      </c>
      <c r="AN3041" s="1" t="str">
        <f>VLOOKUP(C:C,[1]基础信息!B$1:F$65536,5,0)</f>
        <v>Blue</v>
      </c>
    </row>
    <row r="3042" spans="1:40">
      <c r="A3042" s="1" t="s">
        <v>41</v>
      </c>
      <c r="B3042" s="1" t="s">
        <v>42</v>
      </c>
      <c r="C3042" s="1" t="s">
        <v>56</v>
      </c>
      <c r="D3042" s="1" t="s">
        <v>57</v>
      </c>
      <c r="E3042" s="1" t="s">
        <v>45</v>
      </c>
      <c r="F3042" s="1" t="s">
        <v>6949</v>
      </c>
      <c r="G3042" s="1" t="s">
        <v>6980</v>
      </c>
      <c r="H3042" s="1" t="s">
        <v>6981</v>
      </c>
      <c r="I3042" s="1" t="s">
        <v>49</v>
      </c>
      <c r="J3042" s="1" t="s">
        <v>48</v>
      </c>
      <c r="K3042" s="1">
        <v>72</v>
      </c>
      <c r="L3042" s="1">
        <v>0</v>
      </c>
      <c r="M3042" s="1">
        <v>0</v>
      </c>
      <c r="N3042" s="1">
        <v>72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 t="s">
        <v>49</v>
      </c>
      <c r="AA3042" s="1" t="s">
        <v>49</v>
      </c>
      <c r="AB3042" s="1" t="s">
        <v>49</v>
      </c>
      <c r="AC3042" s="1" t="s">
        <v>6952</v>
      </c>
      <c r="AD3042" s="1" t="s">
        <v>6953</v>
      </c>
      <c r="AE3042" s="1" t="s">
        <v>61</v>
      </c>
      <c r="AF3042" s="1" t="s">
        <v>6954</v>
      </c>
      <c r="AG3042" s="1" t="s">
        <v>53</v>
      </c>
      <c r="AH3042" s="1" t="s">
        <v>49</v>
      </c>
      <c r="AI3042" s="1" t="s">
        <v>54</v>
      </c>
      <c r="AJ3042" s="1">
        <v>1</v>
      </c>
      <c r="AK3042" s="1" t="str">
        <f t="shared" si="47"/>
        <v xml:space="preserve"> =&lt;90</v>
      </c>
      <c r="AL3042" s="1" t="str">
        <f>VLOOKUP(C:C,[1]基础信息!B$1:D$65536,3,0)</f>
        <v>Jug</v>
      </c>
      <c r="AM3042" s="1" t="str">
        <f>VLOOKUP(C:C,[1]基础信息!B$1:E$65536,4,0)</f>
        <v>Marella XL</v>
      </c>
      <c r="AN3042" s="1" t="str">
        <f>VLOOKUP(C:C,[1]基础信息!B$1:F$65536,5,0)</f>
        <v>Blue</v>
      </c>
    </row>
    <row r="3043" spans="1:40">
      <c r="A3043" s="1" t="s">
        <v>41</v>
      </c>
      <c r="B3043" s="1" t="s">
        <v>42</v>
      </c>
      <c r="C3043" s="1" t="s">
        <v>4352</v>
      </c>
      <c r="D3043" s="1" t="s">
        <v>4353</v>
      </c>
      <c r="E3043" s="1" t="s">
        <v>45</v>
      </c>
      <c r="F3043" s="1" t="s">
        <v>6982</v>
      </c>
      <c r="G3043" s="1" t="s">
        <v>6983</v>
      </c>
      <c r="H3043" s="1" t="s">
        <v>6984</v>
      </c>
      <c r="I3043" s="1" t="s">
        <v>49</v>
      </c>
      <c r="J3043" s="1" t="s">
        <v>48</v>
      </c>
      <c r="K3043" s="1">
        <v>336</v>
      </c>
      <c r="L3043" s="1">
        <v>0</v>
      </c>
      <c r="M3043" s="1">
        <v>0</v>
      </c>
      <c r="N3043" s="1">
        <v>336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 t="s">
        <v>49</v>
      </c>
      <c r="AA3043" s="1" t="s">
        <v>49</v>
      </c>
      <c r="AB3043" s="1" t="s">
        <v>49</v>
      </c>
      <c r="AC3043" s="1" t="s">
        <v>6911</v>
      </c>
      <c r="AD3043" s="1" t="s">
        <v>6938</v>
      </c>
      <c r="AE3043" s="1" t="s">
        <v>6911</v>
      </c>
      <c r="AF3043" s="1" t="s">
        <v>6985</v>
      </c>
      <c r="AG3043" s="1" t="s">
        <v>53</v>
      </c>
      <c r="AH3043" s="1" t="s">
        <v>49</v>
      </c>
      <c r="AI3043" s="1" t="s">
        <v>54</v>
      </c>
      <c r="AJ3043" s="1">
        <v>1</v>
      </c>
      <c r="AK3043" s="1" t="str">
        <f t="shared" si="47"/>
        <v xml:space="preserve"> =&lt;90</v>
      </c>
      <c r="AL3043" s="1" t="e">
        <f>VLOOKUP(C:C,[1]基础信息!B$1:D$65536,3,0)</f>
        <v>#N/A</v>
      </c>
      <c r="AM3043" s="1" t="e">
        <f>VLOOKUP(C:C,[1]基础信息!B$1:E$65536,4,0)</f>
        <v>#N/A</v>
      </c>
      <c r="AN3043" s="1" t="e">
        <f>VLOOKUP(C:C,[1]基础信息!B$1:F$65536,5,0)</f>
        <v>#N/A</v>
      </c>
    </row>
    <row r="3044" spans="1:40">
      <c r="A3044" s="1" t="s">
        <v>41</v>
      </c>
      <c r="B3044" s="1" t="s">
        <v>42</v>
      </c>
      <c r="C3044" s="1" t="s">
        <v>4352</v>
      </c>
      <c r="D3044" s="1" t="s">
        <v>4353</v>
      </c>
      <c r="E3044" s="1" t="s">
        <v>45</v>
      </c>
      <c r="F3044" s="1" t="s">
        <v>6982</v>
      </c>
      <c r="G3044" s="1" t="s">
        <v>6986</v>
      </c>
      <c r="H3044" s="1" t="s">
        <v>6987</v>
      </c>
      <c r="I3044" s="1" t="s">
        <v>49</v>
      </c>
      <c r="J3044" s="1" t="s">
        <v>48</v>
      </c>
      <c r="K3044" s="1">
        <v>336</v>
      </c>
      <c r="L3044" s="1">
        <v>0</v>
      </c>
      <c r="M3044" s="1">
        <v>0</v>
      </c>
      <c r="N3044" s="1">
        <v>336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 t="s">
        <v>49</v>
      </c>
      <c r="AA3044" s="1" t="s">
        <v>49</v>
      </c>
      <c r="AB3044" s="1" t="s">
        <v>49</v>
      </c>
      <c r="AC3044" s="1" t="s">
        <v>6911</v>
      </c>
      <c r="AD3044" s="1" t="s">
        <v>6938</v>
      </c>
      <c r="AE3044" s="1" t="s">
        <v>6911</v>
      </c>
      <c r="AF3044" s="1" t="s">
        <v>6985</v>
      </c>
      <c r="AG3044" s="1" t="s">
        <v>53</v>
      </c>
      <c r="AH3044" s="1" t="s">
        <v>49</v>
      </c>
      <c r="AI3044" s="1" t="s">
        <v>54</v>
      </c>
      <c r="AJ3044" s="1">
        <v>1</v>
      </c>
      <c r="AK3044" s="1" t="str">
        <f t="shared" si="47"/>
        <v xml:space="preserve"> =&lt;90</v>
      </c>
      <c r="AL3044" s="1" t="e">
        <f>VLOOKUP(C:C,[1]基础信息!B$1:D$65536,3,0)</f>
        <v>#N/A</v>
      </c>
      <c r="AM3044" s="1" t="e">
        <f>VLOOKUP(C:C,[1]基础信息!B$1:E$65536,4,0)</f>
        <v>#N/A</v>
      </c>
      <c r="AN3044" s="1" t="e">
        <f>VLOOKUP(C:C,[1]基础信息!B$1:F$65536,5,0)</f>
        <v>#N/A</v>
      </c>
    </row>
    <row r="3045" spans="1:40">
      <c r="A3045" s="1" t="s">
        <v>41</v>
      </c>
      <c r="B3045" s="1" t="s">
        <v>42</v>
      </c>
      <c r="C3045" s="1" t="s">
        <v>4352</v>
      </c>
      <c r="D3045" s="1" t="s">
        <v>4353</v>
      </c>
      <c r="E3045" s="1" t="s">
        <v>45</v>
      </c>
      <c r="F3045" s="1" t="s">
        <v>6982</v>
      </c>
      <c r="G3045" s="1" t="s">
        <v>6988</v>
      </c>
      <c r="H3045" s="1" t="s">
        <v>6989</v>
      </c>
      <c r="I3045" s="1" t="s">
        <v>49</v>
      </c>
      <c r="J3045" s="1" t="s">
        <v>48</v>
      </c>
      <c r="K3045" s="1">
        <v>336</v>
      </c>
      <c r="L3045" s="1">
        <v>0</v>
      </c>
      <c r="M3045" s="1">
        <v>0</v>
      </c>
      <c r="N3045" s="1">
        <v>336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 t="s">
        <v>49</v>
      </c>
      <c r="AA3045" s="1" t="s">
        <v>49</v>
      </c>
      <c r="AB3045" s="1" t="s">
        <v>49</v>
      </c>
      <c r="AC3045" s="1" t="s">
        <v>6911</v>
      </c>
      <c r="AD3045" s="1" t="s">
        <v>6938</v>
      </c>
      <c r="AE3045" s="1" t="s">
        <v>6911</v>
      </c>
      <c r="AF3045" s="1" t="s">
        <v>6985</v>
      </c>
      <c r="AG3045" s="1" t="s">
        <v>53</v>
      </c>
      <c r="AH3045" s="1" t="s">
        <v>49</v>
      </c>
      <c r="AI3045" s="1" t="s">
        <v>54</v>
      </c>
      <c r="AJ3045" s="1">
        <v>1</v>
      </c>
      <c r="AK3045" s="1" t="str">
        <f t="shared" si="47"/>
        <v xml:space="preserve"> =&lt;90</v>
      </c>
      <c r="AL3045" s="1" t="e">
        <f>VLOOKUP(C:C,[1]基础信息!B$1:D$65536,3,0)</f>
        <v>#N/A</v>
      </c>
      <c r="AM3045" s="1" t="e">
        <f>VLOOKUP(C:C,[1]基础信息!B$1:E$65536,4,0)</f>
        <v>#N/A</v>
      </c>
      <c r="AN3045" s="1" t="e">
        <f>VLOOKUP(C:C,[1]基础信息!B$1:F$65536,5,0)</f>
        <v>#N/A</v>
      </c>
    </row>
    <row r="3046" spans="1:40">
      <c r="A3046" s="1" t="s">
        <v>41</v>
      </c>
      <c r="B3046" s="1" t="s">
        <v>42</v>
      </c>
      <c r="C3046" s="1" t="s">
        <v>4352</v>
      </c>
      <c r="D3046" s="1" t="s">
        <v>4353</v>
      </c>
      <c r="E3046" s="1" t="s">
        <v>45</v>
      </c>
      <c r="F3046" s="1" t="s">
        <v>6982</v>
      </c>
      <c r="G3046" s="1" t="s">
        <v>6990</v>
      </c>
      <c r="H3046" s="1" t="s">
        <v>6991</v>
      </c>
      <c r="I3046" s="1" t="s">
        <v>49</v>
      </c>
      <c r="J3046" s="1" t="s">
        <v>48</v>
      </c>
      <c r="K3046" s="1">
        <v>336</v>
      </c>
      <c r="L3046" s="1">
        <v>0</v>
      </c>
      <c r="M3046" s="1">
        <v>0</v>
      </c>
      <c r="N3046" s="1">
        <v>336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 t="s">
        <v>49</v>
      </c>
      <c r="AA3046" s="1" t="s">
        <v>49</v>
      </c>
      <c r="AB3046" s="1" t="s">
        <v>49</v>
      </c>
      <c r="AC3046" s="1" t="s">
        <v>6911</v>
      </c>
      <c r="AD3046" s="1" t="s">
        <v>6938</v>
      </c>
      <c r="AE3046" s="1" t="s">
        <v>6911</v>
      </c>
      <c r="AF3046" s="1" t="s">
        <v>6985</v>
      </c>
      <c r="AG3046" s="1" t="s">
        <v>53</v>
      </c>
      <c r="AH3046" s="1" t="s">
        <v>49</v>
      </c>
      <c r="AI3046" s="1" t="s">
        <v>54</v>
      </c>
      <c r="AJ3046" s="1">
        <v>1</v>
      </c>
      <c r="AK3046" s="1" t="str">
        <f t="shared" si="47"/>
        <v xml:space="preserve"> =&lt;90</v>
      </c>
      <c r="AL3046" s="1" t="e">
        <f>VLOOKUP(C:C,[1]基础信息!B$1:D$65536,3,0)</f>
        <v>#N/A</v>
      </c>
      <c r="AM3046" s="1" t="e">
        <f>VLOOKUP(C:C,[1]基础信息!B$1:E$65536,4,0)</f>
        <v>#N/A</v>
      </c>
      <c r="AN3046" s="1" t="e">
        <f>VLOOKUP(C:C,[1]基础信息!B$1:F$65536,5,0)</f>
        <v>#N/A</v>
      </c>
    </row>
    <row r="3047" spans="1:40">
      <c r="A3047" s="1" t="s">
        <v>41</v>
      </c>
      <c r="B3047" s="1" t="s">
        <v>42</v>
      </c>
      <c r="C3047" s="1" t="s">
        <v>4352</v>
      </c>
      <c r="D3047" s="1" t="s">
        <v>4353</v>
      </c>
      <c r="E3047" s="1" t="s">
        <v>45</v>
      </c>
      <c r="F3047" s="1" t="s">
        <v>6982</v>
      </c>
      <c r="G3047" s="1" t="s">
        <v>6992</v>
      </c>
      <c r="H3047" s="1" t="s">
        <v>6993</v>
      </c>
      <c r="I3047" s="1" t="s">
        <v>49</v>
      </c>
      <c r="J3047" s="1" t="s">
        <v>48</v>
      </c>
      <c r="K3047" s="1">
        <v>336</v>
      </c>
      <c r="L3047" s="1">
        <v>0</v>
      </c>
      <c r="M3047" s="1">
        <v>0</v>
      </c>
      <c r="N3047" s="1">
        <v>336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 t="s">
        <v>49</v>
      </c>
      <c r="AA3047" s="1" t="s">
        <v>49</v>
      </c>
      <c r="AB3047" s="1" t="s">
        <v>49</v>
      </c>
      <c r="AC3047" s="1" t="s">
        <v>6911</v>
      </c>
      <c r="AD3047" s="1" t="s">
        <v>6938</v>
      </c>
      <c r="AE3047" s="1" t="s">
        <v>6911</v>
      </c>
      <c r="AF3047" s="1" t="s">
        <v>6985</v>
      </c>
      <c r="AG3047" s="1" t="s">
        <v>53</v>
      </c>
      <c r="AH3047" s="1" t="s">
        <v>49</v>
      </c>
      <c r="AI3047" s="1" t="s">
        <v>54</v>
      </c>
      <c r="AJ3047" s="1">
        <v>1</v>
      </c>
      <c r="AK3047" s="1" t="str">
        <f t="shared" si="47"/>
        <v xml:space="preserve"> =&lt;90</v>
      </c>
      <c r="AL3047" s="1" t="e">
        <f>VLOOKUP(C:C,[1]基础信息!B$1:D$65536,3,0)</f>
        <v>#N/A</v>
      </c>
      <c r="AM3047" s="1" t="e">
        <f>VLOOKUP(C:C,[1]基础信息!B$1:E$65536,4,0)</f>
        <v>#N/A</v>
      </c>
      <c r="AN3047" s="1" t="e">
        <f>VLOOKUP(C:C,[1]基础信息!B$1:F$65536,5,0)</f>
        <v>#N/A</v>
      </c>
    </row>
    <row r="3048" spans="1:40">
      <c r="A3048" s="1" t="s">
        <v>41</v>
      </c>
      <c r="B3048" s="1" t="s">
        <v>42</v>
      </c>
      <c r="C3048" s="1" t="s">
        <v>4352</v>
      </c>
      <c r="D3048" s="1" t="s">
        <v>4353</v>
      </c>
      <c r="E3048" s="1" t="s">
        <v>45</v>
      </c>
      <c r="F3048" s="1" t="s">
        <v>6982</v>
      </c>
      <c r="G3048" s="1" t="s">
        <v>6994</v>
      </c>
      <c r="H3048" s="1" t="s">
        <v>6995</v>
      </c>
      <c r="I3048" s="1" t="s">
        <v>49</v>
      </c>
      <c r="J3048" s="1" t="s">
        <v>48</v>
      </c>
      <c r="K3048" s="1">
        <v>336</v>
      </c>
      <c r="L3048" s="1">
        <v>0</v>
      </c>
      <c r="M3048" s="1">
        <v>0</v>
      </c>
      <c r="N3048" s="1">
        <v>336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 t="s">
        <v>49</v>
      </c>
      <c r="AA3048" s="1" t="s">
        <v>49</v>
      </c>
      <c r="AB3048" s="1" t="s">
        <v>49</v>
      </c>
      <c r="AC3048" s="1" t="s">
        <v>6911</v>
      </c>
      <c r="AD3048" s="1" t="s">
        <v>6938</v>
      </c>
      <c r="AE3048" s="1" t="s">
        <v>6911</v>
      </c>
      <c r="AF3048" s="1" t="s">
        <v>6985</v>
      </c>
      <c r="AG3048" s="1" t="s">
        <v>53</v>
      </c>
      <c r="AH3048" s="1" t="s">
        <v>49</v>
      </c>
      <c r="AI3048" s="1" t="s">
        <v>54</v>
      </c>
      <c r="AJ3048" s="1">
        <v>1</v>
      </c>
      <c r="AK3048" s="1" t="str">
        <f t="shared" si="47"/>
        <v xml:space="preserve"> =&lt;90</v>
      </c>
      <c r="AL3048" s="1" t="e">
        <f>VLOOKUP(C:C,[1]基础信息!B$1:D$65536,3,0)</f>
        <v>#N/A</v>
      </c>
      <c r="AM3048" s="1" t="e">
        <f>VLOOKUP(C:C,[1]基础信息!B$1:E$65536,4,0)</f>
        <v>#N/A</v>
      </c>
      <c r="AN3048" s="1" t="e">
        <f>VLOOKUP(C:C,[1]基础信息!B$1:F$65536,5,0)</f>
        <v>#N/A</v>
      </c>
    </row>
    <row r="3049" spans="1:40">
      <c r="A3049" s="1" t="s">
        <v>41</v>
      </c>
      <c r="B3049" s="1" t="s">
        <v>42</v>
      </c>
      <c r="C3049" s="1" t="s">
        <v>4352</v>
      </c>
      <c r="D3049" s="1" t="s">
        <v>4353</v>
      </c>
      <c r="E3049" s="1" t="s">
        <v>45</v>
      </c>
      <c r="F3049" s="1" t="s">
        <v>6982</v>
      </c>
      <c r="G3049" s="1" t="s">
        <v>6996</v>
      </c>
      <c r="H3049" s="1" t="s">
        <v>6997</v>
      </c>
      <c r="I3049" s="1" t="s">
        <v>49</v>
      </c>
      <c r="J3049" s="1" t="s">
        <v>48</v>
      </c>
      <c r="K3049" s="1">
        <v>336</v>
      </c>
      <c r="L3049" s="1">
        <v>0</v>
      </c>
      <c r="M3049" s="1">
        <v>0</v>
      </c>
      <c r="N3049" s="1">
        <v>336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 t="s">
        <v>49</v>
      </c>
      <c r="AA3049" s="1" t="s">
        <v>49</v>
      </c>
      <c r="AB3049" s="1" t="s">
        <v>49</v>
      </c>
      <c r="AC3049" s="1" t="s">
        <v>6911</v>
      </c>
      <c r="AD3049" s="1" t="s">
        <v>6938</v>
      </c>
      <c r="AE3049" s="1" t="s">
        <v>6911</v>
      </c>
      <c r="AF3049" s="1" t="s">
        <v>6985</v>
      </c>
      <c r="AG3049" s="1" t="s">
        <v>53</v>
      </c>
      <c r="AH3049" s="1" t="s">
        <v>49</v>
      </c>
      <c r="AI3049" s="1" t="s">
        <v>54</v>
      </c>
      <c r="AJ3049" s="1">
        <v>1</v>
      </c>
      <c r="AK3049" s="1" t="str">
        <f t="shared" si="47"/>
        <v xml:space="preserve"> =&lt;90</v>
      </c>
      <c r="AL3049" s="1" t="e">
        <f>VLOOKUP(C:C,[1]基础信息!B$1:D$65536,3,0)</f>
        <v>#N/A</v>
      </c>
      <c r="AM3049" s="1" t="e">
        <f>VLOOKUP(C:C,[1]基础信息!B$1:E$65536,4,0)</f>
        <v>#N/A</v>
      </c>
      <c r="AN3049" s="1" t="e">
        <f>VLOOKUP(C:C,[1]基础信息!B$1:F$65536,5,0)</f>
        <v>#N/A</v>
      </c>
    </row>
    <row r="3050" spans="1:40">
      <c r="A3050" s="1" t="s">
        <v>41</v>
      </c>
      <c r="B3050" s="1" t="s">
        <v>42</v>
      </c>
      <c r="C3050" s="1" t="s">
        <v>4352</v>
      </c>
      <c r="D3050" s="1" t="s">
        <v>4353</v>
      </c>
      <c r="E3050" s="1" t="s">
        <v>45</v>
      </c>
      <c r="F3050" s="1" t="s">
        <v>6982</v>
      </c>
      <c r="G3050" s="1" t="s">
        <v>6998</v>
      </c>
      <c r="H3050" s="1" t="s">
        <v>6999</v>
      </c>
      <c r="I3050" s="1" t="s">
        <v>49</v>
      </c>
      <c r="J3050" s="1" t="s">
        <v>48</v>
      </c>
      <c r="K3050" s="1">
        <v>336</v>
      </c>
      <c r="L3050" s="1">
        <v>0</v>
      </c>
      <c r="M3050" s="1">
        <v>0</v>
      </c>
      <c r="N3050" s="1">
        <v>336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 t="s">
        <v>49</v>
      </c>
      <c r="AA3050" s="1" t="s">
        <v>49</v>
      </c>
      <c r="AB3050" s="1" t="s">
        <v>49</v>
      </c>
      <c r="AC3050" s="1" t="s">
        <v>6911</v>
      </c>
      <c r="AD3050" s="1" t="s">
        <v>6938</v>
      </c>
      <c r="AE3050" s="1" t="s">
        <v>6911</v>
      </c>
      <c r="AF3050" s="1" t="s">
        <v>6985</v>
      </c>
      <c r="AG3050" s="1" t="s">
        <v>53</v>
      </c>
      <c r="AH3050" s="1" t="s">
        <v>49</v>
      </c>
      <c r="AI3050" s="1" t="s">
        <v>54</v>
      </c>
      <c r="AJ3050" s="1">
        <v>1</v>
      </c>
      <c r="AK3050" s="1" t="str">
        <f t="shared" si="47"/>
        <v xml:space="preserve"> =&lt;90</v>
      </c>
      <c r="AL3050" s="1" t="e">
        <f>VLOOKUP(C:C,[1]基础信息!B$1:D$65536,3,0)</f>
        <v>#N/A</v>
      </c>
      <c r="AM3050" s="1" t="e">
        <f>VLOOKUP(C:C,[1]基础信息!B$1:E$65536,4,0)</f>
        <v>#N/A</v>
      </c>
      <c r="AN3050" s="1" t="e">
        <f>VLOOKUP(C:C,[1]基础信息!B$1:F$65536,5,0)</f>
        <v>#N/A</v>
      </c>
    </row>
    <row r="3051" spans="1:40">
      <c r="A3051" s="1" t="s">
        <v>41</v>
      </c>
      <c r="B3051" s="1" t="s">
        <v>42</v>
      </c>
      <c r="C3051" s="1" t="s">
        <v>4352</v>
      </c>
      <c r="D3051" s="1" t="s">
        <v>4353</v>
      </c>
      <c r="E3051" s="1" t="s">
        <v>45</v>
      </c>
      <c r="F3051" s="1" t="s">
        <v>6776</v>
      </c>
      <c r="G3051" s="1" t="s">
        <v>7000</v>
      </c>
      <c r="H3051" s="1" t="s">
        <v>7001</v>
      </c>
      <c r="I3051" s="1" t="s">
        <v>49</v>
      </c>
      <c r="J3051" s="1" t="s">
        <v>48</v>
      </c>
      <c r="K3051" s="1">
        <v>336</v>
      </c>
      <c r="L3051" s="1">
        <v>0</v>
      </c>
      <c r="M3051" s="1">
        <v>0</v>
      </c>
      <c r="N3051" s="1">
        <v>336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 t="s">
        <v>49</v>
      </c>
      <c r="AA3051" s="1" t="s">
        <v>49</v>
      </c>
      <c r="AB3051" s="1" t="s">
        <v>49</v>
      </c>
      <c r="AC3051" s="1" t="s">
        <v>938</v>
      </c>
      <c r="AD3051" s="1" t="s">
        <v>939</v>
      </c>
      <c r="AE3051" s="1" t="s">
        <v>3964</v>
      </c>
      <c r="AF3051" s="1" t="s">
        <v>6779</v>
      </c>
      <c r="AG3051" s="1" t="s">
        <v>53</v>
      </c>
      <c r="AH3051" s="1" t="s">
        <v>49</v>
      </c>
      <c r="AI3051" s="1" t="s">
        <v>54</v>
      </c>
      <c r="AJ3051" s="1">
        <v>1</v>
      </c>
      <c r="AK3051" s="1" t="str">
        <f t="shared" si="47"/>
        <v xml:space="preserve"> =&lt;90</v>
      </c>
      <c r="AL3051" s="1" t="e">
        <f>VLOOKUP(C:C,[1]基础信息!B$1:D$65536,3,0)</f>
        <v>#N/A</v>
      </c>
      <c r="AM3051" s="1" t="e">
        <f>VLOOKUP(C:C,[1]基础信息!B$1:E$65536,4,0)</f>
        <v>#N/A</v>
      </c>
      <c r="AN3051" s="1" t="e">
        <f>VLOOKUP(C:C,[1]基础信息!B$1:F$65536,5,0)</f>
        <v>#N/A</v>
      </c>
    </row>
    <row r="3052" spans="1:40">
      <c r="A3052" s="1" t="s">
        <v>41</v>
      </c>
      <c r="B3052" s="1" t="s">
        <v>42</v>
      </c>
      <c r="C3052" s="1" t="s">
        <v>4352</v>
      </c>
      <c r="D3052" s="1" t="s">
        <v>4353</v>
      </c>
      <c r="E3052" s="1" t="s">
        <v>45</v>
      </c>
      <c r="F3052" s="1" t="s">
        <v>6776</v>
      </c>
      <c r="G3052" s="1" t="s">
        <v>7002</v>
      </c>
      <c r="H3052" s="1" t="s">
        <v>7003</v>
      </c>
      <c r="I3052" s="1" t="s">
        <v>49</v>
      </c>
      <c r="J3052" s="1" t="s">
        <v>48</v>
      </c>
      <c r="K3052" s="1">
        <v>336</v>
      </c>
      <c r="L3052" s="1">
        <v>0</v>
      </c>
      <c r="M3052" s="1">
        <v>0</v>
      </c>
      <c r="N3052" s="1">
        <v>336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 t="s">
        <v>49</v>
      </c>
      <c r="AA3052" s="1" t="s">
        <v>49</v>
      </c>
      <c r="AB3052" s="1" t="s">
        <v>49</v>
      </c>
      <c r="AC3052" s="1" t="s">
        <v>938</v>
      </c>
      <c r="AD3052" s="1" t="s">
        <v>939</v>
      </c>
      <c r="AE3052" s="1" t="s">
        <v>3964</v>
      </c>
      <c r="AF3052" s="1" t="s">
        <v>6779</v>
      </c>
      <c r="AG3052" s="1" t="s">
        <v>53</v>
      </c>
      <c r="AH3052" s="1" t="s">
        <v>49</v>
      </c>
      <c r="AI3052" s="1" t="s">
        <v>54</v>
      </c>
      <c r="AJ3052" s="1">
        <v>1</v>
      </c>
      <c r="AK3052" s="1" t="str">
        <f t="shared" si="47"/>
        <v xml:space="preserve"> =&lt;90</v>
      </c>
      <c r="AL3052" s="1" t="e">
        <f>VLOOKUP(C:C,[1]基础信息!B$1:D$65536,3,0)</f>
        <v>#N/A</v>
      </c>
      <c r="AM3052" s="1" t="e">
        <f>VLOOKUP(C:C,[1]基础信息!B$1:E$65536,4,0)</f>
        <v>#N/A</v>
      </c>
      <c r="AN3052" s="1" t="e">
        <f>VLOOKUP(C:C,[1]基础信息!B$1:F$65536,5,0)</f>
        <v>#N/A</v>
      </c>
    </row>
    <row r="3053" spans="1:40">
      <c r="A3053" s="1" t="s">
        <v>41</v>
      </c>
      <c r="B3053" s="1" t="s">
        <v>42</v>
      </c>
      <c r="C3053" s="1" t="s">
        <v>4352</v>
      </c>
      <c r="D3053" s="1" t="s">
        <v>4353</v>
      </c>
      <c r="E3053" s="1" t="s">
        <v>45</v>
      </c>
      <c r="F3053" s="1" t="s">
        <v>6982</v>
      </c>
      <c r="G3053" s="1" t="s">
        <v>7004</v>
      </c>
      <c r="H3053" s="1" t="s">
        <v>7005</v>
      </c>
      <c r="I3053" s="1" t="s">
        <v>49</v>
      </c>
      <c r="J3053" s="1" t="s">
        <v>48</v>
      </c>
      <c r="K3053" s="1">
        <v>336</v>
      </c>
      <c r="L3053" s="1">
        <v>0</v>
      </c>
      <c r="M3053" s="1">
        <v>0</v>
      </c>
      <c r="N3053" s="1">
        <v>336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 t="s">
        <v>49</v>
      </c>
      <c r="AA3053" s="1" t="s">
        <v>49</v>
      </c>
      <c r="AB3053" s="1" t="s">
        <v>49</v>
      </c>
      <c r="AC3053" s="1" t="s">
        <v>6911</v>
      </c>
      <c r="AD3053" s="1" t="s">
        <v>6938</v>
      </c>
      <c r="AE3053" s="1" t="s">
        <v>6911</v>
      </c>
      <c r="AF3053" s="1" t="s">
        <v>6985</v>
      </c>
      <c r="AG3053" s="1" t="s">
        <v>53</v>
      </c>
      <c r="AH3053" s="1" t="s">
        <v>49</v>
      </c>
      <c r="AI3053" s="1" t="s">
        <v>54</v>
      </c>
      <c r="AJ3053" s="1">
        <v>1</v>
      </c>
      <c r="AK3053" s="1" t="str">
        <f t="shared" si="47"/>
        <v xml:space="preserve"> =&lt;90</v>
      </c>
      <c r="AL3053" s="1" t="e">
        <f>VLOOKUP(C:C,[1]基础信息!B$1:D$65536,3,0)</f>
        <v>#N/A</v>
      </c>
      <c r="AM3053" s="1" t="e">
        <f>VLOOKUP(C:C,[1]基础信息!B$1:E$65536,4,0)</f>
        <v>#N/A</v>
      </c>
      <c r="AN3053" s="1" t="e">
        <f>VLOOKUP(C:C,[1]基础信息!B$1:F$65536,5,0)</f>
        <v>#N/A</v>
      </c>
    </row>
    <row r="3054" spans="1:40">
      <c r="A3054" s="1" t="s">
        <v>41</v>
      </c>
      <c r="B3054" s="1" t="s">
        <v>42</v>
      </c>
      <c r="C3054" s="1" t="s">
        <v>4352</v>
      </c>
      <c r="D3054" s="1" t="s">
        <v>4353</v>
      </c>
      <c r="E3054" s="1" t="s">
        <v>45</v>
      </c>
      <c r="F3054" s="1" t="s">
        <v>6982</v>
      </c>
      <c r="G3054" s="1" t="s">
        <v>7006</v>
      </c>
      <c r="H3054" s="1" t="s">
        <v>7007</v>
      </c>
      <c r="I3054" s="1" t="s">
        <v>49</v>
      </c>
      <c r="J3054" s="1" t="s">
        <v>48</v>
      </c>
      <c r="K3054" s="1">
        <v>336</v>
      </c>
      <c r="L3054" s="1">
        <v>0</v>
      </c>
      <c r="M3054" s="1">
        <v>0</v>
      </c>
      <c r="N3054" s="1">
        <v>336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 t="s">
        <v>49</v>
      </c>
      <c r="AA3054" s="1" t="s">
        <v>49</v>
      </c>
      <c r="AB3054" s="1" t="s">
        <v>49</v>
      </c>
      <c r="AC3054" s="1" t="s">
        <v>6911</v>
      </c>
      <c r="AD3054" s="1" t="s">
        <v>6938</v>
      </c>
      <c r="AE3054" s="1" t="s">
        <v>6911</v>
      </c>
      <c r="AF3054" s="1" t="s">
        <v>6985</v>
      </c>
      <c r="AG3054" s="1" t="s">
        <v>53</v>
      </c>
      <c r="AH3054" s="1" t="s">
        <v>49</v>
      </c>
      <c r="AI3054" s="1" t="s">
        <v>54</v>
      </c>
      <c r="AJ3054" s="1">
        <v>1</v>
      </c>
      <c r="AK3054" s="1" t="str">
        <f t="shared" si="47"/>
        <v xml:space="preserve"> =&lt;90</v>
      </c>
      <c r="AL3054" s="1" t="e">
        <f>VLOOKUP(C:C,[1]基础信息!B$1:D$65536,3,0)</f>
        <v>#N/A</v>
      </c>
      <c r="AM3054" s="1" t="e">
        <f>VLOOKUP(C:C,[1]基础信息!B$1:E$65536,4,0)</f>
        <v>#N/A</v>
      </c>
      <c r="AN3054" s="1" t="e">
        <f>VLOOKUP(C:C,[1]基础信息!B$1:F$65536,5,0)</f>
        <v>#N/A</v>
      </c>
    </row>
    <row r="3055" spans="1:40">
      <c r="A3055" s="1" t="s">
        <v>41</v>
      </c>
      <c r="B3055" s="1" t="s">
        <v>42</v>
      </c>
      <c r="C3055" s="1" t="s">
        <v>4352</v>
      </c>
      <c r="D3055" s="1" t="s">
        <v>4353</v>
      </c>
      <c r="E3055" s="1" t="s">
        <v>45</v>
      </c>
      <c r="F3055" s="1" t="s">
        <v>6982</v>
      </c>
      <c r="G3055" s="1" t="s">
        <v>7008</v>
      </c>
      <c r="H3055" s="1" t="s">
        <v>7009</v>
      </c>
      <c r="I3055" s="1" t="s">
        <v>49</v>
      </c>
      <c r="J3055" s="1" t="s">
        <v>48</v>
      </c>
      <c r="K3055" s="1">
        <v>336</v>
      </c>
      <c r="L3055" s="1">
        <v>0</v>
      </c>
      <c r="M3055" s="1">
        <v>0</v>
      </c>
      <c r="N3055" s="1">
        <v>336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 t="s">
        <v>49</v>
      </c>
      <c r="AA3055" s="1" t="s">
        <v>49</v>
      </c>
      <c r="AB3055" s="1" t="s">
        <v>49</v>
      </c>
      <c r="AC3055" s="1" t="s">
        <v>6911</v>
      </c>
      <c r="AD3055" s="1" t="s">
        <v>6938</v>
      </c>
      <c r="AE3055" s="1" t="s">
        <v>6911</v>
      </c>
      <c r="AF3055" s="1" t="s">
        <v>6985</v>
      </c>
      <c r="AG3055" s="1" t="s">
        <v>53</v>
      </c>
      <c r="AH3055" s="1" t="s">
        <v>49</v>
      </c>
      <c r="AI3055" s="1" t="s">
        <v>54</v>
      </c>
      <c r="AJ3055" s="1">
        <v>1</v>
      </c>
      <c r="AK3055" s="1" t="str">
        <f t="shared" si="47"/>
        <v xml:space="preserve"> =&lt;90</v>
      </c>
      <c r="AL3055" s="1" t="e">
        <f>VLOOKUP(C:C,[1]基础信息!B$1:D$65536,3,0)</f>
        <v>#N/A</v>
      </c>
      <c r="AM3055" s="1" t="e">
        <f>VLOOKUP(C:C,[1]基础信息!B$1:E$65536,4,0)</f>
        <v>#N/A</v>
      </c>
      <c r="AN3055" s="1" t="e">
        <f>VLOOKUP(C:C,[1]基础信息!B$1:F$65536,5,0)</f>
        <v>#N/A</v>
      </c>
    </row>
    <row r="3056" spans="1:40">
      <c r="A3056" s="1" t="s">
        <v>41</v>
      </c>
      <c r="B3056" s="1" t="s">
        <v>42</v>
      </c>
      <c r="C3056" s="1" t="s">
        <v>4352</v>
      </c>
      <c r="D3056" s="1" t="s">
        <v>4353</v>
      </c>
      <c r="E3056" s="1" t="s">
        <v>45</v>
      </c>
      <c r="F3056" s="1" t="s">
        <v>6982</v>
      </c>
      <c r="G3056" s="1" t="s">
        <v>7010</v>
      </c>
      <c r="H3056" s="1" t="s">
        <v>7011</v>
      </c>
      <c r="I3056" s="1" t="s">
        <v>49</v>
      </c>
      <c r="J3056" s="1" t="s">
        <v>48</v>
      </c>
      <c r="K3056" s="1">
        <v>336</v>
      </c>
      <c r="L3056" s="1">
        <v>0</v>
      </c>
      <c r="M3056" s="1">
        <v>0</v>
      </c>
      <c r="N3056" s="1">
        <v>336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 t="s">
        <v>49</v>
      </c>
      <c r="AA3056" s="1" t="s">
        <v>49</v>
      </c>
      <c r="AB3056" s="1" t="s">
        <v>49</v>
      </c>
      <c r="AC3056" s="1" t="s">
        <v>6911</v>
      </c>
      <c r="AD3056" s="1" t="s">
        <v>6938</v>
      </c>
      <c r="AE3056" s="1" t="s">
        <v>6911</v>
      </c>
      <c r="AF3056" s="1" t="s">
        <v>6985</v>
      </c>
      <c r="AG3056" s="1" t="s">
        <v>53</v>
      </c>
      <c r="AH3056" s="1" t="s">
        <v>49</v>
      </c>
      <c r="AI3056" s="1" t="s">
        <v>54</v>
      </c>
      <c r="AJ3056" s="1">
        <v>1</v>
      </c>
      <c r="AK3056" s="1" t="str">
        <f t="shared" si="47"/>
        <v xml:space="preserve"> =&lt;90</v>
      </c>
      <c r="AL3056" s="1" t="e">
        <f>VLOOKUP(C:C,[1]基础信息!B$1:D$65536,3,0)</f>
        <v>#N/A</v>
      </c>
      <c r="AM3056" s="1" t="e">
        <f>VLOOKUP(C:C,[1]基础信息!B$1:E$65536,4,0)</f>
        <v>#N/A</v>
      </c>
      <c r="AN3056" s="1" t="e">
        <f>VLOOKUP(C:C,[1]基础信息!B$1:F$65536,5,0)</f>
        <v>#N/A</v>
      </c>
    </row>
    <row r="3057" spans="1:40">
      <c r="A3057" s="1" t="s">
        <v>41</v>
      </c>
      <c r="B3057" s="1" t="s">
        <v>42</v>
      </c>
      <c r="C3057" s="1" t="s">
        <v>4352</v>
      </c>
      <c r="D3057" s="1" t="s">
        <v>4353</v>
      </c>
      <c r="E3057" s="1" t="s">
        <v>45</v>
      </c>
      <c r="F3057" s="1" t="s">
        <v>6982</v>
      </c>
      <c r="G3057" s="1" t="s">
        <v>7012</v>
      </c>
      <c r="H3057" s="1" t="s">
        <v>7013</v>
      </c>
      <c r="I3057" s="1" t="s">
        <v>49</v>
      </c>
      <c r="J3057" s="1" t="s">
        <v>48</v>
      </c>
      <c r="K3057" s="1">
        <v>336</v>
      </c>
      <c r="L3057" s="1">
        <v>0</v>
      </c>
      <c r="M3057" s="1">
        <v>0</v>
      </c>
      <c r="N3057" s="1">
        <v>336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 t="s">
        <v>49</v>
      </c>
      <c r="AA3057" s="1" t="s">
        <v>49</v>
      </c>
      <c r="AB3057" s="1" t="s">
        <v>49</v>
      </c>
      <c r="AC3057" s="1" t="s">
        <v>6911</v>
      </c>
      <c r="AD3057" s="1" t="s">
        <v>6938</v>
      </c>
      <c r="AE3057" s="1" t="s">
        <v>6911</v>
      </c>
      <c r="AF3057" s="1" t="s">
        <v>6985</v>
      </c>
      <c r="AG3057" s="1" t="s">
        <v>53</v>
      </c>
      <c r="AH3057" s="1" t="s">
        <v>49</v>
      </c>
      <c r="AI3057" s="1" t="s">
        <v>54</v>
      </c>
      <c r="AJ3057" s="1">
        <v>1</v>
      </c>
      <c r="AK3057" s="1" t="str">
        <f t="shared" si="47"/>
        <v xml:space="preserve"> =&lt;90</v>
      </c>
      <c r="AL3057" s="1" t="e">
        <f>VLOOKUP(C:C,[1]基础信息!B$1:D$65536,3,0)</f>
        <v>#N/A</v>
      </c>
      <c r="AM3057" s="1" t="e">
        <f>VLOOKUP(C:C,[1]基础信息!B$1:E$65536,4,0)</f>
        <v>#N/A</v>
      </c>
      <c r="AN3057" s="1" t="e">
        <f>VLOOKUP(C:C,[1]基础信息!B$1:F$65536,5,0)</f>
        <v>#N/A</v>
      </c>
    </row>
    <row r="3058" spans="1:40">
      <c r="A3058" s="1" t="s">
        <v>41</v>
      </c>
      <c r="B3058" s="1" t="s">
        <v>42</v>
      </c>
      <c r="C3058" s="1" t="s">
        <v>4352</v>
      </c>
      <c r="D3058" s="1" t="s">
        <v>4353</v>
      </c>
      <c r="E3058" s="1" t="s">
        <v>45</v>
      </c>
      <c r="F3058" s="1" t="s">
        <v>6982</v>
      </c>
      <c r="G3058" s="1" t="s">
        <v>7014</v>
      </c>
      <c r="H3058" s="1" t="s">
        <v>7015</v>
      </c>
      <c r="I3058" s="1" t="s">
        <v>49</v>
      </c>
      <c r="J3058" s="1" t="s">
        <v>48</v>
      </c>
      <c r="K3058" s="1">
        <v>336</v>
      </c>
      <c r="L3058" s="1">
        <v>0</v>
      </c>
      <c r="M3058" s="1">
        <v>0</v>
      </c>
      <c r="N3058" s="1">
        <v>336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 t="s">
        <v>49</v>
      </c>
      <c r="AA3058" s="1" t="s">
        <v>49</v>
      </c>
      <c r="AB3058" s="1" t="s">
        <v>49</v>
      </c>
      <c r="AC3058" s="1" t="s">
        <v>6911</v>
      </c>
      <c r="AD3058" s="1" t="s">
        <v>6938</v>
      </c>
      <c r="AE3058" s="1" t="s">
        <v>6911</v>
      </c>
      <c r="AF3058" s="1" t="s">
        <v>6985</v>
      </c>
      <c r="AG3058" s="1" t="s">
        <v>53</v>
      </c>
      <c r="AH3058" s="1" t="s">
        <v>49</v>
      </c>
      <c r="AI3058" s="1" t="s">
        <v>54</v>
      </c>
      <c r="AJ3058" s="1">
        <v>1</v>
      </c>
      <c r="AK3058" s="1" t="str">
        <f t="shared" si="47"/>
        <v xml:space="preserve"> =&lt;90</v>
      </c>
      <c r="AL3058" s="1" t="e">
        <f>VLOOKUP(C:C,[1]基础信息!B$1:D$65536,3,0)</f>
        <v>#N/A</v>
      </c>
      <c r="AM3058" s="1" t="e">
        <f>VLOOKUP(C:C,[1]基础信息!B$1:E$65536,4,0)</f>
        <v>#N/A</v>
      </c>
      <c r="AN3058" s="1" t="e">
        <f>VLOOKUP(C:C,[1]基础信息!B$1:F$65536,5,0)</f>
        <v>#N/A</v>
      </c>
    </row>
    <row r="3059" spans="1:40">
      <c r="A3059" s="1" t="s">
        <v>41</v>
      </c>
      <c r="B3059" s="1" t="s">
        <v>42</v>
      </c>
      <c r="C3059" s="1" t="s">
        <v>4352</v>
      </c>
      <c r="D3059" s="1" t="s">
        <v>4353</v>
      </c>
      <c r="E3059" s="1" t="s">
        <v>45</v>
      </c>
      <c r="F3059" s="1" t="s">
        <v>6982</v>
      </c>
      <c r="G3059" s="1" t="s">
        <v>7016</v>
      </c>
      <c r="H3059" s="1" t="s">
        <v>7017</v>
      </c>
      <c r="I3059" s="1" t="s">
        <v>49</v>
      </c>
      <c r="J3059" s="1" t="s">
        <v>48</v>
      </c>
      <c r="K3059" s="1">
        <v>336</v>
      </c>
      <c r="L3059" s="1">
        <v>0</v>
      </c>
      <c r="M3059" s="1">
        <v>0</v>
      </c>
      <c r="N3059" s="1">
        <v>336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 t="s">
        <v>49</v>
      </c>
      <c r="AA3059" s="1" t="s">
        <v>49</v>
      </c>
      <c r="AB3059" s="1" t="s">
        <v>49</v>
      </c>
      <c r="AC3059" s="1" t="s">
        <v>6911</v>
      </c>
      <c r="AD3059" s="1" t="s">
        <v>6938</v>
      </c>
      <c r="AE3059" s="1" t="s">
        <v>6911</v>
      </c>
      <c r="AF3059" s="1" t="s">
        <v>6985</v>
      </c>
      <c r="AG3059" s="1" t="s">
        <v>53</v>
      </c>
      <c r="AH3059" s="1" t="s">
        <v>49</v>
      </c>
      <c r="AI3059" s="1" t="s">
        <v>54</v>
      </c>
      <c r="AJ3059" s="1">
        <v>1</v>
      </c>
      <c r="AK3059" s="1" t="str">
        <f t="shared" si="47"/>
        <v xml:space="preserve"> =&lt;90</v>
      </c>
      <c r="AL3059" s="1" t="e">
        <f>VLOOKUP(C:C,[1]基础信息!B$1:D$65536,3,0)</f>
        <v>#N/A</v>
      </c>
      <c r="AM3059" s="1" t="e">
        <f>VLOOKUP(C:C,[1]基础信息!B$1:E$65536,4,0)</f>
        <v>#N/A</v>
      </c>
      <c r="AN3059" s="1" t="e">
        <f>VLOOKUP(C:C,[1]基础信息!B$1:F$65536,5,0)</f>
        <v>#N/A</v>
      </c>
    </row>
    <row r="3060" spans="1:40">
      <c r="A3060" s="1" t="s">
        <v>41</v>
      </c>
      <c r="B3060" s="1" t="s">
        <v>42</v>
      </c>
      <c r="C3060" s="1" t="s">
        <v>3971</v>
      </c>
      <c r="D3060" s="1" t="s">
        <v>3972</v>
      </c>
      <c r="E3060" s="1" t="s">
        <v>45</v>
      </c>
      <c r="F3060" s="1" t="s">
        <v>5602</v>
      </c>
      <c r="G3060" s="1" t="s">
        <v>7018</v>
      </c>
      <c r="H3060" s="1" t="s">
        <v>7019</v>
      </c>
      <c r="I3060" s="1" t="s">
        <v>49</v>
      </c>
      <c r="J3060" s="1" t="s">
        <v>48</v>
      </c>
      <c r="K3060" s="1">
        <v>96</v>
      </c>
      <c r="L3060" s="1">
        <v>0</v>
      </c>
      <c r="M3060" s="1">
        <v>0</v>
      </c>
      <c r="N3060" s="1">
        <v>96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 t="s">
        <v>49</v>
      </c>
      <c r="AA3060" s="1" t="s">
        <v>49</v>
      </c>
      <c r="AB3060" s="1" t="s">
        <v>49</v>
      </c>
      <c r="AC3060" s="1" t="s">
        <v>1008</v>
      </c>
      <c r="AD3060" s="1" t="s">
        <v>1009</v>
      </c>
      <c r="AE3060" s="1" t="s">
        <v>1008</v>
      </c>
      <c r="AF3060" s="1" t="s">
        <v>5605</v>
      </c>
      <c r="AG3060" s="1" t="s">
        <v>53</v>
      </c>
      <c r="AH3060" s="1" t="s">
        <v>49</v>
      </c>
      <c r="AI3060" s="1" t="s">
        <v>54</v>
      </c>
      <c r="AJ3060" s="1">
        <v>1</v>
      </c>
      <c r="AK3060" s="1" t="str">
        <f t="shared" si="47"/>
        <v xml:space="preserve"> =&lt;90</v>
      </c>
      <c r="AL3060" s="1" t="str">
        <f>VLOOKUP(C:C,[1]基础信息!B$1:D$65536,3,0)</f>
        <v>Jug</v>
      </c>
      <c r="AM3060" s="1" t="str">
        <f>VLOOKUP(C:C,[1]基础信息!B$1:E$65536,4,0)</f>
        <v>Mxplus</v>
      </c>
      <c r="AN3060" s="1" t="str">
        <f>VLOOKUP(C:C,[1]基础信息!B$1:F$65536,5,0)</f>
        <v xml:space="preserve"> lime</v>
      </c>
    </row>
    <row r="3061" spans="1:40">
      <c r="A3061" s="1" t="s">
        <v>41</v>
      </c>
      <c r="B3061" s="1" t="s">
        <v>42</v>
      </c>
      <c r="C3061" s="1" t="s">
        <v>3971</v>
      </c>
      <c r="D3061" s="1" t="s">
        <v>3972</v>
      </c>
      <c r="E3061" s="1" t="s">
        <v>45</v>
      </c>
      <c r="F3061" s="1" t="s">
        <v>5602</v>
      </c>
      <c r="G3061" s="1" t="s">
        <v>7020</v>
      </c>
      <c r="H3061" s="1" t="s">
        <v>7021</v>
      </c>
      <c r="I3061" s="1" t="s">
        <v>49</v>
      </c>
      <c r="J3061" s="1" t="s">
        <v>48</v>
      </c>
      <c r="K3061" s="1">
        <v>96</v>
      </c>
      <c r="L3061" s="1">
        <v>0</v>
      </c>
      <c r="M3061" s="1">
        <v>0</v>
      </c>
      <c r="N3061" s="1">
        <v>96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 t="s">
        <v>49</v>
      </c>
      <c r="AA3061" s="1" t="s">
        <v>49</v>
      </c>
      <c r="AB3061" s="1" t="s">
        <v>49</v>
      </c>
      <c r="AC3061" s="1" t="s">
        <v>1008</v>
      </c>
      <c r="AD3061" s="1" t="s">
        <v>1009</v>
      </c>
      <c r="AE3061" s="1" t="s">
        <v>1008</v>
      </c>
      <c r="AF3061" s="1" t="s">
        <v>5605</v>
      </c>
      <c r="AG3061" s="1" t="s">
        <v>53</v>
      </c>
      <c r="AH3061" s="1" t="s">
        <v>49</v>
      </c>
      <c r="AI3061" s="1" t="s">
        <v>54</v>
      </c>
      <c r="AJ3061" s="1">
        <v>1</v>
      </c>
      <c r="AK3061" s="1" t="str">
        <f t="shared" si="47"/>
        <v xml:space="preserve"> =&lt;90</v>
      </c>
      <c r="AL3061" s="1" t="str">
        <f>VLOOKUP(C:C,[1]基础信息!B$1:D$65536,3,0)</f>
        <v>Jug</v>
      </c>
      <c r="AM3061" s="1" t="str">
        <f>VLOOKUP(C:C,[1]基础信息!B$1:E$65536,4,0)</f>
        <v>Mxplus</v>
      </c>
      <c r="AN3061" s="1" t="str">
        <f>VLOOKUP(C:C,[1]基础信息!B$1:F$65536,5,0)</f>
        <v xml:space="preserve"> lime</v>
      </c>
    </row>
    <row r="3062" spans="1:40">
      <c r="A3062" s="1" t="s">
        <v>41</v>
      </c>
      <c r="B3062" s="1" t="s">
        <v>42</v>
      </c>
      <c r="C3062" s="1" t="s">
        <v>1437</v>
      </c>
      <c r="D3062" s="1" t="s">
        <v>1438</v>
      </c>
      <c r="E3062" s="1" t="s">
        <v>45</v>
      </c>
      <c r="F3062" s="1" t="s">
        <v>7022</v>
      </c>
      <c r="G3062" s="1" t="s">
        <v>7023</v>
      </c>
      <c r="H3062" s="1" t="s">
        <v>45</v>
      </c>
      <c r="I3062" s="1" t="s">
        <v>45</v>
      </c>
      <c r="J3062" s="1" t="s">
        <v>48</v>
      </c>
      <c r="K3062" s="1">
        <v>363</v>
      </c>
      <c r="L3062" s="1">
        <v>0</v>
      </c>
      <c r="M3062" s="1">
        <v>0</v>
      </c>
      <c r="N3062" s="1">
        <v>363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 t="s">
        <v>49</v>
      </c>
      <c r="AA3062" s="1" t="s">
        <v>49</v>
      </c>
      <c r="AB3062" s="1" t="s">
        <v>49</v>
      </c>
      <c r="AC3062" s="1" t="s">
        <v>7024</v>
      </c>
      <c r="AD3062" s="1" t="s">
        <v>7025</v>
      </c>
      <c r="AE3062" s="1" t="s">
        <v>7024</v>
      </c>
      <c r="AF3062" s="1" t="s">
        <v>49</v>
      </c>
      <c r="AG3062" s="1" t="s">
        <v>53</v>
      </c>
      <c r="AH3062" s="1" t="s">
        <v>49</v>
      </c>
      <c r="AI3062" s="1" t="s">
        <v>54</v>
      </c>
      <c r="AJ3062" s="1">
        <v>1</v>
      </c>
      <c r="AK3062" s="1" t="str">
        <f t="shared" si="47"/>
        <v xml:space="preserve"> =&lt;90</v>
      </c>
      <c r="AL3062" s="1" t="str">
        <f>VLOOKUP(C:C,[1]基础信息!B$1:D$65536,3,0)</f>
        <v>On tap</v>
      </c>
      <c r="AM3062" s="1" t="str">
        <f>VLOOKUP(C:C,[1]基础信息!B$1:E$65536,4,0)</f>
        <v>On tap</v>
      </c>
      <c r="AN3062" s="1" t="str">
        <f>VLOOKUP(C:C,[1]基础信息!B$1:F$65536,5,0)</f>
        <v>On tap</v>
      </c>
    </row>
    <row r="3063" spans="1:40">
      <c r="A3063" s="1" t="s">
        <v>41</v>
      </c>
      <c r="B3063" s="1" t="s">
        <v>42</v>
      </c>
      <c r="C3063" s="1" t="s">
        <v>4352</v>
      </c>
      <c r="D3063" s="1" t="s">
        <v>4353</v>
      </c>
      <c r="E3063" s="1" t="s">
        <v>45</v>
      </c>
      <c r="F3063" s="1" t="s">
        <v>6982</v>
      </c>
      <c r="G3063" s="1" t="s">
        <v>7026</v>
      </c>
      <c r="H3063" s="1" t="s">
        <v>7027</v>
      </c>
      <c r="I3063" s="1" t="s">
        <v>49</v>
      </c>
      <c r="J3063" s="1" t="s">
        <v>48</v>
      </c>
      <c r="K3063" s="1">
        <v>336</v>
      </c>
      <c r="L3063" s="1">
        <v>0</v>
      </c>
      <c r="M3063" s="1">
        <v>0</v>
      </c>
      <c r="N3063" s="1">
        <v>336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 t="s">
        <v>49</v>
      </c>
      <c r="AA3063" s="1" t="s">
        <v>49</v>
      </c>
      <c r="AB3063" s="1" t="s">
        <v>49</v>
      </c>
      <c r="AC3063" s="1" t="s">
        <v>6911</v>
      </c>
      <c r="AD3063" s="1" t="s">
        <v>6938</v>
      </c>
      <c r="AE3063" s="1" t="s">
        <v>6911</v>
      </c>
      <c r="AF3063" s="1" t="s">
        <v>6985</v>
      </c>
      <c r="AG3063" s="1" t="s">
        <v>53</v>
      </c>
      <c r="AH3063" s="1" t="s">
        <v>49</v>
      </c>
      <c r="AI3063" s="1" t="s">
        <v>54</v>
      </c>
      <c r="AJ3063" s="1">
        <v>1</v>
      </c>
      <c r="AK3063" s="1" t="str">
        <f t="shared" si="47"/>
        <v xml:space="preserve"> =&lt;90</v>
      </c>
      <c r="AL3063" s="1" t="e">
        <f>VLOOKUP(C:C,[1]基础信息!B$1:D$65536,3,0)</f>
        <v>#N/A</v>
      </c>
      <c r="AM3063" s="1" t="e">
        <f>VLOOKUP(C:C,[1]基础信息!B$1:E$65536,4,0)</f>
        <v>#N/A</v>
      </c>
      <c r="AN3063" s="1" t="e">
        <f>VLOOKUP(C:C,[1]基础信息!B$1:F$65536,5,0)</f>
        <v>#N/A</v>
      </c>
    </row>
    <row r="3064" spans="1:40">
      <c r="A3064" s="1" t="s">
        <v>41</v>
      </c>
      <c r="B3064" s="1" t="s">
        <v>42</v>
      </c>
      <c r="C3064" s="1" t="s">
        <v>4352</v>
      </c>
      <c r="D3064" s="1" t="s">
        <v>4353</v>
      </c>
      <c r="E3064" s="1" t="s">
        <v>45</v>
      </c>
      <c r="F3064" s="1" t="s">
        <v>6982</v>
      </c>
      <c r="G3064" s="1" t="s">
        <v>7028</v>
      </c>
      <c r="H3064" s="1" t="s">
        <v>7029</v>
      </c>
      <c r="I3064" s="1" t="s">
        <v>49</v>
      </c>
      <c r="J3064" s="1" t="s">
        <v>48</v>
      </c>
      <c r="K3064" s="1">
        <v>336</v>
      </c>
      <c r="L3064" s="1">
        <v>0</v>
      </c>
      <c r="M3064" s="1">
        <v>0</v>
      </c>
      <c r="N3064" s="1">
        <v>336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 t="s">
        <v>49</v>
      </c>
      <c r="AA3064" s="1" t="s">
        <v>49</v>
      </c>
      <c r="AB3064" s="1" t="s">
        <v>49</v>
      </c>
      <c r="AC3064" s="1" t="s">
        <v>6911</v>
      </c>
      <c r="AD3064" s="1" t="s">
        <v>6938</v>
      </c>
      <c r="AE3064" s="1" t="s">
        <v>6911</v>
      </c>
      <c r="AF3064" s="1" t="s">
        <v>6985</v>
      </c>
      <c r="AG3064" s="1" t="s">
        <v>53</v>
      </c>
      <c r="AH3064" s="1" t="s">
        <v>49</v>
      </c>
      <c r="AI3064" s="1" t="s">
        <v>54</v>
      </c>
      <c r="AJ3064" s="1">
        <v>1</v>
      </c>
      <c r="AK3064" s="1" t="str">
        <f t="shared" si="47"/>
        <v xml:space="preserve"> =&lt;90</v>
      </c>
      <c r="AL3064" s="1" t="e">
        <f>VLOOKUP(C:C,[1]基础信息!B$1:D$65536,3,0)</f>
        <v>#N/A</v>
      </c>
      <c r="AM3064" s="1" t="e">
        <f>VLOOKUP(C:C,[1]基础信息!B$1:E$65536,4,0)</f>
        <v>#N/A</v>
      </c>
      <c r="AN3064" s="1" t="e">
        <f>VLOOKUP(C:C,[1]基础信息!B$1:F$65536,5,0)</f>
        <v>#N/A</v>
      </c>
    </row>
    <row r="3065" spans="1:40">
      <c r="A3065" s="1" t="s">
        <v>41</v>
      </c>
      <c r="B3065" s="1" t="s">
        <v>42</v>
      </c>
      <c r="C3065" s="1" t="s">
        <v>4352</v>
      </c>
      <c r="D3065" s="1" t="s">
        <v>4353</v>
      </c>
      <c r="E3065" s="1" t="s">
        <v>45</v>
      </c>
      <c r="F3065" s="1" t="s">
        <v>6982</v>
      </c>
      <c r="G3065" s="1" t="s">
        <v>7030</v>
      </c>
      <c r="H3065" s="1" t="s">
        <v>7031</v>
      </c>
      <c r="I3065" s="1" t="s">
        <v>49</v>
      </c>
      <c r="J3065" s="1" t="s">
        <v>48</v>
      </c>
      <c r="K3065" s="1">
        <v>336</v>
      </c>
      <c r="L3065" s="1">
        <v>0</v>
      </c>
      <c r="M3065" s="1">
        <v>0</v>
      </c>
      <c r="N3065" s="1">
        <v>336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 t="s">
        <v>49</v>
      </c>
      <c r="AA3065" s="1" t="s">
        <v>49</v>
      </c>
      <c r="AB3065" s="1" t="s">
        <v>49</v>
      </c>
      <c r="AC3065" s="1" t="s">
        <v>6911</v>
      </c>
      <c r="AD3065" s="1" t="s">
        <v>6938</v>
      </c>
      <c r="AE3065" s="1" t="s">
        <v>6911</v>
      </c>
      <c r="AF3065" s="1" t="s">
        <v>6985</v>
      </c>
      <c r="AG3065" s="1" t="s">
        <v>53</v>
      </c>
      <c r="AH3065" s="1" t="s">
        <v>49</v>
      </c>
      <c r="AI3065" s="1" t="s">
        <v>54</v>
      </c>
      <c r="AJ3065" s="1">
        <v>1</v>
      </c>
      <c r="AK3065" s="1" t="str">
        <f t="shared" si="47"/>
        <v xml:space="preserve"> =&lt;90</v>
      </c>
      <c r="AL3065" s="1" t="e">
        <f>VLOOKUP(C:C,[1]基础信息!B$1:D$65536,3,0)</f>
        <v>#N/A</v>
      </c>
      <c r="AM3065" s="1" t="e">
        <f>VLOOKUP(C:C,[1]基础信息!B$1:E$65536,4,0)</f>
        <v>#N/A</v>
      </c>
      <c r="AN3065" s="1" t="e">
        <f>VLOOKUP(C:C,[1]基础信息!B$1:F$65536,5,0)</f>
        <v>#N/A</v>
      </c>
    </row>
    <row r="3066" spans="1:40">
      <c r="A3066" s="1" t="s">
        <v>41</v>
      </c>
      <c r="B3066" s="1" t="s">
        <v>42</v>
      </c>
      <c r="C3066" s="1" t="s">
        <v>56</v>
      </c>
      <c r="D3066" s="1" t="s">
        <v>57</v>
      </c>
      <c r="E3066" s="1" t="s">
        <v>45</v>
      </c>
      <c r="F3066" s="1" t="s">
        <v>6949</v>
      </c>
      <c r="G3066" s="1" t="s">
        <v>7032</v>
      </c>
      <c r="H3066" s="1" t="s">
        <v>7033</v>
      </c>
      <c r="I3066" s="1" t="s">
        <v>49</v>
      </c>
      <c r="J3066" s="1" t="s">
        <v>48</v>
      </c>
      <c r="K3066" s="1">
        <v>72</v>
      </c>
      <c r="L3066" s="1">
        <v>0</v>
      </c>
      <c r="M3066" s="1">
        <v>0</v>
      </c>
      <c r="N3066" s="1">
        <v>72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 t="s">
        <v>49</v>
      </c>
      <c r="AA3066" s="1" t="s">
        <v>49</v>
      </c>
      <c r="AB3066" s="1" t="s">
        <v>49</v>
      </c>
      <c r="AC3066" s="1" t="s">
        <v>6952</v>
      </c>
      <c r="AD3066" s="1" t="s">
        <v>6953</v>
      </c>
      <c r="AE3066" s="1" t="s">
        <v>61</v>
      </c>
      <c r="AF3066" s="1" t="s">
        <v>6954</v>
      </c>
      <c r="AG3066" s="1" t="s">
        <v>53</v>
      </c>
      <c r="AH3066" s="1" t="s">
        <v>49</v>
      </c>
      <c r="AI3066" s="1" t="s">
        <v>54</v>
      </c>
      <c r="AJ3066" s="1">
        <v>1</v>
      </c>
      <c r="AK3066" s="1" t="str">
        <f t="shared" si="47"/>
        <v xml:space="preserve"> =&lt;90</v>
      </c>
      <c r="AL3066" s="1" t="str">
        <f>VLOOKUP(C:C,[1]基础信息!B$1:D$65536,3,0)</f>
        <v>Jug</v>
      </c>
      <c r="AM3066" s="1" t="str">
        <f>VLOOKUP(C:C,[1]基础信息!B$1:E$65536,4,0)</f>
        <v>Marella XL</v>
      </c>
      <c r="AN3066" s="1" t="str">
        <f>VLOOKUP(C:C,[1]基础信息!B$1:F$65536,5,0)</f>
        <v>Blue</v>
      </c>
    </row>
    <row r="3067" spans="1:40">
      <c r="A3067" s="1" t="s">
        <v>41</v>
      </c>
      <c r="B3067" s="1" t="s">
        <v>42</v>
      </c>
      <c r="C3067" s="1" t="s">
        <v>4352</v>
      </c>
      <c r="D3067" s="1" t="s">
        <v>4353</v>
      </c>
      <c r="E3067" s="1" t="s">
        <v>45</v>
      </c>
      <c r="F3067" s="1" t="s">
        <v>6982</v>
      </c>
      <c r="G3067" s="1" t="s">
        <v>7034</v>
      </c>
      <c r="H3067" s="1" t="s">
        <v>7035</v>
      </c>
      <c r="I3067" s="1" t="s">
        <v>49</v>
      </c>
      <c r="J3067" s="1" t="s">
        <v>48</v>
      </c>
      <c r="K3067" s="1">
        <v>336</v>
      </c>
      <c r="L3067" s="1">
        <v>0</v>
      </c>
      <c r="M3067" s="1">
        <v>0</v>
      </c>
      <c r="N3067" s="1">
        <v>336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 t="s">
        <v>49</v>
      </c>
      <c r="AA3067" s="1" t="s">
        <v>49</v>
      </c>
      <c r="AB3067" s="1" t="s">
        <v>49</v>
      </c>
      <c r="AC3067" s="1" t="s">
        <v>6911</v>
      </c>
      <c r="AD3067" s="1" t="s">
        <v>6938</v>
      </c>
      <c r="AE3067" s="1" t="s">
        <v>6911</v>
      </c>
      <c r="AF3067" s="1" t="s">
        <v>6985</v>
      </c>
      <c r="AG3067" s="1" t="s">
        <v>53</v>
      </c>
      <c r="AH3067" s="1" t="s">
        <v>49</v>
      </c>
      <c r="AI3067" s="1" t="s">
        <v>54</v>
      </c>
      <c r="AJ3067" s="1">
        <v>1</v>
      </c>
      <c r="AK3067" s="1" t="str">
        <f t="shared" si="47"/>
        <v xml:space="preserve"> =&lt;90</v>
      </c>
      <c r="AL3067" s="1" t="e">
        <f>VLOOKUP(C:C,[1]基础信息!B$1:D$65536,3,0)</f>
        <v>#N/A</v>
      </c>
      <c r="AM3067" s="1" t="e">
        <f>VLOOKUP(C:C,[1]基础信息!B$1:E$65536,4,0)</f>
        <v>#N/A</v>
      </c>
      <c r="AN3067" s="1" t="e">
        <f>VLOOKUP(C:C,[1]基础信息!B$1:F$65536,5,0)</f>
        <v>#N/A</v>
      </c>
    </row>
    <row r="3068" spans="1:40">
      <c r="A3068" s="1" t="s">
        <v>41</v>
      </c>
      <c r="B3068" s="1" t="s">
        <v>42</v>
      </c>
      <c r="C3068" s="1" t="s">
        <v>5154</v>
      </c>
      <c r="D3068" s="1" t="s">
        <v>5155</v>
      </c>
      <c r="E3068" s="1" t="s">
        <v>45</v>
      </c>
      <c r="F3068" s="1" t="s">
        <v>7036</v>
      </c>
      <c r="G3068" s="1" t="s">
        <v>7037</v>
      </c>
      <c r="H3068" s="1" t="s">
        <v>7038</v>
      </c>
      <c r="I3068" s="1" t="s">
        <v>49</v>
      </c>
      <c r="J3068" s="1" t="s">
        <v>48</v>
      </c>
      <c r="K3068" s="1">
        <v>270</v>
      </c>
      <c r="L3068" s="1">
        <v>0</v>
      </c>
      <c r="M3068" s="1">
        <v>0</v>
      </c>
      <c r="N3068" s="1">
        <v>270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 t="s">
        <v>49</v>
      </c>
      <c r="AA3068" s="1" t="s">
        <v>49</v>
      </c>
      <c r="AB3068" s="1" t="s">
        <v>49</v>
      </c>
      <c r="AC3068" s="1" t="s">
        <v>6911</v>
      </c>
      <c r="AD3068" s="1" t="s">
        <v>6938</v>
      </c>
      <c r="AE3068" s="1" t="s">
        <v>6911</v>
      </c>
      <c r="AF3068" s="1" t="s">
        <v>7039</v>
      </c>
      <c r="AG3068" s="1" t="s">
        <v>53</v>
      </c>
      <c r="AH3068" s="1" t="s">
        <v>49</v>
      </c>
      <c r="AI3068" s="1" t="s">
        <v>54</v>
      </c>
      <c r="AJ3068" s="1">
        <v>1</v>
      </c>
      <c r="AK3068" s="1" t="str">
        <f t="shared" si="47"/>
        <v xml:space="preserve"> =&lt;90</v>
      </c>
      <c r="AL3068" s="1" t="e">
        <f>VLOOKUP(C:C,[1]基础信息!B$1:D$65536,3,0)</f>
        <v>#N/A</v>
      </c>
      <c r="AM3068" s="1" t="e">
        <f>VLOOKUP(C:C,[1]基础信息!B$1:E$65536,4,0)</f>
        <v>#N/A</v>
      </c>
      <c r="AN3068" s="1" t="e">
        <f>VLOOKUP(C:C,[1]基础信息!B$1:F$65536,5,0)</f>
        <v>#N/A</v>
      </c>
    </row>
    <row r="3069" spans="1:40">
      <c r="A3069" s="1" t="s">
        <v>41</v>
      </c>
      <c r="B3069" s="1" t="s">
        <v>42</v>
      </c>
      <c r="C3069" s="1" t="s">
        <v>56</v>
      </c>
      <c r="D3069" s="1" t="s">
        <v>57</v>
      </c>
      <c r="E3069" s="1" t="s">
        <v>45</v>
      </c>
      <c r="F3069" s="1" t="s">
        <v>6949</v>
      </c>
      <c r="G3069" s="1" t="s">
        <v>7040</v>
      </c>
      <c r="H3069" s="1" t="s">
        <v>7041</v>
      </c>
      <c r="I3069" s="1" t="s">
        <v>49</v>
      </c>
      <c r="J3069" s="1" t="s">
        <v>48</v>
      </c>
      <c r="K3069" s="1">
        <v>72</v>
      </c>
      <c r="L3069" s="1">
        <v>0</v>
      </c>
      <c r="M3069" s="1">
        <v>0</v>
      </c>
      <c r="N3069" s="1">
        <v>72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 t="s">
        <v>49</v>
      </c>
      <c r="AA3069" s="1" t="s">
        <v>49</v>
      </c>
      <c r="AB3069" s="1" t="s">
        <v>49</v>
      </c>
      <c r="AC3069" s="1" t="s">
        <v>6952</v>
      </c>
      <c r="AD3069" s="1" t="s">
        <v>6953</v>
      </c>
      <c r="AE3069" s="1" t="s">
        <v>61</v>
      </c>
      <c r="AF3069" s="1" t="s">
        <v>6954</v>
      </c>
      <c r="AG3069" s="1" t="s">
        <v>53</v>
      </c>
      <c r="AH3069" s="1" t="s">
        <v>49</v>
      </c>
      <c r="AI3069" s="1" t="s">
        <v>54</v>
      </c>
      <c r="AJ3069" s="1">
        <v>1</v>
      </c>
      <c r="AK3069" s="1" t="str">
        <f t="shared" si="47"/>
        <v xml:space="preserve"> =&lt;90</v>
      </c>
      <c r="AL3069" s="1" t="str">
        <f>VLOOKUP(C:C,[1]基础信息!B$1:D$65536,3,0)</f>
        <v>Jug</v>
      </c>
      <c r="AM3069" s="1" t="str">
        <f>VLOOKUP(C:C,[1]基础信息!B$1:E$65536,4,0)</f>
        <v>Marella XL</v>
      </c>
      <c r="AN3069" s="1" t="str">
        <f>VLOOKUP(C:C,[1]基础信息!B$1:F$65536,5,0)</f>
        <v>Blue</v>
      </c>
    </row>
    <row r="3070" spans="1:40">
      <c r="A3070" s="1" t="s">
        <v>41</v>
      </c>
      <c r="B3070" s="1" t="s">
        <v>42</v>
      </c>
      <c r="C3070" s="1" t="s">
        <v>56</v>
      </c>
      <c r="D3070" s="1" t="s">
        <v>57</v>
      </c>
      <c r="E3070" s="1" t="s">
        <v>45</v>
      </c>
      <c r="F3070" s="1" t="s">
        <v>6949</v>
      </c>
      <c r="G3070" s="1" t="s">
        <v>7042</v>
      </c>
      <c r="H3070" s="1" t="s">
        <v>7043</v>
      </c>
      <c r="I3070" s="1" t="s">
        <v>49</v>
      </c>
      <c r="J3070" s="1" t="s">
        <v>48</v>
      </c>
      <c r="K3070" s="1">
        <v>72</v>
      </c>
      <c r="L3070" s="1">
        <v>0</v>
      </c>
      <c r="M3070" s="1">
        <v>0</v>
      </c>
      <c r="N3070" s="1">
        <v>72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 t="s">
        <v>49</v>
      </c>
      <c r="AA3070" s="1" t="s">
        <v>49</v>
      </c>
      <c r="AB3070" s="1" t="s">
        <v>49</v>
      </c>
      <c r="AC3070" s="1" t="s">
        <v>6952</v>
      </c>
      <c r="AD3070" s="1" t="s">
        <v>6953</v>
      </c>
      <c r="AE3070" s="1" t="s">
        <v>61</v>
      </c>
      <c r="AF3070" s="1" t="s">
        <v>6954</v>
      </c>
      <c r="AG3070" s="1" t="s">
        <v>53</v>
      </c>
      <c r="AH3070" s="1" t="s">
        <v>49</v>
      </c>
      <c r="AI3070" s="1" t="s">
        <v>54</v>
      </c>
      <c r="AJ3070" s="1">
        <v>1</v>
      </c>
      <c r="AK3070" s="1" t="str">
        <f t="shared" si="47"/>
        <v xml:space="preserve"> =&lt;90</v>
      </c>
      <c r="AL3070" s="1" t="str">
        <f>VLOOKUP(C:C,[1]基础信息!B$1:D$65536,3,0)</f>
        <v>Jug</v>
      </c>
      <c r="AM3070" s="1" t="str">
        <f>VLOOKUP(C:C,[1]基础信息!B$1:E$65536,4,0)</f>
        <v>Marella XL</v>
      </c>
      <c r="AN3070" s="1" t="str">
        <f>VLOOKUP(C:C,[1]基础信息!B$1:F$65536,5,0)</f>
        <v>Blue</v>
      </c>
    </row>
    <row r="3071" spans="1:40">
      <c r="A3071" s="1" t="s">
        <v>41</v>
      </c>
      <c r="B3071" s="1" t="s">
        <v>42</v>
      </c>
      <c r="C3071" s="1" t="s">
        <v>56</v>
      </c>
      <c r="D3071" s="1" t="s">
        <v>57</v>
      </c>
      <c r="E3071" s="1" t="s">
        <v>45</v>
      </c>
      <c r="F3071" s="1" t="s">
        <v>6949</v>
      </c>
      <c r="G3071" s="1" t="s">
        <v>7044</v>
      </c>
      <c r="H3071" s="1" t="s">
        <v>7045</v>
      </c>
      <c r="I3071" s="1" t="s">
        <v>49</v>
      </c>
      <c r="J3071" s="1" t="s">
        <v>48</v>
      </c>
      <c r="K3071" s="1">
        <v>72</v>
      </c>
      <c r="L3071" s="1">
        <v>0</v>
      </c>
      <c r="M3071" s="1">
        <v>0</v>
      </c>
      <c r="N3071" s="1">
        <v>72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 t="s">
        <v>49</v>
      </c>
      <c r="AA3071" s="1" t="s">
        <v>49</v>
      </c>
      <c r="AB3071" s="1" t="s">
        <v>49</v>
      </c>
      <c r="AC3071" s="1" t="s">
        <v>6952</v>
      </c>
      <c r="AD3071" s="1" t="s">
        <v>6953</v>
      </c>
      <c r="AE3071" s="1" t="s">
        <v>61</v>
      </c>
      <c r="AF3071" s="1" t="s">
        <v>6954</v>
      </c>
      <c r="AG3071" s="1" t="s">
        <v>53</v>
      </c>
      <c r="AH3071" s="1" t="s">
        <v>49</v>
      </c>
      <c r="AI3071" s="1" t="s">
        <v>54</v>
      </c>
      <c r="AJ3071" s="1">
        <v>1</v>
      </c>
      <c r="AK3071" s="1" t="str">
        <f t="shared" si="47"/>
        <v xml:space="preserve"> =&lt;90</v>
      </c>
      <c r="AL3071" s="1" t="str">
        <f>VLOOKUP(C:C,[1]基础信息!B$1:D$65536,3,0)</f>
        <v>Jug</v>
      </c>
      <c r="AM3071" s="1" t="str">
        <f>VLOOKUP(C:C,[1]基础信息!B$1:E$65536,4,0)</f>
        <v>Marella XL</v>
      </c>
      <c r="AN3071" s="1" t="str">
        <f>VLOOKUP(C:C,[1]基础信息!B$1:F$65536,5,0)</f>
        <v>Blue</v>
      </c>
    </row>
    <row r="3072" spans="1:40">
      <c r="A3072" s="1" t="s">
        <v>41</v>
      </c>
      <c r="B3072" s="1" t="s">
        <v>42</v>
      </c>
      <c r="C3072" s="1" t="s">
        <v>4273</v>
      </c>
      <c r="D3072" s="1" t="s">
        <v>4274</v>
      </c>
      <c r="E3072" s="1" t="s">
        <v>45</v>
      </c>
      <c r="F3072" s="1" t="s">
        <v>7046</v>
      </c>
      <c r="G3072" s="1" t="s">
        <v>7047</v>
      </c>
      <c r="H3072" s="1" t="s">
        <v>7048</v>
      </c>
      <c r="I3072" s="1" t="s">
        <v>49</v>
      </c>
      <c r="J3072" s="1" t="s">
        <v>48</v>
      </c>
      <c r="K3072" s="1">
        <v>665</v>
      </c>
      <c r="L3072" s="1">
        <v>0</v>
      </c>
      <c r="M3072" s="1">
        <v>0</v>
      </c>
      <c r="N3072" s="1">
        <v>665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 t="s">
        <v>49</v>
      </c>
      <c r="AA3072" s="1" t="s">
        <v>49</v>
      </c>
      <c r="AB3072" s="1" t="s">
        <v>49</v>
      </c>
      <c r="AC3072" s="1" t="s">
        <v>7049</v>
      </c>
      <c r="AD3072" s="1" t="s">
        <v>7050</v>
      </c>
      <c r="AE3072" s="1" t="s">
        <v>7049</v>
      </c>
      <c r="AF3072" s="1" t="s">
        <v>7051</v>
      </c>
      <c r="AG3072" s="1" t="s">
        <v>53</v>
      </c>
      <c r="AH3072" s="1" t="s">
        <v>49</v>
      </c>
      <c r="AI3072" s="1" t="s">
        <v>54</v>
      </c>
      <c r="AJ3072" s="1">
        <v>1</v>
      </c>
      <c r="AK3072" s="1" t="str">
        <f t="shared" si="47"/>
        <v xml:space="preserve"> =&lt;90</v>
      </c>
      <c r="AL3072" s="1" t="e">
        <f>VLOOKUP(C:C,[1]基础信息!B$1:D$65536,3,0)</f>
        <v>#N/A</v>
      </c>
      <c r="AM3072" s="1" t="e">
        <f>VLOOKUP(C:C,[1]基础信息!B$1:E$65536,4,0)</f>
        <v>#N/A</v>
      </c>
      <c r="AN3072" s="1" t="e">
        <f>VLOOKUP(C:C,[1]基础信息!B$1:F$65536,5,0)</f>
        <v>#N/A</v>
      </c>
    </row>
    <row r="3073" spans="1:40">
      <c r="A3073" s="1" t="s">
        <v>41</v>
      </c>
      <c r="B3073" s="1" t="s">
        <v>42</v>
      </c>
      <c r="C3073" s="1" t="s">
        <v>56</v>
      </c>
      <c r="D3073" s="1" t="s">
        <v>57</v>
      </c>
      <c r="E3073" s="1" t="s">
        <v>45</v>
      </c>
      <c r="F3073" s="1" t="s">
        <v>6949</v>
      </c>
      <c r="G3073" s="1" t="s">
        <v>7052</v>
      </c>
      <c r="H3073" s="1" t="s">
        <v>7053</v>
      </c>
      <c r="I3073" s="1" t="s">
        <v>49</v>
      </c>
      <c r="J3073" s="1" t="s">
        <v>48</v>
      </c>
      <c r="K3073" s="1">
        <v>72</v>
      </c>
      <c r="L3073" s="1">
        <v>0</v>
      </c>
      <c r="M3073" s="1">
        <v>0</v>
      </c>
      <c r="N3073" s="1">
        <v>72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 t="s">
        <v>49</v>
      </c>
      <c r="AA3073" s="1" t="s">
        <v>49</v>
      </c>
      <c r="AB3073" s="1" t="s">
        <v>49</v>
      </c>
      <c r="AC3073" s="1" t="s">
        <v>6952</v>
      </c>
      <c r="AD3073" s="1" t="s">
        <v>6953</v>
      </c>
      <c r="AE3073" s="1" t="s">
        <v>61</v>
      </c>
      <c r="AF3073" s="1" t="s">
        <v>6954</v>
      </c>
      <c r="AG3073" s="1" t="s">
        <v>53</v>
      </c>
      <c r="AH3073" s="1" t="s">
        <v>49</v>
      </c>
      <c r="AI3073" s="1" t="s">
        <v>54</v>
      </c>
      <c r="AJ3073" s="1">
        <v>1</v>
      </c>
      <c r="AK3073" s="1" t="str">
        <f t="shared" si="47"/>
        <v xml:space="preserve"> =&lt;90</v>
      </c>
      <c r="AL3073" s="1" t="str">
        <f>VLOOKUP(C:C,[1]基础信息!B$1:D$65536,3,0)</f>
        <v>Jug</v>
      </c>
      <c r="AM3073" s="1" t="str">
        <f>VLOOKUP(C:C,[1]基础信息!B$1:E$65536,4,0)</f>
        <v>Marella XL</v>
      </c>
      <c r="AN3073" s="1" t="str">
        <f>VLOOKUP(C:C,[1]基础信息!B$1:F$65536,5,0)</f>
        <v>Blue</v>
      </c>
    </row>
    <row r="3074" spans="1:40">
      <c r="A3074" s="1" t="s">
        <v>41</v>
      </c>
      <c r="B3074" s="1" t="s">
        <v>42</v>
      </c>
      <c r="C3074" s="1" t="s">
        <v>56</v>
      </c>
      <c r="D3074" s="1" t="s">
        <v>57</v>
      </c>
      <c r="E3074" s="1" t="s">
        <v>45</v>
      </c>
      <c r="F3074" s="1" t="s">
        <v>6949</v>
      </c>
      <c r="G3074" s="1" t="s">
        <v>7054</v>
      </c>
      <c r="H3074" s="1" t="s">
        <v>7055</v>
      </c>
      <c r="I3074" s="1" t="s">
        <v>49</v>
      </c>
      <c r="J3074" s="1" t="s">
        <v>48</v>
      </c>
      <c r="K3074" s="1">
        <v>72</v>
      </c>
      <c r="L3074" s="1">
        <v>0</v>
      </c>
      <c r="M3074" s="1">
        <v>0</v>
      </c>
      <c r="N3074" s="1">
        <v>72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 t="s">
        <v>49</v>
      </c>
      <c r="AA3074" s="1" t="s">
        <v>49</v>
      </c>
      <c r="AB3074" s="1" t="s">
        <v>49</v>
      </c>
      <c r="AC3074" s="1" t="s">
        <v>6952</v>
      </c>
      <c r="AD3074" s="1" t="s">
        <v>6953</v>
      </c>
      <c r="AE3074" s="1" t="s">
        <v>61</v>
      </c>
      <c r="AF3074" s="1" t="s">
        <v>6954</v>
      </c>
      <c r="AG3074" s="1" t="s">
        <v>53</v>
      </c>
      <c r="AH3074" s="1" t="s">
        <v>49</v>
      </c>
      <c r="AI3074" s="1" t="s">
        <v>54</v>
      </c>
      <c r="AJ3074" s="1">
        <v>1</v>
      </c>
      <c r="AK3074" s="1" t="str">
        <f t="shared" ref="AK3074:AK3137" si="48">IF(AJ3074&gt;$AP$2,$AQ$2,IF(AJ3074&gt;$AP$3,$AQ$3,IF(AJ3074&gt;$AP$4,$AQ$4,$AQ$5)))</f>
        <v xml:space="preserve"> =&lt;90</v>
      </c>
      <c r="AL3074" s="1" t="str">
        <f>VLOOKUP(C:C,[1]基础信息!B$1:D$65536,3,0)</f>
        <v>Jug</v>
      </c>
      <c r="AM3074" s="1" t="str">
        <f>VLOOKUP(C:C,[1]基础信息!B$1:E$65536,4,0)</f>
        <v>Marella XL</v>
      </c>
      <c r="AN3074" s="1" t="str">
        <f>VLOOKUP(C:C,[1]基础信息!B$1:F$65536,5,0)</f>
        <v>Blue</v>
      </c>
    </row>
    <row r="3075" spans="1:40">
      <c r="A3075" s="1" t="s">
        <v>41</v>
      </c>
      <c r="B3075" s="1" t="s">
        <v>42</v>
      </c>
      <c r="C3075" s="1" t="s">
        <v>56</v>
      </c>
      <c r="D3075" s="1" t="s">
        <v>57</v>
      </c>
      <c r="E3075" s="1" t="s">
        <v>45</v>
      </c>
      <c r="F3075" s="1" t="s">
        <v>6949</v>
      </c>
      <c r="G3075" s="1" t="s">
        <v>7056</v>
      </c>
      <c r="H3075" s="1" t="s">
        <v>7057</v>
      </c>
      <c r="I3075" s="1" t="s">
        <v>49</v>
      </c>
      <c r="J3075" s="1" t="s">
        <v>48</v>
      </c>
      <c r="K3075" s="1">
        <v>72</v>
      </c>
      <c r="L3075" s="1">
        <v>0</v>
      </c>
      <c r="M3075" s="1">
        <v>0</v>
      </c>
      <c r="N3075" s="1">
        <v>72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 t="s">
        <v>49</v>
      </c>
      <c r="AA3075" s="1" t="s">
        <v>49</v>
      </c>
      <c r="AB3075" s="1" t="s">
        <v>49</v>
      </c>
      <c r="AC3075" s="1" t="s">
        <v>6952</v>
      </c>
      <c r="AD3075" s="1" t="s">
        <v>6953</v>
      </c>
      <c r="AE3075" s="1" t="s">
        <v>61</v>
      </c>
      <c r="AF3075" s="1" t="s">
        <v>6954</v>
      </c>
      <c r="AG3075" s="1" t="s">
        <v>53</v>
      </c>
      <c r="AH3075" s="1" t="s">
        <v>49</v>
      </c>
      <c r="AI3075" s="1" t="s">
        <v>54</v>
      </c>
      <c r="AJ3075" s="1">
        <v>1</v>
      </c>
      <c r="AK3075" s="1" t="str">
        <f t="shared" si="48"/>
        <v xml:space="preserve"> =&lt;90</v>
      </c>
      <c r="AL3075" s="1" t="str">
        <f>VLOOKUP(C:C,[1]基础信息!B$1:D$65536,3,0)</f>
        <v>Jug</v>
      </c>
      <c r="AM3075" s="1" t="str">
        <f>VLOOKUP(C:C,[1]基础信息!B$1:E$65536,4,0)</f>
        <v>Marella XL</v>
      </c>
      <c r="AN3075" s="1" t="str">
        <f>VLOOKUP(C:C,[1]基础信息!B$1:F$65536,5,0)</f>
        <v>Blue</v>
      </c>
    </row>
    <row r="3076" spans="1:40">
      <c r="A3076" s="1" t="s">
        <v>41</v>
      </c>
      <c r="B3076" s="1" t="s">
        <v>42</v>
      </c>
      <c r="C3076" s="1" t="s">
        <v>1437</v>
      </c>
      <c r="D3076" s="1" t="s">
        <v>1438</v>
      </c>
      <c r="E3076" s="1" t="s">
        <v>45</v>
      </c>
      <c r="F3076" s="1" t="s">
        <v>7058</v>
      </c>
      <c r="G3076" s="1" t="s">
        <v>7059</v>
      </c>
      <c r="H3076" s="1" t="s">
        <v>45</v>
      </c>
      <c r="I3076" s="1" t="s">
        <v>45</v>
      </c>
      <c r="J3076" s="1" t="s">
        <v>48</v>
      </c>
      <c r="K3076" s="1">
        <v>6</v>
      </c>
      <c r="L3076" s="1">
        <v>0</v>
      </c>
      <c r="M3076" s="1">
        <v>0</v>
      </c>
      <c r="N3076" s="1">
        <v>6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 t="s">
        <v>49</v>
      </c>
      <c r="AA3076" s="1" t="s">
        <v>49</v>
      </c>
      <c r="AB3076" s="1" t="s">
        <v>49</v>
      </c>
      <c r="AC3076" s="1" t="s">
        <v>3241</v>
      </c>
      <c r="AD3076" s="1" t="s">
        <v>3270</v>
      </c>
      <c r="AE3076" s="1" t="s">
        <v>3241</v>
      </c>
      <c r="AF3076" s="1" t="s">
        <v>4400</v>
      </c>
      <c r="AG3076" s="1" t="s">
        <v>53</v>
      </c>
      <c r="AH3076" s="1" t="s">
        <v>49</v>
      </c>
      <c r="AI3076" s="1" t="s">
        <v>54</v>
      </c>
      <c r="AJ3076" s="1">
        <v>1</v>
      </c>
      <c r="AK3076" s="1" t="str">
        <f t="shared" si="48"/>
        <v xml:space="preserve"> =&lt;90</v>
      </c>
      <c r="AL3076" s="1" t="str">
        <f>VLOOKUP(C:C,[1]基础信息!B$1:D$65536,3,0)</f>
        <v>On tap</v>
      </c>
      <c r="AM3076" s="1" t="str">
        <f>VLOOKUP(C:C,[1]基础信息!B$1:E$65536,4,0)</f>
        <v>On tap</v>
      </c>
      <c r="AN3076" s="1" t="str">
        <f>VLOOKUP(C:C,[1]基础信息!B$1:F$65536,5,0)</f>
        <v>On tap</v>
      </c>
    </row>
    <row r="3077" spans="1:40">
      <c r="A3077" s="1" t="s">
        <v>41</v>
      </c>
      <c r="B3077" s="1" t="s">
        <v>42</v>
      </c>
      <c r="C3077" s="1" t="s">
        <v>56</v>
      </c>
      <c r="D3077" s="1" t="s">
        <v>57</v>
      </c>
      <c r="E3077" s="1" t="s">
        <v>45</v>
      </c>
      <c r="F3077" s="1" t="s">
        <v>6949</v>
      </c>
      <c r="G3077" s="1" t="s">
        <v>7060</v>
      </c>
      <c r="H3077" s="1" t="s">
        <v>7061</v>
      </c>
      <c r="I3077" s="1" t="s">
        <v>49</v>
      </c>
      <c r="J3077" s="1" t="s">
        <v>48</v>
      </c>
      <c r="K3077" s="1">
        <v>72</v>
      </c>
      <c r="L3077" s="1">
        <v>0</v>
      </c>
      <c r="M3077" s="1">
        <v>0</v>
      </c>
      <c r="N3077" s="1">
        <v>72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 t="s">
        <v>49</v>
      </c>
      <c r="AA3077" s="1" t="s">
        <v>49</v>
      </c>
      <c r="AB3077" s="1" t="s">
        <v>49</v>
      </c>
      <c r="AC3077" s="1" t="s">
        <v>6952</v>
      </c>
      <c r="AD3077" s="1" t="s">
        <v>6953</v>
      </c>
      <c r="AE3077" s="1" t="s">
        <v>61</v>
      </c>
      <c r="AF3077" s="1" t="s">
        <v>6954</v>
      </c>
      <c r="AG3077" s="1" t="s">
        <v>53</v>
      </c>
      <c r="AH3077" s="1" t="s">
        <v>49</v>
      </c>
      <c r="AI3077" s="1" t="s">
        <v>54</v>
      </c>
      <c r="AJ3077" s="1">
        <v>1</v>
      </c>
      <c r="AK3077" s="1" t="str">
        <f t="shared" si="48"/>
        <v xml:space="preserve"> =&lt;90</v>
      </c>
      <c r="AL3077" s="1" t="str">
        <f>VLOOKUP(C:C,[1]基础信息!B$1:D$65536,3,0)</f>
        <v>Jug</v>
      </c>
      <c r="AM3077" s="1" t="str">
        <f>VLOOKUP(C:C,[1]基础信息!B$1:E$65536,4,0)</f>
        <v>Marella XL</v>
      </c>
      <c r="AN3077" s="1" t="str">
        <f>VLOOKUP(C:C,[1]基础信息!B$1:F$65536,5,0)</f>
        <v>Blue</v>
      </c>
    </row>
    <row r="3078" spans="1:40">
      <c r="A3078" s="1" t="s">
        <v>41</v>
      </c>
      <c r="B3078" s="1" t="s">
        <v>42</v>
      </c>
      <c r="C3078" s="1" t="s">
        <v>56</v>
      </c>
      <c r="D3078" s="1" t="s">
        <v>57</v>
      </c>
      <c r="E3078" s="1" t="s">
        <v>45</v>
      </c>
      <c r="F3078" s="1" t="s">
        <v>6949</v>
      </c>
      <c r="G3078" s="1" t="s">
        <v>7062</v>
      </c>
      <c r="H3078" s="1" t="s">
        <v>7063</v>
      </c>
      <c r="I3078" s="1" t="s">
        <v>49</v>
      </c>
      <c r="J3078" s="1" t="s">
        <v>48</v>
      </c>
      <c r="K3078" s="1">
        <v>72</v>
      </c>
      <c r="L3078" s="1">
        <v>0</v>
      </c>
      <c r="M3078" s="1">
        <v>0</v>
      </c>
      <c r="N3078" s="1">
        <v>72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 t="s">
        <v>49</v>
      </c>
      <c r="AA3078" s="1" t="s">
        <v>49</v>
      </c>
      <c r="AB3078" s="1" t="s">
        <v>49</v>
      </c>
      <c r="AC3078" s="1" t="s">
        <v>6952</v>
      </c>
      <c r="AD3078" s="1" t="s">
        <v>6953</v>
      </c>
      <c r="AE3078" s="1" t="s">
        <v>61</v>
      </c>
      <c r="AF3078" s="1" t="s">
        <v>6954</v>
      </c>
      <c r="AG3078" s="1" t="s">
        <v>53</v>
      </c>
      <c r="AH3078" s="1" t="s">
        <v>49</v>
      </c>
      <c r="AI3078" s="1" t="s">
        <v>54</v>
      </c>
      <c r="AJ3078" s="1">
        <v>1</v>
      </c>
      <c r="AK3078" s="1" t="str">
        <f t="shared" si="48"/>
        <v xml:space="preserve"> =&lt;90</v>
      </c>
      <c r="AL3078" s="1" t="str">
        <f>VLOOKUP(C:C,[1]基础信息!B$1:D$65536,3,0)</f>
        <v>Jug</v>
      </c>
      <c r="AM3078" s="1" t="str">
        <f>VLOOKUP(C:C,[1]基础信息!B$1:E$65536,4,0)</f>
        <v>Marella XL</v>
      </c>
      <c r="AN3078" s="1" t="str">
        <f>VLOOKUP(C:C,[1]基础信息!B$1:F$65536,5,0)</f>
        <v>Blue</v>
      </c>
    </row>
    <row r="3079" spans="1:40">
      <c r="A3079" s="1" t="s">
        <v>41</v>
      </c>
      <c r="B3079" s="1" t="s">
        <v>42</v>
      </c>
      <c r="C3079" s="1" t="s">
        <v>56</v>
      </c>
      <c r="D3079" s="1" t="s">
        <v>57</v>
      </c>
      <c r="E3079" s="1" t="s">
        <v>45</v>
      </c>
      <c r="F3079" s="1" t="s">
        <v>6949</v>
      </c>
      <c r="G3079" s="1" t="s">
        <v>7064</v>
      </c>
      <c r="H3079" s="1" t="s">
        <v>7065</v>
      </c>
      <c r="I3079" s="1" t="s">
        <v>49</v>
      </c>
      <c r="J3079" s="1" t="s">
        <v>48</v>
      </c>
      <c r="K3079" s="1">
        <v>72</v>
      </c>
      <c r="L3079" s="1">
        <v>0</v>
      </c>
      <c r="M3079" s="1">
        <v>0</v>
      </c>
      <c r="N3079" s="1">
        <v>72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 t="s">
        <v>49</v>
      </c>
      <c r="AA3079" s="1" t="s">
        <v>49</v>
      </c>
      <c r="AB3079" s="1" t="s">
        <v>49</v>
      </c>
      <c r="AC3079" s="1" t="s">
        <v>6952</v>
      </c>
      <c r="AD3079" s="1" t="s">
        <v>6953</v>
      </c>
      <c r="AE3079" s="1" t="s">
        <v>61</v>
      </c>
      <c r="AF3079" s="1" t="s">
        <v>6954</v>
      </c>
      <c r="AG3079" s="1" t="s">
        <v>53</v>
      </c>
      <c r="AH3079" s="1" t="s">
        <v>49</v>
      </c>
      <c r="AI3079" s="1" t="s">
        <v>54</v>
      </c>
      <c r="AJ3079" s="1">
        <v>1</v>
      </c>
      <c r="AK3079" s="1" t="str">
        <f t="shared" si="48"/>
        <v xml:space="preserve"> =&lt;90</v>
      </c>
      <c r="AL3079" s="1" t="str">
        <f>VLOOKUP(C:C,[1]基础信息!B$1:D$65536,3,0)</f>
        <v>Jug</v>
      </c>
      <c r="AM3079" s="1" t="str">
        <f>VLOOKUP(C:C,[1]基础信息!B$1:E$65536,4,0)</f>
        <v>Marella XL</v>
      </c>
      <c r="AN3079" s="1" t="str">
        <f>VLOOKUP(C:C,[1]基础信息!B$1:F$65536,5,0)</f>
        <v>Blue</v>
      </c>
    </row>
    <row r="3080" spans="1:40">
      <c r="A3080" s="1" t="s">
        <v>41</v>
      </c>
      <c r="B3080" s="1" t="s">
        <v>42</v>
      </c>
      <c r="C3080" s="1" t="s">
        <v>5154</v>
      </c>
      <c r="D3080" s="1" t="s">
        <v>5155</v>
      </c>
      <c r="E3080" s="1" t="s">
        <v>45</v>
      </c>
      <c r="F3080" s="1" t="s">
        <v>7036</v>
      </c>
      <c r="G3080" s="1" t="s">
        <v>7066</v>
      </c>
      <c r="H3080" s="1" t="s">
        <v>7067</v>
      </c>
      <c r="I3080" s="1" t="s">
        <v>49</v>
      </c>
      <c r="J3080" s="1" t="s">
        <v>48</v>
      </c>
      <c r="K3080" s="1">
        <v>270</v>
      </c>
      <c r="L3080" s="1">
        <v>0</v>
      </c>
      <c r="M3080" s="1">
        <v>0</v>
      </c>
      <c r="N3080" s="1">
        <v>270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 t="s">
        <v>49</v>
      </c>
      <c r="AA3080" s="1" t="s">
        <v>49</v>
      </c>
      <c r="AB3080" s="1" t="s">
        <v>49</v>
      </c>
      <c r="AC3080" s="1" t="s">
        <v>6911</v>
      </c>
      <c r="AD3080" s="1" t="s">
        <v>6938</v>
      </c>
      <c r="AE3080" s="1" t="s">
        <v>6911</v>
      </c>
      <c r="AF3080" s="1" t="s">
        <v>7039</v>
      </c>
      <c r="AG3080" s="1" t="s">
        <v>53</v>
      </c>
      <c r="AH3080" s="1" t="s">
        <v>49</v>
      </c>
      <c r="AI3080" s="1" t="s">
        <v>54</v>
      </c>
      <c r="AJ3080" s="1">
        <v>1</v>
      </c>
      <c r="AK3080" s="1" t="str">
        <f t="shared" si="48"/>
        <v xml:space="preserve"> =&lt;90</v>
      </c>
      <c r="AL3080" s="1" t="e">
        <f>VLOOKUP(C:C,[1]基础信息!B$1:D$65536,3,0)</f>
        <v>#N/A</v>
      </c>
      <c r="AM3080" s="1" t="e">
        <f>VLOOKUP(C:C,[1]基础信息!B$1:E$65536,4,0)</f>
        <v>#N/A</v>
      </c>
      <c r="AN3080" s="1" t="e">
        <f>VLOOKUP(C:C,[1]基础信息!B$1:F$65536,5,0)</f>
        <v>#N/A</v>
      </c>
    </row>
    <row r="3081" spans="1:40">
      <c r="A3081" s="1" t="s">
        <v>41</v>
      </c>
      <c r="B3081" s="1" t="s">
        <v>42</v>
      </c>
      <c r="C3081" s="1" t="s">
        <v>4273</v>
      </c>
      <c r="D3081" s="1" t="s">
        <v>4274</v>
      </c>
      <c r="E3081" s="1" t="s">
        <v>45</v>
      </c>
      <c r="F3081" s="1" t="s">
        <v>7068</v>
      </c>
      <c r="G3081" s="1" t="s">
        <v>7069</v>
      </c>
      <c r="H3081" s="1" t="s">
        <v>7070</v>
      </c>
      <c r="I3081" s="1" t="s">
        <v>49</v>
      </c>
      <c r="J3081" s="1" t="s">
        <v>48</v>
      </c>
      <c r="K3081" s="1">
        <v>840</v>
      </c>
      <c r="L3081" s="1">
        <v>0</v>
      </c>
      <c r="M3081" s="1">
        <v>0</v>
      </c>
      <c r="N3081" s="1">
        <v>840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 t="s">
        <v>49</v>
      </c>
      <c r="AA3081" s="1" t="s">
        <v>49</v>
      </c>
      <c r="AB3081" s="1" t="s">
        <v>49</v>
      </c>
      <c r="AC3081" s="1" t="s">
        <v>7049</v>
      </c>
      <c r="AD3081" s="1" t="s">
        <v>7050</v>
      </c>
      <c r="AE3081" s="1" t="s">
        <v>7049</v>
      </c>
      <c r="AF3081" s="1" t="s">
        <v>5222</v>
      </c>
      <c r="AG3081" s="1" t="s">
        <v>53</v>
      </c>
      <c r="AH3081" s="1" t="s">
        <v>49</v>
      </c>
      <c r="AI3081" s="1" t="s">
        <v>54</v>
      </c>
      <c r="AJ3081" s="1">
        <v>1</v>
      </c>
      <c r="AK3081" s="1" t="str">
        <f t="shared" si="48"/>
        <v xml:space="preserve"> =&lt;90</v>
      </c>
      <c r="AL3081" s="1" t="e">
        <f>VLOOKUP(C:C,[1]基础信息!B$1:D$65536,3,0)</f>
        <v>#N/A</v>
      </c>
      <c r="AM3081" s="1" t="e">
        <f>VLOOKUP(C:C,[1]基础信息!B$1:E$65536,4,0)</f>
        <v>#N/A</v>
      </c>
      <c r="AN3081" s="1" t="e">
        <f>VLOOKUP(C:C,[1]基础信息!B$1:F$65536,5,0)</f>
        <v>#N/A</v>
      </c>
    </row>
    <row r="3082" spans="1:40">
      <c r="A3082" s="1" t="s">
        <v>41</v>
      </c>
      <c r="B3082" s="1" t="s">
        <v>42</v>
      </c>
      <c r="C3082" s="1" t="s">
        <v>5154</v>
      </c>
      <c r="D3082" s="1" t="s">
        <v>5155</v>
      </c>
      <c r="E3082" s="1" t="s">
        <v>45</v>
      </c>
      <c r="F3082" s="1" t="s">
        <v>7036</v>
      </c>
      <c r="G3082" s="1" t="s">
        <v>7071</v>
      </c>
      <c r="H3082" s="1" t="s">
        <v>7072</v>
      </c>
      <c r="I3082" s="1" t="s">
        <v>49</v>
      </c>
      <c r="J3082" s="1" t="s">
        <v>48</v>
      </c>
      <c r="K3082" s="1">
        <v>270</v>
      </c>
      <c r="L3082" s="1">
        <v>0</v>
      </c>
      <c r="M3082" s="1">
        <v>0</v>
      </c>
      <c r="N3082" s="1">
        <v>270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 t="s">
        <v>49</v>
      </c>
      <c r="AA3082" s="1" t="s">
        <v>49</v>
      </c>
      <c r="AB3082" s="1" t="s">
        <v>49</v>
      </c>
      <c r="AC3082" s="1" t="s">
        <v>6911</v>
      </c>
      <c r="AD3082" s="1" t="s">
        <v>6938</v>
      </c>
      <c r="AE3082" s="1" t="s">
        <v>6911</v>
      </c>
      <c r="AF3082" s="1" t="s">
        <v>7039</v>
      </c>
      <c r="AG3082" s="1" t="s">
        <v>53</v>
      </c>
      <c r="AH3082" s="1" t="s">
        <v>49</v>
      </c>
      <c r="AI3082" s="1" t="s">
        <v>54</v>
      </c>
      <c r="AJ3082" s="1">
        <v>1</v>
      </c>
      <c r="AK3082" s="1" t="str">
        <f t="shared" si="48"/>
        <v xml:space="preserve"> =&lt;90</v>
      </c>
      <c r="AL3082" s="1" t="e">
        <f>VLOOKUP(C:C,[1]基础信息!B$1:D$65536,3,0)</f>
        <v>#N/A</v>
      </c>
      <c r="AM3082" s="1" t="e">
        <f>VLOOKUP(C:C,[1]基础信息!B$1:E$65536,4,0)</f>
        <v>#N/A</v>
      </c>
      <c r="AN3082" s="1" t="e">
        <f>VLOOKUP(C:C,[1]基础信息!B$1:F$65536,5,0)</f>
        <v>#N/A</v>
      </c>
    </row>
    <row r="3083" spans="1:40">
      <c r="A3083" s="1" t="s">
        <v>41</v>
      </c>
      <c r="B3083" s="1" t="s">
        <v>42</v>
      </c>
      <c r="C3083" s="1" t="s">
        <v>1437</v>
      </c>
      <c r="D3083" s="1" t="s">
        <v>1438</v>
      </c>
      <c r="E3083" s="1" t="s">
        <v>45</v>
      </c>
      <c r="F3083" s="1" t="s">
        <v>7022</v>
      </c>
      <c r="G3083" s="1" t="s">
        <v>7073</v>
      </c>
      <c r="H3083" s="1" t="s">
        <v>45</v>
      </c>
      <c r="I3083" s="1" t="s">
        <v>45</v>
      </c>
      <c r="J3083" s="1" t="s">
        <v>48</v>
      </c>
      <c r="K3083" s="1">
        <v>540</v>
      </c>
      <c r="L3083" s="1">
        <v>0</v>
      </c>
      <c r="M3083" s="1">
        <v>0</v>
      </c>
      <c r="N3083" s="1">
        <v>540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 t="s">
        <v>49</v>
      </c>
      <c r="AA3083" s="1" t="s">
        <v>49</v>
      </c>
      <c r="AB3083" s="1" t="s">
        <v>49</v>
      </c>
      <c r="AC3083" s="1" t="s">
        <v>7024</v>
      </c>
      <c r="AD3083" s="1" t="s">
        <v>7025</v>
      </c>
      <c r="AE3083" s="1" t="s">
        <v>7024</v>
      </c>
      <c r="AF3083" s="1" t="s">
        <v>49</v>
      </c>
      <c r="AG3083" s="1" t="s">
        <v>53</v>
      </c>
      <c r="AH3083" s="1" t="s">
        <v>49</v>
      </c>
      <c r="AI3083" s="1" t="s">
        <v>54</v>
      </c>
      <c r="AJ3083" s="1">
        <v>1</v>
      </c>
      <c r="AK3083" s="1" t="str">
        <f t="shared" si="48"/>
        <v xml:space="preserve"> =&lt;90</v>
      </c>
      <c r="AL3083" s="1" t="str">
        <f>VLOOKUP(C:C,[1]基础信息!B$1:D$65536,3,0)</f>
        <v>On tap</v>
      </c>
      <c r="AM3083" s="1" t="str">
        <f>VLOOKUP(C:C,[1]基础信息!B$1:E$65536,4,0)</f>
        <v>On tap</v>
      </c>
      <c r="AN3083" s="1" t="str">
        <f>VLOOKUP(C:C,[1]基础信息!B$1:F$65536,5,0)</f>
        <v>On tap</v>
      </c>
    </row>
    <row r="3084" spans="1:40">
      <c r="A3084" s="1" t="s">
        <v>41</v>
      </c>
      <c r="B3084" s="1" t="s">
        <v>42</v>
      </c>
      <c r="C3084" s="1" t="s">
        <v>5154</v>
      </c>
      <c r="D3084" s="1" t="s">
        <v>5155</v>
      </c>
      <c r="E3084" s="1" t="s">
        <v>45</v>
      </c>
      <c r="F3084" s="1" t="s">
        <v>7036</v>
      </c>
      <c r="G3084" s="1" t="s">
        <v>7074</v>
      </c>
      <c r="H3084" s="1" t="s">
        <v>7075</v>
      </c>
      <c r="I3084" s="1" t="s">
        <v>49</v>
      </c>
      <c r="J3084" s="1" t="s">
        <v>48</v>
      </c>
      <c r="K3084" s="1">
        <v>270</v>
      </c>
      <c r="L3084" s="1">
        <v>0</v>
      </c>
      <c r="M3084" s="1">
        <v>0</v>
      </c>
      <c r="N3084" s="1">
        <v>270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 t="s">
        <v>49</v>
      </c>
      <c r="AA3084" s="1" t="s">
        <v>49</v>
      </c>
      <c r="AB3084" s="1" t="s">
        <v>49</v>
      </c>
      <c r="AC3084" s="1" t="s">
        <v>6911</v>
      </c>
      <c r="AD3084" s="1" t="s">
        <v>6938</v>
      </c>
      <c r="AE3084" s="1" t="s">
        <v>6911</v>
      </c>
      <c r="AF3084" s="1" t="s">
        <v>7039</v>
      </c>
      <c r="AG3084" s="1" t="s">
        <v>53</v>
      </c>
      <c r="AH3084" s="1" t="s">
        <v>49</v>
      </c>
      <c r="AI3084" s="1" t="s">
        <v>54</v>
      </c>
      <c r="AJ3084" s="1">
        <v>1</v>
      </c>
      <c r="AK3084" s="1" t="str">
        <f t="shared" si="48"/>
        <v xml:space="preserve"> =&lt;90</v>
      </c>
      <c r="AL3084" s="1" t="e">
        <f>VLOOKUP(C:C,[1]基础信息!B$1:D$65536,3,0)</f>
        <v>#N/A</v>
      </c>
      <c r="AM3084" s="1" t="e">
        <f>VLOOKUP(C:C,[1]基础信息!B$1:E$65536,4,0)</f>
        <v>#N/A</v>
      </c>
      <c r="AN3084" s="1" t="e">
        <f>VLOOKUP(C:C,[1]基础信息!B$1:F$65536,5,0)</f>
        <v>#N/A</v>
      </c>
    </row>
    <row r="3085" spans="1:40">
      <c r="A3085" s="1" t="s">
        <v>41</v>
      </c>
      <c r="B3085" s="1" t="s">
        <v>42</v>
      </c>
      <c r="C3085" s="1" t="s">
        <v>5154</v>
      </c>
      <c r="D3085" s="1" t="s">
        <v>5155</v>
      </c>
      <c r="E3085" s="1" t="s">
        <v>45</v>
      </c>
      <c r="F3085" s="1" t="s">
        <v>7036</v>
      </c>
      <c r="G3085" s="1" t="s">
        <v>7076</v>
      </c>
      <c r="H3085" s="1" t="s">
        <v>7077</v>
      </c>
      <c r="I3085" s="1" t="s">
        <v>49</v>
      </c>
      <c r="J3085" s="1" t="s">
        <v>48</v>
      </c>
      <c r="K3085" s="1">
        <v>270</v>
      </c>
      <c r="L3085" s="1">
        <v>0</v>
      </c>
      <c r="M3085" s="1">
        <v>0</v>
      </c>
      <c r="N3085" s="1">
        <v>270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 t="s">
        <v>49</v>
      </c>
      <c r="AA3085" s="1" t="s">
        <v>49</v>
      </c>
      <c r="AB3085" s="1" t="s">
        <v>49</v>
      </c>
      <c r="AC3085" s="1" t="s">
        <v>6911</v>
      </c>
      <c r="AD3085" s="1" t="s">
        <v>6938</v>
      </c>
      <c r="AE3085" s="1" t="s">
        <v>6911</v>
      </c>
      <c r="AF3085" s="1" t="s">
        <v>7039</v>
      </c>
      <c r="AG3085" s="1" t="s">
        <v>53</v>
      </c>
      <c r="AH3085" s="1" t="s">
        <v>49</v>
      </c>
      <c r="AI3085" s="1" t="s">
        <v>54</v>
      </c>
      <c r="AJ3085" s="1">
        <v>1</v>
      </c>
      <c r="AK3085" s="1" t="str">
        <f t="shared" si="48"/>
        <v xml:space="preserve"> =&lt;90</v>
      </c>
      <c r="AL3085" s="1" t="e">
        <f>VLOOKUP(C:C,[1]基础信息!B$1:D$65536,3,0)</f>
        <v>#N/A</v>
      </c>
      <c r="AM3085" s="1" t="e">
        <f>VLOOKUP(C:C,[1]基础信息!B$1:E$65536,4,0)</f>
        <v>#N/A</v>
      </c>
      <c r="AN3085" s="1" t="e">
        <f>VLOOKUP(C:C,[1]基础信息!B$1:F$65536,5,0)</f>
        <v>#N/A</v>
      </c>
    </row>
    <row r="3086" spans="1:40">
      <c r="A3086" s="1" t="s">
        <v>41</v>
      </c>
      <c r="B3086" s="1" t="s">
        <v>42</v>
      </c>
      <c r="C3086" s="1" t="s">
        <v>5154</v>
      </c>
      <c r="D3086" s="1" t="s">
        <v>5155</v>
      </c>
      <c r="E3086" s="1" t="s">
        <v>45</v>
      </c>
      <c r="F3086" s="1" t="s">
        <v>7036</v>
      </c>
      <c r="G3086" s="1" t="s">
        <v>7078</v>
      </c>
      <c r="H3086" s="1" t="s">
        <v>7079</v>
      </c>
      <c r="I3086" s="1" t="s">
        <v>49</v>
      </c>
      <c r="J3086" s="1" t="s">
        <v>48</v>
      </c>
      <c r="K3086" s="1">
        <v>270</v>
      </c>
      <c r="L3086" s="1">
        <v>0</v>
      </c>
      <c r="M3086" s="1">
        <v>0</v>
      </c>
      <c r="N3086" s="1">
        <v>270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 t="s">
        <v>49</v>
      </c>
      <c r="AA3086" s="1" t="s">
        <v>49</v>
      </c>
      <c r="AB3086" s="1" t="s">
        <v>49</v>
      </c>
      <c r="AC3086" s="1" t="s">
        <v>6911</v>
      </c>
      <c r="AD3086" s="1" t="s">
        <v>6938</v>
      </c>
      <c r="AE3086" s="1" t="s">
        <v>6911</v>
      </c>
      <c r="AF3086" s="1" t="s">
        <v>7039</v>
      </c>
      <c r="AG3086" s="1" t="s">
        <v>53</v>
      </c>
      <c r="AH3086" s="1" t="s">
        <v>49</v>
      </c>
      <c r="AI3086" s="1" t="s">
        <v>54</v>
      </c>
      <c r="AJ3086" s="1">
        <v>1</v>
      </c>
      <c r="AK3086" s="1" t="str">
        <f t="shared" si="48"/>
        <v xml:space="preserve"> =&lt;90</v>
      </c>
      <c r="AL3086" s="1" t="e">
        <f>VLOOKUP(C:C,[1]基础信息!B$1:D$65536,3,0)</f>
        <v>#N/A</v>
      </c>
      <c r="AM3086" s="1" t="e">
        <f>VLOOKUP(C:C,[1]基础信息!B$1:E$65536,4,0)</f>
        <v>#N/A</v>
      </c>
      <c r="AN3086" s="1" t="e">
        <f>VLOOKUP(C:C,[1]基础信息!B$1:F$65536,5,0)</f>
        <v>#N/A</v>
      </c>
    </row>
    <row r="3087" spans="1:40">
      <c r="A3087" s="1" t="s">
        <v>41</v>
      </c>
      <c r="B3087" s="1" t="s">
        <v>42</v>
      </c>
      <c r="C3087" s="1" t="s">
        <v>5154</v>
      </c>
      <c r="D3087" s="1" t="s">
        <v>5155</v>
      </c>
      <c r="E3087" s="1" t="s">
        <v>45</v>
      </c>
      <c r="F3087" s="1" t="s">
        <v>7036</v>
      </c>
      <c r="G3087" s="1" t="s">
        <v>7080</v>
      </c>
      <c r="H3087" s="1" t="s">
        <v>7081</v>
      </c>
      <c r="I3087" s="1" t="s">
        <v>49</v>
      </c>
      <c r="J3087" s="1" t="s">
        <v>48</v>
      </c>
      <c r="K3087" s="1">
        <v>270</v>
      </c>
      <c r="L3087" s="1">
        <v>0</v>
      </c>
      <c r="M3087" s="1">
        <v>0</v>
      </c>
      <c r="N3087" s="1">
        <v>270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 t="s">
        <v>49</v>
      </c>
      <c r="AA3087" s="1" t="s">
        <v>49</v>
      </c>
      <c r="AB3087" s="1" t="s">
        <v>49</v>
      </c>
      <c r="AC3087" s="1" t="s">
        <v>6911</v>
      </c>
      <c r="AD3087" s="1" t="s">
        <v>6938</v>
      </c>
      <c r="AE3087" s="1" t="s">
        <v>6911</v>
      </c>
      <c r="AF3087" s="1" t="s">
        <v>7039</v>
      </c>
      <c r="AG3087" s="1" t="s">
        <v>53</v>
      </c>
      <c r="AH3087" s="1" t="s">
        <v>49</v>
      </c>
      <c r="AI3087" s="1" t="s">
        <v>54</v>
      </c>
      <c r="AJ3087" s="1">
        <v>1</v>
      </c>
      <c r="AK3087" s="1" t="str">
        <f t="shared" si="48"/>
        <v xml:space="preserve"> =&lt;90</v>
      </c>
      <c r="AL3087" s="1" t="e">
        <f>VLOOKUP(C:C,[1]基础信息!B$1:D$65536,3,0)</f>
        <v>#N/A</v>
      </c>
      <c r="AM3087" s="1" t="e">
        <f>VLOOKUP(C:C,[1]基础信息!B$1:E$65536,4,0)</f>
        <v>#N/A</v>
      </c>
      <c r="AN3087" s="1" t="e">
        <f>VLOOKUP(C:C,[1]基础信息!B$1:F$65536,5,0)</f>
        <v>#N/A</v>
      </c>
    </row>
    <row r="3088" spans="1:40">
      <c r="A3088" s="1" t="s">
        <v>41</v>
      </c>
      <c r="B3088" s="1" t="s">
        <v>42</v>
      </c>
      <c r="C3088" s="1" t="s">
        <v>4352</v>
      </c>
      <c r="D3088" s="1" t="s">
        <v>4353</v>
      </c>
      <c r="E3088" s="1" t="s">
        <v>45</v>
      </c>
      <c r="F3088" s="1" t="s">
        <v>6935</v>
      </c>
      <c r="G3088" s="1" t="s">
        <v>7082</v>
      </c>
      <c r="H3088" s="1" t="s">
        <v>7083</v>
      </c>
      <c r="I3088" s="1" t="s">
        <v>49</v>
      </c>
      <c r="J3088" s="1" t="s">
        <v>48</v>
      </c>
      <c r="K3088" s="1">
        <v>336</v>
      </c>
      <c r="L3088" s="1">
        <v>0</v>
      </c>
      <c r="M3088" s="1">
        <v>0</v>
      </c>
      <c r="N3088" s="1">
        <v>336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 t="s">
        <v>49</v>
      </c>
      <c r="AA3088" s="1" t="s">
        <v>49</v>
      </c>
      <c r="AB3088" s="1" t="s">
        <v>49</v>
      </c>
      <c r="AC3088" s="1" t="s">
        <v>6911</v>
      </c>
      <c r="AD3088" s="1" t="s">
        <v>6938</v>
      </c>
      <c r="AE3088" s="1" t="s">
        <v>6911</v>
      </c>
      <c r="AF3088" s="1" t="s">
        <v>5799</v>
      </c>
      <c r="AG3088" s="1" t="s">
        <v>53</v>
      </c>
      <c r="AH3088" s="1" t="s">
        <v>49</v>
      </c>
      <c r="AI3088" s="1" t="s">
        <v>54</v>
      </c>
      <c r="AJ3088" s="1">
        <v>1</v>
      </c>
      <c r="AK3088" s="1" t="str">
        <f t="shared" si="48"/>
        <v xml:space="preserve"> =&lt;90</v>
      </c>
      <c r="AL3088" s="1" t="e">
        <f>VLOOKUP(C:C,[1]基础信息!B$1:D$65536,3,0)</f>
        <v>#N/A</v>
      </c>
      <c r="AM3088" s="1" t="e">
        <f>VLOOKUP(C:C,[1]基础信息!B$1:E$65536,4,0)</f>
        <v>#N/A</v>
      </c>
      <c r="AN3088" s="1" t="e">
        <f>VLOOKUP(C:C,[1]基础信息!B$1:F$65536,5,0)</f>
        <v>#N/A</v>
      </c>
    </row>
    <row r="3089" spans="1:40">
      <c r="A3089" s="1" t="s">
        <v>41</v>
      </c>
      <c r="B3089" s="1" t="s">
        <v>42</v>
      </c>
      <c r="C3089" s="1" t="s">
        <v>4352</v>
      </c>
      <c r="D3089" s="1" t="s">
        <v>4353</v>
      </c>
      <c r="E3089" s="1" t="s">
        <v>45</v>
      </c>
      <c r="F3089" s="1" t="s">
        <v>6935</v>
      </c>
      <c r="G3089" s="1" t="s">
        <v>7084</v>
      </c>
      <c r="H3089" s="1" t="s">
        <v>7085</v>
      </c>
      <c r="I3089" s="1" t="s">
        <v>49</v>
      </c>
      <c r="J3089" s="1" t="s">
        <v>48</v>
      </c>
      <c r="K3089" s="1">
        <v>336</v>
      </c>
      <c r="L3089" s="1">
        <v>0</v>
      </c>
      <c r="M3089" s="1">
        <v>0</v>
      </c>
      <c r="N3089" s="1">
        <v>336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 t="s">
        <v>49</v>
      </c>
      <c r="AA3089" s="1" t="s">
        <v>49</v>
      </c>
      <c r="AB3089" s="1" t="s">
        <v>49</v>
      </c>
      <c r="AC3089" s="1" t="s">
        <v>6911</v>
      </c>
      <c r="AD3089" s="1" t="s">
        <v>6938</v>
      </c>
      <c r="AE3089" s="1" t="s">
        <v>6911</v>
      </c>
      <c r="AF3089" s="1" t="s">
        <v>5799</v>
      </c>
      <c r="AG3089" s="1" t="s">
        <v>53</v>
      </c>
      <c r="AH3089" s="1" t="s">
        <v>49</v>
      </c>
      <c r="AI3089" s="1" t="s">
        <v>54</v>
      </c>
      <c r="AJ3089" s="1">
        <v>1</v>
      </c>
      <c r="AK3089" s="1" t="str">
        <f t="shared" si="48"/>
        <v xml:space="preserve"> =&lt;90</v>
      </c>
      <c r="AL3089" s="1" t="e">
        <f>VLOOKUP(C:C,[1]基础信息!B$1:D$65536,3,0)</f>
        <v>#N/A</v>
      </c>
      <c r="AM3089" s="1" t="e">
        <f>VLOOKUP(C:C,[1]基础信息!B$1:E$65536,4,0)</f>
        <v>#N/A</v>
      </c>
      <c r="AN3089" s="1" t="e">
        <f>VLOOKUP(C:C,[1]基础信息!B$1:F$65536,5,0)</f>
        <v>#N/A</v>
      </c>
    </row>
    <row r="3090" spans="1:40">
      <c r="A3090" s="1" t="s">
        <v>41</v>
      </c>
      <c r="B3090" s="1" t="s">
        <v>42</v>
      </c>
      <c r="C3090" s="1" t="s">
        <v>4352</v>
      </c>
      <c r="D3090" s="1" t="s">
        <v>4353</v>
      </c>
      <c r="E3090" s="1" t="s">
        <v>45</v>
      </c>
      <c r="F3090" s="1" t="s">
        <v>6935</v>
      </c>
      <c r="G3090" s="1" t="s">
        <v>7086</v>
      </c>
      <c r="H3090" s="1" t="s">
        <v>7087</v>
      </c>
      <c r="I3090" s="1" t="s">
        <v>49</v>
      </c>
      <c r="J3090" s="1" t="s">
        <v>48</v>
      </c>
      <c r="K3090" s="1">
        <v>336</v>
      </c>
      <c r="L3090" s="1">
        <v>0</v>
      </c>
      <c r="M3090" s="1">
        <v>0</v>
      </c>
      <c r="N3090" s="1">
        <v>336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 t="s">
        <v>49</v>
      </c>
      <c r="AA3090" s="1" t="s">
        <v>49</v>
      </c>
      <c r="AB3090" s="1" t="s">
        <v>49</v>
      </c>
      <c r="AC3090" s="1" t="s">
        <v>6911</v>
      </c>
      <c r="AD3090" s="1" t="s">
        <v>6938</v>
      </c>
      <c r="AE3090" s="1" t="s">
        <v>6911</v>
      </c>
      <c r="AF3090" s="1" t="s">
        <v>5799</v>
      </c>
      <c r="AG3090" s="1" t="s">
        <v>53</v>
      </c>
      <c r="AH3090" s="1" t="s">
        <v>49</v>
      </c>
      <c r="AI3090" s="1" t="s">
        <v>54</v>
      </c>
      <c r="AJ3090" s="1">
        <v>1</v>
      </c>
      <c r="AK3090" s="1" t="str">
        <f t="shared" si="48"/>
        <v xml:space="preserve"> =&lt;90</v>
      </c>
      <c r="AL3090" s="1" t="e">
        <f>VLOOKUP(C:C,[1]基础信息!B$1:D$65536,3,0)</f>
        <v>#N/A</v>
      </c>
      <c r="AM3090" s="1" t="e">
        <f>VLOOKUP(C:C,[1]基础信息!B$1:E$65536,4,0)</f>
        <v>#N/A</v>
      </c>
      <c r="AN3090" s="1" t="e">
        <f>VLOOKUP(C:C,[1]基础信息!B$1:F$65536,5,0)</f>
        <v>#N/A</v>
      </c>
    </row>
    <row r="3091" spans="1:40">
      <c r="A3091" s="1" t="s">
        <v>41</v>
      </c>
      <c r="B3091" s="1" t="s">
        <v>42</v>
      </c>
      <c r="C3091" s="1" t="s">
        <v>4352</v>
      </c>
      <c r="D3091" s="1" t="s">
        <v>4353</v>
      </c>
      <c r="E3091" s="1" t="s">
        <v>45</v>
      </c>
      <c r="F3091" s="1" t="s">
        <v>6935</v>
      </c>
      <c r="G3091" s="1" t="s">
        <v>7088</v>
      </c>
      <c r="H3091" s="1" t="s">
        <v>7089</v>
      </c>
      <c r="I3091" s="1" t="s">
        <v>49</v>
      </c>
      <c r="J3091" s="1" t="s">
        <v>48</v>
      </c>
      <c r="K3091" s="1">
        <v>336</v>
      </c>
      <c r="L3091" s="1">
        <v>0</v>
      </c>
      <c r="M3091" s="1">
        <v>0</v>
      </c>
      <c r="N3091" s="1">
        <v>336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 t="s">
        <v>49</v>
      </c>
      <c r="AA3091" s="1" t="s">
        <v>49</v>
      </c>
      <c r="AB3091" s="1" t="s">
        <v>49</v>
      </c>
      <c r="AC3091" s="1" t="s">
        <v>6911</v>
      </c>
      <c r="AD3091" s="1" t="s">
        <v>6938</v>
      </c>
      <c r="AE3091" s="1" t="s">
        <v>6911</v>
      </c>
      <c r="AF3091" s="1" t="s">
        <v>5799</v>
      </c>
      <c r="AG3091" s="1" t="s">
        <v>53</v>
      </c>
      <c r="AH3091" s="1" t="s">
        <v>49</v>
      </c>
      <c r="AI3091" s="1" t="s">
        <v>54</v>
      </c>
      <c r="AJ3091" s="1">
        <v>1</v>
      </c>
      <c r="AK3091" s="1" t="str">
        <f t="shared" si="48"/>
        <v xml:space="preserve"> =&lt;90</v>
      </c>
      <c r="AL3091" s="1" t="e">
        <f>VLOOKUP(C:C,[1]基础信息!B$1:D$65536,3,0)</f>
        <v>#N/A</v>
      </c>
      <c r="AM3091" s="1" t="e">
        <f>VLOOKUP(C:C,[1]基础信息!B$1:E$65536,4,0)</f>
        <v>#N/A</v>
      </c>
      <c r="AN3091" s="1" t="e">
        <f>VLOOKUP(C:C,[1]基础信息!B$1:F$65536,5,0)</f>
        <v>#N/A</v>
      </c>
    </row>
    <row r="3092" spans="1:40">
      <c r="A3092" s="1" t="s">
        <v>41</v>
      </c>
      <c r="B3092" s="1" t="s">
        <v>42</v>
      </c>
      <c r="C3092" s="1" t="s">
        <v>4352</v>
      </c>
      <c r="D3092" s="1" t="s">
        <v>4353</v>
      </c>
      <c r="E3092" s="1" t="s">
        <v>45</v>
      </c>
      <c r="F3092" s="1" t="s">
        <v>6935</v>
      </c>
      <c r="G3092" s="1" t="s">
        <v>7090</v>
      </c>
      <c r="H3092" s="1" t="s">
        <v>7091</v>
      </c>
      <c r="I3092" s="1" t="s">
        <v>49</v>
      </c>
      <c r="J3092" s="1" t="s">
        <v>48</v>
      </c>
      <c r="K3092" s="1">
        <v>336</v>
      </c>
      <c r="L3092" s="1">
        <v>0</v>
      </c>
      <c r="M3092" s="1">
        <v>0</v>
      </c>
      <c r="N3092" s="1">
        <v>336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 t="s">
        <v>49</v>
      </c>
      <c r="AA3092" s="1" t="s">
        <v>49</v>
      </c>
      <c r="AB3092" s="1" t="s">
        <v>49</v>
      </c>
      <c r="AC3092" s="1" t="s">
        <v>6911</v>
      </c>
      <c r="AD3092" s="1" t="s">
        <v>6938</v>
      </c>
      <c r="AE3092" s="1" t="s">
        <v>6911</v>
      </c>
      <c r="AF3092" s="1" t="s">
        <v>5799</v>
      </c>
      <c r="AG3092" s="1" t="s">
        <v>53</v>
      </c>
      <c r="AH3092" s="1" t="s">
        <v>49</v>
      </c>
      <c r="AI3092" s="1" t="s">
        <v>54</v>
      </c>
      <c r="AJ3092" s="1">
        <v>1</v>
      </c>
      <c r="AK3092" s="1" t="str">
        <f t="shared" si="48"/>
        <v xml:space="preserve"> =&lt;90</v>
      </c>
      <c r="AL3092" s="1" t="e">
        <f>VLOOKUP(C:C,[1]基础信息!B$1:D$65536,3,0)</f>
        <v>#N/A</v>
      </c>
      <c r="AM3092" s="1" t="e">
        <f>VLOOKUP(C:C,[1]基础信息!B$1:E$65536,4,0)</f>
        <v>#N/A</v>
      </c>
      <c r="AN3092" s="1" t="e">
        <f>VLOOKUP(C:C,[1]基础信息!B$1:F$65536,5,0)</f>
        <v>#N/A</v>
      </c>
    </row>
    <row r="3093" spans="1:40">
      <c r="A3093" s="1" t="s">
        <v>41</v>
      </c>
      <c r="B3093" s="1" t="s">
        <v>42</v>
      </c>
      <c r="C3093" s="1" t="s">
        <v>1437</v>
      </c>
      <c r="D3093" s="1" t="s">
        <v>1438</v>
      </c>
      <c r="E3093" s="1" t="s">
        <v>45</v>
      </c>
      <c r="F3093" s="1" t="s">
        <v>7092</v>
      </c>
      <c r="G3093" s="1" t="s">
        <v>7093</v>
      </c>
      <c r="H3093" s="1" t="s">
        <v>45</v>
      </c>
      <c r="I3093" s="1" t="s">
        <v>45</v>
      </c>
      <c r="J3093" s="1" t="s">
        <v>48</v>
      </c>
      <c r="K3093" s="1">
        <v>5</v>
      </c>
      <c r="L3093" s="1">
        <v>0</v>
      </c>
      <c r="M3093" s="1">
        <v>0</v>
      </c>
      <c r="N3093" s="1">
        <v>5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 t="s">
        <v>49</v>
      </c>
      <c r="AA3093" s="1" t="s">
        <v>49</v>
      </c>
      <c r="AB3093" s="1" t="s">
        <v>49</v>
      </c>
      <c r="AC3093" s="1" t="s">
        <v>6795</v>
      </c>
      <c r="AD3093" s="1" t="s">
        <v>6796</v>
      </c>
      <c r="AE3093" s="1" t="s">
        <v>6795</v>
      </c>
      <c r="AF3093" s="1" t="s">
        <v>7094</v>
      </c>
      <c r="AG3093" s="1" t="s">
        <v>53</v>
      </c>
      <c r="AH3093" s="1" t="s">
        <v>49</v>
      </c>
      <c r="AI3093" s="1" t="s">
        <v>54</v>
      </c>
      <c r="AJ3093" s="1">
        <v>1</v>
      </c>
      <c r="AK3093" s="1" t="str">
        <f t="shared" si="48"/>
        <v xml:space="preserve"> =&lt;90</v>
      </c>
      <c r="AL3093" s="1" t="str">
        <f>VLOOKUP(C:C,[1]基础信息!B$1:D$65536,3,0)</f>
        <v>On tap</v>
      </c>
      <c r="AM3093" s="1" t="str">
        <f>VLOOKUP(C:C,[1]基础信息!B$1:E$65536,4,0)</f>
        <v>On tap</v>
      </c>
      <c r="AN3093" s="1" t="str">
        <f>VLOOKUP(C:C,[1]基础信息!B$1:F$65536,5,0)</f>
        <v>On tap</v>
      </c>
    </row>
    <row r="3094" spans="1:40">
      <c r="A3094" s="1" t="s">
        <v>41</v>
      </c>
      <c r="B3094" s="1" t="s">
        <v>42</v>
      </c>
      <c r="C3094" s="1" t="s">
        <v>4352</v>
      </c>
      <c r="D3094" s="1" t="s">
        <v>4353</v>
      </c>
      <c r="E3094" s="1" t="s">
        <v>45</v>
      </c>
      <c r="F3094" s="1" t="s">
        <v>6935</v>
      </c>
      <c r="G3094" s="1" t="s">
        <v>7095</v>
      </c>
      <c r="H3094" s="1" t="s">
        <v>7096</v>
      </c>
      <c r="I3094" s="1" t="s">
        <v>49</v>
      </c>
      <c r="J3094" s="1" t="s">
        <v>48</v>
      </c>
      <c r="K3094" s="1">
        <v>336</v>
      </c>
      <c r="L3094" s="1">
        <v>0</v>
      </c>
      <c r="M3094" s="1">
        <v>0</v>
      </c>
      <c r="N3094" s="1">
        <v>336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 t="s">
        <v>49</v>
      </c>
      <c r="AA3094" s="1" t="s">
        <v>49</v>
      </c>
      <c r="AB3094" s="1" t="s">
        <v>49</v>
      </c>
      <c r="AC3094" s="1" t="s">
        <v>6911</v>
      </c>
      <c r="AD3094" s="1" t="s">
        <v>6938</v>
      </c>
      <c r="AE3094" s="1" t="s">
        <v>6911</v>
      </c>
      <c r="AF3094" s="1" t="s">
        <v>5799</v>
      </c>
      <c r="AG3094" s="1" t="s">
        <v>53</v>
      </c>
      <c r="AH3094" s="1" t="s">
        <v>49</v>
      </c>
      <c r="AI3094" s="1" t="s">
        <v>54</v>
      </c>
      <c r="AJ3094" s="1">
        <v>1</v>
      </c>
      <c r="AK3094" s="1" t="str">
        <f t="shared" si="48"/>
        <v xml:space="preserve"> =&lt;90</v>
      </c>
      <c r="AL3094" s="1" t="e">
        <f>VLOOKUP(C:C,[1]基础信息!B$1:D$65536,3,0)</f>
        <v>#N/A</v>
      </c>
      <c r="AM3094" s="1" t="e">
        <f>VLOOKUP(C:C,[1]基础信息!B$1:E$65536,4,0)</f>
        <v>#N/A</v>
      </c>
      <c r="AN3094" s="1" t="e">
        <f>VLOOKUP(C:C,[1]基础信息!B$1:F$65536,5,0)</f>
        <v>#N/A</v>
      </c>
    </row>
    <row r="3095" spans="1:40">
      <c r="A3095" s="1" t="s">
        <v>41</v>
      </c>
      <c r="B3095" s="1" t="s">
        <v>42</v>
      </c>
      <c r="C3095" s="1" t="s">
        <v>3971</v>
      </c>
      <c r="D3095" s="1" t="s">
        <v>3972</v>
      </c>
      <c r="E3095" s="1" t="s">
        <v>45</v>
      </c>
      <c r="F3095" s="1" t="s">
        <v>5602</v>
      </c>
      <c r="G3095" s="1" t="s">
        <v>7097</v>
      </c>
      <c r="H3095" s="1" t="s">
        <v>7098</v>
      </c>
      <c r="I3095" s="1" t="s">
        <v>49</v>
      </c>
      <c r="J3095" s="1" t="s">
        <v>48</v>
      </c>
      <c r="K3095" s="1">
        <v>96</v>
      </c>
      <c r="L3095" s="1">
        <v>0</v>
      </c>
      <c r="M3095" s="1">
        <v>0</v>
      </c>
      <c r="N3095" s="1">
        <v>96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 t="s">
        <v>49</v>
      </c>
      <c r="AA3095" s="1" t="s">
        <v>49</v>
      </c>
      <c r="AB3095" s="1" t="s">
        <v>49</v>
      </c>
      <c r="AC3095" s="1" t="s">
        <v>1008</v>
      </c>
      <c r="AD3095" s="1" t="s">
        <v>1009</v>
      </c>
      <c r="AE3095" s="1" t="s">
        <v>1008</v>
      </c>
      <c r="AF3095" s="1" t="s">
        <v>5605</v>
      </c>
      <c r="AG3095" s="1" t="s">
        <v>53</v>
      </c>
      <c r="AH3095" s="1" t="s">
        <v>49</v>
      </c>
      <c r="AI3095" s="1" t="s">
        <v>54</v>
      </c>
      <c r="AJ3095" s="1">
        <v>1</v>
      </c>
      <c r="AK3095" s="1" t="str">
        <f t="shared" si="48"/>
        <v xml:space="preserve"> =&lt;90</v>
      </c>
      <c r="AL3095" s="1" t="str">
        <f>VLOOKUP(C:C,[1]基础信息!B$1:D$65536,3,0)</f>
        <v>Jug</v>
      </c>
      <c r="AM3095" s="1" t="str">
        <f>VLOOKUP(C:C,[1]基础信息!B$1:E$65536,4,0)</f>
        <v>Mxplus</v>
      </c>
      <c r="AN3095" s="1" t="str">
        <f>VLOOKUP(C:C,[1]基础信息!B$1:F$65536,5,0)</f>
        <v xml:space="preserve"> lime</v>
      </c>
    </row>
    <row r="3096" spans="1:40">
      <c r="A3096" s="1" t="s">
        <v>41</v>
      </c>
      <c r="B3096" s="1" t="s">
        <v>42</v>
      </c>
      <c r="C3096" s="1" t="s">
        <v>3971</v>
      </c>
      <c r="D3096" s="1" t="s">
        <v>3972</v>
      </c>
      <c r="E3096" s="1" t="s">
        <v>45</v>
      </c>
      <c r="F3096" s="1" t="s">
        <v>5602</v>
      </c>
      <c r="G3096" s="1" t="s">
        <v>7099</v>
      </c>
      <c r="H3096" s="1" t="s">
        <v>7100</v>
      </c>
      <c r="I3096" s="1" t="s">
        <v>49</v>
      </c>
      <c r="J3096" s="1" t="s">
        <v>48</v>
      </c>
      <c r="K3096" s="1">
        <v>96</v>
      </c>
      <c r="L3096" s="1">
        <v>0</v>
      </c>
      <c r="M3096" s="1">
        <v>0</v>
      </c>
      <c r="N3096" s="1">
        <v>96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 t="s">
        <v>49</v>
      </c>
      <c r="AA3096" s="1" t="s">
        <v>49</v>
      </c>
      <c r="AB3096" s="1" t="s">
        <v>49</v>
      </c>
      <c r="AC3096" s="1" t="s">
        <v>1008</v>
      </c>
      <c r="AD3096" s="1" t="s">
        <v>1009</v>
      </c>
      <c r="AE3096" s="1" t="s">
        <v>1008</v>
      </c>
      <c r="AF3096" s="1" t="s">
        <v>5605</v>
      </c>
      <c r="AG3096" s="1" t="s">
        <v>53</v>
      </c>
      <c r="AH3096" s="1" t="s">
        <v>49</v>
      </c>
      <c r="AI3096" s="1" t="s">
        <v>54</v>
      </c>
      <c r="AJ3096" s="1">
        <v>1</v>
      </c>
      <c r="AK3096" s="1" t="str">
        <f t="shared" si="48"/>
        <v xml:space="preserve"> =&lt;90</v>
      </c>
      <c r="AL3096" s="1" t="str">
        <f>VLOOKUP(C:C,[1]基础信息!B$1:D$65536,3,0)</f>
        <v>Jug</v>
      </c>
      <c r="AM3096" s="1" t="str">
        <f>VLOOKUP(C:C,[1]基础信息!B$1:E$65536,4,0)</f>
        <v>Mxplus</v>
      </c>
      <c r="AN3096" s="1" t="str">
        <f>VLOOKUP(C:C,[1]基础信息!B$1:F$65536,5,0)</f>
        <v xml:space="preserve"> lime</v>
      </c>
    </row>
    <row r="3097" spans="1:40">
      <c r="A3097" s="1" t="s">
        <v>41</v>
      </c>
      <c r="B3097" s="1" t="s">
        <v>42</v>
      </c>
      <c r="C3097" s="1" t="s">
        <v>3971</v>
      </c>
      <c r="D3097" s="1" t="s">
        <v>3972</v>
      </c>
      <c r="E3097" s="1" t="s">
        <v>45</v>
      </c>
      <c r="F3097" s="1" t="s">
        <v>5602</v>
      </c>
      <c r="G3097" s="1" t="s">
        <v>7101</v>
      </c>
      <c r="H3097" s="1" t="s">
        <v>7102</v>
      </c>
      <c r="I3097" s="1" t="s">
        <v>49</v>
      </c>
      <c r="J3097" s="1" t="s">
        <v>48</v>
      </c>
      <c r="K3097" s="1">
        <v>96</v>
      </c>
      <c r="L3097" s="1">
        <v>0</v>
      </c>
      <c r="M3097" s="1">
        <v>0</v>
      </c>
      <c r="N3097" s="1">
        <v>96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 t="s">
        <v>49</v>
      </c>
      <c r="AA3097" s="1" t="s">
        <v>49</v>
      </c>
      <c r="AB3097" s="1" t="s">
        <v>49</v>
      </c>
      <c r="AC3097" s="1" t="s">
        <v>1008</v>
      </c>
      <c r="AD3097" s="1" t="s">
        <v>1009</v>
      </c>
      <c r="AE3097" s="1" t="s">
        <v>1008</v>
      </c>
      <c r="AF3097" s="1" t="s">
        <v>5605</v>
      </c>
      <c r="AG3097" s="1" t="s">
        <v>53</v>
      </c>
      <c r="AH3097" s="1" t="s">
        <v>49</v>
      </c>
      <c r="AI3097" s="1" t="s">
        <v>54</v>
      </c>
      <c r="AJ3097" s="1">
        <v>1</v>
      </c>
      <c r="AK3097" s="1" t="str">
        <f t="shared" si="48"/>
        <v xml:space="preserve"> =&lt;90</v>
      </c>
      <c r="AL3097" s="1" t="str">
        <f>VLOOKUP(C:C,[1]基础信息!B$1:D$65536,3,0)</f>
        <v>Jug</v>
      </c>
      <c r="AM3097" s="1" t="str">
        <f>VLOOKUP(C:C,[1]基础信息!B$1:E$65536,4,0)</f>
        <v>Mxplus</v>
      </c>
      <c r="AN3097" s="1" t="str">
        <f>VLOOKUP(C:C,[1]基础信息!B$1:F$65536,5,0)</f>
        <v xml:space="preserve"> lime</v>
      </c>
    </row>
    <row r="3098" spans="1:40">
      <c r="A3098" s="1" t="s">
        <v>41</v>
      </c>
      <c r="B3098" s="1" t="s">
        <v>42</v>
      </c>
      <c r="C3098" s="1" t="s">
        <v>3971</v>
      </c>
      <c r="D3098" s="1" t="s">
        <v>3972</v>
      </c>
      <c r="E3098" s="1" t="s">
        <v>45</v>
      </c>
      <c r="F3098" s="1" t="s">
        <v>5602</v>
      </c>
      <c r="G3098" s="1" t="s">
        <v>7103</v>
      </c>
      <c r="H3098" s="1" t="s">
        <v>7104</v>
      </c>
      <c r="I3098" s="1" t="s">
        <v>49</v>
      </c>
      <c r="J3098" s="1" t="s">
        <v>48</v>
      </c>
      <c r="K3098" s="1">
        <v>96</v>
      </c>
      <c r="L3098" s="1">
        <v>0</v>
      </c>
      <c r="M3098" s="1">
        <v>0</v>
      </c>
      <c r="N3098" s="1">
        <v>96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 t="s">
        <v>49</v>
      </c>
      <c r="AA3098" s="1" t="s">
        <v>49</v>
      </c>
      <c r="AB3098" s="1" t="s">
        <v>49</v>
      </c>
      <c r="AC3098" s="1" t="s">
        <v>1008</v>
      </c>
      <c r="AD3098" s="1" t="s">
        <v>1009</v>
      </c>
      <c r="AE3098" s="1" t="s">
        <v>1008</v>
      </c>
      <c r="AF3098" s="1" t="s">
        <v>5605</v>
      </c>
      <c r="AG3098" s="1" t="s">
        <v>53</v>
      </c>
      <c r="AH3098" s="1" t="s">
        <v>49</v>
      </c>
      <c r="AI3098" s="1" t="s">
        <v>54</v>
      </c>
      <c r="AJ3098" s="1">
        <v>1</v>
      </c>
      <c r="AK3098" s="1" t="str">
        <f t="shared" si="48"/>
        <v xml:space="preserve"> =&lt;90</v>
      </c>
      <c r="AL3098" s="1" t="str">
        <f>VLOOKUP(C:C,[1]基础信息!B$1:D$65536,3,0)</f>
        <v>Jug</v>
      </c>
      <c r="AM3098" s="1" t="str">
        <f>VLOOKUP(C:C,[1]基础信息!B$1:E$65536,4,0)</f>
        <v>Mxplus</v>
      </c>
      <c r="AN3098" s="1" t="str">
        <f>VLOOKUP(C:C,[1]基础信息!B$1:F$65536,5,0)</f>
        <v xml:space="preserve"> lime</v>
      </c>
    </row>
    <row r="3099" spans="1:40">
      <c r="A3099" s="1" t="s">
        <v>41</v>
      </c>
      <c r="B3099" s="1" t="s">
        <v>42</v>
      </c>
      <c r="C3099" s="1" t="s">
        <v>4352</v>
      </c>
      <c r="D3099" s="1" t="s">
        <v>4353</v>
      </c>
      <c r="E3099" s="1" t="s">
        <v>45</v>
      </c>
      <c r="F3099" s="1" t="s">
        <v>6935</v>
      </c>
      <c r="G3099" s="1" t="s">
        <v>7105</v>
      </c>
      <c r="H3099" s="1" t="s">
        <v>7106</v>
      </c>
      <c r="I3099" s="1" t="s">
        <v>49</v>
      </c>
      <c r="J3099" s="1" t="s">
        <v>48</v>
      </c>
      <c r="K3099" s="1">
        <v>336</v>
      </c>
      <c r="L3099" s="1">
        <v>0</v>
      </c>
      <c r="M3099" s="1">
        <v>0</v>
      </c>
      <c r="N3099" s="1">
        <v>336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 t="s">
        <v>49</v>
      </c>
      <c r="AA3099" s="1" t="s">
        <v>49</v>
      </c>
      <c r="AB3099" s="1" t="s">
        <v>49</v>
      </c>
      <c r="AC3099" s="1" t="s">
        <v>6911</v>
      </c>
      <c r="AD3099" s="1" t="s">
        <v>6938</v>
      </c>
      <c r="AE3099" s="1" t="s">
        <v>6911</v>
      </c>
      <c r="AF3099" s="1" t="s">
        <v>5799</v>
      </c>
      <c r="AG3099" s="1" t="s">
        <v>53</v>
      </c>
      <c r="AH3099" s="1" t="s">
        <v>49</v>
      </c>
      <c r="AI3099" s="1" t="s">
        <v>54</v>
      </c>
      <c r="AJ3099" s="1">
        <v>1</v>
      </c>
      <c r="AK3099" s="1" t="str">
        <f t="shared" si="48"/>
        <v xml:space="preserve"> =&lt;90</v>
      </c>
      <c r="AL3099" s="1" t="e">
        <f>VLOOKUP(C:C,[1]基础信息!B$1:D$65536,3,0)</f>
        <v>#N/A</v>
      </c>
      <c r="AM3099" s="1" t="e">
        <f>VLOOKUP(C:C,[1]基础信息!B$1:E$65536,4,0)</f>
        <v>#N/A</v>
      </c>
      <c r="AN3099" s="1" t="e">
        <f>VLOOKUP(C:C,[1]基础信息!B$1:F$65536,5,0)</f>
        <v>#N/A</v>
      </c>
    </row>
    <row r="3100" spans="1:40">
      <c r="A3100" s="1" t="s">
        <v>41</v>
      </c>
      <c r="B3100" s="1" t="s">
        <v>42</v>
      </c>
      <c r="C3100" s="1" t="s">
        <v>4352</v>
      </c>
      <c r="D3100" s="1" t="s">
        <v>4353</v>
      </c>
      <c r="E3100" s="1" t="s">
        <v>45</v>
      </c>
      <c r="F3100" s="1" t="s">
        <v>6935</v>
      </c>
      <c r="G3100" s="1" t="s">
        <v>7107</v>
      </c>
      <c r="H3100" s="1" t="s">
        <v>7108</v>
      </c>
      <c r="I3100" s="1" t="s">
        <v>49</v>
      </c>
      <c r="J3100" s="1" t="s">
        <v>48</v>
      </c>
      <c r="K3100" s="1">
        <v>336</v>
      </c>
      <c r="L3100" s="1">
        <v>0</v>
      </c>
      <c r="M3100" s="1">
        <v>0</v>
      </c>
      <c r="N3100" s="1">
        <v>336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 t="s">
        <v>49</v>
      </c>
      <c r="AA3100" s="1" t="s">
        <v>49</v>
      </c>
      <c r="AB3100" s="1" t="s">
        <v>49</v>
      </c>
      <c r="AC3100" s="1" t="s">
        <v>6911</v>
      </c>
      <c r="AD3100" s="1" t="s">
        <v>6938</v>
      </c>
      <c r="AE3100" s="1" t="s">
        <v>6911</v>
      </c>
      <c r="AF3100" s="1" t="s">
        <v>5799</v>
      </c>
      <c r="AG3100" s="1" t="s">
        <v>53</v>
      </c>
      <c r="AH3100" s="1" t="s">
        <v>49</v>
      </c>
      <c r="AI3100" s="1" t="s">
        <v>54</v>
      </c>
      <c r="AJ3100" s="1">
        <v>1</v>
      </c>
      <c r="AK3100" s="1" t="str">
        <f t="shared" si="48"/>
        <v xml:space="preserve"> =&lt;90</v>
      </c>
      <c r="AL3100" s="1" t="e">
        <f>VLOOKUP(C:C,[1]基础信息!B$1:D$65536,3,0)</f>
        <v>#N/A</v>
      </c>
      <c r="AM3100" s="1" t="e">
        <f>VLOOKUP(C:C,[1]基础信息!B$1:E$65536,4,0)</f>
        <v>#N/A</v>
      </c>
      <c r="AN3100" s="1" t="e">
        <f>VLOOKUP(C:C,[1]基础信息!B$1:F$65536,5,0)</f>
        <v>#N/A</v>
      </c>
    </row>
    <row r="3101" spans="1:40">
      <c r="A3101" s="1" t="s">
        <v>41</v>
      </c>
      <c r="B3101" s="1" t="s">
        <v>42</v>
      </c>
      <c r="C3101" s="1" t="s">
        <v>4352</v>
      </c>
      <c r="D3101" s="1" t="s">
        <v>4353</v>
      </c>
      <c r="E3101" s="1" t="s">
        <v>45</v>
      </c>
      <c r="F3101" s="1" t="s">
        <v>6935</v>
      </c>
      <c r="G3101" s="1" t="s">
        <v>7109</v>
      </c>
      <c r="H3101" s="1" t="s">
        <v>7110</v>
      </c>
      <c r="I3101" s="1" t="s">
        <v>49</v>
      </c>
      <c r="J3101" s="1" t="s">
        <v>48</v>
      </c>
      <c r="K3101" s="1">
        <v>336</v>
      </c>
      <c r="L3101" s="1">
        <v>0</v>
      </c>
      <c r="M3101" s="1">
        <v>0</v>
      </c>
      <c r="N3101" s="1">
        <v>336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 t="s">
        <v>49</v>
      </c>
      <c r="AA3101" s="1" t="s">
        <v>49</v>
      </c>
      <c r="AB3101" s="1" t="s">
        <v>49</v>
      </c>
      <c r="AC3101" s="1" t="s">
        <v>6911</v>
      </c>
      <c r="AD3101" s="1" t="s">
        <v>6938</v>
      </c>
      <c r="AE3101" s="1" t="s">
        <v>6911</v>
      </c>
      <c r="AF3101" s="1" t="s">
        <v>5799</v>
      </c>
      <c r="AG3101" s="1" t="s">
        <v>53</v>
      </c>
      <c r="AH3101" s="1" t="s">
        <v>49</v>
      </c>
      <c r="AI3101" s="1" t="s">
        <v>54</v>
      </c>
      <c r="AJ3101" s="1">
        <v>1</v>
      </c>
      <c r="AK3101" s="1" t="str">
        <f t="shared" si="48"/>
        <v xml:space="preserve"> =&lt;90</v>
      </c>
      <c r="AL3101" s="1" t="e">
        <f>VLOOKUP(C:C,[1]基础信息!B$1:D$65536,3,0)</f>
        <v>#N/A</v>
      </c>
      <c r="AM3101" s="1" t="e">
        <f>VLOOKUP(C:C,[1]基础信息!B$1:E$65536,4,0)</f>
        <v>#N/A</v>
      </c>
      <c r="AN3101" s="1" t="e">
        <f>VLOOKUP(C:C,[1]基础信息!B$1:F$65536,5,0)</f>
        <v>#N/A</v>
      </c>
    </row>
    <row r="3102" spans="1:40">
      <c r="A3102" s="1" t="s">
        <v>41</v>
      </c>
      <c r="B3102" s="1" t="s">
        <v>42</v>
      </c>
      <c r="C3102" s="1" t="s">
        <v>4352</v>
      </c>
      <c r="D3102" s="1" t="s">
        <v>4353</v>
      </c>
      <c r="E3102" s="1" t="s">
        <v>45</v>
      </c>
      <c r="F3102" s="1" t="s">
        <v>6935</v>
      </c>
      <c r="G3102" s="1" t="s">
        <v>7111</v>
      </c>
      <c r="H3102" s="1" t="s">
        <v>7112</v>
      </c>
      <c r="I3102" s="1" t="s">
        <v>49</v>
      </c>
      <c r="J3102" s="1" t="s">
        <v>48</v>
      </c>
      <c r="K3102" s="1">
        <v>336</v>
      </c>
      <c r="L3102" s="1">
        <v>0</v>
      </c>
      <c r="M3102" s="1">
        <v>0</v>
      </c>
      <c r="N3102" s="1">
        <v>336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 t="s">
        <v>49</v>
      </c>
      <c r="AA3102" s="1" t="s">
        <v>49</v>
      </c>
      <c r="AB3102" s="1" t="s">
        <v>49</v>
      </c>
      <c r="AC3102" s="1" t="s">
        <v>6911</v>
      </c>
      <c r="AD3102" s="1" t="s">
        <v>6938</v>
      </c>
      <c r="AE3102" s="1" t="s">
        <v>6911</v>
      </c>
      <c r="AF3102" s="1" t="s">
        <v>5799</v>
      </c>
      <c r="AG3102" s="1" t="s">
        <v>53</v>
      </c>
      <c r="AH3102" s="1" t="s">
        <v>49</v>
      </c>
      <c r="AI3102" s="1" t="s">
        <v>54</v>
      </c>
      <c r="AJ3102" s="1">
        <v>1</v>
      </c>
      <c r="AK3102" s="1" t="str">
        <f t="shared" si="48"/>
        <v xml:space="preserve"> =&lt;90</v>
      </c>
      <c r="AL3102" s="1" t="e">
        <f>VLOOKUP(C:C,[1]基础信息!B$1:D$65536,3,0)</f>
        <v>#N/A</v>
      </c>
      <c r="AM3102" s="1" t="e">
        <f>VLOOKUP(C:C,[1]基础信息!B$1:E$65536,4,0)</f>
        <v>#N/A</v>
      </c>
      <c r="AN3102" s="1" t="e">
        <f>VLOOKUP(C:C,[1]基础信息!B$1:F$65536,5,0)</f>
        <v>#N/A</v>
      </c>
    </row>
    <row r="3103" spans="1:40">
      <c r="A3103" s="1" t="s">
        <v>41</v>
      </c>
      <c r="B3103" s="1" t="s">
        <v>42</v>
      </c>
      <c r="C3103" s="1" t="s">
        <v>6806</v>
      </c>
      <c r="D3103" s="1" t="s">
        <v>6807</v>
      </c>
      <c r="E3103" s="1" t="s">
        <v>45</v>
      </c>
      <c r="F3103" s="1" t="s">
        <v>6808</v>
      </c>
      <c r="G3103" s="1" t="s">
        <v>7113</v>
      </c>
      <c r="H3103" s="1" t="s">
        <v>45</v>
      </c>
      <c r="I3103" s="1" t="s">
        <v>45</v>
      </c>
      <c r="J3103" s="1" t="s">
        <v>48</v>
      </c>
      <c r="K3103" s="1">
        <v>1680</v>
      </c>
      <c r="L3103" s="1">
        <v>0</v>
      </c>
      <c r="M3103" s="1">
        <v>0</v>
      </c>
      <c r="N3103" s="1">
        <v>1680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 t="s">
        <v>49</v>
      </c>
      <c r="AA3103" s="1" t="s">
        <v>49</v>
      </c>
      <c r="AB3103" s="1" t="s">
        <v>49</v>
      </c>
      <c r="AC3103" s="1" t="s">
        <v>6810</v>
      </c>
      <c r="AD3103" s="1" t="s">
        <v>6811</v>
      </c>
      <c r="AE3103" s="1" t="s">
        <v>6810</v>
      </c>
      <c r="AF3103" s="1" t="s">
        <v>6812</v>
      </c>
      <c r="AG3103" s="1" t="s">
        <v>53</v>
      </c>
      <c r="AH3103" s="1" t="s">
        <v>49</v>
      </c>
      <c r="AI3103" s="1" t="s">
        <v>54</v>
      </c>
      <c r="AJ3103" s="1">
        <v>1</v>
      </c>
      <c r="AK3103" s="1" t="str">
        <f t="shared" si="48"/>
        <v xml:space="preserve"> =&lt;90</v>
      </c>
      <c r="AL3103" s="1" t="e">
        <f>VLOOKUP(C:C,[1]基础信息!B$1:D$65536,3,0)</f>
        <v>#N/A</v>
      </c>
      <c r="AM3103" s="1" t="e">
        <f>VLOOKUP(C:C,[1]基础信息!B$1:E$65536,4,0)</f>
        <v>#N/A</v>
      </c>
      <c r="AN3103" s="1" t="e">
        <f>VLOOKUP(C:C,[1]基础信息!B$1:F$65536,5,0)</f>
        <v>#N/A</v>
      </c>
    </row>
    <row r="3104" spans="1:40">
      <c r="A3104" s="1" t="s">
        <v>41</v>
      </c>
      <c r="B3104" s="1" t="s">
        <v>42</v>
      </c>
      <c r="C3104" s="1" t="s">
        <v>4352</v>
      </c>
      <c r="D3104" s="1" t="s">
        <v>4353</v>
      </c>
      <c r="E3104" s="1" t="s">
        <v>45</v>
      </c>
      <c r="F3104" s="1" t="s">
        <v>6935</v>
      </c>
      <c r="G3104" s="1" t="s">
        <v>7114</v>
      </c>
      <c r="H3104" s="1" t="s">
        <v>7115</v>
      </c>
      <c r="I3104" s="1" t="s">
        <v>49</v>
      </c>
      <c r="J3104" s="1" t="s">
        <v>48</v>
      </c>
      <c r="K3104" s="1">
        <v>336</v>
      </c>
      <c r="L3104" s="1">
        <v>0</v>
      </c>
      <c r="M3104" s="1">
        <v>0</v>
      </c>
      <c r="N3104" s="1">
        <v>336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 t="s">
        <v>49</v>
      </c>
      <c r="AA3104" s="1" t="s">
        <v>49</v>
      </c>
      <c r="AB3104" s="1" t="s">
        <v>49</v>
      </c>
      <c r="AC3104" s="1" t="s">
        <v>6911</v>
      </c>
      <c r="AD3104" s="1" t="s">
        <v>6938</v>
      </c>
      <c r="AE3104" s="1" t="s">
        <v>6911</v>
      </c>
      <c r="AF3104" s="1" t="s">
        <v>5799</v>
      </c>
      <c r="AG3104" s="1" t="s">
        <v>53</v>
      </c>
      <c r="AH3104" s="1" t="s">
        <v>49</v>
      </c>
      <c r="AI3104" s="1" t="s">
        <v>54</v>
      </c>
      <c r="AJ3104" s="1">
        <v>1</v>
      </c>
      <c r="AK3104" s="1" t="str">
        <f t="shared" si="48"/>
        <v xml:space="preserve"> =&lt;90</v>
      </c>
      <c r="AL3104" s="1" t="e">
        <f>VLOOKUP(C:C,[1]基础信息!B$1:D$65536,3,0)</f>
        <v>#N/A</v>
      </c>
      <c r="AM3104" s="1" t="e">
        <f>VLOOKUP(C:C,[1]基础信息!B$1:E$65536,4,0)</f>
        <v>#N/A</v>
      </c>
      <c r="AN3104" s="1" t="e">
        <f>VLOOKUP(C:C,[1]基础信息!B$1:F$65536,5,0)</f>
        <v>#N/A</v>
      </c>
    </row>
    <row r="3105" spans="1:40">
      <c r="A3105" s="1" t="s">
        <v>41</v>
      </c>
      <c r="B3105" s="1" t="s">
        <v>42</v>
      </c>
      <c r="C3105" s="1" t="s">
        <v>4352</v>
      </c>
      <c r="D3105" s="1" t="s">
        <v>4353</v>
      </c>
      <c r="E3105" s="1" t="s">
        <v>45</v>
      </c>
      <c r="F3105" s="1" t="s">
        <v>6935</v>
      </c>
      <c r="G3105" s="1" t="s">
        <v>7116</v>
      </c>
      <c r="H3105" s="1" t="s">
        <v>7117</v>
      </c>
      <c r="I3105" s="1" t="s">
        <v>49</v>
      </c>
      <c r="J3105" s="1" t="s">
        <v>48</v>
      </c>
      <c r="K3105" s="1">
        <v>336</v>
      </c>
      <c r="L3105" s="1">
        <v>0</v>
      </c>
      <c r="M3105" s="1">
        <v>0</v>
      </c>
      <c r="N3105" s="1">
        <v>336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 t="s">
        <v>49</v>
      </c>
      <c r="AA3105" s="1" t="s">
        <v>49</v>
      </c>
      <c r="AB3105" s="1" t="s">
        <v>49</v>
      </c>
      <c r="AC3105" s="1" t="s">
        <v>6911</v>
      </c>
      <c r="AD3105" s="1" t="s">
        <v>6938</v>
      </c>
      <c r="AE3105" s="1" t="s">
        <v>6911</v>
      </c>
      <c r="AF3105" s="1" t="s">
        <v>5799</v>
      </c>
      <c r="AG3105" s="1" t="s">
        <v>53</v>
      </c>
      <c r="AH3105" s="1" t="s">
        <v>49</v>
      </c>
      <c r="AI3105" s="1" t="s">
        <v>54</v>
      </c>
      <c r="AJ3105" s="1">
        <v>1</v>
      </c>
      <c r="AK3105" s="1" t="str">
        <f t="shared" si="48"/>
        <v xml:space="preserve"> =&lt;90</v>
      </c>
      <c r="AL3105" s="1" t="e">
        <f>VLOOKUP(C:C,[1]基础信息!B$1:D$65536,3,0)</f>
        <v>#N/A</v>
      </c>
      <c r="AM3105" s="1" t="e">
        <f>VLOOKUP(C:C,[1]基础信息!B$1:E$65536,4,0)</f>
        <v>#N/A</v>
      </c>
      <c r="AN3105" s="1" t="e">
        <f>VLOOKUP(C:C,[1]基础信息!B$1:F$65536,5,0)</f>
        <v>#N/A</v>
      </c>
    </row>
    <row r="3106" spans="1:40">
      <c r="A3106" s="1" t="s">
        <v>41</v>
      </c>
      <c r="B3106" s="1" t="s">
        <v>42</v>
      </c>
      <c r="C3106" s="1" t="s">
        <v>6806</v>
      </c>
      <c r="D3106" s="1" t="s">
        <v>6807</v>
      </c>
      <c r="E3106" s="1" t="s">
        <v>45</v>
      </c>
      <c r="F3106" s="1" t="s">
        <v>6808</v>
      </c>
      <c r="G3106" s="1" t="s">
        <v>7118</v>
      </c>
      <c r="H3106" s="1" t="s">
        <v>45</v>
      </c>
      <c r="I3106" s="1" t="s">
        <v>45</v>
      </c>
      <c r="J3106" s="1" t="s">
        <v>48</v>
      </c>
      <c r="K3106" s="1">
        <v>1680</v>
      </c>
      <c r="L3106" s="1">
        <v>0</v>
      </c>
      <c r="M3106" s="1">
        <v>0</v>
      </c>
      <c r="N3106" s="1">
        <v>1680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 t="s">
        <v>49</v>
      </c>
      <c r="AA3106" s="1" t="s">
        <v>49</v>
      </c>
      <c r="AB3106" s="1" t="s">
        <v>49</v>
      </c>
      <c r="AC3106" s="1" t="s">
        <v>6810</v>
      </c>
      <c r="AD3106" s="1" t="s">
        <v>6811</v>
      </c>
      <c r="AE3106" s="1" t="s">
        <v>6810</v>
      </c>
      <c r="AF3106" s="1" t="s">
        <v>6812</v>
      </c>
      <c r="AG3106" s="1" t="s">
        <v>53</v>
      </c>
      <c r="AH3106" s="1" t="s">
        <v>49</v>
      </c>
      <c r="AI3106" s="1" t="s">
        <v>54</v>
      </c>
      <c r="AJ3106" s="1">
        <v>1</v>
      </c>
      <c r="AK3106" s="1" t="str">
        <f t="shared" si="48"/>
        <v xml:space="preserve"> =&lt;90</v>
      </c>
      <c r="AL3106" s="1" t="e">
        <f>VLOOKUP(C:C,[1]基础信息!B$1:D$65536,3,0)</f>
        <v>#N/A</v>
      </c>
      <c r="AM3106" s="1" t="e">
        <f>VLOOKUP(C:C,[1]基础信息!B$1:E$65536,4,0)</f>
        <v>#N/A</v>
      </c>
      <c r="AN3106" s="1" t="e">
        <f>VLOOKUP(C:C,[1]基础信息!B$1:F$65536,5,0)</f>
        <v>#N/A</v>
      </c>
    </row>
    <row r="3107" spans="1:40">
      <c r="A3107" s="1" t="s">
        <v>41</v>
      </c>
      <c r="B3107" s="1" t="s">
        <v>42</v>
      </c>
      <c r="C3107" s="1" t="s">
        <v>4342</v>
      </c>
      <c r="D3107" s="1" t="s">
        <v>4343</v>
      </c>
      <c r="E3107" s="1" t="s">
        <v>45</v>
      </c>
      <c r="F3107" s="1" t="s">
        <v>7119</v>
      </c>
      <c r="G3107" s="1" t="s">
        <v>7120</v>
      </c>
      <c r="H3107" s="1" t="s">
        <v>45</v>
      </c>
      <c r="I3107" s="1" t="s">
        <v>45</v>
      </c>
      <c r="J3107" s="1" t="s">
        <v>48</v>
      </c>
      <c r="K3107" s="1">
        <v>72</v>
      </c>
      <c r="L3107" s="1">
        <v>0</v>
      </c>
      <c r="M3107" s="1">
        <v>0</v>
      </c>
      <c r="N3107" s="1">
        <v>72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 t="s">
        <v>49</v>
      </c>
      <c r="AA3107" s="1" t="s">
        <v>49</v>
      </c>
      <c r="AB3107" s="1" t="s">
        <v>49</v>
      </c>
      <c r="AC3107" s="1" t="s">
        <v>4108</v>
      </c>
      <c r="AD3107" s="1" t="s">
        <v>7121</v>
      </c>
      <c r="AE3107" s="1" t="s">
        <v>4108</v>
      </c>
      <c r="AF3107" s="1" t="s">
        <v>7122</v>
      </c>
      <c r="AG3107" s="1" t="s">
        <v>53</v>
      </c>
      <c r="AH3107" s="1" t="s">
        <v>49</v>
      </c>
      <c r="AI3107" s="1" t="s">
        <v>54</v>
      </c>
      <c r="AJ3107" s="1">
        <v>1</v>
      </c>
      <c r="AK3107" s="1" t="str">
        <f t="shared" si="48"/>
        <v xml:space="preserve"> =&lt;90</v>
      </c>
      <c r="AL3107" s="1" t="e">
        <f>VLOOKUP(C:C,[1]基础信息!B$1:D$65536,3,0)</f>
        <v>#N/A</v>
      </c>
      <c r="AM3107" s="1" t="e">
        <f>VLOOKUP(C:C,[1]基础信息!B$1:E$65536,4,0)</f>
        <v>#N/A</v>
      </c>
      <c r="AN3107" s="1" t="e">
        <f>VLOOKUP(C:C,[1]基础信息!B$1:F$65536,5,0)</f>
        <v>#N/A</v>
      </c>
    </row>
    <row r="3108" spans="1:40">
      <c r="A3108" s="1" t="s">
        <v>41</v>
      </c>
      <c r="B3108" s="1" t="s">
        <v>42</v>
      </c>
      <c r="C3108" s="1" t="s">
        <v>4352</v>
      </c>
      <c r="D3108" s="1" t="s">
        <v>4353</v>
      </c>
      <c r="E3108" s="1" t="s">
        <v>45</v>
      </c>
      <c r="F3108" s="1" t="s">
        <v>6935</v>
      </c>
      <c r="G3108" s="1" t="s">
        <v>7123</v>
      </c>
      <c r="H3108" s="1" t="s">
        <v>7124</v>
      </c>
      <c r="I3108" s="1" t="s">
        <v>49</v>
      </c>
      <c r="J3108" s="1" t="s">
        <v>48</v>
      </c>
      <c r="K3108" s="1">
        <v>336</v>
      </c>
      <c r="L3108" s="1">
        <v>0</v>
      </c>
      <c r="M3108" s="1">
        <v>0</v>
      </c>
      <c r="N3108" s="1">
        <v>336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 t="s">
        <v>49</v>
      </c>
      <c r="AA3108" s="1" t="s">
        <v>49</v>
      </c>
      <c r="AB3108" s="1" t="s">
        <v>49</v>
      </c>
      <c r="AC3108" s="1" t="s">
        <v>6911</v>
      </c>
      <c r="AD3108" s="1" t="s">
        <v>6938</v>
      </c>
      <c r="AE3108" s="1" t="s">
        <v>6911</v>
      </c>
      <c r="AF3108" s="1" t="s">
        <v>5799</v>
      </c>
      <c r="AG3108" s="1" t="s">
        <v>53</v>
      </c>
      <c r="AH3108" s="1" t="s">
        <v>49</v>
      </c>
      <c r="AI3108" s="1" t="s">
        <v>54</v>
      </c>
      <c r="AJ3108" s="1">
        <v>1</v>
      </c>
      <c r="AK3108" s="1" t="str">
        <f t="shared" si="48"/>
        <v xml:space="preserve"> =&lt;90</v>
      </c>
      <c r="AL3108" s="1" t="e">
        <f>VLOOKUP(C:C,[1]基础信息!B$1:D$65536,3,0)</f>
        <v>#N/A</v>
      </c>
      <c r="AM3108" s="1" t="e">
        <f>VLOOKUP(C:C,[1]基础信息!B$1:E$65536,4,0)</f>
        <v>#N/A</v>
      </c>
      <c r="AN3108" s="1" t="e">
        <f>VLOOKUP(C:C,[1]基础信息!B$1:F$65536,5,0)</f>
        <v>#N/A</v>
      </c>
    </row>
    <row r="3109" spans="1:40">
      <c r="A3109" s="1" t="s">
        <v>41</v>
      </c>
      <c r="B3109" s="1" t="s">
        <v>42</v>
      </c>
      <c r="C3109" s="1" t="s">
        <v>4352</v>
      </c>
      <c r="D3109" s="1" t="s">
        <v>4353</v>
      </c>
      <c r="E3109" s="1" t="s">
        <v>45</v>
      </c>
      <c r="F3109" s="1" t="s">
        <v>6935</v>
      </c>
      <c r="G3109" s="1" t="s">
        <v>7125</v>
      </c>
      <c r="H3109" s="1" t="s">
        <v>7126</v>
      </c>
      <c r="I3109" s="1" t="s">
        <v>49</v>
      </c>
      <c r="J3109" s="1" t="s">
        <v>48</v>
      </c>
      <c r="K3109" s="1">
        <v>336</v>
      </c>
      <c r="L3109" s="1">
        <v>0</v>
      </c>
      <c r="M3109" s="1">
        <v>0</v>
      </c>
      <c r="N3109" s="1">
        <v>336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 t="s">
        <v>49</v>
      </c>
      <c r="AA3109" s="1" t="s">
        <v>49</v>
      </c>
      <c r="AB3109" s="1" t="s">
        <v>49</v>
      </c>
      <c r="AC3109" s="1" t="s">
        <v>6911</v>
      </c>
      <c r="AD3109" s="1" t="s">
        <v>6938</v>
      </c>
      <c r="AE3109" s="1" t="s">
        <v>6911</v>
      </c>
      <c r="AF3109" s="1" t="s">
        <v>5799</v>
      </c>
      <c r="AG3109" s="1" t="s">
        <v>53</v>
      </c>
      <c r="AH3109" s="1" t="s">
        <v>49</v>
      </c>
      <c r="AI3109" s="1" t="s">
        <v>54</v>
      </c>
      <c r="AJ3109" s="1">
        <v>1</v>
      </c>
      <c r="AK3109" s="1" t="str">
        <f t="shared" si="48"/>
        <v xml:space="preserve"> =&lt;90</v>
      </c>
      <c r="AL3109" s="1" t="e">
        <f>VLOOKUP(C:C,[1]基础信息!B$1:D$65536,3,0)</f>
        <v>#N/A</v>
      </c>
      <c r="AM3109" s="1" t="e">
        <f>VLOOKUP(C:C,[1]基础信息!B$1:E$65536,4,0)</f>
        <v>#N/A</v>
      </c>
      <c r="AN3109" s="1" t="e">
        <f>VLOOKUP(C:C,[1]基础信息!B$1:F$65536,5,0)</f>
        <v>#N/A</v>
      </c>
    </row>
    <row r="3110" spans="1:40">
      <c r="A3110" s="1" t="s">
        <v>41</v>
      </c>
      <c r="B3110" s="1" t="s">
        <v>42</v>
      </c>
      <c r="C3110" s="1" t="s">
        <v>4352</v>
      </c>
      <c r="D3110" s="1" t="s">
        <v>4353</v>
      </c>
      <c r="E3110" s="1" t="s">
        <v>45</v>
      </c>
      <c r="F3110" s="1" t="s">
        <v>6935</v>
      </c>
      <c r="G3110" s="1" t="s">
        <v>7127</v>
      </c>
      <c r="H3110" s="1" t="s">
        <v>7128</v>
      </c>
      <c r="I3110" s="1" t="s">
        <v>49</v>
      </c>
      <c r="J3110" s="1" t="s">
        <v>48</v>
      </c>
      <c r="K3110" s="1">
        <v>336</v>
      </c>
      <c r="L3110" s="1">
        <v>0</v>
      </c>
      <c r="M3110" s="1">
        <v>0</v>
      </c>
      <c r="N3110" s="1">
        <v>336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 t="s">
        <v>49</v>
      </c>
      <c r="AA3110" s="1" t="s">
        <v>49</v>
      </c>
      <c r="AB3110" s="1" t="s">
        <v>49</v>
      </c>
      <c r="AC3110" s="1" t="s">
        <v>6911</v>
      </c>
      <c r="AD3110" s="1" t="s">
        <v>6938</v>
      </c>
      <c r="AE3110" s="1" t="s">
        <v>6911</v>
      </c>
      <c r="AF3110" s="1" t="s">
        <v>5799</v>
      </c>
      <c r="AG3110" s="1" t="s">
        <v>53</v>
      </c>
      <c r="AH3110" s="1" t="s">
        <v>49</v>
      </c>
      <c r="AI3110" s="1" t="s">
        <v>54</v>
      </c>
      <c r="AJ3110" s="1">
        <v>1</v>
      </c>
      <c r="AK3110" s="1" t="str">
        <f t="shared" si="48"/>
        <v xml:space="preserve"> =&lt;90</v>
      </c>
      <c r="AL3110" s="1" t="e">
        <f>VLOOKUP(C:C,[1]基础信息!B$1:D$65536,3,0)</f>
        <v>#N/A</v>
      </c>
      <c r="AM3110" s="1" t="e">
        <f>VLOOKUP(C:C,[1]基础信息!B$1:E$65536,4,0)</f>
        <v>#N/A</v>
      </c>
      <c r="AN3110" s="1" t="e">
        <f>VLOOKUP(C:C,[1]基础信息!B$1:F$65536,5,0)</f>
        <v>#N/A</v>
      </c>
    </row>
    <row r="3111" spans="1:40">
      <c r="A3111" s="1" t="s">
        <v>41</v>
      </c>
      <c r="B3111" s="1" t="s">
        <v>42</v>
      </c>
      <c r="C3111" s="1" t="s">
        <v>4352</v>
      </c>
      <c r="D3111" s="1" t="s">
        <v>4353</v>
      </c>
      <c r="E3111" s="1" t="s">
        <v>45</v>
      </c>
      <c r="F3111" s="1" t="s">
        <v>6935</v>
      </c>
      <c r="G3111" s="1" t="s">
        <v>7129</v>
      </c>
      <c r="H3111" s="1" t="s">
        <v>7130</v>
      </c>
      <c r="I3111" s="1" t="s">
        <v>49</v>
      </c>
      <c r="J3111" s="1" t="s">
        <v>48</v>
      </c>
      <c r="K3111" s="1">
        <v>336</v>
      </c>
      <c r="L3111" s="1">
        <v>0</v>
      </c>
      <c r="M3111" s="1">
        <v>0</v>
      </c>
      <c r="N3111" s="1">
        <v>336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 t="s">
        <v>49</v>
      </c>
      <c r="AA3111" s="1" t="s">
        <v>49</v>
      </c>
      <c r="AB3111" s="1" t="s">
        <v>49</v>
      </c>
      <c r="AC3111" s="1" t="s">
        <v>6911</v>
      </c>
      <c r="AD3111" s="1" t="s">
        <v>6938</v>
      </c>
      <c r="AE3111" s="1" t="s">
        <v>6911</v>
      </c>
      <c r="AF3111" s="1" t="s">
        <v>5799</v>
      </c>
      <c r="AG3111" s="1" t="s">
        <v>53</v>
      </c>
      <c r="AH3111" s="1" t="s">
        <v>49</v>
      </c>
      <c r="AI3111" s="1" t="s">
        <v>54</v>
      </c>
      <c r="AJ3111" s="1">
        <v>1</v>
      </c>
      <c r="AK3111" s="1" t="str">
        <f t="shared" si="48"/>
        <v xml:space="preserve"> =&lt;90</v>
      </c>
      <c r="AL3111" s="1" t="e">
        <f>VLOOKUP(C:C,[1]基础信息!B$1:D$65536,3,0)</f>
        <v>#N/A</v>
      </c>
      <c r="AM3111" s="1" t="e">
        <f>VLOOKUP(C:C,[1]基础信息!B$1:E$65536,4,0)</f>
        <v>#N/A</v>
      </c>
      <c r="AN3111" s="1" t="e">
        <f>VLOOKUP(C:C,[1]基础信息!B$1:F$65536,5,0)</f>
        <v>#N/A</v>
      </c>
    </row>
    <row r="3112" spans="1:40">
      <c r="A3112" s="1" t="s">
        <v>41</v>
      </c>
      <c r="B3112" s="1" t="s">
        <v>42</v>
      </c>
      <c r="C3112" s="1" t="s">
        <v>4352</v>
      </c>
      <c r="D3112" s="1" t="s">
        <v>4353</v>
      </c>
      <c r="E3112" s="1" t="s">
        <v>45</v>
      </c>
      <c r="F3112" s="1" t="s">
        <v>6935</v>
      </c>
      <c r="G3112" s="1" t="s">
        <v>7131</v>
      </c>
      <c r="H3112" s="1" t="s">
        <v>7132</v>
      </c>
      <c r="I3112" s="1" t="s">
        <v>49</v>
      </c>
      <c r="J3112" s="1" t="s">
        <v>48</v>
      </c>
      <c r="K3112" s="1">
        <v>336</v>
      </c>
      <c r="L3112" s="1">
        <v>0</v>
      </c>
      <c r="M3112" s="1">
        <v>0</v>
      </c>
      <c r="N3112" s="1">
        <v>336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 t="s">
        <v>49</v>
      </c>
      <c r="AA3112" s="1" t="s">
        <v>49</v>
      </c>
      <c r="AB3112" s="1" t="s">
        <v>49</v>
      </c>
      <c r="AC3112" s="1" t="s">
        <v>6911</v>
      </c>
      <c r="AD3112" s="1" t="s">
        <v>6938</v>
      </c>
      <c r="AE3112" s="1" t="s">
        <v>6911</v>
      </c>
      <c r="AF3112" s="1" t="s">
        <v>5799</v>
      </c>
      <c r="AG3112" s="1" t="s">
        <v>53</v>
      </c>
      <c r="AH3112" s="1" t="s">
        <v>49</v>
      </c>
      <c r="AI3112" s="1" t="s">
        <v>54</v>
      </c>
      <c r="AJ3112" s="1">
        <v>1</v>
      </c>
      <c r="AK3112" s="1" t="str">
        <f t="shared" si="48"/>
        <v xml:space="preserve"> =&lt;90</v>
      </c>
      <c r="AL3112" s="1" t="e">
        <f>VLOOKUP(C:C,[1]基础信息!B$1:D$65536,3,0)</f>
        <v>#N/A</v>
      </c>
      <c r="AM3112" s="1" t="e">
        <f>VLOOKUP(C:C,[1]基础信息!B$1:E$65536,4,0)</f>
        <v>#N/A</v>
      </c>
      <c r="AN3112" s="1" t="e">
        <f>VLOOKUP(C:C,[1]基础信息!B$1:F$65536,5,0)</f>
        <v>#N/A</v>
      </c>
    </row>
    <row r="3113" spans="1:40">
      <c r="A3113" s="1" t="s">
        <v>41</v>
      </c>
      <c r="B3113" s="1" t="s">
        <v>42</v>
      </c>
      <c r="C3113" s="1" t="s">
        <v>4352</v>
      </c>
      <c r="D3113" s="1" t="s">
        <v>4353</v>
      </c>
      <c r="E3113" s="1" t="s">
        <v>45</v>
      </c>
      <c r="F3113" s="1" t="s">
        <v>6935</v>
      </c>
      <c r="G3113" s="1" t="s">
        <v>7133</v>
      </c>
      <c r="H3113" s="1" t="s">
        <v>7134</v>
      </c>
      <c r="I3113" s="1" t="s">
        <v>49</v>
      </c>
      <c r="J3113" s="1" t="s">
        <v>48</v>
      </c>
      <c r="K3113" s="1">
        <v>336</v>
      </c>
      <c r="L3113" s="1">
        <v>0</v>
      </c>
      <c r="M3113" s="1">
        <v>0</v>
      </c>
      <c r="N3113" s="1">
        <v>336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 t="s">
        <v>49</v>
      </c>
      <c r="AA3113" s="1" t="s">
        <v>49</v>
      </c>
      <c r="AB3113" s="1" t="s">
        <v>49</v>
      </c>
      <c r="AC3113" s="1" t="s">
        <v>6911</v>
      </c>
      <c r="AD3113" s="1" t="s">
        <v>6938</v>
      </c>
      <c r="AE3113" s="1" t="s">
        <v>6911</v>
      </c>
      <c r="AF3113" s="1" t="s">
        <v>5799</v>
      </c>
      <c r="AG3113" s="1" t="s">
        <v>53</v>
      </c>
      <c r="AH3113" s="1" t="s">
        <v>49</v>
      </c>
      <c r="AI3113" s="1" t="s">
        <v>54</v>
      </c>
      <c r="AJ3113" s="1">
        <v>1</v>
      </c>
      <c r="AK3113" s="1" t="str">
        <f t="shared" si="48"/>
        <v xml:space="preserve"> =&lt;90</v>
      </c>
      <c r="AL3113" s="1" t="e">
        <f>VLOOKUP(C:C,[1]基础信息!B$1:D$65536,3,0)</f>
        <v>#N/A</v>
      </c>
      <c r="AM3113" s="1" t="e">
        <f>VLOOKUP(C:C,[1]基础信息!B$1:E$65536,4,0)</f>
        <v>#N/A</v>
      </c>
      <c r="AN3113" s="1" t="e">
        <f>VLOOKUP(C:C,[1]基础信息!B$1:F$65536,5,0)</f>
        <v>#N/A</v>
      </c>
    </row>
    <row r="3114" spans="1:40">
      <c r="A3114" s="1" t="s">
        <v>41</v>
      </c>
      <c r="B3114" s="1" t="s">
        <v>42</v>
      </c>
      <c r="C3114" s="1" t="s">
        <v>4352</v>
      </c>
      <c r="D3114" s="1" t="s">
        <v>4353</v>
      </c>
      <c r="E3114" s="1" t="s">
        <v>45</v>
      </c>
      <c r="F3114" s="1" t="s">
        <v>6982</v>
      </c>
      <c r="G3114" s="1" t="s">
        <v>7135</v>
      </c>
      <c r="H3114" s="1" t="s">
        <v>7136</v>
      </c>
      <c r="I3114" s="1" t="s">
        <v>49</v>
      </c>
      <c r="J3114" s="1" t="s">
        <v>48</v>
      </c>
      <c r="K3114" s="1">
        <v>336</v>
      </c>
      <c r="L3114" s="1">
        <v>0</v>
      </c>
      <c r="M3114" s="1">
        <v>0</v>
      </c>
      <c r="N3114" s="1">
        <v>336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 t="s">
        <v>49</v>
      </c>
      <c r="AA3114" s="1" t="s">
        <v>49</v>
      </c>
      <c r="AB3114" s="1" t="s">
        <v>49</v>
      </c>
      <c r="AC3114" s="1" t="s">
        <v>6911</v>
      </c>
      <c r="AD3114" s="1" t="s">
        <v>6938</v>
      </c>
      <c r="AE3114" s="1" t="s">
        <v>6911</v>
      </c>
      <c r="AF3114" s="1" t="s">
        <v>6985</v>
      </c>
      <c r="AG3114" s="1" t="s">
        <v>53</v>
      </c>
      <c r="AH3114" s="1" t="s">
        <v>49</v>
      </c>
      <c r="AI3114" s="1" t="s">
        <v>54</v>
      </c>
      <c r="AJ3114" s="1">
        <v>1</v>
      </c>
      <c r="AK3114" s="1" t="str">
        <f t="shared" si="48"/>
        <v xml:space="preserve"> =&lt;90</v>
      </c>
      <c r="AL3114" s="1" t="e">
        <f>VLOOKUP(C:C,[1]基础信息!B$1:D$65536,3,0)</f>
        <v>#N/A</v>
      </c>
      <c r="AM3114" s="1" t="e">
        <f>VLOOKUP(C:C,[1]基础信息!B$1:E$65536,4,0)</f>
        <v>#N/A</v>
      </c>
      <c r="AN3114" s="1" t="e">
        <f>VLOOKUP(C:C,[1]基础信息!B$1:F$65536,5,0)</f>
        <v>#N/A</v>
      </c>
    </row>
    <row r="3115" spans="1:40">
      <c r="A3115" s="1" t="s">
        <v>41</v>
      </c>
      <c r="B3115" s="1" t="s">
        <v>42</v>
      </c>
      <c r="C3115" s="1" t="s">
        <v>4352</v>
      </c>
      <c r="D3115" s="1" t="s">
        <v>4353</v>
      </c>
      <c r="E3115" s="1" t="s">
        <v>45</v>
      </c>
      <c r="F3115" s="1" t="s">
        <v>6982</v>
      </c>
      <c r="G3115" s="1" t="s">
        <v>7137</v>
      </c>
      <c r="H3115" s="1" t="s">
        <v>7138</v>
      </c>
      <c r="I3115" s="1" t="s">
        <v>49</v>
      </c>
      <c r="J3115" s="1" t="s">
        <v>48</v>
      </c>
      <c r="K3115" s="1">
        <v>336</v>
      </c>
      <c r="L3115" s="1">
        <v>0</v>
      </c>
      <c r="M3115" s="1">
        <v>0</v>
      </c>
      <c r="N3115" s="1">
        <v>336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 t="s">
        <v>49</v>
      </c>
      <c r="AA3115" s="1" t="s">
        <v>49</v>
      </c>
      <c r="AB3115" s="1" t="s">
        <v>49</v>
      </c>
      <c r="AC3115" s="1" t="s">
        <v>6911</v>
      </c>
      <c r="AD3115" s="1" t="s">
        <v>6938</v>
      </c>
      <c r="AE3115" s="1" t="s">
        <v>6911</v>
      </c>
      <c r="AF3115" s="1" t="s">
        <v>6985</v>
      </c>
      <c r="AG3115" s="1" t="s">
        <v>53</v>
      </c>
      <c r="AH3115" s="1" t="s">
        <v>49</v>
      </c>
      <c r="AI3115" s="1" t="s">
        <v>54</v>
      </c>
      <c r="AJ3115" s="1">
        <v>1</v>
      </c>
      <c r="AK3115" s="1" t="str">
        <f t="shared" si="48"/>
        <v xml:space="preserve"> =&lt;90</v>
      </c>
      <c r="AL3115" s="1" t="e">
        <f>VLOOKUP(C:C,[1]基础信息!B$1:D$65536,3,0)</f>
        <v>#N/A</v>
      </c>
      <c r="AM3115" s="1" t="e">
        <f>VLOOKUP(C:C,[1]基础信息!B$1:E$65536,4,0)</f>
        <v>#N/A</v>
      </c>
      <c r="AN3115" s="1" t="e">
        <f>VLOOKUP(C:C,[1]基础信息!B$1:F$65536,5,0)</f>
        <v>#N/A</v>
      </c>
    </row>
    <row r="3116" spans="1:40">
      <c r="A3116" s="1" t="s">
        <v>41</v>
      </c>
      <c r="B3116" s="1" t="s">
        <v>42</v>
      </c>
      <c r="C3116" s="1" t="s">
        <v>4352</v>
      </c>
      <c r="D3116" s="1" t="s">
        <v>4353</v>
      </c>
      <c r="E3116" s="1" t="s">
        <v>45</v>
      </c>
      <c r="F3116" s="1" t="s">
        <v>6982</v>
      </c>
      <c r="G3116" s="1" t="s">
        <v>7139</v>
      </c>
      <c r="H3116" s="1" t="s">
        <v>7140</v>
      </c>
      <c r="I3116" s="1" t="s">
        <v>49</v>
      </c>
      <c r="J3116" s="1" t="s">
        <v>48</v>
      </c>
      <c r="K3116" s="1">
        <v>336</v>
      </c>
      <c r="L3116" s="1">
        <v>0</v>
      </c>
      <c r="M3116" s="1">
        <v>0</v>
      </c>
      <c r="N3116" s="1">
        <v>336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 t="s">
        <v>49</v>
      </c>
      <c r="AA3116" s="1" t="s">
        <v>49</v>
      </c>
      <c r="AB3116" s="1" t="s">
        <v>49</v>
      </c>
      <c r="AC3116" s="1" t="s">
        <v>6911</v>
      </c>
      <c r="AD3116" s="1" t="s">
        <v>6938</v>
      </c>
      <c r="AE3116" s="1" t="s">
        <v>6911</v>
      </c>
      <c r="AF3116" s="1" t="s">
        <v>6985</v>
      </c>
      <c r="AG3116" s="1" t="s">
        <v>53</v>
      </c>
      <c r="AH3116" s="1" t="s">
        <v>49</v>
      </c>
      <c r="AI3116" s="1" t="s">
        <v>54</v>
      </c>
      <c r="AJ3116" s="1">
        <v>1</v>
      </c>
      <c r="AK3116" s="1" t="str">
        <f t="shared" si="48"/>
        <v xml:space="preserve"> =&lt;90</v>
      </c>
      <c r="AL3116" s="1" t="e">
        <f>VLOOKUP(C:C,[1]基础信息!B$1:D$65536,3,0)</f>
        <v>#N/A</v>
      </c>
      <c r="AM3116" s="1" t="e">
        <f>VLOOKUP(C:C,[1]基础信息!B$1:E$65536,4,0)</f>
        <v>#N/A</v>
      </c>
      <c r="AN3116" s="1" t="e">
        <f>VLOOKUP(C:C,[1]基础信息!B$1:F$65536,5,0)</f>
        <v>#N/A</v>
      </c>
    </row>
    <row r="3117" spans="1:40">
      <c r="A3117" s="1" t="s">
        <v>41</v>
      </c>
      <c r="B3117" s="1" t="s">
        <v>42</v>
      </c>
      <c r="C3117" s="1" t="s">
        <v>4342</v>
      </c>
      <c r="D3117" s="1" t="s">
        <v>4343</v>
      </c>
      <c r="E3117" s="1" t="s">
        <v>45</v>
      </c>
      <c r="F3117" s="1" t="s">
        <v>7141</v>
      </c>
      <c r="G3117" s="1" t="s">
        <v>7142</v>
      </c>
      <c r="H3117" s="1" t="s">
        <v>45</v>
      </c>
      <c r="I3117" s="1" t="s">
        <v>45</v>
      </c>
      <c r="J3117" s="1" t="s">
        <v>48</v>
      </c>
      <c r="K3117" s="1">
        <v>306</v>
      </c>
      <c r="L3117" s="1">
        <v>0</v>
      </c>
      <c r="M3117" s="1">
        <v>0</v>
      </c>
      <c r="N3117" s="1">
        <v>306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 t="s">
        <v>49</v>
      </c>
      <c r="AA3117" s="1" t="s">
        <v>49</v>
      </c>
      <c r="AB3117" s="1" t="s">
        <v>49</v>
      </c>
      <c r="AC3117" s="1" t="s">
        <v>4108</v>
      </c>
      <c r="AD3117" s="1" t="s">
        <v>7121</v>
      </c>
      <c r="AE3117" s="1" t="s">
        <v>4108</v>
      </c>
      <c r="AF3117" s="1" t="s">
        <v>7143</v>
      </c>
      <c r="AG3117" s="1" t="s">
        <v>53</v>
      </c>
      <c r="AH3117" s="1" t="s">
        <v>49</v>
      </c>
      <c r="AI3117" s="1" t="s">
        <v>54</v>
      </c>
      <c r="AJ3117" s="1">
        <v>1</v>
      </c>
      <c r="AK3117" s="1" t="str">
        <f t="shared" si="48"/>
        <v xml:space="preserve"> =&lt;90</v>
      </c>
      <c r="AL3117" s="1" t="e">
        <f>VLOOKUP(C:C,[1]基础信息!B$1:D$65536,3,0)</f>
        <v>#N/A</v>
      </c>
      <c r="AM3117" s="1" t="e">
        <f>VLOOKUP(C:C,[1]基础信息!B$1:E$65536,4,0)</f>
        <v>#N/A</v>
      </c>
      <c r="AN3117" s="1" t="e">
        <f>VLOOKUP(C:C,[1]基础信息!B$1:F$65536,5,0)</f>
        <v>#N/A</v>
      </c>
    </row>
    <row r="3118" spans="1:40">
      <c r="A3118" s="1" t="s">
        <v>41</v>
      </c>
      <c r="B3118" s="1" t="s">
        <v>42</v>
      </c>
      <c r="C3118" s="1" t="s">
        <v>4352</v>
      </c>
      <c r="D3118" s="1" t="s">
        <v>4353</v>
      </c>
      <c r="E3118" s="1" t="s">
        <v>45</v>
      </c>
      <c r="F3118" s="1" t="s">
        <v>6982</v>
      </c>
      <c r="G3118" s="1" t="s">
        <v>7144</v>
      </c>
      <c r="H3118" s="1" t="s">
        <v>7145</v>
      </c>
      <c r="I3118" s="1" t="s">
        <v>49</v>
      </c>
      <c r="J3118" s="1" t="s">
        <v>48</v>
      </c>
      <c r="K3118" s="1">
        <v>336</v>
      </c>
      <c r="L3118" s="1">
        <v>0</v>
      </c>
      <c r="M3118" s="1">
        <v>0</v>
      </c>
      <c r="N3118" s="1">
        <v>336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 t="s">
        <v>49</v>
      </c>
      <c r="AA3118" s="1" t="s">
        <v>49</v>
      </c>
      <c r="AB3118" s="1" t="s">
        <v>49</v>
      </c>
      <c r="AC3118" s="1" t="s">
        <v>6911</v>
      </c>
      <c r="AD3118" s="1" t="s">
        <v>6938</v>
      </c>
      <c r="AE3118" s="1" t="s">
        <v>6911</v>
      </c>
      <c r="AF3118" s="1" t="s">
        <v>6985</v>
      </c>
      <c r="AG3118" s="1" t="s">
        <v>53</v>
      </c>
      <c r="AH3118" s="1" t="s">
        <v>49</v>
      </c>
      <c r="AI3118" s="1" t="s">
        <v>54</v>
      </c>
      <c r="AJ3118" s="1">
        <v>1</v>
      </c>
      <c r="AK3118" s="1" t="str">
        <f t="shared" si="48"/>
        <v xml:space="preserve"> =&lt;90</v>
      </c>
      <c r="AL3118" s="1" t="e">
        <f>VLOOKUP(C:C,[1]基础信息!B$1:D$65536,3,0)</f>
        <v>#N/A</v>
      </c>
      <c r="AM3118" s="1" t="e">
        <f>VLOOKUP(C:C,[1]基础信息!B$1:E$65536,4,0)</f>
        <v>#N/A</v>
      </c>
      <c r="AN3118" s="1" t="e">
        <f>VLOOKUP(C:C,[1]基础信息!B$1:F$65536,5,0)</f>
        <v>#N/A</v>
      </c>
    </row>
    <row r="3119" spans="1:40">
      <c r="A3119" s="1" t="s">
        <v>41</v>
      </c>
      <c r="B3119" s="1" t="s">
        <v>42</v>
      </c>
      <c r="C3119" s="1" t="s">
        <v>4352</v>
      </c>
      <c r="D3119" s="1" t="s">
        <v>4353</v>
      </c>
      <c r="E3119" s="1" t="s">
        <v>45</v>
      </c>
      <c r="F3119" s="1" t="s">
        <v>6982</v>
      </c>
      <c r="G3119" s="1" t="s">
        <v>7146</v>
      </c>
      <c r="H3119" s="1" t="s">
        <v>7147</v>
      </c>
      <c r="I3119" s="1" t="s">
        <v>49</v>
      </c>
      <c r="J3119" s="1" t="s">
        <v>48</v>
      </c>
      <c r="K3119" s="1">
        <v>336</v>
      </c>
      <c r="L3119" s="1">
        <v>0</v>
      </c>
      <c r="M3119" s="1">
        <v>0</v>
      </c>
      <c r="N3119" s="1">
        <v>336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 t="s">
        <v>49</v>
      </c>
      <c r="AA3119" s="1" t="s">
        <v>49</v>
      </c>
      <c r="AB3119" s="1" t="s">
        <v>49</v>
      </c>
      <c r="AC3119" s="1" t="s">
        <v>6911</v>
      </c>
      <c r="AD3119" s="1" t="s">
        <v>6938</v>
      </c>
      <c r="AE3119" s="1" t="s">
        <v>6911</v>
      </c>
      <c r="AF3119" s="1" t="s">
        <v>6985</v>
      </c>
      <c r="AG3119" s="1" t="s">
        <v>53</v>
      </c>
      <c r="AH3119" s="1" t="s">
        <v>49</v>
      </c>
      <c r="AI3119" s="1" t="s">
        <v>54</v>
      </c>
      <c r="AJ3119" s="1">
        <v>1</v>
      </c>
      <c r="AK3119" s="1" t="str">
        <f t="shared" si="48"/>
        <v xml:space="preserve"> =&lt;90</v>
      </c>
      <c r="AL3119" s="1" t="e">
        <f>VLOOKUP(C:C,[1]基础信息!B$1:D$65536,3,0)</f>
        <v>#N/A</v>
      </c>
      <c r="AM3119" s="1" t="e">
        <f>VLOOKUP(C:C,[1]基础信息!B$1:E$65536,4,0)</f>
        <v>#N/A</v>
      </c>
      <c r="AN3119" s="1" t="e">
        <f>VLOOKUP(C:C,[1]基础信息!B$1:F$65536,5,0)</f>
        <v>#N/A</v>
      </c>
    </row>
    <row r="3120" spans="1:40">
      <c r="A3120" s="1" t="s">
        <v>41</v>
      </c>
      <c r="B3120" s="1" t="s">
        <v>42</v>
      </c>
      <c r="C3120" s="1" t="s">
        <v>4352</v>
      </c>
      <c r="D3120" s="1" t="s">
        <v>4353</v>
      </c>
      <c r="E3120" s="1" t="s">
        <v>45</v>
      </c>
      <c r="F3120" s="1" t="s">
        <v>6982</v>
      </c>
      <c r="G3120" s="1" t="s">
        <v>7148</v>
      </c>
      <c r="H3120" s="1" t="s">
        <v>7149</v>
      </c>
      <c r="I3120" s="1" t="s">
        <v>49</v>
      </c>
      <c r="J3120" s="1" t="s">
        <v>48</v>
      </c>
      <c r="K3120" s="1">
        <v>336</v>
      </c>
      <c r="L3120" s="1">
        <v>0</v>
      </c>
      <c r="M3120" s="1">
        <v>0</v>
      </c>
      <c r="N3120" s="1">
        <v>336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 t="s">
        <v>49</v>
      </c>
      <c r="AA3120" s="1" t="s">
        <v>49</v>
      </c>
      <c r="AB3120" s="1" t="s">
        <v>49</v>
      </c>
      <c r="AC3120" s="1" t="s">
        <v>6911</v>
      </c>
      <c r="AD3120" s="1" t="s">
        <v>6938</v>
      </c>
      <c r="AE3120" s="1" t="s">
        <v>6911</v>
      </c>
      <c r="AF3120" s="1" t="s">
        <v>6985</v>
      </c>
      <c r="AG3120" s="1" t="s">
        <v>53</v>
      </c>
      <c r="AH3120" s="1" t="s">
        <v>49</v>
      </c>
      <c r="AI3120" s="1" t="s">
        <v>54</v>
      </c>
      <c r="AJ3120" s="1">
        <v>1</v>
      </c>
      <c r="AK3120" s="1" t="str">
        <f t="shared" si="48"/>
        <v xml:space="preserve"> =&lt;90</v>
      </c>
      <c r="AL3120" s="1" t="e">
        <f>VLOOKUP(C:C,[1]基础信息!B$1:D$65536,3,0)</f>
        <v>#N/A</v>
      </c>
      <c r="AM3120" s="1" t="e">
        <f>VLOOKUP(C:C,[1]基础信息!B$1:E$65536,4,0)</f>
        <v>#N/A</v>
      </c>
      <c r="AN3120" s="1" t="e">
        <f>VLOOKUP(C:C,[1]基础信息!B$1:F$65536,5,0)</f>
        <v>#N/A</v>
      </c>
    </row>
    <row r="3121" spans="1:40">
      <c r="A3121" s="1" t="s">
        <v>41</v>
      </c>
      <c r="B3121" s="1" t="s">
        <v>42</v>
      </c>
      <c r="C3121" s="1" t="s">
        <v>4352</v>
      </c>
      <c r="D3121" s="1" t="s">
        <v>4353</v>
      </c>
      <c r="E3121" s="1" t="s">
        <v>45</v>
      </c>
      <c r="F3121" s="1" t="s">
        <v>6982</v>
      </c>
      <c r="G3121" s="1" t="s">
        <v>7150</v>
      </c>
      <c r="H3121" s="1" t="s">
        <v>7151</v>
      </c>
      <c r="I3121" s="1" t="s">
        <v>49</v>
      </c>
      <c r="J3121" s="1" t="s">
        <v>48</v>
      </c>
      <c r="K3121" s="1">
        <v>336</v>
      </c>
      <c r="L3121" s="1">
        <v>0</v>
      </c>
      <c r="M3121" s="1">
        <v>0</v>
      </c>
      <c r="N3121" s="1">
        <v>336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 t="s">
        <v>49</v>
      </c>
      <c r="AA3121" s="1" t="s">
        <v>49</v>
      </c>
      <c r="AB3121" s="1" t="s">
        <v>49</v>
      </c>
      <c r="AC3121" s="1" t="s">
        <v>6911</v>
      </c>
      <c r="AD3121" s="1" t="s">
        <v>6938</v>
      </c>
      <c r="AE3121" s="1" t="s">
        <v>6911</v>
      </c>
      <c r="AF3121" s="1" t="s">
        <v>6985</v>
      </c>
      <c r="AG3121" s="1" t="s">
        <v>53</v>
      </c>
      <c r="AH3121" s="1" t="s">
        <v>49</v>
      </c>
      <c r="AI3121" s="1" t="s">
        <v>54</v>
      </c>
      <c r="AJ3121" s="1">
        <v>1</v>
      </c>
      <c r="AK3121" s="1" t="str">
        <f t="shared" si="48"/>
        <v xml:space="preserve"> =&lt;90</v>
      </c>
      <c r="AL3121" s="1" t="e">
        <f>VLOOKUP(C:C,[1]基础信息!B$1:D$65536,3,0)</f>
        <v>#N/A</v>
      </c>
      <c r="AM3121" s="1" t="e">
        <f>VLOOKUP(C:C,[1]基础信息!B$1:E$65536,4,0)</f>
        <v>#N/A</v>
      </c>
      <c r="AN3121" s="1" t="e">
        <f>VLOOKUP(C:C,[1]基础信息!B$1:F$65536,5,0)</f>
        <v>#N/A</v>
      </c>
    </row>
    <row r="3122" spans="1:40">
      <c r="A3122" s="1" t="s">
        <v>41</v>
      </c>
      <c r="B3122" s="1" t="s">
        <v>42</v>
      </c>
      <c r="C3122" s="1" t="s">
        <v>4352</v>
      </c>
      <c r="D3122" s="1" t="s">
        <v>4353</v>
      </c>
      <c r="E3122" s="1" t="s">
        <v>45</v>
      </c>
      <c r="F3122" s="1" t="s">
        <v>6982</v>
      </c>
      <c r="G3122" s="1" t="s">
        <v>7152</v>
      </c>
      <c r="H3122" s="1" t="s">
        <v>7153</v>
      </c>
      <c r="I3122" s="1" t="s">
        <v>49</v>
      </c>
      <c r="J3122" s="1" t="s">
        <v>48</v>
      </c>
      <c r="K3122" s="1">
        <v>336</v>
      </c>
      <c r="L3122" s="1">
        <v>0</v>
      </c>
      <c r="M3122" s="1">
        <v>0</v>
      </c>
      <c r="N3122" s="1">
        <v>336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 t="s">
        <v>49</v>
      </c>
      <c r="AA3122" s="1" t="s">
        <v>49</v>
      </c>
      <c r="AB3122" s="1" t="s">
        <v>49</v>
      </c>
      <c r="AC3122" s="1" t="s">
        <v>6911</v>
      </c>
      <c r="AD3122" s="1" t="s">
        <v>6938</v>
      </c>
      <c r="AE3122" s="1" t="s">
        <v>6911</v>
      </c>
      <c r="AF3122" s="1" t="s">
        <v>6985</v>
      </c>
      <c r="AG3122" s="1" t="s">
        <v>53</v>
      </c>
      <c r="AH3122" s="1" t="s">
        <v>49</v>
      </c>
      <c r="AI3122" s="1" t="s">
        <v>54</v>
      </c>
      <c r="AJ3122" s="1">
        <v>1</v>
      </c>
      <c r="AK3122" s="1" t="str">
        <f t="shared" si="48"/>
        <v xml:space="preserve"> =&lt;90</v>
      </c>
      <c r="AL3122" s="1" t="e">
        <f>VLOOKUP(C:C,[1]基础信息!B$1:D$65536,3,0)</f>
        <v>#N/A</v>
      </c>
      <c r="AM3122" s="1" t="e">
        <f>VLOOKUP(C:C,[1]基础信息!B$1:E$65536,4,0)</f>
        <v>#N/A</v>
      </c>
      <c r="AN3122" s="1" t="e">
        <f>VLOOKUP(C:C,[1]基础信息!B$1:F$65536,5,0)</f>
        <v>#N/A</v>
      </c>
    </row>
    <row r="3123" spans="1:40">
      <c r="A3123" s="1" t="s">
        <v>41</v>
      </c>
      <c r="B3123" s="1" t="s">
        <v>42</v>
      </c>
      <c r="C3123" s="1" t="s">
        <v>4352</v>
      </c>
      <c r="D3123" s="1" t="s">
        <v>4353</v>
      </c>
      <c r="E3123" s="1" t="s">
        <v>45</v>
      </c>
      <c r="F3123" s="1" t="s">
        <v>6982</v>
      </c>
      <c r="G3123" s="1" t="s">
        <v>7154</v>
      </c>
      <c r="H3123" s="1" t="s">
        <v>7155</v>
      </c>
      <c r="I3123" s="1" t="s">
        <v>49</v>
      </c>
      <c r="J3123" s="1" t="s">
        <v>48</v>
      </c>
      <c r="K3123" s="1">
        <v>336</v>
      </c>
      <c r="L3123" s="1">
        <v>0</v>
      </c>
      <c r="M3123" s="1">
        <v>0</v>
      </c>
      <c r="N3123" s="1">
        <v>336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 t="s">
        <v>49</v>
      </c>
      <c r="AA3123" s="1" t="s">
        <v>49</v>
      </c>
      <c r="AB3123" s="1" t="s">
        <v>49</v>
      </c>
      <c r="AC3123" s="1" t="s">
        <v>6911</v>
      </c>
      <c r="AD3123" s="1" t="s">
        <v>6938</v>
      </c>
      <c r="AE3123" s="1" t="s">
        <v>6911</v>
      </c>
      <c r="AF3123" s="1" t="s">
        <v>6985</v>
      </c>
      <c r="AG3123" s="1" t="s">
        <v>53</v>
      </c>
      <c r="AH3123" s="1" t="s">
        <v>49</v>
      </c>
      <c r="AI3123" s="1" t="s">
        <v>54</v>
      </c>
      <c r="AJ3123" s="1">
        <v>1</v>
      </c>
      <c r="AK3123" s="1" t="str">
        <f t="shared" si="48"/>
        <v xml:space="preserve"> =&lt;90</v>
      </c>
      <c r="AL3123" s="1" t="e">
        <f>VLOOKUP(C:C,[1]基础信息!B$1:D$65536,3,0)</f>
        <v>#N/A</v>
      </c>
      <c r="AM3123" s="1" t="e">
        <f>VLOOKUP(C:C,[1]基础信息!B$1:E$65536,4,0)</f>
        <v>#N/A</v>
      </c>
      <c r="AN3123" s="1" t="e">
        <f>VLOOKUP(C:C,[1]基础信息!B$1:F$65536,5,0)</f>
        <v>#N/A</v>
      </c>
    </row>
    <row r="3124" spans="1:40">
      <c r="A3124" s="1" t="s">
        <v>41</v>
      </c>
      <c r="B3124" s="1" t="s">
        <v>42</v>
      </c>
      <c r="C3124" s="1" t="s">
        <v>4352</v>
      </c>
      <c r="D3124" s="1" t="s">
        <v>4353</v>
      </c>
      <c r="E3124" s="1" t="s">
        <v>45</v>
      </c>
      <c r="F3124" s="1" t="s">
        <v>6982</v>
      </c>
      <c r="G3124" s="1" t="s">
        <v>7156</v>
      </c>
      <c r="H3124" s="1" t="s">
        <v>7157</v>
      </c>
      <c r="I3124" s="1" t="s">
        <v>49</v>
      </c>
      <c r="J3124" s="1" t="s">
        <v>48</v>
      </c>
      <c r="K3124" s="1">
        <v>336</v>
      </c>
      <c r="L3124" s="1">
        <v>0</v>
      </c>
      <c r="M3124" s="1">
        <v>0</v>
      </c>
      <c r="N3124" s="1">
        <v>336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 t="s">
        <v>49</v>
      </c>
      <c r="AA3124" s="1" t="s">
        <v>49</v>
      </c>
      <c r="AB3124" s="1" t="s">
        <v>49</v>
      </c>
      <c r="AC3124" s="1" t="s">
        <v>6911</v>
      </c>
      <c r="AD3124" s="1" t="s">
        <v>6938</v>
      </c>
      <c r="AE3124" s="1" t="s">
        <v>6911</v>
      </c>
      <c r="AF3124" s="1" t="s">
        <v>6985</v>
      </c>
      <c r="AG3124" s="1" t="s">
        <v>53</v>
      </c>
      <c r="AH3124" s="1" t="s">
        <v>49</v>
      </c>
      <c r="AI3124" s="1" t="s">
        <v>54</v>
      </c>
      <c r="AJ3124" s="1">
        <v>1</v>
      </c>
      <c r="AK3124" s="1" t="str">
        <f t="shared" si="48"/>
        <v xml:space="preserve"> =&lt;90</v>
      </c>
      <c r="AL3124" s="1" t="e">
        <f>VLOOKUP(C:C,[1]基础信息!B$1:D$65536,3,0)</f>
        <v>#N/A</v>
      </c>
      <c r="AM3124" s="1" t="e">
        <f>VLOOKUP(C:C,[1]基础信息!B$1:E$65536,4,0)</f>
        <v>#N/A</v>
      </c>
      <c r="AN3124" s="1" t="e">
        <f>VLOOKUP(C:C,[1]基础信息!B$1:F$65536,5,0)</f>
        <v>#N/A</v>
      </c>
    </row>
    <row r="3125" spans="1:40">
      <c r="A3125" s="1" t="s">
        <v>41</v>
      </c>
      <c r="B3125" s="1" t="s">
        <v>42</v>
      </c>
      <c r="C3125" s="1" t="s">
        <v>4352</v>
      </c>
      <c r="D3125" s="1" t="s">
        <v>4353</v>
      </c>
      <c r="E3125" s="1" t="s">
        <v>45</v>
      </c>
      <c r="F3125" s="1" t="s">
        <v>7158</v>
      </c>
      <c r="G3125" s="1" t="s">
        <v>7159</v>
      </c>
      <c r="H3125" s="1" t="s">
        <v>7160</v>
      </c>
      <c r="I3125" s="1" t="s">
        <v>49</v>
      </c>
      <c r="J3125" s="1" t="s">
        <v>48</v>
      </c>
      <c r="K3125" s="1">
        <v>336</v>
      </c>
      <c r="L3125" s="1">
        <v>0</v>
      </c>
      <c r="M3125" s="1">
        <v>0</v>
      </c>
      <c r="N3125" s="1">
        <v>336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 t="s">
        <v>49</v>
      </c>
      <c r="AA3125" s="1" t="s">
        <v>49</v>
      </c>
      <c r="AB3125" s="1" t="s">
        <v>49</v>
      </c>
      <c r="AC3125" s="1" t="s">
        <v>1188</v>
      </c>
      <c r="AD3125" s="1" t="s">
        <v>1189</v>
      </c>
      <c r="AE3125" s="1" t="s">
        <v>1188</v>
      </c>
      <c r="AF3125" s="1" t="s">
        <v>6985</v>
      </c>
      <c r="AG3125" s="1" t="s">
        <v>53</v>
      </c>
      <c r="AH3125" s="1" t="s">
        <v>49</v>
      </c>
      <c r="AI3125" s="1" t="s">
        <v>54</v>
      </c>
      <c r="AJ3125" s="1">
        <v>1</v>
      </c>
      <c r="AK3125" s="1" t="str">
        <f t="shared" si="48"/>
        <v xml:space="preserve"> =&lt;90</v>
      </c>
      <c r="AL3125" s="1" t="e">
        <f>VLOOKUP(C:C,[1]基础信息!B$1:D$65536,3,0)</f>
        <v>#N/A</v>
      </c>
      <c r="AM3125" s="1" t="e">
        <f>VLOOKUP(C:C,[1]基础信息!B$1:E$65536,4,0)</f>
        <v>#N/A</v>
      </c>
      <c r="AN3125" s="1" t="e">
        <f>VLOOKUP(C:C,[1]基础信息!B$1:F$65536,5,0)</f>
        <v>#N/A</v>
      </c>
    </row>
    <row r="3126" spans="1:40">
      <c r="A3126" s="1" t="s">
        <v>41</v>
      </c>
      <c r="B3126" s="1" t="s">
        <v>42</v>
      </c>
      <c r="C3126" s="1" t="s">
        <v>4352</v>
      </c>
      <c r="D3126" s="1" t="s">
        <v>4353</v>
      </c>
      <c r="E3126" s="1" t="s">
        <v>45</v>
      </c>
      <c r="F3126" s="1" t="s">
        <v>7158</v>
      </c>
      <c r="G3126" s="1" t="s">
        <v>7161</v>
      </c>
      <c r="H3126" s="1" t="s">
        <v>7162</v>
      </c>
      <c r="I3126" s="1" t="s">
        <v>49</v>
      </c>
      <c r="J3126" s="1" t="s">
        <v>48</v>
      </c>
      <c r="K3126" s="1">
        <v>336</v>
      </c>
      <c r="L3126" s="1">
        <v>0</v>
      </c>
      <c r="M3126" s="1">
        <v>0</v>
      </c>
      <c r="N3126" s="1">
        <v>336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 t="s">
        <v>49</v>
      </c>
      <c r="AA3126" s="1" t="s">
        <v>49</v>
      </c>
      <c r="AB3126" s="1" t="s">
        <v>49</v>
      </c>
      <c r="AC3126" s="1" t="s">
        <v>1188</v>
      </c>
      <c r="AD3126" s="1" t="s">
        <v>1189</v>
      </c>
      <c r="AE3126" s="1" t="s">
        <v>1188</v>
      </c>
      <c r="AF3126" s="1" t="s">
        <v>6985</v>
      </c>
      <c r="AG3126" s="1" t="s">
        <v>53</v>
      </c>
      <c r="AH3126" s="1" t="s">
        <v>49</v>
      </c>
      <c r="AI3126" s="1" t="s">
        <v>54</v>
      </c>
      <c r="AJ3126" s="1">
        <v>1</v>
      </c>
      <c r="AK3126" s="1" t="str">
        <f t="shared" si="48"/>
        <v xml:space="preserve"> =&lt;90</v>
      </c>
      <c r="AL3126" s="1" t="e">
        <f>VLOOKUP(C:C,[1]基础信息!B$1:D$65536,3,0)</f>
        <v>#N/A</v>
      </c>
      <c r="AM3126" s="1" t="e">
        <f>VLOOKUP(C:C,[1]基础信息!B$1:E$65536,4,0)</f>
        <v>#N/A</v>
      </c>
      <c r="AN3126" s="1" t="e">
        <f>VLOOKUP(C:C,[1]基础信息!B$1:F$65536,5,0)</f>
        <v>#N/A</v>
      </c>
    </row>
    <row r="3127" spans="1:40">
      <c r="A3127" s="1" t="s">
        <v>41</v>
      </c>
      <c r="B3127" s="1" t="s">
        <v>42</v>
      </c>
      <c r="C3127" s="1" t="s">
        <v>4352</v>
      </c>
      <c r="D3127" s="1" t="s">
        <v>4353</v>
      </c>
      <c r="E3127" s="1" t="s">
        <v>45</v>
      </c>
      <c r="F3127" s="1" t="s">
        <v>7158</v>
      </c>
      <c r="G3127" s="1" t="s">
        <v>7163</v>
      </c>
      <c r="H3127" s="1" t="s">
        <v>7164</v>
      </c>
      <c r="I3127" s="1" t="s">
        <v>49</v>
      </c>
      <c r="J3127" s="1" t="s">
        <v>48</v>
      </c>
      <c r="K3127" s="1">
        <v>336</v>
      </c>
      <c r="L3127" s="1">
        <v>0</v>
      </c>
      <c r="M3127" s="1">
        <v>0</v>
      </c>
      <c r="N3127" s="1">
        <v>336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 t="s">
        <v>49</v>
      </c>
      <c r="AA3127" s="1" t="s">
        <v>49</v>
      </c>
      <c r="AB3127" s="1" t="s">
        <v>49</v>
      </c>
      <c r="AC3127" s="1" t="s">
        <v>1188</v>
      </c>
      <c r="AD3127" s="1" t="s">
        <v>1189</v>
      </c>
      <c r="AE3127" s="1" t="s">
        <v>1188</v>
      </c>
      <c r="AF3127" s="1" t="s">
        <v>6985</v>
      </c>
      <c r="AG3127" s="1" t="s">
        <v>53</v>
      </c>
      <c r="AH3127" s="1" t="s">
        <v>49</v>
      </c>
      <c r="AI3127" s="1" t="s">
        <v>54</v>
      </c>
      <c r="AJ3127" s="1">
        <v>1</v>
      </c>
      <c r="AK3127" s="1" t="str">
        <f t="shared" si="48"/>
        <v xml:space="preserve"> =&lt;90</v>
      </c>
      <c r="AL3127" s="1" t="e">
        <f>VLOOKUP(C:C,[1]基础信息!B$1:D$65536,3,0)</f>
        <v>#N/A</v>
      </c>
      <c r="AM3127" s="1" t="e">
        <f>VLOOKUP(C:C,[1]基础信息!B$1:E$65536,4,0)</f>
        <v>#N/A</v>
      </c>
      <c r="AN3127" s="1" t="e">
        <f>VLOOKUP(C:C,[1]基础信息!B$1:F$65536,5,0)</f>
        <v>#N/A</v>
      </c>
    </row>
    <row r="3128" spans="1:40">
      <c r="A3128" s="1" t="s">
        <v>41</v>
      </c>
      <c r="B3128" s="1" t="s">
        <v>42</v>
      </c>
      <c r="C3128" s="1" t="s">
        <v>4352</v>
      </c>
      <c r="D3128" s="1" t="s">
        <v>4353</v>
      </c>
      <c r="E3128" s="1" t="s">
        <v>45</v>
      </c>
      <c r="F3128" s="1" t="s">
        <v>7158</v>
      </c>
      <c r="G3128" s="1" t="s">
        <v>7165</v>
      </c>
      <c r="H3128" s="1" t="s">
        <v>7166</v>
      </c>
      <c r="I3128" s="1" t="s">
        <v>49</v>
      </c>
      <c r="J3128" s="1" t="s">
        <v>48</v>
      </c>
      <c r="K3128" s="1">
        <v>336</v>
      </c>
      <c r="L3128" s="1">
        <v>0</v>
      </c>
      <c r="M3128" s="1">
        <v>0</v>
      </c>
      <c r="N3128" s="1">
        <v>336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 t="s">
        <v>49</v>
      </c>
      <c r="AA3128" s="1" t="s">
        <v>49</v>
      </c>
      <c r="AB3128" s="1" t="s">
        <v>49</v>
      </c>
      <c r="AC3128" s="1" t="s">
        <v>1188</v>
      </c>
      <c r="AD3128" s="1" t="s">
        <v>1189</v>
      </c>
      <c r="AE3128" s="1" t="s">
        <v>1188</v>
      </c>
      <c r="AF3128" s="1" t="s">
        <v>6985</v>
      </c>
      <c r="AG3128" s="1" t="s">
        <v>53</v>
      </c>
      <c r="AH3128" s="1" t="s">
        <v>49</v>
      </c>
      <c r="AI3128" s="1" t="s">
        <v>54</v>
      </c>
      <c r="AJ3128" s="1">
        <v>1</v>
      </c>
      <c r="AK3128" s="1" t="str">
        <f t="shared" si="48"/>
        <v xml:space="preserve"> =&lt;90</v>
      </c>
      <c r="AL3128" s="1" t="e">
        <f>VLOOKUP(C:C,[1]基础信息!B$1:D$65536,3,0)</f>
        <v>#N/A</v>
      </c>
      <c r="AM3128" s="1" t="e">
        <f>VLOOKUP(C:C,[1]基础信息!B$1:E$65536,4,0)</f>
        <v>#N/A</v>
      </c>
      <c r="AN3128" s="1" t="e">
        <f>VLOOKUP(C:C,[1]基础信息!B$1:F$65536,5,0)</f>
        <v>#N/A</v>
      </c>
    </row>
    <row r="3129" spans="1:40">
      <c r="A3129" s="1" t="s">
        <v>41</v>
      </c>
      <c r="B3129" s="1" t="s">
        <v>42</v>
      </c>
      <c r="C3129" s="1" t="s">
        <v>4352</v>
      </c>
      <c r="D3129" s="1" t="s">
        <v>4353</v>
      </c>
      <c r="E3129" s="1" t="s">
        <v>45</v>
      </c>
      <c r="F3129" s="1" t="s">
        <v>7158</v>
      </c>
      <c r="G3129" s="1" t="s">
        <v>7167</v>
      </c>
      <c r="H3129" s="1" t="s">
        <v>7168</v>
      </c>
      <c r="I3129" s="1" t="s">
        <v>49</v>
      </c>
      <c r="J3129" s="1" t="s">
        <v>48</v>
      </c>
      <c r="K3129" s="1">
        <v>336</v>
      </c>
      <c r="L3129" s="1">
        <v>0</v>
      </c>
      <c r="M3129" s="1">
        <v>0</v>
      </c>
      <c r="N3129" s="1">
        <v>336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 t="s">
        <v>49</v>
      </c>
      <c r="AA3129" s="1" t="s">
        <v>49</v>
      </c>
      <c r="AB3129" s="1" t="s">
        <v>49</v>
      </c>
      <c r="AC3129" s="1" t="s">
        <v>1188</v>
      </c>
      <c r="AD3129" s="1" t="s">
        <v>1189</v>
      </c>
      <c r="AE3129" s="1" t="s">
        <v>1188</v>
      </c>
      <c r="AF3129" s="1" t="s">
        <v>6985</v>
      </c>
      <c r="AG3129" s="1" t="s">
        <v>53</v>
      </c>
      <c r="AH3129" s="1" t="s">
        <v>49</v>
      </c>
      <c r="AI3129" s="1" t="s">
        <v>54</v>
      </c>
      <c r="AJ3129" s="1">
        <v>1</v>
      </c>
      <c r="AK3129" s="1" t="str">
        <f t="shared" si="48"/>
        <v xml:space="preserve"> =&lt;90</v>
      </c>
      <c r="AL3129" s="1" t="e">
        <f>VLOOKUP(C:C,[1]基础信息!B$1:D$65536,3,0)</f>
        <v>#N/A</v>
      </c>
      <c r="AM3129" s="1" t="e">
        <f>VLOOKUP(C:C,[1]基础信息!B$1:E$65536,4,0)</f>
        <v>#N/A</v>
      </c>
      <c r="AN3129" s="1" t="e">
        <f>VLOOKUP(C:C,[1]基础信息!B$1:F$65536,5,0)</f>
        <v>#N/A</v>
      </c>
    </row>
    <row r="3130" spans="1:40">
      <c r="A3130" s="1" t="s">
        <v>41</v>
      </c>
      <c r="B3130" s="1" t="s">
        <v>42</v>
      </c>
      <c r="C3130" s="1" t="s">
        <v>4352</v>
      </c>
      <c r="D3130" s="1" t="s">
        <v>4353</v>
      </c>
      <c r="E3130" s="1" t="s">
        <v>45</v>
      </c>
      <c r="F3130" s="1" t="s">
        <v>7158</v>
      </c>
      <c r="G3130" s="1" t="s">
        <v>7169</v>
      </c>
      <c r="H3130" s="1" t="s">
        <v>7170</v>
      </c>
      <c r="I3130" s="1" t="s">
        <v>49</v>
      </c>
      <c r="J3130" s="1" t="s">
        <v>48</v>
      </c>
      <c r="K3130" s="1">
        <v>336</v>
      </c>
      <c r="L3130" s="1">
        <v>0</v>
      </c>
      <c r="M3130" s="1">
        <v>0</v>
      </c>
      <c r="N3130" s="1">
        <v>336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 t="s">
        <v>49</v>
      </c>
      <c r="AA3130" s="1" t="s">
        <v>49</v>
      </c>
      <c r="AB3130" s="1" t="s">
        <v>49</v>
      </c>
      <c r="AC3130" s="1" t="s">
        <v>1188</v>
      </c>
      <c r="AD3130" s="1" t="s">
        <v>1189</v>
      </c>
      <c r="AE3130" s="1" t="s">
        <v>1188</v>
      </c>
      <c r="AF3130" s="1" t="s">
        <v>6985</v>
      </c>
      <c r="AG3130" s="1" t="s">
        <v>53</v>
      </c>
      <c r="AH3130" s="1" t="s">
        <v>49</v>
      </c>
      <c r="AI3130" s="1" t="s">
        <v>54</v>
      </c>
      <c r="AJ3130" s="1">
        <v>1</v>
      </c>
      <c r="AK3130" s="1" t="str">
        <f t="shared" si="48"/>
        <v xml:space="preserve"> =&lt;90</v>
      </c>
      <c r="AL3130" s="1" t="e">
        <f>VLOOKUP(C:C,[1]基础信息!B$1:D$65536,3,0)</f>
        <v>#N/A</v>
      </c>
      <c r="AM3130" s="1" t="e">
        <f>VLOOKUP(C:C,[1]基础信息!B$1:E$65536,4,0)</f>
        <v>#N/A</v>
      </c>
      <c r="AN3130" s="1" t="e">
        <f>VLOOKUP(C:C,[1]基础信息!B$1:F$65536,5,0)</f>
        <v>#N/A</v>
      </c>
    </row>
    <row r="3131" spans="1:40">
      <c r="A3131" s="1" t="s">
        <v>41</v>
      </c>
      <c r="B3131" s="1" t="s">
        <v>42</v>
      </c>
      <c r="C3131" s="1" t="s">
        <v>4352</v>
      </c>
      <c r="D3131" s="1" t="s">
        <v>4353</v>
      </c>
      <c r="E3131" s="1" t="s">
        <v>45</v>
      </c>
      <c r="F3131" s="1" t="s">
        <v>7158</v>
      </c>
      <c r="G3131" s="1" t="s">
        <v>7171</v>
      </c>
      <c r="H3131" s="1" t="s">
        <v>7172</v>
      </c>
      <c r="I3131" s="1" t="s">
        <v>49</v>
      </c>
      <c r="J3131" s="1" t="s">
        <v>48</v>
      </c>
      <c r="K3131" s="1">
        <v>336</v>
      </c>
      <c r="L3131" s="1">
        <v>0</v>
      </c>
      <c r="M3131" s="1">
        <v>0</v>
      </c>
      <c r="N3131" s="1">
        <v>336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 t="s">
        <v>49</v>
      </c>
      <c r="AA3131" s="1" t="s">
        <v>49</v>
      </c>
      <c r="AB3131" s="1" t="s">
        <v>49</v>
      </c>
      <c r="AC3131" s="1" t="s">
        <v>1188</v>
      </c>
      <c r="AD3131" s="1" t="s">
        <v>1189</v>
      </c>
      <c r="AE3131" s="1" t="s">
        <v>1188</v>
      </c>
      <c r="AF3131" s="1" t="s">
        <v>6985</v>
      </c>
      <c r="AG3131" s="1" t="s">
        <v>53</v>
      </c>
      <c r="AH3131" s="1" t="s">
        <v>49</v>
      </c>
      <c r="AI3131" s="1" t="s">
        <v>54</v>
      </c>
      <c r="AJ3131" s="1">
        <v>1</v>
      </c>
      <c r="AK3131" s="1" t="str">
        <f t="shared" si="48"/>
        <v xml:space="preserve"> =&lt;90</v>
      </c>
      <c r="AL3131" s="1" t="e">
        <f>VLOOKUP(C:C,[1]基础信息!B$1:D$65536,3,0)</f>
        <v>#N/A</v>
      </c>
      <c r="AM3131" s="1" t="e">
        <f>VLOOKUP(C:C,[1]基础信息!B$1:E$65536,4,0)</f>
        <v>#N/A</v>
      </c>
      <c r="AN3131" s="1" t="e">
        <f>VLOOKUP(C:C,[1]基础信息!B$1:F$65536,5,0)</f>
        <v>#N/A</v>
      </c>
    </row>
    <row r="3132" spans="1:40">
      <c r="A3132" s="1" t="s">
        <v>41</v>
      </c>
      <c r="B3132" s="1" t="s">
        <v>42</v>
      </c>
      <c r="C3132" s="1" t="s">
        <v>4352</v>
      </c>
      <c r="D3132" s="1" t="s">
        <v>4353</v>
      </c>
      <c r="E3132" s="1" t="s">
        <v>45</v>
      </c>
      <c r="F3132" s="1" t="s">
        <v>7158</v>
      </c>
      <c r="G3132" s="1" t="s">
        <v>7173</v>
      </c>
      <c r="H3132" s="1" t="s">
        <v>7174</v>
      </c>
      <c r="I3132" s="1" t="s">
        <v>49</v>
      </c>
      <c r="J3132" s="1" t="s">
        <v>48</v>
      </c>
      <c r="K3132" s="1">
        <v>336</v>
      </c>
      <c r="L3132" s="1">
        <v>0</v>
      </c>
      <c r="M3132" s="1">
        <v>0</v>
      </c>
      <c r="N3132" s="1">
        <v>336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 t="s">
        <v>49</v>
      </c>
      <c r="AA3132" s="1" t="s">
        <v>49</v>
      </c>
      <c r="AB3132" s="1" t="s">
        <v>49</v>
      </c>
      <c r="AC3132" s="1" t="s">
        <v>1188</v>
      </c>
      <c r="AD3132" s="1" t="s">
        <v>1189</v>
      </c>
      <c r="AE3132" s="1" t="s">
        <v>1188</v>
      </c>
      <c r="AF3132" s="1" t="s">
        <v>6985</v>
      </c>
      <c r="AG3132" s="1" t="s">
        <v>53</v>
      </c>
      <c r="AH3132" s="1" t="s">
        <v>49</v>
      </c>
      <c r="AI3132" s="1" t="s">
        <v>54</v>
      </c>
      <c r="AJ3132" s="1">
        <v>1</v>
      </c>
      <c r="AK3132" s="1" t="str">
        <f t="shared" si="48"/>
        <v xml:space="preserve"> =&lt;90</v>
      </c>
      <c r="AL3132" s="1" t="e">
        <f>VLOOKUP(C:C,[1]基础信息!B$1:D$65536,3,0)</f>
        <v>#N/A</v>
      </c>
      <c r="AM3132" s="1" t="e">
        <f>VLOOKUP(C:C,[1]基础信息!B$1:E$65536,4,0)</f>
        <v>#N/A</v>
      </c>
      <c r="AN3132" s="1" t="e">
        <f>VLOOKUP(C:C,[1]基础信息!B$1:F$65536,5,0)</f>
        <v>#N/A</v>
      </c>
    </row>
    <row r="3133" spans="1:40">
      <c r="A3133" s="1" t="s">
        <v>41</v>
      </c>
      <c r="B3133" s="1" t="s">
        <v>42</v>
      </c>
      <c r="C3133" s="1" t="s">
        <v>4352</v>
      </c>
      <c r="D3133" s="1" t="s">
        <v>4353</v>
      </c>
      <c r="E3133" s="1" t="s">
        <v>45</v>
      </c>
      <c r="F3133" s="1" t="s">
        <v>7158</v>
      </c>
      <c r="G3133" s="1" t="s">
        <v>7175</v>
      </c>
      <c r="H3133" s="1" t="s">
        <v>7176</v>
      </c>
      <c r="I3133" s="1" t="s">
        <v>49</v>
      </c>
      <c r="J3133" s="1" t="s">
        <v>48</v>
      </c>
      <c r="K3133" s="1">
        <v>336</v>
      </c>
      <c r="L3133" s="1">
        <v>0</v>
      </c>
      <c r="M3133" s="1">
        <v>0</v>
      </c>
      <c r="N3133" s="1">
        <v>336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 t="s">
        <v>49</v>
      </c>
      <c r="AA3133" s="1" t="s">
        <v>49</v>
      </c>
      <c r="AB3133" s="1" t="s">
        <v>49</v>
      </c>
      <c r="AC3133" s="1" t="s">
        <v>1188</v>
      </c>
      <c r="AD3133" s="1" t="s">
        <v>1189</v>
      </c>
      <c r="AE3133" s="1" t="s">
        <v>1188</v>
      </c>
      <c r="AF3133" s="1" t="s">
        <v>6985</v>
      </c>
      <c r="AG3133" s="1" t="s">
        <v>53</v>
      </c>
      <c r="AH3133" s="1" t="s">
        <v>49</v>
      </c>
      <c r="AI3133" s="1" t="s">
        <v>54</v>
      </c>
      <c r="AJ3133" s="1">
        <v>1</v>
      </c>
      <c r="AK3133" s="1" t="str">
        <f t="shared" si="48"/>
        <v xml:space="preserve"> =&lt;90</v>
      </c>
      <c r="AL3133" s="1" t="e">
        <f>VLOOKUP(C:C,[1]基础信息!B$1:D$65536,3,0)</f>
        <v>#N/A</v>
      </c>
      <c r="AM3133" s="1" t="e">
        <f>VLOOKUP(C:C,[1]基础信息!B$1:E$65536,4,0)</f>
        <v>#N/A</v>
      </c>
      <c r="AN3133" s="1" t="e">
        <f>VLOOKUP(C:C,[1]基础信息!B$1:F$65536,5,0)</f>
        <v>#N/A</v>
      </c>
    </row>
    <row r="3134" spans="1:40">
      <c r="A3134" s="1" t="s">
        <v>41</v>
      </c>
      <c r="B3134" s="1" t="s">
        <v>42</v>
      </c>
      <c r="C3134" s="1" t="s">
        <v>4352</v>
      </c>
      <c r="D3134" s="1" t="s">
        <v>4353</v>
      </c>
      <c r="E3134" s="1" t="s">
        <v>45</v>
      </c>
      <c r="F3134" s="1" t="s">
        <v>7158</v>
      </c>
      <c r="G3134" s="1" t="s">
        <v>7177</v>
      </c>
      <c r="H3134" s="1" t="s">
        <v>7178</v>
      </c>
      <c r="I3134" s="1" t="s">
        <v>49</v>
      </c>
      <c r="J3134" s="1" t="s">
        <v>48</v>
      </c>
      <c r="K3134" s="1">
        <v>336</v>
      </c>
      <c r="L3134" s="1">
        <v>0</v>
      </c>
      <c r="M3134" s="1">
        <v>0</v>
      </c>
      <c r="N3134" s="1">
        <v>336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 t="s">
        <v>49</v>
      </c>
      <c r="AA3134" s="1" t="s">
        <v>49</v>
      </c>
      <c r="AB3134" s="1" t="s">
        <v>49</v>
      </c>
      <c r="AC3134" s="1" t="s">
        <v>1188</v>
      </c>
      <c r="AD3134" s="1" t="s">
        <v>1189</v>
      </c>
      <c r="AE3134" s="1" t="s">
        <v>1188</v>
      </c>
      <c r="AF3134" s="1" t="s">
        <v>6985</v>
      </c>
      <c r="AG3134" s="1" t="s">
        <v>53</v>
      </c>
      <c r="AH3134" s="1" t="s">
        <v>49</v>
      </c>
      <c r="AI3134" s="1" t="s">
        <v>54</v>
      </c>
      <c r="AJ3134" s="1">
        <v>1</v>
      </c>
      <c r="AK3134" s="1" t="str">
        <f t="shared" si="48"/>
        <v xml:space="preserve"> =&lt;90</v>
      </c>
      <c r="AL3134" s="1" t="e">
        <f>VLOOKUP(C:C,[1]基础信息!B$1:D$65536,3,0)</f>
        <v>#N/A</v>
      </c>
      <c r="AM3134" s="1" t="e">
        <f>VLOOKUP(C:C,[1]基础信息!B$1:E$65536,4,0)</f>
        <v>#N/A</v>
      </c>
      <c r="AN3134" s="1" t="e">
        <f>VLOOKUP(C:C,[1]基础信息!B$1:F$65536,5,0)</f>
        <v>#N/A</v>
      </c>
    </row>
    <row r="3135" spans="1:40">
      <c r="A3135" s="1" t="s">
        <v>41</v>
      </c>
      <c r="B3135" s="1" t="s">
        <v>42</v>
      </c>
      <c r="C3135" s="1" t="s">
        <v>5154</v>
      </c>
      <c r="D3135" s="1" t="s">
        <v>5155</v>
      </c>
      <c r="E3135" s="1" t="s">
        <v>45</v>
      </c>
      <c r="F3135" s="1" t="s">
        <v>7179</v>
      </c>
      <c r="G3135" s="1" t="s">
        <v>7180</v>
      </c>
      <c r="H3135" s="1" t="s">
        <v>7181</v>
      </c>
      <c r="I3135" s="1" t="s">
        <v>49</v>
      </c>
      <c r="J3135" s="1" t="s">
        <v>48</v>
      </c>
      <c r="K3135" s="1">
        <v>270</v>
      </c>
      <c r="L3135" s="1">
        <v>0</v>
      </c>
      <c r="M3135" s="1">
        <v>0</v>
      </c>
      <c r="N3135" s="1">
        <v>270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 t="s">
        <v>49</v>
      </c>
      <c r="AA3135" s="1" t="s">
        <v>49</v>
      </c>
      <c r="AB3135" s="1" t="s">
        <v>49</v>
      </c>
      <c r="AC3135" s="1" t="s">
        <v>1188</v>
      </c>
      <c r="AD3135" s="1" t="s">
        <v>1189</v>
      </c>
      <c r="AE3135" s="1" t="s">
        <v>1188</v>
      </c>
      <c r="AF3135" s="1" t="s">
        <v>7039</v>
      </c>
      <c r="AG3135" s="1" t="s">
        <v>53</v>
      </c>
      <c r="AH3135" s="1" t="s">
        <v>49</v>
      </c>
      <c r="AI3135" s="1" t="s">
        <v>54</v>
      </c>
      <c r="AJ3135" s="1">
        <v>1</v>
      </c>
      <c r="AK3135" s="1" t="str">
        <f t="shared" si="48"/>
        <v xml:space="preserve"> =&lt;90</v>
      </c>
      <c r="AL3135" s="1" t="e">
        <f>VLOOKUP(C:C,[1]基础信息!B$1:D$65536,3,0)</f>
        <v>#N/A</v>
      </c>
      <c r="AM3135" s="1" t="e">
        <f>VLOOKUP(C:C,[1]基础信息!B$1:E$65536,4,0)</f>
        <v>#N/A</v>
      </c>
      <c r="AN3135" s="1" t="e">
        <f>VLOOKUP(C:C,[1]基础信息!B$1:F$65536,5,0)</f>
        <v>#N/A</v>
      </c>
    </row>
    <row r="3136" spans="1:40">
      <c r="A3136" s="1" t="s">
        <v>41</v>
      </c>
      <c r="B3136" s="1" t="s">
        <v>42</v>
      </c>
      <c r="C3136" s="1" t="s">
        <v>5154</v>
      </c>
      <c r="D3136" s="1" t="s">
        <v>5155</v>
      </c>
      <c r="E3136" s="1" t="s">
        <v>45</v>
      </c>
      <c r="F3136" s="1" t="s">
        <v>7179</v>
      </c>
      <c r="G3136" s="1" t="s">
        <v>7182</v>
      </c>
      <c r="H3136" s="1" t="s">
        <v>7183</v>
      </c>
      <c r="I3136" s="1" t="s">
        <v>49</v>
      </c>
      <c r="J3136" s="1" t="s">
        <v>48</v>
      </c>
      <c r="K3136" s="1">
        <v>270</v>
      </c>
      <c r="L3136" s="1">
        <v>0</v>
      </c>
      <c r="M3136" s="1">
        <v>0</v>
      </c>
      <c r="N3136" s="1">
        <v>270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 t="s">
        <v>49</v>
      </c>
      <c r="AA3136" s="1" t="s">
        <v>49</v>
      </c>
      <c r="AB3136" s="1" t="s">
        <v>49</v>
      </c>
      <c r="AC3136" s="1" t="s">
        <v>1188</v>
      </c>
      <c r="AD3136" s="1" t="s">
        <v>1189</v>
      </c>
      <c r="AE3136" s="1" t="s">
        <v>1188</v>
      </c>
      <c r="AF3136" s="1" t="s">
        <v>7039</v>
      </c>
      <c r="AG3136" s="1" t="s">
        <v>53</v>
      </c>
      <c r="AH3136" s="1" t="s">
        <v>49</v>
      </c>
      <c r="AI3136" s="1" t="s">
        <v>54</v>
      </c>
      <c r="AJ3136" s="1">
        <v>1</v>
      </c>
      <c r="AK3136" s="1" t="str">
        <f t="shared" si="48"/>
        <v xml:space="preserve"> =&lt;90</v>
      </c>
      <c r="AL3136" s="1" t="e">
        <f>VLOOKUP(C:C,[1]基础信息!B$1:D$65536,3,0)</f>
        <v>#N/A</v>
      </c>
      <c r="AM3136" s="1" t="e">
        <f>VLOOKUP(C:C,[1]基础信息!B$1:E$65536,4,0)</f>
        <v>#N/A</v>
      </c>
      <c r="AN3136" s="1" t="e">
        <f>VLOOKUP(C:C,[1]基础信息!B$1:F$65536,5,0)</f>
        <v>#N/A</v>
      </c>
    </row>
    <row r="3137" spans="1:40">
      <c r="A3137" s="1" t="s">
        <v>41</v>
      </c>
      <c r="B3137" s="1" t="s">
        <v>42</v>
      </c>
      <c r="C3137" s="1" t="s">
        <v>341</v>
      </c>
      <c r="D3137" s="1" t="s">
        <v>342</v>
      </c>
      <c r="E3137" s="1" t="s">
        <v>45</v>
      </c>
      <c r="F3137" s="1" t="s">
        <v>343</v>
      </c>
      <c r="G3137" s="1" t="s">
        <v>7184</v>
      </c>
      <c r="H3137" s="1" t="s">
        <v>7185</v>
      </c>
      <c r="I3137" s="1" t="s">
        <v>49</v>
      </c>
      <c r="J3137" s="1" t="s">
        <v>48</v>
      </c>
      <c r="K3137" s="1">
        <v>70</v>
      </c>
      <c r="L3137" s="1">
        <v>0</v>
      </c>
      <c r="M3137" s="1">
        <v>0</v>
      </c>
      <c r="N3137" s="1">
        <v>70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 t="s">
        <v>49</v>
      </c>
      <c r="AA3137" s="1" t="s">
        <v>49</v>
      </c>
      <c r="AB3137" s="1" t="s">
        <v>49</v>
      </c>
      <c r="AC3137" s="1" t="s">
        <v>346</v>
      </c>
      <c r="AD3137" s="1" t="s">
        <v>347</v>
      </c>
      <c r="AE3137" s="1" t="s">
        <v>346</v>
      </c>
      <c r="AF3137" s="1" t="s">
        <v>348</v>
      </c>
      <c r="AG3137" s="1" t="s">
        <v>338</v>
      </c>
      <c r="AH3137" s="1" t="s">
        <v>49</v>
      </c>
      <c r="AI3137" s="1" t="s">
        <v>54</v>
      </c>
      <c r="AJ3137" s="1">
        <v>1</v>
      </c>
      <c r="AK3137" s="1" t="str">
        <f t="shared" si="48"/>
        <v xml:space="preserve"> =&lt;90</v>
      </c>
      <c r="AL3137" s="1" t="str">
        <f>VLOOKUP(C:C,[1]基础信息!B$1:D$65536,3,0)</f>
        <v>Jug</v>
      </c>
      <c r="AM3137" s="1" t="str">
        <f>VLOOKUP(C:C,[1]基础信息!B$1:E$65536,4,0)</f>
        <v>Marella</v>
      </c>
      <c r="AN3137" s="1" t="str">
        <f>VLOOKUP(C:C,[1]基础信息!B$1:F$65536,5,0)</f>
        <v>Blue Glitter</v>
      </c>
    </row>
    <row r="3138" spans="1:40">
      <c r="A3138" s="1" t="s">
        <v>41</v>
      </c>
      <c r="B3138" s="1" t="s">
        <v>42</v>
      </c>
      <c r="C3138" s="1" t="s">
        <v>3796</v>
      </c>
      <c r="D3138" s="1" t="s">
        <v>3797</v>
      </c>
      <c r="E3138" s="1" t="s">
        <v>3796</v>
      </c>
      <c r="F3138" s="1" t="s">
        <v>5312</v>
      </c>
      <c r="G3138" s="1" t="s">
        <v>7186</v>
      </c>
      <c r="H3138" s="1" t="s">
        <v>45</v>
      </c>
      <c r="I3138" s="1" t="s">
        <v>45</v>
      </c>
      <c r="J3138" s="1" t="s">
        <v>48</v>
      </c>
      <c r="K3138" s="1">
        <v>82</v>
      </c>
      <c r="L3138" s="1">
        <v>0</v>
      </c>
      <c r="M3138" s="1">
        <v>0</v>
      </c>
      <c r="N3138" s="1">
        <v>82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 t="s">
        <v>49</v>
      </c>
      <c r="AA3138" s="1" t="s">
        <v>49</v>
      </c>
      <c r="AB3138" s="1" t="s">
        <v>49</v>
      </c>
      <c r="AC3138" s="1" t="s">
        <v>5244</v>
      </c>
      <c r="AD3138" s="1" t="s">
        <v>5245</v>
      </c>
      <c r="AE3138" s="1" t="s">
        <v>5244</v>
      </c>
      <c r="AF3138" s="1" t="s">
        <v>4306</v>
      </c>
      <c r="AG3138" s="1" t="s">
        <v>338</v>
      </c>
      <c r="AH3138" s="1" t="s">
        <v>49</v>
      </c>
      <c r="AI3138" s="1" t="s">
        <v>54</v>
      </c>
      <c r="AJ3138" s="1">
        <v>1</v>
      </c>
      <c r="AK3138" s="1" t="str">
        <f t="shared" ref="AK3138:AK3201" si="49">IF(AJ3138&gt;$AP$2,$AQ$2,IF(AJ3138&gt;$AP$3,$AQ$3,IF(AJ3138&gt;$AP$4,$AQ$4,$AQ$5)))</f>
        <v xml:space="preserve"> =&lt;90</v>
      </c>
      <c r="AL3138" s="1" t="str">
        <f>VLOOKUP(C:C,[1]基础信息!B$1:D$65536,3,0)</f>
        <v>Jug</v>
      </c>
      <c r="AM3138" s="1" t="str">
        <f>VLOOKUP(C:C,[1]基础信息!B$1:E$65536,4,0)</f>
        <v>Aluna</v>
      </c>
      <c r="AN3138" s="1" t="str">
        <f>VLOOKUP(C:C,[1]基础信息!B$1:F$65536,5,0)</f>
        <v>Blue</v>
      </c>
    </row>
    <row r="3139" spans="1:40">
      <c r="A3139" s="1" t="s">
        <v>41</v>
      </c>
      <c r="B3139" s="1" t="s">
        <v>42</v>
      </c>
      <c r="C3139" s="1" t="s">
        <v>5154</v>
      </c>
      <c r="D3139" s="1" t="s">
        <v>5155</v>
      </c>
      <c r="E3139" s="1" t="s">
        <v>45</v>
      </c>
      <c r="F3139" s="1" t="s">
        <v>7179</v>
      </c>
      <c r="G3139" s="1" t="s">
        <v>7187</v>
      </c>
      <c r="H3139" s="1" t="s">
        <v>7188</v>
      </c>
      <c r="I3139" s="1" t="s">
        <v>49</v>
      </c>
      <c r="J3139" s="1" t="s">
        <v>48</v>
      </c>
      <c r="K3139" s="1">
        <v>270</v>
      </c>
      <c r="L3139" s="1">
        <v>0</v>
      </c>
      <c r="M3139" s="1">
        <v>0</v>
      </c>
      <c r="N3139" s="1">
        <v>270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 t="s">
        <v>49</v>
      </c>
      <c r="AA3139" s="1" t="s">
        <v>49</v>
      </c>
      <c r="AB3139" s="1" t="s">
        <v>49</v>
      </c>
      <c r="AC3139" s="1" t="s">
        <v>1188</v>
      </c>
      <c r="AD3139" s="1" t="s">
        <v>1189</v>
      </c>
      <c r="AE3139" s="1" t="s">
        <v>1188</v>
      </c>
      <c r="AF3139" s="1" t="s">
        <v>7039</v>
      </c>
      <c r="AG3139" s="1" t="s">
        <v>53</v>
      </c>
      <c r="AH3139" s="1" t="s">
        <v>49</v>
      </c>
      <c r="AI3139" s="1" t="s">
        <v>54</v>
      </c>
      <c r="AJ3139" s="1">
        <v>1</v>
      </c>
      <c r="AK3139" s="1" t="str">
        <f t="shared" si="49"/>
        <v xml:space="preserve"> =&lt;90</v>
      </c>
      <c r="AL3139" s="1" t="e">
        <f>VLOOKUP(C:C,[1]基础信息!B$1:D$65536,3,0)</f>
        <v>#N/A</v>
      </c>
      <c r="AM3139" s="1" t="e">
        <f>VLOOKUP(C:C,[1]基础信息!B$1:E$65536,4,0)</f>
        <v>#N/A</v>
      </c>
      <c r="AN3139" s="1" t="e">
        <f>VLOOKUP(C:C,[1]基础信息!B$1:F$65536,5,0)</f>
        <v>#N/A</v>
      </c>
    </row>
    <row r="3140" spans="1:40">
      <c r="A3140" s="1" t="s">
        <v>41</v>
      </c>
      <c r="B3140" s="1" t="s">
        <v>42</v>
      </c>
      <c r="C3140" s="1" t="s">
        <v>1437</v>
      </c>
      <c r="D3140" s="1" t="s">
        <v>1438</v>
      </c>
      <c r="E3140" s="1" t="s">
        <v>45</v>
      </c>
      <c r="F3140" s="1" t="s">
        <v>7022</v>
      </c>
      <c r="G3140" s="1" t="s">
        <v>7189</v>
      </c>
      <c r="H3140" s="1" t="s">
        <v>45</v>
      </c>
      <c r="I3140" s="1" t="s">
        <v>45</v>
      </c>
      <c r="J3140" s="1" t="s">
        <v>48</v>
      </c>
      <c r="K3140" s="1">
        <v>540</v>
      </c>
      <c r="L3140" s="1">
        <v>0</v>
      </c>
      <c r="M3140" s="1">
        <v>0</v>
      </c>
      <c r="N3140" s="1">
        <v>540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 t="s">
        <v>49</v>
      </c>
      <c r="AA3140" s="1" t="s">
        <v>49</v>
      </c>
      <c r="AB3140" s="1" t="s">
        <v>49</v>
      </c>
      <c r="AC3140" s="1" t="s">
        <v>7024</v>
      </c>
      <c r="AD3140" s="1" t="s">
        <v>7025</v>
      </c>
      <c r="AE3140" s="1" t="s">
        <v>7024</v>
      </c>
      <c r="AF3140" s="1" t="s">
        <v>49</v>
      </c>
      <c r="AG3140" s="1" t="s">
        <v>53</v>
      </c>
      <c r="AH3140" s="1" t="s">
        <v>49</v>
      </c>
      <c r="AI3140" s="1" t="s">
        <v>54</v>
      </c>
      <c r="AJ3140" s="1">
        <v>1</v>
      </c>
      <c r="AK3140" s="1" t="str">
        <f t="shared" si="49"/>
        <v xml:space="preserve"> =&lt;90</v>
      </c>
      <c r="AL3140" s="1" t="str">
        <f>VLOOKUP(C:C,[1]基础信息!B$1:D$65536,3,0)</f>
        <v>On tap</v>
      </c>
      <c r="AM3140" s="1" t="str">
        <f>VLOOKUP(C:C,[1]基础信息!B$1:E$65536,4,0)</f>
        <v>On tap</v>
      </c>
      <c r="AN3140" s="1" t="str">
        <f>VLOOKUP(C:C,[1]基础信息!B$1:F$65536,5,0)</f>
        <v>On tap</v>
      </c>
    </row>
    <row r="3141" spans="1:40">
      <c r="A3141" s="1" t="s">
        <v>41</v>
      </c>
      <c r="B3141" s="1" t="s">
        <v>42</v>
      </c>
      <c r="C3141" s="1" t="s">
        <v>341</v>
      </c>
      <c r="D3141" s="1" t="s">
        <v>342</v>
      </c>
      <c r="E3141" s="1" t="s">
        <v>45</v>
      </c>
      <c r="F3141" s="1" t="s">
        <v>343</v>
      </c>
      <c r="G3141" s="1" t="s">
        <v>7190</v>
      </c>
      <c r="H3141" s="1" t="s">
        <v>7191</v>
      </c>
      <c r="I3141" s="1" t="s">
        <v>49</v>
      </c>
      <c r="J3141" s="1" t="s">
        <v>48</v>
      </c>
      <c r="K3141" s="1">
        <v>70</v>
      </c>
      <c r="L3141" s="1">
        <v>0</v>
      </c>
      <c r="M3141" s="1">
        <v>0</v>
      </c>
      <c r="N3141" s="1">
        <v>70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 t="s">
        <v>49</v>
      </c>
      <c r="AA3141" s="1" t="s">
        <v>49</v>
      </c>
      <c r="AB3141" s="1" t="s">
        <v>49</v>
      </c>
      <c r="AC3141" s="1" t="s">
        <v>346</v>
      </c>
      <c r="AD3141" s="1" t="s">
        <v>347</v>
      </c>
      <c r="AE3141" s="1" t="s">
        <v>346</v>
      </c>
      <c r="AF3141" s="1" t="s">
        <v>348</v>
      </c>
      <c r="AG3141" s="1" t="s">
        <v>338</v>
      </c>
      <c r="AH3141" s="1" t="s">
        <v>49</v>
      </c>
      <c r="AI3141" s="1" t="s">
        <v>54</v>
      </c>
      <c r="AJ3141" s="1">
        <v>1</v>
      </c>
      <c r="AK3141" s="1" t="str">
        <f t="shared" si="49"/>
        <v xml:space="preserve"> =&lt;90</v>
      </c>
      <c r="AL3141" s="1" t="str">
        <f>VLOOKUP(C:C,[1]基础信息!B$1:D$65536,3,0)</f>
        <v>Jug</v>
      </c>
      <c r="AM3141" s="1" t="str">
        <f>VLOOKUP(C:C,[1]基础信息!B$1:E$65536,4,0)</f>
        <v>Marella</v>
      </c>
      <c r="AN3141" s="1" t="str">
        <f>VLOOKUP(C:C,[1]基础信息!B$1:F$65536,5,0)</f>
        <v>Blue Glitter</v>
      </c>
    </row>
    <row r="3142" spans="1:40">
      <c r="A3142" s="1" t="s">
        <v>41</v>
      </c>
      <c r="B3142" s="1" t="s">
        <v>42</v>
      </c>
      <c r="C3142" s="1" t="s">
        <v>5154</v>
      </c>
      <c r="D3142" s="1" t="s">
        <v>5155</v>
      </c>
      <c r="E3142" s="1" t="s">
        <v>45</v>
      </c>
      <c r="F3142" s="1" t="s">
        <v>7179</v>
      </c>
      <c r="G3142" s="1" t="s">
        <v>7192</v>
      </c>
      <c r="H3142" s="1" t="s">
        <v>7193</v>
      </c>
      <c r="I3142" s="1" t="s">
        <v>49</v>
      </c>
      <c r="J3142" s="1" t="s">
        <v>48</v>
      </c>
      <c r="K3142" s="1">
        <v>270</v>
      </c>
      <c r="L3142" s="1">
        <v>0</v>
      </c>
      <c r="M3142" s="1">
        <v>0</v>
      </c>
      <c r="N3142" s="1">
        <v>270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 t="s">
        <v>49</v>
      </c>
      <c r="AA3142" s="1" t="s">
        <v>49</v>
      </c>
      <c r="AB3142" s="1" t="s">
        <v>49</v>
      </c>
      <c r="AC3142" s="1" t="s">
        <v>1188</v>
      </c>
      <c r="AD3142" s="1" t="s">
        <v>1189</v>
      </c>
      <c r="AE3142" s="1" t="s">
        <v>1188</v>
      </c>
      <c r="AF3142" s="1" t="s">
        <v>7039</v>
      </c>
      <c r="AG3142" s="1" t="s">
        <v>53</v>
      </c>
      <c r="AH3142" s="1" t="s">
        <v>49</v>
      </c>
      <c r="AI3142" s="1" t="s">
        <v>54</v>
      </c>
      <c r="AJ3142" s="1">
        <v>1</v>
      </c>
      <c r="AK3142" s="1" t="str">
        <f t="shared" si="49"/>
        <v xml:space="preserve"> =&lt;90</v>
      </c>
      <c r="AL3142" s="1" t="e">
        <f>VLOOKUP(C:C,[1]基础信息!B$1:D$65536,3,0)</f>
        <v>#N/A</v>
      </c>
      <c r="AM3142" s="1" t="e">
        <f>VLOOKUP(C:C,[1]基础信息!B$1:E$65536,4,0)</f>
        <v>#N/A</v>
      </c>
      <c r="AN3142" s="1" t="e">
        <f>VLOOKUP(C:C,[1]基础信息!B$1:F$65536,5,0)</f>
        <v>#N/A</v>
      </c>
    </row>
    <row r="3143" spans="1:40">
      <c r="A3143" s="1" t="s">
        <v>41</v>
      </c>
      <c r="B3143" s="1" t="s">
        <v>42</v>
      </c>
      <c r="C3143" s="1" t="s">
        <v>5154</v>
      </c>
      <c r="D3143" s="1" t="s">
        <v>5155</v>
      </c>
      <c r="E3143" s="1" t="s">
        <v>45</v>
      </c>
      <c r="F3143" s="1" t="s">
        <v>7179</v>
      </c>
      <c r="G3143" s="1" t="s">
        <v>7194</v>
      </c>
      <c r="H3143" s="1" t="s">
        <v>7195</v>
      </c>
      <c r="I3143" s="1" t="s">
        <v>49</v>
      </c>
      <c r="J3143" s="1" t="s">
        <v>48</v>
      </c>
      <c r="K3143" s="1">
        <v>270</v>
      </c>
      <c r="L3143" s="1">
        <v>0</v>
      </c>
      <c r="M3143" s="1">
        <v>0</v>
      </c>
      <c r="N3143" s="1">
        <v>270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 t="s">
        <v>49</v>
      </c>
      <c r="AA3143" s="1" t="s">
        <v>49</v>
      </c>
      <c r="AB3143" s="1" t="s">
        <v>49</v>
      </c>
      <c r="AC3143" s="1" t="s">
        <v>1188</v>
      </c>
      <c r="AD3143" s="1" t="s">
        <v>1189</v>
      </c>
      <c r="AE3143" s="1" t="s">
        <v>1188</v>
      </c>
      <c r="AF3143" s="1" t="s">
        <v>7039</v>
      </c>
      <c r="AG3143" s="1" t="s">
        <v>53</v>
      </c>
      <c r="AH3143" s="1" t="s">
        <v>49</v>
      </c>
      <c r="AI3143" s="1" t="s">
        <v>54</v>
      </c>
      <c r="AJ3143" s="1">
        <v>1</v>
      </c>
      <c r="AK3143" s="1" t="str">
        <f t="shared" si="49"/>
        <v xml:space="preserve"> =&lt;90</v>
      </c>
      <c r="AL3143" s="1" t="e">
        <f>VLOOKUP(C:C,[1]基础信息!B$1:D$65536,3,0)</f>
        <v>#N/A</v>
      </c>
      <c r="AM3143" s="1" t="e">
        <f>VLOOKUP(C:C,[1]基础信息!B$1:E$65536,4,0)</f>
        <v>#N/A</v>
      </c>
      <c r="AN3143" s="1" t="e">
        <f>VLOOKUP(C:C,[1]基础信息!B$1:F$65536,5,0)</f>
        <v>#N/A</v>
      </c>
    </row>
    <row r="3144" spans="1:40">
      <c r="A3144" s="1" t="s">
        <v>41</v>
      </c>
      <c r="B3144" s="1" t="s">
        <v>42</v>
      </c>
      <c r="C3144" s="1" t="s">
        <v>5154</v>
      </c>
      <c r="D3144" s="1" t="s">
        <v>5155</v>
      </c>
      <c r="E3144" s="1" t="s">
        <v>45</v>
      </c>
      <c r="F3144" s="1" t="s">
        <v>7179</v>
      </c>
      <c r="G3144" s="1" t="s">
        <v>7196</v>
      </c>
      <c r="H3144" s="1" t="s">
        <v>7197</v>
      </c>
      <c r="I3144" s="1" t="s">
        <v>49</v>
      </c>
      <c r="J3144" s="1" t="s">
        <v>48</v>
      </c>
      <c r="K3144" s="1">
        <v>270</v>
      </c>
      <c r="L3144" s="1">
        <v>0</v>
      </c>
      <c r="M3144" s="1">
        <v>0</v>
      </c>
      <c r="N3144" s="1">
        <v>270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 t="s">
        <v>49</v>
      </c>
      <c r="AA3144" s="1" t="s">
        <v>49</v>
      </c>
      <c r="AB3144" s="1" t="s">
        <v>49</v>
      </c>
      <c r="AC3144" s="1" t="s">
        <v>1188</v>
      </c>
      <c r="AD3144" s="1" t="s">
        <v>1189</v>
      </c>
      <c r="AE3144" s="1" t="s">
        <v>1188</v>
      </c>
      <c r="AF3144" s="1" t="s">
        <v>7039</v>
      </c>
      <c r="AG3144" s="1" t="s">
        <v>53</v>
      </c>
      <c r="AH3144" s="1" t="s">
        <v>49</v>
      </c>
      <c r="AI3144" s="1" t="s">
        <v>54</v>
      </c>
      <c r="AJ3144" s="1">
        <v>1</v>
      </c>
      <c r="AK3144" s="1" t="str">
        <f t="shared" si="49"/>
        <v xml:space="preserve"> =&lt;90</v>
      </c>
      <c r="AL3144" s="1" t="e">
        <f>VLOOKUP(C:C,[1]基础信息!B$1:D$65536,3,0)</f>
        <v>#N/A</v>
      </c>
      <c r="AM3144" s="1" t="e">
        <f>VLOOKUP(C:C,[1]基础信息!B$1:E$65536,4,0)</f>
        <v>#N/A</v>
      </c>
      <c r="AN3144" s="1" t="e">
        <f>VLOOKUP(C:C,[1]基础信息!B$1:F$65536,5,0)</f>
        <v>#N/A</v>
      </c>
    </row>
    <row r="3145" spans="1:40">
      <c r="A3145" s="1" t="s">
        <v>41</v>
      </c>
      <c r="B3145" s="1" t="s">
        <v>42</v>
      </c>
      <c r="C3145" s="1" t="s">
        <v>5154</v>
      </c>
      <c r="D3145" s="1" t="s">
        <v>5155</v>
      </c>
      <c r="E3145" s="1" t="s">
        <v>45</v>
      </c>
      <c r="F3145" s="1" t="s">
        <v>7179</v>
      </c>
      <c r="G3145" s="1" t="s">
        <v>7198</v>
      </c>
      <c r="H3145" s="1" t="s">
        <v>7199</v>
      </c>
      <c r="I3145" s="1" t="s">
        <v>49</v>
      </c>
      <c r="J3145" s="1" t="s">
        <v>48</v>
      </c>
      <c r="K3145" s="1">
        <v>270</v>
      </c>
      <c r="L3145" s="1">
        <v>0</v>
      </c>
      <c r="M3145" s="1">
        <v>0</v>
      </c>
      <c r="N3145" s="1">
        <v>270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 t="s">
        <v>49</v>
      </c>
      <c r="AA3145" s="1" t="s">
        <v>49</v>
      </c>
      <c r="AB3145" s="1" t="s">
        <v>49</v>
      </c>
      <c r="AC3145" s="1" t="s">
        <v>1188</v>
      </c>
      <c r="AD3145" s="1" t="s">
        <v>1189</v>
      </c>
      <c r="AE3145" s="1" t="s">
        <v>1188</v>
      </c>
      <c r="AF3145" s="1" t="s">
        <v>7039</v>
      </c>
      <c r="AG3145" s="1" t="s">
        <v>53</v>
      </c>
      <c r="AH3145" s="1" t="s">
        <v>49</v>
      </c>
      <c r="AI3145" s="1" t="s">
        <v>54</v>
      </c>
      <c r="AJ3145" s="1">
        <v>1</v>
      </c>
      <c r="AK3145" s="1" t="str">
        <f t="shared" si="49"/>
        <v xml:space="preserve"> =&lt;90</v>
      </c>
      <c r="AL3145" s="1" t="e">
        <f>VLOOKUP(C:C,[1]基础信息!B$1:D$65536,3,0)</f>
        <v>#N/A</v>
      </c>
      <c r="AM3145" s="1" t="e">
        <f>VLOOKUP(C:C,[1]基础信息!B$1:E$65536,4,0)</f>
        <v>#N/A</v>
      </c>
      <c r="AN3145" s="1" t="e">
        <f>VLOOKUP(C:C,[1]基础信息!B$1:F$65536,5,0)</f>
        <v>#N/A</v>
      </c>
    </row>
    <row r="3146" spans="1:40">
      <c r="A3146" s="1" t="s">
        <v>41</v>
      </c>
      <c r="B3146" s="1" t="s">
        <v>42</v>
      </c>
      <c r="C3146" s="1" t="s">
        <v>5154</v>
      </c>
      <c r="D3146" s="1" t="s">
        <v>5155</v>
      </c>
      <c r="E3146" s="1" t="s">
        <v>45</v>
      </c>
      <c r="F3146" s="1" t="s">
        <v>7179</v>
      </c>
      <c r="G3146" s="1" t="s">
        <v>7200</v>
      </c>
      <c r="H3146" s="1" t="s">
        <v>7201</v>
      </c>
      <c r="I3146" s="1" t="s">
        <v>49</v>
      </c>
      <c r="J3146" s="1" t="s">
        <v>48</v>
      </c>
      <c r="K3146" s="1">
        <v>270</v>
      </c>
      <c r="L3146" s="1">
        <v>0</v>
      </c>
      <c r="M3146" s="1">
        <v>0</v>
      </c>
      <c r="N3146" s="1">
        <v>270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 t="s">
        <v>49</v>
      </c>
      <c r="AA3146" s="1" t="s">
        <v>49</v>
      </c>
      <c r="AB3146" s="1" t="s">
        <v>49</v>
      </c>
      <c r="AC3146" s="1" t="s">
        <v>1188</v>
      </c>
      <c r="AD3146" s="1" t="s">
        <v>1189</v>
      </c>
      <c r="AE3146" s="1" t="s">
        <v>1188</v>
      </c>
      <c r="AF3146" s="1" t="s">
        <v>7039</v>
      </c>
      <c r="AG3146" s="1" t="s">
        <v>53</v>
      </c>
      <c r="AH3146" s="1" t="s">
        <v>49</v>
      </c>
      <c r="AI3146" s="1" t="s">
        <v>54</v>
      </c>
      <c r="AJ3146" s="1">
        <v>1</v>
      </c>
      <c r="AK3146" s="1" t="str">
        <f t="shared" si="49"/>
        <v xml:space="preserve"> =&lt;90</v>
      </c>
      <c r="AL3146" s="1" t="e">
        <f>VLOOKUP(C:C,[1]基础信息!B$1:D$65536,3,0)</f>
        <v>#N/A</v>
      </c>
      <c r="AM3146" s="1" t="e">
        <f>VLOOKUP(C:C,[1]基础信息!B$1:E$65536,4,0)</f>
        <v>#N/A</v>
      </c>
      <c r="AN3146" s="1" t="e">
        <f>VLOOKUP(C:C,[1]基础信息!B$1:F$65536,5,0)</f>
        <v>#N/A</v>
      </c>
    </row>
    <row r="3147" spans="1:40">
      <c r="A3147" s="1" t="s">
        <v>41</v>
      </c>
      <c r="B3147" s="1" t="s">
        <v>42</v>
      </c>
      <c r="C3147" s="1" t="s">
        <v>5154</v>
      </c>
      <c r="D3147" s="1" t="s">
        <v>5155</v>
      </c>
      <c r="E3147" s="1" t="s">
        <v>45</v>
      </c>
      <c r="F3147" s="1" t="s">
        <v>7179</v>
      </c>
      <c r="G3147" s="1" t="s">
        <v>7202</v>
      </c>
      <c r="H3147" s="1" t="s">
        <v>7203</v>
      </c>
      <c r="I3147" s="1" t="s">
        <v>49</v>
      </c>
      <c r="J3147" s="1" t="s">
        <v>48</v>
      </c>
      <c r="K3147" s="1">
        <v>270</v>
      </c>
      <c r="L3147" s="1">
        <v>0</v>
      </c>
      <c r="M3147" s="1">
        <v>0</v>
      </c>
      <c r="N3147" s="1">
        <v>270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 t="s">
        <v>49</v>
      </c>
      <c r="AA3147" s="1" t="s">
        <v>49</v>
      </c>
      <c r="AB3147" s="1" t="s">
        <v>49</v>
      </c>
      <c r="AC3147" s="1" t="s">
        <v>1188</v>
      </c>
      <c r="AD3147" s="1" t="s">
        <v>1189</v>
      </c>
      <c r="AE3147" s="1" t="s">
        <v>1188</v>
      </c>
      <c r="AF3147" s="1" t="s">
        <v>7039</v>
      </c>
      <c r="AG3147" s="1" t="s">
        <v>53</v>
      </c>
      <c r="AH3147" s="1" t="s">
        <v>49</v>
      </c>
      <c r="AI3147" s="1" t="s">
        <v>54</v>
      </c>
      <c r="AJ3147" s="1">
        <v>1</v>
      </c>
      <c r="AK3147" s="1" t="str">
        <f t="shared" si="49"/>
        <v xml:space="preserve"> =&lt;90</v>
      </c>
      <c r="AL3147" s="1" t="e">
        <f>VLOOKUP(C:C,[1]基础信息!B$1:D$65536,3,0)</f>
        <v>#N/A</v>
      </c>
      <c r="AM3147" s="1" t="e">
        <f>VLOOKUP(C:C,[1]基础信息!B$1:E$65536,4,0)</f>
        <v>#N/A</v>
      </c>
      <c r="AN3147" s="1" t="e">
        <f>VLOOKUP(C:C,[1]基础信息!B$1:F$65536,5,0)</f>
        <v>#N/A</v>
      </c>
    </row>
    <row r="3148" spans="1:40">
      <c r="A3148" s="1" t="s">
        <v>41</v>
      </c>
      <c r="B3148" s="1" t="s">
        <v>42</v>
      </c>
      <c r="C3148" s="1" t="s">
        <v>5154</v>
      </c>
      <c r="D3148" s="1" t="s">
        <v>5155</v>
      </c>
      <c r="E3148" s="1" t="s">
        <v>45</v>
      </c>
      <c r="F3148" s="1" t="s">
        <v>7179</v>
      </c>
      <c r="G3148" s="1" t="s">
        <v>7204</v>
      </c>
      <c r="H3148" s="1" t="s">
        <v>7205</v>
      </c>
      <c r="I3148" s="1" t="s">
        <v>49</v>
      </c>
      <c r="J3148" s="1" t="s">
        <v>48</v>
      </c>
      <c r="K3148" s="1">
        <v>270</v>
      </c>
      <c r="L3148" s="1">
        <v>0</v>
      </c>
      <c r="M3148" s="1">
        <v>0</v>
      </c>
      <c r="N3148" s="1">
        <v>270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 t="s">
        <v>49</v>
      </c>
      <c r="AA3148" s="1" t="s">
        <v>49</v>
      </c>
      <c r="AB3148" s="1" t="s">
        <v>49</v>
      </c>
      <c r="AC3148" s="1" t="s">
        <v>1188</v>
      </c>
      <c r="AD3148" s="1" t="s">
        <v>1189</v>
      </c>
      <c r="AE3148" s="1" t="s">
        <v>1188</v>
      </c>
      <c r="AF3148" s="1" t="s">
        <v>7039</v>
      </c>
      <c r="AG3148" s="1" t="s">
        <v>53</v>
      </c>
      <c r="AH3148" s="1" t="s">
        <v>49</v>
      </c>
      <c r="AI3148" s="1" t="s">
        <v>54</v>
      </c>
      <c r="AJ3148" s="1">
        <v>1</v>
      </c>
      <c r="AK3148" s="1" t="str">
        <f t="shared" si="49"/>
        <v xml:space="preserve"> =&lt;90</v>
      </c>
      <c r="AL3148" s="1" t="e">
        <f>VLOOKUP(C:C,[1]基础信息!B$1:D$65536,3,0)</f>
        <v>#N/A</v>
      </c>
      <c r="AM3148" s="1" t="e">
        <f>VLOOKUP(C:C,[1]基础信息!B$1:E$65536,4,0)</f>
        <v>#N/A</v>
      </c>
      <c r="AN3148" s="1" t="e">
        <f>VLOOKUP(C:C,[1]基础信息!B$1:F$65536,5,0)</f>
        <v>#N/A</v>
      </c>
    </row>
    <row r="3149" spans="1:40">
      <c r="A3149" s="1" t="s">
        <v>41</v>
      </c>
      <c r="B3149" s="1" t="s">
        <v>42</v>
      </c>
      <c r="C3149" s="1" t="s">
        <v>5154</v>
      </c>
      <c r="D3149" s="1" t="s">
        <v>5155</v>
      </c>
      <c r="E3149" s="1" t="s">
        <v>45</v>
      </c>
      <c r="F3149" s="1" t="s">
        <v>7179</v>
      </c>
      <c r="G3149" s="1" t="s">
        <v>7206</v>
      </c>
      <c r="H3149" s="1" t="s">
        <v>7207</v>
      </c>
      <c r="I3149" s="1" t="s">
        <v>49</v>
      </c>
      <c r="J3149" s="1" t="s">
        <v>48</v>
      </c>
      <c r="K3149" s="1">
        <v>270</v>
      </c>
      <c r="L3149" s="1">
        <v>0</v>
      </c>
      <c r="M3149" s="1">
        <v>0</v>
      </c>
      <c r="N3149" s="1">
        <v>270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 t="s">
        <v>49</v>
      </c>
      <c r="AA3149" s="1" t="s">
        <v>49</v>
      </c>
      <c r="AB3149" s="1" t="s">
        <v>49</v>
      </c>
      <c r="AC3149" s="1" t="s">
        <v>1188</v>
      </c>
      <c r="AD3149" s="1" t="s">
        <v>1189</v>
      </c>
      <c r="AE3149" s="1" t="s">
        <v>1188</v>
      </c>
      <c r="AF3149" s="1" t="s">
        <v>7039</v>
      </c>
      <c r="AG3149" s="1" t="s">
        <v>53</v>
      </c>
      <c r="AH3149" s="1" t="s">
        <v>49</v>
      </c>
      <c r="AI3149" s="1" t="s">
        <v>54</v>
      </c>
      <c r="AJ3149" s="1">
        <v>1</v>
      </c>
      <c r="AK3149" s="1" t="str">
        <f t="shared" si="49"/>
        <v xml:space="preserve"> =&lt;90</v>
      </c>
      <c r="AL3149" s="1" t="e">
        <f>VLOOKUP(C:C,[1]基础信息!B$1:D$65536,3,0)</f>
        <v>#N/A</v>
      </c>
      <c r="AM3149" s="1" t="e">
        <f>VLOOKUP(C:C,[1]基础信息!B$1:E$65536,4,0)</f>
        <v>#N/A</v>
      </c>
      <c r="AN3149" s="1" t="e">
        <f>VLOOKUP(C:C,[1]基础信息!B$1:F$65536,5,0)</f>
        <v>#N/A</v>
      </c>
    </row>
    <row r="3150" spans="1:40">
      <c r="A3150" s="1" t="s">
        <v>41</v>
      </c>
      <c r="B3150" s="1" t="s">
        <v>42</v>
      </c>
      <c r="C3150" s="1" t="s">
        <v>5154</v>
      </c>
      <c r="D3150" s="1" t="s">
        <v>5155</v>
      </c>
      <c r="E3150" s="1" t="s">
        <v>45</v>
      </c>
      <c r="F3150" s="1" t="s">
        <v>7179</v>
      </c>
      <c r="G3150" s="1" t="s">
        <v>7208</v>
      </c>
      <c r="H3150" s="1" t="s">
        <v>7209</v>
      </c>
      <c r="I3150" s="1" t="s">
        <v>49</v>
      </c>
      <c r="J3150" s="1" t="s">
        <v>48</v>
      </c>
      <c r="K3150" s="1">
        <v>270</v>
      </c>
      <c r="L3150" s="1">
        <v>0</v>
      </c>
      <c r="M3150" s="1">
        <v>0</v>
      </c>
      <c r="N3150" s="1">
        <v>270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 t="s">
        <v>49</v>
      </c>
      <c r="AA3150" s="1" t="s">
        <v>49</v>
      </c>
      <c r="AB3150" s="1" t="s">
        <v>49</v>
      </c>
      <c r="AC3150" s="1" t="s">
        <v>1188</v>
      </c>
      <c r="AD3150" s="1" t="s">
        <v>1189</v>
      </c>
      <c r="AE3150" s="1" t="s">
        <v>1188</v>
      </c>
      <c r="AF3150" s="1" t="s">
        <v>7039</v>
      </c>
      <c r="AG3150" s="1" t="s">
        <v>53</v>
      </c>
      <c r="AH3150" s="1" t="s">
        <v>49</v>
      </c>
      <c r="AI3150" s="1" t="s">
        <v>54</v>
      </c>
      <c r="AJ3150" s="1">
        <v>1</v>
      </c>
      <c r="AK3150" s="1" t="str">
        <f t="shared" si="49"/>
        <v xml:space="preserve"> =&lt;90</v>
      </c>
      <c r="AL3150" s="1" t="e">
        <f>VLOOKUP(C:C,[1]基础信息!B$1:D$65536,3,0)</f>
        <v>#N/A</v>
      </c>
      <c r="AM3150" s="1" t="e">
        <f>VLOOKUP(C:C,[1]基础信息!B$1:E$65536,4,0)</f>
        <v>#N/A</v>
      </c>
      <c r="AN3150" s="1" t="e">
        <f>VLOOKUP(C:C,[1]基础信息!B$1:F$65536,5,0)</f>
        <v>#N/A</v>
      </c>
    </row>
    <row r="3151" spans="1:40">
      <c r="A3151" s="1" t="s">
        <v>41</v>
      </c>
      <c r="B3151" s="1" t="s">
        <v>42</v>
      </c>
      <c r="C3151" s="1" t="s">
        <v>5154</v>
      </c>
      <c r="D3151" s="1" t="s">
        <v>5155</v>
      </c>
      <c r="E3151" s="1" t="s">
        <v>45</v>
      </c>
      <c r="F3151" s="1" t="s">
        <v>7179</v>
      </c>
      <c r="G3151" s="1" t="s">
        <v>7210</v>
      </c>
      <c r="H3151" s="1" t="s">
        <v>7211</v>
      </c>
      <c r="I3151" s="1" t="s">
        <v>49</v>
      </c>
      <c r="J3151" s="1" t="s">
        <v>48</v>
      </c>
      <c r="K3151" s="1">
        <v>270</v>
      </c>
      <c r="L3151" s="1">
        <v>0</v>
      </c>
      <c r="M3151" s="1">
        <v>0</v>
      </c>
      <c r="N3151" s="1">
        <v>270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 t="s">
        <v>49</v>
      </c>
      <c r="AA3151" s="1" t="s">
        <v>49</v>
      </c>
      <c r="AB3151" s="1" t="s">
        <v>49</v>
      </c>
      <c r="AC3151" s="1" t="s">
        <v>1188</v>
      </c>
      <c r="AD3151" s="1" t="s">
        <v>1189</v>
      </c>
      <c r="AE3151" s="1" t="s">
        <v>1188</v>
      </c>
      <c r="AF3151" s="1" t="s">
        <v>7039</v>
      </c>
      <c r="AG3151" s="1" t="s">
        <v>53</v>
      </c>
      <c r="AH3151" s="1" t="s">
        <v>49</v>
      </c>
      <c r="AI3151" s="1" t="s">
        <v>54</v>
      </c>
      <c r="AJ3151" s="1">
        <v>1</v>
      </c>
      <c r="AK3151" s="1" t="str">
        <f t="shared" si="49"/>
        <v xml:space="preserve"> =&lt;90</v>
      </c>
      <c r="AL3151" s="1" t="e">
        <f>VLOOKUP(C:C,[1]基础信息!B$1:D$65536,3,0)</f>
        <v>#N/A</v>
      </c>
      <c r="AM3151" s="1" t="e">
        <f>VLOOKUP(C:C,[1]基础信息!B$1:E$65536,4,0)</f>
        <v>#N/A</v>
      </c>
      <c r="AN3151" s="1" t="e">
        <f>VLOOKUP(C:C,[1]基础信息!B$1:F$65536,5,0)</f>
        <v>#N/A</v>
      </c>
    </row>
    <row r="3152" spans="1:40">
      <c r="A3152" s="1" t="s">
        <v>41</v>
      </c>
      <c r="B3152" s="1" t="s">
        <v>42</v>
      </c>
      <c r="C3152" s="1" t="s">
        <v>5154</v>
      </c>
      <c r="D3152" s="1" t="s">
        <v>5155</v>
      </c>
      <c r="E3152" s="1" t="s">
        <v>45</v>
      </c>
      <c r="F3152" s="1" t="s">
        <v>7179</v>
      </c>
      <c r="G3152" s="1" t="s">
        <v>7212</v>
      </c>
      <c r="H3152" s="1" t="s">
        <v>7213</v>
      </c>
      <c r="I3152" s="1" t="s">
        <v>49</v>
      </c>
      <c r="J3152" s="1" t="s">
        <v>48</v>
      </c>
      <c r="K3152" s="1">
        <v>270</v>
      </c>
      <c r="L3152" s="1">
        <v>0</v>
      </c>
      <c r="M3152" s="1">
        <v>0</v>
      </c>
      <c r="N3152" s="1">
        <v>270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 t="s">
        <v>49</v>
      </c>
      <c r="AA3152" s="1" t="s">
        <v>49</v>
      </c>
      <c r="AB3152" s="1" t="s">
        <v>49</v>
      </c>
      <c r="AC3152" s="1" t="s">
        <v>1188</v>
      </c>
      <c r="AD3152" s="1" t="s">
        <v>1189</v>
      </c>
      <c r="AE3152" s="1" t="s">
        <v>1188</v>
      </c>
      <c r="AF3152" s="1" t="s">
        <v>7039</v>
      </c>
      <c r="AG3152" s="1" t="s">
        <v>53</v>
      </c>
      <c r="AH3152" s="1" t="s">
        <v>49</v>
      </c>
      <c r="AI3152" s="1" t="s">
        <v>54</v>
      </c>
      <c r="AJ3152" s="1">
        <v>1</v>
      </c>
      <c r="AK3152" s="1" t="str">
        <f t="shared" si="49"/>
        <v xml:space="preserve"> =&lt;90</v>
      </c>
      <c r="AL3152" s="1" t="e">
        <f>VLOOKUP(C:C,[1]基础信息!B$1:D$65536,3,0)</f>
        <v>#N/A</v>
      </c>
      <c r="AM3152" s="1" t="e">
        <f>VLOOKUP(C:C,[1]基础信息!B$1:E$65536,4,0)</f>
        <v>#N/A</v>
      </c>
      <c r="AN3152" s="1" t="e">
        <f>VLOOKUP(C:C,[1]基础信息!B$1:F$65536,5,0)</f>
        <v>#N/A</v>
      </c>
    </row>
    <row r="3153" spans="1:40">
      <c r="A3153" s="1" t="s">
        <v>41</v>
      </c>
      <c r="B3153" s="1" t="s">
        <v>42</v>
      </c>
      <c r="C3153" s="1" t="s">
        <v>341</v>
      </c>
      <c r="D3153" s="1" t="s">
        <v>342</v>
      </c>
      <c r="E3153" s="1" t="s">
        <v>45</v>
      </c>
      <c r="F3153" s="1" t="s">
        <v>6770</v>
      </c>
      <c r="G3153" s="1" t="s">
        <v>7214</v>
      </c>
      <c r="H3153" s="1" t="s">
        <v>7215</v>
      </c>
      <c r="I3153" s="1" t="s">
        <v>49</v>
      </c>
      <c r="J3153" s="1" t="s">
        <v>48</v>
      </c>
      <c r="K3153" s="1">
        <v>70</v>
      </c>
      <c r="L3153" s="1">
        <v>0</v>
      </c>
      <c r="M3153" s="1">
        <v>0</v>
      </c>
      <c r="N3153" s="1">
        <v>70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 t="s">
        <v>49</v>
      </c>
      <c r="AA3153" s="1" t="s">
        <v>49</v>
      </c>
      <c r="AB3153" s="1" t="s">
        <v>49</v>
      </c>
      <c r="AC3153" s="1" t="s">
        <v>346</v>
      </c>
      <c r="AD3153" s="1" t="s">
        <v>347</v>
      </c>
      <c r="AE3153" s="1" t="s">
        <v>346</v>
      </c>
      <c r="AF3153" s="1" t="s">
        <v>6773</v>
      </c>
      <c r="AG3153" s="1" t="s">
        <v>338</v>
      </c>
      <c r="AH3153" s="1" t="s">
        <v>49</v>
      </c>
      <c r="AI3153" s="1" t="s">
        <v>54</v>
      </c>
      <c r="AJ3153" s="1">
        <v>1</v>
      </c>
      <c r="AK3153" s="1" t="str">
        <f t="shared" si="49"/>
        <v xml:space="preserve"> =&lt;90</v>
      </c>
      <c r="AL3153" s="1" t="str">
        <f>VLOOKUP(C:C,[1]基础信息!B$1:D$65536,3,0)</f>
        <v>Jug</v>
      </c>
      <c r="AM3153" s="1" t="str">
        <f>VLOOKUP(C:C,[1]基础信息!B$1:E$65536,4,0)</f>
        <v>Marella</v>
      </c>
      <c r="AN3153" s="1" t="str">
        <f>VLOOKUP(C:C,[1]基础信息!B$1:F$65536,5,0)</f>
        <v>Blue Glitter</v>
      </c>
    </row>
    <row r="3154" spans="1:40">
      <c r="A3154" s="1" t="s">
        <v>41</v>
      </c>
      <c r="B3154" s="1" t="s">
        <v>42</v>
      </c>
      <c r="C3154" s="1" t="s">
        <v>5154</v>
      </c>
      <c r="D3154" s="1" t="s">
        <v>5155</v>
      </c>
      <c r="E3154" s="1" t="s">
        <v>45</v>
      </c>
      <c r="F3154" s="1" t="s">
        <v>7179</v>
      </c>
      <c r="G3154" s="1" t="s">
        <v>7216</v>
      </c>
      <c r="H3154" s="1" t="s">
        <v>7217</v>
      </c>
      <c r="I3154" s="1" t="s">
        <v>49</v>
      </c>
      <c r="J3154" s="1" t="s">
        <v>48</v>
      </c>
      <c r="K3154" s="1">
        <v>270</v>
      </c>
      <c r="L3154" s="1">
        <v>0</v>
      </c>
      <c r="M3154" s="1">
        <v>0</v>
      </c>
      <c r="N3154" s="1">
        <v>270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 t="s">
        <v>49</v>
      </c>
      <c r="AA3154" s="1" t="s">
        <v>49</v>
      </c>
      <c r="AB3154" s="1" t="s">
        <v>49</v>
      </c>
      <c r="AC3154" s="1" t="s">
        <v>1188</v>
      </c>
      <c r="AD3154" s="1" t="s">
        <v>1189</v>
      </c>
      <c r="AE3154" s="1" t="s">
        <v>1188</v>
      </c>
      <c r="AF3154" s="1" t="s">
        <v>7039</v>
      </c>
      <c r="AG3154" s="1" t="s">
        <v>53</v>
      </c>
      <c r="AH3154" s="1" t="s">
        <v>49</v>
      </c>
      <c r="AI3154" s="1" t="s">
        <v>54</v>
      </c>
      <c r="AJ3154" s="1">
        <v>1</v>
      </c>
      <c r="AK3154" s="1" t="str">
        <f t="shared" si="49"/>
        <v xml:space="preserve"> =&lt;90</v>
      </c>
      <c r="AL3154" s="1" t="e">
        <f>VLOOKUP(C:C,[1]基础信息!B$1:D$65536,3,0)</f>
        <v>#N/A</v>
      </c>
      <c r="AM3154" s="1" t="e">
        <f>VLOOKUP(C:C,[1]基础信息!B$1:E$65536,4,0)</f>
        <v>#N/A</v>
      </c>
      <c r="AN3154" s="1" t="e">
        <f>VLOOKUP(C:C,[1]基础信息!B$1:F$65536,5,0)</f>
        <v>#N/A</v>
      </c>
    </row>
    <row r="3155" spans="1:40">
      <c r="A3155" s="1" t="s">
        <v>41</v>
      </c>
      <c r="B3155" s="1" t="s">
        <v>42</v>
      </c>
      <c r="C3155" s="1" t="s">
        <v>5154</v>
      </c>
      <c r="D3155" s="1" t="s">
        <v>5155</v>
      </c>
      <c r="E3155" s="1" t="s">
        <v>45</v>
      </c>
      <c r="F3155" s="1" t="s">
        <v>7179</v>
      </c>
      <c r="G3155" s="1" t="s">
        <v>7218</v>
      </c>
      <c r="H3155" s="1" t="s">
        <v>7219</v>
      </c>
      <c r="I3155" s="1" t="s">
        <v>49</v>
      </c>
      <c r="J3155" s="1" t="s">
        <v>48</v>
      </c>
      <c r="K3155" s="1">
        <v>270</v>
      </c>
      <c r="L3155" s="1">
        <v>0</v>
      </c>
      <c r="M3155" s="1">
        <v>0</v>
      </c>
      <c r="N3155" s="1">
        <v>270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 t="s">
        <v>49</v>
      </c>
      <c r="AA3155" s="1" t="s">
        <v>49</v>
      </c>
      <c r="AB3155" s="1" t="s">
        <v>49</v>
      </c>
      <c r="AC3155" s="1" t="s">
        <v>1188</v>
      </c>
      <c r="AD3155" s="1" t="s">
        <v>1189</v>
      </c>
      <c r="AE3155" s="1" t="s">
        <v>1188</v>
      </c>
      <c r="AF3155" s="1" t="s">
        <v>7039</v>
      </c>
      <c r="AG3155" s="1" t="s">
        <v>53</v>
      </c>
      <c r="AH3155" s="1" t="s">
        <v>49</v>
      </c>
      <c r="AI3155" s="1" t="s">
        <v>54</v>
      </c>
      <c r="AJ3155" s="1">
        <v>1</v>
      </c>
      <c r="AK3155" s="1" t="str">
        <f t="shared" si="49"/>
        <v xml:space="preserve"> =&lt;90</v>
      </c>
      <c r="AL3155" s="1" t="e">
        <f>VLOOKUP(C:C,[1]基础信息!B$1:D$65536,3,0)</f>
        <v>#N/A</v>
      </c>
      <c r="AM3155" s="1" t="e">
        <f>VLOOKUP(C:C,[1]基础信息!B$1:E$65536,4,0)</f>
        <v>#N/A</v>
      </c>
      <c r="AN3155" s="1" t="e">
        <f>VLOOKUP(C:C,[1]基础信息!B$1:F$65536,5,0)</f>
        <v>#N/A</v>
      </c>
    </row>
    <row r="3156" spans="1:40">
      <c r="A3156" s="1" t="s">
        <v>41</v>
      </c>
      <c r="B3156" s="1" t="s">
        <v>42</v>
      </c>
      <c r="C3156" s="1" t="s">
        <v>5154</v>
      </c>
      <c r="D3156" s="1" t="s">
        <v>5155</v>
      </c>
      <c r="E3156" s="1" t="s">
        <v>45</v>
      </c>
      <c r="F3156" s="1" t="s">
        <v>7179</v>
      </c>
      <c r="G3156" s="1" t="s">
        <v>7220</v>
      </c>
      <c r="H3156" s="1" t="s">
        <v>7221</v>
      </c>
      <c r="I3156" s="1" t="s">
        <v>49</v>
      </c>
      <c r="J3156" s="1" t="s">
        <v>48</v>
      </c>
      <c r="K3156" s="1">
        <v>270</v>
      </c>
      <c r="L3156" s="1">
        <v>0</v>
      </c>
      <c r="M3156" s="1">
        <v>0</v>
      </c>
      <c r="N3156" s="1">
        <v>270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 t="s">
        <v>49</v>
      </c>
      <c r="AA3156" s="1" t="s">
        <v>49</v>
      </c>
      <c r="AB3156" s="1" t="s">
        <v>49</v>
      </c>
      <c r="AC3156" s="1" t="s">
        <v>1188</v>
      </c>
      <c r="AD3156" s="1" t="s">
        <v>1189</v>
      </c>
      <c r="AE3156" s="1" t="s">
        <v>1188</v>
      </c>
      <c r="AF3156" s="1" t="s">
        <v>7039</v>
      </c>
      <c r="AG3156" s="1" t="s">
        <v>53</v>
      </c>
      <c r="AH3156" s="1" t="s">
        <v>49</v>
      </c>
      <c r="AI3156" s="1" t="s">
        <v>54</v>
      </c>
      <c r="AJ3156" s="1">
        <v>1</v>
      </c>
      <c r="AK3156" s="1" t="str">
        <f t="shared" si="49"/>
        <v xml:space="preserve"> =&lt;90</v>
      </c>
      <c r="AL3156" s="1" t="e">
        <f>VLOOKUP(C:C,[1]基础信息!B$1:D$65536,3,0)</f>
        <v>#N/A</v>
      </c>
      <c r="AM3156" s="1" t="e">
        <f>VLOOKUP(C:C,[1]基础信息!B$1:E$65536,4,0)</f>
        <v>#N/A</v>
      </c>
      <c r="AN3156" s="1" t="e">
        <f>VLOOKUP(C:C,[1]基础信息!B$1:F$65536,5,0)</f>
        <v>#N/A</v>
      </c>
    </row>
    <row r="3157" spans="1:40">
      <c r="A3157" s="1" t="s">
        <v>41</v>
      </c>
      <c r="B3157" s="1" t="s">
        <v>42</v>
      </c>
      <c r="C3157" s="1" t="s">
        <v>5154</v>
      </c>
      <c r="D3157" s="1" t="s">
        <v>5155</v>
      </c>
      <c r="E3157" s="1" t="s">
        <v>45</v>
      </c>
      <c r="F3157" s="1" t="s">
        <v>7179</v>
      </c>
      <c r="G3157" s="1" t="s">
        <v>7222</v>
      </c>
      <c r="H3157" s="1" t="s">
        <v>7223</v>
      </c>
      <c r="I3157" s="1" t="s">
        <v>49</v>
      </c>
      <c r="J3157" s="1" t="s">
        <v>48</v>
      </c>
      <c r="K3157" s="1">
        <v>270</v>
      </c>
      <c r="L3157" s="1">
        <v>0</v>
      </c>
      <c r="M3157" s="1">
        <v>0</v>
      </c>
      <c r="N3157" s="1">
        <v>270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 t="s">
        <v>49</v>
      </c>
      <c r="AA3157" s="1" t="s">
        <v>49</v>
      </c>
      <c r="AB3157" s="1" t="s">
        <v>49</v>
      </c>
      <c r="AC3157" s="1" t="s">
        <v>1188</v>
      </c>
      <c r="AD3157" s="1" t="s">
        <v>1189</v>
      </c>
      <c r="AE3157" s="1" t="s">
        <v>1188</v>
      </c>
      <c r="AF3157" s="1" t="s">
        <v>7039</v>
      </c>
      <c r="AG3157" s="1" t="s">
        <v>53</v>
      </c>
      <c r="AH3157" s="1" t="s">
        <v>49</v>
      </c>
      <c r="AI3157" s="1" t="s">
        <v>54</v>
      </c>
      <c r="AJ3157" s="1">
        <v>1</v>
      </c>
      <c r="AK3157" s="1" t="str">
        <f t="shared" si="49"/>
        <v xml:space="preserve"> =&lt;90</v>
      </c>
      <c r="AL3157" s="1" t="e">
        <f>VLOOKUP(C:C,[1]基础信息!B$1:D$65536,3,0)</f>
        <v>#N/A</v>
      </c>
      <c r="AM3157" s="1" t="e">
        <f>VLOOKUP(C:C,[1]基础信息!B$1:E$65536,4,0)</f>
        <v>#N/A</v>
      </c>
      <c r="AN3157" s="1" t="e">
        <f>VLOOKUP(C:C,[1]基础信息!B$1:F$65536,5,0)</f>
        <v>#N/A</v>
      </c>
    </row>
    <row r="3158" spans="1:40">
      <c r="A3158" s="1" t="s">
        <v>41</v>
      </c>
      <c r="B3158" s="1" t="s">
        <v>42</v>
      </c>
      <c r="C3158" s="1" t="s">
        <v>4352</v>
      </c>
      <c r="D3158" s="1" t="s">
        <v>4353</v>
      </c>
      <c r="E3158" s="1" t="s">
        <v>45</v>
      </c>
      <c r="F3158" s="1" t="s">
        <v>7158</v>
      </c>
      <c r="G3158" s="1" t="s">
        <v>7224</v>
      </c>
      <c r="H3158" s="1" t="s">
        <v>7225</v>
      </c>
      <c r="I3158" s="1" t="s">
        <v>49</v>
      </c>
      <c r="J3158" s="1" t="s">
        <v>48</v>
      </c>
      <c r="K3158" s="1">
        <v>336</v>
      </c>
      <c r="L3158" s="1">
        <v>0</v>
      </c>
      <c r="M3158" s="1">
        <v>0</v>
      </c>
      <c r="N3158" s="1">
        <v>336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 t="s">
        <v>49</v>
      </c>
      <c r="AA3158" s="1" t="s">
        <v>49</v>
      </c>
      <c r="AB3158" s="1" t="s">
        <v>49</v>
      </c>
      <c r="AC3158" s="1" t="s">
        <v>1188</v>
      </c>
      <c r="AD3158" s="1" t="s">
        <v>1189</v>
      </c>
      <c r="AE3158" s="1" t="s">
        <v>1188</v>
      </c>
      <c r="AF3158" s="1" t="s">
        <v>6985</v>
      </c>
      <c r="AG3158" s="1" t="s">
        <v>53</v>
      </c>
      <c r="AH3158" s="1" t="s">
        <v>49</v>
      </c>
      <c r="AI3158" s="1" t="s">
        <v>54</v>
      </c>
      <c r="AJ3158" s="1">
        <v>1</v>
      </c>
      <c r="AK3158" s="1" t="str">
        <f t="shared" si="49"/>
        <v xml:space="preserve"> =&lt;90</v>
      </c>
      <c r="AL3158" s="1" t="e">
        <f>VLOOKUP(C:C,[1]基础信息!B$1:D$65536,3,0)</f>
        <v>#N/A</v>
      </c>
      <c r="AM3158" s="1" t="e">
        <f>VLOOKUP(C:C,[1]基础信息!B$1:E$65536,4,0)</f>
        <v>#N/A</v>
      </c>
      <c r="AN3158" s="1" t="e">
        <f>VLOOKUP(C:C,[1]基础信息!B$1:F$65536,5,0)</f>
        <v>#N/A</v>
      </c>
    </row>
    <row r="3159" spans="1:40">
      <c r="A3159" s="1" t="s">
        <v>41</v>
      </c>
      <c r="B3159" s="1" t="s">
        <v>42</v>
      </c>
      <c r="C3159" s="1" t="s">
        <v>4352</v>
      </c>
      <c r="D3159" s="1" t="s">
        <v>4353</v>
      </c>
      <c r="E3159" s="1" t="s">
        <v>45</v>
      </c>
      <c r="F3159" s="1" t="s">
        <v>7158</v>
      </c>
      <c r="G3159" s="1" t="s">
        <v>7226</v>
      </c>
      <c r="H3159" s="1" t="s">
        <v>7227</v>
      </c>
      <c r="I3159" s="1" t="s">
        <v>49</v>
      </c>
      <c r="J3159" s="1" t="s">
        <v>48</v>
      </c>
      <c r="K3159" s="1">
        <v>336</v>
      </c>
      <c r="L3159" s="1">
        <v>0</v>
      </c>
      <c r="M3159" s="1">
        <v>0</v>
      </c>
      <c r="N3159" s="1">
        <v>336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 t="s">
        <v>49</v>
      </c>
      <c r="AA3159" s="1" t="s">
        <v>49</v>
      </c>
      <c r="AB3159" s="1" t="s">
        <v>49</v>
      </c>
      <c r="AC3159" s="1" t="s">
        <v>1188</v>
      </c>
      <c r="AD3159" s="1" t="s">
        <v>1189</v>
      </c>
      <c r="AE3159" s="1" t="s">
        <v>1188</v>
      </c>
      <c r="AF3159" s="1" t="s">
        <v>6985</v>
      </c>
      <c r="AG3159" s="1" t="s">
        <v>53</v>
      </c>
      <c r="AH3159" s="1" t="s">
        <v>49</v>
      </c>
      <c r="AI3159" s="1" t="s">
        <v>54</v>
      </c>
      <c r="AJ3159" s="1">
        <v>1</v>
      </c>
      <c r="AK3159" s="1" t="str">
        <f t="shared" si="49"/>
        <v xml:space="preserve"> =&lt;90</v>
      </c>
      <c r="AL3159" s="1" t="e">
        <f>VLOOKUP(C:C,[1]基础信息!B$1:D$65536,3,0)</f>
        <v>#N/A</v>
      </c>
      <c r="AM3159" s="1" t="e">
        <f>VLOOKUP(C:C,[1]基础信息!B$1:E$65536,4,0)</f>
        <v>#N/A</v>
      </c>
      <c r="AN3159" s="1" t="e">
        <f>VLOOKUP(C:C,[1]基础信息!B$1:F$65536,5,0)</f>
        <v>#N/A</v>
      </c>
    </row>
    <row r="3160" spans="1:40">
      <c r="A3160" s="1" t="s">
        <v>41</v>
      </c>
      <c r="B3160" s="1" t="s">
        <v>42</v>
      </c>
      <c r="C3160" s="1" t="s">
        <v>4352</v>
      </c>
      <c r="D3160" s="1" t="s">
        <v>4353</v>
      </c>
      <c r="E3160" s="1" t="s">
        <v>45</v>
      </c>
      <c r="F3160" s="1" t="s">
        <v>7158</v>
      </c>
      <c r="G3160" s="1" t="s">
        <v>7228</v>
      </c>
      <c r="H3160" s="1" t="s">
        <v>7229</v>
      </c>
      <c r="I3160" s="1" t="s">
        <v>49</v>
      </c>
      <c r="J3160" s="1" t="s">
        <v>48</v>
      </c>
      <c r="K3160" s="1">
        <v>336</v>
      </c>
      <c r="L3160" s="1">
        <v>0</v>
      </c>
      <c r="M3160" s="1">
        <v>0</v>
      </c>
      <c r="N3160" s="1">
        <v>336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 t="s">
        <v>49</v>
      </c>
      <c r="AA3160" s="1" t="s">
        <v>49</v>
      </c>
      <c r="AB3160" s="1" t="s">
        <v>49</v>
      </c>
      <c r="AC3160" s="1" t="s">
        <v>1188</v>
      </c>
      <c r="AD3160" s="1" t="s">
        <v>1189</v>
      </c>
      <c r="AE3160" s="1" t="s">
        <v>1188</v>
      </c>
      <c r="AF3160" s="1" t="s">
        <v>6985</v>
      </c>
      <c r="AG3160" s="1" t="s">
        <v>53</v>
      </c>
      <c r="AH3160" s="1" t="s">
        <v>49</v>
      </c>
      <c r="AI3160" s="1" t="s">
        <v>54</v>
      </c>
      <c r="AJ3160" s="1">
        <v>1</v>
      </c>
      <c r="AK3160" s="1" t="str">
        <f t="shared" si="49"/>
        <v xml:space="preserve"> =&lt;90</v>
      </c>
      <c r="AL3160" s="1" t="e">
        <f>VLOOKUP(C:C,[1]基础信息!B$1:D$65536,3,0)</f>
        <v>#N/A</v>
      </c>
      <c r="AM3160" s="1" t="e">
        <f>VLOOKUP(C:C,[1]基础信息!B$1:E$65536,4,0)</f>
        <v>#N/A</v>
      </c>
      <c r="AN3160" s="1" t="e">
        <f>VLOOKUP(C:C,[1]基础信息!B$1:F$65536,5,0)</f>
        <v>#N/A</v>
      </c>
    </row>
    <row r="3161" spans="1:40">
      <c r="A3161" s="1" t="s">
        <v>41</v>
      </c>
      <c r="B3161" s="1" t="s">
        <v>42</v>
      </c>
      <c r="C3161" s="1" t="s">
        <v>341</v>
      </c>
      <c r="D3161" s="1" t="s">
        <v>342</v>
      </c>
      <c r="E3161" s="1" t="s">
        <v>45</v>
      </c>
      <c r="F3161" s="1" t="s">
        <v>343</v>
      </c>
      <c r="G3161" s="1" t="s">
        <v>7230</v>
      </c>
      <c r="H3161" s="1" t="s">
        <v>7231</v>
      </c>
      <c r="I3161" s="1" t="s">
        <v>49</v>
      </c>
      <c r="J3161" s="1" t="s">
        <v>48</v>
      </c>
      <c r="K3161" s="1">
        <v>70</v>
      </c>
      <c r="L3161" s="1">
        <v>0</v>
      </c>
      <c r="M3161" s="1">
        <v>0</v>
      </c>
      <c r="N3161" s="1">
        <v>70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 t="s">
        <v>49</v>
      </c>
      <c r="AA3161" s="1" t="s">
        <v>49</v>
      </c>
      <c r="AB3161" s="1" t="s">
        <v>49</v>
      </c>
      <c r="AC3161" s="1" t="s">
        <v>346</v>
      </c>
      <c r="AD3161" s="1" t="s">
        <v>347</v>
      </c>
      <c r="AE3161" s="1" t="s">
        <v>346</v>
      </c>
      <c r="AF3161" s="1" t="s">
        <v>348</v>
      </c>
      <c r="AG3161" s="1" t="s">
        <v>338</v>
      </c>
      <c r="AH3161" s="1" t="s">
        <v>49</v>
      </c>
      <c r="AI3161" s="1" t="s">
        <v>54</v>
      </c>
      <c r="AJ3161" s="1">
        <v>1</v>
      </c>
      <c r="AK3161" s="1" t="str">
        <f t="shared" si="49"/>
        <v xml:space="preserve"> =&lt;90</v>
      </c>
      <c r="AL3161" s="1" t="str">
        <f>VLOOKUP(C:C,[1]基础信息!B$1:D$65536,3,0)</f>
        <v>Jug</v>
      </c>
      <c r="AM3161" s="1" t="str">
        <f>VLOOKUP(C:C,[1]基础信息!B$1:E$65536,4,0)</f>
        <v>Marella</v>
      </c>
      <c r="AN3161" s="1" t="str">
        <f>VLOOKUP(C:C,[1]基础信息!B$1:F$65536,5,0)</f>
        <v>Blue Glitter</v>
      </c>
    </row>
    <row r="3162" spans="1:40">
      <c r="A3162" s="1" t="s">
        <v>41</v>
      </c>
      <c r="B3162" s="1" t="s">
        <v>42</v>
      </c>
      <c r="C3162" s="1" t="s">
        <v>341</v>
      </c>
      <c r="D3162" s="1" t="s">
        <v>342</v>
      </c>
      <c r="E3162" s="1" t="s">
        <v>45</v>
      </c>
      <c r="F3162" s="1" t="s">
        <v>343</v>
      </c>
      <c r="G3162" s="1" t="s">
        <v>7232</v>
      </c>
      <c r="H3162" s="1" t="s">
        <v>7233</v>
      </c>
      <c r="I3162" s="1" t="s">
        <v>49</v>
      </c>
      <c r="J3162" s="1" t="s">
        <v>48</v>
      </c>
      <c r="K3162" s="1">
        <v>70</v>
      </c>
      <c r="L3162" s="1">
        <v>0</v>
      </c>
      <c r="M3162" s="1">
        <v>0</v>
      </c>
      <c r="N3162" s="1">
        <v>70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 t="s">
        <v>49</v>
      </c>
      <c r="AA3162" s="1" t="s">
        <v>49</v>
      </c>
      <c r="AB3162" s="1" t="s">
        <v>49</v>
      </c>
      <c r="AC3162" s="1" t="s">
        <v>346</v>
      </c>
      <c r="AD3162" s="1" t="s">
        <v>347</v>
      </c>
      <c r="AE3162" s="1" t="s">
        <v>346</v>
      </c>
      <c r="AF3162" s="1" t="s">
        <v>348</v>
      </c>
      <c r="AG3162" s="1" t="s">
        <v>338</v>
      </c>
      <c r="AH3162" s="1" t="s">
        <v>49</v>
      </c>
      <c r="AI3162" s="1" t="s">
        <v>54</v>
      </c>
      <c r="AJ3162" s="1">
        <v>1</v>
      </c>
      <c r="AK3162" s="1" t="str">
        <f t="shared" si="49"/>
        <v xml:space="preserve"> =&lt;90</v>
      </c>
      <c r="AL3162" s="1" t="str">
        <f>VLOOKUP(C:C,[1]基础信息!B$1:D$65536,3,0)</f>
        <v>Jug</v>
      </c>
      <c r="AM3162" s="1" t="str">
        <f>VLOOKUP(C:C,[1]基础信息!B$1:E$65536,4,0)</f>
        <v>Marella</v>
      </c>
      <c r="AN3162" s="1" t="str">
        <f>VLOOKUP(C:C,[1]基础信息!B$1:F$65536,5,0)</f>
        <v>Blue Glitter</v>
      </c>
    </row>
    <row r="3163" spans="1:40">
      <c r="A3163" s="1" t="s">
        <v>41</v>
      </c>
      <c r="B3163" s="1" t="s">
        <v>42</v>
      </c>
      <c r="C3163" s="1" t="s">
        <v>4352</v>
      </c>
      <c r="D3163" s="1" t="s">
        <v>4353</v>
      </c>
      <c r="E3163" s="1" t="s">
        <v>45</v>
      </c>
      <c r="F3163" s="1" t="s">
        <v>7158</v>
      </c>
      <c r="G3163" s="1" t="s">
        <v>7234</v>
      </c>
      <c r="H3163" s="1" t="s">
        <v>7235</v>
      </c>
      <c r="I3163" s="1" t="s">
        <v>49</v>
      </c>
      <c r="J3163" s="1" t="s">
        <v>48</v>
      </c>
      <c r="K3163" s="1">
        <v>336</v>
      </c>
      <c r="L3163" s="1">
        <v>0</v>
      </c>
      <c r="M3163" s="1">
        <v>0</v>
      </c>
      <c r="N3163" s="1">
        <v>336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 t="s">
        <v>49</v>
      </c>
      <c r="AA3163" s="1" t="s">
        <v>49</v>
      </c>
      <c r="AB3163" s="1" t="s">
        <v>49</v>
      </c>
      <c r="AC3163" s="1" t="s">
        <v>1188</v>
      </c>
      <c r="AD3163" s="1" t="s">
        <v>1189</v>
      </c>
      <c r="AE3163" s="1" t="s">
        <v>1188</v>
      </c>
      <c r="AF3163" s="1" t="s">
        <v>6985</v>
      </c>
      <c r="AG3163" s="1" t="s">
        <v>53</v>
      </c>
      <c r="AH3163" s="1" t="s">
        <v>49</v>
      </c>
      <c r="AI3163" s="1" t="s">
        <v>54</v>
      </c>
      <c r="AJ3163" s="1">
        <v>1</v>
      </c>
      <c r="AK3163" s="1" t="str">
        <f t="shared" si="49"/>
        <v xml:space="preserve"> =&lt;90</v>
      </c>
      <c r="AL3163" s="1" t="e">
        <f>VLOOKUP(C:C,[1]基础信息!B$1:D$65536,3,0)</f>
        <v>#N/A</v>
      </c>
      <c r="AM3163" s="1" t="e">
        <f>VLOOKUP(C:C,[1]基础信息!B$1:E$65536,4,0)</f>
        <v>#N/A</v>
      </c>
      <c r="AN3163" s="1" t="e">
        <f>VLOOKUP(C:C,[1]基础信息!B$1:F$65536,5,0)</f>
        <v>#N/A</v>
      </c>
    </row>
    <row r="3164" spans="1:40">
      <c r="A3164" s="1" t="s">
        <v>41</v>
      </c>
      <c r="B3164" s="1" t="s">
        <v>42</v>
      </c>
      <c r="C3164" s="1" t="s">
        <v>5154</v>
      </c>
      <c r="D3164" s="1" t="s">
        <v>5155</v>
      </c>
      <c r="E3164" s="1" t="s">
        <v>45</v>
      </c>
      <c r="F3164" s="1" t="s">
        <v>7236</v>
      </c>
      <c r="G3164" s="1" t="s">
        <v>7237</v>
      </c>
      <c r="H3164" s="1" t="s">
        <v>7238</v>
      </c>
      <c r="I3164" s="1" t="s">
        <v>49</v>
      </c>
      <c r="J3164" s="1" t="s">
        <v>48</v>
      </c>
      <c r="K3164" s="1">
        <v>270</v>
      </c>
      <c r="L3164" s="1">
        <v>0</v>
      </c>
      <c r="M3164" s="1">
        <v>0</v>
      </c>
      <c r="N3164" s="1">
        <v>270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 t="s">
        <v>49</v>
      </c>
      <c r="AA3164" s="1" t="s">
        <v>49</v>
      </c>
      <c r="AB3164" s="1" t="s">
        <v>49</v>
      </c>
      <c r="AC3164" s="1" t="s">
        <v>1188</v>
      </c>
      <c r="AD3164" s="1" t="s">
        <v>1189</v>
      </c>
      <c r="AE3164" s="1" t="s">
        <v>1188</v>
      </c>
      <c r="AF3164" s="1" t="s">
        <v>6656</v>
      </c>
      <c r="AG3164" s="1" t="s">
        <v>53</v>
      </c>
      <c r="AH3164" s="1" t="s">
        <v>49</v>
      </c>
      <c r="AI3164" s="1" t="s">
        <v>54</v>
      </c>
      <c r="AJ3164" s="1">
        <v>1</v>
      </c>
      <c r="AK3164" s="1" t="str">
        <f t="shared" si="49"/>
        <v xml:space="preserve"> =&lt;90</v>
      </c>
      <c r="AL3164" s="1" t="e">
        <f>VLOOKUP(C:C,[1]基础信息!B$1:D$65536,3,0)</f>
        <v>#N/A</v>
      </c>
      <c r="AM3164" s="1" t="e">
        <f>VLOOKUP(C:C,[1]基础信息!B$1:E$65536,4,0)</f>
        <v>#N/A</v>
      </c>
      <c r="AN3164" s="1" t="e">
        <f>VLOOKUP(C:C,[1]基础信息!B$1:F$65536,5,0)</f>
        <v>#N/A</v>
      </c>
    </row>
    <row r="3165" spans="1:40">
      <c r="A3165" s="1" t="s">
        <v>41</v>
      </c>
      <c r="B3165" s="1" t="s">
        <v>42</v>
      </c>
      <c r="C3165" s="1" t="s">
        <v>5154</v>
      </c>
      <c r="D3165" s="1" t="s">
        <v>5155</v>
      </c>
      <c r="E3165" s="1" t="s">
        <v>45</v>
      </c>
      <c r="F3165" s="1" t="s">
        <v>7179</v>
      </c>
      <c r="G3165" s="1" t="s">
        <v>7239</v>
      </c>
      <c r="H3165" s="1" t="s">
        <v>7240</v>
      </c>
      <c r="I3165" s="1" t="s">
        <v>49</v>
      </c>
      <c r="J3165" s="1" t="s">
        <v>48</v>
      </c>
      <c r="K3165" s="1">
        <v>270</v>
      </c>
      <c r="L3165" s="1">
        <v>0</v>
      </c>
      <c r="M3165" s="1">
        <v>0</v>
      </c>
      <c r="N3165" s="1">
        <v>270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 t="s">
        <v>49</v>
      </c>
      <c r="AA3165" s="1" t="s">
        <v>49</v>
      </c>
      <c r="AB3165" s="1" t="s">
        <v>49</v>
      </c>
      <c r="AC3165" s="1" t="s">
        <v>1188</v>
      </c>
      <c r="AD3165" s="1" t="s">
        <v>1189</v>
      </c>
      <c r="AE3165" s="1" t="s">
        <v>1188</v>
      </c>
      <c r="AF3165" s="1" t="s">
        <v>7039</v>
      </c>
      <c r="AG3165" s="1" t="s">
        <v>53</v>
      </c>
      <c r="AH3165" s="1" t="s">
        <v>49</v>
      </c>
      <c r="AI3165" s="1" t="s">
        <v>54</v>
      </c>
      <c r="AJ3165" s="1">
        <v>1</v>
      </c>
      <c r="AK3165" s="1" t="str">
        <f t="shared" si="49"/>
        <v xml:space="preserve"> =&lt;90</v>
      </c>
      <c r="AL3165" s="1" t="e">
        <f>VLOOKUP(C:C,[1]基础信息!B$1:D$65536,3,0)</f>
        <v>#N/A</v>
      </c>
      <c r="AM3165" s="1" t="e">
        <f>VLOOKUP(C:C,[1]基础信息!B$1:E$65536,4,0)</f>
        <v>#N/A</v>
      </c>
      <c r="AN3165" s="1" t="e">
        <f>VLOOKUP(C:C,[1]基础信息!B$1:F$65536,5,0)</f>
        <v>#N/A</v>
      </c>
    </row>
    <row r="3166" spans="1:40">
      <c r="A3166" s="1" t="s">
        <v>41</v>
      </c>
      <c r="B3166" s="1" t="s">
        <v>42</v>
      </c>
      <c r="C3166" s="1" t="s">
        <v>5154</v>
      </c>
      <c r="D3166" s="1" t="s">
        <v>5155</v>
      </c>
      <c r="E3166" s="1" t="s">
        <v>45</v>
      </c>
      <c r="F3166" s="1" t="s">
        <v>7179</v>
      </c>
      <c r="G3166" s="1" t="s">
        <v>7241</v>
      </c>
      <c r="H3166" s="1" t="s">
        <v>7242</v>
      </c>
      <c r="I3166" s="1" t="s">
        <v>49</v>
      </c>
      <c r="J3166" s="1" t="s">
        <v>48</v>
      </c>
      <c r="K3166" s="1">
        <v>270</v>
      </c>
      <c r="L3166" s="1">
        <v>0</v>
      </c>
      <c r="M3166" s="1">
        <v>0</v>
      </c>
      <c r="N3166" s="1">
        <v>270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 t="s">
        <v>49</v>
      </c>
      <c r="AA3166" s="1" t="s">
        <v>49</v>
      </c>
      <c r="AB3166" s="1" t="s">
        <v>49</v>
      </c>
      <c r="AC3166" s="1" t="s">
        <v>1188</v>
      </c>
      <c r="AD3166" s="1" t="s">
        <v>1189</v>
      </c>
      <c r="AE3166" s="1" t="s">
        <v>1188</v>
      </c>
      <c r="AF3166" s="1" t="s">
        <v>7039</v>
      </c>
      <c r="AG3166" s="1" t="s">
        <v>53</v>
      </c>
      <c r="AH3166" s="1" t="s">
        <v>49</v>
      </c>
      <c r="AI3166" s="1" t="s">
        <v>54</v>
      </c>
      <c r="AJ3166" s="1">
        <v>1</v>
      </c>
      <c r="AK3166" s="1" t="str">
        <f t="shared" si="49"/>
        <v xml:space="preserve"> =&lt;90</v>
      </c>
      <c r="AL3166" s="1" t="e">
        <f>VLOOKUP(C:C,[1]基础信息!B$1:D$65536,3,0)</f>
        <v>#N/A</v>
      </c>
      <c r="AM3166" s="1" t="e">
        <f>VLOOKUP(C:C,[1]基础信息!B$1:E$65536,4,0)</f>
        <v>#N/A</v>
      </c>
      <c r="AN3166" s="1" t="e">
        <f>VLOOKUP(C:C,[1]基础信息!B$1:F$65536,5,0)</f>
        <v>#N/A</v>
      </c>
    </row>
    <row r="3167" spans="1:40">
      <c r="A3167" s="1" t="s">
        <v>41</v>
      </c>
      <c r="B3167" s="1" t="s">
        <v>42</v>
      </c>
      <c r="C3167" s="1" t="s">
        <v>5154</v>
      </c>
      <c r="D3167" s="1" t="s">
        <v>5155</v>
      </c>
      <c r="E3167" s="1" t="s">
        <v>45</v>
      </c>
      <c r="F3167" s="1" t="s">
        <v>7179</v>
      </c>
      <c r="G3167" s="1" t="s">
        <v>7243</v>
      </c>
      <c r="H3167" s="1" t="s">
        <v>7244</v>
      </c>
      <c r="I3167" s="1" t="s">
        <v>49</v>
      </c>
      <c r="J3167" s="1" t="s">
        <v>48</v>
      </c>
      <c r="K3167" s="1">
        <v>270</v>
      </c>
      <c r="L3167" s="1">
        <v>0</v>
      </c>
      <c r="M3167" s="1">
        <v>0</v>
      </c>
      <c r="N3167" s="1">
        <v>270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 t="s">
        <v>49</v>
      </c>
      <c r="AA3167" s="1" t="s">
        <v>49</v>
      </c>
      <c r="AB3167" s="1" t="s">
        <v>49</v>
      </c>
      <c r="AC3167" s="1" t="s">
        <v>1188</v>
      </c>
      <c r="AD3167" s="1" t="s">
        <v>1189</v>
      </c>
      <c r="AE3167" s="1" t="s">
        <v>1188</v>
      </c>
      <c r="AF3167" s="1" t="s">
        <v>7039</v>
      </c>
      <c r="AG3167" s="1" t="s">
        <v>53</v>
      </c>
      <c r="AH3167" s="1" t="s">
        <v>49</v>
      </c>
      <c r="AI3167" s="1" t="s">
        <v>54</v>
      </c>
      <c r="AJ3167" s="1">
        <v>1</v>
      </c>
      <c r="AK3167" s="1" t="str">
        <f t="shared" si="49"/>
        <v xml:space="preserve"> =&lt;90</v>
      </c>
      <c r="AL3167" s="1" t="e">
        <f>VLOOKUP(C:C,[1]基础信息!B$1:D$65536,3,0)</f>
        <v>#N/A</v>
      </c>
      <c r="AM3167" s="1" t="e">
        <f>VLOOKUP(C:C,[1]基础信息!B$1:E$65536,4,0)</f>
        <v>#N/A</v>
      </c>
      <c r="AN3167" s="1" t="e">
        <f>VLOOKUP(C:C,[1]基础信息!B$1:F$65536,5,0)</f>
        <v>#N/A</v>
      </c>
    </row>
    <row r="3168" spans="1:40">
      <c r="A3168" s="1" t="s">
        <v>41</v>
      </c>
      <c r="B3168" s="1" t="s">
        <v>42</v>
      </c>
      <c r="C3168" s="1" t="s">
        <v>5154</v>
      </c>
      <c r="D3168" s="1" t="s">
        <v>5155</v>
      </c>
      <c r="E3168" s="1" t="s">
        <v>45</v>
      </c>
      <c r="F3168" s="1" t="s">
        <v>7179</v>
      </c>
      <c r="G3168" s="1" t="s">
        <v>7245</v>
      </c>
      <c r="H3168" s="1" t="s">
        <v>7246</v>
      </c>
      <c r="I3168" s="1" t="s">
        <v>49</v>
      </c>
      <c r="J3168" s="1" t="s">
        <v>48</v>
      </c>
      <c r="K3168" s="1">
        <v>270</v>
      </c>
      <c r="L3168" s="1">
        <v>0</v>
      </c>
      <c r="M3168" s="1">
        <v>0</v>
      </c>
      <c r="N3168" s="1">
        <v>270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 t="s">
        <v>49</v>
      </c>
      <c r="AA3168" s="1" t="s">
        <v>49</v>
      </c>
      <c r="AB3168" s="1" t="s">
        <v>49</v>
      </c>
      <c r="AC3168" s="1" t="s">
        <v>1188</v>
      </c>
      <c r="AD3168" s="1" t="s">
        <v>1189</v>
      </c>
      <c r="AE3168" s="1" t="s">
        <v>1188</v>
      </c>
      <c r="AF3168" s="1" t="s">
        <v>7039</v>
      </c>
      <c r="AG3168" s="1" t="s">
        <v>53</v>
      </c>
      <c r="AH3168" s="1" t="s">
        <v>49</v>
      </c>
      <c r="AI3168" s="1" t="s">
        <v>54</v>
      </c>
      <c r="AJ3168" s="1">
        <v>1</v>
      </c>
      <c r="AK3168" s="1" t="str">
        <f t="shared" si="49"/>
        <v xml:space="preserve"> =&lt;90</v>
      </c>
      <c r="AL3168" s="1" t="e">
        <f>VLOOKUP(C:C,[1]基础信息!B$1:D$65536,3,0)</f>
        <v>#N/A</v>
      </c>
      <c r="AM3168" s="1" t="e">
        <f>VLOOKUP(C:C,[1]基础信息!B$1:E$65536,4,0)</f>
        <v>#N/A</v>
      </c>
      <c r="AN3168" s="1" t="e">
        <f>VLOOKUP(C:C,[1]基础信息!B$1:F$65536,5,0)</f>
        <v>#N/A</v>
      </c>
    </row>
    <row r="3169" spans="1:40">
      <c r="A3169" s="1" t="s">
        <v>41</v>
      </c>
      <c r="B3169" s="1" t="s">
        <v>42</v>
      </c>
      <c r="C3169" s="1" t="s">
        <v>5154</v>
      </c>
      <c r="D3169" s="1" t="s">
        <v>5155</v>
      </c>
      <c r="E3169" s="1" t="s">
        <v>45</v>
      </c>
      <c r="F3169" s="1" t="s">
        <v>7179</v>
      </c>
      <c r="G3169" s="1" t="s">
        <v>7247</v>
      </c>
      <c r="H3169" s="1" t="s">
        <v>7248</v>
      </c>
      <c r="I3169" s="1" t="s">
        <v>49</v>
      </c>
      <c r="J3169" s="1" t="s">
        <v>48</v>
      </c>
      <c r="K3169" s="1">
        <v>270</v>
      </c>
      <c r="L3169" s="1">
        <v>0</v>
      </c>
      <c r="M3169" s="1">
        <v>0</v>
      </c>
      <c r="N3169" s="1">
        <v>270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 t="s">
        <v>49</v>
      </c>
      <c r="AA3169" s="1" t="s">
        <v>49</v>
      </c>
      <c r="AB3169" s="1" t="s">
        <v>49</v>
      </c>
      <c r="AC3169" s="1" t="s">
        <v>1188</v>
      </c>
      <c r="AD3169" s="1" t="s">
        <v>1189</v>
      </c>
      <c r="AE3169" s="1" t="s">
        <v>1188</v>
      </c>
      <c r="AF3169" s="1" t="s">
        <v>7039</v>
      </c>
      <c r="AG3169" s="1" t="s">
        <v>53</v>
      </c>
      <c r="AH3169" s="1" t="s">
        <v>49</v>
      </c>
      <c r="AI3169" s="1" t="s">
        <v>54</v>
      </c>
      <c r="AJ3169" s="1">
        <v>1</v>
      </c>
      <c r="AK3169" s="1" t="str">
        <f t="shared" si="49"/>
        <v xml:space="preserve"> =&lt;90</v>
      </c>
      <c r="AL3169" s="1" t="e">
        <f>VLOOKUP(C:C,[1]基础信息!B$1:D$65536,3,0)</f>
        <v>#N/A</v>
      </c>
      <c r="AM3169" s="1" t="e">
        <f>VLOOKUP(C:C,[1]基础信息!B$1:E$65536,4,0)</f>
        <v>#N/A</v>
      </c>
      <c r="AN3169" s="1" t="e">
        <f>VLOOKUP(C:C,[1]基础信息!B$1:F$65536,5,0)</f>
        <v>#N/A</v>
      </c>
    </row>
    <row r="3170" spans="1:40">
      <c r="A3170" s="1" t="s">
        <v>41</v>
      </c>
      <c r="B3170" s="1" t="s">
        <v>42</v>
      </c>
      <c r="C3170" s="1" t="s">
        <v>5154</v>
      </c>
      <c r="D3170" s="1" t="s">
        <v>5155</v>
      </c>
      <c r="E3170" s="1" t="s">
        <v>45</v>
      </c>
      <c r="F3170" s="1" t="s">
        <v>7179</v>
      </c>
      <c r="G3170" s="1" t="s">
        <v>7249</v>
      </c>
      <c r="H3170" s="1" t="s">
        <v>7250</v>
      </c>
      <c r="I3170" s="1" t="s">
        <v>49</v>
      </c>
      <c r="J3170" s="1" t="s">
        <v>48</v>
      </c>
      <c r="K3170" s="1">
        <v>270</v>
      </c>
      <c r="L3170" s="1">
        <v>0</v>
      </c>
      <c r="M3170" s="1">
        <v>0</v>
      </c>
      <c r="N3170" s="1">
        <v>270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 t="s">
        <v>49</v>
      </c>
      <c r="AA3170" s="1" t="s">
        <v>49</v>
      </c>
      <c r="AB3170" s="1" t="s">
        <v>49</v>
      </c>
      <c r="AC3170" s="1" t="s">
        <v>1188</v>
      </c>
      <c r="AD3170" s="1" t="s">
        <v>1189</v>
      </c>
      <c r="AE3170" s="1" t="s">
        <v>1188</v>
      </c>
      <c r="AF3170" s="1" t="s">
        <v>7039</v>
      </c>
      <c r="AG3170" s="1" t="s">
        <v>53</v>
      </c>
      <c r="AH3170" s="1" t="s">
        <v>49</v>
      </c>
      <c r="AI3170" s="1" t="s">
        <v>54</v>
      </c>
      <c r="AJ3170" s="1">
        <v>1</v>
      </c>
      <c r="AK3170" s="1" t="str">
        <f t="shared" si="49"/>
        <v xml:space="preserve"> =&lt;90</v>
      </c>
      <c r="AL3170" s="1" t="e">
        <f>VLOOKUP(C:C,[1]基础信息!B$1:D$65536,3,0)</f>
        <v>#N/A</v>
      </c>
      <c r="AM3170" s="1" t="e">
        <f>VLOOKUP(C:C,[1]基础信息!B$1:E$65536,4,0)</f>
        <v>#N/A</v>
      </c>
      <c r="AN3170" s="1" t="e">
        <f>VLOOKUP(C:C,[1]基础信息!B$1:F$65536,5,0)</f>
        <v>#N/A</v>
      </c>
    </row>
    <row r="3171" spans="1:40">
      <c r="A3171" s="1" t="s">
        <v>41</v>
      </c>
      <c r="B3171" s="1" t="s">
        <v>42</v>
      </c>
      <c r="C3171" s="1" t="s">
        <v>5154</v>
      </c>
      <c r="D3171" s="1" t="s">
        <v>5155</v>
      </c>
      <c r="E3171" s="1" t="s">
        <v>45</v>
      </c>
      <c r="F3171" s="1" t="s">
        <v>7179</v>
      </c>
      <c r="G3171" s="1" t="s">
        <v>7251</v>
      </c>
      <c r="H3171" s="1" t="s">
        <v>7252</v>
      </c>
      <c r="I3171" s="1" t="s">
        <v>49</v>
      </c>
      <c r="J3171" s="1" t="s">
        <v>48</v>
      </c>
      <c r="K3171" s="1">
        <v>270</v>
      </c>
      <c r="L3171" s="1">
        <v>0</v>
      </c>
      <c r="M3171" s="1">
        <v>0</v>
      </c>
      <c r="N3171" s="1">
        <v>270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 t="s">
        <v>49</v>
      </c>
      <c r="AA3171" s="1" t="s">
        <v>49</v>
      </c>
      <c r="AB3171" s="1" t="s">
        <v>49</v>
      </c>
      <c r="AC3171" s="1" t="s">
        <v>1188</v>
      </c>
      <c r="AD3171" s="1" t="s">
        <v>1189</v>
      </c>
      <c r="AE3171" s="1" t="s">
        <v>1188</v>
      </c>
      <c r="AF3171" s="1" t="s">
        <v>7039</v>
      </c>
      <c r="AG3171" s="1" t="s">
        <v>53</v>
      </c>
      <c r="AH3171" s="1" t="s">
        <v>49</v>
      </c>
      <c r="AI3171" s="1" t="s">
        <v>54</v>
      </c>
      <c r="AJ3171" s="1">
        <v>1</v>
      </c>
      <c r="AK3171" s="1" t="str">
        <f t="shared" si="49"/>
        <v xml:space="preserve"> =&lt;90</v>
      </c>
      <c r="AL3171" s="1" t="e">
        <f>VLOOKUP(C:C,[1]基础信息!B$1:D$65536,3,0)</f>
        <v>#N/A</v>
      </c>
      <c r="AM3171" s="1" t="e">
        <f>VLOOKUP(C:C,[1]基础信息!B$1:E$65536,4,0)</f>
        <v>#N/A</v>
      </c>
      <c r="AN3171" s="1" t="e">
        <f>VLOOKUP(C:C,[1]基础信息!B$1:F$65536,5,0)</f>
        <v>#N/A</v>
      </c>
    </row>
    <row r="3172" spans="1:40">
      <c r="A3172" s="1" t="s">
        <v>41</v>
      </c>
      <c r="B3172" s="1" t="s">
        <v>42</v>
      </c>
      <c r="C3172" s="1" t="s">
        <v>341</v>
      </c>
      <c r="D3172" s="1" t="s">
        <v>342</v>
      </c>
      <c r="E3172" s="1" t="s">
        <v>45</v>
      </c>
      <c r="F3172" s="1" t="s">
        <v>343</v>
      </c>
      <c r="G3172" s="1" t="s">
        <v>7253</v>
      </c>
      <c r="H3172" s="1" t="s">
        <v>7254</v>
      </c>
      <c r="I3172" s="1" t="s">
        <v>49</v>
      </c>
      <c r="J3172" s="1" t="s">
        <v>48</v>
      </c>
      <c r="K3172" s="1">
        <v>70</v>
      </c>
      <c r="L3172" s="1">
        <v>0</v>
      </c>
      <c r="M3172" s="1">
        <v>0</v>
      </c>
      <c r="N3172" s="1">
        <v>70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 t="s">
        <v>49</v>
      </c>
      <c r="AA3172" s="1" t="s">
        <v>49</v>
      </c>
      <c r="AB3172" s="1" t="s">
        <v>49</v>
      </c>
      <c r="AC3172" s="1" t="s">
        <v>346</v>
      </c>
      <c r="AD3172" s="1" t="s">
        <v>347</v>
      </c>
      <c r="AE3172" s="1" t="s">
        <v>346</v>
      </c>
      <c r="AF3172" s="1" t="s">
        <v>348</v>
      </c>
      <c r="AG3172" s="1" t="s">
        <v>338</v>
      </c>
      <c r="AH3172" s="1" t="s">
        <v>49</v>
      </c>
      <c r="AI3172" s="1" t="s">
        <v>54</v>
      </c>
      <c r="AJ3172" s="1">
        <v>1</v>
      </c>
      <c r="AK3172" s="1" t="str">
        <f t="shared" si="49"/>
        <v xml:space="preserve"> =&lt;90</v>
      </c>
      <c r="AL3172" s="1" t="str">
        <f>VLOOKUP(C:C,[1]基础信息!B$1:D$65536,3,0)</f>
        <v>Jug</v>
      </c>
      <c r="AM3172" s="1" t="str">
        <f>VLOOKUP(C:C,[1]基础信息!B$1:E$65536,4,0)</f>
        <v>Marella</v>
      </c>
      <c r="AN3172" s="1" t="str">
        <f>VLOOKUP(C:C,[1]基础信息!B$1:F$65536,5,0)</f>
        <v>Blue Glitter</v>
      </c>
    </row>
    <row r="3173" spans="1:40">
      <c r="A3173" s="1" t="s">
        <v>41</v>
      </c>
      <c r="B3173" s="1" t="s">
        <v>42</v>
      </c>
      <c r="C3173" s="1" t="s">
        <v>5154</v>
      </c>
      <c r="D3173" s="1" t="s">
        <v>5155</v>
      </c>
      <c r="E3173" s="1" t="s">
        <v>45</v>
      </c>
      <c r="F3173" s="1" t="s">
        <v>7179</v>
      </c>
      <c r="G3173" s="1" t="s">
        <v>7255</v>
      </c>
      <c r="H3173" s="1" t="s">
        <v>7256</v>
      </c>
      <c r="I3173" s="1" t="s">
        <v>49</v>
      </c>
      <c r="J3173" s="1" t="s">
        <v>48</v>
      </c>
      <c r="K3173" s="1">
        <v>270</v>
      </c>
      <c r="L3173" s="1">
        <v>0</v>
      </c>
      <c r="M3173" s="1">
        <v>0</v>
      </c>
      <c r="N3173" s="1">
        <v>270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 t="s">
        <v>49</v>
      </c>
      <c r="AA3173" s="1" t="s">
        <v>49</v>
      </c>
      <c r="AB3173" s="1" t="s">
        <v>49</v>
      </c>
      <c r="AC3173" s="1" t="s">
        <v>1188</v>
      </c>
      <c r="AD3173" s="1" t="s">
        <v>1189</v>
      </c>
      <c r="AE3173" s="1" t="s">
        <v>1188</v>
      </c>
      <c r="AF3173" s="1" t="s">
        <v>7039</v>
      </c>
      <c r="AG3173" s="1" t="s">
        <v>53</v>
      </c>
      <c r="AH3173" s="1" t="s">
        <v>49</v>
      </c>
      <c r="AI3173" s="1" t="s">
        <v>54</v>
      </c>
      <c r="AJ3173" s="1">
        <v>1</v>
      </c>
      <c r="AK3173" s="1" t="str">
        <f t="shared" si="49"/>
        <v xml:space="preserve"> =&lt;90</v>
      </c>
      <c r="AL3173" s="1" t="e">
        <f>VLOOKUP(C:C,[1]基础信息!B$1:D$65536,3,0)</f>
        <v>#N/A</v>
      </c>
      <c r="AM3173" s="1" t="e">
        <f>VLOOKUP(C:C,[1]基础信息!B$1:E$65536,4,0)</f>
        <v>#N/A</v>
      </c>
      <c r="AN3173" s="1" t="e">
        <f>VLOOKUP(C:C,[1]基础信息!B$1:F$65536,5,0)</f>
        <v>#N/A</v>
      </c>
    </row>
    <row r="3174" spans="1:40">
      <c r="A3174" s="1" t="s">
        <v>41</v>
      </c>
      <c r="B3174" s="1" t="s">
        <v>42</v>
      </c>
      <c r="C3174" s="1" t="s">
        <v>5154</v>
      </c>
      <c r="D3174" s="1" t="s">
        <v>5155</v>
      </c>
      <c r="E3174" s="1" t="s">
        <v>45</v>
      </c>
      <c r="F3174" s="1" t="s">
        <v>7179</v>
      </c>
      <c r="G3174" s="1" t="s">
        <v>7257</v>
      </c>
      <c r="H3174" s="1" t="s">
        <v>7258</v>
      </c>
      <c r="I3174" s="1" t="s">
        <v>49</v>
      </c>
      <c r="J3174" s="1" t="s">
        <v>48</v>
      </c>
      <c r="K3174" s="1">
        <v>270</v>
      </c>
      <c r="L3174" s="1">
        <v>0</v>
      </c>
      <c r="M3174" s="1">
        <v>0</v>
      </c>
      <c r="N3174" s="1">
        <v>270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 t="s">
        <v>49</v>
      </c>
      <c r="AA3174" s="1" t="s">
        <v>49</v>
      </c>
      <c r="AB3174" s="1" t="s">
        <v>49</v>
      </c>
      <c r="AC3174" s="1" t="s">
        <v>1188</v>
      </c>
      <c r="AD3174" s="1" t="s">
        <v>1189</v>
      </c>
      <c r="AE3174" s="1" t="s">
        <v>1188</v>
      </c>
      <c r="AF3174" s="1" t="s">
        <v>7039</v>
      </c>
      <c r="AG3174" s="1" t="s">
        <v>53</v>
      </c>
      <c r="AH3174" s="1" t="s">
        <v>49</v>
      </c>
      <c r="AI3174" s="1" t="s">
        <v>54</v>
      </c>
      <c r="AJ3174" s="1">
        <v>1</v>
      </c>
      <c r="AK3174" s="1" t="str">
        <f t="shared" si="49"/>
        <v xml:space="preserve"> =&lt;90</v>
      </c>
      <c r="AL3174" s="1" t="e">
        <f>VLOOKUP(C:C,[1]基础信息!B$1:D$65536,3,0)</f>
        <v>#N/A</v>
      </c>
      <c r="AM3174" s="1" t="e">
        <f>VLOOKUP(C:C,[1]基础信息!B$1:E$65536,4,0)</f>
        <v>#N/A</v>
      </c>
      <c r="AN3174" s="1" t="e">
        <f>VLOOKUP(C:C,[1]基础信息!B$1:F$65536,5,0)</f>
        <v>#N/A</v>
      </c>
    </row>
    <row r="3175" spans="1:40">
      <c r="A3175" s="1" t="s">
        <v>41</v>
      </c>
      <c r="B3175" s="1" t="s">
        <v>42</v>
      </c>
      <c r="C3175" s="1" t="s">
        <v>5154</v>
      </c>
      <c r="D3175" s="1" t="s">
        <v>5155</v>
      </c>
      <c r="E3175" s="1" t="s">
        <v>45</v>
      </c>
      <c r="F3175" s="1" t="s">
        <v>7179</v>
      </c>
      <c r="G3175" s="1" t="s">
        <v>7259</v>
      </c>
      <c r="H3175" s="1" t="s">
        <v>7260</v>
      </c>
      <c r="I3175" s="1" t="s">
        <v>49</v>
      </c>
      <c r="J3175" s="1" t="s">
        <v>48</v>
      </c>
      <c r="K3175" s="1">
        <v>270</v>
      </c>
      <c r="L3175" s="1">
        <v>0</v>
      </c>
      <c r="M3175" s="1">
        <v>0</v>
      </c>
      <c r="N3175" s="1">
        <v>270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 t="s">
        <v>49</v>
      </c>
      <c r="AA3175" s="1" t="s">
        <v>49</v>
      </c>
      <c r="AB3175" s="1" t="s">
        <v>49</v>
      </c>
      <c r="AC3175" s="1" t="s">
        <v>1188</v>
      </c>
      <c r="AD3175" s="1" t="s">
        <v>1189</v>
      </c>
      <c r="AE3175" s="1" t="s">
        <v>1188</v>
      </c>
      <c r="AF3175" s="1" t="s">
        <v>7039</v>
      </c>
      <c r="AG3175" s="1" t="s">
        <v>53</v>
      </c>
      <c r="AH3175" s="1" t="s">
        <v>49</v>
      </c>
      <c r="AI3175" s="1" t="s">
        <v>54</v>
      </c>
      <c r="AJ3175" s="1">
        <v>1</v>
      </c>
      <c r="AK3175" s="1" t="str">
        <f t="shared" si="49"/>
        <v xml:space="preserve"> =&lt;90</v>
      </c>
      <c r="AL3175" s="1" t="e">
        <f>VLOOKUP(C:C,[1]基础信息!B$1:D$65536,3,0)</f>
        <v>#N/A</v>
      </c>
      <c r="AM3175" s="1" t="e">
        <f>VLOOKUP(C:C,[1]基础信息!B$1:E$65536,4,0)</f>
        <v>#N/A</v>
      </c>
      <c r="AN3175" s="1" t="e">
        <f>VLOOKUP(C:C,[1]基础信息!B$1:F$65536,5,0)</f>
        <v>#N/A</v>
      </c>
    </row>
    <row r="3176" spans="1:40">
      <c r="A3176" s="1" t="s">
        <v>41</v>
      </c>
      <c r="B3176" s="1" t="s">
        <v>42</v>
      </c>
      <c r="C3176" s="1" t="s">
        <v>5154</v>
      </c>
      <c r="D3176" s="1" t="s">
        <v>5155</v>
      </c>
      <c r="E3176" s="1" t="s">
        <v>45</v>
      </c>
      <c r="F3176" s="1" t="s">
        <v>7179</v>
      </c>
      <c r="G3176" s="1" t="s">
        <v>7261</v>
      </c>
      <c r="H3176" s="1" t="s">
        <v>7262</v>
      </c>
      <c r="I3176" s="1" t="s">
        <v>49</v>
      </c>
      <c r="J3176" s="1" t="s">
        <v>48</v>
      </c>
      <c r="K3176" s="1">
        <v>270</v>
      </c>
      <c r="L3176" s="1">
        <v>0</v>
      </c>
      <c r="M3176" s="1">
        <v>0</v>
      </c>
      <c r="N3176" s="1">
        <v>270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 t="s">
        <v>49</v>
      </c>
      <c r="AA3176" s="1" t="s">
        <v>49</v>
      </c>
      <c r="AB3176" s="1" t="s">
        <v>49</v>
      </c>
      <c r="AC3176" s="1" t="s">
        <v>1188</v>
      </c>
      <c r="AD3176" s="1" t="s">
        <v>1189</v>
      </c>
      <c r="AE3176" s="1" t="s">
        <v>1188</v>
      </c>
      <c r="AF3176" s="1" t="s">
        <v>7039</v>
      </c>
      <c r="AG3176" s="1" t="s">
        <v>53</v>
      </c>
      <c r="AH3176" s="1" t="s">
        <v>49</v>
      </c>
      <c r="AI3176" s="1" t="s">
        <v>54</v>
      </c>
      <c r="AJ3176" s="1">
        <v>1</v>
      </c>
      <c r="AK3176" s="1" t="str">
        <f t="shared" si="49"/>
        <v xml:space="preserve"> =&lt;90</v>
      </c>
      <c r="AL3176" s="1" t="e">
        <f>VLOOKUP(C:C,[1]基础信息!B$1:D$65536,3,0)</f>
        <v>#N/A</v>
      </c>
      <c r="AM3176" s="1" t="e">
        <f>VLOOKUP(C:C,[1]基础信息!B$1:E$65536,4,0)</f>
        <v>#N/A</v>
      </c>
      <c r="AN3176" s="1" t="e">
        <f>VLOOKUP(C:C,[1]基础信息!B$1:F$65536,5,0)</f>
        <v>#N/A</v>
      </c>
    </row>
    <row r="3177" spans="1:40">
      <c r="A3177" s="1" t="s">
        <v>41</v>
      </c>
      <c r="B3177" s="1" t="s">
        <v>42</v>
      </c>
      <c r="C3177" s="1" t="s">
        <v>5154</v>
      </c>
      <c r="D3177" s="1" t="s">
        <v>5155</v>
      </c>
      <c r="E3177" s="1" t="s">
        <v>45</v>
      </c>
      <c r="F3177" s="1" t="s">
        <v>7179</v>
      </c>
      <c r="G3177" s="1" t="s">
        <v>7263</v>
      </c>
      <c r="H3177" s="1" t="s">
        <v>7264</v>
      </c>
      <c r="I3177" s="1" t="s">
        <v>49</v>
      </c>
      <c r="J3177" s="1" t="s">
        <v>48</v>
      </c>
      <c r="K3177" s="1">
        <v>270</v>
      </c>
      <c r="L3177" s="1">
        <v>0</v>
      </c>
      <c r="M3177" s="1">
        <v>0</v>
      </c>
      <c r="N3177" s="1">
        <v>270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 t="s">
        <v>49</v>
      </c>
      <c r="AA3177" s="1" t="s">
        <v>49</v>
      </c>
      <c r="AB3177" s="1" t="s">
        <v>49</v>
      </c>
      <c r="AC3177" s="1" t="s">
        <v>1188</v>
      </c>
      <c r="AD3177" s="1" t="s">
        <v>1189</v>
      </c>
      <c r="AE3177" s="1" t="s">
        <v>1188</v>
      </c>
      <c r="AF3177" s="1" t="s">
        <v>7039</v>
      </c>
      <c r="AG3177" s="1" t="s">
        <v>53</v>
      </c>
      <c r="AH3177" s="1" t="s">
        <v>49</v>
      </c>
      <c r="AI3177" s="1" t="s">
        <v>54</v>
      </c>
      <c r="AJ3177" s="1">
        <v>1</v>
      </c>
      <c r="AK3177" s="1" t="str">
        <f t="shared" si="49"/>
        <v xml:space="preserve"> =&lt;90</v>
      </c>
      <c r="AL3177" s="1" t="e">
        <f>VLOOKUP(C:C,[1]基础信息!B$1:D$65536,3,0)</f>
        <v>#N/A</v>
      </c>
      <c r="AM3177" s="1" t="e">
        <f>VLOOKUP(C:C,[1]基础信息!B$1:E$65536,4,0)</f>
        <v>#N/A</v>
      </c>
      <c r="AN3177" s="1" t="e">
        <f>VLOOKUP(C:C,[1]基础信息!B$1:F$65536,5,0)</f>
        <v>#N/A</v>
      </c>
    </row>
    <row r="3178" spans="1:40">
      <c r="A3178" s="1" t="s">
        <v>41</v>
      </c>
      <c r="B3178" s="1" t="s">
        <v>42</v>
      </c>
      <c r="C3178" s="1" t="s">
        <v>5154</v>
      </c>
      <c r="D3178" s="1" t="s">
        <v>5155</v>
      </c>
      <c r="E3178" s="1" t="s">
        <v>45</v>
      </c>
      <c r="F3178" s="1" t="s">
        <v>7179</v>
      </c>
      <c r="G3178" s="1" t="s">
        <v>7265</v>
      </c>
      <c r="H3178" s="1" t="s">
        <v>7266</v>
      </c>
      <c r="I3178" s="1" t="s">
        <v>49</v>
      </c>
      <c r="J3178" s="1" t="s">
        <v>48</v>
      </c>
      <c r="K3178" s="1">
        <v>270</v>
      </c>
      <c r="L3178" s="1">
        <v>0</v>
      </c>
      <c r="M3178" s="1">
        <v>0</v>
      </c>
      <c r="N3178" s="1">
        <v>270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 t="s">
        <v>49</v>
      </c>
      <c r="AA3178" s="1" t="s">
        <v>49</v>
      </c>
      <c r="AB3178" s="1" t="s">
        <v>49</v>
      </c>
      <c r="AC3178" s="1" t="s">
        <v>1188</v>
      </c>
      <c r="AD3178" s="1" t="s">
        <v>1189</v>
      </c>
      <c r="AE3178" s="1" t="s">
        <v>1188</v>
      </c>
      <c r="AF3178" s="1" t="s">
        <v>7039</v>
      </c>
      <c r="AG3178" s="1" t="s">
        <v>53</v>
      </c>
      <c r="AH3178" s="1" t="s">
        <v>49</v>
      </c>
      <c r="AI3178" s="1" t="s">
        <v>54</v>
      </c>
      <c r="AJ3178" s="1">
        <v>1</v>
      </c>
      <c r="AK3178" s="1" t="str">
        <f t="shared" si="49"/>
        <v xml:space="preserve"> =&lt;90</v>
      </c>
      <c r="AL3178" s="1" t="e">
        <f>VLOOKUP(C:C,[1]基础信息!B$1:D$65536,3,0)</f>
        <v>#N/A</v>
      </c>
      <c r="AM3178" s="1" t="e">
        <f>VLOOKUP(C:C,[1]基础信息!B$1:E$65536,4,0)</f>
        <v>#N/A</v>
      </c>
      <c r="AN3178" s="1" t="e">
        <f>VLOOKUP(C:C,[1]基础信息!B$1:F$65536,5,0)</f>
        <v>#N/A</v>
      </c>
    </row>
    <row r="3179" spans="1:40">
      <c r="A3179" s="1" t="s">
        <v>41</v>
      </c>
      <c r="B3179" s="1" t="s">
        <v>42</v>
      </c>
      <c r="C3179" s="1" t="s">
        <v>5154</v>
      </c>
      <c r="D3179" s="1" t="s">
        <v>5155</v>
      </c>
      <c r="E3179" s="1" t="s">
        <v>45</v>
      </c>
      <c r="F3179" s="1" t="s">
        <v>7179</v>
      </c>
      <c r="G3179" s="1" t="s">
        <v>7267</v>
      </c>
      <c r="H3179" s="1" t="s">
        <v>7268</v>
      </c>
      <c r="I3179" s="1" t="s">
        <v>49</v>
      </c>
      <c r="J3179" s="1" t="s">
        <v>48</v>
      </c>
      <c r="K3179" s="1">
        <v>270</v>
      </c>
      <c r="L3179" s="1">
        <v>0</v>
      </c>
      <c r="M3179" s="1">
        <v>0</v>
      </c>
      <c r="N3179" s="1">
        <v>270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 t="s">
        <v>49</v>
      </c>
      <c r="AA3179" s="1" t="s">
        <v>49</v>
      </c>
      <c r="AB3179" s="1" t="s">
        <v>49</v>
      </c>
      <c r="AC3179" s="1" t="s">
        <v>1188</v>
      </c>
      <c r="AD3179" s="1" t="s">
        <v>1189</v>
      </c>
      <c r="AE3179" s="1" t="s">
        <v>1188</v>
      </c>
      <c r="AF3179" s="1" t="s">
        <v>7039</v>
      </c>
      <c r="AG3179" s="1" t="s">
        <v>53</v>
      </c>
      <c r="AH3179" s="1" t="s">
        <v>49</v>
      </c>
      <c r="AI3179" s="1" t="s">
        <v>54</v>
      </c>
      <c r="AJ3179" s="1">
        <v>1</v>
      </c>
      <c r="AK3179" s="1" t="str">
        <f t="shared" si="49"/>
        <v xml:space="preserve"> =&lt;90</v>
      </c>
      <c r="AL3179" s="1" t="e">
        <f>VLOOKUP(C:C,[1]基础信息!B$1:D$65536,3,0)</f>
        <v>#N/A</v>
      </c>
      <c r="AM3179" s="1" t="e">
        <f>VLOOKUP(C:C,[1]基础信息!B$1:E$65536,4,0)</f>
        <v>#N/A</v>
      </c>
      <c r="AN3179" s="1" t="e">
        <f>VLOOKUP(C:C,[1]基础信息!B$1:F$65536,5,0)</f>
        <v>#N/A</v>
      </c>
    </row>
    <row r="3180" spans="1:40">
      <c r="A3180" s="1" t="s">
        <v>41</v>
      </c>
      <c r="B3180" s="1" t="s">
        <v>42</v>
      </c>
      <c r="C3180" s="1" t="s">
        <v>5154</v>
      </c>
      <c r="D3180" s="1" t="s">
        <v>5155</v>
      </c>
      <c r="E3180" s="1" t="s">
        <v>45</v>
      </c>
      <c r="F3180" s="1" t="s">
        <v>7179</v>
      </c>
      <c r="G3180" s="1" t="s">
        <v>7269</v>
      </c>
      <c r="H3180" s="1" t="s">
        <v>7270</v>
      </c>
      <c r="I3180" s="1" t="s">
        <v>49</v>
      </c>
      <c r="J3180" s="1" t="s">
        <v>48</v>
      </c>
      <c r="K3180" s="1">
        <v>270</v>
      </c>
      <c r="L3180" s="1">
        <v>0</v>
      </c>
      <c r="M3180" s="1">
        <v>0</v>
      </c>
      <c r="N3180" s="1">
        <v>270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 t="s">
        <v>49</v>
      </c>
      <c r="AA3180" s="1" t="s">
        <v>49</v>
      </c>
      <c r="AB3180" s="1" t="s">
        <v>49</v>
      </c>
      <c r="AC3180" s="1" t="s">
        <v>1188</v>
      </c>
      <c r="AD3180" s="1" t="s">
        <v>1189</v>
      </c>
      <c r="AE3180" s="1" t="s">
        <v>1188</v>
      </c>
      <c r="AF3180" s="1" t="s">
        <v>7039</v>
      </c>
      <c r="AG3180" s="1" t="s">
        <v>53</v>
      </c>
      <c r="AH3180" s="1" t="s">
        <v>49</v>
      </c>
      <c r="AI3180" s="1" t="s">
        <v>54</v>
      </c>
      <c r="AJ3180" s="1">
        <v>1</v>
      </c>
      <c r="AK3180" s="1" t="str">
        <f t="shared" si="49"/>
        <v xml:space="preserve"> =&lt;90</v>
      </c>
      <c r="AL3180" s="1" t="e">
        <f>VLOOKUP(C:C,[1]基础信息!B$1:D$65536,3,0)</f>
        <v>#N/A</v>
      </c>
      <c r="AM3180" s="1" t="e">
        <f>VLOOKUP(C:C,[1]基础信息!B$1:E$65536,4,0)</f>
        <v>#N/A</v>
      </c>
      <c r="AN3180" s="1" t="e">
        <f>VLOOKUP(C:C,[1]基础信息!B$1:F$65536,5,0)</f>
        <v>#N/A</v>
      </c>
    </row>
    <row r="3181" spans="1:40">
      <c r="A3181" s="1" t="s">
        <v>41</v>
      </c>
      <c r="B3181" s="1" t="s">
        <v>42</v>
      </c>
      <c r="C3181" s="1" t="s">
        <v>5154</v>
      </c>
      <c r="D3181" s="1" t="s">
        <v>5155</v>
      </c>
      <c r="E3181" s="1" t="s">
        <v>45</v>
      </c>
      <c r="F3181" s="1" t="s">
        <v>7179</v>
      </c>
      <c r="G3181" s="1" t="s">
        <v>7271</v>
      </c>
      <c r="H3181" s="1" t="s">
        <v>7272</v>
      </c>
      <c r="I3181" s="1" t="s">
        <v>49</v>
      </c>
      <c r="J3181" s="1" t="s">
        <v>48</v>
      </c>
      <c r="K3181" s="1">
        <v>270</v>
      </c>
      <c r="L3181" s="1">
        <v>0</v>
      </c>
      <c r="M3181" s="1">
        <v>0</v>
      </c>
      <c r="N3181" s="1">
        <v>270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 t="s">
        <v>49</v>
      </c>
      <c r="AA3181" s="1" t="s">
        <v>49</v>
      </c>
      <c r="AB3181" s="1" t="s">
        <v>49</v>
      </c>
      <c r="AC3181" s="1" t="s">
        <v>1188</v>
      </c>
      <c r="AD3181" s="1" t="s">
        <v>1189</v>
      </c>
      <c r="AE3181" s="1" t="s">
        <v>1188</v>
      </c>
      <c r="AF3181" s="1" t="s">
        <v>7039</v>
      </c>
      <c r="AG3181" s="1" t="s">
        <v>53</v>
      </c>
      <c r="AH3181" s="1" t="s">
        <v>49</v>
      </c>
      <c r="AI3181" s="1" t="s">
        <v>54</v>
      </c>
      <c r="AJ3181" s="1">
        <v>1</v>
      </c>
      <c r="AK3181" s="1" t="str">
        <f t="shared" si="49"/>
        <v xml:space="preserve"> =&lt;90</v>
      </c>
      <c r="AL3181" s="1" t="e">
        <f>VLOOKUP(C:C,[1]基础信息!B$1:D$65536,3,0)</f>
        <v>#N/A</v>
      </c>
      <c r="AM3181" s="1" t="e">
        <f>VLOOKUP(C:C,[1]基础信息!B$1:E$65536,4,0)</f>
        <v>#N/A</v>
      </c>
      <c r="AN3181" s="1" t="e">
        <f>VLOOKUP(C:C,[1]基础信息!B$1:F$65536,5,0)</f>
        <v>#N/A</v>
      </c>
    </row>
    <row r="3182" spans="1:40">
      <c r="A3182" s="1" t="s">
        <v>41</v>
      </c>
      <c r="B3182" s="1" t="s">
        <v>42</v>
      </c>
      <c r="C3182" s="1" t="s">
        <v>5154</v>
      </c>
      <c r="D3182" s="1" t="s">
        <v>5155</v>
      </c>
      <c r="E3182" s="1" t="s">
        <v>45</v>
      </c>
      <c r="F3182" s="1" t="s">
        <v>7179</v>
      </c>
      <c r="G3182" s="1" t="s">
        <v>7273</v>
      </c>
      <c r="H3182" s="1" t="s">
        <v>7274</v>
      </c>
      <c r="I3182" s="1" t="s">
        <v>49</v>
      </c>
      <c r="J3182" s="1" t="s">
        <v>48</v>
      </c>
      <c r="K3182" s="1">
        <v>270</v>
      </c>
      <c r="L3182" s="1">
        <v>0</v>
      </c>
      <c r="M3182" s="1">
        <v>0</v>
      </c>
      <c r="N3182" s="1">
        <v>270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 t="s">
        <v>49</v>
      </c>
      <c r="AA3182" s="1" t="s">
        <v>49</v>
      </c>
      <c r="AB3182" s="1" t="s">
        <v>49</v>
      </c>
      <c r="AC3182" s="1" t="s">
        <v>1188</v>
      </c>
      <c r="AD3182" s="1" t="s">
        <v>1189</v>
      </c>
      <c r="AE3182" s="1" t="s">
        <v>1188</v>
      </c>
      <c r="AF3182" s="1" t="s">
        <v>7039</v>
      </c>
      <c r="AG3182" s="1" t="s">
        <v>53</v>
      </c>
      <c r="AH3182" s="1" t="s">
        <v>49</v>
      </c>
      <c r="AI3182" s="1" t="s">
        <v>54</v>
      </c>
      <c r="AJ3182" s="1">
        <v>1</v>
      </c>
      <c r="AK3182" s="1" t="str">
        <f t="shared" si="49"/>
        <v xml:space="preserve"> =&lt;90</v>
      </c>
      <c r="AL3182" s="1" t="e">
        <f>VLOOKUP(C:C,[1]基础信息!B$1:D$65536,3,0)</f>
        <v>#N/A</v>
      </c>
      <c r="AM3182" s="1" t="e">
        <f>VLOOKUP(C:C,[1]基础信息!B$1:E$65536,4,0)</f>
        <v>#N/A</v>
      </c>
      <c r="AN3182" s="1" t="e">
        <f>VLOOKUP(C:C,[1]基础信息!B$1:F$65536,5,0)</f>
        <v>#N/A</v>
      </c>
    </row>
    <row r="3183" spans="1:40">
      <c r="A3183" s="1" t="s">
        <v>41</v>
      </c>
      <c r="B3183" s="1" t="s">
        <v>42</v>
      </c>
      <c r="C3183" s="1" t="s">
        <v>5154</v>
      </c>
      <c r="D3183" s="1" t="s">
        <v>5155</v>
      </c>
      <c r="E3183" s="1" t="s">
        <v>45</v>
      </c>
      <c r="F3183" s="1" t="s">
        <v>7179</v>
      </c>
      <c r="G3183" s="1" t="s">
        <v>7275</v>
      </c>
      <c r="H3183" s="1" t="s">
        <v>7276</v>
      </c>
      <c r="I3183" s="1" t="s">
        <v>49</v>
      </c>
      <c r="J3183" s="1" t="s">
        <v>48</v>
      </c>
      <c r="K3183" s="1">
        <v>270</v>
      </c>
      <c r="L3183" s="1">
        <v>0</v>
      </c>
      <c r="M3183" s="1">
        <v>0</v>
      </c>
      <c r="N3183" s="1">
        <v>270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 t="s">
        <v>49</v>
      </c>
      <c r="AA3183" s="1" t="s">
        <v>49</v>
      </c>
      <c r="AB3183" s="1" t="s">
        <v>49</v>
      </c>
      <c r="AC3183" s="1" t="s">
        <v>1188</v>
      </c>
      <c r="AD3183" s="1" t="s">
        <v>1189</v>
      </c>
      <c r="AE3183" s="1" t="s">
        <v>1188</v>
      </c>
      <c r="AF3183" s="1" t="s">
        <v>7039</v>
      </c>
      <c r="AG3183" s="1" t="s">
        <v>53</v>
      </c>
      <c r="AH3183" s="1" t="s">
        <v>49</v>
      </c>
      <c r="AI3183" s="1" t="s">
        <v>54</v>
      </c>
      <c r="AJ3183" s="1">
        <v>1</v>
      </c>
      <c r="AK3183" s="1" t="str">
        <f t="shared" si="49"/>
        <v xml:space="preserve"> =&lt;90</v>
      </c>
      <c r="AL3183" s="1" t="e">
        <f>VLOOKUP(C:C,[1]基础信息!B$1:D$65536,3,0)</f>
        <v>#N/A</v>
      </c>
      <c r="AM3183" s="1" t="e">
        <f>VLOOKUP(C:C,[1]基础信息!B$1:E$65536,4,0)</f>
        <v>#N/A</v>
      </c>
      <c r="AN3183" s="1" t="e">
        <f>VLOOKUP(C:C,[1]基础信息!B$1:F$65536,5,0)</f>
        <v>#N/A</v>
      </c>
    </row>
    <row r="3184" spans="1:40">
      <c r="A3184" s="1" t="s">
        <v>41</v>
      </c>
      <c r="B3184" s="1" t="s">
        <v>42</v>
      </c>
      <c r="C3184" s="1" t="s">
        <v>5154</v>
      </c>
      <c r="D3184" s="1" t="s">
        <v>5155</v>
      </c>
      <c r="E3184" s="1" t="s">
        <v>45</v>
      </c>
      <c r="F3184" s="1" t="s">
        <v>7179</v>
      </c>
      <c r="G3184" s="1" t="s">
        <v>7277</v>
      </c>
      <c r="H3184" s="1" t="s">
        <v>7278</v>
      </c>
      <c r="I3184" s="1" t="s">
        <v>49</v>
      </c>
      <c r="J3184" s="1" t="s">
        <v>48</v>
      </c>
      <c r="K3184" s="1">
        <v>270</v>
      </c>
      <c r="L3184" s="1">
        <v>0</v>
      </c>
      <c r="M3184" s="1">
        <v>0</v>
      </c>
      <c r="N3184" s="1">
        <v>270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 t="s">
        <v>49</v>
      </c>
      <c r="AA3184" s="1" t="s">
        <v>49</v>
      </c>
      <c r="AB3184" s="1" t="s">
        <v>49</v>
      </c>
      <c r="AC3184" s="1" t="s">
        <v>1188</v>
      </c>
      <c r="AD3184" s="1" t="s">
        <v>1189</v>
      </c>
      <c r="AE3184" s="1" t="s">
        <v>1188</v>
      </c>
      <c r="AF3184" s="1" t="s">
        <v>7039</v>
      </c>
      <c r="AG3184" s="1" t="s">
        <v>53</v>
      </c>
      <c r="AH3184" s="1" t="s">
        <v>49</v>
      </c>
      <c r="AI3184" s="1" t="s">
        <v>54</v>
      </c>
      <c r="AJ3184" s="1">
        <v>1</v>
      </c>
      <c r="AK3184" s="1" t="str">
        <f t="shared" si="49"/>
        <v xml:space="preserve"> =&lt;90</v>
      </c>
      <c r="AL3184" s="1" t="e">
        <f>VLOOKUP(C:C,[1]基础信息!B$1:D$65536,3,0)</f>
        <v>#N/A</v>
      </c>
      <c r="AM3184" s="1" t="e">
        <f>VLOOKUP(C:C,[1]基础信息!B$1:E$65536,4,0)</f>
        <v>#N/A</v>
      </c>
      <c r="AN3184" s="1" t="e">
        <f>VLOOKUP(C:C,[1]基础信息!B$1:F$65536,5,0)</f>
        <v>#N/A</v>
      </c>
    </row>
    <row r="3185" spans="1:40">
      <c r="A3185" s="1" t="s">
        <v>41</v>
      </c>
      <c r="B3185" s="1" t="s">
        <v>42</v>
      </c>
      <c r="C3185" s="1" t="s">
        <v>5154</v>
      </c>
      <c r="D3185" s="1" t="s">
        <v>5155</v>
      </c>
      <c r="E3185" s="1" t="s">
        <v>45</v>
      </c>
      <c r="F3185" s="1" t="s">
        <v>7179</v>
      </c>
      <c r="G3185" s="1" t="s">
        <v>7279</v>
      </c>
      <c r="H3185" s="1" t="s">
        <v>7280</v>
      </c>
      <c r="I3185" s="1" t="s">
        <v>49</v>
      </c>
      <c r="J3185" s="1" t="s">
        <v>48</v>
      </c>
      <c r="K3185" s="1">
        <v>270</v>
      </c>
      <c r="L3185" s="1">
        <v>0</v>
      </c>
      <c r="M3185" s="1">
        <v>0</v>
      </c>
      <c r="N3185" s="1">
        <v>270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 t="s">
        <v>49</v>
      </c>
      <c r="AA3185" s="1" t="s">
        <v>49</v>
      </c>
      <c r="AB3185" s="1" t="s">
        <v>49</v>
      </c>
      <c r="AC3185" s="1" t="s">
        <v>1188</v>
      </c>
      <c r="AD3185" s="1" t="s">
        <v>1189</v>
      </c>
      <c r="AE3185" s="1" t="s">
        <v>1188</v>
      </c>
      <c r="AF3185" s="1" t="s">
        <v>7039</v>
      </c>
      <c r="AG3185" s="1" t="s">
        <v>53</v>
      </c>
      <c r="AH3185" s="1" t="s">
        <v>49</v>
      </c>
      <c r="AI3185" s="1" t="s">
        <v>54</v>
      </c>
      <c r="AJ3185" s="1">
        <v>1</v>
      </c>
      <c r="AK3185" s="1" t="str">
        <f t="shared" si="49"/>
        <v xml:space="preserve"> =&lt;90</v>
      </c>
      <c r="AL3185" s="1" t="e">
        <f>VLOOKUP(C:C,[1]基础信息!B$1:D$65536,3,0)</f>
        <v>#N/A</v>
      </c>
      <c r="AM3185" s="1" t="e">
        <f>VLOOKUP(C:C,[1]基础信息!B$1:E$65536,4,0)</f>
        <v>#N/A</v>
      </c>
      <c r="AN3185" s="1" t="e">
        <f>VLOOKUP(C:C,[1]基础信息!B$1:F$65536,5,0)</f>
        <v>#N/A</v>
      </c>
    </row>
    <row r="3186" spans="1:40">
      <c r="A3186" s="1" t="s">
        <v>41</v>
      </c>
      <c r="B3186" s="1" t="s">
        <v>42</v>
      </c>
      <c r="C3186" s="1" t="s">
        <v>5154</v>
      </c>
      <c r="D3186" s="1" t="s">
        <v>5155</v>
      </c>
      <c r="E3186" s="1" t="s">
        <v>45</v>
      </c>
      <c r="F3186" s="1" t="s">
        <v>7179</v>
      </c>
      <c r="G3186" s="1" t="s">
        <v>7281</v>
      </c>
      <c r="H3186" s="1" t="s">
        <v>7282</v>
      </c>
      <c r="I3186" s="1" t="s">
        <v>49</v>
      </c>
      <c r="J3186" s="1" t="s">
        <v>48</v>
      </c>
      <c r="K3186" s="1">
        <v>270</v>
      </c>
      <c r="L3186" s="1">
        <v>0</v>
      </c>
      <c r="M3186" s="1">
        <v>0</v>
      </c>
      <c r="N3186" s="1">
        <v>270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 t="s">
        <v>49</v>
      </c>
      <c r="AA3186" s="1" t="s">
        <v>49</v>
      </c>
      <c r="AB3186" s="1" t="s">
        <v>49</v>
      </c>
      <c r="AC3186" s="1" t="s">
        <v>1188</v>
      </c>
      <c r="AD3186" s="1" t="s">
        <v>1189</v>
      </c>
      <c r="AE3186" s="1" t="s">
        <v>1188</v>
      </c>
      <c r="AF3186" s="1" t="s">
        <v>7039</v>
      </c>
      <c r="AG3186" s="1" t="s">
        <v>53</v>
      </c>
      <c r="AH3186" s="1" t="s">
        <v>49</v>
      </c>
      <c r="AI3186" s="1" t="s">
        <v>54</v>
      </c>
      <c r="AJ3186" s="1">
        <v>1</v>
      </c>
      <c r="AK3186" s="1" t="str">
        <f t="shared" si="49"/>
        <v xml:space="preserve"> =&lt;90</v>
      </c>
      <c r="AL3186" s="1" t="e">
        <f>VLOOKUP(C:C,[1]基础信息!B$1:D$65536,3,0)</f>
        <v>#N/A</v>
      </c>
      <c r="AM3186" s="1" t="e">
        <f>VLOOKUP(C:C,[1]基础信息!B$1:E$65536,4,0)</f>
        <v>#N/A</v>
      </c>
      <c r="AN3186" s="1" t="e">
        <f>VLOOKUP(C:C,[1]基础信息!B$1:F$65536,5,0)</f>
        <v>#N/A</v>
      </c>
    </row>
    <row r="3187" spans="1:40">
      <c r="A3187" s="1" t="s">
        <v>41</v>
      </c>
      <c r="B3187" s="1" t="s">
        <v>42</v>
      </c>
      <c r="C3187" s="1" t="s">
        <v>5154</v>
      </c>
      <c r="D3187" s="1" t="s">
        <v>5155</v>
      </c>
      <c r="E3187" s="1" t="s">
        <v>45</v>
      </c>
      <c r="F3187" s="1" t="s">
        <v>7179</v>
      </c>
      <c r="G3187" s="1" t="s">
        <v>7283</v>
      </c>
      <c r="H3187" s="1" t="s">
        <v>7284</v>
      </c>
      <c r="I3187" s="1" t="s">
        <v>49</v>
      </c>
      <c r="J3187" s="1" t="s">
        <v>48</v>
      </c>
      <c r="K3187" s="1">
        <v>270</v>
      </c>
      <c r="L3187" s="1">
        <v>0</v>
      </c>
      <c r="M3187" s="1">
        <v>0</v>
      </c>
      <c r="N3187" s="1">
        <v>270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 t="s">
        <v>49</v>
      </c>
      <c r="AA3187" s="1" t="s">
        <v>49</v>
      </c>
      <c r="AB3187" s="1" t="s">
        <v>49</v>
      </c>
      <c r="AC3187" s="1" t="s">
        <v>1188</v>
      </c>
      <c r="AD3187" s="1" t="s">
        <v>1189</v>
      </c>
      <c r="AE3187" s="1" t="s">
        <v>1188</v>
      </c>
      <c r="AF3187" s="1" t="s">
        <v>7039</v>
      </c>
      <c r="AG3187" s="1" t="s">
        <v>53</v>
      </c>
      <c r="AH3187" s="1" t="s">
        <v>49</v>
      </c>
      <c r="AI3187" s="1" t="s">
        <v>54</v>
      </c>
      <c r="AJ3187" s="1">
        <v>1</v>
      </c>
      <c r="AK3187" s="1" t="str">
        <f t="shared" si="49"/>
        <v xml:space="preserve"> =&lt;90</v>
      </c>
      <c r="AL3187" s="1" t="e">
        <f>VLOOKUP(C:C,[1]基础信息!B$1:D$65536,3,0)</f>
        <v>#N/A</v>
      </c>
      <c r="AM3187" s="1" t="e">
        <f>VLOOKUP(C:C,[1]基础信息!B$1:E$65536,4,0)</f>
        <v>#N/A</v>
      </c>
      <c r="AN3187" s="1" t="e">
        <f>VLOOKUP(C:C,[1]基础信息!B$1:F$65536,5,0)</f>
        <v>#N/A</v>
      </c>
    </row>
    <row r="3188" spans="1:40">
      <c r="A3188" s="1" t="s">
        <v>41</v>
      </c>
      <c r="B3188" s="1" t="s">
        <v>42</v>
      </c>
      <c r="C3188" s="1" t="s">
        <v>3999</v>
      </c>
      <c r="D3188" s="1" t="s">
        <v>4000</v>
      </c>
      <c r="E3188" s="1" t="s">
        <v>45</v>
      </c>
      <c r="F3188" s="1" t="s">
        <v>7285</v>
      </c>
      <c r="G3188" s="1" t="s">
        <v>7286</v>
      </c>
      <c r="H3188" s="1" t="s">
        <v>45</v>
      </c>
      <c r="I3188" s="1" t="s">
        <v>45</v>
      </c>
      <c r="J3188" s="1" t="s">
        <v>48</v>
      </c>
      <c r="K3188" s="1">
        <v>26</v>
      </c>
      <c r="L3188" s="1">
        <v>0</v>
      </c>
      <c r="M3188" s="1">
        <v>0</v>
      </c>
      <c r="N3188" s="1">
        <v>26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 t="s">
        <v>49</v>
      </c>
      <c r="AA3188" s="1" t="s">
        <v>49</v>
      </c>
      <c r="AB3188" s="1" t="s">
        <v>49</v>
      </c>
      <c r="AC3188" s="1" t="s">
        <v>5244</v>
      </c>
      <c r="AD3188" s="1" t="s">
        <v>5245</v>
      </c>
      <c r="AE3188" s="1" t="s">
        <v>5244</v>
      </c>
      <c r="AF3188" s="1" t="s">
        <v>7287</v>
      </c>
      <c r="AG3188" s="1" t="s">
        <v>338</v>
      </c>
      <c r="AH3188" s="1" t="s">
        <v>49</v>
      </c>
      <c r="AI3188" s="1" t="s">
        <v>54</v>
      </c>
      <c r="AJ3188" s="1">
        <v>1</v>
      </c>
      <c r="AK3188" s="1" t="str">
        <f t="shared" si="49"/>
        <v xml:space="preserve"> =&lt;90</v>
      </c>
      <c r="AL3188" s="1" t="str">
        <f>VLOOKUP(C:C,[1]基础信息!B$1:D$65536,3,0)</f>
        <v>Jug</v>
      </c>
      <c r="AM3188" s="1" t="str">
        <f>VLOOKUP(C:C,[1]基础信息!B$1:E$65536,4,0)</f>
        <v>Aluna</v>
      </c>
      <c r="AN3188" s="1" t="str">
        <f>VLOOKUP(C:C,[1]基础信息!B$1:F$65536,5,0)</f>
        <v>Blue</v>
      </c>
    </row>
    <row r="3189" spans="1:40">
      <c r="A3189" s="1" t="s">
        <v>41</v>
      </c>
      <c r="B3189" s="1" t="s">
        <v>42</v>
      </c>
      <c r="C3189" s="1" t="s">
        <v>341</v>
      </c>
      <c r="D3189" s="1" t="s">
        <v>342</v>
      </c>
      <c r="E3189" s="1" t="s">
        <v>45</v>
      </c>
      <c r="F3189" s="1" t="s">
        <v>343</v>
      </c>
      <c r="G3189" s="1" t="s">
        <v>7288</v>
      </c>
      <c r="H3189" s="1" t="s">
        <v>7289</v>
      </c>
      <c r="I3189" s="1" t="s">
        <v>49</v>
      </c>
      <c r="J3189" s="1" t="s">
        <v>48</v>
      </c>
      <c r="K3189" s="1">
        <v>70</v>
      </c>
      <c r="L3189" s="1">
        <v>0</v>
      </c>
      <c r="M3189" s="1">
        <v>0</v>
      </c>
      <c r="N3189" s="1">
        <v>70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 t="s">
        <v>49</v>
      </c>
      <c r="AA3189" s="1" t="s">
        <v>49</v>
      </c>
      <c r="AB3189" s="1" t="s">
        <v>49</v>
      </c>
      <c r="AC3189" s="1" t="s">
        <v>346</v>
      </c>
      <c r="AD3189" s="1" t="s">
        <v>347</v>
      </c>
      <c r="AE3189" s="1" t="s">
        <v>346</v>
      </c>
      <c r="AF3189" s="1" t="s">
        <v>348</v>
      </c>
      <c r="AG3189" s="1" t="s">
        <v>338</v>
      </c>
      <c r="AH3189" s="1" t="s">
        <v>49</v>
      </c>
      <c r="AI3189" s="1" t="s">
        <v>54</v>
      </c>
      <c r="AJ3189" s="1">
        <v>1</v>
      </c>
      <c r="AK3189" s="1" t="str">
        <f t="shared" si="49"/>
        <v xml:space="preserve"> =&lt;90</v>
      </c>
      <c r="AL3189" s="1" t="str">
        <f>VLOOKUP(C:C,[1]基础信息!B$1:D$65536,3,0)</f>
        <v>Jug</v>
      </c>
      <c r="AM3189" s="1" t="str">
        <f>VLOOKUP(C:C,[1]基础信息!B$1:E$65536,4,0)</f>
        <v>Marella</v>
      </c>
      <c r="AN3189" s="1" t="str">
        <f>VLOOKUP(C:C,[1]基础信息!B$1:F$65536,5,0)</f>
        <v>Blue Glitter</v>
      </c>
    </row>
    <row r="3190" spans="1:40">
      <c r="A3190" s="1" t="s">
        <v>41</v>
      </c>
      <c r="B3190" s="1" t="s">
        <v>42</v>
      </c>
      <c r="C3190" s="1" t="s">
        <v>5154</v>
      </c>
      <c r="D3190" s="1" t="s">
        <v>5155</v>
      </c>
      <c r="E3190" s="1" t="s">
        <v>45</v>
      </c>
      <c r="F3190" s="1" t="s">
        <v>7179</v>
      </c>
      <c r="G3190" s="1" t="s">
        <v>7290</v>
      </c>
      <c r="H3190" s="1" t="s">
        <v>7291</v>
      </c>
      <c r="I3190" s="1" t="s">
        <v>49</v>
      </c>
      <c r="J3190" s="1" t="s">
        <v>48</v>
      </c>
      <c r="K3190" s="1">
        <v>270</v>
      </c>
      <c r="L3190" s="1">
        <v>0</v>
      </c>
      <c r="M3190" s="1">
        <v>0</v>
      </c>
      <c r="N3190" s="1">
        <v>270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 t="s">
        <v>49</v>
      </c>
      <c r="AA3190" s="1" t="s">
        <v>49</v>
      </c>
      <c r="AB3190" s="1" t="s">
        <v>49</v>
      </c>
      <c r="AC3190" s="1" t="s">
        <v>1188</v>
      </c>
      <c r="AD3190" s="1" t="s">
        <v>1189</v>
      </c>
      <c r="AE3190" s="1" t="s">
        <v>1188</v>
      </c>
      <c r="AF3190" s="1" t="s">
        <v>7039</v>
      </c>
      <c r="AG3190" s="1" t="s">
        <v>53</v>
      </c>
      <c r="AH3190" s="1" t="s">
        <v>49</v>
      </c>
      <c r="AI3190" s="1" t="s">
        <v>54</v>
      </c>
      <c r="AJ3190" s="1">
        <v>1</v>
      </c>
      <c r="AK3190" s="1" t="str">
        <f t="shared" si="49"/>
        <v xml:space="preserve"> =&lt;90</v>
      </c>
      <c r="AL3190" s="1" t="e">
        <f>VLOOKUP(C:C,[1]基础信息!B$1:D$65536,3,0)</f>
        <v>#N/A</v>
      </c>
      <c r="AM3190" s="1" t="e">
        <f>VLOOKUP(C:C,[1]基础信息!B$1:E$65536,4,0)</f>
        <v>#N/A</v>
      </c>
      <c r="AN3190" s="1" t="e">
        <f>VLOOKUP(C:C,[1]基础信息!B$1:F$65536,5,0)</f>
        <v>#N/A</v>
      </c>
    </row>
    <row r="3191" spans="1:40">
      <c r="A3191" s="1" t="s">
        <v>41</v>
      </c>
      <c r="B3191" s="1" t="s">
        <v>42</v>
      </c>
      <c r="C3191" s="1" t="s">
        <v>4352</v>
      </c>
      <c r="D3191" s="1" t="s">
        <v>4353</v>
      </c>
      <c r="E3191" s="1" t="s">
        <v>45</v>
      </c>
      <c r="F3191" s="1" t="s">
        <v>7158</v>
      </c>
      <c r="G3191" s="1" t="s">
        <v>7292</v>
      </c>
      <c r="H3191" s="1" t="s">
        <v>7293</v>
      </c>
      <c r="I3191" s="1" t="s">
        <v>49</v>
      </c>
      <c r="J3191" s="1" t="s">
        <v>48</v>
      </c>
      <c r="K3191" s="1">
        <v>336</v>
      </c>
      <c r="L3191" s="1">
        <v>0</v>
      </c>
      <c r="M3191" s="1">
        <v>0</v>
      </c>
      <c r="N3191" s="1">
        <v>336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 t="s">
        <v>49</v>
      </c>
      <c r="AA3191" s="1" t="s">
        <v>49</v>
      </c>
      <c r="AB3191" s="1" t="s">
        <v>49</v>
      </c>
      <c r="AC3191" s="1" t="s">
        <v>1188</v>
      </c>
      <c r="AD3191" s="1" t="s">
        <v>1189</v>
      </c>
      <c r="AE3191" s="1" t="s">
        <v>1188</v>
      </c>
      <c r="AF3191" s="1" t="s">
        <v>6985</v>
      </c>
      <c r="AG3191" s="1" t="s">
        <v>53</v>
      </c>
      <c r="AH3191" s="1" t="s">
        <v>49</v>
      </c>
      <c r="AI3191" s="1" t="s">
        <v>54</v>
      </c>
      <c r="AJ3191" s="1">
        <v>1</v>
      </c>
      <c r="AK3191" s="1" t="str">
        <f t="shared" si="49"/>
        <v xml:space="preserve"> =&lt;90</v>
      </c>
      <c r="AL3191" s="1" t="e">
        <f>VLOOKUP(C:C,[1]基础信息!B$1:D$65536,3,0)</f>
        <v>#N/A</v>
      </c>
      <c r="AM3191" s="1" t="e">
        <f>VLOOKUP(C:C,[1]基础信息!B$1:E$65536,4,0)</f>
        <v>#N/A</v>
      </c>
      <c r="AN3191" s="1" t="e">
        <f>VLOOKUP(C:C,[1]基础信息!B$1:F$65536,5,0)</f>
        <v>#N/A</v>
      </c>
    </row>
    <row r="3192" spans="1:40">
      <c r="A3192" s="1" t="s">
        <v>41</v>
      </c>
      <c r="B3192" s="1" t="s">
        <v>42</v>
      </c>
      <c r="C3192" s="1" t="s">
        <v>4352</v>
      </c>
      <c r="D3192" s="1" t="s">
        <v>4353</v>
      </c>
      <c r="E3192" s="1" t="s">
        <v>45</v>
      </c>
      <c r="F3192" s="1" t="s">
        <v>7158</v>
      </c>
      <c r="G3192" s="1" t="s">
        <v>7294</v>
      </c>
      <c r="H3192" s="1" t="s">
        <v>7295</v>
      </c>
      <c r="I3192" s="1" t="s">
        <v>49</v>
      </c>
      <c r="J3192" s="1" t="s">
        <v>48</v>
      </c>
      <c r="K3192" s="1">
        <v>336</v>
      </c>
      <c r="L3192" s="1">
        <v>0</v>
      </c>
      <c r="M3192" s="1">
        <v>0</v>
      </c>
      <c r="N3192" s="1">
        <v>336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 t="s">
        <v>49</v>
      </c>
      <c r="AA3192" s="1" t="s">
        <v>49</v>
      </c>
      <c r="AB3192" s="1" t="s">
        <v>49</v>
      </c>
      <c r="AC3192" s="1" t="s">
        <v>1188</v>
      </c>
      <c r="AD3192" s="1" t="s">
        <v>1189</v>
      </c>
      <c r="AE3192" s="1" t="s">
        <v>1188</v>
      </c>
      <c r="AF3192" s="1" t="s">
        <v>6985</v>
      </c>
      <c r="AG3192" s="1" t="s">
        <v>53</v>
      </c>
      <c r="AH3192" s="1" t="s">
        <v>49</v>
      </c>
      <c r="AI3192" s="1" t="s">
        <v>54</v>
      </c>
      <c r="AJ3192" s="1">
        <v>1</v>
      </c>
      <c r="AK3192" s="1" t="str">
        <f t="shared" si="49"/>
        <v xml:space="preserve"> =&lt;90</v>
      </c>
      <c r="AL3192" s="1" t="e">
        <f>VLOOKUP(C:C,[1]基础信息!B$1:D$65536,3,0)</f>
        <v>#N/A</v>
      </c>
      <c r="AM3192" s="1" t="e">
        <f>VLOOKUP(C:C,[1]基础信息!B$1:E$65536,4,0)</f>
        <v>#N/A</v>
      </c>
      <c r="AN3192" s="1" t="e">
        <f>VLOOKUP(C:C,[1]基础信息!B$1:F$65536,5,0)</f>
        <v>#N/A</v>
      </c>
    </row>
    <row r="3193" spans="1:40">
      <c r="A3193" s="1" t="s">
        <v>41</v>
      </c>
      <c r="B3193" s="1" t="s">
        <v>42</v>
      </c>
      <c r="C3193" s="1" t="s">
        <v>4352</v>
      </c>
      <c r="D3193" s="1" t="s">
        <v>4353</v>
      </c>
      <c r="E3193" s="1" t="s">
        <v>45</v>
      </c>
      <c r="F3193" s="1" t="s">
        <v>7158</v>
      </c>
      <c r="G3193" s="1" t="s">
        <v>7296</v>
      </c>
      <c r="H3193" s="1" t="s">
        <v>7297</v>
      </c>
      <c r="I3193" s="1" t="s">
        <v>49</v>
      </c>
      <c r="J3193" s="1" t="s">
        <v>48</v>
      </c>
      <c r="K3193" s="1">
        <v>336</v>
      </c>
      <c r="L3193" s="1">
        <v>0</v>
      </c>
      <c r="M3193" s="1">
        <v>0</v>
      </c>
      <c r="N3193" s="1">
        <v>336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 t="s">
        <v>49</v>
      </c>
      <c r="AA3193" s="1" t="s">
        <v>49</v>
      </c>
      <c r="AB3193" s="1" t="s">
        <v>49</v>
      </c>
      <c r="AC3193" s="1" t="s">
        <v>1188</v>
      </c>
      <c r="AD3193" s="1" t="s">
        <v>1189</v>
      </c>
      <c r="AE3193" s="1" t="s">
        <v>1188</v>
      </c>
      <c r="AF3193" s="1" t="s">
        <v>6985</v>
      </c>
      <c r="AG3193" s="1" t="s">
        <v>53</v>
      </c>
      <c r="AH3193" s="1" t="s">
        <v>49</v>
      </c>
      <c r="AI3193" s="1" t="s">
        <v>54</v>
      </c>
      <c r="AJ3193" s="1">
        <v>1</v>
      </c>
      <c r="AK3193" s="1" t="str">
        <f t="shared" si="49"/>
        <v xml:space="preserve"> =&lt;90</v>
      </c>
      <c r="AL3193" s="1" t="e">
        <f>VLOOKUP(C:C,[1]基础信息!B$1:D$65536,3,0)</f>
        <v>#N/A</v>
      </c>
      <c r="AM3193" s="1" t="e">
        <f>VLOOKUP(C:C,[1]基础信息!B$1:E$65536,4,0)</f>
        <v>#N/A</v>
      </c>
      <c r="AN3193" s="1" t="e">
        <f>VLOOKUP(C:C,[1]基础信息!B$1:F$65536,5,0)</f>
        <v>#N/A</v>
      </c>
    </row>
    <row r="3194" spans="1:40">
      <c r="A3194" s="1" t="s">
        <v>41</v>
      </c>
      <c r="B3194" s="1" t="s">
        <v>42</v>
      </c>
      <c r="C3194" s="1" t="s">
        <v>4352</v>
      </c>
      <c r="D3194" s="1" t="s">
        <v>4353</v>
      </c>
      <c r="E3194" s="1" t="s">
        <v>45</v>
      </c>
      <c r="F3194" s="1" t="s">
        <v>7158</v>
      </c>
      <c r="G3194" s="1" t="s">
        <v>7298</v>
      </c>
      <c r="H3194" s="1" t="s">
        <v>7299</v>
      </c>
      <c r="I3194" s="1" t="s">
        <v>49</v>
      </c>
      <c r="J3194" s="1" t="s">
        <v>48</v>
      </c>
      <c r="K3194" s="1">
        <v>336</v>
      </c>
      <c r="L3194" s="1">
        <v>0</v>
      </c>
      <c r="M3194" s="1">
        <v>0</v>
      </c>
      <c r="N3194" s="1">
        <v>336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 t="s">
        <v>49</v>
      </c>
      <c r="AA3194" s="1" t="s">
        <v>49</v>
      </c>
      <c r="AB3194" s="1" t="s">
        <v>49</v>
      </c>
      <c r="AC3194" s="1" t="s">
        <v>1188</v>
      </c>
      <c r="AD3194" s="1" t="s">
        <v>1189</v>
      </c>
      <c r="AE3194" s="1" t="s">
        <v>1188</v>
      </c>
      <c r="AF3194" s="1" t="s">
        <v>6985</v>
      </c>
      <c r="AG3194" s="1" t="s">
        <v>53</v>
      </c>
      <c r="AH3194" s="1" t="s">
        <v>49</v>
      </c>
      <c r="AI3194" s="1" t="s">
        <v>54</v>
      </c>
      <c r="AJ3194" s="1">
        <v>1</v>
      </c>
      <c r="AK3194" s="1" t="str">
        <f t="shared" si="49"/>
        <v xml:space="preserve"> =&lt;90</v>
      </c>
      <c r="AL3194" s="1" t="e">
        <f>VLOOKUP(C:C,[1]基础信息!B$1:D$65536,3,0)</f>
        <v>#N/A</v>
      </c>
      <c r="AM3194" s="1" t="e">
        <f>VLOOKUP(C:C,[1]基础信息!B$1:E$65536,4,0)</f>
        <v>#N/A</v>
      </c>
      <c r="AN3194" s="1" t="e">
        <f>VLOOKUP(C:C,[1]基础信息!B$1:F$65536,5,0)</f>
        <v>#N/A</v>
      </c>
    </row>
    <row r="3195" spans="1:40">
      <c r="A3195" s="1" t="s">
        <v>41</v>
      </c>
      <c r="B3195" s="1" t="s">
        <v>42</v>
      </c>
      <c r="C3195" s="1" t="s">
        <v>4352</v>
      </c>
      <c r="D3195" s="1" t="s">
        <v>4353</v>
      </c>
      <c r="E3195" s="1" t="s">
        <v>45</v>
      </c>
      <c r="F3195" s="1" t="s">
        <v>7158</v>
      </c>
      <c r="G3195" s="1" t="s">
        <v>7300</v>
      </c>
      <c r="H3195" s="1" t="s">
        <v>7301</v>
      </c>
      <c r="I3195" s="1" t="s">
        <v>49</v>
      </c>
      <c r="J3195" s="1" t="s">
        <v>48</v>
      </c>
      <c r="K3195" s="1">
        <v>336</v>
      </c>
      <c r="L3195" s="1">
        <v>0</v>
      </c>
      <c r="M3195" s="1">
        <v>0</v>
      </c>
      <c r="N3195" s="1">
        <v>336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 t="s">
        <v>49</v>
      </c>
      <c r="AA3195" s="1" t="s">
        <v>49</v>
      </c>
      <c r="AB3195" s="1" t="s">
        <v>49</v>
      </c>
      <c r="AC3195" s="1" t="s">
        <v>1188</v>
      </c>
      <c r="AD3195" s="1" t="s">
        <v>1189</v>
      </c>
      <c r="AE3195" s="1" t="s">
        <v>1188</v>
      </c>
      <c r="AF3195" s="1" t="s">
        <v>6985</v>
      </c>
      <c r="AG3195" s="1" t="s">
        <v>53</v>
      </c>
      <c r="AH3195" s="1" t="s">
        <v>49</v>
      </c>
      <c r="AI3195" s="1" t="s">
        <v>54</v>
      </c>
      <c r="AJ3195" s="1">
        <v>1</v>
      </c>
      <c r="AK3195" s="1" t="str">
        <f t="shared" si="49"/>
        <v xml:space="preserve"> =&lt;90</v>
      </c>
      <c r="AL3195" s="1" t="e">
        <f>VLOOKUP(C:C,[1]基础信息!B$1:D$65536,3,0)</f>
        <v>#N/A</v>
      </c>
      <c r="AM3195" s="1" t="e">
        <f>VLOOKUP(C:C,[1]基础信息!B$1:E$65536,4,0)</f>
        <v>#N/A</v>
      </c>
      <c r="AN3195" s="1" t="e">
        <f>VLOOKUP(C:C,[1]基础信息!B$1:F$65536,5,0)</f>
        <v>#N/A</v>
      </c>
    </row>
    <row r="3196" spans="1:40">
      <c r="A3196" s="1" t="s">
        <v>41</v>
      </c>
      <c r="B3196" s="1" t="s">
        <v>42</v>
      </c>
      <c r="C3196" s="1" t="s">
        <v>4352</v>
      </c>
      <c r="D3196" s="1" t="s">
        <v>4353</v>
      </c>
      <c r="E3196" s="1" t="s">
        <v>45</v>
      </c>
      <c r="F3196" s="1" t="s">
        <v>7158</v>
      </c>
      <c r="G3196" s="1" t="s">
        <v>7302</v>
      </c>
      <c r="H3196" s="1" t="s">
        <v>7303</v>
      </c>
      <c r="I3196" s="1" t="s">
        <v>49</v>
      </c>
      <c r="J3196" s="1" t="s">
        <v>48</v>
      </c>
      <c r="K3196" s="1">
        <v>336</v>
      </c>
      <c r="L3196" s="1">
        <v>0</v>
      </c>
      <c r="M3196" s="1">
        <v>0</v>
      </c>
      <c r="N3196" s="1">
        <v>336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 t="s">
        <v>49</v>
      </c>
      <c r="AA3196" s="1" t="s">
        <v>49</v>
      </c>
      <c r="AB3196" s="1" t="s">
        <v>49</v>
      </c>
      <c r="AC3196" s="1" t="s">
        <v>1188</v>
      </c>
      <c r="AD3196" s="1" t="s">
        <v>1189</v>
      </c>
      <c r="AE3196" s="1" t="s">
        <v>1188</v>
      </c>
      <c r="AF3196" s="1" t="s">
        <v>6985</v>
      </c>
      <c r="AG3196" s="1" t="s">
        <v>53</v>
      </c>
      <c r="AH3196" s="1" t="s">
        <v>49</v>
      </c>
      <c r="AI3196" s="1" t="s">
        <v>54</v>
      </c>
      <c r="AJ3196" s="1">
        <v>1</v>
      </c>
      <c r="AK3196" s="1" t="str">
        <f t="shared" si="49"/>
        <v xml:space="preserve"> =&lt;90</v>
      </c>
      <c r="AL3196" s="1" t="e">
        <f>VLOOKUP(C:C,[1]基础信息!B$1:D$65536,3,0)</f>
        <v>#N/A</v>
      </c>
      <c r="AM3196" s="1" t="e">
        <f>VLOOKUP(C:C,[1]基础信息!B$1:E$65536,4,0)</f>
        <v>#N/A</v>
      </c>
      <c r="AN3196" s="1" t="e">
        <f>VLOOKUP(C:C,[1]基础信息!B$1:F$65536,5,0)</f>
        <v>#N/A</v>
      </c>
    </row>
    <row r="3197" spans="1:40">
      <c r="A3197" s="1" t="s">
        <v>41</v>
      </c>
      <c r="B3197" s="1" t="s">
        <v>42</v>
      </c>
      <c r="C3197" s="1" t="s">
        <v>4352</v>
      </c>
      <c r="D3197" s="1" t="s">
        <v>4353</v>
      </c>
      <c r="E3197" s="1" t="s">
        <v>45</v>
      </c>
      <c r="F3197" s="1" t="s">
        <v>7158</v>
      </c>
      <c r="G3197" s="1" t="s">
        <v>7304</v>
      </c>
      <c r="H3197" s="1" t="s">
        <v>7305</v>
      </c>
      <c r="I3197" s="1" t="s">
        <v>49</v>
      </c>
      <c r="J3197" s="1" t="s">
        <v>48</v>
      </c>
      <c r="K3197" s="1">
        <v>336</v>
      </c>
      <c r="L3197" s="1">
        <v>0</v>
      </c>
      <c r="M3197" s="1">
        <v>0</v>
      </c>
      <c r="N3197" s="1">
        <v>336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 t="s">
        <v>49</v>
      </c>
      <c r="AA3197" s="1" t="s">
        <v>49</v>
      </c>
      <c r="AB3197" s="1" t="s">
        <v>49</v>
      </c>
      <c r="AC3197" s="1" t="s">
        <v>1188</v>
      </c>
      <c r="AD3197" s="1" t="s">
        <v>1189</v>
      </c>
      <c r="AE3197" s="1" t="s">
        <v>1188</v>
      </c>
      <c r="AF3197" s="1" t="s">
        <v>6985</v>
      </c>
      <c r="AG3197" s="1" t="s">
        <v>53</v>
      </c>
      <c r="AH3197" s="1" t="s">
        <v>49</v>
      </c>
      <c r="AI3197" s="1" t="s">
        <v>54</v>
      </c>
      <c r="AJ3197" s="1">
        <v>1</v>
      </c>
      <c r="AK3197" s="1" t="str">
        <f t="shared" si="49"/>
        <v xml:space="preserve"> =&lt;90</v>
      </c>
      <c r="AL3197" s="1" t="e">
        <f>VLOOKUP(C:C,[1]基础信息!B$1:D$65536,3,0)</f>
        <v>#N/A</v>
      </c>
      <c r="AM3197" s="1" t="e">
        <f>VLOOKUP(C:C,[1]基础信息!B$1:E$65536,4,0)</f>
        <v>#N/A</v>
      </c>
      <c r="AN3197" s="1" t="e">
        <f>VLOOKUP(C:C,[1]基础信息!B$1:F$65536,5,0)</f>
        <v>#N/A</v>
      </c>
    </row>
    <row r="3198" spans="1:40">
      <c r="A3198" s="1" t="s">
        <v>41</v>
      </c>
      <c r="B3198" s="1" t="s">
        <v>42</v>
      </c>
      <c r="C3198" s="1" t="s">
        <v>4352</v>
      </c>
      <c r="D3198" s="1" t="s">
        <v>4353</v>
      </c>
      <c r="E3198" s="1" t="s">
        <v>45</v>
      </c>
      <c r="F3198" s="1" t="s">
        <v>7158</v>
      </c>
      <c r="G3198" s="1" t="s">
        <v>7306</v>
      </c>
      <c r="H3198" s="1" t="s">
        <v>7307</v>
      </c>
      <c r="I3198" s="1" t="s">
        <v>49</v>
      </c>
      <c r="J3198" s="1" t="s">
        <v>48</v>
      </c>
      <c r="K3198" s="1">
        <v>336</v>
      </c>
      <c r="L3198" s="1">
        <v>0</v>
      </c>
      <c r="M3198" s="1">
        <v>0</v>
      </c>
      <c r="N3198" s="1">
        <v>336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 t="s">
        <v>49</v>
      </c>
      <c r="AA3198" s="1" t="s">
        <v>49</v>
      </c>
      <c r="AB3198" s="1" t="s">
        <v>49</v>
      </c>
      <c r="AC3198" s="1" t="s">
        <v>1188</v>
      </c>
      <c r="AD3198" s="1" t="s">
        <v>1189</v>
      </c>
      <c r="AE3198" s="1" t="s">
        <v>1188</v>
      </c>
      <c r="AF3198" s="1" t="s">
        <v>6985</v>
      </c>
      <c r="AG3198" s="1" t="s">
        <v>53</v>
      </c>
      <c r="AH3198" s="1" t="s">
        <v>49</v>
      </c>
      <c r="AI3198" s="1" t="s">
        <v>54</v>
      </c>
      <c r="AJ3198" s="1">
        <v>1</v>
      </c>
      <c r="AK3198" s="1" t="str">
        <f t="shared" si="49"/>
        <v xml:space="preserve"> =&lt;90</v>
      </c>
      <c r="AL3198" s="1" t="e">
        <f>VLOOKUP(C:C,[1]基础信息!B$1:D$65536,3,0)</f>
        <v>#N/A</v>
      </c>
      <c r="AM3198" s="1" t="e">
        <f>VLOOKUP(C:C,[1]基础信息!B$1:E$65536,4,0)</f>
        <v>#N/A</v>
      </c>
      <c r="AN3198" s="1" t="e">
        <f>VLOOKUP(C:C,[1]基础信息!B$1:F$65536,5,0)</f>
        <v>#N/A</v>
      </c>
    </row>
    <row r="3199" spans="1:40">
      <c r="A3199" s="1" t="s">
        <v>41</v>
      </c>
      <c r="B3199" s="1" t="s">
        <v>42</v>
      </c>
      <c r="C3199" s="1" t="s">
        <v>4352</v>
      </c>
      <c r="D3199" s="1" t="s">
        <v>4353</v>
      </c>
      <c r="E3199" s="1" t="s">
        <v>45</v>
      </c>
      <c r="F3199" s="1" t="s">
        <v>7158</v>
      </c>
      <c r="G3199" s="1" t="s">
        <v>7308</v>
      </c>
      <c r="H3199" s="1" t="s">
        <v>7309</v>
      </c>
      <c r="I3199" s="1" t="s">
        <v>49</v>
      </c>
      <c r="J3199" s="1" t="s">
        <v>48</v>
      </c>
      <c r="K3199" s="1">
        <v>336</v>
      </c>
      <c r="L3199" s="1">
        <v>0</v>
      </c>
      <c r="M3199" s="1">
        <v>0</v>
      </c>
      <c r="N3199" s="1">
        <v>336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 t="s">
        <v>49</v>
      </c>
      <c r="AA3199" s="1" t="s">
        <v>49</v>
      </c>
      <c r="AB3199" s="1" t="s">
        <v>49</v>
      </c>
      <c r="AC3199" s="1" t="s">
        <v>1188</v>
      </c>
      <c r="AD3199" s="1" t="s">
        <v>1189</v>
      </c>
      <c r="AE3199" s="1" t="s">
        <v>1188</v>
      </c>
      <c r="AF3199" s="1" t="s">
        <v>6985</v>
      </c>
      <c r="AG3199" s="1" t="s">
        <v>53</v>
      </c>
      <c r="AH3199" s="1" t="s">
        <v>49</v>
      </c>
      <c r="AI3199" s="1" t="s">
        <v>54</v>
      </c>
      <c r="AJ3199" s="1">
        <v>1</v>
      </c>
      <c r="AK3199" s="1" t="str">
        <f t="shared" si="49"/>
        <v xml:space="preserve"> =&lt;90</v>
      </c>
      <c r="AL3199" s="1" t="e">
        <f>VLOOKUP(C:C,[1]基础信息!B$1:D$65536,3,0)</f>
        <v>#N/A</v>
      </c>
      <c r="AM3199" s="1" t="e">
        <f>VLOOKUP(C:C,[1]基础信息!B$1:E$65536,4,0)</f>
        <v>#N/A</v>
      </c>
      <c r="AN3199" s="1" t="e">
        <f>VLOOKUP(C:C,[1]基础信息!B$1:F$65536,5,0)</f>
        <v>#N/A</v>
      </c>
    </row>
    <row r="3200" spans="1:40">
      <c r="A3200" s="1" t="s">
        <v>41</v>
      </c>
      <c r="B3200" s="1" t="s">
        <v>42</v>
      </c>
      <c r="C3200" s="1" t="s">
        <v>4352</v>
      </c>
      <c r="D3200" s="1" t="s">
        <v>4353</v>
      </c>
      <c r="E3200" s="1" t="s">
        <v>45</v>
      </c>
      <c r="F3200" s="1" t="s">
        <v>7158</v>
      </c>
      <c r="G3200" s="1" t="s">
        <v>7310</v>
      </c>
      <c r="H3200" s="1" t="s">
        <v>7311</v>
      </c>
      <c r="I3200" s="1" t="s">
        <v>49</v>
      </c>
      <c r="J3200" s="1" t="s">
        <v>48</v>
      </c>
      <c r="K3200" s="1">
        <v>336</v>
      </c>
      <c r="L3200" s="1">
        <v>0</v>
      </c>
      <c r="M3200" s="1">
        <v>0</v>
      </c>
      <c r="N3200" s="1">
        <v>336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 t="s">
        <v>49</v>
      </c>
      <c r="AA3200" s="1" t="s">
        <v>49</v>
      </c>
      <c r="AB3200" s="1" t="s">
        <v>49</v>
      </c>
      <c r="AC3200" s="1" t="s">
        <v>1188</v>
      </c>
      <c r="AD3200" s="1" t="s">
        <v>1189</v>
      </c>
      <c r="AE3200" s="1" t="s">
        <v>1188</v>
      </c>
      <c r="AF3200" s="1" t="s">
        <v>6985</v>
      </c>
      <c r="AG3200" s="1" t="s">
        <v>53</v>
      </c>
      <c r="AH3200" s="1" t="s">
        <v>49</v>
      </c>
      <c r="AI3200" s="1" t="s">
        <v>54</v>
      </c>
      <c r="AJ3200" s="1">
        <v>1</v>
      </c>
      <c r="AK3200" s="1" t="str">
        <f t="shared" si="49"/>
        <v xml:space="preserve"> =&lt;90</v>
      </c>
      <c r="AL3200" s="1" t="e">
        <f>VLOOKUP(C:C,[1]基础信息!B$1:D$65536,3,0)</f>
        <v>#N/A</v>
      </c>
      <c r="AM3200" s="1" t="e">
        <f>VLOOKUP(C:C,[1]基础信息!B$1:E$65536,4,0)</f>
        <v>#N/A</v>
      </c>
      <c r="AN3200" s="1" t="e">
        <f>VLOOKUP(C:C,[1]基础信息!B$1:F$65536,5,0)</f>
        <v>#N/A</v>
      </c>
    </row>
    <row r="3201" spans="1:40">
      <c r="A3201" s="1" t="s">
        <v>41</v>
      </c>
      <c r="B3201" s="1" t="s">
        <v>42</v>
      </c>
      <c r="C3201" s="1" t="s">
        <v>4352</v>
      </c>
      <c r="D3201" s="1" t="s">
        <v>4353</v>
      </c>
      <c r="E3201" s="1" t="s">
        <v>45</v>
      </c>
      <c r="F3201" s="1" t="s">
        <v>7158</v>
      </c>
      <c r="G3201" s="1" t="s">
        <v>7312</v>
      </c>
      <c r="H3201" s="1" t="s">
        <v>7313</v>
      </c>
      <c r="I3201" s="1" t="s">
        <v>49</v>
      </c>
      <c r="J3201" s="1" t="s">
        <v>48</v>
      </c>
      <c r="K3201" s="1">
        <v>336</v>
      </c>
      <c r="L3201" s="1">
        <v>0</v>
      </c>
      <c r="M3201" s="1">
        <v>0</v>
      </c>
      <c r="N3201" s="1">
        <v>336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 t="s">
        <v>49</v>
      </c>
      <c r="AA3201" s="1" t="s">
        <v>49</v>
      </c>
      <c r="AB3201" s="1" t="s">
        <v>49</v>
      </c>
      <c r="AC3201" s="1" t="s">
        <v>1188</v>
      </c>
      <c r="AD3201" s="1" t="s">
        <v>1189</v>
      </c>
      <c r="AE3201" s="1" t="s">
        <v>1188</v>
      </c>
      <c r="AF3201" s="1" t="s">
        <v>6985</v>
      </c>
      <c r="AG3201" s="1" t="s">
        <v>53</v>
      </c>
      <c r="AH3201" s="1" t="s">
        <v>49</v>
      </c>
      <c r="AI3201" s="1" t="s">
        <v>54</v>
      </c>
      <c r="AJ3201" s="1">
        <v>1</v>
      </c>
      <c r="AK3201" s="1" t="str">
        <f t="shared" si="49"/>
        <v xml:space="preserve"> =&lt;90</v>
      </c>
      <c r="AL3201" s="1" t="e">
        <f>VLOOKUP(C:C,[1]基础信息!B$1:D$65536,3,0)</f>
        <v>#N/A</v>
      </c>
      <c r="AM3201" s="1" t="e">
        <f>VLOOKUP(C:C,[1]基础信息!B$1:E$65536,4,0)</f>
        <v>#N/A</v>
      </c>
      <c r="AN3201" s="1" t="e">
        <f>VLOOKUP(C:C,[1]基础信息!B$1:F$65536,5,0)</f>
        <v>#N/A</v>
      </c>
    </row>
    <row r="3202" spans="1:40">
      <c r="A3202" s="1" t="s">
        <v>41</v>
      </c>
      <c r="B3202" s="1" t="s">
        <v>42</v>
      </c>
      <c r="C3202" s="1" t="s">
        <v>4352</v>
      </c>
      <c r="D3202" s="1" t="s">
        <v>4353</v>
      </c>
      <c r="E3202" s="1" t="s">
        <v>45</v>
      </c>
      <c r="F3202" s="1" t="s">
        <v>7158</v>
      </c>
      <c r="G3202" s="1" t="s">
        <v>7314</v>
      </c>
      <c r="H3202" s="1" t="s">
        <v>7315</v>
      </c>
      <c r="I3202" s="1" t="s">
        <v>49</v>
      </c>
      <c r="J3202" s="1" t="s">
        <v>48</v>
      </c>
      <c r="K3202" s="1">
        <v>336</v>
      </c>
      <c r="L3202" s="1">
        <v>0</v>
      </c>
      <c r="M3202" s="1">
        <v>0</v>
      </c>
      <c r="N3202" s="1">
        <v>336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 t="s">
        <v>49</v>
      </c>
      <c r="AA3202" s="1" t="s">
        <v>49</v>
      </c>
      <c r="AB3202" s="1" t="s">
        <v>49</v>
      </c>
      <c r="AC3202" s="1" t="s">
        <v>1188</v>
      </c>
      <c r="AD3202" s="1" t="s">
        <v>1189</v>
      </c>
      <c r="AE3202" s="1" t="s">
        <v>1188</v>
      </c>
      <c r="AF3202" s="1" t="s">
        <v>6985</v>
      </c>
      <c r="AG3202" s="1" t="s">
        <v>53</v>
      </c>
      <c r="AH3202" s="1" t="s">
        <v>49</v>
      </c>
      <c r="AI3202" s="1" t="s">
        <v>54</v>
      </c>
      <c r="AJ3202" s="1">
        <v>1</v>
      </c>
      <c r="AK3202" s="1" t="str">
        <f t="shared" ref="AK3202:AK3265" si="50">IF(AJ3202&gt;$AP$2,$AQ$2,IF(AJ3202&gt;$AP$3,$AQ$3,IF(AJ3202&gt;$AP$4,$AQ$4,$AQ$5)))</f>
        <v xml:space="preserve"> =&lt;90</v>
      </c>
      <c r="AL3202" s="1" t="e">
        <f>VLOOKUP(C:C,[1]基础信息!B$1:D$65536,3,0)</f>
        <v>#N/A</v>
      </c>
      <c r="AM3202" s="1" t="e">
        <f>VLOOKUP(C:C,[1]基础信息!B$1:E$65536,4,0)</f>
        <v>#N/A</v>
      </c>
      <c r="AN3202" s="1" t="e">
        <f>VLOOKUP(C:C,[1]基础信息!B$1:F$65536,5,0)</f>
        <v>#N/A</v>
      </c>
    </row>
    <row r="3203" spans="1:40">
      <c r="A3203" s="1" t="s">
        <v>41</v>
      </c>
      <c r="B3203" s="1" t="s">
        <v>42</v>
      </c>
      <c r="C3203" s="1" t="s">
        <v>4352</v>
      </c>
      <c r="D3203" s="1" t="s">
        <v>4353</v>
      </c>
      <c r="E3203" s="1" t="s">
        <v>45</v>
      </c>
      <c r="F3203" s="1" t="s">
        <v>7158</v>
      </c>
      <c r="G3203" s="1" t="s">
        <v>7316</v>
      </c>
      <c r="H3203" s="1" t="s">
        <v>7317</v>
      </c>
      <c r="I3203" s="1" t="s">
        <v>49</v>
      </c>
      <c r="J3203" s="1" t="s">
        <v>48</v>
      </c>
      <c r="K3203" s="1">
        <v>336</v>
      </c>
      <c r="L3203" s="1">
        <v>0</v>
      </c>
      <c r="M3203" s="1">
        <v>0</v>
      </c>
      <c r="N3203" s="1">
        <v>336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 t="s">
        <v>49</v>
      </c>
      <c r="AA3203" s="1" t="s">
        <v>49</v>
      </c>
      <c r="AB3203" s="1" t="s">
        <v>49</v>
      </c>
      <c r="AC3203" s="1" t="s">
        <v>1188</v>
      </c>
      <c r="AD3203" s="1" t="s">
        <v>1189</v>
      </c>
      <c r="AE3203" s="1" t="s">
        <v>1188</v>
      </c>
      <c r="AF3203" s="1" t="s">
        <v>6985</v>
      </c>
      <c r="AG3203" s="1" t="s">
        <v>53</v>
      </c>
      <c r="AH3203" s="1" t="s">
        <v>49</v>
      </c>
      <c r="AI3203" s="1" t="s">
        <v>54</v>
      </c>
      <c r="AJ3203" s="1">
        <v>1</v>
      </c>
      <c r="AK3203" s="1" t="str">
        <f t="shared" si="50"/>
        <v xml:space="preserve"> =&lt;90</v>
      </c>
      <c r="AL3203" s="1" t="e">
        <f>VLOOKUP(C:C,[1]基础信息!B$1:D$65536,3,0)</f>
        <v>#N/A</v>
      </c>
      <c r="AM3203" s="1" t="e">
        <f>VLOOKUP(C:C,[1]基础信息!B$1:E$65536,4,0)</f>
        <v>#N/A</v>
      </c>
      <c r="AN3203" s="1" t="e">
        <f>VLOOKUP(C:C,[1]基础信息!B$1:F$65536,5,0)</f>
        <v>#N/A</v>
      </c>
    </row>
    <row r="3204" spans="1:40">
      <c r="A3204" s="1" t="s">
        <v>41</v>
      </c>
      <c r="B3204" s="1" t="s">
        <v>42</v>
      </c>
      <c r="C3204" s="1" t="s">
        <v>4352</v>
      </c>
      <c r="D3204" s="1" t="s">
        <v>4353</v>
      </c>
      <c r="E3204" s="1" t="s">
        <v>45</v>
      </c>
      <c r="F3204" s="1" t="s">
        <v>7158</v>
      </c>
      <c r="G3204" s="1" t="s">
        <v>7318</v>
      </c>
      <c r="H3204" s="1" t="s">
        <v>7319</v>
      </c>
      <c r="I3204" s="1" t="s">
        <v>49</v>
      </c>
      <c r="J3204" s="1" t="s">
        <v>48</v>
      </c>
      <c r="K3204" s="1">
        <v>336</v>
      </c>
      <c r="L3204" s="1">
        <v>0</v>
      </c>
      <c r="M3204" s="1">
        <v>0</v>
      </c>
      <c r="N3204" s="1">
        <v>336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 t="s">
        <v>49</v>
      </c>
      <c r="AA3204" s="1" t="s">
        <v>49</v>
      </c>
      <c r="AB3204" s="1" t="s">
        <v>49</v>
      </c>
      <c r="AC3204" s="1" t="s">
        <v>1188</v>
      </c>
      <c r="AD3204" s="1" t="s">
        <v>1189</v>
      </c>
      <c r="AE3204" s="1" t="s">
        <v>1188</v>
      </c>
      <c r="AF3204" s="1" t="s">
        <v>6985</v>
      </c>
      <c r="AG3204" s="1" t="s">
        <v>53</v>
      </c>
      <c r="AH3204" s="1" t="s">
        <v>49</v>
      </c>
      <c r="AI3204" s="1" t="s">
        <v>54</v>
      </c>
      <c r="AJ3204" s="1">
        <v>1</v>
      </c>
      <c r="AK3204" s="1" t="str">
        <f t="shared" si="50"/>
        <v xml:space="preserve"> =&lt;90</v>
      </c>
      <c r="AL3204" s="1" t="e">
        <f>VLOOKUP(C:C,[1]基础信息!B$1:D$65536,3,0)</f>
        <v>#N/A</v>
      </c>
      <c r="AM3204" s="1" t="e">
        <f>VLOOKUP(C:C,[1]基础信息!B$1:E$65536,4,0)</f>
        <v>#N/A</v>
      </c>
      <c r="AN3204" s="1" t="e">
        <f>VLOOKUP(C:C,[1]基础信息!B$1:F$65536,5,0)</f>
        <v>#N/A</v>
      </c>
    </row>
    <row r="3205" spans="1:40">
      <c r="A3205" s="1" t="s">
        <v>41</v>
      </c>
      <c r="B3205" s="1" t="s">
        <v>42</v>
      </c>
      <c r="C3205" s="1" t="s">
        <v>4352</v>
      </c>
      <c r="D3205" s="1" t="s">
        <v>4353</v>
      </c>
      <c r="E3205" s="1" t="s">
        <v>45</v>
      </c>
      <c r="F3205" s="1" t="s">
        <v>7158</v>
      </c>
      <c r="G3205" s="1" t="s">
        <v>7320</v>
      </c>
      <c r="H3205" s="1" t="s">
        <v>7321</v>
      </c>
      <c r="I3205" s="1" t="s">
        <v>49</v>
      </c>
      <c r="J3205" s="1" t="s">
        <v>48</v>
      </c>
      <c r="K3205" s="1">
        <v>336</v>
      </c>
      <c r="L3205" s="1">
        <v>0</v>
      </c>
      <c r="M3205" s="1">
        <v>0</v>
      </c>
      <c r="N3205" s="1">
        <v>336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 t="s">
        <v>49</v>
      </c>
      <c r="AA3205" s="1" t="s">
        <v>49</v>
      </c>
      <c r="AB3205" s="1" t="s">
        <v>49</v>
      </c>
      <c r="AC3205" s="1" t="s">
        <v>1188</v>
      </c>
      <c r="AD3205" s="1" t="s">
        <v>1189</v>
      </c>
      <c r="AE3205" s="1" t="s">
        <v>1188</v>
      </c>
      <c r="AF3205" s="1" t="s">
        <v>6985</v>
      </c>
      <c r="AG3205" s="1" t="s">
        <v>53</v>
      </c>
      <c r="AH3205" s="1" t="s">
        <v>49</v>
      </c>
      <c r="AI3205" s="1" t="s">
        <v>54</v>
      </c>
      <c r="AJ3205" s="1">
        <v>1</v>
      </c>
      <c r="AK3205" s="1" t="str">
        <f t="shared" si="50"/>
        <v xml:space="preserve"> =&lt;90</v>
      </c>
      <c r="AL3205" s="1" t="e">
        <f>VLOOKUP(C:C,[1]基础信息!B$1:D$65536,3,0)</f>
        <v>#N/A</v>
      </c>
      <c r="AM3205" s="1" t="e">
        <f>VLOOKUP(C:C,[1]基础信息!B$1:E$65536,4,0)</f>
        <v>#N/A</v>
      </c>
      <c r="AN3205" s="1" t="e">
        <f>VLOOKUP(C:C,[1]基础信息!B$1:F$65536,5,0)</f>
        <v>#N/A</v>
      </c>
    </row>
    <row r="3206" spans="1:40">
      <c r="A3206" s="1" t="s">
        <v>41</v>
      </c>
      <c r="B3206" s="1" t="s">
        <v>42</v>
      </c>
      <c r="C3206" s="1" t="s">
        <v>4352</v>
      </c>
      <c r="D3206" s="1" t="s">
        <v>4353</v>
      </c>
      <c r="E3206" s="1" t="s">
        <v>45</v>
      </c>
      <c r="F3206" s="1" t="s">
        <v>7158</v>
      </c>
      <c r="G3206" s="1" t="s">
        <v>7322</v>
      </c>
      <c r="H3206" s="1" t="s">
        <v>7323</v>
      </c>
      <c r="I3206" s="1" t="s">
        <v>49</v>
      </c>
      <c r="J3206" s="1" t="s">
        <v>48</v>
      </c>
      <c r="K3206" s="1">
        <v>336</v>
      </c>
      <c r="L3206" s="1">
        <v>0</v>
      </c>
      <c r="M3206" s="1">
        <v>0</v>
      </c>
      <c r="N3206" s="1">
        <v>336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 t="s">
        <v>49</v>
      </c>
      <c r="AA3206" s="1" t="s">
        <v>49</v>
      </c>
      <c r="AB3206" s="1" t="s">
        <v>49</v>
      </c>
      <c r="AC3206" s="1" t="s">
        <v>1188</v>
      </c>
      <c r="AD3206" s="1" t="s">
        <v>1189</v>
      </c>
      <c r="AE3206" s="1" t="s">
        <v>1188</v>
      </c>
      <c r="AF3206" s="1" t="s">
        <v>6985</v>
      </c>
      <c r="AG3206" s="1" t="s">
        <v>53</v>
      </c>
      <c r="AH3206" s="1" t="s">
        <v>49</v>
      </c>
      <c r="AI3206" s="1" t="s">
        <v>54</v>
      </c>
      <c r="AJ3206" s="1">
        <v>1</v>
      </c>
      <c r="AK3206" s="1" t="str">
        <f t="shared" si="50"/>
        <v xml:space="preserve"> =&lt;90</v>
      </c>
      <c r="AL3206" s="1" t="e">
        <f>VLOOKUP(C:C,[1]基础信息!B$1:D$65536,3,0)</f>
        <v>#N/A</v>
      </c>
      <c r="AM3206" s="1" t="e">
        <f>VLOOKUP(C:C,[1]基础信息!B$1:E$65536,4,0)</f>
        <v>#N/A</v>
      </c>
      <c r="AN3206" s="1" t="e">
        <f>VLOOKUP(C:C,[1]基础信息!B$1:F$65536,5,0)</f>
        <v>#N/A</v>
      </c>
    </row>
    <row r="3207" spans="1:40">
      <c r="A3207" s="1" t="s">
        <v>41</v>
      </c>
      <c r="B3207" s="1" t="s">
        <v>42</v>
      </c>
      <c r="C3207" s="1" t="s">
        <v>285</v>
      </c>
      <c r="D3207" s="1" t="s">
        <v>286</v>
      </c>
      <c r="E3207" s="1" t="s">
        <v>45</v>
      </c>
      <c r="F3207" s="1" t="s">
        <v>1997</v>
      </c>
      <c r="G3207" s="1" t="s">
        <v>7324</v>
      </c>
      <c r="H3207" s="1" t="s">
        <v>7325</v>
      </c>
      <c r="I3207" s="1" t="s">
        <v>49</v>
      </c>
      <c r="J3207" s="1" t="s">
        <v>48</v>
      </c>
      <c r="K3207" s="1">
        <v>70</v>
      </c>
      <c r="L3207" s="1">
        <v>0</v>
      </c>
      <c r="M3207" s="1">
        <v>0</v>
      </c>
      <c r="N3207" s="1">
        <v>70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 t="s">
        <v>49</v>
      </c>
      <c r="AA3207" s="1" t="s">
        <v>49</v>
      </c>
      <c r="AB3207" s="1" t="s">
        <v>49</v>
      </c>
      <c r="AC3207" s="1" t="s">
        <v>2000</v>
      </c>
      <c r="AD3207" s="1" t="s">
        <v>2001</v>
      </c>
      <c r="AE3207" s="1" t="s">
        <v>2000</v>
      </c>
      <c r="AF3207" s="1" t="s">
        <v>292</v>
      </c>
      <c r="AG3207" s="1" t="s">
        <v>53</v>
      </c>
      <c r="AH3207" s="1" t="s">
        <v>49</v>
      </c>
      <c r="AI3207" s="1" t="s">
        <v>54</v>
      </c>
      <c r="AJ3207" s="1">
        <v>1</v>
      </c>
      <c r="AK3207" s="1" t="str">
        <f t="shared" si="50"/>
        <v xml:space="preserve"> =&lt;90</v>
      </c>
      <c r="AL3207" s="1" t="str">
        <f>VLOOKUP(C:C,[1]基础信息!B$1:D$65536,3,0)</f>
        <v>Jug</v>
      </c>
      <c r="AM3207" s="1" t="str">
        <f>VLOOKUP(C:C,[1]基础信息!B$1:E$65536,4,0)</f>
        <v>Marella XL</v>
      </c>
      <c r="AN3207" s="1" t="str">
        <f>VLOOKUP(C:C,[1]基础信息!B$1:F$65536,5,0)</f>
        <v>Blue</v>
      </c>
    </row>
    <row r="3208" spans="1:40">
      <c r="A3208" s="1" t="s">
        <v>41</v>
      </c>
      <c r="B3208" s="1" t="s">
        <v>42</v>
      </c>
      <c r="C3208" s="1" t="s">
        <v>4352</v>
      </c>
      <c r="D3208" s="1" t="s">
        <v>4353</v>
      </c>
      <c r="E3208" s="1" t="s">
        <v>45</v>
      </c>
      <c r="F3208" s="1" t="s">
        <v>7158</v>
      </c>
      <c r="G3208" s="1" t="s">
        <v>7326</v>
      </c>
      <c r="H3208" s="1" t="s">
        <v>7327</v>
      </c>
      <c r="I3208" s="1" t="s">
        <v>49</v>
      </c>
      <c r="J3208" s="1" t="s">
        <v>48</v>
      </c>
      <c r="K3208" s="1">
        <v>336</v>
      </c>
      <c r="L3208" s="1">
        <v>0</v>
      </c>
      <c r="M3208" s="1">
        <v>0</v>
      </c>
      <c r="N3208" s="1">
        <v>336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 t="s">
        <v>49</v>
      </c>
      <c r="AA3208" s="1" t="s">
        <v>49</v>
      </c>
      <c r="AB3208" s="1" t="s">
        <v>49</v>
      </c>
      <c r="AC3208" s="1" t="s">
        <v>1188</v>
      </c>
      <c r="AD3208" s="1" t="s">
        <v>1189</v>
      </c>
      <c r="AE3208" s="1" t="s">
        <v>1188</v>
      </c>
      <c r="AF3208" s="1" t="s">
        <v>6985</v>
      </c>
      <c r="AG3208" s="1" t="s">
        <v>53</v>
      </c>
      <c r="AH3208" s="1" t="s">
        <v>49</v>
      </c>
      <c r="AI3208" s="1" t="s">
        <v>54</v>
      </c>
      <c r="AJ3208" s="1">
        <v>1</v>
      </c>
      <c r="AK3208" s="1" t="str">
        <f t="shared" si="50"/>
        <v xml:space="preserve"> =&lt;90</v>
      </c>
      <c r="AL3208" s="1" t="e">
        <f>VLOOKUP(C:C,[1]基础信息!B$1:D$65536,3,0)</f>
        <v>#N/A</v>
      </c>
      <c r="AM3208" s="1" t="e">
        <f>VLOOKUP(C:C,[1]基础信息!B$1:E$65536,4,0)</f>
        <v>#N/A</v>
      </c>
      <c r="AN3208" s="1" t="e">
        <f>VLOOKUP(C:C,[1]基础信息!B$1:F$65536,5,0)</f>
        <v>#N/A</v>
      </c>
    </row>
    <row r="3209" spans="1:40">
      <c r="A3209" s="1" t="s">
        <v>41</v>
      </c>
      <c r="B3209" s="1" t="s">
        <v>42</v>
      </c>
      <c r="C3209" s="1" t="s">
        <v>4352</v>
      </c>
      <c r="D3209" s="1" t="s">
        <v>4353</v>
      </c>
      <c r="E3209" s="1" t="s">
        <v>45</v>
      </c>
      <c r="F3209" s="1" t="s">
        <v>7158</v>
      </c>
      <c r="G3209" s="1" t="s">
        <v>7328</v>
      </c>
      <c r="H3209" s="1" t="s">
        <v>7329</v>
      </c>
      <c r="I3209" s="1" t="s">
        <v>49</v>
      </c>
      <c r="J3209" s="1" t="s">
        <v>48</v>
      </c>
      <c r="K3209" s="1">
        <v>336</v>
      </c>
      <c r="L3209" s="1">
        <v>0</v>
      </c>
      <c r="M3209" s="1">
        <v>0</v>
      </c>
      <c r="N3209" s="1">
        <v>336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 t="s">
        <v>49</v>
      </c>
      <c r="AA3209" s="1" t="s">
        <v>49</v>
      </c>
      <c r="AB3209" s="1" t="s">
        <v>49</v>
      </c>
      <c r="AC3209" s="1" t="s">
        <v>1188</v>
      </c>
      <c r="AD3209" s="1" t="s">
        <v>1189</v>
      </c>
      <c r="AE3209" s="1" t="s">
        <v>1188</v>
      </c>
      <c r="AF3209" s="1" t="s">
        <v>6985</v>
      </c>
      <c r="AG3209" s="1" t="s">
        <v>53</v>
      </c>
      <c r="AH3209" s="1" t="s">
        <v>49</v>
      </c>
      <c r="AI3209" s="1" t="s">
        <v>54</v>
      </c>
      <c r="AJ3209" s="1">
        <v>1</v>
      </c>
      <c r="AK3209" s="1" t="str">
        <f t="shared" si="50"/>
        <v xml:space="preserve"> =&lt;90</v>
      </c>
      <c r="AL3209" s="1" t="e">
        <f>VLOOKUP(C:C,[1]基础信息!B$1:D$65536,3,0)</f>
        <v>#N/A</v>
      </c>
      <c r="AM3209" s="1" t="e">
        <f>VLOOKUP(C:C,[1]基础信息!B$1:E$65536,4,0)</f>
        <v>#N/A</v>
      </c>
      <c r="AN3209" s="1" t="e">
        <f>VLOOKUP(C:C,[1]基础信息!B$1:F$65536,5,0)</f>
        <v>#N/A</v>
      </c>
    </row>
    <row r="3210" spans="1:40">
      <c r="A3210" s="1" t="s">
        <v>41</v>
      </c>
      <c r="B3210" s="1" t="s">
        <v>42</v>
      </c>
      <c r="C3210" s="1" t="s">
        <v>4352</v>
      </c>
      <c r="D3210" s="1" t="s">
        <v>4353</v>
      </c>
      <c r="E3210" s="1" t="s">
        <v>45</v>
      </c>
      <c r="F3210" s="1" t="s">
        <v>7158</v>
      </c>
      <c r="G3210" s="1" t="s">
        <v>7330</v>
      </c>
      <c r="H3210" s="1" t="s">
        <v>7331</v>
      </c>
      <c r="I3210" s="1" t="s">
        <v>49</v>
      </c>
      <c r="J3210" s="1" t="s">
        <v>48</v>
      </c>
      <c r="K3210" s="1">
        <v>336</v>
      </c>
      <c r="L3210" s="1">
        <v>0</v>
      </c>
      <c r="M3210" s="1">
        <v>0</v>
      </c>
      <c r="N3210" s="1">
        <v>336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 t="s">
        <v>49</v>
      </c>
      <c r="AA3210" s="1" t="s">
        <v>49</v>
      </c>
      <c r="AB3210" s="1" t="s">
        <v>49</v>
      </c>
      <c r="AC3210" s="1" t="s">
        <v>1188</v>
      </c>
      <c r="AD3210" s="1" t="s">
        <v>1189</v>
      </c>
      <c r="AE3210" s="1" t="s">
        <v>1188</v>
      </c>
      <c r="AF3210" s="1" t="s">
        <v>6985</v>
      </c>
      <c r="AG3210" s="1" t="s">
        <v>53</v>
      </c>
      <c r="AH3210" s="1" t="s">
        <v>49</v>
      </c>
      <c r="AI3210" s="1" t="s">
        <v>54</v>
      </c>
      <c r="AJ3210" s="1">
        <v>1</v>
      </c>
      <c r="AK3210" s="1" t="str">
        <f t="shared" si="50"/>
        <v xml:space="preserve"> =&lt;90</v>
      </c>
      <c r="AL3210" s="1" t="e">
        <f>VLOOKUP(C:C,[1]基础信息!B$1:D$65536,3,0)</f>
        <v>#N/A</v>
      </c>
      <c r="AM3210" s="1" t="e">
        <f>VLOOKUP(C:C,[1]基础信息!B$1:E$65536,4,0)</f>
        <v>#N/A</v>
      </c>
      <c r="AN3210" s="1" t="e">
        <f>VLOOKUP(C:C,[1]基础信息!B$1:F$65536,5,0)</f>
        <v>#N/A</v>
      </c>
    </row>
    <row r="3211" spans="1:40">
      <c r="A3211" s="1" t="s">
        <v>41</v>
      </c>
      <c r="B3211" s="1" t="s">
        <v>42</v>
      </c>
      <c r="C3211" s="1" t="s">
        <v>285</v>
      </c>
      <c r="D3211" s="1" t="s">
        <v>286</v>
      </c>
      <c r="E3211" s="1" t="s">
        <v>45</v>
      </c>
      <c r="F3211" s="1" t="s">
        <v>1997</v>
      </c>
      <c r="G3211" s="1" t="s">
        <v>7332</v>
      </c>
      <c r="H3211" s="1" t="s">
        <v>7333</v>
      </c>
      <c r="I3211" s="1" t="s">
        <v>49</v>
      </c>
      <c r="J3211" s="1" t="s">
        <v>48</v>
      </c>
      <c r="K3211" s="1">
        <v>70</v>
      </c>
      <c r="L3211" s="1">
        <v>0</v>
      </c>
      <c r="M3211" s="1">
        <v>0</v>
      </c>
      <c r="N3211" s="1">
        <v>70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 t="s">
        <v>49</v>
      </c>
      <c r="AA3211" s="1" t="s">
        <v>49</v>
      </c>
      <c r="AB3211" s="1" t="s">
        <v>49</v>
      </c>
      <c r="AC3211" s="1" t="s">
        <v>2000</v>
      </c>
      <c r="AD3211" s="1" t="s">
        <v>2001</v>
      </c>
      <c r="AE3211" s="1" t="s">
        <v>2000</v>
      </c>
      <c r="AF3211" s="1" t="s">
        <v>292</v>
      </c>
      <c r="AG3211" s="1" t="s">
        <v>53</v>
      </c>
      <c r="AH3211" s="1" t="s">
        <v>49</v>
      </c>
      <c r="AI3211" s="1" t="s">
        <v>54</v>
      </c>
      <c r="AJ3211" s="1">
        <v>1</v>
      </c>
      <c r="AK3211" s="1" t="str">
        <f t="shared" si="50"/>
        <v xml:space="preserve"> =&lt;90</v>
      </c>
      <c r="AL3211" s="1" t="str">
        <f>VLOOKUP(C:C,[1]基础信息!B$1:D$65536,3,0)</f>
        <v>Jug</v>
      </c>
      <c r="AM3211" s="1" t="str">
        <f>VLOOKUP(C:C,[1]基础信息!B$1:E$65536,4,0)</f>
        <v>Marella XL</v>
      </c>
      <c r="AN3211" s="1" t="str">
        <f>VLOOKUP(C:C,[1]基础信息!B$1:F$65536,5,0)</f>
        <v>Blue</v>
      </c>
    </row>
    <row r="3212" spans="1:40">
      <c r="A3212" s="1" t="s">
        <v>41</v>
      </c>
      <c r="B3212" s="1" t="s">
        <v>42</v>
      </c>
      <c r="C3212" s="1" t="s">
        <v>4352</v>
      </c>
      <c r="D3212" s="1" t="s">
        <v>4353</v>
      </c>
      <c r="E3212" s="1" t="s">
        <v>45</v>
      </c>
      <c r="F3212" s="1" t="s">
        <v>7158</v>
      </c>
      <c r="G3212" s="1" t="s">
        <v>7334</v>
      </c>
      <c r="H3212" s="1" t="s">
        <v>7335</v>
      </c>
      <c r="I3212" s="1" t="s">
        <v>49</v>
      </c>
      <c r="J3212" s="1" t="s">
        <v>48</v>
      </c>
      <c r="K3212" s="1">
        <v>336</v>
      </c>
      <c r="L3212" s="1">
        <v>0</v>
      </c>
      <c r="M3212" s="1">
        <v>0</v>
      </c>
      <c r="N3212" s="1">
        <v>336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 t="s">
        <v>49</v>
      </c>
      <c r="AA3212" s="1" t="s">
        <v>49</v>
      </c>
      <c r="AB3212" s="1" t="s">
        <v>49</v>
      </c>
      <c r="AC3212" s="1" t="s">
        <v>1188</v>
      </c>
      <c r="AD3212" s="1" t="s">
        <v>1189</v>
      </c>
      <c r="AE3212" s="1" t="s">
        <v>1188</v>
      </c>
      <c r="AF3212" s="1" t="s">
        <v>6985</v>
      </c>
      <c r="AG3212" s="1" t="s">
        <v>53</v>
      </c>
      <c r="AH3212" s="1" t="s">
        <v>49</v>
      </c>
      <c r="AI3212" s="1" t="s">
        <v>54</v>
      </c>
      <c r="AJ3212" s="1">
        <v>1</v>
      </c>
      <c r="AK3212" s="1" t="str">
        <f t="shared" si="50"/>
        <v xml:space="preserve"> =&lt;90</v>
      </c>
      <c r="AL3212" s="1" t="e">
        <f>VLOOKUP(C:C,[1]基础信息!B$1:D$65536,3,0)</f>
        <v>#N/A</v>
      </c>
      <c r="AM3212" s="1" t="e">
        <f>VLOOKUP(C:C,[1]基础信息!B$1:E$65536,4,0)</f>
        <v>#N/A</v>
      </c>
      <c r="AN3212" s="1" t="e">
        <f>VLOOKUP(C:C,[1]基础信息!B$1:F$65536,5,0)</f>
        <v>#N/A</v>
      </c>
    </row>
    <row r="3213" spans="1:40">
      <c r="A3213" s="1" t="s">
        <v>41</v>
      </c>
      <c r="B3213" s="1" t="s">
        <v>42</v>
      </c>
      <c r="C3213" s="1" t="s">
        <v>4352</v>
      </c>
      <c r="D3213" s="1" t="s">
        <v>4353</v>
      </c>
      <c r="E3213" s="1" t="s">
        <v>45</v>
      </c>
      <c r="F3213" s="1" t="s">
        <v>7158</v>
      </c>
      <c r="G3213" s="1" t="s">
        <v>7336</v>
      </c>
      <c r="H3213" s="1" t="s">
        <v>7337</v>
      </c>
      <c r="I3213" s="1" t="s">
        <v>49</v>
      </c>
      <c r="J3213" s="1" t="s">
        <v>48</v>
      </c>
      <c r="K3213" s="1">
        <v>336</v>
      </c>
      <c r="L3213" s="1">
        <v>0</v>
      </c>
      <c r="M3213" s="1">
        <v>0</v>
      </c>
      <c r="N3213" s="1">
        <v>336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 t="s">
        <v>49</v>
      </c>
      <c r="AA3213" s="1" t="s">
        <v>49</v>
      </c>
      <c r="AB3213" s="1" t="s">
        <v>49</v>
      </c>
      <c r="AC3213" s="1" t="s">
        <v>1188</v>
      </c>
      <c r="AD3213" s="1" t="s">
        <v>1189</v>
      </c>
      <c r="AE3213" s="1" t="s">
        <v>1188</v>
      </c>
      <c r="AF3213" s="1" t="s">
        <v>6985</v>
      </c>
      <c r="AG3213" s="1" t="s">
        <v>53</v>
      </c>
      <c r="AH3213" s="1" t="s">
        <v>49</v>
      </c>
      <c r="AI3213" s="1" t="s">
        <v>54</v>
      </c>
      <c r="AJ3213" s="1">
        <v>1</v>
      </c>
      <c r="AK3213" s="1" t="str">
        <f t="shared" si="50"/>
        <v xml:space="preserve"> =&lt;90</v>
      </c>
      <c r="AL3213" s="1" t="e">
        <f>VLOOKUP(C:C,[1]基础信息!B$1:D$65536,3,0)</f>
        <v>#N/A</v>
      </c>
      <c r="AM3213" s="1" t="e">
        <f>VLOOKUP(C:C,[1]基础信息!B$1:E$65536,4,0)</f>
        <v>#N/A</v>
      </c>
      <c r="AN3213" s="1" t="e">
        <f>VLOOKUP(C:C,[1]基础信息!B$1:F$65536,5,0)</f>
        <v>#N/A</v>
      </c>
    </row>
    <row r="3214" spans="1:40">
      <c r="A3214" s="1" t="s">
        <v>41</v>
      </c>
      <c r="B3214" s="1" t="s">
        <v>42</v>
      </c>
      <c r="C3214" s="1" t="s">
        <v>4352</v>
      </c>
      <c r="D3214" s="1" t="s">
        <v>4353</v>
      </c>
      <c r="E3214" s="1" t="s">
        <v>45</v>
      </c>
      <c r="F3214" s="1" t="s">
        <v>7158</v>
      </c>
      <c r="G3214" s="1" t="s">
        <v>7338</v>
      </c>
      <c r="H3214" s="1" t="s">
        <v>7339</v>
      </c>
      <c r="I3214" s="1" t="s">
        <v>49</v>
      </c>
      <c r="J3214" s="1" t="s">
        <v>48</v>
      </c>
      <c r="K3214" s="1">
        <v>336</v>
      </c>
      <c r="L3214" s="1">
        <v>0</v>
      </c>
      <c r="M3214" s="1">
        <v>0</v>
      </c>
      <c r="N3214" s="1">
        <v>336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 t="s">
        <v>49</v>
      </c>
      <c r="AA3214" s="1" t="s">
        <v>49</v>
      </c>
      <c r="AB3214" s="1" t="s">
        <v>49</v>
      </c>
      <c r="AC3214" s="1" t="s">
        <v>1188</v>
      </c>
      <c r="AD3214" s="1" t="s">
        <v>1189</v>
      </c>
      <c r="AE3214" s="1" t="s">
        <v>1188</v>
      </c>
      <c r="AF3214" s="1" t="s">
        <v>6985</v>
      </c>
      <c r="AG3214" s="1" t="s">
        <v>53</v>
      </c>
      <c r="AH3214" s="1" t="s">
        <v>49</v>
      </c>
      <c r="AI3214" s="1" t="s">
        <v>54</v>
      </c>
      <c r="AJ3214" s="1">
        <v>1</v>
      </c>
      <c r="AK3214" s="1" t="str">
        <f t="shared" si="50"/>
        <v xml:space="preserve"> =&lt;90</v>
      </c>
      <c r="AL3214" s="1" t="e">
        <f>VLOOKUP(C:C,[1]基础信息!B$1:D$65536,3,0)</f>
        <v>#N/A</v>
      </c>
      <c r="AM3214" s="1" t="e">
        <f>VLOOKUP(C:C,[1]基础信息!B$1:E$65536,4,0)</f>
        <v>#N/A</v>
      </c>
      <c r="AN3214" s="1" t="e">
        <f>VLOOKUP(C:C,[1]基础信息!B$1:F$65536,5,0)</f>
        <v>#N/A</v>
      </c>
    </row>
    <row r="3215" spans="1:40">
      <c r="A3215" s="1" t="s">
        <v>41</v>
      </c>
      <c r="B3215" s="1" t="s">
        <v>42</v>
      </c>
      <c r="C3215" s="1" t="s">
        <v>285</v>
      </c>
      <c r="D3215" s="1" t="s">
        <v>286</v>
      </c>
      <c r="E3215" s="1" t="s">
        <v>45</v>
      </c>
      <c r="F3215" s="1" t="s">
        <v>1997</v>
      </c>
      <c r="G3215" s="1" t="s">
        <v>7340</v>
      </c>
      <c r="H3215" s="1" t="s">
        <v>7341</v>
      </c>
      <c r="I3215" s="1" t="s">
        <v>49</v>
      </c>
      <c r="J3215" s="1" t="s">
        <v>48</v>
      </c>
      <c r="K3215" s="1">
        <v>70</v>
      </c>
      <c r="L3215" s="1">
        <v>0</v>
      </c>
      <c r="M3215" s="1">
        <v>0</v>
      </c>
      <c r="N3215" s="1">
        <v>70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 t="s">
        <v>49</v>
      </c>
      <c r="AA3215" s="1" t="s">
        <v>49</v>
      </c>
      <c r="AB3215" s="1" t="s">
        <v>49</v>
      </c>
      <c r="AC3215" s="1" t="s">
        <v>2000</v>
      </c>
      <c r="AD3215" s="1" t="s">
        <v>2001</v>
      </c>
      <c r="AE3215" s="1" t="s">
        <v>2000</v>
      </c>
      <c r="AF3215" s="1" t="s">
        <v>292</v>
      </c>
      <c r="AG3215" s="1" t="s">
        <v>53</v>
      </c>
      <c r="AH3215" s="1" t="s">
        <v>49</v>
      </c>
      <c r="AI3215" s="1" t="s">
        <v>54</v>
      </c>
      <c r="AJ3215" s="1">
        <v>1</v>
      </c>
      <c r="AK3215" s="1" t="str">
        <f t="shared" si="50"/>
        <v xml:space="preserve"> =&lt;90</v>
      </c>
      <c r="AL3215" s="1" t="str">
        <f>VLOOKUP(C:C,[1]基础信息!B$1:D$65536,3,0)</f>
        <v>Jug</v>
      </c>
      <c r="AM3215" s="1" t="str">
        <f>VLOOKUP(C:C,[1]基础信息!B$1:E$65536,4,0)</f>
        <v>Marella XL</v>
      </c>
      <c r="AN3215" s="1" t="str">
        <f>VLOOKUP(C:C,[1]基础信息!B$1:F$65536,5,0)</f>
        <v>Blue</v>
      </c>
    </row>
    <row r="3216" spans="1:40">
      <c r="A3216" s="1" t="s">
        <v>41</v>
      </c>
      <c r="B3216" s="1" t="s">
        <v>42</v>
      </c>
      <c r="C3216" s="1" t="s">
        <v>4352</v>
      </c>
      <c r="D3216" s="1" t="s">
        <v>4353</v>
      </c>
      <c r="E3216" s="1" t="s">
        <v>45</v>
      </c>
      <c r="F3216" s="1" t="s">
        <v>7158</v>
      </c>
      <c r="G3216" s="1" t="s">
        <v>7342</v>
      </c>
      <c r="H3216" s="1" t="s">
        <v>7343</v>
      </c>
      <c r="I3216" s="1" t="s">
        <v>49</v>
      </c>
      <c r="J3216" s="1" t="s">
        <v>48</v>
      </c>
      <c r="K3216" s="1">
        <v>336</v>
      </c>
      <c r="L3216" s="1">
        <v>0</v>
      </c>
      <c r="M3216" s="1">
        <v>0</v>
      </c>
      <c r="N3216" s="1">
        <v>336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 t="s">
        <v>49</v>
      </c>
      <c r="AA3216" s="1" t="s">
        <v>49</v>
      </c>
      <c r="AB3216" s="1" t="s">
        <v>49</v>
      </c>
      <c r="AC3216" s="1" t="s">
        <v>1188</v>
      </c>
      <c r="AD3216" s="1" t="s">
        <v>1189</v>
      </c>
      <c r="AE3216" s="1" t="s">
        <v>1188</v>
      </c>
      <c r="AF3216" s="1" t="s">
        <v>6985</v>
      </c>
      <c r="AG3216" s="1" t="s">
        <v>53</v>
      </c>
      <c r="AH3216" s="1" t="s">
        <v>49</v>
      </c>
      <c r="AI3216" s="1" t="s">
        <v>54</v>
      </c>
      <c r="AJ3216" s="1">
        <v>1</v>
      </c>
      <c r="AK3216" s="1" t="str">
        <f t="shared" si="50"/>
        <v xml:space="preserve"> =&lt;90</v>
      </c>
      <c r="AL3216" s="1" t="e">
        <f>VLOOKUP(C:C,[1]基础信息!B$1:D$65536,3,0)</f>
        <v>#N/A</v>
      </c>
      <c r="AM3216" s="1" t="e">
        <f>VLOOKUP(C:C,[1]基础信息!B$1:E$65536,4,0)</f>
        <v>#N/A</v>
      </c>
      <c r="AN3216" s="1" t="e">
        <f>VLOOKUP(C:C,[1]基础信息!B$1:F$65536,5,0)</f>
        <v>#N/A</v>
      </c>
    </row>
    <row r="3217" spans="1:40">
      <c r="A3217" s="1" t="s">
        <v>41</v>
      </c>
      <c r="B3217" s="1" t="s">
        <v>42</v>
      </c>
      <c r="C3217" s="1" t="s">
        <v>4352</v>
      </c>
      <c r="D3217" s="1" t="s">
        <v>4353</v>
      </c>
      <c r="E3217" s="1" t="s">
        <v>45</v>
      </c>
      <c r="F3217" s="1" t="s">
        <v>7158</v>
      </c>
      <c r="G3217" s="1" t="s">
        <v>7344</v>
      </c>
      <c r="H3217" s="1" t="s">
        <v>7345</v>
      </c>
      <c r="I3217" s="1" t="s">
        <v>49</v>
      </c>
      <c r="J3217" s="1" t="s">
        <v>48</v>
      </c>
      <c r="K3217" s="1">
        <v>336</v>
      </c>
      <c r="L3217" s="1">
        <v>0</v>
      </c>
      <c r="M3217" s="1">
        <v>0</v>
      </c>
      <c r="N3217" s="1">
        <v>336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 t="s">
        <v>49</v>
      </c>
      <c r="AA3217" s="1" t="s">
        <v>49</v>
      </c>
      <c r="AB3217" s="1" t="s">
        <v>49</v>
      </c>
      <c r="AC3217" s="1" t="s">
        <v>1188</v>
      </c>
      <c r="AD3217" s="1" t="s">
        <v>1189</v>
      </c>
      <c r="AE3217" s="1" t="s">
        <v>1188</v>
      </c>
      <c r="AF3217" s="1" t="s">
        <v>6985</v>
      </c>
      <c r="AG3217" s="1" t="s">
        <v>53</v>
      </c>
      <c r="AH3217" s="1" t="s">
        <v>49</v>
      </c>
      <c r="AI3217" s="1" t="s">
        <v>54</v>
      </c>
      <c r="AJ3217" s="1">
        <v>1</v>
      </c>
      <c r="AK3217" s="1" t="str">
        <f t="shared" si="50"/>
        <v xml:space="preserve"> =&lt;90</v>
      </c>
      <c r="AL3217" s="1" t="e">
        <f>VLOOKUP(C:C,[1]基础信息!B$1:D$65536,3,0)</f>
        <v>#N/A</v>
      </c>
      <c r="AM3217" s="1" t="e">
        <f>VLOOKUP(C:C,[1]基础信息!B$1:E$65536,4,0)</f>
        <v>#N/A</v>
      </c>
      <c r="AN3217" s="1" t="e">
        <f>VLOOKUP(C:C,[1]基础信息!B$1:F$65536,5,0)</f>
        <v>#N/A</v>
      </c>
    </row>
    <row r="3218" spans="1:40">
      <c r="A3218" s="1" t="s">
        <v>41</v>
      </c>
      <c r="B3218" s="1" t="s">
        <v>42</v>
      </c>
      <c r="C3218" s="1" t="s">
        <v>4273</v>
      </c>
      <c r="D3218" s="1" t="s">
        <v>4274</v>
      </c>
      <c r="E3218" s="1" t="s">
        <v>45</v>
      </c>
      <c r="F3218" s="1" t="s">
        <v>7068</v>
      </c>
      <c r="G3218" s="1" t="s">
        <v>7346</v>
      </c>
      <c r="H3218" s="1" t="s">
        <v>7347</v>
      </c>
      <c r="I3218" s="1" t="s">
        <v>49</v>
      </c>
      <c r="J3218" s="1" t="s">
        <v>48</v>
      </c>
      <c r="K3218" s="1">
        <v>840</v>
      </c>
      <c r="L3218" s="1">
        <v>0</v>
      </c>
      <c r="M3218" s="1">
        <v>0</v>
      </c>
      <c r="N3218" s="1">
        <v>840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 t="s">
        <v>49</v>
      </c>
      <c r="AA3218" s="1" t="s">
        <v>49</v>
      </c>
      <c r="AB3218" s="1" t="s">
        <v>49</v>
      </c>
      <c r="AC3218" s="1" t="s">
        <v>7049</v>
      </c>
      <c r="AD3218" s="1" t="s">
        <v>7050</v>
      </c>
      <c r="AE3218" s="1" t="s">
        <v>7049</v>
      </c>
      <c r="AF3218" s="1" t="s">
        <v>5222</v>
      </c>
      <c r="AG3218" s="1" t="s">
        <v>53</v>
      </c>
      <c r="AH3218" s="1" t="s">
        <v>49</v>
      </c>
      <c r="AI3218" s="1" t="s">
        <v>54</v>
      </c>
      <c r="AJ3218" s="1">
        <v>1</v>
      </c>
      <c r="AK3218" s="1" t="str">
        <f t="shared" si="50"/>
        <v xml:space="preserve"> =&lt;90</v>
      </c>
      <c r="AL3218" s="1" t="e">
        <f>VLOOKUP(C:C,[1]基础信息!B$1:D$65536,3,0)</f>
        <v>#N/A</v>
      </c>
      <c r="AM3218" s="1" t="e">
        <f>VLOOKUP(C:C,[1]基础信息!B$1:E$65536,4,0)</f>
        <v>#N/A</v>
      </c>
      <c r="AN3218" s="1" t="e">
        <f>VLOOKUP(C:C,[1]基础信息!B$1:F$65536,5,0)</f>
        <v>#N/A</v>
      </c>
    </row>
    <row r="3219" spans="1:40">
      <c r="A3219" s="1" t="s">
        <v>41</v>
      </c>
      <c r="B3219" s="1" t="s">
        <v>42</v>
      </c>
      <c r="C3219" s="1" t="s">
        <v>4273</v>
      </c>
      <c r="D3219" s="1" t="s">
        <v>4274</v>
      </c>
      <c r="E3219" s="1" t="s">
        <v>45</v>
      </c>
      <c r="F3219" s="1" t="s">
        <v>7068</v>
      </c>
      <c r="G3219" s="1" t="s">
        <v>7348</v>
      </c>
      <c r="H3219" s="1" t="s">
        <v>7349</v>
      </c>
      <c r="I3219" s="1" t="s">
        <v>49</v>
      </c>
      <c r="J3219" s="1" t="s">
        <v>48</v>
      </c>
      <c r="K3219" s="1">
        <v>840</v>
      </c>
      <c r="L3219" s="1">
        <v>0</v>
      </c>
      <c r="M3219" s="1">
        <v>0</v>
      </c>
      <c r="N3219" s="1">
        <v>840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 t="s">
        <v>49</v>
      </c>
      <c r="AA3219" s="1" t="s">
        <v>49</v>
      </c>
      <c r="AB3219" s="1" t="s">
        <v>49</v>
      </c>
      <c r="AC3219" s="1" t="s">
        <v>7049</v>
      </c>
      <c r="AD3219" s="1" t="s">
        <v>7050</v>
      </c>
      <c r="AE3219" s="1" t="s">
        <v>7049</v>
      </c>
      <c r="AF3219" s="1" t="s">
        <v>5222</v>
      </c>
      <c r="AG3219" s="1" t="s">
        <v>53</v>
      </c>
      <c r="AH3219" s="1" t="s">
        <v>49</v>
      </c>
      <c r="AI3219" s="1" t="s">
        <v>54</v>
      </c>
      <c r="AJ3219" s="1">
        <v>1</v>
      </c>
      <c r="AK3219" s="1" t="str">
        <f t="shared" si="50"/>
        <v xml:space="preserve"> =&lt;90</v>
      </c>
      <c r="AL3219" s="1" t="e">
        <f>VLOOKUP(C:C,[1]基础信息!B$1:D$65536,3,0)</f>
        <v>#N/A</v>
      </c>
      <c r="AM3219" s="1" t="e">
        <f>VLOOKUP(C:C,[1]基础信息!B$1:E$65536,4,0)</f>
        <v>#N/A</v>
      </c>
      <c r="AN3219" s="1" t="e">
        <f>VLOOKUP(C:C,[1]基础信息!B$1:F$65536,5,0)</f>
        <v>#N/A</v>
      </c>
    </row>
    <row r="3220" spans="1:40">
      <c r="A3220" s="1" t="s">
        <v>41</v>
      </c>
      <c r="B3220" s="1" t="s">
        <v>42</v>
      </c>
      <c r="C3220" s="1" t="s">
        <v>4273</v>
      </c>
      <c r="D3220" s="1" t="s">
        <v>4274</v>
      </c>
      <c r="E3220" s="1" t="s">
        <v>45</v>
      </c>
      <c r="F3220" s="1" t="s">
        <v>7068</v>
      </c>
      <c r="G3220" s="1" t="s">
        <v>7350</v>
      </c>
      <c r="H3220" s="1" t="s">
        <v>7351</v>
      </c>
      <c r="I3220" s="1" t="s">
        <v>49</v>
      </c>
      <c r="J3220" s="1" t="s">
        <v>48</v>
      </c>
      <c r="K3220" s="1">
        <v>840</v>
      </c>
      <c r="L3220" s="1">
        <v>0</v>
      </c>
      <c r="M3220" s="1">
        <v>0</v>
      </c>
      <c r="N3220" s="1">
        <v>840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 t="s">
        <v>49</v>
      </c>
      <c r="AA3220" s="1" t="s">
        <v>49</v>
      </c>
      <c r="AB3220" s="1" t="s">
        <v>49</v>
      </c>
      <c r="AC3220" s="1" t="s">
        <v>7049</v>
      </c>
      <c r="AD3220" s="1" t="s">
        <v>7050</v>
      </c>
      <c r="AE3220" s="1" t="s">
        <v>7049</v>
      </c>
      <c r="AF3220" s="1" t="s">
        <v>5222</v>
      </c>
      <c r="AG3220" s="1" t="s">
        <v>53</v>
      </c>
      <c r="AH3220" s="1" t="s">
        <v>49</v>
      </c>
      <c r="AI3220" s="1" t="s">
        <v>54</v>
      </c>
      <c r="AJ3220" s="1">
        <v>1</v>
      </c>
      <c r="AK3220" s="1" t="str">
        <f t="shared" si="50"/>
        <v xml:space="preserve"> =&lt;90</v>
      </c>
      <c r="AL3220" s="1" t="e">
        <f>VLOOKUP(C:C,[1]基础信息!B$1:D$65536,3,0)</f>
        <v>#N/A</v>
      </c>
      <c r="AM3220" s="1" t="e">
        <f>VLOOKUP(C:C,[1]基础信息!B$1:E$65536,4,0)</f>
        <v>#N/A</v>
      </c>
      <c r="AN3220" s="1" t="e">
        <f>VLOOKUP(C:C,[1]基础信息!B$1:F$65536,5,0)</f>
        <v>#N/A</v>
      </c>
    </row>
    <row r="3221" spans="1:40">
      <c r="A3221" s="1" t="s">
        <v>41</v>
      </c>
      <c r="B3221" s="1" t="s">
        <v>42</v>
      </c>
      <c r="C3221" s="1" t="s">
        <v>4352</v>
      </c>
      <c r="D3221" s="1" t="s">
        <v>4353</v>
      </c>
      <c r="E3221" s="1" t="s">
        <v>45</v>
      </c>
      <c r="F3221" s="1" t="s">
        <v>7158</v>
      </c>
      <c r="G3221" s="1" t="s">
        <v>7352</v>
      </c>
      <c r="H3221" s="1" t="s">
        <v>7353</v>
      </c>
      <c r="I3221" s="1" t="s">
        <v>49</v>
      </c>
      <c r="J3221" s="1" t="s">
        <v>48</v>
      </c>
      <c r="K3221" s="1">
        <v>336</v>
      </c>
      <c r="L3221" s="1">
        <v>0</v>
      </c>
      <c r="M3221" s="1">
        <v>0</v>
      </c>
      <c r="N3221" s="1">
        <v>336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 t="s">
        <v>49</v>
      </c>
      <c r="AA3221" s="1" t="s">
        <v>49</v>
      </c>
      <c r="AB3221" s="1" t="s">
        <v>49</v>
      </c>
      <c r="AC3221" s="1" t="s">
        <v>1188</v>
      </c>
      <c r="AD3221" s="1" t="s">
        <v>1189</v>
      </c>
      <c r="AE3221" s="1" t="s">
        <v>1188</v>
      </c>
      <c r="AF3221" s="1" t="s">
        <v>6985</v>
      </c>
      <c r="AG3221" s="1" t="s">
        <v>53</v>
      </c>
      <c r="AH3221" s="1" t="s">
        <v>49</v>
      </c>
      <c r="AI3221" s="1" t="s">
        <v>54</v>
      </c>
      <c r="AJ3221" s="1">
        <v>1</v>
      </c>
      <c r="AK3221" s="1" t="str">
        <f t="shared" si="50"/>
        <v xml:space="preserve"> =&lt;90</v>
      </c>
      <c r="AL3221" s="1" t="e">
        <f>VLOOKUP(C:C,[1]基础信息!B$1:D$65536,3,0)</f>
        <v>#N/A</v>
      </c>
      <c r="AM3221" s="1" t="e">
        <f>VLOOKUP(C:C,[1]基础信息!B$1:E$65536,4,0)</f>
        <v>#N/A</v>
      </c>
      <c r="AN3221" s="1" t="e">
        <f>VLOOKUP(C:C,[1]基础信息!B$1:F$65536,5,0)</f>
        <v>#N/A</v>
      </c>
    </row>
    <row r="3222" spans="1:40">
      <c r="A3222" s="1" t="s">
        <v>41</v>
      </c>
      <c r="B3222" s="1" t="s">
        <v>42</v>
      </c>
      <c r="C3222" s="1" t="s">
        <v>4273</v>
      </c>
      <c r="D3222" s="1" t="s">
        <v>4274</v>
      </c>
      <c r="E3222" s="1" t="s">
        <v>45</v>
      </c>
      <c r="F3222" s="1" t="s">
        <v>7068</v>
      </c>
      <c r="G3222" s="1" t="s">
        <v>7354</v>
      </c>
      <c r="H3222" s="1" t="s">
        <v>7355</v>
      </c>
      <c r="I3222" s="1" t="s">
        <v>49</v>
      </c>
      <c r="J3222" s="1" t="s">
        <v>48</v>
      </c>
      <c r="K3222" s="1">
        <v>840</v>
      </c>
      <c r="L3222" s="1">
        <v>0</v>
      </c>
      <c r="M3222" s="1">
        <v>0</v>
      </c>
      <c r="N3222" s="1">
        <v>840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 t="s">
        <v>49</v>
      </c>
      <c r="AA3222" s="1" t="s">
        <v>49</v>
      </c>
      <c r="AB3222" s="1" t="s">
        <v>49</v>
      </c>
      <c r="AC3222" s="1" t="s">
        <v>7049</v>
      </c>
      <c r="AD3222" s="1" t="s">
        <v>7050</v>
      </c>
      <c r="AE3222" s="1" t="s">
        <v>7049</v>
      </c>
      <c r="AF3222" s="1" t="s">
        <v>5222</v>
      </c>
      <c r="AG3222" s="1" t="s">
        <v>53</v>
      </c>
      <c r="AH3222" s="1" t="s">
        <v>49</v>
      </c>
      <c r="AI3222" s="1" t="s">
        <v>54</v>
      </c>
      <c r="AJ3222" s="1">
        <v>1</v>
      </c>
      <c r="AK3222" s="1" t="str">
        <f t="shared" si="50"/>
        <v xml:space="preserve"> =&lt;90</v>
      </c>
      <c r="AL3222" s="1" t="e">
        <f>VLOOKUP(C:C,[1]基础信息!B$1:D$65536,3,0)</f>
        <v>#N/A</v>
      </c>
      <c r="AM3222" s="1" t="e">
        <f>VLOOKUP(C:C,[1]基础信息!B$1:E$65536,4,0)</f>
        <v>#N/A</v>
      </c>
      <c r="AN3222" s="1" t="e">
        <f>VLOOKUP(C:C,[1]基础信息!B$1:F$65536,5,0)</f>
        <v>#N/A</v>
      </c>
    </row>
    <row r="3223" spans="1:40">
      <c r="A3223" s="1" t="s">
        <v>41</v>
      </c>
      <c r="B3223" s="1" t="s">
        <v>42</v>
      </c>
      <c r="C3223" s="1" t="s">
        <v>4273</v>
      </c>
      <c r="D3223" s="1" t="s">
        <v>4274</v>
      </c>
      <c r="E3223" s="1" t="s">
        <v>45</v>
      </c>
      <c r="F3223" s="1" t="s">
        <v>7068</v>
      </c>
      <c r="G3223" s="1" t="s">
        <v>7356</v>
      </c>
      <c r="H3223" s="1" t="s">
        <v>7357</v>
      </c>
      <c r="I3223" s="1" t="s">
        <v>49</v>
      </c>
      <c r="J3223" s="1" t="s">
        <v>48</v>
      </c>
      <c r="K3223" s="1">
        <v>270</v>
      </c>
      <c r="L3223" s="1">
        <v>0</v>
      </c>
      <c r="M3223" s="1">
        <v>0</v>
      </c>
      <c r="N3223" s="1">
        <v>270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 t="s">
        <v>49</v>
      </c>
      <c r="AA3223" s="1" t="s">
        <v>49</v>
      </c>
      <c r="AB3223" s="1" t="s">
        <v>49</v>
      </c>
      <c r="AC3223" s="1" t="s">
        <v>7049</v>
      </c>
      <c r="AD3223" s="1" t="s">
        <v>7050</v>
      </c>
      <c r="AE3223" s="1" t="s">
        <v>7049</v>
      </c>
      <c r="AF3223" s="1" t="s">
        <v>5222</v>
      </c>
      <c r="AG3223" s="1" t="s">
        <v>53</v>
      </c>
      <c r="AH3223" s="1" t="s">
        <v>49</v>
      </c>
      <c r="AI3223" s="1" t="s">
        <v>54</v>
      </c>
      <c r="AJ3223" s="1">
        <v>1</v>
      </c>
      <c r="AK3223" s="1" t="str">
        <f t="shared" si="50"/>
        <v xml:space="preserve"> =&lt;90</v>
      </c>
      <c r="AL3223" s="1" t="e">
        <f>VLOOKUP(C:C,[1]基础信息!B$1:D$65536,3,0)</f>
        <v>#N/A</v>
      </c>
      <c r="AM3223" s="1" t="e">
        <f>VLOOKUP(C:C,[1]基础信息!B$1:E$65536,4,0)</f>
        <v>#N/A</v>
      </c>
      <c r="AN3223" s="1" t="e">
        <f>VLOOKUP(C:C,[1]基础信息!B$1:F$65536,5,0)</f>
        <v>#N/A</v>
      </c>
    </row>
    <row r="3224" spans="1:40">
      <c r="A3224" s="1" t="s">
        <v>41</v>
      </c>
      <c r="B3224" s="1" t="s">
        <v>42</v>
      </c>
      <c r="C3224" s="1" t="s">
        <v>4352</v>
      </c>
      <c r="D3224" s="1" t="s">
        <v>4353</v>
      </c>
      <c r="E3224" s="1" t="s">
        <v>45</v>
      </c>
      <c r="F3224" s="1" t="s">
        <v>7158</v>
      </c>
      <c r="G3224" s="1" t="s">
        <v>7358</v>
      </c>
      <c r="H3224" s="1" t="s">
        <v>7359</v>
      </c>
      <c r="I3224" s="1" t="s">
        <v>49</v>
      </c>
      <c r="J3224" s="1" t="s">
        <v>48</v>
      </c>
      <c r="K3224" s="1">
        <v>336</v>
      </c>
      <c r="L3224" s="1">
        <v>0</v>
      </c>
      <c r="M3224" s="1">
        <v>0</v>
      </c>
      <c r="N3224" s="1">
        <v>336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 t="s">
        <v>49</v>
      </c>
      <c r="AA3224" s="1" t="s">
        <v>49</v>
      </c>
      <c r="AB3224" s="1" t="s">
        <v>49</v>
      </c>
      <c r="AC3224" s="1" t="s">
        <v>1188</v>
      </c>
      <c r="AD3224" s="1" t="s">
        <v>1189</v>
      </c>
      <c r="AE3224" s="1" t="s">
        <v>1188</v>
      </c>
      <c r="AF3224" s="1" t="s">
        <v>6985</v>
      </c>
      <c r="AG3224" s="1" t="s">
        <v>53</v>
      </c>
      <c r="AH3224" s="1" t="s">
        <v>49</v>
      </c>
      <c r="AI3224" s="1" t="s">
        <v>54</v>
      </c>
      <c r="AJ3224" s="1">
        <v>1</v>
      </c>
      <c r="AK3224" s="1" t="str">
        <f t="shared" si="50"/>
        <v xml:space="preserve"> =&lt;90</v>
      </c>
      <c r="AL3224" s="1" t="e">
        <f>VLOOKUP(C:C,[1]基础信息!B$1:D$65536,3,0)</f>
        <v>#N/A</v>
      </c>
      <c r="AM3224" s="1" t="e">
        <f>VLOOKUP(C:C,[1]基础信息!B$1:E$65536,4,0)</f>
        <v>#N/A</v>
      </c>
      <c r="AN3224" s="1" t="e">
        <f>VLOOKUP(C:C,[1]基础信息!B$1:F$65536,5,0)</f>
        <v>#N/A</v>
      </c>
    </row>
    <row r="3225" spans="1:40">
      <c r="A3225" s="1" t="s">
        <v>41</v>
      </c>
      <c r="B3225" s="1" t="s">
        <v>42</v>
      </c>
      <c r="C3225" s="1" t="s">
        <v>4352</v>
      </c>
      <c r="D3225" s="1" t="s">
        <v>4353</v>
      </c>
      <c r="E3225" s="1" t="s">
        <v>45</v>
      </c>
      <c r="F3225" s="1" t="s">
        <v>7158</v>
      </c>
      <c r="G3225" s="1" t="s">
        <v>7360</v>
      </c>
      <c r="H3225" s="1" t="s">
        <v>7361</v>
      </c>
      <c r="I3225" s="1" t="s">
        <v>49</v>
      </c>
      <c r="J3225" s="1" t="s">
        <v>48</v>
      </c>
      <c r="K3225" s="1">
        <v>336</v>
      </c>
      <c r="L3225" s="1">
        <v>0</v>
      </c>
      <c r="M3225" s="1">
        <v>0</v>
      </c>
      <c r="N3225" s="1">
        <v>336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 t="s">
        <v>49</v>
      </c>
      <c r="AA3225" s="1" t="s">
        <v>49</v>
      </c>
      <c r="AB3225" s="1" t="s">
        <v>49</v>
      </c>
      <c r="AC3225" s="1" t="s">
        <v>1188</v>
      </c>
      <c r="AD3225" s="1" t="s">
        <v>1189</v>
      </c>
      <c r="AE3225" s="1" t="s">
        <v>1188</v>
      </c>
      <c r="AF3225" s="1" t="s">
        <v>6985</v>
      </c>
      <c r="AG3225" s="1" t="s">
        <v>53</v>
      </c>
      <c r="AH3225" s="1" t="s">
        <v>49</v>
      </c>
      <c r="AI3225" s="1" t="s">
        <v>54</v>
      </c>
      <c r="AJ3225" s="1">
        <v>1</v>
      </c>
      <c r="AK3225" s="1" t="str">
        <f t="shared" si="50"/>
        <v xml:space="preserve"> =&lt;90</v>
      </c>
      <c r="AL3225" s="1" t="e">
        <f>VLOOKUP(C:C,[1]基础信息!B$1:D$65536,3,0)</f>
        <v>#N/A</v>
      </c>
      <c r="AM3225" s="1" t="e">
        <f>VLOOKUP(C:C,[1]基础信息!B$1:E$65536,4,0)</f>
        <v>#N/A</v>
      </c>
      <c r="AN3225" s="1" t="e">
        <f>VLOOKUP(C:C,[1]基础信息!B$1:F$65536,5,0)</f>
        <v>#N/A</v>
      </c>
    </row>
    <row r="3226" spans="1:40">
      <c r="A3226" s="1" t="s">
        <v>41</v>
      </c>
      <c r="B3226" s="1" t="s">
        <v>42</v>
      </c>
      <c r="C3226" s="1" t="s">
        <v>4352</v>
      </c>
      <c r="D3226" s="1" t="s">
        <v>4353</v>
      </c>
      <c r="E3226" s="1" t="s">
        <v>45</v>
      </c>
      <c r="F3226" s="1" t="s">
        <v>7158</v>
      </c>
      <c r="G3226" s="1" t="s">
        <v>7362</v>
      </c>
      <c r="H3226" s="1" t="s">
        <v>7363</v>
      </c>
      <c r="I3226" s="1" t="s">
        <v>49</v>
      </c>
      <c r="J3226" s="1" t="s">
        <v>48</v>
      </c>
      <c r="K3226" s="1">
        <v>336</v>
      </c>
      <c r="L3226" s="1">
        <v>0</v>
      </c>
      <c r="M3226" s="1">
        <v>0</v>
      </c>
      <c r="N3226" s="1">
        <v>336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 t="s">
        <v>49</v>
      </c>
      <c r="AA3226" s="1" t="s">
        <v>49</v>
      </c>
      <c r="AB3226" s="1" t="s">
        <v>49</v>
      </c>
      <c r="AC3226" s="1" t="s">
        <v>1188</v>
      </c>
      <c r="AD3226" s="1" t="s">
        <v>1189</v>
      </c>
      <c r="AE3226" s="1" t="s">
        <v>1188</v>
      </c>
      <c r="AF3226" s="1" t="s">
        <v>6985</v>
      </c>
      <c r="AG3226" s="1" t="s">
        <v>53</v>
      </c>
      <c r="AH3226" s="1" t="s">
        <v>49</v>
      </c>
      <c r="AI3226" s="1" t="s">
        <v>54</v>
      </c>
      <c r="AJ3226" s="1">
        <v>1</v>
      </c>
      <c r="AK3226" s="1" t="str">
        <f t="shared" si="50"/>
        <v xml:space="preserve"> =&lt;90</v>
      </c>
      <c r="AL3226" s="1" t="e">
        <f>VLOOKUP(C:C,[1]基础信息!B$1:D$65536,3,0)</f>
        <v>#N/A</v>
      </c>
      <c r="AM3226" s="1" t="e">
        <f>VLOOKUP(C:C,[1]基础信息!B$1:E$65536,4,0)</f>
        <v>#N/A</v>
      </c>
      <c r="AN3226" s="1" t="e">
        <f>VLOOKUP(C:C,[1]基础信息!B$1:F$65536,5,0)</f>
        <v>#N/A</v>
      </c>
    </row>
    <row r="3227" spans="1:40">
      <c r="A3227" s="1" t="s">
        <v>41</v>
      </c>
      <c r="B3227" s="1" t="s">
        <v>42</v>
      </c>
      <c r="C3227" s="1" t="s">
        <v>285</v>
      </c>
      <c r="D3227" s="1" t="s">
        <v>286</v>
      </c>
      <c r="E3227" s="1" t="s">
        <v>45</v>
      </c>
      <c r="F3227" s="1" t="s">
        <v>1997</v>
      </c>
      <c r="G3227" s="1" t="s">
        <v>7364</v>
      </c>
      <c r="H3227" s="1" t="s">
        <v>7365</v>
      </c>
      <c r="I3227" s="1" t="s">
        <v>49</v>
      </c>
      <c r="J3227" s="1" t="s">
        <v>48</v>
      </c>
      <c r="K3227" s="1">
        <v>70</v>
      </c>
      <c r="L3227" s="1">
        <v>0</v>
      </c>
      <c r="M3227" s="1">
        <v>0</v>
      </c>
      <c r="N3227" s="1">
        <v>70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 t="s">
        <v>49</v>
      </c>
      <c r="AA3227" s="1" t="s">
        <v>49</v>
      </c>
      <c r="AB3227" s="1" t="s">
        <v>49</v>
      </c>
      <c r="AC3227" s="1" t="s">
        <v>2000</v>
      </c>
      <c r="AD3227" s="1" t="s">
        <v>2001</v>
      </c>
      <c r="AE3227" s="1" t="s">
        <v>2000</v>
      </c>
      <c r="AF3227" s="1" t="s">
        <v>292</v>
      </c>
      <c r="AG3227" s="1" t="s">
        <v>53</v>
      </c>
      <c r="AH3227" s="1" t="s">
        <v>49</v>
      </c>
      <c r="AI3227" s="1" t="s">
        <v>54</v>
      </c>
      <c r="AJ3227" s="1">
        <v>1</v>
      </c>
      <c r="AK3227" s="1" t="str">
        <f t="shared" si="50"/>
        <v xml:space="preserve"> =&lt;90</v>
      </c>
      <c r="AL3227" s="1" t="str">
        <f>VLOOKUP(C:C,[1]基础信息!B$1:D$65536,3,0)</f>
        <v>Jug</v>
      </c>
      <c r="AM3227" s="1" t="str">
        <f>VLOOKUP(C:C,[1]基础信息!B$1:E$65536,4,0)</f>
        <v>Marella XL</v>
      </c>
      <c r="AN3227" s="1" t="str">
        <f>VLOOKUP(C:C,[1]基础信息!B$1:F$65536,5,0)</f>
        <v>Blue</v>
      </c>
    </row>
    <row r="3228" spans="1:40">
      <c r="A3228" s="1" t="s">
        <v>41</v>
      </c>
      <c r="B3228" s="1" t="s">
        <v>42</v>
      </c>
      <c r="C3228" s="1" t="s">
        <v>4352</v>
      </c>
      <c r="D3228" s="1" t="s">
        <v>4353</v>
      </c>
      <c r="E3228" s="1" t="s">
        <v>45</v>
      </c>
      <c r="F3228" s="1" t="s">
        <v>6083</v>
      </c>
      <c r="G3228" s="1" t="s">
        <v>7366</v>
      </c>
      <c r="H3228" s="1" t="s">
        <v>7367</v>
      </c>
      <c r="I3228" s="1" t="s">
        <v>49</v>
      </c>
      <c r="J3228" s="1" t="s">
        <v>48</v>
      </c>
      <c r="K3228" s="1">
        <v>336</v>
      </c>
      <c r="L3228" s="1">
        <v>0</v>
      </c>
      <c r="M3228" s="1">
        <v>0</v>
      </c>
      <c r="N3228" s="1">
        <v>336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 t="s">
        <v>49</v>
      </c>
      <c r="AA3228" s="1" t="s">
        <v>49</v>
      </c>
      <c r="AB3228" s="1" t="s">
        <v>49</v>
      </c>
      <c r="AC3228" s="1" t="s">
        <v>3264</v>
      </c>
      <c r="AD3228" s="1" t="s">
        <v>3265</v>
      </c>
      <c r="AE3228" s="1" t="s">
        <v>3264</v>
      </c>
      <c r="AF3228" s="1" t="s">
        <v>6086</v>
      </c>
      <c r="AG3228" s="1" t="s">
        <v>53</v>
      </c>
      <c r="AH3228" s="1" t="s">
        <v>49</v>
      </c>
      <c r="AI3228" s="1" t="s">
        <v>54</v>
      </c>
      <c r="AJ3228" s="1">
        <v>1</v>
      </c>
      <c r="AK3228" s="1" t="str">
        <f t="shared" si="50"/>
        <v xml:space="preserve"> =&lt;90</v>
      </c>
      <c r="AL3228" s="1" t="e">
        <f>VLOOKUP(C:C,[1]基础信息!B$1:D$65536,3,0)</f>
        <v>#N/A</v>
      </c>
      <c r="AM3228" s="1" t="e">
        <f>VLOOKUP(C:C,[1]基础信息!B$1:E$65536,4,0)</f>
        <v>#N/A</v>
      </c>
      <c r="AN3228" s="1" t="e">
        <f>VLOOKUP(C:C,[1]基础信息!B$1:F$65536,5,0)</f>
        <v>#N/A</v>
      </c>
    </row>
    <row r="3229" spans="1:40">
      <c r="A3229" s="1" t="s">
        <v>41</v>
      </c>
      <c r="B3229" s="1" t="s">
        <v>42</v>
      </c>
      <c r="C3229" s="1" t="s">
        <v>4352</v>
      </c>
      <c r="D3229" s="1" t="s">
        <v>4353</v>
      </c>
      <c r="E3229" s="1" t="s">
        <v>45</v>
      </c>
      <c r="F3229" s="1" t="s">
        <v>6083</v>
      </c>
      <c r="G3229" s="1" t="s">
        <v>7368</v>
      </c>
      <c r="H3229" s="1" t="s">
        <v>7369</v>
      </c>
      <c r="I3229" s="1" t="s">
        <v>49</v>
      </c>
      <c r="J3229" s="1" t="s">
        <v>48</v>
      </c>
      <c r="K3229" s="1">
        <v>336</v>
      </c>
      <c r="L3229" s="1">
        <v>0</v>
      </c>
      <c r="M3229" s="1">
        <v>0</v>
      </c>
      <c r="N3229" s="1">
        <v>336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 t="s">
        <v>49</v>
      </c>
      <c r="AA3229" s="1" t="s">
        <v>49</v>
      </c>
      <c r="AB3229" s="1" t="s">
        <v>49</v>
      </c>
      <c r="AC3229" s="1" t="s">
        <v>3264</v>
      </c>
      <c r="AD3229" s="1" t="s">
        <v>3265</v>
      </c>
      <c r="AE3229" s="1" t="s">
        <v>3264</v>
      </c>
      <c r="AF3229" s="1" t="s">
        <v>6086</v>
      </c>
      <c r="AG3229" s="1" t="s">
        <v>53</v>
      </c>
      <c r="AH3229" s="1" t="s">
        <v>49</v>
      </c>
      <c r="AI3229" s="1" t="s">
        <v>54</v>
      </c>
      <c r="AJ3229" s="1">
        <v>1</v>
      </c>
      <c r="AK3229" s="1" t="str">
        <f t="shared" si="50"/>
        <v xml:space="preserve"> =&lt;90</v>
      </c>
      <c r="AL3229" s="1" t="e">
        <f>VLOOKUP(C:C,[1]基础信息!B$1:D$65536,3,0)</f>
        <v>#N/A</v>
      </c>
      <c r="AM3229" s="1" t="e">
        <f>VLOOKUP(C:C,[1]基础信息!B$1:E$65536,4,0)</f>
        <v>#N/A</v>
      </c>
      <c r="AN3229" s="1" t="e">
        <f>VLOOKUP(C:C,[1]基础信息!B$1:F$65536,5,0)</f>
        <v>#N/A</v>
      </c>
    </row>
    <row r="3230" spans="1:40">
      <c r="A3230" s="1" t="s">
        <v>41</v>
      </c>
      <c r="B3230" s="1" t="s">
        <v>42</v>
      </c>
      <c r="C3230" s="1" t="s">
        <v>3601</v>
      </c>
      <c r="D3230" s="1" t="s">
        <v>3602</v>
      </c>
      <c r="E3230" s="1" t="s">
        <v>45</v>
      </c>
      <c r="F3230" s="1" t="s">
        <v>7370</v>
      </c>
      <c r="G3230" s="1" t="s">
        <v>7371</v>
      </c>
      <c r="H3230" s="1" t="s">
        <v>7372</v>
      </c>
      <c r="I3230" s="1" t="s">
        <v>49</v>
      </c>
      <c r="J3230" s="1" t="s">
        <v>48</v>
      </c>
      <c r="K3230" s="1">
        <v>2324</v>
      </c>
      <c r="L3230" s="1">
        <v>0</v>
      </c>
      <c r="M3230" s="1">
        <v>0</v>
      </c>
      <c r="N3230" s="1">
        <v>2324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 t="s">
        <v>49</v>
      </c>
      <c r="AA3230" s="1" t="s">
        <v>49</v>
      </c>
      <c r="AB3230" s="1" t="s">
        <v>49</v>
      </c>
      <c r="AC3230" s="1" t="s">
        <v>7049</v>
      </c>
      <c r="AD3230" s="1" t="s">
        <v>7050</v>
      </c>
      <c r="AE3230" s="1" t="s">
        <v>7049</v>
      </c>
      <c r="AF3230" s="1" t="s">
        <v>5295</v>
      </c>
      <c r="AG3230" s="1" t="s">
        <v>53</v>
      </c>
      <c r="AH3230" s="1" t="s">
        <v>49</v>
      </c>
      <c r="AI3230" s="1" t="s">
        <v>54</v>
      </c>
      <c r="AJ3230" s="1">
        <v>1</v>
      </c>
      <c r="AK3230" s="1" t="str">
        <f t="shared" si="50"/>
        <v xml:space="preserve"> =&lt;90</v>
      </c>
      <c r="AL3230" s="1" t="e">
        <f>VLOOKUP(C:C,[1]基础信息!B$1:D$65536,3,0)</f>
        <v>#N/A</v>
      </c>
      <c r="AM3230" s="1" t="e">
        <f>VLOOKUP(C:C,[1]基础信息!B$1:E$65536,4,0)</f>
        <v>#N/A</v>
      </c>
      <c r="AN3230" s="1" t="e">
        <f>VLOOKUP(C:C,[1]基础信息!B$1:F$65536,5,0)</f>
        <v>#N/A</v>
      </c>
    </row>
    <row r="3231" spans="1:40">
      <c r="A3231" s="1" t="s">
        <v>41</v>
      </c>
      <c r="B3231" s="1" t="s">
        <v>42</v>
      </c>
      <c r="C3231" s="1" t="s">
        <v>285</v>
      </c>
      <c r="D3231" s="1" t="s">
        <v>286</v>
      </c>
      <c r="E3231" s="1" t="s">
        <v>45</v>
      </c>
      <c r="F3231" s="1" t="s">
        <v>1997</v>
      </c>
      <c r="G3231" s="1" t="s">
        <v>7373</v>
      </c>
      <c r="H3231" s="1" t="s">
        <v>7374</v>
      </c>
      <c r="I3231" s="1" t="s">
        <v>49</v>
      </c>
      <c r="J3231" s="1" t="s">
        <v>48</v>
      </c>
      <c r="K3231" s="1">
        <v>70</v>
      </c>
      <c r="L3231" s="1">
        <v>0</v>
      </c>
      <c r="M3231" s="1">
        <v>0</v>
      </c>
      <c r="N3231" s="1">
        <v>70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 t="s">
        <v>49</v>
      </c>
      <c r="AA3231" s="1" t="s">
        <v>49</v>
      </c>
      <c r="AB3231" s="1" t="s">
        <v>49</v>
      </c>
      <c r="AC3231" s="1" t="s">
        <v>2000</v>
      </c>
      <c r="AD3231" s="1" t="s">
        <v>2001</v>
      </c>
      <c r="AE3231" s="1" t="s">
        <v>2000</v>
      </c>
      <c r="AF3231" s="1" t="s">
        <v>292</v>
      </c>
      <c r="AG3231" s="1" t="s">
        <v>53</v>
      </c>
      <c r="AH3231" s="1" t="s">
        <v>49</v>
      </c>
      <c r="AI3231" s="1" t="s">
        <v>54</v>
      </c>
      <c r="AJ3231" s="1">
        <v>1</v>
      </c>
      <c r="AK3231" s="1" t="str">
        <f t="shared" si="50"/>
        <v xml:space="preserve"> =&lt;90</v>
      </c>
      <c r="AL3231" s="1" t="str">
        <f>VLOOKUP(C:C,[1]基础信息!B$1:D$65536,3,0)</f>
        <v>Jug</v>
      </c>
      <c r="AM3231" s="1" t="str">
        <f>VLOOKUP(C:C,[1]基础信息!B$1:E$65536,4,0)</f>
        <v>Marella XL</v>
      </c>
      <c r="AN3231" s="1" t="str">
        <f>VLOOKUP(C:C,[1]基础信息!B$1:F$65536,5,0)</f>
        <v>Blue</v>
      </c>
    </row>
    <row r="3232" spans="1:40">
      <c r="A3232" s="1" t="s">
        <v>41</v>
      </c>
      <c r="B3232" s="1" t="s">
        <v>42</v>
      </c>
      <c r="C3232" s="1" t="s">
        <v>4352</v>
      </c>
      <c r="D3232" s="1" t="s">
        <v>4353</v>
      </c>
      <c r="E3232" s="1" t="s">
        <v>45</v>
      </c>
      <c r="F3232" s="1" t="s">
        <v>6083</v>
      </c>
      <c r="G3232" s="1" t="s">
        <v>7375</v>
      </c>
      <c r="H3232" s="1" t="s">
        <v>7376</v>
      </c>
      <c r="I3232" s="1" t="s">
        <v>49</v>
      </c>
      <c r="J3232" s="1" t="s">
        <v>48</v>
      </c>
      <c r="K3232" s="1">
        <v>336</v>
      </c>
      <c r="L3232" s="1">
        <v>0</v>
      </c>
      <c r="M3232" s="1">
        <v>0</v>
      </c>
      <c r="N3232" s="1">
        <v>336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 t="s">
        <v>49</v>
      </c>
      <c r="AA3232" s="1" t="s">
        <v>49</v>
      </c>
      <c r="AB3232" s="1" t="s">
        <v>49</v>
      </c>
      <c r="AC3232" s="1" t="s">
        <v>3264</v>
      </c>
      <c r="AD3232" s="1" t="s">
        <v>3265</v>
      </c>
      <c r="AE3232" s="1" t="s">
        <v>3264</v>
      </c>
      <c r="AF3232" s="1" t="s">
        <v>6086</v>
      </c>
      <c r="AG3232" s="1" t="s">
        <v>53</v>
      </c>
      <c r="AH3232" s="1" t="s">
        <v>49</v>
      </c>
      <c r="AI3232" s="1" t="s">
        <v>54</v>
      </c>
      <c r="AJ3232" s="1">
        <v>1</v>
      </c>
      <c r="AK3232" s="1" t="str">
        <f t="shared" si="50"/>
        <v xml:space="preserve"> =&lt;90</v>
      </c>
      <c r="AL3232" s="1" t="e">
        <f>VLOOKUP(C:C,[1]基础信息!B$1:D$65536,3,0)</f>
        <v>#N/A</v>
      </c>
      <c r="AM3232" s="1" t="e">
        <f>VLOOKUP(C:C,[1]基础信息!B$1:E$65536,4,0)</f>
        <v>#N/A</v>
      </c>
      <c r="AN3232" s="1" t="e">
        <f>VLOOKUP(C:C,[1]基础信息!B$1:F$65536,5,0)</f>
        <v>#N/A</v>
      </c>
    </row>
    <row r="3233" spans="1:40">
      <c r="A3233" s="1" t="s">
        <v>41</v>
      </c>
      <c r="B3233" s="1" t="s">
        <v>42</v>
      </c>
      <c r="C3233" s="1" t="s">
        <v>4352</v>
      </c>
      <c r="D3233" s="1" t="s">
        <v>4353</v>
      </c>
      <c r="E3233" s="1" t="s">
        <v>45</v>
      </c>
      <c r="F3233" s="1" t="s">
        <v>6083</v>
      </c>
      <c r="G3233" s="1" t="s">
        <v>7377</v>
      </c>
      <c r="H3233" s="1" t="s">
        <v>7378</v>
      </c>
      <c r="I3233" s="1" t="s">
        <v>49</v>
      </c>
      <c r="J3233" s="1" t="s">
        <v>48</v>
      </c>
      <c r="K3233" s="1">
        <v>336</v>
      </c>
      <c r="L3233" s="1">
        <v>0</v>
      </c>
      <c r="M3233" s="1">
        <v>0</v>
      </c>
      <c r="N3233" s="1">
        <v>336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 t="s">
        <v>49</v>
      </c>
      <c r="AA3233" s="1" t="s">
        <v>49</v>
      </c>
      <c r="AB3233" s="1" t="s">
        <v>49</v>
      </c>
      <c r="AC3233" s="1" t="s">
        <v>3264</v>
      </c>
      <c r="AD3233" s="1" t="s">
        <v>3265</v>
      </c>
      <c r="AE3233" s="1" t="s">
        <v>3264</v>
      </c>
      <c r="AF3233" s="1" t="s">
        <v>6086</v>
      </c>
      <c r="AG3233" s="1" t="s">
        <v>53</v>
      </c>
      <c r="AH3233" s="1" t="s">
        <v>49</v>
      </c>
      <c r="AI3233" s="1" t="s">
        <v>54</v>
      </c>
      <c r="AJ3233" s="1">
        <v>1</v>
      </c>
      <c r="AK3233" s="1" t="str">
        <f t="shared" si="50"/>
        <v xml:space="preserve"> =&lt;90</v>
      </c>
      <c r="AL3233" s="1" t="e">
        <f>VLOOKUP(C:C,[1]基础信息!B$1:D$65536,3,0)</f>
        <v>#N/A</v>
      </c>
      <c r="AM3233" s="1" t="e">
        <f>VLOOKUP(C:C,[1]基础信息!B$1:E$65536,4,0)</f>
        <v>#N/A</v>
      </c>
      <c r="AN3233" s="1" t="e">
        <f>VLOOKUP(C:C,[1]基础信息!B$1:F$65536,5,0)</f>
        <v>#N/A</v>
      </c>
    </row>
    <row r="3234" spans="1:40">
      <c r="A3234" s="1" t="s">
        <v>41</v>
      </c>
      <c r="B3234" s="1" t="s">
        <v>42</v>
      </c>
      <c r="C3234" s="1" t="s">
        <v>4352</v>
      </c>
      <c r="D3234" s="1" t="s">
        <v>4353</v>
      </c>
      <c r="E3234" s="1" t="s">
        <v>45</v>
      </c>
      <c r="F3234" s="1" t="s">
        <v>6083</v>
      </c>
      <c r="G3234" s="1" t="s">
        <v>7379</v>
      </c>
      <c r="H3234" s="1" t="s">
        <v>7380</v>
      </c>
      <c r="I3234" s="1" t="s">
        <v>49</v>
      </c>
      <c r="J3234" s="1" t="s">
        <v>48</v>
      </c>
      <c r="K3234" s="1">
        <v>336</v>
      </c>
      <c r="L3234" s="1">
        <v>0</v>
      </c>
      <c r="M3234" s="1">
        <v>0</v>
      </c>
      <c r="N3234" s="1">
        <v>336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 t="s">
        <v>49</v>
      </c>
      <c r="AA3234" s="1" t="s">
        <v>49</v>
      </c>
      <c r="AB3234" s="1" t="s">
        <v>49</v>
      </c>
      <c r="AC3234" s="1" t="s">
        <v>3264</v>
      </c>
      <c r="AD3234" s="1" t="s">
        <v>3265</v>
      </c>
      <c r="AE3234" s="1" t="s">
        <v>3264</v>
      </c>
      <c r="AF3234" s="1" t="s">
        <v>6086</v>
      </c>
      <c r="AG3234" s="1" t="s">
        <v>53</v>
      </c>
      <c r="AH3234" s="1" t="s">
        <v>49</v>
      </c>
      <c r="AI3234" s="1" t="s">
        <v>54</v>
      </c>
      <c r="AJ3234" s="1">
        <v>1</v>
      </c>
      <c r="AK3234" s="1" t="str">
        <f t="shared" si="50"/>
        <v xml:space="preserve"> =&lt;90</v>
      </c>
      <c r="AL3234" s="1" t="e">
        <f>VLOOKUP(C:C,[1]基础信息!B$1:D$65536,3,0)</f>
        <v>#N/A</v>
      </c>
      <c r="AM3234" s="1" t="e">
        <f>VLOOKUP(C:C,[1]基础信息!B$1:E$65536,4,0)</f>
        <v>#N/A</v>
      </c>
      <c r="AN3234" s="1" t="e">
        <f>VLOOKUP(C:C,[1]基础信息!B$1:F$65536,5,0)</f>
        <v>#N/A</v>
      </c>
    </row>
    <row r="3235" spans="1:40">
      <c r="A3235" s="1" t="s">
        <v>41</v>
      </c>
      <c r="B3235" s="1" t="s">
        <v>42</v>
      </c>
      <c r="C3235" s="1" t="s">
        <v>4352</v>
      </c>
      <c r="D3235" s="1" t="s">
        <v>4353</v>
      </c>
      <c r="E3235" s="1" t="s">
        <v>45</v>
      </c>
      <c r="F3235" s="1" t="s">
        <v>6083</v>
      </c>
      <c r="G3235" s="1" t="s">
        <v>7381</v>
      </c>
      <c r="H3235" s="1" t="s">
        <v>7382</v>
      </c>
      <c r="I3235" s="1" t="s">
        <v>49</v>
      </c>
      <c r="J3235" s="1" t="s">
        <v>48</v>
      </c>
      <c r="K3235" s="1">
        <v>336</v>
      </c>
      <c r="L3235" s="1">
        <v>0</v>
      </c>
      <c r="M3235" s="1">
        <v>0</v>
      </c>
      <c r="N3235" s="1">
        <v>336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 t="s">
        <v>49</v>
      </c>
      <c r="AA3235" s="1" t="s">
        <v>49</v>
      </c>
      <c r="AB3235" s="1" t="s">
        <v>49</v>
      </c>
      <c r="AC3235" s="1" t="s">
        <v>3264</v>
      </c>
      <c r="AD3235" s="1" t="s">
        <v>3265</v>
      </c>
      <c r="AE3235" s="1" t="s">
        <v>3264</v>
      </c>
      <c r="AF3235" s="1" t="s">
        <v>6086</v>
      </c>
      <c r="AG3235" s="1" t="s">
        <v>53</v>
      </c>
      <c r="AH3235" s="1" t="s">
        <v>49</v>
      </c>
      <c r="AI3235" s="1" t="s">
        <v>54</v>
      </c>
      <c r="AJ3235" s="1">
        <v>1</v>
      </c>
      <c r="AK3235" s="1" t="str">
        <f t="shared" si="50"/>
        <v xml:space="preserve"> =&lt;90</v>
      </c>
      <c r="AL3235" s="1" t="e">
        <f>VLOOKUP(C:C,[1]基础信息!B$1:D$65536,3,0)</f>
        <v>#N/A</v>
      </c>
      <c r="AM3235" s="1" t="e">
        <f>VLOOKUP(C:C,[1]基础信息!B$1:E$65536,4,0)</f>
        <v>#N/A</v>
      </c>
      <c r="AN3235" s="1" t="e">
        <f>VLOOKUP(C:C,[1]基础信息!B$1:F$65536,5,0)</f>
        <v>#N/A</v>
      </c>
    </row>
    <row r="3236" spans="1:40">
      <c r="A3236" s="1" t="s">
        <v>41</v>
      </c>
      <c r="B3236" s="1" t="s">
        <v>42</v>
      </c>
      <c r="C3236" s="1" t="s">
        <v>285</v>
      </c>
      <c r="D3236" s="1" t="s">
        <v>286</v>
      </c>
      <c r="E3236" s="1" t="s">
        <v>45</v>
      </c>
      <c r="F3236" s="1" t="s">
        <v>1997</v>
      </c>
      <c r="G3236" s="1" t="s">
        <v>7383</v>
      </c>
      <c r="H3236" s="1" t="s">
        <v>7384</v>
      </c>
      <c r="I3236" s="1" t="s">
        <v>49</v>
      </c>
      <c r="J3236" s="1" t="s">
        <v>48</v>
      </c>
      <c r="K3236" s="1">
        <v>70</v>
      </c>
      <c r="L3236" s="1">
        <v>0</v>
      </c>
      <c r="M3236" s="1">
        <v>0</v>
      </c>
      <c r="N3236" s="1">
        <v>70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 t="s">
        <v>49</v>
      </c>
      <c r="AA3236" s="1" t="s">
        <v>49</v>
      </c>
      <c r="AB3236" s="1" t="s">
        <v>49</v>
      </c>
      <c r="AC3236" s="1" t="s">
        <v>2000</v>
      </c>
      <c r="AD3236" s="1" t="s">
        <v>2001</v>
      </c>
      <c r="AE3236" s="1" t="s">
        <v>2000</v>
      </c>
      <c r="AF3236" s="1" t="s">
        <v>292</v>
      </c>
      <c r="AG3236" s="1" t="s">
        <v>53</v>
      </c>
      <c r="AH3236" s="1" t="s">
        <v>49</v>
      </c>
      <c r="AI3236" s="1" t="s">
        <v>54</v>
      </c>
      <c r="AJ3236" s="1">
        <v>1</v>
      </c>
      <c r="AK3236" s="1" t="str">
        <f t="shared" si="50"/>
        <v xml:space="preserve"> =&lt;90</v>
      </c>
      <c r="AL3236" s="1" t="str">
        <f>VLOOKUP(C:C,[1]基础信息!B$1:D$65536,3,0)</f>
        <v>Jug</v>
      </c>
      <c r="AM3236" s="1" t="str">
        <f>VLOOKUP(C:C,[1]基础信息!B$1:E$65536,4,0)</f>
        <v>Marella XL</v>
      </c>
      <c r="AN3236" s="1" t="str">
        <f>VLOOKUP(C:C,[1]基础信息!B$1:F$65536,5,0)</f>
        <v>Blue</v>
      </c>
    </row>
    <row r="3237" spans="1:40">
      <c r="A3237" s="1" t="s">
        <v>41</v>
      </c>
      <c r="B3237" s="1" t="s">
        <v>42</v>
      </c>
      <c r="C3237" s="1" t="s">
        <v>4352</v>
      </c>
      <c r="D3237" s="1" t="s">
        <v>4353</v>
      </c>
      <c r="E3237" s="1" t="s">
        <v>45</v>
      </c>
      <c r="F3237" s="1" t="s">
        <v>6083</v>
      </c>
      <c r="G3237" s="1" t="s">
        <v>7385</v>
      </c>
      <c r="H3237" s="1" t="s">
        <v>7386</v>
      </c>
      <c r="I3237" s="1" t="s">
        <v>49</v>
      </c>
      <c r="J3237" s="1" t="s">
        <v>48</v>
      </c>
      <c r="K3237" s="1">
        <v>336</v>
      </c>
      <c r="L3237" s="1">
        <v>0</v>
      </c>
      <c r="M3237" s="1">
        <v>0</v>
      </c>
      <c r="N3237" s="1">
        <v>336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 t="s">
        <v>49</v>
      </c>
      <c r="AA3237" s="1" t="s">
        <v>49</v>
      </c>
      <c r="AB3237" s="1" t="s">
        <v>49</v>
      </c>
      <c r="AC3237" s="1" t="s">
        <v>3264</v>
      </c>
      <c r="AD3237" s="1" t="s">
        <v>3265</v>
      </c>
      <c r="AE3237" s="1" t="s">
        <v>3264</v>
      </c>
      <c r="AF3237" s="1" t="s">
        <v>6086</v>
      </c>
      <c r="AG3237" s="1" t="s">
        <v>53</v>
      </c>
      <c r="AH3237" s="1" t="s">
        <v>49</v>
      </c>
      <c r="AI3237" s="1" t="s">
        <v>54</v>
      </c>
      <c r="AJ3237" s="1">
        <v>1</v>
      </c>
      <c r="AK3237" s="1" t="str">
        <f t="shared" si="50"/>
        <v xml:space="preserve"> =&lt;90</v>
      </c>
      <c r="AL3237" s="1" t="e">
        <f>VLOOKUP(C:C,[1]基础信息!B$1:D$65536,3,0)</f>
        <v>#N/A</v>
      </c>
      <c r="AM3237" s="1" t="e">
        <f>VLOOKUP(C:C,[1]基础信息!B$1:E$65536,4,0)</f>
        <v>#N/A</v>
      </c>
      <c r="AN3237" s="1" t="e">
        <f>VLOOKUP(C:C,[1]基础信息!B$1:F$65536,5,0)</f>
        <v>#N/A</v>
      </c>
    </row>
    <row r="3238" spans="1:40">
      <c r="A3238" s="1" t="s">
        <v>41</v>
      </c>
      <c r="B3238" s="1" t="s">
        <v>42</v>
      </c>
      <c r="C3238" s="1" t="s">
        <v>4352</v>
      </c>
      <c r="D3238" s="1" t="s">
        <v>4353</v>
      </c>
      <c r="E3238" s="1" t="s">
        <v>45</v>
      </c>
      <c r="F3238" s="1" t="s">
        <v>6083</v>
      </c>
      <c r="G3238" s="1" t="s">
        <v>7387</v>
      </c>
      <c r="H3238" s="1" t="s">
        <v>7388</v>
      </c>
      <c r="I3238" s="1" t="s">
        <v>49</v>
      </c>
      <c r="J3238" s="1" t="s">
        <v>48</v>
      </c>
      <c r="K3238" s="1">
        <v>336</v>
      </c>
      <c r="L3238" s="1">
        <v>0</v>
      </c>
      <c r="M3238" s="1">
        <v>0</v>
      </c>
      <c r="N3238" s="1">
        <v>336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 t="s">
        <v>49</v>
      </c>
      <c r="AA3238" s="1" t="s">
        <v>49</v>
      </c>
      <c r="AB3238" s="1" t="s">
        <v>49</v>
      </c>
      <c r="AC3238" s="1" t="s">
        <v>3264</v>
      </c>
      <c r="AD3238" s="1" t="s">
        <v>3265</v>
      </c>
      <c r="AE3238" s="1" t="s">
        <v>3264</v>
      </c>
      <c r="AF3238" s="1" t="s">
        <v>6086</v>
      </c>
      <c r="AG3238" s="1" t="s">
        <v>53</v>
      </c>
      <c r="AH3238" s="1" t="s">
        <v>49</v>
      </c>
      <c r="AI3238" s="1" t="s">
        <v>54</v>
      </c>
      <c r="AJ3238" s="1">
        <v>1</v>
      </c>
      <c r="AK3238" s="1" t="str">
        <f t="shared" si="50"/>
        <v xml:space="preserve"> =&lt;90</v>
      </c>
      <c r="AL3238" s="1" t="e">
        <f>VLOOKUP(C:C,[1]基础信息!B$1:D$65536,3,0)</f>
        <v>#N/A</v>
      </c>
      <c r="AM3238" s="1" t="e">
        <f>VLOOKUP(C:C,[1]基础信息!B$1:E$65536,4,0)</f>
        <v>#N/A</v>
      </c>
      <c r="AN3238" s="1" t="e">
        <f>VLOOKUP(C:C,[1]基础信息!B$1:F$65536,5,0)</f>
        <v>#N/A</v>
      </c>
    </row>
    <row r="3239" spans="1:40">
      <c r="A3239" s="1" t="s">
        <v>41</v>
      </c>
      <c r="B3239" s="1" t="s">
        <v>42</v>
      </c>
      <c r="C3239" s="1" t="s">
        <v>4258</v>
      </c>
      <c r="D3239" s="1" t="s">
        <v>4259</v>
      </c>
      <c r="E3239" s="1" t="s">
        <v>45</v>
      </c>
      <c r="F3239" s="1" t="s">
        <v>7389</v>
      </c>
      <c r="G3239" s="1" t="s">
        <v>7390</v>
      </c>
      <c r="H3239" s="1" t="s">
        <v>7391</v>
      </c>
      <c r="I3239" s="1" t="s">
        <v>49</v>
      </c>
      <c r="J3239" s="1" t="s">
        <v>48</v>
      </c>
      <c r="K3239" s="1">
        <v>205</v>
      </c>
      <c r="L3239" s="1">
        <v>0</v>
      </c>
      <c r="M3239" s="1">
        <v>0</v>
      </c>
      <c r="N3239" s="1">
        <v>205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 t="s">
        <v>49</v>
      </c>
      <c r="AA3239" s="1" t="s">
        <v>49</v>
      </c>
      <c r="AB3239" s="1" t="s">
        <v>49</v>
      </c>
      <c r="AC3239" s="1" t="s">
        <v>2658</v>
      </c>
      <c r="AD3239" s="1" t="s">
        <v>2659</v>
      </c>
      <c r="AE3239" s="1" t="s">
        <v>2658</v>
      </c>
      <c r="AF3239" s="1" t="s">
        <v>7392</v>
      </c>
      <c r="AG3239" s="1" t="s">
        <v>53</v>
      </c>
      <c r="AH3239" s="1" t="s">
        <v>49</v>
      </c>
      <c r="AI3239" s="1" t="s">
        <v>54</v>
      </c>
      <c r="AJ3239" s="1">
        <v>1</v>
      </c>
      <c r="AK3239" s="1" t="str">
        <f t="shared" si="50"/>
        <v xml:space="preserve"> =&lt;90</v>
      </c>
      <c r="AL3239" s="1" t="e">
        <f>VLOOKUP(C:C,[1]基础信息!B$1:D$65536,3,0)</f>
        <v>#N/A</v>
      </c>
      <c r="AM3239" s="1" t="e">
        <f>VLOOKUP(C:C,[1]基础信息!B$1:E$65536,4,0)</f>
        <v>#N/A</v>
      </c>
      <c r="AN3239" s="1" t="e">
        <f>VLOOKUP(C:C,[1]基础信息!B$1:F$65536,5,0)</f>
        <v>#N/A</v>
      </c>
    </row>
    <row r="3240" spans="1:40">
      <c r="A3240" s="1" t="s">
        <v>41</v>
      </c>
      <c r="B3240" s="1" t="s">
        <v>42</v>
      </c>
      <c r="C3240" s="1" t="s">
        <v>285</v>
      </c>
      <c r="D3240" s="1" t="s">
        <v>286</v>
      </c>
      <c r="E3240" s="1" t="s">
        <v>45</v>
      </c>
      <c r="F3240" s="1" t="s">
        <v>1997</v>
      </c>
      <c r="G3240" s="1" t="s">
        <v>7393</v>
      </c>
      <c r="H3240" s="1" t="s">
        <v>7394</v>
      </c>
      <c r="I3240" s="1" t="s">
        <v>49</v>
      </c>
      <c r="J3240" s="1" t="s">
        <v>48</v>
      </c>
      <c r="K3240" s="1">
        <v>70</v>
      </c>
      <c r="L3240" s="1">
        <v>0</v>
      </c>
      <c r="M3240" s="1">
        <v>0</v>
      </c>
      <c r="N3240" s="1">
        <v>70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 t="s">
        <v>49</v>
      </c>
      <c r="AA3240" s="1" t="s">
        <v>49</v>
      </c>
      <c r="AB3240" s="1" t="s">
        <v>49</v>
      </c>
      <c r="AC3240" s="1" t="s">
        <v>2000</v>
      </c>
      <c r="AD3240" s="1" t="s">
        <v>2001</v>
      </c>
      <c r="AE3240" s="1" t="s">
        <v>2000</v>
      </c>
      <c r="AF3240" s="1" t="s">
        <v>292</v>
      </c>
      <c r="AG3240" s="1" t="s">
        <v>53</v>
      </c>
      <c r="AH3240" s="1" t="s">
        <v>49</v>
      </c>
      <c r="AI3240" s="1" t="s">
        <v>54</v>
      </c>
      <c r="AJ3240" s="1">
        <v>1</v>
      </c>
      <c r="AK3240" s="1" t="str">
        <f t="shared" si="50"/>
        <v xml:space="preserve"> =&lt;90</v>
      </c>
      <c r="AL3240" s="1" t="str">
        <f>VLOOKUP(C:C,[1]基础信息!B$1:D$65536,3,0)</f>
        <v>Jug</v>
      </c>
      <c r="AM3240" s="1" t="str">
        <f>VLOOKUP(C:C,[1]基础信息!B$1:E$65536,4,0)</f>
        <v>Marella XL</v>
      </c>
      <c r="AN3240" s="1" t="str">
        <f>VLOOKUP(C:C,[1]基础信息!B$1:F$65536,5,0)</f>
        <v>Blue</v>
      </c>
    </row>
    <row r="3241" spans="1:40">
      <c r="A3241" s="1" t="s">
        <v>41</v>
      </c>
      <c r="B3241" s="1" t="s">
        <v>42</v>
      </c>
      <c r="C3241" s="1" t="s">
        <v>4258</v>
      </c>
      <c r="D3241" s="1" t="s">
        <v>4259</v>
      </c>
      <c r="E3241" s="1" t="s">
        <v>45</v>
      </c>
      <c r="F3241" s="1" t="s">
        <v>7389</v>
      </c>
      <c r="G3241" s="1" t="s">
        <v>7395</v>
      </c>
      <c r="H3241" s="1" t="s">
        <v>7396</v>
      </c>
      <c r="I3241" s="1" t="s">
        <v>49</v>
      </c>
      <c r="J3241" s="1" t="s">
        <v>48</v>
      </c>
      <c r="K3241" s="1">
        <v>216</v>
      </c>
      <c r="L3241" s="1">
        <v>0</v>
      </c>
      <c r="M3241" s="1">
        <v>0</v>
      </c>
      <c r="N3241" s="1">
        <v>216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 t="s">
        <v>49</v>
      </c>
      <c r="AA3241" s="1" t="s">
        <v>49</v>
      </c>
      <c r="AB3241" s="1" t="s">
        <v>49</v>
      </c>
      <c r="AC3241" s="1" t="s">
        <v>2658</v>
      </c>
      <c r="AD3241" s="1" t="s">
        <v>2659</v>
      </c>
      <c r="AE3241" s="1" t="s">
        <v>2658</v>
      </c>
      <c r="AF3241" s="1" t="s">
        <v>7392</v>
      </c>
      <c r="AG3241" s="1" t="s">
        <v>53</v>
      </c>
      <c r="AH3241" s="1" t="s">
        <v>49</v>
      </c>
      <c r="AI3241" s="1" t="s">
        <v>54</v>
      </c>
      <c r="AJ3241" s="1">
        <v>1</v>
      </c>
      <c r="AK3241" s="1" t="str">
        <f t="shared" si="50"/>
        <v xml:space="preserve"> =&lt;90</v>
      </c>
      <c r="AL3241" s="1" t="e">
        <f>VLOOKUP(C:C,[1]基础信息!B$1:D$65536,3,0)</f>
        <v>#N/A</v>
      </c>
      <c r="AM3241" s="1" t="e">
        <f>VLOOKUP(C:C,[1]基础信息!B$1:E$65536,4,0)</f>
        <v>#N/A</v>
      </c>
      <c r="AN3241" s="1" t="e">
        <f>VLOOKUP(C:C,[1]基础信息!B$1:F$65536,5,0)</f>
        <v>#N/A</v>
      </c>
    </row>
    <row r="3242" spans="1:40">
      <c r="A3242" s="1" t="s">
        <v>41</v>
      </c>
      <c r="B3242" s="1" t="s">
        <v>42</v>
      </c>
      <c r="C3242" s="1" t="s">
        <v>4352</v>
      </c>
      <c r="D3242" s="1" t="s">
        <v>4353</v>
      </c>
      <c r="E3242" s="1" t="s">
        <v>45</v>
      </c>
      <c r="F3242" s="1" t="s">
        <v>6083</v>
      </c>
      <c r="G3242" s="1" t="s">
        <v>7397</v>
      </c>
      <c r="H3242" s="1" t="s">
        <v>7398</v>
      </c>
      <c r="I3242" s="1" t="s">
        <v>49</v>
      </c>
      <c r="J3242" s="1" t="s">
        <v>48</v>
      </c>
      <c r="K3242" s="1">
        <v>336</v>
      </c>
      <c r="L3242" s="1">
        <v>0</v>
      </c>
      <c r="M3242" s="1">
        <v>0</v>
      </c>
      <c r="N3242" s="1">
        <v>336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 t="s">
        <v>49</v>
      </c>
      <c r="AA3242" s="1" t="s">
        <v>49</v>
      </c>
      <c r="AB3242" s="1" t="s">
        <v>49</v>
      </c>
      <c r="AC3242" s="1" t="s">
        <v>3264</v>
      </c>
      <c r="AD3242" s="1" t="s">
        <v>3265</v>
      </c>
      <c r="AE3242" s="1" t="s">
        <v>3264</v>
      </c>
      <c r="AF3242" s="1" t="s">
        <v>6086</v>
      </c>
      <c r="AG3242" s="1" t="s">
        <v>53</v>
      </c>
      <c r="AH3242" s="1" t="s">
        <v>49</v>
      </c>
      <c r="AI3242" s="1" t="s">
        <v>54</v>
      </c>
      <c r="AJ3242" s="1">
        <v>1</v>
      </c>
      <c r="AK3242" s="1" t="str">
        <f t="shared" si="50"/>
        <v xml:space="preserve"> =&lt;90</v>
      </c>
      <c r="AL3242" s="1" t="e">
        <f>VLOOKUP(C:C,[1]基础信息!B$1:D$65536,3,0)</f>
        <v>#N/A</v>
      </c>
      <c r="AM3242" s="1" t="e">
        <f>VLOOKUP(C:C,[1]基础信息!B$1:E$65536,4,0)</f>
        <v>#N/A</v>
      </c>
      <c r="AN3242" s="1" t="e">
        <f>VLOOKUP(C:C,[1]基础信息!B$1:F$65536,5,0)</f>
        <v>#N/A</v>
      </c>
    </row>
    <row r="3243" spans="1:40">
      <c r="A3243" s="1" t="s">
        <v>41</v>
      </c>
      <c r="B3243" s="1" t="s">
        <v>42</v>
      </c>
      <c r="C3243" s="1" t="s">
        <v>4352</v>
      </c>
      <c r="D3243" s="1" t="s">
        <v>4353</v>
      </c>
      <c r="E3243" s="1" t="s">
        <v>45</v>
      </c>
      <c r="F3243" s="1" t="s">
        <v>6083</v>
      </c>
      <c r="G3243" s="1" t="s">
        <v>7399</v>
      </c>
      <c r="H3243" s="1" t="s">
        <v>7400</v>
      </c>
      <c r="I3243" s="1" t="s">
        <v>49</v>
      </c>
      <c r="J3243" s="1" t="s">
        <v>48</v>
      </c>
      <c r="K3243" s="1">
        <v>336</v>
      </c>
      <c r="L3243" s="1">
        <v>0</v>
      </c>
      <c r="M3243" s="1">
        <v>0</v>
      </c>
      <c r="N3243" s="1">
        <v>336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 t="s">
        <v>49</v>
      </c>
      <c r="AA3243" s="1" t="s">
        <v>49</v>
      </c>
      <c r="AB3243" s="1" t="s">
        <v>49</v>
      </c>
      <c r="AC3243" s="1" t="s">
        <v>3264</v>
      </c>
      <c r="AD3243" s="1" t="s">
        <v>3265</v>
      </c>
      <c r="AE3243" s="1" t="s">
        <v>3264</v>
      </c>
      <c r="AF3243" s="1" t="s">
        <v>6086</v>
      </c>
      <c r="AG3243" s="1" t="s">
        <v>53</v>
      </c>
      <c r="AH3243" s="1" t="s">
        <v>49</v>
      </c>
      <c r="AI3243" s="1" t="s">
        <v>54</v>
      </c>
      <c r="AJ3243" s="1">
        <v>1</v>
      </c>
      <c r="AK3243" s="1" t="str">
        <f t="shared" si="50"/>
        <v xml:space="preserve"> =&lt;90</v>
      </c>
      <c r="AL3243" s="1" t="e">
        <f>VLOOKUP(C:C,[1]基础信息!B$1:D$65536,3,0)</f>
        <v>#N/A</v>
      </c>
      <c r="AM3243" s="1" t="e">
        <f>VLOOKUP(C:C,[1]基础信息!B$1:E$65536,4,0)</f>
        <v>#N/A</v>
      </c>
      <c r="AN3243" s="1" t="e">
        <f>VLOOKUP(C:C,[1]基础信息!B$1:F$65536,5,0)</f>
        <v>#N/A</v>
      </c>
    </row>
    <row r="3244" spans="1:40">
      <c r="A3244" s="1" t="s">
        <v>41</v>
      </c>
      <c r="B3244" s="1" t="s">
        <v>42</v>
      </c>
      <c r="C3244" s="1" t="s">
        <v>285</v>
      </c>
      <c r="D3244" s="1" t="s">
        <v>286</v>
      </c>
      <c r="E3244" s="1" t="s">
        <v>45</v>
      </c>
      <c r="F3244" s="1" t="s">
        <v>1997</v>
      </c>
      <c r="G3244" s="1" t="s">
        <v>7401</v>
      </c>
      <c r="H3244" s="1" t="s">
        <v>7402</v>
      </c>
      <c r="I3244" s="1" t="s">
        <v>49</v>
      </c>
      <c r="J3244" s="1" t="s">
        <v>48</v>
      </c>
      <c r="K3244" s="1">
        <v>70</v>
      </c>
      <c r="L3244" s="1">
        <v>0</v>
      </c>
      <c r="M3244" s="1">
        <v>0</v>
      </c>
      <c r="N3244" s="1">
        <v>70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 t="s">
        <v>49</v>
      </c>
      <c r="AA3244" s="1" t="s">
        <v>49</v>
      </c>
      <c r="AB3244" s="1" t="s">
        <v>49</v>
      </c>
      <c r="AC3244" s="1" t="s">
        <v>2000</v>
      </c>
      <c r="AD3244" s="1" t="s">
        <v>2001</v>
      </c>
      <c r="AE3244" s="1" t="s">
        <v>2000</v>
      </c>
      <c r="AF3244" s="1" t="s">
        <v>292</v>
      </c>
      <c r="AG3244" s="1" t="s">
        <v>53</v>
      </c>
      <c r="AH3244" s="1" t="s">
        <v>49</v>
      </c>
      <c r="AI3244" s="1" t="s">
        <v>54</v>
      </c>
      <c r="AJ3244" s="1">
        <v>1</v>
      </c>
      <c r="AK3244" s="1" t="str">
        <f t="shared" si="50"/>
        <v xml:space="preserve"> =&lt;90</v>
      </c>
      <c r="AL3244" s="1" t="str">
        <f>VLOOKUP(C:C,[1]基础信息!B$1:D$65536,3,0)</f>
        <v>Jug</v>
      </c>
      <c r="AM3244" s="1" t="str">
        <f>VLOOKUP(C:C,[1]基础信息!B$1:E$65536,4,0)</f>
        <v>Marella XL</v>
      </c>
      <c r="AN3244" s="1" t="str">
        <f>VLOOKUP(C:C,[1]基础信息!B$1:F$65536,5,0)</f>
        <v>Blue</v>
      </c>
    </row>
    <row r="3245" spans="1:40">
      <c r="A3245" s="1" t="s">
        <v>41</v>
      </c>
      <c r="B3245" s="1" t="s">
        <v>42</v>
      </c>
      <c r="C3245" s="1" t="s">
        <v>285</v>
      </c>
      <c r="D3245" s="1" t="s">
        <v>286</v>
      </c>
      <c r="E3245" s="1" t="s">
        <v>45</v>
      </c>
      <c r="F3245" s="1" t="s">
        <v>1997</v>
      </c>
      <c r="G3245" s="1" t="s">
        <v>7403</v>
      </c>
      <c r="H3245" s="1" t="s">
        <v>7404</v>
      </c>
      <c r="I3245" s="1" t="s">
        <v>49</v>
      </c>
      <c r="J3245" s="1" t="s">
        <v>48</v>
      </c>
      <c r="K3245" s="1">
        <v>70</v>
      </c>
      <c r="L3245" s="1">
        <v>0</v>
      </c>
      <c r="M3245" s="1">
        <v>0</v>
      </c>
      <c r="N3245" s="1">
        <v>70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 t="s">
        <v>49</v>
      </c>
      <c r="AA3245" s="1" t="s">
        <v>49</v>
      </c>
      <c r="AB3245" s="1" t="s">
        <v>49</v>
      </c>
      <c r="AC3245" s="1" t="s">
        <v>2000</v>
      </c>
      <c r="AD3245" s="1" t="s">
        <v>2001</v>
      </c>
      <c r="AE3245" s="1" t="s">
        <v>2000</v>
      </c>
      <c r="AF3245" s="1" t="s">
        <v>292</v>
      </c>
      <c r="AG3245" s="1" t="s">
        <v>53</v>
      </c>
      <c r="AH3245" s="1" t="s">
        <v>49</v>
      </c>
      <c r="AI3245" s="1" t="s">
        <v>54</v>
      </c>
      <c r="AJ3245" s="1">
        <v>1</v>
      </c>
      <c r="AK3245" s="1" t="str">
        <f t="shared" si="50"/>
        <v xml:space="preserve"> =&lt;90</v>
      </c>
      <c r="AL3245" s="1" t="str">
        <f>VLOOKUP(C:C,[1]基础信息!B$1:D$65536,3,0)</f>
        <v>Jug</v>
      </c>
      <c r="AM3245" s="1" t="str">
        <f>VLOOKUP(C:C,[1]基础信息!B$1:E$65536,4,0)</f>
        <v>Marella XL</v>
      </c>
      <c r="AN3245" s="1" t="str">
        <f>VLOOKUP(C:C,[1]基础信息!B$1:F$65536,5,0)</f>
        <v>Blue</v>
      </c>
    </row>
    <row r="3246" spans="1:40">
      <c r="A3246" s="1" t="s">
        <v>41</v>
      </c>
      <c r="B3246" s="1" t="s">
        <v>42</v>
      </c>
      <c r="C3246" s="1" t="s">
        <v>4352</v>
      </c>
      <c r="D3246" s="1" t="s">
        <v>4353</v>
      </c>
      <c r="E3246" s="1" t="s">
        <v>45</v>
      </c>
      <c r="F3246" s="1" t="s">
        <v>6083</v>
      </c>
      <c r="G3246" s="1" t="s">
        <v>7405</v>
      </c>
      <c r="H3246" s="1" t="s">
        <v>7406</v>
      </c>
      <c r="I3246" s="1" t="s">
        <v>49</v>
      </c>
      <c r="J3246" s="1" t="s">
        <v>48</v>
      </c>
      <c r="K3246" s="1">
        <v>336</v>
      </c>
      <c r="L3246" s="1">
        <v>0</v>
      </c>
      <c r="M3246" s="1">
        <v>0</v>
      </c>
      <c r="N3246" s="1">
        <v>336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 t="s">
        <v>49</v>
      </c>
      <c r="AA3246" s="1" t="s">
        <v>49</v>
      </c>
      <c r="AB3246" s="1" t="s">
        <v>49</v>
      </c>
      <c r="AC3246" s="1" t="s">
        <v>3264</v>
      </c>
      <c r="AD3246" s="1" t="s">
        <v>3265</v>
      </c>
      <c r="AE3246" s="1" t="s">
        <v>3264</v>
      </c>
      <c r="AF3246" s="1" t="s">
        <v>6086</v>
      </c>
      <c r="AG3246" s="1" t="s">
        <v>53</v>
      </c>
      <c r="AH3246" s="1" t="s">
        <v>49</v>
      </c>
      <c r="AI3246" s="1" t="s">
        <v>54</v>
      </c>
      <c r="AJ3246" s="1">
        <v>1</v>
      </c>
      <c r="AK3246" s="1" t="str">
        <f t="shared" si="50"/>
        <v xml:space="preserve"> =&lt;90</v>
      </c>
      <c r="AL3246" s="1" t="e">
        <f>VLOOKUP(C:C,[1]基础信息!B$1:D$65536,3,0)</f>
        <v>#N/A</v>
      </c>
      <c r="AM3246" s="1" t="e">
        <f>VLOOKUP(C:C,[1]基础信息!B$1:E$65536,4,0)</f>
        <v>#N/A</v>
      </c>
      <c r="AN3246" s="1" t="e">
        <f>VLOOKUP(C:C,[1]基础信息!B$1:F$65536,5,0)</f>
        <v>#N/A</v>
      </c>
    </row>
    <row r="3247" spans="1:40">
      <c r="A3247" s="1" t="s">
        <v>41</v>
      </c>
      <c r="B3247" s="1" t="s">
        <v>42</v>
      </c>
      <c r="C3247" s="1" t="s">
        <v>4352</v>
      </c>
      <c r="D3247" s="1" t="s">
        <v>4353</v>
      </c>
      <c r="E3247" s="1" t="s">
        <v>45</v>
      </c>
      <c r="F3247" s="1" t="s">
        <v>6083</v>
      </c>
      <c r="G3247" s="1" t="s">
        <v>7407</v>
      </c>
      <c r="H3247" s="1" t="s">
        <v>7408</v>
      </c>
      <c r="I3247" s="1" t="s">
        <v>49</v>
      </c>
      <c r="J3247" s="1" t="s">
        <v>48</v>
      </c>
      <c r="K3247" s="1">
        <v>336</v>
      </c>
      <c r="L3247" s="1">
        <v>0</v>
      </c>
      <c r="M3247" s="1">
        <v>0</v>
      </c>
      <c r="N3247" s="1">
        <v>336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 t="s">
        <v>49</v>
      </c>
      <c r="AA3247" s="1" t="s">
        <v>49</v>
      </c>
      <c r="AB3247" s="1" t="s">
        <v>49</v>
      </c>
      <c r="AC3247" s="1" t="s">
        <v>3264</v>
      </c>
      <c r="AD3247" s="1" t="s">
        <v>3265</v>
      </c>
      <c r="AE3247" s="1" t="s">
        <v>3264</v>
      </c>
      <c r="AF3247" s="1" t="s">
        <v>6086</v>
      </c>
      <c r="AG3247" s="1" t="s">
        <v>53</v>
      </c>
      <c r="AH3247" s="1" t="s">
        <v>49</v>
      </c>
      <c r="AI3247" s="1" t="s">
        <v>54</v>
      </c>
      <c r="AJ3247" s="1">
        <v>1</v>
      </c>
      <c r="AK3247" s="1" t="str">
        <f t="shared" si="50"/>
        <v xml:space="preserve"> =&lt;90</v>
      </c>
      <c r="AL3247" s="1" t="e">
        <f>VLOOKUP(C:C,[1]基础信息!B$1:D$65536,3,0)</f>
        <v>#N/A</v>
      </c>
      <c r="AM3247" s="1" t="e">
        <f>VLOOKUP(C:C,[1]基础信息!B$1:E$65536,4,0)</f>
        <v>#N/A</v>
      </c>
      <c r="AN3247" s="1" t="e">
        <f>VLOOKUP(C:C,[1]基础信息!B$1:F$65536,5,0)</f>
        <v>#N/A</v>
      </c>
    </row>
    <row r="3248" spans="1:40">
      <c r="A3248" s="1" t="s">
        <v>41</v>
      </c>
      <c r="B3248" s="1" t="s">
        <v>42</v>
      </c>
      <c r="C3248" s="1" t="s">
        <v>4352</v>
      </c>
      <c r="D3248" s="1" t="s">
        <v>4353</v>
      </c>
      <c r="E3248" s="1" t="s">
        <v>45</v>
      </c>
      <c r="F3248" s="1" t="s">
        <v>6083</v>
      </c>
      <c r="G3248" s="1" t="s">
        <v>7409</v>
      </c>
      <c r="H3248" s="1" t="s">
        <v>7410</v>
      </c>
      <c r="I3248" s="1" t="s">
        <v>49</v>
      </c>
      <c r="J3248" s="1" t="s">
        <v>48</v>
      </c>
      <c r="K3248" s="1">
        <v>336</v>
      </c>
      <c r="L3248" s="1">
        <v>0</v>
      </c>
      <c r="M3248" s="1">
        <v>0</v>
      </c>
      <c r="N3248" s="1">
        <v>336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 t="s">
        <v>49</v>
      </c>
      <c r="AA3248" s="1" t="s">
        <v>49</v>
      </c>
      <c r="AB3248" s="1" t="s">
        <v>49</v>
      </c>
      <c r="AC3248" s="1" t="s">
        <v>3264</v>
      </c>
      <c r="AD3248" s="1" t="s">
        <v>3265</v>
      </c>
      <c r="AE3248" s="1" t="s">
        <v>3264</v>
      </c>
      <c r="AF3248" s="1" t="s">
        <v>6086</v>
      </c>
      <c r="AG3248" s="1" t="s">
        <v>53</v>
      </c>
      <c r="AH3248" s="1" t="s">
        <v>49</v>
      </c>
      <c r="AI3248" s="1" t="s">
        <v>54</v>
      </c>
      <c r="AJ3248" s="1">
        <v>1</v>
      </c>
      <c r="AK3248" s="1" t="str">
        <f t="shared" si="50"/>
        <v xml:space="preserve"> =&lt;90</v>
      </c>
      <c r="AL3248" s="1" t="e">
        <f>VLOOKUP(C:C,[1]基础信息!B$1:D$65536,3,0)</f>
        <v>#N/A</v>
      </c>
      <c r="AM3248" s="1" t="e">
        <f>VLOOKUP(C:C,[1]基础信息!B$1:E$65536,4,0)</f>
        <v>#N/A</v>
      </c>
      <c r="AN3248" s="1" t="e">
        <f>VLOOKUP(C:C,[1]基础信息!B$1:F$65536,5,0)</f>
        <v>#N/A</v>
      </c>
    </row>
    <row r="3249" spans="1:40">
      <c r="A3249" s="1" t="s">
        <v>41</v>
      </c>
      <c r="B3249" s="1" t="s">
        <v>42</v>
      </c>
      <c r="C3249" s="1" t="s">
        <v>285</v>
      </c>
      <c r="D3249" s="1" t="s">
        <v>286</v>
      </c>
      <c r="E3249" s="1" t="s">
        <v>45</v>
      </c>
      <c r="F3249" s="1" t="s">
        <v>1997</v>
      </c>
      <c r="G3249" s="1" t="s">
        <v>7411</v>
      </c>
      <c r="H3249" s="1" t="s">
        <v>7412</v>
      </c>
      <c r="I3249" s="1" t="s">
        <v>49</v>
      </c>
      <c r="J3249" s="1" t="s">
        <v>48</v>
      </c>
      <c r="K3249" s="1">
        <v>70</v>
      </c>
      <c r="L3249" s="1">
        <v>0</v>
      </c>
      <c r="M3249" s="1">
        <v>0</v>
      </c>
      <c r="N3249" s="1">
        <v>70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 t="s">
        <v>49</v>
      </c>
      <c r="AA3249" s="1" t="s">
        <v>49</v>
      </c>
      <c r="AB3249" s="1" t="s">
        <v>49</v>
      </c>
      <c r="AC3249" s="1" t="s">
        <v>2000</v>
      </c>
      <c r="AD3249" s="1" t="s">
        <v>2001</v>
      </c>
      <c r="AE3249" s="1" t="s">
        <v>2000</v>
      </c>
      <c r="AF3249" s="1" t="s">
        <v>292</v>
      </c>
      <c r="AG3249" s="1" t="s">
        <v>53</v>
      </c>
      <c r="AH3249" s="1" t="s">
        <v>49</v>
      </c>
      <c r="AI3249" s="1" t="s">
        <v>54</v>
      </c>
      <c r="AJ3249" s="1">
        <v>1</v>
      </c>
      <c r="AK3249" s="1" t="str">
        <f t="shared" si="50"/>
        <v xml:space="preserve"> =&lt;90</v>
      </c>
      <c r="AL3249" s="1" t="str">
        <f>VLOOKUP(C:C,[1]基础信息!B$1:D$65536,3,0)</f>
        <v>Jug</v>
      </c>
      <c r="AM3249" s="1" t="str">
        <f>VLOOKUP(C:C,[1]基础信息!B$1:E$65536,4,0)</f>
        <v>Marella XL</v>
      </c>
      <c r="AN3249" s="1" t="str">
        <f>VLOOKUP(C:C,[1]基础信息!B$1:F$65536,5,0)</f>
        <v>Blue</v>
      </c>
    </row>
    <row r="3250" spans="1:40">
      <c r="A3250" s="1" t="s">
        <v>41</v>
      </c>
      <c r="B3250" s="1" t="s">
        <v>42</v>
      </c>
      <c r="C3250" s="1" t="s">
        <v>4352</v>
      </c>
      <c r="D3250" s="1" t="s">
        <v>4353</v>
      </c>
      <c r="E3250" s="1" t="s">
        <v>45</v>
      </c>
      <c r="F3250" s="1" t="s">
        <v>6083</v>
      </c>
      <c r="G3250" s="1" t="s">
        <v>7413</v>
      </c>
      <c r="H3250" s="1" t="s">
        <v>7414</v>
      </c>
      <c r="I3250" s="1" t="s">
        <v>49</v>
      </c>
      <c r="J3250" s="1" t="s">
        <v>48</v>
      </c>
      <c r="K3250" s="1">
        <v>336</v>
      </c>
      <c r="L3250" s="1">
        <v>0</v>
      </c>
      <c r="M3250" s="1">
        <v>0</v>
      </c>
      <c r="N3250" s="1">
        <v>336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 t="s">
        <v>49</v>
      </c>
      <c r="AA3250" s="1" t="s">
        <v>49</v>
      </c>
      <c r="AB3250" s="1" t="s">
        <v>49</v>
      </c>
      <c r="AC3250" s="1" t="s">
        <v>3264</v>
      </c>
      <c r="AD3250" s="1" t="s">
        <v>3265</v>
      </c>
      <c r="AE3250" s="1" t="s">
        <v>3264</v>
      </c>
      <c r="AF3250" s="1" t="s">
        <v>6086</v>
      </c>
      <c r="AG3250" s="1" t="s">
        <v>53</v>
      </c>
      <c r="AH3250" s="1" t="s">
        <v>49</v>
      </c>
      <c r="AI3250" s="1" t="s">
        <v>54</v>
      </c>
      <c r="AJ3250" s="1">
        <v>1</v>
      </c>
      <c r="AK3250" s="1" t="str">
        <f t="shared" si="50"/>
        <v xml:space="preserve"> =&lt;90</v>
      </c>
      <c r="AL3250" s="1" t="e">
        <f>VLOOKUP(C:C,[1]基础信息!B$1:D$65536,3,0)</f>
        <v>#N/A</v>
      </c>
      <c r="AM3250" s="1" t="e">
        <f>VLOOKUP(C:C,[1]基础信息!B$1:E$65536,4,0)</f>
        <v>#N/A</v>
      </c>
      <c r="AN3250" s="1" t="e">
        <f>VLOOKUP(C:C,[1]基础信息!B$1:F$65536,5,0)</f>
        <v>#N/A</v>
      </c>
    </row>
    <row r="3251" spans="1:40">
      <c r="A3251" s="1" t="s">
        <v>41</v>
      </c>
      <c r="B3251" s="1" t="s">
        <v>42</v>
      </c>
      <c r="C3251" s="1" t="s">
        <v>4352</v>
      </c>
      <c r="D3251" s="1" t="s">
        <v>4353</v>
      </c>
      <c r="E3251" s="1" t="s">
        <v>45</v>
      </c>
      <c r="F3251" s="1" t="s">
        <v>6083</v>
      </c>
      <c r="G3251" s="1" t="s">
        <v>7415</v>
      </c>
      <c r="H3251" s="1" t="s">
        <v>7416</v>
      </c>
      <c r="I3251" s="1" t="s">
        <v>49</v>
      </c>
      <c r="J3251" s="1" t="s">
        <v>48</v>
      </c>
      <c r="K3251" s="1">
        <v>336</v>
      </c>
      <c r="L3251" s="1">
        <v>0</v>
      </c>
      <c r="M3251" s="1">
        <v>0</v>
      </c>
      <c r="N3251" s="1">
        <v>336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 t="s">
        <v>49</v>
      </c>
      <c r="AA3251" s="1" t="s">
        <v>49</v>
      </c>
      <c r="AB3251" s="1" t="s">
        <v>49</v>
      </c>
      <c r="AC3251" s="1" t="s">
        <v>3264</v>
      </c>
      <c r="AD3251" s="1" t="s">
        <v>3265</v>
      </c>
      <c r="AE3251" s="1" t="s">
        <v>3264</v>
      </c>
      <c r="AF3251" s="1" t="s">
        <v>6086</v>
      </c>
      <c r="AG3251" s="1" t="s">
        <v>53</v>
      </c>
      <c r="AH3251" s="1" t="s">
        <v>49</v>
      </c>
      <c r="AI3251" s="1" t="s">
        <v>54</v>
      </c>
      <c r="AJ3251" s="1">
        <v>1</v>
      </c>
      <c r="AK3251" s="1" t="str">
        <f t="shared" si="50"/>
        <v xml:space="preserve"> =&lt;90</v>
      </c>
      <c r="AL3251" s="1" t="e">
        <f>VLOOKUP(C:C,[1]基础信息!B$1:D$65536,3,0)</f>
        <v>#N/A</v>
      </c>
      <c r="AM3251" s="1" t="e">
        <f>VLOOKUP(C:C,[1]基础信息!B$1:E$65536,4,0)</f>
        <v>#N/A</v>
      </c>
      <c r="AN3251" s="1" t="e">
        <f>VLOOKUP(C:C,[1]基础信息!B$1:F$65536,5,0)</f>
        <v>#N/A</v>
      </c>
    </row>
    <row r="3252" spans="1:40">
      <c r="A3252" s="1" t="s">
        <v>41</v>
      </c>
      <c r="B3252" s="1" t="s">
        <v>42</v>
      </c>
      <c r="C3252" s="1" t="s">
        <v>4352</v>
      </c>
      <c r="D3252" s="1" t="s">
        <v>4353</v>
      </c>
      <c r="E3252" s="1" t="s">
        <v>45</v>
      </c>
      <c r="F3252" s="1" t="s">
        <v>6083</v>
      </c>
      <c r="G3252" s="1" t="s">
        <v>7417</v>
      </c>
      <c r="H3252" s="1" t="s">
        <v>7418</v>
      </c>
      <c r="I3252" s="1" t="s">
        <v>49</v>
      </c>
      <c r="J3252" s="1" t="s">
        <v>48</v>
      </c>
      <c r="K3252" s="1">
        <v>336</v>
      </c>
      <c r="L3252" s="1">
        <v>0</v>
      </c>
      <c r="M3252" s="1">
        <v>0</v>
      </c>
      <c r="N3252" s="1">
        <v>336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 t="s">
        <v>49</v>
      </c>
      <c r="AA3252" s="1" t="s">
        <v>49</v>
      </c>
      <c r="AB3252" s="1" t="s">
        <v>49</v>
      </c>
      <c r="AC3252" s="1" t="s">
        <v>3264</v>
      </c>
      <c r="AD3252" s="1" t="s">
        <v>3265</v>
      </c>
      <c r="AE3252" s="1" t="s">
        <v>3264</v>
      </c>
      <c r="AF3252" s="1" t="s">
        <v>6086</v>
      </c>
      <c r="AG3252" s="1" t="s">
        <v>53</v>
      </c>
      <c r="AH3252" s="1" t="s">
        <v>49</v>
      </c>
      <c r="AI3252" s="1" t="s">
        <v>54</v>
      </c>
      <c r="AJ3252" s="1">
        <v>1</v>
      </c>
      <c r="AK3252" s="1" t="str">
        <f t="shared" si="50"/>
        <v xml:space="preserve"> =&lt;90</v>
      </c>
      <c r="AL3252" s="1" t="e">
        <f>VLOOKUP(C:C,[1]基础信息!B$1:D$65536,3,0)</f>
        <v>#N/A</v>
      </c>
      <c r="AM3252" s="1" t="e">
        <f>VLOOKUP(C:C,[1]基础信息!B$1:E$65536,4,0)</f>
        <v>#N/A</v>
      </c>
      <c r="AN3252" s="1" t="e">
        <f>VLOOKUP(C:C,[1]基础信息!B$1:F$65536,5,0)</f>
        <v>#N/A</v>
      </c>
    </row>
    <row r="3253" spans="1:40">
      <c r="A3253" s="1" t="s">
        <v>41</v>
      </c>
      <c r="B3253" s="1" t="s">
        <v>42</v>
      </c>
      <c r="C3253" s="1" t="s">
        <v>285</v>
      </c>
      <c r="D3253" s="1" t="s">
        <v>286</v>
      </c>
      <c r="E3253" s="1" t="s">
        <v>45</v>
      </c>
      <c r="F3253" s="1" t="s">
        <v>1997</v>
      </c>
      <c r="G3253" s="1" t="s">
        <v>7419</v>
      </c>
      <c r="H3253" s="1" t="s">
        <v>7420</v>
      </c>
      <c r="I3253" s="1" t="s">
        <v>49</v>
      </c>
      <c r="J3253" s="1" t="s">
        <v>48</v>
      </c>
      <c r="K3253" s="1">
        <v>70</v>
      </c>
      <c r="L3253" s="1">
        <v>0</v>
      </c>
      <c r="M3253" s="1">
        <v>0</v>
      </c>
      <c r="N3253" s="1">
        <v>70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 t="s">
        <v>49</v>
      </c>
      <c r="AA3253" s="1" t="s">
        <v>49</v>
      </c>
      <c r="AB3253" s="1" t="s">
        <v>49</v>
      </c>
      <c r="AC3253" s="1" t="s">
        <v>2000</v>
      </c>
      <c r="AD3253" s="1" t="s">
        <v>2001</v>
      </c>
      <c r="AE3253" s="1" t="s">
        <v>2000</v>
      </c>
      <c r="AF3253" s="1" t="s">
        <v>292</v>
      </c>
      <c r="AG3253" s="1" t="s">
        <v>53</v>
      </c>
      <c r="AH3253" s="1" t="s">
        <v>49</v>
      </c>
      <c r="AI3253" s="1" t="s">
        <v>54</v>
      </c>
      <c r="AJ3253" s="1">
        <v>1</v>
      </c>
      <c r="AK3253" s="1" t="str">
        <f t="shared" si="50"/>
        <v xml:space="preserve"> =&lt;90</v>
      </c>
      <c r="AL3253" s="1" t="str">
        <f>VLOOKUP(C:C,[1]基础信息!B$1:D$65536,3,0)</f>
        <v>Jug</v>
      </c>
      <c r="AM3253" s="1" t="str">
        <f>VLOOKUP(C:C,[1]基础信息!B$1:E$65536,4,0)</f>
        <v>Marella XL</v>
      </c>
      <c r="AN3253" s="1" t="str">
        <f>VLOOKUP(C:C,[1]基础信息!B$1:F$65536,5,0)</f>
        <v>Blue</v>
      </c>
    </row>
    <row r="3254" spans="1:40">
      <c r="A3254" s="1" t="s">
        <v>41</v>
      </c>
      <c r="B3254" s="1" t="s">
        <v>42</v>
      </c>
      <c r="C3254" s="1" t="s">
        <v>4352</v>
      </c>
      <c r="D3254" s="1" t="s">
        <v>4353</v>
      </c>
      <c r="E3254" s="1" t="s">
        <v>45</v>
      </c>
      <c r="F3254" s="1" t="s">
        <v>6083</v>
      </c>
      <c r="G3254" s="1" t="s">
        <v>7421</v>
      </c>
      <c r="H3254" s="1" t="s">
        <v>7422</v>
      </c>
      <c r="I3254" s="1" t="s">
        <v>49</v>
      </c>
      <c r="J3254" s="1" t="s">
        <v>48</v>
      </c>
      <c r="K3254" s="1">
        <v>336</v>
      </c>
      <c r="L3254" s="1">
        <v>0</v>
      </c>
      <c r="M3254" s="1">
        <v>0</v>
      </c>
      <c r="N3254" s="1">
        <v>336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 t="s">
        <v>49</v>
      </c>
      <c r="AA3254" s="1" t="s">
        <v>49</v>
      </c>
      <c r="AB3254" s="1" t="s">
        <v>49</v>
      </c>
      <c r="AC3254" s="1" t="s">
        <v>3264</v>
      </c>
      <c r="AD3254" s="1" t="s">
        <v>3265</v>
      </c>
      <c r="AE3254" s="1" t="s">
        <v>3264</v>
      </c>
      <c r="AF3254" s="1" t="s">
        <v>6086</v>
      </c>
      <c r="AG3254" s="1" t="s">
        <v>53</v>
      </c>
      <c r="AH3254" s="1" t="s">
        <v>49</v>
      </c>
      <c r="AI3254" s="1" t="s">
        <v>54</v>
      </c>
      <c r="AJ3254" s="1">
        <v>1</v>
      </c>
      <c r="AK3254" s="1" t="str">
        <f t="shared" si="50"/>
        <v xml:space="preserve"> =&lt;90</v>
      </c>
      <c r="AL3254" s="1" t="e">
        <f>VLOOKUP(C:C,[1]基础信息!B$1:D$65536,3,0)</f>
        <v>#N/A</v>
      </c>
      <c r="AM3254" s="1" t="e">
        <f>VLOOKUP(C:C,[1]基础信息!B$1:E$65536,4,0)</f>
        <v>#N/A</v>
      </c>
      <c r="AN3254" s="1" t="e">
        <f>VLOOKUP(C:C,[1]基础信息!B$1:F$65536,5,0)</f>
        <v>#N/A</v>
      </c>
    </row>
    <row r="3255" spans="1:40">
      <c r="A3255" s="1" t="s">
        <v>41</v>
      </c>
      <c r="B3255" s="1" t="s">
        <v>42</v>
      </c>
      <c r="C3255" s="1" t="s">
        <v>4352</v>
      </c>
      <c r="D3255" s="1" t="s">
        <v>4353</v>
      </c>
      <c r="E3255" s="1" t="s">
        <v>45</v>
      </c>
      <c r="F3255" s="1" t="s">
        <v>6083</v>
      </c>
      <c r="G3255" s="1" t="s">
        <v>7423</v>
      </c>
      <c r="H3255" s="1" t="s">
        <v>7424</v>
      </c>
      <c r="I3255" s="1" t="s">
        <v>49</v>
      </c>
      <c r="J3255" s="1" t="s">
        <v>48</v>
      </c>
      <c r="K3255" s="1">
        <v>336</v>
      </c>
      <c r="L3255" s="1">
        <v>0</v>
      </c>
      <c r="M3255" s="1">
        <v>0</v>
      </c>
      <c r="N3255" s="1">
        <v>336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 t="s">
        <v>49</v>
      </c>
      <c r="AA3255" s="1" t="s">
        <v>49</v>
      </c>
      <c r="AB3255" s="1" t="s">
        <v>49</v>
      </c>
      <c r="AC3255" s="1" t="s">
        <v>3264</v>
      </c>
      <c r="AD3255" s="1" t="s">
        <v>3265</v>
      </c>
      <c r="AE3255" s="1" t="s">
        <v>3264</v>
      </c>
      <c r="AF3255" s="1" t="s">
        <v>6086</v>
      </c>
      <c r="AG3255" s="1" t="s">
        <v>53</v>
      </c>
      <c r="AH3255" s="1" t="s">
        <v>49</v>
      </c>
      <c r="AI3255" s="1" t="s">
        <v>54</v>
      </c>
      <c r="AJ3255" s="1">
        <v>1</v>
      </c>
      <c r="AK3255" s="1" t="str">
        <f t="shared" si="50"/>
        <v xml:space="preserve"> =&lt;90</v>
      </c>
      <c r="AL3255" s="1" t="e">
        <f>VLOOKUP(C:C,[1]基础信息!B$1:D$65536,3,0)</f>
        <v>#N/A</v>
      </c>
      <c r="AM3255" s="1" t="e">
        <f>VLOOKUP(C:C,[1]基础信息!B$1:E$65536,4,0)</f>
        <v>#N/A</v>
      </c>
      <c r="AN3255" s="1" t="e">
        <f>VLOOKUP(C:C,[1]基础信息!B$1:F$65536,5,0)</f>
        <v>#N/A</v>
      </c>
    </row>
    <row r="3256" spans="1:40">
      <c r="A3256" s="1" t="s">
        <v>41</v>
      </c>
      <c r="B3256" s="1" t="s">
        <v>42</v>
      </c>
      <c r="C3256" s="1" t="s">
        <v>4352</v>
      </c>
      <c r="D3256" s="1" t="s">
        <v>4353</v>
      </c>
      <c r="E3256" s="1" t="s">
        <v>45</v>
      </c>
      <c r="F3256" s="1" t="s">
        <v>7425</v>
      </c>
      <c r="G3256" s="1" t="s">
        <v>7426</v>
      </c>
      <c r="H3256" s="1" t="s">
        <v>7427</v>
      </c>
      <c r="I3256" s="1" t="s">
        <v>49</v>
      </c>
      <c r="J3256" s="1" t="s">
        <v>48</v>
      </c>
      <c r="K3256" s="1">
        <v>72</v>
      </c>
      <c r="L3256" s="1">
        <v>0</v>
      </c>
      <c r="M3256" s="1">
        <v>0</v>
      </c>
      <c r="N3256" s="1">
        <v>72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 t="s">
        <v>49</v>
      </c>
      <c r="AA3256" s="1" t="s">
        <v>49</v>
      </c>
      <c r="AB3256" s="1" t="s">
        <v>49</v>
      </c>
      <c r="AC3256" s="1" t="s">
        <v>3264</v>
      </c>
      <c r="AD3256" s="1" t="s">
        <v>3265</v>
      </c>
      <c r="AE3256" s="1" t="s">
        <v>3264</v>
      </c>
      <c r="AF3256" s="1" t="s">
        <v>6985</v>
      </c>
      <c r="AG3256" s="1" t="s">
        <v>53</v>
      </c>
      <c r="AH3256" s="1" t="s">
        <v>49</v>
      </c>
      <c r="AI3256" s="1" t="s">
        <v>54</v>
      </c>
      <c r="AJ3256" s="1">
        <v>1</v>
      </c>
      <c r="AK3256" s="1" t="str">
        <f t="shared" si="50"/>
        <v xml:space="preserve"> =&lt;90</v>
      </c>
      <c r="AL3256" s="1" t="e">
        <f>VLOOKUP(C:C,[1]基础信息!B$1:D$65536,3,0)</f>
        <v>#N/A</v>
      </c>
      <c r="AM3256" s="1" t="e">
        <f>VLOOKUP(C:C,[1]基础信息!B$1:E$65536,4,0)</f>
        <v>#N/A</v>
      </c>
      <c r="AN3256" s="1" t="e">
        <f>VLOOKUP(C:C,[1]基础信息!B$1:F$65536,5,0)</f>
        <v>#N/A</v>
      </c>
    </row>
    <row r="3257" spans="1:40">
      <c r="A3257" s="1" t="s">
        <v>41</v>
      </c>
      <c r="B3257" s="1" t="s">
        <v>42</v>
      </c>
      <c r="C3257" s="1" t="s">
        <v>285</v>
      </c>
      <c r="D3257" s="1" t="s">
        <v>286</v>
      </c>
      <c r="E3257" s="1" t="s">
        <v>45</v>
      </c>
      <c r="F3257" s="1" t="s">
        <v>1997</v>
      </c>
      <c r="G3257" s="1" t="s">
        <v>7428</v>
      </c>
      <c r="H3257" s="1" t="s">
        <v>7429</v>
      </c>
      <c r="I3257" s="1" t="s">
        <v>49</v>
      </c>
      <c r="J3257" s="1" t="s">
        <v>48</v>
      </c>
      <c r="K3257" s="1">
        <v>70</v>
      </c>
      <c r="L3257" s="1">
        <v>0</v>
      </c>
      <c r="M3257" s="1">
        <v>0</v>
      </c>
      <c r="N3257" s="1">
        <v>70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 t="s">
        <v>49</v>
      </c>
      <c r="AA3257" s="1" t="s">
        <v>49</v>
      </c>
      <c r="AB3257" s="1" t="s">
        <v>49</v>
      </c>
      <c r="AC3257" s="1" t="s">
        <v>2000</v>
      </c>
      <c r="AD3257" s="1" t="s">
        <v>2001</v>
      </c>
      <c r="AE3257" s="1" t="s">
        <v>2000</v>
      </c>
      <c r="AF3257" s="1" t="s">
        <v>292</v>
      </c>
      <c r="AG3257" s="1" t="s">
        <v>53</v>
      </c>
      <c r="AH3257" s="1" t="s">
        <v>49</v>
      </c>
      <c r="AI3257" s="1" t="s">
        <v>54</v>
      </c>
      <c r="AJ3257" s="1">
        <v>1</v>
      </c>
      <c r="AK3257" s="1" t="str">
        <f t="shared" si="50"/>
        <v xml:space="preserve"> =&lt;90</v>
      </c>
      <c r="AL3257" s="1" t="str">
        <f>VLOOKUP(C:C,[1]基础信息!B$1:D$65536,3,0)</f>
        <v>Jug</v>
      </c>
      <c r="AM3257" s="1" t="str">
        <f>VLOOKUP(C:C,[1]基础信息!B$1:E$65536,4,0)</f>
        <v>Marella XL</v>
      </c>
      <c r="AN3257" s="1" t="str">
        <f>VLOOKUP(C:C,[1]基础信息!B$1:F$65536,5,0)</f>
        <v>Blue</v>
      </c>
    </row>
    <row r="3258" spans="1:40">
      <c r="A3258" s="1" t="s">
        <v>41</v>
      </c>
      <c r="B3258" s="1" t="s">
        <v>42</v>
      </c>
      <c r="C3258" s="1" t="s">
        <v>7430</v>
      </c>
      <c r="D3258" s="1" t="s">
        <v>7431</v>
      </c>
      <c r="E3258" s="1" t="s">
        <v>45</v>
      </c>
      <c r="F3258" s="1" t="s">
        <v>7432</v>
      </c>
      <c r="G3258" s="1" t="s">
        <v>7433</v>
      </c>
      <c r="H3258" s="1" t="s">
        <v>45</v>
      </c>
      <c r="I3258" s="1" t="s">
        <v>45</v>
      </c>
      <c r="J3258" s="1" t="s">
        <v>48</v>
      </c>
      <c r="K3258" s="1">
        <v>5</v>
      </c>
      <c r="L3258" s="1">
        <v>0</v>
      </c>
      <c r="M3258" s="1">
        <v>0</v>
      </c>
      <c r="N3258" s="1">
        <v>5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 t="s">
        <v>49</v>
      </c>
      <c r="AA3258" s="1" t="s">
        <v>49</v>
      </c>
      <c r="AB3258" s="1" t="s">
        <v>49</v>
      </c>
      <c r="AC3258" s="1" t="s">
        <v>7434</v>
      </c>
      <c r="AD3258" s="1" t="s">
        <v>7435</v>
      </c>
      <c r="AE3258" s="1" t="s">
        <v>7434</v>
      </c>
      <c r="AF3258" s="1" t="s">
        <v>7436</v>
      </c>
      <c r="AG3258" s="1" t="s">
        <v>338</v>
      </c>
      <c r="AH3258" s="1" t="s">
        <v>49</v>
      </c>
      <c r="AI3258" s="1" t="s">
        <v>54</v>
      </c>
      <c r="AJ3258" s="1">
        <v>1</v>
      </c>
      <c r="AK3258" s="1" t="str">
        <f t="shared" si="50"/>
        <v xml:space="preserve"> =&lt;90</v>
      </c>
      <c r="AL3258" s="1" t="str">
        <f>VLOOKUP(C:C,[1]基础信息!B$1:D$65536,3,0)</f>
        <v>Jug</v>
      </c>
      <c r="AM3258" s="1" t="str">
        <f>VLOOKUP(C:C,[1]基础信息!B$1:E$65536,4,0)</f>
        <v>Mxplus</v>
      </c>
      <c r="AN3258" s="1" t="str">
        <f>VLOOKUP(C:C,[1]基础信息!B$1:F$65536,5,0)</f>
        <v xml:space="preserve"> lime</v>
      </c>
    </row>
    <row r="3259" spans="1:40">
      <c r="A3259" s="1" t="s">
        <v>41</v>
      </c>
      <c r="B3259" s="1" t="s">
        <v>42</v>
      </c>
      <c r="C3259" s="1" t="s">
        <v>285</v>
      </c>
      <c r="D3259" s="1" t="s">
        <v>286</v>
      </c>
      <c r="E3259" s="1" t="s">
        <v>45</v>
      </c>
      <c r="F3259" s="1" t="s">
        <v>1997</v>
      </c>
      <c r="G3259" s="1" t="s">
        <v>7437</v>
      </c>
      <c r="H3259" s="1" t="s">
        <v>7438</v>
      </c>
      <c r="I3259" s="1" t="s">
        <v>49</v>
      </c>
      <c r="J3259" s="1" t="s">
        <v>48</v>
      </c>
      <c r="K3259" s="1">
        <v>70</v>
      </c>
      <c r="L3259" s="1">
        <v>0</v>
      </c>
      <c r="M3259" s="1">
        <v>0</v>
      </c>
      <c r="N3259" s="1">
        <v>70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 t="s">
        <v>49</v>
      </c>
      <c r="AA3259" s="1" t="s">
        <v>49</v>
      </c>
      <c r="AB3259" s="1" t="s">
        <v>49</v>
      </c>
      <c r="AC3259" s="1" t="s">
        <v>2000</v>
      </c>
      <c r="AD3259" s="1" t="s">
        <v>2001</v>
      </c>
      <c r="AE3259" s="1" t="s">
        <v>2000</v>
      </c>
      <c r="AF3259" s="1" t="s">
        <v>292</v>
      </c>
      <c r="AG3259" s="1" t="s">
        <v>53</v>
      </c>
      <c r="AH3259" s="1" t="s">
        <v>49</v>
      </c>
      <c r="AI3259" s="1" t="s">
        <v>54</v>
      </c>
      <c r="AJ3259" s="1">
        <v>1</v>
      </c>
      <c r="AK3259" s="1" t="str">
        <f t="shared" si="50"/>
        <v xml:space="preserve"> =&lt;90</v>
      </c>
      <c r="AL3259" s="1" t="str">
        <f>VLOOKUP(C:C,[1]基础信息!B$1:D$65536,3,0)</f>
        <v>Jug</v>
      </c>
      <c r="AM3259" s="1" t="str">
        <f>VLOOKUP(C:C,[1]基础信息!B$1:E$65536,4,0)</f>
        <v>Marella XL</v>
      </c>
      <c r="AN3259" s="1" t="str">
        <f>VLOOKUP(C:C,[1]基础信息!B$1:F$65536,5,0)</f>
        <v>Blue</v>
      </c>
    </row>
    <row r="3260" spans="1:40">
      <c r="A3260" s="1" t="s">
        <v>41</v>
      </c>
      <c r="B3260" s="1" t="s">
        <v>42</v>
      </c>
      <c r="C3260" s="1" t="s">
        <v>285</v>
      </c>
      <c r="D3260" s="1" t="s">
        <v>286</v>
      </c>
      <c r="E3260" s="1" t="s">
        <v>45</v>
      </c>
      <c r="F3260" s="1" t="s">
        <v>1997</v>
      </c>
      <c r="G3260" s="1" t="s">
        <v>7439</v>
      </c>
      <c r="H3260" s="1" t="s">
        <v>7440</v>
      </c>
      <c r="I3260" s="1" t="s">
        <v>49</v>
      </c>
      <c r="J3260" s="1" t="s">
        <v>48</v>
      </c>
      <c r="K3260" s="1">
        <v>70</v>
      </c>
      <c r="L3260" s="1">
        <v>0</v>
      </c>
      <c r="M3260" s="1">
        <v>0</v>
      </c>
      <c r="N3260" s="1">
        <v>70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 t="s">
        <v>49</v>
      </c>
      <c r="AA3260" s="1" t="s">
        <v>49</v>
      </c>
      <c r="AB3260" s="1" t="s">
        <v>49</v>
      </c>
      <c r="AC3260" s="1" t="s">
        <v>2000</v>
      </c>
      <c r="AD3260" s="1" t="s">
        <v>2001</v>
      </c>
      <c r="AE3260" s="1" t="s">
        <v>2000</v>
      </c>
      <c r="AF3260" s="1" t="s">
        <v>292</v>
      </c>
      <c r="AG3260" s="1" t="s">
        <v>53</v>
      </c>
      <c r="AH3260" s="1" t="s">
        <v>49</v>
      </c>
      <c r="AI3260" s="1" t="s">
        <v>54</v>
      </c>
      <c r="AJ3260" s="1">
        <v>1</v>
      </c>
      <c r="AK3260" s="1" t="str">
        <f t="shared" si="50"/>
        <v xml:space="preserve"> =&lt;90</v>
      </c>
      <c r="AL3260" s="1" t="str">
        <f>VLOOKUP(C:C,[1]基础信息!B$1:D$65536,3,0)</f>
        <v>Jug</v>
      </c>
      <c r="AM3260" s="1" t="str">
        <f>VLOOKUP(C:C,[1]基础信息!B$1:E$65536,4,0)</f>
        <v>Marella XL</v>
      </c>
      <c r="AN3260" s="1" t="str">
        <f>VLOOKUP(C:C,[1]基础信息!B$1:F$65536,5,0)</f>
        <v>Blue</v>
      </c>
    </row>
    <row r="3261" spans="1:40">
      <c r="A3261" s="1" t="s">
        <v>41</v>
      </c>
      <c r="B3261" s="1" t="s">
        <v>42</v>
      </c>
      <c r="C3261" s="1" t="s">
        <v>4245</v>
      </c>
      <c r="D3261" s="1" t="s">
        <v>4246</v>
      </c>
      <c r="E3261" s="1" t="s">
        <v>4245</v>
      </c>
      <c r="F3261" s="1" t="s">
        <v>7441</v>
      </c>
      <c r="G3261" s="1" t="s">
        <v>7442</v>
      </c>
      <c r="H3261" s="1" t="s">
        <v>7443</v>
      </c>
      <c r="I3261" s="1" t="s">
        <v>49</v>
      </c>
      <c r="J3261" s="1" t="s">
        <v>48</v>
      </c>
      <c r="K3261" s="1">
        <v>20</v>
      </c>
      <c r="L3261" s="1">
        <v>0</v>
      </c>
      <c r="M3261" s="1">
        <v>0</v>
      </c>
      <c r="N3261" s="1">
        <v>20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 t="s">
        <v>49</v>
      </c>
      <c r="AA3261" s="1" t="s">
        <v>49</v>
      </c>
      <c r="AB3261" s="1" t="s">
        <v>49</v>
      </c>
      <c r="AC3261" s="1" t="s">
        <v>7444</v>
      </c>
      <c r="AD3261" s="1" t="s">
        <v>7445</v>
      </c>
      <c r="AE3261" s="1" t="s">
        <v>7444</v>
      </c>
      <c r="AF3261" s="1" t="s">
        <v>7446</v>
      </c>
      <c r="AG3261" s="1" t="s">
        <v>53</v>
      </c>
      <c r="AH3261" s="1" t="s">
        <v>49</v>
      </c>
      <c r="AI3261" s="1" t="s">
        <v>54</v>
      </c>
      <c r="AJ3261" s="1">
        <v>1</v>
      </c>
      <c r="AK3261" s="1" t="str">
        <f t="shared" si="50"/>
        <v xml:space="preserve"> =&lt;90</v>
      </c>
      <c r="AL3261" s="1" t="str">
        <f>VLOOKUP(C:C,[1]基础信息!B$1:D$65536,3,0)</f>
        <v>UTS</v>
      </c>
      <c r="AM3261" s="1" t="str">
        <f>VLOOKUP(C:C,[1]基础信息!B$1:E$65536,4,0)</f>
        <v>MyPure Pro</v>
      </c>
      <c r="AN3261" s="1" t="str">
        <f>VLOOKUP(C:C,[1]基础信息!B$1:F$65536,5,0)</f>
        <v>X9</v>
      </c>
    </row>
    <row r="3262" spans="1:40">
      <c r="A3262" s="1" t="s">
        <v>41</v>
      </c>
      <c r="B3262" s="1" t="s">
        <v>42</v>
      </c>
      <c r="C3262" s="1" t="s">
        <v>1437</v>
      </c>
      <c r="D3262" s="1" t="s">
        <v>1438</v>
      </c>
      <c r="E3262" s="1" t="s">
        <v>45</v>
      </c>
      <c r="F3262" s="1" t="s">
        <v>7447</v>
      </c>
      <c r="G3262" s="1" t="s">
        <v>7448</v>
      </c>
      <c r="H3262" s="1" t="s">
        <v>45</v>
      </c>
      <c r="I3262" s="1" t="s">
        <v>45</v>
      </c>
      <c r="J3262" s="1" t="s">
        <v>48</v>
      </c>
      <c r="K3262" s="1">
        <v>65</v>
      </c>
      <c r="L3262" s="1">
        <v>0</v>
      </c>
      <c r="M3262" s="1">
        <v>0</v>
      </c>
      <c r="N3262" s="1">
        <v>65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 t="s">
        <v>49</v>
      </c>
      <c r="AA3262" s="1" t="s">
        <v>49</v>
      </c>
      <c r="AB3262" s="1" t="s">
        <v>49</v>
      </c>
      <c r="AC3262" s="1" t="s">
        <v>154</v>
      </c>
      <c r="AD3262" s="1" t="s">
        <v>155</v>
      </c>
      <c r="AE3262" s="1" t="s">
        <v>154</v>
      </c>
      <c r="AF3262" s="1" t="s">
        <v>49</v>
      </c>
      <c r="AG3262" s="1" t="s">
        <v>3464</v>
      </c>
      <c r="AH3262" s="1" t="s">
        <v>49</v>
      </c>
      <c r="AI3262" s="1" t="s">
        <v>54</v>
      </c>
      <c r="AJ3262" s="1">
        <v>1</v>
      </c>
      <c r="AK3262" s="1" t="str">
        <f t="shared" si="50"/>
        <v xml:space="preserve"> =&lt;90</v>
      </c>
      <c r="AL3262" s="1" t="str">
        <f>VLOOKUP(C:C,[1]基础信息!B$1:D$65536,3,0)</f>
        <v>On tap</v>
      </c>
      <c r="AM3262" s="1" t="str">
        <f>VLOOKUP(C:C,[1]基础信息!B$1:E$65536,4,0)</f>
        <v>On tap</v>
      </c>
      <c r="AN3262" s="1" t="str">
        <f>VLOOKUP(C:C,[1]基础信息!B$1:F$65536,5,0)</f>
        <v>On tap</v>
      </c>
    </row>
    <row r="3263" spans="1:40">
      <c r="A3263" s="1" t="s">
        <v>41</v>
      </c>
      <c r="B3263" s="1" t="s">
        <v>42</v>
      </c>
      <c r="C3263" s="1" t="s">
        <v>5254</v>
      </c>
      <c r="D3263" s="1" t="s">
        <v>5255</v>
      </c>
      <c r="E3263" s="1" t="s">
        <v>45</v>
      </c>
      <c r="F3263" s="1" t="s">
        <v>7449</v>
      </c>
      <c r="G3263" s="1" t="s">
        <v>7450</v>
      </c>
      <c r="H3263" s="1" t="s">
        <v>7451</v>
      </c>
      <c r="I3263" s="1" t="s">
        <v>49</v>
      </c>
      <c r="J3263" s="1" t="s">
        <v>48</v>
      </c>
      <c r="K3263" s="1">
        <v>220</v>
      </c>
      <c r="L3263" s="1">
        <v>0</v>
      </c>
      <c r="M3263" s="1">
        <v>0</v>
      </c>
      <c r="N3263" s="1">
        <v>220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 t="s">
        <v>49</v>
      </c>
      <c r="AA3263" s="1" t="s">
        <v>49</v>
      </c>
      <c r="AB3263" s="1" t="s">
        <v>49</v>
      </c>
      <c r="AC3263" s="1" t="s">
        <v>7452</v>
      </c>
      <c r="AD3263" s="1" t="s">
        <v>7453</v>
      </c>
      <c r="AE3263" s="1" t="s">
        <v>7452</v>
      </c>
      <c r="AF3263" s="1" t="s">
        <v>7454</v>
      </c>
      <c r="AG3263" s="1" t="s">
        <v>53</v>
      </c>
      <c r="AH3263" s="1" t="s">
        <v>49</v>
      </c>
      <c r="AI3263" s="1" t="s">
        <v>54</v>
      </c>
      <c r="AJ3263" s="1">
        <v>1</v>
      </c>
      <c r="AK3263" s="1" t="str">
        <f t="shared" si="50"/>
        <v xml:space="preserve"> =&lt;90</v>
      </c>
      <c r="AL3263" s="1" t="str">
        <f>VLOOKUP(C:C,[1]基础信息!B$1:D$65536,3,0)</f>
        <v xml:space="preserve">Cartridge </v>
      </c>
      <c r="AM3263" s="1" t="str">
        <f>VLOOKUP(C:C,[1]基础信息!B$1:E$65536,4,0)</f>
        <v>UNIV</v>
      </c>
      <c r="AN3263" s="1" t="str">
        <f>VLOOKUP(C:C,[1]基础信息!B$1:F$65536,5,0)</f>
        <v>P55</v>
      </c>
    </row>
    <row r="3264" spans="1:40">
      <c r="A3264" s="1" t="s">
        <v>41</v>
      </c>
      <c r="B3264" s="1" t="s">
        <v>42</v>
      </c>
      <c r="C3264" s="1" t="s">
        <v>5254</v>
      </c>
      <c r="D3264" s="1" t="s">
        <v>5255</v>
      </c>
      <c r="E3264" s="1" t="s">
        <v>45</v>
      </c>
      <c r="F3264" s="1" t="s">
        <v>7455</v>
      </c>
      <c r="G3264" s="1" t="s">
        <v>7456</v>
      </c>
      <c r="H3264" s="1" t="s">
        <v>7457</v>
      </c>
      <c r="I3264" s="1" t="s">
        <v>49</v>
      </c>
      <c r="J3264" s="1" t="s">
        <v>48</v>
      </c>
      <c r="K3264" s="1">
        <v>550</v>
      </c>
      <c r="L3264" s="1">
        <v>0</v>
      </c>
      <c r="M3264" s="1">
        <v>0</v>
      </c>
      <c r="N3264" s="1">
        <v>550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 t="s">
        <v>49</v>
      </c>
      <c r="AA3264" s="1" t="s">
        <v>49</v>
      </c>
      <c r="AB3264" s="1" t="s">
        <v>49</v>
      </c>
      <c r="AC3264" s="1" t="s">
        <v>7452</v>
      </c>
      <c r="AD3264" s="1" t="s">
        <v>7453</v>
      </c>
      <c r="AE3264" s="1" t="s">
        <v>7452</v>
      </c>
      <c r="AF3264" s="1" t="s">
        <v>6266</v>
      </c>
      <c r="AG3264" s="1" t="s">
        <v>53</v>
      </c>
      <c r="AH3264" s="1" t="s">
        <v>49</v>
      </c>
      <c r="AI3264" s="1" t="s">
        <v>54</v>
      </c>
      <c r="AJ3264" s="1">
        <v>1</v>
      </c>
      <c r="AK3264" s="1" t="str">
        <f t="shared" si="50"/>
        <v xml:space="preserve"> =&lt;90</v>
      </c>
      <c r="AL3264" s="1" t="str">
        <f>VLOOKUP(C:C,[1]基础信息!B$1:D$65536,3,0)</f>
        <v xml:space="preserve">Cartridge </v>
      </c>
      <c r="AM3264" s="1" t="str">
        <f>VLOOKUP(C:C,[1]基础信息!B$1:E$65536,4,0)</f>
        <v>UNIV</v>
      </c>
      <c r="AN3264" s="1" t="str">
        <f>VLOOKUP(C:C,[1]基础信息!B$1:F$65536,5,0)</f>
        <v>P55</v>
      </c>
    </row>
    <row r="3265" spans="1:40">
      <c r="A3265" s="1" t="s">
        <v>41</v>
      </c>
      <c r="B3265" s="1" t="s">
        <v>42</v>
      </c>
      <c r="C3265" s="1" t="s">
        <v>5254</v>
      </c>
      <c r="D3265" s="1" t="s">
        <v>5255</v>
      </c>
      <c r="E3265" s="1" t="s">
        <v>45</v>
      </c>
      <c r="F3265" s="1" t="s">
        <v>7455</v>
      </c>
      <c r="G3265" s="1" t="s">
        <v>7458</v>
      </c>
      <c r="H3265" s="1" t="s">
        <v>7459</v>
      </c>
      <c r="I3265" s="1" t="s">
        <v>49</v>
      </c>
      <c r="J3265" s="1" t="s">
        <v>48</v>
      </c>
      <c r="K3265" s="1">
        <v>770</v>
      </c>
      <c r="L3265" s="1">
        <v>0</v>
      </c>
      <c r="M3265" s="1">
        <v>0</v>
      </c>
      <c r="N3265" s="1">
        <v>770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 t="s">
        <v>49</v>
      </c>
      <c r="AA3265" s="1" t="s">
        <v>49</v>
      </c>
      <c r="AB3265" s="1" t="s">
        <v>49</v>
      </c>
      <c r="AC3265" s="1" t="s">
        <v>7452</v>
      </c>
      <c r="AD3265" s="1" t="s">
        <v>7453</v>
      </c>
      <c r="AE3265" s="1" t="s">
        <v>7452</v>
      </c>
      <c r="AF3265" s="1" t="s">
        <v>6266</v>
      </c>
      <c r="AG3265" s="1" t="s">
        <v>53</v>
      </c>
      <c r="AH3265" s="1" t="s">
        <v>49</v>
      </c>
      <c r="AI3265" s="1" t="s">
        <v>54</v>
      </c>
      <c r="AJ3265" s="1">
        <v>1</v>
      </c>
      <c r="AK3265" s="1" t="str">
        <f t="shared" si="50"/>
        <v xml:space="preserve"> =&lt;90</v>
      </c>
      <c r="AL3265" s="1" t="str">
        <f>VLOOKUP(C:C,[1]基础信息!B$1:D$65536,3,0)</f>
        <v xml:space="preserve">Cartridge </v>
      </c>
      <c r="AM3265" s="1" t="str">
        <f>VLOOKUP(C:C,[1]基础信息!B$1:E$65536,4,0)</f>
        <v>UNIV</v>
      </c>
      <c r="AN3265" s="1" t="str">
        <f>VLOOKUP(C:C,[1]基础信息!B$1:F$65536,5,0)</f>
        <v>P55</v>
      </c>
    </row>
    <row r="3266" spans="1:40">
      <c r="A3266" s="1" t="s">
        <v>41</v>
      </c>
      <c r="B3266" s="1" t="s">
        <v>42</v>
      </c>
      <c r="C3266" s="1" t="s">
        <v>1437</v>
      </c>
      <c r="D3266" s="1" t="s">
        <v>1438</v>
      </c>
      <c r="E3266" s="1" t="s">
        <v>45</v>
      </c>
      <c r="F3266" s="1" t="s">
        <v>7460</v>
      </c>
      <c r="G3266" s="1" t="s">
        <v>7461</v>
      </c>
      <c r="H3266" s="1" t="s">
        <v>45</v>
      </c>
      <c r="I3266" s="1" t="s">
        <v>45</v>
      </c>
      <c r="J3266" s="1" t="s">
        <v>48</v>
      </c>
      <c r="K3266" s="1">
        <v>450</v>
      </c>
      <c r="L3266" s="1">
        <v>0</v>
      </c>
      <c r="M3266" s="1">
        <v>0</v>
      </c>
      <c r="N3266" s="1">
        <v>450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 t="s">
        <v>49</v>
      </c>
      <c r="AA3266" s="1" t="s">
        <v>49</v>
      </c>
      <c r="AB3266" s="1" t="s">
        <v>49</v>
      </c>
      <c r="AC3266" s="1" t="s">
        <v>3836</v>
      </c>
      <c r="AD3266" s="1" t="s">
        <v>3837</v>
      </c>
      <c r="AE3266" s="1" t="s">
        <v>3836</v>
      </c>
      <c r="AF3266" s="1" t="s">
        <v>7462</v>
      </c>
      <c r="AG3266" s="1" t="s">
        <v>53</v>
      </c>
      <c r="AH3266" s="1" t="s">
        <v>49</v>
      </c>
      <c r="AI3266" s="1" t="s">
        <v>54</v>
      </c>
      <c r="AJ3266" s="1">
        <v>1</v>
      </c>
      <c r="AK3266" s="1" t="str">
        <f t="shared" ref="AK3266:AK3329" si="51">IF(AJ3266&gt;$AP$2,$AQ$2,IF(AJ3266&gt;$AP$3,$AQ$3,IF(AJ3266&gt;$AP$4,$AQ$4,$AQ$5)))</f>
        <v xml:space="preserve"> =&lt;90</v>
      </c>
      <c r="AL3266" s="1" t="str">
        <f>VLOOKUP(C:C,[1]基础信息!B$1:D$65536,3,0)</f>
        <v>On tap</v>
      </c>
      <c r="AM3266" s="1" t="str">
        <f>VLOOKUP(C:C,[1]基础信息!B$1:E$65536,4,0)</f>
        <v>On tap</v>
      </c>
      <c r="AN3266" s="1" t="str">
        <f>VLOOKUP(C:C,[1]基础信息!B$1:F$65536,5,0)</f>
        <v>On tap</v>
      </c>
    </row>
    <row r="3267" spans="1:40">
      <c r="A3267" s="1" t="s">
        <v>41</v>
      </c>
      <c r="B3267" s="1" t="s">
        <v>42</v>
      </c>
      <c r="C3267" s="1" t="s">
        <v>4077</v>
      </c>
      <c r="D3267" s="1" t="s">
        <v>4078</v>
      </c>
      <c r="E3267" s="1" t="s">
        <v>45</v>
      </c>
      <c r="F3267" s="1" t="s">
        <v>4221</v>
      </c>
      <c r="G3267" s="1" t="s">
        <v>7463</v>
      </c>
      <c r="H3267" s="1" t="s">
        <v>7464</v>
      </c>
      <c r="I3267" s="1" t="s">
        <v>49</v>
      </c>
      <c r="J3267" s="1" t="s">
        <v>48</v>
      </c>
      <c r="K3267" s="1">
        <v>1</v>
      </c>
      <c r="L3267" s="1">
        <v>0</v>
      </c>
      <c r="M3267" s="1">
        <v>0</v>
      </c>
      <c r="N3267" s="1">
        <v>1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 t="s">
        <v>49</v>
      </c>
      <c r="AA3267" s="1" t="s">
        <v>49</v>
      </c>
      <c r="AB3267" s="1" t="s">
        <v>49</v>
      </c>
      <c r="AC3267" s="1" t="s">
        <v>4224</v>
      </c>
      <c r="AD3267" s="1" t="s">
        <v>4225</v>
      </c>
      <c r="AE3267" s="1" t="s">
        <v>4224</v>
      </c>
      <c r="AF3267" s="1" t="s">
        <v>4226</v>
      </c>
      <c r="AG3267" s="1" t="s">
        <v>53</v>
      </c>
      <c r="AH3267" s="1" t="s">
        <v>49</v>
      </c>
      <c r="AI3267" s="1" t="s">
        <v>54</v>
      </c>
      <c r="AJ3267" s="1">
        <v>1</v>
      </c>
      <c r="AK3267" s="1" t="str">
        <f t="shared" si="51"/>
        <v xml:space="preserve"> =&lt;90</v>
      </c>
      <c r="AL3267" s="1" t="str">
        <f>VLOOKUP(C:C,[1]基础信息!B$1:D$65536,3,0)</f>
        <v>UTS</v>
      </c>
      <c r="AM3267" s="1" t="str">
        <f>VLOOKUP(C:C,[1]基础信息!B$1:E$65536,4,0)</f>
        <v>RO</v>
      </c>
      <c r="AN3267" s="1" t="str">
        <f>VLOOKUP(C:C,[1]基础信息!B$1:F$65536,5,0)</f>
        <v>Starry Grey Color</v>
      </c>
    </row>
    <row r="3268" spans="1:40">
      <c r="A3268" s="1" t="s">
        <v>41</v>
      </c>
      <c r="B3268" s="1" t="s">
        <v>42</v>
      </c>
      <c r="C3268" s="1" t="s">
        <v>4057</v>
      </c>
      <c r="D3268" s="1" t="s">
        <v>4058</v>
      </c>
      <c r="E3268" s="1" t="s">
        <v>45</v>
      </c>
      <c r="F3268" s="1" t="s">
        <v>7465</v>
      </c>
      <c r="G3268" s="1" t="s">
        <v>7466</v>
      </c>
      <c r="H3268" s="1" t="s">
        <v>7467</v>
      </c>
      <c r="I3268" s="1" t="s">
        <v>49</v>
      </c>
      <c r="J3268" s="1" t="s">
        <v>48</v>
      </c>
      <c r="K3268" s="1">
        <v>12</v>
      </c>
      <c r="L3268" s="1">
        <v>0</v>
      </c>
      <c r="M3268" s="1">
        <v>0</v>
      </c>
      <c r="N3268" s="1">
        <v>12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 t="s">
        <v>49</v>
      </c>
      <c r="AA3268" s="1" t="s">
        <v>49</v>
      </c>
      <c r="AB3268" s="1" t="s">
        <v>49</v>
      </c>
      <c r="AC3268" s="1" t="s">
        <v>7468</v>
      </c>
      <c r="AD3268" s="1" t="s">
        <v>7469</v>
      </c>
      <c r="AE3268" s="1" t="s">
        <v>7468</v>
      </c>
      <c r="AF3268" s="1" t="s">
        <v>7470</v>
      </c>
      <c r="AG3268" s="1" t="s">
        <v>53</v>
      </c>
      <c r="AH3268" s="1" t="s">
        <v>49</v>
      </c>
      <c r="AI3268" s="1" t="s">
        <v>54</v>
      </c>
      <c r="AJ3268" s="1">
        <v>1</v>
      </c>
      <c r="AK3268" s="1" t="str">
        <f t="shared" si="51"/>
        <v xml:space="preserve"> =&lt;90</v>
      </c>
      <c r="AL3268" s="1" t="e">
        <f>VLOOKUP(C:C,[1]基础信息!B$1:D$65536,3,0)</f>
        <v>#N/A</v>
      </c>
      <c r="AM3268" s="1" t="e">
        <f>VLOOKUP(C:C,[1]基础信息!B$1:E$65536,4,0)</f>
        <v>#N/A</v>
      </c>
      <c r="AN3268" s="1" t="e">
        <f>VLOOKUP(C:C,[1]基础信息!B$1:F$65536,5,0)</f>
        <v>#N/A</v>
      </c>
    </row>
    <row r="3269" spans="1:40">
      <c r="A3269" s="1" t="s">
        <v>41</v>
      </c>
      <c r="B3269" s="1" t="s">
        <v>42</v>
      </c>
      <c r="C3269" s="1" t="s">
        <v>4057</v>
      </c>
      <c r="D3269" s="1" t="s">
        <v>4058</v>
      </c>
      <c r="E3269" s="1" t="s">
        <v>45</v>
      </c>
      <c r="F3269" s="1" t="s">
        <v>7465</v>
      </c>
      <c r="G3269" s="1" t="s">
        <v>7471</v>
      </c>
      <c r="H3269" s="1" t="s">
        <v>7472</v>
      </c>
      <c r="I3269" s="1" t="s">
        <v>49</v>
      </c>
      <c r="J3269" s="1" t="s">
        <v>48</v>
      </c>
      <c r="K3269" s="1">
        <v>12</v>
      </c>
      <c r="L3269" s="1">
        <v>0</v>
      </c>
      <c r="M3269" s="1">
        <v>0</v>
      </c>
      <c r="N3269" s="1">
        <v>12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 t="s">
        <v>49</v>
      </c>
      <c r="AA3269" s="1" t="s">
        <v>49</v>
      </c>
      <c r="AB3269" s="1" t="s">
        <v>49</v>
      </c>
      <c r="AC3269" s="1" t="s">
        <v>7468</v>
      </c>
      <c r="AD3269" s="1" t="s">
        <v>7469</v>
      </c>
      <c r="AE3269" s="1" t="s">
        <v>7468</v>
      </c>
      <c r="AF3269" s="1" t="s">
        <v>7470</v>
      </c>
      <c r="AG3269" s="1" t="s">
        <v>53</v>
      </c>
      <c r="AH3269" s="1" t="s">
        <v>49</v>
      </c>
      <c r="AI3269" s="1" t="s">
        <v>54</v>
      </c>
      <c r="AJ3269" s="1">
        <v>1</v>
      </c>
      <c r="AK3269" s="1" t="str">
        <f t="shared" si="51"/>
        <v xml:space="preserve"> =&lt;90</v>
      </c>
      <c r="AL3269" s="1" t="e">
        <f>VLOOKUP(C:C,[1]基础信息!B$1:D$65536,3,0)</f>
        <v>#N/A</v>
      </c>
      <c r="AM3269" s="1" t="e">
        <f>VLOOKUP(C:C,[1]基础信息!B$1:E$65536,4,0)</f>
        <v>#N/A</v>
      </c>
      <c r="AN3269" s="1" t="e">
        <f>VLOOKUP(C:C,[1]基础信息!B$1:F$65536,5,0)</f>
        <v>#N/A</v>
      </c>
    </row>
    <row r="3270" spans="1:40">
      <c r="A3270" s="1" t="s">
        <v>41</v>
      </c>
      <c r="B3270" s="1" t="s">
        <v>42</v>
      </c>
      <c r="C3270" s="1" t="s">
        <v>341</v>
      </c>
      <c r="D3270" s="1" t="s">
        <v>342</v>
      </c>
      <c r="E3270" s="1" t="s">
        <v>45</v>
      </c>
      <c r="F3270" s="1" t="s">
        <v>6770</v>
      </c>
      <c r="G3270" s="1" t="s">
        <v>7473</v>
      </c>
      <c r="H3270" s="1" t="s">
        <v>7474</v>
      </c>
      <c r="I3270" s="1" t="s">
        <v>49</v>
      </c>
      <c r="J3270" s="1" t="s">
        <v>48</v>
      </c>
      <c r="K3270" s="1">
        <v>70</v>
      </c>
      <c r="L3270" s="1">
        <v>0</v>
      </c>
      <c r="M3270" s="1">
        <v>0</v>
      </c>
      <c r="N3270" s="1">
        <v>70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 t="s">
        <v>49</v>
      </c>
      <c r="AA3270" s="1" t="s">
        <v>49</v>
      </c>
      <c r="AB3270" s="1" t="s">
        <v>49</v>
      </c>
      <c r="AC3270" s="1" t="s">
        <v>346</v>
      </c>
      <c r="AD3270" s="1" t="s">
        <v>347</v>
      </c>
      <c r="AE3270" s="1" t="s">
        <v>346</v>
      </c>
      <c r="AF3270" s="1" t="s">
        <v>6773</v>
      </c>
      <c r="AG3270" s="1" t="s">
        <v>338</v>
      </c>
      <c r="AH3270" s="1" t="s">
        <v>49</v>
      </c>
      <c r="AI3270" s="1" t="s">
        <v>54</v>
      </c>
      <c r="AJ3270" s="1">
        <v>1</v>
      </c>
      <c r="AK3270" s="1" t="str">
        <f t="shared" si="51"/>
        <v xml:space="preserve"> =&lt;90</v>
      </c>
      <c r="AL3270" s="1" t="str">
        <f>VLOOKUP(C:C,[1]基础信息!B$1:D$65536,3,0)</f>
        <v>Jug</v>
      </c>
      <c r="AM3270" s="1" t="str">
        <f>VLOOKUP(C:C,[1]基础信息!B$1:E$65536,4,0)</f>
        <v>Marella</v>
      </c>
      <c r="AN3270" s="1" t="str">
        <f>VLOOKUP(C:C,[1]基础信息!B$1:F$65536,5,0)</f>
        <v>Blue Glitter</v>
      </c>
    </row>
    <row r="3271" spans="1:40">
      <c r="A3271" s="1" t="s">
        <v>41</v>
      </c>
      <c r="B3271" s="1" t="s">
        <v>42</v>
      </c>
      <c r="C3271" s="1" t="s">
        <v>4057</v>
      </c>
      <c r="D3271" s="1" t="s">
        <v>4058</v>
      </c>
      <c r="E3271" s="1" t="s">
        <v>45</v>
      </c>
      <c r="F3271" s="1" t="s">
        <v>7465</v>
      </c>
      <c r="G3271" s="1" t="s">
        <v>7475</v>
      </c>
      <c r="H3271" s="1" t="s">
        <v>7476</v>
      </c>
      <c r="I3271" s="1" t="s">
        <v>49</v>
      </c>
      <c r="J3271" s="1" t="s">
        <v>48</v>
      </c>
      <c r="K3271" s="1">
        <v>1</v>
      </c>
      <c r="L3271" s="1">
        <v>0</v>
      </c>
      <c r="M3271" s="1">
        <v>0</v>
      </c>
      <c r="N3271" s="1">
        <v>1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 t="s">
        <v>49</v>
      </c>
      <c r="AA3271" s="1" t="s">
        <v>49</v>
      </c>
      <c r="AB3271" s="1" t="s">
        <v>49</v>
      </c>
      <c r="AC3271" s="1" t="s">
        <v>7468</v>
      </c>
      <c r="AD3271" s="1" t="s">
        <v>7469</v>
      </c>
      <c r="AE3271" s="1" t="s">
        <v>7468</v>
      </c>
      <c r="AF3271" s="1" t="s">
        <v>7470</v>
      </c>
      <c r="AG3271" s="1" t="s">
        <v>53</v>
      </c>
      <c r="AH3271" s="1" t="s">
        <v>49</v>
      </c>
      <c r="AI3271" s="1" t="s">
        <v>54</v>
      </c>
      <c r="AJ3271" s="1">
        <v>1</v>
      </c>
      <c r="AK3271" s="1" t="str">
        <f t="shared" si="51"/>
        <v xml:space="preserve"> =&lt;90</v>
      </c>
      <c r="AL3271" s="1" t="e">
        <f>VLOOKUP(C:C,[1]基础信息!B$1:D$65536,3,0)</f>
        <v>#N/A</v>
      </c>
      <c r="AM3271" s="1" t="e">
        <f>VLOOKUP(C:C,[1]基础信息!B$1:E$65536,4,0)</f>
        <v>#N/A</v>
      </c>
      <c r="AN3271" s="1" t="e">
        <f>VLOOKUP(C:C,[1]基础信息!B$1:F$65536,5,0)</f>
        <v>#N/A</v>
      </c>
    </row>
    <row r="3272" spans="1:40">
      <c r="A3272" s="1" t="s">
        <v>41</v>
      </c>
      <c r="B3272" s="1" t="s">
        <v>42</v>
      </c>
      <c r="C3272" s="1" t="s">
        <v>7477</v>
      </c>
      <c r="D3272" s="1" t="s">
        <v>7478</v>
      </c>
      <c r="E3272" s="1" t="s">
        <v>45</v>
      </c>
      <c r="F3272" s="1" t="s">
        <v>7479</v>
      </c>
      <c r="G3272" s="1" t="s">
        <v>7480</v>
      </c>
      <c r="H3272" s="1" t="s">
        <v>45</v>
      </c>
      <c r="I3272" s="1" t="s">
        <v>45</v>
      </c>
      <c r="J3272" s="1" t="s">
        <v>48</v>
      </c>
      <c r="K3272" s="1">
        <v>5</v>
      </c>
      <c r="L3272" s="1">
        <v>0</v>
      </c>
      <c r="M3272" s="1">
        <v>0</v>
      </c>
      <c r="N3272" s="1">
        <v>5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 t="s">
        <v>49</v>
      </c>
      <c r="AA3272" s="1" t="s">
        <v>49</v>
      </c>
      <c r="AB3272" s="1" t="s">
        <v>49</v>
      </c>
      <c r="AC3272" s="1" t="s">
        <v>818</v>
      </c>
      <c r="AD3272" s="1" t="s">
        <v>819</v>
      </c>
      <c r="AE3272" s="1" t="s">
        <v>818</v>
      </c>
      <c r="AF3272" s="1" t="s">
        <v>7481</v>
      </c>
      <c r="AG3272" s="1" t="s">
        <v>338</v>
      </c>
      <c r="AH3272" s="1" t="s">
        <v>49</v>
      </c>
      <c r="AI3272" s="1" t="s">
        <v>54</v>
      </c>
      <c r="AJ3272" s="1">
        <v>1</v>
      </c>
      <c r="AK3272" s="1" t="str">
        <f t="shared" si="51"/>
        <v xml:space="preserve"> =&lt;90</v>
      </c>
      <c r="AL3272" s="1" t="str">
        <f>VLOOKUP(C:C,[1]基础信息!B$1:D$65536,3,0)</f>
        <v>Jug</v>
      </c>
      <c r="AM3272" s="1" t="str">
        <f>VLOOKUP(C:C,[1]基础信息!B$1:E$65536,4,0)</f>
        <v>Mxplus</v>
      </c>
      <c r="AN3272" s="1" t="str">
        <f>VLOOKUP(C:C,[1]基础信息!B$1:F$65536,5,0)</f>
        <v>Blue</v>
      </c>
    </row>
    <row r="3273" spans="1:40">
      <c r="A3273" s="1" t="s">
        <v>41</v>
      </c>
      <c r="B3273" s="1" t="s">
        <v>42</v>
      </c>
      <c r="C3273" s="1" t="s">
        <v>341</v>
      </c>
      <c r="D3273" s="1" t="s">
        <v>342</v>
      </c>
      <c r="E3273" s="1" t="s">
        <v>45</v>
      </c>
      <c r="F3273" s="1" t="s">
        <v>6770</v>
      </c>
      <c r="G3273" s="1" t="s">
        <v>7482</v>
      </c>
      <c r="H3273" s="1" t="s">
        <v>7483</v>
      </c>
      <c r="I3273" s="1" t="s">
        <v>49</v>
      </c>
      <c r="J3273" s="1" t="s">
        <v>48</v>
      </c>
      <c r="K3273" s="1">
        <v>70</v>
      </c>
      <c r="L3273" s="1">
        <v>0</v>
      </c>
      <c r="M3273" s="1">
        <v>0</v>
      </c>
      <c r="N3273" s="1">
        <v>70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 t="s">
        <v>49</v>
      </c>
      <c r="AA3273" s="1" t="s">
        <v>49</v>
      </c>
      <c r="AB3273" s="1" t="s">
        <v>49</v>
      </c>
      <c r="AC3273" s="1" t="s">
        <v>346</v>
      </c>
      <c r="AD3273" s="1" t="s">
        <v>347</v>
      </c>
      <c r="AE3273" s="1" t="s">
        <v>346</v>
      </c>
      <c r="AF3273" s="1" t="s">
        <v>6773</v>
      </c>
      <c r="AG3273" s="1" t="s">
        <v>338</v>
      </c>
      <c r="AH3273" s="1" t="s">
        <v>49</v>
      </c>
      <c r="AI3273" s="1" t="s">
        <v>54</v>
      </c>
      <c r="AJ3273" s="1">
        <v>1</v>
      </c>
      <c r="AK3273" s="1" t="str">
        <f t="shared" si="51"/>
        <v xml:space="preserve"> =&lt;90</v>
      </c>
      <c r="AL3273" s="1" t="str">
        <f>VLOOKUP(C:C,[1]基础信息!B$1:D$65536,3,0)</f>
        <v>Jug</v>
      </c>
      <c r="AM3273" s="1" t="str">
        <f>VLOOKUP(C:C,[1]基础信息!B$1:E$65536,4,0)</f>
        <v>Marella</v>
      </c>
      <c r="AN3273" s="1" t="str">
        <f>VLOOKUP(C:C,[1]基础信息!B$1:F$65536,5,0)</f>
        <v>Blue Glitter</v>
      </c>
    </row>
    <row r="3274" spans="1:40">
      <c r="A3274" s="1" t="s">
        <v>41</v>
      </c>
      <c r="B3274" s="1" t="s">
        <v>42</v>
      </c>
      <c r="C3274" s="1" t="s">
        <v>341</v>
      </c>
      <c r="D3274" s="1" t="s">
        <v>342</v>
      </c>
      <c r="E3274" s="1" t="s">
        <v>45</v>
      </c>
      <c r="F3274" s="1" t="s">
        <v>343</v>
      </c>
      <c r="G3274" s="1" t="s">
        <v>7484</v>
      </c>
      <c r="H3274" s="1" t="s">
        <v>7485</v>
      </c>
      <c r="I3274" s="1" t="s">
        <v>49</v>
      </c>
      <c r="J3274" s="1" t="s">
        <v>48</v>
      </c>
      <c r="K3274" s="1">
        <v>70</v>
      </c>
      <c r="L3274" s="1">
        <v>0</v>
      </c>
      <c r="M3274" s="1">
        <v>0</v>
      </c>
      <c r="N3274" s="1">
        <v>70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 t="s">
        <v>49</v>
      </c>
      <c r="AA3274" s="1" t="s">
        <v>49</v>
      </c>
      <c r="AB3274" s="1" t="s">
        <v>49</v>
      </c>
      <c r="AC3274" s="1" t="s">
        <v>346</v>
      </c>
      <c r="AD3274" s="1" t="s">
        <v>347</v>
      </c>
      <c r="AE3274" s="1" t="s">
        <v>346</v>
      </c>
      <c r="AF3274" s="1" t="s">
        <v>348</v>
      </c>
      <c r="AG3274" s="1" t="s">
        <v>338</v>
      </c>
      <c r="AH3274" s="1" t="s">
        <v>49</v>
      </c>
      <c r="AI3274" s="1" t="s">
        <v>54</v>
      </c>
      <c r="AJ3274" s="1">
        <v>1</v>
      </c>
      <c r="AK3274" s="1" t="str">
        <f t="shared" si="51"/>
        <v xml:space="preserve"> =&lt;90</v>
      </c>
      <c r="AL3274" s="1" t="str">
        <f>VLOOKUP(C:C,[1]基础信息!B$1:D$65536,3,0)</f>
        <v>Jug</v>
      </c>
      <c r="AM3274" s="1" t="str">
        <f>VLOOKUP(C:C,[1]基础信息!B$1:E$65536,4,0)</f>
        <v>Marella</v>
      </c>
      <c r="AN3274" s="1" t="str">
        <f>VLOOKUP(C:C,[1]基础信息!B$1:F$65536,5,0)</f>
        <v>Blue Glitter</v>
      </c>
    </row>
    <row r="3275" spans="1:40">
      <c r="A3275" s="1" t="s">
        <v>41</v>
      </c>
      <c r="B3275" s="1" t="s">
        <v>42</v>
      </c>
      <c r="C3275" s="1" t="s">
        <v>341</v>
      </c>
      <c r="D3275" s="1" t="s">
        <v>342</v>
      </c>
      <c r="E3275" s="1" t="s">
        <v>45</v>
      </c>
      <c r="F3275" s="1" t="s">
        <v>343</v>
      </c>
      <c r="G3275" s="1" t="s">
        <v>7486</v>
      </c>
      <c r="H3275" s="1" t="s">
        <v>7487</v>
      </c>
      <c r="I3275" s="1" t="s">
        <v>49</v>
      </c>
      <c r="J3275" s="1" t="s">
        <v>48</v>
      </c>
      <c r="K3275" s="1">
        <v>70</v>
      </c>
      <c r="L3275" s="1">
        <v>0</v>
      </c>
      <c r="M3275" s="1">
        <v>0</v>
      </c>
      <c r="N3275" s="1">
        <v>70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 t="s">
        <v>49</v>
      </c>
      <c r="AA3275" s="1" t="s">
        <v>49</v>
      </c>
      <c r="AB3275" s="1" t="s">
        <v>49</v>
      </c>
      <c r="AC3275" s="1" t="s">
        <v>346</v>
      </c>
      <c r="AD3275" s="1" t="s">
        <v>347</v>
      </c>
      <c r="AE3275" s="1" t="s">
        <v>346</v>
      </c>
      <c r="AF3275" s="1" t="s">
        <v>348</v>
      </c>
      <c r="AG3275" s="1" t="s">
        <v>338</v>
      </c>
      <c r="AH3275" s="1" t="s">
        <v>49</v>
      </c>
      <c r="AI3275" s="1" t="s">
        <v>54</v>
      </c>
      <c r="AJ3275" s="1">
        <v>1</v>
      </c>
      <c r="AK3275" s="1" t="str">
        <f t="shared" si="51"/>
        <v xml:space="preserve"> =&lt;90</v>
      </c>
      <c r="AL3275" s="1" t="str">
        <f>VLOOKUP(C:C,[1]基础信息!B$1:D$65536,3,0)</f>
        <v>Jug</v>
      </c>
      <c r="AM3275" s="1" t="str">
        <f>VLOOKUP(C:C,[1]基础信息!B$1:E$65536,4,0)</f>
        <v>Marella</v>
      </c>
      <c r="AN3275" s="1" t="str">
        <f>VLOOKUP(C:C,[1]基础信息!B$1:F$65536,5,0)</f>
        <v>Blue Glitter</v>
      </c>
    </row>
    <row r="3276" spans="1:40">
      <c r="A3276" s="1" t="s">
        <v>41</v>
      </c>
      <c r="B3276" s="1" t="s">
        <v>42</v>
      </c>
      <c r="C3276" s="1" t="s">
        <v>341</v>
      </c>
      <c r="D3276" s="1" t="s">
        <v>342</v>
      </c>
      <c r="E3276" s="1" t="s">
        <v>45</v>
      </c>
      <c r="F3276" s="1" t="s">
        <v>6770</v>
      </c>
      <c r="G3276" s="1" t="s">
        <v>7488</v>
      </c>
      <c r="H3276" s="1" t="s">
        <v>7489</v>
      </c>
      <c r="I3276" s="1" t="s">
        <v>49</v>
      </c>
      <c r="J3276" s="1" t="s">
        <v>48</v>
      </c>
      <c r="K3276" s="1">
        <v>70</v>
      </c>
      <c r="L3276" s="1">
        <v>0</v>
      </c>
      <c r="M3276" s="1">
        <v>0</v>
      </c>
      <c r="N3276" s="1">
        <v>70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 t="s">
        <v>49</v>
      </c>
      <c r="AA3276" s="1" t="s">
        <v>49</v>
      </c>
      <c r="AB3276" s="1" t="s">
        <v>49</v>
      </c>
      <c r="AC3276" s="1" t="s">
        <v>346</v>
      </c>
      <c r="AD3276" s="1" t="s">
        <v>347</v>
      </c>
      <c r="AE3276" s="1" t="s">
        <v>346</v>
      </c>
      <c r="AF3276" s="1" t="s">
        <v>6773</v>
      </c>
      <c r="AG3276" s="1" t="s">
        <v>338</v>
      </c>
      <c r="AH3276" s="1" t="s">
        <v>49</v>
      </c>
      <c r="AI3276" s="1" t="s">
        <v>54</v>
      </c>
      <c r="AJ3276" s="1">
        <v>1</v>
      </c>
      <c r="AK3276" s="1" t="str">
        <f t="shared" si="51"/>
        <v xml:space="preserve"> =&lt;90</v>
      </c>
      <c r="AL3276" s="1" t="str">
        <f>VLOOKUP(C:C,[1]基础信息!B$1:D$65536,3,0)</f>
        <v>Jug</v>
      </c>
      <c r="AM3276" s="1" t="str">
        <f>VLOOKUP(C:C,[1]基础信息!B$1:E$65536,4,0)</f>
        <v>Marella</v>
      </c>
      <c r="AN3276" s="1" t="str">
        <f>VLOOKUP(C:C,[1]基础信息!B$1:F$65536,5,0)</f>
        <v>Blue Glitter</v>
      </c>
    </row>
    <row r="3277" spans="1:40">
      <c r="A3277" s="1" t="s">
        <v>41</v>
      </c>
      <c r="B3277" s="1" t="s">
        <v>42</v>
      </c>
      <c r="C3277" s="1" t="s">
        <v>341</v>
      </c>
      <c r="D3277" s="1" t="s">
        <v>342</v>
      </c>
      <c r="E3277" s="1" t="s">
        <v>45</v>
      </c>
      <c r="F3277" s="1" t="s">
        <v>6770</v>
      </c>
      <c r="G3277" s="1" t="s">
        <v>7490</v>
      </c>
      <c r="H3277" s="1" t="s">
        <v>7491</v>
      </c>
      <c r="I3277" s="1" t="s">
        <v>49</v>
      </c>
      <c r="J3277" s="1" t="s">
        <v>48</v>
      </c>
      <c r="K3277" s="1">
        <v>70</v>
      </c>
      <c r="L3277" s="1">
        <v>0</v>
      </c>
      <c r="M3277" s="1">
        <v>0</v>
      </c>
      <c r="N3277" s="1">
        <v>70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 t="s">
        <v>49</v>
      </c>
      <c r="AA3277" s="1" t="s">
        <v>49</v>
      </c>
      <c r="AB3277" s="1" t="s">
        <v>49</v>
      </c>
      <c r="AC3277" s="1" t="s">
        <v>346</v>
      </c>
      <c r="AD3277" s="1" t="s">
        <v>347</v>
      </c>
      <c r="AE3277" s="1" t="s">
        <v>346</v>
      </c>
      <c r="AF3277" s="1" t="s">
        <v>6773</v>
      </c>
      <c r="AG3277" s="1" t="s">
        <v>338</v>
      </c>
      <c r="AH3277" s="1" t="s">
        <v>49</v>
      </c>
      <c r="AI3277" s="1" t="s">
        <v>54</v>
      </c>
      <c r="AJ3277" s="1">
        <v>1</v>
      </c>
      <c r="AK3277" s="1" t="str">
        <f t="shared" si="51"/>
        <v xml:space="preserve"> =&lt;90</v>
      </c>
      <c r="AL3277" s="1" t="str">
        <f>VLOOKUP(C:C,[1]基础信息!B$1:D$65536,3,0)</f>
        <v>Jug</v>
      </c>
      <c r="AM3277" s="1" t="str">
        <f>VLOOKUP(C:C,[1]基础信息!B$1:E$65536,4,0)</f>
        <v>Marella</v>
      </c>
      <c r="AN3277" s="1" t="str">
        <f>VLOOKUP(C:C,[1]基础信息!B$1:F$65536,5,0)</f>
        <v>Blue Glitter</v>
      </c>
    </row>
    <row r="3278" spans="1:40">
      <c r="A3278" s="1" t="s">
        <v>41</v>
      </c>
      <c r="B3278" s="1" t="s">
        <v>42</v>
      </c>
      <c r="C3278" s="1" t="s">
        <v>341</v>
      </c>
      <c r="D3278" s="1" t="s">
        <v>342</v>
      </c>
      <c r="E3278" s="1" t="s">
        <v>45</v>
      </c>
      <c r="F3278" s="1" t="s">
        <v>6770</v>
      </c>
      <c r="G3278" s="1" t="s">
        <v>7492</v>
      </c>
      <c r="H3278" s="1" t="s">
        <v>7493</v>
      </c>
      <c r="I3278" s="1" t="s">
        <v>49</v>
      </c>
      <c r="J3278" s="1" t="s">
        <v>48</v>
      </c>
      <c r="K3278" s="1">
        <v>70</v>
      </c>
      <c r="L3278" s="1">
        <v>0</v>
      </c>
      <c r="M3278" s="1">
        <v>0</v>
      </c>
      <c r="N3278" s="1">
        <v>70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 t="s">
        <v>49</v>
      </c>
      <c r="AA3278" s="1" t="s">
        <v>49</v>
      </c>
      <c r="AB3278" s="1" t="s">
        <v>49</v>
      </c>
      <c r="AC3278" s="1" t="s">
        <v>346</v>
      </c>
      <c r="AD3278" s="1" t="s">
        <v>347</v>
      </c>
      <c r="AE3278" s="1" t="s">
        <v>346</v>
      </c>
      <c r="AF3278" s="1" t="s">
        <v>6773</v>
      </c>
      <c r="AG3278" s="1" t="s">
        <v>338</v>
      </c>
      <c r="AH3278" s="1" t="s">
        <v>49</v>
      </c>
      <c r="AI3278" s="1" t="s">
        <v>54</v>
      </c>
      <c r="AJ3278" s="1">
        <v>1</v>
      </c>
      <c r="AK3278" s="1" t="str">
        <f t="shared" si="51"/>
        <v xml:space="preserve"> =&lt;90</v>
      </c>
      <c r="AL3278" s="1" t="str">
        <f>VLOOKUP(C:C,[1]基础信息!B$1:D$65536,3,0)</f>
        <v>Jug</v>
      </c>
      <c r="AM3278" s="1" t="str">
        <f>VLOOKUP(C:C,[1]基础信息!B$1:E$65536,4,0)</f>
        <v>Marella</v>
      </c>
      <c r="AN3278" s="1" t="str">
        <f>VLOOKUP(C:C,[1]基础信息!B$1:F$65536,5,0)</f>
        <v>Blue Glitter</v>
      </c>
    </row>
    <row r="3279" spans="1:40">
      <c r="A3279" s="1" t="s">
        <v>41</v>
      </c>
      <c r="B3279" s="1" t="s">
        <v>42</v>
      </c>
      <c r="C3279" s="1" t="s">
        <v>43</v>
      </c>
      <c r="D3279" s="1" t="s">
        <v>44</v>
      </c>
      <c r="E3279" s="1" t="s">
        <v>45</v>
      </c>
      <c r="F3279" s="1" t="s">
        <v>7494</v>
      </c>
      <c r="G3279" s="1" t="s">
        <v>7495</v>
      </c>
      <c r="H3279" s="1" t="s">
        <v>45</v>
      </c>
      <c r="I3279" s="1" t="s">
        <v>45</v>
      </c>
      <c r="J3279" s="1" t="s">
        <v>48</v>
      </c>
      <c r="K3279" s="1">
        <v>77</v>
      </c>
      <c r="L3279" s="1">
        <v>0</v>
      </c>
      <c r="M3279" s="1">
        <v>0</v>
      </c>
      <c r="N3279" s="1">
        <v>77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 t="s">
        <v>49</v>
      </c>
      <c r="AA3279" s="1" t="s">
        <v>49</v>
      </c>
      <c r="AB3279" s="1" t="s">
        <v>49</v>
      </c>
      <c r="AC3279" s="1" t="s">
        <v>6810</v>
      </c>
      <c r="AD3279" s="1" t="s">
        <v>6811</v>
      </c>
      <c r="AE3279" s="1" t="s">
        <v>6810</v>
      </c>
      <c r="AF3279" s="1" t="s">
        <v>49</v>
      </c>
      <c r="AG3279" s="1" t="s">
        <v>3464</v>
      </c>
      <c r="AH3279" s="1" t="s">
        <v>49</v>
      </c>
      <c r="AI3279" s="1" t="s">
        <v>54</v>
      </c>
      <c r="AJ3279" s="1">
        <v>1</v>
      </c>
      <c r="AK3279" s="1" t="str">
        <f t="shared" si="51"/>
        <v xml:space="preserve"> =&lt;90</v>
      </c>
      <c r="AL3279" s="1" t="str">
        <f>VLOOKUP(C:C,[1]基础信息!B$1:D$65536,3,0)</f>
        <v>Jug</v>
      </c>
      <c r="AM3279" s="1" t="str">
        <f>VLOOKUP(C:C,[1]基础信息!B$1:E$65536,4,0)</f>
        <v>Marella XL</v>
      </c>
      <c r="AN3279" s="1" t="str">
        <f>VLOOKUP(C:C,[1]基础信息!B$1:F$65536,5,0)</f>
        <v>Black</v>
      </c>
    </row>
    <row r="3280" spans="1:40">
      <c r="A3280" s="1" t="s">
        <v>41</v>
      </c>
      <c r="B3280" s="1" t="s">
        <v>42</v>
      </c>
      <c r="C3280" s="1" t="s">
        <v>43</v>
      </c>
      <c r="D3280" s="1" t="s">
        <v>44</v>
      </c>
      <c r="E3280" s="1" t="s">
        <v>45</v>
      </c>
      <c r="F3280" s="1" t="s">
        <v>7494</v>
      </c>
      <c r="G3280" s="1" t="s">
        <v>7496</v>
      </c>
      <c r="H3280" s="1" t="s">
        <v>45</v>
      </c>
      <c r="I3280" s="1" t="s">
        <v>45</v>
      </c>
      <c r="J3280" s="1" t="s">
        <v>48</v>
      </c>
      <c r="K3280" s="1">
        <v>96</v>
      </c>
      <c r="L3280" s="1">
        <v>0</v>
      </c>
      <c r="M3280" s="1">
        <v>0</v>
      </c>
      <c r="N3280" s="1">
        <v>96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 t="s">
        <v>49</v>
      </c>
      <c r="AA3280" s="1" t="s">
        <v>49</v>
      </c>
      <c r="AB3280" s="1" t="s">
        <v>49</v>
      </c>
      <c r="AC3280" s="1" t="s">
        <v>6810</v>
      </c>
      <c r="AD3280" s="1" t="s">
        <v>6811</v>
      </c>
      <c r="AE3280" s="1" t="s">
        <v>6810</v>
      </c>
      <c r="AF3280" s="1" t="s">
        <v>49</v>
      </c>
      <c r="AG3280" s="1" t="s">
        <v>3464</v>
      </c>
      <c r="AH3280" s="1" t="s">
        <v>49</v>
      </c>
      <c r="AI3280" s="1" t="s">
        <v>54</v>
      </c>
      <c r="AJ3280" s="1">
        <v>1</v>
      </c>
      <c r="AK3280" s="1" t="str">
        <f t="shared" si="51"/>
        <v xml:space="preserve"> =&lt;90</v>
      </c>
      <c r="AL3280" s="1" t="str">
        <f>VLOOKUP(C:C,[1]基础信息!B$1:D$65536,3,0)</f>
        <v>Jug</v>
      </c>
      <c r="AM3280" s="1" t="str">
        <f>VLOOKUP(C:C,[1]基础信息!B$1:E$65536,4,0)</f>
        <v>Marella XL</v>
      </c>
      <c r="AN3280" s="1" t="str">
        <f>VLOOKUP(C:C,[1]基础信息!B$1:F$65536,5,0)</f>
        <v>Black</v>
      </c>
    </row>
    <row r="3281" spans="1:40">
      <c r="A3281" s="1" t="s">
        <v>41</v>
      </c>
      <c r="B3281" s="1" t="s">
        <v>42</v>
      </c>
      <c r="C3281" s="1" t="s">
        <v>43</v>
      </c>
      <c r="D3281" s="1" t="s">
        <v>44</v>
      </c>
      <c r="E3281" s="1" t="s">
        <v>45</v>
      </c>
      <c r="F3281" s="1" t="s">
        <v>7494</v>
      </c>
      <c r="G3281" s="1" t="s">
        <v>7497</v>
      </c>
      <c r="H3281" s="1" t="s">
        <v>45</v>
      </c>
      <c r="I3281" s="1" t="s">
        <v>45</v>
      </c>
      <c r="J3281" s="1" t="s">
        <v>48</v>
      </c>
      <c r="K3281" s="1">
        <v>96</v>
      </c>
      <c r="L3281" s="1">
        <v>0</v>
      </c>
      <c r="M3281" s="1">
        <v>0</v>
      </c>
      <c r="N3281" s="1">
        <v>96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 t="s">
        <v>49</v>
      </c>
      <c r="AA3281" s="1" t="s">
        <v>49</v>
      </c>
      <c r="AB3281" s="1" t="s">
        <v>49</v>
      </c>
      <c r="AC3281" s="1" t="s">
        <v>6810</v>
      </c>
      <c r="AD3281" s="1" t="s">
        <v>6811</v>
      </c>
      <c r="AE3281" s="1" t="s">
        <v>6810</v>
      </c>
      <c r="AF3281" s="1" t="s">
        <v>49</v>
      </c>
      <c r="AG3281" s="1" t="s">
        <v>3464</v>
      </c>
      <c r="AH3281" s="1" t="s">
        <v>49</v>
      </c>
      <c r="AI3281" s="1" t="s">
        <v>54</v>
      </c>
      <c r="AJ3281" s="1">
        <v>1</v>
      </c>
      <c r="AK3281" s="1" t="str">
        <f t="shared" si="51"/>
        <v xml:space="preserve"> =&lt;90</v>
      </c>
      <c r="AL3281" s="1" t="str">
        <f>VLOOKUP(C:C,[1]基础信息!B$1:D$65536,3,0)</f>
        <v>Jug</v>
      </c>
      <c r="AM3281" s="1" t="str">
        <f>VLOOKUP(C:C,[1]基础信息!B$1:E$65536,4,0)</f>
        <v>Marella XL</v>
      </c>
      <c r="AN3281" s="1" t="str">
        <f>VLOOKUP(C:C,[1]基础信息!B$1:F$65536,5,0)</f>
        <v>Black</v>
      </c>
    </row>
    <row r="3282" spans="1:40">
      <c r="A3282" s="1" t="s">
        <v>41</v>
      </c>
      <c r="B3282" s="1" t="s">
        <v>42</v>
      </c>
      <c r="C3282" s="1" t="s">
        <v>43</v>
      </c>
      <c r="D3282" s="1" t="s">
        <v>44</v>
      </c>
      <c r="E3282" s="1" t="s">
        <v>45</v>
      </c>
      <c r="F3282" s="1" t="s">
        <v>7494</v>
      </c>
      <c r="G3282" s="1" t="s">
        <v>7498</v>
      </c>
      <c r="H3282" s="1" t="s">
        <v>45</v>
      </c>
      <c r="I3282" s="1" t="s">
        <v>45</v>
      </c>
      <c r="J3282" s="1" t="s">
        <v>48</v>
      </c>
      <c r="K3282" s="1">
        <v>96</v>
      </c>
      <c r="L3282" s="1">
        <v>0</v>
      </c>
      <c r="M3282" s="1">
        <v>0</v>
      </c>
      <c r="N3282" s="1">
        <v>96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 t="s">
        <v>49</v>
      </c>
      <c r="AA3282" s="1" t="s">
        <v>49</v>
      </c>
      <c r="AB3282" s="1" t="s">
        <v>49</v>
      </c>
      <c r="AC3282" s="1" t="s">
        <v>6810</v>
      </c>
      <c r="AD3282" s="1" t="s">
        <v>6811</v>
      </c>
      <c r="AE3282" s="1" t="s">
        <v>6810</v>
      </c>
      <c r="AF3282" s="1" t="s">
        <v>49</v>
      </c>
      <c r="AG3282" s="1" t="s">
        <v>3464</v>
      </c>
      <c r="AH3282" s="1" t="s">
        <v>49</v>
      </c>
      <c r="AI3282" s="1" t="s">
        <v>54</v>
      </c>
      <c r="AJ3282" s="1">
        <v>1</v>
      </c>
      <c r="AK3282" s="1" t="str">
        <f t="shared" si="51"/>
        <v xml:space="preserve"> =&lt;90</v>
      </c>
      <c r="AL3282" s="1" t="str">
        <f>VLOOKUP(C:C,[1]基础信息!B$1:D$65536,3,0)</f>
        <v>Jug</v>
      </c>
      <c r="AM3282" s="1" t="str">
        <f>VLOOKUP(C:C,[1]基础信息!B$1:E$65536,4,0)</f>
        <v>Marella XL</v>
      </c>
      <c r="AN3282" s="1" t="str">
        <f>VLOOKUP(C:C,[1]基础信息!B$1:F$65536,5,0)</f>
        <v>Black</v>
      </c>
    </row>
    <row r="3283" spans="1:40">
      <c r="A3283" s="1" t="s">
        <v>41</v>
      </c>
      <c r="B3283" s="1" t="s">
        <v>42</v>
      </c>
      <c r="C3283" s="1" t="s">
        <v>43</v>
      </c>
      <c r="D3283" s="1" t="s">
        <v>44</v>
      </c>
      <c r="E3283" s="1" t="s">
        <v>45</v>
      </c>
      <c r="F3283" s="1" t="s">
        <v>7494</v>
      </c>
      <c r="G3283" s="1" t="s">
        <v>7499</v>
      </c>
      <c r="H3283" s="1" t="s">
        <v>45</v>
      </c>
      <c r="I3283" s="1" t="s">
        <v>45</v>
      </c>
      <c r="J3283" s="1" t="s">
        <v>48</v>
      </c>
      <c r="K3283" s="1">
        <v>96</v>
      </c>
      <c r="L3283" s="1">
        <v>0</v>
      </c>
      <c r="M3283" s="1">
        <v>0</v>
      </c>
      <c r="N3283" s="1">
        <v>96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 t="s">
        <v>49</v>
      </c>
      <c r="AA3283" s="1" t="s">
        <v>49</v>
      </c>
      <c r="AB3283" s="1" t="s">
        <v>49</v>
      </c>
      <c r="AC3283" s="1" t="s">
        <v>6810</v>
      </c>
      <c r="AD3283" s="1" t="s">
        <v>6811</v>
      </c>
      <c r="AE3283" s="1" t="s">
        <v>6810</v>
      </c>
      <c r="AF3283" s="1" t="s">
        <v>49</v>
      </c>
      <c r="AG3283" s="1" t="s">
        <v>3464</v>
      </c>
      <c r="AH3283" s="1" t="s">
        <v>49</v>
      </c>
      <c r="AI3283" s="1" t="s">
        <v>54</v>
      </c>
      <c r="AJ3283" s="1">
        <v>1</v>
      </c>
      <c r="AK3283" s="1" t="str">
        <f t="shared" si="51"/>
        <v xml:space="preserve"> =&lt;90</v>
      </c>
      <c r="AL3283" s="1" t="str">
        <f>VLOOKUP(C:C,[1]基础信息!B$1:D$65536,3,0)</f>
        <v>Jug</v>
      </c>
      <c r="AM3283" s="1" t="str">
        <f>VLOOKUP(C:C,[1]基础信息!B$1:E$65536,4,0)</f>
        <v>Marella XL</v>
      </c>
      <c r="AN3283" s="1" t="str">
        <f>VLOOKUP(C:C,[1]基础信息!B$1:F$65536,5,0)</f>
        <v>Black</v>
      </c>
    </row>
    <row r="3284" spans="1:40">
      <c r="A3284" s="1" t="s">
        <v>41</v>
      </c>
      <c r="B3284" s="1" t="s">
        <v>42</v>
      </c>
      <c r="C3284" s="1" t="s">
        <v>43</v>
      </c>
      <c r="D3284" s="1" t="s">
        <v>44</v>
      </c>
      <c r="E3284" s="1" t="s">
        <v>45</v>
      </c>
      <c r="F3284" s="1" t="s">
        <v>7494</v>
      </c>
      <c r="G3284" s="1" t="s">
        <v>7500</v>
      </c>
      <c r="H3284" s="1" t="s">
        <v>45</v>
      </c>
      <c r="I3284" s="1" t="s">
        <v>45</v>
      </c>
      <c r="J3284" s="1" t="s">
        <v>48</v>
      </c>
      <c r="K3284" s="1">
        <v>96</v>
      </c>
      <c r="L3284" s="1">
        <v>0</v>
      </c>
      <c r="M3284" s="1">
        <v>0</v>
      </c>
      <c r="N3284" s="1">
        <v>96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 t="s">
        <v>49</v>
      </c>
      <c r="AA3284" s="1" t="s">
        <v>49</v>
      </c>
      <c r="AB3284" s="1" t="s">
        <v>49</v>
      </c>
      <c r="AC3284" s="1" t="s">
        <v>6810</v>
      </c>
      <c r="AD3284" s="1" t="s">
        <v>6811</v>
      </c>
      <c r="AE3284" s="1" t="s">
        <v>6810</v>
      </c>
      <c r="AF3284" s="1" t="s">
        <v>49</v>
      </c>
      <c r="AG3284" s="1" t="s">
        <v>3464</v>
      </c>
      <c r="AH3284" s="1" t="s">
        <v>49</v>
      </c>
      <c r="AI3284" s="1" t="s">
        <v>54</v>
      </c>
      <c r="AJ3284" s="1">
        <v>1</v>
      </c>
      <c r="AK3284" s="1" t="str">
        <f t="shared" si="51"/>
        <v xml:space="preserve"> =&lt;90</v>
      </c>
      <c r="AL3284" s="1" t="str">
        <f>VLOOKUP(C:C,[1]基础信息!B$1:D$65536,3,0)</f>
        <v>Jug</v>
      </c>
      <c r="AM3284" s="1" t="str">
        <f>VLOOKUP(C:C,[1]基础信息!B$1:E$65536,4,0)</f>
        <v>Marella XL</v>
      </c>
      <c r="AN3284" s="1" t="str">
        <f>VLOOKUP(C:C,[1]基础信息!B$1:F$65536,5,0)</f>
        <v>Black</v>
      </c>
    </row>
    <row r="3285" spans="1:40">
      <c r="A3285" s="1" t="s">
        <v>41</v>
      </c>
      <c r="B3285" s="1" t="s">
        <v>42</v>
      </c>
      <c r="C3285" s="1" t="s">
        <v>3971</v>
      </c>
      <c r="D3285" s="1" t="s">
        <v>3972</v>
      </c>
      <c r="E3285" s="1" t="s">
        <v>45</v>
      </c>
      <c r="F3285" s="1" t="s">
        <v>7501</v>
      </c>
      <c r="G3285" s="1" t="s">
        <v>7502</v>
      </c>
      <c r="H3285" s="1" t="s">
        <v>7503</v>
      </c>
      <c r="I3285" s="1" t="s">
        <v>49</v>
      </c>
      <c r="J3285" s="1" t="s">
        <v>48</v>
      </c>
      <c r="K3285" s="1">
        <v>96</v>
      </c>
      <c r="L3285" s="1">
        <v>5</v>
      </c>
      <c r="M3285" s="1">
        <v>0</v>
      </c>
      <c r="N3285" s="1">
        <v>91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 t="s">
        <v>49</v>
      </c>
      <c r="AA3285" s="1" t="s">
        <v>49</v>
      </c>
      <c r="AB3285" s="1" t="s">
        <v>49</v>
      </c>
      <c r="AC3285" s="1" t="s">
        <v>2658</v>
      </c>
      <c r="AD3285" s="1" t="s">
        <v>2659</v>
      </c>
      <c r="AE3285" s="1" t="s">
        <v>2658</v>
      </c>
      <c r="AF3285" s="1" t="s">
        <v>3976</v>
      </c>
      <c r="AG3285" s="1" t="s">
        <v>53</v>
      </c>
      <c r="AH3285" s="1" t="s">
        <v>49</v>
      </c>
      <c r="AI3285" s="1" t="s">
        <v>54</v>
      </c>
      <c r="AJ3285" s="1">
        <v>1</v>
      </c>
      <c r="AK3285" s="1" t="str">
        <f t="shared" si="51"/>
        <v xml:space="preserve"> =&lt;90</v>
      </c>
      <c r="AL3285" s="1" t="str">
        <f>VLOOKUP(C:C,[1]基础信息!B$1:D$65536,3,0)</f>
        <v>Jug</v>
      </c>
      <c r="AM3285" s="1" t="str">
        <f>VLOOKUP(C:C,[1]基础信息!B$1:E$65536,4,0)</f>
        <v>Mxplus</v>
      </c>
      <c r="AN3285" s="1" t="str">
        <f>VLOOKUP(C:C,[1]基础信息!B$1:F$65536,5,0)</f>
        <v xml:space="preserve"> lime</v>
      </c>
    </row>
    <row r="3286" spans="1:40">
      <c r="A3286" s="1" t="s">
        <v>41</v>
      </c>
      <c r="B3286" s="1" t="s">
        <v>42</v>
      </c>
      <c r="C3286" s="1" t="s">
        <v>3971</v>
      </c>
      <c r="D3286" s="1" t="s">
        <v>3972</v>
      </c>
      <c r="E3286" s="1" t="s">
        <v>45</v>
      </c>
      <c r="F3286" s="1" t="s">
        <v>7501</v>
      </c>
      <c r="G3286" s="1" t="s">
        <v>7504</v>
      </c>
      <c r="H3286" s="1" t="s">
        <v>7505</v>
      </c>
      <c r="I3286" s="1" t="s">
        <v>49</v>
      </c>
      <c r="J3286" s="1" t="s">
        <v>48</v>
      </c>
      <c r="K3286" s="1">
        <v>96</v>
      </c>
      <c r="L3286" s="1">
        <v>0</v>
      </c>
      <c r="M3286" s="1">
        <v>0</v>
      </c>
      <c r="N3286" s="1">
        <v>96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 t="s">
        <v>49</v>
      </c>
      <c r="AA3286" s="1" t="s">
        <v>49</v>
      </c>
      <c r="AB3286" s="1" t="s">
        <v>49</v>
      </c>
      <c r="AC3286" s="1" t="s">
        <v>2658</v>
      </c>
      <c r="AD3286" s="1" t="s">
        <v>2659</v>
      </c>
      <c r="AE3286" s="1" t="s">
        <v>2658</v>
      </c>
      <c r="AF3286" s="1" t="s">
        <v>3976</v>
      </c>
      <c r="AG3286" s="1" t="s">
        <v>53</v>
      </c>
      <c r="AH3286" s="1" t="s">
        <v>49</v>
      </c>
      <c r="AI3286" s="1" t="s">
        <v>54</v>
      </c>
      <c r="AJ3286" s="1">
        <v>1</v>
      </c>
      <c r="AK3286" s="1" t="str">
        <f t="shared" si="51"/>
        <v xml:space="preserve"> =&lt;90</v>
      </c>
      <c r="AL3286" s="1" t="str">
        <f>VLOOKUP(C:C,[1]基础信息!B$1:D$65536,3,0)</f>
        <v>Jug</v>
      </c>
      <c r="AM3286" s="1" t="str">
        <f>VLOOKUP(C:C,[1]基础信息!B$1:E$65536,4,0)</f>
        <v>Mxplus</v>
      </c>
      <c r="AN3286" s="1" t="str">
        <f>VLOOKUP(C:C,[1]基础信息!B$1:F$65536,5,0)</f>
        <v xml:space="preserve"> lime</v>
      </c>
    </row>
    <row r="3287" spans="1:40">
      <c r="A3287" s="1" t="s">
        <v>41</v>
      </c>
      <c r="B3287" s="1" t="s">
        <v>42</v>
      </c>
      <c r="C3287" s="1" t="s">
        <v>3971</v>
      </c>
      <c r="D3287" s="1" t="s">
        <v>3972</v>
      </c>
      <c r="E3287" s="1" t="s">
        <v>45</v>
      </c>
      <c r="F3287" s="1" t="s">
        <v>7501</v>
      </c>
      <c r="G3287" s="1" t="s">
        <v>7506</v>
      </c>
      <c r="H3287" s="1" t="s">
        <v>7507</v>
      </c>
      <c r="I3287" s="1" t="s">
        <v>49</v>
      </c>
      <c r="J3287" s="1" t="s">
        <v>48</v>
      </c>
      <c r="K3287" s="1">
        <v>96</v>
      </c>
      <c r="L3287" s="1">
        <v>0</v>
      </c>
      <c r="M3287" s="1">
        <v>0</v>
      </c>
      <c r="N3287" s="1">
        <v>96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 t="s">
        <v>49</v>
      </c>
      <c r="AA3287" s="1" t="s">
        <v>49</v>
      </c>
      <c r="AB3287" s="1" t="s">
        <v>49</v>
      </c>
      <c r="AC3287" s="1" t="s">
        <v>2658</v>
      </c>
      <c r="AD3287" s="1" t="s">
        <v>2659</v>
      </c>
      <c r="AE3287" s="1" t="s">
        <v>2658</v>
      </c>
      <c r="AF3287" s="1" t="s">
        <v>3976</v>
      </c>
      <c r="AG3287" s="1" t="s">
        <v>53</v>
      </c>
      <c r="AH3287" s="1" t="s">
        <v>49</v>
      </c>
      <c r="AI3287" s="1" t="s">
        <v>54</v>
      </c>
      <c r="AJ3287" s="1">
        <v>1</v>
      </c>
      <c r="AK3287" s="1" t="str">
        <f t="shared" si="51"/>
        <v xml:space="preserve"> =&lt;90</v>
      </c>
      <c r="AL3287" s="1" t="str">
        <f>VLOOKUP(C:C,[1]基础信息!B$1:D$65536,3,0)</f>
        <v>Jug</v>
      </c>
      <c r="AM3287" s="1" t="str">
        <f>VLOOKUP(C:C,[1]基础信息!B$1:E$65536,4,0)</f>
        <v>Mxplus</v>
      </c>
      <c r="AN3287" s="1" t="str">
        <f>VLOOKUP(C:C,[1]基础信息!B$1:F$65536,5,0)</f>
        <v xml:space="preserve"> lime</v>
      </c>
    </row>
    <row r="3288" spans="1:40">
      <c r="A3288" s="1" t="s">
        <v>41</v>
      </c>
      <c r="B3288" s="1" t="s">
        <v>42</v>
      </c>
      <c r="C3288" s="1" t="s">
        <v>3971</v>
      </c>
      <c r="D3288" s="1" t="s">
        <v>3972</v>
      </c>
      <c r="E3288" s="1" t="s">
        <v>45</v>
      </c>
      <c r="F3288" s="1" t="s">
        <v>7501</v>
      </c>
      <c r="G3288" s="1" t="s">
        <v>7508</v>
      </c>
      <c r="H3288" s="1" t="s">
        <v>7509</v>
      </c>
      <c r="I3288" s="1" t="s">
        <v>49</v>
      </c>
      <c r="J3288" s="1" t="s">
        <v>48</v>
      </c>
      <c r="K3288" s="1">
        <v>96</v>
      </c>
      <c r="L3288" s="1">
        <v>0</v>
      </c>
      <c r="M3288" s="1">
        <v>0</v>
      </c>
      <c r="N3288" s="1">
        <v>96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 t="s">
        <v>49</v>
      </c>
      <c r="AA3288" s="1" t="s">
        <v>49</v>
      </c>
      <c r="AB3288" s="1" t="s">
        <v>49</v>
      </c>
      <c r="AC3288" s="1" t="s">
        <v>2658</v>
      </c>
      <c r="AD3288" s="1" t="s">
        <v>2659</v>
      </c>
      <c r="AE3288" s="1" t="s">
        <v>2658</v>
      </c>
      <c r="AF3288" s="1" t="s">
        <v>3976</v>
      </c>
      <c r="AG3288" s="1" t="s">
        <v>53</v>
      </c>
      <c r="AH3288" s="1" t="s">
        <v>49</v>
      </c>
      <c r="AI3288" s="1" t="s">
        <v>54</v>
      </c>
      <c r="AJ3288" s="1">
        <v>1</v>
      </c>
      <c r="AK3288" s="1" t="str">
        <f t="shared" si="51"/>
        <v xml:space="preserve"> =&lt;90</v>
      </c>
      <c r="AL3288" s="1" t="str">
        <f>VLOOKUP(C:C,[1]基础信息!B$1:D$65536,3,0)</f>
        <v>Jug</v>
      </c>
      <c r="AM3288" s="1" t="str">
        <f>VLOOKUP(C:C,[1]基础信息!B$1:E$65536,4,0)</f>
        <v>Mxplus</v>
      </c>
      <c r="AN3288" s="1" t="str">
        <f>VLOOKUP(C:C,[1]基础信息!B$1:F$65536,5,0)</f>
        <v xml:space="preserve"> lime</v>
      </c>
    </row>
    <row r="3289" spans="1:40">
      <c r="A3289" s="1" t="s">
        <v>41</v>
      </c>
      <c r="B3289" s="1" t="s">
        <v>42</v>
      </c>
      <c r="C3289" s="1" t="s">
        <v>3971</v>
      </c>
      <c r="D3289" s="1" t="s">
        <v>3972</v>
      </c>
      <c r="E3289" s="1" t="s">
        <v>45</v>
      </c>
      <c r="F3289" s="1" t="s">
        <v>7501</v>
      </c>
      <c r="G3289" s="1" t="s">
        <v>7510</v>
      </c>
      <c r="H3289" s="1" t="s">
        <v>7511</v>
      </c>
      <c r="I3289" s="1" t="s">
        <v>49</v>
      </c>
      <c r="J3289" s="1" t="s">
        <v>48</v>
      </c>
      <c r="K3289" s="1">
        <v>96</v>
      </c>
      <c r="L3289" s="1">
        <v>0</v>
      </c>
      <c r="M3289" s="1">
        <v>0</v>
      </c>
      <c r="N3289" s="1">
        <v>96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 t="s">
        <v>49</v>
      </c>
      <c r="AA3289" s="1" t="s">
        <v>49</v>
      </c>
      <c r="AB3289" s="1" t="s">
        <v>49</v>
      </c>
      <c r="AC3289" s="1" t="s">
        <v>2658</v>
      </c>
      <c r="AD3289" s="1" t="s">
        <v>2659</v>
      </c>
      <c r="AE3289" s="1" t="s">
        <v>2658</v>
      </c>
      <c r="AF3289" s="1" t="s">
        <v>3976</v>
      </c>
      <c r="AG3289" s="1" t="s">
        <v>53</v>
      </c>
      <c r="AH3289" s="1" t="s">
        <v>49</v>
      </c>
      <c r="AI3289" s="1" t="s">
        <v>54</v>
      </c>
      <c r="AJ3289" s="1">
        <v>1</v>
      </c>
      <c r="AK3289" s="1" t="str">
        <f t="shared" si="51"/>
        <v xml:space="preserve"> =&lt;90</v>
      </c>
      <c r="AL3289" s="1" t="str">
        <f>VLOOKUP(C:C,[1]基础信息!B$1:D$65536,3,0)</f>
        <v>Jug</v>
      </c>
      <c r="AM3289" s="1" t="str">
        <f>VLOOKUP(C:C,[1]基础信息!B$1:E$65536,4,0)</f>
        <v>Mxplus</v>
      </c>
      <c r="AN3289" s="1" t="str">
        <f>VLOOKUP(C:C,[1]基础信息!B$1:F$65536,5,0)</f>
        <v xml:space="preserve"> lime</v>
      </c>
    </row>
    <row r="3290" spans="1:40">
      <c r="A3290" s="1" t="s">
        <v>41</v>
      </c>
      <c r="B3290" s="1" t="s">
        <v>42</v>
      </c>
      <c r="C3290" s="1" t="s">
        <v>3999</v>
      </c>
      <c r="D3290" s="1" t="s">
        <v>4000</v>
      </c>
      <c r="E3290" s="1" t="s">
        <v>45</v>
      </c>
      <c r="F3290" s="1" t="s">
        <v>7512</v>
      </c>
      <c r="G3290" s="1" t="s">
        <v>7513</v>
      </c>
      <c r="H3290" s="1" t="s">
        <v>45</v>
      </c>
      <c r="I3290" s="1" t="s">
        <v>45</v>
      </c>
      <c r="J3290" s="1" t="s">
        <v>48</v>
      </c>
      <c r="K3290" s="1">
        <v>28</v>
      </c>
      <c r="L3290" s="1">
        <v>0</v>
      </c>
      <c r="M3290" s="1">
        <v>0</v>
      </c>
      <c r="N3290" s="1">
        <v>28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 t="s">
        <v>49</v>
      </c>
      <c r="AA3290" s="1" t="s">
        <v>49</v>
      </c>
      <c r="AB3290" s="1" t="s">
        <v>49</v>
      </c>
      <c r="AC3290" s="1" t="s">
        <v>5410</v>
      </c>
      <c r="AD3290" s="1" t="s">
        <v>5411</v>
      </c>
      <c r="AE3290" s="1" t="s">
        <v>5410</v>
      </c>
      <c r="AF3290" s="1" t="s">
        <v>49</v>
      </c>
      <c r="AG3290" s="1" t="s">
        <v>3464</v>
      </c>
      <c r="AH3290" s="1" t="s">
        <v>49</v>
      </c>
      <c r="AI3290" s="1" t="s">
        <v>54</v>
      </c>
      <c r="AJ3290" s="1">
        <v>1</v>
      </c>
      <c r="AK3290" s="1" t="str">
        <f t="shared" si="51"/>
        <v xml:space="preserve"> =&lt;90</v>
      </c>
      <c r="AL3290" s="1" t="str">
        <f>VLOOKUP(C:C,[1]基础信息!B$1:D$65536,3,0)</f>
        <v>Jug</v>
      </c>
      <c r="AM3290" s="1" t="str">
        <f>VLOOKUP(C:C,[1]基础信息!B$1:E$65536,4,0)</f>
        <v>Aluna</v>
      </c>
      <c r="AN3290" s="1" t="str">
        <f>VLOOKUP(C:C,[1]基础信息!B$1:F$65536,5,0)</f>
        <v>Blue</v>
      </c>
    </row>
    <row r="3291" spans="1:40">
      <c r="A3291" s="1" t="s">
        <v>41</v>
      </c>
      <c r="B3291" s="1" t="s">
        <v>42</v>
      </c>
      <c r="C3291" s="1" t="s">
        <v>3971</v>
      </c>
      <c r="D3291" s="1" t="s">
        <v>3972</v>
      </c>
      <c r="E3291" s="1" t="s">
        <v>45</v>
      </c>
      <c r="F3291" s="1" t="s">
        <v>7501</v>
      </c>
      <c r="G3291" s="1" t="s">
        <v>7514</v>
      </c>
      <c r="H3291" s="1" t="s">
        <v>7515</v>
      </c>
      <c r="I3291" s="1" t="s">
        <v>49</v>
      </c>
      <c r="J3291" s="1" t="s">
        <v>48</v>
      </c>
      <c r="K3291" s="1">
        <v>96</v>
      </c>
      <c r="L3291" s="1">
        <v>0</v>
      </c>
      <c r="M3291" s="1">
        <v>0</v>
      </c>
      <c r="N3291" s="1">
        <v>96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 t="s">
        <v>49</v>
      </c>
      <c r="AA3291" s="1" t="s">
        <v>49</v>
      </c>
      <c r="AB3291" s="1" t="s">
        <v>49</v>
      </c>
      <c r="AC3291" s="1" t="s">
        <v>2658</v>
      </c>
      <c r="AD3291" s="1" t="s">
        <v>2659</v>
      </c>
      <c r="AE3291" s="1" t="s">
        <v>2658</v>
      </c>
      <c r="AF3291" s="1" t="s">
        <v>3976</v>
      </c>
      <c r="AG3291" s="1" t="s">
        <v>53</v>
      </c>
      <c r="AH3291" s="1" t="s">
        <v>49</v>
      </c>
      <c r="AI3291" s="1" t="s">
        <v>54</v>
      </c>
      <c r="AJ3291" s="1">
        <v>1</v>
      </c>
      <c r="AK3291" s="1" t="str">
        <f t="shared" si="51"/>
        <v xml:space="preserve"> =&lt;90</v>
      </c>
      <c r="AL3291" s="1" t="str">
        <f>VLOOKUP(C:C,[1]基础信息!B$1:D$65536,3,0)</f>
        <v>Jug</v>
      </c>
      <c r="AM3291" s="1" t="str">
        <f>VLOOKUP(C:C,[1]基础信息!B$1:E$65536,4,0)</f>
        <v>Mxplus</v>
      </c>
      <c r="AN3291" s="1" t="str">
        <f>VLOOKUP(C:C,[1]基础信息!B$1:F$65536,5,0)</f>
        <v xml:space="preserve"> lime</v>
      </c>
    </row>
    <row r="3292" spans="1:40">
      <c r="A3292" s="1" t="s">
        <v>41</v>
      </c>
      <c r="B3292" s="1" t="s">
        <v>42</v>
      </c>
      <c r="C3292" s="1" t="s">
        <v>3971</v>
      </c>
      <c r="D3292" s="1" t="s">
        <v>3972</v>
      </c>
      <c r="E3292" s="1" t="s">
        <v>45</v>
      </c>
      <c r="F3292" s="1" t="s">
        <v>7501</v>
      </c>
      <c r="G3292" s="1" t="s">
        <v>7516</v>
      </c>
      <c r="H3292" s="1" t="s">
        <v>7517</v>
      </c>
      <c r="I3292" s="1" t="s">
        <v>49</v>
      </c>
      <c r="J3292" s="1" t="s">
        <v>48</v>
      </c>
      <c r="K3292" s="1">
        <v>96</v>
      </c>
      <c r="L3292" s="1">
        <v>0</v>
      </c>
      <c r="M3292" s="1">
        <v>0</v>
      </c>
      <c r="N3292" s="1">
        <v>96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 t="s">
        <v>49</v>
      </c>
      <c r="AA3292" s="1" t="s">
        <v>49</v>
      </c>
      <c r="AB3292" s="1" t="s">
        <v>49</v>
      </c>
      <c r="AC3292" s="1" t="s">
        <v>2658</v>
      </c>
      <c r="AD3292" s="1" t="s">
        <v>2659</v>
      </c>
      <c r="AE3292" s="1" t="s">
        <v>2658</v>
      </c>
      <c r="AF3292" s="1" t="s">
        <v>3976</v>
      </c>
      <c r="AG3292" s="1" t="s">
        <v>53</v>
      </c>
      <c r="AH3292" s="1" t="s">
        <v>49</v>
      </c>
      <c r="AI3292" s="1" t="s">
        <v>54</v>
      </c>
      <c r="AJ3292" s="1">
        <v>1</v>
      </c>
      <c r="AK3292" s="1" t="str">
        <f t="shared" si="51"/>
        <v xml:space="preserve"> =&lt;90</v>
      </c>
      <c r="AL3292" s="1" t="str">
        <f>VLOOKUP(C:C,[1]基础信息!B$1:D$65536,3,0)</f>
        <v>Jug</v>
      </c>
      <c r="AM3292" s="1" t="str">
        <f>VLOOKUP(C:C,[1]基础信息!B$1:E$65536,4,0)</f>
        <v>Mxplus</v>
      </c>
      <c r="AN3292" s="1" t="str">
        <f>VLOOKUP(C:C,[1]基础信息!B$1:F$65536,5,0)</f>
        <v xml:space="preserve"> lime</v>
      </c>
    </row>
    <row r="3293" spans="1:40">
      <c r="A3293" s="1" t="s">
        <v>41</v>
      </c>
      <c r="B3293" s="1" t="s">
        <v>42</v>
      </c>
      <c r="C3293" s="1" t="s">
        <v>3971</v>
      </c>
      <c r="D3293" s="1" t="s">
        <v>3972</v>
      </c>
      <c r="E3293" s="1" t="s">
        <v>45</v>
      </c>
      <c r="F3293" s="1" t="s">
        <v>7501</v>
      </c>
      <c r="G3293" s="1" t="s">
        <v>7518</v>
      </c>
      <c r="H3293" s="1" t="s">
        <v>7519</v>
      </c>
      <c r="I3293" s="1" t="s">
        <v>49</v>
      </c>
      <c r="J3293" s="1" t="s">
        <v>48</v>
      </c>
      <c r="K3293" s="1">
        <v>96</v>
      </c>
      <c r="L3293" s="1">
        <v>0</v>
      </c>
      <c r="M3293" s="1">
        <v>0</v>
      </c>
      <c r="N3293" s="1">
        <v>96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 t="s">
        <v>49</v>
      </c>
      <c r="AA3293" s="1" t="s">
        <v>49</v>
      </c>
      <c r="AB3293" s="1" t="s">
        <v>49</v>
      </c>
      <c r="AC3293" s="1" t="s">
        <v>2658</v>
      </c>
      <c r="AD3293" s="1" t="s">
        <v>2659</v>
      </c>
      <c r="AE3293" s="1" t="s">
        <v>2658</v>
      </c>
      <c r="AF3293" s="1" t="s">
        <v>3976</v>
      </c>
      <c r="AG3293" s="1" t="s">
        <v>53</v>
      </c>
      <c r="AH3293" s="1" t="s">
        <v>49</v>
      </c>
      <c r="AI3293" s="1" t="s">
        <v>54</v>
      </c>
      <c r="AJ3293" s="1">
        <v>1</v>
      </c>
      <c r="AK3293" s="1" t="str">
        <f t="shared" si="51"/>
        <v xml:space="preserve"> =&lt;90</v>
      </c>
      <c r="AL3293" s="1" t="str">
        <f>VLOOKUP(C:C,[1]基础信息!B$1:D$65536,3,0)</f>
        <v>Jug</v>
      </c>
      <c r="AM3293" s="1" t="str">
        <f>VLOOKUP(C:C,[1]基础信息!B$1:E$65536,4,0)</f>
        <v>Mxplus</v>
      </c>
      <c r="AN3293" s="1" t="str">
        <f>VLOOKUP(C:C,[1]基础信息!B$1:F$65536,5,0)</f>
        <v xml:space="preserve"> lime</v>
      </c>
    </row>
    <row r="3294" spans="1:40">
      <c r="A3294" s="1" t="s">
        <v>41</v>
      </c>
      <c r="B3294" s="1" t="s">
        <v>42</v>
      </c>
      <c r="C3294" s="1" t="s">
        <v>3971</v>
      </c>
      <c r="D3294" s="1" t="s">
        <v>3972</v>
      </c>
      <c r="E3294" s="1" t="s">
        <v>45</v>
      </c>
      <c r="F3294" s="1" t="s">
        <v>7501</v>
      </c>
      <c r="G3294" s="1" t="s">
        <v>7520</v>
      </c>
      <c r="H3294" s="1" t="s">
        <v>7521</v>
      </c>
      <c r="I3294" s="1" t="s">
        <v>49</v>
      </c>
      <c r="J3294" s="1" t="s">
        <v>48</v>
      </c>
      <c r="K3294" s="1">
        <v>96</v>
      </c>
      <c r="L3294" s="1">
        <v>0</v>
      </c>
      <c r="M3294" s="1">
        <v>0</v>
      </c>
      <c r="N3294" s="1">
        <v>96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 t="s">
        <v>49</v>
      </c>
      <c r="AA3294" s="1" t="s">
        <v>49</v>
      </c>
      <c r="AB3294" s="1" t="s">
        <v>49</v>
      </c>
      <c r="AC3294" s="1" t="s">
        <v>2658</v>
      </c>
      <c r="AD3294" s="1" t="s">
        <v>2659</v>
      </c>
      <c r="AE3294" s="1" t="s">
        <v>2658</v>
      </c>
      <c r="AF3294" s="1" t="s">
        <v>3976</v>
      </c>
      <c r="AG3294" s="1" t="s">
        <v>53</v>
      </c>
      <c r="AH3294" s="1" t="s">
        <v>49</v>
      </c>
      <c r="AI3294" s="1" t="s">
        <v>54</v>
      </c>
      <c r="AJ3294" s="1">
        <v>1</v>
      </c>
      <c r="AK3294" s="1" t="str">
        <f t="shared" si="51"/>
        <v xml:space="preserve"> =&lt;90</v>
      </c>
      <c r="AL3294" s="1" t="str">
        <f>VLOOKUP(C:C,[1]基础信息!B$1:D$65536,3,0)</f>
        <v>Jug</v>
      </c>
      <c r="AM3294" s="1" t="str">
        <f>VLOOKUP(C:C,[1]基础信息!B$1:E$65536,4,0)</f>
        <v>Mxplus</v>
      </c>
      <c r="AN3294" s="1" t="str">
        <f>VLOOKUP(C:C,[1]基础信息!B$1:F$65536,5,0)</f>
        <v xml:space="preserve"> lime</v>
      </c>
    </row>
    <row r="3295" spans="1:40">
      <c r="A3295" s="1" t="s">
        <v>41</v>
      </c>
      <c r="B3295" s="1" t="s">
        <v>42</v>
      </c>
      <c r="C3295" s="1" t="s">
        <v>3971</v>
      </c>
      <c r="D3295" s="1" t="s">
        <v>3972</v>
      </c>
      <c r="E3295" s="1" t="s">
        <v>45</v>
      </c>
      <c r="F3295" s="1" t="s">
        <v>7501</v>
      </c>
      <c r="G3295" s="1" t="s">
        <v>7522</v>
      </c>
      <c r="H3295" s="1" t="s">
        <v>7523</v>
      </c>
      <c r="I3295" s="1" t="s">
        <v>49</v>
      </c>
      <c r="J3295" s="1" t="s">
        <v>48</v>
      </c>
      <c r="K3295" s="1">
        <v>96</v>
      </c>
      <c r="L3295" s="1">
        <v>0</v>
      </c>
      <c r="M3295" s="1">
        <v>0</v>
      </c>
      <c r="N3295" s="1">
        <v>96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 t="s">
        <v>49</v>
      </c>
      <c r="AA3295" s="1" t="s">
        <v>49</v>
      </c>
      <c r="AB3295" s="1" t="s">
        <v>49</v>
      </c>
      <c r="AC3295" s="1" t="s">
        <v>2658</v>
      </c>
      <c r="AD3295" s="1" t="s">
        <v>2659</v>
      </c>
      <c r="AE3295" s="1" t="s">
        <v>2658</v>
      </c>
      <c r="AF3295" s="1" t="s">
        <v>3976</v>
      </c>
      <c r="AG3295" s="1" t="s">
        <v>53</v>
      </c>
      <c r="AH3295" s="1" t="s">
        <v>49</v>
      </c>
      <c r="AI3295" s="1" t="s">
        <v>54</v>
      </c>
      <c r="AJ3295" s="1">
        <v>1</v>
      </c>
      <c r="AK3295" s="1" t="str">
        <f t="shared" si="51"/>
        <v xml:space="preserve"> =&lt;90</v>
      </c>
      <c r="AL3295" s="1" t="str">
        <f>VLOOKUP(C:C,[1]基础信息!B$1:D$65536,3,0)</f>
        <v>Jug</v>
      </c>
      <c r="AM3295" s="1" t="str">
        <f>VLOOKUP(C:C,[1]基础信息!B$1:E$65536,4,0)</f>
        <v>Mxplus</v>
      </c>
      <c r="AN3295" s="1" t="str">
        <f>VLOOKUP(C:C,[1]基础信息!B$1:F$65536,5,0)</f>
        <v xml:space="preserve"> lime</v>
      </c>
    </row>
    <row r="3296" spans="1:40">
      <c r="A3296" s="1" t="s">
        <v>41</v>
      </c>
      <c r="B3296" s="1" t="s">
        <v>42</v>
      </c>
      <c r="C3296" s="1" t="s">
        <v>3971</v>
      </c>
      <c r="D3296" s="1" t="s">
        <v>3972</v>
      </c>
      <c r="E3296" s="1" t="s">
        <v>45</v>
      </c>
      <c r="F3296" s="1" t="s">
        <v>7501</v>
      </c>
      <c r="G3296" s="1" t="s">
        <v>7524</v>
      </c>
      <c r="H3296" s="1" t="s">
        <v>7525</v>
      </c>
      <c r="I3296" s="1" t="s">
        <v>49</v>
      </c>
      <c r="J3296" s="1" t="s">
        <v>48</v>
      </c>
      <c r="K3296" s="1">
        <v>96</v>
      </c>
      <c r="L3296" s="1">
        <v>0</v>
      </c>
      <c r="M3296" s="1">
        <v>0</v>
      </c>
      <c r="N3296" s="1">
        <v>96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 t="s">
        <v>49</v>
      </c>
      <c r="AA3296" s="1" t="s">
        <v>49</v>
      </c>
      <c r="AB3296" s="1" t="s">
        <v>49</v>
      </c>
      <c r="AC3296" s="1" t="s">
        <v>2658</v>
      </c>
      <c r="AD3296" s="1" t="s">
        <v>2659</v>
      </c>
      <c r="AE3296" s="1" t="s">
        <v>2658</v>
      </c>
      <c r="AF3296" s="1" t="s">
        <v>3976</v>
      </c>
      <c r="AG3296" s="1" t="s">
        <v>53</v>
      </c>
      <c r="AH3296" s="1" t="s">
        <v>49</v>
      </c>
      <c r="AI3296" s="1" t="s">
        <v>54</v>
      </c>
      <c r="AJ3296" s="1">
        <v>1</v>
      </c>
      <c r="AK3296" s="1" t="str">
        <f t="shared" si="51"/>
        <v xml:space="preserve"> =&lt;90</v>
      </c>
      <c r="AL3296" s="1" t="str">
        <f>VLOOKUP(C:C,[1]基础信息!B$1:D$65536,3,0)</f>
        <v>Jug</v>
      </c>
      <c r="AM3296" s="1" t="str">
        <f>VLOOKUP(C:C,[1]基础信息!B$1:E$65536,4,0)</f>
        <v>Mxplus</v>
      </c>
      <c r="AN3296" s="1" t="str">
        <f>VLOOKUP(C:C,[1]基础信息!B$1:F$65536,5,0)</f>
        <v xml:space="preserve"> lime</v>
      </c>
    </row>
    <row r="3297" spans="1:40">
      <c r="A3297" s="1" t="s">
        <v>41</v>
      </c>
      <c r="B3297" s="1" t="s">
        <v>42</v>
      </c>
      <c r="C3297" s="1" t="s">
        <v>3971</v>
      </c>
      <c r="D3297" s="1" t="s">
        <v>3972</v>
      </c>
      <c r="E3297" s="1" t="s">
        <v>45</v>
      </c>
      <c r="F3297" s="1" t="s">
        <v>7501</v>
      </c>
      <c r="G3297" s="1" t="s">
        <v>7526</v>
      </c>
      <c r="H3297" s="1" t="s">
        <v>7527</v>
      </c>
      <c r="I3297" s="1" t="s">
        <v>49</v>
      </c>
      <c r="J3297" s="1" t="s">
        <v>48</v>
      </c>
      <c r="K3297" s="1">
        <v>96</v>
      </c>
      <c r="L3297" s="1">
        <v>0</v>
      </c>
      <c r="M3297" s="1">
        <v>0</v>
      </c>
      <c r="N3297" s="1">
        <v>96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 t="s">
        <v>49</v>
      </c>
      <c r="AA3297" s="1" t="s">
        <v>49</v>
      </c>
      <c r="AB3297" s="1" t="s">
        <v>49</v>
      </c>
      <c r="AC3297" s="1" t="s">
        <v>2658</v>
      </c>
      <c r="AD3297" s="1" t="s">
        <v>2659</v>
      </c>
      <c r="AE3297" s="1" t="s">
        <v>2658</v>
      </c>
      <c r="AF3297" s="1" t="s">
        <v>3976</v>
      </c>
      <c r="AG3297" s="1" t="s">
        <v>53</v>
      </c>
      <c r="AH3297" s="1" t="s">
        <v>49</v>
      </c>
      <c r="AI3297" s="1" t="s">
        <v>54</v>
      </c>
      <c r="AJ3297" s="1">
        <v>1</v>
      </c>
      <c r="AK3297" s="1" t="str">
        <f t="shared" si="51"/>
        <v xml:space="preserve"> =&lt;90</v>
      </c>
      <c r="AL3297" s="1" t="str">
        <f>VLOOKUP(C:C,[1]基础信息!B$1:D$65536,3,0)</f>
        <v>Jug</v>
      </c>
      <c r="AM3297" s="1" t="str">
        <f>VLOOKUP(C:C,[1]基础信息!B$1:E$65536,4,0)</f>
        <v>Mxplus</v>
      </c>
      <c r="AN3297" s="1" t="str">
        <f>VLOOKUP(C:C,[1]基础信息!B$1:F$65536,5,0)</f>
        <v xml:space="preserve"> lime</v>
      </c>
    </row>
    <row r="3298" spans="1:40">
      <c r="A3298" s="1" t="s">
        <v>41</v>
      </c>
      <c r="B3298" s="1" t="s">
        <v>42</v>
      </c>
      <c r="C3298" s="1" t="s">
        <v>3971</v>
      </c>
      <c r="D3298" s="1" t="s">
        <v>3972</v>
      </c>
      <c r="E3298" s="1" t="s">
        <v>45</v>
      </c>
      <c r="F3298" s="1" t="s">
        <v>7501</v>
      </c>
      <c r="G3298" s="1" t="s">
        <v>7528</v>
      </c>
      <c r="H3298" s="1" t="s">
        <v>7529</v>
      </c>
      <c r="I3298" s="1" t="s">
        <v>49</v>
      </c>
      <c r="J3298" s="1" t="s">
        <v>48</v>
      </c>
      <c r="K3298" s="1">
        <v>96</v>
      </c>
      <c r="L3298" s="1">
        <v>0</v>
      </c>
      <c r="M3298" s="1">
        <v>0</v>
      </c>
      <c r="N3298" s="1">
        <v>96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 t="s">
        <v>49</v>
      </c>
      <c r="AA3298" s="1" t="s">
        <v>49</v>
      </c>
      <c r="AB3298" s="1" t="s">
        <v>49</v>
      </c>
      <c r="AC3298" s="1" t="s">
        <v>2658</v>
      </c>
      <c r="AD3298" s="1" t="s">
        <v>2659</v>
      </c>
      <c r="AE3298" s="1" t="s">
        <v>2658</v>
      </c>
      <c r="AF3298" s="1" t="s">
        <v>3976</v>
      </c>
      <c r="AG3298" s="1" t="s">
        <v>53</v>
      </c>
      <c r="AH3298" s="1" t="s">
        <v>49</v>
      </c>
      <c r="AI3298" s="1" t="s">
        <v>54</v>
      </c>
      <c r="AJ3298" s="1">
        <v>1</v>
      </c>
      <c r="AK3298" s="1" t="str">
        <f t="shared" si="51"/>
        <v xml:space="preserve"> =&lt;90</v>
      </c>
      <c r="AL3298" s="1" t="str">
        <f>VLOOKUP(C:C,[1]基础信息!B$1:D$65536,3,0)</f>
        <v>Jug</v>
      </c>
      <c r="AM3298" s="1" t="str">
        <f>VLOOKUP(C:C,[1]基础信息!B$1:E$65536,4,0)</f>
        <v>Mxplus</v>
      </c>
      <c r="AN3298" s="1" t="str">
        <f>VLOOKUP(C:C,[1]基础信息!B$1:F$65536,5,0)</f>
        <v xml:space="preserve"> lime</v>
      </c>
    </row>
    <row r="3299" spans="1:40">
      <c r="A3299" s="1" t="s">
        <v>41</v>
      </c>
      <c r="B3299" s="1" t="s">
        <v>42</v>
      </c>
      <c r="C3299" s="1" t="s">
        <v>6464</v>
      </c>
      <c r="D3299" s="1" t="s">
        <v>6465</v>
      </c>
      <c r="E3299" s="1" t="s">
        <v>6464</v>
      </c>
      <c r="F3299" s="1" t="s">
        <v>7530</v>
      </c>
      <c r="G3299" s="1" t="s">
        <v>7531</v>
      </c>
      <c r="H3299" s="1" t="s">
        <v>45</v>
      </c>
      <c r="I3299" s="1" t="s">
        <v>45</v>
      </c>
      <c r="J3299" s="1" t="s">
        <v>48</v>
      </c>
      <c r="K3299" s="1">
        <v>1</v>
      </c>
      <c r="L3299" s="1">
        <v>0</v>
      </c>
      <c r="M3299" s="1">
        <v>0</v>
      </c>
      <c r="N3299" s="1">
        <v>1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 t="s">
        <v>49</v>
      </c>
      <c r="AA3299" s="1" t="s">
        <v>49</v>
      </c>
      <c r="AB3299" s="1" t="s">
        <v>49</v>
      </c>
      <c r="AC3299" s="1" t="s">
        <v>7532</v>
      </c>
      <c r="AD3299" s="1" t="s">
        <v>7533</v>
      </c>
      <c r="AE3299" s="1" t="s">
        <v>7532</v>
      </c>
      <c r="AF3299" s="1" t="s">
        <v>7534</v>
      </c>
      <c r="AG3299" s="1" t="s">
        <v>338</v>
      </c>
      <c r="AH3299" s="1" t="s">
        <v>49</v>
      </c>
      <c r="AI3299" s="1" t="s">
        <v>54</v>
      </c>
      <c r="AJ3299" s="1">
        <v>0</v>
      </c>
      <c r="AK3299" s="1" t="str">
        <f t="shared" si="51"/>
        <v xml:space="preserve"> =&lt;90</v>
      </c>
      <c r="AL3299" s="1" t="str">
        <f>VLOOKUP(C:C,[1]基础信息!B$1:D$65536,3,0)</f>
        <v>Jug</v>
      </c>
      <c r="AM3299" s="1" t="str">
        <f>VLOOKUP(C:C,[1]基础信息!B$1:E$65536,4,0)</f>
        <v>Aluna</v>
      </c>
      <c r="AN3299" s="1" t="str">
        <f>VLOOKUP(C:C,[1]基础信息!B$1:F$65536,5,0)</f>
        <v>Blue</v>
      </c>
    </row>
    <row r="3300" spans="1:40">
      <c r="A3300" s="1" t="s">
        <v>41</v>
      </c>
      <c r="B3300" s="1" t="s">
        <v>42</v>
      </c>
      <c r="C3300" s="1" t="s">
        <v>6464</v>
      </c>
      <c r="D3300" s="1" t="s">
        <v>6465</v>
      </c>
      <c r="E3300" s="1" t="s">
        <v>6464</v>
      </c>
      <c r="F3300" s="1" t="s">
        <v>7535</v>
      </c>
      <c r="G3300" s="1" t="s">
        <v>7531</v>
      </c>
      <c r="H3300" s="1" t="s">
        <v>45</v>
      </c>
      <c r="I3300" s="1" t="s">
        <v>45</v>
      </c>
      <c r="J3300" s="1" t="s">
        <v>48</v>
      </c>
      <c r="K3300" s="1">
        <v>1</v>
      </c>
      <c r="L3300" s="1">
        <v>0</v>
      </c>
      <c r="M3300" s="1">
        <v>0</v>
      </c>
      <c r="N3300" s="1">
        <v>1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 t="s">
        <v>49</v>
      </c>
      <c r="AA3300" s="1" t="s">
        <v>49</v>
      </c>
      <c r="AB3300" s="1" t="s">
        <v>49</v>
      </c>
      <c r="AC3300" s="1" t="s">
        <v>7532</v>
      </c>
      <c r="AD3300" s="1" t="s">
        <v>7533</v>
      </c>
      <c r="AE3300" s="1" t="s">
        <v>7532</v>
      </c>
      <c r="AF3300" s="1" t="s">
        <v>7536</v>
      </c>
      <c r="AG3300" s="1" t="s">
        <v>338</v>
      </c>
      <c r="AH3300" s="1" t="s">
        <v>49</v>
      </c>
      <c r="AI3300" s="1" t="s">
        <v>54</v>
      </c>
      <c r="AJ3300" s="1">
        <v>1</v>
      </c>
      <c r="AK3300" s="1" t="str">
        <f t="shared" si="51"/>
        <v xml:space="preserve"> =&lt;90</v>
      </c>
      <c r="AL3300" s="1" t="str">
        <f>VLOOKUP(C:C,[1]基础信息!B$1:D$65536,3,0)</f>
        <v>Jug</v>
      </c>
      <c r="AM3300" s="1" t="str">
        <f>VLOOKUP(C:C,[1]基础信息!B$1:E$65536,4,0)</f>
        <v>Aluna</v>
      </c>
      <c r="AN3300" s="1" t="str">
        <f>VLOOKUP(C:C,[1]基础信息!B$1:F$65536,5,0)</f>
        <v>Blue</v>
      </c>
    </row>
    <row r="3301" spans="1:40">
      <c r="A3301" s="1" t="s">
        <v>41</v>
      </c>
      <c r="B3301" s="1" t="s">
        <v>42</v>
      </c>
      <c r="C3301" s="1" t="s">
        <v>4352</v>
      </c>
      <c r="D3301" s="1" t="s">
        <v>4353</v>
      </c>
      <c r="E3301" s="1" t="s">
        <v>45</v>
      </c>
      <c r="F3301" s="1" t="s">
        <v>7537</v>
      </c>
      <c r="G3301" s="1" t="s">
        <v>7538</v>
      </c>
      <c r="H3301" s="1" t="s">
        <v>7539</v>
      </c>
      <c r="I3301" s="1" t="s">
        <v>49</v>
      </c>
      <c r="J3301" s="1" t="s">
        <v>48</v>
      </c>
      <c r="K3301" s="1">
        <v>336</v>
      </c>
      <c r="L3301" s="1">
        <v>28</v>
      </c>
      <c r="M3301" s="1">
        <v>0</v>
      </c>
      <c r="N3301" s="1">
        <v>308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 t="s">
        <v>49</v>
      </c>
      <c r="AA3301" s="1" t="s">
        <v>49</v>
      </c>
      <c r="AB3301" s="1" t="s">
        <v>49</v>
      </c>
      <c r="AC3301" s="1" t="s">
        <v>7540</v>
      </c>
      <c r="AD3301" s="1" t="s">
        <v>7541</v>
      </c>
      <c r="AE3301" s="1" t="s">
        <v>7542</v>
      </c>
      <c r="AF3301" s="1" t="s">
        <v>7543</v>
      </c>
      <c r="AG3301" s="1" t="s">
        <v>53</v>
      </c>
      <c r="AH3301" s="1" t="s">
        <v>49</v>
      </c>
      <c r="AI3301" s="1" t="s">
        <v>54</v>
      </c>
      <c r="AJ3301" s="1">
        <v>1</v>
      </c>
      <c r="AK3301" s="1" t="str">
        <f t="shared" si="51"/>
        <v xml:space="preserve"> =&lt;90</v>
      </c>
      <c r="AL3301" s="1" t="e">
        <f>VLOOKUP(C:C,[1]基础信息!B$1:D$65536,3,0)</f>
        <v>#N/A</v>
      </c>
      <c r="AM3301" s="1" t="e">
        <f>VLOOKUP(C:C,[1]基础信息!B$1:E$65536,4,0)</f>
        <v>#N/A</v>
      </c>
      <c r="AN3301" s="1" t="e">
        <f>VLOOKUP(C:C,[1]基础信息!B$1:F$65536,5,0)</f>
        <v>#N/A</v>
      </c>
    </row>
    <row r="3302" spans="1:40">
      <c r="A3302" s="1" t="s">
        <v>41</v>
      </c>
      <c r="B3302" s="1" t="s">
        <v>42</v>
      </c>
      <c r="C3302" s="1" t="s">
        <v>4352</v>
      </c>
      <c r="D3302" s="1" t="s">
        <v>4353</v>
      </c>
      <c r="E3302" s="1" t="s">
        <v>45</v>
      </c>
      <c r="F3302" s="1" t="s">
        <v>7537</v>
      </c>
      <c r="G3302" s="1" t="s">
        <v>7544</v>
      </c>
      <c r="H3302" s="1" t="s">
        <v>7545</v>
      </c>
      <c r="I3302" s="1" t="s">
        <v>49</v>
      </c>
      <c r="J3302" s="1" t="s">
        <v>48</v>
      </c>
      <c r="K3302" s="1">
        <v>336</v>
      </c>
      <c r="L3302" s="1">
        <v>0</v>
      </c>
      <c r="M3302" s="1">
        <v>0</v>
      </c>
      <c r="N3302" s="1">
        <v>336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 t="s">
        <v>49</v>
      </c>
      <c r="AA3302" s="1" t="s">
        <v>49</v>
      </c>
      <c r="AB3302" s="1" t="s">
        <v>49</v>
      </c>
      <c r="AC3302" s="1" t="s">
        <v>7540</v>
      </c>
      <c r="AD3302" s="1" t="s">
        <v>7541</v>
      </c>
      <c r="AE3302" s="1" t="s">
        <v>7542</v>
      </c>
      <c r="AF3302" s="1" t="s">
        <v>7543</v>
      </c>
      <c r="AG3302" s="1" t="s">
        <v>53</v>
      </c>
      <c r="AH3302" s="1" t="s">
        <v>49</v>
      </c>
      <c r="AI3302" s="1" t="s">
        <v>54</v>
      </c>
      <c r="AJ3302" s="1">
        <v>1</v>
      </c>
      <c r="AK3302" s="1" t="str">
        <f t="shared" si="51"/>
        <v xml:space="preserve"> =&lt;90</v>
      </c>
      <c r="AL3302" s="1" t="e">
        <f>VLOOKUP(C:C,[1]基础信息!B$1:D$65536,3,0)</f>
        <v>#N/A</v>
      </c>
      <c r="AM3302" s="1" t="e">
        <f>VLOOKUP(C:C,[1]基础信息!B$1:E$65536,4,0)</f>
        <v>#N/A</v>
      </c>
      <c r="AN3302" s="1" t="e">
        <f>VLOOKUP(C:C,[1]基础信息!B$1:F$65536,5,0)</f>
        <v>#N/A</v>
      </c>
    </row>
    <row r="3303" spans="1:40">
      <c r="A3303" s="1" t="s">
        <v>41</v>
      </c>
      <c r="B3303" s="1" t="s">
        <v>42</v>
      </c>
      <c r="C3303" s="1" t="s">
        <v>5105</v>
      </c>
      <c r="D3303" s="1" t="s">
        <v>5106</v>
      </c>
      <c r="E3303" s="1" t="s">
        <v>5105</v>
      </c>
      <c r="F3303" s="1" t="s">
        <v>7546</v>
      </c>
      <c r="G3303" s="1" t="s">
        <v>7547</v>
      </c>
      <c r="H3303" s="1" t="s">
        <v>45</v>
      </c>
      <c r="I3303" s="1" t="s">
        <v>45</v>
      </c>
      <c r="J3303" s="1" t="s">
        <v>48</v>
      </c>
      <c r="K3303" s="1">
        <v>8</v>
      </c>
      <c r="L3303" s="1">
        <v>0</v>
      </c>
      <c r="M3303" s="1">
        <v>0</v>
      </c>
      <c r="N3303" s="1">
        <v>8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 t="s">
        <v>49</v>
      </c>
      <c r="AA3303" s="1" t="s">
        <v>49</v>
      </c>
      <c r="AB3303" s="1" t="s">
        <v>49</v>
      </c>
      <c r="AC3303" s="1" t="s">
        <v>7548</v>
      </c>
      <c r="AD3303" s="1" t="s">
        <v>7549</v>
      </c>
      <c r="AE3303" s="1" t="s">
        <v>7548</v>
      </c>
      <c r="AF3303" s="1" t="s">
        <v>7550</v>
      </c>
      <c r="AG3303" s="1" t="s">
        <v>53</v>
      </c>
      <c r="AH3303" s="1" t="s">
        <v>49</v>
      </c>
      <c r="AI3303" s="1" t="s">
        <v>54</v>
      </c>
      <c r="AJ3303" s="1">
        <v>1</v>
      </c>
      <c r="AK3303" s="1" t="str">
        <f t="shared" si="51"/>
        <v xml:space="preserve"> =&lt;90</v>
      </c>
      <c r="AL3303" s="1" t="str">
        <f>VLOOKUP(C:C,[1]基础信息!B$1:D$65536,3,0)</f>
        <v>UTS</v>
      </c>
      <c r="AM3303" s="1" t="str">
        <f>VLOOKUP(C:C,[1]基础信息!B$1:E$65536,4,0)</f>
        <v>MyPure Pro</v>
      </c>
      <c r="AN3303" s="1" t="str">
        <f>VLOOKUP(C:C,[1]基础信息!B$1:F$65536,5,0)</f>
        <v>X3</v>
      </c>
    </row>
    <row r="3304" spans="1:40">
      <c r="A3304" s="1" t="s">
        <v>41</v>
      </c>
      <c r="B3304" s="1" t="s">
        <v>42</v>
      </c>
      <c r="C3304" s="1" t="s">
        <v>301</v>
      </c>
      <c r="D3304" s="1" t="s">
        <v>302</v>
      </c>
      <c r="E3304" s="1" t="s">
        <v>45</v>
      </c>
      <c r="F3304" s="1" t="s">
        <v>7551</v>
      </c>
      <c r="G3304" s="1" t="s">
        <v>7552</v>
      </c>
      <c r="H3304" s="1" t="s">
        <v>45</v>
      </c>
      <c r="I3304" s="1" t="s">
        <v>49</v>
      </c>
      <c r="J3304" s="1" t="s">
        <v>48</v>
      </c>
      <c r="K3304" s="1">
        <v>8</v>
      </c>
      <c r="L3304" s="1">
        <v>0</v>
      </c>
      <c r="M3304" s="1">
        <v>0</v>
      </c>
      <c r="N3304" s="1">
        <v>8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 t="s">
        <v>49</v>
      </c>
      <c r="AA3304" s="1" t="s">
        <v>49</v>
      </c>
      <c r="AB3304" s="1" t="s">
        <v>49</v>
      </c>
      <c r="AC3304" s="1" t="s">
        <v>7553</v>
      </c>
      <c r="AD3304" s="1" t="s">
        <v>7554</v>
      </c>
      <c r="AE3304" s="1" t="s">
        <v>7553</v>
      </c>
      <c r="AF3304" s="1" t="s">
        <v>7555</v>
      </c>
      <c r="AG3304" s="1" t="s">
        <v>7556</v>
      </c>
      <c r="AH3304" s="1" t="s">
        <v>49</v>
      </c>
      <c r="AI3304" s="1" t="s">
        <v>54</v>
      </c>
      <c r="AJ3304" s="1">
        <v>0</v>
      </c>
      <c r="AK3304" s="1" t="str">
        <f t="shared" si="51"/>
        <v xml:space="preserve"> =&lt;90</v>
      </c>
      <c r="AL3304" s="1" t="str">
        <f>VLOOKUP(C:C,[1]基础信息!B$1:D$65536,3,0)</f>
        <v>Jug</v>
      </c>
      <c r="AM3304" s="1" t="str">
        <f>VLOOKUP(C:C,[1]基础信息!B$1:E$65536,4,0)</f>
        <v>Aluna</v>
      </c>
      <c r="AN3304" s="1" t="str">
        <f>VLOOKUP(C:C,[1]基础信息!B$1:F$65536,5,0)</f>
        <v>Blue</v>
      </c>
    </row>
    <row r="3305" spans="1:40">
      <c r="A3305" s="1" t="s">
        <v>41</v>
      </c>
      <c r="B3305" s="1" t="s">
        <v>42</v>
      </c>
      <c r="C3305" s="1" t="s">
        <v>301</v>
      </c>
      <c r="D3305" s="1" t="s">
        <v>302</v>
      </c>
      <c r="E3305" s="1" t="s">
        <v>45</v>
      </c>
      <c r="F3305" s="1" t="s">
        <v>7557</v>
      </c>
      <c r="G3305" s="1" t="s">
        <v>7552</v>
      </c>
      <c r="H3305" s="1" t="s">
        <v>45</v>
      </c>
      <c r="I3305" s="1" t="s">
        <v>49</v>
      </c>
      <c r="J3305" s="1" t="s">
        <v>48</v>
      </c>
      <c r="K3305" s="1">
        <v>32</v>
      </c>
      <c r="L3305" s="1">
        <v>0</v>
      </c>
      <c r="M3305" s="1">
        <v>0</v>
      </c>
      <c r="N3305" s="1">
        <v>32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 t="s">
        <v>49</v>
      </c>
      <c r="AA3305" s="1" t="s">
        <v>49</v>
      </c>
      <c r="AB3305" s="1" t="s">
        <v>49</v>
      </c>
      <c r="AC3305" s="1" t="s">
        <v>7553</v>
      </c>
      <c r="AD3305" s="1" t="s">
        <v>7554</v>
      </c>
      <c r="AE3305" s="1" t="s">
        <v>7553</v>
      </c>
      <c r="AF3305" s="1" t="s">
        <v>7558</v>
      </c>
      <c r="AG3305" s="1" t="s">
        <v>7556</v>
      </c>
      <c r="AH3305" s="1" t="s">
        <v>49</v>
      </c>
      <c r="AI3305" s="1" t="s">
        <v>54</v>
      </c>
      <c r="AJ3305" s="1">
        <v>0</v>
      </c>
      <c r="AK3305" s="1" t="str">
        <f t="shared" si="51"/>
        <v xml:space="preserve"> =&lt;90</v>
      </c>
      <c r="AL3305" s="1" t="str">
        <f>VLOOKUP(C:C,[1]基础信息!B$1:D$65536,3,0)</f>
        <v>Jug</v>
      </c>
      <c r="AM3305" s="1" t="str">
        <f>VLOOKUP(C:C,[1]基础信息!B$1:E$65536,4,0)</f>
        <v>Aluna</v>
      </c>
      <c r="AN3305" s="1" t="str">
        <f>VLOOKUP(C:C,[1]基础信息!B$1:F$65536,5,0)</f>
        <v>Blue</v>
      </c>
    </row>
    <row r="3306" spans="1:40">
      <c r="A3306" s="1" t="s">
        <v>41</v>
      </c>
      <c r="B3306" s="1" t="s">
        <v>42</v>
      </c>
      <c r="C3306" s="1" t="s">
        <v>301</v>
      </c>
      <c r="D3306" s="1" t="s">
        <v>302</v>
      </c>
      <c r="E3306" s="1" t="s">
        <v>45</v>
      </c>
      <c r="F3306" s="1" t="s">
        <v>7557</v>
      </c>
      <c r="G3306" s="1" t="s">
        <v>7552</v>
      </c>
      <c r="H3306" s="1" t="s">
        <v>7559</v>
      </c>
      <c r="I3306" s="1" t="s">
        <v>49</v>
      </c>
      <c r="J3306" s="1" t="s">
        <v>48</v>
      </c>
      <c r="K3306" s="1">
        <v>4</v>
      </c>
      <c r="L3306" s="1">
        <v>0</v>
      </c>
      <c r="M3306" s="1">
        <v>0</v>
      </c>
      <c r="N3306" s="1">
        <v>4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 t="s">
        <v>49</v>
      </c>
      <c r="AA3306" s="1" t="s">
        <v>49</v>
      </c>
      <c r="AB3306" s="1" t="s">
        <v>49</v>
      </c>
      <c r="AC3306" s="1" t="s">
        <v>7553</v>
      </c>
      <c r="AD3306" s="1" t="s">
        <v>7554</v>
      </c>
      <c r="AE3306" s="1" t="s">
        <v>7553</v>
      </c>
      <c r="AF3306" s="1" t="s">
        <v>7558</v>
      </c>
      <c r="AG3306" s="1" t="s">
        <v>7556</v>
      </c>
      <c r="AH3306" s="1" t="s">
        <v>49</v>
      </c>
      <c r="AI3306" s="1" t="s">
        <v>54</v>
      </c>
      <c r="AJ3306" s="1">
        <v>0</v>
      </c>
      <c r="AK3306" s="1" t="str">
        <f t="shared" si="51"/>
        <v xml:space="preserve"> =&lt;90</v>
      </c>
      <c r="AL3306" s="1" t="str">
        <f>VLOOKUP(C:C,[1]基础信息!B$1:D$65536,3,0)</f>
        <v>Jug</v>
      </c>
      <c r="AM3306" s="1" t="str">
        <f>VLOOKUP(C:C,[1]基础信息!B$1:E$65536,4,0)</f>
        <v>Aluna</v>
      </c>
      <c r="AN3306" s="1" t="str">
        <f>VLOOKUP(C:C,[1]基础信息!B$1:F$65536,5,0)</f>
        <v>Blue</v>
      </c>
    </row>
    <row r="3307" spans="1:40">
      <c r="A3307" s="1" t="s">
        <v>41</v>
      </c>
      <c r="B3307" s="1" t="s">
        <v>42</v>
      </c>
      <c r="C3307" s="1" t="s">
        <v>301</v>
      </c>
      <c r="D3307" s="1" t="s">
        <v>302</v>
      </c>
      <c r="E3307" s="1" t="s">
        <v>45</v>
      </c>
      <c r="F3307" s="1" t="s">
        <v>7560</v>
      </c>
      <c r="G3307" s="1" t="s">
        <v>7552</v>
      </c>
      <c r="H3307" s="1" t="s">
        <v>45</v>
      </c>
      <c r="I3307" s="1" t="s">
        <v>49</v>
      </c>
      <c r="J3307" s="1" t="s">
        <v>48</v>
      </c>
      <c r="K3307" s="1">
        <v>1</v>
      </c>
      <c r="L3307" s="1">
        <v>0</v>
      </c>
      <c r="M3307" s="1">
        <v>0</v>
      </c>
      <c r="N3307" s="1">
        <v>1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 t="s">
        <v>49</v>
      </c>
      <c r="AA3307" s="1" t="s">
        <v>49</v>
      </c>
      <c r="AB3307" s="1" t="s">
        <v>49</v>
      </c>
      <c r="AC3307" s="1" t="s">
        <v>7561</v>
      </c>
      <c r="AD3307" s="1" t="s">
        <v>7562</v>
      </c>
      <c r="AE3307" s="1" t="s">
        <v>7563</v>
      </c>
      <c r="AF3307" s="1" t="s">
        <v>7555</v>
      </c>
      <c r="AG3307" s="1" t="s">
        <v>7556</v>
      </c>
      <c r="AH3307" s="1" t="s">
        <v>49</v>
      </c>
      <c r="AI3307" s="1" t="s">
        <v>54</v>
      </c>
      <c r="AJ3307" s="1">
        <v>0</v>
      </c>
      <c r="AK3307" s="1" t="str">
        <f t="shared" si="51"/>
        <v xml:space="preserve"> =&lt;90</v>
      </c>
      <c r="AL3307" s="1" t="str">
        <f>VLOOKUP(C:C,[1]基础信息!B$1:D$65536,3,0)</f>
        <v>Jug</v>
      </c>
      <c r="AM3307" s="1" t="str">
        <f>VLOOKUP(C:C,[1]基础信息!B$1:E$65536,4,0)</f>
        <v>Aluna</v>
      </c>
      <c r="AN3307" s="1" t="str">
        <f>VLOOKUP(C:C,[1]基础信息!B$1:F$65536,5,0)</f>
        <v>Blue</v>
      </c>
    </row>
    <row r="3308" spans="1:40">
      <c r="A3308" s="1" t="s">
        <v>41</v>
      </c>
      <c r="B3308" s="1" t="s">
        <v>42</v>
      </c>
      <c r="C3308" s="1" t="s">
        <v>301</v>
      </c>
      <c r="D3308" s="1" t="s">
        <v>302</v>
      </c>
      <c r="E3308" s="1" t="s">
        <v>45</v>
      </c>
      <c r="F3308" s="1" t="s">
        <v>7564</v>
      </c>
      <c r="G3308" s="1" t="s">
        <v>7552</v>
      </c>
      <c r="H3308" s="1" t="s">
        <v>45</v>
      </c>
      <c r="I3308" s="1" t="s">
        <v>49</v>
      </c>
      <c r="J3308" s="1" t="s">
        <v>48</v>
      </c>
      <c r="K3308" s="1">
        <v>3</v>
      </c>
      <c r="L3308" s="1">
        <v>0</v>
      </c>
      <c r="M3308" s="1">
        <v>0</v>
      </c>
      <c r="N3308" s="1">
        <v>3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 t="s">
        <v>49</v>
      </c>
      <c r="AA3308" s="1" t="s">
        <v>49</v>
      </c>
      <c r="AB3308" s="1" t="s">
        <v>49</v>
      </c>
      <c r="AC3308" s="1" t="s">
        <v>7561</v>
      </c>
      <c r="AD3308" s="1" t="s">
        <v>7562</v>
      </c>
      <c r="AE3308" s="1" t="s">
        <v>7563</v>
      </c>
      <c r="AF3308" s="1" t="s">
        <v>7565</v>
      </c>
      <c r="AG3308" s="1" t="s">
        <v>7556</v>
      </c>
      <c r="AH3308" s="1" t="s">
        <v>49</v>
      </c>
      <c r="AI3308" s="1" t="s">
        <v>54</v>
      </c>
      <c r="AJ3308" s="1">
        <v>0</v>
      </c>
      <c r="AK3308" s="1" t="str">
        <f t="shared" si="51"/>
        <v xml:space="preserve"> =&lt;90</v>
      </c>
      <c r="AL3308" s="1" t="str">
        <f>VLOOKUP(C:C,[1]基础信息!B$1:D$65536,3,0)</f>
        <v>Jug</v>
      </c>
      <c r="AM3308" s="1" t="str">
        <f>VLOOKUP(C:C,[1]基础信息!B$1:E$65536,4,0)</f>
        <v>Aluna</v>
      </c>
      <c r="AN3308" s="1" t="str">
        <f>VLOOKUP(C:C,[1]基础信息!B$1:F$65536,5,0)</f>
        <v>Blue</v>
      </c>
    </row>
    <row r="3309" spans="1:40">
      <c r="A3309" s="1" t="s">
        <v>41</v>
      </c>
      <c r="B3309" s="1" t="s">
        <v>42</v>
      </c>
      <c r="C3309" s="1" t="s">
        <v>301</v>
      </c>
      <c r="D3309" s="1" t="s">
        <v>302</v>
      </c>
      <c r="E3309" s="1" t="s">
        <v>45</v>
      </c>
      <c r="F3309" s="1" t="s">
        <v>7566</v>
      </c>
      <c r="G3309" s="1" t="s">
        <v>7552</v>
      </c>
      <c r="H3309" s="1" t="s">
        <v>45</v>
      </c>
      <c r="I3309" s="1" t="s">
        <v>49</v>
      </c>
      <c r="J3309" s="1" t="s">
        <v>48</v>
      </c>
      <c r="K3309" s="1">
        <v>1</v>
      </c>
      <c r="L3309" s="1">
        <v>0</v>
      </c>
      <c r="M3309" s="1">
        <v>0</v>
      </c>
      <c r="N3309" s="1">
        <v>1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 t="s">
        <v>49</v>
      </c>
      <c r="AA3309" s="1" t="s">
        <v>49</v>
      </c>
      <c r="AB3309" s="1" t="s">
        <v>49</v>
      </c>
      <c r="AC3309" s="1" t="s">
        <v>7567</v>
      </c>
      <c r="AD3309" s="1" t="s">
        <v>7568</v>
      </c>
      <c r="AE3309" s="1" t="s">
        <v>7567</v>
      </c>
      <c r="AF3309" s="1" t="s">
        <v>7569</v>
      </c>
      <c r="AG3309" s="1" t="s">
        <v>7556</v>
      </c>
      <c r="AH3309" s="1" t="s">
        <v>49</v>
      </c>
      <c r="AI3309" s="1" t="s">
        <v>54</v>
      </c>
      <c r="AJ3309" s="1">
        <v>0</v>
      </c>
      <c r="AK3309" s="1" t="str">
        <f t="shared" si="51"/>
        <v xml:space="preserve"> =&lt;90</v>
      </c>
      <c r="AL3309" s="1" t="str">
        <f>VLOOKUP(C:C,[1]基础信息!B$1:D$65536,3,0)</f>
        <v>Jug</v>
      </c>
      <c r="AM3309" s="1" t="str">
        <f>VLOOKUP(C:C,[1]基础信息!B$1:E$65536,4,0)</f>
        <v>Aluna</v>
      </c>
      <c r="AN3309" s="1" t="str">
        <f>VLOOKUP(C:C,[1]基础信息!B$1:F$65536,5,0)</f>
        <v>Blue</v>
      </c>
    </row>
    <row r="3310" spans="1:40">
      <c r="A3310" s="1" t="s">
        <v>41</v>
      </c>
      <c r="B3310" s="1" t="s">
        <v>42</v>
      </c>
      <c r="C3310" s="1" t="s">
        <v>301</v>
      </c>
      <c r="D3310" s="1" t="s">
        <v>302</v>
      </c>
      <c r="E3310" s="1" t="s">
        <v>45</v>
      </c>
      <c r="F3310" s="1" t="s">
        <v>7570</v>
      </c>
      <c r="G3310" s="1" t="s">
        <v>7552</v>
      </c>
      <c r="H3310" s="1" t="s">
        <v>45</v>
      </c>
      <c r="I3310" s="1" t="s">
        <v>45</v>
      </c>
      <c r="J3310" s="1" t="s">
        <v>48</v>
      </c>
      <c r="K3310" s="1">
        <v>1</v>
      </c>
      <c r="L3310" s="1">
        <v>0</v>
      </c>
      <c r="M3310" s="1">
        <v>0</v>
      </c>
      <c r="N3310" s="1">
        <v>1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 t="s">
        <v>49</v>
      </c>
      <c r="AA3310" s="1" t="s">
        <v>49</v>
      </c>
      <c r="AB3310" s="1" t="s">
        <v>49</v>
      </c>
      <c r="AC3310" s="1" t="s">
        <v>305</v>
      </c>
      <c r="AD3310" s="1" t="s">
        <v>306</v>
      </c>
      <c r="AE3310" s="1" t="s">
        <v>305</v>
      </c>
      <c r="AF3310" s="1" t="s">
        <v>307</v>
      </c>
      <c r="AG3310" s="1" t="s">
        <v>7556</v>
      </c>
      <c r="AH3310" s="1" t="s">
        <v>49</v>
      </c>
      <c r="AI3310" s="1" t="s">
        <v>54</v>
      </c>
      <c r="AJ3310" s="1">
        <v>0</v>
      </c>
      <c r="AK3310" s="1" t="str">
        <f t="shared" si="51"/>
        <v xml:space="preserve"> =&lt;90</v>
      </c>
      <c r="AL3310" s="1" t="str">
        <f>VLOOKUP(C:C,[1]基础信息!B$1:D$65536,3,0)</f>
        <v>Jug</v>
      </c>
      <c r="AM3310" s="1" t="str">
        <f>VLOOKUP(C:C,[1]基础信息!B$1:E$65536,4,0)</f>
        <v>Aluna</v>
      </c>
      <c r="AN3310" s="1" t="str">
        <f>VLOOKUP(C:C,[1]基础信息!B$1:F$65536,5,0)</f>
        <v>Blue</v>
      </c>
    </row>
    <row r="3311" spans="1:40">
      <c r="A3311" s="1" t="s">
        <v>41</v>
      </c>
      <c r="B3311" s="1" t="s">
        <v>42</v>
      </c>
      <c r="C3311" s="1" t="s">
        <v>43</v>
      </c>
      <c r="D3311" s="1" t="s">
        <v>44</v>
      </c>
      <c r="E3311" s="1" t="s">
        <v>45</v>
      </c>
      <c r="F3311" s="1" t="s">
        <v>7571</v>
      </c>
      <c r="G3311" s="1" t="s">
        <v>7552</v>
      </c>
      <c r="H3311" s="1" t="s">
        <v>45</v>
      </c>
      <c r="I3311" s="1" t="s">
        <v>49</v>
      </c>
      <c r="J3311" s="1" t="s">
        <v>48</v>
      </c>
      <c r="K3311" s="1">
        <v>3</v>
      </c>
      <c r="L3311" s="1">
        <v>0</v>
      </c>
      <c r="M3311" s="1">
        <v>0</v>
      </c>
      <c r="N3311" s="1">
        <v>3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 t="s">
        <v>49</v>
      </c>
      <c r="AA3311" s="1" t="s">
        <v>49</v>
      </c>
      <c r="AB3311" s="1" t="s">
        <v>49</v>
      </c>
      <c r="AC3311" s="1" t="s">
        <v>50</v>
      </c>
      <c r="AD3311" s="1" t="s">
        <v>51</v>
      </c>
      <c r="AE3311" s="1" t="s">
        <v>50</v>
      </c>
      <c r="AF3311" s="1" t="s">
        <v>52</v>
      </c>
      <c r="AG3311" s="1" t="s">
        <v>7556</v>
      </c>
      <c r="AH3311" s="1" t="s">
        <v>49</v>
      </c>
      <c r="AI3311" s="1" t="s">
        <v>54</v>
      </c>
      <c r="AJ3311" s="1">
        <v>0</v>
      </c>
      <c r="AK3311" s="1" t="str">
        <f t="shared" si="51"/>
        <v xml:space="preserve"> =&lt;90</v>
      </c>
      <c r="AL3311" s="1" t="str">
        <f>VLOOKUP(C:C,[1]基础信息!B$1:D$65536,3,0)</f>
        <v>Jug</v>
      </c>
      <c r="AM3311" s="1" t="str">
        <f>VLOOKUP(C:C,[1]基础信息!B$1:E$65536,4,0)</f>
        <v>Marella XL</v>
      </c>
      <c r="AN3311" s="1" t="str">
        <f>VLOOKUP(C:C,[1]基础信息!B$1:F$65536,5,0)</f>
        <v>Black</v>
      </c>
    </row>
    <row r="3312" spans="1:40">
      <c r="A3312" s="1" t="s">
        <v>41</v>
      </c>
      <c r="B3312" s="1" t="s">
        <v>42</v>
      </c>
      <c r="C3312" s="1" t="s">
        <v>104</v>
      </c>
      <c r="D3312" s="1" t="s">
        <v>105</v>
      </c>
      <c r="E3312" s="1" t="s">
        <v>104</v>
      </c>
      <c r="F3312" s="1" t="s">
        <v>7572</v>
      </c>
      <c r="G3312" s="1" t="s">
        <v>7552</v>
      </c>
      <c r="H3312" s="1" t="s">
        <v>45</v>
      </c>
      <c r="I3312" s="1" t="s">
        <v>49</v>
      </c>
      <c r="J3312" s="1" t="s">
        <v>48</v>
      </c>
      <c r="K3312" s="1">
        <v>1</v>
      </c>
      <c r="L3312" s="1">
        <v>0</v>
      </c>
      <c r="M3312" s="1">
        <v>0</v>
      </c>
      <c r="N3312" s="1">
        <v>1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 t="s">
        <v>49</v>
      </c>
      <c r="AA3312" s="1" t="s">
        <v>49</v>
      </c>
      <c r="AB3312" s="1" t="s">
        <v>49</v>
      </c>
      <c r="AC3312" s="1" t="s">
        <v>4206</v>
      </c>
      <c r="AD3312" s="1" t="s">
        <v>4207</v>
      </c>
      <c r="AE3312" s="1" t="s">
        <v>4206</v>
      </c>
      <c r="AF3312" s="1" t="s">
        <v>7573</v>
      </c>
      <c r="AG3312" s="1" t="s">
        <v>7556</v>
      </c>
      <c r="AH3312" s="1" t="s">
        <v>49</v>
      </c>
      <c r="AI3312" s="1" t="s">
        <v>54</v>
      </c>
      <c r="AJ3312" s="1">
        <v>0</v>
      </c>
      <c r="AK3312" s="1" t="str">
        <f t="shared" si="51"/>
        <v xml:space="preserve"> =&lt;90</v>
      </c>
      <c r="AL3312" s="1" t="str">
        <f>VLOOKUP(C:C,[1]基础信息!B$1:D$65536,3,0)</f>
        <v>Jug</v>
      </c>
      <c r="AM3312" s="1" t="str">
        <f>VLOOKUP(C:C,[1]基础信息!B$1:E$65536,4,0)</f>
        <v>Marella XL</v>
      </c>
      <c r="AN3312" s="1" t="str">
        <f>VLOOKUP(C:C,[1]基础信息!B$1:F$65536,5,0)</f>
        <v>Blue</v>
      </c>
    </row>
    <row r="3313" spans="1:40">
      <c r="A3313" s="1" t="s">
        <v>41</v>
      </c>
      <c r="B3313" s="1" t="s">
        <v>42</v>
      </c>
      <c r="C3313" s="1" t="s">
        <v>3971</v>
      </c>
      <c r="D3313" s="1" t="s">
        <v>3972</v>
      </c>
      <c r="E3313" s="1" t="s">
        <v>45</v>
      </c>
      <c r="F3313" s="1" t="s">
        <v>7574</v>
      </c>
      <c r="G3313" s="1" t="s">
        <v>7552</v>
      </c>
      <c r="H3313" s="1" t="s">
        <v>45</v>
      </c>
      <c r="I3313" s="1" t="s">
        <v>49</v>
      </c>
      <c r="J3313" s="1" t="s">
        <v>48</v>
      </c>
      <c r="K3313" s="1">
        <v>1</v>
      </c>
      <c r="L3313" s="1">
        <v>0</v>
      </c>
      <c r="M3313" s="1">
        <v>0</v>
      </c>
      <c r="N3313" s="1">
        <v>1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 t="s">
        <v>49</v>
      </c>
      <c r="AA3313" s="1" t="s">
        <v>49</v>
      </c>
      <c r="AB3313" s="1" t="s">
        <v>49</v>
      </c>
      <c r="AC3313" s="1" t="s">
        <v>4206</v>
      </c>
      <c r="AD3313" s="1" t="s">
        <v>4207</v>
      </c>
      <c r="AE3313" s="1" t="s">
        <v>4206</v>
      </c>
      <c r="AF3313" s="1" t="s">
        <v>7575</v>
      </c>
      <c r="AG3313" s="1" t="s">
        <v>7556</v>
      </c>
      <c r="AH3313" s="1" t="s">
        <v>49</v>
      </c>
      <c r="AI3313" s="1" t="s">
        <v>54</v>
      </c>
      <c r="AJ3313" s="1">
        <v>0</v>
      </c>
      <c r="AK3313" s="1" t="str">
        <f t="shared" si="51"/>
        <v xml:space="preserve"> =&lt;90</v>
      </c>
      <c r="AL3313" s="1" t="str">
        <f>VLOOKUP(C:C,[1]基础信息!B$1:D$65536,3,0)</f>
        <v>Jug</v>
      </c>
      <c r="AM3313" s="1" t="str">
        <f>VLOOKUP(C:C,[1]基础信息!B$1:E$65536,4,0)</f>
        <v>Mxplus</v>
      </c>
      <c r="AN3313" s="1" t="str">
        <f>VLOOKUP(C:C,[1]基础信息!B$1:F$65536,5,0)</f>
        <v xml:space="preserve"> lime</v>
      </c>
    </row>
    <row r="3314" spans="1:40">
      <c r="A3314" s="1" t="s">
        <v>41</v>
      </c>
      <c r="B3314" s="1" t="s">
        <v>42</v>
      </c>
      <c r="C3314" s="1" t="s">
        <v>208</v>
      </c>
      <c r="D3314" s="1" t="s">
        <v>209</v>
      </c>
      <c r="E3314" s="1" t="s">
        <v>208</v>
      </c>
      <c r="F3314" s="1" t="s">
        <v>7576</v>
      </c>
      <c r="G3314" s="1" t="s">
        <v>7552</v>
      </c>
      <c r="H3314" s="1" t="s">
        <v>45</v>
      </c>
      <c r="I3314" s="1" t="s">
        <v>49</v>
      </c>
      <c r="J3314" s="1" t="s">
        <v>48</v>
      </c>
      <c r="K3314" s="1">
        <v>2</v>
      </c>
      <c r="L3314" s="1">
        <v>0</v>
      </c>
      <c r="M3314" s="1">
        <v>0</v>
      </c>
      <c r="N3314" s="1">
        <v>2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 t="s">
        <v>49</v>
      </c>
      <c r="AA3314" s="1" t="s">
        <v>49</v>
      </c>
      <c r="AB3314" s="1" t="s">
        <v>49</v>
      </c>
      <c r="AC3314" s="1" t="s">
        <v>1715</v>
      </c>
      <c r="AD3314" s="1" t="s">
        <v>1716</v>
      </c>
      <c r="AE3314" s="1" t="s">
        <v>1715</v>
      </c>
      <c r="AF3314" s="1" t="s">
        <v>4912</v>
      </c>
      <c r="AG3314" s="1" t="s">
        <v>7556</v>
      </c>
      <c r="AH3314" s="1" t="s">
        <v>49</v>
      </c>
      <c r="AI3314" s="1" t="s">
        <v>54</v>
      </c>
      <c r="AJ3314" s="1">
        <v>0</v>
      </c>
      <c r="AK3314" s="1" t="str">
        <f t="shared" si="51"/>
        <v xml:space="preserve"> =&lt;90</v>
      </c>
      <c r="AL3314" s="1" t="str">
        <f>VLOOKUP(C:C,[1]基础信息!B$1:D$65536,3,0)</f>
        <v>Jug</v>
      </c>
      <c r="AM3314" s="1" t="str">
        <f>VLOOKUP(C:C,[1]基础信息!B$1:E$65536,4,0)</f>
        <v>MXpl</v>
      </c>
      <c r="AN3314" s="1" t="str">
        <f>VLOOKUP(C:C,[1]基础信息!B$1:F$65536,5,0)</f>
        <v>grey</v>
      </c>
    </row>
    <row r="3315" spans="1:40">
      <c r="A3315" s="1" t="s">
        <v>41</v>
      </c>
      <c r="B3315" s="1" t="s">
        <v>42</v>
      </c>
      <c r="C3315" s="1" t="s">
        <v>1710</v>
      </c>
      <c r="D3315" s="1" t="s">
        <v>1711</v>
      </c>
      <c r="E3315" s="1" t="s">
        <v>45</v>
      </c>
      <c r="F3315" s="1" t="s">
        <v>7577</v>
      </c>
      <c r="G3315" s="1" t="s">
        <v>7552</v>
      </c>
      <c r="H3315" s="1" t="s">
        <v>45</v>
      </c>
      <c r="I3315" s="1" t="s">
        <v>49</v>
      </c>
      <c r="J3315" s="1" t="s">
        <v>48</v>
      </c>
      <c r="K3315" s="1">
        <v>1</v>
      </c>
      <c r="L3315" s="1">
        <v>0</v>
      </c>
      <c r="M3315" s="1">
        <v>0</v>
      </c>
      <c r="N3315" s="1">
        <v>1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 t="s">
        <v>49</v>
      </c>
      <c r="AA3315" s="1" t="s">
        <v>49</v>
      </c>
      <c r="AB3315" s="1" t="s">
        <v>49</v>
      </c>
      <c r="AC3315" s="1" t="s">
        <v>1715</v>
      </c>
      <c r="AD3315" s="1" t="s">
        <v>1716</v>
      </c>
      <c r="AE3315" s="1" t="s">
        <v>1715</v>
      </c>
      <c r="AF3315" s="1" t="s">
        <v>1717</v>
      </c>
      <c r="AG3315" s="1" t="s">
        <v>7556</v>
      </c>
      <c r="AH3315" s="1" t="s">
        <v>49</v>
      </c>
      <c r="AI3315" s="1" t="s">
        <v>54</v>
      </c>
      <c r="AJ3315" s="1">
        <v>0</v>
      </c>
      <c r="AK3315" s="1" t="str">
        <f t="shared" si="51"/>
        <v xml:space="preserve"> =&lt;90</v>
      </c>
      <c r="AL3315" s="1" t="str">
        <f>VLOOKUP(C:C,[1]基础信息!B$1:D$65536,3,0)</f>
        <v>Jug</v>
      </c>
      <c r="AM3315" s="1" t="str">
        <f>VLOOKUP(C:C,[1]基础信息!B$1:E$65536,4,0)</f>
        <v>Kalea XL ME4W</v>
      </c>
      <c r="AN3315" s="1" t="str">
        <f>VLOOKUP(C:C,[1]基础信息!B$1:F$65536,5,0)</f>
        <v>grey</v>
      </c>
    </row>
    <row r="3316" spans="1:40">
      <c r="A3316" s="1" t="s">
        <v>41</v>
      </c>
      <c r="B3316" s="1" t="s">
        <v>42</v>
      </c>
      <c r="C3316" s="1" t="s">
        <v>2004</v>
      </c>
      <c r="D3316" s="1" t="s">
        <v>2005</v>
      </c>
      <c r="E3316" s="1" t="s">
        <v>2004</v>
      </c>
      <c r="F3316" s="1" t="s">
        <v>7578</v>
      </c>
      <c r="G3316" s="1" t="s">
        <v>7552</v>
      </c>
      <c r="H3316" s="1" t="s">
        <v>45</v>
      </c>
      <c r="I3316" s="1" t="s">
        <v>49</v>
      </c>
      <c r="J3316" s="1" t="s">
        <v>48</v>
      </c>
      <c r="K3316" s="1">
        <v>1</v>
      </c>
      <c r="L3316" s="1">
        <v>0</v>
      </c>
      <c r="M3316" s="1">
        <v>0</v>
      </c>
      <c r="N3316" s="1">
        <v>1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 t="s">
        <v>49</v>
      </c>
      <c r="AA3316" s="1" t="s">
        <v>49</v>
      </c>
      <c r="AB3316" s="1" t="s">
        <v>49</v>
      </c>
      <c r="AC3316" s="1" t="s">
        <v>364</v>
      </c>
      <c r="AD3316" s="1" t="s">
        <v>365</v>
      </c>
      <c r="AE3316" s="1" t="s">
        <v>364</v>
      </c>
      <c r="AF3316" s="1" t="s">
        <v>7579</v>
      </c>
      <c r="AG3316" s="1" t="s">
        <v>7556</v>
      </c>
      <c r="AH3316" s="1" t="s">
        <v>49</v>
      </c>
      <c r="AI3316" s="1" t="s">
        <v>54</v>
      </c>
      <c r="AJ3316" s="1">
        <v>0</v>
      </c>
      <c r="AK3316" s="1" t="str">
        <f t="shared" si="51"/>
        <v xml:space="preserve"> =&lt;90</v>
      </c>
      <c r="AL3316" s="1" t="str">
        <f>VLOOKUP(C:C,[1]基础信息!B$1:D$65536,3,0)</f>
        <v>Jug</v>
      </c>
      <c r="AM3316" s="1" t="str">
        <f>VLOOKUP(C:C,[1]基础信息!B$1:E$65536,4,0)</f>
        <v>Marella XL</v>
      </c>
      <c r="AN3316" s="1" t="str">
        <f>VLOOKUP(C:C,[1]基础信息!B$1:F$65536,5,0)</f>
        <v>Mxplus</v>
      </c>
    </row>
    <row r="3317" spans="1:40">
      <c r="A3317" s="1" t="s">
        <v>41</v>
      </c>
      <c r="B3317" s="1" t="s">
        <v>42</v>
      </c>
      <c r="C3317" s="1" t="s">
        <v>285</v>
      </c>
      <c r="D3317" s="1" t="s">
        <v>286</v>
      </c>
      <c r="E3317" s="1" t="s">
        <v>45</v>
      </c>
      <c r="F3317" s="1" t="s">
        <v>7580</v>
      </c>
      <c r="G3317" s="1" t="s">
        <v>7552</v>
      </c>
      <c r="H3317" s="1" t="s">
        <v>45</v>
      </c>
      <c r="I3317" s="1" t="s">
        <v>49</v>
      </c>
      <c r="J3317" s="1" t="s">
        <v>48</v>
      </c>
      <c r="K3317" s="1">
        <v>2</v>
      </c>
      <c r="L3317" s="1">
        <v>0</v>
      </c>
      <c r="M3317" s="1">
        <v>0</v>
      </c>
      <c r="N3317" s="1">
        <v>2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 t="s">
        <v>49</v>
      </c>
      <c r="AA3317" s="1" t="s">
        <v>49</v>
      </c>
      <c r="AB3317" s="1" t="s">
        <v>49</v>
      </c>
      <c r="AC3317" s="1" t="s">
        <v>1551</v>
      </c>
      <c r="AD3317" s="1" t="s">
        <v>1552</v>
      </c>
      <c r="AE3317" s="1" t="s">
        <v>1551</v>
      </c>
      <c r="AF3317" s="1" t="s">
        <v>2550</v>
      </c>
      <c r="AG3317" s="1" t="s">
        <v>7556</v>
      </c>
      <c r="AH3317" s="1" t="s">
        <v>49</v>
      </c>
      <c r="AI3317" s="1" t="s">
        <v>54</v>
      </c>
      <c r="AJ3317" s="1">
        <v>1</v>
      </c>
      <c r="AK3317" s="1" t="str">
        <f t="shared" si="51"/>
        <v xml:space="preserve"> =&lt;90</v>
      </c>
      <c r="AL3317" s="1" t="str">
        <f>VLOOKUP(C:C,[1]基础信息!B$1:D$65536,3,0)</f>
        <v>Jug</v>
      </c>
      <c r="AM3317" s="1" t="str">
        <f>VLOOKUP(C:C,[1]基础信息!B$1:E$65536,4,0)</f>
        <v>Marella XL</v>
      </c>
      <c r="AN3317" s="1" t="str">
        <f>VLOOKUP(C:C,[1]基础信息!B$1:F$65536,5,0)</f>
        <v>Blue</v>
      </c>
    </row>
    <row r="3318" spans="1:40">
      <c r="A3318" s="1" t="s">
        <v>41</v>
      </c>
      <c r="B3318" s="1" t="s">
        <v>42</v>
      </c>
      <c r="C3318" s="1" t="s">
        <v>7581</v>
      </c>
      <c r="D3318" s="1" t="s">
        <v>7582</v>
      </c>
      <c r="E3318" s="1" t="s">
        <v>45</v>
      </c>
      <c r="F3318" s="1" t="s">
        <v>7583</v>
      </c>
      <c r="G3318" s="1" t="s">
        <v>7584</v>
      </c>
      <c r="H3318" s="1" t="s">
        <v>45</v>
      </c>
      <c r="I3318" s="1" t="s">
        <v>45</v>
      </c>
      <c r="J3318" s="1" t="s">
        <v>48</v>
      </c>
      <c r="K3318" s="1">
        <v>12</v>
      </c>
      <c r="L3318" s="1">
        <v>0</v>
      </c>
      <c r="M3318" s="1">
        <v>0</v>
      </c>
      <c r="N3318" s="1">
        <v>12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 t="s">
        <v>49</v>
      </c>
      <c r="AA3318" s="1" t="s">
        <v>49</v>
      </c>
      <c r="AB3318" s="1" t="s">
        <v>49</v>
      </c>
      <c r="AC3318" s="1" t="s">
        <v>3719</v>
      </c>
      <c r="AD3318" s="1" t="s">
        <v>3720</v>
      </c>
      <c r="AE3318" s="1" t="s">
        <v>3719</v>
      </c>
      <c r="AF3318" s="1" t="s">
        <v>7585</v>
      </c>
      <c r="AG3318" s="1" t="s">
        <v>53</v>
      </c>
      <c r="AH3318" s="1" t="s">
        <v>49</v>
      </c>
      <c r="AI3318" s="1" t="s">
        <v>54</v>
      </c>
      <c r="AJ3318" s="1">
        <v>1</v>
      </c>
      <c r="AK3318" s="1" t="str">
        <f t="shared" si="51"/>
        <v xml:space="preserve"> =&lt;90</v>
      </c>
      <c r="AL3318" s="1" t="e">
        <f>VLOOKUP(C:C,[1]基础信息!B$1:D$65536,3,0)</f>
        <v>#N/A</v>
      </c>
      <c r="AM3318" s="1" t="e">
        <f>VLOOKUP(C:C,[1]基础信息!B$1:E$65536,4,0)</f>
        <v>#N/A</v>
      </c>
      <c r="AN3318" s="1" t="e">
        <f>VLOOKUP(C:C,[1]基础信息!B$1:F$65536,5,0)</f>
        <v>#N/A</v>
      </c>
    </row>
    <row r="3319" spans="1:40">
      <c r="A3319" s="1" t="s">
        <v>41</v>
      </c>
      <c r="B3319" s="1" t="s">
        <v>42</v>
      </c>
      <c r="C3319" s="1" t="s">
        <v>7586</v>
      </c>
      <c r="D3319" s="1" t="s">
        <v>7587</v>
      </c>
      <c r="E3319" s="1" t="s">
        <v>45</v>
      </c>
      <c r="F3319" s="1" t="s">
        <v>7588</v>
      </c>
      <c r="G3319" s="1" t="s">
        <v>7589</v>
      </c>
      <c r="H3319" s="1" t="s">
        <v>7590</v>
      </c>
      <c r="I3319" s="1" t="s">
        <v>49</v>
      </c>
      <c r="J3319" s="1" t="s">
        <v>48</v>
      </c>
      <c r="K3319" s="1">
        <v>68</v>
      </c>
      <c r="L3319" s="1">
        <v>0</v>
      </c>
      <c r="M3319" s="1">
        <v>0</v>
      </c>
      <c r="N3319" s="1">
        <v>68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 t="s">
        <v>49</v>
      </c>
      <c r="AA3319" s="1" t="s">
        <v>49</v>
      </c>
      <c r="AB3319" s="1" t="s">
        <v>49</v>
      </c>
      <c r="AC3319" s="1" t="s">
        <v>215</v>
      </c>
      <c r="AD3319" s="1" t="s">
        <v>3025</v>
      </c>
      <c r="AE3319" s="1" t="s">
        <v>215</v>
      </c>
      <c r="AF3319" s="1" t="s">
        <v>4263</v>
      </c>
      <c r="AG3319" s="1" t="s">
        <v>53</v>
      </c>
      <c r="AH3319" s="1" t="s">
        <v>49</v>
      </c>
      <c r="AI3319" s="1" t="s">
        <v>54</v>
      </c>
      <c r="AJ3319" s="1">
        <v>1</v>
      </c>
      <c r="AK3319" s="1" t="str">
        <f t="shared" si="51"/>
        <v xml:space="preserve"> =&lt;90</v>
      </c>
      <c r="AL3319" s="1" t="e">
        <f>VLOOKUP(C:C,[1]基础信息!B$1:D$65536,3,0)</f>
        <v>#N/A</v>
      </c>
      <c r="AM3319" s="1" t="e">
        <f>VLOOKUP(C:C,[1]基础信息!B$1:E$65536,4,0)</f>
        <v>#N/A</v>
      </c>
      <c r="AN3319" s="1" t="e">
        <f>VLOOKUP(C:C,[1]基础信息!B$1:F$65536,5,0)</f>
        <v>#N/A</v>
      </c>
    </row>
    <row r="3320" spans="1:40">
      <c r="A3320" s="1" t="s">
        <v>41</v>
      </c>
      <c r="B3320" s="1" t="s">
        <v>42</v>
      </c>
      <c r="C3320" s="1" t="s">
        <v>7591</v>
      </c>
      <c r="D3320" s="1" t="s">
        <v>7592</v>
      </c>
      <c r="E3320" s="1" t="s">
        <v>45</v>
      </c>
      <c r="F3320" s="1" t="s">
        <v>7593</v>
      </c>
      <c r="G3320" s="1" t="s">
        <v>7594</v>
      </c>
      <c r="H3320" s="1" t="s">
        <v>45</v>
      </c>
      <c r="I3320" s="1" t="s">
        <v>45</v>
      </c>
      <c r="J3320" s="1" t="s">
        <v>48</v>
      </c>
      <c r="K3320" s="1">
        <v>1</v>
      </c>
      <c r="L3320" s="1">
        <v>0</v>
      </c>
      <c r="M3320" s="1">
        <v>0</v>
      </c>
      <c r="N3320" s="1">
        <v>1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 t="s">
        <v>49</v>
      </c>
      <c r="AA3320" s="1" t="s">
        <v>49</v>
      </c>
      <c r="AB3320" s="1" t="s">
        <v>49</v>
      </c>
      <c r="AC3320" s="1" t="s">
        <v>7595</v>
      </c>
      <c r="AD3320" s="1" t="s">
        <v>7596</v>
      </c>
      <c r="AE3320" s="1" t="s">
        <v>7595</v>
      </c>
      <c r="AF3320" s="1" t="s">
        <v>7597</v>
      </c>
      <c r="AG3320" s="1" t="s">
        <v>7556</v>
      </c>
      <c r="AH3320" s="1" t="s">
        <v>49</v>
      </c>
      <c r="AI3320" s="1" t="s">
        <v>54</v>
      </c>
      <c r="AJ3320" s="1">
        <v>0</v>
      </c>
      <c r="AK3320" s="1" t="str">
        <f t="shared" si="51"/>
        <v xml:space="preserve"> =&lt;90</v>
      </c>
      <c r="AL3320" s="1" t="str">
        <f>VLOOKUP(C:C,[1]基础信息!B$1:D$65536,3,0)</f>
        <v>Jug</v>
      </c>
      <c r="AM3320" s="1" t="str">
        <f>VLOOKUP(C:C,[1]基础信息!B$1:E$65536,4,0)</f>
        <v>Marella</v>
      </c>
      <c r="AN3320" s="1" t="str">
        <f>VLOOKUP(C:C,[1]基础信息!B$1:F$65536,5,0)</f>
        <v>Glitter</v>
      </c>
    </row>
    <row r="3321" spans="1:40">
      <c r="A3321" s="1" t="s">
        <v>41</v>
      </c>
      <c r="B3321" s="1" t="s">
        <v>42</v>
      </c>
      <c r="C3321" s="1" t="s">
        <v>104</v>
      </c>
      <c r="D3321" s="1" t="s">
        <v>105</v>
      </c>
      <c r="E3321" s="1" t="s">
        <v>104</v>
      </c>
      <c r="F3321" s="1" t="s">
        <v>7598</v>
      </c>
      <c r="G3321" s="1" t="s">
        <v>7594</v>
      </c>
      <c r="H3321" s="1" t="s">
        <v>45</v>
      </c>
      <c r="I3321" s="1" t="s">
        <v>49</v>
      </c>
      <c r="J3321" s="1" t="s">
        <v>48</v>
      </c>
      <c r="K3321" s="1">
        <v>1</v>
      </c>
      <c r="L3321" s="1">
        <v>0</v>
      </c>
      <c r="M3321" s="1">
        <v>0</v>
      </c>
      <c r="N3321" s="1">
        <v>1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 t="s">
        <v>49</v>
      </c>
      <c r="AA3321" s="1" t="s">
        <v>49</v>
      </c>
      <c r="AB3321" s="1" t="s">
        <v>49</v>
      </c>
      <c r="AC3321" s="1" t="s">
        <v>7599</v>
      </c>
      <c r="AD3321" s="1" t="s">
        <v>7600</v>
      </c>
      <c r="AE3321" s="1" t="s">
        <v>7599</v>
      </c>
      <c r="AF3321" s="1" t="s">
        <v>7601</v>
      </c>
      <c r="AG3321" s="1" t="s">
        <v>7556</v>
      </c>
      <c r="AH3321" s="1" t="s">
        <v>49</v>
      </c>
      <c r="AI3321" s="1" t="s">
        <v>54</v>
      </c>
      <c r="AJ3321" s="1">
        <v>0</v>
      </c>
      <c r="AK3321" s="1" t="str">
        <f t="shared" si="51"/>
        <v xml:space="preserve"> =&lt;90</v>
      </c>
      <c r="AL3321" s="1" t="str">
        <f>VLOOKUP(C:C,[1]基础信息!B$1:D$65536,3,0)</f>
        <v>Jug</v>
      </c>
      <c r="AM3321" s="1" t="str">
        <f>VLOOKUP(C:C,[1]基础信息!B$1:E$65536,4,0)</f>
        <v>Marella XL</v>
      </c>
      <c r="AN3321" s="1" t="str">
        <f>VLOOKUP(C:C,[1]基础信息!B$1:F$65536,5,0)</f>
        <v>Blue</v>
      </c>
    </row>
    <row r="3322" spans="1:40">
      <c r="A3322" s="1" t="s">
        <v>41</v>
      </c>
      <c r="B3322" s="1" t="s">
        <v>42</v>
      </c>
      <c r="C3322" s="1" t="s">
        <v>104</v>
      </c>
      <c r="D3322" s="1" t="s">
        <v>105</v>
      </c>
      <c r="E3322" s="1" t="s">
        <v>104</v>
      </c>
      <c r="F3322" s="1" t="s">
        <v>7602</v>
      </c>
      <c r="G3322" s="1" t="s">
        <v>7594</v>
      </c>
      <c r="H3322" s="1" t="s">
        <v>45</v>
      </c>
      <c r="I3322" s="1" t="s">
        <v>49</v>
      </c>
      <c r="J3322" s="1" t="s">
        <v>48</v>
      </c>
      <c r="K3322" s="1">
        <v>1</v>
      </c>
      <c r="L3322" s="1">
        <v>0</v>
      </c>
      <c r="M3322" s="1">
        <v>0</v>
      </c>
      <c r="N3322" s="1">
        <v>1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 t="s">
        <v>49</v>
      </c>
      <c r="AA3322" s="1" t="s">
        <v>49</v>
      </c>
      <c r="AB3322" s="1" t="s">
        <v>49</v>
      </c>
      <c r="AC3322" s="1" t="s">
        <v>7603</v>
      </c>
      <c r="AD3322" s="1" t="s">
        <v>7604</v>
      </c>
      <c r="AE3322" s="1" t="s">
        <v>7603</v>
      </c>
      <c r="AF3322" s="1" t="s">
        <v>7605</v>
      </c>
      <c r="AG3322" s="1" t="s">
        <v>7556</v>
      </c>
      <c r="AH3322" s="1" t="s">
        <v>49</v>
      </c>
      <c r="AI3322" s="1" t="s">
        <v>54</v>
      </c>
      <c r="AJ3322" s="1">
        <v>0</v>
      </c>
      <c r="AK3322" s="1" t="str">
        <f t="shared" si="51"/>
        <v xml:space="preserve"> =&lt;90</v>
      </c>
      <c r="AL3322" s="1" t="str">
        <f>VLOOKUP(C:C,[1]基础信息!B$1:D$65536,3,0)</f>
        <v>Jug</v>
      </c>
      <c r="AM3322" s="1" t="str">
        <f>VLOOKUP(C:C,[1]基础信息!B$1:E$65536,4,0)</f>
        <v>Marella XL</v>
      </c>
      <c r="AN3322" s="1" t="str">
        <f>VLOOKUP(C:C,[1]基础信息!B$1:F$65536,5,0)</f>
        <v>Blue</v>
      </c>
    </row>
    <row r="3323" spans="1:40">
      <c r="A3323" s="1" t="s">
        <v>41</v>
      </c>
      <c r="B3323" s="1" t="s">
        <v>42</v>
      </c>
      <c r="C3323" s="1" t="s">
        <v>104</v>
      </c>
      <c r="D3323" s="1" t="s">
        <v>105</v>
      </c>
      <c r="E3323" s="1" t="s">
        <v>104</v>
      </c>
      <c r="F3323" s="1" t="s">
        <v>7606</v>
      </c>
      <c r="G3323" s="1" t="s">
        <v>7594</v>
      </c>
      <c r="H3323" s="1" t="s">
        <v>45</v>
      </c>
      <c r="I3323" s="1" t="s">
        <v>49</v>
      </c>
      <c r="J3323" s="1" t="s">
        <v>48</v>
      </c>
      <c r="K3323" s="1">
        <v>1</v>
      </c>
      <c r="L3323" s="1">
        <v>0</v>
      </c>
      <c r="M3323" s="1">
        <v>0</v>
      </c>
      <c r="N3323" s="1">
        <v>1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 t="s">
        <v>49</v>
      </c>
      <c r="AA3323" s="1" t="s">
        <v>49</v>
      </c>
      <c r="AB3323" s="1" t="s">
        <v>49</v>
      </c>
      <c r="AC3323" s="1" t="s">
        <v>4650</v>
      </c>
      <c r="AD3323" s="1" t="s">
        <v>4651</v>
      </c>
      <c r="AE3323" s="1" t="s">
        <v>7607</v>
      </c>
      <c r="AF3323" s="1" t="s">
        <v>7608</v>
      </c>
      <c r="AG3323" s="1" t="s">
        <v>7556</v>
      </c>
      <c r="AH3323" s="1" t="s">
        <v>49</v>
      </c>
      <c r="AI3323" s="1" t="s">
        <v>54</v>
      </c>
      <c r="AJ3323" s="1">
        <v>0</v>
      </c>
      <c r="AK3323" s="1" t="str">
        <f t="shared" si="51"/>
        <v xml:space="preserve"> =&lt;90</v>
      </c>
      <c r="AL3323" s="1" t="str">
        <f>VLOOKUP(C:C,[1]基础信息!B$1:D$65536,3,0)</f>
        <v>Jug</v>
      </c>
      <c r="AM3323" s="1" t="str">
        <f>VLOOKUP(C:C,[1]基础信息!B$1:E$65536,4,0)</f>
        <v>Marella XL</v>
      </c>
      <c r="AN3323" s="1" t="str">
        <f>VLOOKUP(C:C,[1]基础信息!B$1:F$65536,5,0)</f>
        <v>Blue</v>
      </c>
    </row>
    <row r="3324" spans="1:40">
      <c r="A3324" s="1" t="s">
        <v>41</v>
      </c>
      <c r="B3324" s="1" t="s">
        <v>42</v>
      </c>
      <c r="C3324" s="1" t="s">
        <v>104</v>
      </c>
      <c r="D3324" s="1" t="s">
        <v>105</v>
      </c>
      <c r="E3324" s="1" t="s">
        <v>104</v>
      </c>
      <c r="F3324" s="1" t="s">
        <v>7609</v>
      </c>
      <c r="G3324" s="1" t="s">
        <v>7594</v>
      </c>
      <c r="H3324" s="1" t="s">
        <v>45</v>
      </c>
      <c r="I3324" s="1" t="s">
        <v>49</v>
      </c>
      <c r="J3324" s="1" t="s">
        <v>48</v>
      </c>
      <c r="K3324" s="1">
        <v>2</v>
      </c>
      <c r="L3324" s="1">
        <v>0</v>
      </c>
      <c r="M3324" s="1">
        <v>0</v>
      </c>
      <c r="N3324" s="1">
        <v>2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 t="s">
        <v>49</v>
      </c>
      <c r="AA3324" s="1" t="s">
        <v>49</v>
      </c>
      <c r="AB3324" s="1" t="s">
        <v>49</v>
      </c>
      <c r="AC3324" s="1" t="s">
        <v>7610</v>
      </c>
      <c r="AD3324" s="1" t="s">
        <v>7611</v>
      </c>
      <c r="AE3324" s="1" t="s">
        <v>7610</v>
      </c>
      <c r="AF3324" s="1" t="s">
        <v>7612</v>
      </c>
      <c r="AG3324" s="1" t="s">
        <v>7556</v>
      </c>
      <c r="AH3324" s="1" t="s">
        <v>49</v>
      </c>
      <c r="AI3324" s="1" t="s">
        <v>54</v>
      </c>
      <c r="AJ3324" s="1">
        <v>0</v>
      </c>
      <c r="AK3324" s="1" t="str">
        <f t="shared" si="51"/>
        <v xml:space="preserve"> =&lt;90</v>
      </c>
      <c r="AL3324" s="1" t="str">
        <f>VLOOKUP(C:C,[1]基础信息!B$1:D$65536,3,0)</f>
        <v>Jug</v>
      </c>
      <c r="AM3324" s="1" t="str">
        <f>VLOOKUP(C:C,[1]基础信息!B$1:E$65536,4,0)</f>
        <v>Marella XL</v>
      </c>
      <c r="AN3324" s="1" t="str">
        <f>VLOOKUP(C:C,[1]基础信息!B$1:F$65536,5,0)</f>
        <v>Blue</v>
      </c>
    </row>
    <row r="3325" spans="1:40">
      <c r="A3325" s="1" t="s">
        <v>41</v>
      </c>
      <c r="B3325" s="1" t="s">
        <v>42</v>
      </c>
      <c r="C3325" s="1" t="s">
        <v>104</v>
      </c>
      <c r="D3325" s="1" t="s">
        <v>105</v>
      </c>
      <c r="E3325" s="1" t="s">
        <v>104</v>
      </c>
      <c r="F3325" s="1" t="s">
        <v>7613</v>
      </c>
      <c r="G3325" s="1" t="s">
        <v>7594</v>
      </c>
      <c r="H3325" s="1" t="s">
        <v>45</v>
      </c>
      <c r="I3325" s="1" t="s">
        <v>49</v>
      </c>
      <c r="J3325" s="1" t="s">
        <v>48</v>
      </c>
      <c r="K3325" s="1">
        <v>2</v>
      </c>
      <c r="L3325" s="1">
        <v>0</v>
      </c>
      <c r="M3325" s="1">
        <v>0</v>
      </c>
      <c r="N3325" s="1">
        <v>2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 t="s">
        <v>49</v>
      </c>
      <c r="AA3325" s="1" t="s">
        <v>49</v>
      </c>
      <c r="AB3325" s="1" t="s">
        <v>49</v>
      </c>
      <c r="AC3325" s="1" t="s">
        <v>7614</v>
      </c>
      <c r="AD3325" s="1" t="s">
        <v>7615</v>
      </c>
      <c r="AE3325" s="1" t="s">
        <v>7614</v>
      </c>
      <c r="AF3325" s="1" t="s">
        <v>7616</v>
      </c>
      <c r="AG3325" s="1" t="s">
        <v>7556</v>
      </c>
      <c r="AH3325" s="1" t="s">
        <v>49</v>
      </c>
      <c r="AI3325" s="1" t="s">
        <v>54</v>
      </c>
      <c r="AJ3325" s="1">
        <v>0</v>
      </c>
      <c r="AK3325" s="1" t="str">
        <f t="shared" si="51"/>
        <v xml:space="preserve"> =&lt;90</v>
      </c>
      <c r="AL3325" s="1" t="str">
        <f>VLOOKUP(C:C,[1]基础信息!B$1:D$65536,3,0)</f>
        <v>Jug</v>
      </c>
      <c r="AM3325" s="1" t="str">
        <f>VLOOKUP(C:C,[1]基础信息!B$1:E$65536,4,0)</f>
        <v>Marella XL</v>
      </c>
      <c r="AN3325" s="1" t="str">
        <f>VLOOKUP(C:C,[1]基础信息!B$1:F$65536,5,0)</f>
        <v>Blue</v>
      </c>
    </row>
    <row r="3326" spans="1:40">
      <c r="A3326" s="1" t="s">
        <v>41</v>
      </c>
      <c r="B3326" s="1" t="s">
        <v>42</v>
      </c>
      <c r="C3326" s="1" t="s">
        <v>301</v>
      </c>
      <c r="D3326" s="1" t="s">
        <v>302</v>
      </c>
      <c r="E3326" s="1" t="s">
        <v>45</v>
      </c>
      <c r="F3326" s="1" t="s">
        <v>7617</v>
      </c>
      <c r="G3326" s="1" t="s">
        <v>7594</v>
      </c>
      <c r="H3326" s="1" t="s">
        <v>45</v>
      </c>
      <c r="I3326" s="1" t="s">
        <v>49</v>
      </c>
      <c r="J3326" s="1" t="s">
        <v>48</v>
      </c>
      <c r="K3326" s="1">
        <v>4</v>
      </c>
      <c r="L3326" s="1">
        <v>0</v>
      </c>
      <c r="M3326" s="1">
        <v>0</v>
      </c>
      <c r="N3326" s="1">
        <v>4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 t="s">
        <v>49</v>
      </c>
      <c r="AA3326" s="1" t="s">
        <v>49</v>
      </c>
      <c r="AB3326" s="1" t="s">
        <v>49</v>
      </c>
      <c r="AC3326" s="1" t="s">
        <v>7618</v>
      </c>
      <c r="AD3326" s="1" t="s">
        <v>7619</v>
      </c>
      <c r="AE3326" s="1" t="s">
        <v>7618</v>
      </c>
      <c r="AF3326" s="1" t="s">
        <v>7620</v>
      </c>
      <c r="AG3326" s="1" t="s">
        <v>7556</v>
      </c>
      <c r="AH3326" s="1" t="s">
        <v>49</v>
      </c>
      <c r="AI3326" s="1" t="s">
        <v>54</v>
      </c>
      <c r="AJ3326" s="1">
        <v>0</v>
      </c>
      <c r="AK3326" s="1" t="str">
        <f t="shared" si="51"/>
        <v xml:space="preserve"> =&lt;90</v>
      </c>
      <c r="AL3326" s="1" t="str">
        <f>VLOOKUP(C:C,[1]基础信息!B$1:D$65536,3,0)</f>
        <v>Jug</v>
      </c>
      <c r="AM3326" s="1" t="str">
        <f>VLOOKUP(C:C,[1]基础信息!B$1:E$65536,4,0)</f>
        <v>Aluna</v>
      </c>
      <c r="AN3326" s="1" t="str">
        <f>VLOOKUP(C:C,[1]基础信息!B$1:F$65536,5,0)</f>
        <v>Blue</v>
      </c>
    </row>
    <row r="3327" spans="1:40">
      <c r="A3327" s="1" t="s">
        <v>41</v>
      </c>
      <c r="B3327" s="1" t="s">
        <v>42</v>
      </c>
      <c r="C3327" s="1" t="s">
        <v>301</v>
      </c>
      <c r="D3327" s="1" t="s">
        <v>302</v>
      </c>
      <c r="E3327" s="1" t="s">
        <v>45</v>
      </c>
      <c r="F3327" s="1" t="s">
        <v>7621</v>
      </c>
      <c r="G3327" s="1" t="s">
        <v>7594</v>
      </c>
      <c r="H3327" s="1" t="s">
        <v>45</v>
      </c>
      <c r="I3327" s="1" t="s">
        <v>49</v>
      </c>
      <c r="J3327" s="1" t="s">
        <v>48</v>
      </c>
      <c r="K3327" s="1">
        <v>4</v>
      </c>
      <c r="L3327" s="1">
        <v>0</v>
      </c>
      <c r="M3327" s="1">
        <v>0</v>
      </c>
      <c r="N3327" s="1">
        <v>4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0</v>
      </c>
      <c r="Z3327" s="1" t="s">
        <v>49</v>
      </c>
      <c r="AA3327" s="1" t="s">
        <v>49</v>
      </c>
      <c r="AB3327" s="1" t="s">
        <v>49</v>
      </c>
      <c r="AC3327" s="1" t="s">
        <v>7618</v>
      </c>
      <c r="AD3327" s="1" t="s">
        <v>7619</v>
      </c>
      <c r="AE3327" s="1" t="s">
        <v>7618</v>
      </c>
      <c r="AF3327" s="1" t="s">
        <v>7622</v>
      </c>
      <c r="AG3327" s="1" t="s">
        <v>7556</v>
      </c>
      <c r="AH3327" s="1" t="s">
        <v>49</v>
      </c>
      <c r="AI3327" s="1" t="s">
        <v>54</v>
      </c>
      <c r="AJ3327" s="1">
        <v>0</v>
      </c>
      <c r="AK3327" s="1" t="str">
        <f t="shared" si="51"/>
        <v xml:space="preserve"> =&lt;90</v>
      </c>
      <c r="AL3327" s="1" t="str">
        <f>VLOOKUP(C:C,[1]基础信息!B$1:D$65536,3,0)</f>
        <v>Jug</v>
      </c>
      <c r="AM3327" s="1" t="str">
        <f>VLOOKUP(C:C,[1]基础信息!B$1:E$65536,4,0)</f>
        <v>Aluna</v>
      </c>
      <c r="AN3327" s="1" t="str">
        <f>VLOOKUP(C:C,[1]基础信息!B$1:F$65536,5,0)</f>
        <v>Blue</v>
      </c>
    </row>
    <row r="3328" spans="1:40">
      <c r="A3328" s="1" t="s">
        <v>41</v>
      </c>
      <c r="B3328" s="1" t="s">
        <v>42</v>
      </c>
      <c r="C3328" s="1" t="s">
        <v>1383</v>
      </c>
      <c r="D3328" s="1" t="s">
        <v>1384</v>
      </c>
      <c r="E3328" s="1" t="s">
        <v>45</v>
      </c>
      <c r="F3328" s="1" t="s">
        <v>7623</v>
      </c>
      <c r="G3328" s="1" t="s">
        <v>7594</v>
      </c>
      <c r="H3328" s="1" t="s">
        <v>45</v>
      </c>
      <c r="I3328" s="1" t="s">
        <v>49</v>
      </c>
      <c r="J3328" s="1" t="s">
        <v>48</v>
      </c>
      <c r="K3328" s="1">
        <v>1</v>
      </c>
      <c r="L3328" s="1">
        <v>0</v>
      </c>
      <c r="M3328" s="1">
        <v>0</v>
      </c>
      <c r="N3328" s="1">
        <v>1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 t="s">
        <v>49</v>
      </c>
      <c r="AA3328" s="1" t="s">
        <v>49</v>
      </c>
      <c r="AB3328" s="1" t="s">
        <v>49</v>
      </c>
      <c r="AC3328" s="1" t="s">
        <v>7618</v>
      </c>
      <c r="AD3328" s="1" t="s">
        <v>7619</v>
      </c>
      <c r="AE3328" s="1" t="s">
        <v>7618</v>
      </c>
      <c r="AF3328" s="1" t="s">
        <v>7622</v>
      </c>
      <c r="AG3328" s="1" t="s">
        <v>7556</v>
      </c>
      <c r="AH3328" s="1" t="s">
        <v>49</v>
      </c>
      <c r="AI3328" s="1" t="s">
        <v>54</v>
      </c>
      <c r="AJ3328" s="1">
        <v>0</v>
      </c>
      <c r="AK3328" s="1" t="str">
        <f t="shared" si="51"/>
        <v xml:space="preserve"> =&lt;90</v>
      </c>
      <c r="AL3328" s="1" t="str">
        <f>VLOOKUP(C:C,[1]基础信息!B$1:D$65536,3,0)</f>
        <v>Jug</v>
      </c>
      <c r="AM3328" s="1" t="str">
        <f>VLOOKUP(C:C,[1]基础信息!B$1:E$65536,4,0)</f>
        <v>Mxplus</v>
      </c>
      <c r="AN3328" s="1" t="str">
        <f>VLOOKUP(C:C,[1]基础信息!B$1:F$65536,5,0)</f>
        <v>White</v>
      </c>
    </row>
    <row r="3329" spans="1:40">
      <c r="A3329" s="1" t="s">
        <v>41</v>
      </c>
      <c r="B3329" s="1" t="s">
        <v>42</v>
      </c>
      <c r="C3329" s="1" t="s">
        <v>1383</v>
      </c>
      <c r="D3329" s="1" t="s">
        <v>1384</v>
      </c>
      <c r="E3329" s="1" t="s">
        <v>45</v>
      </c>
      <c r="F3329" s="1" t="s">
        <v>7624</v>
      </c>
      <c r="G3329" s="1" t="s">
        <v>7594</v>
      </c>
      <c r="H3329" s="1" t="s">
        <v>45</v>
      </c>
      <c r="I3329" s="1" t="s">
        <v>49</v>
      </c>
      <c r="J3329" s="1" t="s">
        <v>48</v>
      </c>
      <c r="K3329" s="1">
        <v>2</v>
      </c>
      <c r="L3329" s="1">
        <v>0</v>
      </c>
      <c r="M3329" s="1">
        <v>0</v>
      </c>
      <c r="N3329" s="1">
        <v>2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 t="s">
        <v>49</v>
      </c>
      <c r="AA3329" s="1" t="s">
        <v>49</v>
      </c>
      <c r="AB3329" s="1" t="s">
        <v>49</v>
      </c>
      <c r="AC3329" s="1" t="s">
        <v>7618</v>
      </c>
      <c r="AD3329" s="1" t="s">
        <v>7619</v>
      </c>
      <c r="AE3329" s="1" t="s">
        <v>7618</v>
      </c>
      <c r="AF3329" s="1" t="s">
        <v>7625</v>
      </c>
      <c r="AG3329" s="1" t="s">
        <v>7556</v>
      </c>
      <c r="AH3329" s="1" t="s">
        <v>49</v>
      </c>
      <c r="AI3329" s="1" t="s">
        <v>54</v>
      </c>
      <c r="AJ3329" s="1">
        <v>0</v>
      </c>
      <c r="AK3329" s="1" t="str">
        <f t="shared" si="51"/>
        <v xml:space="preserve"> =&lt;90</v>
      </c>
      <c r="AL3329" s="1" t="str">
        <f>VLOOKUP(C:C,[1]基础信息!B$1:D$65536,3,0)</f>
        <v>Jug</v>
      </c>
      <c r="AM3329" s="1" t="str">
        <f>VLOOKUP(C:C,[1]基础信息!B$1:E$65536,4,0)</f>
        <v>Mxplus</v>
      </c>
      <c r="AN3329" s="1" t="str">
        <f>VLOOKUP(C:C,[1]基础信息!B$1:F$65536,5,0)</f>
        <v>White</v>
      </c>
    </row>
    <row r="3330" spans="1:40">
      <c r="A3330" s="1" t="s">
        <v>41</v>
      </c>
      <c r="B3330" s="1" t="s">
        <v>42</v>
      </c>
      <c r="C3330" s="1" t="s">
        <v>104</v>
      </c>
      <c r="D3330" s="1" t="s">
        <v>105</v>
      </c>
      <c r="E3330" s="1" t="s">
        <v>104</v>
      </c>
      <c r="F3330" s="1" t="s">
        <v>7626</v>
      </c>
      <c r="G3330" s="1" t="s">
        <v>7594</v>
      </c>
      <c r="H3330" s="1" t="s">
        <v>45</v>
      </c>
      <c r="I3330" s="1" t="s">
        <v>49</v>
      </c>
      <c r="J3330" s="1" t="s">
        <v>48</v>
      </c>
      <c r="K3330" s="1">
        <v>1</v>
      </c>
      <c r="L3330" s="1">
        <v>0</v>
      </c>
      <c r="M3330" s="1">
        <v>0</v>
      </c>
      <c r="N3330" s="1">
        <v>1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 t="s">
        <v>49</v>
      </c>
      <c r="AA3330" s="1" t="s">
        <v>49</v>
      </c>
      <c r="AB3330" s="1" t="s">
        <v>49</v>
      </c>
      <c r="AC3330" s="1" t="s">
        <v>7627</v>
      </c>
      <c r="AD3330" s="1" t="s">
        <v>7628</v>
      </c>
      <c r="AE3330" s="1" t="s">
        <v>7627</v>
      </c>
      <c r="AF3330" s="1" t="s">
        <v>7629</v>
      </c>
      <c r="AG3330" s="1" t="s">
        <v>7556</v>
      </c>
      <c r="AH3330" s="1" t="s">
        <v>49</v>
      </c>
      <c r="AI3330" s="1" t="s">
        <v>54</v>
      </c>
      <c r="AJ3330" s="1">
        <v>0</v>
      </c>
      <c r="AK3330" s="1" t="str">
        <f t="shared" ref="AK3330:AK3393" si="52">IF(AJ3330&gt;$AP$2,$AQ$2,IF(AJ3330&gt;$AP$3,$AQ$3,IF(AJ3330&gt;$AP$4,$AQ$4,$AQ$5)))</f>
        <v xml:space="preserve"> =&lt;90</v>
      </c>
      <c r="AL3330" s="1" t="str">
        <f>VLOOKUP(C:C,[1]基础信息!B$1:D$65536,3,0)</f>
        <v>Jug</v>
      </c>
      <c r="AM3330" s="1" t="str">
        <f>VLOOKUP(C:C,[1]基础信息!B$1:E$65536,4,0)</f>
        <v>Marella XL</v>
      </c>
      <c r="AN3330" s="1" t="str">
        <f>VLOOKUP(C:C,[1]基础信息!B$1:F$65536,5,0)</f>
        <v>Blue</v>
      </c>
    </row>
    <row r="3331" spans="1:40">
      <c r="A3331" s="1" t="s">
        <v>41</v>
      </c>
      <c r="B3331" s="1" t="s">
        <v>42</v>
      </c>
      <c r="C3331" s="1" t="s">
        <v>104</v>
      </c>
      <c r="D3331" s="1" t="s">
        <v>105</v>
      </c>
      <c r="E3331" s="1" t="s">
        <v>104</v>
      </c>
      <c r="F3331" s="1" t="s">
        <v>7630</v>
      </c>
      <c r="G3331" s="1" t="s">
        <v>7594</v>
      </c>
      <c r="H3331" s="1" t="s">
        <v>45</v>
      </c>
      <c r="I3331" s="1" t="s">
        <v>49</v>
      </c>
      <c r="J3331" s="1" t="s">
        <v>48</v>
      </c>
      <c r="K3331" s="1">
        <v>2</v>
      </c>
      <c r="L3331" s="1">
        <v>0</v>
      </c>
      <c r="M3331" s="1">
        <v>0</v>
      </c>
      <c r="N3331" s="1">
        <v>2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 t="s">
        <v>49</v>
      </c>
      <c r="AA3331" s="1" t="s">
        <v>49</v>
      </c>
      <c r="AB3331" s="1" t="s">
        <v>49</v>
      </c>
      <c r="AC3331" s="1" t="s">
        <v>7631</v>
      </c>
      <c r="AD3331" s="1" t="s">
        <v>7632</v>
      </c>
      <c r="AE3331" s="1" t="s">
        <v>7631</v>
      </c>
      <c r="AF3331" s="1" t="s">
        <v>7633</v>
      </c>
      <c r="AG3331" s="1" t="s">
        <v>7556</v>
      </c>
      <c r="AH3331" s="1" t="s">
        <v>49</v>
      </c>
      <c r="AI3331" s="1" t="s">
        <v>54</v>
      </c>
      <c r="AJ3331" s="1">
        <v>0</v>
      </c>
      <c r="AK3331" s="1" t="str">
        <f t="shared" si="52"/>
        <v xml:space="preserve"> =&lt;90</v>
      </c>
      <c r="AL3331" s="1" t="str">
        <f>VLOOKUP(C:C,[1]基础信息!B$1:D$65536,3,0)</f>
        <v>Jug</v>
      </c>
      <c r="AM3331" s="1" t="str">
        <f>VLOOKUP(C:C,[1]基础信息!B$1:E$65536,4,0)</f>
        <v>Marella XL</v>
      </c>
      <c r="AN3331" s="1" t="str">
        <f>VLOOKUP(C:C,[1]基础信息!B$1:F$65536,5,0)</f>
        <v>Blue</v>
      </c>
    </row>
    <row r="3332" spans="1:40">
      <c r="A3332" s="1" t="s">
        <v>41</v>
      </c>
      <c r="B3332" s="1" t="s">
        <v>42</v>
      </c>
      <c r="C3332" s="1" t="s">
        <v>285</v>
      </c>
      <c r="D3332" s="1" t="s">
        <v>286</v>
      </c>
      <c r="E3332" s="1" t="s">
        <v>45</v>
      </c>
      <c r="F3332" s="1" t="s">
        <v>7634</v>
      </c>
      <c r="G3332" s="1" t="s">
        <v>7594</v>
      </c>
      <c r="H3332" s="1" t="s">
        <v>45</v>
      </c>
      <c r="I3332" s="1" t="s">
        <v>49</v>
      </c>
      <c r="J3332" s="1" t="s">
        <v>48</v>
      </c>
      <c r="K3332" s="1">
        <v>1</v>
      </c>
      <c r="L3332" s="1">
        <v>0</v>
      </c>
      <c r="M3332" s="1">
        <v>0</v>
      </c>
      <c r="N3332" s="1">
        <v>1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 t="s">
        <v>49</v>
      </c>
      <c r="AA3332" s="1" t="s">
        <v>49</v>
      </c>
      <c r="AB3332" s="1" t="s">
        <v>49</v>
      </c>
      <c r="AC3332" s="1" t="s">
        <v>7635</v>
      </c>
      <c r="AD3332" s="1" t="s">
        <v>7636</v>
      </c>
      <c r="AE3332" s="1" t="s">
        <v>7637</v>
      </c>
      <c r="AF3332" s="1" t="s">
        <v>7638</v>
      </c>
      <c r="AG3332" s="1" t="s">
        <v>7556</v>
      </c>
      <c r="AH3332" s="1" t="s">
        <v>49</v>
      </c>
      <c r="AI3332" s="1" t="s">
        <v>54</v>
      </c>
      <c r="AJ3332" s="1">
        <v>0</v>
      </c>
      <c r="AK3332" s="1" t="str">
        <f t="shared" si="52"/>
        <v xml:space="preserve"> =&lt;90</v>
      </c>
      <c r="AL3332" s="1" t="str">
        <f>VLOOKUP(C:C,[1]基础信息!B$1:D$65536,3,0)</f>
        <v>Jug</v>
      </c>
      <c r="AM3332" s="1" t="str">
        <f>VLOOKUP(C:C,[1]基础信息!B$1:E$65536,4,0)</f>
        <v>Marella XL</v>
      </c>
      <c r="AN3332" s="1" t="str">
        <f>VLOOKUP(C:C,[1]基础信息!B$1:F$65536,5,0)</f>
        <v>Blue</v>
      </c>
    </row>
    <row r="3333" spans="1:40">
      <c r="A3333" s="1" t="s">
        <v>41</v>
      </c>
      <c r="B3333" s="1" t="s">
        <v>42</v>
      </c>
      <c r="C3333" s="1" t="s">
        <v>359</v>
      </c>
      <c r="D3333" s="1" t="s">
        <v>360</v>
      </c>
      <c r="E3333" s="1" t="s">
        <v>45</v>
      </c>
      <c r="F3333" s="1" t="s">
        <v>7639</v>
      </c>
      <c r="G3333" s="1" t="s">
        <v>7594</v>
      </c>
      <c r="H3333" s="1" t="s">
        <v>45</v>
      </c>
      <c r="I3333" s="1" t="s">
        <v>49</v>
      </c>
      <c r="J3333" s="1" t="s">
        <v>48</v>
      </c>
      <c r="K3333" s="1">
        <v>1</v>
      </c>
      <c r="L3333" s="1">
        <v>0</v>
      </c>
      <c r="M3333" s="1">
        <v>0</v>
      </c>
      <c r="N3333" s="1">
        <v>1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 t="s">
        <v>49</v>
      </c>
      <c r="AA3333" s="1" t="s">
        <v>49</v>
      </c>
      <c r="AB3333" s="1" t="s">
        <v>49</v>
      </c>
      <c r="AC3333" s="1" t="s">
        <v>7640</v>
      </c>
      <c r="AD3333" s="1" t="s">
        <v>7641</v>
      </c>
      <c r="AE3333" s="1" t="s">
        <v>7640</v>
      </c>
      <c r="AF3333" s="1" t="s">
        <v>7642</v>
      </c>
      <c r="AG3333" s="1" t="s">
        <v>7556</v>
      </c>
      <c r="AH3333" s="1" t="s">
        <v>49</v>
      </c>
      <c r="AI3333" s="1" t="s">
        <v>54</v>
      </c>
      <c r="AJ3333" s="1">
        <v>0</v>
      </c>
      <c r="AK3333" s="1" t="str">
        <f t="shared" si="52"/>
        <v xml:space="preserve"> =&lt;90</v>
      </c>
      <c r="AL3333" s="1" t="e">
        <f>VLOOKUP(C:C,[1]基础信息!B$1:D$65536,3,0)</f>
        <v>#N/A</v>
      </c>
      <c r="AM3333" s="1" t="e">
        <f>VLOOKUP(C:C,[1]基础信息!B$1:E$65536,4,0)</f>
        <v>#N/A</v>
      </c>
      <c r="AN3333" s="1" t="e">
        <f>VLOOKUP(C:C,[1]基础信息!B$1:F$65536,5,0)</f>
        <v>#N/A</v>
      </c>
    </row>
    <row r="3334" spans="1:40">
      <c r="A3334" s="1" t="s">
        <v>41</v>
      </c>
      <c r="B3334" s="1" t="s">
        <v>42</v>
      </c>
      <c r="C3334" s="1" t="s">
        <v>104</v>
      </c>
      <c r="D3334" s="1" t="s">
        <v>105</v>
      </c>
      <c r="E3334" s="1" t="s">
        <v>104</v>
      </c>
      <c r="F3334" s="1" t="s">
        <v>7643</v>
      </c>
      <c r="G3334" s="1" t="s">
        <v>7594</v>
      </c>
      <c r="H3334" s="1" t="s">
        <v>45</v>
      </c>
      <c r="I3334" s="1" t="s">
        <v>49</v>
      </c>
      <c r="J3334" s="1" t="s">
        <v>48</v>
      </c>
      <c r="K3334" s="1">
        <v>1</v>
      </c>
      <c r="L3334" s="1">
        <v>0</v>
      </c>
      <c r="M3334" s="1">
        <v>0</v>
      </c>
      <c r="N3334" s="1">
        <v>1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 t="s">
        <v>49</v>
      </c>
      <c r="AA3334" s="1" t="s">
        <v>49</v>
      </c>
      <c r="AB3334" s="1" t="s">
        <v>49</v>
      </c>
      <c r="AC3334" s="1" t="s">
        <v>4106</v>
      </c>
      <c r="AD3334" s="1" t="s">
        <v>4107</v>
      </c>
      <c r="AE3334" s="1" t="s">
        <v>4106</v>
      </c>
      <c r="AF3334" s="1" t="s">
        <v>7573</v>
      </c>
      <c r="AG3334" s="1" t="s">
        <v>7556</v>
      </c>
      <c r="AH3334" s="1" t="s">
        <v>49</v>
      </c>
      <c r="AI3334" s="1" t="s">
        <v>54</v>
      </c>
      <c r="AJ3334" s="1">
        <v>0</v>
      </c>
      <c r="AK3334" s="1" t="str">
        <f t="shared" si="52"/>
        <v xml:space="preserve"> =&lt;90</v>
      </c>
      <c r="AL3334" s="1" t="str">
        <f>VLOOKUP(C:C,[1]基础信息!B$1:D$65536,3,0)</f>
        <v>Jug</v>
      </c>
      <c r="AM3334" s="1" t="str">
        <f>VLOOKUP(C:C,[1]基础信息!B$1:E$65536,4,0)</f>
        <v>Marella XL</v>
      </c>
      <c r="AN3334" s="1" t="str">
        <f>VLOOKUP(C:C,[1]基础信息!B$1:F$65536,5,0)</f>
        <v>Blue</v>
      </c>
    </row>
    <row r="3335" spans="1:40">
      <c r="A3335" s="1" t="s">
        <v>41</v>
      </c>
      <c r="B3335" s="1" t="s">
        <v>42</v>
      </c>
      <c r="C3335" s="1" t="s">
        <v>104</v>
      </c>
      <c r="D3335" s="1" t="s">
        <v>105</v>
      </c>
      <c r="E3335" s="1" t="s">
        <v>104</v>
      </c>
      <c r="F3335" s="1" t="s">
        <v>7644</v>
      </c>
      <c r="G3335" s="1" t="s">
        <v>7594</v>
      </c>
      <c r="H3335" s="1" t="s">
        <v>45</v>
      </c>
      <c r="I3335" s="1" t="s">
        <v>49</v>
      </c>
      <c r="J3335" s="1" t="s">
        <v>48</v>
      </c>
      <c r="K3335" s="1">
        <v>3</v>
      </c>
      <c r="L3335" s="1">
        <v>0</v>
      </c>
      <c r="M3335" s="1">
        <v>0</v>
      </c>
      <c r="N3335" s="1">
        <v>3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 t="s">
        <v>49</v>
      </c>
      <c r="AA3335" s="1" t="s">
        <v>49</v>
      </c>
      <c r="AB3335" s="1" t="s">
        <v>49</v>
      </c>
      <c r="AC3335" s="1" t="s">
        <v>4108</v>
      </c>
      <c r="AD3335" s="1" t="s">
        <v>7121</v>
      </c>
      <c r="AE3335" s="1" t="s">
        <v>4108</v>
      </c>
      <c r="AF3335" s="1" t="s">
        <v>7573</v>
      </c>
      <c r="AG3335" s="1" t="s">
        <v>7556</v>
      </c>
      <c r="AH3335" s="1" t="s">
        <v>49</v>
      </c>
      <c r="AI3335" s="1" t="s">
        <v>54</v>
      </c>
      <c r="AJ3335" s="1">
        <v>1</v>
      </c>
      <c r="AK3335" s="1" t="str">
        <f t="shared" si="52"/>
        <v xml:space="preserve"> =&lt;90</v>
      </c>
      <c r="AL3335" s="1" t="str">
        <f>VLOOKUP(C:C,[1]基础信息!B$1:D$65536,3,0)</f>
        <v>Jug</v>
      </c>
      <c r="AM3335" s="1" t="str">
        <f>VLOOKUP(C:C,[1]基础信息!B$1:E$65536,4,0)</f>
        <v>Marella XL</v>
      </c>
      <c r="AN3335" s="1" t="str">
        <f>VLOOKUP(C:C,[1]基础信息!B$1:F$65536,5,0)</f>
        <v>Blue</v>
      </c>
    </row>
    <row r="3336" spans="1:40">
      <c r="A3336" s="1" t="s">
        <v>41</v>
      </c>
      <c r="B3336" s="1" t="s">
        <v>42</v>
      </c>
      <c r="C3336" s="1" t="s">
        <v>481</v>
      </c>
      <c r="D3336" s="1" t="s">
        <v>482</v>
      </c>
      <c r="E3336" s="1" t="s">
        <v>45</v>
      </c>
      <c r="F3336" s="1" t="s">
        <v>4455</v>
      </c>
      <c r="G3336" s="1" t="s">
        <v>7645</v>
      </c>
      <c r="H3336" s="1" t="s">
        <v>7646</v>
      </c>
      <c r="I3336" s="1" t="s">
        <v>49</v>
      </c>
      <c r="J3336" s="1" t="s">
        <v>48</v>
      </c>
      <c r="K3336" s="1">
        <v>168</v>
      </c>
      <c r="L3336" s="1">
        <v>0</v>
      </c>
      <c r="M3336" s="1">
        <v>0</v>
      </c>
      <c r="N3336" s="1">
        <v>168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 t="s">
        <v>49</v>
      </c>
      <c r="AA3336" s="1" t="s">
        <v>49</v>
      </c>
      <c r="AB3336" s="1" t="s">
        <v>49</v>
      </c>
      <c r="AC3336" s="1" t="s">
        <v>4458</v>
      </c>
      <c r="AD3336" s="1" t="s">
        <v>4459</v>
      </c>
      <c r="AE3336" s="1" t="s">
        <v>4458</v>
      </c>
      <c r="AF3336" s="1" t="s">
        <v>488</v>
      </c>
      <c r="AG3336" s="1" t="s">
        <v>53</v>
      </c>
      <c r="AH3336" s="1" t="s">
        <v>49</v>
      </c>
      <c r="AI3336" s="1" t="s">
        <v>54</v>
      </c>
      <c r="AJ3336" s="1">
        <v>1</v>
      </c>
      <c r="AK3336" s="1" t="str">
        <f t="shared" si="52"/>
        <v xml:space="preserve"> =&lt;90</v>
      </c>
      <c r="AL3336" s="1" t="str">
        <f>VLOOKUP(C:C,[1]基础信息!B$1:D$65536,3,0)</f>
        <v>Jug</v>
      </c>
      <c r="AM3336" s="1" t="str">
        <f>VLOOKUP(C:C,[1]基础信息!B$1:E$65536,4,0)</f>
        <v>Style COOL</v>
      </c>
      <c r="AN3336" s="1" t="str">
        <f>VLOOKUP(C:C,[1]基础信息!B$1:F$65536,5,0)</f>
        <v>Cool Blue</v>
      </c>
    </row>
    <row r="3337" spans="1:40">
      <c r="A3337" s="1" t="s">
        <v>41</v>
      </c>
      <c r="B3337" s="1" t="s">
        <v>42</v>
      </c>
      <c r="C3337" s="1" t="s">
        <v>3423</v>
      </c>
      <c r="D3337" s="1" t="s">
        <v>3424</v>
      </c>
      <c r="E3337" s="1" t="s">
        <v>45</v>
      </c>
      <c r="F3337" s="1" t="s">
        <v>7647</v>
      </c>
      <c r="G3337" s="1" t="s">
        <v>7648</v>
      </c>
      <c r="H3337" s="1" t="s">
        <v>7649</v>
      </c>
      <c r="I3337" s="1" t="s">
        <v>49</v>
      </c>
      <c r="J3337" s="1" t="s">
        <v>48</v>
      </c>
      <c r="K3337" s="1">
        <v>12</v>
      </c>
      <c r="L3337" s="1">
        <v>0</v>
      </c>
      <c r="M3337" s="1">
        <v>0</v>
      </c>
      <c r="N3337" s="1">
        <v>12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 t="s">
        <v>49</v>
      </c>
      <c r="AA3337" s="1" t="s">
        <v>49</v>
      </c>
      <c r="AB3337" s="1" t="s">
        <v>49</v>
      </c>
      <c r="AC3337" s="1" t="s">
        <v>7542</v>
      </c>
      <c r="AD3337" s="1" t="s">
        <v>7650</v>
      </c>
      <c r="AE3337" s="1" t="s">
        <v>7542</v>
      </c>
      <c r="AF3337" s="1" t="s">
        <v>63</v>
      </c>
      <c r="AG3337" s="1" t="s">
        <v>53</v>
      </c>
      <c r="AH3337" s="1" t="s">
        <v>49</v>
      </c>
      <c r="AI3337" s="1" t="s">
        <v>54</v>
      </c>
      <c r="AJ3337" s="1">
        <v>1</v>
      </c>
      <c r="AK3337" s="1" t="str">
        <f t="shared" si="52"/>
        <v xml:space="preserve"> =&lt;90</v>
      </c>
      <c r="AL3337" s="1" t="e">
        <f>VLOOKUP(C:C,[1]基础信息!B$1:D$65536,3,0)</f>
        <v>#N/A</v>
      </c>
      <c r="AM3337" s="1" t="e">
        <f>VLOOKUP(C:C,[1]基础信息!B$1:E$65536,4,0)</f>
        <v>#N/A</v>
      </c>
      <c r="AN3337" s="1" t="e">
        <f>VLOOKUP(C:C,[1]基础信息!B$1:F$65536,5,0)</f>
        <v>#N/A</v>
      </c>
    </row>
    <row r="3338" spans="1:40">
      <c r="A3338" s="1" t="s">
        <v>41</v>
      </c>
      <c r="B3338" s="1" t="s">
        <v>42</v>
      </c>
      <c r="C3338" s="1" t="s">
        <v>481</v>
      </c>
      <c r="D3338" s="1" t="s">
        <v>482</v>
      </c>
      <c r="E3338" s="1" t="s">
        <v>45</v>
      </c>
      <c r="F3338" s="1" t="s">
        <v>4455</v>
      </c>
      <c r="G3338" s="1" t="s">
        <v>7651</v>
      </c>
      <c r="H3338" s="1" t="s">
        <v>7652</v>
      </c>
      <c r="I3338" s="1" t="s">
        <v>49</v>
      </c>
      <c r="J3338" s="1" t="s">
        <v>48</v>
      </c>
      <c r="K3338" s="1">
        <v>168</v>
      </c>
      <c r="L3338" s="1">
        <v>0</v>
      </c>
      <c r="M3338" s="1">
        <v>0</v>
      </c>
      <c r="N3338" s="1">
        <v>168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 t="s">
        <v>49</v>
      </c>
      <c r="AA3338" s="1" t="s">
        <v>49</v>
      </c>
      <c r="AB3338" s="1" t="s">
        <v>49</v>
      </c>
      <c r="AC3338" s="1" t="s">
        <v>4458</v>
      </c>
      <c r="AD3338" s="1" t="s">
        <v>4459</v>
      </c>
      <c r="AE3338" s="1" t="s">
        <v>4458</v>
      </c>
      <c r="AF3338" s="1" t="s">
        <v>488</v>
      </c>
      <c r="AG3338" s="1" t="s">
        <v>53</v>
      </c>
      <c r="AH3338" s="1" t="s">
        <v>49</v>
      </c>
      <c r="AI3338" s="1" t="s">
        <v>54</v>
      </c>
      <c r="AJ3338" s="1">
        <v>1</v>
      </c>
      <c r="AK3338" s="1" t="str">
        <f t="shared" si="52"/>
        <v xml:space="preserve"> =&lt;90</v>
      </c>
      <c r="AL3338" s="1" t="str">
        <f>VLOOKUP(C:C,[1]基础信息!B$1:D$65536,3,0)</f>
        <v>Jug</v>
      </c>
      <c r="AM3338" s="1" t="str">
        <f>VLOOKUP(C:C,[1]基础信息!B$1:E$65536,4,0)</f>
        <v>Style COOL</v>
      </c>
      <c r="AN3338" s="1" t="str">
        <f>VLOOKUP(C:C,[1]基础信息!B$1:F$65536,5,0)</f>
        <v>Cool Blue</v>
      </c>
    </row>
    <row r="3339" spans="1:40">
      <c r="A3339" s="1" t="s">
        <v>41</v>
      </c>
      <c r="B3339" s="1" t="s">
        <v>42</v>
      </c>
      <c r="C3339" s="1" t="s">
        <v>301</v>
      </c>
      <c r="D3339" s="1" t="s">
        <v>302</v>
      </c>
      <c r="E3339" s="1" t="s">
        <v>45</v>
      </c>
      <c r="F3339" s="1" t="s">
        <v>7653</v>
      </c>
      <c r="G3339" s="1" t="s">
        <v>7654</v>
      </c>
      <c r="H3339" s="1" t="s">
        <v>45</v>
      </c>
      <c r="I3339" s="1" t="s">
        <v>49</v>
      </c>
      <c r="J3339" s="1" t="s">
        <v>48</v>
      </c>
      <c r="K3339" s="1">
        <v>3</v>
      </c>
      <c r="L3339" s="1">
        <v>0</v>
      </c>
      <c r="M3339" s="1">
        <v>0</v>
      </c>
      <c r="N3339" s="1">
        <v>3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 t="s">
        <v>49</v>
      </c>
      <c r="AA3339" s="1" t="s">
        <v>49</v>
      </c>
      <c r="AB3339" s="1" t="s">
        <v>49</v>
      </c>
      <c r="AC3339" s="1" t="s">
        <v>7655</v>
      </c>
      <c r="AD3339" s="1" t="s">
        <v>7656</v>
      </c>
      <c r="AE3339" s="1" t="s">
        <v>7657</v>
      </c>
      <c r="AF3339" s="1" t="s">
        <v>7658</v>
      </c>
      <c r="AG3339" s="1" t="s">
        <v>7556</v>
      </c>
      <c r="AH3339" s="1" t="s">
        <v>49</v>
      </c>
      <c r="AI3339" s="1" t="s">
        <v>54</v>
      </c>
      <c r="AJ3339" s="1">
        <v>0</v>
      </c>
      <c r="AK3339" s="1" t="str">
        <f t="shared" si="52"/>
        <v xml:space="preserve"> =&lt;90</v>
      </c>
      <c r="AL3339" s="1" t="str">
        <f>VLOOKUP(C:C,[1]基础信息!B$1:D$65536,3,0)</f>
        <v>Jug</v>
      </c>
      <c r="AM3339" s="1" t="str">
        <f>VLOOKUP(C:C,[1]基础信息!B$1:E$65536,4,0)</f>
        <v>Aluna</v>
      </c>
      <c r="AN3339" s="1" t="str">
        <f>VLOOKUP(C:C,[1]基础信息!B$1:F$65536,5,0)</f>
        <v>Blue</v>
      </c>
    </row>
    <row r="3340" spans="1:40">
      <c r="A3340" s="1" t="s">
        <v>41</v>
      </c>
      <c r="B3340" s="1" t="s">
        <v>42</v>
      </c>
      <c r="C3340" s="1" t="s">
        <v>969</v>
      </c>
      <c r="D3340" s="1" t="s">
        <v>970</v>
      </c>
      <c r="E3340" s="1" t="s">
        <v>45</v>
      </c>
      <c r="F3340" s="1" t="s">
        <v>7659</v>
      </c>
      <c r="G3340" s="1" t="s">
        <v>7654</v>
      </c>
      <c r="H3340" s="1" t="s">
        <v>45</v>
      </c>
      <c r="I3340" s="1" t="s">
        <v>49</v>
      </c>
      <c r="J3340" s="1" t="s">
        <v>48</v>
      </c>
      <c r="K3340" s="1">
        <v>1</v>
      </c>
      <c r="L3340" s="1">
        <v>0</v>
      </c>
      <c r="M3340" s="1">
        <v>0</v>
      </c>
      <c r="N3340" s="1">
        <v>1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 t="s">
        <v>49</v>
      </c>
      <c r="AA3340" s="1" t="s">
        <v>49</v>
      </c>
      <c r="AB3340" s="1" t="s">
        <v>49</v>
      </c>
      <c r="AC3340" s="1" t="s">
        <v>7660</v>
      </c>
      <c r="AD3340" s="1" t="s">
        <v>7661</v>
      </c>
      <c r="AE3340" s="1" t="s">
        <v>7660</v>
      </c>
      <c r="AF3340" s="1" t="s">
        <v>7662</v>
      </c>
      <c r="AG3340" s="1" t="s">
        <v>7556</v>
      </c>
      <c r="AH3340" s="1" t="s">
        <v>49</v>
      </c>
      <c r="AI3340" s="1" t="s">
        <v>54</v>
      </c>
      <c r="AJ3340" s="1">
        <v>0</v>
      </c>
      <c r="AK3340" s="1" t="str">
        <f t="shared" si="52"/>
        <v xml:space="preserve"> =&lt;90</v>
      </c>
      <c r="AL3340" s="1" t="str">
        <f>VLOOKUP(C:C,[1]基础信息!B$1:D$65536,3,0)</f>
        <v>Jug</v>
      </c>
      <c r="AM3340" s="1" t="str">
        <f>VLOOKUP(C:C,[1]基础信息!B$1:E$65536,4,0)</f>
        <v>Mxplus</v>
      </c>
      <c r="AN3340" s="1" t="str">
        <f>VLOOKUP(C:C,[1]基础信息!B$1:F$65536,5,0)</f>
        <v xml:space="preserve"> blue</v>
      </c>
    </row>
    <row r="3341" spans="1:40">
      <c r="A3341" s="1" t="s">
        <v>41</v>
      </c>
      <c r="B3341" s="1" t="s">
        <v>42</v>
      </c>
      <c r="C3341" s="1" t="s">
        <v>301</v>
      </c>
      <c r="D3341" s="1" t="s">
        <v>302</v>
      </c>
      <c r="E3341" s="1" t="s">
        <v>45</v>
      </c>
      <c r="F3341" s="1" t="s">
        <v>7663</v>
      </c>
      <c r="G3341" s="1" t="s">
        <v>7654</v>
      </c>
      <c r="H3341" s="1" t="s">
        <v>45</v>
      </c>
      <c r="I3341" s="1" t="s">
        <v>49</v>
      </c>
      <c r="J3341" s="1" t="s">
        <v>48</v>
      </c>
      <c r="K3341" s="1">
        <v>5</v>
      </c>
      <c r="L3341" s="1">
        <v>0</v>
      </c>
      <c r="M3341" s="1">
        <v>0</v>
      </c>
      <c r="N3341" s="1">
        <v>5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 t="s">
        <v>49</v>
      </c>
      <c r="AA3341" s="1" t="s">
        <v>49</v>
      </c>
      <c r="AB3341" s="1" t="s">
        <v>49</v>
      </c>
      <c r="AC3341" s="1" t="s">
        <v>7660</v>
      </c>
      <c r="AD3341" s="1" t="s">
        <v>7661</v>
      </c>
      <c r="AE3341" s="1" t="s">
        <v>3836</v>
      </c>
      <c r="AF3341" s="1" t="s">
        <v>7664</v>
      </c>
      <c r="AG3341" s="1" t="s">
        <v>7556</v>
      </c>
      <c r="AH3341" s="1" t="s">
        <v>49</v>
      </c>
      <c r="AI3341" s="1" t="s">
        <v>54</v>
      </c>
      <c r="AJ3341" s="1">
        <v>0</v>
      </c>
      <c r="AK3341" s="1" t="str">
        <f t="shared" si="52"/>
        <v xml:space="preserve"> =&lt;90</v>
      </c>
      <c r="AL3341" s="1" t="str">
        <f>VLOOKUP(C:C,[1]基础信息!B$1:D$65536,3,0)</f>
        <v>Jug</v>
      </c>
      <c r="AM3341" s="1" t="str">
        <f>VLOOKUP(C:C,[1]基础信息!B$1:E$65536,4,0)</f>
        <v>Aluna</v>
      </c>
      <c r="AN3341" s="1" t="str">
        <f>VLOOKUP(C:C,[1]基础信息!B$1:F$65536,5,0)</f>
        <v>Blue</v>
      </c>
    </row>
    <row r="3342" spans="1:40">
      <c r="A3342" s="1" t="s">
        <v>41</v>
      </c>
      <c r="B3342" s="1" t="s">
        <v>42</v>
      </c>
      <c r="C3342" s="1" t="s">
        <v>301</v>
      </c>
      <c r="D3342" s="1" t="s">
        <v>302</v>
      </c>
      <c r="E3342" s="1" t="s">
        <v>45</v>
      </c>
      <c r="F3342" s="1" t="s">
        <v>7665</v>
      </c>
      <c r="G3342" s="1" t="s">
        <v>7654</v>
      </c>
      <c r="H3342" s="1" t="s">
        <v>45</v>
      </c>
      <c r="I3342" s="1" t="s">
        <v>49</v>
      </c>
      <c r="J3342" s="1" t="s">
        <v>48</v>
      </c>
      <c r="K3342" s="1">
        <v>7</v>
      </c>
      <c r="L3342" s="1">
        <v>0</v>
      </c>
      <c r="M3342" s="1">
        <v>0</v>
      </c>
      <c r="N3342" s="1">
        <v>7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 t="s">
        <v>49</v>
      </c>
      <c r="AA3342" s="1" t="s">
        <v>49</v>
      </c>
      <c r="AB3342" s="1" t="s">
        <v>49</v>
      </c>
      <c r="AC3342" s="1" t="s">
        <v>7468</v>
      </c>
      <c r="AD3342" s="1" t="s">
        <v>7469</v>
      </c>
      <c r="AE3342" s="1" t="s">
        <v>7468</v>
      </c>
      <c r="AF3342" s="1" t="s">
        <v>7620</v>
      </c>
      <c r="AG3342" s="1" t="s">
        <v>7556</v>
      </c>
      <c r="AH3342" s="1" t="s">
        <v>49</v>
      </c>
      <c r="AI3342" s="1" t="s">
        <v>54</v>
      </c>
      <c r="AJ3342" s="1">
        <v>0</v>
      </c>
      <c r="AK3342" s="1" t="str">
        <f t="shared" si="52"/>
        <v xml:space="preserve"> =&lt;90</v>
      </c>
      <c r="AL3342" s="1" t="str">
        <f>VLOOKUP(C:C,[1]基础信息!B$1:D$65536,3,0)</f>
        <v>Jug</v>
      </c>
      <c r="AM3342" s="1" t="str">
        <f>VLOOKUP(C:C,[1]基础信息!B$1:E$65536,4,0)</f>
        <v>Aluna</v>
      </c>
      <c r="AN3342" s="1" t="str">
        <f>VLOOKUP(C:C,[1]基础信息!B$1:F$65536,5,0)</f>
        <v>Blue</v>
      </c>
    </row>
    <row r="3343" spans="1:40">
      <c r="A3343" s="1" t="s">
        <v>41</v>
      </c>
      <c r="B3343" s="1" t="s">
        <v>42</v>
      </c>
      <c r="C3343" s="1" t="s">
        <v>301</v>
      </c>
      <c r="D3343" s="1" t="s">
        <v>302</v>
      </c>
      <c r="E3343" s="1" t="s">
        <v>45</v>
      </c>
      <c r="F3343" s="1" t="s">
        <v>7666</v>
      </c>
      <c r="G3343" s="1" t="s">
        <v>7654</v>
      </c>
      <c r="H3343" s="1" t="s">
        <v>45</v>
      </c>
      <c r="I3343" s="1" t="s">
        <v>49</v>
      </c>
      <c r="J3343" s="1" t="s">
        <v>48</v>
      </c>
      <c r="K3343" s="1">
        <v>12</v>
      </c>
      <c r="L3343" s="1">
        <v>0</v>
      </c>
      <c r="M3343" s="1">
        <v>0</v>
      </c>
      <c r="N3343" s="1">
        <v>12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 t="s">
        <v>49</v>
      </c>
      <c r="AA3343" s="1" t="s">
        <v>49</v>
      </c>
      <c r="AB3343" s="1" t="s">
        <v>49</v>
      </c>
      <c r="AC3343" s="1" t="s">
        <v>7468</v>
      </c>
      <c r="AD3343" s="1" t="s">
        <v>7469</v>
      </c>
      <c r="AE3343" s="1" t="s">
        <v>7468</v>
      </c>
      <c r="AF3343" s="1" t="s">
        <v>7558</v>
      </c>
      <c r="AG3343" s="1" t="s">
        <v>7556</v>
      </c>
      <c r="AH3343" s="1" t="s">
        <v>49</v>
      </c>
      <c r="AI3343" s="1" t="s">
        <v>54</v>
      </c>
      <c r="AJ3343" s="1">
        <v>0</v>
      </c>
      <c r="AK3343" s="1" t="str">
        <f t="shared" si="52"/>
        <v xml:space="preserve"> =&lt;90</v>
      </c>
      <c r="AL3343" s="1" t="str">
        <f>VLOOKUP(C:C,[1]基础信息!B$1:D$65536,3,0)</f>
        <v>Jug</v>
      </c>
      <c r="AM3343" s="1" t="str">
        <f>VLOOKUP(C:C,[1]基础信息!B$1:E$65536,4,0)</f>
        <v>Aluna</v>
      </c>
      <c r="AN3343" s="1" t="str">
        <f>VLOOKUP(C:C,[1]基础信息!B$1:F$65536,5,0)</f>
        <v>Blue</v>
      </c>
    </row>
    <row r="3344" spans="1:40">
      <c r="A3344" s="1" t="s">
        <v>41</v>
      </c>
      <c r="B3344" s="1" t="s">
        <v>42</v>
      </c>
      <c r="C3344" s="1" t="s">
        <v>417</v>
      </c>
      <c r="D3344" s="1" t="s">
        <v>418</v>
      </c>
      <c r="E3344" s="1" t="s">
        <v>45</v>
      </c>
      <c r="F3344" s="1" t="s">
        <v>7667</v>
      </c>
      <c r="G3344" s="1" t="s">
        <v>7654</v>
      </c>
      <c r="H3344" s="1" t="s">
        <v>45</v>
      </c>
      <c r="I3344" s="1" t="s">
        <v>49</v>
      </c>
      <c r="J3344" s="1" t="s">
        <v>48</v>
      </c>
      <c r="K3344" s="1">
        <v>6</v>
      </c>
      <c r="L3344" s="1">
        <v>0</v>
      </c>
      <c r="M3344" s="1">
        <v>0</v>
      </c>
      <c r="N3344" s="1">
        <v>6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 t="s">
        <v>49</v>
      </c>
      <c r="AA3344" s="1" t="s">
        <v>49</v>
      </c>
      <c r="AB3344" s="1" t="s">
        <v>49</v>
      </c>
      <c r="AC3344" s="1" t="s">
        <v>61</v>
      </c>
      <c r="AD3344" s="1" t="s">
        <v>62</v>
      </c>
      <c r="AE3344" s="1" t="s">
        <v>61</v>
      </c>
      <c r="AF3344" s="1" t="s">
        <v>7668</v>
      </c>
      <c r="AG3344" s="1" t="s">
        <v>7556</v>
      </c>
      <c r="AH3344" s="1" t="s">
        <v>49</v>
      </c>
      <c r="AI3344" s="1" t="s">
        <v>54</v>
      </c>
      <c r="AJ3344" s="1">
        <v>0</v>
      </c>
      <c r="AK3344" s="1" t="str">
        <f t="shared" si="52"/>
        <v xml:space="preserve"> =&lt;90</v>
      </c>
      <c r="AL3344" s="1" t="str">
        <f>VLOOKUP(C:C,[1]基础信息!B$1:D$65536,3,0)</f>
        <v>Jug</v>
      </c>
      <c r="AM3344" s="1" t="str">
        <f>VLOOKUP(C:C,[1]基础信息!B$1:E$65536,4,0)</f>
        <v>Marella XL</v>
      </c>
      <c r="AN3344" s="1" t="str">
        <f>VLOOKUP(C:C,[1]基础信息!B$1:F$65536,5,0)</f>
        <v>Silver</v>
      </c>
    </row>
    <row r="3345" spans="1:40">
      <c r="A3345" s="1" t="s">
        <v>41</v>
      </c>
      <c r="B3345" s="1" t="s">
        <v>42</v>
      </c>
      <c r="C3345" s="1" t="s">
        <v>2004</v>
      </c>
      <c r="D3345" s="1" t="s">
        <v>2005</v>
      </c>
      <c r="E3345" s="1" t="s">
        <v>2004</v>
      </c>
      <c r="F3345" s="1" t="s">
        <v>7669</v>
      </c>
      <c r="G3345" s="1" t="s">
        <v>7654</v>
      </c>
      <c r="H3345" s="1" t="s">
        <v>45</v>
      </c>
      <c r="I3345" s="1" t="s">
        <v>49</v>
      </c>
      <c r="J3345" s="1" t="s">
        <v>48</v>
      </c>
      <c r="K3345" s="1">
        <v>2</v>
      </c>
      <c r="L3345" s="1">
        <v>0</v>
      </c>
      <c r="M3345" s="1">
        <v>0</v>
      </c>
      <c r="N3345" s="1">
        <v>2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 t="s">
        <v>49</v>
      </c>
      <c r="AA3345" s="1" t="s">
        <v>49</v>
      </c>
      <c r="AB3345" s="1" t="s">
        <v>49</v>
      </c>
      <c r="AC3345" s="1" t="s">
        <v>7670</v>
      </c>
      <c r="AD3345" s="1" t="s">
        <v>7671</v>
      </c>
      <c r="AE3345" s="1" t="s">
        <v>7670</v>
      </c>
      <c r="AF3345" s="1" t="s">
        <v>7672</v>
      </c>
      <c r="AG3345" s="1" t="s">
        <v>7556</v>
      </c>
      <c r="AH3345" s="1" t="s">
        <v>49</v>
      </c>
      <c r="AI3345" s="1" t="s">
        <v>54</v>
      </c>
      <c r="AJ3345" s="1">
        <v>0</v>
      </c>
      <c r="AK3345" s="1" t="str">
        <f t="shared" si="52"/>
        <v xml:space="preserve"> =&lt;90</v>
      </c>
      <c r="AL3345" s="1" t="str">
        <f>VLOOKUP(C:C,[1]基础信息!B$1:D$65536,3,0)</f>
        <v>Jug</v>
      </c>
      <c r="AM3345" s="1" t="str">
        <f>VLOOKUP(C:C,[1]基础信息!B$1:E$65536,4,0)</f>
        <v>Marella XL</v>
      </c>
      <c r="AN3345" s="1" t="str">
        <f>VLOOKUP(C:C,[1]基础信息!B$1:F$65536,5,0)</f>
        <v>Mxplus</v>
      </c>
    </row>
    <row r="3346" spans="1:40">
      <c r="A3346" s="1" t="s">
        <v>41</v>
      </c>
      <c r="B3346" s="1" t="s">
        <v>42</v>
      </c>
      <c r="C3346" s="1" t="s">
        <v>417</v>
      </c>
      <c r="D3346" s="1" t="s">
        <v>418</v>
      </c>
      <c r="E3346" s="1" t="s">
        <v>45</v>
      </c>
      <c r="F3346" s="1" t="s">
        <v>7673</v>
      </c>
      <c r="G3346" s="1" t="s">
        <v>7654</v>
      </c>
      <c r="H3346" s="1" t="s">
        <v>45</v>
      </c>
      <c r="I3346" s="1" t="s">
        <v>49</v>
      </c>
      <c r="J3346" s="1" t="s">
        <v>48</v>
      </c>
      <c r="K3346" s="1">
        <v>4</v>
      </c>
      <c r="L3346" s="1">
        <v>0</v>
      </c>
      <c r="M3346" s="1">
        <v>0</v>
      </c>
      <c r="N3346" s="1">
        <v>4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 t="s">
        <v>49</v>
      </c>
      <c r="AA3346" s="1" t="s">
        <v>49</v>
      </c>
      <c r="AB3346" s="1" t="s">
        <v>49</v>
      </c>
      <c r="AC3346" s="1" t="s">
        <v>7670</v>
      </c>
      <c r="AD3346" s="1" t="s">
        <v>7671</v>
      </c>
      <c r="AE3346" s="1" t="s">
        <v>7670</v>
      </c>
      <c r="AF3346" s="1" t="s">
        <v>940</v>
      </c>
      <c r="AG3346" s="1" t="s">
        <v>7556</v>
      </c>
      <c r="AH3346" s="1" t="s">
        <v>49</v>
      </c>
      <c r="AI3346" s="1" t="s">
        <v>54</v>
      </c>
      <c r="AJ3346" s="1">
        <v>0</v>
      </c>
      <c r="AK3346" s="1" t="str">
        <f t="shared" si="52"/>
        <v xml:space="preserve"> =&lt;90</v>
      </c>
      <c r="AL3346" s="1" t="str">
        <f>VLOOKUP(C:C,[1]基础信息!B$1:D$65536,3,0)</f>
        <v>Jug</v>
      </c>
      <c r="AM3346" s="1" t="str">
        <f>VLOOKUP(C:C,[1]基础信息!B$1:E$65536,4,0)</f>
        <v>Marella XL</v>
      </c>
      <c r="AN3346" s="1" t="str">
        <f>VLOOKUP(C:C,[1]基础信息!B$1:F$65536,5,0)</f>
        <v>Silver</v>
      </c>
    </row>
    <row r="3347" spans="1:40">
      <c r="A3347" s="1" t="s">
        <v>41</v>
      </c>
      <c r="B3347" s="1" t="s">
        <v>42</v>
      </c>
      <c r="C3347" s="1" t="s">
        <v>417</v>
      </c>
      <c r="D3347" s="1" t="s">
        <v>418</v>
      </c>
      <c r="E3347" s="1" t="s">
        <v>45</v>
      </c>
      <c r="F3347" s="1" t="s">
        <v>7674</v>
      </c>
      <c r="G3347" s="1" t="s">
        <v>7654</v>
      </c>
      <c r="H3347" s="1" t="s">
        <v>45</v>
      </c>
      <c r="I3347" s="1" t="s">
        <v>49</v>
      </c>
      <c r="J3347" s="1" t="s">
        <v>48</v>
      </c>
      <c r="K3347" s="1">
        <v>2</v>
      </c>
      <c r="L3347" s="1">
        <v>0</v>
      </c>
      <c r="M3347" s="1">
        <v>0</v>
      </c>
      <c r="N3347" s="1">
        <v>2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 t="s">
        <v>49</v>
      </c>
      <c r="AA3347" s="1" t="s">
        <v>49</v>
      </c>
      <c r="AB3347" s="1" t="s">
        <v>49</v>
      </c>
      <c r="AC3347" s="1" t="s">
        <v>938</v>
      </c>
      <c r="AD3347" s="1" t="s">
        <v>939</v>
      </c>
      <c r="AE3347" s="1" t="s">
        <v>938</v>
      </c>
      <c r="AF3347" s="1" t="s">
        <v>940</v>
      </c>
      <c r="AG3347" s="1" t="s">
        <v>7556</v>
      </c>
      <c r="AH3347" s="1" t="s">
        <v>49</v>
      </c>
      <c r="AI3347" s="1" t="s">
        <v>54</v>
      </c>
      <c r="AJ3347" s="1">
        <v>0</v>
      </c>
      <c r="AK3347" s="1" t="str">
        <f t="shared" si="52"/>
        <v xml:space="preserve"> =&lt;90</v>
      </c>
      <c r="AL3347" s="1" t="str">
        <f>VLOOKUP(C:C,[1]基础信息!B$1:D$65536,3,0)</f>
        <v>Jug</v>
      </c>
      <c r="AM3347" s="1" t="str">
        <f>VLOOKUP(C:C,[1]基础信息!B$1:E$65536,4,0)</f>
        <v>Marella XL</v>
      </c>
      <c r="AN3347" s="1" t="str">
        <f>VLOOKUP(C:C,[1]基础信息!B$1:F$65536,5,0)</f>
        <v>Silver</v>
      </c>
    </row>
    <row r="3348" spans="1:40">
      <c r="A3348" s="1" t="s">
        <v>41</v>
      </c>
      <c r="B3348" s="1" t="s">
        <v>42</v>
      </c>
      <c r="C3348" s="1" t="s">
        <v>969</v>
      </c>
      <c r="D3348" s="1" t="s">
        <v>970</v>
      </c>
      <c r="E3348" s="1" t="s">
        <v>45</v>
      </c>
      <c r="F3348" s="1" t="s">
        <v>7675</v>
      </c>
      <c r="G3348" s="1" t="s">
        <v>7654</v>
      </c>
      <c r="H3348" s="1" t="s">
        <v>45</v>
      </c>
      <c r="I3348" s="1" t="s">
        <v>49</v>
      </c>
      <c r="J3348" s="1" t="s">
        <v>48</v>
      </c>
      <c r="K3348" s="1">
        <v>2</v>
      </c>
      <c r="L3348" s="1">
        <v>0</v>
      </c>
      <c r="M3348" s="1">
        <v>0</v>
      </c>
      <c r="N3348" s="1">
        <v>2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 t="s">
        <v>49</v>
      </c>
      <c r="AA3348" s="1" t="s">
        <v>49</v>
      </c>
      <c r="AB3348" s="1" t="s">
        <v>49</v>
      </c>
      <c r="AC3348" s="1" t="s">
        <v>470</v>
      </c>
      <c r="AD3348" s="1" t="s">
        <v>471</v>
      </c>
      <c r="AE3348" s="1" t="s">
        <v>974</v>
      </c>
      <c r="AF3348" s="1" t="s">
        <v>7676</v>
      </c>
      <c r="AG3348" s="1" t="s">
        <v>7556</v>
      </c>
      <c r="AH3348" s="1" t="s">
        <v>49</v>
      </c>
      <c r="AI3348" s="1" t="s">
        <v>54</v>
      </c>
      <c r="AJ3348" s="1">
        <v>0</v>
      </c>
      <c r="AK3348" s="1" t="str">
        <f t="shared" si="52"/>
        <v xml:space="preserve"> =&lt;90</v>
      </c>
      <c r="AL3348" s="1" t="str">
        <f>VLOOKUP(C:C,[1]基础信息!B$1:D$65536,3,0)</f>
        <v>Jug</v>
      </c>
      <c r="AM3348" s="1" t="str">
        <f>VLOOKUP(C:C,[1]基础信息!B$1:E$65536,4,0)</f>
        <v>Mxplus</v>
      </c>
      <c r="AN3348" s="1" t="str">
        <f>VLOOKUP(C:C,[1]基础信息!B$1:F$65536,5,0)</f>
        <v xml:space="preserve"> blue</v>
      </c>
    </row>
    <row r="3349" spans="1:40">
      <c r="A3349" s="1" t="s">
        <v>41</v>
      </c>
      <c r="B3349" s="1" t="s">
        <v>42</v>
      </c>
      <c r="C3349" s="1" t="s">
        <v>969</v>
      </c>
      <c r="D3349" s="1" t="s">
        <v>970</v>
      </c>
      <c r="E3349" s="1" t="s">
        <v>45</v>
      </c>
      <c r="F3349" s="1" t="s">
        <v>7677</v>
      </c>
      <c r="G3349" s="1" t="s">
        <v>7654</v>
      </c>
      <c r="H3349" s="1" t="s">
        <v>45</v>
      </c>
      <c r="I3349" s="1" t="s">
        <v>49</v>
      </c>
      <c r="J3349" s="1" t="s">
        <v>48</v>
      </c>
      <c r="K3349" s="1">
        <v>2</v>
      </c>
      <c r="L3349" s="1">
        <v>0</v>
      </c>
      <c r="M3349" s="1">
        <v>0</v>
      </c>
      <c r="N3349" s="1">
        <v>2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 t="s">
        <v>49</v>
      </c>
      <c r="AA3349" s="1" t="s">
        <v>49</v>
      </c>
      <c r="AB3349" s="1" t="s">
        <v>49</v>
      </c>
      <c r="AC3349" s="1" t="s">
        <v>470</v>
      </c>
      <c r="AD3349" s="1" t="s">
        <v>471</v>
      </c>
      <c r="AE3349" s="1" t="s">
        <v>974</v>
      </c>
      <c r="AF3349" s="1" t="s">
        <v>975</v>
      </c>
      <c r="AG3349" s="1" t="s">
        <v>7556</v>
      </c>
      <c r="AH3349" s="1" t="s">
        <v>49</v>
      </c>
      <c r="AI3349" s="1" t="s">
        <v>54</v>
      </c>
      <c r="AJ3349" s="1">
        <v>0</v>
      </c>
      <c r="AK3349" s="1" t="str">
        <f t="shared" si="52"/>
        <v xml:space="preserve"> =&lt;90</v>
      </c>
      <c r="AL3349" s="1" t="str">
        <f>VLOOKUP(C:C,[1]基础信息!B$1:D$65536,3,0)</f>
        <v>Jug</v>
      </c>
      <c r="AM3349" s="1" t="str">
        <f>VLOOKUP(C:C,[1]基础信息!B$1:E$65536,4,0)</f>
        <v>Mxplus</v>
      </c>
      <c r="AN3349" s="1" t="str">
        <f>VLOOKUP(C:C,[1]基础信息!B$1:F$65536,5,0)</f>
        <v xml:space="preserve"> blue</v>
      </c>
    </row>
    <row r="3350" spans="1:40">
      <c r="A3350" s="1" t="s">
        <v>41</v>
      </c>
      <c r="B3350" s="1" t="s">
        <v>42</v>
      </c>
      <c r="C3350" s="1" t="s">
        <v>969</v>
      </c>
      <c r="D3350" s="1" t="s">
        <v>970</v>
      </c>
      <c r="E3350" s="1" t="s">
        <v>45</v>
      </c>
      <c r="F3350" s="1" t="s">
        <v>7678</v>
      </c>
      <c r="G3350" s="1" t="s">
        <v>7654</v>
      </c>
      <c r="H3350" s="1" t="s">
        <v>45</v>
      </c>
      <c r="I3350" s="1" t="s">
        <v>49</v>
      </c>
      <c r="J3350" s="1" t="s">
        <v>48</v>
      </c>
      <c r="K3350" s="1">
        <v>2</v>
      </c>
      <c r="L3350" s="1">
        <v>0</v>
      </c>
      <c r="M3350" s="1">
        <v>0</v>
      </c>
      <c r="N3350" s="1">
        <v>2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 t="s">
        <v>49</v>
      </c>
      <c r="AA3350" s="1" t="s">
        <v>49</v>
      </c>
      <c r="AB3350" s="1" t="s">
        <v>49</v>
      </c>
      <c r="AC3350" s="1" t="s">
        <v>128</v>
      </c>
      <c r="AD3350" s="1" t="s">
        <v>129</v>
      </c>
      <c r="AE3350" s="1" t="s">
        <v>128</v>
      </c>
      <c r="AF3350" s="1" t="s">
        <v>1332</v>
      </c>
      <c r="AG3350" s="1" t="s">
        <v>7556</v>
      </c>
      <c r="AH3350" s="1" t="s">
        <v>49</v>
      </c>
      <c r="AI3350" s="1" t="s">
        <v>54</v>
      </c>
      <c r="AJ3350" s="1">
        <v>0</v>
      </c>
      <c r="AK3350" s="1" t="str">
        <f t="shared" si="52"/>
        <v xml:space="preserve"> =&lt;90</v>
      </c>
      <c r="AL3350" s="1" t="str">
        <f>VLOOKUP(C:C,[1]基础信息!B$1:D$65536,3,0)</f>
        <v>Jug</v>
      </c>
      <c r="AM3350" s="1" t="str">
        <f>VLOOKUP(C:C,[1]基础信息!B$1:E$65536,4,0)</f>
        <v>Mxplus</v>
      </c>
      <c r="AN3350" s="1" t="str">
        <f>VLOOKUP(C:C,[1]基础信息!B$1:F$65536,5,0)</f>
        <v xml:space="preserve"> blue</v>
      </c>
    </row>
    <row r="3351" spans="1:40">
      <c r="A3351" s="1" t="s">
        <v>41</v>
      </c>
      <c r="B3351" s="1" t="s">
        <v>42</v>
      </c>
      <c r="C3351" s="1" t="s">
        <v>104</v>
      </c>
      <c r="D3351" s="1" t="s">
        <v>105</v>
      </c>
      <c r="E3351" s="1" t="s">
        <v>104</v>
      </c>
      <c r="F3351" s="1" t="s">
        <v>7679</v>
      </c>
      <c r="G3351" s="1" t="s">
        <v>7654</v>
      </c>
      <c r="H3351" s="1" t="s">
        <v>45</v>
      </c>
      <c r="I3351" s="1" t="s">
        <v>49</v>
      </c>
      <c r="J3351" s="1" t="s">
        <v>48</v>
      </c>
      <c r="K3351" s="1">
        <v>2</v>
      </c>
      <c r="L3351" s="1">
        <v>0</v>
      </c>
      <c r="M3351" s="1">
        <v>0</v>
      </c>
      <c r="N3351" s="1">
        <v>2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 t="s">
        <v>49</v>
      </c>
      <c r="AA3351" s="1" t="s">
        <v>49</v>
      </c>
      <c r="AB3351" s="1" t="s">
        <v>49</v>
      </c>
      <c r="AC3351" s="1" t="s">
        <v>128</v>
      </c>
      <c r="AD3351" s="1" t="s">
        <v>129</v>
      </c>
      <c r="AE3351" s="1" t="s">
        <v>128</v>
      </c>
      <c r="AF3351" s="1" t="s">
        <v>1605</v>
      </c>
      <c r="AG3351" s="1" t="s">
        <v>7556</v>
      </c>
      <c r="AH3351" s="1" t="s">
        <v>49</v>
      </c>
      <c r="AI3351" s="1" t="s">
        <v>54</v>
      </c>
      <c r="AJ3351" s="1">
        <v>0</v>
      </c>
      <c r="AK3351" s="1" t="str">
        <f t="shared" si="52"/>
        <v xml:space="preserve"> =&lt;90</v>
      </c>
      <c r="AL3351" s="1" t="str">
        <f>VLOOKUP(C:C,[1]基础信息!B$1:D$65536,3,0)</f>
        <v>Jug</v>
      </c>
      <c r="AM3351" s="1" t="str">
        <f>VLOOKUP(C:C,[1]基础信息!B$1:E$65536,4,0)</f>
        <v>Marella XL</v>
      </c>
      <c r="AN3351" s="1" t="str">
        <f>VLOOKUP(C:C,[1]基础信息!B$1:F$65536,5,0)</f>
        <v>Blue</v>
      </c>
    </row>
    <row r="3352" spans="1:40">
      <c r="A3352" s="1" t="s">
        <v>41</v>
      </c>
      <c r="B3352" s="1" t="s">
        <v>42</v>
      </c>
      <c r="C3352" s="1" t="s">
        <v>104</v>
      </c>
      <c r="D3352" s="1" t="s">
        <v>105</v>
      </c>
      <c r="E3352" s="1" t="s">
        <v>104</v>
      </c>
      <c r="F3352" s="1" t="s">
        <v>7680</v>
      </c>
      <c r="G3352" s="1" t="s">
        <v>7654</v>
      </c>
      <c r="H3352" s="1" t="s">
        <v>45</v>
      </c>
      <c r="I3352" s="1" t="s">
        <v>49</v>
      </c>
      <c r="J3352" s="1" t="s">
        <v>48</v>
      </c>
      <c r="K3352" s="1">
        <v>3</v>
      </c>
      <c r="L3352" s="1">
        <v>0</v>
      </c>
      <c r="M3352" s="1">
        <v>0</v>
      </c>
      <c r="N3352" s="1">
        <v>3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 t="s">
        <v>49</v>
      </c>
      <c r="AA3352" s="1" t="s">
        <v>49</v>
      </c>
      <c r="AB3352" s="1" t="s">
        <v>49</v>
      </c>
      <c r="AC3352" s="1" t="s">
        <v>128</v>
      </c>
      <c r="AD3352" s="1" t="s">
        <v>129</v>
      </c>
      <c r="AE3352" s="1" t="s">
        <v>128</v>
      </c>
      <c r="AF3352" s="1" t="s">
        <v>130</v>
      </c>
      <c r="AG3352" s="1" t="s">
        <v>7556</v>
      </c>
      <c r="AH3352" s="1" t="s">
        <v>49</v>
      </c>
      <c r="AI3352" s="1" t="s">
        <v>54</v>
      </c>
      <c r="AJ3352" s="1">
        <v>0</v>
      </c>
      <c r="AK3352" s="1" t="str">
        <f t="shared" si="52"/>
        <v xml:space="preserve"> =&lt;90</v>
      </c>
      <c r="AL3352" s="1" t="str">
        <f>VLOOKUP(C:C,[1]基础信息!B$1:D$65536,3,0)</f>
        <v>Jug</v>
      </c>
      <c r="AM3352" s="1" t="str">
        <f>VLOOKUP(C:C,[1]基础信息!B$1:E$65536,4,0)</f>
        <v>Marella XL</v>
      </c>
      <c r="AN3352" s="1" t="str">
        <f>VLOOKUP(C:C,[1]基础信息!B$1:F$65536,5,0)</f>
        <v>Blue</v>
      </c>
    </row>
    <row r="3353" spans="1:40">
      <c r="A3353" s="1" t="s">
        <v>41</v>
      </c>
      <c r="B3353" s="1" t="s">
        <v>42</v>
      </c>
      <c r="C3353" s="1" t="s">
        <v>301</v>
      </c>
      <c r="D3353" s="1" t="s">
        <v>302</v>
      </c>
      <c r="E3353" s="1" t="s">
        <v>45</v>
      </c>
      <c r="F3353" s="1" t="s">
        <v>7681</v>
      </c>
      <c r="G3353" s="1" t="s">
        <v>7654</v>
      </c>
      <c r="H3353" s="1" t="s">
        <v>45</v>
      </c>
      <c r="I3353" s="1" t="s">
        <v>45</v>
      </c>
      <c r="J3353" s="1" t="s">
        <v>48</v>
      </c>
      <c r="K3353" s="1">
        <v>2</v>
      </c>
      <c r="L3353" s="1">
        <v>0</v>
      </c>
      <c r="M3353" s="1">
        <v>0</v>
      </c>
      <c r="N3353" s="1">
        <v>2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 t="s">
        <v>49</v>
      </c>
      <c r="AA3353" s="1" t="s">
        <v>49</v>
      </c>
      <c r="AB3353" s="1" t="s">
        <v>49</v>
      </c>
      <c r="AC3353" s="1" t="s">
        <v>2000</v>
      </c>
      <c r="AD3353" s="1" t="s">
        <v>2001</v>
      </c>
      <c r="AE3353" s="1" t="s">
        <v>2000</v>
      </c>
      <c r="AF3353" s="1" t="s">
        <v>7682</v>
      </c>
      <c r="AG3353" s="1" t="s">
        <v>7556</v>
      </c>
      <c r="AH3353" s="1" t="s">
        <v>49</v>
      </c>
      <c r="AI3353" s="1" t="s">
        <v>54</v>
      </c>
      <c r="AJ3353" s="1">
        <v>0</v>
      </c>
      <c r="AK3353" s="1" t="str">
        <f t="shared" si="52"/>
        <v xml:space="preserve"> =&lt;90</v>
      </c>
      <c r="AL3353" s="1" t="str">
        <f>VLOOKUP(C:C,[1]基础信息!B$1:D$65536,3,0)</f>
        <v>Jug</v>
      </c>
      <c r="AM3353" s="1" t="str">
        <f>VLOOKUP(C:C,[1]基础信息!B$1:E$65536,4,0)</f>
        <v>Aluna</v>
      </c>
      <c r="AN3353" s="1" t="str">
        <f>VLOOKUP(C:C,[1]基础信息!B$1:F$65536,5,0)</f>
        <v>Blue</v>
      </c>
    </row>
    <row r="3354" spans="1:40">
      <c r="A3354" s="1" t="s">
        <v>41</v>
      </c>
      <c r="B3354" s="1" t="s">
        <v>42</v>
      </c>
      <c r="C3354" s="1" t="s">
        <v>2004</v>
      </c>
      <c r="D3354" s="1" t="s">
        <v>2005</v>
      </c>
      <c r="E3354" s="1" t="s">
        <v>2004</v>
      </c>
      <c r="F3354" s="1" t="s">
        <v>7683</v>
      </c>
      <c r="G3354" s="1" t="s">
        <v>7654</v>
      </c>
      <c r="H3354" s="1" t="s">
        <v>45</v>
      </c>
      <c r="I3354" s="1" t="s">
        <v>49</v>
      </c>
      <c r="J3354" s="1" t="s">
        <v>48</v>
      </c>
      <c r="K3354" s="1">
        <v>2</v>
      </c>
      <c r="L3354" s="1">
        <v>0</v>
      </c>
      <c r="M3354" s="1">
        <v>0</v>
      </c>
      <c r="N3354" s="1">
        <v>2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 t="s">
        <v>49</v>
      </c>
      <c r="AA3354" s="1" t="s">
        <v>49</v>
      </c>
      <c r="AB3354" s="1" t="s">
        <v>49</v>
      </c>
      <c r="AC3354" s="1" t="s">
        <v>3964</v>
      </c>
      <c r="AD3354" s="1" t="s">
        <v>3965</v>
      </c>
      <c r="AE3354" s="1" t="s">
        <v>3964</v>
      </c>
      <c r="AF3354" s="1" t="s">
        <v>1099</v>
      </c>
      <c r="AG3354" s="1" t="s">
        <v>7556</v>
      </c>
      <c r="AH3354" s="1" t="s">
        <v>49</v>
      </c>
      <c r="AI3354" s="1" t="s">
        <v>54</v>
      </c>
      <c r="AJ3354" s="1">
        <v>0</v>
      </c>
      <c r="AK3354" s="1" t="str">
        <f t="shared" si="52"/>
        <v xml:space="preserve"> =&lt;90</v>
      </c>
      <c r="AL3354" s="1" t="str">
        <f>VLOOKUP(C:C,[1]基础信息!B$1:D$65536,3,0)</f>
        <v>Jug</v>
      </c>
      <c r="AM3354" s="1" t="str">
        <f>VLOOKUP(C:C,[1]基础信息!B$1:E$65536,4,0)</f>
        <v>Marella XL</v>
      </c>
      <c r="AN3354" s="1" t="str">
        <f>VLOOKUP(C:C,[1]基础信息!B$1:F$65536,5,0)</f>
        <v>Mxplus</v>
      </c>
    </row>
    <row r="3355" spans="1:40">
      <c r="A3355" s="1" t="s">
        <v>41</v>
      </c>
      <c r="B3355" s="1" t="s">
        <v>42</v>
      </c>
      <c r="C3355" s="1" t="s">
        <v>3971</v>
      </c>
      <c r="D3355" s="1" t="s">
        <v>3972</v>
      </c>
      <c r="E3355" s="1" t="s">
        <v>45</v>
      </c>
      <c r="F3355" s="1" t="s">
        <v>7684</v>
      </c>
      <c r="G3355" s="1" t="s">
        <v>7654</v>
      </c>
      <c r="H3355" s="1" t="s">
        <v>45</v>
      </c>
      <c r="I3355" s="1" t="s">
        <v>49</v>
      </c>
      <c r="J3355" s="1" t="s">
        <v>48</v>
      </c>
      <c r="K3355" s="1">
        <v>4</v>
      </c>
      <c r="L3355" s="1">
        <v>0</v>
      </c>
      <c r="M3355" s="1">
        <v>0</v>
      </c>
      <c r="N3355" s="1">
        <v>4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 t="s">
        <v>49</v>
      </c>
      <c r="AA3355" s="1" t="s">
        <v>49</v>
      </c>
      <c r="AB3355" s="1" t="s">
        <v>49</v>
      </c>
      <c r="AC3355" s="1" t="s">
        <v>376</v>
      </c>
      <c r="AD3355" s="1" t="s">
        <v>377</v>
      </c>
      <c r="AE3355" s="1" t="s">
        <v>376</v>
      </c>
      <c r="AF3355" s="1" t="s">
        <v>5194</v>
      </c>
      <c r="AG3355" s="1" t="s">
        <v>7556</v>
      </c>
      <c r="AH3355" s="1" t="s">
        <v>49</v>
      </c>
      <c r="AI3355" s="1" t="s">
        <v>54</v>
      </c>
      <c r="AJ3355" s="1">
        <v>0</v>
      </c>
      <c r="AK3355" s="1" t="str">
        <f t="shared" si="52"/>
        <v xml:space="preserve"> =&lt;90</v>
      </c>
      <c r="AL3355" s="1" t="str">
        <f>VLOOKUP(C:C,[1]基础信息!B$1:D$65536,3,0)</f>
        <v>Jug</v>
      </c>
      <c r="AM3355" s="1" t="str">
        <f>VLOOKUP(C:C,[1]基础信息!B$1:E$65536,4,0)</f>
        <v>Mxplus</v>
      </c>
      <c r="AN3355" s="1" t="str">
        <f>VLOOKUP(C:C,[1]基础信息!B$1:F$65536,5,0)</f>
        <v xml:space="preserve"> lime</v>
      </c>
    </row>
    <row r="3356" spans="1:40">
      <c r="A3356" s="1" t="s">
        <v>41</v>
      </c>
      <c r="B3356" s="1" t="s">
        <v>42</v>
      </c>
      <c r="C3356" s="1" t="s">
        <v>301</v>
      </c>
      <c r="D3356" s="1" t="s">
        <v>302</v>
      </c>
      <c r="E3356" s="1" t="s">
        <v>45</v>
      </c>
      <c r="F3356" s="1" t="s">
        <v>7685</v>
      </c>
      <c r="G3356" s="1" t="s">
        <v>7654</v>
      </c>
      <c r="H3356" s="1" t="s">
        <v>45</v>
      </c>
      <c r="I3356" s="1" t="s">
        <v>49</v>
      </c>
      <c r="J3356" s="1" t="s">
        <v>48</v>
      </c>
      <c r="K3356" s="1">
        <v>4</v>
      </c>
      <c r="L3356" s="1">
        <v>0</v>
      </c>
      <c r="M3356" s="1">
        <v>0</v>
      </c>
      <c r="N3356" s="1">
        <v>4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 t="s">
        <v>49</v>
      </c>
      <c r="AA3356" s="1" t="s">
        <v>49</v>
      </c>
      <c r="AB3356" s="1" t="s">
        <v>49</v>
      </c>
      <c r="AC3356" s="1" t="s">
        <v>1408</v>
      </c>
      <c r="AD3356" s="1" t="s">
        <v>1409</v>
      </c>
      <c r="AE3356" s="1" t="s">
        <v>1408</v>
      </c>
      <c r="AF3356" s="1" t="s">
        <v>2800</v>
      </c>
      <c r="AG3356" s="1" t="s">
        <v>7556</v>
      </c>
      <c r="AH3356" s="1" t="s">
        <v>49</v>
      </c>
      <c r="AI3356" s="1" t="s">
        <v>54</v>
      </c>
      <c r="AJ3356" s="1">
        <v>0</v>
      </c>
      <c r="AK3356" s="1" t="str">
        <f t="shared" si="52"/>
        <v xml:space="preserve"> =&lt;90</v>
      </c>
      <c r="AL3356" s="1" t="str">
        <f>VLOOKUP(C:C,[1]基础信息!B$1:D$65536,3,0)</f>
        <v>Jug</v>
      </c>
      <c r="AM3356" s="1" t="str">
        <f>VLOOKUP(C:C,[1]基础信息!B$1:E$65536,4,0)</f>
        <v>Aluna</v>
      </c>
      <c r="AN3356" s="1" t="str">
        <f>VLOOKUP(C:C,[1]基础信息!B$1:F$65536,5,0)</f>
        <v>Blue</v>
      </c>
    </row>
    <row r="3357" spans="1:40">
      <c r="A3357" s="1" t="s">
        <v>41</v>
      </c>
      <c r="B3357" s="1" t="s">
        <v>42</v>
      </c>
      <c r="C3357" s="1" t="s">
        <v>301</v>
      </c>
      <c r="D3357" s="1" t="s">
        <v>302</v>
      </c>
      <c r="E3357" s="1" t="s">
        <v>45</v>
      </c>
      <c r="F3357" s="1" t="s">
        <v>7686</v>
      </c>
      <c r="G3357" s="1" t="s">
        <v>7654</v>
      </c>
      <c r="H3357" s="1" t="s">
        <v>45</v>
      </c>
      <c r="I3357" s="1" t="s">
        <v>49</v>
      </c>
      <c r="J3357" s="1" t="s">
        <v>48</v>
      </c>
      <c r="K3357" s="1">
        <v>1</v>
      </c>
      <c r="L3357" s="1">
        <v>0</v>
      </c>
      <c r="M3357" s="1">
        <v>0</v>
      </c>
      <c r="N3357" s="1">
        <v>1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 t="s">
        <v>49</v>
      </c>
      <c r="AA3357" s="1" t="s">
        <v>49</v>
      </c>
      <c r="AB3357" s="1" t="s">
        <v>49</v>
      </c>
      <c r="AC3357" s="1" t="s">
        <v>1408</v>
      </c>
      <c r="AD3357" s="1" t="s">
        <v>1409</v>
      </c>
      <c r="AE3357" s="1" t="s">
        <v>1408</v>
      </c>
      <c r="AF3357" s="1" t="s">
        <v>1410</v>
      </c>
      <c r="AG3357" s="1" t="s">
        <v>7556</v>
      </c>
      <c r="AH3357" s="1" t="s">
        <v>49</v>
      </c>
      <c r="AI3357" s="1" t="s">
        <v>54</v>
      </c>
      <c r="AJ3357" s="1">
        <v>1</v>
      </c>
      <c r="AK3357" s="1" t="str">
        <f t="shared" si="52"/>
        <v xml:space="preserve"> =&lt;90</v>
      </c>
      <c r="AL3357" s="1" t="str">
        <f>VLOOKUP(C:C,[1]基础信息!B$1:D$65536,3,0)</f>
        <v>Jug</v>
      </c>
      <c r="AM3357" s="1" t="str">
        <f>VLOOKUP(C:C,[1]基础信息!B$1:E$65536,4,0)</f>
        <v>Aluna</v>
      </c>
      <c r="AN3357" s="1" t="str">
        <f>VLOOKUP(C:C,[1]基础信息!B$1:F$65536,5,0)</f>
        <v>Blue</v>
      </c>
    </row>
    <row r="3358" spans="1:40">
      <c r="A3358" s="1" t="s">
        <v>41</v>
      </c>
      <c r="B3358" s="1" t="s">
        <v>42</v>
      </c>
      <c r="C3358" s="1" t="s">
        <v>4057</v>
      </c>
      <c r="D3358" s="1" t="s">
        <v>4058</v>
      </c>
      <c r="E3358" s="1" t="s">
        <v>45</v>
      </c>
      <c r="F3358" s="1" t="s">
        <v>7687</v>
      </c>
      <c r="G3358" s="1" t="s">
        <v>7688</v>
      </c>
      <c r="H3358" s="1" t="s">
        <v>45</v>
      </c>
      <c r="I3358" s="1" t="s">
        <v>45</v>
      </c>
      <c r="J3358" s="1" t="s">
        <v>48</v>
      </c>
      <c r="K3358" s="1">
        <v>3</v>
      </c>
      <c r="L3358" s="1">
        <v>0</v>
      </c>
      <c r="M3358" s="1">
        <v>0</v>
      </c>
      <c r="N3358" s="1">
        <v>3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 t="s">
        <v>49</v>
      </c>
      <c r="AA3358" s="1" t="s">
        <v>49</v>
      </c>
      <c r="AB3358" s="1" t="s">
        <v>49</v>
      </c>
      <c r="AC3358" s="1" t="s">
        <v>7689</v>
      </c>
      <c r="AD3358" s="1" t="s">
        <v>7690</v>
      </c>
      <c r="AE3358" s="1" t="s">
        <v>7689</v>
      </c>
      <c r="AF3358" s="1" t="s">
        <v>7691</v>
      </c>
      <c r="AG3358" s="1" t="s">
        <v>53</v>
      </c>
      <c r="AH3358" s="1" t="s">
        <v>49</v>
      </c>
      <c r="AI3358" s="1" t="s">
        <v>54</v>
      </c>
      <c r="AJ3358" s="1">
        <v>1</v>
      </c>
      <c r="AK3358" s="1" t="str">
        <f t="shared" si="52"/>
        <v xml:space="preserve"> =&lt;90</v>
      </c>
      <c r="AL3358" s="1" t="e">
        <f>VLOOKUP(C:C,[1]基础信息!B$1:D$65536,3,0)</f>
        <v>#N/A</v>
      </c>
      <c r="AM3358" s="1" t="e">
        <f>VLOOKUP(C:C,[1]基础信息!B$1:E$65536,4,0)</f>
        <v>#N/A</v>
      </c>
      <c r="AN3358" s="1" t="e">
        <f>VLOOKUP(C:C,[1]基础信息!B$1:F$65536,5,0)</f>
        <v>#N/A</v>
      </c>
    </row>
    <row r="3359" spans="1:40">
      <c r="A3359" s="1" t="s">
        <v>41</v>
      </c>
      <c r="B3359" s="1" t="s">
        <v>42</v>
      </c>
      <c r="C3359" s="1" t="s">
        <v>4077</v>
      </c>
      <c r="D3359" s="1" t="s">
        <v>4078</v>
      </c>
      <c r="E3359" s="1" t="s">
        <v>45</v>
      </c>
      <c r="F3359" s="1" t="s">
        <v>7692</v>
      </c>
      <c r="G3359" s="1" t="s">
        <v>7693</v>
      </c>
      <c r="H3359" s="1" t="s">
        <v>7694</v>
      </c>
      <c r="I3359" s="1" t="s">
        <v>49</v>
      </c>
      <c r="J3359" s="1" t="s">
        <v>48</v>
      </c>
      <c r="K3359" s="1">
        <v>10</v>
      </c>
      <c r="L3359" s="1">
        <v>0</v>
      </c>
      <c r="M3359" s="1">
        <v>0</v>
      </c>
      <c r="N3359" s="1">
        <v>10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 t="s">
        <v>49</v>
      </c>
      <c r="AA3359" s="1" t="s">
        <v>49</v>
      </c>
      <c r="AB3359" s="1" t="s">
        <v>49</v>
      </c>
      <c r="AC3359" s="1" t="s">
        <v>4467</v>
      </c>
      <c r="AD3359" s="1" t="s">
        <v>4468</v>
      </c>
      <c r="AE3359" s="1" t="s">
        <v>4467</v>
      </c>
      <c r="AF3359" s="1" t="s">
        <v>4506</v>
      </c>
      <c r="AG3359" s="1" t="s">
        <v>53</v>
      </c>
      <c r="AH3359" s="1" t="s">
        <v>4470</v>
      </c>
      <c r="AI3359" s="1" t="s">
        <v>54</v>
      </c>
      <c r="AJ3359" s="1">
        <v>1</v>
      </c>
      <c r="AK3359" s="1" t="str">
        <f t="shared" si="52"/>
        <v xml:space="preserve"> =&lt;90</v>
      </c>
      <c r="AL3359" s="1" t="str">
        <f>VLOOKUP(C:C,[1]基础信息!B$1:D$65536,3,0)</f>
        <v>UTS</v>
      </c>
      <c r="AM3359" s="1" t="str">
        <f>VLOOKUP(C:C,[1]基础信息!B$1:E$65536,4,0)</f>
        <v>RO</v>
      </c>
      <c r="AN3359" s="1" t="str">
        <f>VLOOKUP(C:C,[1]基础信息!B$1:F$65536,5,0)</f>
        <v>Starry Grey Color</v>
      </c>
    </row>
    <row r="3360" spans="1:40">
      <c r="A3360" s="1" t="s">
        <v>41</v>
      </c>
      <c r="B3360" s="1" t="s">
        <v>42</v>
      </c>
      <c r="C3360" s="1" t="s">
        <v>4597</v>
      </c>
      <c r="D3360" s="1" t="s">
        <v>4598</v>
      </c>
      <c r="E3360" s="1" t="s">
        <v>45</v>
      </c>
      <c r="F3360" s="1" t="s">
        <v>4599</v>
      </c>
      <c r="G3360" s="1" t="s">
        <v>7695</v>
      </c>
      <c r="H3360" s="1" t="s">
        <v>7696</v>
      </c>
      <c r="I3360" s="1" t="s">
        <v>49</v>
      </c>
      <c r="J3360" s="1" t="s">
        <v>48</v>
      </c>
      <c r="K3360" s="1">
        <v>2</v>
      </c>
      <c r="L3360" s="1">
        <v>0</v>
      </c>
      <c r="M3360" s="1">
        <v>0</v>
      </c>
      <c r="N3360" s="1">
        <v>2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 t="s">
        <v>49</v>
      </c>
      <c r="AA3360" s="1" t="s">
        <v>49</v>
      </c>
      <c r="AB3360" s="1" t="s">
        <v>49</v>
      </c>
      <c r="AC3360" s="1" t="s">
        <v>4602</v>
      </c>
      <c r="AD3360" s="1" t="s">
        <v>4603</v>
      </c>
      <c r="AE3360" s="1" t="s">
        <v>4602</v>
      </c>
      <c r="AF3360" s="1" t="s">
        <v>4604</v>
      </c>
      <c r="AG3360" s="1" t="s">
        <v>53</v>
      </c>
      <c r="AH3360" s="1" t="s">
        <v>49</v>
      </c>
      <c r="AI3360" s="1" t="s">
        <v>54</v>
      </c>
      <c r="AJ3360" s="1">
        <v>1</v>
      </c>
      <c r="AK3360" s="1" t="str">
        <f t="shared" si="52"/>
        <v xml:space="preserve"> =&lt;90</v>
      </c>
      <c r="AL3360" s="1" t="e">
        <f>VLOOKUP(C:C,[1]基础信息!B$1:D$65536,3,0)</f>
        <v>#N/A</v>
      </c>
      <c r="AM3360" s="1" t="e">
        <f>VLOOKUP(C:C,[1]基础信息!B$1:E$65536,4,0)</f>
        <v>#N/A</v>
      </c>
      <c r="AN3360" s="1" t="e">
        <f>VLOOKUP(C:C,[1]基础信息!B$1:F$65536,5,0)</f>
        <v>#N/A</v>
      </c>
    </row>
    <row r="3361" spans="1:40">
      <c r="A3361" s="1" t="s">
        <v>41</v>
      </c>
      <c r="B3361" s="1" t="s">
        <v>42</v>
      </c>
      <c r="C3361" s="1" t="s">
        <v>7697</v>
      </c>
      <c r="D3361" s="1" t="s">
        <v>7587</v>
      </c>
      <c r="E3361" s="1" t="s">
        <v>45</v>
      </c>
      <c r="F3361" s="1" t="s">
        <v>7698</v>
      </c>
      <c r="G3361" s="1" t="s">
        <v>7699</v>
      </c>
      <c r="H3361" s="1" t="s">
        <v>45</v>
      </c>
      <c r="I3361" s="1" t="s">
        <v>45</v>
      </c>
      <c r="J3361" s="1" t="s">
        <v>48</v>
      </c>
      <c r="K3361" s="1">
        <v>12</v>
      </c>
      <c r="L3361" s="1">
        <v>0</v>
      </c>
      <c r="M3361" s="1">
        <v>0</v>
      </c>
      <c r="N3361" s="1">
        <v>12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 t="s">
        <v>49</v>
      </c>
      <c r="AA3361" s="1" t="s">
        <v>49</v>
      </c>
      <c r="AB3361" s="1" t="s">
        <v>49</v>
      </c>
      <c r="AC3361" s="1" t="s">
        <v>7689</v>
      </c>
      <c r="AD3361" s="1" t="s">
        <v>7690</v>
      </c>
      <c r="AE3361" s="1" t="s">
        <v>7689</v>
      </c>
      <c r="AF3361" s="1" t="s">
        <v>7700</v>
      </c>
      <c r="AG3361" s="1" t="s">
        <v>53</v>
      </c>
      <c r="AH3361" s="1" t="s">
        <v>49</v>
      </c>
      <c r="AI3361" s="1" t="s">
        <v>54</v>
      </c>
      <c r="AJ3361" s="1">
        <v>1</v>
      </c>
      <c r="AK3361" s="1" t="str">
        <f t="shared" si="52"/>
        <v xml:space="preserve"> =&lt;90</v>
      </c>
      <c r="AL3361" s="1" t="e">
        <f>VLOOKUP(C:C,[1]基础信息!B$1:D$65536,3,0)</f>
        <v>#N/A</v>
      </c>
      <c r="AM3361" s="1" t="e">
        <f>VLOOKUP(C:C,[1]基础信息!B$1:E$65536,4,0)</f>
        <v>#N/A</v>
      </c>
      <c r="AN3361" s="1" t="e">
        <f>VLOOKUP(C:C,[1]基础信息!B$1:F$65536,5,0)</f>
        <v>#N/A</v>
      </c>
    </row>
    <row r="3362" spans="1:40">
      <c r="A3362" s="1" t="s">
        <v>41</v>
      </c>
      <c r="B3362" s="1" t="s">
        <v>42</v>
      </c>
      <c r="C3362" s="1" t="s">
        <v>4258</v>
      </c>
      <c r="D3362" s="1" t="s">
        <v>4259</v>
      </c>
      <c r="E3362" s="1" t="s">
        <v>45</v>
      </c>
      <c r="F3362" s="1" t="s">
        <v>7701</v>
      </c>
      <c r="G3362" s="1" t="s">
        <v>7702</v>
      </c>
      <c r="H3362" s="1" t="s">
        <v>45</v>
      </c>
      <c r="I3362" s="1" t="s">
        <v>45</v>
      </c>
      <c r="J3362" s="1" t="s">
        <v>48</v>
      </c>
      <c r="K3362" s="1">
        <v>27</v>
      </c>
      <c r="L3362" s="1">
        <v>0</v>
      </c>
      <c r="M3362" s="1">
        <v>0</v>
      </c>
      <c r="N3362" s="1">
        <v>27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 t="s">
        <v>49</v>
      </c>
      <c r="AA3362" s="1" t="s">
        <v>49</v>
      </c>
      <c r="AB3362" s="1" t="s">
        <v>49</v>
      </c>
      <c r="AC3362" s="1" t="s">
        <v>7689</v>
      </c>
      <c r="AD3362" s="1" t="s">
        <v>7690</v>
      </c>
      <c r="AE3362" s="1" t="s">
        <v>7689</v>
      </c>
      <c r="AF3362" s="1" t="s">
        <v>7703</v>
      </c>
      <c r="AG3362" s="1" t="s">
        <v>53</v>
      </c>
      <c r="AH3362" s="1" t="s">
        <v>49</v>
      </c>
      <c r="AI3362" s="1" t="s">
        <v>54</v>
      </c>
      <c r="AJ3362" s="1">
        <v>1</v>
      </c>
      <c r="AK3362" s="1" t="str">
        <f t="shared" si="52"/>
        <v xml:space="preserve"> =&lt;90</v>
      </c>
      <c r="AL3362" s="1" t="e">
        <f>VLOOKUP(C:C,[1]基础信息!B$1:D$65536,3,0)</f>
        <v>#N/A</v>
      </c>
      <c r="AM3362" s="1" t="e">
        <f>VLOOKUP(C:C,[1]基础信息!B$1:E$65536,4,0)</f>
        <v>#N/A</v>
      </c>
      <c r="AN3362" s="1" t="e">
        <f>VLOOKUP(C:C,[1]基础信息!B$1:F$65536,5,0)</f>
        <v>#N/A</v>
      </c>
    </row>
    <row r="3363" spans="1:40">
      <c r="A3363" s="1" t="s">
        <v>41</v>
      </c>
      <c r="B3363" s="1" t="s">
        <v>42</v>
      </c>
      <c r="C3363" s="1" t="s">
        <v>7704</v>
      </c>
      <c r="D3363" s="1" t="s">
        <v>7705</v>
      </c>
      <c r="E3363" s="1" t="s">
        <v>45</v>
      </c>
      <c r="F3363" s="1" t="s">
        <v>7706</v>
      </c>
      <c r="G3363" s="1" t="s">
        <v>7707</v>
      </c>
      <c r="H3363" s="1" t="s">
        <v>7708</v>
      </c>
      <c r="I3363" s="1" t="s">
        <v>49</v>
      </c>
      <c r="J3363" s="1" t="s">
        <v>48</v>
      </c>
      <c r="K3363" s="1">
        <v>36</v>
      </c>
      <c r="L3363" s="1">
        <v>0</v>
      </c>
      <c r="M3363" s="1">
        <v>0</v>
      </c>
      <c r="N3363" s="1">
        <v>36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 t="s">
        <v>49</v>
      </c>
      <c r="AA3363" s="1" t="s">
        <v>49</v>
      </c>
      <c r="AB3363" s="1" t="s">
        <v>49</v>
      </c>
      <c r="AC3363" s="1" t="s">
        <v>73</v>
      </c>
      <c r="AD3363" s="1" t="s">
        <v>74</v>
      </c>
      <c r="AE3363" s="1" t="s">
        <v>73</v>
      </c>
      <c r="AF3363" s="1" t="s">
        <v>82</v>
      </c>
      <c r="AG3363" s="1" t="s">
        <v>76</v>
      </c>
      <c r="AH3363" s="1" t="s">
        <v>49</v>
      </c>
      <c r="AI3363" s="1" t="s">
        <v>54</v>
      </c>
      <c r="AJ3363" s="1">
        <v>1</v>
      </c>
      <c r="AK3363" s="1" t="str">
        <f t="shared" si="52"/>
        <v xml:space="preserve"> =&lt;90</v>
      </c>
      <c r="AL3363" s="1" t="str">
        <f>VLOOKUP(C:C,[1]基础信息!B$1:D$65536,3,0)</f>
        <v>Hotcup</v>
      </c>
      <c r="AM3363" s="1" t="str">
        <f>VLOOKUP(C:C,[1]基础信息!B$1:E$65536,4,0)</f>
        <v>Hotcup</v>
      </c>
      <c r="AN3363" s="1" t="str">
        <f>VLOOKUP(C:C,[1]基础信息!B$1:F$65536,5,0)</f>
        <v>Silver</v>
      </c>
    </row>
    <row r="3364" spans="1:40">
      <c r="A3364" s="1" t="s">
        <v>41</v>
      </c>
      <c r="B3364" s="1" t="s">
        <v>42</v>
      </c>
      <c r="C3364" s="1" t="s">
        <v>451</v>
      </c>
      <c r="D3364" s="1" t="s">
        <v>452</v>
      </c>
      <c r="E3364" s="1" t="s">
        <v>45</v>
      </c>
      <c r="F3364" s="1" t="s">
        <v>7709</v>
      </c>
      <c r="G3364" s="1" t="s">
        <v>7710</v>
      </c>
      <c r="H3364" s="1" t="s">
        <v>45</v>
      </c>
      <c r="I3364" s="1" t="s">
        <v>45</v>
      </c>
      <c r="J3364" s="1" t="s">
        <v>48</v>
      </c>
      <c r="K3364" s="1">
        <v>11</v>
      </c>
      <c r="L3364" s="1">
        <v>0</v>
      </c>
      <c r="M3364" s="1">
        <v>0</v>
      </c>
      <c r="N3364" s="1">
        <v>11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 t="s">
        <v>49</v>
      </c>
      <c r="AA3364" s="1" t="s">
        <v>49</v>
      </c>
      <c r="AB3364" s="1" t="s">
        <v>49</v>
      </c>
      <c r="AC3364" s="1" t="s">
        <v>7689</v>
      </c>
      <c r="AD3364" s="1" t="s">
        <v>7690</v>
      </c>
      <c r="AE3364" s="1" t="s">
        <v>7689</v>
      </c>
      <c r="AF3364" s="1" t="s">
        <v>7711</v>
      </c>
      <c r="AG3364" s="1" t="s">
        <v>53</v>
      </c>
      <c r="AH3364" s="1" t="s">
        <v>49</v>
      </c>
      <c r="AI3364" s="1" t="s">
        <v>54</v>
      </c>
      <c r="AJ3364" s="1">
        <v>1</v>
      </c>
      <c r="AK3364" s="1" t="str">
        <f t="shared" si="52"/>
        <v xml:space="preserve"> =&lt;90</v>
      </c>
      <c r="AL3364" s="1" t="str">
        <f>VLOOKUP(C:C,[1]基础信息!B$1:D$65536,3,0)</f>
        <v>UTS</v>
      </c>
      <c r="AM3364" s="1" t="str">
        <f>VLOOKUP(C:C,[1]基础信息!B$1:E$65536,4,0)</f>
        <v>MyPure</v>
      </c>
      <c r="AN3364" s="1" t="str">
        <f>VLOOKUP(C:C,[1]基础信息!B$1:F$65536,5,0)</f>
        <v>R8</v>
      </c>
    </row>
    <row r="3365" spans="1:40">
      <c r="A3365" s="1" t="s">
        <v>41</v>
      </c>
      <c r="B3365" s="1" t="s">
        <v>42</v>
      </c>
      <c r="C3365" s="1" t="s">
        <v>7704</v>
      </c>
      <c r="D3365" s="1" t="s">
        <v>7705</v>
      </c>
      <c r="E3365" s="1" t="s">
        <v>45</v>
      </c>
      <c r="F3365" s="1" t="s">
        <v>7706</v>
      </c>
      <c r="G3365" s="1" t="s">
        <v>7712</v>
      </c>
      <c r="H3365" s="1" t="s">
        <v>7713</v>
      </c>
      <c r="I3365" s="1" t="s">
        <v>49</v>
      </c>
      <c r="J3365" s="1" t="s">
        <v>48</v>
      </c>
      <c r="K3365" s="1">
        <v>36</v>
      </c>
      <c r="L3365" s="1">
        <v>0</v>
      </c>
      <c r="M3365" s="1">
        <v>0</v>
      </c>
      <c r="N3365" s="1">
        <v>36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 t="s">
        <v>49</v>
      </c>
      <c r="AA3365" s="1" t="s">
        <v>49</v>
      </c>
      <c r="AB3365" s="1" t="s">
        <v>49</v>
      </c>
      <c r="AC3365" s="1" t="s">
        <v>73</v>
      </c>
      <c r="AD3365" s="1" t="s">
        <v>74</v>
      </c>
      <c r="AE3365" s="1" t="s">
        <v>73</v>
      </c>
      <c r="AF3365" s="1" t="s">
        <v>82</v>
      </c>
      <c r="AG3365" s="1" t="s">
        <v>76</v>
      </c>
      <c r="AH3365" s="1" t="s">
        <v>49</v>
      </c>
      <c r="AI3365" s="1" t="s">
        <v>54</v>
      </c>
      <c r="AJ3365" s="1">
        <v>1</v>
      </c>
      <c r="AK3365" s="1" t="str">
        <f t="shared" si="52"/>
        <v xml:space="preserve"> =&lt;90</v>
      </c>
      <c r="AL3365" s="1" t="str">
        <f>VLOOKUP(C:C,[1]基础信息!B$1:D$65536,3,0)</f>
        <v>Hotcup</v>
      </c>
      <c r="AM3365" s="1" t="str">
        <f>VLOOKUP(C:C,[1]基础信息!B$1:E$65536,4,0)</f>
        <v>Hotcup</v>
      </c>
      <c r="AN3365" s="1" t="str">
        <f>VLOOKUP(C:C,[1]基础信息!B$1:F$65536,5,0)</f>
        <v>Silver</v>
      </c>
    </row>
    <row r="3366" spans="1:40">
      <c r="A3366" s="1" t="s">
        <v>41</v>
      </c>
      <c r="B3366" s="1" t="s">
        <v>42</v>
      </c>
      <c r="C3366" s="1" t="s">
        <v>451</v>
      </c>
      <c r="D3366" s="1" t="s">
        <v>452</v>
      </c>
      <c r="E3366" s="1" t="s">
        <v>45</v>
      </c>
      <c r="F3366" s="1" t="s">
        <v>7709</v>
      </c>
      <c r="G3366" s="1" t="s">
        <v>7714</v>
      </c>
      <c r="H3366" s="1" t="s">
        <v>45</v>
      </c>
      <c r="I3366" s="1" t="s">
        <v>45</v>
      </c>
      <c r="J3366" s="1" t="s">
        <v>48</v>
      </c>
      <c r="K3366" s="1">
        <v>20</v>
      </c>
      <c r="L3366" s="1">
        <v>0</v>
      </c>
      <c r="M3366" s="1">
        <v>0</v>
      </c>
      <c r="N3366" s="1">
        <v>20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 t="s">
        <v>49</v>
      </c>
      <c r="AA3366" s="1" t="s">
        <v>49</v>
      </c>
      <c r="AB3366" s="1" t="s">
        <v>49</v>
      </c>
      <c r="AC3366" s="1" t="s">
        <v>7689</v>
      </c>
      <c r="AD3366" s="1" t="s">
        <v>7690</v>
      </c>
      <c r="AE3366" s="1" t="s">
        <v>7689</v>
      </c>
      <c r="AF3366" s="1" t="s">
        <v>7711</v>
      </c>
      <c r="AG3366" s="1" t="s">
        <v>53</v>
      </c>
      <c r="AH3366" s="1" t="s">
        <v>49</v>
      </c>
      <c r="AI3366" s="1" t="s">
        <v>54</v>
      </c>
      <c r="AJ3366" s="1">
        <v>1</v>
      </c>
      <c r="AK3366" s="1" t="str">
        <f t="shared" si="52"/>
        <v xml:space="preserve"> =&lt;90</v>
      </c>
      <c r="AL3366" s="1" t="str">
        <f>VLOOKUP(C:C,[1]基础信息!B$1:D$65536,3,0)</f>
        <v>UTS</v>
      </c>
      <c r="AM3366" s="1" t="str">
        <f>VLOOKUP(C:C,[1]基础信息!B$1:E$65536,4,0)</f>
        <v>MyPure</v>
      </c>
      <c r="AN3366" s="1" t="str">
        <f>VLOOKUP(C:C,[1]基础信息!B$1:F$65536,5,0)</f>
        <v>R8</v>
      </c>
    </row>
    <row r="3367" spans="1:40">
      <c r="A3367" s="1" t="s">
        <v>41</v>
      </c>
      <c r="B3367" s="1" t="s">
        <v>42</v>
      </c>
      <c r="C3367" s="1" t="s">
        <v>7581</v>
      </c>
      <c r="D3367" s="1" t="s">
        <v>7582</v>
      </c>
      <c r="E3367" s="1" t="s">
        <v>45</v>
      </c>
      <c r="F3367" s="1" t="s">
        <v>7583</v>
      </c>
      <c r="G3367" s="1" t="s">
        <v>7715</v>
      </c>
      <c r="H3367" s="1" t="s">
        <v>7716</v>
      </c>
      <c r="I3367" s="1" t="s">
        <v>49</v>
      </c>
      <c r="J3367" s="1" t="s">
        <v>48</v>
      </c>
      <c r="K3367" s="1">
        <v>8</v>
      </c>
      <c r="L3367" s="1">
        <v>0</v>
      </c>
      <c r="M3367" s="1">
        <v>0</v>
      </c>
      <c r="N3367" s="1">
        <v>8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 t="s">
        <v>49</v>
      </c>
      <c r="AA3367" s="1" t="s">
        <v>49</v>
      </c>
      <c r="AB3367" s="1" t="s">
        <v>49</v>
      </c>
      <c r="AC3367" s="1" t="s">
        <v>3719</v>
      </c>
      <c r="AD3367" s="1" t="s">
        <v>3720</v>
      </c>
      <c r="AE3367" s="1" t="s">
        <v>3719</v>
      </c>
      <c r="AF3367" s="1" t="s">
        <v>7585</v>
      </c>
      <c r="AG3367" s="1" t="s">
        <v>53</v>
      </c>
      <c r="AH3367" s="1" t="s">
        <v>49</v>
      </c>
      <c r="AI3367" s="1" t="s">
        <v>54</v>
      </c>
      <c r="AJ3367" s="1">
        <v>1</v>
      </c>
      <c r="AK3367" s="1" t="str">
        <f t="shared" si="52"/>
        <v xml:space="preserve"> =&lt;90</v>
      </c>
      <c r="AL3367" s="1" t="e">
        <f>VLOOKUP(C:C,[1]基础信息!B$1:D$65536,3,0)</f>
        <v>#N/A</v>
      </c>
      <c r="AM3367" s="1" t="e">
        <f>VLOOKUP(C:C,[1]基础信息!B$1:E$65536,4,0)</f>
        <v>#N/A</v>
      </c>
      <c r="AN3367" s="1" t="e">
        <f>VLOOKUP(C:C,[1]基础信息!B$1:F$65536,5,0)</f>
        <v>#N/A</v>
      </c>
    </row>
    <row r="3368" spans="1:40">
      <c r="A3368" s="1" t="s">
        <v>41</v>
      </c>
      <c r="B3368" s="1" t="s">
        <v>42</v>
      </c>
      <c r="C3368" s="1" t="s">
        <v>7717</v>
      </c>
      <c r="D3368" s="1" t="s">
        <v>7718</v>
      </c>
      <c r="E3368" s="1" t="s">
        <v>45</v>
      </c>
      <c r="F3368" s="1" t="s">
        <v>7719</v>
      </c>
      <c r="G3368" s="1" t="s">
        <v>7720</v>
      </c>
      <c r="H3368" s="1" t="s">
        <v>7721</v>
      </c>
      <c r="I3368" s="1" t="s">
        <v>49</v>
      </c>
      <c r="J3368" s="1" t="s">
        <v>48</v>
      </c>
      <c r="K3368" s="1">
        <v>28</v>
      </c>
      <c r="L3368" s="1">
        <v>0</v>
      </c>
      <c r="M3368" s="1">
        <v>0</v>
      </c>
      <c r="N3368" s="1">
        <v>28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 t="s">
        <v>49</v>
      </c>
      <c r="AA3368" s="1" t="s">
        <v>49</v>
      </c>
      <c r="AB3368" s="1" t="s">
        <v>49</v>
      </c>
      <c r="AC3368" s="1" t="s">
        <v>7722</v>
      </c>
      <c r="AD3368" s="1" t="s">
        <v>7723</v>
      </c>
      <c r="AE3368" s="1" t="s">
        <v>7722</v>
      </c>
      <c r="AF3368" s="1" t="s">
        <v>7724</v>
      </c>
      <c r="AG3368" s="1" t="s">
        <v>53</v>
      </c>
      <c r="AH3368" s="1" t="s">
        <v>49</v>
      </c>
      <c r="AI3368" s="1" t="s">
        <v>54</v>
      </c>
      <c r="AJ3368" s="1">
        <v>1</v>
      </c>
      <c r="AK3368" s="1" t="str">
        <f t="shared" si="52"/>
        <v xml:space="preserve"> =&lt;90</v>
      </c>
      <c r="AL3368" s="1" t="str">
        <f>VLOOKUP(C:C,[1]基础信息!B$1:D$65536,3,0)</f>
        <v>Hotcup</v>
      </c>
      <c r="AM3368" s="1" t="str">
        <f>VLOOKUP(C:C,[1]基础信息!B$1:E$65536,4,0)</f>
        <v>Hotcup</v>
      </c>
      <c r="AN3368" s="1" t="str">
        <f>VLOOKUP(C:C,[1]基础信息!B$1:F$65536,5,0)</f>
        <v>Silver</v>
      </c>
    </row>
    <row r="3369" spans="1:40">
      <c r="A3369" s="1" t="s">
        <v>41</v>
      </c>
      <c r="B3369" s="1" t="s">
        <v>42</v>
      </c>
      <c r="C3369" s="1" t="s">
        <v>1004</v>
      </c>
      <c r="D3369" s="1" t="s">
        <v>1005</v>
      </c>
      <c r="E3369" s="1" t="s">
        <v>1004</v>
      </c>
      <c r="F3369" s="1" t="s">
        <v>1006</v>
      </c>
      <c r="G3369" s="1" t="s">
        <v>7725</v>
      </c>
      <c r="H3369" s="1" t="s">
        <v>45</v>
      </c>
      <c r="I3369" s="1" t="s">
        <v>45</v>
      </c>
      <c r="J3369" s="1" t="s">
        <v>48</v>
      </c>
      <c r="K3369" s="1">
        <v>32</v>
      </c>
      <c r="L3369" s="1">
        <v>0</v>
      </c>
      <c r="M3369" s="1">
        <v>0</v>
      </c>
      <c r="N3369" s="1">
        <v>32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 t="s">
        <v>49</v>
      </c>
      <c r="AA3369" s="1" t="s">
        <v>49</v>
      </c>
      <c r="AB3369" s="1" t="s">
        <v>49</v>
      </c>
      <c r="AC3369" s="1" t="s">
        <v>1008</v>
      </c>
      <c r="AD3369" s="1" t="s">
        <v>1009</v>
      </c>
      <c r="AE3369" s="1" t="s">
        <v>1008</v>
      </c>
      <c r="AF3369" s="1" t="s">
        <v>49</v>
      </c>
      <c r="AG3369" s="1" t="s">
        <v>53</v>
      </c>
      <c r="AH3369" s="1" t="s">
        <v>49</v>
      </c>
      <c r="AI3369" s="1" t="s">
        <v>54</v>
      </c>
      <c r="AJ3369" s="1">
        <v>1</v>
      </c>
      <c r="AK3369" s="1" t="str">
        <f t="shared" si="52"/>
        <v xml:space="preserve"> =&lt;90</v>
      </c>
      <c r="AL3369" s="1" t="str">
        <f>VLOOKUP(C:C,[1]基础信息!B$1:D$65536,3,0)</f>
        <v>UTS</v>
      </c>
      <c r="AM3369" s="1" t="str">
        <f>VLOOKUP(C:C,[1]基础信息!B$1:E$65536,4,0)</f>
        <v>MyPure</v>
      </c>
      <c r="AN3369" s="1" t="str">
        <f>VLOOKUP(C:C,[1]基础信息!B$1:F$65536,5,0)</f>
        <v>U5</v>
      </c>
    </row>
    <row r="3370" spans="1:40">
      <c r="A3370" s="1" t="s">
        <v>41</v>
      </c>
      <c r="B3370" s="1" t="s">
        <v>42</v>
      </c>
      <c r="C3370" s="1" t="s">
        <v>7704</v>
      </c>
      <c r="D3370" s="1" t="s">
        <v>7705</v>
      </c>
      <c r="E3370" s="1" t="s">
        <v>45</v>
      </c>
      <c r="F3370" s="1" t="s">
        <v>7706</v>
      </c>
      <c r="G3370" s="1" t="s">
        <v>7726</v>
      </c>
      <c r="H3370" s="1" t="s">
        <v>7727</v>
      </c>
      <c r="I3370" s="1" t="s">
        <v>49</v>
      </c>
      <c r="J3370" s="1" t="s">
        <v>48</v>
      </c>
      <c r="K3370" s="1">
        <v>36</v>
      </c>
      <c r="L3370" s="1">
        <v>0</v>
      </c>
      <c r="M3370" s="1">
        <v>0</v>
      </c>
      <c r="N3370" s="1">
        <v>36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 t="s">
        <v>49</v>
      </c>
      <c r="AA3370" s="1" t="s">
        <v>49</v>
      </c>
      <c r="AB3370" s="1" t="s">
        <v>49</v>
      </c>
      <c r="AC3370" s="1" t="s">
        <v>73</v>
      </c>
      <c r="AD3370" s="1" t="s">
        <v>74</v>
      </c>
      <c r="AE3370" s="1" t="s">
        <v>73</v>
      </c>
      <c r="AF3370" s="1" t="s">
        <v>82</v>
      </c>
      <c r="AG3370" s="1" t="s">
        <v>76</v>
      </c>
      <c r="AH3370" s="1" t="s">
        <v>49</v>
      </c>
      <c r="AI3370" s="1" t="s">
        <v>54</v>
      </c>
      <c r="AJ3370" s="1">
        <v>1</v>
      </c>
      <c r="AK3370" s="1" t="str">
        <f t="shared" si="52"/>
        <v xml:space="preserve"> =&lt;90</v>
      </c>
      <c r="AL3370" s="1" t="str">
        <f>VLOOKUP(C:C,[1]基础信息!B$1:D$65536,3,0)</f>
        <v>Hotcup</v>
      </c>
      <c r="AM3370" s="1" t="str">
        <f>VLOOKUP(C:C,[1]基础信息!B$1:E$65536,4,0)</f>
        <v>Hotcup</v>
      </c>
      <c r="AN3370" s="1" t="str">
        <f>VLOOKUP(C:C,[1]基础信息!B$1:F$65536,5,0)</f>
        <v>Silver</v>
      </c>
    </row>
    <row r="3371" spans="1:40">
      <c r="A3371" s="1" t="s">
        <v>41</v>
      </c>
      <c r="B3371" s="1" t="s">
        <v>42</v>
      </c>
      <c r="C3371" s="1" t="s">
        <v>1004</v>
      </c>
      <c r="D3371" s="1" t="s">
        <v>1005</v>
      </c>
      <c r="E3371" s="1" t="s">
        <v>1004</v>
      </c>
      <c r="F3371" s="1" t="s">
        <v>1006</v>
      </c>
      <c r="G3371" s="1" t="s">
        <v>7728</v>
      </c>
      <c r="H3371" s="1" t="s">
        <v>45</v>
      </c>
      <c r="I3371" s="1" t="s">
        <v>45</v>
      </c>
      <c r="J3371" s="1" t="s">
        <v>48</v>
      </c>
      <c r="K3371" s="1">
        <v>2</v>
      </c>
      <c r="L3371" s="1">
        <v>0</v>
      </c>
      <c r="M3371" s="1">
        <v>0</v>
      </c>
      <c r="N3371" s="1">
        <v>2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 t="s">
        <v>49</v>
      </c>
      <c r="AA3371" s="1" t="s">
        <v>49</v>
      </c>
      <c r="AB3371" s="1" t="s">
        <v>49</v>
      </c>
      <c r="AC3371" s="1" t="s">
        <v>1008</v>
      </c>
      <c r="AD3371" s="1" t="s">
        <v>1009</v>
      </c>
      <c r="AE3371" s="1" t="s">
        <v>1008</v>
      </c>
      <c r="AF3371" s="1" t="s">
        <v>49</v>
      </c>
      <c r="AG3371" s="1" t="s">
        <v>53</v>
      </c>
      <c r="AH3371" s="1" t="s">
        <v>49</v>
      </c>
      <c r="AI3371" s="1" t="s">
        <v>54</v>
      </c>
      <c r="AJ3371" s="1">
        <v>1</v>
      </c>
      <c r="AK3371" s="1" t="str">
        <f t="shared" si="52"/>
        <v xml:space="preserve"> =&lt;90</v>
      </c>
      <c r="AL3371" s="1" t="str">
        <f>VLOOKUP(C:C,[1]基础信息!B$1:D$65536,3,0)</f>
        <v>UTS</v>
      </c>
      <c r="AM3371" s="1" t="str">
        <f>VLOOKUP(C:C,[1]基础信息!B$1:E$65536,4,0)</f>
        <v>MyPure</v>
      </c>
      <c r="AN3371" s="1" t="str">
        <f>VLOOKUP(C:C,[1]基础信息!B$1:F$65536,5,0)</f>
        <v>U5</v>
      </c>
    </row>
    <row r="3372" spans="1:40">
      <c r="A3372" s="1" t="s">
        <v>41</v>
      </c>
      <c r="B3372" s="1" t="s">
        <v>42</v>
      </c>
      <c r="C3372" s="1" t="s">
        <v>7704</v>
      </c>
      <c r="D3372" s="1" t="s">
        <v>7705</v>
      </c>
      <c r="E3372" s="1" t="s">
        <v>45</v>
      </c>
      <c r="F3372" s="1" t="s">
        <v>7706</v>
      </c>
      <c r="G3372" s="1" t="s">
        <v>7729</v>
      </c>
      <c r="H3372" s="1" t="s">
        <v>7730</v>
      </c>
      <c r="I3372" s="1" t="s">
        <v>49</v>
      </c>
      <c r="J3372" s="1" t="s">
        <v>48</v>
      </c>
      <c r="K3372" s="1">
        <v>36</v>
      </c>
      <c r="L3372" s="1">
        <v>0</v>
      </c>
      <c r="M3372" s="1">
        <v>0</v>
      </c>
      <c r="N3372" s="1">
        <v>36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 t="s">
        <v>49</v>
      </c>
      <c r="AA3372" s="1" t="s">
        <v>49</v>
      </c>
      <c r="AB3372" s="1" t="s">
        <v>49</v>
      </c>
      <c r="AC3372" s="1" t="s">
        <v>73</v>
      </c>
      <c r="AD3372" s="1" t="s">
        <v>74</v>
      </c>
      <c r="AE3372" s="1" t="s">
        <v>73</v>
      </c>
      <c r="AF3372" s="1" t="s">
        <v>82</v>
      </c>
      <c r="AG3372" s="1" t="s">
        <v>76</v>
      </c>
      <c r="AH3372" s="1" t="s">
        <v>49</v>
      </c>
      <c r="AI3372" s="1" t="s">
        <v>54</v>
      </c>
      <c r="AJ3372" s="1">
        <v>1</v>
      </c>
      <c r="AK3372" s="1" t="str">
        <f t="shared" si="52"/>
        <v xml:space="preserve"> =&lt;90</v>
      </c>
      <c r="AL3372" s="1" t="str">
        <f>VLOOKUP(C:C,[1]基础信息!B$1:D$65536,3,0)</f>
        <v>Hotcup</v>
      </c>
      <c r="AM3372" s="1" t="str">
        <f>VLOOKUP(C:C,[1]基础信息!B$1:E$65536,4,0)</f>
        <v>Hotcup</v>
      </c>
      <c r="AN3372" s="1" t="str">
        <f>VLOOKUP(C:C,[1]基础信息!B$1:F$65536,5,0)</f>
        <v>Silver</v>
      </c>
    </row>
    <row r="3373" spans="1:40">
      <c r="A3373" s="1" t="s">
        <v>41</v>
      </c>
      <c r="B3373" s="1" t="s">
        <v>42</v>
      </c>
      <c r="C3373" s="1" t="s">
        <v>403</v>
      </c>
      <c r="D3373" s="1" t="s">
        <v>404</v>
      </c>
      <c r="E3373" s="1" t="s">
        <v>403</v>
      </c>
      <c r="F3373" s="1" t="s">
        <v>7731</v>
      </c>
      <c r="G3373" s="1" t="s">
        <v>7732</v>
      </c>
      <c r="H3373" s="1" t="s">
        <v>45</v>
      </c>
      <c r="I3373" s="1" t="s">
        <v>45</v>
      </c>
      <c r="J3373" s="1" t="s">
        <v>48</v>
      </c>
      <c r="K3373" s="1">
        <v>2</v>
      </c>
      <c r="L3373" s="1">
        <v>0</v>
      </c>
      <c r="M3373" s="1">
        <v>0</v>
      </c>
      <c r="N3373" s="1">
        <v>2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 t="s">
        <v>49</v>
      </c>
      <c r="AA3373" s="1" t="s">
        <v>49</v>
      </c>
      <c r="AB3373" s="1" t="s">
        <v>49</v>
      </c>
      <c r="AC3373" s="1" t="s">
        <v>3098</v>
      </c>
      <c r="AD3373" s="1" t="s">
        <v>3099</v>
      </c>
      <c r="AE3373" s="1" t="s">
        <v>3098</v>
      </c>
      <c r="AF3373" s="1" t="s">
        <v>49</v>
      </c>
      <c r="AG3373" s="1" t="s">
        <v>76</v>
      </c>
      <c r="AH3373" s="1" t="s">
        <v>49</v>
      </c>
      <c r="AI3373" s="1" t="s">
        <v>54</v>
      </c>
      <c r="AJ3373" s="1">
        <v>0</v>
      </c>
      <c r="AK3373" s="1" t="str">
        <f t="shared" si="52"/>
        <v xml:space="preserve"> =&lt;90</v>
      </c>
      <c r="AL3373" s="1" t="str">
        <f>VLOOKUP(C:C,[1]基础信息!B$1:D$65536,3,0)</f>
        <v>UTS</v>
      </c>
      <c r="AM3373" s="1" t="str">
        <f>VLOOKUP(C:C,[1]基础信息!B$1:E$65536,4,0)</f>
        <v>MyPure Pro</v>
      </c>
      <c r="AN3373" s="1" t="str">
        <f>VLOOKUP(C:C,[1]基础信息!B$1:F$65536,5,0)</f>
        <v>Refill</v>
      </c>
    </row>
    <row r="3374" spans="1:40">
      <c r="A3374" s="1" t="s">
        <v>41</v>
      </c>
      <c r="B3374" s="1" t="s">
        <v>42</v>
      </c>
      <c r="C3374" s="1" t="s">
        <v>1116</v>
      </c>
      <c r="D3374" s="1" t="s">
        <v>1117</v>
      </c>
      <c r="E3374" s="1" t="s">
        <v>1116</v>
      </c>
      <c r="F3374" s="1" t="s">
        <v>7733</v>
      </c>
      <c r="G3374" s="1" t="s">
        <v>7732</v>
      </c>
      <c r="H3374" s="1" t="s">
        <v>45</v>
      </c>
      <c r="I3374" s="1" t="s">
        <v>45</v>
      </c>
      <c r="J3374" s="1" t="s">
        <v>48</v>
      </c>
      <c r="K3374" s="1">
        <v>1</v>
      </c>
      <c r="L3374" s="1">
        <v>0</v>
      </c>
      <c r="M3374" s="1">
        <v>0</v>
      </c>
      <c r="N3374" s="1">
        <v>1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 t="s">
        <v>49</v>
      </c>
      <c r="AA3374" s="1" t="s">
        <v>49</v>
      </c>
      <c r="AB3374" s="1" t="s">
        <v>49</v>
      </c>
      <c r="AC3374" s="1" t="s">
        <v>3098</v>
      </c>
      <c r="AD3374" s="1" t="s">
        <v>3099</v>
      </c>
      <c r="AE3374" s="1" t="s">
        <v>3098</v>
      </c>
      <c r="AF3374" s="1" t="s">
        <v>7734</v>
      </c>
      <c r="AG3374" s="1" t="s">
        <v>76</v>
      </c>
      <c r="AH3374" s="1" t="s">
        <v>49</v>
      </c>
      <c r="AI3374" s="1" t="s">
        <v>54</v>
      </c>
      <c r="AJ3374" s="1">
        <v>0</v>
      </c>
      <c r="AK3374" s="1" t="str">
        <f t="shared" si="52"/>
        <v xml:space="preserve"> =&lt;90</v>
      </c>
      <c r="AL3374" s="1" t="str">
        <f>VLOOKUP(C:C,[1]基础信息!B$1:D$65536,3,0)</f>
        <v>UTS</v>
      </c>
      <c r="AM3374" s="1" t="str">
        <f>VLOOKUP(C:C,[1]基础信息!B$1:E$65536,4,0)</f>
        <v>MyPure Pro</v>
      </c>
      <c r="AN3374" s="1" t="str">
        <f>VLOOKUP(C:C,[1]基础信息!B$1:F$65536,5,0)</f>
        <v>Refill</v>
      </c>
    </row>
    <row r="3375" spans="1:40">
      <c r="A3375" s="1" t="s">
        <v>41</v>
      </c>
      <c r="B3375" s="1" t="s">
        <v>42</v>
      </c>
      <c r="C3375" s="1" t="s">
        <v>5076</v>
      </c>
      <c r="D3375" s="1" t="s">
        <v>5077</v>
      </c>
      <c r="E3375" s="1" t="s">
        <v>5076</v>
      </c>
      <c r="F3375" s="1" t="s">
        <v>7735</v>
      </c>
      <c r="G3375" s="1" t="s">
        <v>7732</v>
      </c>
      <c r="H3375" s="1" t="s">
        <v>45</v>
      </c>
      <c r="I3375" s="1" t="s">
        <v>45</v>
      </c>
      <c r="J3375" s="1" t="s">
        <v>48</v>
      </c>
      <c r="K3375" s="1">
        <v>24</v>
      </c>
      <c r="L3375" s="1">
        <v>0</v>
      </c>
      <c r="M3375" s="1">
        <v>0</v>
      </c>
      <c r="N3375" s="1">
        <v>24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 t="s">
        <v>49</v>
      </c>
      <c r="AA3375" s="1" t="s">
        <v>49</v>
      </c>
      <c r="AB3375" s="1" t="s">
        <v>49</v>
      </c>
      <c r="AC3375" s="1" t="s">
        <v>3098</v>
      </c>
      <c r="AD3375" s="1" t="s">
        <v>3099</v>
      </c>
      <c r="AE3375" s="1" t="s">
        <v>3098</v>
      </c>
      <c r="AF3375" s="1" t="s">
        <v>7736</v>
      </c>
      <c r="AG3375" s="1" t="s">
        <v>76</v>
      </c>
      <c r="AH3375" s="1" t="s">
        <v>49</v>
      </c>
      <c r="AI3375" s="1" t="s">
        <v>54</v>
      </c>
      <c r="AJ3375" s="1">
        <v>0</v>
      </c>
      <c r="AK3375" s="1" t="str">
        <f t="shared" si="52"/>
        <v xml:space="preserve"> =&lt;90</v>
      </c>
      <c r="AL3375" s="1" t="str">
        <f>VLOOKUP(C:C,[1]基础信息!B$1:D$65536,3,0)</f>
        <v>UTS</v>
      </c>
      <c r="AM3375" s="1" t="str">
        <f>VLOOKUP(C:C,[1]基础信息!B$1:E$65536,4,0)</f>
        <v>MyPure Pro</v>
      </c>
      <c r="AN3375" s="1" t="str">
        <f>VLOOKUP(C:C,[1]基础信息!B$1:F$65536,5,0)</f>
        <v>Refill</v>
      </c>
    </row>
    <row r="3376" spans="1:40">
      <c r="A3376" s="1" t="s">
        <v>41</v>
      </c>
      <c r="B3376" s="1" t="s">
        <v>42</v>
      </c>
      <c r="C3376" s="1" t="s">
        <v>5076</v>
      </c>
      <c r="D3376" s="1" t="s">
        <v>5077</v>
      </c>
      <c r="E3376" s="1" t="s">
        <v>5076</v>
      </c>
      <c r="F3376" s="1" t="s">
        <v>7737</v>
      </c>
      <c r="G3376" s="1" t="s">
        <v>7732</v>
      </c>
      <c r="H3376" s="1" t="s">
        <v>45</v>
      </c>
      <c r="I3376" s="1" t="s">
        <v>45</v>
      </c>
      <c r="J3376" s="1" t="s">
        <v>48</v>
      </c>
      <c r="K3376" s="1">
        <v>1</v>
      </c>
      <c r="L3376" s="1">
        <v>0</v>
      </c>
      <c r="M3376" s="1">
        <v>0</v>
      </c>
      <c r="N3376" s="1">
        <v>1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 t="s">
        <v>49</v>
      </c>
      <c r="AA3376" s="1" t="s">
        <v>49</v>
      </c>
      <c r="AB3376" s="1" t="s">
        <v>49</v>
      </c>
      <c r="AC3376" s="1" t="s">
        <v>3098</v>
      </c>
      <c r="AD3376" s="1" t="s">
        <v>3099</v>
      </c>
      <c r="AE3376" s="1" t="s">
        <v>3098</v>
      </c>
      <c r="AF3376" s="1" t="s">
        <v>7738</v>
      </c>
      <c r="AG3376" s="1" t="s">
        <v>76</v>
      </c>
      <c r="AH3376" s="1" t="s">
        <v>49</v>
      </c>
      <c r="AI3376" s="1" t="s">
        <v>54</v>
      </c>
      <c r="AJ3376" s="1">
        <v>1</v>
      </c>
      <c r="AK3376" s="1" t="str">
        <f t="shared" si="52"/>
        <v xml:space="preserve"> =&lt;90</v>
      </c>
      <c r="AL3376" s="1" t="str">
        <f>VLOOKUP(C:C,[1]基础信息!B$1:D$65536,3,0)</f>
        <v>UTS</v>
      </c>
      <c r="AM3376" s="1" t="str">
        <f>VLOOKUP(C:C,[1]基础信息!B$1:E$65536,4,0)</f>
        <v>MyPure Pro</v>
      </c>
      <c r="AN3376" s="1" t="str">
        <f>VLOOKUP(C:C,[1]基础信息!B$1:F$65536,5,0)</f>
        <v>Refill</v>
      </c>
    </row>
    <row r="3377" spans="1:40">
      <c r="A3377" s="1" t="s">
        <v>41</v>
      </c>
      <c r="B3377" s="1" t="s">
        <v>42</v>
      </c>
      <c r="C3377" s="1" t="s">
        <v>7704</v>
      </c>
      <c r="D3377" s="1" t="s">
        <v>7705</v>
      </c>
      <c r="E3377" s="1" t="s">
        <v>45</v>
      </c>
      <c r="F3377" s="1" t="s">
        <v>7706</v>
      </c>
      <c r="G3377" s="1" t="s">
        <v>7739</v>
      </c>
      <c r="H3377" s="1" t="s">
        <v>7740</v>
      </c>
      <c r="I3377" s="1" t="s">
        <v>49</v>
      </c>
      <c r="J3377" s="1" t="s">
        <v>48</v>
      </c>
      <c r="K3377" s="1">
        <v>36</v>
      </c>
      <c r="L3377" s="1">
        <v>0</v>
      </c>
      <c r="M3377" s="1">
        <v>0</v>
      </c>
      <c r="N3377" s="1">
        <v>36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 t="s">
        <v>49</v>
      </c>
      <c r="AA3377" s="1" t="s">
        <v>49</v>
      </c>
      <c r="AB3377" s="1" t="s">
        <v>49</v>
      </c>
      <c r="AC3377" s="1" t="s">
        <v>73</v>
      </c>
      <c r="AD3377" s="1" t="s">
        <v>74</v>
      </c>
      <c r="AE3377" s="1" t="s">
        <v>73</v>
      </c>
      <c r="AF3377" s="1" t="s">
        <v>82</v>
      </c>
      <c r="AG3377" s="1" t="s">
        <v>76</v>
      </c>
      <c r="AH3377" s="1" t="s">
        <v>49</v>
      </c>
      <c r="AI3377" s="1" t="s">
        <v>54</v>
      </c>
      <c r="AJ3377" s="1">
        <v>1</v>
      </c>
      <c r="AK3377" s="1" t="str">
        <f t="shared" si="52"/>
        <v xml:space="preserve"> =&lt;90</v>
      </c>
      <c r="AL3377" s="1" t="str">
        <f>VLOOKUP(C:C,[1]基础信息!B$1:D$65536,3,0)</f>
        <v>Hotcup</v>
      </c>
      <c r="AM3377" s="1" t="str">
        <f>VLOOKUP(C:C,[1]基础信息!B$1:E$65536,4,0)</f>
        <v>Hotcup</v>
      </c>
      <c r="AN3377" s="1" t="str">
        <f>VLOOKUP(C:C,[1]基础信息!B$1:F$65536,5,0)</f>
        <v>Silver</v>
      </c>
    </row>
    <row r="3378" spans="1:40">
      <c r="A3378" s="1" t="s">
        <v>41</v>
      </c>
      <c r="B3378" s="1" t="s">
        <v>42</v>
      </c>
      <c r="C3378" s="1" t="s">
        <v>1437</v>
      </c>
      <c r="D3378" s="1" t="s">
        <v>1438</v>
      </c>
      <c r="E3378" s="1" t="s">
        <v>45</v>
      </c>
      <c r="F3378" s="1" t="s">
        <v>7741</v>
      </c>
      <c r="G3378" s="1" t="s">
        <v>7742</v>
      </c>
      <c r="H3378" s="1" t="s">
        <v>45</v>
      </c>
      <c r="I3378" s="1" t="s">
        <v>45</v>
      </c>
      <c r="J3378" s="1" t="s">
        <v>48</v>
      </c>
      <c r="K3378" s="1">
        <v>26</v>
      </c>
      <c r="L3378" s="1">
        <v>0</v>
      </c>
      <c r="M3378" s="1">
        <v>0</v>
      </c>
      <c r="N3378" s="1">
        <v>26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 t="s">
        <v>49</v>
      </c>
      <c r="AA3378" s="1" t="s">
        <v>49</v>
      </c>
      <c r="AB3378" s="1" t="s">
        <v>49</v>
      </c>
      <c r="AC3378" s="1" t="s">
        <v>7743</v>
      </c>
      <c r="AD3378" s="1" t="s">
        <v>7744</v>
      </c>
      <c r="AE3378" s="1" t="s">
        <v>7743</v>
      </c>
      <c r="AF3378" s="1" t="s">
        <v>49</v>
      </c>
      <c r="AG3378" s="1" t="s">
        <v>76</v>
      </c>
      <c r="AH3378" s="1" t="s">
        <v>49</v>
      </c>
      <c r="AI3378" s="1" t="s">
        <v>54</v>
      </c>
      <c r="AJ3378" s="1">
        <v>1</v>
      </c>
      <c r="AK3378" s="1" t="str">
        <f t="shared" si="52"/>
        <v xml:space="preserve"> =&lt;90</v>
      </c>
      <c r="AL3378" s="1" t="str">
        <f>VLOOKUP(C:C,[1]基础信息!B$1:D$65536,3,0)</f>
        <v>On tap</v>
      </c>
      <c r="AM3378" s="1" t="str">
        <f>VLOOKUP(C:C,[1]基础信息!B$1:E$65536,4,0)</f>
        <v>On tap</v>
      </c>
      <c r="AN3378" s="1" t="str">
        <f>VLOOKUP(C:C,[1]基础信息!B$1:F$65536,5,0)</f>
        <v>On tap</v>
      </c>
    </row>
    <row r="3379" spans="1:40">
      <c r="A3379" s="1" t="s">
        <v>41</v>
      </c>
      <c r="B3379" s="1" t="s">
        <v>42</v>
      </c>
      <c r="C3379" s="1" t="s">
        <v>240</v>
      </c>
      <c r="D3379" s="1" t="s">
        <v>241</v>
      </c>
      <c r="E3379" s="1" t="s">
        <v>45</v>
      </c>
      <c r="F3379" s="1" t="s">
        <v>7745</v>
      </c>
      <c r="G3379" s="1" t="s">
        <v>7746</v>
      </c>
      <c r="H3379" s="1" t="s">
        <v>45</v>
      </c>
      <c r="I3379" s="1" t="s">
        <v>45</v>
      </c>
      <c r="J3379" s="1" t="s">
        <v>48</v>
      </c>
      <c r="K3379" s="1">
        <v>5</v>
      </c>
      <c r="L3379" s="1">
        <v>0</v>
      </c>
      <c r="M3379" s="1">
        <v>0</v>
      </c>
      <c r="N3379" s="1">
        <v>5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 t="s">
        <v>49</v>
      </c>
      <c r="AA3379" s="1" t="s">
        <v>49</v>
      </c>
      <c r="AB3379" s="1" t="s">
        <v>49</v>
      </c>
      <c r="AC3379" s="1" t="s">
        <v>6911</v>
      </c>
      <c r="AD3379" s="1" t="s">
        <v>6938</v>
      </c>
      <c r="AE3379" s="1" t="s">
        <v>6911</v>
      </c>
      <c r="AF3379" s="1" t="s">
        <v>49</v>
      </c>
      <c r="AG3379" s="1" t="s">
        <v>7747</v>
      </c>
      <c r="AH3379" s="1" t="s">
        <v>49</v>
      </c>
      <c r="AI3379" s="1" t="s">
        <v>54</v>
      </c>
      <c r="AJ3379" s="1">
        <v>0</v>
      </c>
      <c r="AK3379" s="1" t="str">
        <f t="shared" si="52"/>
        <v xml:space="preserve"> =&lt;90</v>
      </c>
      <c r="AL3379" s="1" t="str">
        <f>VLOOKUP(C:C,[1]基础信息!B$1:D$65536,3,0)</f>
        <v>UTS</v>
      </c>
      <c r="AM3379" s="1" t="str">
        <f>VLOOKUP(C:C,[1]基础信息!B$1:E$65536,4,0)</f>
        <v>MyPure Pro</v>
      </c>
      <c r="AN3379" s="1" t="str">
        <f>VLOOKUP(C:C,[1]基础信息!B$1:F$65536,5,0)</f>
        <v>X6</v>
      </c>
    </row>
    <row r="3380" spans="1:40">
      <c r="A3380" s="1" t="s">
        <v>41</v>
      </c>
      <c r="B3380" s="1" t="s">
        <v>42</v>
      </c>
      <c r="C3380" s="1" t="s">
        <v>5105</v>
      </c>
      <c r="D3380" s="1" t="s">
        <v>5106</v>
      </c>
      <c r="E3380" s="1" t="s">
        <v>5105</v>
      </c>
      <c r="F3380" s="1" t="s">
        <v>7748</v>
      </c>
      <c r="G3380" s="1" t="s">
        <v>7746</v>
      </c>
      <c r="H3380" s="1" t="s">
        <v>45</v>
      </c>
      <c r="I3380" s="1" t="s">
        <v>45</v>
      </c>
      <c r="J3380" s="1" t="s">
        <v>48</v>
      </c>
      <c r="K3380" s="1">
        <v>2</v>
      </c>
      <c r="L3380" s="1">
        <v>0</v>
      </c>
      <c r="M3380" s="1">
        <v>0</v>
      </c>
      <c r="N3380" s="1">
        <v>2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 t="s">
        <v>49</v>
      </c>
      <c r="AA3380" s="1" t="s">
        <v>49</v>
      </c>
      <c r="AB3380" s="1" t="s">
        <v>49</v>
      </c>
      <c r="AC3380" s="1" t="s">
        <v>6911</v>
      </c>
      <c r="AD3380" s="1" t="s">
        <v>6938</v>
      </c>
      <c r="AE3380" s="1" t="s">
        <v>6911</v>
      </c>
      <c r="AF3380" s="1" t="s">
        <v>49</v>
      </c>
      <c r="AG3380" s="1" t="s">
        <v>7747</v>
      </c>
      <c r="AH3380" s="1" t="s">
        <v>49</v>
      </c>
      <c r="AI3380" s="1" t="s">
        <v>54</v>
      </c>
      <c r="AJ3380" s="1">
        <v>0</v>
      </c>
      <c r="AK3380" s="1" t="str">
        <f t="shared" si="52"/>
        <v xml:space="preserve"> =&lt;90</v>
      </c>
      <c r="AL3380" s="1" t="str">
        <f>VLOOKUP(C:C,[1]基础信息!B$1:D$65536,3,0)</f>
        <v>UTS</v>
      </c>
      <c r="AM3380" s="1" t="str">
        <f>VLOOKUP(C:C,[1]基础信息!B$1:E$65536,4,0)</f>
        <v>MyPure Pro</v>
      </c>
      <c r="AN3380" s="1" t="str">
        <f>VLOOKUP(C:C,[1]基础信息!B$1:F$65536,5,0)</f>
        <v>X3</v>
      </c>
    </row>
    <row r="3381" spans="1:40">
      <c r="A3381" s="1" t="s">
        <v>41</v>
      </c>
      <c r="B3381" s="1" t="s">
        <v>42</v>
      </c>
      <c r="C3381" s="1" t="s">
        <v>4245</v>
      </c>
      <c r="D3381" s="1" t="s">
        <v>4246</v>
      </c>
      <c r="E3381" s="1" t="s">
        <v>4245</v>
      </c>
      <c r="F3381" s="1" t="s">
        <v>7749</v>
      </c>
      <c r="G3381" s="1" t="s">
        <v>7746</v>
      </c>
      <c r="H3381" s="1" t="s">
        <v>45</v>
      </c>
      <c r="I3381" s="1" t="s">
        <v>45</v>
      </c>
      <c r="J3381" s="1" t="s">
        <v>48</v>
      </c>
      <c r="K3381" s="1">
        <v>1</v>
      </c>
      <c r="L3381" s="1">
        <v>0</v>
      </c>
      <c r="M3381" s="1">
        <v>0</v>
      </c>
      <c r="N3381" s="1">
        <v>1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 t="s">
        <v>49</v>
      </c>
      <c r="AA3381" s="1" t="s">
        <v>49</v>
      </c>
      <c r="AB3381" s="1" t="s">
        <v>49</v>
      </c>
      <c r="AC3381" s="1" t="s">
        <v>6911</v>
      </c>
      <c r="AD3381" s="1" t="s">
        <v>6938</v>
      </c>
      <c r="AE3381" s="1" t="s">
        <v>6911</v>
      </c>
      <c r="AF3381" s="1" t="s">
        <v>49</v>
      </c>
      <c r="AG3381" s="1" t="s">
        <v>7747</v>
      </c>
      <c r="AH3381" s="1" t="s">
        <v>49</v>
      </c>
      <c r="AI3381" s="1" t="s">
        <v>54</v>
      </c>
      <c r="AJ3381" s="1">
        <v>0</v>
      </c>
      <c r="AK3381" s="1" t="str">
        <f t="shared" si="52"/>
        <v xml:space="preserve"> =&lt;90</v>
      </c>
      <c r="AL3381" s="1" t="str">
        <f>VLOOKUP(C:C,[1]基础信息!B$1:D$65536,3,0)</f>
        <v>UTS</v>
      </c>
      <c r="AM3381" s="1" t="str">
        <f>VLOOKUP(C:C,[1]基础信息!B$1:E$65536,4,0)</f>
        <v>MyPure Pro</v>
      </c>
      <c r="AN3381" s="1" t="str">
        <f>VLOOKUP(C:C,[1]基础信息!B$1:F$65536,5,0)</f>
        <v>X9</v>
      </c>
    </row>
    <row r="3382" spans="1:40">
      <c r="A3382" s="1" t="s">
        <v>41</v>
      </c>
      <c r="B3382" s="1" t="s">
        <v>42</v>
      </c>
      <c r="C3382" s="1" t="s">
        <v>5076</v>
      </c>
      <c r="D3382" s="1" t="s">
        <v>5077</v>
      </c>
      <c r="E3382" s="1" t="s">
        <v>5076</v>
      </c>
      <c r="F3382" s="1" t="s">
        <v>7750</v>
      </c>
      <c r="G3382" s="1" t="s">
        <v>7746</v>
      </c>
      <c r="H3382" s="1" t="s">
        <v>45</v>
      </c>
      <c r="I3382" s="1" t="s">
        <v>45</v>
      </c>
      <c r="J3382" s="1" t="s">
        <v>48</v>
      </c>
      <c r="K3382" s="1">
        <v>3</v>
      </c>
      <c r="L3382" s="1">
        <v>0</v>
      </c>
      <c r="M3382" s="1">
        <v>0</v>
      </c>
      <c r="N3382" s="1">
        <v>3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 t="s">
        <v>49</v>
      </c>
      <c r="AA3382" s="1" t="s">
        <v>49</v>
      </c>
      <c r="AB3382" s="1" t="s">
        <v>49</v>
      </c>
      <c r="AC3382" s="1" t="s">
        <v>6911</v>
      </c>
      <c r="AD3382" s="1" t="s">
        <v>6938</v>
      </c>
      <c r="AE3382" s="1" t="s">
        <v>6911</v>
      </c>
      <c r="AF3382" s="1" t="s">
        <v>49</v>
      </c>
      <c r="AG3382" s="1" t="s">
        <v>7747</v>
      </c>
      <c r="AH3382" s="1" t="s">
        <v>49</v>
      </c>
      <c r="AI3382" s="1" t="s">
        <v>54</v>
      </c>
      <c r="AJ3382" s="1">
        <v>1</v>
      </c>
      <c r="AK3382" s="1" t="str">
        <f t="shared" si="52"/>
        <v xml:space="preserve"> =&lt;90</v>
      </c>
      <c r="AL3382" s="1" t="str">
        <f>VLOOKUP(C:C,[1]基础信息!B$1:D$65536,3,0)</f>
        <v>UTS</v>
      </c>
      <c r="AM3382" s="1" t="str">
        <f>VLOOKUP(C:C,[1]基础信息!B$1:E$65536,4,0)</f>
        <v>MyPure Pro</v>
      </c>
      <c r="AN3382" s="1" t="str">
        <f>VLOOKUP(C:C,[1]基础信息!B$1:F$65536,5,0)</f>
        <v>Refill</v>
      </c>
    </row>
    <row r="3383" spans="1:40">
      <c r="A3383" s="1" t="s">
        <v>41</v>
      </c>
      <c r="B3383" s="1" t="s">
        <v>42</v>
      </c>
      <c r="C3383" s="1" t="s">
        <v>7586</v>
      </c>
      <c r="D3383" s="1" t="s">
        <v>7587</v>
      </c>
      <c r="E3383" s="1" t="s">
        <v>45</v>
      </c>
      <c r="F3383" s="1" t="s">
        <v>7751</v>
      </c>
      <c r="G3383" s="1" t="s">
        <v>7752</v>
      </c>
      <c r="H3383" s="1" t="s">
        <v>45</v>
      </c>
      <c r="I3383" s="1" t="s">
        <v>49</v>
      </c>
      <c r="J3383" s="1" t="s">
        <v>48</v>
      </c>
      <c r="K3383" s="1">
        <v>2</v>
      </c>
      <c r="L3383" s="1">
        <v>0</v>
      </c>
      <c r="M3383" s="1">
        <v>0</v>
      </c>
      <c r="N3383" s="1">
        <v>2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 t="s">
        <v>49</v>
      </c>
      <c r="AA3383" s="1" t="s">
        <v>49</v>
      </c>
      <c r="AB3383" s="1" t="s">
        <v>49</v>
      </c>
      <c r="AC3383" s="1" t="s">
        <v>204</v>
      </c>
      <c r="AD3383" s="1" t="s">
        <v>205</v>
      </c>
      <c r="AE3383" s="1" t="s">
        <v>204</v>
      </c>
      <c r="AF3383" s="1" t="s">
        <v>2771</v>
      </c>
      <c r="AG3383" s="1" t="s">
        <v>53</v>
      </c>
      <c r="AH3383" s="1" t="s">
        <v>49</v>
      </c>
      <c r="AI3383" s="1" t="s">
        <v>54</v>
      </c>
      <c r="AJ3383" s="1">
        <v>0</v>
      </c>
      <c r="AK3383" s="1" t="str">
        <f t="shared" si="52"/>
        <v xml:space="preserve"> =&lt;90</v>
      </c>
      <c r="AL3383" s="1" t="e">
        <f>VLOOKUP(C:C,[1]基础信息!B$1:D$65536,3,0)</f>
        <v>#N/A</v>
      </c>
      <c r="AM3383" s="1" t="e">
        <f>VLOOKUP(C:C,[1]基础信息!B$1:E$65536,4,0)</f>
        <v>#N/A</v>
      </c>
      <c r="AN3383" s="1" t="e">
        <f>VLOOKUP(C:C,[1]基础信息!B$1:F$65536,5,0)</f>
        <v>#N/A</v>
      </c>
    </row>
    <row r="3384" spans="1:40">
      <c r="A3384" s="1" t="s">
        <v>41</v>
      </c>
      <c r="B3384" s="1" t="s">
        <v>42</v>
      </c>
      <c r="C3384" s="1" t="s">
        <v>1366</v>
      </c>
      <c r="D3384" s="1" t="s">
        <v>1367</v>
      </c>
      <c r="E3384" s="1" t="s">
        <v>45</v>
      </c>
      <c r="F3384" s="1" t="s">
        <v>1368</v>
      </c>
      <c r="G3384" s="1" t="s">
        <v>7752</v>
      </c>
      <c r="H3384" s="1" t="s">
        <v>45</v>
      </c>
      <c r="I3384" s="1" t="s">
        <v>49</v>
      </c>
      <c r="J3384" s="1" t="s">
        <v>48</v>
      </c>
      <c r="K3384" s="1">
        <v>13</v>
      </c>
      <c r="L3384" s="1">
        <v>0</v>
      </c>
      <c r="M3384" s="1">
        <v>0</v>
      </c>
      <c r="N3384" s="1">
        <v>13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 t="s">
        <v>49</v>
      </c>
      <c r="AA3384" s="1" t="s">
        <v>49</v>
      </c>
      <c r="AB3384" s="1" t="s">
        <v>49</v>
      </c>
      <c r="AC3384" s="1" t="s">
        <v>204</v>
      </c>
      <c r="AD3384" s="1" t="s">
        <v>205</v>
      </c>
      <c r="AE3384" s="1" t="s">
        <v>204</v>
      </c>
      <c r="AF3384" s="1" t="s">
        <v>1371</v>
      </c>
      <c r="AG3384" s="1" t="s">
        <v>53</v>
      </c>
      <c r="AH3384" s="1" t="s">
        <v>49</v>
      </c>
      <c r="AI3384" s="1" t="s">
        <v>54</v>
      </c>
      <c r="AJ3384" s="1">
        <v>0</v>
      </c>
      <c r="AK3384" s="1" t="str">
        <f t="shared" si="52"/>
        <v xml:space="preserve"> =&lt;90</v>
      </c>
      <c r="AL3384" s="1" t="str">
        <f>VLOOKUP(C:C,[1]基础信息!B$1:D$65536,3,0)</f>
        <v>UTS</v>
      </c>
      <c r="AM3384" s="1" t="str">
        <f>VLOOKUP(C:C,[1]基础信息!B$1:E$65536,4,0)</f>
        <v>MyPure</v>
      </c>
      <c r="AN3384" s="1" t="str">
        <f>VLOOKUP(C:C,[1]基础信息!B$1:F$65536,5,0)</f>
        <v>Refill</v>
      </c>
    </row>
    <row r="3385" spans="1:40">
      <c r="A3385" s="1" t="s">
        <v>41</v>
      </c>
      <c r="B3385" s="1" t="s">
        <v>42</v>
      </c>
      <c r="C3385" s="1" t="s">
        <v>2760</v>
      </c>
      <c r="D3385" s="1" t="s">
        <v>2761</v>
      </c>
      <c r="E3385" s="1" t="s">
        <v>45</v>
      </c>
      <c r="F3385" s="1" t="s">
        <v>2762</v>
      </c>
      <c r="G3385" s="1" t="s">
        <v>7752</v>
      </c>
      <c r="H3385" s="1" t="s">
        <v>45</v>
      </c>
      <c r="I3385" s="1" t="s">
        <v>49</v>
      </c>
      <c r="J3385" s="1" t="s">
        <v>48</v>
      </c>
      <c r="K3385" s="1">
        <v>18</v>
      </c>
      <c r="L3385" s="1">
        <v>0</v>
      </c>
      <c r="M3385" s="1">
        <v>0</v>
      </c>
      <c r="N3385" s="1">
        <v>18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 t="s">
        <v>49</v>
      </c>
      <c r="AA3385" s="1" t="s">
        <v>49</v>
      </c>
      <c r="AB3385" s="1" t="s">
        <v>49</v>
      </c>
      <c r="AC3385" s="1" t="s">
        <v>204</v>
      </c>
      <c r="AD3385" s="1" t="s">
        <v>205</v>
      </c>
      <c r="AE3385" s="1" t="s">
        <v>204</v>
      </c>
      <c r="AF3385" s="1" t="s">
        <v>2765</v>
      </c>
      <c r="AG3385" s="1" t="s">
        <v>53</v>
      </c>
      <c r="AH3385" s="1" t="s">
        <v>49</v>
      </c>
      <c r="AI3385" s="1" t="s">
        <v>54</v>
      </c>
      <c r="AJ3385" s="1">
        <v>0</v>
      </c>
      <c r="AK3385" s="1" t="str">
        <f t="shared" si="52"/>
        <v xml:space="preserve"> =&lt;90</v>
      </c>
      <c r="AL3385" s="1" t="str">
        <f>VLOOKUP(C:C,[1]基础信息!B$1:D$65536,3,0)</f>
        <v>UTS</v>
      </c>
      <c r="AM3385" s="1" t="str">
        <f>VLOOKUP(C:C,[1]基础信息!B$1:E$65536,4,0)</f>
        <v>MyPure</v>
      </c>
      <c r="AN3385" s="1" t="str">
        <f>VLOOKUP(C:C,[1]基础信息!B$1:F$65536,5,0)</f>
        <v>Refill</v>
      </c>
    </row>
    <row r="3386" spans="1:40">
      <c r="A3386" s="1" t="s">
        <v>41</v>
      </c>
      <c r="B3386" s="1" t="s">
        <v>42</v>
      </c>
      <c r="C3386" s="1" t="s">
        <v>2628</v>
      </c>
      <c r="D3386" s="1" t="s">
        <v>2629</v>
      </c>
      <c r="E3386" s="1" t="s">
        <v>45</v>
      </c>
      <c r="F3386" s="1" t="s">
        <v>2768</v>
      </c>
      <c r="G3386" s="1" t="s">
        <v>7752</v>
      </c>
      <c r="H3386" s="1" t="s">
        <v>45</v>
      </c>
      <c r="I3386" s="1" t="s">
        <v>49</v>
      </c>
      <c r="J3386" s="1" t="s">
        <v>48</v>
      </c>
      <c r="K3386" s="1">
        <v>2</v>
      </c>
      <c r="L3386" s="1">
        <v>0</v>
      </c>
      <c r="M3386" s="1">
        <v>0</v>
      </c>
      <c r="N3386" s="1">
        <v>2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 t="s">
        <v>49</v>
      </c>
      <c r="AA3386" s="1" t="s">
        <v>49</v>
      </c>
      <c r="AB3386" s="1" t="s">
        <v>49</v>
      </c>
      <c r="AC3386" s="1" t="s">
        <v>204</v>
      </c>
      <c r="AD3386" s="1" t="s">
        <v>205</v>
      </c>
      <c r="AE3386" s="1" t="s">
        <v>204</v>
      </c>
      <c r="AF3386" s="1" t="s">
        <v>2771</v>
      </c>
      <c r="AG3386" s="1" t="s">
        <v>53</v>
      </c>
      <c r="AH3386" s="1" t="s">
        <v>49</v>
      </c>
      <c r="AI3386" s="1" t="s">
        <v>54</v>
      </c>
      <c r="AJ3386" s="1">
        <v>1</v>
      </c>
      <c r="AK3386" s="1" t="str">
        <f t="shared" si="52"/>
        <v xml:space="preserve"> =&lt;90</v>
      </c>
      <c r="AL3386" s="1" t="str">
        <f>VLOOKUP(C:C,[1]基础信息!B$1:D$65536,3,0)</f>
        <v>UTS</v>
      </c>
      <c r="AM3386" s="1" t="str">
        <f>VLOOKUP(C:C,[1]基础信息!B$1:E$65536,4,0)</f>
        <v>MyPure</v>
      </c>
      <c r="AN3386" s="1" t="str">
        <f>VLOOKUP(C:C,[1]基础信息!B$1:F$65536,5,0)</f>
        <v>Refill</v>
      </c>
    </row>
    <row r="3387" spans="1:40">
      <c r="A3387" s="1" t="s">
        <v>41</v>
      </c>
      <c r="B3387" s="1" t="s">
        <v>42</v>
      </c>
      <c r="C3387" s="1" t="s">
        <v>7704</v>
      </c>
      <c r="D3387" s="1" t="s">
        <v>7705</v>
      </c>
      <c r="E3387" s="1" t="s">
        <v>45</v>
      </c>
      <c r="F3387" s="1" t="s">
        <v>7706</v>
      </c>
      <c r="G3387" s="1" t="s">
        <v>7753</v>
      </c>
      <c r="H3387" s="1" t="s">
        <v>7754</v>
      </c>
      <c r="I3387" s="1" t="s">
        <v>49</v>
      </c>
      <c r="J3387" s="1" t="s">
        <v>48</v>
      </c>
      <c r="K3387" s="1">
        <v>36</v>
      </c>
      <c r="L3387" s="1">
        <v>0</v>
      </c>
      <c r="M3387" s="1">
        <v>0</v>
      </c>
      <c r="N3387" s="1">
        <v>36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 t="s">
        <v>49</v>
      </c>
      <c r="AA3387" s="1" t="s">
        <v>49</v>
      </c>
      <c r="AB3387" s="1" t="s">
        <v>49</v>
      </c>
      <c r="AC3387" s="1" t="s">
        <v>73</v>
      </c>
      <c r="AD3387" s="1" t="s">
        <v>74</v>
      </c>
      <c r="AE3387" s="1" t="s">
        <v>73</v>
      </c>
      <c r="AF3387" s="1" t="s">
        <v>82</v>
      </c>
      <c r="AG3387" s="1" t="s">
        <v>76</v>
      </c>
      <c r="AH3387" s="1" t="s">
        <v>49</v>
      </c>
      <c r="AI3387" s="1" t="s">
        <v>54</v>
      </c>
      <c r="AJ3387" s="1">
        <v>1</v>
      </c>
      <c r="AK3387" s="1" t="str">
        <f t="shared" si="52"/>
        <v xml:space="preserve"> =&lt;90</v>
      </c>
      <c r="AL3387" s="1" t="str">
        <f>VLOOKUP(C:C,[1]基础信息!B$1:D$65536,3,0)</f>
        <v>Hotcup</v>
      </c>
      <c r="AM3387" s="1" t="str">
        <f>VLOOKUP(C:C,[1]基础信息!B$1:E$65536,4,0)</f>
        <v>Hotcup</v>
      </c>
      <c r="AN3387" s="1" t="str">
        <f>VLOOKUP(C:C,[1]基础信息!B$1:F$65536,5,0)</f>
        <v>Silver</v>
      </c>
    </row>
    <row r="3388" spans="1:40">
      <c r="A3388" s="1" t="s">
        <v>41</v>
      </c>
      <c r="B3388" s="1" t="s">
        <v>42</v>
      </c>
      <c r="C3388" s="1" t="s">
        <v>7755</v>
      </c>
      <c r="D3388" s="1" t="s">
        <v>7756</v>
      </c>
      <c r="E3388" s="1" t="s">
        <v>45</v>
      </c>
      <c r="F3388" s="1" t="s">
        <v>7757</v>
      </c>
      <c r="G3388" s="1" t="s">
        <v>7758</v>
      </c>
      <c r="H3388" s="1" t="s">
        <v>45</v>
      </c>
      <c r="I3388" s="1" t="s">
        <v>45</v>
      </c>
      <c r="J3388" s="1" t="s">
        <v>48</v>
      </c>
      <c r="K3388" s="1">
        <v>4</v>
      </c>
      <c r="L3388" s="1">
        <v>0</v>
      </c>
      <c r="M3388" s="1">
        <v>0</v>
      </c>
      <c r="N3388" s="1">
        <v>4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 t="s">
        <v>49</v>
      </c>
      <c r="AA3388" s="1" t="s">
        <v>49</v>
      </c>
      <c r="AB3388" s="1" t="s">
        <v>49</v>
      </c>
      <c r="AC3388" s="1" t="s">
        <v>7759</v>
      </c>
      <c r="AD3388" s="1" t="s">
        <v>7760</v>
      </c>
      <c r="AE3388" s="1" t="s">
        <v>7759</v>
      </c>
      <c r="AF3388" s="1" t="s">
        <v>7761</v>
      </c>
      <c r="AG3388" s="1" t="s">
        <v>338</v>
      </c>
      <c r="AH3388" s="1" t="s">
        <v>49</v>
      </c>
      <c r="AI3388" s="1" t="s">
        <v>54</v>
      </c>
      <c r="AJ3388" s="1">
        <v>1</v>
      </c>
      <c r="AK3388" s="1" t="str">
        <f t="shared" si="52"/>
        <v xml:space="preserve"> =&lt;90</v>
      </c>
      <c r="AL3388" s="1" t="str">
        <f>VLOOKUP(C:C,[1]基础信息!B$1:D$65536,3,0)</f>
        <v xml:space="preserve">Cartridge </v>
      </c>
      <c r="AM3388" s="1" t="str">
        <f>VLOOKUP(C:C,[1]基础信息!B$1:E$65536,4,0)</f>
        <v>LM</v>
      </c>
      <c r="AN3388" s="1" t="str">
        <f>VLOOKUP(C:C,[1]基础信息!B$1:F$65536,5,0)</f>
        <v>P55</v>
      </c>
    </row>
    <row r="3389" spans="1:40">
      <c r="A3389" s="1" t="s">
        <v>41</v>
      </c>
      <c r="B3389" s="1" t="s">
        <v>42</v>
      </c>
      <c r="C3389" s="1" t="s">
        <v>7762</v>
      </c>
      <c r="D3389" s="1" t="s">
        <v>7763</v>
      </c>
      <c r="E3389" s="1" t="s">
        <v>45</v>
      </c>
      <c r="F3389" s="1" t="s">
        <v>7764</v>
      </c>
      <c r="G3389" s="1" t="s">
        <v>7765</v>
      </c>
      <c r="H3389" s="1" t="s">
        <v>7766</v>
      </c>
      <c r="I3389" s="1" t="s">
        <v>49</v>
      </c>
      <c r="J3389" s="1" t="s">
        <v>48</v>
      </c>
      <c r="K3389" s="1">
        <v>81</v>
      </c>
      <c r="L3389" s="1">
        <v>0</v>
      </c>
      <c r="M3389" s="1">
        <v>0</v>
      </c>
      <c r="N3389" s="1">
        <v>81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 t="s">
        <v>49</v>
      </c>
      <c r="AA3389" s="1" t="s">
        <v>49</v>
      </c>
      <c r="AB3389" s="1" t="s">
        <v>49</v>
      </c>
      <c r="AC3389" s="1" t="s">
        <v>7767</v>
      </c>
      <c r="AD3389" s="1" t="s">
        <v>3975</v>
      </c>
      <c r="AE3389" s="1" t="s">
        <v>7768</v>
      </c>
      <c r="AF3389" s="1" t="s">
        <v>7769</v>
      </c>
      <c r="AG3389" s="1" t="s">
        <v>53</v>
      </c>
      <c r="AH3389" s="1" t="s">
        <v>49</v>
      </c>
      <c r="AI3389" s="1" t="s">
        <v>54</v>
      </c>
      <c r="AJ3389" s="1">
        <v>1</v>
      </c>
      <c r="AK3389" s="1" t="str">
        <f t="shared" si="52"/>
        <v xml:space="preserve"> =&lt;90</v>
      </c>
      <c r="AL3389" s="1" t="e">
        <f>VLOOKUP(C:C,[1]基础信息!B$1:D$65536,3,0)</f>
        <v>#N/A</v>
      </c>
      <c r="AM3389" s="1" t="e">
        <f>VLOOKUP(C:C,[1]基础信息!B$1:E$65536,4,0)</f>
        <v>#N/A</v>
      </c>
      <c r="AN3389" s="1" t="e">
        <f>VLOOKUP(C:C,[1]基础信息!B$1:F$65536,5,0)</f>
        <v>#N/A</v>
      </c>
    </row>
    <row r="3390" spans="1:40">
      <c r="A3390" s="1" t="s">
        <v>41</v>
      </c>
      <c r="B3390" s="1" t="s">
        <v>42</v>
      </c>
      <c r="C3390" s="1" t="s">
        <v>4077</v>
      </c>
      <c r="D3390" s="1" t="s">
        <v>4078</v>
      </c>
      <c r="E3390" s="1" t="s">
        <v>45</v>
      </c>
      <c r="F3390" s="1" t="s">
        <v>4079</v>
      </c>
      <c r="G3390" s="1" t="s">
        <v>7770</v>
      </c>
      <c r="H3390" s="1" t="s">
        <v>7771</v>
      </c>
      <c r="I3390" s="1" t="s">
        <v>49</v>
      </c>
      <c r="J3390" s="1" t="s">
        <v>48</v>
      </c>
      <c r="K3390" s="1">
        <v>3</v>
      </c>
      <c r="L3390" s="1">
        <v>0</v>
      </c>
      <c r="M3390" s="1">
        <v>0</v>
      </c>
      <c r="N3390" s="1">
        <v>3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 t="s">
        <v>49</v>
      </c>
      <c r="AA3390" s="1" t="s">
        <v>49</v>
      </c>
      <c r="AB3390" s="1" t="s">
        <v>49</v>
      </c>
      <c r="AC3390" s="1" t="s">
        <v>2403</v>
      </c>
      <c r="AD3390" s="1" t="s">
        <v>2404</v>
      </c>
      <c r="AE3390" s="1" t="s">
        <v>2403</v>
      </c>
      <c r="AF3390" s="1" t="s">
        <v>4082</v>
      </c>
      <c r="AG3390" s="1" t="s">
        <v>53</v>
      </c>
      <c r="AH3390" s="1" t="s">
        <v>49</v>
      </c>
      <c r="AI3390" s="1" t="s">
        <v>54</v>
      </c>
      <c r="AJ3390" s="1">
        <v>1</v>
      </c>
      <c r="AK3390" s="1" t="str">
        <f t="shared" si="52"/>
        <v xml:space="preserve"> =&lt;90</v>
      </c>
      <c r="AL3390" s="1" t="str">
        <f>VLOOKUP(C:C,[1]基础信息!B$1:D$65536,3,0)</f>
        <v>UTS</v>
      </c>
      <c r="AM3390" s="1" t="str">
        <f>VLOOKUP(C:C,[1]基础信息!B$1:E$65536,4,0)</f>
        <v>RO</v>
      </c>
      <c r="AN3390" s="1" t="str">
        <f>VLOOKUP(C:C,[1]基础信息!B$1:F$65536,5,0)</f>
        <v>Starry Grey Color</v>
      </c>
    </row>
    <row r="3391" spans="1:40">
      <c r="A3391" s="1" t="s">
        <v>41</v>
      </c>
      <c r="B3391" s="1" t="s">
        <v>42</v>
      </c>
      <c r="C3391" s="1" t="s">
        <v>1183</v>
      </c>
      <c r="D3391" s="1" t="s">
        <v>1184</v>
      </c>
      <c r="E3391" s="1" t="s">
        <v>45</v>
      </c>
      <c r="F3391" s="1" t="s">
        <v>7772</v>
      </c>
      <c r="G3391" s="1" t="s">
        <v>7773</v>
      </c>
      <c r="H3391" s="1" t="s">
        <v>7774</v>
      </c>
      <c r="I3391" s="1" t="s">
        <v>49</v>
      </c>
      <c r="J3391" s="1" t="s">
        <v>48</v>
      </c>
      <c r="K3391" s="1">
        <v>5</v>
      </c>
      <c r="L3391" s="1">
        <v>1</v>
      </c>
      <c r="M3391" s="1">
        <v>0</v>
      </c>
      <c r="N3391" s="1">
        <v>4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 t="s">
        <v>49</v>
      </c>
      <c r="AA3391" s="1" t="s">
        <v>49</v>
      </c>
      <c r="AB3391" s="1" t="s">
        <v>49</v>
      </c>
      <c r="AC3391" s="1" t="s">
        <v>109</v>
      </c>
      <c r="AD3391" s="1" t="s">
        <v>110</v>
      </c>
      <c r="AE3391" s="1" t="s">
        <v>109</v>
      </c>
      <c r="AF3391" s="1" t="s">
        <v>3721</v>
      </c>
      <c r="AG3391" s="1" t="s">
        <v>53</v>
      </c>
      <c r="AH3391" s="1" t="s">
        <v>49</v>
      </c>
      <c r="AI3391" s="1" t="s">
        <v>54</v>
      </c>
      <c r="AJ3391" s="1">
        <v>1</v>
      </c>
      <c r="AK3391" s="1" t="str">
        <f t="shared" si="52"/>
        <v xml:space="preserve"> =&lt;90</v>
      </c>
      <c r="AL3391" s="1" t="e">
        <f>VLOOKUP(C:C,[1]基础信息!B$1:D$65536,3,0)</f>
        <v>#N/A</v>
      </c>
      <c r="AM3391" s="1" t="e">
        <f>VLOOKUP(C:C,[1]基础信息!B$1:E$65536,4,0)</f>
        <v>#N/A</v>
      </c>
      <c r="AN3391" s="1" t="e">
        <f>VLOOKUP(C:C,[1]基础信息!B$1:F$65536,5,0)</f>
        <v>#N/A</v>
      </c>
    </row>
    <row r="3392" spans="1:40">
      <c r="A3392" s="1" t="s">
        <v>41</v>
      </c>
      <c r="B3392" s="1" t="s">
        <v>42</v>
      </c>
      <c r="C3392" s="1" t="s">
        <v>1437</v>
      </c>
      <c r="D3392" s="1" t="s">
        <v>1438</v>
      </c>
      <c r="E3392" s="1" t="s">
        <v>45</v>
      </c>
      <c r="F3392" s="1" t="s">
        <v>7775</v>
      </c>
      <c r="G3392" s="1" t="s">
        <v>7776</v>
      </c>
      <c r="H3392" s="1" t="s">
        <v>45</v>
      </c>
      <c r="I3392" s="1" t="s">
        <v>45</v>
      </c>
      <c r="J3392" s="1" t="s">
        <v>48</v>
      </c>
      <c r="K3392" s="1">
        <v>11</v>
      </c>
      <c r="L3392" s="1">
        <v>0</v>
      </c>
      <c r="M3392" s="1">
        <v>0</v>
      </c>
      <c r="N3392" s="1">
        <v>11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 t="s">
        <v>49</v>
      </c>
      <c r="AA3392" s="1" t="s">
        <v>49</v>
      </c>
      <c r="AB3392" s="1" t="s">
        <v>49</v>
      </c>
      <c r="AC3392" s="1" t="s">
        <v>7777</v>
      </c>
      <c r="AD3392" s="1" t="s">
        <v>7778</v>
      </c>
      <c r="AE3392" s="1" t="s">
        <v>7777</v>
      </c>
      <c r="AF3392" s="1" t="s">
        <v>49</v>
      </c>
      <c r="AG3392" s="1" t="s">
        <v>76</v>
      </c>
      <c r="AH3392" s="1" t="s">
        <v>49</v>
      </c>
      <c r="AI3392" s="1" t="s">
        <v>54</v>
      </c>
      <c r="AJ3392" s="1">
        <v>1</v>
      </c>
      <c r="AK3392" s="1" t="str">
        <f t="shared" si="52"/>
        <v xml:space="preserve"> =&lt;90</v>
      </c>
      <c r="AL3392" s="1" t="str">
        <f>VLOOKUP(C:C,[1]基础信息!B$1:D$65536,3,0)</f>
        <v>On tap</v>
      </c>
      <c r="AM3392" s="1" t="str">
        <f>VLOOKUP(C:C,[1]基础信息!B$1:E$65536,4,0)</f>
        <v>On tap</v>
      </c>
      <c r="AN3392" s="1" t="str">
        <f>VLOOKUP(C:C,[1]基础信息!B$1:F$65536,5,0)</f>
        <v>On tap</v>
      </c>
    </row>
    <row r="3393" spans="1:40">
      <c r="A3393" s="1" t="s">
        <v>41</v>
      </c>
      <c r="B3393" s="1" t="s">
        <v>42</v>
      </c>
      <c r="C3393" s="1" t="s">
        <v>481</v>
      </c>
      <c r="D3393" s="1" t="s">
        <v>482</v>
      </c>
      <c r="E3393" s="1" t="s">
        <v>45</v>
      </c>
      <c r="F3393" s="1" t="s">
        <v>4455</v>
      </c>
      <c r="G3393" s="1" t="s">
        <v>7779</v>
      </c>
      <c r="H3393" s="1" t="s">
        <v>7780</v>
      </c>
      <c r="I3393" s="1" t="s">
        <v>49</v>
      </c>
      <c r="J3393" s="1" t="s">
        <v>48</v>
      </c>
      <c r="K3393" s="1">
        <v>168</v>
      </c>
      <c r="L3393" s="1">
        <v>0</v>
      </c>
      <c r="M3393" s="1">
        <v>0</v>
      </c>
      <c r="N3393" s="1">
        <v>168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 t="s">
        <v>49</v>
      </c>
      <c r="AA3393" s="1" t="s">
        <v>49</v>
      </c>
      <c r="AB3393" s="1" t="s">
        <v>49</v>
      </c>
      <c r="AC3393" s="1" t="s">
        <v>4458</v>
      </c>
      <c r="AD3393" s="1" t="s">
        <v>4459</v>
      </c>
      <c r="AE3393" s="1" t="s">
        <v>4458</v>
      </c>
      <c r="AF3393" s="1" t="s">
        <v>488</v>
      </c>
      <c r="AG3393" s="1" t="s">
        <v>53</v>
      </c>
      <c r="AH3393" s="1" t="s">
        <v>49</v>
      </c>
      <c r="AI3393" s="1" t="s">
        <v>54</v>
      </c>
      <c r="AJ3393" s="1">
        <v>1</v>
      </c>
      <c r="AK3393" s="1" t="str">
        <f t="shared" si="52"/>
        <v xml:space="preserve"> =&lt;90</v>
      </c>
      <c r="AL3393" s="1" t="str">
        <f>VLOOKUP(C:C,[1]基础信息!B$1:D$65536,3,0)</f>
        <v>Jug</v>
      </c>
      <c r="AM3393" s="1" t="str">
        <f>VLOOKUP(C:C,[1]基础信息!B$1:E$65536,4,0)</f>
        <v>Style COOL</v>
      </c>
      <c r="AN3393" s="1" t="str">
        <f>VLOOKUP(C:C,[1]基础信息!B$1:F$65536,5,0)</f>
        <v>Cool Blue</v>
      </c>
    </row>
    <row r="3394" spans="1:40">
      <c r="A3394" s="1" t="s">
        <v>41</v>
      </c>
      <c r="B3394" s="1" t="s">
        <v>42</v>
      </c>
      <c r="C3394" s="1" t="s">
        <v>7781</v>
      </c>
      <c r="D3394" s="1" t="s">
        <v>7782</v>
      </c>
      <c r="E3394" s="1" t="s">
        <v>45</v>
      </c>
      <c r="F3394" s="1" t="s">
        <v>7783</v>
      </c>
      <c r="G3394" s="1" t="s">
        <v>7784</v>
      </c>
      <c r="H3394" s="1" t="s">
        <v>7785</v>
      </c>
      <c r="I3394" s="1" t="s">
        <v>49</v>
      </c>
      <c r="J3394" s="1" t="s">
        <v>48</v>
      </c>
      <c r="K3394" s="1">
        <v>11</v>
      </c>
      <c r="L3394" s="1">
        <v>0</v>
      </c>
      <c r="M3394" s="1">
        <v>0</v>
      </c>
      <c r="N3394" s="1">
        <v>11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 t="s">
        <v>49</v>
      </c>
      <c r="AA3394" s="1" t="s">
        <v>49</v>
      </c>
      <c r="AB3394" s="1" t="s">
        <v>49</v>
      </c>
      <c r="AC3394" s="1" t="s">
        <v>7786</v>
      </c>
      <c r="AD3394" s="1" t="s">
        <v>7787</v>
      </c>
      <c r="AE3394" s="1" t="s">
        <v>7786</v>
      </c>
      <c r="AF3394" s="1" t="s">
        <v>7788</v>
      </c>
      <c r="AG3394" s="1" t="s">
        <v>53</v>
      </c>
      <c r="AH3394" s="1" t="s">
        <v>49</v>
      </c>
      <c r="AI3394" s="1" t="s">
        <v>54</v>
      </c>
      <c r="AJ3394" s="1">
        <v>1</v>
      </c>
      <c r="AK3394" s="1" t="str">
        <f t="shared" ref="AK3394:AK3457" si="53">IF(AJ3394&gt;$AP$2,$AQ$2,IF(AJ3394&gt;$AP$3,$AQ$3,IF(AJ3394&gt;$AP$4,$AQ$4,$AQ$5)))</f>
        <v xml:space="preserve"> =&lt;90</v>
      </c>
      <c r="AL3394" s="1" t="e">
        <f>VLOOKUP(C:C,[1]基础信息!B$1:D$65536,3,0)</f>
        <v>#N/A</v>
      </c>
      <c r="AM3394" s="1" t="e">
        <f>VLOOKUP(C:C,[1]基础信息!B$1:E$65536,4,0)</f>
        <v>#N/A</v>
      </c>
      <c r="AN3394" s="1" t="e">
        <f>VLOOKUP(C:C,[1]基础信息!B$1:F$65536,5,0)</f>
        <v>#N/A</v>
      </c>
    </row>
    <row r="3395" spans="1:40">
      <c r="A3395" s="1" t="s">
        <v>41</v>
      </c>
      <c r="B3395" s="1" t="s">
        <v>42</v>
      </c>
      <c r="C3395" s="1" t="s">
        <v>5254</v>
      </c>
      <c r="D3395" s="1" t="s">
        <v>5255</v>
      </c>
      <c r="E3395" s="1" t="s">
        <v>45</v>
      </c>
      <c r="F3395" s="1" t="s">
        <v>7789</v>
      </c>
      <c r="G3395" s="1" t="s">
        <v>7790</v>
      </c>
      <c r="H3395" s="1" t="s">
        <v>45</v>
      </c>
      <c r="I3395" s="1" t="s">
        <v>45</v>
      </c>
      <c r="J3395" s="1" t="s">
        <v>48</v>
      </c>
      <c r="K3395" s="1">
        <v>825</v>
      </c>
      <c r="L3395" s="1">
        <v>0</v>
      </c>
      <c r="M3395" s="1">
        <v>0</v>
      </c>
      <c r="N3395" s="1">
        <v>825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 t="s">
        <v>49</v>
      </c>
      <c r="AA3395" s="1" t="s">
        <v>49</v>
      </c>
      <c r="AB3395" s="1" t="s">
        <v>49</v>
      </c>
      <c r="AC3395" s="1" t="s">
        <v>117</v>
      </c>
      <c r="AD3395" s="1" t="s">
        <v>118</v>
      </c>
      <c r="AE3395" s="1" t="s">
        <v>117</v>
      </c>
      <c r="AF3395" s="1" t="s">
        <v>7791</v>
      </c>
      <c r="AG3395" s="1" t="s">
        <v>53</v>
      </c>
      <c r="AH3395" s="1" t="s">
        <v>49</v>
      </c>
      <c r="AI3395" s="1" t="s">
        <v>54</v>
      </c>
      <c r="AJ3395" s="1">
        <v>1</v>
      </c>
      <c r="AK3395" s="1" t="str">
        <f t="shared" si="53"/>
        <v xml:space="preserve"> =&lt;90</v>
      </c>
      <c r="AL3395" s="1" t="str">
        <f>VLOOKUP(C:C,[1]基础信息!B$1:D$65536,3,0)</f>
        <v xml:space="preserve">Cartridge </v>
      </c>
      <c r="AM3395" s="1" t="str">
        <f>VLOOKUP(C:C,[1]基础信息!B$1:E$65536,4,0)</f>
        <v>UNIV</v>
      </c>
      <c r="AN3395" s="1" t="str">
        <f>VLOOKUP(C:C,[1]基础信息!B$1:F$65536,5,0)</f>
        <v>P55</v>
      </c>
    </row>
    <row r="3396" spans="1:40">
      <c r="A3396" s="1" t="s">
        <v>41</v>
      </c>
      <c r="B3396" s="1" t="s">
        <v>42</v>
      </c>
      <c r="C3396" s="1" t="s">
        <v>7781</v>
      </c>
      <c r="D3396" s="1" t="s">
        <v>7782</v>
      </c>
      <c r="E3396" s="1" t="s">
        <v>45</v>
      </c>
      <c r="F3396" s="1" t="s">
        <v>7783</v>
      </c>
      <c r="G3396" s="1" t="s">
        <v>7792</v>
      </c>
      <c r="H3396" s="1" t="s">
        <v>7793</v>
      </c>
      <c r="I3396" s="1" t="s">
        <v>49</v>
      </c>
      <c r="J3396" s="1" t="s">
        <v>48</v>
      </c>
      <c r="K3396" s="1">
        <v>12</v>
      </c>
      <c r="L3396" s="1">
        <v>0</v>
      </c>
      <c r="M3396" s="1">
        <v>0</v>
      </c>
      <c r="N3396" s="1">
        <v>12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 t="s">
        <v>49</v>
      </c>
      <c r="AA3396" s="1" t="s">
        <v>49</v>
      </c>
      <c r="AB3396" s="1" t="s">
        <v>49</v>
      </c>
      <c r="AC3396" s="1" t="s">
        <v>7786</v>
      </c>
      <c r="AD3396" s="1" t="s">
        <v>7787</v>
      </c>
      <c r="AE3396" s="1" t="s">
        <v>7786</v>
      </c>
      <c r="AF3396" s="1" t="s">
        <v>7788</v>
      </c>
      <c r="AG3396" s="1" t="s">
        <v>53</v>
      </c>
      <c r="AH3396" s="1" t="s">
        <v>49</v>
      </c>
      <c r="AI3396" s="1" t="s">
        <v>54</v>
      </c>
      <c r="AJ3396" s="1">
        <v>1</v>
      </c>
      <c r="AK3396" s="1" t="str">
        <f t="shared" si="53"/>
        <v xml:space="preserve"> =&lt;90</v>
      </c>
      <c r="AL3396" s="1" t="e">
        <f>VLOOKUP(C:C,[1]基础信息!B$1:D$65536,3,0)</f>
        <v>#N/A</v>
      </c>
      <c r="AM3396" s="1" t="e">
        <f>VLOOKUP(C:C,[1]基础信息!B$1:E$65536,4,0)</f>
        <v>#N/A</v>
      </c>
      <c r="AN3396" s="1" t="e">
        <f>VLOOKUP(C:C,[1]基础信息!B$1:F$65536,5,0)</f>
        <v>#N/A</v>
      </c>
    </row>
    <row r="3397" spans="1:40">
      <c r="A3397" s="1" t="s">
        <v>41</v>
      </c>
      <c r="B3397" s="1" t="s">
        <v>42</v>
      </c>
      <c r="C3397" s="1" t="s">
        <v>7781</v>
      </c>
      <c r="D3397" s="1" t="s">
        <v>7782</v>
      </c>
      <c r="E3397" s="1" t="s">
        <v>45</v>
      </c>
      <c r="F3397" s="1" t="s">
        <v>7783</v>
      </c>
      <c r="G3397" s="1" t="s">
        <v>7794</v>
      </c>
      <c r="H3397" s="1" t="s">
        <v>7795</v>
      </c>
      <c r="I3397" s="1" t="s">
        <v>49</v>
      </c>
      <c r="J3397" s="1" t="s">
        <v>48</v>
      </c>
      <c r="K3397" s="1">
        <v>12</v>
      </c>
      <c r="L3397" s="1">
        <v>0</v>
      </c>
      <c r="M3397" s="1">
        <v>0</v>
      </c>
      <c r="N3397" s="1">
        <v>12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 t="s">
        <v>49</v>
      </c>
      <c r="AA3397" s="1" t="s">
        <v>49</v>
      </c>
      <c r="AB3397" s="1" t="s">
        <v>49</v>
      </c>
      <c r="AC3397" s="1" t="s">
        <v>7786</v>
      </c>
      <c r="AD3397" s="1" t="s">
        <v>7787</v>
      </c>
      <c r="AE3397" s="1" t="s">
        <v>7786</v>
      </c>
      <c r="AF3397" s="1" t="s">
        <v>7788</v>
      </c>
      <c r="AG3397" s="1" t="s">
        <v>53</v>
      </c>
      <c r="AH3397" s="1" t="s">
        <v>49</v>
      </c>
      <c r="AI3397" s="1" t="s">
        <v>54</v>
      </c>
      <c r="AJ3397" s="1">
        <v>1</v>
      </c>
      <c r="AK3397" s="1" t="str">
        <f t="shared" si="53"/>
        <v xml:space="preserve"> =&lt;90</v>
      </c>
      <c r="AL3397" s="1" t="e">
        <f>VLOOKUP(C:C,[1]基础信息!B$1:D$65536,3,0)</f>
        <v>#N/A</v>
      </c>
      <c r="AM3397" s="1" t="e">
        <f>VLOOKUP(C:C,[1]基础信息!B$1:E$65536,4,0)</f>
        <v>#N/A</v>
      </c>
      <c r="AN3397" s="1" t="e">
        <f>VLOOKUP(C:C,[1]基础信息!B$1:F$65536,5,0)</f>
        <v>#N/A</v>
      </c>
    </row>
    <row r="3398" spans="1:40">
      <c r="A3398" s="1" t="s">
        <v>41</v>
      </c>
      <c r="B3398" s="1" t="s">
        <v>42</v>
      </c>
      <c r="C3398" s="1" t="s">
        <v>1183</v>
      </c>
      <c r="D3398" s="1" t="s">
        <v>1184</v>
      </c>
      <c r="E3398" s="1" t="s">
        <v>45</v>
      </c>
      <c r="F3398" s="1" t="s">
        <v>7772</v>
      </c>
      <c r="G3398" s="1" t="s">
        <v>7796</v>
      </c>
      <c r="H3398" s="1" t="s">
        <v>7797</v>
      </c>
      <c r="I3398" s="1" t="s">
        <v>49</v>
      </c>
      <c r="J3398" s="1" t="s">
        <v>48</v>
      </c>
      <c r="K3398" s="1">
        <v>12</v>
      </c>
      <c r="L3398" s="1">
        <v>0</v>
      </c>
      <c r="M3398" s="1">
        <v>0</v>
      </c>
      <c r="N3398" s="1">
        <v>12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 t="s">
        <v>49</v>
      </c>
      <c r="AA3398" s="1" t="s">
        <v>49</v>
      </c>
      <c r="AB3398" s="1" t="s">
        <v>49</v>
      </c>
      <c r="AC3398" s="1" t="s">
        <v>109</v>
      </c>
      <c r="AD3398" s="1" t="s">
        <v>110</v>
      </c>
      <c r="AE3398" s="1" t="s">
        <v>109</v>
      </c>
      <c r="AF3398" s="1" t="s">
        <v>3721</v>
      </c>
      <c r="AG3398" s="1" t="s">
        <v>53</v>
      </c>
      <c r="AH3398" s="1" t="s">
        <v>49</v>
      </c>
      <c r="AI3398" s="1" t="s">
        <v>54</v>
      </c>
      <c r="AJ3398" s="1">
        <v>1</v>
      </c>
      <c r="AK3398" s="1" t="str">
        <f t="shared" si="53"/>
        <v xml:space="preserve"> =&lt;90</v>
      </c>
      <c r="AL3398" s="1" t="e">
        <f>VLOOKUP(C:C,[1]基础信息!B$1:D$65536,3,0)</f>
        <v>#N/A</v>
      </c>
      <c r="AM3398" s="1" t="e">
        <f>VLOOKUP(C:C,[1]基础信息!B$1:E$65536,4,0)</f>
        <v>#N/A</v>
      </c>
      <c r="AN3398" s="1" t="e">
        <f>VLOOKUP(C:C,[1]基础信息!B$1:F$65536,5,0)</f>
        <v>#N/A</v>
      </c>
    </row>
    <row r="3399" spans="1:40">
      <c r="A3399" s="1" t="s">
        <v>41</v>
      </c>
      <c r="B3399" s="1" t="s">
        <v>42</v>
      </c>
      <c r="C3399" s="1" t="s">
        <v>1437</v>
      </c>
      <c r="D3399" s="1" t="s">
        <v>1438</v>
      </c>
      <c r="E3399" s="1" t="s">
        <v>45</v>
      </c>
      <c r="F3399" s="1" t="s">
        <v>7798</v>
      </c>
      <c r="G3399" s="1" t="s">
        <v>7799</v>
      </c>
      <c r="H3399" s="1" t="s">
        <v>45</v>
      </c>
      <c r="I3399" s="1" t="s">
        <v>45</v>
      </c>
      <c r="J3399" s="1" t="s">
        <v>48</v>
      </c>
      <c r="K3399" s="1">
        <v>6</v>
      </c>
      <c r="L3399" s="1">
        <v>0</v>
      </c>
      <c r="M3399" s="1">
        <v>0</v>
      </c>
      <c r="N3399" s="1">
        <v>6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 t="s">
        <v>49</v>
      </c>
      <c r="AA3399" s="1" t="s">
        <v>49</v>
      </c>
      <c r="AB3399" s="1" t="s">
        <v>49</v>
      </c>
      <c r="AC3399" s="1" t="s">
        <v>7689</v>
      </c>
      <c r="AD3399" s="1" t="s">
        <v>7690</v>
      </c>
      <c r="AE3399" s="1" t="s">
        <v>7800</v>
      </c>
      <c r="AF3399" s="1" t="s">
        <v>7801</v>
      </c>
      <c r="AG3399" s="1" t="s">
        <v>76</v>
      </c>
      <c r="AH3399" s="1" t="s">
        <v>49</v>
      </c>
      <c r="AI3399" s="1" t="s">
        <v>54</v>
      </c>
      <c r="AJ3399" s="1">
        <v>0</v>
      </c>
      <c r="AK3399" s="1" t="str">
        <f t="shared" si="53"/>
        <v xml:space="preserve"> =&lt;90</v>
      </c>
      <c r="AL3399" s="1" t="str">
        <f>VLOOKUP(C:C,[1]基础信息!B$1:D$65536,3,0)</f>
        <v>On tap</v>
      </c>
      <c r="AM3399" s="1" t="str">
        <f>VLOOKUP(C:C,[1]基础信息!B$1:E$65536,4,0)</f>
        <v>On tap</v>
      </c>
      <c r="AN3399" s="1" t="str">
        <f>VLOOKUP(C:C,[1]基础信息!B$1:F$65536,5,0)</f>
        <v>On tap</v>
      </c>
    </row>
    <row r="3400" spans="1:40">
      <c r="A3400" s="1" t="s">
        <v>41</v>
      </c>
      <c r="B3400" s="1" t="s">
        <v>42</v>
      </c>
      <c r="C3400" s="1" t="s">
        <v>1437</v>
      </c>
      <c r="D3400" s="1" t="s">
        <v>1438</v>
      </c>
      <c r="E3400" s="1" t="s">
        <v>45</v>
      </c>
      <c r="F3400" s="1" t="s">
        <v>7802</v>
      </c>
      <c r="G3400" s="1" t="s">
        <v>7799</v>
      </c>
      <c r="H3400" s="1" t="s">
        <v>45</v>
      </c>
      <c r="I3400" s="1" t="s">
        <v>45</v>
      </c>
      <c r="J3400" s="1" t="s">
        <v>48</v>
      </c>
      <c r="K3400" s="1">
        <v>2</v>
      </c>
      <c r="L3400" s="1">
        <v>0</v>
      </c>
      <c r="M3400" s="1">
        <v>0</v>
      </c>
      <c r="N3400" s="1">
        <v>2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 t="s">
        <v>49</v>
      </c>
      <c r="AA3400" s="1" t="s">
        <v>49</v>
      </c>
      <c r="AB3400" s="1" t="s">
        <v>49</v>
      </c>
      <c r="AC3400" s="1" t="s">
        <v>7689</v>
      </c>
      <c r="AD3400" s="1" t="s">
        <v>7690</v>
      </c>
      <c r="AE3400" s="1" t="s">
        <v>7800</v>
      </c>
      <c r="AF3400" s="1" t="s">
        <v>7803</v>
      </c>
      <c r="AG3400" s="1" t="s">
        <v>76</v>
      </c>
      <c r="AH3400" s="1" t="s">
        <v>49</v>
      </c>
      <c r="AI3400" s="1" t="s">
        <v>54</v>
      </c>
      <c r="AJ3400" s="1">
        <v>1</v>
      </c>
      <c r="AK3400" s="1" t="str">
        <f t="shared" si="53"/>
        <v xml:space="preserve"> =&lt;90</v>
      </c>
      <c r="AL3400" s="1" t="str">
        <f>VLOOKUP(C:C,[1]基础信息!B$1:D$65536,3,0)</f>
        <v>On tap</v>
      </c>
      <c r="AM3400" s="1" t="str">
        <f>VLOOKUP(C:C,[1]基础信息!B$1:E$65536,4,0)</f>
        <v>On tap</v>
      </c>
      <c r="AN3400" s="1" t="str">
        <f>VLOOKUP(C:C,[1]基础信息!B$1:F$65536,5,0)</f>
        <v>On tap</v>
      </c>
    </row>
    <row r="3401" spans="1:40">
      <c r="A3401" s="1" t="s">
        <v>41</v>
      </c>
      <c r="B3401" s="1" t="s">
        <v>42</v>
      </c>
      <c r="C3401" s="1" t="s">
        <v>7586</v>
      </c>
      <c r="D3401" s="1" t="s">
        <v>7587</v>
      </c>
      <c r="E3401" s="1" t="s">
        <v>45</v>
      </c>
      <c r="F3401" s="1" t="s">
        <v>7751</v>
      </c>
      <c r="G3401" s="1" t="s">
        <v>7804</v>
      </c>
      <c r="H3401" s="1" t="s">
        <v>7805</v>
      </c>
      <c r="I3401" s="1" t="s">
        <v>49</v>
      </c>
      <c r="J3401" s="1" t="s">
        <v>48</v>
      </c>
      <c r="K3401" s="1">
        <v>82</v>
      </c>
      <c r="L3401" s="1">
        <v>0</v>
      </c>
      <c r="M3401" s="1">
        <v>0</v>
      </c>
      <c r="N3401" s="1">
        <v>82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 t="s">
        <v>49</v>
      </c>
      <c r="AA3401" s="1" t="s">
        <v>49</v>
      </c>
      <c r="AB3401" s="1" t="s">
        <v>49</v>
      </c>
      <c r="AC3401" s="1" t="s">
        <v>204</v>
      </c>
      <c r="AD3401" s="1" t="s">
        <v>205</v>
      </c>
      <c r="AE3401" s="1" t="s">
        <v>204</v>
      </c>
      <c r="AF3401" s="1" t="s">
        <v>2771</v>
      </c>
      <c r="AG3401" s="1" t="s">
        <v>53</v>
      </c>
      <c r="AH3401" s="1" t="s">
        <v>49</v>
      </c>
      <c r="AI3401" s="1" t="s">
        <v>54</v>
      </c>
      <c r="AJ3401" s="1">
        <v>1</v>
      </c>
      <c r="AK3401" s="1" t="str">
        <f t="shared" si="53"/>
        <v xml:space="preserve"> =&lt;90</v>
      </c>
      <c r="AL3401" s="1" t="e">
        <f>VLOOKUP(C:C,[1]基础信息!B$1:D$65536,3,0)</f>
        <v>#N/A</v>
      </c>
      <c r="AM3401" s="1" t="e">
        <f>VLOOKUP(C:C,[1]基础信息!B$1:E$65536,4,0)</f>
        <v>#N/A</v>
      </c>
      <c r="AN3401" s="1" t="e">
        <f>VLOOKUP(C:C,[1]基础信息!B$1:F$65536,5,0)</f>
        <v>#N/A</v>
      </c>
    </row>
    <row r="3402" spans="1:40">
      <c r="A3402" s="1" t="s">
        <v>41</v>
      </c>
      <c r="B3402" s="1" t="s">
        <v>42</v>
      </c>
      <c r="C3402" s="1" t="s">
        <v>7781</v>
      </c>
      <c r="D3402" s="1" t="s">
        <v>7782</v>
      </c>
      <c r="E3402" s="1" t="s">
        <v>45</v>
      </c>
      <c r="F3402" s="1" t="s">
        <v>7783</v>
      </c>
      <c r="G3402" s="1" t="s">
        <v>7806</v>
      </c>
      <c r="H3402" s="1" t="s">
        <v>7807</v>
      </c>
      <c r="I3402" s="1" t="s">
        <v>49</v>
      </c>
      <c r="J3402" s="1" t="s">
        <v>48</v>
      </c>
      <c r="K3402" s="1">
        <v>12</v>
      </c>
      <c r="L3402" s="1">
        <v>0</v>
      </c>
      <c r="M3402" s="1">
        <v>0</v>
      </c>
      <c r="N3402" s="1">
        <v>12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 t="s">
        <v>49</v>
      </c>
      <c r="AA3402" s="1" t="s">
        <v>49</v>
      </c>
      <c r="AB3402" s="1" t="s">
        <v>49</v>
      </c>
      <c r="AC3402" s="1" t="s">
        <v>7786</v>
      </c>
      <c r="AD3402" s="1" t="s">
        <v>7787</v>
      </c>
      <c r="AE3402" s="1" t="s">
        <v>7786</v>
      </c>
      <c r="AF3402" s="1" t="s">
        <v>7788</v>
      </c>
      <c r="AG3402" s="1" t="s">
        <v>53</v>
      </c>
      <c r="AH3402" s="1" t="s">
        <v>49</v>
      </c>
      <c r="AI3402" s="1" t="s">
        <v>54</v>
      </c>
      <c r="AJ3402" s="1">
        <v>1</v>
      </c>
      <c r="AK3402" s="1" t="str">
        <f t="shared" si="53"/>
        <v xml:space="preserve"> =&lt;90</v>
      </c>
      <c r="AL3402" s="1" t="e">
        <f>VLOOKUP(C:C,[1]基础信息!B$1:D$65536,3,0)</f>
        <v>#N/A</v>
      </c>
      <c r="AM3402" s="1" t="e">
        <f>VLOOKUP(C:C,[1]基础信息!B$1:E$65536,4,0)</f>
        <v>#N/A</v>
      </c>
      <c r="AN3402" s="1" t="e">
        <f>VLOOKUP(C:C,[1]基础信息!B$1:F$65536,5,0)</f>
        <v>#N/A</v>
      </c>
    </row>
    <row r="3403" spans="1:40">
      <c r="A3403" s="1" t="s">
        <v>41</v>
      </c>
      <c r="B3403" s="1" t="s">
        <v>42</v>
      </c>
      <c r="C3403" s="1" t="s">
        <v>4077</v>
      </c>
      <c r="D3403" s="1" t="s">
        <v>4078</v>
      </c>
      <c r="E3403" s="1" t="s">
        <v>45</v>
      </c>
      <c r="F3403" s="1" t="s">
        <v>7808</v>
      </c>
      <c r="G3403" s="1" t="s">
        <v>7809</v>
      </c>
      <c r="H3403" s="1" t="s">
        <v>7810</v>
      </c>
      <c r="I3403" s="1" t="s">
        <v>49</v>
      </c>
      <c r="J3403" s="1" t="s">
        <v>48</v>
      </c>
      <c r="K3403" s="1">
        <v>8</v>
      </c>
      <c r="L3403" s="1">
        <v>0</v>
      </c>
      <c r="M3403" s="1">
        <v>0</v>
      </c>
      <c r="N3403" s="1">
        <v>8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1">
        <v>0</v>
      </c>
      <c r="Y3403" s="1">
        <v>0</v>
      </c>
      <c r="Z3403" s="1" t="s">
        <v>49</v>
      </c>
      <c r="AA3403" s="1" t="s">
        <v>49</v>
      </c>
      <c r="AB3403" s="1" t="s">
        <v>49</v>
      </c>
      <c r="AC3403" s="1" t="s">
        <v>3217</v>
      </c>
      <c r="AD3403" s="1" t="s">
        <v>3218</v>
      </c>
      <c r="AE3403" s="1" t="s">
        <v>3217</v>
      </c>
      <c r="AF3403" s="1" t="s">
        <v>3219</v>
      </c>
      <c r="AG3403" s="1" t="s">
        <v>53</v>
      </c>
      <c r="AH3403" s="1" t="s">
        <v>49</v>
      </c>
      <c r="AI3403" s="1" t="s">
        <v>54</v>
      </c>
      <c r="AJ3403" s="1">
        <v>1</v>
      </c>
      <c r="AK3403" s="1" t="str">
        <f t="shared" si="53"/>
        <v xml:space="preserve"> =&lt;90</v>
      </c>
      <c r="AL3403" s="1" t="str">
        <f>VLOOKUP(C:C,[1]基础信息!B$1:D$65536,3,0)</f>
        <v>UTS</v>
      </c>
      <c r="AM3403" s="1" t="str">
        <f>VLOOKUP(C:C,[1]基础信息!B$1:E$65536,4,0)</f>
        <v>RO</v>
      </c>
      <c r="AN3403" s="1" t="str">
        <f>VLOOKUP(C:C,[1]基础信息!B$1:F$65536,5,0)</f>
        <v>Starry Grey Color</v>
      </c>
    </row>
    <row r="3404" spans="1:40">
      <c r="A3404" s="1" t="s">
        <v>41</v>
      </c>
      <c r="B3404" s="1" t="s">
        <v>42</v>
      </c>
      <c r="C3404" s="1" t="s">
        <v>1183</v>
      </c>
      <c r="D3404" s="1" t="s">
        <v>1184</v>
      </c>
      <c r="E3404" s="1" t="s">
        <v>45</v>
      </c>
      <c r="F3404" s="1" t="s">
        <v>7772</v>
      </c>
      <c r="G3404" s="1" t="s">
        <v>7811</v>
      </c>
      <c r="H3404" s="1" t="s">
        <v>7812</v>
      </c>
      <c r="I3404" s="1" t="s">
        <v>49</v>
      </c>
      <c r="J3404" s="1" t="s">
        <v>48</v>
      </c>
      <c r="K3404" s="1">
        <v>12</v>
      </c>
      <c r="L3404" s="1">
        <v>0</v>
      </c>
      <c r="M3404" s="1">
        <v>0</v>
      </c>
      <c r="N3404" s="1">
        <v>12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 t="s">
        <v>49</v>
      </c>
      <c r="AA3404" s="1" t="s">
        <v>49</v>
      </c>
      <c r="AB3404" s="1" t="s">
        <v>49</v>
      </c>
      <c r="AC3404" s="1" t="s">
        <v>109</v>
      </c>
      <c r="AD3404" s="1" t="s">
        <v>110</v>
      </c>
      <c r="AE3404" s="1" t="s">
        <v>109</v>
      </c>
      <c r="AF3404" s="1" t="s">
        <v>3721</v>
      </c>
      <c r="AG3404" s="1" t="s">
        <v>53</v>
      </c>
      <c r="AH3404" s="1" t="s">
        <v>49</v>
      </c>
      <c r="AI3404" s="1" t="s">
        <v>54</v>
      </c>
      <c r="AJ3404" s="1">
        <v>1</v>
      </c>
      <c r="AK3404" s="1" t="str">
        <f t="shared" si="53"/>
        <v xml:space="preserve"> =&lt;90</v>
      </c>
      <c r="AL3404" s="1" t="e">
        <f>VLOOKUP(C:C,[1]基础信息!B$1:D$65536,3,0)</f>
        <v>#N/A</v>
      </c>
      <c r="AM3404" s="1" t="e">
        <f>VLOOKUP(C:C,[1]基础信息!B$1:E$65536,4,0)</f>
        <v>#N/A</v>
      </c>
      <c r="AN3404" s="1" t="e">
        <f>VLOOKUP(C:C,[1]基础信息!B$1:F$65536,5,0)</f>
        <v>#N/A</v>
      </c>
    </row>
    <row r="3405" spans="1:40">
      <c r="A3405" s="1" t="s">
        <v>41</v>
      </c>
      <c r="B3405" s="1" t="s">
        <v>42</v>
      </c>
      <c r="C3405" s="1" t="s">
        <v>6106</v>
      </c>
      <c r="D3405" s="1" t="s">
        <v>6107</v>
      </c>
      <c r="E3405" s="1" t="s">
        <v>45</v>
      </c>
      <c r="F3405" s="1" t="s">
        <v>7813</v>
      </c>
      <c r="G3405" s="1" t="s">
        <v>7814</v>
      </c>
      <c r="H3405" s="1" t="s">
        <v>45</v>
      </c>
      <c r="I3405" s="1" t="s">
        <v>45</v>
      </c>
      <c r="J3405" s="1" t="s">
        <v>48</v>
      </c>
      <c r="K3405" s="1">
        <v>55</v>
      </c>
      <c r="L3405" s="1">
        <v>0</v>
      </c>
      <c r="M3405" s="1">
        <v>0</v>
      </c>
      <c r="N3405" s="1">
        <v>55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 t="s">
        <v>49</v>
      </c>
      <c r="AA3405" s="1" t="s">
        <v>49</v>
      </c>
      <c r="AB3405" s="1" t="s">
        <v>49</v>
      </c>
      <c r="AC3405" s="1" t="s">
        <v>7815</v>
      </c>
      <c r="AD3405" s="1" t="s">
        <v>7816</v>
      </c>
      <c r="AE3405" s="1" t="s">
        <v>7815</v>
      </c>
      <c r="AF3405" s="1" t="s">
        <v>49</v>
      </c>
      <c r="AG3405" s="1" t="s">
        <v>3464</v>
      </c>
      <c r="AH3405" s="1" t="s">
        <v>49</v>
      </c>
      <c r="AI3405" s="1" t="s">
        <v>54</v>
      </c>
      <c r="AJ3405" s="1">
        <v>0</v>
      </c>
      <c r="AK3405" s="1" t="str">
        <f t="shared" si="53"/>
        <v xml:space="preserve"> =&lt;90</v>
      </c>
      <c r="AL3405" s="1" t="str">
        <f>VLOOKUP(C:C,[1]基础信息!B$1:D$65536,3,0)</f>
        <v>On tap</v>
      </c>
      <c r="AM3405" s="1" t="str">
        <f>VLOOKUP(C:C,[1]基础信息!B$1:E$65536,4,0)</f>
        <v>On tap</v>
      </c>
      <c r="AN3405" s="1" t="str">
        <f>VLOOKUP(C:C,[1]基础信息!B$1:F$65536,5,0)</f>
        <v>Refill</v>
      </c>
    </row>
    <row r="3406" spans="1:40">
      <c r="A3406" s="1" t="s">
        <v>41</v>
      </c>
      <c r="B3406" s="1" t="s">
        <v>42</v>
      </c>
      <c r="C3406" s="1" t="s">
        <v>1437</v>
      </c>
      <c r="D3406" s="1" t="s">
        <v>1438</v>
      </c>
      <c r="E3406" s="1" t="s">
        <v>45</v>
      </c>
      <c r="F3406" s="1" t="s">
        <v>7817</v>
      </c>
      <c r="G3406" s="1" t="s">
        <v>7814</v>
      </c>
      <c r="H3406" s="1" t="s">
        <v>45</v>
      </c>
      <c r="I3406" s="1" t="s">
        <v>45</v>
      </c>
      <c r="J3406" s="1" t="s">
        <v>48</v>
      </c>
      <c r="K3406" s="1">
        <v>9</v>
      </c>
      <c r="L3406" s="1">
        <v>0</v>
      </c>
      <c r="M3406" s="1">
        <v>0</v>
      </c>
      <c r="N3406" s="1">
        <v>9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 t="s">
        <v>49</v>
      </c>
      <c r="AA3406" s="1" t="s">
        <v>49</v>
      </c>
      <c r="AB3406" s="1" t="s">
        <v>49</v>
      </c>
      <c r="AC3406" s="1" t="s">
        <v>7815</v>
      </c>
      <c r="AD3406" s="1" t="s">
        <v>7816</v>
      </c>
      <c r="AE3406" s="1" t="s">
        <v>7815</v>
      </c>
      <c r="AF3406" s="1" t="s">
        <v>49</v>
      </c>
      <c r="AG3406" s="1" t="s">
        <v>3464</v>
      </c>
      <c r="AH3406" s="1" t="s">
        <v>49</v>
      </c>
      <c r="AI3406" s="1" t="s">
        <v>54</v>
      </c>
      <c r="AJ3406" s="1">
        <v>0</v>
      </c>
      <c r="AK3406" s="1" t="str">
        <f t="shared" si="53"/>
        <v xml:space="preserve"> =&lt;90</v>
      </c>
      <c r="AL3406" s="1" t="str">
        <f>VLOOKUP(C:C,[1]基础信息!B$1:D$65536,3,0)</f>
        <v>On tap</v>
      </c>
      <c r="AM3406" s="1" t="str">
        <f>VLOOKUP(C:C,[1]基础信息!B$1:E$65536,4,0)</f>
        <v>On tap</v>
      </c>
      <c r="AN3406" s="1" t="str">
        <f>VLOOKUP(C:C,[1]基础信息!B$1:F$65536,5,0)</f>
        <v>On tap</v>
      </c>
    </row>
    <row r="3407" spans="1:40">
      <c r="A3407" s="1" t="s">
        <v>41</v>
      </c>
      <c r="B3407" s="1" t="s">
        <v>42</v>
      </c>
      <c r="C3407" s="1" t="s">
        <v>7818</v>
      </c>
      <c r="D3407" s="1" t="s">
        <v>7819</v>
      </c>
      <c r="E3407" s="1" t="s">
        <v>45</v>
      </c>
      <c r="F3407" s="1" t="s">
        <v>7820</v>
      </c>
      <c r="G3407" s="1" t="s">
        <v>7814</v>
      </c>
      <c r="H3407" s="1" t="s">
        <v>45</v>
      </c>
      <c r="I3407" s="1" t="s">
        <v>45</v>
      </c>
      <c r="J3407" s="1" t="s">
        <v>48</v>
      </c>
      <c r="K3407" s="1">
        <v>1</v>
      </c>
      <c r="L3407" s="1">
        <v>0</v>
      </c>
      <c r="M3407" s="1">
        <v>0</v>
      </c>
      <c r="N3407" s="1">
        <v>1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 t="s">
        <v>49</v>
      </c>
      <c r="AA3407" s="1" t="s">
        <v>49</v>
      </c>
      <c r="AB3407" s="1" t="s">
        <v>49</v>
      </c>
      <c r="AC3407" s="1" t="s">
        <v>7815</v>
      </c>
      <c r="AD3407" s="1" t="s">
        <v>7816</v>
      </c>
      <c r="AE3407" s="1" t="s">
        <v>7815</v>
      </c>
      <c r="AF3407" s="1" t="s">
        <v>49</v>
      </c>
      <c r="AG3407" s="1" t="s">
        <v>3464</v>
      </c>
      <c r="AH3407" s="1" t="s">
        <v>49</v>
      </c>
      <c r="AI3407" s="1" t="s">
        <v>54</v>
      </c>
      <c r="AJ3407" s="1">
        <v>0</v>
      </c>
      <c r="AK3407" s="1" t="str">
        <f t="shared" si="53"/>
        <v xml:space="preserve"> =&lt;90</v>
      </c>
      <c r="AL3407" s="1" t="str">
        <f>VLOOKUP(C:C,[1]基础信息!B$1:D$65536,3,0)</f>
        <v xml:space="preserve">Cartridge </v>
      </c>
      <c r="AM3407" s="1" t="str">
        <f>VLOOKUP(C:C,[1]基础信息!B$1:E$65536,4,0)</f>
        <v>LM</v>
      </c>
      <c r="AN3407" s="1" t="str">
        <f>VLOOKUP(C:C,[1]基础信息!B$1:F$65536,5,0)</f>
        <v>P1</v>
      </c>
    </row>
    <row r="3408" spans="1:40">
      <c r="A3408" s="1" t="s">
        <v>41</v>
      </c>
      <c r="B3408" s="1" t="s">
        <v>42</v>
      </c>
      <c r="C3408" s="1" t="s">
        <v>104</v>
      </c>
      <c r="D3408" s="1" t="s">
        <v>105</v>
      </c>
      <c r="E3408" s="1" t="s">
        <v>104</v>
      </c>
      <c r="F3408" s="1" t="s">
        <v>7821</v>
      </c>
      <c r="G3408" s="1" t="s">
        <v>7814</v>
      </c>
      <c r="H3408" s="1" t="s">
        <v>45</v>
      </c>
      <c r="I3408" s="1" t="s">
        <v>45</v>
      </c>
      <c r="J3408" s="1" t="s">
        <v>48</v>
      </c>
      <c r="K3408" s="1">
        <v>1</v>
      </c>
      <c r="L3408" s="1">
        <v>0</v>
      </c>
      <c r="M3408" s="1">
        <v>0</v>
      </c>
      <c r="N3408" s="1">
        <v>1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 t="s">
        <v>49</v>
      </c>
      <c r="AA3408" s="1" t="s">
        <v>49</v>
      </c>
      <c r="AB3408" s="1" t="s">
        <v>49</v>
      </c>
      <c r="AC3408" s="1" t="s">
        <v>7815</v>
      </c>
      <c r="AD3408" s="1" t="s">
        <v>7816</v>
      </c>
      <c r="AE3408" s="1" t="s">
        <v>7815</v>
      </c>
      <c r="AF3408" s="1" t="s">
        <v>49</v>
      </c>
      <c r="AG3408" s="1" t="s">
        <v>3464</v>
      </c>
      <c r="AH3408" s="1" t="s">
        <v>49</v>
      </c>
      <c r="AI3408" s="1" t="s">
        <v>54</v>
      </c>
      <c r="AJ3408" s="1">
        <v>1</v>
      </c>
      <c r="AK3408" s="1" t="str">
        <f t="shared" si="53"/>
        <v xml:space="preserve"> =&lt;90</v>
      </c>
      <c r="AL3408" s="1" t="str">
        <f>VLOOKUP(C:C,[1]基础信息!B$1:D$65536,3,0)</f>
        <v>Jug</v>
      </c>
      <c r="AM3408" s="1" t="str">
        <f>VLOOKUP(C:C,[1]基础信息!B$1:E$65536,4,0)</f>
        <v>Marella XL</v>
      </c>
      <c r="AN3408" s="1" t="str">
        <f>VLOOKUP(C:C,[1]基础信息!B$1:F$65536,5,0)</f>
        <v>Blue</v>
      </c>
    </row>
    <row r="3409" spans="1:40">
      <c r="A3409" s="1" t="s">
        <v>41</v>
      </c>
      <c r="B3409" s="1" t="s">
        <v>42</v>
      </c>
      <c r="C3409" s="1" t="s">
        <v>1183</v>
      </c>
      <c r="D3409" s="1" t="s">
        <v>1184</v>
      </c>
      <c r="E3409" s="1" t="s">
        <v>45</v>
      </c>
      <c r="F3409" s="1" t="s">
        <v>7772</v>
      </c>
      <c r="G3409" s="1" t="s">
        <v>7822</v>
      </c>
      <c r="H3409" s="1" t="s">
        <v>7823</v>
      </c>
      <c r="I3409" s="1" t="s">
        <v>49</v>
      </c>
      <c r="J3409" s="1" t="s">
        <v>48</v>
      </c>
      <c r="K3409" s="1">
        <v>12</v>
      </c>
      <c r="L3409" s="1">
        <v>0</v>
      </c>
      <c r="M3409" s="1">
        <v>0</v>
      </c>
      <c r="N3409" s="1">
        <v>12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 t="s">
        <v>49</v>
      </c>
      <c r="AA3409" s="1" t="s">
        <v>49</v>
      </c>
      <c r="AB3409" s="1" t="s">
        <v>49</v>
      </c>
      <c r="AC3409" s="1" t="s">
        <v>109</v>
      </c>
      <c r="AD3409" s="1" t="s">
        <v>110</v>
      </c>
      <c r="AE3409" s="1" t="s">
        <v>109</v>
      </c>
      <c r="AF3409" s="1" t="s">
        <v>3721</v>
      </c>
      <c r="AG3409" s="1" t="s">
        <v>53</v>
      </c>
      <c r="AH3409" s="1" t="s">
        <v>49</v>
      </c>
      <c r="AI3409" s="1" t="s">
        <v>54</v>
      </c>
      <c r="AJ3409" s="1">
        <v>1</v>
      </c>
      <c r="AK3409" s="1" t="str">
        <f t="shared" si="53"/>
        <v xml:space="preserve"> =&lt;90</v>
      </c>
      <c r="AL3409" s="1" t="e">
        <f>VLOOKUP(C:C,[1]基础信息!B$1:D$65536,3,0)</f>
        <v>#N/A</v>
      </c>
      <c r="AM3409" s="1" t="e">
        <f>VLOOKUP(C:C,[1]基础信息!B$1:E$65536,4,0)</f>
        <v>#N/A</v>
      </c>
      <c r="AN3409" s="1" t="e">
        <f>VLOOKUP(C:C,[1]基础信息!B$1:F$65536,5,0)</f>
        <v>#N/A</v>
      </c>
    </row>
    <row r="3410" spans="1:40">
      <c r="A3410" s="1" t="s">
        <v>41</v>
      </c>
      <c r="B3410" s="1" t="s">
        <v>42</v>
      </c>
      <c r="C3410" s="1" t="s">
        <v>4438</v>
      </c>
      <c r="D3410" s="1" t="s">
        <v>4439</v>
      </c>
      <c r="E3410" s="1" t="s">
        <v>45</v>
      </c>
      <c r="F3410" s="1" t="s">
        <v>7824</v>
      </c>
      <c r="G3410" s="1" t="s">
        <v>7825</v>
      </c>
      <c r="H3410" s="1" t="s">
        <v>7826</v>
      </c>
      <c r="I3410" s="1" t="s">
        <v>49</v>
      </c>
      <c r="J3410" s="1" t="s">
        <v>48</v>
      </c>
      <c r="K3410" s="1">
        <v>34</v>
      </c>
      <c r="L3410" s="1">
        <v>0</v>
      </c>
      <c r="M3410" s="1">
        <v>0</v>
      </c>
      <c r="N3410" s="1">
        <v>34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 t="s">
        <v>49</v>
      </c>
      <c r="AA3410" s="1" t="s">
        <v>49</v>
      </c>
      <c r="AB3410" s="1" t="s">
        <v>49</v>
      </c>
      <c r="AC3410" s="1" t="s">
        <v>4106</v>
      </c>
      <c r="AD3410" s="1" t="s">
        <v>4107</v>
      </c>
      <c r="AE3410" s="1" t="s">
        <v>4106</v>
      </c>
      <c r="AF3410" s="1" t="s">
        <v>3455</v>
      </c>
      <c r="AG3410" s="1" t="s">
        <v>53</v>
      </c>
      <c r="AH3410" s="1" t="s">
        <v>49</v>
      </c>
      <c r="AI3410" s="1" t="s">
        <v>54</v>
      </c>
      <c r="AJ3410" s="1">
        <v>1</v>
      </c>
      <c r="AK3410" s="1" t="str">
        <f t="shared" si="53"/>
        <v xml:space="preserve"> =&lt;90</v>
      </c>
      <c r="AL3410" s="1" t="str">
        <f>VLOOKUP(C:C,[1]基础信息!B$1:D$65536,3,0)</f>
        <v>Hotcup</v>
      </c>
      <c r="AM3410" s="1" t="str">
        <f>VLOOKUP(C:C,[1]基础信息!B$1:E$65536,4,0)</f>
        <v>Hotcup</v>
      </c>
      <c r="AN3410" s="1" t="str">
        <f>VLOOKUP(C:C,[1]基础信息!B$1:F$65536,5,0)</f>
        <v xml:space="preserve"> green</v>
      </c>
    </row>
    <row r="3411" spans="1:40">
      <c r="A3411" s="1" t="s">
        <v>41</v>
      </c>
      <c r="B3411" s="1" t="s">
        <v>42</v>
      </c>
      <c r="C3411" s="1" t="s">
        <v>4438</v>
      </c>
      <c r="D3411" s="1" t="s">
        <v>4439</v>
      </c>
      <c r="E3411" s="1" t="s">
        <v>45</v>
      </c>
      <c r="F3411" s="1" t="s">
        <v>7824</v>
      </c>
      <c r="G3411" s="1" t="s">
        <v>7827</v>
      </c>
      <c r="H3411" s="1" t="s">
        <v>7828</v>
      </c>
      <c r="I3411" s="1" t="s">
        <v>49</v>
      </c>
      <c r="J3411" s="1" t="s">
        <v>48</v>
      </c>
      <c r="K3411" s="1">
        <v>36</v>
      </c>
      <c r="L3411" s="1">
        <v>0</v>
      </c>
      <c r="M3411" s="1">
        <v>0</v>
      </c>
      <c r="N3411" s="1">
        <v>36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 t="s">
        <v>49</v>
      </c>
      <c r="AA3411" s="1" t="s">
        <v>49</v>
      </c>
      <c r="AB3411" s="1" t="s">
        <v>49</v>
      </c>
      <c r="AC3411" s="1" t="s">
        <v>4106</v>
      </c>
      <c r="AD3411" s="1" t="s">
        <v>4107</v>
      </c>
      <c r="AE3411" s="1" t="s">
        <v>4106</v>
      </c>
      <c r="AF3411" s="1" t="s">
        <v>3455</v>
      </c>
      <c r="AG3411" s="1" t="s">
        <v>53</v>
      </c>
      <c r="AH3411" s="1" t="s">
        <v>49</v>
      </c>
      <c r="AI3411" s="1" t="s">
        <v>54</v>
      </c>
      <c r="AJ3411" s="1">
        <v>1</v>
      </c>
      <c r="AK3411" s="1" t="str">
        <f t="shared" si="53"/>
        <v xml:space="preserve"> =&lt;90</v>
      </c>
      <c r="AL3411" s="1" t="str">
        <f>VLOOKUP(C:C,[1]基础信息!B$1:D$65536,3,0)</f>
        <v>Hotcup</v>
      </c>
      <c r="AM3411" s="1" t="str">
        <f>VLOOKUP(C:C,[1]基础信息!B$1:E$65536,4,0)</f>
        <v>Hotcup</v>
      </c>
      <c r="AN3411" s="1" t="str">
        <f>VLOOKUP(C:C,[1]基础信息!B$1:F$65536,5,0)</f>
        <v xml:space="preserve"> green</v>
      </c>
    </row>
    <row r="3412" spans="1:40">
      <c r="A3412" s="1" t="s">
        <v>41</v>
      </c>
      <c r="B3412" s="1" t="s">
        <v>42</v>
      </c>
      <c r="C3412" s="1" t="s">
        <v>4057</v>
      </c>
      <c r="D3412" s="1" t="s">
        <v>4058</v>
      </c>
      <c r="E3412" s="1" t="s">
        <v>45</v>
      </c>
      <c r="F3412" s="1" t="s">
        <v>7829</v>
      </c>
      <c r="G3412" s="1" t="s">
        <v>7830</v>
      </c>
      <c r="H3412" s="1" t="s">
        <v>7831</v>
      </c>
      <c r="I3412" s="1" t="s">
        <v>49</v>
      </c>
      <c r="J3412" s="1" t="s">
        <v>48</v>
      </c>
      <c r="K3412" s="1">
        <v>12</v>
      </c>
      <c r="L3412" s="1">
        <v>0</v>
      </c>
      <c r="M3412" s="1">
        <v>0</v>
      </c>
      <c r="N3412" s="1">
        <v>12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 t="s">
        <v>49</v>
      </c>
      <c r="AA3412" s="1" t="s">
        <v>49</v>
      </c>
      <c r="AB3412" s="1" t="s">
        <v>49</v>
      </c>
      <c r="AC3412" s="1" t="s">
        <v>7786</v>
      </c>
      <c r="AD3412" s="1" t="s">
        <v>7787</v>
      </c>
      <c r="AE3412" s="1" t="s">
        <v>7786</v>
      </c>
      <c r="AF3412" s="1" t="s">
        <v>7788</v>
      </c>
      <c r="AG3412" s="1" t="s">
        <v>53</v>
      </c>
      <c r="AH3412" s="1" t="s">
        <v>49</v>
      </c>
      <c r="AI3412" s="1" t="s">
        <v>54</v>
      </c>
      <c r="AJ3412" s="1">
        <v>1</v>
      </c>
      <c r="AK3412" s="1" t="str">
        <f t="shared" si="53"/>
        <v xml:space="preserve"> =&lt;90</v>
      </c>
      <c r="AL3412" s="1" t="e">
        <f>VLOOKUP(C:C,[1]基础信息!B$1:D$65536,3,0)</f>
        <v>#N/A</v>
      </c>
      <c r="AM3412" s="1" t="e">
        <f>VLOOKUP(C:C,[1]基础信息!B$1:E$65536,4,0)</f>
        <v>#N/A</v>
      </c>
      <c r="AN3412" s="1" t="e">
        <f>VLOOKUP(C:C,[1]基础信息!B$1:F$65536,5,0)</f>
        <v>#N/A</v>
      </c>
    </row>
    <row r="3413" spans="1:40">
      <c r="A3413" s="1" t="s">
        <v>41</v>
      </c>
      <c r="B3413" s="1" t="s">
        <v>42</v>
      </c>
      <c r="C3413" s="1" t="s">
        <v>4438</v>
      </c>
      <c r="D3413" s="1" t="s">
        <v>4439</v>
      </c>
      <c r="E3413" s="1" t="s">
        <v>45</v>
      </c>
      <c r="F3413" s="1" t="s">
        <v>7824</v>
      </c>
      <c r="G3413" s="1" t="s">
        <v>7832</v>
      </c>
      <c r="H3413" s="1" t="s">
        <v>7833</v>
      </c>
      <c r="I3413" s="1" t="s">
        <v>49</v>
      </c>
      <c r="J3413" s="1" t="s">
        <v>48</v>
      </c>
      <c r="K3413" s="1">
        <v>36</v>
      </c>
      <c r="L3413" s="1">
        <v>0</v>
      </c>
      <c r="M3413" s="1">
        <v>0</v>
      </c>
      <c r="N3413" s="1">
        <v>36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 t="s">
        <v>49</v>
      </c>
      <c r="AA3413" s="1" t="s">
        <v>49</v>
      </c>
      <c r="AB3413" s="1" t="s">
        <v>49</v>
      </c>
      <c r="AC3413" s="1" t="s">
        <v>4106</v>
      </c>
      <c r="AD3413" s="1" t="s">
        <v>4107</v>
      </c>
      <c r="AE3413" s="1" t="s">
        <v>4106</v>
      </c>
      <c r="AF3413" s="1" t="s">
        <v>3455</v>
      </c>
      <c r="AG3413" s="1" t="s">
        <v>53</v>
      </c>
      <c r="AH3413" s="1" t="s">
        <v>49</v>
      </c>
      <c r="AI3413" s="1" t="s">
        <v>54</v>
      </c>
      <c r="AJ3413" s="1">
        <v>1</v>
      </c>
      <c r="AK3413" s="1" t="str">
        <f t="shared" si="53"/>
        <v xml:space="preserve"> =&lt;90</v>
      </c>
      <c r="AL3413" s="1" t="str">
        <f>VLOOKUP(C:C,[1]基础信息!B$1:D$65536,3,0)</f>
        <v>Hotcup</v>
      </c>
      <c r="AM3413" s="1" t="str">
        <f>VLOOKUP(C:C,[1]基础信息!B$1:E$65536,4,0)</f>
        <v>Hotcup</v>
      </c>
      <c r="AN3413" s="1" t="str">
        <f>VLOOKUP(C:C,[1]基础信息!B$1:F$65536,5,0)</f>
        <v xml:space="preserve"> green</v>
      </c>
    </row>
    <row r="3414" spans="1:40">
      <c r="A3414" s="1" t="s">
        <v>41</v>
      </c>
      <c r="B3414" s="1" t="s">
        <v>42</v>
      </c>
      <c r="C3414" s="1" t="s">
        <v>4438</v>
      </c>
      <c r="D3414" s="1" t="s">
        <v>4439</v>
      </c>
      <c r="E3414" s="1" t="s">
        <v>45</v>
      </c>
      <c r="F3414" s="1" t="s">
        <v>7824</v>
      </c>
      <c r="G3414" s="1" t="s">
        <v>7834</v>
      </c>
      <c r="H3414" s="1" t="s">
        <v>7835</v>
      </c>
      <c r="I3414" s="1" t="s">
        <v>49</v>
      </c>
      <c r="J3414" s="1" t="s">
        <v>48</v>
      </c>
      <c r="K3414" s="1">
        <v>36</v>
      </c>
      <c r="L3414" s="1">
        <v>0</v>
      </c>
      <c r="M3414" s="1">
        <v>0</v>
      </c>
      <c r="N3414" s="1">
        <v>36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 t="s">
        <v>49</v>
      </c>
      <c r="AA3414" s="1" t="s">
        <v>49</v>
      </c>
      <c r="AB3414" s="1" t="s">
        <v>49</v>
      </c>
      <c r="AC3414" s="1" t="s">
        <v>4106</v>
      </c>
      <c r="AD3414" s="1" t="s">
        <v>4107</v>
      </c>
      <c r="AE3414" s="1" t="s">
        <v>4106</v>
      </c>
      <c r="AF3414" s="1" t="s">
        <v>3455</v>
      </c>
      <c r="AG3414" s="1" t="s">
        <v>53</v>
      </c>
      <c r="AH3414" s="1" t="s">
        <v>49</v>
      </c>
      <c r="AI3414" s="1" t="s">
        <v>54</v>
      </c>
      <c r="AJ3414" s="1">
        <v>1</v>
      </c>
      <c r="AK3414" s="1" t="str">
        <f t="shared" si="53"/>
        <v xml:space="preserve"> =&lt;90</v>
      </c>
      <c r="AL3414" s="1" t="str">
        <f>VLOOKUP(C:C,[1]基础信息!B$1:D$65536,3,0)</f>
        <v>Hotcup</v>
      </c>
      <c r="AM3414" s="1" t="str">
        <f>VLOOKUP(C:C,[1]基础信息!B$1:E$65536,4,0)</f>
        <v>Hotcup</v>
      </c>
      <c r="AN3414" s="1" t="str">
        <f>VLOOKUP(C:C,[1]基础信息!B$1:F$65536,5,0)</f>
        <v xml:space="preserve"> green</v>
      </c>
    </row>
    <row r="3415" spans="1:40">
      <c r="A3415" s="1" t="s">
        <v>41</v>
      </c>
      <c r="B3415" s="1" t="s">
        <v>42</v>
      </c>
      <c r="C3415" s="1" t="s">
        <v>1183</v>
      </c>
      <c r="D3415" s="1" t="s">
        <v>1184</v>
      </c>
      <c r="E3415" s="1" t="s">
        <v>45</v>
      </c>
      <c r="F3415" s="1" t="s">
        <v>7772</v>
      </c>
      <c r="G3415" s="1" t="s">
        <v>7836</v>
      </c>
      <c r="H3415" s="1" t="s">
        <v>7837</v>
      </c>
      <c r="I3415" s="1" t="s">
        <v>49</v>
      </c>
      <c r="J3415" s="1" t="s">
        <v>48</v>
      </c>
      <c r="K3415" s="1">
        <v>12</v>
      </c>
      <c r="L3415" s="1">
        <v>0</v>
      </c>
      <c r="M3415" s="1">
        <v>0</v>
      </c>
      <c r="N3415" s="1">
        <v>12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 t="s">
        <v>49</v>
      </c>
      <c r="AA3415" s="1" t="s">
        <v>49</v>
      </c>
      <c r="AB3415" s="1" t="s">
        <v>49</v>
      </c>
      <c r="AC3415" s="1" t="s">
        <v>109</v>
      </c>
      <c r="AD3415" s="1" t="s">
        <v>110</v>
      </c>
      <c r="AE3415" s="1" t="s">
        <v>109</v>
      </c>
      <c r="AF3415" s="1" t="s">
        <v>3721</v>
      </c>
      <c r="AG3415" s="1" t="s">
        <v>53</v>
      </c>
      <c r="AH3415" s="1" t="s">
        <v>49</v>
      </c>
      <c r="AI3415" s="1" t="s">
        <v>54</v>
      </c>
      <c r="AJ3415" s="1">
        <v>1</v>
      </c>
      <c r="AK3415" s="1" t="str">
        <f t="shared" si="53"/>
        <v xml:space="preserve"> =&lt;90</v>
      </c>
      <c r="AL3415" s="1" t="e">
        <f>VLOOKUP(C:C,[1]基础信息!B$1:D$65536,3,0)</f>
        <v>#N/A</v>
      </c>
      <c r="AM3415" s="1" t="e">
        <f>VLOOKUP(C:C,[1]基础信息!B$1:E$65536,4,0)</f>
        <v>#N/A</v>
      </c>
      <c r="AN3415" s="1" t="e">
        <f>VLOOKUP(C:C,[1]基础信息!B$1:F$65536,5,0)</f>
        <v>#N/A</v>
      </c>
    </row>
    <row r="3416" spans="1:40">
      <c r="A3416" s="1" t="s">
        <v>41</v>
      </c>
      <c r="B3416" s="1" t="s">
        <v>42</v>
      </c>
      <c r="C3416" s="1" t="s">
        <v>68</v>
      </c>
      <c r="D3416" s="1" t="s">
        <v>69</v>
      </c>
      <c r="E3416" s="1" t="s">
        <v>45</v>
      </c>
      <c r="F3416" s="1" t="s">
        <v>4103</v>
      </c>
      <c r="G3416" s="1" t="s">
        <v>7838</v>
      </c>
      <c r="H3416" s="1" t="s">
        <v>45</v>
      </c>
      <c r="I3416" s="1" t="s">
        <v>49</v>
      </c>
      <c r="J3416" s="1" t="s">
        <v>48</v>
      </c>
      <c r="K3416" s="1">
        <v>4</v>
      </c>
      <c r="L3416" s="1">
        <v>0</v>
      </c>
      <c r="M3416" s="1">
        <v>0</v>
      </c>
      <c r="N3416" s="1">
        <v>4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 t="s">
        <v>49</v>
      </c>
      <c r="AA3416" s="1" t="s">
        <v>49</v>
      </c>
      <c r="AB3416" s="1" t="s">
        <v>49</v>
      </c>
      <c r="AC3416" s="1" t="s">
        <v>4106</v>
      </c>
      <c r="AD3416" s="1" t="s">
        <v>4107</v>
      </c>
      <c r="AE3416" s="1" t="s">
        <v>4108</v>
      </c>
      <c r="AF3416" s="1" t="s">
        <v>3455</v>
      </c>
      <c r="AG3416" s="1" t="s">
        <v>53</v>
      </c>
      <c r="AH3416" s="1" t="s">
        <v>49</v>
      </c>
      <c r="AI3416" s="1" t="s">
        <v>54</v>
      </c>
      <c r="AJ3416" s="1">
        <v>0</v>
      </c>
      <c r="AK3416" s="1" t="str">
        <f t="shared" si="53"/>
        <v xml:space="preserve"> =&lt;90</v>
      </c>
      <c r="AL3416" s="1" t="str">
        <f>VLOOKUP(C:C,[1]基础信息!B$1:D$65536,3,0)</f>
        <v>Hotcup</v>
      </c>
      <c r="AM3416" s="1" t="str">
        <f>VLOOKUP(C:C,[1]基础信息!B$1:E$65536,4,0)</f>
        <v>Hotcup</v>
      </c>
      <c r="AN3416" s="1" t="str">
        <f>VLOOKUP(C:C,[1]基础信息!B$1:F$65536,5,0)</f>
        <v xml:space="preserve"> Whi</v>
      </c>
    </row>
    <row r="3417" spans="1:40">
      <c r="A3417" s="1" t="s">
        <v>41</v>
      </c>
      <c r="B3417" s="1" t="s">
        <v>42</v>
      </c>
      <c r="C3417" s="1" t="s">
        <v>4342</v>
      </c>
      <c r="D3417" s="1" t="s">
        <v>4343</v>
      </c>
      <c r="E3417" s="1" t="s">
        <v>45</v>
      </c>
      <c r="F3417" s="1" t="s">
        <v>7839</v>
      </c>
      <c r="G3417" s="1" t="s">
        <v>7838</v>
      </c>
      <c r="H3417" s="1" t="s">
        <v>45</v>
      </c>
      <c r="I3417" s="1" t="s">
        <v>45</v>
      </c>
      <c r="J3417" s="1" t="s">
        <v>48</v>
      </c>
      <c r="K3417" s="1">
        <v>2</v>
      </c>
      <c r="L3417" s="1">
        <v>0</v>
      </c>
      <c r="M3417" s="1">
        <v>0</v>
      </c>
      <c r="N3417" s="1">
        <v>2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 t="s">
        <v>49</v>
      </c>
      <c r="AA3417" s="1" t="s">
        <v>49</v>
      </c>
      <c r="AB3417" s="1" t="s">
        <v>49</v>
      </c>
      <c r="AC3417" s="1" t="s">
        <v>4108</v>
      </c>
      <c r="AD3417" s="1" t="s">
        <v>7121</v>
      </c>
      <c r="AE3417" s="1" t="s">
        <v>4108</v>
      </c>
      <c r="AF3417" s="1" t="s">
        <v>49</v>
      </c>
      <c r="AG3417" s="1" t="s">
        <v>3464</v>
      </c>
      <c r="AH3417" s="1" t="s">
        <v>49</v>
      </c>
      <c r="AI3417" s="1" t="s">
        <v>54</v>
      </c>
      <c r="AJ3417" s="1">
        <v>0</v>
      </c>
      <c r="AK3417" s="1" t="str">
        <f t="shared" si="53"/>
        <v xml:space="preserve"> =&lt;90</v>
      </c>
      <c r="AL3417" s="1" t="e">
        <f>VLOOKUP(C:C,[1]基础信息!B$1:D$65536,3,0)</f>
        <v>#N/A</v>
      </c>
      <c r="AM3417" s="1" t="e">
        <f>VLOOKUP(C:C,[1]基础信息!B$1:E$65536,4,0)</f>
        <v>#N/A</v>
      </c>
      <c r="AN3417" s="1" t="e">
        <f>VLOOKUP(C:C,[1]基础信息!B$1:F$65536,5,0)</f>
        <v>#N/A</v>
      </c>
    </row>
    <row r="3418" spans="1:40">
      <c r="A3418" s="1" t="s">
        <v>41</v>
      </c>
      <c r="B3418" s="1" t="s">
        <v>42</v>
      </c>
      <c r="C3418" s="1" t="s">
        <v>4342</v>
      </c>
      <c r="D3418" s="1" t="s">
        <v>4343</v>
      </c>
      <c r="E3418" s="1" t="s">
        <v>45</v>
      </c>
      <c r="F3418" s="1" t="s">
        <v>7840</v>
      </c>
      <c r="G3418" s="1" t="s">
        <v>7838</v>
      </c>
      <c r="H3418" s="1" t="s">
        <v>45</v>
      </c>
      <c r="I3418" s="1" t="s">
        <v>45</v>
      </c>
      <c r="J3418" s="1" t="s">
        <v>48</v>
      </c>
      <c r="K3418" s="1">
        <v>1</v>
      </c>
      <c r="L3418" s="1">
        <v>0</v>
      </c>
      <c r="M3418" s="1">
        <v>0</v>
      </c>
      <c r="N3418" s="1">
        <v>1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 t="s">
        <v>49</v>
      </c>
      <c r="AA3418" s="1" t="s">
        <v>49</v>
      </c>
      <c r="AB3418" s="1" t="s">
        <v>49</v>
      </c>
      <c r="AC3418" s="1" t="s">
        <v>7841</v>
      </c>
      <c r="AD3418" s="1" t="s">
        <v>7842</v>
      </c>
      <c r="AE3418" s="1" t="s">
        <v>7841</v>
      </c>
      <c r="AF3418" s="1" t="s">
        <v>7122</v>
      </c>
      <c r="AG3418" s="1" t="s">
        <v>3464</v>
      </c>
      <c r="AH3418" s="1" t="s">
        <v>49</v>
      </c>
      <c r="AI3418" s="1" t="s">
        <v>54</v>
      </c>
      <c r="AJ3418" s="1">
        <v>0</v>
      </c>
      <c r="AK3418" s="1" t="str">
        <f t="shared" si="53"/>
        <v xml:space="preserve"> =&lt;90</v>
      </c>
      <c r="AL3418" s="1" t="e">
        <f>VLOOKUP(C:C,[1]基础信息!B$1:D$65536,3,0)</f>
        <v>#N/A</v>
      </c>
      <c r="AM3418" s="1" t="e">
        <f>VLOOKUP(C:C,[1]基础信息!B$1:E$65536,4,0)</f>
        <v>#N/A</v>
      </c>
      <c r="AN3418" s="1" t="e">
        <f>VLOOKUP(C:C,[1]基础信息!B$1:F$65536,5,0)</f>
        <v>#N/A</v>
      </c>
    </row>
    <row r="3419" spans="1:40">
      <c r="A3419" s="1" t="s">
        <v>41</v>
      </c>
      <c r="B3419" s="1" t="s">
        <v>42</v>
      </c>
      <c r="C3419" s="1" t="s">
        <v>4342</v>
      </c>
      <c r="D3419" s="1" t="s">
        <v>4343</v>
      </c>
      <c r="E3419" s="1" t="s">
        <v>45</v>
      </c>
      <c r="F3419" s="1" t="s">
        <v>7843</v>
      </c>
      <c r="G3419" s="1" t="s">
        <v>7838</v>
      </c>
      <c r="H3419" s="1" t="s">
        <v>45</v>
      </c>
      <c r="I3419" s="1" t="s">
        <v>45</v>
      </c>
      <c r="J3419" s="1" t="s">
        <v>48</v>
      </c>
      <c r="K3419" s="1">
        <v>12</v>
      </c>
      <c r="L3419" s="1">
        <v>0</v>
      </c>
      <c r="M3419" s="1">
        <v>0</v>
      </c>
      <c r="N3419" s="1">
        <v>12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 t="s">
        <v>49</v>
      </c>
      <c r="AA3419" s="1" t="s">
        <v>49</v>
      </c>
      <c r="AB3419" s="1" t="s">
        <v>49</v>
      </c>
      <c r="AC3419" s="1" t="s">
        <v>73</v>
      </c>
      <c r="AD3419" s="1" t="s">
        <v>74</v>
      </c>
      <c r="AE3419" s="1" t="s">
        <v>73</v>
      </c>
      <c r="AF3419" s="1" t="s">
        <v>4728</v>
      </c>
      <c r="AG3419" s="1" t="s">
        <v>3464</v>
      </c>
      <c r="AH3419" s="1" t="s">
        <v>49</v>
      </c>
      <c r="AI3419" s="1" t="s">
        <v>54</v>
      </c>
      <c r="AJ3419" s="1">
        <v>0</v>
      </c>
      <c r="AK3419" s="1" t="str">
        <f t="shared" si="53"/>
        <v xml:space="preserve"> =&lt;90</v>
      </c>
      <c r="AL3419" s="1" t="e">
        <f>VLOOKUP(C:C,[1]基础信息!B$1:D$65536,3,0)</f>
        <v>#N/A</v>
      </c>
      <c r="AM3419" s="1" t="e">
        <f>VLOOKUP(C:C,[1]基础信息!B$1:E$65536,4,0)</f>
        <v>#N/A</v>
      </c>
      <c r="AN3419" s="1" t="e">
        <f>VLOOKUP(C:C,[1]基础信息!B$1:F$65536,5,0)</f>
        <v>#N/A</v>
      </c>
    </row>
    <row r="3420" spans="1:40">
      <c r="A3420" s="1" t="s">
        <v>41</v>
      </c>
      <c r="B3420" s="1" t="s">
        <v>42</v>
      </c>
      <c r="C3420" s="1" t="s">
        <v>6806</v>
      </c>
      <c r="D3420" s="1" t="s">
        <v>6807</v>
      </c>
      <c r="E3420" s="1" t="s">
        <v>45</v>
      </c>
      <c r="F3420" s="1" t="s">
        <v>7844</v>
      </c>
      <c r="G3420" s="1" t="s">
        <v>7838</v>
      </c>
      <c r="H3420" s="1" t="s">
        <v>45</v>
      </c>
      <c r="I3420" s="1" t="s">
        <v>45</v>
      </c>
      <c r="J3420" s="1" t="s">
        <v>48</v>
      </c>
      <c r="K3420" s="1">
        <v>2</v>
      </c>
      <c r="L3420" s="1">
        <v>0</v>
      </c>
      <c r="M3420" s="1">
        <v>0</v>
      </c>
      <c r="N3420" s="1">
        <v>2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 t="s">
        <v>49</v>
      </c>
      <c r="AA3420" s="1" t="s">
        <v>49</v>
      </c>
      <c r="AB3420" s="1" t="s">
        <v>49</v>
      </c>
      <c r="AC3420" s="1" t="s">
        <v>6810</v>
      </c>
      <c r="AD3420" s="1" t="s">
        <v>6811</v>
      </c>
      <c r="AE3420" s="1" t="s">
        <v>6810</v>
      </c>
      <c r="AF3420" s="1" t="s">
        <v>6834</v>
      </c>
      <c r="AG3420" s="1" t="s">
        <v>7556</v>
      </c>
      <c r="AH3420" s="1" t="s">
        <v>49</v>
      </c>
      <c r="AI3420" s="1" t="s">
        <v>54</v>
      </c>
      <c r="AJ3420" s="1">
        <v>0</v>
      </c>
      <c r="AK3420" s="1" t="str">
        <f t="shared" si="53"/>
        <v xml:space="preserve"> =&lt;90</v>
      </c>
      <c r="AL3420" s="1" t="e">
        <f>VLOOKUP(C:C,[1]基础信息!B$1:D$65536,3,0)</f>
        <v>#N/A</v>
      </c>
      <c r="AM3420" s="1" t="e">
        <f>VLOOKUP(C:C,[1]基础信息!B$1:E$65536,4,0)</f>
        <v>#N/A</v>
      </c>
      <c r="AN3420" s="1" t="e">
        <f>VLOOKUP(C:C,[1]基础信息!B$1:F$65536,5,0)</f>
        <v>#N/A</v>
      </c>
    </row>
    <row r="3421" spans="1:40">
      <c r="A3421" s="1" t="s">
        <v>41</v>
      </c>
      <c r="B3421" s="1" t="s">
        <v>42</v>
      </c>
      <c r="C3421" s="1" t="s">
        <v>6806</v>
      </c>
      <c r="D3421" s="1" t="s">
        <v>6807</v>
      </c>
      <c r="E3421" s="1" t="s">
        <v>45</v>
      </c>
      <c r="F3421" s="1" t="s">
        <v>7845</v>
      </c>
      <c r="G3421" s="1" t="s">
        <v>7838</v>
      </c>
      <c r="H3421" s="1" t="s">
        <v>45</v>
      </c>
      <c r="I3421" s="1" t="s">
        <v>45</v>
      </c>
      <c r="J3421" s="1" t="s">
        <v>48</v>
      </c>
      <c r="K3421" s="1">
        <v>1</v>
      </c>
      <c r="L3421" s="1">
        <v>0</v>
      </c>
      <c r="M3421" s="1">
        <v>0</v>
      </c>
      <c r="N3421" s="1">
        <v>1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 t="s">
        <v>49</v>
      </c>
      <c r="AA3421" s="1" t="s">
        <v>49</v>
      </c>
      <c r="AB3421" s="1" t="s">
        <v>49</v>
      </c>
      <c r="AC3421" s="1" t="s">
        <v>6810</v>
      </c>
      <c r="AD3421" s="1" t="s">
        <v>6811</v>
      </c>
      <c r="AE3421" s="1" t="s">
        <v>6810</v>
      </c>
      <c r="AF3421" s="1" t="s">
        <v>6812</v>
      </c>
      <c r="AG3421" s="1" t="s">
        <v>1952</v>
      </c>
      <c r="AH3421" s="1" t="s">
        <v>49</v>
      </c>
      <c r="AI3421" s="1" t="s">
        <v>54</v>
      </c>
      <c r="AJ3421" s="1">
        <v>0</v>
      </c>
      <c r="AK3421" s="1" t="str">
        <f t="shared" si="53"/>
        <v xml:space="preserve"> =&lt;90</v>
      </c>
      <c r="AL3421" s="1" t="e">
        <f>VLOOKUP(C:C,[1]基础信息!B$1:D$65536,3,0)</f>
        <v>#N/A</v>
      </c>
      <c r="AM3421" s="1" t="e">
        <f>VLOOKUP(C:C,[1]基础信息!B$1:E$65536,4,0)</f>
        <v>#N/A</v>
      </c>
      <c r="AN3421" s="1" t="e">
        <f>VLOOKUP(C:C,[1]基础信息!B$1:F$65536,5,0)</f>
        <v>#N/A</v>
      </c>
    </row>
    <row r="3422" spans="1:40">
      <c r="A3422" s="1" t="s">
        <v>41</v>
      </c>
      <c r="B3422" s="1" t="s">
        <v>42</v>
      </c>
      <c r="C3422" s="1" t="s">
        <v>4342</v>
      </c>
      <c r="D3422" s="1" t="s">
        <v>4343</v>
      </c>
      <c r="E3422" s="1" t="s">
        <v>45</v>
      </c>
      <c r="F3422" s="1" t="s">
        <v>7846</v>
      </c>
      <c r="G3422" s="1" t="s">
        <v>7838</v>
      </c>
      <c r="H3422" s="1" t="s">
        <v>45</v>
      </c>
      <c r="I3422" s="1" t="s">
        <v>45</v>
      </c>
      <c r="J3422" s="1" t="s">
        <v>48</v>
      </c>
      <c r="K3422" s="1">
        <v>40</v>
      </c>
      <c r="L3422" s="1">
        <v>0</v>
      </c>
      <c r="M3422" s="1">
        <v>0</v>
      </c>
      <c r="N3422" s="1">
        <v>40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 t="s">
        <v>49</v>
      </c>
      <c r="AA3422" s="1" t="s">
        <v>49</v>
      </c>
      <c r="AB3422" s="1" t="s">
        <v>49</v>
      </c>
      <c r="AC3422" s="1" t="s">
        <v>3361</v>
      </c>
      <c r="AD3422" s="1" t="s">
        <v>3362</v>
      </c>
      <c r="AE3422" s="1" t="s">
        <v>3361</v>
      </c>
      <c r="AF3422" s="1" t="s">
        <v>6784</v>
      </c>
      <c r="AG3422" s="1" t="s">
        <v>3464</v>
      </c>
      <c r="AH3422" s="1" t="s">
        <v>49</v>
      </c>
      <c r="AI3422" s="1" t="s">
        <v>54</v>
      </c>
      <c r="AJ3422" s="1">
        <v>0</v>
      </c>
      <c r="AK3422" s="1" t="str">
        <f t="shared" si="53"/>
        <v xml:space="preserve"> =&lt;90</v>
      </c>
      <c r="AL3422" s="1" t="e">
        <f>VLOOKUP(C:C,[1]基础信息!B$1:D$65536,3,0)</f>
        <v>#N/A</v>
      </c>
      <c r="AM3422" s="1" t="e">
        <f>VLOOKUP(C:C,[1]基础信息!B$1:E$65536,4,0)</f>
        <v>#N/A</v>
      </c>
      <c r="AN3422" s="1" t="e">
        <f>VLOOKUP(C:C,[1]基础信息!B$1:F$65536,5,0)</f>
        <v>#N/A</v>
      </c>
    </row>
    <row r="3423" spans="1:40">
      <c r="A3423" s="1" t="s">
        <v>41</v>
      </c>
      <c r="B3423" s="1" t="s">
        <v>42</v>
      </c>
      <c r="C3423" s="1" t="s">
        <v>4342</v>
      </c>
      <c r="D3423" s="1" t="s">
        <v>4343</v>
      </c>
      <c r="E3423" s="1" t="s">
        <v>45</v>
      </c>
      <c r="F3423" s="1" t="s">
        <v>7847</v>
      </c>
      <c r="G3423" s="1" t="s">
        <v>7838</v>
      </c>
      <c r="H3423" s="1" t="s">
        <v>45</v>
      </c>
      <c r="I3423" s="1" t="s">
        <v>45</v>
      </c>
      <c r="J3423" s="1" t="s">
        <v>48</v>
      </c>
      <c r="K3423" s="1">
        <v>2</v>
      </c>
      <c r="L3423" s="1">
        <v>0</v>
      </c>
      <c r="M3423" s="1">
        <v>0</v>
      </c>
      <c r="N3423" s="1">
        <v>2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 t="s">
        <v>49</v>
      </c>
      <c r="AA3423" s="1" t="s">
        <v>49</v>
      </c>
      <c r="AB3423" s="1" t="s">
        <v>49</v>
      </c>
      <c r="AC3423" s="1" t="s">
        <v>3361</v>
      </c>
      <c r="AD3423" s="1" t="s">
        <v>3362</v>
      </c>
      <c r="AE3423" s="1" t="s">
        <v>3361</v>
      </c>
      <c r="AF3423" s="1" t="s">
        <v>6784</v>
      </c>
      <c r="AG3423" s="1" t="s">
        <v>1952</v>
      </c>
      <c r="AH3423" s="1" t="s">
        <v>49</v>
      </c>
      <c r="AI3423" s="1" t="s">
        <v>54</v>
      </c>
      <c r="AJ3423" s="1">
        <v>1</v>
      </c>
      <c r="AK3423" s="1" t="str">
        <f t="shared" si="53"/>
        <v xml:space="preserve"> =&lt;90</v>
      </c>
      <c r="AL3423" s="1" t="e">
        <f>VLOOKUP(C:C,[1]基础信息!B$1:D$65536,3,0)</f>
        <v>#N/A</v>
      </c>
      <c r="AM3423" s="1" t="e">
        <f>VLOOKUP(C:C,[1]基础信息!B$1:E$65536,4,0)</f>
        <v>#N/A</v>
      </c>
      <c r="AN3423" s="1" t="e">
        <f>VLOOKUP(C:C,[1]基础信息!B$1:F$65536,5,0)</f>
        <v>#N/A</v>
      </c>
    </row>
    <row r="3424" spans="1:40">
      <c r="A3424" s="1" t="s">
        <v>41</v>
      </c>
      <c r="B3424" s="1" t="s">
        <v>42</v>
      </c>
      <c r="C3424" s="1" t="s">
        <v>4438</v>
      </c>
      <c r="D3424" s="1" t="s">
        <v>4439</v>
      </c>
      <c r="E3424" s="1" t="s">
        <v>45</v>
      </c>
      <c r="F3424" s="1" t="s">
        <v>7824</v>
      </c>
      <c r="G3424" s="1" t="s">
        <v>7848</v>
      </c>
      <c r="H3424" s="1" t="s">
        <v>7849</v>
      </c>
      <c r="I3424" s="1" t="s">
        <v>49</v>
      </c>
      <c r="J3424" s="1" t="s">
        <v>48</v>
      </c>
      <c r="K3424" s="1">
        <v>36</v>
      </c>
      <c r="L3424" s="1">
        <v>0</v>
      </c>
      <c r="M3424" s="1">
        <v>0</v>
      </c>
      <c r="N3424" s="1">
        <v>36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 t="s">
        <v>49</v>
      </c>
      <c r="AA3424" s="1" t="s">
        <v>49</v>
      </c>
      <c r="AB3424" s="1" t="s">
        <v>49</v>
      </c>
      <c r="AC3424" s="1" t="s">
        <v>4106</v>
      </c>
      <c r="AD3424" s="1" t="s">
        <v>4107</v>
      </c>
      <c r="AE3424" s="1" t="s">
        <v>4106</v>
      </c>
      <c r="AF3424" s="1" t="s">
        <v>3455</v>
      </c>
      <c r="AG3424" s="1" t="s">
        <v>53</v>
      </c>
      <c r="AH3424" s="1" t="s">
        <v>49</v>
      </c>
      <c r="AI3424" s="1" t="s">
        <v>54</v>
      </c>
      <c r="AJ3424" s="1">
        <v>1</v>
      </c>
      <c r="AK3424" s="1" t="str">
        <f t="shared" si="53"/>
        <v xml:space="preserve"> =&lt;90</v>
      </c>
      <c r="AL3424" s="1" t="str">
        <f>VLOOKUP(C:C,[1]基础信息!B$1:D$65536,3,0)</f>
        <v>Hotcup</v>
      </c>
      <c r="AM3424" s="1" t="str">
        <f>VLOOKUP(C:C,[1]基础信息!B$1:E$65536,4,0)</f>
        <v>Hotcup</v>
      </c>
      <c r="AN3424" s="1" t="str">
        <f>VLOOKUP(C:C,[1]基础信息!B$1:F$65536,5,0)</f>
        <v xml:space="preserve"> green</v>
      </c>
    </row>
    <row r="3425" spans="1:40">
      <c r="A3425" s="1" t="s">
        <v>41</v>
      </c>
      <c r="B3425" s="1" t="s">
        <v>42</v>
      </c>
      <c r="C3425" s="1" t="s">
        <v>4438</v>
      </c>
      <c r="D3425" s="1" t="s">
        <v>4439</v>
      </c>
      <c r="E3425" s="1" t="s">
        <v>45</v>
      </c>
      <c r="F3425" s="1" t="s">
        <v>7824</v>
      </c>
      <c r="G3425" s="1" t="s">
        <v>7850</v>
      </c>
      <c r="H3425" s="1" t="s">
        <v>7851</v>
      </c>
      <c r="I3425" s="1" t="s">
        <v>49</v>
      </c>
      <c r="J3425" s="1" t="s">
        <v>48</v>
      </c>
      <c r="K3425" s="1">
        <v>36</v>
      </c>
      <c r="L3425" s="1">
        <v>0</v>
      </c>
      <c r="M3425" s="1">
        <v>0</v>
      </c>
      <c r="N3425" s="1">
        <v>36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 t="s">
        <v>49</v>
      </c>
      <c r="AA3425" s="1" t="s">
        <v>49</v>
      </c>
      <c r="AB3425" s="1" t="s">
        <v>49</v>
      </c>
      <c r="AC3425" s="1" t="s">
        <v>4106</v>
      </c>
      <c r="AD3425" s="1" t="s">
        <v>4107</v>
      </c>
      <c r="AE3425" s="1" t="s">
        <v>4106</v>
      </c>
      <c r="AF3425" s="1" t="s">
        <v>3455</v>
      </c>
      <c r="AG3425" s="1" t="s">
        <v>53</v>
      </c>
      <c r="AH3425" s="1" t="s">
        <v>49</v>
      </c>
      <c r="AI3425" s="1" t="s">
        <v>54</v>
      </c>
      <c r="AJ3425" s="1">
        <v>1</v>
      </c>
      <c r="AK3425" s="1" t="str">
        <f t="shared" si="53"/>
        <v xml:space="preserve"> =&lt;90</v>
      </c>
      <c r="AL3425" s="1" t="str">
        <f>VLOOKUP(C:C,[1]基础信息!B$1:D$65536,3,0)</f>
        <v>Hotcup</v>
      </c>
      <c r="AM3425" s="1" t="str">
        <f>VLOOKUP(C:C,[1]基础信息!B$1:E$65536,4,0)</f>
        <v>Hotcup</v>
      </c>
      <c r="AN3425" s="1" t="str">
        <f>VLOOKUP(C:C,[1]基础信息!B$1:F$65536,5,0)</f>
        <v xml:space="preserve"> green</v>
      </c>
    </row>
    <row r="3426" spans="1:40">
      <c r="A3426" s="1" t="s">
        <v>41</v>
      </c>
      <c r="B3426" s="1" t="s">
        <v>42</v>
      </c>
      <c r="C3426" s="1" t="s">
        <v>7852</v>
      </c>
      <c r="D3426" s="1" t="s">
        <v>7853</v>
      </c>
      <c r="E3426" s="1" t="s">
        <v>45</v>
      </c>
      <c r="F3426" s="1" t="s">
        <v>7854</v>
      </c>
      <c r="G3426" s="1" t="s">
        <v>7855</v>
      </c>
      <c r="H3426" s="1" t="s">
        <v>45</v>
      </c>
      <c r="I3426" s="1" t="s">
        <v>45</v>
      </c>
      <c r="J3426" s="1" t="s">
        <v>48</v>
      </c>
      <c r="K3426" s="1">
        <v>3</v>
      </c>
      <c r="L3426" s="1">
        <v>0</v>
      </c>
      <c r="M3426" s="1">
        <v>0</v>
      </c>
      <c r="N3426" s="1">
        <v>3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 t="s">
        <v>49</v>
      </c>
      <c r="AA3426" s="1" t="s">
        <v>49</v>
      </c>
      <c r="AB3426" s="1" t="s">
        <v>49</v>
      </c>
      <c r="AC3426" s="1" t="s">
        <v>7815</v>
      </c>
      <c r="AD3426" s="1" t="s">
        <v>7816</v>
      </c>
      <c r="AE3426" s="1" t="s">
        <v>7815</v>
      </c>
      <c r="AF3426" s="1" t="s">
        <v>49</v>
      </c>
      <c r="AG3426" s="1" t="s">
        <v>3464</v>
      </c>
      <c r="AH3426" s="1" t="s">
        <v>49</v>
      </c>
      <c r="AI3426" s="1" t="s">
        <v>54</v>
      </c>
      <c r="AJ3426" s="1">
        <v>0</v>
      </c>
      <c r="AK3426" s="1" t="str">
        <f t="shared" si="53"/>
        <v xml:space="preserve"> =&lt;90</v>
      </c>
      <c r="AL3426" s="1" t="str">
        <f>VLOOKUP(C:C,[1]基础信息!B$1:D$65536,3,0)</f>
        <v xml:space="preserve">Cartridge </v>
      </c>
      <c r="AM3426" s="1" t="str">
        <f>VLOOKUP(C:C,[1]基础信息!B$1:E$65536,4,0)</f>
        <v>LM</v>
      </c>
      <c r="AN3426" s="1" t="str">
        <f>VLOOKUP(C:C,[1]基础信息!B$1:F$65536,5,0)</f>
        <v>P3</v>
      </c>
    </row>
    <row r="3427" spans="1:40">
      <c r="A3427" s="1" t="s">
        <v>41</v>
      </c>
      <c r="B3427" s="1" t="s">
        <v>42</v>
      </c>
      <c r="C3427" s="1" t="s">
        <v>3512</v>
      </c>
      <c r="D3427" s="1" t="s">
        <v>3513</v>
      </c>
      <c r="E3427" s="1" t="s">
        <v>45</v>
      </c>
      <c r="F3427" s="1" t="s">
        <v>7856</v>
      </c>
      <c r="G3427" s="1" t="s">
        <v>7855</v>
      </c>
      <c r="H3427" s="1" t="s">
        <v>45</v>
      </c>
      <c r="I3427" s="1" t="s">
        <v>45</v>
      </c>
      <c r="J3427" s="1" t="s">
        <v>48</v>
      </c>
      <c r="K3427" s="1">
        <v>2</v>
      </c>
      <c r="L3427" s="1">
        <v>0</v>
      </c>
      <c r="M3427" s="1">
        <v>0</v>
      </c>
      <c r="N3427" s="1">
        <v>2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 t="s">
        <v>49</v>
      </c>
      <c r="AA3427" s="1" t="s">
        <v>49</v>
      </c>
      <c r="AB3427" s="1" t="s">
        <v>49</v>
      </c>
      <c r="AC3427" s="1" t="s">
        <v>7815</v>
      </c>
      <c r="AD3427" s="1" t="s">
        <v>7816</v>
      </c>
      <c r="AE3427" s="1" t="s">
        <v>7815</v>
      </c>
      <c r="AF3427" s="1" t="s">
        <v>49</v>
      </c>
      <c r="AG3427" s="1" t="s">
        <v>3464</v>
      </c>
      <c r="AH3427" s="1" t="s">
        <v>49</v>
      </c>
      <c r="AI3427" s="1" t="s">
        <v>54</v>
      </c>
      <c r="AJ3427" s="1">
        <v>1</v>
      </c>
      <c r="AK3427" s="1" t="str">
        <f t="shared" si="53"/>
        <v xml:space="preserve"> =&lt;90</v>
      </c>
      <c r="AL3427" s="1" t="str">
        <f>VLOOKUP(C:C,[1]基础信息!B$1:D$65536,3,0)</f>
        <v xml:space="preserve">Cartridge </v>
      </c>
      <c r="AM3427" s="1" t="str">
        <f>VLOOKUP(C:C,[1]基础信息!B$1:E$65536,4,0)</f>
        <v>UNIV</v>
      </c>
      <c r="AN3427" s="1" t="str">
        <f>VLOOKUP(C:C,[1]基础信息!B$1:F$65536,5,0)</f>
        <v>P3</v>
      </c>
    </row>
    <row r="3428" spans="1:40">
      <c r="A3428" s="1" t="s">
        <v>41</v>
      </c>
      <c r="B3428" s="1" t="s">
        <v>42</v>
      </c>
      <c r="C3428" s="1" t="s">
        <v>4245</v>
      </c>
      <c r="D3428" s="1" t="s">
        <v>4246</v>
      </c>
      <c r="E3428" s="1" t="s">
        <v>4245</v>
      </c>
      <c r="F3428" s="1" t="s">
        <v>7857</v>
      </c>
      <c r="G3428" s="1" t="s">
        <v>7858</v>
      </c>
      <c r="H3428" s="1" t="s">
        <v>45</v>
      </c>
      <c r="I3428" s="1" t="s">
        <v>45</v>
      </c>
      <c r="J3428" s="1" t="s">
        <v>48</v>
      </c>
      <c r="K3428" s="1">
        <v>9</v>
      </c>
      <c r="L3428" s="1">
        <v>0</v>
      </c>
      <c r="M3428" s="1">
        <v>0</v>
      </c>
      <c r="N3428" s="1">
        <v>9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 t="s">
        <v>49</v>
      </c>
      <c r="AA3428" s="1" t="s">
        <v>49</v>
      </c>
      <c r="AB3428" s="1" t="s">
        <v>49</v>
      </c>
      <c r="AC3428" s="1" t="s">
        <v>7859</v>
      </c>
      <c r="AD3428" s="1" t="s">
        <v>7860</v>
      </c>
      <c r="AE3428" s="1" t="s">
        <v>7859</v>
      </c>
      <c r="AF3428" s="1" t="s">
        <v>49</v>
      </c>
      <c r="AG3428" s="1" t="s">
        <v>3464</v>
      </c>
      <c r="AH3428" s="1" t="s">
        <v>49</v>
      </c>
      <c r="AI3428" s="1" t="s">
        <v>54</v>
      </c>
      <c r="AJ3428" s="1">
        <v>1</v>
      </c>
      <c r="AK3428" s="1" t="str">
        <f t="shared" si="53"/>
        <v xml:space="preserve"> =&lt;90</v>
      </c>
      <c r="AL3428" s="1" t="str">
        <f>VLOOKUP(C:C,[1]基础信息!B$1:D$65536,3,0)</f>
        <v>UTS</v>
      </c>
      <c r="AM3428" s="1" t="str">
        <f>VLOOKUP(C:C,[1]基础信息!B$1:E$65536,4,0)</f>
        <v>MyPure Pro</v>
      </c>
      <c r="AN3428" s="1" t="str">
        <f>VLOOKUP(C:C,[1]基础信息!B$1:F$65536,5,0)</f>
        <v>X9</v>
      </c>
    </row>
    <row r="3429" spans="1:40">
      <c r="A3429" s="1" t="s">
        <v>41</v>
      </c>
      <c r="B3429" s="1" t="s">
        <v>42</v>
      </c>
      <c r="C3429" s="1" t="s">
        <v>7704</v>
      </c>
      <c r="D3429" s="1" t="s">
        <v>7705</v>
      </c>
      <c r="E3429" s="1" t="s">
        <v>45</v>
      </c>
      <c r="F3429" s="1" t="s">
        <v>7706</v>
      </c>
      <c r="G3429" s="1" t="s">
        <v>7861</v>
      </c>
      <c r="H3429" s="1" t="s">
        <v>7862</v>
      </c>
      <c r="I3429" s="1" t="s">
        <v>49</v>
      </c>
      <c r="J3429" s="1" t="s">
        <v>48</v>
      </c>
      <c r="K3429" s="1">
        <v>36</v>
      </c>
      <c r="L3429" s="1">
        <v>0</v>
      </c>
      <c r="M3429" s="1">
        <v>0</v>
      </c>
      <c r="N3429" s="1">
        <v>36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 t="s">
        <v>49</v>
      </c>
      <c r="AA3429" s="1" t="s">
        <v>49</v>
      </c>
      <c r="AB3429" s="1" t="s">
        <v>49</v>
      </c>
      <c r="AC3429" s="1" t="s">
        <v>73</v>
      </c>
      <c r="AD3429" s="1" t="s">
        <v>74</v>
      </c>
      <c r="AE3429" s="1" t="s">
        <v>73</v>
      </c>
      <c r="AF3429" s="1" t="s">
        <v>82</v>
      </c>
      <c r="AG3429" s="1" t="s">
        <v>76</v>
      </c>
      <c r="AH3429" s="1" t="s">
        <v>49</v>
      </c>
      <c r="AI3429" s="1" t="s">
        <v>54</v>
      </c>
      <c r="AJ3429" s="1">
        <v>1</v>
      </c>
      <c r="AK3429" s="1" t="str">
        <f t="shared" si="53"/>
        <v xml:space="preserve"> =&lt;90</v>
      </c>
      <c r="AL3429" s="1" t="str">
        <f>VLOOKUP(C:C,[1]基础信息!B$1:D$65536,3,0)</f>
        <v>Hotcup</v>
      </c>
      <c r="AM3429" s="1" t="str">
        <f>VLOOKUP(C:C,[1]基础信息!B$1:E$65536,4,0)</f>
        <v>Hotcup</v>
      </c>
      <c r="AN3429" s="1" t="str">
        <f>VLOOKUP(C:C,[1]基础信息!B$1:F$65536,5,0)</f>
        <v>Silver</v>
      </c>
    </row>
    <row r="3430" spans="1:40">
      <c r="A3430" s="1" t="s">
        <v>41</v>
      </c>
      <c r="B3430" s="1" t="s">
        <v>42</v>
      </c>
      <c r="C3430" s="1" t="s">
        <v>7852</v>
      </c>
      <c r="D3430" s="1" t="s">
        <v>7853</v>
      </c>
      <c r="E3430" s="1" t="s">
        <v>45</v>
      </c>
      <c r="F3430" s="1" t="s">
        <v>7854</v>
      </c>
      <c r="G3430" s="1" t="s">
        <v>7863</v>
      </c>
      <c r="H3430" s="1" t="s">
        <v>45</v>
      </c>
      <c r="I3430" s="1" t="s">
        <v>45</v>
      </c>
      <c r="J3430" s="1" t="s">
        <v>48</v>
      </c>
      <c r="K3430" s="1">
        <v>4</v>
      </c>
      <c r="L3430" s="1">
        <v>0</v>
      </c>
      <c r="M3430" s="1">
        <v>0</v>
      </c>
      <c r="N3430" s="1">
        <v>4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 t="s">
        <v>49</v>
      </c>
      <c r="AA3430" s="1" t="s">
        <v>49</v>
      </c>
      <c r="AB3430" s="1" t="s">
        <v>49</v>
      </c>
      <c r="AC3430" s="1" t="s">
        <v>7815</v>
      </c>
      <c r="AD3430" s="1" t="s">
        <v>7816</v>
      </c>
      <c r="AE3430" s="1" t="s">
        <v>7815</v>
      </c>
      <c r="AF3430" s="1" t="s">
        <v>49</v>
      </c>
      <c r="AG3430" s="1" t="s">
        <v>3464</v>
      </c>
      <c r="AH3430" s="1" t="s">
        <v>49</v>
      </c>
      <c r="AI3430" s="1" t="s">
        <v>54</v>
      </c>
      <c r="AJ3430" s="1">
        <v>0</v>
      </c>
      <c r="AK3430" s="1" t="str">
        <f t="shared" si="53"/>
        <v xml:space="preserve"> =&lt;90</v>
      </c>
      <c r="AL3430" s="1" t="str">
        <f>VLOOKUP(C:C,[1]基础信息!B$1:D$65536,3,0)</f>
        <v xml:space="preserve">Cartridge </v>
      </c>
      <c r="AM3430" s="1" t="str">
        <f>VLOOKUP(C:C,[1]基础信息!B$1:E$65536,4,0)</f>
        <v>LM</v>
      </c>
      <c r="AN3430" s="1" t="str">
        <f>VLOOKUP(C:C,[1]基础信息!B$1:F$65536,5,0)</f>
        <v>P3</v>
      </c>
    </row>
    <row r="3431" spans="1:40">
      <c r="A3431" s="1" t="s">
        <v>41</v>
      </c>
      <c r="B3431" s="1" t="s">
        <v>42</v>
      </c>
      <c r="C3431" s="1" t="s">
        <v>2893</v>
      </c>
      <c r="D3431" s="1" t="s">
        <v>2894</v>
      </c>
      <c r="E3431" s="1" t="s">
        <v>45</v>
      </c>
      <c r="F3431" s="1" t="s">
        <v>7864</v>
      </c>
      <c r="G3431" s="1" t="s">
        <v>7863</v>
      </c>
      <c r="H3431" s="1" t="s">
        <v>45</v>
      </c>
      <c r="I3431" s="1" t="s">
        <v>45</v>
      </c>
      <c r="J3431" s="1" t="s">
        <v>48</v>
      </c>
      <c r="K3431" s="1">
        <v>7</v>
      </c>
      <c r="L3431" s="1">
        <v>0</v>
      </c>
      <c r="M3431" s="1">
        <v>0</v>
      </c>
      <c r="N3431" s="1">
        <v>7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 t="s">
        <v>49</v>
      </c>
      <c r="AA3431" s="1" t="s">
        <v>49</v>
      </c>
      <c r="AB3431" s="1" t="s">
        <v>49</v>
      </c>
      <c r="AC3431" s="1" t="s">
        <v>7815</v>
      </c>
      <c r="AD3431" s="1" t="s">
        <v>7816</v>
      </c>
      <c r="AE3431" s="1" t="s">
        <v>7815</v>
      </c>
      <c r="AF3431" s="1" t="s">
        <v>49</v>
      </c>
      <c r="AG3431" s="1" t="s">
        <v>3464</v>
      </c>
      <c r="AH3431" s="1" t="s">
        <v>49</v>
      </c>
      <c r="AI3431" s="1" t="s">
        <v>54</v>
      </c>
      <c r="AJ3431" s="1">
        <v>0</v>
      </c>
      <c r="AK3431" s="1" t="str">
        <f t="shared" si="53"/>
        <v xml:space="preserve"> =&lt;90</v>
      </c>
      <c r="AL3431" s="1" t="str">
        <f>VLOOKUP(C:C,[1]基础信息!B$1:D$65536,3,0)</f>
        <v xml:space="preserve">Cartridge </v>
      </c>
      <c r="AM3431" s="1" t="str">
        <f>VLOOKUP(C:C,[1]基础信息!B$1:E$65536,4,0)</f>
        <v>UNIV</v>
      </c>
      <c r="AN3431" s="1" t="str">
        <f>VLOOKUP(C:C,[1]基础信息!B$1:F$65536,5,0)</f>
        <v>P1</v>
      </c>
    </row>
    <row r="3432" spans="1:40">
      <c r="A3432" s="1" t="s">
        <v>41</v>
      </c>
      <c r="B3432" s="1" t="s">
        <v>42</v>
      </c>
      <c r="C3432" s="1" t="s">
        <v>3512</v>
      </c>
      <c r="D3432" s="1" t="s">
        <v>3513</v>
      </c>
      <c r="E3432" s="1" t="s">
        <v>45</v>
      </c>
      <c r="F3432" s="1" t="s">
        <v>7856</v>
      </c>
      <c r="G3432" s="1" t="s">
        <v>7863</v>
      </c>
      <c r="H3432" s="1" t="s">
        <v>45</v>
      </c>
      <c r="I3432" s="1" t="s">
        <v>45</v>
      </c>
      <c r="J3432" s="1" t="s">
        <v>48</v>
      </c>
      <c r="K3432" s="1">
        <v>26</v>
      </c>
      <c r="L3432" s="1">
        <v>0</v>
      </c>
      <c r="M3432" s="1">
        <v>0</v>
      </c>
      <c r="N3432" s="1">
        <v>26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 t="s">
        <v>49</v>
      </c>
      <c r="AA3432" s="1" t="s">
        <v>49</v>
      </c>
      <c r="AB3432" s="1" t="s">
        <v>49</v>
      </c>
      <c r="AC3432" s="1" t="s">
        <v>7815</v>
      </c>
      <c r="AD3432" s="1" t="s">
        <v>7816</v>
      </c>
      <c r="AE3432" s="1" t="s">
        <v>7815</v>
      </c>
      <c r="AF3432" s="1" t="s">
        <v>49</v>
      </c>
      <c r="AG3432" s="1" t="s">
        <v>3464</v>
      </c>
      <c r="AH3432" s="1" t="s">
        <v>49</v>
      </c>
      <c r="AI3432" s="1" t="s">
        <v>54</v>
      </c>
      <c r="AJ3432" s="1">
        <v>0</v>
      </c>
      <c r="AK3432" s="1" t="str">
        <f t="shared" si="53"/>
        <v xml:space="preserve"> =&lt;90</v>
      </c>
      <c r="AL3432" s="1" t="str">
        <f>VLOOKUP(C:C,[1]基础信息!B$1:D$65536,3,0)</f>
        <v xml:space="preserve">Cartridge </v>
      </c>
      <c r="AM3432" s="1" t="str">
        <f>VLOOKUP(C:C,[1]基础信息!B$1:E$65536,4,0)</f>
        <v>UNIV</v>
      </c>
      <c r="AN3432" s="1" t="str">
        <f>VLOOKUP(C:C,[1]基础信息!B$1:F$65536,5,0)</f>
        <v>P3</v>
      </c>
    </row>
    <row r="3433" spans="1:40">
      <c r="A3433" s="1" t="s">
        <v>41</v>
      </c>
      <c r="B3433" s="1" t="s">
        <v>42</v>
      </c>
      <c r="C3433" s="1" t="s">
        <v>7818</v>
      </c>
      <c r="D3433" s="1" t="s">
        <v>7819</v>
      </c>
      <c r="E3433" s="1" t="s">
        <v>45</v>
      </c>
      <c r="F3433" s="1" t="s">
        <v>7820</v>
      </c>
      <c r="G3433" s="1" t="s">
        <v>7863</v>
      </c>
      <c r="H3433" s="1" t="s">
        <v>45</v>
      </c>
      <c r="I3433" s="1" t="s">
        <v>45</v>
      </c>
      <c r="J3433" s="1" t="s">
        <v>48</v>
      </c>
      <c r="K3433" s="1">
        <v>12</v>
      </c>
      <c r="L3433" s="1">
        <v>0</v>
      </c>
      <c r="M3433" s="1">
        <v>0</v>
      </c>
      <c r="N3433" s="1">
        <v>12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 t="s">
        <v>49</v>
      </c>
      <c r="AA3433" s="1" t="s">
        <v>49</v>
      </c>
      <c r="AB3433" s="1" t="s">
        <v>49</v>
      </c>
      <c r="AC3433" s="1" t="s">
        <v>7815</v>
      </c>
      <c r="AD3433" s="1" t="s">
        <v>7816</v>
      </c>
      <c r="AE3433" s="1" t="s">
        <v>7815</v>
      </c>
      <c r="AF3433" s="1" t="s">
        <v>49</v>
      </c>
      <c r="AG3433" s="1" t="s">
        <v>3464</v>
      </c>
      <c r="AH3433" s="1" t="s">
        <v>49</v>
      </c>
      <c r="AI3433" s="1" t="s">
        <v>54</v>
      </c>
      <c r="AJ3433" s="1">
        <v>1</v>
      </c>
      <c r="AK3433" s="1" t="str">
        <f t="shared" si="53"/>
        <v xml:space="preserve"> =&lt;90</v>
      </c>
      <c r="AL3433" s="1" t="str">
        <f>VLOOKUP(C:C,[1]基础信息!B$1:D$65536,3,0)</f>
        <v xml:space="preserve">Cartridge </v>
      </c>
      <c r="AM3433" s="1" t="str">
        <f>VLOOKUP(C:C,[1]基础信息!B$1:E$65536,4,0)</f>
        <v>LM</v>
      </c>
      <c r="AN3433" s="1" t="str">
        <f>VLOOKUP(C:C,[1]基础信息!B$1:F$65536,5,0)</f>
        <v>P1</v>
      </c>
    </row>
    <row r="3434" spans="1:40">
      <c r="A3434" s="1" t="s">
        <v>41</v>
      </c>
      <c r="B3434" s="1" t="s">
        <v>42</v>
      </c>
      <c r="C3434" s="1" t="s">
        <v>7704</v>
      </c>
      <c r="D3434" s="1" t="s">
        <v>7705</v>
      </c>
      <c r="E3434" s="1" t="s">
        <v>45</v>
      </c>
      <c r="F3434" s="1" t="s">
        <v>7706</v>
      </c>
      <c r="G3434" s="1" t="s">
        <v>7865</v>
      </c>
      <c r="H3434" s="1" t="s">
        <v>7866</v>
      </c>
      <c r="I3434" s="1" t="s">
        <v>49</v>
      </c>
      <c r="J3434" s="1" t="s">
        <v>48</v>
      </c>
      <c r="K3434" s="1">
        <v>36</v>
      </c>
      <c r="L3434" s="1">
        <v>0</v>
      </c>
      <c r="M3434" s="1">
        <v>0</v>
      </c>
      <c r="N3434" s="1">
        <v>36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 t="s">
        <v>49</v>
      </c>
      <c r="AA3434" s="1" t="s">
        <v>49</v>
      </c>
      <c r="AB3434" s="1" t="s">
        <v>49</v>
      </c>
      <c r="AC3434" s="1" t="s">
        <v>73</v>
      </c>
      <c r="AD3434" s="1" t="s">
        <v>74</v>
      </c>
      <c r="AE3434" s="1" t="s">
        <v>73</v>
      </c>
      <c r="AF3434" s="1" t="s">
        <v>82</v>
      </c>
      <c r="AG3434" s="1" t="s">
        <v>76</v>
      </c>
      <c r="AH3434" s="1" t="s">
        <v>49</v>
      </c>
      <c r="AI3434" s="1" t="s">
        <v>54</v>
      </c>
      <c r="AJ3434" s="1">
        <v>1</v>
      </c>
      <c r="AK3434" s="1" t="str">
        <f t="shared" si="53"/>
        <v xml:space="preserve"> =&lt;90</v>
      </c>
      <c r="AL3434" s="1" t="str">
        <f>VLOOKUP(C:C,[1]基础信息!B$1:D$65536,3,0)</f>
        <v>Hotcup</v>
      </c>
      <c r="AM3434" s="1" t="str">
        <f>VLOOKUP(C:C,[1]基础信息!B$1:E$65536,4,0)</f>
        <v>Hotcup</v>
      </c>
      <c r="AN3434" s="1" t="str">
        <f>VLOOKUP(C:C,[1]基础信息!B$1:F$65536,5,0)</f>
        <v>Silver</v>
      </c>
    </row>
    <row r="3435" spans="1:40">
      <c r="A3435" s="1" t="s">
        <v>41</v>
      </c>
      <c r="B3435" s="1" t="s">
        <v>42</v>
      </c>
      <c r="C3435" s="1" t="s">
        <v>7704</v>
      </c>
      <c r="D3435" s="1" t="s">
        <v>7705</v>
      </c>
      <c r="E3435" s="1" t="s">
        <v>45</v>
      </c>
      <c r="F3435" s="1" t="s">
        <v>7706</v>
      </c>
      <c r="G3435" s="1" t="s">
        <v>7867</v>
      </c>
      <c r="H3435" s="1" t="s">
        <v>7868</v>
      </c>
      <c r="I3435" s="1" t="s">
        <v>49</v>
      </c>
      <c r="J3435" s="1" t="s">
        <v>48</v>
      </c>
      <c r="K3435" s="1">
        <v>36</v>
      </c>
      <c r="L3435" s="1">
        <v>0</v>
      </c>
      <c r="M3435" s="1">
        <v>0</v>
      </c>
      <c r="N3435" s="1">
        <v>36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 t="s">
        <v>49</v>
      </c>
      <c r="AA3435" s="1" t="s">
        <v>49</v>
      </c>
      <c r="AB3435" s="1" t="s">
        <v>49</v>
      </c>
      <c r="AC3435" s="1" t="s">
        <v>73</v>
      </c>
      <c r="AD3435" s="1" t="s">
        <v>74</v>
      </c>
      <c r="AE3435" s="1" t="s">
        <v>73</v>
      </c>
      <c r="AF3435" s="1" t="s">
        <v>82</v>
      </c>
      <c r="AG3435" s="1" t="s">
        <v>76</v>
      </c>
      <c r="AH3435" s="1" t="s">
        <v>49</v>
      </c>
      <c r="AI3435" s="1" t="s">
        <v>54</v>
      </c>
      <c r="AJ3435" s="1">
        <v>1</v>
      </c>
      <c r="AK3435" s="1" t="str">
        <f t="shared" si="53"/>
        <v xml:space="preserve"> =&lt;90</v>
      </c>
      <c r="AL3435" s="1" t="str">
        <f>VLOOKUP(C:C,[1]基础信息!B$1:D$65536,3,0)</f>
        <v>Hotcup</v>
      </c>
      <c r="AM3435" s="1" t="str">
        <f>VLOOKUP(C:C,[1]基础信息!B$1:E$65536,4,0)</f>
        <v>Hotcup</v>
      </c>
      <c r="AN3435" s="1" t="str">
        <f>VLOOKUP(C:C,[1]基础信息!B$1:F$65536,5,0)</f>
        <v>Silver</v>
      </c>
    </row>
    <row r="3436" spans="1:40">
      <c r="A3436" s="1" t="s">
        <v>41</v>
      </c>
      <c r="B3436" s="1" t="s">
        <v>42</v>
      </c>
      <c r="C3436" s="1" t="s">
        <v>5105</v>
      </c>
      <c r="D3436" s="1" t="s">
        <v>5106</v>
      </c>
      <c r="E3436" s="1" t="s">
        <v>5105</v>
      </c>
      <c r="F3436" s="1" t="s">
        <v>7869</v>
      </c>
      <c r="G3436" s="1" t="s">
        <v>7870</v>
      </c>
      <c r="H3436" s="1" t="s">
        <v>45</v>
      </c>
      <c r="I3436" s="1" t="s">
        <v>45</v>
      </c>
      <c r="J3436" s="1" t="s">
        <v>48</v>
      </c>
      <c r="K3436" s="1">
        <v>1</v>
      </c>
      <c r="L3436" s="1">
        <v>0</v>
      </c>
      <c r="M3436" s="1">
        <v>0</v>
      </c>
      <c r="N3436" s="1">
        <v>1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 t="s">
        <v>49</v>
      </c>
      <c r="AA3436" s="1" t="s">
        <v>49</v>
      </c>
      <c r="AB3436" s="1" t="s">
        <v>49</v>
      </c>
      <c r="AC3436" s="1" t="s">
        <v>3098</v>
      </c>
      <c r="AD3436" s="1" t="s">
        <v>3099</v>
      </c>
      <c r="AE3436" s="1" t="s">
        <v>3098</v>
      </c>
      <c r="AF3436" s="1" t="s">
        <v>7871</v>
      </c>
      <c r="AG3436" s="1" t="s">
        <v>76</v>
      </c>
      <c r="AH3436" s="1" t="s">
        <v>49</v>
      </c>
      <c r="AI3436" s="1" t="s">
        <v>54</v>
      </c>
      <c r="AJ3436" s="1">
        <v>0</v>
      </c>
      <c r="AK3436" s="1" t="str">
        <f t="shared" si="53"/>
        <v xml:space="preserve"> =&lt;90</v>
      </c>
      <c r="AL3436" s="1" t="str">
        <f>VLOOKUP(C:C,[1]基础信息!B$1:D$65536,3,0)</f>
        <v>UTS</v>
      </c>
      <c r="AM3436" s="1" t="str">
        <f>VLOOKUP(C:C,[1]基础信息!B$1:E$65536,4,0)</f>
        <v>MyPure Pro</v>
      </c>
      <c r="AN3436" s="1" t="str">
        <f>VLOOKUP(C:C,[1]基础信息!B$1:F$65536,5,0)</f>
        <v>X3</v>
      </c>
    </row>
    <row r="3437" spans="1:40">
      <c r="A3437" s="1" t="s">
        <v>41</v>
      </c>
      <c r="B3437" s="1" t="s">
        <v>42</v>
      </c>
      <c r="C3437" s="1" t="s">
        <v>5105</v>
      </c>
      <c r="D3437" s="1" t="s">
        <v>5106</v>
      </c>
      <c r="E3437" s="1" t="s">
        <v>5105</v>
      </c>
      <c r="F3437" s="1" t="s">
        <v>7872</v>
      </c>
      <c r="G3437" s="1" t="s">
        <v>7870</v>
      </c>
      <c r="H3437" s="1" t="s">
        <v>45</v>
      </c>
      <c r="I3437" s="1" t="s">
        <v>45</v>
      </c>
      <c r="J3437" s="1" t="s">
        <v>48</v>
      </c>
      <c r="K3437" s="1">
        <v>1</v>
      </c>
      <c r="L3437" s="1">
        <v>0</v>
      </c>
      <c r="M3437" s="1">
        <v>0</v>
      </c>
      <c r="N3437" s="1">
        <v>1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 t="s">
        <v>49</v>
      </c>
      <c r="AA3437" s="1" t="s">
        <v>49</v>
      </c>
      <c r="AB3437" s="1" t="s">
        <v>49</v>
      </c>
      <c r="AC3437" s="1" t="s">
        <v>3098</v>
      </c>
      <c r="AD3437" s="1" t="s">
        <v>3099</v>
      </c>
      <c r="AE3437" s="1" t="s">
        <v>3098</v>
      </c>
      <c r="AF3437" s="1" t="s">
        <v>7873</v>
      </c>
      <c r="AG3437" s="1" t="s">
        <v>76</v>
      </c>
      <c r="AH3437" s="1" t="s">
        <v>49</v>
      </c>
      <c r="AI3437" s="1" t="s">
        <v>54</v>
      </c>
      <c r="AJ3437" s="1">
        <v>0</v>
      </c>
      <c r="AK3437" s="1" t="str">
        <f t="shared" si="53"/>
        <v xml:space="preserve"> =&lt;90</v>
      </c>
      <c r="AL3437" s="1" t="str">
        <f>VLOOKUP(C:C,[1]基础信息!B$1:D$65536,3,0)</f>
        <v>UTS</v>
      </c>
      <c r="AM3437" s="1" t="str">
        <f>VLOOKUP(C:C,[1]基础信息!B$1:E$65536,4,0)</f>
        <v>MyPure Pro</v>
      </c>
      <c r="AN3437" s="1" t="str">
        <f>VLOOKUP(C:C,[1]基础信息!B$1:F$65536,5,0)</f>
        <v>X3</v>
      </c>
    </row>
    <row r="3438" spans="1:40">
      <c r="A3438" s="1" t="s">
        <v>41</v>
      </c>
      <c r="B3438" s="1" t="s">
        <v>42</v>
      </c>
      <c r="C3438" s="1" t="s">
        <v>4245</v>
      </c>
      <c r="D3438" s="1" t="s">
        <v>4246</v>
      </c>
      <c r="E3438" s="1" t="s">
        <v>4245</v>
      </c>
      <c r="F3438" s="1" t="s">
        <v>7874</v>
      </c>
      <c r="G3438" s="1" t="s">
        <v>7870</v>
      </c>
      <c r="H3438" s="1" t="s">
        <v>45</v>
      </c>
      <c r="I3438" s="1" t="s">
        <v>45</v>
      </c>
      <c r="J3438" s="1" t="s">
        <v>48</v>
      </c>
      <c r="K3438" s="1">
        <v>1</v>
      </c>
      <c r="L3438" s="1">
        <v>0</v>
      </c>
      <c r="M3438" s="1">
        <v>0</v>
      </c>
      <c r="N3438" s="1">
        <v>1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 t="s">
        <v>49</v>
      </c>
      <c r="AA3438" s="1" t="s">
        <v>49</v>
      </c>
      <c r="AB3438" s="1" t="s">
        <v>49</v>
      </c>
      <c r="AC3438" s="1" t="s">
        <v>3098</v>
      </c>
      <c r="AD3438" s="1" t="s">
        <v>3099</v>
      </c>
      <c r="AE3438" s="1" t="s">
        <v>3098</v>
      </c>
      <c r="AF3438" s="1" t="s">
        <v>7875</v>
      </c>
      <c r="AG3438" s="1" t="s">
        <v>76</v>
      </c>
      <c r="AH3438" s="1" t="s">
        <v>49</v>
      </c>
      <c r="AI3438" s="1" t="s">
        <v>54</v>
      </c>
      <c r="AJ3438" s="1">
        <v>0</v>
      </c>
      <c r="AK3438" s="1" t="str">
        <f t="shared" si="53"/>
        <v xml:space="preserve"> =&lt;90</v>
      </c>
      <c r="AL3438" s="1" t="str">
        <f>VLOOKUP(C:C,[1]基础信息!B$1:D$65536,3,0)</f>
        <v>UTS</v>
      </c>
      <c r="AM3438" s="1" t="str">
        <f>VLOOKUP(C:C,[1]基础信息!B$1:E$65536,4,0)</f>
        <v>MyPure Pro</v>
      </c>
      <c r="AN3438" s="1" t="str">
        <f>VLOOKUP(C:C,[1]基础信息!B$1:F$65536,5,0)</f>
        <v>X9</v>
      </c>
    </row>
    <row r="3439" spans="1:40">
      <c r="A3439" s="1" t="s">
        <v>41</v>
      </c>
      <c r="B3439" s="1" t="s">
        <v>42</v>
      </c>
      <c r="C3439" s="1" t="s">
        <v>4245</v>
      </c>
      <c r="D3439" s="1" t="s">
        <v>4246</v>
      </c>
      <c r="E3439" s="1" t="s">
        <v>4245</v>
      </c>
      <c r="F3439" s="1" t="s">
        <v>7876</v>
      </c>
      <c r="G3439" s="1" t="s">
        <v>7870</v>
      </c>
      <c r="H3439" s="1" t="s">
        <v>45</v>
      </c>
      <c r="I3439" s="1" t="s">
        <v>45</v>
      </c>
      <c r="J3439" s="1" t="s">
        <v>48</v>
      </c>
      <c r="K3439" s="1">
        <v>4</v>
      </c>
      <c r="L3439" s="1">
        <v>0</v>
      </c>
      <c r="M3439" s="1">
        <v>0</v>
      </c>
      <c r="N3439" s="1">
        <v>4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 t="s">
        <v>49</v>
      </c>
      <c r="AA3439" s="1" t="s">
        <v>49</v>
      </c>
      <c r="AB3439" s="1" t="s">
        <v>49</v>
      </c>
      <c r="AC3439" s="1" t="s">
        <v>3098</v>
      </c>
      <c r="AD3439" s="1" t="s">
        <v>3099</v>
      </c>
      <c r="AE3439" s="1" t="s">
        <v>3098</v>
      </c>
      <c r="AF3439" s="1" t="s">
        <v>7877</v>
      </c>
      <c r="AG3439" s="1" t="s">
        <v>76</v>
      </c>
      <c r="AH3439" s="1" t="s">
        <v>49</v>
      </c>
      <c r="AI3439" s="1" t="s">
        <v>54</v>
      </c>
      <c r="AJ3439" s="1">
        <v>0</v>
      </c>
      <c r="AK3439" s="1" t="str">
        <f t="shared" si="53"/>
        <v xml:space="preserve"> =&lt;90</v>
      </c>
      <c r="AL3439" s="1" t="str">
        <f>VLOOKUP(C:C,[1]基础信息!B$1:D$65536,3,0)</f>
        <v>UTS</v>
      </c>
      <c r="AM3439" s="1" t="str">
        <f>VLOOKUP(C:C,[1]基础信息!B$1:E$65536,4,0)</f>
        <v>MyPure Pro</v>
      </c>
      <c r="AN3439" s="1" t="str">
        <f>VLOOKUP(C:C,[1]基础信息!B$1:F$65536,5,0)</f>
        <v>X9</v>
      </c>
    </row>
    <row r="3440" spans="1:40">
      <c r="A3440" s="1" t="s">
        <v>41</v>
      </c>
      <c r="B3440" s="1" t="s">
        <v>42</v>
      </c>
      <c r="C3440" s="1" t="s">
        <v>4245</v>
      </c>
      <c r="D3440" s="1" t="s">
        <v>4246</v>
      </c>
      <c r="E3440" s="1" t="s">
        <v>4245</v>
      </c>
      <c r="F3440" s="1" t="s">
        <v>7878</v>
      </c>
      <c r="G3440" s="1" t="s">
        <v>7870</v>
      </c>
      <c r="H3440" s="1" t="s">
        <v>45</v>
      </c>
      <c r="I3440" s="1" t="s">
        <v>45</v>
      </c>
      <c r="J3440" s="1" t="s">
        <v>48</v>
      </c>
      <c r="K3440" s="1">
        <v>1</v>
      </c>
      <c r="L3440" s="1">
        <v>0</v>
      </c>
      <c r="M3440" s="1">
        <v>0</v>
      </c>
      <c r="N3440" s="1">
        <v>1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 t="s">
        <v>49</v>
      </c>
      <c r="AA3440" s="1" t="s">
        <v>49</v>
      </c>
      <c r="AB3440" s="1" t="s">
        <v>49</v>
      </c>
      <c r="AC3440" s="1" t="s">
        <v>3098</v>
      </c>
      <c r="AD3440" s="1" t="s">
        <v>3099</v>
      </c>
      <c r="AE3440" s="1" t="s">
        <v>3098</v>
      </c>
      <c r="AF3440" s="1" t="s">
        <v>7879</v>
      </c>
      <c r="AG3440" s="1" t="s">
        <v>76</v>
      </c>
      <c r="AH3440" s="1" t="s">
        <v>49</v>
      </c>
      <c r="AI3440" s="1" t="s">
        <v>54</v>
      </c>
      <c r="AJ3440" s="1">
        <v>1</v>
      </c>
      <c r="AK3440" s="1" t="str">
        <f t="shared" si="53"/>
        <v xml:space="preserve"> =&lt;90</v>
      </c>
      <c r="AL3440" s="1" t="str">
        <f>VLOOKUP(C:C,[1]基础信息!B$1:D$65536,3,0)</f>
        <v>UTS</v>
      </c>
      <c r="AM3440" s="1" t="str">
        <f>VLOOKUP(C:C,[1]基础信息!B$1:E$65536,4,0)</f>
        <v>MyPure Pro</v>
      </c>
      <c r="AN3440" s="1" t="str">
        <f>VLOOKUP(C:C,[1]基础信息!B$1:F$65536,5,0)</f>
        <v>X9</v>
      </c>
    </row>
    <row r="3441" spans="1:40">
      <c r="A3441" s="1" t="s">
        <v>41</v>
      </c>
      <c r="B3441" s="1" t="s">
        <v>42</v>
      </c>
      <c r="C3441" s="1" t="s">
        <v>7704</v>
      </c>
      <c r="D3441" s="1" t="s">
        <v>7705</v>
      </c>
      <c r="E3441" s="1" t="s">
        <v>45</v>
      </c>
      <c r="F3441" s="1" t="s">
        <v>7706</v>
      </c>
      <c r="G3441" s="1" t="s">
        <v>7880</v>
      </c>
      <c r="H3441" s="1" t="s">
        <v>7881</v>
      </c>
      <c r="I3441" s="1" t="s">
        <v>49</v>
      </c>
      <c r="J3441" s="1" t="s">
        <v>48</v>
      </c>
      <c r="K3441" s="1">
        <v>36</v>
      </c>
      <c r="L3441" s="1">
        <v>0</v>
      </c>
      <c r="M3441" s="1">
        <v>0</v>
      </c>
      <c r="N3441" s="1">
        <v>36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 t="s">
        <v>49</v>
      </c>
      <c r="AA3441" s="1" t="s">
        <v>49</v>
      </c>
      <c r="AB3441" s="1" t="s">
        <v>49</v>
      </c>
      <c r="AC3441" s="1" t="s">
        <v>73</v>
      </c>
      <c r="AD3441" s="1" t="s">
        <v>74</v>
      </c>
      <c r="AE3441" s="1" t="s">
        <v>73</v>
      </c>
      <c r="AF3441" s="1" t="s">
        <v>82</v>
      </c>
      <c r="AG3441" s="1" t="s">
        <v>76</v>
      </c>
      <c r="AH3441" s="1" t="s">
        <v>49</v>
      </c>
      <c r="AI3441" s="1" t="s">
        <v>54</v>
      </c>
      <c r="AJ3441" s="1">
        <v>1</v>
      </c>
      <c r="AK3441" s="1" t="str">
        <f t="shared" si="53"/>
        <v xml:space="preserve"> =&lt;90</v>
      </c>
      <c r="AL3441" s="1" t="str">
        <f>VLOOKUP(C:C,[1]基础信息!B$1:D$65536,3,0)</f>
        <v>Hotcup</v>
      </c>
      <c r="AM3441" s="1" t="str">
        <f>VLOOKUP(C:C,[1]基础信息!B$1:E$65536,4,0)</f>
        <v>Hotcup</v>
      </c>
      <c r="AN3441" s="1" t="str">
        <f>VLOOKUP(C:C,[1]基础信息!B$1:F$65536,5,0)</f>
        <v>Silver</v>
      </c>
    </row>
    <row r="3442" spans="1:40">
      <c r="A3442" s="1" t="s">
        <v>41</v>
      </c>
      <c r="B3442" s="1" t="s">
        <v>42</v>
      </c>
      <c r="C3442" s="1" t="s">
        <v>7704</v>
      </c>
      <c r="D3442" s="1" t="s">
        <v>7705</v>
      </c>
      <c r="E3442" s="1" t="s">
        <v>45</v>
      </c>
      <c r="F3442" s="1" t="s">
        <v>7706</v>
      </c>
      <c r="G3442" s="1" t="s">
        <v>7882</v>
      </c>
      <c r="H3442" s="1" t="s">
        <v>7883</v>
      </c>
      <c r="I3442" s="1" t="s">
        <v>49</v>
      </c>
      <c r="J3442" s="1" t="s">
        <v>48</v>
      </c>
      <c r="K3442" s="1">
        <v>36</v>
      </c>
      <c r="L3442" s="1">
        <v>0</v>
      </c>
      <c r="M3442" s="1">
        <v>0</v>
      </c>
      <c r="N3442" s="1">
        <v>36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 t="s">
        <v>49</v>
      </c>
      <c r="AA3442" s="1" t="s">
        <v>49</v>
      </c>
      <c r="AB3442" s="1" t="s">
        <v>49</v>
      </c>
      <c r="AC3442" s="1" t="s">
        <v>73</v>
      </c>
      <c r="AD3442" s="1" t="s">
        <v>74</v>
      </c>
      <c r="AE3442" s="1" t="s">
        <v>73</v>
      </c>
      <c r="AF3442" s="1" t="s">
        <v>82</v>
      </c>
      <c r="AG3442" s="1" t="s">
        <v>76</v>
      </c>
      <c r="AH3442" s="1" t="s">
        <v>49</v>
      </c>
      <c r="AI3442" s="1" t="s">
        <v>54</v>
      </c>
      <c r="AJ3442" s="1">
        <v>1</v>
      </c>
      <c r="AK3442" s="1" t="str">
        <f t="shared" si="53"/>
        <v xml:space="preserve"> =&lt;90</v>
      </c>
      <c r="AL3442" s="1" t="str">
        <f>VLOOKUP(C:C,[1]基础信息!B$1:D$65536,3,0)</f>
        <v>Hotcup</v>
      </c>
      <c r="AM3442" s="1" t="str">
        <f>VLOOKUP(C:C,[1]基础信息!B$1:E$65536,4,0)</f>
        <v>Hotcup</v>
      </c>
      <c r="AN3442" s="1" t="str">
        <f>VLOOKUP(C:C,[1]基础信息!B$1:F$65536,5,0)</f>
        <v>Silver</v>
      </c>
    </row>
    <row r="3443" spans="1:40">
      <c r="A3443" s="1" t="s">
        <v>41</v>
      </c>
      <c r="B3443" s="1" t="s">
        <v>42</v>
      </c>
      <c r="C3443" s="1" t="s">
        <v>5105</v>
      </c>
      <c r="D3443" s="1" t="s">
        <v>5106</v>
      </c>
      <c r="E3443" s="1" t="s">
        <v>5105</v>
      </c>
      <c r="F3443" s="1" t="s">
        <v>7884</v>
      </c>
      <c r="G3443" s="1" t="s">
        <v>7885</v>
      </c>
      <c r="H3443" s="1" t="s">
        <v>45</v>
      </c>
      <c r="I3443" s="1" t="s">
        <v>45</v>
      </c>
      <c r="J3443" s="1" t="s">
        <v>48</v>
      </c>
      <c r="K3443" s="1">
        <v>1</v>
      </c>
      <c r="L3443" s="1">
        <v>0</v>
      </c>
      <c r="M3443" s="1">
        <v>0</v>
      </c>
      <c r="N3443" s="1">
        <v>1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 t="s">
        <v>49</v>
      </c>
      <c r="AA3443" s="1" t="s">
        <v>49</v>
      </c>
      <c r="AB3443" s="1" t="s">
        <v>49</v>
      </c>
      <c r="AC3443" s="1" t="s">
        <v>7859</v>
      </c>
      <c r="AD3443" s="1" t="s">
        <v>7860</v>
      </c>
      <c r="AE3443" s="1" t="s">
        <v>7859</v>
      </c>
      <c r="AF3443" s="1" t="s">
        <v>49</v>
      </c>
      <c r="AG3443" s="1" t="s">
        <v>3464</v>
      </c>
      <c r="AH3443" s="1" t="s">
        <v>49</v>
      </c>
      <c r="AI3443" s="1" t="s">
        <v>54</v>
      </c>
      <c r="AJ3443" s="1">
        <v>1</v>
      </c>
      <c r="AK3443" s="1" t="str">
        <f t="shared" si="53"/>
        <v xml:space="preserve"> =&lt;90</v>
      </c>
      <c r="AL3443" s="1" t="str">
        <f>VLOOKUP(C:C,[1]基础信息!B$1:D$65536,3,0)</f>
        <v>UTS</v>
      </c>
      <c r="AM3443" s="1" t="str">
        <f>VLOOKUP(C:C,[1]基础信息!B$1:E$65536,4,0)</f>
        <v>MyPure Pro</v>
      </c>
      <c r="AN3443" s="1" t="str">
        <f>VLOOKUP(C:C,[1]基础信息!B$1:F$65536,5,0)</f>
        <v>X3</v>
      </c>
    </row>
    <row r="3444" spans="1:40">
      <c r="A3444" s="1" t="s">
        <v>41</v>
      </c>
      <c r="B3444" s="1" t="s">
        <v>42</v>
      </c>
      <c r="C3444" s="1" t="s">
        <v>7697</v>
      </c>
      <c r="D3444" s="1" t="s">
        <v>7587</v>
      </c>
      <c r="E3444" s="1" t="s">
        <v>45</v>
      </c>
      <c r="F3444" s="1" t="s">
        <v>7886</v>
      </c>
      <c r="G3444" s="1" t="s">
        <v>7887</v>
      </c>
      <c r="H3444" s="1" t="s">
        <v>7888</v>
      </c>
      <c r="I3444" s="1" t="s">
        <v>49</v>
      </c>
      <c r="J3444" s="1" t="s">
        <v>48</v>
      </c>
      <c r="K3444" s="1">
        <v>78</v>
      </c>
      <c r="L3444" s="1">
        <v>0</v>
      </c>
      <c r="M3444" s="1">
        <v>0</v>
      </c>
      <c r="N3444" s="1">
        <v>78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 t="s">
        <v>49</v>
      </c>
      <c r="AA3444" s="1" t="s">
        <v>49</v>
      </c>
      <c r="AB3444" s="1" t="s">
        <v>49</v>
      </c>
      <c r="AC3444" s="1" t="s">
        <v>7767</v>
      </c>
      <c r="AD3444" s="1" t="s">
        <v>3975</v>
      </c>
      <c r="AE3444" s="1" t="s">
        <v>7768</v>
      </c>
      <c r="AF3444" s="1" t="s">
        <v>7769</v>
      </c>
      <c r="AG3444" s="1" t="s">
        <v>53</v>
      </c>
      <c r="AH3444" s="1" t="s">
        <v>49</v>
      </c>
      <c r="AI3444" s="1" t="s">
        <v>54</v>
      </c>
      <c r="AJ3444" s="1">
        <v>1</v>
      </c>
      <c r="AK3444" s="1" t="str">
        <f t="shared" si="53"/>
        <v xml:space="preserve"> =&lt;90</v>
      </c>
      <c r="AL3444" s="1" t="e">
        <f>VLOOKUP(C:C,[1]基础信息!B$1:D$65536,3,0)</f>
        <v>#N/A</v>
      </c>
      <c r="AM3444" s="1" t="e">
        <f>VLOOKUP(C:C,[1]基础信息!B$1:E$65536,4,0)</f>
        <v>#N/A</v>
      </c>
      <c r="AN3444" s="1" t="e">
        <f>VLOOKUP(C:C,[1]基础信息!B$1:F$65536,5,0)</f>
        <v>#N/A</v>
      </c>
    </row>
    <row r="3445" spans="1:40">
      <c r="A3445" s="1" t="s">
        <v>41</v>
      </c>
      <c r="B3445" s="1" t="s">
        <v>42</v>
      </c>
      <c r="C3445" s="1" t="s">
        <v>6106</v>
      </c>
      <c r="D3445" s="1" t="s">
        <v>6107</v>
      </c>
      <c r="E3445" s="1" t="s">
        <v>45</v>
      </c>
      <c r="F3445" s="1" t="s">
        <v>7813</v>
      </c>
      <c r="G3445" s="1" t="s">
        <v>7889</v>
      </c>
      <c r="H3445" s="1" t="s">
        <v>45</v>
      </c>
      <c r="I3445" s="1" t="s">
        <v>45</v>
      </c>
      <c r="J3445" s="1" t="s">
        <v>48</v>
      </c>
      <c r="K3445" s="1">
        <v>38</v>
      </c>
      <c r="L3445" s="1">
        <v>0</v>
      </c>
      <c r="M3445" s="1">
        <v>0</v>
      </c>
      <c r="N3445" s="1">
        <v>38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 t="s">
        <v>49</v>
      </c>
      <c r="AA3445" s="1" t="s">
        <v>49</v>
      </c>
      <c r="AB3445" s="1" t="s">
        <v>49</v>
      </c>
      <c r="AC3445" s="1" t="s">
        <v>7815</v>
      </c>
      <c r="AD3445" s="1" t="s">
        <v>7816</v>
      </c>
      <c r="AE3445" s="1" t="s">
        <v>7815</v>
      </c>
      <c r="AF3445" s="1" t="s">
        <v>49</v>
      </c>
      <c r="AG3445" s="1" t="s">
        <v>3464</v>
      </c>
      <c r="AH3445" s="1" t="s">
        <v>49</v>
      </c>
      <c r="AI3445" s="1" t="s">
        <v>54</v>
      </c>
      <c r="AJ3445" s="1">
        <v>0</v>
      </c>
      <c r="AK3445" s="1" t="str">
        <f t="shared" si="53"/>
        <v xml:space="preserve"> =&lt;90</v>
      </c>
      <c r="AL3445" s="1" t="str">
        <f>VLOOKUP(C:C,[1]基础信息!B$1:D$65536,3,0)</f>
        <v>On tap</v>
      </c>
      <c r="AM3445" s="1" t="str">
        <f>VLOOKUP(C:C,[1]基础信息!B$1:E$65536,4,0)</f>
        <v>On tap</v>
      </c>
      <c r="AN3445" s="1" t="str">
        <f>VLOOKUP(C:C,[1]基础信息!B$1:F$65536,5,0)</f>
        <v>Refill</v>
      </c>
    </row>
    <row r="3446" spans="1:40">
      <c r="A3446" s="1" t="s">
        <v>41</v>
      </c>
      <c r="B3446" s="1" t="s">
        <v>42</v>
      </c>
      <c r="C3446" s="1" t="s">
        <v>1437</v>
      </c>
      <c r="D3446" s="1" t="s">
        <v>1438</v>
      </c>
      <c r="E3446" s="1" t="s">
        <v>45</v>
      </c>
      <c r="F3446" s="1" t="s">
        <v>7817</v>
      </c>
      <c r="G3446" s="1" t="s">
        <v>7889</v>
      </c>
      <c r="H3446" s="1" t="s">
        <v>45</v>
      </c>
      <c r="I3446" s="1" t="s">
        <v>45</v>
      </c>
      <c r="J3446" s="1" t="s">
        <v>48</v>
      </c>
      <c r="K3446" s="1">
        <v>6</v>
      </c>
      <c r="L3446" s="1">
        <v>0</v>
      </c>
      <c r="M3446" s="1">
        <v>0</v>
      </c>
      <c r="N3446" s="1">
        <v>6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 t="s">
        <v>49</v>
      </c>
      <c r="AA3446" s="1" t="s">
        <v>49</v>
      </c>
      <c r="AB3446" s="1" t="s">
        <v>49</v>
      </c>
      <c r="AC3446" s="1" t="s">
        <v>7815</v>
      </c>
      <c r="AD3446" s="1" t="s">
        <v>7816</v>
      </c>
      <c r="AE3446" s="1" t="s">
        <v>7815</v>
      </c>
      <c r="AF3446" s="1" t="s">
        <v>49</v>
      </c>
      <c r="AG3446" s="1" t="s">
        <v>3464</v>
      </c>
      <c r="AH3446" s="1" t="s">
        <v>49</v>
      </c>
      <c r="AI3446" s="1" t="s">
        <v>54</v>
      </c>
      <c r="AJ3446" s="1">
        <v>1</v>
      </c>
      <c r="AK3446" s="1" t="str">
        <f t="shared" si="53"/>
        <v xml:space="preserve"> =&lt;90</v>
      </c>
      <c r="AL3446" s="1" t="str">
        <f>VLOOKUP(C:C,[1]基础信息!B$1:D$65536,3,0)</f>
        <v>On tap</v>
      </c>
      <c r="AM3446" s="1" t="str">
        <f>VLOOKUP(C:C,[1]基础信息!B$1:E$65536,4,0)</f>
        <v>On tap</v>
      </c>
      <c r="AN3446" s="1" t="str">
        <f>VLOOKUP(C:C,[1]基础信息!B$1:F$65536,5,0)</f>
        <v>On tap</v>
      </c>
    </row>
    <row r="3447" spans="1:40">
      <c r="A3447" s="1" t="s">
        <v>41</v>
      </c>
      <c r="B3447" s="1" t="s">
        <v>42</v>
      </c>
      <c r="C3447" s="1" t="s">
        <v>3423</v>
      </c>
      <c r="D3447" s="1" t="s">
        <v>3424</v>
      </c>
      <c r="E3447" s="1" t="s">
        <v>45</v>
      </c>
      <c r="F3447" s="1" t="s">
        <v>7647</v>
      </c>
      <c r="G3447" s="1" t="s">
        <v>7890</v>
      </c>
      <c r="H3447" s="1" t="s">
        <v>7891</v>
      </c>
      <c r="I3447" s="1" t="s">
        <v>49</v>
      </c>
      <c r="J3447" s="1" t="s">
        <v>48</v>
      </c>
      <c r="K3447" s="1">
        <v>12</v>
      </c>
      <c r="L3447" s="1">
        <v>0</v>
      </c>
      <c r="M3447" s="1">
        <v>0</v>
      </c>
      <c r="N3447" s="1">
        <v>12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 t="s">
        <v>49</v>
      </c>
      <c r="AA3447" s="1" t="s">
        <v>49</v>
      </c>
      <c r="AB3447" s="1" t="s">
        <v>49</v>
      </c>
      <c r="AC3447" s="1" t="s">
        <v>7542</v>
      </c>
      <c r="AD3447" s="1" t="s">
        <v>7650</v>
      </c>
      <c r="AE3447" s="1" t="s">
        <v>7542</v>
      </c>
      <c r="AF3447" s="1" t="s">
        <v>63</v>
      </c>
      <c r="AG3447" s="1" t="s">
        <v>53</v>
      </c>
      <c r="AH3447" s="1" t="s">
        <v>49</v>
      </c>
      <c r="AI3447" s="1" t="s">
        <v>54</v>
      </c>
      <c r="AJ3447" s="1">
        <v>1</v>
      </c>
      <c r="AK3447" s="1" t="str">
        <f t="shared" si="53"/>
        <v xml:space="preserve"> =&lt;90</v>
      </c>
      <c r="AL3447" s="1" t="e">
        <f>VLOOKUP(C:C,[1]基础信息!B$1:D$65536,3,0)</f>
        <v>#N/A</v>
      </c>
      <c r="AM3447" s="1" t="e">
        <f>VLOOKUP(C:C,[1]基础信息!B$1:E$65536,4,0)</f>
        <v>#N/A</v>
      </c>
      <c r="AN3447" s="1" t="e">
        <f>VLOOKUP(C:C,[1]基础信息!B$1:F$65536,5,0)</f>
        <v>#N/A</v>
      </c>
    </row>
    <row r="3448" spans="1:40">
      <c r="A3448" s="1" t="s">
        <v>41</v>
      </c>
      <c r="B3448" s="1" t="s">
        <v>42</v>
      </c>
      <c r="C3448" s="1" t="s">
        <v>7704</v>
      </c>
      <c r="D3448" s="1" t="s">
        <v>7705</v>
      </c>
      <c r="E3448" s="1" t="s">
        <v>45</v>
      </c>
      <c r="F3448" s="1" t="s">
        <v>7706</v>
      </c>
      <c r="G3448" s="1" t="s">
        <v>7892</v>
      </c>
      <c r="H3448" s="1" t="s">
        <v>7893</v>
      </c>
      <c r="I3448" s="1" t="s">
        <v>49</v>
      </c>
      <c r="J3448" s="1" t="s">
        <v>48</v>
      </c>
      <c r="K3448" s="1">
        <v>36</v>
      </c>
      <c r="L3448" s="1">
        <v>0</v>
      </c>
      <c r="M3448" s="1">
        <v>0</v>
      </c>
      <c r="N3448" s="1">
        <v>36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 t="s">
        <v>49</v>
      </c>
      <c r="AA3448" s="1" t="s">
        <v>49</v>
      </c>
      <c r="AB3448" s="1" t="s">
        <v>49</v>
      </c>
      <c r="AC3448" s="1" t="s">
        <v>73</v>
      </c>
      <c r="AD3448" s="1" t="s">
        <v>74</v>
      </c>
      <c r="AE3448" s="1" t="s">
        <v>73</v>
      </c>
      <c r="AF3448" s="1" t="s">
        <v>82</v>
      </c>
      <c r="AG3448" s="1" t="s">
        <v>76</v>
      </c>
      <c r="AH3448" s="1" t="s">
        <v>49</v>
      </c>
      <c r="AI3448" s="1" t="s">
        <v>54</v>
      </c>
      <c r="AJ3448" s="1">
        <v>1</v>
      </c>
      <c r="AK3448" s="1" t="str">
        <f t="shared" si="53"/>
        <v xml:space="preserve"> =&lt;90</v>
      </c>
      <c r="AL3448" s="1" t="str">
        <f>VLOOKUP(C:C,[1]基础信息!B$1:D$65536,3,0)</f>
        <v>Hotcup</v>
      </c>
      <c r="AM3448" s="1" t="str">
        <f>VLOOKUP(C:C,[1]基础信息!B$1:E$65536,4,0)</f>
        <v>Hotcup</v>
      </c>
      <c r="AN3448" s="1" t="str">
        <f>VLOOKUP(C:C,[1]基础信息!B$1:F$65536,5,0)</f>
        <v>Silver</v>
      </c>
    </row>
    <row r="3449" spans="1:40">
      <c r="A3449" s="1" t="s">
        <v>41</v>
      </c>
      <c r="B3449" s="1" t="s">
        <v>42</v>
      </c>
      <c r="C3449" s="1" t="s">
        <v>1183</v>
      </c>
      <c r="D3449" s="1" t="s">
        <v>1184</v>
      </c>
      <c r="E3449" s="1" t="s">
        <v>45</v>
      </c>
      <c r="F3449" s="1" t="s">
        <v>7772</v>
      </c>
      <c r="G3449" s="1" t="s">
        <v>7894</v>
      </c>
      <c r="H3449" s="1" t="s">
        <v>7895</v>
      </c>
      <c r="I3449" s="1" t="s">
        <v>49</v>
      </c>
      <c r="J3449" s="1" t="s">
        <v>48</v>
      </c>
      <c r="K3449" s="1">
        <v>12</v>
      </c>
      <c r="L3449" s="1">
        <v>0</v>
      </c>
      <c r="M3449" s="1">
        <v>0</v>
      </c>
      <c r="N3449" s="1">
        <v>12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 t="s">
        <v>49</v>
      </c>
      <c r="AA3449" s="1" t="s">
        <v>49</v>
      </c>
      <c r="AB3449" s="1" t="s">
        <v>49</v>
      </c>
      <c r="AC3449" s="1" t="s">
        <v>109</v>
      </c>
      <c r="AD3449" s="1" t="s">
        <v>110</v>
      </c>
      <c r="AE3449" s="1" t="s">
        <v>109</v>
      </c>
      <c r="AF3449" s="1" t="s">
        <v>3721</v>
      </c>
      <c r="AG3449" s="1" t="s">
        <v>53</v>
      </c>
      <c r="AH3449" s="1" t="s">
        <v>49</v>
      </c>
      <c r="AI3449" s="1" t="s">
        <v>54</v>
      </c>
      <c r="AJ3449" s="1">
        <v>1</v>
      </c>
      <c r="AK3449" s="1" t="str">
        <f t="shared" si="53"/>
        <v xml:space="preserve"> =&lt;90</v>
      </c>
      <c r="AL3449" s="1" t="e">
        <f>VLOOKUP(C:C,[1]基础信息!B$1:D$65536,3,0)</f>
        <v>#N/A</v>
      </c>
      <c r="AM3449" s="1" t="e">
        <f>VLOOKUP(C:C,[1]基础信息!B$1:E$65536,4,0)</f>
        <v>#N/A</v>
      </c>
      <c r="AN3449" s="1" t="e">
        <f>VLOOKUP(C:C,[1]基础信息!B$1:F$65536,5,0)</f>
        <v>#N/A</v>
      </c>
    </row>
    <row r="3450" spans="1:40">
      <c r="A3450" s="1" t="s">
        <v>41</v>
      </c>
      <c r="B3450" s="1" t="s">
        <v>42</v>
      </c>
      <c r="C3450" s="1" t="s">
        <v>645</v>
      </c>
      <c r="D3450" s="1" t="s">
        <v>646</v>
      </c>
      <c r="E3450" s="1" t="s">
        <v>645</v>
      </c>
      <c r="F3450" s="1" t="s">
        <v>7896</v>
      </c>
      <c r="G3450" s="1" t="s">
        <v>7897</v>
      </c>
      <c r="H3450" s="1" t="s">
        <v>45</v>
      </c>
      <c r="I3450" s="1" t="s">
        <v>45</v>
      </c>
      <c r="J3450" s="1" t="s">
        <v>48</v>
      </c>
      <c r="K3450" s="1">
        <v>1</v>
      </c>
      <c r="L3450" s="1">
        <v>0</v>
      </c>
      <c r="M3450" s="1">
        <v>0</v>
      </c>
      <c r="N3450" s="1">
        <v>1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 t="s">
        <v>49</v>
      </c>
      <c r="AA3450" s="1" t="s">
        <v>49</v>
      </c>
      <c r="AB3450" s="1" t="s">
        <v>49</v>
      </c>
      <c r="AC3450" s="1" t="s">
        <v>7815</v>
      </c>
      <c r="AD3450" s="1" t="s">
        <v>7816</v>
      </c>
      <c r="AE3450" s="1" t="s">
        <v>7815</v>
      </c>
      <c r="AF3450" s="1" t="s">
        <v>49</v>
      </c>
      <c r="AG3450" s="1" t="s">
        <v>76</v>
      </c>
      <c r="AH3450" s="1" t="s">
        <v>49</v>
      </c>
      <c r="AI3450" s="1" t="s">
        <v>54</v>
      </c>
      <c r="AJ3450" s="1">
        <v>0</v>
      </c>
      <c r="AK3450" s="1" t="str">
        <f t="shared" si="53"/>
        <v xml:space="preserve"> =&lt;90</v>
      </c>
      <c r="AL3450" s="1" t="str">
        <f>VLOOKUP(C:C,[1]基础信息!B$1:D$65536,3,0)</f>
        <v>UTS</v>
      </c>
      <c r="AM3450" s="1" t="str">
        <f>VLOOKUP(C:C,[1]基础信息!B$1:E$65536,4,0)</f>
        <v>MyPure Pro</v>
      </c>
      <c r="AN3450" s="1" t="str">
        <f>VLOOKUP(C:C,[1]基础信息!B$1:F$65536,5,0)</f>
        <v>Refill</v>
      </c>
    </row>
    <row r="3451" spans="1:40">
      <c r="A3451" s="1" t="s">
        <v>41</v>
      </c>
      <c r="B3451" s="1" t="s">
        <v>42</v>
      </c>
      <c r="C3451" s="1" t="s">
        <v>301</v>
      </c>
      <c r="D3451" s="1" t="s">
        <v>302</v>
      </c>
      <c r="E3451" s="1" t="s">
        <v>45</v>
      </c>
      <c r="F3451" s="1" t="s">
        <v>7898</v>
      </c>
      <c r="G3451" s="1" t="s">
        <v>7897</v>
      </c>
      <c r="H3451" s="1" t="s">
        <v>45</v>
      </c>
      <c r="I3451" s="1" t="s">
        <v>45</v>
      </c>
      <c r="J3451" s="1" t="s">
        <v>48</v>
      </c>
      <c r="K3451" s="1">
        <v>1</v>
      </c>
      <c r="L3451" s="1">
        <v>0</v>
      </c>
      <c r="M3451" s="1">
        <v>0</v>
      </c>
      <c r="N3451" s="1">
        <v>1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 t="s">
        <v>49</v>
      </c>
      <c r="AA3451" s="1" t="s">
        <v>49</v>
      </c>
      <c r="AB3451" s="1" t="s">
        <v>49</v>
      </c>
      <c r="AC3451" s="1" t="s">
        <v>7815</v>
      </c>
      <c r="AD3451" s="1" t="s">
        <v>7816</v>
      </c>
      <c r="AE3451" s="1" t="s">
        <v>7815</v>
      </c>
      <c r="AF3451" s="1" t="s">
        <v>49</v>
      </c>
      <c r="AG3451" s="1" t="s">
        <v>3464</v>
      </c>
      <c r="AH3451" s="1" t="s">
        <v>49</v>
      </c>
      <c r="AI3451" s="1" t="s">
        <v>54</v>
      </c>
      <c r="AJ3451" s="1">
        <v>0</v>
      </c>
      <c r="AK3451" s="1" t="str">
        <f t="shared" si="53"/>
        <v xml:space="preserve"> =&lt;90</v>
      </c>
      <c r="AL3451" s="1" t="str">
        <f>VLOOKUP(C:C,[1]基础信息!B$1:D$65536,3,0)</f>
        <v>Jug</v>
      </c>
      <c r="AM3451" s="1" t="str">
        <f>VLOOKUP(C:C,[1]基础信息!B$1:E$65536,4,0)</f>
        <v>Aluna</v>
      </c>
      <c r="AN3451" s="1" t="str">
        <f>VLOOKUP(C:C,[1]基础信息!B$1:F$65536,5,0)</f>
        <v>Blue</v>
      </c>
    </row>
    <row r="3452" spans="1:40">
      <c r="A3452" s="1" t="s">
        <v>41</v>
      </c>
      <c r="B3452" s="1" t="s">
        <v>42</v>
      </c>
      <c r="C3452" s="1" t="s">
        <v>7899</v>
      </c>
      <c r="D3452" s="1" t="s">
        <v>7900</v>
      </c>
      <c r="E3452" s="1" t="s">
        <v>45</v>
      </c>
      <c r="F3452" s="1" t="s">
        <v>7901</v>
      </c>
      <c r="G3452" s="1" t="s">
        <v>7897</v>
      </c>
      <c r="H3452" s="1" t="s">
        <v>45</v>
      </c>
      <c r="I3452" s="1" t="s">
        <v>45</v>
      </c>
      <c r="J3452" s="1" t="s">
        <v>48</v>
      </c>
      <c r="K3452" s="1">
        <v>1</v>
      </c>
      <c r="L3452" s="1">
        <v>0</v>
      </c>
      <c r="M3452" s="1">
        <v>0</v>
      </c>
      <c r="N3452" s="1">
        <v>1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 t="s">
        <v>49</v>
      </c>
      <c r="AA3452" s="1" t="s">
        <v>49</v>
      </c>
      <c r="AB3452" s="1" t="s">
        <v>49</v>
      </c>
      <c r="AC3452" s="1" t="s">
        <v>7815</v>
      </c>
      <c r="AD3452" s="1" t="s">
        <v>7816</v>
      </c>
      <c r="AE3452" s="1" t="s">
        <v>7815</v>
      </c>
      <c r="AF3452" s="1" t="s">
        <v>49</v>
      </c>
      <c r="AG3452" s="1" t="s">
        <v>3464</v>
      </c>
      <c r="AH3452" s="1" t="s">
        <v>49</v>
      </c>
      <c r="AI3452" s="1" t="s">
        <v>54</v>
      </c>
      <c r="AJ3452" s="1">
        <v>0</v>
      </c>
      <c r="AK3452" s="1" t="str">
        <f t="shared" si="53"/>
        <v xml:space="preserve"> =&lt;90</v>
      </c>
      <c r="AL3452" s="1" t="str">
        <f>VLOOKUP(C:C,[1]基础信息!B$1:D$65536,3,0)</f>
        <v>Bundle</v>
      </c>
      <c r="AM3452" s="1" t="str">
        <f>VLOOKUP(C:C,[1]基础信息!B$1:E$65536,4,0)</f>
        <v>WaFiBo</v>
      </c>
      <c r="AN3452" s="1" t="str">
        <f>VLOOKUP(C:C,[1]基础信息!B$1:F$65536,5,0)</f>
        <v>Blue</v>
      </c>
    </row>
    <row r="3453" spans="1:40">
      <c r="A3453" s="1" t="s">
        <v>41</v>
      </c>
      <c r="B3453" s="1" t="s">
        <v>42</v>
      </c>
      <c r="C3453" s="1" t="s">
        <v>2654</v>
      </c>
      <c r="D3453" s="1" t="s">
        <v>2655</v>
      </c>
      <c r="E3453" s="1" t="s">
        <v>45</v>
      </c>
      <c r="F3453" s="1" t="s">
        <v>7902</v>
      </c>
      <c r="G3453" s="1" t="s">
        <v>7897</v>
      </c>
      <c r="H3453" s="1" t="s">
        <v>45</v>
      </c>
      <c r="I3453" s="1" t="s">
        <v>45</v>
      </c>
      <c r="J3453" s="1" t="s">
        <v>48</v>
      </c>
      <c r="K3453" s="1">
        <v>2</v>
      </c>
      <c r="L3453" s="1">
        <v>0</v>
      </c>
      <c r="M3453" s="1">
        <v>0</v>
      </c>
      <c r="N3453" s="1">
        <v>2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 t="s">
        <v>49</v>
      </c>
      <c r="AA3453" s="1" t="s">
        <v>49</v>
      </c>
      <c r="AB3453" s="1" t="s">
        <v>49</v>
      </c>
      <c r="AC3453" s="1" t="s">
        <v>7815</v>
      </c>
      <c r="AD3453" s="1" t="s">
        <v>7816</v>
      </c>
      <c r="AE3453" s="1" t="s">
        <v>7815</v>
      </c>
      <c r="AF3453" s="1" t="s">
        <v>49</v>
      </c>
      <c r="AG3453" s="1" t="s">
        <v>3464</v>
      </c>
      <c r="AH3453" s="1" t="s">
        <v>49</v>
      </c>
      <c r="AI3453" s="1" t="s">
        <v>54</v>
      </c>
      <c r="AJ3453" s="1">
        <v>1</v>
      </c>
      <c r="AK3453" s="1" t="str">
        <f t="shared" si="53"/>
        <v xml:space="preserve"> =&lt;90</v>
      </c>
      <c r="AL3453" s="1" t="e">
        <f>VLOOKUP(C:C,[1]基础信息!B$1:D$65536,3,0)</f>
        <v>#N/A</v>
      </c>
      <c r="AM3453" s="1" t="e">
        <f>VLOOKUP(C:C,[1]基础信息!B$1:E$65536,4,0)</f>
        <v>#N/A</v>
      </c>
      <c r="AN3453" s="1" t="e">
        <f>VLOOKUP(C:C,[1]基础信息!B$1:F$65536,5,0)</f>
        <v>#N/A</v>
      </c>
    </row>
    <row r="3454" spans="1:40">
      <c r="A3454" s="1" t="s">
        <v>41</v>
      </c>
      <c r="B3454" s="1" t="s">
        <v>42</v>
      </c>
      <c r="C3454" s="1" t="s">
        <v>7704</v>
      </c>
      <c r="D3454" s="1" t="s">
        <v>7705</v>
      </c>
      <c r="E3454" s="1" t="s">
        <v>45</v>
      </c>
      <c r="F3454" s="1" t="s">
        <v>7706</v>
      </c>
      <c r="G3454" s="1" t="s">
        <v>7903</v>
      </c>
      <c r="H3454" s="1" t="s">
        <v>7904</v>
      </c>
      <c r="I3454" s="1" t="s">
        <v>49</v>
      </c>
      <c r="J3454" s="1" t="s">
        <v>48</v>
      </c>
      <c r="K3454" s="1">
        <v>36</v>
      </c>
      <c r="L3454" s="1">
        <v>0</v>
      </c>
      <c r="M3454" s="1">
        <v>0</v>
      </c>
      <c r="N3454" s="1">
        <v>36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 t="s">
        <v>49</v>
      </c>
      <c r="AA3454" s="1" t="s">
        <v>49</v>
      </c>
      <c r="AB3454" s="1" t="s">
        <v>49</v>
      </c>
      <c r="AC3454" s="1" t="s">
        <v>73</v>
      </c>
      <c r="AD3454" s="1" t="s">
        <v>74</v>
      </c>
      <c r="AE3454" s="1" t="s">
        <v>73</v>
      </c>
      <c r="AF3454" s="1" t="s">
        <v>82</v>
      </c>
      <c r="AG3454" s="1" t="s">
        <v>76</v>
      </c>
      <c r="AH3454" s="1" t="s">
        <v>49</v>
      </c>
      <c r="AI3454" s="1" t="s">
        <v>54</v>
      </c>
      <c r="AJ3454" s="1">
        <v>1</v>
      </c>
      <c r="AK3454" s="1" t="str">
        <f t="shared" si="53"/>
        <v xml:space="preserve"> =&lt;90</v>
      </c>
      <c r="AL3454" s="1" t="str">
        <f>VLOOKUP(C:C,[1]基础信息!B$1:D$65536,3,0)</f>
        <v>Hotcup</v>
      </c>
      <c r="AM3454" s="1" t="str">
        <f>VLOOKUP(C:C,[1]基础信息!B$1:E$65536,4,0)</f>
        <v>Hotcup</v>
      </c>
      <c r="AN3454" s="1" t="str">
        <f>VLOOKUP(C:C,[1]基础信息!B$1:F$65536,5,0)</f>
        <v>Silver</v>
      </c>
    </row>
    <row r="3455" spans="1:40">
      <c r="A3455" s="1" t="s">
        <v>41</v>
      </c>
      <c r="B3455" s="1" t="s">
        <v>42</v>
      </c>
      <c r="C3455" s="1" t="s">
        <v>7704</v>
      </c>
      <c r="D3455" s="1" t="s">
        <v>7705</v>
      </c>
      <c r="E3455" s="1" t="s">
        <v>45</v>
      </c>
      <c r="F3455" s="1" t="s">
        <v>7706</v>
      </c>
      <c r="G3455" s="1" t="s">
        <v>7905</v>
      </c>
      <c r="H3455" s="1" t="s">
        <v>7906</v>
      </c>
      <c r="I3455" s="1" t="s">
        <v>49</v>
      </c>
      <c r="J3455" s="1" t="s">
        <v>48</v>
      </c>
      <c r="K3455" s="1">
        <v>36</v>
      </c>
      <c r="L3455" s="1">
        <v>0</v>
      </c>
      <c r="M3455" s="1">
        <v>0</v>
      </c>
      <c r="N3455" s="1">
        <v>36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 t="s">
        <v>49</v>
      </c>
      <c r="AA3455" s="1" t="s">
        <v>49</v>
      </c>
      <c r="AB3455" s="1" t="s">
        <v>49</v>
      </c>
      <c r="AC3455" s="1" t="s">
        <v>73</v>
      </c>
      <c r="AD3455" s="1" t="s">
        <v>74</v>
      </c>
      <c r="AE3455" s="1" t="s">
        <v>73</v>
      </c>
      <c r="AF3455" s="1" t="s">
        <v>82</v>
      </c>
      <c r="AG3455" s="1" t="s">
        <v>76</v>
      </c>
      <c r="AH3455" s="1" t="s">
        <v>49</v>
      </c>
      <c r="AI3455" s="1" t="s">
        <v>54</v>
      </c>
      <c r="AJ3455" s="1">
        <v>1</v>
      </c>
      <c r="AK3455" s="1" t="str">
        <f t="shared" si="53"/>
        <v xml:space="preserve"> =&lt;90</v>
      </c>
      <c r="AL3455" s="1" t="str">
        <f>VLOOKUP(C:C,[1]基础信息!B$1:D$65536,3,0)</f>
        <v>Hotcup</v>
      </c>
      <c r="AM3455" s="1" t="str">
        <f>VLOOKUP(C:C,[1]基础信息!B$1:E$65536,4,0)</f>
        <v>Hotcup</v>
      </c>
      <c r="AN3455" s="1" t="str">
        <f>VLOOKUP(C:C,[1]基础信息!B$1:F$65536,5,0)</f>
        <v>Silver</v>
      </c>
    </row>
    <row r="3456" spans="1:40">
      <c r="A3456" s="1" t="s">
        <v>41</v>
      </c>
      <c r="B3456" s="1" t="s">
        <v>42</v>
      </c>
      <c r="C3456" s="1" t="s">
        <v>7704</v>
      </c>
      <c r="D3456" s="1" t="s">
        <v>7705</v>
      </c>
      <c r="E3456" s="1" t="s">
        <v>45</v>
      </c>
      <c r="F3456" s="1" t="s">
        <v>7706</v>
      </c>
      <c r="G3456" s="1" t="s">
        <v>7907</v>
      </c>
      <c r="H3456" s="1" t="s">
        <v>7908</v>
      </c>
      <c r="I3456" s="1" t="s">
        <v>49</v>
      </c>
      <c r="J3456" s="1" t="s">
        <v>48</v>
      </c>
      <c r="K3456" s="1">
        <v>36</v>
      </c>
      <c r="L3456" s="1">
        <v>0</v>
      </c>
      <c r="M3456" s="1">
        <v>0</v>
      </c>
      <c r="N3456" s="1">
        <v>36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 t="s">
        <v>49</v>
      </c>
      <c r="AA3456" s="1" t="s">
        <v>49</v>
      </c>
      <c r="AB3456" s="1" t="s">
        <v>49</v>
      </c>
      <c r="AC3456" s="1" t="s">
        <v>73</v>
      </c>
      <c r="AD3456" s="1" t="s">
        <v>74</v>
      </c>
      <c r="AE3456" s="1" t="s">
        <v>73</v>
      </c>
      <c r="AF3456" s="1" t="s">
        <v>82</v>
      </c>
      <c r="AG3456" s="1" t="s">
        <v>76</v>
      </c>
      <c r="AH3456" s="1" t="s">
        <v>49</v>
      </c>
      <c r="AI3456" s="1" t="s">
        <v>54</v>
      </c>
      <c r="AJ3456" s="1">
        <v>1</v>
      </c>
      <c r="AK3456" s="1" t="str">
        <f t="shared" si="53"/>
        <v xml:space="preserve"> =&lt;90</v>
      </c>
      <c r="AL3456" s="1" t="str">
        <f>VLOOKUP(C:C,[1]基础信息!B$1:D$65536,3,0)</f>
        <v>Hotcup</v>
      </c>
      <c r="AM3456" s="1" t="str">
        <f>VLOOKUP(C:C,[1]基础信息!B$1:E$65536,4,0)</f>
        <v>Hotcup</v>
      </c>
      <c r="AN3456" s="1" t="str">
        <f>VLOOKUP(C:C,[1]基础信息!B$1:F$65536,5,0)</f>
        <v>Silver</v>
      </c>
    </row>
    <row r="3457" spans="1:40">
      <c r="A3457" s="1" t="s">
        <v>41</v>
      </c>
      <c r="B3457" s="1" t="s">
        <v>42</v>
      </c>
      <c r="C3457" s="1" t="s">
        <v>7704</v>
      </c>
      <c r="D3457" s="1" t="s">
        <v>7705</v>
      </c>
      <c r="E3457" s="1" t="s">
        <v>45</v>
      </c>
      <c r="F3457" s="1" t="s">
        <v>7706</v>
      </c>
      <c r="G3457" s="1" t="s">
        <v>7909</v>
      </c>
      <c r="H3457" s="1" t="s">
        <v>7910</v>
      </c>
      <c r="I3457" s="1" t="s">
        <v>49</v>
      </c>
      <c r="J3457" s="1" t="s">
        <v>48</v>
      </c>
      <c r="K3457" s="1">
        <v>36</v>
      </c>
      <c r="L3457" s="1">
        <v>0</v>
      </c>
      <c r="M3457" s="1">
        <v>0</v>
      </c>
      <c r="N3457" s="1">
        <v>36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 t="s">
        <v>49</v>
      </c>
      <c r="AA3457" s="1" t="s">
        <v>49</v>
      </c>
      <c r="AB3457" s="1" t="s">
        <v>49</v>
      </c>
      <c r="AC3457" s="1" t="s">
        <v>73</v>
      </c>
      <c r="AD3457" s="1" t="s">
        <v>74</v>
      </c>
      <c r="AE3457" s="1" t="s">
        <v>73</v>
      </c>
      <c r="AF3457" s="1" t="s">
        <v>82</v>
      </c>
      <c r="AG3457" s="1" t="s">
        <v>76</v>
      </c>
      <c r="AH3457" s="1" t="s">
        <v>49</v>
      </c>
      <c r="AI3457" s="1" t="s">
        <v>54</v>
      </c>
      <c r="AJ3457" s="1">
        <v>1</v>
      </c>
      <c r="AK3457" s="1" t="str">
        <f t="shared" si="53"/>
        <v xml:space="preserve"> =&lt;90</v>
      </c>
      <c r="AL3457" s="1" t="str">
        <f>VLOOKUP(C:C,[1]基础信息!B$1:D$65536,3,0)</f>
        <v>Hotcup</v>
      </c>
      <c r="AM3457" s="1" t="str">
        <f>VLOOKUP(C:C,[1]基础信息!B$1:E$65536,4,0)</f>
        <v>Hotcup</v>
      </c>
      <c r="AN3457" s="1" t="str">
        <f>VLOOKUP(C:C,[1]基础信息!B$1:F$65536,5,0)</f>
        <v>Silver</v>
      </c>
    </row>
    <row r="3458" spans="1:40">
      <c r="A3458" s="1" t="s">
        <v>41</v>
      </c>
      <c r="B3458" s="1" t="s">
        <v>42</v>
      </c>
      <c r="C3458" s="1" t="s">
        <v>4057</v>
      </c>
      <c r="D3458" s="1" t="s">
        <v>4058</v>
      </c>
      <c r="E3458" s="1" t="s">
        <v>45</v>
      </c>
      <c r="F3458" s="1" t="s">
        <v>7911</v>
      </c>
      <c r="G3458" s="1" t="s">
        <v>7912</v>
      </c>
      <c r="H3458" s="1" t="s">
        <v>7913</v>
      </c>
      <c r="I3458" s="1" t="s">
        <v>49</v>
      </c>
      <c r="J3458" s="1" t="s">
        <v>48</v>
      </c>
      <c r="K3458" s="1">
        <v>12</v>
      </c>
      <c r="L3458" s="1">
        <v>0</v>
      </c>
      <c r="M3458" s="1">
        <v>0</v>
      </c>
      <c r="N3458" s="1">
        <v>12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 t="s">
        <v>49</v>
      </c>
      <c r="AA3458" s="1" t="s">
        <v>49</v>
      </c>
      <c r="AB3458" s="1" t="s">
        <v>49</v>
      </c>
      <c r="AC3458" s="1" t="s">
        <v>2171</v>
      </c>
      <c r="AD3458" s="1" t="s">
        <v>2172</v>
      </c>
      <c r="AE3458" s="1" t="s">
        <v>2171</v>
      </c>
      <c r="AF3458" s="1" t="s">
        <v>7470</v>
      </c>
      <c r="AG3458" s="1" t="s">
        <v>53</v>
      </c>
      <c r="AH3458" s="1" t="s">
        <v>49</v>
      </c>
      <c r="AI3458" s="1" t="s">
        <v>54</v>
      </c>
      <c r="AJ3458" s="1">
        <v>1</v>
      </c>
      <c r="AK3458" s="1" t="str">
        <f t="shared" ref="AK3458:AK3519" si="54">IF(AJ3458&gt;$AP$2,$AQ$2,IF(AJ3458&gt;$AP$3,$AQ$3,IF(AJ3458&gt;$AP$4,$AQ$4,$AQ$5)))</f>
        <v xml:space="preserve"> =&lt;90</v>
      </c>
      <c r="AL3458" s="1" t="e">
        <f>VLOOKUP(C:C,[1]基础信息!B$1:D$65536,3,0)</f>
        <v>#N/A</v>
      </c>
      <c r="AM3458" s="1" t="e">
        <f>VLOOKUP(C:C,[1]基础信息!B$1:E$65536,4,0)</f>
        <v>#N/A</v>
      </c>
      <c r="AN3458" s="1" t="e">
        <f>VLOOKUP(C:C,[1]基础信息!B$1:F$65536,5,0)</f>
        <v>#N/A</v>
      </c>
    </row>
    <row r="3459" spans="1:40">
      <c r="A3459" s="1" t="s">
        <v>41</v>
      </c>
      <c r="B3459" s="1" t="s">
        <v>42</v>
      </c>
      <c r="C3459" s="1" t="s">
        <v>7704</v>
      </c>
      <c r="D3459" s="1" t="s">
        <v>7705</v>
      </c>
      <c r="E3459" s="1" t="s">
        <v>45</v>
      </c>
      <c r="F3459" s="1" t="s">
        <v>7706</v>
      </c>
      <c r="G3459" s="1" t="s">
        <v>7914</v>
      </c>
      <c r="H3459" s="1" t="s">
        <v>7915</v>
      </c>
      <c r="I3459" s="1" t="s">
        <v>49</v>
      </c>
      <c r="J3459" s="1" t="s">
        <v>48</v>
      </c>
      <c r="K3459" s="1">
        <v>36</v>
      </c>
      <c r="L3459" s="1">
        <v>0</v>
      </c>
      <c r="M3459" s="1">
        <v>0</v>
      </c>
      <c r="N3459" s="1">
        <v>36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 t="s">
        <v>49</v>
      </c>
      <c r="AA3459" s="1" t="s">
        <v>49</v>
      </c>
      <c r="AB3459" s="1" t="s">
        <v>49</v>
      </c>
      <c r="AC3459" s="1" t="s">
        <v>73</v>
      </c>
      <c r="AD3459" s="1" t="s">
        <v>74</v>
      </c>
      <c r="AE3459" s="1" t="s">
        <v>73</v>
      </c>
      <c r="AF3459" s="1" t="s">
        <v>82</v>
      </c>
      <c r="AG3459" s="1" t="s">
        <v>76</v>
      </c>
      <c r="AH3459" s="1" t="s">
        <v>49</v>
      </c>
      <c r="AI3459" s="1" t="s">
        <v>54</v>
      </c>
      <c r="AJ3459" s="1">
        <v>1</v>
      </c>
      <c r="AK3459" s="1" t="str">
        <f t="shared" si="54"/>
        <v xml:space="preserve"> =&lt;90</v>
      </c>
      <c r="AL3459" s="1" t="str">
        <f>VLOOKUP(C:C,[1]基础信息!B$1:D$65536,3,0)</f>
        <v>Hotcup</v>
      </c>
      <c r="AM3459" s="1" t="str">
        <f>VLOOKUP(C:C,[1]基础信息!B$1:E$65536,4,0)</f>
        <v>Hotcup</v>
      </c>
      <c r="AN3459" s="1" t="str">
        <f>VLOOKUP(C:C,[1]基础信息!B$1:F$65536,5,0)</f>
        <v>Silver</v>
      </c>
    </row>
    <row r="3460" spans="1:40">
      <c r="A3460" s="1" t="s">
        <v>41</v>
      </c>
      <c r="B3460" s="1" t="s">
        <v>42</v>
      </c>
      <c r="C3460" s="1" t="s">
        <v>7586</v>
      </c>
      <c r="D3460" s="1" t="s">
        <v>7587</v>
      </c>
      <c r="E3460" s="1" t="s">
        <v>45</v>
      </c>
      <c r="F3460" s="1" t="s">
        <v>7916</v>
      </c>
      <c r="G3460" s="1" t="s">
        <v>7917</v>
      </c>
      <c r="H3460" s="1" t="s">
        <v>7918</v>
      </c>
      <c r="I3460" s="1" t="s">
        <v>49</v>
      </c>
      <c r="J3460" s="1" t="s">
        <v>48</v>
      </c>
      <c r="K3460" s="1">
        <v>40</v>
      </c>
      <c r="L3460" s="1">
        <v>0</v>
      </c>
      <c r="M3460" s="1">
        <v>0</v>
      </c>
      <c r="N3460" s="1">
        <v>40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 t="s">
        <v>49</v>
      </c>
      <c r="AA3460" s="1" t="s">
        <v>49</v>
      </c>
      <c r="AB3460" s="1" t="s">
        <v>49</v>
      </c>
      <c r="AC3460" s="1" t="s">
        <v>1551</v>
      </c>
      <c r="AD3460" s="1" t="s">
        <v>1552</v>
      </c>
      <c r="AE3460" s="1" t="s">
        <v>1551</v>
      </c>
      <c r="AF3460" s="1" t="s">
        <v>7919</v>
      </c>
      <c r="AG3460" s="1" t="s">
        <v>53</v>
      </c>
      <c r="AH3460" s="1" t="s">
        <v>49</v>
      </c>
      <c r="AI3460" s="1" t="s">
        <v>54</v>
      </c>
      <c r="AJ3460" s="1">
        <v>1</v>
      </c>
      <c r="AK3460" s="1" t="str">
        <f t="shared" si="54"/>
        <v xml:space="preserve"> =&lt;90</v>
      </c>
      <c r="AL3460" s="1" t="e">
        <f>VLOOKUP(C:C,[1]基础信息!B$1:D$65536,3,0)</f>
        <v>#N/A</v>
      </c>
      <c r="AM3460" s="1" t="e">
        <f>VLOOKUP(C:C,[1]基础信息!B$1:E$65536,4,0)</f>
        <v>#N/A</v>
      </c>
      <c r="AN3460" s="1" t="e">
        <f>VLOOKUP(C:C,[1]基础信息!B$1:F$65536,5,0)</f>
        <v>#N/A</v>
      </c>
    </row>
    <row r="3461" spans="1:40">
      <c r="A3461" s="1" t="s">
        <v>41</v>
      </c>
      <c r="B3461" s="1" t="s">
        <v>42</v>
      </c>
      <c r="C3461" s="1" t="s">
        <v>7704</v>
      </c>
      <c r="D3461" s="1" t="s">
        <v>7705</v>
      </c>
      <c r="E3461" s="1" t="s">
        <v>45</v>
      </c>
      <c r="F3461" s="1" t="s">
        <v>7706</v>
      </c>
      <c r="G3461" s="1" t="s">
        <v>7920</v>
      </c>
      <c r="H3461" s="1" t="s">
        <v>7921</v>
      </c>
      <c r="I3461" s="1" t="s">
        <v>49</v>
      </c>
      <c r="J3461" s="1" t="s">
        <v>48</v>
      </c>
      <c r="K3461" s="1">
        <v>8</v>
      </c>
      <c r="L3461" s="1">
        <v>0</v>
      </c>
      <c r="M3461" s="1">
        <v>0</v>
      </c>
      <c r="N3461" s="1">
        <v>8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 t="s">
        <v>49</v>
      </c>
      <c r="AA3461" s="1" t="s">
        <v>49</v>
      </c>
      <c r="AB3461" s="1" t="s">
        <v>49</v>
      </c>
      <c r="AC3461" s="1" t="s">
        <v>73</v>
      </c>
      <c r="AD3461" s="1" t="s">
        <v>74</v>
      </c>
      <c r="AE3461" s="1" t="s">
        <v>73</v>
      </c>
      <c r="AF3461" s="1" t="s">
        <v>82</v>
      </c>
      <c r="AG3461" s="1" t="s">
        <v>76</v>
      </c>
      <c r="AH3461" s="1" t="s">
        <v>49</v>
      </c>
      <c r="AI3461" s="1" t="s">
        <v>54</v>
      </c>
      <c r="AJ3461" s="1">
        <v>1</v>
      </c>
      <c r="AK3461" s="1" t="str">
        <f t="shared" si="54"/>
        <v xml:space="preserve"> =&lt;90</v>
      </c>
      <c r="AL3461" s="1" t="str">
        <f>VLOOKUP(C:C,[1]基础信息!B$1:D$65536,3,0)</f>
        <v>Hotcup</v>
      </c>
      <c r="AM3461" s="1" t="str">
        <f>VLOOKUP(C:C,[1]基础信息!B$1:E$65536,4,0)</f>
        <v>Hotcup</v>
      </c>
      <c r="AN3461" s="1" t="str">
        <f>VLOOKUP(C:C,[1]基础信息!B$1:F$65536,5,0)</f>
        <v>Silver</v>
      </c>
    </row>
    <row r="3462" spans="1:40">
      <c r="A3462" s="1" t="s">
        <v>41</v>
      </c>
      <c r="B3462" s="1" t="s">
        <v>42</v>
      </c>
      <c r="C3462" s="1" t="s">
        <v>7922</v>
      </c>
      <c r="D3462" s="1" t="s">
        <v>7923</v>
      </c>
      <c r="E3462" s="1" t="s">
        <v>45</v>
      </c>
      <c r="F3462" s="1" t="s">
        <v>7924</v>
      </c>
      <c r="G3462" s="1" t="s">
        <v>7925</v>
      </c>
      <c r="H3462" s="1" t="s">
        <v>45</v>
      </c>
      <c r="I3462" s="1" t="s">
        <v>45</v>
      </c>
      <c r="J3462" s="1" t="s">
        <v>48</v>
      </c>
      <c r="K3462" s="1">
        <v>2</v>
      </c>
      <c r="L3462" s="1">
        <v>0</v>
      </c>
      <c r="M3462" s="1">
        <v>0</v>
      </c>
      <c r="N3462" s="1">
        <v>2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 t="s">
        <v>49</v>
      </c>
      <c r="AA3462" s="1" t="s">
        <v>49</v>
      </c>
      <c r="AB3462" s="1" t="s">
        <v>49</v>
      </c>
      <c r="AC3462" s="1" t="s">
        <v>7926</v>
      </c>
      <c r="AD3462" s="1" t="s">
        <v>7927</v>
      </c>
      <c r="AE3462" s="1" t="s">
        <v>7926</v>
      </c>
      <c r="AF3462" s="1" t="s">
        <v>49</v>
      </c>
      <c r="AG3462" s="1" t="s">
        <v>3464</v>
      </c>
      <c r="AH3462" s="1" t="s">
        <v>7928</v>
      </c>
      <c r="AI3462" s="1" t="s">
        <v>54</v>
      </c>
      <c r="AJ3462" s="1">
        <v>1</v>
      </c>
      <c r="AK3462" s="1" t="str">
        <f t="shared" si="54"/>
        <v xml:space="preserve"> =&lt;90</v>
      </c>
      <c r="AL3462" s="1" t="str">
        <f>VLOOKUP(C:C,[1]基础信息!B$1:D$65536,3,0)</f>
        <v>Jug</v>
      </c>
      <c r="AM3462" s="1" t="str">
        <f>VLOOKUP(C:C,[1]基础信息!B$1:E$65536,4,0)</f>
        <v>Mxplus</v>
      </c>
      <c r="AN3462" s="1" t="str">
        <f>VLOOKUP(C:C,[1]基础信息!B$1:F$65536,5,0)</f>
        <v>Pink</v>
      </c>
    </row>
    <row r="3463" spans="1:40">
      <c r="A3463" s="1" t="s">
        <v>41</v>
      </c>
      <c r="B3463" s="1" t="s">
        <v>42</v>
      </c>
      <c r="C3463" s="1" t="s">
        <v>7717</v>
      </c>
      <c r="D3463" s="1" t="s">
        <v>7718</v>
      </c>
      <c r="E3463" s="1" t="s">
        <v>45</v>
      </c>
      <c r="F3463" s="1" t="s">
        <v>7929</v>
      </c>
      <c r="G3463" s="1" t="s">
        <v>7930</v>
      </c>
      <c r="H3463" s="1" t="s">
        <v>7931</v>
      </c>
      <c r="I3463" s="1" t="s">
        <v>49</v>
      </c>
      <c r="J3463" s="1" t="s">
        <v>48</v>
      </c>
      <c r="K3463" s="1">
        <v>36</v>
      </c>
      <c r="L3463" s="1">
        <v>0</v>
      </c>
      <c r="M3463" s="1">
        <v>0</v>
      </c>
      <c r="N3463" s="1">
        <v>36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 t="s">
        <v>49</v>
      </c>
      <c r="AA3463" s="1" t="s">
        <v>49</v>
      </c>
      <c r="AB3463" s="1" t="s">
        <v>49</v>
      </c>
      <c r="AC3463" s="1" t="s">
        <v>73</v>
      </c>
      <c r="AD3463" s="1" t="s">
        <v>74</v>
      </c>
      <c r="AE3463" s="1" t="s">
        <v>73</v>
      </c>
      <c r="AF3463" s="1" t="s">
        <v>82</v>
      </c>
      <c r="AG3463" s="1" t="s">
        <v>76</v>
      </c>
      <c r="AH3463" s="1" t="s">
        <v>49</v>
      </c>
      <c r="AI3463" s="1" t="s">
        <v>54</v>
      </c>
      <c r="AJ3463" s="1">
        <v>1</v>
      </c>
      <c r="AK3463" s="1" t="str">
        <f t="shared" si="54"/>
        <v xml:space="preserve"> =&lt;90</v>
      </c>
      <c r="AL3463" s="1" t="str">
        <f>VLOOKUP(C:C,[1]基础信息!B$1:D$65536,3,0)</f>
        <v>Hotcup</v>
      </c>
      <c r="AM3463" s="1" t="str">
        <f>VLOOKUP(C:C,[1]基础信息!B$1:E$65536,4,0)</f>
        <v>Hotcup</v>
      </c>
      <c r="AN3463" s="1" t="str">
        <f>VLOOKUP(C:C,[1]基础信息!B$1:F$65536,5,0)</f>
        <v>Silver</v>
      </c>
    </row>
    <row r="3464" spans="1:40">
      <c r="A3464" s="1" t="s">
        <v>41</v>
      </c>
      <c r="B3464" s="1" t="s">
        <v>42</v>
      </c>
      <c r="C3464" s="1" t="s">
        <v>7717</v>
      </c>
      <c r="D3464" s="1" t="s">
        <v>7718</v>
      </c>
      <c r="E3464" s="1" t="s">
        <v>45</v>
      </c>
      <c r="F3464" s="1" t="s">
        <v>7929</v>
      </c>
      <c r="G3464" s="1" t="s">
        <v>7932</v>
      </c>
      <c r="H3464" s="1" t="s">
        <v>7933</v>
      </c>
      <c r="I3464" s="1" t="s">
        <v>49</v>
      </c>
      <c r="J3464" s="1" t="s">
        <v>48</v>
      </c>
      <c r="K3464" s="1">
        <v>36</v>
      </c>
      <c r="L3464" s="1">
        <v>0</v>
      </c>
      <c r="M3464" s="1">
        <v>0</v>
      </c>
      <c r="N3464" s="1">
        <v>36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 t="s">
        <v>49</v>
      </c>
      <c r="AA3464" s="1" t="s">
        <v>49</v>
      </c>
      <c r="AB3464" s="1" t="s">
        <v>49</v>
      </c>
      <c r="AC3464" s="1" t="s">
        <v>73</v>
      </c>
      <c r="AD3464" s="1" t="s">
        <v>74</v>
      </c>
      <c r="AE3464" s="1" t="s">
        <v>73</v>
      </c>
      <c r="AF3464" s="1" t="s">
        <v>82</v>
      </c>
      <c r="AG3464" s="1" t="s">
        <v>76</v>
      </c>
      <c r="AH3464" s="1" t="s">
        <v>49</v>
      </c>
      <c r="AI3464" s="1" t="s">
        <v>54</v>
      </c>
      <c r="AJ3464" s="1">
        <v>1</v>
      </c>
      <c r="AK3464" s="1" t="str">
        <f t="shared" si="54"/>
        <v xml:space="preserve"> =&lt;90</v>
      </c>
      <c r="AL3464" s="1" t="str">
        <f>VLOOKUP(C:C,[1]基础信息!B$1:D$65536,3,0)</f>
        <v>Hotcup</v>
      </c>
      <c r="AM3464" s="1" t="str">
        <f>VLOOKUP(C:C,[1]基础信息!B$1:E$65536,4,0)</f>
        <v>Hotcup</v>
      </c>
      <c r="AN3464" s="1" t="str">
        <f>VLOOKUP(C:C,[1]基础信息!B$1:F$65536,5,0)</f>
        <v>Silver</v>
      </c>
    </row>
    <row r="3465" spans="1:40">
      <c r="A3465" s="1" t="s">
        <v>41</v>
      </c>
      <c r="B3465" s="1" t="s">
        <v>42</v>
      </c>
      <c r="C3465" s="1" t="s">
        <v>301</v>
      </c>
      <c r="D3465" s="1" t="s">
        <v>302</v>
      </c>
      <c r="E3465" s="1" t="s">
        <v>45</v>
      </c>
      <c r="F3465" s="1" t="s">
        <v>7934</v>
      </c>
      <c r="G3465" s="1" t="s">
        <v>7935</v>
      </c>
      <c r="H3465" s="1" t="s">
        <v>45</v>
      </c>
      <c r="I3465" s="1" t="s">
        <v>45</v>
      </c>
      <c r="J3465" s="1" t="s">
        <v>48</v>
      </c>
      <c r="K3465" s="1">
        <v>1</v>
      </c>
      <c r="L3465" s="1">
        <v>0</v>
      </c>
      <c r="M3465" s="1">
        <v>0</v>
      </c>
      <c r="N3465" s="1">
        <v>1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 t="s">
        <v>49</v>
      </c>
      <c r="AA3465" s="1" t="s">
        <v>49</v>
      </c>
      <c r="AB3465" s="1" t="s">
        <v>49</v>
      </c>
      <c r="AC3465" s="1" t="s">
        <v>7926</v>
      </c>
      <c r="AD3465" s="1" t="s">
        <v>7927</v>
      </c>
      <c r="AE3465" s="1" t="s">
        <v>7926</v>
      </c>
      <c r="AF3465" s="1" t="s">
        <v>49</v>
      </c>
      <c r="AG3465" s="1" t="s">
        <v>3464</v>
      </c>
      <c r="AH3465" s="1" t="s">
        <v>7928</v>
      </c>
      <c r="AI3465" s="1" t="s">
        <v>54</v>
      </c>
      <c r="AJ3465" s="1">
        <v>1</v>
      </c>
      <c r="AK3465" s="1" t="str">
        <f t="shared" si="54"/>
        <v xml:space="preserve"> =&lt;90</v>
      </c>
      <c r="AL3465" s="1" t="str">
        <f>VLOOKUP(C:C,[1]基础信息!B$1:D$65536,3,0)</f>
        <v>Jug</v>
      </c>
      <c r="AM3465" s="1" t="str">
        <f>VLOOKUP(C:C,[1]基础信息!B$1:E$65536,4,0)</f>
        <v>Aluna</v>
      </c>
      <c r="AN3465" s="1" t="str">
        <f>VLOOKUP(C:C,[1]基础信息!B$1:F$65536,5,0)</f>
        <v>Blue</v>
      </c>
    </row>
    <row r="3466" spans="1:40">
      <c r="A3466" s="1" t="s">
        <v>41</v>
      </c>
      <c r="B3466" s="1" t="s">
        <v>42</v>
      </c>
      <c r="C3466" s="1" t="s">
        <v>7717</v>
      </c>
      <c r="D3466" s="1" t="s">
        <v>7718</v>
      </c>
      <c r="E3466" s="1" t="s">
        <v>45</v>
      </c>
      <c r="F3466" s="1" t="s">
        <v>7929</v>
      </c>
      <c r="G3466" s="1" t="s">
        <v>7936</v>
      </c>
      <c r="H3466" s="1" t="s">
        <v>7937</v>
      </c>
      <c r="I3466" s="1" t="s">
        <v>49</v>
      </c>
      <c r="J3466" s="1" t="s">
        <v>48</v>
      </c>
      <c r="K3466" s="1">
        <v>36</v>
      </c>
      <c r="L3466" s="1">
        <v>0</v>
      </c>
      <c r="M3466" s="1">
        <v>0</v>
      </c>
      <c r="N3466" s="1">
        <v>36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 t="s">
        <v>49</v>
      </c>
      <c r="AA3466" s="1" t="s">
        <v>49</v>
      </c>
      <c r="AB3466" s="1" t="s">
        <v>49</v>
      </c>
      <c r="AC3466" s="1" t="s">
        <v>73</v>
      </c>
      <c r="AD3466" s="1" t="s">
        <v>74</v>
      </c>
      <c r="AE3466" s="1" t="s">
        <v>73</v>
      </c>
      <c r="AF3466" s="1" t="s">
        <v>82</v>
      </c>
      <c r="AG3466" s="1" t="s">
        <v>76</v>
      </c>
      <c r="AH3466" s="1" t="s">
        <v>49</v>
      </c>
      <c r="AI3466" s="1" t="s">
        <v>54</v>
      </c>
      <c r="AJ3466" s="1">
        <v>1</v>
      </c>
      <c r="AK3466" s="1" t="str">
        <f t="shared" si="54"/>
        <v xml:space="preserve"> =&lt;90</v>
      </c>
      <c r="AL3466" s="1" t="str">
        <f>VLOOKUP(C:C,[1]基础信息!B$1:D$65536,3,0)</f>
        <v>Hotcup</v>
      </c>
      <c r="AM3466" s="1" t="str">
        <f>VLOOKUP(C:C,[1]基础信息!B$1:E$65536,4,0)</f>
        <v>Hotcup</v>
      </c>
      <c r="AN3466" s="1" t="str">
        <f>VLOOKUP(C:C,[1]基础信息!B$1:F$65536,5,0)</f>
        <v>Silver</v>
      </c>
    </row>
    <row r="3467" spans="1:40">
      <c r="A3467" s="1" t="s">
        <v>41</v>
      </c>
      <c r="B3467" s="1" t="s">
        <v>42</v>
      </c>
      <c r="C3467" s="1" t="s">
        <v>7717</v>
      </c>
      <c r="D3467" s="1" t="s">
        <v>7718</v>
      </c>
      <c r="E3467" s="1" t="s">
        <v>45</v>
      </c>
      <c r="F3467" s="1" t="s">
        <v>7929</v>
      </c>
      <c r="G3467" s="1" t="s">
        <v>7938</v>
      </c>
      <c r="H3467" s="1" t="s">
        <v>7939</v>
      </c>
      <c r="I3467" s="1" t="s">
        <v>49</v>
      </c>
      <c r="J3467" s="1" t="s">
        <v>48</v>
      </c>
      <c r="K3467" s="1">
        <v>36</v>
      </c>
      <c r="L3467" s="1">
        <v>0</v>
      </c>
      <c r="M3467" s="1">
        <v>0</v>
      </c>
      <c r="N3467" s="1">
        <v>36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 t="s">
        <v>49</v>
      </c>
      <c r="AA3467" s="1" t="s">
        <v>49</v>
      </c>
      <c r="AB3467" s="1" t="s">
        <v>49</v>
      </c>
      <c r="AC3467" s="1" t="s">
        <v>73</v>
      </c>
      <c r="AD3467" s="1" t="s">
        <v>74</v>
      </c>
      <c r="AE3467" s="1" t="s">
        <v>73</v>
      </c>
      <c r="AF3467" s="1" t="s">
        <v>82</v>
      </c>
      <c r="AG3467" s="1" t="s">
        <v>76</v>
      </c>
      <c r="AH3467" s="1" t="s">
        <v>49</v>
      </c>
      <c r="AI3467" s="1" t="s">
        <v>54</v>
      </c>
      <c r="AJ3467" s="1">
        <v>1</v>
      </c>
      <c r="AK3467" s="1" t="str">
        <f t="shared" si="54"/>
        <v xml:space="preserve"> =&lt;90</v>
      </c>
      <c r="AL3467" s="1" t="str">
        <f>VLOOKUP(C:C,[1]基础信息!B$1:D$65536,3,0)</f>
        <v>Hotcup</v>
      </c>
      <c r="AM3467" s="1" t="str">
        <f>VLOOKUP(C:C,[1]基础信息!B$1:E$65536,4,0)</f>
        <v>Hotcup</v>
      </c>
      <c r="AN3467" s="1" t="str">
        <f>VLOOKUP(C:C,[1]基础信息!B$1:F$65536,5,0)</f>
        <v>Silver</v>
      </c>
    </row>
    <row r="3468" spans="1:40">
      <c r="A3468" s="1" t="s">
        <v>41</v>
      </c>
      <c r="B3468" s="1" t="s">
        <v>42</v>
      </c>
      <c r="C3468" s="1" t="s">
        <v>1437</v>
      </c>
      <c r="D3468" s="1" t="s">
        <v>1438</v>
      </c>
      <c r="E3468" s="1" t="s">
        <v>45</v>
      </c>
      <c r="F3468" s="1" t="s">
        <v>7940</v>
      </c>
      <c r="G3468" s="1" t="s">
        <v>7941</v>
      </c>
      <c r="H3468" s="1" t="s">
        <v>45</v>
      </c>
      <c r="I3468" s="1" t="s">
        <v>45</v>
      </c>
      <c r="J3468" s="1" t="s">
        <v>48</v>
      </c>
      <c r="K3468" s="1">
        <v>104</v>
      </c>
      <c r="L3468" s="1">
        <v>0</v>
      </c>
      <c r="M3468" s="1">
        <v>0</v>
      </c>
      <c r="N3468" s="1">
        <v>104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 t="s">
        <v>49</v>
      </c>
      <c r="AA3468" s="1" t="s">
        <v>49</v>
      </c>
      <c r="AB3468" s="1" t="s">
        <v>49</v>
      </c>
      <c r="AC3468" s="1" t="s">
        <v>7926</v>
      </c>
      <c r="AD3468" s="1" t="s">
        <v>7927</v>
      </c>
      <c r="AE3468" s="1" t="s">
        <v>7926</v>
      </c>
      <c r="AF3468" s="1" t="s">
        <v>49</v>
      </c>
      <c r="AG3468" s="1" t="s">
        <v>3464</v>
      </c>
      <c r="AH3468" s="1" t="s">
        <v>7928</v>
      </c>
      <c r="AI3468" s="1" t="s">
        <v>54</v>
      </c>
      <c r="AJ3468" s="1">
        <v>0</v>
      </c>
      <c r="AK3468" s="1" t="str">
        <f t="shared" si="54"/>
        <v xml:space="preserve"> =&lt;90</v>
      </c>
      <c r="AL3468" s="1" t="str">
        <f>VLOOKUP(C:C,[1]基础信息!B$1:D$65536,3,0)</f>
        <v>On tap</v>
      </c>
      <c r="AM3468" s="1" t="str">
        <f>VLOOKUP(C:C,[1]基础信息!B$1:E$65536,4,0)</f>
        <v>On tap</v>
      </c>
      <c r="AN3468" s="1" t="str">
        <f>VLOOKUP(C:C,[1]基础信息!B$1:F$65536,5,0)</f>
        <v>On tap</v>
      </c>
    </row>
    <row r="3469" spans="1:40">
      <c r="A3469" s="1" t="s">
        <v>41</v>
      </c>
      <c r="B3469" s="1" t="s">
        <v>42</v>
      </c>
      <c r="C3469" s="1" t="s">
        <v>1437</v>
      </c>
      <c r="D3469" s="1" t="s">
        <v>1438</v>
      </c>
      <c r="E3469" s="1" t="s">
        <v>45</v>
      </c>
      <c r="F3469" s="1" t="s">
        <v>7942</v>
      </c>
      <c r="G3469" s="1" t="s">
        <v>7941</v>
      </c>
      <c r="H3469" s="1" t="s">
        <v>45</v>
      </c>
      <c r="I3469" s="1" t="s">
        <v>45</v>
      </c>
      <c r="J3469" s="1" t="s">
        <v>48</v>
      </c>
      <c r="K3469" s="1">
        <v>1</v>
      </c>
      <c r="L3469" s="1">
        <v>0</v>
      </c>
      <c r="M3469" s="1">
        <v>0</v>
      </c>
      <c r="N3469" s="1">
        <v>1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 t="s">
        <v>49</v>
      </c>
      <c r="AA3469" s="1" t="s">
        <v>49</v>
      </c>
      <c r="AB3469" s="1" t="s">
        <v>49</v>
      </c>
      <c r="AC3469" s="1" t="s">
        <v>7926</v>
      </c>
      <c r="AD3469" s="1" t="s">
        <v>7927</v>
      </c>
      <c r="AE3469" s="1" t="s">
        <v>7926</v>
      </c>
      <c r="AF3469" s="1" t="s">
        <v>49</v>
      </c>
      <c r="AG3469" s="1" t="s">
        <v>53</v>
      </c>
      <c r="AH3469" s="1" t="s">
        <v>7928</v>
      </c>
      <c r="AI3469" s="1" t="s">
        <v>54</v>
      </c>
      <c r="AJ3469" s="1">
        <v>1</v>
      </c>
      <c r="AK3469" s="1" t="str">
        <f t="shared" si="54"/>
        <v xml:space="preserve"> =&lt;90</v>
      </c>
      <c r="AL3469" s="1" t="str">
        <f>VLOOKUP(C:C,[1]基础信息!B$1:D$65536,3,0)</f>
        <v>On tap</v>
      </c>
      <c r="AM3469" s="1" t="str">
        <f>VLOOKUP(C:C,[1]基础信息!B$1:E$65536,4,0)</f>
        <v>On tap</v>
      </c>
      <c r="AN3469" s="1" t="str">
        <f>VLOOKUP(C:C,[1]基础信息!B$1:F$65536,5,0)</f>
        <v>On tap</v>
      </c>
    </row>
    <row r="3470" spans="1:40">
      <c r="A3470" s="1" t="s">
        <v>41</v>
      </c>
      <c r="B3470" s="1" t="s">
        <v>42</v>
      </c>
      <c r="C3470" s="1" t="s">
        <v>7717</v>
      </c>
      <c r="D3470" s="1" t="s">
        <v>7718</v>
      </c>
      <c r="E3470" s="1" t="s">
        <v>45</v>
      </c>
      <c r="F3470" s="1" t="s">
        <v>7929</v>
      </c>
      <c r="G3470" s="1" t="s">
        <v>7943</v>
      </c>
      <c r="H3470" s="1" t="s">
        <v>7944</v>
      </c>
      <c r="I3470" s="1" t="s">
        <v>49</v>
      </c>
      <c r="J3470" s="1" t="s">
        <v>48</v>
      </c>
      <c r="K3470" s="1">
        <v>11</v>
      </c>
      <c r="L3470" s="1">
        <v>0</v>
      </c>
      <c r="M3470" s="1">
        <v>0</v>
      </c>
      <c r="N3470" s="1">
        <v>11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 t="s">
        <v>49</v>
      </c>
      <c r="AA3470" s="1" t="s">
        <v>49</v>
      </c>
      <c r="AB3470" s="1" t="s">
        <v>49</v>
      </c>
      <c r="AC3470" s="1" t="s">
        <v>73</v>
      </c>
      <c r="AD3470" s="1" t="s">
        <v>74</v>
      </c>
      <c r="AE3470" s="1" t="s">
        <v>73</v>
      </c>
      <c r="AF3470" s="1" t="s">
        <v>82</v>
      </c>
      <c r="AG3470" s="1" t="s">
        <v>76</v>
      </c>
      <c r="AH3470" s="1" t="s">
        <v>49</v>
      </c>
      <c r="AI3470" s="1" t="s">
        <v>54</v>
      </c>
      <c r="AJ3470" s="1">
        <v>1</v>
      </c>
      <c r="AK3470" s="1" t="str">
        <f t="shared" si="54"/>
        <v xml:space="preserve"> =&lt;90</v>
      </c>
      <c r="AL3470" s="1" t="str">
        <f>VLOOKUP(C:C,[1]基础信息!B$1:D$65536,3,0)</f>
        <v>Hotcup</v>
      </c>
      <c r="AM3470" s="1" t="str">
        <f>VLOOKUP(C:C,[1]基础信息!B$1:E$65536,4,0)</f>
        <v>Hotcup</v>
      </c>
      <c r="AN3470" s="1" t="str">
        <f>VLOOKUP(C:C,[1]基础信息!B$1:F$65536,5,0)</f>
        <v>Silver</v>
      </c>
    </row>
    <row r="3471" spans="1:40">
      <c r="A3471" s="1" t="s">
        <v>41</v>
      </c>
      <c r="B3471" s="1" t="s">
        <v>42</v>
      </c>
      <c r="C3471" s="1" t="s">
        <v>6106</v>
      </c>
      <c r="D3471" s="1" t="s">
        <v>6107</v>
      </c>
      <c r="E3471" s="1" t="s">
        <v>45</v>
      </c>
      <c r="F3471" s="1" t="s">
        <v>7945</v>
      </c>
      <c r="G3471" s="1" t="s">
        <v>7946</v>
      </c>
      <c r="H3471" s="1" t="s">
        <v>45</v>
      </c>
      <c r="I3471" s="1" t="s">
        <v>45</v>
      </c>
      <c r="J3471" s="1" t="s">
        <v>48</v>
      </c>
      <c r="K3471" s="1">
        <v>538</v>
      </c>
      <c r="L3471" s="1">
        <v>0</v>
      </c>
      <c r="M3471" s="1">
        <v>0</v>
      </c>
      <c r="N3471" s="1">
        <v>538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 t="s">
        <v>49</v>
      </c>
      <c r="AA3471" s="1" t="s">
        <v>49</v>
      </c>
      <c r="AB3471" s="1" t="s">
        <v>49</v>
      </c>
      <c r="AC3471" s="1" t="s">
        <v>7926</v>
      </c>
      <c r="AD3471" s="1" t="s">
        <v>7927</v>
      </c>
      <c r="AE3471" s="1" t="s">
        <v>7926</v>
      </c>
      <c r="AF3471" s="1" t="s">
        <v>49</v>
      </c>
      <c r="AG3471" s="1" t="s">
        <v>3464</v>
      </c>
      <c r="AH3471" s="1" t="s">
        <v>7928</v>
      </c>
      <c r="AI3471" s="1" t="s">
        <v>54</v>
      </c>
      <c r="AJ3471" s="1">
        <v>1</v>
      </c>
      <c r="AK3471" s="1" t="str">
        <f t="shared" si="54"/>
        <v xml:space="preserve"> =&lt;90</v>
      </c>
      <c r="AL3471" s="1" t="str">
        <f>VLOOKUP(C:C,[1]基础信息!B$1:D$65536,3,0)</f>
        <v>On tap</v>
      </c>
      <c r="AM3471" s="1" t="str">
        <f>VLOOKUP(C:C,[1]基础信息!B$1:E$65536,4,0)</f>
        <v>On tap</v>
      </c>
      <c r="AN3471" s="1" t="str">
        <f>VLOOKUP(C:C,[1]基础信息!B$1:F$65536,5,0)</f>
        <v>Refill</v>
      </c>
    </row>
    <row r="3472" spans="1:40">
      <c r="A3472" s="1" t="s">
        <v>41</v>
      </c>
      <c r="B3472" s="1" t="s">
        <v>42</v>
      </c>
      <c r="C3472" s="1" t="s">
        <v>4438</v>
      </c>
      <c r="D3472" s="1" t="s">
        <v>4439</v>
      </c>
      <c r="E3472" s="1" t="s">
        <v>45</v>
      </c>
      <c r="F3472" s="1" t="s">
        <v>7947</v>
      </c>
      <c r="G3472" s="1" t="s">
        <v>7948</v>
      </c>
      <c r="H3472" s="1" t="s">
        <v>7949</v>
      </c>
      <c r="I3472" s="1" t="s">
        <v>49</v>
      </c>
      <c r="J3472" s="1" t="s">
        <v>48</v>
      </c>
      <c r="K3472" s="1">
        <v>36</v>
      </c>
      <c r="L3472" s="1">
        <v>0</v>
      </c>
      <c r="M3472" s="1">
        <v>0</v>
      </c>
      <c r="N3472" s="1">
        <v>36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 t="s">
        <v>49</v>
      </c>
      <c r="AA3472" s="1" t="s">
        <v>49</v>
      </c>
      <c r="AB3472" s="1" t="s">
        <v>49</v>
      </c>
      <c r="AC3472" s="1" t="s">
        <v>73</v>
      </c>
      <c r="AD3472" s="1" t="s">
        <v>74</v>
      </c>
      <c r="AE3472" s="1" t="s">
        <v>73</v>
      </c>
      <c r="AF3472" s="1" t="s">
        <v>82</v>
      </c>
      <c r="AG3472" s="1" t="s">
        <v>76</v>
      </c>
      <c r="AH3472" s="1" t="s">
        <v>49</v>
      </c>
      <c r="AI3472" s="1" t="s">
        <v>54</v>
      </c>
      <c r="AJ3472" s="1">
        <v>1</v>
      </c>
      <c r="AK3472" s="1" t="str">
        <f t="shared" si="54"/>
        <v xml:space="preserve"> =&lt;90</v>
      </c>
      <c r="AL3472" s="1" t="str">
        <f>VLOOKUP(C:C,[1]基础信息!B$1:D$65536,3,0)</f>
        <v>Hotcup</v>
      </c>
      <c r="AM3472" s="1" t="str">
        <f>VLOOKUP(C:C,[1]基础信息!B$1:E$65536,4,0)</f>
        <v>Hotcup</v>
      </c>
      <c r="AN3472" s="1" t="str">
        <f>VLOOKUP(C:C,[1]基础信息!B$1:F$65536,5,0)</f>
        <v xml:space="preserve"> green</v>
      </c>
    </row>
    <row r="3473" spans="1:40">
      <c r="A3473" s="1" t="s">
        <v>41</v>
      </c>
      <c r="B3473" s="1" t="s">
        <v>42</v>
      </c>
      <c r="C3473" s="1" t="s">
        <v>4438</v>
      </c>
      <c r="D3473" s="1" t="s">
        <v>4439</v>
      </c>
      <c r="E3473" s="1" t="s">
        <v>45</v>
      </c>
      <c r="F3473" s="1" t="s">
        <v>7947</v>
      </c>
      <c r="G3473" s="1" t="s">
        <v>7950</v>
      </c>
      <c r="H3473" s="1" t="s">
        <v>7951</v>
      </c>
      <c r="I3473" s="1" t="s">
        <v>49</v>
      </c>
      <c r="J3473" s="1" t="s">
        <v>48</v>
      </c>
      <c r="K3473" s="1">
        <v>36</v>
      </c>
      <c r="L3473" s="1">
        <v>0</v>
      </c>
      <c r="M3473" s="1">
        <v>0</v>
      </c>
      <c r="N3473" s="1">
        <v>36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 t="s">
        <v>49</v>
      </c>
      <c r="AA3473" s="1" t="s">
        <v>49</v>
      </c>
      <c r="AB3473" s="1" t="s">
        <v>49</v>
      </c>
      <c r="AC3473" s="1" t="s">
        <v>73</v>
      </c>
      <c r="AD3473" s="1" t="s">
        <v>74</v>
      </c>
      <c r="AE3473" s="1" t="s">
        <v>73</v>
      </c>
      <c r="AF3473" s="1" t="s">
        <v>82</v>
      </c>
      <c r="AG3473" s="1" t="s">
        <v>76</v>
      </c>
      <c r="AH3473" s="1" t="s">
        <v>49</v>
      </c>
      <c r="AI3473" s="1" t="s">
        <v>54</v>
      </c>
      <c r="AJ3473" s="1">
        <v>1</v>
      </c>
      <c r="AK3473" s="1" t="str">
        <f t="shared" si="54"/>
        <v xml:space="preserve"> =&lt;90</v>
      </c>
      <c r="AL3473" s="1" t="str">
        <f>VLOOKUP(C:C,[1]基础信息!B$1:D$65536,3,0)</f>
        <v>Hotcup</v>
      </c>
      <c r="AM3473" s="1" t="str">
        <f>VLOOKUP(C:C,[1]基础信息!B$1:E$65536,4,0)</f>
        <v>Hotcup</v>
      </c>
      <c r="AN3473" s="1" t="str">
        <f>VLOOKUP(C:C,[1]基础信息!B$1:F$65536,5,0)</f>
        <v xml:space="preserve"> green</v>
      </c>
    </row>
    <row r="3474" spans="1:40">
      <c r="A3474" s="1" t="s">
        <v>41</v>
      </c>
      <c r="B3474" s="1" t="s">
        <v>42</v>
      </c>
      <c r="C3474" s="1" t="s">
        <v>4438</v>
      </c>
      <c r="D3474" s="1" t="s">
        <v>4439</v>
      </c>
      <c r="E3474" s="1" t="s">
        <v>45</v>
      </c>
      <c r="F3474" s="1" t="s">
        <v>7947</v>
      </c>
      <c r="G3474" s="1" t="s">
        <v>7952</v>
      </c>
      <c r="H3474" s="1" t="s">
        <v>7953</v>
      </c>
      <c r="I3474" s="1" t="s">
        <v>49</v>
      </c>
      <c r="J3474" s="1" t="s">
        <v>48</v>
      </c>
      <c r="K3474" s="1">
        <v>36</v>
      </c>
      <c r="L3474" s="1">
        <v>0</v>
      </c>
      <c r="M3474" s="1">
        <v>0</v>
      </c>
      <c r="N3474" s="1">
        <v>36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 t="s">
        <v>49</v>
      </c>
      <c r="AA3474" s="1" t="s">
        <v>49</v>
      </c>
      <c r="AB3474" s="1" t="s">
        <v>49</v>
      </c>
      <c r="AC3474" s="1" t="s">
        <v>73</v>
      </c>
      <c r="AD3474" s="1" t="s">
        <v>74</v>
      </c>
      <c r="AE3474" s="1" t="s">
        <v>73</v>
      </c>
      <c r="AF3474" s="1" t="s">
        <v>82</v>
      </c>
      <c r="AG3474" s="1" t="s">
        <v>76</v>
      </c>
      <c r="AH3474" s="1" t="s">
        <v>49</v>
      </c>
      <c r="AI3474" s="1" t="s">
        <v>54</v>
      </c>
      <c r="AJ3474" s="1">
        <v>1</v>
      </c>
      <c r="AK3474" s="1" t="str">
        <f t="shared" si="54"/>
        <v xml:space="preserve"> =&lt;90</v>
      </c>
      <c r="AL3474" s="1" t="str">
        <f>VLOOKUP(C:C,[1]基础信息!B$1:D$65536,3,0)</f>
        <v>Hotcup</v>
      </c>
      <c r="AM3474" s="1" t="str">
        <f>VLOOKUP(C:C,[1]基础信息!B$1:E$65536,4,0)</f>
        <v>Hotcup</v>
      </c>
      <c r="AN3474" s="1" t="str">
        <f>VLOOKUP(C:C,[1]基础信息!B$1:F$65536,5,0)</f>
        <v xml:space="preserve"> green</v>
      </c>
    </row>
    <row r="3475" spans="1:40">
      <c r="A3475" s="1" t="s">
        <v>41</v>
      </c>
      <c r="B3475" s="1" t="s">
        <v>42</v>
      </c>
      <c r="C3475" s="1" t="s">
        <v>4613</v>
      </c>
      <c r="D3475" s="1" t="s">
        <v>4614</v>
      </c>
      <c r="E3475" s="1" t="s">
        <v>45</v>
      </c>
      <c r="F3475" s="1" t="s">
        <v>4615</v>
      </c>
      <c r="G3475" s="1" t="s">
        <v>7954</v>
      </c>
      <c r="H3475" s="1" t="s">
        <v>7955</v>
      </c>
      <c r="I3475" s="1" t="s">
        <v>49</v>
      </c>
      <c r="J3475" s="1" t="s">
        <v>48</v>
      </c>
      <c r="K3475" s="1">
        <v>10</v>
      </c>
      <c r="L3475" s="1">
        <v>0</v>
      </c>
      <c r="M3475" s="1">
        <v>0</v>
      </c>
      <c r="N3475" s="1">
        <v>10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 t="s">
        <v>49</v>
      </c>
      <c r="AA3475" s="1" t="s">
        <v>49</v>
      </c>
      <c r="AB3475" s="1" t="s">
        <v>49</v>
      </c>
      <c r="AC3475" s="1" t="s">
        <v>2000</v>
      </c>
      <c r="AD3475" s="1" t="s">
        <v>2001</v>
      </c>
      <c r="AE3475" s="1" t="s">
        <v>2000</v>
      </c>
      <c r="AF3475" s="1" t="s">
        <v>4618</v>
      </c>
      <c r="AG3475" s="1" t="s">
        <v>53</v>
      </c>
      <c r="AH3475" s="1" t="s">
        <v>49</v>
      </c>
      <c r="AI3475" s="1" t="s">
        <v>54</v>
      </c>
      <c r="AJ3475" s="1">
        <v>1</v>
      </c>
      <c r="AK3475" s="1" t="str">
        <f t="shared" si="54"/>
        <v xml:space="preserve"> =&lt;90</v>
      </c>
      <c r="AL3475" s="1" t="str">
        <f>VLOOKUP(C:C,[1]基础信息!B$1:D$65536,3,0)</f>
        <v>Jug</v>
      </c>
      <c r="AM3475" s="1" t="str">
        <f>VLOOKUP(C:C,[1]基础信息!B$1:E$65536,4,0)</f>
        <v>Style</v>
      </c>
      <c r="AN3475" s="1" t="str">
        <f>VLOOKUP(C:C,[1]基础信息!B$1:F$65536,5,0)</f>
        <v>Blue</v>
      </c>
    </row>
    <row r="3476" spans="1:40">
      <c r="A3476" s="1" t="s">
        <v>41</v>
      </c>
      <c r="B3476" s="1" t="s">
        <v>42</v>
      </c>
      <c r="C3476" s="1" t="s">
        <v>4438</v>
      </c>
      <c r="D3476" s="1" t="s">
        <v>4439</v>
      </c>
      <c r="E3476" s="1" t="s">
        <v>45</v>
      </c>
      <c r="F3476" s="1" t="s">
        <v>7947</v>
      </c>
      <c r="G3476" s="1" t="s">
        <v>7956</v>
      </c>
      <c r="H3476" s="1" t="s">
        <v>7957</v>
      </c>
      <c r="I3476" s="1" t="s">
        <v>49</v>
      </c>
      <c r="J3476" s="1" t="s">
        <v>48</v>
      </c>
      <c r="K3476" s="1">
        <v>36</v>
      </c>
      <c r="L3476" s="1">
        <v>0</v>
      </c>
      <c r="M3476" s="1">
        <v>0</v>
      </c>
      <c r="N3476" s="1">
        <v>36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 t="s">
        <v>49</v>
      </c>
      <c r="AA3476" s="1" t="s">
        <v>49</v>
      </c>
      <c r="AB3476" s="1" t="s">
        <v>49</v>
      </c>
      <c r="AC3476" s="1" t="s">
        <v>73</v>
      </c>
      <c r="AD3476" s="1" t="s">
        <v>74</v>
      </c>
      <c r="AE3476" s="1" t="s">
        <v>73</v>
      </c>
      <c r="AF3476" s="1" t="s">
        <v>82</v>
      </c>
      <c r="AG3476" s="1" t="s">
        <v>76</v>
      </c>
      <c r="AH3476" s="1" t="s">
        <v>49</v>
      </c>
      <c r="AI3476" s="1" t="s">
        <v>54</v>
      </c>
      <c r="AJ3476" s="1">
        <v>1</v>
      </c>
      <c r="AK3476" s="1" t="str">
        <f t="shared" si="54"/>
        <v xml:space="preserve"> =&lt;90</v>
      </c>
      <c r="AL3476" s="1" t="str">
        <f>VLOOKUP(C:C,[1]基础信息!B$1:D$65536,3,0)</f>
        <v>Hotcup</v>
      </c>
      <c r="AM3476" s="1" t="str">
        <f>VLOOKUP(C:C,[1]基础信息!B$1:E$65536,4,0)</f>
        <v>Hotcup</v>
      </c>
      <c r="AN3476" s="1" t="str">
        <f>VLOOKUP(C:C,[1]基础信息!B$1:F$65536,5,0)</f>
        <v xml:space="preserve"> green</v>
      </c>
    </row>
    <row r="3477" spans="1:40">
      <c r="A3477" s="1" t="s">
        <v>41</v>
      </c>
      <c r="B3477" s="1" t="s">
        <v>42</v>
      </c>
      <c r="C3477" s="1" t="s">
        <v>4613</v>
      </c>
      <c r="D3477" s="1" t="s">
        <v>4614</v>
      </c>
      <c r="E3477" s="1" t="s">
        <v>45</v>
      </c>
      <c r="F3477" s="1" t="s">
        <v>4615</v>
      </c>
      <c r="G3477" s="1" t="s">
        <v>7958</v>
      </c>
      <c r="H3477" s="1" t="s">
        <v>7959</v>
      </c>
      <c r="I3477" s="1" t="s">
        <v>49</v>
      </c>
      <c r="J3477" s="1" t="s">
        <v>48</v>
      </c>
      <c r="K3477" s="1">
        <v>40</v>
      </c>
      <c r="L3477" s="1">
        <v>0</v>
      </c>
      <c r="M3477" s="1">
        <v>0</v>
      </c>
      <c r="N3477" s="1">
        <v>40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 t="s">
        <v>49</v>
      </c>
      <c r="AA3477" s="1" t="s">
        <v>49</v>
      </c>
      <c r="AB3477" s="1" t="s">
        <v>49</v>
      </c>
      <c r="AC3477" s="1" t="s">
        <v>2000</v>
      </c>
      <c r="AD3477" s="1" t="s">
        <v>2001</v>
      </c>
      <c r="AE3477" s="1" t="s">
        <v>2000</v>
      </c>
      <c r="AF3477" s="1" t="s">
        <v>4618</v>
      </c>
      <c r="AG3477" s="1" t="s">
        <v>53</v>
      </c>
      <c r="AH3477" s="1" t="s">
        <v>49</v>
      </c>
      <c r="AI3477" s="1" t="s">
        <v>54</v>
      </c>
      <c r="AJ3477" s="1">
        <v>1</v>
      </c>
      <c r="AK3477" s="1" t="str">
        <f t="shared" si="54"/>
        <v xml:space="preserve"> =&lt;90</v>
      </c>
      <c r="AL3477" s="1" t="str">
        <f>VLOOKUP(C:C,[1]基础信息!B$1:D$65536,3,0)</f>
        <v>Jug</v>
      </c>
      <c r="AM3477" s="1" t="str">
        <f>VLOOKUP(C:C,[1]基础信息!B$1:E$65536,4,0)</f>
        <v>Style</v>
      </c>
      <c r="AN3477" s="1" t="str">
        <f>VLOOKUP(C:C,[1]基础信息!B$1:F$65536,5,0)</f>
        <v>Blue</v>
      </c>
    </row>
    <row r="3478" spans="1:40">
      <c r="A3478" s="1" t="s">
        <v>41</v>
      </c>
      <c r="B3478" s="1" t="s">
        <v>42</v>
      </c>
      <c r="C3478" s="1" t="s">
        <v>4613</v>
      </c>
      <c r="D3478" s="1" t="s">
        <v>4614</v>
      </c>
      <c r="E3478" s="1" t="s">
        <v>45</v>
      </c>
      <c r="F3478" s="1" t="s">
        <v>4615</v>
      </c>
      <c r="G3478" s="1" t="s">
        <v>7960</v>
      </c>
      <c r="H3478" s="1" t="s">
        <v>7961</v>
      </c>
      <c r="I3478" s="1" t="s">
        <v>49</v>
      </c>
      <c r="J3478" s="1" t="s">
        <v>48</v>
      </c>
      <c r="K3478" s="1">
        <v>40</v>
      </c>
      <c r="L3478" s="1">
        <v>0</v>
      </c>
      <c r="M3478" s="1">
        <v>0</v>
      </c>
      <c r="N3478" s="1">
        <v>40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 t="s">
        <v>49</v>
      </c>
      <c r="AA3478" s="1" t="s">
        <v>49</v>
      </c>
      <c r="AB3478" s="1" t="s">
        <v>49</v>
      </c>
      <c r="AC3478" s="1" t="s">
        <v>2000</v>
      </c>
      <c r="AD3478" s="1" t="s">
        <v>2001</v>
      </c>
      <c r="AE3478" s="1" t="s">
        <v>2000</v>
      </c>
      <c r="AF3478" s="1" t="s">
        <v>4618</v>
      </c>
      <c r="AG3478" s="1" t="s">
        <v>53</v>
      </c>
      <c r="AH3478" s="1" t="s">
        <v>49</v>
      </c>
      <c r="AI3478" s="1" t="s">
        <v>54</v>
      </c>
      <c r="AJ3478" s="1">
        <v>1</v>
      </c>
      <c r="AK3478" s="1" t="str">
        <f t="shared" si="54"/>
        <v xml:space="preserve"> =&lt;90</v>
      </c>
      <c r="AL3478" s="1" t="str">
        <f>VLOOKUP(C:C,[1]基础信息!B$1:D$65536,3,0)</f>
        <v>Jug</v>
      </c>
      <c r="AM3478" s="1" t="str">
        <f>VLOOKUP(C:C,[1]基础信息!B$1:E$65536,4,0)</f>
        <v>Style</v>
      </c>
      <c r="AN3478" s="1" t="str">
        <f>VLOOKUP(C:C,[1]基础信息!B$1:F$65536,5,0)</f>
        <v>Blue</v>
      </c>
    </row>
    <row r="3479" spans="1:40">
      <c r="A3479" s="1" t="s">
        <v>41</v>
      </c>
      <c r="B3479" s="1" t="s">
        <v>42</v>
      </c>
      <c r="C3479" s="1" t="s">
        <v>4057</v>
      </c>
      <c r="D3479" s="1" t="s">
        <v>4058</v>
      </c>
      <c r="E3479" s="1" t="s">
        <v>45</v>
      </c>
      <c r="F3479" s="1" t="s">
        <v>7911</v>
      </c>
      <c r="G3479" s="1" t="s">
        <v>7962</v>
      </c>
      <c r="H3479" s="1" t="s">
        <v>7963</v>
      </c>
      <c r="I3479" s="1" t="s">
        <v>49</v>
      </c>
      <c r="J3479" s="1" t="s">
        <v>48</v>
      </c>
      <c r="K3479" s="1">
        <v>12</v>
      </c>
      <c r="L3479" s="1">
        <v>0</v>
      </c>
      <c r="M3479" s="1">
        <v>0</v>
      </c>
      <c r="N3479" s="1">
        <v>12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 t="s">
        <v>49</v>
      </c>
      <c r="AA3479" s="1" t="s">
        <v>49</v>
      </c>
      <c r="AB3479" s="1" t="s">
        <v>49</v>
      </c>
      <c r="AC3479" s="1" t="s">
        <v>2171</v>
      </c>
      <c r="AD3479" s="1" t="s">
        <v>2172</v>
      </c>
      <c r="AE3479" s="1" t="s">
        <v>2171</v>
      </c>
      <c r="AF3479" s="1" t="s">
        <v>7470</v>
      </c>
      <c r="AG3479" s="1" t="s">
        <v>53</v>
      </c>
      <c r="AH3479" s="1" t="s">
        <v>49</v>
      </c>
      <c r="AI3479" s="1" t="s">
        <v>54</v>
      </c>
      <c r="AJ3479" s="1">
        <v>1</v>
      </c>
      <c r="AK3479" s="1" t="str">
        <f t="shared" si="54"/>
        <v xml:space="preserve"> =&lt;90</v>
      </c>
      <c r="AL3479" s="1" t="e">
        <f>VLOOKUP(C:C,[1]基础信息!B$1:D$65536,3,0)</f>
        <v>#N/A</v>
      </c>
      <c r="AM3479" s="1" t="e">
        <f>VLOOKUP(C:C,[1]基础信息!B$1:E$65536,4,0)</f>
        <v>#N/A</v>
      </c>
      <c r="AN3479" s="1" t="e">
        <f>VLOOKUP(C:C,[1]基础信息!B$1:F$65536,5,0)</f>
        <v>#N/A</v>
      </c>
    </row>
    <row r="3480" spans="1:40">
      <c r="A3480" s="1" t="s">
        <v>41</v>
      </c>
      <c r="B3480" s="1" t="s">
        <v>42</v>
      </c>
      <c r="C3480" s="1" t="s">
        <v>4438</v>
      </c>
      <c r="D3480" s="1" t="s">
        <v>4439</v>
      </c>
      <c r="E3480" s="1" t="s">
        <v>45</v>
      </c>
      <c r="F3480" s="1" t="s">
        <v>7947</v>
      </c>
      <c r="G3480" s="1" t="s">
        <v>7964</v>
      </c>
      <c r="H3480" s="1" t="s">
        <v>7965</v>
      </c>
      <c r="I3480" s="1" t="s">
        <v>49</v>
      </c>
      <c r="J3480" s="1" t="s">
        <v>48</v>
      </c>
      <c r="K3480" s="1">
        <v>36</v>
      </c>
      <c r="L3480" s="1">
        <v>0</v>
      </c>
      <c r="M3480" s="1">
        <v>0</v>
      </c>
      <c r="N3480" s="1">
        <v>36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 t="s">
        <v>49</v>
      </c>
      <c r="AA3480" s="1" t="s">
        <v>49</v>
      </c>
      <c r="AB3480" s="1" t="s">
        <v>49</v>
      </c>
      <c r="AC3480" s="1" t="s">
        <v>73</v>
      </c>
      <c r="AD3480" s="1" t="s">
        <v>74</v>
      </c>
      <c r="AE3480" s="1" t="s">
        <v>73</v>
      </c>
      <c r="AF3480" s="1" t="s">
        <v>82</v>
      </c>
      <c r="AG3480" s="1" t="s">
        <v>76</v>
      </c>
      <c r="AH3480" s="1" t="s">
        <v>49</v>
      </c>
      <c r="AI3480" s="1" t="s">
        <v>54</v>
      </c>
      <c r="AJ3480" s="1">
        <v>1</v>
      </c>
      <c r="AK3480" s="1" t="str">
        <f t="shared" si="54"/>
        <v xml:space="preserve"> =&lt;90</v>
      </c>
      <c r="AL3480" s="1" t="str">
        <f>VLOOKUP(C:C,[1]基础信息!B$1:D$65536,3,0)</f>
        <v>Hotcup</v>
      </c>
      <c r="AM3480" s="1" t="str">
        <f>VLOOKUP(C:C,[1]基础信息!B$1:E$65536,4,0)</f>
        <v>Hotcup</v>
      </c>
      <c r="AN3480" s="1" t="str">
        <f>VLOOKUP(C:C,[1]基础信息!B$1:F$65536,5,0)</f>
        <v xml:space="preserve"> green</v>
      </c>
    </row>
    <row r="3481" spans="1:40">
      <c r="A3481" s="1" t="s">
        <v>41</v>
      </c>
      <c r="B3481" s="1" t="s">
        <v>42</v>
      </c>
      <c r="C3481" s="1" t="s">
        <v>4613</v>
      </c>
      <c r="D3481" s="1" t="s">
        <v>4614</v>
      </c>
      <c r="E3481" s="1" t="s">
        <v>45</v>
      </c>
      <c r="F3481" s="1" t="s">
        <v>4615</v>
      </c>
      <c r="G3481" s="1" t="s">
        <v>7966</v>
      </c>
      <c r="H3481" s="1" t="s">
        <v>7967</v>
      </c>
      <c r="I3481" s="1" t="s">
        <v>49</v>
      </c>
      <c r="J3481" s="1" t="s">
        <v>48</v>
      </c>
      <c r="K3481" s="1">
        <v>40</v>
      </c>
      <c r="L3481" s="1">
        <v>0</v>
      </c>
      <c r="M3481" s="1">
        <v>0</v>
      </c>
      <c r="N3481" s="1">
        <v>40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 t="s">
        <v>49</v>
      </c>
      <c r="AA3481" s="1" t="s">
        <v>49</v>
      </c>
      <c r="AB3481" s="1" t="s">
        <v>49</v>
      </c>
      <c r="AC3481" s="1" t="s">
        <v>2000</v>
      </c>
      <c r="AD3481" s="1" t="s">
        <v>2001</v>
      </c>
      <c r="AE3481" s="1" t="s">
        <v>2000</v>
      </c>
      <c r="AF3481" s="1" t="s">
        <v>4618</v>
      </c>
      <c r="AG3481" s="1" t="s">
        <v>53</v>
      </c>
      <c r="AH3481" s="1" t="s">
        <v>49</v>
      </c>
      <c r="AI3481" s="1" t="s">
        <v>54</v>
      </c>
      <c r="AJ3481" s="1">
        <v>1</v>
      </c>
      <c r="AK3481" s="1" t="str">
        <f t="shared" si="54"/>
        <v xml:space="preserve"> =&lt;90</v>
      </c>
      <c r="AL3481" s="1" t="str">
        <f>VLOOKUP(C:C,[1]基础信息!B$1:D$65536,3,0)</f>
        <v>Jug</v>
      </c>
      <c r="AM3481" s="1" t="str">
        <f>VLOOKUP(C:C,[1]基础信息!B$1:E$65536,4,0)</f>
        <v>Style</v>
      </c>
      <c r="AN3481" s="1" t="str">
        <f>VLOOKUP(C:C,[1]基础信息!B$1:F$65536,5,0)</f>
        <v>Blue</v>
      </c>
    </row>
    <row r="3482" spans="1:40">
      <c r="A3482" s="1" t="s">
        <v>41</v>
      </c>
      <c r="B3482" s="1" t="s">
        <v>42</v>
      </c>
      <c r="C3482" s="1" t="s">
        <v>4613</v>
      </c>
      <c r="D3482" s="1" t="s">
        <v>4614</v>
      </c>
      <c r="E3482" s="1" t="s">
        <v>45</v>
      </c>
      <c r="F3482" s="1" t="s">
        <v>4615</v>
      </c>
      <c r="G3482" s="1" t="s">
        <v>7968</v>
      </c>
      <c r="H3482" s="1" t="s">
        <v>7969</v>
      </c>
      <c r="I3482" s="1" t="s">
        <v>49</v>
      </c>
      <c r="J3482" s="1" t="s">
        <v>48</v>
      </c>
      <c r="K3482" s="1">
        <v>40</v>
      </c>
      <c r="L3482" s="1">
        <v>0</v>
      </c>
      <c r="M3482" s="1">
        <v>0</v>
      </c>
      <c r="N3482" s="1">
        <v>40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 t="s">
        <v>49</v>
      </c>
      <c r="AA3482" s="1" t="s">
        <v>49</v>
      </c>
      <c r="AB3482" s="1" t="s">
        <v>49</v>
      </c>
      <c r="AC3482" s="1" t="s">
        <v>2000</v>
      </c>
      <c r="AD3482" s="1" t="s">
        <v>2001</v>
      </c>
      <c r="AE3482" s="1" t="s">
        <v>2000</v>
      </c>
      <c r="AF3482" s="1" t="s">
        <v>4618</v>
      </c>
      <c r="AG3482" s="1" t="s">
        <v>53</v>
      </c>
      <c r="AH3482" s="1" t="s">
        <v>49</v>
      </c>
      <c r="AI3482" s="1" t="s">
        <v>54</v>
      </c>
      <c r="AJ3482" s="1">
        <v>1</v>
      </c>
      <c r="AK3482" s="1" t="str">
        <f t="shared" si="54"/>
        <v xml:space="preserve"> =&lt;90</v>
      </c>
      <c r="AL3482" s="1" t="str">
        <f>VLOOKUP(C:C,[1]基础信息!B$1:D$65536,3,0)</f>
        <v>Jug</v>
      </c>
      <c r="AM3482" s="1" t="str">
        <f>VLOOKUP(C:C,[1]基础信息!B$1:E$65536,4,0)</f>
        <v>Style</v>
      </c>
      <c r="AN3482" s="1" t="str">
        <f>VLOOKUP(C:C,[1]基础信息!B$1:F$65536,5,0)</f>
        <v>Blue</v>
      </c>
    </row>
    <row r="3483" spans="1:40">
      <c r="A3483" s="1" t="s">
        <v>41</v>
      </c>
      <c r="B3483" s="1" t="s">
        <v>42</v>
      </c>
      <c r="C3483" s="1" t="s">
        <v>4613</v>
      </c>
      <c r="D3483" s="1" t="s">
        <v>4614</v>
      </c>
      <c r="E3483" s="1" t="s">
        <v>45</v>
      </c>
      <c r="F3483" s="1" t="s">
        <v>4615</v>
      </c>
      <c r="G3483" s="1" t="s">
        <v>7970</v>
      </c>
      <c r="H3483" s="1" t="s">
        <v>7971</v>
      </c>
      <c r="I3483" s="1" t="s">
        <v>49</v>
      </c>
      <c r="J3483" s="1" t="s">
        <v>48</v>
      </c>
      <c r="K3483" s="1">
        <v>40</v>
      </c>
      <c r="L3483" s="1">
        <v>0</v>
      </c>
      <c r="M3483" s="1">
        <v>0</v>
      </c>
      <c r="N3483" s="1">
        <v>40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 t="s">
        <v>49</v>
      </c>
      <c r="AA3483" s="1" t="s">
        <v>49</v>
      </c>
      <c r="AB3483" s="1" t="s">
        <v>49</v>
      </c>
      <c r="AC3483" s="1" t="s">
        <v>2000</v>
      </c>
      <c r="AD3483" s="1" t="s">
        <v>2001</v>
      </c>
      <c r="AE3483" s="1" t="s">
        <v>2000</v>
      </c>
      <c r="AF3483" s="1" t="s">
        <v>4618</v>
      </c>
      <c r="AG3483" s="1" t="s">
        <v>53</v>
      </c>
      <c r="AH3483" s="1" t="s">
        <v>49</v>
      </c>
      <c r="AI3483" s="1" t="s">
        <v>54</v>
      </c>
      <c r="AJ3483" s="1">
        <v>1</v>
      </c>
      <c r="AK3483" s="1" t="str">
        <f t="shared" si="54"/>
        <v xml:space="preserve"> =&lt;90</v>
      </c>
      <c r="AL3483" s="1" t="str">
        <f>VLOOKUP(C:C,[1]基础信息!B$1:D$65536,3,0)</f>
        <v>Jug</v>
      </c>
      <c r="AM3483" s="1" t="str">
        <f>VLOOKUP(C:C,[1]基础信息!B$1:E$65536,4,0)</f>
        <v>Style</v>
      </c>
      <c r="AN3483" s="1" t="str">
        <f>VLOOKUP(C:C,[1]基础信息!B$1:F$65536,5,0)</f>
        <v>Blue</v>
      </c>
    </row>
    <row r="3484" spans="1:40">
      <c r="A3484" s="1" t="s">
        <v>41</v>
      </c>
      <c r="B3484" s="1" t="s">
        <v>42</v>
      </c>
      <c r="C3484" s="1" t="s">
        <v>4438</v>
      </c>
      <c r="D3484" s="1" t="s">
        <v>4439</v>
      </c>
      <c r="E3484" s="1" t="s">
        <v>45</v>
      </c>
      <c r="F3484" s="1" t="s">
        <v>7947</v>
      </c>
      <c r="G3484" s="1" t="s">
        <v>7972</v>
      </c>
      <c r="H3484" s="1" t="s">
        <v>7973</v>
      </c>
      <c r="I3484" s="1" t="s">
        <v>49</v>
      </c>
      <c r="J3484" s="1" t="s">
        <v>48</v>
      </c>
      <c r="K3484" s="1">
        <v>36</v>
      </c>
      <c r="L3484" s="1">
        <v>0</v>
      </c>
      <c r="M3484" s="1">
        <v>0</v>
      </c>
      <c r="N3484" s="1">
        <v>36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 t="s">
        <v>49</v>
      </c>
      <c r="AA3484" s="1" t="s">
        <v>49</v>
      </c>
      <c r="AB3484" s="1" t="s">
        <v>49</v>
      </c>
      <c r="AC3484" s="1" t="s">
        <v>73</v>
      </c>
      <c r="AD3484" s="1" t="s">
        <v>74</v>
      </c>
      <c r="AE3484" s="1" t="s">
        <v>73</v>
      </c>
      <c r="AF3484" s="1" t="s">
        <v>82</v>
      </c>
      <c r="AG3484" s="1" t="s">
        <v>76</v>
      </c>
      <c r="AH3484" s="1" t="s">
        <v>49</v>
      </c>
      <c r="AI3484" s="1" t="s">
        <v>54</v>
      </c>
      <c r="AJ3484" s="1">
        <v>1</v>
      </c>
      <c r="AK3484" s="1" t="str">
        <f t="shared" si="54"/>
        <v xml:space="preserve"> =&lt;90</v>
      </c>
      <c r="AL3484" s="1" t="str">
        <f>VLOOKUP(C:C,[1]基础信息!B$1:D$65536,3,0)</f>
        <v>Hotcup</v>
      </c>
      <c r="AM3484" s="1" t="str">
        <f>VLOOKUP(C:C,[1]基础信息!B$1:E$65536,4,0)</f>
        <v>Hotcup</v>
      </c>
      <c r="AN3484" s="1" t="str">
        <f>VLOOKUP(C:C,[1]基础信息!B$1:F$65536,5,0)</f>
        <v xml:space="preserve"> green</v>
      </c>
    </row>
    <row r="3485" spans="1:40">
      <c r="A3485" s="1" t="s">
        <v>41</v>
      </c>
      <c r="B3485" s="1" t="s">
        <v>42</v>
      </c>
      <c r="C3485" s="1" t="s">
        <v>4613</v>
      </c>
      <c r="D3485" s="1" t="s">
        <v>4614</v>
      </c>
      <c r="E3485" s="1" t="s">
        <v>45</v>
      </c>
      <c r="F3485" s="1" t="s">
        <v>4615</v>
      </c>
      <c r="G3485" s="1" t="s">
        <v>7974</v>
      </c>
      <c r="H3485" s="1" t="s">
        <v>7975</v>
      </c>
      <c r="I3485" s="1" t="s">
        <v>49</v>
      </c>
      <c r="J3485" s="1" t="s">
        <v>48</v>
      </c>
      <c r="K3485" s="1">
        <v>40</v>
      </c>
      <c r="L3485" s="1">
        <v>0</v>
      </c>
      <c r="M3485" s="1">
        <v>0</v>
      </c>
      <c r="N3485" s="1">
        <v>40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 t="s">
        <v>49</v>
      </c>
      <c r="AA3485" s="1" t="s">
        <v>49</v>
      </c>
      <c r="AB3485" s="1" t="s">
        <v>49</v>
      </c>
      <c r="AC3485" s="1" t="s">
        <v>2000</v>
      </c>
      <c r="AD3485" s="1" t="s">
        <v>2001</v>
      </c>
      <c r="AE3485" s="1" t="s">
        <v>2000</v>
      </c>
      <c r="AF3485" s="1" t="s">
        <v>4618</v>
      </c>
      <c r="AG3485" s="1" t="s">
        <v>53</v>
      </c>
      <c r="AH3485" s="1" t="s">
        <v>49</v>
      </c>
      <c r="AI3485" s="1" t="s">
        <v>54</v>
      </c>
      <c r="AJ3485" s="1">
        <v>1</v>
      </c>
      <c r="AK3485" s="1" t="str">
        <f t="shared" si="54"/>
        <v xml:space="preserve"> =&lt;90</v>
      </c>
      <c r="AL3485" s="1" t="str">
        <f>VLOOKUP(C:C,[1]基础信息!B$1:D$65536,3,0)</f>
        <v>Jug</v>
      </c>
      <c r="AM3485" s="1" t="str">
        <f>VLOOKUP(C:C,[1]基础信息!B$1:E$65536,4,0)</f>
        <v>Style</v>
      </c>
      <c r="AN3485" s="1" t="str">
        <f>VLOOKUP(C:C,[1]基础信息!B$1:F$65536,5,0)</f>
        <v>Blue</v>
      </c>
    </row>
    <row r="3486" spans="1:40">
      <c r="A3486" s="1" t="s">
        <v>41</v>
      </c>
      <c r="B3486" s="1" t="s">
        <v>42</v>
      </c>
      <c r="C3486" s="1" t="s">
        <v>4613</v>
      </c>
      <c r="D3486" s="1" t="s">
        <v>4614</v>
      </c>
      <c r="E3486" s="1" t="s">
        <v>45</v>
      </c>
      <c r="F3486" s="1" t="s">
        <v>4615</v>
      </c>
      <c r="G3486" s="1" t="s">
        <v>7976</v>
      </c>
      <c r="H3486" s="1" t="s">
        <v>7977</v>
      </c>
      <c r="I3486" s="1" t="s">
        <v>49</v>
      </c>
      <c r="J3486" s="1" t="s">
        <v>48</v>
      </c>
      <c r="K3486" s="1">
        <v>40</v>
      </c>
      <c r="L3486" s="1">
        <v>0</v>
      </c>
      <c r="M3486" s="1">
        <v>0</v>
      </c>
      <c r="N3486" s="1">
        <v>40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 t="s">
        <v>49</v>
      </c>
      <c r="AA3486" s="1" t="s">
        <v>49</v>
      </c>
      <c r="AB3486" s="1" t="s">
        <v>49</v>
      </c>
      <c r="AC3486" s="1" t="s">
        <v>2000</v>
      </c>
      <c r="AD3486" s="1" t="s">
        <v>2001</v>
      </c>
      <c r="AE3486" s="1" t="s">
        <v>2000</v>
      </c>
      <c r="AF3486" s="1" t="s">
        <v>4618</v>
      </c>
      <c r="AG3486" s="1" t="s">
        <v>53</v>
      </c>
      <c r="AH3486" s="1" t="s">
        <v>49</v>
      </c>
      <c r="AI3486" s="1" t="s">
        <v>54</v>
      </c>
      <c r="AJ3486" s="1">
        <v>1</v>
      </c>
      <c r="AK3486" s="1" t="str">
        <f t="shared" si="54"/>
        <v xml:space="preserve"> =&lt;90</v>
      </c>
      <c r="AL3486" s="1" t="str">
        <f>VLOOKUP(C:C,[1]基础信息!B$1:D$65536,3,0)</f>
        <v>Jug</v>
      </c>
      <c r="AM3486" s="1" t="str">
        <f>VLOOKUP(C:C,[1]基础信息!B$1:E$65536,4,0)</f>
        <v>Style</v>
      </c>
      <c r="AN3486" s="1" t="str">
        <f>VLOOKUP(C:C,[1]基础信息!B$1:F$65536,5,0)</f>
        <v>Blue</v>
      </c>
    </row>
    <row r="3487" spans="1:40">
      <c r="A3487" s="1" t="s">
        <v>41</v>
      </c>
      <c r="B3487" s="1" t="s">
        <v>42</v>
      </c>
      <c r="C3487" s="1" t="s">
        <v>4613</v>
      </c>
      <c r="D3487" s="1" t="s">
        <v>4614</v>
      </c>
      <c r="E3487" s="1" t="s">
        <v>45</v>
      </c>
      <c r="F3487" s="1" t="s">
        <v>4615</v>
      </c>
      <c r="G3487" s="1" t="s">
        <v>7978</v>
      </c>
      <c r="H3487" s="1" t="s">
        <v>7979</v>
      </c>
      <c r="I3487" s="1" t="s">
        <v>49</v>
      </c>
      <c r="J3487" s="1" t="s">
        <v>48</v>
      </c>
      <c r="K3487" s="1">
        <v>40</v>
      </c>
      <c r="L3487" s="1">
        <v>0</v>
      </c>
      <c r="M3487" s="1">
        <v>0</v>
      </c>
      <c r="N3487" s="1">
        <v>40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 t="s">
        <v>49</v>
      </c>
      <c r="AA3487" s="1" t="s">
        <v>49</v>
      </c>
      <c r="AB3487" s="1" t="s">
        <v>49</v>
      </c>
      <c r="AC3487" s="1" t="s">
        <v>2000</v>
      </c>
      <c r="AD3487" s="1" t="s">
        <v>2001</v>
      </c>
      <c r="AE3487" s="1" t="s">
        <v>2000</v>
      </c>
      <c r="AF3487" s="1" t="s">
        <v>4618</v>
      </c>
      <c r="AG3487" s="1" t="s">
        <v>53</v>
      </c>
      <c r="AH3487" s="1" t="s">
        <v>49</v>
      </c>
      <c r="AI3487" s="1" t="s">
        <v>54</v>
      </c>
      <c r="AJ3487" s="1">
        <v>1</v>
      </c>
      <c r="AK3487" s="1" t="str">
        <f t="shared" si="54"/>
        <v xml:space="preserve"> =&lt;90</v>
      </c>
      <c r="AL3487" s="1" t="str">
        <f>VLOOKUP(C:C,[1]基础信息!B$1:D$65536,3,0)</f>
        <v>Jug</v>
      </c>
      <c r="AM3487" s="1" t="str">
        <f>VLOOKUP(C:C,[1]基础信息!B$1:E$65536,4,0)</f>
        <v>Style</v>
      </c>
      <c r="AN3487" s="1" t="str">
        <f>VLOOKUP(C:C,[1]基础信息!B$1:F$65536,5,0)</f>
        <v>Blue</v>
      </c>
    </row>
    <row r="3488" spans="1:40">
      <c r="A3488" s="1" t="s">
        <v>41</v>
      </c>
      <c r="B3488" s="1" t="s">
        <v>42</v>
      </c>
      <c r="C3488" s="1" t="s">
        <v>4438</v>
      </c>
      <c r="D3488" s="1" t="s">
        <v>4439</v>
      </c>
      <c r="E3488" s="1" t="s">
        <v>45</v>
      </c>
      <c r="F3488" s="1" t="s">
        <v>7947</v>
      </c>
      <c r="G3488" s="1" t="s">
        <v>7980</v>
      </c>
      <c r="H3488" s="1" t="s">
        <v>7981</v>
      </c>
      <c r="I3488" s="1" t="s">
        <v>49</v>
      </c>
      <c r="J3488" s="1" t="s">
        <v>48</v>
      </c>
      <c r="K3488" s="1">
        <v>36</v>
      </c>
      <c r="L3488" s="1">
        <v>0</v>
      </c>
      <c r="M3488" s="1">
        <v>0</v>
      </c>
      <c r="N3488" s="1">
        <v>36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 t="s">
        <v>49</v>
      </c>
      <c r="AA3488" s="1" t="s">
        <v>49</v>
      </c>
      <c r="AB3488" s="1" t="s">
        <v>49</v>
      </c>
      <c r="AC3488" s="1" t="s">
        <v>73</v>
      </c>
      <c r="AD3488" s="1" t="s">
        <v>74</v>
      </c>
      <c r="AE3488" s="1" t="s">
        <v>73</v>
      </c>
      <c r="AF3488" s="1" t="s">
        <v>82</v>
      </c>
      <c r="AG3488" s="1" t="s">
        <v>76</v>
      </c>
      <c r="AH3488" s="1" t="s">
        <v>49</v>
      </c>
      <c r="AI3488" s="1" t="s">
        <v>54</v>
      </c>
      <c r="AJ3488" s="1">
        <v>1</v>
      </c>
      <c r="AK3488" s="1" t="str">
        <f t="shared" si="54"/>
        <v xml:space="preserve"> =&lt;90</v>
      </c>
      <c r="AL3488" s="1" t="str">
        <f>VLOOKUP(C:C,[1]基础信息!B$1:D$65536,3,0)</f>
        <v>Hotcup</v>
      </c>
      <c r="AM3488" s="1" t="str">
        <f>VLOOKUP(C:C,[1]基础信息!B$1:E$65536,4,0)</f>
        <v>Hotcup</v>
      </c>
      <c r="AN3488" s="1" t="str">
        <f>VLOOKUP(C:C,[1]基础信息!B$1:F$65536,5,0)</f>
        <v xml:space="preserve"> green</v>
      </c>
    </row>
    <row r="3489" spans="1:40">
      <c r="A3489" s="1" t="s">
        <v>41</v>
      </c>
      <c r="B3489" s="1" t="s">
        <v>42</v>
      </c>
      <c r="C3489" s="1" t="s">
        <v>4613</v>
      </c>
      <c r="D3489" s="1" t="s">
        <v>4614</v>
      </c>
      <c r="E3489" s="1" t="s">
        <v>45</v>
      </c>
      <c r="F3489" s="1" t="s">
        <v>4615</v>
      </c>
      <c r="G3489" s="1" t="s">
        <v>7982</v>
      </c>
      <c r="H3489" s="1" t="s">
        <v>7983</v>
      </c>
      <c r="I3489" s="1" t="s">
        <v>49</v>
      </c>
      <c r="J3489" s="1" t="s">
        <v>48</v>
      </c>
      <c r="K3489" s="1">
        <v>40</v>
      </c>
      <c r="L3489" s="1">
        <v>0</v>
      </c>
      <c r="M3489" s="1">
        <v>0</v>
      </c>
      <c r="N3489" s="1">
        <v>40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 t="s">
        <v>49</v>
      </c>
      <c r="AA3489" s="1" t="s">
        <v>49</v>
      </c>
      <c r="AB3489" s="1" t="s">
        <v>49</v>
      </c>
      <c r="AC3489" s="1" t="s">
        <v>2000</v>
      </c>
      <c r="AD3489" s="1" t="s">
        <v>2001</v>
      </c>
      <c r="AE3489" s="1" t="s">
        <v>2000</v>
      </c>
      <c r="AF3489" s="1" t="s">
        <v>4618</v>
      </c>
      <c r="AG3489" s="1" t="s">
        <v>53</v>
      </c>
      <c r="AH3489" s="1" t="s">
        <v>49</v>
      </c>
      <c r="AI3489" s="1" t="s">
        <v>54</v>
      </c>
      <c r="AJ3489" s="1">
        <v>1</v>
      </c>
      <c r="AK3489" s="1" t="str">
        <f t="shared" si="54"/>
        <v xml:space="preserve"> =&lt;90</v>
      </c>
      <c r="AL3489" s="1" t="str">
        <f>VLOOKUP(C:C,[1]基础信息!B$1:D$65536,3,0)</f>
        <v>Jug</v>
      </c>
      <c r="AM3489" s="1" t="str">
        <f>VLOOKUP(C:C,[1]基础信息!B$1:E$65536,4,0)</f>
        <v>Style</v>
      </c>
      <c r="AN3489" s="1" t="str">
        <f>VLOOKUP(C:C,[1]基础信息!B$1:F$65536,5,0)</f>
        <v>Blue</v>
      </c>
    </row>
    <row r="3490" spans="1:40">
      <c r="A3490" s="1" t="s">
        <v>41</v>
      </c>
      <c r="B3490" s="1" t="s">
        <v>42</v>
      </c>
      <c r="C3490" s="1" t="s">
        <v>4613</v>
      </c>
      <c r="D3490" s="1" t="s">
        <v>4614</v>
      </c>
      <c r="E3490" s="1" t="s">
        <v>45</v>
      </c>
      <c r="F3490" s="1" t="s">
        <v>4615</v>
      </c>
      <c r="G3490" s="1" t="s">
        <v>7984</v>
      </c>
      <c r="H3490" s="1" t="s">
        <v>7985</v>
      </c>
      <c r="I3490" s="1" t="s">
        <v>49</v>
      </c>
      <c r="J3490" s="1" t="s">
        <v>48</v>
      </c>
      <c r="K3490" s="1">
        <v>40</v>
      </c>
      <c r="L3490" s="1">
        <v>0</v>
      </c>
      <c r="M3490" s="1">
        <v>0</v>
      </c>
      <c r="N3490" s="1">
        <v>40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 t="s">
        <v>49</v>
      </c>
      <c r="AA3490" s="1" t="s">
        <v>49</v>
      </c>
      <c r="AB3490" s="1" t="s">
        <v>49</v>
      </c>
      <c r="AC3490" s="1" t="s">
        <v>2000</v>
      </c>
      <c r="AD3490" s="1" t="s">
        <v>2001</v>
      </c>
      <c r="AE3490" s="1" t="s">
        <v>2000</v>
      </c>
      <c r="AF3490" s="1" t="s">
        <v>4618</v>
      </c>
      <c r="AG3490" s="1" t="s">
        <v>53</v>
      </c>
      <c r="AH3490" s="1" t="s">
        <v>49</v>
      </c>
      <c r="AI3490" s="1" t="s">
        <v>54</v>
      </c>
      <c r="AJ3490" s="1">
        <v>1</v>
      </c>
      <c r="AK3490" s="1" t="str">
        <f t="shared" si="54"/>
        <v xml:space="preserve"> =&lt;90</v>
      </c>
      <c r="AL3490" s="1" t="str">
        <f>VLOOKUP(C:C,[1]基础信息!B$1:D$65536,3,0)</f>
        <v>Jug</v>
      </c>
      <c r="AM3490" s="1" t="str">
        <f>VLOOKUP(C:C,[1]基础信息!B$1:E$65536,4,0)</f>
        <v>Style</v>
      </c>
      <c r="AN3490" s="1" t="str">
        <f>VLOOKUP(C:C,[1]基础信息!B$1:F$65536,5,0)</f>
        <v>Blue</v>
      </c>
    </row>
    <row r="3491" spans="1:40">
      <c r="A3491" s="1" t="s">
        <v>41</v>
      </c>
      <c r="B3491" s="1" t="s">
        <v>42</v>
      </c>
      <c r="C3491" s="1" t="s">
        <v>4613</v>
      </c>
      <c r="D3491" s="1" t="s">
        <v>4614</v>
      </c>
      <c r="E3491" s="1" t="s">
        <v>45</v>
      </c>
      <c r="F3491" s="1" t="s">
        <v>4615</v>
      </c>
      <c r="G3491" s="1" t="s">
        <v>7986</v>
      </c>
      <c r="H3491" s="1" t="s">
        <v>7987</v>
      </c>
      <c r="I3491" s="1" t="s">
        <v>49</v>
      </c>
      <c r="J3491" s="1" t="s">
        <v>48</v>
      </c>
      <c r="K3491" s="1">
        <v>40</v>
      </c>
      <c r="L3491" s="1">
        <v>0</v>
      </c>
      <c r="M3491" s="1">
        <v>0</v>
      </c>
      <c r="N3491" s="1">
        <v>40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 t="s">
        <v>49</v>
      </c>
      <c r="AA3491" s="1" t="s">
        <v>49</v>
      </c>
      <c r="AB3491" s="1" t="s">
        <v>49</v>
      </c>
      <c r="AC3491" s="1" t="s">
        <v>2000</v>
      </c>
      <c r="AD3491" s="1" t="s">
        <v>2001</v>
      </c>
      <c r="AE3491" s="1" t="s">
        <v>2000</v>
      </c>
      <c r="AF3491" s="1" t="s">
        <v>4618</v>
      </c>
      <c r="AG3491" s="1" t="s">
        <v>53</v>
      </c>
      <c r="AH3491" s="1" t="s">
        <v>49</v>
      </c>
      <c r="AI3491" s="1" t="s">
        <v>54</v>
      </c>
      <c r="AJ3491" s="1">
        <v>1</v>
      </c>
      <c r="AK3491" s="1" t="str">
        <f t="shared" si="54"/>
        <v xml:space="preserve"> =&lt;90</v>
      </c>
      <c r="AL3491" s="1" t="str">
        <f>VLOOKUP(C:C,[1]基础信息!B$1:D$65536,3,0)</f>
        <v>Jug</v>
      </c>
      <c r="AM3491" s="1" t="str">
        <f>VLOOKUP(C:C,[1]基础信息!B$1:E$65536,4,0)</f>
        <v>Style</v>
      </c>
      <c r="AN3491" s="1" t="str">
        <f>VLOOKUP(C:C,[1]基础信息!B$1:F$65536,5,0)</f>
        <v>Blue</v>
      </c>
    </row>
    <row r="3492" spans="1:40">
      <c r="A3492" s="1" t="s">
        <v>41</v>
      </c>
      <c r="B3492" s="1" t="s">
        <v>42</v>
      </c>
      <c r="C3492" s="1" t="s">
        <v>4438</v>
      </c>
      <c r="D3492" s="1" t="s">
        <v>4439</v>
      </c>
      <c r="E3492" s="1" t="s">
        <v>45</v>
      </c>
      <c r="F3492" s="1" t="s">
        <v>7947</v>
      </c>
      <c r="G3492" s="1" t="s">
        <v>7988</v>
      </c>
      <c r="H3492" s="1" t="s">
        <v>7989</v>
      </c>
      <c r="I3492" s="1" t="s">
        <v>49</v>
      </c>
      <c r="J3492" s="1" t="s">
        <v>48</v>
      </c>
      <c r="K3492" s="1">
        <v>36</v>
      </c>
      <c r="L3492" s="1">
        <v>0</v>
      </c>
      <c r="M3492" s="1">
        <v>0</v>
      </c>
      <c r="N3492" s="1">
        <v>36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 t="s">
        <v>49</v>
      </c>
      <c r="AA3492" s="1" t="s">
        <v>49</v>
      </c>
      <c r="AB3492" s="1" t="s">
        <v>49</v>
      </c>
      <c r="AC3492" s="1" t="s">
        <v>73</v>
      </c>
      <c r="AD3492" s="1" t="s">
        <v>74</v>
      </c>
      <c r="AE3492" s="1" t="s">
        <v>73</v>
      </c>
      <c r="AF3492" s="1" t="s">
        <v>82</v>
      </c>
      <c r="AG3492" s="1" t="s">
        <v>76</v>
      </c>
      <c r="AH3492" s="1" t="s">
        <v>49</v>
      </c>
      <c r="AI3492" s="1" t="s">
        <v>54</v>
      </c>
      <c r="AJ3492" s="1">
        <v>1</v>
      </c>
      <c r="AK3492" s="1" t="str">
        <f t="shared" si="54"/>
        <v xml:space="preserve"> =&lt;90</v>
      </c>
      <c r="AL3492" s="1" t="str">
        <f>VLOOKUP(C:C,[1]基础信息!B$1:D$65536,3,0)</f>
        <v>Hotcup</v>
      </c>
      <c r="AM3492" s="1" t="str">
        <f>VLOOKUP(C:C,[1]基础信息!B$1:E$65536,4,0)</f>
        <v>Hotcup</v>
      </c>
      <c r="AN3492" s="1" t="str">
        <f>VLOOKUP(C:C,[1]基础信息!B$1:F$65536,5,0)</f>
        <v xml:space="preserve"> green</v>
      </c>
    </row>
    <row r="3493" spans="1:40">
      <c r="A3493" s="1" t="s">
        <v>41</v>
      </c>
      <c r="B3493" s="1" t="s">
        <v>42</v>
      </c>
      <c r="C3493" s="1" t="s">
        <v>4613</v>
      </c>
      <c r="D3493" s="1" t="s">
        <v>4614</v>
      </c>
      <c r="E3493" s="1" t="s">
        <v>45</v>
      </c>
      <c r="F3493" s="1" t="s">
        <v>4615</v>
      </c>
      <c r="G3493" s="1" t="s">
        <v>7990</v>
      </c>
      <c r="H3493" s="1" t="s">
        <v>7991</v>
      </c>
      <c r="I3493" s="1" t="s">
        <v>49</v>
      </c>
      <c r="J3493" s="1" t="s">
        <v>48</v>
      </c>
      <c r="K3493" s="1">
        <v>40</v>
      </c>
      <c r="L3493" s="1">
        <v>0</v>
      </c>
      <c r="M3493" s="1">
        <v>0</v>
      </c>
      <c r="N3493" s="1">
        <v>40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 t="s">
        <v>49</v>
      </c>
      <c r="AA3493" s="1" t="s">
        <v>49</v>
      </c>
      <c r="AB3493" s="1" t="s">
        <v>49</v>
      </c>
      <c r="AC3493" s="1" t="s">
        <v>2000</v>
      </c>
      <c r="AD3493" s="1" t="s">
        <v>2001</v>
      </c>
      <c r="AE3493" s="1" t="s">
        <v>2000</v>
      </c>
      <c r="AF3493" s="1" t="s">
        <v>4618</v>
      </c>
      <c r="AG3493" s="1" t="s">
        <v>53</v>
      </c>
      <c r="AH3493" s="1" t="s">
        <v>49</v>
      </c>
      <c r="AI3493" s="1" t="s">
        <v>54</v>
      </c>
      <c r="AJ3493" s="1">
        <v>1</v>
      </c>
      <c r="AK3493" s="1" t="str">
        <f t="shared" si="54"/>
        <v xml:space="preserve"> =&lt;90</v>
      </c>
      <c r="AL3493" s="1" t="str">
        <f>VLOOKUP(C:C,[1]基础信息!B$1:D$65536,3,0)</f>
        <v>Jug</v>
      </c>
      <c r="AM3493" s="1" t="str">
        <f>VLOOKUP(C:C,[1]基础信息!B$1:E$65536,4,0)</f>
        <v>Style</v>
      </c>
      <c r="AN3493" s="1" t="str">
        <f>VLOOKUP(C:C,[1]基础信息!B$1:F$65536,5,0)</f>
        <v>Blue</v>
      </c>
    </row>
    <row r="3494" spans="1:40">
      <c r="A3494" s="1" t="s">
        <v>41</v>
      </c>
      <c r="B3494" s="1" t="s">
        <v>42</v>
      </c>
      <c r="C3494" s="1" t="s">
        <v>4613</v>
      </c>
      <c r="D3494" s="1" t="s">
        <v>4614</v>
      </c>
      <c r="E3494" s="1" t="s">
        <v>45</v>
      </c>
      <c r="F3494" s="1" t="s">
        <v>4615</v>
      </c>
      <c r="G3494" s="1" t="s">
        <v>7992</v>
      </c>
      <c r="H3494" s="1" t="s">
        <v>7993</v>
      </c>
      <c r="I3494" s="1" t="s">
        <v>49</v>
      </c>
      <c r="J3494" s="1" t="s">
        <v>48</v>
      </c>
      <c r="K3494" s="1">
        <v>40</v>
      </c>
      <c r="L3494" s="1">
        <v>0</v>
      </c>
      <c r="M3494" s="1">
        <v>0</v>
      </c>
      <c r="N3494" s="1">
        <v>40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 t="s">
        <v>49</v>
      </c>
      <c r="AA3494" s="1" t="s">
        <v>49</v>
      </c>
      <c r="AB3494" s="1" t="s">
        <v>49</v>
      </c>
      <c r="AC3494" s="1" t="s">
        <v>2000</v>
      </c>
      <c r="AD3494" s="1" t="s">
        <v>2001</v>
      </c>
      <c r="AE3494" s="1" t="s">
        <v>2000</v>
      </c>
      <c r="AF3494" s="1" t="s">
        <v>4618</v>
      </c>
      <c r="AG3494" s="1" t="s">
        <v>53</v>
      </c>
      <c r="AH3494" s="1" t="s">
        <v>49</v>
      </c>
      <c r="AI3494" s="1" t="s">
        <v>54</v>
      </c>
      <c r="AJ3494" s="1">
        <v>1</v>
      </c>
      <c r="AK3494" s="1" t="str">
        <f>IF(AJ3494&gt;$AP$2,$AQ$2,IF(AJ3494&gt;$AP$3,$AQ$3,IF(AJ3494&gt;$AP$4,$AQ$4,$AQ$5)))</f>
        <v xml:space="preserve"> =&lt;90</v>
      </c>
      <c r="AL3494" s="1" t="str">
        <f>VLOOKUP(C:C,[1]基础信息!B$1:D$65536,3,0)</f>
        <v>Jug</v>
      </c>
      <c r="AM3494" s="1" t="str">
        <f>VLOOKUP(C:C,[1]基础信息!B$1:E$65536,4,0)</f>
        <v>Style</v>
      </c>
      <c r="AN3494" s="1" t="str">
        <f>VLOOKUP(C:C,[1]基础信息!B$1:F$65536,5,0)</f>
        <v>Blue</v>
      </c>
    </row>
    <row r="3495" spans="1:40">
      <c r="A3495" s="1" t="s">
        <v>41</v>
      </c>
      <c r="B3495" s="1" t="s">
        <v>42</v>
      </c>
      <c r="C3495" s="1" t="s">
        <v>4613</v>
      </c>
      <c r="D3495" s="1" t="s">
        <v>4614</v>
      </c>
      <c r="E3495" s="1" t="s">
        <v>45</v>
      </c>
      <c r="F3495" s="1" t="s">
        <v>4615</v>
      </c>
      <c r="G3495" s="1" t="s">
        <v>7994</v>
      </c>
      <c r="H3495" s="1" t="s">
        <v>7995</v>
      </c>
      <c r="I3495" s="1" t="s">
        <v>49</v>
      </c>
      <c r="J3495" s="1" t="s">
        <v>48</v>
      </c>
      <c r="K3495" s="1">
        <v>40</v>
      </c>
      <c r="L3495" s="1">
        <v>0</v>
      </c>
      <c r="M3495" s="1">
        <v>0</v>
      </c>
      <c r="N3495" s="1">
        <v>40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 t="s">
        <v>49</v>
      </c>
      <c r="AA3495" s="1" t="s">
        <v>49</v>
      </c>
      <c r="AB3495" s="1" t="s">
        <v>49</v>
      </c>
      <c r="AC3495" s="1" t="s">
        <v>2000</v>
      </c>
      <c r="AD3495" s="1" t="s">
        <v>2001</v>
      </c>
      <c r="AE3495" s="1" t="s">
        <v>2000</v>
      </c>
      <c r="AF3495" s="1" t="s">
        <v>4618</v>
      </c>
      <c r="AG3495" s="1" t="s">
        <v>53</v>
      </c>
      <c r="AH3495" s="1" t="s">
        <v>49</v>
      </c>
      <c r="AI3495" s="1" t="s">
        <v>54</v>
      </c>
      <c r="AJ3495" s="1">
        <v>1</v>
      </c>
      <c r="AK3495" s="1" t="str">
        <f>IF(AJ3495&gt;$AP$2,$AQ$2,IF(AJ3495&gt;$AP$3,$AQ$3,IF(AJ3495&gt;$AP$4,$AQ$4,$AQ$5)))</f>
        <v xml:space="preserve"> =&lt;90</v>
      </c>
      <c r="AL3495" s="1" t="str">
        <f>VLOOKUP(C:C,[1]基础信息!B$1:D$65536,3,0)</f>
        <v>Jug</v>
      </c>
      <c r="AM3495" s="1" t="str">
        <f>VLOOKUP(C:C,[1]基础信息!B$1:E$65536,4,0)</f>
        <v>Style</v>
      </c>
      <c r="AN3495" s="1" t="str">
        <f>VLOOKUP(C:C,[1]基础信息!B$1:F$65536,5,0)</f>
        <v>Blue</v>
      </c>
    </row>
    <row r="3496" spans="1:40">
      <c r="A3496" s="1" t="s">
        <v>41</v>
      </c>
      <c r="B3496" s="1" t="s">
        <v>42</v>
      </c>
      <c r="C3496" s="1" t="s">
        <v>4438</v>
      </c>
      <c r="D3496" s="1" t="s">
        <v>4439</v>
      </c>
      <c r="E3496" s="1" t="s">
        <v>45</v>
      </c>
      <c r="F3496" s="1" t="s">
        <v>7947</v>
      </c>
      <c r="G3496" s="1" t="s">
        <v>7996</v>
      </c>
      <c r="H3496" s="1" t="s">
        <v>7997</v>
      </c>
      <c r="I3496" s="1" t="s">
        <v>49</v>
      </c>
      <c r="J3496" s="1" t="s">
        <v>48</v>
      </c>
      <c r="K3496" s="1">
        <v>36</v>
      </c>
      <c r="L3496" s="1">
        <v>0</v>
      </c>
      <c r="M3496" s="1">
        <v>0</v>
      </c>
      <c r="N3496" s="1">
        <v>36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 t="s">
        <v>49</v>
      </c>
      <c r="AA3496" s="1" t="s">
        <v>49</v>
      </c>
      <c r="AB3496" s="1" t="s">
        <v>49</v>
      </c>
      <c r="AC3496" s="1" t="s">
        <v>73</v>
      </c>
      <c r="AD3496" s="1" t="s">
        <v>74</v>
      </c>
      <c r="AE3496" s="1" t="s">
        <v>73</v>
      </c>
      <c r="AF3496" s="1" t="s">
        <v>82</v>
      </c>
      <c r="AG3496" s="1" t="s">
        <v>76</v>
      </c>
      <c r="AH3496" s="1" t="s">
        <v>49</v>
      </c>
      <c r="AI3496" s="1" t="s">
        <v>54</v>
      </c>
      <c r="AJ3496" s="1">
        <v>1</v>
      </c>
      <c r="AK3496" s="1" t="str">
        <f>IF(AJ3496&gt;$AP$2,$AQ$2,IF(AJ3496&gt;$AP$3,$AQ$3,IF(AJ3496&gt;$AP$4,$AQ$4,$AQ$5)))</f>
        <v xml:space="preserve"> =&lt;90</v>
      </c>
      <c r="AL3496" s="1" t="str">
        <f>VLOOKUP(C:C,[1]基础信息!B$1:D$65536,3,0)</f>
        <v>Hotcup</v>
      </c>
      <c r="AM3496" s="1" t="str">
        <f>VLOOKUP(C:C,[1]基础信息!B$1:E$65536,4,0)</f>
        <v>Hotcup</v>
      </c>
      <c r="AN3496" s="1" t="str">
        <f>VLOOKUP(C:C,[1]基础信息!B$1:F$65536,5,0)</f>
        <v xml:space="preserve"> green</v>
      </c>
    </row>
    <row r="3497" spans="1:40">
      <c r="A3497" s="1" t="s">
        <v>41</v>
      </c>
      <c r="B3497" s="1" t="s">
        <v>42</v>
      </c>
      <c r="C3497" s="1" t="s">
        <v>4613</v>
      </c>
      <c r="D3497" s="1" t="s">
        <v>4614</v>
      </c>
      <c r="E3497" s="1" t="s">
        <v>45</v>
      </c>
      <c r="F3497" s="1" t="s">
        <v>4615</v>
      </c>
      <c r="G3497" s="1" t="s">
        <v>7998</v>
      </c>
      <c r="H3497" s="1" t="s">
        <v>7999</v>
      </c>
      <c r="I3497" s="1" t="s">
        <v>49</v>
      </c>
      <c r="J3497" s="1" t="s">
        <v>48</v>
      </c>
      <c r="K3497" s="1">
        <v>40</v>
      </c>
      <c r="L3497" s="1">
        <v>0</v>
      </c>
      <c r="M3497" s="1">
        <v>0</v>
      </c>
      <c r="N3497" s="1">
        <v>40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 t="s">
        <v>49</v>
      </c>
      <c r="AA3497" s="1" t="s">
        <v>49</v>
      </c>
      <c r="AB3497" s="1" t="s">
        <v>49</v>
      </c>
      <c r="AC3497" s="1" t="s">
        <v>2000</v>
      </c>
      <c r="AD3497" s="1" t="s">
        <v>2001</v>
      </c>
      <c r="AE3497" s="1" t="s">
        <v>2000</v>
      </c>
      <c r="AF3497" s="1" t="s">
        <v>4618</v>
      </c>
      <c r="AG3497" s="1" t="s">
        <v>53</v>
      </c>
      <c r="AH3497" s="1" t="s">
        <v>49</v>
      </c>
      <c r="AI3497" s="1" t="s">
        <v>54</v>
      </c>
      <c r="AJ3497" s="1">
        <v>1</v>
      </c>
      <c r="AK3497" s="1" t="str">
        <f>IF(AJ3497&gt;$AP$2,$AQ$2,IF(AJ3497&gt;$AP$3,$AQ$3,IF(AJ3497&gt;$AP$4,$AQ$4,$AQ$5)))</f>
        <v xml:space="preserve"> =&lt;90</v>
      </c>
      <c r="AL3497" s="1" t="str">
        <f>VLOOKUP(C:C,[1]基础信息!B$1:D$65536,3,0)</f>
        <v>Jug</v>
      </c>
      <c r="AM3497" s="1" t="str">
        <f>VLOOKUP(C:C,[1]基础信息!B$1:E$65536,4,0)</f>
        <v>Style</v>
      </c>
      <c r="AN3497" s="1" t="str">
        <f>VLOOKUP(C:C,[1]基础信息!B$1:F$65536,5,0)</f>
        <v>Blue</v>
      </c>
    </row>
    <row r="3498" spans="1:40">
      <c r="A3498" s="1" t="s">
        <v>41</v>
      </c>
      <c r="B3498" s="1" t="s">
        <v>42</v>
      </c>
      <c r="C3498" s="1" t="s">
        <v>4613</v>
      </c>
      <c r="D3498" s="1" t="s">
        <v>4614</v>
      </c>
      <c r="E3498" s="1" t="s">
        <v>45</v>
      </c>
      <c r="F3498" s="1" t="s">
        <v>4615</v>
      </c>
      <c r="G3498" s="1" t="s">
        <v>8000</v>
      </c>
      <c r="H3498" s="1" t="s">
        <v>8001</v>
      </c>
      <c r="I3498" s="1" t="s">
        <v>49</v>
      </c>
      <c r="J3498" s="1" t="s">
        <v>48</v>
      </c>
      <c r="K3498" s="1">
        <v>40</v>
      </c>
      <c r="L3498" s="1">
        <v>0</v>
      </c>
      <c r="M3498" s="1">
        <v>0</v>
      </c>
      <c r="N3498" s="1">
        <v>40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 t="s">
        <v>49</v>
      </c>
      <c r="AA3498" s="1" t="s">
        <v>49</v>
      </c>
      <c r="AB3498" s="1" t="s">
        <v>49</v>
      </c>
      <c r="AC3498" s="1" t="s">
        <v>2000</v>
      </c>
      <c r="AD3498" s="1" t="s">
        <v>2001</v>
      </c>
      <c r="AE3498" s="1" t="s">
        <v>2000</v>
      </c>
      <c r="AF3498" s="1" t="s">
        <v>4618</v>
      </c>
      <c r="AG3498" s="1" t="s">
        <v>53</v>
      </c>
      <c r="AH3498" s="1" t="s">
        <v>49</v>
      </c>
      <c r="AI3498" s="1" t="s">
        <v>54</v>
      </c>
      <c r="AJ3498" s="1">
        <v>1</v>
      </c>
      <c r="AK3498" s="1" t="str">
        <f>IF(AJ3498&gt;$AP$2,$AQ$2,IF(AJ3498&gt;$AP$3,$AQ$3,IF(AJ3498&gt;$AP$4,$AQ$4,$AQ$5)))</f>
        <v xml:space="preserve"> =&lt;90</v>
      </c>
      <c r="AL3498" s="1" t="str">
        <f>VLOOKUP(C:C,[1]基础信息!B$1:D$65536,3,0)</f>
        <v>Jug</v>
      </c>
      <c r="AM3498" s="1" t="str">
        <f>VLOOKUP(C:C,[1]基础信息!B$1:E$65536,4,0)</f>
        <v>Style</v>
      </c>
      <c r="AN3498" s="1" t="str">
        <f>VLOOKUP(C:C,[1]基础信息!B$1:F$65536,5,0)</f>
        <v>Blue</v>
      </c>
    </row>
    <row r="3499" spans="1:40">
      <c r="A3499" s="1" t="s">
        <v>41</v>
      </c>
      <c r="B3499" s="1" t="s">
        <v>42</v>
      </c>
      <c r="C3499" s="1" t="s">
        <v>4613</v>
      </c>
      <c r="D3499" s="1" t="s">
        <v>4614</v>
      </c>
      <c r="E3499" s="1" t="s">
        <v>45</v>
      </c>
      <c r="F3499" s="1" t="s">
        <v>4615</v>
      </c>
      <c r="G3499" s="1" t="s">
        <v>8002</v>
      </c>
      <c r="H3499" s="1" t="s">
        <v>8003</v>
      </c>
      <c r="I3499" s="1" t="s">
        <v>49</v>
      </c>
      <c r="J3499" s="1" t="s">
        <v>48</v>
      </c>
      <c r="K3499" s="1">
        <v>40</v>
      </c>
      <c r="L3499" s="1">
        <v>0</v>
      </c>
      <c r="M3499" s="1">
        <v>0</v>
      </c>
      <c r="N3499" s="1">
        <v>40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 t="s">
        <v>49</v>
      </c>
      <c r="AA3499" s="1" t="s">
        <v>49</v>
      </c>
      <c r="AB3499" s="1" t="s">
        <v>49</v>
      </c>
      <c r="AC3499" s="1" t="s">
        <v>2000</v>
      </c>
      <c r="AD3499" s="1" t="s">
        <v>2001</v>
      </c>
      <c r="AE3499" s="1" t="s">
        <v>2000</v>
      </c>
      <c r="AF3499" s="1" t="s">
        <v>4618</v>
      </c>
      <c r="AG3499" s="1" t="s">
        <v>53</v>
      </c>
      <c r="AH3499" s="1" t="s">
        <v>49</v>
      </c>
      <c r="AI3499" s="1" t="s">
        <v>54</v>
      </c>
      <c r="AJ3499" s="1">
        <v>1</v>
      </c>
      <c r="AK3499" s="1" t="str">
        <f t="shared" ref="AK3499:AK3562" si="55">IF(AJ3499&gt;$AP$2,$AQ$2,IF(AJ3499&gt;$AP$3,$AQ$3,IF(AJ3499&gt;$AP$4,$AQ$4,$AQ$5)))</f>
        <v xml:space="preserve"> =&lt;90</v>
      </c>
      <c r="AL3499" s="1" t="str">
        <f>VLOOKUP(C:C,[1]基础信息!B$1:D$65536,3,0)</f>
        <v>Jug</v>
      </c>
      <c r="AM3499" s="1" t="str">
        <f>VLOOKUP(C:C,[1]基础信息!B$1:E$65536,4,0)</f>
        <v>Style</v>
      </c>
      <c r="AN3499" s="1" t="str">
        <f>VLOOKUP(C:C,[1]基础信息!B$1:F$65536,5,0)</f>
        <v>Blue</v>
      </c>
    </row>
    <row r="3500" spans="1:40">
      <c r="A3500" s="1" t="s">
        <v>41</v>
      </c>
      <c r="B3500" s="1" t="s">
        <v>42</v>
      </c>
      <c r="C3500" s="1" t="s">
        <v>4438</v>
      </c>
      <c r="D3500" s="1" t="s">
        <v>4439</v>
      </c>
      <c r="E3500" s="1" t="s">
        <v>45</v>
      </c>
      <c r="F3500" s="1" t="s">
        <v>8004</v>
      </c>
      <c r="G3500" s="1" t="s">
        <v>8005</v>
      </c>
      <c r="H3500" s="1" t="s">
        <v>8006</v>
      </c>
      <c r="I3500" s="1" t="s">
        <v>49</v>
      </c>
      <c r="J3500" s="1" t="s">
        <v>48</v>
      </c>
      <c r="K3500" s="1">
        <v>15</v>
      </c>
      <c r="L3500" s="1">
        <v>0</v>
      </c>
      <c r="M3500" s="1">
        <v>0</v>
      </c>
      <c r="N3500" s="1">
        <v>15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 t="s">
        <v>49</v>
      </c>
      <c r="AA3500" s="1" t="s">
        <v>49</v>
      </c>
      <c r="AB3500" s="1" t="s">
        <v>49</v>
      </c>
      <c r="AC3500" s="1" t="s">
        <v>73</v>
      </c>
      <c r="AD3500" s="1" t="s">
        <v>74</v>
      </c>
      <c r="AE3500" s="1" t="s">
        <v>73</v>
      </c>
      <c r="AF3500" s="1" t="s">
        <v>8007</v>
      </c>
      <c r="AG3500" s="1" t="s">
        <v>76</v>
      </c>
      <c r="AH3500" s="1" t="s">
        <v>49</v>
      </c>
      <c r="AI3500" s="1" t="s">
        <v>54</v>
      </c>
      <c r="AJ3500" s="1">
        <v>1</v>
      </c>
      <c r="AK3500" s="1" t="str">
        <f t="shared" si="55"/>
        <v xml:space="preserve"> =&lt;90</v>
      </c>
      <c r="AL3500" s="1" t="str">
        <f>VLOOKUP(C:C,[1]基础信息!B$1:D$65536,3,0)</f>
        <v>Hotcup</v>
      </c>
      <c r="AM3500" s="1" t="str">
        <f>VLOOKUP(C:C,[1]基础信息!B$1:E$65536,4,0)</f>
        <v>Hotcup</v>
      </c>
      <c r="AN3500" s="1" t="str">
        <f>VLOOKUP(C:C,[1]基础信息!B$1:F$65536,5,0)</f>
        <v xml:space="preserve"> green</v>
      </c>
    </row>
    <row r="3501" spans="1:40">
      <c r="A3501" s="1" t="s">
        <v>41</v>
      </c>
      <c r="B3501" s="1" t="s">
        <v>42</v>
      </c>
      <c r="C3501" s="1" t="s">
        <v>4613</v>
      </c>
      <c r="D3501" s="1" t="s">
        <v>4614</v>
      </c>
      <c r="E3501" s="1" t="s">
        <v>45</v>
      </c>
      <c r="F3501" s="1" t="s">
        <v>4615</v>
      </c>
      <c r="G3501" s="1" t="s">
        <v>8008</v>
      </c>
      <c r="H3501" s="1" t="s">
        <v>8009</v>
      </c>
      <c r="I3501" s="1" t="s">
        <v>49</v>
      </c>
      <c r="J3501" s="1" t="s">
        <v>48</v>
      </c>
      <c r="K3501" s="1">
        <v>40</v>
      </c>
      <c r="L3501" s="1">
        <v>0</v>
      </c>
      <c r="M3501" s="1">
        <v>0</v>
      </c>
      <c r="N3501" s="1">
        <v>40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 t="s">
        <v>49</v>
      </c>
      <c r="AA3501" s="1" t="s">
        <v>49</v>
      </c>
      <c r="AB3501" s="1" t="s">
        <v>49</v>
      </c>
      <c r="AC3501" s="1" t="s">
        <v>2000</v>
      </c>
      <c r="AD3501" s="1" t="s">
        <v>2001</v>
      </c>
      <c r="AE3501" s="1" t="s">
        <v>2000</v>
      </c>
      <c r="AF3501" s="1" t="s">
        <v>4618</v>
      </c>
      <c r="AG3501" s="1" t="s">
        <v>53</v>
      </c>
      <c r="AH3501" s="1" t="s">
        <v>49</v>
      </c>
      <c r="AI3501" s="1" t="s">
        <v>54</v>
      </c>
      <c r="AJ3501" s="1">
        <v>1</v>
      </c>
      <c r="AK3501" s="1" t="str">
        <f t="shared" si="55"/>
        <v xml:space="preserve"> =&lt;90</v>
      </c>
      <c r="AL3501" s="1" t="str">
        <f>VLOOKUP(C:C,[1]基础信息!B$1:D$65536,3,0)</f>
        <v>Jug</v>
      </c>
      <c r="AM3501" s="1" t="str">
        <f>VLOOKUP(C:C,[1]基础信息!B$1:E$65536,4,0)</f>
        <v>Style</v>
      </c>
      <c r="AN3501" s="1" t="str">
        <f>VLOOKUP(C:C,[1]基础信息!B$1:F$65536,5,0)</f>
        <v>Blue</v>
      </c>
    </row>
    <row r="3502" spans="1:40">
      <c r="A3502" s="1" t="s">
        <v>41</v>
      </c>
      <c r="B3502" s="1" t="s">
        <v>42</v>
      </c>
      <c r="C3502" s="1" t="s">
        <v>4613</v>
      </c>
      <c r="D3502" s="1" t="s">
        <v>4614</v>
      </c>
      <c r="E3502" s="1" t="s">
        <v>45</v>
      </c>
      <c r="F3502" s="1" t="s">
        <v>4615</v>
      </c>
      <c r="G3502" s="1" t="s">
        <v>8010</v>
      </c>
      <c r="H3502" s="1" t="s">
        <v>8011</v>
      </c>
      <c r="I3502" s="1" t="s">
        <v>49</v>
      </c>
      <c r="J3502" s="1" t="s">
        <v>48</v>
      </c>
      <c r="K3502" s="1">
        <v>40</v>
      </c>
      <c r="L3502" s="1">
        <v>0</v>
      </c>
      <c r="M3502" s="1">
        <v>0</v>
      </c>
      <c r="N3502" s="1">
        <v>40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 t="s">
        <v>49</v>
      </c>
      <c r="AA3502" s="1" t="s">
        <v>49</v>
      </c>
      <c r="AB3502" s="1" t="s">
        <v>49</v>
      </c>
      <c r="AC3502" s="1" t="s">
        <v>2000</v>
      </c>
      <c r="AD3502" s="1" t="s">
        <v>2001</v>
      </c>
      <c r="AE3502" s="1" t="s">
        <v>2000</v>
      </c>
      <c r="AF3502" s="1" t="s">
        <v>4618</v>
      </c>
      <c r="AG3502" s="1" t="s">
        <v>53</v>
      </c>
      <c r="AH3502" s="1" t="s">
        <v>49</v>
      </c>
      <c r="AI3502" s="1" t="s">
        <v>54</v>
      </c>
      <c r="AJ3502" s="1">
        <v>1</v>
      </c>
      <c r="AK3502" s="1" t="str">
        <f t="shared" si="55"/>
        <v xml:space="preserve"> =&lt;90</v>
      </c>
      <c r="AL3502" s="1" t="str">
        <f>VLOOKUP(C:C,[1]基础信息!B$1:D$65536,3,0)</f>
        <v>Jug</v>
      </c>
      <c r="AM3502" s="1" t="str">
        <f>VLOOKUP(C:C,[1]基础信息!B$1:E$65536,4,0)</f>
        <v>Style</v>
      </c>
      <c r="AN3502" s="1" t="str">
        <f>VLOOKUP(C:C,[1]基础信息!B$1:F$65536,5,0)</f>
        <v>Blue</v>
      </c>
    </row>
    <row r="3503" spans="1:40">
      <c r="A3503" s="1" t="s">
        <v>41</v>
      </c>
      <c r="B3503" s="1" t="s">
        <v>42</v>
      </c>
      <c r="C3503" s="1" t="s">
        <v>4613</v>
      </c>
      <c r="D3503" s="1" t="s">
        <v>4614</v>
      </c>
      <c r="E3503" s="1" t="s">
        <v>45</v>
      </c>
      <c r="F3503" s="1" t="s">
        <v>4615</v>
      </c>
      <c r="G3503" s="1" t="s">
        <v>8012</v>
      </c>
      <c r="H3503" s="1" t="s">
        <v>8013</v>
      </c>
      <c r="I3503" s="1" t="s">
        <v>49</v>
      </c>
      <c r="J3503" s="1" t="s">
        <v>48</v>
      </c>
      <c r="K3503" s="1">
        <v>40</v>
      </c>
      <c r="L3503" s="1">
        <v>0</v>
      </c>
      <c r="M3503" s="1">
        <v>0</v>
      </c>
      <c r="N3503" s="1">
        <v>40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 t="s">
        <v>49</v>
      </c>
      <c r="AA3503" s="1" t="s">
        <v>49</v>
      </c>
      <c r="AB3503" s="1" t="s">
        <v>49</v>
      </c>
      <c r="AC3503" s="1" t="s">
        <v>2000</v>
      </c>
      <c r="AD3503" s="1" t="s">
        <v>2001</v>
      </c>
      <c r="AE3503" s="1" t="s">
        <v>2000</v>
      </c>
      <c r="AF3503" s="1" t="s">
        <v>4618</v>
      </c>
      <c r="AG3503" s="1" t="s">
        <v>53</v>
      </c>
      <c r="AH3503" s="1" t="s">
        <v>49</v>
      </c>
      <c r="AI3503" s="1" t="s">
        <v>54</v>
      </c>
      <c r="AJ3503" s="1">
        <v>1</v>
      </c>
      <c r="AK3503" s="1" t="str">
        <f t="shared" si="55"/>
        <v xml:space="preserve"> =&lt;90</v>
      </c>
      <c r="AL3503" s="1" t="str">
        <f>VLOOKUP(C:C,[1]基础信息!B$1:D$65536,3,0)</f>
        <v>Jug</v>
      </c>
      <c r="AM3503" s="1" t="str">
        <f>VLOOKUP(C:C,[1]基础信息!B$1:E$65536,4,0)</f>
        <v>Style</v>
      </c>
      <c r="AN3503" s="1" t="str">
        <f>VLOOKUP(C:C,[1]基础信息!B$1:F$65536,5,0)</f>
        <v>Blue</v>
      </c>
    </row>
    <row r="3504" spans="1:40">
      <c r="A3504" s="1" t="s">
        <v>41</v>
      </c>
      <c r="B3504" s="1" t="s">
        <v>42</v>
      </c>
      <c r="C3504" s="1" t="s">
        <v>1183</v>
      </c>
      <c r="D3504" s="1" t="s">
        <v>1184</v>
      </c>
      <c r="E3504" s="1" t="s">
        <v>45</v>
      </c>
      <c r="F3504" s="1" t="s">
        <v>7772</v>
      </c>
      <c r="G3504" s="1" t="s">
        <v>8014</v>
      </c>
      <c r="H3504" s="1" t="s">
        <v>8015</v>
      </c>
      <c r="I3504" s="1" t="s">
        <v>49</v>
      </c>
      <c r="J3504" s="1" t="s">
        <v>48</v>
      </c>
      <c r="K3504" s="1">
        <v>12</v>
      </c>
      <c r="L3504" s="1">
        <v>0</v>
      </c>
      <c r="M3504" s="1">
        <v>0</v>
      </c>
      <c r="N3504" s="1">
        <v>12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 t="s">
        <v>49</v>
      </c>
      <c r="AA3504" s="1" t="s">
        <v>49</v>
      </c>
      <c r="AB3504" s="1" t="s">
        <v>49</v>
      </c>
      <c r="AC3504" s="1" t="s">
        <v>109</v>
      </c>
      <c r="AD3504" s="1" t="s">
        <v>110</v>
      </c>
      <c r="AE3504" s="1" t="s">
        <v>109</v>
      </c>
      <c r="AF3504" s="1" t="s">
        <v>3721</v>
      </c>
      <c r="AG3504" s="1" t="s">
        <v>53</v>
      </c>
      <c r="AH3504" s="1" t="s">
        <v>49</v>
      </c>
      <c r="AI3504" s="1" t="s">
        <v>54</v>
      </c>
      <c r="AJ3504" s="1">
        <v>1</v>
      </c>
      <c r="AK3504" s="1" t="str">
        <f t="shared" si="55"/>
        <v xml:space="preserve"> =&lt;90</v>
      </c>
      <c r="AL3504" s="1" t="e">
        <f>VLOOKUP(C:C,[1]基础信息!B$1:D$65536,3,0)</f>
        <v>#N/A</v>
      </c>
      <c r="AM3504" s="1" t="e">
        <f>VLOOKUP(C:C,[1]基础信息!B$1:E$65536,4,0)</f>
        <v>#N/A</v>
      </c>
      <c r="AN3504" s="1" t="e">
        <f>VLOOKUP(C:C,[1]基础信息!B$1:F$65536,5,0)</f>
        <v>#N/A</v>
      </c>
    </row>
    <row r="3505" spans="1:40">
      <c r="A3505" s="1" t="s">
        <v>41</v>
      </c>
      <c r="B3505" s="1" t="s">
        <v>42</v>
      </c>
      <c r="C3505" s="1" t="s">
        <v>8016</v>
      </c>
      <c r="D3505" s="1" t="s">
        <v>8017</v>
      </c>
      <c r="E3505" s="1" t="s">
        <v>45</v>
      </c>
      <c r="F3505" s="1" t="s">
        <v>8018</v>
      </c>
      <c r="G3505" s="1" t="s">
        <v>8019</v>
      </c>
      <c r="H3505" s="1" t="s">
        <v>8020</v>
      </c>
      <c r="I3505" s="1" t="s">
        <v>49</v>
      </c>
      <c r="J3505" s="1" t="s">
        <v>48</v>
      </c>
      <c r="K3505" s="1">
        <v>36</v>
      </c>
      <c r="L3505" s="1">
        <v>0</v>
      </c>
      <c r="M3505" s="1">
        <v>0</v>
      </c>
      <c r="N3505" s="1">
        <v>36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 t="s">
        <v>49</v>
      </c>
      <c r="AA3505" s="1" t="s">
        <v>49</v>
      </c>
      <c r="AB3505" s="1" t="s">
        <v>49</v>
      </c>
      <c r="AC3505" s="1" t="s">
        <v>7540</v>
      </c>
      <c r="AD3505" s="1" t="s">
        <v>7541</v>
      </c>
      <c r="AE3505" s="1" t="s">
        <v>7540</v>
      </c>
      <c r="AF3505" s="1" t="s">
        <v>8021</v>
      </c>
      <c r="AG3505" s="1" t="s">
        <v>53</v>
      </c>
      <c r="AH3505" s="1" t="s">
        <v>49</v>
      </c>
      <c r="AI3505" s="1" t="s">
        <v>54</v>
      </c>
      <c r="AJ3505" s="1">
        <v>1</v>
      </c>
      <c r="AK3505" s="1" t="str">
        <f t="shared" si="55"/>
        <v xml:space="preserve"> =&lt;90</v>
      </c>
      <c r="AL3505" s="1" t="e">
        <f>VLOOKUP(C:C,[1]基础信息!B$1:D$65536,3,0)</f>
        <v>#N/A</v>
      </c>
      <c r="AM3505" s="1" t="e">
        <f>VLOOKUP(C:C,[1]基础信息!B$1:E$65536,4,0)</f>
        <v>#N/A</v>
      </c>
      <c r="AN3505" s="1" t="e">
        <f>VLOOKUP(C:C,[1]基础信息!B$1:F$65536,5,0)</f>
        <v>#N/A</v>
      </c>
    </row>
    <row r="3506" spans="1:40">
      <c r="A3506" s="1" t="s">
        <v>41</v>
      </c>
      <c r="B3506" s="1" t="s">
        <v>42</v>
      </c>
      <c r="C3506" s="1" t="s">
        <v>8016</v>
      </c>
      <c r="D3506" s="1" t="s">
        <v>8017</v>
      </c>
      <c r="E3506" s="1" t="s">
        <v>45</v>
      </c>
      <c r="F3506" s="1" t="s">
        <v>8018</v>
      </c>
      <c r="G3506" s="1" t="s">
        <v>8022</v>
      </c>
      <c r="H3506" s="1" t="s">
        <v>8023</v>
      </c>
      <c r="I3506" s="1" t="s">
        <v>49</v>
      </c>
      <c r="J3506" s="1" t="s">
        <v>48</v>
      </c>
      <c r="K3506" s="1">
        <v>60</v>
      </c>
      <c r="L3506" s="1">
        <v>0</v>
      </c>
      <c r="M3506" s="1">
        <v>0</v>
      </c>
      <c r="N3506" s="1">
        <v>60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 t="s">
        <v>49</v>
      </c>
      <c r="AA3506" s="1" t="s">
        <v>49</v>
      </c>
      <c r="AB3506" s="1" t="s">
        <v>49</v>
      </c>
      <c r="AC3506" s="1" t="s">
        <v>7540</v>
      </c>
      <c r="AD3506" s="1" t="s">
        <v>7541</v>
      </c>
      <c r="AE3506" s="1" t="s">
        <v>7540</v>
      </c>
      <c r="AF3506" s="1" t="s">
        <v>8021</v>
      </c>
      <c r="AG3506" s="1" t="s">
        <v>53</v>
      </c>
      <c r="AH3506" s="1" t="s">
        <v>49</v>
      </c>
      <c r="AI3506" s="1" t="s">
        <v>54</v>
      </c>
      <c r="AJ3506" s="1">
        <v>1</v>
      </c>
      <c r="AK3506" s="1" t="str">
        <f t="shared" si="55"/>
        <v xml:space="preserve"> =&lt;90</v>
      </c>
      <c r="AL3506" s="1" t="e">
        <f>VLOOKUP(C:C,[1]基础信息!B$1:D$65536,3,0)</f>
        <v>#N/A</v>
      </c>
      <c r="AM3506" s="1" t="e">
        <f>VLOOKUP(C:C,[1]基础信息!B$1:E$65536,4,0)</f>
        <v>#N/A</v>
      </c>
      <c r="AN3506" s="1" t="e">
        <f>VLOOKUP(C:C,[1]基础信息!B$1:F$65536,5,0)</f>
        <v>#N/A</v>
      </c>
    </row>
    <row r="3507" spans="1:40">
      <c r="A3507" s="1" t="s">
        <v>41</v>
      </c>
      <c r="B3507" s="1" t="s">
        <v>42</v>
      </c>
      <c r="C3507" s="1" t="s">
        <v>8016</v>
      </c>
      <c r="D3507" s="1" t="s">
        <v>8017</v>
      </c>
      <c r="E3507" s="1" t="s">
        <v>45</v>
      </c>
      <c r="F3507" s="1" t="s">
        <v>8018</v>
      </c>
      <c r="G3507" s="1" t="s">
        <v>8024</v>
      </c>
      <c r="H3507" s="1" t="s">
        <v>8025</v>
      </c>
      <c r="I3507" s="1" t="s">
        <v>49</v>
      </c>
      <c r="J3507" s="1" t="s">
        <v>48</v>
      </c>
      <c r="K3507" s="1">
        <v>60</v>
      </c>
      <c r="L3507" s="1">
        <v>0</v>
      </c>
      <c r="M3507" s="1">
        <v>0</v>
      </c>
      <c r="N3507" s="1">
        <v>60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 t="s">
        <v>49</v>
      </c>
      <c r="AA3507" s="1" t="s">
        <v>49</v>
      </c>
      <c r="AB3507" s="1" t="s">
        <v>49</v>
      </c>
      <c r="AC3507" s="1" t="s">
        <v>7540</v>
      </c>
      <c r="AD3507" s="1" t="s">
        <v>7541</v>
      </c>
      <c r="AE3507" s="1" t="s">
        <v>7540</v>
      </c>
      <c r="AF3507" s="1" t="s">
        <v>8021</v>
      </c>
      <c r="AG3507" s="1" t="s">
        <v>53</v>
      </c>
      <c r="AH3507" s="1" t="s">
        <v>49</v>
      </c>
      <c r="AI3507" s="1" t="s">
        <v>54</v>
      </c>
      <c r="AJ3507" s="1">
        <v>1</v>
      </c>
      <c r="AK3507" s="1" t="str">
        <f t="shared" si="55"/>
        <v xml:space="preserve"> =&lt;90</v>
      </c>
      <c r="AL3507" s="1" t="e">
        <f>VLOOKUP(C:C,[1]基础信息!B$1:D$65536,3,0)</f>
        <v>#N/A</v>
      </c>
      <c r="AM3507" s="1" t="e">
        <f>VLOOKUP(C:C,[1]基础信息!B$1:E$65536,4,0)</f>
        <v>#N/A</v>
      </c>
      <c r="AN3507" s="1" t="e">
        <f>VLOOKUP(C:C,[1]基础信息!B$1:F$65536,5,0)</f>
        <v>#N/A</v>
      </c>
    </row>
    <row r="3508" spans="1:40">
      <c r="A3508" s="1" t="s">
        <v>41</v>
      </c>
      <c r="B3508" s="1" t="s">
        <v>42</v>
      </c>
      <c r="C3508" s="1" t="s">
        <v>1183</v>
      </c>
      <c r="D3508" s="1" t="s">
        <v>1184</v>
      </c>
      <c r="E3508" s="1" t="s">
        <v>45</v>
      </c>
      <c r="F3508" s="1" t="s">
        <v>7772</v>
      </c>
      <c r="G3508" s="1" t="s">
        <v>8026</v>
      </c>
      <c r="H3508" s="1" t="s">
        <v>8027</v>
      </c>
      <c r="I3508" s="1" t="s">
        <v>49</v>
      </c>
      <c r="J3508" s="1" t="s">
        <v>48</v>
      </c>
      <c r="K3508" s="1">
        <v>12</v>
      </c>
      <c r="L3508" s="1">
        <v>0</v>
      </c>
      <c r="M3508" s="1">
        <v>0</v>
      </c>
      <c r="N3508" s="1">
        <v>12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 t="s">
        <v>49</v>
      </c>
      <c r="AA3508" s="1" t="s">
        <v>49</v>
      </c>
      <c r="AB3508" s="1" t="s">
        <v>49</v>
      </c>
      <c r="AC3508" s="1" t="s">
        <v>109</v>
      </c>
      <c r="AD3508" s="1" t="s">
        <v>110</v>
      </c>
      <c r="AE3508" s="1" t="s">
        <v>109</v>
      </c>
      <c r="AF3508" s="1" t="s">
        <v>3721</v>
      </c>
      <c r="AG3508" s="1" t="s">
        <v>53</v>
      </c>
      <c r="AH3508" s="1" t="s">
        <v>49</v>
      </c>
      <c r="AI3508" s="1" t="s">
        <v>54</v>
      </c>
      <c r="AJ3508" s="1">
        <v>1</v>
      </c>
      <c r="AK3508" s="1" t="str">
        <f t="shared" si="55"/>
        <v xml:space="preserve"> =&lt;90</v>
      </c>
      <c r="AL3508" s="1" t="e">
        <f>VLOOKUP(C:C,[1]基础信息!B$1:D$65536,3,0)</f>
        <v>#N/A</v>
      </c>
      <c r="AM3508" s="1" t="e">
        <f>VLOOKUP(C:C,[1]基础信息!B$1:E$65536,4,0)</f>
        <v>#N/A</v>
      </c>
      <c r="AN3508" s="1" t="e">
        <f>VLOOKUP(C:C,[1]基础信息!B$1:F$65536,5,0)</f>
        <v>#N/A</v>
      </c>
    </row>
    <row r="3509" spans="1:40">
      <c r="A3509" s="1" t="s">
        <v>41</v>
      </c>
      <c r="B3509" s="1" t="s">
        <v>42</v>
      </c>
      <c r="C3509" s="1" t="s">
        <v>8016</v>
      </c>
      <c r="D3509" s="1" t="s">
        <v>8017</v>
      </c>
      <c r="E3509" s="1" t="s">
        <v>45</v>
      </c>
      <c r="F3509" s="1" t="s">
        <v>8018</v>
      </c>
      <c r="G3509" s="1" t="s">
        <v>8028</v>
      </c>
      <c r="H3509" s="1" t="s">
        <v>8029</v>
      </c>
      <c r="I3509" s="1" t="s">
        <v>49</v>
      </c>
      <c r="J3509" s="1" t="s">
        <v>48</v>
      </c>
      <c r="K3509" s="1">
        <v>60</v>
      </c>
      <c r="L3509" s="1">
        <v>0</v>
      </c>
      <c r="M3509" s="1">
        <v>0</v>
      </c>
      <c r="N3509" s="1">
        <v>60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 t="s">
        <v>49</v>
      </c>
      <c r="AA3509" s="1" t="s">
        <v>49</v>
      </c>
      <c r="AB3509" s="1" t="s">
        <v>49</v>
      </c>
      <c r="AC3509" s="1" t="s">
        <v>7540</v>
      </c>
      <c r="AD3509" s="1" t="s">
        <v>7541</v>
      </c>
      <c r="AE3509" s="1" t="s">
        <v>7540</v>
      </c>
      <c r="AF3509" s="1" t="s">
        <v>8021</v>
      </c>
      <c r="AG3509" s="1" t="s">
        <v>53</v>
      </c>
      <c r="AH3509" s="1" t="s">
        <v>49</v>
      </c>
      <c r="AI3509" s="1" t="s">
        <v>54</v>
      </c>
      <c r="AJ3509" s="1">
        <v>1</v>
      </c>
      <c r="AK3509" s="1" t="str">
        <f t="shared" si="55"/>
        <v xml:space="preserve"> =&lt;90</v>
      </c>
      <c r="AL3509" s="1" t="e">
        <f>VLOOKUP(C:C,[1]基础信息!B$1:D$65536,3,0)</f>
        <v>#N/A</v>
      </c>
      <c r="AM3509" s="1" t="e">
        <f>VLOOKUP(C:C,[1]基础信息!B$1:E$65536,4,0)</f>
        <v>#N/A</v>
      </c>
      <c r="AN3509" s="1" t="e">
        <f>VLOOKUP(C:C,[1]基础信息!B$1:F$65536,5,0)</f>
        <v>#N/A</v>
      </c>
    </row>
    <row r="3510" spans="1:40">
      <c r="A3510" s="1" t="s">
        <v>41</v>
      </c>
      <c r="B3510" s="1" t="s">
        <v>42</v>
      </c>
      <c r="C3510" s="1" t="s">
        <v>8016</v>
      </c>
      <c r="D3510" s="1" t="s">
        <v>8017</v>
      </c>
      <c r="E3510" s="1" t="s">
        <v>45</v>
      </c>
      <c r="F3510" s="1" t="s">
        <v>8018</v>
      </c>
      <c r="G3510" s="1" t="s">
        <v>8030</v>
      </c>
      <c r="H3510" s="1" t="s">
        <v>8031</v>
      </c>
      <c r="I3510" s="1" t="s">
        <v>49</v>
      </c>
      <c r="J3510" s="1" t="s">
        <v>48</v>
      </c>
      <c r="K3510" s="1">
        <v>60</v>
      </c>
      <c r="L3510" s="1">
        <v>0</v>
      </c>
      <c r="M3510" s="1">
        <v>0</v>
      </c>
      <c r="N3510" s="1">
        <v>60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 t="s">
        <v>49</v>
      </c>
      <c r="AA3510" s="1" t="s">
        <v>49</v>
      </c>
      <c r="AB3510" s="1" t="s">
        <v>49</v>
      </c>
      <c r="AC3510" s="1" t="s">
        <v>7540</v>
      </c>
      <c r="AD3510" s="1" t="s">
        <v>7541</v>
      </c>
      <c r="AE3510" s="1" t="s">
        <v>7540</v>
      </c>
      <c r="AF3510" s="1" t="s">
        <v>8021</v>
      </c>
      <c r="AG3510" s="1" t="s">
        <v>53</v>
      </c>
      <c r="AH3510" s="1" t="s">
        <v>49</v>
      </c>
      <c r="AI3510" s="1" t="s">
        <v>54</v>
      </c>
      <c r="AJ3510" s="1">
        <v>1</v>
      </c>
      <c r="AK3510" s="1" t="str">
        <f t="shared" si="55"/>
        <v xml:space="preserve"> =&lt;90</v>
      </c>
      <c r="AL3510" s="1" t="e">
        <f>VLOOKUP(C:C,[1]基础信息!B$1:D$65536,3,0)</f>
        <v>#N/A</v>
      </c>
      <c r="AM3510" s="1" t="e">
        <f>VLOOKUP(C:C,[1]基础信息!B$1:E$65536,4,0)</f>
        <v>#N/A</v>
      </c>
      <c r="AN3510" s="1" t="e">
        <f>VLOOKUP(C:C,[1]基础信息!B$1:F$65536,5,0)</f>
        <v>#N/A</v>
      </c>
    </row>
    <row r="3511" spans="1:40">
      <c r="A3511" s="1" t="s">
        <v>41</v>
      </c>
      <c r="B3511" s="1" t="s">
        <v>42</v>
      </c>
      <c r="C3511" s="1" t="s">
        <v>8016</v>
      </c>
      <c r="D3511" s="1" t="s">
        <v>8017</v>
      </c>
      <c r="E3511" s="1" t="s">
        <v>45</v>
      </c>
      <c r="F3511" s="1" t="s">
        <v>8018</v>
      </c>
      <c r="G3511" s="1" t="s">
        <v>8032</v>
      </c>
      <c r="H3511" s="1" t="s">
        <v>8033</v>
      </c>
      <c r="I3511" s="1" t="s">
        <v>49</v>
      </c>
      <c r="J3511" s="1" t="s">
        <v>48</v>
      </c>
      <c r="K3511" s="1">
        <v>60</v>
      </c>
      <c r="L3511" s="1">
        <v>0</v>
      </c>
      <c r="M3511" s="1">
        <v>0</v>
      </c>
      <c r="N3511" s="1">
        <v>60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 t="s">
        <v>49</v>
      </c>
      <c r="AA3511" s="1" t="s">
        <v>49</v>
      </c>
      <c r="AB3511" s="1" t="s">
        <v>49</v>
      </c>
      <c r="AC3511" s="1" t="s">
        <v>7540</v>
      </c>
      <c r="AD3511" s="1" t="s">
        <v>7541</v>
      </c>
      <c r="AE3511" s="1" t="s">
        <v>7540</v>
      </c>
      <c r="AF3511" s="1" t="s">
        <v>8021</v>
      </c>
      <c r="AG3511" s="1" t="s">
        <v>53</v>
      </c>
      <c r="AH3511" s="1" t="s">
        <v>49</v>
      </c>
      <c r="AI3511" s="1" t="s">
        <v>54</v>
      </c>
      <c r="AJ3511" s="1">
        <v>1</v>
      </c>
      <c r="AK3511" s="1" t="str">
        <f t="shared" si="55"/>
        <v xml:space="preserve"> =&lt;90</v>
      </c>
      <c r="AL3511" s="1" t="e">
        <f>VLOOKUP(C:C,[1]基础信息!B$1:D$65536,3,0)</f>
        <v>#N/A</v>
      </c>
      <c r="AM3511" s="1" t="e">
        <f>VLOOKUP(C:C,[1]基础信息!B$1:E$65536,4,0)</f>
        <v>#N/A</v>
      </c>
      <c r="AN3511" s="1" t="e">
        <f>VLOOKUP(C:C,[1]基础信息!B$1:F$65536,5,0)</f>
        <v>#N/A</v>
      </c>
    </row>
    <row r="3512" spans="1:40">
      <c r="A3512" s="1" t="s">
        <v>41</v>
      </c>
      <c r="B3512" s="1" t="s">
        <v>42</v>
      </c>
      <c r="C3512" s="1" t="s">
        <v>1183</v>
      </c>
      <c r="D3512" s="1" t="s">
        <v>1184</v>
      </c>
      <c r="E3512" s="1" t="s">
        <v>45</v>
      </c>
      <c r="F3512" s="1" t="s">
        <v>7772</v>
      </c>
      <c r="G3512" s="1" t="s">
        <v>8034</v>
      </c>
      <c r="H3512" s="1" t="s">
        <v>8035</v>
      </c>
      <c r="I3512" s="1" t="s">
        <v>49</v>
      </c>
      <c r="J3512" s="1" t="s">
        <v>48</v>
      </c>
      <c r="K3512" s="1">
        <v>12</v>
      </c>
      <c r="L3512" s="1">
        <v>0</v>
      </c>
      <c r="M3512" s="1">
        <v>0</v>
      </c>
      <c r="N3512" s="1">
        <v>12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 t="s">
        <v>49</v>
      </c>
      <c r="AA3512" s="1" t="s">
        <v>49</v>
      </c>
      <c r="AB3512" s="1" t="s">
        <v>49</v>
      </c>
      <c r="AC3512" s="1" t="s">
        <v>109</v>
      </c>
      <c r="AD3512" s="1" t="s">
        <v>110</v>
      </c>
      <c r="AE3512" s="1" t="s">
        <v>109</v>
      </c>
      <c r="AF3512" s="1" t="s">
        <v>3721</v>
      </c>
      <c r="AG3512" s="1" t="s">
        <v>53</v>
      </c>
      <c r="AH3512" s="1" t="s">
        <v>49</v>
      </c>
      <c r="AI3512" s="1" t="s">
        <v>54</v>
      </c>
      <c r="AJ3512" s="1">
        <v>1</v>
      </c>
      <c r="AK3512" s="1" t="str">
        <f t="shared" si="55"/>
        <v xml:space="preserve"> =&lt;90</v>
      </c>
      <c r="AL3512" s="1" t="e">
        <f>VLOOKUP(C:C,[1]基础信息!B$1:D$65536,3,0)</f>
        <v>#N/A</v>
      </c>
      <c r="AM3512" s="1" t="e">
        <f>VLOOKUP(C:C,[1]基础信息!B$1:E$65536,4,0)</f>
        <v>#N/A</v>
      </c>
      <c r="AN3512" s="1" t="e">
        <f>VLOOKUP(C:C,[1]基础信息!B$1:F$65536,5,0)</f>
        <v>#N/A</v>
      </c>
    </row>
    <row r="3513" spans="1:40">
      <c r="A3513" s="1" t="s">
        <v>41</v>
      </c>
      <c r="B3513" s="1" t="s">
        <v>42</v>
      </c>
      <c r="C3513" s="1" t="s">
        <v>8016</v>
      </c>
      <c r="D3513" s="1" t="s">
        <v>8017</v>
      </c>
      <c r="E3513" s="1" t="s">
        <v>45</v>
      </c>
      <c r="F3513" s="1" t="s">
        <v>8018</v>
      </c>
      <c r="G3513" s="1" t="s">
        <v>8036</v>
      </c>
      <c r="H3513" s="1" t="s">
        <v>8037</v>
      </c>
      <c r="I3513" s="1" t="s">
        <v>49</v>
      </c>
      <c r="J3513" s="1" t="s">
        <v>48</v>
      </c>
      <c r="K3513" s="1">
        <v>60</v>
      </c>
      <c r="L3513" s="1">
        <v>0</v>
      </c>
      <c r="M3513" s="1">
        <v>0</v>
      </c>
      <c r="N3513" s="1">
        <v>60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 t="s">
        <v>49</v>
      </c>
      <c r="AA3513" s="1" t="s">
        <v>49</v>
      </c>
      <c r="AB3513" s="1" t="s">
        <v>49</v>
      </c>
      <c r="AC3513" s="1" t="s">
        <v>7540</v>
      </c>
      <c r="AD3513" s="1" t="s">
        <v>7541</v>
      </c>
      <c r="AE3513" s="1" t="s">
        <v>7540</v>
      </c>
      <c r="AF3513" s="1" t="s">
        <v>8021</v>
      </c>
      <c r="AG3513" s="1" t="s">
        <v>53</v>
      </c>
      <c r="AH3513" s="1" t="s">
        <v>49</v>
      </c>
      <c r="AI3513" s="1" t="s">
        <v>54</v>
      </c>
      <c r="AJ3513" s="1">
        <v>1</v>
      </c>
      <c r="AK3513" s="1" t="str">
        <f t="shared" si="55"/>
        <v xml:space="preserve"> =&lt;90</v>
      </c>
      <c r="AL3513" s="1" t="e">
        <f>VLOOKUP(C:C,[1]基础信息!B$1:D$65536,3,0)</f>
        <v>#N/A</v>
      </c>
      <c r="AM3513" s="1" t="e">
        <f>VLOOKUP(C:C,[1]基础信息!B$1:E$65536,4,0)</f>
        <v>#N/A</v>
      </c>
      <c r="AN3513" s="1" t="e">
        <f>VLOOKUP(C:C,[1]基础信息!B$1:F$65536,5,0)</f>
        <v>#N/A</v>
      </c>
    </row>
    <row r="3514" spans="1:40">
      <c r="A3514" s="1" t="s">
        <v>41</v>
      </c>
      <c r="B3514" s="1" t="s">
        <v>42</v>
      </c>
      <c r="C3514" s="1" t="s">
        <v>8016</v>
      </c>
      <c r="D3514" s="1" t="s">
        <v>8017</v>
      </c>
      <c r="E3514" s="1" t="s">
        <v>45</v>
      </c>
      <c r="F3514" s="1" t="s">
        <v>8018</v>
      </c>
      <c r="G3514" s="1" t="s">
        <v>8038</v>
      </c>
      <c r="H3514" s="1" t="s">
        <v>8039</v>
      </c>
      <c r="I3514" s="1" t="s">
        <v>49</v>
      </c>
      <c r="J3514" s="1" t="s">
        <v>48</v>
      </c>
      <c r="K3514" s="1">
        <v>60</v>
      </c>
      <c r="L3514" s="1">
        <v>0</v>
      </c>
      <c r="M3514" s="1">
        <v>0</v>
      </c>
      <c r="N3514" s="1">
        <v>60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 t="s">
        <v>49</v>
      </c>
      <c r="AA3514" s="1" t="s">
        <v>49</v>
      </c>
      <c r="AB3514" s="1" t="s">
        <v>49</v>
      </c>
      <c r="AC3514" s="1" t="s">
        <v>7540</v>
      </c>
      <c r="AD3514" s="1" t="s">
        <v>7541</v>
      </c>
      <c r="AE3514" s="1" t="s">
        <v>7540</v>
      </c>
      <c r="AF3514" s="1" t="s">
        <v>8021</v>
      </c>
      <c r="AG3514" s="1" t="s">
        <v>53</v>
      </c>
      <c r="AH3514" s="1" t="s">
        <v>49</v>
      </c>
      <c r="AI3514" s="1" t="s">
        <v>54</v>
      </c>
      <c r="AJ3514" s="1">
        <v>1</v>
      </c>
      <c r="AK3514" s="1" t="str">
        <f t="shared" si="55"/>
        <v xml:space="preserve"> =&lt;90</v>
      </c>
      <c r="AL3514" s="1" t="e">
        <f>VLOOKUP(C:C,[1]基础信息!B$1:D$65536,3,0)</f>
        <v>#N/A</v>
      </c>
      <c r="AM3514" s="1" t="e">
        <f>VLOOKUP(C:C,[1]基础信息!B$1:E$65536,4,0)</f>
        <v>#N/A</v>
      </c>
      <c r="AN3514" s="1" t="e">
        <f>VLOOKUP(C:C,[1]基础信息!B$1:F$65536,5,0)</f>
        <v>#N/A</v>
      </c>
    </row>
    <row r="3515" spans="1:40">
      <c r="A3515" s="1" t="s">
        <v>41</v>
      </c>
      <c r="B3515" s="1" t="s">
        <v>42</v>
      </c>
      <c r="C3515" s="1" t="s">
        <v>8016</v>
      </c>
      <c r="D3515" s="1" t="s">
        <v>8017</v>
      </c>
      <c r="E3515" s="1" t="s">
        <v>45</v>
      </c>
      <c r="F3515" s="1" t="s">
        <v>8018</v>
      </c>
      <c r="G3515" s="1" t="s">
        <v>8040</v>
      </c>
      <c r="H3515" s="1" t="s">
        <v>8041</v>
      </c>
      <c r="I3515" s="1" t="s">
        <v>49</v>
      </c>
      <c r="J3515" s="1" t="s">
        <v>48</v>
      </c>
      <c r="K3515" s="1">
        <v>60</v>
      </c>
      <c r="L3515" s="1">
        <v>0</v>
      </c>
      <c r="M3515" s="1">
        <v>0</v>
      </c>
      <c r="N3515" s="1">
        <v>60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 t="s">
        <v>49</v>
      </c>
      <c r="AA3515" s="1" t="s">
        <v>49</v>
      </c>
      <c r="AB3515" s="1" t="s">
        <v>49</v>
      </c>
      <c r="AC3515" s="1" t="s">
        <v>7540</v>
      </c>
      <c r="AD3515" s="1" t="s">
        <v>7541</v>
      </c>
      <c r="AE3515" s="1" t="s">
        <v>7540</v>
      </c>
      <c r="AF3515" s="1" t="s">
        <v>8021</v>
      </c>
      <c r="AG3515" s="1" t="s">
        <v>53</v>
      </c>
      <c r="AH3515" s="1" t="s">
        <v>49</v>
      </c>
      <c r="AI3515" s="1" t="s">
        <v>54</v>
      </c>
      <c r="AJ3515" s="1">
        <v>1</v>
      </c>
      <c r="AK3515" s="1" t="str">
        <f t="shared" si="55"/>
        <v xml:space="preserve"> =&lt;90</v>
      </c>
      <c r="AL3515" s="1" t="e">
        <f>VLOOKUP(C:C,[1]基础信息!B$1:D$65536,3,0)</f>
        <v>#N/A</v>
      </c>
      <c r="AM3515" s="1" t="e">
        <f>VLOOKUP(C:C,[1]基础信息!B$1:E$65536,4,0)</f>
        <v>#N/A</v>
      </c>
      <c r="AN3515" s="1" t="e">
        <f>VLOOKUP(C:C,[1]基础信息!B$1:F$65536,5,0)</f>
        <v>#N/A</v>
      </c>
    </row>
    <row r="3516" spans="1:40">
      <c r="A3516" s="1" t="s">
        <v>41</v>
      </c>
      <c r="B3516" s="1" t="s">
        <v>42</v>
      </c>
      <c r="C3516" s="1" t="s">
        <v>1183</v>
      </c>
      <c r="D3516" s="1" t="s">
        <v>1184</v>
      </c>
      <c r="E3516" s="1" t="s">
        <v>45</v>
      </c>
      <c r="F3516" s="1" t="s">
        <v>7772</v>
      </c>
      <c r="G3516" s="1" t="s">
        <v>8042</v>
      </c>
      <c r="H3516" s="1" t="s">
        <v>8043</v>
      </c>
      <c r="I3516" s="1" t="s">
        <v>49</v>
      </c>
      <c r="J3516" s="1" t="s">
        <v>48</v>
      </c>
      <c r="K3516" s="1">
        <v>12</v>
      </c>
      <c r="L3516" s="1">
        <v>0</v>
      </c>
      <c r="M3516" s="1">
        <v>0</v>
      </c>
      <c r="N3516" s="1">
        <v>12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 t="s">
        <v>49</v>
      </c>
      <c r="AA3516" s="1" t="s">
        <v>49</v>
      </c>
      <c r="AB3516" s="1" t="s">
        <v>49</v>
      </c>
      <c r="AC3516" s="1" t="s">
        <v>109</v>
      </c>
      <c r="AD3516" s="1" t="s">
        <v>110</v>
      </c>
      <c r="AE3516" s="1" t="s">
        <v>109</v>
      </c>
      <c r="AF3516" s="1" t="s">
        <v>3721</v>
      </c>
      <c r="AG3516" s="1" t="s">
        <v>53</v>
      </c>
      <c r="AH3516" s="1" t="s">
        <v>49</v>
      </c>
      <c r="AI3516" s="1" t="s">
        <v>54</v>
      </c>
      <c r="AJ3516" s="1">
        <v>1</v>
      </c>
      <c r="AK3516" s="1" t="str">
        <f t="shared" si="55"/>
        <v xml:space="preserve"> =&lt;90</v>
      </c>
      <c r="AL3516" s="1" t="e">
        <f>VLOOKUP(C:C,[1]基础信息!B$1:D$65536,3,0)</f>
        <v>#N/A</v>
      </c>
      <c r="AM3516" s="1" t="e">
        <f>VLOOKUP(C:C,[1]基础信息!B$1:E$65536,4,0)</f>
        <v>#N/A</v>
      </c>
      <c r="AN3516" s="1" t="e">
        <f>VLOOKUP(C:C,[1]基础信息!B$1:F$65536,5,0)</f>
        <v>#N/A</v>
      </c>
    </row>
    <row r="3517" spans="1:40">
      <c r="A3517" s="1" t="s">
        <v>41</v>
      </c>
      <c r="B3517" s="1" t="s">
        <v>42</v>
      </c>
      <c r="C3517" s="1" t="s">
        <v>8016</v>
      </c>
      <c r="D3517" s="1" t="s">
        <v>8017</v>
      </c>
      <c r="E3517" s="1" t="s">
        <v>45</v>
      </c>
      <c r="F3517" s="1" t="s">
        <v>8018</v>
      </c>
      <c r="G3517" s="1" t="s">
        <v>8044</v>
      </c>
      <c r="H3517" s="1" t="s">
        <v>8045</v>
      </c>
      <c r="I3517" s="1" t="s">
        <v>49</v>
      </c>
      <c r="J3517" s="1" t="s">
        <v>48</v>
      </c>
      <c r="K3517" s="1">
        <v>60</v>
      </c>
      <c r="L3517" s="1">
        <v>0</v>
      </c>
      <c r="M3517" s="1">
        <v>0</v>
      </c>
      <c r="N3517" s="1">
        <v>60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 t="s">
        <v>49</v>
      </c>
      <c r="AA3517" s="1" t="s">
        <v>49</v>
      </c>
      <c r="AB3517" s="1" t="s">
        <v>49</v>
      </c>
      <c r="AC3517" s="1" t="s">
        <v>7540</v>
      </c>
      <c r="AD3517" s="1" t="s">
        <v>7541</v>
      </c>
      <c r="AE3517" s="1" t="s">
        <v>7540</v>
      </c>
      <c r="AF3517" s="1" t="s">
        <v>8021</v>
      </c>
      <c r="AG3517" s="1" t="s">
        <v>53</v>
      </c>
      <c r="AH3517" s="1" t="s">
        <v>49</v>
      </c>
      <c r="AI3517" s="1" t="s">
        <v>54</v>
      </c>
      <c r="AJ3517" s="1">
        <v>1</v>
      </c>
      <c r="AK3517" s="1" t="str">
        <f t="shared" si="55"/>
        <v xml:space="preserve"> =&lt;90</v>
      </c>
      <c r="AL3517" s="1" t="e">
        <f>VLOOKUP(C:C,[1]基础信息!B$1:D$65536,3,0)</f>
        <v>#N/A</v>
      </c>
      <c r="AM3517" s="1" t="e">
        <f>VLOOKUP(C:C,[1]基础信息!B$1:E$65536,4,0)</f>
        <v>#N/A</v>
      </c>
      <c r="AN3517" s="1" t="e">
        <f>VLOOKUP(C:C,[1]基础信息!B$1:F$65536,5,0)</f>
        <v>#N/A</v>
      </c>
    </row>
    <row r="3518" spans="1:40">
      <c r="A3518" s="1" t="s">
        <v>41</v>
      </c>
      <c r="B3518" s="1" t="s">
        <v>42</v>
      </c>
      <c r="C3518" s="1" t="s">
        <v>8016</v>
      </c>
      <c r="D3518" s="1" t="s">
        <v>8017</v>
      </c>
      <c r="E3518" s="1" t="s">
        <v>45</v>
      </c>
      <c r="F3518" s="1" t="s">
        <v>8018</v>
      </c>
      <c r="G3518" s="1" t="s">
        <v>8046</v>
      </c>
      <c r="H3518" s="1" t="s">
        <v>8047</v>
      </c>
      <c r="I3518" s="1" t="s">
        <v>49</v>
      </c>
      <c r="J3518" s="1" t="s">
        <v>48</v>
      </c>
      <c r="K3518" s="1">
        <v>60</v>
      </c>
      <c r="L3518" s="1">
        <v>0</v>
      </c>
      <c r="M3518" s="1">
        <v>0</v>
      </c>
      <c r="N3518" s="1">
        <v>60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 t="s">
        <v>49</v>
      </c>
      <c r="AA3518" s="1" t="s">
        <v>49</v>
      </c>
      <c r="AB3518" s="1" t="s">
        <v>49</v>
      </c>
      <c r="AC3518" s="1" t="s">
        <v>7540</v>
      </c>
      <c r="AD3518" s="1" t="s">
        <v>7541</v>
      </c>
      <c r="AE3518" s="1" t="s">
        <v>7540</v>
      </c>
      <c r="AF3518" s="1" t="s">
        <v>8021</v>
      </c>
      <c r="AG3518" s="1" t="s">
        <v>53</v>
      </c>
      <c r="AH3518" s="1" t="s">
        <v>49</v>
      </c>
      <c r="AI3518" s="1" t="s">
        <v>54</v>
      </c>
      <c r="AJ3518" s="1">
        <v>1</v>
      </c>
      <c r="AK3518" s="1" t="str">
        <f t="shared" si="55"/>
        <v xml:space="preserve"> =&lt;90</v>
      </c>
      <c r="AL3518" s="1" t="e">
        <f>VLOOKUP(C:C,[1]基础信息!B$1:D$65536,3,0)</f>
        <v>#N/A</v>
      </c>
      <c r="AM3518" s="1" t="e">
        <f>VLOOKUP(C:C,[1]基础信息!B$1:E$65536,4,0)</f>
        <v>#N/A</v>
      </c>
      <c r="AN3518" s="1" t="e">
        <f>VLOOKUP(C:C,[1]基础信息!B$1:F$65536,5,0)</f>
        <v>#N/A</v>
      </c>
    </row>
    <row r="3519" spans="1:40">
      <c r="A3519" s="1" t="s">
        <v>41</v>
      </c>
      <c r="B3519" s="1" t="s">
        <v>42</v>
      </c>
      <c r="C3519" s="1" t="s">
        <v>8016</v>
      </c>
      <c r="D3519" s="1" t="s">
        <v>8017</v>
      </c>
      <c r="E3519" s="1" t="s">
        <v>45</v>
      </c>
      <c r="F3519" s="1" t="s">
        <v>8018</v>
      </c>
      <c r="G3519" s="1" t="s">
        <v>8048</v>
      </c>
      <c r="H3519" s="1" t="s">
        <v>8049</v>
      </c>
      <c r="I3519" s="1" t="s">
        <v>49</v>
      </c>
      <c r="J3519" s="1" t="s">
        <v>48</v>
      </c>
      <c r="K3519" s="1">
        <v>60</v>
      </c>
      <c r="L3519" s="1">
        <v>0</v>
      </c>
      <c r="M3519" s="1">
        <v>0</v>
      </c>
      <c r="N3519" s="1">
        <v>60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 t="s">
        <v>49</v>
      </c>
      <c r="AA3519" s="1" t="s">
        <v>49</v>
      </c>
      <c r="AB3519" s="1" t="s">
        <v>49</v>
      </c>
      <c r="AC3519" s="1" t="s">
        <v>7540</v>
      </c>
      <c r="AD3519" s="1" t="s">
        <v>7541</v>
      </c>
      <c r="AE3519" s="1" t="s">
        <v>7540</v>
      </c>
      <c r="AF3519" s="1" t="s">
        <v>8021</v>
      </c>
      <c r="AG3519" s="1" t="s">
        <v>53</v>
      </c>
      <c r="AH3519" s="1" t="s">
        <v>49</v>
      </c>
      <c r="AI3519" s="1" t="s">
        <v>54</v>
      </c>
      <c r="AJ3519" s="1">
        <v>1</v>
      </c>
      <c r="AK3519" s="1" t="str">
        <f t="shared" si="55"/>
        <v xml:space="preserve"> =&lt;90</v>
      </c>
      <c r="AL3519" s="1" t="e">
        <f>VLOOKUP(C:C,[1]基础信息!B$1:D$65536,3,0)</f>
        <v>#N/A</v>
      </c>
      <c r="AM3519" s="1" t="e">
        <f>VLOOKUP(C:C,[1]基础信息!B$1:E$65536,4,0)</f>
        <v>#N/A</v>
      </c>
      <c r="AN3519" s="1" t="e">
        <f>VLOOKUP(C:C,[1]基础信息!B$1:F$65536,5,0)</f>
        <v>#N/A</v>
      </c>
    </row>
    <row r="3520" spans="1:40">
      <c r="A3520" s="1" t="s">
        <v>41</v>
      </c>
      <c r="B3520" s="1" t="s">
        <v>42</v>
      </c>
      <c r="C3520" s="1" t="s">
        <v>1183</v>
      </c>
      <c r="D3520" s="1" t="s">
        <v>1184</v>
      </c>
      <c r="E3520" s="1" t="s">
        <v>45</v>
      </c>
      <c r="F3520" s="1" t="s">
        <v>7772</v>
      </c>
      <c r="G3520" s="1" t="s">
        <v>8050</v>
      </c>
      <c r="H3520" s="1" t="s">
        <v>8051</v>
      </c>
      <c r="I3520" s="1" t="s">
        <v>49</v>
      </c>
      <c r="J3520" s="1" t="s">
        <v>48</v>
      </c>
      <c r="K3520" s="1">
        <v>12</v>
      </c>
      <c r="L3520" s="1">
        <v>0</v>
      </c>
      <c r="M3520" s="1">
        <v>0</v>
      </c>
      <c r="N3520" s="1">
        <v>12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 t="s">
        <v>49</v>
      </c>
      <c r="AA3520" s="1" t="s">
        <v>49</v>
      </c>
      <c r="AB3520" s="1" t="s">
        <v>49</v>
      </c>
      <c r="AC3520" s="1" t="s">
        <v>109</v>
      </c>
      <c r="AD3520" s="1" t="s">
        <v>110</v>
      </c>
      <c r="AE3520" s="1" t="s">
        <v>109</v>
      </c>
      <c r="AF3520" s="1" t="s">
        <v>3721</v>
      </c>
      <c r="AG3520" s="1" t="s">
        <v>53</v>
      </c>
      <c r="AH3520" s="1" t="s">
        <v>49</v>
      </c>
      <c r="AI3520" s="1" t="s">
        <v>54</v>
      </c>
      <c r="AJ3520" s="1">
        <v>1</v>
      </c>
      <c r="AK3520" s="1" t="str">
        <f t="shared" si="55"/>
        <v xml:space="preserve"> =&lt;90</v>
      </c>
      <c r="AL3520" s="1" t="e">
        <f>VLOOKUP(C:C,[1]基础信息!B$1:D$65536,3,0)</f>
        <v>#N/A</v>
      </c>
      <c r="AM3520" s="1" t="e">
        <f>VLOOKUP(C:C,[1]基础信息!B$1:E$65536,4,0)</f>
        <v>#N/A</v>
      </c>
      <c r="AN3520" s="1" t="e">
        <f>VLOOKUP(C:C,[1]基础信息!B$1:F$65536,5,0)</f>
        <v>#N/A</v>
      </c>
    </row>
    <row r="3521" spans="1:40">
      <c r="A3521" s="1" t="s">
        <v>41</v>
      </c>
      <c r="B3521" s="1" t="s">
        <v>42</v>
      </c>
      <c r="C3521" s="1" t="s">
        <v>8016</v>
      </c>
      <c r="D3521" s="1" t="s">
        <v>8017</v>
      </c>
      <c r="E3521" s="1" t="s">
        <v>45</v>
      </c>
      <c r="F3521" s="1" t="s">
        <v>8018</v>
      </c>
      <c r="G3521" s="1" t="s">
        <v>8052</v>
      </c>
      <c r="H3521" s="1" t="s">
        <v>8053</v>
      </c>
      <c r="I3521" s="1" t="s">
        <v>49</v>
      </c>
      <c r="J3521" s="1" t="s">
        <v>48</v>
      </c>
      <c r="K3521" s="1">
        <v>60</v>
      </c>
      <c r="L3521" s="1">
        <v>0</v>
      </c>
      <c r="M3521" s="1">
        <v>0</v>
      </c>
      <c r="N3521" s="1">
        <v>60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 t="s">
        <v>49</v>
      </c>
      <c r="AA3521" s="1" t="s">
        <v>49</v>
      </c>
      <c r="AB3521" s="1" t="s">
        <v>49</v>
      </c>
      <c r="AC3521" s="1" t="s">
        <v>7540</v>
      </c>
      <c r="AD3521" s="1" t="s">
        <v>7541</v>
      </c>
      <c r="AE3521" s="1" t="s">
        <v>7540</v>
      </c>
      <c r="AF3521" s="1" t="s">
        <v>8021</v>
      </c>
      <c r="AG3521" s="1" t="s">
        <v>53</v>
      </c>
      <c r="AH3521" s="1" t="s">
        <v>49</v>
      </c>
      <c r="AI3521" s="1" t="s">
        <v>54</v>
      </c>
      <c r="AJ3521" s="1">
        <v>1</v>
      </c>
      <c r="AK3521" s="1" t="str">
        <f t="shared" si="55"/>
        <v xml:space="preserve"> =&lt;90</v>
      </c>
      <c r="AL3521" s="1" t="e">
        <f>VLOOKUP(C:C,[1]基础信息!B$1:D$65536,3,0)</f>
        <v>#N/A</v>
      </c>
      <c r="AM3521" s="1" t="e">
        <f>VLOOKUP(C:C,[1]基础信息!B$1:E$65536,4,0)</f>
        <v>#N/A</v>
      </c>
      <c r="AN3521" s="1" t="e">
        <f>VLOOKUP(C:C,[1]基础信息!B$1:F$65536,5,0)</f>
        <v>#N/A</v>
      </c>
    </row>
    <row r="3522" spans="1:40">
      <c r="A3522" s="1" t="s">
        <v>41</v>
      </c>
      <c r="B3522" s="1" t="s">
        <v>42</v>
      </c>
      <c r="C3522" s="1" t="s">
        <v>8016</v>
      </c>
      <c r="D3522" s="1" t="s">
        <v>8017</v>
      </c>
      <c r="E3522" s="1" t="s">
        <v>45</v>
      </c>
      <c r="F3522" s="1" t="s">
        <v>8018</v>
      </c>
      <c r="G3522" s="1" t="s">
        <v>8054</v>
      </c>
      <c r="H3522" s="1" t="s">
        <v>8055</v>
      </c>
      <c r="I3522" s="1" t="s">
        <v>49</v>
      </c>
      <c r="J3522" s="1" t="s">
        <v>48</v>
      </c>
      <c r="K3522" s="1">
        <v>60</v>
      </c>
      <c r="L3522" s="1">
        <v>0</v>
      </c>
      <c r="M3522" s="1">
        <v>0</v>
      </c>
      <c r="N3522" s="1">
        <v>60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 t="s">
        <v>49</v>
      </c>
      <c r="AA3522" s="1" t="s">
        <v>49</v>
      </c>
      <c r="AB3522" s="1" t="s">
        <v>49</v>
      </c>
      <c r="AC3522" s="1" t="s">
        <v>7540</v>
      </c>
      <c r="AD3522" s="1" t="s">
        <v>7541</v>
      </c>
      <c r="AE3522" s="1" t="s">
        <v>7540</v>
      </c>
      <c r="AF3522" s="1" t="s">
        <v>8021</v>
      </c>
      <c r="AG3522" s="1" t="s">
        <v>53</v>
      </c>
      <c r="AH3522" s="1" t="s">
        <v>49</v>
      </c>
      <c r="AI3522" s="1" t="s">
        <v>54</v>
      </c>
      <c r="AJ3522" s="1">
        <v>1</v>
      </c>
      <c r="AK3522" s="1" t="str">
        <f t="shared" si="55"/>
        <v xml:space="preserve"> =&lt;90</v>
      </c>
      <c r="AL3522" s="1" t="e">
        <f>VLOOKUP(C:C,[1]基础信息!B$1:D$65536,3,0)</f>
        <v>#N/A</v>
      </c>
      <c r="AM3522" s="1" t="e">
        <f>VLOOKUP(C:C,[1]基础信息!B$1:E$65536,4,0)</f>
        <v>#N/A</v>
      </c>
      <c r="AN3522" s="1" t="e">
        <f>VLOOKUP(C:C,[1]基础信息!B$1:F$65536,5,0)</f>
        <v>#N/A</v>
      </c>
    </row>
    <row r="3523" spans="1:40">
      <c r="A3523" s="1" t="s">
        <v>41</v>
      </c>
      <c r="B3523" s="1" t="s">
        <v>42</v>
      </c>
      <c r="C3523" s="1" t="s">
        <v>8016</v>
      </c>
      <c r="D3523" s="1" t="s">
        <v>8017</v>
      </c>
      <c r="E3523" s="1" t="s">
        <v>45</v>
      </c>
      <c r="F3523" s="1" t="s">
        <v>8018</v>
      </c>
      <c r="G3523" s="1" t="s">
        <v>8056</v>
      </c>
      <c r="H3523" s="1" t="s">
        <v>8057</v>
      </c>
      <c r="I3523" s="1" t="s">
        <v>49</v>
      </c>
      <c r="J3523" s="1" t="s">
        <v>48</v>
      </c>
      <c r="K3523" s="1">
        <v>60</v>
      </c>
      <c r="L3523" s="1">
        <v>0</v>
      </c>
      <c r="M3523" s="1">
        <v>0</v>
      </c>
      <c r="N3523" s="1">
        <v>60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 t="s">
        <v>49</v>
      </c>
      <c r="AA3523" s="1" t="s">
        <v>49</v>
      </c>
      <c r="AB3523" s="1" t="s">
        <v>49</v>
      </c>
      <c r="AC3523" s="1" t="s">
        <v>7540</v>
      </c>
      <c r="AD3523" s="1" t="s">
        <v>7541</v>
      </c>
      <c r="AE3523" s="1" t="s">
        <v>7540</v>
      </c>
      <c r="AF3523" s="1" t="s">
        <v>8021</v>
      </c>
      <c r="AG3523" s="1" t="s">
        <v>53</v>
      </c>
      <c r="AH3523" s="1" t="s">
        <v>49</v>
      </c>
      <c r="AI3523" s="1" t="s">
        <v>54</v>
      </c>
      <c r="AJ3523" s="1">
        <v>1</v>
      </c>
      <c r="AK3523" s="1" t="str">
        <f t="shared" si="55"/>
        <v xml:space="preserve"> =&lt;90</v>
      </c>
      <c r="AL3523" s="1" t="e">
        <f>VLOOKUP(C:C,[1]基础信息!B$1:D$65536,3,0)</f>
        <v>#N/A</v>
      </c>
      <c r="AM3523" s="1" t="e">
        <f>VLOOKUP(C:C,[1]基础信息!B$1:E$65536,4,0)</f>
        <v>#N/A</v>
      </c>
      <c r="AN3523" s="1" t="e">
        <f>VLOOKUP(C:C,[1]基础信息!B$1:F$65536,5,0)</f>
        <v>#N/A</v>
      </c>
    </row>
    <row r="3524" spans="1:40">
      <c r="A3524" s="1" t="s">
        <v>41</v>
      </c>
      <c r="B3524" s="1" t="s">
        <v>42</v>
      </c>
      <c r="C3524" s="1" t="s">
        <v>1183</v>
      </c>
      <c r="D3524" s="1" t="s">
        <v>1184</v>
      </c>
      <c r="E3524" s="1" t="s">
        <v>45</v>
      </c>
      <c r="F3524" s="1" t="s">
        <v>7772</v>
      </c>
      <c r="G3524" s="1" t="s">
        <v>8058</v>
      </c>
      <c r="H3524" s="1" t="s">
        <v>8059</v>
      </c>
      <c r="I3524" s="1" t="s">
        <v>49</v>
      </c>
      <c r="J3524" s="1" t="s">
        <v>48</v>
      </c>
      <c r="K3524" s="1">
        <v>12</v>
      </c>
      <c r="L3524" s="1">
        <v>0</v>
      </c>
      <c r="M3524" s="1">
        <v>0</v>
      </c>
      <c r="N3524" s="1">
        <v>12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 t="s">
        <v>49</v>
      </c>
      <c r="AA3524" s="1" t="s">
        <v>49</v>
      </c>
      <c r="AB3524" s="1" t="s">
        <v>49</v>
      </c>
      <c r="AC3524" s="1" t="s">
        <v>109</v>
      </c>
      <c r="AD3524" s="1" t="s">
        <v>110</v>
      </c>
      <c r="AE3524" s="1" t="s">
        <v>109</v>
      </c>
      <c r="AF3524" s="1" t="s">
        <v>3721</v>
      </c>
      <c r="AG3524" s="1" t="s">
        <v>53</v>
      </c>
      <c r="AH3524" s="1" t="s">
        <v>49</v>
      </c>
      <c r="AI3524" s="1" t="s">
        <v>54</v>
      </c>
      <c r="AJ3524" s="1">
        <v>1</v>
      </c>
      <c r="AK3524" s="1" t="str">
        <f t="shared" si="55"/>
        <v xml:space="preserve"> =&lt;90</v>
      </c>
      <c r="AL3524" s="1" t="e">
        <f>VLOOKUP(C:C,[1]基础信息!B$1:D$65536,3,0)</f>
        <v>#N/A</v>
      </c>
      <c r="AM3524" s="1" t="e">
        <f>VLOOKUP(C:C,[1]基础信息!B$1:E$65536,4,0)</f>
        <v>#N/A</v>
      </c>
      <c r="AN3524" s="1" t="e">
        <f>VLOOKUP(C:C,[1]基础信息!B$1:F$65536,5,0)</f>
        <v>#N/A</v>
      </c>
    </row>
    <row r="3525" spans="1:40">
      <c r="A3525" s="1" t="s">
        <v>41</v>
      </c>
      <c r="B3525" s="1" t="s">
        <v>42</v>
      </c>
      <c r="C3525" s="1" t="s">
        <v>8016</v>
      </c>
      <c r="D3525" s="1" t="s">
        <v>8017</v>
      </c>
      <c r="E3525" s="1" t="s">
        <v>45</v>
      </c>
      <c r="F3525" s="1" t="s">
        <v>8018</v>
      </c>
      <c r="G3525" s="1" t="s">
        <v>8060</v>
      </c>
      <c r="H3525" s="1" t="s">
        <v>8061</v>
      </c>
      <c r="I3525" s="1" t="s">
        <v>49</v>
      </c>
      <c r="J3525" s="1" t="s">
        <v>48</v>
      </c>
      <c r="K3525" s="1">
        <v>60</v>
      </c>
      <c r="L3525" s="1">
        <v>0</v>
      </c>
      <c r="M3525" s="1">
        <v>0</v>
      </c>
      <c r="N3525" s="1">
        <v>60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 t="s">
        <v>49</v>
      </c>
      <c r="AA3525" s="1" t="s">
        <v>49</v>
      </c>
      <c r="AB3525" s="1" t="s">
        <v>49</v>
      </c>
      <c r="AC3525" s="1" t="s">
        <v>7540</v>
      </c>
      <c r="AD3525" s="1" t="s">
        <v>7541</v>
      </c>
      <c r="AE3525" s="1" t="s">
        <v>7540</v>
      </c>
      <c r="AF3525" s="1" t="s">
        <v>8021</v>
      </c>
      <c r="AG3525" s="1" t="s">
        <v>53</v>
      </c>
      <c r="AH3525" s="1" t="s">
        <v>49</v>
      </c>
      <c r="AI3525" s="1" t="s">
        <v>54</v>
      </c>
      <c r="AJ3525" s="1">
        <v>1</v>
      </c>
      <c r="AK3525" s="1" t="str">
        <f t="shared" si="55"/>
        <v xml:space="preserve"> =&lt;90</v>
      </c>
      <c r="AL3525" s="1" t="e">
        <f>VLOOKUP(C:C,[1]基础信息!B$1:D$65536,3,0)</f>
        <v>#N/A</v>
      </c>
      <c r="AM3525" s="1" t="e">
        <f>VLOOKUP(C:C,[1]基础信息!B$1:E$65536,4,0)</f>
        <v>#N/A</v>
      </c>
      <c r="AN3525" s="1" t="e">
        <f>VLOOKUP(C:C,[1]基础信息!B$1:F$65536,5,0)</f>
        <v>#N/A</v>
      </c>
    </row>
    <row r="3526" spans="1:40">
      <c r="A3526" s="1" t="s">
        <v>41</v>
      </c>
      <c r="B3526" s="1" t="s">
        <v>42</v>
      </c>
      <c r="C3526" s="1" t="s">
        <v>8016</v>
      </c>
      <c r="D3526" s="1" t="s">
        <v>8017</v>
      </c>
      <c r="E3526" s="1" t="s">
        <v>45</v>
      </c>
      <c r="F3526" s="1" t="s">
        <v>8018</v>
      </c>
      <c r="G3526" s="1" t="s">
        <v>8062</v>
      </c>
      <c r="H3526" s="1" t="s">
        <v>8063</v>
      </c>
      <c r="I3526" s="1" t="s">
        <v>49</v>
      </c>
      <c r="J3526" s="1" t="s">
        <v>48</v>
      </c>
      <c r="K3526" s="1">
        <v>60</v>
      </c>
      <c r="L3526" s="1">
        <v>0</v>
      </c>
      <c r="M3526" s="1">
        <v>0</v>
      </c>
      <c r="N3526" s="1">
        <v>60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 t="s">
        <v>49</v>
      </c>
      <c r="AA3526" s="1" t="s">
        <v>49</v>
      </c>
      <c r="AB3526" s="1" t="s">
        <v>49</v>
      </c>
      <c r="AC3526" s="1" t="s">
        <v>7540</v>
      </c>
      <c r="AD3526" s="1" t="s">
        <v>7541</v>
      </c>
      <c r="AE3526" s="1" t="s">
        <v>7540</v>
      </c>
      <c r="AF3526" s="1" t="s">
        <v>8021</v>
      </c>
      <c r="AG3526" s="1" t="s">
        <v>53</v>
      </c>
      <c r="AH3526" s="1" t="s">
        <v>49</v>
      </c>
      <c r="AI3526" s="1" t="s">
        <v>54</v>
      </c>
      <c r="AJ3526" s="1">
        <v>1</v>
      </c>
      <c r="AK3526" s="1" t="str">
        <f t="shared" si="55"/>
        <v xml:space="preserve"> =&lt;90</v>
      </c>
      <c r="AL3526" s="1" t="e">
        <f>VLOOKUP(C:C,[1]基础信息!B$1:D$65536,3,0)</f>
        <v>#N/A</v>
      </c>
      <c r="AM3526" s="1" t="e">
        <f>VLOOKUP(C:C,[1]基础信息!B$1:E$65536,4,0)</f>
        <v>#N/A</v>
      </c>
      <c r="AN3526" s="1" t="e">
        <f>VLOOKUP(C:C,[1]基础信息!B$1:F$65536,5,0)</f>
        <v>#N/A</v>
      </c>
    </row>
    <row r="3527" spans="1:40">
      <c r="A3527" s="1" t="s">
        <v>41</v>
      </c>
      <c r="B3527" s="1" t="s">
        <v>42</v>
      </c>
      <c r="C3527" s="1" t="s">
        <v>8016</v>
      </c>
      <c r="D3527" s="1" t="s">
        <v>8017</v>
      </c>
      <c r="E3527" s="1" t="s">
        <v>45</v>
      </c>
      <c r="F3527" s="1" t="s">
        <v>8018</v>
      </c>
      <c r="G3527" s="1" t="s">
        <v>8064</v>
      </c>
      <c r="H3527" s="1" t="s">
        <v>8065</v>
      </c>
      <c r="I3527" s="1" t="s">
        <v>49</v>
      </c>
      <c r="J3527" s="1" t="s">
        <v>48</v>
      </c>
      <c r="K3527" s="1">
        <v>60</v>
      </c>
      <c r="L3527" s="1">
        <v>0</v>
      </c>
      <c r="M3527" s="1">
        <v>0</v>
      </c>
      <c r="N3527" s="1">
        <v>60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 t="s">
        <v>49</v>
      </c>
      <c r="AA3527" s="1" t="s">
        <v>49</v>
      </c>
      <c r="AB3527" s="1" t="s">
        <v>49</v>
      </c>
      <c r="AC3527" s="1" t="s">
        <v>7540</v>
      </c>
      <c r="AD3527" s="1" t="s">
        <v>7541</v>
      </c>
      <c r="AE3527" s="1" t="s">
        <v>7540</v>
      </c>
      <c r="AF3527" s="1" t="s">
        <v>8021</v>
      </c>
      <c r="AG3527" s="1" t="s">
        <v>53</v>
      </c>
      <c r="AH3527" s="1" t="s">
        <v>49</v>
      </c>
      <c r="AI3527" s="1" t="s">
        <v>54</v>
      </c>
      <c r="AJ3527" s="1">
        <v>1</v>
      </c>
      <c r="AK3527" s="1" t="str">
        <f t="shared" si="55"/>
        <v xml:space="preserve"> =&lt;90</v>
      </c>
      <c r="AL3527" s="1" t="e">
        <f>VLOOKUP(C:C,[1]基础信息!B$1:D$65536,3,0)</f>
        <v>#N/A</v>
      </c>
      <c r="AM3527" s="1" t="e">
        <f>VLOOKUP(C:C,[1]基础信息!B$1:E$65536,4,0)</f>
        <v>#N/A</v>
      </c>
      <c r="AN3527" s="1" t="e">
        <f>VLOOKUP(C:C,[1]基础信息!B$1:F$65536,5,0)</f>
        <v>#N/A</v>
      </c>
    </row>
    <row r="3528" spans="1:40">
      <c r="A3528" s="1" t="s">
        <v>41</v>
      </c>
      <c r="B3528" s="1" t="s">
        <v>42</v>
      </c>
      <c r="C3528" s="1" t="s">
        <v>1183</v>
      </c>
      <c r="D3528" s="1" t="s">
        <v>1184</v>
      </c>
      <c r="E3528" s="1" t="s">
        <v>45</v>
      </c>
      <c r="F3528" s="1" t="s">
        <v>7772</v>
      </c>
      <c r="G3528" s="1" t="s">
        <v>8066</v>
      </c>
      <c r="H3528" s="1" t="s">
        <v>8067</v>
      </c>
      <c r="I3528" s="1" t="s">
        <v>49</v>
      </c>
      <c r="J3528" s="1" t="s">
        <v>48</v>
      </c>
      <c r="K3528" s="1">
        <v>12</v>
      </c>
      <c r="L3528" s="1">
        <v>0</v>
      </c>
      <c r="M3528" s="1">
        <v>0</v>
      </c>
      <c r="N3528" s="1">
        <v>12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 t="s">
        <v>49</v>
      </c>
      <c r="AA3528" s="1" t="s">
        <v>49</v>
      </c>
      <c r="AB3528" s="1" t="s">
        <v>49</v>
      </c>
      <c r="AC3528" s="1" t="s">
        <v>109</v>
      </c>
      <c r="AD3528" s="1" t="s">
        <v>110</v>
      </c>
      <c r="AE3528" s="1" t="s">
        <v>109</v>
      </c>
      <c r="AF3528" s="1" t="s">
        <v>3721</v>
      </c>
      <c r="AG3528" s="1" t="s">
        <v>53</v>
      </c>
      <c r="AH3528" s="1" t="s">
        <v>49</v>
      </c>
      <c r="AI3528" s="1" t="s">
        <v>54</v>
      </c>
      <c r="AJ3528" s="1">
        <v>1</v>
      </c>
      <c r="AK3528" s="1" t="str">
        <f t="shared" si="55"/>
        <v xml:space="preserve"> =&lt;90</v>
      </c>
      <c r="AL3528" s="1" t="e">
        <f>VLOOKUP(C:C,[1]基础信息!B$1:D$65536,3,0)</f>
        <v>#N/A</v>
      </c>
      <c r="AM3528" s="1" t="e">
        <f>VLOOKUP(C:C,[1]基础信息!B$1:E$65536,4,0)</f>
        <v>#N/A</v>
      </c>
      <c r="AN3528" s="1" t="e">
        <f>VLOOKUP(C:C,[1]基础信息!B$1:F$65536,5,0)</f>
        <v>#N/A</v>
      </c>
    </row>
    <row r="3529" spans="1:40">
      <c r="A3529" s="1" t="s">
        <v>41</v>
      </c>
      <c r="B3529" s="1" t="s">
        <v>42</v>
      </c>
      <c r="C3529" s="1" t="s">
        <v>8016</v>
      </c>
      <c r="D3529" s="1" t="s">
        <v>8017</v>
      </c>
      <c r="E3529" s="1" t="s">
        <v>45</v>
      </c>
      <c r="F3529" s="1" t="s">
        <v>8018</v>
      </c>
      <c r="G3529" s="1" t="s">
        <v>8068</v>
      </c>
      <c r="H3529" s="1" t="s">
        <v>8069</v>
      </c>
      <c r="I3529" s="1" t="s">
        <v>49</v>
      </c>
      <c r="J3529" s="1" t="s">
        <v>48</v>
      </c>
      <c r="K3529" s="1">
        <v>60</v>
      </c>
      <c r="L3529" s="1">
        <v>0</v>
      </c>
      <c r="M3529" s="1">
        <v>0</v>
      </c>
      <c r="N3529" s="1">
        <v>60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 t="s">
        <v>49</v>
      </c>
      <c r="AA3529" s="1" t="s">
        <v>49</v>
      </c>
      <c r="AB3529" s="1" t="s">
        <v>49</v>
      </c>
      <c r="AC3529" s="1" t="s">
        <v>7540</v>
      </c>
      <c r="AD3529" s="1" t="s">
        <v>7541</v>
      </c>
      <c r="AE3529" s="1" t="s">
        <v>7540</v>
      </c>
      <c r="AF3529" s="1" t="s">
        <v>8021</v>
      </c>
      <c r="AG3529" s="1" t="s">
        <v>53</v>
      </c>
      <c r="AH3529" s="1" t="s">
        <v>49</v>
      </c>
      <c r="AI3529" s="1" t="s">
        <v>54</v>
      </c>
      <c r="AJ3529" s="1">
        <v>1</v>
      </c>
      <c r="AK3529" s="1" t="str">
        <f t="shared" si="55"/>
        <v xml:space="preserve"> =&lt;90</v>
      </c>
      <c r="AL3529" s="1" t="e">
        <f>VLOOKUP(C:C,[1]基础信息!B$1:D$65536,3,0)</f>
        <v>#N/A</v>
      </c>
      <c r="AM3529" s="1" t="e">
        <f>VLOOKUP(C:C,[1]基础信息!B$1:E$65536,4,0)</f>
        <v>#N/A</v>
      </c>
      <c r="AN3529" s="1" t="e">
        <f>VLOOKUP(C:C,[1]基础信息!B$1:F$65536,5,0)</f>
        <v>#N/A</v>
      </c>
    </row>
    <row r="3530" spans="1:40">
      <c r="A3530" s="1" t="s">
        <v>41</v>
      </c>
      <c r="B3530" s="1" t="s">
        <v>42</v>
      </c>
      <c r="C3530" s="1" t="s">
        <v>8016</v>
      </c>
      <c r="D3530" s="1" t="s">
        <v>8017</v>
      </c>
      <c r="E3530" s="1" t="s">
        <v>45</v>
      </c>
      <c r="F3530" s="1" t="s">
        <v>8018</v>
      </c>
      <c r="G3530" s="1" t="s">
        <v>8070</v>
      </c>
      <c r="H3530" s="1" t="s">
        <v>8071</v>
      </c>
      <c r="I3530" s="1" t="s">
        <v>49</v>
      </c>
      <c r="J3530" s="1" t="s">
        <v>48</v>
      </c>
      <c r="K3530" s="1">
        <v>60</v>
      </c>
      <c r="L3530" s="1">
        <v>0</v>
      </c>
      <c r="M3530" s="1">
        <v>0</v>
      </c>
      <c r="N3530" s="1">
        <v>60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 t="s">
        <v>49</v>
      </c>
      <c r="AA3530" s="1" t="s">
        <v>49</v>
      </c>
      <c r="AB3530" s="1" t="s">
        <v>49</v>
      </c>
      <c r="AC3530" s="1" t="s">
        <v>7540</v>
      </c>
      <c r="AD3530" s="1" t="s">
        <v>7541</v>
      </c>
      <c r="AE3530" s="1" t="s">
        <v>7540</v>
      </c>
      <c r="AF3530" s="1" t="s">
        <v>8021</v>
      </c>
      <c r="AG3530" s="1" t="s">
        <v>53</v>
      </c>
      <c r="AH3530" s="1" t="s">
        <v>49</v>
      </c>
      <c r="AI3530" s="1" t="s">
        <v>54</v>
      </c>
      <c r="AJ3530" s="1">
        <v>1</v>
      </c>
      <c r="AK3530" s="1" t="str">
        <f t="shared" si="55"/>
        <v xml:space="preserve"> =&lt;90</v>
      </c>
      <c r="AL3530" s="1" t="e">
        <f>VLOOKUP(C:C,[1]基础信息!B$1:D$65536,3,0)</f>
        <v>#N/A</v>
      </c>
      <c r="AM3530" s="1" t="e">
        <f>VLOOKUP(C:C,[1]基础信息!B$1:E$65536,4,0)</f>
        <v>#N/A</v>
      </c>
      <c r="AN3530" s="1" t="e">
        <f>VLOOKUP(C:C,[1]基础信息!B$1:F$65536,5,0)</f>
        <v>#N/A</v>
      </c>
    </row>
    <row r="3531" spans="1:40">
      <c r="A3531" s="1" t="s">
        <v>41</v>
      </c>
      <c r="B3531" s="1" t="s">
        <v>42</v>
      </c>
      <c r="C3531" s="1" t="s">
        <v>8016</v>
      </c>
      <c r="D3531" s="1" t="s">
        <v>8017</v>
      </c>
      <c r="E3531" s="1" t="s">
        <v>45</v>
      </c>
      <c r="F3531" s="1" t="s">
        <v>8018</v>
      </c>
      <c r="G3531" s="1" t="s">
        <v>8072</v>
      </c>
      <c r="H3531" s="1" t="s">
        <v>8073</v>
      </c>
      <c r="I3531" s="1" t="s">
        <v>49</v>
      </c>
      <c r="J3531" s="1" t="s">
        <v>48</v>
      </c>
      <c r="K3531" s="1">
        <v>60</v>
      </c>
      <c r="L3531" s="1">
        <v>0</v>
      </c>
      <c r="M3531" s="1">
        <v>0</v>
      </c>
      <c r="N3531" s="1">
        <v>60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 t="s">
        <v>49</v>
      </c>
      <c r="AA3531" s="1" t="s">
        <v>49</v>
      </c>
      <c r="AB3531" s="1" t="s">
        <v>49</v>
      </c>
      <c r="AC3531" s="1" t="s">
        <v>7540</v>
      </c>
      <c r="AD3531" s="1" t="s">
        <v>7541</v>
      </c>
      <c r="AE3531" s="1" t="s">
        <v>7540</v>
      </c>
      <c r="AF3531" s="1" t="s">
        <v>8021</v>
      </c>
      <c r="AG3531" s="1" t="s">
        <v>53</v>
      </c>
      <c r="AH3531" s="1" t="s">
        <v>49</v>
      </c>
      <c r="AI3531" s="1" t="s">
        <v>54</v>
      </c>
      <c r="AJ3531" s="1">
        <v>1</v>
      </c>
      <c r="AK3531" s="1" t="str">
        <f t="shared" si="55"/>
        <v xml:space="preserve"> =&lt;90</v>
      </c>
      <c r="AL3531" s="1" t="e">
        <f>VLOOKUP(C:C,[1]基础信息!B$1:D$65536,3,0)</f>
        <v>#N/A</v>
      </c>
      <c r="AM3531" s="1" t="e">
        <f>VLOOKUP(C:C,[1]基础信息!B$1:E$65536,4,0)</f>
        <v>#N/A</v>
      </c>
      <c r="AN3531" s="1" t="e">
        <f>VLOOKUP(C:C,[1]基础信息!B$1:F$65536,5,0)</f>
        <v>#N/A</v>
      </c>
    </row>
    <row r="3532" spans="1:40">
      <c r="A3532" s="1" t="s">
        <v>41</v>
      </c>
      <c r="B3532" s="1" t="s">
        <v>42</v>
      </c>
      <c r="C3532" s="1" t="s">
        <v>1183</v>
      </c>
      <c r="D3532" s="1" t="s">
        <v>1184</v>
      </c>
      <c r="E3532" s="1" t="s">
        <v>45</v>
      </c>
      <c r="F3532" s="1" t="s">
        <v>7772</v>
      </c>
      <c r="G3532" s="1" t="s">
        <v>8074</v>
      </c>
      <c r="H3532" s="1" t="s">
        <v>8075</v>
      </c>
      <c r="I3532" s="1" t="s">
        <v>49</v>
      </c>
      <c r="J3532" s="1" t="s">
        <v>48</v>
      </c>
      <c r="K3532" s="1">
        <v>12</v>
      </c>
      <c r="L3532" s="1">
        <v>0</v>
      </c>
      <c r="M3532" s="1">
        <v>0</v>
      </c>
      <c r="N3532" s="1">
        <v>12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 t="s">
        <v>49</v>
      </c>
      <c r="AA3532" s="1" t="s">
        <v>49</v>
      </c>
      <c r="AB3532" s="1" t="s">
        <v>49</v>
      </c>
      <c r="AC3532" s="1" t="s">
        <v>109</v>
      </c>
      <c r="AD3532" s="1" t="s">
        <v>110</v>
      </c>
      <c r="AE3532" s="1" t="s">
        <v>109</v>
      </c>
      <c r="AF3532" s="1" t="s">
        <v>3721</v>
      </c>
      <c r="AG3532" s="1" t="s">
        <v>53</v>
      </c>
      <c r="AH3532" s="1" t="s">
        <v>49</v>
      </c>
      <c r="AI3532" s="1" t="s">
        <v>54</v>
      </c>
      <c r="AJ3532" s="1">
        <v>1</v>
      </c>
      <c r="AK3532" s="1" t="str">
        <f t="shared" si="55"/>
        <v xml:space="preserve"> =&lt;90</v>
      </c>
      <c r="AL3532" s="1" t="e">
        <f>VLOOKUP(C:C,[1]基础信息!B$1:D$65536,3,0)</f>
        <v>#N/A</v>
      </c>
      <c r="AM3532" s="1" t="e">
        <f>VLOOKUP(C:C,[1]基础信息!B$1:E$65536,4,0)</f>
        <v>#N/A</v>
      </c>
      <c r="AN3532" s="1" t="e">
        <f>VLOOKUP(C:C,[1]基础信息!B$1:F$65536,5,0)</f>
        <v>#N/A</v>
      </c>
    </row>
    <row r="3533" spans="1:40">
      <c r="A3533" s="1" t="s">
        <v>41</v>
      </c>
      <c r="B3533" s="1" t="s">
        <v>42</v>
      </c>
      <c r="C3533" s="1" t="s">
        <v>8016</v>
      </c>
      <c r="D3533" s="1" t="s">
        <v>8017</v>
      </c>
      <c r="E3533" s="1" t="s">
        <v>45</v>
      </c>
      <c r="F3533" s="1" t="s">
        <v>8018</v>
      </c>
      <c r="G3533" s="1" t="s">
        <v>8076</v>
      </c>
      <c r="H3533" s="1" t="s">
        <v>8077</v>
      </c>
      <c r="I3533" s="1" t="s">
        <v>49</v>
      </c>
      <c r="J3533" s="1" t="s">
        <v>48</v>
      </c>
      <c r="K3533" s="1">
        <v>60</v>
      </c>
      <c r="L3533" s="1">
        <v>0</v>
      </c>
      <c r="M3533" s="1">
        <v>0</v>
      </c>
      <c r="N3533" s="1">
        <v>60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 t="s">
        <v>49</v>
      </c>
      <c r="AA3533" s="1" t="s">
        <v>49</v>
      </c>
      <c r="AB3533" s="1" t="s">
        <v>49</v>
      </c>
      <c r="AC3533" s="1" t="s">
        <v>7540</v>
      </c>
      <c r="AD3533" s="1" t="s">
        <v>7541</v>
      </c>
      <c r="AE3533" s="1" t="s">
        <v>7540</v>
      </c>
      <c r="AF3533" s="1" t="s">
        <v>8021</v>
      </c>
      <c r="AG3533" s="1" t="s">
        <v>53</v>
      </c>
      <c r="AH3533" s="1" t="s">
        <v>49</v>
      </c>
      <c r="AI3533" s="1" t="s">
        <v>54</v>
      </c>
      <c r="AJ3533" s="1">
        <v>1</v>
      </c>
      <c r="AK3533" s="1" t="str">
        <f t="shared" si="55"/>
        <v xml:space="preserve"> =&lt;90</v>
      </c>
      <c r="AL3533" s="1" t="e">
        <f>VLOOKUP(C:C,[1]基础信息!B$1:D$65536,3,0)</f>
        <v>#N/A</v>
      </c>
      <c r="AM3533" s="1" t="e">
        <f>VLOOKUP(C:C,[1]基础信息!B$1:E$65536,4,0)</f>
        <v>#N/A</v>
      </c>
      <c r="AN3533" s="1" t="e">
        <f>VLOOKUP(C:C,[1]基础信息!B$1:F$65536,5,0)</f>
        <v>#N/A</v>
      </c>
    </row>
    <row r="3534" spans="1:40">
      <c r="A3534" s="1" t="s">
        <v>41</v>
      </c>
      <c r="B3534" s="1" t="s">
        <v>42</v>
      </c>
      <c r="C3534" s="1" t="s">
        <v>8016</v>
      </c>
      <c r="D3534" s="1" t="s">
        <v>8017</v>
      </c>
      <c r="E3534" s="1" t="s">
        <v>45</v>
      </c>
      <c r="F3534" s="1" t="s">
        <v>8018</v>
      </c>
      <c r="G3534" s="1" t="s">
        <v>8078</v>
      </c>
      <c r="H3534" s="1" t="s">
        <v>8079</v>
      </c>
      <c r="I3534" s="1" t="s">
        <v>49</v>
      </c>
      <c r="J3534" s="1" t="s">
        <v>48</v>
      </c>
      <c r="K3534" s="1">
        <v>60</v>
      </c>
      <c r="L3534" s="1">
        <v>0</v>
      </c>
      <c r="M3534" s="1">
        <v>0</v>
      </c>
      <c r="N3534" s="1">
        <v>60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 t="s">
        <v>49</v>
      </c>
      <c r="AA3534" s="1" t="s">
        <v>49</v>
      </c>
      <c r="AB3534" s="1" t="s">
        <v>49</v>
      </c>
      <c r="AC3534" s="1" t="s">
        <v>7540</v>
      </c>
      <c r="AD3534" s="1" t="s">
        <v>7541</v>
      </c>
      <c r="AE3534" s="1" t="s">
        <v>7540</v>
      </c>
      <c r="AF3534" s="1" t="s">
        <v>8021</v>
      </c>
      <c r="AG3534" s="1" t="s">
        <v>53</v>
      </c>
      <c r="AH3534" s="1" t="s">
        <v>49</v>
      </c>
      <c r="AI3534" s="1" t="s">
        <v>54</v>
      </c>
      <c r="AJ3534" s="1">
        <v>1</v>
      </c>
      <c r="AK3534" s="1" t="str">
        <f t="shared" si="55"/>
        <v xml:space="preserve"> =&lt;90</v>
      </c>
      <c r="AL3534" s="1" t="e">
        <f>VLOOKUP(C:C,[1]基础信息!B$1:D$65536,3,0)</f>
        <v>#N/A</v>
      </c>
      <c r="AM3534" s="1" t="e">
        <f>VLOOKUP(C:C,[1]基础信息!B$1:E$65536,4,0)</f>
        <v>#N/A</v>
      </c>
      <c r="AN3534" s="1" t="e">
        <f>VLOOKUP(C:C,[1]基础信息!B$1:F$65536,5,0)</f>
        <v>#N/A</v>
      </c>
    </row>
    <row r="3535" spans="1:40">
      <c r="A3535" s="1" t="s">
        <v>41</v>
      </c>
      <c r="B3535" s="1" t="s">
        <v>42</v>
      </c>
      <c r="C3535" s="1" t="s">
        <v>8016</v>
      </c>
      <c r="D3535" s="1" t="s">
        <v>8017</v>
      </c>
      <c r="E3535" s="1" t="s">
        <v>45</v>
      </c>
      <c r="F3535" s="1" t="s">
        <v>8018</v>
      </c>
      <c r="G3535" s="1" t="s">
        <v>8080</v>
      </c>
      <c r="H3535" s="1" t="s">
        <v>8081</v>
      </c>
      <c r="I3535" s="1" t="s">
        <v>49</v>
      </c>
      <c r="J3535" s="1" t="s">
        <v>48</v>
      </c>
      <c r="K3535" s="1">
        <v>60</v>
      </c>
      <c r="L3535" s="1">
        <v>0</v>
      </c>
      <c r="M3535" s="1">
        <v>0</v>
      </c>
      <c r="N3535" s="1">
        <v>60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 t="s">
        <v>49</v>
      </c>
      <c r="AA3535" s="1" t="s">
        <v>49</v>
      </c>
      <c r="AB3535" s="1" t="s">
        <v>49</v>
      </c>
      <c r="AC3535" s="1" t="s">
        <v>7540</v>
      </c>
      <c r="AD3535" s="1" t="s">
        <v>7541</v>
      </c>
      <c r="AE3535" s="1" t="s">
        <v>7540</v>
      </c>
      <c r="AF3535" s="1" t="s">
        <v>8021</v>
      </c>
      <c r="AG3535" s="1" t="s">
        <v>53</v>
      </c>
      <c r="AH3535" s="1" t="s">
        <v>49</v>
      </c>
      <c r="AI3535" s="1" t="s">
        <v>54</v>
      </c>
      <c r="AJ3535" s="1">
        <v>1</v>
      </c>
      <c r="AK3535" s="1" t="str">
        <f t="shared" si="55"/>
        <v xml:space="preserve"> =&lt;90</v>
      </c>
      <c r="AL3535" s="1" t="e">
        <f>VLOOKUP(C:C,[1]基础信息!B$1:D$65536,3,0)</f>
        <v>#N/A</v>
      </c>
      <c r="AM3535" s="1" t="e">
        <f>VLOOKUP(C:C,[1]基础信息!B$1:E$65536,4,0)</f>
        <v>#N/A</v>
      </c>
      <c r="AN3535" s="1" t="e">
        <f>VLOOKUP(C:C,[1]基础信息!B$1:F$65536,5,0)</f>
        <v>#N/A</v>
      </c>
    </row>
    <row r="3536" spans="1:40">
      <c r="A3536" s="1" t="s">
        <v>41</v>
      </c>
      <c r="B3536" s="1" t="s">
        <v>42</v>
      </c>
      <c r="C3536" s="1" t="s">
        <v>8016</v>
      </c>
      <c r="D3536" s="1" t="s">
        <v>8017</v>
      </c>
      <c r="E3536" s="1" t="s">
        <v>45</v>
      </c>
      <c r="F3536" s="1" t="s">
        <v>8018</v>
      </c>
      <c r="G3536" s="1" t="s">
        <v>8082</v>
      </c>
      <c r="H3536" s="1" t="s">
        <v>8083</v>
      </c>
      <c r="I3536" s="1" t="s">
        <v>49</v>
      </c>
      <c r="J3536" s="1" t="s">
        <v>48</v>
      </c>
      <c r="K3536" s="1">
        <v>60</v>
      </c>
      <c r="L3536" s="1">
        <v>0</v>
      </c>
      <c r="M3536" s="1">
        <v>0</v>
      </c>
      <c r="N3536" s="1">
        <v>60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 t="s">
        <v>49</v>
      </c>
      <c r="AA3536" s="1" t="s">
        <v>49</v>
      </c>
      <c r="AB3536" s="1" t="s">
        <v>49</v>
      </c>
      <c r="AC3536" s="1" t="s">
        <v>7540</v>
      </c>
      <c r="AD3536" s="1" t="s">
        <v>7541</v>
      </c>
      <c r="AE3536" s="1" t="s">
        <v>7540</v>
      </c>
      <c r="AF3536" s="1" t="s">
        <v>8021</v>
      </c>
      <c r="AG3536" s="1" t="s">
        <v>53</v>
      </c>
      <c r="AH3536" s="1" t="s">
        <v>49</v>
      </c>
      <c r="AI3536" s="1" t="s">
        <v>54</v>
      </c>
      <c r="AJ3536" s="1">
        <v>1</v>
      </c>
      <c r="AK3536" s="1" t="str">
        <f t="shared" si="55"/>
        <v xml:space="preserve"> =&lt;90</v>
      </c>
      <c r="AL3536" s="1" t="e">
        <f>VLOOKUP(C:C,[1]基础信息!B$1:D$65536,3,0)</f>
        <v>#N/A</v>
      </c>
      <c r="AM3536" s="1" t="e">
        <f>VLOOKUP(C:C,[1]基础信息!B$1:E$65536,4,0)</f>
        <v>#N/A</v>
      </c>
      <c r="AN3536" s="1" t="e">
        <f>VLOOKUP(C:C,[1]基础信息!B$1:F$65536,5,0)</f>
        <v>#N/A</v>
      </c>
    </row>
    <row r="3537" spans="1:40">
      <c r="A3537" s="1" t="s">
        <v>41</v>
      </c>
      <c r="B3537" s="1" t="s">
        <v>42</v>
      </c>
      <c r="C3537" s="1" t="s">
        <v>8016</v>
      </c>
      <c r="D3537" s="1" t="s">
        <v>8017</v>
      </c>
      <c r="E3537" s="1" t="s">
        <v>45</v>
      </c>
      <c r="F3537" s="1" t="s">
        <v>8018</v>
      </c>
      <c r="G3537" s="1" t="s">
        <v>8084</v>
      </c>
      <c r="H3537" s="1" t="s">
        <v>8085</v>
      </c>
      <c r="I3537" s="1" t="s">
        <v>49</v>
      </c>
      <c r="J3537" s="1" t="s">
        <v>48</v>
      </c>
      <c r="K3537" s="1">
        <v>60</v>
      </c>
      <c r="L3537" s="1">
        <v>0</v>
      </c>
      <c r="M3537" s="1">
        <v>0</v>
      </c>
      <c r="N3537" s="1">
        <v>60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 t="s">
        <v>49</v>
      </c>
      <c r="AA3537" s="1" t="s">
        <v>49</v>
      </c>
      <c r="AB3537" s="1" t="s">
        <v>49</v>
      </c>
      <c r="AC3537" s="1" t="s">
        <v>7540</v>
      </c>
      <c r="AD3537" s="1" t="s">
        <v>7541</v>
      </c>
      <c r="AE3537" s="1" t="s">
        <v>7540</v>
      </c>
      <c r="AF3537" s="1" t="s">
        <v>8021</v>
      </c>
      <c r="AG3537" s="1" t="s">
        <v>53</v>
      </c>
      <c r="AH3537" s="1" t="s">
        <v>49</v>
      </c>
      <c r="AI3537" s="1" t="s">
        <v>54</v>
      </c>
      <c r="AJ3537" s="1">
        <v>1</v>
      </c>
      <c r="AK3537" s="1" t="str">
        <f t="shared" si="55"/>
        <v xml:space="preserve"> =&lt;90</v>
      </c>
      <c r="AL3537" s="1" t="e">
        <f>VLOOKUP(C:C,[1]基础信息!B$1:D$65536,3,0)</f>
        <v>#N/A</v>
      </c>
      <c r="AM3537" s="1" t="e">
        <f>VLOOKUP(C:C,[1]基础信息!B$1:E$65536,4,0)</f>
        <v>#N/A</v>
      </c>
      <c r="AN3537" s="1" t="e">
        <f>VLOOKUP(C:C,[1]基础信息!B$1:F$65536,5,0)</f>
        <v>#N/A</v>
      </c>
    </row>
    <row r="3538" spans="1:40">
      <c r="A3538" s="1" t="s">
        <v>41</v>
      </c>
      <c r="B3538" s="1" t="s">
        <v>42</v>
      </c>
      <c r="C3538" s="1" t="s">
        <v>8016</v>
      </c>
      <c r="D3538" s="1" t="s">
        <v>8017</v>
      </c>
      <c r="E3538" s="1" t="s">
        <v>45</v>
      </c>
      <c r="F3538" s="1" t="s">
        <v>8018</v>
      </c>
      <c r="G3538" s="1" t="s">
        <v>8086</v>
      </c>
      <c r="H3538" s="1" t="s">
        <v>8087</v>
      </c>
      <c r="I3538" s="1" t="s">
        <v>49</v>
      </c>
      <c r="J3538" s="1" t="s">
        <v>48</v>
      </c>
      <c r="K3538" s="1">
        <v>60</v>
      </c>
      <c r="L3538" s="1">
        <v>0</v>
      </c>
      <c r="M3538" s="1">
        <v>0</v>
      </c>
      <c r="N3538" s="1">
        <v>60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 t="s">
        <v>49</v>
      </c>
      <c r="AA3538" s="1" t="s">
        <v>49</v>
      </c>
      <c r="AB3538" s="1" t="s">
        <v>49</v>
      </c>
      <c r="AC3538" s="1" t="s">
        <v>7540</v>
      </c>
      <c r="AD3538" s="1" t="s">
        <v>7541</v>
      </c>
      <c r="AE3538" s="1" t="s">
        <v>7540</v>
      </c>
      <c r="AF3538" s="1" t="s">
        <v>8021</v>
      </c>
      <c r="AG3538" s="1" t="s">
        <v>53</v>
      </c>
      <c r="AH3538" s="1" t="s">
        <v>49</v>
      </c>
      <c r="AI3538" s="1" t="s">
        <v>54</v>
      </c>
      <c r="AJ3538" s="1">
        <v>1</v>
      </c>
      <c r="AK3538" s="1" t="str">
        <f t="shared" si="55"/>
        <v xml:space="preserve"> =&lt;90</v>
      </c>
      <c r="AL3538" s="1" t="e">
        <f>VLOOKUP(C:C,[1]基础信息!B$1:D$65536,3,0)</f>
        <v>#N/A</v>
      </c>
      <c r="AM3538" s="1" t="e">
        <f>VLOOKUP(C:C,[1]基础信息!B$1:E$65536,4,0)</f>
        <v>#N/A</v>
      </c>
      <c r="AN3538" s="1" t="e">
        <f>VLOOKUP(C:C,[1]基础信息!B$1:F$65536,5,0)</f>
        <v>#N/A</v>
      </c>
    </row>
    <row r="3539" spans="1:40">
      <c r="A3539" s="1" t="s">
        <v>41</v>
      </c>
      <c r="B3539" s="1" t="s">
        <v>42</v>
      </c>
      <c r="C3539" s="1" t="s">
        <v>8016</v>
      </c>
      <c r="D3539" s="1" t="s">
        <v>8017</v>
      </c>
      <c r="E3539" s="1" t="s">
        <v>45</v>
      </c>
      <c r="F3539" s="1" t="s">
        <v>8018</v>
      </c>
      <c r="G3539" s="1" t="s">
        <v>8088</v>
      </c>
      <c r="H3539" s="1" t="s">
        <v>8089</v>
      </c>
      <c r="I3539" s="1" t="s">
        <v>49</v>
      </c>
      <c r="J3539" s="1" t="s">
        <v>48</v>
      </c>
      <c r="K3539" s="1">
        <v>60</v>
      </c>
      <c r="L3539" s="1">
        <v>0</v>
      </c>
      <c r="M3539" s="1">
        <v>0</v>
      </c>
      <c r="N3539" s="1">
        <v>60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 t="s">
        <v>49</v>
      </c>
      <c r="AA3539" s="1" t="s">
        <v>49</v>
      </c>
      <c r="AB3539" s="1" t="s">
        <v>49</v>
      </c>
      <c r="AC3539" s="1" t="s">
        <v>7540</v>
      </c>
      <c r="AD3539" s="1" t="s">
        <v>7541</v>
      </c>
      <c r="AE3539" s="1" t="s">
        <v>7540</v>
      </c>
      <c r="AF3539" s="1" t="s">
        <v>8021</v>
      </c>
      <c r="AG3539" s="1" t="s">
        <v>53</v>
      </c>
      <c r="AH3539" s="1" t="s">
        <v>49</v>
      </c>
      <c r="AI3539" s="1" t="s">
        <v>54</v>
      </c>
      <c r="AJ3539" s="1">
        <v>1</v>
      </c>
      <c r="AK3539" s="1" t="str">
        <f t="shared" si="55"/>
        <v xml:space="preserve"> =&lt;90</v>
      </c>
      <c r="AL3539" s="1" t="e">
        <f>VLOOKUP(C:C,[1]基础信息!B$1:D$65536,3,0)</f>
        <v>#N/A</v>
      </c>
      <c r="AM3539" s="1" t="e">
        <f>VLOOKUP(C:C,[1]基础信息!B$1:E$65536,4,0)</f>
        <v>#N/A</v>
      </c>
      <c r="AN3539" s="1" t="e">
        <f>VLOOKUP(C:C,[1]基础信息!B$1:F$65536,5,0)</f>
        <v>#N/A</v>
      </c>
    </row>
    <row r="3540" spans="1:40">
      <c r="A3540" s="1" t="s">
        <v>41</v>
      </c>
      <c r="B3540" s="1" t="s">
        <v>42</v>
      </c>
      <c r="C3540" s="1" t="s">
        <v>8016</v>
      </c>
      <c r="D3540" s="1" t="s">
        <v>8017</v>
      </c>
      <c r="E3540" s="1" t="s">
        <v>45</v>
      </c>
      <c r="F3540" s="1" t="s">
        <v>8018</v>
      </c>
      <c r="G3540" s="1" t="s">
        <v>8090</v>
      </c>
      <c r="H3540" s="1" t="s">
        <v>8091</v>
      </c>
      <c r="I3540" s="1" t="s">
        <v>49</v>
      </c>
      <c r="J3540" s="1" t="s">
        <v>48</v>
      </c>
      <c r="K3540" s="1">
        <v>60</v>
      </c>
      <c r="L3540" s="1">
        <v>0</v>
      </c>
      <c r="M3540" s="1">
        <v>0</v>
      </c>
      <c r="N3540" s="1">
        <v>60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 t="s">
        <v>49</v>
      </c>
      <c r="AA3540" s="1" t="s">
        <v>49</v>
      </c>
      <c r="AB3540" s="1" t="s">
        <v>49</v>
      </c>
      <c r="AC3540" s="1" t="s">
        <v>7540</v>
      </c>
      <c r="AD3540" s="1" t="s">
        <v>7541</v>
      </c>
      <c r="AE3540" s="1" t="s">
        <v>7540</v>
      </c>
      <c r="AF3540" s="1" t="s">
        <v>8021</v>
      </c>
      <c r="AG3540" s="1" t="s">
        <v>53</v>
      </c>
      <c r="AH3540" s="1" t="s">
        <v>49</v>
      </c>
      <c r="AI3540" s="1" t="s">
        <v>54</v>
      </c>
      <c r="AJ3540" s="1">
        <v>1</v>
      </c>
      <c r="AK3540" s="1" t="str">
        <f t="shared" si="55"/>
        <v xml:space="preserve"> =&lt;90</v>
      </c>
      <c r="AL3540" s="1" t="e">
        <f>VLOOKUP(C:C,[1]基础信息!B$1:D$65536,3,0)</f>
        <v>#N/A</v>
      </c>
      <c r="AM3540" s="1" t="e">
        <f>VLOOKUP(C:C,[1]基础信息!B$1:E$65536,4,0)</f>
        <v>#N/A</v>
      </c>
      <c r="AN3540" s="1" t="e">
        <f>VLOOKUP(C:C,[1]基础信息!B$1:F$65536,5,0)</f>
        <v>#N/A</v>
      </c>
    </row>
    <row r="3541" spans="1:40">
      <c r="A3541" s="1" t="s">
        <v>41</v>
      </c>
      <c r="B3541" s="1" t="s">
        <v>42</v>
      </c>
      <c r="C3541" s="1" t="s">
        <v>8016</v>
      </c>
      <c r="D3541" s="1" t="s">
        <v>8017</v>
      </c>
      <c r="E3541" s="1" t="s">
        <v>45</v>
      </c>
      <c r="F3541" s="1" t="s">
        <v>8018</v>
      </c>
      <c r="G3541" s="1" t="s">
        <v>8092</v>
      </c>
      <c r="H3541" s="1" t="s">
        <v>8093</v>
      </c>
      <c r="I3541" s="1" t="s">
        <v>49</v>
      </c>
      <c r="J3541" s="1" t="s">
        <v>48</v>
      </c>
      <c r="K3541" s="1">
        <v>60</v>
      </c>
      <c r="L3541" s="1">
        <v>0</v>
      </c>
      <c r="M3541" s="1">
        <v>0</v>
      </c>
      <c r="N3541" s="1">
        <v>60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 t="s">
        <v>49</v>
      </c>
      <c r="AA3541" s="1" t="s">
        <v>49</v>
      </c>
      <c r="AB3541" s="1" t="s">
        <v>49</v>
      </c>
      <c r="AC3541" s="1" t="s">
        <v>7540</v>
      </c>
      <c r="AD3541" s="1" t="s">
        <v>7541</v>
      </c>
      <c r="AE3541" s="1" t="s">
        <v>7540</v>
      </c>
      <c r="AF3541" s="1" t="s">
        <v>8021</v>
      </c>
      <c r="AG3541" s="1" t="s">
        <v>53</v>
      </c>
      <c r="AH3541" s="1" t="s">
        <v>49</v>
      </c>
      <c r="AI3541" s="1" t="s">
        <v>54</v>
      </c>
      <c r="AJ3541" s="1">
        <v>1</v>
      </c>
      <c r="AK3541" s="1" t="str">
        <f t="shared" si="55"/>
        <v xml:space="preserve"> =&lt;90</v>
      </c>
      <c r="AL3541" s="1" t="e">
        <f>VLOOKUP(C:C,[1]基础信息!B$1:D$65536,3,0)</f>
        <v>#N/A</v>
      </c>
      <c r="AM3541" s="1" t="e">
        <f>VLOOKUP(C:C,[1]基础信息!B$1:E$65536,4,0)</f>
        <v>#N/A</v>
      </c>
      <c r="AN3541" s="1" t="e">
        <f>VLOOKUP(C:C,[1]基础信息!B$1:F$65536,5,0)</f>
        <v>#N/A</v>
      </c>
    </row>
    <row r="3542" spans="1:40">
      <c r="A3542" s="1" t="s">
        <v>41</v>
      </c>
      <c r="B3542" s="1" t="s">
        <v>42</v>
      </c>
      <c r="C3542" s="1" t="s">
        <v>8016</v>
      </c>
      <c r="D3542" s="1" t="s">
        <v>8017</v>
      </c>
      <c r="E3542" s="1" t="s">
        <v>45</v>
      </c>
      <c r="F3542" s="1" t="s">
        <v>8018</v>
      </c>
      <c r="G3542" s="1" t="s">
        <v>8094</v>
      </c>
      <c r="H3542" s="1" t="s">
        <v>8095</v>
      </c>
      <c r="I3542" s="1" t="s">
        <v>49</v>
      </c>
      <c r="J3542" s="1" t="s">
        <v>48</v>
      </c>
      <c r="K3542" s="1">
        <v>60</v>
      </c>
      <c r="L3542" s="1">
        <v>0</v>
      </c>
      <c r="M3542" s="1">
        <v>0</v>
      </c>
      <c r="N3542" s="1">
        <v>60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 t="s">
        <v>49</v>
      </c>
      <c r="AA3542" s="1" t="s">
        <v>49</v>
      </c>
      <c r="AB3542" s="1" t="s">
        <v>49</v>
      </c>
      <c r="AC3542" s="1" t="s">
        <v>7540</v>
      </c>
      <c r="AD3542" s="1" t="s">
        <v>7541</v>
      </c>
      <c r="AE3542" s="1" t="s">
        <v>7540</v>
      </c>
      <c r="AF3542" s="1" t="s">
        <v>8021</v>
      </c>
      <c r="AG3542" s="1" t="s">
        <v>53</v>
      </c>
      <c r="AH3542" s="1" t="s">
        <v>49</v>
      </c>
      <c r="AI3542" s="1" t="s">
        <v>54</v>
      </c>
      <c r="AJ3542" s="1">
        <v>1</v>
      </c>
      <c r="AK3542" s="1" t="str">
        <f t="shared" si="55"/>
        <v xml:space="preserve"> =&lt;90</v>
      </c>
      <c r="AL3542" s="1" t="e">
        <f>VLOOKUP(C:C,[1]基础信息!B$1:D$65536,3,0)</f>
        <v>#N/A</v>
      </c>
      <c r="AM3542" s="1" t="e">
        <f>VLOOKUP(C:C,[1]基础信息!B$1:E$65536,4,0)</f>
        <v>#N/A</v>
      </c>
      <c r="AN3542" s="1" t="e">
        <f>VLOOKUP(C:C,[1]基础信息!B$1:F$65536,5,0)</f>
        <v>#N/A</v>
      </c>
    </row>
    <row r="3543" spans="1:40">
      <c r="A3543" s="1" t="s">
        <v>41</v>
      </c>
      <c r="B3543" s="1" t="s">
        <v>42</v>
      </c>
      <c r="C3543" s="1" t="s">
        <v>8016</v>
      </c>
      <c r="D3543" s="1" t="s">
        <v>8017</v>
      </c>
      <c r="E3543" s="1" t="s">
        <v>45</v>
      </c>
      <c r="F3543" s="1" t="s">
        <v>8018</v>
      </c>
      <c r="G3543" s="1" t="s">
        <v>8096</v>
      </c>
      <c r="H3543" s="1" t="s">
        <v>8097</v>
      </c>
      <c r="I3543" s="1" t="s">
        <v>49</v>
      </c>
      <c r="J3543" s="1" t="s">
        <v>48</v>
      </c>
      <c r="K3543" s="1">
        <v>60</v>
      </c>
      <c r="L3543" s="1">
        <v>0</v>
      </c>
      <c r="M3543" s="1">
        <v>0</v>
      </c>
      <c r="N3543" s="1">
        <v>60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 t="s">
        <v>49</v>
      </c>
      <c r="AA3543" s="1" t="s">
        <v>49</v>
      </c>
      <c r="AB3543" s="1" t="s">
        <v>49</v>
      </c>
      <c r="AC3543" s="1" t="s">
        <v>7540</v>
      </c>
      <c r="AD3543" s="1" t="s">
        <v>7541</v>
      </c>
      <c r="AE3543" s="1" t="s">
        <v>7540</v>
      </c>
      <c r="AF3543" s="1" t="s">
        <v>8021</v>
      </c>
      <c r="AG3543" s="1" t="s">
        <v>53</v>
      </c>
      <c r="AH3543" s="1" t="s">
        <v>49</v>
      </c>
      <c r="AI3543" s="1" t="s">
        <v>54</v>
      </c>
      <c r="AJ3543" s="1">
        <v>1</v>
      </c>
      <c r="AK3543" s="1" t="str">
        <f t="shared" si="55"/>
        <v xml:space="preserve"> =&lt;90</v>
      </c>
      <c r="AL3543" s="1" t="e">
        <f>VLOOKUP(C:C,[1]基础信息!B$1:D$65536,3,0)</f>
        <v>#N/A</v>
      </c>
      <c r="AM3543" s="1" t="e">
        <f>VLOOKUP(C:C,[1]基础信息!B$1:E$65536,4,0)</f>
        <v>#N/A</v>
      </c>
      <c r="AN3543" s="1" t="e">
        <f>VLOOKUP(C:C,[1]基础信息!B$1:F$65536,5,0)</f>
        <v>#N/A</v>
      </c>
    </row>
    <row r="3544" spans="1:40">
      <c r="A3544" s="1" t="s">
        <v>41</v>
      </c>
      <c r="B3544" s="1" t="s">
        <v>42</v>
      </c>
      <c r="C3544" s="1" t="s">
        <v>8016</v>
      </c>
      <c r="D3544" s="1" t="s">
        <v>8017</v>
      </c>
      <c r="E3544" s="1" t="s">
        <v>45</v>
      </c>
      <c r="F3544" s="1" t="s">
        <v>8018</v>
      </c>
      <c r="G3544" s="1" t="s">
        <v>8098</v>
      </c>
      <c r="H3544" s="1" t="s">
        <v>8099</v>
      </c>
      <c r="I3544" s="1" t="s">
        <v>49</v>
      </c>
      <c r="J3544" s="1" t="s">
        <v>48</v>
      </c>
      <c r="K3544" s="1">
        <v>60</v>
      </c>
      <c r="L3544" s="1">
        <v>0</v>
      </c>
      <c r="M3544" s="1">
        <v>0</v>
      </c>
      <c r="N3544" s="1">
        <v>60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 t="s">
        <v>49</v>
      </c>
      <c r="AA3544" s="1" t="s">
        <v>49</v>
      </c>
      <c r="AB3544" s="1" t="s">
        <v>49</v>
      </c>
      <c r="AC3544" s="1" t="s">
        <v>7540</v>
      </c>
      <c r="AD3544" s="1" t="s">
        <v>7541</v>
      </c>
      <c r="AE3544" s="1" t="s">
        <v>7540</v>
      </c>
      <c r="AF3544" s="1" t="s">
        <v>8021</v>
      </c>
      <c r="AG3544" s="1" t="s">
        <v>53</v>
      </c>
      <c r="AH3544" s="1" t="s">
        <v>49</v>
      </c>
      <c r="AI3544" s="1" t="s">
        <v>54</v>
      </c>
      <c r="AJ3544" s="1">
        <v>1</v>
      </c>
      <c r="AK3544" s="1" t="str">
        <f t="shared" si="55"/>
        <v xml:space="preserve"> =&lt;90</v>
      </c>
      <c r="AL3544" s="1" t="e">
        <f>VLOOKUP(C:C,[1]基础信息!B$1:D$65536,3,0)</f>
        <v>#N/A</v>
      </c>
      <c r="AM3544" s="1" t="e">
        <f>VLOOKUP(C:C,[1]基础信息!B$1:E$65536,4,0)</f>
        <v>#N/A</v>
      </c>
      <c r="AN3544" s="1" t="e">
        <f>VLOOKUP(C:C,[1]基础信息!B$1:F$65536,5,0)</f>
        <v>#N/A</v>
      </c>
    </row>
    <row r="3545" spans="1:40">
      <c r="A3545" s="1" t="s">
        <v>41</v>
      </c>
      <c r="B3545" s="1" t="s">
        <v>42</v>
      </c>
      <c r="C3545" s="1" t="s">
        <v>8016</v>
      </c>
      <c r="D3545" s="1" t="s">
        <v>8017</v>
      </c>
      <c r="E3545" s="1" t="s">
        <v>45</v>
      </c>
      <c r="F3545" s="1" t="s">
        <v>8018</v>
      </c>
      <c r="G3545" s="1" t="s">
        <v>8100</v>
      </c>
      <c r="H3545" s="1" t="s">
        <v>8101</v>
      </c>
      <c r="I3545" s="1" t="s">
        <v>49</v>
      </c>
      <c r="J3545" s="1" t="s">
        <v>48</v>
      </c>
      <c r="K3545" s="1">
        <v>60</v>
      </c>
      <c r="L3545" s="1">
        <v>0</v>
      </c>
      <c r="M3545" s="1">
        <v>0</v>
      </c>
      <c r="N3545" s="1">
        <v>60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 t="s">
        <v>49</v>
      </c>
      <c r="AA3545" s="1" t="s">
        <v>49</v>
      </c>
      <c r="AB3545" s="1" t="s">
        <v>49</v>
      </c>
      <c r="AC3545" s="1" t="s">
        <v>7540</v>
      </c>
      <c r="AD3545" s="1" t="s">
        <v>7541</v>
      </c>
      <c r="AE3545" s="1" t="s">
        <v>7540</v>
      </c>
      <c r="AF3545" s="1" t="s">
        <v>8021</v>
      </c>
      <c r="AG3545" s="1" t="s">
        <v>53</v>
      </c>
      <c r="AH3545" s="1" t="s">
        <v>49</v>
      </c>
      <c r="AI3545" s="1" t="s">
        <v>54</v>
      </c>
      <c r="AJ3545" s="1">
        <v>1</v>
      </c>
      <c r="AK3545" s="1" t="str">
        <f t="shared" si="55"/>
        <v xml:space="preserve"> =&lt;90</v>
      </c>
      <c r="AL3545" s="1" t="e">
        <f>VLOOKUP(C:C,[1]基础信息!B$1:D$65536,3,0)</f>
        <v>#N/A</v>
      </c>
      <c r="AM3545" s="1" t="e">
        <f>VLOOKUP(C:C,[1]基础信息!B$1:E$65536,4,0)</f>
        <v>#N/A</v>
      </c>
      <c r="AN3545" s="1" t="e">
        <f>VLOOKUP(C:C,[1]基础信息!B$1:F$65536,5,0)</f>
        <v>#N/A</v>
      </c>
    </row>
    <row r="3546" spans="1:40">
      <c r="A3546" s="1" t="s">
        <v>41</v>
      </c>
      <c r="B3546" s="1" t="s">
        <v>42</v>
      </c>
      <c r="C3546" s="1" t="s">
        <v>481</v>
      </c>
      <c r="D3546" s="1" t="s">
        <v>482</v>
      </c>
      <c r="E3546" s="1" t="s">
        <v>45</v>
      </c>
      <c r="F3546" s="1" t="s">
        <v>8102</v>
      </c>
      <c r="G3546" s="1" t="s">
        <v>8103</v>
      </c>
      <c r="H3546" s="1" t="s">
        <v>45</v>
      </c>
      <c r="I3546" s="1" t="s">
        <v>45</v>
      </c>
      <c r="J3546" s="1" t="s">
        <v>48</v>
      </c>
      <c r="K3546" s="1">
        <v>117</v>
      </c>
      <c r="L3546" s="1">
        <v>0</v>
      </c>
      <c r="M3546" s="1">
        <v>0</v>
      </c>
      <c r="N3546" s="1">
        <v>117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 t="s">
        <v>49</v>
      </c>
      <c r="AA3546" s="1" t="s">
        <v>49</v>
      </c>
      <c r="AB3546" s="1" t="s">
        <v>49</v>
      </c>
      <c r="AC3546" s="1" t="s">
        <v>7452</v>
      </c>
      <c r="AD3546" s="1" t="s">
        <v>7453</v>
      </c>
      <c r="AE3546" s="1" t="s">
        <v>7452</v>
      </c>
      <c r="AF3546" s="1" t="s">
        <v>8104</v>
      </c>
      <c r="AG3546" s="1" t="s">
        <v>1952</v>
      </c>
      <c r="AH3546" s="1" t="s">
        <v>49</v>
      </c>
      <c r="AI3546" s="1" t="s">
        <v>54</v>
      </c>
      <c r="AJ3546" s="1">
        <v>1</v>
      </c>
      <c r="AK3546" s="1" t="str">
        <f t="shared" si="55"/>
        <v xml:space="preserve"> =&lt;90</v>
      </c>
      <c r="AL3546" s="1" t="str">
        <f>VLOOKUP(C:C,[1]基础信息!B$1:D$65536,3,0)</f>
        <v>Jug</v>
      </c>
      <c r="AM3546" s="1" t="str">
        <f>VLOOKUP(C:C,[1]基础信息!B$1:E$65536,4,0)</f>
        <v>Style COOL</v>
      </c>
      <c r="AN3546" s="1" t="str">
        <f>VLOOKUP(C:C,[1]基础信息!B$1:F$65536,5,0)</f>
        <v>Cool Blue</v>
      </c>
    </row>
    <row r="3547" spans="1:40">
      <c r="A3547" s="1" t="s">
        <v>41</v>
      </c>
      <c r="B3547" s="1" t="s">
        <v>42</v>
      </c>
      <c r="C3547" s="1" t="s">
        <v>4077</v>
      </c>
      <c r="D3547" s="1" t="s">
        <v>4078</v>
      </c>
      <c r="E3547" s="1" t="s">
        <v>45</v>
      </c>
      <c r="F3547" s="1" t="s">
        <v>7692</v>
      </c>
      <c r="G3547" s="1" t="s">
        <v>8105</v>
      </c>
      <c r="H3547" s="1" t="s">
        <v>8106</v>
      </c>
      <c r="I3547" s="1" t="s">
        <v>49</v>
      </c>
      <c r="J3547" s="1" t="s">
        <v>48</v>
      </c>
      <c r="K3547" s="1">
        <v>16</v>
      </c>
      <c r="L3547" s="1">
        <v>0</v>
      </c>
      <c r="M3547" s="1">
        <v>0</v>
      </c>
      <c r="N3547" s="1">
        <v>16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 t="s">
        <v>49</v>
      </c>
      <c r="AA3547" s="1" t="s">
        <v>49</v>
      </c>
      <c r="AB3547" s="1" t="s">
        <v>49</v>
      </c>
      <c r="AC3547" s="1" t="s">
        <v>4467</v>
      </c>
      <c r="AD3547" s="1" t="s">
        <v>4468</v>
      </c>
      <c r="AE3547" s="1" t="s">
        <v>4467</v>
      </c>
      <c r="AF3547" s="1" t="s">
        <v>4506</v>
      </c>
      <c r="AG3547" s="1" t="s">
        <v>53</v>
      </c>
      <c r="AH3547" s="1" t="s">
        <v>4470</v>
      </c>
      <c r="AI3547" s="1" t="s">
        <v>54</v>
      </c>
      <c r="AJ3547" s="1">
        <v>1</v>
      </c>
      <c r="AK3547" s="1" t="str">
        <f t="shared" si="55"/>
        <v xml:space="preserve"> =&lt;90</v>
      </c>
      <c r="AL3547" s="1" t="str">
        <f>VLOOKUP(C:C,[1]基础信息!B$1:D$65536,3,0)</f>
        <v>UTS</v>
      </c>
      <c r="AM3547" s="1" t="str">
        <f>VLOOKUP(C:C,[1]基础信息!B$1:E$65536,4,0)</f>
        <v>RO</v>
      </c>
      <c r="AN3547" s="1" t="str">
        <f>VLOOKUP(C:C,[1]基础信息!B$1:F$65536,5,0)</f>
        <v>Starry Grey Color</v>
      </c>
    </row>
    <row r="3548" spans="1:40">
      <c r="A3548" s="1" t="s">
        <v>41</v>
      </c>
      <c r="B3548" s="1" t="s">
        <v>42</v>
      </c>
      <c r="C3548" s="1" t="s">
        <v>8107</v>
      </c>
      <c r="D3548" s="1" t="s">
        <v>8108</v>
      </c>
      <c r="E3548" s="1" t="s">
        <v>45</v>
      </c>
      <c r="F3548" s="1" t="s">
        <v>8109</v>
      </c>
      <c r="G3548" s="1" t="s">
        <v>8110</v>
      </c>
      <c r="H3548" s="1" t="s">
        <v>45</v>
      </c>
      <c r="I3548" s="1" t="s">
        <v>45</v>
      </c>
      <c r="J3548" s="1" t="s">
        <v>48</v>
      </c>
      <c r="K3548" s="1">
        <v>94</v>
      </c>
      <c r="L3548" s="1">
        <v>0</v>
      </c>
      <c r="M3548" s="1">
        <v>0</v>
      </c>
      <c r="N3548" s="1">
        <v>94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 t="s">
        <v>49</v>
      </c>
      <c r="AA3548" s="1" t="s">
        <v>49</v>
      </c>
      <c r="AB3548" s="1" t="s">
        <v>49</v>
      </c>
      <c r="AC3548" s="1" t="s">
        <v>7452</v>
      </c>
      <c r="AD3548" s="1" t="s">
        <v>7453</v>
      </c>
      <c r="AE3548" s="1" t="s">
        <v>7452</v>
      </c>
      <c r="AF3548" s="1" t="s">
        <v>8111</v>
      </c>
      <c r="AG3548" s="1" t="s">
        <v>1952</v>
      </c>
      <c r="AH3548" s="1" t="s">
        <v>49</v>
      </c>
      <c r="AI3548" s="1" t="s">
        <v>54</v>
      </c>
      <c r="AJ3548" s="1">
        <v>1</v>
      </c>
      <c r="AK3548" s="1" t="str">
        <f t="shared" si="55"/>
        <v xml:space="preserve"> =&lt;90</v>
      </c>
      <c r="AL3548" s="1" t="str">
        <f>VLOOKUP(C:C,[1]基础信息!B$1:D$65536,3,0)</f>
        <v>Jug</v>
      </c>
      <c r="AM3548" s="1" t="str">
        <f>VLOOKUP(C:C,[1]基础信息!B$1:E$65536,4,0)</f>
        <v>Style</v>
      </c>
      <c r="AN3548" s="1" t="str">
        <f>VLOOKUP(C:C,[1]基础信息!B$1:F$65536,5,0)</f>
        <v>Lime</v>
      </c>
    </row>
    <row r="3549" spans="1:40">
      <c r="A3549" s="1" t="s">
        <v>41</v>
      </c>
      <c r="B3549" s="1" t="s">
        <v>42</v>
      </c>
      <c r="C3549" s="1" t="s">
        <v>2166</v>
      </c>
      <c r="D3549" s="1" t="s">
        <v>2167</v>
      </c>
      <c r="E3549" s="1" t="s">
        <v>45</v>
      </c>
      <c r="F3549" s="1" t="s">
        <v>4464</v>
      </c>
      <c r="G3549" s="1" t="s">
        <v>8112</v>
      </c>
      <c r="H3549" s="1" t="s">
        <v>8113</v>
      </c>
      <c r="I3549" s="1" t="s">
        <v>49</v>
      </c>
      <c r="J3549" s="1" t="s">
        <v>48</v>
      </c>
      <c r="K3549" s="1">
        <v>16</v>
      </c>
      <c r="L3549" s="1">
        <v>0</v>
      </c>
      <c r="M3549" s="1">
        <v>0</v>
      </c>
      <c r="N3549" s="1">
        <v>16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 t="s">
        <v>49</v>
      </c>
      <c r="AA3549" s="1" t="s">
        <v>49</v>
      </c>
      <c r="AB3549" s="1" t="s">
        <v>49</v>
      </c>
      <c r="AC3549" s="1" t="s">
        <v>4467</v>
      </c>
      <c r="AD3549" s="1" t="s">
        <v>4468</v>
      </c>
      <c r="AE3549" s="1" t="s">
        <v>4467</v>
      </c>
      <c r="AF3549" s="1" t="s">
        <v>4469</v>
      </c>
      <c r="AG3549" s="1" t="s">
        <v>53</v>
      </c>
      <c r="AH3549" s="1" t="s">
        <v>4470</v>
      </c>
      <c r="AI3549" s="1" t="s">
        <v>54</v>
      </c>
      <c r="AJ3549" s="1">
        <v>1</v>
      </c>
      <c r="AK3549" s="1" t="str">
        <f t="shared" si="55"/>
        <v xml:space="preserve"> =&lt;90</v>
      </c>
      <c r="AL3549" s="1" t="str">
        <f>VLOOKUP(C:C,[1]基础信息!B$1:D$65536,3,0)</f>
        <v>UTS</v>
      </c>
      <c r="AM3549" s="1" t="str">
        <f>VLOOKUP(C:C,[1]基础信息!B$1:E$65536,4,0)</f>
        <v>RO</v>
      </c>
      <c r="AN3549" s="1" t="str">
        <f>VLOOKUP(C:C,[1]基础信息!B$1:F$65536,5,0)</f>
        <v>Starry Grey Color</v>
      </c>
    </row>
    <row r="3550" spans="1:40">
      <c r="A3550" s="1" t="s">
        <v>41</v>
      </c>
      <c r="B3550" s="1" t="s">
        <v>42</v>
      </c>
      <c r="C3550" s="1" t="s">
        <v>83</v>
      </c>
      <c r="D3550" s="1" t="s">
        <v>84</v>
      </c>
      <c r="E3550" s="1" t="s">
        <v>45</v>
      </c>
      <c r="F3550" s="1" t="s">
        <v>8114</v>
      </c>
      <c r="G3550" s="1" t="s">
        <v>8115</v>
      </c>
      <c r="H3550" s="1" t="s">
        <v>45</v>
      </c>
      <c r="I3550" s="1" t="s">
        <v>45</v>
      </c>
      <c r="J3550" s="1" t="s">
        <v>48</v>
      </c>
      <c r="K3550" s="1">
        <v>73</v>
      </c>
      <c r="L3550" s="1">
        <v>0</v>
      </c>
      <c r="M3550" s="1">
        <v>0</v>
      </c>
      <c r="N3550" s="1">
        <v>73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 t="s">
        <v>49</v>
      </c>
      <c r="AA3550" s="1" t="s">
        <v>49</v>
      </c>
      <c r="AB3550" s="1" t="s">
        <v>49</v>
      </c>
      <c r="AC3550" s="1" t="s">
        <v>7452</v>
      </c>
      <c r="AD3550" s="1" t="s">
        <v>7453</v>
      </c>
      <c r="AE3550" s="1" t="s">
        <v>7452</v>
      </c>
      <c r="AF3550" s="1" t="s">
        <v>8116</v>
      </c>
      <c r="AG3550" s="1" t="s">
        <v>1952</v>
      </c>
      <c r="AH3550" s="1" t="s">
        <v>49</v>
      </c>
      <c r="AI3550" s="1" t="s">
        <v>54</v>
      </c>
      <c r="AJ3550" s="1">
        <v>1</v>
      </c>
      <c r="AK3550" s="1" t="str">
        <f t="shared" si="55"/>
        <v xml:space="preserve"> =&lt;90</v>
      </c>
      <c r="AL3550" s="1" t="str">
        <f>VLOOKUP(C:C,[1]基础信息!B$1:D$65536,3,0)</f>
        <v>Jug</v>
      </c>
      <c r="AM3550" s="1" t="str">
        <f>VLOOKUP(C:C,[1]基础信息!B$1:E$65536,4,0)</f>
        <v>Mxplus</v>
      </c>
      <c r="AN3550" s="1" t="str">
        <f>VLOOKUP(C:C,[1]基础信息!B$1:F$65536,5,0)</f>
        <v>Blue</v>
      </c>
    </row>
    <row r="3551" spans="1:40">
      <c r="A3551" s="1" t="s">
        <v>41</v>
      </c>
      <c r="B3551" s="1" t="s">
        <v>42</v>
      </c>
      <c r="C3551" s="1" t="s">
        <v>2166</v>
      </c>
      <c r="D3551" s="1" t="s">
        <v>2167</v>
      </c>
      <c r="E3551" s="1" t="s">
        <v>45</v>
      </c>
      <c r="F3551" s="1" t="s">
        <v>4464</v>
      </c>
      <c r="G3551" s="1" t="s">
        <v>8117</v>
      </c>
      <c r="H3551" s="1" t="s">
        <v>8118</v>
      </c>
      <c r="I3551" s="1" t="s">
        <v>49</v>
      </c>
      <c r="J3551" s="1" t="s">
        <v>48</v>
      </c>
      <c r="K3551" s="1">
        <v>16</v>
      </c>
      <c r="L3551" s="1">
        <v>0</v>
      </c>
      <c r="M3551" s="1">
        <v>0</v>
      </c>
      <c r="N3551" s="1">
        <v>16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 t="s">
        <v>49</v>
      </c>
      <c r="AA3551" s="1" t="s">
        <v>49</v>
      </c>
      <c r="AB3551" s="1" t="s">
        <v>49</v>
      </c>
      <c r="AC3551" s="1" t="s">
        <v>4467</v>
      </c>
      <c r="AD3551" s="1" t="s">
        <v>4468</v>
      </c>
      <c r="AE3551" s="1" t="s">
        <v>4467</v>
      </c>
      <c r="AF3551" s="1" t="s">
        <v>4469</v>
      </c>
      <c r="AG3551" s="1" t="s">
        <v>53</v>
      </c>
      <c r="AH3551" s="1" t="s">
        <v>4470</v>
      </c>
      <c r="AI3551" s="1" t="s">
        <v>54</v>
      </c>
      <c r="AJ3551" s="1">
        <v>1</v>
      </c>
      <c r="AK3551" s="1" t="str">
        <f t="shared" si="55"/>
        <v xml:space="preserve"> =&lt;90</v>
      </c>
      <c r="AL3551" s="1" t="str">
        <f>VLOOKUP(C:C,[1]基础信息!B$1:D$65536,3,0)</f>
        <v>UTS</v>
      </c>
      <c r="AM3551" s="1" t="str">
        <f>VLOOKUP(C:C,[1]基础信息!B$1:E$65536,4,0)</f>
        <v>RO</v>
      </c>
      <c r="AN3551" s="1" t="str">
        <f>VLOOKUP(C:C,[1]基础信息!B$1:F$65536,5,0)</f>
        <v>Starry Grey Color</v>
      </c>
    </row>
    <row r="3552" spans="1:40">
      <c r="A3552" s="1" t="s">
        <v>41</v>
      </c>
      <c r="B3552" s="1" t="s">
        <v>42</v>
      </c>
      <c r="C3552" s="1" t="s">
        <v>481</v>
      </c>
      <c r="D3552" s="1" t="s">
        <v>482</v>
      </c>
      <c r="E3552" s="1" t="s">
        <v>45</v>
      </c>
      <c r="F3552" s="1" t="s">
        <v>8119</v>
      </c>
      <c r="G3552" s="1" t="s">
        <v>8120</v>
      </c>
      <c r="H3552" s="1" t="s">
        <v>45</v>
      </c>
      <c r="I3552" s="1" t="s">
        <v>45</v>
      </c>
      <c r="J3552" s="1" t="s">
        <v>48</v>
      </c>
      <c r="K3552" s="1">
        <v>94</v>
      </c>
      <c r="L3552" s="1">
        <v>0</v>
      </c>
      <c r="M3552" s="1">
        <v>0</v>
      </c>
      <c r="N3552" s="1">
        <v>94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 t="s">
        <v>49</v>
      </c>
      <c r="AA3552" s="1" t="s">
        <v>49</v>
      </c>
      <c r="AB3552" s="1" t="s">
        <v>49</v>
      </c>
      <c r="AC3552" s="1" t="s">
        <v>7452</v>
      </c>
      <c r="AD3552" s="1" t="s">
        <v>7453</v>
      </c>
      <c r="AE3552" s="1" t="s">
        <v>7452</v>
      </c>
      <c r="AF3552" s="1" t="s">
        <v>8121</v>
      </c>
      <c r="AG3552" s="1" t="s">
        <v>1952</v>
      </c>
      <c r="AH3552" s="1" t="s">
        <v>49</v>
      </c>
      <c r="AI3552" s="1" t="s">
        <v>54</v>
      </c>
      <c r="AJ3552" s="1">
        <v>1</v>
      </c>
      <c r="AK3552" s="1" t="str">
        <f t="shared" si="55"/>
        <v xml:space="preserve"> =&lt;90</v>
      </c>
      <c r="AL3552" s="1" t="str">
        <f>VLOOKUP(C:C,[1]基础信息!B$1:D$65536,3,0)</f>
        <v>Jug</v>
      </c>
      <c r="AM3552" s="1" t="str">
        <f>VLOOKUP(C:C,[1]基础信息!B$1:E$65536,4,0)</f>
        <v>Style COOL</v>
      </c>
      <c r="AN3552" s="1" t="str">
        <f>VLOOKUP(C:C,[1]基础信息!B$1:F$65536,5,0)</f>
        <v>Cool Blue</v>
      </c>
    </row>
    <row r="3553" spans="1:40">
      <c r="A3553" s="1" t="s">
        <v>41</v>
      </c>
      <c r="B3553" s="1" t="s">
        <v>42</v>
      </c>
      <c r="C3553" s="1" t="s">
        <v>2166</v>
      </c>
      <c r="D3553" s="1" t="s">
        <v>2167</v>
      </c>
      <c r="E3553" s="1" t="s">
        <v>45</v>
      </c>
      <c r="F3553" s="1" t="s">
        <v>4464</v>
      </c>
      <c r="G3553" s="1" t="s">
        <v>8122</v>
      </c>
      <c r="H3553" s="1" t="s">
        <v>8123</v>
      </c>
      <c r="I3553" s="1" t="s">
        <v>49</v>
      </c>
      <c r="J3553" s="1" t="s">
        <v>48</v>
      </c>
      <c r="K3553" s="1">
        <v>16</v>
      </c>
      <c r="L3553" s="1">
        <v>0</v>
      </c>
      <c r="M3553" s="1">
        <v>0</v>
      </c>
      <c r="N3553" s="1">
        <v>16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 t="s">
        <v>49</v>
      </c>
      <c r="AA3553" s="1" t="s">
        <v>49</v>
      </c>
      <c r="AB3553" s="1" t="s">
        <v>49</v>
      </c>
      <c r="AC3553" s="1" t="s">
        <v>4467</v>
      </c>
      <c r="AD3553" s="1" t="s">
        <v>4468</v>
      </c>
      <c r="AE3553" s="1" t="s">
        <v>4467</v>
      </c>
      <c r="AF3553" s="1" t="s">
        <v>4469</v>
      </c>
      <c r="AG3553" s="1" t="s">
        <v>53</v>
      </c>
      <c r="AH3553" s="1" t="s">
        <v>4470</v>
      </c>
      <c r="AI3553" s="1" t="s">
        <v>54</v>
      </c>
      <c r="AJ3553" s="1">
        <v>1</v>
      </c>
      <c r="AK3553" s="1" t="str">
        <f t="shared" si="55"/>
        <v xml:space="preserve"> =&lt;90</v>
      </c>
      <c r="AL3553" s="1" t="str">
        <f>VLOOKUP(C:C,[1]基础信息!B$1:D$65536,3,0)</f>
        <v>UTS</v>
      </c>
      <c r="AM3553" s="1" t="str">
        <f>VLOOKUP(C:C,[1]基础信息!B$1:E$65536,4,0)</f>
        <v>RO</v>
      </c>
      <c r="AN3553" s="1" t="str">
        <f>VLOOKUP(C:C,[1]基础信息!B$1:F$65536,5,0)</f>
        <v>Starry Grey Color</v>
      </c>
    </row>
    <row r="3554" spans="1:40">
      <c r="A3554" s="1" t="s">
        <v>41</v>
      </c>
      <c r="B3554" s="1" t="s">
        <v>42</v>
      </c>
      <c r="C3554" s="1" t="s">
        <v>8124</v>
      </c>
      <c r="D3554" s="1" t="s">
        <v>8125</v>
      </c>
      <c r="E3554" s="1" t="s">
        <v>45</v>
      </c>
      <c r="F3554" s="1" t="s">
        <v>8126</v>
      </c>
      <c r="G3554" s="1" t="s">
        <v>8127</v>
      </c>
      <c r="H3554" s="1" t="s">
        <v>45</v>
      </c>
      <c r="I3554" s="1" t="s">
        <v>45</v>
      </c>
      <c r="J3554" s="1" t="s">
        <v>48</v>
      </c>
      <c r="K3554" s="1">
        <v>105</v>
      </c>
      <c r="L3554" s="1">
        <v>0</v>
      </c>
      <c r="M3554" s="1">
        <v>0</v>
      </c>
      <c r="N3554" s="1">
        <v>105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 t="s">
        <v>49</v>
      </c>
      <c r="AA3554" s="1" t="s">
        <v>49</v>
      </c>
      <c r="AB3554" s="1" t="s">
        <v>49</v>
      </c>
      <c r="AC3554" s="1" t="s">
        <v>7452</v>
      </c>
      <c r="AD3554" s="1" t="s">
        <v>7453</v>
      </c>
      <c r="AE3554" s="1" t="s">
        <v>7452</v>
      </c>
      <c r="AF3554" s="1" t="s">
        <v>8128</v>
      </c>
      <c r="AG3554" s="1" t="s">
        <v>1952</v>
      </c>
      <c r="AH3554" s="1" t="s">
        <v>49</v>
      </c>
      <c r="AI3554" s="1" t="s">
        <v>54</v>
      </c>
      <c r="AJ3554" s="1">
        <v>1</v>
      </c>
      <c r="AK3554" s="1" t="str">
        <f t="shared" si="55"/>
        <v xml:space="preserve"> =&lt;90</v>
      </c>
      <c r="AL3554" s="1" t="str">
        <f>VLOOKUP(C:C,[1]基础信息!B$1:D$65536,3,0)</f>
        <v>Jug</v>
      </c>
      <c r="AM3554" s="1" t="str">
        <f>VLOOKUP(C:C,[1]基础信息!B$1:E$65536,4,0)</f>
        <v>Mxplus</v>
      </c>
      <c r="AN3554" s="1" t="str">
        <f>VLOOKUP(C:C,[1]基础信息!B$1:F$65536,5,0)</f>
        <v>Blue</v>
      </c>
    </row>
    <row r="3555" spans="1:40">
      <c r="A3555" s="1" t="s">
        <v>41</v>
      </c>
      <c r="B3555" s="1" t="s">
        <v>42</v>
      </c>
      <c r="C3555" s="1" t="s">
        <v>2760</v>
      </c>
      <c r="D3555" s="1" t="s">
        <v>2761</v>
      </c>
      <c r="E3555" s="1" t="s">
        <v>45</v>
      </c>
      <c r="F3555" s="1" t="s">
        <v>8129</v>
      </c>
      <c r="G3555" s="1" t="s">
        <v>8130</v>
      </c>
      <c r="H3555" s="1" t="s">
        <v>8131</v>
      </c>
      <c r="I3555" s="1" t="s">
        <v>49</v>
      </c>
      <c r="J3555" s="1" t="s">
        <v>48</v>
      </c>
      <c r="K3555" s="1">
        <v>99</v>
      </c>
      <c r="L3555" s="1">
        <v>0</v>
      </c>
      <c r="M3555" s="1">
        <v>0</v>
      </c>
      <c r="N3555" s="1">
        <v>99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 t="s">
        <v>49</v>
      </c>
      <c r="AA3555" s="1" t="s">
        <v>49</v>
      </c>
      <c r="AB3555" s="1" t="s">
        <v>49</v>
      </c>
      <c r="AC3555" s="1" t="s">
        <v>7540</v>
      </c>
      <c r="AD3555" s="1" t="s">
        <v>7541</v>
      </c>
      <c r="AE3555" s="1" t="s">
        <v>7540</v>
      </c>
      <c r="AF3555" s="1" t="s">
        <v>2550</v>
      </c>
      <c r="AG3555" s="1" t="s">
        <v>53</v>
      </c>
      <c r="AH3555" s="1" t="s">
        <v>49</v>
      </c>
      <c r="AI3555" s="1" t="s">
        <v>54</v>
      </c>
      <c r="AJ3555" s="1">
        <v>1</v>
      </c>
      <c r="AK3555" s="1" t="str">
        <f t="shared" si="55"/>
        <v xml:space="preserve"> =&lt;90</v>
      </c>
      <c r="AL3555" s="1" t="str">
        <f>VLOOKUP(C:C,[1]基础信息!B$1:D$65536,3,0)</f>
        <v>UTS</v>
      </c>
      <c r="AM3555" s="1" t="str">
        <f>VLOOKUP(C:C,[1]基础信息!B$1:E$65536,4,0)</f>
        <v>MyPure</v>
      </c>
      <c r="AN3555" s="1" t="str">
        <f>VLOOKUP(C:C,[1]基础信息!B$1:F$65536,5,0)</f>
        <v>Refill</v>
      </c>
    </row>
    <row r="3556" spans="1:40">
      <c r="A3556" s="1" t="s">
        <v>41</v>
      </c>
      <c r="B3556" s="1" t="s">
        <v>42</v>
      </c>
      <c r="C3556" s="1" t="s">
        <v>2166</v>
      </c>
      <c r="D3556" s="1" t="s">
        <v>2167</v>
      </c>
      <c r="E3556" s="1" t="s">
        <v>45</v>
      </c>
      <c r="F3556" s="1" t="s">
        <v>4503</v>
      </c>
      <c r="G3556" s="1" t="s">
        <v>8132</v>
      </c>
      <c r="H3556" s="1" t="s">
        <v>8133</v>
      </c>
      <c r="I3556" s="1" t="s">
        <v>49</v>
      </c>
      <c r="J3556" s="1" t="s">
        <v>48</v>
      </c>
      <c r="K3556" s="1">
        <v>16</v>
      </c>
      <c r="L3556" s="1">
        <v>0</v>
      </c>
      <c r="M3556" s="1">
        <v>0</v>
      </c>
      <c r="N3556" s="1">
        <v>16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 t="s">
        <v>49</v>
      </c>
      <c r="AA3556" s="1" t="s">
        <v>49</v>
      </c>
      <c r="AB3556" s="1" t="s">
        <v>49</v>
      </c>
      <c r="AC3556" s="1" t="s">
        <v>4467</v>
      </c>
      <c r="AD3556" s="1" t="s">
        <v>4468</v>
      </c>
      <c r="AE3556" s="1" t="s">
        <v>4467</v>
      </c>
      <c r="AF3556" s="1" t="s">
        <v>4506</v>
      </c>
      <c r="AG3556" s="1" t="s">
        <v>53</v>
      </c>
      <c r="AH3556" s="1" t="s">
        <v>4470</v>
      </c>
      <c r="AI3556" s="1" t="s">
        <v>54</v>
      </c>
      <c r="AJ3556" s="1">
        <v>1</v>
      </c>
      <c r="AK3556" s="1" t="str">
        <f t="shared" si="55"/>
        <v xml:space="preserve"> =&lt;90</v>
      </c>
      <c r="AL3556" s="1" t="str">
        <f>VLOOKUP(C:C,[1]基础信息!B$1:D$65536,3,0)</f>
        <v>UTS</v>
      </c>
      <c r="AM3556" s="1" t="str">
        <f>VLOOKUP(C:C,[1]基础信息!B$1:E$65536,4,0)</f>
        <v>RO</v>
      </c>
      <c r="AN3556" s="1" t="str">
        <f>VLOOKUP(C:C,[1]基础信息!B$1:F$65536,5,0)</f>
        <v>Starry Grey Color</v>
      </c>
    </row>
    <row r="3557" spans="1:40">
      <c r="A3557" s="1" t="s">
        <v>41</v>
      </c>
      <c r="B3557" s="1" t="s">
        <v>42</v>
      </c>
      <c r="C3557" s="1" t="s">
        <v>4613</v>
      </c>
      <c r="D3557" s="1" t="s">
        <v>4614</v>
      </c>
      <c r="E3557" s="1" t="s">
        <v>45</v>
      </c>
      <c r="F3557" s="1" t="s">
        <v>4615</v>
      </c>
      <c r="G3557" s="1" t="s">
        <v>8134</v>
      </c>
      <c r="H3557" s="1" t="s">
        <v>8135</v>
      </c>
      <c r="I3557" s="1" t="s">
        <v>49</v>
      </c>
      <c r="J3557" s="1" t="s">
        <v>48</v>
      </c>
      <c r="K3557" s="1">
        <v>40</v>
      </c>
      <c r="L3557" s="1">
        <v>0</v>
      </c>
      <c r="M3557" s="1">
        <v>0</v>
      </c>
      <c r="N3557" s="1">
        <v>40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 t="s">
        <v>49</v>
      </c>
      <c r="AA3557" s="1" t="s">
        <v>49</v>
      </c>
      <c r="AB3557" s="1" t="s">
        <v>49</v>
      </c>
      <c r="AC3557" s="1" t="s">
        <v>2000</v>
      </c>
      <c r="AD3557" s="1" t="s">
        <v>2001</v>
      </c>
      <c r="AE3557" s="1" t="s">
        <v>2000</v>
      </c>
      <c r="AF3557" s="1" t="s">
        <v>4618</v>
      </c>
      <c r="AG3557" s="1" t="s">
        <v>53</v>
      </c>
      <c r="AH3557" s="1" t="s">
        <v>49</v>
      </c>
      <c r="AI3557" s="1" t="s">
        <v>54</v>
      </c>
      <c r="AJ3557" s="1">
        <v>1</v>
      </c>
      <c r="AK3557" s="1" t="str">
        <f t="shared" si="55"/>
        <v xml:space="preserve"> =&lt;90</v>
      </c>
      <c r="AL3557" s="1" t="str">
        <f>VLOOKUP(C:C,[1]基础信息!B$1:D$65536,3,0)</f>
        <v>Jug</v>
      </c>
      <c r="AM3557" s="1" t="str">
        <f>VLOOKUP(C:C,[1]基础信息!B$1:E$65536,4,0)</f>
        <v>Style</v>
      </c>
      <c r="AN3557" s="1" t="str">
        <f>VLOOKUP(C:C,[1]基础信息!B$1:F$65536,5,0)</f>
        <v>Blue</v>
      </c>
    </row>
    <row r="3558" spans="1:40">
      <c r="A3558" s="1" t="s">
        <v>41</v>
      </c>
      <c r="B3558" s="1" t="s">
        <v>42</v>
      </c>
      <c r="C3558" s="1" t="s">
        <v>2166</v>
      </c>
      <c r="D3558" s="1" t="s">
        <v>2167</v>
      </c>
      <c r="E3558" s="1" t="s">
        <v>45</v>
      </c>
      <c r="F3558" s="1" t="s">
        <v>4503</v>
      </c>
      <c r="G3558" s="1" t="s">
        <v>8136</v>
      </c>
      <c r="H3558" s="1" t="s">
        <v>8137</v>
      </c>
      <c r="I3558" s="1" t="s">
        <v>49</v>
      </c>
      <c r="J3558" s="1" t="s">
        <v>48</v>
      </c>
      <c r="K3558" s="1">
        <v>16</v>
      </c>
      <c r="L3558" s="1">
        <v>0</v>
      </c>
      <c r="M3558" s="1">
        <v>0</v>
      </c>
      <c r="N3558" s="1">
        <v>16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 t="s">
        <v>49</v>
      </c>
      <c r="AA3558" s="1" t="s">
        <v>49</v>
      </c>
      <c r="AB3558" s="1" t="s">
        <v>49</v>
      </c>
      <c r="AC3558" s="1" t="s">
        <v>4467</v>
      </c>
      <c r="AD3558" s="1" t="s">
        <v>4468</v>
      </c>
      <c r="AE3558" s="1" t="s">
        <v>4467</v>
      </c>
      <c r="AF3558" s="1" t="s">
        <v>4506</v>
      </c>
      <c r="AG3558" s="1" t="s">
        <v>53</v>
      </c>
      <c r="AH3558" s="1" t="s">
        <v>4470</v>
      </c>
      <c r="AI3558" s="1" t="s">
        <v>54</v>
      </c>
      <c r="AJ3558" s="1">
        <v>1</v>
      </c>
      <c r="AK3558" s="1" t="str">
        <f t="shared" si="55"/>
        <v xml:space="preserve"> =&lt;90</v>
      </c>
      <c r="AL3558" s="1" t="str">
        <f>VLOOKUP(C:C,[1]基础信息!B$1:D$65536,3,0)</f>
        <v>UTS</v>
      </c>
      <c r="AM3558" s="1" t="str">
        <f>VLOOKUP(C:C,[1]基础信息!B$1:E$65536,4,0)</f>
        <v>RO</v>
      </c>
      <c r="AN3558" s="1" t="str">
        <f>VLOOKUP(C:C,[1]基础信息!B$1:F$65536,5,0)</f>
        <v>Starry Grey Color</v>
      </c>
    </row>
    <row r="3559" spans="1:40">
      <c r="A3559" s="1" t="s">
        <v>41</v>
      </c>
      <c r="B3559" s="1" t="s">
        <v>42</v>
      </c>
      <c r="C3559" s="1" t="s">
        <v>3971</v>
      </c>
      <c r="D3559" s="1" t="s">
        <v>3972</v>
      </c>
      <c r="E3559" s="1" t="s">
        <v>45</v>
      </c>
      <c r="F3559" s="1" t="s">
        <v>8138</v>
      </c>
      <c r="G3559" s="1" t="s">
        <v>8139</v>
      </c>
      <c r="H3559" s="1" t="s">
        <v>45</v>
      </c>
      <c r="I3559" s="1" t="s">
        <v>45</v>
      </c>
      <c r="J3559" s="1" t="s">
        <v>48</v>
      </c>
      <c r="K3559" s="1">
        <v>1</v>
      </c>
      <c r="L3559" s="1">
        <v>0</v>
      </c>
      <c r="M3559" s="1">
        <v>0</v>
      </c>
      <c r="N3559" s="1">
        <v>1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 t="s">
        <v>49</v>
      </c>
      <c r="AA3559" s="1" t="s">
        <v>49</v>
      </c>
      <c r="AB3559" s="1" t="s">
        <v>49</v>
      </c>
      <c r="AC3559" s="1" t="s">
        <v>7452</v>
      </c>
      <c r="AD3559" s="1" t="s">
        <v>7453</v>
      </c>
      <c r="AE3559" s="1" t="s">
        <v>7452</v>
      </c>
      <c r="AF3559" s="1" t="s">
        <v>8140</v>
      </c>
      <c r="AG3559" s="1" t="s">
        <v>1952</v>
      </c>
      <c r="AH3559" s="1" t="s">
        <v>49</v>
      </c>
      <c r="AI3559" s="1" t="s">
        <v>54</v>
      </c>
      <c r="AJ3559" s="1">
        <v>1</v>
      </c>
      <c r="AK3559" s="1" t="str">
        <f t="shared" si="55"/>
        <v xml:space="preserve"> =&lt;90</v>
      </c>
      <c r="AL3559" s="1" t="str">
        <f>VLOOKUP(C:C,[1]基础信息!B$1:D$65536,3,0)</f>
        <v>Jug</v>
      </c>
      <c r="AM3559" s="1" t="str">
        <f>VLOOKUP(C:C,[1]基础信息!B$1:E$65536,4,0)</f>
        <v>Mxplus</v>
      </c>
      <c r="AN3559" s="1" t="str">
        <f>VLOOKUP(C:C,[1]基础信息!B$1:F$65536,5,0)</f>
        <v xml:space="preserve"> lime</v>
      </c>
    </row>
    <row r="3560" spans="1:40">
      <c r="A3560" s="1" t="s">
        <v>41</v>
      </c>
      <c r="B3560" s="1" t="s">
        <v>42</v>
      </c>
      <c r="C3560" s="1" t="s">
        <v>481</v>
      </c>
      <c r="D3560" s="1" t="s">
        <v>482</v>
      </c>
      <c r="E3560" s="1" t="s">
        <v>45</v>
      </c>
      <c r="F3560" s="1" t="s">
        <v>4455</v>
      </c>
      <c r="G3560" s="1" t="s">
        <v>8141</v>
      </c>
      <c r="H3560" s="1" t="s">
        <v>8142</v>
      </c>
      <c r="I3560" s="1" t="s">
        <v>49</v>
      </c>
      <c r="J3560" s="1" t="s">
        <v>48</v>
      </c>
      <c r="K3560" s="1">
        <v>168</v>
      </c>
      <c r="L3560" s="1">
        <v>0</v>
      </c>
      <c r="M3560" s="1">
        <v>0</v>
      </c>
      <c r="N3560" s="1">
        <v>168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 t="s">
        <v>49</v>
      </c>
      <c r="AA3560" s="1" t="s">
        <v>49</v>
      </c>
      <c r="AB3560" s="1" t="s">
        <v>49</v>
      </c>
      <c r="AC3560" s="1" t="s">
        <v>4458</v>
      </c>
      <c r="AD3560" s="1" t="s">
        <v>4459</v>
      </c>
      <c r="AE3560" s="1" t="s">
        <v>4458</v>
      </c>
      <c r="AF3560" s="1" t="s">
        <v>488</v>
      </c>
      <c r="AG3560" s="1" t="s">
        <v>53</v>
      </c>
      <c r="AH3560" s="1" t="s">
        <v>49</v>
      </c>
      <c r="AI3560" s="1" t="s">
        <v>54</v>
      </c>
      <c r="AJ3560" s="1">
        <v>1</v>
      </c>
      <c r="AK3560" s="1" t="str">
        <f t="shared" si="55"/>
        <v xml:space="preserve"> =&lt;90</v>
      </c>
      <c r="AL3560" s="1" t="str">
        <f>VLOOKUP(C:C,[1]基础信息!B$1:D$65536,3,0)</f>
        <v>Jug</v>
      </c>
      <c r="AM3560" s="1" t="str">
        <f>VLOOKUP(C:C,[1]基础信息!B$1:E$65536,4,0)</f>
        <v>Style COOL</v>
      </c>
      <c r="AN3560" s="1" t="str">
        <f>VLOOKUP(C:C,[1]基础信息!B$1:F$65536,5,0)</f>
        <v>Cool Blue</v>
      </c>
    </row>
    <row r="3561" spans="1:40">
      <c r="A3561" s="1" t="s">
        <v>41</v>
      </c>
      <c r="B3561" s="1" t="s">
        <v>42</v>
      </c>
      <c r="C3561" s="1" t="s">
        <v>8143</v>
      </c>
      <c r="D3561" s="1" t="s">
        <v>8144</v>
      </c>
      <c r="E3561" s="1" t="s">
        <v>45</v>
      </c>
      <c r="F3561" s="1" t="s">
        <v>8145</v>
      </c>
      <c r="G3561" s="1" t="s">
        <v>8146</v>
      </c>
      <c r="H3561" s="1" t="s">
        <v>45</v>
      </c>
      <c r="I3561" s="1" t="s">
        <v>45</v>
      </c>
      <c r="J3561" s="1" t="s">
        <v>48</v>
      </c>
      <c r="K3561" s="1">
        <v>3</v>
      </c>
      <c r="L3561" s="1">
        <v>0</v>
      </c>
      <c r="M3561" s="1">
        <v>0</v>
      </c>
      <c r="N3561" s="1">
        <v>3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 t="s">
        <v>49</v>
      </c>
      <c r="AA3561" s="1" t="s">
        <v>49</v>
      </c>
      <c r="AB3561" s="1" t="s">
        <v>49</v>
      </c>
      <c r="AC3561" s="1" t="s">
        <v>7452</v>
      </c>
      <c r="AD3561" s="1" t="s">
        <v>7453</v>
      </c>
      <c r="AE3561" s="1" t="s">
        <v>7452</v>
      </c>
      <c r="AF3561" s="1" t="s">
        <v>8147</v>
      </c>
      <c r="AG3561" s="1" t="s">
        <v>1952</v>
      </c>
      <c r="AH3561" s="1" t="s">
        <v>49</v>
      </c>
      <c r="AI3561" s="1" t="s">
        <v>54</v>
      </c>
      <c r="AJ3561" s="1">
        <v>1</v>
      </c>
      <c r="AK3561" s="1" t="str">
        <f t="shared" si="55"/>
        <v xml:space="preserve"> =&lt;90</v>
      </c>
      <c r="AL3561" s="1" t="str">
        <f>VLOOKUP(C:C,[1]基础信息!B$1:D$65536,3,0)</f>
        <v>Jug</v>
      </c>
      <c r="AM3561" s="1" t="str">
        <f>VLOOKUP(C:C,[1]基础信息!B$1:E$65536,4,0)</f>
        <v>Style</v>
      </c>
      <c r="AN3561" s="1" t="str">
        <f>VLOOKUP(C:C,[1]基础信息!B$1:F$65536,5,0)</f>
        <v>Lime</v>
      </c>
    </row>
    <row r="3562" spans="1:40">
      <c r="A3562" s="1" t="s">
        <v>41</v>
      </c>
      <c r="B3562" s="1" t="s">
        <v>42</v>
      </c>
      <c r="C3562" s="1" t="s">
        <v>481</v>
      </c>
      <c r="D3562" s="1" t="s">
        <v>482</v>
      </c>
      <c r="E3562" s="1" t="s">
        <v>45</v>
      </c>
      <c r="F3562" s="1" t="s">
        <v>4455</v>
      </c>
      <c r="G3562" s="1" t="s">
        <v>8148</v>
      </c>
      <c r="H3562" s="1" t="s">
        <v>8149</v>
      </c>
      <c r="I3562" s="1" t="s">
        <v>49</v>
      </c>
      <c r="J3562" s="1" t="s">
        <v>48</v>
      </c>
      <c r="K3562" s="1">
        <v>168</v>
      </c>
      <c r="L3562" s="1">
        <v>0</v>
      </c>
      <c r="M3562" s="1">
        <v>0</v>
      </c>
      <c r="N3562" s="1">
        <v>168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 t="s">
        <v>49</v>
      </c>
      <c r="AA3562" s="1" t="s">
        <v>49</v>
      </c>
      <c r="AB3562" s="1" t="s">
        <v>49</v>
      </c>
      <c r="AC3562" s="1" t="s">
        <v>4458</v>
      </c>
      <c r="AD3562" s="1" t="s">
        <v>4459</v>
      </c>
      <c r="AE3562" s="1" t="s">
        <v>4458</v>
      </c>
      <c r="AF3562" s="1" t="s">
        <v>488</v>
      </c>
      <c r="AG3562" s="1" t="s">
        <v>53</v>
      </c>
      <c r="AH3562" s="1" t="s">
        <v>49</v>
      </c>
      <c r="AI3562" s="1" t="s">
        <v>54</v>
      </c>
      <c r="AJ3562" s="1">
        <v>1</v>
      </c>
      <c r="AK3562" s="1" t="str">
        <f t="shared" si="55"/>
        <v xml:space="preserve"> =&lt;90</v>
      </c>
      <c r="AL3562" s="1" t="str">
        <f>VLOOKUP(C:C,[1]基础信息!B$1:D$65536,3,0)</f>
        <v>Jug</v>
      </c>
      <c r="AM3562" s="1" t="str">
        <f>VLOOKUP(C:C,[1]基础信息!B$1:E$65536,4,0)</f>
        <v>Style COOL</v>
      </c>
      <c r="AN3562" s="1" t="str">
        <f>VLOOKUP(C:C,[1]基础信息!B$1:F$65536,5,0)</f>
        <v>Cool Blue</v>
      </c>
    </row>
    <row r="3563" spans="1:40">
      <c r="A3563" s="1" t="s">
        <v>41</v>
      </c>
      <c r="B3563" s="1" t="s">
        <v>42</v>
      </c>
      <c r="C3563" s="1" t="s">
        <v>481</v>
      </c>
      <c r="D3563" s="1" t="s">
        <v>482</v>
      </c>
      <c r="E3563" s="1" t="s">
        <v>45</v>
      </c>
      <c r="F3563" s="1" t="s">
        <v>4455</v>
      </c>
      <c r="G3563" s="1" t="s">
        <v>8150</v>
      </c>
      <c r="H3563" s="1" t="s">
        <v>8151</v>
      </c>
      <c r="I3563" s="1" t="s">
        <v>49</v>
      </c>
      <c r="J3563" s="1" t="s">
        <v>48</v>
      </c>
      <c r="K3563" s="1">
        <v>168</v>
      </c>
      <c r="L3563" s="1">
        <v>0</v>
      </c>
      <c r="M3563" s="1">
        <v>0</v>
      </c>
      <c r="N3563" s="1">
        <v>168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 t="s">
        <v>49</v>
      </c>
      <c r="AA3563" s="1" t="s">
        <v>49</v>
      </c>
      <c r="AB3563" s="1" t="s">
        <v>49</v>
      </c>
      <c r="AC3563" s="1" t="s">
        <v>4458</v>
      </c>
      <c r="AD3563" s="1" t="s">
        <v>4459</v>
      </c>
      <c r="AE3563" s="1" t="s">
        <v>4458</v>
      </c>
      <c r="AF3563" s="1" t="s">
        <v>488</v>
      </c>
      <c r="AG3563" s="1" t="s">
        <v>53</v>
      </c>
      <c r="AH3563" s="1" t="s">
        <v>49</v>
      </c>
      <c r="AI3563" s="1" t="s">
        <v>54</v>
      </c>
      <c r="AJ3563" s="1">
        <v>1</v>
      </c>
      <c r="AK3563" s="1" t="str">
        <f t="shared" ref="AK3563:AK3626" si="56">IF(AJ3563&gt;$AP$2,$AQ$2,IF(AJ3563&gt;$AP$3,$AQ$3,IF(AJ3563&gt;$AP$4,$AQ$4,$AQ$5)))</f>
        <v xml:space="preserve"> =&lt;90</v>
      </c>
      <c r="AL3563" s="1" t="str">
        <f>VLOOKUP(C:C,[1]基础信息!B$1:D$65536,3,0)</f>
        <v>Jug</v>
      </c>
      <c r="AM3563" s="1" t="str">
        <f>VLOOKUP(C:C,[1]基础信息!B$1:E$65536,4,0)</f>
        <v>Style COOL</v>
      </c>
      <c r="AN3563" s="1" t="str">
        <f>VLOOKUP(C:C,[1]基础信息!B$1:F$65536,5,0)</f>
        <v>Cool Blue</v>
      </c>
    </row>
    <row r="3564" spans="1:40">
      <c r="A3564" s="1" t="s">
        <v>41</v>
      </c>
      <c r="B3564" s="1" t="s">
        <v>42</v>
      </c>
      <c r="C3564" s="1" t="s">
        <v>481</v>
      </c>
      <c r="D3564" s="1" t="s">
        <v>482</v>
      </c>
      <c r="E3564" s="1" t="s">
        <v>45</v>
      </c>
      <c r="F3564" s="1" t="s">
        <v>4455</v>
      </c>
      <c r="G3564" s="1" t="s">
        <v>8152</v>
      </c>
      <c r="H3564" s="1" t="s">
        <v>8153</v>
      </c>
      <c r="I3564" s="1" t="s">
        <v>49</v>
      </c>
      <c r="J3564" s="1" t="s">
        <v>48</v>
      </c>
      <c r="K3564" s="1">
        <v>168</v>
      </c>
      <c r="L3564" s="1">
        <v>0</v>
      </c>
      <c r="M3564" s="1">
        <v>0</v>
      </c>
      <c r="N3564" s="1">
        <v>168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 t="s">
        <v>49</v>
      </c>
      <c r="AA3564" s="1" t="s">
        <v>49</v>
      </c>
      <c r="AB3564" s="1" t="s">
        <v>49</v>
      </c>
      <c r="AC3564" s="1" t="s">
        <v>4458</v>
      </c>
      <c r="AD3564" s="1" t="s">
        <v>4459</v>
      </c>
      <c r="AE3564" s="1" t="s">
        <v>4458</v>
      </c>
      <c r="AF3564" s="1" t="s">
        <v>488</v>
      </c>
      <c r="AG3564" s="1" t="s">
        <v>53</v>
      </c>
      <c r="AH3564" s="1" t="s">
        <v>49</v>
      </c>
      <c r="AI3564" s="1" t="s">
        <v>54</v>
      </c>
      <c r="AJ3564" s="1">
        <v>1</v>
      </c>
      <c r="AK3564" s="1" t="str">
        <f t="shared" si="56"/>
        <v xml:space="preserve"> =&lt;90</v>
      </c>
      <c r="AL3564" s="1" t="str">
        <f>VLOOKUP(C:C,[1]基础信息!B$1:D$65536,3,0)</f>
        <v>Jug</v>
      </c>
      <c r="AM3564" s="1" t="str">
        <f>VLOOKUP(C:C,[1]基础信息!B$1:E$65536,4,0)</f>
        <v>Style COOL</v>
      </c>
      <c r="AN3564" s="1" t="str">
        <f>VLOOKUP(C:C,[1]基础信息!B$1:F$65536,5,0)</f>
        <v>Cool Blue</v>
      </c>
    </row>
    <row r="3565" spans="1:40">
      <c r="A3565" s="1" t="s">
        <v>41</v>
      </c>
      <c r="B3565" s="1" t="s">
        <v>42</v>
      </c>
      <c r="C3565" s="1" t="s">
        <v>8124</v>
      </c>
      <c r="D3565" s="1" t="s">
        <v>8125</v>
      </c>
      <c r="E3565" s="1" t="s">
        <v>45</v>
      </c>
      <c r="F3565" s="1" t="s">
        <v>8154</v>
      </c>
      <c r="G3565" s="1" t="s">
        <v>8155</v>
      </c>
      <c r="H3565" s="1" t="s">
        <v>45</v>
      </c>
      <c r="I3565" s="1" t="s">
        <v>45</v>
      </c>
      <c r="J3565" s="1" t="s">
        <v>48</v>
      </c>
      <c r="K3565" s="1">
        <v>28</v>
      </c>
      <c r="L3565" s="1">
        <v>0</v>
      </c>
      <c r="M3565" s="1">
        <v>0</v>
      </c>
      <c r="N3565" s="1">
        <v>28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 t="s">
        <v>49</v>
      </c>
      <c r="AA3565" s="1" t="s">
        <v>49</v>
      </c>
      <c r="AB3565" s="1" t="s">
        <v>49</v>
      </c>
      <c r="AC3565" s="1" t="s">
        <v>7452</v>
      </c>
      <c r="AD3565" s="1" t="s">
        <v>7453</v>
      </c>
      <c r="AE3565" s="1" t="s">
        <v>7452</v>
      </c>
      <c r="AF3565" s="1" t="s">
        <v>8156</v>
      </c>
      <c r="AG3565" s="1" t="s">
        <v>1952</v>
      </c>
      <c r="AH3565" s="1" t="s">
        <v>49</v>
      </c>
      <c r="AI3565" s="1" t="s">
        <v>54</v>
      </c>
      <c r="AJ3565" s="1">
        <v>1</v>
      </c>
      <c r="AK3565" s="1" t="str">
        <f t="shared" si="56"/>
        <v xml:space="preserve"> =&lt;90</v>
      </c>
      <c r="AL3565" s="1" t="str">
        <f>VLOOKUP(C:C,[1]基础信息!B$1:D$65536,3,0)</f>
        <v>Jug</v>
      </c>
      <c r="AM3565" s="1" t="str">
        <f>VLOOKUP(C:C,[1]基础信息!B$1:E$65536,4,0)</f>
        <v>Mxplus</v>
      </c>
      <c r="AN3565" s="1" t="str">
        <f>VLOOKUP(C:C,[1]基础信息!B$1:F$65536,5,0)</f>
        <v>Blue</v>
      </c>
    </row>
    <row r="3566" spans="1:40">
      <c r="A3566" s="1" t="s">
        <v>41</v>
      </c>
      <c r="B3566" s="1" t="s">
        <v>42</v>
      </c>
      <c r="C3566" s="1" t="s">
        <v>481</v>
      </c>
      <c r="D3566" s="1" t="s">
        <v>482</v>
      </c>
      <c r="E3566" s="1" t="s">
        <v>45</v>
      </c>
      <c r="F3566" s="1" t="s">
        <v>4455</v>
      </c>
      <c r="G3566" s="1" t="s">
        <v>8157</v>
      </c>
      <c r="H3566" s="1" t="s">
        <v>8158</v>
      </c>
      <c r="I3566" s="1" t="s">
        <v>49</v>
      </c>
      <c r="J3566" s="1" t="s">
        <v>48</v>
      </c>
      <c r="K3566" s="1">
        <v>168</v>
      </c>
      <c r="L3566" s="1">
        <v>0</v>
      </c>
      <c r="M3566" s="1">
        <v>0</v>
      </c>
      <c r="N3566" s="1">
        <v>168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 t="s">
        <v>49</v>
      </c>
      <c r="AA3566" s="1" t="s">
        <v>49</v>
      </c>
      <c r="AB3566" s="1" t="s">
        <v>49</v>
      </c>
      <c r="AC3566" s="1" t="s">
        <v>4458</v>
      </c>
      <c r="AD3566" s="1" t="s">
        <v>4459</v>
      </c>
      <c r="AE3566" s="1" t="s">
        <v>4458</v>
      </c>
      <c r="AF3566" s="1" t="s">
        <v>488</v>
      </c>
      <c r="AG3566" s="1" t="s">
        <v>53</v>
      </c>
      <c r="AH3566" s="1" t="s">
        <v>49</v>
      </c>
      <c r="AI3566" s="1" t="s">
        <v>54</v>
      </c>
      <c r="AJ3566" s="1">
        <v>1</v>
      </c>
      <c r="AK3566" s="1" t="str">
        <f t="shared" si="56"/>
        <v xml:space="preserve"> =&lt;90</v>
      </c>
      <c r="AL3566" s="1" t="str">
        <f>VLOOKUP(C:C,[1]基础信息!B$1:D$65536,3,0)</f>
        <v>Jug</v>
      </c>
      <c r="AM3566" s="1" t="str">
        <f>VLOOKUP(C:C,[1]基础信息!B$1:E$65536,4,0)</f>
        <v>Style COOL</v>
      </c>
      <c r="AN3566" s="1" t="str">
        <f>VLOOKUP(C:C,[1]基础信息!B$1:F$65536,5,0)</f>
        <v>Cool Blue</v>
      </c>
    </row>
    <row r="3567" spans="1:40">
      <c r="A3567" s="1" t="s">
        <v>41</v>
      </c>
      <c r="B3567" s="1" t="s">
        <v>42</v>
      </c>
      <c r="C3567" s="1" t="s">
        <v>5254</v>
      </c>
      <c r="D3567" s="1" t="s">
        <v>5255</v>
      </c>
      <c r="E3567" s="1" t="s">
        <v>45</v>
      </c>
      <c r="F3567" s="1" t="s">
        <v>8159</v>
      </c>
      <c r="G3567" s="1" t="s">
        <v>8160</v>
      </c>
      <c r="H3567" s="1" t="s">
        <v>45</v>
      </c>
      <c r="I3567" s="1" t="s">
        <v>45</v>
      </c>
      <c r="J3567" s="1" t="s">
        <v>48</v>
      </c>
      <c r="K3567" s="1">
        <v>2200</v>
      </c>
      <c r="L3567" s="1">
        <v>0</v>
      </c>
      <c r="M3567" s="1">
        <v>0</v>
      </c>
      <c r="N3567" s="1">
        <v>2200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 t="s">
        <v>49</v>
      </c>
      <c r="AA3567" s="1" t="s">
        <v>49</v>
      </c>
      <c r="AB3567" s="1" t="s">
        <v>49</v>
      </c>
      <c r="AC3567" s="1" t="s">
        <v>416</v>
      </c>
      <c r="AD3567" s="1" t="s">
        <v>8161</v>
      </c>
      <c r="AE3567" s="1" t="s">
        <v>416</v>
      </c>
      <c r="AF3567" s="1" t="s">
        <v>49</v>
      </c>
      <c r="AG3567" s="1" t="s">
        <v>3464</v>
      </c>
      <c r="AH3567" s="1" t="s">
        <v>49</v>
      </c>
      <c r="AI3567" s="1" t="s">
        <v>54</v>
      </c>
      <c r="AJ3567" s="1">
        <v>1</v>
      </c>
      <c r="AK3567" s="1" t="str">
        <f t="shared" si="56"/>
        <v xml:space="preserve"> =&lt;90</v>
      </c>
      <c r="AL3567" s="1" t="str">
        <f>VLOOKUP(C:C,[1]基础信息!B$1:D$65536,3,0)</f>
        <v xml:space="preserve">Cartridge </v>
      </c>
      <c r="AM3567" s="1" t="str">
        <f>VLOOKUP(C:C,[1]基础信息!B$1:E$65536,4,0)</f>
        <v>UNIV</v>
      </c>
      <c r="AN3567" s="1" t="str">
        <f>VLOOKUP(C:C,[1]基础信息!B$1:F$65536,5,0)</f>
        <v>P55</v>
      </c>
    </row>
    <row r="3568" spans="1:40">
      <c r="A3568" s="1" t="s">
        <v>41</v>
      </c>
      <c r="B3568" s="1" t="s">
        <v>42</v>
      </c>
      <c r="C3568" s="1" t="s">
        <v>481</v>
      </c>
      <c r="D3568" s="1" t="s">
        <v>482</v>
      </c>
      <c r="E3568" s="1" t="s">
        <v>45</v>
      </c>
      <c r="F3568" s="1" t="s">
        <v>4455</v>
      </c>
      <c r="G3568" s="1" t="s">
        <v>8162</v>
      </c>
      <c r="H3568" s="1" t="s">
        <v>8163</v>
      </c>
      <c r="I3568" s="1" t="s">
        <v>49</v>
      </c>
      <c r="J3568" s="1" t="s">
        <v>48</v>
      </c>
      <c r="K3568" s="1">
        <v>168</v>
      </c>
      <c r="L3568" s="1">
        <v>0</v>
      </c>
      <c r="M3568" s="1">
        <v>0</v>
      </c>
      <c r="N3568" s="1">
        <v>168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 t="s">
        <v>49</v>
      </c>
      <c r="AA3568" s="1" t="s">
        <v>49</v>
      </c>
      <c r="AB3568" s="1" t="s">
        <v>49</v>
      </c>
      <c r="AC3568" s="1" t="s">
        <v>4458</v>
      </c>
      <c r="AD3568" s="1" t="s">
        <v>4459</v>
      </c>
      <c r="AE3568" s="1" t="s">
        <v>4458</v>
      </c>
      <c r="AF3568" s="1" t="s">
        <v>488</v>
      </c>
      <c r="AG3568" s="1" t="s">
        <v>53</v>
      </c>
      <c r="AH3568" s="1" t="s">
        <v>49</v>
      </c>
      <c r="AI3568" s="1" t="s">
        <v>54</v>
      </c>
      <c r="AJ3568" s="1">
        <v>1</v>
      </c>
      <c r="AK3568" s="1" t="str">
        <f t="shared" si="56"/>
        <v xml:space="preserve"> =&lt;90</v>
      </c>
      <c r="AL3568" s="1" t="str">
        <f>VLOOKUP(C:C,[1]基础信息!B$1:D$65536,3,0)</f>
        <v>Jug</v>
      </c>
      <c r="AM3568" s="1" t="str">
        <f>VLOOKUP(C:C,[1]基础信息!B$1:E$65536,4,0)</f>
        <v>Style COOL</v>
      </c>
      <c r="AN3568" s="1" t="str">
        <f>VLOOKUP(C:C,[1]基础信息!B$1:F$65536,5,0)</f>
        <v>Cool Blue</v>
      </c>
    </row>
    <row r="3569" spans="1:40">
      <c r="A3569" s="1" t="s">
        <v>41</v>
      </c>
      <c r="B3569" s="1" t="s">
        <v>42</v>
      </c>
      <c r="C3569" s="1" t="s">
        <v>2166</v>
      </c>
      <c r="D3569" s="1" t="s">
        <v>2167</v>
      </c>
      <c r="E3569" s="1" t="s">
        <v>45</v>
      </c>
      <c r="F3569" s="1" t="s">
        <v>4464</v>
      </c>
      <c r="G3569" s="1" t="s">
        <v>8164</v>
      </c>
      <c r="H3569" s="1" t="s">
        <v>8165</v>
      </c>
      <c r="I3569" s="1" t="s">
        <v>49</v>
      </c>
      <c r="J3569" s="1" t="s">
        <v>48</v>
      </c>
      <c r="K3569" s="1">
        <v>16</v>
      </c>
      <c r="L3569" s="1">
        <v>0</v>
      </c>
      <c r="M3569" s="1">
        <v>0</v>
      </c>
      <c r="N3569" s="1">
        <v>16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 t="s">
        <v>49</v>
      </c>
      <c r="AA3569" s="1" t="s">
        <v>49</v>
      </c>
      <c r="AB3569" s="1" t="s">
        <v>49</v>
      </c>
      <c r="AC3569" s="1" t="s">
        <v>4467</v>
      </c>
      <c r="AD3569" s="1" t="s">
        <v>4468</v>
      </c>
      <c r="AE3569" s="1" t="s">
        <v>4467</v>
      </c>
      <c r="AF3569" s="1" t="s">
        <v>4469</v>
      </c>
      <c r="AG3569" s="1" t="s">
        <v>53</v>
      </c>
      <c r="AH3569" s="1" t="s">
        <v>4470</v>
      </c>
      <c r="AI3569" s="1" t="s">
        <v>54</v>
      </c>
      <c r="AJ3569" s="1">
        <v>1</v>
      </c>
      <c r="AK3569" s="1" t="str">
        <f t="shared" si="56"/>
        <v xml:space="preserve"> =&lt;90</v>
      </c>
      <c r="AL3569" s="1" t="str">
        <f>VLOOKUP(C:C,[1]基础信息!B$1:D$65536,3,0)</f>
        <v>UTS</v>
      </c>
      <c r="AM3569" s="1" t="str">
        <f>VLOOKUP(C:C,[1]基础信息!B$1:E$65536,4,0)</f>
        <v>RO</v>
      </c>
      <c r="AN3569" s="1" t="str">
        <f>VLOOKUP(C:C,[1]基础信息!B$1:F$65536,5,0)</f>
        <v>Starry Grey Color</v>
      </c>
    </row>
    <row r="3570" spans="1:40">
      <c r="A3570" s="1" t="s">
        <v>41</v>
      </c>
      <c r="B3570" s="1" t="s">
        <v>42</v>
      </c>
      <c r="C3570" s="1" t="s">
        <v>7755</v>
      </c>
      <c r="D3570" s="1" t="s">
        <v>7756</v>
      </c>
      <c r="E3570" s="1" t="s">
        <v>45</v>
      </c>
      <c r="F3570" s="1" t="s">
        <v>8166</v>
      </c>
      <c r="G3570" s="1" t="s">
        <v>8167</v>
      </c>
      <c r="H3570" s="1" t="s">
        <v>45</v>
      </c>
      <c r="I3570" s="1" t="s">
        <v>45</v>
      </c>
      <c r="J3570" s="1" t="s">
        <v>48</v>
      </c>
      <c r="K3570" s="1">
        <v>1430</v>
      </c>
      <c r="L3570" s="1">
        <v>0</v>
      </c>
      <c r="M3570" s="1">
        <v>0</v>
      </c>
      <c r="N3570" s="1">
        <v>1430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 t="s">
        <v>49</v>
      </c>
      <c r="AA3570" s="1" t="s">
        <v>49</v>
      </c>
      <c r="AB3570" s="1" t="s">
        <v>49</v>
      </c>
      <c r="AC3570" s="1" t="s">
        <v>4106</v>
      </c>
      <c r="AD3570" s="1" t="s">
        <v>4107</v>
      </c>
      <c r="AE3570" s="1" t="s">
        <v>4106</v>
      </c>
      <c r="AF3570" s="1" t="s">
        <v>49</v>
      </c>
      <c r="AG3570" s="1" t="s">
        <v>1952</v>
      </c>
      <c r="AH3570" s="1" t="s">
        <v>49</v>
      </c>
      <c r="AI3570" s="1" t="s">
        <v>54</v>
      </c>
      <c r="AJ3570" s="1">
        <v>1</v>
      </c>
      <c r="AK3570" s="1" t="str">
        <f t="shared" si="56"/>
        <v xml:space="preserve"> =&lt;90</v>
      </c>
      <c r="AL3570" s="1" t="str">
        <f>VLOOKUP(C:C,[1]基础信息!B$1:D$65536,3,0)</f>
        <v xml:space="preserve">Cartridge </v>
      </c>
      <c r="AM3570" s="1" t="str">
        <f>VLOOKUP(C:C,[1]基础信息!B$1:E$65536,4,0)</f>
        <v>LM</v>
      </c>
      <c r="AN3570" s="1" t="str">
        <f>VLOOKUP(C:C,[1]基础信息!B$1:F$65536,5,0)</f>
        <v>P55</v>
      </c>
    </row>
    <row r="3571" spans="1:40">
      <c r="A3571" s="1" t="s">
        <v>41</v>
      </c>
      <c r="B3571" s="1" t="s">
        <v>42</v>
      </c>
      <c r="C3571" s="1" t="s">
        <v>2166</v>
      </c>
      <c r="D3571" s="1" t="s">
        <v>2167</v>
      </c>
      <c r="E3571" s="1" t="s">
        <v>45</v>
      </c>
      <c r="F3571" s="1" t="s">
        <v>4503</v>
      </c>
      <c r="G3571" s="1" t="s">
        <v>8168</v>
      </c>
      <c r="H3571" s="1" t="s">
        <v>8169</v>
      </c>
      <c r="I3571" s="1" t="s">
        <v>49</v>
      </c>
      <c r="J3571" s="1" t="s">
        <v>48</v>
      </c>
      <c r="K3571" s="1">
        <v>16</v>
      </c>
      <c r="L3571" s="1">
        <v>0</v>
      </c>
      <c r="M3571" s="1">
        <v>0</v>
      </c>
      <c r="N3571" s="1">
        <v>16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 t="s">
        <v>49</v>
      </c>
      <c r="AA3571" s="1" t="s">
        <v>49</v>
      </c>
      <c r="AB3571" s="1" t="s">
        <v>49</v>
      </c>
      <c r="AC3571" s="1" t="s">
        <v>4467</v>
      </c>
      <c r="AD3571" s="1" t="s">
        <v>4468</v>
      </c>
      <c r="AE3571" s="1" t="s">
        <v>4467</v>
      </c>
      <c r="AF3571" s="1" t="s">
        <v>4506</v>
      </c>
      <c r="AG3571" s="1" t="s">
        <v>53</v>
      </c>
      <c r="AH3571" s="1" t="s">
        <v>4470</v>
      </c>
      <c r="AI3571" s="1" t="s">
        <v>54</v>
      </c>
      <c r="AJ3571" s="1">
        <v>1</v>
      </c>
      <c r="AK3571" s="1" t="str">
        <f t="shared" si="56"/>
        <v xml:space="preserve"> =&lt;90</v>
      </c>
      <c r="AL3571" s="1" t="str">
        <f>VLOOKUP(C:C,[1]基础信息!B$1:D$65536,3,0)</f>
        <v>UTS</v>
      </c>
      <c r="AM3571" s="1" t="str">
        <f>VLOOKUP(C:C,[1]基础信息!B$1:E$65536,4,0)</f>
        <v>RO</v>
      </c>
      <c r="AN3571" s="1" t="str">
        <f>VLOOKUP(C:C,[1]基础信息!B$1:F$65536,5,0)</f>
        <v>Starry Grey Color</v>
      </c>
    </row>
    <row r="3572" spans="1:40">
      <c r="A3572" s="1" t="s">
        <v>41</v>
      </c>
      <c r="B3572" s="1" t="s">
        <v>42</v>
      </c>
      <c r="C3572" s="1" t="s">
        <v>2166</v>
      </c>
      <c r="D3572" s="1" t="s">
        <v>2167</v>
      </c>
      <c r="E3572" s="1" t="s">
        <v>45</v>
      </c>
      <c r="F3572" s="1" t="s">
        <v>4464</v>
      </c>
      <c r="G3572" s="1" t="s">
        <v>8170</v>
      </c>
      <c r="H3572" s="1" t="s">
        <v>8171</v>
      </c>
      <c r="I3572" s="1" t="s">
        <v>49</v>
      </c>
      <c r="J3572" s="1" t="s">
        <v>48</v>
      </c>
      <c r="K3572" s="1">
        <v>16</v>
      </c>
      <c r="L3572" s="1">
        <v>0</v>
      </c>
      <c r="M3572" s="1">
        <v>0</v>
      </c>
      <c r="N3572" s="1">
        <v>16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 t="s">
        <v>49</v>
      </c>
      <c r="AA3572" s="1" t="s">
        <v>49</v>
      </c>
      <c r="AB3572" s="1" t="s">
        <v>49</v>
      </c>
      <c r="AC3572" s="1" t="s">
        <v>4467</v>
      </c>
      <c r="AD3572" s="1" t="s">
        <v>4468</v>
      </c>
      <c r="AE3572" s="1" t="s">
        <v>4467</v>
      </c>
      <c r="AF3572" s="1" t="s">
        <v>4469</v>
      </c>
      <c r="AG3572" s="1" t="s">
        <v>53</v>
      </c>
      <c r="AH3572" s="1" t="s">
        <v>4470</v>
      </c>
      <c r="AI3572" s="1" t="s">
        <v>54</v>
      </c>
      <c r="AJ3572" s="1">
        <v>1</v>
      </c>
      <c r="AK3572" s="1" t="str">
        <f t="shared" si="56"/>
        <v xml:space="preserve"> =&lt;90</v>
      </c>
      <c r="AL3572" s="1" t="str">
        <f>VLOOKUP(C:C,[1]基础信息!B$1:D$65536,3,0)</f>
        <v>UTS</v>
      </c>
      <c r="AM3572" s="1" t="str">
        <f>VLOOKUP(C:C,[1]基础信息!B$1:E$65536,4,0)</f>
        <v>RO</v>
      </c>
      <c r="AN3572" s="1" t="str">
        <f>VLOOKUP(C:C,[1]基础信息!B$1:F$65536,5,0)</f>
        <v>Starry Grey Color</v>
      </c>
    </row>
    <row r="3573" spans="1:40">
      <c r="A3573" s="1" t="s">
        <v>41</v>
      </c>
      <c r="B3573" s="1" t="s">
        <v>42</v>
      </c>
      <c r="C3573" s="1" t="s">
        <v>5105</v>
      </c>
      <c r="D3573" s="1" t="s">
        <v>5106</v>
      </c>
      <c r="E3573" s="1" t="s">
        <v>5105</v>
      </c>
      <c r="F3573" s="1" t="s">
        <v>8172</v>
      </c>
      <c r="G3573" s="1" t="s">
        <v>8173</v>
      </c>
      <c r="H3573" s="1" t="s">
        <v>45</v>
      </c>
      <c r="I3573" s="1" t="s">
        <v>45</v>
      </c>
      <c r="J3573" s="1" t="s">
        <v>48</v>
      </c>
      <c r="K3573" s="1">
        <v>2</v>
      </c>
      <c r="L3573" s="1">
        <v>0</v>
      </c>
      <c r="M3573" s="1">
        <v>0</v>
      </c>
      <c r="N3573" s="1">
        <v>2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 t="s">
        <v>49</v>
      </c>
      <c r="AA3573" s="1" t="s">
        <v>49</v>
      </c>
      <c r="AB3573" s="1" t="s">
        <v>49</v>
      </c>
      <c r="AC3573" s="1" t="s">
        <v>7743</v>
      </c>
      <c r="AD3573" s="1" t="s">
        <v>7744</v>
      </c>
      <c r="AE3573" s="1" t="s">
        <v>7743</v>
      </c>
      <c r="AF3573" s="1" t="s">
        <v>49</v>
      </c>
      <c r="AG3573" s="1" t="s">
        <v>3464</v>
      </c>
      <c r="AH3573" s="1" t="s">
        <v>49</v>
      </c>
      <c r="AI3573" s="1" t="s">
        <v>54</v>
      </c>
      <c r="AJ3573" s="1">
        <v>1</v>
      </c>
      <c r="AK3573" s="1" t="str">
        <f t="shared" si="56"/>
        <v xml:space="preserve"> =&lt;90</v>
      </c>
      <c r="AL3573" s="1" t="str">
        <f>VLOOKUP(C:C,[1]基础信息!B$1:D$65536,3,0)</f>
        <v>UTS</v>
      </c>
      <c r="AM3573" s="1" t="str">
        <f>VLOOKUP(C:C,[1]基础信息!B$1:E$65536,4,0)</f>
        <v>MyPure Pro</v>
      </c>
      <c r="AN3573" s="1" t="str">
        <f>VLOOKUP(C:C,[1]基础信息!B$1:F$65536,5,0)</f>
        <v>X3</v>
      </c>
    </row>
    <row r="3574" spans="1:40">
      <c r="A3574" s="1" t="s">
        <v>41</v>
      </c>
      <c r="B3574" s="1" t="s">
        <v>42</v>
      </c>
      <c r="C3574" s="1" t="s">
        <v>2166</v>
      </c>
      <c r="D3574" s="1" t="s">
        <v>2167</v>
      </c>
      <c r="E3574" s="1" t="s">
        <v>45</v>
      </c>
      <c r="F3574" s="1" t="s">
        <v>4503</v>
      </c>
      <c r="G3574" s="1" t="s">
        <v>8174</v>
      </c>
      <c r="H3574" s="1" t="s">
        <v>8175</v>
      </c>
      <c r="I3574" s="1" t="s">
        <v>49</v>
      </c>
      <c r="J3574" s="1" t="s">
        <v>48</v>
      </c>
      <c r="K3574" s="1">
        <v>16</v>
      </c>
      <c r="L3574" s="1">
        <v>0</v>
      </c>
      <c r="M3574" s="1">
        <v>0</v>
      </c>
      <c r="N3574" s="1">
        <v>16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 t="s">
        <v>49</v>
      </c>
      <c r="AA3574" s="1" t="s">
        <v>49</v>
      </c>
      <c r="AB3574" s="1" t="s">
        <v>49</v>
      </c>
      <c r="AC3574" s="1" t="s">
        <v>4467</v>
      </c>
      <c r="AD3574" s="1" t="s">
        <v>4468</v>
      </c>
      <c r="AE3574" s="1" t="s">
        <v>4467</v>
      </c>
      <c r="AF3574" s="1" t="s">
        <v>4506</v>
      </c>
      <c r="AG3574" s="1" t="s">
        <v>53</v>
      </c>
      <c r="AH3574" s="1" t="s">
        <v>4470</v>
      </c>
      <c r="AI3574" s="1" t="s">
        <v>54</v>
      </c>
      <c r="AJ3574" s="1">
        <v>1</v>
      </c>
      <c r="AK3574" s="1" t="str">
        <f t="shared" si="56"/>
        <v xml:space="preserve"> =&lt;90</v>
      </c>
      <c r="AL3574" s="1" t="str">
        <f>VLOOKUP(C:C,[1]基础信息!B$1:D$65536,3,0)</f>
        <v>UTS</v>
      </c>
      <c r="AM3574" s="1" t="str">
        <f>VLOOKUP(C:C,[1]基础信息!B$1:E$65536,4,0)</f>
        <v>RO</v>
      </c>
      <c r="AN3574" s="1" t="str">
        <f>VLOOKUP(C:C,[1]基础信息!B$1:F$65536,5,0)</f>
        <v>Starry Grey Color</v>
      </c>
    </row>
    <row r="3575" spans="1:40">
      <c r="A3575" s="1" t="s">
        <v>41</v>
      </c>
      <c r="B3575" s="1" t="s">
        <v>42</v>
      </c>
      <c r="C3575" s="1" t="s">
        <v>2166</v>
      </c>
      <c r="D3575" s="1" t="s">
        <v>2167</v>
      </c>
      <c r="E3575" s="1" t="s">
        <v>45</v>
      </c>
      <c r="F3575" s="1" t="s">
        <v>4464</v>
      </c>
      <c r="G3575" s="1" t="s">
        <v>8176</v>
      </c>
      <c r="H3575" s="1" t="s">
        <v>8177</v>
      </c>
      <c r="I3575" s="1" t="s">
        <v>49</v>
      </c>
      <c r="J3575" s="1" t="s">
        <v>48</v>
      </c>
      <c r="K3575" s="1">
        <v>16</v>
      </c>
      <c r="L3575" s="1">
        <v>0</v>
      </c>
      <c r="M3575" s="1">
        <v>0</v>
      </c>
      <c r="N3575" s="1">
        <v>16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 t="s">
        <v>49</v>
      </c>
      <c r="AA3575" s="1" t="s">
        <v>49</v>
      </c>
      <c r="AB3575" s="1" t="s">
        <v>49</v>
      </c>
      <c r="AC3575" s="1" t="s">
        <v>4467</v>
      </c>
      <c r="AD3575" s="1" t="s">
        <v>4468</v>
      </c>
      <c r="AE3575" s="1" t="s">
        <v>4467</v>
      </c>
      <c r="AF3575" s="1" t="s">
        <v>4469</v>
      </c>
      <c r="AG3575" s="1" t="s">
        <v>53</v>
      </c>
      <c r="AH3575" s="1" t="s">
        <v>4470</v>
      </c>
      <c r="AI3575" s="1" t="s">
        <v>54</v>
      </c>
      <c r="AJ3575" s="1">
        <v>1</v>
      </c>
      <c r="AK3575" s="1" t="str">
        <f t="shared" si="56"/>
        <v xml:space="preserve"> =&lt;90</v>
      </c>
      <c r="AL3575" s="1" t="str">
        <f>VLOOKUP(C:C,[1]基础信息!B$1:D$65536,3,0)</f>
        <v>UTS</v>
      </c>
      <c r="AM3575" s="1" t="str">
        <f>VLOOKUP(C:C,[1]基础信息!B$1:E$65536,4,0)</f>
        <v>RO</v>
      </c>
      <c r="AN3575" s="1" t="str">
        <f>VLOOKUP(C:C,[1]基础信息!B$1:F$65536,5,0)</f>
        <v>Starry Grey Color</v>
      </c>
    </row>
    <row r="3576" spans="1:40">
      <c r="A3576" s="1" t="s">
        <v>41</v>
      </c>
      <c r="B3576" s="1" t="s">
        <v>42</v>
      </c>
      <c r="C3576" s="1" t="s">
        <v>7755</v>
      </c>
      <c r="D3576" s="1" t="s">
        <v>7756</v>
      </c>
      <c r="E3576" s="1" t="s">
        <v>45</v>
      </c>
      <c r="F3576" s="1" t="s">
        <v>8178</v>
      </c>
      <c r="G3576" s="1" t="s">
        <v>8179</v>
      </c>
      <c r="H3576" s="1" t="s">
        <v>45</v>
      </c>
      <c r="I3576" s="1" t="s">
        <v>45</v>
      </c>
      <c r="J3576" s="1" t="s">
        <v>48</v>
      </c>
      <c r="K3576" s="1">
        <v>770</v>
      </c>
      <c r="L3576" s="1">
        <v>0</v>
      </c>
      <c r="M3576" s="1">
        <v>0</v>
      </c>
      <c r="N3576" s="1">
        <v>770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 t="s">
        <v>49</v>
      </c>
      <c r="AA3576" s="1" t="s">
        <v>49</v>
      </c>
      <c r="AB3576" s="1" t="s">
        <v>49</v>
      </c>
      <c r="AC3576" s="1" t="s">
        <v>7777</v>
      </c>
      <c r="AD3576" s="1" t="s">
        <v>7778</v>
      </c>
      <c r="AE3576" s="1" t="s">
        <v>7777</v>
      </c>
      <c r="AF3576" s="1" t="s">
        <v>49</v>
      </c>
      <c r="AG3576" s="1" t="s">
        <v>1952</v>
      </c>
      <c r="AH3576" s="1" t="s">
        <v>49</v>
      </c>
      <c r="AI3576" s="1" t="s">
        <v>54</v>
      </c>
      <c r="AJ3576" s="1">
        <v>1</v>
      </c>
      <c r="AK3576" s="1" t="str">
        <f t="shared" si="56"/>
        <v xml:space="preserve"> =&lt;90</v>
      </c>
      <c r="AL3576" s="1" t="str">
        <f>VLOOKUP(C:C,[1]基础信息!B$1:D$65536,3,0)</f>
        <v xml:space="preserve">Cartridge </v>
      </c>
      <c r="AM3576" s="1" t="str">
        <f>VLOOKUP(C:C,[1]基础信息!B$1:E$65536,4,0)</f>
        <v>LM</v>
      </c>
      <c r="AN3576" s="1" t="str">
        <f>VLOOKUP(C:C,[1]基础信息!B$1:F$65536,5,0)</f>
        <v>P55</v>
      </c>
    </row>
    <row r="3577" spans="1:40">
      <c r="A3577" s="1" t="s">
        <v>41</v>
      </c>
      <c r="B3577" s="1" t="s">
        <v>42</v>
      </c>
      <c r="C3577" s="1" t="s">
        <v>2166</v>
      </c>
      <c r="D3577" s="1" t="s">
        <v>2167</v>
      </c>
      <c r="E3577" s="1" t="s">
        <v>45</v>
      </c>
      <c r="F3577" s="1" t="s">
        <v>4503</v>
      </c>
      <c r="G3577" s="1" t="s">
        <v>8180</v>
      </c>
      <c r="H3577" s="1" t="s">
        <v>8181</v>
      </c>
      <c r="I3577" s="1" t="s">
        <v>49</v>
      </c>
      <c r="J3577" s="1" t="s">
        <v>48</v>
      </c>
      <c r="K3577" s="1">
        <v>16</v>
      </c>
      <c r="L3577" s="1">
        <v>0</v>
      </c>
      <c r="M3577" s="1">
        <v>0</v>
      </c>
      <c r="N3577" s="1">
        <v>16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 t="s">
        <v>49</v>
      </c>
      <c r="AA3577" s="1" t="s">
        <v>49</v>
      </c>
      <c r="AB3577" s="1" t="s">
        <v>49</v>
      </c>
      <c r="AC3577" s="1" t="s">
        <v>4467</v>
      </c>
      <c r="AD3577" s="1" t="s">
        <v>4468</v>
      </c>
      <c r="AE3577" s="1" t="s">
        <v>4467</v>
      </c>
      <c r="AF3577" s="1" t="s">
        <v>4506</v>
      </c>
      <c r="AG3577" s="1" t="s">
        <v>53</v>
      </c>
      <c r="AH3577" s="1" t="s">
        <v>4470</v>
      </c>
      <c r="AI3577" s="1" t="s">
        <v>54</v>
      </c>
      <c r="AJ3577" s="1">
        <v>1</v>
      </c>
      <c r="AK3577" s="1" t="str">
        <f t="shared" si="56"/>
        <v xml:space="preserve"> =&lt;90</v>
      </c>
      <c r="AL3577" s="1" t="str">
        <f>VLOOKUP(C:C,[1]基础信息!B$1:D$65536,3,0)</f>
        <v>UTS</v>
      </c>
      <c r="AM3577" s="1" t="str">
        <f>VLOOKUP(C:C,[1]基础信息!B$1:E$65536,4,0)</f>
        <v>RO</v>
      </c>
      <c r="AN3577" s="1" t="str">
        <f>VLOOKUP(C:C,[1]基础信息!B$1:F$65536,5,0)</f>
        <v>Starry Grey Color</v>
      </c>
    </row>
    <row r="3578" spans="1:40">
      <c r="A3578" s="1" t="s">
        <v>41</v>
      </c>
      <c r="B3578" s="1" t="s">
        <v>42</v>
      </c>
      <c r="C3578" s="1" t="s">
        <v>8182</v>
      </c>
      <c r="D3578" s="1" t="s">
        <v>8183</v>
      </c>
      <c r="E3578" s="1" t="s">
        <v>45</v>
      </c>
      <c r="F3578" s="1" t="s">
        <v>8184</v>
      </c>
      <c r="G3578" s="1" t="s">
        <v>8185</v>
      </c>
      <c r="H3578" s="1" t="s">
        <v>45</v>
      </c>
      <c r="I3578" s="1" t="s">
        <v>45</v>
      </c>
      <c r="J3578" s="1" t="s">
        <v>48</v>
      </c>
      <c r="K3578" s="1">
        <v>385</v>
      </c>
      <c r="L3578" s="1">
        <v>0</v>
      </c>
      <c r="M3578" s="1">
        <v>0</v>
      </c>
      <c r="N3578" s="1">
        <v>385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 t="s">
        <v>49</v>
      </c>
      <c r="AA3578" s="1" t="s">
        <v>49</v>
      </c>
      <c r="AB3578" s="1" t="s">
        <v>49</v>
      </c>
      <c r="AC3578" s="1" t="s">
        <v>7815</v>
      </c>
      <c r="AD3578" s="1" t="s">
        <v>7816</v>
      </c>
      <c r="AE3578" s="1" t="s">
        <v>7815</v>
      </c>
      <c r="AF3578" s="1" t="s">
        <v>49</v>
      </c>
      <c r="AG3578" s="1" t="s">
        <v>3464</v>
      </c>
      <c r="AH3578" s="1" t="s">
        <v>49</v>
      </c>
      <c r="AI3578" s="1" t="s">
        <v>54</v>
      </c>
      <c r="AJ3578" s="1">
        <v>1</v>
      </c>
      <c r="AK3578" s="1" t="str">
        <f t="shared" si="56"/>
        <v xml:space="preserve"> =&lt;90</v>
      </c>
      <c r="AL3578" s="1" t="e">
        <f>VLOOKUP(C:C,[1]基础信息!B$1:D$65536,3,0)</f>
        <v>#N/A</v>
      </c>
      <c r="AM3578" s="1" t="e">
        <f>VLOOKUP(C:C,[1]基础信息!B$1:E$65536,4,0)</f>
        <v>#N/A</v>
      </c>
      <c r="AN3578" s="1" t="e">
        <f>VLOOKUP(C:C,[1]基础信息!B$1:F$65536,5,0)</f>
        <v>#N/A</v>
      </c>
    </row>
    <row r="3579" spans="1:40">
      <c r="A3579" s="1" t="s">
        <v>41</v>
      </c>
      <c r="B3579" s="1" t="s">
        <v>42</v>
      </c>
      <c r="C3579" s="1" t="s">
        <v>2166</v>
      </c>
      <c r="D3579" s="1" t="s">
        <v>2167</v>
      </c>
      <c r="E3579" s="1" t="s">
        <v>45</v>
      </c>
      <c r="F3579" s="1" t="s">
        <v>4464</v>
      </c>
      <c r="G3579" s="1" t="s">
        <v>8186</v>
      </c>
      <c r="H3579" s="1" t="s">
        <v>8187</v>
      </c>
      <c r="I3579" s="1" t="s">
        <v>49</v>
      </c>
      <c r="J3579" s="1" t="s">
        <v>48</v>
      </c>
      <c r="K3579" s="1">
        <v>16</v>
      </c>
      <c r="L3579" s="1">
        <v>0</v>
      </c>
      <c r="M3579" s="1">
        <v>0</v>
      </c>
      <c r="N3579" s="1">
        <v>16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 t="s">
        <v>49</v>
      </c>
      <c r="AA3579" s="1" t="s">
        <v>49</v>
      </c>
      <c r="AB3579" s="1" t="s">
        <v>49</v>
      </c>
      <c r="AC3579" s="1" t="s">
        <v>4467</v>
      </c>
      <c r="AD3579" s="1" t="s">
        <v>4468</v>
      </c>
      <c r="AE3579" s="1" t="s">
        <v>4467</v>
      </c>
      <c r="AF3579" s="1" t="s">
        <v>4469</v>
      </c>
      <c r="AG3579" s="1" t="s">
        <v>53</v>
      </c>
      <c r="AH3579" s="1" t="s">
        <v>4470</v>
      </c>
      <c r="AI3579" s="1" t="s">
        <v>54</v>
      </c>
      <c r="AJ3579" s="1">
        <v>1</v>
      </c>
      <c r="AK3579" s="1" t="str">
        <f t="shared" si="56"/>
        <v xml:space="preserve"> =&lt;90</v>
      </c>
      <c r="AL3579" s="1" t="str">
        <f>VLOOKUP(C:C,[1]基础信息!B$1:D$65536,3,0)</f>
        <v>UTS</v>
      </c>
      <c r="AM3579" s="1" t="str">
        <f>VLOOKUP(C:C,[1]基础信息!B$1:E$65536,4,0)</f>
        <v>RO</v>
      </c>
      <c r="AN3579" s="1" t="str">
        <f>VLOOKUP(C:C,[1]基础信息!B$1:F$65536,5,0)</f>
        <v>Starry Grey Color</v>
      </c>
    </row>
    <row r="3580" spans="1:40">
      <c r="A3580" s="1" t="s">
        <v>41</v>
      </c>
      <c r="B3580" s="1" t="s">
        <v>42</v>
      </c>
      <c r="C3580" s="1" t="s">
        <v>2166</v>
      </c>
      <c r="D3580" s="1" t="s">
        <v>2167</v>
      </c>
      <c r="E3580" s="1" t="s">
        <v>45</v>
      </c>
      <c r="F3580" s="1" t="s">
        <v>4464</v>
      </c>
      <c r="G3580" s="1" t="s">
        <v>8188</v>
      </c>
      <c r="H3580" s="1" t="s">
        <v>8189</v>
      </c>
      <c r="I3580" s="1" t="s">
        <v>49</v>
      </c>
      <c r="J3580" s="1" t="s">
        <v>48</v>
      </c>
      <c r="K3580" s="1">
        <v>16</v>
      </c>
      <c r="L3580" s="1">
        <v>0</v>
      </c>
      <c r="M3580" s="1">
        <v>0</v>
      </c>
      <c r="N3580" s="1">
        <v>16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 t="s">
        <v>49</v>
      </c>
      <c r="AA3580" s="1" t="s">
        <v>49</v>
      </c>
      <c r="AB3580" s="1" t="s">
        <v>49</v>
      </c>
      <c r="AC3580" s="1" t="s">
        <v>4467</v>
      </c>
      <c r="AD3580" s="1" t="s">
        <v>4468</v>
      </c>
      <c r="AE3580" s="1" t="s">
        <v>4467</v>
      </c>
      <c r="AF3580" s="1" t="s">
        <v>4469</v>
      </c>
      <c r="AG3580" s="1" t="s">
        <v>53</v>
      </c>
      <c r="AH3580" s="1" t="s">
        <v>4470</v>
      </c>
      <c r="AI3580" s="1" t="s">
        <v>54</v>
      </c>
      <c r="AJ3580" s="1">
        <v>1</v>
      </c>
      <c r="AK3580" s="1" t="str">
        <f t="shared" si="56"/>
        <v xml:space="preserve"> =&lt;90</v>
      </c>
      <c r="AL3580" s="1" t="str">
        <f>VLOOKUP(C:C,[1]基础信息!B$1:D$65536,3,0)</f>
        <v>UTS</v>
      </c>
      <c r="AM3580" s="1" t="str">
        <f>VLOOKUP(C:C,[1]基础信息!B$1:E$65536,4,0)</f>
        <v>RO</v>
      </c>
      <c r="AN3580" s="1" t="str">
        <f>VLOOKUP(C:C,[1]基础信息!B$1:F$65536,5,0)</f>
        <v>Starry Grey Color</v>
      </c>
    </row>
    <row r="3581" spans="1:40">
      <c r="A3581" s="1" t="s">
        <v>41</v>
      </c>
      <c r="B3581" s="1" t="s">
        <v>42</v>
      </c>
      <c r="C3581" s="1" t="s">
        <v>8190</v>
      </c>
      <c r="D3581" s="1" t="s">
        <v>8191</v>
      </c>
      <c r="E3581" s="1" t="s">
        <v>45</v>
      </c>
      <c r="F3581" s="1" t="s">
        <v>8192</v>
      </c>
      <c r="G3581" s="1" t="s">
        <v>8193</v>
      </c>
      <c r="H3581" s="1" t="s">
        <v>45</v>
      </c>
      <c r="I3581" s="1" t="s">
        <v>45</v>
      </c>
      <c r="J3581" s="1" t="s">
        <v>48</v>
      </c>
      <c r="K3581" s="1">
        <v>96</v>
      </c>
      <c r="L3581" s="1">
        <v>0</v>
      </c>
      <c r="M3581" s="1">
        <v>0</v>
      </c>
      <c r="N3581" s="1">
        <v>96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 t="s">
        <v>49</v>
      </c>
      <c r="AA3581" s="1" t="s">
        <v>49</v>
      </c>
      <c r="AB3581" s="1" t="s">
        <v>49</v>
      </c>
      <c r="AC3581" s="1" t="s">
        <v>7815</v>
      </c>
      <c r="AD3581" s="1" t="s">
        <v>7816</v>
      </c>
      <c r="AE3581" s="1" t="s">
        <v>7815</v>
      </c>
      <c r="AF3581" s="1" t="s">
        <v>49</v>
      </c>
      <c r="AG3581" s="1" t="s">
        <v>3464</v>
      </c>
      <c r="AH3581" s="1" t="s">
        <v>49</v>
      </c>
      <c r="AI3581" s="1" t="s">
        <v>54</v>
      </c>
      <c r="AJ3581" s="1">
        <v>1</v>
      </c>
      <c r="AK3581" s="1" t="str">
        <f t="shared" si="56"/>
        <v xml:space="preserve"> =&lt;90</v>
      </c>
      <c r="AL3581" s="1" t="str">
        <f>VLOOKUP(C:C,[1]基础信息!B$1:D$65536,3,0)</f>
        <v xml:space="preserve">Cartridge </v>
      </c>
      <c r="AM3581" s="1" t="str">
        <f>VLOOKUP(C:C,[1]基础信息!B$1:E$65536,4,0)</f>
        <v>LM</v>
      </c>
      <c r="AN3581" s="1" t="str">
        <f>VLOOKUP(C:C,[1]基础信息!B$1:F$65536,5,0)</f>
        <v>P6</v>
      </c>
    </row>
    <row r="3582" spans="1:40">
      <c r="A3582" s="1" t="s">
        <v>41</v>
      </c>
      <c r="B3582" s="1" t="s">
        <v>42</v>
      </c>
      <c r="C3582" s="1" t="s">
        <v>5154</v>
      </c>
      <c r="D3582" s="1" t="s">
        <v>5155</v>
      </c>
      <c r="E3582" s="1" t="s">
        <v>45</v>
      </c>
      <c r="F3582" s="1" t="s">
        <v>8194</v>
      </c>
      <c r="G3582" s="1" t="s">
        <v>8195</v>
      </c>
      <c r="H3582" s="1" t="s">
        <v>8196</v>
      </c>
      <c r="I3582" s="1" t="s">
        <v>49</v>
      </c>
      <c r="J3582" s="1" t="s">
        <v>48</v>
      </c>
      <c r="K3582" s="1">
        <v>255</v>
      </c>
      <c r="L3582" s="1">
        <v>0</v>
      </c>
      <c r="M3582" s="1">
        <v>0</v>
      </c>
      <c r="N3582" s="1">
        <v>255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 t="s">
        <v>49</v>
      </c>
      <c r="AA3582" s="1" t="s">
        <v>49</v>
      </c>
      <c r="AB3582" s="1" t="s">
        <v>49</v>
      </c>
      <c r="AC3582" s="1" t="s">
        <v>7540</v>
      </c>
      <c r="AD3582" s="1" t="s">
        <v>7541</v>
      </c>
      <c r="AE3582" s="1" t="s">
        <v>7540</v>
      </c>
      <c r="AF3582" s="1" t="s">
        <v>8197</v>
      </c>
      <c r="AG3582" s="1" t="s">
        <v>53</v>
      </c>
      <c r="AH3582" s="1" t="s">
        <v>49</v>
      </c>
      <c r="AI3582" s="1" t="s">
        <v>54</v>
      </c>
      <c r="AJ3582" s="1">
        <v>1</v>
      </c>
      <c r="AK3582" s="1" t="str">
        <f t="shared" si="56"/>
        <v xml:space="preserve"> =&lt;90</v>
      </c>
      <c r="AL3582" s="1" t="e">
        <f>VLOOKUP(C:C,[1]基础信息!B$1:D$65536,3,0)</f>
        <v>#N/A</v>
      </c>
      <c r="AM3582" s="1" t="e">
        <f>VLOOKUP(C:C,[1]基础信息!B$1:E$65536,4,0)</f>
        <v>#N/A</v>
      </c>
      <c r="AN3582" s="1" t="e">
        <f>VLOOKUP(C:C,[1]基础信息!B$1:F$65536,5,0)</f>
        <v>#N/A</v>
      </c>
    </row>
    <row r="3583" spans="1:40">
      <c r="A3583" s="1" t="s">
        <v>41</v>
      </c>
      <c r="B3583" s="1" t="s">
        <v>42</v>
      </c>
      <c r="C3583" s="1" t="s">
        <v>3971</v>
      </c>
      <c r="D3583" s="1" t="s">
        <v>3972</v>
      </c>
      <c r="E3583" s="1" t="s">
        <v>45</v>
      </c>
      <c r="F3583" s="1" t="s">
        <v>8198</v>
      </c>
      <c r="G3583" s="1" t="s">
        <v>8199</v>
      </c>
      <c r="H3583" s="1" t="s">
        <v>45</v>
      </c>
      <c r="I3583" s="1" t="s">
        <v>45</v>
      </c>
      <c r="J3583" s="1" t="s">
        <v>48</v>
      </c>
      <c r="K3583" s="1">
        <v>19</v>
      </c>
      <c r="L3583" s="1">
        <v>0</v>
      </c>
      <c r="M3583" s="1">
        <v>0</v>
      </c>
      <c r="N3583" s="1">
        <v>19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 t="s">
        <v>49</v>
      </c>
      <c r="AA3583" s="1" t="s">
        <v>49</v>
      </c>
      <c r="AB3583" s="1" t="s">
        <v>49</v>
      </c>
      <c r="AC3583" s="1" t="s">
        <v>7815</v>
      </c>
      <c r="AD3583" s="1" t="s">
        <v>7816</v>
      </c>
      <c r="AE3583" s="1" t="s">
        <v>7815</v>
      </c>
      <c r="AF3583" s="1" t="s">
        <v>49</v>
      </c>
      <c r="AG3583" s="1" t="s">
        <v>3464</v>
      </c>
      <c r="AH3583" s="1" t="s">
        <v>49</v>
      </c>
      <c r="AI3583" s="1" t="s">
        <v>54</v>
      </c>
      <c r="AJ3583" s="1">
        <v>1</v>
      </c>
      <c r="AK3583" s="1" t="str">
        <f t="shared" si="56"/>
        <v xml:space="preserve"> =&lt;90</v>
      </c>
      <c r="AL3583" s="1" t="str">
        <f>VLOOKUP(C:C,[1]基础信息!B$1:D$65536,3,0)</f>
        <v>Jug</v>
      </c>
      <c r="AM3583" s="1" t="str">
        <f>VLOOKUP(C:C,[1]基础信息!B$1:E$65536,4,0)</f>
        <v>Mxplus</v>
      </c>
      <c r="AN3583" s="1" t="str">
        <f>VLOOKUP(C:C,[1]基础信息!B$1:F$65536,5,0)</f>
        <v xml:space="preserve"> lime</v>
      </c>
    </row>
    <row r="3584" spans="1:40">
      <c r="A3584" s="1" t="s">
        <v>41</v>
      </c>
      <c r="B3584" s="1" t="s">
        <v>42</v>
      </c>
      <c r="C3584" s="1" t="s">
        <v>5154</v>
      </c>
      <c r="D3584" s="1" t="s">
        <v>5155</v>
      </c>
      <c r="E3584" s="1" t="s">
        <v>45</v>
      </c>
      <c r="F3584" s="1" t="s">
        <v>8194</v>
      </c>
      <c r="G3584" s="1" t="s">
        <v>8200</v>
      </c>
      <c r="H3584" s="1" t="s">
        <v>8201</v>
      </c>
      <c r="I3584" s="1" t="s">
        <v>49</v>
      </c>
      <c r="J3584" s="1" t="s">
        <v>48</v>
      </c>
      <c r="K3584" s="1">
        <v>270</v>
      </c>
      <c r="L3584" s="1">
        <v>0</v>
      </c>
      <c r="M3584" s="1">
        <v>0</v>
      </c>
      <c r="N3584" s="1">
        <v>270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 t="s">
        <v>49</v>
      </c>
      <c r="AA3584" s="1" t="s">
        <v>49</v>
      </c>
      <c r="AB3584" s="1" t="s">
        <v>49</v>
      </c>
      <c r="AC3584" s="1" t="s">
        <v>7540</v>
      </c>
      <c r="AD3584" s="1" t="s">
        <v>7541</v>
      </c>
      <c r="AE3584" s="1" t="s">
        <v>7540</v>
      </c>
      <c r="AF3584" s="1" t="s">
        <v>8197</v>
      </c>
      <c r="AG3584" s="1" t="s">
        <v>53</v>
      </c>
      <c r="AH3584" s="1" t="s">
        <v>49</v>
      </c>
      <c r="AI3584" s="1" t="s">
        <v>54</v>
      </c>
      <c r="AJ3584" s="1">
        <v>1</v>
      </c>
      <c r="AK3584" s="1" t="str">
        <f t="shared" si="56"/>
        <v xml:space="preserve"> =&lt;90</v>
      </c>
      <c r="AL3584" s="1" t="e">
        <f>VLOOKUP(C:C,[1]基础信息!B$1:D$65536,3,0)</f>
        <v>#N/A</v>
      </c>
      <c r="AM3584" s="1" t="e">
        <f>VLOOKUP(C:C,[1]基础信息!B$1:E$65536,4,0)</f>
        <v>#N/A</v>
      </c>
      <c r="AN3584" s="1" t="e">
        <f>VLOOKUP(C:C,[1]基础信息!B$1:F$65536,5,0)</f>
        <v>#N/A</v>
      </c>
    </row>
    <row r="3585" spans="1:40">
      <c r="A3585" s="1" t="s">
        <v>41</v>
      </c>
      <c r="B3585" s="1" t="s">
        <v>42</v>
      </c>
      <c r="C3585" s="1" t="s">
        <v>5154</v>
      </c>
      <c r="D3585" s="1" t="s">
        <v>5155</v>
      </c>
      <c r="E3585" s="1" t="s">
        <v>45</v>
      </c>
      <c r="F3585" s="1" t="s">
        <v>8194</v>
      </c>
      <c r="G3585" s="1" t="s">
        <v>8202</v>
      </c>
      <c r="H3585" s="1" t="s">
        <v>8203</v>
      </c>
      <c r="I3585" s="1" t="s">
        <v>49</v>
      </c>
      <c r="J3585" s="1" t="s">
        <v>48</v>
      </c>
      <c r="K3585" s="1">
        <v>270</v>
      </c>
      <c r="L3585" s="1">
        <v>0</v>
      </c>
      <c r="M3585" s="1">
        <v>0</v>
      </c>
      <c r="N3585" s="1">
        <v>270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 t="s">
        <v>49</v>
      </c>
      <c r="AA3585" s="1" t="s">
        <v>49</v>
      </c>
      <c r="AB3585" s="1" t="s">
        <v>49</v>
      </c>
      <c r="AC3585" s="1" t="s">
        <v>7540</v>
      </c>
      <c r="AD3585" s="1" t="s">
        <v>7541</v>
      </c>
      <c r="AE3585" s="1" t="s">
        <v>7540</v>
      </c>
      <c r="AF3585" s="1" t="s">
        <v>8197</v>
      </c>
      <c r="AG3585" s="1" t="s">
        <v>53</v>
      </c>
      <c r="AH3585" s="1" t="s">
        <v>49</v>
      </c>
      <c r="AI3585" s="1" t="s">
        <v>54</v>
      </c>
      <c r="AJ3585" s="1">
        <v>1</v>
      </c>
      <c r="AK3585" s="1" t="str">
        <f t="shared" si="56"/>
        <v xml:space="preserve"> =&lt;90</v>
      </c>
      <c r="AL3585" s="1" t="e">
        <f>VLOOKUP(C:C,[1]基础信息!B$1:D$65536,3,0)</f>
        <v>#N/A</v>
      </c>
      <c r="AM3585" s="1" t="e">
        <f>VLOOKUP(C:C,[1]基础信息!B$1:E$65536,4,0)</f>
        <v>#N/A</v>
      </c>
      <c r="AN3585" s="1" t="e">
        <f>VLOOKUP(C:C,[1]基础信息!B$1:F$65536,5,0)</f>
        <v>#N/A</v>
      </c>
    </row>
    <row r="3586" spans="1:40">
      <c r="A3586" s="1" t="s">
        <v>41</v>
      </c>
      <c r="B3586" s="1" t="s">
        <v>42</v>
      </c>
      <c r="C3586" s="1" t="s">
        <v>8190</v>
      </c>
      <c r="D3586" s="1" t="s">
        <v>8191</v>
      </c>
      <c r="E3586" s="1" t="s">
        <v>45</v>
      </c>
      <c r="F3586" s="1" t="s">
        <v>8204</v>
      </c>
      <c r="G3586" s="1" t="s">
        <v>8205</v>
      </c>
      <c r="H3586" s="1" t="s">
        <v>45</v>
      </c>
      <c r="I3586" s="1" t="s">
        <v>45</v>
      </c>
      <c r="J3586" s="1" t="s">
        <v>48</v>
      </c>
      <c r="K3586" s="1">
        <v>89</v>
      </c>
      <c r="L3586" s="1">
        <v>0</v>
      </c>
      <c r="M3586" s="1">
        <v>0</v>
      </c>
      <c r="N3586" s="1">
        <v>89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 t="s">
        <v>49</v>
      </c>
      <c r="AA3586" s="1" t="s">
        <v>49</v>
      </c>
      <c r="AB3586" s="1" t="s">
        <v>49</v>
      </c>
      <c r="AC3586" s="1" t="s">
        <v>6911</v>
      </c>
      <c r="AD3586" s="1" t="s">
        <v>6938</v>
      </c>
      <c r="AE3586" s="1" t="s">
        <v>6911</v>
      </c>
      <c r="AF3586" s="1" t="s">
        <v>49</v>
      </c>
      <c r="AG3586" s="1" t="s">
        <v>3464</v>
      </c>
      <c r="AH3586" s="1" t="s">
        <v>49</v>
      </c>
      <c r="AI3586" s="1" t="s">
        <v>54</v>
      </c>
      <c r="AJ3586" s="1">
        <v>1</v>
      </c>
      <c r="AK3586" s="1" t="str">
        <f t="shared" si="56"/>
        <v xml:space="preserve"> =&lt;90</v>
      </c>
      <c r="AL3586" s="1" t="str">
        <f>VLOOKUP(C:C,[1]基础信息!B$1:D$65536,3,0)</f>
        <v xml:space="preserve">Cartridge </v>
      </c>
      <c r="AM3586" s="1" t="str">
        <f>VLOOKUP(C:C,[1]基础信息!B$1:E$65536,4,0)</f>
        <v>LM</v>
      </c>
      <c r="AN3586" s="1" t="str">
        <f>VLOOKUP(C:C,[1]基础信息!B$1:F$65536,5,0)</f>
        <v>P6</v>
      </c>
    </row>
    <row r="3587" spans="1:40">
      <c r="A3587" s="1" t="s">
        <v>41</v>
      </c>
      <c r="B3587" s="1" t="s">
        <v>42</v>
      </c>
      <c r="C3587" s="1" t="s">
        <v>8206</v>
      </c>
      <c r="D3587" s="1" t="s">
        <v>8207</v>
      </c>
      <c r="E3587" s="1" t="s">
        <v>8206</v>
      </c>
      <c r="F3587" s="1" t="s">
        <v>8208</v>
      </c>
      <c r="G3587" s="1" t="s">
        <v>8209</v>
      </c>
      <c r="H3587" s="1" t="s">
        <v>45</v>
      </c>
      <c r="I3587" s="1" t="s">
        <v>45</v>
      </c>
      <c r="J3587" s="1" t="s">
        <v>48</v>
      </c>
      <c r="K3587" s="1">
        <v>4</v>
      </c>
      <c r="L3587" s="1">
        <v>0</v>
      </c>
      <c r="M3587" s="1">
        <v>0</v>
      </c>
      <c r="N3587" s="1">
        <v>4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 t="s">
        <v>49</v>
      </c>
      <c r="AA3587" s="1" t="s">
        <v>49</v>
      </c>
      <c r="AB3587" s="1" t="s">
        <v>49</v>
      </c>
      <c r="AC3587" s="1" t="s">
        <v>8210</v>
      </c>
      <c r="AD3587" s="1" t="s">
        <v>8211</v>
      </c>
      <c r="AE3587" s="1" t="s">
        <v>8210</v>
      </c>
      <c r="AF3587" s="1" t="s">
        <v>8212</v>
      </c>
      <c r="AG3587" s="1" t="s">
        <v>1952</v>
      </c>
      <c r="AH3587" s="1" t="s">
        <v>49</v>
      </c>
      <c r="AI3587" s="1" t="s">
        <v>54</v>
      </c>
      <c r="AJ3587" s="1">
        <v>1</v>
      </c>
      <c r="AK3587" s="1" t="str">
        <f t="shared" si="56"/>
        <v xml:space="preserve"> =&lt;90</v>
      </c>
      <c r="AL3587" s="1" t="str">
        <f>VLOOKUP(C:C,[1]基础信息!B$1:D$65536,3,0)</f>
        <v>Jug</v>
      </c>
      <c r="AM3587" s="1" t="str">
        <f>VLOOKUP(C:C,[1]基础信息!B$1:E$65536,4,0)</f>
        <v>Marella</v>
      </c>
      <c r="AN3587" s="1" t="str">
        <f>VLOOKUP(C:C,[1]基础信息!B$1:F$65536,5,0)</f>
        <v>Blue</v>
      </c>
    </row>
    <row r="3588" spans="1:40">
      <c r="A3588" s="1" t="s">
        <v>41</v>
      </c>
      <c r="B3588" s="1" t="s">
        <v>42</v>
      </c>
      <c r="C3588" s="1" t="s">
        <v>5154</v>
      </c>
      <c r="D3588" s="1" t="s">
        <v>5155</v>
      </c>
      <c r="E3588" s="1" t="s">
        <v>45</v>
      </c>
      <c r="F3588" s="1" t="s">
        <v>8194</v>
      </c>
      <c r="G3588" s="1" t="s">
        <v>8213</v>
      </c>
      <c r="H3588" s="1" t="s">
        <v>8214</v>
      </c>
      <c r="I3588" s="1" t="s">
        <v>49</v>
      </c>
      <c r="J3588" s="1" t="s">
        <v>48</v>
      </c>
      <c r="K3588" s="1">
        <v>270</v>
      </c>
      <c r="L3588" s="1">
        <v>0</v>
      </c>
      <c r="M3588" s="1">
        <v>0</v>
      </c>
      <c r="N3588" s="1">
        <v>270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 t="s">
        <v>49</v>
      </c>
      <c r="AA3588" s="1" t="s">
        <v>49</v>
      </c>
      <c r="AB3588" s="1" t="s">
        <v>49</v>
      </c>
      <c r="AC3588" s="1" t="s">
        <v>7540</v>
      </c>
      <c r="AD3588" s="1" t="s">
        <v>7541</v>
      </c>
      <c r="AE3588" s="1" t="s">
        <v>7540</v>
      </c>
      <c r="AF3588" s="1" t="s">
        <v>8197</v>
      </c>
      <c r="AG3588" s="1" t="s">
        <v>53</v>
      </c>
      <c r="AH3588" s="1" t="s">
        <v>49</v>
      </c>
      <c r="AI3588" s="1" t="s">
        <v>54</v>
      </c>
      <c r="AJ3588" s="1">
        <v>1</v>
      </c>
      <c r="AK3588" s="1" t="str">
        <f t="shared" si="56"/>
        <v xml:space="preserve"> =&lt;90</v>
      </c>
      <c r="AL3588" s="1" t="e">
        <f>VLOOKUP(C:C,[1]基础信息!B$1:D$65536,3,0)</f>
        <v>#N/A</v>
      </c>
      <c r="AM3588" s="1" t="e">
        <f>VLOOKUP(C:C,[1]基础信息!B$1:E$65536,4,0)</f>
        <v>#N/A</v>
      </c>
      <c r="AN3588" s="1" t="e">
        <f>VLOOKUP(C:C,[1]基础信息!B$1:F$65536,5,0)</f>
        <v>#N/A</v>
      </c>
    </row>
    <row r="3589" spans="1:40">
      <c r="A3589" s="1" t="s">
        <v>41</v>
      </c>
      <c r="B3589" s="1" t="s">
        <v>42</v>
      </c>
      <c r="C3589" s="1" t="s">
        <v>5154</v>
      </c>
      <c r="D3589" s="1" t="s">
        <v>5155</v>
      </c>
      <c r="E3589" s="1" t="s">
        <v>45</v>
      </c>
      <c r="F3589" s="1" t="s">
        <v>8194</v>
      </c>
      <c r="G3589" s="1" t="s">
        <v>8215</v>
      </c>
      <c r="H3589" s="1" t="s">
        <v>8216</v>
      </c>
      <c r="I3589" s="1" t="s">
        <v>49</v>
      </c>
      <c r="J3589" s="1" t="s">
        <v>48</v>
      </c>
      <c r="K3589" s="1">
        <v>270</v>
      </c>
      <c r="L3589" s="1">
        <v>0</v>
      </c>
      <c r="M3589" s="1">
        <v>0</v>
      </c>
      <c r="N3589" s="1">
        <v>270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 t="s">
        <v>49</v>
      </c>
      <c r="AA3589" s="1" t="s">
        <v>49</v>
      </c>
      <c r="AB3589" s="1" t="s">
        <v>49</v>
      </c>
      <c r="AC3589" s="1" t="s">
        <v>7540</v>
      </c>
      <c r="AD3589" s="1" t="s">
        <v>7541</v>
      </c>
      <c r="AE3589" s="1" t="s">
        <v>7540</v>
      </c>
      <c r="AF3589" s="1" t="s">
        <v>8197</v>
      </c>
      <c r="AG3589" s="1" t="s">
        <v>53</v>
      </c>
      <c r="AH3589" s="1" t="s">
        <v>49</v>
      </c>
      <c r="AI3589" s="1" t="s">
        <v>54</v>
      </c>
      <c r="AJ3589" s="1">
        <v>1</v>
      </c>
      <c r="AK3589" s="1" t="str">
        <f t="shared" si="56"/>
        <v xml:space="preserve"> =&lt;90</v>
      </c>
      <c r="AL3589" s="1" t="e">
        <f>VLOOKUP(C:C,[1]基础信息!B$1:D$65536,3,0)</f>
        <v>#N/A</v>
      </c>
      <c r="AM3589" s="1" t="e">
        <f>VLOOKUP(C:C,[1]基础信息!B$1:E$65536,4,0)</f>
        <v>#N/A</v>
      </c>
      <c r="AN3589" s="1" t="e">
        <f>VLOOKUP(C:C,[1]基础信息!B$1:F$65536,5,0)</f>
        <v>#N/A</v>
      </c>
    </row>
    <row r="3590" spans="1:40">
      <c r="A3590" s="1" t="s">
        <v>41</v>
      </c>
      <c r="B3590" s="1" t="s">
        <v>42</v>
      </c>
      <c r="C3590" s="1" t="s">
        <v>4352</v>
      </c>
      <c r="D3590" s="1" t="s">
        <v>4353</v>
      </c>
      <c r="E3590" s="1" t="s">
        <v>45</v>
      </c>
      <c r="F3590" s="1" t="s">
        <v>8217</v>
      </c>
      <c r="G3590" s="1" t="s">
        <v>8218</v>
      </c>
      <c r="H3590" s="1" t="s">
        <v>45</v>
      </c>
      <c r="I3590" s="1" t="s">
        <v>45</v>
      </c>
      <c r="J3590" s="1" t="s">
        <v>48</v>
      </c>
      <c r="K3590" s="1">
        <v>177</v>
      </c>
      <c r="L3590" s="1">
        <v>0</v>
      </c>
      <c r="M3590" s="1">
        <v>0</v>
      </c>
      <c r="N3590" s="1">
        <v>177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 t="s">
        <v>49</v>
      </c>
      <c r="AA3590" s="1" t="s">
        <v>49</v>
      </c>
      <c r="AB3590" s="1" t="s">
        <v>49</v>
      </c>
      <c r="AC3590" s="1" t="s">
        <v>6911</v>
      </c>
      <c r="AD3590" s="1" t="s">
        <v>6938</v>
      </c>
      <c r="AE3590" s="1" t="s">
        <v>6911</v>
      </c>
      <c r="AF3590" s="1" t="s">
        <v>49</v>
      </c>
      <c r="AG3590" s="1" t="s">
        <v>3464</v>
      </c>
      <c r="AH3590" s="1" t="s">
        <v>49</v>
      </c>
      <c r="AI3590" s="1" t="s">
        <v>54</v>
      </c>
      <c r="AJ3590" s="1">
        <v>1</v>
      </c>
      <c r="AK3590" s="1" t="str">
        <f t="shared" si="56"/>
        <v xml:space="preserve"> =&lt;90</v>
      </c>
      <c r="AL3590" s="1" t="e">
        <f>VLOOKUP(C:C,[1]基础信息!B$1:D$65536,3,0)</f>
        <v>#N/A</v>
      </c>
      <c r="AM3590" s="1" t="e">
        <f>VLOOKUP(C:C,[1]基础信息!B$1:E$65536,4,0)</f>
        <v>#N/A</v>
      </c>
      <c r="AN3590" s="1" t="e">
        <f>VLOOKUP(C:C,[1]基础信息!B$1:F$65536,5,0)</f>
        <v>#N/A</v>
      </c>
    </row>
    <row r="3591" spans="1:40">
      <c r="A3591" s="1" t="s">
        <v>41</v>
      </c>
      <c r="B3591" s="1" t="s">
        <v>42</v>
      </c>
      <c r="C3591" s="1" t="s">
        <v>4378</v>
      </c>
      <c r="D3591" s="1" t="s">
        <v>4379</v>
      </c>
      <c r="E3591" s="1" t="s">
        <v>45</v>
      </c>
      <c r="F3591" s="1" t="s">
        <v>8219</v>
      </c>
      <c r="G3591" s="1" t="s">
        <v>8220</v>
      </c>
      <c r="H3591" s="1" t="s">
        <v>45</v>
      </c>
      <c r="I3591" s="1" t="s">
        <v>45</v>
      </c>
      <c r="J3591" s="1" t="s">
        <v>48</v>
      </c>
      <c r="K3591" s="1">
        <v>16</v>
      </c>
      <c r="L3591" s="1">
        <v>0</v>
      </c>
      <c r="M3591" s="1">
        <v>0</v>
      </c>
      <c r="N3591" s="1">
        <v>16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 t="s">
        <v>49</v>
      </c>
      <c r="AA3591" s="1" t="s">
        <v>49</v>
      </c>
      <c r="AB3591" s="1" t="s">
        <v>49</v>
      </c>
      <c r="AC3591" s="1" t="s">
        <v>8221</v>
      </c>
      <c r="AD3591" s="1" t="s">
        <v>8222</v>
      </c>
      <c r="AE3591" s="1" t="s">
        <v>8221</v>
      </c>
      <c r="AF3591" s="1" t="s">
        <v>49</v>
      </c>
      <c r="AG3591" s="1" t="s">
        <v>338</v>
      </c>
      <c r="AH3591" s="1" t="s">
        <v>49</v>
      </c>
      <c r="AI3591" s="1" t="s">
        <v>54</v>
      </c>
      <c r="AJ3591" s="1">
        <v>1</v>
      </c>
      <c r="AK3591" s="1" t="str">
        <f t="shared" si="56"/>
        <v xml:space="preserve"> =&lt;90</v>
      </c>
      <c r="AL3591" s="1" t="str">
        <f>VLOOKUP(C:C,[1]基础信息!B$1:D$65536,3,0)</f>
        <v>Jug</v>
      </c>
      <c r="AM3591" s="1" t="str">
        <f>VLOOKUP(C:C,[1]基础信息!B$1:E$65536,4,0)</f>
        <v>Style</v>
      </c>
      <c r="AN3591" s="1" t="str">
        <f>VLOOKUP(C:C,[1]基础信息!B$1:F$65536,5,0)</f>
        <v>Lime</v>
      </c>
    </row>
    <row r="3592" spans="1:40">
      <c r="A3592" s="1" t="s">
        <v>41</v>
      </c>
      <c r="B3592" s="1" t="s">
        <v>42</v>
      </c>
      <c r="C3592" s="1" t="s">
        <v>3423</v>
      </c>
      <c r="D3592" s="1" t="s">
        <v>3424</v>
      </c>
      <c r="E3592" s="1" t="s">
        <v>45</v>
      </c>
      <c r="F3592" s="1" t="s">
        <v>7647</v>
      </c>
      <c r="G3592" s="1" t="s">
        <v>8223</v>
      </c>
      <c r="H3592" s="1" t="s">
        <v>8224</v>
      </c>
      <c r="I3592" s="1" t="s">
        <v>49</v>
      </c>
      <c r="J3592" s="1" t="s">
        <v>48</v>
      </c>
      <c r="K3592" s="1">
        <v>12</v>
      </c>
      <c r="L3592" s="1">
        <v>0</v>
      </c>
      <c r="M3592" s="1">
        <v>0</v>
      </c>
      <c r="N3592" s="1">
        <v>12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 t="s">
        <v>49</v>
      </c>
      <c r="AA3592" s="1" t="s">
        <v>49</v>
      </c>
      <c r="AB3592" s="1" t="s">
        <v>49</v>
      </c>
      <c r="AC3592" s="1" t="s">
        <v>7542</v>
      </c>
      <c r="AD3592" s="1" t="s">
        <v>7650</v>
      </c>
      <c r="AE3592" s="1" t="s">
        <v>7542</v>
      </c>
      <c r="AF3592" s="1" t="s">
        <v>63</v>
      </c>
      <c r="AG3592" s="1" t="s">
        <v>53</v>
      </c>
      <c r="AH3592" s="1" t="s">
        <v>49</v>
      </c>
      <c r="AI3592" s="1" t="s">
        <v>54</v>
      </c>
      <c r="AJ3592" s="1">
        <v>1</v>
      </c>
      <c r="AK3592" s="1" t="str">
        <f t="shared" si="56"/>
        <v xml:space="preserve"> =&lt;90</v>
      </c>
      <c r="AL3592" s="1" t="e">
        <f>VLOOKUP(C:C,[1]基础信息!B$1:D$65536,3,0)</f>
        <v>#N/A</v>
      </c>
      <c r="AM3592" s="1" t="e">
        <f>VLOOKUP(C:C,[1]基础信息!B$1:E$65536,4,0)</f>
        <v>#N/A</v>
      </c>
      <c r="AN3592" s="1" t="e">
        <f>VLOOKUP(C:C,[1]基础信息!B$1:F$65536,5,0)</f>
        <v>#N/A</v>
      </c>
    </row>
    <row r="3593" spans="1:40">
      <c r="A3593" s="1" t="s">
        <v>41</v>
      </c>
      <c r="B3593" s="1" t="s">
        <v>42</v>
      </c>
      <c r="C3593" s="1" t="s">
        <v>3731</v>
      </c>
      <c r="D3593" s="1" t="s">
        <v>3732</v>
      </c>
      <c r="E3593" s="1" t="s">
        <v>45</v>
      </c>
      <c r="F3593" s="1" t="s">
        <v>8225</v>
      </c>
      <c r="G3593" s="1" t="s">
        <v>8226</v>
      </c>
      <c r="H3593" s="1" t="s">
        <v>45</v>
      </c>
      <c r="I3593" s="1" t="s">
        <v>45</v>
      </c>
      <c r="J3593" s="1" t="s">
        <v>48</v>
      </c>
      <c r="K3593" s="1">
        <v>110</v>
      </c>
      <c r="L3593" s="1">
        <v>0</v>
      </c>
      <c r="M3593" s="1">
        <v>0</v>
      </c>
      <c r="N3593" s="1">
        <v>110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 t="s">
        <v>49</v>
      </c>
      <c r="AA3593" s="1" t="s">
        <v>49</v>
      </c>
      <c r="AB3593" s="1" t="s">
        <v>49</v>
      </c>
      <c r="AC3593" s="1" t="s">
        <v>7689</v>
      </c>
      <c r="AD3593" s="1" t="s">
        <v>7690</v>
      </c>
      <c r="AE3593" s="1" t="s">
        <v>7689</v>
      </c>
      <c r="AF3593" s="1" t="s">
        <v>8227</v>
      </c>
      <c r="AG3593" s="1" t="s">
        <v>53</v>
      </c>
      <c r="AH3593" s="1" t="s">
        <v>49</v>
      </c>
      <c r="AI3593" s="1" t="s">
        <v>54</v>
      </c>
      <c r="AJ3593" s="1">
        <v>1</v>
      </c>
      <c r="AK3593" s="1" t="str">
        <f t="shared" si="56"/>
        <v xml:space="preserve"> =&lt;90</v>
      </c>
      <c r="AL3593" s="1" t="str">
        <f>VLOOKUP(C:C,[1]基础信息!B$1:D$65536,3,0)</f>
        <v>UTS</v>
      </c>
      <c r="AM3593" s="1" t="str">
        <f>VLOOKUP(C:C,[1]基础信息!B$1:E$65536,4,0)</f>
        <v>MyPure</v>
      </c>
      <c r="AN3593" s="1" t="str">
        <f>VLOOKUP(C:C,[1]基础信息!B$1:F$65536,5,0)</f>
        <v>Refill</v>
      </c>
    </row>
    <row r="3594" spans="1:40">
      <c r="A3594" s="1" t="s">
        <v>41</v>
      </c>
      <c r="B3594" s="1" t="s">
        <v>42</v>
      </c>
      <c r="C3594" s="1" t="s">
        <v>1366</v>
      </c>
      <c r="D3594" s="1" t="s">
        <v>1367</v>
      </c>
      <c r="E3594" s="1" t="s">
        <v>45</v>
      </c>
      <c r="F3594" s="1" t="s">
        <v>8228</v>
      </c>
      <c r="G3594" s="1" t="s">
        <v>8229</v>
      </c>
      <c r="H3594" s="1" t="s">
        <v>45</v>
      </c>
      <c r="I3594" s="1" t="s">
        <v>45</v>
      </c>
      <c r="J3594" s="1" t="s">
        <v>48</v>
      </c>
      <c r="K3594" s="1">
        <v>7</v>
      </c>
      <c r="L3594" s="1">
        <v>0</v>
      </c>
      <c r="M3594" s="1">
        <v>0</v>
      </c>
      <c r="N3594" s="1">
        <v>7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 t="s">
        <v>49</v>
      </c>
      <c r="AA3594" s="1" t="s">
        <v>49</v>
      </c>
      <c r="AB3594" s="1" t="s">
        <v>49</v>
      </c>
      <c r="AC3594" s="1" t="s">
        <v>4467</v>
      </c>
      <c r="AD3594" s="1" t="s">
        <v>4468</v>
      </c>
      <c r="AE3594" s="1" t="s">
        <v>4467</v>
      </c>
      <c r="AF3594" s="1" t="s">
        <v>8227</v>
      </c>
      <c r="AG3594" s="1" t="s">
        <v>227</v>
      </c>
      <c r="AH3594" s="1" t="s">
        <v>49</v>
      </c>
      <c r="AI3594" s="1" t="s">
        <v>54</v>
      </c>
      <c r="AJ3594" s="1">
        <v>1</v>
      </c>
      <c r="AK3594" s="1" t="str">
        <f t="shared" si="56"/>
        <v xml:space="preserve"> =&lt;90</v>
      </c>
      <c r="AL3594" s="1" t="str">
        <f>VLOOKUP(C:C,[1]基础信息!B$1:D$65536,3,0)</f>
        <v>UTS</v>
      </c>
      <c r="AM3594" s="1" t="str">
        <f>VLOOKUP(C:C,[1]基础信息!B$1:E$65536,4,0)</f>
        <v>MyPure</v>
      </c>
      <c r="AN3594" s="1" t="str">
        <f>VLOOKUP(C:C,[1]基础信息!B$1:F$65536,5,0)</f>
        <v>Refill</v>
      </c>
    </row>
    <row r="3595" spans="1:40">
      <c r="A3595" s="1" t="s">
        <v>41</v>
      </c>
      <c r="B3595" s="1" t="s">
        <v>42</v>
      </c>
      <c r="C3595" s="1" t="s">
        <v>3423</v>
      </c>
      <c r="D3595" s="1" t="s">
        <v>3424</v>
      </c>
      <c r="E3595" s="1" t="s">
        <v>45</v>
      </c>
      <c r="F3595" s="1" t="s">
        <v>7647</v>
      </c>
      <c r="G3595" s="1" t="s">
        <v>8230</v>
      </c>
      <c r="H3595" s="1" t="s">
        <v>8231</v>
      </c>
      <c r="I3595" s="1" t="s">
        <v>49</v>
      </c>
      <c r="J3595" s="1" t="s">
        <v>48</v>
      </c>
      <c r="K3595" s="1">
        <v>12</v>
      </c>
      <c r="L3595" s="1">
        <v>0</v>
      </c>
      <c r="M3595" s="1">
        <v>0</v>
      </c>
      <c r="N3595" s="1">
        <v>12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 t="s">
        <v>49</v>
      </c>
      <c r="AA3595" s="1" t="s">
        <v>49</v>
      </c>
      <c r="AB3595" s="1" t="s">
        <v>49</v>
      </c>
      <c r="AC3595" s="1" t="s">
        <v>7542</v>
      </c>
      <c r="AD3595" s="1" t="s">
        <v>7650</v>
      </c>
      <c r="AE3595" s="1" t="s">
        <v>7542</v>
      </c>
      <c r="AF3595" s="1" t="s">
        <v>63</v>
      </c>
      <c r="AG3595" s="1" t="s">
        <v>53</v>
      </c>
      <c r="AH3595" s="1" t="s">
        <v>49</v>
      </c>
      <c r="AI3595" s="1" t="s">
        <v>54</v>
      </c>
      <c r="AJ3595" s="1">
        <v>1</v>
      </c>
      <c r="AK3595" s="1" t="str">
        <f t="shared" si="56"/>
        <v xml:space="preserve"> =&lt;90</v>
      </c>
      <c r="AL3595" s="1" t="e">
        <f>VLOOKUP(C:C,[1]基础信息!B$1:D$65536,3,0)</f>
        <v>#N/A</v>
      </c>
      <c r="AM3595" s="1" t="e">
        <f>VLOOKUP(C:C,[1]基础信息!B$1:E$65536,4,0)</f>
        <v>#N/A</v>
      </c>
      <c r="AN3595" s="1" t="e">
        <f>VLOOKUP(C:C,[1]基础信息!B$1:F$65536,5,0)</f>
        <v>#N/A</v>
      </c>
    </row>
    <row r="3596" spans="1:40">
      <c r="A3596" s="1" t="s">
        <v>41</v>
      </c>
      <c r="B3596" s="1" t="s">
        <v>42</v>
      </c>
      <c r="C3596" s="1" t="s">
        <v>3423</v>
      </c>
      <c r="D3596" s="1" t="s">
        <v>3424</v>
      </c>
      <c r="E3596" s="1" t="s">
        <v>45</v>
      </c>
      <c r="F3596" s="1" t="s">
        <v>7647</v>
      </c>
      <c r="G3596" s="1" t="s">
        <v>8232</v>
      </c>
      <c r="H3596" s="1" t="s">
        <v>8233</v>
      </c>
      <c r="I3596" s="1" t="s">
        <v>49</v>
      </c>
      <c r="J3596" s="1" t="s">
        <v>48</v>
      </c>
      <c r="K3596" s="1">
        <v>12</v>
      </c>
      <c r="L3596" s="1">
        <v>0</v>
      </c>
      <c r="M3596" s="1">
        <v>0</v>
      </c>
      <c r="N3596" s="1">
        <v>12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 t="s">
        <v>49</v>
      </c>
      <c r="AA3596" s="1" t="s">
        <v>49</v>
      </c>
      <c r="AB3596" s="1" t="s">
        <v>49</v>
      </c>
      <c r="AC3596" s="1" t="s">
        <v>7542</v>
      </c>
      <c r="AD3596" s="1" t="s">
        <v>7650</v>
      </c>
      <c r="AE3596" s="1" t="s">
        <v>7542</v>
      </c>
      <c r="AF3596" s="1" t="s">
        <v>63</v>
      </c>
      <c r="AG3596" s="1" t="s">
        <v>53</v>
      </c>
      <c r="AH3596" s="1" t="s">
        <v>49</v>
      </c>
      <c r="AI3596" s="1" t="s">
        <v>54</v>
      </c>
      <c r="AJ3596" s="1">
        <v>1</v>
      </c>
      <c r="AK3596" s="1" t="str">
        <f t="shared" si="56"/>
        <v xml:space="preserve"> =&lt;90</v>
      </c>
      <c r="AL3596" s="1" t="e">
        <f>VLOOKUP(C:C,[1]基础信息!B$1:D$65536,3,0)</f>
        <v>#N/A</v>
      </c>
      <c r="AM3596" s="1" t="e">
        <f>VLOOKUP(C:C,[1]基础信息!B$1:E$65536,4,0)</f>
        <v>#N/A</v>
      </c>
      <c r="AN3596" s="1" t="e">
        <f>VLOOKUP(C:C,[1]基础信息!B$1:F$65536,5,0)</f>
        <v>#N/A</v>
      </c>
    </row>
    <row r="3597" spans="1:40">
      <c r="A3597" s="1" t="s">
        <v>41</v>
      </c>
      <c r="B3597" s="1" t="s">
        <v>42</v>
      </c>
      <c r="C3597" s="1" t="s">
        <v>83</v>
      </c>
      <c r="D3597" s="1" t="s">
        <v>84</v>
      </c>
      <c r="E3597" s="1" t="s">
        <v>45</v>
      </c>
      <c r="F3597" s="1" t="s">
        <v>8234</v>
      </c>
      <c r="G3597" s="1" t="s">
        <v>8235</v>
      </c>
      <c r="H3597" s="1" t="s">
        <v>45</v>
      </c>
      <c r="I3597" s="1" t="s">
        <v>45</v>
      </c>
      <c r="J3597" s="1" t="s">
        <v>48</v>
      </c>
      <c r="K3597" s="1">
        <v>34</v>
      </c>
      <c r="L3597" s="1">
        <v>0</v>
      </c>
      <c r="M3597" s="1">
        <v>0</v>
      </c>
      <c r="N3597" s="1">
        <v>34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 t="s">
        <v>49</v>
      </c>
      <c r="AA3597" s="1" t="s">
        <v>49</v>
      </c>
      <c r="AB3597" s="1" t="s">
        <v>49</v>
      </c>
      <c r="AC3597" s="1" t="s">
        <v>7815</v>
      </c>
      <c r="AD3597" s="1" t="s">
        <v>7816</v>
      </c>
      <c r="AE3597" s="1" t="s">
        <v>7815</v>
      </c>
      <c r="AF3597" s="1" t="s">
        <v>49</v>
      </c>
      <c r="AG3597" s="1" t="s">
        <v>3464</v>
      </c>
      <c r="AH3597" s="1" t="s">
        <v>49</v>
      </c>
      <c r="AI3597" s="1" t="s">
        <v>54</v>
      </c>
      <c r="AJ3597" s="1">
        <v>1</v>
      </c>
      <c r="AK3597" s="1" t="str">
        <f t="shared" si="56"/>
        <v xml:space="preserve"> =&lt;90</v>
      </c>
      <c r="AL3597" s="1" t="str">
        <f>VLOOKUP(C:C,[1]基础信息!B$1:D$65536,3,0)</f>
        <v>Jug</v>
      </c>
      <c r="AM3597" s="1" t="str">
        <f>VLOOKUP(C:C,[1]基础信息!B$1:E$65536,4,0)</f>
        <v>Mxplus</v>
      </c>
      <c r="AN3597" s="1" t="str">
        <f>VLOOKUP(C:C,[1]基础信息!B$1:F$65536,5,0)</f>
        <v>Blue</v>
      </c>
    </row>
    <row r="3598" spans="1:40">
      <c r="A3598" s="1" t="s">
        <v>41</v>
      </c>
      <c r="B3598" s="1" t="s">
        <v>42</v>
      </c>
      <c r="C3598" s="1" t="s">
        <v>969</v>
      </c>
      <c r="D3598" s="1" t="s">
        <v>970</v>
      </c>
      <c r="E3598" s="1" t="s">
        <v>45</v>
      </c>
      <c r="F3598" s="1" t="s">
        <v>8236</v>
      </c>
      <c r="G3598" s="1" t="s">
        <v>8237</v>
      </c>
      <c r="H3598" s="1" t="s">
        <v>45</v>
      </c>
      <c r="I3598" s="1" t="s">
        <v>45</v>
      </c>
      <c r="J3598" s="1" t="s">
        <v>48</v>
      </c>
      <c r="K3598" s="1">
        <v>37</v>
      </c>
      <c r="L3598" s="1">
        <v>0</v>
      </c>
      <c r="M3598" s="1">
        <v>0</v>
      </c>
      <c r="N3598" s="1">
        <v>37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 t="s">
        <v>49</v>
      </c>
      <c r="AA3598" s="1" t="s">
        <v>49</v>
      </c>
      <c r="AB3598" s="1" t="s">
        <v>49</v>
      </c>
      <c r="AC3598" s="1" t="s">
        <v>7815</v>
      </c>
      <c r="AD3598" s="1" t="s">
        <v>7816</v>
      </c>
      <c r="AE3598" s="1" t="s">
        <v>7815</v>
      </c>
      <c r="AF3598" s="1" t="s">
        <v>49</v>
      </c>
      <c r="AG3598" s="1" t="s">
        <v>3464</v>
      </c>
      <c r="AH3598" s="1" t="s">
        <v>49</v>
      </c>
      <c r="AI3598" s="1" t="s">
        <v>54</v>
      </c>
      <c r="AJ3598" s="1">
        <v>1</v>
      </c>
      <c r="AK3598" s="1" t="str">
        <f t="shared" si="56"/>
        <v xml:space="preserve"> =&lt;90</v>
      </c>
      <c r="AL3598" s="1" t="str">
        <f>VLOOKUP(C:C,[1]基础信息!B$1:D$65536,3,0)</f>
        <v>Jug</v>
      </c>
      <c r="AM3598" s="1" t="str">
        <f>VLOOKUP(C:C,[1]基础信息!B$1:E$65536,4,0)</f>
        <v>Mxplus</v>
      </c>
      <c r="AN3598" s="1" t="str">
        <f>VLOOKUP(C:C,[1]基础信息!B$1:F$65536,5,0)</f>
        <v xml:space="preserve"> blue</v>
      </c>
    </row>
    <row r="3599" spans="1:40">
      <c r="A3599" s="1" t="s">
        <v>41</v>
      </c>
      <c r="B3599" s="1" t="s">
        <v>42</v>
      </c>
      <c r="C3599" s="1" t="s">
        <v>4258</v>
      </c>
      <c r="D3599" s="1" t="s">
        <v>4259</v>
      </c>
      <c r="E3599" s="1" t="s">
        <v>45</v>
      </c>
      <c r="F3599" s="1" t="s">
        <v>8238</v>
      </c>
      <c r="G3599" s="1" t="s">
        <v>8239</v>
      </c>
      <c r="H3599" s="1" t="s">
        <v>45</v>
      </c>
      <c r="I3599" s="1" t="s">
        <v>45</v>
      </c>
      <c r="J3599" s="1" t="s">
        <v>48</v>
      </c>
      <c r="K3599" s="1">
        <v>104</v>
      </c>
      <c r="L3599" s="1">
        <v>0</v>
      </c>
      <c r="M3599" s="1">
        <v>0</v>
      </c>
      <c r="N3599" s="1">
        <v>104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 t="s">
        <v>49</v>
      </c>
      <c r="AA3599" s="1" t="s">
        <v>49</v>
      </c>
      <c r="AB3599" s="1" t="s">
        <v>49</v>
      </c>
      <c r="AC3599" s="1" t="s">
        <v>4467</v>
      </c>
      <c r="AD3599" s="1" t="s">
        <v>4468</v>
      </c>
      <c r="AE3599" s="1" t="s">
        <v>4467</v>
      </c>
      <c r="AF3599" s="1" t="s">
        <v>8240</v>
      </c>
      <c r="AG3599" s="1" t="s">
        <v>53</v>
      </c>
      <c r="AH3599" s="1" t="s">
        <v>49</v>
      </c>
      <c r="AI3599" s="1" t="s">
        <v>54</v>
      </c>
      <c r="AJ3599" s="1">
        <v>1</v>
      </c>
      <c r="AK3599" s="1" t="str">
        <f t="shared" si="56"/>
        <v xml:space="preserve"> =&lt;90</v>
      </c>
      <c r="AL3599" s="1" t="e">
        <f>VLOOKUP(C:C,[1]基础信息!B$1:D$65536,3,0)</f>
        <v>#N/A</v>
      </c>
      <c r="AM3599" s="1" t="e">
        <f>VLOOKUP(C:C,[1]基础信息!B$1:E$65536,4,0)</f>
        <v>#N/A</v>
      </c>
      <c r="AN3599" s="1" t="e">
        <f>VLOOKUP(C:C,[1]基础信息!B$1:F$65536,5,0)</f>
        <v>#N/A</v>
      </c>
    </row>
    <row r="3600" spans="1:40">
      <c r="A3600" s="1" t="s">
        <v>41</v>
      </c>
      <c r="B3600" s="1" t="s">
        <v>42</v>
      </c>
      <c r="C3600" s="1" t="s">
        <v>7586</v>
      </c>
      <c r="D3600" s="1" t="s">
        <v>7587</v>
      </c>
      <c r="E3600" s="1" t="s">
        <v>45</v>
      </c>
      <c r="F3600" s="1" t="s">
        <v>8241</v>
      </c>
      <c r="G3600" s="1" t="s">
        <v>8242</v>
      </c>
      <c r="H3600" s="1" t="s">
        <v>45</v>
      </c>
      <c r="I3600" s="1" t="s">
        <v>45</v>
      </c>
      <c r="J3600" s="1" t="s">
        <v>48</v>
      </c>
      <c r="K3600" s="1">
        <v>24</v>
      </c>
      <c r="L3600" s="1">
        <v>0</v>
      </c>
      <c r="M3600" s="1">
        <v>0</v>
      </c>
      <c r="N3600" s="1">
        <v>24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 t="s">
        <v>49</v>
      </c>
      <c r="AA3600" s="1" t="s">
        <v>49</v>
      </c>
      <c r="AB3600" s="1" t="s">
        <v>49</v>
      </c>
      <c r="AC3600" s="1" t="s">
        <v>4467</v>
      </c>
      <c r="AD3600" s="1" t="s">
        <v>4468</v>
      </c>
      <c r="AE3600" s="1" t="s">
        <v>4467</v>
      </c>
      <c r="AF3600" s="1" t="s">
        <v>8240</v>
      </c>
      <c r="AG3600" s="1" t="s">
        <v>53</v>
      </c>
      <c r="AH3600" s="1" t="s">
        <v>49</v>
      </c>
      <c r="AI3600" s="1" t="s">
        <v>54</v>
      </c>
      <c r="AJ3600" s="1">
        <v>0</v>
      </c>
      <c r="AK3600" s="1" t="str">
        <f t="shared" si="56"/>
        <v xml:space="preserve"> =&lt;90</v>
      </c>
      <c r="AL3600" s="1" t="e">
        <f>VLOOKUP(C:C,[1]基础信息!B$1:D$65536,3,0)</f>
        <v>#N/A</v>
      </c>
      <c r="AM3600" s="1" t="e">
        <f>VLOOKUP(C:C,[1]基础信息!B$1:E$65536,4,0)</f>
        <v>#N/A</v>
      </c>
      <c r="AN3600" s="1" t="e">
        <f>VLOOKUP(C:C,[1]基础信息!B$1:F$65536,5,0)</f>
        <v>#N/A</v>
      </c>
    </row>
    <row r="3601" spans="1:40">
      <c r="A3601" s="1" t="s">
        <v>41</v>
      </c>
      <c r="B3601" s="1" t="s">
        <v>42</v>
      </c>
      <c r="C3601" s="1" t="s">
        <v>7586</v>
      </c>
      <c r="D3601" s="1" t="s">
        <v>7587</v>
      </c>
      <c r="E3601" s="1" t="s">
        <v>45</v>
      </c>
      <c r="F3601" s="1" t="s">
        <v>8243</v>
      </c>
      <c r="G3601" s="1" t="s">
        <v>8242</v>
      </c>
      <c r="H3601" s="1" t="s">
        <v>45</v>
      </c>
      <c r="I3601" s="1" t="s">
        <v>45</v>
      </c>
      <c r="J3601" s="1" t="s">
        <v>48</v>
      </c>
      <c r="K3601" s="1">
        <v>4</v>
      </c>
      <c r="L3601" s="1">
        <v>0</v>
      </c>
      <c r="M3601" s="1">
        <v>0</v>
      </c>
      <c r="N3601" s="1">
        <v>4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 t="s">
        <v>49</v>
      </c>
      <c r="AA3601" s="1" t="s">
        <v>49</v>
      </c>
      <c r="AB3601" s="1" t="s">
        <v>49</v>
      </c>
      <c r="AC3601" s="1" t="s">
        <v>4467</v>
      </c>
      <c r="AD3601" s="1" t="s">
        <v>4468</v>
      </c>
      <c r="AE3601" s="1" t="s">
        <v>4467</v>
      </c>
      <c r="AF3601" s="1" t="s">
        <v>8240</v>
      </c>
      <c r="AG3601" s="1" t="s">
        <v>227</v>
      </c>
      <c r="AH3601" s="1" t="s">
        <v>49</v>
      </c>
      <c r="AI3601" s="1" t="s">
        <v>54</v>
      </c>
      <c r="AJ3601" s="1">
        <v>1</v>
      </c>
      <c r="AK3601" s="1" t="str">
        <f t="shared" si="56"/>
        <v xml:space="preserve"> =&lt;90</v>
      </c>
      <c r="AL3601" s="1" t="e">
        <f>VLOOKUP(C:C,[1]基础信息!B$1:D$65536,3,0)</f>
        <v>#N/A</v>
      </c>
      <c r="AM3601" s="1" t="e">
        <f>VLOOKUP(C:C,[1]基础信息!B$1:E$65536,4,0)</f>
        <v>#N/A</v>
      </c>
      <c r="AN3601" s="1" t="e">
        <f>VLOOKUP(C:C,[1]基础信息!B$1:F$65536,5,0)</f>
        <v>#N/A</v>
      </c>
    </row>
    <row r="3602" spans="1:40">
      <c r="A3602" s="1" t="s">
        <v>41</v>
      </c>
      <c r="B3602" s="1" t="s">
        <v>8244</v>
      </c>
      <c r="C3602" s="1" t="s">
        <v>8245</v>
      </c>
      <c r="D3602" s="1" t="s">
        <v>8246</v>
      </c>
      <c r="E3602" s="1" t="s">
        <v>8247</v>
      </c>
      <c r="F3602" s="1" t="s">
        <v>8248</v>
      </c>
      <c r="G3602" s="1" t="s">
        <v>8249</v>
      </c>
      <c r="H3602" s="1" t="s">
        <v>45</v>
      </c>
      <c r="I3602" s="1" t="s">
        <v>45</v>
      </c>
      <c r="J3602" s="1" t="s">
        <v>48</v>
      </c>
      <c r="K3602" s="1">
        <v>15</v>
      </c>
      <c r="L3602" s="1">
        <v>0</v>
      </c>
      <c r="M3602" s="1">
        <v>0</v>
      </c>
      <c r="N3602" s="1">
        <v>15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 t="s">
        <v>49</v>
      </c>
      <c r="AA3602" s="1" t="s">
        <v>49</v>
      </c>
      <c r="AB3602" s="1" t="s">
        <v>49</v>
      </c>
      <c r="AC3602" s="1" t="s">
        <v>8250</v>
      </c>
      <c r="AD3602" s="1" t="s">
        <v>8251</v>
      </c>
      <c r="AE3602" s="1" t="s">
        <v>8250</v>
      </c>
      <c r="AF3602" s="1" t="s">
        <v>8252</v>
      </c>
      <c r="AG3602" s="1" t="s">
        <v>8253</v>
      </c>
      <c r="AH3602" s="1" t="s">
        <v>49</v>
      </c>
      <c r="AI3602" s="1" t="s">
        <v>54</v>
      </c>
      <c r="AJ3602" s="1">
        <v>1</v>
      </c>
      <c r="AK3602" s="1" t="str">
        <f t="shared" si="56"/>
        <v xml:space="preserve"> =&lt;90</v>
      </c>
      <c r="AL3602" s="1" t="e">
        <f>VLOOKUP(C:C,[1]基础信息!B$1:D$65536,3,0)</f>
        <v>#N/A</v>
      </c>
      <c r="AM3602" s="1" t="e">
        <f>VLOOKUP(C:C,[1]基础信息!B$1:E$65536,4,0)</f>
        <v>#N/A</v>
      </c>
      <c r="AN3602" s="1" t="e">
        <f>VLOOKUP(C:C,[1]基础信息!B$1:F$65536,5,0)</f>
        <v>#N/A</v>
      </c>
    </row>
    <row r="3603" spans="1:40">
      <c r="A3603" s="1" t="s">
        <v>41</v>
      </c>
      <c r="B3603" s="1" t="s">
        <v>42</v>
      </c>
      <c r="C3603" s="1" t="s">
        <v>208</v>
      </c>
      <c r="D3603" s="1" t="s">
        <v>209</v>
      </c>
      <c r="E3603" s="1" t="s">
        <v>208</v>
      </c>
      <c r="F3603" s="1" t="s">
        <v>8254</v>
      </c>
      <c r="G3603" s="1" t="s">
        <v>8255</v>
      </c>
      <c r="H3603" s="1" t="s">
        <v>45</v>
      </c>
      <c r="I3603" s="1" t="s">
        <v>45</v>
      </c>
      <c r="J3603" s="1" t="s">
        <v>48</v>
      </c>
      <c r="K3603" s="1">
        <v>33</v>
      </c>
      <c r="L3603" s="1">
        <v>0</v>
      </c>
      <c r="M3603" s="1">
        <v>0</v>
      </c>
      <c r="N3603" s="1">
        <v>33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 t="s">
        <v>49</v>
      </c>
      <c r="AA3603" s="1" t="s">
        <v>49</v>
      </c>
      <c r="AB3603" s="1" t="s">
        <v>49</v>
      </c>
      <c r="AC3603" s="1" t="s">
        <v>7815</v>
      </c>
      <c r="AD3603" s="1" t="s">
        <v>7816</v>
      </c>
      <c r="AE3603" s="1" t="s">
        <v>7815</v>
      </c>
      <c r="AF3603" s="1" t="s">
        <v>49</v>
      </c>
      <c r="AG3603" s="1" t="s">
        <v>3464</v>
      </c>
      <c r="AH3603" s="1" t="s">
        <v>49</v>
      </c>
      <c r="AI3603" s="1" t="s">
        <v>54</v>
      </c>
      <c r="AJ3603" s="1">
        <v>1</v>
      </c>
      <c r="AK3603" s="1" t="str">
        <f t="shared" si="56"/>
        <v xml:space="preserve"> =&lt;90</v>
      </c>
      <c r="AL3603" s="1" t="str">
        <f>VLOOKUP(C:C,[1]基础信息!B$1:D$65536,3,0)</f>
        <v>Jug</v>
      </c>
      <c r="AM3603" s="1" t="str">
        <f>VLOOKUP(C:C,[1]基础信息!B$1:E$65536,4,0)</f>
        <v>MXpl</v>
      </c>
      <c r="AN3603" s="1" t="str">
        <f>VLOOKUP(C:C,[1]基础信息!B$1:F$65536,5,0)</f>
        <v>grey</v>
      </c>
    </row>
    <row r="3604" spans="1:40">
      <c r="A3604" s="1" t="s">
        <v>41</v>
      </c>
      <c r="B3604" s="1" t="s">
        <v>8244</v>
      </c>
      <c r="C3604" s="1" t="s">
        <v>8245</v>
      </c>
      <c r="D3604" s="1" t="s">
        <v>8246</v>
      </c>
      <c r="E3604" s="1" t="s">
        <v>8247</v>
      </c>
      <c r="F3604" s="1" t="s">
        <v>8248</v>
      </c>
      <c r="G3604" s="1" t="s">
        <v>8256</v>
      </c>
      <c r="H3604" s="1" t="s">
        <v>45</v>
      </c>
      <c r="I3604" s="1" t="s">
        <v>45</v>
      </c>
      <c r="J3604" s="1" t="s">
        <v>48</v>
      </c>
      <c r="K3604" s="1">
        <v>16</v>
      </c>
      <c r="L3604" s="1">
        <v>0</v>
      </c>
      <c r="M3604" s="1">
        <v>0</v>
      </c>
      <c r="N3604" s="1">
        <v>16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 t="s">
        <v>49</v>
      </c>
      <c r="AA3604" s="1" t="s">
        <v>49</v>
      </c>
      <c r="AB3604" s="1" t="s">
        <v>49</v>
      </c>
      <c r="AC3604" s="1" t="s">
        <v>8250</v>
      </c>
      <c r="AD3604" s="1" t="s">
        <v>8251</v>
      </c>
      <c r="AE3604" s="1" t="s">
        <v>8250</v>
      </c>
      <c r="AF3604" s="1" t="s">
        <v>8252</v>
      </c>
      <c r="AG3604" s="1" t="s">
        <v>8253</v>
      </c>
      <c r="AH3604" s="1" t="s">
        <v>49</v>
      </c>
      <c r="AI3604" s="1" t="s">
        <v>54</v>
      </c>
      <c r="AJ3604" s="1">
        <v>1</v>
      </c>
      <c r="AK3604" s="1" t="str">
        <f t="shared" si="56"/>
        <v xml:space="preserve"> =&lt;90</v>
      </c>
      <c r="AL3604" s="1" t="e">
        <f>VLOOKUP(C:C,[1]基础信息!B$1:D$65536,3,0)</f>
        <v>#N/A</v>
      </c>
      <c r="AM3604" s="1" t="e">
        <f>VLOOKUP(C:C,[1]基础信息!B$1:E$65536,4,0)</f>
        <v>#N/A</v>
      </c>
      <c r="AN3604" s="1" t="e">
        <f>VLOOKUP(C:C,[1]基础信息!B$1:F$65536,5,0)</f>
        <v>#N/A</v>
      </c>
    </row>
    <row r="3605" spans="1:40">
      <c r="A3605" s="1" t="s">
        <v>41</v>
      </c>
      <c r="B3605" s="1" t="s">
        <v>42</v>
      </c>
      <c r="C3605" s="1" t="s">
        <v>5254</v>
      </c>
      <c r="D3605" s="1" t="s">
        <v>5255</v>
      </c>
      <c r="E3605" s="1" t="s">
        <v>45</v>
      </c>
      <c r="F3605" s="1" t="s">
        <v>8159</v>
      </c>
      <c r="G3605" s="1" t="s">
        <v>8257</v>
      </c>
      <c r="H3605" s="1" t="s">
        <v>45</v>
      </c>
      <c r="I3605" s="1" t="s">
        <v>45</v>
      </c>
      <c r="J3605" s="1" t="s">
        <v>48</v>
      </c>
      <c r="K3605" s="1">
        <v>1948</v>
      </c>
      <c r="L3605" s="1">
        <v>806</v>
      </c>
      <c r="M3605" s="1">
        <v>0</v>
      </c>
      <c r="N3605" s="1">
        <v>1142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 t="s">
        <v>49</v>
      </c>
      <c r="AA3605" s="1" t="s">
        <v>49</v>
      </c>
      <c r="AB3605" s="1" t="s">
        <v>49</v>
      </c>
      <c r="AC3605" s="1" t="s">
        <v>416</v>
      </c>
      <c r="AD3605" s="1" t="s">
        <v>8161</v>
      </c>
      <c r="AE3605" s="1" t="s">
        <v>416</v>
      </c>
      <c r="AF3605" s="1" t="s">
        <v>49</v>
      </c>
      <c r="AG3605" s="1" t="s">
        <v>3464</v>
      </c>
      <c r="AH3605" s="1" t="s">
        <v>49</v>
      </c>
      <c r="AI3605" s="1" t="s">
        <v>54</v>
      </c>
      <c r="AJ3605" s="1">
        <v>1</v>
      </c>
      <c r="AK3605" s="1" t="str">
        <f t="shared" si="56"/>
        <v xml:space="preserve"> =&lt;90</v>
      </c>
      <c r="AL3605" s="1" t="str">
        <f>VLOOKUP(C:C,[1]基础信息!B$1:D$65536,3,0)</f>
        <v xml:space="preserve">Cartridge </v>
      </c>
      <c r="AM3605" s="1" t="str">
        <f>VLOOKUP(C:C,[1]基础信息!B$1:E$65536,4,0)</f>
        <v>UNIV</v>
      </c>
      <c r="AN3605" s="1" t="str">
        <f>VLOOKUP(C:C,[1]基础信息!B$1:F$65536,5,0)</f>
        <v>P55</v>
      </c>
    </row>
    <row r="3606" spans="1:40">
      <c r="A3606" s="1" t="s">
        <v>41</v>
      </c>
      <c r="B3606" s="1" t="s">
        <v>42</v>
      </c>
      <c r="C3606" s="1" t="s">
        <v>8190</v>
      </c>
      <c r="D3606" s="1" t="s">
        <v>8191</v>
      </c>
      <c r="E3606" s="1" t="s">
        <v>45</v>
      </c>
      <c r="F3606" s="1" t="s">
        <v>8192</v>
      </c>
      <c r="G3606" s="1" t="s">
        <v>8258</v>
      </c>
      <c r="H3606" s="1" t="s">
        <v>45</v>
      </c>
      <c r="I3606" s="1" t="s">
        <v>45</v>
      </c>
      <c r="J3606" s="1" t="s">
        <v>48</v>
      </c>
      <c r="K3606" s="1">
        <v>42</v>
      </c>
      <c r="L3606" s="1">
        <v>0</v>
      </c>
      <c r="M3606" s="1">
        <v>0</v>
      </c>
      <c r="N3606" s="1">
        <v>42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 t="s">
        <v>49</v>
      </c>
      <c r="AA3606" s="1" t="s">
        <v>49</v>
      </c>
      <c r="AB3606" s="1" t="s">
        <v>49</v>
      </c>
      <c r="AC3606" s="1" t="s">
        <v>7815</v>
      </c>
      <c r="AD3606" s="1" t="s">
        <v>7816</v>
      </c>
      <c r="AE3606" s="1" t="s">
        <v>7815</v>
      </c>
      <c r="AF3606" s="1" t="s">
        <v>49</v>
      </c>
      <c r="AG3606" s="1" t="s">
        <v>3464</v>
      </c>
      <c r="AH3606" s="1" t="s">
        <v>49</v>
      </c>
      <c r="AI3606" s="1" t="s">
        <v>54</v>
      </c>
      <c r="AJ3606" s="1">
        <v>1</v>
      </c>
      <c r="AK3606" s="1" t="str">
        <f t="shared" si="56"/>
        <v xml:space="preserve"> =&lt;90</v>
      </c>
      <c r="AL3606" s="1" t="str">
        <f>VLOOKUP(C:C,[1]基础信息!B$1:D$65536,3,0)</f>
        <v xml:space="preserve">Cartridge </v>
      </c>
      <c r="AM3606" s="1" t="str">
        <f>VLOOKUP(C:C,[1]基础信息!B$1:E$65536,4,0)</f>
        <v>LM</v>
      </c>
      <c r="AN3606" s="1" t="str">
        <f>VLOOKUP(C:C,[1]基础信息!B$1:F$65536,5,0)</f>
        <v>P6</v>
      </c>
    </row>
    <row r="3607" spans="1:40">
      <c r="A3607" s="1" t="s">
        <v>41</v>
      </c>
      <c r="B3607" s="1" t="s">
        <v>42</v>
      </c>
      <c r="C3607" s="1" t="s">
        <v>4258</v>
      </c>
      <c r="D3607" s="1" t="s">
        <v>4259</v>
      </c>
      <c r="E3607" s="1" t="s">
        <v>45</v>
      </c>
      <c r="F3607" s="1" t="s">
        <v>8259</v>
      </c>
      <c r="G3607" s="1" t="s">
        <v>8260</v>
      </c>
      <c r="H3607" s="1" t="s">
        <v>45</v>
      </c>
      <c r="I3607" s="1" t="s">
        <v>45</v>
      </c>
      <c r="J3607" s="1" t="s">
        <v>48</v>
      </c>
      <c r="K3607" s="1">
        <v>4</v>
      </c>
      <c r="L3607" s="1">
        <v>0</v>
      </c>
      <c r="M3607" s="1">
        <v>0</v>
      </c>
      <c r="N3607" s="1">
        <v>4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 t="s">
        <v>49</v>
      </c>
      <c r="AA3607" s="1" t="s">
        <v>49</v>
      </c>
      <c r="AB3607" s="1" t="s">
        <v>49</v>
      </c>
      <c r="AC3607" s="1" t="s">
        <v>4467</v>
      </c>
      <c r="AD3607" s="1" t="s">
        <v>4468</v>
      </c>
      <c r="AE3607" s="1" t="s">
        <v>4467</v>
      </c>
      <c r="AF3607" s="1" t="s">
        <v>8240</v>
      </c>
      <c r="AG3607" s="1" t="s">
        <v>227</v>
      </c>
      <c r="AH3607" s="1" t="s">
        <v>49</v>
      </c>
      <c r="AI3607" s="1" t="s">
        <v>54</v>
      </c>
      <c r="AJ3607" s="1">
        <v>1</v>
      </c>
      <c r="AK3607" s="1" t="str">
        <f t="shared" si="56"/>
        <v xml:space="preserve"> =&lt;90</v>
      </c>
      <c r="AL3607" s="1" t="e">
        <f>VLOOKUP(C:C,[1]基础信息!B$1:D$65536,3,0)</f>
        <v>#N/A</v>
      </c>
      <c r="AM3607" s="1" t="e">
        <f>VLOOKUP(C:C,[1]基础信息!B$1:E$65536,4,0)</f>
        <v>#N/A</v>
      </c>
      <c r="AN3607" s="1" t="e">
        <f>VLOOKUP(C:C,[1]基础信息!B$1:F$65536,5,0)</f>
        <v>#N/A</v>
      </c>
    </row>
    <row r="3608" spans="1:40">
      <c r="A3608" s="1" t="s">
        <v>41</v>
      </c>
      <c r="B3608" s="1" t="s">
        <v>42</v>
      </c>
      <c r="C3608" s="1" t="s">
        <v>5105</v>
      </c>
      <c r="D3608" s="1" t="s">
        <v>5106</v>
      </c>
      <c r="E3608" s="1" t="s">
        <v>5105</v>
      </c>
      <c r="F3608" s="1" t="s">
        <v>8261</v>
      </c>
      <c r="G3608" s="1" t="s">
        <v>8262</v>
      </c>
      <c r="H3608" s="1" t="s">
        <v>45</v>
      </c>
      <c r="I3608" s="1" t="s">
        <v>45</v>
      </c>
      <c r="J3608" s="1" t="s">
        <v>48</v>
      </c>
      <c r="K3608" s="1">
        <v>20</v>
      </c>
      <c r="L3608" s="1">
        <v>0</v>
      </c>
      <c r="M3608" s="1">
        <v>0</v>
      </c>
      <c r="N3608" s="1">
        <v>20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 t="s">
        <v>49</v>
      </c>
      <c r="AA3608" s="1" t="s">
        <v>49</v>
      </c>
      <c r="AB3608" s="1" t="s">
        <v>49</v>
      </c>
      <c r="AC3608" s="1" t="s">
        <v>5506</v>
      </c>
      <c r="AD3608" s="1" t="s">
        <v>5507</v>
      </c>
      <c r="AE3608" s="1" t="s">
        <v>8263</v>
      </c>
      <c r="AF3608" s="1" t="s">
        <v>7550</v>
      </c>
      <c r="AG3608" s="1" t="s">
        <v>3464</v>
      </c>
      <c r="AH3608" s="1" t="s">
        <v>49</v>
      </c>
      <c r="AI3608" s="1" t="s">
        <v>54</v>
      </c>
      <c r="AJ3608" s="1">
        <v>1</v>
      </c>
      <c r="AK3608" s="1" t="str">
        <f t="shared" si="56"/>
        <v xml:space="preserve"> =&lt;90</v>
      </c>
      <c r="AL3608" s="1" t="str">
        <f>VLOOKUP(C:C,[1]基础信息!B$1:D$65536,3,0)</f>
        <v>UTS</v>
      </c>
      <c r="AM3608" s="1" t="str">
        <f>VLOOKUP(C:C,[1]基础信息!B$1:E$65536,4,0)</f>
        <v>MyPure Pro</v>
      </c>
      <c r="AN3608" s="1" t="str">
        <f>VLOOKUP(C:C,[1]基础信息!B$1:F$65536,5,0)</f>
        <v>X3</v>
      </c>
    </row>
    <row r="3609" spans="1:40">
      <c r="A3609" s="1" t="s">
        <v>41</v>
      </c>
      <c r="B3609" s="1" t="s">
        <v>42</v>
      </c>
      <c r="C3609" s="1" t="s">
        <v>8206</v>
      </c>
      <c r="D3609" s="1" t="s">
        <v>8207</v>
      </c>
      <c r="E3609" s="1" t="s">
        <v>8206</v>
      </c>
      <c r="F3609" s="1" t="s">
        <v>8264</v>
      </c>
      <c r="G3609" s="1" t="s">
        <v>8265</v>
      </c>
      <c r="H3609" s="1" t="s">
        <v>45</v>
      </c>
      <c r="I3609" s="1" t="s">
        <v>45</v>
      </c>
      <c r="J3609" s="1" t="s">
        <v>48</v>
      </c>
      <c r="K3609" s="1">
        <v>33</v>
      </c>
      <c r="L3609" s="1">
        <v>0</v>
      </c>
      <c r="M3609" s="1">
        <v>0</v>
      </c>
      <c r="N3609" s="1">
        <v>33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 t="s">
        <v>49</v>
      </c>
      <c r="AA3609" s="1" t="s">
        <v>49</v>
      </c>
      <c r="AB3609" s="1" t="s">
        <v>49</v>
      </c>
      <c r="AC3609" s="1" t="s">
        <v>8221</v>
      </c>
      <c r="AD3609" s="1" t="s">
        <v>8222</v>
      </c>
      <c r="AE3609" s="1" t="s">
        <v>8221</v>
      </c>
      <c r="AF3609" s="1" t="s">
        <v>49</v>
      </c>
      <c r="AG3609" s="1" t="s">
        <v>3464</v>
      </c>
      <c r="AH3609" s="1" t="s">
        <v>49</v>
      </c>
      <c r="AI3609" s="1" t="s">
        <v>54</v>
      </c>
      <c r="AJ3609" s="1">
        <v>1</v>
      </c>
      <c r="AK3609" s="1" t="str">
        <f t="shared" si="56"/>
        <v xml:space="preserve"> =&lt;90</v>
      </c>
      <c r="AL3609" s="1" t="str">
        <f>VLOOKUP(C:C,[1]基础信息!B$1:D$65536,3,0)</f>
        <v>Jug</v>
      </c>
      <c r="AM3609" s="1" t="str">
        <f>VLOOKUP(C:C,[1]基础信息!B$1:E$65536,4,0)</f>
        <v>Marella</v>
      </c>
      <c r="AN3609" s="1" t="str">
        <f>VLOOKUP(C:C,[1]基础信息!B$1:F$65536,5,0)</f>
        <v>Blue</v>
      </c>
    </row>
    <row r="3610" spans="1:40">
      <c r="A3610" s="1" t="s">
        <v>41</v>
      </c>
      <c r="B3610" s="1" t="s">
        <v>42</v>
      </c>
      <c r="C3610" s="1" t="s">
        <v>4352</v>
      </c>
      <c r="D3610" s="1" t="s">
        <v>4353</v>
      </c>
      <c r="E3610" s="1" t="s">
        <v>45</v>
      </c>
      <c r="F3610" s="1" t="s">
        <v>8266</v>
      </c>
      <c r="G3610" s="1" t="s">
        <v>8267</v>
      </c>
      <c r="H3610" s="1" t="s">
        <v>45</v>
      </c>
      <c r="I3610" s="1" t="s">
        <v>45</v>
      </c>
      <c r="J3610" s="1" t="s">
        <v>48</v>
      </c>
      <c r="K3610" s="1">
        <v>165</v>
      </c>
      <c r="L3610" s="1">
        <v>0</v>
      </c>
      <c r="M3610" s="1">
        <v>0</v>
      </c>
      <c r="N3610" s="1">
        <v>165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 t="s">
        <v>49</v>
      </c>
      <c r="AA3610" s="1" t="s">
        <v>49</v>
      </c>
      <c r="AB3610" s="1" t="s">
        <v>49</v>
      </c>
      <c r="AC3610" s="1" t="s">
        <v>7815</v>
      </c>
      <c r="AD3610" s="1" t="s">
        <v>7816</v>
      </c>
      <c r="AE3610" s="1" t="s">
        <v>7815</v>
      </c>
      <c r="AF3610" s="1" t="s">
        <v>49</v>
      </c>
      <c r="AG3610" s="1" t="s">
        <v>3464</v>
      </c>
      <c r="AH3610" s="1" t="s">
        <v>49</v>
      </c>
      <c r="AI3610" s="1" t="s">
        <v>54</v>
      </c>
      <c r="AJ3610" s="1">
        <v>1</v>
      </c>
      <c r="AK3610" s="1" t="str">
        <f t="shared" si="56"/>
        <v xml:space="preserve"> =&lt;90</v>
      </c>
      <c r="AL3610" s="1" t="e">
        <f>VLOOKUP(C:C,[1]基础信息!B$1:D$65536,3,0)</f>
        <v>#N/A</v>
      </c>
      <c r="AM3610" s="1" t="e">
        <f>VLOOKUP(C:C,[1]基础信息!B$1:E$65536,4,0)</f>
        <v>#N/A</v>
      </c>
      <c r="AN3610" s="1" t="e">
        <f>VLOOKUP(C:C,[1]基础信息!B$1:F$65536,5,0)</f>
        <v>#N/A</v>
      </c>
    </row>
    <row r="3611" spans="1:40">
      <c r="A3611" s="1" t="s">
        <v>41</v>
      </c>
      <c r="B3611" s="1" t="s">
        <v>42</v>
      </c>
      <c r="C3611" s="1" t="s">
        <v>4378</v>
      </c>
      <c r="D3611" s="1" t="s">
        <v>4379</v>
      </c>
      <c r="E3611" s="1" t="s">
        <v>45</v>
      </c>
      <c r="F3611" s="1" t="s">
        <v>8219</v>
      </c>
      <c r="G3611" s="1" t="s">
        <v>8268</v>
      </c>
      <c r="H3611" s="1" t="s">
        <v>45</v>
      </c>
      <c r="I3611" s="1" t="s">
        <v>45</v>
      </c>
      <c r="J3611" s="1" t="s">
        <v>48</v>
      </c>
      <c r="K3611" s="1">
        <v>60</v>
      </c>
      <c r="L3611" s="1">
        <v>0</v>
      </c>
      <c r="M3611" s="1">
        <v>0</v>
      </c>
      <c r="N3611" s="1">
        <v>60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 t="s">
        <v>49</v>
      </c>
      <c r="AA3611" s="1" t="s">
        <v>49</v>
      </c>
      <c r="AB3611" s="1" t="s">
        <v>49</v>
      </c>
      <c r="AC3611" s="1" t="s">
        <v>8221</v>
      </c>
      <c r="AD3611" s="1" t="s">
        <v>8222</v>
      </c>
      <c r="AE3611" s="1" t="s">
        <v>8221</v>
      </c>
      <c r="AF3611" s="1" t="s">
        <v>49</v>
      </c>
      <c r="AG3611" s="1" t="s">
        <v>338</v>
      </c>
      <c r="AH3611" s="1" t="s">
        <v>49</v>
      </c>
      <c r="AI3611" s="1" t="s">
        <v>54</v>
      </c>
      <c r="AJ3611" s="1">
        <v>1</v>
      </c>
      <c r="AK3611" s="1" t="str">
        <f t="shared" si="56"/>
        <v xml:space="preserve"> =&lt;90</v>
      </c>
      <c r="AL3611" s="1" t="str">
        <f>VLOOKUP(C:C,[1]基础信息!B$1:D$65536,3,0)</f>
        <v>Jug</v>
      </c>
      <c r="AM3611" s="1" t="str">
        <f>VLOOKUP(C:C,[1]基础信息!B$1:E$65536,4,0)</f>
        <v>Style</v>
      </c>
      <c r="AN3611" s="1" t="str">
        <f>VLOOKUP(C:C,[1]基础信息!B$1:F$65536,5,0)</f>
        <v>Lime</v>
      </c>
    </row>
    <row r="3612" spans="1:40">
      <c r="A3612" s="1" t="s">
        <v>41</v>
      </c>
      <c r="B3612" s="1" t="s">
        <v>42</v>
      </c>
      <c r="C3612" s="1" t="s">
        <v>301</v>
      </c>
      <c r="D3612" s="1" t="s">
        <v>302</v>
      </c>
      <c r="E3612" s="1" t="s">
        <v>45</v>
      </c>
      <c r="F3612" s="1" t="s">
        <v>8269</v>
      </c>
      <c r="G3612" s="1" t="s">
        <v>8270</v>
      </c>
      <c r="H3612" s="1" t="s">
        <v>45</v>
      </c>
      <c r="I3612" s="1" t="s">
        <v>45</v>
      </c>
      <c r="J3612" s="1" t="s">
        <v>48</v>
      </c>
      <c r="K3612" s="1">
        <v>1</v>
      </c>
      <c r="L3612" s="1">
        <v>0</v>
      </c>
      <c r="M3612" s="1">
        <v>0</v>
      </c>
      <c r="N3612" s="1">
        <v>1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 t="s">
        <v>49</v>
      </c>
      <c r="AA3612" s="1" t="s">
        <v>49</v>
      </c>
      <c r="AB3612" s="1" t="s">
        <v>49</v>
      </c>
      <c r="AC3612" s="1" t="s">
        <v>6911</v>
      </c>
      <c r="AD3612" s="1" t="s">
        <v>6938</v>
      </c>
      <c r="AE3612" s="1" t="s">
        <v>6911</v>
      </c>
      <c r="AF3612" s="1" t="s">
        <v>49</v>
      </c>
      <c r="AG3612" s="1" t="s">
        <v>3464</v>
      </c>
      <c r="AH3612" s="1" t="s">
        <v>49</v>
      </c>
      <c r="AI3612" s="1" t="s">
        <v>54</v>
      </c>
      <c r="AJ3612" s="1">
        <v>0</v>
      </c>
      <c r="AK3612" s="1" t="str">
        <f t="shared" si="56"/>
        <v xml:space="preserve"> =&lt;90</v>
      </c>
      <c r="AL3612" s="1" t="str">
        <f>VLOOKUP(C:C,[1]基础信息!B$1:D$65536,3,0)</f>
        <v>Jug</v>
      </c>
      <c r="AM3612" s="1" t="str">
        <f>VLOOKUP(C:C,[1]基础信息!B$1:E$65536,4,0)</f>
        <v>Aluna</v>
      </c>
      <c r="AN3612" s="1" t="str">
        <f>VLOOKUP(C:C,[1]基础信息!B$1:F$65536,5,0)</f>
        <v>Blue</v>
      </c>
    </row>
    <row r="3613" spans="1:40">
      <c r="A3613" s="1" t="s">
        <v>41</v>
      </c>
      <c r="B3613" s="1" t="s">
        <v>42</v>
      </c>
      <c r="C3613" s="1" t="s">
        <v>481</v>
      </c>
      <c r="D3613" s="1" t="s">
        <v>482</v>
      </c>
      <c r="E3613" s="1" t="s">
        <v>45</v>
      </c>
      <c r="F3613" s="1" t="s">
        <v>8271</v>
      </c>
      <c r="G3613" s="1" t="s">
        <v>8270</v>
      </c>
      <c r="H3613" s="1" t="s">
        <v>45</v>
      </c>
      <c r="I3613" s="1" t="s">
        <v>45</v>
      </c>
      <c r="J3613" s="1" t="s">
        <v>48</v>
      </c>
      <c r="K3613" s="1">
        <v>11</v>
      </c>
      <c r="L3613" s="1">
        <v>0</v>
      </c>
      <c r="M3613" s="1">
        <v>0</v>
      </c>
      <c r="N3613" s="1">
        <v>11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 t="s">
        <v>49</v>
      </c>
      <c r="AA3613" s="1" t="s">
        <v>49</v>
      </c>
      <c r="AB3613" s="1" t="s">
        <v>49</v>
      </c>
      <c r="AC3613" s="1" t="s">
        <v>6911</v>
      </c>
      <c r="AD3613" s="1" t="s">
        <v>6938</v>
      </c>
      <c r="AE3613" s="1" t="s">
        <v>6911</v>
      </c>
      <c r="AF3613" s="1" t="s">
        <v>49</v>
      </c>
      <c r="AG3613" s="1" t="s">
        <v>3464</v>
      </c>
      <c r="AH3613" s="1" t="s">
        <v>49</v>
      </c>
      <c r="AI3613" s="1" t="s">
        <v>54</v>
      </c>
      <c r="AJ3613" s="1">
        <v>1</v>
      </c>
      <c r="AK3613" s="1" t="str">
        <f t="shared" si="56"/>
        <v xml:space="preserve"> =&lt;90</v>
      </c>
      <c r="AL3613" s="1" t="str">
        <f>VLOOKUP(C:C,[1]基础信息!B$1:D$65536,3,0)</f>
        <v>Jug</v>
      </c>
      <c r="AM3613" s="1" t="str">
        <f>VLOOKUP(C:C,[1]基础信息!B$1:E$65536,4,0)</f>
        <v>Style COOL</v>
      </c>
      <c r="AN3613" s="1" t="str">
        <f>VLOOKUP(C:C,[1]基础信息!B$1:F$65536,5,0)</f>
        <v>Cool Blue</v>
      </c>
    </row>
    <row r="3614" spans="1:40">
      <c r="A3614" s="1" t="s">
        <v>41</v>
      </c>
      <c r="B3614" s="1" t="s">
        <v>42</v>
      </c>
      <c r="C3614" s="1" t="s">
        <v>83</v>
      </c>
      <c r="D3614" s="1" t="s">
        <v>84</v>
      </c>
      <c r="E3614" s="1" t="s">
        <v>45</v>
      </c>
      <c r="F3614" s="1" t="s">
        <v>8272</v>
      </c>
      <c r="G3614" s="1" t="s">
        <v>8273</v>
      </c>
      <c r="H3614" s="1" t="s">
        <v>45</v>
      </c>
      <c r="I3614" s="1" t="s">
        <v>45</v>
      </c>
      <c r="J3614" s="1" t="s">
        <v>48</v>
      </c>
      <c r="K3614" s="1">
        <v>56</v>
      </c>
      <c r="L3614" s="1">
        <v>0</v>
      </c>
      <c r="M3614" s="1">
        <v>0</v>
      </c>
      <c r="N3614" s="1">
        <v>56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 t="s">
        <v>49</v>
      </c>
      <c r="AA3614" s="1" t="s">
        <v>49</v>
      </c>
      <c r="AB3614" s="1" t="s">
        <v>49</v>
      </c>
      <c r="AC3614" s="1" t="s">
        <v>6911</v>
      </c>
      <c r="AD3614" s="1" t="s">
        <v>6938</v>
      </c>
      <c r="AE3614" s="1" t="s">
        <v>6911</v>
      </c>
      <c r="AF3614" s="1" t="s">
        <v>49</v>
      </c>
      <c r="AG3614" s="1" t="s">
        <v>3464</v>
      </c>
      <c r="AH3614" s="1" t="s">
        <v>49</v>
      </c>
      <c r="AI3614" s="1" t="s">
        <v>54</v>
      </c>
      <c r="AJ3614" s="1">
        <v>1</v>
      </c>
      <c r="AK3614" s="1" t="str">
        <f t="shared" si="56"/>
        <v xml:space="preserve"> =&lt;90</v>
      </c>
      <c r="AL3614" s="1" t="str">
        <f>VLOOKUP(C:C,[1]基础信息!B$1:D$65536,3,0)</f>
        <v>Jug</v>
      </c>
      <c r="AM3614" s="1" t="str">
        <f>VLOOKUP(C:C,[1]基础信息!B$1:E$65536,4,0)</f>
        <v>Mxplus</v>
      </c>
      <c r="AN3614" s="1" t="str">
        <f>VLOOKUP(C:C,[1]基础信息!B$1:F$65536,5,0)</f>
        <v>Blue</v>
      </c>
    </row>
    <row r="3615" spans="1:40">
      <c r="A3615" s="1" t="s">
        <v>41</v>
      </c>
      <c r="B3615" s="1" t="s">
        <v>42</v>
      </c>
      <c r="C3615" s="1" t="s">
        <v>3971</v>
      </c>
      <c r="D3615" s="1" t="s">
        <v>3972</v>
      </c>
      <c r="E3615" s="1" t="s">
        <v>45</v>
      </c>
      <c r="F3615" s="1" t="s">
        <v>8274</v>
      </c>
      <c r="G3615" s="1" t="s">
        <v>8275</v>
      </c>
      <c r="H3615" s="1" t="s">
        <v>45</v>
      </c>
      <c r="I3615" s="1" t="s">
        <v>45</v>
      </c>
      <c r="J3615" s="1" t="s">
        <v>48</v>
      </c>
      <c r="K3615" s="1">
        <v>35</v>
      </c>
      <c r="L3615" s="1">
        <v>0</v>
      </c>
      <c r="M3615" s="1">
        <v>0</v>
      </c>
      <c r="N3615" s="1">
        <v>35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 t="s">
        <v>49</v>
      </c>
      <c r="AA3615" s="1" t="s">
        <v>49</v>
      </c>
      <c r="AB3615" s="1" t="s">
        <v>49</v>
      </c>
      <c r="AC3615" s="1" t="s">
        <v>6911</v>
      </c>
      <c r="AD3615" s="1" t="s">
        <v>6938</v>
      </c>
      <c r="AE3615" s="1" t="s">
        <v>6911</v>
      </c>
      <c r="AF3615" s="1" t="s">
        <v>49</v>
      </c>
      <c r="AG3615" s="1" t="s">
        <v>3464</v>
      </c>
      <c r="AH3615" s="1" t="s">
        <v>49</v>
      </c>
      <c r="AI3615" s="1" t="s">
        <v>54</v>
      </c>
      <c r="AJ3615" s="1">
        <v>1</v>
      </c>
      <c r="AK3615" s="1" t="str">
        <f t="shared" si="56"/>
        <v xml:space="preserve"> =&lt;90</v>
      </c>
      <c r="AL3615" s="1" t="str">
        <f>VLOOKUP(C:C,[1]基础信息!B$1:D$65536,3,0)</f>
        <v>Jug</v>
      </c>
      <c r="AM3615" s="1" t="str">
        <f>VLOOKUP(C:C,[1]基础信息!B$1:E$65536,4,0)</f>
        <v>Mxplus</v>
      </c>
      <c r="AN3615" s="1" t="str">
        <f>VLOOKUP(C:C,[1]基础信息!B$1:F$65536,5,0)</f>
        <v xml:space="preserve"> lime</v>
      </c>
    </row>
    <row r="3616" spans="1:40">
      <c r="A3616" s="1" t="s">
        <v>41</v>
      </c>
      <c r="B3616" s="1" t="s">
        <v>42</v>
      </c>
      <c r="C3616" s="1" t="s">
        <v>4342</v>
      </c>
      <c r="D3616" s="1" t="s">
        <v>4343</v>
      </c>
      <c r="E3616" s="1" t="s">
        <v>45</v>
      </c>
      <c r="F3616" s="1" t="s">
        <v>8276</v>
      </c>
      <c r="G3616" s="1" t="s">
        <v>8277</v>
      </c>
      <c r="H3616" s="1" t="s">
        <v>45</v>
      </c>
      <c r="I3616" s="1" t="s">
        <v>45</v>
      </c>
      <c r="J3616" s="1" t="s">
        <v>48</v>
      </c>
      <c r="K3616" s="1">
        <v>540</v>
      </c>
      <c r="L3616" s="1">
        <v>0</v>
      </c>
      <c r="M3616" s="1">
        <v>0</v>
      </c>
      <c r="N3616" s="1">
        <v>540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 t="s">
        <v>49</v>
      </c>
      <c r="AA3616" s="1" t="s">
        <v>49</v>
      </c>
      <c r="AB3616" s="1" t="s">
        <v>49</v>
      </c>
      <c r="AC3616" s="1" t="s">
        <v>7841</v>
      </c>
      <c r="AD3616" s="1" t="s">
        <v>7842</v>
      </c>
      <c r="AE3616" s="1" t="s">
        <v>7841</v>
      </c>
      <c r="AF3616" s="1" t="s">
        <v>7122</v>
      </c>
      <c r="AG3616" s="1" t="s">
        <v>53</v>
      </c>
      <c r="AH3616" s="1" t="s">
        <v>49</v>
      </c>
      <c r="AI3616" s="1" t="s">
        <v>54</v>
      </c>
      <c r="AJ3616" s="1">
        <v>1</v>
      </c>
      <c r="AK3616" s="1" t="str">
        <f t="shared" si="56"/>
        <v xml:space="preserve"> =&lt;90</v>
      </c>
      <c r="AL3616" s="1" t="e">
        <f>VLOOKUP(C:C,[1]基础信息!B$1:D$65536,3,0)</f>
        <v>#N/A</v>
      </c>
      <c r="AM3616" s="1" t="e">
        <f>VLOOKUP(C:C,[1]基础信息!B$1:E$65536,4,0)</f>
        <v>#N/A</v>
      </c>
      <c r="AN3616" s="1" t="e">
        <f>VLOOKUP(C:C,[1]基础信息!B$1:F$65536,5,0)</f>
        <v>#N/A</v>
      </c>
    </row>
    <row r="3617" spans="1:40">
      <c r="A3617" s="1" t="s">
        <v>41</v>
      </c>
      <c r="B3617" s="1" t="s">
        <v>42</v>
      </c>
      <c r="C3617" s="1" t="s">
        <v>5254</v>
      </c>
      <c r="D3617" s="1" t="s">
        <v>5255</v>
      </c>
      <c r="E3617" s="1" t="s">
        <v>45</v>
      </c>
      <c r="F3617" s="1" t="s">
        <v>8159</v>
      </c>
      <c r="G3617" s="1" t="s">
        <v>8278</v>
      </c>
      <c r="H3617" s="1" t="s">
        <v>45</v>
      </c>
      <c r="I3617" s="1" t="s">
        <v>45</v>
      </c>
      <c r="J3617" s="1" t="s">
        <v>48</v>
      </c>
      <c r="K3617" s="1">
        <v>2200</v>
      </c>
      <c r="L3617" s="1">
        <v>0</v>
      </c>
      <c r="M3617" s="1">
        <v>0</v>
      </c>
      <c r="N3617" s="1">
        <v>2200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 t="s">
        <v>49</v>
      </c>
      <c r="AA3617" s="1" t="s">
        <v>49</v>
      </c>
      <c r="AB3617" s="1" t="s">
        <v>49</v>
      </c>
      <c r="AC3617" s="1" t="s">
        <v>416</v>
      </c>
      <c r="AD3617" s="1" t="s">
        <v>8161</v>
      </c>
      <c r="AE3617" s="1" t="s">
        <v>416</v>
      </c>
      <c r="AF3617" s="1" t="s">
        <v>49</v>
      </c>
      <c r="AG3617" s="1" t="s">
        <v>3464</v>
      </c>
      <c r="AH3617" s="1" t="s">
        <v>49</v>
      </c>
      <c r="AI3617" s="1" t="s">
        <v>54</v>
      </c>
      <c r="AJ3617" s="1">
        <v>1</v>
      </c>
      <c r="AK3617" s="1" t="str">
        <f t="shared" si="56"/>
        <v xml:space="preserve"> =&lt;90</v>
      </c>
      <c r="AL3617" s="1" t="str">
        <f>VLOOKUP(C:C,[1]基础信息!B$1:D$65536,3,0)</f>
        <v xml:space="preserve">Cartridge </v>
      </c>
      <c r="AM3617" s="1" t="str">
        <f>VLOOKUP(C:C,[1]基础信息!B$1:E$65536,4,0)</f>
        <v>UNIV</v>
      </c>
      <c r="AN3617" s="1" t="str">
        <f>VLOOKUP(C:C,[1]基础信息!B$1:F$65536,5,0)</f>
        <v>P55</v>
      </c>
    </row>
    <row r="3618" spans="1:40">
      <c r="A3618" s="1" t="s">
        <v>41</v>
      </c>
      <c r="B3618" s="1" t="s">
        <v>42</v>
      </c>
      <c r="C3618" s="1" t="s">
        <v>4342</v>
      </c>
      <c r="D3618" s="1" t="s">
        <v>4343</v>
      </c>
      <c r="E3618" s="1" t="s">
        <v>45</v>
      </c>
      <c r="F3618" s="1" t="s">
        <v>8276</v>
      </c>
      <c r="G3618" s="1" t="s">
        <v>8279</v>
      </c>
      <c r="H3618" s="1" t="s">
        <v>45</v>
      </c>
      <c r="I3618" s="1" t="s">
        <v>45</v>
      </c>
      <c r="J3618" s="1" t="s">
        <v>48</v>
      </c>
      <c r="K3618" s="1">
        <v>539</v>
      </c>
      <c r="L3618" s="1">
        <v>0</v>
      </c>
      <c r="M3618" s="1">
        <v>0</v>
      </c>
      <c r="N3618" s="1">
        <v>539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 t="s">
        <v>49</v>
      </c>
      <c r="AA3618" s="1" t="s">
        <v>49</v>
      </c>
      <c r="AB3618" s="1" t="s">
        <v>49</v>
      </c>
      <c r="AC3618" s="1" t="s">
        <v>7841</v>
      </c>
      <c r="AD3618" s="1" t="s">
        <v>7842</v>
      </c>
      <c r="AE3618" s="1" t="s">
        <v>7841</v>
      </c>
      <c r="AF3618" s="1" t="s">
        <v>7122</v>
      </c>
      <c r="AG3618" s="1" t="s">
        <v>53</v>
      </c>
      <c r="AH3618" s="1" t="s">
        <v>49</v>
      </c>
      <c r="AI3618" s="1" t="s">
        <v>54</v>
      </c>
      <c r="AJ3618" s="1">
        <v>1</v>
      </c>
      <c r="AK3618" s="1" t="str">
        <f t="shared" si="56"/>
        <v xml:space="preserve"> =&lt;90</v>
      </c>
      <c r="AL3618" s="1" t="e">
        <f>VLOOKUP(C:C,[1]基础信息!B$1:D$65536,3,0)</f>
        <v>#N/A</v>
      </c>
      <c r="AM3618" s="1" t="e">
        <f>VLOOKUP(C:C,[1]基础信息!B$1:E$65536,4,0)</f>
        <v>#N/A</v>
      </c>
      <c r="AN3618" s="1" t="e">
        <f>VLOOKUP(C:C,[1]基础信息!B$1:F$65536,5,0)</f>
        <v>#N/A</v>
      </c>
    </row>
    <row r="3619" spans="1:40">
      <c r="A3619" s="1" t="s">
        <v>41</v>
      </c>
      <c r="B3619" s="1" t="s">
        <v>42</v>
      </c>
      <c r="C3619" s="1" t="s">
        <v>5105</v>
      </c>
      <c r="D3619" s="1" t="s">
        <v>5106</v>
      </c>
      <c r="E3619" s="1" t="s">
        <v>5105</v>
      </c>
      <c r="F3619" s="1" t="s">
        <v>8280</v>
      </c>
      <c r="G3619" s="1" t="s">
        <v>8281</v>
      </c>
      <c r="H3619" s="1" t="s">
        <v>45</v>
      </c>
      <c r="I3619" s="1" t="s">
        <v>45</v>
      </c>
      <c r="J3619" s="1" t="s">
        <v>48</v>
      </c>
      <c r="K3619" s="1">
        <v>6</v>
      </c>
      <c r="L3619" s="1">
        <v>0</v>
      </c>
      <c r="M3619" s="1">
        <v>0</v>
      </c>
      <c r="N3619" s="1">
        <v>6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 t="s">
        <v>49</v>
      </c>
      <c r="AA3619" s="1" t="s">
        <v>49</v>
      </c>
      <c r="AB3619" s="1" t="s">
        <v>49</v>
      </c>
      <c r="AC3619" s="1" t="s">
        <v>5506</v>
      </c>
      <c r="AD3619" s="1" t="s">
        <v>5507</v>
      </c>
      <c r="AE3619" s="1" t="s">
        <v>8263</v>
      </c>
      <c r="AF3619" s="1" t="s">
        <v>8282</v>
      </c>
      <c r="AG3619" s="1" t="s">
        <v>3464</v>
      </c>
      <c r="AH3619" s="1" t="s">
        <v>49</v>
      </c>
      <c r="AI3619" s="1" t="s">
        <v>54</v>
      </c>
      <c r="AJ3619" s="1">
        <v>1</v>
      </c>
      <c r="AK3619" s="1" t="str">
        <f t="shared" si="56"/>
        <v xml:space="preserve"> =&lt;90</v>
      </c>
      <c r="AL3619" s="1" t="str">
        <f>VLOOKUP(C:C,[1]基础信息!B$1:D$65536,3,0)</f>
        <v>UTS</v>
      </c>
      <c r="AM3619" s="1" t="str">
        <f>VLOOKUP(C:C,[1]基础信息!B$1:E$65536,4,0)</f>
        <v>MyPure Pro</v>
      </c>
      <c r="AN3619" s="1" t="str">
        <f>VLOOKUP(C:C,[1]基础信息!B$1:F$65536,5,0)</f>
        <v>X3</v>
      </c>
    </row>
    <row r="3620" spans="1:40">
      <c r="A3620" s="1" t="s">
        <v>41</v>
      </c>
      <c r="B3620" s="1" t="s">
        <v>42</v>
      </c>
      <c r="C3620" s="1" t="s">
        <v>4077</v>
      </c>
      <c r="D3620" s="1" t="s">
        <v>4078</v>
      </c>
      <c r="E3620" s="1" t="s">
        <v>45</v>
      </c>
      <c r="F3620" s="1" t="s">
        <v>8283</v>
      </c>
      <c r="G3620" s="1" t="s">
        <v>8284</v>
      </c>
      <c r="H3620" s="1" t="s">
        <v>45</v>
      </c>
      <c r="I3620" s="1" t="s">
        <v>45</v>
      </c>
      <c r="J3620" s="1" t="s">
        <v>48</v>
      </c>
      <c r="K3620" s="1">
        <v>2</v>
      </c>
      <c r="L3620" s="1">
        <v>0</v>
      </c>
      <c r="M3620" s="1">
        <v>0</v>
      </c>
      <c r="N3620" s="1">
        <v>2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 t="s">
        <v>49</v>
      </c>
      <c r="AA3620" s="1" t="s">
        <v>49</v>
      </c>
      <c r="AB3620" s="1" t="s">
        <v>49</v>
      </c>
      <c r="AC3620" s="1" t="s">
        <v>6911</v>
      </c>
      <c r="AD3620" s="1" t="s">
        <v>6938</v>
      </c>
      <c r="AE3620" s="1" t="s">
        <v>6911</v>
      </c>
      <c r="AF3620" s="1" t="s">
        <v>49</v>
      </c>
      <c r="AG3620" s="1" t="s">
        <v>3464</v>
      </c>
      <c r="AH3620" s="1" t="s">
        <v>49</v>
      </c>
      <c r="AI3620" s="1" t="s">
        <v>54</v>
      </c>
      <c r="AJ3620" s="1">
        <v>0</v>
      </c>
      <c r="AK3620" s="1" t="str">
        <f t="shared" si="56"/>
        <v xml:space="preserve"> =&lt;90</v>
      </c>
      <c r="AL3620" s="1" t="str">
        <f>VLOOKUP(C:C,[1]基础信息!B$1:D$65536,3,0)</f>
        <v>UTS</v>
      </c>
      <c r="AM3620" s="1" t="str">
        <f>VLOOKUP(C:C,[1]基础信息!B$1:E$65536,4,0)</f>
        <v>RO</v>
      </c>
      <c r="AN3620" s="1" t="str">
        <f>VLOOKUP(C:C,[1]基础信息!B$1:F$65536,5,0)</f>
        <v>Starry Grey Color</v>
      </c>
    </row>
    <row r="3621" spans="1:40">
      <c r="A3621" s="1" t="s">
        <v>41</v>
      </c>
      <c r="B3621" s="1" t="s">
        <v>42</v>
      </c>
      <c r="C3621" s="1" t="s">
        <v>451</v>
      </c>
      <c r="D3621" s="1" t="s">
        <v>452</v>
      </c>
      <c r="E3621" s="1" t="s">
        <v>45</v>
      </c>
      <c r="F3621" s="1" t="s">
        <v>8285</v>
      </c>
      <c r="G3621" s="1" t="s">
        <v>8284</v>
      </c>
      <c r="H3621" s="1" t="s">
        <v>45</v>
      </c>
      <c r="I3621" s="1" t="s">
        <v>45</v>
      </c>
      <c r="J3621" s="1" t="s">
        <v>48</v>
      </c>
      <c r="K3621" s="1">
        <v>3</v>
      </c>
      <c r="L3621" s="1">
        <v>0</v>
      </c>
      <c r="M3621" s="1">
        <v>0</v>
      </c>
      <c r="N3621" s="1">
        <v>3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 t="s">
        <v>49</v>
      </c>
      <c r="AA3621" s="1" t="s">
        <v>49</v>
      </c>
      <c r="AB3621" s="1" t="s">
        <v>49</v>
      </c>
      <c r="AC3621" s="1" t="s">
        <v>6911</v>
      </c>
      <c r="AD3621" s="1" t="s">
        <v>6938</v>
      </c>
      <c r="AE3621" s="1" t="s">
        <v>6911</v>
      </c>
      <c r="AF3621" s="1" t="s">
        <v>49</v>
      </c>
      <c r="AG3621" s="1" t="s">
        <v>7747</v>
      </c>
      <c r="AH3621" s="1" t="s">
        <v>49</v>
      </c>
      <c r="AI3621" s="1" t="s">
        <v>54</v>
      </c>
      <c r="AJ3621" s="1">
        <v>1</v>
      </c>
      <c r="AK3621" s="1" t="str">
        <f t="shared" si="56"/>
        <v xml:space="preserve"> =&lt;90</v>
      </c>
      <c r="AL3621" s="1" t="str">
        <f>VLOOKUP(C:C,[1]基础信息!B$1:D$65536,3,0)</f>
        <v>UTS</v>
      </c>
      <c r="AM3621" s="1" t="str">
        <f>VLOOKUP(C:C,[1]基础信息!B$1:E$65536,4,0)</f>
        <v>MyPure</v>
      </c>
      <c r="AN3621" s="1" t="str">
        <f>VLOOKUP(C:C,[1]基础信息!B$1:F$65536,5,0)</f>
        <v>R8</v>
      </c>
    </row>
    <row r="3622" spans="1:40">
      <c r="A3622" s="1" t="s">
        <v>41</v>
      </c>
      <c r="B3622" s="1" t="s">
        <v>42</v>
      </c>
      <c r="C3622" s="1" t="s">
        <v>3512</v>
      </c>
      <c r="D3622" s="1" t="s">
        <v>3513</v>
      </c>
      <c r="E3622" s="1" t="s">
        <v>45</v>
      </c>
      <c r="F3622" s="1" t="s">
        <v>8286</v>
      </c>
      <c r="G3622" s="1" t="s">
        <v>8287</v>
      </c>
      <c r="H3622" s="1" t="s">
        <v>45</v>
      </c>
      <c r="I3622" s="1" t="s">
        <v>45</v>
      </c>
      <c r="J3622" s="1" t="s">
        <v>48</v>
      </c>
      <c r="K3622" s="1">
        <v>44</v>
      </c>
      <c r="L3622" s="1">
        <v>0</v>
      </c>
      <c r="M3622" s="1">
        <v>0</v>
      </c>
      <c r="N3622" s="1">
        <v>44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 t="s">
        <v>49</v>
      </c>
      <c r="AA3622" s="1" t="s">
        <v>49</v>
      </c>
      <c r="AB3622" s="1" t="s">
        <v>49</v>
      </c>
      <c r="AC3622" s="1" t="s">
        <v>6911</v>
      </c>
      <c r="AD3622" s="1" t="s">
        <v>6938</v>
      </c>
      <c r="AE3622" s="1" t="s">
        <v>6911</v>
      </c>
      <c r="AF3622" s="1" t="s">
        <v>49</v>
      </c>
      <c r="AG3622" s="1" t="s">
        <v>3464</v>
      </c>
      <c r="AH3622" s="1" t="s">
        <v>49</v>
      </c>
      <c r="AI3622" s="1" t="s">
        <v>54</v>
      </c>
      <c r="AJ3622" s="1">
        <v>1</v>
      </c>
      <c r="AK3622" s="1" t="str">
        <f t="shared" si="56"/>
        <v xml:space="preserve"> =&lt;90</v>
      </c>
      <c r="AL3622" s="1" t="str">
        <f>VLOOKUP(C:C,[1]基础信息!B$1:D$65536,3,0)</f>
        <v xml:space="preserve">Cartridge </v>
      </c>
      <c r="AM3622" s="1" t="str">
        <f>VLOOKUP(C:C,[1]基础信息!B$1:E$65536,4,0)</f>
        <v>UNIV</v>
      </c>
      <c r="AN3622" s="1" t="str">
        <f>VLOOKUP(C:C,[1]基础信息!B$1:F$65536,5,0)</f>
        <v>P3</v>
      </c>
    </row>
    <row r="3623" spans="1:40">
      <c r="A3623" s="1" t="s">
        <v>41</v>
      </c>
      <c r="B3623" s="1" t="s">
        <v>42</v>
      </c>
      <c r="C3623" s="1" t="s">
        <v>8190</v>
      </c>
      <c r="D3623" s="1" t="s">
        <v>8191</v>
      </c>
      <c r="E3623" s="1" t="s">
        <v>45</v>
      </c>
      <c r="F3623" s="1" t="s">
        <v>8204</v>
      </c>
      <c r="G3623" s="1" t="s">
        <v>8288</v>
      </c>
      <c r="H3623" s="1" t="s">
        <v>45</v>
      </c>
      <c r="I3623" s="1" t="s">
        <v>45</v>
      </c>
      <c r="J3623" s="1" t="s">
        <v>48</v>
      </c>
      <c r="K3623" s="1">
        <v>7</v>
      </c>
      <c r="L3623" s="1">
        <v>0</v>
      </c>
      <c r="M3623" s="1">
        <v>0</v>
      </c>
      <c r="N3623" s="1">
        <v>7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 t="s">
        <v>49</v>
      </c>
      <c r="AA3623" s="1" t="s">
        <v>49</v>
      </c>
      <c r="AB3623" s="1" t="s">
        <v>49</v>
      </c>
      <c r="AC3623" s="1" t="s">
        <v>6911</v>
      </c>
      <c r="AD3623" s="1" t="s">
        <v>6938</v>
      </c>
      <c r="AE3623" s="1" t="s">
        <v>6911</v>
      </c>
      <c r="AF3623" s="1" t="s">
        <v>49</v>
      </c>
      <c r="AG3623" s="1" t="s">
        <v>3464</v>
      </c>
      <c r="AH3623" s="1" t="s">
        <v>49</v>
      </c>
      <c r="AI3623" s="1" t="s">
        <v>54</v>
      </c>
      <c r="AJ3623" s="1">
        <v>0</v>
      </c>
      <c r="AK3623" s="1" t="str">
        <f t="shared" si="56"/>
        <v xml:space="preserve"> =&lt;90</v>
      </c>
      <c r="AL3623" s="1" t="str">
        <f>VLOOKUP(C:C,[1]基础信息!B$1:D$65536,3,0)</f>
        <v xml:space="preserve">Cartridge </v>
      </c>
      <c r="AM3623" s="1" t="str">
        <f>VLOOKUP(C:C,[1]基础信息!B$1:E$65536,4,0)</f>
        <v>LM</v>
      </c>
      <c r="AN3623" s="1" t="str">
        <f>VLOOKUP(C:C,[1]基础信息!B$1:F$65536,5,0)</f>
        <v>P6</v>
      </c>
    </row>
    <row r="3624" spans="1:40">
      <c r="A3624" s="1" t="s">
        <v>41</v>
      </c>
      <c r="B3624" s="1" t="s">
        <v>42</v>
      </c>
      <c r="C3624" s="1" t="s">
        <v>6106</v>
      </c>
      <c r="D3624" s="1" t="s">
        <v>6107</v>
      </c>
      <c r="E3624" s="1" t="s">
        <v>45</v>
      </c>
      <c r="F3624" s="1" t="s">
        <v>8289</v>
      </c>
      <c r="G3624" s="1" t="s">
        <v>8288</v>
      </c>
      <c r="H3624" s="1" t="s">
        <v>45</v>
      </c>
      <c r="I3624" s="1" t="s">
        <v>45</v>
      </c>
      <c r="J3624" s="1" t="s">
        <v>48</v>
      </c>
      <c r="K3624" s="1">
        <v>51</v>
      </c>
      <c r="L3624" s="1">
        <v>0</v>
      </c>
      <c r="M3624" s="1">
        <v>0</v>
      </c>
      <c r="N3624" s="1">
        <v>51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 t="s">
        <v>49</v>
      </c>
      <c r="AA3624" s="1" t="s">
        <v>49</v>
      </c>
      <c r="AB3624" s="1" t="s">
        <v>49</v>
      </c>
      <c r="AC3624" s="1" t="s">
        <v>6911</v>
      </c>
      <c r="AD3624" s="1" t="s">
        <v>6938</v>
      </c>
      <c r="AE3624" s="1" t="s">
        <v>6911</v>
      </c>
      <c r="AF3624" s="1" t="s">
        <v>49</v>
      </c>
      <c r="AG3624" s="1" t="s">
        <v>3464</v>
      </c>
      <c r="AH3624" s="1" t="s">
        <v>49</v>
      </c>
      <c r="AI3624" s="1" t="s">
        <v>54</v>
      </c>
      <c r="AJ3624" s="1">
        <v>1</v>
      </c>
      <c r="AK3624" s="1" t="str">
        <f t="shared" si="56"/>
        <v xml:space="preserve"> =&lt;90</v>
      </c>
      <c r="AL3624" s="1" t="str">
        <f>VLOOKUP(C:C,[1]基础信息!B$1:D$65536,3,0)</f>
        <v>On tap</v>
      </c>
      <c r="AM3624" s="1" t="str">
        <f>VLOOKUP(C:C,[1]基础信息!B$1:E$65536,4,0)</f>
        <v>On tap</v>
      </c>
      <c r="AN3624" s="1" t="str">
        <f>VLOOKUP(C:C,[1]基础信息!B$1:F$65536,5,0)</f>
        <v>Refill</v>
      </c>
    </row>
    <row r="3625" spans="1:40">
      <c r="A3625" s="1" t="s">
        <v>41</v>
      </c>
      <c r="B3625" s="1" t="s">
        <v>42</v>
      </c>
      <c r="C3625" s="1" t="s">
        <v>7818</v>
      </c>
      <c r="D3625" s="1" t="s">
        <v>7819</v>
      </c>
      <c r="E3625" s="1" t="s">
        <v>45</v>
      </c>
      <c r="F3625" s="1" t="s">
        <v>8290</v>
      </c>
      <c r="G3625" s="1" t="s">
        <v>8291</v>
      </c>
      <c r="H3625" s="1" t="s">
        <v>45</v>
      </c>
      <c r="I3625" s="1" t="s">
        <v>45</v>
      </c>
      <c r="J3625" s="1" t="s">
        <v>48</v>
      </c>
      <c r="K3625" s="1">
        <v>8</v>
      </c>
      <c r="L3625" s="1">
        <v>0</v>
      </c>
      <c r="M3625" s="1">
        <v>0</v>
      </c>
      <c r="N3625" s="1">
        <v>8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 t="s">
        <v>49</v>
      </c>
      <c r="AA3625" s="1" t="s">
        <v>49</v>
      </c>
      <c r="AB3625" s="1" t="s">
        <v>49</v>
      </c>
      <c r="AC3625" s="1" t="s">
        <v>6911</v>
      </c>
      <c r="AD3625" s="1" t="s">
        <v>6938</v>
      </c>
      <c r="AE3625" s="1" t="s">
        <v>6911</v>
      </c>
      <c r="AF3625" s="1" t="s">
        <v>49</v>
      </c>
      <c r="AG3625" s="1" t="s">
        <v>3464</v>
      </c>
      <c r="AH3625" s="1" t="s">
        <v>49</v>
      </c>
      <c r="AI3625" s="1" t="s">
        <v>54</v>
      </c>
      <c r="AJ3625" s="1">
        <v>0</v>
      </c>
      <c r="AK3625" s="1" t="str">
        <f t="shared" si="56"/>
        <v xml:space="preserve"> =&lt;90</v>
      </c>
      <c r="AL3625" s="1" t="str">
        <f>VLOOKUP(C:C,[1]基础信息!B$1:D$65536,3,0)</f>
        <v xml:space="preserve">Cartridge </v>
      </c>
      <c r="AM3625" s="1" t="str">
        <f>VLOOKUP(C:C,[1]基础信息!B$1:E$65536,4,0)</f>
        <v>LM</v>
      </c>
      <c r="AN3625" s="1" t="str">
        <f>VLOOKUP(C:C,[1]基础信息!B$1:F$65536,5,0)</f>
        <v>P1</v>
      </c>
    </row>
    <row r="3626" spans="1:40">
      <c r="A3626" s="1" t="s">
        <v>41</v>
      </c>
      <c r="B3626" s="1" t="s">
        <v>42</v>
      </c>
      <c r="C3626" s="1" t="s">
        <v>1437</v>
      </c>
      <c r="D3626" s="1" t="s">
        <v>1438</v>
      </c>
      <c r="E3626" s="1" t="s">
        <v>45</v>
      </c>
      <c r="F3626" s="1" t="s">
        <v>8292</v>
      </c>
      <c r="G3626" s="1" t="s">
        <v>8291</v>
      </c>
      <c r="H3626" s="1" t="s">
        <v>45</v>
      </c>
      <c r="I3626" s="1" t="s">
        <v>45</v>
      </c>
      <c r="J3626" s="1" t="s">
        <v>48</v>
      </c>
      <c r="K3626" s="1">
        <v>15</v>
      </c>
      <c r="L3626" s="1">
        <v>0</v>
      </c>
      <c r="M3626" s="1">
        <v>0</v>
      </c>
      <c r="N3626" s="1">
        <v>15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 t="s">
        <v>49</v>
      </c>
      <c r="AA3626" s="1" t="s">
        <v>49</v>
      </c>
      <c r="AB3626" s="1" t="s">
        <v>49</v>
      </c>
      <c r="AC3626" s="1" t="s">
        <v>6911</v>
      </c>
      <c r="AD3626" s="1" t="s">
        <v>6938</v>
      </c>
      <c r="AE3626" s="1" t="s">
        <v>6911</v>
      </c>
      <c r="AF3626" s="1" t="s">
        <v>49</v>
      </c>
      <c r="AG3626" s="1" t="s">
        <v>3464</v>
      </c>
      <c r="AH3626" s="1" t="s">
        <v>49</v>
      </c>
      <c r="AI3626" s="1" t="s">
        <v>54</v>
      </c>
      <c r="AJ3626" s="1">
        <v>0</v>
      </c>
      <c r="AK3626" s="1" t="str">
        <f t="shared" si="56"/>
        <v xml:space="preserve"> =&lt;90</v>
      </c>
      <c r="AL3626" s="1" t="str">
        <f>VLOOKUP(C:C,[1]基础信息!B$1:D$65536,3,0)</f>
        <v>On tap</v>
      </c>
      <c r="AM3626" s="1" t="str">
        <f>VLOOKUP(C:C,[1]基础信息!B$1:E$65536,4,0)</f>
        <v>On tap</v>
      </c>
      <c r="AN3626" s="1" t="str">
        <f>VLOOKUP(C:C,[1]基础信息!B$1:F$65536,5,0)</f>
        <v>On tap</v>
      </c>
    </row>
    <row r="3627" spans="1:40">
      <c r="A3627" s="1" t="s">
        <v>41</v>
      </c>
      <c r="B3627" s="1" t="s">
        <v>42</v>
      </c>
      <c r="C3627" s="1" t="s">
        <v>7852</v>
      </c>
      <c r="D3627" s="1" t="s">
        <v>7853</v>
      </c>
      <c r="E3627" s="1" t="s">
        <v>45</v>
      </c>
      <c r="F3627" s="1" t="s">
        <v>8293</v>
      </c>
      <c r="G3627" s="1" t="s">
        <v>8291</v>
      </c>
      <c r="H3627" s="1" t="s">
        <v>45</v>
      </c>
      <c r="I3627" s="1" t="s">
        <v>45</v>
      </c>
      <c r="J3627" s="1" t="s">
        <v>48</v>
      </c>
      <c r="K3627" s="1">
        <v>5</v>
      </c>
      <c r="L3627" s="1">
        <v>0</v>
      </c>
      <c r="M3627" s="1">
        <v>0</v>
      </c>
      <c r="N3627" s="1">
        <v>5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 t="s">
        <v>49</v>
      </c>
      <c r="AA3627" s="1" t="s">
        <v>49</v>
      </c>
      <c r="AB3627" s="1" t="s">
        <v>49</v>
      </c>
      <c r="AC3627" s="1" t="s">
        <v>6911</v>
      </c>
      <c r="AD3627" s="1" t="s">
        <v>6938</v>
      </c>
      <c r="AE3627" s="1" t="s">
        <v>6911</v>
      </c>
      <c r="AF3627" s="1" t="s">
        <v>49</v>
      </c>
      <c r="AG3627" s="1" t="s">
        <v>3464</v>
      </c>
      <c r="AH3627" s="1" t="s">
        <v>49</v>
      </c>
      <c r="AI3627" s="1" t="s">
        <v>54</v>
      </c>
      <c r="AJ3627" s="1">
        <v>0</v>
      </c>
      <c r="AK3627" s="1" t="str">
        <f t="shared" ref="AK3627:AK3690" si="57">IF(AJ3627&gt;$AP$2,$AQ$2,IF(AJ3627&gt;$AP$3,$AQ$3,IF(AJ3627&gt;$AP$4,$AQ$4,$AQ$5)))</f>
        <v xml:space="preserve"> =&lt;90</v>
      </c>
      <c r="AL3627" s="1" t="str">
        <f>VLOOKUP(C:C,[1]基础信息!B$1:D$65536,3,0)</f>
        <v xml:space="preserve">Cartridge </v>
      </c>
      <c r="AM3627" s="1" t="str">
        <f>VLOOKUP(C:C,[1]基础信息!B$1:E$65536,4,0)</f>
        <v>LM</v>
      </c>
      <c r="AN3627" s="1" t="str">
        <f>VLOOKUP(C:C,[1]基础信息!B$1:F$65536,5,0)</f>
        <v>P3</v>
      </c>
    </row>
    <row r="3628" spans="1:40">
      <c r="A3628" s="1" t="s">
        <v>41</v>
      </c>
      <c r="B3628" s="1" t="s">
        <v>42</v>
      </c>
      <c r="C3628" s="1" t="s">
        <v>522</v>
      </c>
      <c r="D3628" s="1" t="s">
        <v>523</v>
      </c>
      <c r="E3628" s="1" t="s">
        <v>45</v>
      </c>
      <c r="F3628" s="1" t="s">
        <v>8294</v>
      </c>
      <c r="G3628" s="1" t="s">
        <v>8291</v>
      </c>
      <c r="H3628" s="1" t="s">
        <v>45</v>
      </c>
      <c r="I3628" s="1" t="s">
        <v>45</v>
      </c>
      <c r="J3628" s="1" t="s">
        <v>48</v>
      </c>
      <c r="K3628" s="1">
        <v>1</v>
      </c>
      <c r="L3628" s="1">
        <v>0</v>
      </c>
      <c r="M3628" s="1">
        <v>0</v>
      </c>
      <c r="N3628" s="1">
        <v>1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 t="s">
        <v>49</v>
      </c>
      <c r="AA3628" s="1" t="s">
        <v>49</v>
      </c>
      <c r="AB3628" s="1" t="s">
        <v>49</v>
      </c>
      <c r="AC3628" s="1" t="s">
        <v>6911</v>
      </c>
      <c r="AD3628" s="1" t="s">
        <v>6938</v>
      </c>
      <c r="AE3628" s="1" t="s">
        <v>6911</v>
      </c>
      <c r="AF3628" s="1" t="s">
        <v>49</v>
      </c>
      <c r="AG3628" s="1" t="s">
        <v>76</v>
      </c>
      <c r="AH3628" s="1" t="s">
        <v>49</v>
      </c>
      <c r="AI3628" s="1" t="s">
        <v>54</v>
      </c>
      <c r="AJ3628" s="1">
        <v>1</v>
      </c>
      <c r="AK3628" s="1" t="str">
        <f t="shared" si="57"/>
        <v xml:space="preserve"> =&lt;90</v>
      </c>
      <c r="AL3628" s="1" t="str">
        <f>VLOOKUP(C:C,[1]基础信息!B$1:D$65536,3,0)</f>
        <v>UTS</v>
      </c>
      <c r="AM3628" s="1" t="str">
        <f>VLOOKUP(C:C,[1]基础信息!B$1:E$65536,4,0)</f>
        <v>MyPure Pro</v>
      </c>
      <c r="AN3628" s="1" t="str">
        <f>VLOOKUP(C:C,[1]基础信息!B$1:F$65536,5,0)</f>
        <v>Refill</v>
      </c>
    </row>
    <row r="3629" spans="1:40">
      <c r="A3629" s="1" t="s">
        <v>41</v>
      </c>
      <c r="B3629" s="1" t="s">
        <v>42</v>
      </c>
      <c r="C3629" s="1" t="s">
        <v>1366</v>
      </c>
      <c r="D3629" s="1" t="s">
        <v>1367</v>
      </c>
      <c r="E3629" s="1" t="s">
        <v>45</v>
      </c>
      <c r="F3629" s="1" t="s">
        <v>8295</v>
      </c>
      <c r="G3629" s="1" t="s">
        <v>8296</v>
      </c>
      <c r="H3629" s="1" t="s">
        <v>45</v>
      </c>
      <c r="I3629" s="1" t="s">
        <v>45</v>
      </c>
      <c r="J3629" s="1" t="s">
        <v>48</v>
      </c>
      <c r="K3629" s="1">
        <v>14</v>
      </c>
      <c r="L3629" s="1">
        <v>0</v>
      </c>
      <c r="M3629" s="1">
        <v>0</v>
      </c>
      <c r="N3629" s="1">
        <v>14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 t="s">
        <v>49</v>
      </c>
      <c r="AA3629" s="1" t="s">
        <v>49</v>
      </c>
      <c r="AB3629" s="1" t="s">
        <v>49</v>
      </c>
      <c r="AC3629" s="1" t="s">
        <v>6911</v>
      </c>
      <c r="AD3629" s="1" t="s">
        <v>6938</v>
      </c>
      <c r="AE3629" s="1" t="s">
        <v>6911</v>
      </c>
      <c r="AF3629" s="1" t="s">
        <v>49</v>
      </c>
      <c r="AG3629" s="1" t="s">
        <v>7747</v>
      </c>
      <c r="AH3629" s="1" t="s">
        <v>49</v>
      </c>
      <c r="AI3629" s="1" t="s">
        <v>54</v>
      </c>
      <c r="AJ3629" s="1">
        <v>0</v>
      </c>
      <c r="AK3629" s="1" t="str">
        <f t="shared" si="57"/>
        <v xml:space="preserve"> =&lt;90</v>
      </c>
      <c r="AL3629" s="1" t="str">
        <f>VLOOKUP(C:C,[1]基础信息!B$1:D$65536,3,0)</f>
        <v>UTS</v>
      </c>
      <c r="AM3629" s="1" t="str">
        <f>VLOOKUP(C:C,[1]基础信息!B$1:E$65536,4,0)</f>
        <v>MyPure</v>
      </c>
      <c r="AN3629" s="1" t="str">
        <f>VLOOKUP(C:C,[1]基础信息!B$1:F$65536,5,0)</f>
        <v>Refill</v>
      </c>
    </row>
    <row r="3630" spans="1:40">
      <c r="A3630" s="1" t="s">
        <v>41</v>
      </c>
      <c r="B3630" s="1" t="s">
        <v>42</v>
      </c>
      <c r="C3630" s="1" t="s">
        <v>2628</v>
      </c>
      <c r="D3630" s="1" t="s">
        <v>2629</v>
      </c>
      <c r="E3630" s="1" t="s">
        <v>45</v>
      </c>
      <c r="F3630" s="1" t="s">
        <v>8297</v>
      </c>
      <c r="G3630" s="1" t="s">
        <v>8296</v>
      </c>
      <c r="H3630" s="1" t="s">
        <v>45</v>
      </c>
      <c r="I3630" s="1" t="s">
        <v>45</v>
      </c>
      <c r="J3630" s="1" t="s">
        <v>48</v>
      </c>
      <c r="K3630" s="1">
        <v>8</v>
      </c>
      <c r="L3630" s="1">
        <v>0</v>
      </c>
      <c r="M3630" s="1">
        <v>0</v>
      </c>
      <c r="N3630" s="1">
        <v>8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 t="s">
        <v>49</v>
      </c>
      <c r="AA3630" s="1" t="s">
        <v>49</v>
      </c>
      <c r="AB3630" s="1" t="s">
        <v>49</v>
      </c>
      <c r="AC3630" s="1" t="s">
        <v>6911</v>
      </c>
      <c r="AD3630" s="1" t="s">
        <v>6938</v>
      </c>
      <c r="AE3630" s="1" t="s">
        <v>6911</v>
      </c>
      <c r="AF3630" s="1" t="s">
        <v>49</v>
      </c>
      <c r="AG3630" s="1" t="s">
        <v>7747</v>
      </c>
      <c r="AH3630" s="1" t="s">
        <v>49</v>
      </c>
      <c r="AI3630" s="1" t="s">
        <v>54</v>
      </c>
      <c r="AJ3630" s="1">
        <v>0</v>
      </c>
      <c r="AK3630" s="1" t="str">
        <f t="shared" si="57"/>
        <v xml:space="preserve"> =&lt;90</v>
      </c>
      <c r="AL3630" s="1" t="str">
        <f>VLOOKUP(C:C,[1]基础信息!B$1:D$65536,3,0)</f>
        <v>UTS</v>
      </c>
      <c r="AM3630" s="1" t="str">
        <f>VLOOKUP(C:C,[1]基础信息!B$1:E$65536,4,0)</f>
        <v>MyPure</v>
      </c>
      <c r="AN3630" s="1" t="str">
        <f>VLOOKUP(C:C,[1]基础信息!B$1:F$65536,5,0)</f>
        <v>Refill</v>
      </c>
    </row>
    <row r="3631" spans="1:40">
      <c r="A3631" s="1" t="s">
        <v>41</v>
      </c>
      <c r="B3631" s="1" t="s">
        <v>42</v>
      </c>
      <c r="C3631" s="1" t="s">
        <v>1004</v>
      </c>
      <c r="D3631" s="1" t="s">
        <v>1005</v>
      </c>
      <c r="E3631" s="1" t="s">
        <v>1004</v>
      </c>
      <c r="F3631" s="1" t="s">
        <v>8298</v>
      </c>
      <c r="G3631" s="1" t="s">
        <v>8296</v>
      </c>
      <c r="H3631" s="1" t="s">
        <v>45</v>
      </c>
      <c r="I3631" s="1" t="s">
        <v>45</v>
      </c>
      <c r="J3631" s="1" t="s">
        <v>48</v>
      </c>
      <c r="K3631" s="1">
        <v>1</v>
      </c>
      <c r="L3631" s="1">
        <v>0</v>
      </c>
      <c r="M3631" s="1">
        <v>0</v>
      </c>
      <c r="N3631" s="1">
        <v>1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 t="s">
        <v>49</v>
      </c>
      <c r="AA3631" s="1" t="s">
        <v>49</v>
      </c>
      <c r="AB3631" s="1" t="s">
        <v>49</v>
      </c>
      <c r="AC3631" s="1" t="s">
        <v>6911</v>
      </c>
      <c r="AD3631" s="1" t="s">
        <v>6938</v>
      </c>
      <c r="AE3631" s="1" t="s">
        <v>6911</v>
      </c>
      <c r="AF3631" s="1" t="s">
        <v>49</v>
      </c>
      <c r="AG3631" s="1" t="s">
        <v>7747</v>
      </c>
      <c r="AH3631" s="1" t="s">
        <v>49</v>
      </c>
      <c r="AI3631" s="1" t="s">
        <v>54</v>
      </c>
      <c r="AJ3631" s="1">
        <v>0</v>
      </c>
      <c r="AK3631" s="1" t="str">
        <f t="shared" si="57"/>
        <v xml:space="preserve"> =&lt;90</v>
      </c>
      <c r="AL3631" s="1" t="str">
        <f>VLOOKUP(C:C,[1]基础信息!B$1:D$65536,3,0)</f>
        <v>UTS</v>
      </c>
      <c r="AM3631" s="1" t="str">
        <f>VLOOKUP(C:C,[1]基础信息!B$1:E$65536,4,0)</f>
        <v>MyPure</v>
      </c>
      <c r="AN3631" s="1" t="str">
        <f>VLOOKUP(C:C,[1]基础信息!B$1:F$65536,5,0)</f>
        <v>U5</v>
      </c>
    </row>
    <row r="3632" spans="1:40">
      <c r="A3632" s="1" t="s">
        <v>41</v>
      </c>
      <c r="B3632" s="1" t="s">
        <v>42</v>
      </c>
      <c r="C3632" s="1" t="s">
        <v>7697</v>
      </c>
      <c r="D3632" s="1" t="s">
        <v>7587</v>
      </c>
      <c r="E3632" s="1" t="s">
        <v>45</v>
      </c>
      <c r="F3632" s="1" t="s">
        <v>8299</v>
      </c>
      <c r="G3632" s="1" t="s">
        <v>8296</v>
      </c>
      <c r="H3632" s="1" t="s">
        <v>45</v>
      </c>
      <c r="I3632" s="1" t="s">
        <v>45</v>
      </c>
      <c r="J3632" s="1" t="s">
        <v>48</v>
      </c>
      <c r="K3632" s="1">
        <v>1</v>
      </c>
      <c r="L3632" s="1">
        <v>0</v>
      </c>
      <c r="M3632" s="1">
        <v>0</v>
      </c>
      <c r="N3632" s="1">
        <v>1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 t="s">
        <v>49</v>
      </c>
      <c r="AA3632" s="1" t="s">
        <v>49</v>
      </c>
      <c r="AB3632" s="1" t="s">
        <v>49</v>
      </c>
      <c r="AC3632" s="1" t="s">
        <v>6911</v>
      </c>
      <c r="AD3632" s="1" t="s">
        <v>6938</v>
      </c>
      <c r="AE3632" s="1" t="s">
        <v>6911</v>
      </c>
      <c r="AF3632" s="1" t="s">
        <v>49</v>
      </c>
      <c r="AG3632" s="1" t="s">
        <v>3464</v>
      </c>
      <c r="AH3632" s="1" t="s">
        <v>49</v>
      </c>
      <c r="AI3632" s="1" t="s">
        <v>54</v>
      </c>
      <c r="AJ3632" s="1">
        <v>1</v>
      </c>
      <c r="AK3632" s="1" t="str">
        <f t="shared" si="57"/>
        <v xml:space="preserve"> =&lt;90</v>
      </c>
      <c r="AL3632" s="1" t="e">
        <f>VLOOKUP(C:C,[1]基础信息!B$1:D$65536,3,0)</f>
        <v>#N/A</v>
      </c>
      <c r="AM3632" s="1" t="e">
        <f>VLOOKUP(C:C,[1]基础信息!B$1:E$65536,4,0)</f>
        <v>#N/A</v>
      </c>
      <c r="AN3632" s="1" t="e">
        <f>VLOOKUP(C:C,[1]基础信息!B$1:F$65536,5,0)</f>
        <v>#N/A</v>
      </c>
    </row>
    <row r="3633" spans="1:40">
      <c r="A3633" s="1" t="s">
        <v>41</v>
      </c>
      <c r="B3633" s="1" t="s">
        <v>42</v>
      </c>
      <c r="C3633" s="1" t="s">
        <v>2760</v>
      </c>
      <c r="D3633" s="1" t="s">
        <v>2761</v>
      </c>
      <c r="E3633" s="1" t="s">
        <v>45</v>
      </c>
      <c r="F3633" s="1" t="s">
        <v>8300</v>
      </c>
      <c r="G3633" s="1" t="s">
        <v>8301</v>
      </c>
      <c r="H3633" s="1" t="s">
        <v>45</v>
      </c>
      <c r="I3633" s="1" t="s">
        <v>45</v>
      </c>
      <c r="J3633" s="1" t="s">
        <v>48</v>
      </c>
      <c r="K3633" s="1">
        <v>11</v>
      </c>
      <c r="L3633" s="1">
        <v>0</v>
      </c>
      <c r="M3633" s="1">
        <v>0</v>
      </c>
      <c r="N3633" s="1">
        <v>11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 t="s">
        <v>49</v>
      </c>
      <c r="AA3633" s="1" t="s">
        <v>49</v>
      </c>
      <c r="AB3633" s="1" t="s">
        <v>49</v>
      </c>
      <c r="AC3633" s="1" t="s">
        <v>6911</v>
      </c>
      <c r="AD3633" s="1" t="s">
        <v>6938</v>
      </c>
      <c r="AE3633" s="1" t="s">
        <v>6911</v>
      </c>
      <c r="AF3633" s="1" t="s">
        <v>49</v>
      </c>
      <c r="AG3633" s="1" t="s">
        <v>7747</v>
      </c>
      <c r="AH3633" s="1" t="s">
        <v>49</v>
      </c>
      <c r="AI3633" s="1" t="s">
        <v>54</v>
      </c>
      <c r="AJ3633" s="1">
        <v>0</v>
      </c>
      <c r="AK3633" s="1" t="str">
        <f t="shared" si="57"/>
        <v xml:space="preserve"> =&lt;90</v>
      </c>
      <c r="AL3633" s="1" t="str">
        <f>VLOOKUP(C:C,[1]基础信息!B$1:D$65536,3,0)</f>
        <v>UTS</v>
      </c>
      <c r="AM3633" s="1" t="str">
        <f>VLOOKUP(C:C,[1]基础信息!B$1:E$65536,4,0)</f>
        <v>MyPure</v>
      </c>
      <c r="AN3633" s="1" t="str">
        <f>VLOOKUP(C:C,[1]基础信息!B$1:F$65536,5,0)</f>
        <v>Refill</v>
      </c>
    </row>
    <row r="3634" spans="1:40">
      <c r="A3634" s="1" t="s">
        <v>41</v>
      </c>
      <c r="B3634" s="1" t="s">
        <v>42</v>
      </c>
      <c r="C3634" s="1" t="s">
        <v>5117</v>
      </c>
      <c r="D3634" s="1" t="s">
        <v>5118</v>
      </c>
      <c r="E3634" s="1" t="s">
        <v>45</v>
      </c>
      <c r="F3634" s="1" t="s">
        <v>8302</v>
      </c>
      <c r="G3634" s="1" t="s">
        <v>8301</v>
      </c>
      <c r="H3634" s="1" t="s">
        <v>45</v>
      </c>
      <c r="I3634" s="1" t="s">
        <v>45</v>
      </c>
      <c r="J3634" s="1" t="s">
        <v>48</v>
      </c>
      <c r="K3634" s="1">
        <v>11</v>
      </c>
      <c r="L3634" s="1">
        <v>0</v>
      </c>
      <c r="M3634" s="1">
        <v>0</v>
      </c>
      <c r="N3634" s="1">
        <v>11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 t="s">
        <v>49</v>
      </c>
      <c r="AA3634" s="1" t="s">
        <v>49</v>
      </c>
      <c r="AB3634" s="1" t="s">
        <v>49</v>
      </c>
      <c r="AC3634" s="1" t="s">
        <v>6911</v>
      </c>
      <c r="AD3634" s="1" t="s">
        <v>6938</v>
      </c>
      <c r="AE3634" s="1" t="s">
        <v>6911</v>
      </c>
      <c r="AF3634" s="1" t="s">
        <v>49</v>
      </c>
      <c r="AG3634" s="1" t="s">
        <v>7747</v>
      </c>
      <c r="AH3634" s="1" t="s">
        <v>49</v>
      </c>
      <c r="AI3634" s="1" t="s">
        <v>54</v>
      </c>
      <c r="AJ3634" s="1">
        <v>0</v>
      </c>
      <c r="AK3634" s="1" t="str">
        <f t="shared" si="57"/>
        <v xml:space="preserve"> =&lt;90</v>
      </c>
      <c r="AL3634" s="1" t="str">
        <f>VLOOKUP(C:C,[1]基础信息!B$1:D$65536,3,0)</f>
        <v>UTS</v>
      </c>
      <c r="AM3634" s="1" t="str">
        <f>VLOOKUP(C:C,[1]基础信息!B$1:E$65536,4,0)</f>
        <v>MyPure</v>
      </c>
      <c r="AN3634" s="1" t="str">
        <f>VLOOKUP(C:C,[1]基础信息!B$1:F$65536,5,0)</f>
        <v>Refill</v>
      </c>
    </row>
    <row r="3635" spans="1:40">
      <c r="A3635" s="1" t="s">
        <v>41</v>
      </c>
      <c r="B3635" s="1" t="s">
        <v>42</v>
      </c>
      <c r="C3635" s="1" t="s">
        <v>3731</v>
      </c>
      <c r="D3635" s="1" t="s">
        <v>3732</v>
      </c>
      <c r="E3635" s="1" t="s">
        <v>45</v>
      </c>
      <c r="F3635" s="1" t="s">
        <v>8303</v>
      </c>
      <c r="G3635" s="1" t="s">
        <v>8301</v>
      </c>
      <c r="H3635" s="1" t="s">
        <v>45</v>
      </c>
      <c r="I3635" s="1" t="s">
        <v>45</v>
      </c>
      <c r="J3635" s="1" t="s">
        <v>48</v>
      </c>
      <c r="K3635" s="1">
        <v>5</v>
      </c>
      <c r="L3635" s="1">
        <v>0</v>
      </c>
      <c r="M3635" s="1">
        <v>0</v>
      </c>
      <c r="N3635" s="1">
        <v>5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 t="s">
        <v>49</v>
      </c>
      <c r="AA3635" s="1" t="s">
        <v>49</v>
      </c>
      <c r="AB3635" s="1" t="s">
        <v>49</v>
      </c>
      <c r="AC3635" s="1" t="s">
        <v>6911</v>
      </c>
      <c r="AD3635" s="1" t="s">
        <v>6938</v>
      </c>
      <c r="AE3635" s="1" t="s">
        <v>6911</v>
      </c>
      <c r="AF3635" s="1" t="s">
        <v>49</v>
      </c>
      <c r="AG3635" s="1" t="s">
        <v>7747</v>
      </c>
      <c r="AH3635" s="1" t="s">
        <v>49</v>
      </c>
      <c r="AI3635" s="1" t="s">
        <v>54</v>
      </c>
      <c r="AJ3635" s="1">
        <v>1</v>
      </c>
      <c r="AK3635" s="1" t="str">
        <f t="shared" si="57"/>
        <v xml:space="preserve"> =&lt;90</v>
      </c>
      <c r="AL3635" s="1" t="str">
        <f>VLOOKUP(C:C,[1]基础信息!B$1:D$65536,3,0)</f>
        <v>UTS</v>
      </c>
      <c r="AM3635" s="1" t="str">
        <f>VLOOKUP(C:C,[1]基础信息!B$1:E$65536,4,0)</f>
        <v>MyPure</v>
      </c>
      <c r="AN3635" s="1" t="str">
        <f>VLOOKUP(C:C,[1]基础信息!B$1:F$65536,5,0)</f>
        <v>Refill</v>
      </c>
    </row>
    <row r="3636" spans="1:40">
      <c r="A3636" s="1" t="s">
        <v>41</v>
      </c>
      <c r="B3636" s="1" t="s">
        <v>42</v>
      </c>
      <c r="C3636" s="1" t="s">
        <v>4253</v>
      </c>
      <c r="D3636" s="1" t="s">
        <v>4254</v>
      </c>
      <c r="E3636" s="1" t="s">
        <v>45</v>
      </c>
      <c r="F3636" s="1" t="s">
        <v>8304</v>
      </c>
      <c r="G3636" s="1" t="s">
        <v>8305</v>
      </c>
      <c r="H3636" s="1" t="s">
        <v>45</v>
      </c>
      <c r="I3636" s="1" t="s">
        <v>45</v>
      </c>
      <c r="J3636" s="1" t="s">
        <v>48</v>
      </c>
      <c r="K3636" s="1">
        <v>25</v>
      </c>
      <c r="L3636" s="1">
        <v>0</v>
      </c>
      <c r="M3636" s="1">
        <v>0</v>
      </c>
      <c r="N3636" s="1">
        <v>25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 t="s">
        <v>49</v>
      </c>
      <c r="AA3636" s="1" t="s">
        <v>49</v>
      </c>
      <c r="AB3636" s="1" t="s">
        <v>49</v>
      </c>
      <c r="AC3636" s="1" t="s">
        <v>6911</v>
      </c>
      <c r="AD3636" s="1" t="s">
        <v>6938</v>
      </c>
      <c r="AE3636" s="1" t="s">
        <v>6911</v>
      </c>
      <c r="AF3636" s="1" t="s">
        <v>49</v>
      </c>
      <c r="AG3636" s="1" t="s">
        <v>3464</v>
      </c>
      <c r="AH3636" s="1" t="s">
        <v>49</v>
      </c>
      <c r="AI3636" s="1" t="s">
        <v>54</v>
      </c>
      <c r="AJ3636" s="1">
        <v>1</v>
      </c>
      <c r="AK3636" s="1" t="str">
        <f t="shared" si="57"/>
        <v xml:space="preserve"> =&lt;90</v>
      </c>
      <c r="AL3636" s="1" t="str">
        <f>VLOOKUP(C:C,[1]基础信息!B$1:D$65536,3,0)</f>
        <v xml:space="preserve">Cartridge </v>
      </c>
      <c r="AM3636" s="1" t="str">
        <f>VLOOKUP(C:C,[1]基础信息!B$1:E$65536,4,0)</f>
        <v>UNIV</v>
      </c>
      <c r="AN3636" s="1" t="str">
        <f>VLOOKUP(C:C,[1]基础信息!B$1:F$65536,5,0)</f>
        <v>P6</v>
      </c>
    </row>
    <row r="3637" spans="1:40">
      <c r="A3637" s="1" t="s">
        <v>41</v>
      </c>
      <c r="B3637" s="1" t="s">
        <v>42</v>
      </c>
      <c r="C3637" s="1" t="s">
        <v>4352</v>
      </c>
      <c r="D3637" s="1" t="s">
        <v>4353</v>
      </c>
      <c r="E3637" s="1" t="s">
        <v>45</v>
      </c>
      <c r="F3637" s="1" t="s">
        <v>8217</v>
      </c>
      <c r="G3637" s="1" t="s">
        <v>8306</v>
      </c>
      <c r="H3637" s="1" t="s">
        <v>45</v>
      </c>
      <c r="I3637" s="1" t="s">
        <v>45</v>
      </c>
      <c r="J3637" s="1" t="s">
        <v>48</v>
      </c>
      <c r="K3637" s="1">
        <v>250</v>
      </c>
      <c r="L3637" s="1">
        <v>0</v>
      </c>
      <c r="M3637" s="1">
        <v>0</v>
      </c>
      <c r="N3637" s="1">
        <v>250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 t="s">
        <v>49</v>
      </c>
      <c r="AA3637" s="1" t="s">
        <v>49</v>
      </c>
      <c r="AB3637" s="1" t="s">
        <v>49</v>
      </c>
      <c r="AC3637" s="1" t="s">
        <v>6911</v>
      </c>
      <c r="AD3637" s="1" t="s">
        <v>6938</v>
      </c>
      <c r="AE3637" s="1" t="s">
        <v>6911</v>
      </c>
      <c r="AF3637" s="1" t="s">
        <v>49</v>
      </c>
      <c r="AG3637" s="1" t="s">
        <v>3464</v>
      </c>
      <c r="AH3637" s="1" t="s">
        <v>49</v>
      </c>
      <c r="AI3637" s="1" t="s">
        <v>54</v>
      </c>
      <c r="AJ3637" s="1">
        <v>1</v>
      </c>
      <c r="AK3637" s="1" t="str">
        <f t="shared" si="57"/>
        <v xml:space="preserve"> =&lt;90</v>
      </c>
      <c r="AL3637" s="1" t="e">
        <f>VLOOKUP(C:C,[1]基础信息!B$1:D$65536,3,0)</f>
        <v>#N/A</v>
      </c>
      <c r="AM3637" s="1" t="e">
        <f>VLOOKUP(C:C,[1]基础信息!B$1:E$65536,4,0)</f>
        <v>#N/A</v>
      </c>
      <c r="AN3637" s="1" t="e">
        <f>VLOOKUP(C:C,[1]基础信息!B$1:F$65536,5,0)</f>
        <v>#N/A</v>
      </c>
    </row>
    <row r="3638" spans="1:40">
      <c r="A3638" s="1" t="s">
        <v>41</v>
      </c>
      <c r="B3638" s="1" t="s">
        <v>42</v>
      </c>
      <c r="C3638" s="1" t="s">
        <v>969</v>
      </c>
      <c r="D3638" s="1" t="s">
        <v>970</v>
      </c>
      <c r="E3638" s="1" t="s">
        <v>45</v>
      </c>
      <c r="F3638" s="1" t="s">
        <v>8307</v>
      </c>
      <c r="G3638" s="1" t="s">
        <v>8308</v>
      </c>
      <c r="H3638" s="1" t="s">
        <v>45</v>
      </c>
      <c r="I3638" s="1" t="s">
        <v>45</v>
      </c>
      <c r="J3638" s="1" t="s">
        <v>48</v>
      </c>
      <c r="K3638" s="1">
        <v>31</v>
      </c>
      <c r="L3638" s="1">
        <v>0</v>
      </c>
      <c r="M3638" s="1">
        <v>0</v>
      </c>
      <c r="N3638" s="1">
        <v>31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 t="s">
        <v>49</v>
      </c>
      <c r="AA3638" s="1" t="s">
        <v>49</v>
      </c>
      <c r="AB3638" s="1" t="s">
        <v>49</v>
      </c>
      <c r="AC3638" s="1" t="s">
        <v>6911</v>
      </c>
      <c r="AD3638" s="1" t="s">
        <v>6938</v>
      </c>
      <c r="AE3638" s="1" t="s">
        <v>6911</v>
      </c>
      <c r="AF3638" s="1" t="s">
        <v>49</v>
      </c>
      <c r="AG3638" s="1" t="s">
        <v>3464</v>
      </c>
      <c r="AH3638" s="1" t="s">
        <v>49</v>
      </c>
      <c r="AI3638" s="1" t="s">
        <v>54</v>
      </c>
      <c r="AJ3638" s="1">
        <v>0</v>
      </c>
      <c r="AK3638" s="1" t="str">
        <f t="shared" si="57"/>
        <v xml:space="preserve"> =&lt;90</v>
      </c>
      <c r="AL3638" s="1" t="str">
        <f>VLOOKUP(C:C,[1]基础信息!B$1:D$65536,3,0)</f>
        <v>Jug</v>
      </c>
      <c r="AM3638" s="1" t="str">
        <f>VLOOKUP(C:C,[1]基础信息!B$1:E$65536,4,0)</f>
        <v>Mxplus</v>
      </c>
      <c r="AN3638" s="1" t="str">
        <f>VLOOKUP(C:C,[1]基础信息!B$1:F$65536,5,0)</f>
        <v xml:space="preserve"> blue</v>
      </c>
    </row>
    <row r="3639" spans="1:40">
      <c r="A3639" s="1" t="s">
        <v>41</v>
      </c>
      <c r="B3639" s="1" t="s">
        <v>42</v>
      </c>
      <c r="C3639" s="1" t="s">
        <v>8309</v>
      </c>
      <c r="D3639" s="1" t="s">
        <v>8310</v>
      </c>
      <c r="E3639" s="1" t="s">
        <v>8309</v>
      </c>
      <c r="F3639" s="1" t="s">
        <v>8311</v>
      </c>
      <c r="G3639" s="1" t="s">
        <v>8308</v>
      </c>
      <c r="H3639" s="1" t="s">
        <v>45</v>
      </c>
      <c r="I3639" s="1" t="s">
        <v>45</v>
      </c>
      <c r="J3639" s="1" t="s">
        <v>48</v>
      </c>
      <c r="K3639" s="1">
        <v>1</v>
      </c>
      <c r="L3639" s="1">
        <v>0</v>
      </c>
      <c r="M3639" s="1">
        <v>0</v>
      </c>
      <c r="N3639" s="1">
        <v>1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 t="s">
        <v>49</v>
      </c>
      <c r="AA3639" s="1" t="s">
        <v>49</v>
      </c>
      <c r="AB3639" s="1" t="s">
        <v>49</v>
      </c>
      <c r="AC3639" s="1" t="s">
        <v>6911</v>
      </c>
      <c r="AD3639" s="1" t="s">
        <v>6938</v>
      </c>
      <c r="AE3639" s="1" t="s">
        <v>6911</v>
      </c>
      <c r="AF3639" s="1" t="s">
        <v>49</v>
      </c>
      <c r="AG3639" s="1" t="s">
        <v>3464</v>
      </c>
      <c r="AH3639" s="1" t="s">
        <v>49</v>
      </c>
      <c r="AI3639" s="1" t="s">
        <v>54</v>
      </c>
      <c r="AJ3639" s="1">
        <v>1</v>
      </c>
      <c r="AK3639" s="1" t="str">
        <f t="shared" si="57"/>
        <v xml:space="preserve"> =&lt;90</v>
      </c>
      <c r="AL3639" s="1" t="e">
        <f>VLOOKUP(C:C,[1]基础信息!B$1:D$65536,3,0)</f>
        <v>#N/A</v>
      </c>
      <c r="AM3639" s="1" t="e">
        <f>VLOOKUP(C:C,[1]基础信息!B$1:E$65536,4,0)</f>
        <v>#N/A</v>
      </c>
      <c r="AN3639" s="1" t="e">
        <f>VLOOKUP(C:C,[1]基础信息!B$1:F$65536,5,0)</f>
        <v>#N/A</v>
      </c>
    </row>
    <row r="3640" spans="1:40">
      <c r="A3640" s="1" t="s">
        <v>41</v>
      </c>
      <c r="B3640" s="1" t="s">
        <v>42</v>
      </c>
      <c r="C3640" s="1" t="s">
        <v>208</v>
      </c>
      <c r="D3640" s="1" t="s">
        <v>209</v>
      </c>
      <c r="E3640" s="1" t="s">
        <v>208</v>
      </c>
      <c r="F3640" s="1" t="s">
        <v>8312</v>
      </c>
      <c r="G3640" s="1" t="s">
        <v>8313</v>
      </c>
      <c r="H3640" s="1" t="s">
        <v>45</v>
      </c>
      <c r="I3640" s="1" t="s">
        <v>45</v>
      </c>
      <c r="J3640" s="1" t="s">
        <v>48</v>
      </c>
      <c r="K3640" s="1">
        <v>28</v>
      </c>
      <c r="L3640" s="1">
        <v>0</v>
      </c>
      <c r="M3640" s="1">
        <v>0</v>
      </c>
      <c r="N3640" s="1">
        <v>28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 t="s">
        <v>49</v>
      </c>
      <c r="AA3640" s="1" t="s">
        <v>49</v>
      </c>
      <c r="AB3640" s="1" t="s">
        <v>49</v>
      </c>
      <c r="AC3640" s="1" t="s">
        <v>6911</v>
      </c>
      <c r="AD3640" s="1" t="s">
        <v>6938</v>
      </c>
      <c r="AE3640" s="1" t="s">
        <v>6911</v>
      </c>
      <c r="AF3640" s="1" t="s">
        <v>49</v>
      </c>
      <c r="AG3640" s="1" t="s">
        <v>3464</v>
      </c>
      <c r="AH3640" s="1" t="s">
        <v>49</v>
      </c>
      <c r="AI3640" s="1" t="s">
        <v>54</v>
      </c>
      <c r="AJ3640" s="1">
        <v>1</v>
      </c>
      <c r="AK3640" s="1" t="str">
        <f t="shared" si="57"/>
        <v xml:space="preserve"> =&lt;90</v>
      </c>
      <c r="AL3640" s="1" t="str">
        <f>VLOOKUP(C:C,[1]基础信息!B$1:D$65536,3,0)</f>
        <v>Jug</v>
      </c>
      <c r="AM3640" s="1" t="str">
        <f>VLOOKUP(C:C,[1]基础信息!B$1:E$65536,4,0)</f>
        <v>MXpl</v>
      </c>
      <c r="AN3640" s="1" t="str">
        <f>VLOOKUP(C:C,[1]基础信息!B$1:F$65536,5,0)</f>
        <v>grey</v>
      </c>
    </row>
    <row r="3641" spans="1:40">
      <c r="A3641" s="1" t="s">
        <v>41</v>
      </c>
      <c r="B3641" s="1" t="s">
        <v>42</v>
      </c>
      <c r="C3641" s="1" t="s">
        <v>1437</v>
      </c>
      <c r="D3641" s="1" t="s">
        <v>1438</v>
      </c>
      <c r="E3641" s="1" t="s">
        <v>45</v>
      </c>
      <c r="F3641" s="1" t="s">
        <v>8292</v>
      </c>
      <c r="G3641" s="1" t="s">
        <v>8314</v>
      </c>
      <c r="H3641" s="1" t="s">
        <v>45</v>
      </c>
      <c r="I3641" s="1" t="s">
        <v>45</v>
      </c>
      <c r="J3641" s="1" t="s">
        <v>48</v>
      </c>
      <c r="K3641" s="1">
        <v>9</v>
      </c>
      <c r="L3641" s="1">
        <v>0</v>
      </c>
      <c r="M3641" s="1">
        <v>0</v>
      </c>
      <c r="N3641" s="1">
        <v>9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 t="s">
        <v>49</v>
      </c>
      <c r="AA3641" s="1" t="s">
        <v>49</v>
      </c>
      <c r="AB3641" s="1" t="s">
        <v>49</v>
      </c>
      <c r="AC3641" s="1" t="s">
        <v>6911</v>
      </c>
      <c r="AD3641" s="1" t="s">
        <v>6938</v>
      </c>
      <c r="AE3641" s="1" t="s">
        <v>6911</v>
      </c>
      <c r="AF3641" s="1" t="s">
        <v>49</v>
      </c>
      <c r="AG3641" s="1" t="s">
        <v>3464</v>
      </c>
      <c r="AH3641" s="1" t="s">
        <v>49</v>
      </c>
      <c r="AI3641" s="1" t="s">
        <v>54</v>
      </c>
      <c r="AJ3641" s="1">
        <v>0</v>
      </c>
      <c r="AK3641" s="1" t="str">
        <f t="shared" si="57"/>
        <v xml:space="preserve"> =&lt;90</v>
      </c>
      <c r="AL3641" s="1" t="str">
        <f>VLOOKUP(C:C,[1]基础信息!B$1:D$65536,3,0)</f>
        <v>On tap</v>
      </c>
      <c r="AM3641" s="1" t="str">
        <f>VLOOKUP(C:C,[1]基础信息!B$1:E$65536,4,0)</f>
        <v>On tap</v>
      </c>
      <c r="AN3641" s="1" t="str">
        <f>VLOOKUP(C:C,[1]基础信息!B$1:F$65536,5,0)</f>
        <v>On tap</v>
      </c>
    </row>
    <row r="3642" spans="1:40">
      <c r="A3642" s="1" t="s">
        <v>41</v>
      </c>
      <c r="B3642" s="1" t="s">
        <v>42</v>
      </c>
      <c r="C3642" s="1" t="s">
        <v>6106</v>
      </c>
      <c r="D3642" s="1" t="s">
        <v>6107</v>
      </c>
      <c r="E3642" s="1" t="s">
        <v>45</v>
      </c>
      <c r="F3642" s="1" t="s">
        <v>8289</v>
      </c>
      <c r="G3642" s="1" t="s">
        <v>8314</v>
      </c>
      <c r="H3642" s="1" t="s">
        <v>45</v>
      </c>
      <c r="I3642" s="1" t="s">
        <v>45</v>
      </c>
      <c r="J3642" s="1" t="s">
        <v>48</v>
      </c>
      <c r="K3642" s="1">
        <v>41</v>
      </c>
      <c r="L3642" s="1">
        <v>0</v>
      </c>
      <c r="M3642" s="1">
        <v>0</v>
      </c>
      <c r="N3642" s="1">
        <v>41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 t="s">
        <v>49</v>
      </c>
      <c r="AA3642" s="1" t="s">
        <v>49</v>
      </c>
      <c r="AB3642" s="1" t="s">
        <v>49</v>
      </c>
      <c r="AC3642" s="1" t="s">
        <v>6911</v>
      </c>
      <c r="AD3642" s="1" t="s">
        <v>6938</v>
      </c>
      <c r="AE3642" s="1" t="s">
        <v>6911</v>
      </c>
      <c r="AF3642" s="1" t="s">
        <v>49</v>
      </c>
      <c r="AG3642" s="1" t="s">
        <v>3464</v>
      </c>
      <c r="AH3642" s="1" t="s">
        <v>49</v>
      </c>
      <c r="AI3642" s="1" t="s">
        <v>54</v>
      </c>
      <c r="AJ3642" s="1">
        <v>1</v>
      </c>
      <c r="AK3642" s="1" t="str">
        <f t="shared" si="57"/>
        <v xml:space="preserve"> =&lt;90</v>
      </c>
      <c r="AL3642" s="1" t="str">
        <f>VLOOKUP(C:C,[1]基础信息!B$1:D$65536,3,0)</f>
        <v>On tap</v>
      </c>
      <c r="AM3642" s="1" t="str">
        <f>VLOOKUP(C:C,[1]基础信息!B$1:E$65536,4,0)</f>
        <v>On tap</v>
      </c>
      <c r="AN3642" s="1" t="str">
        <f>VLOOKUP(C:C,[1]基础信息!B$1:F$65536,5,0)</f>
        <v>Refill</v>
      </c>
    </row>
    <row r="3643" spans="1:40">
      <c r="A3643" s="1" t="s">
        <v>41</v>
      </c>
      <c r="B3643" s="1" t="s">
        <v>42</v>
      </c>
      <c r="C3643" s="1" t="s">
        <v>8182</v>
      </c>
      <c r="D3643" s="1" t="s">
        <v>8183</v>
      </c>
      <c r="E3643" s="1" t="s">
        <v>45</v>
      </c>
      <c r="F3643" s="1" t="s">
        <v>8315</v>
      </c>
      <c r="G3643" s="1" t="s">
        <v>8316</v>
      </c>
      <c r="H3643" s="1" t="s">
        <v>45</v>
      </c>
      <c r="I3643" s="1" t="s">
        <v>45</v>
      </c>
      <c r="J3643" s="1" t="s">
        <v>48</v>
      </c>
      <c r="K3643" s="1">
        <v>1595</v>
      </c>
      <c r="L3643" s="1">
        <v>0</v>
      </c>
      <c r="M3643" s="1">
        <v>0</v>
      </c>
      <c r="N3643" s="1">
        <v>1595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 t="s">
        <v>49</v>
      </c>
      <c r="AA3643" s="1" t="s">
        <v>49</v>
      </c>
      <c r="AB3643" s="1" t="s">
        <v>49</v>
      </c>
      <c r="AC3643" s="1" t="s">
        <v>6911</v>
      </c>
      <c r="AD3643" s="1" t="s">
        <v>6938</v>
      </c>
      <c r="AE3643" s="1" t="s">
        <v>6911</v>
      </c>
      <c r="AF3643" s="1" t="s">
        <v>49</v>
      </c>
      <c r="AG3643" s="1" t="s">
        <v>3464</v>
      </c>
      <c r="AH3643" s="1" t="s">
        <v>49</v>
      </c>
      <c r="AI3643" s="1" t="s">
        <v>54</v>
      </c>
      <c r="AJ3643" s="1">
        <v>1</v>
      </c>
      <c r="AK3643" s="1" t="str">
        <f t="shared" si="57"/>
        <v xml:space="preserve"> =&lt;90</v>
      </c>
      <c r="AL3643" s="1" t="e">
        <f>VLOOKUP(C:C,[1]基础信息!B$1:D$65536,3,0)</f>
        <v>#N/A</v>
      </c>
      <c r="AM3643" s="1" t="e">
        <f>VLOOKUP(C:C,[1]基础信息!B$1:E$65536,4,0)</f>
        <v>#N/A</v>
      </c>
      <c r="AN3643" s="1" t="e">
        <f>VLOOKUP(C:C,[1]基础信息!B$1:F$65536,5,0)</f>
        <v>#N/A</v>
      </c>
    </row>
    <row r="3644" spans="1:40">
      <c r="A3644" s="1" t="s">
        <v>41</v>
      </c>
      <c r="B3644" s="1" t="s">
        <v>42</v>
      </c>
      <c r="C3644" s="1" t="s">
        <v>6806</v>
      </c>
      <c r="D3644" s="1" t="s">
        <v>6807</v>
      </c>
      <c r="E3644" s="1" t="s">
        <v>45</v>
      </c>
      <c r="F3644" s="1" t="s">
        <v>8317</v>
      </c>
      <c r="G3644" s="1" t="s">
        <v>8318</v>
      </c>
      <c r="H3644" s="1" t="s">
        <v>45</v>
      </c>
      <c r="I3644" s="1" t="s">
        <v>45</v>
      </c>
      <c r="J3644" s="1" t="s">
        <v>48</v>
      </c>
      <c r="K3644" s="1">
        <v>880</v>
      </c>
      <c r="L3644" s="1">
        <v>0</v>
      </c>
      <c r="M3644" s="1">
        <v>0</v>
      </c>
      <c r="N3644" s="1">
        <v>880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 t="s">
        <v>49</v>
      </c>
      <c r="AA3644" s="1" t="s">
        <v>49</v>
      </c>
      <c r="AB3644" s="1" t="s">
        <v>49</v>
      </c>
      <c r="AC3644" s="1" t="s">
        <v>7841</v>
      </c>
      <c r="AD3644" s="1" t="s">
        <v>7842</v>
      </c>
      <c r="AE3644" s="1" t="s">
        <v>7841</v>
      </c>
      <c r="AF3644" s="1" t="s">
        <v>8319</v>
      </c>
      <c r="AG3644" s="1" t="s">
        <v>53</v>
      </c>
      <c r="AH3644" s="1" t="s">
        <v>49</v>
      </c>
      <c r="AI3644" s="1" t="s">
        <v>54</v>
      </c>
      <c r="AJ3644" s="1">
        <v>1</v>
      </c>
      <c r="AK3644" s="1" t="str">
        <f t="shared" si="57"/>
        <v xml:space="preserve"> =&lt;90</v>
      </c>
      <c r="AL3644" s="1" t="e">
        <f>VLOOKUP(C:C,[1]基础信息!B$1:D$65536,3,0)</f>
        <v>#N/A</v>
      </c>
      <c r="AM3644" s="1" t="e">
        <f>VLOOKUP(C:C,[1]基础信息!B$1:E$65536,4,0)</f>
        <v>#N/A</v>
      </c>
      <c r="AN3644" s="1" t="e">
        <f>VLOOKUP(C:C,[1]基础信息!B$1:F$65536,5,0)</f>
        <v>#N/A</v>
      </c>
    </row>
    <row r="3645" spans="1:40">
      <c r="A3645" s="1" t="s">
        <v>41</v>
      </c>
      <c r="B3645" s="1" t="s">
        <v>42</v>
      </c>
      <c r="C3645" s="1" t="s">
        <v>6806</v>
      </c>
      <c r="D3645" s="1" t="s">
        <v>6807</v>
      </c>
      <c r="E3645" s="1" t="s">
        <v>45</v>
      </c>
      <c r="F3645" s="1" t="s">
        <v>8320</v>
      </c>
      <c r="G3645" s="1" t="s">
        <v>8321</v>
      </c>
      <c r="H3645" s="1" t="s">
        <v>45</v>
      </c>
      <c r="I3645" s="1" t="s">
        <v>45</v>
      </c>
      <c r="J3645" s="1" t="s">
        <v>48</v>
      </c>
      <c r="K3645" s="1">
        <v>2100</v>
      </c>
      <c r="L3645" s="1">
        <v>0</v>
      </c>
      <c r="M3645" s="1">
        <v>0</v>
      </c>
      <c r="N3645" s="1">
        <v>2100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 t="s">
        <v>49</v>
      </c>
      <c r="AA3645" s="1" t="s">
        <v>49</v>
      </c>
      <c r="AB3645" s="1" t="s">
        <v>49</v>
      </c>
      <c r="AC3645" s="1" t="s">
        <v>7841</v>
      </c>
      <c r="AD3645" s="1" t="s">
        <v>7842</v>
      </c>
      <c r="AE3645" s="1" t="s">
        <v>7841</v>
      </c>
      <c r="AF3645" s="1" t="s">
        <v>8319</v>
      </c>
      <c r="AG3645" s="1" t="s">
        <v>53</v>
      </c>
      <c r="AH3645" s="1" t="s">
        <v>8322</v>
      </c>
      <c r="AI3645" s="1" t="s">
        <v>54</v>
      </c>
      <c r="AJ3645" s="1">
        <v>1</v>
      </c>
      <c r="AK3645" s="1" t="str">
        <f t="shared" si="57"/>
        <v xml:space="preserve"> =&lt;90</v>
      </c>
      <c r="AL3645" s="1" t="e">
        <f>VLOOKUP(C:C,[1]基础信息!B$1:D$65536,3,0)</f>
        <v>#N/A</v>
      </c>
      <c r="AM3645" s="1" t="e">
        <f>VLOOKUP(C:C,[1]基础信息!B$1:E$65536,4,0)</f>
        <v>#N/A</v>
      </c>
      <c r="AN3645" s="1" t="e">
        <f>VLOOKUP(C:C,[1]基础信息!B$1:F$65536,5,0)</f>
        <v>#N/A</v>
      </c>
    </row>
    <row r="3646" spans="1:40">
      <c r="A3646" s="1" t="s">
        <v>41</v>
      </c>
      <c r="B3646" s="1" t="s">
        <v>8244</v>
      </c>
      <c r="C3646" s="1" t="s">
        <v>8323</v>
      </c>
      <c r="D3646" s="1" t="s">
        <v>8324</v>
      </c>
      <c r="E3646" s="1" t="s">
        <v>45</v>
      </c>
      <c r="F3646" s="1" t="s">
        <v>8325</v>
      </c>
      <c r="G3646" s="1" t="s">
        <v>8326</v>
      </c>
      <c r="H3646" s="1" t="s">
        <v>45</v>
      </c>
      <c r="I3646" s="1" t="s">
        <v>45</v>
      </c>
      <c r="J3646" s="1" t="s">
        <v>48</v>
      </c>
      <c r="K3646" s="1">
        <v>54</v>
      </c>
      <c r="L3646" s="1">
        <v>0</v>
      </c>
      <c r="M3646" s="1">
        <v>0</v>
      </c>
      <c r="N3646" s="1">
        <v>54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 t="s">
        <v>49</v>
      </c>
      <c r="AA3646" s="1" t="s">
        <v>49</v>
      </c>
      <c r="AB3646" s="1" t="s">
        <v>49</v>
      </c>
      <c r="AC3646" s="1" t="s">
        <v>8327</v>
      </c>
      <c r="AD3646" s="1" t="s">
        <v>8328</v>
      </c>
      <c r="AE3646" s="1" t="s">
        <v>8327</v>
      </c>
      <c r="AF3646" s="1" t="s">
        <v>8329</v>
      </c>
      <c r="AG3646" s="1" t="s">
        <v>8253</v>
      </c>
      <c r="AH3646" s="1" t="s">
        <v>49</v>
      </c>
      <c r="AI3646" s="1" t="s">
        <v>54</v>
      </c>
      <c r="AJ3646" s="1">
        <v>1</v>
      </c>
      <c r="AK3646" s="1" t="str">
        <f t="shared" si="57"/>
        <v xml:space="preserve"> =&lt;90</v>
      </c>
      <c r="AL3646" s="1" t="e">
        <f>VLOOKUP(C:C,[1]基础信息!B$1:D$65536,3,0)</f>
        <v>#N/A</v>
      </c>
      <c r="AM3646" s="1" t="e">
        <f>VLOOKUP(C:C,[1]基础信息!B$1:E$65536,4,0)</f>
        <v>#N/A</v>
      </c>
      <c r="AN3646" s="1" t="e">
        <f>VLOOKUP(C:C,[1]基础信息!B$1:F$65536,5,0)</f>
        <v>#N/A</v>
      </c>
    </row>
    <row r="3647" spans="1:40">
      <c r="A3647" s="1" t="s">
        <v>41</v>
      </c>
      <c r="B3647" s="1" t="s">
        <v>8244</v>
      </c>
      <c r="C3647" s="1" t="s">
        <v>8245</v>
      </c>
      <c r="D3647" s="1" t="s">
        <v>8246</v>
      </c>
      <c r="E3647" s="1" t="s">
        <v>8247</v>
      </c>
      <c r="F3647" s="1" t="s">
        <v>8330</v>
      </c>
      <c r="G3647" s="1" t="s">
        <v>8331</v>
      </c>
      <c r="H3647" s="1" t="s">
        <v>45</v>
      </c>
      <c r="I3647" s="1" t="s">
        <v>45</v>
      </c>
      <c r="J3647" s="1" t="s">
        <v>48</v>
      </c>
      <c r="K3647" s="1">
        <v>8</v>
      </c>
      <c r="L3647" s="1">
        <v>0</v>
      </c>
      <c r="M3647" s="1">
        <v>0</v>
      </c>
      <c r="N3647" s="1">
        <v>8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 t="s">
        <v>49</v>
      </c>
      <c r="AA3647" s="1" t="s">
        <v>49</v>
      </c>
      <c r="AB3647" s="1" t="s">
        <v>49</v>
      </c>
      <c r="AC3647" s="1" t="s">
        <v>5350</v>
      </c>
      <c r="AD3647" s="1" t="s">
        <v>8332</v>
      </c>
      <c r="AE3647" s="1" t="s">
        <v>5350</v>
      </c>
      <c r="AF3647" s="1" t="s">
        <v>8333</v>
      </c>
      <c r="AG3647" s="1" t="s">
        <v>8253</v>
      </c>
      <c r="AH3647" s="1" t="s">
        <v>49</v>
      </c>
      <c r="AI3647" s="1" t="s">
        <v>54</v>
      </c>
      <c r="AJ3647" s="1">
        <v>1</v>
      </c>
      <c r="AK3647" s="1" t="str">
        <f t="shared" si="57"/>
        <v xml:space="preserve"> =&lt;90</v>
      </c>
      <c r="AL3647" s="1" t="e">
        <f>VLOOKUP(C:C,[1]基础信息!B$1:D$65536,3,0)</f>
        <v>#N/A</v>
      </c>
      <c r="AM3647" s="1" t="e">
        <f>VLOOKUP(C:C,[1]基础信息!B$1:E$65536,4,0)</f>
        <v>#N/A</v>
      </c>
      <c r="AN3647" s="1" t="e">
        <f>VLOOKUP(C:C,[1]基础信息!B$1:F$65536,5,0)</f>
        <v>#N/A</v>
      </c>
    </row>
    <row r="3648" spans="1:40">
      <c r="A3648" s="1" t="s">
        <v>41</v>
      </c>
      <c r="B3648" s="1" t="s">
        <v>42</v>
      </c>
      <c r="C3648" s="1" t="s">
        <v>2893</v>
      </c>
      <c r="D3648" s="1" t="s">
        <v>2894</v>
      </c>
      <c r="E3648" s="1" t="s">
        <v>45</v>
      </c>
      <c r="F3648" s="1" t="s">
        <v>8334</v>
      </c>
      <c r="G3648" s="1" t="s">
        <v>8335</v>
      </c>
      <c r="H3648" s="1" t="s">
        <v>45</v>
      </c>
      <c r="I3648" s="1" t="s">
        <v>45</v>
      </c>
      <c r="J3648" s="1" t="s">
        <v>48</v>
      </c>
      <c r="K3648" s="1">
        <v>4</v>
      </c>
      <c r="L3648" s="1">
        <v>0</v>
      </c>
      <c r="M3648" s="1">
        <v>0</v>
      </c>
      <c r="N3648" s="1">
        <v>4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 t="s">
        <v>49</v>
      </c>
      <c r="AA3648" s="1" t="s">
        <v>49</v>
      </c>
      <c r="AB3648" s="1" t="s">
        <v>49</v>
      </c>
      <c r="AC3648" s="1" t="s">
        <v>5462</v>
      </c>
      <c r="AD3648" s="1" t="s">
        <v>8336</v>
      </c>
      <c r="AE3648" s="1" t="s">
        <v>5462</v>
      </c>
      <c r="AF3648" s="1" t="s">
        <v>49</v>
      </c>
      <c r="AG3648" s="1" t="s">
        <v>76</v>
      </c>
      <c r="AH3648" s="1" t="s">
        <v>49</v>
      </c>
      <c r="AI3648" s="1" t="s">
        <v>54</v>
      </c>
      <c r="AJ3648" s="1">
        <v>1</v>
      </c>
      <c r="AK3648" s="1" t="str">
        <f t="shared" si="57"/>
        <v xml:space="preserve"> =&lt;90</v>
      </c>
      <c r="AL3648" s="1" t="str">
        <f>VLOOKUP(C:C,[1]基础信息!B$1:D$65536,3,0)</f>
        <v xml:space="preserve">Cartridge </v>
      </c>
      <c r="AM3648" s="1" t="str">
        <f>VLOOKUP(C:C,[1]基础信息!B$1:E$65536,4,0)</f>
        <v>UNIV</v>
      </c>
      <c r="AN3648" s="1" t="str">
        <f>VLOOKUP(C:C,[1]基础信息!B$1:F$65536,5,0)</f>
        <v>P1</v>
      </c>
    </row>
    <row r="3649" spans="1:40">
      <c r="A3649" s="1" t="s">
        <v>41</v>
      </c>
      <c r="B3649" s="1" t="s">
        <v>42</v>
      </c>
      <c r="C3649" s="1" t="s">
        <v>3999</v>
      </c>
      <c r="D3649" s="1" t="s">
        <v>4000</v>
      </c>
      <c r="E3649" s="1" t="s">
        <v>45</v>
      </c>
      <c r="F3649" s="1" t="s">
        <v>8337</v>
      </c>
      <c r="G3649" s="1" t="s">
        <v>8338</v>
      </c>
      <c r="H3649" s="1" t="s">
        <v>45</v>
      </c>
      <c r="I3649" s="1" t="s">
        <v>45</v>
      </c>
      <c r="J3649" s="1" t="s">
        <v>48</v>
      </c>
      <c r="K3649" s="1">
        <v>9</v>
      </c>
      <c r="L3649" s="1">
        <v>0</v>
      </c>
      <c r="M3649" s="1">
        <v>0</v>
      </c>
      <c r="N3649" s="1">
        <v>9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 t="s">
        <v>49</v>
      </c>
      <c r="AA3649" s="1" t="s">
        <v>49</v>
      </c>
      <c r="AB3649" s="1" t="s">
        <v>49</v>
      </c>
      <c r="AC3649" s="1" t="s">
        <v>5462</v>
      </c>
      <c r="AD3649" s="1" t="s">
        <v>8336</v>
      </c>
      <c r="AE3649" s="1" t="s">
        <v>5462</v>
      </c>
      <c r="AF3649" s="1" t="s">
        <v>49</v>
      </c>
      <c r="AG3649" s="1" t="s">
        <v>6921</v>
      </c>
      <c r="AH3649" s="1" t="s">
        <v>49</v>
      </c>
      <c r="AI3649" s="1" t="s">
        <v>54</v>
      </c>
      <c r="AJ3649" s="1">
        <v>1</v>
      </c>
      <c r="AK3649" s="1" t="str">
        <f t="shared" si="57"/>
        <v xml:space="preserve"> =&lt;90</v>
      </c>
      <c r="AL3649" s="1" t="str">
        <f>VLOOKUP(C:C,[1]基础信息!B$1:D$65536,3,0)</f>
        <v>Jug</v>
      </c>
      <c r="AM3649" s="1" t="str">
        <f>VLOOKUP(C:C,[1]基础信息!B$1:E$65536,4,0)</f>
        <v>Aluna</v>
      </c>
      <c r="AN3649" s="1" t="str">
        <f>VLOOKUP(C:C,[1]基础信息!B$1:F$65536,5,0)</f>
        <v>Blue</v>
      </c>
    </row>
    <row r="3650" spans="1:40">
      <c r="A3650" s="1" t="s">
        <v>41</v>
      </c>
      <c r="B3650" s="1" t="s">
        <v>8244</v>
      </c>
      <c r="C3650" s="1" t="s">
        <v>8339</v>
      </c>
      <c r="D3650" s="1" t="s">
        <v>8340</v>
      </c>
      <c r="E3650" s="1" t="s">
        <v>45</v>
      </c>
      <c r="F3650" s="1" t="s">
        <v>8341</v>
      </c>
      <c r="G3650" s="1" t="s">
        <v>8342</v>
      </c>
      <c r="H3650" s="1" t="s">
        <v>45</v>
      </c>
      <c r="I3650" s="1" t="s">
        <v>45</v>
      </c>
      <c r="J3650" s="1" t="s">
        <v>48</v>
      </c>
      <c r="K3650" s="1">
        <v>1392</v>
      </c>
      <c r="L3650" s="1">
        <v>0</v>
      </c>
      <c r="M3650" s="1">
        <v>0</v>
      </c>
      <c r="N3650" s="1">
        <v>1392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 t="s">
        <v>49</v>
      </c>
      <c r="AA3650" s="1" t="s">
        <v>49</v>
      </c>
      <c r="AB3650" s="1" t="s">
        <v>49</v>
      </c>
      <c r="AC3650" s="1" t="s">
        <v>8343</v>
      </c>
      <c r="AD3650" s="1" t="s">
        <v>8344</v>
      </c>
      <c r="AE3650" s="1" t="s">
        <v>8345</v>
      </c>
      <c r="AF3650" s="1" t="s">
        <v>8346</v>
      </c>
      <c r="AG3650" s="1" t="s">
        <v>8253</v>
      </c>
      <c r="AH3650" s="1" t="s">
        <v>49</v>
      </c>
      <c r="AI3650" s="1" t="s">
        <v>54</v>
      </c>
      <c r="AJ3650" s="1">
        <v>1</v>
      </c>
      <c r="AK3650" s="1" t="str">
        <f t="shared" si="57"/>
        <v xml:space="preserve"> =&lt;90</v>
      </c>
      <c r="AL3650" s="1" t="e">
        <f>VLOOKUP(C:C,[1]基础信息!B$1:D$65536,3,0)</f>
        <v>#N/A</v>
      </c>
      <c r="AM3650" s="1" t="e">
        <f>VLOOKUP(C:C,[1]基础信息!B$1:E$65536,4,0)</f>
        <v>#N/A</v>
      </c>
      <c r="AN3650" s="1" t="e">
        <f>VLOOKUP(C:C,[1]基础信息!B$1:F$65536,5,0)</f>
        <v>#N/A</v>
      </c>
    </row>
    <row r="3651" spans="1:40">
      <c r="A3651" s="1" t="s">
        <v>41</v>
      </c>
      <c r="B3651" s="1" t="s">
        <v>8244</v>
      </c>
      <c r="C3651" s="1" t="s">
        <v>8347</v>
      </c>
      <c r="D3651" s="1" t="s">
        <v>8348</v>
      </c>
      <c r="E3651" s="1" t="s">
        <v>45</v>
      </c>
      <c r="F3651" s="1" t="s">
        <v>8349</v>
      </c>
      <c r="G3651" s="1" t="s">
        <v>8350</v>
      </c>
      <c r="H3651" s="1" t="s">
        <v>45</v>
      </c>
      <c r="I3651" s="1" t="s">
        <v>49</v>
      </c>
      <c r="J3651" s="1" t="s">
        <v>48</v>
      </c>
      <c r="K3651" s="1">
        <v>8</v>
      </c>
      <c r="L3651" s="1">
        <v>0</v>
      </c>
      <c r="M3651" s="1">
        <v>0</v>
      </c>
      <c r="N3651" s="1">
        <v>8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 t="s">
        <v>49</v>
      </c>
      <c r="AA3651" s="1" t="s">
        <v>49</v>
      </c>
      <c r="AB3651" s="1" t="s">
        <v>49</v>
      </c>
      <c r="AC3651" s="1" t="s">
        <v>8351</v>
      </c>
      <c r="AD3651" s="1" t="s">
        <v>8352</v>
      </c>
      <c r="AE3651" s="1" t="s">
        <v>8351</v>
      </c>
      <c r="AF3651" s="1" t="s">
        <v>8353</v>
      </c>
      <c r="AG3651" s="1" t="s">
        <v>8253</v>
      </c>
      <c r="AH3651" s="1" t="s">
        <v>8354</v>
      </c>
      <c r="AI3651" s="1" t="s">
        <v>54</v>
      </c>
      <c r="AJ3651" s="1">
        <v>1</v>
      </c>
      <c r="AK3651" s="1" t="str">
        <f t="shared" si="57"/>
        <v xml:space="preserve"> =&lt;90</v>
      </c>
      <c r="AL3651" s="1" t="e">
        <f>VLOOKUP(C:C,[1]基础信息!B$1:D$65536,3,0)</f>
        <v>#N/A</v>
      </c>
      <c r="AM3651" s="1" t="e">
        <f>VLOOKUP(C:C,[1]基础信息!B$1:E$65536,4,0)</f>
        <v>#N/A</v>
      </c>
      <c r="AN3651" s="1" t="e">
        <f>VLOOKUP(C:C,[1]基础信息!B$1:F$65536,5,0)</f>
        <v>#N/A</v>
      </c>
    </row>
    <row r="3652" spans="1:40">
      <c r="A3652" s="1" t="s">
        <v>41</v>
      </c>
      <c r="B3652" s="1" t="s">
        <v>42</v>
      </c>
      <c r="C3652" s="1" t="s">
        <v>7717</v>
      </c>
      <c r="D3652" s="1" t="s">
        <v>7718</v>
      </c>
      <c r="E3652" s="1" t="s">
        <v>45</v>
      </c>
      <c r="F3652" s="1" t="s">
        <v>8355</v>
      </c>
      <c r="G3652" s="1" t="s">
        <v>8356</v>
      </c>
      <c r="H3652" s="1" t="s">
        <v>45</v>
      </c>
      <c r="I3652" s="1" t="s">
        <v>45</v>
      </c>
      <c r="J3652" s="1" t="s">
        <v>48</v>
      </c>
      <c r="K3652" s="1">
        <v>7</v>
      </c>
      <c r="L3652" s="1">
        <v>0</v>
      </c>
      <c r="M3652" s="1">
        <v>0</v>
      </c>
      <c r="N3652" s="1">
        <v>7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 t="s">
        <v>49</v>
      </c>
      <c r="AA3652" s="1" t="s">
        <v>49</v>
      </c>
      <c r="AB3652" s="1" t="s">
        <v>49</v>
      </c>
      <c r="AC3652" s="1" t="s">
        <v>8357</v>
      </c>
      <c r="AD3652" s="1" t="s">
        <v>8358</v>
      </c>
      <c r="AE3652" s="1" t="s">
        <v>8357</v>
      </c>
      <c r="AF3652" s="1" t="s">
        <v>49</v>
      </c>
      <c r="AG3652" s="1" t="s">
        <v>7747</v>
      </c>
      <c r="AH3652" s="1" t="s">
        <v>49</v>
      </c>
      <c r="AI3652" s="1" t="s">
        <v>54</v>
      </c>
      <c r="AJ3652" s="1">
        <v>1</v>
      </c>
      <c r="AK3652" s="1" t="str">
        <f t="shared" si="57"/>
        <v xml:space="preserve"> =&lt;90</v>
      </c>
      <c r="AL3652" s="1" t="str">
        <f>VLOOKUP(C:C,[1]基础信息!B$1:D$65536,3,0)</f>
        <v>Hotcup</v>
      </c>
      <c r="AM3652" s="1" t="str">
        <f>VLOOKUP(C:C,[1]基础信息!B$1:E$65536,4,0)</f>
        <v>Hotcup</v>
      </c>
      <c r="AN3652" s="1" t="str">
        <f>VLOOKUP(C:C,[1]基础信息!B$1:F$65536,5,0)</f>
        <v>Silver</v>
      </c>
    </row>
    <row r="3653" spans="1:40">
      <c r="A3653" s="1" t="s">
        <v>41</v>
      </c>
      <c r="B3653" s="1" t="s">
        <v>42</v>
      </c>
      <c r="C3653" s="1" t="s">
        <v>481</v>
      </c>
      <c r="D3653" s="1" t="s">
        <v>482</v>
      </c>
      <c r="E3653" s="1" t="s">
        <v>45</v>
      </c>
      <c r="F3653" s="1" t="s">
        <v>8359</v>
      </c>
      <c r="G3653" s="1" t="s">
        <v>8360</v>
      </c>
      <c r="H3653" s="1" t="s">
        <v>45</v>
      </c>
      <c r="I3653" s="1" t="s">
        <v>45</v>
      </c>
      <c r="J3653" s="1" t="s">
        <v>48</v>
      </c>
      <c r="K3653" s="1">
        <v>43</v>
      </c>
      <c r="L3653" s="1">
        <v>0</v>
      </c>
      <c r="M3653" s="1">
        <v>0</v>
      </c>
      <c r="N3653" s="1">
        <v>43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 t="s">
        <v>49</v>
      </c>
      <c r="AA3653" s="1" t="s">
        <v>49</v>
      </c>
      <c r="AB3653" s="1" t="s">
        <v>49</v>
      </c>
      <c r="AC3653" s="1" t="s">
        <v>5462</v>
      </c>
      <c r="AD3653" s="1" t="s">
        <v>8336</v>
      </c>
      <c r="AE3653" s="1" t="s">
        <v>5462</v>
      </c>
      <c r="AF3653" s="1" t="s">
        <v>49</v>
      </c>
      <c r="AG3653" s="1" t="s">
        <v>6921</v>
      </c>
      <c r="AH3653" s="1" t="s">
        <v>49</v>
      </c>
      <c r="AI3653" s="1" t="s">
        <v>54</v>
      </c>
      <c r="AJ3653" s="1">
        <v>1</v>
      </c>
      <c r="AK3653" s="1" t="str">
        <f t="shared" si="57"/>
        <v xml:space="preserve"> =&lt;90</v>
      </c>
      <c r="AL3653" s="1" t="str">
        <f>VLOOKUP(C:C,[1]基础信息!B$1:D$65536,3,0)</f>
        <v>Jug</v>
      </c>
      <c r="AM3653" s="1" t="str">
        <f>VLOOKUP(C:C,[1]基础信息!B$1:E$65536,4,0)</f>
        <v>Style COOL</v>
      </c>
      <c r="AN3653" s="1" t="str">
        <f>VLOOKUP(C:C,[1]基础信息!B$1:F$65536,5,0)</f>
        <v>Cool Blue</v>
      </c>
    </row>
    <row r="3654" spans="1:40">
      <c r="A3654" s="1" t="s">
        <v>41</v>
      </c>
      <c r="B3654" s="1" t="s">
        <v>8244</v>
      </c>
      <c r="C3654" s="1" t="s">
        <v>8361</v>
      </c>
      <c r="D3654" s="1" t="s">
        <v>8362</v>
      </c>
      <c r="E3654" s="1" t="s">
        <v>8363</v>
      </c>
      <c r="F3654" s="1" t="s">
        <v>8364</v>
      </c>
      <c r="G3654" s="1" t="s">
        <v>8365</v>
      </c>
      <c r="H3654" s="1" t="s">
        <v>45</v>
      </c>
      <c r="I3654" s="1" t="s">
        <v>45</v>
      </c>
      <c r="J3654" s="1" t="s">
        <v>48</v>
      </c>
      <c r="K3654" s="1">
        <v>110</v>
      </c>
      <c r="L3654" s="1">
        <v>0</v>
      </c>
      <c r="M3654" s="1">
        <v>0</v>
      </c>
      <c r="N3654" s="1">
        <v>110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 t="s">
        <v>49</v>
      </c>
      <c r="AA3654" s="1" t="s">
        <v>49</v>
      </c>
      <c r="AB3654" s="1" t="s">
        <v>49</v>
      </c>
      <c r="AC3654" s="1" t="s">
        <v>8366</v>
      </c>
      <c r="AD3654" s="1" t="s">
        <v>8367</v>
      </c>
      <c r="AE3654" s="1" t="s">
        <v>8366</v>
      </c>
      <c r="AF3654" s="1" t="s">
        <v>49</v>
      </c>
      <c r="AG3654" s="1" t="s">
        <v>8253</v>
      </c>
      <c r="AH3654" s="1" t="s">
        <v>49</v>
      </c>
      <c r="AI3654" s="1" t="s">
        <v>54</v>
      </c>
      <c r="AJ3654" s="1">
        <v>1</v>
      </c>
      <c r="AK3654" s="1" t="str">
        <f t="shared" si="57"/>
        <v xml:space="preserve"> =&lt;90</v>
      </c>
      <c r="AL3654" s="1" t="e">
        <f>VLOOKUP(C:C,[1]基础信息!B$1:D$65536,3,0)</f>
        <v>#N/A</v>
      </c>
      <c r="AM3654" s="1" t="e">
        <f>VLOOKUP(C:C,[1]基础信息!B$1:E$65536,4,0)</f>
        <v>#N/A</v>
      </c>
      <c r="AN3654" s="1" t="e">
        <f>VLOOKUP(C:C,[1]基础信息!B$1:F$65536,5,0)</f>
        <v>#N/A</v>
      </c>
    </row>
    <row r="3655" spans="1:40">
      <c r="A3655" s="1" t="s">
        <v>41</v>
      </c>
      <c r="B3655" s="1" t="s">
        <v>8244</v>
      </c>
      <c r="C3655" s="1" t="s">
        <v>8347</v>
      </c>
      <c r="D3655" s="1" t="s">
        <v>8348</v>
      </c>
      <c r="E3655" s="1" t="s">
        <v>45</v>
      </c>
      <c r="F3655" s="1" t="s">
        <v>8368</v>
      </c>
      <c r="G3655" s="1" t="s">
        <v>8369</v>
      </c>
      <c r="H3655" s="1" t="s">
        <v>45</v>
      </c>
      <c r="I3655" s="1" t="s">
        <v>45</v>
      </c>
      <c r="J3655" s="1" t="s">
        <v>48</v>
      </c>
      <c r="K3655" s="1">
        <v>4</v>
      </c>
      <c r="L3655" s="1">
        <v>0</v>
      </c>
      <c r="M3655" s="1">
        <v>0</v>
      </c>
      <c r="N3655" s="1">
        <v>4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 t="s">
        <v>49</v>
      </c>
      <c r="AA3655" s="1" t="s">
        <v>49</v>
      </c>
      <c r="AB3655" s="1" t="s">
        <v>49</v>
      </c>
      <c r="AC3655" s="1" t="s">
        <v>8370</v>
      </c>
      <c r="AD3655" s="1" t="s">
        <v>8371</v>
      </c>
      <c r="AE3655" s="1" t="s">
        <v>8370</v>
      </c>
      <c r="AF3655" s="1" t="s">
        <v>8372</v>
      </c>
      <c r="AG3655" s="1" t="s">
        <v>8253</v>
      </c>
      <c r="AH3655" s="1" t="s">
        <v>8354</v>
      </c>
      <c r="AI3655" s="1" t="s">
        <v>54</v>
      </c>
      <c r="AJ3655" s="1">
        <v>1</v>
      </c>
      <c r="AK3655" s="1" t="str">
        <f t="shared" si="57"/>
        <v xml:space="preserve"> =&lt;90</v>
      </c>
      <c r="AL3655" s="1" t="e">
        <f>VLOOKUP(C:C,[1]基础信息!B$1:D$65536,3,0)</f>
        <v>#N/A</v>
      </c>
      <c r="AM3655" s="1" t="e">
        <f>VLOOKUP(C:C,[1]基础信息!B$1:E$65536,4,0)</f>
        <v>#N/A</v>
      </c>
      <c r="AN3655" s="1" t="e">
        <f>VLOOKUP(C:C,[1]基础信息!B$1:F$65536,5,0)</f>
        <v>#N/A</v>
      </c>
    </row>
    <row r="3656" spans="1:40">
      <c r="A3656" s="1" t="s">
        <v>41</v>
      </c>
      <c r="B3656" s="1" t="s">
        <v>42</v>
      </c>
      <c r="C3656" s="1" t="s">
        <v>8373</v>
      </c>
      <c r="D3656" s="1" t="s">
        <v>8374</v>
      </c>
      <c r="E3656" s="1" t="s">
        <v>45</v>
      </c>
      <c r="F3656" s="1" t="s">
        <v>8375</v>
      </c>
      <c r="G3656" s="1" t="s">
        <v>8376</v>
      </c>
      <c r="H3656" s="1" t="s">
        <v>45</v>
      </c>
      <c r="I3656" s="1" t="s">
        <v>45</v>
      </c>
      <c r="J3656" s="1" t="s">
        <v>48</v>
      </c>
      <c r="K3656" s="1">
        <v>1</v>
      </c>
      <c r="L3656" s="1">
        <v>0</v>
      </c>
      <c r="M3656" s="1">
        <v>0</v>
      </c>
      <c r="N3656" s="1">
        <v>1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 t="s">
        <v>49</v>
      </c>
      <c r="AA3656" s="1" t="s">
        <v>49</v>
      </c>
      <c r="AB3656" s="1" t="s">
        <v>49</v>
      </c>
      <c r="AC3656" s="1" t="s">
        <v>8377</v>
      </c>
      <c r="AD3656" s="1" t="s">
        <v>8378</v>
      </c>
      <c r="AE3656" s="1" t="s">
        <v>8377</v>
      </c>
      <c r="AF3656" s="1" t="s">
        <v>8379</v>
      </c>
      <c r="AG3656" s="1" t="s">
        <v>53</v>
      </c>
      <c r="AH3656" s="1" t="s">
        <v>49</v>
      </c>
      <c r="AI3656" s="1" t="s">
        <v>54</v>
      </c>
      <c r="AJ3656" s="1">
        <v>1</v>
      </c>
      <c r="AK3656" s="1" t="str">
        <f t="shared" si="57"/>
        <v xml:space="preserve"> =&lt;90</v>
      </c>
      <c r="AL3656" s="1" t="str">
        <f>VLOOKUP(C:C,[1]基础信息!B$1:D$65536,3,0)</f>
        <v>Hotcup</v>
      </c>
      <c r="AM3656" s="1" t="str">
        <f>VLOOKUP(C:C,[1]基础信息!B$1:E$65536,4,0)</f>
        <v>Hotcup</v>
      </c>
      <c r="AN3656" s="1" t="str">
        <f>VLOOKUP(C:C,[1]基础信息!B$1:F$65536,5,0)</f>
        <v>whi</v>
      </c>
    </row>
    <row r="3657" spans="1:40">
      <c r="A3657" s="1" t="s">
        <v>41</v>
      </c>
      <c r="B3657" s="1" t="s">
        <v>8244</v>
      </c>
      <c r="C3657" s="1" t="s">
        <v>8347</v>
      </c>
      <c r="D3657" s="1" t="s">
        <v>8348</v>
      </c>
      <c r="E3657" s="1" t="s">
        <v>45</v>
      </c>
      <c r="F3657" s="1" t="s">
        <v>8380</v>
      </c>
      <c r="G3657" s="1" t="s">
        <v>8381</v>
      </c>
      <c r="H3657" s="1" t="s">
        <v>45</v>
      </c>
      <c r="I3657" s="1" t="s">
        <v>45</v>
      </c>
      <c r="J3657" s="1" t="s">
        <v>48</v>
      </c>
      <c r="K3657" s="1">
        <v>6</v>
      </c>
      <c r="L3657" s="1">
        <v>0</v>
      </c>
      <c r="M3657" s="1">
        <v>0</v>
      </c>
      <c r="N3657" s="1">
        <v>6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 t="s">
        <v>49</v>
      </c>
      <c r="AA3657" s="1" t="s">
        <v>49</v>
      </c>
      <c r="AB3657" s="1" t="s">
        <v>49</v>
      </c>
      <c r="AC3657" s="1" t="s">
        <v>8370</v>
      </c>
      <c r="AD3657" s="1" t="s">
        <v>8371</v>
      </c>
      <c r="AE3657" s="1" t="s">
        <v>8370</v>
      </c>
      <c r="AF3657" s="1" t="s">
        <v>8382</v>
      </c>
      <c r="AG3657" s="1" t="s">
        <v>8383</v>
      </c>
      <c r="AH3657" s="1" t="s">
        <v>8354</v>
      </c>
      <c r="AI3657" s="1" t="s">
        <v>54</v>
      </c>
      <c r="AJ3657" s="1">
        <v>1</v>
      </c>
      <c r="AK3657" s="1" t="str">
        <f t="shared" si="57"/>
        <v xml:space="preserve"> =&lt;90</v>
      </c>
      <c r="AL3657" s="1" t="e">
        <f>VLOOKUP(C:C,[1]基础信息!B$1:D$65536,3,0)</f>
        <v>#N/A</v>
      </c>
      <c r="AM3657" s="1" t="e">
        <f>VLOOKUP(C:C,[1]基础信息!B$1:E$65536,4,0)</f>
        <v>#N/A</v>
      </c>
      <c r="AN3657" s="1" t="e">
        <f>VLOOKUP(C:C,[1]基础信息!B$1:F$65536,5,0)</f>
        <v>#N/A</v>
      </c>
    </row>
    <row r="3658" spans="1:40">
      <c r="A3658" s="1" t="s">
        <v>41</v>
      </c>
      <c r="B3658" s="1" t="s">
        <v>8244</v>
      </c>
      <c r="C3658" s="1" t="s">
        <v>8384</v>
      </c>
      <c r="D3658" s="1" t="s">
        <v>8385</v>
      </c>
      <c r="E3658" s="1" t="s">
        <v>8386</v>
      </c>
      <c r="F3658" s="1" t="s">
        <v>8387</v>
      </c>
      <c r="G3658" s="1" t="s">
        <v>8388</v>
      </c>
      <c r="H3658" s="1" t="s">
        <v>45</v>
      </c>
      <c r="I3658" s="1" t="s">
        <v>45</v>
      </c>
      <c r="J3658" s="1" t="s">
        <v>48</v>
      </c>
      <c r="K3658" s="1">
        <v>13</v>
      </c>
      <c r="L3658" s="1">
        <v>0</v>
      </c>
      <c r="M3658" s="1">
        <v>0</v>
      </c>
      <c r="N3658" s="1">
        <v>13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 t="s">
        <v>49</v>
      </c>
      <c r="AA3658" s="1" t="s">
        <v>49</v>
      </c>
      <c r="AB3658" s="1" t="s">
        <v>49</v>
      </c>
      <c r="AC3658" s="1" t="s">
        <v>61</v>
      </c>
      <c r="AD3658" s="1" t="s">
        <v>62</v>
      </c>
      <c r="AE3658" s="1" t="s">
        <v>61</v>
      </c>
      <c r="AF3658" s="1" t="s">
        <v>49</v>
      </c>
      <c r="AG3658" s="1" t="s">
        <v>8253</v>
      </c>
      <c r="AH3658" s="1" t="s">
        <v>49</v>
      </c>
      <c r="AI3658" s="1" t="s">
        <v>54</v>
      </c>
      <c r="AJ3658" s="1">
        <v>1</v>
      </c>
      <c r="AK3658" s="1" t="str">
        <f t="shared" si="57"/>
        <v xml:space="preserve"> =&lt;90</v>
      </c>
      <c r="AL3658" s="1" t="e">
        <f>VLOOKUP(C:C,[1]基础信息!B$1:D$65536,3,0)</f>
        <v>#N/A</v>
      </c>
      <c r="AM3658" s="1" t="e">
        <f>VLOOKUP(C:C,[1]基础信息!B$1:E$65536,4,0)</f>
        <v>#N/A</v>
      </c>
      <c r="AN3658" s="1" t="e">
        <f>VLOOKUP(C:C,[1]基础信息!B$1:F$65536,5,0)</f>
        <v>#N/A</v>
      </c>
    </row>
    <row r="3659" spans="1:40">
      <c r="A3659" s="1" t="s">
        <v>41</v>
      </c>
      <c r="B3659" s="1" t="s">
        <v>42</v>
      </c>
      <c r="C3659" s="1" t="s">
        <v>3512</v>
      </c>
      <c r="D3659" s="1" t="s">
        <v>3513</v>
      </c>
      <c r="E3659" s="1" t="s">
        <v>45</v>
      </c>
      <c r="F3659" s="1" t="s">
        <v>8389</v>
      </c>
      <c r="G3659" s="1" t="s">
        <v>8390</v>
      </c>
      <c r="H3659" s="1" t="s">
        <v>45</v>
      </c>
      <c r="I3659" s="1" t="s">
        <v>45</v>
      </c>
      <c r="J3659" s="1" t="s">
        <v>48</v>
      </c>
      <c r="K3659" s="1">
        <v>49</v>
      </c>
      <c r="L3659" s="1">
        <v>0</v>
      </c>
      <c r="M3659" s="1">
        <v>0</v>
      </c>
      <c r="N3659" s="1">
        <v>49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 t="s">
        <v>49</v>
      </c>
      <c r="AA3659" s="1" t="s">
        <v>49</v>
      </c>
      <c r="AB3659" s="1" t="s">
        <v>49</v>
      </c>
      <c r="AC3659" s="1" t="s">
        <v>5462</v>
      </c>
      <c r="AD3659" s="1" t="s">
        <v>8336</v>
      </c>
      <c r="AE3659" s="1" t="s">
        <v>5462</v>
      </c>
      <c r="AF3659" s="1" t="s">
        <v>49</v>
      </c>
      <c r="AG3659" s="1" t="s">
        <v>3464</v>
      </c>
      <c r="AH3659" s="1" t="s">
        <v>49</v>
      </c>
      <c r="AI3659" s="1" t="s">
        <v>54</v>
      </c>
      <c r="AJ3659" s="1">
        <v>1</v>
      </c>
      <c r="AK3659" s="1" t="str">
        <f t="shared" si="57"/>
        <v xml:space="preserve"> =&lt;90</v>
      </c>
      <c r="AL3659" s="1" t="str">
        <f>VLOOKUP(C:C,[1]基础信息!B$1:D$65536,3,0)</f>
        <v xml:space="preserve">Cartridge </v>
      </c>
      <c r="AM3659" s="1" t="str">
        <f>VLOOKUP(C:C,[1]基础信息!B$1:E$65536,4,0)</f>
        <v>UNIV</v>
      </c>
      <c r="AN3659" s="1" t="str">
        <f>VLOOKUP(C:C,[1]基础信息!B$1:F$65536,5,0)</f>
        <v>P3</v>
      </c>
    </row>
    <row r="3660" spans="1:40">
      <c r="A3660" s="1" t="s">
        <v>41</v>
      </c>
      <c r="B3660" s="1" t="s">
        <v>8244</v>
      </c>
      <c r="C3660" s="1" t="s">
        <v>8391</v>
      </c>
      <c r="D3660" s="1" t="s">
        <v>8392</v>
      </c>
      <c r="E3660" s="1" t="s">
        <v>8393</v>
      </c>
      <c r="F3660" s="1" t="s">
        <v>8394</v>
      </c>
      <c r="G3660" s="1" t="s">
        <v>8395</v>
      </c>
      <c r="H3660" s="1" t="s">
        <v>45</v>
      </c>
      <c r="I3660" s="1" t="s">
        <v>45</v>
      </c>
      <c r="J3660" s="1" t="s">
        <v>48</v>
      </c>
      <c r="K3660" s="1">
        <v>103</v>
      </c>
      <c r="L3660" s="1">
        <v>3</v>
      </c>
      <c r="M3660" s="1">
        <v>0</v>
      </c>
      <c r="N3660" s="1">
        <v>100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 t="s">
        <v>49</v>
      </c>
      <c r="AA3660" s="1" t="s">
        <v>49</v>
      </c>
      <c r="AB3660" s="1" t="s">
        <v>49</v>
      </c>
      <c r="AC3660" s="1" t="s">
        <v>5350</v>
      </c>
      <c r="AD3660" s="1" t="s">
        <v>8332</v>
      </c>
      <c r="AE3660" s="1" t="s">
        <v>5350</v>
      </c>
      <c r="AF3660" s="1" t="s">
        <v>8396</v>
      </c>
      <c r="AG3660" s="1" t="s">
        <v>8253</v>
      </c>
      <c r="AH3660" s="1" t="s">
        <v>49</v>
      </c>
      <c r="AI3660" s="1" t="s">
        <v>54</v>
      </c>
      <c r="AJ3660" s="1">
        <v>1</v>
      </c>
      <c r="AK3660" s="1" t="str">
        <f t="shared" si="57"/>
        <v xml:space="preserve"> =&lt;90</v>
      </c>
      <c r="AL3660" s="1" t="e">
        <f>VLOOKUP(C:C,[1]基础信息!B$1:D$65536,3,0)</f>
        <v>#N/A</v>
      </c>
      <c r="AM3660" s="1" t="e">
        <f>VLOOKUP(C:C,[1]基础信息!B$1:E$65536,4,0)</f>
        <v>#N/A</v>
      </c>
      <c r="AN3660" s="1" t="e">
        <f>VLOOKUP(C:C,[1]基础信息!B$1:F$65536,5,0)</f>
        <v>#N/A</v>
      </c>
    </row>
    <row r="3661" spans="1:40">
      <c r="A3661" s="1" t="s">
        <v>41</v>
      </c>
      <c r="B3661" s="1" t="s">
        <v>8244</v>
      </c>
      <c r="C3661" s="1" t="s">
        <v>8397</v>
      </c>
      <c r="D3661" s="1" t="s">
        <v>8398</v>
      </c>
      <c r="E3661" s="1" t="s">
        <v>8399</v>
      </c>
      <c r="F3661" s="1" t="s">
        <v>8400</v>
      </c>
      <c r="G3661" s="1" t="s">
        <v>8401</v>
      </c>
      <c r="H3661" s="1" t="s">
        <v>45</v>
      </c>
      <c r="I3661" s="1" t="s">
        <v>45</v>
      </c>
      <c r="J3661" s="1" t="s">
        <v>48</v>
      </c>
      <c r="K3661" s="1">
        <v>56</v>
      </c>
      <c r="L3661" s="1">
        <v>0</v>
      </c>
      <c r="M3661" s="1">
        <v>0</v>
      </c>
      <c r="N3661" s="1">
        <v>56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 t="s">
        <v>49</v>
      </c>
      <c r="AA3661" s="1" t="s">
        <v>49</v>
      </c>
      <c r="AB3661" s="1" t="s">
        <v>49</v>
      </c>
      <c r="AC3661" s="1" t="s">
        <v>8402</v>
      </c>
      <c r="AD3661" s="1" t="s">
        <v>8403</v>
      </c>
      <c r="AE3661" s="1" t="s">
        <v>8402</v>
      </c>
      <c r="AF3661" s="1" t="s">
        <v>8404</v>
      </c>
      <c r="AG3661" s="1" t="s">
        <v>8253</v>
      </c>
      <c r="AH3661" s="1" t="s">
        <v>49</v>
      </c>
      <c r="AI3661" s="1" t="s">
        <v>54</v>
      </c>
      <c r="AJ3661" s="1">
        <v>1</v>
      </c>
      <c r="AK3661" s="1" t="str">
        <f t="shared" si="57"/>
        <v xml:space="preserve"> =&lt;90</v>
      </c>
      <c r="AL3661" s="1" t="e">
        <f>VLOOKUP(C:C,[1]基础信息!B$1:D$65536,3,0)</f>
        <v>#N/A</v>
      </c>
      <c r="AM3661" s="1" t="e">
        <f>VLOOKUP(C:C,[1]基础信息!B$1:E$65536,4,0)</f>
        <v>#N/A</v>
      </c>
      <c r="AN3661" s="1" t="e">
        <f>VLOOKUP(C:C,[1]基础信息!B$1:F$65536,5,0)</f>
        <v>#N/A</v>
      </c>
    </row>
    <row r="3662" spans="1:40">
      <c r="A3662" s="1" t="s">
        <v>41</v>
      </c>
      <c r="B3662" s="1" t="s">
        <v>42</v>
      </c>
      <c r="C3662" s="1" t="s">
        <v>1383</v>
      </c>
      <c r="D3662" s="1" t="s">
        <v>1384</v>
      </c>
      <c r="E3662" s="1" t="s">
        <v>45</v>
      </c>
      <c r="F3662" s="1" t="s">
        <v>8405</v>
      </c>
      <c r="G3662" s="1" t="s">
        <v>8406</v>
      </c>
      <c r="H3662" s="1" t="s">
        <v>45</v>
      </c>
      <c r="I3662" s="1" t="s">
        <v>45</v>
      </c>
      <c r="J3662" s="1" t="s">
        <v>48</v>
      </c>
      <c r="K3662" s="1">
        <v>67</v>
      </c>
      <c r="L3662" s="1">
        <v>0</v>
      </c>
      <c r="M3662" s="1">
        <v>0</v>
      </c>
      <c r="N3662" s="1">
        <v>67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 t="s">
        <v>49</v>
      </c>
      <c r="AA3662" s="1" t="s">
        <v>49</v>
      </c>
      <c r="AB3662" s="1" t="s">
        <v>49</v>
      </c>
      <c r="AC3662" s="1" t="s">
        <v>5462</v>
      </c>
      <c r="AD3662" s="1" t="s">
        <v>8336</v>
      </c>
      <c r="AE3662" s="1" t="s">
        <v>5462</v>
      </c>
      <c r="AF3662" s="1" t="s">
        <v>49</v>
      </c>
      <c r="AG3662" s="1" t="s">
        <v>6921</v>
      </c>
      <c r="AH3662" s="1" t="s">
        <v>49</v>
      </c>
      <c r="AI3662" s="1" t="s">
        <v>54</v>
      </c>
      <c r="AJ3662" s="1">
        <v>1</v>
      </c>
      <c r="AK3662" s="1" t="str">
        <f t="shared" si="57"/>
        <v xml:space="preserve"> =&lt;90</v>
      </c>
      <c r="AL3662" s="1" t="str">
        <f>VLOOKUP(C:C,[1]基础信息!B$1:D$65536,3,0)</f>
        <v>Jug</v>
      </c>
      <c r="AM3662" s="1" t="str">
        <f>VLOOKUP(C:C,[1]基础信息!B$1:E$65536,4,0)</f>
        <v>Mxplus</v>
      </c>
      <c r="AN3662" s="1" t="str">
        <f>VLOOKUP(C:C,[1]基础信息!B$1:F$65536,5,0)</f>
        <v>White</v>
      </c>
    </row>
    <row r="3663" spans="1:40">
      <c r="A3663" s="1" t="s">
        <v>41</v>
      </c>
      <c r="B3663" s="1" t="s">
        <v>8244</v>
      </c>
      <c r="C3663" s="1" t="s">
        <v>8391</v>
      </c>
      <c r="D3663" s="1" t="s">
        <v>8392</v>
      </c>
      <c r="E3663" s="1" t="s">
        <v>8393</v>
      </c>
      <c r="F3663" s="1" t="s">
        <v>8407</v>
      </c>
      <c r="G3663" s="1" t="s">
        <v>8408</v>
      </c>
      <c r="H3663" s="1" t="s">
        <v>45</v>
      </c>
      <c r="I3663" s="1" t="s">
        <v>45</v>
      </c>
      <c r="J3663" s="1" t="s">
        <v>48</v>
      </c>
      <c r="K3663" s="1">
        <v>37</v>
      </c>
      <c r="L3663" s="1">
        <v>0</v>
      </c>
      <c r="M3663" s="1">
        <v>0</v>
      </c>
      <c r="N3663" s="1">
        <v>37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 t="s">
        <v>49</v>
      </c>
      <c r="AA3663" s="1" t="s">
        <v>49</v>
      </c>
      <c r="AB3663" s="1" t="s">
        <v>49</v>
      </c>
      <c r="AC3663" s="1" t="s">
        <v>7567</v>
      </c>
      <c r="AD3663" s="1" t="s">
        <v>7568</v>
      </c>
      <c r="AE3663" s="1" t="s">
        <v>7567</v>
      </c>
      <c r="AF3663" s="1" t="s">
        <v>8409</v>
      </c>
      <c r="AG3663" s="1" t="s">
        <v>8253</v>
      </c>
      <c r="AH3663" s="1" t="s">
        <v>49</v>
      </c>
      <c r="AI3663" s="1" t="s">
        <v>54</v>
      </c>
      <c r="AJ3663" s="1">
        <v>1</v>
      </c>
      <c r="AK3663" s="1" t="str">
        <f t="shared" si="57"/>
        <v xml:space="preserve"> =&lt;90</v>
      </c>
      <c r="AL3663" s="1" t="e">
        <f>VLOOKUP(C:C,[1]基础信息!B$1:D$65536,3,0)</f>
        <v>#N/A</v>
      </c>
      <c r="AM3663" s="1" t="e">
        <f>VLOOKUP(C:C,[1]基础信息!B$1:E$65536,4,0)</f>
        <v>#N/A</v>
      </c>
      <c r="AN3663" s="1" t="e">
        <f>VLOOKUP(C:C,[1]基础信息!B$1:F$65536,5,0)</f>
        <v>#N/A</v>
      </c>
    </row>
    <row r="3664" spans="1:40">
      <c r="A3664" s="1" t="s">
        <v>41</v>
      </c>
      <c r="B3664" s="1" t="s">
        <v>8244</v>
      </c>
      <c r="C3664" s="1" t="s">
        <v>8410</v>
      </c>
      <c r="D3664" s="1" t="s">
        <v>8411</v>
      </c>
      <c r="E3664" s="1" t="s">
        <v>8412</v>
      </c>
      <c r="F3664" s="1" t="s">
        <v>8413</v>
      </c>
      <c r="G3664" s="1" t="s">
        <v>8414</v>
      </c>
      <c r="H3664" s="1" t="s">
        <v>45</v>
      </c>
      <c r="I3664" s="1" t="s">
        <v>45</v>
      </c>
      <c r="J3664" s="1" t="s">
        <v>48</v>
      </c>
      <c r="K3664" s="1">
        <v>106</v>
      </c>
      <c r="L3664" s="1">
        <v>0</v>
      </c>
      <c r="M3664" s="1">
        <v>0</v>
      </c>
      <c r="N3664" s="1">
        <v>106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 t="s">
        <v>49</v>
      </c>
      <c r="AA3664" s="1" t="s">
        <v>49</v>
      </c>
      <c r="AB3664" s="1" t="s">
        <v>49</v>
      </c>
      <c r="AC3664" s="1" t="s">
        <v>61</v>
      </c>
      <c r="AD3664" s="1" t="s">
        <v>62</v>
      </c>
      <c r="AE3664" s="1" t="s">
        <v>61</v>
      </c>
      <c r="AF3664" s="1" t="s">
        <v>8415</v>
      </c>
      <c r="AG3664" s="1" t="s">
        <v>8253</v>
      </c>
      <c r="AH3664" s="1" t="s">
        <v>49</v>
      </c>
      <c r="AI3664" s="1" t="s">
        <v>54</v>
      </c>
      <c r="AJ3664" s="1">
        <v>1</v>
      </c>
      <c r="AK3664" s="1" t="str">
        <f t="shared" si="57"/>
        <v xml:space="preserve"> =&lt;90</v>
      </c>
      <c r="AL3664" s="1" t="e">
        <f>VLOOKUP(C:C,[1]基础信息!B$1:D$65536,3,0)</f>
        <v>#N/A</v>
      </c>
      <c r="AM3664" s="1" t="e">
        <f>VLOOKUP(C:C,[1]基础信息!B$1:E$65536,4,0)</f>
        <v>#N/A</v>
      </c>
      <c r="AN3664" s="1" t="e">
        <f>VLOOKUP(C:C,[1]基础信息!B$1:F$65536,5,0)</f>
        <v>#N/A</v>
      </c>
    </row>
    <row r="3665" spans="1:40">
      <c r="A3665" s="1" t="s">
        <v>41</v>
      </c>
      <c r="B3665" s="1" t="s">
        <v>42</v>
      </c>
      <c r="C3665" s="1" t="s">
        <v>554</v>
      </c>
      <c r="D3665" s="1" t="s">
        <v>555</v>
      </c>
      <c r="E3665" s="1" t="s">
        <v>45</v>
      </c>
      <c r="F3665" s="1" t="s">
        <v>8416</v>
      </c>
      <c r="G3665" s="1" t="s">
        <v>8417</v>
      </c>
      <c r="H3665" s="1" t="s">
        <v>8418</v>
      </c>
      <c r="I3665" s="1" t="s">
        <v>49</v>
      </c>
      <c r="J3665" s="1" t="s">
        <v>48</v>
      </c>
      <c r="K3665" s="1">
        <v>53</v>
      </c>
      <c r="L3665" s="1">
        <v>0</v>
      </c>
      <c r="M3665" s="1">
        <v>0</v>
      </c>
      <c r="N3665" s="1">
        <v>53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 t="s">
        <v>49</v>
      </c>
      <c r="AA3665" s="1" t="s">
        <v>49</v>
      </c>
      <c r="AB3665" s="1" t="s">
        <v>49</v>
      </c>
      <c r="AC3665" s="1" t="s">
        <v>7670</v>
      </c>
      <c r="AD3665" s="1" t="s">
        <v>7671</v>
      </c>
      <c r="AE3665" s="1" t="s">
        <v>7670</v>
      </c>
      <c r="AF3665" s="1" t="s">
        <v>7672</v>
      </c>
      <c r="AG3665" s="1" t="s">
        <v>53</v>
      </c>
      <c r="AH3665" s="1" t="s">
        <v>49</v>
      </c>
      <c r="AI3665" s="1" t="s">
        <v>54</v>
      </c>
      <c r="AJ3665" s="1">
        <v>1</v>
      </c>
      <c r="AK3665" s="1" t="str">
        <f t="shared" si="57"/>
        <v xml:space="preserve"> =&lt;90</v>
      </c>
      <c r="AL3665" s="1" t="str">
        <f>VLOOKUP(C:C,[1]基础信息!B$1:D$65536,3,0)</f>
        <v>Jug</v>
      </c>
      <c r="AM3665" s="1" t="str">
        <f>VLOOKUP(C:C,[1]基础信息!B$1:E$65536,4,0)</f>
        <v>Green Pack</v>
      </c>
      <c r="AN3665" s="1" t="str">
        <f>VLOOKUP(C:C,[1]基础信息!B$1:F$65536,5,0)</f>
        <v>Blue</v>
      </c>
    </row>
    <row r="3666" spans="1:40">
      <c r="A3666" s="1" t="s">
        <v>41</v>
      </c>
      <c r="B3666" s="1" t="s">
        <v>8244</v>
      </c>
      <c r="C3666" s="1" t="s">
        <v>8323</v>
      </c>
      <c r="D3666" s="1" t="s">
        <v>8324</v>
      </c>
      <c r="E3666" s="1" t="s">
        <v>45</v>
      </c>
      <c r="F3666" s="1" t="s">
        <v>8325</v>
      </c>
      <c r="G3666" s="1" t="s">
        <v>8419</v>
      </c>
      <c r="H3666" s="1" t="s">
        <v>45</v>
      </c>
      <c r="I3666" s="1" t="s">
        <v>45</v>
      </c>
      <c r="J3666" s="1" t="s">
        <v>48</v>
      </c>
      <c r="K3666" s="1">
        <v>54</v>
      </c>
      <c r="L3666" s="1">
        <v>0</v>
      </c>
      <c r="M3666" s="1">
        <v>0</v>
      </c>
      <c r="N3666" s="1">
        <v>54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 t="s">
        <v>49</v>
      </c>
      <c r="AA3666" s="1" t="s">
        <v>49</v>
      </c>
      <c r="AB3666" s="1" t="s">
        <v>49</v>
      </c>
      <c r="AC3666" s="1" t="s">
        <v>8327</v>
      </c>
      <c r="AD3666" s="1" t="s">
        <v>8328</v>
      </c>
      <c r="AE3666" s="1" t="s">
        <v>8327</v>
      </c>
      <c r="AF3666" s="1" t="s">
        <v>8329</v>
      </c>
      <c r="AG3666" s="1" t="s">
        <v>8253</v>
      </c>
      <c r="AH3666" s="1" t="s">
        <v>49</v>
      </c>
      <c r="AI3666" s="1" t="s">
        <v>54</v>
      </c>
      <c r="AJ3666" s="1">
        <v>1</v>
      </c>
      <c r="AK3666" s="1" t="str">
        <f t="shared" si="57"/>
        <v xml:space="preserve"> =&lt;90</v>
      </c>
      <c r="AL3666" s="1" t="e">
        <f>VLOOKUP(C:C,[1]基础信息!B$1:D$65536,3,0)</f>
        <v>#N/A</v>
      </c>
      <c r="AM3666" s="1" t="e">
        <f>VLOOKUP(C:C,[1]基础信息!B$1:E$65536,4,0)</f>
        <v>#N/A</v>
      </c>
      <c r="AN3666" s="1" t="e">
        <f>VLOOKUP(C:C,[1]基础信息!B$1:F$65536,5,0)</f>
        <v>#N/A</v>
      </c>
    </row>
    <row r="3667" spans="1:40">
      <c r="A3667" s="1" t="s">
        <v>41</v>
      </c>
      <c r="B3667" s="1" t="s">
        <v>8244</v>
      </c>
      <c r="C3667" s="1" t="s">
        <v>8347</v>
      </c>
      <c r="D3667" s="1" t="s">
        <v>8348</v>
      </c>
      <c r="E3667" s="1" t="s">
        <v>45</v>
      </c>
      <c r="F3667" s="1" t="s">
        <v>8420</v>
      </c>
      <c r="G3667" s="1" t="s">
        <v>8421</v>
      </c>
      <c r="H3667" s="1" t="s">
        <v>45</v>
      </c>
      <c r="I3667" s="1" t="s">
        <v>45</v>
      </c>
      <c r="J3667" s="1" t="s">
        <v>48</v>
      </c>
      <c r="K3667" s="1">
        <v>10</v>
      </c>
      <c r="L3667" s="1">
        <v>0</v>
      </c>
      <c r="M3667" s="1">
        <v>0</v>
      </c>
      <c r="N3667" s="1">
        <v>10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 t="s">
        <v>49</v>
      </c>
      <c r="AA3667" s="1" t="s">
        <v>49</v>
      </c>
      <c r="AB3667" s="1" t="s">
        <v>49</v>
      </c>
      <c r="AC3667" s="1" t="s">
        <v>8422</v>
      </c>
      <c r="AD3667" s="1" t="s">
        <v>8423</v>
      </c>
      <c r="AE3667" s="1" t="s">
        <v>8422</v>
      </c>
      <c r="AF3667" s="1" t="s">
        <v>8424</v>
      </c>
      <c r="AG3667" s="1" t="s">
        <v>8253</v>
      </c>
      <c r="AH3667" s="1" t="s">
        <v>8354</v>
      </c>
      <c r="AI3667" s="1" t="s">
        <v>54</v>
      </c>
      <c r="AJ3667" s="1">
        <v>1</v>
      </c>
      <c r="AK3667" s="1" t="str">
        <f t="shared" si="57"/>
        <v xml:space="preserve"> =&lt;90</v>
      </c>
      <c r="AL3667" s="1" t="e">
        <f>VLOOKUP(C:C,[1]基础信息!B$1:D$65536,3,0)</f>
        <v>#N/A</v>
      </c>
      <c r="AM3667" s="1" t="e">
        <f>VLOOKUP(C:C,[1]基础信息!B$1:E$65536,4,0)</f>
        <v>#N/A</v>
      </c>
      <c r="AN3667" s="1" t="e">
        <f>VLOOKUP(C:C,[1]基础信息!B$1:F$65536,5,0)</f>
        <v>#N/A</v>
      </c>
    </row>
    <row r="3668" spans="1:40">
      <c r="A3668" s="1" t="s">
        <v>41</v>
      </c>
      <c r="B3668" s="1" t="s">
        <v>42</v>
      </c>
      <c r="C3668" s="1" t="s">
        <v>301</v>
      </c>
      <c r="D3668" s="1" t="s">
        <v>302</v>
      </c>
      <c r="E3668" s="1" t="s">
        <v>45</v>
      </c>
      <c r="F3668" s="1" t="s">
        <v>8425</v>
      </c>
      <c r="G3668" s="1" t="s">
        <v>8426</v>
      </c>
      <c r="H3668" s="1" t="s">
        <v>45</v>
      </c>
      <c r="I3668" s="1" t="s">
        <v>45</v>
      </c>
      <c r="J3668" s="1" t="s">
        <v>48</v>
      </c>
      <c r="K3668" s="1">
        <v>100</v>
      </c>
      <c r="L3668" s="1">
        <v>0</v>
      </c>
      <c r="M3668" s="1">
        <v>0</v>
      </c>
      <c r="N3668" s="1">
        <v>100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 t="s">
        <v>49</v>
      </c>
      <c r="AA3668" s="1" t="s">
        <v>49</v>
      </c>
      <c r="AB3668" s="1" t="s">
        <v>49</v>
      </c>
      <c r="AC3668" s="1" t="s">
        <v>5462</v>
      </c>
      <c r="AD3668" s="1" t="s">
        <v>8336</v>
      </c>
      <c r="AE3668" s="1" t="s">
        <v>5462</v>
      </c>
      <c r="AF3668" s="1" t="s">
        <v>49</v>
      </c>
      <c r="AG3668" s="1" t="s">
        <v>6921</v>
      </c>
      <c r="AH3668" s="1" t="s">
        <v>49</v>
      </c>
      <c r="AI3668" s="1" t="s">
        <v>54</v>
      </c>
      <c r="AJ3668" s="1">
        <v>1</v>
      </c>
      <c r="AK3668" s="1" t="str">
        <f t="shared" si="57"/>
        <v xml:space="preserve"> =&lt;90</v>
      </c>
      <c r="AL3668" s="1" t="str">
        <f>VLOOKUP(C:C,[1]基础信息!B$1:D$65536,3,0)</f>
        <v>Jug</v>
      </c>
      <c r="AM3668" s="1" t="str">
        <f>VLOOKUP(C:C,[1]基础信息!B$1:E$65536,4,0)</f>
        <v>Aluna</v>
      </c>
      <c r="AN3668" s="1" t="str">
        <f>VLOOKUP(C:C,[1]基础信息!B$1:F$65536,5,0)</f>
        <v>Blue</v>
      </c>
    </row>
    <row r="3669" spans="1:40">
      <c r="A3669" s="1" t="s">
        <v>41</v>
      </c>
      <c r="B3669" s="1" t="s">
        <v>42</v>
      </c>
      <c r="C3669" s="1" t="s">
        <v>341</v>
      </c>
      <c r="D3669" s="1" t="s">
        <v>342</v>
      </c>
      <c r="E3669" s="1" t="s">
        <v>45</v>
      </c>
      <c r="F3669" s="1" t="s">
        <v>8427</v>
      </c>
      <c r="G3669" s="1" t="s">
        <v>8428</v>
      </c>
      <c r="H3669" s="1" t="s">
        <v>45</v>
      </c>
      <c r="I3669" s="1" t="s">
        <v>45</v>
      </c>
      <c r="J3669" s="1" t="s">
        <v>48</v>
      </c>
      <c r="K3669" s="1">
        <v>6</v>
      </c>
      <c r="L3669" s="1">
        <v>0</v>
      </c>
      <c r="M3669" s="1">
        <v>0</v>
      </c>
      <c r="N3669" s="1">
        <v>6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 t="s">
        <v>49</v>
      </c>
      <c r="AA3669" s="1" t="s">
        <v>49</v>
      </c>
      <c r="AB3669" s="1" t="s">
        <v>49</v>
      </c>
      <c r="AC3669" s="1" t="s">
        <v>8429</v>
      </c>
      <c r="AD3669" s="1" t="s">
        <v>8430</v>
      </c>
      <c r="AE3669" s="1" t="s">
        <v>8429</v>
      </c>
      <c r="AF3669" s="1" t="s">
        <v>8431</v>
      </c>
      <c r="AG3669" s="1" t="s">
        <v>1952</v>
      </c>
      <c r="AH3669" s="1" t="s">
        <v>49</v>
      </c>
      <c r="AI3669" s="1" t="s">
        <v>54</v>
      </c>
      <c r="AJ3669" s="1">
        <v>0</v>
      </c>
      <c r="AK3669" s="1" t="str">
        <f t="shared" si="57"/>
        <v xml:space="preserve"> =&lt;90</v>
      </c>
      <c r="AL3669" s="1" t="str">
        <f>VLOOKUP(C:C,[1]基础信息!B$1:D$65536,3,0)</f>
        <v>Jug</v>
      </c>
      <c r="AM3669" s="1" t="str">
        <f>VLOOKUP(C:C,[1]基础信息!B$1:E$65536,4,0)</f>
        <v>Marella</v>
      </c>
      <c r="AN3669" s="1" t="str">
        <f>VLOOKUP(C:C,[1]基础信息!B$1:F$65536,5,0)</f>
        <v>Blue Glitter</v>
      </c>
    </row>
    <row r="3670" spans="1:40">
      <c r="A3670" s="1" t="s">
        <v>41</v>
      </c>
      <c r="B3670" s="1" t="s">
        <v>42</v>
      </c>
      <c r="C3670" s="1" t="s">
        <v>341</v>
      </c>
      <c r="D3670" s="1" t="s">
        <v>342</v>
      </c>
      <c r="E3670" s="1" t="s">
        <v>45</v>
      </c>
      <c r="F3670" s="1" t="s">
        <v>8432</v>
      </c>
      <c r="G3670" s="1" t="s">
        <v>8428</v>
      </c>
      <c r="H3670" s="1" t="s">
        <v>45</v>
      </c>
      <c r="I3670" s="1" t="s">
        <v>45</v>
      </c>
      <c r="J3670" s="1" t="s">
        <v>48</v>
      </c>
      <c r="K3670" s="1">
        <v>3</v>
      </c>
      <c r="L3670" s="1">
        <v>0</v>
      </c>
      <c r="M3670" s="1">
        <v>0</v>
      </c>
      <c r="N3670" s="1">
        <v>3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 t="s">
        <v>49</v>
      </c>
      <c r="AA3670" s="1" t="s">
        <v>49</v>
      </c>
      <c r="AB3670" s="1" t="s">
        <v>49</v>
      </c>
      <c r="AC3670" s="1" t="s">
        <v>8433</v>
      </c>
      <c r="AD3670" s="1" t="s">
        <v>8434</v>
      </c>
      <c r="AE3670" s="1" t="s">
        <v>8433</v>
      </c>
      <c r="AF3670" s="1" t="s">
        <v>8431</v>
      </c>
      <c r="AG3670" s="1" t="s">
        <v>1952</v>
      </c>
      <c r="AH3670" s="1" t="s">
        <v>49</v>
      </c>
      <c r="AI3670" s="1" t="s">
        <v>54</v>
      </c>
      <c r="AJ3670" s="1">
        <v>1</v>
      </c>
      <c r="AK3670" s="1" t="str">
        <f t="shared" si="57"/>
        <v xml:space="preserve"> =&lt;90</v>
      </c>
      <c r="AL3670" s="1" t="str">
        <f>VLOOKUP(C:C,[1]基础信息!B$1:D$65536,3,0)</f>
        <v>Jug</v>
      </c>
      <c r="AM3670" s="1" t="str">
        <f>VLOOKUP(C:C,[1]基础信息!B$1:E$65536,4,0)</f>
        <v>Marella</v>
      </c>
      <c r="AN3670" s="1" t="str">
        <f>VLOOKUP(C:C,[1]基础信息!B$1:F$65536,5,0)</f>
        <v>Blue Glitter</v>
      </c>
    </row>
    <row r="3671" spans="1:40">
      <c r="A3671" s="1" t="s">
        <v>41</v>
      </c>
      <c r="B3671" s="1" t="s">
        <v>42</v>
      </c>
      <c r="C3671" s="1" t="s">
        <v>554</v>
      </c>
      <c r="D3671" s="1" t="s">
        <v>555</v>
      </c>
      <c r="E3671" s="1" t="s">
        <v>45</v>
      </c>
      <c r="F3671" s="1" t="s">
        <v>8416</v>
      </c>
      <c r="G3671" s="1" t="s">
        <v>8435</v>
      </c>
      <c r="H3671" s="1" t="s">
        <v>8436</v>
      </c>
      <c r="I3671" s="1" t="s">
        <v>49</v>
      </c>
      <c r="J3671" s="1" t="s">
        <v>48</v>
      </c>
      <c r="K3671" s="1">
        <v>70</v>
      </c>
      <c r="L3671" s="1">
        <v>0</v>
      </c>
      <c r="M3671" s="1">
        <v>0</v>
      </c>
      <c r="N3671" s="1">
        <v>70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 t="s">
        <v>49</v>
      </c>
      <c r="AA3671" s="1" t="s">
        <v>49</v>
      </c>
      <c r="AB3671" s="1" t="s">
        <v>49</v>
      </c>
      <c r="AC3671" s="1" t="s">
        <v>7670</v>
      </c>
      <c r="AD3671" s="1" t="s">
        <v>7671</v>
      </c>
      <c r="AE3671" s="1" t="s">
        <v>7670</v>
      </c>
      <c r="AF3671" s="1" t="s">
        <v>7672</v>
      </c>
      <c r="AG3671" s="1" t="s">
        <v>53</v>
      </c>
      <c r="AH3671" s="1" t="s">
        <v>49</v>
      </c>
      <c r="AI3671" s="1" t="s">
        <v>54</v>
      </c>
      <c r="AJ3671" s="1">
        <v>1</v>
      </c>
      <c r="AK3671" s="1" t="str">
        <f t="shared" si="57"/>
        <v xml:space="preserve"> =&lt;90</v>
      </c>
      <c r="AL3671" s="1" t="str">
        <f>VLOOKUP(C:C,[1]基础信息!B$1:D$65536,3,0)</f>
        <v>Jug</v>
      </c>
      <c r="AM3671" s="1" t="str">
        <f>VLOOKUP(C:C,[1]基础信息!B$1:E$65536,4,0)</f>
        <v>Green Pack</v>
      </c>
      <c r="AN3671" s="1" t="str">
        <f>VLOOKUP(C:C,[1]基础信息!B$1:F$65536,5,0)</f>
        <v>Blue</v>
      </c>
    </row>
    <row r="3672" spans="1:40">
      <c r="A3672" s="1" t="s">
        <v>41</v>
      </c>
      <c r="B3672" s="1" t="s">
        <v>8244</v>
      </c>
      <c r="C3672" s="1" t="s">
        <v>8347</v>
      </c>
      <c r="D3672" s="1" t="s">
        <v>8348</v>
      </c>
      <c r="E3672" s="1" t="s">
        <v>45</v>
      </c>
      <c r="F3672" s="1" t="s">
        <v>8437</v>
      </c>
      <c r="G3672" s="1" t="s">
        <v>8438</v>
      </c>
      <c r="H3672" s="1" t="s">
        <v>45</v>
      </c>
      <c r="I3672" s="1" t="s">
        <v>49</v>
      </c>
      <c r="J3672" s="1" t="s">
        <v>48</v>
      </c>
      <c r="K3672" s="1">
        <v>4</v>
      </c>
      <c r="L3672" s="1">
        <v>0</v>
      </c>
      <c r="M3672" s="1">
        <v>0</v>
      </c>
      <c r="N3672" s="1">
        <v>4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 t="s">
        <v>49</v>
      </c>
      <c r="AA3672" s="1" t="s">
        <v>49</v>
      </c>
      <c r="AB3672" s="1" t="s">
        <v>49</v>
      </c>
      <c r="AC3672" s="1" t="s">
        <v>8351</v>
      </c>
      <c r="AD3672" s="1" t="s">
        <v>8352</v>
      </c>
      <c r="AE3672" s="1" t="s">
        <v>8351</v>
      </c>
      <c r="AF3672" s="1" t="s">
        <v>8439</v>
      </c>
      <c r="AG3672" s="1" t="s">
        <v>8253</v>
      </c>
      <c r="AH3672" s="1" t="s">
        <v>8440</v>
      </c>
      <c r="AI3672" s="1" t="s">
        <v>54</v>
      </c>
      <c r="AJ3672" s="1">
        <v>1</v>
      </c>
      <c r="AK3672" s="1" t="str">
        <f t="shared" si="57"/>
        <v xml:space="preserve"> =&lt;90</v>
      </c>
      <c r="AL3672" s="1" t="e">
        <f>VLOOKUP(C:C,[1]基础信息!B$1:D$65536,3,0)</f>
        <v>#N/A</v>
      </c>
      <c r="AM3672" s="1" t="e">
        <f>VLOOKUP(C:C,[1]基础信息!B$1:E$65536,4,0)</f>
        <v>#N/A</v>
      </c>
      <c r="AN3672" s="1" t="e">
        <f>VLOOKUP(C:C,[1]基础信息!B$1:F$65536,5,0)</f>
        <v>#N/A</v>
      </c>
    </row>
    <row r="3673" spans="1:40">
      <c r="A3673" s="1" t="s">
        <v>41</v>
      </c>
      <c r="B3673" s="1" t="s">
        <v>8244</v>
      </c>
      <c r="C3673" s="1" t="s">
        <v>8397</v>
      </c>
      <c r="D3673" s="1" t="s">
        <v>8398</v>
      </c>
      <c r="E3673" s="1" t="s">
        <v>8399</v>
      </c>
      <c r="F3673" s="1" t="s">
        <v>8441</v>
      </c>
      <c r="G3673" s="1" t="s">
        <v>8442</v>
      </c>
      <c r="H3673" s="1" t="s">
        <v>45</v>
      </c>
      <c r="I3673" s="1" t="s">
        <v>45</v>
      </c>
      <c r="J3673" s="1" t="s">
        <v>48</v>
      </c>
      <c r="K3673" s="1">
        <v>36</v>
      </c>
      <c r="L3673" s="1">
        <v>0</v>
      </c>
      <c r="M3673" s="1">
        <v>0</v>
      </c>
      <c r="N3673" s="1">
        <v>36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 t="s">
        <v>49</v>
      </c>
      <c r="AA3673" s="1" t="s">
        <v>49</v>
      </c>
      <c r="AB3673" s="1" t="s">
        <v>49</v>
      </c>
      <c r="AC3673" s="1" t="s">
        <v>1188</v>
      </c>
      <c r="AD3673" s="1" t="s">
        <v>1189</v>
      </c>
      <c r="AE3673" s="1" t="s">
        <v>1188</v>
      </c>
      <c r="AF3673" s="1" t="s">
        <v>8443</v>
      </c>
      <c r="AG3673" s="1" t="s">
        <v>8253</v>
      </c>
      <c r="AH3673" s="1" t="s">
        <v>49</v>
      </c>
      <c r="AI3673" s="1" t="s">
        <v>54</v>
      </c>
      <c r="AJ3673" s="1">
        <v>1</v>
      </c>
      <c r="AK3673" s="1" t="str">
        <f t="shared" si="57"/>
        <v xml:space="preserve"> =&lt;90</v>
      </c>
      <c r="AL3673" s="1" t="e">
        <f>VLOOKUP(C:C,[1]基础信息!B$1:D$65536,3,0)</f>
        <v>#N/A</v>
      </c>
      <c r="AM3673" s="1" t="e">
        <f>VLOOKUP(C:C,[1]基础信息!B$1:E$65536,4,0)</f>
        <v>#N/A</v>
      </c>
      <c r="AN3673" s="1" t="e">
        <f>VLOOKUP(C:C,[1]基础信息!B$1:F$65536,5,0)</f>
        <v>#N/A</v>
      </c>
    </row>
    <row r="3674" spans="1:40">
      <c r="A3674" s="1" t="s">
        <v>41</v>
      </c>
      <c r="B3674" s="1" t="s">
        <v>8244</v>
      </c>
      <c r="C3674" s="1" t="s">
        <v>8323</v>
      </c>
      <c r="D3674" s="1" t="s">
        <v>8324</v>
      </c>
      <c r="E3674" s="1" t="s">
        <v>45</v>
      </c>
      <c r="F3674" s="1" t="s">
        <v>8444</v>
      </c>
      <c r="G3674" s="1" t="s">
        <v>8445</v>
      </c>
      <c r="H3674" s="1" t="s">
        <v>45</v>
      </c>
      <c r="I3674" s="1" t="s">
        <v>45</v>
      </c>
      <c r="J3674" s="1" t="s">
        <v>48</v>
      </c>
      <c r="K3674" s="1">
        <v>72</v>
      </c>
      <c r="L3674" s="1">
        <v>0</v>
      </c>
      <c r="M3674" s="1">
        <v>0</v>
      </c>
      <c r="N3674" s="1">
        <v>72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 t="s">
        <v>49</v>
      </c>
      <c r="AA3674" s="1" t="s">
        <v>49</v>
      </c>
      <c r="AB3674" s="1" t="s">
        <v>49</v>
      </c>
      <c r="AC3674" s="1" t="s">
        <v>61</v>
      </c>
      <c r="AD3674" s="1" t="s">
        <v>62</v>
      </c>
      <c r="AE3674" s="1" t="s">
        <v>61</v>
      </c>
      <c r="AF3674" s="1" t="s">
        <v>8446</v>
      </c>
      <c r="AG3674" s="1" t="s">
        <v>8253</v>
      </c>
      <c r="AH3674" s="1" t="s">
        <v>49</v>
      </c>
      <c r="AI3674" s="1" t="s">
        <v>54</v>
      </c>
      <c r="AJ3674" s="1">
        <v>1</v>
      </c>
      <c r="AK3674" s="1" t="str">
        <f t="shared" si="57"/>
        <v xml:space="preserve"> =&lt;90</v>
      </c>
      <c r="AL3674" s="1" t="e">
        <f>VLOOKUP(C:C,[1]基础信息!B$1:D$65536,3,0)</f>
        <v>#N/A</v>
      </c>
      <c r="AM3674" s="1" t="e">
        <f>VLOOKUP(C:C,[1]基础信息!B$1:E$65536,4,0)</f>
        <v>#N/A</v>
      </c>
      <c r="AN3674" s="1" t="e">
        <f>VLOOKUP(C:C,[1]基础信息!B$1:F$65536,5,0)</f>
        <v>#N/A</v>
      </c>
    </row>
    <row r="3675" spans="1:40">
      <c r="A3675" s="1" t="s">
        <v>41</v>
      </c>
      <c r="B3675" s="1" t="s">
        <v>42</v>
      </c>
      <c r="C3675" s="1" t="s">
        <v>8447</v>
      </c>
      <c r="D3675" s="1" t="s">
        <v>8448</v>
      </c>
      <c r="E3675" s="1" t="s">
        <v>45</v>
      </c>
      <c r="F3675" s="1" t="s">
        <v>8449</v>
      </c>
      <c r="G3675" s="1" t="s">
        <v>8450</v>
      </c>
      <c r="H3675" s="1" t="s">
        <v>45</v>
      </c>
      <c r="I3675" s="1" t="s">
        <v>45</v>
      </c>
      <c r="J3675" s="1" t="s">
        <v>48</v>
      </c>
      <c r="K3675" s="1">
        <v>1</v>
      </c>
      <c r="L3675" s="1">
        <v>0</v>
      </c>
      <c r="M3675" s="1">
        <v>0</v>
      </c>
      <c r="N3675" s="1">
        <v>1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 t="s">
        <v>49</v>
      </c>
      <c r="AA3675" s="1" t="s">
        <v>49</v>
      </c>
      <c r="AB3675" s="1" t="s">
        <v>49</v>
      </c>
      <c r="AC3675" s="1" t="s">
        <v>8451</v>
      </c>
      <c r="AD3675" s="1" t="s">
        <v>8452</v>
      </c>
      <c r="AE3675" s="1" t="s">
        <v>8451</v>
      </c>
      <c r="AF3675" s="1" t="s">
        <v>49</v>
      </c>
      <c r="AG3675" s="1" t="s">
        <v>1952</v>
      </c>
      <c r="AH3675" s="1" t="s">
        <v>49</v>
      </c>
      <c r="AI3675" s="1" t="s">
        <v>54</v>
      </c>
      <c r="AJ3675" s="1">
        <v>0</v>
      </c>
      <c r="AK3675" s="1" t="str">
        <f t="shared" si="57"/>
        <v xml:space="preserve"> =&lt;90</v>
      </c>
      <c r="AL3675" s="1" t="str">
        <f>VLOOKUP(C:C,[1]基础信息!B$1:D$65536,3,0)</f>
        <v>Jug</v>
      </c>
      <c r="AM3675" s="1" t="str">
        <f>VLOOKUP(C:C,[1]基础信息!B$1:E$65536,4,0)</f>
        <v>Marella XL</v>
      </c>
      <c r="AN3675" s="1" t="str">
        <f>VLOOKUP(C:C,[1]基础信息!B$1:F$65536,5,0)</f>
        <v>Blue</v>
      </c>
    </row>
    <row r="3676" spans="1:40">
      <c r="A3676" s="1" t="s">
        <v>41</v>
      </c>
      <c r="B3676" s="1" t="s">
        <v>42</v>
      </c>
      <c r="C3676" s="1" t="s">
        <v>8447</v>
      </c>
      <c r="D3676" s="1" t="s">
        <v>8448</v>
      </c>
      <c r="E3676" s="1" t="s">
        <v>45</v>
      </c>
      <c r="F3676" s="1" t="s">
        <v>8453</v>
      </c>
      <c r="G3676" s="1" t="s">
        <v>8450</v>
      </c>
      <c r="H3676" s="1" t="s">
        <v>45</v>
      </c>
      <c r="I3676" s="1" t="s">
        <v>45</v>
      </c>
      <c r="J3676" s="1" t="s">
        <v>48</v>
      </c>
      <c r="K3676" s="1">
        <v>3</v>
      </c>
      <c r="L3676" s="1">
        <v>0</v>
      </c>
      <c r="M3676" s="1">
        <v>0</v>
      </c>
      <c r="N3676" s="1">
        <v>3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 t="s">
        <v>49</v>
      </c>
      <c r="AA3676" s="1" t="s">
        <v>49</v>
      </c>
      <c r="AB3676" s="1" t="s">
        <v>49</v>
      </c>
      <c r="AC3676" s="1" t="s">
        <v>8454</v>
      </c>
      <c r="AD3676" s="1" t="s">
        <v>8455</v>
      </c>
      <c r="AE3676" s="1" t="s">
        <v>8454</v>
      </c>
      <c r="AF3676" s="1" t="s">
        <v>49</v>
      </c>
      <c r="AG3676" s="1" t="s">
        <v>1952</v>
      </c>
      <c r="AH3676" s="1" t="s">
        <v>49</v>
      </c>
      <c r="AI3676" s="1" t="s">
        <v>54</v>
      </c>
      <c r="AJ3676" s="1">
        <v>1</v>
      </c>
      <c r="AK3676" s="1" t="str">
        <f t="shared" si="57"/>
        <v xml:space="preserve"> =&lt;90</v>
      </c>
      <c r="AL3676" s="1" t="str">
        <f>VLOOKUP(C:C,[1]基础信息!B$1:D$65536,3,0)</f>
        <v>Jug</v>
      </c>
      <c r="AM3676" s="1" t="str">
        <f>VLOOKUP(C:C,[1]基础信息!B$1:E$65536,4,0)</f>
        <v>Marella XL</v>
      </c>
      <c r="AN3676" s="1" t="str">
        <f>VLOOKUP(C:C,[1]基础信息!B$1:F$65536,5,0)</f>
        <v>Blue</v>
      </c>
    </row>
    <row r="3677" spans="1:40">
      <c r="A3677" s="1" t="s">
        <v>41</v>
      </c>
      <c r="B3677" s="1" t="s">
        <v>42</v>
      </c>
      <c r="C3677" s="1" t="s">
        <v>554</v>
      </c>
      <c r="D3677" s="1" t="s">
        <v>555</v>
      </c>
      <c r="E3677" s="1" t="s">
        <v>45</v>
      </c>
      <c r="F3677" s="1" t="s">
        <v>8416</v>
      </c>
      <c r="G3677" s="1" t="s">
        <v>8456</v>
      </c>
      <c r="H3677" s="1" t="s">
        <v>8457</v>
      </c>
      <c r="I3677" s="1" t="s">
        <v>49</v>
      </c>
      <c r="J3677" s="1" t="s">
        <v>48</v>
      </c>
      <c r="K3677" s="1">
        <v>70</v>
      </c>
      <c r="L3677" s="1">
        <v>0</v>
      </c>
      <c r="M3677" s="1">
        <v>0</v>
      </c>
      <c r="N3677" s="1">
        <v>70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 t="s">
        <v>49</v>
      </c>
      <c r="AA3677" s="1" t="s">
        <v>49</v>
      </c>
      <c r="AB3677" s="1" t="s">
        <v>49</v>
      </c>
      <c r="AC3677" s="1" t="s">
        <v>7670</v>
      </c>
      <c r="AD3677" s="1" t="s">
        <v>7671</v>
      </c>
      <c r="AE3677" s="1" t="s">
        <v>7670</v>
      </c>
      <c r="AF3677" s="1" t="s">
        <v>7672</v>
      </c>
      <c r="AG3677" s="1" t="s">
        <v>53</v>
      </c>
      <c r="AH3677" s="1" t="s">
        <v>49</v>
      </c>
      <c r="AI3677" s="1" t="s">
        <v>54</v>
      </c>
      <c r="AJ3677" s="1">
        <v>1</v>
      </c>
      <c r="AK3677" s="1" t="str">
        <f t="shared" si="57"/>
        <v xml:space="preserve"> =&lt;90</v>
      </c>
      <c r="AL3677" s="1" t="str">
        <f>VLOOKUP(C:C,[1]基础信息!B$1:D$65536,3,0)</f>
        <v>Jug</v>
      </c>
      <c r="AM3677" s="1" t="str">
        <f>VLOOKUP(C:C,[1]基础信息!B$1:E$65536,4,0)</f>
        <v>Green Pack</v>
      </c>
      <c r="AN3677" s="1" t="str">
        <f>VLOOKUP(C:C,[1]基础信息!B$1:F$65536,5,0)</f>
        <v>Blue</v>
      </c>
    </row>
    <row r="3678" spans="1:40">
      <c r="A3678" s="1" t="s">
        <v>41</v>
      </c>
      <c r="B3678" s="1" t="s">
        <v>8244</v>
      </c>
      <c r="C3678" s="1" t="s">
        <v>8323</v>
      </c>
      <c r="D3678" s="1" t="s">
        <v>8324</v>
      </c>
      <c r="E3678" s="1" t="s">
        <v>45</v>
      </c>
      <c r="F3678" s="1" t="s">
        <v>8325</v>
      </c>
      <c r="G3678" s="1" t="s">
        <v>8458</v>
      </c>
      <c r="H3678" s="1" t="s">
        <v>45</v>
      </c>
      <c r="I3678" s="1" t="s">
        <v>45</v>
      </c>
      <c r="J3678" s="1" t="s">
        <v>48</v>
      </c>
      <c r="K3678" s="1">
        <v>36</v>
      </c>
      <c r="L3678" s="1">
        <v>0</v>
      </c>
      <c r="M3678" s="1">
        <v>0</v>
      </c>
      <c r="N3678" s="1">
        <v>36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 t="s">
        <v>49</v>
      </c>
      <c r="AA3678" s="1" t="s">
        <v>49</v>
      </c>
      <c r="AB3678" s="1" t="s">
        <v>49</v>
      </c>
      <c r="AC3678" s="1" t="s">
        <v>8327</v>
      </c>
      <c r="AD3678" s="1" t="s">
        <v>8328</v>
      </c>
      <c r="AE3678" s="1" t="s">
        <v>8327</v>
      </c>
      <c r="AF3678" s="1" t="s">
        <v>8329</v>
      </c>
      <c r="AG3678" s="1" t="s">
        <v>8253</v>
      </c>
      <c r="AH3678" s="1" t="s">
        <v>49</v>
      </c>
      <c r="AI3678" s="1" t="s">
        <v>54</v>
      </c>
      <c r="AJ3678" s="1">
        <v>1</v>
      </c>
      <c r="AK3678" s="1" t="str">
        <f t="shared" si="57"/>
        <v xml:space="preserve"> =&lt;90</v>
      </c>
      <c r="AL3678" s="1" t="e">
        <f>VLOOKUP(C:C,[1]基础信息!B$1:D$65536,3,0)</f>
        <v>#N/A</v>
      </c>
      <c r="AM3678" s="1" t="e">
        <f>VLOOKUP(C:C,[1]基础信息!B$1:E$65536,4,0)</f>
        <v>#N/A</v>
      </c>
      <c r="AN3678" s="1" t="e">
        <f>VLOOKUP(C:C,[1]基础信息!B$1:F$65536,5,0)</f>
        <v>#N/A</v>
      </c>
    </row>
    <row r="3679" spans="1:40">
      <c r="A3679" s="1" t="s">
        <v>41</v>
      </c>
      <c r="B3679" s="1" t="s">
        <v>8244</v>
      </c>
      <c r="C3679" s="1" t="s">
        <v>8459</v>
      </c>
      <c r="D3679" s="1" t="s">
        <v>8460</v>
      </c>
      <c r="E3679" s="1" t="s">
        <v>8461</v>
      </c>
      <c r="F3679" s="1" t="s">
        <v>8462</v>
      </c>
      <c r="G3679" s="1" t="s">
        <v>8463</v>
      </c>
      <c r="H3679" s="1" t="s">
        <v>45</v>
      </c>
      <c r="I3679" s="1" t="s">
        <v>45</v>
      </c>
      <c r="J3679" s="1" t="s">
        <v>48</v>
      </c>
      <c r="K3679" s="1">
        <v>8</v>
      </c>
      <c r="L3679" s="1">
        <v>0</v>
      </c>
      <c r="M3679" s="1">
        <v>0</v>
      </c>
      <c r="N3679" s="1">
        <v>8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 t="s">
        <v>49</v>
      </c>
      <c r="AA3679" s="1" t="s">
        <v>49</v>
      </c>
      <c r="AB3679" s="1" t="s">
        <v>49</v>
      </c>
      <c r="AC3679" s="1" t="s">
        <v>8370</v>
      </c>
      <c r="AD3679" s="1" t="s">
        <v>8371</v>
      </c>
      <c r="AE3679" s="1" t="s">
        <v>8370</v>
      </c>
      <c r="AF3679" s="1" t="s">
        <v>8464</v>
      </c>
      <c r="AG3679" s="1" t="s">
        <v>8253</v>
      </c>
      <c r="AH3679" s="1" t="s">
        <v>49</v>
      </c>
      <c r="AI3679" s="1" t="s">
        <v>54</v>
      </c>
      <c r="AJ3679" s="1">
        <v>1</v>
      </c>
      <c r="AK3679" s="1" t="str">
        <f t="shared" si="57"/>
        <v xml:space="preserve"> =&lt;90</v>
      </c>
      <c r="AL3679" s="1" t="e">
        <f>VLOOKUP(C:C,[1]基础信息!B$1:D$65536,3,0)</f>
        <v>#N/A</v>
      </c>
      <c r="AM3679" s="1" t="e">
        <f>VLOOKUP(C:C,[1]基础信息!B$1:E$65536,4,0)</f>
        <v>#N/A</v>
      </c>
      <c r="AN3679" s="1" t="e">
        <f>VLOOKUP(C:C,[1]基础信息!B$1:F$65536,5,0)</f>
        <v>#N/A</v>
      </c>
    </row>
    <row r="3680" spans="1:40">
      <c r="A3680" s="1" t="s">
        <v>41</v>
      </c>
      <c r="B3680" s="1" t="s">
        <v>8244</v>
      </c>
      <c r="C3680" s="1" t="s">
        <v>8323</v>
      </c>
      <c r="D3680" s="1" t="s">
        <v>8324</v>
      </c>
      <c r="E3680" s="1" t="s">
        <v>45</v>
      </c>
      <c r="F3680" s="1" t="s">
        <v>8444</v>
      </c>
      <c r="G3680" s="1" t="s">
        <v>8465</v>
      </c>
      <c r="H3680" s="1" t="s">
        <v>45</v>
      </c>
      <c r="I3680" s="1" t="s">
        <v>45</v>
      </c>
      <c r="J3680" s="1" t="s">
        <v>48</v>
      </c>
      <c r="K3680" s="1">
        <v>38</v>
      </c>
      <c r="L3680" s="1">
        <v>0</v>
      </c>
      <c r="M3680" s="1">
        <v>0</v>
      </c>
      <c r="N3680" s="1">
        <v>38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 t="s">
        <v>49</v>
      </c>
      <c r="AA3680" s="1" t="s">
        <v>49</v>
      </c>
      <c r="AB3680" s="1" t="s">
        <v>49</v>
      </c>
      <c r="AC3680" s="1" t="s">
        <v>61</v>
      </c>
      <c r="AD3680" s="1" t="s">
        <v>62</v>
      </c>
      <c r="AE3680" s="1" t="s">
        <v>61</v>
      </c>
      <c r="AF3680" s="1" t="s">
        <v>8446</v>
      </c>
      <c r="AG3680" s="1" t="s">
        <v>8253</v>
      </c>
      <c r="AH3680" s="1" t="s">
        <v>49</v>
      </c>
      <c r="AI3680" s="1" t="s">
        <v>54</v>
      </c>
      <c r="AJ3680" s="1">
        <v>1</v>
      </c>
      <c r="AK3680" s="1" t="str">
        <f t="shared" si="57"/>
        <v xml:space="preserve"> =&lt;90</v>
      </c>
      <c r="AL3680" s="1" t="e">
        <f>VLOOKUP(C:C,[1]基础信息!B$1:D$65536,3,0)</f>
        <v>#N/A</v>
      </c>
      <c r="AM3680" s="1" t="e">
        <f>VLOOKUP(C:C,[1]基础信息!B$1:E$65536,4,0)</f>
        <v>#N/A</v>
      </c>
      <c r="AN3680" s="1" t="e">
        <f>VLOOKUP(C:C,[1]基础信息!B$1:F$65536,5,0)</f>
        <v>#N/A</v>
      </c>
    </row>
    <row r="3681" spans="1:40">
      <c r="A3681" s="1" t="s">
        <v>41</v>
      </c>
      <c r="B3681" s="1" t="s">
        <v>42</v>
      </c>
      <c r="C3681" s="1" t="s">
        <v>554</v>
      </c>
      <c r="D3681" s="1" t="s">
        <v>555</v>
      </c>
      <c r="E3681" s="1" t="s">
        <v>45</v>
      </c>
      <c r="F3681" s="1" t="s">
        <v>8416</v>
      </c>
      <c r="G3681" s="1" t="s">
        <v>8466</v>
      </c>
      <c r="H3681" s="1" t="s">
        <v>8467</v>
      </c>
      <c r="I3681" s="1" t="s">
        <v>49</v>
      </c>
      <c r="J3681" s="1" t="s">
        <v>48</v>
      </c>
      <c r="K3681" s="1">
        <v>70</v>
      </c>
      <c r="L3681" s="1">
        <v>0</v>
      </c>
      <c r="M3681" s="1">
        <v>0</v>
      </c>
      <c r="N3681" s="1">
        <v>70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 t="s">
        <v>49</v>
      </c>
      <c r="AA3681" s="1" t="s">
        <v>49</v>
      </c>
      <c r="AB3681" s="1" t="s">
        <v>49</v>
      </c>
      <c r="AC3681" s="1" t="s">
        <v>7670</v>
      </c>
      <c r="AD3681" s="1" t="s">
        <v>7671</v>
      </c>
      <c r="AE3681" s="1" t="s">
        <v>7670</v>
      </c>
      <c r="AF3681" s="1" t="s">
        <v>7672</v>
      </c>
      <c r="AG3681" s="1" t="s">
        <v>53</v>
      </c>
      <c r="AH3681" s="1" t="s">
        <v>49</v>
      </c>
      <c r="AI3681" s="1" t="s">
        <v>54</v>
      </c>
      <c r="AJ3681" s="1">
        <v>1</v>
      </c>
      <c r="AK3681" s="1" t="str">
        <f t="shared" si="57"/>
        <v xml:space="preserve"> =&lt;90</v>
      </c>
      <c r="AL3681" s="1" t="str">
        <f>VLOOKUP(C:C,[1]基础信息!B$1:D$65536,3,0)</f>
        <v>Jug</v>
      </c>
      <c r="AM3681" s="1" t="str">
        <f>VLOOKUP(C:C,[1]基础信息!B$1:E$65536,4,0)</f>
        <v>Green Pack</v>
      </c>
      <c r="AN3681" s="1" t="str">
        <f>VLOOKUP(C:C,[1]基础信息!B$1:F$65536,5,0)</f>
        <v>Blue</v>
      </c>
    </row>
    <row r="3682" spans="1:40">
      <c r="A3682" s="1" t="s">
        <v>41</v>
      </c>
      <c r="B3682" s="1" t="s">
        <v>8244</v>
      </c>
      <c r="C3682" s="1" t="s">
        <v>8347</v>
      </c>
      <c r="D3682" s="1" t="s">
        <v>8348</v>
      </c>
      <c r="E3682" s="1" t="s">
        <v>45</v>
      </c>
      <c r="F3682" s="1" t="s">
        <v>8468</v>
      </c>
      <c r="G3682" s="1" t="s">
        <v>8469</v>
      </c>
      <c r="H3682" s="1" t="s">
        <v>45</v>
      </c>
      <c r="I3682" s="1" t="s">
        <v>49</v>
      </c>
      <c r="J3682" s="1" t="s">
        <v>48</v>
      </c>
      <c r="K3682" s="1">
        <v>5</v>
      </c>
      <c r="L3682" s="1">
        <v>0</v>
      </c>
      <c r="M3682" s="1">
        <v>0</v>
      </c>
      <c r="N3682" s="1">
        <v>5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 t="s">
        <v>49</v>
      </c>
      <c r="AA3682" s="1" t="s">
        <v>49</v>
      </c>
      <c r="AB3682" s="1" t="s">
        <v>49</v>
      </c>
      <c r="AC3682" s="1" t="s">
        <v>8470</v>
      </c>
      <c r="AD3682" s="1" t="s">
        <v>8471</v>
      </c>
      <c r="AE3682" s="1" t="s">
        <v>8470</v>
      </c>
      <c r="AF3682" s="1" t="s">
        <v>8472</v>
      </c>
      <c r="AG3682" s="1" t="s">
        <v>8253</v>
      </c>
      <c r="AH3682" s="1" t="s">
        <v>8440</v>
      </c>
      <c r="AI3682" s="1" t="s">
        <v>54</v>
      </c>
      <c r="AJ3682" s="1">
        <v>1</v>
      </c>
      <c r="AK3682" s="1" t="str">
        <f t="shared" si="57"/>
        <v xml:space="preserve"> =&lt;90</v>
      </c>
      <c r="AL3682" s="1" t="e">
        <f>VLOOKUP(C:C,[1]基础信息!B$1:D$65536,3,0)</f>
        <v>#N/A</v>
      </c>
      <c r="AM3682" s="1" t="e">
        <f>VLOOKUP(C:C,[1]基础信息!B$1:E$65536,4,0)</f>
        <v>#N/A</v>
      </c>
      <c r="AN3682" s="1" t="e">
        <f>VLOOKUP(C:C,[1]基础信息!B$1:F$65536,5,0)</f>
        <v>#N/A</v>
      </c>
    </row>
    <row r="3683" spans="1:40">
      <c r="A3683" s="1" t="s">
        <v>41</v>
      </c>
      <c r="B3683" s="1" t="s">
        <v>8244</v>
      </c>
      <c r="C3683" s="1" t="s">
        <v>8459</v>
      </c>
      <c r="D3683" s="1" t="s">
        <v>8460</v>
      </c>
      <c r="E3683" s="1" t="s">
        <v>8461</v>
      </c>
      <c r="F3683" s="1" t="s">
        <v>8462</v>
      </c>
      <c r="G3683" s="1" t="s">
        <v>8473</v>
      </c>
      <c r="H3683" s="1" t="s">
        <v>45</v>
      </c>
      <c r="I3683" s="1" t="s">
        <v>45</v>
      </c>
      <c r="J3683" s="1" t="s">
        <v>48</v>
      </c>
      <c r="K3683" s="1">
        <v>36</v>
      </c>
      <c r="L3683" s="1">
        <v>0</v>
      </c>
      <c r="M3683" s="1">
        <v>0</v>
      </c>
      <c r="N3683" s="1">
        <v>36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 t="s">
        <v>49</v>
      </c>
      <c r="AA3683" s="1" t="s">
        <v>49</v>
      </c>
      <c r="AB3683" s="1" t="s">
        <v>49</v>
      </c>
      <c r="AC3683" s="1" t="s">
        <v>8370</v>
      </c>
      <c r="AD3683" s="1" t="s">
        <v>8371</v>
      </c>
      <c r="AE3683" s="1" t="s">
        <v>8370</v>
      </c>
      <c r="AF3683" s="1" t="s">
        <v>8464</v>
      </c>
      <c r="AG3683" s="1" t="s">
        <v>8253</v>
      </c>
      <c r="AH3683" s="1" t="s">
        <v>49</v>
      </c>
      <c r="AI3683" s="1" t="s">
        <v>54</v>
      </c>
      <c r="AJ3683" s="1">
        <v>1</v>
      </c>
      <c r="AK3683" s="1" t="str">
        <f t="shared" si="57"/>
        <v xml:space="preserve"> =&lt;90</v>
      </c>
      <c r="AL3683" s="1" t="e">
        <f>VLOOKUP(C:C,[1]基础信息!B$1:D$65536,3,0)</f>
        <v>#N/A</v>
      </c>
      <c r="AM3683" s="1" t="e">
        <f>VLOOKUP(C:C,[1]基础信息!B$1:E$65536,4,0)</f>
        <v>#N/A</v>
      </c>
      <c r="AN3683" s="1" t="e">
        <f>VLOOKUP(C:C,[1]基础信息!B$1:F$65536,5,0)</f>
        <v>#N/A</v>
      </c>
    </row>
    <row r="3684" spans="1:40">
      <c r="A3684" s="1" t="s">
        <v>41</v>
      </c>
      <c r="B3684" s="1" t="s">
        <v>42</v>
      </c>
      <c r="C3684" s="1" t="s">
        <v>301</v>
      </c>
      <c r="D3684" s="1" t="s">
        <v>302</v>
      </c>
      <c r="E3684" s="1" t="s">
        <v>45</v>
      </c>
      <c r="F3684" s="1" t="s">
        <v>8425</v>
      </c>
      <c r="G3684" s="1" t="s">
        <v>8474</v>
      </c>
      <c r="H3684" s="1" t="s">
        <v>45</v>
      </c>
      <c r="I3684" s="1" t="s">
        <v>45</v>
      </c>
      <c r="J3684" s="1" t="s">
        <v>48</v>
      </c>
      <c r="K3684" s="1">
        <v>100</v>
      </c>
      <c r="L3684" s="1">
        <v>0</v>
      </c>
      <c r="M3684" s="1">
        <v>0</v>
      </c>
      <c r="N3684" s="1">
        <v>100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 t="s">
        <v>49</v>
      </c>
      <c r="AA3684" s="1" t="s">
        <v>49</v>
      </c>
      <c r="AB3684" s="1" t="s">
        <v>49</v>
      </c>
      <c r="AC3684" s="1" t="s">
        <v>5462</v>
      </c>
      <c r="AD3684" s="1" t="s">
        <v>8336</v>
      </c>
      <c r="AE3684" s="1" t="s">
        <v>5462</v>
      </c>
      <c r="AF3684" s="1" t="s">
        <v>49</v>
      </c>
      <c r="AG3684" s="1" t="s">
        <v>6921</v>
      </c>
      <c r="AH3684" s="1" t="s">
        <v>49</v>
      </c>
      <c r="AI3684" s="1" t="s">
        <v>54</v>
      </c>
      <c r="AJ3684" s="1">
        <v>1</v>
      </c>
      <c r="AK3684" s="1" t="str">
        <f t="shared" si="57"/>
        <v xml:space="preserve"> =&lt;90</v>
      </c>
      <c r="AL3684" s="1" t="str">
        <f>VLOOKUP(C:C,[1]基础信息!B$1:D$65536,3,0)</f>
        <v>Jug</v>
      </c>
      <c r="AM3684" s="1" t="str">
        <f>VLOOKUP(C:C,[1]基础信息!B$1:E$65536,4,0)</f>
        <v>Aluna</v>
      </c>
      <c r="AN3684" s="1" t="str">
        <f>VLOOKUP(C:C,[1]基础信息!B$1:F$65536,5,0)</f>
        <v>Blue</v>
      </c>
    </row>
    <row r="3685" spans="1:40">
      <c r="A3685" s="1" t="s">
        <v>41</v>
      </c>
      <c r="B3685" s="1" t="s">
        <v>42</v>
      </c>
      <c r="C3685" s="1" t="s">
        <v>554</v>
      </c>
      <c r="D3685" s="1" t="s">
        <v>555</v>
      </c>
      <c r="E3685" s="1" t="s">
        <v>45</v>
      </c>
      <c r="F3685" s="1" t="s">
        <v>8416</v>
      </c>
      <c r="G3685" s="1" t="s">
        <v>8475</v>
      </c>
      <c r="H3685" s="1" t="s">
        <v>8476</v>
      </c>
      <c r="I3685" s="1" t="s">
        <v>49</v>
      </c>
      <c r="J3685" s="1" t="s">
        <v>48</v>
      </c>
      <c r="K3685" s="1">
        <v>70</v>
      </c>
      <c r="L3685" s="1">
        <v>0</v>
      </c>
      <c r="M3685" s="1">
        <v>0</v>
      </c>
      <c r="N3685" s="1">
        <v>70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 t="s">
        <v>49</v>
      </c>
      <c r="AA3685" s="1" t="s">
        <v>49</v>
      </c>
      <c r="AB3685" s="1" t="s">
        <v>49</v>
      </c>
      <c r="AC3685" s="1" t="s">
        <v>7670</v>
      </c>
      <c r="AD3685" s="1" t="s">
        <v>7671</v>
      </c>
      <c r="AE3685" s="1" t="s">
        <v>7670</v>
      </c>
      <c r="AF3685" s="1" t="s">
        <v>7672</v>
      </c>
      <c r="AG3685" s="1" t="s">
        <v>53</v>
      </c>
      <c r="AH3685" s="1" t="s">
        <v>49</v>
      </c>
      <c r="AI3685" s="1" t="s">
        <v>54</v>
      </c>
      <c r="AJ3685" s="1">
        <v>1</v>
      </c>
      <c r="AK3685" s="1" t="str">
        <f t="shared" si="57"/>
        <v xml:space="preserve"> =&lt;90</v>
      </c>
      <c r="AL3685" s="1" t="str">
        <f>VLOOKUP(C:C,[1]基础信息!B$1:D$65536,3,0)</f>
        <v>Jug</v>
      </c>
      <c r="AM3685" s="1" t="str">
        <f>VLOOKUP(C:C,[1]基础信息!B$1:E$65536,4,0)</f>
        <v>Green Pack</v>
      </c>
      <c r="AN3685" s="1" t="str">
        <f>VLOOKUP(C:C,[1]基础信息!B$1:F$65536,5,0)</f>
        <v>Blue</v>
      </c>
    </row>
    <row r="3686" spans="1:40">
      <c r="A3686" s="1" t="s">
        <v>41</v>
      </c>
      <c r="B3686" s="1" t="s">
        <v>8244</v>
      </c>
      <c r="C3686" s="1" t="s">
        <v>8397</v>
      </c>
      <c r="D3686" s="1" t="s">
        <v>8398</v>
      </c>
      <c r="E3686" s="1" t="s">
        <v>8399</v>
      </c>
      <c r="F3686" s="1" t="s">
        <v>8477</v>
      </c>
      <c r="G3686" s="1" t="s">
        <v>8478</v>
      </c>
      <c r="H3686" s="1" t="s">
        <v>45</v>
      </c>
      <c r="I3686" s="1" t="s">
        <v>45</v>
      </c>
      <c r="J3686" s="1" t="s">
        <v>48</v>
      </c>
      <c r="K3686" s="1">
        <v>56</v>
      </c>
      <c r="L3686" s="1">
        <v>0</v>
      </c>
      <c r="M3686" s="1">
        <v>0</v>
      </c>
      <c r="N3686" s="1">
        <v>56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 t="s">
        <v>49</v>
      </c>
      <c r="AA3686" s="1" t="s">
        <v>49</v>
      </c>
      <c r="AB3686" s="1" t="s">
        <v>49</v>
      </c>
      <c r="AC3686" s="1" t="s">
        <v>8402</v>
      </c>
      <c r="AD3686" s="1" t="s">
        <v>8403</v>
      </c>
      <c r="AE3686" s="1" t="s">
        <v>8402</v>
      </c>
      <c r="AF3686" s="1" t="s">
        <v>8443</v>
      </c>
      <c r="AG3686" s="1" t="s">
        <v>8253</v>
      </c>
      <c r="AH3686" s="1" t="s">
        <v>49</v>
      </c>
      <c r="AI3686" s="1" t="s">
        <v>54</v>
      </c>
      <c r="AJ3686" s="1">
        <v>1</v>
      </c>
      <c r="AK3686" s="1" t="str">
        <f t="shared" si="57"/>
        <v xml:space="preserve"> =&lt;90</v>
      </c>
      <c r="AL3686" s="1" t="e">
        <f>VLOOKUP(C:C,[1]基础信息!B$1:D$65536,3,0)</f>
        <v>#N/A</v>
      </c>
      <c r="AM3686" s="1" t="e">
        <f>VLOOKUP(C:C,[1]基础信息!B$1:E$65536,4,0)</f>
        <v>#N/A</v>
      </c>
      <c r="AN3686" s="1" t="e">
        <f>VLOOKUP(C:C,[1]基础信息!B$1:F$65536,5,0)</f>
        <v>#N/A</v>
      </c>
    </row>
    <row r="3687" spans="1:40">
      <c r="A3687" s="1" t="s">
        <v>41</v>
      </c>
      <c r="B3687" s="1" t="s">
        <v>8244</v>
      </c>
      <c r="C3687" s="1" t="s">
        <v>8479</v>
      </c>
      <c r="D3687" s="1" t="s">
        <v>8480</v>
      </c>
      <c r="E3687" s="1" t="s">
        <v>45</v>
      </c>
      <c r="F3687" s="1" t="s">
        <v>8481</v>
      </c>
      <c r="G3687" s="1" t="s">
        <v>8482</v>
      </c>
      <c r="H3687" s="1" t="s">
        <v>45</v>
      </c>
      <c r="I3687" s="1" t="s">
        <v>45</v>
      </c>
      <c r="J3687" s="1" t="s">
        <v>48</v>
      </c>
      <c r="K3687" s="1">
        <v>19</v>
      </c>
      <c r="L3687" s="1">
        <v>0</v>
      </c>
      <c r="M3687" s="1">
        <v>0</v>
      </c>
      <c r="N3687" s="1">
        <v>19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 t="s">
        <v>49</v>
      </c>
      <c r="AA3687" s="1" t="s">
        <v>49</v>
      </c>
      <c r="AB3687" s="1" t="s">
        <v>49</v>
      </c>
      <c r="AC3687" s="1" t="s">
        <v>61</v>
      </c>
      <c r="AD3687" s="1" t="s">
        <v>62</v>
      </c>
      <c r="AE3687" s="1" t="s">
        <v>61</v>
      </c>
      <c r="AF3687" s="1" t="s">
        <v>8483</v>
      </c>
      <c r="AG3687" s="1" t="s">
        <v>8253</v>
      </c>
      <c r="AH3687" s="1" t="s">
        <v>49</v>
      </c>
      <c r="AI3687" s="1" t="s">
        <v>54</v>
      </c>
      <c r="AJ3687" s="1">
        <v>1</v>
      </c>
      <c r="AK3687" s="1" t="str">
        <f t="shared" si="57"/>
        <v xml:space="preserve"> =&lt;90</v>
      </c>
      <c r="AL3687" s="1" t="e">
        <f>VLOOKUP(C:C,[1]基础信息!B$1:D$65536,3,0)</f>
        <v>#N/A</v>
      </c>
      <c r="AM3687" s="1" t="e">
        <f>VLOOKUP(C:C,[1]基础信息!B$1:E$65536,4,0)</f>
        <v>#N/A</v>
      </c>
      <c r="AN3687" s="1" t="e">
        <f>VLOOKUP(C:C,[1]基础信息!B$1:F$65536,5,0)</f>
        <v>#N/A</v>
      </c>
    </row>
    <row r="3688" spans="1:40">
      <c r="A3688" s="1" t="s">
        <v>41</v>
      </c>
      <c r="B3688" s="1" t="s">
        <v>42</v>
      </c>
      <c r="C3688" s="1" t="s">
        <v>3512</v>
      </c>
      <c r="D3688" s="1" t="s">
        <v>3513</v>
      </c>
      <c r="E3688" s="1" t="s">
        <v>45</v>
      </c>
      <c r="F3688" s="1" t="s">
        <v>8484</v>
      </c>
      <c r="G3688" s="1" t="s">
        <v>8485</v>
      </c>
      <c r="H3688" s="1" t="s">
        <v>45</v>
      </c>
      <c r="I3688" s="1" t="s">
        <v>45</v>
      </c>
      <c r="J3688" s="1" t="s">
        <v>48</v>
      </c>
      <c r="K3688" s="1">
        <v>110</v>
      </c>
      <c r="L3688" s="1">
        <v>0</v>
      </c>
      <c r="M3688" s="1">
        <v>0</v>
      </c>
      <c r="N3688" s="1">
        <v>110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 t="s">
        <v>49</v>
      </c>
      <c r="AA3688" s="1" t="s">
        <v>49</v>
      </c>
      <c r="AB3688" s="1" t="s">
        <v>49</v>
      </c>
      <c r="AC3688" s="1" t="s">
        <v>5462</v>
      </c>
      <c r="AD3688" s="1" t="s">
        <v>8336</v>
      </c>
      <c r="AE3688" s="1" t="s">
        <v>5462</v>
      </c>
      <c r="AF3688" s="1" t="s">
        <v>49</v>
      </c>
      <c r="AG3688" s="1" t="s">
        <v>76</v>
      </c>
      <c r="AH3688" s="1" t="s">
        <v>49</v>
      </c>
      <c r="AI3688" s="1" t="s">
        <v>54</v>
      </c>
      <c r="AJ3688" s="1">
        <v>1</v>
      </c>
      <c r="AK3688" s="1" t="str">
        <f t="shared" si="57"/>
        <v xml:space="preserve"> =&lt;90</v>
      </c>
      <c r="AL3688" s="1" t="str">
        <f>VLOOKUP(C:C,[1]基础信息!B$1:D$65536,3,0)</f>
        <v xml:space="preserve">Cartridge </v>
      </c>
      <c r="AM3688" s="1" t="str">
        <f>VLOOKUP(C:C,[1]基础信息!B$1:E$65536,4,0)</f>
        <v>UNIV</v>
      </c>
      <c r="AN3688" s="1" t="str">
        <f>VLOOKUP(C:C,[1]基础信息!B$1:F$65536,5,0)</f>
        <v>P3</v>
      </c>
    </row>
    <row r="3689" spans="1:40">
      <c r="A3689" s="1" t="s">
        <v>41</v>
      </c>
      <c r="B3689" s="1" t="s">
        <v>42</v>
      </c>
      <c r="C3689" s="1" t="s">
        <v>554</v>
      </c>
      <c r="D3689" s="1" t="s">
        <v>555</v>
      </c>
      <c r="E3689" s="1" t="s">
        <v>45</v>
      </c>
      <c r="F3689" s="1" t="s">
        <v>8416</v>
      </c>
      <c r="G3689" s="1" t="s">
        <v>8486</v>
      </c>
      <c r="H3689" s="1" t="s">
        <v>8487</v>
      </c>
      <c r="I3689" s="1" t="s">
        <v>49</v>
      </c>
      <c r="J3689" s="1" t="s">
        <v>48</v>
      </c>
      <c r="K3689" s="1">
        <v>70</v>
      </c>
      <c r="L3689" s="1">
        <v>0</v>
      </c>
      <c r="M3689" s="1">
        <v>0</v>
      </c>
      <c r="N3689" s="1">
        <v>70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 t="s">
        <v>49</v>
      </c>
      <c r="AA3689" s="1" t="s">
        <v>49</v>
      </c>
      <c r="AB3689" s="1" t="s">
        <v>49</v>
      </c>
      <c r="AC3689" s="1" t="s">
        <v>7670</v>
      </c>
      <c r="AD3689" s="1" t="s">
        <v>7671</v>
      </c>
      <c r="AE3689" s="1" t="s">
        <v>7670</v>
      </c>
      <c r="AF3689" s="1" t="s">
        <v>7672</v>
      </c>
      <c r="AG3689" s="1" t="s">
        <v>53</v>
      </c>
      <c r="AH3689" s="1" t="s">
        <v>49</v>
      </c>
      <c r="AI3689" s="1" t="s">
        <v>54</v>
      </c>
      <c r="AJ3689" s="1">
        <v>1</v>
      </c>
      <c r="AK3689" s="1" t="str">
        <f t="shared" si="57"/>
        <v xml:space="preserve"> =&lt;90</v>
      </c>
      <c r="AL3689" s="1" t="str">
        <f>VLOOKUP(C:C,[1]基础信息!B$1:D$65536,3,0)</f>
        <v>Jug</v>
      </c>
      <c r="AM3689" s="1" t="str">
        <f>VLOOKUP(C:C,[1]基础信息!B$1:E$65536,4,0)</f>
        <v>Green Pack</v>
      </c>
      <c r="AN3689" s="1" t="str">
        <f>VLOOKUP(C:C,[1]基础信息!B$1:F$65536,5,0)</f>
        <v>Blue</v>
      </c>
    </row>
    <row r="3690" spans="1:40">
      <c r="A3690" s="1" t="s">
        <v>41</v>
      </c>
      <c r="B3690" s="1" t="s">
        <v>8244</v>
      </c>
      <c r="C3690" s="1" t="s">
        <v>8347</v>
      </c>
      <c r="D3690" s="1" t="s">
        <v>8348</v>
      </c>
      <c r="E3690" s="1" t="s">
        <v>45</v>
      </c>
      <c r="F3690" s="1" t="s">
        <v>8488</v>
      </c>
      <c r="G3690" s="1" t="s">
        <v>8489</v>
      </c>
      <c r="H3690" s="1" t="s">
        <v>45</v>
      </c>
      <c r="I3690" s="1" t="s">
        <v>45</v>
      </c>
      <c r="J3690" s="1" t="s">
        <v>48</v>
      </c>
      <c r="K3690" s="1">
        <v>18</v>
      </c>
      <c r="L3690" s="1">
        <v>0</v>
      </c>
      <c r="M3690" s="1">
        <v>0</v>
      </c>
      <c r="N3690" s="1">
        <v>18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 t="s">
        <v>49</v>
      </c>
      <c r="AA3690" s="1" t="s">
        <v>49</v>
      </c>
      <c r="AB3690" s="1" t="s">
        <v>49</v>
      </c>
      <c r="AC3690" s="1" t="s">
        <v>8370</v>
      </c>
      <c r="AD3690" s="1" t="s">
        <v>8371</v>
      </c>
      <c r="AE3690" s="1" t="s">
        <v>8370</v>
      </c>
      <c r="AF3690" s="1" t="s">
        <v>8490</v>
      </c>
      <c r="AG3690" s="1" t="s">
        <v>8253</v>
      </c>
      <c r="AH3690" s="1" t="s">
        <v>8354</v>
      </c>
      <c r="AI3690" s="1" t="s">
        <v>54</v>
      </c>
      <c r="AJ3690" s="1">
        <v>1</v>
      </c>
      <c r="AK3690" s="1" t="str">
        <f t="shared" si="57"/>
        <v xml:space="preserve"> =&lt;90</v>
      </c>
      <c r="AL3690" s="1" t="e">
        <f>VLOOKUP(C:C,[1]基础信息!B$1:D$65536,3,0)</f>
        <v>#N/A</v>
      </c>
      <c r="AM3690" s="1" t="e">
        <f>VLOOKUP(C:C,[1]基础信息!B$1:E$65536,4,0)</f>
        <v>#N/A</v>
      </c>
      <c r="AN3690" s="1" t="e">
        <f>VLOOKUP(C:C,[1]基础信息!B$1:F$65536,5,0)</f>
        <v>#N/A</v>
      </c>
    </row>
    <row r="3691" spans="1:40">
      <c r="A3691" s="1" t="s">
        <v>41</v>
      </c>
      <c r="B3691" s="1" t="s">
        <v>42</v>
      </c>
      <c r="C3691" s="1" t="s">
        <v>554</v>
      </c>
      <c r="D3691" s="1" t="s">
        <v>555</v>
      </c>
      <c r="E3691" s="1" t="s">
        <v>45</v>
      </c>
      <c r="F3691" s="1" t="s">
        <v>8416</v>
      </c>
      <c r="G3691" s="1" t="s">
        <v>8491</v>
      </c>
      <c r="H3691" s="1" t="s">
        <v>8492</v>
      </c>
      <c r="I3691" s="1" t="s">
        <v>49</v>
      </c>
      <c r="J3691" s="1" t="s">
        <v>48</v>
      </c>
      <c r="K3691" s="1">
        <v>70</v>
      </c>
      <c r="L3691" s="1">
        <v>0</v>
      </c>
      <c r="M3691" s="1">
        <v>0</v>
      </c>
      <c r="N3691" s="1">
        <v>70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 t="s">
        <v>49</v>
      </c>
      <c r="AA3691" s="1" t="s">
        <v>49</v>
      </c>
      <c r="AB3691" s="1" t="s">
        <v>49</v>
      </c>
      <c r="AC3691" s="1" t="s">
        <v>7670</v>
      </c>
      <c r="AD3691" s="1" t="s">
        <v>7671</v>
      </c>
      <c r="AE3691" s="1" t="s">
        <v>7670</v>
      </c>
      <c r="AF3691" s="1" t="s">
        <v>7672</v>
      </c>
      <c r="AG3691" s="1" t="s">
        <v>53</v>
      </c>
      <c r="AH3691" s="1" t="s">
        <v>49</v>
      </c>
      <c r="AI3691" s="1" t="s">
        <v>54</v>
      </c>
      <c r="AJ3691" s="1">
        <v>1</v>
      </c>
      <c r="AK3691" s="1" t="str">
        <f t="shared" ref="AK3691:AK3754" si="58">IF(AJ3691&gt;$AP$2,$AQ$2,IF(AJ3691&gt;$AP$3,$AQ$3,IF(AJ3691&gt;$AP$4,$AQ$4,$AQ$5)))</f>
        <v xml:space="preserve"> =&lt;90</v>
      </c>
      <c r="AL3691" s="1" t="str">
        <f>VLOOKUP(C:C,[1]基础信息!B$1:D$65536,3,0)</f>
        <v>Jug</v>
      </c>
      <c r="AM3691" s="1" t="str">
        <f>VLOOKUP(C:C,[1]基础信息!B$1:E$65536,4,0)</f>
        <v>Green Pack</v>
      </c>
      <c r="AN3691" s="1" t="str">
        <f>VLOOKUP(C:C,[1]基础信息!B$1:F$65536,5,0)</f>
        <v>Blue</v>
      </c>
    </row>
    <row r="3692" spans="1:40">
      <c r="A3692" s="1" t="s">
        <v>41</v>
      </c>
      <c r="B3692" s="1" t="s">
        <v>8244</v>
      </c>
      <c r="C3692" s="1" t="s">
        <v>8347</v>
      </c>
      <c r="D3692" s="1" t="s">
        <v>8348</v>
      </c>
      <c r="E3692" s="1" t="s">
        <v>45</v>
      </c>
      <c r="F3692" s="1" t="s">
        <v>8493</v>
      </c>
      <c r="G3692" s="1" t="s">
        <v>8494</v>
      </c>
      <c r="H3692" s="1" t="s">
        <v>45</v>
      </c>
      <c r="I3692" s="1" t="s">
        <v>45</v>
      </c>
      <c r="J3692" s="1" t="s">
        <v>48</v>
      </c>
      <c r="K3692" s="1">
        <v>32</v>
      </c>
      <c r="L3692" s="1">
        <v>0</v>
      </c>
      <c r="M3692" s="1">
        <v>0</v>
      </c>
      <c r="N3692" s="1">
        <v>32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 t="s">
        <v>49</v>
      </c>
      <c r="AA3692" s="1" t="s">
        <v>49</v>
      </c>
      <c r="AB3692" s="1" t="s">
        <v>49</v>
      </c>
      <c r="AC3692" s="1" t="s">
        <v>7786</v>
      </c>
      <c r="AD3692" s="1" t="s">
        <v>7787</v>
      </c>
      <c r="AE3692" s="1" t="s">
        <v>7786</v>
      </c>
      <c r="AF3692" s="1" t="s">
        <v>8353</v>
      </c>
      <c r="AG3692" s="1" t="s">
        <v>8383</v>
      </c>
      <c r="AH3692" s="1" t="s">
        <v>8354</v>
      </c>
      <c r="AI3692" s="1" t="s">
        <v>54</v>
      </c>
      <c r="AJ3692" s="1">
        <v>1</v>
      </c>
      <c r="AK3692" s="1" t="str">
        <f t="shared" si="58"/>
        <v xml:space="preserve"> =&lt;90</v>
      </c>
      <c r="AL3692" s="1" t="e">
        <f>VLOOKUP(C:C,[1]基础信息!B$1:D$65536,3,0)</f>
        <v>#N/A</v>
      </c>
      <c r="AM3692" s="1" t="e">
        <f>VLOOKUP(C:C,[1]基础信息!B$1:E$65536,4,0)</f>
        <v>#N/A</v>
      </c>
      <c r="AN3692" s="1" t="e">
        <f>VLOOKUP(C:C,[1]基础信息!B$1:F$65536,5,0)</f>
        <v>#N/A</v>
      </c>
    </row>
    <row r="3693" spans="1:40">
      <c r="A3693" s="1" t="s">
        <v>41</v>
      </c>
      <c r="B3693" s="1" t="s">
        <v>8244</v>
      </c>
      <c r="C3693" s="1" t="s">
        <v>8347</v>
      </c>
      <c r="D3693" s="1" t="s">
        <v>8348</v>
      </c>
      <c r="E3693" s="1" t="s">
        <v>45</v>
      </c>
      <c r="F3693" s="1" t="s">
        <v>8495</v>
      </c>
      <c r="G3693" s="1" t="s">
        <v>8496</v>
      </c>
      <c r="H3693" s="1" t="s">
        <v>45</v>
      </c>
      <c r="I3693" s="1" t="s">
        <v>45</v>
      </c>
      <c r="J3693" s="1" t="s">
        <v>48</v>
      </c>
      <c r="K3693" s="1">
        <v>6</v>
      </c>
      <c r="L3693" s="1">
        <v>0</v>
      </c>
      <c r="M3693" s="1">
        <v>0</v>
      </c>
      <c r="N3693" s="1">
        <v>6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 t="s">
        <v>49</v>
      </c>
      <c r="AA3693" s="1" t="s">
        <v>49</v>
      </c>
      <c r="AB3693" s="1" t="s">
        <v>49</v>
      </c>
      <c r="AC3693" s="1" t="s">
        <v>8370</v>
      </c>
      <c r="AD3693" s="1" t="s">
        <v>8371</v>
      </c>
      <c r="AE3693" s="1" t="s">
        <v>8370</v>
      </c>
      <c r="AF3693" s="1" t="s">
        <v>8497</v>
      </c>
      <c r="AG3693" s="1" t="s">
        <v>8253</v>
      </c>
      <c r="AH3693" s="1" t="s">
        <v>8354</v>
      </c>
      <c r="AI3693" s="1" t="s">
        <v>54</v>
      </c>
      <c r="AJ3693" s="1">
        <v>1</v>
      </c>
      <c r="AK3693" s="1" t="str">
        <f t="shared" si="58"/>
        <v xml:space="preserve"> =&lt;90</v>
      </c>
      <c r="AL3693" s="1" t="e">
        <f>VLOOKUP(C:C,[1]基础信息!B$1:D$65536,3,0)</f>
        <v>#N/A</v>
      </c>
      <c r="AM3693" s="1" t="e">
        <f>VLOOKUP(C:C,[1]基础信息!B$1:E$65536,4,0)</f>
        <v>#N/A</v>
      </c>
      <c r="AN3693" s="1" t="e">
        <f>VLOOKUP(C:C,[1]基础信息!B$1:F$65536,5,0)</f>
        <v>#N/A</v>
      </c>
    </row>
    <row r="3694" spans="1:40">
      <c r="A3694" s="1" t="s">
        <v>41</v>
      </c>
      <c r="B3694" s="1" t="s">
        <v>42</v>
      </c>
      <c r="C3694" s="1" t="s">
        <v>301</v>
      </c>
      <c r="D3694" s="1" t="s">
        <v>302</v>
      </c>
      <c r="E3694" s="1" t="s">
        <v>45</v>
      </c>
      <c r="F3694" s="1" t="s">
        <v>8425</v>
      </c>
      <c r="G3694" s="1" t="s">
        <v>8498</v>
      </c>
      <c r="H3694" s="1" t="s">
        <v>45</v>
      </c>
      <c r="I3694" s="1" t="s">
        <v>45</v>
      </c>
      <c r="J3694" s="1" t="s">
        <v>48</v>
      </c>
      <c r="K3694" s="1">
        <v>100</v>
      </c>
      <c r="L3694" s="1">
        <v>0</v>
      </c>
      <c r="M3694" s="1">
        <v>0</v>
      </c>
      <c r="N3694" s="1">
        <v>100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 t="s">
        <v>49</v>
      </c>
      <c r="AA3694" s="1" t="s">
        <v>49</v>
      </c>
      <c r="AB3694" s="1" t="s">
        <v>49</v>
      </c>
      <c r="AC3694" s="1" t="s">
        <v>5462</v>
      </c>
      <c r="AD3694" s="1" t="s">
        <v>8336</v>
      </c>
      <c r="AE3694" s="1" t="s">
        <v>5462</v>
      </c>
      <c r="AF3694" s="1" t="s">
        <v>49</v>
      </c>
      <c r="AG3694" s="1" t="s">
        <v>6921</v>
      </c>
      <c r="AH3694" s="1" t="s">
        <v>49</v>
      </c>
      <c r="AI3694" s="1" t="s">
        <v>54</v>
      </c>
      <c r="AJ3694" s="1">
        <v>1</v>
      </c>
      <c r="AK3694" s="1" t="str">
        <f t="shared" si="58"/>
        <v xml:space="preserve"> =&lt;90</v>
      </c>
      <c r="AL3694" s="1" t="str">
        <f>VLOOKUP(C:C,[1]基础信息!B$1:D$65536,3,0)</f>
        <v>Jug</v>
      </c>
      <c r="AM3694" s="1" t="str">
        <f>VLOOKUP(C:C,[1]基础信息!B$1:E$65536,4,0)</f>
        <v>Aluna</v>
      </c>
      <c r="AN3694" s="1" t="str">
        <f>VLOOKUP(C:C,[1]基础信息!B$1:F$65536,5,0)</f>
        <v>Blue</v>
      </c>
    </row>
    <row r="3695" spans="1:40">
      <c r="A3695" s="1" t="s">
        <v>41</v>
      </c>
      <c r="B3695" s="1" t="s">
        <v>42</v>
      </c>
      <c r="C3695" s="1" t="s">
        <v>554</v>
      </c>
      <c r="D3695" s="1" t="s">
        <v>555</v>
      </c>
      <c r="E3695" s="1" t="s">
        <v>45</v>
      </c>
      <c r="F3695" s="1" t="s">
        <v>8416</v>
      </c>
      <c r="G3695" s="1" t="s">
        <v>8499</v>
      </c>
      <c r="H3695" s="1" t="s">
        <v>8500</v>
      </c>
      <c r="I3695" s="1" t="s">
        <v>49</v>
      </c>
      <c r="J3695" s="1" t="s">
        <v>48</v>
      </c>
      <c r="K3695" s="1">
        <v>70</v>
      </c>
      <c r="L3695" s="1">
        <v>0</v>
      </c>
      <c r="M3695" s="1">
        <v>0</v>
      </c>
      <c r="N3695" s="1">
        <v>70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 t="s">
        <v>49</v>
      </c>
      <c r="AA3695" s="1" t="s">
        <v>49</v>
      </c>
      <c r="AB3695" s="1" t="s">
        <v>49</v>
      </c>
      <c r="AC3695" s="1" t="s">
        <v>7670</v>
      </c>
      <c r="AD3695" s="1" t="s">
        <v>7671</v>
      </c>
      <c r="AE3695" s="1" t="s">
        <v>7670</v>
      </c>
      <c r="AF3695" s="1" t="s">
        <v>7672</v>
      </c>
      <c r="AG3695" s="1" t="s">
        <v>53</v>
      </c>
      <c r="AH3695" s="1" t="s">
        <v>49</v>
      </c>
      <c r="AI3695" s="1" t="s">
        <v>54</v>
      </c>
      <c r="AJ3695" s="1">
        <v>1</v>
      </c>
      <c r="AK3695" s="1" t="str">
        <f t="shared" si="58"/>
        <v xml:space="preserve"> =&lt;90</v>
      </c>
      <c r="AL3695" s="1" t="str">
        <f>VLOOKUP(C:C,[1]基础信息!B$1:D$65536,3,0)</f>
        <v>Jug</v>
      </c>
      <c r="AM3695" s="1" t="str">
        <f>VLOOKUP(C:C,[1]基础信息!B$1:E$65536,4,0)</f>
        <v>Green Pack</v>
      </c>
      <c r="AN3695" s="1" t="str">
        <f>VLOOKUP(C:C,[1]基础信息!B$1:F$65536,5,0)</f>
        <v>Blue</v>
      </c>
    </row>
    <row r="3696" spans="1:40">
      <c r="A3696" s="1" t="s">
        <v>41</v>
      </c>
      <c r="B3696" s="1" t="s">
        <v>8244</v>
      </c>
      <c r="C3696" s="1" t="s">
        <v>8323</v>
      </c>
      <c r="D3696" s="1" t="s">
        <v>8324</v>
      </c>
      <c r="E3696" s="1" t="s">
        <v>45</v>
      </c>
      <c r="F3696" s="1" t="s">
        <v>8501</v>
      </c>
      <c r="G3696" s="1" t="s">
        <v>8502</v>
      </c>
      <c r="H3696" s="1" t="s">
        <v>45</v>
      </c>
      <c r="I3696" s="1" t="s">
        <v>45</v>
      </c>
      <c r="J3696" s="1" t="s">
        <v>48</v>
      </c>
      <c r="K3696" s="1">
        <v>16</v>
      </c>
      <c r="L3696" s="1">
        <v>0</v>
      </c>
      <c r="M3696" s="1">
        <v>0</v>
      </c>
      <c r="N3696" s="1">
        <v>16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 t="s">
        <v>49</v>
      </c>
      <c r="AA3696" s="1" t="s">
        <v>49</v>
      </c>
      <c r="AB3696" s="1" t="s">
        <v>49</v>
      </c>
      <c r="AC3696" s="1" t="s">
        <v>8327</v>
      </c>
      <c r="AD3696" s="1" t="s">
        <v>8328</v>
      </c>
      <c r="AE3696" s="1" t="s">
        <v>8327</v>
      </c>
      <c r="AF3696" s="1" t="s">
        <v>8503</v>
      </c>
      <c r="AG3696" s="1" t="s">
        <v>8253</v>
      </c>
      <c r="AH3696" s="1" t="s">
        <v>49</v>
      </c>
      <c r="AI3696" s="1" t="s">
        <v>54</v>
      </c>
      <c r="AJ3696" s="1">
        <v>1</v>
      </c>
      <c r="AK3696" s="1" t="str">
        <f t="shared" si="58"/>
        <v xml:space="preserve"> =&lt;90</v>
      </c>
      <c r="AL3696" s="1" t="e">
        <f>VLOOKUP(C:C,[1]基础信息!B$1:D$65536,3,0)</f>
        <v>#N/A</v>
      </c>
      <c r="AM3696" s="1" t="e">
        <f>VLOOKUP(C:C,[1]基础信息!B$1:E$65536,4,0)</f>
        <v>#N/A</v>
      </c>
      <c r="AN3696" s="1" t="e">
        <f>VLOOKUP(C:C,[1]基础信息!B$1:F$65536,5,0)</f>
        <v>#N/A</v>
      </c>
    </row>
    <row r="3697" spans="1:40">
      <c r="A3697" s="1" t="s">
        <v>41</v>
      </c>
      <c r="B3697" s="1" t="s">
        <v>8244</v>
      </c>
      <c r="C3697" s="1" t="s">
        <v>8459</v>
      </c>
      <c r="D3697" s="1" t="s">
        <v>8460</v>
      </c>
      <c r="E3697" s="1" t="s">
        <v>8461</v>
      </c>
      <c r="F3697" s="1" t="s">
        <v>8462</v>
      </c>
      <c r="G3697" s="1" t="s">
        <v>8504</v>
      </c>
      <c r="H3697" s="1" t="s">
        <v>45</v>
      </c>
      <c r="I3697" s="1" t="s">
        <v>45</v>
      </c>
      <c r="J3697" s="1" t="s">
        <v>48</v>
      </c>
      <c r="K3697" s="1">
        <v>34</v>
      </c>
      <c r="L3697" s="1">
        <v>0</v>
      </c>
      <c r="M3697" s="1">
        <v>0</v>
      </c>
      <c r="N3697" s="1">
        <v>34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 t="s">
        <v>49</v>
      </c>
      <c r="AA3697" s="1" t="s">
        <v>49</v>
      </c>
      <c r="AB3697" s="1" t="s">
        <v>49</v>
      </c>
      <c r="AC3697" s="1" t="s">
        <v>8370</v>
      </c>
      <c r="AD3697" s="1" t="s">
        <v>8371</v>
      </c>
      <c r="AE3697" s="1" t="s">
        <v>8370</v>
      </c>
      <c r="AF3697" s="1" t="s">
        <v>8464</v>
      </c>
      <c r="AG3697" s="1" t="s">
        <v>8253</v>
      </c>
      <c r="AH3697" s="1" t="s">
        <v>49</v>
      </c>
      <c r="AI3697" s="1" t="s">
        <v>54</v>
      </c>
      <c r="AJ3697" s="1">
        <v>1</v>
      </c>
      <c r="AK3697" s="1" t="str">
        <f t="shared" si="58"/>
        <v xml:space="preserve"> =&lt;90</v>
      </c>
      <c r="AL3697" s="1" t="e">
        <f>VLOOKUP(C:C,[1]基础信息!B$1:D$65536,3,0)</f>
        <v>#N/A</v>
      </c>
      <c r="AM3697" s="1" t="e">
        <f>VLOOKUP(C:C,[1]基础信息!B$1:E$65536,4,0)</f>
        <v>#N/A</v>
      </c>
      <c r="AN3697" s="1" t="e">
        <f>VLOOKUP(C:C,[1]基础信息!B$1:F$65536,5,0)</f>
        <v>#N/A</v>
      </c>
    </row>
    <row r="3698" spans="1:40">
      <c r="A3698" s="1" t="s">
        <v>41</v>
      </c>
      <c r="B3698" s="1" t="s">
        <v>42</v>
      </c>
      <c r="C3698" s="1" t="s">
        <v>301</v>
      </c>
      <c r="D3698" s="1" t="s">
        <v>302</v>
      </c>
      <c r="E3698" s="1" t="s">
        <v>45</v>
      </c>
      <c r="F3698" s="1" t="s">
        <v>8425</v>
      </c>
      <c r="G3698" s="1" t="s">
        <v>8505</v>
      </c>
      <c r="H3698" s="1" t="s">
        <v>45</v>
      </c>
      <c r="I3698" s="1" t="s">
        <v>45</v>
      </c>
      <c r="J3698" s="1" t="s">
        <v>48</v>
      </c>
      <c r="K3698" s="1">
        <v>100</v>
      </c>
      <c r="L3698" s="1">
        <v>0</v>
      </c>
      <c r="M3698" s="1">
        <v>0</v>
      </c>
      <c r="N3698" s="1">
        <v>100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 t="s">
        <v>49</v>
      </c>
      <c r="AA3698" s="1" t="s">
        <v>49</v>
      </c>
      <c r="AB3698" s="1" t="s">
        <v>49</v>
      </c>
      <c r="AC3698" s="1" t="s">
        <v>5462</v>
      </c>
      <c r="AD3698" s="1" t="s">
        <v>8336</v>
      </c>
      <c r="AE3698" s="1" t="s">
        <v>5462</v>
      </c>
      <c r="AF3698" s="1" t="s">
        <v>49</v>
      </c>
      <c r="AG3698" s="1" t="s">
        <v>6921</v>
      </c>
      <c r="AH3698" s="1" t="s">
        <v>49</v>
      </c>
      <c r="AI3698" s="1" t="s">
        <v>54</v>
      </c>
      <c r="AJ3698" s="1">
        <v>1</v>
      </c>
      <c r="AK3698" s="1" t="str">
        <f t="shared" si="58"/>
        <v xml:space="preserve"> =&lt;90</v>
      </c>
      <c r="AL3698" s="1" t="str">
        <f>VLOOKUP(C:C,[1]基础信息!B$1:D$65536,3,0)</f>
        <v>Jug</v>
      </c>
      <c r="AM3698" s="1" t="str">
        <f>VLOOKUP(C:C,[1]基础信息!B$1:E$65536,4,0)</f>
        <v>Aluna</v>
      </c>
      <c r="AN3698" s="1" t="str">
        <f>VLOOKUP(C:C,[1]基础信息!B$1:F$65536,5,0)</f>
        <v>Blue</v>
      </c>
    </row>
    <row r="3699" spans="1:40">
      <c r="A3699" s="1" t="s">
        <v>41</v>
      </c>
      <c r="B3699" s="1" t="s">
        <v>42</v>
      </c>
      <c r="C3699" s="1" t="s">
        <v>554</v>
      </c>
      <c r="D3699" s="1" t="s">
        <v>555</v>
      </c>
      <c r="E3699" s="1" t="s">
        <v>45</v>
      </c>
      <c r="F3699" s="1" t="s">
        <v>8416</v>
      </c>
      <c r="G3699" s="1" t="s">
        <v>8506</v>
      </c>
      <c r="H3699" s="1" t="s">
        <v>8507</v>
      </c>
      <c r="I3699" s="1" t="s">
        <v>49</v>
      </c>
      <c r="J3699" s="1" t="s">
        <v>48</v>
      </c>
      <c r="K3699" s="1">
        <v>70</v>
      </c>
      <c r="L3699" s="1">
        <v>0</v>
      </c>
      <c r="M3699" s="1">
        <v>0</v>
      </c>
      <c r="N3699" s="1">
        <v>70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 t="s">
        <v>49</v>
      </c>
      <c r="AA3699" s="1" t="s">
        <v>49</v>
      </c>
      <c r="AB3699" s="1" t="s">
        <v>49</v>
      </c>
      <c r="AC3699" s="1" t="s">
        <v>7670</v>
      </c>
      <c r="AD3699" s="1" t="s">
        <v>7671</v>
      </c>
      <c r="AE3699" s="1" t="s">
        <v>7670</v>
      </c>
      <c r="AF3699" s="1" t="s">
        <v>7672</v>
      </c>
      <c r="AG3699" s="1" t="s">
        <v>53</v>
      </c>
      <c r="AH3699" s="1" t="s">
        <v>49</v>
      </c>
      <c r="AI3699" s="1" t="s">
        <v>54</v>
      </c>
      <c r="AJ3699" s="1">
        <v>1</v>
      </c>
      <c r="AK3699" s="1" t="str">
        <f t="shared" si="58"/>
        <v xml:space="preserve"> =&lt;90</v>
      </c>
      <c r="AL3699" s="1" t="str">
        <f>VLOOKUP(C:C,[1]基础信息!B$1:D$65536,3,0)</f>
        <v>Jug</v>
      </c>
      <c r="AM3699" s="1" t="str">
        <f>VLOOKUP(C:C,[1]基础信息!B$1:E$65536,4,0)</f>
        <v>Green Pack</v>
      </c>
      <c r="AN3699" s="1" t="str">
        <f>VLOOKUP(C:C,[1]基础信息!B$1:F$65536,5,0)</f>
        <v>Blue</v>
      </c>
    </row>
    <row r="3700" spans="1:40">
      <c r="A3700" s="1" t="s">
        <v>41</v>
      </c>
      <c r="B3700" s="1" t="s">
        <v>8244</v>
      </c>
      <c r="C3700" s="1" t="s">
        <v>8347</v>
      </c>
      <c r="D3700" s="1" t="s">
        <v>8348</v>
      </c>
      <c r="E3700" s="1" t="s">
        <v>45</v>
      </c>
      <c r="F3700" s="1" t="s">
        <v>8508</v>
      </c>
      <c r="G3700" s="1" t="s">
        <v>8509</v>
      </c>
      <c r="H3700" s="1" t="s">
        <v>45</v>
      </c>
      <c r="I3700" s="1" t="s">
        <v>45</v>
      </c>
      <c r="J3700" s="1" t="s">
        <v>48</v>
      </c>
      <c r="K3700" s="1">
        <v>32</v>
      </c>
      <c r="L3700" s="1">
        <v>0</v>
      </c>
      <c r="M3700" s="1">
        <v>0</v>
      </c>
      <c r="N3700" s="1">
        <v>32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 t="s">
        <v>49</v>
      </c>
      <c r="AA3700" s="1" t="s">
        <v>49</v>
      </c>
      <c r="AB3700" s="1" t="s">
        <v>49</v>
      </c>
      <c r="AC3700" s="1" t="s">
        <v>7786</v>
      </c>
      <c r="AD3700" s="1" t="s">
        <v>7787</v>
      </c>
      <c r="AE3700" s="1" t="s">
        <v>7786</v>
      </c>
      <c r="AF3700" s="1" t="s">
        <v>8510</v>
      </c>
      <c r="AG3700" s="1" t="s">
        <v>8511</v>
      </c>
      <c r="AH3700" s="1" t="s">
        <v>8440</v>
      </c>
      <c r="AI3700" s="1" t="s">
        <v>54</v>
      </c>
      <c r="AJ3700" s="1">
        <v>1</v>
      </c>
      <c r="AK3700" s="1" t="str">
        <f t="shared" si="58"/>
        <v xml:space="preserve"> =&lt;90</v>
      </c>
      <c r="AL3700" s="1" t="e">
        <f>VLOOKUP(C:C,[1]基础信息!B$1:D$65536,3,0)</f>
        <v>#N/A</v>
      </c>
      <c r="AM3700" s="1" t="e">
        <f>VLOOKUP(C:C,[1]基础信息!B$1:E$65536,4,0)</f>
        <v>#N/A</v>
      </c>
      <c r="AN3700" s="1" t="e">
        <f>VLOOKUP(C:C,[1]基础信息!B$1:F$65536,5,0)</f>
        <v>#N/A</v>
      </c>
    </row>
    <row r="3701" spans="1:40">
      <c r="A3701" s="1" t="s">
        <v>41</v>
      </c>
      <c r="B3701" s="1" t="s">
        <v>8244</v>
      </c>
      <c r="C3701" s="1" t="s">
        <v>8459</v>
      </c>
      <c r="D3701" s="1" t="s">
        <v>8460</v>
      </c>
      <c r="E3701" s="1" t="s">
        <v>8461</v>
      </c>
      <c r="F3701" s="1" t="s">
        <v>8462</v>
      </c>
      <c r="G3701" s="1" t="s">
        <v>8512</v>
      </c>
      <c r="H3701" s="1" t="s">
        <v>45</v>
      </c>
      <c r="I3701" s="1" t="s">
        <v>45</v>
      </c>
      <c r="J3701" s="1" t="s">
        <v>48</v>
      </c>
      <c r="K3701" s="1">
        <v>36</v>
      </c>
      <c r="L3701" s="1">
        <v>0</v>
      </c>
      <c r="M3701" s="1">
        <v>0</v>
      </c>
      <c r="N3701" s="1">
        <v>36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 t="s">
        <v>49</v>
      </c>
      <c r="AA3701" s="1" t="s">
        <v>49</v>
      </c>
      <c r="AB3701" s="1" t="s">
        <v>49</v>
      </c>
      <c r="AC3701" s="1" t="s">
        <v>8370</v>
      </c>
      <c r="AD3701" s="1" t="s">
        <v>8371</v>
      </c>
      <c r="AE3701" s="1" t="s">
        <v>8370</v>
      </c>
      <c r="AF3701" s="1" t="s">
        <v>8464</v>
      </c>
      <c r="AG3701" s="1" t="s">
        <v>8253</v>
      </c>
      <c r="AH3701" s="1" t="s">
        <v>49</v>
      </c>
      <c r="AI3701" s="1" t="s">
        <v>54</v>
      </c>
      <c r="AJ3701" s="1">
        <v>1</v>
      </c>
      <c r="AK3701" s="1" t="str">
        <f t="shared" si="58"/>
        <v xml:space="preserve"> =&lt;90</v>
      </c>
      <c r="AL3701" s="1" t="e">
        <f>VLOOKUP(C:C,[1]基础信息!B$1:D$65536,3,0)</f>
        <v>#N/A</v>
      </c>
      <c r="AM3701" s="1" t="e">
        <f>VLOOKUP(C:C,[1]基础信息!B$1:E$65536,4,0)</f>
        <v>#N/A</v>
      </c>
      <c r="AN3701" s="1" t="e">
        <f>VLOOKUP(C:C,[1]基础信息!B$1:F$65536,5,0)</f>
        <v>#N/A</v>
      </c>
    </row>
    <row r="3702" spans="1:40">
      <c r="A3702" s="1" t="s">
        <v>41</v>
      </c>
      <c r="B3702" s="1" t="s">
        <v>42</v>
      </c>
      <c r="C3702" s="1" t="s">
        <v>1383</v>
      </c>
      <c r="D3702" s="1" t="s">
        <v>1384</v>
      </c>
      <c r="E3702" s="1" t="s">
        <v>45</v>
      </c>
      <c r="F3702" s="1" t="s">
        <v>8405</v>
      </c>
      <c r="G3702" s="1" t="s">
        <v>8513</v>
      </c>
      <c r="H3702" s="1" t="s">
        <v>45</v>
      </c>
      <c r="I3702" s="1" t="s">
        <v>45</v>
      </c>
      <c r="J3702" s="1" t="s">
        <v>48</v>
      </c>
      <c r="K3702" s="1">
        <v>100</v>
      </c>
      <c r="L3702" s="1">
        <v>0</v>
      </c>
      <c r="M3702" s="1">
        <v>0</v>
      </c>
      <c r="N3702" s="1">
        <v>100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 t="s">
        <v>49</v>
      </c>
      <c r="AA3702" s="1" t="s">
        <v>49</v>
      </c>
      <c r="AB3702" s="1" t="s">
        <v>49</v>
      </c>
      <c r="AC3702" s="1" t="s">
        <v>5462</v>
      </c>
      <c r="AD3702" s="1" t="s">
        <v>8336</v>
      </c>
      <c r="AE3702" s="1" t="s">
        <v>5462</v>
      </c>
      <c r="AF3702" s="1" t="s">
        <v>49</v>
      </c>
      <c r="AG3702" s="1" t="s">
        <v>6921</v>
      </c>
      <c r="AH3702" s="1" t="s">
        <v>49</v>
      </c>
      <c r="AI3702" s="1" t="s">
        <v>54</v>
      </c>
      <c r="AJ3702" s="1">
        <v>1</v>
      </c>
      <c r="AK3702" s="1" t="str">
        <f t="shared" si="58"/>
        <v xml:space="preserve"> =&lt;90</v>
      </c>
      <c r="AL3702" s="1" t="str">
        <f>VLOOKUP(C:C,[1]基础信息!B$1:D$65536,3,0)</f>
        <v>Jug</v>
      </c>
      <c r="AM3702" s="1" t="str">
        <f>VLOOKUP(C:C,[1]基础信息!B$1:E$65536,4,0)</f>
        <v>Mxplus</v>
      </c>
      <c r="AN3702" s="1" t="str">
        <f>VLOOKUP(C:C,[1]基础信息!B$1:F$65536,5,0)</f>
        <v>White</v>
      </c>
    </row>
    <row r="3703" spans="1:40">
      <c r="A3703" s="1" t="s">
        <v>41</v>
      </c>
      <c r="B3703" s="1" t="s">
        <v>42</v>
      </c>
      <c r="C3703" s="1" t="s">
        <v>554</v>
      </c>
      <c r="D3703" s="1" t="s">
        <v>555</v>
      </c>
      <c r="E3703" s="1" t="s">
        <v>45</v>
      </c>
      <c r="F3703" s="1" t="s">
        <v>8416</v>
      </c>
      <c r="G3703" s="1" t="s">
        <v>8514</v>
      </c>
      <c r="H3703" s="1" t="s">
        <v>8515</v>
      </c>
      <c r="I3703" s="1" t="s">
        <v>49</v>
      </c>
      <c r="J3703" s="1" t="s">
        <v>48</v>
      </c>
      <c r="K3703" s="1">
        <v>70</v>
      </c>
      <c r="L3703" s="1">
        <v>0</v>
      </c>
      <c r="M3703" s="1">
        <v>0</v>
      </c>
      <c r="N3703" s="1">
        <v>70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 t="s">
        <v>49</v>
      </c>
      <c r="AA3703" s="1" t="s">
        <v>49</v>
      </c>
      <c r="AB3703" s="1" t="s">
        <v>49</v>
      </c>
      <c r="AC3703" s="1" t="s">
        <v>7670</v>
      </c>
      <c r="AD3703" s="1" t="s">
        <v>7671</v>
      </c>
      <c r="AE3703" s="1" t="s">
        <v>7670</v>
      </c>
      <c r="AF3703" s="1" t="s">
        <v>7672</v>
      </c>
      <c r="AG3703" s="1" t="s">
        <v>53</v>
      </c>
      <c r="AH3703" s="1" t="s">
        <v>49</v>
      </c>
      <c r="AI3703" s="1" t="s">
        <v>54</v>
      </c>
      <c r="AJ3703" s="1">
        <v>1</v>
      </c>
      <c r="AK3703" s="1" t="str">
        <f t="shared" si="58"/>
        <v xml:space="preserve"> =&lt;90</v>
      </c>
      <c r="AL3703" s="1" t="str">
        <f>VLOOKUP(C:C,[1]基础信息!B$1:D$65536,3,0)</f>
        <v>Jug</v>
      </c>
      <c r="AM3703" s="1" t="str">
        <f>VLOOKUP(C:C,[1]基础信息!B$1:E$65536,4,0)</f>
        <v>Green Pack</v>
      </c>
      <c r="AN3703" s="1" t="str">
        <f>VLOOKUP(C:C,[1]基础信息!B$1:F$65536,5,0)</f>
        <v>Blue</v>
      </c>
    </row>
    <row r="3704" spans="1:40">
      <c r="A3704" s="1" t="s">
        <v>41</v>
      </c>
      <c r="B3704" s="1" t="s">
        <v>8244</v>
      </c>
      <c r="C3704" s="1" t="s">
        <v>8397</v>
      </c>
      <c r="D3704" s="1" t="s">
        <v>8398</v>
      </c>
      <c r="E3704" s="1" t="s">
        <v>8399</v>
      </c>
      <c r="F3704" s="1" t="s">
        <v>8477</v>
      </c>
      <c r="G3704" s="1" t="s">
        <v>8516</v>
      </c>
      <c r="H3704" s="1" t="s">
        <v>45</v>
      </c>
      <c r="I3704" s="1" t="s">
        <v>45</v>
      </c>
      <c r="J3704" s="1" t="s">
        <v>48</v>
      </c>
      <c r="K3704" s="1">
        <v>43</v>
      </c>
      <c r="L3704" s="1">
        <v>0</v>
      </c>
      <c r="M3704" s="1">
        <v>0</v>
      </c>
      <c r="N3704" s="1">
        <v>43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 t="s">
        <v>49</v>
      </c>
      <c r="AA3704" s="1" t="s">
        <v>49</v>
      </c>
      <c r="AB3704" s="1" t="s">
        <v>49</v>
      </c>
      <c r="AC3704" s="1" t="s">
        <v>8402</v>
      </c>
      <c r="AD3704" s="1" t="s">
        <v>8403</v>
      </c>
      <c r="AE3704" s="1" t="s">
        <v>8402</v>
      </c>
      <c r="AF3704" s="1" t="s">
        <v>8443</v>
      </c>
      <c r="AG3704" s="1" t="s">
        <v>8253</v>
      </c>
      <c r="AH3704" s="1" t="s">
        <v>49</v>
      </c>
      <c r="AI3704" s="1" t="s">
        <v>54</v>
      </c>
      <c r="AJ3704" s="1">
        <v>1</v>
      </c>
      <c r="AK3704" s="1" t="str">
        <f t="shared" si="58"/>
        <v xml:space="preserve"> =&lt;90</v>
      </c>
      <c r="AL3704" s="1" t="e">
        <f>VLOOKUP(C:C,[1]基础信息!B$1:D$65536,3,0)</f>
        <v>#N/A</v>
      </c>
      <c r="AM3704" s="1" t="e">
        <f>VLOOKUP(C:C,[1]基础信息!B$1:E$65536,4,0)</f>
        <v>#N/A</v>
      </c>
      <c r="AN3704" s="1" t="e">
        <f>VLOOKUP(C:C,[1]基础信息!B$1:F$65536,5,0)</f>
        <v>#N/A</v>
      </c>
    </row>
    <row r="3705" spans="1:40">
      <c r="A3705" s="1" t="s">
        <v>41</v>
      </c>
      <c r="B3705" s="1" t="s">
        <v>8244</v>
      </c>
      <c r="C3705" s="1" t="s">
        <v>8347</v>
      </c>
      <c r="D3705" s="1" t="s">
        <v>8348</v>
      </c>
      <c r="E3705" s="1" t="s">
        <v>45</v>
      </c>
      <c r="F3705" s="1" t="s">
        <v>8517</v>
      </c>
      <c r="G3705" s="1" t="s">
        <v>8518</v>
      </c>
      <c r="H3705" s="1" t="s">
        <v>45</v>
      </c>
      <c r="I3705" s="1" t="s">
        <v>45</v>
      </c>
      <c r="J3705" s="1" t="s">
        <v>48</v>
      </c>
      <c r="K3705" s="1">
        <v>31</v>
      </c>
      <c r="L3705" s="1">
        <v>0</v>
      </c>
      <c r="M3705" s="1">
        <v>0</v>
      </c>
      <c r="N3705" s="1">
        <v>31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 t="s">
        <v>49</v>
      </c>
      <c r="AA3705" s="1" t="s">
        <v>49</v>
      </c>
      <c r="AB3705" s="1" t="s">
        <v>49</v>
      </c>
      <c r="AC3705" s="1" t="s">
        <v>8370</v>
      </c>
      <c r="AD3705" s="1" t="s">
        <v>8371</v>
      </c>
      <c r="AE3705" s="1" t="s">
        <v>8370</v>
      </c>
      <c r="AF3705" s="1" t="s">
        <v>8490</v>
      </c>
      <c r="AG3705" s="1" t="s">
        <v>8383</v>
      </c>
      <c r="AH3705" s="1" t="s">
        <v>8354</v>
      </c>
      <c r="AI3705" s="1" t="s">
        <v>54</v>
      </c>
      <c r="AJ3705" s="1">
        <v>1</v>
      </c>
      <c r="AK3705" s="1" t="str">
        <f t="shared" si="58"/>
        <v xml:space="preserve"> =&lt;90</v>
      </c>
      <c r="AL3705" s="1" t="e">
        <f>VLOOKUP(C:C,[1]基础信息!B$1:D$65536,3,0)</f>
        <v>#N/A</v>
      </c>
      <c r="AM3705" s="1" t="e">
        <f>VLOOKUP(C:C,[1]基础信息!B$1:E$65536,4,0)</f>
        <v>#N/A</v>
      </c>
      <c r="AN3705" s="1" t="e">
        <f>VLOOKUP(C:C,[1]基础信息!B$1:F$65536,5,0)</f>
        <v>#N/A</v>
      </c>
    </row>
    <row r="3706" spans="1:40">
      <c r="A3706" s="1" t="s">
        <v>41</v>
      </c>
      <c r="B3706" s="1" t="s">
        <v>42</v>
      </c>
      <c r="C3706" s="1" t="s">
        <v>3796</v>
      </c>
      <c r="D3706" s="1" t="s">
        <v>3797</v>
      </c>
      <c r="E3706" s="1" t="s">
        <v>3796</v>
      </c>
      <c r="F3706" s="1" t="s">
        <v>8519</v>
      </c>
      <c r="G3706" s="1" t="s">
        <v>8520</v>
      </c>
      <c r="H3706" s="1" t="s">
        <v>45</v>
      </c>
      <c r="I3706" s="1" t="s">
        <v>45</v>
      </c>
      <c r="J3706" s="1" t="s">
        <v>48</v>
      </c>
      <c r="K3706" s="1">
        <v>63</v>
      </c>
      <c r="L3706" s="1">
        <v>0</v>
      </c>
      <c r="M3706" s="1">
        <v>0</v>
      </c>
      <c r="N3706" s="1">
        <v>63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 t="s">
        <v>49</v>
      </c>
      <c r="AA3706" s="1" t="s">
        <v>49</v>
      </c>
      <c r="AB3706" s="1" t="s">
        <v>49</v>
      </c>
      <c r="AC3706" s="1" t="s">
        <v>5462</v>
      </c>
      <c r="AD3706" s="1" t="s">
        <v>8336</v>
      </c>
      <c r="AE3706" s="1" t="s">
        <v>5462</v>
      </c>
      <c r="AF3706" s="1" t="s">
        <v>49</v>
      </c>
      <c r="AG3706" s="1" t="s">
        <v>6921</v>
      </c>
      <c r="AH3706" s="1" t="s">
        <v>49</v>
      </c>
      <c r="AI3706" s="1" t="s">
        <v>54</v>
      </c>
      <c r="AJ3706" s="1">
        <v>1</v>
      </c>
      <c r="AK3706" s="1" t="str">
        <f t="shared" si="58"/>
        <v xml:space="preserve"> =&lt;90</v>
      </c>
      <c r="AL3706" s="1" t="str">
        <f>VLOOKUP(C:C,[1]基础信息!B$1:D$65536,3,0)</f>
        <v>Jug</v>
      </c>
      <c r="AM3706" s="1" t="str">
        <f>VLOOKUP(C:C,[1]基础信息!B$1:E$65536,4,0)</f>
        <v>Aluna</v>
      </c>
      <c r="AN3706" s="1" t="str">
        <f>VLOOKUP(C:C,[1]基础信息!B$1:F$65536,5,0)</f>
        <v>Blue</v>
      </c>
    </row>
    <row r="3707" spans="1:40">
      <c r="A3707" s="1" t="s">
        <v>41</v>
      </c>
      <c r="B3707" s="1" t="s">
        <v>42</v>
      </c>
      <c r="C3707" s="1" t="s">
        <v>554</v>
      </c>
      <c r="D3707" s="1" t="s">
        <v>555</v>
      </c>
      <c r="E3707" s="1" t="s">
        <v>45</v>
      </c>
      <c r="F3707" s="1" t="s">
        <v>8416</v>
      </c>
      <c r="G3707" s="1" t="s">
        <v>8521</v>
      </c>
      <c r="H3707" s="1" t="s">
        <v>8522</v>
      </c>
      <c r="I3707" s="1" t="s">
        <v>49</v>
      </c>
      <c r="J3707" s="1" t="s">
        <v>48</v>
      </c>
      <c r="K3707" s="1">
        <v>70</v>
      </c>
      <c r="L3707" s="1">
        <v>0</v>
      </c>
      <c r="M3707" s="1">
        <v>0</v>
      </c>
      <c r="N3707" s="1">
        <v>70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 t="s">
        <v>49</v>
      </c>
      <c r="AA3707" s="1" t="s">
        <v>49</v>
      </c>
      <c r="AB3707" s="1" t="s">
        <v>49</v>
      </c>
      <c r="AC3707" s="1" t="s">
        <v>7670</v>
      </c>
      <c r="AD3707" s="1" t="s">
        <v>7671</v>
      </c>
      <c r="AE3707" s="1" t="s">
        <v>7670</v>
      </c>
      <c r="AF3707" s="1" t="s">
        <v>7672</v>
      </c>
      <c r="AG3707" s="1" t="s">
        <v>53</v>
      </c>
      <c r="AH3707" s="1" t="s">
        <v>49</v>
      </c>
      <c r="AI3707" s="1" t="s">
        <v>54</v>
      </c>
      <c r="AJ3707" s="1">
        <v>1</v>
      </c>
      <c r="AK3707" s="1" t="str">
        <f t="shared" si="58"/>
        <v xml:space="preserve"> =&lt;90</v>
      </c>
      <c r="AL3707" s="1" t="str">
        <f>VLOOKUP(C:C,[1]基础信息!B$1:D$65536,3,0)</f>
        <v>Jug</v>
      </c>
      <c r="AM3707" s="1" t="str">
        <f>VLOOKUP(C:C,[1]基础信息!B$1:E$65536,4,0)</f>
        <v>Green Pack</v>
      </c>
      <c r="AN3707" s="1" t="str">
        <f>VLOOKUP(C:C,[1]基础信息!B$1:F$65536,5,0)</f>
        <v>Blue</v>
      </c>
    </row>
    <row r="3708" spans="1:40">
      <c r="A3708" s="1" t="s">
        <v>41</v>
      </c>
      <c r="B3708" s="1" t="s">
        <v>8244</v>
      </c>
      <c r="C3708" s="1" t="s">
        <v>8347</v>
      </c>
      <c r="D3708" s="1" t="s">
        <v>8348</v>
      </c>
      <c r="E3708" s="1" t="s">
        <v>45</v>
      </c>
      <c r="F3708" s="1" t="s">
        <v>8523</v>
      </c>
      <c r="G3708" s="1" t="s">
        <v>8524</v>
      </c>
      <c r="H3708" s="1" t="s">
        <v>45</v>
      </c>
      <c r="I3708" s="1" t="s">
        <v>45</v>
      </c>
      <c r="J3708" s="1" t="s">
        <v>48</v>
      </c>
      <c r="K3708" s="1">
        <v>32</v>
      </c>
      <c r="L3708" s="1">
        <v>0</v>
      </c>
      <c r="M3708" s="1">
        <v>0</v>
      </c>
      <c r="N3708" s="1">
        <v>32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 t="s">
        <v>49</v>
      </c>
      <c r="AA3708" s="1" t="s">
        <v>49</v>
      </c>
      <c r="AB3708" s="1" t="s">
        <v>49</v>
      </c>
      <c r="AC3708" s="1" t="s">
        <v>8422</v>
      </c>
      <c r="AD3708" s="1" t="s">
        <v>8423</v>
      </c>
      <c r="AE3708" s="1" t="s">
        <v>8422</v>
      </c>
      <c r="AF3708" s="1" t="s">
        <v>8525</v>
      </c>
      <c r="AG3708" s="1" t="s">
        <v>8383</v>
      </c>
      <c r="AH3708" s="1" t="s">
        <v>8354</v>
      </c>
      <c r="AI3708" s="1" t="s">
        <v>54</v>
      </c>
      <c r="AJ3708" s="1">
        <v>1</v>
      </c>
      <c r="AK3708" s="1" t="str">
        <f t="shared" si="58"/>
        <v xml:space="preserve"> =&lt;90</v>
      </c>
      <c r="AL3708" s="1" t="e">
        <f>VLOOKUP(C:C,[1]基础信息!B$1:D$65536,3,0)</f>
        <v>#N/A</v>
      </c>
      <c r="AM3708" s="1" t="e">
        <f>VLOOKUP(C:C,[1]基础信息!B$1:E$65536,4,0)</f>
        <v>#N/A</v>
      </c>
      <c r="AN3708" s="1" t="e">
        <f>VLOOKUP(C:C,[1]基础信息!B$1:F$65536,5,0)</f>
        <v>#N/A</v>
      </c>
    </row>
    <row r="3709" spans="1:40">
      <c r="A3709" s="1" t="s">
        <v>41</v>
      </c>
      <c r="B3709" s="1" t="s">
        <v>42</v>
      </c>
      <c r="C3709" s="1" t="s">
        <v>301</v>
      </c>
      <c r="D3709" s="1" t="s">
        <v>302</v>
      </c>
      <c r="E3709" s="1" t="s">
        <v>45</v>
      </c>
      <c r="F3709" s="1" t="s">
        <v>8425</v>
      </c>
      <c r="G3709" s="1" t="s">
        <v>8526</v>
      </c>
      <c r="H3709" s="1" t="s">
        <v>45</v>
      </c>
      <c r="I3709" s="1" t="s">
        <v>45</v>
      </c>
      <c r="J3709" s="1" t="s">
        <v>48</v>
      </c>
      <c r="K3709" s="1">
        <v>15</v>
      </c>
      <c r="L3709" s="1">
        <v>0</v>
      </c>
      <c r="M3709" s="1">
        <v>0</v>
      </c>
      <c r="N3709" s="1">
        <v>15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 t="s">
        <v>49</v>
      </c>
      <c r="AA3709" s="1" t="s">
        <v>49</v>
      </c>
      <c r="AB3709" s="1" t="s">
        <v>49</v>
      </c>
      <c r="AC3709" s="1" t="s">
        <v>5462</v>
      </c>
      <c r="AD3709" s="1" t="s">
        <v>8336</v>
      </c>
      <c r="AE3709" s="1" t="s">
        <v>5462</v>
      </c>
      <c r="AF3709" s="1" t="s">
        <v>49</v>
      </c>
      <c r="AG3709" s="1" t="s">
        <v>6921</v>
      </c>
      <c r="AH3709" s="1" t="s">
        <v>49</v>
      </c>
      <c r="AI3709" s="1" t="s">
        <v>54</v>
      </c>
      <c r="AJ3709" s="1">
        <v>0</v>
      </c>
      <c r="AK3709" s="1" t="str">
        <f t="shared" si="58"/>
        <v xml:space="preserve"> =&lt;90</v>
      </c>
      <c r="AL3709" s="1" t="str">
        <f>VLOOKUP(C:C,[1]基础信息!B$1:D$65536,3,0)</f>
        <v>Jug</v>
      </c>
      <c r="AM3709" s="1" t="str">
        <f>VLOOKUP(C:C,[1]基础信息!B$1:E$65536,4,0)</f>
        <v>Aluna</v>
      </c>
      <c r="AN3709" s="1" t="str">
        <f>VLOOKUP(C:C,[1]基础信息!B$1:F$65536,5,0)</f>
        <v>Blue</v>
      </c>
    </row>
    <row r="3710" spans="1:40">
      <c r="A3710" s="1" t="s">
        <v>41</v>
      </c>
      <c r="B3710" s="1" t="s">
        <v>42</v>
      </c>
      <c r="C3710" s="1" t="s">
        <v>969</v>
      </c>
      <c r="D3710" s="1" t="s">
        <v>970</v>
      </c>
      <c r="E3710" s="1" t="s">
        <v>45</v>
      </c>
      <c r="F3710" s="1" t="s">
        <v>8527</v>
      </c>
      <c r="G3710" s="1" t="s">
        <v>8526</v>
      </c>
      <c r="H3710" s="1" t="s">
        <v>45</v>
      </c>
      <c r="I3710" s="1" t="s">
        <v>45</v>
      </c>
      <c r="J3710" s="1" t="s">
        <v>48</v>
      </c>
      <c r="K3710" s="1">
        <v>2</v>
      </c>
      <c r="L3710" s="1">
        <v>0</v>
      </c>
      <c r="M3710" s="1">
        <v>0</v>
      </c>
      <c r="N3710" s="1">
        <v>2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 t="s">
        <v>49</v>
      </c>
      <c r="AA3710" s="1" t="s">
        <v>49</v>
      </c>
      <c r="AB3710" s="1" t="s">
        <v>49</v>
      </c>
      <c r="AC3710" s="1" t="s">
        <v>5462</v>
      </c>
      <c r="AD3710" s="1" t="s">
        <v>8336</v>
      </c>
      <c r="AE3710" s="1" t="s">
        <v>5462</v>
      </c>
      <c r="AF3710" s="1" t="s">
        <v>49</v>
      </c>
      <c r="AG3710" s="1" t="s">
        <v>6921</v>
      </c>
      <c r="AH3710" s="1" t="s">
        <v>49</v>
      </c>
      <c r="AI3710" s="1" t="s">
        <v>54</v>
      </c>
      <c r="AJ3710" s="1">
        <v>0</v>
      </c>
      <c r="AK3710" s="1" t="str">
        <f t="shared" si="58"/>
        <v xml:space="preserve"> =&lt;90</v>
      </c>
      <c r="AL3710" s="1" t="str">
        <f>VLOOKUP(C:C,[1]基础信息!B$1:D$65536,3,0)</f>
        <v>Jug</v>
      </c>
      <c r="AM3710" s="1" t="str">
        <f>VLOOKUP(C:C,[1]基础信息!B$1:E$65536,4,0)</f>
        <v>Mxplus</v>
      </c>
      <c r="AN3710" s="1" t="str">
        <f>VLOOKUP(C:C,[1]基础信息!B$1:F$65536,5,0)</f>
        <v xml:space="preserve"> blue</v>
      </c>
    </row>
    <row r="3711" spans="1:40">
      <c r="A3711" s="1" t="s">
        <v>41</v>
      </c>
      <c r="B3711" s="1" t="s">
        <v>42</v>
      </c>
      <c r="C3711" s="1" t="s">
        <v>813</v>
      </c>
      <c r="D3711" s="1" t="s">
        <v>814</v>
      </c>
      <c r="E3711" s="1" t="s">
        <v>45</v>
      </c>
      <c r="F3711" s="1" t="s">
        <v>8528</v>
      </c>
      <c r="G3711" s="1" t="s">
        <v>8526</v>
      </c>
      <c r="H3711" s="1" t="s">
        <v>45</v>
      </c>
      <c r="I3711" s="1" t="s">
        <v>45</v>
      </c>
      <c r="J3711" s="1" t="s">
        <v>48</v>
      </c>
      <c r="K3711" s="1">
        <v>1</v>
      </c>
      <c r="L3711" s="1">
        <v>0</v>
      </c>
      <c r="M3711" s="1">
        <v>0</v>
      </c>
      <c r="N3711" s="1">
        <v>1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 t="s">
        <v>49</v>
      </c>
      <c r="AA3711" s="1" t="s">
        <v>49</v>
      </c>
      <c r="AB3711" s="1" t="s">
        <v>49</v>
      </c>
      <c r="AC3711" s="1" t="s">
        <v>5462</v>
      </c>
      <c r="AD3711" s="1" t="s">
        <v>8336</v>
      </c>
      <c r="AE3711" s="1" t="s">
        <v>5462</v>
      </c>
      <c r="AF3711" s="1" t="s">
        <v>49</v>
      </c>
      <c r="AG3711" s="1" t="s">
        <v>6921</v>
      </c>
      <c r="AH3711" s="1" t="s">
        <v>49</v>
      </c>
      <c r="AI3711" s="1" t="s">
        <v>54</v>
      </c>
      <c r="AJ3711" s="1">
        <v>1</v>
      </c>
      <c r="AK3711" s="1" t="str">
        <f t="shared" si="58"/>
        <v xml:space="preserve"> =&lt;90</v>
      </c>
      <c r="AL3711" s="1" t="str">
        <f>VLOOKUP(C:C,[1]基础信息!B$1:D$65536,3,0)</f>
        <v>Jug</v>
      </c>
      <c r="AM3711" s="1" t="str">
        <f>VLOOKUP(C:C,[1]基础信息!B$1:E$65536,4,0)</f>
        <v>Mxplus</v>
      </c>
      <c r="AN3711" s="1" t="str">
        <f>VLOOKUP(C:C,[1]基础信息!B$1:F$65536,5,0)</f>
        <v>Blue</v>
      </c>
    </row>
    <row r="3712" spans="1:40">
      <c r="A3712" s="1" t="s">
        <v>41</v>
      </c>
      <c r="B3712" s="1" t="s">
        <v>42</v>
      </c>
      <c r="C3712" s="1" t="s">
        <v>5127</v>
      </c>
      <c r="D3712" s="1" t="s">
        <v>5128</v>
      </c>
      <c r="E3712" s="1" t="s">
        <v>45</v>
      </c>
      <c r="F3712" s="1" t="s">
        <v>8529</v>
      </c>
      <c r="G3712" s="1" t="s">
        <v>8530</v>
      </c>
      <c r="H3712" s="1" t="s">
        <v>45</v>
      </c>
      <c r="I3712" s="1" t="s">
        <v>45</v>
      </c>
      <c r="J3712" s="1" t="s">
        <v>48</v>
      </c>
      <c r="K3712" s="1">
        <v>1</v>
      </c>
      <c r="L3712" s="1">
        <v>0</v>
      </c>
      <c r="M3712" s="1">
        <v>0</v>
      </c>
      <c r="N3712" s="1">
        <v>1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 t="s">
        <v>49</v>
      </c>
      <c r="AA3712" s="1" t="s">
        <v>49</v>
      </c>
      <c r="AB3712" s="1" t="s">
        <v>49</v>
      </c>
      <c r="AC3712" s="1" t="s">
        <v>8531</v>
      </c>
      <c r="AD3712" s="1" t="s">
        <v>8532</v>
      </c>
      <c r="AE3712" s="1" t="s">
        <v>8531</v>
      </c>
      <c r="AF3712" s="1" t="s">
        <v>49</v>
      </c>
      <c r="AG3712" s="1" t="s">
        <v>1952</v>
      </c>
      <c r="AH3712" s="1" t="s">
        <v>49</v>
      </c>
      <c r="AI3712" s="1" t="s">
        <v>54</v>
      </c>
      <c r="AJ3712" s="1">
        <v>0</v>
      </c>
      <c r="AK3712" s="1" t="str">
        <f t="shared" si="58"/>
        <v xml:space="preserve"> =&lt;90</v>
      </c>
      <c r="AL3712" s="1" t="str">
        <f>VLOOKUP(C:C,[1]基础信息!B$1:D$65536,3,0)</f>
        <v>Jug</v>
      </c>
      <c r="AM3712" s="1" t="str">
        <f>VLOOKUP(C:C,[1]基础信息!B$1:E$65536,4,0)</f>
        <v>Style</v>
      </c>
      <c r="AN3712" s="1" t="str">
        <f>VLOOKUP(C:C,[1]基础信息!B$1:F$65536,5,0)</f>
        <v>Lime</v>
      </c>
    </row>
    <row r="3713" spans="1:40">
      <c r="A3713" s="1" t="s">
        <v>41</v>
      </c>
      <c r="B3713" s="1" t="s">
        <v>42</v>
      </c>
      <c r="C3713" s="1" t="s">
        <v>8206</v>
      </c>
      <c r="D3713" s="1" t="s">
        <v>8207</v>
      </c>
      <c r="E3713" s="1" t="s">
        <v>8206</v>
      </c>
      <c r="F3713" s="1" t="s">
        <v>8533</v>
      </c>
      <c r="G3713" s="1" t="s">
        <v>8530</v>
      </c>
      <c r="H3713" s="1" t="s">
        <v>45</v>
      </c>
      <c r="I3713" s="1" t="s">
        <v>45</v>
      </c>
      <c r="J3713" s="1" t="s">
        <v>48</v>
      </c>
      <c r="K3713" s="1">
        <v>3</v>
      </c>
      <c r="L3713" s="1">
        <v>0</v>
      </c>
      <c r="M3713" s="1">
        <v>0</v>
      </c>
      <c r="N3713" s="1">
        <v>3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 t="s">
        <v>49</v>
      </c>
      <c r="AA3713" s="1" t="s">
        <v>49</v>
      </c>
      <c r="AB3713" s="1" t="s">
        <v>49</v>
      </c>
      <c r="AC3713" s="1" t="s">
        <v>8534</v>
      </c>
      <c r="AD3713" s="1" t="s">
        <v>8535</v>
      </c>
      <c r="AE3713" s="1" t="s">
        <v>8534</v>
      </c>
      <c r="AF3713" s="1" t="s">
        <v>49</v>
      </c>
      <c r="AG3713" s="1" t="s">
        <v>1952</v>
      </c>
      <c r="AH3713" s="1" t="s">
        <v>49</v>
      </c>
      <c r="AI3713" s="1" t="s">
        <v>54</v>
      </c>
      <c r="AJ3713" s="1">
        <v>0</v>
      </c>
      <c r="AK3713" s="1" t="str">
        <f t="shared" si="58"/>
        <v xml:space="preserve"> =&lt;90</v>
      </c>
      <c r="AL3713" s="1" t="str">
        <f>VLOOKUP(C:C,[1]基础信息!B$1:D$65536,3,0)</f>
        <v>Jug</v>
      </c>
      <c r="AM3713" s="1" t="str">
        <f>VLOOKUP(C:C,[1]基础信息!B$1:E$65536,4,0)</f>
        <v>Marella</v>
      </c>
      <c r="AN3713" s="1" t="str">
        <f>VLOOKUP(C:C,[1]基础信息!B$1:F$65536,5,0)</f>
        <v>Blue</v>
      </c>
    </row>
    <row r="3714" spans="1:40">
      <c r="A3714" s="1" t="s">
        <v>41</v>
      </c>
      <c r="B3714" s="1" t="s">
        <v>42</v>
      </c>
      <c r="C3714" s="1" t="s">
        <v>1632</v>
      </c>
      <c r="D3714" s="1" t="s">
        <v>1633</v>
      </c>
      <c r="E3714" s="1" t="s">
        <v>45</v>
      </c>
      <c r="F3714" s="1" t="s">
        <v>8536</v>
      </c>
      <c r="G3714" s="1" t="s">
        <v>8530</v>
      </c>
      <c r="H3714" s="1" t="s">
        <v>45</v>
      </c>
      <c r="I3714" s="1" t="s">
        <v>45</v>
      </c>
      <c r="J3714" s="1" t="s">
        <v>48</v>
      </c>
      <c r="K3714" s="1">
        <v>2</v>
      </c>
      <c r="L3714" s="1">
        <v>0</v>
      </c>
      <c r="M3714" s="1">
        <v>0</v>
      </c>
      <c r="N3714" s="1">
        <v>2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 t="s">
        <v>49</v>
      </c>
      <c r="AA3714" s="1" t="s">
        <v>49</v>
      </c>
      <c r="AB3714" s="1" t="s">
        <v>49</v>
      </c>
      <c r="AC3714" s="1" t="s">
        <v>8537</v>
      </c>
      <c r="AD3714" s="1" t="s">
        <v>8538</v>
      </c>
      <c r="AE3714" s="1" t="s">
        <v>8537</v>
      </c>
      <c r="AF3714" s="1" t="s">
        <v>49</v>
      </c>
      <c r="AG3714" s="1" t="s">
        <v>1952</v>
      </c>
      <c r="AH3714" s="1" t="s">
        <v>49</v>
      </c>
      <c r="AI3714" s="1" t="s">
        <v>54</v>
      </c>
      <c r="AJ3714" s="1">
        <v>0</v>
      </c>
      <c r="AK3714" s="1" t="str">
        <f t="shared" si="58"/>
        <v xml:space="preserve"> =&lt;90</v>
      </c>
      <c r="AL3714" s="1" t="str">
        <f>VLOOKUP(C:C,[1]基础信息!B$1:D$65536,3,0)</f>
        <v>Jug</v>
      </c>
      <c r="AM3714" s="1" t="str">
        <f>VLOOKUP(C:C,[1]基础信息!B$1:E$65536,4,0)</f>
        <v>Style</v>
      </c>
      <c r="AN3714" s="1" t="str">
        <f>VLOOKUP(C:C,[1]基础信息!B$1:F$65536,5,0)</f>
        <v>Lime</v>
      </c>
    </row>
    <row r="3715" spans="1:40">
      <c r="A3715" s="1" t="s">
        <v>41</v>
      </c>
      <c r="B3715" s="1" t="s">
        <v>42</v>
      </c>
      <c r="C3715" s="1" t="s">
        <v>4216</v>
      </c>
      <c r="D3715" s="1" t="s">
        <v>4217</v>
      </c>
      <c r="E3715" s="1" t="s">
        <v>45</v>
      </c>
      <c r="F3715" s="1" t="s">
        <v>8539</v>
      </c>
      <c r="G3715" s="1" t="s">
        <v>8530</v>
      </c>
      <c r="H3715" s="1" t="s">
        <v>45</v>
      </c>
      <c r="I3715" s="1" t="s">
        <v>45</v>
      </c>
      <c r="J3715" s="1" t="s">
        <v>48</v>
      </c>
      <c r="K3715" s="1">
        <v>1</v>
      </c>
      <c r="L3715" s="1">
        <v>0</v>
      </c>
      <c r="M3715" s="1">
        <v>0</v>
      </c>
      <c r="N3715" s="1">
        <v>1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 t="s">
        <v>49</v>
      </c>
      <c r="AA3715" s="1" t="s">
        <v>49</v>
      </c>
      <c r="AB3715" s="1" t="s">
        <v>49</v>
      </c>
      <c r="AC3715" s="1" t="s">
        <v>8540</v>
      </c>
      <c r="AD3715" s="1" t="s">
        <v>8541</v>
      </c>
      <c r="AE3715" s="1" t="s">
        <v>8540</v>
      </c>
      <c r="AF3715" s="1" t="s">
        <v>8542</v>
      </c>
      <c r="AG3715" s="1" t="s">
        <v>1952</v>
      </c>
      <c r="AH3715" s="1" t="s">
        <v>49</v>
      </c>
      <c r="AI3715" s="1" t="s">
        <v>54</v>
      </c>
      <c r="AJ3715" s="1">
        <v>0</v>
      </c>
      <c r="AK3715" s="1" t="str">
        <f t="shared" si="58"/>
        <v xml:space="preserve"> =&lt;90</v>
      </c>
      <c r="AL3715" s="1" t="str">
        <f>VLOOKUP(C:C,[1]基础信息!B$1:D$65536,3,0)</f>
        <v>Jug</v>
      </c>
      <c r="AM3715" s="1" t="str">
        <f>VLOOKUP(C:C,[1]基础信息!B$1:E$65536,4,0)</f>
        <v>Aluna</v>
      </c>
      <c r="AN3715" s="1" t="str">
        <f>VLOOKUP(C:C,[1]基础信息!B$1:F$65536,5,0)</f>
        <v>Blue</v>
      </c>
    </row>
    <row r="3716" spans="1:40">
      <c r="A3716" s="1" t="s">
        <v>41</v>
      </c>
      <c r="B3716" s="1" t="s">
        <v>42</v>
      </c>
      <c r="C3716" s="1" t="s">
        <v>554</v>
      </c>
      <c r="D3716" s="1" t="s">
        <v>555</v>
      </c>
      <c r="E3716" s="1" t="s">
        <v>45</v>
      </c>
      <c r="F3716" s="1" t="s">
        <v>8543</v>
      </c>
      <c r="G3716" s="1" t="s">
        <v>8530</v>
      </c>
      <c r="H3716" s="1" t="s">
        <v>45</v>
      </c>
      <c r="I3716" s="1" t="s">
        <v>45</v>
      </c>
      <c r="J3716" s="1" t="s">
        <v>48</v>
      </c>
      <c r="K3716" s="1">
        <v>1</v>
      </c>
      <c r="L3716" s="1">
        <v>0</v>
      </c>
      <c r="M3716" s="1">
        <v>0</v>
      </c>
      <c r="N3716" s="1">
        <v>1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 t="s">
        <v>49</v>
      </c>
      <c r="AA3716" s="1" t="s">
        <v>49</v>
      </c>
      <c r="AB3716" s="1" t="s">
        <v>49</v>
      </c>
      <c r="AC3716" s="1" t="s">
        <v>8250</v>
      </c>
      <c r="AD3716" s="1" t="s">
        <v>8251</v>
      </c>
      <c r="AE3716" s="1" t="s">
        <v>8250</v>
      </c>
      <c r="AF3716" s="1" t="s">
        <v>49</v>
      </c>
      <c r="AG3716" s="1" t="s">
        <v>1952</v>
      </c>
      <c r="AH3716" s="1" t="s">
        <v>49</v>
      </c>
      <c r="AI3716" s="1" t="s">
        <v>54</v>
      </c>
      <c r="AJ3716" s="1">
        <v>1</v>
      </c>
      <c r="AK3716" s="1" t="str">
        <f t="shared" si="58"/>
        <v xml:space="preserve"> =&lt;90</v>
      </c>
      <c r="AL3716" s="1" t="str">
        <f>VLOOKUP(C:C,[1]基础信息!B$1:D$65536,3,0)</f>
        <v>Jug</v>
      </c>
      <c r="AM3716" s="1" t="str">
        <f>VLOOKUP(C:C,[1]基础信息!B$1:E$65536,4,0)</f>
        <v>Green Pack</v>
      </c>
      <c r="AN3716" s="1" t="str">
        <f>VLOOKUP(C:C,[1]基础信息!B$1:F$65536,5,0)</f>
        <v>Blue</v>
      </c>
    </row>
    <row r="3717" spans="1:40">
      <c r="A3717" s="1" t="s">
        <v>41</v>
      </c>
      <c r="B3717" s="1" t="s">
        <v>42</v>
      </c>
      <c r="C3717" s="1" t="s">
        <v>554</v>
      </c>
      <c r="D3717" s="1" t="s">
        <v>555</v>
      </c>
      <c r="E3717" s="1" t="s">
        <v>45</v>
      </c>
      <c r="F3717" s="1" t="s">
        <v>8416</v>
      </c>
      <c r="G3717" s="1" t="s">
        <v>8544</v>
      </c>
      <c r="H3717" s="1" t="s">
        <v>8545</v>
      </c>
      <c r="I3717" s="1" t="s">
        <v>49</v>
      </c>
      <c r="J3717" s="1" t="s">
        <v>48</v>
      </c>
      <c r="K3717" s="1">
        <v>70</v>
      </c>
      <c r="L3717" s="1">
        <v>0</v>
      </c>
      <c r="M3717" s="1">
        <v>0</v>
      </c>
      <c r="N3717" s="1">
        <v>70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 t="s">
        <v>49</v>
      </c>
      <c r="AA3717" s="1" t="s">
        <v>49</v>
      </c>
      <c r="AB3717" s="1" t="s">
        <v>49</v>
      </c>
      <c r="AC3717" s="1" t="s">
        <v>7670</v>
      </c>
      <c r="AD3717" s="1" t="s">
        <v>7671</v>
      </c>
      <c r="AE3717" s="1" t="s">
        <v>7670</v>
      </c>
      <c r="AF3717" s="1" t="s">
        <v>7672</v>
      </c>
      <c r="AG3717" s="1" t="s">
        <v>53</v>
      </c>
      <c r="AH3717" s="1" t="s">
        <v>49</v>
      </c>
      <c r="AI3717" s="1" t="s">
        <v>54</v>
      </c>
      <c r="AJ3717" s="1">
        <v>1</v>
      </c>
      <c r="AK3717" s="1" t="str">
        <f t="shared" si="58"/>
        <v xml:space="preserve"> =&lt;90</v>
      </c>
      <c r="AL3717" s="1" t="str">
        <f>VLOOKUP(C:C,[1]基础信息!B$1:D$65536,3,0)</f>
        <v>Jug</v>
      </c>
      <c r="AM3717" s="1" t="str">
        <f>VLOOKUP(C:C,[1]基础信息!B$1:E$65536,4,0)</f>
        <v>Green Pack</v>
      </c>
      <c r="AN3717" s="1" t="str">
        <f>VLOOKUP(C:C,[1]基础信息!B$1:F$65536,5,0)</f>
        <v>Blue</v>
      </c>
    </row>
    <row r="3718" spans="1:40">
      <c r="A3718" s="1" t="s">
        <v>41</v>
      </c>
      <c r="B3718" s="1" t="s">
        <v>8244</v>
      </c>
      <c r="C3718" s="1" t="s">
        <v>8546</v>
      </c>
      <c r="D3718" s="1" t="s">
        <v>8547</v>
      </c>
      <c r="E3718" s="1" t="s">
        <v>45</v>
      </c>
      <c r="F3718" s="1" t="s">
        <v>8548</v>
      </c>
      <c r="G3718" s="1" t="s">
        <v>8549</v>
      </c>
      <c r="H3718" s="1" t="s">
        <v>45</v>
      </c>
      <c r="I3718" s="1" t="s">
        <v>45</v>
      </c>
      <c r="J3718" s="1" t="s">
        <v>48</v>
      </c>
      <c r="K3718" s="1">
        <v>300</v>
      </c>
      <c r="L3718" s="1">
        <v>0</v>
      </c>
      <c r="M3718" s="1">
        <v>0</v>
      </c>
      <c r="N3718" s="1">
        <v>300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 t="s">
        <v>49</v>
      </c>
      <c r="AA3718" s="1" t="s">
        <v>49</v>
      </c>
      <c r="AB3718" s="1" t="s">
        <v>49</v>
      </c>
      <c r="AC3718" s="1" t="s">
        <v>5350</v>
      </c>
      <c r="AD3718" s="1" t="s">
        <v>8332</v>
      </c>
      <c r="AE3718" s="1" t="s">
        <v>5350</v>
      </c>
      <c r="AF3718" s="1" t="s">
        <v>49</v>
      </c>
      <c r="AG3718" s="1" t="s">
        <v>8253</v>
      </c>
      <c r="AH3718" s="1" t="s">
        <v>49</v>
      </c>
      <c r="AI3718" s="1" t="s">
        <v>54</v>
      </c>
      <c r="AJ3718" s="1">
        <v>1</v>
      </c>
      <c r="AK3718" s="1" t="str">
        <f t="shared" si="58"/>
        <v xml:space="preserve"> =&lt;90</v>
      </c>
      <c r="AL3718" s="1" t="e">
        <f>VLOOKUP(C:C,[1]基础信息!B$1:D$65536,3,0)</f>
        <v>#N/A</v>
      </c>
      <c r="AM3718" s="1" t="e">
        <f>VLOOKUP(C:C,[1]基础信息!B$1:E$65536,4,0)</f>
        <v>#N/A</v>
      </c>
      <c r="AN3718" s="1" t="e">
        <f>VLOOKUP(C:C,[1]基础信息!B$1:F$65536,5,0)</f>
        <v>#N/A</v>
      </c>
    </row>
    <row r="3719" spans="1:40">
      <c r="A3719" s="1" t="s">
        <v>41</v>
      </c>
      <c r="B3719" s="1" t="s">
        <v>42</v>
      </c>
      <c r="C3719" s="1" t="s">
        <v>43</v>
      </c>
      <c r="D3719" s="1" t="s">
        <v>44</v>
      </c>
      <c r="E3719" s="1" t="s">
        <v>45</v>
      </c>
      <c r="F3719" s="1" t="s">
        <v>8550</v>
      </c>
      <c r="G3719" s="1" t="s">
        <v>8551</v>
      </c>
      <c r="H3719" s="1" t="s">
        <v>45</v>
      </c>
      <c r="I3719" s="1" t="s">
        <v>45</v>
      </c>
      <c r="J3719" s="1" t="s">
        <v>48</v>
      </c>
      <c r="K3719" s="1">
        <v>21</v>
      </c>
      <c r="L3719" s="1">
        <v>0</v>
      </c>
      <c r="M3719" s="1">
        <v>0</v>
      </c>
      <c r="N3719" s="1">
        <v>21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 t="s">
        <v>49</v>
      </c>
      <c r="AA3719" s="1" t="s">
        <v>49</v>
      </c>
      <c r="AB3719" s="1" t="s">
        <v>49</v>
      </c>
      <c r="AC3719" s="1" t="s">
        <v>5462</v>
      </c>
      <c r="AD3719" s="1" t="s">
        <v>8336</v>
      </c>
      <c r="AE3719" s="1" t="s">
        <v>5462</v>
      </c>
      <c r="AF3719" s="1" t="s">
        <v>49</v>
      </c>
      <c r="AG3719" s="1" t="s">
        <v>6921</v>
      </c>
      <c r="AH3719" s="1" t="s">
        <v>49</v>
      </c>
      <c r="AI3719" s="1" t="s">
        <v>54</v>
      </c>
      <c r="AJ3719" s="1">
        <v>0</v>
      </c>
      <c r="AK3719" s="1" t="str">
        <f t="shared" si="58"/>
        <v xml:space="preserve"> =&lt;90</v>
      </c>
      <c r="AL3719" s="1" t="str">
        <f>VLOOKUP(C:C,[1]基础信息!B$1:D$65536,3,0)</f>
        <v>Jug</v>
      </c>
      <c r="AM3719" s="1" t="str">
        <f>VLOOKUP(C:C,[1]基础信息!B$1:E$65536,4,0)</f>
        <v>Marella XL</v>
      </c>
      <c r="AN3719" s="1" t="str">
        <f>VLOOKUP(C:C,[1]基础信息!B$1:F$65536,5,0)</f>
        <v>Black</v>
      </c>
    </row>
    <row r="3720" spans="1:40">
      <c r="A3720" s="1" t="s">
        <v>41</v>
      </c>
      <c r="B3720" s="1" t="s">
        <v>42</v>
      </c>
      <c r="C3720" s="1" t="s">
        <v>554</v>
      </c>
      <c r="D3720" s="1" t="s">
        <v>555</v>
      </c>
      <c r="E3720" s="1" t="s">
        <v>45</v>
      </c>
      <c r="F3720" s="1" t="s">
        <v>8552</v>
      </c>
      <c r="G3720" s="1" t="s">
        <v>8551</v>
      </c>
      <c r="H3720" s="1" t="s">
        <v>45</v>
      </c>
      <c r="I3720" s="1" t="s">
        <v>45</v>
      </c>
      <c r="J3720" s="1" t="s">
        <v>48</v>
      </c>
      <c r="K3720" s="1">
        <v>1</v>
      </c>
      <c r="L3720" s="1">
        <v>0</v>
      </c>
      <c r="M3720" s="1">
        <v>0</v>
      </c>
      <c r="N3720" s="1">
        <v>1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 t="s">
        <v>49</v>
      </c>
      <c r="AA3720" s="1" t="s">
        <v>49</v>
      </c>
      <c r="AB3720" s="1" t="s">
        <v>49</v>
      </c>
      <c r="AC3720" s="1" t="s">
        <v>5462</v>
      </c>
      <c r="AD3720" s="1" t="s">
        <v>8336</v>
      </c>
      <c r="AE3720" s="1" t="s">
        <v>5462</v>
      </c>
      <c r="AF3720" s="1" t="s">
        <v>49</v>
      </c>
      <c r="AG3720" s="1" t="s">
        <v>6921</v>
      </c>
      <c r="AH3720" s="1" t="s">
        <v>49</v>
      </c>
      <c r="AI3720" s="1" t="s">
        <v>54</v>
      </c>
      <c r="AJ3720" s="1">
        <v>1</v>
      </c>
      <c r="AK3720" s="1" t="str">
        <f t="shared" si="58"/>
        <v xml:space="preserve"> =&lt;90</v>
      </c>
      <c r="AL3720" s="1" t="str">
        <f>VLOOKUP(C:C,[1]基础信息!B$1:D$65536,3,0)</f>
        <v>Jug</v>
      </c>
      <c r="AM3720" s="1" t="str">
        <f>VLOOKUP(C:C,[1]基础信息!B$1:E$65536,4,0)</f>
        <v>Green Pack</v>
      </c>
      <c r="AN3720" s="1" t="str">
        <f>VLOOKUP(C:C,[1]基础信息!B$1:F$65536,5,0)</f>
        <v>Blue</v>
      </c>
    </row>
    <row r="3721" spans="1:40">
      <c r="A3721" s="1" t="s">
        <v>41</v>
      </c>
      <c r="B3721" s="1" t="s">
        <v>42</v>
      </c>
      <c r="C3721" s="1" t="s">
        <v>554</v>
      </c>
      <c r="D3721" s="1" t="s">
        <v>555</v>
      </c>
      <c r="E3721" s="1" t="s">
        <v>45</v>
      </c>
      <c r="F3721" s="1" t="s">
        <v>8416</v>
      </c>
      <c r="G3721" s="1" t="s">
        <v>8553</v>
      </c>
      <c r="H3721" s="1" t="s">
        <v>8554</v>
      </c>
      <c r="I3721" s="1" t="s">
        <v>49</v>
      </c>
      <c r="J3721" s="1" t="s">
        <v>48</v>
      </c>
      <c r="K3721" s="1">
        <v>70</v>
      </c>
      <c r="L3721" s="1">
        <v>0</v>
      </c>
      <c r="M3721" s="1">
        <v>0</v>
      </c>
      <c r="N3721" s="1">
        <v>70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 t="s">
        <v>49</v>
      </c>
      <c r="AA3721" s="1" t="s">
        <v>49</v>
      </c>
      <c r="AB3721" s="1" t="s">
        <v>49</v>
      </c>
      <c r="AC3721" s="1" t="s">
        <v>7670</v>
      </c>
      <c r="AD3721" s="1" t="s">
        <v>7671</v>
      </c>
      <c r="AE3721" s="1" t="s">
        <v>7670</v>
      </c>
      <c r="AF3721" s="1" t="s">
        <v>7672</v>
      </c>
      <c r="AG3721" s="1" t="s">
        <v>53</v>
      </c>
      <c r="AH3721" s="1" t="s">
        <v>49</v>
      </c>
      <c r="AI3721" s="1" t="s">
        <v>54</v>
      </c>
      <c r="AJ3721" s="1">
        <v>1</v>
      </c>
      <c r="AK3721" s="1" t="str">
        <f t="shared" si="58"/>
        <v xml:space="preserve"> =&lt;90</v>
      </c>
      <c r="AL3721" s="1" t="str">
        <f>VLOOKUP(C:C,[1]基础信息!B$1:D$65536,3,0)</f>
        <v>Jug</v>
      </c>
      <c r="AM3721" s="1" t="str">
        <f>VLOOKUP(C:C,[1]基础信息!B$1:E$65536,4,0)</f>
        <v>Green Pack</v>
      </c>
      <c r="AN3721" s="1" t="str">
        <f>VLOOKUP(C:C,[1]基础信息!B$1:F$65536,5,0)</f>
        <v>Blue</v>
      </c>
    </row>
    <row r="3722" spans="1:40">
      <c r="A3722" s="1" t="s">
        <v>41</v>
      </c>
      <c r="B3722" s="1" t="s">
        <v>8244</v>
      </c>
      <c r="C3722" s="1" t="s">
        <v>8347</v>
      </c>
      <c r="D3722" s="1" t="s">
        <v>8348</v>
      </c>
      <c r="E3722" s="1" t="s">
        <v>45</v>
      </c>
      <c r="F3722" s="1" t="s">
        <v>8555</v>
      </c>
      <c r="G3722" s="1" t="s">
        <v>8556</v>
      </c>
      <c r="H3722" s="1" t="s">
        <v>45</v>
      </c>
      <c r="I3722" s="1" t="s">
        <v>45</v>
      </c>
      <c r="J3722" s="1" t="s">
        <v>48</v>
      </c>
      <c r="K3722" s="1">
        <v>3</v>
      </c>
      <c r="L3722" s="1">
        <v>0</v>
      </c>
      <c r="M3722" s="1">
        <v>0</v>
      </c>
      <c r="N3722" s="1">
        <v>3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 t="s">
        <v>49</v>
      </c>
      <c r="AA3722" s="1" t="s">
        <v>49</v>
      </c>
      <c r="AB3722" s="1" t="s">
        <v>49</v>
      </c>
      <c r="AC3722" s="1" t="s">
        <v>8422</v>
      </c>
      <c r="AD3722" s="1" t="s">
        <v>8423</v>
      </c>
      <c r="AE3722" s="1" t="s">
        <v>8422</v>
      </c>
      <c r="AF3722" s="1" t="s">
        <v>8557</v>
      </c>
      <c r="AG3722" s="1" t="s">
        <v>8253</v>
      </c>
      <c r="AH3722" s="1" t="s">
        <v>8354</v>
      </c>
      <c r="AI3722" s="1" t="s">
        <v>54</v>
      </c>
      <c r="AJ3722" s="1">
        <v>1</v>
      </c>
      <c r="AK3722" s="1" t="str">
        <f t="shared" si="58"/>
        <v xml:space="preserve"> =&lt;90</v>
      </c>
      <c r="AL3722" s="1" t="e">
        <f>VLOOKUP(C:C,[1]基础信息!B$1:D$65536,3,0)</f>
        <v>#N/A</v>
      </c>
      <c r="AM3722" s="1" t="e">
        <f>VLOOKUP(C:C,[1]基础信息!B$1:E$65536,4,0)</f>
        <v>#N/A</v>
      </c>
      <c r="AN3722" s="1" t="e">
        <f>VLOOKUP(C:C,[1]基础信息!B$1:F$65536,5,0)</f>
        <v>#N/A</v>
      </c>
    </row>
    <row r="3723" spans="1:40">
      <c r="A3723" s="1" t="s">
        <v>41</v>
      </c>
      <c r="B3723" s="1" t="s">
        <v>8244</v>
      </c>
      <c r="C3723" s="1" t="s">
        <v>8479</v>
      </c>
      <c r="D3723" s="1" t="s">
        <v>8480</v>
      </c>
      <c r="E3723" s="1" t="s">
        <v>45</v>
      </c>
      <c r="F3723" s="1" t="s">
        <v>8481</v>
      </c>
      <c r="G3723" s="1" t="s">
        <v>8558</v>
      </c>
      <c r="H3723" s="1" t="s">
        <v>45</v>
      </c>
      <c r="I3723" s="1" t="s">
        <v>45</v>
      </c>
      <c r="J3723" s="1" t="s">
        <v>48</v>
      </c>
      <c r="K3723" s="1">
        <v>130</v>
      </c>
      <c r="L3723" s="1">
        <v>0</v>
      </c>
      <c r="M3723" s="1">
        <v>0</v>
      </c>
      <c r="N3723" s="1">
        <v>130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 t="s">
        <v>49</v>
      </c>
      <c r="AA3723" s="1" t="s">
        <v>49</v>
      </c>
      <c r="AB3723" s="1" t="s">
        <v>49</v>
      </c>
      <c r="AC3723" s="1" t="s">
        <v>61</v>
      </c>
      <c r="AD3723" s="1" t="s">
        <v>62</v>
      </c>
      <c r="AE3723" s="1" t="s">
        <v>61</v>
      </c>
      <c r="AF3723" s="1" t="s">
        <v>8483</v>
      </c>
      <c r="AG3723" s="1" t="s">
        <v>8253</v>
      </c>
      <c r="AH3723" s="1" t="s">
        <v>49</v>
      </c>
      <c r="AI3723" s="1" t="s">
        <v>54</v>
      </c>
      <c r="AJ3723" s="1">
        <v>1</v>
      </c>
      <c r="AK3723" s="1" t="str">
        <f t="shared" si="58"/>
        <v xml:space="preserve"> =&lt;90</v>
      </c>
      <c r="AL3723" s="1" t="e">
        <f>VLOOKUP(C:C,[1]基础信息!B$1:D$65536,3,0)</f>
        <v>#N/A</v>
      </c>
      <c r="AM3723" s="1" t="e">
        <f>VLOOKUP(C:C,[1]基础信息!B$1:E$65536,4,0)</f>
        <v>#N/A</v>
      </c>
      <c r="AN3723" s="1" t="e">
        <f>VLOOKUP(C:C,[1]基础信息!B$1:F$65536,5,0)</f>
        <v>#N/A</v>
      </c>
    </row>
    <row r="3724" spans="1:40">
      <c r="A3724" s="1" t="s">
        <v>41</v>
      </c>
      <c r="B3724" s="1" t="s">
        <v>42</v>
      </c>
      <c r="C3724" s="1" t="s">
        <v>3971</v>
      </c>
      <c r="D3724" s="1" t="s">
        <v>3972</v>
      </c>
      <c r="E3724" s="1" t="s">
        <v>45</v>
      </c>
      <c r="F3724" s="1" t="s">
        <v>8559</v>
      </c>
      <c r="G3724" s="1" t="s">
        <v>8560</v>
      </c>
      <c r="H3724" s="1" t="s">
        <v>45</v>
      </c>
      <c r="I3724" s="1" t="s">
        <v>45</v>
      </c>
      <c r="J3724" s="1" t="s">
        <v>48</v>
      </c>
      <c r="K3724" s="1">
        <v>70</v>
      </c>
      <c r="L3724" s="1">
        <v>0</v>
      </c>
      <c r="M3724" s="1">
        <v>0</v>
      </c>
      <c r="N3724" s="1">
        <v>70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 t="s">
        <v>49</v>
      </c>
      <c r="AA3724" s="1" t="s">
        <v>49</v>
      </c>
      <c r="AB3724" s="1" t="s">
        <v>49</v>
      </c>
      <c r="AC3724" s="1" t="s">
        <v>5462</v>
      </c>
      <c r="AD3724" s="1" t="s">
        <v>8336</v>
      </c>
      <c r="AE3724" s="1" t="s">
        <v>5462</v>
      </c>
      <c r="AF3724" s="1" t="s">
        <v>49</v>
      </c>
      <c r="AG3724" s="1" t="s">
        <v>6921</v>
      </c>
      <c r="AH3724" s="1" t="s">
        <v>49</v>
      </c>
      <c r="AI3724" s="1" t="s">
        <v>54</v>
      </c>
      <c r="AJ3724" s="1">
        <v>1</v>
      </c>
      <c r="AK3724" s="1" t="str">
        <f t="shared" si="58"/>
        <v xml:space="preserve"> =&lt;90</v>
      </c>
      <c r="AL3724" s="1" t="str">
        <f>VLOOKUP(C:C,[1]基础信息!B$1:D$65536,3,0)</f>
        <v>Jug</v>
      </c>
      <c r="AM3724" s="1" t="str">
        <f>VLOOKUP(C:C,[1]基础信息!B$1:E$65536,4,0)</f>
        <v>Mxplus</v>
      </c>
      <c r="AN3724" s="1" t="str">
        <f>VLOOKUP(C:C,[1]基础信息!B$1:F$65536,5,0)</f>
        <v xml:space="preserve"> lime</v>
      </c>
    </row>
    <row r="3725" spans="1:40">
      <c r="A3725" s="1" t="s">
        <v>41</v>
      </c>
      <c r="B3725" s="1" t="s">
        <v>42</v>
      </c>
      <c r="C3725" s="1" t="s">
        <v>554</v>
      </c>
      <c r="D3725" s="1" t="s">
        <v>555</v>
      </c>
      <c r="E3725" s="1" t="s">
        <v>45</v>
      </c>
      <c r="F3725" s="1" t="s">
        <v>8416</v>
      </c>
      <c r="G3725" s="1" t="s">
        <v>8561</v>
      </c>
      <c r="H3725" s="1" t="s">
        <v>8562</v>
      </c>
      <c r="I3725" s="1" t="s">
        <v>49</v>
      </c>
      <c r="J3725" s="1" t="s">
        <v>48</v>
      </c>
      <c r="K3725" s="1">
        <v>70</v>
      </c>
      <c r="L3725" s="1">
        <v>0</v>
      </c>
      <c r="M3725" s="1">
        <v>0</v>
      </c>
      <c r="N3725" s="1">
        <v>70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 t="s">
        <v>49</v>
      </c>
      <c r="AA3725" s="1" t="s">
        <v>49</v>
      </c>
      <c r="AB3725" s="1" t="s">
        <v>49</v>
      </c>
      <c r="AC3725" s="1" t="s">
        <v>7670</v>
      </c>
      <c r="AD3725" s="1" t="s">
        <v>7671</v>
      </c>
      <c r="AE3725" s="1" t="s">
        <v>7670</v>
      </c>
      <c r="AF3725" s="1" t="s">
        <v>7672</v>
      </c>
      <c r="AG3725" s="1" t="s">
        <v>53</v>
      </c>
      <c r="AH3725" s="1" t="s">
        <v>49</v>
      </c>
      <c r="AI3725" s="1" t="s">
        <v>54</v>
      </c>
      <c r="AJ3725" s="1">
        <v>1</v>
      </c>
      <c r="AK3725" s="1" t="str">
        <f t="shared" si="58"/>
        <v xml:space="preserve"> =&lt;90</v>
      </c>
      <c r="AL3725" s="1" t="str">
        <f>VLOOKUP(C:C,[1]基础信息!B$1:D$65536,3,0)</f>
        <v>Jug</v>
      </c>
      <c r="AM3725" s="1" t="str">
        <f>VLOOKUP(C:C,[1]基础信息!B$1:E$65536,4,0)</f>
        <v>Green Pack</v>
      </c>
      <c r="AN3725" s="1" t="str">
        <f>VLOOKUP(C:C,[1]基础信息!B$1:F$65536,5,0)</f>
        <v>Blue</v>
      </c>
    </row>
    <row r="3726" spans="1:40">
      <c r="A3726" s="1" t="s">
        <v>41</v>
      </c>
      <c r="B3726" s="1" t="s">
        <v>8244</v>
      </c>
      <c r="C3726" s="1" t="s">
        <v>8563</v>
      </c>
      <c r="D3726" s="1" t="s">
        <v>8564</v>
      </c>
      <c r="E3726" s="1" t="s">
        <v>45</v>
      </c>
      <c r="F3726" s="1" t="s">
        <v>8565</v>
      </c>
      <c r="G3726" s="1" t="s">
        <v>8566</v>
      </c>
      <c r="H3726" s="1" t="s">
        <v>45</v>
      </c>
      <c r="I3726" s="1" t="s">
        <v>45</v>
      </c>
      <c r="J3726" s="1" t="s">
        <v>48</v>
      </c>
      <c r="K3726" s="1">
        <v>1</v>
      </c>
      <c r="L3726" s="1">
        <v>0</v>
      </c>
      <c r="M3726" s="1">
        <v>0</v>
      </c>
      <c r="N3726" s="1">
        <v>1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 t="s">
        <v>49</v>
      </c>
      <c r="AA3726" s="1" t="s">
        <v>49</v>
      </c>
      <c r="AB3726" s="1" t="s">
        <v>49</v>
      </c>
      <c r="AC3726" s="1" t="s">
        <v>8567</v>
      </c>
      <c r="AD3726" s="1" t="s">
        <v>8568</v>
      </c>
      <c r="AE3726" s="1" t="s">
        <v>8567</v>
      </c>
      <c r="AF3726" s="1" t="s">
        <v>8569</v>
      </c>
      <c r="AG3726" s="1" t="s">
        <v>8253</v>
      </c>
      <c r="AH3726" s="1" t="s">
        <v>49</v>
      </c>
      <c r="AI3726" s="1" t="s">
        <v>54</v>
      </c>
      <c r="AJ3726" s="1">
        <v>1</v>
      </c>
      <c r="AK3726" s="1" t="str">
        <f t="shared" si="58"/>
        <v xml:space="preserve"> =&lt;90</v>
      </c>
      <c r="AL3726" s="1" t="e">
        <f>VLOOKUP(C:C,[1]基础信息!B$1:D$65536,3,0)</f>
        <v>#N/A</v>
      </c>
      <c r="AM3726" s="1" t="e">
        <f>VLOOKUP(C:C,[1]基础信息!B$1:E$65536,4,0)</f>
        <v>#N/A</v>
      </c>
      <c r="AN3726" s="1" t="e">
        <f>VLOOKUP(C:C,[1]基础信息!B$1:F$65536,5,0)</f>
        <v>#N/A</v>
      </c>
    </row>
    <row r="3727" spans="1:40">
      <c r="A3727" s="1" t="s">
        <v>41</v>
      </c>
      <c r="B3727" s="1" t="s">
        <v>8244</v>
      </c>
      <c r="C3727" s="1" t="s">
        <v>8361</v>
      </c>
      <c r="D3727" s="1" t="s">
        <v>8362</v>
      </c>
      <c r="E3727" s="1" t="s">
        <v>8363</v>
      </c>
      <c r="F3727" s="1" t="s">
        <v>8570</v>
      </c>
      <c r="G3727" s="1" t="s">
        <v>8571</v>
      </c>
      <c r="H3727" s="1" t="s">
        <v>45</v>
      </c>
      <c r="I3727" s="1" t="s">
        <v>45</v>
      </c>
      <c r="J3727" s="1" t="s">
        <v>48</v>
      </c>
      <c r="K3727" s="1">
        <v>93</v>
      </c>
      <c r="L3727" s="1">
        <v>0</v>
      </c>
      <c r="M3727" s="1">
        <v>0</v>
      </c>
      <c r="N3727" s="1">
        <v>93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 t="s">
        <v>49</v>
      </c>
      <c r="AA3727" s="1" t="s">
        <v>49</v>
      </c>
      <c r="AB3727" s="1" t="s">
        <v>49</v>
      </c>
      <c r="AC3727" s="1" t="s">
        <v>8572</v>
      </c>
      <c r="AD3727" s="1" t="s">
        <v>8573</v>
      </c>
      <c r="AE3727" s="1" t="s">
        <v>8572</v>
      </c>
      <c r="AF3727" s="1" t="s">
        <v>49</v>
      </c>
      <c r="AG3727" s="1" t="s">
        <v>8253</v>
      </c>
      <c r="AH3727" s="1" t="s">
        <v>49</v>
      </c>
      <c r="AI3727" s="1" t="s">
        <v>54</v>
      </c>
      <c r="AJ3727" s="1">
        <v>1</v>
      </c>
      <c r="AK3727" s="1" t="str">
        <f t="shared" si="58"/>
        <v xml:space="preserve"> =&lt;90</v>
      </c>
      <c r="AL3727" s="1" t="e">
        <f>VLOOKUP(C:C,[1]基础信息!B$1:D$65536,3,0)</f>
        <v>#N/A</v>
      </c>
      <c r="AM3727" s="1" t="e">
        <f>VLOOKUP(C:C,[1]基础信息!B$1:E$65536,4,0)</f>
        <v>#N/A</v>
      </c>
      <c r="AN3727" s="1" t="e">
        <f>VLOOKUP(C:C,[1]基础信息!B$1:F$65536,5,0)</f>
        <v>#N/A</v>
      </c>
    </row>
    <row r="3728" spans="1:40">
      <c r="A3728" s="1" t="s">
        <v>41</v>
      </c>
      <c r="B3728" s="1" t="s">
        <v>42</v>
      </c>
      <c r="C3728" s="1" t="s">
        <v>8574</v>
      </c>
      <c r="D3728" s="1" t="s">
        <v>8575</v>
      </c>
      <c r="E3728" s="1" t="s">
        <v>45</v>
      </c>
      <c r="F3728" s="1" t="s">
        <v>8576</v>
      </c>
      <c r="G3728" s="1" t="s">
        <v>8577</v>
      </c>
      <c r="H3728" s="1" t="s">
        <v>45</v>
      </c>
      <c r="I3728" s="1" t="s">
        <v>45</v>
      </c>
      <c r="J3728" s="1" t="s">
        <v>48</v>
      </c>
      <c r="K3728" s="1">
        <v>75</v>
      </c>
      <c r="L3728" s="1">
        <v>0</v>
      </c>
      <c r="M3728" s="1">
        <v>0</v>
      </c>
      <c r="N3728" s="1">
        <v>75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 t="s">
        <v>49</v>
      </c>
      <c r="AA3728" s="1" t="s">
        <v>49</v>
      </c>
      <c r="AB3728" s="1" t="s">
        <v>49</v>
      </c>
      <c r="AC3728" s="1" t="s">
        <v>8578</v>
      </c>
      <c r="AD3728" s="1" t="s">
        <v>8579</v>
      </c>
      <c r="AE3728" s="1" t="s">
        <v>8578</v>
      </c>
      <c r="AF3728" s="1" t="s">
        <v>8580</v>
      </c>
      <c r="AG3728" s="1" t="s">
        <v>1952</v>
      </c>
      <c r="AH3728" s="1" t="s">
        <v>49</v>
      </c>
      <c r="AI3728" s="1" t="s">
        <v>54</v>
      </c>
      <c r="AJ3728" s="1">
        <v>1</v>
      </c>
      <c r="AK3728" s="1" t="str">
        <f t="shared" si="58"/>
        <v xml:space="preserve"> =&lt;90</v>
      </c>
      <c r="AL3728" s="1" t="str">
        <f>VLOOKUP(C:C,[1]基础信息!B$1:D$65536,3,0)</f>
        <v>Jug</v>
      </c>
      <c r="AM3728" s="1" t="str">
        <f>VLOOKUP(C:C,[1]基础信息!B$1:E$65536,4,0)</f>
        <v>Marella</v>
      </c>
      <c r="AN3728" s="1" t="str">
        <f>VLOOKUP(C:C,[1]基础信息!B$1:F$65536,5,0)</f>
        <v>Blue</v>
      </c>
    </row>
    <row r="3729" spans="1:40">
      <c r="A3729" s="1" t="s">
        <v>41</v>
      </c>
      <c r="B3729" s="1" t="s">
        <v>8244</v>
      </c>
      <c r="C3729" s="1" t="s">
        <v>8581</v>
      </c>
      <c r="D3729" s="1" t="s">
        <v>8582</v>
      </c>
      <c r="E3729" s="1" t="s">
        <v>45</v>
      </c>
      <c r="F3729" s="1" t="s">
        <v>8583</v>
      </c>
      <c r="G3729" s="1" t="s">
        <v>8584</v>
      </c>
      <c r="H3729" s="1" t="s">
        <v>45</v>
      </c>
      <c r="I3729" s="1" t="s">
        <v>45</v>
      </c>
      <c r="J3729" s="1" t="s">
        <v>48</v>
      </c>
      <c r="K3729" s="1">
        <v>72</v>
      </c>
      <c r="L3729" s="1">
        <v>0</v>
      </c>
      <c r="M3729" s="1">
        <v>0</v>
      </c>
      <c r="N3729" s="1">
        <v>72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 t="s">
        <v>49</v>
      </c>
      <c r="AA3729" s="1" t="s">
        <v>49</v>
      </c>
      <c r="AB3729" s="1" t="s">
        <v>49</v>
      </c>
      <c r="AC3729" s="1" t="s">
        <v>8585</v>
      </c>
      <c r="AD3729" s="1" t="s">
        <v>8586</v>
      </c>
      <c r="AE3729" s="1" t="s">
        <v>8585</v>
      </c>
      <c r="AF3729" s="1" t="s">
        <v>8587</v>
      </c>
      <c r="AG3729" s="1" t="s">
        <v>8253</v>
      </c>
      <c r="AH3729" s="1" t="s">
        <v>49</v>
      </c>
      <c r="AI3729" s="1" t="s">
        <v>54</v>
      </c>
      <c r="AJ3729" s="1">
        <v>1</v>
      </c>
      <c r="AK3729" s="1" t="str">
        <f t="shared" si="58"/>
        <v xml:space="preserve"> =&lt;90</v>
      </c>
      <c r="AL3729" s="1" t="e">
        <f>VLOOKUP(C:C,[1]基础信息!B$1:D$65536,3,0)</f>
        <v>#N/A</v>
      </c>
      <c r="AM3729" s="1" t="e">
        <f>VLOOKUP(C:C,[1]基础信息!B$1:E$65536,4,0)</f>
        <v>#N/A</v>
      </c>
      <c r="AN3729" s="1" t="e">
        <f>VLOOKUP(C:C,[1]基础信息!B$1:F$65536,5,0)</f>
        <v>#N/A</v>
      </c>
    </row>
    <row r="3730" spans="1:40">
      <c r="A3730" s="1" t="s">
        <v>41</v>
      </c>
      <c r="B3730" s="1" t="s">
        <v>8244</v>
      </c>
      <c r="C3730" s="1" t="s">
        <v>8479</v>
      </c>
      <c r="D3730" s="1" t="s">
        <v>8480</v>
      </c>
      <c r="E3730" s="1" t="s">
        <v>45</v>
      </c>
      <c r="F3730" s="1" t="s">
        <v>8481</v>
      </c>
      <c r="G3730" s="1" t="s">
        <v>8588</v>
      </c>
      <c r="H3730" s="1" t="s">
        <v>45</v>
      </c>
      <c r="I3730" s="1" t="s">
        <v>45</v>
      </c>
      <c r="J3730" s="1" t="s">
        <v>48</v>
      </c>
      <c r="K3730" s="1">
        <v>130</v>
      </c>
      <c r="L3730" s="1">
        <v>0</v>
      </c>
      <c r="M3730" s="1">
        <v>0</v>
      </c>
      <c r="N3730" s="1">
        <v>130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 t="s">
        <v>49</v>
      </c>
      <c r="AA3730" s="1" t="s">
        <v>49</v>
      </c>
      <c r="AB3730" s="1" t="s">
        <v>49</v>
      </c>
      <c r="AC3730" s="1" t="s">
        <v>61</v>
      </c>
      <c r="AD3730" s="1" t="s">
        <v>62</v>
      </c>
      <c r="AE3730" s="1" t="s">
        <v>61</v>
      </c>
      <c r="AF3730" s="1" t="s">
        <v>8483</v>
      </c>
      <c r="AG3730" s="1" t="s">
        <v>8253</v>
      </c>
      <c r="AH3730" s="1" t="s">
        <v>49</v>
      </c>
      <c r="AI3730" s="1" t="s">
        <v>54</v>
      </c>
      <c r="AJ3730" s="1">
        <v>1</v>
      </c>
      <c r="AK3730" s="1" t="str">
        <f t="shared" si="58"/>
        <v xml:space="preserve"> =&lt;90</v>
      </c>
      <c r="AL3730" s="1" t="e">
        <f>VLOOKUP(C:C,[1]基础信息!B$1:D$65536,3,0)</f>
        <v>#N/A</v>
      </c>
      <c r="AM3730" s="1" t="e">
        <f>VLOOKUP(C:C,[1]基础信息!B$1:E$65536,4,0)</f>
        <v>#N/A</v>
      </c>
      <c r="AN3730" s="1" t="e">
        <f>VLOOKUP(C:C,[1]基础信息!B$1:F$65536,5,0)</f>
        <v>#N/A</v>
      </c>
    </row>
    <row r="3731" spans="1:40">
      <c r="A3731" s="1" t="s">
        <v>41</v>
      </c>
      <c r="B3731" s="1" t="s">
        <v>8244</v>
      </c>
      <c r="C3731" s="1" t="s">
        <v>8397</v>
      </c>
      <c r="D3731" s="1" t="s">
        <v>8398</v>
      </c>
      <c r="E3731" s="1" t="s">
        <v>8399</v>
      </c>
      <c r="F3731" s="1" t="s">
        <v>8589</v>
      </c>
      <c r="G3731" s="1" t="s">
        <v>8590</v>
      </c>
      <c r="H3731" s="1" t="s">
        <v>45</v>
      </c>
      <c r="I3731" s="1" t="s">
        <v>45</v>
      </c>
      <c r="J3731" s="1" t="s">
        <v>48</v>
      </c>
      <c r="K3731" s="1">
        <v>34</v>
      </c>
      <c r="L3731" s="1">
        <v>0</v>
      </c>
      <c r="M3731" s="1">
        <v>0</v>
      </c>
      <c r="N3731" s="1">
        <v>34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 t="s">
        <v>49</v>
      </c>
      <c r="AA3731" s="1" t="s">
        <v>49</v>
      </c>
      <c r="AB3731" s="1" t="s">
        <v>49</v>
      </c>
      <c r="AC3731" s="1" t="s">
        <v>61</v>
      </c>
      <c r="AD3731" s="1" t="s">
        <v>62</v>
      </c>
      <c r="AE3731" s="1" t="s">
        <v>61</v>
      </c>
      <c r="AF3731" s="1" t="s">
        <v>8591</v>
      </c>
      <c r="AG3731" s="1" t="s">
        <v>8253</v>
      </c>
      <c r="AH3731" s="1" t="s">
        <v>49</v>
      </c>
      <c r="AI3731" s="1" t="s">
        <v>54</v>
      </c>
      <c r="AJ3731" s="1">
        <v>1</v>
      </c>
      <c r="AK3731" s="1" t="str">
        <f t="shared" si="58"/>
        <v xml:space="preserve"> =&lt;90</v>
      </c>
      <c r="AL3731" s="1" t="e">
        <f>VLOOKUP(C:C,[1]基础信息!B$1:D$65536,3,0)</f>
        <v>#N/A</v>
      </c>
      <c r="AM3731" s="1" t="e">
        <f>VLOOKUP(C:C,[1]基础信息!B$1:E$65536,4,0)</f>
        <v>#N/A</v>
      </c>
      <c r="AN3731" s="1" t="e">
        <f>VLOOKUP(C:C,[1]基础信息!B$1:F$65536,5,0)</f>
        <v>#N/A</v>
      </c>
    </row>
    <row r="3732" spans="1:40">
      <c r="A3732" s="1" t="s">
        <v>41</v>
      </c>
      <c r="B3732" s="1" t="s">
        <v>42</v>
      </c>
      <c r="C3732" s="1" t="s">
        <v>8373</v>
      </c>
      <c r="D3732" s="1" t="s">
        <v>8374</v>
      </c>
      <c r="E3732" s="1" t="s">
        <v>45</v>
      </c>
      <c r="F3732" s="1" t="s">
        <v>8592</v>
      </c>
      <c r="G3732" s="1" t="s">
        <v>8593</v>
      </c>
      <c r="H3732" s="1" t="s">
        <v>45</v>
      </c>
      <c r="I3732" s="1" t="s">
        <v>45</v>
      </c>
      <c r="J3732" s="1" t="s">
        <v>48</v>
      </c>
      <c r="K3732" s="1">
        <v>30</v>
      </c>
      <c r="L3732" s="1">
        <v>0</v>
      </c>
      <c r="M3732" s="1">
        <v>0</v>
      </c>
      <c r="N3732" s="1">
        <v>30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 t="s">
        <v>49</v>
      </c>
      <c r="AA3732" s="1" t="s">
        <v>49</v>
      </c>
      <c r="AB3732" s="1" t="s">
        <v>49</v>
      </c>
      <c r="AC3732" s="1" t="s">
        <v>8594</v>
      </c>
      <c r="AD3732" s="1" t="s">
        <v>8595</v>
      </c>
      <c r="AE3732" s="1" t="s">
        <v>8596</v>
      </c>
      <c r="AF3732" s="1" t="s">
        <v>8597</v>
      </c>
      <c r="AG3732" s="1" t="s">
        <v>53</v>
      </c>
      <c r="AH3732" s="1" t="s">
        <v>49</v>
      </c>
      <c r="AI3732" s="1" t="s">
        <v>54</v>
      </c>
      <c r="AJ3732" s="1">
        <v>1</v>
      </c>
      <c r="AK3732" s="1" t="str">
        <f t="shared" si="58"/>
        <v xml:space="preserve"> =&lt;90</v>
      </c>
      <c r="AL3732" s="1" t="str">
        <f>VLOOKUP(C:C,[1]基础信息!B$1:D$65536,3,0)</f>
        <v>Hotcup</v>
      </c>
      <c r="AM3732" s="1" t="str">
        <f>VLOOKUP(C:C,[1]基础信息!B$1:E$65536,4,0)</f>
        <v>Hotcup</v>
      </c>
      <c r="AN3732" s="1" t="str">
        <f>VLOOKUP(C:C,[1]基础信息!B$1:F$65536,5,0)</f>
        <v>whi</v>
      </c>
    </row>
    <row r="3733" spans="1:40">
      <c r="A3733" s="1" t="s">
        <v>41</v>
      </c>
      <c r="B3733" s="1" t="s">
        <v>42</v>
      </c>
      <c r="C3733" s="1" t="s">
        <v>554</v>
      </c>
      <c r="D3733" s="1" t="s">
        <v>555</v>
      </c>
      <c r="E3733" s="1" t="s">
        <v>45</v>
      </c>
      <c r="F3733" s="1" t="s">
        <v>8416</v>
      </c>
      <c r="G3733" s="1" t="s">
        <v>8598</v>
      </c>
      <c r="H3733" s="1" t="s">
        <v>8599</v>
      </c>
      <c r="I3733" s="1" t="s">
        <v>49</v>
      </c>
      <c r="J3733" s="1" t="s">
        <v>48</v>
      </c>
      <c r="K3733" s="1">
        <v>70</v>
      </c>
      <c r="L3733" s="1">
        <v>0</v>
      </c>
      <c r="M3733" s="1">
        <v>0</v>
      </c>
      <c r="N3733" s="1">
        <v>70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 t="s">
        <v>49</v>
      </c>
      <c r="AA3733" s="1" t="s">
        <v>49</v>
      </c>
      <c r="AB3733" s="1" t="s">
        <v>49</v>
      </c>
      <c r="AC3733" s="1" t="s">
        <v>7670</v>
      </c>
      <c r="AD3733" s="1" t="s">
        <v>7671</v>
      </c>
      <c r="AE3733" s="1" t="s">
        <v>7670</v>
      </c>
      <c r="AF3733" s="1" t="s">
        <v>7672</v>
      </c>
      <c r="AG3733" s="1" t="s">
        <v>53</v>
      </c>
      <c r="AH3733" s="1" t="s">
        <v>49</v>
      </c>
      <c r="AI3733" s="1" t="s">
        <v>54</v>
      </c>
      <c r="AJ3733" s="1">
        <v>1</v>
      </c>
      <c r="AK3733" s="1" t="str">
        <f t="shared" si="58"/>
        <v xml:space="preserve"> =&lt;90</v>
      </c>
      <c r="AL3733" s="1" t="str">
        <f>VLOOKUP(C:C,[1]基础信息!B$1:D$65536,3,0)</f>
        <v>Jug</v>
      </c>
      <c r="AM3733" s="1" t="str">
        <f>VLOOKUP(C:C,[1]基础信息!B$1:E$65536,4,0)</f>
        <v>Green Pack</v>
      </c>
      <c r="AN3733" s="1" t="str">
        <f>VLOOKUP(C:C,[1]基础信息!B$1:F$65536,5,0)</f>
        <v>Blue</v>
      </c>
    </row>
    <row r="3734" spans="1:40">
      <c r="A3734" s="1" t="s">
        <v>41</v>
      </c>
      <c r="B3734" s="1" t="s">
        <v>8244</v>
      </c>
      <c r="C3734" s="1" t="s">
        <v>8391</v>
      </c>
      <c r="D3734" s="1" t="s">
        <v>8392</v>
      </c>
      <c r="E3734" s="1" t="s">
        <v>8393</v>
      </c>
      <c r="F3734" s="1" t="s">
        <v>8600</v>
      </c>
      <c r="G3734" s="1" t="s">
        <v>8601</v>
      </c>
      <c r="H3734" s="1" t="s">
        <v>45</v>
      </c>
      <c r="I3734" s="1" t="s">
        <v>45</v>
      </c>
      <c r="J3734" s="1" t="s">
        <v>48</v>
      </c>
      <c r="K3734" s="1">
        <v>1</v>
      </c>
      <c r="L3734" s="1">
        <v>0</v>
      </c>
      <c r="M3734" s="1">
        <v>0</v>
      </c>
      <c r="N3734" s="1">
        <v>1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 t="s">
        <v>49</v>
      </c>
      <c r="AA3734" s="1" t="s">
        <v>49</v>
      </c>
      <c r="AB3734" s="1" t="s">
        <v>49</v>
      </c>
      <c r="AC3734" s="1" t="s">
        <v>1188</v>
      </c>
      <c r="AD3734" s="1" t="s">
        <v>1189</v>
      </c>
      <c r="AE3734" s="1" t="s">
        <v>1188</v>
      </c>
      <c r="AF3734" s="1" t="s">
        <v>8602</v>
      </c>
      <c r="AG3734" s="1" t="s">
        <v>6921</v>
      </c>
      <c r="AH3734" s="1" t="s">
        <v>49</v>
      </c>
      <c r="AI3734" s="1" t="s">
        <v>54</v>
      </c>
      <c r="AJ3734" s="1">
        <v>0</v>
      </c>
      <c r="AK3734" s="1" t="str">
        <f t="shared" si="58"/>
        <v xml:space="preserve"> =&lt;90</v>
      </c>
      <c r="AL3734" s="1" t="e">
        <f>VLOOKUP(C:C,[1]基础信息!B$1:D$65536,3,0)</f>
        <v>#N/A</v>
      </c>
      <c r="AM3734" s="1" t="e">
        <f>VLOOKUP(C:C,[1]基础信息!B$1:E$65536,4,0)</f>
        <v>#N/A</v>
      </c>
      <c r="AN3734" s="1" t="e">
        <f>VLOOKUP(C:C,[1]基础信息!B$1:F$65536,5,0)</f>
        <v>#N/A</v>
      </c>
    </row>
    <row r="3735" spans="1:40">
      <c r="A3735" s="1" t="s">
        <v>41</v>
      </c>
      <c r="B3735" s="1" t="s">
        <v>8244</v>
      </c>
      <c r="C3735" s="1" t="s">
        <v>8603</v>
      </c>
      <c r="D3735" s="1" t="s">
        <v>8604</v>
      </c>
      <c r="E3735" s="1" t="s">
        <v>45</v>
      </c>
      <c r="F3735" s="1" t="s">
        <v>8605</v>
      </c>
      <c r="G3735" s="1" t="s">
        <v>8601</v>
      </c>
      <c r="H3735" s="1" t="s">
        <v>45</v>
      </c>
      <c r="I3735" s="1" t="s">
        <v>45</v>
      </c>
      <c r="J3735" s="1" t="s">
        <v>48</v>
      </c>
      <c r="K3735" s="1">
        <v>1</v>
      </c>
      <c r="L3735" s="1">
        <v>0</v>
      </c>
      <c r="M3735" s="1">
        <v>0</v>
      </c>
      <c r="N3735" s="1">
        <v>1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 t="s">
        <v>49</v>
      </c>
      <c r="AA3735" s="1" t="s">
        <v>49</v>
      </c>
      <c r="AB3735" s="1" t="s">
        <v>49</v>
      </c>
      <c r="AC3735" s="1" t="s">
        <v>1188</v>
      </c>
      <c r="AD3735" s="1" t="s">
        <v>1189</v>
      </c>
      <c r="AE3735" s="1" t="s">
        <v>1188</v>
      </c>
      <c r="AF3735" s="1" t="s">
        <v>8606</v>
      </c>
      <c r="AG3735" s="1" t="s">
        <v>6921</v>
      </c>
      <c r="AH3735" s="1" t="s">
        <v>49</v>
      </c>
      <c r="AI3735" s="1" t="s">
        <v>54</v>
      </c>
      <c r="AJ3735" s="1">
        <v>1</v>
      </c>
      <c r="AK3735" s="1" t="str">
        <f t="shared" si="58"/>
        <v xml:space="preserve"> =&lt;90</v>
      </c>
      <c r="AL3735" s="1" t="e">
        <f>VLOOKUP(C:C,[1]基础信息!B$1:D$65536,3,0)</f>
        <v>#N/A</v>
      </c>
      <c r="AM3735" s="1" t="e">
        <f>VLOOKUP(C:C,[1]基础信息!B$1:E$65536,4,0)</f>
        <v>#N/A</v>
      </c>
      <c r="AN3735" s="1" t="e">
        <f>VLOOKUP(C:C,[1]基础信息!B$1:F$65536,5,0)</f>
        <v>#N/A</v>
      </c>
    </row>
    <row r="3736" spans="1:40">
      <c r="A3736" s="1" t="s">
        <v>41</v>
      </c>
      <c r="B3736" s="1" t="s">
        <v>8244</v>
      </c>
      <c r="C3736" s="1" t="s">
        <v>8459</v>
      </c>
      <c r="D3736" s="1" t="s">
        <v>8460</v>
      </c>
      <c r="E3736" s="1" t="s">
        <v>8461</v>
      </c>
      <c r="F3736" s="1" t="s">
        <v>8607</v>
      </c>
      <c r="G3736" s="1" t="s">
        <v>8608</v>
      </c>
      <c r="H3736" s="1" t="s">
        <v>45</v>
      </c>
      <c r="I3736" s="1" t="s">
        <v>45</v>
      </c>
      <c r="J3736" s="1" t="s">
        <v>48</v>
      </c>
      <c r="K3736" s="1">
        <v>10</v>
      </c>
      <c r="L3736" s="1">
        <v>0</v>
      </c>
      <c r="M3736" s="1">
        <v>0</v>
      </c>
      <c r="N3736" s="1">
        <v>10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 t="s">
        <v>49</v>
      </c>
      <c r="AA3736" s="1" t="s">
        <v>49</v>
      </c>
      <c r="AB3736" s="1" t="s">
        <v>49</v>
      </c>
      <c r="AC3736" s="1" t="s">
        <v>8370</v>
      </c>
      <c r="AD3736" s="1" t="s">
        <v>8371</v>
      </c>
      <c r="AE3736" s="1" t="s">
        <v>8370</v>
      </c>
      <c r="AF3736" s="1" t="s">
        <v>8609</v>
      </c>
      <c r="AG3736" s="1" t="s">
        <v>8253</v>
      </c>
      <c r="AH3736" s="1" t="s">
        <v>49</v>
      </c>
      <c r="AI3736" s="1" t="s">
        <v>54</v>
      </c>
      <c r="AJ3736" s="1">
        <v>1</v>
      </c>
      <c r="AK3736" s="1" t="str">
        <f t="shared" si="58"/>
        <v xml:space="preserve"> =&lt;90</v>
      </c>
      <c r="AL3736" s="1" t="e">
        <f>VLOOKUP(C:C,[1]基础信息!B$1:D$65536,3,0)</f>
        <v>#N/A</v>
      </c>
      <c r="AM3736" s="1" t="e">
        <f>VLOOKUP(C:C,[1]基础信息!B$1:E$65536,4,0)</f>
        <v>#N/A</v>
      </c>
      <c r="AN3736" s="1" t="e">
        <f>VLOOKUP(C:C,[1]基础信息!B$1:F$65536,5,0)</f>
        <v>#N/A</v>
      </c>
    </row>
    <row r="3737" spans="1:40">
      <c r="A3737" s="1" t="s">
        <v>41</v>
      </c>
      <c r="B3737" s="1" t="s">
        <v>42</v>
      </c>
      <c r="C3737" s="1" t="s">
        <v>8610</v>
      </c>
      <c r="D3737" s="1" t="s">
        <v>8611</v>
      </c>
      <c r="E3737" s="1" t="s">
        <v>45</v>
      </c>
      <c r="F3737" s="1" t="s">
        <v>8612</v>
      </c>
      <c r="G3737" s="1" t="s">
        <v>8613</v>
      </c>
      <c r="H3737" s="1" t="s">
        <v>8614</v>
      </c>
      <c r="I3737" s="1" t="s">
        <v>45</v>
      </c>
      <c r="J3737" s="1" t="s">
        <v>48</v>
      </c>
      <c r="K3737" s="1">
        <v>763</v>
      </c>
      <c r="L3737" s="1">
        <v>0</v>
      </c>
      <c r="M3737" s="1">
        <v>0</v>
      </c>
      <c r="N3737" s="1">
        <v>763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 t="s">
        <v>49</v>
      </c>
      <c r="AA3737" s="1" t="s">
        <v>49</v>
      </c>
      <c r="AB3737" s="1" t="s">
        <v>49</v>
      </c>
      <c r="AC3737" s="1" t="s">
        <v>8615</v>
      </c>
      <c r="AD3737" s="1" t="s">
        <v>8616</v>
      </c>
      <c r="AE3737" s="1" t="s">
        <v>8615</v>
      </c>
      <c r="AF3737" s="1" t="s">
        <v>8617</v>
      </c>
      <c r="AG3737" s="1" t="s">
        <v>4662</v>
      </c>
      <c r="AH3737" s="1" t="s">
        <v>49</v>
      </c>
      <c r="AI3737" s="1" t="s">
        <v>54</v>
      </c>
      <c r="AJ3737" s="1">
        <v>1</v>
      </c>
      <c r="AK3737" s="1" t="str">
        <f t="shared" si="58"/>
        <v xml:space="preserve"> =&lt;90</v>
      </c>
      <c r="AL3737" s="1" t="str">
        <f>VLOOKUP(C:C,[1]基础信息!B$1:D$65536,3,0)</f>
        <v xml:space="preserve">Cartridge </v>
      </c>
      <c r="AM3737" s="1" t="str">
        <f>VLOOKUP(C:C,[1]基础信息!B$1:E$65536,4,0)</f>
        <v>UNIV</v>
      </c>
      <c r="AN3737" s="1" t="str">
        <f>VLOOKUP(C:C,[1]基础信息!B$1:F$65536,5,0)</f>
        <v>P55</v>
      </c>
    </row>
    <row r="3738" spans="1:40">
      <c r="A3738" s="1" t="s">
        <v>41</v>
      </c>
      <c r="B3738" s="1" t="s">
        <v>42</v>
      </c>
      <c r="C3738" s="1" t="s">
        <v>554</v>
      </c>
      <c r="D3738" s="1" t="s">
        <v>555</v>
      </c>
      <c r="E3738" s="1" t="s">
        <v>45</v>
      </c>
      <c r="F3738" s="1" t="s">
        <v>8416</v>
      </c>
      <c r="G3738" s="1" t="s">
        <v>8618</v>
      </c>
      <c r="H3738" s="1" t="s">
        <v>8619</v>
      </c>
      <c r="I3738" s="1" t="s">
        <v>49</v>
      </c>
      <c r="J3738" s="1" t="s">
        <v>48</v>
      </c>
      <c r="K3738" s="1">
        <v>70</v>
      </c>
      <c r="L3738" s="1">
        <v>0</v>
      </c>
      <c r="M3738" s="1">
        <v>0</v>
      </c>
      <c r="N3738" s="1">
        <v>70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 t="s">
        <v>49</v>
      </c>
      <c r="AA3738" s="1" t="s">
        <v>49</v>
      </c>
      <c r="AB3738" s="1" t="s">
        <v>49</v>
      </c>
      <c r="AC3738" s="1" t="s">
        <v>7670</v>
      </c>
      <c r="AD3738" s="1" t="s">
        <v>7671</v>
      </c>
      <c r="AE3738" s="1" t="s">
        <v>7670</v>
      </c>
      <c r="AF3738" s="1" t="s">
        <v>7672</v>
      </c>
      <c r="AG3738" s="1" t="s">
        <v>53</v>
      </c>
      <c r="AH3738" s="1" t="s">
        <v>49</v>
      </c>
      <c r="AI3738" s="1" t="s">
        <v>54</v>
      </c>
      <c r="AJ3738" s="1">
        <v>1</v>
      </c>
      <c r="AK3738" s="1" t="str">
        <f t="shared" si="58"/>
        <v xml:space="preserve"> =&lt;90</v>
      </c>
      <c r="AL3738" s="1" t="str">
        <f>VLOOKUP(C:C,[1]基础信息!B$1:D$65536,3,0)</f>
        <v>Jug</v>
      </c>
      <c r="AM3738" s="1" t="str">
        <f>VLOOKUP(C:C,[1]基础信息!B$1:E$65536,4,0)</f>
        <v>Green Pack</v>
      </c>
      <c r="AN3738" s="1" t="str">
        <f>VLOOKUP(C:C,[1]基础信息!B$1:F$65536,5,0)</f>
        <v>Blue</v>
      </c>
    </row>
    <row r="3739" spans="1:40">
      <c r="A3739" s="1" t="s">
        <v>41</v>
      </c>
      <c r="B3739" s="1" t="s">
        <v>8244</v>
      </c>
      <c r="C3739" s="1" t="s">
        <v>8391</v>
      </c>
      <c r="D3739" s="1" t="s">
        <v>8392</v>
      </c>
      <c r="E3739" s="1" t="s">
        <v>8393</v>
      </c>
      <c r="F3739" s="1" t="s">
        <v>8620</v>
      </c>
      <c r="G3739" s="1" t="s">
        <v>8621</v>
      </c>
      <c r="H3739" s="1" t="s">
        <v>45</v>
      </c>
      <c r="I3739" s="1" t="s">
        <v>45</v>
      </c>
      <c r="J3739" s="1" t="s">
        <v>48</v>
      </c>
      <c r="K3739" s="1">
        <v>335</v>
      </c>
      <c r="L3739" s="1">
        <v>0</v>
      </c>
      <c r="M3739" s="1">
        <v>0</v>
      </c>
      <c r="N3739" s="1">
        <v>335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 t="s">
        <v>49</v>
      </c>
      <c r="AA3739" s="1" t="s">
        <v>49</v>
      </c>
      <c r="AB3739" s="1" t="s">
        <v>49</v>
      </c>
      <c r="AC3739" s="1" t="s">
        <v>1188</v>
      </c>
      <c r="AD3739" s="1" t="s">
        <v>1189</v>
      </c>
      <c r="AE3739" s="1" t="s">
        <v>1188</v>
      </c>
      <c r="AF3739" s="1" t="s">
        <v>8602</v>
      </c>
      <c r="AG3739" s="1" t="s">
        <v>8253</v>
      </c>
      <c r="AH3739" s="1" t="s">
        <v>49</v>
      </c>
      <c r="AI3739" s="1" t="s">
        <v>54</v>
      </c>
      <c r="AJ3739" s="1">
        <v>1</v>
      </c>
      <c r="AK3739" s="1" t="str">
        <f t="shared" si="58"/>
        <v xml:space="preserve"> =&lt;90</v>
      </c>
      <c r="AL3739" s="1" t="e">
        <f>VLOOKUP(C:C,[1]基础信息!B$1:D$65536,3,0)</f>
        <v>#N/A</v>
      </c>
      <c r="AM3739" s="1" t="e">
        <f>VLOOKUP(C:C,[1]基础信息!B$1:E$65536,4,0)</f>
        <v>#N/A</v>
      </c>
      <c r="AN3739" s="1" t="e">
        <f>VLOOKUP(C:C,[1]基础信息!B$1:F$65536,5,0)</f>
        <v>#N/A</v>
      </c>
    </row>
    <row r="3740" spans="1:40">
      <c r="A3740" s="1" t="s">
        <v>41</v>
      </c>
      <c r="B3740" s="1" t="s">
        <v>8244</v>
      </c>
      <c r="C3740" s="1" t="s">
        <v>8622</v>
      </c>
      <c r="D3740" s="1" t="s">
        <v>8623</v>
      </c>
      <c r="E3740" s="1" t="s">
        <v>8624</v>
      </c>
      <c r="F3740" s="1" t="s">
        <v>8625</v>
      </c>
      <c r="G3740" s="1" t="s">
        <v>8626</v>
      </c>
      <c r="H3740" s="1" t="s">
        <v>45</v>
      </c>
      <c r="I3740" s="1" t="s">
        <v>45</v>
      </c>
      <c r="J3740" s="1" t="s">
        <v>48</v>
      </c>
      <c r="K3740" s="1">
        <v>50</v>
      </c>
      <c r="L3740" s="1">
        <v>0</v>
      </c>
      <c r="M3740" s="1">
        <v>0</v>
      </c>
      <c r="N3740" s="1">
        <v>50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 t="s">
        <v>49</v>
      </c>
      <c r="AA3740" s="1" t="s">
        <v>49</v>
      </c>
      <c r="AB3740" s="1" t="s">
        <v>49</v>
      </c>
      <c r="AC3740" s="1" t="s">
        <v>61</v>
      </c>
      <c r="AD3740" s="1" t="s">
        <v>62</v>
      </c>
      <c r="AE3740" s="1" t="s">
        <v>61</v>
      </c>
      <c r="AF3740" s="1" t="s">
        <v>8627</v>
      </c>
      <c r="AG3740" s="1" t="s">
        <v>8253</v>
      </c>
      <c r="AH3740" s="1" t="s">
        <v>49</v>
      </c>
      <c r="AI3740" s="1" t="s">
        <v>54</v>
      </c>
      <c r="AJ3740" s="1">
        <v>1</v>
      </c>
      <c r="AK3740" s="1" t="str">
        <f t="shared" si="58"/>
        <v xml:space="preserve"> =&lt;90</v>
      </c>
      <c r="AL3740" s="1" t="e">
        <f>VLOOKUP(C:C,[1]基础信息!B$1:D$65536,3,0)</f>
        <v>#N/A</v>
      </c>
      <c r="AM3740" s="1" t="e">
        <f>VLOOKUP(C:C,[1]基础信息!B$1:E$65536,4,0)</f>
        <v>#N/A</v>
      </c>
      <c r="AN3740" s="1" t="e">
        <f>VLOOKUP(C:C,[1]基础信息!B$1:F$65536,5,0)</f>
        <v>#N/A</v>
      </c>
    </row>
    <row r="3741" spans="1:40">
      <c r="A3741" s="1" t="s">
        <v>41</v>
      </c>
      <c r="B3741" s="1" t="s">
        <v>42</v>
      </c>
      <c r="C3741" s="1" t="s">
        <v>8610</v>
      </c>
      <c r="D3741" s="1" t="s">
        <v>8611</v>
      </c>
      <c r="E3741" s="1" t="s">
        <v>45</v>
      </c>
      <c r="F3741" s="1" t="s">
        <v>8612</v>
      </c>
      <c r="G3741" s="1" t="s">
        <v>8628</v>
      </c>
      <c r="H3741" s="1" t="s">
        <v>8629</v>
      </c>
      <c r="I3741" s="1" t="s">
        <v>45</v>
      </c>
      <c r="J3741" s="1" t="s">
        <v>48</v>
      </c>
      <c r="K3741" s="1">
        <v>1650</v>
      </c>
      <c r="L3741" s="1">
        <v>0</v>
      </c>
      <c r="M3741" s="1">
        <v>0</v>
      </c>
      <c r="N3741" s="1">
        <v>1650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 t="s">
        <v>49</v>
      </c>
      <c r="AA3741" s="1" t="s">
        <v>49</v>
      </c>
      <c r="AB3741" s="1" t="s">
        <v>49</v>
      </c>
      <c r="AC3741" s="1" t="s">
        <v>8615</v>
      </c>
      <c r="AD3741" s="1" t="s">
        <v>8616</v>
      </c>
      <c r="AE3741" s="1" t="s">
        <v>8615</v>
      </c>
      <c r="AF3741" s="1" t="s">
        <v>8617</v>
      </c>
      <c r="AG3741" s="1" t="s">
        <v>4662</v>
      </c>
      <c r="AH3741" s="1" t="s">
        <v>49</v>
      </c>
      <c r="AI3741" s="1" t="s">
        <v>54</v>
      </c>
      <c r="AJ3741" s="1">
        <v>1</v>
      </c>
      <c r="AK3741" s="1" t="str">
        <f t="shared" si="58"/>
        <v xml:space="preserve"> =&lt;90</v>
      </c>
      <c r="AL3741" s="1" t="str">
        <f>VLOOKUP(C:C,[1]基础信息!B$1:D$65536,3,0)</f>
        <v xml:space="preserve">Cartridge </v>
      </c>
      <c r="AM3741" s="1" t="str">
        <f>VLOOKUP(C:C,[1]基础信息!B$1:E$65536,4,0)</f>
        <v>UNIV</v>
      </c>
      <c r="AN3741" s="1" t="str">
        <f>VLOOKUP(C:C,[1]基础信息!B$1:F$65536,5,0)</f>
        <v>P55</v>
      </c>
    </row>
    <row r="3742" spans="1:40">
      <c r="A3742" s="1" t="s">
        <v>41</v>
      </c>
      <c r="B3742" s="1" t="s">
        <v>42</v>
      </c>
      <c r="C3742" s="1" t="s">
        <v>8610</v>
      </c>
      <c r="D3742" s="1" t="s">
        <v>8611</v>
      </c>
      <c r="E3742" s="1" t="s">
        <v>45</v>
      </c>
      <c r="F3742" s="1" t="s">
        <v>8612</v>
      </c>
      <c r="G3742" s="1" t="s">
        <v>8630</v>
      </c>
      <c r="H3742" s="1" t="s">
        <v>8631</v>
      </c>
      <c r="I3742" s="1" t="s">
        <v>45</v>
      </c>
      <c r="J3742" s="1" t="s">
        <v>48</v>
      </c>
      <c r="K3742" s="1">
        <v>1359</v>
      </c>
      <c r="L3742" s="1">
        <v>0</v>
      </c>
      <c r="M3742" s="1">
        <v>0</v>
      </c>
      <c r="N3742" s="1">
        <v>1359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 t="s">
        <v>49</v>
      </c>
      <c r="AA3742" s="1" t="s">
        <v>49</v>
      </c>
      <c r="AB3742" s="1" t="s">
        <v>49</v>
      </c>
      <c r="AC3742" s="1" t="s">
        <v>8615</v>
      </c>
      <c r="AD3742" s="1" t="s">
        <v>8616</v>
      </c>
      <c r="AE3742" s="1" t="s">
        <v>8615</v>
      </c>
      <c r="AF3742" s="1" t="s">
        <v>8617</v>
      </c>
      <c r="AG3742" s="1" t="s">
        <v>4662</v>
      </c>
      <c r="AH3742" s="1" t="s">
        <v>49</v>
      </c>
      <c r="AI3742" s="1" t="s">
        <v>54</v>
      </c>
      <c r="AJ3742" s="1">
        <v>1</v>
      </c>
      <c r="AK3742" s="1" t="str">
        <f t="shared" si="58"/>
        <v xml:space="preserve"> =&lt;90</v>
      </c>
      <c r="AL3742" s="1" t="str">
        <f>VLOOKUP(C:C,[1]基础信息!B$1:D$65536,3,0)</f>
        <v xml:space="preserve">Cartridge </v>
      </c>
      <c r="AM3742" s="1" t="str">
        <f>VLOOKUP(C:C,[1]基础信息!B$1:E$65536,4,0)</f>
        <v>UNIV</v>
      </c>
      <c r="AN3742" s="1" t="str">
        <f>VLOOKUP(C:C,[1]基础信息!B$1:F$65536,5,0)</f>
        <v>P55</v>
      </c>
    </row>
    <row r="3743" spans="1:40">
      <c r="A3743" s="1" t="s">
        <v>41</v>
      </c>
      <c r="B3743" s="1" t="s">
        <v>42</v>
      </c>
      <c r="C3743" s="1" t="s">
        <v>554</v>
      </c>
      <c r="D3743" s="1" t="s">
        <v>555</v>
      </c>
      <c r="E3743" s="1" t="s">
        <v>45</v>
      </c>
      <c r="F3743" s="1" t="s">
        <v>8416</v>
      </c>
      <c r="G3743" s="1" t="s">
        <v>8632</v>
      </c>
      <c r="H3743" s="1" t="s">
        <v>8633</v>
      </c>
      <c r="I3743" s="1" t="s">
        <v>49</v>
      </c>
      <c r="J3743" s="1" t="s">
        <v>48</v>
      </c>
      <c r="K3743" s="1">
        <v>70</v>
      </c>
      <c r="L3743" s="1">
        <v>0</v>
      </c>
      <c r="M3743" s="1">
        <v>0</v>
      </c>
      <c r="N3743" s="1">
        <v>70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 t="s">
        <v>49</v>
      </c>
      <c r="AA3743" s="1" t="s">
        <v>49</v>
      </c>
      <c r="AB3743" s="1" t="s">
        <v>49</v>
      </c>
      <c r="AC3743" s="1" t="s">
        <v>7670</v>
      </c>
      <c r="AD3743" s="1" t="s">
        <v>7671</v>
      </c>
      <c r="AE3743" s="1" t="s">
        <v>7670</v>
      </c>
      <c r="AF3743" s="1" t="s">
        <v>7672</v>
      </c>
      <c r="AG3743" s="1" t="s">
        <v>53</v>
      </c>
      <c r="AH3743" s="1" t="s">
        <v>49</v>
      </c>
      <c r="AI3743" s="1" t="s">
        <v>54</v>
      </c>
      <c r="AJ3743" s="1">
        <v>1</v>
      </c>
      <c r="AK3743" s="1" t="str">
        <f t="shared" si="58"/>
        <v xml:space="preserve"> =&lt;90</v>
      </c>
      <c r="AL3743" s="1" t="str">
        <f>VLOOKUP(C:C,[1]基础信息!B$1:D$65536,3,0)</f>
        <v>Jug</v>
      </c>
      <c r="AM3743" s="1" t="str">
        <f>VLOOKUP(C:C,[1]基础信息!B$1:E$65536,4,0)</f>
        <v>Green Pack</v>
      </c>
      <c r="AN3743" s="1" t="str">
        <f>VLOOKUP(C:C,[1]基础信息!B$1:F$65536,5,0)</f>
        <v>Blue</v>
      </c>
    </row>
    <row r="3744" spans="1:40">
      <c r="A3744" s="1" t="s">
        <v>41</v>
      </c>
      <c r="B3744" s="1" t="s">
        <v>8244</v>
      </c>
      <c r="C3744" s="1" t="s">
        <v>8603</v>
      </c>
      <c r="D3744" s="1" t="s">
        <v>8604</v>
      </c>
      <c r="E3744" s="1" t="s">
        <v>45</v>
      </c>
      <c r="F3744" s="1" t="s">
        <v>8634</v>
      </c>
      <c r="G3744" s="1" t="s">
        <v>8635</v>
      </c>
      <c r="H3744" s="1" t="s">
        <v>45</v>
      </c>
      <c r="I3744" s="1" t="s">
        <v>45</v>
      </c>
      <c r="J3744" s="1" t="s">
        <v>48</v>
      </c>
      <c r="K3744" s="1">
        <v>31</v>
      </c>
      <c r="L3744" s="1">
        <v>0</v>
      </c>
      <c r="M3744" s="1">
        <v>0</v>
      </c>
      <c r="N3744" s="1">
        <v>31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 t="s">
        <v>49</v>
      </c>
      <c r="AA3744" s="1" t="s">
        <v>49</v>
      </c>
      <c r="AB3744" s="1" t="s">
        <v>49</v>
      </c>
      <c r="AC3744" s="1" t="s">
        <v>1188</v>
      </c>
      <c r="AD3744" s="1" t="s">
        <v>1189</v>
      </c>
      <c r="AE3744" s="1" t="s">
        <v>1188</v>
      </c>
      <c r="AF3744" s="1" t="s">
        <v>8606</v>
      </c>
      <c r="AG3744" s="1" t="s">
        <v>8253</v>
      </c>
      <c r="AH3744" s="1" t="s">
        <v>49</v>
      </c>
      <c r="AI3744" s="1" t="s">
        <v>54</v>
      </c>
      <c r="AJ3744" s="1">
        <v>1</v>
      </c>
      <c r="AK3744" s="1" t="str">
        <f t="shared" si="58"/>
        <v xml:space="preserve"> =&lt;90</v>
      </c>
      <c r="AL3744" s="1" t="e">
        <f>VLOOKUP(C:C,[1]基础信息!B$1:D$65536,3,0)</f>
        <v>#N/A</v>
      </c>
      <c r="AM3744" s="1" t="e">
        <f>VLOOKUP(C:C,[1]基础信息!B$1:E$65536,4,0)</f>
        <v>#N/A</v>
      </c>
      <c r="AN3744" s="1" t="e">
        <f>VLOOKUP(C:C,[1]基础信息!B$1:F$65536,5,0)</f>
        <v>#N/A</v>
      </c>
    </row>
    <row r="3745" spans="1:40">
      <c r="A3745" s="1" t="s">
        <v>41</v>
      </c>
      <c r="B3745" s="1" t="s">
        <v>8244</v>
      </c>
      <c r="C3745" s="1" t="s">
        <v>8397</v>
      </c>
      <c r="D3745" s="1" t="s">
        <v>8398</v>
      </c>
      <c r="E3745" s="1" t="s">
        <v>8399</v>
      </c>
      <c r="F3745" s="1" t="s">
        <v>8589</v>
      </c>
      <c r="G3745" s="1" t="s">
        <v>8636</v>
      </c>
      <c r="H3745" s="1" t="s">
        <v>45</v>
      </c>
      <c r="I3745" s="1" t="s">
        <v>45</v>
      </c>
      <c r="J3745" s="1" t="s">
        <v>48</v>
      </c>
      <c r="K3745" s="1">
        <v>56</v>
      </c>
      <c r="L3745" s="1">
        <v>0</v>
      </c>
      <c r="M3745" s="1">
        <v>0</v>
      </c>
      <c r="N3745" s="1">
        <v>56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 t="s">
        <v>49</v>
      </c>
      <c r="AA3745" s="1" t="s">
        <v>49</v>
      </c>
      <c r="AB3745" s="1" t="s">
        <v>49</v>
      </c>
      <c r="AC3745" s="1" t="s">
        <v>61</v>
      </c>
      <c r="AD3745" s="1" t="s">
        <v>62</v>
      </c>
      <c r="AE3745" s="1" t="s">
        <v>61</v>
      </c>
      <c r="AF3745" s="1" t="s">
        <v>8591</v>
      </c>
      <c r="AG3745" s="1" t="s">
        <v>8253</v>
      </c>
      <c r="AH3745" s="1" t="s">
        <v>49</v>
      </c>
      <c r="AI3745" s="1" t="s">
        <v>54</v>
      </c>
      <c r="AJ3745" s="1">
        <v>1</v>
      </c>
      <c r="AK3745" s="1" t="str">
        <f t="shared" si="58"/>
        <v xml:space="preserve"> =&lt;90</v>
      </c>
      <c r="AL3745" s="1" t="e">
        <f>VLOOKUP(C:C,[1]基础信息!B$1:D$65536,3,0)</f>
        <v>#N/A</v>
      </c>
      <c r="AM3745" s="1" t="e">
        <f>VLOOKUP(C:C,[1]基础信息!B$1:E$65536,4,0)</f>
        <v>#N/A</v>
      </c>
      <c r="AN3745" s="1" t="e">
        <f>VLOOKUP(C:C,[1]基础信息!B$1:F$65536,5,0)</f>
        <v>#N/A</v>
      </c>
    </row>
    <row r="3746" spans="1:40">
      <c r="A3746" s="1" t="s">
        <v>41</v>
      </c>
      <c r="B3746" s="1" t="s">
        <v>8244</v>
      </c>
      <c r="C3746" s="1" t="s">
        <v>8347</v>
      </c>
      <c r="D3746" s="1" t="s">
        <v>8348</v>
      </c>
      <c r="E3746" s="1" t="s">
        <v>45</v>
      </c>
      <c r="F3746" s="1" t="s">
        <v>8637</v>
      </c>
      <c r="G3746" s="1" t="s">
        <v>8638</v>
      </c>
      <c r="H3746" s="1" t="s">
        <v>45</v>
      </c>
      <c r="I3746" s="1" t="s">
        <v>45</v>
      </c>
      <c r="J3746" s="1" t="s">
        <v>48</v>
      </c>
      <c r="K3746" s="1">
        <v>10</v>
      </c>
      <c r="L3746" s="1">
        <v>0</v>
      </c>
      <c r="M3746" s="1">
        <v>0</v>
      </c>
      <c r="N3746" s="1">
        <v>10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 t="s">
        <v>49</v>
      </c>
      <c r="AA3746" s="1" t="s">
        <v>49</v>
      </c>
      <c r="AB3746" s="1" t="s">
        <v>49</v>
      </c>
      <c r="AC3746" s="1" t="s">
        <v>7542</v>
      </c>
      <c r="AD3746" s="1" t="s">
        <v>7650</v>
      </c>
      <c r="AE3746" s="1" t="s">
        <v>7542</v>
      </c>
      <c r="AF3746" s="1" t="s">
        <v>8439</v>
      </c>
      <c r="AG3746" s="1" t="s">
        <v>8253</v>
      </c>
      <c r="AH3746" s="1" t="s">
        <v>8639</v>
      </c>
      <c r="AI3746" s="1" t="s">
        <v>54</v>
      </c>
      <c r="AJ3746" s="1">
        <v>1</v>
      </c>
      <c r="AK3746" s="1" t="str">
        <f t="shared" si="58"/>
        <v xml:space="preserve"> =&lt;90</v>
      </c>
      <c r="AL3746" s="1" t="e">
        <f>VLOOKUP(C:C,[1]基础信息!B$1:D$65536,3,0)</f>
        <v>#N/A</v>
      </c>
      <c r="AM3746" s="1" t="e">
        <f>VLOOKUP(C:C,[1]基础信息!B$1:E$65536,4,0)</f>
        <v>#N/A</v>
      </c>
      <c r="AN3746" s="1" t="e">
        <f>VLOOKUP(C:C,[1]基础信息!B$1:F$65536,5,0)</f>
        <v>#N/A</v>
      </c>
    </row>
    <row r="3747" spans="1:40">
      <c r="A3747" s="1" t="s">
        <v>41</v>
      </c>
      <c r="B3747" s="1" t="s">
        <v>8244</v>
      </c>
      <c r="C3747" s="1" t="s">
        <v>8245</v>
      </c>
      <c r="D3747" s="1" t="s">
        <v>8246</v>
      </c>
      <c r="E3747" s="1" t="s">
        <v>8247</v>
      </c>
      <c r="F3747" s="1" t="s">
        <v>8330</v>
      </c>
      <c r="G3747" s="1" t="s">
        <v>8640</v>
      </c>
      <c r="H3747" s="1" t="s">
        <v>45</v>
      </c>
      <c r="I3747" s="1" t="s">
        <v>45</v>
      </c>
      <c r="J3747" s="1" t="s">
        <v>48</v>
      </c>
      <c r="K3747" s="1">
        <v>64</v>
      </c>
      <c r="L3747" s="1">
        <v>0</v>
      </c>
      <c r="M3747" s="1">
        <v>0</v>
      </c>
      <c r="N3747" s="1">
        <v>64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 t="s">
        <v>49</v>
      </c>
      <c r="AA3747" s="1" t="s">
        <v>49</v>
      </c>
      <c r="AB3747" s="1" t="s">
        <v>49</v>
      </c>
      <c r="AC3747" s="1" t="s">
        <v>5350</v>
      </c>
      <c r="AD3747" s="1" t="s">
        <v>8332</v>
      </c>
      <c r="AE3747" s="1" t="s">
        <v>5350</v>
      </c>
      <c r="AF3747" s="1" t="s">
        <v>8333</v>
      </c>
      <c r="AG3747" s="1" t="s">
        <v>8253</v>
      </c>
      <c r="AH3747" s="1" t="s">
        <v>49</v>
      </c>
      <c r="AI3747" s="1" t="s">
        <v>54</v>
      </c>
      <c r="AJ3747" s="1">
        <v>1</v>
      </c>
      <c r="AK3747" s="1" t="str">
        <f t="shared" si="58"/>
        <v xml:space="preserve"> =&lt;90</v>
      </c>
      <c r="AL3747" s="1" t="e">
        <f>VLOOKUP(C:C,[1]基础信息!B$1:D$65536,3,0)</f>
        <v>#N/A</v>
      </c>
      <c r="AM3747" s="1" t="e">
        <f>VLOOKUP(C:C,[1]基础信息!B$1:E$65536,4,0)</f>
        <v>#N/A</v>
      </c>
      <c r="AN3747" s="1" t="e">
        <f>VLOOKUP(C:C,[1]基础信息!B$1:F$65536,5,0)</f>
        <v>#N/A</v>
      </c>
    </row>
    <row r="3748" spans="1:40">
      <c r="A3748" s="1" t="s">
        <v>41</v>
      </c>
      <c r="B3748" s="1" t="s">
        <v>42</v>
      </c>
      <c r="C3748" s="1" t="s">
        <v>554</v>
      </c>
      <c r="D3748" s="1" t="s">
        <v>555</v>
      </c>
      <c r="E3748" s="1" t="s">
        <v>45</v>
      </c>
      <c r="F3748" s="1" t="s">
        <v>8416</v>
      </c>
      <c r="G3748" s="1" t="s">
        <v>8641</v>
      </c>
      <c r="H3748" s="1" t="s">
        <v>8642</v>
      </c>
      <c r="I3748" s="1" t="s">
        <v>49</v>
      </c>
      <c r="J3748" s="1" t="s">
        <v>48</v>
      </c>
      <c r="K3748" s="1">
        <v>70</v>
      </c>
      <c r="L3748" s="1">
        <v>0</v>
      </c>
      <c r="M3748" s="1">
        <v>0</v>
      </c>
      <c r="N3748" s="1">
        <v>70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 t="s">
        <v>49</v>
      </c>
      <c r="AA3748" s="1" t="s">
        <v>49</v>
      </c>
      <c r="AB3748" s="1" t="s">
        <v>49</v>
      </c>
      <c r="AC3748" s="1" t="s">
        <v>7670</v>
      </c>
      <c r="AD3748" s="1" t="s">
        <v>7671</v>
      </c>
      <c r="AE3748" s="1" t="s">
        <v>7670</v>
      </c>
      <c r="AF3748" s="1" t="s">
        <v>7672</v>
      </c>
      <c r="AG3748" s="1" t="s">
        <v>53</v>
      </c>
      <c r="AH3748" s="1" t="s">
        <v>49</v>
      </c>
      <c r="AI3748" s="1" t="s">
        <v>54</v>
      </c>
      <c r="AJ3748" s="1">
        <v>1</v>
      </c>
      <c r="AK3748" s="1" t="str">
        <f t="shared" si="58"/>
        <v xml:space="preserve"> =&lt;90</v>
      </c>
      <c r="AL3748" s="1" t="str">
        <f>VLOOKUP(C:C,[1]基础信息!B$1:D$65536,3,0)</f>
        <v>Jug</v>
      </c>
      <c r="AM3748" s="1" t="str">
        <f>VLOOKUP(C:C,[1]基础信息!B$1:E$65536,4,0)</f>
        <v>Green Pack</v>
      </c>
      <c r="AN3748" s="1" t="str">
        <f>VLOOKUP(C:C,[1]基础信息!B$1:F$65536,5,0)</f>
        <v>Blue</v>
      </c>
    </row>
    <row r="3749" spans="1:40">
      <c r="A3749" s="1" t="s">
        <v>41</v>
      </c>
      <c r="B3749" s="1" t="s">
        <v>8244</v>
      </c>
      <c r="C3749" s="1" t="s">
        <v>8397</v>
      </c>
      <c r="D3749" s="1" t="s">
        <v>8398</v>
      </c>
      <c r="E3749" s="1" t="s">
        <v>8399</v>
      </c>
      <c r="F3749" s="1" t="s">
        <v>8643</v>
      </c>
      <c r="G3749" s="1" t="s">
        <v>8644</v>
      </c>
      <c r="H3749" s="1" t="s">
        <v>45</v>
      </c>
      <c r="I3749" s="1" t="s">
        <v>45</v>
      </c>
      <c r="J3749" s="1" t="s">
        <v>48</v>
      </c>
      <c r="K3749" s="1">
        <v>17</v>
      </c>
      <c r="L3749" s="1">
        <v>6</v>
      </c>
      <c r="M3749" s="1">
        <v>0</v>
      </c>
      <c r="N3749" s="1">
        <v>11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 t="s">
        <v>49</v>
      </c>
      <c r="AA3749" s="1" t="s">
        <v>49</v>
      </c>
      <c r="AB3749" s="1" t="s">
        <v>49</v>
      </c>
      <c r="AC3749" s="1" t="s">
        <v>7567</v>
      </c>
      <c r="AD3749" s="1" t="s">
        <v>7568</v>
      </c>
      <c r="AE3749" s="1" t="s">
        <v>7567</v>
      </c>
      <c r="AF3749" s="1" t="s">
        <v>8645</v>
      </c>
      <c r="AG3749" s="1" t="s">
        <v>8253</v>
      </c>
      <c r="AH3749" s="1" t="s">
        <v>49</v>
      </c>
      <c r="AI3749" s="1" t="s">
        <v>54</v>
      </c>
      <c r="AJ3749" s="1">
        <v>1</v>
      </c>
      <c r="AK3749" s="1" t="str">
        <f t="shared" si="58"/>
        <v xml:space="preserve"> =&lt;90</v>
      </c>
      <c r="AL3749" s="1" t="e">
        <f>VLOOKUP(C:C,[1]基础信息!B$1:D$65536,3,0)</f>
        <v>#N/A</v>
      </c>
      <c r="AM3749" s="1" t="e">
        <f>VLOOKUP(C:C,[1]基础信息!B$1:E$65536,4,0)</f>
        <v>#N/A</v>
      </c>
      <c r="AN3749" s="1" t="e">
        <f>VLOOKUP(C:C,[1]基础信息!B$1:F$65536,5,0)</f>
        <v>#N/A</v>
      </c>
    </row>
    <row r="3750" spans="1:40">
      <c r="A3750" s="1" t="s">
        <v>41</v>
      </c>
      <c r="B3750" s="1" t="s">
        <v>8244</v>
      </c>
      <c r="C3750" s="1" t="s">
        <v>8347</v>
      </c>
      <c r="D3750" s="1" t="s">
        <v>8348</v>
      </c>
      <c r="E3750" s="1" t="s">
        <v>45</v>
      </c>
      <c r="F3750" s="1" t="s">
        <v>8646</v>
      </c>
      <c r="G3750" s="1" t="s">
        <v>8647</v>
      </c>
      <c r="H3750" s="1" t="s">
        <v>45</v>
      </c>
      <c r="I3750" s="1" t="s">
        <v>45</v>
      </c>
      <c r="J3750" s="1" t="s">
        <v>48</v>
      </c>
      <c r="K3750" s="1">
        <v>11</v>
      </c>
      <c r="L3750" s="1">
        <v>0</v>
      </c>
      <c r="M3750" s="1">
        <v>0</v>
      </c>
      <c r="N3750" s="1">
        <v>11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 t="s">
        <v>49</v>
      </c>
      <c r="AA3750" s="1" t="s">
        <v>49</v>
      </c>
      <c r="AB3750" s="1" t="s">
        <v>49</v>
      </c>
      <c r="AC3750" s="1" t="s">
        <v>8422</v>
      </c>
      <c r="AD3750" s="1" t="s">
        <v>8423</v>
      </c>
      <c r="AE3750" s="1" t="s">
        <v>8422</v>
      </c>
      <c r="AF3750" s="1" t="s">
        <v>8648</v>
      </c>
      <c r="AG3750" s="1" t="s">
        <v>8253</v>
      </c>
      <c r="AH3750" s="1" t="s">
        <v>8354</v>
      </c>
      <c r="AI3750" s="1" t="s">
        <v>54</v>
      </c>
      <c r="AJ3750" s="1">
        <v>1</v>
      </c>
      <c r="AK3750" s="1" t="str">
        <f t="shared" si="58"/>
        <v xml:space="preserve"> =&lt;90</v>
      </c>
      <c r="AL3750" s="1" t="e">
        <f>VLOOKUP(C:C,[1]基础信息!B$1:D$65536,3,0)</f>
        <v>#N/A</v>
      </c>
      <c r="AM3750" s="1" t="e">
        <f>VLOOKUP(C:C,[1]基础信息!B$1:E$65536,4,0)</f>
        <v>#N/A</v>
      </c>
      <c r="AN3750" s="1" t="e">
        <f>VLOOKUP(C:C,[1]基础信息!B$1:F$65536,5,0)</f>
        <v>#N/A</v>
      </c>
    </row>
    <row r="3751" spans="1:40">
      <c r="A3751" s="1" t="s">
        <v>41</v>
      </c>
      <c r="B3751" s="1" t="s">
        <v>42</v>
      </c>
      <c r="C3751" s="1" t="s">
        <v>554</v>
      </c>
      <c r="D3751" s="1" t="s">
        <v>555</v>
      </c>
      <c r="E3751" s="1" t="s">
        <v>45</v>
      </c>
      <c r="F3751" s="1" t="s">
        <v>8416</v>
      </c>
      <c r="G3751" s="1" t="s">
        <v>8649</v>
      </c>
      <c r="H3751" s="1" t="s">
        <v>8650</v>
      </c>
      <c r="I3751" s="1" t="s">
        <v>49</v>
      </c>
      <c r="J3751" s="1" t="s">
        <v>48</v>
      </c>
      <c r="K3751" s="1">
        <v>70</v>
      </c>
      <c r="L3751" s="1">
        <v>0</v>
      </c>
      <c r="M3751" s="1">
        <v>0</v>
      </c>
      <c r="N3751" s="1">
        <v>70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 t="s">
        <v>49</v>
      </c>
      <c r="AA3751" s="1" t="s">
        <v>49</v>
      </c>
      <c r="AB3751" s="1" t="s">
        <v>49</v>
      </c>
      <c r="AC3751" s="1" t="s">
        <v>7670</v>
      </c>
      <c r="AD3751" s="1" t="s">
        <v>7671</v>
      </c>
      <c r="AE3751" s="1" t="s">
        <v>7670</v>
      </c>
      <c r="AF3751" s="1" t="s">
        <v>7672</v>
      </c>
      <c r="AG3751" s="1" t="s">
        <v>53</v>
      </c>
      <c r="AH3751" s="1" t="s">
        <v>49</v>
      </c>
      <c r="AI3751" s="1" t="s">
        <v>54</v>
      </c>
      <c r="AJ3751" s="1">
        <v>1</v>
      </c>
      <c r="AK3751" s="1" t="str">
        <f t="shared" si="58"/>
        <v xml:space="preserve"> =&lt;90</v>
      </c>
      <c r="AL3751" s="1" t="str">
        <f>VLOOKUP(C:C,[1]基础信息!B$1:D$65536,3,0)</f>
        <v>Jug</v>
      </c>
      <c r="AM3751" s="1" t="str">
        <f>VLOOKUP(C:C,[1]基础信息!B$1:E$65536,4,0)</f>
        <v>Green Pack</v>
      </c>
      <c r="AN3751" s="1" t="str">
        <f>VLOOKUP(C:C,[1]基础信息!B$1:F$65536,5,0)</f>
        <v>Blue</v>
      </c>
    </row>
    <row r="3752" spans="1:40">
      <c r="A3752" s="1" t="s">
        <v>41</v>
      </c>
      <c r="B3752" s="1" t="s">
        <v>8244</v>
      </c>
      <c r="C3752" s="1" t="s">
        <v>8397</v>
      </c>
      <c r="D3752" s="1" t="s">
        <v>8398</v>
      </c>
      <c r="E3752" s="1" t="s">
        <v>8399</v>
      </c>
      <c r="F3752" s="1" t="s">
        <v>8643</v>
      </c>
      <c r="G3752" s="1" t="s">
        <v>8651</v>
      </c>
      <c r="H3752" s="1" t="s">
        <v>45</v>
      </c>
      <c r="I3752" s="1" t="s">
        <v>45</v>
      </c>
      <c r="J3752" s="1" t="s">
        <v>48</v>
      </c>
      <c r="K3752" s="1">
        <v>56</v>
      </c>
      <c r="L3752" s="1">
        <v>0</v>
      </c>
      <c r="M3752" s="1">
        <v>0</v>
      </c>
      <c r="N3752" s="1">
        <v>56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 t="s">
        <v>49</v>
      </c>
      <c r="AA3752" s="1" t="s">
        <v>49</v>
      </c>
      <c r="AB3752" s="1" t="s">
        <v>49</v>
      </c>
      <c r="AC3752" s="1" t="s">
        <v>7567</v>
      </c>
      <c r="AD3752" s="1" t="s">
        <v>7568</v>
      </c>
      <c r="AE3752" s="1" t="s">
        <v>7567</v>
      </c>
      <c r="AF3752" s="1" t="s">
        <v>8645</v>
      </c>
      <c r="AG3752" s="1" t="s">
        <v>8253</v>
      </c>
      <c r="AH3752" s="1" t="s">
        <v>49</v>
      </c>
      <c r="AI3752" s="1" t="s">
        <v>54</v>
      </c>
      <c r="AJ3752" s="1">
        <v>1</v>
      </c>
      <c r="AK3752" s="1" t="str">
        <f t="shared" si="58"/>
        <v xml:space="preserve"> =&lt;90</v>
      </c>
      <c r="AL3752" s="1" t="e">
        <f>VLOOKUP(C:C,[1]基础信息!B$1:D$65536,3,0)</f>
        <v>#N/A</v>
      </c>
      <c r="AM3752" s="1" t="e">
        <f>VLOOKUP(C:C,[1]基础信息!B$1:E$65536,4,0)</f>
        <v>#N/A</v>
      </c>
      <c r="AN3752" s="1" t="e">
        <f>VLOOKUP(C:C,[1]基础信息!B$1:F$65536,5,0)</f>
        <v>#N/A</v>
      </c>
    </row>
    <row r="3753" spans="1:40">
      <c r="A3753" s="1" t="s">
        <v>41</v>
      </c>
      <c r="B3753" s="1" t="s">
        <v>8244</v>
      </c>
      <c r="C3753" s="1" t="s">
        <v>8652</v>
      </c>
      <c r="D3753" s="1" t="s">
        <v>8653</v>
      </c>
      <c r="E3753" s="1" t="s">
        <v>8654</v>
      </c>
      <c r="F3753" s="1" t="s">
        <v>8655</v>
      </c>
      <c r="G3753" s="1" t="s">
        <v>8656</v>
      </c>
      <c r="H3753" s="1" t="s">
        <v>45</v>
      </c>
      <c r="I3753" s="1" t="s">
        <v>45</v>
      </c>
      <c r="J3753" s="1" t="s">
        <v>48</v>
      </c>
      <c r="K3753" s="1">
        <v>33</v>
      </c>
      <c r="L3753" s="1">
        <v>0</v>
      </c>
      <c r="M3753" s="1">
        <v>0</v>
      </c>
      <c r="N3753" s="1">
        <v>33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 t="s">
        <v>49</v>
      </c>
      <c r="AA3753" s="1" t="s">
        <v>49</v>
      </c>
      <c r="AB3753" s="1" t="s">
        <v>49</v>
      </c>
      <c r="AC3753" s="1" t="s">
        <v>8657</v>
      </c>
      <c r="AD3753" s="1" t="s">
        <v>8658</v>
      </c>
      <c r="AE3753" s="1" t="s">
        <v>8657</v>
      </c>
      <c r="AF3753" s="1" t="s">
        <v>8659</v>
      </c>
      <c r="AG3753" s="1" t="s">
        <v>8253</v>
      </c>
      <c r="AH3753" s="1" t="s">
        <v>49</v>
      </c>
      <c r="AI3753" s="1" t="s">
        <v>54</v>
      </c>
      <c r="AJ3753" s="1">
        <v>1</v>
      </c>
      <c r="AK3753" s="1" t="str">
        <f t="shared" si="58"/>
        <v xml:space="preserve"> =&lt;90</v>
      </c>
      <c r="AL3753" s="1" t="e">
        <f>VLOOKUP(C:C,[1]基础信息!B$1:D$65536,3,0)</f>
        <v>#N/A</v>
      </c>
      <c r="AM3753" s="1" t="e">
        <f>VLOOKUP(C:C,[1]基础信息!B$1:E$65536,4,0)</f>
        <v>#N/A</v>
      </c>
      <c r="AN3753" s="1" t="e">
        <f>VLOOKUP(C:C,[1]基础信息!B$1:F$65536,5,0)</f>
        <v>#N/A</v>
      </c>
    </row>
    <row r="3754" spans="1:40">
      <c r="A3754" s="1" t="s">
        <v>41</v>
      </c>
      <c r="B3754" s="1" t="s">
        <v>8244</v>
      </c>
      <c r="C3754" s="1" t="s">
        <v>8581</v>
      </c>
      <c r="D3754" s="1" t="s">
        <v>8582</v>
      </c>
      <c r="E3754" s="1" t="s">
        <v>45</v>
      </c>
      <c r="F3754" s="1" t="s">
        <v>8660</v>
      </c>
      <c r="G3754" s="1" t="s">
        <v>8661</v>
      </c>
      <c r="H3754" s="1" t="s">
        <v>45</v>
      </c>
      <c r="I3754" s="1" t="s">
        <v>45</v>
      </c>
      <c r="J3754" s="1" t="s">
        <v>48</v>
      </c>
      <c r="K3754" s="1">
        <v>20</v>
      </c>
      <c r="L3754" s="1">
        <v>0</v>
      </c>
      <c r="M3754" s="1">
        <v>0</v>
      </c>
      <c r="N3754" s="1">
        <v>20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 t="s">
        <v>49</v>
      </c>
      <c r="AA3754" s="1" t="s">
        <v>49</v>
      </c>
      <c r="AB3754" s="1" t="s">
        <v>49</v>
      </c>
      <c r="AC3754" s="1" t="s">
        <v>5350</v>
      </c>
      <c r="AD3754" s="1" t="s">
        <v>8332</v>
      </c>
      <c r="AE3754" s="1" t="s">
        <v>5350</v>
      </c>
      <c r="AF3754" s="1" t="s">
        <v>8662</v>
      </c>
      <c r="AG3754" s="1" t="s">
        <v>8253</v>
      </c>
      <c r="AH3754" s="1" t="s">
        <v>49</v>
      </c>
      <c r="AI3754" s="1" t="s">
        <v>54</v>
      </c>
      <c r="AJ3754" s="1">
        <v>1</v>
      </c>
      <c r="AK3754" s="1" t="str">
        <f t="shared" si="58"/>
        <v xml:space="preserve"> =&lt;90</v>
      </c>
      <c r="AL3754" s="1" t="e">
        <f>VLOOKUP(C:C,[1]基础信息!B$1:D$65536,3,0)</f>
        <v>#N/A</v>
      </c>
      <c r="AM3754" s="1" t="e">
        <f>VLOOKUP(C:C,[1]基础信息!B$1:E$65536,4,0)</f>
        <v>#N/A</v>
      </c>
      <c r="AN3754" s="1" t="e">
        <f>VLOOKUP(C:C,[1]基础信息!B$1:F$65536,5,0)</f>
        <v>#N/A</v>
      </c>
    </row>
    <row r="3755" spans="1:40">
      <c r="A3755" s="1" t="s">
        <v>41</v>
      </c>
      <c r="B3755" s="1" t="s">
        <v>42</v>
      </c>
      <c r="C3755" s="1" t="s">
        <v>554</v>
      </c>
      <c r="D3755" s="1" t="s">
        <v>555</v>
      </c>
      <c r="E3755" s="1" t="s">
        <v>45</v>
      </c>
      <c r="F3755" s="1" t="s">
        <v>8416</v>
      </c>
      <c r="G3755" s="1" t="s">
        <v>8663</v>
      </c>
      <c r="H3755" s="1" t="s">
        <v>8664</v>
      </c>
      <c r="I3755" s="1" t="s">
        <v>49</v>
      </c>
      <c r="J3755" s="1" t="s">
        <v>48</v>
      </c>
      <c r="K3755" s="1">
        <v>70</v>
      </c>
      <c r="L3755" s="1">
        <v>0</v>
      </c>
      <c r="M3755" s="1">
        <v>0</v>
      </c>
      <c r="N3755" s="1">
        <v>70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 t="s">
        <v>49</v>
      </c>
      <c r="AA3755" s="1" t="s">
        <v>49</v>
      </c>
      <c r="AB3755" s="1" t="s">
        <v>49</v>
      </c>
      <c r="AC3755" s="1" t="s">
        <v>7670</v>
      </c>
      <c r="AD3755" s="1" t="s">
        <v>7671</v>
      </c>
      <c r="AE3755" s="1" t="s">
        <v>7670</v>
      </c>
      <c r="AF3755" s="1" t="s">
        <v>7672</v>
      </c>
      <c r="AG3755" s="1" t="s">
        <v>53</v>
      </c>
      <c r="AH3755" s="1" t="s">
        <v>49</v>
      </c>
      <c r="AI3755" s="1" t="s">
        <v>54</v>
      </c>
      <c r="AJ3755" s="1">
        <v>1</v>
      </c>
      <c r="AK3755" s="1" t="str">
        <f t="shared" ref="AK3755:AK3801" si="59">IF(AJ3755&gt;$AP$2,$AQ$2,IF(AJ3755&gt;$AP$3,$AQ$3,IF(AJ3755&gt;$AP$4,$AQ$4,$AQ$5)))</f>
        <v xml:space="preserve"> =&lt;90</v>
      </c>
      <c r="AL3755" s="1" t="str">
        <f>VLOOKUP(C:C,[1]基础信息!B$1:D$65536,3,0)</f>
        <v>Jug</v>
      </c>
      <c r="AM3755" s="1" t="str">
        <f>VLOOKUP(C:C,[1]基础信息!B$1:E$65536,4,0)</f>
        <v>Green Pack</v>
      </c>
      <c r="AN3755" s="1" t="str">
        <f>VLOOKUP(C:C,[1]基础信息!B$1:F$65536,5,0)</f>
        <v>Blue</v>
      </c>
    </row>
    <row r="3756" spans="1:40">
      <c r="A3756" s="1" t="s">
        <v>41</v>
      </c>
      <c r="B3756" s="1" t="s">
        <v>8244</v>
      </c>
      <c r="C3756" s="1" t="s">
        <v>8323</v>
      </c>
      <c r="D3756" s="1" t="s">
        <v>8324</v>
      </c>
      <c r="E3756" s="1" t="s">
        <v>45</v>
      </c>
      <c r="F3756" s="1" t="s">
        <v>8665</v>
      </c>
      <c r="G3756" s="1" t="s">
        <v>8666</v>
      </c>
      <c r="H3756" s="1" t="s">
        <v>45</v>
      </c>
      <c r="I3756" s="1" t="s">
        <v>45</v>
      </c>
      <c r="J3756" s="1" t="s">
        <v>48</v>
      </c>
      <c r="K3756" s="1">
        <v>16</v>
      </c>
      <c r="L3756" s="1">
        <v>0</v>
      </c>
      <c r="M3756" s="1">
        <v>0</v>
      </c>
      <c r="N3756" s="1">
        <v>16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 t="s">
        <v>49</v>
      </c>
      <c r="AA3756" s="1" t="s">
        <v>49</v>
      </c>
      <c r="AB3756" s="1" t="s">
        <v>49</v>
      </c>
      <c r="AC3756" s="1" t="s">
        <v>8327</v>
      </c>
      <c r="AD3756" s="1" t="s">
        <v>8328</v>
      </c>
      <c r="AE3756" s="1" t="s">
        <v>8327</v>
      </c>
      <c r="AF3756" s="1" t="s">
        <v>8667</v>
      </c>
      <c r="AG3756" s="1" t="s">
        <v>8253</v>
      </c>
      <c r="AH3756" s="1" t="s">
        <v>49</v>
      </c>
      <c r="AI3756" s="1" t="s">
        <v>54</v>
      </c>
      <c r="AJ3756" s="1">
        <v>1</v>
      </c>
      <c r="AK3756" s="1" t="str">
        <f t="shared" si="59"/>
        <v xml:space="preserve"> =&lt;90</v>
      </c>
      <c r="AL3756" s="1" t="e">
        <f>VLOOKUP(C:C,[1]基础信息!B$1:D$65536,3,0)</f>
        <v>#N/A</v>
      </c>
      <c r="AM3756" s="1" t="e">
        <f>VLOOKUP(C:C,[1]基础信息!B$1:E$65536,4,0)</f>
        <v>#N/A</v>
      </c>
      <c r="AN3756" s="1" t="e">
        <f>VLOOKUP(C:C,[1]基础信息!B$1:F$65536,5,0)</f>
        <v>#N/A</v>
      </c>
    </row>
    <row r="3757" spans="1:40">
      <c r="A3757" s="1" t="s">
        <v>41</v>
      </c>
      <c r="B3757" s="1" t="s">
        <v>8244</v>
      </c>
      <c r="C3757" s="1" t="s">
        <v>8347</v>
      </c>
      <c r="D3757" s="1" t="s">
        <v>8348</v>
      </c>
      <c r="E3757" s="1" t="s">
        <v>45</v>
      </c>
      <c r="F3757" s="1" t="s">
        <v>8668</v>
      </c>
      <c r="G3757" s="1" t="s">
        <v>8669</v>
      </c>
      <c r="H3757" s="1" t="s">
        <v>45</v>
      </c>
      <c r="I3757" s="1" t="s">
        <v>45</v>
      </c>
      <c r="J3757" s="1" t="s">
        <v>48</v>
      </c>
      <c r="K3757" s="1">
        <v>3</v>
      </c>
      <c r="L3757" s="1">
        <v>0</v>
      </c>
      <c r="M3757" s="1">
        <v>0</v>
      </c>
      <c r="N3757" s="1">
        <v>3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 t="s">
        <v>49</v>
      </c>
      <c r="AA3757" s="1" t="s">
        <v>49</v>
      </c>
      <c r="AB3757" s="1" t="s">
        <v>49</v>
      </c>
      <c r="AC3757" s="1" t="s">
        <v>8422</v>
      </c>
      <c r="AD3757" s="1" t="s">
        <v>8423</v>
      </c>
      <c r="AE3757" s="1" t="s">
        <v>8422</v>
      </c>
      <c r="AF3757" s="1" t="s">
        <v>8525</v>
      </c>
      <c r="AG3757" s="1" t="s">
        <v>8253</v>
      </c>
      <c r="AH3757" s="1" t="s">
        <v>8354</v>
      </c>
      <c r="AI3757" s="1" t="s">
        <v>54</v>
      </c>
      <c r="AJ3757" s="1">
        <v>1</v>
      </c>
      <c r="AK3757" s="1" t="str">
        <f t="shared" si="59"/>
        <v xml:space="preserve"> =&lt;90</v>
      </c>
      <c r="AL3757" s="1" t="e">
        <f>VLOOKUP(C:C,[1]基础信息!B$1:D$65536,3,0)</f>
        <v>#N/A</v>
      </c>
      <c r="AM3757" s="1" t="e">
        <f>VLOOKUP(C:C,[1]基础信息!B$1:E$65536,4,0)</f>
        <v>#N/A</v>
      </c>
      <c r="AN3757" s="1" t="e">
        <f>VLOOKUP(C:C,[1]基础信息!B$1:F$65536,5,0)</f>
        <v>#N/A</v>
      </c>
    </row>
    <row r="3758" spans="1:40">
      <c r="A3758" s="1" t="s">
        <v>41</v>
      </c>
      <c r="B3758" s="1" t="s">
        <v>42</v>
      </c>
      <c r="C3758" s="1" t="s">
        <v>8610</v>
      </c>
      <c r="D3758" s="1" t="s">
        <v>8611</v>
      </c>
      <c r="E3758" s="1" t="s">
        <v>45</v>
      </c>
      <c r="F3758" s="1" t="s">
        <v>8612</v>
      </c>
      <c r="G3758" s="1" t="s">
        <v>8670</v>
      </c>
      <c r="H3758" s="1" t="s">
        <v>8671</v>
      </c>
      <c r="I3758" s="1" t="s">
        <v>45</v>
      </c>
      <c r="J3758" s="1" t="s">
        <v>48</v>
      </c>
      <c r="K3758" s="1">
        <v>1650</v>
      </c>
      <c r="L3758" s="1">
        <v>0</v>
      </c>
      <c r="M3758" s="1">
        <v>0</v>
      </c>
      <c r="N3758" s="1">
        <v>1650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 t="s">
        <v>49</v>
      </c>
      <c r="AA3758" s="1" t="s">
        <v>49</v>
      </c>
      <c r="AB3758" s="1" t="s">
        <v>49</v>
      </c>
      <c r="AC3758" s="1" t="s">
        <v>8615</v>
      </c>
      <c r="AD3758" s="1" t="s">
        <v>8616</v>
      </c>
      <c r="AE3758" s="1" t="s">
        <v>8615</v>
      </c>
      <c r="AF3758" s="1" t="s">
        <v>8617</v>
      </c>
      <c r="AG3758" s="1" t="s">
        <v>4662</v>
      </c>
      <c r="AH3758" s="1" t="s">
        <v>49</v>
      </c>
      <c r="AI3758" s="1" t="s">
        <v>54</v>
      </c>
      <c r="AJ3758" s="1">
        <v>1</v>
      </c>
      <c r="AK3758" s="1" t="str">
        <f t="shared" si="59"/>
        <v xml:space="preserve"> =&lt;90</v>
      </c>
      <c r="AL3758" s="1" t="str">
        <f>VLOOKUP(C:C,[1]基础信息!B$1:D$65536,3,0)</f>
        <v xml:space="preserve">Cartridge </v>
      </c>
      <c r="AM3758" s="1" t="str">
        <f>VLOOKUP(C:C,[1]基础信息!B$1:E$65536,4,0)</f>
        <v>UNIV</v>
      </c>
      <c r="AN3758" s="1" t="str">
        <f>VLOOKUP(C:C,[1]基础信息!B$1:F$65536,5,0)</f>
        <v>P55</v>
      </c>
    </row>
    <row r="3759" spans="1:40">
      <c r="A3759" s="1" t="s">
        <v>41</v>
      </c>
      <c r="B3759" s="1" t="s">
        <v>42</v>
      </c>
      <c r="C3759" s="1" t="s">
        <v>8373</v>
      </c>
      <c r="D3759" s="1" t="s">
        <v>8374</v>
      </c>
      <c r="E3759" s="1" t="s">
        <v>45</v>
      </c>
      <c r="F3759" s="1" t="s">
        <v>8672</v>
      </c>
      <c r="G3759" s="1" t="s">
        <v>8673</v>
      </c>
      <c r="H3759" s="1" t="s">
        <v>45</v>
      </c>
      <c r="I3759" s="1" t="s">
        <v>45</v>
      </c>
      <c r="J3759" s="1" t="s">
        <v>48</v>
      </c>
      <c r="K3759" s="1">
        <v>36</v>
      </c>
      <c r="L3759" s="1">
        <v>0</v>
      </c>
      <c r="M3759" s="1">
        <v>0</v>
      </c>
      <c r="N3759" s="1">
        <v>36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 t="s">
        <v>49</v>
      </c>
      <c r="AA3759" s="1" t="s">
        <v>49</v>
      </c>
      <c r="AB3759" s="1" t="s">
        <v>49</v>
      </c>
      <c r="AC3759" s="1" t="s">
        <v>8594</v>
      </c>
      <c r="AD3759" s="1" t="s">
        <v>8595</v>
      </c>
      <c r="AE3759" s="1" t="s">
        <v>8596</v>
      </c>
      <c r="AF3759" s="1" t="s">
        <v>8379</v>
      </c>
      <c r="AG3759" s="1" t="s">
        <v>53</v>
      </c>
      <c r="AH3759" s="1" t="s">
        <v>49</v>
      </c>
      <c r="AI3759" s="1" t="s">
        <v>54</v>
      </c>
      <c r="AJ3759" s="1">
        <v>1</v>
      </c>
      <c r="AK3759" s="1" t="str">
        <f t="shared" si="59"/>
        <v xml:space="preserve"> =&lt;90</v>
      </c>
      <c r="AL3759" s="1" t="str">
        <f>VLOOKUP(C:C,[1]基础信息!B$1:D$65536,3,0)</f>
        <v>Hotcup</v>
      </c>
      <c r="AM3759" s="1" t="str">
        <f>VLOOKUP(C:C,[1]基础信息!B$1:E$65536,4,0)</f>
        <v>Hotcup</v>
      </c>
      <c r="AN3759" s="1" t="str">
        <f>VLOOKUP(C:C,[1]基础信息!B$1:F$65536,5,0)</f>
        <v>whi</v>
      </c>
    </row>
    <row r="3760" spans="1:40">
      <c r="A3760" s="1" t="s">
        <v>41</v>
      </c>
      <c r="B3760" s="1" t="s">
        <v>42</v>
      </c>
      <c r="C3760" s="1" t="s">
        <v>554</v>
      </c>
      <c r="D3760" s="1" t="s">
        <v>555</v>
      </c>
      <c r="E3760" s="1" t="s">
        <v>45</v>
      </c>
      <c r="F3760" s="1" t="s">
        <v>8416</v>
      </c>
      <c r="G3760" s="1" t="s">
        <v>8674</v>
      </c>
      <c r="H3760" s="1" t="s">
        <v>8675</v>
      </c>
      <c r="I3760" s="1" t="s">
        <v>49</v>
      </c>
      <c r="J3760" s="1" t="s">
        <v>48</v>
      </c>
      <c r="K3760" s="1">
        <v>70</v>
      </c>
      <c r="L3760" s="1">
        <v>0</v>
      </c>
      <c r="M3760" s="1">
        <v>0</v>
      </c>
      <c r="N3760" s="1">
        <v>70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 t="s">
        <v>49</v>
      </c>
      <c r="AA3760" s="1" t="s">
        <v>49</v>
      </c>
      <c r="AB3760" s="1" t="s">
        <v>49</v>
      </c>
      <c r="AC3760" s="1" t="s">
        <v>7670</v>
      </c>
      <c r="AD3760" s="1" t="s">
        <v>7671</v>
      </c>
      <c r="AE3760" s="1" t="s">
        <v>7670</v>
      </c>
      <c r="AF3760" s="1" t="s">
        <v>7672</v>
      </c>
      <c r="AG3760" s="1" t="s">
        <v>53</v>
      </c>
      <c r="AH3760" s="1" t="s">
        <v>49</v>
      </c>
      <c r="AI3760" s="1" t="s">
        <v>54</v>
      </c>
      <c r="AJ3760" s="1">
        <v>1</v>
      </c>
      <c r="AK3760" s="1" t="str">
        <f t="shared" si="59"/>
        <v xml:space="preserve"> =&lt;90</v>
      </c>
      <c r="AL3760" s="1" t="str">
        <f>VLOOKUP(C:C,[1]基础信息!B$1:D$65536,3,0)</f>
        <v>Jug</v>
      </c>
      <c r="AM3760" s="1" t="str">
        <f>VLOOKUP(C:C,[1]基础信息!B$1:E$65536,4,0)</f>
        <v>Green Pack</v>
      </c>
      <c r="AN3760" s="1" t="str">
        <f>VLOOKUP(C:C,[1]基础信息!B$1:F$65536,5,0)</f>
        <v>Blue</v>
      </c>
    </row>
    <row r="3761" spans="1:40">
      <c r="A3761" s="1" t="s">
        <v>41</v>
      </c>
      <c r="B3761" s="1" t="s">
        <v>42</v>
      </c>
      <c r="C3761" s="1" t="s">
        <v>8676</v>
      </c>
      <c r="D3761" s="1" t="s">
        <v>8677</v>
      </c>
      <c r="E3761" s="1" t="s">
        <v>45</v>
      </c>
      <c r="F3761" s="1" t="s">
        <v>8678</v>
      </c>
      <c r="G3761" s="1" t="s">
        <v>8679</v>
      </c>
      <c r="H3761" s="1" t="s">
        <v>45</v>
      </c>
      <c r="I3761" s="1" t="s">
        <v>45</v>
      </c>
      <c r="J3761" s="1" t="s">
        <v>48</v>
      </c>
      <c r="K3761" s="1">
        <v>61</v>
      </c>
      <c r="L3761" s="1">
        <v>0</v>
      </c>
      <c r="M3761" s="1">
        <v>0</v>
      </c>
      <c r="N3761" s="1">
        <v>61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 t="s">
        <v>49</v>
      </c>
      <c r="AA3761" s="1" t="s">
        <v>49</v>
      </c>
      <c r="AB3761" s="1" t="s">
        <v>49</v>
      </c>
      <c r="AC3761" s="1" t="s">
        <v>5462</v>
      </c>
      <c r="AD3761" s="1" t="s">
        <v>8336</v>
      </c>
      <c r="AE3761" s="1" t="s">
        <v>5462</v>
      </c>
      <c r="AF3761" s="1" t="s">
        <v>49</v>
      </c>
      <c r="AG3761" s="1" t="s">
        <v>6921</v>
      </c>
      <c r="AH3761" s="1" t="s">
        <v>49</v>
      </c>
      <c r="AI3761" s="1" t="s">
        <v>54</v>
      </c>
      <c r="AJ3761" s="1">
        <v>1</v>
      </c>
      <c r="AK3761" s="1" t="str">
        <f t="shared" si="59"/>
        <v xml:space="preserve"> =&lt;90</v>
      </c>
      <c r="AL3761" s="1" t="str">
        <f>VLOOKUP(C:C,[1]基础信息!B$1:D$65536,3,0)</f>
        <v>Jug</v>
      </c>
      <c r="AM3761" s="1" t="str">
        <f>VLOOKUP(C:C,[1]基础信息!B$1:E$65536,4,0)</f>
        <v>Marella XL</v>
      </c>
      <c r="AN3761" s="1" t="str">
        <f>VLOOKUP(C:C,[1]基础信息!B$1:F$65536,5,0)</f>
        <v xml:space="preserve"> silver</v>
      </c>
    </row>
    <row r="3762" spans="1:40">
      <c r="A3762" s="1" t="s">
        <v>41</v>
      </c>
      <c r="B3762" s="1" t="s">
        <v>42</v>
      </c>
      <c r="C3762" s="1" t="s">
        <v>8373</v>
      </c>
      <c r="D3762" s="1" t="s">
        <v>8374</v>
      </c>
      <c r="E3762" s="1" t="s">
        <v>45</v>
      </c>
      <c r="F3762" s="1" t="s">
        <v>8672</v>
      </c>
      <c r="G3762" s="1" t="s">
        <v>8680</v>
      </c>
      <c r="H3762" s="1" t="s">
        <v>45</v>
      </c>
      <c r="I3762" s="1" t="s">
        <v>45</v>
      </c>
      <c r="J3762" s="1" t="s">
        <v>48</v>
      </c>
      <c r="K3762" s="1">
        <v>36</v>
      </c>
      <c r="L3762" s="1">
        <v>0</v>
      </c>
      <c r="M3762" s="1">
        <v>0</v>
      </c>
      <c r="N3762" s="1">
        <v>36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 t="s">
        <v>49</v>
      </c>
      <c r="AA3762" s="1" t="s">
        <v>49</v>
      </c>
      <c r="AB3762" s="1" t="s">
        <v>49</v>
      </c>
      <c r="AC3762" s="1" t="s">
        <v>8594</v>
      </c>
      <c r="AD3762" s="1" t="s">
        <v>8595</v>
      </c>
      <c r="AE3762" s="1" t="s">
        <v>8596</v>
      </c>
      <c r="AF3762" s="1" t="s">
        <v>8379</v>
      </c>
      <c r="AG3762" s="1" t="s">
        <v>53</v>
      </c>
      <c r="AH3762" s="1" t="s">
        <v>49</v>
      </c>
      <c r="AI3762" s="1" t="s">
        <v>54</v>
      </c>
      <c r="AJ3762" s="1">
        <v>1</v>
      </c>
      <c r="AK3762" s="1" t="str">
        <f t="shared" si="59"/>
        <v xml:space="preserve"> =&lt;90</v>
      </c>
      <c r="AL3762" s="1" t="str">
        <f>VLOOKUP(C:C,[1]基础信息!B$1:D$65536,3,0)</f>
        <v>Hotcup</v>
      </c>
      <c r="AM3762" s="1" t="str">
        <f>VLOOKUP(C:C,[1]基础信息!B$1:E$65536,4,0)</f>
        <v>Hotcup</v>
      </c>
      <c r="AN3762" s="1" t="str">
        <f>VLOOKUP(C:C,[1]基础信息!B$1:F$65536,5,0)</f>
        <v>whi</v>
      </c>
    </row>
    <row r="3763" spans="1:40">
      <c r="A3763" s="1" t="s">
        <v>41</v>
      </c>
      <c r="B3763" s="1" t="s">
        <v>42</v>
      </c>
      <c r="C3763" s="1" t="s">
        <v>554</v>
      </c>
      <c r="D3763" s="1" t="s">
        <v>555</v>
      </c>
      <c r="E3763" s="1" t="s">
        <v>45</v>
      </c>
      <c r="F3763" s="1" t="s">
        <v>8416</v>
      </c>
      <c r="G3763" s="1" t="s">
        <v>8681</v>
      </c>
      <c r="H3763" s="1" t="s">
        <v>8682</v>
      </c>
      <c r="I3763" s="1" t="s">
        <v>49</v>
      </c>
      <c r="J3763" s="1" t="s">
        <v>48</v>
      </c>
      <c r="K3763" s="1">
        <v>70</v>
      </c>
      <c r="L3763" s="1">
        <v>0</v>
      </c>
      <c r="M3763" s="1">
        <v>0</v>
      </c>
      <c r="N3763" s="1">
        <v>70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 t="s">
        <v>49</v>
      </c>
      <c r="AA3763" s="1" t="s">
        <v>49</v>
      </c>
      <c r="AB3763" s="1" t="s">
        <v>49</v>
      </c>
      <c r="AC3763" s="1" t="s">
        <v>7670</v>
      </c>
      <c r="AD3763" s="1" t="s">
        <v>7671</v>
      </c>
      <c r="AE3763" s="1" t="s">
        <v>7670</v>
      </c>
      <c r="AF3763" s="1" t="s">
        <v>7672</v>
      </c>
      <c r="AG3763" s="1" t="s">
        <v>53</v>
      </c>
      <c r="AH3763" s="1" t="s">
        <v>49</v>
      </c>
      <c r="AI3763" s="1" t="s">
        <v>54</v>
      </c>
      <c r="AJ3763" s="1">
        <v>1</v>
      </c>
      <c r="AK3763" s="1" t="str">
        <f t="shared" si="59"/>
        <v xml:space="preserve"> =&lt;90</v>
      </c>
      <c r="AL3763" s="1" t="str">
        <f>VLOOKUP(C:C,[1]基础信息!B$1:D$65536,3,0)</f>
        <v>Jug</v>
      </c>
      <c r="AM3763" s="1" t="str">
        <f>VLOOKUP(C:C,[1]基础信息!B$1:E$65536,4,0)</f>
        <v>Green Pack</v>
      </c>
      <c r="AN3763" s="1" t="str">
        <f>VLOOKUP(C:C,[1]基础信息!B$1:F$65536,5,0)</f>
        <v>Blue</v>
      </c>
    </row>
    <row r="3764" spans="1:40">
      <c r="A3764" s="1" t="s">
        <v>41</v>
      </c>
      <c r="B3764" s="1" t="s">
        <v>8244</v>
      </c>
      <c r="C3764" s="1" t="s">
        <v>8347</v>
      </c>
      <c r="D3764" s="1" t="s">
        <v>8348</v>
      </c>
      <c r="E3764" s="1" t="s">
        <v>45</v>
      </c>
      <c r="F3764" s="1" t="s">
        <v>8683</v>
      </c>
      <c r="G3764" s="1" t="s">
        <v>8684</v>
      </c>
      <c r="H3764" s="1" t="s">
        <v>45</v>
      </c>
      <c r="I3764" s="1" t="s">
        <v>45</v>
      </c>
      <c r="J3764" s="1" t="s">
        <v>48</v>
      </c>
      <c r="K3764" s="1">
        <v>32</v>
      </c>
      <c r="L3764" s="1">
        <v>0</v>
      </c>
      <c r="M3764" s="1">
        <v>0</v>
      </c>
      <c r="N3764" s="1">
        <v>32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 t="s">
        <v>49</v>
      </c>
      <c r="AA3764" s="1" t="s">
        <v>49</v>
      </c>
      <c r="AB3764" s="1" t="s">
        <v>49</v>
      </c>
      <c r="AC3764" s="1" t="s">
        <v>8422</v>
      </c>
      <c r="AD3764" s="1" t="s">
        <v>8423</v>
      </c>
      <c r="AE3764" s="1" t="s">
        <v>8422</v>
      </c>
      <c r="AF3764" s="1" t="s">
        <v>8424</v>
      </c>
      <c r="AG3764" s="1" t="s">
        <v>8383</v>
      </c>
      <c r="AH3764" s="1" t="s">
        <v>8354</v>
      </c>
      <c r="AI3764" s="1" t="s">
        <v>54</v>
      </c>
      <c r="AJ3764" s="1">
        <v>1</v>
      </c>
      <c r="AK3764" s="1" t="str">
        <f t="shared" si="59"/>
        <v xml:space="preserve"> =&lt;90</v>
      </c>
      <c r="AL3764" s="1" t="e">
        <f>VLOOKUP(C:C,[1]基础信息!B$1:D$65536,3,0)</f>
        <v>#N/A</v>
      </c>
      <c r="AM3764" s="1" t="e">
        <f>VLOOKUP(C:C,[1]基础信息!B$1:E$65536,4,0)</f>
        <v>#N/A</v>
      </c>
      <c r="AN3764" s="1" t="e">
        <f>VLOOKUP(C:C,[1]基础信息!B$1:F$65536,5,0)</f>
        <v>#N/A</v>
      </c>
    </row>
    <row r="3765" spans="1:40">
      <c r="A3765" s="1" t="s">
        <v>41</v>
      </c>
      <c r="B3765" s="1" t="s">
        <v>42</v>
      </c>
      <c r="C3765" s="1" t="s">
        <v>83</v>
      </c>
      <c r="D3765" s="1" t="s">
        <v>84</v>
      </c>
      <c r="E3765" s="1" t="s">
        <v>45</v>
      </c>
      <c r="F3765" s="1" t="s">
        <v>8685</v>
      </c>
      <c r="G3765" s="1" t="s">
        <v>8686</v>
      </c>
      <c r="H3765" s="1" t="s">
        <v>45</v>
      </c>
      <c r="I3765" s="1" t="s">
        <v>45</v>
      </c>
      <c r="J3765" s="1" t="s">
        <v>48</v>
      </c>
      <c r="K3765" s="1">
        <v>16</v>
      </c>
      <c r="L3765" s="1">
        <v>0</v>
      </c>
      <c r="M3765" s="1">
        <v>0</v>
      </c>
      <c r="N3765" s="1">
        <v>16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 t="s">
        <v>49</v>
      </c>
      <c r="AA3765" s="1" t="s">
        <v>49</v>
      </c>
      <c r="AB3765" s="1" t="s">
        <v>49</v>
      </c>
      <c r="AC3765" s="1" t="s">
        <v>5462</v>
      </c>
      <c r="AD3765" s="1" t="s">
        <v>8336</v>
      </c>
      <c r="AE3765" s="1" t="s">
        <v>5462</v>
      </c>
      <c r="AF3765" s="1" t="s">
        <v>49</v>
      </c>
      <c r="AG3765" s="1" t="s">
        <v>6921</v>
      </c>
      <c r="AH3765" s="1" t="s">
        <v>49</v>
      </c>
      <c r="AI3765" s="1" t="s">
        <v>54</v>
      </c>
      <c r="AJ3765" s="1">
        <v>1</v>
      </c>
      <c r="AK3765" s="1" t="str">
        <f t="shared" si="59"/>
        <v xml:space="preserve"> =&lt;90</v>
      </c>
      <c r="AL3765" s="1" t="str">
        <f>VLOOKUP(C:C,[1]基础信息!B$1:D$65536,3,0)</f>
        <v>Jug</v>
      </c>
      <c r="AM3765" s="1" t="str">
        <f>VLOOKUP(C:C,[1]基础信息!B$1:E$65536,4,0)</f>
        <v>Mxplus</v>
      </c>
      <c r="AN3765" s="1" t="str">
        <f>VLOOKUP(C:C,[1]基础信息!B$1:F$65536,5,0)</f>
        <v>Blue</v>
      </c>
    </row>
    <row r="3766" spans="1:40">
      <c r="A3766" s="1" t="s">
        <v>41</v>
      </c>
      <c r="B3766" s="1" t="s">
        <v>42</v>
      </c>
      <c r="C3766" s="1" t="s">
        <v>554</v>
      </c>
      <c r="D3766" s="1" t="s">
        <v>555</v>
      </c>
      <c r="E3766" s="1" t="s">
        <v>45</v>
      </c>
      <c r="F3766" s="1" t="s">
        <v>8416</v>
      </c>
      <c r="G3766" s="1" t="s">
        <v>8687</v>
      </c>
      <c r="H3766" s="1" t="s">
        <v>8688</v>
      </c>
      <c r="I3766" s="1" t="s">
        <v>49</v>
      </c>
      <c r="J3766" s="1" t="s">
        <v>48</v>
      </c>
      <c r="K3766" s="1">
        <v>70</v>
      </c>
      <c r="L3766" s="1">
        <v>0</v>
      </c>
      <c r="M3766" s="1">
        <v>0</v>
      </c>
      <c r="N3766" s="1">
        <v>70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 t="s">
        <v>49</v>
      </c>
      <c r="AA3766" s="1" t="s">
        <v>49</v>
      </c>
      <c r="AB3766" s="1" t="s">
        <v>49</v>
      </c>
      <c r="AC3766" s="1" t="s">
        <v>7670</v>
      </c>
      <c r="AD3766" s="1" t="s">
        <v>7671</v>
      </c>
      <c r="AE3766" s="1" t="s">
        <v>7670</v>
      </c>
      <c r="AF3766" s="1" t="s">
        <v>7672</v>
      </c>
      <c r="AG3766" s="1" t="s">
        <v>53</v>
      </c>
      <c r="AH3766" s="1" t="s">
        <v>49</v>
      </c>
      <c r="AI3766" s="1" t="s">
        <v>54</v>
      </c>
      <c r="AJ3766" s="1">
        <v>1</v>
      </c>
      <c r="AK3766" s="1" t="str">
        <f t="shared" si="59"/>
        <v xml:space="preserve"> =&lt;90</v>
      </c>
      <c r="AL3766" s="1" t="str">
        <f>VLOOKUP(C:C,[1]基础信息!B$1:D$65536,3,0)</f>
        <v>Jug</v>
      </c>
      <c r="AM3766" s="1" t="str">
        <f>VLOOKUP(C:C,[1]基础信息!B$1:E$65536,4,0)</f>
        <v>Green Pack</v>
      </c>
      <c r="AN3766" s="1" t="str">
        <f>VLOOKUP(C:C,[1]基础信息!B$1:F$65536,5,0)</f>
        <v>Blue</v>
      </c>
    </row>
    <row r="3767" spans="1:40">
      <c r="A3767" s="1" t="s">
        <v>41</v>
      </c>
      <c r="B3767" s="1" t="s">
        <v>8244</v>
      </c>
      <c r="C3767" s="1" t="s">
        <v>8347</v>
      </c>
      <c r="D3767" s="1" t="s">
        <v>8348</v>
      </c>
      <c r="E3767" s="1" t="s">
        <v>45</v>
      </c>
      <c r="F3767" s="1" t="s">
        <v>8689</v>
      </c>
      <c r="G3767" s="1" t="s">
        <v>8690</v>
      </c>
      <c r="H3767" s="1" t="s">
        <v>45</v>
      </c>
      <c r="I3767" s="1" t="s">
        <v>45</v>
      </c>
      <c r="J3767" s="1" t="s">
        <v>48</v>
      </c>
      <c r="K3767" s="1">
        <v>32</v>
      </c>
      <c r="L3767" s="1">
        <v>0</v>
      </c>
      <c r="M3767" s="1">
        <v>0</v>
      </c>
      <c r="N3767" s="1">
        <v>32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 t="s">
        <v>49</v>
      </c>
      <c r="AA3767" s="1" t="s">
        <v>49</v>
      </c>
      <c r="AB3767" s="1" t="s">
        <v>49</v>
      </c>
      <c r="AC3767" s="1" t="s">
        <v>8422</v>
      </c>
      <c r="AD3767" s="1" t="s">
        <v>8423</v>
      </c>
      <c r="AE3767" s="1" t="s">
        <v>8422</v>
      </c>
      <c r="AF3767" s="1" t="s">
        <v>8557</v>
      </c>
      <c r="AG3767" s="1" t="s">
        <v>8383</v>
      </c>
      <c r="AH3767" s="1" t="s">
        <v>8354</v>
      </c>
      <c r="AI3767" s="1" t="s">
        <v>54</v>
      </c>
      <c r="AJ3767" s="1">
        <v>1</v>
      </c>
      <c r="AK3767" s="1" t="str">
        <f t="shared" si="59"/>
        <v xml:space="preserve"> =&lt;90</v>
      </c>
      <c r="AL3767" s="1" t="e">
        <f>VLOOKUP(C:C,[1]基础信息!B$1:D$65536,3,0)</f>
        <v>#N/A</v>
      </c>
      <c r="AM3767" s="1" t="e">
        <f>VLOOKUP(C:C,[1]基础信息!B$1:E$65536,4,0)</f>
        <v>#N/A</v>
      </c>
      <c r="AN3767" s="1" t="e">
        <f>VLOOKUP(C:C,[1]基础信息!B$1:F$65536,5,0)</f>
        <v>#N/A</v>
      </c>
    </row>
    <row r="3768" spans="1:40">
      <c r="A3768" s="1" t="s">
        <v>41</v>
      </c>
      <c r="B3768" s="1" t="s">
        <v>42</v>
      </c>
      <c r="C3768" s="1" t="s">
        <v>104</v>
      </c>
      <c r="D3768" s="1" t="s">
        <v>105</v>
      </c>
      <c r="E3768" s="1" t="s">
        <v>104</v>
      </c>
      <c r="F3768" s="1" t="s">
        <v>8691</v>
      </c>
      <c r="G3768" s="1" t="s">
        <v>8692</v>
      </c>
      <c r="H3768" s="1" t="s">
        <v>45</v>
      </c>
      <c r="I3768" s="1" t="s">
        <v>45</v>
      </c>
      <c r="J3768" s="1" t="s">
        <v>48</v>
      </c>
      <c r="K3768" s="1">
        <v>9</v>
      </c>
      <c r="L3768" s="1">
        <v>0</v>
      </c>
      <c r="M3768" s="1">
        <v>0</v>
      </c>
      <c r="N3768" s="1">
        <v>9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 t="s">
        <v>49</v>
      </c>
      <c r="AA3768" s="1" t="s">
        <v>49</v>
      </c>
      <c r="AB3768" s="1" t="s">
        <v>49</v>
      </c>
      <c r="AC3768" s="1" t="s">
        <v>5462</v>
      </c>
      <c r="AD3768" s="1" t="s">
        <v>8336</v>
      </c>
      <c r="AE3768" s="1" t="s">
        <v>5462</v>
      </c>
      <c r="AF3768" s="1" t="s">
        <v>49</v>
      </c>
      <c r="AG3768" s="1" t="s">
        <v>6921</v>
      </c>
      <c r="AH3768" s="1" t="s">
        <v>49</v>
      </c>
      <c r="AI3768" s="1" t="s">
        <v>54</v>
      </c>
      <c r="AJ3768" s="1">
        <v>1</v>
      </c>
      <c r="AK3768" s="1" t="str">
        <f t="shared" si="59"/>
        <v xml:space="preserve"> =&lt;90</v>
      </c>
      <c r="AL3768" s="1" t="str">
        <f>VLOOKUP(C:C,[1]基础信息!B$1:D$65536,3,0)</f>
        <v>Jug</v>
      </c>
      <c r="AM3768" s="1" t="str">
        <f>VLOOKUP(C:C,[1]基础信息!B$1:E$65536,4,0)</f>
        <v>Marella XL</v>
      </c>
      <c r="AN3768" s="1" t="str">
        <f>VLOOKUP(C:C,[1]基础信息!B$1:F$65536,5,0)</f>
        <v>Blue</v>
      </c>
    </row>
    <row r="3769" spans="1:40">
      <c r="A3769" s="1" t="s">
        <v>41</v>
      </c>
      <c r="B3769" s="1" t="s">
        <v>42</v>
      </c>
      <c r="C3769" s="1" t="s">
        <v>8373</v>
      </c>
      <c r="D3769" s="1" t="s">
        <v>8374</v>
      </c>
      <c r="E3769" s="1" t="s">
        <v>45</v>
      </c>
      <c r="F3769" s="1" t="s">
        <v>8693</v>
      </c>
      <c r="G3769" s="1" t="s">
        <v>8694</v>
      </c>
      <c r="H3769" s="1" t="s">
        <v>45</v>
      </c>
      <c r="I3769" s="1" t="s">
        <v>45</v>
      </c>
      <c r="J3769" s="1" t="s">
        <v>48</v>
      </c>
      <c r="K3769" s="1">
        <v>25</v>
      </c>
      <c r="L3769" s="1">
        <v>0</v>
      </c>
      <c r="M3769" s="1">
        <v>0</v>
      </c>
      <c r="N3769" s="1">
        <v>25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 t="s">
        <v>49</v>
      </c>
      <c r="AA3769" s="1" t="s">
        <v>49</v>
      </c>
      <c r="AB3769" s="1" t="s">
        <v>49</v>
      </c>
      <c r="AC3769" s="1" t="s">
        <v>8695</v>
      </c>
      <c r="AD3769" s="1" t="s">
        <v>8696</v>
      </c>
      <c r="AE3769" s="1" t="s">
        <v>8695</v>
      </c>
      <c r="AF3769" s="1" t="s">
        <v>8597</v>
      </c>
      <c r="AG3769" s="1" t="s">
        <v>53</v>
      </c>
      <c r="AH3769" s="1" t="s">
        <v>49</v>
      </c>
      <c r="AI3769" s="1" t="s">
        <v>54</v>
      </c>
      <c r="AJ3769" s="1">
        <v>1</v>
      </c>
      <c r="AK3769" s="1" t="str">
        <f t="shared" si="59"/>
        <v xml:space="preserve"> =&lt;90</v>
      </c>
      <c r="AL3769" s="1" t="str">
        <f>VLOOKUP(C:C,[1]基础信息!B$1:D$65536,3,0)</f>
        <v>Hotcup</v>
      </c>
      <c r="AM3769" s="1" t="str">
        <f>VLOOKUP(C:C,[1]基础信息!B$1:E$65536,4,0)</f>
        <v>Hotcup</v>
      </c>
      <c r="AN3769" s="1" t="str">
        <f>VLOOKUP(C:C,[1]基础信息!B$1:F$65536,5,0)</f>
        <v>whi</v>
      </c>
    </row>
    <row r="3770" spans="1:40">
      <c r="A3770" s="1" t="s">
        <v>41</v>
      </c>
      <c r="B3770" s="1" t="s">
        <v>42</v>
      </c>
      <c r="C3770" s="1" t="s">
        <v>554</v>
      </c>
      <c r="D3770" s="1" t="s">
        <v>555</v>
      </c>
      <c r="E3770" s="1" t="s">
        <v>45</v>
      </c>
      <c r="F3770" s="1" t="s">
        <v>8416</v>
      </c>
      <c r="G3770" s="1" t="s">
        <v>8697</v>
      </c>
      <c r="H3770" s="1" t="s">
        <v>8698</v>
      </c>
      <c r="I3770" s="1" t="s">
        <v>49</v>
      </c>
      <c r="J3770" s="1" t="s">
        <v>48</v>
      </c>
      <c r="K3770" s="1">
        <v>70</v>
      </c>
      <c r="L3770" s="1">
        <v>0</v>
      </c>
      <c r="M3770" s="1">
        <v>0</v>
      </c>
      <c r="N3770" s="1">
        <v>70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 t="s">
        <v>49</v>
      </c>
      <c r="AA3770" s="1" t="s">
        <v>49</v>
      </c>
      <c r="AB3770" s="1" t="s">
        <v>49</v>
      </c>
      <c r="AC3770" s="1" t="s">
        <v>7670</v>
      </c>
      <c r="AD3770" s="1" t="s">
        <v>7671</v>
      </c>
      <c r="AE3770" s="1" t="s">
        <v>7670</v>
      </c>
      <c r="AF3770" s="1" t="s">
        <v>7672</v>
      </c>
      <c r="AG3770" s="1" t="s">
        <v>53</v>
      </c>
      <c r="AH3770" s="1" t="s">
        <v>49</v>
      </c>
      <c r="AI3770" s="1" t="s">
        <v>54</v>
      </c>
      <c r="AJ3770" s="1">
        <v>1</v>
      </c>
      <c r="AK3770" s="1" t="str">
        <f t="shared" si="59"/>
        <v xml:space="preserve"> =&lt;90</v>
      </c>
      <c r="AL3770" s="1" t="str">
        <f>VLOOKUP(C:C,[1]基础信息!B$1:D$65536,3,0)</f>
        <v>Jug</v>
      </c>
      <c r="AM3770" s="1" t="str">
        <f>VLOOKUP(C:C,[1]基础信息!B$1:E$65536,4,0)</f>
        <v>Green Pack</v>
      </c>
      <c r="AN3770" s="1" t="str">
        <f>VLOOKUP(C:C,[1]基础信息!B$1:F$65536,5,0)</f>
        <v>Blue</v>
      </c>
    </row>
    <row r="3771" spans="1:40">
      <c r="A3771" s="1" t="s">
        <v>41</v>
      </c>
      <c r="B3771" s="1" t="s">
        <v>8244</v>
      </c>
      <c r="C3771" s="1" t="s">
        <v>8581</v>
      </c>
      <c r="D3771" s="1" t="s">
        <v>8582</v>
      </c>
      <c r="E3771" s="1" t="s">
        <v>45</v>
      </c>
      <c r="F3771" s="1" t="s">
        <v>8583</v>
      </c>
      <c r="G3771" s="1" t="s">
        <v>8699</v>
      </c>
      <c r="H3771" s="1" t="s">
        <v>45</v>
      </c>
      <c r="I3771" s="1" t="s">
        <v>45</v>
      </c>
      <c r="J3771" s="1" t="s">
        <v>48</v>
      </c>
      <c r="K3771" s="1">
        <v>10</v>
      </c>
      <c r="L3771" s="1">
        <v>0</v>
      </c>
      <c r="M3771" s="1">
        <v>0</v>
      </c>
      <c r="N3771" s="1">
        <v>10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 t="s">
        <v>49</v>
      </c>
      <c r="AA3771" s="1" t="s">
        <v>49</v>
      </c>
      <c r="AB3771" s="1" t="s">
        <v>49</v>
      </c>
      <c r="AC3771" s="1" t="s">
        <v>8585</v>
      </c>
      <c r="AD3771" s="1" t="s">
        <v>8586</v>
      </c>
      <c r="AE3771" s="1" t="s">
        <v>8585</v>
      </c>
      <c r="AF3771" s="1" t="s">
        <v>8587</v>
      </c>
      <c r="AG3771" s="1" t="s">
        <v>8253</v>
      </c>
      <c r="AH3771" s="1" t="s">
        <v>49</v>
      </c>
      <c r="AI3771" s="1" t="s">
        <v>54</v>
      </c>
      <c r="AJ3771" s="1">
        <v>1</v>
      </c>
      <c r="AK3771" s="1" t="str">
        <f t="shared" si="59"/>
        <v xml:space="preserve"> =&lt;90</v>
      </c>
      <c r="AL3771" s="1" t="e">
        <f>VLOOKUP(C:C,[1]基础信息!B$1:D$65536,3,0)</f>
        <v>#N/A</v>
      </c>
      <c r="AM3771" s="1" t="e">
        <f>VLOOKUP(C:C,[1]基础信息!B$1:E$65536,4,0)</f>
        <v>#N/A</v>
      </c>
      <c r="AN3771" s="1" t="e">
        <f>VLOOKUP(C:C,[1]基础信息!B$1:F$65536,5,0)</f>
        <v>#N/A</v>
      </c>
    </row>
    <row r="3772" spans="1:40">
      <c r="A3772" s="1" t="s">
        <v>41</v>
      </c>
      <c r="B3772" s="1" t="s">
        <v>8244</v>
      </c>
      <c r="C3772" s="1" t="s">
        <v>8347</v>
      </c>
      <c r="D3772" s="1" t="s">
        <v>8348</v>
      </c>
      <c r="E3772" s="1" t="s">
        <v>45</v>
      </c>
      <c r="F3772" s="1" t="s">
        <v>8700</v>
      </c>
      <c r="G3772" s="1" t="s">
        <v>8701</v>
      </c>
      <c r="H3772" s="1" t="s">
        <v>45</v>
      </c>
      <c r="I3772" s="1" t="s">
        <v>45</v>
      </c>
      <c r="J3772" s="1" t="s">
        <v>48</v>
      </c>
      <c r="K3772" s="1">
        <v>21</v>
      </c>
      <c r="L3772" s="1">
        <v>0</v>
      </c>
      <c r="M3772" s="1">
        <v>0</v>
      </c>
      <c r="N3772" s="1">
        <v>21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 t="s">
        <v>49</v>
      </c>
      <c r="AA3772" s="1" t="s">
        <v>49</v>
      </c>
      <c r="AB3772" s="1" t="s">
        <v>49</v>
      </c>
      <c r="AC3772" s="1" t="s">
        <v>8422</v>
      </c>
      <c r="AD3772" s="1" t="s">
        <v>8423</v>
      </c>
      <c r="AE3772" s="1" t="s">
        <v>8422</v>
      </c>
      <c r="AF3772" s="1" t="s">
        <v>8525</v>
      </c>
      <c r="AG3772" s="1" t="s">
        <v>8253</v>
      </c>
      <c r="AH3772" s="1" t="s">
        <v>8702</v>
      </c>
      <c r="AI3772" s="1" t="s">
        <v>54</v>
      </c>
      <c r="AJ3772" s="1">
        <v>1</v>
      </c>
      <c r="AK3772" s="1" t="str">
        <f t="shared" si="59"/>
        <v xml:space="preserve"> =&lt;90</v>
      </c>
      <c r="AL3772" s="1" t="e">
        <f>VLOOKUP(C:C,[1]基础信息!B$1:D$65536,3,0)</f>
        <v>#N/A</v>
      </c>
      <c r="AM3772" s="1" t="e">
        <f>VLOOKUP(C:C,[1]基础信息!B$1:E$65536,4,0)</f>
        <v>#N/A</v>
      </c>
      <c r="AN3772" s="1" t="e">
        <f>VLOOKUP(C:C,[1]基础信息!B$1:F$65536,5,0)</f>
        <v>#N/A</v>
      </c>
    </row>
    <row r="3773" spans="1:40">
      <c r="A3773" s="1" t="s">
        <v>41</v>
      </c>
      <c r="B3773" s="1" t="s">
        <v>42</v>
      </c>
      <c r="C3773" s="1" t="s">
        <v>8610</v>
      </c>
      <c r="D3773" s="1" t="s">
        <v>8611</v>
      </c>
      <c r="E3773" s="1" t="s">
        <v>45</v>
      </c>
      <c r="F3773" s="1" t="s">
        <v>8703</v>
      </c>
      <c r="G3773" s="1" t="s">
        <v>8704</v>
      </c>
      <c r="H3773" s="1" t="s">
        <v>8705</v>
      </c>
      <c r="I3773" s="1" t="s">
        <v>45</v>
      </c>
      <c r="J3773" s="1" t="s">
        <v>48</v>
      </c>
      <c r="K3773" s="1">
        <v>1060</v>
      </c>
      <c r="L3773" s="1">
        <v>0</v>
      </c>
      <c r="M3773" s="1">
        <v>0</v>
      </c>
      <c r="N3773" s="1">
        <v>1060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 t="s">
        <v>49</v>
      </c>
      <c r="AA3773" s="1" t="s">
        <v>49</v>
      </c>
      <c r="AB3773" s="1" t="s">
        <v>49</v>
      </c>
      <c r="AC3773" s="1" t="s">
        <v>8706</v>
      </c>
      <c r="AD3773" s="1" t="s">
        <v>8707</v>
      </c>
      <c r="AE3773" s="1" t="s">
        <v>8706</v>
      </c>
      <c r="AF3773" s="1" t="s">
        <v>8708</v>
      </c>
      <c r="AG3773" s="1" t="s">
        <v>4662</v>
      </c>
      <c r="AH3773" s="1" t="s">
        <v>49</v>
      </c>
      <c r="AI3773" s="1" t="s">
        <v>54</v>
      </c>
      <c r="AJ3773" s="1">
        <v>1</v>
      </c>
      <c r="AK3773" s="1" t="str">
        <f t="shared" si="59"/>
        <v xml:space="preserve"> =&lt;90</v>
      </c>
      <c r="AL3773" s="1" t="str">
        <f>VLOOKUP(C:C,[1]基础信息!B$1:D$65536,3,0)</f>
        <v xml:space="preserve">Cartridge </v>
      </c>
      <c r="AM3773" s="1" t="str">
        <f>VLOOKUP(C:C,[1]基础信息!B$1:E$65536,4,0)</f>
        <v>UNIV</v>
      </c>
      <c r="AN3773" s="1" t="str">
        <f>VLOOKUP(C:C,[1]基础信息!B$1:F$65536,5,0)</f>
        <v>P55</v>
      </c>
    </row>
    <row r="3774" spans="1:40">
      <c r="A3774" s="1" t="s">
        <v>41</v>
      </c>
      <c r="B3774" s="1" t="s">
        <v>42</v>
      </c>
      <c r="C3774" s="1" t="s">
        <v>554</v>
      </c>
      <c r="D3774" s="1" t="s">
        <v>555</v>
      </c>
      <c r="E3774" s="1" t="s">
        <v>45</v>
      </c>
      <c r="F3774" s="1" t="s">
        <v>8416</v>
      </c>
      <c r="G3774" s="1" t="s">
        <v>8709</v>
      </c>
      <c r="H3774" s="1" t="s">
        <v>8710</v>
      </c>
      <c r="I3774" s="1" t="s">
        <v>49</v>
      </c>
      <c r="J3774" s="1" t="s">
        <v>48</v>
      </c>
      <c r="K3774" s="1">
        <v>70</v>
      </c>
      <c r="L3774" s="1">
        <v>0</v>
      </c>
      <c r="M3774" s="1">
        <v>0</v>
      </c>
      <c r="N3774" s="1">
        <v>70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 t="s">
        <v>49</v>
      </c>
      <c r="AA3774" s="1" t="s">
        <v>49</v>
      </c>
      <c r="AB3774" s="1" t="s">
        <v>49</v>
      </c>
      <c r="AC3774" s="1" t="s">
        <v>7670</v>
      </c>
      <c r="AD3774" s="1" t="s">
        <v>7671</v>
      </c>
      <c r="AE3774" s="1" t="s">
        <v>7670</v>
      </c>
      <c r="AF3774" s="1" t="s">
        <v>7672</v>
      </c>
      <c r="AG3774" s="1" t="s">
        <v>53</v>
      </c>
      <c r="AH3774" s="1" t="s">
        <v>49</v>
      </c>
      <c r="AI3774" s="1" t="s">
        <v>54</v>
      </c>
      <c r="AJ3774" s="1">
        <v>1</v>
      </c>
      <c r="AK3774" s="1" t="str">
        <f t="shared" si="59"/>
        <v xml:space="preserve"> =&lt;90</v>
      </c>
      <c r="AL3774" s="1" t="str">
        <f>VLOOKUP(C:C,[1]基础信息!B$1:D$65536,3,0)</f>
        <v>Jug</v>
      </c>
      <c r="AM3774" s="1" t="str">
        <f>VLOOKUP(C:C,[1]基础信息!B$1:E$65536,4,0)</f>
        <v>Green Pack</v>
      </c>
      <c r="AN3774" s="1" t="str">
        <f>VLOOKUP(C:C,[1]基础信息!B$1:F$65536,5,0)</f>
        <v>Blue</v>
      </c>
    </row>
    <row r="3775" spans="1:40">
      <c r="A3775" s="1" t="s">
        <v>41</v>
      </c>
      <c r="B3775" s="1" t="s">
        <v>8244</v>
      </c>
      <c r="C3775" s="1" t="s">
        <v>8397</v>
      </c>
      <c r="D3775" s="1" t="s">
        <v>8398</v>
      </c>
      <c r="E3775" s="1" t="s">
        <v>8399</v>
      </c>
      <c r="F3775" s="1" t="s">
        <v>8643</v>
      </c>
      <c r="G3775" s="1" t="s">
        <v>8711</v>
      </c>
      <c r="H3775" s="1" t="s">
        <v>45</v>
      </c>
      <c r="I3775" s="1" t="s">
        <v>45</v>
      </c>
      <c r="J3775" s="1" t="s">
        <v>48</v>
      </c>
      <c r="K3775" s="1">
        <v>56</v>
      </c>
      <c r="L3775" s="1">
        <v>0</v>
      </c>
      <c r="M3775" s="1">
        <v>0</v>
      </c>
      <c r="N3775" s="1">
        <v>56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 t="s">
        <v>49</v>
      </c>
      <c r="AA3775" s="1" t="s">
        <v>49</v>
      </c>
      <c r="AB3775" s="1" t="s">
        <v>49</v>
      </c>
      <c r="AC3775" s="1" t="s">
        <v>7567</v>
      </c>
      <c r="AD3775" s="1" t="s">
        <v>7568</v>
      </c>
      <c r="AE3775" s="1" t="s">
        <v>7567</v>
      </c>
      <c r="AF3775" s="1" t="s">
        <v>8645</v>
      </c>
      <c r="AG3775" s="1" t="s">
        <v>8253</v>
      </c>
      <c r="AH3775" s="1" t="s">
        <v>49</v>
      </c>
      <c r="AI3775" s="1" t="s">
        <v>54</v>
      </c>
      <c r="AJ3775" s="1">
        <v>1</v>
      </c>
      <c r="AK3775" s="1" t="str">
        <f t="shared" si="59"/>
        <v xml:space="preserve"> =&lt;90</v>
      </c>
      <c r="AL3775" s="1" t="e">
        <f>VLOOKUP(C:C,[1]基础信息!B$1:D$65536,3,0)</f>
        <v>#N/A</v>
      </c>
      <c r="AM3775" s="1" t="e">
        <f>VLOOKUP(C:C,[1]基础信息!B$1:E$65536,4,0)</f>
        <v>#N/A</v>
      </c>
      <c r="AN3775" s="1" t="e">
        <f>VLOOKUP(C:C,[1]基础信息!B$1:F$65536,5,0)</f>
        <v>#N/A</v>
      </c>
    </row>
    <row r="3776" spans="1:40">
      <c r="A3776" s="1" t="s">
        <v>41</v>
      </c>
      <c r="B3776" s="1" t="s">
        <v>8244</v>
      </c>
      <c r="C3776" s="1" t="s">
        <v>8347</v>
      </c>
      <c r="D3776" s="1" t="s">
        <v>8348</v>
      </c>
      <c r="E3776" s="1" t="s">
        <v>45</v>
      </c>
      <c r="F3776" s="1" t="s">
        <v>8683</v>
      </c>
      <c r="G3776" s="1" t="s">
        <v>8712</v>
      </c>
      <c r="H3776" s="1" t="s">
        <v>45</v>
      </c>
      <c r="I3776" s="1" t="s">
        <v>45</v>
      </c>
      <c r="J3776" s="1" t="s">
        <v>48</v>
      </c>
      <c r="K3776" s="1">
        <v>32</v>
      </c>
      <c r="L3776" s="1">
        <v>0</v>
      </c>
      <c r="M3776" s="1">
        <v>0</v>
      </c>
      <c r="N3776" s="1">
        <v>32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 t="s">
        <v>49</v>
      </c>
      <c r="AA3776" s="1" t="s">
        <v>49</v>
      </c>
      <c r="AB3776" s="1" t="s">
        <v>49</v>
      </c>
      <c r="AC3776" s="1" t="s">
        <v>8422</v>
      </c>
      <c r="AD3776" s="1" t="s">
        <v>8423</v>
      </c>
      <c r="AE3776" s="1" t="s">
        <v>8422</v>
      </c>
      <c r="AF3776" s="1" t="s">
        <v>8424</v>
      </c>
      <c r="AG3776" s="1" t="s">
        <v>8383</v>
      </c>
      <c r="AH3776" s="1" t="s">
        <v>8354</v>
      </c>
      <c r="AI3776" s="1" t="s">
        <v>54</v>
      </c>
      <c r="AJ3776" s="1">
        <v>1</v>
      </c>
      <c r="AK3776" s="1" t="str">
        <f t="shared" si="59"/>
        <v xml:space="preserve"> =&lt;90</v>
      </c>
      <c r="AL3776" s="1" t="e">
        <f>VLOOKUP(C:C,[1]基础信息!B$1:D$65536,3,0)</f>
        <v>#N/A</v>
      </c>
      <c r="AM3776" s="1" t="e">
        <f>VLOOKUP(C:C,[1]基础信息!B$1:E$65536,4,0)</f>
        <v>#N/A</v>
      </c>
      <c r="AN3776" s="1" t="e">
        <f>VLOOKUP(C:C,[1]基础信息!B$1:F$65536,5,0)</f>
        <v>#N/A</v>
      </c>
    </row>
    <row r="3777" spans="1:40">
      <c r="A3777" s="1" t="s">
        <v>41</v>
      </c>
      <c r="B3777" s="1" t="s">
        <v>42</v>
      </c>
      <c r="C3777" s="1" t="s">
        <v>8610</v>
      </c>
      <c r="D3777" s="1" t="s">
        <v>8611</v>
      </c>
      <c r="E3777" s="1" t="s">
        <v>45</v>
      </c>
      <c r="F3777" s="1" t="s">
        <v>8713</v>
      </c>
      <c r="G3777" s="1" t="s">
        <v>8714</v>
      </c>
      <c r="H3777" s="1" t="s">
        <v>8715</v>
      </c>
      <c r="I3777" s="1" t="s">
        <v>45</v>
      </c>
      <c r="J3777" s="1" t="s">
        <v>48</v>
      </c>
      <c r="K3777" s="1">
        <v>1218</v>
      </c>
      <c r="L3777" s="1">
        <v>0</v>
      </c>
      <c r="M3777" s="1">
        <v>0</v>
      </c>
      <c r="N3777" s="1">
        <v>1218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 t="s">
        <v>49</v>
      </c>
      <c r="AA3777" s="1" t="s">
        <v>49</v>
      </c>
      <c r="AB3777" s="1" t="s">
        <v>49</v>
      </c>
      <c r="AC3777" s="1" t="s">
        <v>8615</v>
      </c>
      <c r="AD3777" s="1" t="s">
        <v>8616</v>
      </c>
      <c r="AE3777" s="1" t="s">
        <v>8615</v>
      </c>
      <c r="AF3777" s="1" t="s">
        <v>8716</v>
      </c>
      <c r="AG3777" s="1" t="s">
        <v>4662</v>
      </c>
      <c r="AH3777" s="1" t="s">
        <v>49</v>
      </c>
      <c r="AI3777" s="1" t="s">
        <v>54</v>
      </c>
      <c r="AJ3777" s="1">
        <v>1</v>
      </c>
      <c r="AK3777" s="1" t="str">
        <f t="shared" si="59"/>
        <v xml:space="preserve"> =&lt;90</v>
      </c>
      <c r="AL3777" s="1" t="str">
        <f>VLOOKUP(C:C,[1]基础信息!B$1:D$65536,3,0)</f>
        <v xml:space="preserve">Cartridge </v>
      </c>
      <c r="AM3777" s="1" t="str">
        <f>VLOOKUP(C:C,[1]基础信息!B$1:E$65536,4,0)</f>
        <v>UNIV</v>
      </c>
      <c r="AN3777" s="1" t="str">
        <f>VLOOKUP(C:C,[1]基础信息!B$1:F$65536,5,0)</f>
        <v>P55</v>
      </c>
    </row>
    <row r="3778" spans="1:40">
      <c r="A3778" s="1" t="s">
        <v>41</v>
      </c>
      <c r="B3778" s="1" t="s">
        <v>8244</v>
      </c>
      <c r="C3778" s="1" t="s">
        <v>8397</v>
      </c>
      <c r="D3778" s="1" t="s">
        <v>8398</v>
      </c>
      <c r="E3778" s="1" t="s">
        <v>8399</v>
      </c>
      <c r="F3778" s="1" t="s">
        <v>8589</v>
      </c>
      <c r="G3778" s="1" t="s">
        <v>8717</v>
      </c>
      <c r="H3778" s="1" t="s">
        <v>45</v>
      </c>
      <c r="I3778" s="1" t="s">
        <v>45</v>
      </c>
      <c r="J3778" s="1" t="s">
        <v>48</v>
      </c>
      <c r="K3778" s="1">
        <v>56</v>
      </c>
      <c r="L3778" s="1">
        <v>0</v>
      </c>
      <c r="M3778" s="1">
        <v>0</v>
      </c>
      <c r="N3778" s="1">
        <v>56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 t="s">
        <v>49</v>
      </c>
      <c r="AA3778" s="1" t="s">
        <v>49</v>
      </c>
      <c r="AB3778" s="1" t="s">
        <v>49</v>
      </c>
      <c r="AC3778" s="1" t="s">
        <v>61</v>
      </c>
      <c r="AD3778" s="1" t="s">
        <v>62</v>
      </c>
      <c r="AE3778" s="1" t="s">
        <v>61</v>
      </c>
      <c r="AF3778" s="1" t="s">
        <v>8591</v>
      </c>
      <c r="AG3778" s="1" t="s">
        <v>8253</v>
      </c>
      <c r="AH3778" s="1" t="s">
        <v>49</v>
      </c>
      <c r="AI3778" s="1" t="s">
        <v>54</v>
      </c>
      <c r="AJ3778" s="1">
        <v>1</v>
      </c>
      <c r="AK3778" s="1" t="str">
        <f t="shared" si="59"/>
        <v xml:space="preserve"> =&lt;90</v>
      </c>
      <c r="AL3778" s="1" t="e">
        <f>VLOOKUP(C:C,[1]基础信息!B$1:D$65536,3,0)</f>
        <v>#N/A</v>
      </c>
      <c r="AM3778" s="1" t="e">
        <f>VLOOKUP(C:C,[1]基础信息!B$1:E$65536,4,0)</f>
        <v>#N/A</v>
      </c>
      <c r="AN3778" s="1" t="e">
        <f>VLOOKUP(C:C,[1]基础信息!B$1:F$65536,5,0)</f>
        <v>#N/A</v>
      </c>
    </row>
    <row r="3779" spans="1:40">
      <c r="A3779" s="1" t="s">
        <v>41</v>
      </c>
      <c r="B3779" s="1" t="s">
        <v>8244</v>
      </c>
      <c r="C3779" s="1" t="s">
        <v>8652</v>
      </c>
      <c r="D3779" s="1" t="s">
        <v>8653</v>
      </c>
      <c r="E3779" s="1" t="s">
        <v>8654</v>
      </c>
      <c r="F3779" s="1" t="s">
        <v>8655</v>
      </c>
      <c r="G3779" s="1" t="s">
        <v>8718</v>
      </c>
      <c r="H3779" s="1" t="s">
        <v>45</v>
      </c>
      <c r="I3779" s="1" t="s">
        <v>45</v>
      </c>
      <c r="J3779" s="1" t="s">
        <v>48</v>
      </c>
      <c r="K3779" s="1">
        <v>72</v>
      </c>
      <c r="L3779" s="1">
        <v>0</v>
      </c>
      <c r="M3779" s="1">
        <v>0</v>
      </c>
      <c r="N3779" s="1">
        <v>72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 t="s">
        <v>49</v>
      </c>
      <c r="AA3779" s="1" t="s">
        <v>49</v>
      </c>
      <c r="AB3779" s="1" t="s">
        <v>49</v>
      </c>
      <c r="AC3779" s="1" t="s">
        <v>8657</v>
      </c>
      <c r="AD3779" s="1" t="s">
        <v>8658</v>
      </c>
      <c r="AE3779" s="1" t="s">
        <v>8657</v>
      </c>
      <c r="AF3779" s="1" t="s">
        <v>8659</v>
      </c>
      <c r="AG3779" s="1" t="s">
        <v>8253</v>
      </c>
      <c r="AH3779" s="1" t="s">
        <v>49</v>
      </c>
      <c r="AI3779" s="1" t="s">
        <v>54</v>
      </c>
      <c r="AJ3779" s="1">
        <v>1</v>
      </c>
      <c r="AK3779" s="1" t="str">
        <f t="shared" si="59"/>
        <v xml:space="preserve"> =&lt;90</v>
      </c>
      <c r="AL3779" s="1" t="e">
        <f>VLOOKUP(C:C,[1]基础信息!B$1:D$65536,3,0)</f>
        <v>#N/A</v>
      </c>
      <c r="AM3779" s="1" t="e">
        <f>VLOOKUP(C:C,[1]基础信息!B$1:E$65536,4,0)</f>
        <v>#N/A</v>
      </c>
      <c r="AN3779" s="1" t="e">
        <f>VLOOKUP(C:C,[1]基础信息!B$1:F$65536,5,0)</f>
        <v>#N/A</v>
      </c>
    </row>
    <row r="3780" spans="1:40">
      <c r="A3780" s="1" t="s">
        <v>41</v>
      </c>
      <c r="B3780" s="1" t="s">
        <v>8244</v>
      </c>
      <c r="C3780" s="1" t="s">
        <v>8347</v>
      </c>
      <c r="D3780" s="1" t="s">
        <v>8348</v>
      </c>
      <c r="E3780" s="1" t="s">
        <v>45</v>
      </c>
      <c r="F3780" s="1" t="s">
        <v>8719</v>
      </c>
      <c r="G3780" s="1" t="s">
        <v>8720</v>
      </c>
      <c r="H3780" s="1" t="s">
        <v>45</v>
      </c>
      <c r="I3780" s="1" t="s">
        <v>45</v>
      </c>
      <c r="J3780" s="1" t="s">
        <v>48</v>
      </c>
      <c r="K3780" s="1">
        <v>22</v>
      </c>
      <c r="L3780" s="1">
        <v>0</v>
      </c>
      <c r="M3780" s="1">
        <v>0</v>
      </c>
      <c r="N3780" s="1">
        <v>22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 t="s">
        <v>49</v>
      </c>
      <c r="AA3780" s="1" t="s">
        <v>49</v>
      </c>
      <c r="AB3780" s="1" t="s">
        <v>49</v>
      </c>
      <c r="AC3780" s="1" t="s">
        <v>7542</v>
      </c>
      <c r="AD3780" s="1" t="s">
        <v>7650</v>
      </c>
      <c r="AE3780" s="1" t="s">
        <v>7542</v>
      </c>
      <c r="AF3780" s="1" t="s">
        <v>8472</v>
      </c>
      <c r="AG3780" s="1" t="s">
        <v>8253</v>
      </c>
      <c r="AH3780" s="1" t="s">
        <v>8639</v>
      </c>
      <c r="AI3780" s="1" t="s">
        <v>54</v>
      </c>
      <c r="AJ3780" s="1">
        <v>1</v>
      </c>
      <c r="AK3780" s="1" t="str">
        <f t="shared" si="59"/>
        <v xml:space="preserve"> =&lt;90</v>
      </c>
      <c r="AL3780" s="1" t="e">
        <f>VLOOKUP(C:C,[1]基础信息!B$1:D$65536,3,0)</f>
        <v>#N/A</v>
      </c>
      <c r="AM3780" s="1" t="e">
        <f>VLOOKUP(C:C,[1]基础信息!B$1:E$65536,4,0)</f>
        <v>#N/A</v>
      </c>
      <c r="AN3780" s="1" t="e">
        <f>VLOOKUP(C:C,[1]基础信息!B$1:F$65536,5,0)</f>
        <v>#N/A</v>
      </c>
    </row>
    <row r="3781" spans="1:40">
      <c r="A3781" s="1" t="s">
        <v>41</v>
      </c>
      <c r="B3781" s="1" t="s">
        <v>42</v>
      </c>
      <c r="C3781" s="1" t="s">
        <v>554</v>
      </c>
      <c r="D3781" s="1" t="s">
        <v>555</v>
      </c>
      <c r="E3781" s="1" t="s">
        <v>45</v>
      </c>
      <c r="F3781" s="1" t="s">
        <v>8416</v>
      </c>
      <c r="G3781" s="1" t="s">
        <v>8721</v>
      </c>
      <c r="H3781" s="1" t="s">
        <v>8722</v>
      </c>
      <c r="I3781" s="1" t="s">
        <v>49</v>
      </c>
      <c r="J3781" s="1" t="s">
        <v>48</v>
      </c>
      <c r="K3781" s="1">
        <v>70</v>
      </c>
      <c r="L3781" s="1">
        <v>0</v>
      </c>
      <c r="M3781" s="1">
        <v>0</v>
      </c>
      <c r="N3781" s="1">
        <v>70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 t="s">
        <v>49</v>
      </c>
      <c r="AA3781" s="1" t="s">
        <v>49</v>
      </c>
      <c r="AB3781" s="1" t="s">
        <v>49</v>
      </c>
      <c r="AC3781" s="1" t="s">
        <v>7670</v>
      </c>
      <c r="AD3781" s="1" t="s">
        <v>7671</v>
      </c>
      <c r="AE3781" s="1" t="s">
        <v>7670</v>
      </c>
      <c r="AF3781" s="1" t="s">
        <v>7672</v>
      </c>
      <c r="AG3781" s="1" t="s">
        <v>53</v>
      </c>
      <c r="AH3781" s="1" t="s">
        <v>49</v>
      </c>
      <c r="AI3781" s="1" t="s">
        <v>54</v>
      </c>
      <c r="AJ3781" s="1">
        <v>1</v>
      </c>
      <c r="AK3781" s="1" t="str">
        <f t="shared" si="59"/>
        <v xml:space="preserve"> =&lt;90</v>
      </c>
      <c r="AL3781" s="1" t="str">
        <f>VLOOKUP(C:C,[1]基础信息!B$1:D$65536,3,0)</f>
        <v>Jug</v>
      </c>
      <c r="AM3781" s="1" t="str">
        <f>VLOOKUP(C:C,[1]基础信息!B$1:E$65536,4,0)</f>
        <v>Green Pack</v>
      </c>
      <c r="AN3781" s="1" t="str">
        <f>VLOOKUP(C:C,[1]基础信息!B$1:F$65536,5,0)</f>
        <v>Blue</v>
      </c>
    </row>
    <row r="3782" spans="1:40">
      <c r="A3782" s="1" t="s">
        <v>41</v>
      </c>
      <c r="B3782" s="1" t="s">
        <v>8244</v>
      </c>
      <c r="C3782" s="1" t="s">
        <v>8622</v>
      </c>
      <c r="D3782" s="1" t="s">
        <v>8623</v>
      </c>
      <c r="E3782" s="1" t="s">
        <v>8624</v>
      </c>
      <c r="F3782" s="1" t="s">
        <v>8723</v>
      </c>
      <c r="G3782" s="1" t="s">
        <v>8724</v>
      </c>
      <c r="H3782" s="1" t="s">
        <v>45</v>
      </c>
      <c r="I3782" s="1" t="s">
        <v>45</v>
      </c>
      <c r="J3782" s="1" t="s">
        <v>48</v>
      </c>
      <c r="K3782" s="1">
        <v>162</v>
      </c>
      <c r="L3782" s="1">
        <v>0</v>
      </c>
      <c r="M3782" s="1">
        <v>0</v>
      </c>
      <c r="N3782" s="1">
        <v>162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 t="s">
        <v>49</v>
      </c>
      <c r="AA3782" s="1" t="s">
        <v>49</v>
      </c>
      <c r="AB3782" s="1" t="s">
        <v>49</v>
      </c>
      <c r="AC3782" s="1" t="s">
        <v>1188</v>
      </c>
      <c r="AD3782" s="1" t="s">
        <v>1189</v>
      </c>
      <c r="AE3782" s="1" t="s">
        <v>1188</v>
      </c>
      <c r="AF3782" s="1" t="s">
        <v>8725</v>
      </c>
      <c r="AG3782" s="1" t="s">
        <v>8253</v>
      </c>
      <c r="AH3782" s="1" t="s">
        <v>49</v>
      </c>
      <c r="AI3782" s="1" t="s">
        <v>54</v>
      </c>
      <c r="AJ3782" s="1">
        <v>1</v>
      </c>
      <c r="AK3782" s="1" t="str">
        <f t="shared" si="59"/>
        <v xml:space="preserve"> =&lt;90</v>
      </c>
      <c r="AL3782" s="1" t="e">
        <f>VLOOKUP(C:C,[1]基础信息!B$1:D$65536,3,0)</f>
        <v>#N/A</v>
      </c>
      <c r="AM3782" s="1" t="e">
        <f>VLOOKUP(C:C,[1]基础信息!B$1:E$65536,4,0)</f>
        <v>#N/A</v>
      </c>
      <c r="AN3782" s="1" t="e">
        <f>VLOOKUP(C:C,[1]基础信息!B$1:F$65536,5,0)</f>
        <v>#N/A</v>
      </c>
    </row>
    <row r="3783" spans="1:40">
      <c r="A3783" s="1" t="s">
        <v>41</v>
      </c>
      <c r="B3783" s="1" t="s">
        <v>8244</v>
      </c>
      <c r="C3783" s="1" t="s">
        <v>8563</v>
      </c>
      <c r="D3783" s="1" t="s">
        <v>8564</v>
      </c>
      <c r="E3783" s="1" t="s">
        <v>45</v>
      </c>
      <c r="F3783" s="1" t="s">
        <v>8726</v>
      </c>
      <c r="G3783" s="1" t="s">
        <v>8727</v>
      </c>
      <c r="H3783" s="1" t="s">
        <v>45</v>
      </c>
      <c r="I3783" s="1" t="s">
        <v>45</v>
      </c>
      <c r="J3783" s="1" t="s">
        <v>48</v>
      </c>
      <c r="K3783" s="1">
        <v>32</v>
      </c>
      <c r="L3783" s="1">
        <v>0</v>
      </c>
      <c r="M3783" s="1">
        <v>0</v>
      </c>
      <c r="N3783" s="1">
        <v>32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 t="s">
        <v>49</v>
      </c>
      <c r="AA3783" s="1" t="s">
        <v>49</v>
      </c>
      <c r="AB3783" s="1" t="s">
        <v>49</v>
      </c>
      <c r="AC3783" s="1" t="s">
        <v>8567</v>
      </c>
      <c r="AD3783" s="1" t="s">
        <v>8568</v>
      </c>
      <c r="AE3783" s="1" t="s">
        <v>8567</v>
      </c>
      <c r="AF3783" s="1" t="s">
        <v>8728</v>
      </c>
      <c r="AG3783" s="1" t="s">
        <v>8253</v>
      </c>
      <c r="AH3783" s="1" t="s">
        <v>49</v>
      </c>
      <c r="AI3783" s="1" t="s">
        <v>54</v>
      </c>
      <c r="AJ3783" s="1">
        <v>1</v>
      </c>
      <c r="AK3783" s="1" t="str">
        <f t="shared" si="59"/>
        <v xml:space="preserve"> =&lt;90</v>
      </c>
      <c r="AL3783" s="1" t="e">
        <f>VLOOKUP(C:C,[1]基础信息!B$1:D$65536,3,0)</f>
        <v>#N/A</v>
      </c>
      <c r="AM3783" s="1" t="e">
        <f>VLOOKUP(C:C,[1]基础信息!B$1:E$65536,4,0)</f>
        <v>#N/A</v>
      </c>
      <c r="AN3783" s="1" t="e">
        <f>VLOOKUP(C:C,[1]基础信息!B$1:F$65536,5,0)</f>
        <v>#N/A</v>
      </c>
    </row>
    <row r="3784" spans="1:40">
      <c r="A3784" s="1" t="s">
        <v>41</v>
      </c>
      <c r="B3784" s="1" t="s">
        <v>8244</v>
      </c>
      <c r="C3784" s="1" t="s">
        <v>8347</v>
      </c>
      <c r="D3784" s="1" t="s">
        <v>8348</v>
      </c>
      <c r="E3784" s="1" t="s">
        <v>45</v>
      </c>
      <c r="F3784" s="1" t="s">
        <v>8719</v>
      </c>
      <c r="G3784" s="1" t="s">
        <v>8729</v>
      </c>
      <c r="H3784" s="1" t="s">
        <v>45</v>
      </c>
      <c r="I3784" s="1" t="s">
        <v>45</v>
      </c>
      <c r="J3784" s="1" t="s">
        <v>48</v>
      </c>
      <c r="K3784" s="1">
        <v>32</v>
      </c>
      <c r="L3784" s="1">
        <v>0</v>
      </c>
      <c r="M3784" s="1">
        <v>0</v>
      </c>
      <c r="N3784" s="1">
        <v>32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 t="s">
        <v>49</v>
      </c>
      <c r="AA3784" s="1" t="s">
        <v>49</v>
      </c>
      <c r="AB3784" s="1" t="s">
        <v>49</v>
      </c>
      <c r="AC3784" s="1" t="s">
        <v>7542</v>
      </c>
      <c r="AD3784" s="1" t="s">
        <v>7650</v>
      </c>
      <c r="AE3784" s="1" t="s">
        <v>7542</v>
      </c>
      <c r="AF3784" s="1" t="s">
        <v>8472</v>
      </c>
      <c r="AG3784" s="1" t="s">
        <v>8253</v>
      </c>
      <c r="AH3784" s="1" t="s">
        <v>8639</v>
      </c>
      <c r="AI3784" s="1" t="s">
        <v>54</v>
      </c>
      <c r="AJ3784" s="1">
        <v>1</v>
      </c>
      <c r="AK3784" s="1" t="str">
        <f t="shared" si="59"/>
        <v xml:space="preserve"> =&lt;90</v>
      </c>
      <c r="AL3784" s="1" t="e">
        <f>VLOOKUP(C:C,[1]基础信息!B$1:D$65536,3,0)</f>
        <v>#N/A</v>
      </c>
      <c r="AM3784" s="1" t="e">
        <f>VLOOKUP(C:C,[1]基础信息!B$1:E$65536,4,0)</f>
        <v>#N/A</v>
      </c>
      <c r="AN3784" s="1" t="e">
        <f>VLOOKUP(C:C,[1]基础信息!B$1:F$65536,5,0)</f>
        <v>#N/A</v>
      </c>
    </row>
    <row r="3785" spans="1:40">
      <c r="A3785" s="1" t="s">
        <v>41</v>
      </c>
      <c r="B3785" s="1" t="s">
        <v>42</v>
      </c>
      <c r="C3785" s="1" t="s">
        <v>554</v>
      </c>
      <c r="D3785" s="1" t="s">
        <v>555</v>
      </c>
      <c r="E3785" s="1" t="s">
        <v>45</v>
      </c>
      <c r="F3785" s="1" t="s">
        <v>8416</v>
      </c>
      <c r="G3785" s="1" t="s">
        <v>8730</v>
      </c>
      <c r="H3785" s="1" t="s">
        <v>8731</v>
      </c>
      <c r="I3785" s="1" t="s">
        <v>49</v>
      </c>
      <c r="J3785" s="1" t="s">
        <v>48</v>
      </c>
      <c r="K3785" s="1">
        <v>70</v>
      </c>
      <c r="L3785" s="1">
        <v>0</v>
      </c>
      <c r="M3785" s="1">
        <v>0</v>
      </c>
      <c r="N3785" s="1">
        <v>70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 t="s">
        <v>49</v>
      </c>
      <c r="AA3785" s="1" t="s">
        <v>49</v>
      </c>
      <c r="AB3785" s="1" t="s">
        <v>49</v>
      </c>
      <c r="AC3785" s="1" t="s">
        <v>7670</v>
      </c>
      <c r="AD3785" s="1" t="s">
        <v>7671</v>
      </c>
      <c r="AE3785" s="1" t="s">
        <v>7670</v>
      </c>
      <c r="AF3785" s="1" t="s">
        <v>7672</v>
      </c>
      <c r="AG3785" s="1" t="s">
        <v>53</v>
      </c>
      <c r="AH3785" s="1" t="s">
        <v>49</v>
      </c>
      <c r="AI3785" s="1" t="s">
        <v>54</v>
      </c>
      <c r="AJ3785" s="1">
        <v>1</v>
      </c>
      <c r="AK3785" s="1" t="str">
        <f t="shared" si="59"/>
        <v xml:space="preserve"> =&lt;90</v>
      </c>
      <c r="AL3785" s="1" t="str">
        <f>VLOOKUP(C:C,[1]基础信息!B$1:D$65536,3,0)</f>
        <v>Jug</v>
      </c>
      <c r="AM3785" s="1" t="str">
        <f>VLOOKUP(C:C,[1]基础信息!B$1:E$65536,4,0)</f>
        <v>Green Pack</v>
      </c>
      <c r="AN3785" s="1" t="str">
        <f>VLOOKUP(C:C,[1]基础信息!B$1:F$65536,5,0)</f>
        <v>Blue</v>
      </c>
    </row>
    <row r="3786" spans="1:40">
      <c r="A3786" s="1" t="s">
        <v>41</v>
      </c>
      <c r="B3786" s="1" t="s">
        <v>8244</v>
      </c>
      <c r="C3786" s="1" t="s">
        <v>8397</v>
      </c>
      <c r="D3786" s="1" t="s">
        <v>8398</v>
      </c>
      <c r="E3786" s="1" t="s">
        <v>8399</v>
      </c>
      <c r="F3786" s="1" t="s">
        <v>8589</v>
      </c>
      <c r="G3786" s="1" t="s">
        <v>8732</v>
      </c>
      <c r="H3786" s="1" t="s">
        <v>45</v>
      </c>
      <c r="I3786" s="1" t="s">
        <v>45</v>
      </c>
      <c r="J3786" s="1" t="s">
        <v>48</v>
      </c>
      <c r="K3786" s="1">
        <v>56</v>
      </c>
      <c r="L3786" s="1">
        <v>0</v>
      </c>
      <c r="M3786" s="1">
        <v>0</v>
      </c>
      <c r="N3786" s="1">
        <v>56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 t="s">
        <v>49</v>
      </c>
      <c r="AA3786" s="1" t="s">
        <v>49</v>
      </c>
      <c r="AB3786" s="1" t="s">
        <v>49</v>
      </c>
      <c r="AC3786" s="1" t="s">
        <v>61</v>
      </c>
      <c r="AD3786" s="1" t="s">
        <v>62</v>
      </c>
      <c r="AE3786" s="1" t="s">
        <v>61</v>
      </c>
      <c r="AF3786" s="1" t="s">
        <v>8591</v>
      </c>
      <c r="AG3786" s="1" t="s">
        <v>8253</v>
      </c>
      <c r="AH3786" s="1" t="s">
        <v>49</v>
      </c>
      <c r="AI3786" s="1" t="s">
        <v>54</v>
      </c>
      <c r="AJ3786" s="1">
        <v>1</v>
      </c>
      <c r="AK3786" s="1" t="str">
        <f t="shared" si="59"/>
        <v xml:space="preserve"> =&lt;90</v>
      </c>
      <c r="AL3786" s="1" t="e">
        <f>VLOOKUP(C:C,[1]基础信息!B$1:D$65536,3,0)</f>
        <v>#N/A</v>
      </c>
      <c r="AM3786" s="1" t="e">
        <f>VLOOKUP(C:C,[1]基础信息!B$1:E$65536,4,0)</f>
        <v>#N/A</v>
      </c>
      <c r="AN3786" s="1" t="e">
        <f>VLOOKUP(C:C,[1]基础信息!B$1:F$65536,5,0)</f>
        <v>#N/A</v>
      </c>
    </row>
    <row r="3787" spans="1:40">
      <c r="A3787" s="1" t="s">
        <v>41</v>
      </c>
      <c r="B3787" s="1" t="s">
        <v>8244</v>
      </c>
      <c r="C3787" s="1" t="s">
        <v>8581</v>
      </c>
      <c r="D3787" s="1" t="s">
        <v>8582</v>
      </c>
      <c r="E3787" s="1" t="s">
        <v>45</v>
      </c>
      <c r="F3787" s="1" t="s">
        <v>8733</v>
      </c>
      <c r="G3787" s="1" t="s">
        <v>8734</v>
      </c>
      <c r="H3787" s="1" t="s">
        <v>45</v>
      </c>
      <c r="I3787" s="1" t="s">
        <v>45</v>
      </c>
      <c r="J3787" s="1" t="s">
        <v>48</v>
      </c>
      <c r="K3787" s="1">
        <v>42</v>
      </c>
      <c r="L3787" s="1">
        <v>0</v>
      </c>
      <c r="M3787" s="1">
        <v>0</v>
      </c>
      <c r="N3787" s="1">
        <v>42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 t="s">
        <v>49</v>
      </c>
      <c r="AA3787" s="1" t="s">
        <v>49</v>
      </c>
      <c r="AB3787" s="1" t="s">
        <v>49</v>
      </c>
      <c r="AC3787" s="1" t="s">
        <v>8567</v>
      </c>
      <c r="AD3787" s="1" t="s">
        <v>8568</v>
      </c>
      <c r="AE3787" s="1" t="s">
        <v>8567</v>
      </c>
      <c r="AF3787" s="1" t="s">
        <v>8735</v>
      </c>
      <c r="AG3787" s="1" t="s">
        <v>8253</v>
      </c>
      <c r="AH3787" s="1" t="s">
        <v>49</v>
      </c>
      <c r="AI3787" s="1" t="s">
        <v>54</v>
      </c>
      <c r="AJ3787" s="1">
        <v>1</v>
      </c>
      <c r="AK3787" s="1" t="str">
        <f t="shared" si="59"/>
        <v xml:space="preserve"> =&lt;90</v>
      </c>
      <c r="AL3787" s="1" t="e">
        <f>VLOOKUP(C:C,[1]基础信息!B$1:D$65536,3,0)</f>
        <v>#N/A</v>
      </c>
      <c r="AM3787" s="1" t="e">
        <f>VLOOKUP(C:C,[1]基础信息!B$1:E$65536,4,0)</f>
        <v>#N/A</v>
      </c>
      <c r="AN3787" s="1" t="e">
        <f>VLOOKUP(C:C,[1]基础信息!B$1:F$65536,5,0)</f>
        <v>#N/A</v>
      </c>
    </row>
    <row r="3788" spans="1:40">
      <c r="A3788" s="1" t="s">
        <v>41</v>
      </c>
      <c r="B3788" s="1" t="s">
        <v>42</v>
      </c>
      <c r="C3788" s="1" t="s">
        <v>554</v>
      </c>
      <c r="D3788" s="1" t="s">
        <v>555</v>
      </c>
      <c r="E3788" s="1" t="s">
        <v>45</v>
      </c>
      <c r="F3788" s="1" t="s">
        <v>8416</v>
      </c>
      <c r="G3788" s="1" t="s">
        <v>8736</v>
      </c>
      <c r="H3788" s="1" t="s">
        <v>8737</v>
      </c>
      <c r="I3788" s="1" t="s">
        <v>49</v>
      </c>
      <c r="J3788" s="1" t="s">
        <v>48</v>
      </c>
      <c r="K3788" s="1">
        <v>70</v>
      </c>
      <c r="L3788" s="1">
        <v>0</v>
      </c>
      <c r="M3788" s="1">
        <v>0</v>
      </c>
      <c r="N3788" s="1">
        <v>70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 t="s">
        <v>49</v>
      </c>
      <c r="AA3788" s="1" t="s">
        <v>49</v>
      </c>
      <c r="AB3788" s="1" t="s">
        <v>49</v>
      </c>
      <c r="AC3788" s="1" t="s">
        <v>7670</v>
      </c>
      <c r="AD3788" s="1" t="s">
        <v>7671</v>
      </c>
      <c r="AE3788" s="1" t="s">
        <v>7670</v>
      </c>
      <c r="AF3788" s="1" t="s">
        <v>7672</v>
      </c>
      <c r="AG3788" s="1" t="s">
        <v>53</v>
      </c>
      <c r="AH3788" s="1" t="s">
        <v>49</v>
      </c>
      <c r="AI3788" s="1" t="s">
        <v>54</v>
      </c>
      <c r="AJ3788" s="1">
        <v>1</v>
      </c>
      <c r="AK3788" s="1" t="str">
        <f t="shared" si="59"/>
        <v xml:space="preserve"> =&lt;90</v>
      </c>
      <c r="AL3788" s="1" t="str">
        <f>VLOOKUP(C:C,[1]基础信息!B$1:D$65536,3,0)</f>
        <v>Jug</v>
      </c>
      <c r="AM3788" s="1" t="str">
        <f>VLOOKUP(C:C,[1]基础信息!B$1:E$65536,4,0)</f>
        <v>Green Pack</v>
      </c>
      <c r="AN3788" s="1" t="str">
        <f>VLOOKUP(C:C,[1]基础信息!B$1:F$65536,5,0)</f>
        <v>Blue</v>
      </c>
    </row>
    <row r="3789" spans="1:40">
      <c r="A3789" s="1" t="s">
        <v>41</v>
      </c>
      <c r="B3789" s="1" t="s">
        <v>8244</v>
      </c>
      <c r="C3789" s="1" t="s">
        <v>8397</v>
      </c>
      <c r="D3789" s="1" t="s">
        <v>8398</v>
      </c>
      <c r="E3789" s="1" t="s">
        <v>8399</v>
      </c>
      <c r="F3789" s="1" t="s">
        <v>8643</v>
      </c>
      <c r="G3789" s="1" t="s">
        <v>8738</v>
      </c>
      <c r="H3789" s="1" t="s">
        <v>45</v>
      </c>
      <c r="I3789" s="1" t="s">
        <v>45</v>
      </c>
      <c r="J3789" s="1" t="s">
        <v>48</v>
      </c>
      <c r="K3789" s="1">
        <v>56</v>
      </c>
      <c r="L3789" s="1">
        <v>0</v>
      </c>
      <c r="M3789" s="1">
        <v>0</v>
      </c>
      <c r="N3789" s="1">
        <v>56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 t="s">
        <v>49</v>
      </c>
      <c r="AA3789" s="1" t="s">
        <v>49</v>
      </c>
      <c r="AB3789" s="1" t="s">
        <v>49</v>
      </c>
      <c r="AC3789" s="1" t="s">
        <v>7567</v>
      </c>
      <c r="AD3789" s="1" t="s">
        <v>7568</v>
      </c>
      <c r="AE3789" s="1" t="s">
        <v>7567</v>
      </c>
      <c r="AF3789" s="1" t="s">
        <v>8645</v>
      </c>
      <c r="AG3789" s="1" t="s">
        <v>8253</v>
      </c>
      <c r="AH3789" s="1" t="s">
        <v>49</v>
      </c>
      <c r="AI3789" s="1" t="s">
        <v>54</v>
      </c>
      <c r="AJ3789" s="1">
        <v>1</v>
      </c>
      <c r="AK3789" s="1" t="str">
        <f t="shared" si="59"/>
        <v xml:space="preserve"> =&lt;90</v>
      </c>
      <c r="AL3789" s="1" t="e">
        <f>VLOOKUP(C:C,[1]基础信息!B$1:D$65536,3,0)</f>
        <v>#N/A</v>
      </c>
      <c r="AM3789" s="1" t="e">
        <f>VLOOKUP(C:C,[1]基础信息!B$1:E$65536,4,0)</f>
        <v>#N/A</v>
      </c>
      <c r="AN3789" s="1" t="e">
        <f>VLOOKUP(C:C,[1]基础信息!B$1:F$65536,5,0)</f>
        <v>#N/A</v>
      </c>
    </row>
    <row r="3790" spans="1:40">
      <c r="A3790" s="1" t="s">
        <v>41</v>
      </c>
      <c r="B3790" s="1" t="s">
        <v>8244</v>
      </c>
      <c r="C3790" s="1" t="s">
        <v>8347</v>
      </c>
      <c r="D3790" s="1" t="s">
        <v>8348</v>
      </c>
      <c r="E3790" s="1" t="s">
        <v>45</v>
      </c>
      <c r="F3790" s="1" t="s">
        <v>8739</v>
      </c>
      <c r="G3790" s="1" t="s">
        <v>8740</v>
      </c>
      <c r="H3790" s="1" t="s">
        <v>8741</v>
      </c>
      <c r="I3790" s="1" t="s">
        <v>49</v>
      </c>
      <c r="J3790" s="1" t="s">
        <v>48</v>
      </c>
      <c r="K3790" s="1">
        <v>19</v>
      </c>
      <c r="L3790" s="1">
        <v>0</v>
      </c>
      <c r="M3790" s="1">
        <v>0</v>
      </c>
      <c r="N3790" s="1">
        <v>19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 t="s">
        <v>49</v>
      </c>
      <c r="AA3790" s="1" t="s">
        <v>49</v>
      </c>
      <c r="AB3790" s="1" t="s">
        <v>49</v>
      </c>
      <c r="AC3790" s="1" t="s">
        <v>8351</v>
      </c>
      <c r="AD3790" s="1" t="s">
        <v>8352</v>
      </c>
      <c r="AE3790" s="1" t="s">
        <v>8351</v>
      </c>
      <c r="AF3790" s="1" t="s">
        <v>8439</v>
      </c>
      <c r="AG3790" s="1" t="s">
        <v>8383</v>
      </c>
      <c r="AH3790" s="1" t="s">
        <v>8440</v>
      </c>
      <c r="AI3790" s="1" t="s">
        <v>54</v>
      </c>
      <c r="AJ3790" s="1">
        <v>1</v>
      </c>
      <c r="AK3790" s="1" t="str">
        <f t="shared" si="59"/>
        <v xml:space="preserve"> =&lt;90</v>
      </c>
      <c r="AL3790" s="1" t="e">
        <f>VLOOKUP(C:C,[1]基础信息!B$1:D$65536,3,0)</f>
        <v>#N/A</v>
      </c>
      <c r="AM3790" s="1" t="e">
        <f>VLOOKUP(C:C,[1]基础信息!B$1:E$65536,4,0)</f>
        <v>#N/A</v>
      </c>
      <c r="AN3790" s="1" t="e">
        <f>VLOOKUP(C:C,[1]基础信息!B$1:F$65536,5,0)</f>
        <v>#N/A</v>
      </c>
    </row>
    <row r="3791" spans="1:40">
      <c r="A3791" s="1" t="s">
        <v>41</v>
      </c>
      <c r="B3791" s="1" t="s">
        <v>8244</v>
      </c>
      <c r="C3791" s="1" t="s">
        <v>8742</v>
      </c>
      <c r="D3791" s="1" t="s">
        <v>8743</v>
      </c>
      <c r="E3791" s="1" t="s">
        <v>8744</v>
      </c>
      <c r="F3791" s="1" t="s">
        <v>8745</v>
      </c>
      <c r="G3791" s="1" t="s">
        <v>8746</v>
      </c>
      <c r="H3791" s="1" t="s">
        <v>45</v>
      </c>
      <c r="I3791" s="1" t="s">
        <v>45</v>
      </c>
      <c r="J3791" s="1" t="s">
        <v>48</v>
      </c>
      <c r="K3791" s="1">
        <v>360</v>
      </c>
      <c r="L3791" s="1">
        <v>0</v>
      </c>
      <c r="M3791" s="1">
        <v>0</v>
      </c>
      <c r="N3791" s="1">
        <v>360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 t="s">
        <v>49</v>
      </c>
      <c r="AA3791" s="1" t="s">
        <v>49</v>
      </c>
      <c r="AB3791" s="1" t="s">
        <v>49</v>
      </c>
      <c r="AC3791" s="1" t="s">
        <v>376</v>
      </c>
      <c r="AD3791" s="1" t="s">
        <v>377</v>
      </c>
      <c r="AE3791" s="1" t="s">
        <v>376</v>
      </c>
      <c r="AF3791" s="1" t="s">
        <v>8747</v>
      </c>
      <c r="AG3791" s="1" t="s">
        <v>8253</v>
      </c>
      <c r="AH3791" s="1" t="s">
        <v>49</v>
      </c>
      <c r="AI3791" s="1" t="s">
        <v>54</v>
      </c>
      <c r="AJ3791" s="1">
        <v>1</v>
      </c>
      <c r="AK3791" s="1" t="str">
        <f t="shared" si="59"/>
        <v xml:space="preserve"> =&lt;90</v>
      </c>
      <c r="AL3791" s="1" t="e">
        <f>VLOOKUP(C:C,[1]基础信息!B$1:D$65536,3,0)</f>
        <v>#N/A</v>
      </c>
      <c r="AM3791" s="1" t="e">
        <f>VLOOKUP(C:C,[1]基础信息!B$1:E$65536,4,0)</f>
        <v>#N/A</v>
      </c>
      <c r="AN3791" s="1" t="e">
        <f>VLOOKUP(C:C,[1]基础信息!B$1:F$65536,5,0)</f>
        <v>#N/A</v>
      </c>
    </row>
    <row r="3792" spans="1:40">
      <c r="A3792" s="1" t="s">
        <v>41</v>
      </c>
      <c r="B3792" s="1" t="s">
        <v>42</v>
      </c>
      <c r="C3792" s="1" t="s">
        <v>8373</v>
      </c>
      <c r="D3792" s="1" t="s">
        <v>8374</v>
      </c>
      <c r="E3792" s="1" t="s">
        <v>45</v>
      </c>
      <c r="F3792" s="1" t="s">
        <v>8748</v>
      </c>
      <c r="G3792" s="1" t="s">
        <v>8749</v>
      </c>
      <c r="H3792" s="1" t="s">
        <v>45</v>
      </c>
      <c r="I3792" s="1" t="s">
        <v>45</v>
      </c>
      <c r="J3792" s="1" t="s">
        <v>48</v>
      </c>
      <c r="K3792" s="1">
        <v>36</v>
      </c>
      <c r="L3792" s="1">
        <v>0</v>
      </c>
      <c r="M3792" s="1">
        <v>0</v>
      </c>
      <c r="N3792" s="1">
        <v>36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 t="s">
        <v>49</v>
      </c>
      <c r="AA3792" s="1" t="s">
        <v>49</v>
      </c>
      <c r="AB3792" s="1" t="s">
        <v>49</v>
      </c>
      <c r="AC3792" s="1" t="s">
        <v>8377</v>
      </c>
      <c r="AD3792" s="1" t="s">
        <v>8378</v>
      </c>
      <c r="AE3792" s="1" t="s">
        <v>8377</v>
      </c>
      <c r="AF3792" s="1" t="s">
        <v>8750</v>
      </c>
      <c r="AG3792" s="1" t="s">
        <v>53</v>
      </c>
      <c r="AH3792" s="1" t="s">
        <v>49</v>
      </c>
      <c r="AI3792" s="1" t="s">
        <v>54</v>
      </c>
      <c r="AJ3792" s="1">
        <v>1</v>
      </c>
      <c r="AK3792" s="1" t="str">
        <f t="shared" si="59"/>
        <v xml:space="preserve"> =&lt;90</v>
      </c>
      <c r="AL3792" s="1" t="str">
        <f>VLOOKUP(C:C,[1]基础信息!B$1:D$65536,3,0)</f>
        <v>Hotcup</v>
      </c>
      <c r="AM3792" s="1" t="str">
        <f>VLOOKUP(C:C,[1]基础信息!B$1:E$65536,4,0)</f>
        <v>Hotcup</v>
      </c>
      <c r="AN3792" s="1" t="str">
        <f>VLOOKUP(C:C,[1]基础信息!B$1:F$65536,5,0)</f>
        <v>whi</v>
      </c>
    </row>
    <row r="3793" spans="1:40">
      <c r="A3793" s="1" t="s">
        <v>41</v>
      </c>
      <c r="B3793" s="1" t="s">
        <v>42</v>
      </c>
      <c r="C3793" s="1" t="s">
        <v>554</v>
      </c>
      <c r="D3793" s="1" t="s">
        <v>555</v>
      </c>
      <c r="E3793" s="1" t="s">
        <v>45</v>
      </c>
      <c r="F3793" s="1" t="s">
        <v>8416</v>
      </c>
      <c r="G3793" s="1" t="s">
        <v>8751</v>
      </c>
      <c r="H3793" s="1" t="s">
        <v>8752</v>
      </c>
      <c r="I3793" s="1" t="s">
        <v>49</v>
      </c>
      <c r="J3793" s="1" t="s">
        <v>48</v>
      </c>
      <c r="K3793" s="1">
        <v>70</v>
      </c>
      <c r="L3793" s="1">
        <v>0</v>
      </c>
      <c r="M3793" s="1">
        <v>0</v>
      </c>
      <c r="N3793" s="1">
        <v>70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 t="s">
        <v>49</v>
      </c>
      <c r="AA3793" s="1" t="s">
        <v>49</v>
      </c>
      <c r="AB3793" s="1" t="s">
        <v>49</v>
      </c>
      <c r="AC3793" s="1" t="s">
        <v>7670</v>
      </c>
      <c r="AD3793" s="1" t="s">
        <v>7671</v>
      </c>
      <c r="AE3793" s="1" t="s">
        <v>7670</v>
      </c>
      <c r="AF3793" s="1" t="s">
        <v>7672</v>
      </c>
      <c r="AG3793" s="1" t="s">
        <v>53</v>
      </c>
      <c r="AH3793" s="1" t="s">
        <v>49</v>
      </c>
      <c r="AI3793" s="1" t="s">
        <v>54</v>
      </c>
      <c r="AJ3793" s="1">
        <v>1</v>
      </c>
      <c r="AK3793" s="1" t="str">
        <f t="shared" si="59"/>
        <v xml:space="preserve"> =&lt;90</v>
      </c>
      <c r="AL3793" s="1" t="str">
        <f>VLOOKUP(C:C,[1]基础信息!B$1:D$65536,3,0)</f>
        <v>Jug</v>
      </c>
      <c r="AM3793" s="1" t="str">
        <f>VLOOKUP(C:C,[1]基础信息!B$1:E$65536,4,0)</f>
        <v>Green Pack</v>
      </c>
      <c r="AN3793" s="1" t="str">
        <f>VLOOKUP(C:C,[1]基础信息!B$1:F$65536,5,0)</f>
        <v>Blue</v>
      </c>
    </row>
    <row r="3794" spans="1:40">
      <c r="A3794" s="1" t="s">
        <v>41</v>
      </c>
      <c r="B3794" s="1" t="s">
        <v>8244</v>
      </c>
      <c r="C3794" s="1" t="s">
        <v>8347</v>
      </c>
      <c r="D3794" s="1" t="s">
        <v>8348</v>
      </c>
      <c r="E3794" s="1" t="s">
        <v>45</v>
      </c>
      <c r="F3794" s="1" t="s">
        <v>8753</v>
      </c>
      <c r="G3794" s="1" t="s">
        <v>8754</v>
      </c>
      <c r="H3794" s="1" t="s">
        <v>45</v>
      </c>
      <c r="I3794" s="1" t="s">
        <v>45</v>
      </c>
      <c r="J3794" s="1" t="s">
        <v>48</v>
      </c>
      <c r="K3794" s="1">
        <v>32</v>
      </c>
      <c r="L3794" s="1">
        <v>0</v>
      </c>
      <c r="M3794" s="1">
        <v>0</v>
      </c>
      <c r="N3794" s="1">
        <v>32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 t="s">
        <v>49</v>
      </c>
      <c r="AA3794" s="1" t="s">
        <v>49</v>
      </c>
      <c r="AB3794" s="1" t="s">
        <v>49</v>
      </c>
      <c r="AC3794" s="1" t="s">
        <v>8422</v>
      </c>
      <c r="AD3794" s="1" t="s">
        <v>8423</v>
      </c>
      <c r="AE3794" s="1" t="s">
        <v>8422</v>
      </c>
      <c r="AF3794" s="1" t="s">
        <v>8557</v>
      </c>
      <c r="AG3794" s="1" t="s">
        <v>8253</v>
      </c>
      <c r="AH3794" s="1" t="s">
        <v>8702</v>
      </c>
      <c r="AI3794" s="1" t="s">
        <v>54</v>
      </c>
      <c r="AJ3794" s="1">
        <v>1</v>
      </c>
      <c r="AK3794" s="1" t="str">
        <f t="shared" si="59"/>
        <v xml:space="preserve"> =&lt;90</v>
      </c>
      <c r="AL3794" s="1" t="e">
        <f>VLOOKUP(C:C,[1]基础信息!B$1:D$65536,3,0)</f>
        <v>#N/A</v>
      </c>
      <c r="AM3794" s="1" t="e">
        <f>VLOOKUP(C:C,[1]基础信息!B$1:E$65536,4,0)</f>
        <v>#N/A</v>
      </c>
      <c r="AN3794" s="1" t="e">
        <f>VLOOKUP(C:C,[1]基础信息!B$1:F$65536,5,0)</f>
        <v>#N/A</v>
      </c>
    </row>
    <row r="3795" spans="1:40">
      <c r="A3795" s="1" t="s">
        <v>41</v>
      </c>
      <c r="B3795" s="1" t="s">
        <v>8244</v>
      </c>
      <c r="C3795" s="1" t="s">
        <v>8347</v>
      </c>
      <c r="D3795" s="1" t="s">
        <v>8348</v>
      </c>
      <c r="E3795" s="1" t="s">
        <v>45</v>
      </c>
      <c r="F3795" s="1" t="s">
        <v>8755</v>
      </c>
      <c r="G3795" s="1" t="s">
        <v>8756</v>
      </c>
      <c r="H3795" s="1" t="s">
        <v>45</v>
      </c>
      <c r="I3795" s="1" t="s">
        <v>45</v>
      </c>
      <c r="J3795" s="1" t="s">
        <v>48</v>
      </c>
      <c r="K3795" s="1">
        <v>32</v>
      </c>
      <c r="L3795" s="1">
        <v>0</v>
      </c>
      <c r="M3795" s="1">
        <v>0</v>
      </c>
      <c r="N3795" s="1">
        <v>32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 t="s">
        <v>49</v>
      </c>
      <c r="AA3795" s="1" t="s">
        <v>49</v>
      </c>
      <c r="AB3795" s="1" t="s">
        <v>49</v>
      </c>
      <c r="AC3795" s="1" t="s">
        <v>8370</v>
      </c>
      <c r="AD3795" s="1" t="s">
        <v>8371</v>
      </c>
      <c r="AE3795" s="1" t="s">
        <v>8370</v>
      </c>
      <c r="AF3795" s="1" t="s">
        <v>8382</v>
      </c>
      <c r="AG3795" s="1" t="s">
        <v>8253</v>
      </c>
      <c r="AH3795" s="1" t="s">
        <v>8702</v>
      </c>
      <c r="AI3795" s="1" t="s">
        <v>54</v>
      </c>
      <c r="AJ3795" s="1">
        <v>1</v>
      </c>
      <c r="AK3795" s="1" t="str">
        <f t="shared" si="59"/>
        <v xml:space="preserve"> =&lt;90</v>
      </c>
      <c r="AL3795" s="1" t="e">
        <f>VLOOKUP(C:C,[1]基础信息!B$1:D$65536,3,0)</f>
        <v>#N/A</v>
      </c>
      <c r="AM3795" s="1" t="e">
        <f>VLOOKUP(C:C,[1]基础信息!B$1:E$65536,4,0)</f>
        <v>#N/A</v>
      </c>
      <c r="AN3795" s="1" t="e">
        <f>VLOOKUP(C:C,[1]基础信息!B$1:F$65536,5,0)</f>
        <v>#N/A</v>
      </c>
    </row>
    <row r="3796" spans="1:40">
      <c r="A3796" s="1" t="s">
        <v>41</v>
      </c>
      <c r="B3796" s="1" t="s">
        <v>42</v>
      </c>
      <c r="C3796" s="1" t="s">
        <v>554</v>
      </c>
      <c r="D3796" s="1" t="s">
        <v>555</v>
      </c>
      <c r="E3796" s="1" t="s">
        <v>45</v>
      </c>
      <c r="F3796" s="1" t="s">
        <v>8416</v>
      </c>
      <c r="G3796" s="1" t="s">
        <v>8757</v>
      </c>
      <c r="H3796" s="1" t="s">
        <v>8758</v>
      </c>
      <c r="I3796" s="1" t="s">
        <v>49</v>
      </c>
      <c r="J3796" s="1" t="s">
        <v>48</v>
      </c>
      <c r="K3796" s="1">
        <v>70</v>
      </c>
      <c r="L3796" s="1">
        <v>0</v>
      </c>
      <c r="M3796" s="1">
        <v>0</v>
      </c>
      <c r="N3796" s="1">
        <v>70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 t="s">
        <v>49</v>
      </c>
      <c r="AA3796" s="1" t="s">
        <v>49</v>
      </c>
      <c r="AB3796" s="1" t="s">
        <v>49</v>
      </c>
      <c r="AC3796" s="1" t="s">
        <v>7670</v>
      </c>
      <c r="AD3796" s="1" t="s">
        <v>7671</v>
      </c>
      <c r="AE3796" s="1" t="s">
        <v>7670</v>
      </c>
      <c r="AF3796" s="1" t="s">
        <v>7672</v>
      </c>
      <c r="AG3796" s="1" t="s">
        <v>53</v>
      </c>
      <c r="AH3796" s="1" t="s">
        <v>49</v>
      </c>
      <c r="AI3796" s="1" t="s">
        <v>54</v>
      </c>
      <c r="AJ3796" s="1">
        <v>1</v>
      </c>
      <c r="AK3796" s="1" t="str">
        <f t="shared" si="59"/>
        <v xml:space="preserve"> =&lt;90</v>
      </c>
      <c r="AL3796" s="1" t="str">
        <f>VLOOKUP(C:C,[1]基础信息!B$1:D$65536,3,0)</f>
        <v>Jug</v>
      </c>
      <c r="AM3796" s="1" t="str">
        <f>VLOOKUP(C:C,[1]基础信息!B$1:E$65536,4,0)</f>
        <v>Green Pack</v>
      </c>
      <c r="AN3796" s="1" t="str">
        <f>VLOOKUP(C:C,[1]基础信息!B$1:F$65536,5,0)</f>
        <v>Blue</v>
      </c>
    </row>
    <row r="3797" spans="1:40">
      <c r="A3797" s="1" t="s">
        <v>41</v>
      </c>
      <c r="B3797" s="1" t="s">
        <v>8244</v>
      </c>
      <c r="C3797" s="1" t="s">
        <v>8347</v>
      </c>
      <c r="D3797" s="1" t="s">
        <v>8348</v>
      </c>
      <c r="E3797" s="1" t="s">
        <v>45</v>
      </c>
      <c r="F3797" s="1" t="s">
        <v>8753</v>
      </c>
      <c r="G3797" s="1" t="s">
        <v>8759</v>
      </c>
      <c r="H3797" s="1" t="s">
        <v>45</v>
      </c>
      <c r="I3797" s="1" t="s">
        <v>45</v>
      </c>
      <c r="J3797" s="1" t="s">
        <v>48</v>
      </c>
      <c r="K3797" s="1">
        <v>32</v>
      </c>
      <c r="L3797" s="1">
        <v>0</v>
      </c>
      <c r="M3797" s="1">
        <v>0</v>
      </c>
      <c r="N3797" s="1">
        <v>32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 t="s">
        <v>49</v>
      </c>
      <c r="AA3797" s="1" t="s">
        <v>49</v>
      </c>
      <c r="AB3797" s="1" t="s">
        <v>49</v>
      </c>
      <c r="AC3797" s="1" t="s">
        <v>8422</v>
      </c>
      <c r="AD3797" s="1" t="s">
        <v>8423</v>
      </c>
      <c r="AE3797" s="1" t="s">
        <v>8422</v>
      </c>
      <c r="AF3797" s="1" t="s">
        <v>8557</v>
      </c>
      <c r="AG3797" s="1" t="s">
        <v>8253</v>
      </c>
      <c r="AH3797" s="1" t="s">
        <v>8702</v>
      </c>
      <c r="AI3797" s="1" t="s">
        <v>54</v>
      </c>
      <c r="AJ3797" s="1">
        <v>1</v>
      </c>
      <c r="AK3797" s="1" t="str">
        <f t="shared" si="59"/>
        <v xml:space="preserve"> =&lt;90</v>
      </c>
      <c r="AL3797" s="1" t="e">
        <f>VLOOKUP(C:C,[1]基础信息!B$1:D$65536,3,0)</f>
        <v>#N/A</v>
      </c>
      <c r="AM3797" s="1" t="e">
        <f>VLOOKUP(C:C,[1]基础信息!B$1:E$65536,4,0)</f>
        <v>#N/A</v>
      </c>
      <c r="AN3797" s="1" t="e">
        <f>VLOOKUP(C:C,[1]基础信息!B$1:F$65536,5,0)</f>
        <v>#N/A</v>
      </c>
    </row>
    <row r="3798" spans="1:40">
      <c r="A3798" s="1" t="s">
        <v>41</v>
      </c>
      <c r="B3798" s="1" t="s">
        <v>42</v>
      </c>
      <c r="C3798" s="1" t="s">
        <v>8610</v>
      </c>
      <c r="D3798" s="1" t="s">
        <v>8611</v>
      </c>
      <c r="E3798" s="1" t="s">
        <v>45</v>
      </c>
      <c r="F3798" s="1" t="s">
        <v>8713</v>
      </c>
      <c r="G3798" s="1" t="s">
        <v>8760</v>
      </c>
      <c r="H3798" s="1" t="s">
        <v>8761</v>
      </c>
      <c r="I3798" s="1" t="s">
        <v>45</v>
      </c>
      <c r="J3798" s="1" t="s">
        <v>48</v>
      </c>
      <c r="K3798" s="1">
        <v>1650</v>
      </c>
      <c r="L3798" s="1">
        <v>0</v>
      </c>
      <c r="M3798" s="1">
        <v>0</v>
      </c>
      <c r="N3798" s="1">
        <v>1650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 t="s">
        <v>49</v>
      </c>
      <c r="AA3798" s="1" t="s">
        <v>49</v>
      </c>
      <c r="AB3798" s="1" t="s">
        <v>49</v>
      </c>
      <c r="AC3798" s="1" t="s">
        <v>8615</v>
      </c>
      <c r="AD3798" s="1" t="s">
        <v>8616</v>
      </c>
      <c r="AE3798" s="1" t="s">
        <v>8615</v>
      </c>
      <c r="AF3798" s="1" t="s">
        <v>8716</v>
      </c>
      <c r="AG3798" s="1" t="s">
        <v>4662</v>
      </c>
      <c r="AH3798" s="1" t="s">
        <v>49</v>
      </c>
      <c r="AI3798" s="1" t="s">
        <v>54</v>
      </c>
      <c r="AJ3798" s="1">
        <v>1</v>
      </c>
      <c r="AK3798" s="1" t="str">
        <f t="shared" si="59"/>
        <v xml:space="preserve"> =&lt;90</v>
      </c>
      <c r="AL3798" s="1" t="str">
        <f>VLOOKUP(C:C,[1]基础信息!B$1:D$65536,3,0)</f>
        <v xml:space="preserve">Cartridge </v>
      </c>
      <c r="AM3798" s="1" t="str">
        <f>VLOOKUP(C:C,[1]基础信息!B$1:E$65536,4,0)</f>
        <v>UNIV</v>
      </c>
      <c r="AN3798" s="1" t="str">
        <f>VLOOKUP(C:C,[1]基础信息!B$1:F$65536,5,0)</f>
        <v>P55</v>
      </c>
    </row>
    <row r="3799" spans="1:40">
      <c r="A3799" s="1" t="s">
        <v>41</v>
      </c>
      <c r="B3799" s="1" t="s">
        <v>8244</v>
      </c>
      <c r="C3799" s="1" t="s">
        <v>8347</v>
      </c>
      <c r="D3799" s="1" t="s">
        <v>8348</v>
      </c>
      <c r="E3799" s="1" t="s">
        <v>45</v>
      </c>
      <c r="F3799" s="1" t="s">
        <v>8753</v>
      </c>
      <c r="G3799" s="1" t="s">
        <v>8762</v>
      </c>
      <c r="H3799" s="1" t="s">
        <v>45</v>
      </c>
      <c r="I3799" s="1" t="s">
        <v>45</v>
      </c>
      <c r="J3799" s="1" t="s">
        <v>48</v>
      </c>
      <c r="K3799" s="1">
        <v>29</v>
      </c>
      <c r="L3799" s="1">
        <v>0</v>
      </c>
      <c r="M3799" s="1">
        <v>0</v>
      </c>
      <c r="N3799" s="1">
        <v>29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 t="s">
        <v>49</v>
      </c>
      <c r="AA3799" s="1" t="s">
        <v>49</v>
      </c>
      <c r="AB3799" s="1" t="s">
        <v>49</v>
      </c>
      <c r="AC3799" s="1" t="s">
        <v>8422</v>
      </c>
      <c r="AD3799" s="1" t="s">
        <v>8423</v>
      </c>
      <c r="AE3799" s="1" t="s">
        <v>8422</v>
      </c>
      <c r="AF3799" s="1" t="s">
        <v>8557</v>
      </c>
      <c r="AG3799" s="1" t="s">
        <v>8253</v>
      </c>
      <c r="AH3799" s="1" t="s">
        <v>8702</v>
      </c>
      <c r="AI3799" s="1" t="s">
        <v>54</v>
      </c>
      <c r="AJ3799" s="1">
        <v>1</v>
      </c>
      <c r="AK3799" s="1" t="str">
        <f t="shared" si="59"/>
        <v xml:space="preserve"> =&lt;90</v>
      </c>
      <c r="AL3799" s="1" t="e">
        <f>VLOOKUP(C:C,[1]基础信息!B$1:D$65536,3,0)</f>
        <v>#N/A</v>
      </c>
      <c r="AM3799" s="1" t="e">
        <f>VLOOKUP(C:C,[1]基础信息!B$1:E$65536,4,0)</f>
        <v>#N/A</v>
      </c>
      <c r="AN3799" s="1" t="e">
        <f>VLOOKUP(C:C,[1]基础信息!B$1:F$65536,5,0)</f>
        <v>#N/A</v>
      </c>
    </row>
    <row r="3800" spans="1:40">
      <c r="A3800" s="1" t="s">
        <v>41</v>
      </c>
      <c r="B3800" s="1" t="s">
        <v>8244</v>
      </c>
      <c r="C3800" s="1" t="s">
        <v>8563</v>
      </c>
      <c r="D3800" s="1" t="s">
        <v>8564</v>
      </c>
      <c r="E3800" s="1" t="s">
        <v>45</v>
      </c>
      <c r="F3800" s="1" t="s">
        <v>8565</v>
      </c>
      <c r="G3800" s="1" t="s">
        <v>8763</v>
      </c>
      <c r="H3800" s="1" t="s">
        <v>45</v>
      </c>
      <c r="I3800" s="1" t="s">
        <v>45</v>
      </c>
      <c r="J3800" s="1" t="s">
        <v>48</v>
      </c>
      <c r="K3800" s="1">
        <v>40</v>
      </c>
      <c r="L3800" s="1">
        <v>0</v>
      </c>
      <c r="M3800" s="1">
        <v>0</v>
      </c>
      <c r="N3800" s="1">
        <v>40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 t="s">
        <v>49</v>
      </c>
      <c r="AA3800" s="1" t="s">
        <v>49</v>
      </c>
      <c r="AB3800" s="1" t="s">
        <v>49</v>
      </c>
      <c r="AC3800" s="1" t="s">
        <v>8567</v>
      </c>
      <c r="AD3800" s="1" t="s">
        <v>8568</v>
      </c>
      <c r="AE3800" s="1" t="s">
        <v>8567</v>
      </c>
      <c r="AF3800" s="1" t="s">
        <v>8569</v>
      </c>
      <c r="AG3800" s="1" t="s">
        <v>8253</v>
      </c>
      <c r="AH3800" s="1" t="s">
        <v>49</v>
      </c>
      <c r="AI3800" s="1" t="s">
        <v>54</v>
      </c>
      <c r="AJ3800" s="1">
        <v>1</v>
      </c>
      <c r="AK3800" s="1" t="str">
        <f t="shared" si="59"/>
        <v xml:space="preserve"> =&lt;90</v>
      </c>
      <c r="AL3800" s="1" t="e">
        <f>VLOOKUP(C:C,[1]基础信息!B$1:D$65536,3,0)</f>
        <v>#N/A</v>
      </c>
      <c r="AM3800" s="1" t="e">
        <f>VLOOKUP(C:C,[1]基础信息!B$1:E$65536,4,0)</f>
        <v>#N/A</v>
      </c>
      <c r="AN3800" s="1" t="e">
        <f>VLOOKUP(C:C,[1]基础信息!B$1:F$65536,5,0)</f>
        <v>#N/A</v>
      </c>
    </row>
    <row r="3801" spans="1:40">
      <c r="A3801" s="1" t="s">
        <v>41</v>
      </c>
      <c r="B3801" s="1" t="s">
        <v>8244</v>
      </c>
      <c r="C3801" s="1" t="s">
        <v>8397</v>
      </c>
      <c r="D3801" s="1" t="s">
        <v>8398</v>
      </c>
      <c r="E3801" s="1" t="s">
        <v>8399</v>
      </c>
      <c r="F3801" s="1" t="s">
        <v>8477</v>
      </c>
      <c r="G3801" s="1" t="s">
        <v>8764</v>
      </c>
      <c r="H3801" s="1" t="s">
        <v>45</v>
      </c>
      <c r="I3801" s="1" t="s">
        <v>45</v>
      </c>
      <c r="J3801" s="1" t="s">
        <v>48</v>
      </c>
      <c r="K3801" s="1">
        <v>56</v>
      </c>
      <c r="L3801" s="1">
        <v>0</v>
      </c>
      <c r="M3801" s="1">
        <v>0</v>
      </c>
      <c r="N3801" s="1">
        <v>56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 t="s">
        <v>49</v>
      </c>
      <c r="AA3801" s="1" t="s">
        <v>49</v>
      </c>
      <c r="AB3801" s="1" t="s">
        <v>49</v>
      </c>
      <c r="AC3801" s="1" t="s">
        <v>8402</v>
      </c>
      <c r="AD3801" s="1" t="s">
        <v>8403</v>
      </c>
      <c r="AE3801" s="1" t="s">
        <v>8402</v>
      </c>
      <c r="AF3801" s="1" t="s">
        <v>8443</v>
      </c>
      <c r="AG3801" s="1" t="s">
        <v>8253</v>
      </c>
      <c r="AH3801" s="1" t="s">
        <v>49</v>
      </c>
      <c r="AI3801" s="1" t="s">
        <v>54</v>
      </c>
      <c r="AJ3801" s="1">
        <v>1</v>
      </c>
      <c r="AK3801" s="1" t="str">
        <f t="shared" si="59"/>
        <v xml:space="preserve"> =&lt;90</v>
      </c>
      <c r="AL3801" s="1" t="e">
        <f>VLOOKUP(C:C,[1]基础信息!B$1:D$65536,3,0)</f>
        <v>#N/A</v>
      </c>
      <c r="AM3801" s="1" t="e">
        <f>VLOOKUP(C:C,[1]基础信息!B$1:E$65536,4,0)</f>
        <v>#N/A</v>
      </c>
      <c r="AN3801" s="1" t="e">
        <f>VLOOKUP(C:C,[1]基础信息!B$1:F$65536,5,0)</f>
        <v>#N/A</v>
      </c>
    </row>
    <row r="3802" spans="1:40">
      <c r="A3802" s="1" t="s">
        <v>41</v>
      </c>
      <c r="B3802" s="1" t="s">
        <v>8244</v>
      </c>
      <c r="C3802" s="1" t="s">
        <v>8397</v>
      </c>
      <c r="D3802" s="1" t="s">
        <v>8398</v>
      </c>
      <c r="E3802" s="1" t="s">
        <v>8399</v>
      </c>
      <c r="F3802" s="1" t="s">
        <v>8643</v>
      </c>
      <c r="G3802" s="1" t="s">
        <v>8765</v>
      </c>
      <c r="H3802" s="1" t="s">
        <v>45</v>
      </c>
      <c r="I3802" s="1" t="s">
        <v>45</v>
      </c>
      <c r="J3802" s="1" t="s">
        <v>48</v>
      </c>
      <c r="K3802" s="1">
        <v>56</v>
      </c>
      <c r="L3802" s="1">
        <v>0</v>
      </c>
      <c r="M3802" s="1">
        <v>0</v>
      </c>
      <c r="N3802" s="1">
        <v>56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 t="s">
        <v>49</v>
      </c>
      <c r="AA3802" s="1" t="s">
        <v>49</v>
      </c>
      <c r="AB3802" s="1" t="s">
        <v>49</v>
      </c>
      <c r="AC3802" s="1" t="s">
        <v>7567</v>
      </c>
      <c r="AD3802" s="1" t="s">
        <v>7568</v>
      </c>
      <c r="AE3802" s="1" t="s">
        <v>7567</v>
      </c>
      <c r="AF3802" s="1" t="s">
        <v>8645</v>
      </c>
      <c r="AG3802" s="1" t="s">
        <v>8253</v>
      </c>
      <c r="AH3802" s="1" t="s">
        <v>49</v>
      </c>
      <c r="AI3802" s="1" t="s">
        <v>54</v>
      </c>
      <c r="AJ3802" s="1">
        <v>1</v>
      </c>
      <c r="AK3802" s="1" t="str">
        <f>IF(AJ3802&gt;$AP$2,$AQ$2,IF(AJ3802&gt;$AP$3,$AQ$3,IF(AJ3802&gt;$AP$4,$AQ$4,$AQ$5)))</f>
        <v xml:space="preserve"> =&lt;90</v>
      </c>
      <c r="AL3802" s="1" t="e">
        <f>VLOOKUP(C:C,[1]基础信息!B$1:D$65536,3,0)</f>
        <v>#N/A</v>
      </c>
      <c r="AM3802" s="1" t="e">
        <f>VLOOKUP(C:C,[1]基础信息!B$1:E$65536,4,0)</f>
        <v>#N/A</v>
      </c>
      <c r="AN3802" s="1" t="e">
        <f>VLOOKUP(C:C,[1]基础信息!B$1:F$65536,5,0)</f>
        <v>#N/A</v>
      </c>
    </row>
    <row r="3803" spans="1:40">
      <c r="A3803" s="1" t="s">
        <v>41</v>
      </c>
      <c r="B3803" s="1" t="s">
        <v>8244</v>
      </c>
      <c r="C3803" s="1" t="s">
        <v>8652</v>
      </c>
      <c r="D3803" s="1" t="s">
        <v>8653</v>
      </c>
      <c r="E3803" s="1" t="s">
        <v>8654</v>
      </c>
      <c r="F3803" s="1" t="s">
        <v>8655</v>
      </c>
      <c r="G3803" s="1" t="s">
        <v>8766</v>
      </c>
      <c r="H3803" s="1" t="s">
        <v>45</v>
      </c>
      <c r="I3803" s="1" t="s">
        <v>45</v>
      </c>
      <c r="J3803" s="1" t="s">
        <v>48</v>
      </c>
      <c r="K3803" s="1">
        <v>72</v>
      </c>
      <c r="L3803" s="1">
        <v>0</v>
      </c>
      <c r="M3803" s="1">
        <v>0</v>
      </c>
      <c r="N3803" s="1">
        <v>72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 t="s">
        <v>49</v>
      </c>
      <c r="AA3803" s="1" t="s">
        <v>49</v>
      </c>
      <c r="AB3803" s="1" t="s">
        <v>49</v>
      </c>
      <c r="AC3803" s="1" t="s">
        <v>8657</v>
      </c>
      <c r="AD3803" s="1" t="s">
        <v>8658</v>
      </c>
      <c r="AE3803" s="1" t="s">
        <v>8657</v>
      </c>
      <c r="AF3803" s="1" t="s">
        <v>8659</v>
      </c>
      <c r="AG3803" s="1" t="s">
        <v>8253</v>
      </c>
      <c r="AH3803" s="1" t="s">
        <v>49</v>
      </c>
      <c r="AI3803" s="1" t="s">
        <v>54</v>
      </c>
      <c r="AJ3803" s="1">
        <v>1</v>
      </c>
      <c r="AK3803" s="1" t="str">
        <f t="shared" ref="AK3803:AK3866" si="60">IF(AJ3803&gt;$AP$2,$AQ$2,IF(AJ3803&gt;$AP$3,$AQ$3,IF(AJ3803&gt;$AP$4,$AQ$4,$AQ$5)))</f>
        <v xml:space="preserve"> =&lt;90</v>
      </c>
      <c r="AL3803" s="1" t="e">
        <f>VLOOKUP(C:C,[1]基础信息!B$1:D$65536,3,0)</f>
        <v>#N/A</v>
      </c>
      <c r="AM3803" s="1" t="e">
        <f>VLOOKUP(C:C,[1]基础信息!B$1:E$65536,4,0)</f>
        <v>#N/A</v>
      </c>
      <c r="AN3803" s="1" t="e">
        <f>VLOOKUP(C:C,[1]基础信息!B$1:F$65536,5,0)</f>
        <v>#N/A</v>
      </c>
    </row>
    <row r="3804" spans="1:40">
      <c r="A3804" s="1" t="s">
        <v>41</v>
      </c>
      <c r="B3804" s="1" t="s">
        <v>8244</v>
      </c>
      <c r="C3804" s="1" t="s">
        <v>8384</v>
      </c>
      <c r="D3804" s="1" t="s">
        <v>8385</v>
      </c>
      <c r="E3804" s="1" t="s">
        <v>8386</v>
      </c>
      <c r="F3804" s="1" t="s">
        <v>8767</v>
      </c>
      <c r="G3804" s="1" t="s">
        <v>8768</v>
      </c>
      <c r="H3804" s="1" t="s">
        <v>45</v>
      </c>
      <c r="I3804" s="1" t="s">
        <v>45</v>
      </c>
      <c r="J3804" s="1" t="s">
        <v>48</v>
      </c>
      <c r="K3804" s="1">
        <v>95</v>
      </c>
      <c r="L3804" s="1">
        <v>0</v>
      </c>
      <c r="M3804" s="1">
        <v>0</v>
      </c>
      <c r="N3804" s="1">
        <v>95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 t="s">
        <v>49</v>
      </c>
      <c r="AA3804" s="1" t="s">
        <v>49</v>
      </c>
      <c r="AB3804" s="1" t="s">
        <v>49</v>
      </c>
      <c r="AC3804" s="1" t="s">
        <v>1188</v>
      </c>
      <c r="AD3804" s="1" t="s">
        <v>1189</v>
      </c>
      <c r="AE3804" s="1" t="s">
        <v>1188</v>
      </c>
      <c r="AF3804" s="1" t="s">
        <v>49</v>
      </c>
      <c r="AG3804" s="1" t="s">
        <v>8253</v>
      </c>
      <c r="AH3804" s="1" t="s">
        <v>49</v>
      </c>
      <c r="AI3804" s="1" t="s">
        <v>54</v>
      </c>
      <c r="AJ3804" s="1">
        <v>1</v>
      </c>
      <c r="AK3804" s="1" t="str">
        <f t="shared" si="60"/>
        <v xml:space="preserve"> =&lt;90</v>
      </c>
      <c r="AL3804" s="1" t="e">
        <f>VLOOKUP(C:C,[1]基础信息!B$1:D$65536,3,0)</f>
        <v>#N/A</v>
      </c>
      <c r="AM3804" s="1" t="e">
        <f>VLOOKUP(C:C,[1]基础信息!B$1:E$65536,4,0)</f>
        <v>#N/A</v>
      </c>
      <c r="AN3804" s="1" t="e">
        <f>VLOOKUP(C:C,[1]基础信息!B$1:F$65536,5,0)</f>
        <v>#N/A</v>
      </c>
    </row>
    <row r="3805" spans="1:40">
      <c r="A3805" s="1" t="s">
        <v>41</v>
      </c>
      <c r="B3805" s="1" t="s">
        <v>8244</v>
      </c>
      <c r="C3805" s="1" t="s">
        <v>8347</v>
      </c>
      <c r="D3805" s="1" t="s">
        <v>8348</v>
      </c>
      <c r="E3805" s="1" t="s">
        <v>45</v>
      </c>
      <c r="F3805" s="1" t="s">
        <v>8769</v>
      </c>
      <c r="G3805" s="1" t="s">
        <v>8770</v>
      </c>
      <c r="H3805" s="1" t="s">
        <v>45</v>
      </c>
      <c r="I3805" s="1" t="s">
        <v>45</v>
      </c>
      <c r="J3805" s="1" t="s">
        <v>48</v>
      </c>
      <c r="K3805" s="1">
        <v>28</v>
      </c>
      <c r="L3805" s="1">
        <v>0</v>
      </c>
      <c r="M3805" s="1">
        <v>0</v>
      </c>
      <c r="N3805" s="1">
        <v>28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 t="s">
        <v>49</v>
      </c>
      <c r="AA3805" s="1" t="s">
        <v>49</v>
      </c>
      <c r="AB3805" s="1" t="s">
        <v>49</v>
      </c>
      <c r="AC3805" s="1" t="s">
        <v>8370</v>
      </c>
      <c r="AD3805" s="1" t="s">
        <v>8371</v>
      </c>
      <c r="AE3805" s="1" t="s">
        <v>8370</v>
      </c>
      <c r="AF3805" s="1" t="s">
        <v>8372</v>
      </c>
      <c r="AG3805" s="1" t="s">
        <v>8253</v>
      </c>
      <c r="AH3805" s="1" t="s">
        <v>8702</v>
      </c>
      <c r="AI3805" s="1" t="s">
        <v>54</v>
      </c>
      <c r="AJ3805" s="1">
        <v>1</v>
      </c>
      <c r="AK3805" s="1" t="str">
        <f t="shared" si="60"/>
        <v xml:space="preserve"> =&lt;90</v>
      </c>
      <c r="AL3805" s="1" t="e">
        <f>VLOOKUP(C:C,[1]基础信息!B$1:D$65536,3,0)</f>
        <v>#N/A</v>
      </c>
      <c r="AM3805" s="1" t="e">
        <f>VLOOKUP(C:C,[1]基础信息!B$1:E$65536,4,0)</f>
        <v>#N/A</v>
      </c>
      <c r="AN3805" s="1" t="e">
        <f>VLOOKUP(C:C,[1]基础信息!B$1:F$65536,5,0)</f>
        <v>#N/A</v>
      </c>
    </row>
    <row r="3806" spans="1:40">
      <c r="A3806" s="1" t="s">
        <v>41</v>
      </c>
      <c r="B3806" s="1" t="s">
        <v>8244</v>
      </c>
      <c r="C3806" s="1" t="s">
        <v>8397</v>
      </c>
      <c r="D3806" s="1" t="s">
        <v>8398</v>
      </c>
      <c r="E3806" s="1" t="s">
        <v>8399</v>
      </c>
      <c r="F3806" s="1" t="s">
        <v>8477</v>
      </c>
      <c r="G3806" s="1" t="s">
        <v>8771</v>
      </c>
      <c r="H3806" s="1" t="s">
        <v>45</v>
      </c>
      <c r="I3806" s="1" t="s">
        <v>45</v>
      </c>
      <c r="J3806" s="1" t="s">
        <v>48</v>
      </c>
      <c r="K3806" s="1">
        <v>56</v>
      </c>
      <c r="L3806" s="1">
        <v>0</v>
      </c>
      <c r="M3806" s="1">
        <v>0</v>
      </c>
      <c r="N3806" s="1">
        <v>56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 t="s">
        <v>49</v>
      </c>
      <c r="AA3806" s="1" t="s">
        <v>49</v>
      </c>
      <c r="AB3806" s="1" t="s">
        <v>49</v>
      </c>
      <c r="AC3806" s="1" t="s">
        <v>8402</v>
      </c>
      <c r="AD3806" s="1" t="s">
        <v>8403</v>
      </c>
      <c r="AE3806" s="1" t="s">
        <v>8402</v>
      </c>
      <c r="AF3806" s="1" t="s">
        <v>8443</v>
      </c>
      <c r="AG3806" s="1" t="s">
        <v>8253</v>
      </c>
      <c r="AH3806" s="1" t="s">
        <v>49</v>
      </c>
      <c r="AI3806" s="1" t="s">
        <v>54</v>
      </c>
      <c r="AJ3806" s="1">
        <v>1</v>
      </c>
      <c r="AK3806" s="1" t="str">
        <f t="shared" si="60"/>
        <v xml:space="preserve"> =&lt;90</v>
      </c>
      <c r="AL3806" s="1" t="e">
        <f>VLOOKUP(C:C,[1]基础信息!B$1:D$65536,3,0)</f>
        <v>#N/A</v>
      </c>
      <c r="AM3806" s="1" t="e">
        <f>VLOOKUP(C:C,[1]基础信息!B$1:E$65536,4,0)</f>
        <v>#N/A</v>
      </c>
      <c r="AN3806" s="1" t="e">
        <f>VLOOKUP(C:C,[1]基础信息!B$1:F$65536,5,0)</f>
        <v>#N/A</v>
      </c>
    </row>
    <row r="3807" spans="1:40">
      <c r="A3807" s="1" t="s">
        <v>41</v>
      </c>
      <c r="B3807" s="1" t="s">
        <v>8244</v>
      </c>
      <c r="C3807" s="1" t="s">
        <v>8361</v>
      </c>
      <c r="D3807" s="1" t="s">
        <v>8362</v>
      </c>
      <c r="E3807" s="1" t="s">
        <v>8363</v>
      </c>
      <c r="F3807" s="1" t="s">
        <v>8772</v>
      </c>
      <c r="G3807" s="1" t="s">
        <v>8773</v>
      </c>
      <c r="H3807" s="1" t="s">
        <v>45</v>
      </c>
      <c r="I3807" s="1" t="s">
        <v>45</v>
      </c>
      <c r="J3807" s="1" t="s">
        <v>48</v>
      </c>
      <c r="K3807" s="1">
        <v>130</v>
      </c>
      <c r="L3807" s="1">
        <v>0</v>
      </c>
      <c r="M3807" s="1">
        <v>0</v>
      </c>
      <c r="N3807" s="1">
        <v>130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 t="s">
        <v>49</v>
      </c>
      <c r="AA3807" s="1" t="s">
        <v>49</v>
      </c>
      <c r="AB3807" s="1" t="s">
        <v>49</v>
      </c>
      <c r="AC3807" s="1" t="s">
        <v>8774</v>
      </c>
      <c r="AD3807" s="1" t="s">
        <v>8775</v>
      </c>
      <c r="AE3807" s="1" t="s">
        <v>8774</v>
      </c>
      <c r="AF3807" s="1" t="s">
        <v>49</v>
      </c>
      <c r="AG3807" s="1" t="s">
        <v>8253</v>
      </c>
      <c r="AH3807" s="1" t="s">
        <v>49</v>
      </c>
      <c r="AI3807" s="1" t="s">
        <v>54</v>
      </c>
      <c r="AJ3807" s="1">
        <v>1</v>
      </c>
      <c r="AK3807" s="1" t="str">
        <f t="shared" si="60"/>
        <v xml:space="preserve"> =&lt;90</v>
      </c>
      <c r="AL3807" s="1" t="e">
        <f>VLOOKUP(C:C,[1]基础信息!B$1:D$65536,3,0)</f>
        <v>#N/A</v>
      </c>
      <c r="AM3807" s="1" t="e">
        <f>VLOOKUP(C:C,[1]基础信息!B$1:E$65536,4,0)</f>
        <v>#N/A</v>
      </c>
      <c r="AN3807" s="1" t="e">
        <f>VLOOKUP(C:C,[1]基础信息!B$1:F$65536,5,0)</f>
        <v>#N/A</v>
      </c>
    </row>
    <row r="3808" spans="1:40">
      <c r="A3808" s="1" t="s">
        <v>41</v>
      </c>
      <c r="B3808" s="1" t="s">
        <v>8244</v>
      </c>
      <c r="C3808" s="1" t="s">
        <v>8347</v>
      </c>
      <c r="D3808" s="1" t="s">
        <v>8348</v>
      </c>
      <c r="E3808" s="1" t="s">
        <v>45</v>
      </c>
      <c r="F3808" s="1" t="s">
        <v>8776</v>
      </c>
      <c r="G3808" s="1" t="s">
        <v>8777</v>
      </c>
      <c r="H3808" s="1" t="s">
        <v>45</v>
      </c>
      <c r="I3808" s="1" t="s">
        <v>45</v>
      </c>
      <c r="J3808" s="1" t="s">
        <v>48</v>
      </c>
      <c r="K3808" s="1">
        <v>32</v>
      </c>
      <c r="L3808" s="1">
        <v>0</v>
      </c>
      <c r="M3808" s="1">
        <v>0</v>
      </c>
      <c r="N3808" s="1">
        <v>32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 t="s">
        <v>49</v>
      </c>
      <c r="AA3808" s="1" t="s">
        <v>49</v>
      </c>
      <c r="AB3808" s="1" t="s">
        <v>49</v>
      </c>
      <c r="AC3808" s="1" t="s">
        <v>8370</v>
      </c>
      <c r="AD3808" s="1" t="s">
        <v>8371</v>
      </c>
      <c r="AE3808" s="1" t="s">
        <v>8370</v>
      </c>
      <c r="AF3808" s="1" t="s">
        <v>8490</v>
      </c>
      <c r="AG3808" s="1" t="s">
        <v>8253</v>
      </c>
      <c r="AH3808" s="1" t="s">
        <v>8702</v>
      </c>
      <c r="AI3808" s="1" t="s">
        <v>54</v>
      </c>
      <c r="AJ3808" s="1">
        <v>1</v>
      </c>
      <c r="AK3808" s="1" t="str">
        <f t="shared" si="60"/>
        <v xml:space="preserve"> =&lt;90</v>
      </c>
      <c r="AL3808" s="1" t="e">
        <f>VLOOKUP(C:C,[1]基础信息!B$1:D$65536,3,0)</f>
        <v>#N/A</v>
      </c>
      <c r="AM3808" s="1" t="e">
        <f>VLOOKUP(C:C,[1]基础信息!B$1:E$65536,4,0)</f>
        <v>#N/A</v>
      </c>
      <c r="AN3808" s="1" t="e">
        <f>VLOOKUP(C:C,[1]基础信息!B$1:F$65536,5,0)</f>
        <v>#N/A</v>
      </c>
    </row>
    <row r="3809" spans="1:40">
      <c r="A3809" s="1" t="s">
        <v>41</v>
      </c>
      <c r="B3809" s="1" t="s">
        <v>42</v>
      </c>
      <c r="C3809" s="1" t="s">
        <v>8610</v>
      </c>
      <c r="D3809" s="1" t="s">
        <v>8611</v>
      </c>
      <c r="E3809" s="1" t="s">
        <v>45</v>
      </c>
      <c r="F3809" s="1" t="s">
        <v>8778</v>
      </c>
      <c r="G3809" s="1" t="s">
        <v>8779</v>
      </c>
      <c r="H3809" s="1" t="s">
        <v>8780</v>
      </c>
      <c r="I3809" s="1" t="s">
        <v>45</v>
      </c>
      <c r="J3809" s="1" t="s">
        <v>48</v>
      </c>
      <c r="K3809" s="1">
        <v>194</v>
      </c>
      <c r="L3809" s="1">
        <v>0</v>
      </c>
      <c r="M3809" s="1">
        <v>0</v>
      </c>
      <c r="N3809" s="1">
        <v>194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 t="s">
        <v>49</v>
      </c>
      <c r="AA3809" s="1" t="s">
        <v>49</v>
      </c>
      <c r="AB3809" s="1" t="s">
        <v>49</v>
      </c>
      <c r="AC3809" s="1" t="s">
        <v>8615</v>
      </c>
      <c r="AD3809" s="1" t="s">
        <v>8616</v>
      </c>
      <c r="AE3809" s="1" t="s">
        <v>8615</v>
      </c>
      <c r="AF3809" s="1" t="s">
        <v>8781</v>
      </c>
      <c r="AG3809" s="1" t="s">
        <v>4662</v>
      </c>
      <c r="AH3809" s="1" t="s">
        <v>49</v>
      </c>
      <c r="AI3809" s="1" t="s">
        <v>54</v>
      </c>
      <c r="AJ3809" s="1">
        <v>1</v>
      </c>
      <c r="AK3809" s="1" t="str">
        <f t="shared" si="60"/>
        <v xml:space="preserve"> =&lt;90</v>
      </c>
      <c r="AL3809" s="1" t="str">
        <f>VLOOKUP(C:C,[1]基础信息!B$1:D$65536,3,0)</f>
        <v xml:space="preserve">Cartridge </v>
      </c>
      <c r="AM3809" s="1" t="str">
        <f>VLOOKUP(C:C,[1]基础信息!B$1:E$65536,4,0)</f>
        <v>UNIV</v>
      </c>
      <c r="AN3809" s="1" t="str">
        <f>VLOOKUP(C:C,[1]基础信息!B$1:F$65536,5,0)</f>
        <v>P55</v>
      </c>
    </row>
    <row r="3810" spans="1:40">
      <c r="A3810" s="1" t="s">
        <v>41</v>
      </c>
      <c r="B3810" s="1" t="s">
        <v>8244</v>
      </c>
      <c r="C3810" s="1" t="s">
        <v>8397</v>
      </c>
      <c r="D3810" s="1" t="s">
        <v>8398</v>
      </c>
      <c r="E3810" s="1" t="s">
        <v>8399</v>
      </c>
      <c r="F3810" s="1" t="s">
        <v>8643</v>
      </c>
      <c r="G3810" s="1" t="s">
        <v>8782</v>
      </c>
      <c r="H3810" s="1" t="s">
        <v>45</v>
      </c>
      <c r="I3810" s="1" t="s">
        <v>45</v>
      </c>
      <c r="J3810" s="1" t="s">
        <v>48</v>
      </c>
      <c r="K3810" s="1">
        <v>56</v>
      </c>
      <c r="L3810" s="1">
        <v>0</v>
      </c>
      <c r="M3810" s="1">
        <v>0</v>
      </c>
      <c r="N3810" s="1">
        <v>56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 t="s">
        <v>49</v>
      </c>
      <c r="AA3810" s="1" t="s">
        <v>49</v>
      </c>
      <c r="AB3810" s="1" t="s">
        <v>49</v>
      </c>
      <c r="AC3810" s="1" t="s">
        <v>7567</v>
      </c>
      <c r="AD3810" s="1" t="s">
        <v>7568</v>
      </c>
      <c r="AE3810" s="1" t="s">
        <v>7567</v>
      </c>
      <c r="AF3810" s="1" t="s">
        <v>8645</v>
      </c>
      <c r="AG3810" s="1" t="s">
        <v>8253</v>
      </c>
      <c r="AH3810" s="1" t="s">
        <v>49</v>
      </c>
      <c r="AI3810" s="1" t="s">
        <v>54</v>
      </c>
      <c r="AJ3810" s="1">
        <v>1</v>
      </c>
      <c r="AK3810" s="1" t="str">
        <f t="shared" si="60"/>
        <v xml:space="preserve"> =&lt;90</v>
      </c>
      <c r="AL3810" s="1" t="e">
        <f>VLOOKUP(C:C,[1]基础信息!B$1:D$65536,3,0)</f>
        <v>#N/A</v>
      </c>
      <c r="AM3810" s="1" t="e">
        <f>VLOOKUP(C:C,[1]基础信息!B$1:E$65536,4,0)</f>
        <v>#N/A</v>
      </c>
      <c r="AN3810" s="1" t="e">
        <f>VLOOKUP(C:C,[1]基础信息!B$1:F$65536,5,0)</f>
        <v>#N/A</v>
      </c>
    </row>
    <row r="3811" spans="1:40">
      <c r="A3811" s="1" t="s">
        <v>41</v>
      </c>
      <c r="B3811" s="1" t="s">
        <v>8244</v>
      </c>
      <c r="C3811" s="1" t="s">
        <v>8347</v>
      </c>
      <c r="D3811" s="1" t="s">
        <v>8348</v>
      </c>
      <c r="E3811" s="1" t="s">
        <v>45</v>
      </c>
      <c r="F3811" s="1" t="s">
        <v>8776</v>
      </c>
      <c r="G3811" s="1" t="s">
        <v>8783</v>
      </c>
      <c r="H3811" s="1" t="s">
        <v>45</v>
      </c>
      <c r="I3811" s="1" t="s">
        <v>45</v>
      </c>
      <c r="J3811" s="1" t="s">
        <v>48</v>
      </c>
      <c r="K3811" s="1">
        <v>32</v>
      </c>
      <c r="L3811" s="1">
        <v>0</v>
      </c>
      <c r="M3811" s="1">
        <v>0</v>
      </c>
      <c r="N3811" s="1">
        <v>32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 t="s">
        <v>49</v>
      </c>
      <c r="AA3811" s="1" t="s">
        <v>49</v>
      </c>
      <c r="AB3811" s="1" t="s">
        <v>49</v>
      </c>
      <c r="AC3811" s="1" t="s">
        <v>8370</v>
      </c>
      <c r="AD3811" s="1" t="s">
        <v>8371</v>
      </c>
      <c r="AE3811" s="1" t="s">
        <v>8370</v>
      </c>
      <c r="AF3811" s="1" t="s">
        <v>8490</v>
      </c>
      <c r="AG3811" s="1" t="s">
        <v>8253</v>
      </c>
      <c r="AH3811" s="1" t="s">
        <v>8702</v>
      </c>
      <c r="AI3811" s="1" t="s">
        <v>54</v>
      </c>
      <c r="AJ3811" s="1">
        <v>1</v>
      </c>
      <c r="AK3811" s="1" t="str">
        <f t="shared" si="60"/>
        <v xml:space="preserve"> =&lt;90</v>
      </c>
      <c r="AL3811" s="1" t="e">
        <f>VLOOKUP(C:C,[1]基础信息!B$1:D$65536,3,0)</f>
        <v>#N/A</v>
      </c>
      <c r="AM3811" s="1" t="e">
        <f>VLOOKUP(C:C,[1]基础信息!B$1:E$65536,4,0)</f>
        <v>#N/A</v>
      </c>
      <c r="AN3811" s="1" t="e">
        <f>VLOOKUP(C:C,[1]基础信息!B$1:F$65536,5,0)</f>
        <v>#N/A</v>
      </c>
    </row>
    <row r="3812" spans="1:40">
      <c r="A3812" s="1" t="s">
        <v>41</v>
      </c>
      <c r="B3812" s="1" t="s">
        <v>8244</v>
      </c>
      <c r="C3812" s="1" t="s">
        <v>8323</v>
      </c>
      <c r="D3812" s="1" t="s">
        <v>8324</v>
      </c>
      <c r="E3812" s="1" t="s">
        <v>45</v>
      </c>
      <c r="F3812" s="1" t="s">
        <v>8784</v>
      </c>
      <c r="G3812" s="1" t="s">
        <v>8785</v>
      </c>
      <c r="H3812" s="1" t="s">
        <v>45</v>
      </c>
      <c r="I3812" s="1" t="s">
        <v>45</v>
      </c>
      <c r="J3812" s="1" t="s">
        <v>48</v>
      </c>
      <c r="K3812" s="1">
        <v>11</v>
      </c>
      <c r="L3812" s="1">
        <v>0</v>
      </c>
      <c r="M3812" s="1">
        <v>0</v>
      </c>
      <c r="N3812" s="1">
        <v>11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 t="s">
        <v>49</v>
      </c>
      <c r="AA3812" s="1" t="s">
        <v>49</v>
      </c>
      <c r="AB3812" s="1" t="s">
        <v>49</v>
      </c>
      <c r="AC3812" s="1" t="s">
        <v>8402</v>
      </c>
      <c r="AD3812" s="1" t="s">
        <v>8403</v>
      </c>
      <c r="AE3812" s="1" t="s">
        <v>8402</v>
      </c>
      <c r="AF3812" s="1" t="s">
        <v>8446</v>
      </c>
      <c r="AG3812" s="1" t="s">
        <v>8253</v>
      </c>
      <c r="AH3812" s="1" t="s">
        <v>49</v>
      </c>
      <c r="AI3812" s="1" t="s">
        <v>54</v>
      </c>
      <c r="AJ3812" s="1">
        <v>1</v>
      </c>
      <c r="AK3812" s="1" t="str">
        <f t="shared" si="60"/>
        <v xml:space="preserve"> =&lt;90</v>
      </c>
      <c r="AL3812" s="1" t="e">
        <f>VLOOKUP(C:C,[1]基础信息!B$1:D$65536,3,0)</f>
        <v>#N/A</v>
      </c>
      <c r="AM3812" s="1" t="e">
        <f>VLOOKUP(C:C,[1]基础信息!B$1:E$65536,4,0)</f>
        <v>#N/A</v>
      </c>
      <c r="AN3812" s="1" t="e">
        <f>VLOOKUP(C:C,[1]基础信息!B$1:F$65536,5,0)</f>
        <v>#N/A</v>
      </c>
    </row>
    <row r="3813" spans="1:40">
      <c r="A3813" s="1" t="s">
        <v>41</v>
      </c>
      <c r="B3813" s="1" t="s">
        <v>8244</v>
      </c>
      <c r="C3813" s="1" t="s">
        <v>8397</v>
      </c>
      <c r="D3813" s="1" t="s">
        <v>8398</v>
      </c>
      <c r="E3813" s="1" t="s">
        <v>8399</v>
      </c>
      <c r="F3813" s="1" t="s">
        <v>8643</v>
      </c>
      <c r="G3813" s="1" t="s">
        <v>8786</v>
      </c>
      <c r="H3813" s="1" t="s">
        <v>45</v>
      </c>
      <c r="I3813" s="1" t="s">
        <v>45</v>
      </c>
      <c r="J3813" s="1" t="s">
        <v>48</v>
      </c>
      <c r="K3813" s="1">
        <v>56</v>
      </c>
      <c r="L3813" s="1">
        <v>0</v>
      </c>
      <c r="M3813" s="1">
        <v>0</v>
      </c>
      <c r="N3813" s="1">
        <v>56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 t="s">
        <v>49</v>
      </c>
      <c r="AA3813" s="1" t="s">
        <v>49</v>
      </c>
      <c r="AB3813" s="1" t="s">
        <v>49</v>
      </c>
      <c r="AC3813" s="1" t="s">
        <v>7567</v>
      </c>
      <c r="AD3813" s="1" t="s">
        <v>7568</v>
      </c>
      <c r="AE3813" s="1" t="s">
        <v>7567</v>
      </c>
      <c r="AF3813" s="1" t="s">
        <v>8645</v>
      </c>
      <c r="AG3813" s="1" t="s">
        <v>8253</v>
      </c>
      <c r="AH3813" s="1" t="s">
        <v>49</v>
      </c>
      <c r="AI3813" s="1" t="s">
        <v>54</v>
      </c>
      <c r="AJ3813" s="1">
        <v>1</v>
      </c>
      <c r="AK3813" s="1" t="str">
        <f t="shared" si="60"/>
        <v xml:space="preserve"> =&lt;90</v>
      </c>
      <c r="AL3813" s="1" t="e">
        <f>VLOOKUP(C:C,[1]基础信息!B$1:D$65536,3,0)</f>
        <v>#N/A</v>
      </c>
      <c r="AM3813" s="1" t="e">
        <f>VLOOKUP(C:C,[1]基础信息!B$1:E$65536,4,0)</f>
        <v>#N/A</v>
      </c>
      <c r="AN3813" s="1" t="e">
        <f>VLOOKUP(C:C,[1]基础信息!B$1:F$65536,5,0)</f>
        <v>#N/A</v>
      </c>
    </row>
    <row r="3814" spans="1:40">
      <c r="A3814" s="1" t="s">
        <v>41</v>
      </c>
      <c r="B3814" s="1" t="s">
        <v>8244</v>
      </c>
      <c r="C3814" s="1" t="s">
        <v>8347</v>
      </c>
      <c r="D3814" s="1" t="s">
        <v>8348</v>
      </c>
      <c r="E3814" s="1" t="s">
        <v>45</v>
      </c>
      <c r="F3814" s="1" t="s">
        <v>8776</v>
      </c>
      <c r="G3814" s="1" t="s">
        <v>8787</v>
      </c>
      <c r="H3814" s="1" t="s">
        <v>45</v>
      </c>
      <c r="I3814" s="1" t="s">
        <v>45</v>
      </c>
      <c r="J3814" s="1" t="s">
        <v>48</v>
      </c>
      <c r="K3814" s="1">
        <v>32</v>
      </c>
      <c r="L3814" s="1">
        <v>0</v>
      </c>
      <c r="M3814" s="1">
        <v>0</v>
      </c>
      <c r="N3814" s="1">
        <v>32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 t="s">
        <v>49</v>
      </c>
      <c r="AA3814" s="1" t="s">
        <v>49</v>
      </c>
      <c r="AB3814" s="1" t="s">
        <v>49</v>
      </c>
      <c r="AC3814" s="1" t="s">
        <v>8370</v>
      </c>
      <c r="AD3814" s="1" t="s">
        <v>8371</v>
      </c>
      <c r="AE3814" s="1" t="s">
        <v>8370</v>
      </c>
      <c r="AF3814" s="1" t="s">
        <v>8490</v>
      </c>
      <c r="AG3814" s="1" t="s">
        <v>8253</v>
      </c>
      <c r="AH3814" s="1" t="s">
        <v>8702</v>
      </c>
      <c r="AI3814" s="1" t="s">
        <v>54</v>
      </c>
      <c r="AJ3814" s="1">
        <v>1</v>
      </c>
      <c r="AK3814" s="1" t="str">
        <f t="shared" si="60"/>
        <v xml:space="preserve"> =&lt;90</v>
      </c>
      <c r="AL3814" s="1" t="e">
        <f>VLOOKUP(C:C,[1]基础信息!B$1:D$65536,3,0)</f>
        <v>#N/A</v>
      </c>
      <c r="AM3814" s="1" t="e">
        <f>VLOOKUP(C:C,[1]基础信息!B$1:E$65536,4,0)</f>
        <v>#N/A</v>
      </c>
      <c r="AN3814" s="1" t="e">
        <f>VLOOKUP(C:C,[1]基础信息!B$1:F$65536,5,0)</f>
        <v>#N/A</v>
      </c>
    </row>
    <row r="3815" spans="1:40">
      <c r="A3815" s="1" t="s">
        <v>41</v>
      </c>
      <c r="B3815" s="1" t="s">
        <v>8244</v>
      </c>
      <c r="C3815" s="1" t="s">
        <v>8397</v>
      </c>
      <c r="D3815" s="1" t="s">
        <v>8398</v>
      </c>
      <c r="E3815" s="1" t="s">
        <v>8399</v>
      </c>
      <c r="F3815" s="1" t="s">
        <v>8589</v>
      </c>
      <c r="G3815" s="1" t="s">
        <v>8788</v>
      </c>
      <c r="H3815" s="1" t="s">
        <v>45</v>
      </c>
      <c r="I3815" s="1" t="s">
        <v>45</v>
      </c>
      <c r="J3815" s="1" t="s">
        <v>48</v>
      </c>
      <c r="K3815" s="1">
        <v>56</v>
      </c>
      <c r="L3815" s="1">
        <v>0</v>
      </c>
      <c r="M3815" s="1">
        <v>0</v>
      </c>
      <c r="N3815" s="1">
        <v>56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 t="s">
        <v>49</v>
      </c>
      <c r="AA3815" s="1" t="s">
        <v>49</v>
      </c>
      <c r="AB3815" s="1" t="s">
        <v>49</v>
      </c>
      <c r="AC3815" s="1" t="s">
        <v>61</v>
      </c>
      <c r="AD3815" s="1" t="s">
        <v>62</v>
      </c>
      <c r="AE3815" s="1" t="s">
        <v>61</v>
      </c>
      <c r="AF3815" s="1" t="s">
        <v>8591</v>
      </c>
      <c r="AG3815" s="1" t="s">
        <v>8253</v>
      </c>
      <c r="AH3815" s="1" t="s">
        <v>49</v>
      </c>
      <c r="AI3815" s="1" t="s">
        <v>54</v>
      </c>
      <c r="AJ3815" s="1">
        <v>1</v>
      </c>
      <c r="AK3815" s="1" t="str">
        <f t="shared" si="60"/>
        <v xml:space="preserve"> =&lt;90</v>
      </c>
      <c r="AL3815" s="1" t="e">
        <f>VLOOKUP(C:C,[1]基础信息!B$1:D$65536,3,0)</f>
        <v>#N/A</v>
      </c>
      <c r="AM3815" s="1" t="e">
        <f>VLOOKUP(C:C,[1]基础信息!B$1:E$65536,4,0)</f>
        <v>#N/A</v>
      </c>
      <c r="AN3815" s="1" t="e">
        <f>VLOOKUP(C:C,[1]基础信息!B$1:F$65536,5,0)</f>
        <v>#N/A</v>
      </c>
    </row>
    <row r="3816" spans="1:40">
      <c r="A3816" s="1" t="s">
        <v>41</v>
      </c>
      <c r="B3816" s="1" t="s">
        <v>8244</v>
      </c>
      <c r="C3816" s="1" t="s">
        <v>8347</v>
      </c>
      <c r="D3816" s="1" t="s">
        <v>8348</v>
      </c>
      <c r="E3816" s="1" t="s">
        <v>45</v>
      </c>
      <c r="F3816" s="1" t="s">
        <v>8776</v>
      </c>
      <c r="G3816" s="1" t="s">
        <v>8789</v>
      </c>
      <c r="H3816" s="1" t="s">
        <v>45</v>
      </c>
      <c r="I3816" s="1" t="s">
        <v>45</v>
      </c>
      <c r="J3816" s="1" t="s">
        <v>48</v>
      </c>
      <c r="K3816" s="1">
        <v>14</v>
      </c>
      <c r="L3816" s="1">
        <v>0</v>
      </c>
      <c r="M3816" s="1">
        <v>0</v>
      </c>
      <c r="N3816" s="1">
        <v>14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 t="s">
        <v>49</v>
      </c>
      <c r="AA3816" s="1" t="s">
        <v>49</v>
      </c>
      <c r="AB3816" s="1" t="s">
        <v>49</v>
      </c>
      <c r="AC3816" s="1" t="s">
        <v>8370</v>
      </c>
      <c r="AD3816" s="1" t="s">
        <v>8371</v>
      </c>
      <c r="AE3816" s="1" t="s">
        <v>8370</v>
      </c>
      <c r="AF3816" s="1" t="s">
        <v>8490</v>
      </c>
      <c r="AG3816" s="1" t="s">
        <v>8253</v>
      </c>
      <c r="AH3816" s="1" t="s">
        <v>8702</v>
      </c>
      <c r="AI3816" s="1" t="s">
        <v>54</v>
      </c>
      <c r="AJ3816" s="1">
        <v>1</v>
      </c>
      <c r="AK3816" s="1" t="str">
        <f t="shared" si="60"/>
        <v xml:space="preserve"> =&lt;90</v>
      </c>
      <c r="AL3816" s="1" t="e">
        <f>VLOOKUP(C:C,[1]基础信息!B$1:D$65536,3,0)</f>
        <v>#N/A</v>
      </c>
      <c r="AM3816" s="1" t="e">
        <f>VLOOKUP(C:C,[1]基础信息!B$1:E$65536,4,0)</f>
        <v>#N/A</v>
      </c>
      <c r="AN3816" s="1" t="e">
        <f>VLOOKUP(C:C,[1]基础信息!B$1:F$65536,5,0)</f>
        <v>#N/A</v>
      </c>
    </row>
    <row r="3817" spans="1:40">
      <c r="A3817" s="1" t="s">
        <v>41</v>
      </c>
      <c r="B3817" s="1" t="s">
        <v>42</v>
      </c>
      <c r="C3817" s="1" t="s">
        <v>8790</v>
      </c>
      <c r="D3817" s="1" t="s">
        <v>8791</v>
      </c>
      <c r="E3817" s="1" t="s">
        <v>45</v>
      </c>
      <c r="F3817" s="1" t="s">
        <v>8792</v>
      </c>
      <c r="G3817" s="1" t="s">
        <v>8793</v>
      </c>
      <c r="H3817" s="1" t="s">
        <v>45</v>
      </c>
      <c r="I3817" s="1" t="s">
        <v>45</v>
      </c>
      <c r="J3817" s="1" t="s">
        <v>48</v>
      </c>
      <c r="K3817" s="1">
        <v>2000</v>
      </c>
      <c r="L3817" s="1">
        <v>0</v>
      </c>
      <c r="M3817" s="1">
        <v>0</v>
      </c>
      <c r="N3817" s="1">
        <v>2000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 t="s">
        <v>49</v>
      </c>
      <c r="AA3817" s="1" t="s">
        <v>49</v>
      </c>
      <c r="AB3817" s="1" t="s">
        <v>49</v>
      </c>
      <c r="AC3817" s="1" t="s">
        <v>6515</v>
      </c>
      <c r="AD3817" s="1" t="s">
        <v>6516</v>
      </c>
      <c r="AE3817" s="1" t="s">
        <v>6515</v>
      </c>
      <c r="AF3817" s="1" t="s">
        <v>49</v>
      </c>
      <c r="AG3817" s="1" t="s">
        <v>4662</v>
      </c>
      <c r="AH3817" s="1" t="s">
        <v>8794</v>
      </c>
      <c r="AI3817" s="1" t="s">
        <v>54</v>
      </c>
      <c r="AJ3817" s="1">
        <v>1</v>
      </c>
      <c r="AK3817" s="1" t="str">
        <f t="shared" si="60"/>
        <v xml:space="preserve"> =&lt;90</v>
      </c>
      <c r="AL3817" s="1" t="str">
        <f>VLOOKUP(C:C,[1]基础信息!B$1:D$65536,3,0)</f>
        <v xml:space="preserve">Cartridge </v>
      </c>
      <c r="AM3817" s="1" t="str">
        <f>VLOOKUP(C:C,[1]基础信息!B$1:E$65536,4,0)</f>
        <v>UNIV</v>
      </c>
      <c r="AN3817" s="1" t="str">
        <f>VLOOKUP(C:C,[1]基础信息!B$1:F$65536,5,0)</f>
        <v>P55</v>
      </c>
    </row>
    <row r="3818" spans="1:40">
      <c r="A3818" s="1" t="s">
        <v>41</v>
      </c>
      <c r="B3818" s="1" t="s">
        <v>8244</v>
      </c>
      <c r="C3818" s="1" t="s">
        <v>8652</v>
      </c>
      <c r="D3818" s="1" t="s">
        <v>8653</v>
      </c>
      <c r="E3818" s="1" t="s">
        <v>8654</v>
      </c>
      <c r="F3818" s="1" t="s">
        <v>8655</v>
      </c>
      <c r="G3818" s="1" t="s">
        <v>8795</v>
      </c>
      <c r="H3818" s="1" t="s">
        <v>45</v>
      </c>
      <c r="I3818" s="1" t="s">
        <v>45</v>
      </c>
      <c r="J3818" s="1" t="s">
        <v>48</v>
      </c>
      <c r="K3818" s="1">
        <v>72</v>
      </c>
      <c r="L3818" s="1">
        <v>0</v>
      </c>
      <c r="M3818" s="1">
        <v>0</v>
      </c>
      <c r="N3818" s="1">
        <v>72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 t="s">
        <v>49</v>
      </c>
      <c r="AA3818" s="1" t="s">
        <v>49</v>
      </c>
      <c r="AB3818" s="1" t="s">
        <v>49</v>
      </c>
      <c r="AC3818" s="1" t="s">
        <v>8657</v>
      </c>
      <c r="AD3818" s="1" t="s">
        <v>8658</v>
      </c>
      <c r="AE3818" s="1" t="s">
        <v>8657</v>
      </c>
      <c r="AF3818" s="1" t="s">
        <v>8659</v>
      </c>
      <c r="AG3818" s="1" t="s">
        <v>8253</v>
      </c>
      <c r="AH3818" s="1" t="s">
        <v>49</v>
      </c>
      <c r="AI3818" s="1" t="s">
        <v>54</v>
      </c>
      <c r="AJ3818" s="1">
        <v>1</v>
      </c>
      <c r="AK3818" s="1" t="str">
        <f t="shared" si="60"/>
        <v xml:space="preserve"> =&lt;90</v>
      </c>
      <c r="AL3818" s="1" t="e">
        <f>VLOOKUP(C:C,[1]基础信息!B$1:D$65536,3,0)</f>
        <v>#N/A</v>
      </c>
      <c r="AM3818" s="1" t="e">
        <f>VLOOKUP(C:C,[1]基础信息!B$1:E$65536,4,0)</f>
        <v>#N/A</v>
      </c>
      <c r="AN3818" s="1" t="e">
        <f>VLOOKUP(C:C,[1]基础信息!B$1:F$65536,5,0)</f>
        <v>#N/A</v>
      </c>
    </row>
    <row r="3819" spans="1:40">
      <c r="A3819" s="1" t="s">
        <v>41</v>
      </c>
      <c r="B3819" s="1" t="s">
        <v>8244</v>
      </c>
      <c r="C3819" s="1" t="s">
        <v>8245</v>
      </c>
      <c r="D3819" s="1" t="s">
        <v>8246</v>
      </c>
      <c r="E3819" s="1" t="s">
        <v>8247</v>
      </c>
      <c r="F3819" s="1" t="s">
        <v>8796</v>
      </c>
      <c r="G3819" s="1" t="s">
        <v>8797</v>
      </c>
      <c r="H3819" s="1" t="s">
        <v>45</v>
      </c>
      <c r="I3819" s="1" t="s">
        <v>45</v>
      </c>
      <c r="J3819" s="1" t="s">
        <v>48</v>
      </c>
      <c r="K3819" s="1">
        <v>15</v>
      </c>
      <c r="L3819" s="1">
        <v>0</v>
      </c>
      <c r="M3819" s="1">
        <v>0</v>
      </c>
      <c r="N3819" s="1">
        <v>15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 t="s">
        <v>49</v>
      </c>
      <c r="AA3819" s="1" t="s">
        <v>49</v>
      </c>
      <c r="AB3819" s="1" t="s">
        <v>49</v>
      </c>
      <c r="AC3819" s="1" t="s">
        <v>8567</v>
      </c>
      <c r="AD3819" s="1" t="s">
        <v>8568</v>
      </c>
      <c r="AE3819" s="1" t="s">
        <v>8567</v>
      </c>
      <c r="AF3819" s="1" t="s">
        <v>8333</v>
      </c>
      <c r="AG3819" s="1" t="s">
        <v>8253</v>
      </c>
      <c r="AH3819" s="1" t="s">
        <v>49</v>
      </c>
      <c r="AI3819" s="1" t="s">
        <v>54</v>
      </c>
      <c r="AJ3819" s="1">
        <v>1</v>
      </c>
      <c r="AK3819" s="1" t="str">
        <f t="shared" si="60"/>
        <v xml:space="preserve"> =&lt;90</v>
      </c>
      <c r="AL3819" s="1" t="e">
        <f>VLOOKUP(C:C,[1]基础信息!B$1:D$65536,3,0)</f>
        <v>#N/A</v>
      </c>
      <c r="AM3819" s="1" t="e">
        <f>VLOOKUP(C:C,[1]基础信息!B$1:E$65536,4,0)</f>
        <v>#N/A</v>
      </c>
      <c r="AN3819" s="1" t="e">
        <f>VLOOKUP(C:C,[1]基础信息!B$1:F$65536,5,0)</f>
        <v>#N/A</v>
      </c>
    </row>
    <row r="3820" spans="1:40">
      <c r="A3820" s="1" t="s">
        <v>41</v>
      </c>
      <c r="B3820" s="1" t="s">
        <v>42</v>
      </c>
      <c r="C3820" s="1" t="s">
        <v>8790</v>
      </c>
      <c r="D3820" s="1" t="s">
        <v>8791</v>
      </c>
      <c r="E3820" s="1" t="s">
        <v>45</v>
      </c>
      <c r="F3820" s="1" t="s">
        <v>8792</v>
      </c>
      <c r="G3820" s="1" t="s">
        <v>8798</v>
      </c>
      <c r="H3820" s="1" t="s">
        <v>45</v>
      </c>
      <c r="I3820" s="1" t="s">
        <v>45</v>
      </c>
      <c r="J3820" s="1" t="s">
        <v>48</v>
      </c>
      <c r="K3820" s="1">
        <v>131</v>
      </c>
      <c r="L3820" s="1">
        <v>0</v>
      </c>
      <c r="M3820" s="1">
        <v>0</v>
      </c>
      <c r="N3820" s="1">
        <v>131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 t="s">
        <v>49</v>
      </c>
      <c r="AA3820" s="1" t="s">
        <v>49</v>
      </c>
      <c r="AB3820" s="1" t="s">
        <v>49</v>
      </c>
      <c r="AC3820" s="1" t="s">
        <v>6515</v>
      </c>
      <c r="AD3820" s="1" t="s">
        <v>6516</v>
      </c>
      <c r="AE3820" s="1" t="s">
        <v>6515</v>
      </c>
      <c r="AF3820" s="1" t="s">
        <v>49</v>
      </c>
      <c r="AG3820" s="1" t="s">
        <v>4662</v>
      </c>
      <c r="AH3820" s="1" t="s">
        <v>8794</v>
      </c>
      <c r="AI3820" s="1" t="s">
        <v>54</v>
      </c>
      <c r="AJ3820" s="1">
        <v>1</v>
      </c>
      <c r="AK3820" s="1" t="str">
        <f t="shared" si="60"/>
        <v xml:space="preserve"> =&lt;90</v>
      </c>
      <c r="AL3820" s="1" t="str">
        <f>VLOOKUP(C:C,[1]基础信息!B$1:D$65536,3,0)</f>
        <v xml:space="preserve">Cartridge </v>
      </c>
      <c r="AM3820" s="1" t="str">
        <f>VLOOKUP(C:C,[1]基础信息!B$1:E$65536,4,0)</f>
        <v>UNIV</v>
      </c>
      <c r="AN3820" s="1" t="str">
        <f>VLOOKUP(C:C,[1]基础信息!B$1:F$65536,5,0)</f>
        <v>P55</v>
      </c>
    </row>
    <row r="3821" spans="1:40">
      <c r="A3821" s="1" t="s">
        <v>41</v>
      </c>
      <c r="B3821" s="1" t="s">
        <v>8244</v>
      </c>
      <c r="C3821" s="1" t="s">
        <v>8581</v>
      </c>
      <c r="D3821" s="1" t="s">
        <v>8582</v>
      </c>
      <c r="E3821" s="1" t="s">
        <v>45</v>
      </c>
      <c r="F3821" s="1" t="s">
        <v>8660</v>
      </c>
      <c r="G3821" s="1" t="s">
        <v>8799</v>
      </c>
      <c r="H3821" s="1" t="s">
        <v>45</v>
      </c>
      <c r="I3821" s="1" t="s">
        <v>45</v>
      </c>
      <c r="J3821" s="1" t="s">
        <v>48</v>
      </c>
      <c r="K3821" s="1">
        <v>32</v>
      </c>
      <c r="L3821" s="1">
        <v>0</v>
      </c>
      <c r="M3821" s="1">
        <v>0</v>
      </c>
      <c r="N3821" s="1">
        <v>32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 t="s">
        <v>49</v>
      </c>
      <c r="AA3821" s="1" t="s">
        <v>49</v>
      </c>
      <c r="AB3821" s="1" t="s">
        <v>49</v>
      </c>
      <c r="AC3821" s="1" t="s">
        <v>5350</v>
      </c>
      <c r="AD3821" s="1" t="s">
        <v>8332</v>
      </c>
      <c r="AE3821" s="1" t="s">
        <v>5350</v>
      </c>
      <c r="AF3821" s="1" t="s">
        <v>8662</v>
      </c>
      <c r="AG3821" s="1" t="s">
        <v>8253</v>
      </c>
      <c r="AH3821" s="1" t="s">
        <v>49</v>
      </c>
      <c r="AI3821" s="1" t="s">
        <v>54</v>
      </c>
      <c r="AJ3821" s="1">
        <v>1</v>
      </c>
      <c r="AK3821" s="1" t="str">
        <f t="shared" si="60"/>
        <v xml:space="preserve"> =&lt;90</v>
      </c>
      <c r="AL3821" s="1" t="e">
        <f>VLOOKUP(C:C,[1]基础信息!B$1:D$65536,3,0)</f>
        <v>#N/A</v>
      </c>
      <c r="AM3821" s="1" t="e">
        <f>VLOOKUP(C:C,[1]基础信息!B$1:E$65536,4,0)</f>
        <v>#N/A</v>
      </c>
      <c r="AN3821" s="1" t="e">
        <f>VLOOKUP(C:C,[1]基础信息!B$1:F$65536,5,0)</f>
        <v>#N/A</v>
      </c>
    </row>
    <row r="3822" spans="1:40">
      <c r="A3822" s="1" t="s">
        <v>41</v>
      </c>
      <c r="B3822" s="1" t="s">
        <v>8244</v>
      </c>
      <c r="C3822" s="1" t="s">
        <v>8563</v>
      </c>
      <c r="D3822" s="1" t="s">
        <v>8564</v>
      </c>
      <c r="E3822" s="1" t="s">
        <v>45</v>
      </c>
      <c r="F3822" s="1" t="s">
        <v>8565</v>
      </c>
      <c r="G3822" s="1" t="s">
        <v>8800</v>
      </c>
      <c r="H3822" s="1" t="s">
        <v>45</v>
      </c>
      <c r="I3822" s="1" t="s">
        <v>45</v>
      </c>
      <c r="J3822" s="1" t="s">
        <v>48</v>
      </c>
      <c r="K3822" s="1">
        <v>25</v>
      </c>
      <c r="L3822" s="1">
        <v>0</v>
      </c>
      <c r="M3822" s="1">
        <v>0</v>
      </c>
      <c r="N3822" s="1">
        <v>25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 t="s">
        <v>49</v>
      </c>
      <c r="AA3822" s="1" t="s">
        <v>49</v>
      </c>
      <c r="AB3822" s="1" t="s">
        <v>49</v>
      </c>
      <c r="AC3822" s="1" t="s">
        <v>8567</v>
      </c>
      <c r="AD3822" s="1" t="s">
        <v>8568</v>
      </c>
      <c r="AE3822" s="1" t="s">
        <v>8567</v>
      </c>
      <c r="AF3822" s="1" t="s">
        <v>8569</v>
      </c>
      <c r="AG3822" s="1" t="s">
        <v>8253</v>
      </c>
      <c r="AH3822" s="1" t="s">
        <v>49</v>
      </c>
      <c r="AI3822" s="1" t="s">
        <v>54</v>
      </c>
      <c r="AJ3822" s="1">
        <v>1</v>
      </c>
      <c r="AK3822" s="1" t="str">
        <f t="shared" si="60"/>
        <v xml:space="preserve"> =&lt;90</v>
      </c>
      <c r="AL3822" s="1" t="e">
        <f>VLOOKUP(C:C,[1]基础信息!B$1:D$65536,3,0)</f>
        <v>#N/A</v>
      </c>
      <c r="AM3822" s="1" t="e">
        <f>VLOOKUP(C:C,[1]基础信息!B$1:E$65536,4,0)</f>
        <v>#N/A</v>
      </c>
      <c r="AN3822" s="1" t="e">
        <f>VLOOKUP(C:C,[1]基础信息!B$1:F$65536,5,0)</f>
        <v>#N/A</v>
      </c>
    </row>
    <row r="3823" spans="1:40">
      <c r="A3823" s="1" t="s">
        <v>41</v>
      </c>
      <c r="B3823" s="1" t="s">
        <v>8244</v>
      </c>
      <c r="C3823" s="1" t="s">
        <v>8742</v>
      </c>
      <c r="D3823" s="1" t="s">
        <v>8743</v>
      </c>
      <c r="E3823" s="1" t="s">
        <v>8744</v>
      </c>
      <c r="F3823" s="1" t="s">
        <v>8801</v>
      </c>
      <c r="G3823" s="1" t="s">
        <v>8802</v>
      </c>
      <c r="H3823" s="1" t="s">
        <v>45</v>
      </c>
      <c r="I3823" s="1" t="s">
        <v>45</v>
      </c>
      <c r="J3823" s="1" t="s">
        <v>48</v>
      </c>
      <c r="K3823" s="1">
        <v>463</v>
      </c>
      <c r="L3823" s="1">
        <v>2</v>
      </c>
      <c r="M3823" s="1">
        <v>0</v>
      </c>
      <c r="N3823" s="1">
        <v>461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 t="s">
        <v>49</v>
      </c>
      <c r="AA3823" s="1" t="s">
        <v>49</v>
      </c>
      <c r="AB3823" s="1" t="s">
        <v>49</v>
      </c>
      <c r="AC3823" s="1" t="s">
        <v>376</v>
      </c>
      <c r="AD3823" s="1" t="s">
        <v>377</v>
      </c>
      <c r="AE3823" s="1" t="s">
        <v>376</v>
      </c>
      <c r="AF3823" s="1" t="s">
        <v>8803</v>
      </c>
      <c r="AG3823" s="1" t="s">
        <v>8253</v>
      </c>
      <c r="AH3823" s="1" t="s">
        <v>49</v>
      </c>
      <c r="AI3823" s="1" t="s">
        <v>54</v>
      </c>
      <c r="AJ3823" s="1">
        <v>1</v>
      </c>
      <c r="AK3823" s="1" t="str">
        <f t="shared" si="60"/>
        <v xml:space="preserve"> =&lt;90</v>
      </c>
      <c r="AL3823" s="1" t="e">
        <f>VLOOKUP(C:C,[1]基础信息!B$1:D$65536,3,0)</f>
        <v>#N/A</v>
      </c>
      <c r="AM3823" s="1" t="e">
        <f>VLOOKUP(C:C,[1]基础信息!B$1:E$65536,4,0)</f>
        <v>#N/A</v>
      </c>
      <c r="AN3823" s="1" t="e">
        <f>VLOOKUP(C:C,[1]基础信息!B$1:F$65536,5,0)</f>
        <v>#N/A</v>
      </c>
    </row>
    <row r="3824" spans="1:40">
      <c r="A3824" s="1" t="s">
        <v>41</v>
      </c>
      <c r="B3824" s="1" t="s">
        <v>8244</v>
      </c>
      <c r="C3824" s="1" t="s">
        <v>8245</v>
      </c>
      <c r="D3824" s="1" t="s">
        <v>8246</v>
      </c>
      <c r="E3824" s="1" t="s">
        <v>8247</v>
      </c>
      <c r="F3824" s="1" t="s">
        <v>8796</v>
      </c>
      <c r="G3824" s="1" t="s">
        <v>8804</v>
      </c>
      <c r="H3824" s="1" t="s">
        <v>45</v>
      </c>
      <c r="I3824" s="1" t="s">
        <v>45</v>
      </c>
      <c r="J3824" s="1" t="s">
        <v>48</v>
      </c>
      <c r="K3824" s="1">
        <v>81</v>
      </c>
      <c r="L3824" s="1">
        <v>0</v>
      </c>
      <c r="M3824" s="1">
        <v>0</v>
      </c>
      <c r="N3824" s="1">
        <v>81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 t="s">
        <v>49</v>
      </c>
      <c r="AA3824" s="1" t="s">
        <v>49</v>
      </c>
      <c r="AB3824" s="1" t="s">
        <v>49</v>
      </c>
      <c r="AC3824" s="1" t="s">
        <v>8567</v>
      </c>
      <c r="AD3824" s="1" t="s">
        <v>8568</v>
      </c>
      <c r="AE3824" s="1" t="s">
        <v>8567</v>
      </c>
      <c r="AF3824" s="1" t="s">
        <v>8333</v>
      </c>
      <c r="AG3824" s="1" t="s">
        <v>8253</v>
      </c>
      <c r="AH3824" s="1" t="s">
        <v>49</v>
      </c>
      <c r="AI3824" s="1" t="s">
        <v>54</v>
      </c>
      <c r="AJ3824" s="1">
        <v>1</v>
      </c>
      <c r="AK3824" s="1" t="str">
        <f t="shared" si="60"/>
        <v xml:space="preserve"> =&lt;90</v>
      </c>
      <c r="AL3824" s="1" t="e">
        <f>VLOOKUP(C:C,[1]基础信息!B$1:D$65536,3,0)</f>
        <v>#N/A</v>
      </c>
      <c r="AM3824" s="1" t="e">
        <f>VLOOKUP(C:C,[1]基础信息!B$1:E$65536,4,0)</f>
        <v>#N/A</v>
      </c>
      <c r="AN3824" s="1" t="e">
        <f>VLOOKUP(C:C,[1]基础信息!B$1:F$65536,5,0)</f>
        <v>#N/A</v>
      </c>
    </row>
    <row r="3825" spans="1:40">
      <c r="A3825" s="1" t="s">
        <v>41</v>
      </c>
      <c r="B3825" s="1" t="s">
        <v>8244</v>
      </c>
      <c r="C3825" s="1" t="s">
        <v>8652</v>
      </c>
      <c r="D3825" s="1" t="s">
        <v>8653</v>
      </c>
      <c r="E3825" s="1" t="s">
        <v>8654</v>
      </c>
      <c r="F3825" s="1" t="s">
        <v>8655</v>
      </c>
      <c r="G3825" s="1" t="s">
        <v>8805</v>
      </c>
      <c r="H3825" s="1" t="s">
        <v>45</v>
      </c>
      <c r="I3825" s="1" t="s">
        <v>45</v>
      </c>
      <c r="J3825" s="1" t="s">
        <v>48</v>
      </c>
      <c r="K3825" s="1">
        <v>72</v>
      </c>
      <c r="L3825" s="1">
        <v>0</v>
      </c>
      <c r="M3825" s="1">
        <v>0</v>
      </c>
      <c r="N3825" s="1">
        <v>72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 t="s">
        <v>49</v>
      </c>
      <c r="AA3825" s="1" t="s">
        <v>49</v>
      </c>
      <c r="AB3825" s="1" t="s">
        <v>49</v>
      </c>
      <c r="AC3825" s="1" t="s">
        <v>8657</v>
      </c>
      <c r="AD3825" s="1" t="s">
        <v>8658</v>
      </c>
      <c r="AE3825" s="1" t="s">
        <v>8657</v>
      </c>
      <c r="AF3825" s="1" t="s">
        <v>8659</v>
      </c>
      <c r="AG3825" s="1" t="s">
        <v>8253</v>
      </c>
      <c r="AH3825" s="1" t="s">
        <v>49</v>
      </c>
      <c r="AI3825" s="1" t="s">
        <v>54</v>
      </c>
      <c r="AJ3825" s="1">
        <v>1</v>
      </c>
      <c r="AK3825" s="1" t="str">
        <f t="shared" si="60"/>
        <v xml:space="preserve"> =&lt;90</v>
      </c>
      <c r="AL3825" s="1" t="e">
        <f>VLOOKUP(C:C,[1]基础信息!B$1:D$65536,3,0)</f>
        <v>#N/A</v>
      </c>
      <c r="AM3825" s="1" t="e">
        <f>VLOOKUP(C:C,[1]基础信息!B$1:E$65536,4,0)</f>
        <v>#N/A</v>
      </c>
      <c r="AN3825" s="1" t="e">
        <f>VLOOKUP(C:C,[1]基础信息!B$1:F$65536,5,0)</f>
        <v>#N/A</v>
      </c>
    </row>
    <row r="3826" spans="1:40">
      <c r="A3826" s="1" t="s">
        <v>41</v>
      </c>
      <c r="B3826" s="1" t="s">
        <v>8244</v>
      </c>
      <c r="C3826" s="1" t="s">
        <v>8581</v>
      </c>
      <c r="D3826" s="1" t="s">
        <v>8582</v>
      </c>
      <c r="E3826" s="1" t="s">
        <v>45</v>
      </c>
      <c r="F3826" s="1" t="s">
        <v>8806</v>
      </c>
      <c r="G3826" s="1" t="s">
        <v>8807</v>
      </c>
      <c r="H3826" s="1" t="s">
        <v>45</v>
      </c>
      <c r="I3826" s="1" t="s">
        <v>45</v>
      </c>
      <c r="J3826" s="1" t="s">
        <v>48</v>
      </c>
      <c r="K3826" s="1">
        <v>32</v>
      </c>
      <c r="L3826" s="1">
        <v>0</v>
      </c>
      <c r="M3826" s="1">
        <v>0</v>
      </c>
      <c r="N3826" s="1">
        <v>32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 t="s">
        <v>49</v>
      </c>
      <c r="AA3826" s="1" t="s">
        <v>49</v>
      </c>
      <c r="AB3826" s="1" t="s">
        <v>49</v>
      </c>
      <c r="AC3826" s="1" t="s">
        <v>5350</v>
      </c>
      <c r="AD3826" s="1" t="s">
        <v>8332</v>
      </c>
      <c r="AE3826" s="1" t="s">
        <v>5350</v>
      </c>
      <c r="AF3826" s="1" t="s">
        <v>8808</v>
      </c>
      <c r="AG3826" s="1" t="s">
        <v>8253</v>
      </c>
      <c r="AH3826" s="1" t="s">
        <v>49</v>
      </c>
      <c r="AI3826" s="1" t="s">
        <v>54</v>
      </c>
      <c r="AJ3826" s="1">
        <v>1</v>
      </c>
      <c r="AK3826" s="1" t="str">
        <f t="shared" si="60"/>
        <v xml:space="preserve"> =&lt;90</v>
      </c>
      <c r="AL3826" s="1" t="e">
        <f>VLOOKUP(C:C,[1]基础信息!B$1:D$65536,3,0)</f>
        <v>#N/A</v>
      </c>
      <c r="AM3826" s="1" t="e">
        <f>VLOOKUP(C:C,[1]基础信息!B$1:E$65536,4,0)</f>
        <v>#N/A</v>
      </c>
      <c r="AN3826" s="1" t="e">
        <f>VLOOKUP(C:C,[1]基础信息!B$1:F$65536,5,0)</f>
        <v>#N/A</v>
      </c>
    </row>
    <row r="3827" spans="1:40">
      <c r="A3827" s="1" t="s">
        <v>41</v>
      </c>
      <c r="B3827" s="1" t="s">
        <v>8244</v>
      </c>
      <c r="C3827" s="1" t="s">
        <v>8347</v>
      </c>
      <c r="D3827" s="1" t="s">
        <v>8348</v>
      </c>
      <c r="E3827" s="1" t="s">
        <v>45</v>
      </c>
      <c r="F3827" s="1" t="s">
        <v>8809</v>
      </c>
      <c r="G3827" s="1" t="s">
        <v>8810</v>
      </c>
      <c r="H3827" s="1" t="s">
        <v>45</v>
      </c>
      <c r="I3827" s="1" t="s">
        <v>45</v>
      </c>
      <c r="J3827" s="1" t="s">
        <v>48</v>
      </c>
      <c r="K3827" s="1">
        <v>8</v>
      </c>
      <c r="L3827" s="1">
        <v>0</v>
      </c>
      <c r="M3827" s="1">
        <v>0</v>
      </c>
      <c r="N3827" s="1">
        <v>8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 t="s">
        <v>49</v>
      </c>
      <c r="AA3827" s="1" t="s">
        <v>49</v>
      </c>
      <c r="AB3827" s="1" t="s">
        <v>49</v>
      </c>
      <c r="AC3827" s="1" t="s">
        <v>8370</v>
      </c>
      <c r="AD3827" s="1" t="s">
        <v>8371</v>
      </c>
      <c r="AE3827" s="1" t="s">
        <v>8370</v>
      </c>
      <c r="AF3827" s="1" t="s">
        <v>8497</v>
      </c>
      <c r="AG3827" s="1" t="s">
        <v>8383</v>
      </c>
      <c r="AH3827" s="1" t="s">
        <v>8354</v>
      </c>
      <c r="AI3827" s="1" t="s">
        <v>54</v>
      </c>
      <c r="AJ3827" s="1">
        <v>1</v>
      </c>
      <c r="AK3827" s="1" t="str">
        <f t="shared" si="60"/>
        <v xml:space="preserve"> =&lt;90</v>
      </c>
      <c r="AL3827" s="1" t="e">
        <f>VLOOKUP(C:C,[1]基础信息!B$1:D$65536,3,0)</f>
        <v>#N/A</v>
      </c>
      <c r="AM3827" s="1" t="e">
        <f>VLOOKUP(C:C,[1]基础信息!B$1:E$65536,4,0)</f>
        <v>#N/A</v>
      </c>
      <c r="AN3827" s="1" t="e">
        <f>VLOOKUP(C:C,[1]基础信息!B$1:F$65536,5,0)</f>
        <v>#N/A</v>
      </c>
    </row>
    <row r="3828" spans="1:40">
      <c r="A3828" s="1" t="s">
        <v>41</v>
      </c>
      <c r="B3828" s="1" t="s">
        <v>8244</v>
      </c>
      <c r="C3828" s="1" t="s">
        <v>8397</v>
      </c>
      <c r="D3828" s="1" t="s">
        <v>8398</v>
      </c>
      <c r="E3828" s="1" t="s">
        <v>8399</v>
      </c>
      <c r="F3828" s="1" t="s">
        <v>8589</v>
      </c>
      <c r="G3828" s="1" t="s">
        <v>8811</v>
      </c>
      <c r="H3828" s="1" t="s">
        <v>45</v>
      </c>
      <c r="I3828" s="1" t="s">
        <v>45</v>
      </c>
      <c r="J3828" s="1" t="s">
        <v>48</v>
      </c>
      <c r="K3828" s="1">
        <v>56</v>
      </c>
      <c r="L3828" s="1">
        <v>0</v>
      </c>
      <c r="M3828" s="1">
        <v>0</v>
      </c>
      <c r="N3828" s="1">
        <v>56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 t="s">
        <v>49</v>
      </c>
      <c r="AA3828" s="1" t="s">
        <v>49</v>
      </c>
      <c r="AB3828" s="1" t="s">
        <v>49</v>
      </c>
      <c r="AC3828" s="1" t="s">
        <v>61</v>
      </c>
      <c r="AD3828" s="1" t="s">
        <v>62</v>
      </c>
      <c r="AE3828" s="1" t="s">
        <v>61</v>
      </c>
      <c r="AF3828" s="1" t="s">
        <v>8591</v>
      </c>
      <c r="AG3828" s="1" t="s">
        <v>8253</v>
      </c>
      <c r="AH3828" s="1" t="s">
        <v>49</v>
      </c>
      <c r="AI3828" s="1" t="s">
        <v>54</v>
      </c>
      <c r="AJ3828" s="1">
        <v>1</v>
      </c>
      <c r="AK3828" s="1" t="str">
        <f t="shared" si="60"/>
        <v xml:space="preserve"> =&lt;90</v>
      </c>
      <c r="AL3828" s="1" t="e">
        <f>VLOOKUP(C:C,[1]基础信息!B$1:D$65536,3,0)</f>
        <v>#N/A</v>
      </c>
      <c r="AM3828" s="1" t="e">
        <f>VLOOKUP(C:C,[1]基础信息!B$1:E$65536,4,0)</f>
        <v>#N/A</v>
      </c>
      <c r="AN3828" s="1" t="e">
        <f>VLOOKUP(C:C,[1]基础信息!B$1:F$65536,5,0)</f>
        <v>#N/A</v>
      </c>
    </row>
    <row r="3829" spans="1:40">
      <c r="A3829" s="1" t="s">
        <v>41</v>
      </c>
      <c r="B3829" s="1" t="s">
        <v>8244</v>
      </c>
      <c r="C3829" s="1" t="s">
        <v>8347</v>
      </c>
      <c r="D3829" s="1" t="s">
        <v>8348</v>
      </c>
      <c r="E3829" s="1" t="s">
        <v>45</v>
      </c>
      <c r="F3829" s="1" t="s">
        <v>8812</v>
      </c>
      <c r="G3829" s="1" t="s">
        <v>8813</v>
      </c>
      <c r="H3829" s="1" t="s">
        <v>45</v>
      </c>
      <c r="I3829" s="1" t="s">
        <v>45</v>
      </c>
      <c r="J3829" s="1" t="s">
        <v>48</v>
      </c>
      <c r="K3829" s="1">
        <v>19</v>
      </c>
      <c r="L3829" s="1">
        <v>0</v>
      </c>
      <c r="M3829" s="1">
        <v>0</v>
      </c>
      <c r="N3829" s="1">
        <v>19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 t="s">
        <v>49</v>
      </c>
      <c r="AA3829" s="1" t="s">
        <v>49</v>
      </c>
      <c r="AB3829" s="1" t="s">
        <v>49</v>
      </c>
      <c r="AC3829" s="1" t="s">
        <v>8370</v>
      </c>
      <c r="AD3829" s="1" t="s">
        <v>8371</v>
      </c>
      <c r="AE3829" s="1" t="s">
        <v>8370</v>
      </c>
      <c r="AF3829" s="1" t="s">
        <v>8382</v>
      </c>
      <c r="AG3829" s="1" t="s">
        <v>8253</v>
      </c>
      <c r="AH3829" s="1" t="s">
        <v>8354</v>
      </c>
      <c r="AI3829" s="1" t="s">
        <v>54</v>
      </c>
      <c r="AJ3829" s="1">
        <v>1</v>
      </c>
      <c r="AK3829" s="1" t="str">
        <f t="shared" si="60"/>
        <v xml:space="preserve"> =&lt;90</v>
      </c>
      <c r="AL3829" s="1" t="e">
        <f>VLOOKUP(C:C,[1]基础信息!B$1:D$65536,3,0)</f>
        <v>#N/A</v>
      </c>
      <c r="AM3829" s="1" t="e">
        <f>VLOOKUP(C:C,[1]基础信息!B$1:E$65536,4,0)</f>
        <v>#N/A</v>
      </c>
      <c r="AN3829" s="1" t="e">
        <f>VLOOKUP(C:C,[1]基础信息!B$1:F$65536,5,0)</f>
        <v>#N/A</v>
      </c>
    </row>
    <row r="3830" spans="1:40">
      <c r="A3830" s="1" t="s">
        <v>41</v>
      </c>
      <c r="B3830" s="1" t="s">
        <v>8244</v>
      </c>
      <c r="C3830" s="1" t="s">
        <v>8563</v>
      </c>
      <c r="D3830" s="1" t="s">
        <v>8564</v>
      </c>
      <c r="E3830" s="1" t="s">
        <v>45</v>
      </c>
      <c r="F3830" s="1" t="s">
        <v>8814</v>
      </c>
      <c r="G3830" s="1" t="s">
        <v>8815</v>
      </c>
      <c r="H3830" s="1" t="s">
        <v>45</v>
      </c>
      <c r="I3830" s="1" t="s">
        <v>45</v>
      </c>
      <c r="J3830" s="1" t="s">
        <v>48</v>
      </c>
      <c r="K3830" s="1">
        <v>32</v>
      </c>
      <c r="L3830" s="1">
        <v>0</v>
      </c>
      <c r="M3830" s="1">
        <v>0</v>
      </c>
      <c r="N3830" s="1">
        <v>32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 t="s">
        <v>49</v>
      </c>
      <c r="AA3830" s="1" t="s">
        <v>49</v>
      </c>
      <c r="AB3830" s="1" t="s">
        <v>49</v>
      </c>
      <c r="AC3830" s="1" t="s">
        <v>3447</v>
      </c>
      <c r="AD3830" s="1" t="s">
        <v>3448</v>
      </c>
      <c r="AE3830" s="1" t="s">
        <v>3447</v>
      </c>
      <c r="AF3830" s="1" t="s">
        <v>8816</v>
      </c>
      <c r="AG3830" s="1" t="s">
        <v>8253</v>
      </c>
      <c r="AH3830" s="1" t="s">
        <v>49</v>
      </c>
      <c r="AI3830" s="1" t="s">
        <v>54</v>
      </c>
      <c r="AJ3830" s="1">
        <v>1</v>
      </c>
      <c r="AK3830" s="1" t="str">
        <f t="shared" si="60"/>
        <v xml:space="preserve"> =&lt;90</v>
      </c>
      <c r="AL3830" s="1" t="e">
        <f>VLOOKUP(C:C,[1]基础信息!B$1:D$65536,3,0)</f>
        <v>#N/A</v>
      </c>
      <c r="AM3830" s="1" t="e">
        <f>VLOOKUP(C:C,[1]基础信息!B$1:E$65536,4,0)</f>
        <v>#N/A</v>
      </c>
      <c r="AN3830" s="1" t="e">
        <f>VLOOKUP(C:C,[1]基础信息!B$1:F$65536,5,0)</f>
        <v>#N/A</v>
      </c>
    </row>
    <row r="3831" spans="1:40">
      <c r="A3831" s="1" t="s">
        <v>41</v>
      </c>
      <c r="B3831" s="1" t="s">
        <v>8244</v>
      </c>
      <c r="C3831" s="1" t="s">
        <v>8817</v>
      </c>
      <c r="D3831" s="1" t="s">
        <v>8818</v>
      </c>
      <c r="E3831" s="1" t="s">
        <v>45</v>
      </c>
      <c r="F3831" s="1" t="s">
        <v>8819</v>
      </c>
      <c r="G3831" s="1" t="s">
        <v>8820</v>
      </c>
      <c r="H3831" s="1" t="s">
        <v>45</v>
      </c>
      <c r="I3831" s="1" t="s">
        <v>45</v>
      </c>
      <c r="J3831" s="1" t="s">
        <v>48</v>
      </c>
      <c r="K3831" s="1">
        <v>58</v>
      </c>
      <c r="L3831" s="1">
        <v>0</v>
      </c>
      <c r="M3831" s="1">
        <v>0</v>
      </c>
      <c r="N3831" s="1">
        <v>58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 t="s">
        <v>49</v>
      </c>
      <c r="AA3831" s="1" t="s">
        <v>49</v>
      </c>
      <c r="AB3831" s="1" t="s">
        <v>49</v>
      </c>
      <c r="AC3831" s="1" t="s">
        <v>8821</v>
      </c>
      <c r="AD3831" s="1" t="s">
        <v>8822</v>
      </c>
      <c r="AE3831" s="1" t="s">
        <v>8821</v>
      </c>
      <c r="AF3831" s="1" t="s">
        <v>8823</v>
      </c>
      <c r="AG3831" s="1" t="s">
        <v>8253</v>
      </c>
      <c r="AH3831" s="1" t="s">
        <v>49</v>
      </c>
      <c r="AI3831" s="1" t="s">
        <v>54</v>
      </c>
      <c r="AJ3831" s="1">
        <v>1</v>
      </c>
      <c r="AK3831" s="1" t="str">
        <f t="shared" si="60"/>
        <v xml:space="preserve"> =&lt;90</v>
      </c>
      <c r="AL3831" s="1" t="e">
        <f>VLOOKUP(C:C,[1]基础信息!B$1:D$65536,3,0)</f>
        <v>#N/A</v>
      </c>
      <c r="AM3831" s="1" t="e">
        <f>VLOOKUP(C:C,[1]基础信息!B$1:E$65536,4,0)</f>
        <v>#N/A</v>
      </c>
      <c r="AN3831" s="1" t="e">
        <f>VLOOKUP(C:C,[1]基础信息!B$1:F$65536,5,0)</f>
        <v>#N/A</v>
      </c>
    </row>
    <row r="3832" spans="1:40">
      <c r="A3832" s="1" t="s">
        <v>41</v>
      </c>
      <c r="B3832" s="1" t="s">
        <v>8244</v>
      </c>
      <c r="C3832" s="1" t="s">
        <v>8397</v>
      </c>
      <c r="D3832" s="1" t="s">
        <v>8398</v>
      </c>
      <c r="E3832" s="1" t="s">
        <v>8399</v>
      </c>
      <c r="F3832" s="1" t="s">
        <v>8824</v>
      </c>
      <c r="G3832" s="1" t="s">
        <v>8825</v>
      </c>
      <c r="H3832" s="1" t="s">
        <v>45</v>
      </c>
      <c r="I3832" s="1" t="s">
        <v>45</v>
      </c>
      <c r="J3832" s="1" t="s">
        <v>48</v>
      </c>
      <c r="K3832" s="1">
        <v>24</v>
      </c>
      <c r="L3832" s="1">
        <v>0</v>
      </c>
      <c r="M3832" s="1">
        <v>0</v>
      </c>
      <c r="N3832" s="1">
        <v>24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 t="s">
        <v>49</v>
      </c>
      <c r="AA3832" s="1" t="s">
        <v>49</v>
      </c>
      <c r="AB3832" s="1" t="s">
        <v>49</v>
      </c>
      <c r="AC3832" s="1" t="s">
        <v>8657</v>
      </c>
      <c r="AD3832" s="1" t="s">
        <v>8658</v>
      </c>
      <c r="AE3832" s="1" t="s">
        <v>8657</v>
      </c>
      <c r="AF3832" s="1" t="s">
        <v>8826</v>
      </c>
      <c r="AG3832" s="1" t="s">
        <v>8253</v>
      </c>
      <c r="AH3832" s="1" t="s">
        <v>49</v>
      </c>
      <c r="AI3832" s="1" t="s">
        <v>54</v>
      </c>
      <c r="AJ3832" s="1">
        <v>1</v>
      </c>
      <c r="AK3832" s="1" t="str">
        <f t="shared" si="60"/>
        <v xml:space="preserve"> =&lt;90</v>
      </c>
      <c r="AL3832" s="1" t="e">
        <f>VLOOKUP(C:C,[1]基础信息!B$1:D$65536,3,0)</f>
        <v>#N/A</v>
      </c>
      <c r="AM3832" s="1" t="e">
        <f>VLOOKUP(C:C,[1]基础信息!B$1:E$65536,4,0)</f>
        <v>#N/A</v>
      </c>
      <c r="AN3832" s="1" t="e">
        <f>VLOOKUP(C:C,[1]基础信息!B$1:F$65536,5,0)</f>
        <v>#N/A</v>
      </c>
    </row>
    <row r="3833" spans="1:40">
      <c r="A3833" s="1" t="s">
        <v>41</v>
      </c>
      <c r="B3833" s="1" t="s">
        <v>42</v>
      </c>
      <c r="C3833" s="1" t="s">
        <v>8610</v>
      </c>
      <c r="D3833" s="1" t="s">
        <v>8611</v>
      </c>
      <c r="E3833" s="1" t="s">
        <v>45</v>
      </c>
      <c r="F3833" s="1" t="s">
        <v>8827</v>
      </c>
      <c r="G3833" s="1" t="s">
        <v>8828</v>
      </c>
      <c r="H3833" s="1" t="s">
        <v>8829</v>
      </c>
      <c r="I3833" s="1" t="s">
        <v>45</v>
      </c>
      <c r="J3833" s="1" t="s">
        <v>48</v>
      </c>
      <c r="K3833" s="1">
        <v>1650</v>
      </c>
      <c r="L3833" s="1">
        <v>0</v>
      </c>
      <c r="M3833" s="1">
        <v>0</v>
      </c>
      <c r="N3833" s="1">
        <v>1650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 t="s">
        <v>49</v>
      </c>
      <c r="AA3833" s="1" t="s">
        <v>49</v>
      </c>
      <c r="AB3833" s="1" t="s">
        <v>49</v>
      </c>
      <c r="AC3833" s="1" t="s">
        <v>8615</v>
      </c>
      <c r="AD3833" s="1" t="s">
        <v>8616</v>
      </c>
      <c r="AE3833" s="1" t="s">
        <v>8615</v>
      </c>
      <c r="AF3833" s="1" t="s">
        <v>8830</v>
      </c>
      <c r="AG3833" s="1" t="s">
        <v>4662</v>
      </c>
      <c r="AH3833" s="1" t="s">
        <v>49</v>
      </c>
      <c r="AI3833" s="1" t="s">
        <v>54</v>
      </c>
      <c r="AJ3833" s="1">
        <v>1</v>
      </c>
      <c r="AK3833" s="1" t="str">
        <f t="shared" si="60"/>
        <v xml:space="preserve"> =&lt;90</v>
      </c>
      <c r="AL3833" s="1" t="str">
        <f>VLOOKUP(C:C,[1]基础信息!B$1:D$65536,3,0)</f>
        <v xml:space="preserve">Cartridge </v>
      </c>
      <c r="AM3833" s="1" t="str">
        <f>VLOOKUP(C:C,[1]基础信息!B$1:E$65536,4,0)</f>
        <v>UNIV</v>
      </c>
      <c r="AN3833" s="1" t="str">
        <f>VLOOKUP(C:C,[1]基础信息!B$1:F$65536,5,0)</f>
        <v>P55</v>
      </c>
    </row>
    <row r="3834" spans="1:40">
      <c r="A3834" s="1" t="s">
        <v>41</v>
      </c>
      <c r="B3834" s="1" t="s">
        <v>8244</v>
      </c>
      <c r="C3834" s="1" t="s">
        <v>8397</v>
      </c>
      <c r="D3834" s="1" t="s">
        <v>8398</v>
      </c>
      <c r="E3834" s="1" t="s">
        <v>8399</v>
      </c>
      <c r="F3834" s="1" t="s">
        <v>8643</v>
      </c>
      <c r="G3834" s="1" t="s">
        <v>8831</v>
      </c>
      <c r="H3834" s="1" t="s">
        <v>45</v>
      </c>
      <c r="I3834" s="1" t="s">
        <v>45</v>
      </c>
      <c r="J3834" s="1" t="s">
        <v>48</v>
      </c>
      <c r="K3834" s="1">
        <v>56</v>
      </c>
      <c r="L3834" s="1">
        <v>0</v>
      </c>
      <c r="M3834" s="1">
        <v>0</v>
      </c>
      <c r="N3834" s="1">
        <v>56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 t="s">
        <v>49</v>
      </c>
      <c r="AA3834" s="1" t="s">
        <v>49</v>
      </c>
      <c r="AB3834" s="1" t="s">
        <v>49</v>
      </c>
      <c r="AC3834" s="1" t="s">
        <v>7567</v>
      </c>
      <c r="AD3834" s="1" t="s">
        <v>7568</v>
      </c>
      <c r="AE3834" s="1" t="s">
        <v>7567</v>
      </c>
      <c r="AF3834" s="1" t="s">
        <v>8645</v>
      </c>
      <c r="AG3834" s="1" t="s">
        <v>8253</v>
      </c>
      <c r="AH3834" s="1" t="s">
        <v>49</v>
      </c>
      <c r="AI3834" s="1" t="s">
        <v>54</v>
      </c>
      <c r="AJ3834" s="1">
        <v>1</v>
      </c>
      <c r="AK3834" s="1" t="str">
        <f t="shared" si="60"/>
        <v xml:space="preserve"> =&lt;90</v>
      </c>
      <c r="AL3834" s="1" t="e">
        <f>VLOOKUP(C:C,[1]基础信息!B$1:D$65536,3,0)</f>
        <v>#N/A</v>
      </c>
      <c r="AM3834" s="1" t="e">
        <f>VLOOKUP(C:C,[1]基础信息!B$1:E$65536,4,0)</f>
        <v>#N/A</v>
      </c>
      <c r="AN3834" s="1" t="e">
        <f>VLOOKUP(C:C,[1]基础信息!B$1:F$65536,5,0)</f>
        <v>#N/A</v>
      </c>
    </row>
    <row r="3835" spans="1:40">
      <c r="A3835" s="1" t="s">
        <v>41</v>
      </c>
      <c r="B3835" s="1" t="s">
        <v>8244</v>
      </c>
      <c r="C3835" s="1" t="s">
        <v>8397</v>
      </c>
      <c r="D3835" s="1" t="s">
        <v>8398</v>
      </c>
      <c r="E3835" s="1" t="s">
        <v>8399</v>
      </c>
      <c r="F3835" s="1" t="s">
        <v>8824</v>
      </c>
      <c r="G3835" s="1" t="s">
        <v>8832</v>
      </c>
      <c r="H3835" s="1" t="s">
        <v>45</v>
      </c>
      <c r="I3835" s="1" t="s">
        <v>45</v>
      </c>
      <c r="J3835" s="1" t="s">
        <v>48</v>
      </c>
      <c r="K3835" s="1">
        <v>48</v>
      </c>
      <c r="L3835" s="1">
        <v>0</v>
      </c>
      <c r="M3835" s="1">
        <v>0</v>
      </c>
      <c r="N3835" s="1">
        <v>48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 t="s">
        <v>49</v>
      </c>
      <c r="AA3835" s="1" t="s">
        <v>49</v>
      </c>
      <c r="AB3835" s="1" t="s">
        <v>49</v>
      </c>
      <c r="AC3835" s="1" t="s">
        <v>8657</v>
      </c>
      <c r="AD3835" s="1" t="s">
        <v>8658</v>
      </c>
      <c r="AE3835" s="1" t="s">
        <v>8657</v>
      </c>
      <c r="AF3835" s="1" t="s">
        <v>8826</v>
      </c>
      <c r="AG3835" s="1" t="s">
        <v>8253</v>
      </c>
      <c r="AH3835" s="1" t="s">
        <v>49</v>
      </c>
      <c r="AI3835" s="1" t="s">
        <v>54</v>
      </c>
      <c r="AJ3835" s="1">
        <v>1</v>
      </c>
      <c r="AK3835" s="1" t="str">
        <f t="shared" si="60"/>
        <v xml:space="preserve"> =&lt;90</v>
      </c>
      <c r="AL3835" s="1" t="e">
        <f>VLOOKUP(C:C,[1]基础信息!B$1:D$65536,3,0)</f>
        <v>#N/A</v>
      </c>
      <c r="AM3835" s="1" t="e">
        <f>VLOOKUP(C:C,[1]基础信息!B$1:E$65536,4,0)</f>
        <v>#N/A</v>
      </c>
      <c r="AN3835" s="1" t="e">
        <f>VLOOKUP(C:C,[1]基础信息!B$1:F$65536,5,0)</f>
        <v>#N/A</v>
      </c>
    </row>
    <row r="3836" spans="1:40">
      <c r="A3836" s="1" t="s">
        <v>41</v>
      </c>
      <c r="B3836" s="1" t="s">
        <v>8244</v>
      </c>
      <c r="C3836" s="1" t="s">
        <v>8323</v>
      </c>
      <c r="D3836" s="1" t="s">
        <v>8324</v>
      </c>
      <c r="E3836" s="1" t="s">
        <v>45</v>
      </c>
      <c r="F3836" s="1" t="s">
        <v>8833</v>
      </c>
      <c r="G3836" s="1" t="s">
        <v>8834</v>
      </c>
      <c r="H3836" s="1" t="s">
        <v>45</v>
      </c>
      <c r="I3836" s="1" t="s">
        <v>45</v>
      </c>
      <c r="J3836" s="1" t="s">
        <v>48</v>
      </c>
      <c r="K3836" s="1">
        <v>65</v>
      </c>
      <c r="L3836" s="1">
        <v>0</v>
      </c>
      <c r="M3836" s="1">
        <v>0</v>
      </c>
      <c r="N3836" s="1">
        <v>65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 t="s">
        <v>49</v>
      </c>
      <c r="AA3836" s="1" t="s">
        <v>49</v>
      </c>
      <c r="AB3836" s="1" t="s">
        <v>49</v>
      </c>
      <c r="AC3836" s="1" t="s">
        <v>8402</v>
      </c>
      <c r="AD3836" s="1" t="s">
        <v>8403</v>
      </c>
      <c r="AE3836" s="1" t="s">
        <v>8402</v>
      </c>
      <c r="AF3836" s="1" t="s">
        <v>8835</v>
      </c>
      <c r="AG3836" s="1" t="s">
        <v>8253</v>
      </c>
      <c r="AH3836" s="1" t="s">
        <v>49</v>
      </c>
      <c r="AI3836" s="1" t="s">
        <v>54</v>
      </c>
      <c r="AJ3836" s="1">
        <v>1</v>
      </c>
      <c r="AK3836" s="1" t="str">
        <f t="shared" si="60"/>
        <v xml:space="preserve"> =&lt;90</v>
      </c>
      <c r="AL3836" s="1" t="e">
        <f>VLOOKUP(C:C,[1]基础信息!B$1:D$65536,3,0)</f>
        <v>#N/A</v>
      </c>
      <c r="AM3836" s="1" t="e">
        <f>VLOOKUP(C:C,[1]基础信息!B$1:E$65536,4,0)</f>
        <v>#N/A</v>
      </c>
      <c r="AN3836" s="1" t="e">
        <f>VLOOKUP(C:C,[1]基础信息!B$1:F$65536,5,0)</f>
        <v>#N/A</v>
      </c>
    </row>
    <row r="3837" spans="1:40">
      <c r="A3837" s="1" t="s">
        <v>41</v>
      </c>
      <c r="B3837" s="1" t="s">
        <v>8244</v>
      </c>
      <c r="C3837" s="1" t="s">
        <v>8397</v>
      </c>
      <c r="D3837" s="1" t="s">
        <v>8398</v>
      </c>
      <c r="E3837" s="1" t="s">
        <v>8399</v>
      </c>
      <c r="F3837" s="1" t="s">
        <v>8477</v>
      </c>
      <c r="G3837" s="1" t="s">
        <v>8836</v>
      </c>
      <c r="H3837" s="1" t="s">
        <v>45</v>
      </c>
      <c r="I3837" s="1" t="s">
        <v>45</v>
      </c>
      <c r="J3837" s="1" t="s">
        <v>48</v>
      </c>
      <c r="K3837" s="1">
        <v>56</v>
      </c>
      <c r="L3837" s="1">
        <v>0</v>
      </c>
      <c r="M3837" s="1">
        <v>0</v>
      </c>
      <c r="N3837" s="1">
        <v>56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 t="s">
        <v>49</v>
      </c>
      <c r="AA3837" s="1" t="s">
        <v>49</v>
      </c>
      <c r="AB3837" s="1" t="s">
        <v>49</v>
      </c>
      <c r="AC3837" s="1" t="s">
        <v>8402</v>
      </c>
      <c r="AD3837" s="1" t="s">
        <v>8403</v>
      </c>
      <c r="AE3837" s="1" t="s">
        <v>8402</v>
      </c>
      <c r="AF3837" s="1" t="s">
        <v>8443</v>
      </c>
      <c r="AG3837" s="1" t="s">
        <v>8253</v>
      </c>
      <c r="AH3837" s="1" t="s">
        <v>49</v>
      </c>
      <c r="AI3837" s="1" t="s">
        <v>54</v>
      </c>
      <c r="AJ3837" s="1">
        <v>1</v>
      </c>
      <c r="AK3837" s="1" t="str">
        <f t="shared" si="60"/>
        <v xml:space="preserve"> =&lt;90</v>
      </c>
      <c r="AL3837" s="1" t="e">
        <f>VLOOKUP(C:C,[1]基础信息!B$1:D$65536,3,0)</f>
        <v>#N/A</v>
      </c>
      <c r="AM3837" s="1" t="e">
        <f>VLOOKUP(C:C,[1]基础信息!B$1:E$65536,4,0)</f>
        <v>#N/A</v>
      </c>
      <c r="AN3837" s="1" t="e">
        <f>VLOOKUP(C:C,[1]基础信息!B$1:F$65536,5,0)</f>
        <v>#N/A</v>
      </c>
    </row>
    <row r="3838" spans="1:40">
      <c r="A3838" s="1" t="s">
        <v>41</v>
      </c>
      <c r="B3838" s="1" t="s">
        <v>8244</v>
      </c>
      <c r="C3838" s="1" t="s">
        <v>8323</v>
      </c>
      <c r="D3838" s="1" t="s">
        <v>8324</v>
      </c>
      <c r="E3838" s="1" t="s">
        <v>45</v>
      </c>
      <c r="F3838" s="1" t="s">
        <v>8833</v>
      </c>
      <c r="G3838" s="1" t="s">
        <v>8837</v>
      </c>
      <c r="H3838" s="1" t="s">
        <v>45</v>
      </c>
      <c r="I3838" s="1" t="s">
        <v>45</v>
      </c>
      <c r="J3838" s="1" t="s">
        <v>48</v>
      </c>
      <c r="K3838" s="1">
        <v>63</v>
      </c>
      <c r="L3838" s="1">
        <v>0</v>
      </c>
      <c r="M3838" s="1">
        <v>0</v>
      </c>
      <c r="N3838" s="1">
        <v>63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 t="s">
        <v>49</v>
      </c>
      <c r="AA3838" s="1" t="s">
        <v>49</v>
      </c>
      <c r="AB3838" s="1" t="s">
        <v>49</v>
      </c>
      <c r="AC3838" s="1" t="s">
        <v>8402</v>
      </c>
      <c r="AD3838" s="1" t="s">
        <v>8403</v>
      </c>
      <c r="AE3838" s="1" t="s">
        <v>8402</v>
      </c>
      <c r="AF3838" s="1" t="s">
        <v>8835</v>
      </c>
      <c r="AG3838" s="1" t="s">
        <v>8253</v>
      </c>
      <c r="AH3838" s="1" t="s">
        <v>49</v>
      </c>
      <c r="AI3838" s="1" t="s">
        <v>54</v>
      </c>
      <c r="AJ3838" s="1">
        <v>1</v>
      </c>
      <c r="AK3838" s="1" t="str">
        <f t="shared" si="60"/>
        <v xml:space="preserve"> =&lt;90</v>
      </c>
      <c r="AL3838" s="1" t="e">
        <f>VLOOKUP(C:C,[1]基础信息!B$1:D$65536,3,0)</f>
        <v>#N/A</v>
      </c>
      <c r="AM3838" s="1" t="e">
        <f>VLOOKUP(C:C,[1]基础信息!B$1:E$65536,4,0)</f>
        <v>#N/A</v>
      </c>
      <c r="AN3838" s="1" t="e">
        <f>VLOOKUP(C:C,[1]基础信息!B$1:F$65536,5,0)</f>
        <v>#N/A</v>
      </c>
    </row>
    <row r="3839" spans="1:40">
      <c r="A3839" s="1" t="s">
        <v>41</v>
      </c>
      <c r="B3839" s="1" t="s">
        <v>8244</v>
      </c>
      <c r="C3839" s="1" t="s">
        <v>8347</v>
      </c>
      <c r="D3839" s="1" t="s">
        <v>8348</v>
      </c>
      <c r="E3839" s="1" t="s">
        <v>45</v>
      </c>
      <c r="F3839" s="1" t="s">
        <v>8838</v>
      </c>
      <c r="G3839" s="1" t="s">
        <v>8839</v>
      </c>
      <c r="H3839" s="1" t="s">
        <v>8840</v>
      </c>
      <c r="I3839" s="1" t="s">
        <v>49</v>
      </c>
      <c r="J3839" s="1" t="s">
        <v>48</v>
      </c>
      <c r="K3839" s="1">
        <v>32</v>
      </c>
      <c r="L3839" s="1">
        <v>0</v>
      </c>
      <c r="M3839" s="1">
        <v>0</v>
      </c>
      <c r="N3839" s="1">
        <v>32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 t="s">
        <v>49</v>
      </c>
      <c r="AA3839" s="1" t="s">
        <v>49</v>
      </c>
      <c r="AB3839" s="1" t="s">
        <v>49</v>
      </c>
      <c r="AC3839" s="1" t="s">
        <v>8351</v>
      </c>
      <c r="AD3839" s="1" t="s">
        <v>8352</v>
      </c>
      <c r="AE3839" s="1" t="s">
        <v>8351</v>
      </c>
      <c r="AF3839" s="1" t="s">
        <v>8439</v>
      </c>
      <c r="AG3839" s="1" t="s">
        <v>8253</v>
      </c>
      <c r="AH3839" s="1" t="s">
        <v>8841</v>
      </c>
      <c r="AI3839" s="1" t="s">
        <v>54</v>
      </c>
      <c r="AJ3839" s="1">
        <v>1</v>
      </c>
      <c r="AK3839" s="1" t="str">
        <f t="shared" si="60"/>
        <v xml:space="preserve"> =&lt;90</v>
      </c>
      <c r="AL3839" s="1" t="e">
        <f>VLOOKUP(C:C,[1]基础信息!B$1:D$65536,3,0)</f>
        <v>#N/A</v>
      </c>
      <c r="AM3839" s="1" t="e">
        <f>VLOOKUP(C:C,[1]基础信息!B$1:E$65536,4,0)</f>
        <v>#N/A</v>
      </c>
      <c r="AN3839" s="1" t="e">
        <f>VLOOKUP(C:C,[1]基础信息!B$1:F$65536,5,0)</f>
        <v>#N/A</v>
      </c>
    </row>
    <row r="3840" spans="1:40">
      <c r="A3840" s="1" t="s">
        <v>41</v>
      </c>
      <c r="B3840" s="1" t="s">
        <v>8244</v>
      </c>
      <c r="C3840" s="1" t="s">
        <v>8397</v>
      </c>
      <c r="D3840" s="1" t="s">
        <v>8398</v>
      </c>
      <c r="E3840" s="1" t="s">
        <v>8399</v>
      </c>
      <c r="F3840" s="1" t="s">
        <v>8400</v>
      </c>
      <c r="G3840" s="1" t="s">
        <v>8842</v>
      </c>
      <c r="H3840" s="1" t="s">
        <v>45</v>
      </c>
      <c r="I3840" s="1" t="s">
        <v>45</v>
      </c>
      <c r="J3840" s="1" t="s">
        <v>48</v>
      </c>
      <c r="K3840" s="1">
        <v>22</v>
      </c>
      <c r="L3840" s="1">
        <v>0</v>
      </c>
      <c r="M3840" s="1">
        <v>0</v>
      </c>
      <c r="N3840" s="1">
        <v>22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 t="s">
        <v>49</v>
      </c>
      <c r="AA3840" s="1" t="s">
        <v>49</v>
      </c>
      <c r="AB3840" s="1" t="s">
        <v>49</v>
      </c>
      <c r="AC3840" s="1" t="s">
        <v>8402</v>
      </c>
      <c r="AD3840" s="1" t="s">
        <v>8403</v>
      </c>
      <c r="AE3840" s="1" t="s">
        <v>8402</v>
      </c>
      <c r="AF3840" s="1" t="s">
        <v>8404</v>
      </c>
      <c r="AG3840" s="1" t="s">
        <v>8253</v>
      </c>
      <c r="AH3840" s="1" t="s">
        <v>49</v>
      </c>
      <c r="AI3840" s="1" t="s">
        <v>54</v>
      </c>
      <c r="AJ3840" s="1">
        <v>1</v>
      </c>
      <c r="AK3840" s="1" t="str">
        <f t="shared" si="60"/>
        <v xml:space="preserve"> =&lt;90</v>
      </c>
      <c r="AL3840" s="1" t="e">
        <f>VLOOKUP(C:C,[1]基础信息!B$1:D$65536,3,0)</f>
        <v>#N/A</v>
      </c>
      <c r="AM3840" s="1" t="e">
        <f>VLOOKUP(C:C,[1]基础信息!B$1:E$65536,4,0)</f>
        <v>#N/A</v>
      </c>
      <c r="AN3840" s="1" t="e">
        <f>VLOOKUP(C:C,[1]基础信息!B$1:F$65536,5,0)</f>
        <v>#N/A</v>
      </c>
    </row>
    <row r="3841" spans="1:40">
      <c r="A3841" s="1" t="s">
        <v>41</v>
      </c>
      <c r="B3841" s="1" t="s">
        <v>42</v>
      </c>
      <c r="C3841" s="1" t="s">
        <v>8610</v>
      </c>
      <c r="D3841" s="1" t="s">
        <v>8611</v>
      </c>
      <c r="E3841" s="1" t="s">
        <v>45</v>
      </c>
      <c r="F3841" s="1" t="s">
        <v>8843</v>
      </c>
      <c r="G3841" s="1" t="s">
        <v>8844</v>
      </c>
      <c r="H3841" s="1" t="s">
        <v>8845</v>
      </c>
      <c r="I3841" s="1" t="s">
        <v>45</v>
      </c>
      <c r="J3841" s="1" t="s">
        <v>48</v>
      </c>
      <c r="K3841" s="1">
        <v>69</v>
      </c>
      <c r="L3841" s="1">
        <v>0</v>
      </c>
      <c r="M3841" s="1">
        <v>0</v>
      </c>
      <c r="N3841" s="1">
        <v>69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 t="s">
        <v>49</v>
      </c>
      <c r="AA3841" s="1" t="s">
        <v>49</v>
      </c>
      <c r="AB3841" s="1" t="s">
        <v>49</v>
      </c>
      <c r="AC3841" s="1" t="s">
        <v>8706</v>
      </c>
      <c r="AD3841" s="1" t="s">
        <v>8707</v>
      </c>
      <c r="AE3841" s="1" t="s">
        <v>8706</v>
      </c>
      <c r="AF3841" s="1" t="s">
        <v>8846</v>
      </c>
      <c r="AG3841" s="1" t="s">
        <v>4662</v>
      </c>
      <c r="AH3841" s="1" t="s">
        <v>49</v>
      </c>
      <c r="AI3841" s="1" t="s">
        <v>54</v>
      </c>
      <c r="AJ3841" s="1">
        <v>1</v>
      </c>
      <c r="AK3841" s="1" t="str">
        <f t="shared" si="60"/>
        <v xml:space="preserve"> =&lt;90</v>
      </c>
      <c r="AL3841" s="1" t="str">
        <f>VLOOKUP(C:C,[1]基础信息!B$1:D$65536,3,0)</f>
        <v xml:space="preserve">Cartridge </v>
      </c>
      <c r="AM3841" s="1" t="str">
        <f>VLOOKUP(C:C,[1]基础信息!B$1:E$65536,4,0)</f>
        <v>UNIV</v>
      </c>
      <c r="AN3841" s="1" t="str">
        <f>VLOOKUP(C:C,[1]基础信息!B$1:F$65536,5,0)</f>
        <v>P55</v>
      </c>
    </row>
    <row r="3842" spans="1:40">
      <c r="A3842" s="1" t="s">
        <v>41</v>
      </c>
      <c r="B3842" s="1" t="s">
        <v>8244</v>
      </c>
      <c r="C3842" s="1" t="s">
        <v>8397</v>
      </c>
      <c r="D3842" s="1" t="s">
        <v>8398</v>
      </c>
      <c r="E3842" s="1" t="s">
        <v>8399</v>
      </c>
      <c r="F3842" s="1" t="s">
        <v>8441</v>
      </c>
      <c r="G3842" s="1" t="s">
        <v>8847</v>
      </c>
      <c r="H3842" s="1" t="s">
        <v>45</v>
      </c>
      <c r="I3842" s="1" t="s">
        <v>45</v>
      </c>
      <c r="J3842" s="1" t="s">
        <v>48</v>
      </c>
      <c r="K3842" s="1">
        <v>21</v>
      </c>
      <c r="L3842" s="1">
        <v>0</v>
      </c>
      <c r="M3842" s="1">
        <v>0</v>
      </c>
      <c r="N3842" s="1">
        <v>21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 t="s">
        <v>49</v>
      </c>
      <c r="AA3842" s="1" t="s">
        <v>49</v>
      </c>
      <c r="AB3842" s="1" t="s">
        <v>49</v>
      </c>
      <c r="AC3842" s="1" t="s">
        <v>1188</v>
      </c>
      <c r="AD3842" s="1" t="s">
        <v>1189</v>
      </c>
      <c r="AE3842" s="1" t="s">
        <v>1188</v>
      </c>
      <c r="AF3842" s="1" t="s">
        <v>8443</v>
      </c>
      <c r="AG3842" s="1" t="s">
        <v>8253</v>
      </c>
      <c r="AH3842" s="1" t="s">
        <v>49</v>
      </c>
      <c r="AI3842" s="1" t="s">
        <v>54</v>
      </c>
      <c r="AJ3842" s="1">
        <v>1</v>
      </c>
      <c r="AK3842" s="1" t="str">
        <f t="shared" si="60"/>
        <v xml:space="preserve"> =&lt;90</v>
      </c>
      <c r="AL3842" s="1" t="e">
        <f>VLOOKUP(C:C,[1]基础信息!B$1:D$65536,3,0)</f>
        <v>#N/A</v>
      </c>
      <c r="AM3842" s="1" t="e">
        <f>VLOOKUP(C:C,[1]基础信息!B$1:E$65536,4,0)</f>
        <v>#N/A</v>
      </c>
      <c r="AN3842" s="1" t="e">
        <f>VLOOKUP(C:C,[1]基础信息!B$1:F$65536,5,0)</f>
        <v>#N/A</v>
      </c>
    </row>
    <row r="3843" spans="1:40">
      <c r="A3843" s="1" t="s">
        <v>41</v>
      </c>
      <c r="B3843" s="1" t="s">
        <v>8244</v>
      </c>
      <c r="C3843" s="1" t="s">
        <v>8652</v>
      </c>
      <c r="D3843" s="1" t="s">
        <v>8653</v>
      </c>
      <c r="E3843" s="1" t="s">
        <v>8654</v>
      </c>
      <c r="F3843" s="1" t="s">
        <v>8655</v>
      </c>
      <c r="G3843" s="1" t="s">
        <v>8848</v>
      </c>
      <c r="H3843" s="1" t="s">
        <v>45</v>
      </c>
      <c r="I3843" s="1" t="s">
        <v>45</v>
      </c>
      <c r="J3843" s="1" t="s">
        <v>48</v>
      </c>
      <c r="K3843" s="1">
        <v>72</v>
      </c>
      <c r="L3843" s="1">
        <v>0</v>
      </c>
      <c r="M3843" s="1">
        <v>0</v>
      </c>
      <c r="N3843" s="1">
        <v>72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 t="s">
        <v>49</v>
      </c>
      <c r="AA3843" s="1" t="s">
        <v>49</v>
      </c>
      <c r="AB3843" s="1" t="s">
        <v>49</v>
      </c>
      <c r="AC3843" s="1" t="s">
        <v>8657</v>
      </c>
      <c r="AD3843" s="1" t="s">
        <v>8658</v>
      </c>
      <c r="AE3843" s="1" t="s">
        <v>8657</v>
      </c>
      <c r="AF3843" s="1" t="s">
        <v>8659</v>
      </c>
      <c r="AG3843" s="1" t="s">
        <v>8253</v>
      </c>
      <c r="AH3843" s="1" t="s">
        <v>49</v>
      </c>
      <c r="AI3843" s="1" t="s">
        <v>54</v>
      </c>
      <c r="AJ3843" s="1">
        <v>1</v>
      </c>
      <c r="AK3843" s="1" t="str">
        <f t="shared" si="60"/>
        <v xml:space="preserve"> =&lt;90</v>
      </c>
      <c r="AL3843" s="1" t="e">
        <f>VLOOKUP(C:C,[1]基础信息!B$1:D$65536,3,0)</f>
        <v>#N/A</v>
      </c>
      <c r="AM3843" s="1" t="e">
        <f>VLOOKUP(C:C,[1]基础信息!B$1:E$65536,4,0)</f>
        <v>#N/A</v>
      </c>
      <c r="AN3843" s="1" t="e">
        <f>VLOOKUP(C:C,[1]基础信息!B$1:F$65536,5,0)</f>
        <v>#N/A</v>
      </c>
    </row>
    <row r="3844" spans="1:40">
      <c r="A3844" s="1" t="s">
        <v>41</v>
      </c>
      <c r="B3844" s="1" t="s">
        <v>8244</v>
      </c>
      <c r="C3844" s="1" t="s">
        <v>8347</v>
      </c>
      <c r="D3844" s="1" t="s">
        <v>8348</v>
      </c>
      <c r="E3844" s="1" t="s">
        <v>45</v>
      </c>
      <c r="F3844" s="1" t="s">
        <v>8849</v>
      </c>
      <c r="G3844" s="1" t="s">
        <v>8850</v>
      </c>
      <c r="H3844" s="1" t="s">
        <v>45</v>
      </c>
      <c r="I3844" s="1" t="s">
        <v>45</v>
      </c>
      <c r="J3844" s="1" t="s">
        <v>48</v>
      </c>
      <c r="K3844" s="1">
        <v>21</v>
      </c>
      <c r="L3844" s="1">
        <v>0</v>
      </c>
      <c r="M3844" s="1">
        <v>0</v>
      </c>
      <c r="N3844" s="1">
        <v>21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 t="s">
        <v>49</v>
      </c>
      <c r="AA3844" s="1" t="s">
        <v>49</v>
      </c>
      <c r="AB3844" s="1" t="s">
        <v>49</v>
      </c>
      <c r="AC3844" s="1" t="s">
        <v>8422</v>
      </c>
      <c r="AD3844" s="1" t="s">
        <v>8423</v>
      </c>
      <c r="AE3844" s="1" t="s">
        <v>8422</v>
      </c>
      <c r="AF3844" s="1" t="s">
        <v>8648</v>
      </c>
      <c r="AG3844" s="1" t="s">
        <v>8253</v>
      </c>
      <c r="AH3844" s="1" t="s">
        <v>8841</v>
      </c>
      <c r="AI3844" s="1" t="s">
        <v>54</v>
      </c>
      <c r="AJ3844" s="1">
        <v>1</v>
      </c>
      <c r="AK3844" s="1" t="str">
        <f t="shared" si="60"/>
        <v xml:space="preserve"> =&lt;90</v>
      </c>
      <c r="AL3844" s="1" t="e">
        <f>VLOOKUP(C:C,[1]基础信息!B$1:D$65536,3,0)</f>
        <v>#N/A</v>
      </c>
      <c r="AM3844" s="1" t="e">
        <f>VLOOKUP(C:C,[1]基础信息!B$1:E$65536,4,0)</f>
        <v>#N/A</v>
      </c>
      <c r="AN3844" s="1" t="e">
        <f>VLOOKUP(C:C,[1]基础信息!B$1:F$65536,5,0)</f>
        <v>#N/A</v>
      </c>
    </row>
    <row r="3845" spans="1:40">
      <c r="A3845" s="1" t="s">
        <v>41</v>
      </c>
      <c r="B3845" s="1" t="s">
        <v>8244</v>
      </c>
      <c r="C3845" s="1" t="s">
        <v>8397</v>
      </c>
      <c r="D3845" s="1" t="s">
        <v>8398</v>
      </c>
      <c r="E3845" s="1" t="s">
        <v>8399</v>
      </c>
      <c r="F3845" s="1" t="s">
        <v>8441</v>
      </c>
      <c r="G3845" s="1" t="s">
        <v>8851</v>
      </c>
      <c r="H3845" s="1" t="s">
        <v>45</v>
      </c>
      <c r="I3845" s="1" t="s">
        <v>45</v>
      </c>
      <c r="J3845" s="1" t="s">
        <v>48</v>
      </c>
      <c r="K3845" s="1">
        <v>36</v>
      </c>
      <c r="L3845" s="1">
        <v>0</v>
      </c>
      <c r="M3845" s="1">
        <v>0</v>
      </c>
      <c r="N3845" s="1">
        <v>36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 t="s">
        <v>49</v>
      </c>
      <c r="AA3845" s="1" t="s">
        <v>49</v>
      </c>
      <c r="AB3845" s="1" t="s">
        <v>49</v>
      </c>
      <c r="AC3845" s="1" t="s">
        <v>1188</v>
      </c>
      <c r="AD3845" s="1" t="s">
        <v>1189</v>
      </c>
      <c r="AE3845" s="1" t="s">
        <v>1188</v>
      </c>
      <c r="AF3845" s="1" t="s">
        <v>8443</v>
      </c>
      <c r="AG3845" s="1" t="s">
        <v>8253</v>
      </c>
      <c r="AH3845" s="1" t="s">
        <v>49</v>
      </c>
      <c r="AI3845" s="1" t="s">
        <v>54</v>
      </c>
      <c r="AJ3845" s="1">
        <v>1</v>
      </c>
      <c r="AK3845" s="1" t="str">
        <f t="shared" si="60"/>
        <v xml:space="preserve"> =&lt;90</v>
      </c>
      <c r="AL3845" s="1" t="e">
        <f>VLOOKUP(C:C,[1]基础信息!B$1:D$65536,3,0)</f>
        <v>#N/A</v>
      </c>
      <c r="AM3845" s="1" t="e">
        <f>VLOOKUP(C:C,[1]基础信息!B$1:E$65536,4,0)</f>
        <v>#N/A</v>
      </c>
      <c r="AN3845" s="1" t="e">
        <f>VLOOKUP(C:C,[1]基础信息!B$1:F$65536,5,0)</f>
        <v>#N/A</v>
      </c>
    </row>
    <row r="3846" spans="1:40">
      <c r="A3846" s="1" t="s">
        <v>41</v>
      </c>
      <c r="B3846" s="1" t="s">
        <v>8244</v>
      </c>
      <c r="C3846" s="1" t="s">
        <v>8397</v>
      </c>
      <c r="D3846" s="1" t="s">
        <v>8398</v>
      </c>
      <c r="E3846" s="1" t="s">
        <v>8399</v>
      </c>
      <c r="F3846" s="1" t="s">
        <v>8589</v>
      </c>
      <c r="G3846" s="1" t="s">
        <v>8852</v>
      </c>
      <c r="H3846" s="1" t="s">
        <v>45</v>
      </c>
      <c r="I3846" s="1" t="s">
        <v>45</v>
      </c>
      <c r="J3846" s="1" t="s">
        <v>48</v>
      </c>
      <c r="K3846" s="1">
        <v>56</v>
      </c>
      <c r="L3846" s="1">
        <v>0</v>
      </c>
      <c r="M3846" s="1">
        <v>0</v>
      </c>
      <c r="N3846" s="1">
        <v>56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 t="s">
        <v>49</v>
      </c>
      <c r="AA3846" s="1" t="s">
        <v>49</v>
      </c>
      <c r="AB3846" s="1" t="s">
        <v>49</v>
      </c>
      <c r="AC3846" s="1" t="s">
        <v>61</v>
      </c>
      <c r="AD3846" s="1" t="s">
        <v>62</v>
      </c>
      <c r="AE3846" s="1" t="s">
        <v>61</v>
      </c>
      <c r="AF3846" s="1" t="s">
        <v>8591</v>
      </c>
      <c r="AG3846" s="1" t="s">
        <v>8253</v>
      </c>
      <c r="AH3846" s="1" t="s">
        <v>49</v>
      </c>
      <c r="AI3846" s="1" t="s">
        <v>54</v>
      </c>
      <c r="AJ3846" s="1">
        <v>1</v>
      </c>
      <c r="AK3846" s="1" t="str">
        <f t="shared" si="60"/>
        <v xml:space="preserve"> =&lt;90</v>
      </c>
      <c r="AL3846" s="1" t="e">
        <f>VLOOKUP(C:C,[1]基础信息!B$1:D$65536,3,0)</f>
        <v>#N/A</v>
      </c>
      <c r="AM3846" s="1" t="e">
        <f>VLOOKUP(C:C,[1]基础信息!B$1:E$65536,4,0)</f>
        <v>#N/A</v>
      </c>
      <c r="AN3846" s="1" t="e">
        <f>VLOOKUP(C:C,[1]基础信息!B$1:F$65536,5,0)</f>
        <v>#N/A</v>
      </c>
    </row>
    <row r="3847" spans="1:40">
      <c r="A3847" s="1" t="s">
        <v>41</v>
      </c>
      <c r="B3847" s="1" t="s">
        <v>8244</v>
      </c>
      <c r="C3847" s="1" t="s">
        <v>8459</v>
      </c>
      <c r="D3847" s="1" t="s">
        <v>8460</v>
      </c>
      <c r="E3847" s="1" t="s">
        <v>8461</v>
      </c>
      <c r="F3847" s="1" t="s">
        <v>8853</v>
      </c>
      <c r="G3847" s="1" t="s">
        <v>8854</v>
      </c>
      <c r="H3847" s="1" t="s">
        <v>8855</v>
      </c>
      <c r="I3847" s="1" t="s">
        <v>49</v>
      </c>
      <c r="J3847" s="1" t="s">
        <v>48</v>
      </c>
      <c r="K3847" s="1">
        <v>20</v>
      </c>
      <c r="L3847" s="1">
        <v>0</v>
      </c>
      <c r="M3847" s="1">
        <v>0</v>
      </c>
      <c r="N3847" s="1">
        <v>20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 t="s">
        <v>49</v>
      </c>
      <c r="AA3847" s="1" t="s">
        <v>49</v>
      </c>
      <c r="AB3847" s="1" t="s">
        <v>49</v>
      </c>
      <c r="AC3847" s="1" t="s">
        <v>8856</v>
      </c>
      <c r="AD3847" s="1" t="s">
        <v>8857</v>
      </c>
      <c r="AE3847" s="1" t="s">
        <v>8856</v>
      </c>
      <c r="AF3847" s="1" t="s">
        <v>8609</v>
      </c>
      <c r="AG3847" s="1" t="s">
        <v>8253</v>
      </c>
      <c r="AH3847" s="1" t="s">
        <v>49</v>
      </c>
      <c r="AI3847" s="1" t="s">
        <v>54</v>
      </c>
      <c r="AJ3847" s="1">
        <v>1</v>
      </c>
      <c r="AK3847" s="1" t="str">
        <f t="shared" si="60"/>
        <v xml:space="preserve"> =&lt;90</v>
      </c>
      <c r="AL3847" s="1" t="e">
        <f>VLOOKUP(C:C,[1]基础信息!B$1:D$65536,3,0)</f>
        <v>#N/A</v>
      </c>
      <c r="AM3847" s="1" t="e">
        <f>VLOOKUP(C:C,[1]基础信息!B$1:E$65536,4,0)</f>
        <v>#N/A</v>
      </c>
      <c r="AN3847" s="1" t="e">
        <f>VLOOKUP(C:C,[1]基础信息!B$1:F$65536,5,0)</f>
        <v>#N/A</v>
      </c>
    </row>
    <row r="3848" spans="1:40">
      <c r="A3848" s="1" t="s">
        <v>41</v>
      </c>
      <c r="B3848" s="1" t="s">
        <v>8244</v>
      </c>
      <c r="C3848" s="1" t="s">
        <v>8459</v>
      </c>
      <c r="D3848" s="1" t="s">
        <v>8460</v>
      </c>
      <c r="E3848" s="1" t="s">
        <v>8461</v>
      </c>
      <c r="F3848" s="1" t="s">
        <v>8858</v>
      </c>
      <c r="G3848" s="1" t="s">
        <v>8859</v>
      </c>
      <c r="H3848" s="1" t="s">
        <v>45</v>
      </c>
      <c r="I3848" s="1" t="s">
        <v>45</v>
      </c>
      <c r="J3848" s="1" t="s">
        <v>48</v>
      </c>
      <c r="K3848" s="1">
        <v>1</v>
      </c>
      <c r="L3848" s="1">
        <v>0</v>
      </c>
      <c r="M3848" s="1">
        <v>0</v>
      </c>
      <c r="N3848" s="1">
        <v>1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 t="s">
        <v>49</v>
      </c>
      <c r="AA3848" s="1" t="s">
        <v>49</v>
      </c>
      <c r="AB3848" s="1" t="s">
        <v>49</v>
      </c>
      <c r="AC3848" s="1" t="s">
        <v>8860</v>
      </c>
      <c r="AD3848" s="1" t="s">
        <v>8861</v>
      </c>
      <c r="AE3848" s="1" t="s">
        <v>8860</v>
      </c>
      <c r="AF3848" s="1" t="s">
        <v>8609</v>
      </c>
      <c r="AG3848" s="1" t="s">
        <v>8253</v>
      </c>
      <c r="AH3848" s="1" t="s">
        <v>49</v>
      </c>
      <c r="AI3848" s="1" t="s">
        <v>54</v>
      </c>
      <c r="AJ3848" s="1">
        <v>1</v>
      </c>
      <c r="AK3848" s="1" t="str">
        <f t="shared" si="60"/>
        <v xml:space="preserve"> =&lt;90</v>
      </c>
      <c r="AL3848" s="1" t="e">
        <f>VLOOKUP(C:C,[1]基础信息!B$1:D$65536,3,0)</f>
        <v>#N/A</v>
      </c>
      <c r="AM3848" s="1" t="e">
        <f>VLOOKUP(C:C,[1]基础信息!B$1:E$65536,4,0)</f>
        <v>#N/A</v>
      </c>
      <c r="AN3848" s="1" t="e">
        <f>VLOOKUP(C:C,[1]基础信息!B$1:F$65536,5,0)</f>
        <v>#N/A</v>
      </c>
    </row>
    <row r="3849" spans="1:40">
      <c r="A3849" s="1" t="s">
        <v>41</v>
      </c>
      <c r="B3849" s="1" t="s">
        <v>8244</v>
      </c>
      <c r="C3849" s="1" t="s">
        <v>8603</v>
      </c>
      <c r="D3849" s="1" t="s">
        <v>8604</v>
      </c>
      <c r="E3849" s="1" t="s">
        <v>45</v>
      </c>
      <c r="F3849" s="1" t="s">
        <v>8862</v>
      </c>
      <c r="G3849" s="1" t="s">
        <v>8863</v>
      </c>
      <c r="H3849" s="1" t="s">
        <v>45</v>
      </c>
      <c r="I3849" s="1" t="s">
        <v>45</v>
      </c>
      <c r="J3849" s="1" t="s">
        <v>48</v>
      </c>
      <c r="K3849" s="1">
        <v>40</v>
      </c>
      <c r="L3849" s="1">
        <v>0</v>
      </c>
      <c r="M3849" s="1">
        <v>0</v>
      </c>
      <c r="N3849" s="1">
        <v>40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 t="s">
        <v>49</v>
      </c>
      <c r="AA3849" s="1" t="s">
        <v>49</v>
      </c>
      <c r="AB3849" s="1" t="s">
        <v>49</v>
      </c>
      <c r="AC3849" s="1" t="s">
        <v>8402</v>
      </c>
      <c r="AD3849" s="1" t="s">
        <v>8403</v>
      </c>
      <c r="AE3849" s="1" t="s">
        <v>8402</v>
      </c>
      <c r="AF3849" s="1" t="s">
        <v>8864</v>
      </c>
      <c r="AG3849" s="1" t="s">
        <v>8253</v>
      </c>
      <c r="AH3849" s="1" t="s">
        <v>49</v>
      </c>
      <c r="AI3849" s="1" t="s">
        <v>54</v>
      </c>
      <c r="AJ3849" s="1">
        <v>1</v>
      </c>
      <c r="AK3849" s="1" t="str">
        <f t="shared" si="60"/>
        <v xml:space="preserve"> =&lt;90</v>
      </c>
      <c r="AL3849" s="1" t="e">
        <f>VLOOKUP(C:C,[1]基础信息!B$1:D$65536,3,0)</f>
        <v>#N/A</v>
      </c>
      <c r="AM3849" s="1" t="e">
        <f>VLOOKUP(C:C,[1]基础信息!B$1:E$65536,4,0)</f>
        <v>#N/A</v>
      </c>
      <c r="AN3849" s="1" t="e">
        <f>VLOOKUP(C:C,[1]基础信息!B$1:F$65536,5,0)</f>
        <v>#N/A</v>
      </c>
    </row>
    <row r="3850" spans="1:40">
      <c r="A3850" s="1" t="s">
        <v>41</v>
      </c>
      <c r="B3850" s="1" t="s">
        <v>8244</v>
      </c>
      <c r="C3850" s="1" t="s">
        <v>8397</v>
      </c>
      <c r="D3850" s="1" t="s">
        <v>8398</v>
      </c>
      <c r="E3850" s="1" t="s">
        <v>8399</v>
      </c>
      <c r="F3850" s="1" t="s">
        <v>8824</v>
      </c>
      <c r="G3850" s="1" t="s">
        <v>8865</v>
      </c>
      <c r="H3850" s="1" t="s">
        <v>45</v>
      </c>
      <c r="I3850" s="1" t="s">
        <v>45</v>
      </c>
      <c r="J3850" s="1" t="s">
        <v>48</v>
      </c>
      <c r="K3850" s="1">
        <v>48</v>
      </c>
      <c r="L3850" s="1">
        <v>0</v>
      </c>
      <c r="M3850" s="1">
        <v>0</v>
      </c>
      <c r="N3850" s="1">
        <v>48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 t="s">
        <v>49</v>
      </c>
      <c r="AA3850" s="1" t="s">
        <v>49</v>
      </c>
      <c r="AB3850" s="1" t="s">
        <v>49</v>
      </c>
      <c r="AC3850" s="1" t="s">
        <v>8657</v>
      </c>
      <c r="AD3850" s="1" t="s">
        <v>8658</v>
      </c>
      <c r="AE3850" s="1" t="s">
        <v>8657</v>
      </c>
      <c r="AF3850" s="1" t="s">
        <v>8826</v>
      </c>
      <c r="AG3850" s="1" t="s">
        <v>8253</v>
      </c>
      <c r="AH3850" s="1" t="s">
        <v>49</v>
      </c>
      <c r="AI3850" s="1" t="s">
        <v>54</v>
      </c>
      <c r="AJ3850" s="1">
        <v>1</v>
      </c>
      <c r="AK3850" s="1" t="str">
        <f t="shared" si="60"/>
        <v xml:space="preserve"> =&lt;90</v>
      </c>
      <c r="AL3850" s="1" t="e">
        <f>VLOOKUP(C:C,[1]基础信息!B$1:D$65536,3,0)</f>
        <v>#N/A</v>
      </c>
      <c r="AM3850" s="1" t="e">
        <f>VLOOKUP(C:C,[1]基础信息!B$1:E$65536,4,0)</f>
        <v>#N/A</v>
      </c>
      <c r="AN3850" s="1" t="e">
        <f>VLOOKUP(C:C,[1]基础信息!B$1:F$65536,5,0)</f>
        <v>#N/A</v>
      </c>
    </row>
    <row r="3851" spans="1:40">
      <c r="A3851" s="1" t="s">
        <v>41</v>
      </c>
      <c r="B3851" s="1" t="s">
        <v>8244</v>
      </c>
      <c r="C3851" s="1" t="s">
        <v>8459</v>
      </c>
      <c r="D3851" s="1" t="s">
        <v>8460</v>
      </c>
      <c r="E3851" s="1" t="s">
        <v>8461</v>
      </c>
      <c r="F3851" s="1" t="s">
        <v>8866</v>
      </c>
      <c r="G3851" s="1" t="s">
        <v>8867</v>
      </c>
      <c r="H3851" s="1" t="s">
        <v>8868</v>
      </c>
      <c r="I3851" s="1" t="s">
        <v>49</v>
      </c>
      <c r="J3851" s="1" t="s">
        <v>48</v>
      </c>
      <c r="K3851" s="1">
        <v>14</v>
      </c>
      <c r="L3851" s="1">
        <v>0</v>
      </c>
      <c r="M3851" s="1">
        <v>0</v>
      </c>
      <c r="N3851" s="1">
        <v>14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 t="s">
        <v>49</v>
      </c>
      <c r="AA3851" s="1" t="s">
        <v>49</v>
      </c>
      <c r="AB3851" s="1" t="s">
        <v>49</v>
      </c>
      <c r="AC3851" s="1" t="s">
        <v>8869</v>
      </c>
      <c r="AD3851" s="1" t="s">
        <v>8870</v>
      </c>
      <c r="AE3851" s="1" t="s">
        <v>8871</v>
      </c>
      <c r="AF3851" s="1" t="s">
        <v>8872</v>
      </c>
      <c r="AG3851" s="1" t="s">
        <v>8253</v>
      </c>
      <c r="AH3851" s="1" t="s">
        <v>49</v>
      </c>
      <c r="AI3851" s="1" t="s">
        <v>54</v>
      </c>
      <c r="AJ3851" s="1">
        <v>1</v>
      </c>
      <c r="AK3851" s="1" t="str">
        <f t="shared" si="60"/>
        <v xml:space="preserve"> =&lt;90</v>
      </c>
      <c r="AL3851" s="1" t="e">
        <f>VLOOKUP(C:C,[1]基础信息!B$1:D$65536,3,0)</f>
        <v>#N/A</v>
      </c>
      <c r="AM3851" s="1" t="e">
        <f>VLOOKUP(C:C,[1]基础信息!B$1:E$65536,4,0)</f>
        <v>#N/A</v>
      </c>
      <c r="AN3851" s="1" t="e">
        <f>VLOOKUP(C:C,[1]基础信息!B$1:F$65536,5,0)</f>
        <v>#N/A</v>
      </c>
    </row>
    <row r="3852" spans="1:40">
      <c r="A3852" s="1" t="s">
        <v>41</v>
      </c>
      <c r="B3852" s="1" t="s">
        <v>8244</v>
      </c>
      <c r="C3852" s="1" t="s">
        <v>8391</v>
      </c>
      <c r="D3852" s="1" t="s">
        <v>8392</v>
      </c>
      <c r="E3852" s="1" t="s">
        <v>8393</v>
      </c>
      <c r="F3852" s="1" t="s">
        <v>8873</v>
      </c>
      <c r="G3852" s="1" t="s">
        <v>8874</v>
      </c>
      <c r="H3852" s="1" t="s">
        <v>45</v>
      </c>
      <c r="I3852" s="1" t="s">
        <v>45</v>
      </c>
      <c r="J3852" s="1" t="s">
        <v>48</v>
      </c>
      <c r="K3852" s="1">
        <v>80</v>
      </c>
      <c r="L3852" s="1">
        <v>0</v>
      </c>
      <c r="M3852" s="1">
        <v>0</v>
      </c>
      <c r="N3852" s="1">
        <v>80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 t="s">
        <v>49</v>
      </c>
      <c r="AA3852" s="1" t="s">
        <v>49</v>
      </c>
      <c r="AB3852" s="1" t="s">
        <v>49</v>
      </c>
      <c r="AC3852" s="1" t="s">
        <v>8402</v>
      </c>
      <c r="AD3852" s="1" t="s">
        <v>8403</v>
      </c>
      <c r="AE3852" s="1" t="s">
        <v>8402</v>
      </c>
      <c r="AF3852" s="1" t="s">
        <v>8875</v>
      </c>
      <c r="AG3852" s="1" t="s">
        <v>8253</v>
      </c>
      <c r="AH3852" s="1" t="s">
        <v>49</v>
      </c>
      <c r="AI3852" s="1" t="s">
        <v>54</v>
      </c>
      <c r="AJ3852" s="1">
        <v>1</v>
      </c>
      <c r="AK3852" s="1" t="str">
        <f t="shared" si="60"/>
        <v xml:space="preserve"> =&lt;90</v>
      </c>
      <c r="AL3852" s="1" t="e">
        <f>VLOOKUP(C:C,[1]基础信息!B$1:D$65536,3,0)</f>
        <v>#N/A</v>
      </c>
      <c r="AM3852" s="1" t="e">
        <f>VLOOKUP(C:C,[1]基础信息!B$1:E$65536,4,0)</f>
        <v>#N/A</v>
      </c>
      <c r="AN3852" s="1" t="e">
        <f>VLOOKUP(C:C,[1]基础信息!B$1:F$65536,5,0)</f>
        <v>#N/A</v>
      </c>
    </row>
    <row r="3853" spans="1:40">
      <c r="A3853" s="1" t="s">
        <v>41</v>
      </c>
      <c r="B3853" s="1" t="s">
        <v>8244</v>
      </c>
      <c r="C3853" s="1" t="s">
        <v>8459</v>
      </c>
      <c r="D3853" s="1" t="s">
        <v>8460</v>
      </c>
      <c r="E3853" s="1" t="s">
        <v>8461</v>
      </c>
      <c r="F3853" s="1" t="s">
        <v>8462</v>
      </c>
      <c r="G3853" s="1" t="s">
        <v>8876</v>
      </c>
      <c r="H3853" s="1" t="s">
        <v>45</v>
      </c>
      <c r="I3853" s="1" t="s">
        <v>45</v>
      </c>
      <c r="J3853" s="1" t="s">
        <v>48</v>
      </c>
      <c r="K3853" s="1">
        <v>28</v>
      </c>
      <c r="L3853" s="1">
        <v>0</v>
      </c>
      <c r="M3853" s="1">
        <v>0</v>
      </c>
      <c r="N3853" s="1">
        <v>28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 t="s">
        <v>49</v>
      </c>
      <c r="AA3853" s="1" t="s">
        <v>49</v>
      </c>
      <c r="AB3853" s="1" t="s">
        <v>49</v>
      </c>
      <c r="AC3853" s="1" t="s">
        <v>8370</v>
      </c>
      <c r="AD3853" s="1" t="s">
        <v>8371</v>
      </c>
      <c r="AE3853" s="1" t="s">
        <v>8370</v>
      </c>
      <c r="AF3853" s="1" t="s">
        <v>8464</v>
      </c>
      <c r="AG3853" s="1" t="s">
        <v>8253</v>
      </c>
      <c r="AH3853" s="1" t="s">
        <v>49</v>
      </c>
      <c r="AI3853" s="1" t="s">
        <v>54</v>
      </c>
      <c r="AJ3853" s="1">
        <v>1</v>
      </c>
      <c r="AK3853" s="1" t="str">
        <f t="shared" si="60"/>
        <v xml:space="preserve"> =&lt;90</v>
      </c>
      <c r="AL3853" s="1" t="e">
        <f>VLOOKUP(C:C,[1]基础信息!B$1:D$65536,3,0)</f>
        <v>#N/A</v>
      </c>
      <c r="AM3853" s="1" t="e">
        <f>VLOOKUP(C:C,[1]基础信息!B$1:E$65536,4,0)</f>
        <v>#N/A</v>
      </c>
      <c r="AN3853" s="1" t="e">
        <f>VLOOKUP(C:C,[1]基础信息!B$1:F$65536,5,0)</f>
        <v>#N/A</v>
      </c>
    </row>
    <row r="3854" spans="1:40">
      <c r="A3854" s="1" t="s">
        <v>41</v>
      </c>
      <c r="B3854" s="1" t="s">
        <v>8244</v>
      </c>
      <c r="C3854" s="1" t="s">
        <v>8459</v>
      </c>
      <c r="D3854" s="1" t="s">
        <v>8460</v>
      </c>
      <c r="E3854" s="1" t="s">
        <v>8461</v>
      </c>
      <c r="F3854" s="1" t="s">
        <v>8853</v>
      </c>
      <c r="G3854" s="1" t="s">
        <v>8877</v>
      </c>
      <c r="H3854" s="1" t="s">
        <v>8878</v>
      </c>
      <c r="I3854" s="1" t="s">
        <v>49</v>
      </c>
      <c r="J3854" s="1" t="s">
        <v>48</v>
      </c>
      <c r="K3854" s="1">
        <v>56</v>
      </c>
      <c r="L3854" s="1">
        <v>0</v>
      </c>
      <c r="M3854" s="1">
        <v>0</v>
      </c>
      <c r="N3854" s="1">
        <v>56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 t="s">
        <v>49</v>
      </c>
      <c r="AA3854" s="1" t="s">
        <v>49</v>
      </c>
      <c r="AB3854" s="1" t="s">
        <v>49</v>
      </c>
      <c r="AC3854" s="1" t="s">
        <v>8856</v>
      </c>
      <c r="AD3854" s="1" t="s">
        <v>8857</v>
      </c>
      <c r="AE3854" s="1" t="s">
        <v>8856</v>
      </c>
      <c r="AF3854" s="1" t="s">
        <v>8609</v>
      </c>
      <c r="AG3854" s="1" t="s">
        <v>8253</v>
      </c>
      <c r="AH3854" s="1" t="s">
        <v>49</v>
      </c>
      <c r="AI3854" s="1" t="s">
        <v>54</v>
      </c>
      <c r="AJ3854" s="1">
        <v>1</v>
      </c>
      <c r="AK3854" s="1" t="str">
        <f t="shared" si="60"/>
        <v xml:space="preserve"> =&lt;90</v>
      </c>
      <c r="AL3854" s="1" t="e">
        <f>VLOOKUP(C:C,[1]基础信息!B$1:D$65536,3,0)</f>
        <v>#N/A</v>
      </c>
      <c r="AM3854" s="1" t="e">
        <f>VLOOKUP(C:C,[1]基础信息!B$1:E$65536,4,0)</f>
        <v>#N/A</v>
      </c>
      <c r="AN3854" s="1" t="e">
        <f>VLOOKUP(C:C,[1]基础信息!B$1:F$65536,5,0)</f>
        <v>#N/A</v>
      </c>
    </row>
    <row r="3855" spans="1:40">
      <c r="A3855" s="1" t="s">
        <v>41</v>
      </c>
      <c r="B3855" s="1" t="s">
        <v>8244</v>
      </c>
      <c r="C3855" s="1" t="s">
        <v>8397</v>
      </c>
      <c r="D3855" s="1" t="s">
        <v>8398</v>
      </c>
      <c r="E3855" s="1" t="s">
        <v>8399</v>
      </c>
      <c r="F3855" s="1" t="s">
        <v>8824</v>
      </c>
      <c r="G3855" s="1" t="s">
        <v>8879</v>
      </c>
      <c r="H3855" s="1" t="s">
        <v>45</v>
      </c>
      <c r="I3855" s="1" t="s">
        <v>45</v>
      </c>
      <c r="J3855" s="1" t="s">
        <v>48</v>
      </c>
      <c r="K3855" s="1">
        <v>48</v>
      </c>
      <c r="L3855" s="1">
        <v>0</v>
      </c>
      <c r="M3855" s="1">
        <v>0</v>
      </c>
      <c r="N3855" s="1">
        <v>48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 t="s">
        <v>49</v>
      </c>
      <c r="AA3855" s="1" t="s">
        <v>49</v>
      </c>
      <c r="AB3855" s="1" t="s">
        <v>49</v>
      </c>
      <c r="AC3855" s="1" t="s">
        <v>8657</v>
      </c>
      <c r="AD3855" s="1" t="s">
        <v>8658</v>
      </c>
      <c r="AE3855" s="1" t="s">
        <v>8657</v>
      </c>
      <c r="AF3855" s="1" t="s">
        <v>8826</v>
      </c>
      <c r="AG3855" s="1" t="s">
        <v>8253</v>
      </c>
      <c r="AH3855" s="1" t="s">
        <v>49</v>
      </c>
      <c r="AI3855" s="1" t="s">
        <v>54</v>
      </c>
      <c r="AJ3855" s="1">
        <v>1</v>
      </c>
      <c r="AK3855" s="1" t="str">
        <f t="shared" si="60"/>
        <v xml:space="preserve"> =&lt;90</v>
      </c>
      <c r="AL3855" s="1" t="e">
        <f>VLOOKUP(C:C,[1]基础信息!B$1:D$65536,3,0)</f>
        <v>#N/A</v>
      </c>
      <c r="AM3855" s="1" t="e">
        <f>VLOOKUP(C:C,[1]基础信息!B$1:E$65536,4,0)</f>
        <v>#N/A</v>
      </c>
      <c r="AN3855" s="1" t="e">
        <f>VLOOKUP(C:C,[1]基础信息!B$1:F$65536,5,0)</f>
        <v>#N/A</v>
      </c>
    </row>
    <row r="3856" spans="1:40">
      <c r="A3856" s="1" t="s">
        <v>41</v>
      </c>
      <c r="B3856" s="1" t="s">
        <v>8244</v>
      </c>
      <c r="C3856" s="1" t="s">
        <v>8347</v>
      </c>
      <c r="D3856" s="1" t="s">
        <v>8348</v>
      </c>
      <c r="E3856" s="1" t="s">
        <v>45</v>
      </c>
      <c r="F3856" s="1" t="s">
        <v>8838</v>
      </c>
      <c r="G3856" s="1" t="s">
        <v>8880</v>
      </c>
      <c r="H3856" s="1" t="s">
        <v>8881</v>
      </c>
      <c r="I3856" s="1" t="s">
        <v>49</v>
      </c>
      <c r="J3856" s="1" t="s">
        <v>48</v>
      </c>
      <c r="K3856" s="1">
        <v>6</v>
      </c>
      <c r="L3856" s="1">
        <v>0</v>
      </c>
      <c r="M3856" s="1">
        <v>0</v>
      </c>
      <c r="N3856" s="1">
        <v>6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 t="s">
        <v>49</v>
      </c>
      <c r="AA3856" s="1" t="s">
        <v>49</v>
      </c>
      <c r="AB3856" s="1" t="s">
        <v>49</v>
      </c>
      <c r="AC3856" s="1" t="s">
        <v>8351</v>
      </c>
      <c r="AD3856" s="1" t="s">
        <v>8352</v>
      </c>
      <c r="AE3856" s="1" t="s">
        <v>8351</v>
      </c>
      <c r="AF3856" s="1" t="s">
        <v>8439</v>
      </c>
      <c r="AG3856" s="1" t="s">
        <v>8253</v>
      </c>
      <c r="AH3856" s="1" t="s">
        <v>8841</v>
      </c>
      <c r="AI3856" s="1" t="s">
        <v>54</v>
      </c>
      <c r="AJ3856" s="1">
        <v>1</v>
      </c>
      <c r="AK3856" s="1" t="str">
        <f t="shared" si="60"/>
        <v xml:space="preserve"> =&lt;90</v>
      </c>
      <c r="AL3856" s="1" t="e">
        <f>VLOOKUP(C:C,[1]基础信息!B$1:D$65536,3,0)</f>
        <v>#N/A</v>
      </c>
      <c r="AM3856" s="1" t="e">
        <f>VLOOKUP(C:C,[1]基础信息!B$1:E$65536,4,0)</f>
        <v>#N/A</v>
      </c>
      <c r="AN3856" s="1" t="e">
        <f>VLOOKUP(C:C,[1]基础信息!B$1:F$65536,5,0)</f>
        <v>#N/A</v>
      </c>
    </row>
    <row r="3857" spans="1:40">
      <c r="A3857" s="1" t="s">
        <v>41</v>
      </c>
      <c r="B3857" s="1" t="s">
        <v>8244</v>
      </c>
      <c r="C3857" s="1" t="s">
        <v>8397</v>
      </c>
      <c r="D3857" s="1" t="s">
        <v>8398</v>
      </c>
      <c r="E3857" s="1" t="s">
        <v>8399</v>
      </c>
      <c r="F3857" s="1" t="s">
        <v>8643</v>
      </c>
      <c r="G3857" s="1" t="s">
        <v>8882</v>
      </c>
      <c r="H3857" s="1" t="s">
        <v>45</v>
      </c>
      <c r="I3857" s="1" t="s">
        <v>45</v>
      </c>
      <c r="J3857" s="1" t="s">
        <v>48</v>
      </c>
      <c r="K3857" s="1">
        <v>56</v>
      </c>
      <c r="L3857" s="1">
        <v>0</v>
      </c>
      <c r="M3857" s="1">
        <v>0</v>
      </c>
      <c r="N3857" s="1">
        <v>56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 t="s">
        <v>49</v>
      </c>
      <c r="AA3857" s="1" t="s">
        <v>49</v>
      </c>
      <c r="AB3857" s="1" t="s">
        <v>49</v>
      </c>
      <c r="AC3857" s="1" t="s">
        <v>7567</v>
      </c>
      <c r="AD3857" s="1" t="s">
        <v>7568</v>
      </c>
      <c r="AE3857" s="1" t="s">
        <v>7567</v>
      </c>
      <c r="AF3857" s="1" t="s">
        <v>8645</v>
      </c>
      <c r="AG3857" s="1" t="s">
        <v>8253</v>
      </c>
      <c r="AH3857" s="1" t="s">
        <v>49</v>
      </c>
      <c r="AI3857" s="1" t="s">
        <v>54</v>
      </c>
      <c r="AJ3857" s="1">
        <v>1</v>
      </c>
      <c r="AK3857" s="1" t="str">
        <f t="shared" si="60"/>
        <v xml:space="preserve"> =&lt;90</v>
      </c>
      <c r="AL3857" s="1" t="e">
        <f>VLOOKUP(C:C,[1]基础信息!B$1:D$65536,3,0)</f>
        <v>#N/A</v>
      </c>
      <c r="AM3857" s="1" t="e">
        <f>VLOOKUP(C:C,[1]基础信息!B$1:E$65536,4,0)</f>
        <v>#N/A</v>
      </c>
      <c r="AN3857" s="1" t="e">
        <f>VLOOKUP(C:C,[1]基础信息!B$1:F$65536,5,0)</f>
        <v>#N/A</v>
      </c>
    </row>
    <row r="3858" spans="1:40">
      <c r="A3858" s="1" t="s">
        <v>41</v>
      </c>
      <c r="B3858" s="1" t="s">
        <v>8244</v>
      </c>
      <c r="C3858" s="1" t="s">
        <v>8347</v>
      </c>
      <c r="D3858" s="1" t="s">
        <v>8348</v>
      </c>
      <c r="E3858" s="1" t="s">
        <v>45</v>
      </c>
      <c r="F3858" s="1" t="s">
        <v>8883</v>
      </c>
      <c r="G3858" s="1" t="s">
        <v>8884</v>
      </c>
      <c r="H3858" s="1" t="s">
        <v>8885</v>
      </c>
      <c r="I3858" s="1" t="s">
        <v>49</v>
      </c>
      <c r="J3858" s="1" t="s">
        <v>48</v>
      </c>
      <c r="K3858" s="1">
        <v>6</v>
      </c>
      <c r="L3858" s="1">
        <v>0</v>
      </c>
      <c r="M3858" s="1">
        <v>0</v>
      </c>
      <c r="N3858" s="1">
        <v>6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 t="s">
        <v>49</v>
      </c>
      <c r="AA3858" s="1" t="s">
        <v>49</v>
      </c>
      <c r="AB3858" s="1" t="s">
        <v>49</v>
      </c>
      <c r="AC3858" s="1" t="s">
        <v>8351</v>
      </c>
      <c r="AD3858" s="1" t="s">
        <v>8352</v>
      </c>
      <c r="AE3858" s="1" t="s">
        <v>8351</v>
      </c>
      <c r="AF3858" s="1" t="s">
        <v>8353</v>
      </c>
      <c r="AG3858" s="1" t="s">
        <v>8253</v>
      </c>
      <c r="AH3858" s="1" t="s">
        <v>8702</v>
      </c>
      <c r="AI3858" s="1" t="s">
        <v>54</v>
      </c>
      <c r="AJ3858" s="1">
        <v>1</v>
      </c>
      <c r="AK3858" s="1" t="str">
        <f t="shared" si="60"/>
        <v xml:space="preserve"> =&lt;90</v>
      </c>
      <c r="AL3858" s="1" t="e">
        <f>VLOOKUP(C:C,[1]基础信息!B$1:D$65536,3,0)</f>
        <v>#N/A</v>
      </c>
      <c r="AM3858" s="1" t="e">
        <f>VLOOKUP(C:C,[1]基础信息!B$1:E$65536,4,0)</f>
        <v>#N/A</v>
      </c>
      <c r="AN3858" s="1" t="e">
        <f>VLOOKUP(C:C,[1]基础信息!B$1:F$65536,5,0)</f>
        <v>#N/A</v>
      </c>
    </row>
    <row r="3859" spans="1:40">
      <c r="A3859" s="1" t="s">
        <v>41</v>
      </c>
      <c r="B3859" s="1" t="s">
        <v>8244</v>
      </c>
      <c r="C3859" s="1" t="s">
        <v>8397</v>
      </c>
      <c r="D3859" s="1" t="s">
        <v>8398</v>
      </c>
      <c r="E3859" s="1" t="s">
        <v>8399</v>
      </c>
      <c r="F3859" s="1" t="s">
        <v>8441</v>
      </c>
      <c r="G3859" s="1" t="s">
        <v>8886</v>
      </c>
      <c r="H3859" s="1" t="s">
        <v>45</v>
      </c>
      <c r="I3859" s="1" t="s">
        <v>45</v>
      </c>
      <c r="J3859" s="1" t="s">
        <v>48</v>
      </c>
      <c r="K3859" s="1">
        <v>36</v>
      </c>
      <c r="L3859" s="1">
        <v>0</v>
      </c>
      <c r="M3859" s="1">
        <v>0</v>
      </c>
      <c r="N3859" s="1">
        <v>36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 t="s">
        <v>49</v>
      </c>
      <c r="AA3859" s="1" t="s">
        <v>49</v>
      </c>
      <c r="AB3859" s="1" t="s">
        <v>49</v>
      </c>
      <c r="AC3859" s="1" t="s">
        <v>1188</v>
      </c>
      <c r="AD3859" s="1" t="s">
        <v>1189</v>
      </c>
      <c r="AE3859" s="1" t="s">
        <v>1188</v>
      </c>
      <c r="AF3859" s="1" t="s">
        <v>8443</v>
      </c>
      <c r="AG3859" s="1" t="s">
        <v>8253</v>
      </c>
      <c r="AH3859" s="1" t="s">
        <v>49</v>
      </c>
      <c r="AI3859" s="1" t="s">
        <v>54</v>
      </c>
      <c r="AJ3859" s="1">
        <v>1</v>
      </c>
      <c r="AK3859" s="1" t="str">
        <f t="shared" si="60"/>
        <v xml:space="preserve"> =&lt;90</v>
      </c>
      <c r="AL3859" s="1" t="e">
        <f>VLOOKUP(C:C,[1]基础信息!B$1:D$65536,3,0)</f>
        <v>#N/A</v>
      </c>
      <c r="AM3859" s="1" t="e">
        <f>VLOOKUP(C:C,[1]基础信息!B$1:E$65536,4,0)</f>
        <v>#N/A</v>
      </c>
      <c r="AN3859" s="1" t="e">
        <f>VLOOKUP(C:C,[1]基础信息!B$1:F$65536,5,0)</f>
        <v>#N/A</v>
      </c>
    </row>
    <row r="3860" spans="1:40">
      <c r="A3860" s="1" t="s">
        <v>41</v>
      </c>
      <c r="B3860" s="1" t="s">
        <v>42</v>
      </c>
      <c r="C3860" s="1" t="s">
        <v>4613</v>
      </c>
      <c r="D3860" s="1" t="s">
        <v>4614</v>
      </c>
      <c r="E3860" s="1" t="s">
        <v>45</v>
      </c>
      <c r="F3860" s="1" t="s">
        <v>4615</v>
      </c>
      <c r="G3860" s="1" t="s">
        <v>8887</v>
      </c>
      <c r="H3860" s="1" t="s">
        <v>8888</v>
      </c>
      <c r="I3860" s="1" t="s">
        <v>49</v>
      </c>
      <c r="J3860" s="1" t="s">
        <v>48</v>
      </c>
      <c r="K3860" s="1">
        <v>40</v>
      </c>
      <c r="L3860" s="1">
        <v>0</v>
      </c>
      <c r="M3860" s="1">
        <v>0</v>
      </c>
      <c r="N3860" s="1">
        <v>40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 t="s">
        <v>49</v>
      </c>
      <c r="AA3860" s="1" t="s">
        <v>49</v>
      </c>
      <c r="AB3860" s="1" t="s">
        <v>49</v>
      </c>
      <c r="AC3860" s="1" t="s">
        <v>2000</v>
      </c>
      <c r="AD3860" s="1" t="s">
        <v>2001</v>
      </c>
      <c r="AE3860" s="1" t="s">
        <v>2000</v>
      </c>
      <c r="AF3860" s="1" t="s">
        <v>4618</v>
      </c>
      <c r="AG3860" s="1" t="s">
        <v>53</v>
      </c>
      <c r="AH3860" s="1" t="s">
        <v>49</v>
      </c>
      <c r="AI3860" s="1" t="s">
        <v>54</v>
      </c>
      <c r="AJ3860" s="1">
        <v>1</v>
      </c>
      <c r="AK3860" s="1" t="str">
        <f t="shared" si="60"/>
        <v xml:space="preserve"> =&lt;90</v>
      </c>
      <c r="AL3860" s="1" t="str">
        <f>VLOOKUP(C:C,[1]基础信息!B$1:D$65536,3,0)</f>
        <v>Jug</v>
      </c>
      <c r="AM3860" s="1" t="str">
        <f>VLOOKUP(C:C,[1]基础信息!B$1:E$65536,4,0)</f>
        <v>Style</v>
      </c>
      <c r="AN3860" s="1" t="str">
        <f>VLOOKUP(C:C,[1]基础信息!B$1:F$65536,5,0)</f>
        <v>Blue</v>
      </c>
    </row>
    <row r="3861" spans="1:40">
      <c r="A3861" s="1" t="s">
        <v>41</v>
      </c>
      <c r="B3861" s="1" t="s">
        <v>8244</v>
      </c>
      <c r="C3861" s="1" t="s">
        <v>8347</v>
      </c>
      <c r="D3861" s="1" t="s">
        <v>8348</v>
      </c>
      <c r="E3861" s="1" t="s">
        <v>45</v>
      </c>
      <c r="F3861" s="1" t="s">
        <v>8889</v>
      </c>
      <c r="G3861" s="1" t="s">
        <v>8890</v>
      </c>
      <c r="H3861" s="1" t="s">
        <v>8891</v>
      </c>
      <c r="I3861" s="1" t="s">
        <v>49</v>
      </c>
      <c r="J3861" s="1" t="s">
        <v>48</v>
      </c>
      <c r="K3861" s="1">
        <v>32</v>
      </c>
      <c r="L3861" s="1">
        <v>0</v>
      </c>
      <c r="M3861" s="1">
        <v>0</v>
      </c>
      <c r="N3861" s="1">
        <v>32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 t="s">
        <v>49</v>
      </c>
      <c r="AA3861" s="1" t="s">
        <v>49</v>
      </c>
      <c r="AB3861" s="1" t="s">
        <v>49</v>
      </c>
      <c r="AC3861" s="1" t="s">
        <v>8470</v>
      </c>
      <c r="AD3861" s="1" t="s">
        <v>8471</v>
      </c>
      <c r="AE3861" s="1" t="s">
        <v>8470</v>
      </c>
      <c r="AF3861" s="1" t="s">
        <v>8472</v>
      </c>
      <c r="AG3861" s="1" t="s">
        <v>8253</v>
      </c>
      <c r="AH3861" s="1" t="s">
        <v>8841</v>
      </c>
      <c r="AI3861" s="1" t="s">
        <v>54</v>
      </c>
      <c r="AJ3861" s="1">
        <v>1</v>
      </c>
      <c r="AK3861" s="1" t="str">
        <f t="shared" si="60"/>
        <v xml:space="preserve"> =&lt;90</v>
      </c>
      <c r="AL3861" s="1" t="e">
        <f>VLOOKUP(C:C,[1]基础信息!B$1:D$65536,3,0)</f>
        <v>#N/A</v>
      </c>
      <c r="AM3861" s="1" t="e">
        <f>VLOOKUP(C:C,[1]基础信息!B$1:E$65536,4,0)</f>
        <v>#N/A</v>
      </c>
      <c r="AN3861" s="1" t="e">
        <f>VLOOKUP(C:C,[1]基础信息!B$1:F$65536,5,0)</f>
        <v>#N/A</v>
      </c>
    </row>
    <row r="3862" spans="1:40">
      <c r="A3862" s="1" t="s">
        <v>41</v>
      </c>
      <c r="B3862" s="1" t="s">
        <v>8244</v>
      </c>
      <c r="C3862" s="1" t="s">
        <v>8397</v>
      </c>
      <c r="D3862" s="1" t="s">
        <v>8398</v>
      </c>
      <c r="E3862" s="1" t="s">
        <v>8399</v>
      </c>
      <c r="F3862" s="1" t="s">
        <v>8589</v>
      </c>
      <c r="G3862" s="1" t="s">
        <v>8892</v>
      </c>
      <c r="H3862" s="1" t="s">
        <v>45</v>
      </c>
      <c r="I3862" s="1" t="s">
        <v>45</v>
      </c>
      <c r="J3862" s="1" t="s">
        <v>48</v>
      </c>
      <c r="K3862" s="1">
        <v>56</v>
      </c>
      <c r="L3862" s="1">
        <v>0</v>
      </c>
      <c r="M3862" s="1">
        <v>0</v>
      </c>
      <c r="N3862" s="1">
        <v>56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 t="s">
        <v>49</v>
      </c>
      <c r="AA3862" s="1" t="s">
        <v>49</v>
      </c>
      <c r="AB3862" s="1" t="s">
        <v>49</v>
      </c>
      <c r="AC3862" s="1" t="s">
        <v>61</v>
      </c>
      <c r="AD3862" s="1" t="s">
        <v>62</v>
      </c>
      <c r="AE3862" s="1" t="s">
        <v>61</v>
      </c>
      <c r="AF3862" s="1" t="s">
        <v>8591</v>
      </c>
      <c r="AG3862" s="1" t="s">
        <v>8253</v>
      </c>
      <c r="AH3862" s="1" t="s">
        <v>49</v>
      </c>
      <c r="AI3862" s="1" t="s">
        <v>54</v>
      </c>
      <c r="AJ3862" s="1">
        <v>1</v>
      </c>
      <c r="AK3862" s="1" t="str">
        <f t="shared" si="60"/>
        <v xml:space="preserve"> =&lt;90</v>
      </c>
      <c r="AL3862" s="1" t="e">
        <f>VLOOKUP(C:C,[1]基础信息!B$1:D$65536,3,0)</f>
        <v>#N/A</v>
      </c>
      <c r="AM3862" s="1" t="e">
        <f>VLOOKUP(C:C,[1]基础信息!B$1:E$65536,4,0)</f>
        <v>#N/A</v>
      </c>
      <c r="AN3862" s="1" t="e">
        <f>VLOOKUP(C:C,[1]基础信息!B$1:F$65536,5,0)</f>
        <v>#N/A</v>
      </c>
    </row>
    <row r="3863" spans="1:40">
      <c r="A3863" s="1" t="s">
        <v>41</v>
      </c>
      <c r="B3863" s="1" t="s">
        <v>8244</v>
      </c>
      <c r="C3863" s="1" t="s">
        <v>8742</v>
      </c>
      <c r="D3863" s="1" t="s">
        <v>8743</v>
      </c>
      <c r="E3863" s="1" t="s">
        <v>8744</v>
      </c>
      <c r="F3863" s="1" t="s">
        <v>8801</v>
      </c>
      <c r="G3863" s="1" t="s">
        <v>8893</v>
      </c>
      <c r="H3863" s="1" t="s">
        <v>45</v>
      </c>
      <c r="I3863" s="1" t="s">
        <v>45</v>
      </c>
      <c r="J3863" s="1" t="s">
        <v>48</v>
      </c>
      <c r="K3863" s="1">
        <v>480</v>
      </c>
      <c r="L3863" s="1">
        <v>0</v>
      </c>
      <c r="M3863" s="1">
        <v>0</v>
      </c>
      <c r="N3863" s="1">
        <v>480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 t="s">
        <v>49</v>
      </c>
      <c r="AA3863" s="1" t="s">
        <v>49</v>
      </c>
      <c r="AB3863" s="1" t="s">
        <v>49</v>
      </c>
      <c r="AC3863" s="1" t="s">
        <v>376</v>
      </c>
      <c r="AD3863" s="1" t="s">
        <v>377</v>
      </c>
      <c r="AE3863" s="1" t="s">
        <v>376</v>
      </c>
      <c r="AF3863" s="1" t="s">
        <v>8803</v>
      </c>
      <c r="AG3863" s="1" t="s">
        <v>8253</v>
      </c>
      <c r="AH3863" s="1" t="s">
        <v>49</v>
      </c>
      <c r="AI3863" s="1" t="s">
        <v>54</v>
      </c>
      <c r="AJ3863" s="1">
        <v>1</v>
      </c>
      <c r="AK3863" s="1" t="str">
        <f t="shared" si="60"/>
        <v xml:space="preserve"> =&lt;90</v>
      </c>
      <c r="AL3863" s="1" t="e">
        <f>VLOOKUP(C:C,[1]基础信息!B$1:D$65536,3,0)</f>
        <v>#N/A</v>
      </c>
      <c r="AM3863" s="1" t="e">
        <f>VLOOKUP(C:C,[1]基础信息!B$1:E$65536,4,0)</f>
        <v>#N/A</v>
      </c>
      <c r="AN3863" s="1" t="e">
        <f>VLOOKUP(C:C,[1]基础信息!B$1:F$65536,5,0)</f>
        <v>#N/A</v>
      </c>
    </row>
    <row r="3864" spans="1:40">
      <c r="A3864" s="1" t="s">
        <v>41</v>
      </c>
      <c r="B3864" s="1" t="s">
        <v>42</v>
      </c>
      <c r="C3864" s="1" t="s">
        <v>481</v>
      </c>
      <c r="D3864" s="1" t="s">
        <v>482</v>
      </c>
      <c r="E3864" s="1" t="s">
        <v>45</v>
      </c>
      <c r="F3864" s="1" t="s">
        <v>4455</v>
      </c>
      <c r="G3864" s="1" t="s">
        <v>8894</v>
      </c>
      <c r="H3864" s="1" t="s">
        <v>8895</v>
      </c>
      <c r="I3864" s="1" t="s">
        <v>49</v>
      </c>
      <c r="J3864" s="1" t="s">
        <v>48</v>
      </c>
      <c r="K3864" s="1">
        <v>168</v>
      </c>
      <c r="L3864" s="1">
        <v>0</v>
      </c>
      <c r="M3864" s="1">
        <v>0</v>
      </c>
      <c r="N3864" s="1">
        <v>168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 t="s">
        <v>49</v>
      </c>
      <c r="AA3864" s="1" t="s">
        <v>49</v>
      </c>
      <c r="AB3864" s="1" t="s">
        <v>49</v>
      </c>
      <c r="AC3864" s="1" t="s">
        <v>4458</v>
      </c>
      <c r="AD3864" s="1" t="s">
        <v>4459</v>
      </c>
      <c r="AE3864" s="1" t="s">
        <v>4458</v>
      </c>
      <c r="AF3864" s="1" t="s">
        <v>488</v>
      </c>
      <c r="AG3864" s="1" t="s">
        <v>53</v>
      </c>
      <c r="AH3864" s="1" t="s">
        <v>49</v>
      </c>
      <c r="AI3864" s="1" t="s">
        <v>54</v>
      </c>
      <c r="AJ3864" s="1">
        <v>1</v>
      </c>
      <c r="AK3864" s="1" t="str">
        <f t="shared" si="60"/>
        <v xml:space="preserve"> =&lt;90</v>
      </c>
      <c r="AL3864" s="1" t="str">
        <f>VLOOKUP(C:C,[1]基础信息!B$1:D$65536,3,0)</f>
        <v>Jug</v>
      </c>
      <c r="AM3864" s="1" t="str">
        <f>VLOOKUP(C:C,[1]基础信息!B$1:E$65536,4,0)</f>
        <v>Style COOL</v>
      </c>
      <c r="AN3864" s="1" t="str">
        <f>VLOOKUP(C:C,[1]基础信息!B$1:F$65536,5,0)</f>
        <v>Cool Blue</v>
      </c>
    </row>
    <row r="3865" spans="1:40">
      <c r="A3865" s="1" t="s">
        <v>41</v>
      </c>
      <c r="B3865" s="1" t="s">
        <v>8244</v>
      </c>
      <c r="C3865" s="1" t="s">
        <v>8459</v>
      </c>
      <c r="D3865" s="1" t="s">
        <v>8460</v>
      </c>
      <c r="E3865" s="1" t="s">
        <v>8461</v>
      </c>
      <c r="F3865" s="1" t="s">
        <v>8853</v>
      </c>
      <c r="G3865" s="1" t="s">
        <v>8896</v>
      </c>
      <c r="H3865" s="1" t="s">
        <v>8897</v>
      </c>
      <c r="I3865" s="1" t="s">
        <v>49</v>
      </c>
      <c r="J3865" s="1" t="s">
        <v>48</v>
      </c>
      <c r="K3865" s="1">
        <v>56</v>
      </c>
      <c r="L3865" s="1">
        <v>0</v>
      </c>
      <c r="M3865" s="1">
        <v>0</v>
      </c>
      <c r="N3865" s="1">
        <v>56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 t="s">
        <v>49</v>
      </c>
      <c r="AA3865" s="1" t="s">
        <v>49</v>
      </c>
      <c r="AB3865" s="1" t="s">
        <v>49</v>
      </c>
      <c r="AC3865" s="1" t="s">
        <v>8856</v>
      </c>
      <c r="AD3865" s="1" t="s">
        <v>8857</v>
      </c>
      <c r="AE3865" s="1" t="s">
        <v>8856</v>
      </c>
      <c r="AF3865" s="1" t="s">
        <v>8609</v>
      </c>
      <c r="AG3865" s="1" t="s">
        <v>8253</v>
      </c>
      <c r="AH3865" s="1" t="s">
        <v>49</v>
      </c>
      <c r="AI3865" s="1" t="s">
        <v>54</v>
      </c>
      <c r="AJ3865" s="1">
        <v>1</v>
      </c>
      <c r="AK3865" s="1" t="str">
        <f t="shared" si="60"/>
        <v xml:space="preserve"> =&lt;90</v>
      </c>
      <c r="AL3865" s="1" t="e">
        <f>VLOOKUP(C:C,[1]基础信息!B$1:D$65536,3,0)</f>
        <v>#N/A</v>
      </c>
      <c r="AM3865" s="1" t="e">
        <f>VLOOKUP(C:C,[1]基础信息!B$1:E$65536,4,0)</f>
        <v>#N/A</v>
      </c>
      <c r="AN3865" s="1" t="e">
        <f>VLOOKUP(C:C,[1]基础信息!B$1:F$65536,5,0)</f>
        <v>#N/A</v>
      </c>
    </row>
    <row r="3866" spans="1:40">
      <c r="A3866" s="1" t="s">
        <v>41</v>
      </c>
      <c r="B3866" s="1" t="s">
        <v>8244</v>
      </c>
      <c r="C3866" s="1" t="s">
        <v>8652</v>
      </c>
      <c r="D3866" s="1" t="s">
        <v>8653</v>
      </c>
      <c r="E3866" s="1" t="s">
        <v>8654</v>
      </c>
      <c r="F3866" s="1" t="s">
        <v>8898</v>
      </c>
      <c r="G3866" s="1" t="s">
        <v>8899</v>
      </c>
      <c r="H3866" s="1" t="s">
        <v>45</v>
      </c>
      <c r="I3866" s="1" t="s">
        <v>45</v>
      </c>
      <c r="J3866" s="1" t="s">
        <v>48</v>
      </c>
      <c r="K3866" s="1">
        <v>81</v>
      </c>
      <c r="L3866" s="1">
        <v>0</v>
      </c>
      <c r="M3866" s="1">
        <v>0</v>
      </c>
      <c r="N3866" s="1">
        <v>81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 t="s">
        <v>49</v>
      </c>
      <c r="AA3866" s="1" t="s">
        <v>49</v>
      </c>
      <c r="AB3866" s="1" t="s">
        <v>49</v>
      </c>
      <c r="AC3866" s="1" t="s">
        <v>8402</v>
      </c>
      <c r="AD3866" s="1" t="s">
        <v>8403</v>
      </c>
      <c r="AE3866" s="1" t="s">
        <v>8402</v>
      </c>
      <c r="AF3866" s="1" t="s">
        <v>8900</v>
      </c>
      <c r="AG3866" s="1" t="s">
        <v>8253</v>
      </c>
      <c r="AH3866" s="1" t="s">
        <v>49</v>
      </c>
      <c r="AI3866" s="1" t="s">
        <v>54</v>
      </c>
      <c r="AJ3866" s="1">
        <v>1</v>
      </c>
      <c r="AK3866" s="1" t="str">
        <f t="shared" si="60"/>
        <v xml:space="preserve"> =&lt;90</v>
      </c>
      <c r="AL3866" s="1" t="e">
        <f>VLOOKUP(C:C,[1]基础信息!B$1:D$65536,3,0)</f>
        <v>#N/A</v>
      </c>
      <c r="AM3866" s="1" t="e">
        <f>VLOOKUP(C:C,[1]基础信息!B$1:E$65536,4,0)</f>
        <v>#N/A</v>
      </c>
      <c r="AN3866" s="1" t="e">
        <f>VLOOKUP(C:C,[1]基础信息!B$1:F$65536,5,0)</f>
        <v>#N/A</v>
      </c>
    </row>
    <row r="3867" spans="1:40">
      <c r="A3867" s="1" t="s">
        <v>41</v>
      </c>
      <c r="B3867" s="1" t="s">
        <v>42</v>
      </c>
      <c r="C3867" s="1" t="s">
        <v>4613</v>
      </c>
      <c r="D3867" s="1" t="s">
        <v>4614</v>
      </c>
      <c r="E3867" s="1" t="s">
        <v>45</v>
      </c>
      <c r="F3867" s="1" t="s">
        <v>4615</v>
      </c>
      <c r="G3867" s="1" t="s">
        <v>8901</v>
      </c>
      <c r="H3867" s="1" t="s">
        <v>8902</v>
      </c>
      <c r="I3867" s="1" t="s">
        <v>49</v>
      </c>
      <c r="J3867" s="1" t="s">
        <v>48</v>
      </c>
      <c r="K3867" s="1">
        <v>40</v>
      </c>
      <c r="L3867" s="1">
        <v>0</v>
      </c>
      <c r="M3867" s="1">
        <v>0</v>
      </c>
      <c r="N3867" s="1">
        <v>40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 t="s">
        <v>49</v>
      </c>
      <c r="AA3867" s="1" t="s">
        <v>49</v>
      </c>
      <c r="AB3867" s="1" t="s">
        <v>49</v>
      </c>
      <c r="AC3867" s="1" t="s">
        <v>2000</v>
      </c>
      <c r="AD3867" s="1" t="s">
        <v>2001</v>
      </c>
      <c r="AE3867" s="1" t="s">
        <v>2000</v>
      </c>
      <c r="AF3867" s="1" t="s">
        <v>4618</v>
      </c>
      <c r="AG3867" s="1" t="s">
        <v>53</v>
      </c>
      <c r="AH3867" s="1" t="s">
        <v>49</v>
      </c>
      <c r="AI3867" s="1" t="s">
        <v>54</v>
      </c>
      <c r="AJ3867" s="1">
        <v>1</v>
      </c>
      <c r="AK3867" s="1" t="str">
        <f t="shared" ref="AK3867:AK3930" si="61">IF(AJ3867&gt;$AP$2,$AQ$2,IF(AJ3867&gt;$AP$3,$AQ$3,IF(AJ3867&gt;$AP$4,$AQ$4,$AQ$5)))</f>
        <v xml:space="preserve"> =&lt;90</v>
      </c>
      <c r="AL3867" s="1" t="str">
        <f>VLOOKUP(C:C,[1]基础信息!B$1:D$65536,3,0)</f>
        <v>Jug</v>
      </c>
      <c r="AM3867" s="1" t="str">
        <f>VLOOKUP(C:C,[1]基础信息!B$1:E$65536,4,0)</f>
        <v>Style</v>
      </c>
      <c r="AN3867" s="1" t="str">
        <f>VLOOKUP(C:C,[1]基础信息!B$1:F$65536,5,0)</f>
        <v>Blue</v>
      </c>
    </row>
    <row r="3868" spans="1:40">
      <c r="A3868" s="1" t="s">
        <v>41</v>
      </c>
      <c r="B3868" s="1" t="s">
        <v>8244</v>
      </c>
      <c r="C3868" s="1" t="s">
        <v>8397</v>
      </c>
      <c r="D3868" s="1" t="s">
        <v>8398</v>
      </c>
      <c r="E3868" s="1" t="s">
        <v>8399</v>
      </c>
      <c r="F3868" s="1" t="s">
        <v>8903</v>
      </c>
      <c r="G3868" s="1" t="s">
        <v>8904</v>
      </c>
      <c r="H3868" s="1" t="s">
        <v>45</v>
      </c>
      <c r="I3868" s="1" t="s">
        <v>45</v>
      </c>
      <c r="J3868" s="1" t="s">
        <v>48</v>
      </c>
      <c r="K3868" s="1">
        <v>48</v>
      </c>
      <c r="L3868" s="1">
        <v>0</v>
      </c>
      <c r="M3868" s="1">
        <v>0</v>
      </c>
      <c r="N3868" s="1">
        <v>48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 t="s">
        <v>49</v>
      </c>
      <c r="AA3868" s="1" t="s">
        <v>49</v>
      </c>
      <c r="AB3868" s="1" t="s">
        <v>49</v>
      </c>
      <c r="AC3868" s="1" t="s">
        <v>8657</v>
      </c>
      <c r="AD3868" s="1" t="s">
        <v>8658</v>
      </c>
      <c r="AE3868" s="1" t="s">
        <v>8657</v>
      </c>
      <c r="AF3868" s="1" t="s">
        <v>8645</v>
      </c>
      <c r="AG3868" s="1" t="s">
        <v>8253</v>
      </c>
      <c r="AH3868" s="1" t="s">
        <v>49</v>
      </c>
      <c r="AI3868" s="1" t="s">
        <v>54</v>
      </c>
      <c r="AJ3868" s="1">
        <v>1</v>
      </c>
      <c r="AK3868" s="1" t="str">
        <f t="shared" si="61"/>
        <v xml:space="preserve"> =&lt;90</v>
      </c>
      <c r="AL3868" s="1" t="e">
        <f>VLOOKUP(C:C,[1]基础信息!B$1:D$65536,3,0)</f>
        <v>#N/A</v>
      </c>
      <c r="AM3868" s="1" t="e">
        <f>VLOOKUP(C:C,[1]基础信息!B$1:E$65536,4,0)</f>
        <v>#N/A</v>
      </c>
      <c r="AN3868" s="1" t="e">
        <f>VLOOKUP(C:C,[1]基础信息!B$1:F$65536,5,0)</f>
        <v>#N/A</v>
      </c>
    </row>
    <row r="3869" spans="1:40">
      <c r="A3869" s="1" t="s">
        <v>41</v>
      </c>
      <c r="B3869" s="1" t="s">
        <v>8244</v>
      </c>
      <c r="C3869" s="1" t="s">
        <v>8652</v>
      </c>
      <c r="D3869" s="1" t="s">
        <v>8653</v>
      </c>
      <c r="E3869" s="1" t="s">
        <v>8654</v>
      </c>
      <c r="F3869" s="1" t="s">
        <v>8905</v>
      </c>
      <c r="G3869" s="1" t="s">
        <v>8906</v>
      </c>
      <c r="H3869" s="1" t="s">
        <v>45</v>
      </c>
      <c r="I3869" s="1" t="s">
        <v>45</v>
      </c>
      <c r="J3869" s="1" t="s">
        <v>48</v>
      </c>
      <c r="K3869" s="1">
        <v>81</v>
      </c>
      <c r="L3869" s="1">
        <v>0</v>
      </c>
      <c r="M3869" s="1">
        <v>0</v>
      </c>
      <c r="N3869" s="1">
        <v>81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 t="s">
        <v>49</v>
      </c>
      <c r="AA3869" s="1" t="s">
        <v>49</v>
      </c>
      <c r="AB3869" s="1" t="s">
        <v>49</v>
      </c>
      <c r="AC3869" s="1" t="s">
        <v>8402</v>
      </c>
      <c r="AD3869" s="1" t="s">
        <v>8403</v>
      </c>
      <c r="AE3869" s="1" t="s">
        <v>8402</v>
      </c>
      <c r="AF3869" s="1" t="s">
        <v>8907</v>
      </c>
      <c r="AG3869" s="1" t="s">
        <v>8253</v>
      </c>
      <c r="AH3869" s="1" t="s">
        <v>49</v>
      </c>
      <c r="AI3869" s="1" t="s">
        <v>54</v>
      </c>
      <c r="AJ3869" s="1">
        <v>1</v>
      </c>
      <c r="AK3869" s="1" t="str">
        <f t="shared" si="61"/>
        <v xml:space="preserve"> =&lt;90</v>
      </c>
      <c r="AL3869" s="1" t="e">
        <f>VLOOKUP(C:C,[1]基础信息!B$1:D$65536,3,0)</f>
        <v>#N/A</v>
      </c>
      <c r="AM3869" s="1" t="e">
        <f>VLOOKUP(C:C,[1]基础信息!B$1:E$65536,4,0)</f>
        <v>#N/A</v>
      </c>
      <c r="AN3869" s="1" t="e">
        <f>VLOOKUP(C:C,[1]基础信息!B$1:F$65536,5,0)</f>
        <v>#N/A</v>
      </c>
    </row>
    <row r="3870" spans="1:40">
      <c r="A3870" s="1" t="s">
        <v>41</v>
      </c>
      <c r="B3870" s="1" t="s">
        <v>42</v>
      </c>
      <c r="C3870" s="1" t="s">
        <v>4613</v>
      </c>
      <c r="D3870" s="1" t="s">
        <v>4614</v>
      </c>
      <c r="E3870" s="1" t="s">
        <v>45</v>
      </c>
      <c r="F3870" s="1" t="s">
        <v>4615</v>
      </c>
      <c r="G3870" s="1" t="s">
        <v>8908</v>
      </c>
      <c r="H3870" s="1" t="s">
        <v>8909</v>
      </c>
      <c r="I3870" s="1" t="s">
        <v>49</v>
      </c>
      <c r="J3870" s="1" t="s">
        <v>48</v>
      </c>
      <c r="K3870" s="1">
        <v>40</v>
      </c>
      <c r="L3870" s="1">
        <v>0</v>
      </c>
      <c r="M3870" s="1">
        <v>0</v>
      </c>
      <c r="N3870" s="1">
        <v>40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 t="s">
        <v>49</v>
      </c>
      <c r="AA3870" s="1" t="s">
        <v>49</v>
      </c>
      <c r="AB3870" s="1" t="s">
        <v>49</v>
      </c>
      <c r="AC3870" s="1" t="s">
        <v>2000</v>
      </c>
      <c r="AD3870" s="1" t="s">
        <v>2001</v>
      </c>
      <c r="AE3870" s="1" t="s">
        <v>2000</v>
      </c>
      <c r="AF3870" s="1" t="s">
        <v>4618</v>
      </c>
      <c r="AG3870" s="1" t="s">
        <v>53</v>
      </c>
      <c r="AH3870" s="1" t="s">
        <v>49</v>
      </c>
      <c r="AI3870" s="1" t="s">
        <v>54</v>
      </c>
      <c r="AJ3870" s="1">
        <v>1</v>
      </c>
      <c r="AK3870" s="1" t="str">
        <f t="shared" si="61"/>
        <v xml:space="preserve"> =&lt;90</v>
      </c>
      <c r="AL3870" s="1" t="str">
        <f>VLOOKUP(C:C,[1]基础信息!B$1:D$65536,3,0)</f>
        <v>Jug</v>
      </c>
      <c r="AM3870" s="1" t="str">
        <f>VLOOKUP(C:C,[1]基础信息!B$1:E$65536,4,0)</f>
        <v>Style</v>
      </c>
      <c r="AN3870" s="1" t="str">
        <f>VLOOKUP(C:C,[1]基础信息!B$1:F$65536,5,0)</f>
        <v>Blue</v>
      </c>
    </row>
    <row r="3871" spans="1:40">
      <c r="A3871" s="1" t="s">
        <v>41</v>
      </c>
      <c r="B3871" s="1" t="s">
        <v>8244</v>
      </c>
      <c r="C3871" s="1" t="s">
        <v>8459</v>
      </c>
      <c r="D3871" s="1" t="s">
        <v>8460</v>
      </c>
      <c r="E3871" s="1" t="s">
        <v>8461</v>
      </c>
      <c r="F3871" s="1" t="s">
        <v>8853</v>
      </c>
      <c r="G3871" s="1" t="s">
        <v>8910</v>
      </c>
      <c r="H3871" s="1" t="s">
        <v>8911</v>
      </c>
      <c r="I3871" s="1" t="s">
        <v>49</v>
      </c>
      <c r="J3871" s="1" t="s">
        <v>48</v>
      </c>
      <c r="K3871" s="1">
        <v>56</v>
      </c>
      <c r="L3871" s="1">
        <v>0</v>
      </c>
      <c r="M3871" s="1">
        <v>0</v>
      </c>
      <c r="N3871" s="1">
        <v>56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 t="s">
        <v>49</v>
      </c>
      <c r="AA3871" s="1" t="s">
        <v>49</v>
      </c>
      <c r="AB3871" s="1" t="s">
        <v>49</v>
      </c>
      <c r="AC3871" s="1" t="s">
        <v>8856</v>
      </c>
      <c r="AD3871" s="1" t="s">
        <v>8857</v>
      </c>
      <c r="AE3871" s="1" t="s">
        <v>8856</v>
      </c>
      <c r="AF3871" s="1" t="s">
        <v>8609</v>
      </c>
      <c r="AG3871" s="1" t="s">
        <v>8253</v>
      </c>
      <c r="AH3871" s="1" t="s">
        <v>49</v>
      </c>
      <c r="AI3871" s="1" t="s">
        <v>54</v>
      </c>
      <c r="AJ3871" s="1">
        <v>1</v>
      </c>
      <c r="AK3871" s="1" t="str">
        <f t="shared" si="61"/>
        <v xml:space="preserve"> =&lt;90</v>
      </c>
      <c r="AL3871" s="1" t="e">
        <f>VLOOKUP(C:C,[1]基础信息!B$1:D$65536,3,0)</f>
        <v>#N/A</v>
      </c>
      <c r="AM3871" s="1" t="e">
        <f>VLOOKUP(C:C,[1]基础信息!B$1:E$65536,4,0)</f>
        <v>#N/A</v>
      </c>
      <c r="AN3871" s="1" t="e">
        <f>VLOOKUP(C:C,[1]基础信息!B$1:F$65536,5,0)</f>
        <v>#N/A</v>
      </c>
    </row>
    <row r="3872" spans="1:40">
      <c r="A3872" s="1" t="s">
        <v>41</v>
      </c>
      <c r="B3872" s="1" t="s">
        <v>8244</v>
      </c>
      <c r="C3872" s="1" t="s">
        <v>8652</v>
      </c>
      <c r="D3872" s="1" t="s">
        <v>8653</v>
      </c>
      <c r="E3872" s="1" t="s">
        <v>8654</v>
      </c>
      <c r="F3872" s="1" t="s">
        <v>8912</v>
      </c>
      <c r="G3872" s="1" t="s">
        <v>8913</v>
      </c>
      <c r="H3872" s="1" t="s">
        <v>45</v>
      </c>
      <c r="I3872" s="1" t="s">
        <v>45</v>
      </c>
      <c r="J3872" s="1" t="s">
        <v>48</v>
      </c>
      <c r="K3872" s="1">
        <v>81</v>
      </c>
      <c r="L3872" s="1">
        <v>0</v>
      </c>
      <c r="M3872" s="1">
        <v>0</v>
      </c>
      <c r="N3872" s="1">
        <v>81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 t="s">
        <v>49</v>
      </c>
      <c r="AA3872" s="1" t="s">
        <v>49</v>
      </c>
      <c r="AB3872" s="1" t="s">
        <v>49</v>
      </c>
      <c r="AC3872" s="1" t="s">
        <v>61</v>
      </c>
      <c r="AD3872" s="1" t="s">
        <v>62</v>
      </c>
      <c r="AE3872" s="1" t="s">
        <v>61</v>
      </c>
      <c r="AF3872" s="1" t="s">
        <v>8900</v>
      </c>
      <c r="AG3872" s="1" t="s">
        <v>8253</v>
      </c>
      <c r="AH3872" s="1" t="s">
        <v>49</v>
      </c>
      <c r="AI3872" s="1" t="s">
        <v>54</v>
      </c>
      <c r="AJ3872" s="1">
        <v>1</v>
      </c>
      <c r="AK3872" s="1" t="str">
        <f t="shared" si="61"/>
        <v xml:space="preserve"> =&lt;90</v>
      </c>
      <c r="AL3872" s="1" t="e">
        <f>VLOOKUP(C:C,[1]基础信息!B$1:D$65536,3,0)</f>
        <v>#N/A</v>
      </c>
      <c r="AM3872" s="1" t="e">
        <f>VLOOKUP(C:C,[1]基础信息!B$1:E$65536,4,0)</f>
        <v>#N/A</v>
      </c>
      <c r="AN3872" s="1" t="e">
        <f>VLOOKUP(C:C,[1]基础信息!B$1:F$65536,5,0)</f>
        <v>#N/A</v>
      </c>
    </row>
    <row r="3873" spans="1:40">
      <c r="A3873" s="1" t="s">
        <v>41</v>
      </c>
      <c r="B3873" s="1" t="s">
        <v>42</v>
      </c>
      <c r="C3873" s="1" t="s">
        <v>8610</v>
      </c>
      <c r="D3873" s="1" t="s">
        <v>8611</v>
      </c>
      <c r="E3873" s="1" t="s">
        <v>45</v>
      </c>
      <c r="F3873" s="1" t="s">
        <v>8843</v>
      </c>
      <c r="G3873" s="1" t="s">
        <v>8914</v>
      </c>
      <c r="H3873" s="1" t="s">
        <v>8915</v>
      </c>
      <c r="I3873" s="1" t="s">
        <v>45</v>
      </c>
      <c r="J3873" s="1" t="s">
        <v>48</v>
      </c>
      <c r="K3873" s="1">
        <v>1650</v>
      </c>
      <c r="L3873" s="1">
        <v>0</v>
      </c>
      <c r="M3873" s="1">
        <v>0</v>
      </c>
      <c r="N3873" s="1">
        <v>1650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 t="s">
        <v>49</v>
      </c>
      <c r="AA3873" s="1" t="s">
        <v>49</v>
      </c>
      <c r="AB3873" s="1" t="s">
        <v>49</v>
      </c>
      <c r="AC3873" s="1" t="s">
        <v>8706</v>
      </c>
      <c r="AD3873" s="1" t="s">
        <v>8707</v>
      </c>
      <c r="AE3873" s="1" t="s">
        <v>8706</v>
      </c>
      <c r="AF3873" s="1" t="s">
        <v>8846</v>
      </c>
      <c r="AG3873" s="1" t="s">
        <v>4662</v>
      </c>
      <c r="AH3873" s="1" t="s">
        <v>49</v>
      </c>
      <c r="AI3873" s="1" t="s">
        <v>54</v>
      </c>
      <c r="AJ3873" s="1">
        <v>1</v>
      </c>
      <c r="AK3873" s="1" t="str">
        <f t="shared" si="61"/>
        <v xml:space="preserve"> =&lt;90</v>
      </c>
      <c r="AL3873" s="1" t="str">
        <f>VLOOKUP(C:C,[1]基础信息!B$1:D$65536,3,0)</f>
        <v xml:space="preserve">Cartridge </v>
      </c>
      <c r="AM3873" s="1" t="str">
        <f>VLOOKUP(C:C,[1]基础信息!B$1:E$65536,4,0)</f>
        <v>UNIV</v>
      </c>
      <c r="AN3873" s="1" t="str">
        <f>VLOOKUP(C:C,[1]基础信息!B$1:F$65536,5,0)</f>
        <v>P55</v>
      </c>
    </row>
    <row r="3874" spans="1:40">
      <c r="A3874" s="1" t="s">
        <v>41</v>
      </c>
      <c r="B3874" s="1" t="s">
        <v>42</v>
      </c>
      <c r="C3874" s="1" t="s">
        <v>4613</v>
      </c>
      <c r="D3874" s="1" t="s">
        <v>4614</v>
      </c>
      <c r="E3874" s="1" t="s">
        <v>45</v>
      </c>
      <c r="F3874" s="1" t="s">
        <v>4615</v>
      </c>
      <c r="G3874" s="1" t="s">
        <v>8916</v>
      </c>
      <c r="H3874" s="1" t="s">
        <v>8917</v>
      </c>
      <c r="I3874" s="1" t="s">
        <v>49</v>
      </c>
      <c r="J3874" s="1" t="s">
        <v>48</v>
      </c>
      <c r="K3874" s="1">
        <v>40</v>
      </c>
      <c r="L3874" s="1">
        <v>0</v>
      </c>
      <c r="M3874" s="1">
        <v>0</v>
      </c>
      <c r="N3874" s="1">
        <v>40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 t="s">
        <v>49</v>
      </c>
      <c r="AA3874" s="1" t="s">
        <v>49</v>
      </c>
      <c r="AB3874" s="1" t="s">
        <v>49</v>
      </c>
      <c r="AC3874" s="1" t="s">
        <v>2000</v>
      </c>
      <c r="AD3874" s="1" t="s">
        <v>2001</v>
      </c>
      <c r="AE3874" s="1" t="s">
        <v>2000</v>
      </c>
      <c r="AF3874" s="1" t="s">
        <v>4618</v>
      </c>
      <c r="AG3874" s="1" t="s">
        <v>53</v>
      </c>
      <c r="AH3874" s="1" t="s">
        <v>49</v>
      </c>
      <c r="AI3874" s="1" t="s">
        <v>54</v>
      </c>
      <c r="AJ3874" s="1">
        <v>1</v>
      </c>
      <c r="AK3874" s="1" t="str">
        <f t="shared" si="61"/>
        <v xml:space="preserve"> =&lt;90</v>
      </c>
      <c r="AL3874" s="1" t="str">
        <f>VLOOKUP(C:C,[1]基础信息!B$1:D$65536,3,0)</f>
        <v>Jug</v>
      </c>
      <c r="AM3874" s="1" t="str">
        <f>VLOOKUP(C:C,[1]基础信息!B$1:E$65536,4,0)</f>
        <v>Style</v>
      </c>
      <c r="AN3874" s="1" t="str">
        <f>VLOOKUP(C:C,[1]基础信息!B$1:F$65536,5,0)</f>
        <v>Blue</v>
      </c>
    </row>
    <row r="3875" spans="1:40">
      <c r="A3875" s="1" t="s">
        <v>41</v>
      </c>
      <c r="B3875" s="1" t="s">
        <v>8244</v>
      </c>
      <c r="C3875" s="1" t="s">
        <v>8347</v>
      </c>
      <c r="D3875" s="1" t="s">
        <v>8348</v>
      </c>
      <c r="E3875" s="1" t="s">
        <v>45</v>
      </c>
      <c r="F3875" s="1" t="s">
        <v>8918</v>
      </c>
      <c r="G3875" s="1" t="s">
        <v>8919</v>
      </c>
      <c r="H3875" s="1" t="s">
        <v>45</v>
      </c>
      <c r="I3875" s="1" t="s">
        <v>45</v>
      </c>
      <c r="J3875" s="1" t="s">
        <v>48</v>
      </c>
      <c r="K3875" s="1">
        <v>24</v>
      </c>
      <c r="L3875" s="1">
        <v>0</v>
      </c>
      <c r="M3875" s="1">
        <v>0</v>
      </c>
      <c r="N3875" s="1">
        <v>24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 t="s">
        <v>49</v>
      </c>
      <c r="AA3875" s="1" t="s">
        <v>49</v>
      </c>
      <c r="AB3875" s="1" t="s">
        <v>49</v>
      </c>
      <c r="AC3875" s="1" t="s">
        <v>8422</v>
      </c>
      <c r="AD3875" s="1" t="s">
        <v>8423</v>
      </c>
      <c r="AE3875" s="1" t="s">
        <v>8422</v>
      </c>
      <c r="AF3875" s="1" t="s">
        <v>8648</v>
      </c>
      <c r="AG3875" s="1" t="s">
        <v>8253</v>
      </c>
      <c r="AH3875" s="1" t="s">
        <v>8702</v>
      </c>
      <c r="AI3875" s="1" t="s">
        <v>54</v>
      </c>
      <c r="AJ3875" s="1">
        <v>1</v>
      </c>
      <c r="AK3875" s="1" t="str">
        <f t="shared" si="61"/>
        <v xml:space="preserve"> =&lt;90</v>
      </c>
      <c r="AL3875" s="1" t="e">
        <f>VLOOKUP(C:C,[1]基础信息!B$1:D$65536,3,0)</f>
        <v>#N/A</v>
      </c>
      <c r="AM3875" s="1" t="e">
        <f>VLOOKUP(C:C,[1]基础信息!B$1:E$65536,4,0)</f>
        <v>#N/A</v>
      </c>
      <c r="AN3875" s="1" t="e">
        <f>VLOOKUP(C:C,[1]基础信息!B$1:F$65536,5,0)</f>
        <v>#N/A</v>
      </c>
    </row>
    <row r="3876" spans="1:40">
      <c r="A3876" s="1" t="s">
        <v>41</v>
      </c>
      <c r="B3876" s="1" t="s">
        <v>8244</v>
      </c>
      <c r="C3876" s="1" t="s">
        <v>8479</v>
      </c>
      <c r="D3876" s="1" t="s">
        <v>8480</v>
      </c>
      <c r="E3876" s="1" t="s">
        <v>45</v>
      </c>
      <c r="F3876" s="1" t="s">
        <v>8920</v>
      </c>
      <c r="G3876" s="1" t="s">
        <v>8921</v>
      </c>
      <c r="H3876" s="1" t="s">
        <v>45</v>
      </c>
      <c r="I3876" s="1" t="s">
        <v>45</v>
      </c>
      <c r="J3876" s="1" t="s">
        <v>48</v>
      </c>
      <c r="K3876" s="1">
        <v>130</v>
      </c>
      <c r="L3876" s="1">
        <v>0</v>
      </c>
      <c r="M3876" s="1">
        <v>0</v>
      </c>
      <c r="N3876" s="1">
        <v>130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 t="s">
        <v>49</v>
      </c>
      <c r="AA3876" s="1" t="s">
        <v>49</v>
      </c>
      <c r="AB3876" s="1" t="s">
        <v>49</v>
      </c>
      <c r="AC3876" s="1" t="s">
        <v>8402</v>
      </c>
      <c r="AD3876" s="1" t="s">
        <v>8403</v>
      </c>
      <c r="AE3876" s="1" t="s">
        <v>8402</v>
      </c>
      <c r="AF3876" s="1" t="s">
        <v>8922</v>
      </c>
      <c r="AG3876" s="1" t="s">
        <v>8253</v>
      </c>
      <c r="AH3876" s="1" t="s">
        <v>49</v>
      </c>
      <c r="AI3876" s="1" t="s">
        <v>54</v>
      </c>
      <c r="AJ3876" s="1">
        <v>1</v>
      </c>
      <c r="AK3876" s="1" t="str">
        <f t="shared" si="61"/>
        <v xml:space="preserve"> =&lt;90</v>
      </c>
      <c r="AL3876" s="1" t="e">
        <f>VLOOKUP(C:C,[1]基础信息!B$1:D$65536,3,0)</f>
        <v>#N/A</v>
      </c>
      <c r="AM3876" s="1" t="e">
        <f>VLOOKUP(C:C,[1]基础信息!B$1:E$65536,4,0)</f>
        <v>#N/A</v>
      </c>
      <c r="AN3876" s="1" t="e">
        <f>VLOOKUP(C:C,[1]基础信息!B$1:F$65536,5,0)</f>
        <v>#N/A</v>
      </c>
    </row>
    <row r="3877" spans="1:40">
      <c r="A3877" s="1" t="s">
        <v>41</v>
      </c>
      <c r="B3877" s="1" t="s">
        <v>8244</v>
      </c>
      <c r="C3877" s="1" t="s">
        <v>8742</v>
      </c>
      <c r="D3877" s="1" t="s">
        <v>8743</v>
      </c>
      <c r="E3877" s="1" t="s">
        <v>8744</v>
      </c>
      <c r="F3877" s="1" t="s">
        <v>8923</v>
      </c>
      <c r="G3877" s="1" t="s">
        <v>8924</v>
      </c>
      <c r="H3877" s="1" t="s">
        <v>45</v>
      </c>
      <c r="I3877" s="1" t="s">
        <v>45</v>
      </c>
      <c r="J3877" s="1" t="s">
        <v>48</v>
      </c>
      <c r="K3877" s="1">
        <v>480</v>
      </c>
      <c r="L3877" s="1">
        <v>0</v>
      </c>
      <c r="M3877" s="1">
        <v>0</v>
      </c>
      <c r="N3877" s="1">
        <v>480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 t="s">
        <v>49</v>
      </c>
      <c r="AA3877" s="1" t="s">
        <v>49</v>
      </c>
      <c r="AB3877" s="1" t="s">
        <v>49</v>
      </c>
      <c r="AC3877" s="1" t="s">
        <v>376</v>
      </c>
      <c r="AD3877" s="1" t="s">
        <v>377</v>
      </c>
      <c r="AE3877" s="1" t="s">
        <v>376</v>
      </c>
      <c r="AF3877" s="1" t="s">
        <v>8925</v>
      </c>
      <c r="AG3877" s="1" t="s">
        <v>8253</v>
      </c>
      <c r="AH3877" s="1" t="s">
        <v>49</v>
      </c>
      <c r="AI3877" s="1" t="s">
        <v>54</v>
      </c>
      <c r="AJ3877" s="1">
        <v>1</v>
      </c>
      <c r="AK3877" s="1" t="str">
        <f t="shared" si="61"/>
        <v xml:space="preserve"> =&lt;90</v>
      </c>
      <c r="AL3877" s="1" t="e">
        <f>VLOOKUP(C:C,[1]基础信息!B$1:D$65536,3,0)</f>
        <v>#N/A</v>
      </c>
      <c r="AM3877" s="1" t="e">
        <f>VLOOKUP(C:C,[1]基础信息!B$1:E$65536,4,0)</f>
        <v>#N/A</v>
      </c>
      <c r="AN3877" s="1" t="e">
        <f>VLOOKUP(C:C,[1]基础信息!B$1:F$65536,5,0)</f>
        <v>#N/A</v>
      </c>
    </row>
    <row r="3878" spans="1:40">
      <c r="A3878" s="1" t="s">
        <v>41</v>
      </c>
      <c r="B3878" s="1" t="s">
        <v>42</v>
      </c>
      <c r="C3878" s="1" t="s">
        <v>4613</v>
      </c>
      <c r="D3878" s="1" t="s">
        <v>4614</v>
      </c>
      <c r="E3878" s="1" t="s">
        <v>45</v>
      </c>
      <c r="F3878" s="1" t="s">
        <v>4615</v>
      </c>
      <c r="G3878" s="1" t="s">
        <v>8926</v>
      </c>
      <c r="H3878" s="1" t="s">
        <v>8927</v>
      </c>
      <c r="I3878" s="1" t="s">
        <v>49</v>
      </c>
      <c r="J3878" s="1" t="s">
        <v>48</v>
      </c>
      <c r="K3878" s="1">
        <v>40</v>
      </c>
      <c r="L3878" s="1">
        <v>0</v>
      </c>
      <c r="M3878" s="1">
        <v>0</v>
      </c>
      <c r="N3878" s="1">
        <v>40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 t="s">
        <v>49</v>
      </c>
      <c r="AA3878" s="1" t="s">
        <v>49</v>
      </c>
      <c r="AB3878" s="1" t="s">
        <v>49</v>
      </c>
      <c r="AC3878" s="1" t="s">
        <v>2000</v>
      </c>
      <c r="AD3878" s="1" t="s">
        <v>2001</v>
      </c>
      <c r="AE3878" s="1" t="s">
        <v>2000</v>
      </c>
      <c r="AF3878" s="1" t="s">
        <v>4618</v>
      </c>
      <c r="AG3878" s="1" t="s">
        <v>53</v>
      </c>
      <c r="AH3878" s="1" t="s">
        <v>49</v>
      </c>
      <c r="AI3878" s="1" t="s">
        <v>54</v>
      </c>
      <c r="AJ3878" s="1">
        <v>1</v>
      </c>
      <c r="AK3878" s="1" t="str">
        <f t="shared" si="61"/>
        <v xml:space="preserve"> =&lt;90</v>
      </c>
      <c r="AL3878" s="1" t="str">
        <f>VLOOKUP(C:C,[1]基础信息!B$1:D$65536,3,0)</f>
        <v>Jug</v>
      </c>
      <c r="AM3878" s="1" t="str">
        <f>VLOOKUP(C:C,[1]基础信息!B$1:E$65536,4,0)</f>
        <v>Style</v>
      </c>
      <c r="AN3878" s="1" t="str">
        <f>VLOOKUP(C:C,[1]基础信息!B$1:F$65536,5,0)</f>
        <v>Blue</v>
      </c>
    </row>
    <row r="3879" spans="1:40">
      <c r="A3879" s="1" t="s">
        <v>41</v>
      </c>
      <c r="B3879" s="1" t="s">
        <v>8244</v>
      </c>
      <c r="C3879" s="1" t="s">
        <v>8245</v>
      </c>
      <c r="D3879" s="1" t="s">
        <v>8246</v>
      </c>
      <c r="E3879" s="1" t="s">
        <v>8247</v>
      </c>
      <c r="F3879" s="1" t="s">
        <v>8796</v>
      </c>
      <c r="G3879" s="1" t="s">
        <v>8928</v>
      </c>
      <c r="H3879" s="1" t="s">
        <v>45</v>
      </c>
      <c r="I3879" s="1" t="s">
        <v>45</v>
      </c>
      <c r="J3879" s="1" t="s">
        <v>48</v>
      </c>
      <c r="K3879" s="1">
        <v>81</v>
      </c>
      <c r="L3879" s="1">
        <v>0</v>
      </c>
      <c r="M3879" s="1">
        <v>0</v>
      </c>
      <c r="N3879" s="1">
        <v>81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 t="s">
        <v>49</v>
      </c>
      <c r="AA3879" s="1" t="s">
        <v>49</v>
      </c>
      <c r="AB3879" s="1" t="s">
        <v>49</v>
      </c>
      <c r="AC3879" s="1" t="s">
        <v>8567</v>
      </c>
      <c r="AD3879" s="1" t="s">
        <v>8568</v>
      </c>
      <c r="AE3879" s="1" t="s">
        <v>8567</v>
      </c>
      <c r="AF3879" s="1" t="s">
        <v>8333</v>
      </c>
      <c r="AG3879" s="1" t="s">
        <v>8253</v>
      </c>
      <c r="AH3879" s="1" t="s">
        <v>49</v>
      </c>
      <c r="AI3879" s="1" t="s">
        <v>54</v>
      </c>
      <c r="AJ3879" s="1">
        <v>1</v>
      </c>
      <c r="AK3879" s="1" t="str">
        <f t="shared" si="61"/>
        <v xml:space="preserve"> =&lt;90</v>
      </c>
      <c r="AL3879" s="1" t="e">
        <f>VLOOKUP(C:C,[1]基础信息!B$1:D$65536,3,0)</f>
        <v>#N/A</v>
      </c>
      <c r="AM3879" s="1" t="e">
        <f>VLOOKUP(C:C,[1]基础信息!B$1:E$65536,4,0)</f>
        <v>#N/A</v>
      </c>
      <c r="AN3879" s="1" t="e">
        <f>VLOOKUP(C:C,[1]基础信息!B$1:F$65536,5,0)</f>
        <v>#N/A</v>
      </c>
    </row>
    <row r="3880" spans="1:40">
      <c r="A3880" s="1" t="s">
        <v>41</v>
      </c>
      <c r="B3880" s="1" t="s">
        <v>8244</v>
      </c>
      <c r="C3880" s="1" t="s">
        <v>8479</v>
      </c>
      <c r="D3880" s="1" t="s">
        <v>8480</v>
      </c>
      <c r="E3880" s="1" t="s">
        <v>45</v>
      </c>
      <c r="F3880" s="1" t="s">
        <v>8929</v>
      </c>
      <c r="G3880" s="1" t="s">
        <v>8930</v>
      </c>
      <c r="H3880" s="1" t="s">
        <v>45</v>
      </c>
      <c r="I3880" s="1" t="s">
        <v>45</v>
      </c>
      <c r="J3880" s="1" t="s">
        <v>48</v>
      </c>
      <c r="K3880" s="1">
        <v>53</v>
      </c>
      <c r="L3880" s="1">
        <v>0</v>
      </c>
      <c r="M3880" s="1">
        <v>0</v>
      </c>
      <c r="N3880" s="1">
        <v>53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 t="s">
        <v>49</v>
      </c>
      <c r="AA3880" s="1" t="s">
        <v>49</v>
      </c>
      <c r="AB3880" s="1" t="s">
        <v>49</v>
      </c>
      <c r="AC3880" s="1" t="s">
        <v>8856</v>
      </c>
      <c r="AD3880" s="1" t="s">
        <v>8857</v>
      </c>
      <c r="AE3880" s="1" t="s">
        <v>8856</v>
      </c>
      <c r="AF3880" s="1" t="s">
        <v>8931</v>
      </c>
      <c r="AG3880" s="1" t="s">
        <v>8253</v>
      </c>
      <c r="AH3880" s="1" t="s">
        <v>49</v>
      </c>
      <c r="AI3880" s="1" t="s">
        <v>54</v>
      </c>
      <c r="AJ3880" s="1">
        <v>1</v>
      </c>
      <c r="AK3880" s="1" t="str">
        <f t="shared" si="61"/>
        <v xml:space="preserve"> =&lt;90</v>
      </c>
      <c r="AL3880" s="1" t="e">
        <f>VLOOKUP(C:C,[1]基础信息!B$1:D$65536,3,0)</f>
        <v>#N/A</v>
      </c>
      <c r="AM3880" s="1" t="e">
        <f>VLOOKUP(C:C,[1]基础信息!B$1:E$65536,4,0)</f>
        <v>#N/A</v>
      </c>
      <c r="AN3880" s="1" t="e">
        <f>VLOOKUP(C:C,[1]基础信息!B$1:F$65536,5,0)</f>
        <v>#N/A</v>
      </c>
    </row>
    <row r="3881" spans="1:40">
      <c r="A3881" s="1" t="s">
        <v>41</v>
      </c>
      <c r="B3881" s="1" t="s">
        <v>8244</v>
      </c>
      <c r="C3881" s="1" t="s">
        <v>8742</v>
      </c>
      <c r="D3881" s="1" t="s">
        <v>8743</v>
      </c>
      <c r="E3881" s="1" t="s">
        <v>8744</v>
      </c>
      <c r="F3881" s="1" t="s">
        <v>8745</v>
      </c>
      <c r="G3881" s="1" t="s">
        <v>8932</v>
      </c>
      <c r="H3881" s="1" t="s">
        <v>45</v>
      </c>
      <c r="I3881" s="1" t="s">
        <v>45</v>
      </c>
      <c r="J3881" s="1" t="s">
        <v>48</v>
      </c>
      <c r="K3881" s="1">
        <v>258</v>
      </c>
      <c r="L3881" s="1">
        <v>0</v>
      </c>
      <c r="M3881" s="1">
        <v>0</v>
      </c>
      <c r="N3881" s="1">
        <v>258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 t="s">
        <v>49</v>
      </c>
      <c r="AA3881" s="1" t="s">
        <v>49</v>
      </c>
      <c r="AB3881" s="1" t="s">
        <v>49</v>
      </c>
      <c r="AC3881" s="1" t="s">
        <v>376</v>
      </c>
      <c r="AD3881" s="1" t="s">
        <v>377</v>
      </c>
      <c r="AE3881" s="1" t="s">
        <v>376</v>
      </c>
      <c r="AF3881" s="1" t="s">
        <v>8747</v>
      </c>
      <c r="AG3881" s="1" t="s">
        <v>8253</v>
      </c>
      <c r="AH3881" s="1" t="s">
        <v>49</v>
      </c>
      <c r="AI3881" s="1" t="s">
        <v>54</v>
      </c>
      <c r="AJ3881" s="1">
        <v>1</v>
      </c>
      <c r="AK3881" s="1" t="str">
        <f t="shared" si="61"/>
        <v xml:space="preserve"> =&lt;90</v>
      </c>
      <c r="AL3881" s="1" t="e">
        <f>VLOOKUP(C:C,[1]基础信息!B$1:D$65536,3,0)</f>
        <v>#N/A</v>
      </c>
      <c r="AM3881" s="1" t="e">
        <f>VLOOKUP(C:C,[1]基础信息!B$1:E$65536,4,0)</f>
        <v>#N/A</v>
      </c>
      <c r="AN3881" s="1" t="e">
        <f>VLOOKUP(C:C,[1]基础信息!B$1:F$65536,5,0)</f>
        <v>#N/A</v>
      </c>
    </row>
    <row r="3882" spans="1:40">
      <c r="A3882" s="1" t="s">
        <v>41</v>
      </c>
      <c r="B3882" s="1" t="s">
        <v>42</v>
      </c>
      <c r="C3882" s="1" t="s">
        <v>8610</v>
      </c>
      <c r="D3882" s="1" t="s">
        <v>8611</v>
      </c>
      <c r="E3882" s="1" t="s">
        <v>45</v>
      </c>
      <c r="F3882" s="1" t="s">
        <v>8933</v>
      </c>
      <c r="G3882" s="1" t="s">
        <v>8934</v>
      </c>
      <c r="H3882" s="1" t="s">
        <v>8935</v>
      </c>
      <c r="I3882" s="1" t="s">
        <v>45</v>
      </c>
      <c r="J3882" s="1" t="s">
        <v>48</v>
      </c>
      <c r="K3882" s="1">
        <v>419</v>
      </c>
      <c r="L3882" s="1">
        <v>0</v>
      </c>
      <c r="M3882" s="1">
        <v>0</v>
      </c>
      <c r="N3882" s="1">
        <v>419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 t="s">
        <v>49</v>
      </c>
      <c r="AA3882" s="1" t="s">
        <v>49</v>
      </c>
      <c r="AB3882" s="1" t="s">
        <v>49</v>
      </c>
      <c r="AC3882" s="1" t="s">
        <v>8706</v>
      </c>
      <c r="AD3882" s="1" t="s">
        <v>8707</v>
      </c>
      <c r="AE3882" s="1" t="s">
        <v>8706</v>
      </c>
      <c r="AF3882" s="1" t="s">
        <v>8936</v>
      </c>
      <c r="AG3882" s="1" t="s">
        <v>4662</v>
      </c>
      <c r="AH3882" s="1" t="s">
        <v>49</v>
      </c>
      <c r="AI3882" s="1" t="s">
        <v>54</v>
      </c>
      <c r="AJ3882" s="1">
        <v>1</v>
      </c>
      <c r="AK3882" s="1" t="str">
        <f t="shared" si="61"/>
        <v xml:space="preserve"> =&lt;90</v>
      </c>
      <c r="AL3882" s="1" t="str">
        <f>VLOOKUP(C:C,[1]基础信息!B$1:D$65536,3,0)</f>
        <v xml:space="preserve">Cartridge </v>
      </c>
      <c r="AM3882" s="1" t="str">
        <f>VLOOKUP(C:C,[1]基础信息!B$1:E$65536,4,0)</f>
        <v>UNIV</v>
      </c>
      <c r="AN3882" s="1" t="str">
        <f>VLOOKUP(C:C,[1]基础信息!B$1:F$65536,5,0)</f>
        <v>P55</v>
      </c>
    </row>
    <row r="3883" spans="1:40">
      <c r="A3883" s="1" t="s">
        <v>41</v>
      </c>
      <c r="B3883" s="1" t="s">
        <v>42</v>
      </c>
      <c r="C3883" s="1" t="s">
        <v>4613</v>
      </c>
      <c r="D3883" s="1" t="s">
        <v>4614</v>
      </c>
      <c r="E3883" s="1" t="s">
        <v>45</v>
      </c>
      <c r="F3883" s="1" t="s">
        <v>4615</v>
      </c>
      <c r="G3883" s="1" t="s">
        <v>8937</v>
      </c>
      <c r="H3883" s="1" t="s">
        <v>8938</v>
      </c>
      <c r="I3883" s="1" t="s">
        <v>49</v>
      </c>
      <c r="J3883" s="1" t="s">
        <v>48</v>
      </c>
      <c r="K3883" s="1">
        <v>40</v>
      </c>
      <c r="L3883" s="1">
        <v>0</v>
      </c>
      <c r="M3883" s="1">
        <v>0</v>
      </c>
      <c r="N3883" s="1">
        <v>40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 t="s">
        <v>49</v>
      </c>
      <c r="AA3883" s="1" t="s">
        <v>49</v>
      </c>
      <c r="AB3883" s="1" t="s">
        <v>49</v>
      </c>
      <c r="AC3883" s="1" t="s">
        <v>2000</v>
      </c>
      <c r="AD3883" s="1" t="s">
        <v>2001</v>
      </c>
      <c r="AE3883" s="1" t="s">
        <v>2000</v>
      </c>
      <c r="AF3883" s="1" t="s">
        <v>4618</v>
      </c>
      <c r="AG3883" s="1" t="s">
        <v>53</v>
      </c>
      <c r="AH3883" s="1" t="s">
        <v>49</v>
      </c>
      <c r="AI3883" s="1" t="s">
        <v>54</v>
      </c>
      <c r="AJ3883" s="1">
        <v>1</v>
      </c>
      <c r="AK3883" s="1" t="str">
        <f t="shared" si="61"/>
        <v xml:space="preserve"> =&lt;90</v>
      </c>
      <c r="AL3883" s="1" t="str">
        <f>VLOOKUP(C:C,[1]基础信息!B$1:D$65536,3,0)</f>
        <v>Jug</v>
      </c>
      <c r="AM3883" s="1" t="str">
        <f>VLOOKUP(C:C,[1]基础信息!B$1:E$65536,4,0)</f>
        <v>Style</v>
      </c>
      <c r="AN3883" s="1" t="str">
        <f>VLOOKUP(C:C,[1]基础信息!B$1:F$65536,5,0)</f>
        <v>Blue</v>
      </c>
    </row>
    <row r="3884" spans="1:40">
      <c r="A3884" s="1" t="s">
        <v>41</v>
      </c>
      <c r="B3884" s="1" t="s">
        <v>8244</v>
      </c>
      <c r="C3884" s="1" t="s">
        <v>8347</v>
      </c>
      <c r="D3884" s="1" t="s">
        <v>8348</v>
      </c>
      <c r="E3884" s="1" t="s">
        <v>45</v>
      </c>
      <c r="F3884" s="1" t="s">
        <v>8939</v>
      </c>
      <c r="G3884" s="1" t="s">
        <v>8940</v>
      </c>
      <c r="H3884" s="1" t="s">
        <v>45</v>
      </c>
      <c r="I3884" s="1" t="s">
        <v>45</v>
      </c>
      <c r="J3884" s="1" t="s">
        <v>48</v>
      </c>
      <c r="K3884" s="1">
        <v>22</v>
      </c>
      <c r="L3884" s="1">
        <v>0</v>
      </c>
      <c r="M3884" s="1">
        <v>0</v>
      </c>
      <c r="N3884" s="1">
        <v>22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 t="s">
        <v>49</v>
      </c>
      <c r="AA3884" s="1" t="s">
        <v>49</v>
      </c>
      <c r="AB3884" s="1" t="s">
        <v>49</v>
      </c>
      <c r="AC3884" s="1" t="s">
        <v>8422</v>
      </c>
      <c r="AD3884" s="1" t="s">
        <v>8423</v>
      </c>
      <c r="AE3884" s="1" t="s">
        <v>8422</v>
      </c>
      <c r="AF3884" s="1" t="s">
        <v>8424</v>
      </c>
      <c r="AG3884" s="1" t="s">
        <v>8253</v>
      </c>
      <c r="AH3884" s="1" t="s">
        <v>8702</v>
      </c>
      <c r="AI3884" s="1" t="s">
        <v>54</v>
      </c>
      <c r="AJ3884" s="1">
        <v>1</v>
      </c>
      <c r="AK3884" s="1" t="str">
        <f t="shared" si="61"/>
        <v xml:space="preserve"> =&lt;90</v>
      </c>
      <c r="AL3884" s="1" t="e">
        <f>VLOOKUP(C:C,[1]基础信息!B$1:D$65536,3,0)</f>
        <v>#N/A</v>
      </c>
      <c r="AM3884" s="1" t="e">
        <f>VLOOKUP(C:C,[1]基础信息!B$1:E$65536,4,0)</f>
        <v>#N/A</v>
      </c>
      <c r="AN3884" s="1" t="e">
        <f>VLOOKUP(C:C,[1]基础信息!B$1:F$65536,5,0)</f>
        <v>#N/A</v>
      </c>
    </row>
    <row r="3885" spans="1:40">
      <c r="A3885" s="1" t="s">
        <v>41</v>
      </c>
      <c r="B3885" s="1" t="s">
        <v>8244</v>
      </c>
      <c r="C3885" s="1" t="s">
        <v>8479</v>
      </c>
      <c r="D3885" s="1" t="s">
        <v>8480</v>
      </c>
      <c r="E3885" s="1" t="s">
        <v>45</v>
      </c>
      <c r="F3885" s="1" t="s">
        <v>8941</v>
      </c>
      <c r="G3885" s="1" t="s">
        <v>8942</v>
      </c>
      <c r="H3885" s="1" t="s">
        <v>45</v>
      </c>
      <c r="I3885" s="1" t="s">
        <v>45</v>
      </c>
      <c r="J3885" s="1" t="s">
        <v>48</v>
      </c>
      <c r="K3885" s="1">
        <v>127</v>
      </c>
      <c r="L3885" s="1">
        <v>0</v>
      </c>
      <c r="M3885" s="1">
        <v>0</v>
      </c>
      <c r="N3885" s="1">
        <v>127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 t="s">
        <v>49</v>
      </c>
      <c r="AA3885" s="1" t="s">
        <v>49</v>
      </c>
      <c r="AB3885" s="1" t="s">
        <v>49</v>
      </c>
      <c r="AC3885" s="1" t="s">
        <v>8402</v>
      </c>
      <c r="AD3885" s="1" t="s">
        <v>8403</v>
      </c>
      <c r="AE3885" s="1" t="s">
        <v>8402</v>
      </c>
      <c r="AF3885" s="1" t="s">
        <v>8483</v>
      </c>
      <c r="AG3885" s="1" t="s">
        <v>8253</v>
      </c>
      <c r="AH3885" s="1" t="s">
        <v>49</v>
      </c>
      <c r="AI3885" s="1" t="s">
        <v>54</v>
      </c>
      <c r="AJ3885" s="1">
        <v>1</v>
      </c>
      <c r="AK3885" s="1" t="str">
        <f t="shared" si="61"/>
        <v xml:space="preserve"> =&lt;90</v>
      </c>
      <c r="AL3885" s="1" t="e">
        <f>VLOOKUP(C:C,[1]基础信息!B$1:D$65536,3,0)</f>
        <v>#N/A</v>
      </c>
      <c r="AM3885" s="1" t="e">
        <f>VLOOKUP(C:C,[1]基础信息!B$1:E$65536,4,0)</f>
        <v>#N/A</v>
      </c>
      <c r="AN3885" s="1" t="e">
        <f>VLOOKUP(C:C,[1]基础信息!B$1:F$65536,5,0)</f>
        <v>#N/A</v>
      </c>
    </row>
    <row r="3886" spans="1:40">
      <c r="A3886" s="1" t="s">
        <v>41</v>
      </c>
      <c r="B3886" s="1" t="s">
        <v>42</v>
      </c>
      <c r="C3886" s="1" t="s">
        <v>4613</v>
      </c>
      <c r="D3886" s="1" t="s">
        <v>4614</v>
      </c>
      <c r="E3886" s="1" t="s">
        <v>45</v>
      </c>
      <c r="F3886" s="1" t="s">
        <v>4615</v>
      </c>
      <c r="G3886" s="1" t="s">
        <v>8943</v>
      </c>
      <c r="H3886" s="1" t="s">
        <v>8944</v>
      </c>
      <c r="I3886" s="1" t="s">
        <v>49</v>
      </c>
      <c r="J3886" s="1" t="s">
        <v>48</v>
      </c>
      <c r="K3886" s="1">
        <v>40</v>
      </c>
      <c r="L3886" s="1">
        <v>0</v>
      </c>
      <c r="M3886" s="1">
        <v>0</v>
      </c>
      <c r="N3886" s="1">
        <v>40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 t="s">
        <v>49</v>
      </c>
      <c r="AA3886" s="1" t="s">
        <v>49</v>
      </c>
      <c r="AB3886" s="1" t="s">
        <v>49</v>
      </c>
      <c r="AC3886" s="1" t="s">
        <v>2000</v>
      </c>
      <c r="AD3886" s="1" t="s">
        <v>2001</v>
      </c>
      <c r="AE3886" s="1" t="s">
        <v>2000</v>
      </c>
      <c r="AF3886" s="1" t="s">
        <v>4618</v>
      </c>
      <c r="AG3886" s="1" t="s">
        <v>53</v>
      </c>
      <c r="AH3886" s="1" t="s">
        <v>49</v>
      </c>
      <c r="AI3886" s="1" t="s">
        <v>54</v>
      </c>
      <c r="AJ3886" s="1">
        <v>1</v>
      </c>
      <c r="AK3886" s="1" t="str">
        <f t="shared" si="61"/>
        <v xml:space="preserve"> =&lt;90</v>
      </c>
      <c r="AL3886" s="1" t="str">
        <f>VLOOKUP(C:C,[1]基础信息!B$1:D$65536,3,0)</f>
        <v>Jug</v>
      </c>
      <c r="AM3886" s="1" t="str">
        <f>VLOOKUP(C:C,[1]基础信息!B$1:E$65536,4,0)</f>
        <v>Style</v>
      </c>
      <c r="AN3886" s="1" t="str">
        <f>VLOOKUP(C:C,[1]基础信息!B$1:F$65536,5,0)</f>
        <v>Blue</v>
      </c>
    </row>
    <row r="3887" spans="1:40">
      <c r="A3887" s="1" t="s">
        <v>41</v>
      </c>
      <c r="B3887" s="1" t="s">
        <v>8244</v>
      </c>
      <c r="C3887" s="1" t="s">
        <v>8397</v>
      </c>
      <c r="D3887" s="1" t="s">
        <v>8398</v>
      </c>
      <c r="E3887" s="1" t="s">
        <v>8399</v>
      </c>
      <c r="F3887" s="1" t="s">
        <v>8441</v>
      </c>
      <c r="G3887" s="1" t="s">
        <v>8945</v>
      </c>
      <c r="H3887" s="1" t="s">
        <v>45</v>
      </c>
      <c r="I3887" s="1" t="s">
        <v>45</v>
      </c>
      <c r="J3887" s="1" t="s">
        <v>48</v>
      </c>
      <c r="K3887" s="1">
        <v>36</v>
      </c>
      <c r="L3887" s="1">
        <v>0</v>
      </c>
      <c r="M3887" s="1">
        <v>0</v>
      </c>
      <c r="N3887" s="1">
        <v>36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 t="s">
        <v>49</v>
      </c>
      <c r="AA3887" s="1" t="s">
        <v>49</v>
      </c>
      <c r="AB3887" s="1" t="s">
        <v>49</v>
      </c>
      <c r="AC3887" s="1" t="s">
        <v>1188</v>
      </c>
      <c r="AD3887" s="1" t="s">
        <v>1189</v>
      </c>
      <c r="AE3887" s="1" t="s">
        <v>1188</v>
      </c>
      <c r="AF3887" s="1" t="s">
        <v>8443</v>
      </c>
      <c r="AG3887" s="1" t="s">
        <v>8253</v>
      </c>
      <c r="AH3887" s="1" t="s">
        <v>49</v>
      </c>
      <c r="AI3887" s="1" t="s">
        <v>54</v>
      </c>
      <c r="AJ3887" s="1">
        <v>1</v>
      </c>
      <c r="AK3887" s="1" t="str">
        <f t="shared" si="61"/>
        <v xml:space="preserve"> =&lt;90</v>
      </c>
      <c r="AL3887" s="1" t="e">
        <f>VLOOKUP(C:C,[1]基础信息!B$1:D$65536,3,0)</f>
        <v>#N/A</v>
      </c>
      <c r="AM3887" s="1" t="e">
        <f>VLOOKUP(C:C,[1]基础信息!B$1:E$65536,4,0)</f>
        <v>#N/A</v>
      </c>
      <c r="AN3887" s="1" t="e">
        <f>VLOOKUP(C:C,[1]基础信息!B$1:F$65536,5,0)</f>
        <v>#N/A</v>
      </c>
    </row>
    <row r="3888" spans="1:40">
      <c r="A3888" s="1" t="s">
        <v>41</v>
      </c>
      <c r="B3888" s="1" t="s">
        <v>8244</v>
      </c>
      <c r="C3888" s="1" t="s">
        <v>8742</v>
      </c>
      <c r="D3888" s="1" t="s">
        <v>8743</v>
      </c>
      <c r="E3888" s="1" t="s">
        <v>8744</v>
      </c>
      <c r="F3888" s="1" t="s">
        <v>8801</v>
      </c>
      <c r="G3888" s="1" t="s">
        <v>8946</v>
      </c>
      <c r="H3888" s="1" t="s">
        <v>45</v>
      </c>
      <c r="I3888" s="1" t="s">
        <v>45</v>
      </c>
      <c r="J3888" s="1" t="s">
        <v>48</v>
      </c>
      <c r="K3888" s="1">
        <v>480</v>
      </c>
      <c r="L3888" s="1">
        <v>0</v>
      </c>
      <c r="M3888" s="1">
        <v>0</v>
      </c>
      <c r="N3888" s="1">
        <v>480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 t="s">
        <v>49</v>
      </c>
      <c r="AA3888" s="1" t="s">
        <v>49</v>
      </c>
      <c r="AB3888" s="1" t="s">
        <v>49</v>
      </c>
      <c r="AC3888" s="1" t="s">
        <v>376</v>
      </c>
      <c r="AD3888" s="1" t="s">
        <v>377</v>
      </c>
      <c r="AE3888" s="1" t="s">
        <v>376</v>
      </c>
      <c r="AF3888" s="1" t="s">
        <v>8803</v>
      </c>
      <c r="AG3888" s="1" t="s">
        <v>8253</v>
      </c>
      <c r="AH3888" s="1" t="s">
        <v>49</v>
      </c>
      <c r="AI3888" s="1" t="s">
        <v>54</v>
      </c>
      <c r="AJ3888" s="1">
        <v>1</v>
      </c>
      <c r="AK3888" s="1" t="str">
        <f t="shared" si="61"/>
        <v xml:space="preserve"> =&lt;90</v>
      </c>
      <c r="AL3888" s="1" t="e">
        <f>VLOOKUP(C:C,[1]基础信息!B$1:D$65536,3,0)</f>
        <v>#N/A</v>
      </c>
      <c r="AM3888" s="1" t="e">
        <f>VLOOKUP(C:C,[1]基础信息!B$1:E$65536,4,0)</f>
        <v>#N/A</v>
      </c>
      <c r="AN3888" s="1" t="e">
        <f>VLOOKUP(C:C,[1]基础信息!B$1:F$65536,5,0)</f>
        <v>#N/A</v>
      </c>
    </row>
    <row r="3889" spans="1:40">
      <c r="A3889" s="1" t="s">
        <v>41</v>
      </c>
      <c r="B3889" s="1" t="s">
        <v>42</v>
      </c>
      <c r="C3889" s="1" t="s">
        <v>4613</v>
      </c>
      <c r="D3889" s="1" t="s">
        <v>4614</v>
      </c>
      <c r="E3889" s="1" t="s">
        <v>45</v>
      </c>
      <c r="F3889" s="1" t="s">
        <v>4615</v>
      </c>
      <c r="G3889" s="1" t="s">
        <v>8947</v>
      </c>
      <c r="H3889" s="1" t="s">
        <v>8948</v>
      </c>
      <c r="I3889" s="1" t="s">
        <v>49</v>
      </c>
      <c r="J3889" s="1" t="s">
        <v>48</v>
      </c>
      <c r="K3889" s="1">
        <v>40</v>
      </c>
      <c r="L3889" s="1">
        <v>0</v>
      </c>
      <c r="M3889" s="1">
        <v>0</v>
      </c>
      <c r="N3889" s="1">
        <v>40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 t="s">
        <v>49</v>
      </c>
      <c r="AA3889" s="1" t="s">
        <v>49</v>
      </c>
      <c r="AB3889" s="1" t="s">
        <v>49</v>
      </c>
      <c r="AC3889" s="1" t="s">
        <v>2000</v>
      </c>
      <c r="AD3889" s="1" t="s">
        <v>2001</v>
      </c>
      <c r="AE3889" s="1" t="s">
        <v>2000</v>
      </c>
      <c r="AF3889" s="1" t="s">
        <v>4618</v>
      </c>
      <c r="AG3889" s="1" t="s">
        <v>53</v>
      </c>
      <c r="AH3889" s="1" t="s">
        <v>49</v>
      </c>
      <c r="AI3889" s="1" t="s">
        <v>54</v>
      </c>
      <c r="AJ3889" s="1">
        <v>1</v>
      </c>
      <c r="AK3889" s="1" t="str">
        <f t="shared" si="61"/>
        <v xml:space="preserve"> =&lt;90</v>
      </c>
      <c r="AL3889" s="1" t="str">
        <f>VLOOKUP(C:C,[1]基础信息!B$1:D$65536,3,0)</f>
        <v>Jug</v>
      </c>
      <c r="AM3889" s="1" t="str">
        <f>VLOOKUP(C:C,[1]基础信息!B$1:E$65536,4,0)</f>
        <v>Style</v>
      </c>
      <c r="AN3889" s="1" t="str">
        <f>VLOOKUP(C:C,[1]基础信息!B$1:F$65536,5,0)</f>
        <v>Blue</v>
      </c>
    </row>
    <row r="3890" spans="1:40">
      <c r="A3890" s="1" t="s">
        <v>41</v>
      </c>
      <c r="B3890" s="1" t="s">
        <v>8244</v>
      </c>
      <c r="C3890" s="1" t="s">
        <v>8347</v>
      </c>
      <c r="D3890" s="1" t="s">
        <v>8348</v>
      </c>
      <c r="E3890" s="1" t="s">
        <v>45</v>
      </c>
      <c r="F3890" s="1" t="s">
        <v>8949</v>
      </c>
      <c r="G3890" s="1" t="s">
        <v>8950</v>
      </c>
      <c r="H3890" s="1" t="s">
        <v>8951</v>
      </c>
      <c r="I3890" s="1" t="s">
        <v>49</v>
      </c>
      <c r="J3890" s="1" t="s">
        <v>48</v>
      </c>
      <c r="K3890" s="1">
        <v>2</v>
      </c>
      <c r="L3890" s="1">
        <v>0</v>
      </c>
      <c r="M3890" s="1">
        <v>0</v>
      </c>
      <c r="N3890" s="1">
        <v>2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 t="s">
        <v>49</v>
      </c>
      <c r="AA3890" s="1" t="s">
        <v>49</v>
      </c>
      <c r="AB3890" s="1" t="s">
        <v>49</v>
      </c>
      <c r="AC3890" s="1" t="s">
        <v>8470</v>
      </c>
      <c r="AD3890" s="1" t="s">
        <v>8471</v>
      </c>
      <c r="AE3890" s="1" t="s">
        <v>8470</v>
      </c>
      <c r="AF3890" s="1" t="s">
        <v>8510</v>
      </c>
      <c r="AG3890" s="1" t="s">
        <v>8383</v>
      </c>
      <c r="AH3890" s="1" t="s">
        <v>8440</v>
      </c>
      <c r="AI3890" s="1" t="s">
        <v>54</v>
      </c>
      <c r="AJ3890" s="1">
        <v>1</v>
      </c>
      <c r="AK3890" s="1" t="str">
        <f t="shared" si="61"/>
        <v xml:space="preserve"> =&lt;90</v>
      </c>
      <c r="AL3890" s="1" t="e">
        <f>VLOOKUP(C:C,[1]基础信息!B$1:D$65536,3,0)</f>
        <v>#N/A</v>
      </c>
      <c r="AM3890" s="1" t="e">
        <f>VLOOKUP(C:C,[1]基础信息!B$1:E$65536,4,0)</f>
        <v>#N/A</v>
      </c>
      <c r="AN3890" s="1" t="e">
        <f>VLOOKUP(C:C,[1]基础信息!B$1:F$65536,5,0)</f>
        <v>#N/A</v>
      </c>
    </row>
    <row r="3891" spans="1:40">
      <c r="A3891" s="1" t="s">
        <v>41</v>
      </c>
      <c r="B3891" s="1" t="s">
        <v>42</v>
      </c>
      <c r="C3891" s="1" t="s">
        <v>4613</v>
      </c>
      <c r="D3891" s="1" t="s">
        <v>4614</v>
      </c>
      <c r="E3891" s="1" t="s">
        <v>45</v>
      </c>
      <c r="F3891" s="1" t="s">
        <v>4615</v>
      </c>
      <c r="G3891" s="1" t="s">
        <v>8952</v>
      </c>
      <c r="H3891" s="1" t="s">
        <v>8953</v>
      </c>
      <c r="I3891" s="1" t="s">
        <v>49</v>
      </c>
      <c r="J3891" s="1" t="s">
        <v>48</v>
      </c>
      <c r="K3891" s="1">
        <v>40</v>
      </c>
      <c r="L3891" s="1">
        <v>0</v>
      </c>
      <c r="M3891" s="1">
        <v>0</v>
      </c>
      <c r="N3891" s="1">
        <v>40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 t="s">
        <v>49</v>
      </c>
      <c r="AA3891" s="1" t="s">
        <v>49</v>
      </c>
      <c r="AB3891" s="1" t="s">
        <v>49</v>
      </c>
      <c r="AC3891" s="1" t="s">
        <v>2000</v>
      </c>
      <c r="AD3891" s="1" t="s">
        <v>2001</v>
      </c>
      <c r="AE3891" s="1" t="s">
        <v>2000</v>
      </c>
      <c r="AF3891" s="1" t="s">
        <v>4618</v>
      </c>
      <c r="AG3891" s="1" t="s">
        <v>53</v>
      </c>
      <c r="AH3891" s="1" t="s">
        <v>49</v>
      </c>
      <c r="AI3891" s="1" t="s">
        <v>54</v>
      </c>
      <c r="AJ3891" s="1">
        <v>1</v>
      </c>
      <c r="AK3891" s="1" t="str">
        <f t="shared" si="61"/>
        <v xml:space="preserve"> =&lt;90</v>
      </c>
      <c r="AL3891" s="1" t="str">
        <f>VLOOKUP(C:C,[1]基础信息!B$1:D$65536,3,0)</f>
        <v>Jug</v>
      </c>
      <c r="AM3891" s="1" t="str">
        <f>VLOOKUP(C:C,[1]基础信息!B$1:E$65536,4,0)</f>
        <v>Style</v>
      </c>
      <c r="AN3891" s="1" t="str">
        <f>VLOOKUP(C:C,[1]基础信息!B$1:F$65536,5,0)</f>
        <v>Blue</v>
      </c>
    </row>
    <row r="3892" spans="1:40">
      <c r="A3892" s="1" t="s">
        <v>41</v>
      </c>
      <c r="B3892" s="1" t="s">
        <v>8244</v>
      </c>
      <c r="C3892" s="1" t="s">
        <v>8397</v>
      </c>
      <c r="D3892" s="1" t="s">
        <v>8398</v>
      </c>
      <c r="E3892" s="1" t="s">
        <v>8399</v>
      </c>
      <c r="F3892" s="1" t="s">
        <v>8441</v>
      </c>
      <c r="G3892" s="1" t="s">
        <v>8954</v>
      </c>
      <c r="H3892" s="1" t="s">
        <v>45</v>
      </c>
      <c r="I3892" s="1" t="s">
        <v>45</v>
      </c>
      <c r="J3892" s="1" t="s">
        <v>48</v>
      </c>
      <c r="K3892" s="1">
        <v>36</v>
      </c>
      <c r="L3892" s="1">
        <v>0</v>
      </c>
      <c r="M3892" s="1">
        <v>0</v>
      </c>
      <c r="N3892" s="1">
        <v>36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 t="s">
        <v>49</v>
      </c>
      <c r="AA3892" s="1" t="s">
        <v>49</v>
      </c>
      <c r="AB3892" s="1" t="s">
        <v>49</v>
      </c>
      <c r="AC3892" s="1" t="s">
        <v>1188</v>
      </c>
      <c r="AD3892" s="1" t="s">
        <v>1189</v>
      </c>
      <c r="AE3892" s="1" t="s">
        <v>1188</v>
      </c>
      <c r="AF3892" s="1" t="s">
        <v>8443</v>
      </c>
      <c r="AG3892" s="1" t="s">
        <v>8253</v>
      </c>
      <c r="AH3892" s="1" t="s">
        <v>49</v>
      </c>
      <c r="AI3892" s="1" t="s">
        <v>54</v>
      </c>
      <c r="AJ3892" s="1">
        <v>1</v>
      </c>
      <c r="AK3892" s="1" t="str">
        <f t="shared" si="61"/>
        <v xml:space="preserve"> =&lt;90</v>
      </c>
      <c r="AL3892" s="1" t="e">
        <f>VLOOKUP(C:C,[1]基础信息!B$1:D$65536,3,0)</f>
        <v>#N/A</v>
      </c>
      <c r="AM3892" s="1" t="e">
        <f>VLOOKUP(C:C,[1]基础信息!B$1:E$65536,4,0)</f>
        <v>#N/A</v>
      </c>
      <c r="AN3892" s="1" t="e">
        <f>VLOOKUP(C:C,[1]基础信息!B$1:F$65536,5,0)</f>
        <v>#N/A</v>
      </c>
    </row>
    <row r="3893" spans="1:40">
      <c r="A3893" s="1" t="s">
        <v>41</v>
      </c>
      <c r="B3893" s="1" t="s">
        <v>42</v>
      </c>
      <c r="C3893" s="1" t="s">
        <v>4613</v>
      </c>
      <c r="D3893" s="1" t="s">
        <v>4614</v>
      </c>
      <c r="E3893" s="1" t="s">
        <v>45</v>
      </c>
      <c r="F3893" s="1" t="s">
        <v>4615</v>
      </c>
      <c r="G3893" s="1" t="s">
        <v>8955</v>
      </c>
      <c r="H3893" s="1" t="s">
        <v>8956</v>
      </c>
      <c r="I3893" s="1" t="s">
        <v>49</v>
      </c>
      <c r="J3893" s="1" t="s">
        <v>48</v>
      </c>
      <c r="K3893" s="1">
        <v>40</v>
      </c>
      <c r="L3893" s="1">
        <v>0</v>
      </c>
      <c r="M3893" s="1">
        <v>0</v>
      </c>
      <c r="N3893" s="1">
        <v>40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 t="s">
        <v>49</v>
      </c>
      <c r="AA3893" s="1" t="s">
        <v>49</v>
      </c>
      <c r="AB3893" s="1" t="s">
        <v>49</v>
      </c>
      <c r="AC3893" s="1" t="s">
        <v>2000</v>
      </c>
      <c r="AD3893" s="1" t="s">
        <v>2001</v>
      </c>
      <c r="AE3893" s="1" t="s">
        <v>2000</v>
      </c>
      <c r="AF3893" s="1" t="s">
        <v>4618</v>
      </c>
      <c r="AG3893" s="1" t="s">
        <v>53</v>
      </c>
      <c r="AH3893" s="1" t="s">
        <v>49</v>
      </c>
      <c r="AI3893" s="1" t="s">
        <v>54</v>
      </c>
      <c r="AJ3893" s="1">
        <v>1</v>
      </c>
      <c r="AK3893" s="1" t="str">
        <f t="shared" si="61"/>
        <v xml:space="preserve"> =&lt;90</v>
      </c>
      <c r="AL3893" s="1" t="str">
        <f>VLOOKUP(C:C,[1]基础信息!B$1:D$65536,3,0)</f>
        <v>Jug</v>
      </c>
      <c r="AM3893" s="1" t="str">
        <f>VLOOKUP(C:C,[1]基础信息!B$1:E$65536,4,0)</f>
        <v>Style</v>
      </c>
      <c r="AN3893" s="1" t="str">
        <f>VLOOKUP(C:C,[1]基础信息!B$1:F$65536,5,0)</f>
        <v>Blue</v>
      </c>
    </row>
    <row r="3894" spans="1:40">
      <c r="A3894" s="1" t="s">
        <v>41</v>
      </c>
      <c r="B3894" s="1" t="s">
        <v>8244</v>
      </c>
      <c r="C3894" s="1" t="s">
        <v>8347</v>
      </c>
      <c r="D3894" s="1" t="s">
        <v>8348</v>
      </c>
      <c r="E3894" s="1" t="s">
        <v>45</v>
      </c>
      <c r="F3894" s="1" t="s">
        <v>8957</v>
      </c>
      <c r="G3894" s="1" t="s">
        <v>8958</v>
      </c>
      <c r="H3894" s="1" t="s">
        <v>45</v>
      </c>
      <c r="I3894" s="1" t="s">
        <v>45</v>
      </c>
      <c r="J3894" s="1" t="s">
        <v>48</v>
      </c>
      <c r="K3894" s="1">
        <v>16</v>
      </c>
      <c r="L3894" s="1">
        <v>0</v>
      </c>
      <c r="M3894" s="1">
        <v>0</v>
      </c>
      <c r="N3894" s="1">
        <v>16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 t="s">
        <v>49</v>
      </c>
      <c r="AA3894" s="1" t="s">
        <v>49</v>
      </c>
      <c r="AB3894" s="1" t="s">
        <v>49</v>
      </c>
      <c r="AC3894" s="1" t="s">
        <v>8422</v>
      </c>
      <c r="AD3894" s="1" t="s">
        <v>8423</v>
      </c>
      <c r="AE3894" s="1" t="s">
        <v>8422</v>
      </c>
      <c r="AF3894" s="1" t="s">
        <v>8959</v>
      </c>
      <c r="AG3894" s="1" t="s">
        <v>8253</v>
      </c>
      <c r="AH3894" s="1" t="s">
        <v>8702</v>
      </c>
      <c r="AI3894" s="1" t="s">
        <v>54</v>
      </c>
      <c r="AJ3894" s="1">
        <v>1</v>
      </c>
      <c r="AK3894" s="1" t="str">
        <f t="shared" si="61"/>
        <v xml:space="preserve"> =&lt;90</v>
      </c>
      <c r="AL3894" s="1" t="e">
        <f>VLOOKUP(C:C,[1]基础信息!B$1:D$65536,3,0)</f>
        <v>#N/A</v>
      </c>
      <c r="AM3894" s="1" t="e">
        <f>VLOOKUP(C:C,[1]基础信息!B$1:E$65536,4,0)</f>
        <v>#N/A</v>
      </c>
      <c r="AN3894" s="1" t="e">
        <f>VLOOKUP(C:C,[1]基础信息!B$1:F$65536,5,0)</f>
        <v>#N/A</v>
      </c>
    </row>
    <row r="3895" spans="1:40">
      <c r="A3895" s="1" t="s">
        <v>41</v>
      </c>
      <c r="B3895" s="1" t="s">
        <v>8244</v>
      </c>
      <c r="C3895" s="1" t="s">
        <v>8479</v>
      </c>
      <c r="D3895" s="1" t="s">
        <v>8480</v>
      </c>
      <c r="E3895" s="1" t="s">
        <v>45</v>
      </c>
      <c r="F3895" s="1" t="s">
        <v>8920</v>
      </c>
      <c r="G3895" s="1" t="s">
        <v>8960</v>
      </c>
      <c r="H3895" s="1" t="s">
        <v>45</v>
      </c>
      <c r="I3895" s="1" t="s">
        <v>45</v>
      </c>
      <c r="J3895" s="1" t="s">
        <v>48</v>
      </c>
      <c r="K3895" s="1">
        <v>130</v>
      </c>
      <c r="L3895" s="1">
        <v>0</v>
      </c>
      <c r="M3895" s="1">
        <v>0</v>
      </c>
      <c r="N3895" s="1">
        <v>130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 t="s">
        <v>49</v>
      </c>
      <c r="AA3895" s="1" t="s">
        <v>49</v>
      </c>
      <c r="AB3895" s="1" t="s">
        <v>49</v>
      </c>
      <c r="AC3895" s="1" t="s">
        <v>8402</v>
      </c>
      <c r="AD3895" s="1" t="s">
        <v>8403</v>
      </c>
      <c r="AE3895" s="1" t="s">
        <v>8402</v>
      </c>
      <c r="AF3895" s="1" t="s">
        <v>8922</v>
      </c>
      <c r="AG3895" s="1" t="s">
        <v>8253</v>
      </c>
      <c r="AH3895" s="1" t="s">
        <v>49</v>
      </c>
      <c r="AI3895" s="1" t="s">
        <v>54</v>
      </c>
      <c r="AJ3895" s="1">
        <v>1</v>
      </c>
      <c r="AK3895" s="1" t="str">
        <f t="shared" si="61"/>
        <v xml:space="preserve"> =&lt;90</v>
      </c>
      <c r="AL3895" s="1" t="e">
        <f>VLOOKUP(C:C,[1]基础信息!B$1:D$65536,3,0)</f>
        <v>#N/A</v>
      </c>
      <c r="AM3895" s="1" t="e">
        <f>VLOOKUP(C:C,[1]基础信息!B$1:E$65536,4,0)</f>
        <v>#N/A</v>
      </c>
      <c r="AN3895" s="1" t="e">
        <f>VLOOKUP(C:C,[1]基础信息!B$1:F$65536,5,0)</f>
        <v>#N/A</v>
      </c>
    </row>
    <row r="3896" spans="1:40">
      <c r="A3896" s="1" t="s">
        <v>41</v>
      </c>
      <c r="B3896" s="1" t="s">
        <v>42</v>
      </c>
      <c r="C3896" s="1" t="s">
        <v>4613</v>
      </c>
      <c r="D3896" s="1" t="s">
        <v>4614</v>
      </c>
      <c r="E3896" s="1" t="s">
        <v>45</v>
      </c>
      <c r="F3896" s="1" t="s">
        <v>4615</v>
      </c>
      <c r="G3896" s="1" t="s">
        <v>8961</v>
      </c>
      <c r="H3896" s="1" t="s">
        <v>8962</v>
      </c>
      <c r="I3896" s="1" t="s">
        <v>49</v>
      </c>
      <c r="J3896" s="1" t="s">
        <v>48</v>
      </c>
      <c r="K3896" s="1">
        <v>40</v>
      </c>
      <c r="L3896" s="1">
        <v>0</v>
      </c>
      <c r="M3896" s="1">
        <v>0</v>
      </c>
      <c r="N3896" s="1">
        <v>40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 t="s">
        <v>49</v>
      </c>
      <c r="AA3896" s="1" t="s">
        <v>49</v>
      </c>
      <c r="AB3896" s="1" t="s">
        <v>49</v>
      </c>
      <c r="AC3896" s="1" t="s">
        <v>2000</v>
      </c>
      <c r="AD3896" s="1" t="s">
        <v>2001</v>
      </c>
      <c r="AE3896" s="1" t="s">
        <v>2000</v>
      </c>
      <c r="AF3896" s="1" t="s">
        <v>4618</v>
      </c>
      <c r="AG3896" s="1" t="s">
        <v>53</v>
      </c>
      <c r="AH3896" s="1" t="s">
        <v>49</v>
      </c>
      <c r="AI3896" s="1" t="s">
        <v>54</v>
      </c>
      <c r="AJ3896" s="1">
        <v>1</v>
      </c>
      <c r="AK3896" s="1" t="str">
        <f t="shared" si="61"/>
        <v xml:space="preserve"> =&lt;90</v>
      </c>
      <c r="AL3896" s="1" t="str">
        <f>VLOOKUP(C:C,[1]基础信息!B$1:D$65536,3,0)</f>
        <v>Jug</v>
      </c>
      <c r="AM3896" s="1" t="str">
        <f>VLOOKUP(C:C,[1]基础信息!B$1:E$65536,4,0)</f>
        <v>Style</v>
      </c>
      <c r="AN3896" s="1" t="str">
        <f>VLOOKUP(C:C,[1]基础信息!B$1:F$65536,5,0)</f>
        <v>Blue</v>
      </c>
    </row>
    <row r="3897" spans="1:40">
      <c r="A3897" s="1" t="s">
        <v>41</v>
      </c>
      <c r="B3897" s="1" t="s">
        <v>8244</v>
      </c>
      <c r="C3897" s="1" t="s">
        <v>8459</v>
      </c>
      <c r="D3897" s="1" t="s">
        <v>8460</v>
      </c>
      <c r="E3897" s="1" t="s">
        <v>8461</v>
      </c>
      <c r="F3897" s="1" t="s">
        <v>8853</v>
      </c>
      <c r="G3897" s="1" t="s">
        <v>8963</v>
      </c>
      <c r="H3897" s="1" t="s">
        <v>8964</v>
      </c>
      <c r="I3897" s="1" t="s">
        <v>49</v>
      </c>
      <c r="J3897" s="1" t="s">
        <v>48</v>
      </c>
      <c r="K3897" s="1">
        <v>56</v>
      </c>
      <c r="L3897" s="1">
        <v>0</v>
      </c>
      <c r="M3897" s="1">
        <v>0</v>
      </c>
      <c r="N3897" s="1">
        <v>56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 t="s">
        <v>49</v>
      </c>
      <c r="AA3897" s="1" t="s">
        <v>49</v>
      </c>
      <c r="AB3897" s="1" t="s">
        <v>49</v>
      </c>
      <c r="AC3897" s="1" t="s">
        <v>8856</v>
      </c>
      <c r="AD3897" s="1" t="s">
        <v>8857</v>
      </c>
      <c r="AE3897" s="1" t="s">
        <v>8856</v>
      </c>
      <c r="AF3897" s="1" t="s">
        <v>8609</v>
      </c>
      <c r="AG3897" s="1" t="s">
        <v>8253</v>
      </c>
      <c r="AH3897" s="1" t="s">
        <v>49</v>
      </c>
      <c r="AI3897" s="1" t="s">
        <v>54</v>
      </c>
      <c r="AJ3897" s="1">
        <v>1</v>
      </c>
      <c r="AK3897" s="1" t="str">
        <f t="shared" si="61"/>
        <v xml:space="preserve"> =&lt;90</v>
      </c>
      <c r="AL3897" s="1" t="e">
        <f>VLOOKUP(C:C,[1]基础信息!B$1:D$65536,3,0)</f>
        <v>#N/A</v>
      </c>
      <c r="AM3897" s="1" t="e">
        <f>VLOOKUP(C:C,[1]基础信息!B$1:E$65536,4,0)</f>
        <v>#N/A</v>
      </c>
      <c r="AN3897" s="1" t="e">
        <f>VLOOKUP(C:C,[1]基础信息!B$1:F$65536,5,0)</f>
        <v>#N/A</v>
      </c>
    </row>
    <row r="3898" spans="1:40">
      <c r="A3898" s="1" t="s">
        <v>41</v>
      </c>
      <c r="B3898" s="1" t="s">
        <v>8244</v>
      </c>
      <c r="C3898" s="1" t="s">
        <v>8479</v>
      </c>
      <c r="D3898" s="1" t="s">
        <v>8480</v>
      </c>
      <c r="E3898" s="1" t="s">
        <v>45</v>
      </c>
      <c r="F3898" s="1" t="s">
        <v>8920</v>
      </c>
      <c r="G3898" s="1" t="s">
        <v>8965</v>
      </c>
      <c r="H3898" s="1" t="s">
        <v>45</v>
      </c>
      <c r="I3898" s="1" t="s">
        <v>45</v>
      </c>
      <c r="J3898" s="1" t="s">
        <v>48</v>
      </c>
      <c r="K3898" s="1">
        <v>99</v>
      </c>
      <c r="L3898" s="1">
        <v>0</v>
      </c>
      <c r="M3898" s="1">
        <v>0</v>
      </c>
      <c r="N3898" s="1">
        <v>99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 t="s">
        <v>49</v>
      </c>
      <c r="AA3898" s="1" t="s">
        <v>49</v>
      </c>
      <c r="AB3898" s="1" t="s">
        <v>49</v>
      </c>
      <c r="AC3898" s="1" t="s">
        <v>8402</v>
      </c>
      <c r="AD3898" s="1" t="s">
        <v>8403</v>
      </c>
      <c r="AE3898" s="1" t="s">
        <v>8402</v>
      </c>
      <c r="AF3898" s="1" t="s">
        <v>8922</v>
      </c>
      <c r="AG3898" s="1" t="s">
        <v>8253</v>
      </c>
      <c r="AH3898" s="1" t="s">
        <v>49</v>
      </c>
      <c r="AI3898" s="1" t="s">
        <v>54</v>
      </c>
      <c r="AJ3898" s="1">
        <v>1</v>
      </c>
      <c r="AK3898" s="1" t="str">
        <f t="shared" si="61"/>
        <v xml:space="preserve"> =&lt;90</v>
      </c>
      <c r="AL3898" s="1" t="e">
        <f>VLOOKUP(C:C,[1]基础信息!B$1:D$65536,3,0)</f>
        <v>#N/A</v>
      </c>
      <c r="AM3898" s="1" t="e">
        <f>VLOOKUP(C:C,[1]基础信息!B$1:E$65536,4,0)</f>
        <v>#N/A</v>
      </c>
      <c r="AN3898" s="1" t="e">
        <f>VLOOKUP(C:C,[1]基础信息!B$1:F$65536,5,0)</f>
        <v>#N/A</v>
      </c>
    </row>
    <row r="3899" spans="1:40">
      <c r="A3899" s="1" t="s">
        <v>41</v>
      </c>
      <c r="B3899" s="1" t="s">
        <v>42</v>
      </c>
      <c r="C3899" s="1" t="s">
        <v>4613</v>
      </c>
      <c r="D3899" s="1" t="s">
        <v>4614</v>
      </c>
      <c r="E3899" s="1" t="s">
        <v>45</v>
      </c>
      <c r="F3899" s="1" t="s">
        <v>4615</v>
      </c>
      <c r="G3899" s="1" t="s">
        <v>8966</v>
      </c>
      <c r="H3899" s="1" t="s">
        <v>8967</v>
      </c>
      <c r="I3899" s="1" t="s">
        <v>49</v>
      </c>
      <c r="J3899" s="1" t="s">
        <v>48</v>
      </c>
      <c r="K3899" s="1">
        <v>40</v>
      </c>
      <c r="L3899" s="1">
        <v>0</v>
      </c>
      <c r="M3899" s="1">
        <v>0</v>
      </c>
      <c r="N3899" s="1">
        <v>40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 t="s">
        <v>49</v>
      </c>
      <c r="AA3899" s="1" t="s">
        <v>49</v>
      </c>
      <c r="AB3899" s="1" t="s">
        <v>49</v>
      </c>
      <c r="AC3899" s="1" t="s">
        <v>2000</v>
      </c>
      <c r="AD3899" s="1" t="s">
        <v>2001</v>
      </c>
      <c r="AE3899" s="1" t="s">
        <v>2000</v>
      </c>
      <c r="AF3899" s="1" t="s">
        <v>4618</v>
      </c>
      <c r="AG3899" s="1" t="s">
        <v>53</v>
      </c>
      <c r="AH3899" s="1" t="s">
        <v>49</v>
      </c>
      <c r="AI3899" s="1" t="s">
        <v>54</v>
      </c>
      <c r="AJ3899" s="1">
        <v>1</v>
      </c>
      <c r="AK3899" s="1" t="str">
        <f t="shared" si="61"/>
        <v xml:space="preserve"> =&lt;90</v>
      </c>
      <c r="AL3899" s="1" t="str">
        <f>VLOOKUP(C:C,[1]基础信息!B$1:D$65536,3,0)</f>
        <v>Jug</v>
      </c>
      <c r="AM3899" s="1" t="str">
        <f>VLOOKUP(C:C,[1]基础信息!B$1:E$65536,4,0)</f>
        <v>Style</v>
      </c>
      <c r="AN3899" s="1" t="str">
        <f>VLOOKUP(C:C,[1]基础信息!B$1:F$65536,5,0)</f>
        <v>Blue</v>
      </c>
    </row>
    <row r="3900" spans="1:40">
      <c r="A3900" s="1" t="s">
        <v>41</v>
      </c>
      <c r="B3900" s="1" t="s">
        <v>8244</v>
      </c>
      <c r="C3900" s="1" t="s">
        <v>8397</v>
      </c>
      <c r="D3900" s="1" t="s">
        <v>8398</v>
      </c>
      <c r="E3900" s="1" t="s">
        <v>8399</v>
      </c>
      <c r="F3900" s="1" t="s">
        <v>8903</v>
      </c>
      <c r="G3900" s="1" t="s">
        <v>8968</v>
      </c>
      <c r="H3900" s="1" t="s">
        <v>45</v>
      </c>
      <c r="I3900" s="1" t="s">
        <v>45</v>
      </c>
      <c r="J3900" s="1" t="s">
        <v>48</v>
      </c>
      <c r="K3900" s="1">
        <v>28</v>
      </c>
      <c r="L3900" s="1">
        <v>0</v>
      </c>
      <c r="M3900" s="1">
        <v>0</v>
      </c>
      <c r="N3900" s="1">
        <v>28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 t="s">
        <v>49</v>
      </c>
      <c r="AA3900" s="1" t="s">
        <v>49</v>
      </c>
      <c r="AB3900" s="1" t="s">
        <v>49</v>
      </c>
      <c r="AC3900" s="1" t="s">
        <v>8657</v>
      </c>
      <c r="AD3900" s="1" t="s">
        <v>8658</v>
      </c>
      <c r="AE3900" s="1" t="s">
        <v>8657</v>
      </c>
      <c r="AF3900" s="1" t="s">
        <v>8645</v>
      </c>
      <c r="AG3900" s="1" t="s">
        <v>8253</v>
      </c>
      <c r="AH3900" s="1" t="s">
        <v>49</v>
      </c>
      <c r="AI3900" s="1" t="s">
        <v>54</v>
      </c>
      <c r="AJ3900" s="1">
        <v>1</v>
      </c>
      <c r="AK3900" s="1" t="str">
        <f t="shared" si="61"/>
        <v xml:space="preserve"> =&lt;90</v>
      </c>
      <c r="AL3900" s="1" t="e">
        <f>VLOOKUP(C:C,[1]基础信息!B$1:D$65536,3,0)</f>
        <v>#N/A</v>
      </c>
      <c r="AM3900" s="1" t="e">
        <f>VLOOKUP(C:C,[1]基础信息!B$1:E$65536,4,0)</f>
        <v>#N/A</v>
      </c>
      <c r="AN3900" s="1" t="e">
        <f>VLOOKUP(C:C,[1]基础信息!B$1:F$65536,5,0)</f>
        <v>#N/A</v>
      </c>
    </row>
    <row r="3901" spans="1:40">
      <c r="A3901" s="1" t="s">
        <v>41</v>
      </c>
      <c r="B3901" s="1" t="s">
        <v>42</v>
      </c>
      <c r="C3901" s="1" t="s">
        <v>4613</v>
      </c>
      <c r="D3901" s="1" t="s">
        <v>4614</v>
      </c>
      <c r="E3901" s="1" t="s">
        <v>45</v>
      </c>
      <c r="F3901" s="1" t="s">
        <v>4615</v>
      </c>
      <c r="G3901" s="1" t="s">
        <v>8969</v>
      </c>
      <c r="H3901" s="1" t="s">
        <v>8970</v>
      </c>
      <c r="I3901" s="1" t="s">
        <v>49</v>
      </c>
      <c r="J3901" s="1" t="s">
        <v>48</v>
      </c>
      <c r="K3901" s="1">
        <v>40</v>
      </c>
      <c r="L3901" s="1">
        <v>0</v>
      </c>
      <c r="M3901" s="1">
        <v>0</v>
      </c>
      <c r="N3901" s="1">
        <v>40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 t="s">
        <v>49</v>
      </c>
      <c r="AA3901" s="1" t="s">
        <v>49</v>
      </c>
      <c r="AB3901" s="1" t="s">
        <v>49</v>
      </c>
      <c r="AC3901" s="1" t="s">
        <v>2000</v>
      </c>
      <c r="AD3901" s="1" t="s">
        <v>2001</v>
      </c>
      <c r="AE3901" s="1" t="s">
        <v>2000</v>
      </c>
      <c r="AF3901" s="1" t="s">
        <v>4618</v>
      </c>
      <c r="AG3901" s="1" t="s">
        <v>53</v>
      </c>
      <c r="AH3901" s="1" t="s">
        <v>49</v>
      </c>
      <c r="AI3901" s="1" t="s">
        <v>54</v>
      </c>
      <c r="AJ3901" s="1">
        <v>1</v>
      </c>
      <c r="AK3901" s="1" t="str">
        <f t="shared" si="61"/>
        <v xml:space="preserve"> =&lt;90</v>
      </c>
      <c r="AL3901" s="1" t="str">
        <f>VLOOKUP(C:C,[1]基础信息!B$1:D$65536,3,0)</f>
        <v>Jug</v>
      </c>
      <c r="AM3901" s="1" t="str">
        <f>VLOOKUP(C:C,[1]基础信息!B$1:E$65536,4,0)</f>
        <v>Style</v>
      </c>
      <c r="AN3901" s="1" t="str">
        <f>VLOOKUP(C:C,[1]基础信息!B$1:F$65536,5,0)</f>
        <v>Blue</v>
      </c>
    </row>
    <row r="3902" spans="1:40">
      <c r="A3902" s="1" t="s">
        <v>41</v>
      </c>
      <c r="B3902" s="1" t="s">
        <v>8244</v>
      </c>
      <c r="C3902" s="1" t="s">
        <v>8563</v>
      </c>
      <c r="D3902" s="1" t="s">
        <v>8564</v>
      </c>
      <c r="E3902" s="1" t="s">
        <v>45</v>
      </c>
      <c r="F3902" s="1" t="s">
        <v>8565</v>
      </c>
      <c r="G3902" s="1" t="s">
        <v>8971</v>
      </c>
      <c r="H3902" s="1" t="s">
        <v>45</v>
      </c>
      <c r="I3902" s="1" t="s">
        <v>45</v>
      </c>
      <c r="J3902" s="1" t="s">
        <v>48</v>
      </c>
      <c r="K3902" s="1">
        <v>40</v>
      </c>
      <c r="L3902" s="1">
        <v>0</v>
      </c>
      <c r="M3902" s="1">
        <v>0</v>
      </c>
      <c r="N3902" s="1">
        <v>40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 t="s">
        <v>49</v>
      </c>
      <c r="AA3902" s="1" t="s">
        <v>49</v>
      </c>
      <c r="AB3902" s="1" t="s">
        <v>49</v>
      </c>
      <c r="AC3902" s="1" t="s">
        <v>8567</v>
      </c>
      <c r="AD3902" s="1" t="s">
        <v>8568</v>
      </c>
      <c r="AE3902" s="1" t="s">
        <v>8567</v>
      </c>
      <c r="AF3902" s="1" t="s">
        <v>8569</v>
      </c>
      <c r="AG3902" s="1" t="s">
        <v>8253</v>
      </c>
      <c r="AH3902" s="1" t="s">
        <v>49</v>
      </c>
      <c r="AI3902" s="1" t="s">
        <v>54</v>
      </c>
      <c r="AJ3902" s="1">
        <v>1</v>
      </c>
      <c r="AK3902" s="1" t="str">
        <f t="shared" si="61"/>
        <v xml:space="preserve"> =&lt;90</v>
      </c>
      <c r="AL3902" s="1" t="e">
        <f>VLOOKUP(C:C,[1]基础信息!B$1:D$65536,3,0)</f>
        <v>#N/A</v>
      </c>
      <c r="AM3902" s="1" t="e">
        <f>VLOOKUP(C:C,[1]基础信息!B$1:E$65536,4,0)</f>
        <v>#N/A</v>
      </c>
      <c r="AN3902" s="1" t="e">
        <f>VLOOKUP(C:C,[1]基础信息!B$1:F$65536,5,0)</f>
        <v>#N/A</v>
      </c>
    </row>
    <row r="3903" spans="1:40">
      <c r="A3903" s="1" t="s">
        <v>41</v>
      </c>
      <c r="B3903" s="1" t="s">
        <v>42</v>
      </c>
      <c r="C3903" s="1" t="s">
        <v>4613</v>
      </c>
      <c r="D3903" s="1" t="s">
        <v>4614</v>
      </c>
      <c r="E3903" s="1" t="s">
        <v>45</v>
      </c>
      <c r="F3903" s="1" t="s">
        <v>4615</v>
      </c>
      <c r="G3903" s="1" t="s">
        <v>8972</v>
      </c>
      <c r="H3903" s="1" t="s">
        <v>8973</v>
      </c>
      <c r="I3903" s="1" t="s">
        <v>49</v>
      </c>
      <c r="J3903" s="1" t="s">
        <v>48</v>
      </c>
      <c r="K3903" s="1">
        <v>40</v>
      </c>
      <c r="L3903" s="1">
        <v>0</v>
      </c>
      <c r="M3903" s="1">
        <v>0</v>
      </c>
      <c r="N3903" s="1">
        <v>40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 t="s">
        <v>49</v>
      </c>
      <c r="AA3903" s="1" t="s">
        <v>49</v>
      </c>
      <c r="AB3903" s="1" t="s">
        <v>49</v>
      </c>
      <c r="AC3903" s="1" t="s">
        <v>2000</v>
      </c>
      <c r="AD3903" s="1" t="s">
        <v>2001</v>
      </c>
      <c r="AE3903" s="1" t="s">
        <v>2000</v>
      </c>
      <c r="AF3903" s="1" t="s">
        <v>4618</v>
      </c>
      <c r="AG3903" s="1" t="s">
        <v>53</v>
      </c>
      <c r="AH3903" s="1" t="s">
        <v>49</v>
      </c>
      <c r="AI3903" s="1" t="s">
        <v>54</v>
      </c>
      <c r="AJ3903" s="1">
        <v>1</v>
      </c>
      <c r="AK3903" s="1" t="str">
        <f t="shared" si="61"/>
        <v xml:space="preserve"> =&lt;90</v>
      </c>
      <c r="AL3903" s="1" t="str">
        <f>VLOOKUP(C:C,[1]基础信息!B$1:D$65536,3,0)</f>
        <v>Jug</v>
      </c>
      <c r="AM3903" s="1" t="str">
        <f>VLOOKUP(C:C,[1]基础信息!B$1:E$65536,4,0)</f>
        <v>Style</v>
      </c>
      <c r="AN3903" s="1" t="str">
        <f>VLOOKUP(C:C,[1]基础信息!B$1:F$65536,5,0)</f>
        <v>Blue</v>
      </c>
    </row>
    <row r="3904" spans="1:40">
      <c r="A3904" s="1" t="s">
        <v>41</v>
      </c>
      <c r="B3904" s="1" t="s">
        <v>8244</v>
      </c>
      <c r="C3904" s="1" t="s">
        <v>8245</v>
      </c>
      <c r="D3904" s="1" t="s">
        <v>8246</v>
      </c>
      <c r="E3904" s="1" t="s">
        <v>8247</v>
      </c>
      <c r="F3904" s="1" t="s">
        <v>8796</v>
      </c>
      <c r="G3904" s="1" t="s">
        <v>8974</v>
      </c>
      <c r="H3904" s="1" t="s">
        <v>45</v>
      </c>
      <c r="I3904" s="1" t="s">
        <v>45</v>
      </c>
      <c r="J3904" s="1" t="s">
        <v>48</v>
      </c>
      <c r="K3904" s="1">
        <v>81</v>
      </c>
      <c r="L3904" s="1">
        <v>0</v>
      </c>
      <c r="M3904" s="1">
        <v>0</v>
      </c>
      <c r="N3904" s="1">
        <v>81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 t="s">
        <v>49</v>
      </c>
      <c r="AA3904" s="1" t="s">
        <v>49</v>
      </c>
      <c r="AB3904" s="1" t="s">
        <v>49</v>
      </c>
      <c r="AC3904" s="1" t="s">
        <v>8567</v>
      </c>
      <c r="AD3904" s="1" t="s">
        <v>8568</v>
      </c>
      <c r="AE3904" s="1" t="s">
        <v>8567</v>
      </c>
      <c r="AF3904" s="1" t="s">
        <v>8333</v>
      </c>
      <c r="AG3904" s="1" t="s">
        <v>8253</v>
      </c>
      <c r="AH3904" s="1" t="s">
        <v>49</v>
      </c>
      <c r="AI3904" s="1" t="s">
        <v>54</v>
      </c>
      <c r="AJ3904" s="1">
        <v>1</v>
      </c>
      <c r="AK3904" s="1" t="str">
        <f t="shared" si="61"/>
        <v xml:space="preserve"> =&lt;90</v>
      </c>
      <c r="AL3904" s="1" t="e">
        <f>VLOOKUP(C:C,[1]基础信息!B$1:D$65536,3,0)</f>
        <v>#N/A</v>
      </c>
      <c r="AM3904" s="1" t="e">
        <f>VLOOKUP(C:C,[1]基础信息!B$1:E$65536,4,0)</f>
        <v>#N/A</v>
      </c>
      <c r="AN3904" s="1" t="e">
        <f>VLOOKUP(C:C,[1]基础信息!B$1:F$65536,5,0)</f>
        <v>#N/A</v>
      </c>
    </row>
    <row r="3905" spans="1:40">
      <c r="A3905" s="1" t="s">
        <v>41</v>
      </c>
      <c r="B3905" s="1" t="s">
        <v>42</v>
      </c>
      <c r="C3905" s="1" t="s">
        <v>4613</v>
      </c>
      <c r="D3905" s="1" t="s">
        <v>4614</v>
      </c>
      <c r="E3905" s="1" t="s">
        <v>45</v>
      </c>
      <c r="F3905" s="1" t="s">
        <v>4615</v>
      </c>
      <c r="G3905" s="1" t="s">
        <v>8975</v>
      </c>
      <c r="H3905" s="1" t="s">
        <v>8976</v>
      </c>
      <c r="I3905" s="1" t="s">
        <v>49</v>
      </c>
      <c r="J3905" s="1" t="s">
        <v>48</v>
      </c>
      <c r="K3905" s="1">
        <v>40</v>
      </c>
      <c r="L3905" s="1">
        <v>0</v>
      </c>
      <c r="M3905" s="1">
        <v>0</v>
      </c>
      <c r="N3905" s="1">
        <v>40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 t="s">
        <v>49</v>
      </c>
      <c r="AA3905" s="1" t="s">
        <v>49</v>
      </c>
      <c r="AB3905" s="1" t="s">
        <v>49</v>
      </c>
      <c r="AC3905" s="1" t="s">
        <v>2000</v>
      </c>
      <c r="AD3905" s="1" t="s">
        <v>2001</v>
      </c>
      <c r="AE3905" s="1" t="s">
        <v>2000</v>
      </c>
      <c r="AF3905" s="1" t="s">
        <v>4618</v>
      </c>
      <c r="AG3905" s="1" t="s">
        <v>53</v>
      </c>
      <c r="AH3905" s="1" t="s">
        <v>49</v>
      </c>
      <c r="AI3905" s="1" t="s">
        <v>54</v>
      </c>
      <c r="AJ3905" s="1">
        <v>1</v>
      </c>
      <c r="AK3905" s="1" t="str">
        <f t="shared" si="61"/>
        <v xml:space="preserve"> =&lt;90</v>
      </c>
      <c r="AL3905" s="1" t="str">
        <f>VLOOKUP(C:C,[1]基础信息!B$1:D$65536,3,0)</f>
        <v>Jug</v>
      </c>
      <c r="AM3905" s="1" t="str">
        <f>VLOOKUP(C:C,[1]基础信息!B$1:E$65536,4,0)</f>
        <v>Style</v>
      </c>
      <c r="AN3905" s="1" t="str">
        <f>VLOOKUP(C:C,[1]基础信息!B$1:F$65536,5,0)</f>
        <v>Blue</v>
      </c>
    </row>
    <row r="3906" spans="1:40">
      <c r="A3906" s="1" t="s">
        <v>41</v>
      </c>
      <c r="B3906" s="1" t="s">
        <v>8244</v>
      </c>
      <c r="C3906" s="1" t="s">
        <v>8397</v>
      </c>
      <c r="D3906" s="1" t="s">
        <v>8398</v>
      </c>
      <c r="E3906" s="1" t="s">
        <v>8399</v>
      </c>
      <c r="F3906" s="1" t="s">
        <v>8441</v>
      </c>
      <c r="G3906" s="1" t="s">
        <v>8977</v>
      </c>
      <c r="H3906" s="1" t="s">
        <v>45</v>
      </c>
      <c r="I3906" s="1" t="s">
        <v>45</v>
      </c>
      <c r="J3906" s="1" t="s">
        <v>48</v>
      </c>
      <c r="K3906" s="1">
        <v>36</v>
      </c>
      <c r="L3906" s="1">
        <v>0</v>
      </c>
      <c r="M3906" s="1">
        <v>0</v>
      </c>
      <c r="N3906" s="1">
        <v>36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 t="s">
        <v>49</v>
      </c>
      <c r="AA3906" s="1" t="s">
        <v>49</v>
      </c>
      <c r="AB3906" s="1" t="s">
        <v>49</v>
      </c>
      <c r="AC3906" s="1" t="s">
        <v>1188</v>
      </c>
      <c r="AD3906" s="1" t="s">
        <v>1189</v>
      </c>
      <c r="AE3906" s="1" t="s">
        <v>1188</v>
      </c>
      <c r="AF3906" s="1" t="s">
        <v>8443</v>
      </c>
      <c r="AG3906" s="1" t="s">
        <v>8253</v>
      </c>
      <c r="AH3906" s="1" t="s">
        <v>49</v>
      </c>
      <c r="AI3906" s="1" t="s">
        <v>54</v>
      </c>
      <c r="AJ3906" s="1">
        <v>1</v>
      </c>
      <c r="AK3906" s="1" t="str">
        <f t="shared" si="61"/>
        <v xml:space="preserve"> =&lt;90</v>
      </c>
      <c r="AL3906" s="1" t="e">
        <f>VLOOKUP(C:C,[1]基础信息!B$1:D$65536,3,0)</f>
        <v>#N/A</v>
      </c>
      <c r="AM3906" s="1" t="e">
        <f>VLOOKUP(C:C,[1]基础信息!B$1:E$65536,4,0)</f>
        <v>#N/A</v>
      </c>
      <c r="AN3906" s="1" t="e">
        <f>VLOOKUP(C:C,[1]基础信息!B$1:F$65536,5,0)</f>
        <v>#N/A</v>
      </c>
    </row>
    <row r="3907" spans="1:40">
      <c r="A3907" s="1" t="s">
        <v>41</v>
      </c>
      <c r="B3907" s="1" t="s">
        <v>42</v>
      </c>
      <c r="C3907" s="1" t="s">
        <v>4613</v>
      </c>
      <c r="D3907" s="1" t="s">
        <v>4614</v>
      </c>
      <c r="E3907" s="1" t="s">
        <v>45</v>
      </c>
      <c r="F3907" s="1" t="s">
        <v>4615</v>
      </c>
      <c r="G3907" s="1" t="s">
        <v>8978</v>
      </c>
      <c r="H3907" s="1" t="s">
        <v>8979</v>
      </c>
      <c r="I3907" s="1" t="s">
        <v>49</v>
      </c>
      <c r="J3907" s="1" t="s">
        <v>48</v>
      </c>
      <c r="K3907" s="1">
        <v>40</v>
      </c>
      <c r="L3907" s="1">
        <v>0</v>
      </c>
      <c r="M3907" s="1">
        <v>0</v>
      </c>
      <c r="N3907" s="1">
        <v>40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 t="s">
        <v>49</v>
      </c>
      <c r="AA3907" s="1" t="s">
        <v>49</v>
      </c>
      <c r="AB3907" s="1" t="s">
        <v>49</v>
      </c>
      <c r="AC3907" s="1" t="s">
        <v>2000</v>
      </c>
      <c r="AD3907" s="1" t="s">
        <v>2001</v>
      </c>
      <c r="AE3907" s="1" t="s">
        <v>2000</v>
      </c>
      <c r="AF3907" s="1" t="s">
        <v>4618</v>
      </c>
      <c r="AG3907" s="1" t="s">
        <v>53</v>
      </c>
      <c r="AH3907" s="1" t="s">
        <v>49</v>
      </c>
      <c r="AI3907" s="1" t="s">
        <v>54</v>
      </c>
      <c r="AJ3907" s="1">
        <v>1</v>
      </c>
      <c r="AK3907" s="1" t="str">
        <f t="shared" si="61"/>
        <v xml:space="preserve"> =&lt;90</v>
      </c>
      <c r="AL3907" s="1" t="str">
        <f>VLOOKUP(C:C,[1]基础信息!B$1:D$65536,3,0)</f>
        <v>Jug</v>
      </c>
      <c r="AM3907" s="1" t="str">
        <f>VLOOKUP(C:C,[1]基础信息!B$1:E$65536,4,0)</f>
        <v>Style</v>
      </c>
      <c r="AN3907" s="1" t="str">
        <f>VLOOKUP(C:C,[1]基础信息!B$1:F$65536,5,0)</f>
        <v>Blue</v>
      </c>
    </row>
    <row r="3908" spans="1:40">
      <c r="A3908" s="1" t="s">
        <v>41</v>
      </c>
      <c r="B3908" s="1" t="s">
        <v>42</v>
      </c>
      <c r="C3908" s="1" t="s">
        <v>8107</v>
      </c>
      <c r="D3908" s="1" t="s">
        <v>8108</v>
      </c>
      <c r="E3908" s="1" t="s">
        <v>45</v>
      </c>
      <c r="F3908" s="1" t="s">
        <v>8980</v>
      </c>
      <c r="G3908" s="1" t="s">
        <v>8981</v>
      </c>
      <c r="H3908" s="1" t="s">
        <v>45</v>
      </c>
      <c r="I3908" s="1" t="s">
        <v>45</v>
      </c>
      <c r="J3908" s="1" t="s">
        <v>48</v>
      </c>
      <c r="K3908" s="1">
        <v>2</v>
      </c>
      <c r="L3908" s="1">
        <v>0</v>
      </c>
      <c r="M3908" s="1">
        <v>0</v>
      </c>
      <c r="N3908" s="1">
        <v>2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 t="s">
        <v>49</v>
      </c>
      <c r="AA3908" s="1" t="s">
        <v>49</v>
      </c>
      <c r="AB3908" s="1" t="s">
        <v>49</v>
      </c>
      <c r="AC3908" s="1" t="s">
        <v>8982</v>
      </c>
      <c r="AD3908" s="1" t="s">
        <v>8983</v>
      </c>
      <c r="AE3908" s="1" t="s">
        <v>8982</v>
      </c>
      <c r="AF3908" s="1" t="s">
        <v>49</v>
      </c>
      <c r="AG3908" s="1" t="s">
        <v>8984</v>
      </c>
      <c r="AH3908" s="1" t="s">
        <v>49</v>
      </c>
      <c r="AI3908" s="1" t="s">
        <v>54</v>
      </c>
      <c r="AJ3908" s="1">
        <v>0</v>
      </c>
      <c r="AK3908" s="1" t="str">
        <f t="shared" si="61"/>
        <v xml:space="preserve"> =&lt;90</v>
      </c>
      <c r="AL3908" s="1" t="str">
        <f>VLOOKUP(C:C,[1]基础信息!B$1:D$65536,3,0)</f>
        <v>Jug</v>
      </c>
      <c r="AM3908" s="1" t="str">
        <f>VLOOKUP(C:C,[1]基础信息!B$1:E$65536,4,0)</f>
        <v>Style</v>
      </c>
      <c r="AN3908" s="1" t="str">
        <f>VLOOKUP(C:C,[1]基础信息!B$1:F$65536,5,0)</f>
        <v>Lime</v>
      </c>
    </row>
    <row r="3909" spans="1:40">
      <c r="A3909" s="1" t="s">
        <v>41</v>
      </c>
      <c r="B3909" s="1" t="s">
        <v>42</v>
      </c>
      <c r="C3909" s="1" t="s">
        <v>285</v>
      </c>
      <c r="D3909" s="1" t="s">
        <v>286</v>
      </c>
      <c r="E3909" s="1" t="s">
        <v>45</v>
      </c>
      <c r="F3909" s="1" t="s">
        <v>8985</v>
      </c>
      <c r="G3909" s="1" t="s">
        <v>8981</v>
      </c>
      <c r="H3909" s="1" t="s">
        <v>45</v>
      </c>
      <c r="I3909" s="1" t="s">
        <v>45</v>
      </c>
      <c r="J3909" s="1" t="s">
        <v>48</v>
      </c>
      <c r="K3909" s="1">
        <v>1</v>
      </c>
      <c r="L3909" s="1">
        <v>0</v>
      </c>
      <c r="M3909" s="1">
        <v>0</v>
      </c>
      <c r="N3909" s="1">
        <v>1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 t="s">
        <v>49</v>
      </c>
      <c r="AA3909" s="1" t="s">
        <v>49</v>
      </c>
      <c r="AB3909" s="1" t="s">
        <v>49</v>
      </c>
      <c r="AC3909" s="1" t="s">
        <v>8986</v>
      </c>
      <c r="AD3909" s="1" t="s">
        <v>8987</v>
      </c>
      <c r="AE3909" s="1" t="s">
        <v>8986</v>
      </c>
      <c r="AF3909" s="1" t="s">
        <v>49</v>
      </c>
      <c r="AG3909" s="1" t="s">
        <v>1952</v>
      </c>
      <c r="AH3909" s="1" t="s">
        <v>8988</v>
      </c>
      <c r="AI3909" s="1" t="s">
        <v>54</v>
      </c>
      <c r="AJ3909" s="1">
        <v>0</v>
      </c>
      <c r="AK3909" s="1" t="str">
        <f t="shared" si="61"/>
        <v xml:space="preserve"> =&lt;90</v>
      </c>
      <c r="AL3909" s="1" t="str">
        <f>VLOOKUP(C:C,[1]基础信息!B$1:D$65536,3,0)</f>
        <v>Jug</v>
      </c>
      <c r="AM3909" s="1" t="str">
        <f>VLOOKUP(C:C,[1]基础信息!B$1:E$65536,4,0)</f>
        <v>Marella XL</v>
      </c>
      <c r="AN3909" s="1" t="str">
        <f>VLOOKUP(C:C,[1]基础信息!B$1:F$65536,5,0)</f>
        <v>Blue</v>
      </c>
    </row>
    <row r="3910" spans="1:40">
      <c r="A3910" s="1" t="s">
        <v>41</v>
      </c>
      <c r="B3910" s="1" t="s">
        <v>42</v>
      </c>
      <c r="C3910" s="1" t="s">
        <v>554</v>
      </c>
      <c r="D3910" s="1" t="s">
        <v>555</v>
      </c>
      <c r="E3910" s="1" t="s">
        <v>45</v>
      </c>
      <c r="F3910" s="1" t="s">
        <v>8989</v>
      </c>
      <c r="G3910" s="1" t="s">
        <v>8981</v>
      </c>
      <c r="H3910" s="1" t="s">
        <v>45</v>
      </c>
      <c r="I3910" s="1" t="s">
        <v>45</v>
      </c>
      <c r="J3910" s="1" t="s">
        <v>48</v>
      </c>
      <c r="K3910" s="1">
        <v>2</v>
      </c>
      <c r="L3910" s="1">
        <v>0</v>
      </c>
      <c r="M3910" s="1">
        <v>0</v>
      </c>
      <c r="N3910" s="1">
        <v>2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 t="s">
        <v>49</v>
      </c>
      <c r="AA3910" s="1" t="s">
        <v>49</v>
      </c>
      <c r="AB3910" s="1" t="s">
        <v>49</v>
      </c>
      <c r="AC3910" s="1" t="s">
        <v>8986</v>
      </c>
      <c r="AD3910" s="1" t="s">
        <v>8987</v>
      </c>
      <c r="AE3910" s="1" t="s">
        <v>8986</v>
      </c>
      <c r="AF3910" s="1" t="s">
        <v>49</v>
      </c>
      <c r="AG3910" s="1" t="s">
        <v>1952</v>
      </c>
      <c r="AH3910" s="1" t="s">
        <v>49</v>
      </c>
      <c r="AI3910" s="1" t="s">
        <v>54</v>
      </c>
      <c r="AJ3910" s="1">
        <v>0</v>
      </c>
      <c r="AK3910" s="1" t="str">
        <f t="shared" si="61"/>
        <v xml:space="preserve"> =&lt;90</v>
      </c>
      <c r="AL3910" s="1" t="str">
        <f>VLOOKUP(C:C,[1]基础信息!B$1:D$65536,3,0)</f>
        <v>Jug</v>
      </c>
      <c r="AM3910" s="1" t="str">
        <f>VLOOKUP(C:C,[1]基础信息!B$1:E$65536,4,0)</f>
        <v>Green Pack</v>
      </c>
      <c r="AN3910" s="1" t="str">
        <f>VLOOKUP(C:C,[1]基础信息!B$1:F$65536,5,0)</f>
        <v>Blue</v>
      </c>
    </row>
    <row r="3911" spans="1:40">
      <c r="A3911" s="1" t="s">
        <v>41</v>
      </c>
      <c r="B3911" s="1" t="s">
        <v>42</v>
      </c>
      <c r="C3911" s="1" t="s">
        <v>4342</v>
      </c>
      <c r="D3911" s="1" t="s">
        <v>4343</v>
      </c>
      <c r="E3911" s="1" t="s">
        <v>45</v>
      </c>
      <c r="F3911" s="1" t="s">
        <v>8990</v>
      </c>
      <c r="G3911" s="1" t="s">
        <v>8981</v>
      </c>
      <c r="H3911" s="1" t="s">
        <v>45</v>
      </c>
      <c r="I3911" s="1" t="s">
        <v>45</v>
      </c>
      <c r="J3911" s="1" t="s">
        <v>48</v>
      </c>
      <c r="K3911" s="1">
        <v>1</v>
      </c>
      <c r="L3911" s="1">
        <v>0</v>
      </c>
      <c r="M3911" s="1">
        <v>0</v>
      </c>
      <c r="N3911" s="1">
        <v>1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 t="s">
        <v>49</v>
      </c>
      <c r="AA3911" s="1" t="s">
        <v>49</v>
      </c>
      <c r="AB3911" s="1" t="s">
        <v>49</v>
      </c>
      <c r="AC3911" s="1" t="s">
        <v>3241</v>
      </c>
      <c r="AD3911" s="1" t="s">
        <v>3270</v>
      </c>
      <c r="AE3911" s="1" t="s">
        <v>3241</v>
      </c>
      <c r="AF3911" s="1" t="s">
        <v>4346</v>
      </c>
      <c r="AG3911" s="1" t="s">
        <v>3464</v>
      </c>
      <c r="AH3911" s="1" t="s">
        <v>49</v>
      </c>
      <c r="AI3911" s="1" t="s">
        <v>54</v>
      </c>
      <c r="AJ3911" s="1">
        <v>1</v>
      </c>
      <c r="AK3911" s="1" t="str">
        <f t="shared" si="61"/>
        <v xml:space="preserve"> =&lt;90</v>
      </c>
      <c r="AL3911" s="1" t="e">
        <f>VLOOKUP(C:C,[1]基础信息!B$1:D$65536,3,0)</f>
        <v>#N/A</v>
      </c>
      <c r="AM3911" s="1" t="e">
        <f>VLOOKUP(C:C,[1]基础信息!B$1:E$65536,4,0)</f>
        <v>#N/A</v>
      </c>
      <c r="AN3911" s="1" t="e">
        <f>VLOOKUP(C:C,[1]基础信息!B$1:F$65536,5,0)</f>
        <v>#N/A</v>
      </c>
    </row>
    <row r="3912" spans="1:40">
      <c r="A3912" s="1" t="s">
        <v>41</v>
      </c>
      <c r="B3912" s="1" t="s">
        <v>42</v>
      </c>
      <c r="C3912" s="1" t="s">
        <v>8991</v>
      </c>
      <c r="D3912" s="1" t="s">
        <v>8992</v>
      </c>
      <c r="E3912" s="1" t="s">
        <v>45</v>
      </c>
      <c r="F3912" s="1" t="s">
        <v>8993</v>
      </c>
      <c r="G3912" s="1" t="s">
        <v>8994</v>
      </c>
      <c r="H3912" s="1" t="s">
        <v>45</v>
      </c>
      <c r="I3912" s="1" t="s">
        <v>45</v>
      </c>
      <c r="J3912" s="1" t="s">
        <v>48</v>
      </c>
      <c r="K3912" s="1">
        <v>1</v>
      </c>
      <c r="L3912" s="1">
        <v>0</v>
      </c>
      <c r="M3912" s="1">
        <v>0</v>
      </c>
      <c r="N3912" s="1">
        <v>1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 t="s">
        <v>49</v>
      </c>
      <c r="AA3912" s="1" t="s">
        <v>49</v>
      </c>
      <c r="AB3912" s="1" t="s">
        <v>49</v>
      </c>
      <c r="AC3912" s="1" t="s">
        <v>8995</v>
      </c>
      <c r="AD3912" s="1" t="s">
        <v>8996</v>
      </c>
      <c r="AE3912" s="1" t="s">
        <v>8995</v>
      </c>
      <c r="AF3912" s="1" t="s">
        <v>49</v>
      </c>
      <c r="AG3912" s="1" t="s">
        <v>1952</v>
      </c>
      <c r="AH3912" s="1" t="s">
        <v>8997</v>
      </c>
      <c r="AI3912" s="1" t="s">
        <v>54</v>
      </c>
      <c r="AJ3912" s="1">
        <v>1</v>
      </c>
      <c r="AK3912" s="1" t="str">
        <f t="shared" si="61"/>
        <v xml:space="preserve"> =&lt;90</v>
      </c>
      <c r="AL3912" s="1" t="str">
        <f>VLOOKUP(C:C,[1]基础信息!B$1:D$65536,3,0)</f>
        <v>Bundle</v>
      </c>
      <c r="AM3912" s="1" t="str">
        <f>VLOOKUP(C:C,[1]基础信息!B$1:E$65536,4,0)</f>
        <v>WaFiBo</v>
      </c>
      <c r="AN3912" s="1" t="str">
        <f>VLOOKUP(C:C,[1]基础信息!B$1:F$65536,5,0)</f>
        <v>Pink</v>
      </c>
    </row>
    <row r="3913" spans="1:40">
      <c r="A3913" s="1" t="s">
        <v>41</v>
      </c>
      <c r="B3913" s="1" t="s">
        <v>42</v>
      </c>
      <c r="C3913" s="1" t="s">
        <v>104</v>
      </c>
      <c r="D3913" s="1" t="s">
        <v>105</v>
      </c>
      <c r="E3913" s="1" t="s">
        <v>104</v>
      </c>
      <c r="F3913" s="1" t="s">
        <v>8998</v>
      </c>
      <c r="G3913" s="1" t="s">
        <v>8999</v>
      </c>
      <c r="H3913" s="1" t="s">
        <v>45</v>
      </c>
      <c r="I3913" s="1" t="s">
        <v>45</v>
      </c>
      <c r="J3913" s="1" t="s">
        <v>48</v>
      </c>
      <c r="K3913" s="1">
        <v>20</v>
      </c>
      <c r="L3913" s="1">
        <v>0</v>
      </c>
      <c r="M3913" s="1">
        <v>0</v>
      </c>
      <c r="N3913" s="1">
        <v>20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 t="s">
        <v>49</v>
      </c>
      <c r="AA3913" s="1" t="s">
        <v>49</v>
      </c>
      <c r="AB3913" s="1" t="s">
        <v>49</v>
      </c>
      <c r="AC3913" s="1" t="s">
        <v>470</v>
      </c>
      <c r="AD3913" s="1" t="s">
        <v>471</v>
      </c>
      <c r="AE3913" s="1" t="s">
        <v>470</v>
      </c>
      <c r="AF3913" s="1" t="s">
        <v>9000</v>
      </c>
      <c r="AG3913" s="1" t="s">
        <v>76</v>
      </c>
      <c r="AH3913" s="1" t="s">
        <v>9001</v>
      </c>
      <c r="AI3913" s="1" t="s">
        <v>54</v>
      </c>
      <c r="AJ3913" s="1">
        <v>1</v>
      </c>
      <c r="AK3913" s="1" t="str">
        <f t="shared" si="61"/>
        <v xml:space="preserve"> =&lt;90</v>
      </c>
      <c r="AL3913" s="1" t="str">
        <f>VLOOKUP(C:C,[1]基础信息!B$1:D$65536,3,0)</f>
        <v>Jug</v>
      </c>
      <c r="AM3913" s="1" t="str">
        <f>VLOOKUP(C:C,[1]基础信息!B$1:E$65536,4,0)</f>
        <v>Marella XL</v>
      </c>
      <c r="AN3913" s="1" t="str">
        <f>VLOOKUP(C:C,[1]基础信息!B$1:F$65536,5,0)</f>
        <v>Blue</v>
      </c>
    </row>
    <row r="3914" spans="1:40">
      <c r="A3914" s="1" t="s">
        <v>41</v>
      </c>
      <c r="B3914" s="1" t="s">
        <v>42</v>
      </c>
      <c r="C3914" s="1" t="s">
        <v>8610</v>
      </c>
      <c r="D3914" s="1" t="s">
        <v>8611</v>
      </c>
      <c r="E3914" s="1" t="s">
        <v>45</v>
      </c>
      <c r="F3914" s="1" t="s">
        <v>9002</v>
      </c>
      <c r="G3914" s="1" t="s">
        <v>9003</v>
      </c>
      <c r="H3914" s="1" t="s">
        <v>9004</v>
      </c>
      <c r="I3914" s="1" t="s">
        <v>45</v>
      </c>
      <c r="J3914" s="1" t="s">
        <v>48</v>
      </c>
      <c r="K3914" s="1">
        <v>283</v>
      </c>
      <c r="L3914" s="1">
        <v>0</v>
      </c>
      <c r="M3914" s="1">
        <v>0</v>
      </c>
      <c r="N3914" s="1">
        <v>283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 t="s">
        <v>49</v>
      </c>
      <c r="AA3914" s="1" t="s">
        <v>49</v>
      </c>
      <c r="AB3914" s="1" t="s">
        <v>49</v>
      </c>
      <c r="AC3914" s="1" t="s">
        <v>8615</v>
      </c>
      <c r="AD3914" s="1" t="s">
        <v>8616</v>
      </c>
      <c r="AE3914" s="1" t="s">
        <v>8615</v>
      </c>
      <c r="AF3914" s="1" t="s">
        <v>9005</v>
      </c>
      <c r="AG3914" s="1" t="s">
        <v>4662</v>
      </c>
      <c r="AH3914" s="1" t="s">
        <v>49</v>
      </c>
      <c r="AI3914" s="1" t="s">
        <v>54</v>
      </c>
      <c r="AJ3914" s="1">
        <v>1</v>
      </c>
      <c r="AK3914" s="1" t="str">
        <f t="shared" si="61"/>
        <v xml:space="preserve"> =&lt;90</v>
      </c>
      <c r="AL3914" s="1" t="str">
        <f>VLOOKUP(C:C,[1]基础信息!B$1:D$65536,3,0)</f>
        <v xml:space="preserve">Cartridge </v>
      </c>
      <c r="AM3914" s="1" t="str">
        <f>VLOOKUP(C:C,[1]基础信息!B$1:E$65536,4,0)</f>
        <v>UNIV</v>
      </c>
      <c r="AN3914" s="1" t="str">
        <f>VLOOKUP(C:C,[1]基础信息!B$1:F$65536,5,0)</f>
        <v>P55</v>
      </c>
    </row>
    <row r="3915" spans="1:40">
      <c r="A3915" s="1" t="s">
        <v>41</v>
      </c>
      <c r="B3915" s="1" t="s">
        <v>8244</v>
      </c>
      <c r="C3915" s="1" t="s">
        <v>8384</v>
      </c>
      <c r="D3915" s="1" t="s">
        <v>8385</v>
      </c>
      <c r="E3915" s="1" t="s">
        <v>8386</v>
      </c>
      <c r="F3915" s="1" t="s">
        <v>9006</v>
      </c>
      <c r="G3915" s="1" t="s">
        <v>9007</v>
      </c>
      <c r="H3915" s="1" t="s">
        <v>45</v>
      </c>
      <c r="I3915" s="1" t="s">
        <v>45</v>
      </c>
      <c r="J3915" s="1" t="s">
        <v>48</v>
      </c>
      <c r="K3915" s="1">
        <v>50</v>
      </c>
      <c r="L3915" s="1">
        <v>0</v>
      </c>
      <c r="M3915" s="1">
        <v>0</v>
      </c>
      <c r="N3915" s="1">
        <v>50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 t="s">
        <v>49</v>
      </c>
      <c r="AA3915" s="1" t="s">
        <v>49</v>
      </c>
      <c r="AB3915" s="1" t="s">
        <v>49</v>
      </c>
      <c r="AC3915" s="1" t="s">
        <v>7637</v>
      </c>
      <c r="AD3915" s="1" t="s">
        <v>9008</v>
      </c>
      <c r="AE3915" s="1" t="s">
        <v>7637</v>
      </c>
      <c r="AF3915" s="1" t="s">
        <v>49</v>
      </c>
      <c r="AG3915" s="1" t="s">
        <v>8511</v>
      </c>
      <c r="AH3915" s="1" t="s">
        <v>9009</v>
      </c>
      <c r="AI3915" s="1" t="s">
        <v>54</v>
      </c>
      <c r="AJ3915" s="1">
        <v>1</v>
      </c>
      <c r="AK3915" s="1" t="str">
        <f t="shared" si="61"/>
        <v xml:space="preserve"> =&lt;90</v>
      </c>
      <c r="AL3915" s="1" t="e">
        <f>VLOOKUP(C:C,[1]基础信息!B$1:D$65536,3,0)</f>
        <v>#N/A</v>
      </c>
      <c r="AM3915" s="1" t="e">
        <f>VLOOKUP(C:C,[1]基础信息!B$1:E$65536,4,0)</f>
        <v>#N/A</v>
      </c>
      <c r="AN3915" s="1" t="e">
        <f>VLOOKUP(C:C,[1]基础信息!B$1:F$65536,5,0)</f>
        <v>#N/A</v>
      </c>
    </row>
    <row r="3916" spans="1:40">
      <c r="A3916" s="1" t="s">
        <v>41</v>
      </c>
      <c r="B3916" s="1" t="s">
        <v>42</v>
      </c>
      <c r="C3916" s="1" t="s">
        <v>1004</v>
      </c>
      <c r="D3916" s="1" t="s">
        <v>1005</v>
      </c>
      <c r="E3916" s="1" t="s">
        <v>1004</v>
      </c>
      <c r="F3916" s="1" t="s">
        <v>9010</v>
      </c>
      <c r="G3916" s="1" t="s">
        <v>9011</v>
      </c>
      <c r="H3916" s="1" t="s">
        <v>45</v>
      </c>
      <c r="I3916" s="1" t="s">
        <v>45</v>
      </c>
      <c r="J3916" s="1" t="s">
        <v>48</v>
      </c>
      <c r="K3916" s="1">
        <v>21</v>
      </c>
      <c r="L3916" s="1">
        <v>0</v>
      </c>
      <c r="M3916" s="1">
        <v>0</v>
      </c>
      <c r="N3916" s="1">
        <v>21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 t="s">
        <v>49</v>
      </c>
      <c r="AA3916" s="1" t="s">
        <v>49</v>
      </c>
      <c r="AB3916" s="1" t="s">
        <v>49</v>
      </c>
      <c r="AC3916" s="1" t="s">
        <v>3363</v>
      </c>
      <c r="AD3916" s="1" t="s">
        <v>6480</v>
      </c>
      <c r="AE3916" s="1" t="s">
        <v>3363</v>
      </c>
      <c r="AF3916" s="1" t="s">
        <v>49</v>
      </c>
      <c r="AG3916" s="1" t="s">
        <v>7747</v>
      </c>
      <c r="AH3916" s="1" t="s">
        <v>49</v>
      </c>
      <c r="AI3916" s="1" t="s">
        <v>54</v>
      </c>
      <c r="AJ3916" s="1">
        <v>1</v>
      </c>
      <c r="AK3916" s="1" t="str">
        <f t="shared" si="61"/>
        <v xml:space="preserve"> =&lt;90</v>
      </c>
      <c r="AL3916" s="1" t="str">
        <f>VLOOKUP(C:C,[1]基础信息!B$1:D$65536,3,0)</f>
        <v>UTS</v>
      </c>
      <c r="AM3916" s="1" t="str">
        <f>VLOOKUP(C:C,[1]基础信息!B$1:E$65536,4,0)</f>
        <v>MyPure</v>
      </c>
      <c r="AN3916" s="1" t="str">
        <f>VLOOKUP(C:C,[1]基础信息!B$1:F$65536,5,0)</f>
        <v>U5</v>
      </c>
    </row>
    <row r="3917" spans="1:40">
      <c r="A3917" s="1" t="s">
        <v>41</v>
      </c>
      <c r="B3917" s="1" t="s">
        <v>42</v>
      </c>
      <c r="C3917" s="1" t="s">
        <v>1116</v>
      </c>
      <c r="D3917" s="1" t="s">
        <v>1117</v>
      </c>
      <c r="E3917" s="1" t="s">
        <v>1116</v>
      </c>
      <c r="F3917" s="1" t="s">
        <v>9012</v>
      </c>
      <c r="G3917" s="1" t="s">
        <v>9013</v>
      </c>
      <c r="H3917" s="1" t="s">
        <v>9014</v>
      </c>
      <c r="I3917" s="1" t="s">
        <v>49</v>
      </c>
      <c r="J3917" s="1" t="s">
        <v>48</v>
      </c>
      <c r="K3917" s="1">
        <v>24</v>
      </c>
      <c r="L3917" s="1">
        <v>0</v>
      </c>
      <c r="M3917" s="1">
        <v>0</v>
      </c>
      <c r="N3917" s="1">
        <v>24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 t="s">
        <v>49</v>
      </c>
      <c r="AA3917" s="1" t="s">
        <v>49</v>
      </c>
      <c r="AB3917" s="1" t="s">
        <v>49</v>
      </c>
      <c r="AC3917" s="1" t="s">
        <v>3361</v>
      </c>
      <c r="AD3917" s="1" t="s">
        <v>3362</v>
      </c>
      <c r="AE3917" s="1" t="s">
        <v>3363</v>
      </c>
      <c r="AF3917" s="1" t="s">
        <v>9015</v>
      </c>
      <c r="AG3917" s="1" t="s">
        <v>53</v>
      </c>
      <c r="AH3917" s="1" t="s">
        <v>49</v>
      </c>
      <c r="AI3917" s="1" t="s">
        <v>54</v>
      </c>
      <c r="AJ3917" s="1">
        <v>1</v>
      </c>
      <c r="AK3917" s="1" t="str">
        <f t="shared" si="61"/>
        <v xml:space="preserve"> =&lt;90</v>
      </c>
      <c r="AL3917" s="1" t="str">
        <f>VLOOKUP(C:C,[1]基础信息!B$1:D$65536,3,0)</f>
        <v>UTS</v>
      </c>
      <c r="AM3917" s="1" t="str">
        <f>VLOOKUP(C:C,[1]基础信息!B$1:E$65536,4,0)</f>
        <v>MyPure Pro</v>
      </c>
      <c r="AN3917" s="1" t="str">
        <f>VLOOKUP(C:C,[1]基础信息!B$1:F$65536,5,0)</f>
        <v>Refill</v>
      </c>
    </row>
    <row r="3918" spans="1:40">
      <c r="A3918" s="1" t="s">
        <v>41</v>
      </c>
      <c r="B3918" s="1" t="s">
        <v>42</v>
      </c>
      <c r="C3918" s="1" t="s">
        <v>240</v>
      </c>
      <c r="D3918" s="1" t="s">
        <v>241</v>
      </c>
      <c r="E3918" s="1" t="s">
        <v>45</v>
      </c>
      <c r="F3918" s="1" t="s">
        <v>9016</v>
      </c>
      <c r="G3918" s="1" t="s">
        <v>9017</v>
      </c>
      <c r="H3918" s="1" t="s">
        <v>45</v>
      </c>
      <c r="I3918" s="1" t="s">
        <v>45</v>
      </c>
      <c r="J3918" s="1" t="s">
        <v>48</v>
      </c>
      <c r="K3918" s="1">
        <v>3</v>
      </c>
      <c r="L3918" s="1">
        <v>0</v>
      </c>
      <c r="M3918" s="1">
        <v>0</v>
      </c>
      <c r="N3918" s="1">
        <v>3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 t="s">
        <v>49</v>
      </c>
      <c r="AA3918" s="1" t="s">
        <v>49</v>
      </c>
      <c r="AB3918" s="1" t="s">
        <v>49</v>
      </c>
      <c r="AC3918" s="1" t="s">
        <v>9018</v>
      </c>
      <c r="AD3918" s="1" t="s">
        <v>9019</v>
      </c>
      <c r="AE3918" s="1" t="s">
        <v>9020</v>
      </c>
      <c r="AF3918" s="1" t="s">
        <v>49</v>
      </c>
      <c r="AG3918" s="1" t="s">
        <v>7747</v>
      </c>
      <c r="AH3918" s="1" t="s">
        <v>49</v>
      </c>
      <c r="AI3918" s="1" t="s">
        <v>54</v>
      </c>
      <c r="AJ3918" s="1">
        <v>0</v>
      </c>
      <c r="AK3918" s="1" t="str">
        <f t="shared" si="61"/>
        <v xml:space="preserve"> =&lt;90</v>
      </c>
      <c r="AL3918" s="1" t="str">
        <f>VLOOKUP(C:C,[1]基础信息!B$1:D$65536,3,0)</f>
        <v>UTS</v>
      </c>
      <c r="AM3918" s="1" t="str">
        <f>VLOOKUP(C:C,[1]基础信息!B$1:E$65536,4,0)</f>
        <v>MyPure Pro</v>
      </c>
      <c r="AN3918" s="1" t="str">
        <f>VLOOKUP(C:C,[1]基础信息!B$1:F$65536,5,0)</f>
        <v>X6</v>
      </c>
    </row>
    <row r="3919" spans="1:40">
      <c r="A3919" s="1" t="s">
        <v>41</v>
      </c>
      <c r="B3919" s="1" t="s">
        <v>42</v>
      </c>
      <c r="C3919" s="1" t="s">
        <v>240</v>
      </c>
      <c r="D3919" s="1" t="s">
        <v>241</v>
      </c>
      <c r="E3919" s="1" t="s">
        <v>45</v>
      </c>
      <c r="F3919" s="1" t="s">
        <v>9021</v>
      </c>
      <c r="G3919" s="1" t="s">
        <v>9017</v>
      </c>
      <c r="H3919" s="1" t="s">
        <v>45</v>
      </c>
      <c r="I3919" s="1" t="s">
        <v>45</v>
      </c>
      <c r="J3919" s="1" t="s">
        <v>48</v>
      </c>
      <c r="K3919" s="1">
        <v>2</v>
      </c>
      <c r="L3919" s="1">
        <v>0</v>
      </c>
      <c r="M3919" s="1">
        <v>0</v>
      </c>
      <c r="N3919" s="1">
        <v>2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 t="s">
        <v>49</v>
      </c>
      <c r="AA3919" s="1" t="s">
        <v>49</v>
      </c>
      <c r="AB3919" s="1" t="s">
        <v>49</v>
      </c>
      <c r="AC3919" s="1" t="s">
        <v>9022</v>
      </c>
      <c r="AD3919" s="1" t="s">
        <v>9023</v>
      </c>
      <c r="AE3919" s="1" t="s">
        <v>9022</v>
      </c>
      <c r="AF3919" s="1" t="s">
        <v>9024</v>
      </c>
      <c r="AG3919" s="1" t="s">
        <v>7747</v>
      </c>
      <c r="AH3919" s="1" t="s">
        <v>49</v>
      </c>
      <c r="AI3919" s="1" t="s">
        <v>54</v>
      </c>
      <c r="AJ3919" s="1">
        <v>1</v>
      </c>
      <c r="AK3919" s="1" t="str">
        <f t="shared" si="61"/>
        <v xml:space="preserve"> =&lt;90</v>
      </c>
      <c r="AL3919" s="1" t="str">
        <f>VLOOKUP(C:C,[1]基础信息!B$1:D$65536,3,0)</f>
        <v>UTS</v>
      </c>
      <c r="AM3919" s="1" t="str">
        <f>VLOOKUP(C:C,[1]基础信息!B$1:E$65536,4,0)</f>
        <v>MyPure Pro</v>
      </c>
      <c r="AN3919" s="1" t="str">
        <f>VLOOKUP(C:C,[1]基础信息!B$1:F$65536,5,0)</f>
        <v>X6</v>
      </c>
    </row>
    <row r="3920" spans="1:40">
      <c r="A3920" s="1" t="s">
        <v>41</v>
      </c>
      <c r="B3920" s="1" t="s">
        <v>42</v>
      </c>
      <c r="C3920" s="1" t="s">
        <v>451</v>
      </c>
      <c r="D3920" s="1" t="s">
        <v>452</v>
      </c>
      <c r="E3920" s="1" t="s">
        <v>45</v>
      </c>
      <c r="F3920" s="1" t="s">
        <v>9025</v>
      </c>
      <c r="G3920" s="1" t="s">
        <v>9026</v>
      </c>
      <c r="H3920" s="1" t="s">
        <v>45</v>
      </c>
      <c r="I3920" s="1" t="s">
        <v>45</v>
      </c>
      <c r="J3920" s="1" t="s">
        <v>48</v>
      </c>
      <c r="K3920" s="1">
        <v>10</v>
      </c>
      <c r="L3920" s="1">
        <v>0</v>
      </c>
      <c r="M3920" s="1">
        <v>0</v>
      </c>
      <c r="N3920" s="1">
        <v>10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 t="s">
        <v>49</v>
      </c>
      <c r="AA3920" s="1" t="s">
        <v>49</v>
      </c>
      <c r="AB3920" s="1" t="s">
        <v>49</v>
      </c>
      <c r="AC3920" s="1" t="s">
        <v>3363</v>
      </c>
      <c r="AD3920" s="1" t="s">
        <v>6480</v>
      </c>
      <c r="AE3920" s="1" t="s">
        <v>3363</v>
      </c>
      <c r="AF3920" s="1" t="s">
        <v>49</v>
      </c>
      <c r="AG3920" s="1" t="s">
        <v>7747</v>
      </c>
      <c r="AH3920" s="1" t="s">
        <v>49</v>
      </c>
      <c r="AI3920" s="1" t="s">
        <v>54</v>
      </c>
      <c r="AJ3920" s="1">
        <v>1</v>
      </c>
      <c r="AK3920" s="1" t="str">
        <f t="shared" si="61"/>
        <v xml:space="preserve"> =&lt;90</v>
      </c>
      <c r="AL3920" s="1" t="str">
        <f>VLOOKUP(C:C,[1]基础信息!B$1:D$65536,3,0)</f>
        <v>UTS</v>
      </c>
      <c r="AM3920" s="1" t="str">
        <f>VLOOKUP(C:C,[1]基础信息!B$1:E$65536,4,0)</f>
        <v>MyPure</v>
      </c>
      <c r="AN3920" s="1" t="str">
        <f>VLOOKUP(C:C,[1]基础信息!B$1:F$65536,5,0)</f>
        <v>R8</v>
      </c>
    </row>
    <row r="3921" spans="1:40">
      <c r="A3921" s="1" t="s">
        <v>41</v>
      </c>
      <c r="B3921" s="1" t="s">
        <v>42</v>
      </c>
      <c r="C3921" s="1" t="s">
        <v>7755</v>
      </c>
      <c r="D3921" s="1" t="s">
        <v>7756</v>
      </c>
      <c r="E3921" s="1" t="s">
        <v>45</v>
      </c>
      <c r="F3921" s="1" t="s">
        <v>9027</v>
      </c>
      <c r="G3921" s="1" t="s">
        <v>9028</v>
      </c>
      <c r="H3921" s="1" t="s">
        <v>45</v>
      </c>
      <c r="I3921" s="1" t="s">
        <v>45</v>
      </c>
      <c r="J3921" s="1" t="s">
        <v>48</v>
      </c>
      <c r="K3921" s="1">
        <v>657</v>
      </c>
      <c r="L3921" s="1">
        <v>0</v>
      </c>
      <c r="M3921" s="1">
        <v>0</v>
      </c>
      <c r="N3921" s="1">
        <v>657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 t="s">
        <v>49</v>
      </c>
      <c r="AA3921" s="1" t="s">
        <v>49</v>
      </c>
      <c r="AB3921" s="1" t="s">
        <v>49</v>
      </c>
      <c r="AC3921" s="1" t="s">
        <v>9029</v>
      </c>
      <c r="AD3921" s="1" t="s">
        <v>9030</v>
      </c>
      <c r="AE3921" s="1" t="s">
        <v>9031</v>
      </c>
      <c r="AF3921" s="1" t="s">
        <v>9032</v>
      </c>
      <c r="AG3921" s="1" t="s">
        <v>1952</v>
      </c>
      <c r="AH3921" s="1" t="s">
        <v>49</v>
      </c>
      <c r="AI3921" s="1" t="s">
        <v>54</v>
      </c>
      <c r="AJ3921" s="1">
        <v>1</v>
      </c>
      <c r="AK3921" s="1" t="str">
        <f t="shared" si="61"/>
        <v xml:space="preserve"> =&lt;90</v>
      </c>
      <c r="AL3921" s="1" t="str">
        <f>VLOOKUP(C:C,[1]基础信息!B$1:D$65536,3,0)</f>
        <v xml:space="preserve">Cartridge </v>
      </c>
      <c r="AM3921" s="1" t="str">
        <f>VLOOKUP(C:C,[1]基础信息!B$1:E$65536,4,0)</f>
        <v>LM</v>
      </c>
      <c r="AN3921" s="1" t="str">
        <f>VLOOKUP(C:C,[1]基础信息!B$1:F$65536,5,0)</f>
        <v>P55</v>
      </c>
    </row>
    <row r="3922" spans="1:40">
      <c r="A3922" s="1" t="s">
        <v>41</v>
      </c>
      <c r="B3922" s="1" t="s">
        <v>42</v>
      </c>
      <c r="C3922" s="1" t="s">
        <v>104</v>
      </c>
      <c r="D3922" s="1" t="s">
        <v>105</v>
      </c>
      <c r="E3922" s="1" t="s">
        <v>104</v>
      </c>
      <c r="F3922" s="1" t="s">
        <v>9033</v>
      </c>
      <c r="G3922" s="1" t="s">
        <v>9034</v>
      </c>
      <c r="H3922" s="1" t="s">
        <v>45</v>
      </c>
      <c r="I3922" s="1" t="s">
        <v>45</v>
      </c>
      <c r="J3922" s="1" t="s">
        <v>48</v>
      </c>
      <c r="K3922" s="1">
        <v>96</v>
      </c>
      <c r="L3922" s="1">
        <v>0</v>
      </c>
      <c r="M3922" s="1">
        <v>0</v>
      </c>
      <c r="N3922" s="1">
        <v>96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 t="s">
        <v>49</v>
      </c>
      <c r="AA3922" s="1" t="s">
        <v>49</v>
      </c>
      <c r="AB3922" s="1" t="s">
        <v>49</v>
      </c>
      <c r="AC3922" s="1" t="s">
        <v>7670</v>
      </c>
      <c r="AD3922" s="1" t="s">
        <v>7671</v>
      </c>
      <c r="AE3922" s="1" t="s">
        <v>7670</v>
      </c>
      <c r="AF3922" s="1" t="s">
        <v>9035</v>
      </c>
      <c r="AG3922" s="1" t="s">
        <v>76</v>
      </c>
      <c r="AH3922" s="1" t="s">
        <v>9001</v>
      </c>
      <c r="AI3922" s="1" t="s">
        <v>54</v>
      </c>
      <c r="AJ3922" s="1">
        <v>1</v>
      </c>
      <c r="AK3922" s="1" t="str">
        <f t="shared" si="61"/>
        <v xml:space="preserve"> =&lt;90</v>
      </c>
      <c r="AL3922" s="1" t="str">
        <f>VLOOKUP(C:C,[1]基础信息!B$1:D$65536,3,0)</f>
        <v>Jug</v>
      </c>
      <c r="AM3922" s="1" t="str">
        <f>VLOOKUP(C:C,[1]基础信息!B$1:E$65536,4,0)</f>
        <v>Marella XL</v>
      </c>
      <c r="AN3922" s="1" t="str">
        <f>VLOOKUP(C:C,[1]基础信息!B$1:F$65536,5,0)</f>
        <v>Blue</v>
      </c>
    </row>
    <row r="3923" spans="1:40">
      <c r="A3923" s="1" t="s">
        <v>41</v>
      </c>
      <c r="B3923" s="1" t="s">
        <v>42</v>
      </c>
      <c r="C3923" s="1" t="s">
        <v>83</v>
      </c>
      <c r="D3923" s="1" t="s">
        <v>84</v>
      </c>
      <c r="E3923" s="1" t="s">
        <v>45</v>
      </c>
      <c r="F3923" s="1" t="s">
        <v>9036</v>
      </c>
      <c r="G3923" s="1" t="s">
        <v>9037</v>
      </c>
      <c r="H3923" s="1" t="s">
        <v>45</v>
      </c>
      <c r="I3923" s="1" t="s">
        <v>45</v>
      </c>
      <c r="J3923" s="1" t="s">
        <v>48</v>
      </c>
      <c r="K3923" s="1">
        <v>74</v>
      </c>
      <c r="L3923" s="1">
        <v>0</v>
      </c>
      <c r="M3923" s="1">
        <v>0</v>
      </c>
      <c r="N3923" s="1">
        <v>74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 t="s">
        <v>49</v>
      </c>
      <c r="AA3923" s="1" t="s">
        <v>49</v>
      </c>
      <c r="AB3923" s="1" t="s">
        <v>49</v>
      </c>
      <c r="AC3923" s="1" t="s">
        <v>9038</v>
      </c>
      <c r="AD3923" s="1" t="s">
        <v>9039</v>
      </c>
      <c r="AE3923" s="1" t="s">
        <v>9038</v>
      </c>
      <c r="AF3923" s="1" t="s">
        <v>49</v>
      </c>
      <c r="AG3923" s="1" t="s">
        <v>1952</v>
      </c>
      <c r="AH3923" s="1" t="s">
        <v>49</v>
      </c>
      <c r="AI3923" s="1" t="s">
        <v>54</v>
      </c>
      <c r="AJ3923" s="1">
        <v>1</v>
      </c>
      <c r="AK3923" s="1" t="str">
        <f t="shared" si="61"/>
        <v xml:space="preserve"> =&lt;90</v>
      </c>
      <c r="AL3923" s="1" t="str">
        <f>VLOOKUP(C:C,[1]基础信息!B$1:D$65536,3,0)</f>
        <v>Jug</v>
      </c>
      <c r="AM3923" s="1" t="str">
        <f>VLOOKUP(C:C,[1]基础信息!B$1:E$65536,4,0)</f>
        <v>Mxplus</v>
      </c>
      <c r="AN3923" s="1" t="str">
        <f>VLOOKUP(C:C,[1]基础信息!B$1:F$65536,5,0)</f>
        <v>Blue</v>
      </c>
    </row>
    <row r="3924" spans="1:40">
      <c r="A3924" s="1" t="s">
        <v>41</v>
      </c>
      <c r="B3924" s="1" t="s">
        <v>42</v>
      </c>
      <c r="C3924" s="1" t="s">
        <v>1116</v>
      </c>
      <c r="D3924" s="1" t="s">
        <v>1117</v>
      </c>
      <c r="E3924" s="1" t="s">
        <v>1116</v>
      </c>
      <c r="F3924" s="1" t="s">
        <v>9012</v>
      </c>
      <c r="G3924" s="1" t="s">
        <v>9040</v>
      </c>
      <c r="H3924" s="1" t="s">
        <v>9041</v>
      </c>
      <c r="I3924" s="1" t="s">
        <v>49</v>
      </c>
      <c r="J3924" s="1" t="s">
        <v>48</v>
      </c>
      <c r="K3924" s="1">
        <v>120</v>
      </c>
      <c r="L3924" s="1">
        <v>0</v>
      </c>
      <c r="M3924" s="1">
        <v>0</v>
      </c>
      <c r="N3924" s="1">
        <v>120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 t="s">
        <v>49</v>
      </c>
      <c r="AA3924" s="1" t="s">
        <v>49</v>
      </c>
      <c r="AB3924" s="1" t="s">
        <v>49</v>
      </c>
      <c r="AC3924" s="1" t="s">
        <v>3361</v>
      </c>
      <c r="AD3924" s="1" t="s">
        <v>3362</v>
      </c>
      <c r="AE3924" s="1" t="s">
        <v>3363</v>
      </c>
      <c r="AF3924" s="1" t="s">
        <v>9015</v>
      </c>
      <c r="AG3924" s="1" t="s">
        <v>53</v>
      </c>
      <c r="AH3924" s="1" t="s">
        <v>49</v>
      </c>
      <c r="AI3924" s="1" t="s">
        <v>54</v>
      </c>
      <c r="AJ3924" s="1">
        <v>1</v>
      </c>
      <c r="AK3924" s="1" t="str">
        <f t="shared" si="61"/>
        <v xml:space="preserve"> =&lt;90</v>
      </c>
      <c r="AL3924" s="1" t="str">
        <f>VLOOKUP(C:C,[1]基础信息!B$1:D$65536,3,0)</f>
        <v>UTS</v>
      </c>
      <c r="AM3924" s="1" t="str">
        <f>VLOOKUP(C:C,[1]基础信息!B$1:E$65536,4,0)</f>
        <v>MyPure Pro</v>
      </c>
      <c r="AN3924" s="1" t="str">
        <f>VLOOKUP(C:C,[1]基础信息!B$1:F$65536,5,0)</f>
        <v>Refill</v>
      </c>
    </row>
    <row r="3925" spans="1:40">
      <c r="A3925" s="1" t="s">
        <v>41</v>
      </c>
      <c r="B3925" s="1" t="s">
        <v>42</v>
      </c>
      <c r="C3925" s="1" t="s">
        <v>8373</v>
      </c>
      <c r="D3925" s="1" t="s">
        <v>8374</v>
      </c>
      <c r="E3925" s="1" t="s">
        <v>45</v>
      </c>
      <c r="F3925" s="1" t="s">
        <v>9042</v>
      </c>
      <c r="G3925" s="1" t="s">
        <v>9043</v>
      </c>
      <c r="H3925" s="1" t="s">
        <v>45</v>
      </c>
      <c r="I3925" s="1" t="s">
        <v>45</v>
      </c>
      <c r="J3925" s="1" t="s">
        <v>48</v>
      </c>
      <c r="K3925" s="1">
        <v>26</v>
      </c>
      <c r="L3925" s="1">
        <v>0</v>
      </c>
      <c r="M3925" s="1">
        <v>0</v>
      </c>
      <c r="N3925" s="1">
        <v>26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 t="s">
        <v>49</v>
      </c>
      <c r="AA3925" s="1" t="s">
        <v>49</v>
      </c>
      <c r="AB3925" s="1" t="s">
        <v>49</v>
      </c>
      <c r="AC3925" s="1" t="s">
        <v>9044</v>
      </c>
      <c r="AD3925" s="1" t="s">
        <v>508</v>
      </c>
      <c r="AE3925" s="1" t="s">
        <v>9044</v>
      </c>
      <c r="AF3925" s="1" t="s">
        <v>9045</v>
      </c>
      <c r="AG3925" s="1" t="s">
        <v>7747</v>
      </c>
      <c r="AH3925" s="1" t="s">
        <v>49</v>
      </c>
      <c r="AI3925" s="1" t="s">
        <v>54</v>
      </c>
      <c r="AJ3925" s="1">
        <v>0</v>
      </c>
      <c r="AK3925" s="1" t="str">
        <f t="shared" si="61"/>
        <v xml:space="preserve"> =&lt;90</v>
      </c>
      <c r="AL3925" s="1" t="str">
        <f>VLOOKUP(C:C,[1]基础信息!B$1:D$65536,3,0)</f>
        <v>Hotcup</v>
      </c>
      <c r="AM3925" s="1" t="str">
        <f>VLOOKUP(C:C,[1]基础信息!B$1:E$65536,4,0)</f>
        <v>Hotcup</v>
      </c>
      <c r="AN3925" s="1" t="str">
        <f>VLOOKUP(C:C,[1]基础信息!B$1:F$65536,5,0)</f>
        <v>whi</v>
      </c>
    </row>
    <row r="3926" spans="1:40">
      <c r="A3926" s="1" t="s">
        <v>41</v>
      </c>
      <c r="B3926" s="1" t="s">
        <v>42</v>
      </c>
      <c r="C3926" s="1" t="s">
        <v>7704</v>
      </c>
      <c r="D3926" s="1" t="s">
        <v>7705</v>
      </c>
      <c r="E3926" s="1" t="s">
        <v>45</v>
      </c>
      <c r="F3926" s="1" t="s">
        <v>9046</v>
      </c>
      <c r="G3926" s="1" t="s">
        <v>9043</v>
      </c>
      <c r="H3926" s="1" t="s">
        <v>45</v>
      </c>
      <c r="I3926" s="1" t="s">
        <v>45</v>
      </c>
      <c r="J3926" s="1" t="s">
        <v>48</v>
      </c>
      <c r="K3926" s="1">
        <v>3</v>
      </c>
      <c r="L3926" s="1">
        <v>0</v>
      </c>
      <c r="M3926" s="1">
        <v>0</v>
      </c>
      <c r="N3926" s="1">
        <v>3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 t="s">
        <v>49</v>
      </c>
      <c r="AA3926" s="1" t="s">
        <v>49</v>
      </c>
      <c r="AB3926" s="1" t="s">
        <v>49</v>
      </c>
      <c r="AC3926" s="1" t="s">
        <v>9044</v>
      </c>
      <c r="AD3926" s="1" t="s">
        <v>508</v>
      </c>
      <c r="AE3926" s="1" t="s">
        <v>9044</v>
      </c>
      <c r="AF3926" s="1" t="s">
        <v>9045</v>
      </c>
      <c r="AG3926" s="1" t="s">
        <v>7747</v>
      </c>
      <c r="AH3926" s="1" t="s">
        <v>49</v>
      </c>
      <c r="AI3926" s="1" t="s">
        <v>54</v>
      </c>
      <c r="AJ3926" s="1">
        <v>1</v>
      </c>
      <c r="AK3926" s="1" t="str">
        <f t="shared" si="61"/>
        <v xml:space="preserve"> =&lt;90</v>
      </c>
      <c r="AL3926" s="1" t="str">
        <f>VLOOKUP(C:C,[1]基础信息!B$1:D$65536,3,0)</f>
        <v>Hotcup</v>
      </c>
      <c r="AM3926" s="1" t="str">
        <f>VLOOKUP(C:C,[1]基础信息!B$1:E$65536,4,0)</f>
        <v>Hotcup</v>
      </c>
      <c r="AN3926" s="1" t="str">
        <f>VLOOKUP(C:C,[1]基础信息!B$1:F$65536,5,0)</f>
        <v>Silver</v>
      </c>
    </row>
    <row r="3927" spans="1:40">
      <c r="A3927" s="1" t="s">
        <v>41</v>
      </c>
      <c r="B3927" s="1" t="s">
        <v>42</v>
      </c>
      <c r="C3927" s="1" t="s">
        <v>4597</v>
      </c>
      <c r="D3927" s="1" t="s">
        <v>4598</v>
      </c>
      <c r="E3927" s="1" t="s">
        <v>45</v>
      </c>
      <c r="F3927" s="1" t="s">
        <v>9047</v>
      </c>
      <c r="G3927" s="1" t="s">
        <v>9048</v>
      </c>
      <c r="H3927" s="1" t="s">
        <v>45</v>
      </c>
      <c r="I3927" s="1" t="s">
        <v>45</v>
      </c>
      <c r="J3927" s="1" t="s">
        <v>48</v>
      </c>
      <c r="K3927" s="1">
        <v>1</v>
      </c>
      <c r="L3927" s="1">
        <v>0</v>
      </c>
      <c r="M3927" s="1">
        <v>0</v>
      </c>
      <c r="N3927" s="1">
        <v>1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 t="s">
        <v>49</v>
      </c>
      <c r="AA3927" s="1" t="s">
        <v>49</v>
      </c>
      <c r="AB3927" s="1" t="s">
        <v>49</v>
      </c>
      <c r="AC3927" s="1" t="s">
        <v>3363</v>
      </c>
      <c r="AD3927" s="1" t="s">
        <v>6480</v>
      </c>
      <c r="AE3927" s="1" t="s">
        <v>3363</v>
      </c>
      <c r="AF3927" s="1" t="s">
        <v>49</v>
      </c>
      <c r="AG3927" s="1" t="s">
        <v>7747</v>
      </c>
      <c r="AH3927" s="1" t="s">
        <v>49</v>
      </c>
      <c r="AI3927" s="1" t="s">
        <v>54</v>
      </c>
      <c r="AJ3927" s="1">
        <v>1</v>
      </c>
      <c r="AK3927" s="1" t="str">
        <f t="shared" si="61"/>
        <v xml:space="preserve"> =&lt;90</v>
      </c>
      <c r="AL3927" s="1" t="e">
        <f>VLOOKUP(C:C,[1]基础信息!B$1:D$65536,3,0)</f>
        <v>#N/A</v>
      </c>
      <c r="AM3927" s="1" t="e">
        <f>VLOOKUP(C:C,[1]基础信息!B$1:E$65536,4,0)</f>
        <v>#N/A</v>
      </c>
      <c r="AN3927" s="1" t="e">
        <f>VLOOKUP(C:C,[1]基础信息!B$1:F$65536,5,0)</f>
        <v>#N/A</v>
      </c>
    </row>
    <row r="3928" spans="1:40">
      <c r="A3928" s="1" t="s">
        <v>41</v>
      </c>
      <c r="B3928" s="1" t="s">
        <v>42</v>
      </c>
      <c r="C3928" s="1" t="s">
        <v>68</v>
      </c>
      <c r="D3928" s="1" t="s">
        <v>69</v>
      </c>
      <c r="E3928" s="1" t="s">
        <v>45</v>
      </c>
      <c r="F3928" s="1" t="s">
        <v>9049</v>
      </c>
      <c r="G3928" s="1" t="s">
        <v>9050</v>
      </c>
      <c r="H3928" s="1" t="s">
        <v>45</v>
      </c>
      <c r="I3928" s="1" t="s">
        <v>45</v>
      </c>
      <c r="J3928" s="1" t="s">
        <v>48</v>
      </c>
      <c r="K3928" s="1">
        <v>9</v>
      </c>
      <c r="L3928" s="1">
        <v>0</v>
      </c>
      <c r="M3928" s="1">
        <v>0</v>
      </c>
      <c r="N3928" s="1">
        <v>9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 t="s">
        <v>49</v>
      </c>
      <c r="AA3928" s="1" t="s">
        <v>49</v>
      </c>
      <c r="AB3928" s="1" t="s">
        <v>49</v>
      </c>
      <c r="AC3928" s="1" t="s">
        <v>9044</v>
      </c>
      <c r="AD3928" s="1" t="s">
        <v>508</v>
      </c>
      <c r="AE3928" s="1" t="s">
        <v>9044</v>
      </c>
      <c r="AF3928" s="1" t="s">
        <v>9045</v>
      </c>
      <c r="AG3928" s="1" t="s">
        <v>7747</v>
      </c>
      <c r="AH3928" s="1" t="s">
        <v>49</v>
      </c>
      <c r="AI3928" s="1" t="s">
        <v>54</v>
      </c>
      <c r="AJ3928" s="1">
        <v>1</v>
      </c>
      <c r="AK3928" s="1" t="str">
        <f t="shared" si="61"/>
        <v xml:space="preserve"> =&lt;90</v>
      </c>
      <c r="AL3928" s="1" t="str">
        <f>VLOOKUP(C:C,[1]基础信息!B$1:D$65536,3,0)</f>
        <v>Hotcup</v>
      </c>
      <c r="AM3928" s="1" t="str">
        <f>VLOOKUP(C:C,[1]基础信息!B$1:E$65536,4,0)</f>
        <v>Hotcup</v>
      </c>
      <c r="AN3928" s="1" t="str">
        <f>VLOOKUP(C:C,[1]基础信息!B$1:F$65536,5,0)</f>
        <v xml:space="preserve"> Whi</v>
      </c>
    </row>
    <row r="3929" spans="1:40">
      <c r="A3929" s="1" t="s">
        <v>41</v>
      </c>
      <c r="B3929" s="1" t="s">
        <v>42</v>
      </c>
      <c r="C3929" s="1" t="s">
        <v>104</v>
      </c>
      <c r="D3929" s="1" t="s">
        <v>105</v>
      </c>
      <c r="E3929" s="1" t="s">
        <v>104</v>
      </c>
      <c r="F3929" s="1" t="s">
        <v>9051</v>
      </c>
      <c r="G3929" s="1" t="s">
        <v>9052</v>
      </c>
      <c r="H3929" s="1" t="s">
        <v>45</v>
      </c>
      <c r="I3929" s="1" t="s">
        <v>45</v>
      </c>
      <c r="J3929" s="1" t="s">
        <v>48</v>
      </c>
      <c r="K3929" s="1">
        <v>32</v>
      </c>
      <c r="L3929" s="1">
        <v>0</v>
      </c>
      <c r="M3929" s="1">
        <v>0</v>
      </c>
      <c r="N3929" s="1">
        <v>32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 t="s">
        <v>49</v>
      </c>
      <c r="AA3929" s="1" t="s">
        <v>49</v>
      </c>
      <c r="AB3929" s="1" t="s">
        <v>49</v>
      </c>
      <c r="AC3929" s="1" t="s">
        <v>7670</v>
      </c>
      <c r="AD3929" s="1" t="s">
        <v>7671</v>
      </c>
      <c r="AE3929" s="1" t="s">
        <v>7670</v>
      </c>
      <c r="AF3929" s="1" t="s">
        <v>7633</v>
      </c>
      <c r="AG3929" s="1" t="s">
        <v>76</v>
      </c>
      <c r="AH3929" s="1" t="s">
        <v>9001</v>
      </c>
      <c r="AI3929" s="1" t="s">
        <v>54</v>
      </c>
      <c r="AJ3929" s="1">
        <v>1</v>
      </c>
      <c r="AK3929" s="1" t="str">
        <f t="shared" si="61"/>
        <v xml:space="preserve"> =&lt;90</v>
      </c>
      <c r="AL3929" s="1" t="str">
        <f>VLOOKUP(C:C,[1]基础信息!B$1:D$65536,3,0)</f>
        <v>Jug</v>
      </c>
      <c r="AM3929" s="1" t="str">
        <f>VLOOKUP(C:C,[1]基础信息!B$1:E$65536,4,0)</f>
        <v>Marella XL</v>
      </c>
      <c r="AN3929" s="1" t="str">
        <f>VLOOKUP(C:C,[1]基础信息!B$1:F$65536,5,0)</f>
        <v>Blue</v>
      </c>
    </row>
    <row r="3930" spans="1:40">
      <c r="A3930" s="1" t="s">
        <v>41</v>
      </c>
      <c r="B3930" s="1" t="s">
        <v>42</v>
      </c>
      <c r="C3930" s="1" t="s">
        <v>7818</v>
      </c>
      <c r="D3930" s="1" t="s">
        <v>7819</v>
      </c>
      <c r="E3930" s="1" t="s">
        <v>45</v>
      </c>
      <c r="F3930" s="1" t="s">
        <v>9053</v>
      </c>
      <c r="G3930" s="1" t="s">
        <v>9054</v>
      </c>
      <c r="H3930" s="1" t="s">
        <v>45</v>
      </c>
      <c r="I3930" s="1" t="s">
        <v>45</v>
      </c>
      <c r="J3930" s="1" t="s">
        <v>48</v>
      </c>
      <c r="K3930" s="1">
        <v>9</v>
      </c>
      <c r="L3930" s="1">
        <v>0</v>
      </c>
      <c r="M3930" s="1">
        <v>0</v>
      </c>
      <c r="N3930" s="1">
        <v>9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 t="s">
        <v>49</v>
      </c>
      <c r="AA3930" s="1" t="s">
        <v>49</v>
      </c>
      <c r="AB3930" s="1" t="s">
        <v>49</v>
      </c>
      <c r="AC3930" s="1" t="s">
        <v>9055</v>
      </c>
      <c r="AD3930" s="1" t="s">
        <v>9056</v>
      </c>
      <c r="AE3930" s="1" t="s">
        <v>9055</v>
      </c>
      <c r="AF3930" s="1" t="s">
        <v>49</v>
      </c>
      <c r="AG3930" s="1" t="s">
        <v>76</v>
      </c>
      <c r="AH3930" s="1" t="s">
        <v>49</v>
      </c>
      <c r="AI3930" s="1" t="s">
        <v>54</v>
      </c>
      <c r="AJ3930" s="1">
        <v>1</v>
      </c>
      <c r="AK3930" s="1" t="str">
        <f t="shared" si="61"/>
        <v xml:space="preserve"> =&lt;90</v>
      </c>
      <c r="AL3930" s="1" t="str">
        <f>VLOOKUP(C:C,[1]基础信息!B$1:D$65536,3,0)</f>
        <v xml:space="preserve">Cartridge </v>
      </c>
      <c r="AM3930" s="1" t="str">
        <f>VLOOKUP(C:C,[1]基础信息!B$1:E$65536,4,0)</f>
        <v>LM</v>
      </c>
      <c r="AN3930" s="1" t="str">
        <f>VLOOKUP(C:C,[1]基础信息!B$1:F$65536,5,0)</f>
        <v>P1</v>
      </c>
    </row>
    <row r="3931" spans="1:40">
      <c r="A3931" s="1" t="s">
        <v>41</v>
      </c>
      <c r="B3931" s="1" t="s">
        <v>42</v>
      </c>
      <c r="C3931" s="1" t="s">
        <v>301</v>
      </c>
      <c r="D3931" s="1" t="s">
        <v>302</v>
      </c>
      <c r="E3931" s="1" t="s">
        <v>45</v>
      </c>
      <c r="F3931" s="1" t="s">
        <v>8425</v>
      </c>
      <c r="G3931" s="1" t="s">
        <v>9057</v>
      </c>
      <c r="H3931" s="1" t="s">
        <v>45</v>
      </c>
      <c r="I3931" s="1" t="s">
        <v>45</v>
      </c>
      <c r="J3931" s="1" t="s">
        <v>48</v>
      </c>
      <c r="K3931" s="1">
        <v>120</v>
      </c>
      <c r="L3931" s="1">
        <v>0</v>
      </c>
      <c r="M3931" s="1">
        <v>0</v>
      </c>
      <c r="N3931" s="1">
        <v>120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 t="s">
        <v>49</v>
      </c>
      <c r="AA3931" s="1" t="s">
        <v>49</v>
      </c>
      <c r="AB3931" s="1" t="s">
        <v>49</v>
      </c>
      <c r="AC3931" s="1" t="s">
        <v>5462</v>
      </c>
      <c r="AD3931" s="1" t="s">
        <v>8336</v>
      </c>
      <c r="AE3931" s="1" t="s">
        <v>5462</v>
      </c>
      <c r="AF3931" s="1" t="s">
        <v>49</v>
      </c>
      <c r="AG3931" s="1" t="s">
        <v>6921</v>
      </c>
      <c r="AH3931" s="1" t="s">
        <v>49</v>
      </c>
      <c r="AI3931" s="1" t="s">
        <v>54</v>
      </c>
      <c r="AJ3931" s="1">
        <v>1</v>
      </c>
      <c r="AK3931" s="1" t="str">
        <f t="shared" ref="AK3931:AK3994" si="62">IF(AJ3931&gt;$AP$2,$AQ$2,IF(AJ3931&gt;$AP$3,$AQ$3,IF(AJ3931&gt;$AP$4,$AQ$4,$AQ$5)))</f>
        <v xml:space="preserve"> =&lt;90</v>
      </c>
      <c r="AL3931" s="1" t="str">
        <f>VLOOKUP(C:C,[1]基础信息!B$1:D$65536,3,0)</f>
        <v>Jug</v>
      </c>
      <c r="AM3931" s="1" t="str">
        <f>VLOOKUP(C:C,[1]基础信息!B$1:E$65536,4,0)</f>
        <v>Aluna</v>
      </c>
      <c r="AN3931" s="1" t="str">
        <f>VLOOKUP(C:C,[1]基础信息!B$1:F$65536,5,0)</f>
        <v>Blue</v>
      </c>
    </row>
    <row r="3932" spans="1:40">
      <c r="A3932" s="1" t="s">
        <v>41</v>
      </c>
      <c r="B3932" s="1" t="s">
        <v>42</v>
      </c>
      <c r="C3932" s="1" t="s">
        <v>104</v>
      </c>
      <c r="D3932" s="1" t="s">
        <v>105</v>
      </c>
      <c r="E3932" s="1" t="s">
        <v>104</v>
      </c>
      <c r="F3932" s="1" t="s">
        <v>9058</v>
      </c>
      <c r="G3932" s="1" t="s">
        <v>9059</v>
      </c>
      <c r="H3932" s="1" t="s">
        <v>45</v>
      </c>
      <c r="I3932" s="1" t="s">
        <v>45</v>
      </c>
      <c r="J3932" s="1" t="s">
        <v>48</v>
      </c>
      <c r="K3932" s="1">
        <v>12</v>
      </c>
      <c r="L3932" s="1">
        <v>0</v>
      </c>
      <c r="M3932" s="1">
        <v>0</v>
      </c>
      <c r="N3932" s="1">
        <v>12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 t="s">
        <v>49</v>
      </c>
      <c r="AA3932" s="1" t="s">
        <v>49</v>
      </c>
      <c r="AB3932" s="1" t="s">
        <v>49</v>
      </c>
      <c r="AC3932" s="1" t="s">
        <v>7670</v>
      </c>
      <c r="AD3932" s="1" t="s">
        <v>7671</v>
      </c>
      <c r="AE3932" s="1" t="s">
        <v>7670</v>
      </c>
      <c r="AF3932" s="1" t="s">
        <v>7633</v>
      </c>
      <c r="AG3932" s="1" t="s">
        <v>1952</v>
      </c>
      <c r="AH3932" s="1" t="s">
        <v>8988</v>
      </c>
      <c r="AI3932" s="1" t="s">
        <v>54</v>
      </c>
      <c r="AJ3932" s="1">
        <v>1</v>
      </c>
      <c r="AK3932" s="1" t="str">
        <f t="shared" si="62"/>
        <v xml:space="preserve"> =&lt;90</v>
      </c>
      <c r="AL3932" s="1" t="str">
        <f>VLOOKUP(C:C,[1]基础信息!B$1:D$65536,3,0)</f>
        <v>Jug</v>
      </c>
      <c r="AM3932" s="1" t="str">
        <f>VLOOKUP(C:C,[1]基础信息!B$1:E$65536,4,0)</f>
        <v>Marella XL</v>
      </c>
      <c r="AN3932" s="1" t="str">
        <f>VLOOKUP(C:C,[1]基础信息!B$1:F$65536,5,0)</f>
        <v>Blue</v>
      </c>
    </row>
    <row r="3933" spans="1:40">
      <c r="A3933" s="1" t="s">
        <v>41</v>
      </c>
      <c r="B3933" s="1" t="s">
        <v>42</v>
      </c>
      <c r="C3933" s="1" t="s">
        <v>3971</v>
      </c>
      <c r="D3933" s="1" t="s">
        <v>3972</v>
      </c>
      <c r="E3933" s="1" t="s">
        <v>45</v>
      </c>
      <c r="F3933" s="1" t="s">
        <v>9060</v>
      </c>
      <c r="G3933" s="1" t="s">
        <v>9061</v>
      </c>
      <c r="H3933" s="1" t="s">
        <v>45</v>
      </c>
      <c r="I3933" s="1" t="s">
        <v>45</v>
      </c>
      <c r="J3933" s="1" t="s">
        <v>48</v>
      </c>
      <c r="K3933" s="1">
        <v>45</v>
      </c>
      <c r="L3933" s="1">
        <v>0</v>
      </c>
      <c r="M3933" s="1">
        <v>0</v>
      </c>
      <c r="N3933" s="1">
        <v>45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 t="s">
        <v>49</v>
      </c>
      <c r="AA3933" s="1" t="s">
        <v>49</v>
      </c>
      <c r="AB3933" s="1" t="s">
        <v>49</v>
      </c>
      <c r="AC3933" s="1" t="s">
        <v>9038</v>
      </c>
      <c r="AD3933" s="1" t="s">
        <v>9039</v>
      </c>
      <c r="AE3933" s="1" t="s">
        <v>9038</v>
      </c>
      <c r="AF3933" s="1" t="s">
        <v>49</v>
      </c>
      <c r="AG3933" s="1" t="s">
        <v>1952</v>
      </c>
      <c r="AH3933" s="1" t="s">
        <v>49</v>
      </c>
      <c r="AI3933" s="1" t="s">
        <v>54</v>
      </c>
      <c r="AJ3933" s="1">
        <v>1</v>
      </c>
      <c r="AK3933" s="1" t="str">
        <f t="shared" si="62"/>
        <v xml:space="preserve"> =&lt;90</v>
      </c>
      <c r="AL3933" s="1" t="str">
        <f>VLOOKUP(C:C,[1]基础信息!B$1:D$65536,3,0)</f>
        <v>Jug</v>
      </c>
      <c r="AM3933" s="1" t="str">
        <f>VLOOKUP(C:C,[1]基础信息!B$1:E$65536,4,0)</f>
        <v>Mxplus</v>
      </c>
      <c r="AN3933" s="1" t="str">
        <f>VLOOKUP(C:C,[1]基础信息!B$1:F$65536,5,0)</f>
        <v xml:space="preserve"> lime</v>
      </c>
    </row>
    <row r="3934" spans="1:40">
      <c r="A3934" s="1" t="s">
        <v>41</v>
      </c>
      <c r="B3934" s="1" t="s">
        <v>42</v>
      </c>
      <c r="C3934" s="1" t="s">
        <v>7755</v>
      </c>
      <c r="D3934" s="1" t="s">
        <v>7756</v>
      </c>
      <c r="E3934" s="1" t="s">
        <v>45</v>
      </c>
      <c r="F3934" s="1" t="s">
        <v>9062</v>
      </c>
      <c r="G3934" s="1" t="s">
        <v>9063</v>
      </c>
      <c r="H3934" s="1" t="s">
        <v>45</v>
      </c>
      <c r="I3934" s="1" t="s">
        <v>45</v>
      </c>
      <c r="J3934" s="1" t="s">
        <v>48</v>
      </c>
      <c r="K3934" s="1">
        <v>14</v>
      </c>
      <c r="L3934" s="1">
        <v>0</v>
      </c>
      <c r="M3934" s="1">
        <v>0</v>
      </c>
      <c r="N3934" s="1">
        <v>14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 t="s">
        <v>49</v>
      </c>
      <c r="AA3934" s="1" t="s">
        <v>49</v>
      </c>
      <c r="AB3934" s="1" t="s">
        <v>49</v>
      </c>
      <c r="AC3934" s="1" t="s">
        <v>9029</v>
      </c>
      <c r="AD3934" s="1" t="s">
        <v>9030</v>
      </c>
      <c r="AE3934" s="1" t="s">
        <v>9031</v>
      </c>
      <c r="AF3934" s="1" t="s">
        <v>9064</v>
      </c>
      <c r="AG3934" s="1" t="s">
        <v>1952</v>
      </c>
      <c r="AH3934" s="1" t="s">
        <v>49</v>
      </c>
      <c r="AI3934" s="1" t="s">
        <v>54</v>
      </c>
      <c r="AJ3934" s="1">
        <v>0</v>
      </c>
      <c r="AK3934" s="1" t="str">
        <f t="shared" si="62"/>
        <v xml:space="preserve"> =&lt;90</v>
      </c>
      <c r="AL3934" s="1" t="str">
        <f>VLOOKUP(C:C,[1]基础信息!B$1:D$65536,3,0)</f>
        <v xml:space="preserve">Cartridge </v>
      </c>
      <c r="AM3934" s="1" t="str">
        <f>VLOOKUP(C:C,[1]基础信息!B$1:E$65536,4,0)</f>
        <v>LM</v>
      </c>
      <c r="AN3934" s="1" t="str">
        <f>VLOOKUP(C:C,[1]基础信息!B$1:F$65536,5,0)</f>
        <v>P55</v>
      </c>
    </row>
    <row r="3935" spans="1:40">
      <c r="A3935" s="1" t="s">
        <v>41</v>
      </c>
      <c r="B3935" s="1" t="s">
        <v>42</v>
      </c>
      <c r="C3935" s="1" t="s">
        <v>7755</v>
      </c>
      <c r="D3935" s="1" t="s">
        <v>7756</v>
      </c>
      <c r="E3935" s="1" t="s">
        <v>45</v>
      </c>
      <c r="F3935" s="1" t="s">
        <v>9065</v>
      </c>
      <c r="G3935" s="1" t="s">
        <v>9063</v>
      </c>
      <c r="H3935" s="1" t="s">
        <v>45</v>
      </c>
      <c r="I3935" s="1" t="s">
        <v>45</v>
      </c>
      <c r="J3935" s="1" t="s">
        <v>48</v>
      </c>
      <c r="K3935" s="1">
        <v>47</v>
      </c>
      <c r="L3935" s="1">
        <v>0</v>
      </c>
      <c r="M3935" s="1">
        <v>0</v>
      </c>
      <c r="N3935" s="1">
        <v>47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 t="s">
        <v>49</v>
      </c>
      <c r="AA3935" s="1" t="s">
        <v>49</v>
      </c>
      <c r="AB3935" s="1" t="s">
        <v>49</v>
      </c>
      <c r="AC3935" s="1" t="s">
        <v>9029</v>
      </c>
      <c r="AD3935" s="1" t="s">
        <v>9030</v>
      </c>
      <c r="AE3935" s="1" t="s">
        <v>9031</v>
      </c>
      <c r="AF3935" s="1" t="s">
        <v>9066</v>
      </c>
      <c r="AG3935" s="1" t="s">
        <v>1952</v>
      </c>
      <c r="AH3935" s="1" t="s">
        <v>49</v>
      </c>
      <c r="AI3935" s="1" t="s">
        <v>54</v>
      </c>
      <c r="AJ3935" s="1">
        <v>1</v>
      </c>
      <c r="AK3935" s="1" t="str">
        <f t="shared" si="62"/>
        <v xml:space="preserve"> =&lt;90</v>
      </c>
      <c r="AL3935" s="1" t="str">
        <f>VLOOKUP(C:C,[1]基础信息!B$1:D$65536,3,0)</f>
        <v xml:space="preserve">Cartridge </v>
      </c>
      <c r="AM3935" s="1" t="str">
        <f>VLOOKUP(C:C,[1]基础信息!B$1:E$65536,4,0)</f>
        <v>LM</v>
      </c>
      <c r="AN3935" s="1" t="str">
        <f>VLOOKUP(C:C,[1]基础信息!B$1:F$65536,5,0)</f>
        <v>P55</v>
      </c>
    </row>
    <row r="3936" spans="1:40">
      <c r="A3936" s="1" t="s">
        <v>41</v>
      </c>
      <c r="B3936" s="1" t="s">
        <v>42</v>
      </c>
      <c r="C3936" s="1" t="s">
        <v>104</v>
      </c>
      <c r="D3936" s="1" t="s">
        <v>105</v>
      </c>
      <c r="E3936" s="1" t="s">
        <v>104</v>
      </c>
      <c r="F3936" s="1" t="s">
        <v>9067</v>
      </c>
      <c r="G3936" s="1" t="s">
        <v>9068</v>
      </c>
      <c r="H3936" s="1" t="s">
        <v>45</v>
      </c>
      <c r="I3936" s="1" t="s">
        <v>45</v>
      </c>
      <c r="J3936" s="1" t="s">
        <v>48</v>
      </c>
      <c r="K3936" s="1">
        <v>16</v>
      </c>
      <c r="L3936" s="1">
        <v>0</v>
      </c>
      <c r="M3936" s="1">
        <v>0</v>
      </c>
      <c r="N3936" s="1">
        <v>16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 t="s">
        <v>49</v>
      </c>
      <c r="AA3936" s="1" t="s">
        <v>49</v>
      </c>
      <c r="AB3936" s="1" t="s">
        <v>49</v>
      </c>
      <c r="AC3936" s="1" t="s">
        <v>470</v>
      </c>
      <c r="AD3936" s="1" t="s">
        <v>471</v>
      </c>
      <c r="AE3936" s="1" t="s">
        <v>470</v>
      </c>
      <c r="AF3936" s="1" t="s">
        <v>7633</v>
      </c>
      <c r="AG3936" s="1" t="s">
        <v>76</v>
      </c>
      <c r="AH3936" s="1" t="s">
        <v>9001</v>
      </c>
      <c r="AI3936" s="1" t="s">
        <v>54</v>
      </c>
      <c r="AJ3936" s="1">
        <v>1</v>
      </c>
      <c r="AK3936" s="1" t="str">
        <f t="shared" si="62"/>
        <v xml:space="preserve"> =&lt;90</v>
      </c>
      <c r="AL3936" s="1" t="str">
        <f>VLOOKUP(C:C,[1]基础信息!B$1:D$65536,3,0)</f>
        <v>Jug</v>
      </c>
      <c r="AM3936" s="1" t="str">
        <f>VLOOKUP(C:C,[1]基础信息!B$1:E$65536,4,0)</f>
        <v>Marella XL</v>
      </c>
      <c r="AN3936" s="1" t="str">
        <f>VLOOKUP(C:C,[1]基础信息!B$1:F$65536,5,0)</f>
        <v>Blue</v>
      </c>
    </row>
    <row r="3937" spans="1:40">
      <c r="A3937" s="1" t="s">
        <v>41</v>
      </c>
      <c r="B3937" s="1" t="s">
        <v>42</v>
      </c>
      <c r="C3937" s="1" t="s">
        <v>7755</v>
      </c>
      <c r="D3937" s="1" t="s">
        <v>7756</v>
      </c>
      <c r="E3937" s="1" t="s">
        <v>45</v>
      </c>
      <c r="F3937" s="1" t="s">
        <v>9027</v>
      </c>
      <c r="G3937" s="1" t="s">
        <v>9069</v>
      </c>
      <c r="H3937" s="1" t="s">
        <v>45</v>
      </c>
      <c r="I3937" s="1" t="s">
        <v>45</v>
      </c>
      <c r="J3937" s="1" t="s">
        <v>48</v>
      </c>
      <c r="K3937" s="1">
        <v>2000</v>
      </c>
      <c r="L3937" s="1">
        <v>0</v>
      </c>
      <c r="M3937" s="1">
        <v>0</v>
      </c>
      <c r="N3937" s="1">
        <v>2000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 t="s">
        <v>49</v>
      </c>
      <c r="AA3937" s="1" t="s">
        <v>49</v>
      </c>
      <c r="AB3937" s="1" t="s">
        <v>49</v>
      </c>
      <c r="AC3937" s="1" t="s">
        <v>9029</v>
      </c>
      <c r="AD3937" s="1" t="s">
        <v>9030</v>
      </c>
      <c r="AE3937" s="1" t="s">
        <v>9031</v>
      </c>
      <c r="AF3937" s="1" t="s">
        <v>9032</v>
      </c>
      <c r="AG3937" s="1" t="s">
        <v>1952</v>
      </c>
      <c r="AH3937" s="1" t="s">
        <v>49</v>
      </c>
      <c r="AI3937" s="1" t="s">
        <v>54</v>
      </c>
      <c r="AJ3937" s="1">
        <v>1</v>
      </c>
      <c r="AK3937" s="1" t="str">
        <f t="shared" si="62"/>
        <v xml:space="preserve"> =&lt;90</v>
      </c>
      <c r="AL3937" s="1" t="str">
        <f>VLOOKUP(C:C,[1]基础信息!B$1:D$65536,3,0)</f>
        <v xml:space="preserve">Cartridge </v>
      </c>
      <c r="AM3937" s="1" t="str">
        <f>VLOOKUP(C:C,[1]基础信息!B$1:E$65536,4,0)</f>
        <v>LM</v>
      </c>
      <c r="AN3937" s="1" t="str">
        <f>VLOOKUP(C:C,[1]基础信息!B$1:F$65536,5,0)</f>
        <v>P55</v>
      </c>
    </row>
    <row r="3938" spans="1:40">
      <c r="A3938" s="1" t="s">
        <v>41</v>
      </c>
      <c r="B3938" s="1" t="s">
        <v>42</v>
      </c>
      <c r="C3938" s="1" t="s">
        <v>104</v>
      </c>
      <c r="D3938" s="1" t="s">
        <v>105</v>
      </c>
      <c r="E3938" s="1" t="s">
        <v>104</v>
      </c>
      <c r="F3938" s="1" t="s">
        <v>9070</v>
      </c>
      <c r="G3938" s="1" t="s">
        <v>9071</v>
      </c>
      <c r="H3938" s="1" t="s">
        <v>45</v>
      </c>
      <c r="I3938" s="1" t="s">
        <v>45</v>
      </c>
      <c r="J3938" s="1" t="s">
        <v>48</v>
      </c>
      <c r="K3938" s="1">
        <v>96</v>
      </c>
      <c r="L3938" s="1">
        <v>0</v>
      </c>
      <c r="M3938" s="1">
        <v>0</v>
      </c>
      <c r="N3938" s="1">
        <v>96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 t="s">
        <v>49</v>
      </c>
      <c r="AA3938" s="1" t="s">
        <v>49</v>
      </c>
      <c r="AB3938" s="1" t="s">
        <v>49</v>
      </c>
      <c r="AC3938" s="1" t="s">
        <v>470</v>
      </c>
      <c r="AD3938" s="1" t="s">
        <v>471</v>
      </c>
      <c r="AE3938" s="1" t="s">
        <v>470</v>
      </c>
      <c r="AF3938" s="1" t="s">
        <v>7633</v>
      </c>
      <c r="AG3938" s="1" t="s">
        <v>3464</v>
      </c>
      <c r="AH3938" s="1" t="s">
        <v>7928</v>
      </c>
      <c r="AI3938" s="1" t="s">
        <v>54</v>
      </c>
      <c r="AJ3938" s="1">
        <v>1</v>
      </c>
      <c r="AK3938" s="1" t="str">
        <f t="shared" si="62"/>
        <v xml:space="preserve"> =&lt;90</v>
      </c>
      <c r="AL3938" s="1" t="str">
        <f>VLOOKUP(C:C,[1]基础信息!B$1:D$65536,3,0)</f>
        <v>Jug</v>
      </c>
      <c r="AM3938" s="1" t="str">
        <f>VLOOKUP(C:C,[1]基础信息!B$1:E$65536,4,0)</f>
        <v>Marella XL</v>
      </c>
      <c r="AN3938" s="1" t="str">
        <f>VLOOKUP(C:C,[1]基础信息!B$1:F$65536,5,0)</f>
        <v>Blue</v>
      </c>
    </row>
    <row r="3939" spans="1:40">
      <c r="A3939" s="1" t="s">
        <v>41</v>
      </c>
      <c r="B3939" s="1" t="s">
        <v>42</v>
      </c>
      <c r="C3939" s="1" t="s">
        <v>8790</v>
      </c>
      <c r="D3939" s="1" t="s">
        <v>8791</v>
      </c>
      <c r="E3939" s="1" t="s">
        <v>45</v>
      </c>
      <c r="F3939" s="1" t="s">
        <v>9072</v>
      </c>
      <c r="G3939" s="1" t="s">
        <v>9073</v>
      </c>
      <c r="H3939" s="1" t="s">
        <v>9074</v>
      </c>
      <c r="I3939" s="1" t="s">
        <v>45</v>
      </c>
      <c r="J3939" s="1" t="s">
        <v>48</v>
      </c>
      <c r="K3939" s="1">
        <v>11</v>
      </c>
      <c r="L3939" s="1">
        <v>0</v>
      </c>
      <c r="M3939" s="1">
        <v>0</v>
      </c>
      <c r="N3939" s="1">
        <v>11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 t="s">
        <v>49</v>
      </c>
      <c r="AA3939" s="1" t="s">
        <v>49</v>
      </c>
      <c r="AB3939" s="1" t="s">
        <v>49</v>
      </c>
      <c r="AC3939" s="1" t="s">
        <v>9075</v>
      </c>
      <c r="AD3939" s="1" t="s">
        <v>9076</v>
      </c>
      <c r="AE3939" s="1" t="s">
        <v>9075</v>
      </c>
      <c r="AF3939" s="1" t="s">
        <v>9077</v>
      </c>
      <c r="AG3939" s="1" t="s">
        <v>4662</v>
      </c>
      <c r="AH3939" s="1" t="s">
        <v>49</v>
      </c>
      <c r="AI3939" s="1" t="s">
        <v>54</v>
      </c>
      <c r="AJ3939" s="1">
        <v>1</v>
      </c>
      <c r="AK3939" s="1" t="str">
        <f t="shared" si="62"/>
        <v xml:space="preserve"> =&lt;90</v>
      </c>
      <c r="AL3939" s="1" t="str">
        <f>VLOOKUP(C:C,[1]基础信息!B$1:D$65536,3,0)</f>
        <v xml:space="preserve">Cartridge </v>
      </c>
      <c r="AM3939" s="1" t="str">
        <f>VLOOKUP(C:C,[1]基础信息!B$1:E$65536,4,0)</f>
        <v>UNIV</v>
      </c>
      <c r="AN3939" s="1" t="str">
        <f>VLOOKUP(C:C,[1]基础信息!B$1:F$65536,5,0)</f>
        <v>P55</v>
      </c>
    </row>
    <row r="3940" spans="1:40">
      <c r="A3940" s="1" t="s">
        <v>41</v>
      </c>
      <c r="B3940" s="1" t="s">
        <v>42</v>
      </c>
      <c r="C3940" s="1" t="s">
        <v>481</v>
      </c>
      <c r="D3940" s="1" t="s">
        <v>482</v>
      </c>
      <c r="E3940" s="1" t="s">
        <v>45</v>
      </c>
      <c r="F3940" s="1" t="s">
        <v>9078</v>
      </c>
      <c r="G3940" s="1" t="s">
        <v>9079</v>
      </c>
      <c r="H3940" s="1" t="s">
        <v>45</v>
      </c>
      <c r="I3940" s="1" t="s">
        <v>45</v>
      </c>
      <c r="J3940" s="1" t="s">
        <v>48</v>
      </c>
      <c r="K3940" s="1">
        <v>42</v>
      </c>
      <c r="L3940" s="1">
        <v>0</v>
      </c>
      <c r="M3940" s="1">
        <v>0</v>
      </c>
      <c r="N3940" s="1">
        <v>42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 t="s">
        <v>49</v>
      </c>
      <c r="AA3940" s="1" t="s">
        <v>49</v>
      </c>
      <c r="AB3940" s="1" t="s">
        <v>49</v>
      </c>
      <c r="AC3940" s="1" t="s">
        <v>9038</v>
      </c>
      <c r="AD3940" s="1" t="s">
        <v>9039</v>
      </c>
      <c r="AE3940" s="1" t="s">
        <v>9038</v>
      </c>
      <c r="AF3940" s="1" t="s">
        <v>49</v>
      </c>
      <c r="AG3940" s="1" t="s">
        <v>1952</v>
      </c>
      <c r="AH3940" s="1" t="s">
        <v>49</v>
      </c>
      <c r="AI3940" s="1" t="s">
        <v>54</v>
      </c>
      <c r="AJ3940" s="1">
        <v>1</v>
      </c>
      <c r="AK3940" s="1" t="str">
        <f t="shared" si="62"/>
        <v xml:space="preserve"> =&lt;90</v>
      </c>
      <c r="AL3940" s="1" t="str">
        <f>VLOOKUP(C:C,[1]基础信息!B$1:D$65536,3,0)</f>
        <v>Jug</v>
      </c>
      <c r="AM3940" s="1" t="str">
        <f>VLOOKUP(C:C,[1]基础信息!B$1:E$65536,4,0)</f>
        <v>Style COOL</v>
      </c>
      <c r="AN3940" s="1" t="str">
        <f>VLOOKUP(C:C,[1]基础信息!B$1:F$65536,5,0)</f>
        <v>Cool Blue</v>
      </c>
    </row>
    <row r="3941" spans="1:40">
      <c r="A3941" s="1" t="s">
        <v>41</v>
      </c>
      <c r="B3941" s="1" t="s">
        <v>42</v>
      </c>
      <c r="C3941" s="1" t="s">
        <v>104</v>
      </c>
      <c r="D3941" s="1" t="s">
        <v>105</v>
      </c>
      <c r="E3941" s="1" t="s">
        <v>104</v>
      </c>
      <c r="F3941" s="1" t="s">
        <v>9067</v>
      </c>
      <c r="G3941" s="1" t="s">
        <v>9080</v>
      </c>
      <c r="H3941" s="1" t="s">
        <v>45</v>
      </c>
      <c r="I3941" s="1" t="s">
        <v>45</v>
      </c>
      <c r="J3941" s="1" t="s">
        <v>48</v>
      </c>
      <c r="K3941" s="1">
        <v>96</v>
      </c>
      <c r="L3941" s="1">
        <v>0</v>
      </c>
      <c r="M3941" s="1">
        <v>0</v>
      </c>
      <c r="N3941" s="1">
        <v>96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 t="s">
        <v>49</v>
      </c>
      <c r="AA3941" s="1" t="s">
        <v>49</v>
      </c>
      <c r="AB3941" s="1" t="s">
        <v>49</v>
      </c>
      <c r="AC3941" s="1" t="s">
        <v>470</v>
      </c>
      <c r="AD3941" s="1" t="s">
        <v>471</v>
      </c>
      <c r="AE3941" s="1" t="s">
        <v>470</v>
      </c>
      <c r="AF3941" s="1" t="s">
        <v>7633</v>
      </c>
      <c r="AG3941" s="1" t="s">
        <v>76</v>
      </c>
      <c r="AH3941" s="1" t="s">
        <v>9001</v>
      </c>
      <c r="AI3941" s="1" t="s">
        <v>54</v>
      </c>
      <c r="AJ3941" s="1">
        <v>1</v>
      </c>
      <c r="AK3941" s="1" t="str">
        <f t="shared" si="62"/>
        <v xml:space="preserve"> =&lt;90</v>
      </c>
      <c r="AL3941" s="1" t="str">
        <f>VLOOKUP(C:C,[1]基础信息!B$1:D$65536,3,0)</f>
        <v>Jug</v>
      </c>
      <c r="AM3941" s="1" t="str">
        <f>VLOOKUP(C:C,[1]基础信息!B$1:E$65536,4,0)</f>
        <v>Marella XL</v>
      </c>
      <c r="AN3941" s="1" t="str">
        <f>VLOOKUP(C:C,[1]基础信息!B$1:F$65536,5,0)</f>
        <v>Blue</v>
      </c>
    </row>
    <row r="3942" spans="1:40">
      <c r="A3942" s="1" t="s">
        <v>41</v>
      </c>
      <c r="B3942" s="1" t="s">
        <v>42</v>
      </c>
      <c r="C3942" s="1" t="s">
        <v>554</v>
      </c>
      <c r="D3942" s="1" t="s">
        <v>555</v>
      </c>
      <c r="E3942" s="1" t="s">
        <v>45</v>
      </c>
      <c r="F3942" s="1" t="s">
        <v>9081</v>
      </c>
      <c r="G3942" s="1" t="s">
        <v>9082</v>
      </c>
      <c r="H3942" s="1" t="s">
        <v>45</v>
      </c>
      <c r="I3942" s="1" t="s">
        <v>45</v>
      </c>
      <c r="J3942" s="1" t="s">
        <v>48</v>
      </c>
      <c r="K3942" s="1">
        <v>1</v>
      </c>
      <c r="L3942" s="1">
        <v>0</v>
      </c>
      <c r="M3942" s="1">
        <v>0</v>
      </c>
      <c r="N3942" s="1">
        <v>1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 t="s">
        <v>49</v>
      </c>
      <c r="AA3942" s="1" t="s">
        <v>49</v>
      </c>
      <c r="AB3942" s="1" t="s">
        <v>49</v>
      </c>
      <c r="AC3942" s="1" t="s">
        <v>9083</v>
      </c>
      <c r="AD3942" s="1" t="s">
        <v>9084</v>
      </c>
      <c r="AE3942" s="1" t="s">
        <v>9083</v>
      </c>
      <c r="AF3942" s="1" t="s">
        <v>7769</v>
      </c>
      <c r="AG3942" s="1" t="s">
        <v>1952</v>
      </c>
      <c r="AH3942" s="1" t="s">
        <v>8988</v>
      </c>
      <c r="AI3942" s="1" t="s">
        <v>54</v>
      </c>
      <c r="AJ3942" s="1">
        <v>1</v>
      </c>
      <c r="AK3942" s="1" t="str">
        <f t="shared" si="62"/>
        <v xml:space="preserve"> =&lt;90</v>
      </c>
      <c r="AL3942" s="1" t="str">
        <f>VLOOKUP(C:C,[1]基础信息!B$1:D$65536,3,0)</f>
        <v>Jug</v>
      </c>
      <c r="AM3942" s="1" t="str">
        <f>VLOOKUP(C:C,[1]基础信息!B$1:E$65536,4,0)</f>
        <v>Green Pack</v>
      </c>
      <c r="AN3942" s="1" t="str">
        <f>VLOOKUP(C:C,[1]基础信息!B$1:F$65536,5,0)</f>
        <v>Blue</v>
      </c>
    </row>
    <row r="3943" spans="1:40">
      <c r="A3943" s="1" t="s">
        <v>41</v>
      </c>
      <c r="B3943" s="1" t="s">
        <v>42</v>
      </c>
      <c r="C3943" s="1" t="s">
        <v>7755</v>
      </c>
      <c r="D3943" s="1" t="s">
        <v>7756</v>
      </c>
      <c r="E3943" s="1" t="s">
        <v>45</v>
      </c>
      <c r="F3943" s="1" t="s">
        <v>9027</v>
      </c>
      <c r="G3943" s="1" t="s">
        <v>9085</v>
      </c>
      <c r="H3943" s="1" t="s">
        <v>45</v>
      </c>
      <c r="I3943" s="1" t="s">
        <v>45</v>
      </c>
      <c r="J3943" s="1" t="s">
        <v>48</v>
      </c>
      <c r="K3943" s="1">
        <v>2000</v>
      </c>
      <c r="L3943" s="1">
        <v>0</v>
      </c>
      <c r="M3943" s="1">
        <v>0</v>
      </c>
      <c r="N3943" s="1">
        <v>2000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 t="s">
        <v>49</v>
      </c>
      <c r="AA3943" s="1" t="s">
        <v>49</v>
      </c>
      <c r="AB3943" s="1" t="s">
        <v>49</v>
      </c>
      <c r="AC3943" s="1" t="s">
        <v>9029</v>
      </c>
      <c r="AD3943" s="1" t="s">
        <v>9030</v>
      </c>
      <c r="AE3943" s="1" t="s">
        <v>9031</v>
      </c>
      <c r="AF3943" s="1" t="s">
        <v>9032</v>
      </c>
      <c r="AG3943" s="1" t="s">
        <v>1952</v>
      </c>
      <c r="AH3943" s="1" t="s">
        <v>49</v>
      </c>
      <c r="AI3943" s="1" t="s">
        <v>54</v>
      </c>
      <c r="AJ3943" s="1">
        <v>1</v>
      </c>
      <c r="AK3943" s="1" t="str">
        <f t="shared" si="62"/>
        <v xml:space="preserve"> =&lt;90</v>
      </c>
      <c r="AL3943" s="1" t="str">
        <f>VLOOKUP(C:C,[1]基础信息!B$1:D$65536,3,0)</f>
        <v xml:space="preserve">Cartridge </v>
      </c>
      <c r="AM3943" s="1" t="str">
        <f>VLOOKUP(C:C,[1]基础信息!B$1:E$65536,4,0)</f>
        <v>LM</v>
      </c>
      <c r="AN3943" s="1" t="str">
        <f>VLOOKUP(C:C,[1]基础信息!B$1:F$65536,5,0)</f>
        <v>P55</v>
      </c>
    </row>
    <row r="3944" spans="1:40">
      <c r="A3944" s="1" t="s">
        <v>41</v>
      </c>
      <c r="B3944" s="1" t="s">
        <v>42</v>
      </c>
      <c r="C3944" s="1" t="s">
        <v>8190</v>
      </c>
      <c r="D3944" s="1" t="s">
        <v>8191</v>
      </c>
      <c r="E3944" s="1" t="s">
        <v>45</v>
      </c>
      <c r="F3944" s="1" t="s">
        <v>9086</v>
      </c>
      <c r="G3944" s="1" t="s">
        <v>9087</v>
      </c>
      <c r="H3944" s="1" t="s">
        <v>45</v>
      </c>
      <c r="I3944" s="1" t="s">
        <v>45</v>
      </c>
      <c r="J3944" s="1" t="s">
        <v>48</v>
      </c>
      <c r="K3944" s="1">
        <v>3</v>
      </c>
      <c r="L3944" s="1">
        <v>0</v>
      </c>
      <c r="M3944" s="1">
        <v>0</v>
      </c>
      <c r="N3944" s="1">
        <v>3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 t="s">
        <v>49</v>
      </c>
      <c r="AA3944" s="1" t="s">
        <v>49</v>
      </c>
      <c r="AB3944" s="1" t="s">
        <v>49</v>
      </c>
      <c r="AC3944" s="1" t="s">
        <v>376</v>
      </c>
      <c r="AD3944" s="1" t="s">
        <v>377</v>
      </c>
      <c r="AE3944" s="1" t="s">
        <v>376</v>
      </c>
      <c r="AF3944" s="1" t="s">
        <v>49</v>
      </c>
      <c r="AG3944" s="1" t="s">
        <v>9088</v>
      </c>
      <c r="AH3944" s="1" t="s">
        <v>9089</v>
      </c>
      <c r="AI3944" s="1" t="s">
        <v>54</v>
      </c>
      <c r="AJ3944" s="1">
        <v>1</v>
      </c>
      <c r="AK3944" s="1" t="str">
        <f t="shared" si="62"/>
        <v xml:space="preserve"> =&lt;90</v>
      </c>
      <c r="AL3944" s="1" t="str">
        <f>VLOOKUP(C:C,[1]基础信息!B$1:D$65536,3,0)</f>
        <v xml:space="preserve">Cartridge </v>
      </c>
      <c r="AM3944" s="1" t="str">
        <f>VLOOKUP(C:C,[1]基础信息!B$1:E$65536,4,0)</f>
        <v>LM</v>
      </c>
      <c r="AN3944" s="1" t="str">
        <f>VLOOKUP(C:C,[1]基础信息!B$1:F$65536,5,0)</f>
        <v>P6</v>
      </c>
    </row>
    <row r="3945" spans="1:40">
      <c r="A3945" s="1" t="s">
        <v>41</v>
      </c>
      <c r="B3945" s="1" t="s">
        <v>42</v>
      </c>
      <c r="C3945" s="1" t="s">
        <v>7755</v>
      </c>
      <c r="D3945" s="1" t="s">
        <v>7756</v>
      </c>
      <c r="E3945" s="1" t="s">
        <v>45</v>
      </c>
      <c r="F3945" s="1" t="s">
        <v>9090</v>
      </c>
      <c r="G3945" s="1" t="s">
        <v>9091</v>
      </c>
      <c r="H3945" s="1" t="s">
        <v>45</v>
      </c>
      <c r="I3945" s="1" t="s">
        <v>45</v>
      </c>
      <c r="J3945" s="1" t="s">
        <v>48</v>
      </c>
      <c r="K3945" s="1">
        <v>10</v>
      </c>
      <c r="L3945" s="1">
        <v>0</v>
      </c>
      <c r="M3945" s="1">
        <v>0</v>
      </c>
      <c r="N3945" s="1">
        <v>10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 t="s">
        <v>49</v>
      </c>
      <c r="AA3945" s="1" t="s">
        <v>49</v>
      </c>
      <c r="AB3945" s="1" t="s">
        <v>49</v>
      </c>
      <c r="AC3945" s="1" t="s">
        <v>9092</v>
      </c>
      <c r="AD3945" s="1" t="s">
        <v>3025</v>
      </c>
      <c r="AE3945" s="1" t="s">
        <v>215</v>
      </c>
      <c r="AF3945" s="1" t="s">
        <v>9064</v>
      </c>
      <c r="AG3945" s="1" t="s">
        <v>3464</v>
      </c>
      <c r="AH3945" s="1" t="s">
        <v>49</v>
      </c>
      <c r="AI3945" s="1" t="s">
        <v>54</v>
      </c>
      <c r="AJ3945" s="1">
        <v>1</v>
      </c>
      <c r="AK3945" s="1" t="str">
        <f t="shared" si="62"/>
        <v xml:space="preserve"> =&lt;90</v>
      </c>
      <c r="AL3945" s="1" t="str">
        <f>VLOOKUP(C:C,[1]基础信息!B$1:D$65536,3,0)</f>
        <v xml:space="preserve">Cartridge </v>
      </c>
      <c r="AM3945" s="1" t="str">
        <f>VLOOKUP(C:C,[1]基础信息!B$1:E$65536,4,0)</f>
        <v>LM</v>
      </c>
      <c r="AN3945" s="1" t="str">
        <f>VLOOKUP(C:C,[1]基础信息!B$1:F$65536,5,0)</f>
        <v>P55</v>
      </c>
    </row>
    <row r="3946" spans="1:40">
      <c r="A3946" s="1" t="s">
        <v>41</v>
      </c>
      <c r="B3946" s="1" t="s">
        <v>42</v>
      </c>
      <c r="C3946" s="1" t="s">
        <v>4253</v>
      </c>
      <c r="D3946" s="1" t="s">
        <v>4254</v>
      </c>
      <c r="E3946" s="1" t="s">
        <v>45</v>
      </c>
      <c r="F3946" s="1" t="s">
        <v>9093</v>
      </c>
      <c r="G3946" s="1" t="s">
        <v>9094</v>
      </c>
      <c r="H3946" s="1" t="s">
        <v>45</v>
      </c>
      <c r="I3946" s="1" t="s">
        <v>45</v>
      </c>
      <c r="J3946" s="1" t="s">
        <v>48</v>
      </c>
      <c r="K3946" s="1">
        <v>48</v>
      </c>
      <c r="L3946" s="1">
        <v>0</v>
      </c>
      <c r="M3946" s="1">
        <v>0</v>
      </c>
      <c r="N3946" s="1">
        <v>48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 t="s">
        <v>49</v>
      </c>
      <c r="AA3946" s="1" t="s">
        <v>49</v>
      </c>
      <c r="AB3946" s="1" t="s">
        <v>49</v>
      </c>
      <c r="AC3946" s="1" t="s">
        <v>6810</v>
      </c>
      <c r="AD3946" s="1" t="s">
        <v>6811</v>
      </c>
      <c r="AE3946" s="1" t="s">
        <v>6810</v>
      </c>
      <c r="AF3946" s="1" t="s">
        <v>9095</v>
      </c>
      <c r="AG3946" s="1" t="s">
        <v>9096</v>
      </c>
      <c r="AH3946" s="1" t="s">
        <v>9001</v>
      </c>
      <c r="AI3946" s="1" t="s">
        <v>54</v>
      </c>
      <c r="AJ3946" s="1">
        <v>1</v>
      </c>
      <c r="AK3946" s="1" t="str">
        <f t="shared" si="62"/>
        <v xml:space="preserve"> =&lt;90</v>
      </c>
      <c r="AL3946" s="1" t="str">
        <f>VLOOKUP(C:C,[1]基础信息!B$1:D$65536,3,0)</f>
        <v xml:space="preserve">Cartridge </v>
      </c>
      <c r="AM3946" s="1" t="str">
        <f>VLOOKUP(C:C,[1]基础信息!B$1:E$65536,4,0)</f>
        <v>UNIV</v>
      </c>
      <c r="AN3946" s="1" t="str">
        <f>VLOOKUP(C:C,[1]基础信息!B$1:F$65536,5,0)</f>
        <v>P6</v>
      </c>
    </row>
    <row r="3947" spans="1:40">
      <c r="A3947" s="1" t="s">
        <v>41</v>
      </c>
      <c r="B3947" s="1" t="s">
        <v>42</v>
      </c>
      <c r="C3947" s="1" t="s">
        <v>9097</v>
      </c>
      <c r="D3947" s="1" t="s">
        <v>9098</v>
      </c>
      <c r="E3947" s="1" t="s">
        <v>9097</v>
      </c>
      <c r="F3947" s="1" t="s">
        <v>9099</v>
      </c>
      <c r="G3947" s="1" t="s">
        <v>9100</v>
      </c>
      <c r="H3947" s="1" t="s">
        <v>45</v>
      </c>
      <c r="I3947" s="1" t="s">
        <v>45</v>
      </c>
      <c r="J3947" s="1" t="s">
        <v>48</v>
      </c>
      <c r="K3947" s="1">
        <v>68</v>
      </c>
      <c r="L3947" s="1">
        <v>0</v>
      </c>
      <c r="M3947" s="1">
        <v>0</v>
      </c>
      <c r="N3947" s="1">
        <v>68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 t="s">
        <v>49</v>
      </c>
      <c r="AA3947" s="1" t="s">
        <v>49</v>
      </c>
      <c r="AB3947" s="1" t="s">
        <v>49</v>
      </c>
      <c r="AC3947" s="1" t="s">
        <v>9101</v>
      </c>
      <c r="AD3947" s="1" t="s">
        <v>9102</v>
      </c>
      <c r="AE3947" s="1" t="s">
        <v>9101</v>
      </c>
      <c r="AF3947" s="1" t="s">
        <v>49</v>
      </c>
      <c r="AG3947" s="1" t="s">
        <v>3464</v>
      </c>
      <c r="AH3947" s="1" t="s">
        <v>49</v>
      </c>
      <c r="AI3947" s="1" t="s">
        <v>54</v>
      </c>
      <c r="AJ3947" s="1">
        <v>1</v>
      </c>
      <c r="AK3947" s="1" t="str">
        <f t="shared" si="62"/>
        <v xml:space="preserve"> =&lt;90</v>
      </c>
      <c r="AL3947" s="1" t="str">
        <f>VLOOKUP(C:C,[1]基础信息!B$1:D$65536,3,0)</f>
        <v xml:space="preserve">Cartridge </v>
      </c>
      <c r="AM3947" s="1" t="str">
        <f>VLOOKUP(C:C,[1]基础信息!B$1:E$65536,4,0)</f>
        <v>LM</v>
      </c>
      <c r="AN3947" s="1" t="str">
        <f>VLOOKUP(C:C,[1]基础信息!B$1:F$65536,5,0)</f>
        <v>P1</v>
      </c>
    </row>
    <row r="3948" spans="1:40">
      <c r="A3948" s="1" t="s">
        <v>41</v>
      </c>
      <c r="B3948" s="1" t="s">
        <v>42</v>
      </c>
      <c r="C3948" s="1" t="s">
        <v>8610</v>
      </c>
      <c r="D3948" s="1" t="s">
        <v>8611</v>
      </c>
      <c r="E3948" s="1" t="s">
        <v>45</v>
      </c>
      <c r="F3948" s="1" t="s">
        <v>9103</v>
      </c>
      <c r="G3948" s="1" t="s">
        <v>9104</v>
      </c>
      <c r="H3948" s="1" t="s">
        <v>9105</v>
      </c>
      <c r="I3948" s="1" t="s">
        <v>45</v>
      </c>
      <c r="J3948" s="1" t="s">
        <v>48</v>
      </c>
      <c r="K3948" s="1">
        <v>33</v>
      </c>
      <c r="L3948" s="1">
        <v>0</v>
      </c>
      <c r="M3948" s="1">
        <v>0</v>
      </c>
      <c r="N3948" s="1">
        <v>33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 t="s">
        <v>49</v>
      </c>
      <c r="AA3948" s="1" t="s">
        <v>49</v>
      </c>
      <c r="AB3948" s="1" t="s">
        <v>49</v>
      </c>
      <c r="AC3948" s="1" t="s">
        <v>8615</v>
      </c>
      <c r="AD3948" s="1" t="s">
        <v>8616</v>
      </c>
      <c r="AE3948" s="1" t="s">
        <v>8615</v>
      </c>
      <c r="AF3948" s="1" t="s">
        <v>9106</v>
      </c>
      <c r="AG3948" s="1" t="s">
        <v>4662</v>
      </c>
      <c r="AH3948" s="1" t="s">
        <v>49</v>
      </c>
      <c r="AI3948" s="1" t="s">
        <v>54</v>
      </c>
      <c r="AJ3948" s="1">
        <v>1</v>
      </c>
      <c r="AK3948" s="1" t="str">
        <f t="shared" si="62"/>
        <v xml:space="preserve"> =&lt;90</v>
      </c>
      <c r="AL3948" s="1" t="str">
        <f>VLOOKUP(C:C,[1]基础信息!B$1:D$65536,3,0)</f>
        <v xml:space="preserve">Cartridge </v>
      </c>
      <c r="AM3948" s="1" t="str">
        <f>VLOOKUP(C:C,[1]基础信息!B$1:E$65536,4,0)</f>
        <v>UNIV</v>
      </c>
      <c r="AN3948" s="1" t="str">
        <f>VLOOKUP(C:C,[1]基础信息!B$1:F$65536,5,0)</f>
        <v>P55</v>
      </c>
    </row>
    <row r="3949" spans="1:40">
      <c r="A3949" s="1" t="s">
        <v>41</v>
      </c>
      <c r="B3949" s="1" t="s">
        <v>42</v>
      </c>
      <c r="C3949" s="1" t="s">
        <v>104</v>
      </c>
      <c r="D3949" s="1" t="s">
        <v>105</v>
      </c>
      <c r="E3949" s="1" t="s">
        <v>104</v>
      </c>
      <c r="F3949" s="1" t="s">
        <v>9070</v>
      </c>
      <c r="G3949" s="1" t="s">
        <v>9107</v>
      </c>
      <c r="H3949" s="1" t="s">
        <v>45</v>
      </c>
      <c r="I3949" s="1" t="s">
        <v>45</v>
      </c>
      <c r="J3949" s="1" t="s">
        <v>48</v>
      </c>
      <c r="K3949" s="1">
        <v>96</v>
      </c>
      <c r="L3949" s="1">
        <v>0</v>
      </c>
      <c r="M3949" s="1">
        <v>0</v>
      </c>
      <c r="N3949" s="1">
        <v>96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 t="s">
        <v>49</v>
      </c>
      <c r="AA3949" s="1" t="s">
        <v>49</v>
      </c>
      <c r="AB3949" s="1" t="s">
        <v>49</v>
      </c>
      <c r="AC3949" s="1" t="s">
        <v>470</v>
      </c>
      <c r="AD3949" s="1" t="s">
        <v>471</v>
      </c>
      <c r="AE3949" s="1" t="s">
        <v>470</v>
      </c>
      <c r="AF3949" s="1" t="s">
        <v>7633</v>
      </c>
      <c r="AG3949" s="1" t="s">
        <v>3464</v>
      </c>
      <c r="AH3949" s="1" t="s">
        <v>7928</v>
      </c>
      <c r="AI3949" s="1" t="s">
        <v>54</v>
      </c>
      <c r="AJ3949" s="1">
        <v>1</v>
      </c>
      <c r="AK3949" s="1" t="str">
        <f t="shared" si="62"/>
        <v xml:space="preserve"> =&lt;90</v>
      </c>
      <c r="AL3949" s="1" t="str">
        <f>VLOOKUP(C:C,[1]基础信息!B$1:D$65536,3,0)</f>
        <v>Jug</v>
      </c>
      <c r="AM3949" s="1" t="str">
        <f>VLOOKUP(C:C,[1]基础信息!B$1:E$65536,4,0)</f>
        <v>Marella XL</v>
      </c>
      <c r="AN3949" s="1" t="str">
        <f>VLOOKUP(C:C,[1]基础信息!B$1:F$65536,5,0)</f>
        <v>Blue</v>
      </c>
    </row>
    <row r="3950" spans="1:40">
      <c r="A3950" s="1" t="s">
        <v>41</v>
      </c>
      <c r="B3950" s="1" t="s">
        <v>42</v>
      </c>
      <c r="C3950" s="1" t="s">
        <v>3580</v>
      </c>
      <c r="D3950" s="1" t="s">
        <v>3581</v>
      </c>
      <c r="E3950" s="1" t="s">
        <v>45</v>
      </c>
      <c r="F3950" s="1" t="s">
        <v>9108</v>
      </c>
      <c r="G3950" s="1" t="s">
        <v>9109</v>
      </c>
      <c r="H3950" s="1" t="s">
        <v>45</v>
      </c>
      <c r="I3950" s="1" t="s">
        <v>45</v>
      </c>
      <c r="J3950" s="1" t="s">
        <v>48</v>
      </c>
      <c r="K3950" s="1">
        <v>26</v>
      </c>
      <c r="L3950" s="1">
        <v>0</v>
      </c>
      <c r="M3950" s="1">
        <v>0</v>
      </c>
      <c r="N3950" s="1">
        <v>26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 t="s">
        <v>49</v>
      </c>
      <c r="AA3950" s="1" t="s">
        <v>49</v>
      </c>
      <c r="AB3950" s="1" t="s">
        <v>49</v>
      </c>
      <c r="AC3950" s="1" t="s">
        <v>9022</v>
      </c>
      <c r="AD3950" s="1" t="s">
        <v>9023</v>
      </c>
      <c r="AE3950" s="1" t="s">
        <v>9022</v>
      </c>
      <c r="AF3950" s="1" t="s">
        <v>3587</v>
      </c>
      <c r="AG3950" s="1" t="s">
        <v>338</v>
      </c>
      <c r="AH3950" s="1" t="s">
        <v>9001</v>
      </c>
      <c r="AI3950" s="1" t="s">
        <v>54</v>
      </c>
      <c r="AJ3950" s="1">
        <v>1</v>
      </c>
      <c r="AK3950" s="1" t="str">
        <f t="shared" si="62"/>
        <v xml:space="preserve"> =&lt;90</v>
      </c>
      <c r="AL3950" s="1" t="str">
        <f>VLOOKUP(C:C,[1]基础信息!B$1:D$65536,3,0)</f>
        <v>Jug</v>
      </c>
      <c r="AM3950" s="1" t="str">
        <f>VLOOKUP(C:C,[1]基础信息!B$1:E$65536,4,0)</f>
        <v>Marella</v>
      </c>
      <c r="AN3950" s="1" t="str">
        <f>VLOOKUP(C:C,[1]基础信息!B$1:F$65536,5,0)</f>
        <v>White</v>
      </c>
    </row>
    <row r="3951" spans="1:40">
      <c r="A3951" s="1" t="s">
        <v>41</v>
      </c>
      <c r="B3951" s="1" t="s">
        <v>42</v>
      </c>
      <c r="C3951" s="1" t="s">
        <v>8610</v>
      </c>
      <c r="D3951" s="1" t="s">
        <v>8611</v>
      </c>
      <c r="E3951" s="1" t="s">
        <v>45</v>
      </c>
      <c r="F3951" s="1" t="s">
        <v>9002</v>
      </c>
      <c r="G3951" s="1" t="s">
        <v>9110</v>
      </c>
      <c r="H3951" s="1" t="s">
        <v>9111</v>
      </c>
      <c r="I3951" s="1" t="s">
        <v>45</v>
      </c>
      <c r="J3951" s="1" t="s">
        <v>48</v>
      </c>
      <c r="K3951" s="1">
        <v>1540</v>
      </c>
      <c r="L3951" s="1">
        <v>0</v>
      </c>
      <c r="M3951" s="1">
        <v>0</v>
      </c>
      <c r="N3951" s="1">
        <v>1540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 t="s">
        <v>49</v>
      </c>
      <c r="AA3951" s="1" t="s">
        <v>49</v>
      </c>
      <c r="AB3951" s="1" t="s">
        <v>49</v>
      </c>
      <c r="AC3951" s="1" t="s">
        <v>8615</v>
      </c>
      <c r="AD3951" s="1" t="s">
        <v>8616</v>
      </c>
      <c r="AE3951" s="1" t="s">
        <v>8615</v>
      </c>
      <c r="AF3951" s="1" t="s">
        <v>9005</v>
      </c>
      <c r="AG3951" s="1" t="s">
        <v>4662</v>
      </c>
      <c r="AH3951" s="1" t="s">
        <v>49</v>
      </c>
      <c r="AI3951" s="1" t="s">
        <v>54</v>
      </c>
      <c r="AJ3951" s="1">
        <v>1</v>
      </c>
      <c r="AK3951" s="1" t="str">
        <f t="shared" si="62"/>
        <v xml:space="preserve"> =&lt;90</v>
      </c>
      <c r="AL3951" s="1" t="str">
        <f>VLOOKUP(C:C,[1]基础信息!B$1:D$65536,3,0)</f>
        <v xml:space="preserve">Cartridge </v>
      </c>
      <c r="AM3951" s="1" t="str">
        <f>VLOOKUP(C:C,[1]基础信息!B$1:E$65536,4,0)</f>
        <v>UNIV</v>
      </c>
      <c r="AN3951" s="1" t="str">
        <f>VLOOKUP(C:C,[1]基础信息!B$1:F$65536,5,0)</f>
        <v>P55</v>
      </c>
    </row>
    <row r="3952" spans="1:40">
      <c r="A3952" s="1" t="s">
        <v>41</v>
      </c>
      <c r="B3952" s="1" t="s">
        <v>42</v>
      </c>
      <c r="C3952" s="1" t="s">
        <v>554</v>
      </c>
      <c r="D3952" s="1" t="s">
        <v>555</v>
      </c>
      <c r="E3952" s="1" t="s">
        <v>45</v>
      </c>
      <c r="F3952" s="1" t="s">
        <v>9112</v>
      </c>
      <c r="G3952" s="1" t="s">
        <v>9113</v>
      </c>
      <c r="H3952" s="1" t="s">
        <v>45</v>
      </c>
      <c r="I3952" s="1" t="s">
        <v>45</v>
      </c>
      <c r="J3952" s="1" t="s">
        <v>48</v>
      </c>
      <c r="K3952" s="1">
        <v>30</v>
      </c>
      <c r="L3952" s="1">
        <v>0</v>
      </c>
      <c r="M3952" s="1">
        <v>0</v>
      </c>
      <c r="N3952" s="1">
        <v>30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 t="s">
        <v>49</v>
      </c>
      <c r="AA3952" s="1" t="s">
        <v>49</v>
      </c>
      <c r="AB3952" s="1" t="s">
        <v>49</v>
      </c>
      <c r="AC3952" s="1" t="s">
        <v>9114</v>
      </c>
      <c r="AD3952" s="1" t="s">
        <v>9115</v>
      </c>
      <c r="AE3952" s="1" t="s">
        <v>9114</v>
      </c>
      <c r="AF3952" s="1" t="s">
        <v>7769</v>
      </c>
      <c r="AG3952" s="1" t="s">
        <v>1952</v>
      </c>
      <c r="AH3952" s="1" t="s">
        <v>8988</v>
      </c>
      <c r="AI3952" s="1" t="s">
        <v>54</v>
      </c>
      <c r="AJ3952" s="1">
        <v>1</v>
      </c>
      <c r="AK3952" s="1" t="str">
        <f t="shared" si="62"/>
        <v xml:space="preserve"> =&lt;90</v>
      </c>
      <c r="AL3952" s="1" t="str">
        <f>VLOOKUP(C:C,[1]基础信息!B$1:D$65536,3,0)</f>
        <v>Jug</v>
      </c>
      <c r="AM3952" s="1" t="str">
        <f>VLOOKUP(C:C,[1]基础信息!B$1:E$65536,4,0)</f>
        <v>Green Pack</v>
      </c>
      <c r="AN3952" s="1" t="str">
        <f>VLOOKUP(C:C,[1]基础信息!B$1:F$65536,5,0)</f>
        <v>Blue</v>
      </c>
    </row>
    <row r="3953" spans="1:40">
      <c r="A3953" s="1" t="s">
        <v>41</v>
      </c>
      <c r="B3953" s="1" t="s">
        <v>42</v>
      </c>
      <c r="C3953" s="1" t="s">
        <v>8373</v>
      </c>
      <c r="D3953" s="1" t="s">
        <v>8374</v>
      </c>
      <c r="E3953" s="1" t="s">
        <v>45</v>
      </c>
      <c r="F3953" s="1" t="s">
        <v>9042</v>
      </c>
      <c r="G3953" s="1" t="s">
        <v>9116</v>
      </c>
      <c r="H3953" s="1" t="s">
        <v>45</v>
      </c>
      <c r="I3953" s="1" t="s">
        <v>45</v>
      </c>
      <c r="J3953" s="1" t="s">
        <v>48</v>
      </c>
      <c r="K3953" s="1">
        <v>23</v>
      </c>
      <c r="L3953" s="1">
        <v>0</v>
      </c>
      <c r="M3953" s="1">
        <v>0</v>
      </c>
      <c r="N3953" s="1">
        <v>23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 t="s">
        <v>49</v>
      </c>
      <c r="AA3953" s="1" t="s">
        <v>49</v>
      </c>
      <c r="AB3953" s="1" t="s">
        <v>49</v>
      </c>
      <c r="AC3953" s="1" t="s">
        <v>9044</v>
      </c>
      <c r="AD3953" s="1" t="s">
        <v>508</v>
      </c>
      <c r="AE3953" s="1" t="s">
        <v>9044</v>
      </c>
      <c r="AF3953" s="1" t="s">
        <v>9045</v>
      </c>
      <c r="AG3953" s="1" t="s">
        <v>7747</v>
      </c>
      <c r="AH3953" s="1" t="s">
        <v>49</v>
      </c>
      <c r="AI3953" s="1" t="s">
        <v>54</v>
      </c>
      <c r="AJ3953" s="1">
        <v>1</v>
      </c>
      <c r="AK3953" s="1" t="str">
        <f t="shared" si="62"/>
        <v xml:space="preserve"> =&lt;90</v>
      </c>
      <c r="AL3953" s="1" t="str">
        <f>VLOOKUP(C:C,[1]基础信息!B$1:D$65536,3,0)</f>
        <v>Hotcup</v>
      </c>
      <c r="AM3953" s="1" t="str">
        <f>VLOOKUP(C:C,[1]基础信息!B$1:E$65536,4,0)</f>
        <v>Hotcup</v>
      </c>
      <c r="AN3953" s="1" t="str">
        <f>VLOOKUP(C:C,[1]基础信息!B$1:F$65536,5,0)</f>
        <v>whi</v>
      </c>
    </row>
    <row r="3954" spans="1:40">
      <c r="A3954" s="1" t="s">
        <v>41</v>
      </c>
      <c r="B3954" s="1" t="s">
        <v>42</v>
      </c>
      <c r="C3954" s="1" t="s">
        <v>8610</v>
      </c>
      <c r="D3954" s="1" t="s">
        <v>8611</v>
      </c>
      <c r="E3954" s="1" t="s">
        <v>45</v>
      </c>
      <c r="F3954" s="1" t="s">
        <v>8612</v>
      </c>
      <c r="G3954" s="1" t="s">
        <v>9117</v>
      </c>
      <c r="H3954" s="1" t="s">
        <v>9118</v>
      </c>
      <c r="I3954" s="1" t="s">
        <v>45</v>
      </c>
      <c r="J3954" s="1" t="s">
        <v>48</v>
      </c>
      <c r="K3954" s="1">
        <v>1650</v>
      </c>
      <c r="L3954" s="1">
        <v>0</v>
      </c>
      <c r="M3954" s="1">
        <v>0</v>
      </c>
      <c r="N3954" s="1">
        <v>1650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 t="s">
        <v>49</v>
      </c>
      <c r="AA3954" s="1" t="s">
        <v>49</v>
      </c>
      <c r="AB3954" s="1" t="s">
        <v>49</v>
      </c>
      <c r="AC3954" s="1" t="s">
        <v>8615</v>
      </c>
      <c r="AD3954" s="1" t="s">
        <v>8616</v>
      </c>
      <c r="AE3954" s="1" t="s">
        <v>8615</v>
      </c>
      <c r="AF3954" s="1" t="s">
        <v>8617</v>
      </c>
      <c r="AG3954" s="1" t="s">
        <v>4662</v>
      </c>
      <c r="AH3954" s="1" t="s">
        <v>49</v>
      </c>
      <c r="AI3954" s="1" t="s">
        <v>54</v>
      </c>
      <c r="AJ3954" s="1">
        <v>1</v>
      </c>
      <c r="AK3954" s="1" t="str">
        <f t="shared" si="62"/>
        <v xml:space="preserve"> =&lt;90</v>
      </c>
      <c r="AL3954" s="1" t="str">
        <f>VLOOKUP(C:C,[1]基础信息!B$1:D$65536,3,0)</f>
        <v xml:space="preserve">Cartridge </v>
      </c>
      <c r="AM3954" s="1" t="str">
        <f>VLOOKUP(C:C,[1]基础信息!B$1:E$65536,4,0)</f>
        <v>UNIV</v>
      </c>
      <c r="AN3954" s="1" t="str">
        <f>VLOOKUP(C:C,[1]基础信息!B$1:F$65536,5,0)</f>
        <v>P55</v>
      </c>
    </row>
    <row r="3955" spans="1:40">
      <c r="A3955" s="1" t="s">
        <v>41</v>
      </c>
      <c r="B3955" s="1" t="s">
        <v>42</v>
      </c>
      <c r="C3955" s="1" t="s">
        <v>8107</v>
      </c>
      <c r="D3955" s="1" t="s">
        <v>8108</v>
      </c>
      <c r="E3955" s="1" t="s">
        <v>45</v>
      </c>
      <c r="F3955" s="1" t="s">
        <v>9119</v>
      </c>
      <c r="G3955" s="1" t="s">
        <v>9120</v>
      </c>
      <c r="H3955" s="1" t="s">
        <v>45</v>
      </c>
      <c r="I3955" s="1" t="s">
        <v>45</v>
      </c>
      <c r="J3955" s="1" t="s">
        <v>48</v>
      </c>
      <c r="K3955" s="1">
        <v>2</v>
      </c>
      <c r="L3955" s="1">
        <v>0</v>
      </c>
      <c r="M3955" s="1">
        <v>0</v>
      </c>
      <c r="N3955" s="1">
        <v>2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 t="s">
        <v>49</v>
      </c>
      <c r="AA3955" s="1" t="s">
        <v>49</v>
      </c>
      <c r="AB3955" s="1" t="s">
        <v>49</v>
      </c>
      <c r="AC3955" s="1" t="s">
        <v>9121</v>
      </c>
      <c r="AD3955" s="1" t="s">
        <v>9122</v>
      </c>
      <c r="AE3955" s="1" t="s">
        <v>9121</v>
      </c>
      <c r="AF3955" s="1" t="s">
        <v>49</v>
      </c>
      <c r="AG3955" s="1" t="s">
        <v>76</v>
      </c>
      <c r="AH3955" s="1" t="s">
        <v>49</v>
      </c>
      <c r="AI3955" s="1" t="s">
        <v>54</v>
      </c>
      <c r="AJ3955" s="1">
        <v>0</v>
      </c>
      <c r="AK3955" s="1" t="str">
        <f t="shared" si="62"/>
        <v xml:space="preserve"> =&lt;90</v>
      </c>
      <c r="AL3955" s="1" t="str">
        <f>VLOOKUP(C:C,[1]基础信息!B$1:D$65536,3,0)</f>
        <v>Jug</v>
      </c>
      <c r="AM3955" s="1" t="str">
        <f>VLOOKUP(C:C,[1]基础信息!B$1:E$65536,4,0)</f>
        <v>Style</v>
      </c>
      <c r="AN3955" s="1" t="str">
        <f>VLOOKUP(C:C,[1]基础信息!B$1:F$65536,5,0)</f>
        <v>Lime</v>
      </c>
    </row>
    <row r="3956" spans="1:40">
      <c r="A3956" s="1" t="s">
        <v>41</v>
      </c>
      <c r="B3956" s="1" t="s">
        <v>42</v>
      </c>
      <c r="C3956" s="1" t="s">
        <v>8143</v>
      </c>
      <c r="D3956" s="1" t="s">
        <v>8144</v>
      </c>
      <c r="E3956" s="1" t="s">
        <v>45</v>
      </c>
      <c r="F3956" s="1" t="s">
        <v>9123</v>
      </c>
      <c r="G3956" s="1" t="s">
        <v>9120</v>
      </c>
      <c r="H3956" s="1" t="s">
        <v>45</v>
      </c>
      <c r="I3956" s="1" t="s">
        <v>45</v>
      </c>
      <c r="J3956" s="1" t="s">
        <v>48</v>
      </c>
      <c r="K3956" s="1">
        <v>7</v>
      </c>
      <c r="L3956" s="1">
        <v>0</v>
      </c>
      <c r="M3956" s="1">
        <v>0</v>
      </c>
      <c r="N3956" s="1">
        <v>7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 t="s">
        <v>49</v>
      </c>
      <c r="AA3956" s="1" t="s">
        <v>49</v>
      </c>
      <c r="AB3956" s="1" t="s">
        <v>49</v>
      </c>
      <c r="AC3956" s="1" t="s">
        <v>9121</v>
      </c>
      <c r="AD3956" s="1" t="s">
        <v>9122</v>
      </c>
      <c r="AE3956" s="1" t="s">
        <v>9121</v>
      </c>
      <c r="AF3956" s="1" t="s">
        <v>49</v>
      </c>
      <c r="AG3956" s="1" t="s">
        <v>76</v>
      </c>
      <c r="AH3956" s="1" t="s">
        <v>49</v>
      </c>
      <c r="AI3956" s="1" t="s">
        <v>54</v>
      </c>
      <c r="AJ3956" s="1">
        <v>1</v>
      </c>
      <c r="AK3956" s="1" t="str">
        <f t="shared" si="62"/>
        <v xml:space="preserve"> =&lt;90</v>
      </c>
      <c r="AL3956" s="1" t="str">
        <f>VLOOKUP(C:C,[1]基础信息!B$1:D$65536,3,0)</f>
        <v>Jug</v>
      </c>
      <c r="AM3956" s="1" t="str">
        <f>VLOOKUP(C:C,[1]基础信息!B$1:E$65536,4,0)</f>
        <v>Style</v>
      </c>
      <c r="AN3956" s="1" t="str">
        <f>VLOOKUP(C:C,[1]基础信息!B$1:F$65536,5,0)</f>
        <v>Lime</v>
      </c>
    </row>
    <row r="3957" spans="1:40">
      <c r="A3957" s="1" t="s">
        <v>41</v>
      </c>
      <c r="B3957" s="1" t="s">
        <v>42</v>
      </c>
      <c r="C3957" s="1" t="s">
        <v>7717</v>
      </c>
      <c r="D3957" s="1" t="s">
        <v>7718</v>
      </c>
      <c r="E3957" s="1" t="s">
        <v>45</v>
      </c>
      <c r="F3957" s="1" t="s">
        <v>9124</v>
      </c>
      <c r="G3957" s="1" t="s">
        <v>9125</v>
      </c>
      <c r="H3957" s="1" t="s">
        <v>45</v>
      </c>
      <c r="I3957" s="1" t="s">
        <v>45</v>
      </c>
      <c r="J3957" s="1" t="s">
        <v>48</v>
      </c>
      <c r="K3957" s="1">
        <v>5</v>
      </c>
      <c r="L3957" s="1">
        <v>0</v>
      </c>
      <c r="M3957" s="1">
        <v>0</v>
      </c>
      <c r="N3957" s="1">
        <v>5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 t="s">
        <v>49</v>
      </c>
      <c r="AA3957" s="1" t="s">
        <v>49</v>
      </c>
      <c r="AB3957" s="1" t="s">
        <v>49</v>
      </c>
      <c r="AC3957" s="1" t="s">
        <v>9044</v>
      </c>
      <c r="AD3957" s="1" t="s">
        <v>508</v>
      </c>
      <c r="AE3957" s="1" t="s">
        <v>9044</v>
      </c>
      <c r="AF3957" s="1" t="s">
        <v>9045</v>
      </c>
      <c r="AG3957" s="1" t="s">
        <v>7747</v>
      </c>
      <c r="AH3957" s="1" t="s">
        <v>49</v>
      </c>
      <c r="AI3957" s="1" t="s">
        <v>54</v>
      </c>
      <c r="AJ3957" s="1">
        <v>1</v>
      </c>
      <c r="AK3957" s="1" t="str">
        <f t="shared" si="62"/>
        <v xml:space="preserve"> =&lt;90</v>
      </c>
      <c r="AL3957" s="1" t="str">
        <f>VLOOKUP(C:C,[1]基础信息!B$1:D$65536,3,0)</f>
        <v>Hotcup</v>
      </c>
      <c r="AM3957" s="1" t="str">
        <f>VLOOKUP(C:C,[1]基础信息!B$1:E$65536,4,0)</f>
        <v>Hotcup</v>
      </c>
      <c r="AN3957" s="1" t="str">
        <f>VLOOKUP(C:C,[1]基础信息!B$1:F$65536,5,0)</f>
        <v>Silver</v>
      </c>
    </row>
    <row r="3958" spans="1:40">
      <c r="A3958" s="1" t="s">
        <v>41</v>
      </c>
      <c r="B3958" s="1" t="s">
        <v>42</v>
      </c>
      <c r="C3958" s="1" t="s">
        <v>8610</v>
      </c>
      <c r="D3958" s="1" t="s">
        <v>8611</v>
      </c>
      <c r="E3958" s="1" t="s">
        <v>45</v>
      </c>
      <c r="F3958" s="1" t="s">
        <v>8612</v>
      </c>
      <c r="G3958" s="1" t="s">
        <v>9126</v>
      </c>
      <c r="H3958" s="1" t="s">
        <v>9127</v>
      </c>
      <c r="I3958" s="1" t="s">
        <v>45</v>
      </c>
      <c r="J3958" s="1" t="s">
        <v>48</v>
      </c>
      <c r="K3958" s="1">
        <v>1650</v>
      </c>
      <c r="L3958" s="1">
        <v>0</v>
      </c>
      <c r="M3958" s="1">
        <v>0</v>
      </c>
      <c r="N3958" s="1">
        <v>1650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 t="s">
        <v>49</v>
      </c>
      <c r="AA3958" s="1" t="s">
        <v>49</v>
      </c>
      <c r="AB3958" s="1" t="s">
        <v>49</v>
      </c>
      <c r="AC3958" s="1" t="s">
        <v>8615</v>
      </c>
      <c r="AD3958" s="1" t="s">
        <v>8616</v>
      </c>
      <c r="AE3958" s="1" t="s">
        <v>8615</v>
      </c>
      <c r="AF3958" s="1" t="s">
        <v>8617</v>
      </c>
      <c r="AG3958" s="1" t="s">
        <v>4662</v>
      </c>
      <c r="AH3958" s="1" t="s">
        <v>49</v>
      </c>
      <c r="AI3958" s="1" t="s">
        <v>54</v>
      </c>
      <c r="AJ3958" s="1">
        <v>1</v>
      </c>
      <c r="AK3958" s="1" t="str">
        <f t="shared" si="62"/>
        <v xml:space="preserve"> =&lt;90</v>
      </c>
      <c r="AL3958" s="1" t="str">
        <f>VLOOKUP(C:C,[1]基础信息!B$1:D$65536,3,0)</f>
        <v xml:space="preserve">Cartridge </v>
      </c>
      <c r="AM3958" s="1" t="str">
        <f>VLOOKUP(C:C,[1]基础信息!B$1:E$65536,4,0)</f>
        <v>UNIV</v>
      </c>
      <c r="AN3958" s="1" t="str">
        <f>VLOOKUP(C:C,[1]基础信息!B$1:F$65536,5,0)</f>
        <v>P55</v>
      </c>
    </row>
    <row r="3959" spans="1:40">
      <c r="A3959" s="1" t="s">
        <v>41</v>
      </c>
      <c r="B3959" s="1" t="s">
        <v>42</v>
      </c>
      <c r="C3959" s="1" t="s">
        <v>3512</v>
      </c>
      <c r="D3959" s="1" t="s">
        <v>3513</v>
      </c>
      <c r="E3959" s="1" t="s">
        <v>45</v>
      </c>
      <c r="F3959" s="1" t="s">
        <v>9128</v>
      </c>
      <c r="G3959" s="1" t="s">
        <v>9129</v>
      </c>
      <c r="H3959" s="1" t="s">
        <v>45</v>
      </c>
      <c r="I3959" s="1" t="s">
        <v>45</v>
      </c>
      <c r="J3959" s="1" t="s">
        <v>48</v>
      </c>
      <c r="K3959" s="1">
        <v>18</v>
      </c>
      <c r="L3959" s="1">
        <v>0</v>
      </c>
      <c r="M3959" s="1">
        <v>0</v>
      </c>
      <c r="N3959" s="1">
        <v>18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 t="s">
        <v>49</v>
      </c>
      <c r="AA3959" s="1" t="s">
        <v>49</v>
      </c>
      <c r="AB3959" s="1" t="s">
        <v>49</v>
      </c>
      <c r="AC3959" s="1" t="s">
        <v>9130</v>
      </c>
      <c r="AD3959" s="1" t="s">
        <v>9131</v>
      </c>
      <c r="AE3959" s="1" t="s">
        <v>9130</v>
      </c>
      <c r="AF3959" s="1" t="s">
        <v>49</v>
      </c>
      <c r="AG3959" s="1" t="s">
        <v>1952</v>
      </c>
      <c r="AH3959" s="1" t="s">
        <v>49</v>
      </c>
      <c r="AI3959" s="1" t="s">
        <v>54</v>
      </c>
      <c r="AJ3959" s="1">
        <v>0</v>
      </c>
      <c r="AK3959" s="1" t="str">
        <f t="shared" si="62"/>
        <v xml:space="preserve"> =&lt;90</v>
      </c>
      <c r="AL3959" s="1" t="str">
        <f>VLOOKUP(C:C,[1]基础信息!B$1:D$65536,3,0)</f>
        <v xml:space="preserve">Cartridge </v>
      </c>
      <c r="AM3959" s="1" t="str">
        <f>VLOOKUP(C:C,[1]基础信息!B$1:E$65536,4,0)</f>
        <v>UNIV</v>
      </c>
      <c r="AN3959" s="1" t="str">
        <f>VLOOKUP(C:C,[1]基础信息!B$1:F$65536,5,0)</f>
        <v>P3</v>
      </c>
    </row>
    <row r="3960" spans="1:40">
      <c r="A3960" s="1" t="s">
        <v>41</v>
      </c>
      <c r="B3960" s="1" t="s">
        <v>42</v>
      </c>
      <c r="C3960" s="1" t="s">
        <v>162</v>
      </c>
      <c r="D3960" s="1" t="s">
        <v>163</v>
      </c>
      <c r="E3960" s="1" t="s">
        <v>45</v>
      </c>
      <c r="F3960" s="1" t="s">
        <v>9132</v>
      </c>
      <c r="G3960" s="1" t="s">
        <v>9129</v>
      </c>
      <c r="H3960" s="1" t="s">
        <v>45</v>
      </c>
      <c r="I3960" s="1" t="s">
        <v>45</v>
      </c>
      <c r="J3960" s="1" t="s">
        <v>48</v>
      </c>
      <c r="K3960" s="1">
        <v>1</v>
      </c>
      <c r="L3960" s="1">
        <v>0</v>
      </c>
      <c r="M3960" s="1">
        <v>0</v>
      </c>
      <c r="N3960" s="1">
        <v>1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 t="s">
        <v>49</v>
      </c>
      <c r="AA3960" s="1" t="s">
        <v>49</v>
      </c>
      <c r="AB3960" s="1" t="s">
        <v>49</v>
      </c>
      <c r="AC3960" s="1" t="s">
        <v>9130</v>
      </c>
      <c r="AD3960" s="1" t="s">
        <v>9131</v>
      </c>
      <c r="AE3960" s="1" t="s">
        <v>9130</v>
      </c>
      <c r="AF3960" s="1" t="s">
        <v>49</v>
      </c>
      <c r="AG3960" s="1" t="s">
        <v>8984</v>
      </c>
      <c r="AH3960" s="1" t="s">
        <v>49</v>
      </c>
      <c r="AI3960" s="1" t="s">
        <v>54</v>
      </c>
      <c r="AJ3960" s="1">
        <v>0</v>
      </c>
      <c r="AK3960" s="1" t="str">
        <f t="shared" si="62"/>
        <v xml:space="preserve"> =&lt;90</v>
      </c>
      <c r="AL3960" s="1" t="str">
        <f>VLOOKUP(C:C,[1]基础信息!B$1:D$65536,3,0)</f>
        <v>Jug</v>
      </c>
      <c r="AM3960" s="1" t="str">
        <f>VLOOKUP(C:C,[1]基础信息!B$1:E$65536,4,0)</f>
        <v>Style</v>
      </c>
      <c r="AN3960" s="1" t="str">
        <f>VLOOKUP(C:C,[1]基础信息!B$1:F$65536,5,0)</f>
        <v>Blue</v>
      </c>
    </row>
    <row r="3961" spans="1:40">
      <c r="A3961" s="1" t="s">
        <v>41</v>
      </c>
      <c r="B3961" s="1" t="s">
        <v>42</v>
      </c>
      <c r="C3961" s="1" t="s">
        <v>7717</v>
      </c>
      <c r="D3961" s="1" t="s">
        <v>7718</v>
      </c>
      <c r="E3961" s="1" t="s">
        <v>45</v>
      </c>
      <c r="F3961" s="1" t="s">
        <v>9133</v>
      </c>
      <c r="G3961" s="1" t="s">
        <v>9129</v>
      </c>
      <c r="H3961" s="1" t="s">
        <v>45</v>
      </c>
      <c r="I3961" s="1" t="s">
        <v>45</v>
      </c>
      <c r="J3961" s="1" t="s">
        <v>48</v>
      </c>
      <c r="K3961" s="1">
        <v>3</v>
      </c>
      <c r="L3961" s="1">
        <v>0</v>
      </c>
      <c r="M3961" s="1">
        <v>0</v>
      </c>
      <c r="N3961" s="1">
        <v>3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 t="s">
        <v>49</v>
      </c>
      <c r="AA3961" s="1" t="s">
        <v>49</v>
      </c>
      <c r="AB3961" s="1" t="s">
        <v>49</v>
      </c>
      <c r="AC3961" s="1" t="s">
        <v>9130</v>
      </c>
      <c r="AD3961" s="1" t="s">
        <v>9131</v>
      </c>
      <c r="AE3961" s="1" t="s">
        <v>9130</v>
      </c>
      <c r="AF3961" s="1" t="s">
        <v>49</v>
      </c>
      <c r="AG3961" s="1" t="s">
        <v>7747</v>
      </c>
      <c r="AH3961" s="1" t="s">
        <v>49</v>
      </c>
      <c r="AI3961" s="1" t="s">
        <v>54</v>
      </c>
      <c r="AJ3961" s="1">
        <v>1</v>
      </c>
      <c r="AK3961" s="1" t="str">
        <f t="shared" si="62"/>
        <v xml:space="preserve"> =&lt;90</v>
      </c>
      <c r="AL3961" s="1" t="str">
        <f>VLOOKUP(C:C,[1]基础信息!B$1:D$65536,3,0)</f>
        <v>Hotcup</v>
      </c>
      <c r="AM3961" s="1" t="str">
        <f>VLOOKUP(C:C,[1]基础信息!B$1:E$65536,4,0)</f>
        <v>Hotcup</v>
      </c>
      <c r="AN3961" s="1" t="str">
        <f>VLOOKUP(C:C,[1]基础信息!B$1:F$65536,5,0)</f>
        <v>Silver</v>
      </c>
    </row>
    <row r="3962" spans="1:40">
      <c r="A3962" s="1" t="s">
        <v>41</v>
      </c>
      <c r="B3962" s="1" t="s">
        <v>42</v>
      </c>
      <c r="C3962" s="1" t="s">
        <v>4438</v>
      </c>
      <c r="D3962" s="1" t="s">
        <v>4439</v>
      </c>
      <c r="E3962" s="1" t="s">
        <v>45</v>
      </c>
      <c r="F3962" s="1" t="s">
        <v>9134</v>
      </c>
      <c r="G3962" s="1" t="s">
        <v>9135</v>
      </c>
      <c r="H3962" s="1" t="s">
        <v>45</v>
      </c>
      <c r="I3962" s="1" t="s">
        <v>45</v>
      </c>
      <c r="J3962" s="1" t="s">
        <v>48</v>
      </c>
      <c r="K3962" s="1">
        <v>8</v>
      </c>
      <c r="L3962" s="1">
        <v>0</v>
      </c>
      <c r="M3962" s="1">
        <v>0</v>
      </c>
      <c r="N3962" s="1">
        <v>8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 t="s">
        <v>49</v>
      </c>
      <c r="AA3962" s="1" t="s">
        <v>49</v>
      </c>
      <c r="AB3962" s="1" t="s">
        <v>49</v>
      </c>
      <c r="AC3962" s="1" t="s">
        <v>9044</v>
      </c>
      <c r="AD3962" s="1" t="s">
        <v>508</v>
      </c>
      <c r="AE3962" s="1" t="s">
        <v>9044</v>
      </c>
      <c r="AF3962" s="1" t="s">
        <v>9045</v>
      </c>
      <c r="AG3962" s="1" t="s">
        <v>7747</v>
      </c>
      <c r="AH3962" s="1" t="s">
        <v>49</v>
      </c>
      <c r="AI3962" s="1" t="s">
        <v>54</v>
      </c>
      <c r="AJ3962" s="1">
        <v>1</v>
      </c>
      <c r="AK3962" s="1" t="str">
        <f t="shared" si="62"/>
        <v xml:space="preserve"> =&lt;90</v>
      </c>
      <c r="AL3962" s="1" t="str">
        <f>VLOOKUP(C:C,[1]基础信息!B$1:D$65536,3,0)</f>
        <v>Hotcup</v>
      </c>
      <c r="AM3962" s="1" t="str">
        <f>VLOOKUP(C:C,[1]基础信息!B$1:E$65536,4,0)</f>
        <v>Hotcup</v>
      </c>
      <c r="AN3962" s="1" t="str">
        <f>VLOOKUP(C:C,[1]基础信息!B$1:F$65536,5,0)</f>
        <v xml:space="preserve"> green</v>
      </c>
    </row>
    <row r="3963" spans="1:40">
      <c r="A3963" s="1" t="s">
        <v>41</v>
      </c>
      <c r="B3963" s="1" t="s">
        <v>42</v>
      </c>
      <c r="C3963" s="1" t="s">
        <v>8610</v>
      </c>
      <c r="D3963" s="1" t="s">
        <v>8611</v>
      </c>
      <c r="E3963" s="1" t="s">
        <v>45</v>
      </c>
      <c r="F3963" s="1" t="s">
        <v>8612</v>
      </c>
      <c r="G3963" s="1" t="s">
        <v>9136</v>
      </c>
      <c r="H3963" s="1" t="s">
        <v>9137</v>
      </c>
      <c r="I3963" s="1" t="s">
        <v>45</v>
      </c>
      <c r="J3963" s="1" t="s">
        <v>48</v>
      </c>
      <c r="K3963" s="1">
        <v>1650</v>
      </c>
      <c r="L3963" s="1">
        <v>0</v>
      </c>
      <c r="M3963" s="1">
        <v>0</v>
      </c>
      <c r="N3963" s="1">
        <v>1650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 t="s">
        <v>49</v>
      </c>
      <c r="AA3963" s="1" t="s">
        <v>49</v>
      </c>
      <c r="AB3963" s="1" t="s">
        <v>49</v>
      </c>
      <c r="AC3963" s="1" t="s">
        <v>8615</v>
      </c>
      <c r="AD3963" s="1" t="s">
        <v>8616</v>
      </c>
      <c r="AE3963" s="1" t="s">
        <v>8615</v>
      </c>
      <c r="AF3963" s="1" t="s">
        <v>8617</v>
      </c>
      <c r="AG3963" s="1" t="s">
        <v>4662</v>
      </c>
      <c r="AH3963" s="1" t="s">
        <v>49</v>
      </c>
      <c r="AI3963" s="1" t="s">
        <v>54</v>
      </c>
      <c r="AJ3963" s="1">
        <v>1</v>
      </c>
      <c r="AK3963" s="1" t="str">
        <f t="shared" si="62"/>
        <v xml:space="preserve"> =&lt;90</v>
      </c>
      <c r="AL3963" s="1" t="str">
        <f>VLOOKUP(C:C,[1]基础信息!B$1:D$65536,3,0)</f>
        <v xml:space="preserve">Cartridge </v>
      </c>
      <c r="AM3963" s="1" t="str">
        <f>VLOOKUP(C:C,[1]基础信息!B$1:E$65536,4,0)</f>
        <v>UNIV</v>
      </c>
      <c r="AN3963" s="1" t="str">
        <f>VLOOKUP(C:C,[1]基础信息!B$1:F$65536,5,0)</f>
        <v>P55</v>
      </c>
    </row>
    <row r="3964" spans="1:40">
      <c r="A3964" s="1" t="s">
        <v>41</v>
      </c>
      <c r="B3964" s="1" t="s">
        <v>42</v>
      </c>
      <c r="C3964" s="1" t="s">
        <v>4077</v>
      </c>
      <c r="D3964" s="1" t="s">
        <v>4078</v>
      </c>
      <c r="E3964" s="1" t="s">
        <v>45</v>
      </c>
      <c r="F3964" s="1" t="s">
        <v>9138</v>
      </c>
      <c r="G3964" s="1" t="s">
        <v>9139</v>
      </c>
      <c r="H3964" s="1" t="s">
        <v>45</v>
      </c>
      <c r="I3964" s="1" t="s">
        <v>45</v>
      </c>
      <c r="J3964" s="1" t="s">
        <v>48</v>
      </c>
      <c r="K3964" s="1">
        <v>5</v>
      </c>
      <c r="L3964" s="1">
        <v>0</v>
      </c>
      <c r="M3964" s="1">
        <v>0</v>
      </c>
      <c r="N3964" s="1">
        <v>5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 t="s">
        <v>49</v>
      </c>
      <c r="AA3964" s="1" t="s">
        <v>49</v>
      </c>
      <c r="AB3964" s="1" t="s">
        <v>49</v>
      </c>
      <c r="AC3964" s="1" t="s">
        <v>3363</v>
      </c>
      <c r="AD3964" s="1" t="s">
        <v>6480</v>
      </c>
      <c r="AE3964" s="1" t="s">
        <v>3363</v>
      </c>
      <c r="AF3964" s="1" t="s">
        <v>49</v>
      </c>
      <c r="AG3964" s="1" t="s">
        <v>7747</v>
      </c>
      <c r="AH3964" s="1" t="s">
        <v>49</v>
      </c>
      <c r="AI3964" s="1" t="s">
        <v>54</v>
      </c>
      <c r="AJ3964" s="1">
        <v>1</v>
      </c>
      <c r="AK3964" s="1" t="str">
        <f t="shared" si="62"/>
        <v xml:space="preserve"> =&lt;90</v>
      </c>
      <c r="AL3964" s="1" t="str">
        <f>VLOOKUP(C:C,[1]基础信息!B$1:D$65536,3,0)</f>
        <v>UTS</v>
      </c>
      <c r="AM3964" s="1" t="str">
        <f>VLOOKUP(C:C,[1]基础信息!B$1:E$65536,4,0)</f>
        <v>RO</v>
      </c>
      <c r="AN3964" s="1" t="str">
        <f>VLOOKUP(C:C,[1]基础信息!B$1:F$65536,5,0)</f>
        <v>Starry Grey Color</v>
      </c>
    </row>
    <row r="3965" spans="1:40">
      <c r="A3965" s="1" t="s">
        <v>41</v>
      </c>
      <c r="B3965" s="1" t="s">
        <v>42</v>
      </c>
      <c r="C3965" s="1" t="s">
        <v>301</v>
      </c>
      <c r="D3965" s="1" t="s">
        <v>302</v>
      </c>
      <c r="E3965" s="1" t="s">
        <v>45</v>
      </c>
      <c r="F3965" s="1" t="s">
        <v>8425</v>
      </c>
      <c r="G3965" s="1" t="s">
        <v>9140</v>
      </c>
      <c r="H3965" s="1" t="s">
        <v>45</v>
      </c>
      <c r="I3965" s="1" t="s">
        <v>45</v>
      </c>
      <c r="J3965" s="1" t="s">
        <v>48</v>
      </c>
      <c r="K3965" s="1">
        <v>79</v>
      </c>
      <c r="L3965" s="1">
        <v>0</v>
      </c>
      <c r="M3965" s="1">
        <v>0</v>
      </c>
      <c r="N3965" s="1">
        <v>79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 t="s">
        <v>49</v>
      </c>
      <c r="AA3965" s="1" t="s">
        <v>49</v>
      </c>
      <c r="AB3965" s="1" t="s">
        <v>49</v>
      </c>
      <c r="AC3965" s="1" t="s">
        <v>5462</v>
      </c>
      <c r="AD3965" s="1" t="s">
        <v>8336</v>
      </c>
      <c r="AE3965" s="1" t="s">
        <v>5462</v>
      </c>
      <c r="AF3965" s="1" t="s">
        <v>49</v>
      </c>
      <c r="AG3965" s="1" t="s">
        <v>6921</v>
      </c>
      <c r="AH3965" s="1" t="s">
        <v>49</v>
      </c>
      <c r="AI3965" s="1" t="s">
        <v>54</v>
      </c>
      <c r="AJ3965" s="1">
        <v>0</v>
      </c>
      <c r="AK3965" s="1" t="str">
        <f t="shared" si="62"/>
        <v xml:space="preserve"> =&lt;90</v>
      </c>
      <c r="AL3965" s="1" t="str">
        <f>VLOOKUP(C:C,[1]基础信息!B$1:D$65536,3,0)</f>
        <v>Jug</v>
      </c>
      <c r="AM3965" s="1" t="str">
        <f>VLOOKUP(C:C,[1]基础信息!B$1:E$65536,4,0)</f>
        <v>Aluna</v>
      </c>
      <c r="AN3965" s="1" t="str">
        <f>VLOOKUP(C:C,[1]基础信息!B$1:F$65536,5,0)</f>
        <v>Blue</v>
      </c>
    </row>
    <row r="3966" spans="1:40">
      <c r="A3966" s="1" t="s">
        <v>41</v>
      </c>
      <c r="B3966" s="1" t="s">
        <v>42</v>
      </c>
      <c r="C3966" s="1" t="s">
        <v>3999</v>
      </c>
      <c r="D3966" s="1" t="s">
        <v>4000</v>
      </c>
      <c r="E3966" s="1" t="s">
        <v>45</v>
      </c>
      <c r="F3966" s="1" t="s">
        <v>8337</v>
      </c>
      <c r="G3966" s="1" t="s">
        <v>9140</v>
      </c>
      <c r="H3966" s="1" t="s">
        <v>45</v>
      </c>
      <c r="I3966" s="1" t="s">
        <v>45</v>
      </c>
      <c r="J3966" s="1" t="s">
        <v>48</v>
      </c>
      <c r="K3966" s="1">
        <v>8</v>
      </c>
      <c r="L3966" s="1">
        <v>0</v>
      </c>
      <c r="M3966" s="1">
        <v>0</v>
      </c>
      <c r="N3966" s="1">
        <v>8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 t="s">
        <v>49</v>
      </c>
      <c r="AA3966" s="1" t="s">
        <v>49</v>
      </c>
      <c r="AB3966" s="1" t="s">
        <v>49</v>
      </c>
      <c r="AC3966" s="1" t="s">
        <v>5462</v>
      </c>
      <c r="AD3966" s="1" t="s">
        <v>8336</v>
      </c>
      <c r="AE3966" s="1" t="s">
        <v>5462</v>
      </c>
      <c r="AF3966" s="1" t="s">
        <v>49</v>
      </c>
      <c r="AG3966" s="1" t="s">
        <v>6921</v>
      </c>
      <c r="AH3966" s="1" t="s">
        <v>49</v>
      </c>
      <c r="AI3966" s="1" t="s">
        <v>54</v>
      </c>
      <c r="AJ3966" s="1">
        <v>0</v>
      </c>
      <c r="AK3966" s="1" t="str">
        <f t="shared" si="62"/>
        <v xml:space="preserve"> =&lt;90</v>
      </c>
      <c r="AL3966" s="1" t="str">
        <f>VLOOKUP(C:C,[1]基础信息!B$1:D$65536,3,0)</f>
        <v>Jug</v>
      </c>
      <c r="AM3966" s="1" t="str">
        <f>VLOOKUP(C:C,[1]基础信息!B$1:E$65536,4,0)</f>
        <v>Aluna</v>
      </c>
      <c r="AN3966" s="1" t="str">
        <f>VLOOKUP(C:C,[1]基础信息!B$1:F$65536,5,0)</f>
        <v>Blue</v>
      </c>
    </row>
    <row r="3967" spans="1:40">
      <c r="A3967" s="1" t="s">
        <v>41</v>
      </c>
      <c r="B3967" s="1" t="s">
        <v>42</v>
      </c>
      <c r="C3967" s="1" t="s">
        <v>969</v>
      </c>
      <c r="D3967" s="1" t="s">
        <v>970</v>
      </c>
      <c r="E3967" s="1" t="s">
        <v>45</v>
      </c>
      <c r="F3967" s="1" t="s">
        <v>8527</v>
      </c>
      <c r="G3967" s="1" t="s">
        <v>9140</v>
      </c>
      <c r="H3967" s="1" t="s">
        <v>45</v>
      </c>
      <c r="I3967" s="1" t="s">
        <v>45</v>
      </c>
      <c r="J3967" s="1" t="s">
        <v>48</v>
      </c>
      <c r="K3967" s="1">
        <v>1</v>
      </c>
      <c r="L3967" s="1">
        <v>0</v>
      </c>
      <c r="M3967" s="1">
        <v>0</v>
      </c>
      <c r="N3967" s="1">
        <v>1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 t="s">
        <v>49</v>
      </c>
      <c r="AA3967" s="1" t="s">
        <v>49</v>
      </c>
      <c r="AB3967" s="1" t="s">
        <v>49</v>
      </c>
      <c r="AC3967" s="1" t="s">
        <v>5462</v>
      </c>
      <c r="AD3967" s="1" t="s">
        <v>8336</v>
      </c>
      <c r="AE3967" s="1" t="s">
        <v>5462</v>
      </c>
      <c r="AF3967" s="1" t="s">
        <v>49</v>
      </c>
      <c r="AG3967" s="1" t="s">
        <v>6921</v>
      </c>
      <c r="AH3967" s="1" t="s">
        <v>49</v>
      </c>
      <c r="AI3967" s="1" t="s">
        <v>54</v>
      </c>
      <c r="AJ3967" s="1">
        <v>1</v>
      </c>
      <c r="AK3967" s="1" t="str">
        <f t="shared" si="62"/>
        <v xml:space="preserve"> =&lt;90</v>
      </c>
      <c r="AL3967" s="1" t="str">
        <f>VLOOKUP(C:C,[1]基础信息!B$1:D$65536,3,0)</f>
        <v>Jug</v>
      </c>
      <c r="AM3967" s="1" t="str">
        <f>VLOOKUP(C:C,[1]基础信息!B$1:E$65536,4,0)</f>
        <v>Mxplus</v>
      </c>
      <c r="AN3967" s="1" t="str">
        <f>VLOOKUP(C:C,[1]基础信息!B$1:F$65536,5,0)</f>
        <v xml:space="preserve"> blue</v>
      </c>
    </row>
    <row r="3968" spans="1:40">
      <c r="A3968" s="1" t="s">
        <v>41</v>
      </c>
      <c r="B3968" s="1" t="s">
        <v>42</v>
      </c>
      <c r="C3968" s="1" t="s">
        <v>7755</v>
      </c>
      <c r="D3968" s="1" t="s">
        <v>7756</v>
      </c>
      <c r="E3968" s="1" t="s">
        <v>45</v>
      </c>
      <c r="F3968" s="1" t="s">
        <v>9141</v>
      </c>
      <c r="G3968" s="1" t="s">
        <v>9142</v>
      </c>
      <c r="H3968" s="1" t="s">
        <v>45</v>
      </c>
      <c r="I3968" s="1" t="s">
        <v>45</v>
      </c>
      <c r="J3968" s="1" t="s">
        <v>48</v>
      </c>
      <c r="K3968" s="1">
        <v>140</v>
      </c>
      <c r="L3968" s="1">
        <v>0</v>
      </c>
      <c r="M3968" s="1">
        <v>0</v>
      </c>
      <c r="N3968" s="1">
        <v>140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 t="s">
        <v>49</v>
      </c>
      <c r="AA3968" s="1" t="s">
        <v>49</v>
      </c>
      <c r="AB3968" s="1" t="s">
        <v>49</v>
      </c>
      <c r="AC3968" s="1" t="s">
        <v>5462</v>
      </c>
      <c r="AD3968" s="1" t="s">
        <v>8336</v>
      </c>
      <c r="AE3968" s="1" t="s">
        <v>5462</v>
      </c>
      <c r="AF3968" s="1" t="s">
        <v>49</v>
      </c>
      <c r="AG3968" s="1" t="s">
        <v>1952</v>
      </c>
      <c r="AH3968" s="1" t="s">
        <v>49</v>
      </c>
      <c r="AI3968" s="1" t="s">
        <v>54</v>
      </c>
      <c r="AJ3968" s="1">
        <v>1</v>
      </c>
      <c r="AK3968" s="1" t="str">
        <f t="shared" si="62"/>
        <v xml:space="preserve"> =&lt;90</v>
      </c>
      <c r="AL3968" s="1" t="str">
        <f>VLOOKUP(C:C,[1]基础信息!B$1:D$65536,3,0)</f>
        <v xml:space="preserve">Cartridge </v>
      </c>
      <c r="AM3968" s="1" t="str">
        <f>VLOOKUP(C:C,[1]基础信息!B$1:E$65536,4,0)</f>
        <v>LM</v>
      </c>
      <c r="AN3968" s="1" t="str">
        <f>VLOOKUP(C:C,[1]基础信息!B$1:F$65536,5,0)</f>
        <v>P55</v>
      </c>
    </row>
    <row r="3969" spans="1:40">
      <c r="A3969" s="1" t="s">
        <v>41</v>
      </c>
      <c r="B3969" s="1" t="s">
        <v>42</v>
      </c>
      <c r="C3969" s="1" t="s">
        <v>1004</v>
      </c>
      <c r="D3969" s="1" t="s">
        <v>1005</v>
      </c>
      <c r="E3969" s="1" t="s">
        <v>1004</v>
      </c>
      <c r="F3969" s="1" t="s">
        <v>9143</v>
      </c>
      <c r="G3969" s="1" t="s">
        <v>9144</v>
      </c>
      <c r="H3969" s="1" t="s">
        <v>45</v>
      </c>
      <c r="I3969" s="1" t="s">
        <v>45</v>
      </c>
      <c r="J3969" s="1" t="s">
        <v>48</v>
      </c>
      <c r="K3969" s="1">
        <v>6</v>
      </c>
      <c r="L3969" s="1">
        <v>0</v>
      </c>
      <c r="M3969" s="1">
        <v>0</v>
      </c>
      <c r="N3969" s="1">
        <v>6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 t="s">
        <v>49</v>
      </c>
      <c r="AA3969" s="1" t="s">
        <v>49</v>
      </c>
      <c r="AB3969" s="1" t="s">
        <v>49</v>
      </c>
      <c r="AC3969" s="1" t="s">
        <v>9145</v>
      </c>
      <c r="AD3969" s="1" t="s">
        <v>9146</v>
      </c>
      <c r="AE3969" s="1" t="s">
        <v>9145</v>
      </c>
      <c r="AF3969" s="1" t="s">
        <v>49</v>
      </c>
      <c r="AG3969" s="1" t="s">
        <v>9147</v>
      </c>
      <c r="AH3969" s="1" t="s">
        <v>49</v>
      </c>
      <c r="AI3969" s="1" t="s">
        <v>54</v>
      </c>
      <c r="AJ3969" s="1">
        <v>1</v>
      </c>
      <c r="AK3969" s="1" t="str">
        <f t="shared" si="62"/>
        <v xml:space="preserve"> =&lt;90</v>
      </c>
      <c r="AL3969" s="1" t="str">
        <f>VLOOKUP(C:C,[1]基础信息!B$1:D$65536,3,0)</f>
        <v>UTS</v>
      </c>
      <c r="AM3969" s="1" t="str">
        <f>VLOOKUP(C:C,[1]基础信息!B$1:E$65536,4,0)</f>
        <v>MyPure</v>
      </c>
      <c r="AN3969" s="1" t="str">
        <f>VLOOKUP(C:C,[1]基础信息!B$1:F$65536,5,0)</f>
        <v>U5</v>
      </c>
    </row>
    <row r="3970" spans="1:40">
      <c r="A3970" s="1" t="s">
        <v>41</v>
      </c>
      <c r="B3970" s="1" t="s">
        <v>42</v>
      </c>
      <c r="C3970" s="1" t="s">
        <v>104</v>
      </c>
      <c r="D3970" s="1" t="s">
        <v>105</v>
      </c>
      <c r="E3970" s="1" t="s">
        <v>104</v>
      </c>
      <c r="F3970" s="1" t="s">
        <v>9148</v>
      </c>
      <c r="G3970" s="1" t="s">
        <v>9149</v>
      </c>
      <c r="H3970" s="1" t="s">
        <v>45</v>
      </c>
      <c r="I3970" s="1" t="s">
        <v>45</v>
      </c>
      <c r="J3970" s="1" t="s">
        <v>48</v>
      </c>
      <c r="K3970" s="1">
        <v>17</v>
      </c>
      <c r="L3970" s="1">
        <v>0</v>
      </c>
      <c r="M3970" s="1">
        <v>0</v>
      </c>
      <c r="N3970" s="1">
        <v>17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 t="s">
        <v>49</v>
      </c>
      <c r="AA3970" s="1" t="s">
        <v>49</v>
      </c>
      <c r="AB3970" s="1" t="s">
        <v>49</v>
      </c>
      <c r="AC3970" s="1" t="s">
        <v>470</v>
      </c>
      <c r="AD3970" s="1" t="s">
        <v>471</v>
      </c>
      <c r="AE3970" s="1" t="s">
        <v>470</v>
      </c>
      <c r="AF3970" s="1" t="s">
        <v>7633</v>
      </c>
      <c r="AG3970" s="1" t="s">
        <v>1952</v>
      </c>
      <c r="AH3970" s="1" t="s">
        <v>8988</v>
      </c>
      <c r="AI3970" s="1" t="s">
        <v>54</v>
      </c>
      <c r="AJ3970" s="1">
        <v>1</v>
      </c>
      <c r="AK3970" s="1" t="str">
        <f t="shared" si="62"/>
        <v xml:space="preserve"> =&lt;90</v>
      </c>
      <c r="AL3970" s="1" t="str">
        <f>VLOOKUP(C:C,[1]基础信息!B$1:D$65536,3,0)</f>
        <v>Jug</v>
      </c>
      <c r="AM3970" s="1" t="str">
        <f>VLOOKUP(C:C,[1]基础信息!B$1:E$65536,4,0)</f>
        <v>Marella XL</v>
      </c>
      <c r="AN3970" s="1" t="str">
        <f>VLOOKUP(C:C,[1]基础信息!B$1:F$65536,5,0)</f>
        <v>Blue</v>
      </c>
    </row>
    <row r="3971" spans="1:40">
      <c r="A3971" s="1" t="s">
        <v>41</v>
      </c>
      <c r="B3971" s="1" t="s">
        <v>42</v>
      </c>
      <c r="C3971" s="1" t="s">
        <v>104</v>
      </c>
      <c r="D3971" s="1" t="s">
        <v>105</v>
      </c>
      <c r="E3971" s="1" t="s">
        <v>104</v>
      </c>
      <c r="F3971" s="1" t="s">
        <v>9070</v>
      </c>
      <c r="G3971" s="1" t="s">
        <v>9150</v>
      </c>
      <c r="H3971" s="1" t="s">
        <v>45</v>
      </c>
      <c r="I3971" s="1" t="s">
        <v>45</v>
      </c>
      <c r="J3971" s="1" t="s">
        <v>48</v>
      </c>
      <c r="K3971" s="1">
        <v>38</v>
      </c>
      <c r="L3971" s="1">
        <v>0</v>
      </c>
      <c r="M3971" s="1">
        <v>0</v>
      </c>
      <c r="N3971" s="1">
        <v>38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 t="s">
        <v>49</v>
      </c>
      <c r="AA3971" s="1" t="s">
        <v>49</v>
      </c>
      <c r="AB3971" s="1" t="s">
        <v>49</v>
      </c>
      <c r="AC3971" s="1" t="s">
        <v>470</v>
      </c>
      <c r="AD3971" s="1" t="s">
        <v>471</v>
      </c>
      <c r="AE3971" s="1" t="s">
        <v>470</v>
      </c>
      <c r="AF3971" s="1" t="s">
        <v>7633</v>
      </c>
      <c r="AG3971" s="1" t="s">
        <v>3464</v>
      </c>
      <c r="AH3971" s="1" t="s">
        <v>7928</v>
      </c>
      <c r="AI3971" s="1" t="s">
        <v>54</v>
      </c>
      <c r="AJ3971" s="1">
        <v>1</v>
      </c>
      <c r="AK3971" s="1" t="str">
        <f t="shared" si="62"/>
        <v xml:space="preserve"> =&lt;90</v>
      </c>
      <c r="AL3971" s="1" t="str">
        <f>VLOOKUP(C:C,[1]基础信息!B$1:D$65536,3,0)</f>
        <v>Jug</v>
      </c>
      <c r="AM3971" s="1" t="str">
        <f>VLOOKUP(C:C,[1]基础信息!B$1:E$65536,4,0)</f>
        <v>Marella XL</v>
      </c>
      <c r="AN3971" s="1" t="str">
        <f>VLOOKUP(C:C,[1]基础信息!B$1:F$65536,5,0)</f>
        <v>Blue</v>
      </c>
    </row>
    <row r="3972" spans="1:40">
      <c r="A3972" s="1" t="s">
        <v>41</v>
      </c>
      <c r="B3972" s="1" t="s">
        <v>42</v>
      </c>
      <c r="C3972" s="1" t="s">
        <v>9151</v>
      </c>
      <c r="D3972" s="1" t="s">
        <v>9152</v>
      </c>
      <c r="E3972" s="1" t="s">
        <v>9151</v>
      </c>
      <c r="F3972" s="1" t="s">
        <v>9153</v>
      </c>
      <c r="G3972" s="1" t="s">
        <v>9154</v>
      </c>
      <c r="H3972" s="1" t="s">
        <v>45</v>
      </c>
      <c r="I3972" s="1" t="s">
        <v>45</v>
      </c>
      <c r="J3972" s="1" t="s">
        <v>48</v>
      </c>
      <c r="K3972" s="1">
        <v>17</v>
      </c>
      <c r="L3972" s="1">
        <v>0</v>
      </c>
      <c r="M3972" s="1">
        <v>0</v>
      </c>
      <c r="N3972" s="1">
        <v>17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 t="s">
        <v>49</v>
      </c>
      <c r="AA3972" s="1" t="s">
        <v>49</v>
      </c>
      <c r="AB3972" s="1" t="s">
        <v>49</v>
      </c>
      <c r="AC3972" s="1" t="s">
        <v>9145</v>
      </c>
      <c r="AD3972" s="1" t="s">
        <v>9146</v>
      </c>
      <c r="AE3972" s="1" t="s">
        <v>9145</v>
      </c>
      <c r="AF3972" s="1" t="s">
        <v>49</v>
      </c>
      <c r="AG3972" s="1" t="s">
        <v>9147</v>
      </c>
      <c r="AH3972" s="1" t="s">
        <v>49</v>
      </c>
      <c r="AI3972" s="1" t="s">
        <v>54</v>
      </c>
      <c r="AJ3972" s="1">
        <v>1</v>
      </c>
      <c r="AK3972" s="1" t="str">
        <f t="shared" si="62"/>
        <v xml:space="preserve"> =&lt;90</v>
      </c>
      <c r="AL3972" s="1" t="str">
        <f>VLOOKUP(C:C,[1]基础信息!B$1:D$65536,3,0)</f>
        <v xml:space="preserve">Cartridge </v>
      </c>
      <c r="AM3972" s="1" t="str">
        <f>VLOOKUP(C:C,[1]基础信息!B$1:E$65536,4,0)</f>
        <v>LM</v>
      </c>
      <c r="AN3972" s="1" t="str">
        <f>VLOOKUP(C:C,[1]基础信息!B$1:F$65536,5,0)</f>
        <v>P6</v>
      </c>
    </row>
    <row r="3973" spans="1:40">
      <c r="A3973" s="1" t="s">
        <v>41</v>
      </c>
      <c r="B3973" s="1" t="s">
        <v>42</v>
      </c>
      <c r="C3973" s="1" t="s">
        <v>7922</v>
      </c>
      <c r="D3973" s="1" t="s">
        <v>7923</v>
      </c>
      <c r="E3973" s="1" t="s">
        <v>45</v>
      </c>
      <c r="F3973" s="1" t="s">
        <v>9155</v>
      </c>
      <c r="G3973" s="1" t="s">
        <v>9156</v>
      </c>
      <c r="H3973" s="1" t="s">
        <v>45</v>
      </c>
      <c r="I3973" s="1" t="s">
        <v>45</v>
      </c>
      <c r="J3973" s="1" t="s">
        <v>48</v>
      </c>
      <c r="K3973" s="1">
        <v>16</v>
      </c>
      <c r="L3973" s="1">
        <v>0</v>
      </c>
      <c r="M3973" s="1">
        <v>0</v>
      </c>
      <c r="N3973" s="1">
        <v>16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 t="s">
        <v>49</v>
      </c>
      <c r="AA3973" s="1" t="s">
        <v>49</v>
      </c>
      <c r="AB3973" s="1" t="s">
        <v>49</v>
      </c>
      <c r="AC3973" s="1" t="s">
        <v>9029</v>
      </c>
      <c r="AD3973" s="1" t="s">
        <v>9030</v>
      </c>
      <c r="AE3973" s="1" t="s">
        <v>9031</v>
      </c>
      <c r="AF3973" s="1" t="s">
        <v>49</v>
      </c>
      <c r="AG3973" s="1" t="s">
        <v>3464</v>
      </c>
      <c r="AH3973" s="1" t="s">
        <v>49</v>
      </c>
      <c r="AI3973" s="1" t="s">
        <v>54</v>
      </c>
      <c r="AJ3973" s="1">
        <v>1</v>
      </c>
      <c r="AK3973" s="1" t="str">
        <f t="shared" si="62"/>
        <v xml:space="preserve"> =&lt;90</v>
      </c>
      <c r="AL3973" s="1" t="str">
        <f>VLOOKUP(C:C,[1]基础信息!B$1:D$65536,3,0)</f>
        <v>Jug</v>
      </c>
      <c r="AM3973" s="1" t="str">
        <f>VLOOKUP(C:C,[1]基础信息!B$1:E$65536,4,0)</f>
        <v>Mxplus</v>
      </c>
      <c r="AN3973" s="1" t="str">
        <f>VLOOKUP(C:C,[1]基础信息!B$1:F$65536,5,0)</f>
        <v>Pink</v>
      </c>
    </row>
    <row r="3974" spans="1:40">
      <c r="A3974" s="1" t="s">
        <v>41</v>
      </c>
      <c r="B3974" s="1" t="s">
        <v>42</v>
      </c>
      <c r="C3974" s="1" t="s">
        <v>83</v>
      </c>
      <c r="D3974" s="1" t="s">
        <v>84</v>
      </c>
      <c r="E3974" s="1" t="s">
        <v>45</v>
      </c>
      <c r="F3974" s="1" t="s">
        <v>9157</v>
      </c>
      <c r="G3974" s="1" t="s">
        <v>9158</v>
      </c>
      <c r="H3974" s="1" t="s">
        <v>45</v>
      </c>
      <c r="I3974" s="1" t="s">
        <v>45</v>
      </c>
      <c r="J3974" s="1" t="s">
        <v>48</v>
      </c>
      <c r="K3974" s="1">
        <v>12</v>
      </c>
      <c r="L3974" s="1">
        <v>0</v>
      </c>
      <c r="M3974" s="1">
        <v>0</v>
      </c>
      <c r="N3974" s="1">
        <v>12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 t="s">
        <v>49</v>
      </c>
      <c r="AA3974" s="1" t="s">
        <v>49</v>
      </c>
      <c r="AB3974" s="1" t="s">
        <v>49</v>
      </c>
      <c r="AC3974" s="1" t="s">
        <v>9055</v>
      </c>
      <c r="AD3974" s="1" t="s">
        <v>9056</v>
      </c>
      <c r="AE3974" s="1" t="s">
        <v>9055</v>
      </c>
      <c r="AF3974" s="1" t="s">
        <v>49</v>
      </c>
      <c r="AG3974" s="1" t="s">
        <v>76</v>
      </c>
      <c r="AH3974" s="1" t="s">
        <v>49</v>
      </c>
      <c r="AI3974" s="1" t="s">
        <v>54</v>
      </c>
      <c r="AJ3974" s="1">
        <v>1</v>
      </c>
      <c r="AK3974" s="1" t="str">
        <f t="shared" si="62"/>
        <v xml:space="preserve"> =&lt;90</v>
      </c>
      <c r="AL3974" s="1" t="str">
        <f>VLOOKUP(C:C,[1]基础信息!B$1:D$65536,3,0)</f>
        <v>Jug</v>
      </c>
      <c r="AM3974" s="1" t="str">
        <f>VLOOKUP(C:C,[1]基础信息!B$1:E$65536,4,0)</f>
        <v>Mxplus</v>
      </c>
      <c r="AN3974" s="1" t="str">
        <f>VLOOKUP(C:C,[1]基础信息!B$1:F$65536,5,0)</f>
        <v>Blue</v>
      </c>
    </row>
    <row r="3975" spans="1:40">
      <c r="A3975" s="1" t="s">
        <v>41</v>
      </c>
      <c r="B3975" s="1" t="s">
        <v>42</v>
      </c>
      <c r="C3975" s="1" t="s">
        <v>9159</v>
      </c>
      <c r="D3975" s="1" t="s">
        <v>9160</v>
      </c>
      <c r="E3975" s="1" t="s">
        <v>45</v>
      </c>
      <c r="F3975" s="1" t="s">
        <v>9161</v>
      </c>
      <c r="G3975" s="1" t="s">
        <v>9162</v>
      </c>
      <c r="H3975" s="1" t="s">
        <v>45</v>
      </c>
      <c r="I3975" s="1" t="s">
        <v>45</v>
      </c>
      <c r="J3975" s="1" t="s">
        <v>48</v>
      </c>
      <c r="K3975" s="1">
        <v>16</v>
      </c>
      <c r="L3975" s="1">
        <v>0</v>
      </c>
      <c r="M3975" s="1">
        <v>0</v>
      </c>
      <c r="N3975" s="1">
        <v>16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 t="s">
        <v>49</v>
      </c>
      <c r="AA3975" s="1" t="s">
        <v>49</v>
      </c>
      <c r="AB3975" s="1" t="s">
        <v>49</v>
      </c>
      <c r="AC3975" s="1" t="s">
        <v>3264</v>
      </c>
      <c r="AD3975" s="1" t="s">
        <v>3265</v>
      </c>
      <c r="AE3975" s="1" t="s">
        <v>3264</v>
      </c>
      <c r="AF3975" s="1" t="s">
        <v>49</v>
      </c>
      <c r="AG3975" s="1" t="s">
        <v>6921</v>
      </c>
      <c r="AH3975" s="1" t="s">
        <v>49</v>
      </c>
      <c r="AI3975" s="1" t="s">
        <v>54</v>
      </c>
      <c r="AJ3975" s="1">
        <v>1</v>
      </c>
      <c r="AK3975" s="1" t="str">
        <f t="shared" si="62"/>
        <v xml:space="preserve"> =&lt;90</v>
      </c>
      <c r="AL3975" s="1" t="str">
        <f>VLOOKUP(C:C,[1]基础信息!B$1:D$65536,3,0)</f>
        <v>Hotcup</v>
      </c>
      <c r="AM3975" s="1" t="str">
        <f>VLOOKUP(C:C,[1]基础信息!B$1:E$65536,4,0)</f>
        <v>Hotcup</v>
      </c>
      <c r="AN3975" s="1" t="str">
        <f>VLOOKUP(C:C,[1]基础信息!B$1:F$65536,5,0)</f>
        <v>Silver</v>
      </c>
    </row>
    <row r="3976" spans="1:40">
      <c r="A3976" s="1" t="s">
        <v>41</v>
      </c>
      <c r="B3976" s="1" t="s">
        <v>42</v>
      </c>
      <c r="C3976" s="1" t="s">
        <v>9163</v>
      </c>
      <c r="D3976" s="1" t="s">
        <v>9164</v>
      </c>
      <c r="E3976" s="1" t="s">
        <v>9163</v>
      </c>
      <c r="F3976" s="1" t="s">
        <v>9165</v>
      </c>
      <c r="G3976" s="1" t="s">
        <v>9166</v>
      </c>
      <c r="H3976" s="1" t="s">
        <v>45</v>
      </c>
      <c r="I3976" s="1" t="s">
        <v>45</v>
      </c>
      <c r="J3976" s="1" t="s">
        <v>48</v>
      </c>
      <c r="K3976" s="1">
        <v>2</v>
      </c>
      <c r="L3976" s="1">
        <v>0</v>
      </c>
      <c r="M3976" s="1">
        <v>0</v>
      </c>
      <c r="N3976" s="1">
        <v>2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 t="s">
        <v>49</v>
      </c>
      <c r="AA3976" s="1" t="s">
        <v>49</v>
      </c>
      <c r="AB3976" s="1" t="s">
        <v>49</v>
      </c>
      <c r="AC3976" s="1" t="s">
        <v>9145</v>
      </c>
      <c r="AD3976" s="1" t="s">
        <v>9146</v>
      </c>
      <c r="AE3976" s="1" t="s">
        <v>9145</v>
      </c>
      <c r="AF3976" s="1" t="s">
        <v>49</v>
      </c>
      <c r="AG3976" s="1" t="s">
        <v>9147</v>
      </c>
      <c r="AH3976" s="1" t="s">
        <v>49</v>
      </c>
      <c r="AI3976" s="1" t="s">
        <v>54</v>
      </c>
      <c r="AJ3976" s="1">
        <v>1</v>
      </c>
      <c r="AK3976" s="1" t="str">
        <f t="shared" si="62"/>
        <v xml:space="preserve"> =&lt;90</v>
      </c>
      <c r="AL3976" s="1" t="str">
        <f>VLOOKUP(C:C,[1]基础信息!B$1:D$65536,3,0)</f>
        <v>Jug</v>
      </c>
      <c r="AM3976" s="1" t="str">
        <f>VLOOKUP(C:C,[1]基础信息!B$1:E$65536,4,0)</f>
        <v>Marella</v>
      </c>
      <c r="AN3976" s="1" t="str">
        <f>VLOOKUP(C:C,[1]基础信息!B$1:F$65536,5,0)</f>
        <v>Blue</v>
      </c>
    </row>
    <row r="3977" spans="1:40">
      <c r="A3977" s="1" t="s">
        <v>41</v>
      </c>
      <c r="B3977" s="1" t="s">
        <v>42</v>
      </c>
      <c r="C3977" s="1" t="s">
        <v>8790</v>
      </c>
      <c r="D3977" s="1" t="s">
        <v>8791</v>
      </c>
      <c r="E3977" s="1" t="s">
        <v>45</v>
      </c>
      <c r="F3977" s="1" t="s">
        <v>9167</v>
      </c>
      <c r="G3977" s="1" t="s">
        <v>9168</v>
      </c>
      <c r="H3977" s="1" t="s">
        <v>45</v>
      </c>
      <c r="I3977" s="1" t="s">
        <v>45</v>
      </c>
      <c r="J3977" s="1" t="s">
        <v>48</v>
      </c>
      <c r="K3977" s="1">
        <v>58</v>
      </c>
      <c r="L3977" s="1">
        <v>0</v>
      </c>
      <c r="M3977" s="1">
        <v>0</v>
      </c>
      <c r="N3977" s="1">
        <v>58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 t="s">
        <v>49</v>
      </c>
      <c r="AA3977" s="1" t="s">
        <v>49</v>
      </c>
      <c r="AB3977" s="1" t="s">
        <v>49</v>
      </c>
      <c r="AC3977" s="1" t="s">
        <v>9169</v>
      </c>
      <c r="AD3977" s="1" t="s">
        <v>9170</v>
      </c>
      <c r="AE3977" s="1" t="s">
        <v>9169</v>
      </c>
      <c r="AF3977" s="1" t="s">
        <v>9171</v>
      </c>
      <c r="AG3977" s="1" t="s">
        <v>4662</v>
      </c>
      <c r="AH3977" s="1" t="s">
        <v>49</v>
      </c>
      <c r="AI3977" s="1" t="s">
        <v>54</v>
      </c>
      <c r="AJ3977" s="1">
        <v>0</v>
      </c>
      <c r="AK3977" s="1" t="str">
        <f t="shared" si="62"/>
        <v xml:space="preserve"> =&lt;90</v>
      </c>
      <c r="AL3977" s="1" t="str">
        <f>VLOOKUP(C:C,[1]基础信息!B$1:D$65536,3,0)</f>
        <v xml:space="preserve">Cartridge </v>
      </c>
      <c r="AM3977" s="1" t="str">
        <f>VLOOKUP(C:C,[1]基础信息!B$1:E$65536,4,0)</f>
        <v>UNIV</v>
      </c>
      <c r="AN3977" s="1" t="str">
        <f>VLOOKUP(C:C,[1]基础信息!B$1:F$65536,5,0)</f>
        <v>P55</v>
      </c>
    </row>
    <row r="3978" spans="1:40">
      <c r="A3978" s="1" t="s">
        <v>41</v>
      </c>
      <c r="B3978" s="1" t="s">
        <v>42</v>
      </c>
      <c r="C3978" s="1" t="s">
        <v>8790</v>
      </c>
      <c r="D3978" s="1" t="s">
        <v>8791</v>
      </c>
      <c r="E3978" s="1" t="s">
        <v>45</v>
      </c>
      <c r="F3978" s="1" t="s">
        <v>9172</v>
      </c>
      <c r="G3978" s="1" t="s">
        <v>9168</v>
      </c>
      <c r="H3978" s="1" t="s">
        <v>45</v>
      </c>
      <c r="I3978" s="1" t="s">
        <v>45</v>
      </c>
      <c r="J3978" s="1" t="s">
        <v>48</v>
      </c>
      <c r="K3978" s="1">
        <v>45</v>
      </c>
      <c r="L3978" s="1">
        <v>0</v>
      </c>
      <c r="M3978" s="1">
        <v>0</v>
      </c>
      <c r="N3978" s="1">
        <v>45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 t="s">
        <v>49</v>
      </c>
      <c r="AA3978" s="1" t="s">
        <v>49</v>
      </c>
      <c r="AB3978" s="1" t="s">
        <v>49</v>
      </c>
      <c r="AC3978" s="1" t="s">
        <v>9169</v>
      </c>
      <c r="AD3978" s="1" t="s">
        <v>9170</v>
      </c>
      <c r="AE3978" s="1" t="s">
        <v>9169</v>
      </c>
      <c r="AF3978" s="1" t="s">
        <v>9173</v>
      </c>
      <c r="AG3978" s="1" t="s">
        <v>4662</v>
      </c>
      <c r="AH3978" s="1" t="s">
        <v>49</v>
      </c>
      <c r="AI3978" s="1" t="s">
        <v>54</v>
      </c>
      <c r="AJ3978" s="1">
        <v>1</v>
      </c>
      <c r="AK3978" s="1" t="str">
        <f t="shared" si="62"/>
        <v xml:space="preserve"> =&lt;90</v>
      </c>
      <c r="AL3978" s="1" t="str">
        <f>VLOOKUP(C:C,[1]基础信息!B$1:D$65536,3,0)</f>
        <v xml:space="preserve">Cartridge </v>
      </c>
      <c r="AM3978" s="1" t="str">
        <f>VLOOKUP(C:C,[1]基础信息!B$1:E$65536,4,0)</f>
        <v>UNIV</v>
      </c>
      <c r="AN3978" s="1" t="str">
        <f>VLOOKUP(C:C,[1]基础信息!B$1:F$65536,5,0)</f>
        <v>P55</v>
      </c>
    </row>
    <row r="3979" spans="1:40">
      <c r="A3979" s="1" t="s">
        <v>41</v>
      </c>
      <c r="B3979" s="1" t="s">
        <v>42</v>
      </c>
      <c r="C3979" s="1" t="s">
        <v>8610</v>
      </c>
      <c r="D3979" s="1" t="s">
        <v>8611</v>
      </c>
      <c r="E3979" s="1" t="s">
        <v>45</v>
      </c>
      <c r="F3979" s="1" t="s">
        <v>8703</v>
      </c>
      <c r="G3979" s="1" t="s">
        <v>9174</v>
      </c>
      <c r="H3979" s="1" t="s">
        <v>9175</v>
      </c>
      <c r="I3979" s="1" t="s">
        <v>45</v>
      </c>
      <c r="J3979" s="1" t="s">
        <v>48</v>
      </c>
      <c r="K3979" s="1">
        <v>1650</v>
      </c>
      <c r="L3979" s="1">
        <v>0</v>
      </c>
      <c r="M3979" s="1">
        <v>0</v>
      </c>
      <c r="N3979" s="1">
        <v>1650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 t="s">
        <v>49</v>
      </c>
      <c r="AA3979" s="1" t="s">
        <v>49</v>
      </c>
      <c r="AB3979" s="1" t="s">
        <v>49</v>
      </c>
      <c r="AC3979" s="1" t="s">
        <v>8706</v>
      </c>
      <c r="AD3979" s="1" t="s">
        <v>8707</v>
      </c>
      <c r="AE3979" s="1" t="s">
        <v>8706</v>
      </c>
      <c r="AF3979" s="1" t="s">
        <v>8708</v>
      </c>
      <c r="AG3979" s="1" t="s">
        <v>4662</v>
      </c>
      <c r="AH3979" s="1" t="s">
        <v>49</v>
      </c>
      <c r="AI3979" s="1" t="s">
        <v>54</v>
      </c>
      <c r="AJ3979" s="1">
        <v>1</v>
      </c>
      <c r="AK3979" s="1" t="str">
        <f t="shared" si="62"/>
        <v xml:space="preserve"> =&lt;90</v>
      </c>
      <c r="AL3979" s="1" t="str">
        <f>VLOOKUP(C:C,[1]基础信息!B$1:D$65536,3,0)</f>
        <v xml:space="preserve">Cartridge </v>
      </c>
      <c r="AM3979" s="1" t="str">
        <f>VLOOKUP(C:C,[1]基础信息!B$1:E$65536,4,0)</f>
        <v>UNIV</v>
      </c>
      <c r="AN3979" s="1" t="str">
        <f>VLOOKUP(C:C,[1]基础信息!B$1:F$65536,5,0)</f>
        <v>P55</v>
      </c>
    </row>
    <row r="3980" spans="1:40">
      <c r="A3980" s="1" t="s">
        <v>41</v>
      </c>
      <c r="B3980" s="1" t="s">
        <v>42</v>
      </c>
      <c r="C3980" s="1" t="s">
        <v>9176</v>
      </c>
      <c r="D3980" s="1" t="s">
        <v>9177</v>
      </c>
      <c r="E3980" s="1" t="s">
        <v>45</v>
      </c>
      <c r="F3980" s="1" t="s">
        <v>9178</v>
      </c>
      <c r="G3980" s="1" t="s">
        <v>9179</v>
      </c>
      <c r="H3980" s="1" t="s">
        <v>45</v>
      </c>
      <c r="I3980" s="1" t="s">
        <v>45</v>
      </c>
      <c r="J3980" s="1" t="s">
        <v>48</v>
      </c>
      <c r="K3980" s="1">
        <v>1</v>
      </c>
      <c r="L3980" s="1">
        <v>0</v>
      </c>
      <c r="M3980" s="1">
        <v>0</v>
      </c>
      <c r="N3980" s="1">
        <v>1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 t="s">
        <v>49</v>
      </c>
      <c r="AA3980" s="1" t="s">
        <v>49</v>
      </c>
      <c r="AB3980" s="1" t="s">
        <v>49</v>
      </c>
      <c r="AC3980" s="1" t="s">
        <v>9055</v>
      </c>
      <c r="AD3980" s="1" t="s">
        <v>9056</v>
      </c>
      <c r="AE3980" s="1" t="s">
        <v>9055</v>
      </c>
      <c r="AF3980" s="1" t="s">
        <v>49</v>
      </c>
      <c r="AG3980" s="1" t="s">
        <v>76</v>
      </c>
      <c r="AH3980" s="1" t="s">
        <v>49</v>
      </c>
      <c r="AI3980" s="1" t="s">
        <v>54</v>
      </c>
      <c r="AJ3980" s="1">
        <v>0</v>
      </c>
      <c r="AK3980" s="1" t="str">
        <f t="shared" si="62"/>
        <v xml:space="preserve"> =&lt;90</v>
      </c>
      <c r="AL3980" s="1" t="e">
        <f>VLOOKUP(C:C,[1]基础信息!B$1:D$65536,3,0)</f>
        <v>#N/A</v>
      </c>
      <c r="AM3980" s="1" t="e">
        <f>VLOOKUP(C:C,[1]基础信息!B$1:E$65536,4,0)</f>
        <v>#N/A</v>
      </c>
      <c r="AN3980" s="1" t="e">
        <f>VLOOKUP(C:C,[1]基础信息!B$1:F$65536,5,0)</f>
        <v>#N/A</v>
      </c>
    </row>
    <row r="3981" spans="1:40">
      <c r="A3981" s="1" t="s">
        <v>41</v>
      </c>
      <c r="B3981" s="1" t="s">
        <v>42</v>
      </c>
      <c r="C3981" s="1" t="s">
        <v>481</v>
      </c>
      <c r="D3981" s="1" t="s">
        <v>482</v>
      </c>
      <c r="E3981" s="1" t="s">
        <v>45</v>
      </c>
      <c r="F3981" s="1" t="s">
        <v>9180</v>
      </c>
      <c r="G3981" s="1" t="s">
        <v>9179</v>
      </c>
      <c r="H3981" s="1" t="s">
        <v>45</v>
      </c>
      <c r="I3981" s="1" t="s">
        <v>45</v>
      </c>
      <c r="J3981" s="1" t="s">
        <v>48</v>
      </c>
      <c r="K3981" s="1">
        <v>6</v>
      </c>
      <c r="L3981" s="1">
        <v>0</v>
      </c>
      <c r="M3981" s="1">
        <v>0</v>
      </c>
      <c r="N3981" s="1">
        <v>6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 t="s">
        <v>49</v>
      </c>
      <c r="AA3981" s="1" t="s">
        <v>49</v>
      </c>
      <c r="AB3981" s="1" t="s">
        <v>49</v>
      </c>
      <c r="AC3981" s="1" t="s">
        <v>9055</v>
      </c>
      <c r="AD3981" s="1" t="s">
        <v>9056</v>
      </c>
      <c r="AE3981" s="1" t="s">
        <v>9055</v>
      </c>
      <c r="AF3981" s="1" t="s">
        <v>49</v>
      </c>
      <c r="AG3981" s="1" t="s">
        <v>76</v>
      </c>
      <c r="AH3981" s="1" t="s">
        <v>49</v>
      </c>
      <c r="AI3981" s="1" t="s">
        <v>54</v>
      </c>
      <c r="AJ3981" s="1">
        <v>0</v>
      </c>
      <c r="AK3981" s="1" t="str">
        <f t="shared" si="62"/>
        <v xml:space="preserve"> =&lt;90</v>
      </c>
      <c r="AL3981" s="1" t="str">
        <f>VLOOKUP(C:C,[1]基础信息!B$1:D$65536,3,0)</f>
        <v>Jug</v>
      </c>
      <c r="AM3981" s="1" t="str">
        <f>VLOOKUP(C:C,[1]基础信息!B$1:E$65536,4,0)</f>
        <v>Style COOL</v>
      </c>
      <c r="AN3981" s="1" t="str">
        <f>VLOOKUP(C:C,[1]基础信息!B$1:F$65536,5,0)</f>
        <v>Cool Blue</v>
      </c>
    </row>
    <row r="3982" spans="1:40">
      <c r="A3982" s="1" t="s">
        <v>41</v>
      </c>
      <c r="B3982" s="1" t="s">
        <v>42</v>
      </c>
      <c r="C3982" s="1" t="s">
        <v>7922</v>
      </c>
      <c r="D3982" s="1" t="s">
        <v>7923</v>
      </c>
      <c r="E3982" s="1" t="s">
        <v>45</v>
      </c>
      <c r="F3982" s="1" t="s">
        <v>9181</v>
      </c>
      <c r="G3982" s="1" t="s">
        <v>9179</v>
      </c>
      <c r="H3982" s="1" t="s">
        <v>45</v>
      </c>
      <c r="I3982" s="1" t="s">
        <v>45</v>
      </c>
      <c r="J3982" s="1" t="s">
        <v>48</v>
      </c>
      <c r="K3982" s="1">
        <v>2</v>
      </c>
      <c r="L3982" s="1">
        <v>0</v>
      </c>
      <c r="M3982" s="1">
        <v>0</v>
      </c>
      <c r="N3982" s="1">
        <v>2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 t="s">
        <v>49</v>
      </c>
      <c r="AA3982" s="1" t="s">
        <v>49</v>
      </c>
      <c r="AB3982" s="1" t="s">
        <v>49</v>
      </c>
      <c r="AC3982" s="1" t="s">
        <v>9055</v>
      </c>
      <c r="AD3982" s="1" t="s">
        <v>9056</v>
      </c>
      <c r="AE3982" s="1" t="s">
        <v>9055</v>
      </c>
      <c r="AF3982" s="1" t="s">
        <v>49</v>
      </c>
      <c r="AG3982" s="1" t="s">
        <v>76</v>
      </c>
      <c r="AH3982" s="1" t="s">
        <v>49</v>
      </c>
      <c r="AI3982" s="1" t="s">
        <v>54</v>
      </c>
      <c r="AJ3982" s="1">
        <v>1</v>
      </c>
      <c r="AK3982" s="1" t="str">
        <f t="shared" si="62"/>
        <v xml:space="preserve"> =&lt;90</v>
      </c>
      <c r="AL3982" s="1" t="str">
        <f>VLOOKUP(C:C,[1]基础信息!B$1:D$65536,3,0)</f>
        <v>Jug</v>
      </c>
      <c r="AM3982" s="1" t="str">
        <f>VLOOKUP(C:C,[1]基础信息!B$1:E$65536,4,0)</f>
        <v>Mxplus</v>
      </c>
      <c r="AN3982" s="1" t="str">
        <f>VLOOKUP(C:C,[1]基础信息!B$1:F$65536,5,0)</f>
        <v>Pink</v>
      </c>
    </row>
    <row r="3983" spans="1:40">
      <c r="A3983" s="1" t="s">
        <v>41</v>
      </c>
      <c r="B3983" s="1" t="s">
        <v>42</v>
      </c>
      <c r="C3983" s="1" t="s">
        <v>4253</v>
      </c>
      <c r="D3983" s="1" t="s">
        <v>4254</v>
      </c>
      <c r="E3983" s="1" t="s">
        <v>45</v>
      </c>
      <c r="F3983" s="1" t="s">
        <v>9182</v>
      </c>
      <c r="G3983" s="1" t="s">
        <v>9183</v>
      </c>
      <c r="H3983" s="1" t="s">
        <v>45</v>
      </c>
      <c r="I3983" s="1" t="s">
        <v>45</v>
      </c>
      <c r="J3983" s="1" t="s">
        <v>48</v>
      </c>
      <c r="K3983" s="1">
        <v>120</v>
      </c>
      <c r="L3983" s="1">
        <v>0</v>
      </c>
      <c r="M3983" s="1">
        <v>0</v>
      </c>
      <c r="N3983" s="1">
        <v>120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 t="s">
        <v>49</v>
      </c>
      <c r="AA3983" s="1" t="s">
        <v>49</v>
      </c>
      <c r="AB3983" s="1" t="s">
        <v>49</v>
      </c>
      <c r="AC3983" s="1" t="s">
        <v>8263</v>
      </c>
      <c r="AD3983" s="1" t="s">
        <v>9184</v>
      </c>
      <c r="AE3983" s="1" t="s">
        <v>8263</v>
      </c>
      <c r="AF3983" s="1" t="s">
        <v>49</v>
      </c>
      <c r="AG3983" s="1" t="s">
        <v>1952</v>
      </c>
      <c r="AH3983" s="1" t="s">
        <v>8988</v>
      </c>
      <c r="AI3983" s="1" t="s">
        <v>54</v>
      </c>
      <c r="AJ3983" s="1">
        <v>1</v>
      </c>
      <c r="AK3983" s="1" t="str">
        <f t="shared" si="62"/>
        <v xml:space="preserve"> =&lt;90</v>
      </c>
      <c r="AL3983" s="1" t="str">
        <f>VLOOKUP(C:C,[1]基础信息!B$1:D$65536,3,0)</f>
        <v xml:space="preserve">Cartridge </v>
      </c>
      <c r="AM3983" s="1" t="str">
        <f>VLOOKUP(C:C,[1]基础信息!B$1:E$65536,4,0)</f>
        <v>UNIV</v>
      </c>
      <c r="AN3983" s="1" t="str">
        <f>VLOOKUP(C:C,[1]基础信息!B$1:F$65536,5,0)</f>
        <v>P6</v>
      </c>
    </row>
    <row r="3984" spans="1:40">
      <c r="A3984" s="1" t="s">
        <v>41</v>
      </c>
      <c r="B3984" s="1" t="s">
        <v>42</v>
      </c>
      <c r="C3984" s="1" t="s">
        <v>8790</v>
      </c>
      <c r="D3984" s="1" t="s">
        <v>8791</v>
      </c>
      <c r="E3984" s="1" t="s">
        <v>45</v>
      </c>
      <c r="F3984" s="1" t="s">
        <v>9185</v>
      </c>
      <c r="G3984" s="1" t="s">
        <v>9186</v>
      </c>
      <c r="H3984" s="1" t="s">
        <v>45</v>
      </c>
      <c r="I3984" s="1" t="s">
        <v>45</v>
      </c>
      <c r="J3984" s="1" t="s">
        <v>48</v>
      </c>
      <c r="K3984" s="1">
        <v>116</v>
      </c>
      <c r="L3984" s="1">
        <v>0</v>
      </c>
      <c r="M3984" s="1">
        <v>0</v>
      </c>
      <c r="N3984" s="1">
        <v>116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 t="s">
        <v>49</v>
      </c>
      <c r="AA3984" s="1" t="s">
        <v>49</v>
      </c>
      <c r="AB3984" s="1" t="s">
        <v>49</v>
      </c>
      <c r="AC3984" s="1" t="s">
        <v>2898</v>
      </c>
      <c r="AD3984" s="1" t="s">
        <v>9187</v>
      </c>
      <c r="AE3984" s="1" t="s">
        <v>2898</v>
      </c>
      <c r="AF3984" s="1" t="s">
        <v>49</v>
      </c>
      <c r="AG3984" s="1" t="s">
        <v>3464</v>
      </c>
      <c r="AH3984" s="1" t="s">
        <v>49</v>
      </c>
      <c r="AI3984" s="1" t="s">
        <v>54</v>
      </c>
      <c r="AJ3984" s="1">
        <v>1</v>
      </c>
      <c r="AK3984" s="1" t="str">
        <f t="shared" si="62"/>
        <v xml:space="preserve"> =&lt;90</v>
      </c>
      <c r="AL3984" s="1" t="str">
        <f>VLOOKUP(C:C,[1]基础信息!B$1:D$65536,3,0)</f>
        <v xml:space="preserve">Cartridge </v>
      </c>
      <c r="AM3984" s="1" t="str">
        <f>VLOOKUP(C:C,[1]基础信息!B$1:E$65536,4,0)</f>
        <v>UNIV</v>
      </c>
      <c r="AN3984" s="1" t="str">
        <f>VLOOKUP(C:C,[1]基础信息!B$1:F$65536,5,0)</f>
        <v>P55</v>
      </c>
    </row>
    <row r="3985" spans="1:40">
      <c r="A3985" s="1" t="s">
        <v>41</v>
      </c>
      <c r="B3985" s="1" t="s">
        <v>42</v>
      </c>
      <c r="C3985" s="1" t="s">
        <v>5117</v>
      </c>
      <c r="D3985" s="1" t="s">
        <v>5118</v>
      </c>
      <c r="E3985" s="1" t="s">
        <v>45</v>
      </c>
      <c r="F3985" s="1" t="s">
        <v>9188</v>
      </c>
      <c r="G3985" s="1" t="s">
        <v>9189</v>
      </c>
      <c r="H3985" s="1" t="s">
        <v>45</v>
      </c>
      <c r="I3985" s="1" t="s">
        <v>45</v>
      </c>
      <c r="J3985" s="1" t="s">
        <v>48</v>
      </c>
      <c r="K3985" s="1">
        <v>4</v>
      </c>
      <c r="L3985" s="1">
        <v>0</v>
      </c>
      <c r="M3985" s="1">
        <v>0</v>
      </c>
      <c r="N3985" s="1">
        <v>4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 t="s">
        <v>49</v>
      </c>
      <c r="AA3985" s="1" t="s">
        <v>49</v>
      </c>
      <c r="AB3985" s="1" t="s">
        <v>49</v>
      </c>
      <c r="AC3985" s="1" t="s">
        <v>9145</v>
      </c>
      <c r="AD3985" s="1" t="s">
        <v>9146</v>
      </c>
      <c r="AE3985" s="1" t="s">
        <v>9145</v>
      </c>
      <c r="AF3985" s="1" t="s">
        <v>49</v>
      </c>
      <c r="AG3985" s="1" t="s">
        <v>9147</v>
      </c>
      <c r="AH3985" s="1" t="s">
        <v>49</v>
      </c>
      <c r="AI3985" s="1" t="s">
        <v>54</v>
      </c>
      <c r="AJ3985" s="1">
        <v>1</v>
      </c>
      <c r="AK3985" s="1" t="str">
        <f t="shared" si="62"/>
        <v xml:space="preserve"> =&lt;90</v>
      </c>
      <c r="AL3985" s="1" t="str">
        <f>VLOOKUP(C:C,[1]基础信息!B$1:D$65536,3,0)</f>
        <v>UTS</v>
      </c>
      <c r="AM3985" s="1" t="str">
        <f>VLOOKUP(C:C,[1]基础信息!B$1:E$65536,4,0)</f>
        <v>MyPure</v>
      </c>
      <c r="AN3985" s="1" t="str">
        <f>VLOOKUP(C:C,[1]基础信息!B$1:F$65536,5,0)</f>
        <v>Refill</v>
      </c>
    </row>
    <row r="3986" spans="1:40">
      <c r="A3986" s="1" t="s">
        <v>41</v>
      </c>
      <c r="B3986" s="1" t="s">
        <v>42</v>
      </c>
      <c r="C3986" s="1" t="s">
        <v>9190</v>
      </c>
      <c r="D3986" s="1" t="s">
        <v>9191</v>
      </c>
      <c r="E3986" s="1" t="s">
        <v>9190</v>
      </c>
      <c r="F3986" s="1" t="s">
        <v>9192</v>
      </c>
      <c r="G3986" s="1" t="s">
        <v>9193</v>
      </c>
      <c r="H3986" s="1" t="s">
        <v>45</v>
      </c>
      <c r="I3986" s="1" t="s">
        <v>45</v>
      </c>
      <c r="J3986" s="1" t="s">
        <v>48</v>
      </c>
      <c r="K3986" s="1">
        <v>156</v>
      </c>
      <c r="L3986" s="1">
        <v>0</v>
      </c>
      <c r="M3986" s="1">
        <v>0</v>
      </c>
      <c r="N3986" s="1">
        <v>156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 t="s">
        <v>49</v>
      </c>
      <c r="AA3986" s="1" t="s">
        <v>49</v>
      </c>
      <c r="AB3986" s="1" t="s">
        <v>49</v>
      </c>
      <c r="AC3986" s="1" t="s">
        <v>8263</v>
      </c>
      <c r="AD3986" s="1" t="s">
        <v>9184</v>
      </c>
      <c r="AE3986" s="1" t="s">
        <v>8263</v>
      </c>
      <c r="AF3986" s="1" t="s">
        <v>49</v>
      </c>
      <c r="AG3986" s="1" t="s">
        <v>3464</v>
      </c>
      <c r="AH3986" s="1" t="s">
        <v>7928</v>
      </c>
      <c r="AI3986" s="1" t="s">
        <v>54</v>
      </c>
      <c r="AJ3986" s="1">
        <v>1</v>
      </c>
      <c r="AK3986" s="1" t="str">
        <f t="shared" si="62"/>
        <v xml:space="preserve"> =&lt;90</v>
      </c>
      <c r="AL3986" s="1" t="str">
        <f>VLOOKUP(C:C,[1]基础信息!B$1:D$65536,3,0)</f>
        <v xml:space="preserve">Cartridge </v>
      </c>
      <c r="AM3986" s="1" t="str">
        <f>VLOOKUP(C:C,[1]基础信息!B$1:E$65536,4,0)</f>
        <v>UNIV</v>
      </c>
      <c r="AN3986" s="1" t="str">
        <f>VLOOKUP(C:C,[1]基础信息!B$1:F$65536,5,0)</f>
        <v>P1</v>
      </c>
    </row>
    <row r="3987" spans="1:40">
      <c r="A3987" s="1" t="s">
        <v>41</v>
      </c>
      <c r="B3987" s="1" t="s">
        <v>42</v>
      </c>
      <c r="C3987" s="1" t="s">
        <v>8790</v>
      </c>
      <c r="D3987" s="1" t="s">
        <v>8791</v>
      </c>
      <c r="E3987" s="1" t="s">
        <v>45</v>
      </c>
      <c r="F3987" s="1" t="s">
        <v>9194</v>
      </c>
      <c r="G3987" s="1" t="s">
        <v>9195</v>
      </c>
      <c r="H3987" s="1" t="s">
        <v>45</v>
      </c>
      <c r="I3987" s="1" t="s">
        <v>45</v>
      </c>
      <c r="J3987" s="1" t="s">
        <v>48</v>
      </c>
      <c r="K3987" s="1">
        <v>13</v>
      </c>
      <c r="L3987" s="1">
        <v>0</v>
      </c>
      <c r="M3987" s="1">
        <v>0</v>
      </c>
      <c r="N3987" s="1">
        <v>13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 t="s">
        <v>49</v>
      </c>
      <c r="AA3987" s="1" t="s">
        <v>49</v>
      </c>
      <c r="AB3987" s="1" t="s">
        <v>49</v>
      </c>
      <c r="AC3987" s="1" t="s">
        <v>9169</v>
      </c>
      <c r="AD3987" s="1" t="s">
        <v>9170</v>
      </c>
      <c r="AE3987" s="1" t="s">
        <v>9169</v>
      </c>
      <c r="AF3987" s="1" t="s">
        <v>9196</v>
      </c>
      <c r="AG3987" s="1" t="s">
        <v>4662</v>
      </c>
      <c r="AH3987" s="1" t="s">
        <v>49</v>
      </c>
      <c r="AI3987" s="1" t="s">
        <v>54</v>
      </c>
      <c r="AJ3987" s="1">
        <v>0</v>
      </c>
      <c r="AK3987" s="1" t="str">
        <f t="shared" si="62"/>
        <v xml:space="preserve"> =&lt;90</v>
      </c>
      <c r="AL3987" s="1" t="str">
        <f>VLOOKUP(C:C,[1]基础信息!B$1:D$65536,3,0)</f>
        <v xml:space="preserve">Cartridge </v>
      </c>
      <c r="AM3987" s="1" t="str">
        <f>VLOOKUP(C:C,[1]基础信息!B$1:E$65536,4,0)</f>
        <v>UNIV</v>
      </c>
      <c r="AN3987" s="1" t="str">
        <f>VLOOKUP(C:C,[1]基础信息!B$1:F$65536,5,0)</f>
        <v>P55</v>
      </c>
    </row>
    <row r="3988" spans="1:40">
      <c r="A3988" s="1" t="s">
        <v>41</v>
      </c>
      <c r="B3988" s="1" t="s">
        <v>42</v>
      </c>
      <c r="C3988" s="1" t="s">
        <v>8790</v>
      </c>
      <c r="D3988" s="1" t="s">
        <v>8791</v>
      </c>
      <c r="E3988" s="1" t="s">
        <v>45</v>
      </c>
      <c r="F3988" s="1" t="s">
        <v>9197</v>
      </c>
      <c r="G3988" s="1" t="s">
        <v>9195</v>
      </c>
      <c r="H3988" s="1" t="s">
        <v>45</v>
      </c>
      <c r="I3988" s="1" t="s">
        <v>45</v>
      </c>
      <c r="J3988" s="1" t="s">
        <v>48</v>
      </c>
      <c r="K3988" s="1">
        <v>20</v>
      </c>
      <c r="L3988" s="1">
        <v>0</v>
      </c>
      <c r="M3988" s="1">
        <v>0</v>
      </c>
      <c r="N3988" s="1">
        <v>20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 t="s">
        <v>49</v>
      </c>
      <c r="AA3988" s="1" t="s">
        <v>49</v>
      </c>
      <c r="AB3988" s="1" t="s">
        <v>49</v>
      </c>
      <c r="AC3988" s="1" t="s">
        <v>9169</v>
      </c>
      <c r="AD3988" s="1" t="s">
        <v>9170</v>
      </c>
      <c r="AE3988" s="1" t="s">
        <v>9169</v>
      </c>
      <c r="AF3988" s="1" t="s">
        <v>9198</v>
      </c>
      <c r="AG3988" s="1" t="s">
        <v>4662</v>
      </c>
      <c r="AH3988" s="1" t="s">
        <v>49</v>
      </c>
      <c r="AI3988" s="1" t="s">
        <v>54</v>
      </c>
      <c r="AJ3988" s="1">
        <v>0</v>
      </c>
      <c r="AK3988" s="1" t="str">
        <f t="shared" si="62"/>
        <v xml:space="preserve"> =&lt;90</v>
      </c>
      <c r="AL3988" s="1" t="str">
        <f>VLOOKUP(C:C,[1]基础信息!B$1:D$65536,3,0)</f>
        <v xml:space="preserve">Cartridge </v>
      </c>
      <c r="AM3988" s="1" t="str">
        <f>VLOOKUP(C:C,[1]基础信息!B$1:E$65536,4,0)</f>
        <v>UNIV</v>
      </c>
      <c r="AN3988" s="1" t="str">
        <f>VLOOKUP(C:C,[1]基础信息!B$1:F$65536,5,0)</f>
        <v>P55</v>
      </c>
    </row>
    <row r="3989" spans="1:40">
      <c r="A3989" s="1" t="s">
        <v>41</v>
      </c>
      <c r="B3989" s="1" t="s">
        <v>42</v>
      </c>
      <c r="C3989" s="1" t="s">
        <v>8790</v>
      </c>
      <c r="D3989" s="1" t="s">
        <v>8791</v>
      </c>
      <c r="E3989" s="1" t="s">
        <v>45</v>
      </c>
      <c r="F3989" s="1" t="s">
        <v>9199</v>
      </c>
      <c r="G3989" s="1" t="s">
        <v>9195</v>
      </c>
      <c r="H3989" s="1" t="s">
        <v>45</v>
      </c>
      <c r="I3989" s="1" t="s">
        <v>45</v>
      </c>
      <c r="J3989" s="1" t="s">
        <v>48</v>
      </c>
      <c r="K3989" s="1">
        <v>1</v>
      </c>
      <c r="L3989" s="1">
        <v>0</v>
      </c>
      <c r="M3989" s="1">
        <v>0</v>
      </c>
      <c r="N3989" s="1">
        <v>1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 t="s">
        <v>49</v>
      </c>
      <c r="AA3989" s="1" t="s">
        <v>49</v>
      </c>
      <c r="AB3989" s="1" t="s">
        <v>49</v>
      </c>
      <c r="AC3989" s="1" t="s">
        <v>9169</v>
      </c>
      <c r="AD3989" s="1" t="s">
        <v>9170</v>
      </c>
      <c r="AE3989" s="1" t="s">
        <v>9169</v>
      </c>
      <c r="AF3989" s="1" t="s">
        <v>9200</v>
      </c>
      <c r="AG3989" s="1" t="s">
        <v>4662</v>
      </c>
      <c r="AH3989" s="1" t="s">
        <v>49</v>
      </c>
      <c r="AI3989" s="1" t="s">
        <v>54</v>
      </c>
      <c r="AJ3989" s="1">
        <v>1</v>
      </c>
      <c r="AK3989" s="1" t="str">
        <f t="shared" si="62"/>
        <v xml:space="preserve"> =&lt;90</v>
      </c>
      <c r="AL3989" s="1" t="str">
        <f>VLOOKUP(C:C,[1]基础信息!B$1:D$65536,3,0)</f>
        <v xml:space="preserve">Cartridge </v>
      </c>
      <c r="AM3989" s="1" t="str">
        <f>VLOOKUP(C:C,[1]基础信息!B$1:E$65536,4,0)</f>
        <v>UNIV</v>
      </c>
      <c r="AN3989" s="1" t="str">
        <f>VLOOKUP(C:C,[1]基础信息!B$1:F$65536,5,0)</f>
        <v>P55</v>
      </c>
    </row>
    <row r="3990" spans="1:40">
      <c r="A3990" s="1" t="s">
        <v>41</v>
      </c>
      <c r="B3990" s="1" t="s">
        <v>42</v>
      </c>
      <c r="C3990" s="1" t="s">
        <v>7755</v>
      </c>
      <c r="D3990" s="1" t="s">
        <v>7756</v>
      </c>
      <c r="E3990" s="1" t="s">
        <v>45</v>
      </c>
      <c r="F3990" s="1" t="s">
        <v>9201</v>
      </c>
      <c r="G3990" s="1" t="s">
        <v>9202</v>
      </c>
      <c r="H3990" s="1" t="s">
        <v>45</v>
      </c>
      <c r="I3990" s="1" t="s">
        <v>45</v>
      </c>
      <c r="J3990" s="1" t="s">
        <v>48</v>
      </c>
      <c r="K3990" s="1">
        <v>232</v>
      </c>
      <c r="L3990" s="1">
        <v>0</v>
      </c>
      <c r="M3990" s="1">
        <v>0</v>
      </c>
      <c r="N3990" s="1">
        <v>232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 t="s">
        <v>49</v>
      </c>
      <c r="AA3990" s="1" t="s">
        <v>49</v>
      </c>
      <c r="AB3990" s="1" t="s">
        <v>49</v>
      </c>
      <c r="AC3990" s="1" t="s">
        <v>2898</v>
      </c>
      <c r="AD3990" s="1" t="s">
        <v>9187</v>
      </c>
      <c r="AE3990" s="1" t="s">
        <v>2898</v>
      </c>
      <c r="AF3990" s="1" t="s">
        <v>49</v>
      </c>
      <c r="AG3990" s="1" t="s">
        <v>3464</v>
      </c>
      <c r="AH3990" s="1" t="s">
        <v>49</v>
      </c>
      <c r="AI3990" s="1" t="s">
        <v>54</v>
      </c>
      <c r="AJ3990" s="1">
        <v>1</v>
      </c>
      <c r="AK3990" s="1" t="str">
        <f t="shared" si="62"/>
        <v xml:space="preserve"> =&lt;90</v>
      </c>
      <c r="AL3990" s="1" t="str">
        <f>VLOOKUP(C:C,[1]基础信息!B$1:D$65536,3,0)</f>
        <v xml:space="preserve">Cartridge </v>
      </c>
      <c r="AM3990" s="1" t="str">
        <f>VLOOKUP(C:C,[1]基础信息!B$1:E$65536,4,0)</f>
        <v>LM</v>
      </c>
      <c r="AN3990" s="1" t="str">
        <f>VLOOKUP(C:C,[1]基础信息!B$1:F$65536,5,0)</f>
        <v>P55</v>
      </c>
    </row>
    <row r="3991" spans="1:40">
      <c r="A3991" s="1" t="s">
        <v>41</v>
      </c>
      <c r="B3991" s="1" t="s">
        <v>42</v>
      </c>
      <c r="C3991" s="1" t="s">
        <v>5105</v>
      </c>
      <c r="D3991" s="1" t="s">
        <v>5106</v>
      </c>
      <c r="E3991" s="1" t="s">
        <v>5105</v>
      </c>
      <c r="F3991" s="1" t="s">
        <v>9203</v>
      </c>
      <c r="G3991" s="1" t="s">
        <v>9204</v>
      </c>
      <c r="H3991" s="1" t="s">
        <v>45</v>
      </c>
      <c r="I3991" s="1" t="s">
        <v>45</v>
      </c>
      <c r="J3991" s="1" t="s">
        <v>48</v>
      </c>
      <c r="K3991" s="1">
        <v>1</v>
      </c>
      <c r="L3991" s="1">
        <v>0</v>
      </c>
      <c r="M3991" s="1">
        <v>0</v>
      </c>
      <c r="N3991" s="1">
        <v>1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 t="s">
        <v>49</v>
      </c>
      <c r="AA3991" s="1" t="s">
        <v>49</v>
      </c>
      <c r="AB3991" s="1" t="s">
        <v>49</v>
      </c>
      <c r="AC3991" s="1" t="s">
        <v>169</v>
      </c>
      <c r="AD3991" s="1" t="s">
        <v>9205</v>
      </c>
      <c r="AE3991" s="1" t="s">
        <v>169</v>
      </c>
      <c r="AF3991" s="1" t="s">
        <v>49</v>
      </c>
      <c r="AG3991" s="1" t="s">
        <v>7747</v>
      </c>
      <c r="AH3991" s="1" t="s">
        <v>9089</v>
      </c>
      <c r="AI3991" s="1" t="s">
        <v>54</v>
      </c>
      <c r="AJ3991" s="1">
        <v>1</v>
      </c>
      <c r="AK3991" s="1" t="str">
        <f t="shared" si="62"/>
        <v xml:space="preserve"> =&lt;90</v>
      </c>
      <c r="AL3991" s="1" t="str">
        <f>VLOOKUP(C:C,[1]基础信息!B$1:D$65536,3,0)</f>
        <v>UTS</v>
      </c>
      <c r="AM3991" s="1" t="str">
        <f>VLOOKUP(C:C,[1]基础信息!B$1:E$65536,4,0)</f>
        <v>MyPure Pro</v>
      </c>
      <c r="AN3991" s="1" t="str">
        <f>VLOOKUP(C:C,[1]基础信息!B$1:F$65536,5,0)</f>
        <v>X3</v>
      </c>
    </row>
    <row r="3992" spans="1:40">
      <c r="A3992" s="1" t="s">
        <v>41</v>
      </c>
      <c r="B3992" s="1" t="s">
        <v>42</v>
      </c>
      <c r="C3992" s="1" t="s">
        <v>3971</v>
      </c>
      <c r="D3992" s="1" t="s">
        <v>3972</v>
      </c>
      <c r="E3992" s="1" t="s">
        <v>45</v>
      </c>
      <c r="F3992" s="1" t="s">
        <v>9206</v>
      </c>
      <c r="G3992" s="1" t="s">
        <v>9207</v>
      </c>
      <c r="H3992" s="1" t="s">
        <v>45</v>
      </c>
      <c r="I3992" s="1" t="s">
        <v>45</v>
      </c>
      <c r="J3992" s="1" t="s">
        <v>48</v>
      </c>
      <c r="K3992" s="1">
        <v>37</v>
      </c>
      <c r="L3992" s="1">
        <v>0</v>
      </c>
      <c r="M3992" s="1">
        <v>0</v>
      </c>
      <c r="N3992" s="1">
        <v>37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 t="s">
        <v>49</v>
      </c>
      <c r="AA3992" s="1" t="s">
        <v>49</v>
      </c>
      <c r="AB3992" s="1" t="s">
        <v>49</v>
      </c>
      <c r="AC3992" s="1" t="s">
        <v>9145</v>
      </c>
      <c r="AD3992" s="1" t="s">
        <v>9146</v>
      </c>
      <c r="AE3992" s="1" t="s">
        <v>9145</v>
      </c>
      <c r="AF3992" s="1" t="s">
        <v>49</v>
      </c>
      <c r="AG3992" s="1" t="s">
        <v>9147</v>
      </c>
      <c r="AH3992" s="1" t="s">
        <v>49</v>
      </c>
      <c r="AI3992" s="1" t="s">
        <v>54</v>
      </c>
      <c r="AJ3992" s="1">
        <v>1</v>
      </c>
      <c r="AK3992" s="1" t="str">
        <f t="shared" si="62"/>
        <v xml:space="preserve"> =&lt;90</v>
      </c>
      <c r="AL3992" s="1" t="str">
        <f>VLOOKUP(C:C,[1]基础信息!B$1:D$65536,3,0)</f>
        <v>Jug</v>
      </c>
      <c r="AM3992" s="1" t="str">
        <f>VLOOKUP(C:C,[1]基础信息!B$1:E$65536,4,0)</f>
        <v>Mxplus</v>
      </c>
      <c r="AN3992" s="1" t="str">
        <f>VLOOKUP(C:C,[1]基础信息!B$1:F$65536,5,0)</f>
        <v xml:space="preserve"> lime</v>
      </c>
    </row>
    <row r="3993" spans="1:40">
      <c r="A3993" s="1" t="s">
        <v>41</v>
      </c>
      <c r="B3993" s="1" t="s">
        <v>42</v>
      </c>
      <c r="C3993" s="1" t="s">
        <v>7755</v>
      </c>
      <c r="D3993" s="1" t="s">
        <v>7756</v>
      </c>
      <c r="E3993" s="1" t="s">
        <v>45</v>
      </c>
      <c r="F3993" s="1" t="s">
        <v>9141</v>
      </c>
      <c r="G3993" s="1" t="s">
        <v>9208</v>
      </c>
      <c r="H3993" s="1" t="s">
        <v>45</v>
      </c>
      <c r="I3993" s="1" t="s">
        <v>45</v>
      </c>
      <c r="J3993" s="1" t="s">
        <v>48</v>
      </c>
      <c r="K3993" s="1">
        <v>142</v>
      </c>
      <c r="L3993" s="1">
        <v>0</v>
      </c>
      <c r="M3993" s="1">
        <v>0</v>
      </c>
      <c r="N3993" s="1">
        <v>142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 t="s">
        <v>49</v>
      </c>
      <c r="AA3993" s="1" t="s">
        <v>49</v>
      </c>
      <c r="AB3993" s="1" t="s">
        <v>49</v>
      </c>
      <c r="AC3993" s="1" t="s">
        <v>5462</v>
      </c>
      <c r="AD3993" s="1" t="s">
        <v>8336</v>
      </c>
      <c r="AE3993" s="1" t="s">
        <v>5462</v>
      </c>
      <c r="AF3993" s="1" t="s">
        <v>49</v>
      </c>
      <c r="AG3993" s="1" t="s">
        <v>1952</v>
      </c>
      <c r="AH3993" s="1" t="s">
        <v>49</v>
      </c>
      <c r="AI3993" s="1" t="s">
        <v>54</v>
      </c>
      <c r="AJ3993" s="1">
        <v>1</v>
      </c>
      <c r="AK3993" s="1" t="str">
        <f t="shared" si="62"/>
        <v xml:space="preserve"> =&lt;90</v>
      </c>
      <c r="AL3993" s="1" t="str">
        <f>VLOOKUP(C:C,[1]基础信息!B$1:D$65536,3,0)</f>
        <v xml:space="preserve">Cartridge </v>
      </c>
      <c r="AM3993" s="1" t="str">
        <f>VLOOKUP(C:C,[1]基础信息!B$1:E$65536,4,0)</f>
        <v>LM</v>
      </c>
      <c r="AN3993" s="1" t="str">
        <f>VLOOKUP(C:C,[1]基础信息!B$1:F$65536,5,0)</f>
        <v>P55</v>
      </c>
    </row>
    <row r="3994" spans="1:40">
      <c r="A3994" s="1" t="s">
        <v>41</v>
      </c>
      <c r="B3994" s="1" t="s">
        <v>42</v>
      </c>
      <c r="C3994" s="1" t="s">
        <v>6106</v>
      </c>
      <c r="D3994" s="1" t="s">
        <v>6107</v>
      </c>
      <c r="E3994" s="1" t="s">
        <v>45</v>
      </c>
      <c r="F3994" s="1" t="s">
        <v>9209</v>
      </c>
      <c r="G3994" s="1" t="s">
        <v>9210</v>
      </c>
      <c r="H3994" s="1" t="s">
        <v>45</v>
      </c>
      <c r="I3994" s="1" t="s">
        <v>45</v>
      </c>
      <c r="J3994" s="1" t="s">
        <v>48</v>
      </c>
      <c r="K3994" s="1">
        <v>26</v>
      </c>
      <c r="L3994" s="1">
        <v>0</v>
      </c>
      <c r="M3994" s="1">
        <v>0</v>
      </c>
      <c r="N3994" s="1">
        <v>26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 t="s">
        <v>49</v>
      </c>
      <c r="AA3994" s="1" t="s">
        <v>49</v>
      </c>
      <c r="AB3994" s="1" t="s">
        <v>49</v>
      </c>
      <c r="AC3994" s="1" t="s">
        <v>206</v>
      </c>
      <c r="AD3994" s="1" t="s">
        <v>9102</v>
      </c>
      <c r="AE3994" s="1" t="s">
        <v>206</v>
      </c>
      <c r="AF3994" s="1" t="s">
        <v>49</v>
      </c>
      <c r="AG3994" s="1" t="s">
        <v>7747</v>
      </c>
      <c r="AH3994" s="1" t="s">
        <v>49</v>
      </c>
      <c r="AI3994" s="1" t="s">
        <v>54</v>
      </c>
      <c r="AJ3994" s="1">
        <v>0</v>
      </c>
      <c r="AK3994" s="1" t="str">
        <f t="shared" si="62"/>
        <v xml:space="preserve"> =&lt;90</v>
      </c>
      <c r="AL3994" s="1" t="str">
        <f>VLOOKUP(C:C,[1]基础信息!B$1:D$65536,3,0)</f>
        <v>On tap</v>
      </c>
      <c r="AM3994" s="1" t="str">
        <f>VLOOKUP(C:C,[1]基础信息!B$1:E$65536,4,0)</f>
        <v>On tap</v>
      </c>
      <c r="AN3994" s="1" t="str">
        <f>VLOOKUP(C:C,[1]基础信息!B$1:F$65536,5,0)</f>
        <v>Refill</v>
      </c>
    </row>
    <row r="3995" spans="1:40">
      <c r="A3995" s="1" t="s">
        <v>41</v>
      </c>
      <c r="B3995" s="1" t="s">
        <v>42</v>
      </c>
      <c r="C3995" s="1" t="s">
        <v>1437</v>
      </c>
      <c r="D3995" s="1" t="s">
        <v>1438</v>
      </c>
      <c r="E3995" s="1" t="s">
        <v>45</v>
      </c>
      <c r="F3995" s="1" t="s">
        <v>9211</v>
      </c>
      <c r="G3995" s="1" t="s">
        <v>9210</v>
      </c>
      <c r="H3995" s="1" t="s">
        <v>45</v>
      </c>
      <c r="I3995" s="1" t="s">
        <v>45</v>
      </c>
      <c r="J3995" s="1" t="s">
        <v>48</v>
      </c>
      <c r="K3995" s="1">
        <v>21</v>
      </c>
      <c r="L3995" s="1">
        <v>0</v>
      </c>
      <c r="M3995" s="1">
        <v>0</v>
      </c>
      <c r="N3995" s="1">
        <v>21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 t="s">
        <v>49</v>
      </c>
      <c r="AA3995" s="1" t="s">
        <v>49</v>
      </c>
      <c r="AB3995" s="1" t="s">
        <v>49</v>
      </c>
      <c r="AC3995" s="1" t="s">
        <v>206</v>
      </c>
      <c r="AD3995" s="1" t="s">
        <v>9102</v>
      </c>
      <c r="AE3995" s="1" t="s">
        <v>206</v>
      </c>
      <c r="AF3995" s="1" t="s">
        <v>49</v>
      </c>
      <c r="AG3995" s="1" t="s">
        <v>7747</v>
      </c>
      <c r="AH3995" s="1" t="s">
        <v>49</v>
      </c>
      <c r="AI3995" s="1" t="s">
        <v>54</v>
      </c>
      <c r="AJ3995" s="1">
        <v>0</v>
      </c>
      <c r="AK3995" s="1" t="str">
        <f t="shared" ref="AK3995:AK4058" si="63">IF(AJ3995&gt;$AP$2,$AQ$2,IF(AJ3995&gt;$AP$3,$AQ$3,IF(AJ3995&gt;$AP$4,$AQ$4,$AQ$5)))</f>
        <v xml:space="preserve"> =&lt;90</v>
      </c>
      <c r="AL3995" s="1" t="str">
        <f>VLOOKUP(C:C,[1]基础信息!B$1:D$65536,3,0)</f>
        <v>On tap</v>
      </c>
      <c r="AM3995" s="1" t="str">
        <f>VLOOKUP(C:C,[1]基础信息!B$1:E$65536,4,0)</f>
        <v>On tap</v>
      </c>
      <c r="AN3995" s="1" t="str">
        <f>VLOOKUP(C:C,[1]基础信息!B$1:F$65536,5,0)</f>
        <v>On tap</v>
      </c>
    </row>
    <row r="3996" spans="1:40">
      <c r="A3996" s="1" t="s">
        <v>41</v>
      </c>
      <c r="B3996" s="1" t="s">
        <v>42</v>
      </c>
      <c r="C3996" s="1" t="s">
        <v>5076</v>
      </c>
      <c r="D3996" s="1" t="s">
        <v>5077</v>
      </c>
      <c r="E3996" s="1" t="s">
        <v>5076</v>
      </c>
      <c r="F3996" s="1" t="s">
        <v>9212</v>
      </c>
      <c r="G3996" s="1" t="s">
        <v>9210</v>
      </c>
      <c r="H3996" s="1" t="s">
        <v>45</v>
      </c>
      <c r="I3996" s="1" t="s">
        <v>45</v>
      </c>
      <c r="J3996" s="1" t="s">
        <v>48</v>
      </c>
      <c r="K3996" s="1">
        <v>3</v>
      </c>
      <c r="L3996" s="1">
        <v>0</v>
      </c>
      <c r="M3996" s="1">
        <v>0</v>
      </c>
      <c r="N3996" s="1">
        <v>3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 t="s">
        <v>49</v>
      </c>
      <c r="AA3996" s="1" t="s">
        <v>49</v>
      </c>
      <c r="AB3996" s="1" t="s">
        <v>49</v>
      </c>
      <c r="AC3996" s="1" t="s">
        <v>206</v>
      </c>
      <c r="AD3996" s="1" t="s">
        <v>9102</v>
      </c>
      <c r="AE3996" s="1" t="s">
        <v>206</v>
      </c>
      <c r="AF3996" s="1" t="s">
        <v>49</v>
      </c>
      <c r="AG3996" s="1" t="s">
        <v>7747</v>
      </c>
      <c r="AH3996" s="1" t="s">
        <v>49</v>
      </c>
      <c r="AI3996" s="1" t="s">
        <v>54</v>
      </c>
      <c r="AJ3996" s="1">
        <v>0</v>
      </c>
      <c r="AK3996" s="1" t="str">
        <f t="shared" si="63"/>
        <v xml:space="preserve"> =&lt;90</v>
      </c>
      <c r="AL3996" s="1" t="str">
        <f>VLOOKUP(C:C,[1]基础信息!B$1:D$65536,3,0)</f>
        <v>UTS</v>
      </c>
      <c r="AM3996" s="1" t="str">
        <f>VLOOKUP(C:C,[1]基础信息!B$1:E$65536,4,0)</f>
        <v>MyPure Pro</v>
      </c>
      <c r="AN3996" s="1" t="str">
        <f>VLOOKUP(C:C,[1]基础信息!B$1:F$65536,5,0)</f>
        <v>Refill</v>
      </c>
    </row>
    <row r="3997" spans="1:40">
      <c r="A3997" s="1" t="s">
        <v>41</v>
      </c>
      <c r="B3997" s="1" t="s">
        <v>42</v>
      </c>
      <c r="C3997" s="1" t="s">
        <v>3731</v>
      </c>
      <c r="D3997" s="1" t="s">
        <v>3732</v>
      </c>
      <c r="E3997" s="1" t="s">
        <v>45</v>
      </c>
      <c r="F3997" s="1" t="s">
        <v>9213</v>
      </c>
      <c r="G3997" s="1" t="s">
        <v>9210</v>
      </c>
      <c r="H3997" s="1" t="s">
        <v>45</v>
      </c>
      <c r="I3997" s="1" t="s">
        <v>45</v>
      </c>
      <c r="J3997" s="1" t="s">
        <v>48</v>
      </c>
      <c r="K3997" s="1">
        <v>2</v>
      </c>
      <c r="L3997" s="1">
        <v>0</v>
      </c>
      <c r="M3997" s="1">
        <v>0</v>
      </c>
      <c r="N3997" s="1">
        <v>2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 t="s">
        <v>49</v>
      </c>
      <c r="AA3997" s="1" t="s">
        <v>49</v>
      </c>
      <c r="AB3997" s="1" t="s">
        <v>49</v>
      </c>
      <c r="AC3997" s="1" t="s">
        <v>206</v>
      </c>
      <c r="AD3997" s="1" t="s">
        <v>9102</v>
      </c>
      <c r="AE3997" s="1" t="s">
        <v>206</v>
      </c>
      <c r="AF3997" s="1" t="s">
        <v>49</v>
      </c>
      <c r="AG3997" s="1" t="s">
        <v>7747</v>
      </c>
      <c r="AH3997" s="1" t="s">
        <v>49</v>
      </c>
      <c r="AI3997" s="1" t="s">
        <v>54</v>
      </c>
      <c r="AJ3997" s="1">
        <v>1</v>
      </c>
      <c r="AK3997" s="1" t="str">
        <f t="shared" si="63"/>
        <v xml:space="preserve"> =&lt;90</v>
      </c>
      <c r="AL3997" s="1" t="str">
        <f>VLOOKUP(C:C,[1]基础信息!B$1:D$65536,3,0)</f>
        <v>UTS</v>
      </c>
      <c r="AM3997" s="1" t="str">
        <f>VLOOKUP(C:C,[1]基础信息!B$1:E$65536,4,0)</f>
        <v>MyPure</v>
      </c>
      <c r="AN3997" s="1" t="str">
        <f>VLOOKUP(C:C,[1]基础信息!B$1:F$65536,5,0)</f>
        <v>Refill</v>
      </c>
    </row>
    <row r="3998" spans="1:40">
      <c r="A3998" s="1" t="s">
        <v>41</v>
      </c>
      <c r="B3998" s="1" t="s">
        <v>42</v>
      </c>
      <c r="C3998" s="1" t="s">
        <v>6914</v>
      </c>
      <c r="D3998" s="1" t="s">
        <v>6915</v>
      </c>
      <c r="E3998" s="1" t="s">
        <v>45</v>
      </c>
      <c r="F3998" s="1" t="s">
        <v>9214</v>
      </c>
      <c r="G3998" s="1" t="s">
        <v>9215</v>
      </c>
      <c r="H3998" s="1" t="s">
        <v>45</v>
      </c>
      <c r="I3998" s="1" t="s">
        <v>45</v>
      </c>
      <c r="J3998" s="1" t="s">
        <v>48</v>
      </c>
      <c r="K3998" s="1">
        <v>10</v>
      </c>
      <c r="L3998" s="1">
        <v>0</v>
      </c>
      <c r="M3998" s="1">
        <v>0</v>
      </c>
      <c r="N3998" s="1">
        <v>10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 t="s">
        <v>49</v>
      </c>
      <c r="AA3998" s="1" t="s">
        <v>49</v>
      </c>
      <c r="AB3998" s="1" t="s">
        <v>49</v>
      </c>
      <c r="AC3998" s="1" t="s">
        <v>3264</v>
      </c>
      <c r="AD3998" s="1" t="s">
        <v>3265</v>
      </c>
      <c r="AE3998" s="1" t="s">
        <v>3264</v>
      </c>
      <c r="AF3998" s="1" t="s">
        <v>49</v>
      </c>
      <c r="AG3998" s="1" t="s">
        <v>6921</v>
      </c>
      <c r="AH3998" s="1" t="s">
        <v>49</v>
      </c>
      <c r="AI3998" s="1" t="s">
        <v>54</v>
      </c>
      <c r="AJ3998" s="1">
        <v>1</v>
      </c>
      <c r="AK3998" s="1" t="str">
        <f t="shared" si="63"/>
        <v xml:space="preserve"> =&lt;90</v>
      </c>
      <c r="AL3998" s="1" t="str">
        <f>VLOOKUP(C:C,[1]基础信息!B$1:D$65536,3,0)</f>
        <v>Hotcup</v>
      </c>
      <c r="AM3998" s="1" t="str">
        <f>VLOOKUP(C:C,[1]基础信息!B$1:E$65536,4,0)</f>
        <v>Hotcup</v>
      </c>
      <c r="AN3998" s="1" t="str">
        <f>VLOOKUP(C:C,[1]基础信息!B$1:F$65536,5,0)</f>
        <v>Silver</v>
      </c>
    </row>
    <row r="3999" spans="1:40">
      <c r="A3999" s="1" t="s">
        <v>41</v>
      </c>
      <c r="B3999" s="1" t="s">
        <v>42</v>
      </c>
      <c r="C3999" s="1" t="s">
        <v>1437</v>
      </c>
      <c r="D3999" s="1" t="s">
        <v>1438</v>
      </c>
      <c r="E3999" s="1" t="s">
        <v>45</v>
      </c>
      <c r="F3999" s="1" t="s">
        <v>9216</v>
      </c>
      <c r="G3999" s="1" t="s">
        <v>9217</v>
      </c>
      <c r="H3999" s="1" t="s">
        <v>45</v>
      </c>
      <c r="I3999" s="1" t="s">
        <v>45</v>
      </c>
      <c r="J3999" s="1" t="s">
        <v>48</v>
      </c>
      <c r="K3999" s="1">
        <v>11</v>
      </c>
      <c r="L3999" s="1">
        <v>0</v>
      </c>
      <c r="M3999" s="1">
        <v>0</v>
      </c>
      <c r="N3999" s="1">
        <v>11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 t="s">
        <v>49</v>
      </c>
      <c r="AA3999" s="1" t="s">
        <v>49</v>
      </c>
      <c r="AB3999" s="1" t="s">
        <v>49</v>
      </c>
      <c r="AC3999" s="1" t="s">
        <v>9055</v>
      </c>
      <c r="AD3999" s="1" t="s">
        <v>9056</v>
      </c>
      <c r="AE3999" s="1" t="s">
        <v>9055</v>
      </c>
      <c r="AF3999" s="1" t="s">
        <v>49</v>
      </c>
      <c r="AG3999" s="1" t="s">
        <v>76</v>
      </c>
      <c r="AH3999" s="1" t="s">
        <v>49</v>
      </c>
      <c r="AI3999" s="1" t="s">
        <v>54</v>
      </c>
      <c r="AJ3999" s="1">
        <v>0</v>
      </c>
      <c r="AK3999" s="1" t="str">
        <f t="shared" si="63"/>
        <v xml:space="preserve"> =&lt;90</v>
      </c>
      <c r="AL3999" s="1" t="str">
        <f>VLOOKUP(C:C,[1]基础信息!B$1:D$65536,3,0)</f>
        <v>On tap</v>
      </c>
      <c r="AM3999" s="1" t="str">
        <f>VLOOKUP(C:C,[1]基础信息!B$1:E$65536,4,0)</f>
        <v>On tap</v>
      </c>
      <c r="AN3999" s="1" t="str">
        <f>VLOOKUP(C:C,[1]基础信息!B$1:F$65536,5,0)</f>
        <v>On tap</v>
      </c>
    </row>
    <row r="4000" spans="1:40">
      <c r="A4000" s="1" t="s">
        <v>41</v>
      </c>
      <c r="B4000" s="1" t="s">
        <v>42</v>
      </c>
      <c r="C4000" s="1" t="s">
        <v>6106</v>
      </c>
      <c r="D4000" s="1" t="s">
        <v>6107</v>
      </c>
      <c r="E4000" s="1" t="s">
        <v>45</v>
      </c>
      <c r="F4000" s="1" t="s">
        <v>9218</v>
      </c>
      <c r="G4000" s="1" t="s">
        <v>9217</v>
      </c>
      <c r="H4000" s="1" t="s">
        <v>45</v>
      </c>
      <c r="I4000" s="1" t="s">
        <v>45</v>
      </c>
      <c r="J4000" s="1" t="s">
        <v>48</v>
      </c>
      <c r="K4000" s="1">
        <v>20</v>
      </c>
      <c r="L4000" s="1">
        <v>0</v>
      </c>
      <c r="M4000" s="1">
        <v>0</v>
      </c>
      <c r="N4000" s="1">
        <v>20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 t="s">
        <v>49</v>
      </c>
      <c r="AA4000" s="1" t="s">
        <v>49</v>
      </c>
      <c r="AB4000" s="1" t="s">
        <v>49</v>
      </c>
      <c r="AC4000" s="1" t="s">
        <v>9055</v>
      </c>
      <c r="AD4000" s="1" t="s">
        <v>9056</v>
      </c>
      <c r="AE4000" s="1" t="s">
        <v>9055</v>
      </c>
      <c r="AF4000" s="1" t="s">
        <v>49</v>
      </c>
      <c r="AG4000" s="1" t="s">
        <v>76</v>
      </c>
      <c r="AH4000" s="1" t="s">
        <v>49</v>
      </c>
      <c r="AI4000" s="1" t="s">
        <v>54</v>
      </c>
      <c r="AJ4000" s="1">
        <v>1</v>
      </c>
      <c r="AK4000" s="1" t="str">
        <f t="shared" si="63"/>
        <v xml:space="preserve"> =&lt;90</v>
      </c>
      <c r="AL4000" s="1" t="str">
        <f>VLOOKUP(C:C,[1]基础信息!B$1:D$65536,3,0)</f>
        <v>On tap</v>
      </c>
      <c r="AM4000" s="1" t="str">
        <f>VLOOKUP(C:C,[1]基础信息!B$1:E$65536,4,0)</f>
        <v>On tap</v>
      </c>
      <c r="AN4000" s="1" t="str">
        <f>VLOOKUP(C:C,[1]基础信息!B$1:F$65536,5,0)</f>
        <v>Refill</v>
      </c>
    </row>
    <row r="4001" spans="1:40">
      <c r="A4001" s="1" t="s">
        <v>41</v>
      </c>
      <c r="B4001" s="1" t="s">
        <v>42</v>
      </c>
      <c r="C4001" s="1" t="s">
        <v>8790</v>
      </c>
      <c r="D4001" s="1" t="s">
        <v>8791</v>
      </c>
      <c r="E4001" s="1" t="s">
        <v>45</v>
      </c>
      <c r="F4001" s="1" t="s">
        <v>9219</v>
      </c>
      <c r="G4001" s="1" t="s">
        <v>9220</v>
      </c>
      <c r="H4001" s="1" t="s">
        <v>45</v>
      </c>
      <c r="I4001" s="1" t="s">
        <v>45</v>
      </c>
      <c r="J4001" s="1" t="s">
        <v>48</v>
      </c>
      <c r="K4001" s="1">
        <v>27</v>
      </c>
      <c r="L4001" s="1">
        <v>0</v>
      </c>
      <c r="M4001" s="1">
        <v>0</v>
      </c>
      <c r="N4001" s="1">
        <v>27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 t="s">
        <v>49</v>
      </c>
      <c r="AA4001" s="1" t="s">
        <v>49</v>
      </c>
      <c r="AB4001" s="1" t="s">
        <v>49</v>
      </c>
      <c r="AC4001" s="1" t="s">
        <v>9169</v>
      </c>
      <c r="AD4001" s="1" t="s">
        <v>9170</v>
      </c>
      <c r="AE4001" s="1" t="s">
        <v>9169</v>
      </c>
      <c r="AF4001" s="1" t="s">
        <v>9221</v>
      </c>
      <c r="AG4001" s="1" t="s">
        <v>4662</v>
      </c>
      <c r="AH4001" s="1" t="s">
        <v>49</v>
      </c>
      <c r="AI4001" s="1" t="s">
        <v>54</v>
      </c>
      <c r="AJ4001" s="1">
        <v>0</v>
      </c>
      <c r="AK4001" s="1" t="str">
        <f t="shared" si="63"/>
        <v xml:space="preserve"> =&lt;90</v>
      </c>
      <c r="AL4001" s="1" t="str">
        <f>VLOOKUP(C:C,[1]基础信息!B$1:D$65536,3,0)</f>
        <v xml:space="preserve">Cartridge </v>
      </c>
      <c r="AM4001" s="1" t="str">
        <f>VLOOKUP(C:C,[1]基础信息!B$1:E$65536,4,0)</f>
        <v>UNIV</v>
      </c>
      <c r="AN4001" s="1" t="str">
        <f>VLOOKUP(C:C,[1]基础信息!B$1:F$65536,5,0)</f>
        <v>P55</v>
      </c>
    </row>
    <row r="4002" spans="1:40">
      <c r="A4002" s="1" t="s">
        <v>41</v>
      </c>
      <c r="B4002" s="1" t="s">
        <v>42</v>
      </c>
      <c r="C4002" s="1" t="s">
        <v>8790</v>
      </c>
      <c r="D4002" s="1" t="s">
        <v>8791</v>
      </c>
      <c r="E4002" s="1" t="s">
        <v>45</v>
      </c>
      <c r="F4002" s="1" t="s">
        <v>9222</v>
      </c>
      <c r="G4002" s="1" t="s">
        <v>9220</v>
      </c>
      <c r="H4002" s="1" t="s">
        <v>45</v>
      </c>
      <c r="I4002" s="1" t="s">
        <v>45</v>
      </c>
      <c r="J4002" s="1" t="s">
        <v>48</v>
      </c>
      <c r="K4002" s="1">
        <v>28</v>
      </c>
      <c r="L4002" s="1">
        <v>0</v>
      </c>
      <c r="M4002" s="1">
        <v>0</v>
      </c>
      <c r="N4002" s="1">
        <v>28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 t="s">
        <v>49</v>
      </c>
      <c r="AA4002" s="1" t="s">
        <v>49</v>
      </c>
      <c r="AB4002" s="1" t="s">
        <v>49</v>
      </c>
      <c r="AC4002" s="1" t="s">
        <v>9169</v>
      </c>
      <c r="AD4002" s="1" t="s">
        <v>9170</v>
      </c>
      <c r="AE4002" s="1" t="s">
        <v>9169</v>
      </c>
      <c r="AF4002" s="1" t="s">
        <v>9223</v>
      </c>
      <c r="AG4002" s="1" t="s">
        <v>4662</v>
      </c>
      <c r="AH4002" s="1" t="s">
        <v>49</v>
      </c>
      <c r="AI4002" s="1" t="s">
        <v>54</v>
      </c>
      <c r="AJ4002" s="1">
        <v>1</v>
      </c>
      <c r="AK4002" s="1" t="str">
        <f t="shared" si="63"/>
        <v xml:space="preserve"> =&lt;90</v>
      </c>
      <c r="AL4002" s="1" t="str">
        <f>VLOOKUP(C:C,[1]基础信息!B$1:D$65536,3,0)</f>
        <v xml:space="preserve">Cartridge </v>
      </c>
      <c r="AM4002" s="1" t="str">
        <f>VLOOKUP(C:C,[1]基础信息!B$1:E$65536,4,0)</f>
        <v>UNIV</v>
      </c>
      <c r="AN4002" s="1" t="str">
        <f>VLOOKUP(C:C,[1]基础信息!B$1:F$65536,5,0)</f>
        <v>P55</v>
      </c>
    </row>
    <row r="4003" spans="1:40">
      <c r="A4003" s="1" t="s">
        <v>41</v>
      </c>
      <c r="B4003" s="1" t="s">
        <v>42</v>
      </c>
      <c r="C4003" s="1" t="s">
        <v>2760</v>
      </c>
      <c r="D4003" s="1" t="s">
        <v>2761</v>
      </c>
      <c r="E4003" s="1" t="s">
        <v>45</v>
      </c>
      <c r="F4003" s="1" t="s">
        <v>9224</v>
      </c>
      <c r="G4003" s="1" t="s">
        <v>9225</v>
      </c>
      <c r="H4003" s="1" t="s">
        <v>45</v>
      </c>
      <c r="I4003" s="1" t="s">
        <v>45</v>
      </c>
      <c r="J4003" s="1" t="s">
        <v>48</v>
      </c>
      <c r="K4003" s="1">
        <v>10</v>
      </c>
      <c r="L4003" s="1">
        <v>0</v>
      </c>
      <c r="M4003" s="1">
        <v>0</v>
      </c>
      <c r="N4003" s="1">
        <v>10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 t="s">
        <v>49</v>
      </c>
      <c r="AA4003" s="1" t="s">
        <v>49</v>
      </c>
      <c r="AB4003" s="1" t="s">
        <v>49</v>
      </c>
      <c r="AC4003" s="1" t="s">
        <v>4003</v>
      </c>
      <c r="AD4003" s="1" t="s">
        <v>4004</v>
      </c>
      <c r="AE4003" s="1" t="s">
        <v>9226</v>
      </c>
      <c r="AF4003" s="1" t="s">
        <v>4469</v>
      </c>
      <c r="AG4003" s="1" t="s">
        <v>7747</v>
      </c>
      <c r="AH4003" s="1" t="s">
        <v>49</v>
      </c>
      <c r="AI4003" s="1" t="s">
        <v>54</v>
      </c>
      <c r="AJ4003" s="1">
        <v>0</v>
      </c>
      <c r="AK4003" s="1" t="str">
        <f t="shared" si="63"/>
        <v xml:space="preserve"> =&lt;90</v>
      </c>
      <c r="AL4003" s="1" t="str">
        <f>VLOOKUP(C:C,[1]基础信息!B$1:D$65536,3,0)</f>
        <v>UTS</v>
      </c>
      <c r="AM4003" s="1" t="str">
        <f>VLOOKUP(C:C,[1]基础信息!B$1:E$65536,4,0)</f>
        <v>MyPure</v>
      </c>
      <c r="AN4003" s="1" t="str">
        <f>VLOOKUP(C:C,[1]基础信息!B$1:F$65536,5,0)</f>
        <v>Refill</v>
      </c>
    </row>
    <row r="4004" spans="1:40">
      <c r="A4004" s="1" t="s">
        <v>41</v>
      </c>
      <c r="B4004" s="1" t="s">
        <v>42</v>
      </c>
      <c r="C4004" s="1" t="s">
        <v>2628</v>
      </c>
      <c r="D4004" s="1" t="s">
        <v>2629</v>
      </c>
      <c r="E4004" s="1" t="s">
        <v>45</v>
      </c>
      <c r="F4004" s="1" t="s">
        <v>9227</v>
      </c>
      <c r="G4004" s="1" t="s">
        <v>9225</v>
      </c>
      <c r="H4004" s="1" t="s">
        <v>45</v>
      </c>
      <c r="I4004" s="1" t="s">
        <v>45</v>
      </c>
      <c r="J4004" s="1" t="s">
        <v>48</v>
      </c>
      <c r="K4004" s="1">
        <v>3</v>
      </c>
      <c r="L4004" s="1">
        <v>0</v>
      </c>
      <c r="M4004" s="1">
        <v>0</v>
      </c>
      <c r="N4004" s="1">
        <v>3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 t="s">
        <v>49</v>
      </c>
      <c r="AA4004" s="1" t="s">
        <v>49</v>
      </c>
      <c r="AB4004" s="1" t="s">
        <v>49</v>
      </c>
      <c r="AC4004" s="1" t="s">
        <v>5899</v>
      </c>
      <c r="AD4004" s="1" t="s">
        <v>5900</v>
      </c>
      <c r="AE4004" s="1" t="s">
        <v>5899</v>
      </c>
      <c r="AF4004" s="1" t="s">
        <v>49</v>
      </c>
      <c r="AG4004" s="1" t="s">
        <v>7747</v>
      </c>
      <c r="AH4004" s="1" t="s">
        <v>49</v>
      </c>
      <c r="AI4004" s="1" t="s">
        <v>54</v>
      </c>
      <c r="AJ4004" s="1">
        <v>0</v>
      </c>
      <c r="AK4004" s="1" t="str">
        <f t="shared" si="63"/>
        <v xml:space="preserve"> =&lt;90</v>
      </c>
      <c r="AL4004" s="1" t="str">
        <f>VLOOKUP(C:C,[1]基础信息!B$1:D$65536,3,0)</f>
        <v>UTS</v>
      </c>
      <c r="AM4004" s="1" t="str">
        <f>VLOOKUP(C:C,[1]基础信息!B$1:E$65536,4,0)</f>
        <v>MyPure</v>
      </c>
      <c r="AN4004" s="1" t="str">
        <f>VLOOKUP(C:C,[1]基础信息!B$1:F$65536,5,0)</f>
        <v>Refill</v>
      </c>
    </row>
    <row r="4005" spans="1:40">
      <c r="A4005" s="1" t="s">
        <v>41</v>
      </c>
      <c r="B4005" s="1" t="s">
        <v>42</v>
      </c>
      <c r="C4005" s="1" t="s">
        <v>2628</v>
      </c>
      <c r="D4005" s="1" t="s">
        <v>2629</v>
      </c>
      <c r="E4005" s="1" t="s">
        <v>45</v>
      </c>
      <c r="F4005" s="1" t="s">
        <v>9228</v>
      </c>
      <c r="G4005" s="1" t="s">
        <v>9225</v>
      </c>
      <c r="H4005" s="1" t="s">
        <v>45</v>
      </c>
      <c r="I4005" s="1" t="s">
        <v>45</v>
      </c>
      <c r="J4005" s="1" t="s">
        <v>48</v>
      </c>
      <c r="K4005" s="1">
        <v>2</v>
      </c>
      <c r="L4005" s="1">
        <v>0</v>
      </c>
      <c r="M4005" s="1">
        <v>0</v>
      </c>
      <c r="N4005" s="1">
        <v>2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 t="s">
        <v>49</v>
      </c>
      <c r="AA4005" s="1" t="s">
        <v>49</v>
      </c>
      <c r="AB4005" s="1" t="s">
        <v>49</v>
      </c>
      <c r="AC4005" s="1" t="s">
        <v>9229</v>
      </c>
      <c r="AD4005" s="1" t="s">
        <v>9230</v>
      </c>
      <c r="AE4005" s="1" t="s">
        <v>8377</v>
      </c>
      <c r="AF4005" s="1" t="s">
        <v>49</v>
      </c>
      <c r="AG4005" s="1" t="s">
        <v>7747</v>
      </c>
      <c r="AH4005" s="1" t="s">
        <v>49</v>
      </c>
      <c r="AI4005" s="1" t="s">
        <v>54</v>
      </c>
      <c r="AJ4005" s="1">
        <v>0</v>
      </c>
      <c r="AK4005" s="1" t="str">
        <f t="shared" si="63"/>
        <v xml:space="preserve"> =&lt;90</v>
      </c>
      <c r="AL4005" s="1" t="str">
        <f>VLOOKUP(C:C,[1]基础信息!B$1:D$65536,3,0)</f>
        <v>UTS</v>
      </c>
      <c r="AM4005" s="1" t="str">
        <f>VLOOKUP(C:C,[1]基础信息!B$1:E$65536,4,0)</f>
        <v>MyPure</v>
      </c>
      <c r="AN4005" s="1" t="str">
        <f>VLOOKUP(C:C,[1]基础信息!B$1:F$65536,5,0)</f>
        <v>Refill</v>
      </c>
    </row>
    <row r="4006" spans="1:40">
      <c r="A4006" s="1" t="s">
        <v>41</v>
      </c>
      <c r="B4006" s="1" t="s">
        <v>42</v>
      </c>
      <c r="C4006" s="1" t="s">
        <v>403</v>
      </c>
      <c r="D4006" s="1" t="s">
        <v>404</v>
      </c>
      <c r="E4006" s="1" t="s">
        <v>403</v>
      </c>
      <c r="F4006" s="1" t="s">
        <v>9231</v>
      </c>
      <c r="G4006" s="1" t="s">
        <v>9225</v>
      </c>
      <c r="H4006" s="1" t="s">
        <v>45</v>
      </c>
      <c r="I4006" s="1" t="s">
        <v>45</v>
      </c>
      <c r="J4006" s="1" t="s">
        <v>48</v>
      </c>
      <c r="K4006" s="1">
        <v>1</v>
      </c>
      <c r="L4006" s="1">
        <v>0</v>
      </c>
      <c r="M4006" s="1">
        <v>0</v>
      </c>
      <c r="N4006" s="1">
        <v>1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 t="s">
        <v>49</v>
      </c>
      <c r="AA4006" s="1" t="s">
        <v>49</v>
      </c>
      <c r="AB4006" s="1" t="s">
        <v>49</v>
      </c>
      <c r="AC4006" s="1" t="s">
        <v>206</v>
      </c>
      <c r="AD4006" s="1" t="s">
        <v>9232</v>
      </c>
      <c r="AE4006" s="1" t="s">
        <v>206</v>
      </c>
      <c r="AF4006" s="1" t="s">
        <v>49</v>
      </c>
      <c r="AG4006" s="1" t="s">
        <v>7747</v>
      </c>
      <c r="AH4006" s="1" t="s">
        <v>49</v>
      </c>
      <c r="AI4006" s="1" t="s">
        <v>54</v>
      </c>
      <c r="AJ4006" s="1">
        <v>0</v>
      </c>
      <c r="AK4006" s="1" t="str">
        <f t="shared" si="63"/>
        <v xml:space="preserve"> =&lt;90</v>
      </c>
      <c r="AL4006" s="1" t="str">
        <f>VLOOKUP(C:C,[1]基础信息!B$1:D$65536,3,0)</f>
        <v>UTS</v>
      </c>
      <c r="AM4006" s="1" t="str">
        <f>VLOOKUP(C:C,[1]基础信息!B$1:E$65536,4,0)</f>
        <v>MyPure Pro</v>
      </c>
      <c r="AN4006" s="1" t="str">
        <f>VLOOKUP(C:C,[1]基础信息!B$1:F$65536,5,0)</f>
        <v>Refill</v>
      </c>
    </row>
    <row r="4007" spans="1:40">
      <c r="A4007" s="1" t="s">
        <v>41</v>
      </c>
      <c r="B4007" s="1" t="s">
        <v>42</v>
      </c>
      <c r="C4007" s="1" t="s">
        <v>4077</v>
      </c>
      <c r="D4007" s="1" t="s">
        <v>4078</v>
      </c>
      <c r="E4007" s="1" t="s">
        <v>45</v>
      </c>
      <c r="F4007" s="1" t="s">
        <v>9233</v>
      </c>
      <c r="G4007" s="1" t="s">
        <v>9225</v>
      </c>
      <c r="H4007" s="1" t="s">
        <v>45</v>
      </c>
      <c r="I4007" s="1" t="s">
        <v>45</v>
      </c>
      <c r="J4007" s="1" t="s">
        <v>48</v>
      </c>
      <c r="K4007" s="1">
        <v>2</v>
      </c>
      <c r="L4007" s="1">
        <v>0</v>
      </c>
      <c r="M4007" s="1">
        <v>0</v>
      </c>
      <c r="N4007" s="1">
        <v>2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 t="s">
        <v>49</v>
      </c>
      <c r="AA4007" s="1" t="s">
        <v>49</v>
      </c>
      <c r="AB4007" s="1" t="s">
        <v>49</v>
      </c>
      <c r="AC4007" s="1" t="s">
        <v>206</v>
      </c>
      <c r="AD4007" s="1" t="s">
        <v>9102</v>
      </c>
      <c r="AE4007" s="1" t="s">
        <v>206</v>
      </c>
      <c r="AF4007" s="1" t="s">
        <v>49</v>
      </c>
      <c r="AG4007" s="1" t="s">
        <v>7747</v>
      </c>
      <c r="AH4007" s="1" t="s">
        <v>49</v>
      </c>
      <c r="AI4007" s="1" t="s">
        <v>54</v>
      </c>
      <c r="AJ4007" s="1">
        <v>1</v>
      </c>
      <c r="AK4007" s="1" t="str">
        <f t="shared" si="63"/>
        <v xml:space="preserve"> =&lt;90</v>
      </c>
      <c r="AL4007" s="1" t="str">
        <f>VLOOKUP(C:C,[1]基础信息!B$1:D$65536,3,0)</f>
        <v>UTS</v>
      </c>
      <c r="AM4007" s="1" t="str">
        <f>VLOOKUP(C:C,[1]基础信息!B$1:E$65536,4,0)</f>
        <v>RO</v>
      </c>
      <c r="AN4007" s="1" t="str">
        <f>VLOOKUP(C:C,[1]基础信息!B$1:F$65536,5,0)</f>
        <v>Starry Grey Color</v>
      </c>
    </row>
    <row r="4008" spans="1:40">
      <c r="A4008" s="1" t="s">
        <v>41</v>
      </c>
      <c r="B4008" s="1" t="s">
        <v>42</v>
      </c>
      <c r="C4008" s="1" t="s">
        <v>4258</v>
      </c>
      <c r="D4008" s="1" t="s">
        <v>4259</v>
      </c>
      <c r="E4008" s="1" t="s">
        <v>45</v>
      </c>
      <c r="F4008" s="1" t="s">
        <v>9234</v>
      </c>
      <c r="G4008" s="1" t="s">
        <v>9235</v>
      </c>
      <c r="H4008" s="1" t="s">
        <v>45</v>
      </c>
      <c r="I4008" s="1" t="s">
        <v>45</v>
      </c>
      <c r="J4008" s="1" t="s">
        <v>48</v>
      </c>
      <c r="K4008" s="1">
        <v>37</v>
      </c>
      <c r="L4008" s="1">
        <v>0</v>
      </c>
      <c r="M4008" s="1">
        <v>0</v>
      </c>
      <c r="N4008" s="1">
        <v>37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 t="s">
        <v>49</v>
      </c>
      <c r="AA4008" s="1" t="s">
        <v>49</v>
      </c>
      <c r="AB4008" s="1" t="s">
        <v>49</v>
      </c>
      <c r="AC4008" s="1" t="s">
        <v>9236</v>
      </c>
      <c r="AD4008" s="1" t="s">
        <v>9237</v>
      </c>
      <c r="AE4008" s="1" t="s">
        <v>9236</v>
      </c>
      <c r="AF4008" s="1" t="s">
        <v>49</v>
      </c>
      <c r="AG4008" s="1" t="s">
        <v>227</v>
      </c>
      <c r="AH4008" s="1" t="s">
        <v>49</v>
      </c>
      <c r="AI4008" s="1" t="s">
        <v>54</v>
      </c>
      <c r="AJ4008" s="1">
        <v>1</v>
      </c>
      <c r="AK4008" s="1" t="str">
        <f t="shared" si="63"/>
        <v xml:space="preserve"> =&lt;90</v>
      </c>
      <c r="AL4008" s="1" t="e">
        <f>VLOOKUP(C:C,[1]基础信息!B$1:D$65536,3,0)</f>
        <v>#N/A</v>
      </c>
      <c r="AM4008" s="1" t="e">
        <f>VLOOKUP(C:C,[1]基础信息!B$1:E$65536,4,0)</f>
        <v>#N/A</v>
      </c>
      <c r="AN4008" s="1" t="e">
        <f>VLOOKUP(C:C,[1]基础信息!B$1:F$65536,5,0)</f>
        <v>#N/A</v>
      </c>
    </row>
    <row r="4009" spans="1:40">
      <c r="A4009" s="1" t="s">
        <v>41</v>
      </c>
      <c r="B4009" s="1" t="s">
        <v>42</v>
      </c>
      <c r="C4009" s="1" t="s">
        <v>9190</v>
      </c>
      <c r="D4009" s="1" t="s">
        <v>9191</v>
      </c>
      <c r="E4009" s="1" t="s">
        <v>9190</v>
      </c>
      <c r="F4009" s="1" t="s">
        <v>9238</v>
      </c>
      <c r="G4009" s="1" t="s">
        <v>9239</v>
      </c>
      <c r="H4009" s="1" t="s">
        <v>45</v>
      </c>
      <c r="I4009" s="1" t="s">
        <v>45</v>
      </c>
      <c r="J4009" s="1" t="s">
        <v>48</v>
      </c>
      <c r="K4009" s="1">
        <v>248</v>
      </c>
      <c r="L4009" s="1">
        <v>0</v>
      </c>
      <c r="M4009" s="1">
        <v>0</v>
      </c>
      <c r="N4009" s="1">
        <v>248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 t="s">
        <v>49</v>
      </c>
      <c r="AA4009" s="1" t="s">
        <v>49</v>
      </c>
      <c r="AB4009" s="1" t="s">
        <v>49</v>
      </c>
      <c r="AC4009" s="1" t="s">
        <v>8263</v>
      </c>
      <c r="AD4009" s="1" t="s">
        <v>9184</v>
      </c>
      <c r="AE4009" s="1" t="s">
        <v>8263</v>
      </c>
      <c r="AF4009" s="1" t="s">
        <v>49</v>
      </c>
      <c r="AG4009" s="1" t="s">
        <v>1952</v>
      </c>
      <c r="AH4009" s="1" t="s">
        <v>8988</v>
      </c>
      <c r="AI4009" s="1" t="s">
        <v>54</v>
      </c>
      <c r="AJ4009" s="1">
        <v>0</v>
      </c>
      <c r="AK4009" s="1" t="str">
        <f t="shared" si="63"/>
        <v xml:space="preserve"> =&lt;90</v>
      </c>
      <c r="AL4009" s="1" t="str">
        <f>VLOOKUP(C:C,[1]基础信息!B$1:D$65536,3,0)</f>
        <v xml:space="preserve">Cartridge </v>
      </c>
      <c r="AM4009" s="1" t="str">
        <f>VLOOKUP(C:C,[1]基础信息!B$1:E$65536,4,0)</f>
        <v>UNIV</v>
      </c>
      <c r="AN4009" s="1" t="str">
        <f>VLOOKUP(C:C,[1]基础信息!B$1:F$65536,5,0)</f>
        <v>P1</v>
      </c>
    </row>
    <row r="4010" spans="1:40">
      <c r="A4010" s="1" t="s">
        <v>41</v>
      </c>
      <c r="B4010" s="1" t="s">
        <v>42</v>
      </c>
      <c r="C4010" s="1" t="s">
        <v>2893</v>
      </c>
      <c r="D4010" s="1" t="s">
        <v>2894</v>
      </c>
      <c r="E4010" s="1" t="s">
        <v>45</v>
      </c>
      <c r="F4010" s="1" t="s">
        <v>9240</v>
      </c>
      <c r="G4010" s="1" t="s">
        <v>9239</v>
      </c>
      <c r="H4010" s="1" t="s">
        <v>45</v>
      </c>
      <c r="I4010" s="1" t="s">
        <v>45</v>
      </c>
      <c r="J4010" s="1" t="s">
        <v>48</v>
      </c>
      <c r="K4010" s="1">
        <v>47</v>
      </c>
      <c r="L4010" s="1">
        <v>0</v>
      </c>
      <c r="M4010" s="1">
        <v>0</v>
      </c>
      <c r="N4010" s="1">
        <v>47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 t="s">
        <v>49</v>
      </c>
      <c r="AA4010" s="1" t="s">
        <v>49</v>
      </c>
      <c r="AB4010" s="1" t="s">
        <v>49</v>
      </c>
      <c r="AC4010" s="1" t="s">
        <v>8263</v>
      </c>
      <c r="AD4010" s="1" t="s">
        <v>9241</v>
      </c>
      <c r="AE4010" s="1" t="s">
        <v>8263</v>
      </c>
      <c r="AF4010" s="1" t="s">
        <v>49</v>
      </c>
      <c r="AG4010" s="1" t="s">
        <v>1952</v>
      </c>
      <c r="AH4010" s="1" t="s">
        <v>8988</v>
      </c>
      <c r="AI4010" s="1" t="s">
        <v>54</v>
      </c>
      <c r="AJ4010" s="1">
        <v>1</v>
      </c>
      <c r="AK4010" s="1" t="str">
        <f t="shared" si="63"/>
        <v xml:space="preserve"> =&lt;90</v>
      </c>
      <c r="AL4010" s="1" t="str">
        <f>VLOOKUP(C:C,[1]基础信息!B$1:D$65536,3,0)</f>
        <v xml:space="preserve">Cartridge </v>
      </c>
      <c r="AM4010" s="1" t="str">
        <f>VLOOKUP(C:C,[1]基础信息!B$1:E$65536,4,0)</f>
        <v>UNIV</v>
      </c>
      <c r="AN4010" s="1" t="str">
        <f>VLOOKUP(C:C,[1]基础信息!B$1:F$65536,5,0)</f>
        <v>P1</v>
      </c>
    </row>
    <row r="4011" spans="1:40">
      <c r="A4011" s="1" t="s">
        <v>41</v>
      </c>
      <c r="B4011" s="1" t="s">
        <v>42</v>
      </c>
      <c r="C4011" s="1" t="s">
        <v>7755</v>
      </c>
      <c r="D4011" s="1" t="s">
        <v>7756</v>
      </c>
      <c r="E4011" s="1" t="s">
        <v>45</v>
      </c>
      <c r="F4011" s="1" t="s">
        <v>9141</v>
      </c>
      <c r="G4011" s="1" t="s">
        <v>9242</v>
      </c>
      <c r="H4011" s="1" t="s">
        <v>45</v>
      </c>
      <c r="I4011" s="1" t="s">
        <v>45</v>
      </c>
      <c r="J4011" s="1" t="s">
        <v>48</v>
      </c>
      <c r="K4011" s="1">
        <v>724</v>
      </c>
      <c r="L4011" s="1">
        <v>0</v>
      </c>
      <c r="M4011" s="1">
        <v>0</v>
      </c>
      <c r="N4011" s="1">
        <v>724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 t="s">
        <v>49</v>
      </c>
      <c r="AA4011" s="1" t="s">
        <v>49</v>
      </c>
      <c r="AB4011" s="1" t="s">
        <v>49</v>
      </c>
      <c r="AC4011" s="1" t="s">
        <v>5462</v>
      </c>
      <c r="AD4011" s="1" t="s">
        <v>8336</v>
      </c>
      <c r="AE4011" s="1" t="s">
        <v>5462</v>
      </c>
      <c r="AF4011" s="1" t="s">
        <v>49</v>
      </c>
      <c r="AG4011" s="1" t="s">
        <v>1952</v>
      </c>
      <c r="AH4011" s="1" t="s">
        <v>49</v>
      </c>
      <c r="AI4011" s="1" t="s">
        <v>54</v>
      </c>
      <c r="AJ4011" s="1">
        <v>1</v>
      </c>
      <c r="AK4011" s="1" t="str">
        <f t="shared" si="63"/>
        <v xml:space="preserve"> =&lt;90</v>
      </c>
      <c r="AL4011" s="1" t="str">
        <f>VLOOKUP(C:C,[1]基础信息!B$1:D$65536,3,0)</f>
        <v xml:space="preserve">Cartridge </v>
      </c>
      <c r="AM4011" s="1" t="str">
        <f>VLOOKUP(C:C,[1]基础信息!B$1:E$65536,4,0)</f>
        <v>LM</v>
      </c>
      <c r="AN4011" s="1" t="str">
        <f>VLOOKUP(C:C,[1]基础信息!B$1:F$65536,5,0)</f>
        <v>P55</v>
      </c>
    </row>
    <row r="4012" spans="1:40">
      <c r="A4012" s="1" t="s">
        <v>41</v>
      </c>
      <c r="B4012" s="1" t="s">
        <v>42</v>
      </c>
      <c r="C4012" s="1" t="s">
        <v>7717</v>
      </c>
      <c r="D4012" s="1" t="s">
        <v>7718</v>
      </c>
      <c r="E4012" s="1" t="s">
        <v>45</v>
      </c>
      <c r="F4012" s="1" t="s">
        <v>9243</v>
      </c>
      <c r="G4012" s="1" t="s">
        <v>9244</v>
      </c>
      <c r="H4012" s="1" t="s">
        <v>45</v>
      </c>
      <c r="I4012" s="1" t="s">
        <v>45</v>
      </c>
      <c r="J4012" s="1" t="s">
        <v>48</v>
      </c>
      <c r="K4012" s="1">
        <v>4</v>
      </c>
      <c r="L4012" s="1">
        <v>0</v>
      </c>
      <c r="M4012" s="1">
        <v>0</v>
      </c>
      <c r="N4012" s="1">
        <v>4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 t="s">
        <v>49</v>
      </c>
      <c r="AA4012" s="1" t="s">
        <v>49</v>
      </c>
      <c r="AB4012" s="1" t="s">
        <v>49</v>
      </c>
      <c r="AC4012" s="1" t="s">
        <v>206</v>
      </c>
      <c r="AD4012" s="1" t="s">
        <v>9102</v>
      </c>
      <c r="AE4012" s="1" t="s">
        <v>206</v>
      </c>
      <c r="AF4012" s="1" t="s">
        <v>49</v>
      </c>
      <c r="AG4012" s="1" t="s">
        <v>7747</v>
      </c>
      <c r="AH4012" s="1" t="s">
        <v>49</v>
      </c>
      <c r="AI4012" s="1" t="s">
        <v>54</v>
      </c>
      <c r="AJ4012" s="1">
        <v>1</v>
      </c>
      <c r="AK4012" s="1" t="str">
        <f t="shared" si="63"/>
        <v xml:space="preserve"> =&lt;90</v>
      </c>
      <c r="AL4012" s="1" t="str">
        <f>VLOOKUP(C:C,[1]基础信息!B$1:D$65536,3,0)</f>
        <v>Hotcup</v>
      </c>
      <c r="AM4012" s="1" t="str">
        <f>VLOOKUP(C:C,[1]基础信息!B$1:E$65536,4,0)</f>
        <v>Hotcup</v>
      </c>
      <c r="AN4012" s="1" t="str">
        <f>VLOOKUP(C:C,[1]基础信息!B$1:F$65536,5,0)</f>
        <v>Silver</v>
      </c>
    </row>
    <row r="4013" spans="1:40">
      <c r="A4013" s="1" t="s">
        <v>41</v>
      </c>
      <c r="B4013" s="1" t="s">
        <v>42</v>
      </c>
      <c r="C4013" s="1" t="s">
        <v>4438</v>
      </c>
      <c r="D4013" s="1" t="s">
        <v>4439</v>
      </c>
      <c r="E4013" s="1" t="s">
        <v>45</v>
      </c>
      <c r="F4013" s="1" t="s">
        <v>9134</v>
      </c>
      <c r="G4013" s="1" t="s">
        <v>9245</v>
      </c>
      <c r="H4013" s="1" t="s">
        <v>45</v>
      </c>
      <c r="I4013" s="1" t="s">
        <v>45</v>
      </c>
      <c r="J4013" s="1" t="s">
        <v>48</v>
      </c>
      <c r="K4013" s="1">
        <v>37</v>
      </c>
      <c r="L4013" s="1">
        <v>0</v>
      </c>
      <c r="M4013" s="1">
        <v>0</v>
      </c>
      <c r="N4013" s="1">
        <v>37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 t="s">
        <v>49</v>
      </c>
      <c r="AA4013" s="1" t="s">
        <v>49</v>
      </c>
      <c r="AB4013" s="1" t="s">
        <v>49</v>
      </c>
      <c r="AC4013" s="1" t="s">
        <v>9044</v>
      </c>
      <c r="AD4013" s="1" t="s">
        <v>508</v>
      </c>
      <c r="AE4013" s="1" t="s">
        <v>9044</v>
      </c>
      <c r="AF4013" s="1" t="s">
        <v>9045</v>
      </c>
      <c r="AG4013" s="1" t="s">
        <v>7747</v>
      </c>
      <c r="AH4013" s="1" t="s">
        <v>49</v>
      </c>
      <c r="AI4013" s="1" t="s">
        <v>54</v>
      </c>
      <c r="AJ4013" s="1">
        <v>1</v>
      </c>
      <c r="AK4013" s="1" t="str">
        <f t="shared" si="63"/>
        <v xml:space="preserve"> =&lt;90</v>
      </c>
      <c r="AL4013" s="1" t="str">
        <f>VLOOKUP(C:C,[1]基础信息!B$1:D$65536,3,0)</f>
        <v>Hotcup</v>
      </c>
      <c r="AM4013" s="1" t="str">
        <f>VLOOKUP(C:C,[1]基础信息!B$1:E$65536,4,0)</f>
        <v>Hotcup</v>
      </c>
      <c r="AN4013" s="1" t="str">
        <f>VLOOKUP(C:C,[1]基础信息!B$1:F$65536,5,0)</f>
        <v xml:space="preserve"> green</v>
      </c>
    </row>
    <row r="4014" spans="1:40">
      <c r="A4014" s="1" t="s">
        <v>41</v>
      </c>
      <c r="B4014" s="1" t="s">
        <v>42</v>
      </c>
      <c r="C4014" s="1" t="s">
        <v>6725</v>
      </c>
      <c r="D4014" s="1" t="s">
        <v>6726</v>
      </c>
      <c r="E4014" s="1" t="s">
        <v>45</v>
      </c>
      <c r="F4014" s="1" t="s">
        <v>9246</v>
      </c>
      <c r="G4014" s="1" t="s">
        <v>9247</v>
      </c>
      <c r="H4014" s="1" t="s">
        <v>45</v>
      </c>
      <c r="I4014" s="1" t="s">
        <v>45</v>
      </c>
      <c r="J4014" s="1" t="s">
        <v>48</v>
      </c>
      <c r="K4014" s="1">
        <v>9</v>
      </c>
      <c r="L4014" s="1">
        <v>0</v>
      </c>
      <c r="M4014" s="1">
        <v>0</v>
      </c>
      <c r="N4014" s="1">
        <v>9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 t="s">
        <v>49</v>
      </c>
      <c r="AA4014" s="1" t="s">
        <v>49</v>
      </c>
      <c r="AB4014" s="1" t="s">
        <v>49</v>
      </c>
      <c r="AC4014" s="1" t="s">
        <v>4660</v>
      </c>
      <c r="AD4014" s="1" t="s">
        <v>4661</v>
      </c>
      <c r="AE4014" s="1" t="s">
        <v>4660</v>
      </c>
      <c r="AF4014" s="1" t="s">
        <v>49</v>
      </c>
      <c r="AG4014" s="1" t="s">
        <v>338</v>
      </c>
      <c r="AH4014" s="1" t="s">
        <v>49</v>
      </c>
      <c r="AI4014" s="1" t="s">
        <v>54</v>
      </c>
      <c r="AJ4014" s="1">
        <v>0</v>
      </c>
      <c r="AK4014" s="1" t="str">
        <f t="shared" si="63"/>
        <v xml:space="preserve"> =&lt;90</v>
      </c>
      <c r="AL4014" s="1" t="str">
        <f>VLOOKUP(C:C,[1]基础信息!B$1:D$65536,3,0)</f>
        <v>Jug</v>
      </c>
      <c r="AM4014" s="1" t="str">
        <f>VLOOKUP(C:C,[1]基础信息!B$1:E$65536,4,0)</f>
        <v>Style</v>
      </c>
      <c r="AN4014" s="1" t="str">
        <f>VLOOKUP(C:C,[1]基础信息!B$1:F$65536,5,0)</f>
        <v>Grey</v>
      </c>
    </row>
    <row r="4015" spans="1:40">
      <c r="A4015" s="1" t="s">
        <v>41</v>
      </c>
      <c r="B4015" s="1" t="s">
        <v>42</v>
      </c>
      <c r="C4015" s="1" t="s">
        <v>9248</v>
      </c>
      <c r="D4015" s="1" t="s">
        <v>9249</v>
      </c>
      <c r="E4015" s="1" t="s">
        <v>45</v>
      </c>
      <c r="F4015" s="1" t="s">
        <v>9250</v>
      </c>
      <c r="G4015" s="1" t="s">
        <v>9247</v>
      </c>
      <c r="H4015" s="1" t="s">
        <v>45</v>
      </c>
      <c r="I4015" s="1" t="s">
        <v>45</v>
      </c>
      <c r="J4015" s="1" t="s">
        <v>48</v>
      </c>
      <c r="K4015" s="1">
        <v>12</v>
      </c>
      <c r="L4015" s="1">
        <v>0</v>
      </c>
      <c r="M4015" s="1">
        <v>0</v>
      </c>
      <c r="N4015" s="1">
        <v>12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 t="s">
        <v>49</v>
      </c>
      <c r="AA4015" s="1" t="s">
        <v>49</v>
      </c>
      <c r="AB4015" s="1" t="s">
        <v>49</v>
      </c>
      <c r="AC4015" s="1" t="s">
        <v>4660</v>
      </c>
      <c r="AD4015" s="1" t="s">
        <v>4661</v>
      </c>
      <c r="AE4015" s="1" t="s">
        <v>4660</v>
      </c>
      <c r="AF4015" s="1" t="s">
        <v>49</v>
      </c>
      <c r="AG4015" s="1" t="s">
        <v>338</v>
      </c>
      <c r="AH4015" s="1" t="s">
        <v>49</v>
      </c>
      <c r="AI4015" s="1" t="s">
        <v>54</v>
      </c>
      <c r="AJ4015" s="1">
        <v>1</v>
      </c>
      <c r="AK4015" s="1" t="str">
        <f t="shared" si="63"/>
        <v xml:space="preserve"> =&lt;90</v>
      </c>
      <c r="AL4015" s="1" t="str">
        <f>VLOOKUP(C:C,[1]基础信息!B$1:D$65536,3,0)</f>
        <v>Jug</v>
      </c>
      <c r="AM4015" s="1" t="str">
        <f>VLOOKUP(C:C,[1]基础信息!B$1:E$65536,4,0)</f>
        <v>Style</v>
      </c>
      <c r="AN4015" s="1" t="str">
        <f>VLOOKUP(C:C,[1]基础信息!B$1:F$65536,5,0)</f>
        <v>Lime</v>
      </c>
    </row>
    <row r="4016" spans="1:40">
      <c r="A4016" s="1" t="s">
        <v>41</v>
      </c>
      <c r="B4016" s="1" t="s">
        <v>42</v>
      </c>
      <c r="C4016" s="1" t="s">
        <v>9097</v>
      </c>
      <c r="D4016" s="1" t="s">
        <v>9098</v>
      </c>
      <c r="E4016" s="1" t="s">
        <v>9097</v>
      </c>
      <c r="F4016" s="1" t="s">
        <v>9251</v>
      </c>
      <c r="G4016" s="1" t="s">
        <v>9252</v>
      </c>
      <c r="H4016" s="1" t="s">
        <v>45</v>
      </c>
      <c r="I4016" s="1" t="s">
        <v>45</v>
      </c>
      <c r="J4016" s="1" t="s">
        <v>48</v>
      </c>
      <c r="K4016" s="1">
        <v>546</v>
      </c>
      <c r="L4016" s="1">
        <v>0</v>
      </c>
      <c r="M4016" s="1">
        <v>0</v>
      </c>
      <c r="N4016" s="1">
        <v>546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 t="s">
        <v>49</v>
      </c>
      <c r="AA4016" s="1" t="s">
        <v>49</v>
      </c>
      <c r="AB4016" s="1" t="s">
        <v>49</v>
      </c>
      <c r="AC4016" s="1" t="s">
        <v>7786</v>
      </c>
      <c r="AD4016" s="1" t="s">
        <v>7787</v>
      </c>
      <c r="AE4016" s="1" t="s">
        <v>7786</v>
      </c>
      <c r="AF4016" s="1" t="s">
        <v>9253</v>
      </c>
      <c r="AG4016" s="1" t="s">
        <v>3464</v>
      </c>
      <c r="AH4016" s="1" t="s">
        <v>49</v>
      </c>
      <c r="AI4016" s="1" t="s">
        <v>54</v>
      </c>
      <c r="AJ4016" s="1">
        <v>1</v>
      </c>
      <c r="AK4016" s="1" t="str">
        <f t="shared" si="63"/>
        <v xml:space="preserve"> =&lt;90</v>
      </c>
      <c r="AL4016" s="1" t="str">
        <f>VLOOKUP(C:C,[1]基础信息!B$1:D$65536,3,0)</f>
        <v xml:space="preserve">Cartridge </v>
      </c>
      <c r="AM4016" s="1" t="str">
        <f>VLOOKUP(C:C,[1]基础信息!B$1:E$65536,4,0)</f>
        <v>LM</v>
      </c>
      <c r="AN4016" s="1" t="str">
        <f>VLOOKUP(C:C,[1]基础信息!B$1:F$65536,5,0)</f>
        <v>P1</v>
      </c>
    </row>
    <row r="4017" spans="1:40">
      <c r="A4017" s="1" t="s">
        <v>41</v>
      </c>
      <c r="B4017" s="1" t="s">
        <v>42</v>
      </c>
      <c r="C4017" s="1" t="s">
        <v>2166</v>
      </c>
      <c r="D4017" s="1" t="s">
        <v>2167</v>
      </c>
      <c r="E4017" s="1" t="s">
        <v>45</v>
      </c>
      <c r="F4017" s="1" t="s">
        <v>9254</v>
      </c>
      <c r="G4017" s="1" t="s">
        <v>9255</v>
      </c>
      <c r="H4017" s="1" t="s">
        <v>45</v>
      </c>
      <c r="I4017" s="1" t="s">
        <v>45</v>
      </c>
      <c r="J4017" s="1" t="s">
        <v>48</v>
      </c>
      <c r="K4017" s="1">
        <v>5</v>
      </c>
      <c r="L4017" s="1">
        <v>0</v>
      </c>
      <c r="M4017" s="1">
        <v>0</v>
      </c>
      <c r="N4017" s="1">
        <v>5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 t="s">
        <v>49</v>
      </c>
      <c r="AA4017" s="1" t="s">
        <v>49</v>
      </c>
      <c r="AB4017" s="1" t="s">
        <v>49</v>
      </c>
      <c r="AC4017" s="1" t="s">
        <v>3363</v>
      </c>
      <c r="AD4017" s="1" t="s">
        <v>6480</v>
      </c>
      <c r="AE4017" s="1" t="s">
        <v>3363</v>
      </c>
      <c r="AF4017" s="1" t="s">
        <v>49</v>
      </c>
      <c r="AG4017" s="1" t="s">
        <v>7747</v>
      </c>
      <c r="AH4017" s="1" t="s">
        <v>49</v>
      </c>
      <c r="AI4017" s="1" t="s">
        <v>54</v>
      </c>
      <c r="AJ4017" s="1">
        <v>1</v>
      </c>
      <c r="AK4017" s="1" t="str">
        <f t="shared" si="63"/>
        <v xml:space="preserve"> =&lt;90</v>
      </c>
      <c r="AL4017" s="1" t="str">
        <f>VLOOKUP(C:C,[1]基础信息!B$1:D$65536,3,0)</f>
        <v>UTS</v>
      </c>
      <c r="AM4017" s="1" t="str">
        <f>VLOOKUP(C:C,[1]基础信息!B$1:E$65536,4,0)</f>
        <v>RO</v>
      </c>
      <c r="AN4017" s="1" t="str">
        <f>VLOOKUP(C:C,[1]基础信息!B$1:F$65536,5,0)</f>
        <v>Starry Grey Color</v>
      </c>
    </row>
    <row r="4018" spans="1:40">
      <c r="A4018" s="1" t="s">
        <v>41</v>
      </c>
      <c r="B4018" s="1" t="s">
        <v>42</v>
      </c>
      <c r="C4018" s="1" t="s">
        <v>8790</v>
      </c>
      <c r="D4018" s="1" t="s">
        <v>8791</v>
      </c>
      <c r="E4018" s="1" t="s">
        <v>45</v>
      </c>
      <c r="F4018" s="1" t="s">
        <v>9256</v>
      </c>
      <c r="G4018" s="1" t="s">
        <v>9257</v>
      </c>
      <c r="H4018" s="1" t="s">
        <v>45</v>
      </c>
      <c r="I4018" s="1" t="s">
        <v>45</v>
      </c>
      <c r="J4018" s="1" t="s">
        <v>48</v>
      </c>
      <c r="K4018" s="1">
        <v>541</v>
      </c>
      <c r="L4018" s="1">
        <v>0</v>
      </c>
      <c r="M4018" s="1">
        <v>0</v>
      </c>
      <c r="N4018" s="1">
        <v>541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 t="s">
        <v>49</v>
      </c>
      <c r="AA4018" s="1" t="s">
        <v>49</v>
      </c>
      <c r="AB4018" s="1" t="s">
        <v>49</v>
      </c>
      <c r="AC4018" s="1" t="s">
        <v>2898</v>
      </c>
      <c r="AD4018" s="1" t="s">
        <v>9187</v>
      </c>
      <c r="AE4018" s="1" t="s">
        <v>2898</v>
      </c>
      <c r="AF4018" s="1" t="s">
        <v>49</v>
      </c>
      <c r="AG4018" s="1" t="s">
        <v>6921</v>
      </c>
      <c r="AH4018" s="1" t="s">
        <v>49</v>
      </c>
      <c r="AI4018" s="1" t="s">
        <v>54</v>
      </c>
      <c r="AJ4018" s="1">
        <v>1</v>
      </c>
      <c r="AK4018" s="1" t="str">
        <f t="shared" si="63"/>
        <v xml:space="preserve"> =&lt;90</v>
      </c>
      <c r="AL4018" s="1" t="str">
        <f>VLOOKUP(C:C,[1]基础信息!B$1:D$65536,3,0)</f>
        <v xml:space="preserve">Cartridge </v>
      </c>
      <c r="AM4018" s="1" t="str">
        <f>VLOOKUP(C:C,[1]基础信息!B$1:E$65536,4,0)</f>
        <v>UNIV</v>
      </c>
      <c r="AN4018" s="1" t="str">
        <f>VLOOKUP(C:C,[1]基础信息!B$1:F$65536,5,0)</f>
        <v>P55</v>
      </c>
    </row>
    <row r="4019" spans="1:40">
      <c r="A4019" s="1" t="s">
        <v>41</v>
      </c>
      <c r="B4019" s="1" t="s">
        <v>42</v>
      </c>
      <c r="C4019" s="1" t="s">
        <v>3999</v>
      </c>
      <c r="D4019" s="1" t="s">
        <v>4000</v>
      </c>
      <c r="E4019" s="1" t="s">
        <v>45</v>
      </c>
      <c r="F4019" s="1" t="s">
        <v>9258</v>
      </c>
      <c r="G4019" s="1" t="s">
        <v>9259</v>
      </c>
      <c r="H4019" s="1" t="s">
        <v>45</v>
      </c>
      <c r="I4019" s="1" t="s">
        <v>45</v>
      </c>
      <c r="J4019" s="1" t="s">
        <v>48</v>
      </c>
      <c r="K4019" s="1">
        <v>1</v>
      </c>
      <c r="L4019" s="1">
        <v>0</v>
      </c>
      <c r="M4019" s="1">
        <v>0</v>
      </c>
      <c r="N4019" s="1">
        <v>1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 t="s">
        <v>49</v>
      </c>
      <c r="AA4019" s="1" t="s">
        <v>49</v>
      </c>
      <c r="AB4019" s="1" t="s">
        <v>49</v>
      </c>
      <c r="AC4019" s="1" t="s">
        <v>9260</v>
      </c>
      <c r="AD4019" s="1" t="s">
        <v>9261</v>
      </c>
      <c r="AE4019" s="1" t="s">
        <v>3453</v>
      </c>
      <c r="AF4019" s="1" t="s">
        <v>49</v>
      </c>
      <c r="AG4019" s="1" t="s">
        <v>3464</v>
      </c>
      <c r="AH4019" s="1" t="s">
        <v>49</v>
      </c>
      <c r="AI4019" s="1" t="s">
        <v>54</v>
      </c>
      <c r="AJ4019" s="1">
        <v>1</v>
      </c>
      <c r="AK4019" s="1" t="str">
        <f t="shared" si="63"/>
        <v xml:space="preserve"> =&lt;90</v>
      </c>
      <c r="AL4019" s="1" t="str">
        <f>VLOOKUP(C:C,[1]基础信息!B$1:D$65536,3,0)</f>
        <v>Jug</v>
      </c>
      <c r="AM4019" s="1" t="str">
        <f>VLOOKUP(C:C,[1]基础信息!B$1:E$65536,4,0)</f>
        <v>Aluna</v>
      </c>
      <c r="AN4019" s="1" t="str">
        <f>VLOOKUP(C:C,[1]基础信息!B$1:F$65536,5,0)</f>
        <v>Blue</v>
      </c>
    </row>
    <row r="4020" spans="1:40">
      <c r="A4020" s="1" t="s">
        <v>41</v>
      </c>
      <c r="B4020" s="1" t="s">
        <v>42</v>
      </c>
      <c r="C4020" s="1" t="s">
        <v>8107</v>
      </c>
      <c r="D4020" s="1" t="s">
        <v>8108</v>
      </c>
      <c r="E4020" s="1" t="s">
        <v>45</v>
      </c>
      <c r="F4020" s="1" t="s">
        <v>9119</v>
      </c>
      <c r="G4020" s="1" t="s">
        <v>9262</v>
      </c>
      <c r="H4020" s="1" t="s">
        <v>45</v>
      </c>
      <c r="I4020" s="1" t="s">
        <v>45</v>
      </c>
      <c r="J4020" s="1" t="s">
        <v>48</v>
      </c>
      <c r="K4020" s="1">
        <v>14</v>
      </c>
      <c r="L4020" s="1">
        <v>0</v>
      </c>
      <c r="M4020" s="1">
        <v>0</v>
      </c>
      <c r="N4020" s="1">
        <v>14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 t="s">
        <v>49</v>
      </c>
      <c r="AA4020" s="1" t="s">
        <v>49</v>
      </c>
      <c r="AB4020" s="1" t="s">
        <v>49</v>
      </c>
      <c r="AC4020" s="1" t="s">
        <v>9121</v>
      </c>
      <c r="AD4020" s="1" t="s">
        <v>9122</v>
      </c>
      <c r="AE4020" s="1" t="s">
        <v>9121</v>
      </c>
      <c r="AF4020" s="1" t="s">
        <v>49</v>
      </c>
      <c r="AG4020" s="1" t="s">
        <v>76</v>
      </c>
      <c r="AH4020" s="1" t="s">
        <v>49</v>
      </c>
      <c r="AI4020" s="1" t="s">
        <v>54</v>
      </c>
      <c r="AJ4020" s="1">
        <v>1</v>
      </c>
      <c r="AK4020" s="1" t="str">
        <f t="shared" si="63"/>
        <v xml:space="preserve"> =&lt;90</v>
      </c>
      <c r="AL4020" s="1" t="str">
        <f>VLOOKUP(C:C,[1]基础信息!B$1:D$65536,3,0)</f>
        <v>Jug</v>
      </c>
      <c r="AM4020" s="1" t="str">
        <f>VLOOKUP(C:C,[1]基础信息!B$1:E$65536,4,0)</f>
        <v>Style</v>
      </c>
      <c r="AN4020" s="1" t="str">
        <f>VLOOKUP(C:C,[1]基础信息!B$1:F$65536,5,0)</f>
        <v>Lime</v>
      </c>
    </row>
    <row r="4021" spans="1:40">
      <c r="A4021" s="1" t="s">
        <v>41</v>
      </c>
      <c r="B4021" s="1" t="s">
        <v>42</v>
      </c>
      <c r="C4021" s="1" t="s">
        <v>7755</v>
      </c>
      <c r="D4021" s="1" t="s">
        <v>7756</v>
      </c>
      <c r="E4021" s="1" t="s">
        <v>45</v>
      </c>
      <c r="F4021" s="1" t="s">
        <v>9263</v>
      </c>
      <c r="G4021" s="1" t="s">
        <v>9264</v>
      </c>
      <c r="H4021" s="1" t="s">
        <v>45</v>
      </c>
      <c r="I4021" s="1" t="s">
        <v>45</v>
      </c>
      <c r="J4021" s="1" t="s">
        <v>48</v>
      </c>
      <c r="K4021" s="1">
        <v>1430</v>
      </c>
      <c r="L4021" s="1">
        <v>0</v>
      </c>
      <c r="M4021" s="1">
        <v>0</v>
      </c>
      <c r="N4021" s="1">
        <v>1430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 t="s">
        <v>49</v>
      </c>
      <c r="AA4021" s="1" t="s">
        <v>49</v>
      </c>
      <c r="AB4021" s="1" t="s">
        <v>49</v>
      </c>
      <c r="AC4021" s="1" t="s">
        <v>9055</v>
      </c>
      <c r="AD4021" s="1" t="s">
        <v>9056</v>
      </c>
      <c r="AE4021" s="1" t="s">
        <v>9055</v>
      </c>
      <c r="AF4021" s="1" t="s">
        <v>49</v>
      </c>
      <c r="AG4021" s="1" t="s">
        <v>1952</v>
      </c>
      <c r="AH4021" s="1" t="s">
        <v>49</v>
      </c>
      <c r="AI4021" s="1" t="s">
        <v>54</v>
      </c>
      <c r="AJ4021" s="1">
        <v>1</v>
      </c>
      <c r="AK4021" s="1" t="str">
        <f t="shared" si="63"/>
        <v xml:space="preserve"> =&lt;90</v>
      </c>
      <c r="AL4021" s="1" t="str">
        <f>VLOOKUP(C:C,[1]基础信息!B$1:D$65536,3,0)</f>
        <v xml:space="preserve">Cartridge </v>
      </c>
      <c r="AM4021" s="1" t="str">
        <f>VLOOKUP(C:C,[1]基础信息!B$1:E$65536,4,0)</f>
        <v>LM</v>
      </c>
      <c r="AN4021" s="1" t="str">
        <f>VLOOKUP(C:C,[1]基础信息!B$1:F$65536,5,0)</f>
        <v>P55</v>
      </c>
    </row>
    <row r="4022" spans="1:40">
      <c r="A4022" s="1" t="s">
        <v>41</v>
      </c>
      <c r="B4022" s="1" t="s">
        <v>42</v>
      </c>
      <c r="C4022" s="1" t="s">
        <v>8190</v>
      </c>
      <c r="D4022" s="1" t="s">
        <v>8191</v>
      </c>
      <c r="E4022" s="1" t="s">
        <v>45</v>
      </c>
      <c r="F4022" s="1" t="s">
        <v>9265</v>
      </c>
      <c r="G4022" s="1" t="s">
        <v>9266</v>
      </c>
      <c r="H4022" s="1" t="s">
        <v>45</v>
      </c>
      <c r="I4022" s="1" t="s">
        <v>45</v>
      </c>
      <c r="J4022" s="1" t="s">
        <v>48</v>
      </c>
      <c r="K4022" s="1">
        <v>1</v>
      </c>
      <c r="L4022" s="1">
        <v>0</v>
      </c>
      <c r="M4022" s="1">
        <v>0</v>
      </c>
      <c r="N4022" s="1">
        <v>1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 t="s">
        <v>49</v>
      </c>
      <c r="AA4022" s="1" t="s">
        <v>49</v>
      </c>
      <c r="AB4022" s="1" t="s">
        <v>49</v>
      </c>
      <c r="AC4022" s="1" t="s">
        <v>7926</v>
      </c>
      <c r="AD4022" s="1" t="s">
        <v>7927</v>
      </c>
      <c r="AE4022" s="1" t="s">
        <v>7926</v>
      </c>
      <c r="AF4022" s="1" t="s">
        <v>49</v>
      </c>
      <c r="AG4022" s="1" t="s">
        <v>3464</v>
      </c>
      <c r="AH4022" s="1" t="s">
        <v>7928</v>
      </c>
      <c r="AI4022" s="1" t="s">
        <v>54</v>
      </c>
      <c r="AJ4022" s="1">
        <v>1</v>
      </c>
      <c r="AK4022" s="1" t="str">
        <f t="shared" si="63"/>
        <v xml:space="preserve"> =&lt;90</v>
      </c>
      <c r="AL4022" s="1" t="str">
        <f>VLOOKUP(C:C,[1]基础信息!B$1:D$65536,3,0)</f>
        <v xml:space="preserve">Cartridge </v>
      </c>
      <c r="AM4022" s="1" t="str">
        <f>VLOOKUP(C:C,[1]基础信息!B$1:E$65536,4,0)</f>
        <v>LM</v>
      </c>
      <c r="AN4022" s="1" t="str">
        <f>VLOOKUP(C:C,[1]基础信息!B$1:F$65536,5,0)</f>
        <v>P6</v>
      </c>
    </row>
    <row r="4023" spans="1:40">
      <c r="A4023" s="1" t="s">
        <v>41</v>
      </c>
      <c r="B4023" s="1" t="s">
        <v>42</v>
      </c>
      <c r="C4023" s="1" t="s">
        <v>554</v>
      </c>
      <c r="D4023" s="1" t="s">
        <v>555</v>
      </c>
      <c r="E4023" s="1" t="s">
        <v>45</v>
      </c>
      <c r="F4023" s="1" t="s">
        <v>9267</v>
      </c>
      <c r="G4023" s="1" t="s">
        <v>9268</v>
      </c>
      <c r="H4023" s="1" t="s">
        <v>45</v>
      </c>
      <c r="I4023" s="1" t="s">
        <v>45</v>
      </c>
      <c r="J4023" s="1" t="s">
        <v>48</v>
      </c>
      <c r="K4023" s="1">
        <v>1</v>
      </c>
      <c r="L4023" s="1">
        <v>0</v>
      </c>
      <c r="M4023" s="1">
        <v>0</v>
      </c>
      <c r="N4023" s="1">
        <v>1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 t="s">
        <v>49</v>
      </c>
      <c r="AA4023" s="1" t="s">
        <v>49</v>
      </c>
      <c r="AB4023" s="1" t="s">
        <v>49</v>
      </c>
      <c r="AC4023" s="1" t="s">
        <v>3239</v>
      </c>
      <c r="AD4023" s="1" t="s">
        <v>3240</v>
      </c>
      <c r="AE4023" s="1" t="s">
        <v>3239</v>
      </c>
      <c r="AF4023" s="1" t="s">
        <v>49</v>
      </c>
      <c r="AG4023" s="1" t="s">
        <v>9096</v>
      </c>
      <c r="AH4023" s="1" t="s">
        <v>9089</v>
      </c>
      <c r="AI4023" s="1" t="s">
        <v>54</v>
      </c>
      <c r="AJ4023" s="1">
        <v>0</v>
      </c>
      <c r="AK4023" s="1" t="str">
        <f t="shared" si="63"/>
        <v xml:space="preserve"> =&lt;90</v>
      </c>
      <c r="AL4023" s="1" t="str">
        <f>VLOOKUP(C:C,[1]基础信息!B$1:D$65536,3,0)</f>
        <v>Jug</v>
      </c>
      <c r="AM4023" s="1" t="str">
        <f>VLOOKUP(C:C,[1]基础信息!B$1:E$65536,4,0)</f>
        <v>Green Pack</v>
      </c>
      <c r="AN4023" s="1" t="str">
        <f>VLOOKUP(C:C,[1]基础信息!B$1:F$65536,5,0)</f>
        <v>Blue</v>
      </c>
    </row>
    <row r="4024" spans="1:40">
      <c r="A4024" s="1" t="s">
        <v>41</v>
      </c>
      <c r="B4024" s="1" t="s">
        <v>42</v>
      </c>
      <c r="C4024" s="1" t="s">
        <v>3971</v>
      </c>
      <c r="D4024" s="1" t="s">
        <v>3972</v>
      </c>
      <c r="E4024" s="1" t="s">
        <v>45</v>
      </c>
      <c r="F4024" s="1" t="s">
        <v>9269</v>
      </c>
      <c r="G4024" s="1" t="s">
        <v>9268</v>
      </c>
      <c r="H4024" s="1" t="s">
        <v>45</v>
      </c>
      <c r="I4024" s="1" t="s">
        <v>45</v>
      </c>
      <c r="J4024" s="1" t="s">
        <v>48</v>
      </c>
      <c r="K4024" s="1">
        <v>2</v>
      </c>
      <c r="L4024" s="1">
        <v>0</v>
      </c>
      <c r="M4024" s="1">
        <v>0</v>
      </c>
      <c r="N4024" s="1">
        <v>2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 t="s">
        <v>49</v>
      </c>
      <c r="AA4024" s="1" t="s">
        <v>49</v>
      </c>
      <c r="AB4024" s="1" t="s">
        <v>49</v>
      </c>
      <c r="AC4024" s="1" t="s">
        <v>3239</v>
      </c>
      <c r="AD4024" s="1" t="s">
        <v>3240</v>
      </c>
      <c r="AE4024" s="1" t="s">
        <v>3239</v>
      </c>
      <c r="AF4024" s="1" t="s">
        <v>49</v>
      </c>
      <c r="AG4024" s="1" t="s">
        <v>9096</v>
      </c>
      <c r="AH4024" s="1" t="s">
        <v>9089</v>
      </c>
      <c r="AI4024" s="1" t="s">
        <v>54</v>
      </c>
      <c r="AJ4024" s="1">
        <v>0</v>
      </c>
      <c r="AK4024" s="1" t="str">
        <f t="shared" si="63"/>
        <v xml:space="preserve"> =&lt;90</v>
      </c>
      <c r="AL4024" s="1" t="str">
        <f>VLOOKUP(C:C,[1]基础信息!B$1:D$65536,3,0)</f>
        <v>Jug</v>
      </c>
      <c r="AM4024" s="1" t="str">
        <f>VLOOKUP(C:C,[1]基础信息!B$1:E$65536,4,0)</f>
        <v>Mxplus</v>
      </c>
      <c r="AN4024" s="1" t="str">
        <f>VLOOKUP(C:C,[1]基础信息!B$1:F$65536,5,0)</f>
        <v xml:space="preserve"> lime</v>
      </c>
    </row>
    <row r="4025" spans="1:40">
      <c r="A4025" s="1" t="s">
        <v>41</v>
      </c>
      <c r="B4025" s="1" t="s">
        <v>42</v>
      </c>
      <c r="C4025" s="1" t="s">
        <v>2893</v>
      </c>
      <c r="D4025" s="1" t="s">
        <v>2894</v>
      </c>
      <c r="E4025" s="1" t="s">
        <v>45</v>
      </c>
      <c r="F4025" s="1" t="s">
        <v>9270</v>
      </c>
      <c r="G4025" s="1" t="s">
        <v>9268</v>
      </c>
      <c r="H4025" s="1" t="s">
        <v>45</v>
      </c>
      <c r="I4025" s="1" t="s">
        <v>45</v>
      </c>
      <c r="J4025" s="1" t="s">
        <v>48</v>
      </c>
      <c r="K4025" s="1">
        <v>39</v>
      </c>
      <c r="L4025" s="1">
        <v>0</v>
      </c>
      <c r="M4025" s="1">
        <v>0</v>
      </c>
      <c r="N4025" s="1">
        <v>39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 t="s">
        <v>49</v>
      </c>
      <c r="AA4025" s="1" t="s">
        <v>49</v>
      </c>
      <c r="AB4025" s="1" t="s">
        <v>49</v>
      </c>
      <c r="AC4025" s="1" t="s">
        <v>8327</v>
      </c>
      <c r="AD4025" s="1" t="s">
        <v>8328</v>
      </c>
      <c r="AE4025" s="1" t="s">
        <v>8327</v>
      </c>
      <c r="AF4025" s="1" t="s">
        <v>49</v>
      </c>
      <c r="AG4025" s="1" t="s">
        <v>9088</v>
      </c>
      <c r="AH4025" s="1" t="s">
        <v>9089</v>
      </c>
      <c r="AI4025" s="1" t="s">
        <v>54</v>
      </c>
      <c r="AJ4025" s="1">
        <v>0</v>
      </c>
      <c r="AK4025" s="1" t="str">
        <f t="shared" si="63"/>
        <v xml:space="preserve"> =&lt;90</v>
      </c>
      <c r="AL4025" s="1" t="str">
        <f>VLOOKUP(C:C,[1]基础信息!B$1:D$65536,3,0)</f>
        <v xml:space="preserve">Cartridge </v>
      </c>
      <c r="AM4025" s="1" t="str">
        <f>VLOOKUP(C:C,[1]基础信息!B$1:E$65536,4,0)</f>
        <v>UNIV</v>
      </c>
      <c r="AN4025" s="1" t="str">
        <f>VLOOKUP(C:C,[1]基础信息!B$1:F$65536,5,0)</f>
        <v>P1</v>
      </c>
    </row>
    <row r="4026" spans="1:40">
      <c r="A4026" s="1" t="s">
        <v>41</v>
      </c>
      <c r="B4026" s="1" t="s">
        <v>42</v>
      </c>
      <c r="C4026" s="1" t="s">
        <v>3512</v>
      </c>
      <c r="D4026" s="1" t="s">
        <v>3513</v>
      </c>
      <c r="E4026" s="1" t="s">
        <v>45</v>
      </c>
      <c r="F4026" s="1" t="s">
        <v>9271</v>
      </c>
      <c r="G4026" s="1" t="s">
        <v>9268</v>
      </c>
      <c r="H4026" s="1" t="s">
        <v>45</v>
      </c>
      <c r="I4026" s="1" t="s">
        <v>45</v>
      </c>
      <c r="J4026" s="1" t="s">
        <v>48</v>
      </c>
      <c r="K4026" s="1">
        <v>6</v>
      </c>
      <c r="L4026" s="1">
        <v>0</v>
      </c>
      <c r="M4026" s="1">
        <v>0</v>
      </c>
      <c r="N4026" s="1">
        <v>6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 t="s">
        <v>49</v>
      </c>
      <c r="AA4026" s="1" t="s">
        <v>49</v>
      </c>
      <c r="AB4026" s="1" t="s">
        <v>49</v>
      </c>
      <c r="AC4026" s="1" t="s">
        <v>9272</v>
      </c>
      <c r="AD4026" s="1" t="s">
        <v>9273</v>
      </c>
      <c r="AE4026" s="1" t="s">
        <v>9272</v>
      </c>
      <c r="AF4026" s="1" t="s">
        <v>49</v>
      </c>
      <c r="AG4026" s="1" t="s">
        <v>9096</v>
      </c>
      <c r="AH4026" s="1" t="s">
        <v>9089</v>
      </c>
      <c r="AI4026" s="1" t="s">
        <v>54</v>
      </c>
      <c r="AJ4026" s="1">
        <v>0</v>
      </c>
      <c r="AK4026" s="1" t="str">
        <f t="shared" si="63"/>
        <v xml:space="preserve"> =&lt;90</v>
      </c>
      <c r="AL4026" s="1" t="str">
        <f>VLOOKUP(C:C,[1]基础信息!B$1:D$65536,3,0)</f>
        <v xml:space="preserve">Cartridge </v>
      </c>
      <c r="AM4026" s="1" t="str">
        <f>VLOOKUP(C:C,[1]基础信息!B$1:E$65536,4,0)</f>
        <v>UNIV</v>
      </c>
      <c r="AN4026" s="1" t="str">
        <f>VLOOKUP(C:C,[1]基础信息!B$1:F$65536,5,0)</f>
        <v>P3</v>
      </c>
    </row>
    <row r="4027" spans="1:40">
      <c r="A4027" s="1" t="s">
        <v>41</v>
      </c>
      <c r="B4027" s="1" t="s">
        <v>42</v>
      </c>
      <c r="C4027" s="1" t="s">
        <v>4352</v>
      </c>
      <c r="D4027" s="1" t="s">
        <v>4353</v>
      </c>
      <c r="E4027" s="1" t="s">
        <v>45</v>
      </c>
      <c r="F4027" s="1" t="s">
        <v>9274</v>
      </c>
      <c r="G4027" s="1" t="s">
        <v>9268</v>
      </c>
      <c r="H4027" s="1" t="s">
        <v>45</v>
      </c>
      <c r="I4027" s="1" t="s">
        <v>45</v>
      </c>
      <c r="J4027" s="1" t="s">
        <v>48</v>
      </c>
      <c r="K4027" s="1">
        <v>6</v>
      </c>
      <c r="L4027" s="1">
        <v>0</v>
      </c>
      <c r="M4027" s="1">
        <v>0</v>
      </c>
      <c r="N4027" s="1">
        <v>6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 t="s">
        <v>49</v>
      </c>
      <c r="AA4027" s="1" t="s">
        <v>49</v>
      </c>
      <c r="AB4027" s="1" t="s">
        <v>49</v>
      </c>
      <c r="AC4027" s="1" t="s">
        <v>2898</v>
      </c>
      <c r="AD4027" s="1" t="s">
        <v>9187</v>
      </c>
      <c r="AE4027" s="1" t="s">
        <v>2898</v>
      </c>
      <c r="AF4027" s="1" t="s">
        <v>49</v>
      </c>
      <c r="AG4027" s="1" t="s">
        <v>9088</v>
      </c>
      <c r="AH4027" s="1" t="s">
        <v>9089</v>
      </c>
      <c r="AI4027" s="1" t="s">
        <v>54</v>
      </c>
      <c r="AJ4027" s="1">
        <v>0</v>
      </c>
      <c r="AK4027" s="1" t="str">
        <f t="shared" si="63"/>
        <v xml:space="preserve"> =&lt;90</v>
      </c>
      <c r="AL4027" s="1" t="e">
        <f>VLOOKUP(C:C,[1]基础信息!B$1:D$65536,3,0)</f>
        <v>#N/A</v>
      </c>
      <c r="AM4027" s="1" t="e">
        <f>VLOOKUP(C:C,[1]基础信息!B$1:E$65536,4,0)</f>
        <v>#N/A</v>
      </c>
      <c r="AN4027" s="1" t="e">
        <f>VLOOKUP(C:C,[1]基础信息!B$1:F$65536,5,0)</f>
        <v>#N/A</v>
      </c>
    </row>
    <row r="4028" spans="1:40">
      <c r="A4028" s="1" t="s">
        <v>41</v>
      </c>
      <c r="B4028" s="1" t="s">
        <v>42</v>
      </c>
      <c r="C4028" s="1" t="s">
        <v>7818</v>
      </c>
      <c r="D4028" s="1" t="s">
        <v>7819</v>
      </c>
      <c r="E4028" s="1" t="s">
        <v>45</v>
      </c>
      <c r="F4028" s="1" t="s">
        <v>9275</v>
      </c>
      <c r="G4028" s="1" t="s">
        <v>9268</v>
      </c>
      <c r="H4028" s="1" t="s">
        <v>45</v>
      </c>
      <c r="I4028" s="1" t="s">
        <v>45</v>
      </c>
      <c r="J4028" s="1" t="s">
        <v>48</v>
      </c>
      <c r="K4028" s="1">
        <v>7</v>
      </c>
      <c r="L4028" s="1">
        <v>0</v>
      </c>
      <c r="M4028" s="1">
        <v>0</v>
      </c>
      <c r="N4028" s="1">
        <v>7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 t="s">
        <v>49</v>
      </c>
      <c r="AA4028" s="1" t="s">
        <v>49</v>
      </c>
      <c r="AB4028" s="1" t="s">
        <v>49</v>
      </c>
      <c r="AC4028" s="1" t="s">
        <v>8402</v>
      </c>
      <c r="AD4028" s="1" t="s">
        <v>8403</v>
      </c>
      <c r="AE4028" s="1" t="s">
        <v>8402</v>
      </c>
      <c r="AF4028" s="1" t="s">
        <v>49</v>
      </c>
      <c r="AG4028" s="1" t="s">
        <v>9096</v>
      </c>
      <c r="AH4028" s="1" t="s">
        <v>9089</v>
      </c>
      <c r="AI4028" s="1" t="s">
        <v>54</v>
      </c>
      <c r="AJ4028" s="1">
        <v>0</v>
      </c>
      <c r="AK4028" s="1" t="str">
        <f t="shared" si="63"/>
        <v xml:space="preserve"> =&lt;90</v>
      </c>
      <c r="AL4028" s="1" t="str">
        <f>VLOOKUP(C:C,[1]基础信息!B$1:D$65536,3,0)</f>
        <v xml:space="preserve">Cartridge </v>
      </c>
      <c r="AM4028" s="1" t="str">
        <f>VLOOKUP(C:C,[1]基础信息!B$1:E$65536,4,0)</f>
        <v>LM</v>
      </c>
      <c r="AN4028" s="1" t="str">
        <f>VLOOKUP(C:C,[1]基础信息!B$1:F$65536,5,0)</f>
        <v>P1</v>
      </c>
    </row>
    <row r="4029" spans="1:40">
      <c r="A4029" s="1" t="s">
        <v>41</v>
      </c>
      <c r="B4029" s="1" t="s">
        <v>42</v>
      </c>
      <c r="C4029" s="1" t="s">
        <v>4253</v>
      </c>
      <c r="D4029" s="1" t="s">
        <v>4254</v>
      </c>
      <c r="E4029" s="1" t="s">
        <v>45</v>
      </c>
      <c r="F4029" s="1" t="s">
        <v>9276</v>
      </c>
      <c r="G4029" s="1" t="s">
        <v>9268</v>
      </c>
      <c r="H4029" s="1" t="s">
        <v>45</v>
      </c>
      <c r="I4029" s="1" t="s">
        <v>45</v>
      </c>
      <c r="J4029" s="1" t="s">
        <v>48</v>
      </c>
      <c r="K4029" s="1">
        <v>3</v>
      </c>
      <c r="L4029" s="1">
        <v>0</v>
      </c>
      <c r="M4029" s="1">
        <v>0</v>
      </c>
      <c r="N4029" s="1">
        <v>3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 t="s">
        <v>49</v>
      </c>
      <c r="AA4029" s="1" t="s">
        <v>49</v>
      </c>
      <c r="AB4029" s="1" t="s">
        <v>49</v>
      </c>
      <c r="AC4029" s="1" t="s">
        <v>9272</v>
      </c>
      <c r="AD4029" s="1" t="s">
        <v>9273</v>
      </c>
      <c r="AE4029" s="1" t="s">
        <v>9272</v>
      </c>
      <c r="AF4029" s="1" t="s">
        <v>49</v>
      </c>
      <c r="AG4029" s="1" t="s">
        <v>6921</v>
      </c>
      <c r="AH4029" s="1" t="s">
        <v>9089</v>
      </c>
      <c r="AI4029" s="1" t="s">
        <v>54</v>
      </c>
      <c r="AJ4029" s="1">
        <v>0</v>
      </c>
      <c r="AK4029" s="1" t="str">
        <f t="shared" si="63"/>
        <v xml:space="preserve"> =&lt;90</v>
      </c>
      <c r="AL4029" s="1" t="str">
        <f>VLOOKUP(C:C,[1]基础信息!B$1:D$65536,3,0)</f>
        <v xml:space="preserve">Cartridge </v>
      </c>
      <c r="AM4029" s="1" t="str">
        <f>VLOOKUP(C:C,[1]基础信息!B$1:E$65536,4,0)</f>
        <v>UNIV</v>
      </c>
      <c r="AN4029" s="1" t="str">
        <f>VLOOKUP(C:C,[1]基础信息!B$1:F$65536,5,0)</f>
        <v>P6</v>
      </c>
    </row>
    <row r="4030" spans="1:40">
      <c r="A4030" s="1" t="s">
        <v>41</v>
      </c>
      <c r="B4030" s="1" t="s">
        <v>42</v>
      </c>
      <c r="C4030" s="1" t="s">
        <v>104</v>
      </c>
      <c r="D4030" s="1" t="s">
        <v>105</v>
      </c>
      <c r="E4030" s="1" t="s">
        <v>104</v>
      </c>
      <c r="F4030" s="1" t="s">
        <v>9277</v>
      </c>
      <c r="G4030" s="1" t="s">
        <v>9268</v>
      </c>
      <c r="H4030" s="1" t="s">
        <v>45</v>
      </c>
      <c r="I4030" s="1" t="s">
        <v>45</v>
      </c>
      <c r="J4030" s="1" t="s">
        <v>48</v>
      </c>
      <c r="K4030" s="1">
        <v>1</v>
      </c>
      <c r="L4030" s="1">
        <v>0</v>
      </c>
      <c r="M4030" s="1">
        <v>0</v>
      </c>
      <c r="N4030" s="1">
        <v>1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 t="s">
        <v>49</v>
      </c>
      <c r="AA4030" s="1" t="s">
        <v>49</v>
      </c>
      <c r="AB4030" s="1" t="s">
        <v>49</v>
      </c>
      <c r="AC4030" s="1" t="s">
        <v>470</v>
      </c>
      <c r="AD4030" s="1" t="s">
        <v>471</v>
      </c>
      <c r="AE4030" s="1" t="s">
        <v>470</v>
      </c>
      <c r="AF4030" s="1" t="s">
        <v>49</v>
      </c>
      <c r="AG4030" s="1" t="s">
        <v>6921</v>
      </c>
      <c r="AH4030" s="1" t="s">
        <v>9089</v>
      </c>
      <c r="AI4030" s="1" t="s">
        <v>54</v>
      </c>
      <c r="AJ4030" s="1">
        <v>0</v>
      </c>
      <c r="AK4030" s="1" t="str">
        <f t="shared" si="63"/>
        <v xml:space="preserve"> =&lt;90</v>
      </c>
      <c r="AL4030" s="1" t="str">
        <f>VLOOKUP(C:C,[1]基础信息!B$1:D$65536,3,0)</f>
        <v>Jug</v>
      </c>
      <c r="AM4030" s="1" t="str">
        <f>VLOOKUP(C:C,[1]基础信息!B$1:E$65536,4,0)</f>
        <v>Marella XL</v>
      </c>
      <c r="AN4030" s="1" t="str">
        <f>VLOOKUP(C:C,[1]基础信息!B$1:F$65536,5,0)</f>
        <v>Blue</v>
      </c>
    </row>
    <row r="4031" spans="1:40">
      <c r="A4031" s="1" t="s">
        <v>41</v>
      </c>
      <c r="B4031" s="1" t="s">
        <v>42</v>
      </c>
      <c r="C4031" s="1" t="s">
        <v>104</v>
      </c>
      <c r="D4031" s="1" t="s">
        <v>105</v>
      </c>
      <c r="E4031" s="1" t="s">
        <v>104</v>
      </c>
      <c r="F4031" s="1" t="s">
        <v>9278</v>
      </c>
      <c r="G4031" s="1" t="s">
        <v>9268</v>
      </c>
      <c r="H4031" s="1" t="s">
        <v>45</v>
      </c>
      <c r="I4031" s="1" t="s">
        <v>45</v>
      </c>
      <c r="J4031" s="1" t="s">
        <v>48</v>
      </c>
      <c r="K4031" s="1">
        <v>5</v>
      </c>
      <c r="L4031" s="1">
        <v>0</v>
      </c>
      <c r="M4031" s="1">
        <v>0</v>
      </c>
      <c r="N4031" s="1">
        <v>5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 t="s">
        <v>49</v>
      </c>
      <c r="AA4031" s="1" t="s">
        <v>49</v>
      </c>
      <c r="AB4031" s="1" t="s">
        <v>49</v>
      </c>
      <c r="AC4031" s="1" t="s">
        <v>470</v>
      </c>
      <c r="AD4031" s="1" t="s">
        <v>471</v>
      </c>
      <c r="AE4031" s="1" t="s">
        <v>470</v>
      </c>
      <c r="AF4031" s="1" t="s">
        <v>49</v>
      </c>
      <c r="AG4031" s="1" t="s">
        <v>9279</v>
      </c>
      <c r="AH4031" s="1" t="s">
        <v>9280</v>
      </c>
      <c r="AI4031" s="1" t="s">
        <v>54</v>
      </c>
      <c r="AJ4031" s="1">
        <v>0</v>
      </c>
      <c r="AK4031" s="1" t="str">
        <f t="shared" si="63"/>
        <v xml:space="preserve"> =&lt;90</v>
      </c>
      <c r="AL4031" s="1" t="str">
        <f>VLOOKUP(C:C,[1]基础信息!B$1:D$65536,3,0)</f>
        <v>Jug</v>
      </c>
      <c r="AM4031" s="1" t="str">
        <f>VLOOKUP(C:C,[1]基础信息!B$1:E$65536,4,0)</f>
        <v>Marella XL</v>
      </c>
      <c r="AN4031" s="1" t="str">
        <f>VLOOKUP(C:C,[1]基础信息!B$1:F$65536,5,0)</f>
        <v>Blue</v>
      </c>
    </row>
    <row r="4032" spans="1:40">
      <c r="A4032" s="1" t="s">
        <v>41</v>
      </c>
      <c r="B4032" s="1" t="s">
        <v>42</v>
      </c>
      <c r="C4032" s="1" t="s">
        <v>2893</v>
      </c>
      <c r="D4032" s="1" t="s">
        <v>2894</v>
      </c>
      <c r="E4032" s="1" t="s">
        <v>45</v>
      </c>
      <c r="F4032" s="1" t="s">
        <v>9281</v>
      </c>
      <c r="G4032" s="1" t="s">
        <v>9268</v>
      </c>
      <c r="H4032" s="1" t="s">
        <v>45</v>
      </c>
      <c r="I4032" s="1" t="s">
        <v>45</v>
      </c>
      <c r="J4032" s="1" t="s">
        <v>48</v>
      </c>
      <c r="K4032" s="1">
        <v>2</v>
      </c>
      <c r="L4032" s="1">
        <v>0</v>
      </c>
      <c r="M4032" s="1">
        <v>0</v>
      </c>
      <c r="N4032" s="1">
        <v>2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 t="s">
        <v>49</v>
      </c>
      <c r="AA4032" s="1" t="s">
        <v>49</v>
      </c>
      <c r="AB4032" s="1" t="s">
        <v>49</v>
      </c>
      <c r="AC4032" s="1" t="s">
        <v>2898</v>
      </c>
      <c r="AD4032" s="1" t="s">
        <v>9187</v>
      </c>
      <c r="AE4032" s="1" t="s">
        <v>2898</v>
      </c>
      <c r="AF4032" s="1" t="s">
        <v>49</v>
      </c>
      <c r="AG4032" s="1" t="s">
        <v>6921</v>
      </c>
      <c r="AH4032" s="1" t="s">
        <v>9089</v>
      </c>
      <c r="AI4032" s="1" t="s">
        <v>54</v>
      </c>
      <c r="AJ4032" s="1">
        <v>0</v>
      </c>
      <c r="AK4032" s="1" t="str">
        <f t="shared" si="63"/>
        <v xml:space="preserve"> =&lt;90</v>
      </c>
      <c r="AL4032" s="1" t="str">
        <f>VLOOKUP(C:C,[1]基础信息!B$1:D$65536,3,0)</f>
        <v xml:space="preserve">Cartridge </v>
      </c>
      <c r="AM4032" s="1" t="str">
        <f>VLOOKUP(C:C,[1]基础信息!B$1:E$65536,4,0)</f>
        <v>UNIV</v>
      </c>
      <c r="AN4032" s="1" t="str">
        <f>VLOOKUP(C:C,[1]基础信息!B$1:F$65536,5,0)</f>
        <v>P1</v>
      </c>
    </row>
    <row r="4033" spans="1:40">
      <c r="A4033" s="1" t="s">
        <v>41</v>
      </c>
      <c r="B4033" s="1" t="s">
        <v>42</v>
      </c>
      <c r="C4033" s="1" t="s">
        <v>83</v>
      </c>
      <c r="D4033" s="1" t="s">
        <v>84</v>
      </c>
      <c r="E4033" s="1" t="s">
        <v>45</v>
      </c>
      <c r="F4033" s="1" t="s">
        <v>9282</v>
      </c>
      <c r="G4033" s="1" t="s">
        <v>9268</v>
      </c>
      <c r="H4033" s="1" t="s">
        <v>45</v>
      </c>
      <c r="I4033" s="1" t="s">
        <v>45</v>
      </c>
      <c r="J4033" s="1" t="s">
        <v>48</v>
      </c>
      <c r="K4033" s="1">
        <v>1</v>
      </c>
      <c r="L4033" s="1">
        <v>0</v>
      </c>
      <c r="M4033" s="1">
        <v>0</v>
      </c>
      <c r="N4033" s="1">
        <v>1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 t="s">
        <v>49</v>
      </c>
      <c r="AA4033" s="1" t="s">
        <v>49</v>
      </c>
      <c r="AB4033" s="1" t="s">
        <v>49</v>
      </c>
      <c r="AC4033" s="1" t="s">
        <v>8402</v>
      </c>
      <c r="AD4033" s="1" t="s">
        <v>8403</v>
      </c>
      <c r="AE4033" s="1" t="s">
        <v>8402</v>
      </c>
      <c r="AF4033" s="1" t="s">
        <v>49</v>
      </c>
      <c r="AG4033" s="1" t="s">
        <v>6921</v>
      </c>
      <c r="AH4033" s="1" t="s">
        <v>9089</v>
      </c>
      <c r="AI4033" s="1" t="s">
        <v>54</v>
      </c>
      <c r="AJ4033" s="1">
        <v>0</v>
      </c>
      <c r="AK4033" s="1" t="str">
        <f t="shared" si="63"/>
        <v xml:space="preserve"> =&lt;90</v>
      </c>
      <c r="AL4033" s="1" t="str">
        <f>VLOOKUP(C:C,[1]基础信息!B$1:D$65536,3,0)</f>
        <v>Jug</v>
      </c>
      <c r="AM4033" s="1" t="str">
        <f>VLOOKUP(C:C,[1]基础信息!B$1:E$65536,4,0)</f>
        <v>Mxplus</v>
      </c>
      <c r="AN4033" s="1" t="str">
        <f>VLOOKUP(C:C,[1]基础信息!B$1:F$65536,5,0)</f>
        <v>Blue</v>
      </c>
    </row>
    <row r="4034" spans="1:40">
      <c r="A4034" s="1" t="s">
        <v>41</v>
      </c>
      <c r="B4034" s="1" t="s">
        <v>42</v>
      </c>
      <c r="C4034" s="1" t="s">
        <v>554</v>
      </c>
      <c r="D4034" s="1" t="s">
        <v>555</v>
      </c>
      <c r="E4034" s="1" t="s">
        <v>45</v>
      </c>
      <c r="F4034" s="1" t="s">
        <v>9283</v>
      </c>
      <c r="G4034" s="1" t="s">
        <v>9268</v>
      </c>
      <c r="H4034" s="1" t="s">
        <v>45</v>
      </c>
      <c r="I4034" s="1" t="s">
        <v>45</v>
      </c>
      <c r="J4034" s="1" t="s">
        <v>48</v>
      </c>
      <c r="K4034" s="1">
        <v>2</v>
      </c>
      <c r="L4034" s="1">
        <v>0</v>
      </c>
      <c r="M4034" s="1">
        <v>0</v>
      </c>
      <c r="N4034" s="1">
        <v>2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 t="s">
        <v>49</v>
      </c>
      <c r="AA4034" s="1" t="s">
        <v>49</v>
      </c>
      <c r="AB4034" s="1" t="s">
        <v>49</v>
      </c>
      <c r="AC4034" s="1" t="s">
        <v>9272</v>
      </c>
      <c r="AD4034" s="1" t="s">
        <v>9273</v>
      </c>
      <c r="AE4034" s="1" t="s">
        <v>9272</v>
      </c>
      <c r="AF4034" s="1" t="s">
        <v>49</v>
      </c>
      <c r="AG4034" s="1" t="s">
        <v>6921</v>
      </c>
      <c r="AH4034" s="1" t="s">
        <v>9089</v>
      </c>
      <c r="AI4034" s="1" t="s">
        <v>54</v>
      </c>
      <c r="AJ4034" s="1">
        <v>0</v>
      </c>
      <c r="AK4034" s="1" t="str">
        <f t="shared" si="63"/>
        <v xml:space="preserve"> =&lt;90</v>
      </c>
      <c r="AL4034" s="1" t="str">
        <f>VLOOKUP(C:C,[1]基础信息!B$1:D$65536,3,0)</f>
        <v>Jug</v>
      </c>
      <c r="AM4034" s="1" t="str">
        <f>VLOOKUP(C:C,[1]基础信息!B$1:E$65536,4,0)</f>
        <v>Green Pack</v>
      </c>
      <c r="AN4034" s="1" t="str">
        <f>VLOOKUP(C:C,[1]基础信息!B$1:F$65536,5,0)</f>
        <v>Blue</v>
      </c>
    </row>
    <row r="4035" spans="1:40">
      <c r="A4035" s="1" t="s">
        <v>41</v>
      </c>
      <c r="B4035" s="1" t="s">
        <v>42</v>
      </c>
      <c r="C4035" s="1" t="s">
        <v>7852</v>
      </c>
      <c r="D4035" s="1" t="s">
        <v>7853</v>
      </c>
      <c r="E4035" s="1" t="s">
        <v>45</v>
      </c>
      <c r="F4035" s="1" t="s">
        <v>9284</v>
      </c>
      <c r="G4035" s="1" t="s">
        <v>9268</v>
      </c>
      <c r="H4035" s="1" t="s">
        <v>45</v>
      </c>
      <c r="I4035" s="1" t="s">
        <v>45</v>
      </c>
      <c r="J4035" s="1" t="s">
        <v>48</v>
      </c>
      <c r="K4035" s="1">
        <v>10</v>
      </c>
      <c r="L4035" s="1">
        <v>0</v>
      </c>
      <c r="M4035" s="1">
        <v>0</v>
      </c>
      <c r="N4035" s="1">
        <v>10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 t="s">
        <v>49</v>
      </c>
      <c r="AA4035" s="1" t="s">
        <v>49</v>
      </c>
      <c r="AB4035" s="1" t="s">
        <v>49</v>
      </c>
      <c r="AC4035" s="1" t="s">
        <v>4106</v>
      </c>
      <c r="AD4035" s="1" t="s">
        <v>4107</v>
      </c>
      <c r="AE4035" s="1" t="s">
        <v>4106</v>
      </c>
      <c r="AF4035" s="1" t="s">
        <v>49</v>
      </c>
      <c r="AG4035" s="1" t="s">
        <v>9279</v>
      </c>
      <c r="AH4035" s="1" t="s">
        <v>9089</v>
      </c>
      <c r="AI4035" s="1" t="s">
        <v>54</v>
      </c>
      <c r="AJ4035" s="1">
        <v>1</v>
      </c>
      <c r="AK4035" s="1" t="str">
        <f t="shared" si="63"/>
        <v xml:space="preserve"> =&lt;90</v>
      </c>
      <c r="AL4035" s="1" t="str">
        <f>VLOOKUP(C:C,[1]基础信息!B$1:D$65536,3,0)</f>
        <v xml:space="preserve">Cartridge </v>
      </c>
      <c r="AM4035" s="1" t="str">
        <f>VLOOKUP(C:C,[1]基础信息!B$1:E$65536,4,0)</f>
        <v>LM</v>
      </c>
      <c r="AN4035" s="1" t="str">
        <f>VLOOKUP(C:C,[1]基础信息!B$1:F$65536,5,0)</f>
        <v>P3</v>
      </c>
    </row>
    <row r="4036" spans="1:40">
      <c r="A4036" s="1" t="s">
        <v>41</v>
      </c>
      <c r="B4036" s="1" t="s">
        <v>42</v>
      </c>
      <c r="C4036" s="1" t="s">
        <v>4438</v>
      </c>
      <c r="D4036" s="1" t="s">
        <v>4439</v>
      </c>
      <c r="E4036" s="1" t="s">
        <v>45</v>
      </c>
      <c r="F4036" s="1" t="s">
        <v>9285</v>
      </c>
      <c r="G4036" s="1" t="s">
        <v>9286</v>
      </c>
      <c r="H4036" s="1" t="s">
        <v>45</v>
      </c>
      <c r="I4036" s="1" t="s">
        <v>45</v>
      </c>
      <c r="J4036" s="1" t="s">
        <v>48</v>
      </c>
      <c r="K4036" s="1">
        <v>31</v>
      </c>
      <c r="L4036" s="1">
        <v>0</v>
      </c>
      <c r="M4036" s="1">
        <v>0</v>
      </c>
      <c r="N4036" s="1">
        <v>31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 t="s">
        <v>49</v>
      </c>
      <c r="AA4036" s="1" t="s">
        <v>49</v>
      </c>
      <c r="AB4036" s="1" t="s">
        <v>49</v>
      </c>
      <c r="AC4036" s="1" t="s">
        <v>169</v>
      </c>
      <c r="AD4036" s="1" t="s">
        <v>9287</v>
      </c>
      <c r="AE4036" s="1" t="s">
        <v>169</v>
      </c>
      <c r="AF4036" s="1" t="s">
        <v>9288</v>
      </c>
      <c r="AG4036" s="1" t="s">
        <v>7747</v>
      </c>
      <c r="AH4036" s="1" t="s">
        <v>49</v>
      </c>
      <c r="AI4036" s="1" t="s">
        <v>54</v>
      </c>
      <c r="AJ4036" s="1">
        <v>1</v>
      </c>
      <c r="AK4036" s="1" t="str">
        <f t="shared" si="63"/>
        <v xml:space="preserve"> =&lt;90</v>
      </c>
      <c r="AL4036" s="1" t="str">
        <f>VLOOKUP(C:C,[1]基础信息!B$1:D$65536,3,0)</f>
        <v>Hotcup</v>
      </c>
      <c r="AM4036" s="1" t="str">
        <f>VLOOKUP(C:C,[1]基础信息!B$1:E$65536,4,0)</f>
        <v>Hotcup</v>
      </c>
      <c r="AN4036" s="1" t="str">
        <f>VLOOKUP(C:C,[1]基础信息!B$1:F$65536,5,0)</f>
        <v xml:space="preserve"> green</v>
      </c>
    </row>
    <row r="4037" spans="1:40">
      <c r="A4037" s="1" t="s">
        <v>41</v>
      </c>
      <c r="B4037" s="1" t="s">
        <v>42</v>
      </c>
      <c r="C4037" s="1" t="s">
        <v>1437</v>
      </c>
      <c r="D4037" s="1" t="s">
        <v>1438</v>
      </c>
      <c r="E4037" s="1" t="s">
        <v>45</v>
      </c>
      <c r="F4037" s="1" t="s">
        <v>9216</v>
      </c>
      <c r="G4037" s="1" t="s">
        <v>9289</v>
      </c>
      <c r="H4037" s="1" t="s">
        <v>45</v>
      </c>
      <c r="I4037" s="1" t="s">
        <v>45</v>
      </c>
      <c r="J4037" s="1" t="s">
        <v>48</v>
      </c>
      <c r="K4037" s="1">
        <v>13</v>
      </c>
      <c r="L4037" s="1">
        <v>0</v>
      </c>
      <c r="M4037" s="1">
        <v>0</v>
      </c>
      <c r="N4037" s="1">
        <v>13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 t="s">
        <v>49</v>
      </c>
      <c r="AA4037" s="1" t="s">
        <v>49</v>
      </c>
      <c r="AB4037" s="1" t="s">
        <v>49</v>
      </c>
      <c r="AC4037" s="1" t="s">
        <v>9055</v>
      </c>
      <c r="AD4037" s="1" t="s">
        <v>9056</v>
      </c>
      <c r="AE4037" s="1" t="s">
        <v>9055</v>
      </c>
      <c r="AF4037" s="1" t="s">
        <v>49</v>
      </c>
      <c r="AG4037" s="1" t="s">
        <v>76</v>
      </c>
      <c r="AH4037" s="1" t="s">
        <v>49</v>
      </c>
      <c r="AI4037" s="1" t="s">
        <v>54</v>
      </c>
      <c r="AJ4037" s="1">
        <v>1</v>
      </c>
      <c r="AK4037" s="1" t="str">
        <f t="shared" si="63"/>
        <v xml:space="preserve"> =&lt;90</v>
      </c>
      <c r="AL4037" s="1" t="str">
        <f>VLOOKUP(C:C,[1]基础信息!B$1:D$65536,3,0)</f>
        <v>On tap</v>
      </c>
      <c r="AM4037" s="1" t="str">
        <f>VLOOKUP(C:C,[1]基础信息!B$1:E$65536,4,0)</f>
        <v>On tap</v>
      </c>
      <c r="AN4037" s="1" t="str">
        <f>VLOOKUP(C:C,[1]基础信息!B$1:F$65536,5,0)</f>
        <v>On tap</v>
      </c>
    </row>
    <row r="4038" spans="1:40">
      <c r="A4038" s="1" t="s">
        <v>41</v>
      </c>
      <c r="B4038" s="1" t="s">
        <v>42</v>
      </c>
      <c r="C4038" s="1" t="s">
        <v>7755</v>
      </c>
      <c r="D4038" s="1" t="s">
        <v>7756</v>
      </c>
      <c r="E4038" s="1" t="s">
        <v>45</v>
      </c>
      <c r="F4038" s="1" t="s">
        <v>9141</v>
      </c>
      <c r="G4038" s="1" t="s">
        <v>9290</v>
      </c>
      <c r="H4038" s="1" t="s">
        <v>45</v>
      </c>
      <c r="I4038" s="1" t="s">
        <v>45</v>
      </c>
      <c r="J4038" s="1" t="s">
        <v>48</v>
      </c>
      <c r="K4038" s="1">
        <v>327</v>
      </c>
      <c r="L4038" s="1">
        <v>0</v>
      </c>
      <c r="M4038" s="1">
        <v>0</v>
      </c>
      <c r="N4038" s="1">
        <v>327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 t="s">
        <v>49</v>
      </c>
      <c r="AA4038" s="1" t="s">
        <v>49</v>
      </c>
      <c r="AB4038" s="1" t="s">
        <v>49</v>
      </c>
      <c r="AC4038" s="1" t="s">
        <v>5462</v>
      </c>
      <c r="AD4038" s="1" t="s">
        <v>8336</v>
      </c>
      <c r="AE4038" s="1" t="s">
        <v>5462</v>
      </c>
      <c r="AF4038" s="1" t="s">
        <v>49</v>
      </c>
      <c r="AG4038" s="1" t="s">
        <v>1952</v>
      </c>
      <c r="AH4038" s="1" t="s">
        <v>49</v>
      </c>
      <c r="AI4038" s="1" t="s">
        <v>54</v>
      </c>
      <c r="AJ4038" s="1">
        <v>1</v>
      </c>
      <c r="AK4038" s="1" t="str">
        <f t="shared" si="63"/>
        <v xml:space="preserve"> =&lt;90</v>
      </c>
      <c r="AL4038" s="1" t="str">
        <f>VLOOKUP(C:C,[1]基础信息!B$1:D$65536,3,0)</f>
        <v xml:space="preserve">Cartridge </v>
      </c>
      <c r="AM4038" s="1" t="str">
        <f>VLOOKUP(C:C,[1]基础信息!B$1:E$65536,4,0)</f>
        <v>LM</v>
      </c>
      <c r="AN4038" s="1" t="str">
        <f>VLOOKUP(C:C,[1]基础信息!B$1:F$65536,5,0)</f>
        <v>P55</v>
      </c>
    </row>
    <row r="4039" spans="1:40">
      <c r="A4039" s="1" t="s">
        <v>41</v>
      </c>
      <c r="B4039" s="1" t="s">
        <v>42</v>
      </c>
      <c r="C4039" s="1" t="s">
        <v>2893</v>
      </c>
      <c r="D4039" s="1" t="s">
        <v>2894</v>
      </c>
      <c r="E4039" s="1" t="s">
        <v>45</v>
      </c>
      <c r="F4039" s="1" t="s">
        <v>9291</v>
      </c>
      <c r="G4039" s="1" t="s">
        <v>9292</v>
      </c>
      <c r="H4039" s="1" t="s">
        <v>45</v>
      </c>
      <c r="I4039" s="1" t="s">
        <v>45</v>
      </c>
      <c r="J4039" s="1" t="s">
        <v>48</v>
      </c>
      <c r="K4039" s="1">
        <v>2</v>
      </c>
      <c r="L4039" s="1">
        <v>0</v>
      </c>
      <c r="M4039" s="1">
        <v>0</v>
      </c>
      <c r="N4039" s="1">
        <v>2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 t="s">
        <v>49</v>
      </c>
      <c r="AA4039" s="1" t="s">
        <v>49</v>
      </c>
      <c r="AB4039" s="1" t="s">
        <v>49</v>
      </c>
      <c r="AC4039" s="1" t="s">
        <v>9293</v>
      </c>
      <c r="AD4039" s="1" t="s">
        <v>9294</v>
      </c>
      <c r="AE4039" s="1" t="s">
        <v>9293</v>
      </c>
      <c r="AF4039" s="1" t="s">
        <v>49</v>
      </c>
      <c r="AG4039" s="1" t="s">
        <v>1952</v>
      </c>
      <c r="AH4039" s="1" t="s">
        <v>8988</v>
      </c>
      <c r="AI4039" s="1" t="s">
        <v>54</v>
      </c>
      <c r="AJ4039" s="1">
        <v>0</v>
      </c>
      <c r="AK4039" s="1" t="str">
        <f t="shared" si="63"/>
        <v xml:space="preserve"> =&lt;90</v>
      </c>
      <c r="AL4039" s="1" t="str">
        <f>VLOOKUP(C:C,[1]基础信息!B$1:D$65536,3,0)</f>
        <v xml:space="preserve">Cartridge </v>
      </c>
      <c r="AM4039" s="1" t="str">
        <f>VLOOKUP(C:C,[1]基础信息!B$1:E$65536,4,0)</f>
        <v>UNIV</v>
      </c>
      <c r="AN4039" s="1" t="str">
        <f>VLOOKUP(C:C,[1]基础信息!B$1:F$65536,5,0)</f>
        <v>P1</v>
      </c>
    </row>
    <row r="4040" spans="1:40">
      <c r="A4040" s="1" t="s">
        <v>41</v>
      </c>
      <c r="B4040" s="1" t="s">
        <v>42</v>
      </c>
      <c r="C4040" s="1" t="s">
        <v>481</v>
      </c>
      <c r="D4040" s="1" t="s">
        <v>482</v>
      </c>
      <c r="E4040" s="1" t="s">
        <v>45</v>
      </c>
      <c r="F4040" s="1" t="s">
        <v>9295</v>
      </c>
      <c r="G4040" s="1" t="s">
        <v>9292</v>
      </c>
      <c r="H4040" s="1" t="s">
        <v>45</v>
      </c>
      <c r="I4040" s="1" t="s">
        <v>45</v>
      </c>
      <c r="J4040" s="1" t="s">
        <v>48</v>
      </c>
      <c r="K4040" s="1">
        <v>1</v>
      </c>
      <c r="L4040" s="1">
        <v>0</v>
      </c>
      <c r="M4040" s="1">
        <v>0</v>
      </c>
      <c r="N4040" s="1">
        <v>1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 t="s">
        <v>49</v>
      </c>
      <c r="AA4040" s="1" t="s">
        <v>49</v>
      </c>
      <c r="AB4040" s="1" t="s">
        <v>49</v>
      </c>
      <c r="AC4040" s="1" t="s">
        <v>9293</v>
      </c>
      <c r="AD4040" s="1" t="s">
        <v>9294</v>
      </c>
      <c r="AE4040" s="1" t="s">
        <v>9293</v>
      </c>
      <c r="AF4040" s="1" t="s">
        <v>9296</v>
      </c>
      <c r="AG4040" s="1" t="s">
        <v>1952</v>
      </c>
      <c r="AH4040" s="1" t="s">
        <v>8988</v>
      </c>
      <c r="AI4040" s="1" t="s">
        <v>54</v>
      </c>
      <c r="AJ4040" s="1">
        <v>0</v>
      </c>
      <c r="AK4040" s="1" t="str">
        <f t="shared" si="63"/>
        <v xml:space="preserve"> =&lt;90</v>
      </c>
      <c r="AL4040" s="1" t="str">
        <f>VLOOKUP(C:C,[1]基础信息!B$1:D$65536,3,0)</f>
        <v>Jug</v>
      </c>
      <c r="AM4040" s="1" t="str">
        <f>VLOOKUP(C:C,[1]基础信息!B$1:E$65536,4,0)</f>
        <v>Style COOL</v>
      </c>
      <c r="AN4040" s="1" t="str">
        <f>VLOOKUP(C:C,[1]基础信息!B$1:F$65536,5,0)</f>
        <v>Cool Blue</v>
      </c>
    </row>
    <row r="4041" spans="1:40">
      <c r="A4041" s="1" t="s">
        <v>41</v>
      </c>
      <c r="B4041" s="1" t="s">
        <v>42</v>
      </c>
      <c r="C4041" s="1" t="s">
        <v>9297</v>
      </c>
      <c r="D4041" s="1" t="s">
        <v>9298</v>
      </c>
      <c r="E4041" s="1" t="s">
        <v>9297</v>
      </c>
      <c r="F4041" s="1" t="s">
        <v>9299</v>
      </c>
      <c r="G4041" s="1" t="s">
        <v>9292</v>
      </c>
      <c r="H4041" s="1" t="s">
        <v>45</v>
      </c>
      <c r="I4041" s="1" t="s">
        <v>45</v>
      </c>
      <c r="J4041" s="1" t="s">
        <v>48</v>
      </c>
      <c r="K4041" s="1">
        <v>1</v>
      </c>
      <c r="L4041" s="1">
        <v>0</v>
      </c>
      <c r="M4041" s="1">
        <v>0</v>
      </c>
      <c r="N4041" s="1">
        <v>1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 t="s">
        <v>49</v>
      </c>
      <c r="AA4041" s="1" t="s">
        <v>49</v>
      </c>
      <c r="AB4041" s="1" t="s">
        <v>49</v>
      </c>
      <c r="AC4041" s="1" t="s">
        <v>9300</v>
      </c>
      <c r="AD4041" s="1" t="s">
        <v>9301</v>
      </c>
      <c r="AE4041" s="1" t="s">
        <v>9300</v>
      </c>
      <c r="AF4041" s="1" t="s">
        <v>49</v>
      </c>
      <c r="AG4041" s="1" t="s">
        <v>8984</v>
      </c>
      <c r="AH4041" s="1" t="s">
        <v>49</v>
      </c>
      <c r="AI4041" s="1" t="s">
        <v>54</v>
      </c>
      <c r="AJ4041" s="1">
        <v>0</v>
      </c>
      <c r="AK4041" s="1" t="str">
        <f t="shared" si="63"/>
        <v xml:space="preserve"> =&lt;90</v>
      </c>
      <c r="AL4041" s="1" t="str">
        <f>VLOOKUP(C:C,[1]基础信息!B$1:D$65536,3,0)</f>
        <v>Jug</v>
      </c>
      <c r="AM4041" s="1" t="str">
        <f>VLOOKUP(C:C,[1]基础信息!B$1:E$65536,4,0)</f>
        <v>Fun</v>
      </c>
      <c r="AN4041" s="1" t="str">
        <f>VLOOKUP(C:C,[1]基础信息!B$1:F$65536,5,0)</f>
        <v>Pink</v>
      </c>
    </row>
    <row r="4042" spans="1:40">
      <c r="A4042" s="1" t="s">
        <v>41</v>
      </c>
      <c r="B4042" s="1" t="s">
        <v>42</v>
      </c>
      <c r="C4042" s="1" t="s">
        <v>285</v>
      </c>
      <c r="D4042" s="1" t="s">
        <v>286</v>
      </c>
      <c r="E4042" s="1" t="s">
        <v>45</v>
      </c>
      <c r="F4042" s="1" t="s">
        <v>9302</v>
      </c>
      <c r="G4042" s="1" t="s">
        <v>9292</v>
      </c>
      <c r="H4042" s="1" t="s">
        <v>45</v>
      </c>
      <c r="I4042" s="1" t="s">
        <v>45</v>
      </c>
      <c r="J4042" s="1" t="s">
        <v>48</v>
      </c>
      <c r="K4042" s="1">
        <v>1</v>
      </c>
      <c r="L4042" s="1">
        <v>0</v>
      </c>
      <c r="M4042" s="1">
        <v>0</v>
      </c>
      <c r="N4042" s="1">
        <v>1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 t="s">
        <v>49</v>
      </c>
      <c r="AA4042" s="1" t="s">
        <v>49</v>
      </c>
      <c r="AB4042" s="1" t="s">
        <v>49</v>
      </c>
      <c r="AC4042" s="1" t="s">
        <v>4370</v>
      </c>
      <c r="AD4042" s="1" t="s">
        <v>4371</v>
      </c>
      <c r="AE4042" s="1" t="s">
        <v>4370</v>
      </c>
      <c r="AF4042" s="1" t="s">
        <v>9303</v>
      </c>
      <c r="AG4042" s="1" t="s">
        <v>9096</v>
      </c>
      <c r="AH4042" s="1" t="s">
        <v>8988</v>
      </c>
      <c r="AI4042" s="1" t="s">
        <v>54</v>
      </c>
      <c r="AJ4042" s="1">
        <v>0</v>
      </c>
      <c r="AK4042" s="1" t="str">
        <f t="shared" si="63"/>
        <v xml:space="preserve"> =&lt;90</v>
      </c>
      <c r="AL4042" s="1" t="str">
        <f>VLOOKUP(C:C,[1]基础信息!B$1:D$65536,3,0)</f>
        <v>Jug</v>
      </c>
      <c r="AM4042" s="1" t="str">
        <f>VLOOKUP(C:C,[1]基础信息!B$1:E$65536,4,0)</f>
        <v>Marella XL</v>
      </c>
      <c r="AN4042" s="1" t="str">
        <f>VLOOKUP(C:C,[1]基础信息!B$1:F$65536,5,0)</f>
        <v>Blue</v>
      </c>
    </row>
    <row r="4043" spans="1:40">
      <c r="A4043" s="1" t="s">
        <v>41</v>
      </c>
      <c r="B4043" s="1" t="s">
        <v>42</v>
      </c>
      <c r="C4043" s="1" t="s">
        <v>3512</v>
      </c>
      <c r="D4043" s="1" t="s">
        <v>3513</v>
      </c>
      <c r="E4043" s="1" t="s">
        <v>45</v>
      </c>
      <c r="F4043" s="1" t="s">
        <v>9304</v>
      </c>
      <c r="G4043" s="1" t="s">
        <v>9292</v>
      </c>
      <c r="H4043" s="1" t="s">
        <v>45</v>
      </c>
      <c r="I4043" s="1" t="s">
        <v>45</v>
      </c>
      <c r="J4043" s="1" t="s">
        <v>48</v>
      </c>
      <c r="K4043" s="1">
        <v>10</v>
      </c>
      <c r="L4043" s="1">
        <v>0</v>
      </c>
      <c r="M4043" s="1">
        <v>0</v>
      </c>
      <c r="N4043" s="1">
        <v>10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 t="s">
        <v>49</v>
      </c>
      <c r="AA4043" s="1" t="s">
        <v>49</v>
      </c>
      <c r="AB4043" s="1" t="s">
        <v>49</v>
      </c>
      <c r="AC4043" s="1" t="s">
        <v>9272</v>
      </c>
      <c r="AD4043" s="1" t="s">
        <v>9273</v>
      </c>
      <c r="AE4043" s="1" t="s">
        <v>9272</v>
      </c>
      <c r="AF4043" s="1" t="s">
        <v>49</v>
      </c>
      <c r="AG4043" s="1" t="s">
        <v>9305</v>
      </c>
      <c r="AH4043" s="1" t="s">
        <v>9001</v>
      </c>
      <c r="AI4043" s="1" t="s">
        <v>54</v>
      </c>
      <c r="AJ4043" s="1">
        <v>0</v>
      </c>
      <c r="AK4043" s="1" t="str">
        <f t="shared" si="63"/>
        <v xml:space="preserve"> =&lt;90</v>
      </c>
      <c r="AL4043" s="1" t="str">
        <f>VLOOKUP(C:C,[1]基础信息!B$1:D$65536,3,0)</f>
        <v xml:space="preserve">Cartridge </v>
      </c>
      <c r="AM4043" s="1" t="str">
        <f>VLOOKUP(C:C,[1]基础信息!B$1:E$65536,4,0)</f>
        <v>UNIV</v>
      </c>
      <c r="AN4043" s="1" t="str">
        <f>VLOOKUP(C:C,[1]基础信息!B$1:F$65536,5,0)</f>
        <v>P3</v>
      </c>
    </row>
    <row r="4044" spans="1:40">
      <c r="A4044" s="1" t="s">
        <v>41</v>
      </c>
      <c r="B4044" s="1" t="s">
        <v>42</v>
      </c>
      <c r="C4044" s="1" t="s">
        <v>7852</v>
      </c>
      <c r="D4044" s="1" t="s">
        <v>7853</v>
      </c>
      <c r="E4044" s="1" t="s">
        <v>45</v>
      </c>
      <c r="F4044" s="1" t="s">
        <v>9306</v>
      </c>
      <c r="G4044" s="1" t="s">
        <v>9292</v>
      </c>
      <c r="H4044" s="1" t="s">
        <v>45</v>
      </c>
      <c r="I4044" s="1" t="s">
        <v>45</v>
      </c>
      <c r="J4044" s="1" t="s">
        <v>48</v>
      </c>
      <c r="K4044" s="1">
        <v>60</v>
      </c>
      <c r="L4044" s="1">
        <v>0</v>
      </c>
      <c r="M4044" s="1">
        <v>0</v>
      </c>
      <c r="N4044" s="1">
        <v>60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 t="s">
        <v>49</v>
      </c>
      <c r="AA4044" s="1" t="s">
        <v>49</v>
      </c>
      <c r="AB4044" s="1" t="s">
        <v>49</v>
      </c>
      <c r="AC4044" s="1" t="s">
        <v>4106</v>
      </c>
      <c r="AD4044" s="1" t="s">
        <v>4107</v>
      </c>
      <c r="AE4044" s="1" t="s">
        <v>4106</v>
      </c>
      <c r="AF4044" s="1" t="s">
        <v>49</v>
      </c>
      <c r="AG4044" s="1" t="s">
        <v>9279</v>
      </c>
      <c r="AH4044" s="1" t="s">
        <v>8988</v>
      </c>
      <c r="AI4044" s="1" t="s">
        <v>54</v>
      </c>
      <c r="AJ4044" s="1">
        <v>1</v>
      </c>
      <c r="AK4044" s="1" t="str">
        <f t="shared" si="63"/>
        <v xml:space="preserve"> =&lt;90</v>
      </c>
      <c r="AL4044" s="1" t="str">
        <f>VLOOKUP(C:C,[1]基础信息!B$1:D$65536,3,0)</f>
        <v xml:space="preserve">Cartridge </v>
      </c>
      <c r="AM4044" s="1" t="str">
        <f>VLOOKUP(C:C,[1]基础信息!B$1:E$65536,4,0)</f>
        <v>LM</v>
      </c>
      <c r="AN4044" s="1" t="str">
        <f>VLOOKUP(C:C,[1]基础信息!B$1:F$65536,5,0)</f>
        <v>P3</v>
      </c>
    </row>
    <row r="4045" spans="1:40">
      <c r="A4045" s="1" t="s">
        <v>41</v>
      </c>
      <c r="B4045" s="1" t="s">
        <v>42</v>
      </c>
      <c r="C4045" s="1" t="s">
        <v>68</v>
      </c>
      <c r="D4045" s="1" t="s">
        <v>69</v>
      </c>
      <c r="E4045" s="1" t="s">
        <v>45</v>
      </c>
      <c r="F4045" s="1" t="s">
        <v>9307</v>
      </c>
      <c r="G4045" s="1" t="s">
        <v>9308</v>
      </c>
      <c r="H4045" s="1" t="s">
        <v>45</v>
      </c>
      <c r="I4045" s="1" t="s">
        <v>45</v>
      </c>
      <c r="J4045" s="1" t="s">
        <v>48</v>
      </c>
      <c r="K4045" s="1">
        <v>39</v>
      </c>
      <c r="L4045" s="1">
        <v>0</v>
      </c>
      <c r="M4045" s="1">
        <v>0</v>
      </c>
      <c r="N4045" s="1">
        <v>39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 t="s">
        <v>49</v>
      </c>
      <c r="AA4045" s="1" t="s">
        <v>49</v>
      </c>
      <c r="AB4045" s="1" t="s">
        <v>49</v>
      </c>
      <c r="AC4045" s="1" t="s">
        <v>169</v>
      </c>
      <c r="AD4045" s="1" t="s">
        <v>9287</v>
      </c>
      <c r="AE4045" s="1" t="s">
        <v>169</v>
      </c>
      <c r="AF4045" s="1" t="s">
        <v>9288</v>
      </c>
      <c r="AG4045" s="1" t="s">
        <v>7747</v>
      </c>
      <c r="AH4045" s="1" t="s">
        <v>49</v>
      </c>
      <c r="AI4045" s="1" t="s">
        <v>54</v>
      </c>
      <c r="AJ4045" s="1">
        <v>1</v>
      </c>
      <c r="AK4045" s="1" t="str">
        <f t="shared" si="63"/>
        <v xml:space="preserve"> =&lt;90</v>
      </c>
      <c r="AL4045" s="1" t="str">
        <f>VLOOKUP(C:C,[1]基础信息!B$1:D$65536,3,0)</f>
        <v>Hotcup</v>
      </c>
      <c r="AM4045" s="1" t="str">
        <f>VLOOKUP(C:C,[1]基础信息!B$1:E$65536,4,0)</f>
        <v>Hotcup</v>
      </c>
      <c r="AN4045" s="1" t="str">
        <f>VLOOKUP(C:C,[1]基础信息!B$1:F$65536,5,0)</f>
        <v xml:space="preserve"> Whi</v>
      </c>
    </row>
    <row r="4046" spans="1:40">
      <c r="A4046" s="1" t="s">
        <v>41</v>
      </c>
      <c r="B4046" s="1" t="s">
        <v>42</v>
      </c>
      <c r="C4046" s="1" t="s">
        <v>1946</v>
      </c>
      <c r="D4046" s="1" t="s">
        <v>1947</v>
      </c>
      <c r="E4046" s="1" t="s">
        <v>1946</v>
      </c>
      <c r="F4046" s="1" t="s">
        <v>9309</v>
      </c>
      <c r="G4046" s="1" t="s">
        <v>9310</v>
      </c>
      <c r="H4046" s="1" t="s">
        <v>45</v>
      </c>
      <c r="I4046" s="1" t="s">
        <v>45</v>
      </c>
      <c r="J4046" s="1" t="s">
        <v>48</v>
      </c>
      <c r="K4046" s="1">
        <v>138</v>
      </c>
      <c r="L4046" s="1">
        <v>0</v>
      </c>
      <c r="M4046" s="1">
        <v>0</v>
      </c>
      <c r="N4046" s="1">
        <v>138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 t="s">
        <v>49</v>
      </c>
      <c r="AA4046" s="1" t="s">
        <v>49</v>
      </c>
      <c r="AB4046" s="1" t="s">
        <v>49</v>
      </c>
      <c r="AC4046" s="1" t="s">
        <v>8263</v>
      </c>
      <c r="AD4046" s="1" t="s">
        <v>9184</v>
      </c>
      <c r="AE4046" s="1" t="s">
        <v>8263</v>
      </c>
      <c r="AF4046" s="1" t="s">
        <v>49</v>
      </c>
      <c r="AG4046" s="1" t="s">
        <v>1952</v>
      </c>
      <c r="AH4046" s="1" t="s">
        <v>8988</v>
      </c>
      <c r="AI4046" s="1" t="s">
        <v>54</v>
      </c>
      <c r="AJ4046" s="1">
        <v>1</v>
      </c>
      <c r="AK4046" s="1" t="str">
        <f t="shared" si="63"/>
        <v xml:space="preserve"> =&lt;90</v>
      </c>
      <c r="AL4046" s="1" t="str">
        <f>VLOOKUP(C:C,[1]基础信息!B$1:D$65536,3,0)</f>
        <v xml:space="preserve">Cartridge </v>
      </c>
      <c r="AM4046" s="1" t="str">
        <f>VLOOKUP(C:C,[1]基础信息!B$1:E$65536,4,0)</f>
        <v>UNIV</v>
      </c>
      <c r="AN4046" s="1" t="str">
        <f>VLOOKUP(C:C,[1]基础信息!B$1:F$65536,5,0)</f>
        <v>P6</v>
      </c>
    </row>
    <row r="4047" spans="1:40">
      <c r="A4047" s="1" t="s">
        <v>41</v>
      </c>
      <c r="B4047" s="1" t="s">
        <v>42</v>
      </c>
      <c r="C4047" s="1" t="s">
        <v>6106</v>
      </c>
      <c r="D4047" s="1" t="s">
        <v>6107</v>
      </c>
      <c r="E4047" s="1" t="s">
        <v>45</v>
      </c>
      <c r="F4047" s="1" t="s">
        <v>9311</v>
      </c>
      <c r="G4047" s="1" t="s">
        <v>9312</v>
      </c>
      <c r="H4047" s="1" t="s">
        <v>45</v>
      </c>
      <c r="I4047" s="1" t="s">
        <v>45</v>
      </c>
      <c r="J4047" s="1" t="s">
        <v>48</v>
      </c>
      <c r="K4047" s="1">
        <v>60</v>
      </c>
      <c r="L4047" s="1">
        <v>0</v>
      </c>
      <c r="M4047" s="1">
        <v>0</v>
      </c>
      <c r="N4047" s="1">
        <v>60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 t="s">
        <v>49</v>
      </c>
      <c r="AA4047" s="1" t="s">
        <v>49</v>
      </c>
      <c r="AB4047" s="1" t="s">
        <v>49</v>
      </c>
      <c r="AC4047" s="1" t="s">
        <v>7926</v>
      </c>
      <c r="AD4047" s="1" t="s">
        <v>7927</v>
      </c>
      <c r="AE4047" s="1" t="s">
        <v>7926</v>
      </c>
      <c r="AF4047" s="1" t="s">
        <v>9064</v>
      </c>
      <c r="AG4047" s="1" t="s">
        <v>3464</v>
      </c>
      <c r="AH4047" s="1" t="s">
        <v>7928</v>
      </c>
      <c r="AI4047" s="1" t="s">
        <v>54</v>
      </c>
      <c r="AJ4047" s="1">
        <v>1</v>
      </c>
      <c r="AK4047" s="1" t="str">
        <f t="shared" si="63"/>
        <v xml:space="preserve"> =&lt;90</v>
      </c>
      <c r="AL4047" s="1" t="str">
        <f>VLOOKUP(C:C,[1]基础信息!B$1:D$65536,3,0)</f>
        <v>On tap</v>
      </c>
      <c r="AM4047" s="1" t="str">
        <f>VLOOKUP(C:C,[1]基础信息!B$1:E$65536,4,0)</f>
        <v>On tap</v>
      </c>
      <c r="AN4047" s="1" t="str">
        <f>VLOOKUP(C:C,[1]基础信息!B$1:F$65536,5,0)</f>
        <v>Refill</v>
      </c>
    </row>
    <row r="4048" spans="1:40">
      <c r="A4048" s="1" t="s">
        <v>41</v>
      </c>
      <c r="B4048" s="1" t="s">
        <v>42</v>
      </c>
      <c r="C4048" s="1" t="s">
        <v>359</v>
      </c>
      <c r="D4048" s="1" t="s">
        <v>360</v>
      </c>
      <c r="E4048" s="1" t="s">
        <v>45</v>
      </c>
      <c r="F4048" s="1" t="s">
        <v>9313</v>
      </c>
      <c r="G4048" s="1" t="s">
        <v>9314</v>
      </c>
      <c r="H4048" s="1" t="s">
        <v>45</v>
      </c>
      <c r="I4048" s="1" t="s">
        <v>45</v>
      </c>
      <c r="J4048" s="1" t="s">
        <v>48</v>
      </c>
      <c r="K4048" s="1">
        <v>1</v>
      </c>
      <c r="L4048" s="1">
        <v>0</v>
      </c>
      <c r="M4048" s="1">
        <v>0</v>
      </c>
      <c r="N4048" s="1">
        <v>1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 t="s">
        <v>49</v>
      </c>
      <c r="AA4048" s="1" t="s">
        <v>49</v>
      </c>
      <c r="AB4048" s="1" t="s">
        <v>49</v>
      </c>
      <c r="AC4048" s="1" t="s">
        <v>3239</v>
      </c>
      <c r="AD4048" s="1" t="s">
        <v>3240</v>
      </c>
      <c r="AE4048" s="1" t="s">
        <v>3239</v>
      </c>
      <c r="AF4048" s="1" t="s">
        <v>49</v>
      </c>
      <c r="AG4048" s="1" t="s">
        <v>3464</v>
      </c>
      <c r="AH4048" s="1" t="s">
        <v>7928</v>
      </c>
      <c r="AI4048" s="1" t="s">
        <v>54</v>
      </c>
      <c r="AJ4048" s="1">
        <v>0</v>
      </c>
      <c r="AK4048" s="1" t="str">
        <f t="shared" si="63"/>
        <v xml:space="preserve"> =&lt;90</v>
      </c>
      <c r="AL4048" s="1" t="e">
        <f>VLOOKUP(C:C,[1]基础信息!B$1:D$65536,3,0)</f>
        <v>#N/A</v>
      </c>
      <c r="AM4048" s="1" t="e">
        <f>VLOOKUP(C:C,[1]基础信息!B$1:E$65536,4,0)</f>
        <v>#N/A</v>
      </c>
      <c r="AN4048" s="1" t="e">
        <f>VLOOKUP(C:C,[1]基础信息!B$1:F$65536,5,0)</f>
        <v>#N/A</v>
      </c>
    </row>
    <row r="4049" spans="1:40">
      <c r="A4049" s="1" t="s">
        <v>41</v>
      </c>
      <c r="B4049" s="1" t="s">
        <v>42</v>
      </c>
      <c r="C4049" s="1" t="s">
        <v>481</v>
      </c>
      <c r="D4049" s="1" t="s">
        <v>482</v>
      </c>
      <c r="E4049" s="1" t="s">
        <v>45</v>
      </c>
      <c r="F4049" s="1" t="s">
        <v>9315</v>
      </c>
      <c r="G4049" s="1" t="s">
        <v>9314</v>
      </c>
      <c r="H4049" s="1" t="s">
        <v>45</v>
      </c>
      <c r="I4049" s="1" t="s">
        <v>45</v>
      </c>
      <c r="J4049" s="1" t="s">
        <v>48</v>
      </c>
      <c r="K4049" s="1">
        <v>1</v>
      </c>
      <c r="L4049" s="1">
        <v>0</v>
      </c>
      <c r="M4049" s="1">
        <v>0</v>
      </c>
      <c r="N4049" s="1">
        <v>1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 t="s">
        <v>49</v>
      </c>
      <c r="AA4049" s="1" t="s">
        <v>49</v>
      </c>
      <c r="AB4049" s="1" t="s">
        <v>49</v>
      </c>
      <c r="AC4049" s="1" t="s">
        <v>204</v>
      </c>
      <c r="AD4049" s="1" t="s">
        <v>205</v>
      </c>
      <c r="AE4049" s="1" t="s">
        <v>204</v>
      </c>
      <c r="AF4049" s="1" t="s">
        <v>49</v>
      </c>
      <c r="AG4049" s="1" t="s">
        <v>9096</v>
      </c>
      <c r="AH4049" s="1" t="s">
        <v>9089</v>
      </c>
      <c r="AI4049" s="1" t="s">
        <v>54</v>
      </c>
      <c r="AJ4049" s="1">
        <v>0</v>
      </c>
      <c r="AK4049" s="1" t="str">
        <f t="shared" si="63"/>
        <v xml:space="preserve"> =&lt;90</v>
      </c>
      <c r="AL4049" s="1" t="str">
        <f>VLOOKUP(C:C,[1]基础信息!B$1:D$65536,3,0)</f>
        <v>Jug</v>
      </c>
      <c r="AM4049" s="1" t="str">
        <f>VLOOKUP(C:C,[1]基础信息!B$1:E$65536,4,0)</f>
        <v>Style COOL</v>
      </c>
      <c r="AN4049" s="1" t="str">
        <f>VLOOKUP(C:C,[1]基础信息!B$1:F$65536,5,0)</f>
        <v>Cool Blue</v>
      </c>
    </row>
    <row r="4050" spans="1:40">
      <c r="A4050" s="1" t="s">
        <v>41</v>
      </c>
      <c r="B4050" s="1" t="s">
        <v>42</v>
      </c>
      <c r="C4050" s="1" t="s">
        <v>8107</v>
      </c>
      <c r="D4050" s="1" t="s">
        <v>8108</v>
      </c>
      <c r="E4050" s="1" t="s">
        <v>45</v>
      </c>
      <c r="F4050" s="1" t="s">
        <v>9316</v>
      </c>
      <c r="G4050" s="1" t="s">
        <v>9314</v>
      </c>
      <c r="H4050" s="1" t="s">
        <v>45</v>
      </c>
      <c r="I4050" s="1" t="s">
        <v>45</v>
      </c>
      <c r="J4050" s="1" t="s">
        <v>48</v>
      </c>
      <c r="K4050" s="1">
        <v>1</v>
      </c>
      <c r="L4050" s="1">
        <v>0</v>
      </c>
      <c r="M4050" s="1">
        <v>0</v>
      </c>
      <c r="N4050" s="1">
        <v>1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 t="s">
        <v>49</v>
      </c>
      <c r="AA4050" s="1" t="s">
        <v>49</v>
      </c>
      <c r="AB4050" s="1" t="s">
        <v>49</v>
      </c>
      <c r="AC4050" s="1" t="s">
        <v>1188</v>
      </c>
      <c r="AD4050" s="1" t="s">
        <v>1189</v>
      </c>
      <c r="AE4050" s="1" t="s">
        <v>1188</v>
      </c>
      <c r="AF4050" s="1" t="s">
        <v>49</v>
      </c>
      <c r="AG4050" s="1" t="s">
        <v>6921</v>
      </c>
      <c r="AH4050" s="1" t="s">
        <v>49</v>
      </c>
      <c r="AI4050" s="1" t="s">
        <v>54</v>
      </c>
      <c r="AJ4050" s="1">
        <v>0</v>
      </c>
      <c r="AK4050" s="1" t="str">
        <f t="shared" si="63"/>
        <v xml:space="preserve"> =&lt;90</v>
      </c>
      <c r="AL4050" s="1" t="str">
        <f>VLOOKUP(C:C,[1]基础信息!B$1:D$65536,3,0)</f>
        <v>Jug</v>
      </c>
      <c r="AM4050" s="1" t="str">
        <f>VLOOKUP(C:C,[1]基础信息!B$1:E$65536,4,0)</f>
        <v>Style</v>
      </c>
      <c r="AN4050" s="1" t="str">
        <f>VLOOKUP(C:C,[1]基础信息!B$1:F$65536,5,0)</f>
        <v>Lime</v>
      </c>
    </row>
    <row r="4051" spans="1:40">
      <c r="A4051" s="1" t="s">
        <v>41</v>
      </c>
      <c r="B4051" s="1" t="s">
        <v>42</v>
      </c>
      <c r="C4051" s="1" t="s">
        <v>4253</v>
      </c>
      <c r="D4051" s="1" t="s">
        <v>4254</v>
      </c>
      <c r="E4051" s="1" t="s">
        <v>45</v>
      </c>
      <c r="F4051" s="1" t="s">
        <v>9317</v>
      </c>
      <c r="G4051" s="1" t="s">
        <v>9314</v>
      </c>
      <c r="H4051" s="1" t="s">
        <v>45</v>
      </c>
      <c r="I4051" s="1" t="s">
        <v>45</v>
      </c>
      <c r="J4051" s="1" t="s">
        <v>48</v>
      </c>
      <c r="K4051" s="1">
        <v>4</v>
      </c>
      <c r="L4051" s="1">
        <v>0</v>
      </c>
      <c r="M4051" s="1">
        <v>0</v>
      </c>
      <c r="N4051" s="1">
        <v>4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 t="s">
        <v>49</v>
      </c>
      <c r="AA4051" s="1" t="s">
        <v>49</v>
      </c>
      <c r="AB4051" s="1" t="s">
        <v>49</v>
      </c>
      <c r="AC4051" s="1" t="s">
        <v>1188</v>
      </c>
      <c r="AD4051" s="1" t="s">
        <v>1189</v>
      </c>
      <c r="AE4051" s="1" t="s">
        <v>1188</v>
      </c>
      <c r="AF4051" s="1" t="s">
        <v>49</v>
      </c>
      <c r="AG4051" s="1" t="s">
        <v>9305</v>
      </c>
      <c r="AH4051" s="1" t="s">
        <v>49</v>
      </c>
      <c r="AI4051" s="1" t="s">
        <v>54</v>
      </c>
      <c r="AJ4051" s="1">
        <v>0</v>
      </c>
      <c r="AK4051" s="1" t="str">
        <f t="shared" si="63"/>
        <v xml:space="preserve"> =&lt;90</v>
      </c>
      <c r="AL4051" s="1" t="str">
        <f>VLOOKUP(C:C,[1]基础信息!B$1:D$65536,3,0)</f>
        <v xml:space="preserve">Cartridge </v>
      </c>
      <c r="AM4051" s="1" t="str">
        <f>VLOOKUP(C:C,[1]基础信息!B$1:E$65536,4,0)</f>
        <v>UNIV</v>
      </c>
      <c r="AN4051" s="1" t="str">
        <f>VLOOKUP(C:C,[1]基础信息!B$1:F$65536,5,0)</f>
        <v>P6</v>
      </c>
    </row>
    <row r="4052" spans="1:40">
      <c r="A4052" s="1" t="s">
        <v>41</v>
      </c>
      <c r="B4052" s="1" t="s">
        <v>42</v>
      </c>
      <c r="C4052" s="1" t="s">
        <v>359</v>
      </c>
      <c r="D4052" s="1" t="s">
        <v>360</v>
      </c>
      <c r="E4052" s="1" t="s">
        <v>45</v>
      </c>
      <c r="F4052" s="1" t="s">
        <v>9318</v>
      </c>
      <c r="G4052" s="1" t="s">
        <v>9314</v>
      </c>
      <c r="H4052" s="1" t="s">
        <v>45</v>
      </c>
      <c r="I4052" s="1" t="s">
        <v>45</v>
      </c>
      <c r="J4052" s="1" t="s">
        <v>48</v>
      </c>
      <c r="K4052" s="1">
        <v>1</v>
      </c>
      <c r="L4052" s="1">
        <v>0</v>
      </c>
      <c r="M4052" s="1">
        <v>0</v>
      </c>
      <c r="N4052" s="1">
        <v>1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 t="s">
        <v>49</v>
      </c>
      <c r="AA4052" s="1" t="s">
        <v>49</v>
      </c>
      <c r="AB4052" s="1" t="s">
        <v>49</v>
      </c>
      <c r="AC4052" s="1" t="s">
        <v>9044</v>
      </c>
      <c r="AD4052" s="1" t="s">
        <v>9319</v>
      </c>
      <c r="AE4052" s="1" t="s">
        <v>9044</v>
      </c>
      <c r="AF4052" s="1" t="s">
        <v>49</v>
      </c>
      <c r="AG4052" s="1" t="s">
        <v>3464</v>
      </c>
      <c r="AH4052" s="1" t="s">
        <v>49</v>
      </c>
      <c r="AI4052" s="1" t="s">
        <v>54</v>
      </c>
      <c r="AJ4052" s="1">
        <v>1</v>
      </c>
      <c r="AK4052" s="1" t="str">
        <f t="shared" si="63"/>
        <v xml:space="preserve"> =&lt;90</v>
      </c>
      <c r="AL4052" s="1" t="e">
        <f>VLOOKUP(C:C,[1]基础信息!B$1:D$65536,3,0)</f>
        <v>#N/A</v>
      </c>
      <c r="AM4052" s="1" t="e">
        <f>VLOOKUP(C:C,[1]基础信息!B$1:E$65536,4,0)</f>
        <v>#N/A</v>
      </c>
      <c r="AN4052" s="1" t="e">
        <f>VLOOKUP(C:C,[1]基础信息!B$1:F$65536,5,0)</f>
        <v>#N/A</v>
      </c>
    </row>
    <row r="4053" spans="1:40">
      <c r="A4053" s="1" t="s">
        <v>41</v>
      </c>
      <c r="B4053" s="1" t="s">
        <v>42</v>
      </c>
      <c r="C4053" s="1" t="s">
        <v>68</v>
      </c>
      <c r="D4053" s="1" t="s">
        <v>69</v>
      </c>
      <c r="E4053" s="1" t="s">
        <v>45</v>
      </c>
      <c r="F4053" s="1" t="s">
        <v>9320</v>
      </c>
      <c r="G4053" s="1" t="s">
        <v>9321</v>
      </c>
      <c r="H4053" s="1" t="s">
        <v>45</v>
      </c>
      <c r="I4053" s="1" t="s">
        <v>45</v>
      </c>
      <c r="J4053" s="1" t="s">
        <v>48</v>
      </c>
      <c r="K4053" s="1">
        <v>1</v>
      </c>
      <c r="L4053" s="1">
        <v>0</v>
      </c>
      <c r="M4053" s="1">
        <v>0</v>
      </c>
      <c r="N4053" s="1">
        <v>1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 t="s">
        <v>49</v>
      </c>
      <c r="AA4053" s="1" t="s">
        <v>49</v>
      </c>
      <c r="AB4053" s="1" t="s">
        <v>49</v>
      </c>
      <c r="AC4053" s="1" t="s">
        <v>9145</v>
      </c>
      <c r="AD4053" s="1" t="s">
        <v>9146</v>
      </c>
      <c r="AE4053" s="1" t="s">
        <v>9145</v>
      </c>
      <c r="AF4053" s="1" t="s">
        <v>49</v>
      </c>
      <c r="AG4053" s="1" t="s">
        <v>9147</v>
      </c>
      <c r="AH4053" s="1" t="s">
        <v>49</v>
      </c>
      <c r="AI4053" s="1" t="s">
        <v>54</v>
      </c>
      <c r="AJ4053" s="1">
        <v>0</v>
      </c>
      <c r="AK4053" s="1" t="str">
        <f t="shared" si="63"/>
        <v xml:space="preserve"> =&lt;90</v>
      </c>
      <c r="AL4053" s="1" t="str">
        <f>VLOOKUP(C:C,[1]基础信息!B$1:D$65536,3,0)</f>
        <v>Hotcup</v>
      </c>
      <c r="AM4053" s="1" t="str">
        <f>VLOOKUP(C:C,[1]基础信息!B$1:E$65536,4,0)</f>
        <v>Hotcup</v>
      </c>
      <c r="AN4053" s="1" t="str">
        <f>VLOOKUP(C:C,[1]基础信息!B$1:F$65536,5,0)</f>
        <v xml:space="preserve"> Whi</v>
      </c>
    </row>
    <row r="4054" spans="1:40">
      <c r="A4054" s="1" t="s">
        <v>41</v>
      </c>
      <c r="B4054" s="1" t="s">
        <v>42</v>
      </c>
      <c r="C4054" s="1" t="s">
        <v>1366</v>
      </c>
      <c r="D4054" s="1" t="s">
        <v>1367</v>
      </c>
      <c r="E4054" s="1" t="s">
        <v>45</v>
      </c>
      <c r="F4054" s="1" t="s">
        <v>9322</v>
      </c>
      <c r="G4054" s="1" t="s">
        <v>9321</v>
      </c>
      <c r="H4054" s="1" t="s">
        <v>45</v>
      </c>
      <c r="I4054" s="1" t="s">
        <v>45</v>
      </c>
      <c r="J4054" s="1" t="s">
        <v>48</v>
      </c>
      <c r="K4054" s="1">
        <v>4</v>
      </c>
      <c r="L4054" s="1">
        <v>0</v>
      </c>
      <c r="M4054" s="1">
        <v>0</v>
      </c>
      <c r="N4054" s="1">
        <v>4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 t="s">
        <v>49</v>
      </c>
      <c r="AA4054" s="1" t="s">
        <v>49</v>
      </c>
      <c r="AB4054" s="1" t="s">
        <v>49</v>
      </c>
      <c r="AC4054" s="1" t="s">
        <v>9145</v>
      </c>
      <c r="AD4054" s="1" t="s">
        <v>9146</v>
      </c>
      <c r="AE4054" s="1" t="s">
        <v>9145</v>
      </c>
      <c r="AF4054" s="1" t="s">
        <v>49</v>
      </c>
      <c r="AG4054" s="1" t="s">
        <v>9147</v>
      </c>
      <c r="AH4054" s="1" t="s">
        <v>49</v>
      </c>
      <c r="AI4054" s="1" t="s">
        <v>54</v>
      </c>
      <c r="AJ4054" s="1">
        <v>1</v>
      </c>
      <c r="AK4054" s="1" t="str">
        <f t="shared" si="63"/>
        <v xml:space="preserve"> =&lt;90</v>
      </c>
      <c r="AL4054" s="1" t="str">
        <f>VLOOKUP(C:C,[1]基础信息!B$1:D$65536,3,0)</f>
        <v>UTS</v>
      </c>
      <c r="AM4054" s="1" t="str">
        <f>VLOOKUP(C:C,[1]基础信息!B$1:E$65536,4,0)</f>
        <v>MyPure</v>
      </c>
      <c r="AN4054" s="1" t="str">
        <f>VLOOKUP(C:C,[1]基础信息!B$1:F$65536,5,0)</f>
        <v>Refill</v>
      </c>
    </row>
    <row r="4055" spans="1:40">
      <c r="A4055" s="1" t="s">
        <v>41</v>
      </c>
      <c r="B4055" s="1" t="s">
        <v>42</v>
      </c>
      <c r="C4055" s="1" t="s">
        <v>9323</v>
      </c>
      <c r="D4055" s="1" t="s">
        <v>9324</v>
      </c>
      <c r="E4055" s="1" t="s">
        <v>9323</v>
      </c>
      <c r="F4055" s="1" t="s">
        <v>9325</v>
      </c>
      <c r="G4055" s="1" t="s">
        <v>9326</v>
      </c>
      <c r="H4055" s="1" t="s">
        <v>45</v>
      </c>
      <c r="I4055" s="1" t="s">
        <v>45</v>
      </c>
      <c r="J4055" s="1" t="s">
        <v>48</v>
      </c>
      <c r="K4055" s="1">
        <v>229</v>
      </c>
      <c r="L4055" s="1">
        <v>0</v>
      </c>
      <c r="M4055" s="1">
        <v>0</v>
      </c>
      <c r="N4055" s="1">
        <v>229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 t="s">
        <v>49</v>
      </c>
      <c r="AA4055" s="1" t="s">
        <v>49</v>
      </c>
      <c r="AB4055" s="1" t="s">
        <v>49</v>
      </c>
      <c r="AC4055" s="1" t="s">
        <v>8263</v>
      </c>
      <c r="AD4055" s="1" t="s">
        <v>9184</v>
      </c>
      <c r="AE4055" s="1" t="s">
        <v>8263</v>
      </c>
      <c r="AF4055" s="1" t="s">
        <v>49</v>
      </c>
      <c r="AG4055" s="1" t="s">
        <v>1952</v>
      </c>
      <c r="AH4055" s="1" t="s">
        <v>8988</v>
      </c>
      <c r="AI4055" s="1" t="s">
        <v>54</v>
      </c>
      <c r="AJ4055" s="1">
        <v>1</v>
      </c>
      <c r="AK4055" s="1" t="str">
        <f t="shared" si="63"/>
        <v xml:space="preserve"> =&lt;90</v>
      </c>
      <c r="AL4055" s="1" t="str">
        <f>VLOOKUP(C:C,[1]基础信息!B$1:D$65536,3,0)</f>
        <v xml:space="preserve">Cartridge </v>
      </c>
      <c r="AM4055" s="1" t="str">
        <f>VLOOKUP(C:C,[1]基础信息!B$1:E$65536,4,0)</f>
        <v>UNIV</v>
      </c>
      <c r="AN4055" s="1" t="str">
        <f>VLOOKUP(C:C,[1]基础信息!B$1:F$65536,5,0)</f>
        <v>P3</v>
      </c>
    </row>
    <row r="4056" spans="1:40">
      <c r="A4056" s="1" t="s">
        <v>41</v>
      </c>
      <c r="B4056" s="1" t="s">
        <v>42</v>
      </c>
      <c r="C4056" s="1" t="s">
        <v>7755</v>
      </c>
      <c r="D4056" s="1" t="s">
        <v>7756</v>
      </c>
      <c r="E4056" s="1" t="s">
        <v>45</v>
      </c>
      <c r="F4056" s="1" t="s">
        <v>9027</v>
      </c>
      <c r="G4056" s="1" t="s">
        <v>9327</v>
      </c>
      <c r="H4056" s="1" t="s">
        <v>45</v>
      </c>
      <c r="I4056" s="1" t="s">
        <v>45</v>
      </c>
      <c r="J4056" s="1" t="s">
        <v>48</v>
      </c>
      <c r="K4056" s="1">
        <v>1940</v>
      </c>
      <c r="L4056" s="1">
        <v>0</v>
      </c>
      <c r="M4056" s="1">
        <v>0</v>
      </c>
      <c r="N4056" s="1">
        <v>1940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 t="s">
        <v>49</v>
      </c>
      <c r="AA4056" s="1" t="s">
        <v>49</v>
      </c>
      <c r="AB4056" s="1" t="s">
        <v>49</v>
      </c>
      <c r="AC4056" s="1" t="s">
        <v>9029</v>
      </c>
      <c r="AD4056" s="1" t="s">
        <v>9030</v>
      </c>
      <c r="AE4056" s="1" t="s">
        <v>9031</v>
      </c>
      <c r="AF4056" s="1" t="s">
        <v>9032</v>
      </c>
      <c r="AG4056" s="1" t="s">
        <v>1952</v>
      </c>
      <c r="AH4056" s="1" t="s">
        <v>49</v>
      </c>
      <c r="AI4056" s="1" t="s">
        <v>54</v>
      </c>
      <c r="AJ4056" s="1">
        <v>1</v>
      </c>
      <c r="AK4056" s="1" t="str">
        <f t="shared" si="63"/>
        <v xml:space="preserve"> =&lt;90</v>
      </c>
      <c r="AL4056" s="1" t="str">
        <f>VLOOKUP(C:C,[1]基础信息!B$1:D$65536,3,0)</f>
        <v xml:space="preserve">Cartridge </v>
      </c>
      <c r="AM4056" s="1" t="str">
        <f>VLOOKUP(C:C,[1]基础信息!B$1:E$65536,4,0)</f>
        <v>LM</v>
      </c>
      <c r="AN4056" s="1" t="str">
        <f>VLOOKUP(C:C,[1]基础信息!B$1:F$65536,5,0)</f>
        <v>P55</v>
      </c>
    </row>
    <row r="4057" spans="1:40">
      <c r="A4057" s="1" t="s">
        <v>41</v>
      </c>
      <c r="B4057" s="1" t="s">
        <v>42</v>
      </c>
      <c r="C4057" s="1" t="s">
        <v>1183</v>
      </c>
      <c r="D4057" s="1" t="s">
        <v>1184</v>
      </c>
      <c r="E4057" s="1" t="s">
        <v>45</v>
      </c>
      <c r="F4057" s="1" t="s">
        <v>9328</v>
      </c>
      <c r="G4057" s="1" t="s">
        <v>9329</v>
      </c>
      <c r="H4057" s="1" t="s">
        <v>45</v>
      </c>
      <c r="I4057" s="1" t="s">
        <v>45</v>
      </c>
      <c r="J4057" s="1" t="s">
        <v>48</v>
      </c>
      <c r="K4057" s="1">
        <v>13</v>
      </c>
      <c r="L4057" s="1">
        <v>0</v>
      </c>
      <c r="M4057" s="1">
        <v>0</v>
      </c>
      <c r="N4057" s="1">
        <v>13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 t="s">
        <v>49</v>
      </c>
      <c r="AA4057" s="1" t="s">
        <v>49</v>
      </c>
      <c r="AB4057" s="1" t="s">
        <v>49</v>
      </c>
      <c r="AC4057" s="1" t="s">
        <v>1188</v>
      </c>
      <c r="AD4057" s="1" t="s">
        <v>3975</v>
      </c>
      <c r="AE4057" s="1" t="s">
        <v>1188</v>
      </c>
      <c r="AF4057" s="1" t="s">
        <v>49</v>
      </c>
      <c r="AG4057" s="1" t="s">
        <v>7747</v>
      </c>
      <c r="AH4057" s="1" t="s">
        <v>49</v>
      </c>
      <c r="AI4057" s="1" t="s">
        <v>54</v>
      </c>
      <c r="AJ4057" s="1">
        <v>1</v>
      </c>
      <c r="AK4057" s="1" t="str">
        <f t="shared" si="63"/>
        <v xml:space="preserve"> =&lt;90</v>
      </c>
      <c r="AL4057" s="1" t="e">
        <f>VLOOKUP(C:C,[1]基础信息!B$1:D$65536,3,0)</f>
        <v>#N/A</v>
      </c>
      <c r="AM4057" s="1" t="e">
        <f>VLOOKUP(C:C,[1]基础信息!B$1:E$65536,4,0)</f>
        <v>#N/A</v>
      </c>
      <c r="AN4057" s="1" t="e">
        <f>VLOOKUP(C:C,[1]基础信息!B$1:F$65536,5,0)</f>
        <v>#N/A</v>
      </c>
    </row>
    <row r="4058" spans="1:40">
      <c r="A4058" s="1" t="s">
        <v>41</v>
      </c>
      <c r="B4058" s="1" t="s">
        <v>42</v>
      </c>
      <c r="C4058" s="1" t="s">
        <v>4438</v>
      </c>
      <c r="D4058" s="1" t="s">
        <v>4439</v>
      </c>
      <c r="E4058" s="1" t="s">
        <v>45</v>
      </c>
      <c r="F4058" s="1" t="s">
        <v>9330</v>
      </c>
      <c r="G4058" s="1" t="s">
        <v>9331</v>
      </c>
      <c r="H4058" s="1" t="s">
        <v>45</v>
      </c>
      <c r="I4058" s="1" t="s">
        <v>45</v>
      </c>
      <c r="J4058" s="1" t="s">
        <v>48</v>
      </c>
      <c r="K4058" s="1">
        <v>33</v>
      </c>
      <c r="L4058" s="1">
        <v>0</v>
      </c>
      <c r="M4058" s="1">
        <v>0</v>
      </c>
      <c r="N4058" s="1">
        <v>33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 t="s">
        <v>49</v>
      </c>
      <c r="AA4058" s="1" t="s">
        <v>49</v>
      </c>
      <c r="AB4058" s="1" t="s">
        <v>49</v>
      </c>
      <c r="AC4058" s="1" t="s">
        <v>169</v>
      </c>
      <c r="AD4058" s="1" t="s">
        <v>9287</v>
      </c>
      <c r="AE4058" s="1" t="s">
        <v>169</v>
      </c>
      <c r="AF4058" s="1" t="s">
        <v>9332</v>
      </c>
      <c r="AG4058" s="1" t="s">
        <v>7747</v>
      </c>
      <c r="AH4058" s="1" t="s">
        <v>49</v>
      </c>
      <c r="AI4058" s="1" t="s">
        <v>54</v>
      </c>
      <c r="AJ4058" s="1">
        <v>1</v>
      </c>
      <c r="AK4058" s="1" t="str">
        <f t="shared" si="63"/>
        <v xml:space="preserve"> =&lt;90</v>
      </c>
      <c r="AL4058" s="1" t="str">
        <f>VLOOKUP(C:C,[1]基础信息!B$1:D$65536,3,0)</f>
        <v>Hotcup</v>
      </c>
      <c r="AM4058" s="1" t="str">
        <f>VLOOKUP(C:C,[1]基础信息!B$1:E$65536,4,0)</f>
        <v>Hotcup</v>
      </c>
      <c r="AN4058" s="1" t="str">
        <f>VLOOKUP(C:C,[1]基础信息!B$1:F$65536,5,0)</f>
        <v xml:space="preserve"> green</v>
      </c>
    </row>
    <row r="4059" spans="1:40">
      <c r="A4059" s="1" t="s">
        <v>41</v>
      </c>
      <c r="B4059" s="1" t="s">
        <v>42</v>
      </c>
      <c r="C4059" s="1" t="s">
        <v>1383</v>
      </c>
      <c r="D4059" s="1" t="s">
        <v>1384</v>
      </c>
      <c r="E4059" s="1" t="s">
        <v>45</v>
      </c>
      <c r="F4059" s="1" t="s">
        <v>8405</v>
      </c>
      <c r="G4059" s="1" t="s">
        <v>9333</v>
      </c>
      <c r="H4059" s="1" t="s">
        <v>45</v>
      </c>
      <c r="I4059" s="1" t="s">
        <v>45</v>
      </c>
      <c r="J4059" s="1" t="s">
        <v>48</v>
      </c>
      <c r="K4059" s="1">
        <v>96</v>
      </c>
      <c r="L4059" s="1">
        <v>0</v>
      </c>
      <c r="M4059" s="1">
        <v>0</v>
      </c>
      <c r="N4059" s="1">
        <v>96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 t="s">
        <v>49</v>
      </c>
      <c r="AA4059" s="1" t="s">
        <v>49</v>
      </c>
      <c r="AB4059" s="1" t="s">
        <v>49</v>
      </c>
      <c r="AC4059" s="1" t="s">
        <v>5462</v>
      </c>
      <c r="AD4059" s="1" t="s">
        <v>8336</v>
      </c>
      <c r="AE4059" s="1" t="s">
        <v>5462</v>
      </c>
      <c r="AF4059" s="1" t="s">
        <v>49</v>
      </c>
      <c r="AG4059" s="1" t="s">
        <v>6921</v>
      </c>
      <c r="AH4059" s="1" t="s">
        <v>49</v>
      </c>
      <c r="AI4059" s="1" t="s">
        <v>54</v>
      </c>
      <c r="AJ4059" s="1">
        <v>0</v>
      </c>
      <c r="AK4059" s="1" t="str">
        <f t="shared" ref="AK4059:AK4122" si="64">IF(AJ4059&gt;$AP$2,$AQ$2,IF(AJ4059&gt;$AP$3,$AQ$3,IF(AJ4059&gt;$AP$4,$AQ$4,$AQ$5)))</f>
        <v xml:space="preserve"> =&lt;90</v>
      </c>
      <c r="AL4059" s="1" t="str">
        <f>VLOOKUP(C:C,[1]基础信息!B$1:D$65536,3,0)</f>
        <v>Jug</v>
      </c>
      <c r="AM4059" s="1" t="str">
        <f>VLOOKUP(C:C,[1]基础信息!B$1:E$65536,4,0)</f>
        <v>Mxplus</v>
      </c>
      <c r="AN4059" s="1" t="str">
        <f>VLOOKUP(C:C,[1]基础信息!B$1:F$65536,5,0)</f>
        <v>White</v>
      </c>
    </row>
    <row r="4060" spans="1:40">
      <c r="A4060" s="1" t="s">
        <v>41</v>
      </c>
      <c r="B4060" s="1" t="s">
        <v>42</v>
      </c>
      <c r="C4060" s="1" t="s">
        <v>2004</v>
      </c>
      <c r="D4060" s="1" t="s">
        <v>2005</v>
      </c>
      <c r="E4060" s="1" t="s">
        <v>2004</v>
      </c>
      <c r="F4060" s="1" t="s">
        <v>9334</v>
      </c>
      <c r="G4060" s="1" t="s">
        <v>9333</v>
      </c>
      <c r="H4060" s="1" t="s">
        <v>45</v>
      </c>
      <c r="I4060" s="1" t="s">
        <v>45</v>
      </c>
      <c r="J4060" s="1" t="s">
        <v>48</v>
      </c>
      <c r="K4060" s="1">
        <v>2</v>
      </c>
      <c r="L4060" s="1">
        <v>0</v>
      </c>
      <c r="M4060" s="1">
        <v>0</v>
      </c>
      <c r="N4060" s="1">
        <v>2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 t="s">
        <v>49</v>
      </c>
      <c r="AA4060" s="1" t="s">
        <v>49</v>
      </c>
      <c r="AB4060" s="1" t="s">
        <v>49</v>
      </c>
      <c r="AC4060" s="1" t="s">
        <v>5462</v>
      </c>
      <c r="AD4060" s="1" t="s">
        <v>8336</v>
      </c>
      <c r="AE4060" s="1" t="s">
        <v>5462</v>
      </c>
      <c r="AF4060" s="1" t="s">
        <v>49</v>
      </c>
      <c r="AG4060" s="1" t="s">
        <v>6921</v>
      </c>
      <c r="AH4060" s="1" t="s">
        <v>49</v>
      </c>
      <c r="AI4060" s="1" t="s">
        <v>54</v>
      </c>
      <c r="AJ4060" s="1">
        <v>0</v>
      </c>
      <c r="AK4060" s="1" t="str">
        <f t="shared" si="64"/>
        <v xml:space="preserve"> =&lt;90</v>
      </c>
      <c r="AL4060" s="1" t="str">
        <f>VLOOKUP(C:C,[1]基础信息!B$1:D$65536,3,0)</f>
        <v>Jug</v>
      </c>
      <c r="AM4060" s="1" t="str">
        <f>VLOOKUP(C:C,[1]基础信息!B$1:E$65536,4,0)</f>
        <v>Marella XL</v>
      </c>
      <c r="AN4060" s="1" t="str">
        <f>VLOOKUP(C:C,[1]基础信息!B$1:F$65536,5,0)</f>
        <v>Mxplus</v>
      </c>
    </row>
    <row r="4061" spans="1:40">
      <c r="A4061" s="1" t="s">
        <v>41</v>
      </c>
      <c r="B4061" s="1" t="s">
        <v>42</v>
      </c>
      <c r="C4061" s="1" t="s">
        <v>43</v>
      </c>
      <c r="D4061" s="1" t="s">
        <v>44</v>
      </c>
      <c r="E4061" s="1" t="s">
        <v>45</v>
      </c>
      <c r="F4061" s="1" t="s">
        <v>8550</v>
      </c>
      <c r="G4061" s="1" t="s">
        <v>9333</v>
      </c>
      <c r="H4061" s="1" t="s">
        <v>45</v>
      </c>
      <c r="I4061" s="1" t="s">
        <v>45</v>
      </c>
      <c r="J4061" s="1" t="s">
        <v>48</v>
      </c>
      <c r="K4061" s="1">
        <v>2</v>
      </c>
      <c r="L4061" s="1">
        <v>0</v>
      </c>
      <c r="M4061" s="1">
        <v>0</v>
      </c>
      <c r="N4061" s="1">
        <v>2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 t="s">
        <v>49</v>
      </c>
      <c r="AA4061" s="1" t="s">
        <v>49</v>
      </c>
      <c r="AB4061" s="1" t="s">
        <v>49</v>
      </c>
      <c r="AC4061" s="1" t="s">
        <v>5462</v>
      </c>
      <c r="AD4061" s="1" t="s">
        <v>8336</v>
      </c>
      <c r="AE4061" s="1" t="s">
        <v>5462</v>
      </c>
      <c r="AF4061" s="1" t="s">
        <v>49</v>
      </c>
      <c r="AG4061" s="1" t="s">
        <v>6921</v>
      </c>
      <c r="AH4061" s="1" t="s">
        <v>49</v>
      </c>
      <c r="AI4061" s="1" t="s">
        <v>54</v>
      </c>
      <c r="AJ4061" s="1">
        <v>1</v>
      </c>
      <c r="AK4061" s="1" t="str">
        <f t="shared" si="64"/>
        <v xml:space="preserve"> =&lt;90</v>
      </c>
      <c r="AL4061" s="1" t="str">
        <f>VLOOKUP(C:C,[1]基础信息!B$1:D$65536,3,0)</f>
        <v>Jug</v>
      </c>
      <c r="AM4061" s="1" t="str">
        <f>VLOOKUP(C:C,[1]基础信息!B$1:E$65536,4,0)</f>
        <v>Marella XL</v>
      </c>
      <c r="AN4061" s="1" t="str">
        <f>VLOOKUP(C:C,[1]基础信息!B$1:F$65536,5,0)</f>
        <v>Black</v>
      </c>
    </row>
    <row r="4062" spans="1:40">
      <c r="A4062" s="1" t="s">
        <v>41</v>
      </c>
      <c r="B4062" s="1" t="s">
        <v>42</v>
      </c>
      <c r="C4062" s="1" t="s">
        <v>68</v>
      </c>
      <c r="D4062" s="1" t="s">
        <v>69</v>
      </c>
      <c r="E4062" s="1" t="s">
        <v>45</v>
      </c>
      <c r="F4062" s="1" t="s">
        <v>9335</v>
      </c>
      <c r="G4062" s="1" t="s">
        <v>9336</v>
      </c>
      <c r="H4062" s="1" t="s">
        <v>45</v>
      </c>
      <c r="I4062" s="1" t="s">
        <v>49</v>
      </c>
      <c r="J4062" s="1" t="s">
        <v>48</v>
      </c>
      <c r="K4062" s="1">
        <v>1</v>
      </c>
      <c r="L4062" s="1">
        <v>0</v>
      </c>
      <c r="M4062" s="1">
        <v>0</v>
      </c>
      <c r="N4062" s="1">
        <v>1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 t="s">
        <v>49</v>
      </c>
      <c r="AA4062" s="1" t="s">
        <v>49</v>
      </c>
      <c r="AB4062" s="1" t="s">
        <v>49</v>
      </c>
      <c r="AC4062" s="1" t="s">
        <v>3239</v>
      </c>
      <c r="AD4062" s="1" t="s">
        <v>3240</v>
      </c>
      <c r="AE4062" s="1" t="s">
        <v>3241</v>
      </c>
      <c r="AF4062" s="1" t="s">
        <v>3242</v>
      </c>
      <c r="AG4062" s="1" t="s">
        <v>7747</v>
      </c>
      <c r="AH4062" s="1" t="s">
        <v>49</v>
      </c>
      <c r="AI4062" s="1" t="s">
        <v>54</v>
      </c>
      <c r="AJ4062" s="1">
        <v>0</v>
      </c>
      <c r="AK4062" s="1" t="str">
        <f t="shared" si="64"/>
        <v xml:space="preserve"> =&lt;90</v>
      </c>
      <c r="AL4062" s="1" t="str">
        <f>VLOOKUP(C:C,[1]基础信息!B$1:D$65536,3,0)</f>
        <v>Hotcup</v>
      </c>
      <c r="AM4062" s="1" t="str">
        <f>VLOOKUP(C:C,[1]基础信息!B$1:E$65536,4,0)</f>
        <v>Hotcup</v>
      </c>
      <c r="AN4062" s="1" t="str">
        <f>VLOOKUP(C:C,[1]基础信息!B$1:F$65536,5,0)</f>
        <v xml:space="preserve"> Whi</v>
      </c>
    </row>
    <row r="4063" spans="1:40">
      <c r="A4063" s="1" t="s">
        <v>41</v>
      </c>
      <c r="B4063" s="1" t="s">
        <v>42</v>
      </c>
      <c r="C4063" s="1" t="s">
        <v>7704</v>
      </c>
      <c r="D4063" s="1" t="s">
        <v>7705</v>
      </c>
      <c r="E4063" s="1" t="s">
        <v>45</v>
      </c>
      <c r="F4063" s="1" t="s">
        <v>9337</v>
      </c>
      <c r="G4063" s="1" t="s">
        <v>9336</v>
      </c>
      <c r="H4063" s="1" t="s">
        <v>45</v>
      </c>
      <c r="I4063" s="1" t="s">
        <v>45</v>
      </c>
      <c r="J4063" s="1" t="s">
        <v>48</v>
      </c>
      <c r="K4063" s="1">
        <v>3</v>
      </c>
      <c r="L4063" s="1">
        <v>0</v>
      </c>
      <c r="M4063" s="1">
        <v>0</v>
      </c>
      <c r="N4063" s="1">
        <v>3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 t="s">
        <v>49</v>
      </c>
      <c r="AA4063" s="1" t="s">
        <v>49</v>
      </c>
      <c r="AB4063" s="1" t="s">
        <v>49</v>
      </c>
      <c r="AC4063" s="1" t="s">
        <v>1330</v>
      </c>
      <c r="AD4063" s="1" t="s">
        <v>9338</v>
      </c>
      <c r="AE4063" s="1" t="s">
        <v>1330</v>
      </c>
      <c r="AF4063" s="1" t="s">
        <v>49</v>
      </c>
      <c r="AG4063" s="1" t="s">
        <v>7747</v>
      </c>
      <c r="AH4063" s="1" t="s">
        <v>49</v>
      </c>
      <c r="AI4063" s="1" t="s">
        <v>54</v>
      </c>
      <c r="AJ4063" s="1">
        <v>0</v>
      </c>
      <c r="AK4063" s="1" t="str">
        <f t="shared" si="64"/>
        <v xml:space="preserve"> =&lt;90</v>
      </c>
      <c r="AL4063" s="1" t="str">
        <f>VLOOKUP(C:C,[1]基础信息!B$1:D$65536,3,0)</f>
        <v>Hotcup</v>
      </c>
      <c r="AM4063" s="1" t="str">
        <f>VLOOKUP(C:C,[1]基础信息!B$1:E$65536,4,0)</f>
        <v>Hotcup</v>
      </c>
      <c r="AN4063" s="1" t="str">
        <f>VLOOKUP(C:C,[1]基础信息!B$1:F$65536,5,0)</f>
        <v>Silver</v>
      </c>
    </row>
    <row r="4064" spans="1:40">
      <c r="A4064" s="1" t="s">
        <v>41</v>
      </c>
      <c r="B4064" s="1" t="s">
        <v>42</v>
      </c>
      <c r="C4064" s="1" t="s">
        <v>68</v>
      </c>
      <c r="D4064" s="1" t="s">
        <v>69</v>
      </c>
      <c r="E4064" s="1" t="s">
        <v>45</v>
      </c>
      <c r="F4064" s="1" t="s">
        <v>9339</v>
      </c>
      <c r="G4064" s="1" t="s">
        <v>9336</v>
      </c>
      <c r="H4064" s="1" t="s">
        <v>45</v>
      </c>
      <c r="I4064" s="1" t="s">
        <v>45</v>
      </c>
      <c r="J4064" s="1" t="s">
        <v>48</v>
      </c>
      <c r="K4064" s="1">
        <v>1</v>
      </c>
      <c r="L4064" s="1">
        <v>0</v>
      </c>
      <c r="M4064" s="1">
        <v>0</v>
      </c>
      <c r="N4064" s="1">
        <v>1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 t="s">
        <v>49</v>
      </c>
      <c r="AA4064" s="1" t="s">
        <v>49</v>
      </c>
      <c r="AB4064" s="1" t="s">
        <v>49</v>
      </c>
      <c r="AC4064" s="1" t="s">
        <v>1330</v>
      </c>
      <c r="AD4064" s="1" t="s">
        <v>9338</v>
      </c>
      <c r="AE4064" s="1" t="s">
        <v>1330</v>
      </c>
      <c r="AF4064" s="1" t="s">
        <v>49</v>
      </c>
      <c r="AG4064" s="1" t="s">
        <v>7747</v>
      </c>
      <c r="AH4064" s="1" t="s">
        <v>49</v>
      </c>
      <c r="AI4064" s="1" t="s">
        <v>54</v>
      </c>
      <c r="AJ4064" s="1">
        <v>0</v>
      </c>
      <c r="AK4064" s="1" t="str">
        <f t="shared" si="64"/>
        <v xml:space="preserve"> =&lt;90</v>
      </c>
      <c r="AL4064" s="1" t="str">
        <f>VLOOKUP(C:C,[1]基础信息!B$1:D$65536,3,0)</f>
        <v>Hotcup</v>
      </c>
      <c r="AM4064" s="1" t="str">
        <f>VLOOKUP(C:C,[1]基础信息!B$1:E$65536,4,0)</f>
        <v>Hotcup</v>
      </c>
      <c r="AN4064" s="1" t="str">
        <f>VLOOKUP(C:C,[1]基础信息!B$1:F$65536,5,0)</f>
        <v xml:space="preserve"> Whi</v>
      </c>
    </row>
    <row r="4065" spans="1:40">
      <c r="A4065" s="1" t="s">
        <v>41</v>
      </c>
      <c r="B4065" s="1" t="s">
        <v>42</v>
      </c>
      <c r="C4065" s="1" t="s">
        <v>7704</v>
      </c>
      <c r="D4065" s="1" t="s">
        <v>7705</v>
      </c>
      <c r="E4065" s="1" t="s">
        <v>45</v>
      </c>
      <c r="F4065" s="1" t="s">
        <v>9340</v>
      </c>
      <c r="G4065" s="1" t="s">
        <v>9336</v>
      </c>
      <c r="H4065" s="1" t="s">
        <v>45</v>
      </c>
      <c r="I4065" s="1" t="s">
        <v>45</v>
      </c>
      <c r="J4065" s="1" t="s">
        <v>48</v>
      </c>
      <c r="K4065" s="1">
        <v>3</v>
      </c>
      <c r="L4065" s="1">
        <v>0</v>
      </c>
      <c r="M4065" s="1">
        <v>0</v>
      </c>
      <c r="N4065" s="1">
        <v>3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 t="s">
        <v>49</v>
      </c>
      <c r="AA4065" s="1" t="s">
        <v>49</v>
      </c>
      <c r="AB4065" s="1" t="s">
        <v>49</v>
      </c>
      <c r="AC4065" s="1" t="s">
        <v>8695</v>
      </c>
      <c r="AD4065" s="1" t="s">
        <v>8696</v>
      </c>
      <c r="AE4065" s="1" t="s">
        <v>8695</v>
      </c>
      <c r="AF4065" s="1" t="s">
        <v>8597</v>
      </c>
      <c r="AG4065" s="1" t="s">
        <v>7747</v>
      </c>
      <c r="AH4065" s="1" t="s">
        <v>49</v>
      </c>
      <c r="AI4065" s="1" t="s">
        <v>54</v>
      </c>
      <c r="AJ4065" s="1">
        <v>1</v>
      </c>
      <c r="AK4065" s="1" t="str">
        <f t="shared" si="64"/>
        <v xml:space="preserve"> =&lt;90</v>
      </c>
      <c r="AL4065" s="1" t="str">
        <f>VLOOKUP(C:C,[1]基础信息!B$1:D$65536,3,0)</f>
        <v>Hotcup</v>
      </c>
      <c r="AM4065" s="1" t="str">
        <f>VLOOKUP(C:C,[1]基础信息!B$1:E$65536,4,0)</f>
        <v>Hotcup</v>
      </c>
      <c r="AN4065" s="1" t="str">
        <f>VLOOKUP(C:C,[1]基础信息!B$1:F$65536,5,0)</f>
        <v>Silver</v>
      </c>
    </row>
    <row r="4066" spans="1:40">
      <c r="A4066" s="1" t="s">
        <v>41</v>
      </c>
      <c r="B4066" s="1" t="s">
        <v>42</v>
      </c>
      <c r="C4066" s="1" t="s">
        <v>9159</v>
      </c>
      <c r="D4066" s="1" t="s">
        <v>9160</v>
      </c>
      <c r="E4066" s="1" t="s">
        <v>45</v>
      </c>
      <c r="F4066" s="1" t="s">
        <v>9341</v>
      </c>
      <c r="G4066" s="1" t="s">
        <v>9342</v>
      </c>
      <c r="H4066" s="1" t="s">
        <v>45</v>
      </c>
      <c r="I4066" s="1" t="s">
        <v>45</v>
      </c>
      <c r="J4066" s="1" t="s">
        <v>48</v>
      </c>
      <c r="K4066" s="1">
        <v>7</v>
      </c>
      <c r="L4066" s="1">
        <v>0</v>
      </c>
      <c r="M4066" s="1">
        <v>0</v>
      </c>
      <c r="N4066" s="1">
        <v>7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 t="s">
        <v>49</v>
      </c>
      <c r="AA4066" s="1" t="s">
        <v>49</v>
      </c>
      <c r="AB4066" s="1" t="s">
        <v>49</v>
      </c>
      <c r="AC4066" s="1" t="s">
        <v>3264</v>
      </c>
      <c r="AD4066" s="1" t="s">
        <v>3265</v>
      </c>
      <c r="AE4066" s="1" t="s">
        <v>3264</v>
      </c>
      <c r="AF4066" s="1" t="s">
        <v>49</v>
      </c>
      <c r="AG4066" s="1" t="s">
        <v>3464</v>
      </c>
      <c r="AH4066" s="1" t="s">
        <v>49</v>
      </c>
      <c r="AI4066" s="1" t="s">
        <v>54</v>
      </c>
      <c r="AJ4066" s="1">
        <v>1</v>
      </c>
      <c r="AK4066" s="1" t="str">
        <f t="shared" si="64"/>
        <v xml:space="preserve"> =&lt;90</v>
      </c>
      <c r="AL4066" s="1" t="str">
        <f>VLOOKUP(C:C,[1]基础信息!B$1:D$65536,3,0)</f>
        <v>Hotcup</v>
      </c>
      <c r="AM4066" s="1" t="str">
        <f>VLOOKUP(C:C,[1]基础信息!B$1:E$65536,4,0)</f>
        <v>Hotcup</v>
      </c>
      <c r="AN4066" s="1" t="str">
        <f>VLOOKUP(C:C,[1]基础信息!B$1:F$65536,5,0)</f>
        <v>Silver</v>
      </c>
    </row>
    <row r="4067" spans="1:40">
      <c r="A4067" s="1" t="s">
        <v>41</v>
      </c>
      <c r="B4067" s="1" t="s">
        <v>42</v>
      </c>
      <c r="C4067" s="1" t="s">
        <v>104</v>
      </c>
      <c r="D4067" s="1" t="s">
        <v>105</v>
      </c>
      <c r="E4067" s="1" t="s">
        <v>104</v>
      </c>
      <c r="F4067" s="1" t="s">
        <v>9343</v>
      </c>
      <c r="G4067" s="1" t="s">
        <v>9344</v>
      </c>
      <c r="H4067" s="1" t="s">
        <v>45</v>
      </c>
      <c r="I4067" s="1" t="s">
        <v>45</v>
      </c>
      <c r="J4067" s="1" t="s">
        <v>48</v>
      </c>
      <c r="K4067" s="1">
        <v>47</v>
      </c>
      <c r="L4067" s="1">
        <v>0</v>
      </c>
      <c r="M4067" s="1">
        <v>0</v>
      </c>
      <c r="N4067" s="1">
        <v>47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 t="s">
        <v>49</v>
      </c>
      <c r="AA4067" s="1" t="s">
        <v>49</v>
      </c>
      <c r="AB4067" s="1" t="s">
        <v>49</v>
      </c>
      <c r="AC4067" s="1" t="s">
        <v>376</v>
      </c>
      <c r="AD4067" s="1" t="s">
        <v>377</v>
      </c>
      <c r="AE4067" s="1" t="s">
        <v>376</v>
      </c>
      <c r="AF4067" s="1" t="s">
        <v>7633</v>
      </c>
      <c r="AG4067" s="1" t="s">
        <v>76</v>
      </c>
      <c r="AH4067" s="1" t="s">
        <v>9001</v>
      </c>
      <c r="AI4067" s="1" t="s">
        <v>54</v>
      </c>
      <c r="AJ4067" s="1">
        <v>1</v>
      </c>
      <c r="AK4067" s="1" t="str">
        <f t="shared" si="64"/>
        <v xml:space="preserve"> =&lt;90</v>
      </c>
      <c r="AL4067" s="1" t="str">
        <f>VLOOKUP(C:C,[1]基础信息!B$1:D$65536,3,0)</f>
        <v>Jug</v>
      </c>
      <c r="AM4067" s="1" t="str">
        <f>VLOOKUP(C:C,[1]基础信息!B$1:E$65536,4,0)</f>
        <v>Marella XL</v>
      </c>
      <c r="AN4067" s="1" t="str">
        <f>VLOOKUP(C:C,[1]基础信息!B$1:F$65536,5,0)</f>
        <v>Blue</v>
      </c>
    </row>
    <row r="4068" spans="1:40">
      <c r="A4068" s="1" t="s">
        <v>41</v>
      </c>
      <c r="B4068" s="1" t="s">
        <v>42</v>
      </c>
      <c r="C4068" s="1" t="s">
        <v>4253</v>
      </c>
      <c r="D4068" s="1" t="s">
        <v>4254</v>
      </c>
      <c r="E4068" s="1" t="s">
        <v>45</v>
      </c>
      <c r="F4068" s="1" t="s">
        <v>9345</v>
      </c>
      <c r="G4068" s="1" t="s">
        <v>9346</v>
      </c>
      <c r="H4068" s="1" t="s">
        <v>45</v>
      </c>
      <c r="I4068" s="1" t="s">
        <v>45</v>
      </c>
      <c r="J4068" s="1" t="s">
        <v>48</v>
      </c>
      <c r="K4068" s="1">
        <v>61</v>
      </c>
      <c r="L4068" s="1">
        <v>0</v>
      </c>
      <c r="M4068" s="1">
        <v>0</v>
      </c>
      <c r="N4068" s="1">
        <v>61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 t="s">
        <v>49</v>
      </c>
      <c r="AA4068" s="1" t="s">
        <v>49</v>
      </c>
      <c r="AB4068" s="1" t="s">
        <v>49</v>
      </c>
      <c r="AC4068" s="1" t="s">
        <v>376</v>
      </c>
      <c r="AD4068" s="1" t="s">
        <v>377</v>
      </c>
      <c r="AE4068" s="1" t="s">
        <v>2898</v>
      </c>
      <c r="AF4068" s="1" t="s">
        <v>49</v>
      </c>
      <c r="AG4068" s="1" t="s">
        <v>9279</v>
      </c>
      <c r="AH4068" s="1" t="s">
        <v>9089</v>
      </c>
      <c r="AI4068" s="1" t="s">
        <v>54</v>
      </c>
      <c r="AJ4068" s="1">
        <v>1</v>
      </c>
      <c r="AK4068" s="1" t="str">
        <f t="shared" si="64"/>
        <v xml:space="preserve"> =&lt;90</v>
      </c>
      <c r="AL4068" s="1" t="str">
        <f>VLOOKUP(C:C,[1]基础信息!B$1:D$65536,3,0)</f>
        <v xml:space="preserve">Cartridge </v>
      </c>
      <c r="AM4068" s="1" t="str">
        <f>VLOOKUP(C:C,[1]基础信息!B$1:E$65536,4,0)</f>
        <v>UNIV</v>
      </c>
      <c r="AN4068" s="1" t="str">
        <f>VLOOKUP(C:C,[1]基础信息!B$1:F$65536,5,0)</f>
        <v>P6</v>
      </c>
    </row>
    <row r="4069" spans="1:40">
      <c r="A4069" s="1" t="s">
        <v>41</v>
      </c>
      <c r="B4069" s="1" t="s">
        <v>42</v>
      </c>
      <c r="C4069" s="1" t="s">
        <v>7922</v>
      </c>
      <c r="D4069" s="1" t="s">
        <v>7923</v>
      </c>
      <c r="E4069" s="1" t="s">
        <v>45</v>
      </c>
      <c r="F4069" s="1" t="s">
        <v>9347</v>
      </c>
      <c r="G4069" s="1" t="s">
        <v>9348</v>
      </c>
      <c r="H4069" s="1" t="s">
        <v>45</v>
      </c>
      <c r="I4069" s="1" t="s">
        <v>45</v>
      </c>
      <c r="J4069" s="1" t="s">
        <v>48</v>
      </c>
      <c r="K4069" s="1">
        <v>199</v>
      </c>
      <c r="L4069" s="1">
        <v>0</v>
      </c>
      <c r="M4069" s="1">
        <v>0</v>
      </c>
      <c r="N4069" s="1">
        <v>199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 t="s">
        <v>49</v>
      </c>
      <c r="AA4069" s="1" t="s">
        <v>49</v>
      </c>
      <c r="AB4069" s="1" t="s">
        <v>49</v>
      </c>
      <c r="AC4069" s="1" t="s">
        <v>9020</v>
      </c>
      <c r="AD4069" s="1" t="s">
        <v>9349</v>
      </c>
      <c r="AE4069" s="1" t="s">
        <v>9020</v>
      </c>
      <c r="AF4069" s="1" t="s">
        <v>49</v>
      </c>
      <c r="AG4069" s="1" t="s">
        <v>4662</v>
      </c>
      <c r="AH4069" s="1" t="s">
        <v>9350</v>
      </c>
      <c r="AI4069" s="1" t="s">
        <v>54</v>
      </c>
      <c r="AJ4069" s="1">
        <v>1</v>
      </c>
      <c r="AK4069" s="1" t="str">
        <f t="shared" si="64"/>
        <v xml:space="preserve"> =&lt;90</v>
      </c>
      <c r="AL4069" s="1" t="str">
        <f>VLOOKUP(C:C,[1]基础信息!B$1:D$65536,3,0)</f>
        <v>Jug</v>
      </c>
      <c r="AM4069" s="1" t="str">
        <f>VLOOKUP(C:C,[1]基础信息!B$1:E$65536,4,0)</f>
        <v>Mxplus</v>
      </c>
      <c r="AN4069" s="1" t="str">
        <f>VLOOKUP(C:C,[1]基础信息!B$1:F$65536,5,0)</f>
        <v>Pink</v>
      </c>
    </row>
    <row r="4070" spans="1:40">
      <c r="A4070" s="1" t="s">
        <v>41</v>
      </c>
      <c r="B4070" s="1" t="s">
        <v>42</v>
      </c>
      <c r="C4070" s="1" t="s">
        <v>4253</v>
      </c>
      <c r="D4070" s="1" t="s">
        <v>4254</v>
      </c>
      <c r="E4070" s="1" t="s">
        <v>45</v>
      </c>
      <c r="F4070" s="1" t="s">
        <v>9351</v>
      </c>
      <c r="G4070" s="1" t="s">
        <v>9352</v>
      </c>
      <c r="H4070" s="1" t="s">
        <v>45</v>
      </c>
      <c r="I4070" s="1" t="s">
        <v>45</v>
      </c>
      <c r="J4070" s="1" t="s">
        <v>48</v>
      </c>
      <c r="K4070" s="1">
        <v>2</v>
      </c>
      <c r="L4070" s="1">
        <v>0</v>
      </c>
      <c r="M4070" s="1">
        <v>0</v>
      </c>
      <c r="N4070" s="1">
        <v>2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 t="s">
        <v>49</v>
      </c>
      <c r="AA4070" s="1" t="s">
        <v>49</v>
      </c>
      <c r="AB4070" s="1" t="s">
        <v>49</v>
      </c>
      <c r="AC4070" s="1" t="s">
        <v>9353</v>
      </c>
      <c r="AD4070" s="1" t="s">
        <v>9354</v>
      </c>
      <c r="AE4070" s="1" t="s">
        <v>9353</v>
      </c>
      <c r="AF4070" s="1" t="s">
        <v>9355</v>
      </c>
      <c r="AG4070" s="1" t="s">
        <v>1952</v>
      </c>
      <c r="AH4070" s="1" t="s">
        <v>8988</v>
      </c>
      <c r="AI4070" s="1" t="s">
        <v>54</v>
      </c>
      <c r="AJ4070" s="1">
        <v>0</v>
      </c>
      <c r="AK4070" s="1" t="str">
        <f t="shared" si="64"/>
        <v xml:space="preserve"> =&lt;90</v>
      </c>
      <c r="AL4070" s="1" t="str">
        <f>VLOOKUP(C:C,[1]基础信息!B$1:D$65536,3,0)</f>
        <v xml:space="preserve">Cartridge </v>
      </c>
      <c r="AM4070" s="1" t="str">
        <f>VLOOKUP(C:C,[1]基础信息!B$1:E$65536,4,0)</f>
        <v>UNIV</v>
      </c>
      <c r="AN4070" s="1" t="str">
        <f>VLOOKUP(C:C,[1]基础信息!B$1:F$65536,5,0)</f>
        <v>P6</v>
      </c>
    </row>
    <row r="4071" spans="1:40">
      <c r="A4071" s="1" t="s">
        <v>41</v>
      </c>
      <c r="B4071" s="1" t="s">
        <v>42</v>
      </c>
      <c r="C4071" s="1" t="s">
        <v>83</v>
      </c>
      <c r="D4071" s="1" t="s">
        <v>84</v>
      </c>
      <c r="E4071" s="1" t="s">
        <v>45</v>
      </c>
      <c r="F4071" s="1" t="s">
        <v>9356</v>
      </c>
      <c r="G4071" s="1" t="s">
        <v>9352</v>
      </c>
      <c r="H4071" s="1" t="s">
        <v>45</v>
      </c>
      <c r="I4071" s="1" t="s">
        <v>45</v>
      </c>
      <c r="J4071" s="1" t="s">
        <v>48</v>
      </c>
      <c r="K4071" s="1">
        <v>2</v>
      </c>
      <c r="L4071" s="1">
        <v>0</v>
      </c>
      <c r="M4071" s="1">
        <v>0</v>
      </c>
      <c r="N4071" s="1">
        <v>2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 t="s">
        <v>49</v>
      </c>
      <c r="AA4071" s="1" t="s">
        <v>49</v>
      </c>
      <c r="AB4071" s="1" t="s">
        <v>49</v>
      </c>
      <c r="AC4071" s="1" t="s">
        <v>9353</v>
      </c>
      <c r="AD4071" s="1" t="s">
        <v>9354</v>
      </c>
      <c r="AE4071" s="1" t="s">
        <v>9353</v>
      </c>
      <c r="AF4071" s="1" t="s">
        <v>9357</v>
      </c>
      <c r="AG4071" s="1" t="s">
        <v>1952</v>
      </c>
      <c r="AH4071" s="1" t="s">
        <v>8988</v>
      </c>
      <c r="AI4071" s="1" t="s">
        <v>54</v>
      </c>
      <c r="AJ4071" s="1">
        <v>1</v>
      </c>
      <c r="AK4071" s="1" t="str">
        <f t="shared" si="64"/>
        <v xml:space="preserve"> =&lt;90</v>
      </c>
      <c r="AL4071" s="1" t="str">
        <f>VLOOKUP(C:C,[1]基础信息!B$1:D$65536,3,0)</f>
        <v>Jug</v>
      </c>
      <c r="AM4071" s="1" t="str">
        <f>VLOOKUP(C:C,[1]基础信息!B$1:E$65536,4,0)</f>
        <v>Mxplus</v>
      </c>
      <c r="AN4071" s="1" t="str">
        <f>VLOOKUP(C:C,[1]基础信息!B$1:F$65536,5,0)</f>
        <v>Blue</v>
      </c>
    </row>
    <row r="4072" spans="1:40">
      <c r="A4072" s="1" t="s">
        <v>41</v>
      </c>
      <c r="B4072" s="1" t="s">
        <v>42</v>
      </c>
      <c r="C4072" s="1" t="s">
        <v>104</v>
      </c>
      <c r="D4072" s="1" t="s">
        <v>105</v>
      </c>
      <c r="E4072" s="1" t="s">
        <v>104</v>
      </c>
      <c r="F4072" s="1" t="s">
        <v>9358</v>
      </c>
      <c r="G4072" s="1" t="s">
        <v>9359</v>
      </c>
      <c r="H4072" s="1" t="s">
        <v>45</v>
      </c>
      <c r="I4072" s="1" t="s">
        <v>45</v>
      </c>
      <c r="J4072" s="1" t="s">
        <v>48</v>
      </c>
      <c r="K4072" s="1">
        <v>7</v>
      </c>
      <c r="L4072" s="1">
        <v>0</v>
      </c>
      <c r="M4072" s="1">
        <v>0</v>
      </c>
      <c r="N4072" s="1">
        <v>7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 t="s">
        <v>49</v>
      </c>
      <c r="AA4072" s="1" t="s">
        <v>49</v>
      </c>
      <c r="AB4072" s="1" t="s">
        <v>49</v>
      </c>
      <c r="AC4072" s="1" t="s">
        <v>376</v>
      </c>
      <c r="AD4072" s="1" t="s">
        <v>377</v>
      </c>
      <c r="AE4072" s="1" t="s">
        <v>376</v>
      </c>
      <c r="AF4072" s="1" t="s">
        <v>7633</v>
      </c>
      <c r="AG4072" s="1" t="s">
        <v>3464</v>
      </c>
      <c r="AH4072" s="1" t="s">
        <v>7928</v>
      </c>
      <c r="AI4072" s="1" t="s">
        <v>54</v>
      </c>
      <c r="AJ4072" s="1">
        <v>1</v>
      </c>
      <c r="AK4072" s="1" t="str">
        <f t="shared" si="64"/>
        <v xml:space="preserve"> =&lt;90</v>
      </c>
      <c r="AL4072" s="1" t="str">
        <f>VLOOKUP(C:C,[1]基础信息!B$1:D$65536,3,0)</f>
        <v>Jug</v>
      </c>
      <c r="AM4072" s="1" t="str">
        <f>VLOOKUP(C:C,[1]基础信息!B$1:E$65536,4,0)</f>
        <v>Marella XL</v>
      </c>
      <c r="AN4072" s="1" t="str">
        <f>VLOOKUP(C:C,[1]基础信息!B$1:F$65536,5,0)</f>
        <v>Blue</v>
      </c>
    </row>
    <row r="4073" spans="1:40">
      <c r="A4073" s="1" t="s">
        <v>41</v>
      </c>
      <c r="B4073" s="1" t="s">
        <v>42</v>
      </c>
      <c r="C4073" s="1" t="s">
        <v>162</v>
      </c>
      <c r="D4073" s="1" t="s">
        <v>163</v>
      </c>
      <c r="E4073" s="1" t="s">
        <v>45</v>
      </c>
      <c r="F4073" s="1" t="s">
        <v>9360</v>
      </c>
      <c r="G4073" s="1" t="s">
        <v>9361</v>
      </c>
      <c r="H4073" s="1" t="s">
        <v>45</v>
      </c>
      <c r="I4073" s="1" t="s">
        <v>45</v>
      </c>
      <c r="J4073" s="1" t="s">
        <v>48</v>
      </c>
      <c r="K4073" s="1">
        <v>1</v>
      </c>
      <c r="L4073" s="1">
        <v>0</v>
      </c>
      <c r="M4073" s="1">
        <v>0</v>
      </c>
      <c r="N4073" s="1">
        <v>1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 t="s">
        <v>49</v>
      </c>
      <c r="AA4073" s="1" t="s">
        <v>49</v>
      </c>
      <c r="AB4073" s="1" t="s">
        <v>49</v>
      </c>
      <c r="AC4073" s="1" t="s">
        <v>9362</v>
      </c>
      <c r="AD4073" s="1" t="s">
        <v>9363</v>
      </c>
      <c r="AE4073" s="1" t="s">
        <v>9362</v>
      </c>
      <c r="AF4073" s="1" t="s">
        <v>9364</v>
      </c>
      <c r="AG4073" s="1" t="s">
        <v>1952</v>
      </c>
      <c r="AH4073" s="1" t="s">
        <v>49</v>
      </c>
      <c r="AI4073" s="1" t="s">
        <v>54</v>
      </c>
      <c r="AJ4073" s="1">
        <v>1</v>
      </c>
      <c r="AK4073" s="1" t="str">
        <f t="shared" si="64"/>
        <v xml:space="preserve"> =&lt;90</v>
      </c>
      <c r="AL4073" s="1" t="str">
        <f>VLOOKUP(C:C,[1]基础信息!B$1:D$65536,3,0)</f>
        <v>Jug</v>
      </c>
      <c r="AM4073" s="1" t="str">
        <f>VLOOKUP(C:C,[1]基础信息!B$1:E$65536,4,0)</f>
        <v>Style</v>
      </c>
      <c r="AN4073" s="1" t="str">
        <f>VLOOKUP(C:C,[1]基础信息!B$1:F$65536,5,0)</f>
        <v>Blue</v>
      </c>
    </row>
    <row r="4074" spans="1:40">
      <c r="A4074" s="1" t="s">
        <v>41</v>
      </c>
      <c r="B4074" s="1" t="s">
        <v>42</v>
      </c>
      <c r="C4074" s="1" t="s">
        <v>813</v>
      </c>
      <c r="D4074" s="1" t="s">
        <v>814</v>
      </c>
      <c r="E4074" s="1" t="s">
        <v>45</v>
      </c>
      <c r="F4074" s="1" t="s">
        <v>9365</v>
      </c>
      <c r="G4074" s="1" t="s">
        <v>9366</v>
      </c>
      <c r="H4074" s="1" t="s">
        <v>45</v>
      </c>
      <c r="I4074" s="1" t="s">
        <v>45</v>
      </c>
      <c r="J4074" s="1" t="s">
        <v>48</v>
      </c>
      <c r="K4074" s="1">
        <v>1</v>
      </c>
      <c r="L4074" s="1">
        <v>0</v>
      </c>
      <c r="M4074" s="1">
        <v>0</v>
      </c>
      <c r="N4074" s="1">
        <v>1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 t="s">
        <v>49</v>
      </c>
      <c r="AA4074" s="1" t="s">
        <v>49</v>
      </c>
      <c r="AB4074" s="1" t="s">
        <v>49</v>
      </c>
      <c r="AC4074" s="1" t="s">
        <v>9367</v>
      </c>
      <c r="AD4074" s="1" t="s">
        <v>9368</v>
      </c>
      <c r="AE4074" s="1" t="s">
        <v>9367</v>
      </c>
      <c r="AF4074" s="1" t="s">
        <v>49</v>
      </c>
      <c r="AG4074" s="1" t="s">
        <v>1952</v>
      </c>
      <c r="AH4074" s="1" t="s">
        <v>49</v>
      </c>
      <c r="AI4074" s="1" t="s">
        <v>54</v>
      </c>
      <c r="AJ4074" s="1">
        <v>0</v>
      </c>
      <c r="AK4074" s="1" t="str">
        <f t="shared" si="64"/>
        <v xml:space="preserve"> =&lt;90</v>
      </c>
      <c r="AL4074" s="1" t="str">
        <f>VLOOKUP(C:C,[1]基础信息!B$1:D$65536,3,0)</f>
        <v>Jug</v>
      </c>
      <c r="AM4074" s="1" t="str">
        <f>VLOOKUP(C:C,[1]基础信息!B$1:E$65536,4,0)</f>
        <v>Mxplus</v>
      </c>
      <c r="AN4074" s="1" t="str">
        <f>VLOOKUP(C:C,[1]基础信息!B$1:F$65536,5,0)</f>
        <v>Blue</v>
      </c>
    </row>
    <row r="4075" spans="1:40">
      <c r="A4075" s="1" t="s">
        <v>41</v>
      </c>
      <c r="B4075" s="1" t="s">
        <v>42</v>
      </c>
      <c r="C4075" s="1" t="s">
        <v>3796</v>
      </c>
      <c r="D4075" s="1" t="s">
        <v>3797</v>
      </c>
      <c r="E4075" s="1" t="s">
        <v>3796</v>
      </c>
      <c r="F4075" s="1" t="s">
        <v>9369</v>
      </c>
      <c r="G4075" s="1" t="s">
        <v>9366</v>
      </c>
      <c r="H4075" s="1" t="s">
        <v>45</v>
      </c>
      <c r="I4075" s="1" t="s">
        <v>45</v>
      </c>
      <c r="J4075" s="1" t="s">
        <v>48</v>
      </c>
      <c r="K4075" s="1">
        <v>2</v>
      </c>
      <c r="L4075" s="1">
        <v>0</v>
      </c>
      <c r="M4075" s="1">
        <v>0</v>
      </c>
      <c r="N4075" s="1">
        <v>2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 t="s">
        <v>49</v>
      </c>
      <c r="AA4075" s="1" t="s">
        <v>49</v>
      </c>
      <c r="AB4075" s="1" t="s">
        <v>49</v>
      </c>
      <c r="AC4075" s="1" t="s">
        <v>9367</v>
      </c>
      <c r="AD4075" s="1" t="s">
        <v>9368</v>
      </c>
      <c r="AE4075" s="1" t="s">
        <v>9367</v>
      </c>
      <c r="AF4075" s="1" t="s">
        <v>49</v>
      </c>
      <c r="AG4075" s="1" t="s">
        <v>1952</v>
      </c>
      <c r="AH4075" s="1" t="s">
        <v>49</v>
      </c>
      <c r="AI4075" s="1" t="s">
        <v>54</v>
      </c>
      <c r="AJ4075" s="1">
        <v>1</v>
      </c>
      <c r="AK4075" s="1" t="str">
        <f t="shared" si="64"/>
        <v xml:space="preserve"> =&lt;90</v>
      </c>
      <c r="AL4075" s="1" t="str">
        <f>VLOOKUP(C:C,[1]基础信息!B$1:D$65536,3,0)</f>
        <v>Jug</v>
      </c>
      <c r="AM4075" s="1" t="str">
        <f>VLOOKUP(C:C,[1]基础信息!B$1:E$65536,4,0)</f>
        <v>Aluna</v>
      </c>
      <c r="AN4075" s="1" t="str">
        <f>VLOOKUP(C:C,[1]基础信息!B$1:F$65536,5,0)</f>
        <v>Blue</v>
      </c>
    </row>
    <row r="4076" spans="1:40">
      <c r="A4076" s="1" t="s">
        <v>41</v>
      </c>
      <c r="B4076" s="1" t="s">
        <v>42</v>
      </c>
      <c r="C4076" s="1" t="s">
        <v>7755</v>
      </c>
      <c r="D4076" s="1" t="s">
        <v>7756</v>
      </c>
      <c r="E4076" s="1" t="s">
        <v>45</v>
      </c>
      <c r="F4076" s="1" t="s">
        <v>9263</v>
      </c>
      <c r="G4076" s="1" t="s">
        <v>9370</v>
      </c>
      <c r="H4076" s="1" t="s">
        <v>45</v>
      </c>
      <c r="I4076" s="1" t="s">
        <v>45</v>
      </c>
      <c r="J4076" s="1" t="s">
        <v>48</v>
      </c>
      <c r="K4076" s="1">
        <v>1100</v>
      </c>
      <c r="L4076" s="1">
        <v>0</v>
      </c>
      <c r="M4076" s="1">
        <v>0</v>
      </c>
      <c r="N4076" s="1">
        <v>1100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 t="s">
        <v>49</v>
      </c>
      <c r="AA4076" s="1" t="s">
        <v>49</v>
      </c>
      <c r="AB4076" s="1" t="s">
        <v>49</v>
      </c>
      <c r="AC4076" s="1" t="s">
        <v>9055</v>
      </c>
      <c r="AD4076" s="1" t="s">
        <v>9056</v>
      </c>
      <c r="AE4076" s="1" t="s">
        <v>9055</v>
      </c>
      <c r="AF4076" s="1" t="s">
        <v>49</v>
      </c>
      <c r="AG4076" s="1" t="s">
        <v>1952</v>
      </c>
      <c r="AH4076" s="1" t="s">
        <v>49</v>
      </c>
      <c r="AI4076" s="1" t="s">
        <v>54</v>
      </c>
      <c r="AJ4076" s="1">
        <v>1</v>
      </c>
      <c r="AK4076" s="1" t="str">
        <f t="shared" si="64"/>
        <v xml:space="preserve"> =&lt;90</v>
      </c>
      <c r="AL4076" s="1" t="str">
        <f>VLOOKUP(C:C,[1]基础信息!B$1:D$65536,3,0)</f>
        <v xml:space="preserve">Cartridge </v>
      </c>
      <c r="AM4076" s="1" t="str">
        <f>VLOOKUP(C:C,[1]基础信息!B$1:E$65536,4,0)</f>
        <v>LM</v>
      </c>
      <c r="AN4076" s="1" t="str">
        <f>VLOOKUP(C:C,[1]基础信息!B$1:F$65536,5,0)</f>
        <v>P55</v>
      </c>
    </row>
    <row r="4077" spans="1:40">
      <c r="A4077" s="1" t="s">
        <v>41</v>
      </c>
      <c r="B4077" s="1" t="s">
        <v>42</v>
      </c>
      <c r="C4077" s="1" t="s">
        <v>481</v>
      </c>
      <c r="D4077" s="1" t="s">
        <v>482</v>
      </c>
      <c r="E4077" s="1" t="s">
        <v>45</v>
      </c>
      <c r="F4077" s="1" t="s">
        <v>8359</v>
      </c>
      <c r="G4077" s="1" t="s">
        <v>9371</v>
      </c>
      <c r="H4077" s="1" t="s">
        <v>45</v>
      </c>
      <c r="I4077" s="1" t="s">
        <v>45</v>
      </c>
      <c r="J4077" s="1" t="s">
        <v>48</v>
      </c>
      <c r="K4077" s="1">
        <v>14</v>
      </c>
      <c r="L4077" s="1">
        <v>0</v>
      </c>
      <c r="M4077" s="1">
        <v>0</v>
      </c>
      <c r="N4077" s="1">
        <v>14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 t="s">
        <v>49</v>
      </c>
      <c r="AA4077" s="1" t="s">
        <v>49</v>
      </c>
      <c r="AB4077" s="1" t="s">
        <v>49</v>
      </c>
      <c r="AC4077" s="1" t="s">
        <v>5462</v>
      </c>
      <c r="AD4077" s="1" t="s">
        <v>8336</v>
      </c>
      <c r="AE4077" s="1" t="s">
        <v>5462</v>
      </c>
      <c r="AF4077" s="1" t="s">
        <v>49</v>
      </c>
      <c r="AG4077" s="1" t="s">
        <v>6921</v>
      </c>
      <c r="AH4077" s="1" t="s">
        <v>49</v>
      </c>
      <c r="AI4077" s="1" t="s">
        <v>54</v>
      </c>
      <c r="AJ4077" s="1">
        <v>0</v>
      </c>
      <c r="AK4077" s="1" t="str">
        <f t="shared" si="64"/>
        <v xml:space="preserve"> =&lt;90</v>
      </c>
      <c r="AL4077" s="1" t="str">
        <f>VLOOKUP(C:C,[1]基础信息!B$1:D$65536,3,0)</f>
        <v>Jug</v>
      </c>
      <c r="AM4077" s="1" t="str">
        <f>VLOOKUP(C:C,[1]基础信息!B$1:E$65536,4,0)</f>
        <v>Style COOL</v>
      </c>
      <c r="AN4077" s="1" t="str">
        <f>VLOOKUP(C:C,[1]基础信息!B$1:F$65536,5,0)</f>
        <v>Cool Blue</v>
      </c>
    </row>
    <row r="4078" spans="1:40">
      <c r="A4078" s="1" t="s">
        <v>41</v>
      </c>
      <c r="B4078" s="1" t="s">
        <v>42</v>
      </c>
      <c r="C4078" s="1" t="s">
        <v>83</v>
      </c>
      <c r="D4078" s="1" t="s">
        <v>84</v>
      </c>
      <c r="E4078" s="1" t="s">
        <v>45</v>
      </c>
      <c r="F4078" s="1" t="s">
        <v>8685</v>
      </c>
      <c r="G4078" s="1" t="s">
        <v>9371</v>
      </c>
      <c r="H4078" s="1" t="s">
        <v>45</v>
      </c>
      <c r="I4078" s="1" t="s">
        <v>45</v>
      </c>
      <c r="J4078" s="1" t="s">
        <v>48</v>
      </c>
      <c r="K4078" s="1">
        <v>50</v>
      </c>
      <c r="L4078" s="1">
        <v>0</v>
      </c>
      <c r="M4078" s="1">
        <v>0</v>
      </c>
      <c r="N4078" s="1">
        <v>50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 t="s">
        <v>49</v>
      </c>
      <c r="AA4078" s="1" t="s">
        <v>49</v>
      </c>
      <c r="AB4078" s="1" t="s">
        <v>49</v>
      </c>
      <c r="AC4078" s="1" t="s">
        <v>5462</v>
      </c>
      <c r="AD4078" s="1" t="s">
        <v>8336</v>
      </c>
      <c r="AE4078" s="1" t="s">
        <v>5462</v>
      </c>
      <c r="AF4078" s="1" t="s">
        <v>49</v>
      </c>
      <c r="AG4078" s="1" t="s">
        <v>6921</v>
      </c>
      <c r="AH4078" s="1" t="s">
        <v>49</v>
      </c>
      <c r="AI4078" s="1" t="s">
        <v>54</v>
      </c>
      <c r="AJ4078" s="1">
        <v>0</v>
      </c>
      <c r="AK4078" s="1" t="str">
        <f t="shared" si="64"/>
        <v xml:space="preserve"> =&lt;90</v>
      </c>
      <c r="AL4078" s="1" t="str">
        <f>VLOOKUP(C:C,[1]基础信息!B$1:D$65536,3,0)</f>
        <v>Jug</v>
      </c>
      <c r="AM4078" s="1" t="str">
        <f>VLOOKUP(C:C,[1]基础信息!B$1:E$65536,4,0)</f>
        <v>Mxplus</v>
      </c>
      <c r="AN4078" s="1" t="str">
        <f>VLOOKUP(C:C,[1]基础信息!B$1:F$65536,5,0)</f>
        <v>Blue</v>
      </c>
    </row>
    <row r="4079" spans="1:40">
      <c r="A4079" s="1" t="s">
        <v>41</v>
      </c>
      <c r="B4079" s="1" t="s">
        <v>42</v>
      </c>
      <c r="C4079" s="1" t="s">
        <v>3971</v>
      </c>
      <c r="D4079" s="1" t="s">
        <v>3972</v>
      </c>
      <c r="E4079" s="1" t="s">
        <v>45</v>
      </c>
      <c r="F4079" s="1" t="s">
        <v>8559</v>
      </c>
      <c r="G4079" s="1" t="s">
        <v>9371</v>
      </c>
      <c r="H4079" s="1" t="s">
        <v>45</v>
      </c>
      <c r="I4079" s="1" t="s">
        <v>45</v>
      </c>
      <c r="J4079" s="1" t="s">
        <v>48</v>
      </c>
      <c r="K4079" s="1">
        <v>15</v>
      </c>
      <c r="L4079" s="1">
        <v>0</v>
      </c>
      <c r="M4079" s="1">
        <v>0</v>
      </c>
      <c r="N4079" s="1">
        <v>15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 t="s">
        <v>49</v>
      </c>
      <c r="AA4079" s="1" t="s">
        <v>49</v>
      </c>
      <c r="AB4079" s="1" t="s">
        <v>49</v>
      </c>
      <c r="AC4079" s="1" t="s">
        <v>5462</v>
      </c>
      <c r="AD4079" s="1" t="s">
        <v>8336</v>
      </c>
      <c r="AE4079" s="1" t="s">
        <v>5462</v>
      </c>
      <c r="AF4079" s="1" t="s">
        <v>49</v>
      </c>
      <c r="AG4079" s="1" t="s">
        <v>6921</v>
      </c>
      <c r="AH4079" s="1" t="s">
        <v>49</v>
      </c>
      <c r="AI4079" s="1" t="s">
        <v>54</v>
      </c>
      <c r="AJ4079" s="1">
        <v>1</v>
      </c>
      <c r="AK4079" s="1" t="str">
        <f t="shared" si="64"/>
        <v xml:space="preserve"> =&lt;90</v>
      </c>
      <c r="AL4079" s="1" t="str">
        <f>VLOOKUP(C:C,[1]基础信息!B$1:D$65536,3,0)</f>
        <v>Jug</v>
      </c>
      <c r="AM4079" s="1" t="str">
        <f>VLOOKUP(C:C,[1]基础信息!B$1:E$65536,4,0)</f>
        <v>Mxplus</v>
      </c>
      <c r="AN4079" s="1" t="str">
        <f>VLOOKUP(C:C,[1]基础信息!B$1:F$65536,5,0)</f>
        <v xml:space="preserve"> lime</v>
      </c>
    </row>
    <row r="4080" spans="1:40">
      <c r="A4080" s="1" t="s">
        <v>41</v>
      </c>
      <c r="B4080" s="1" t="s">
        <v>42</v>
      </c>
      <c r="C4080" s="1" t="s">
        <v>9159</v>
      </c>
      <c r="D4080" s="1" t="s">
        <v>9160</v>
      </c>
      <c r="E4080" s="1" t="s">
        <v>45</v>
      </c>
      <c r="F4080" s="1" t="s">
        <v>9372</v>
      </c>
      <c r="G4080" s="1" t="s">
        <v>9373</v>
      </c>
      <c r="H4080" s="1" t="s">
        <v>45</v>
      </c>
      <c r="I4080" s="1" t="s">
        <v>45</v>
      </c>
      <c r="J4080" s="1" t="s">
        <v>48</v>
      </c>
      <c r="K4080" s="1">
        <v>1</v>
      </c>
      <c r="L4080" s="1">
        <v>0</v>
      </c>
      <c r="M4080" s="1">
        <v>0</v>
      </c>
      <c r="N4080" s="1">
        <v>1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 t="s">
        <v>49</v>
      </c>
      <c r="AA4080" s="1" t="s">
        <v>49</v>
      </c>
      <c r="AB4080" s="1" t="s">
        <v>49</v>
      </c>
      <c r="AC4080" s="1" t="s">
        <v>7926</v>
      </c>
      <c r="AD4080" s="1" t="s">
        <v>7927</v>
      </c>
      <c r="AE4080" s="1" t="s">
        <v>7926</v>
      </c>
      <c r="AF4080" s="1" t="s">
        <v>49</v>
      </c>
      <c r="AG4080" s="1" t="s">
        <v>3464</v>
      </c>
      <c r="AH4080" s="1" t="s">
        <v>8988</v>
      </c>
      <c r="AI4080" s="1" t="s">
        <v>54</v>
      </c>
      <c r="AJ4080" s="1">
        <v>1</v>
      </c>
      <c r="AK4080" s="1" t="str">
        <f t="shared" si="64"/>
        <v xml:space="preserve"> =&lt;90</v>
      </c>
      <c r="AL4080" s="1" t="str">
        <f>VLOOKUP(C:C,[1]基础信息!B$1:D$65536,3,0)</f>
        <v>Hotcup</v>
      </c>
      <c r="AM4080" s="1" t="str">
        <f>VLOOKUP(C:C,[1]基础信息!B$1:E$65536,4,0)</f>
        <v>Hotcup</v>
      </c>
      <c r="AN4080" s="1" t="str">
        <f>VLOOKUP(C:C,[1]基础信息!B$1:F$65536,5,0)</f>
        <v>Silver</v>
      </c>
    </row>
    <row r="4081" spans="1:40">
      <c r="A4081" s="1" t="s">
        <v>41</v>
      </c>
      <c r="B4081" s="1" t="s">
        <v>42</v>
      </c>
      <c r="C4081" s="1" t="s">
        <v>240</v>
      </c>
      <c r="D4081" s="1" t="s">
        <v>241</v>
      </c>
      <c r="E4081" s="1" t="s">
        <v>45</v>
      </c>
      <c r="F4081" s="1" t="s">
        <v>9016</v>
      </c>
      <c r="G4081" s="1" t="s">
        <v>9374</v>
      </c>
      <c r="H4081" s="1" t="s">
        <v>45</v>
      </c>
      <c r="I4081" s="1" t="s">
        <v>45</v>
      </c>
      <c r="J4081" s="1" t="s">
        <v>48</v>
      </c>
      <c r="K4081" s="1">
        <v>2</v>
      </c>
      <c r="L4081" s="1">
        <v>0</v>
      </c>
      <c r="M4081" s="1">
        <v>0</v>
      </c>
      <c r="N4081" s="1">
        <v>2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 t="s">
        <v>49</v>
      </c>
      <c r="AA4081" s="1" t="s">
        <v>49</v>
      </c>
      <c r="AB4081" s="1" t="s">
        <v>49</v>
      </c>
      <c r="AC4081" s="1" t="s">
        <v>9018</v>
      </c>
      <c r="AD4081" s="1" t="s">
        <v>9019</v>
      </c>
      <c r="AE4081" s="1" t="s">
        <v>9020</v>
      </c>
      <c r="AF4081" s="1" t="s">
        <v>49</v>
      </c>
      <c r="AG4081" s="1" t="s">
        <v>7747</v>
      </c>
      <c r="AH4081" s="1" t="s">
        <v>49</v>
      </c>
      <c r="AI4081" s="1" t="s">
        <v>54</v>
      </c>
      <c r="AJ4081" s="1">
        <v>0</v>
      </c>
      <c r="AK4081" s="1" t="str">
        <f t="shared" si="64"/>
        <v xml:space="preserve"> =&lt;90</v>
      </c>
      <c r="AL4081" s="1" t="str">
        <f>VLOOKUP(C:C,[1]基础信息!B$1:D$65536,3,0)</f>
        <v>UTS</v>
      </c>
      <c r="AM4081" s="1" t="str">
        <f>VLOOKUP(C:C,[1]基础信息!B$1:E$65536,4,0)</f>
        <v>MyPure Pro</v>
      </c>
      <c r="AN4081" s="1" t="str">
        <f>VLOOKUP(C:C,[1]基础信息!B$1:F$65536,5,0)</f>
        <v>X6</v>
      </c>
    </row>
    <row r="4082" spans="1:40">
      <c r="A4082" s="1" t="s">
        <v>41</v>
      </c>
      <c r="B4082" s="1" t="s">
        <v>42</v>
      </c>
      <c r="C4082" s="1" t="s">
        <v>240</v>
      </c>
      <c r="D4082" s="1" t="s">
        <v>241</v>
      </c>
      <c r="E4082" s="1" t="s">
        <v>45</v>
      </c>
      <c r="F4082" s="1" t="s">
        <v>9375</v>
      </c>
      <c r="G4082" s="1" t="s">
        <v>9374</v>
      </c>
      <c r="H4082" s="1" t="s">
        <v>45</v>
      </c>
      <c r="I4082" s="1" t="s">
        <v>45</v>
      </c>
      <c r="J4082" s="1" t="s">
        <v>48</v>
      </c>
      <c r="K4082" s="1">
        <v>2</v>
      </c>
      <c r="L4082" s="1">
        <v>0</v>
      </c>
      <c r="M4082" s="1">
        <v>0</v>
      </c>
      <c r="N4082" s="1">
        <v>2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 t="s">
        <v>49</v>
      </c>
      <c r="AA4082" s="1" t="s">
        <v>49</v>
      </c>
      <c r="AB4082" s="1" t="s">
        <v>49</v>
      </c>
      <c r="AC4082" s="1" t="s">
        <v>9376</v>
      </c>
      <c r="AD4082" s="1" t="s">
        <v>9377</v>
      </c>
      <c r="AE4082" s="1" t="s">
        <v>9376</v>
      </c>
      <c r="AF4082" s="1" t="s">
        <v>49</v>
      </c>
      <c r="AG4082" s="1" t="s">
        <v>7747</v>
      </c>
      <c r="AH4082" s="1" t="s">
        <v>49</v>
      </c>
      <c r="AI4082" s="1" t="s">
        <v>54</v>
      </c>
      <c r="AJ4082" s="1">
        <v>1</v>
      </c>
      <c r="AK4082" s="1" t="str">
        <f t="shared" si="64"/>
        <v xml:space="preserve"> =&lt;90</v>
      </c>
      <c r="AL4082" s="1" t="str">
        <f>VLOOKUP(C:C,[1]基础信息!B$1:D$65536,3,0)</f>
        <v>UTS</v>
      </c>
      <c r="AM4082" s="1" t="str">
        <f>VLOOKUP(C:C,[1]基础信息!B$1:E$65536,4,0)</f>
        <v>MyPure Pro</v>
      </c>
      <c r="AN4082" s="1" t="str">
        <f>VLOOKUP(C:C,[1]基础信息!B$1:F$65536,5,0)</f>
        <v>X6</v>
      </c>
    </row>
    <row r="4083" spans="1:40">
      <c r="A4083" s="1" t="s">
        <v>41</v>
      </c>
      <c r="B4083" s="1" t="s">
        <v>42</v>
      </c>
      <c r="C4083" s="1" t="s">
        <v>6914</v>
      </c>
      <c r="D4083" s="1" t="s">
        <v>6915</v>
      </c>
      <c r="E4083" s="1" t="s">
        <v>45</v>
      </c>
      <c r="F4083" s="1" t="s">
        <v>9378</v>
      </c>
      <c r="G4083" s="1" t="s">
        <v>9379</v>
      </c>
      <c r="H4083" s="1" t="s">
        <v>45</v>
      </c>
      <c r="I4083" s="1" t="s">
        <v>45</v>
      </c>
      <c r="J4083" s="1" t="s">
        <v>48</v>
      </c>
      <c r="K4083" s="1">
        <v>1</v>
      </c>
      <c r="L4083" s="1">
        <v>0</v>
      </c>
      <c r="M4083" s="1">
        <v>0</v>
      </c>
      <c r="N4083" s="1">
        <v>1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 t="s">
        <v>49</v>
      </c>
      <c r="AA4083" s="1" t="s">
        <v>49</v>
      </c>
      <c r="AB4083" s="1" t="s">
        <v>49</v>
      </c>
      <c r="AC4083" s="1" t="s">
        <v>3264</v>
      </c>
      <c r="AD4083" s="1" t="s">
        <v>3265</v>
      </c>
      <c r="AE4083" s="1" t="s">
        <v>3264</v>
      </c>
      <c r="AF4083" s="1" t="s">
        <v>49</v>
      </c>
      <c r="AG4083" s="1" t="s">
        <v>3464</v>
      </c>
      <c r="AH4083" s="1" t="s">
        <v>49</v>
      </c>
      <c r="AI4083" s="1" t="s">
        <v>54</v>
      </c>
      <c r="AJ4083" s="1">
        <v>1</v>
      </c>
      <c r="AK4083" s="1" t="str">
        <f t="shared" si="64"/>
        <v xml:space="preserve"> =&lt;90</v>
      </c>
      <c r="AL4083" s="1" t="str">
        <f>VLOOKUP(C:C,[1]基础信息!B$1:D$65536,3,0)</f>
        <v>Hotcup</v>
      </c>
      <c r="AM4083" s="1" t="str">
        <f>VLOOKUP(C:C,[1]基础信息!B$1:E$65536,4,0)</f>
        <v>Hotcup</v>
      </c>
      <c r="AN4083" s="1" t="str">
        <f>VLOOKUP(C:C,[1]基础信息!B$1:F$65536,5,0)</f>
        <v>Silver</v>
      </c>
    </row>
    <row r="4084" spans="1:40">
      <c r="A4084" s="1" t="s">
        <v>41</v>
      </c>
      <c r="B4084" s="1" t="s">
        <v>42</v>
      </c>
      <c r="C4084" s="1" t="s">
        <v>3512</v>
      </c>
      <c r="D4084" s="1" t="s">
        <v>3513</v>
      </c>
      <c r="E4084" s="1" t="s">
        <v>45</v>
      </c>
      <c r="F4084" s="1" t="s">
        <v>9380</v>
      </c>
      <c r="G4084" s="1" t="s">
        <v>9381</v>
      </c>
      <c r="H4084" s="1" t="s">
        <v>45</v>
      </c>
      <c r="I4084" s="1" t="s">
        <v>45</v>
      </c>
      <c r="J4084" s="1" t="s">
        <v>48</v>
      </c>
      <c r="K4084" s="1">
        <v>5</v>
      </c>
      <c r="L4084" s="1">
        <v>0</v>
      </c>
      <c r="M4084" s="1">
        <v>0</v>
      </c>
      <c r="N4084" s="1">
        <v>5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 t="s">
        <v>49</v>
      </c>
      <c r="AA4084" s="1" t="s">
        <v>49</v>
      </c>
      <c r="AB4084" s="1" t="s">
        <v>49</v>
      </c>
      <c r="AC4084" s="1" t="s">
        <v>8585</v>
      </c>
      <c r="AD4084" s="1" t="s">
        <v>8586</v>
      </c>
      <c r="AE4084" s="1" t="s">
        <v>8585</v>
      </c>
      <c r="AF4084" s="1" t="s">
        <v>9382</v>
      </c>
      <c r="AG4084" s="1" t="s">
        <v>1952</v>
      </c>
      <c r="AH4084" s="1" t="s">
        <v>8988</v>
      </c>
      <c r="AI4084" s="1" t="s">
        <v>54</v>
      </c>
      <c r="AJ4084" s="1">
        <v>1</v>
      </c>
      <c r="AK4084" s="1" t="str">
        <f t="shared" si="64"/>
        <v xml:space="preserve"> =&lt;90</v>
      </c>
      <c r="AL4084" s="1" t="str">
        <f>VLOOKUP(C:C,[1]基础信息!B$1:D$65536,3,0)</f>
        <v xml:space="preserve">Cartridge </v>
      </c>
      <c r="AM4084" s="1" t="str">
        <f>VLOOKUP(C:C,[1]基础信息!B$1:E$65536,4,0)</f>
        <v>UNIV</v>
      </c>
      <c r="AN4084" s="1" t="str">
        <f>VLOOKUP(C:C,[1]基础信息!B$1:F$65536,5,0)</f>
        <v>P3</v>
      </c>
    </row>
    <row r="4085" spans="1:40">
      <c r="A4085" s="1" t="s">
        <v>41</v>
      </c>
      <c r="B4085" s="1" t="s">
        <v>42</v>
      </c>
      <c r="C4085" s="1" t="s">
        <v>9383</v>
      </c>
      <c r="D4085" s="1" t="s">
        <v>9384</v>
      </c>
      <c r="E4085" s="1" t="s">
        <v>45</v>
      </c>
      <c r="F4085" s="1" t="s">
        <v>9385</v>
      </c>
      <c r="G4085" s="1" t="s">
        <v>9386</v>
      </c>
      <c r="H4085" s="1" t="s">
        <v>45</v>
      </c>
      <c r="I4085" s="1" t="s">
        <v>45</v>
      </c>
      <c r="J4085" s="1" t="s">
        <v>48</v>
      </c>
      <c r="K4085" s="1">
        <v>1</v>
      </c>
      <c r="L4085" s="1">
        <v>0</v>
      </c>
      <c r="M4085" s="1">
        <v>0</v>
      </c>
      <c r="N4085" s="1">
        <v>1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 t="s">
        <v>49</v>
      </c>
      <c r="AA4085" s="1" t="s">
        <v>49</v>
      </c>
      <c r="AB4085" s="1" t="s">
        <v>49</v>
      </c>
      <c r="AC4085" s="1" t="s">
        <v>9029</v>
      </c>
      <c r="AD4085" s="1" t="s">
        <v>9030</v>
      </c>
      <c r="AE4085" s="1" t="s">
        <v>9031</v>
      </c>
      <c r="AF4085" s="1" t="s">
        <v>49</v>
      </c>
      <c r="AG4085" s="1" t="s">
        <v>3464</v>
      </c>
      <c r="AH4085" s="1" t="s">
        <v>49</v>
      </c>
      <c r="AI4085" s="1" t="s">
        <v>54</v>
      </c>
      <c r="AJ4085" s="1">
        <v>1</v>
      </c>
      <c r="AK4085" s="1" t="str">
        <f t="shared" si="64"/>
        <v xml:space="preserve"> =&lt;90</v>
      </c>
      <c r="AL4085" s="1" t="str">
        <f>VLOOKUP(C:C,[1]基础信息!B$1:D$65536,3,0)</f>
        <v>Jug</v>
      </c>
      <c r="AM4085" s="1" t="str">
        <f>VLOOKUP(C:C,[1]基础信息!B$1:E$65536,4,0)</f>
        <v>Aluna</v>
      </c>
      <c r="AN4085" s="1" t="str">
        <f>VLOOKUP(C:C,[1]基础信息!B$1:F$65536,5,0)</f>
        <v>White</v>
      </c>
    </row>
    <row r="4086" spans="1:40">
      <c r="A4086" s="1" t="s">
        <v>41</v>
      </c>
      <c r="B4086" s="1" t="s">
        <v>42</v>
      </c>
      <c r="C4086" s="1" t="s">
        <v>8190</v>
      </c>
      <c r="D4086" s="1" t="s">
        <v>8191</v>
      </c>
      <c r="E4086" s="1" t="s">
        <v>45</v>
      </c>
      <c r="F4086" s="1" t="s">
        <v>9387</v>
      </c>
      <c r="G4086" s="1" t="s">
        <v>9388</v>
      </c>
      <c r="H4086" s="1" t="s">
        <v>45</v>
      </c>
      <c r="I4086" s="1" t="s">
        <v>45</v>
      </c>
      <c r="J4086" s="1" t="s">
        <v>48</v>
      </c>
      <c r="K4086" s="1">
        <v>270</v>
      </c>
      <c r="L4086" s="1">
        <v>0</v>
      </c>
      <c r="M4086" s="1">
        <v>0</v>
      </c>
      <c r="N4086" s="1">
        <v>270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 t="s">
        <v>49</v>
      </c>
      <c r="AA4086" s="1" t="s">
        <v>49</v>
      </c>
      <c r="AB4086" s="1" t="s">
        <v>49</v>
      </c>
      <c r="AC4086" s="1" t="s">
        <v>5462</v>
      </c>
      <c r="AD4086" s="1" t="s">
        <v>8336</v>
      </c>
      <c r="AE4086" s="1" t="s">
        <v>5462</v>
      </c>
      <c r="AF4086" s="1" t="s">
        <v>49</v>
      </c>
      <c r="AG4086" s="1" t="s">
        <v>3464</v>
      </c>
      <c r="AH4086" s="1" t="s">
        <v>49</v>
      </c>
      <c r="AI4086" s="1" t="s">
        <v>54</v>
      </c>
      <c r="AJ4086" s="1">
        <v>1</v>
      </c>
      <c r="AK4086" s="1" t="str">
        <f t="shared" si="64"/>
        <v xml:space="preserve"> =&lt;90</v>
      </c>
      <c r="AL4086" s="1" t="str">
        <f>VLOOKUP(C:C,[1]基础信息!B$1:D$65536,3,0)</f>
        <v xml:space="preserve">Cartridge </v>
      </c>
      <c r="AM4086" s="1" t="str">
        <f>VLOOKUP(C:C,[1]基础信息!B$1:E$65536,4,0)</f>
        <v>LM</v>
      </c>
      <c r="AN4086" s="1" t="str">
        <f>VLOOKUP(C:C,[1]基础信息!B$1:F$65536,5,0)</f>
        <v>P6</v>
      </c>
    </row>
    <row r="4087" spans="1:40">
      <c r="A4087" s="1" t="s">
        <v>41</v>
      </c>
      <c r="B4087" s="1" t="s">
        <v>42</v>
      </c>
      <c r="C4087" s="1" t="s">
        <v>240</v>
      </c>
      <c r="D4087" s="1" t="s">
        <v>241</v>
      </c>
      <c r="E4087" s="1" t="s">
        <v>45</v>
      </c>
      <c r="F4087" s="1" t="s">
        <v>9389</v>
      </c>
      <c r="G4087" s="1" t="s">
        <v>9390</v>
      </c>
      <c r="H4087" s="1" t="s">
        <v>45</v>
      </c>
      <c r="I4087" s="1" t="s">
        <v>45</v>
      </c>
      <c r="J4087" s="1" t="s">
        <v>48</v>
      </c>
      <c r="K4087" s="1">
        <v>1</v>
      </c>
      <c r="L4087" s="1">
        <v>0</v>
      </c>
      <c r="M4087" s="1">
        <v>0</v>
      </c>
      <c r="N4087" s="1">
        <v>1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 t="s">
        <v>49</v>
      </c>
      <c r="AA4087" s="1" t="s">
        <v>49</v>
      </c>
      <c r="AB4087" s="1" t="s">
        <v>49</v>
      </c>
      <c r="AC4087" s="1" t="s">
        <v>169</v>
      </c>
      <c r="AD4087" s="1" t="s">
        <v>9205</v>
      </c>
      <c r="AE4087" s="1" t="s">
        <v>169</v>
      </c>
      <c r="AF4087" s="1" t="s">
        <v>49</v>
      </c>
      <c r="AG4087" s="1" t="s">
        <v>7747</v>
      </c>
      <c r="AH4087" s="1" t="s">
        <v>9089</v>
      </c>
      <c r="AI4087" s="1" t="s">
        <v>54</v>
      </c>
      <c r="AJ4087" s="1">
        <v>1</v>
      </c>
      <c r="AK4087" s="1" t="str">
        <f t="shared" si="64"/>
        <v xml:space="preserve"> =&lt;90</v>
      </c>
      <c r="AL4087" s="1" t="str">
        <f>VLOOKUP(C:C,[1]基础信息!B$1:D$65536,3,0)</f>
        <v>UTS</v>
      </c>
      <c r="AM4087" s="1" t="str">
        <f>VLOOKUP(C:C,[1]基础信息!B$1:E$65536,4,0)</f>
        <v>MyPure Pro</v>
      </c>
      <c r="AN4087" s="1" t="str">
        <f>VLOOKUP(C:C,[1]基础信息!B$1:F$65536,5,0)</f>
        <v>X6</v>
      </c>
    </row>
    <row r="4088" spans="1:40">
      <c r="A4088" s="1" t="s">
        <v>41</v>
      </c>
      <c r="B4088" s="1" t="s">
        <v>42</v>
      </c>
      <c r="C4088" s="1" t="s">
        <v>7755</v>
      </c>
      <c r="D4088" s="1" t="s">
        <v>7756</v>
      </c>
      <c r="E4088" s="1" t="s">
        <v>45</v>
      </c>
      <c r="F4088" s="1" t="s">
        <v>9391</v>
      </c>
      <c r="G4088" s="1" t="s">
        <v>9392</v>
      </c>
      <c r="H4088" s="1" t="s">
        <v>45</v>
      </c>
      <c r="I4088" s="1" t="s">
        <v>45</v>
      </c>
      <c r="J4088" s="1" t="s">
        <v>48</v>
      </c>
      <c r="K4088" s="1">
        <v>1883</v>
      </c>
      <c r="L4088" s="1">
        <v>0</v>
      </c>
      <c r="M4088" s="1">
        <v>0</v>
      </c>
      <c r="N4088" s="1">
        <v>1883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 t="s">
        <v>49</v>
      </c>
      <c r="AA4088" s="1" t="s">
        <v>49</v>
      </c>
      <c r="AB4088" s="1" t="s">
        <v>49</v>
      </c>
      <c r="AC4088" s="1" t="s">
        <v>9121</v>
      </c>
      <c r="AD4088" s="1" t="s">
        <v>9122</v>
      </c>
      <c r="AE4088" s="1" t="s">
        <v>9121</v>
      </c>
      <c r="AF4088" s="1" t="s">
        <v>49</v>
      </c>
      <c r="AG4088" s="1" t="s">
        <v>76</v>
      </c>
      <c r="AH4088" s="1" t="s">
        <v>49</v>
      </c>
      <c r="AI4088" s="1" t="s">
        <v>54</v>
      </c>
      <c r="AJ4088" s="1">
        <v>1</v>
      </c>
      <c r="AK4088" s="1" t="str">
        <f t="shared" si="64"/>
        <v xml:space="preserve"> =&lt;90</v>
      </c>
      <c r="AL4088" s="1" t="str">
        <f>VLOOKUP(C:C,[1]基础信息!B$1:D$65536,3,0)</f>
        <v xml:space="preserve">Cartridge </v>
      </c>
      <c r="AM4088" s="1" t="str">
        <f>VLOOKUP(C:C,[1]基础信息!B$1:E$65536,4,0)</f>
        <v>LM</v>
      </c>
      <c r="AN4088" s="1" t="str">
        <f>VLOOKUP(C:C,[1]基础信息!B$1:F$65536,5,0)</f>
        <v>P55</v>
      </c>
    </row>
    <row r="4089" spans="1:40">
      <c r="A4089" s="1" t="s">
        <v>41</v>
      </c>
      <c r="B4089" s="1" t="s">
        <v>42</v>
      </c>
      <c r="C4089" s="1" t="s">
        <v>56</v>
      </c>
      <c r="D4089" s="1" t="s">
        <v>57</v>
      </c>
      <c r="E4089" s="1" t="s">
        <v>45</v>
      </c>
      <c r="F4089" s="1" t="s">
        <v>9393</v>
      </c>
      <c r="G4089" s="1" t="s">
        <v>9394</v>
      </c>
      <c r="H4089" s="1" t="s">
        <v>45</v>
      </c>
      <c r="I4089" s="1" t="s">
        <v>45</v>
      </c>
      <c r="J4089" s="1" t="s">
        <v>48</v>
      </c>
      <c r="K4089" s="1">
        <v>76</v>
      </c>
      <c r="L4089" s="1">
        <v>0</v>
      </c>
      <c r="M4089" s="1">
        <v>0</v>
      </c>
      <c r="N4089" s="1">
        <v>76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 t="s">
        <v>49</v>
      </c>
      <c r="AA4089" s="1" t="s">
        <v>49</v>
      </c>
      <c r="AB4089" s="1" t="s">
        <v>49</v>
      </c>
      <c r="AC4089" s="1" t="s">
        <v>9395</v>
      </c>
      <c r="AD4089" s="1" t="s">
        <v>9396</v>
      </c>
      <c r="AE4089" s="1" t="s">
        <v>9395</v>
      </c>
      <c r="AF4089" s="1" t="s">
        <v>49</v>
      </c>
      <c r="AG4089" s="1" t="s">
        <v>9088</v>
      </c>
      <c r="AH4089" s="1" t="s">
        <v>9089</v>
      </c>
      <c r="AI4089" s="1" t="s">
        <v>54</v>
      </c>
      <c r="AJ4089" s="1">
        <v>1</v>
      </c>
      <c r="AK4089" s="1" t="str">
        <f t="shared" si="64"/>
        <v xml:space="preserve"> =&lt;90</v>
      </c>
      <c r="AL4089" s="1" t="str">
        <f>VLOOKUP(C:C,[1]基础信息!B$1:D$65536,3,0)</f>
        <v>Jug</v>
      </c>
      <c r="AM4089" s="1" t="str">
        <f>VLOOKUP(C:C,[1]基础信息!B$1:E$65536,4,0)</f>
        <v>Marella XL</v>
      </c>
      <c r="AN4089" s="1" t="str">
        <f>VLOOKUP(C:C,[1]基础信息!B$1:F$65536,5,0)</f>
        <v>Blue</v>
      </c>
    </row>
    <row r="4090" spans="1:40">
      <c r="A4090" s="1" t="s">
        <v>41</v>
      </c>
      <c r="B4090" s="1" t="s">
        <v>42</v>
      </c>
      <c r="C4090" s="1" t="s">
        <v>8190</v>
      </c>
      <c r="D4090" s="1" t="s">
        <v>8191</v>
      </c>
      <c r="E4090" s="1" t="s">
        <v>45</v>
      </c>
      <c r="F4090" s="1" t="s">
        <v>9387</v>
      </c>
      <c r="G4090" s="1" t="s">
        <v>9397</v>
      </c>
      <c r="H4090" s="1" t="s">
        <v>45</v>
      </c>
      <c r="I4090" s="1" t="s">
        <v>45</v>
      </c>
      <c r="J4090" s="1" t="s">
        <v>48</v>
      </c>
      <c r="K4090" s="1">
        <v>56</v>
      </c>
      <c r="L4090" s="1">
        <v>0</v>
      </c>
      <c r="M4090" s="1">
        <v>0</v>
      </c>
      <c r="N4090" s="1">
        <v>56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 t="s">
        <v>49</v>
      </c>
      <c r="AA4090" s="1" t="s">
        <v>49</v>
      </c>
      <c r="AB4090" s="1" t="s">
        <v>49</v>
      </c>
      <c r="AC4090" s="1" t="s">
        <v>5462</v>
      </c>
      <c r="AD4090" s="1" t="s">
        <v>8336</v>
      </c>
      <c r="AE4090" s="1" t="s">
        <v>5462</v>
      </c>
      <c r="AF4090" s="1" t="s">
        <v>49</v>
      </c>
      <c r="AG4090" s="1" t="s">
        <v>3464</v>
      </c>
      <c r="AH4090" s="1" t="s">
        <v>49</v>
      </c>
      <c r="AI4090" s="1" t="s">
        <v>54</v>
      </c>
      <c r="AJ4090" s="1">
        <v>1</v>
      </c>
      <c r="AK4090" s="1" t="str">
        <f t="shared" si="64"/>
        <v xml:space="preserve"> =&lt;90</v>
      </c>
      <c r="AL4090" s="1" t="str">
        <f>VLOOKUP(C:C,[1]基础信息!B$1:D$65536,3,0)</f>
        <v xml:space="preserve">Cartridge </v>
      </c>
      <c r="AM4090" s="1" t="str">
        <f>VLOOKUP(C:C,[1]基础信息!B$1:E$65536,4,0)</f>
        <v>LM</v>
      </c>
      <c r="AN4090" s="1" t="str">
        <f>VLOOKUP(C:C,[1]基础信息!B$1:F$65536,5,0)</f>
        <v>P6</v>
      </c>
    </row>
    <row r="4091" spans="1:40">
      <c r="A4091" s="1" t="s">
        <v>41</v>
      </c>
      <c r="B4091" s="1" t="s">
        <v>42</v>
      </c>
      <c r="C4091" s="1" t="s">
        <v>4253</v>
      </c>
      <c r="D4091" s="1" t="s">
        <v>4254</v>
      </c>
      <c r="E4091" s="1" t="s">
        <v>45</v>
      </c>
      <c r="F4091" s="1" t="s">
        <v>9398</v>
      </c>
      <c r="G4091" s="1" t="s">
        <v>9399</v>
      </c>
      <c r="H4091" s="1" t="s">
        <v>45</v>
      </c>
      <c r="I4091" s="1" t="s">
        <v>45</v>
      </c>
      <c r="J4091" s="1" t="s">
        <v>48</v>
      </c>
      <c r="K4091" s="1">
        <v>8</v>
      </c>
      <c r="L4091" s="1">
        <v>0</v>
      </c>
      <c r="M4091" s="1">
        <v>0</v>
      </c>
      <c r="N4091" s="1">
        <v>8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 t="s">
        <v>49</v>
      </c>
      <c r="AA4091" s="1" t="s">
        <v>49</v>
      </c>
      <c r="AB4091" s="1" t="s">
        <v>49</v>
      </c>
      <c r="AC4091" s="1" t="s">
        <v>9236</v>
      </c>
      <c r="AD4091" s="1" t="s">
        <v>9237</v>
      </c>
      <c r="AE4091" s="1" t="s">
        <v>9236</v>
      </c>
      <c r="AF4091" s="1" t="s">
        <v>49</v>
      </c>
      <c r="AG4091" s="1" t="s">
        <v>1952</v>
      </c>
      <c r="AH4091" s="1" t="s">
        <v>8988</v>
      </c>
      <c r="AI4091" s="1" t="s">
        <v>54</v>
      </c>
      <c r="AJ4091" s="1">
        <v>0</v>
      </c>
      <c r="AK4091" s="1" t="str">
        <f t="shared" si="64"/>
        <v xml:space="preserve"> =&lt;90</v>
      </c>
      <c r="AL4091" s="1" t="str">
        <f>VLOOKUP(C:C,[1]基础信息!B$1:D$65536,3,0)</f>
        <v xml:space="preserve">Cartridge </v>
      </c>
      <c r="AM4091" s="1" t="str">
        <f>VLOOKUP(C:C,[1]基础信息!B$1:E$65536,4,0)</f>
        <v>UNIV</v>
      </c>
      <c r="AN4091" s="1" t="str">
        <f>VLOOKUP(C:C,[1]基础信息!B$1:F$65536,5,0)</f>
        <v>P6</v>
      </c>
    </row>
    <row r="4092" spans="1:40">
      <c r="A4092" s="1" t="s">
        <v>41</v>
      </c>
      <c r="B4092" s="1" t="s">
        <v>42</v>
      </c>
      <c r="C4092" s="1" t="s">
        <v>554</v>
      </c>
      <c r="D4092" s="1" t="s">
        <v>555</v>
      </c>
      <c r="E4092" s="1" t="s">
        <v>45</v>
      </c>
      <c r="F4092" s="1" t="s">
        <v>9400</v>
      </c>
      <c r="G4092" s="1" t="s">
        <v>9399</v>
      </c>
      <c r="H4092" s="1" t="s">
        <v>45</v>
      </c>
      <c r="I4092" s="1" t="s">
        <v>45</v>
      </c>
      <c r="J4092" s="1" t="s">
        <v>48</v>
      </c>
      <c r="K4092" s="1">
        <v>2</v>
      </c>
      <c r="L4092" s="1">
        <v>0</v>
      </c>
      <c r="M4092" s="1">
        <v>0</v>
      </c>
      <c r="N4092" s="1">
        <v>2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 t="s">
        <v>49</v>
      </c>
      <c r="AA4092" s="1" t="s">
        <v>49</v>
      </c>
      <c r="AB4092" s="1" t="s">
        <v>49</v>
      </c>
      <c r="AC4092" s="1" t="s">
        <v>9236</v>
      </c>
      <c r="AD4092" s="1" t="s">
        <v>9237</v>
      </c>
      <c r="AE4092" s="1" t="s">
        <v>9236</v>
      </c>
      <c r="AF4092" s="1" t="s">
        <v>49</v>
      </c>
      <c r="AG4092" s="1" t="s">
        <v>1952</v>
      </c>
      <c r="AH4092" s="1" t="s">
        <v>8988</v>
      </c>
      <c r="AI4092" s="1" t="s">
        <v>54</v>
      </c>
      <c r="AJ4092" s="1">
        <v>1</v>
      </c>
      <c r="AK4092" s="1" t="str">
        <f t="shared" si="64"/>
        <v xml:space="preserve"> =&lt;90</v>
      </c>
      <c r="AL4092" s="1" t="str">
        <f>VLOOKUP(C:C,[1]基础信息!B$1:D$65536,3,0)</f>
        <v>Jug</v>
      </c>
      <c r="AM4092" s="1" t="str">
        <f>VLOOKUP(C:C,[1]基础信息!B$1:E$65536,4,0)</f>
        <v>Green Pack</v>
      </c>
      <c r="AN4092" s="1" t="str">
        <f>VLOOKUP(C:C,[1]基础信息!B$1:F$65536,5,0)</f>
        <v>Blue</v>
      </c>
    </row>
    <row r="4093" spans="1:40">
      <c r="A4093" s="1" t="s">
        <v>41</v>
      </c>
      <c r="B4093" s="1" t="s">
        <v>42</v>
      </c>
      <c r="C4093" s="1" t="s">
        <v>2004</v>
      </c>
      <c r="D4093" s="1" t="s">
        <v>2005</v>
      </c>
      <c r="E4093" s="1" t="s">
        <v>2004</v>
      </c>
      <c r="F4093" s="1" t="s">
        <v>9334</v>
      </c>
      <c r="G4093" s="1" t="s">
        <v>9401</v>
      </c>
      <c r="H4093" s="1" t="s">
        <v>45</v>
      </c>
      <c r="I4093" s="1" t="s">
        <v>45</v>
      </c>
      <c r="J4093" s="1" t="s">
        <v>48</v>
      </c>
      <c r="K4093" s="1">
        <v>3</v>
      </c>
      <c r="L4093" s="1">
        <v>0</v>
      </c>
      <c r="M4093" s="1">
        <v>0</v>
      </c>
      <c r="N4093" s="1">
        <v>3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 t="s">
        <v>49</v>
      </c>
      <c r="AA4093" s="1" t="s">
        <v>49</v>
      </c>
      <c r="AB4093" s="1" t="s">
        <v>49</v>
      </c>
      <c r="AC4093" s="1" t="s">
        <v>5462</v>
      </c>
      <c r="AD4093" s="1" t="s">
        <v>8336</v>
      </c>
      <c r="AE4093" s="1" t="s">
        <v>5462</v>
      </c>
      <c r="AF4093" s="1" t="s">
        <v>49</v>
      </c>
      <c r="AG4093" s="1" t="s">
        <v>6921</v>
      </c>
      <c r="AH4093" s="1" t="s">
        <v>49</v>
      </c>
      <c r="AI4093" s="1" t="s">
        <v>54</v>
      </c>
      <c r="AJ4093" s="1">
        <v>0</v>
      </c>
      <c r="AK4093" s="1" t="str">
        <f t="shared" si="64"/>
        <v xml:space="preserve"> =&lt;90</v>
      </c>
      <c r="AL4093" s="1" t="str">
        <f>VLOOKUP(C:C,[1]基础信息!B$1:D$65536,3,0)</f>
        <v>Jug</v>
      </c>
      <c r="AM4093" s="1" t="str">
        <f>VLOOKUP(C:C,[1]基础信息!B$1:E$65536,4,0)</f>
        <v>Marella XL</v>
      </c>
      <c r="AN4093" s="1" t="str">
        <f>VLOOKUP(C:C,[1]基础信息!B$1:F$65536,5,0)</f>
        <v>Mxplus</v>
      </c>
    </row>
    <row r="4094" spans="1:40">
      <c r="A4094" s="1" t="s">
        <v>41</v>
      </c>
      <c r="B4094" s="1" t="s">
        <v>42</v>
      </c>
      <c r="C4094" s="1" t="s">
        <v>9402</v>
      </c>
      <c r="D4094" s="1" t="s">
        <v>9403</v>
      </c>
      <c r="E4094" s="1" t="s">
        <v>45</v>
      </c>
      <c r="F4094" s="1" t="s">
        <v>9404</v>
      </c>
      <c r="G4094" s="1" t="s">
        <v>9401</v>
      </c>
      <c r="H4094" s="1" t="s">
        <v>45</v>
      </c>
      <c r="I4094" s="1" t="s">
        <v>45</v>
      </c>
      <c r="J4094" s="1" t="s">
        <v>48</v>
      </c>
      <c r="K4094" s="1">
        <v>3</v>
      </c>
      <c r="L4094" s="1">
        <v>0</v>
      </c>
      <c r="M4094" s="1">
        <v>0</v>
      </c>
      <c r="N4094" s="1">
        <v>3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 t="s">
        <v>49</v>
      </c>
      <c r="AA4094" s="1" t="s">
        <v>49</v>
      </c>
      <c r="AB4094" s="1" t="s">
        <v>49</v>
      </c>
      <c r="AC4094" s="1" t="s">
        <v>5462</v>
      </c>
      <c r="AD4094" s="1" t="s">
        <v>8336</v>
      </c>
      <c r="AE4094" s="1" t="s">
        <v>5462</v>
      </c>
      <c r="AF4094" s="1" t="s">
        <v>49</v>
      </c>
      <c r="AG4094" s="1" t="s">
        <v>6921</v>
      </c>
      <c r="AH4094" s="1" t="s">
        <v>49</v>
      </c>
      <c r="AI4094" s="1" t="s">
        <v>54</v>
      </c>
      <c r="AJ4094" s="1">
        <v>1</v>
      </c>
      <c r="AK4094" s="1" t="str">
        <f t="shared" si="64"/>
        <v xml:space="preserve"> =&lt;90</v>
      </c>
      <c r="AL4094" s="1" t="str">
        <f>VLOOKUP(C:C,[1]基础信息!B$1:D$65536,3,0)</f>
        <v>Jug</v>
      </c>
      <c r="AM4094" s="1" t="str">
        <f>VLOOKUP(C:C,[1]基础信息!B$1:E$65536,4,0)</f>
        <v>Marella</v>
      </c>
      <c r="AN4094" s="1" t="str">
        <f>VLOOKUP(C:C,[1]基础信息!B$1:F$65536,5,0)</f>
        <v>Blue</v>
      </c>
    </row>
    <row r="4095" spans="1:40">
      <c r="A4095" s="1" t="s">
        <v>41</v>
      </c>
      <c r="B4095" s="1" t="s">
        <v>42</v>
      </c>
      <c r="C4095" s="1" t="s">
        <v>8790</v>
      </c>
      <c r="D4095" s="1" t="s">
        <v>8791</v>
      </c>
      <c r="E4095" s="1" t="s">
        <v>45</v>
      </c>
      <c r="F4095" s="1" t="s">
        <v>9405</v>
      </c>
      <c r="G4095" s="1" t="s">
        <v>9406</v>
      </c>
      <c r="H4095" s="1" t="s">
        <v>45</v>
      </c>
      <c r="I4095" s="1" t="s">
        <v>45</v>
      </c>
      <c r="J4095" s="1" t="s">
        <v>48</v>
      </c>
      <c r="K4095" s="1">
        <v>1074</v>
      </c>
      <c r="L4095" s="1">
        <v>0</v>
      </c>
      <c r="M4095" s="1">
        <v>0</v>
      </c>
      <c r="N4095" s="1">
        <v>1074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 t="s">
        <v>49</v>
      </c>
      <c r="AA4095" s="1" t="s">
        <v>49</v>
      </c>
      <c r="AB4095" s="1" t="s">
        <v>49</v>
      </c>
      <c r="AC4095" s="1" t="s">
        <v>5462</v>
      </c>
      <c r="AD4095" s="1" t="s">
        <v>8336</v>
      </c>
      <c r="AE4095" s="1" t="s">
        <v>5462</v>
      </c>
      <c r="AF4095" s="1" t="s">
        <v>49</v>
      </c>
      <c r="AG4095" s="1" t="s">
        <v>6921</v>
      </c>
      <c r="AH4095" s="1" t="s">
        <v>49</v>
      </c>
      <c r="AI4095" s="1" t="s">
        <v>54</v>
      </c>
      <c r="AJ4095" s="1">
        <v>0</v>
      </c>
      <c r="AK4095" s="1" t="str">
        <f t="shared" si="64"/>
        <v xml:space="preserve"> =&lt;90</v>
      </c>
      <c r="AL4095" s="1" t="str">
        <f>VLOOKUP(C:C,[1]基础信息!B$1:D$65536,3,0)</f>
        <v xml:space="preserve">Cartridge </v>
      </c>
      <c r="AM4095" s="1" t="str">
        <f>VLOOKUP(C:C,[1]基础信息!B$1:E$65536,4,0)</f>
        <v>UNIV</v>
      </c>
      <c r="AN4095" s="1" t="str">
        <f>VLOOKUP(C:C,[1]基础信息!B$1:F$65536,5,0)</f>
        <v>P55</v>
      </c>
    </row>
    <row r="4096" spans="1:40">
      <c r="A4096" s="1" t="s">
        <v>41</v>
      </c>
      <c r="B4096" s="1" t="s">
        <v>42</v>
      </c>
      <c r="C4096" s="1" t="s">
        <v>7755</v>
      </c>
      <c r="D4096" s="1" t="s">
        <v>7756</v>
      </c>
      <c r="E4096" s="1" t="s">
        <v>45</v>
      </c>
      <c r="F4096" s="1" t="s">
        <v>9407</v>
      </c>
      <c r="G4096" s="1" t="s">
        <v>9406</v>
      </c>
      <c r="H4096" s="1" t="s">
        <v>45</v>
      </c>
      <c r="I4096" s="1" t="s">
        <v>45</v>
      </c>
      <c r="J4096" s="1" t="s">
        <v>48</v>
      </c>
      <c r="K4096" s="1">
        <v>112</v>
      </c>
      <c r="L4096" s="1">
        <v>0</v>
      </c>
      <c r="M4096" s="1">
        <v>0</v>
      </c>
      <c r="N4096" s="1">
        <v>112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 t="s">
        <v>49</v>
      </c>
      <c r="AA4096" s="1" t="s">
        <v>49</v>
      </c>
      <c r="AB4096" s="1" t="s">
        <v>49</v>
      </c>
      <c r="AC4096" s="1" t="s">
        <v>5462</v>
      </c>
      <c r="AD4096" s="1" t="s">
        <v>8336</v>
      </c>
      <c r="AE4096" s="1" t="s">
        <v>5462</v>
      </c>
      <c r="AF4096" s="1" t="s">
        <v>49</v>
      </c>
      <c r="AG4096" s="1" t="s">
        <v>6921</v>
      </c>
      <c r="AH4096" s="1" t="s">
        <v>49</v>
      </c>
      <c r="AI4096" s="1" t="s">
        <v>54</v>
      </c>
      <c r="AJ4096" s="1">
        <v>1</v>
      </c>
      <c r="AK4096" s="1" t="str">
        <f t="shared" si="64"/>
        <v xml:space="preserve"> =&lt;90</v>
      </c>
      <c r="AL4096" s="1" t="str">
        <f>VLOOKUP(C:C,[1]基础信息!B$1:D$65536,3,0)</f>
        <v xml:space="preserve">Cartridge </v>
      </c>
      <c r="AM4096" s="1" t="str">
        <f>VLOOKUP(C:C,[1]基础信息!B$1:E$65536,4,0)</f>
        <v>LM</v>
      </c>
      <c r="AN4096" s="1" t="str">
        <f>VLOOKUP(C:C,[1]基础信息!B$1:F$65536,5,0)</f>
        <v>P55</v>
      </c>
    </row>
    <row r="4097" spans="1:40">
      <c r="A4097" s="1" t="s">
        <v>41</v>
      </c>
      <c r="B4097" s="1" t="s">
        <v>42</v>
      </c>
      <c r="C4097" s="1" t="s">
        <v>1004</v>
      </c>
      <c r="D4097" s="1" t="s">
        <v>1005</v>
      </c>
      <c r="E4097" s="1" t="s">
        <v>1004</v>
      </c>
      <c r="F4097" s="1" t="s">
        <v>9408</v>
      </c>
      <c r="G4097" s="1" t="s">
        <v>9409</v>
      </c>
      <c r="H4097" s="1" t="s">
        <v>45</v>
      </c>
      <c r="I4097" s="1" t="s">
        <v>45</v>
      </c>
      <c r="J4097" s="1" t="s">
        <v>48</v>
      </c>
      <c r="K4097" s="1">
        <v>15</v>
      </c>
      <c r="L4097" s="1">
        <v>0</v>
      </c>
      <c r="M4097" s="1">
        <v>0</v>
      </c>
      <c r="N4097" s="1">
        <v>15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 t="s">
        <v>49</v>
      </c>
      <c r="AA4097" s="1" t="s">
        <v>49</v>
      </c>
      <c r="AB4097" s="1" t="s">
        <v>49</v>
      </c>
      <c r="AC4097" s="1" t="s">
        <v>7563</v>
      </c>
      <c r="AD4097" s="1" t="s">
        <v>9410</v>
      </c>
      <c r="AE4097" s="1" t="s">
        <v>7563</v>
      </c>
      <c r="AF4097" s="1" t="s">
        <v>49</v>
      </c>
      <c r="AG4097" s="1" t="s">
        <v>7747</v>
      </c>
      <c r="AH4097" s="1" t="s">
        <v>49</v>
      </c>
      <c r="AI4097" s="1" t="s">
        <v>54</v>
      </c>
      <c r="AJ4097" s="1">
        <v>1</v>
      </c>
      <c r="AK4097" s="1" t="str">
        <f t="shared" si="64"/>
        <v xml:space="preserve"> =&lt;90</v>
      </c>
      <c r="AL4097" s="1" t="str">
        <f>VLOOKUP(C:C,[1]基础信息!B$1:D$65536,3,0)</f>
        <v>UTS</v>
      </c>
      <c r="AM4097" s="1" t="str">
        <f>VLOOKUP(C:C,[1]基础信息!B$1:E$65536,4,0)</f>
        <v>MyPure</v>
      </c>
      <c r="AN4097" s="1" t="str">
        <f>VLOOKUP(C:C,[1]基础信息!B$1:F$65536,5,0)</f>
        <v>U5</v>
      </c>
    </row>
    <row r="4098" spans="1:40">
      <c r="A4098" s="1" t="s">
        <v>41</v>
      </c>
      <c r="B4098" s="1" t="s">
        <v>42</v>
      </c>
      <c r="C4098" s="1" t="s">
        <v>6106</v>
      </c>
      <c r="D4098" s="1" t="s">
        <v>6107</v>
      </c>
      <c r="E4098" s="1" t="s">
        <v>45</v>
      </c>
      <c r="F4098" s="1" t="s">
        <v>9411</v>
      </c>
      <c r="G4098" s="1" t="s">
        <v>9412</v>
      </c>
      <c r="H4098" s="1" t="s">
        <v>45</v>
      </c>
      <c r="I4098" s="1" t="s">
        <v>45</v>
      </c>
      <c r="J4098" s="1" t="s">
        <v>48</v>
      </c>
      <c r="K4098" s="1">
        <v>232</v>
      </c>
      <c r="L4098" s="1">
        <v>0</v>
      </c>
      <c r="M4098" s="1">
        <v>0</v>
      </c>
      <c r="N4098" s="1">
        <v>232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 t="s">
        <v>49</v>
      </c>
      <c r="AA4098" s="1" t="s">
        <v>49</v>
      </c>
      <c r="AB4098" s="1" t="s">
        <v>49</v>
      </c>
      <c r="AC4098" s="1" t="s">
        <v>7926</v>
      </c>
      <c r="AD4098" s="1" t="s">
        <v>7927</v>
      </c>
      <c r="AE4098" s="1" t="s">
        <v>7926</v>
      </c>
      <c r="AF4098" s="1" t="s">
        <v>9032</v>
      </c>
      <c r="AG4098" s="1" t="s">
        <v>3464</v>
      </c>
      <c r="AH4098" s="1" t="s">
        <v>7928</v>
      </c>
      <c r="AI4098" s="1" t="s">
        <v>54</v>
      </c>
      <c r="AJ4098" s="1">
        <v>1</v>
      </c>
      <c r="AK4098" s="1" t="str">
        <f t="shared" si="64"/>
        <v xml:space="preserve"> =&lt;90</v>
      </c>
      <c r="AL4098" s="1" t="str">
        <f>VLOOKUP(C:C,[1]基础信息!B$1:D$65536,3,0)</f>
        <v>On tap</v>
      </c>
      <c r="AM4098" s="1" t="str">
        <f>VLOOKUP(C:C,[1]基础信息!B$1:E$65536,4,0)</f>
        <v>On tap</v>
      </c>
      <c r="AN4098" s="1" t="str">
        <f>VLOOKUP(C:C,[1]基础信息!B$1:F$65536,5,0)</f>
        <v>Refill</v>
      </c>
    </row>
    <row r="4099" spans="1:40">
      <c r="A4099" s="1" t="s">
        <v>41</v>
      </c>
      <c r="B4099" s="1" t="s">
        <v>42</v>
      </c>
      <c r="C4099" s="1" t="s">
        <v>1437</v>
      </c>
      <c r="D4099" s="1" t="s">
        <v>1438</v>
      </c>
      <c r="E4099" s="1" t="s">
        <v>45</v>
      </c>
      <c r="F4099" s="1" t="s">
        <v>7940</v>
      </c>
      <c r="G4099" s="1" t="s">
        <v>9413</v>
      </c>
      <c r="H4099" s="1" t="s">
        <v>45</v>
      </c>
      <c r="I4099" s="1" t="s">
        <v>45</v>
      </c>
      <c r="J4099" s="1" t="s">
        <v>48</v>
      </c>
      <c r="K4099" s="1">
        <v>4</v>
      </c>
      <c r="L4099" s="1">
        <v>0</v>
      </c>
      <c r="M4099" s="1">
        <v>0</v>
      </c>
      <c r="N4099" s="1">
        <v>4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 t="s">
        <v>49</v>
      </c>
      <c r="AA4099" s="1" t="s">
        <v>49</v>
      </c>
      <c r="AB4099" s="1" t="s">
        <v>49</v>
      </c>
      <c r="AC4099" s="1" t="s">
        <v>7926</v>
      </c>
      <c r="AD4099" s="1" t="s">
        <v>7927</v>
      </c>
      <c r="AE4099" s="1" t="s">
        <v>7926</v>
      </c>
      <c r="AF4099" s="1" t="s">
        <v>49</v>
      </c>
      <c r="AG4099" s="1" t="s">
        <v>3464</v>
      </c>
      <c r="AH4099" s="1" t="s">
        <v>7928</v>
      </c>
      <c r="AI4099" s="1" t="s">
        <v>54</v>
      </c>
      <c r="AJ4099" s="1">
        <v>0</v>
      </c>
      <c r="AK4099" s="1" t="str">
        <f t="shared" si="64"/>
        <v xml:space="preserve"> =&lt;90</v>
      </c>
      <c r="AL4099" s="1" t="str">
        <f>VLOOKUP(C:C,[1]基础信息!B$1:D$65536,3,0)</f>
        <v>On tap</v>
      </c>
      <c r="AM4099" s="1" t="str">
        <f>VLOOKUP(C:C,[1]基础信息!B$1:E$65536,4,0)</f>
        <v>On tap</v>
      </c>
      <c r="AN4099" s="1" t="str">
        <f>VLOOKUP(C:C,[1]基础信息!B$1:F$65536,5,0)</f>
        <v>On tap</v>
      </c>
    </row>
    <row r="4100" spans="1:40">
      <c r="A4100" s="1" t="s">
        <v>41</v>
      </c>
      <c r="B4100" s="1" t="s">
        <v>42</v>
      </c>
      <c r="C4100" s="1" t="s">
        <v>6106</v>
      </c>
      <c r="D4100" s="1" t="s">
        <v>6107</v>
      </c>
      <c r="E4100" s="1" t="s">
        <v>45</v>
      </c>
      <c r="F4100" s="1" t="s">
        <v>7945</v>
      </c>
      <c r="G4100" s="1" t="s">
        <v>9413</v>
      </c>
      <c r="H4100" s="1" t="s">
        <v>45</v>
      </c>
      <c r="I4100" s="1" t="s">
        <v>45</v>
      </c>
      <c r="J4100" s="1" t="s">
        <v>48</v>
      </c>
      <c r="K4100" s="1">
        <v>40</v>
      </c>
      <c r="L4100" s="1">
        <v>0</v>
      </c>
      <c r="M4100" s="1">
        <v>0</v>
      </c>
      <c r="N4100" s="1">
        <v>40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 t="s">
        <v>49</v>
      </c>
      <c r="AA4100" s="1" t="s">
        <v>49</v>
      </c>
      <c r="AB4100" s="1" t="s">
        <v>49</v>
      </c>
      <c r="AC4100" s="1" t="s">
        <v>7926</v>
      </c>
      <c r="AD4100" s="1" t="s">
        <v>7927</v>
      </c>
      <c r="AE4100" s="1" t="s">
        <v>7926</v>
      </c>
      <c r="AF4100" s="1" t="s">
        <v>49</v>
      </c>
      <c r="AG4100" s="1" t="s">
        <v>3464</v>
      </c>
      <c r="AH4100" s="1" t="s">
        <v>7928</v>
      </c>
      <c r="AI4100" s="1" t="s">
        <v>54</v>
      </c>
      <c r="AJ4100" s="1">
        <v>0</v>
      </c>
      <c r="AK4100" s="1" t="str">
        <f t="shared" si="64"/>
        <v xml:space="preserve"> =&lt;90</v>
      </c>
      <c r="AL4100" s="1" t="str">
        <f>VLOOKUP(C:C,[1]基础信息!B$1:D$65536,3,0)</f>
        <v>On tap</v>
      </c>
      <c r="AM4100" s="1" t="str">
        <f>VLOOKUP(C:C,[1]基础信息!B$1:E$65536,4,0)</f>
        <v>On tap</v>
      </c>
      <c r="AN4100" s="1" t="str">
        <f>VLOOKUP(C:C,[1]基础信息!B$1:F$65536,5,0)</f>
        <v>Refill</v>
      </c>
    </row>
    <row r="4101" spans="1:40">
      <c r="A4101" s="1" t="s">
        <v>41</v>
      </c>
      <c r="B4101" s="1" t="s">
        <v>42</v>
      </c>
      <c r="C4101" s="1" t="s">
        <v>9414</v>
      </c>
      <c r="D4101" s="1" t="s">
        <v>8191</v>
      </c>
      <c r="E4101" s="1" t="s">
        <v>45</v>
      </c>
      <c r="F4101" s="1" t="s">
        <v>9415</v>
      </c>
      <c r="G4101" s="1" t="s">
        <v>9413</v>
      </c>
      <c r="H4101" s="1" t="s">
        <v>45</v>
      </c>
      <c r="I4101" s="1" t="s">
        <v>45</v>
      </c>
      <c r="J4101" s="1" t="s">
        <v>48</v>
      </c>
      <c r="K4101" s="1">
        <v>1</v>
      </c>
      <c r="L4101" s="1">
        <v>0</v>
      </c>
      <c r="M4101" s="1">
        <v>0</v>
      </c>
      <c r="N4101" s="1">
        <v>1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 t="s">
        <v>49</v>
      </c>
      <c r="AA4101" s="1" t="s">
        <v>49</v>
      </c>
      <c r="AB4101" s="1" t="s">
        <v>49</v>
      </c>
      <c r="AC4101" s="1" t="s">
        <v>7926</v>
      </c>
      <c r="AD4101" s="1" t="s">
        <v>7927</v>
      </c>
      <c r="AE4101" s="1" t="s">
        <v>7926</v>
      </c>
      <c r="AF4101" s="1" t="s">
        <v>49</v>
      </c>
      <c r="AG4101" s="1" t="s">
        <v>3464</v>
      </c>
      <c r="AH4101" s="1" t="s">
        <v>7928</v>
      </c>
      <c r="AI4101" s="1" t="s">
        <v>54</v>
      </c>
      <c r="AJ4101" s="1">
        <v>1</v>
      </c>
      <c r="AK4101" s="1" t="str">
        <f t="shared" si="64"/>
        <v xml:space="preserve"> =&lt;90</v>
      </c>
      <c r="AL4101" s="1" t="str">
        <f>VLOOKUP(C:C,[1]基础信息!B$1:D$65536,3,0)</f>
        <v xml:space="preserve">Cartridge </v>
      </c>
      <c r="AM4101" s="1" t="str">
        <f>VLOOKUP(C:C,[1]基础信息!B$1:E$65536,4,0)</f>
        <v>LM</v>
      </c>
      <c r="AN4101" s="1" t="str">
        <f>VLOOKUP(C:C,[1]基础信息!B$1:F$65536,5,0)</f>
        <v>P6</v>
      </c>
    </row>
    <row r="4102" spans="1:40">
      <c r="A4102" s="1" t="s">
        <v>41</v>
      </c>
      <c r="B4102" s="1" t="s">
        <v>42</v>
      </c>
      <c r="C4102" s="1" t="s">
        <v>7818</v>
      </c>
      <c r="D4102" s="1" t="s">
        <v>7819</v>
      </c>
      <c r="E4102" s="1" t="s">
        <v>45</v>
      </c>
      <c r="F4102" s="1" t="s">
        <v>9416</v>
      </c>
      <c r="G4102" s="1" t="s">
        <v>9417</v>
      </c>
      <c r="H4102" s="1" t="s">
        <v>45</v>
      </c>
      <c r="I4102" s="1" t="s">
        <v>45</v>
      </c>
      <c r="J4102" s="1" t="s">
        <v>48</v>
      </c>
      <c r="K4102" s="1">
        <v>120</v>
      </c>
      <c r="L4102" s="1">
        <v>0</v>
      </c>
      <c r="M4102" s="1">
        <v>0</v>
      </c>
      <c r="N4102" s="1">
        <v>120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 t="s">
        <v>49</v>
      </c>
      <c r="AA4102" s="1" t="s">
        <v>49</v>
      </c>
      <c r="AB4102" s="1" t="s">
        <v>49</v>
      </c>
      <c r="AC4102" s="1" t="s">
        <v>5462</v>
      </c>
      <c r="AD4102" s="1" t="s">
        <v>8336</v>
      </c>
      <c r="AE4102" s="1" t="s">
        <v>5462</v>
      </c>
      <c r="AF4102" s="1" t="s">
        <v>49</v>
      </c>
      <c r="AG4102" s="1" t="s">
        <v>3464</v>
      </c>
      <c r="AH4102" s="1" t="s">
        <v>49</v>
      </c>
      <c r="AI4102" s="1" t="s">
        <v>54</v>
      </c>
      <c r="AJ4102" s="1">
        <v>1</v>
      </c>
      <c r="AK4102" s="1" t="str">
        <f t="shared" si="64"/>
        <v xml:space="preserve"> =&lt;90</v>
      </c>
      <c r="AL4102" s="1" t="str">
        <f>VLOOKUP(C:C,[1]基础信息!B$1:D$65536,3,0)</f>
        <v xml:space="preserve">Cartridge </v>
      </c>
      <c r="AM4102" s="1" t="str">
        <f>VLOOKUP(C:C,[1]基础信息!B$1:E$65536,4,0)</f>
        <v>LM</v>
      </c>
      <c r="AN4102" s="1" t="str">
        <f>VLOOKUP(C:C,[1]基础信息!B$1:F$65536,5,0)</f>
        <v>P1</v>
      </c>
    </row>
    <row r="4103" spans="1:40">
      <c r="A4103" s="1" t="s">
        <v>41</v>
      </c>
      <c r="B4103" s="1" t="s">
        <v>42</v>
      </c>
      <c r="C4103" s="1" t="s">
        <v>6106</v>
      </c>
      <c r="D4103" s="1" t="s">
        <v>6107</v>
      </c>
      <c r="E4103" s="1" t="s">
        <v>45</v>
      </c>
      <c r="F4103" s="1" t="s">
        <v>9418</v>
      </c>
      <c r="G4103" s="1" t="s">
        <v>9419</v>
      </c>
      <c r="H4103" s="1" t="s">
        <v>45</v>
      </c>
      <c r="I4103" s="1" t="s">
        <v>45</v>
      </c>
      <c r="J4103" s="1" t="s">
        <v>48</v>
      </c>
      <c r="K4103" s="1">
        <v>1593</v>
      </c>
      <c r="L4103" s="1">
        <v>0</v>
      </c>
      <c r="M4103" s="1">
        <v>0</v>
      </c>
      <c r="N4103" s="1">
        <v>1593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 t="s">
        <v>49</v>
      </c>
      <c r="AA4103" s="1" t="s">
        <v>49</v>
      </c>
      <c r="AB4103" s="1" t="s">
        <v>49</v>
      </c>
      <c r="AC4103" s="1" t="s">
        <v>144</v>
      </c>
      <c r="AD4103" s="1" t="s">
        <v>145</v>
      </c>
      <c r="AE4103" s="1" t="s">
        <v>144</v>
      </c>
      <c r="AF4103" s="1" t="s">
        <v>49</v>
      </c>
      <c r="AG4103" s="1" t="s">
        <v>3464</v>
      </c>
      <c r="AH4103" s="1" t="s">
        <v>49</v>
      </c>
      <c r="AI4103" s="1" t="s">
        <v>54</v>
      </c>
      <c r="AJ4103" s="1">
        <v>1</v>
      </c>
      <c r="AK4103" s="1" t="str">
        <f t="shared" si="64"/>
        <v xml:space="preserve"> =&lt;90</v>
      </c>
      <c r="AL4103" s="1" t="str">
        <f>VLOOKUP(C:C,[1]基础信息!B$1:D$65536,3,0)</f>
        <v>On tap</v>
      </c>
      <c r="AM4103" s="1" t="str">
        <f>VLOOKUP(C:C,[1]基础信息!B$1:E$65536,4,0)</f>
        <v>On tap</v>
      </c>
      <c r="AN4103" s="1" t="str">
        <f>VLOOKUP(C:C,[1]基础信息!B$1:F$65536,5,0)</f>
        <v>Refill</v>
      </c>
    </row>
    <row r="4104" spans="1:40">
      <c r="A4104" s="1" t="s">
        <v>41</v>
      </c>
      <c r="B4104" s="1" t="s">
        <v>42</v>
      </c>
      <c r="C4104" s="1" t="s">
        <v>6106</v>
      </c>
      <c r="D4104" s="1" t="s">
        <v>6107</v>
      </c>
      <c r="E4104" s="1" t="s">
        <v>45</v>
      </c>
      <c r="F4104" s="1" t="s">
        <v>9411</v>
      </c>
      <c r="G4104" s="1" t="s">
        <v>9420</v>
      </c>
      <c r="H4104" s="1" t="s">
        <v>45</v>
      </c>
      <c r="I4104" s="1" t="s">
        <v>45</v>
      </c>
      <c r="J4104" s="1" t="s">
        <v>48</v>
      </c>
      <c r="K4104" s="1">
        <v>114</v>
      </c>
      <c r="L4104" s="1">
        <v>0</v>
      </c>
      <c r="M4104" s="1">
        <v>0</v>
      </c>
      <c r="N4104" s="1">
        <v>114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 t="s">
        <v>49</v>
      </c>
      <c r="AA4104" s="1" t="s">
        <v>49</v>
      </c>
      <c r="AB4104" s="1" t="s">
        <v>49</v>
      </c>
      <c r="AC4104" s="1" t="s">
        <v>7926</v>
      </c>
      <c r="AD4104" s="1" t="s">
        <v>7927</v>
      </c>
      <c r="AE4104" s="1" t="s">
        <v>7926</v>
      </c>
      <c r="AF4104" s="1" t="s">
        <v>9032</v>
      </c>
      <c r="AG4104" s="1" t="s">
        <v>3464</v>
      </c>
      <c r="AH4104" s="1" t="s">
        <v>7928</v>
      </c>
      <c r="AI4104" s="1" t="s">
        <v>54</v>
      </c>
      <c r="AJ4104" s="1">
        <v>1</v>
      </c>
      <c r="AK4104" s="1" t="str">
        <f t="shared" si="64"/>
        <v xml:space="preserve"> =&lt;90</v>
      </c>
      <c r="AL4104" s="1" t="str">
        <f>VLOOKUP(C:C,[1]基础信息!B$1:D$65536,3,0)</f>
        <v>On tap</v>
      </c>
      <c r="AM4104" s="1" t="str">
        <f>VLOOKUP(C:C,[1]基础信息!B$1:E$65536,4,0)</f>
        <v>On tap</v>
      </c>
      <c r="AN4104" s="1" t="str">
        <f>VLOOKUP(C:C,[1]基础信息!B$1:F$65536,5,0)</f>
        <v>Refill</v>
      </c>
    </row>
    <row r="4105" spans="1:40">
      <c r="A4105" s="1" t="s">
        <v>41</v>
      </c>
      <c r="B4105" s="1" t="s">
        <v>42</v>
      </c>
      <c r="C4105" s="1" t="s">
        <v>4438</v>
      </c>
      <c r="D4105" s="1" t="s">
        <v>4439</v>
      </c>
      <c r="E4105" s="1" t="s">
        <v>45</v>
      </c>
      <c r="F4105" s="1" t="s">
        <v>9134</v>
      </c>
      <c r="G4105" s="1" t="s">
        <v>9421</v>
      </c>
      <c r="H4105" s="1" t="s">
        <v>45</v>
      </c>
      <c r="I4105" s="1" t="s">
        <v>45</v>
      </c>
      <c r="J4105" s="1" t="s">
        <v>48</v>
      </c>
      <c r="K4105" s="1">
        <v>27</v>
      </c>
      <c r="L4105" s="1">
        <v>0</v>
      </c>
      <c r="M4105" s="1">
        <v>0</v>
      </c>
      <c r="N4105" s="1">
        <v>27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 t="s">
        <v>49</v>
      </c>
      <c r="AA4105" s="1" t="s">
        <v>49</v>
      </c>
      <c r="AB4105" s="1" t="s">
        <v>49</v>
      </c>
      <c r="AC4105" s="1" t="s">
        <v>9044</v>
      </c>
      <c r="AD4105" s="1" t="s">
        <v>508</v>
      </c>
      <c r="AE4105" s="1" t="s">
        <v>9044</v>
      </c>
      <c r="AF4105" s="1" t="s">
        <v>9045</v>
      </c>
      <c r="AG4105" s="1" t="s">
        <v>7747</v>
      </c>
      <c r="AH4105" s="1" t="s">
        <v>49</v>
      </c>
      <c r="AI4105" s="1" t="s">
        <v>54</v>
      </c>
      <c r="AJ4105" s="1">
        <v>1</v>
      </c>
      <c r="AK4105" s="1" t="str">
        <f t="shared" si="64"/>
        <v xml:space="preserve"> =&lt;90</v>
      </c>
      <c r="AL4105" s="1" t="str">
        <f>VLOOKUP(C:C,[1]基础信息!B$1:D$65536,3,0)</f>
        <v>Hotcup</v>
      </c>
      <c r="AM4105" s="1" t="str">
        <f>VLOOKUP(C:C,[1]基础信息!B$1:E$65536,4,0)</f>
        <v>Hotcup</v>
      </c>
      <c r="AN4105" s="1" t="str">
        <f>VLOOKUP(C:C,[1]基础信息!B$1:F$65536,5,0)</f>
        <v xml:space="preserve"> green</v>
      </c>
    </row>
    <row r="4106" spans="1:40">
      <c r="A4106" s="1" t="s">
        <v>41</v>
      </c>
      <c r="B4106" s="1" t="s">
        <v>42</v>
      </c>
      <c r="C4106" s="1" t="s">
        <v>1437</v>
      </c>
      <c r="D4106" s="1" t="s">
        <v>1438</v>
      </c>
      <c r="E4106" s="1" t="s">
        <v>45</v>
      </c>
      <c r="F4106" s="1" t="s">
        <v>7940</v>
      </c>
      <c r="G4106" s="1" t="s">
        <v>9422</v>
      </c>
      <c r="H4106" s="1" t="s">
        <v>45</v>
      </c>
      <c r="I4106" s="1" t="s">
        <v>45</v>
      </c>
      <c r="J4106" s="1" t="s">
        <v>48</v>
      </c>
      <c r="K4106" s="1">
        <v>11</v>
      </c>
      <c r="L4106" s="1">
        <v>0</v>
      </c>
      <c r="M4106" s="1">
        <v>0</v>
      </c>
      <c r="N4106" s="1">
        <v>11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 t="s">
        <v>49</v>
      </c>
      <c r="AA4106" s="1" t="s">
        <v>49</v>
      </c>
      <c r="AB4106" s="1" t="s">
        <v>49</v>
      </c>
      <c r="AC4106" s="1" t="s">
        <v>7926</v>
      </c>
      <c r="AD4106" s="1" t="s">
        <v>7927</v>
      </c>
      <c r="AE4106" s="1" t="s">
        <v>7926</v>
      </c>
      <c r="AF4106" s="1" t="s">
        <v>49</v>
      </c>
      <c r="AG4106" s="1" t="s">
        <v>3464</v>
      </c>
      <c r="AH4106" s="1" t="s">
        <v>7928</v>
      </c>
      <c r="AI4106" s="1" t="s">
        <v>54</v>
      </c>
      <c r="AJ4106" s="1">
        <v>1</v>
      </c>
      <c r="AK4106" s="1" t="str">
        <f t="shared" si="64"/>
        <v xml:space="preserve"> =&lt;90</v>
      </c>
      <c r="AL4106" s="1" t="str">
        <f>VLOOKUP(C:C,[1]基础信息!B$1:D$65536,3,0)</f>
        <v>On tap</v>
      </c>
      <c r="AM4106" s="1" t="str">
        <f>VLOOKUP(C:C,[1]基础信息!B$1:E$65536,4,0)</f>
        <v>On tap</v>
      </c>
      <c r="AN4106" s="1" t="str">
        <f>VLOOKUP(C:C,[1]基础信息!B$1:F$65536,5,0)</f>
        <v>On tap</v>
      </c>
    </row>
    <row r="4107" spans="1:40">
      <c r="A4107" s="1" t="s">
        <v>41</v>
      </c>
      <c r="B4107" s="1" t="s">
        <v>42</v>
      </c>
      <c r="C4107" s="1" t="s">
        <v>341</v>
      </c>
      <c r="D4107" s="1" t="s">
        <v>342</v>
      </c>
      <c r="E4107" s="1" t="s">
        <v>45</v>
      </c>
      <c r="F4107" s="1" t="s">
        <v>9423</v>
      </c>
      <c r="G4107" s="1" t="s">
        <v>9424</v>
      </c>
      <c r="H4107" s="1" t="s">
        <v>45</v>
      </c>
      <c r="I4107" s="1" t="s">
        <v>45</v>
      </c>
      <c r="J4107" s="1" t="s">
        <v>48</v>
      </c>
      <c r="K4107" s="1">
        <v>13</v>
      </c>
      <c r="L4107" s="1">
        <v>0</v>
      </c>
      <c r="M4107" s="1">
        <v>0</v>
      </c>
      <c r="N4107" s="1">
        <v>13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 t="s">
        <v>49</v>
      </c>
      <c r="AA4107" s="1" t="s">
        <v>49</v>
      </c>
      <c r="AB4107" s="1" t="s">
        <v>49</v>
      </c>
      <c r="AC4107" s="1" t="s">
        <v>8695</v>
      </c>
      <c r="AD4107" s="1" t="s">
        <v>8696</v>
      </c>
      <c r="AE4107" s="1" t="s">
        <v>8695</v>
      </c>
      <c r="AF4107" s="1" t="s">
        <v>9425</v>
      </c>
      <c r="AG4107" s="1" t="s">
        <v>1952</v>
      </c>
      <c r="AH4107" s="1" t="s">
        <v>8988</v>
      </c>
      <c r="AI4107" s="1" t="s">
        <v>54</v>
      </c>
      <c r="AJ4107" s="1">
        <v>0</v>
      </c>
      <c r="AK4107" s="1" t="str">
        <f t="shared" si="64"/>
        <v xml:space="preserve"> =&lt;90</v>
      </c>
      <c r="AL4107" s="1" t="str">
        <f>VLOOKUP(C:C,[1]基础信息!B$1:D$65536,3,0)</f>
        <v>Jug</v>
      </c>
      <c r="AM4107" s="1" t="str">
        <f>VLOOKUP(C:C,[1]基础信息!B$1:E$65536,4,0)</f>
        <v>Marella</v>
      </c>
      <c r="AN4107" s="1" t="str">
        <f>VLOOKUP(C:C,[1]基础信息!B$1:F$65536,5,0)</f>
        <v>Blue Glitter</v>
      </c>
    </row>
    <row r="4108" spans="1:40">
      <c r="A4108" s="1" t="s">
        <v>41</v>
      </c>
      <c r="B4108" s="1" t="s">
        <v>42</v>
      </c>
      <c r="C4108" s="1" t="s">
        <v>3971</v>
      </c>
      <c r="D4108" s="1" t="s">
        <v>3972</v>
      </c>
      <c r="E4108" s="1" t="s">
        <v>45</v>
      </c>
      <c r="F4108" s="1" t="s">
        <v>9426</v>
      </c>
      <c r="G4108" s="1" t="s">
        <v>9424</v>
      </c>
      <c r="H4108" s="1" t="s">
        <v>45</v>
      </c>
      <c r="I4108" s="1" t="s">
        <v>45</v>
      </c>
      <c r="J4108" s="1" t="s">
        <v>48</v>
      </c>
      <c r="K4108" s="1">
        <v>4</v>
      </c>
      <c r="L4108" s="1">
        <v>0</v>
      </c>
      <c r="M4108" s="1">
        <v>0</v>
      </c>
      <c r="N4108" s="1">
        <v>4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 t="s">
        <v>49</v>
      </c>
      <c r="AA4108" s="1" t="s">
        <v>49</v>
      </c>
      <c r="AB4108" s="1" t="s">
        <v>49</v>
      </c>
      <c r="AC4108" s="1" t="s">
        <v>8695</v>
      </c>
      <c r="AD4108" s="1" t="s">
        <v>8696</v>
      </c>
      <c r="AE4108" s="1" t="s">
        <v>8695</v>
      </c>
      <c r="AF4108" s="1" t="s">
        <v>9427</v>
      </c>
      <c r="AG4108" s="1" t="s">
        <v>1952</v>
      </c>
      <c r="AH4108" s="1" t="s">
        <v>8988</v>
      </c>
      <c r="AI4108" s="1" t="s">
        <v>54</v>
      </c>
      <c r="AJ4108" s="1">
        <v>0</v>
      </c>
      <c r="AK4108" s="1" t="str">
        <f t="shared" si="64"/>
        <v xml:space="preserve"> =&lt;90</v>
      </c>
      <c r="AL4108" s="1" t="str">
        <f>VLOOKUP(C:C,[1]基础信息!B$1:D$65536,3,0)</f>
        <v>Jug</v>
      </c>
      <c r="AM4108" s="1" t="str">
        <f>VLOOKUP(C:C,[1]基础信息!B$1:E$65536,4,0)</f>
        <v>Mxplus</v>
      </c>
      <c r="AN4108" s="1" t="str">
        <f>VLOOKUP(C:C,[1]基础信息!B$1:F$65536,5,0)</f>
        <v xml:space="preserve"> lime</v>
      </c>
    </row>
    <row r="4109" spans="1:40">
      <c r="A4109" s="1" t="s">
        <v>41</v>
      </c>
      <c r="B4109" s="1" t="s">
        <v>42</v>
      </c>
      <c r="C4109" s="1" t="s">
        <v>554</v>
      </c>
      <c r="D4109" s="1" t="s">
        <v>555</v>
      </c>
      <c r="E4109" s="1" t="s">
        <v>45</v>
      </c>
      <c r="F4109" s="1" t="s">
        <v>9428</v>
      </c>
      <c r="G4109" s="1" t="s">
        <v>9424</v>
      </c>
      <c r="H4109" s="1" t="s">
        <v>45</v>
      </c>
      <c r="I4109" s="1" t="s">
        <v>45</v>
      </c>
      <c r="J4109" s="1" t="s">
        <v>48</v>
      </c>
      <c r="K4109" s="1">
        <v>4</v>
      </c>
      <c r="L4109" s="1">
        <v>0</v>
      </c>
      <c r="M4109" s="1">
        <v>0</v>
      </c>
      <c r="N4109" s="1">
        <v>4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 t="s">
        <v>49</v>
      </c>
      <c r="AA4109" s="1" t="s">
        <v>49</v>
      </c>
      <c r="AB4109" s="1" t="s">
        <v>49</v>
      </c>
      <c r="AC4109" s="1" t="s">
        <v>5184</v>
      </c>
      <c r="AD4109" s="1" t="s">
        <v>5185</v>
      </c>
      <c r="AE4109" s="1" t="s">
        <v>5184</v>
      </c>
      <c r="AF4109" s="1" t="s">
        <v>49</v>
      </c>
      <c r="AG4109" s="1" t="s">
        <v>9096</v>
      </c>
      <c r="AH4109" s="1" t="s">
        <v>8988</v>
      </c>
      <c r="AI4109" s="1" t="s">
        <v>54</v>
      </c>
      <c r="AJ4109" s="1">
        <v>0</v>
      </c>
      <c r="AK4109" s="1" t="str">
        <f t="shared" si="64"/>
        <v xml:space="preserve"> =&lt;90</v>
      </c>
      <c r="AL4109" s="1" t="str">
        <f>VLOOKUP(C:C,[1]基础信息!B$1:D$65536,3,0)</f>
        <v>Jug</v>
      </c>
      <c r="AM4109" s="1" t="str">
        <f>VLOOKUP(C:C,[1]基础信息!B$1:E$65536,4,0)</f>
        <v>Green Pack</v>
      </c>
      <c r="AN4109" s="1" t="str">
        <f>VLOOKUP(C:C,[1]基础信息!B$1:F$65536,5,0)</f>
        <v>Blue</v>
      </c>
    </row>
    <row r="4110" spans="1:40">
      <c r="A4110" s="1" t="s">
        <v>41</v>
      </c>
      <c r="B4110" s="1" t="s">
        <v>42</v>
      </c>
      <c r="C4110" s="1" t="s">
        <v>285</v>
      </c>
      <c r="D4110" s="1" t="s">
        <v>286</v>
      </c>
      <c r="E4110" s="1" t="s">
        <v>45</v>
      </c>
      <c r="F4110" s="1" t="s">
        <v>9429</v>
      </c>
      <c r="G4110" s="1" t="s">
        <v>9424</v>
      </c>
      <c r="H4110" s="1" t="s">
        <v>45</v>
      </c>
      <c r="I4110" s="1" t="s">
        <v>45</v>
      </c>
      <c r="J4110" s="1" t="s">
        <v>48</v>
      </c>
      <c r="K4110" s="1">
        <v>4</v>
      </c>
      <c r="L4110" s="1">
        <v>0</v>
      </c>
      <c r="M4110" s="1">
        <v>0</v>
      </c>
      <c r="N4110" s="1">
        <v>4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 t="s">
        <v>49</v>
      </c>
      <c r="AA4110" s="1" t="s">
        <v>49</v>
      </c>
      <c r="AB4110" s="1" t="s">
        <v>49</v>
      </c>
      <c r="AC4110" s="1" t="s">
        <v>5184</v>
      </c>
      <c r="AD4110" s="1" t="s">
        <v>5185</v>
      </c>
      <c r="AE4110" s="1" t="s">
        <v>5184</v>
      </c>
      <c r="AF4110" s="1" t="s">
        <v>49</v>
      </c>
      <c r="AG4110" s="1" t="s">
        <v>9096</v>
      </c>
      <c r="AH4110" s="1" t="s">
        <v>8988</v>
      </c>
      <c r="AI4110" s="1" t="s">
        <v>54</v>
      </c>
      <c r="AJ4110" s="1">
        <v>0</v>
      </c>
      <c r="AK4110" s="1" t="str">
        <f t="shared" si="64"/>
        <v xml:space="preserve"> =&lt;90</v>
      </c>
      <c r="AL4110" s="1" t="str">
        <f>VLOOKUP(C:C,[1]基础信息!B$1:D$65536,3,0)</f>
        <v>Jug</v>
      </c>
      <c r="AM4110" s="1" t="str">
        <f>VLOOKUP(C:C,[1]基础信息!B$1:E$65536,4,0)</f>
        <v>Marella XL</v>
      </c>
      <c r="AN4110" s="1" t="str">
        <f>VLOOKUP(C:C,[1]基础信息!B$1:F$65536,5,0)</f>
        <v>Blue</v>
      </c>
    </row>
    <row r="4111" spans="1:40">
      <c r="A4111" s="1" t="s">
        <v>41</v>
      </c>
      <c r="B4111" s="1" t="s">
        <v>42</v>
      </c>
      <c r="C4111" s="1" t="s">
        <v>56</v>
      </c>
      <c r="D4111" s="1" t="s">
        <v>57</v>
      </c>
      <c r="E4111" s="1" t="s">
        <v>45</v>
      </c>
      <c r="F4111" s="1" t="s">
        <v>9430</v>
      </c>
      <c r="G4111" s="1" t="s">
        <v>9424</v>
      </c>
      <c r="H4111" s="1" t="s">
        <v>45</v>
      </c>
      <c r="I4111" s="1" t="s">
        <v>45</v>
      </c>
      <c r="J4111" s="1" t="s">
        <v>48</v>
      </c>
      <c r="K4111" s="1">
        <v>1</v>
      </c>
      <c r="L4111" s="1">
        <v>0</v>
      </c>
      <c r="M4111" s="1">
        <v>0</v>
      </c>
      <c r="N4111" s="1">
        <v>1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 t="s">
        <v>49</v>
      </c>
      <c r="AA4111" s="1" t="s">
        <v>49</v>
      </c>
      <c r="AB4111" s="1" t="s">
        <v>49</v>
      </c>
      <c r="AC4111" s="1" t="s">
        <v>5184</v>
      </c>
      <c r="AD4111" s="1" t="s">
        <v>5185</v>
      </c>
      <c r="AE4111" s="1" t="s">
        <v>5184</v>
      </c>
      <c r="AF4111" s="1" t="s">
        <v>49</v>
      </c>
      <c r="AG4111" s="1" t="s">
        <v>9096</v>
      </c>
      <c r="AH4111" s="1" t="s">
        <v>8988</v>
      </c>
      <c r="AI4111" s="1" t="s">
        <v>54</v>
      </c>
      <c r="AJ4111" s="1">
        <v>0</v>
      </c>
      <c r="AK4111" s="1" t="str">
        <f t="shared" si="64"/>
        <v xml:space="preserve"> =&lt;90</v>
      </c>
      <c r="AL4111" s="1" t="str">
        <f>VLOOKUP(C:C,[1]基础信息!B$1:D$65536,3,0)</f>
        <v>Jug</v>
      </c>
      <c r="AM4111" s="1" t="str">
        <f>VLOOKUP(C:C,[1]基础信息!B$1:E$65536,4,0)</f>
        <v>Marella XL</v>
      </c>
      <c r="AN4111" s="1" t="str">
        <f>VLOOKUP(C:C,[1]基础信息!B$1:F$65536,5,0)</f>
        <v>Blue</v>
      </c>
    </row>
    <row r="4112" spans="1:40">
      <c r="A4112" s="1" t="s">
        <v>41</v>
      </c>
      <c r="B4112" s="1" t="s">
        <v>42</v>
      </c>
      <c r="C4112" s="1" t="s">
        <v>5154</v>
      </c>
      <c r="D4112" s="1" t="s">
        <v>5155</v>
      </c>
      <c r="E4112" s="1" t="s">
        <v>45</v>
      </c>
      <c r="F4112" s="1" t="s">
        <v>9431</v>
      </c>
      <c r="G4112" s="1" t="s">
        <v>9424</v>
      </c>
      <c r="H4112" s="1" t="s">
        <v>45</v>
      </c>
      <c r="I4112" s="1" t="s">
        <v>45</v>
      </c>
      <c r="J4112" s="1" t="s">
        <v>48</v>
      </c>
      <c r="K4112" s="1">
        <v>1</v>
      </c>
      <c r="L4112" s="1">
        <v>0</v>
      </c>
      <c r="M4112" s="1">
        <v>0</v>
      </c>
      <c r="N4112" s="1">
        <v>1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 t="s">
        <v>49</v>
      </c>
      <c r="AA4112" s="1" t="s">
        <v>49</v>
      </c>
      <c r="AB4112" s="1" t="s">
        <v>49</v>
      </c>
      <c r="AC4112" s="1" t="s">
        <v>5184</v>
      </c>
      <c r="AD4112" s="1" t="s">
        <v>5185</v>
      </c>
      <c r="AE4112" s="1" t="s">
        <v>5184</v>
      </c>
      <c r="AF4112" s="1" t="s">
        <v>49</v>
      </c>
      <c r="AG4112" s="1" t="s">
        <v>9096</v>
      </c>
      <c r="AH4112" s="1" t="s">
        <v>8988</v>
      </c>
      <c r="AI4112" s="1" t="s">
        <v>54</v>
      </c>
      <c r="AJ4112" s="1">
        <v>1</v>
      </c>
      <c r="AK4112" s="1" t="str">
        <f t="shared" si="64"/>
        <v xml:space="preserve"> =&lt;90</v>
      </c>
      <c r="AL4112" s="1" t="e">
        <f>VLOOKUP(C:C,[1]基础信息!B$1:D$65536,3,0)</f>
        <v>#N/A</v>
      </c>
      <c r="AM4112" s="1" t="e">
        <f>VLOOKUP(C:C,[1]基础信息!B$1:E$65536,4,0)</f>
        <v>#N/A</v>
      </c>
      <c r="AN4112" s="1" t="e">
        <f>VLOOKUP(C:C,[1]基础信息!B$1:F$65536,5,0)</f>
        <v>#N/A</v>
      </c>
    </row>
    <row r="4113" spans="1:40">
      <c r="A4113" s="1" t="s">
        <v>41</v>
      </c>
      <c r="B4113" s="1" t="s">
        <v>42</v>
      </c>
      <c r="C4113" s="1" t="s">
        <v>1437</v>
      </c>
      <c r="D4113" s="1" t="s">
        <v>1438</v>
      </c>
      <c r="E4113" s="1" t="s">
        <v>45</v>
      </c>
      <c r="F4113" s="1" t="s">
        <v>9432</v>
      </c>
      <c r="G4113" s="1" t="s">
        <v>9433</v>
      </c>
      <c r="H4113" s="1" t="s">
        <v>45</v>
      </c>
      <c r="I4113" s="1" t="s">
        <v>45</v>
      </c>
      <c r="J4113" s="1" t="s">
        <v>48</v>
      </c>
      <c r="K4113" s="1">
        <v>364</v>
      </c>
      <c r="L4113" s="1">
        <v>0</v>
      </c>
      <c r="M4113" s="1">
        <v>0</v>
      </c>
      <c r="N4113" s="1">
        <v>364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 t="s">
        <v>49</v>
      </c>
      <c r="AA4113" s="1" t="s">
        <v>49</v>
      </c>
      <c r="AB4113" s="1" t="s">
        <v>49</v>
      </c>
      <c r="AC4113" s="1" t="s">
        <v>144</v>
      </c>
      <c r="AD4113" s="1" t="s">
        <v>145</v>
      </c>
      <c r="AE4113" s="1" t="s">
        <v>144</v>
      </c>
      <c r="AF4113" s="1" t="s">
        <v>49</v>
      </c>
      <c r="AG4113" s="1" t="s">
        <v>3464</v>
      </c>
      <c r="AH4113" s="1" t="s">
        <v>49</v>
      </c>
      <c r="AI4113" s="1" t="s">
        <v>54</v>
      </c>
      <c r="AJ4113" s="1">
        <v>1</v>
      </c>
      <c r="AK4113" s="1" t="str">
        <f t="shared" si="64"/>
        <v xml:space="preserve"> =&lt;90</v>
      </c>
      <c r="AL4113" s="1" t="str">
        <f>VLOOKUP(C:C,[1]基础信息!B$1:D$65536,3,0)</f>
        <v>On tap</v>
      </c>
      <c r="AM4113" s="1" t="str">
        <f>VLOOKUP(C:C,[1]基础信息!B$1:E$65536,4,0)</f>
        <v>On tap</v>
      </c>
      <c r="AN4113" s="1" t="str">
        <f>VLOOKUP(C:C,[1]基础信息!B$1:F$65536,5,0)</f>
        <v>On tap</v>
      </c>
    </row>
    <row r="4114" spans="1:40">
      <c r="A4114" s="1" t="s">
        <v>41</v>
      </c>
      <c r="B4114" s="1" t="s">
        <v>42</v>
      </c>
      <c r="C4114" s="1" t="s">
        <v>8190</v>
      </c>
      <c r="D4114" s="1" t="s">
        <v>8191</v>
      </c>
      <c r="E4114" s="1" t="s">
        <v>45</v>
      </c>
      <c r="F4114" s="1" t="s">
        <v>9265</v>
      </c>
      <c r="G4114" s="1" t="s">
        <v>9434</v>
      </c>
      <c r="H4114" s="1" t="s">
        <v>45</v>
      </c>
      <c r="I4114" s="1" t="s">
        <v>45</v>
      </c>
      <c r="J4114" s="1" t="s">
        <v>48</v>
      </c>
      <c r="K4114" s="1">
        <v>43</v>
      </c>
      <c r="L4114" s="1">
        <v>0</v>
      </c>
      <c r="M4114" s="1">
        <v>0</v>
      </c>
      <c r="N4114" s="1">
        <v>43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 t="s">
        <v>49</v>
      </c>
      <c r="AA4114" s="1" t="s">
        <v>49</v>
      </c>
      <c r="AB4114" s="1" t="s">
        <v>49</v>
      </c>
      <c r="AC4114" s="1" t="s">
        <v>7926</v>
      </c>
      <c r="AD4114" s="1" t="s">
        <v>7927</v>
      </c>
      <c r="AE4114" s="1" t="s">
        <v>7926</v>
      </c>
      <c r="AF4114" s="1" t="s">
        <v>49</v>
      </c>
      <c r="AG4114" s="1" t="s">
        <v>3464</v>
      </c>
      <c r="AH4114" s="1" t="s">
        <v>7928</v>
      </c>
      <c r="AI4114" s="1" t="s">
        <v>54</v>
      </c>
      <c r="AJ4114" s="1">
        <v>1</v>
      </c>
      <c r="AK4114" s="1" t="str">
        <f t="shared" si="64"/>
        <v xml:space="preserve"> =&lt;90</v>
      </c>
      <c r="AL4114" s="1" t="str">
        <f>VLOOKUP(C:C,[1]基础信息!B$1:D$65536,3,0)</f>
        <v xml:space="preserve">Cartridge </v>
      </c>
      <c r="AM4114" s="1" t="str">
        <f>VLOOKUP(C:C,[1]基础信息!B$1:E$65536,4,0)</f>
        <v>LM</v>
      </c>
      <c r="AN4114" s="1" t="str">
        <f>VLOOKUP(C:C,[1]基础信息!B$1:F$65536,5,0)</f>
        <v>P6</v>
      </c>
    </row>
    <row r="4115" spans="1:40">
      <c r="A4115" s="1" t="s">
        <v>41</v>
      </c>
      <c r="B4115" s="1" t="s">
        <v>42</v>
      </c>
      <c r="C4115" s="1" t="s">
        <v>6806</v>
      </c>
      <c r="D4115" s="1" t="s">
        <v>6807</v>
      </c>
      <c r="E4115" s="1" t="s">
        <v>45</v>
      </c>
      <c r="F4115" s="1" t="s">
        <v>9435</v>
      </c>
      <c r="G4115" s="1" t="s">
        <v>9436</v>
      </c>
      <c r="H4115" s="1" t="s">
        <v>45</v>
      </c>
      <c r="I4115" s="1" t="s">
        <v>45</v>
      </c>
      <c r="J4115" s="1" t="s">
        <v>48</v>
      </c>
      <c r="K4115" s="1">
        <v>1</v>
      </c>
      <c r="L4115" s="1">
        <v>0</v>
      </c>
      <c r="M4115" s="1">
        <v>0</v>
      </c>
      <c r="N4115" s="1">
        <v>1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 t="s">
        <v>49</v>
      </c>
      <c r="AA4115" s="1" t="s">
        <v>49</v>
      </c>
      <c r="AB4115" s="1" t="s">
        <v>49</v>
      </c>
      <c r="AC4115" s="1" t="s">
        <v>50</v>
      </c>
      <c r="AD4115" s="1" t="s">
        <v>1670</v>
      </c>
      <c r="AE4115" s="1" t="s">
        <v>50</v>
      </c>
      <c r="AF4115" s="1" t="s">
        <v>9437</v>
      </c>
      <c r="AG4115" s="1" t="s">
        <v>1952</v>
      </c>
      <c r="AH4115" s="1" t="s">
        <v>49</v>
      </c>
      <c r="AI4115" s="1" t="s">
        <v>54</v>
      </c>
      <c r="AJ4115" s="1">
        <v>1</v>
      </c>
      <c r="AK4115" s="1" t="str">
        <f t="shared" si="64"/>
        <v xml:space="preserve"> =&lt;90</v>
      </c>
      <c r="AL4115" s="1" t="e">
        <f>VLOOKUP(C:C,[1]基础信息!B$1:D$65536,3,0)</f>
        <v>#N/A</v>
      </c>
      <c r="AM4115" s="1" t="e">
        <f>VLOOKUP(C:C,[1]基础信息!B$1:E$65536,4,0)</f>
        <v>#N/A</v>
      </c>
      <c r="AN4115" s="1" t="e">
        <f>VLOOKUP(C:C,[1]基础信息!B$1:F$65536,5,0)</f>
        <v>#N/A</v>
      </c>
    </row>
    <row r="4116" spans="1:40">
      <c r="A4116" s="1" t="s">
        <v>41</v>
      </c>
      <c r="B4116" s="1" t="s">
        <v>42</v>
      </c>
      <c r="C4116" s="1" t="s">
        <v>104</v>
      </c>
      <c r="D4116" s="1" t="s">
        <v>105</v>
      </c>
      <c r="E4116" s="1" t="s">
        <v>104</v>
      </c>
      <c r="F4116" s="1" t="s">
        <v>9438</v>
      </c>
      <c r="G4116" s="1" t="s">
        <v>9439</v>
      </c>
      <c r="H4116" s="1" t="s">
        <v>45</v>
      </c>
      <c r="I4116" s="1" t="s">
        <v>45</v>
      </c>
      <c r="J4116" s="1" t="s">
        <v>48</v>
      </c>
      <c r="K4116" s="1">
        <v>2</v>
      </c>
      <c r="L4116" s="1">
        <v>0</v>
      </c>
      <c r="M4116" s="1">
        <v>0</v>
      </c>
      <c r="N4116" s="1">
        <v>2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 t="s">
        <v>49</v>
      </c>
      <c r="AA4116" s="1" t="s">
        <v>49</v>
      </c>
      <c r="AB4116" s="1" t="s">
        <v>49</v>
      </c>
      <c r="AC4116" s="1" t="s">
        <v>6810</v>
      </c>
      <c r="AD4116" s="1" t="s">
        <v>6811</v>
      </c>
      <c r="AE4116" s="1" t="s">
        <v>6810</v>
      </c>
      <c r="AF4116" s="1" t="s">
        <v>49</v>
      </c>
      <c r="AG4116" s="1" t="s">
        <v>9096</v>
      </c>
      <c r="AH4116" s="1" t="s">
        <v>9089</v>
      </c>
      <c r="AI4116" s="1" t="s">
        <v>54</v>
      </c>
      <c r="AJ4116" s="1">
        <v>0</v>
      </c>
      <c r="AK4116" s="1" t="str">
        <f t="shared" si="64"/>
        <v xml:space="preserve"> =&lt;90</v>
      </c>
      <c r="AL4116" s="1" t="str">
        <f>VLOOKUP(C:C,[1]基础信息!B$1:D$65536,3,0)</f>
        <v>Jug</v>
      </c>
      <c r="AM4116" s="1" t="str">
        <f>VLOOKUP(C:C,[1]基础信息!B$1:E$65536,4,0)</f>
        <v>Marella XL</v>
      </c>
      <c r="AN4116" s="1" t="str">
        <f>VLOOKUP(C:C,[1]基础信息!B$1:F$65536,5,0)</f>
        <v>Blue</v>
      </c>
    </row>
    <row r="4117" spans="1:40">
      <c r="A4117" s="1" t="s">
        <v>41</v>
      </c>
      <c r="B4117" s="1" t="s">
        <v>42</v>
      </c>
      <c r="C4117" s="1" t="s">
        <v>56</v>
      </c>
      <c r="D4117" s="1" t="s">
        <v>57</v>
      </c>
      <c r="E4117" s="1" t="s">
        <v>45</v>
      </c>
      <c r="F4117" s="1" t="s">
        <v>9440</v>
      </c>
      <c r="G4117" s="1" t="s">
        <v>9439</v>
      </c>
      <c r="H4117" s="1" t="s">
        <v>45</v>
      </c>
      <c r="I4117" s="1" t="s">
        <v>45</v>
      </c>
      <c r="J4117" s="1" t="s">
        <v>48</v>
      </c>
      <c r="K4117" s="1">
        <v>12</v>
      </c>
      <c r="L4117" s="1">
        <v>0</v>
      </c>
      <c r="M4117" s="1">
        <v>0</v>
      </c>
      <c r="N4117" s="1">
        <v>12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 t="s">
        <v>49</v>
      </c>
      <c r="AA4117" s="1" t="s">
        <v>49</v>
      </c>
      <c r="AB4117" s="1" t="s">
        <v>49</v>
      </c>
      <c r="AC4117" s="1" t="s">
        <v>6810</v>
      </c>
      <c r="AD4117" s="1" t="s">
        <v>6811</v>
      </c>
      <c r="AE4117" s="1" t="s">
        <v>6810</v>
      </c>
      <c r="AF4117" s="1" t="s">
        <v>49</v>
      </c>
      <c r="AG4117" s="1" t="s">
        <v>9096</v>
      </c>
      <c r="AH4117" s="1" t="s">
        <v>9089</v>
      </c>
      <c r="AI4117" s="1" t="s">
        <v>54</v>
      </c>
      <c r="AJ4117" s="1">
        <v>0</v>
      </c>
      <c r="AK4117" s="1" t="str">
        <f t="shared" si="64"/>
        <v xml:space="preserve"> =&lt;90</v>
      </c>
      <c r="AL4117" s="1" t="str">
        <f>VLOOKUP(C:C,[1]基础信息!B$1:D$65536,3,0)</f>
        <v>Jug</v>
      </c>
      <c r="AM4117" s="1" t="str">
        <f>VLOOKUP(C:C,[1]基础信息!B$1:E$65536,4,0)</f>
        <v>Marella XL</v>
      </c>
      <c r="AN4117" s="1" t="str">
        <f>VLOOKUP(C:C,[1]基础信息!B$1:F$65536,5,0)</f>
        <v>Blue</v>
      </c>
    </row>
    <row r="4118" spans="1:40">
      <c r="A4118" s="1" t="s">
        <v>41</v>
      </c>
      <c r="B4118" s="1" t="s">
        <v>42</v>
      </c>
      <c r="C4118" s="1" t="s">
        <v>9441</v>
      </c>
      <c r="D4118" s="1" t="s">
        <v>9442</v>
      </c>
      <c r="E4118" s="1" t="s">
        <v>45</v>
      </c>
      <c r="F4118" s="1" t="s">
        <v>9443</v>
      </c>
      <c r="G4118" s="1" t="s">
        <v>9439</v>
      </c>
      <c r="H4118" s="1" t="s">
        <v>45</v>
      </c>
      <c r="I4118" s="1" t="s">
        <v>45</v>
      </c>
      <c r="J4118" s="1" t="s">
        <v>48</v>
      </c>
      <c r="K4118" s="1">
        <v>1</v>
      </c>
      <c r="L4118" s="1">
        <v>0</v>
      </c>
      <c r="M4118" s="1">
        <v>0</v>
      </c>
      <c r="N4118" s="1">
        <v>1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 t="s">
        <v>49</v>
      </c>
      <c r="AA4118" s="1" t="s">
        <v>49</v>
      </c>
      <c r="AB4118" s="1" t="s">
        <v>49</v>
      </c>
      <c r="AC4118" s="1" t="s">
        <v>6810</v>
      </c>
      <c r="AD4118" s="1" t="s">
        <v>6811</v>
      </c>
      <c r="AE4118" s="1" t="s">
        <v>6810</v>
      </c>
      <c r="AF4118" s="1" t="s">
        <v>49</v>
      </c>
      <c r="AG4118" s="1" t="s">
        <v>9096</v>
      </c>
      <c r="AH4118" s="1" t="s">
        <v>9089</v>
      </c>
      <c r="AI4118" s="1" t="s">
        <v>54</v>
      </c>
      <c r="AJ4118" s="1">
        <v>0</v>
      </c>
      <c r="AK4118" s="1" t="str">
        <f t="shared" si="64"/>
        <v xml:space="preserve"> =&lt;90</v>
      </c>
      <c r="AL4118" s="1" t="str">
        <f>VLOOKUP(C:C,[1]基础信息!B$1:D$65536,3,0)</f>
        <v>ON TAP</v>
      </c>
      <c r="AM4118" s="1" t="str">
        <f>VLOOKUP(C:C,[1]基础信息!B$1:E$65536,4,0)</f>
        <v>ON TAP</v>
      </c>
      <c r="AN4118" s="1" t="str">
        <f>VLOOKUP(C:C,[1]基础信息!B$1:F$65536,5,0)</f>
        <v>ON TAP</v>
      </c>
    </row>
    <row r="4119" spans="1:40">
      <c r="A4119" s="1" t="s">
        <v>41</v>
      </c>
      <c r="B4119" s="1" t="s">
        <v>42</v>
      </c>
      <c r="C4119" s="1" t="s">
        <v>240</v>
      </c>
      <c r="D4119" s="1" t="s">
        <v>241</v>
      </c>
      <c r="E4119" s="1" t="s">
        <v>45</v>
      </c>
      <c r="F4119" s="1" t="s">
        <v>9444</v>
      </c>
      <c r="G4119" s="1" t="s">
        <v>9439</v>
      </c>
      <c r="H4119" s="1" t="s">
        <v>45</v>
      </c>
      <c r="I4119" s="1" t="s">
        <v>45</v>
      </c>
      <c r="J4119" s="1" t="s">
        <v>48</v>
      </c>
      <c r="K4119" s="1">
        <v>1</v>
      </c>
      <c r="L4119" s="1">
        <v>0</v>
      </c>
      <c r="M4119" s="1">
        <v>0</v>
      </c>
      <c r="N4119" s="1">
        <v>1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 t="s">
        <v>49</v>
      </c>
      <c r="AA4119" s="1" t="s">
        <v>49</v>
      </c>
      <c r="AB4119" s="1" t="s">
        <v>49</v>
      </c>
      <c r="AC4119" s="1" t="s">
        <v>6810</v>
      </c>
      <c r="AD4119" s="1" t="s">
        <v>6811</v>
      </c>
      <c r="AE4119" s="1" t="s">
        <v>6810</v>
      </c>
      <c r="AF4119" s="1" t="s">
        <v>49</v>
      </c>
      <c r="AG4119" s="1" t="s">
        <v>9096</v>
      </c>
      <c r="AH4119" s="1" t="s">
        <v>9089</v>
      </c>
      <c r="AI4119" s="1" t="s">
        <v>54</v>
      </c>
      <c r="AJ4119" s="1">
        <v>0</v>
      </c>
      <c r="AK4119" s="1" t="str">
        <f t="shared" si="64"/>
        <v xml:space="preserve"> =&lt;90</v>
      </c>
      <c r="AL4119" s="1" t="str">
        <f>VLOOKUP(C:C,[1]基础信息!B$1:D$65536,3,0)</f>
        <v>UTS</v>
      </c>
      <c r="AM4119" s="1" t="str">
        <f>VLOOKUP(C:C,[1]基础信息!B$1:E$65536,4,0)</f>
        <v>MyPure Pro</v>
      </c>
      <c r="AN4119" s="1" t="str">
        <f>VLOOKUP(C:C,[1]基础信息!B$1:F$65536,5,0)</f>
        <v>X6</v>
      </c>
    </row>
    <row r="4120" spans="1:40">
      <c r="A4120" s="1" t="s">
        <v>41</v>
      </c>
      <c r="B4120" s="1" t="s">
        <v>42</v>
      </c>
      <c r="C4120" s="1" t="s">
        <v>9414</v>
      </c>
      <c r="D4120" s="1" t="s">
        <v>8191</v>
      </c>
      <c r="E4120" s="1" t="s">
        <v>45</v>
      </c>
      <c r="F4120" s="1" t="s">
        <v>9445</v>
      </c>
      <c r="G4120" s="1" t="s">
        <v>9439</v>
      </c>
      <c r="H4120" s="1" t="s">
        <v>45</v>
      </c>
      <c r="I4120" s="1" t="s">
        <v>45</v>
      </c>
      <c r="J4120" s="1" t="s">
        <v>48</v>
      </c>
      <c r="K4120" s="1">
        <v>2</v>
      </c>
      <c r="L4120" s="1">
        <v>0</v>
      </c>
      <c r="M4120" s="1">
        <v>0</v>
      </c>
      <c r="N4120" s="1">
        <v>2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 t="s">
        <v>49</v>
      </c>
      <c r="AA4120" s="1" t="s">
        <v>49</v>
      </c>
      <c r="AB4120" s="1" t="s">
        <v>49</v>
      </c>
      <c r="AC4120" s="1" t="s">
        <v>6810</v>
      </c>
      <c r="AD4120" s="1" t="s">
        <v>6811</v>
      </c>
      <c r="AE4120" s="1" t="s">
        <v>6810</v>
      </c>
      <c r="AF4120" s="1" t="s">
        <v>49</v>
      </c>
      <c r="AG4120" s="1" t="s">
        <v>9096</v>
      </c>
      <c r="AH4120" s="1" t="s">
        <v>9089</v>
      </c>
      <c r="AI4120" s="1" t="s">
        <v>54</v>
      </c>
      <c r="AJ4120" s="1">
        <v>0</v>
      </c>
      <c r="AK4120" s="1" t="str">
        <f t="shared" si="64"/>
        <v xml:space="preserve"> =&lt;90</v>
      </c>
      <c r="AL4120" s="1" t="str">
        <f>VLOOKUP(C:C,[1]基础信息!B$1:D$65536,3,0)</f>
        <v xml:space="preserve">Cartridge </v>
      </c>
      <c r="AM4120" s="1" t="str">
        <f>VLOOKUP(C:C,[1]基础信息!B$1:E$65536,4,0)</f>
        <v>LM</v>
      </c>
      <c r="AN4120" s="1" t="str">
        <f>VLOOKUP(C:C,[1]基础信息!B$1:F$65536,5,0)</f>
        <v>P6</v>
      </c>
    </row>
    <row r="4121" spans="1:40">
      <c r="A4121" s="1" t="s">
        <v>41</v>
      </c>
      <c r="B4121" s="1" t="s">
        <v>42</v>
      </c>
      <c r="C4121" s="1" t="s">
        <v>3512</v>
      </c>
      <c r="D4121" s="1" t="s">
        <v>3513</v>
      </c>
      <c r="E4121" s="1" t="s">
        <v>45</v>
      </c>
      <c r="F4121" s="1" t="s">
        <v>9446</v>
      </c>
      <c r="G4121" s="1" t="s">
        <v>9439</v>
      </c>
      <c r="H4121" s="1" t="s">
        <v>45</v>
      </c>
      <c r="I4121" s="1" t="s">
        <v>45</v>
      </c>
      <c r="J4121" s="1" t="s">
        <v>48</v>
      </c>
      <c r="K4121" s="1">
        <v>4</v>
      </c>
      <c r="L4121" s="1">
        <v>0</v>
      </c>
      <c r="M4121" s="1">
        <v>0</v>
      </c>
      <c r="N4121" s="1">
        <v>4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 t="s">
        <v>49</v>
      </c>
      <c r="AA4121" s="1" t="s">
        <v>49</v>
      </c>
      <c r="AB4121" s="1" t="s">
        <v>49</v>
      </c>
      <c r="AC4121" s="1" t="s">
        <v>6810</v>
      </c>
      <c r="AD4121" s="1" t="s">
        <v>6811</v>
      </c>
      <c r="AE4121" s="1" t="s">
        <v>6810</v>
      </c>
      <c r="AF4121" s="1" t="s">
        <v>49</v>
      </c>
      <c r="AG4121" s="1" t="s">
        <v>6921</v>
      </c>
      <c r="AH4121" s="1" t="s">
        <v>9089</v>
      </c>
      <c r="AI4121" s="1" t="s">
        <v>54</v>
      </c>
      <c r="AJ4121" s="1">
        <v>0</v>
      </c>
      <c r="AK4121" s="1" t="str">
        <f t="shared" si="64"/>
        <v xml:space="preserve"> =&lt;90</v>
      </c>
      <c r="AL4121" s="1" t="str">
        <f>VLOOKUP(C:C,[1]基础信息!B$1:D$65536,3,0)</f>
        <v xml:space="preserve">Cartridge </v>
      </c>
      <c r="AM4121" s="1" t="str">
        <f>VLOOKUP(C:C,[1]基础信息!B$1:E$65536,4,0)</f>
        <v>UNIV</v>
      </c>
      <c r="AN4121" s="1" t="str">
        <f>VLOOKUP(C:C,[1]基础信息!B$1:F$65536,5,0)</f>
        <v>P3</v>
      </c>
    </row>
    <row r="4122" spans="1:40">
      <c r="A4122" s="1" t="s">
        <v>41</v>
      </c>
      <c r="B4122" s="1" t="s">
        <v>42</v>
      </c>
      <c r="C4122" s="1" t="s">
        <v>4253</v>
      </c>
      <c r="D4122" s="1" t="s">
        <v>4254</v>
      </c>
      <c r="E4122" s="1" t="s">
        <v>45</v>
      </c>
      <c r="F4122" s="1" t="s">
        <v>9447</v>
      </c>
      <c r="G4122" s="1" t="s">
        <v>9439</v>
      </c>
      <c r="H4122" s="1" t="s">
        <v>45</v>
      </c>
      <c r="I4122" s="1" t="s">
        <v>45</v>
      </c>
      <c r="J4122" s="1" t="s">
        <v>48</v>
      </c>
      <c r="K4122" s="1">
        <v>25</v>
      </c>
      <c r="L4122" s="1">
        <v>0</v>
      </c>
      <c r="M4122" s="1">
        <v>0</v>
      </c>
      <c r="N4122" s="1">
        <v>25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 t="s">
        <v>49</v>
      </c>
      <c r="AA4122" s="1" t="s">
        <v>49</v>
      </c>
      <c r="AB4122" s="1" t="s">
        <v>49</v>
      </c>
      <c r="AC4122" s="1" t="s">
        <v>6810</v>
      </c>
      <c r="AD4122" s="1" t="s">
        <v>6811</v>
      </c>
      <c r="AE4122" s="1" t="s">
        <v>6810</v>
      </c>
      <c r="AF4122" s="1" t="s">
        <v>49</v>
      </c>
      <c r="AG4122" s="1" t="s">
        <v>6921</v>
      </c>
      <c r="AH4122" s="1" t="s">
        <v>9089</v>
      </c>
      <c r="AI4122" s="1" t="s">
        <v>54</v>
      </c>
      <c r="AJ4122" s="1">
        <v>0</v>
      </c>
      <c r="AK4122" s="1" t="str">
        <f t="shared" si="64"/>
        <v xml:space="preserve"> =&lt;90</v>
      </c>
      <c r="AL4122" s="1" t="str">
        <f>VLOOKUP(C:C,[1]基础信息!B$1:D$65536,3,0)</f>
        <v xml:space="preserve">Cartridge </v>
      </c>
      <c r="AM4122" s="1" t="str">
        <f>VLOOKUP(C:C,[1]基础信息!B$1:E$65536,4,0)</f>
        <v>UNIV</v>
      </c>
      <c r="AN4122" s="1" t="str">
        <f>VLOOKUP(C:C,[1]基础信息!B$1:F$65536,5,0)</f>
        <v>P6</v>
      </c>
    </row>
    <row r="4123" spans="1:40">
      <c r="A4123" s="1" t="s">
        <v>41</v>
      </c>
      <c r="B4123" s="1" t="s">
        <v>42</v>
      </c>
      <c r="C4123" s="1" t="s">
        <v>7852</v>
      </c>
      <c r="D4123" s="1" t="s">
        <v>7853</v>
      </c>
      <c r="E4123" s="1" t="s">
        <v>45</v>
      </c>
      <c r="F4123" s="1" t="s">
        <v>9448</v>
      </c>
      <c r="G4123" s="1" t="s">
        <v>9439</v>
      </c>
      <c r="H4123" s="1" t="s">
        <v>45</v>
      </c>
      <c r="I4123" s="1" t="s">
        <v>45</v>
      </c>
      <c r="J4123" s="1" t="s">
        <v>48</v>
      </c>
      <c r="K4123" s="1">
        <v>1</v>
      </c>
      <c r="L4123" s="1">
        <v>0</v>
      </c>
      <c r="M4123" s="1">
        <v>0</v>
      </c>
      <c r="N4123" s="1">
        <v>1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 t="s">
        <v>49</v>
      </c>
      <c r="AA4123" s="1" t="s">
        <v>49</v>
      </c>
      <c r="AB4123" s="1" t="s">
        <v>49</v>
      </c>
      <c r="AC4123" s="1" t="s">
        <v>6810</v>
      </c>
      <c r="AD4123" s="1" t="s">
        <v>6811</v>
      </c>
      <c r="AE4123" s="1" t="s">
        <v>6810</v>
      </c>
      <c r="AF4123" s="1" t="s">
        <v>49</v>
      </c>
      <c r="AG4123" s="1" t="s">
        <v>6921</v>
      </c>
      <c r="AH4123" s="1" t="s">
        <v>9089</v>
      </c>
      <c r="AI4123" s="1" t="s">
        <v>54</v>
      </c>
      <c r="AJ4123" s="1">
        <v>0</v>
      </c>
      <c r="AK4123" s="1" t="str">
        <f t="shared" ref="AK4123:AK4186" si="65">IF(AJ4123&gt;$AP$2,$AQ$2,IF(AJ4123&gt;$AP$3,$AQ$3,IF(AJ4123&gt;$AP$4,$AQ$4,$AQ$5)))</f>
        <v xml:space="preserve"> =&lt;90</v>
      </c>
      <c r="AL4123" s="1" t="str">
        <f>VLOOKUP(C:C,[1]基础信息!B$1:D$65536,3,0)</f>
        <v xml:space="preserve">Cartridge </v>
      </c>
      <c r="AM4123" s="1" t="str">
        <f>VLOOKUP(C:C,[1]基础信息!B$1:E$65536,4,0)</f>
        <v>LM</v>
      </c>
      <c r="AN4123" s="1" t="str">
        <f>VLOOKUP(C:C,[1]基础信息!B$1:F$65536,5,0)</f>
        <v>P3</v>
      </c>
    </row>
    <row r="4124" spans="1:40">
      <c r="A4124" s="1" t="s">
        <v>41</v>
      </c>
      <c r="B4124" s="1" t="s">
        <v>42</v>
      </c>
      <c r="C4124" s="1" t="s">
        <v>4352</v>
      </c>
      <c r="D4124" s="1" t="s">
        <v>4353</v>
      </c>
      <c r="E4124" s="1" t="s">
        <v>45</v>
      </c>
      <c r="F4124" s="1" t="s">
        <v>9449</v>
      </c>
      <c r="G4124" s="1" t="s">
        <v>9439</v>
      </c>
      <c r="H4124" s="1" t="s">
        <v>45</v>
      </c>
      <c r="I4124" s="1" t="s">
        <v>45</v>
      </c>
      <c r="J4124" s="1" t="s">
        <v>48</v>
      </c>
      <c r="K4124" s="1">
        <v>18</v>
      </c>
      <c r="L4124" s="1">
        <v>0</v>
      </c>
      <c r="M4124" s="1">
        <v>0</v>
      </c>
      <c r="N4124" s="1">
        <v>18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 t="s">
        <v>49</v>
      </c>
      <c r="AA4124" s="1" t="s">
        <v>49</v>
      </c>
      <c r="AB4124" s="1" t="s">
        <v>49</v>
      </c>
      <c r="AC4124" s="1" t="s">
        <v>6810</v>
      </c>
      <c r="AD4124" s="1" t="s">
        <v>6811</v>
      </c>
      <c r="AE4124" s="1" t="s">
        <v>6810</v>
      </c>
      <c r="AF4124" s="1" t="s">
        <v>49</v>
      </c>
      <c r="AG4124" s="1" t="s">
        <v>6921</v>
      </c>
      <c r="AH4124" s="1" t="s">
        <v>9089</v>
      </c>
      <c r="AI4124" s="1" t="s">
        <v>54</v>
      </c>
      <c r="AJ4124" s="1">
        <v>1</v>
      </c>
      <c r="AK4124" s="1" t="str">
        <f t="shared" si="65"/>
        <v xml:space="preserve"> =&lt;90</v>
      </c>
      <c r="AL4124" s="1" t="e">
        <f>VLOOKUP(C:C,[1]基础信息!B$1:D$65536,3,0)</f>
        <v>#N/A</v>
      </c>
      <c r="AM4124" s="1" t="e">
        <f>VLOOKUP(C:C,[1]基础信息!B$1:E$65536,4,0)</f>
        <v>#N/A</v>
      </c>
      <c r="AN4124" s="1" t="e">
        <f>VLOOKUP(C:C,[1]基础信息!B$1:F$65536,5,0)</f>
        <v>#N/A</v>
      </c>
    </row>
    <row r="4125" spans="1:40">
      <c r="A4125" s="1" t="s">
        <v>41</v>
      </c>
      <c r="B4125" s="1" t="s">
        <v>42</v>
      </c>
      <c r="C4125" s="1" t="s">
        <v>3601</v>
      </c>
      <c r="D4125" s="1" t="s">
        <v>3602</v>
      </c>
      <c r="E4125" s="1" t="s">
        <v>45</v>
      </c>
      <c r="F4125" s="1" t="s">
        <v>9450</v>
      </c>
      <c r="G4125" s="1" t="s">
        <v>9451</v>
      </c>
      <c r="H4125" s="1" t="s">
        <v>45</v>
      </c>
      <c r="I4125" s="1" t="s">
        <v>45</v>
      </c>
      <c r="J4125" s="1" t="s">
        <v>48</v>
      </c>
      <c r="K4125" s="1">
        <v>30</v>
      </c>
      <c r="L4125" s="1">
        <v>0</v>
      </c>
      <c r="M4125" s="1">
        <v>0</v>
      </c>
      <c r="N4125" s="1">
        <v>30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 t="s">
        <v>49</v>
      </c>
      <c r="AA4125" s="1" t="s">
        <v>49</v>
      </c>
      <c r="AB4125" s="1" t="s">
        <v>49</v>
      </c>
      <c r="AC4125" s="1" t="s">
        <v>1551</v>
      </c>
      <c r="AD4125" s="1" t="s">
        <v>1552</v>
      </c>
      <c r="AE4125" s="1" t="s">
        <v>1551</v>
      </c>
      <c r="AF4125" s="1" t="s">
        <v>5295</v>
      </c>
      <c r="AG4125" s="1" t="s">
        <v>7556</v>
      </c>
      <c r="AH4125" s="1" t="s">
        <v>49</v>
      </c>
      <c r="AI4125" s="1" t="s">
        <v>54</v>
      </c>
      <c r="AJ4125" s="1">
        <v>1</v>
      </c>
      <c r="AK4125" s="1" t="str">
        <f t="shared" si="65"/>
        <v xml:space="preserve"> =&lt;90</v>
      </c>
      <c r="AL4125" s="1" t="e">
        <f>VLOOKUP(C:C,[1]基础信息!B$1:D$65536,3,0)</f>
        <v>#N/A</v>
      </c>
      <c r="AM4125" s="1" t="e">
        <f>VLOOKUP(C:C,[1]基础信息!B$1:E$65536,4,0)</f>
        <v>#N/A</v>
      </c>
      <c r="AN4125" s="1" t="e">
        <f>VLOOKUP(C:C,[1]基础信息!B$1:F$65536,5,0)</f>
        <v>#N/A</v>
      </c>
    </row>
    <row r="4126" spans="1:40">
      <c r="A4126" s="1" t="s">
        <v>41</v>
      </c>
      <c r="B4126" s="1" t="s">
        <v>42</v>
      </c>
      <c r="C4126" s="1" t="s">
        <v>451</v>
      </c>
      <c r="D4126" s="1" t="s">
        <v>452</v>
      </c>
      <c r="E4126" s="1" t="s">
        <v>45</v>
      </c>
      <c r="F4126" s="1" t="s">
        <v>9452</v>
      </c>
      <c r="G4126" s="1" t="s">
        <v>9453</v>
      </c>
      <c r="H4126" s="1" t="s">
        <v>45</v>
      </c>
      <c r="I4126" s="1" t="s">
        <v>45</v>
      </c>
      <c r="J4126" s="1" t="s">
        <v>48</v>
      </c>
      <c r="K4126" s="1">
        <v>2</v>
      </c>
      <c r="L4126" s="1">
        <v>0</v>
      </c>
      <c r="M4126" s="1">
        <v>0</v>
      </c>
      <c r="N4126" s="1">
        <v>2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 t="s">
        <v>49</v>
      </c>
      <c r="AA4126" s="1" t="s">
        <v>49</v>
      </c>
      <c r="AB4126" s="1" t="s">
        <v>49</v>
      </c>
      <c r="AC4126" s="1" t="s">
        <v>727</v>
      </c>
      <c r="AD4126" s="1" t="s">
        <v>728</v>
      </c>
      <c r="AE4126" s="1" t="s">
        <v>727</v>
      </c>
      <c r="AF4126" s="1" t="s">
        <v>49</v>
      </c>
      <c r="AG4126" s="1" t="s">
        <v>7747</v>
      </c>
      <c r="AH4126" s="1" t="s">
        <v>9089</v>
      </c>
      <c r="AI4126" s="1" t="s">
        <v>54</v>
      </c>
      <c r="AJ4126" s="1">
        <v>1</v>
      </c>
      <c r="AK4126" s="1" t="str">
        <f t="shared" si="65"/>
        <v xml:space="preserve"> =&lt;90</v>
      </c>
      <c r="AL4126" s="1" t="str">
        <f>VLOOKUP(C:C,[1]基础信息!B$1:D$65536,3,0)</f>
        <v>UTS</v>
      </c>
      <c r="AM4126" s="1" t="str">
        <f>VLOOKUP(C:C,[1]基础信息!B$1:E$65536,4,0)</f>
        <v>MyPure</v>
      </c>
      <c r="AN4126" s="1" t="str">
        <f>VLOOKUP(C:C,[1]基础信息!B$1:F$65536,5,0)</f>
        <v>R8</v>
      </c>
    </row>
    <row r="4127" spans="1:40">
      <c r="A4127" s="1" t="s">
        <v>41</v>
      </c>
      <c r="B4127" s="1" t="s">
        <v>42</v>
      </c>
      <c r="C4127" s="1" t="s">
        <v>3512</v>
      </c>
      <c r="D4127" s="1" t="s">
        <v>3513</v>
      </c>
      <c r="E4127" s="1" t="s">
        <v>45</v>
      </c>
      <c r="F4127" s="1" t="s">
        <v>9454</v>
      </c>
      <c r="G4127" s="1" t="s">
        <v>9455</v>
      </c>
      <c r="H4127" s="1" t="s">
        <v>45</v>
      </c>
      <c r="I4127" s="1" t="s">
        <v>45</v>
      </c>
      <c r="J4127" s="1" t="s">
        <v>48</v>
      </c>
      <c r="K4127" s="1">
        <v>9</v>
      </c>
      <c r="L4127" s="1">
        <v>0</v>
      </c>
      <c r="M4127" s="1">
        <v>0</v>
      </c>
      <c r="N4127" s="1">
        <v>9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 t="s">
        <v>49</v>
      </c>
      <c r="AA4127" s="1" t="s">
        <v>49</v>
      </c>
      <c r="AB4127" s="1" t="s">
        <v>49</v>
      </c>
      <c r="AC4127" s="1" t="s">
        <v>7548</v>
      </c>
      <c r="AD4127" s="1" t="s">
        <v>7549</v>
      </c>
      <c r="AE4127" s="1" t="s">
        <v>7548</v>
      </c>
      <c r="AF4127" s="1" t="s">
        <v>9001</v>
      </c>
      <c r="AG4127" s="1" t="s">
        <v>1952</v>
      </c>
      <c r="AH4127" s="1" t="s">
        <v>49</v>
      </c>
      <c r="AI4127" s="1" t="s">
        <v>54</v>
      </c>
      <c r="AJ4127" s="1">
        <v>1</v>
      </c>
      <c r="AK4127" s="1" t="str">
        <f t="shared" si="65"/>
        <v xml:space="preserve"> =&lt;90</v>
      </c>
      <c r="AL4127" s="1" t="str">
        <f>VLOOKUP(C:C,[1]基础信息!B$1:D$65536,3,0)</f>
        <v xml:space="preserve">Cartridge </v>
      </c>
      <c r="AM4127" s="1" t="str">
        <f>VLOOKUP(C:C,[1]基础信息!B$1:E$65536,4,0)</f>
        <v>UNIV</v>
      </c>
      <c r="AN4127" s="1" t="str">
        <f>VLOOKUP(C:C,[1]基础信息!B$1:F$65536,5,0)</f>
        <v>P3</v>
      </c>
    </row>
    <row r="4128" spans="1:40">
      <c r="A4128" s="1" t="s">
        <v>41</v>
      </c>
      <c r="B4128" s="1" t="s">
        <v>42</v>
      </c>
      <c r="C4128" s="1" t="s">
        <v>8107</v>
      </c>
      <c r="D4128" s="1" t="s">
        <v>8108</v>
      </c>
      <c r="E4128" s="1" t="s">
        <v>45</v>
      </c>
      <c r="F4128" s="1" t="s">
        <v>9456</v>
      </c>
      <c r="G4128" s="1" t="s">
        <v>9457</v>
      </c>
      <c r="H4128" s="1" t="s">
        <v>45</v>
      </c>
      <c r="I4128" s="1" t="s">
        <v>45</v>
      </c>
      <c r="J4128" s="1" t="s">
        <v>48</v>
      </c>
      <c r="K4128" s="1">
        <v>7</v>
      </c>
      <c r="L4128" s="1">
        <v>0</v>
      </c>
      <c r="M4128" s="1">
        <v>0</v>
      </c>
      <c r="N4128" s="1">
        <v>7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 t="s">
        <v>49</v>
      </c>
      <c r="AA4128" s="1" t="s">
        <v>49</v>
      </c>
      <c r="AB4128" s="1" t="s">
        <v>49</v>
      </c>
      <c r="AC4128" s="1" t="s">
        <v>4660</v>
      </c>
      <c r="AD4128" s="1" t="s">
        <v>4661</v>
      </c>
      <c r="AE4128" s="1" t="s">
        <v>4660</v>
      </c>
      <c r="AF4128" s="1" t="s">
        <v>49</v>
      </c>
      <c r="AG4128" s="1" t="s">
        <v>3464</v>
      </c>
      <c r="AH4128" s="1" t="s">
        <v>49</v>
      </c>
      <c r="AI4128" s="1" t="s">
        <v>54</v>
      </c>
      <c r="AJ4128" s="1">
        <v>0</v>
      </c>
      <c r="AK4128" s="1" t="str">
        <f t="shared" si="65"/>
        <v xml:space="preserve"> =&lt;90</v>
      </c>
      <c r="AL4128" s="1" t="str">
        <f>VLOOKUP(C:C,[1]基础信息!B$1:D$65536,3,0)</f>
        <v>Jug</v>
      </c>
      <c r="AM4128" s="1" t="str">
        <f>VLOOKUP(C:C,[1]基础信息!B$1:E$65536,4,0)</f>
        <v>Style</v>
      </c>
      <c r="AN4128" s="1" t="str">
        <f>VLOOKUP(C:C,[1]基础信息!B$1:F$65536,5,0)</f>
        <v>Lime</v>
      </c>
    </row>
    <row r="4129" spans="1:40">
      <c r="A4129" s="1" t="s">
        <v>41</v>
      </c>
      <c r="B4129" s="1" t="s">
        <v>42</v>
      </c>
      <c r="C4129" s="1" t="s">
        <v>9458</v>
      </c>
      <c r="D4129" s="1" t="s">
        <v>9459</v>
      </c>
      <c r="E4129" s="1" t="s">
        <v>9458</v>
      </c>
      <c r="F4129" s="1" t="s">
        <v>9460</v>
      </c>
      <c r="G4129" s="1" t="s">
        <v>9457</v>
      </c>
      <c r="H4129" s="1" t="s">
        <v>45</v>
      </c>
      <c r="I4129" s="1" t="s">
        <v>45</v>
      </c>
      <c r="J4129" s="1" t="s">
        <v>48</v>
      </c>
      <c r="K4129" s="1">
        <v>5</v>
      </c>
      <c r="L4129" s="1">
        <v>0</v>
      </c>
      <c r="M4129" s="1">
        <v>0</v>
      </c>
      <c r="N4129" s="1">
        <v>5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 t="s">
        <v>49</v>
      </c>
      <c r="AA4129" s="1" t="s">
        <v>49</v>
      </c>
      <c r="AB4129" s="1" t="s">
        <v>49</v>
      </c>
      <c r="AC4129" s="1" t="s">
        <v>4660</v>
      </c>
      <c r="AD4129" s="1" t="s">
        <v>4661</v>
      </c>
      <c r="AE4129" s="1" t="s">
        <v>4660</v>
      </c>
      <c r="AF4129" s="1" t="s">
        <v>49</v>
      </c>
      <c r="AG4129" s="1" t="s">
        <v>6921</v>
      </c>
      <c r="AH4129" s="1" t="s">
        <v>49</v>
      </c>
      <c r="AI4129" s="1" t="s">
        <v>54</v>
      </c>
      <c r="AJ4129" s="1">
        <v>1</v>
      </c>
      <c r="AK4129" s="1" t="str">
        <f t="shared" si="65"/>
        <v xml:space="preserve"> =&lt;90</v>
      </c>
      <c r="AL4129" s="1" t="str">
        <f>VLOOKUP(C:C,[1]基础信息!B$1:D$65536,3,0)</f>
        <v>Jug</v>
      </c>
      <c r="AM4129" s="1" t="str">
        <f>VLOOKUP(C:C,[1]基础信息!B$1:E$65536,4,0)</f>
        <v>Elemaris</v>
      </c>
      <c r="AN4129" s="1" t="str">
        <f>VLOOKUP(C:C,[1]基础信息!B$1:F$65536,5,0)</f>
        <v>Black</v>
      </c>
    </row>
    <row r="4130" spans="1:40">
      <c r="A4130" s="1" t="s">
        <v>41</v>
      </c>
      <c r="B4130" s="1" t="s">
        <v>42</v>
      </c>
      <c r="C4130" s="1" t="s">
        <v>9461</v>
      </c>
      <c r="D4130" s="1" t="s">
        <v>9462</v>
      </c>
      <c r="E4130" s="1" t="s">
        <v>45</v>
      </c>
      <c r="F4130" s="1" t="s">
        <v>9463</v>
      </c>
      <c r="G4130" s="1" t="s">
        <v>9464</v>
      </c>
      <c r="H4130" s="1" t="s">
        <v>45</v>
      </c>
      <c r="I4130" s="1" t="s">
        <v>45</v>
      </c>
      <c r="J4130" s="1" t="s">
        <v>48</v>
      </c>
      <c r="K4130" s="1">
        <v>5</v>
      </c>
      <c r="L4130" s="1">
        <v>0</v>
      </c>
      <c r="M4130" s="1">
        <v>0</v>
      </c>
      <c r="N4130" s="1">
        <v>5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 t="s">
        <v>49</v>
      </c>
      <c r="AA4130" s="1" t="s">
        <v>49</v>
      </c>
      <c r="AB4130" s="1" t="s">
        <v>49</v>
      </c>
      <c r="AC4130" s="1" t="s">
        <v>9465</v>
      </c>
      <c r="AD4130" s="1" t="s">
        <v>9466</v>
      </c>
      <c r="AE4130" s="1" t="s">
        <v>9465</v>
      </c>
      <c r="AF4130" s="1" t="s">
        <v>49</v>
      </c>
      <c r="AG4130" s="1" t="s">
        <v>8984</v>
      </c>
      <c r="AH4130" s="1" t="s">
        <v>49</v>
      </c>
      <c r="AI4130" s="1" t="s">
        <v>54</v>
      </c>
      <c r="AJ4130" s="1">
        <v>1</v>
      </c>
      <c r="AK4130" s="1" t="str">
        <f t="shared" si="65"/>
        <v xml:space="preserve"> =&lt;90</v>
      </c>
      <c r="AL4130" s="1" t="str">
        <f>VLOOKUP(C:C,[1]基础信息!B$1:D$65536,3,0)</f>
        <v>Jug</v>
      </c>
      <c r="AM4130" s="1" t="str">
        <f>VLOOKUP(C:C,[1]基础信息!B$1:E$65536,4,0)</f>
        <v>Style</v>
      </c>
      <c r="AN4130" s="1" t="str">
        <f>VLOOKUP(C:C,[1]基础信息!B$1:F$65536,5,0)</f>
        <v>Blue</v>
      </c>
    </row>
    <row r="4131" spans="1:40">
      <c r="A4131" s="1" t="s">
        <v>41</v>
      </c>
      <c r="B4131" s="1" t="s">
        <v>42</v>
      </c>
      <c r="C4131" s="1" t="s">
        <v>1437</v>
      </c>
      <c r="D4131" s="1" t="s">
        <v>1438</v>
      </c>
      <c r="E4131" s="1" t="s">
        <v>45</v>
      </c>
      <c r="F4131" s="1" t="s">
        <v>9432</v>
      </c>
      <c r="G4131" s="1" t="s">
        <v>9467</v>
      </c>
      <c r="H4131" s="1" t="s">
        <v>45</v>
      </c>
      <c r="I4131" s="1" t="s">
        <v>45</v>
      </c>
      <c r="J4131" s="1" t="s">
        <v>48</v>
      </c>
      <c r="K4131" s="1">
        <v>370</v>
      </c>
      <c r="L4131" s="1">
        <v>0</v>
      </c>
      <c r="M4131" s="1">
        <v>0</v>
      </c>
      <c r="N4131" s="1">
        <v>370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 t="s">
        <v>49</v>
      </c>
      <c r="AA4131" s="1" t="s">
        <v>49</v>
      </c>
      <c r="AB4131" s="1" t="s">
        <v>49</v>
      </c>
      <c r="AC4131" s="1" t="s">
        <v>144</v>
      </c>
      <c r="AD4131" s="1" t="s">
        <v>145</v>
      </c>
      <c r="AE4131" s="1" t="s">
        <v>144</v>
      </c>
      <c r="AF4131" s="1" t="s">
        <v>49</v>
      </c>
      <c r="AG4131" s="1" t="s">
        <v>3464</v>
      </c>
      <c r="AH4131" s="1" t="s">
        <v>49</v>
      </c>
      <c r="AI4131" s="1" t="s">
        <v>54</v>
      </c>
      <c r="AJ4131" s="1">
        <v>1</v>
      </c>
      <c r="AK4131" s="1" t="str">
        <f t="shared" si="65"/>
        <v xml:space="preserve"> =&lt;90</v>
      </c>
      <c r="AL4131" s="1" t="str">
        <f>VLOOKUP(C:C,[1]基础信息!B$1:D$65536,3,0)</f>
        <v>On tap</v>
      </c>
      <c r="AM4131" s="1" t="str">
        <f>VLOOKUP(C:C,[1]基础信息!B$1:E$65536,4,0)</f>
        <v>On tap</v>
      </c>
      <c r="AN4131" s="1" t="str">
        <f>VLOOKUP(C:C,[1]基础信息!B$1:F$65536,5,0)</f>
        <v>On tap</v>
      </c>
    </row>
    <row r="4132" spans="1:40">
      <c r="A4132" s="1" t="s">
        <v>41</v>
      </c>
      <c r="B4132" s="1" t="s">
        <v>42</v>
      </c>
      <c r="C4132" s="1" t="s">
        <v>5154</v>
      </c>
      <c r="D4132" s="1" t="s">
        <v>5155</v>
      </c>
      <c r="E4132" s="1" t="s">
        <v>45</v>
      </c>
      <c r="F4132" s="1" t="s">
        <v>9468</v>
      </c>
      <c r="G4132" s="1" t="s">
        <v>9469</v>
      </c>
      <c r="H4132" s="1" t="s">
        <v>45</v>
      </c>
      <c r="I4132" s="1" t="s">
        <v>49</v>
      </c>
      <c r="J4132" s="1" t="s">
        <v>48</v>
      </c>
      <c r="K4132" s="1">
        <v>46</v>
      </c>
      <c r="L4132" s="1">
        <v>0</v>
      </c>
      <c r="M4132" s="1">
        <v>0</v>
      </c>
      <c r="N4132" s="1">
        <v>46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 t="s">
        <v>49</v>
      </c>
      <c r="AA4132" s="1" t="s">
        <v>49</v>
      </c>
      <c r="AB4132" s="1" t="s">
        <v>49</v>
      </c>
      <c r="AC4132" s="1" t="s">
        <v>61</v>
      </c>
      <c r="AD4132" s="1" t="s">
        <v>62</v>
      </c>
      <c r="AE4132" s="1" t="s">
        <v>7540</v>
      </c>
      <c r="AF4132" s="1" t="s">
        <v>9470</v>
      </c>
      <c r="AG4132" s="1" t="s">
        <v>7556</v>
      </c>
      <c r="AH4132" s="1" t="s">
        <v>49</v>
      </c>
      <c r="AI4132" s="1" t="s">
        <v>54</v>
      </c>
      <c r="AJ4132" s="1">
        <v>1</v>
      </c>
      <c r="AK4132" s="1" t="str">
        <f t="shared" si="65"/>
        <v xml:space="preserve"> =&lt;90</v>
      </c>
      <c r="AL4132" s="1" t="e">
        <f>VLOOKUP(C:C,[1]基础信息!B$1:D$65536,3,0)</f>
        <v>#N/A</v>
      </c>
      <c r="AM4132" s="1" t="e">
        <f>VLOOKUP(C:C,[1]基础信息!B$1:E$65536,4,0)</f>
        <v>#N/A</v>
      </c>
      <c r="AN4132" s="1" t="e">
        <f>VLOOKUP(C:C,[1]基础信息!B$1:F$65536,5,0)</f>
        <v>#N/A</v>
      </c>
    </row>
    <row r="4133" spans="1:40">
      <c r="A4133" s="1" t="s">
        <v>41</v>
      </c>
      <c r="B4133" s="1" t="s">
        <v>42</v>
      </c>
      <c r="C4133" s="1" t="s">
        <v>4342</v>
      </c>
      <c r="D4133" s="1" t="s">
        <v>4343</v>
      </c>
      <c r="E4133" s="1" t="s">
        <v>45</v>
      </c>
      <c r="F4133" s="1" t="s">
        <v>9471</v>
      </c>
      <c r="G4133" s="1" t="s">
        <v>9472</v>
      </c>
      <c r="H4133" s="1" t="s">
        <v>45</v>
      </c>
      <c r="I4133" s="1" t="s">
        <v>45</v>
      </c>
      <c r="J4133" s="1" t="s">
        <v>48</v>
      </c>
      <c r="K4133" s="1">
        <v>4</v>
      </c>
      <c r="L4133" s="1">
        <v>0</v>
      </c>
      <c r="M4133" s="1">
        <v>0</v>
      </c>
      <c r="N4133" s="1">
        <v>4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 t="s">
        <v>49</v>
      </c>
      <c r="AA4133" s="1" t="s">
        <v>49</v>
      </c>
      <c r="AB4133" s="1" t="s">
        <v>49</v>
      </c>
      <c r="AC4133" s="1" t="s">
        <v>144</v>
      </c>
      <c r="AD4133" s="1" t="s">
        <v>145</v>
      </c>
      <c r="AE4133" s="1" t="s">
        <v>144</v>
      </c>
      <c r="AF4133" s="1" t="s">
        <v>49</v>
      </c>
      <c r="AG4133" s="1" t="s">
        <v>3464</v>
      </c>
      <c r="AH4133" s="1" t="s">
        <v>49</v>
      </c>
      <c r="AI4133" s="1" t="s">
        <v>54</v>
      </c>
      <c r="AJ4133" s="1">
        <v>0</v>
      </c>
      <c r="AK4133" s="1" t="str">
        <f t="shared" si="65"/>
        <v xml:space="preserve"> =&lt;90</v>
      </c>
      <c r="AL4133" s="1" t="e">
        <f>VLOOKUP(C:C,[1]基础信息!B$1:D$65536,3,0)</f>
        <v>#N/A</v>
      </c>
      <c r="AM4133" s="1" t="e">
        <f>VLOOKUP(C:C,[1]基础信息!B$1:E$65536,4,0)</f>
        <v>#N/A</v>
      </c>
      <c r="AN4133" s="1" t="e">
        <f>VLOOKUP(C:C,[1]基础信息!B$1:F$65536,5,0)</f>
        <v>#N/A</v>
      </c>
    </row>
    <row r="4134" spans="1:40">
      <c r="A4134" s="1" t="s">
        <v>41</v>
      </c>
      <c r="B4134" s="1" t="s">
        <v>42</v>
      </c>
      <c r="C4134" s="1" t="s">
        <v>6806</v>
      </c>
      <c r="D4134" s="1" t="s">
        <v>6807</v>
      </c>
      <c r="E4134" s="1" t="s">
        <v>45</v>
      </c>
      <c r="F4134" s="1" t="s">
        <v>9473</v>
      </c>
      <c r="G4134" s="1" t="s">
        <v>9472</v>
      </c>
      <c r="H4134" s="1" t="s">
        <v>45</v>
      </c>
      <c r="I4134" s="1" t="s">
        <v>45</v>
      </c>
      <c r="J4134" s="1" t="s">
        <v>48</v>
      </c>
      <c r="K4134" s="1">
        <v>20</v>
      </c>
      <c r="L4134" s="1">
        <v>0</v>
      </c>
      <c r="M4134" s="1">
        <v>0</v>
      </c>
      <c r="N4134" s="1">
        <v>20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 t="s">
        <v>49</v>
      </c>
      <c r="AA4134" s="1" t="s">
        <v>49</v>
      </c>
      <c r="AB4134" s="1" t="s">
        <v>49</v>
      </c>
      <c r="AC4134" s="1" t="s">
        <v>144</v>
      </c>
      <c r="AD4134" s="1" t="s">
        <v>145</v>
      </c>
      <c r="AE4134" s="1" t="s">
        <v>144</v>
      </c>
      <c r="AF4134" s="1" t="s">
        <v>49</v>
      </c>
      <c r="AG4134" s="1" t="s">
        <v>3464</v>
      </c>
      <c r="AH4134" s="1" t="s">
        <v>49</v>
      </c>
      <c r="AI4134" s="1" t="s">
        <v>54</v>
      </c>
      <c r="AJ4134" s="1">
        <v>1</v>
      </c>
      <c r="AK4134" s="1" t="str">
        <f t="shared" si="65"/>
        <v xml:space="preserve"> =&lt;90</v>
      </c>
      <c r="AL4134" s="1" t="e">
        <f>VLOOKUP(C:C,[1]基础信息!B$1:D$65536,3,0)</f>
        <v>#N/A</v>
      </c>
      <c r="AM4134" s="1" t="e">
        <f>VLOOKUP(C:C,[1]基础信息!B$1:E$65536,4,0)</f>
        <v>#N/A</v>
      </c>
      <c r="AN4134" s="1" t="e">
        <f>VLOOKUP(C:C,[1]基础信息!B$1:F$65536,5,0)</f>
        <v>#N/A</v>
      </c>
    </row>
    <row r="4135" spans="1:40">
      <c r="A4135" s="1" t="s">
        <v>41</v>
      </c>
      <c r="B4135" s="1" t="s">
        <v>42</v>
      </c>
      <c r="C4135" s="1" t="s">
        <v>83</v>
      </c>
      <c r="D4135" s="1" t="s">
        <v>84</v>
      </c>
      <c r="E4135" s="1" t="s">
        <v>45</v>
      </c>
      <c r="F4135" s="1" t="s">
        <v>9474</v>
      </c>
      <c r="G4135" s="1" t="s">
        <v>9475</v>
      </c>
      <c r="H4135" s="1" t="s">
        <v>45</v>
      </c>
      <c r="I4135" s="1" t="s">
        <v>45</v>
      </c>
      <c r="J4135" s="1" t="s">
        <v>48</v>
      </c>
      <c r="K4135" s="1">
        <v>13</v>
      </c>
      <c r="L4135" s="1">
        <v>0</v>
      </c>
      <c r="M4135" s="1">
        <v>0</v>
      </c>
      <c r="N4135" s="1">
        <v>13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 t="s">
        <v>49</v>
      </c>
      <c r="AA4135" s="1" t="s">
        <v>49</v>
      </c>
      <c r="AB4135" s="1" t="s">
        <v>49</v>
      </c>
      <c r="AC4135" s="1" t="s">
        <v>9130</v>
      </c>
      <c r="AD4135" s="1" t="s">
        <v>9131</v>
      </c>
      <c r="AE4135" s="1" t="s">
        <v>9130</v>
      </c>
      <c r="AF4135" s="1" t="s">
        <v>49</v>
      </c>
      <c r="AG4135" s="1" t="s">
        <v>8984</v>
      </c>
      <c r="AH4135" s="1" t="s">
        <v>49</v>
      </c>
      <c r="AI4135" s="1" t="s">
        <v>54</v>
      </c>
      <c r="AJ4135" s="1">
        <v>1</v>
      </c>
      <c r="AK4135" s="1" t="str">
        <f t="shared" si="65"/>
        <v xml:space="preserve"> =&lt;90</v>
      </c>
      <c r="AL4135" s="1" t="str">
        <f>VLOOKUP(C:C,[1]基础信息!B$1:D$65536,3,0)</f>
        <v>Jug</v>
      </c>
      <c r="AM4135" s="1" t="str">
        <f>VLOOKUP(C:C,[1]基础信息!B$1:E$65536,4,0)</f>
        <v>Mxplus</v>
      </c>
      <c r="AN4135" s="1" t="str">
        <f>VLOOKUP(C:C,[1]基础信息!B$1:F$65536,5,0)</f>
        <v>Blue</v>
      </c>
    </row>
    <row r="4136" spans="1:40">
      <c r="A4136" s="1" t="s">
        <v>41</v>
      </c>
      <c r="B4136" s="1" t="s">
        <v>42</v>
      </c>
      <c r="C4136" s="1" t="s">
        <v>4352</v>
      </c>
      <c r="D4136" s="1" t="s">
        <v>4353</v>
      </c>
      <c r="E4136" s="1" t="s">
        <v>45</v>
      </c>
      <c r="F4136" s="1" t="s">
        <v>9476</v>
      </c>
      <c r="G4136" s="1" t="s">
        <v>9477</v>
      </c>
      <c r="H4136" s="1" t="s">
        <v>45</v>
      </c>
      <c r="I4136" s="1" t="s">
        <v>49</v>
      </c>
      <c r="J4136" s="1" t="s">
        <v>48</v>
      </c>
      <c r="K4136" s="1">
        <v>16</v>
      </c>
      <c r="L4136" s="1">
        <v>0</v>
      </c>
      <c r="M4136" s="1">
        <v>0</v>
      </c>
      <c r="N4136" s="1">
        <v>16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 t="s">
        <v>49</v>
      </c>
      <c r="AA4136" s="1" t="s">
        <v>49</v>
      </c>
      <c r="AB4136" s="1" t="s">
        <v>49</v>
      </c>
      <c r="AC4136" s="1" t="s">
        <v>9478</v>
      </c>
      <c r="AD4136" s="1" t="s">
        <v>9479</v>
      </c>
      <c r="AE4136" s="1" t="s">
        <v>9478</v>
      </c>
      <c r="AF4136" s="1" t="s">
        <v>9480</v>
      </c>
      <c r="AG4136" s="1" t="s">
        <v>7556</v>
      </c>
      <c r="AH4136" s="1" t="s">
        <v>49</v>
      </c>
      <c r="AI4136" s="1" t="s">
        <v>54</v>
      </c>
      <c r="AJ4136" s="1">
        <v>1</v>
      </c>
      <c r="AK4136" s="1" t="str">
        <f t="shared" si="65"/>
        <v xml:space="preserve"> =&lt;90</v>
      </c>
      <c r="AL4136" s="1" t="e">
        <f>VLOOKUP(C:C,[1]基础信息!B$1:D$65536,3,0)</f>
        <v>#N/A</v>
      </c>
      <c r="AM4136" s="1" t="e">
        <f>VLOOKUP(C:C,[1]基础信息!B$1:E$65536,4,0)</f>
        <v>#N/A</v>
      </c>
      <c r="AN4136" s="1" t="e">
        <f>VLOOKUP(C:C,[1]基础信息!B$1:F$65536,5,0)</f>
        <v>#N/A</v>
      </c>
    </row>
    <row r="4137" spans="1:40">
      <c r="A4137" s="1" t="s">
        <v>41</v>
      </c>
      <c r="B4137" s="1" t="s">
        <v>42</v>
      </c>
      <c r="C4137" s="1" t="s">
        <v>68</v>
      </c>
      <c r="D4137" s="1" t="s">
        <v>69</v>
      </c>
      <c r="E4137" s="1" t="s">
        <v>45</v>
      </c>
      <c r="F4137" s="1" t="s">
        <v>9481</v>
      </c>
      <c r="G4137" s="1" t="s">
        <v>9482</v>
      </c>
      <c r="H4137" s="1" t="s">
        <v>45</v>
      </c>
      <c r="I4137" s="1" t="s">
        <v>45</v>
      </c>
      <c r="J4137" s="1" t="s">
        <v>48</v>
      </c>
      <c r="K4137" s="1">
        <v>11</v>
      </c>
      <c r="L4137" s="1">
        <v>0</v>
      </c>
      <c r="M4137" s="1">
        <v>0</v>
      </c>
      <c r="N4137" s="1">
        <v>11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 t="s">
        <v>49</v>
      </c>
      <c r="AA4137" s="1" t="s">
        <v>49</v>
      </c>
      <c r="AB4137" s="1" t="s">
        <v>49</v>
      </c>
      <c r="AC4137" s="1" t="s">
        <v>206</v>
      </c>
      <c r="AD4137" s="1" t="s">
        <v>9102</v>
      </c>
      <c r="AE4137" s="1" t="s">
        <v>206</v>
      </c>
      <c r="AF4137" s="1" t="s">
        <v>49</v>
      </c>
      <c r="AG4137" s="1" t="s">
        <v>7747</v>
      </c>
      <c r="AH4137" s="1" t="s">
        <v>49</v>
      </c>
      <c r="AI4137" s="1" t="s">
        <v>54</v>
      </c>
      <c r="AJ4137" s="1">
        <v>1</v>
      </c>
      <c r="AK4137" s="1" t="str">
        <f t="shared" si="65"/>
        <v xml:space="preserve"> =&lt;90</v>
      </c>
      <c r="AL4137" s="1" t="str">
        <f>VLOOKUP(C:C,[1]基础信息!B$1:D$65536,3,0)</f>
        <v>Hotcup</v>
      </c>
      <c r="AM4137" s="1" t="str">
        <f>VLOOKUP(C:C,[1]基础信息!B$1:E$65536,4,0)</f>
        <v>Hotcup</v>
      </c>
      <c r="AN4137" s="1" t="str">
        <f>VLOOKUP(C:C,[1]基础信息!B$1:F$65536,5,0)</f>
        <v xml:space="preserve"> Whi</v>
      </c>
    </row>
    <row r="4138" spans="1:40">
      <c r="A4138" s="1" t="s">
        <v>41</v>
      </c>
      <c r="B4138" s="1" t="s">
        <v>42</v>
      </c>
      <c r="C4138" s="1" t="s">
        <v>8124</v>
      </c>
      <c r="D4138" s="1" t="s">
        <v>8125</v>
      </c>
      <c r="E4138" s="1" t="s">
        <v>45</v>
      </c>
      <c r="F4138" s="1" t="s">
        <v>9483</v>
      </c>
      <c r="G4138" s="1" t="s">
        <v>9484</v>
      </c>
      <c r="H4138" s="1" t="s">
        <v>45</v>
      </c>
      <c r="I4138" s="1" t="s">
        <v>45</v>
      </c>
      <c r="J4138" s="1" t="s">
        <v>48</v>
      </c>
      <c r="K4138" s="1">
        <v>50</v>
      </c>
      <c r="L4138" s="1">
        <v>0</v>
      </c>
      <c r="M4138" s="1">
        <v>0</v>
      </c>
      <c r="N4138" s="1">
        <v>50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 t="s">
        <v>49</v>
      </c>
      <c r="AA4138" s="1" t="s">
        <v>49</v>
      </c>
      <c r="AB4138" s="1" t="s">
        <v>49</v>
      </c>
      <c r="AC4138" s="1" t="s">
        <v>9130</v>
      </c>
      <c r="AD4138" s="1" t="s">
        <v>9131</v>
      </c>
      <c r="AE4138" s="1" t="s">
        <v>9130</v>
      </c>
      <c r="AF4138" s="1" t="s">
        <v>49</v>
      </c>
      <c r="AG4138" s="1" t="s">
        <v>8984</v>
      </c>
      <c r="AH4138" s="1" t="s">
        <v>49</v>
      </c>
      <c r="AI4138" s="1" t="s">
        <v>54</v>
      </c>
      <c r="AJ4138" s="1">
        <v>1</v>
      </c>
      <c r="AK4138" s="1" t="str">
        <f t="shared" si="65"/>
        <v xml:space="preserve"> =&lt;90</v>
      </c>
      <c r="AL4138" s="1" t="str">
        <f>VLOOKUP(C:C,[1]基础信息!B$1:D$65536,3,0)</f>
        <v>Jug</v>
      </c>
      <c r="AM4138" s="1" t="str">
        <f>VLOOKUP(C:C,[1]基础信息!B$1:E$65536,4,0)</f>
        <v>Mxplus</v>
      </c>
      <c r="AN4138" s="1" t="str">
        <f>VLOOKUP(C:C,[1]基础信息!B$1:F$65536,5,0)</f>
        <v>Blue</v>
      </c>
    </row>
    <row r="4139" spans="1:40">
      <c r="A4139" s="1" t="s">
        <v>41</v>
      </c>
      <c r="B4139" s="1" t="s">
        <v>42</v>
      </c>
      <c r="C4139" s="1" t="s">
        <v>3971</v>
      </c>
      <c r="D4139" s="1" t="s">
        <v>3972</v>
      </c>
      <c r="E4139" s="1" t="s">
        <v>45</v>
      </c>
      <c r="F4139" s="1" t="s">
        <v>9485</v>
      </c>
      <c r="G4139" s="1" t="s">
        <v>9486</v>
      </c>
      <c r="H4139" s="1" t="s">
        <v>45</v>
      </c>
      <c r="I4139" s="1" t="s">
        <v>45</v>
      </c>
      <c r="J4139" s="1" t="s">
        <v>48</v>
      </c>
      <c r="K4139" s="1">
        <v>8</v>
      </c>
      <c r="L4139" s="1">
        <v>0</v>
      </c>
      <c r="M4139" s="1">
        <v>0</v>
      </c>
      <c r="N4139" s="1">
        <v>8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 t="s">
        <v>49</v>
      </c>
      <c r="AA4139" s="1" t="s">
        <v>49</v>
      </c>
      <c r="AB4139" s="1" t="s">
        <v>49</v>
      </c>
      <c r="AC4139" s="1" t="s">
        <v>5462</v>
      </c>
      <c r="AD4139" s="1" t="s">
        <v>8336</v>
      </c>
      <c r="AE4139" s="1" t="s">
        <v>5462</v>
      </c>
      <c r="AF4139" s="1" t="s">
        <v>49</v>
      </c>
      <c r="AG4139" s="1" t="s">
        <v>3464</v>
      </c>
      <c r="AH4139" s="1" t="s">
        <v>49</v>
      </c>
      <c r="AI4139" s="1" t="s">
        <v>54</v>
      </c>
      <c r="AJ4139" s="1">
        <v>1</v>
      </c>
      <c r="AK4139" s="1" t="str">
        <f t="shared" si="65"/>
        <v xml:space="preserve"> =&lt;90</v>
      </c>
      <c r="AL4139" s="1" t="str">
        <f>VLOOKUP(C:C,[1]基础信息!B$1:D$65536,3,0)</f>
        <v>Jug</v>
      </c>
      <c r="AM4139" s="1" t="str">
        <f>VLOOKUP(C:C,[1]基础信息!B$1:E$65536,4,0)</f>
        <v>Mxplus</v>
      </c>
      <c r="AN4139" s="1" t="str">
        <f>VLOOKUP(C:C,[1]基础信息!B$1:F$65536,5,0)</f>
        <v xml:space="preserve"> lime</v>
      </c>
    </row>
    <row r="4140" spans="1:40">
      <c r="A4140" s="1" t="s">
        <v>41</v>
      </c>
      <c r="B4140" s="1" t="s">
        <v>42</v>
      </c>
      <c r="C4140" s="1" t="s">
        <v>2893</v>
      </c>
      <c r="D4140" s="1" t="s">
        <v>2894</v>
      </c>
      <c r="E4140" s="1" t="s">
        <v>45</v>
      </c>
      <c r="F4140" s="1" t="s">
        <v>9487</v>
      </c>
      <c r="G4140" s="1" t="s">
        <v>9488</v>
      </c>
      <c r="H4140" s="1" t="s">
        <v>45</v>
      </c>
      <c r="I4140" s="1" t="s">
        <v>49</v>
      </c>
      <c r="J4140" s="1" t="s">
        <v>48</v>
      </c>
      <c r="K4140" s="1">
        <v>19</v>
      </c>
      <c r="L4140" s="1">
        <v>0</v>
      </c>
      <c r="M4140" s="1">
        <v>0</v>
      </c>
      <c r="N4140" s="1">
        <v>19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 t="s">
        <v>49</v>
      </c>
      <c r="AA4140" s="1" t="s">
        <v>49</v>
      </c>
      <c r="AB4140" s="1" t="s">
        <v>49</v>
      </c>
      <c r="AC4140" s="1" t="s">
        <v>3098</v>
      </c>
      <c r="AD4140" s="1" t="s">
        <v>3099</v>
      </c>
      <c r="AE4140" s="1" t="s">
        <v>1551</v>
      </c>
      <c r="AF4140" s="1" t="s">
        <v>4968</v>
      </c>
      <c r="AG4140" s="1" t="s">
        <v>7556</v>
      </c>
      <c r="AH4140" s="1" t="s">
        <v>49</v>
      </c>
      <c r="AI4140" s="1" t="s">
        <v>54</v>
      </c>
      <c r="AJ4140" s="1">
        <v>1</v>
      </c>
      <c r="AK4140" s="1" t="str">
        <f t="shared" si="65"/>
        <v xml:space="preserve"> =&lt;90</v>
      </c>
      <c r="AL4140" s="1" t="str">
        <f>VLOOKUP(C:C,[1]基础信息!B$1:D$65536,3,0)</f>
        <v xml:space="preserve">Cartridge </v>
      </c>
      <c r="AM4140" s="1" t="str">
        <f>VLOOKUP(C:C,[1]基础信息!B$1:E$65536,4,0)</f>
        <v>UNIV</v>
      </c>
      <c r="AN4140" s="1" t="str">
        <f>VLOOKUP(C:C,[1]基础信息!B$1:F$65536,5,0)</f>
        <v>P1</v>
      </c>
    </row>
    <row r="4141" spans="1:40">
      <c r="A4141" s="1" t="s">
        <v>41</v>
      </c>
      <c r="B4141" s="1" t="s">
        <v>42</v>
      </c>
      <c r="C4141" s="1" t="s">
        <v>9489</v>
      </c>
      <c r="D4141" s="1" t="s">
        <v>9490</v>
      </c>
      <c r="E4141" s="1" t="s">
        <v>9489</v>
      </c>
      <c r="F4141" s="1" t="s">
        <v>9491</v>
      </c>
      <c r="G4141" s="1" t="s">
        <v>9492</v>
      </c>
      <c r="H4141" s="1" t="s">
        <v>45</v>
      </c>
      <c r="I4141" s="1" t="s">
        <v>45</v>
      </c>
      <c r="J4141" s="1" t="s">
        <v>48</v>
      </c>
      <c r="K4141" s="1">
        <v>2</v>
      </c>
      <c r="L4141" s="1">
        <v>0</v>
      </c>
      <c r="M4141" s="1">
        <v>0</v>
      </c>
      <c r="N4141" s="1">
        <v>2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 t="s">
        <v>49</v>
      </c>
      <c r="AA4141" s="1" t="s">
        <v>49</v>
      </c>
      <c r="AB4141" s="1" t="s">
        <v>49</v>
      </c>
      <c r="AC4141" s="1" t="s">
        <v>7563</v>
      </c>
      <c r="AD4141" s="1" t="s">
        <v>9410</v>
      </c>
      <c r="AE4141" s="1" t="s">
        <v>7563</v>
      </c>
      <c r="AF4141" s="1" t="s">
        <v>49</v>
      </c>
      <c r="AG4141" s="1" t="s">
        <v>9147</v>
      </c>
      <c r="AH4141" s="1" t="s">
        <v>49</v>
      </c>
      <c r="AI4141" s="1" t="s">
        <v>54</v>
      </c>
      <c r="AJ4141" s="1">
        <v>1</v>
      </c>
      <c r="AK4141" s="1" t="str">
        <f t="shared" si="65"/>
        <v xml:space="preserve"> =&lt;90</v>
      </c>
      <c r="AL4141" s="1" t="str">
        <f>VLOOKUP(C:C,[1]基础信息!B$1:D$65536,3,0)</f>
        <v>Jug</v>
      </c>
      <c r="AM4141" s="1" t="str">
        <f>VLOOKUP(C:C,[1]基础信息!B$1:E$65536,4,0)</f>
        <v>Aluna</v>
      </c>
      <c r="AN4141" s="1" t="str">
        <f>VLOOKUP(C:C,[1]基础信息!B$1:F$65536,5,0)</f>
        <v>Blue</v>
      </c>
    </row>
    <row r="4142" spans="1:40">
      <c r="A4142" s="1" t="s">
        <v>41</v>
      </c>
      <c r="B4142" s="1" t="s">
        <v>42</v>
      </c>
      <c r="C4142" s="1" t="s">
        <v>7852</v>
      </c>
      <c r="D4142" s="1" t="s">
        <v>7853</v>
      </c>
      <c r="E4142" s="1" t="s">
        <v>45</v>
      </c>
      <c r="F4142" s="1" t="s">
        <v>9493</v>
      </c>
      <c r="G4142" s="1" t="s">
        <v>9494</v>
      </c>
      <c r="H4142" s="1" t="s">
        <v>45</v>
      </c>
      <c r="I4142" s="1" t="s">
        <v>45</v>
      </c>
      <c r="J4142" s="1" t="s">
        <v>48</v>
      </c>
      <c r="K4142" s="1">
        <v>18</v>
      </c>
      <c r="L4142" s="1">
        <v>0</v>
      </c>
      <c r="M4142" s="1">
        <v>0</v>
      </c>
      <c r="N4142" s="1">
        <v>18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 t="s">
        <v>49</v>
      </c>
      <c r="AA4142" s="1" t="s">
        <v>49</v>
      </c>
      <c r="AB4142" s="1" t="s">
        <v>49</v>
      </c>
      <c r="AC4142" s="1" t="s">
        <v>9055</v>
      </c>
      <c r="AD4142" s="1" t="s">
        <v>9056</v>
      </c>
      <c r="AE4142" s="1" t="s">
        <v>9055</v>
      </c>
      <c r="AF4142" s="1" t="s">
        <v>49</v>
      </c>
      <c r="AG4142" s="1" t="s">
        <v>76</v>
      </c>
      <c r="AH4142" s="1" t="s">
        <v>49</v>
      </c>
      <c r="AI4142" s="1" t="s">
        <v>54</v>
      </c>
      <c r="AJ4142" s="1">
        <v>1</v>
      </c>
      <c r="AK4142" s="1" t="str">
        <f t="shared" si="65"/>
        <v xml:space="preserve"> =&lt;90</v>
      </c>
      <c r="AL4142" s="1" t="str">
        <f>VLOOKUP(C:C,[1]基础信息!B$1:D$65536,3,0)</f>
        <v xml:space="preserve">Cartridge </v>
      </c>
      <c r="AM4142" s="1" t="str">
        <f>VLOOKUP(C:C,[1]基础信息!B$1:E$65536,4,0)</f>
        <v>LM</v>
      </c>
      <c r="AN4142" s="1" t="str">
        <f>VLOOKUP(C:C,[1]基础信息!B$1:F$65536,5,0)</f>
        <v>P3</v>
      </c>
    </row>
    <row r="4143" spans="1:40">
      <c r="A4143" s="1" t="s">
        <v>41</v>
      </c>
      <c r="B4143" s="1" t="s">
        <v>42</v>
      </c>
      <c r="C4143" s="1" t="s">
        <v>5154</v>
      </c>
      <c r="D4143" s="1" t="s">
        <v>5155</v>
      </c>
      <c r="E4143" s="1" t="s">
        <v>45</v>
      </c>
      <c r="F4143" s="1" t="s">
        <v>9495</v>
      </c>
      <c r="G4143" s="1" t="s">
        <v>9496</v>
      </c>
      <c r="H4143" s="1" t="s">
        <v>45</v>
      </c>
      <c r="I4143" s="1" t="s">
        <v>49</v>
      </c>
      <c r="J4143" s="1" t="s">
        <v>48</v>
      </c>
      <c r="K4143" s="1">
        <v>81</v>
      </c>
      <c r="L4143" s="1">
        <v>0</v>
      </c>
      <c r="M4143" s="1">
        <v>0</v>
      </c>
      <c r="N4143" s="1">
        <v>81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 t="s">
        <v>49</v>
      </c>
      <c r="AA4143" s="1" t="s">
        <v>49</v>
      </c>
      <c r="AB4143" s="1" t="s">
        <v>49</v>
      </c>
      <c r="AC4143" s="1" t="s">
        <v>1551</v>
      </c>
      <c r="AD4143" s="1" t="s">
        <v>1552</v>
      </c>
      <c r="AE4143" s="1" t="s">
        <v>1551</v>
      </c>
      <c r="AF4143" s="1" t="s">
        <v>9497</v>
      </c>
      <c r="AG4143" s="1" t="s">
        <v>7556</v>
      </c>
      <c r="AH4143" s="1" t="s">
        <v>49</v>
      </c>
      <c r="AI4143" s="1" t="s">
        <v>54</v>
      </c>
      <c r="AJ4143" s="1">
        <v>1</v>
      </c>
      <c r="AK4143" s="1" t="str">
        <f t="shared" si="65"/>
        <v xml:space="preserve"> =&lt;90</v>
      </c>
      <c r="AL4143" s="1" t="e">
        <f>VLOOKUP(C:C,[1]基础信息!B$1:D$65536,3,0)</f>
        <v>#N/A</v>
      </c>
      <c r="AM4143" s="1" t="e">
        <f>VLOOKUP(C:C,[1]基础信息!B$1:E$65536,4,0)</f>
        <v>#N/A</v>
      </c>
      <c r="AN4143" s="1" t="e">
        <f>VLOOKUP(C:C,[1]基础信息!B$1:F$65536,5,0)</f>
        <v>#N/A</v>
      </c>
    </row>
    <row r="4144" spans="1:40">
      <c r="A4144" s="1" t="s">
        <v>41</v>
      </c>
      <c r="B4144" s="1" t="s">
        <v>42</v>
      </c>
      <c r="C4144" s="1" t="s">
        <v>1437</v>
      </c>
      <c r="D4144" s="1" t="s">
        <v>1438</v>
      </c>
      <c r="E4144" s="1" t="s">
        <v>45</v>
      </c>
      <c r="F4144" s="1" t="s">
        <v>9498</v>
      </c>
      <c r="G4144" s="1" t="s">
        <v>9499</v>
      </c>
      <c r="H4144" s="1" t="s">
        <v>45</v>
      </c>
      <c r="I4144" s="1" t="s">
        <v>45</v>
      </c>
      <c r="J4144" s="1" t="s">
        <v>48</v>
      </c>
      <c r="K4144" s="1">
        <v>7</v>
      </c>
      <c r="L4144" s="1">
        <v>0</v>
      </c>
      <c r="M4144" s="1">
        <v>0</v>
      </c>
      <c r="N4144" s="1">
        <v>7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 t="s">
        <v>49</v>
      </c>
      <c r="AA4144" s="1" t="s">
        <v>49</v>
      </c>
      <c r="AB4144" s="1" t="s">
        <v>49</v>
      </c>
      <c r="AC4144" s="1" t="s">
        <v>7563</v>
      </c>
      <c r="AD4144" s="1" t="s">
        <v>9410</v>
      </c>
      <c r="AE4144" s="1" t="s">
        <v>7563</v>
      </c>
      <c r="AF4144" s="1" t="s">
        <v>49</v>
      </c>
      <c r="AG4144" s="1" t="s">
        <v>9147</v>
      </c>
      <c r="AH4144" s="1" t="s">
        <v>49</v>
      </c>
      <c r="AI4144" s="1" t="s">
        <v>54</v>
      </c>
      <c r="AJ4144" s="1">
        <v>0</v>
      </c>
      <c r="AK4144" s="1" t="str">
        <f t="shared" si="65"/>
        <v xml:space="preserve"> =&lt;90</v>
      </c>
      <c r="AL4144" s="1" t="str">
        <f>VLOOKUP(C:C,[1]基础信息!B$1:D$65536,3,0)</f>
        <v>On tap</v>
      </c>
      <c r="AM4144" s="1" t="str">
        <f>VLOOKUP(C:C,[1]基础信息!B$1:E$65536,4,0)</f>
        <v>On tap</v>
      </c>
      <c r="AN4144" s="1" t="str">
        <f>VLOOKUP(C:C,[1]基础信息!B$1:F$65536,5,0)</f>
        <v>On tap</v>
      </c>
    </row>
    <row r="4145" spans="1:40">
      <c r="A4145" s="1" t="s">
        <v>41</v>
      </c>
      <c r="B4145" s="1" t="s">
        <v>42</v>
      </c>
      <c r="C4145" s="1" t="s">
        <v>7717</v>
      </c>
      <c r="D4145" s="1" t="s">
        <v>7718</v>
      </c>
      <c r="E4145" s="1" t="s">
        <v>45</v>
      </c>
      <c r="F4145" s="1" t="s">
        <v>9500</v>
      </c>
      <c r="G4145" s="1" t="s">
        <v>9499</v>
      </c>
      <c r="H4145" s="1" t="s">
        <v>45</v>
      </c>
      <c r="I4145" s="1" t="s">
        <v>45</v>
      </c>
      <c r="J4145" s="1" t="s">
        <v>48</v>
      </c>
      <c r="K4145" s="1">
        <v>1</v>
      </c>
      <c r="L4145" s="1">
        <v>0</v>
      </c>
      <c r="M4145" s="1">
        <v>0</v>
      </c>
      <c r="N4145" s="1">
        <v>1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 t="s">
        <v>49</v>
      </c>
      <c r="AA4145" s="1" t="s">
        <v>49</v>
      </c>
      <c r="AB4145" s="1" t="s">
        <v>49</v>
      </c>
      <c r="AC4145" s="1" t="s">
        <v>7563</v>
      </c>
      <c r="AD4145" s="1" t="s">
        <v>9410</v>
      </c>
      <c r="AE4145" s="1" t="s">
        <v>7563</v>
      </c>
      <c r="AF4145" s="1" t="s">
        <v>49</v>
      </c>
      <c r="AG4145" s="1" t="s">
        <v>7747</v>
      </c>
      <c r="AH4145" s="1" t="s">
        <v>49</v>
      </c>
      <c r="AI4145" s="1" t="s">
        <v>54</v>
      </c>
      <c r="AJ4145" s="1">
        <v>1</v>
      </c>
      <c r="AK4145" s="1" t="str">
        <f t="shared" si="65"/>
        <v xml:space="preserve"> =&lt;90</v>
      </c>
      <c r="AL4145" s="1" t="str">
        <f>VLOOKUP(C:C,[1]基础信息!B$1:D$65536,3,0)</f>
        <v>Hotcup</v>
      </c>
      <c r="AM4145" s="1" t="str">
        <f>VLOOKUP(C:C,[1]基础信息!B$1:E$65536,4,0)</f>
        <v>Hotcup</v>
      </c>
      <c r="AN4145" s="1" t="str">
        <f>VLOOKUP(C:C,[1]基础信息!B$1:F$65536,5,0)</f>
        <v>Silver</v>
      </c>
    </row>
    <row r="4146" spans="1:40">
      <c r="A4146" s="1" t="s">
        <v>41</v>
      </c>
      <c r="B4146" s="1" t="s">
        <v>42</v>
      </c>
      <c r="C4146" s="1" t="s">
        <v>8143</v>
      </c>
      <c r="D4146" s="1" t="s">
        <v>8144</v>
      </c>
      <c r="E4146" s="1" t="s">
        <v>45</v>
      </c>
      <c r="F4146" s="1" t="s">
        <v>9501</v>
      </c>
      <c r="G4146" s="1" t="s">
        <v>9502</v>
      </c>
      <c r="H4146" s="1" t="s">
        <v>45</v>
      </c>
      <c r="I4146" s="1" t="s">
        <v>45</v>
      </c>
      <c r="J4146" s="1" t="s">
        <v>48</v>
      </c>
      <c r="K4146" s="1">
        <v>1</v>
      </c>
      <c r="L4146" s="1">
        <v>0</v>
      </c>
      <c r="M4146" s="1">
        <v>0</v>
      </c>
      <c r="N4146" s="1">
        <v>1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 t="s">
        <v>49</v>
      </c>
      <c r="AA4146" s="1" t="s">
        <v>49</v>
      </c>
      <c r="AB4146" s="1" t="s">
        <v>49</v>
      </c>
      <c r="AC4146" s="1" t="s">
        <v>9503</v>
      </c>
      <c r="AD4146" s="1" t="s">
        <v>9504</v>
      </c>
      <c r="AE4146" s="1" t="s">
        <v>9503</v>
      </c>
      <c r="AF4146" s="1" t="s">
        <v>49</v>
      </c>
      <c r="AG4146" s="1" t="s">
        <v>8984</v>
      </c>
      <c r="AH4146" s="1" t="s">
        <v>9089</v>
      </c>
      <c r="AI4146" s="1" t="s">
        <v>54</v>
      </c>
      <c r="AJ4146" s="1">
        <v>1</v>
      </c>
      <c r="AK4146" s="1" t="str">
        <f t="shared" si="65"/>
        <v xml:space="preserve"> =&lt;90</v>
      </c>
      <c r="AL4146" s="1" t="str">
        <f>VLOOKUP(C:C,[1]基础信息!B$1:D$65536,3,0)</f>
        <v>Jug</v>
      </c>
      <c r="AM4146" s="1" t="str">
        <f>VLOOKUP(C:C,[1]基础信息!B$1:E$65536,4,0)</f>
        <v>Style</v>
      </c>
      <c r="AN4146" s="1" t="str">
        <f>VLOOKUP(C:C,[1]基础信息!B$1:F$65536,5,0)</f>
        <v>Lime</v>
      </c>
    </row>
    <row r="4147" spans="1:40">
      <c r="A4147" s="1" t="s">
        <v>41</v>
      </c>
      <c r="B4147" s="1" t="s">
        <v>42</v>
      </c>
      <c r="C4147" s="1" t="s">
        <v>8610</v>
      </c>
      <c r="D4147" s="1" t="s">
        <v>8611</v>
      </c>
      <c r="E4147" s="1" t="s">
        <v>45</v>
      </c>
      <c r="F4147" s="1" t="s">
        <v>8703</v>
      </c>
      <c r="G4147" s="1" t="s">
        <v>9505</v>
      </c>
      <c r="H4147" s="1" t="s">
        <v>9506</v>
      </c>
      <c r="I4147" s="1" t="s">
        <v>45</v>
      </c>
      <c r="J4147" s="1" t="s">
        <v>48</v>
      </c>
      <c r="K4147" s="1">
        <v>1650</v>
      </c>
      <c r="L4147" s="1">
        <v>0</v>
      </c>
      <c r="M4147" s="1">
        <v>0</v>
      </c>
      <c r="N4147" s="1">
        <v>1650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 t="s">
        <v>49</v>
      </c>
      <c r="AA4147" s="1" t="s">
        <v>49</v>
      </c>
      <c r="AB4147" s="1" t="s">
        <v>49</v>
      </c>
      <c r="AC4147" s="1" t="s">
        <v>8706</v>
      </c>
      <c r="AD4147" s="1" t="s">
        <v>8707</v>
      </c>
      <c r="AE4147" s="1" t="s">
        <v>8706</v>
      </c>
      <c r="AF4147" s="1" t="s">
        <v>8708</v>
      </c>
      <c r="AG4147" s="1" t="s">
        <v>4662</v>
      </c>
      <c r="AH4147" s="1" t="s">
        <v>49</v>
      </c>
      <c r="AI4147" s="1" t="s">
        <v>54</v>
      </c>
      <c r="AJ4147" s="1">
        <v>1</v>
      </c>
      <c r="AK4147" s="1" t="str">
        <f t="shared" si="65"/>
        <v xml:space="preserve"> =&lt;90</v>
      </c>
      <c r="AL4147" s="1" t="str">
        <f>VLOOKUP(C:C,[1]基础信息!B$1:D$65536,3,0)</f>
        <v xml:space="preserve">Cartridge </v>
      </c>
      <c r="AM4147" s="1" t="str">
        <f>VLOOKUP(C:C,[1]基础信息!B$1:E$65536,4,0)</f>
        <v>UNIV</v>
      </c>
      <c r="AN4147" s="1" t="str">
        <f>VLOOKUP(C:C,[1]基础信息!B$1:F$65536,5,0)</f>
        <v>P55</v>
      </c>
    </row>
    <row r="4148" spans="1:40">
      <c r="A4148" s="1" t="s">
        <v>41</v>
      </c>
      <c r="B4148" s="1" t="s">
        <v>42</v>
      </c>
      <c r="C4148" s="1" t="s">
        <v>5154</v>
      </c>
      <c r="D4148" s="1" t="s">
        <v>5155</v>
      </c>
      <c r="E4148" s="1" t="s">
        <v>45</v>
      </c>
      <c r="F4148" s="1" t="s">
        <v>9507</v>
      </c>
      <c r="G4148" s="1" t="s">
        <v>9508</v>
      </c>
      <c r="H4148" s="1" t="s">
        <v>45</v>
      </c>
      <c r="I4148" s="1" t="s">
        <v>49</v>
      </c>
      <c r="J4148" s="1" t="s">
        <v>48</v>
      </c>
      <c r="K4148" s="1">
        <v>61</v>
      </c>
      <c r="L4148" s="1">
        <v>0</v>
      </c>
      <c r="M4148" s="1">
        <v>0</v>
      </c>
      <c r="N4148" s="1">
        <v>61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 t="s">
        <v>49</v>
      </c>
      <c r="AA4148" s="1" t="s">
        <v>49</v>
      </c>
      <c r="AB4148" s="1" t="s">
        <v>49</v>
      </c>
      <c r="AC4148" s="1" t="s">
        <v>9509</v>
      </c>
      <c r="AD4148" s="1" t="s">
        <v>9510</v>
      </c>
      <c r="AE4148" s="1" t="s">
        <v>9509</v>
      </c>
      <c r="AF4148" s="1" t="s">
        <v>9511</v>
      </c>
      <c r="AG4148" s="1" t="s">
        <v>7556</v>
      </c>
      <c r="AH4148" s="1" t="s">
        <v>49</v>
      </c>
      <c r="AI4148" s="1" t="s">
        <v>54</v>
      </c>
      <c r="AJ4148" s="1">
        <v>1</v>
      </c>
      <c r="AK4148" s="1" t="str">
        <f t="shared" si="65"/>
        <v xml:space="preserve"> =&lt;90</v>
      </c>
      <c r="AL4148" s="1" t="e">
        <f>VLOOKUP(C:C,[1]基础信息!B$1:D$65536,3,0)</f>
        <v>#N/A</v>
      </c>
      <c r="AM4148" s="1" t="e">
        <f>VLOOKUP(C:C,[1]基础信息!B$1:E$65536,4,0)</f>
        <v>#N/A</v>
      </c>
      <c r="AN4148" s="1" t="e">
        <f>VLOOKUP(C:C,[1]基础信息!B$1:F$65536,5,0)</f>
        <v>#N/A</v>
      </c>
    </row>
    <row r="4149" spans="1:40">
      <c r="A4149" s="1" t="s">
        <v>41</v>
      </c>
      <c r="B4149" s="1" t="s">
        <v>42</v>
      </c>
      <c r="C4149" s="1" t="s">
        <v>9512</v>
      </c>
      <c r="D4149" s="1" t="s">
        <v>9513</v>
      </c>
      <c r="E4149" s="1" t="s">
        <v>9512</v>
      </c>
      <c r="F4149" s="1" t="s">
        <v>9514</v>
      </c>
      <c r="G4149" s="1" t="s">
        <v>9515</v>
      </c>
      <c r="H4149" s="1" t="s">
        <v>45</v>
      </c>
      <c r="I4149" s="1" t="s">
        <v>45</v>
      </c>
      <c r="J4149" s="1" t="s">
        <v>48</v>
      </c>
      <c r="K4149" s="1">
        <v>6</v>
      </c>
      <c r="L4149" s="1">
        <v>0</v>
      </c>
      <c r="M4149" s="1">
        <v>0</v>
      </c>
      <c r="N4149" s="1">
        <v>6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 t="s">
        <v>49</v>
      </c>
      <c r="AA4149" s="1" t="s">
        <v>49</v>
      </c>
      <c r="AB4149" s="1" t="s">
        <v>49</v>
      </c>
      <c r="AC4149" s="1" t="s">
        <v>7563</v>
      </c>
      <c r="AD4149" s="1" t="s">
        <v>9410</v>
      </c>
      <c r="AE4149" s="1" t="s">
        <v>7563</v>
      </c>
      <c r="AF4149" s="1" t="s">
        <v>49</v>
      </c>
      <c r="AG4149" s="1" t="s">
        <v>9147</v>
      </c>
      <c r="AH4149" s="1" t="s">
        <v>49</v>
      </c>
      <c r="AI4149" s="1" t="s">
        <v>54</v>
      </c>
      <c r="AJ4149" s="1">
        <v>0</v>
      </c>
      <c r="AK4149" s="1" t="str">
        <f t="shared" si="65"/>
        <v xml:space="preserve"> =&lt;90</v>
      </c>
      <c r="AL4149" s="1" t="str">
        <f>VLOOKUP(C:C,[1]基础信息!B$1:D$65536,3,0)</f>
        <v xml:space="preserve">Cartridge </v>
      </c>
      <c r="AM4149" s="1" t="str">
        <f>VLOOKUP(C:C,[1]基础信息!B$1:E$65536,4,0)</f>
        <v>LM</v>
      </c>
      <c r="AN4149" s="1" t="str">
        <f>VLOOKUP(C:C,[1]基础信息!B$1:F$65536,5,0)</f>
        <v>P3</v>
      </c>
    </row>
    <row r="4150" spans="1:40">
      <c r="A4150" s="1" t="s">
        <v>41</v>
      </c>
      <c r="B4150" s="1" t="s">
        <v>42</v>
      </c>
      <c r="C4150" s="1" t="s">
        <v>9151</v>
      </c>
      <c r="D4150" s="1" t="s">
        <v>9152</v>
      </c>
      <c r="E4150" s="1" t="s">
        <v>9151</v>
      </c>
      <c r="F4150" s="1" t="s">
        <v>9516</v>
      </c>
      <c r="G4150" s="1" t="s">
        <v>9515</v>
      </c>
      <c r="H4150" s="1" t="s">
        <v>45</v>
      </c>
      <c r="I4150" s="1" t="s">
        <v>45</v>
      </c>
      <c r="J4150" s="1" t="s">
        <v>48</v>
      </c>
      <c r="K4150" s="1">
        <v>2</v>
      </c>
      <c r="L4150" s="1">
        <v>0</v>
      </c>
      <c r="M4150" s="1">
        <v>0</v>
      </c>
      <c r="N4150" s="1">
        <v>2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 t="s">
        <v>49</v>
      </c>
      <c r="AA4150" s="1" t="s">
        <v>49</v>
      </c>
      <c r="AB4150" s="1" t="s">
        <v>49</v>
      </c>
      <c r="AC4150" s="1" t="s">
        <v>7563</v>
      </c>
      <c r="AD4150" s="1" t="s">
        <v>9410</v>
      </c>
      <c r="AE4150" s="1" t="s">
        <v>7563</v>
      </c>
      <c r="AF4150" s="1" t="s">
        <v>49</v>
      </c>
      <c r="AG4150" s="1" t="s">
        <v>9147</v>
      </c>
      <c r="AH4150" s="1" t="s">
        <v>49</v>
      </c>
      <c r="AI4150" s="1" t="s">
        <v>54</v>
      </c>
      <c r="AJ4150" s="1">
        <v>1</v>
      </c>
      <c r="AK4150" s="1" t="str">
        <f t="shared" si="65"/>
        <v xml:space="preserve"> =&lt;90</v>
      </c>
      <c r="AL4150" s="1" t="str">
        <f>VLOOKUP(C:C,[1]基础信息!B$1:D$65536,3,0)</f>
        <v xml:space="preserve">Cartridge </v>
      </c>
      <c r="AM4150" s="1" t="str">
        <f>VLOOKUP(C:C,[1]基础信息!B$1:E$65536,4,0)</f>
        <v>LM</v>
      </c>
      <c r="AN4150" s="1" t="str">
        <f>VLOOKUP(C:C,[1]基础信息!B$1:F$65536,5,0)</f>
        <v>P6</v>
      </c>
    </row>
    <row r="4151" spans="1:40">
      <c r="A4151" s="1" t="s">
        <v>41</v>
      </c>
      <c r="B4151" s="1" t="s">
        <v>42</v>
      </c>
      <c r="C4151" s="1" t="s">
        <v>9489</v>
      </c>
      <c r="D4151" s="1" t="s">
        <v>9490</v>
      </c>
      <c r="E4151" s="1" t="s">
        <v>9489</v>
      </c>
      <c r="F4151" s="1" t="s">
        <v>9517</v>
      </c>
      <c r="G4151" s="1" t="s">
        <v>9518</v>
      </c>
      <c r="H4151" s="1" t="s">
        <v>45</v>
      </c>
      <c r="I4151" s="1" t="s">
        <v>45</v>
      </c>
      <c r="J4151" s="1" t="s">
        <v>48</v>
      </c>
      <c r="K4151" s="1">
        <v>3</v>
      </c>
      <c r="L4151" s="1">
        <v>0</v>
      </c>
      <c r="M4151" s="1">
        <v>0</v>
      </c>
      <c r="N4151" s="1">
        <v>3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 t="s">
        <v>49</v>
      </c>
      <c r="AA4151" s="1" t="s">
        <v>49</v>
      </c>
      <c r="AB4151" s="1" t="s">
        <v>49</v>
      </c>
      <c r="AC4151" s="1" t="s">
        <v>4660</v>
      </c>
      <c r="AD4151" s="1" t="s">
        <v>4661</v>
      </c>
      <c r="AE4151" s="1" t="s">
        <v>4660</v>
      </c>
      <c r="AF4151" s="1" t="s">
        <v>49</v>
      </c>
      <c r="AG4151" s="1" t="s">
        <v>4662</v>
      </c>
      <c r="AH4151" s="1" t="s">
        <v>9519</v>
      </c>
      <c r="AI4151" s="1" t="s">
        <v>54</v>
      </c>
      <c r="AJ4151" s="1">
        <v>1</v>
      </c>
      <c r="AK4151" s="1" t="str">
        <f t="shared" si="65"/>
        <v xml:space="preserve"> =&lt;90</v>
      </c>
      <c r="AL4151" s="1" t="str">
        <f>VLOOKUP(C:C,[1]基础信息!B$1:D$65536,3,0)</f>
        <v>Jug</v>
      </c>
      <c r="AM4151" s="1" t="str">
        <f>VLOOKUP(C:C,[1]基础信息!B$1:E$65536,4,0)</f>
        <v>Aluna</v>
      </c>
      <c r="AN4151" s="1" t="str">
        <f>VLOOKUP(C:C,[1]基础信息!B$1:F$65536,5,0)</f>
        <v>Blue</v>
      </c>
    </row>
    <row r="4152" spans="1:40">
      <c r="A4152" s="1" t="s">
        <v>41</v>
      </c>
      <c r="B4152" s="1" t="s">
        <v>42</v>
      </c>
      <c r="C4152" s="1" t="s">
        <v>104</v>
      </c>
      <c r="D4152" s="1" t="s">
        <v>105</v>
      </c>
      <c r="E4152" s="1" t="s">
        <v>104</v>
      </c>
      <c r="F4152" s="1" t="s">
        <v>9520</v>
      </c>
      <c r="G4152" s="1" t="s">
        <v>9521</v>
      </c>
      <c r="H4152" s="1" t="s">
        <v>45</v>
      </c>
      <c r="I4152" s="1" t="s">
        <v>45</v>
      </c>
      <c r="J4152" s="1" t="s">
        <v>48</v>
      </c>
      <c r="K4152" s="1">
        <v>3</v>
      </c>
      <c r="L4152" s="1">
        <v>0</v>
      </c>
      <c r="M4152" s="1">
        <v>0</v>
      </c>
      <c r="N4152" s="1">
        <v>3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 t="s">
        <v>49</v>
      </c>
      <c r="AA4152" s="1" t="s">
        <v>49</v>
      </c>
      <c r="AB4152" s="1" t="s">
        <v>49</v>
      </c>
      <c r="AC4152" s="1" t="s">
        <v>5462</v>
      </c>
      <c r="AD4152" s="1" t="s">
        <v>8336</v>
      </c>
      <c r="AE4152" s="1" t="s">
        <v>5462</v>
      </c>
      <c r="AF4152" s="1" t="s">
        <v>49</v>
      </c>
      <c r="AG4152" s="1" t="s">
        <v>3464</v>
      </c>
      <c r="AH4152" s="1" t="s">
        <v>49</v>
      </c>
      <c r="AI4152" s="1" t="s">
        <v>54</v>
      </c>
      <c r="AJ4152" s="1">
        <v>0</v>
      </c>
      <c r="AK4152" s="1" t="str">
        <f t="shared" si="65"/>
        <v xml:space="preserve"> =&lt;90</v>
      </c>
      <c r="AL4152" s="1" t="str">
        <f>VLOOKUP(C:C,[1]基础信息!B$1:D$65536,3,0)</f>
        <v>Jug</v>
      </c>
      <c r="AM4152" s="1" t="str">
        <f>VLOOKUP(C:C,[1]基础信息!B$1:E$65536,4,0)</f>
        <v>Marella XL</v>
      </c>
      <c r="AN4152" s="1" t="str">
        <f>VLOOKUP(C:C,[1]基础信息!B$1:F$65536,5,0)</f>
        <v>Blue</v>
      </c>
    </row>
    <row r="4153" spans="1:40">
      <c r="A4153" s="1" t="s">
        <v>41</v>
      </c>
      <c r="B4153" s="1" t="s">
        <v>42</v>
      </c>
      <c r="C4153" s="1" t="s">
        <v>43</v>
      </c>
      <c r="D4153" s="1" t="s">
        <v>44</v>
      </c>
      <c r="E4153" s="1" t="s">
        <v>45</v>
      </c>
      <c r="F4153" s="1" t="s">
        <v>9522</v>
      </c>
      <c r="G4153" s="1" t="s">
        <v>9521</v>
      </c>
      <c r="H4153" s="1" t="s">
        <v>45</v>
      </c>
      <c r="I4153" s="1" t="s">
        <v>45</v>
      </c>
      <c r="J4153" s="1" t="s">
        <v>48</v>
      </c>
      <c r="K4153" s="1">
        <v>5</v>
      </c>
      <c r="L4153" s="1">
        <v>0</v>
      </c>
      <c r="M4153" s="1">
        <v>0</v>
      </c>
      <c r="N4153" s="1">
        <v>5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 t="s">
        <v>49</v>
      </c>
      <c r="AA4153" s="1" t="s">
        <v>49</v>
      </c>
      <c r="AB4153" s="1" t="s">
        <v>49</v>
      </c>
      <c r="AC4153" s="1" t="s">
        <v>5462</v>
      </c>
      <c r="AD4153" s="1" t="s">
        <v>8336</v>
      </c>
      <c r="AE4153" s="1" t="s">
        <v>5462</v>
      </c>
      <c r="AF4153" s="1" t="s">
        <v>49</v>
      </c>
      <c r="AG4153" s="1" t="s">
        <v>3464</v>
      </c>
      <c r="AH4153" s="1" t="s">
        <v>49</v>
      </c>
      <c r="AI4153" s="1" t="s">
        <v>54</v>
      </c>
      <c r="AJ4153" s="1">
        <v>1</v>
      </c>
      <c r="AK4153" s="1" t="str">
        <f t="shared" si="65"/>
        <v xml:space="preserve"> =&lt;90</v>
      </c>
      <c r="AL4153" s="1" t="str">
        <f>VLOOKUP(C:C,[1]基础信息!B$1:D$65536,3,0)</f>
        <v>Jug</v>
      </c>
      <c r="AM4153" s="1" t="str">
        <f>VLOOKUP(C:C,[1]基础信息!B$1:E$65536,4,0)</f>
        <v>Marella XL</v>
      </c>
      <c r="AN4153" s="1" t="str">
        <f>VLOOKUP(C:C,[1]基础信息!B$1:F$65536,5,0)</f>
        <v>Black</v>
      </c>
    </row>
    <row r="4154" spans="1:40">
      <c r="A4154" s="1" t="s">
        <v>41</v>
      </c>
      <c r="B4154" s="1" t="s">
        <v>42</v>
      </c>
      <c r="C4154" s="1" t="s">
        <v>5154</v>
      </c>
      <c r="D4154" s="1" t="s">
        <v>5155</v>
      </c>
      <c r="E4154" s="1" t="s">
        <v>45</v>
      </c>
      <c r="F4154" s="1" t="s">
        <v>9523</v>
      </c>
      <c r="G4154" s="1" t="s">
        <v>9524</v>
      </c>
      <c r="H4154" s="1" t="s">
        <v>45</v>
      </c>
      <c r="I4154" s="1" t="s">
        <v>49</v>
      </c>
      <c r="J4154" s="1" t="s">
        <v>48</v>
      </c>
      <c r="K4154" s="1">
        <v>46</v>
      </c>
      <c r="L4154" s="1">
        <v>0</v>
      </c>
      <c r="M4154" s="1">
        <v>0</v>
      </c>
      <c r="N4154" s="1">
        <v>46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 t="s">
        <v>49</v>
      </c>
      <c r="AA4154" s="1" t="s">
        <v>49</v>
      </c>
      <c r="AB4154" s="1" t="s">
        <v>49</v>
      </c>
      <c r="AC4154" s="1" t="s">
        <v>9478</v>
      </c>
      <c r="AD4154" s="1" t="s">
        <v>9479</v>
      </c>
      <c r="AE4154" s="1" t="s">
        <v>9478</v>
      </c>
      <c r="AF4154" s="1" t="s">
        <v>9525</v>
      </c>
      <c r="AG4154" s="1" t="s">
        <v>7556</v>
      </c>
      <c r="AH4154" s="1" t="s">
        <v>49</v>
      </c>
      <c r="AI4154" s="1" t="s">
        <v>54</v>
      </c>
      <c r="AJ4154" s="1">
        <v>1</v>
      </c>
      <c r="AK4154" s="1" t="str">
        <f t="shared" si="65"/>
        <v xml:space="preserve"> =&lt;90</v>
      </c>
      <c r="AL4154" s="1" t="e">
        <f>VLOOKUP(C:C,[1]基础信息!B$1:D$65536,3,0)</f>
        <v>#N/A</v>
      </c>
      <c r="AM4154" s="1" t="e">
        <f>VLOOKUP(C:C,[1]基础信息!B$1:E$65536,4,0)</f>
        <v>#N/A</v>
      </c>
      <c r="AN4154" s="1" t="e">
        <f>VLOOKUP(C:C,[1]基础信息!B$1:F$65536,5,0)</f>
        <v>#N/A</v>
      </c>
    </row>
    <row r="4155" spans="1:40">
      <c r="A4155" s="1" t="s">
        <v>41</v>
      </c>
      <c r="B4155" s="1" t="s">
        <v>42</v>
      </c>
      <c r="C4155" s="1" t="s">
        <v>7755</v>
      </c>
      <c r="D4155" s="1" t="s">
        <v>7756</v>
      </c>
      <c r="E4155" s="1" t="s">
        <v>45</v>
      </c>
      <c r="F4155" s="1" t="s">
        <v>9526</v>
      </c>
      <c r="G4155" s="1" t="s">
        <v>9527</v>
      </c>
      <c r="H4155" s="1" t="s">
        <v>45</v>
      </c>
      <c r="I4155" s="1" t="s">
        <v>45</v>
      </c>
      <c r="J4155" s="1" t="s">
        <v>48</v>
      </c>
      <c r="K4155" s="1">
        <v>1442</v>
      </c>
      <c r="L4155" s="1">
        <v>0</v>
      </c>
      <c r="M4155" s="1">
        <v>0</v>
      </c>
      <c r="N4155" s="1">
        <v>1442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 t="s">
        <v>49</v>
      </c>
      <c r="AA4155" s="1" t="s">
        <v>49</v>
      </c>
      <c r="AB4155" s="1" t="s">
        <v>49</v>
      </c>
      <c r="AC4155" s="1" t="s">
        <v>9528</v>
      </c>
      <c r="AD4155" s="1" t="s">
        <v>9529</v>
      </c>
      <c r="AE4155" s="1" t="s">
        <v>9528</v>
      </c>
      <c r="AF4155" s="1" t="s">
        <v>9530</v>
      </c>
      <c r="AG4155" s="1" t="s">
        <v>4662</v>
      </c>
      <c r="AH4155" s="1" t="s">
        <v>9531</v>
      </c>
      <c r="AI4155" s="1" t="s">
        <v>54</v>
      </c>
      <c r="AJ4155" s="1">
        <v>1</v>
      </c>
      <c r="AK4155" s="1" t="str">
        <f t="shared" si="65"/>
        <v xml:space="preserve"> =&lt;90</v>
      </c>
      <c r="AL4155" s="1" t="str">
        <f>VLOOKUP(C:C,[1]基础信息!B$1:D$65536,3,0)</f>
        <v xml:space="preserve">Cartridge </v>
      </c>
      <c r="AM4155" s="1" t="str">
        <f>VLOOKUP(C:C,[1]基础信息!B$1:E$65536,4,0)</f>
        <v>LM</v>
      </c>
      <c r="AN4155" s="1" t="str">
        <f>VLOOKUP(C:C,[1]基础信息!B$1:F$65536,5,0)</f>
        <v>P55</v>
      </c>
    </row>
    <row r="4156" spans="1:40">
      <c r="A4156" s="1" t="s">
        <v>41</v>
      </c>
      <c r="B4156" s="1" t="s">
        <v>42</v>
      </c>
      <c r="C4156" s="1" t="s">
        <v>1383</v>
      </c>
      <c r="D4156" s="1" t="s">
        <v>1384</v>
      </c>
      <c r="E4156" s="1" t="s">
        <v>45</v>
      </c>
      <c r="F4156" s="1" t="s">
        <v>9532</v>
      </c>
      <c r="G4156" s="1" t="s">
        <v>9533</v>
      </c>
      <c r="H4156" s="1" t="s">
        <v>45</v>
      </c>
      <c r="I4156" s="1" t="s">
        <v>45</v>
      </c>
      <c r="J4156" s="1" t="s">
        <v>48</v>
      </c>
      <c r="K4156" s="1">
        <v>19</v>
      </c>
      <c r="L4156" s="1">
        <v>0</v>
      </c>
      <c r="M4156" s="1">
        <v>0</v>
      </c>
      <c r="N4156" s="1">
        <v>19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 t="s">
        <v>49</v>
      </c>
      <c r="AA4156" s="1" t="s">
        <v>49</v>
      </c>
      <c r="AB4156" s="1" t="s">
        <v>49</v>
      </c>
      <c r="AC4156" s="1" t="s">
        <v>5462</v>
      </c>
      <c r="AD4156" s="1" t="s">
        <v>8336</v>
      </c>
      <c r="AE4156" s="1" t="s">
        <v>5462</v>
      </c>
      <c r="AF4156" s="1" t="s">
        <v>49</v>
      </c>
      <c r="AG4156" s="1" t="s">
        <v>3464</v>
      </c>
      <c r="AH4156" s="1" t="s">
        <v>49</v>
      </c>
      <c r="AI4156" s="1" t="s">
        <v>54</v>
      </c>
      <c r="AJ4156" s="1">
        <v>0</v>
      </c>
      <c r="AK4156" s="1" t="str">
        <f t="shared" si="65"/>
        <v xml:space="preserve"> =&lt;90</v>
      </c>
      <c r="AL4156" s="1" t="str">
        <f>VLOOKUP(C:C,[1]基础信息!B$1:D$65536,3,0)</f>
        <v>Jug</v>
      </c>
      <c r="AM4156" s="1" t="str">
        <f>VLOOKUP(C:C,[1]基础信息!B$1:E$65536,4,0)</f>
        <v>Mxplus</v>
      </c>
      <c r="AN4156" s="1" t="str">
        <f>VLOOKUP(C:C,[1]基础信息!B$1:F$65536,5,0)</f>
        <v>White</v>
      </c>
    </row>
    <row r="4157" spans="1:40">
      <c r="A4157" s="1" t="s">
        <v>41</v>
      </c>
      <c r="B4157" s="1" t="s">
        <v>42</v>
      </c>
      <c r="C4157" s="1" t="s">
        <v>9383</v>
      </c>
      <c r="D4157" s="1" t="s">
        <v>9384</v>
      </c>
      <c r="E4157" s="1" t="s">
        <v>45</v>
      </c>
      <c r="F4157" s="1" t="s">
        <v>9534</v>
      </c>
      <c r="G4157" s="1" t="s">
        <v>9533</v>
      </c>
      <c r="H4157" s="1" t="s">
        <v>45</v>
      </c>
      <c r="I4157" s="1" t="s">
        <v>45</v>
      </c>
      <c r="J4157" s="1" t="s">
        <v>48</v>
      </c>
      <c r="K4157" s="1">
        <v>1</v>
      </c>
      <c r="L4157" s="1">
        <v>0</v>
      </c>
      <c r="M4157" s="1">
        <v>0</v>
      </c>
      <c r="N4157" s="1">
        <v>1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 t="s">
        <v>49</v>
      </c>
      <c r="AA4157" s="1" t="s">
        <v>49</v>
      </c>
      <c r="AB4157" s="1" t="s">
        <v>49</v>
      </c>
      <c r="AC4157" s="1" t="s">
        <v>5462</v>
      </c>
      <c r="AD4157" s="1" t="s">
        <v>8336</v>
      </c>
      <c r="AE4157" s="1" t="s">
        <v>5462</v>
      </c>
      <c r="AF4157" s="1" t="s">
        <v>49</v>
      </c>
      <c r="AG4157" s="1" t="s">
        <v>3464</v>
      </c>
      <c r="AH4157" s="1" t="s">
        <v>49</v>
      </c>
      <c r="AI4157" s="1" t="s">
        <v>54</v>
      </c>
      <c r="AJ4157" s="1">
        <v>1</v>
      </c>
      <c r="AK4157" s="1" t="str">
        <f t="shared" si="65"/>
        <v xml:space="preserve"> =&lt;90</v>
      </c>
      <c r="AL4157" s="1" t="str">
        <f>VLOOKUP(C:C,[1]基础信息!B$1:D$65536,3,0)</f>
        <v>Jug</v>
      </c>
      <c r="AM4157" s="1" t="str">
        <f>VLOOKUP(C:C,[1]基础信息!B$1:E$65536,4,0)</f>
        <v>Aluna</v>
      </c>
      <c r="AN4157" s="1" t="str">
        <f>VLOOKUP(C:C,[1]基础信息!B$1:F$65536,5,0)</f>
        <v>White</v>
      </c>
    </row>
    <row r="4158" spans="1:40">
      <c r="A4158" s="1" t="s">
        <v>41</v>
      </c>
      <c r="B4158" s="1" t="s">
        <v>42</v>
      </c>
      <c r="C4158" s="1" t="s">
        <v>4352</v>
      </c>
      <c r="D4158" s="1" t="s">
        <v>4353</v>
      </c>
      <c r="E4158" s="1" t="s">
        <v>45</v>
      </c>
      <c r="F4158" s="1" t="s">
        <v>9535</v>
      </c>
      <c r="G4158" s="1" t="s">
        <v>9536</v>
      </c>
      <c r="H4158" s="1" t="s">
        <v>45</v>
      </c>
      <c r="I4158" s="1" t="s">
        <v>49</v>
      </c>
      <c r="J4158" s="1" t="s">
        <v>48</v>
      </c>
      <c r="K4158" s="1">
        <v>9</v>
      </c>
      <c r="L4158" s="1">
        <v>0</v>
      </c>
      <c r="M4158" s="1">
        <v>0</v>
      </c>
      <c r="N4158" s="1">
        <v>9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 t="s">
        <v>49</v>
      </c>
      <c r="AA4158" s="1" t="s">
        <v>49</v>
      </c>
      <c r="AB4158" s="1" t="s">
        <v>49</v>
      </c>
      <c r="AC4158" s="1" t="s">
        <v>7540</v>
      </c>
      <c r="AD4158" s="1" t="s">
        <v>7541</v>
      </c>
      <c r="AE4158" s="1" t="s">
        <v>7540</v>
      </c>
      <c r="AF4158" s="1" t="s">
        <v>7543</v>
      </c>
      <c r="AG4158" s="1" t="s">
        <v>7556</v>
      </c>
      <c r="AH4158" s="1" t="s">
        <v>49</v>
      </c>
      <c r="AI4158" s="1" t="s">
        <v>54</v>
      </c>
      <c r="AJ4158" s="1">
        <v>1</v>
      </c>
      <c r="AK4158" s="1" t="str">
        <f t="shared" si="65"/>
        <v xml:space="preserve"> =&lt;90</v>
      </c>
      <c r="AL4158" s="1" t="e">
        <f>VLOOKUP(C:C,[1]基础信息!B$1:D$65536,3,0)</f>
        <v>#N/A</v>
      </c>
      <c r="AM4158" s="1" t="e">
        <f>VLOOKUP(C:C,[1]基础信息!B$1:E$65536,4,0)</f>
        <v>#N/A</v>
      </c>
      <c r="AN4158" s="1" t="e">
        <f>VLOOKUP(C:C,[1]基础信息!B$1:F$65536,5,0)</f>
        <v>#N/A</v>
      </c>
    </row>
    <row r="4159" spans="1:40">
      <c r="A4159" s="1" t="s">
        <v>41</v>
      </c>
      <c r="B4159" s="1" t="s">
        <v>42</v>
      </c>
      <c r="C4159" s="1" t="s">
        <v>83</v>
      </c>
      <c r="D4159" s="1" t="s">
        <v>84</v>
      </c>
      <c r="E4159" s="1" t="s">
        <v>45</v>
      </c>
      <c r="F4159" s="1" t="s">
        <v>9537</v>
      </c>
      <c r="G4159" s="1" t="s">
        <v>9538</v>
      </c>
      <c r="H4159" s="1" t="s">
        <v>45</v>
      </c>
      <c r="I4159" s="1" t="s">
        <v>45</v>
      </c>
      <c r="J4159" s="1" t="s">
        <v>48</v>
      </c>
      <c r="K4159" s="1">
        <v>50</v>
      </c>
      <c r="L4159" s="1">
        <v>0</v>
      </c>
      <c r="M4159" s="1">
        <v>0</v>
      </c>
      <c r="N4159" s="1">
        <v>50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 t="s">
        <v>49</v>
      </c>
      <c r="AA4159" s="1" t="s">
        <v>49</v>
      </c>
      <c r="AB4159" s="1" t="s">
        <v>49</v>
      </c>
      <c r="AC4159" s="1" t="s">
        <v>5462</v>
      </c>
      <c r="AD4159" s="1" t="s">
        <v>8336</v>
      </c>
      <c r="AE4159" s="1" t="s">
        <v>5462</v>
      </c>
      <c r="AF4159" s="1" t="s">
        <v>49</v>
      </c>
      <c r="AG4159" s="1" t="s">
        <v>3464</v>
      </c>
      <c r="AH4159" s="1" t="s">
        <v>49</v>
      </c>
      <c r="AI4159" s="1" t="s">
        <v>54</v>
      </c>
      <c r="AJ4159" s="1">
        <v>1</v>
      </c>
      <c r="AK4159" s="1" t="str">
        <f t="shared" si="65"/>
        <v xml:space="preserve"> =&lt;90</v>
      </c>
      <c r="AL4159" s="1" t="str">
        <f>VLOOKUP(C:C,[1]基础信息!B$1:D$65536,3,0)</f>
        <v>Jug</v>
      </c>
      <c r="AM4159" s="1" t="str">
        <f>VLOOKUP(C:C,[1]基础信息!B$1:E$65536,4,0)</f>
        <v>Mxplus</v>
      </c>
      <c r="AN4159" s="1" t="str">
        <f>VLOOKUP(C:C,[1]基础信息!B$1:F$65536,5,0)</f>
        <v>Blue</v>
      </c>
    </row>
    <row r="4160" spans="1:40">
      <c r="A4160" s="1" t="s">
        <v>41</v>
      </c>
      <c r="B4160" s="1" t="s">
        <v>42</v>
      </c>
      <c r="C4160" s="1" t="s">
        <v>4352</v>
      </c>
      <c r="D4160" s="1" t="s">
        <v>4353</v>
      </c>
      <c r="E4160" s="1" t="s">
        <v>45</v>
      </c>
      <c r="F4160" s="1" t="s">
        <v>9539</v>
      </c>
      <c r="G4160" s="1" t="s">
        <v>9540</v>
      </c>
      <c r="H4160" s="1" t="s">
        <v>45</v>
      </c>
      <c r="I4160" s="1" t="s">
        <v>49</v>
      </c>
      <c r="J4160" s="1" t="s">
        <v>48</v>
      </c>
      <c r="K4160" s="1">
        <v>5</v>
      </c>
      <c r="L4160" s="1">
        <v>0</v>
      </c>
      <c r="M4160" s="1">
        <v>0</v>
      </c>
      <c r="N4160" s="1">
        <v>5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 t="s">
        <v>49</v>
      </c>
      <c r="AA4160" s="1" t="s">
        <v>49</v>
      </c>
      <c r="AB4160" s="1" t="s">
        <v>49</v>
      </c>
      <c r="AC4160" s="1" t="s">
        <v>9509</v>
      </c>
      <c r="AD4160" s="1" t="s">
        <v>9510</v>
      </c>
      <c r="AE4160" s="1" t="s">
        <v>9509</v>
      </c>
      <c r="AF4160" s="1" t="s">
        <v>9541</v>
      </c>
      <c r="AG4160" s="1" t="s">
        <v>7556</v>
      </c>
      <c r="AH4160" s="1" t="s">
        <v>49</v>
      </c>
      <c r="AI4160" s="1" t="s">
        <v>54</v>
      </c>
      <c r="AJ4160" s="1">
        <v>1</v>
      </c>
      <c r="AK4160" s="1" t="str">
        <f t="shared" si="65"/>
        <v xml:space="preserve"> =&lt;90</v>
      </c>
      <c r="AL4160" s="1" t="e">
        <f>VLOOKUP(C:C,[1]基础信息!B$1:D$65536,3,0)</f>
        <v>#N/A</v>
      </c>
      <c r="AM4160" s="1" t="e">
        <f>VLOOKUP(C:C,[1]基础信息!B$1:E$65536,4,0)</f>
        <v>#N/A</v>
      </c>
      <c r="AN4160" s="1" t="e">
        <f>VLOOKUP(C:C,[1]基础信息!B$1:F$65536,5,0)</f>
        <v>#N/A</v>
      </c>
    </row>
    <row r="4161" spans="1:40">
      <c r="A4161" s="1" t="s">
        <v>41</v>
      </c>
      <c r="B4161" s="1" t="s">
        <v>42</v>
      </c>
      <c r="C4161" s="1" t="s">
        <v>6106</v>
      </c>
      <c r="D4161" s="1" t="s">
        <v>6107</v>
      </c>
      <c r="E4161" s="1" t="s">
        <v>45</v>
      </c>
      <c r="F4161" s="1" t="s">
        <v>9542</v>
      </c>
      <c r="G4161" s="1" t="s">
        <v>9543</v>
      </c>
      <c r="H4161" s="1" t="s">
        <v>45</v>
      </c>
      <c r="I4161" s="1" t="s">
        <v>45</v>
      </c>
      <c r="J4161" s="1" t="s">
        <v>48</v>
      </c>
      <c r="K4161" s="1">
        <v>1</v>
      </c>
      <c r="L4161" s="1">
        <v>0</v>
      </c>
      <c r="M4161" s="1">
        <v>0</v>
      </c>
      <c r="N4161" s="1">
        <v>1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 t="s">
        <v>49</v>
      </c>
      <c r="AA4161" s="1" t="s">
        <v>49</v>
      </c>
      <c r="AB4161" s="1" t="s">
        <v>49</v>
      </c>
      <c r="AC4161" s="1" t="s">
        <v>3719</v>
      </c>
      <c r="AD4161" s="1" t="s">
        <v>3720</v>
      </c>
      <c r="AE4161" s="1" t="s">
        <v>3719</v>
      </c>
      <c r="AF4161" s="1" t="s">
        <v>49</v>
      </c>
      <c r="AG4161" s="1" t="s">
        <v>7747</v>
      </c>
      <c r="AH4161" s="1" t="s">
        <v>49</v>
      </c>
      <c r="AI4161" s="1" t="s">
        <v>54</v>
      </c>
      <c r="AJ4161" s="1">
        <v>0</v>
      </c>
      <c r="AK4161" s="1" t="str">
        <f t="shared" si="65"/>
        <v xml:space="preserve"> =&lt;90</v>
      </c>
      <c r="AL4161" s="1" t="str">
        <f>VLOOKUP(C:C,[1]基础信息!B$1:D$65536,3,0)</f>
        <v>On tap</v>
      </c>
      <c r="AM4161" s="1" t="str">
        <f>VLOOKUP(C:C,[1]基础信息!B$1:E$65536,4,0)</f>
        <v>On tap</v>
      </c>
      <c r="AN4161" s="1" t="str">
        <f>VLOOKUP(C:C,[1]基础信息!B$1:F$65536,5,0)</f>
        <v>Refill</v>
      </c>
    </row>
    <row r="4162" spans="1:40">
      <c r="A4162" s="1" t="s">
        <v>41</v>
      </c>
      <c r="B4162" s="1" t="s">
        <v>42</v>
      </c>
      <c r="C4162" s="1" t="s">
        <v>1437</v>
      </c>
      <c r="D4162" s="1" t="s">
        <v>1438</v>
      </c>
      <c r="E4162" s="1" t="s">
        <v>45</v>
      </c>
      <c r="F4162" s="1" t="s">
        <v>9544</v>
      </c>
      <c r="G4162" s="1" t="s">
        <v>9543</v>
      </c>
      <c r="H4162" s="1" t="s">
        <v>45</v>
      </c>
      <c r="I4162" s="1" t="s">
        <v>45</v>
      </c>
      <c r="J4162" s="1" t="s">
        <v>48</v>
      </c>
      <c r="K4162" s="1">
        <v>3</v>
      </c>
      <c r="L4162" s="1">
        <v>0</v>
      </c>
      <c r="M4162" s="1">
        <v>0</v>
      </c>
      <c r="N4162" s="1">
        <v>3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 t="s">
        <v>49</v>
      </c>
      <c r="AA4162" s="1" t="s">
        <v>49</v>
      </c>
      <c r="AB4162" s="1" t="s">
        <v>49</v>
      </c>
      <c r="AC4162" s="1" t="s">
        <v>3719</v>
      </c>
      <c r="AD4162" s="1" t="s">
        <v>3720</v>
      </c>
      <c r="AE4162" s="1" t="s">
        <v>3719</v>
      </c>
      <c r="AF4162" s="1" t="s">
        <v>49</v>
      </c>
      <c r="AG4162" s="1" t="s">
        <v>7747</v>
      </c>
      <c r="AH4162" s="1" t="s">
        <v>49</v>
      </c>
      <c r="AI4162" s="1" t="s">
        <v>54</v>
      </c>
      <c r="AJ4162" s="1">
        <v>1</v>
      </c>
      <c r="AK4162" s="1" t="str">
        <f t="shared" si="65"/>
        <v xml:space="preserve"> =&lt;90</v>
      </c>
      <c r="AL4162" s="1" t="str">
        <f>VLOOKUP(C:C,[1]基础信息!B$1:D$65536,3,0)</f>
        <v>On tap</v>
      </c>
      <c r="AM4162" s="1" t="str">
        <f>VLOOKUP(C:C,[1]基础信息!B$1:E$65536,4,0)</f>
        <v>On tap</v>
      </c>
      <c r="AN4162" s="1" t="str">
        <f>VLOOKUP(C:C,[1]基础信息!B$1:F$65536,5,0)</f>
        <v>On tap</v>
      </c>
    </row>
    <row r="4163" spans="1:40">
      <c r="A4163" s="1" t="s">
        <v>41</v>
      </c>
      <c r="B4163" s="1" t="s">
        <v>42</v>
      </c>
      <c r="C4163" s="1" t="s">
        <v>5154</v>
      </c>
      <c r="D4163" s="1" t="s">
        <v>5155</v>
      </c>
      <c r="E4163" s="1" t="s">
        <v>45</v>
      </c>
      <c r="F4163" s="1" t="s">
        <v>9545</v>
      </c>
      <c r="G4163" s="1" t="s">
        <v>9546</v>
      </c>
      <c r="H4163" s="1" t="s">
        <v>45</v>
      </c>
      <c r="I4163" s="1" t="s">
        <v>49</v>
      </c>
      <c r="J4163" s="1" t="s">
        <v>48</v>
      </c>
      <c r="K4163" s="1">
        <v>14</v>
      </c>
      <c r="L4163" s="1">
        <v>0</v>
      </c>
      <c r="M4163" s="1">
        <v>0</v>
      </c>
      <c r="N4163" s="1">
        <v>14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 t="s">
        <v>49</v>
      </c>
      <c r="AA4163" s="1" t="s">
        <v>49</v>
      </c>
      <c r="AB4163" s="1" t="s">
        <v>49</v>
      </c>
      <c r="AC4163" s="1" t="s">
        <v>7540</v>
      </c>
      <c r="AD4163" s="1" t="s">
        <v>7541</v>
      </c>
      <c r="AE4163" s="1" t="s">
        <v>7540</v>
      </c>
      <c r="AF4163" s="1" t="s">
        <v>8197</v>
      </c>
      <c r="AG4163" s="1" t="s">
        <v>7556</v>
      </c>
      <c r="AH4163" s="1" t="s">
        <v>49</v>
      </c>
      <c r="AI4163" s="1" t="s">
        <v>54</v>
      </c>
      <c r="AJ4163" s="1">
        <v>1</v>
      </c>
      <c r="AK4163" s="1" t="str">
        <f t="shared" si="65"/>
        <v xml:space="preserve"> =&lt;90</v>
      </c>
      <c r="AL4163" s="1" t="e">
        <f>VLOOKUP(C:C,[1]基础信息!B$1:D$65536,3,0)</f>
        <v>#N/A</v>
      </c>
      <c r="AM4163" s="1" t="e">
        <f>VLOOKUP(C:C,[1]基础信息!B$1:E$65536,4,0)</f>
        <v>#N/A</v>
      </c>
      <c r="AN4163" s="1" t="e">
        <f>VLOOKUP(C:C,[1]基础信息!B$1:F$65536,5,0)</f>
        <v>#N/A</v>
      </c>
    </row>
    <row r="4164" spans="1:40">
      <c r="A4164" s="1" t="s">
        <v>41</v>
      </c>
      <c r="B4164" s="1" t="s">
        <v>42</v>
      </c>
      <c r="C4164" s="1" t="s">
        <v>3512</v>
      </c>
      <c r="D4164" s="1" t="s">
        <v>3513</v>
      </c>
      <c r="E4164" s="1" t="s">
        <v>45</v>
      </c>
      <c r="F4164" s="1" t="s">
        <v>9547</v>
      </c>
      <c r="G4164" s="1" t="s">
        <v>9548</v>
      </c>
      <c r="H4164" s="1" t="s">
        <v>45</v>
      </c>
      <c r="I4164" s="1" t="s">
        <v>45</v>
      </c>
      <c r="J4164" s="1" t="s">
        <v>48</v>
      </c>
      <c r="K4164" s="1">
        <v>1</v>
      </c>
      <c r="L4164" s="1">
        <v>0</v>
      </c>
      <c r="M4164" s="1">
        <v>0</v>
      </c>
      <c r="N4164" s="1">
        <v>1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 t="s">
        <v>49</v>
      </c>
      <c r="AA4164" s="1" t="s">
        <v>49</v>
      </c>
      <c r="AB4164" s="1" t="s">
        <v>49</v>
      </c>
      <c r="AC4164" s="1" t="s">
        <v>7563</v>
      </c>
      <c r="AD4164" s="1" t="s">
        <v>9410</v>
      </c>
      <c r="AE4164" s="1" t="s">
        <v>7563</v>
      </c>
      <c r="AF4164" s="1" t="s">
        <v>49</v>
      </c>
      <c r="AG4164" s="1" t="s">
        <v>9147</v>
      </c>
      <c r="AH4164" s="1" t="s">
        <v>49</v>
      </c>
      <c r="AI4164" s="1" t="s">
        <v>54</v>
      </c>
      <c r="AJ4164" s="1">
        <v>0</v>
      </c>
      <c r="AK4164" s="1" t="str">
        <f t="shared" si="65"/>
        <v xml:space="preserve"> =&lt;90</v>
      </c>
      <c r="AL4164" s="1" t="str">
        <f>VLOOKUP(C:C,[1]基础信息!B$1:D$65536,3,0)</f>
        <v xml:space="preserve">Cartridge </v>
      </c>
      <c r="AM4164" s="1" t="str">
        <f>VLOOKUP(C:C,[1]基础信息!B$1:E$65536,4,0)</f>
        <v>UNIV</v>
      </c>
      <c r="AN4164" s="1" t="str">
        <f>VLOOKUP(C:C,[1]基础信息!B$1:F$65536,5,0)</f>
        <v>P3</v>
      </c>
    </row>
    <row r="4165" spans="1:40">
      <c r="A4165" s="1" t="s">
        <v>41</v>
      </c>
      <c r="B4165" s="1" t="s">
        <v>42</v>
      </c>
      <c r="C4165" s="1" t="s">
        <v>1437</v>
      </c>
      <c r="D4165" s="1" t="s">
        <v>1438</v>
      </c>
      <c r="E4165" s="1" t="s">
        <v>45</v>
      </c>
      <c r="F4165" s="1" t="s">
        <v>9498</v>
      </c>
      <c r="G4165" s="1" t="s">
        <v>9548</v>
      </c>
      <c r="H4165" s="1" t="s">
        <v>45</v>
      </c>
      <c r="I4165" s="1" t="s">
        <v>45</v>
      </c>
      <c r="J4165" s="1" t="s">
        <v>48</v>
      </c>
      <c r="K4165" s="1">
        <v>1</v>
      </c>
      <c r="L4165" s="1">
        <v>0</v>
      </c>
      <c r="M4165" s="1">
        <v>0</v>
      </c>
      <c r="N4165" s="1">
        <v>1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 t="s">
        <v>49</v>
      </c>
      <c r="AA4165" s="1" t="s">
        <v>49</v>
      </c>
      <c r="AB4165" s="1" t="s">
        <v>49</v>
      </c>
      <c r="AC4165" s="1" t="s">
        <v>7563</v>
      </c>
      <c r="AD4165" s="1" t="s">
        <v>9410</v>
      </c>
      <c r="AE4165" s="1" t="s">
        <v>7563</v>
      </c>
      <c r="AF4165" s="1" t="s">
        <v>49</v>
      </c>
      <c r="AG4165" s="1" t="s">
        <v>9147</v>
      </c>
      <c r="AH4165" s="1" t="s">
        <v>49</v>
      </c>
      <c r="AI4165" s="1" t="s">
        <v>54</v>
      </c>
      <c r="AJ4165" s="1">
        <v>1</v>
      </c>
      <c r="AK4165" s="1" t="str">
        <f t="shared" si="65"/>
        <v xml:space="preserve"> =&lt;90</v>
      </c>
      <c r="AL4165" s="1" t="str">
        <f>VLOOKUP(C:C,[1]基础信息!B$1:D$65536,3,0)</f>
        <v>On tap</v>
      </c>
      <c r="AM4165" s="1" t="str">
        <f>VLOOKUP(C:C,[1]基础信息!B$1:E$65536,4,0)</f>
        <v>On tap</v>
      </c>
      <c r="AN4165" s="1" t="str">
        <f>VLOOKUP(C:C,[1]基础信息!B$1:F$65536,5,0)</f>
        <v>On tap</v>
      </c>
    </row>
    <row r="4166" spans="1:40">
      <c r="A4166" s="1" t="s">
        <v>41</v>
      </c>
      <c r="B4166" s="1" t="s">
        <v>42</v>
      </c>
      <c r="C4166" s="1" t="s">
        <v>301</v>
      </c>
      <c r="D4166" s="1" t="s">
        <v>302</v>
      </c>
      <c r="E4166" s="1" t="s">
        <v>45</v>
      </c>
      <c r="F4166" s="1" t="s">
        <v>9549</v>
      </c>
      <c r="G4166" s="1" t="s">
        <v>9550</v>
      </c>
      <c r="H4166" s="1" t="s">
        <v>45</v>
      </c>
      <c r="I4166" s="1" t="s">
        <v>45</v>
      </c>
      <c r="J4166" s="1" t="s">
        <v>48</v>
      </c>
      <c r="K4166" s="1">
        <v>54</v>
      </c>
      <c r="L4166" s="1">
        <v>0</v>
      </c>
      <c r="M4166" s="1">
        <v>0</v>
      </c>
      <c r="N4166" s="1">
        <v>54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 t="s">
        <v>49</v>
      </c>
      <c r="AA4166" s="1" t="s">
        <v>49</v>
      </c>
      <c r="AB4166" s="1" t="s">
        <v>49</v>
      </c>
      <c r="AC4166" s="1" t="s">
        <v>5462</v>
      </c>
      <c r="AD4166" s="1" t="s">
        <v>8336</v>
      </c>
      <c r="AE4166" s="1" t="s">
        <v>5462</v>
      </c>
      <c r="AF4166" s="1" t="s">
        <v>49</v>
      </c>
      <c r="AG4166" s="1" t="s">
        <v>3464</v>
      </c>
      <c r="AH4166" s="1" t="s">
        <v>49</v>
      </c>
      <c r="AI4166" s="1" t="s">
        <v>54</v>
      </c>
      <c r="AJ4166" s="1">
        <v>1</v>
      </c>
      <c r="AK4166" s="1" t="str">
        <f t="shared" si="65"/>
        <v xml:space="preserve"> =&lt;90</v>
      </c>
      <c r="AL4166" s="1" t="str">
        <f>VLOOKUP(C:C,[1]基础信息!B$1:D$65536,3,0)</f>
        <v>Jug</v>
      </c>
      <c r="AM4166" s="1" t="str">
        <f>VLOOKUP(C:C,[1]基础信息!B$1:E$65536,4,0)</f>
        <v>Aluna</v>
      </c>
      <c r="AN4166" s="1" t="str">
        <f>VLOOKUP(C:C,[1]基础信息!B$1:F$65536,5,0)</f>
        <v>Blue</v>
      </c>
    </row>
    <row r="4167" spans="1:40">
      <c r="A4167" s="1" t="s">
        <v>41</v>
      </c>
      <c r="B4167" s="1" t="s">
        <v>42</v>
      </c>
      <c r="C4167" s="1" t="s">
        <v>5154</v>
      </c>
      <c r="D4167" s="1" t="s">
        <v>5155</v>
      </c>
      <c r="E4167" s="1" t="s">
        <v>45</v>
      </c>
      <c r="F4167" s="1" t="s">
        <v>9551</v>
      </c>
      <c r="G4167" s="1" t="s">
        <v>9552</v>
      </c>
      <c r="H4167" s="1" t="s">
        <v>45</v>
      </c>
      <c r="I4167" s="1" t="s">
        <v>49</v>
      </c>
      <c r="J4167" s="1" t="s">
        <v>48</v>
      </c>
      <c r="K4167" s="1">
        <v>27</v>
      </c>
      <c r="L4167" s="1">
        <v>0</v>
      </c>
      <c r="M4167" s="1">
        <v>0</v>
      </c>
      <c r="N4167" s="1">
        <v>27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 t="s">
        <v>49</v>
      </c>
      <c r="AA4167" s="1" t="s">
        <v>49</v>
      </c>
      <c r="AB4167" s="1" t="s">
        <v>49</v>
      </c>
      <c r="AC4167" s="1" t="s">
        <v>61</v>
      </c>
      <c r="AD4167" s="1" t="s">
        <v>62</v>
      </c>
      <c r="AE4167" s="1" t="s">
        <v>7540</v>
      </c>
      <c r="AF4167" s="1" t="s">
        <v>9553</v>
      </c>
      <c r="AG4167" s="1" t="s">
        <v>7556</v>
      </c>
      <c r="AH4167" s="1" t="s">
        <v>49</v>
      </c>
      <c r="AI4167" s="1" t="s">
        <v>54</v>
      </c>
      <c r="AJ4167" s="1">
        <v>1</v>
      </c>
      <c r="AK4167" s="1" t="str">
        <f t="shared" si="65"/>
        <v xml:space="preserve"> =&lt;90</v>
      </c>
      <c r="AL4167" s="1" t="e">
        <f>VLOOKUP(C:C,[1]基础信息!B$1:D$65536,3,0)</f>
        <v>#N/A</v>
      </c>
      <c r="AM4167" s="1" t="e">
        <f>VLOOKUP(C:C,[1]基础信息!B$1:E$65536,4,0)</f>
        <v>#N/A</v>
      </c>
      <c r="AN4167" s="1" t="e">
        <f>VLOOKUP(C:C,[1]基础信息!B$1:F$65536,5,0)</f>
        <v>#N/A</v>
      </c>
    </row>
    <row r="4168" spans="1:40">
      <c r="A4168" s="1" t="s">
        <v>41</v>
      </c>
      <c r="B4168" s="1" t="s">
        <v>42</v>
      </c>
      <c r="C4168" s="1" t="s">
        <v>4352</v>
      </c>
      <c r="D4168" s="1" t="s">
        <v>4353</v>
      </c>
      <c r="E4168" s="1" t="s">
        <v>45</v>
      </c>
      <c r="F4168" s="1" t="s">
        <v>9554</v>
      </c>
      <c r="G4168" s="1" t="s">
        <v>9555</v>
      </c>
      <c r="H4168" s="1" t="s">
        <v>45</v>
      </c>
      <c r="I4168" s="1" t="s">
        <v>49</v>
      </c>
      <c r="J4168" s="1" t="s">
        <v>48</v>
      </c>
      <c r="K4168" s="1">
        <v>5</v>
      </c>
      <c r="L4168" s="1">
        <v>0</v>
      </c>
      <c r="M4168" s="1">
        <v>0</v>
      </c>
      <c r="N4168" s="1">
        <v>5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 t="s">
        <v>49</v>
      </c>
      <c r="AA4168" s="1" t="s">
        <v>49</v>
      </c>
      <c r="AB4168" s="1" t="s">
        <v>49</v>
      </c>
      <c r="AC4168" s="1" t="s">
        <v>1008</v>
      </c>
      <c r="AD4168" s="1" t="s">
        <v>1009</v>
      </c>
      <c r="AE4168" s="1" t="s">
        <v>1008</v>
      </c>
      <c r="AF4168" s="1" t="s">
        <v>9556</v>
      </c>
      <c r="AG4168" s="1" t="s">
        <v>7556</v>
      </c>
      <c r="AH4168" s="1" t="s">
        <v>49</v>
      </c>
      <c r="AI4168" s="1" t="s">
        <v>54</v>
      </c>
      <c r="AJ4168" s="1">
        <v>0</v>
      </c>
      <c r="AK4168" s="1" t="str">
        <f t="shared" si="65"/>
        <v xml:space="preserve"> =&lt;90</v>
      </c>
      <c r="AL4168" s="1" t="e">
        <f>VLOOKUP(C:C,[1]基础信息!B$1:D$65536,3,0)</f>
        <v>#N/A</v>
      </c>
      <c r="AM4168" s="1" t="e">
        <f>VLOOKUP(C:C,[1]基础信息!B$1:E$65536,4,0)</f>
        <v>#N/A</v>
      </c>
      <c r="AN4168" s="1" t="e">
        <f>VLOOKUP(C:C,[1]基础信息!B$1:F$65536,5,0)</f>
        <v>#N/A</v>
      </c>
    </row>
    <row r="4169" spans="1:40">
      <c r="A4169" s="1" t="s">
        <v>41</v>
      </c>
      <c r="B4169" s="1" t="s">
        <v>42</v>
      </c>
      <c r="C4169" s="1" t="s">
        <v>4352</v>
      </c>
      <c r="D4169" s="1" t="s">
        <v>4353</v>
      </c>
      <c r="E4169" s="1" t="s">
        <v>45</v>
      </c>
      <c r="F4169" s="1" t="s">
        <v>9557</v>
      </c>
      <c r="G4169" s="1" t="s">
        <v>9555</v>
      </c>
      <c r="H4169" s="1" t="s">
        <v>45</v>
      </c>
      <c r="I4169" s="1" t="s">
        <v>49</v>
      </c>
      <c r="J4169" s="1" t="s">
        <v>48</v>
      </c>
      <c r="K4169" s="1">
        <v>7</v>
      </c>
      <c r="L4169" s="1">
        <v>0</v>
      </c>
      <c r="M4169" s="1">
        <v>0</v>
      </c>
      <c r="N4169" s="1">
        <v>7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 t="s">
        <v>49</v>
      </c>
      <c r="AA4169" s="1" t="s">
        <v>49</v>
      </c>
      <c r="AB4169" s="1" t="s">
        <v>49</v>
      </c>
      <c r="AC4169" s="1" t="s">
        <v>938</v>
      </c>
      <c r="AD4169" s="1" t="s">
        <v>939</v>
      </c>
      <c r="AE4169" s="1" t="s">
        <v>938</v>
      </c>
      <c r="AF4169" s="1" t="s">
        <v>6779</v>
      </c>
      <c r="AG4169" s="1" t="s">
        <v>7556</v>
      </c>
      <c r="AH4169" s="1" t="s">
        <v>49</v>
      </c>
      <c r="AI4169" s="1" t="s">
        <v>54</v>
      </c>
      <c r="AJ4169" s="1">
        <v>1</v>
      </c>
      <c r="AK4169" s="1" t="str">
        <f t="shared" si="65"/>
        <v xml:space="preserve"> =&lt;90</v>
      </c>
      <c r="AL4169" s="1" t="e">
        <f>VLOOKUP(C:C,[1]基础信息!B$1:D$65536,3,0)</f>
        <v>#N/A</v>
      </c>
      <c r="AM4169" s="1" t="e">
        <f>VLOOKUP(C:C,[1]基础信息!B$1:E$65536,4,0)</f>
        <v>#N/A</v>
      </c>
      <c r="AN4169" s="1" t="e">
        <f>VLOOKUP(C:C,[1]基础信息!B$1:F$65536,5,0)</f>
        <v>#N/A</v>
      </c>
    </row>
    <row r="4170" spans="1:40">
      <c r="A4170" s="1" t="s">
        <v>41</v>
      </c>
      <c r="B4170" s="1" t="s">
        <v>42</v>
      </c>
      <c r="C4170" s="1" t="s">
        <v>56</v>
      </c>
      <c r="D4170" s="1" t="s">
        <v>57</v>
      </c>
      <c r="E4170" s="1" t="s">
        <v>45</v>
      </c>
      <c r="F4170" s="1" t="s">
        <v>9558</v>
      </c>
      <c r="G4170" s="1" t="s">
        <v>9559</v>
      </c>
      <c r="H4170" s="1" t="s">
        <v>45</v>
      </c>
      <c r="I4170" s="1" t="s">
        <v>45</v>
      </c>
      <c r="J4170" s="1" t="s">
        <v>48</v>
      </c>
      <c r="K4170" s="1">
        <v>31</v>
      </c>
      <c r="L4170" s="1">
        <v>0</v>
      </c>
      <c r="M4170" s="1">
        <v>0</v>
      </c>
      <c r="N4170" s="1">
        <v>31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 t="s">
        <v>49</v>
      </c>
      <c r="AA4170" s="1" t="s">
        <v>49</v>
      </c>
      <c r="AB4170" s="1" t="s">
        <v>49</v>
      </c>
      <c r="AC4170" s="1" t="s">
        <v>9560</v>
      </c>
      <c r="AD4170" s="1" t="s">
        <v>9561</v>
      </c>
      <c r="AE4170" s="1" t="s">
        <v>9560</v>
      </c>
      <c r="AF4170" s="1" t="s">
        <v>49</v>
      </c>
      <c r="AG4170" s="1" t="s">
        <v>227</v>
      </c>
      <c r="AH4170" s="1" t="s">
        <v>49</v>
      </c>
      <c r="AI4170" s="1" t="s">
        <v>54</v>
      </c>
      <c r="AJ4170" s="1">
        <v>1</v>
      </c>
      <c r="AK4170" s="1" t="str">
        <f t="shared" si="65"/>
        <v xml:space="preserve"> =&lt;90</v>
      </c>
      <c r="AL4170" s="1" t="str">
        <f>VLOOKUP(C:C,[1]基础信息!B$1:D$65536,3,0)</f>
        <v>Jug</v>
      </c>
      <c r="AM4170" s="1" t="str">
        <f>VLOOKUP(C:C,[1]基础信息!B$1:E$65536,4,0)</f>
        <v>Marella XL</v>
      </c>
      <c r="AN4170" s="1" t="str">
        <f>VLOOKUP(C:C,[1]基础信息!B$1:F$65536,5,0)</f>
        <v>Blue</v>
      </c>
    </row>
    <row r="4171" spans="1:40">
      <c r="A4171" s="1" t="s">
        <v>41</v>
      </c>
      <c r="B4171" s="1" t="s">
        <v>42</v>
      </c>
      <c r="C4171" s="1" t="s">
        <v>43</v>
      </c>
      <c r="D4171" s="1" t="s">
        <v>44</v>
      </c>
      <c r="E4171" s="1" t="s">
        <v>45</v>
      </c>
      <c r="F4171" s="1" t="s">
        <v>9562</v>
      </c>
      <c r="G4171" s="1" t="s">
        <v>9563</v>
      </c>
      <c r="H4171" s="1" t="s">
        <v>45</v>
      </c>
      <c r="I4171" s="1" t="s">
        <v>45</v>
      </c>
      <c r="J4171" s="1" t="s">
        <v>48</v>
      </c>
      <c r="K4171" s="1">
        <v>8</v>
      </c>
      <c r="L4171" s="1">
        <v>0</v>
      </c>
      <c r="M4171" s="1">
        <v>0</v>
      </c>
      <c r="N4171" s="1">
        <v>8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 t="s">
        <v>49</v>
      </c>
      <c r="AA4171" s="1" t="s">
        <v>49</v>
      </c>
      <c r="AB4171" s="1" t="s">
        <v>49</v>
      </c>
      <c r="AC4171" s="1" t="s">
        <v>5506</v>
      </c>
      <c r="AD4171" s="1" t="s">
        <v>5507</v>
      </c>
      <c r="AE4171" s="1" t="s">
        <v>5506</v>
      </c>
      <c r="AF4171" s="1" t="s">
        <v>49</v>
      </c>
      <c r="AG4171" s="1" t="s">
        <v>1952</v>
      </c>
      <c r="AH4171" s="1" t="s">
        <v>49</v>
      </c>
      <c r="AI4171" s="1" t="s">
        <v>54</v>
      </c>
      <c r="AJ4171" s="1">
        <v>1</v>
      </c>
      <c r="AK4171" s="1" t="str">
        <f t="shared" si="65"/>
        <v xml:space="preserve"> =&lt;90</v>
      </c>
      <c r="AL4171" s="1" t="str">
        <f>VLOOKUP(C:C,[1]基础信息!B$1:D$65536,3,0)</f>
        <v>Jug</v>
      </c>
      <c r="AM4171" s="1" t="str">
        <f>VLOOKUP(C:C,[1]基础信息!B$1:E$65536,4,0)</f>
        <v>Marella XL</v>
      </c>
      <c r="AN4171" s="1" t="str">
        <f>VLOOKUP(C:C,[1]基础信息!B$1:F$65536,5,0)</f>
        <v>Black</v>
      </c>
    </row>
    <row r="4172" spans="1:40">
      <c r="A4172" s="1" t="s">
        <v>41</v>
      </c>
      <c r="B4172" s="1" t="s">
        <v>42</v>
      </c>
      <c r="C4172" s="1" t="s">
        <v>3826</v>
      </c>
      <c r="D4172" s="1" t="s">
        <v>3827</v>
      </c>
      <c r="E4172" s="1" t="s">
        <v>45</v>
      </c>
      <c r="F4172" s="1" t="s">
        <v>9564</v>
      </c>
      <c r="G4172" s="1" t="s">
        <v>9565</v>
      </c>
      <c r="H4172" s="1" t="s">
        <v>45</v>
      </c>
      <c r="I4172" s="1" t="s">
        <v>45</v>
      </c>
      <c r="J4172" s="1" t="s">
        <v>48</v>
      </c>
      <c r="K4172" s="1">
        <v>4</v>
      </c>
      <c r="L4172" s="1">
        <v>0</v>
      </c>
      <c r="M4172" s="1">
        <v>0</v>
      </c>
      <c r="N4172" s="1">
        <v>4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 t="s">
        <v>49</v>
      </c>
      <c r="AA4172" s="1" t="s">
        <v>49</v>
      </c>
      <c r="AB4172" s="1" t="s">
        <v>49</v>
      </c>
      <c r="AC4172" s="1" t="s">
        <v>9566</v>
      </c>
      <c r="AD4172" s="1" t="s">
        <v>9567</v>
      </c>
      <c r="AE4172" s="1" t="s">
        <v>9566</v>
      </c>
      <c r="AF4172" s="1" t="s">
        <v>3833</v>
      </c>
      <c r="AG4172" s="1" t="s">
        <v>1952</v>
      </c>
      <c r="AH4172" s="1" t="s">
        <v>8988</v>
      </c>
      <c r="AI4172" s="1" t="s">
        <v>54</v>
      </c>
      <c r="AJ4172" s="1">
        <v>1</v>
      </c>
      <c r="AK4172" s="1" t="str">
        <f t="shared" si="65"/>
        <v xml:space="preserve"> =&lt;90</v>
      </c>
      <c r="AL4172" s="1" t="str">
        <f>VLOOKUP(C:C,[1]基础信息!B$1:D$65536,3,0)</f>
        <v>Jug</v>
      </c>
      <c r="AM4172" s="1" t="str">
        <f>VLOOKUP(C:C,[1]基础信息!B$1:E$65536,4,0)</f>
        <v>Marella XL</v>
      </c>
      <c r="AN4172" s="1" t="str">
        <f>VLOOKUP(C:C,[1]基础信息!B$1:F$65536,5,0)</f>
        <v>Blue</v>
      </c>
    </row>
    <row r="4173" spans="1:40">
      <c r="A4173" s="1" t="s">
        <v>41</v>
      </c>
      <c r="B4173" s="1" t="s">
        <v>42</v>
      </c>
      <c r="C4173" s="1" t="s">
        <v>4352</v>
      </c>
      <c r="D4173" s="1" t="s">
        <v>4353</v>
      </c>
      <c r="E4173" s="1" t="s">
        <v>45</v>
      </c>
      <c r="F4173" s="1" t="s">
        <v>9568</v>
      </c>
      <c r="G4173" s="1" t="s">
        <v>9569</v>
      </c>
      <c r="H4173" s="1" t="s">
        <v>45</v>
      </c>
      <c r="I4173" s="1" t="s">
        <v>49</v>
      </c>
      <c r="J4173" s="1" t="s">
        <v>48</v>
      </c>
      <c r="K4173" s="1">
        <v>1</v>
      </c>
      <c r="L4173" s="1">
        <v>0</v>
      </c>
      <c r="M4173" s="1">
        <v>0</v>
      </c>
      <c r="N4173" s="1">
        <v>1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 t="s">
        <v>49</v>
      </c>
      <c r="AA4173" s="1" t="s">
        <v>49</v>
      </c>
      <c r="AB4173" s="1" t="s">
        <v>49</v>
      </c>
      <c r="AC4173" s="1" t="s">
        <v>7542</v>
      </c>
      <c r="AD4173" s="1" t="s">
        <v>7650</v>
      </c>
      <c r="AE4173" s="1" t="s">
        <v>7542</v>
      </c>
      <c r="AF4173" s="1" t="s">
        <v>9570</v>
      </c>
      <c r="AG4173" s="1" t="s">
        <v>7556</v>
      </c>
      <c r="AH4173" s="1" t="s">
        <v>49</v>
      </c>
      <c r="AI4173" s="1" t="s">
        <v>54</v>
      </c>
      <c r="AJ4173" s="1">
        <v>1</v>
      </c>
      <c r="AK4173" s="1" t="str">
        <f t="shared" si="65"/>
        <v xml:space="preserve"> =&lt;90</v>
      </c>
      <c r="AL4173" s="1" t="e">
        <f>VLOOKUP(C:C,[1]基础信息!B$1:D$65536,3,0)</f>
        <v>#N/A</v>
      </c>
      <c r="AM4173" s="1" t="e">
        <f>VLOOKUP(C:C,[1]基础信息!B$1:E$65536,4,0)</f>
        <v>#N/A</v>
      </c>
      <c r="AN4173" s="1" t="e">
        <f>VLOOKUP(C:C,[1]基础信息!B$1:F$65536,5,0)</f>
        <v>#N/A</v>
      </c>
    </row>
    <row r="4174" spans="1:40">
      <c r="A4174" s="1" t="s">
        <v>41</v>
      </c>
      <c r="B4174" s="1" t="s">
        <v>42</v>
      </c>
      <c r="C4174" s="1" t="s">
        <v>4438</v>
      </c>
      <c r="D4174" s="1" t="s">
        <v>4439</v>
      </c>
      <c r="E4174" s="1" t="s">
        <v>45</v>
      </c>
      <c r="F4174" s="1" t="s">
        <v>9571</v>
      </c>
      <c r="G4174" s="1" t="s">
        <v>9572</v>
      </c>
      <c r="H4174" s="1" t="s">
        <v>45</v>
      </c>
      <c r="I4174" s="1" t="s">
        <v>45</v>
      </c>
      <c r="J4174" s="1" t="s">
        <v>48</v>
      </c>
      <c r="K4174" s="1">
        <v>4</v>
      </c>
      <c r="L4174" s="1">
        <v>0</v>
      </c>
      <c r="M4174" s="1">
        <v>0</v>
      </c>
      <c r="N4174" s="1">
        <v>4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 t="s">
        <v>49</v>
      </c>
      <c r="AA4174" s="1" t="s">
        <v>49</v>
      </c>
      <c r="AB4174" s="1" t="s">
        <v>49</v>
      </c>
      <c r="AC4174" s="1" t="s">
        <v>206</v>
      </c>
      <c r="AD4174" s="1" t="s">
        <v>9102</v>
      </c>
      <c r="AE4174" s="1" t="s">
        <v>206</v>
      </c>
      <c r="AF4174" s="1" t="s">
        <v>49</v>
      </c>
      <c r="AG4174" s="1" t="s">
        <v>7747</v>
      </c>
      <c r="AH4174" s="1" t="s">
        <v>49</v>
      </c>
      <c r="AI4174" s="1" t="s">
        <v>54</v>
      </c>
      <c r="AJ4174" s="1">
        <v>1</v>
      </c>
      <c r="AK4174" s="1" t="str">
        <f t="shared" si="65"/>
        <v xml:space="preserve"> =&lt;90</v>
      </c>
      <c r="AL4174" s="1" t="str">
        <f>VLOOKUP(C:C,[1]基础信息!B$1:D$65536,3,0)</f>
        <v>Hotcup</v>
      </c>
      <c r="AM4174" s="1" t="str">
        <f>VLOOKUP(C:C,[1]基础信息!B$1:E$65536,4,0)</f>
        <v>Hotcup</v>
      </c>
      <c r="AN4174" s="1" t="str">
        <f>VLOOKUP(C:C,[1]基础信息!B$1:F$65536,5,0)</f>
        <v xml:space="preserve"> green</v>
      </c>
    </row>
    <row r="4175" spans="1:40">
      <c r="A4175" s="1" t="s">
        <v>41</v>
      </c>
      <c r="B4175" s="1" t="s">
        <v>42</v>
      </c>
      <c r="C4175" s="1" t="s">
        <v>9573</v>
      </c>
      <c r="D4175" s="1" t="s">
        <v>9574</v>
      </c>
      <c r="E4175" s="1" t="s">
        <v>45</v>
      </c>
      <c r="F4175" s="1" t="s">
        <v>9575</v>
      </c>
      <c r="G4175" s="1" t="s">
        <v>9576</v>
      </c>
      <c r="H4175" s="1" t="s">
        <v>45</v>
      </c>
      <c r="I4175" s="1" t="s">
        <v>45</v>
      </c>
      <c r="J4175" s="1" t="s">
        <v>48</v>
      </c>
      <c r="K4175" s="1">
        <v>38</v>
      </c>
      <c r="L4175" s="1">
        <v>0</v>
      </c>
      <c r="M4175" s="1">
        <v>0</v>
      </c>
      <c r="N4175" s="1">
        <v>38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 t="s">
        <v>49</v>
      </c>
      <c r="AA4175" s="1" t="s">
        <v>49</v>
      </c>
      <c r="AB4175" s="1" t="s">
        <v>49</v>
      </c>
      <c r="AC4175" s="1" t="s">
        <v>4660</v>
      </c>
      <c r="AD4175" s="1" t="s">
        <v>4661</v>
      </c>
      <c r="AE4175" s="1" t="s">
        <v>4660</v>
      </c>
      <c r="AF4175" s="1" t="s">
        <v>49</v>
      </c>
      <c r="AG4175" s="1" t="s">
        <v>6921</v>
      </c>
      <c r="AH4175" s="1" t="s">
        <v>49</v>
      </c>
      <c r="AI4175" s="1" t="s">
        <v>54</v>
      </c>
      <c r="AJ4175" s="1">
        <v>1</v>
      </c>
      <c r="AK4175" s="1" t="str">
        <f t="shared" si="65"/>
        <v xml:space="preserve"> =&lt;90</v>
      </c>
      <c r="AL4175" s="1" t="str">
        <f>VLOOKUP(C:C,[1]基础信息!B$1:D$65536,3,0)</f>
        <v>Jug</v>
      </c>
      <c r="AM4175" s="1" t="str">
        <f>VLOOKUP(C:C,[1]基础信息!B$1:E$65536,4,0)</f>
        <v>Elemaris</v>
      </c>
      <c r="AN4175" s="1" t="str">
        <f>VLOOKUP(C:C,[1]基础信息!B$1:F$65536,5,0)</f>
        <v>White</v>
      </c>
    </row>
    <row r="4176" spans="1:40">
      <c r="A4176" s="1" t="s">
        <v>41</v>
      </c>
      <c r="B4176" s="1" t="s">
        <v>42</v>
      </c>
      <c r="C4176" s="1" t="s">
        <v>8143</v>
      </c>
      <c r="D4176" s="1" t="s">
        <v>8144</v>
      </c>
      <c r="E4176" s="1" t="s">
        <v>45</v>
      </c>
      <c r="F4176" s="1" t="s">
        <v>9577</v>
      </c>
      <c r="G4176" s="1" t="s">
        <v>9578</v>
      </c>
      <c r="H4176" s="1" t="s">
        <v>45</v>
      </c>
      <c r="I4176" s="1" t="s">
        <v>45</v>
      </c>
      <c r="J4176" s="1" t="s">
        <v>48</v>
      </c>
      <c r="K4176" s="1">
        <v>39</v>
      </c>
      <c r="L4176" s="1">
        <v>0</v>
      </c>
      <c r="M4176" s="1">
        <v>0</v>
      </c>
      <c r="N4176" s="1">
        <v>39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 t="s">
        <v>49</v>
      </c>
      <c r="AA4176" s="1" t="s">
        <v>49</v>
      </c>
      <c r="AB4176" s="1" t="s">
        <v>49</v>
      </c>
      <c r="AC4176" s="1" t="s">
        <v>8567</v>
      </c>
      <c r="AD4176" s="1" t="s">
        <v>8568</v>
      </c>
      <c r="AE4176" s="1" t="s">
        <v>8567</v>
      </c>
      <c r="AF4176" s="1" t="s">
        <v>49</v>
      </c>
      <c r="AG4176" s="1" t="s">
        <v>1952</v>
      </c>
      <c r="AH4176" s="1" t="s">
        <v>49</v>
      </c>
      <c r="AI4176" s="1" t="s">
        <v>54</v>
      </c>
      <c r="AJ4176" s="1">
        <v>1</v>
      </c>
      <c r="AK4176" s="1" t="str">
        <f t="shared" si="65"/>
        <v xml:space="preserve"> =&lt;90</v>
      </c>
      <c r="AL4176" s="1" t="str">
        <f>VLOOKUP(C:C,[1]基础信息!B$1:D$65536,3,0)</f>
        <v>Jug</v>
      </c>
      <c r="AM4176" s="1" t="str">
        <f>VLOOKUP(C:C,[1]基础信息!B$1:E$65536,4,0)</f>
        <v>Style</v>
      </c>
      <c r="AN4176" s="1" t="str">
        <f>VLOOKUP(C:C,[1]基础信息!B$1:F$65536,5,0)</f>
        <v>Lime</v>
      </c>
    </row>
    <row r="4177" spans="1:40">
      <c r="A4177" s="1" t="s">
        <v>41</v>
      </c>
      <c r="B4177" s="1" t="s">
        <v>42</v>
      </c>
      <c r="C4177" s="1" t="s">
        <v>1116</v>
      </c>
      <c r="D4177" s="1" t="s">
        <v>1117</v>
      </c>
      <c r="E4177" s="1" t="s">
        <v>1116</v>
      </c>
      <c r="F4177" s="1" t="s">
        <v>9579</v>
      </c>
      <c r="G4177" s="1" t="s">
        <v>9580</v>
      </c>
      <c r="H4177" s="1" t="s">
        <v>45</v>
      </c>
      <c r="I4177" s="1" t="s">
        <v>45</v>
      </c>
      <c r="J4177" s="1" t="s">
        <v>48</v>
      </c>
      <c r="K4177" s="1">
        <v>20</v>
      </c>
      <c r="L4177" s="1">
        <v>0</v>
      </c>
      <c r="M4177" s="1">
        <v>0</v>
      </c>
      <c r="N4177" s="1">
        <v>20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 t="s">
        <v>49</v>
      </c>
      <c r="AA4177" s="1" t="s">
        <v>49</v>
      </c>
      <c r="AB4177" s="1" t="s">
        <v>49</v>
      </c>
      <c r="AC4177" s="1" t="s">
        <v>3719</v>
      </c>
      <c r="AD4177" s="1" t="s">
        <v>3720</v>
      </c>
      <c r="AE4177" s="1" t="s">
        <v>3719</v>
      </c>
      <c r="AF4177" s="1" t="s">
        <v>49</v>
      </c>
      <c r="AG4177" s="1" t="s">
        <v>9088</v>
      </c>
      <c r="AH4177" s="1" t="s">
        <v>49</v>
      </c>
      <c r="AI4177" s="1" t="s">
        <v>54</v>
      </c>
      <c r="AJ4177" s="1">
        <v>1</v>
      </c>
      <c r="AK4177" s="1" t="str">
        <f t="shared" si="65"/>
        <v xml:space="preserve"> =&lt;90</v>
      </c>
      <c r="AL4177" s="1" t="str">
        <f>VLOOKUP(C:C,[1]基础信息!B$1:D$65536,3,0)</f>
        <v>UTS</v>
      </c>
      <c r="AM4177" s="1" t="str">
        <f>VLOOKUP(C:C,[1]基础信息!B$1:E$65536,4,0)</f>
        <v>MyPure Pro</v>
      </c>
      <c r="AN4177" s="1" t="str">
        <f>VLOOKUP(C:C,[1]基础信息!B$1:F$65536,5,0)</f>
        <v>Refill</v>
      </c>
    </row>
    <row r="4178" spans="1:40">
      <c r="A4178" s="1" t="s">
        <v>41</v>
      </c>
      <c r="B4178" s="1" t="s">
        <v>42</v>
      </c>
      <c r="C4178" s="1" t="s">
        <v>7717</v>
      </c>
      <c r="D4178" s="1" t="s">
        <v>7718</v>
      </c>
      <c r="E4178" s="1" t="s">
        <v>45</v>
      </c>
      <c r="F4178" s="1" t="s">
        <v>9133</v>
      </c>
      <c r="G4178" s="1" t="s">
        <v>9581</v>
      </c>
      <c r="H4178" s="1" t="s">
        <v>45</v>
      </c>
      <c r="I4178" s="1" t="s">
        <v>45</v>
      </c>
      <c r="J4178" s="1" t="s">
        <v>48</v>
      </c>
      <c r="K4178" s="1">
        <v>7</v>
      </c>
      <c r="L4178" s="1">
        <v>0</v>
      </c>
      <c r="M4178" s="1">
        <v>0</v>
      </c>
      <c r="N4178" s="1">
        <v>7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 t="s">
        <v>49</v>
      </c>
      <c r="AA4178" s="1" t="s">
        <v>49</v>
      </c>
      <c r="AB4178" s="1" t="s">
        <v>49</v>
      </c>
      <c r="AC4178" s="1" t="s">
        <v>9130</v>
      </c>
      <c r="AD4178" s="1" t="s">
        <v>9131</v>
      </c>
      <c r="AE4178" s="1" t="s">
        <v>9130</v>
      </c>
      <c r="AF4178" s="1" t="s">
        <v>49</v>
      </c>
      <c r="AG4178" s="1" t="s">
        <v>7747</v>
      </c>
      <c r="AH4178" s="1" t="s">
        <v>49</v>
      </c>
      <c r="AI4178" s="1" t="s">
        <v>54</v>
      </c>
      <c r="AJ4178" s="1">
        <v>1</v>
      </c>
      <c r="AK4178" s="1" t="str">
        <f t="shared" si="65"/>
        <v xml:space="preserve"> =&lt;90</v>
      </c>
      <c r="AL4178" s="1" t="str">
        <f>VLOOKUP(C:C,[1]基础信息!B$1:D$65536,3,0)</f>
        <v>Hotcup</v>
      </c>
      <c r="AM4178" s="1" t="str">
        <f>VLOOKUP(C:C,[1]基础信息!B$1:E$65536,4,0)</f>
        <v>Hotcup</v>
      </c>
      <c r="AN4178" s="1" t="str">
        <f>VLOOKUP(C:C,[1]基础信息!B$1:F$65536,5,0)</f>
        <v>Silver</v>
      </c>
    </row>
    <row r="4179" spans="1:40">
      <c r="A4179" s="1" t="s">
        <v>41</v>
      </c>
      <c r="B4179" s="1" t="s">
        <v>42</v>
      </c>
      <c r="C4179" s="1" t="s">
        <v>359</v>
      </c>
      <c r="D4179" s="1" t="s">
        <v>360</v>
      </c>
      <c r="E4179" s="1" t="s">
        <v>45</v>
      </c>
      <c r="F4179" s="1" t="s">
        <v>9582</v>
      </c>
      <c r="G4179" s="1" t="s">
        <v>9583</v>
      </c>
      <c r="H4179" s="1" t="s">
        <v>45</v>
      </c>
      <c r="I4179" s="1" t="s">
        <v>45</v>
      </c>
      <c r="J4179" s="1" t="s">
        <v>48</v>
      </c>
      <c r="K4179" s="1">
        <v>13</v>
      </c>
      <c r="L4179" s="1">
        <v>0</v>
      </c>
      <c r="M4179" s="1">
        <v>0</v>
      </c>
      <c r="N4179" s="1">
        <v>13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 t="s">
        <v>49</v>
      </c>
      <c r="AA4179" s="1" t="s">
        <v>49</v>
      </c>
      <c r="AB4179" s="1" t="s">
        <v>49</v>
      </c>
      <c r="AC4179" s="1" t="s">
        <v>9044</v>
      </c>
      <c r="AD4179" s="1" t="s">
        <v>9319</v>
      </c>
      <c r="AE4179" s="1" t="s">
        <v>9044</v>
      </c>
      <c r="AF4179" s="1" t="s">
        <v>49</v>
      </c>
      <c r="AG4179" s="1" t="s">
        <v>9096</v>
      </c>
      <c r="AH4179" s="1" t="s">
        <v>8988</v>
      </c>
      <c r="AI4179" s="1" t="s">
        <v>54</v>
      </c>
      <c r="AJ4179" s="1">
        <v>1</v>
      </c>
      <c r="AK4179" s="1" t="str">
        <f t="shared" si="65"/>
        <v xml:space="preserve"> =&lt;90</v>
      </c>
      <c r="AL4179" s="1" t="e">
        <f>VLOOKUP(C:C,[1]基础信息!B$1:D$65536,3,0)</f>
        <v>#N/A</v>
      </c>
      <c r="AM4179" s="1" t="e">
        <f>VLOOKUP(C:C,[1]基础信息!B$1:E$65536,4,0)</f>
        <v>#N/A</v>
      </c>
      <c r="AN4179" s="1" t="e">
        <f>VLOOKUP(C:C,[1]基础信息!B$1:F$65536,5,0)</f>
        <v>#N/A</v>
      </c>
    </row>
    <row r="4180" spans="1:40">
      <c r="A4180" s="1" t="s">
        <v>41</v>
      </c>
      <c r="B4180" s="1" t="s">
        <v>42</v>
      </c>
      <c r="C4180" s="1" t="s">
        <v>6914</v>
      </c>
      <c r="D4180" s="1" t="s">
        <v>6915</v>
      </c>
      <c r="E4180" s="1" t="s">
        <v>45</v>
      </c>
      <c r="F4180" s="1" t="s">
        <v>9584</v>
      </c>
      <c r="G4180" s="1" t="s">
        <v>9585</v>
      </c>
      <c r="H4180" s="1" t="s">
        <v>45</v>
      </c>
      <c r="I4180" s="1" t="s">
        <v>45</v>
      </c>
      <c r="J4180" s="1" t="s">
        <v>48</v>
      </c>
      <c r="K4180" s="1">
        <v>1</v>
      </c>
      <c r="L4180" s="1">
        <v>0</v>
      </c>
      <c r="M4180" s="1">
        <v>0</v>
      </c>
      <c r="N4180" s="1">
        <v>1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 t="s">
        <v>49</v>
      </c>
      <c r="AA4180" s="1" t="s">
        <v>49</v>
      </c>
      <c r="AB4180" s="1" t="s">
        <v>49</v>
      </c>
      <c r="AC4180" s="1" t="s">
        <v>4370</v>
      </c>
      <c r="AD4180" s="1" t="s">
        <v>4371</v>
      </c>
      <c r="AE4180" s="1" t="s">
        <v>4370</v>
      </c>
      <c r="AF4180" s="1" t="s">
        <v>49</v>
      </c>
      <c r="AG4180" s="1" t="s">
        <v>3464</v>
      </c>
      <c r="AH4180" s="1" t="s">
        <v>49</v>
      </c>
      <c r="AI4180" s="1" t="s">
        <v>54</v>
      </c>
      <c r="AJ4180" s="1">
        <v>1</v>
      </c>
      <c r="AK4180" s="1" t="str">
        <f t="shared" si="65"/>
        <v xml:space="preserve"> =&lt;90</v>
      </c>
      <c r="AL4180" s="1" t="str">
        <f>VLOOKUP(C:C,[1]基础信息!B$1:D$65536,3,0)</f>
        <v>Hotcup</v>
      </c>
      <c r="AM4180" s="1" t="str">
        <f>VLOOKUP(C:C,[1]基础信息!B$1:E$65536,4,0)</f>
        <v>Hotcup</v>
      </c>
      <c r="AN4180" s="1" t="str">
        <f>VLOOKUP(C:C,[1]基础信息!B$1:F$65536,5,0)</f>
        <v>Silver</v>
      </c>
    </row>
    <row r="4181" spans="1:40">
      <c r="A4181" s="1" t="s">
        <v>41</v>
      </c>
      <c r="B4181" s="1" t="s">
        <v>42</v>
      </c>
      <c r="C4181" s="1" t="s">
        <v>4253</v>
      </c>
      <c r="D4181" s="1" t="s">
        <v>4254</v>
      </c>
      <c r="E4181" s="1" t="s">
        <v>45</v>
      </c>
      <c r="F4181" s="1" t="s">
        <v>9586</v>
      </c>
      <c r="G4181" s="1" t="s">
        <v>9587</v>
      </c>
      <c r="H4181" s="1" t="s">
        <v>45</v>
      </c>
      <c r="I4181" s="1" t="s">
        <v>45</v>
      </c>
      <c r="J4181" s="1" t="s">
        <v>48</v>
      </c>
      <c r="K4181" s="1">
        <v>29</v>
      </c>
      <c r="L4181" s="1">
        <v>0</v>
      </c>
      <c r="M4181" s="1">
        <v>0</v>
      </c>
      <c r="N4181" s="1">
        <v>29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 t="s">
        <v>49</v>
      </c>
      <c r="AA4181" s="1" t="s">
        <v>49</v>
      </c>
      <c r="AB4181" s="1" t="s">
        <v>49</v>
      </c>
      <c r="AC4181" s="1" t="s">
        <v>5462</v>
      </c>
      <c r="AD4181" s="1" t="s">
        <v>8336</v>
      </c>
      <c r="AE4181" s="1" t="s">
        <v>5462</v>
      </c>
      <c r="AF4181" s="1" t="s">
        <v>49</v>
      </c>
      <c r="AG4181" s="1" t="s">
        <v>76</v>
      </c>
      <c r="AH4181" s="1" t="s">
        <v>49</v>
      </c>
      <c r="AI4181" s="1" t="s">
        <v>54</v>
      </c>
      <c r="AJ4181" s="1">
        <v>1</v>
      </c>
      <c r="AK4181" s="1" t="str">
        <f t="shared" si="65"/>
        <v xml:space="preserve"> =&lt;90</v>
      </c>
      <c r="AL4181" s="1" t="str">
        <f>VLOOKUP(C:C,[1]基础信息!B$1:D$65536,3,0)</f>
        <v xml:space="preserve">Cartridge </v>
      </c>
      <c r="AM4181" s="1" t="str">
        <f>VLOOKUP(C:C,[1]基础信息!B$1:E$65536,4,0)</f>
        <v>UNIV</v>
      </c>
      <c r="AN4181" s="1" t="str">
        <f>VLOOKUP(C:C,[1]基础信息!B$1:F$65536,5,0)</f>
        <v>P6</v>
      </c>
    </row>
    <row r="4182" spans="1:40">
      <c r="A4182" s="1" t="s">
        <v>41</v>
      </c>
      <c r="B4182" s="1" t="s">
        <v>42</v>
      </c>
      <c r="C4182" s="1" t="s">
        <v>3512</v>
      </c>
      <c r="D4182" s="1" t="s">
        <v>3513</v>
      </c>
      <c r="E4182" s="1" t="s">
        <v>45</v>
      </c>
      <c r="F4182" s="1" t="s">
        <v>8389</v>
      </c>
      <c r="G4182" s="1" t="s">
        <v>9588</v>
      </c>
      <c r="H4182" s="1" t="s">
        <v>45</v>
      </c>
      <c r="I4182" s="1" t="s">
        <v>45</v>
      </c>
      <c r="J4182" s="1" t="s">
        <v>48</v>
      </c>
      <c r="K4182" s="1">
        <v>183</v>
      </c>
      <c r="L4182" s="1">
        <v>0</v>
      </c>
      <c r="M4182" s="1">
        <v>0</v>
      </c>
      <c r="N4182" s="1">
        <v>183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 t="s">
        <v>49</v>
      </c>
      <c r="AA4182" s="1" t="s">
        <v>49</v>
      </c>
      <c r="AB4182" s="1" t="s">
        <v>49</v>
      </c>
      <c r="AC4182" s="1" t="s">
        <v>5462</v>
      </c>
      <c r="AD4182" s="1" t="s">
        <v>8336</v>
      </c>
      <c r="AE4182" s="1" t="s">
        <v>5462</v>
      </c>
      <c r="AF4182" s="1" t="s">
        <v>49</v>
      </c>
      <c r="AG4182" s="1" t="s">
        <v>3464</v>
      </c>
      <c r="AH4182" s="1" t="s">
        <v>49</v>
      </c>
      <c r="AI4182" s="1" t="s">
        <v>54</v>
      </c>
      <c r="AJ4182" s="1">
        <v>1</v>
      </c>
      <c r="AK4182" s="1" t="str">
        <f t="shared" si="65"/>
        <v xml:space="preserve"> =&lt;90</v>
      </c>
      <c r="AL4182" s="1" t="str">
        <f>VLOOKUP(C:C,[1]基础信息!B$1:D$65536,3,0)</f>
        <v xml:space="preserve">Cartridge </v>
      </c>
      <c r="AM4182" s="1" t="str">
        <f>VLOOKUP(C:C,[1]基础信息!B$1:E$65536,4,0)</f>
        <v>UNIV</v>
      </c>
      <c r="AN4182" s="1" t="str">
        <f>VLOOKUP(C:C,[1]基础信息!B$1:F$65536,5,0)</f>
        <v>P3</v>
      </c>
    </row>
    <row r="4183" spans="1:40">
      <c r="A4183" s="1" t="s">
        <v>41</v>
      </c>
      <c r="B4183" s="1" t="s">
        <v>42</v>
      </c>
      <c r="C4183" s="1" t="s">
        <v>8190</v>
      </c>
      <c r="D4183" s="1" t="s">
        <v>8191</v>
      </c>
      <c r="E4183" s="1" t="s">
        <v>45</v>
      </c>
      <c r="F4183" s="1" t="s">
        <v>9589</v>
      </c>
      <c r="G4183" s="1" t="s">
        <v>9590</v>
      </c>
      <c r="H4183" s="1" t="s">
        <v>45</v>
      </c>
      <c r="I4183" s="1" t="s">
        <v>45</v>
      </c>
      <c r="J4183" s="1" t="s">
        <v>48</v>
      </c>
      <c r="K4183" s="1">
        <v>120</v>
      </c>
      <c r="L4183" s="1">
        <v>0</v>
      </c>
      <c r="M4183" s="1">
        <v>0</v>
      </c>
      <c r="N4183" s="1">
        <v>120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 t="s">
        <v>49</v>
      </c>
      <c r="AA4183" s="1" t="s">
        <v>49</v>
      </c>
      <c r="AB4183" s="1" t="s">
        <v>49</v>
      </c>
      <c r="AC4183" s="1" t="s">
        <v>3363</v>
      </c>
      <c r="AD4183" s="1" t="s">
        <v>6480</v>
      </c>
      <c r="AE4183" s="1" t="s">
        <v>3363</v>
      </c>
      <c r="AF4183" s="1" t="s">
        <v>49</v>
      </c>
      <c r="AG4183" s="1" t="s">
        <v>3464</v>
      </c>
      <c r="AH4183" s="1" t="s">
        <v>49</v>
      </c>
      <c r="AI4183" s="1" t="s">
        <v>54</v>
      </c>
      <c r="AJ4183" s="1">
        <v>1</v>
      </c>
      <c r="AK4183" s="1" t="str">
        <f t="shared" si="65"/>
        <v xml:space="preserve"> =&lt;90</v>
      </c>
      <c r="AL4183" s="1" t="str">
        <f>VLOOKUP(C:C,[1]基础信息!B$1:D$65536,3,0)</f>
        <v xml:space="preserve">Cartridge </v>
      </c>
      <c r="AM4183" s="1" t="str">
        <f>VLOOKUP(C:C,[1]基础信息!B$1:E$65536,4,0)</f>
        <v>LM</v>
      </c>
      <c r="AN4183" s="1" t="str">
        <f>VLOOKUP(C:C,[1]基础信息!B$1:F$65536,5,0)</f>
        <v>P6</v>
      </c>
    </row>
    <row r="4184" spans="1:40">
      <c r="A4184" s="1" t="s">
        <v>41</v>
      </c>
      <c r="B4184" s="1" t="s">
        <v>42</v>
      </c>
      <c r="C4184" s="1" t="s">
        <v>9489</v>
      </c>
      <c r="D4184" s="1" t="s">
        <v>9490</v>
      </c>
      <c r="E4184" s="1" t="s">
        <v>9489</v>
      </c>
      <c r="F4184" s="1" t="s">
        <v>9591</v>
      </c>
      <c r="G4184" s="1" t="s">
        <v>9592</v>
      </c>
      <c r="H4184" s="1" t="s">
        <v>45</v>
      </c>
      <c r="I4184" s="1" t="s">
        <v>45</v>
      </c>
      <c r="J4184" s="1" t="s">
        <v>48</v>
      </c>
      <c r="K4184" s="1">
        <v>18</v>
      </c>
      <c r="L4184" s="1">
        <v>0</v>
      </c>
      <c r="M4184" s="1">
        <v>0</v>
      </c>
      <c r="N4184" s="1">
        <v>18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 t="s">
        <v>49</v>
      </c>
      <c r="AA4184" s="1" t="s">
        <v>49</v>
      </c>
      <c r="AB4184" s="1" t="s">
        <v>49</v>
      </c>
      <c r="AC4184" s="1" t="s">
        <v>9092</v>
      </c>
      <c r="AD4184" s="1" t="s">
        <v>3025</v>
      </c>
      <c r="AE4184" s="1" t="s">
        <v>215</v>
      </c>
      <c r="AF4184" s="1" t="s">
        <v>49</v>
      </c>
      <c r="AG4184" s="1" t="s">
        <v>3464</v>
      </c>
      <c r="AH4184" s="1" t="s">
        <v>49</v>
      </c>
      <c r="AI4184" s="1" t="s">
        <v>54</v>
      </c>
      <c r="AJ4184" s="1">
        <v>1</v>
      </c>
      <c r="AK4184" s="1" t="str">
        <f t="shared" si="65"/>
        <v xml:space="preserve"> =&lt;90</v>
      </c>
      <c r="AL4184" s="1" t="str">
        <f>VLOOKUP(C:C,[1]基础信息!B$1:D$65536,3,0)</f>
        <v>Jug</v>
      </c>
      <c r="AM4184" s="1" t="str">
        <f>VLOOKUP(C:C,[1]基础信息!B$1:E$65536,4,0)</f>
        <v>Aluna</v>
      </c>
      <c r="AN4184" s="1" t="str">
        <f>VLOOKUP(C:C,[1]基础信息!B$1:F$65536,5,0)</f>
        <v>Blue</v>
      </c>
    </row>
    <row r="4185" spans="1:40">
      <c r="A4185" s="1" t="s">
        <v>41</v>
      </c>
      <c r="B4185" s="1" t="s">
        <v>42</v>
      </c>
      <c r="C4185" s="1" t="s">
        <v>8124</v>
      </c>
      <c r="D4185" s="1" t="s">
        <v>8125</v>
      </c>
      <c r="E4185" s="1" t="s">
        <v>45</v>
      </c>
      <c r="F4185" s="1" t="s">
        <v>9593</v>
      </c>
      <c r="G4185" s="1" t="s">
        <v>9594</v>
      </c>
      <c r="H4185" s="1" t="s">
        <v>45</v>
      </c>
      <c r="I4185" s="1" t="s">
        <v>45</v>
      </c>
      <c r="J4185" s="1" t="s">
        <v>48</v>
      </c>
      <c r="K4185" s="1">
        <v>31</v>
      </c>
      <c r="L4185" s="1">
        <v>0</v>
      </c>
      <c r="M4185" s="1">
        <v>0</v>
      </c>
      <c r="N4185" s="1">
        <v>31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 t="s">
        <v>49</v>
      </c>
      <c r="AA4185" s="1" t="s">
        <v>49</v>
      </c>
      <c r="AB4185" s="1" t="s">
        <v>49</v>
      </c>
      <c r="AC4185" s="1" t="s">
        <v>8567</v>
      </c>
      <c r="AD4185" s="1" t="s">
        <v>8568</v>
      </c>
      <c r="AE4185" s="1" t="s">
        <v>8567</v>
      </c>
      <c r="AF4185" s="1" t="s">
        <v>49</v>
      </c>
      <c r="AG4185" s="1" t="s">
        <v>1952</v>
      </c>
      <c r="AH4185" s="1" t="s">
        <v>49</v>
      </c>
      <c r="AI4185" s="1" t="s">
        <v>54</v>
      </c>
      <c r="AJ4185" s="1">
        <v>1</v>
      </c>
      <c r="AK4185" s="1" t="str">
        <f t="shared" si="65"/>
        <v xml:space="preserve"> =&lt;90</v>
      </c>
      <c r="AL4185" s="1" t="str">
        <f>VLOOKUP(C:C,[1]基础信息!B$1:D$65536,3,0)</f>
        <v>Jug</v>
      </c>
      <c r="AM4185" s="1" t="str">
        <f>VLOOKUP(C:C,[1]基础信息!B$1:E$65536,4,0)</f>
        <v>Mxplus</v>
      </c>
      <c r="AN4185" s="1" t="str">
        <f>VLOOKUP(C:C,[1]基础信息!B$1:F$65536,5,0)</f>
        <v>Blue</v>
      </c>
    </row>
    <row r="4186" spans="1:40">
      <c r="A4186" s="1" t="s">
        <v>41</v>
      </c>
      <c r="B4186" s="1" t="s">
        <v>42</v>
      </c>
      <c r="C4186" s="1" t="s">
        <v>451</v>
      </c>
      <c r="D4186" s="1" t="s">
        <v>452</v>
      </c>
      <c r="E4186" s="1" t="s">
        <v>45</v>
      </c>
      <c r="F4186" s="1" t="s">
        <v>9452</v>
      </c>
      <c r="G4186" s="1" t="s">
        <v>9595</v>
      </c>
      <c r="H4186" s="1" t="s">
        <v>45</v>
      </c>
      <c r="I4186" s="1" t="s">
        <v>45</v>
      </c>
      <c r="J4186" s="1" t="s">
        <v>48</v>
      </c>
      <c r="K4186" s="1">
        <v>2</v>
      </c>
      <c r="L4186" s="1">
        <v>0</v>
      </c>
      <c r="M4186" s="1">
        <v>0</v>
      </c>
      <c r="N4186" s="1">
        <v>2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 t="s">
        <v>49</v>
      </c>
      <c r="AA4186" s="1" t="s">
        <v>49</v>
      </c>
      <c r="AB4186" s="1" t="s">
        <v>49</v>
      </c>
      <c r="AC4186" s="1" t="s">
        <v>727</v>
      </c>
      <c r="AD4186" s="1" t="s">
        <v>728</v>
      </c>
      <c r="AE4186" s="1" t="s">
        <v>727</v>
      </c>
      <c r="AF4186" s="1" t="s">
        <v>49</v>
      </c>
      <c r="AG4186" s="1" t="s">
        <v>7747</v>
      </c>
      <c r="AH4186" s="1" t="s">
        <v>9089</v>
      </c>
      <c r="AI4186" s="1" t="s">
        <v>54</v>
      </c>
      <c r="AJ4186" s="1">
        <v>0</v>
      </c>
      <c r="AK4186" s="1" t="str">
        <f t="shared" si="65"/>
        <v xml:space="preserve"> =&lt;90</v>
      </c>
      <c r="AL4186" s="1" t="str">
        <f>VLOOKUP(C:C,[1]基础信息!B$1:D$65536,3,0)</f>
        <v>UTS</v>
      </c>
      <c r="AM4186" s="1" t="str">
        <f>VLOOKUP(C:C,[1]基础信息!B$1:E$65536,4,0)</f>
        <v>MyPure</v>
      </c>
      <c r="AN4186" s="1" t="str">
        <f>VLOOKUP(C:C,[1]基础信息!B$1:F$65536,5,0)</f>
        <v>R8</v>
      </c>
    </row>
    <row r="4187" spans="1:40">
      <c r="A4187" s="1" t="s">
        <v>41</v>
      </c>
      <c r="B4187" s="1" t="s">
        <v>42</v>
      </c>
      <c r="C4187" s="1" t="s">
        <v>240</v>
      </c>
      <c r="D4187" s="1" t="s">
        <v>241</v>
      </c>
      <c r="E4187" s="1" t="s">
        <v>45</v>
      </c>
      <c r="F4187" s="1" t="s">
        <v>9596</v>
      </c>
      <c r="G4187" s="1" t="s">
        <v>9595</v>
      </c>
      <c r="H4187" s="1" t="s">
        <v>45</v>
      </c>
      <c r="I4187" s="1" t="s">
        <v>45</v>
      </c>
      <c r="J4187" s="1" t="s">
        <v>48</v>
      </c>
      <c r="K4187" s="1">
        <v>1</v>
      </c>
      <c r="L4187" s="1">
        <v>0</v>
      </c>
      <c r="M4187" s="1">
        <v>0</v>
      </c>
      <c r="N4187" s="1">
        <v>1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 t="s">
        <v>49</v>
      </c>
      <c r="AA4187" s="1" t="s">
        <v>49</v>
      </c>
      <c r="AB4187" s="1" t="s">
        <v>49</v>
      </c>
      <c r="AC4187" s="1" t="s">
        <v>9597</v>
      </c>
      <c r="AD4187" s="1" t="s">
        <v>9598</v>
      </c>
      <c r="AE4187" s="1" t="s">
        <v>9597</v>
      </c>
      <c r="AF4187" s="1" t="s">
        <v>49</v>
      </c>
      <c r="AG4187" s="1" t="s">
        <v>7747</v>
      </c>
      <c r="AH4187" s="1" t="s">
        <v>49</v>
      </c>
      <c r="AI4187" s="1" t="s">
        <v>54</v>
      </c>
      <c r="AJ4187" s="1">
        <v>0</v>
      </c>
      <c r="AK4187" s="1" t="str">
        <f t="shared" ref="AK4187:AK4250" si="66">IF(AJ4187&gt;$AP$2,$AQ$2,IF(AJ4187&gt;$AP$3,$AQ$3,IF(AJ4187&gt;$AP$4,$AQ$4,$AQ$5)))</f>
        <v xml:space="preserve"> =&lt;90</v>
      </c>
      <c r="AL4187" s="1" t="str">
        <f>VLOOKUP(C:C,[1]基础信息!B$1:D$65536,3,0)</f>
        <v>UTS</v>
      </c>
      <c r="AM4187" s="1" t="str">
        <f>VLOOKUP(C:C,[1]基础信息!B$1:E$65536,4,0)</f>
        <v>MyPure Pro</v>
      </c>
      <c r="AN4187" s="1" t="str">
        <f>VLOOKUP(C:C,[1]基础信息!B$1:F$65536,5,0)</f>
        <v>X6</v>
      </c>
    </row>
    <row r="4188" spans="1:40">
      <c r="A4188" s="1" t="s">
        <v>41</v>
      </c>
      <c r="B4188" s="1" t="s">
        <v>42</v>
      </c>
      <c r="C4188" s="1" t="s">
        <v>2166</v>
      </c>
      <c r="D4188" s="1" t="s">
        <v>2167</v>
      </c>
      <c r="E4188" s="1" t="s">
        <v>45</v>
      </c>
      <c r="F4188" s="1" t="s">
        <v>9599</v>
      </c>
      <c r="G4188" s="1" t="s">
        <v>9595</v>
      </c>
      <c r="H4188" s="1" t="s">
        <v>45</v>
      </c>
      <c r="I4188" s="1" t="s">
        <v>45</v>
      </c>
      <c r="J4188" s="1" t="s">
        <v>48</v>
      </c>
      <c r="K4188" s="1">
        <v>1</v>
      </c>
      <c r="L4188" s="1">
        <v>0</v>
      </c>
      <c r="M4188" s="1">
        <v>0</v>
      </c>
      <c r="N4188" s="1">
        <v>1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 t="s">
        <v>49</v>
      </c>
      <c r="AA4188" s="1" t="s">
        <v>49</v>
      </c>
      <c r="AB4188" s="1" t="s">
        <v>49</v>
      </c>
      <c r="AC4188" s="1" t="s">
        <v>206</v>
      </c>
      <c r="AD4188" s="1" t="s">
        <v>9102</v>
      </c>
      <c r="AE4188" s="1" t="s">
        <v>206</v>
      </c>
      <c r="AF4188" s="1" t="s">
        <v>49</v>
      </c>
      <c r="AG4188" s="1" t="s">
        <v>7747</v>
      </c>
      <c r="AH4188" s="1" t="s">
        <v>49</v>
      </c>
      <c r="AI4188" s="1" t="s">
        <v>54</v>
      </c>
      <c r="AJ4188" s="1">
        <v>0</v>
      </c>
      <c r="AK4188" s="1" t="str">
        <f t="shared" si="66"/>
        <v xml:space="preserve"> =&lt;90</v>
      </c>
      <c r="AL4188" s="1" t="str">
        <f>VLOOKUP(C:C,[1]基础信息!B$1:D$65536,3,0)</f>
        <v>UTS</v>
      </c>
      <c r="AM4188" s="1" t="str">
        <f>VLOOKUP(C:C,[1]基础信息!B$1:E$65536,4,0)</f>
        <v>RO</v>
      </c>
      <c r="AN4188" s="1" t="str">
        <f>VLOOKUP(C:C,[1]基础信息!B$1:F$65536,5,0)</f>
        <v>Starry Grey Color</v>
      </c>
    </row>
    <row r="4189" spans="1:40">
      <c r="A4189" s="1" t="s">
        <v>41</v>
      </c>
      <c r="B4189" s="1" t="s">
        <v>42</v>
      </c>
      <c r="C4189" s="1" t="s">
        <v>9600</v>
      </c>
      <c r="D4189" s="1" t="s">
        <v>9601</v>
      </c>
      <c r="E4189" s="1" t="s">
        <v>9600</v>
      </c>
      <c r="F4189" s="1" t="s">
        <v>9602</v>
      </c>
      <c r="G4189" s="1" t="s">
        <v>9595</v>
      </c>
      <c r="H4189" s="1" t="s">
        <v>45</v>
      </c>
      <c r="I4189" s="1" t="s">
        <v>45</v>
      </c>
      <c r="J4189" s="1" t="s">
        <v>48</v>
      </c>
      <c r="K4189" s="1">
        <v>1</v>
      </c>
      <c r="L4189" s="1">
        <v>0</v>
      </c>
      <c r="M4189" s="1">
        <v>0</v>
      </c>
      <c r="N4189" s="1">
        <v>1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 t="s">
        <v>49</v>
      </c>
      <c r="AA4189" s="1" t="s">
        <v>49</v>
      </c>
      <c r="AB4189" s="1" t="s">
        <v>49</v>
      </c>
      <c r="AC4189" s="1" t="s">
        <v>206</v>
      </c>
      <c r="AD4189" s="1" t="s">
        <v>9102</v>
      </c>
      <c r="AE4189" s="1" t="s">
        <v>206</v>
      </c>
      <c r="AF4189" s="1" t="s">
        <v>49</v>
      </c>
      <c r="AG4189" s="1" t="s">
        <v>7747</v>
      </c>
      <c r="AH4189" s="1" t="s">
        <v>49</v>
      </c>
      <c r="AI4189" s="1" t="s">
        <v>54</v>
      </c>
      <c r="AJ4189" s="1">
        <v>0</v>
      </c>
      <c r="AK4189" s="1" t="str">
        <f t="shared" si="66"/>
        <v xml:space="preserve"> =&lt;90</v>
      </c>
      <c r="AL4189" s="1" t="str">
        <f>VLOOKUP(C:C,[1]基础信息!B$1:D$65536,3,0)</f>
        <v>UTS</v>
      </c>
      <c r="AM4189" s="1" t="str">
        <f>VLOOKUP(C:C,[1]基础信息!B$1:E$65536,4,0)</f>
        <v>MyPure Pro</v>
      </c>
      <c r="AN4189" s="1" t="str">
        <f>VLOOKUP(C:C,[1]基础信息!B$1:F$65536,5,0)</f>
        <v>Refill</v>
      </c>
    </row>
    <row r="4190" spans="1:40">
      <c r="A4190" s="1" t="s">
        <v>41</v>
      </c>
      <c r="B4190" s="1" t="s">
        <v>42</v>
      </c>
      <c r="C4190" s="1" t="s">
        <v>7586</v>
      </c>
      <c r="D4190" s="1" t="s">
        <v>7587</v>
      </c>
      <c r="E4190" s="1" t="s">
        <v>45</v>
      </c>
      <c r="F4190" s="1" t="s">
        <v>9603</v>
      </c>
      <c r="G4190" s="1" t="s">
        <v>9595</v>
      </c>
      <c r="H4190" s="1" t="s">
        <v>45</v>
      </c>
      <c r="I4190" s="1" t="s">
        <v>45</v>
      </c>
      <c r="J4190" s="1" t="s">
        <v>48</v>
      </c>
      <c r="K4190" s="1">
        <v>1</v>
      </c>
      <c r="L4190" s="1">
        <v>0</v>
      </c>
      <c r="M4190" s="1">
        <v>0</v>
      </c>
      <c r="N4190" s="1">
        <v>1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 t="s">
        <v>49</v>
      </c>
      <c r="AA4190" s="1" t="s">
        <v>49</v>
      </c>
      <c r="AB4190" s="1" t="s">
        <v>49</v>
      </c>
      <c r="AC4190" s="1" t="s">
        <v>206</v>
      </c>
      <c r="AD4190" s="1" t="s">
        <v>9102</v>
      </c>
      <c r="AE4190" s="1" t="s">
        <v>206</v>
      </c>
      <c r="AF4190" s="1" t="s">
        <v>49</v>
      </c>
      <c r="AG4190" s="1" t="s">
        <v>7747</v>
      </c>
      <c r="AH4190" s="1" t="s">
        <v>49</v>
      </c>
      <c r="AI4190" s="1" t="s">
        <v>54</v>
      </c>
      <c r="AJ4190" s="1">
        <v>1</v>
      </c>
      <c r="AK4190" s="1" t="str">
        <f t="shared" si="66"/>
        <v xml:space="preserve"> =&lt;90</v>
      </c>
      <c r="AL4190" s="1" t="e">
        <f>VLOOKUP(C:C,[1]基础信息!B$1:D$65536,3,0)</f>
        <v>#N/A</v>
      </c>
      <c r="AM4190" s="1" t="e">
        <f>VLOOKUP(C:C,[1]基础信息!B$1:E$65536,4,0)</f>
        <v>#N/A</v>
      </c>
      <c r="AN4190" s="1" t="e">
        <f>VLOOKUP(C:C,[1]基础信息!B$1:F$65536,5,0)</f>
        <v>#N/A</v>
      </c>
    </row>
    <row r="4191" spans="1:40">
      <c r="A4191" s="1" t="s">
        <v>41</v>
      </c>
      <c r="B4191" s="1" t="s">
        <v>42</v>
      </c>
      <c r="C4191" s="1" t="s">
        <v>969</v>
      </c>
      <c r="D4191" s="1" t="s">
        <v>970</v>
      </c>
      <c r="E4191" s="1" t="s">
        <v>45</v>
      </c>
      <c r="F4191" s="1" t="s">
        <v>9604</v>
      </c>
      <c r="G4191" s="1" t="s">
        <v>9605</v>
      </c>
      <c r="H4191" s="1" t="s">
        <v>45</v>
      </c>
      <c r="I4191" s="1" t="s">
        <v>45</v>
      </c>
      <c r="J4191" s="1" t="s">
        <v>48</v>
      </c>
      <c r="K4191" s="1">
        <v>4</v>
      </c>
      <c r="L4191" s="1">
        <v>0</v>
      </c>
      <c r="M4191" s="1">
        <v>0</v>
      </c>
      <c r="N4191" s="1">
        <v>4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 t="s">
        <v>49</v>
      </c>
      <c r="AA4191" s="1" t="s">
        <v>49</v>
      </c>
      <c r="AB4191" s="1" t="s">
        <v>49</v>
      </c>
      <c r="AC4191" s="1" t="s">
        <v>9606</v>
      </c>
      <c r="AD4191" s="1" t="s">
        <v>9607</v>
      </c>
      <c r="AE4191" s="1" t="s">
        <v>9606</v>
      </c>
      <c r="AF4191" s="1" t="s">
        <v>9608</v>
      </c>
      <c r="AG4191" s="1" t="s">
        <v>9096</v>
      </c>
      <c r="AH4191" s="1" t="s">
        <v>9001</v>
      </c>
      <c r="AI4191" s="1" t="s">
        <v>54</v>
      </c>
      <c r="AJ4191" s="1">
        <v>1</v>
      </c>
      <c r="AK4191" s="1" t="str">
        <f t="shared" si="66"/>
        <v xml:space="preserve"> =&lt;90</v>
      </c>
      <c r="AL4191" s="1" t="str">
        <f>VLOOKUP(C:C,[1]基础信息!B$1:D$65536,3,0)</f>
        <v>Jug</v>
      </c>
      <c r="AM4191" s="1" t="str">
        <f>VLOOKUP(C:C,[1]基础信息!B$1:E$65536,4,0)</f>
        <v>Mxplus</v>
      </c>
      <c r="AN4191" s="1" t="str">
        <f>VLOOKUP(C:C,[1]基础信息!B$1:F$65536,5,0)</f>
        <v xml:space="preserve"> blue</v>
      </c>
    </row>
    <row r="4192" spans="1:40">
      <c r="A4192" s="1" t="s">
        <v>41</v>
      </c>
      <c r="B4192" s="1" t="s">
        <v>42</v>
      </c>
      <c r="C4192" s="1" t="s">
        <v>6106</v>
      </c>
      <c r="D4192" s="1" t="s">
        <v>6107</v>
      </c>
      <c r="E4192" s="1" t="s">
        <v>45</v>
      </c>
      <c r="F4192" s="1" t="s">
        <v>9609</v>
      </c>
      <c r="G4192" s="1" t="s">
        <v>9610</v>
      </c>
      <c r="H4192" s="1" t="s">
        <v>45</v>
      </c>
      <c r="I4192" s="1" t="s">
        <v>45</v>
      </c>
      <c r="J4192" s="1" t="s">
        <v>48</v>
      </c>
      <c r="K4192" s="1">
        <v>28</v>
      </c>
      <c r="L4192" s="1">
        <v>0</v>
      </c>
      <c r="M4192" s="1">
        <v>0</v>
      </c>
      <c r="N4192" s="1">
        <v>28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 t="s">
        <v>49</v>
      </c>
      <c r="AA4192" s="1" t="s">
        <v>49</v>
      </c>
      <c r="AB4192" s="1" t="s">
        <v>49</v>
      </c>
      <c r="AC4192" s="1" t="s">
        <v>3363</v>
      </c>
      <c r="AD4192" s="1" t="s">
        <v>6480</v>
      </c>
      <c r="AE4192" s="1" t="s">
        <v>3363</v>
      </c>
      <c r="AF4192" s="1" t="s">
        <v>49</v>
      </c>
      <c r="AG4192" s="1" t="s">
        <v>3464</v>
      </c>
      <c r="AH4192" s="1" t="s">
        <v>49</v>
      </c>
      <c r="AI4192" s="1" t="s">
        <v>54</v>
      </c>
      <c r="AJ4192" s="1">
        <v>0</v>
      </c>
      <c r="AK4192" s="1" t="str">
        <f t="shared" si="66"/>
        <v xml:space="preserve"> =&lt;90</v>
      </c>
      <c r="AL4192" s="1" t="str">
        <f>VLOOKUP(C:C,[1]基础信息!B$1:D$65536,3,0)</f>
        <v>On tap</v>
      </c>
      <c r="AM4192" s="1" t="str">
        <f>VLOOKUP(C:C,[1]基础信息!B$1:E$65536,4,0)</f>
        <v>On tap</v>
      </c>
      <c r="AN4192" s="1" t="str">
        <f>VLOOKUP(C:C,[1]基础信息!B$1:F$65536,5,0)</f>
        <v>Refill</v>
      </c>
    </row>
    <row r="4193" spans="1:40">
      <c r="A4193" s="1" t="s">
        <v>41</v>
      </c>
      <c r="B4193" s="1" t="s">
        <v>42</v>
      </c>
      <c r="C4193" s="1" t="s">
        <v>1437</v>
      </c>
      <c r="D4193" s="1" t="s">
        <v>1438</v>
      </c>
      <c r="E4193" s="1" t="s">
        <v>45</v>
      </c>
      <c r="F4193" s="1" t="s">
        <v>9611</v>
      </c>
      <c r="G4193" s="1" t="s">
        <v>9610</v>
      </c>
      <c r="H4193" s="1" t="s">
        <v>45</v>
      </c>
      <c r="I4193" s="1" t="s">
        <v>45</v>
      </c>
      <c r="J4193" s="1" t="s">
        <v>48</v>
      </c>
      <c r="K4193" s="1">
        <v>4</v>
      </c>
      <c r="L4193" s="1">
        <v>0</v>
      </c>
      <c r="M4193" s="1">
        <v>0</v>
      </c>
      <c r="N4193" s="1">
        <v>4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 t="s">
        <v>49</v>
      </c>
      <c r="AA4193" s="1" t="s">
        <v>49</v>
      </c>
      <c r="AB4193" s="1" t="s">
        <v>49</v>
      </c>
      <c r="AC4193" s="1" t="s">
        <v>3363</v>
      </c>
      <c r="AD4193" s="1" t="s">
        <v>6480</v>
      </c>
      <c r="AE4193" s="1" t="s">
        <v>3363</v>
      </c>
      <c r="AF4193" s="1" t="s">
        <v>49</v>
      </c>
      <c r="AG4193" s="1" t="s">
        <v>3464</v>
      </c>
      <c r="AH4193" s="1" t="s">
        <v>49</v>
      </c>
      <c r="AI4193" s="1" t="s">
        <v>54</v>
      </c>
      <c r="AJ4193" s="1">
        <v>0</v>
      </c>
      <c r="AK4193" s="1" t="str">
        <f t="shared" si="66"/>
        <v xml:space="preserve"> =&lt;90</v>
      </c>
      <c r="AL4193" s="1" t="str">
        <f>VLOOKUP(C:C,[1]基础信息!B$1:D$65536,3,0)</f>
        <v>On tap</v>
      </c>
      <c r="AM4193" s="1" t="str">
        <f>VLOOKUP(C:C,[1]基础信息!B$1:E$65536,4,0)</f>
        <v>On tap</v>
      </c>
      <c r="AN4193" s="1" t="str">
        <f>VLOOKUP(C:C,[1]基础信息!B$1:F$65536,5,0)</f>
        <v>On tap</v>
      </c>
    </row>
    <row r="4194" spans="1:40">
      <c r="A4194" s="1" t="s">
        <v>41</v>
      </c>
      <c r="B4194" s="1" t="s">
        <v>42</v>
      </c>
      <c r="C4194" s="1" t="s">
        <v>9414</v>
      </c>
      <c r="D4194" s="1" t="s">
        <v>8191</v>
      </c>
      <c r="E4194" s="1" t="s">
        <v>45</v>
      </c>
      <c r="F4194" s="1" t="s">
        <v>9612</v>
      </c>
      <c r="G4194" s="1" t="s">
        <v>9610</v>
      </c>
      <c r="H4194" s="1" t="s">
        <v>45</v>
      </c>
      <c r="I4194" s="1" t="s">
        <v>45</v>
      </c>
      <c r="J4194" s="1" t="s">
        <v>48</v>
      </c>
      <c r="K4194" s="1">
        <v>1</v>
      </c>
      <c r="L4194" s="1">
        <v>0</v>
      </c>
      <c r="M4194" s="1">
        <v>0</v>
      </c>
      <c r="N4194" s="1">
        <v>1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 t="s">
        <v>49</v>
      </c>
      <c r="AA4194" s="1" t="s">
        <v>49</v>
      </c>
      <c r="AB4194" s="1" t="s">
        <v>49</v>
      </c>
      <c r="AC4194" s="1" t="s">
        <v>3363</v>
      </c>
      <c r="AD4194" s="1" t="s">
        <v>6480</v>
      </c>
      <c r="AE4194" s="1" t="s">
        <v>3363</v>
      </c>
      <c r="AF4194" s="1" t="s">
        <v>49</v>
      </c>
      <c r="AG4194" s="1" t="s">
        <v>3464</v>
      </c>
      <c r="AH4194" s="1" t="s">
        <v>49</v>
      </c>
      <c r="AI4194" s="1" t="s">
        <v>54</v>
      </c>
      <c r="AJ4194" s="1">
        <v>0</v>
      </c>
      <c r="AK4194" s="1" t="str">
        <f t="shared" si="66"/>
        <v xml:space="preserve"> =&lt;90</v>
      </c>
      <c r="AL4194" s="1" t="str">
        <f>VLOOKUP(C:C,[1]基础信息!B$1:D$65536,3,0)</f>
        <v xml:space="preserve">Cartridge </v>
      </c>
      <c r="AM4194" s="1" t="str">
        <f>VLOOKUP(C:C,[1]基础信息!B$1:E$65536,4,0)</f>
        <v>LM</v>
      </c>
      <c r="AN4194" s="1" t="str">
        <f>VLOOKUP(C:C,[1]基础信息!B$1:F$65536,5,0)</f>
        <v>P6</v>
      </c>
    </row>
    <row r="4195" spans="1:40">
      <c r="A4195" s="1" t="s">
        <v>41</v>
      </c>
      <c r="B4195" s="1" t="s">
        <v>42</v>
      </c>
      <c r="C4195" s="1" t="s">
        <v>7852</v>
      </c>
      <c r="D4195" s="1" t="s">
        <v>7853</v>
      </c>
      <c r="E4195" s="1" t="s">
        <v>45</v>
      </c>
      <c r="F4195" s="1" t="s">
        <v>9613</v>
      </c>
      <c r="G4195" s="1" t="s">
        <v>9610</v>
      </c>
      <c r="H4195" s="1" t="s">
        <v>45</v>
      </c>
      <c r="I4195" s="1" t="s">
        <v>45</v>
      </c>
      <c r="J4195" s="1" t="s">
        <v>48</v>
      </c>
      <c r="K4195" s="1">
        <v>2</v>
      </c>
      <c r="L4195" s="1">
        <v>0</v>
      </c>
      <c r="M4195" s="1">
        <v>0</v>
      </c>
      <c r="N4195" s="1">
        <v>2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 t="s">
        <v>49</v>
      </c>
      <c r="AA4195" s="1" t="s">
        <v>49</v>
      </c>
      <c r="AB4195" s="1" t="s">
        <v>49</v>
      </c>
      <c r="AC4195" s="1" t="s">
        <v>3363</v>
      </c>
      <c r="AD4195" s="1" t="s">
        <v>6480</v>
      </c>
      <c r="AE4195" s="1" t="s">
        <v>3363</v>
      </c>
      <c r="AF4195" s="1" t="s">
        <v>49</v>
      </c>
      <c r="AG4195" s="1" t="s">
        <v>3464</v>
      </c>
      <c r="AH4195" s="1" t="s">
        <v>49</v>
      </c>
      <c r="AI4195" s="1" t="s">
        <v>54</v>
      </c>
      <c r="AJ4195" s="1">
        <v>0</v>
      </c>
      <c r="AK4195" s="1" t="str">
        <f t="shared" si="66"/>
        <v xml:space="preserve"> =&lt;90</v>
      </c>
      <c r="AL4195" s="1" t="str">
        <f>VLOOKUP(C:C,[1]基础信息!B$1:D$65536,3,0)</f>
        <v xml:space="preserve">Cartridge </v>
      </c>
      <c r="AM4195" s="1" t="str">
        <f>VLOOKUP(C:C,[1]基础信息!B$1:E$65536,4,0)</f>
        <v>LM</v>
      </c>
      <c r="AN4195" s="1" t="str">
        <f>VLOOKUP(C:C,[1]基础信息!B$1:F$65536,5,0)</f>
        <v>P3</v>
      </c>
    </row>
    <row r="4196" spans="1:40">
      <c r="A4196" s="1" t="s">
        <v>41</v>
      </c>
      <c r="B4196" s="1" t="s">
        <v>42</v>
      </c>
      <c r="C4196" s="1" t="s">
        <v>7818</v>
      </c>
      <c r="D4196" s="1" t="s">
        <v>7819</v>
      </c>
      <c r="E4196" s="1" t="s">
        <v>45</v>
      </c>
      <c r="F4196" s="1" t="s">
        <v>9614</v>
      </c>
      <c r="G4196" s="1" t="s">
        <v>9610</v>
      </c>
      <c r="H4196" s="1" t="s">
        <v>45</v>
      </c>
      <c r="I4196" s="1" t="s">
        <v>45</v>
      </c>
      <c r="J4196" s="1" t="s">
        <v>48</v>
      </c>
      <c r="K4196" s="1">
        <v>3</v>
      </c>
      <c r="L4196" s="1">
        <v>0</v>
      </c>
      <c r="M4196" s="1">
        <v>0</v>
      </c>
      <c r="N4196" s="1">
        <v>3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 t="s">
        <v>49</v>
      </c>
      <c r="AA4196" s="1" t="s">
        <v>49</v>
      </c>
      <c r="AB4196" s="1" t="s">
        <v>49</v>
      </c>
      <c r="AC4196" s="1" t="s">
        <v>3363</v>
      </c>
      <c r="AD4196" s="1" t="s">
        <v>6480</v>
      </c>
      <c r="AE4196" s="1" t="s">
        <v>3363</v>
      </c>
      <c r="AF4196" s="1" t="s">
        <v>49</v>
      </c>
      <c r="AG4196" s="1" t="s">
        <v>3464</v>
      </c>
      <c r="AH4196" s="1" t="s">
        <v>49</v>
      </c>
      <c r="AI4196" s="1" t="s">
        <v>54</v>
      </c>
      <c r="AJ4196" s="1">
        <v>1</v>
      </c>
      <c r="AK4196" s="1" t="str">
        <f t="shared" si="66"/>
        <v xml:space="preserve"> =&lt;90</v>
      </c>
      <c r="AL4196" s="1" t="str">
        <f>VLOOKUP(C:C,[1]基础信息!B$1:D$65536,3,0)</f>
        <v xml:space="preserve">Cartridge </v>
      </c>
      <c r="AM4196" s="1" t="str">
        <f>VLOOKUP(C:C,[1]基础信息!B$1:E$65536,4,0)</f>
        <v>LM</v>
      </c>
      <c r="AN4196" s="1" t="str">
        <f>VLOOKUP(C:C,[1]基础信息!B$1:F$65536,5,0)</f>
        <v>P1</v>
      </c>
    </row>
    <row r="4197" spans="1:40">
      <c r="A4197" s="1" t="s">
        <v>41</v>
      </c>
      <c r="B4197" s="1" t="s">
        <v>42</v>
      </c>
      <c r="C4197" s="1" t="s">
        <v>285</v>
      </c>
      <c r="D4197" s="1" t="s">
        <v>286</v>
      </c>
      <c r="E4197" s="1" t="s">
        <v>45</v>
      </c>
      <c r="F4197" s="1" t="s">
        <v>9615</v>
      </c>
      <c r="G4197" s="1" t="s">
        <v>9616</v>
      </c>
      <c r="H4197" s="1" t="s">
        <v>45</v>
      </c>
      <c r="I4197" s="1" t="s">
        <v>45</v>
      </c>
      <c r="J4197" s="1" t="s">
        <v>48</v>
      </c>
      <c r="K4197" s="1">
        <v>1</v>
      </c>
      <c r="L4197" s="1">
        <v>0</v>
      </c>
      <c r="M4197" s="1">
        <v>0</v>
      </c>
      <c r="N4197" s="1">
        <v>1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 t="s">
        <v>49</v>
      </c>
      <c r="AA4197" s="1" t="s">
        <v>49</v>
      </c>
      <c r="AB4197" s="1" t="s">
        <v>49</v>
      </c>
      <c r="AC4197" s="1" t="s">
        <v>9617</v>
      </c>
      <c r="AD4197" s="1" t="s">
        <v>9618</v>
      </c>
      <c r="AE4197" s="1" t="s">
        <v>9617</v>
      </c>
      <c r="AF4197" s="1" t="s">
        <v>49</v>
      </c>
      <c r="AG4197" s="1" t="s">
        <v>9096</v>
      </c>
      <c r="AH4197" s="1" t="s">
        <v>9089</v>
      </c>
      <c r="AI4197" s="1" t="s">
        <v>54</v>
      </c>
      <c r="AJ4197" s="1">
        <v>0</v>
      </c>
      <c r="AK4197" s="1" t="str">
        <f t="shared" si="66"/>
        <v xml:space="preserve"> =&lt;90</v>
      </c>
      <c r="AL4197" s="1" t="str">
        <f>VLOOKUP(C:C,[1]基础信息!B$1:D$65536,3,0)</f>
        <v>Jug</v>
      </c>
      <c r="AM4197" s="1" t="str">
        <f>VLOOKUP(C:C,[1]基础信息!B$1:E$65536,4,0)</f>
        <v>Marella XL</v>
      </c>
      <c r="AN4197" s="1" t="str">
        <f>VLOOKUP(C:C,[1]基础信息!B$1:F$65536,5,0)</f>
        <v>Blue</v>
      </c>
    </row>
    <row r="4198" spans="1:40">
      <c r="A4198" s="1" t="s">
        <v>41</v>
      </c>
      <c r="B4198" s="1" t="s">
        <v>42</v>
      </c>
      <c r="C4198" s="1" t="s">
        <v>1004</v>
      </c>
      <c r="D4198" s="1" t="s">
        <v>1005</v>
      </c>
      <c r="E4198" s="1" t="s">
        <v>1004</v>
      </c>
      <c r="F4198" s="1" t="s">
        <v>9619</v>
      </c>
      <c r="G4198" s="1" t="s">
        <v>9616</v>
      </c>
      <c r="H4198" s="1" t="s">
        <v>45</v>
      </c>
      <c r="I4198" s="1" t="s">
        <v>45</v>
      </c>
      <c r="J4198" s="1" t="s">
        <v>48</v>
      </c>
      <c r="K4198" s="1">
        <v>1</v>
      </c>
      <c r="L4198" s="1">
        <v>0</v>
      </c>
      <c r="M4198" s="1">
        <v>0</v>
      </c>
      <c r="N4198" s="1">
        <v>1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 t="s">
        <v>49</v>
      </c>
      <c r="AA4198" s="1" t="s">
        <v>49</v>
      </c>
      <c r="AB4198" s="1" t="s">
        <v>49</v>
      </c>
      <c r="AC4198" s="1" t="s">
        <v>9617</v>
      </c>
      <c r="AD4198" s="1" t="s">
        <v>9618</v>
      </c>
      <c r="AE4198" s="1" t="s">
        <v>9617</v>
      </c>
      <c r="AF4198" s="1" t="s">
        <v>49</v>
      </c>
      <c r="AG4198" s="1" t="s">
        <v>9096</v>
      </c>
      <c r="AH4198" s="1" t="s">
        <v>9089</v>
      </c>
      <c r="AI4198" s="1" t="s">
        <v>54</v>
      </c>
      <c r="AJ4198" s="1">
        <v>0</v>
      </c>
      <c r="AK4198" s="1" t="str">
        <f t="shared" si="66"/>
        <v xml:space="preserve"> =&lt;90</v>
      </c>
      <c r="AL4198" s="1" t="str">
        <f>VLOOKUP(C:C,[1]基础信息!B$1:D$65536,3,0)</f>
        <v>UTS</v>
      </c>
      <c r="AM4198" s="1" t="str">
        <f>VLOOKUP(C:C,[1]基础信息!B$1:E$65536,4,0)</f>
        <v>MyPure</v>
      </c>
      <c r="AN4198" s="1" t="str">
        <f>VLOOKUP(C:C,[1]基础信息!B$1:F$65536,5,0)</f>
        <v>U5</v>
      </c>
    </row>
    <row r="4199" spans="1:40">
      <c r="A4199" s="1" t="s">
        <v>41</v>
      </c>
      <c r="B4199" s="1" t="s">
        <v>42</v>
      </c>
      <c r="C4199" s="1" t="s">
        <v>4352</v>
      </c>
      <c r="D4199" s="1" t="s">
        <v>4353</v>
      </c>
      <c r="E4199" s="1" t="s">
        <v>45</v>
      </c>
      <c r="F4199" s="1" t="s">
        <v>9620</v>
      </c>
      <c r="G4199" s="1" t="s">
        <v>9616</v>
      </c>
      <c r="H4199" s="1" t="s">
        <v>45</v>
      </c>
      <c r="I4199" s="1" t="s">
        <v>45</v>
      </c>
      <c r="J4199" s="1" t="s">
        <v>48</v>
      </c>
      <c r="K4199" s="1">
        <v>16</v>
      </c>
      <c r="L4199" s="1">
        <v>0</v>
      </c>
      <c r="M4199" s="1">
        <v>0</v>
      </c>
      <c r="N4199" s="1">
        <v>16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 t="s">
        <v>49</v>
      </c>
      <c r="AA4199" s="1" t="s">
        <v>49</v>
      </c>
      <c r="AB4199" s="1" t="s">
        <v>49</v>
      </c>
      <c r="AC4199" s="1" t="s">
        <v>9621</v>
      </c>
      <c r="AD4199" s="1" t="s">
        <v>9622</v>
      </c>
      <c r="AE4199" s="1" t="s">
        <v>9621</v>
      </c>
      <c r="AF4199" s="1" t="s">
        <v>49</v>
      </c>
      <c r="AG4199" s="1" t="s">
        <v>9096</v>
      </c>
      <c r="AH4199" s="1" t="s">
        <v>9089</v>
      </c>
      <c r="AI4199" s="1" t="s">
        <v>54</v>
      </c>
      <c r="AJ4199" s="1">
        <v>0</v>
      </c>
      <c r="AK4199" s="1" t="str">
        <f t="shared" si="66"/>
        <v xml:space="preserve"> =&lt;90</v>
      </c>
      <c r="AL4199" s="1" t="e">
        <f>VLOOKUP(C:C,[1]基础信息!B$1:D$65536,3,0)</f>
        <v>#N/A</v>
      </c>
      <c r="AM4199" s="1" t="e">
        <f>VLOOKUP(C:C,[1]基础信息!B$1:E$65536,4,0)</f>
        <v>#N/A</v>
      </c>
      <c r="AN4199" s="1" t="e">
        <f>VLOOKUP(C:C,[1]基础信息!B$1:F$65536,5,0)</f>
        <v>#N/A</v>
      </c>
    </row>
    <row r="4200" spans="1:40">
      <c r="A4200" s="1" t="s">
        <v>41</v>
      </c>
      <c r="B4200" s="1" t="s">
        <v>42</v>
      </c>
      <c r="C4200" s="1" t="s">
        <v>4352</v>
      </c>
      <c r="D4200" s="1" t="s">
        <v>4353</v>
      </c>
      <c r="E4200" s="1" t="s">
        <v>45</v>
      </c>
      <c r="F4200" s="1" t="s">
        <v>9623</v>
      </c>
      <c r="G4200" s="1" t="s">
        <v>9616</v>
      </c>
      <c r="H4200" s="1" t="s">
        <v>45</v>
      </c>
      <c r="I4200" s="1" t="s">
        <v>45</v>
      </c>
      <c r="J4200" s="1" t="s">
        <v>48</v>
      </c>
      <c r="K4200" s="1">
        <v>29</v>
      </c>
      <c r="L4200" s="1">
        <v>0</v>
      </c>
      <c r="M4200" s="1">
        <v>0</v>
      </c>
      <c r="N4200" s="1">
        <v>29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 t="s">
        <v>49</v>
      </c>
      <c r="AA4200" s="1" t="s">
        <v>49</v>
      </c>
      <c r="AB4200" s="1" t="s">
        <v>49</v>
      </c>
      <c r="AC4200" s="1" t="s">
        <v>117</v>
      </c>
      <c r="AD4200" s="1" t="s">
        <v>118</v>
      </c>
      <c r="AE4200" s="1" t="s">
        <v>117</v>
      </c>
      <c r="AF4200" s="1" t="s">
        <v>49</v>
      </c>
      <c r="AG4200" s="1" t="s">
        <v>9088</v>
      </c>
      <c r="AH4200" s="1" t="s">
        <v>9089</v>
      </c>
      <c r="AI4200" s="1" t="s">
        <v>54</v>
      </c>
      <c r="AJ4200" s="1">
        <v>0</v>
      </c>
      <c r="AK4200" s="1" t="str">
        <f t="shared" si="66"/>
        <v xml:space="preserve"> =&lt;90</v>
      </c>
      <c r="AL4200" s="1" t="e">
        <f>VLOOKUP(C:C,[1]基础信息!B$1:D$65536,3,0)</f>
        <v>#N/A</v>
      </c>
      <c r="AM4200" s="1" t="e">
        <f>VLOOKUP(C:C,[1]基础信息!B$1:E$65536,4,0)</f>
        <v>#N/A</v>
      </c>
      <c r="AN4200" s="1" t="e">
        <f>VLOOKUP(C:C,[1]基础信息!B$1:F$65536,5,0)</f>
        <v>#N/A</v>
      </c>
    </row>
    <row r="4201" spans="1:40">
      <c r="A4201" s="1" t="s">
        <v>41</v>
      </c>
      <c r="B4201" s="1" t="s">
        <v>42</v>
      </c>
      <c r="C4201" s="1" t="s">
        <v>5154</v>
      </c>
      <c r="D4201" s="1" t="s">
        <v>5155</v>
      </c>
      <c r="E4201" s="1" t="s">
        <v>45</v>
      </c>
      <c r="F4201" s="1" t="s">
        <v>9624</v>
      </c>
      <c r="G4201" s="1" t="s">
        <v>9616</v>
      </c>
      <c r="H4201" s="1" t="s">
        <v>45</v>
      </c>
      <c r="I4201" s="1" t="s">
        <v>45</v>
      </c>
      <c r="J4201" s="1" t="s">
        <v>48</v>
      </c>
      <c r="K4201" s="1">
        <v>1</v>
      </c>
      <c r="L4201" s="1">
        <v>0</v>
      </c>
      <c r="M4201" s="1">
        <v>0</v>
      </c>
      <c r="N4201" s="1">
        <v>1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 t="s">
        <v>49</v>
      </c>
      <c r="AA4201" s="1" t="s">
        <v>49</v>
      </c>
      <c r="AB4201" s="1" t="s">
        <v>49</v>
      </c>
      <c r="AC4201" s="1" t="s">
        <v>3190</v>
      </c>
      <c r="AD4201" s="1" t="s">
        <v>3254</v>
      </c>
      <c r="AE4201" s="1" t="s">
        <v>3190</v>
      </c>
      <c r="AF4201" s="1" t="s">
        <v>49</v>
      </c>
      <c r="AG4201" s="1" t="s">
        <v>9096</v>
      </c>
      <c r="AH4201" s="1" t="s">
        <v>9089</v>
      </c>
      <c r="AI4201" s="1" t="s">
        <v>54</v>
      </c>
      <c r="AJ4201" s="1">
        <v>0</v>
      </c>
      <c r="AK4201" s="1" t="str">
        <f t="shared" si="66"/>
        <v xml:space="preserve"> =&lt;90</v>
      </c>
      <c r="AL4201" s="1" t="e">
        <f>VLOOKUP(C:C,[1]基础信息!B$1:D$65536,3,0)</f>
        <v>#N/A</v>
      </c>
      <c r="AM4201" s="1" t="e">
        <f>VLOOKUP(C:C,[1]基础信息!B$1:E$65536,4,0)</f>
        <v>#N/A</v>
      </c>
      <c r="AN4201" s="1" t="e">
        <f>VLOOKUP(C:C,[1]基础信息!B$1:F$65536,5,0)</f>
        <v>#N/A</v>
      </c>
    </row>
    <row r="4202" spans="1:40">
      <c r="A4202" s="1" t="s">
        <v>41</v>
      </c>
      <c r="B4202" s="1" t="s">
        <v>42</v>
      </c>
      <c r="C4202" s="1" t="s">
        <v>451</v>
      </c>
      <c r="D4202" s="1" t="s">
        <v>452</v>
      </c>
      <c r="E4202" s="1" t="s">
        <v>45</v>
      </c>
      <c r="F4202" s="1" t="s">
        <v>9625</v>
      </c>
      <c r="G4202" s="1" t="s">
        <v>9616</v>
      </c>
      <c r="H4202" s="1" t="s">
        <v>45</v>
      </c>
      <c r="I4202" s="1" t="s">
        <v>45</v>
      </c>
      <c r="J4202" s="1" t="s">
        <v>48</v>
      </c>
      <c r="K4202" s="1">
        <v>4</v>
      </c>
      <c r="L4202" s="1">
        <v>0</v>
      </c>
      <c r="M4202" s="1">
        <v>0</v>
      </c>
      <c r="N4202" s="1">
        <v>4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 t="s">
        <v>49</v>
      </c>
      <c r="AA4202" s="1" t="s">
        <v>49</v>
      </c>
      <c r="AB4202" s="1" t="s">
        <v>49</v>
      </c>
      <c r="AC4202" s="1" t="s">
        <v>7815</v>
      </c>
      <c r="AD4202" s="1" t="s">
        <v>7816</v>
      </c>
      <c r="AE4202" s="1" t="s">
        <v>7815</v>
      </c>
      <c r="AF4202" s="1" t="s">
        <v>49</v>
      </c>
      <c r="AG4202" s="1" t="s">
        <v>9096</v>
      </c>
      <c r="AH4202" s="1" t="s">
        <v>9089</v>
      </c>
      <c r="AI4202" s="1" t="s">
        <v>54</v>
      </c>
      <c r="AJ4202" s="1">
        <v>0</v>
      </c>
      <c r="AK4202" s="1" t="str">
        <f t="shared" si="66"/>
        <v xml:space="preserve"> =&lt;90</v>
      </c>
      <c r="AL4202" s="1" t="str">
        <f>VLOOKUP(C:C,[1]基础信息!B$1:D$65536,3,0)</f>
        <v>UTS</v>
      </c>
      <c r="AM4202" s="1" t="str">
        <f>VLOOKUP(C:C,[1]基础信息!B$1:E$65536,4,0)</f>
        <v>MyPure</v>
      </c>
      <c r="AN4202" s="1" t="str">
        <f>VLOOKUP(C:C,[1]基础信息!B$1:F$65536,5,0)</f>
        <v>R8</v>
      </c>
    </row>
    <row r="4203" spans="1:40">
      <c r="A4203" s="1" t="s">
        <v>41</v>
      </c>
      <c r="B4203" s="1" t="s">
        <v>42</v>
      </c>
      <c r="C4203" s="1" t="s">
        <v>4253</v>
      </c>
      <c r="D4203" s="1" t="s">
        <v>4254</v>
      </c>
      <c r="E4203" s="1" t="s">
        <v>45</v>
      </c>
      <c r="F4203" s="1" t="s">
        <v>9626</v>
      </c>
      <c r="G4203" s="1" t="s">
        <v>9616</v>
      </c>
      <c r="H4203" s="1" t="s">
        <v>45</v>
      </c>
      <c r="I4203" s="1" t="s">
        <v>45</v>
      </c>
      <c r="J4203" s="1" t="s">
        <v>48</v>
      </c>
      <c r="K4203" s="1">
        <v>9</v>
      </c>
      <c r="L4203" s="1">
        <v>0</v>
      </c>
      <c r="M4203" s="1">
        <v>0</v>
      </c>
      <c r="N4203" s="1">
        <v>9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 t="s">
        <v>49</v>
      </c>
      <c r="AA4203" s="1" t="s">
        <v>49</v>
      </c>
      <c r="AB4203" s="1" t="s">
        <v>49</v>
      </c>
      <c r="AC4203" s="1" t="s">
        <v>7815</v>
      </c>
      <c r="AD4203" s="1" t="s">
        <v>7816</v>
      </c>
      <c r="AE4203" s="1" t="s">
        <v>7815</v>
      </c>
      <c r="AF4203" s="1" t="s">
        <v>49</v>
      </c>
      <c r="AG4203" s="1" t="s">
        <v>9096</v>
      </c>
      <c r="AH4203" s="1" t="s">
        <v>9089</v>
      </c>
      <c r="AI4203" s="1" t="s">
        <v>54</v>
      </c>
      <c r="AJ4203" s="1">
        <v>0</v>
      </c>
      <c r="AK4203" s="1" t="str">
        <f t="shared" si="66"/>
        <v xml:space="preserve"> =&lt;90</v>
      </c>
      <c r="AL4203" s="1" t="str">
        <f>VLOOKUP(C:C,[1]基础信息!B$1:D$65536,3,0)</f>
        <v xml:space="preserve">Cartridge </v>
      </c>
      <c r="AM4203" s="1" t="str">
        <f>VLOOKUP(C:C,[1]基础信息!B$1:E$65536,4,0)</f>
        <v>UNIV</v>
      </c>
      <c r="AN4203" s="1" t="str">
        <f>VLOOKUP(C:C,[1]基础信息!B$1:F$65536,5,0)</f>
        <v>P6</v>
      </c>
    </row>
    <row r="4204" spans="1:40">
      <c r="A4204" s="1" t="s">
        <v>41</v>
      </c>
      <c r="B4204" s="1" t="s">
        <v>42</v>
      </c>
      <c r="C4204" s="1" t="s">
        <v>56</v>
      </c>
      <c r="D4204" s="1" t="s">
        <v>57</v>
      </c>
      <c r="E4204" s="1" t="s">
        <v>45</v>
      </c>
      <c r="F4204" s="1" t="s">
        <v>9627</v>
      </c>
      <c r="G4204" s="1" t="s">
        <v>9616</v>
      </c>
      <c r="H4204" s="1" t="s">
        <v>45</v>
      </c>
      <c r="I4204" s="1" t="s">
        <v>45</v>
      </c>
      <c r="J4204" s="1" t="s">
        <v>48</v>
      </c>
      <c r="K4204" s="1">
        <v>4</v>
      </c>
      <c r="L4204" s="1">
        <v>0</v>
      </c>
      <c r="M4204" s="1">
        <v>0</v>
      </c>
      <c r="N4204" s="1">
        <v>4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 t="s">
        <v>49</v>
      </c>
      <c r="AA4204" s="1" t="s">
        <v>49</v>
      </c>
      <c r="AB4204" s="1" t="s">
        <v>49</v>
      </c>
      <c r="AC4204" s="1" t="s">
        <v>5184</v>
      </c>
      <c r="AD4204" s="1" t="s">
        <v>5185</v>
      </c>
      <c r="AE4204" s="1" t="s">
        <v>5184</v>
      </c>
      <c r="AF4204" s="1" t="s">
        <v>49</v>
      </c>
      <c r="AG4204" s="1" t="s">
        <v>9096</v>
      </c>
      <c r="AH4204" s="1" t="s">
        <v>9089</v>
      </c>
      <c r="AI4204" s="1" t="s">
        <v>54</v>
      </c>
      <c r="AJ4204" s="1">
        <v>0</v>
      </c>
      <c r="AK4204" s="1" t="str">
        <f t="shared" si="66"/>
        <v xml:space="preserve"> =&lt;90</v>
      </c>
      <c r="AL4204" s="1" t="str">
        <f>VLOOKUP(C:C,[1]基础信息!B$1:D$65536,3,0)</f>
        <v>Jug</v>
      </c>
      <c r="AM4204" s="1" t="str">
        <f>VLOOKUP(C:C,[1]基础信息!B$1:E$65536,4,0)</f>
        <v>Marella XL</v>
      </c>
      <c r="AN4204" s="1" t="str">
        <f>VLOOKUP(C:C,[1]基础信息!B$1:F$65536,5,0)</f>
        <v>Blue</v>
      </c>
    </row>
    <row r="4205" spans="1:40">
      <c r="A4205" s="1" t="s">
        <v>41</v>
      </c>
      <c r="B4205" s="1" t="s">
        <v>42</v>
      </c>
      <c r="C4205" s="1" t="s">
        <v>285</v>
      </c>
      <c r="D4205" s="1" t="s">
        <v>286</v>
      </c>
      <c r="E4205" s="1" t="s">
        <v>45</v>
      </c>
      <c r="F4205" s="1" t="s">
        <v>9628</v>
      </c>
      <c r="G4205" s="1" t="s">
        <v>9616</v>
      </c>
      <c r="H4205" s="1" t="s">
        <v>45</v>
      </c>
      <c r="I4205" s="1" t="s">
        <v>45</v>
      </c>
      <c r="J4205" s="1" t="s">
        <v>48</v>
      </c>
      <c r="K4205" s="1">
        <v>1</v>
      </c>
      <c r="L4205" s="1">
        <v>0</v>
      </c>
      <c r="M4205" s="1">
        <v>0</v>
      </c>
      <c r="N4205" s="1">
        <v>1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 t="s">
        <v>49</v>
      </c>
      <c r="AA4205" s="1" t="s">
        <v>49</v>
      </c>
      <c r="AB4205" s="1" t="s">
        <v>49</v>
      </c>
      <c r="AC4205" s="1" t="s">
        <v>5184</v>
      </c>
      <c r="AD4205" s="1" t="s">
        <v>5185</v>
      </c>
      <c r="AE4205" s="1" t="s">
        <v>5184</v>
      </c>
      <c r="AF4205" s="1" t="s">
        <v>49</v>
      </c>
      <c r="AG4205" s="1" t="s">
        <v>9096</v>
      </c>
      <c r="AH4205" s="1" t="s">
        <v>9089</v>
      </c>
      <c r="AI4205" s="1" t="s">
        <v>54</v>
      </c>
      <c r="AJ4205" s="1">
        <v>0</v>
      </c>
      <c r="AK4205" s="1" t="str">
        <f t="shared" si="66"/>
        <v xml:space="preserve"> =&lt;90</v>
      </c>
      <c r="AL4205" s="1" t="str">
        <f>VLOOKUP(C:C,[1]基础信息!B$1:D$65536,3,0)</f>
        <v>Jug</v>
      </c>
      <c r="AM4205" s="1" t="str">
        <f>VLOOKUP(C:C,[1]基础信息!B$1:E$65536,4,0)</f>
        <v>Marella XL</v>
      </c>
      <c r="AN4205" s="1" t="str">
        <f>VLOOKUP(C:C,[1]基础信息!B$1:F$65536,5,0)</f>
        <v>Blue</v>
      </c>
    </row>
    <row r="4206" spans="1:40">
      <c r="A4206" s="1" t="s">
        <v>41</v>
      </c>
      <c r="B4206" s="1" t="s">
        <v>42</v>
      </c>
      <c r="C4206" s="1" t="s">
        <v>554</v>
      </c>
      <c r="D4206" s="1" t="s">
        <v>555</v>
      </c>
      <c r="E4206" s="1" t="s">
        <v>45</v>
      </c>
      <c r="F4206" s="1" t="s">
        <v>9629</v>
      </c>
      <c r="G4206" s="1" t="s">
        <v>9616</v>
      </c>
      <c r="H4206" s="1" t="s">
        <v>45</v>
      </c>
      <c r="I4206" s="1" t="s">
        <v>45</v>
      </c>
      <c r="J4206" s="1" t="s">
        <v>48</v>
      </c>
      <c r="K4206" s="1">
        <v>1</v>
      </c>
      <c r="L4206" s="1">
        <v>0</v>
      </c>
      <c r="M4206" s="1">
        <v>0</v>
      </c>
      <c r="N4206" s="1">
        <v>1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 t="s">
        <v>49</v>
      </c>
      <c r="AA4206" s="1" t="s">
        <v>49</v>
      </c>
      <c r="AB4206" s="1" t="s">
        <v>49</v>
      </c>
      <c r="AC4206" s="1" t="s">
        <v>5184</v>
      </c>
      <c r="AD4206" s="1" t="s">
        <v>5185</v>
      </c>
      <c r="AE4206" s="1" t="s">
        <v>5184</v>
      </c>
      <c r="AF4206" s="1" t="s">
        <v>49</v>
      </c>
      <c r="AG4206" s="1" t="s">
        <v>9096</v>
      </c>
      <c r="AH4206" s="1" t="s">
        <v>9089</v>
      </c>
      <c r="AI4206" s="1" t="s">
        <v>54</v>
      </c>
      <c r="AJ4206" s="1">
        <v>0</v>
      </c>
      <c r="AK4206" s="1" t="str">
        <f t="shared" si="66"/>
        <v xml:space="preserve"> =&lt;90</v>
      </c>
      <c r="AL4206" s="1" t="str">
        <f>VLOOKUP(C:C,[1]基础信息!B$1:D$65536,3,0)</f>
        <v>Jug</v>
      </c>
      <c r="AM4206" s="1" t="str">
        <f>VLOOKUP(C:C,[1]基础信息!B$1:E$65536,4,0)</f>
        <v>Green Pack</v>
      </c>
      <c r="AN4206" s="1" t="str">
        <f>VLOOKUP(C:C,[1]基础信息!B$1:F$65536,5,0)</f>
        <v>Blue</v>
      </c>
    </row>
    <row r="4207" spans="1:40">
      <c r="A4207" s="1" t="s">
        <v>41</v>
      </c>
      <c r="B4207" s="1" t="s">
        <v>42</v>
      </c>
      <c r="C4207" s="1" t="s">
        <v>4352</v>
      </c>
      <c r="D4207" s="1" t="s">
        <v>4353</v>
      </c>
      <c r="E4207" s="1" t="s">
        <v>45</v>
      </c>
      <c r="F4207" s="1" t="s">
        <v>9630</v>
      </c>
      <c r="G4207" s="1" t="s">
        <v>9616</v>
      </c>
      <c r="H4207" s="1" t="s">
        <v>45</v>
      </c>
      <c r="I4207" s="1" t="s">
        <v>45</v>
      </c>
      <c r="J4207" s="1" t="s">
        <v>48</v>
      </c>
      <c r="K4207" s="1">
        <v>2</v>
      </c>
      <c r="L4207" s="1">
        <v>0</v>
      </c>
      <c r="M4207" s="1">
        <v>0</v>
      </c>
      <c r="N4207" s="1">
        <v>2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 t="s">
        <v>49</v>
      </c>
      <c r="AA4207" s="1" t="s">
        <v>49</v>
      </c>
      <c r="AB4207" s="1" t="s">
        <v>49</v>
      </c>
      <c r="AC4207" s="1" t="s">
        <v>117</v>
      </c>
      <c r="AD4207" s="1" t="s">
        <v>118</v>
      </c>
      <c r="AE4207" s="1" t="s">
        <v>117</v>
      </c>
      <c r="AF4207" s="1" t="s">
        <v>49</v>
      </c>
      <c r="AG4207" s="1" t="s">
        <v>6921</v>
      </c>
      <c r="AH4207" s="1" t="s">
        <v>9089</v>
      </c>
      <c r="AI4207" s="1" t="s">
        <v>54</v>
      </c>
      <c r="AJ4207" s="1">
        <v>0</v>
      </c>
      <c r="AK4207" s="1" t="str">
        <f t="shared" si="66"/>
        <v xml:space="preserve"> =&lt;90</v>
      </c>
      <c r="AL4207" s="1" t="e">
        <f>VLOOKUP(C:C,[1]基础信息!B$1:D$65536,3,0)</f>
        <v>#N/A</v>
      </c>
      <c r="AM4207" s="1" t="e">
        <f>VLOOKUP(C:C,[1]基础信息!B$1:E$65536,4,0)</f>
        <v>#N/A</v>
      </c>
      <c r="AN4207" s="1" t="e">
        <f>VLOOKUP(C:C,[1]基础信息!B$1:F$65536,5,0)</f>
        <v>#N/A</v>
      </c>
    </row>
    <row r="4208" spans="1:40">
      <c r="A4208" s="1" t="s">
        <v>41</v>
      </c>
      <c r="B4208" s="1" t="s">
        <v>42</v>
      </c>
      <c r="C4208" s="1" t="s">
        <v>4253</v>
      </c>
      <c r="D4208" s="1" t="s">
        <v>4254</v>
      </c>
      <c r="E4208" s="1" t="s">
        <v>45</v>
      </c>
      <c r="F4208" s="1" t="s">
        <v>9631</v>
      </c>
      <c r="G4208" s="1" t="s">
        <v>9616</v>
      </c>
      <c r="H4208" s="1" t="s">
        <v>45</v>
      </c>
      <c r="I4208" s="1" t="s">
        <v>45</v>
      </c>
      <c r="J4208" s="1" t="s">
        <v>48</v>
      </c>
      <c r="K4208" s="1">
        <v>4</v>
      </c>
      <c r="L4208" s="1">
        <v>0</v>
      </c>
      <c r="M4208" s="1">
        <v>0</v>
      </c>
      <c r="N4208" s="1">
        <v>4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 t="s">
        <v>49</v>
      </c>
      <c r="AA4208" s="1" t="s">
        <v>49</v>
      </c>
      <c r="AB4208" s="1" t="s">
        <v>49</v>
      </c>
      <c r="AC4208" s="1" t="s">
        <v>9044</v>
      </c>
      <c r="AD4208" s="1" t="s">
        <v>9319</v>
      </c>
      <c r="AE4208" s="1" t="s">
        <v>9044</v>
      </c>
      <c r="AF4208" s="1" t="s">
        <v>49</v>
      </c>
      <c r="AG4208" s="1" t="s">
        <v>9305</v>
      </c>
      <c r="AH4208" s="1" t="s">
        <v>9089</v>
      </c>
      <c r="AI4208" s="1" t="s">
        <v>54</v>
      </c>
      <c r="AJ4208" s="1">
        <v>1</v>
      </c>
      <c r="AK4208" s="1" t="str">
        <f t="shared" si="66"/>
        <v xml:space="preserve"> =&lt;90</v>
      </c>
      <c r="AL4208" s="1" t="str">
        <f>VLOOKUP(C:C,[1]基础信息!B$1:D$65536,3,0)</f>
        <v xml:space="preserve">Cartridge </v>
      </c>
      <c r="AM4208" s="1" t="str">
        <f>VLOOKUP(C:C,[1]基础信息!B$1:E$65536,4,0)</f>
        <v>UNIV</v>
      </c>
      <c r="AN4208" s="1" t="str">
        <f>VLOOKUP(C:C,[1]基础信息!B$1:F$65536,5,0)</f>
        <v>P6</v>
      </c>
    </row>
    <row r="4209" spans="1:40">
      <c r="A4209" s="1" t="s">
        <v>41</v>
      </c>
      <c r="B4209" s="1" t="s">
        <v>42</v>
      </c>
      <c r="C4209" s="1" t="s">
        <v>4352</v>
      </c>
      <c r="D4209" s="1" t="s">
        <v>4353</v>
      </c>
      <c r="E4209" s="1" t="s">
        <v>45</v>
      </c>
      <c r="F4209" s="1" t="s">
        <v>9632</v>
      </c>
      <c r="G4209" s="1" t="s">
        <v>9633</v>
      </c>
      <c r="H4209" s="1" t="s">
        <v>45</v>
      </c>
      <c r="I4209" s="1" t="s">
        <v>45</v>
      </c>
      <c r="J4209" s="1" t="s">
        <v>48</v>
      </c>
      <c r="K4209" s="1">
        <v>88</v>
      </c>
      <c r="L4209" s="1">
        <v>0</v>
      </c>
      <c r="M4209" s="1">
        <v>0</v>
      </c>
      <c r="N4209" s="1">
        <v>88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 t="s">
        <v>49</v>
      </c>
      <c r="AA4209" s="1" t="s">
        <v>49</v>
      </c>
      <c r="AB4209" s="1" t="s">
        <v>49</v>
      </c>
      <c r="AC4209" s="1" t="s">
        <v>3363</v>
      </c>
      <c r="AD4209" s="1" t="s">
        <v>6480</v>
      </c>
      <c r="AE4209" s="1" t="s">
        <v>3363</v>
      </c>
      <c r="AF4209" s="1" t="s">
        <v>49</v>
      </c>
      <c r="AG4209" s="1" t="s">
        <v>3464</v>
      </c>
      <c r="AH4209" s="1" t="s">
        <v>49</v>
      </c>
      <c r="AI4209" s="1" t="s">
        <v>54</v>
      </c>
      <c r="AJ4209" s="1">
        <v>1</v>
      </c>
      <c r="AK4209" s="1" t="str">
        <f t="shared" si="66"/>
        <v xml:space="preserve"> =&lt;90</v>
      </c>
      <c r="AL4209" s="1" t="e">
        <f>VLOOKUP(C:C,[1]基础信息!B$1:D$65536,3,0)</f>
        <v>#N/A</v>
      </c>
      <c r="AM4209" s="1" t="e">
        <f>VLOOKUP(C:C,[1]基础信息!B$1:E$65536,4,0)</f>
        <v>#N/A</v>
      </c>
      <c r="AN4209" s="1" t="e">
        <f>VLOOKUP(C:C,[1]基础信息!B$1:F$65536,5,0)</f>
        <v>#N/A</v>
      </c>
    </row>
    <row r="4210" spans="1:40">
      <c r="A4210" s="1" t="s">
        <v>41</v>
      </c>
      <c r="B4210" s="1" t="s">
        <v>42</v>
      </c>
      <c r="C4210" s="1" t="s">
        <v>3512</v>
      </c>
      <c r="D4210" s="1" t="s">
        <v>3513</v>
      </c>
      <c r="E4210" s="1" t="s">
        <v>45</v>
      </c>
      <c r="F4210" s="1" t="s">
        <v>9634</v>
      </c>
      <c r="G4210" s="1" t="s">
        <v>9635</v>
      </c>
      <c r="H4210" s="1" t="s">
        <v>45</v>
      </c>
      <c r="I4210" s="1" t="s">
        <v>45</v>
      </c>
      <c r="J4210" s="1" t="s">
        <v>48</v>
      </c>
      <c r="K4210" s="1">
        <v>403</v>
      </c>
      <c r="L4210" s="1">
        <v>0</v>
      </c>
      <c r="M4210" s="1">
        <v>0</v>
      </c>
      <c r="N4210" s="1">
        <v>403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 t="s">
        <v>49</v>
      </c>
      <c r="AA4210" s="1" t="s">
        <v>49</v>
      </c>
      <c r="AB4210" s="1" t="s">
        <v>49</v>
      </c>
      <c r="AC4210" s="1" t="s">
        <v>8263</v>
      </c>
      <c r="AD4210" s="1" t="s">
        <v>9184</v>
      </c>
      <c r="AE4210" s="1" t="s">
        <v>8263</v>
      </c>
      <c r="AF4210" s="1" t="s">
        <v>49</v>
      </c>
      <c r="AG4210" s="1" t="s">
        <v>1952</v>
      </c>
      <c r="AH4210" s="1" t="s">
        <v>8988</v>
      </c>
      <c r="AI4210" s="1" t="s">
        <v>54</v>
      </c>
      <c r="AJ4210" s="1">
        <v>1</v>
      </c>
      <c r="AK4210" s="1" t="str">
        <f t="shared" si="66"/>
        <v xml:space="preserve"> =&lt;90</v>
      </c>
      <c r="AL4210" s="1" t="str">
        <f>VLOOKUP(C:C,[1]基础信息!B$1:D$65536,3,0)</f>
        <v xml:space="preserve">Cartridge </v>
      </c>
      <c r="AM4210" s="1" t="str">
        <f>VLOOKUP(C:C,[1]基础信息!B$1:E$65536,4,0)</f>
        <v>UNIV</v>
      </c>
      <c r="AN4210" s="1" t="str">
        <f>VLOOKUP(C:C,[1]基础信息!B$1:F$65536,5,0)</f>
        <v>P3</v>
      </c>
    </row>
    <row r="4211" spans="1:40">
      <c r="A4211" s="1" t="s">
        <v>41</v>
      </c>
      <c r="B4211" s="1" t="s">
        <v>42</v>
      </c>
      <c r="C4211" s="1" t="s">
        <v>3731</v>
      </c>
      <c r="D4211" s="1" t="s">
        <v>3732</v>
      </c>
      <c r="E4211" s="1" t="s">
        <v>45</v>
      </c>
      <c r="F4211" s="1" t="s">
        <v>9636</v>
      </c>
      <c r="G4211" s="1" t="s">
        <v>9637</v>
      </c>
      <c r="H4211" s="1" t="s">
        <v>45</v>
      </c>
      <c r="I4211" s="1" t="s">
        <v>45</v>
      </c>
      <c r="J4211" s="1" t="s">
        <v>48</v>
      </c>
      <c r="K4211" s="1">
        <v>1</v>
      </c>
      <c r="L4211" s="1">
        <v>0</v>
      </c>
      <c r="M4211" s="1">
        <v>0</v>
      </c>
      <c r="N4211" s="1">
        <v>1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 t="s">
        <v>49</v>
      </c>
      <c r="AA4211" s="1" t="s">
        <v>49</v>
      </c>
      <c r="AB4211" s="1" t="s">
        <v>49</v>
      </c>
      <c r="AC4211" s="1" t="s">
        <v>4660</v>
      </c>
      <c r="AD4211" s="1" t="s">
        <v>4661</v>
      </c>
      <c r="AE4211" s="1" t="s">
        <v>4660</v>
      </c>
      <c r="AF4211" s="1" t="s">
        <v>49</v>
      </c>
      <c r="AG4211" s="1" t="s">
        <v>1952</v>
      </c>
      <c r="AH4211" s="1" t="s">
        <v>49</v>
      </c>
      <c r="AI4211" s="1" t="s">
        <v>54</v>
      </c>
      <c r="AJ4211" s="1">
        <v>0</v>
      </c>
      <c r="AK4211" s="1" t="str">
        <f t="shared" si="66"/>
        <v xml:space="preserve"> =&lt;90</v>
      </c>
      <c r="AL4211" s="1" t="str">
        <f>VLOOKUP(C:C,[1]基础信息!B$1:D$65536,3,0)</f>
        <v>UTS</v>
      </c>
      <c r="AM4211" s="1" t="str">
        <f>VLOOKUP(C:C,[1]基础信息!B$1:E$65536,4,0)</f>
        <v>MyPure</v>
      </c>
      <c r="AN4211" s="1" t="str">
        <f>VLOOKUP(C:C,[1]基础信息!B$1:F$65536,5,0)</f>
        <v>Refill</v>
      </c>
    </row>
    <row r="4212" spans="1:40">
      <c r="A4212" s="1" t="s">
        <v>41</v>
      </c>
      <c r="B4212" s="1" t="s">
        <v>42</v>
      </c>
      <c r="C4212" s="1" t="s">
        <v>8143</v>
      </c>
      <c r="D4212" s="1" t="s">
        <v>8144</v>
      </c>
      <c r="E4212" s="1" t="s">
        <v>45</v>
      </c>
      <c r="F4212" s="1" t="s">
        <v>9638</v>
      </c>
      <c r="G4212" s="1" t="s">
        <v>9637</v>
      </c>
      <c r="H4212" s="1" t="s">
        <v>45</v>
      </c>
      <c r="I4212" s="1" t="s">
        <v>45</v>
      </c>
      <c r="J4212" s="1" t="s">
        <v>48</v>
      </c>
      <c r="K4212" s="1">
        <v>1</v>
      </c>
      <c r="L4212" s="1">
        <v>0</v>
      </c>
      <c r="M4212" s="1">
        <v>0</v>
      </c>
      <c r="N4212" s="1">
        <v>1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 t="s">
        <v>49</v>
      </c>
      <c r="AA4212" s="1" t="s">
        <v>49</v>
      </c>
      <c r="AB4212" s="1" t="s">
        <v>49</v>
      </c>
      <c r="AC4212" s="1" t="s">
        <v>4660</v>
      </c>
      <c r="AD4212" s="1" t="s">
        <v>4661</v>
      </c>
      <c r="AE4212" s="1" t="s">
        <v>4660</v>
      </c>
      <c r="AF4212" s="1" t="s">
        <v>49</v>
      </c>
      <c r="AG4212" s="1" t="s">
        <v>1952</v>
      </c>
      <c r="AH4212" s="1" t="s">
        <v>49</v>
      </c>
      <c r="AI4212" s="1" t="s">
        <v>54</v>
      </c>
      <c r="AJ4212" s="1">
        <v>1</v>
      </c>
      <c r="AK4212" s="1" t="str">
        <f t="shared" si="66"/>
        <v xml:space="preserve"> =&lt;90</v>
      </c>
      <c r="AL4212" s="1" t="str">
        <f>VLOOKUP(C:C,[1]基础信息!B$1:D$65536,3,0)</f>
        <v>Jug</v>
      </c>
      <c r="AM4212" s="1" t="str">
        <f>VLOOKUP(C:C,[1]基础信息!B$1:E$65536,4,0)</f>
        <v>Style</v>
      </c>
      <c r="AN4212" s="1" t="str">
        <f>VLOOKUP(C:C,[1]基础信息!B$1:F$65536,5,0)</f>
        <v>Lime</v>
      </c>
    </row>
    <row r="4213" spans="1:40">
      <c r="A4213" s="1" t="s">
        <v>41</v>
      </c>
      <c r="B4213" s="1" t="s">
        <v>42</v>
      </c>
      <c r="C4213" s="1" t="s">
        <v>9639</v>
      </c>
      <c r="D4213" s="1" t="s">
        <v>9640</v>
      </c>
      <c r="E4213" s="1" t="s">
        <v>45</v>
      </c>
      <c r="F4213" s="1" t="s">
        <v>9641</v>
      </c>
      <c r="G4213" s="1" t="s">
        <v>9642</v>
      </c>
      <c r="H4213" s="1" t="s">
        <v>45</v>
      </c>
      <c r="I4213" s="1" t="s">
        <v>45</v>
      </c>
      <c r="J4213" s="1" t="s">
        <v>48</v>
      </c>
      <c r="K4213" s="1">
        <v>3</v>
      </c>
      <c r="L4213" s="1">
        <v>0</v>
      </c>
      <c r="M4213" s="1">
        <v>0</v>
      </c>
      <c r="N4213" s="1">
        <v>3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 t="s">
        <v>49</v>
      </c>
      <c r="AA4213" s="1" t="s">
        <v>49</v>
      </c>
      <c r="AB4213" s="1" t="s">
        <v>49</v>
      </c>
      <c r="AC4213" s="1" t="s">
        <v>4660</v>
      </c>
      <c r="AD4213" s="1" t="s">
        <v>4661</v>
      </c>
      <c r="AE4213" s="1" t="s">
        <v>4660</v>
      </c>
      <c r="AF4213" s="1" t="s">
        <v>49</v>
      </c>
      <c r="AG4213" s="1" t="s">
        <v>4662</v>
      </c>
      <c r="AH4213" s="1" t="s">
        <v>9643</v>
      </c>
      <c r="AI4213" s="1" t="s">
        <v>54</v>
      </c>
      <c r="AJ4213" s="1">
        <v>1</v>
      </c>
      <c r="AK4213" s="1" t="str">
        <f t="shared" si="66"/>
        <v xml:space="preserve"> =&lt;90</v>
      </c>
      <c r="AL4213" s="1" t="e">
        <f>VLOOKUP(C:C,[1]基础信息!B$1:D$65536,3,0)</f>
        <v>#N/A</v>
      </c>
      <c r="AM4213" s="1" t="e">
        <f>VLOOKUP(C:C,[1]基础信息!B$1:E$65536,4,0)</f>
        <v>#N/A</v>
      </c>
      <c r="AN4213" s="1" t="e">
        <f>VLOOKUP(C:C,[1]基础信息!B$1:F$65536,5,0)</f>
        <v>#N/A</v>
      </c>
    </row>
    <row r="4214" spans="1:40">
      <c r="A4214" s="1" t="s">
        <v>41</v>
      </c>
      <c r="B4214" s="1" t="s">
        <v>42</v>
      </c>
      <c r="C4214" s="1" t="s">
        <v>8790</v>
      </c>
      <c r="D4214" s="1" t="s">
        <v>8791</v>
      </c>
      <c r="E4214" s="1" t="s">
        <v>45</v>
      </c>
      <c r="F4214" s="1" t="s">
        <v>9644</v>
      </c>
      <c r="G4214" s="1" t="s">
        <v>9645</v>
      </c>
      <c r="H4214" s="1" t="s">
        <v>45</v>
      </c>
      <c r="I4214" s="1" t="s">
        <v>45</v>
      </c>
      <c r="J4214" s="1" t="s">
        <v>48</v>
      </c>
      <c r="K4214" s="1">
        <v>942</v>
      </c>
      <c r="L4214" s="1">
        <v>0</v>
      </c>
      <c r="M4214" s="1">
        <v>0</v>
      </c>
      <c r="N4214" s="1">
        <v>942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 t="s">
        <v>49</v>
      </c>
      <c r="AA4214" s="1" t="s">
        <v>49</v>
      </c>
      <c r="AB4214" s="1" t="s">
        <v>49</v>
      </c>
      <c r="AC4214" s="1" t="s">
        <v>9646</v>
      </c>
      <c r="AD4214" s="1" t="s">
        <v>9647</v>
      </c>
      <c r="AE4214" s="1" t="s">
        <v>9646</v>
      </c>
      <c r="AF4214" s="1" t="s">
        <v>49</v>
      </c>
      <c r="AG4214" s="1" t="s">
        <v>4662</v>
      </c>
      <c r="AH4214" s="1" t="s">
        <v>9648</v>
      </c>
      <c r="AI4214" s="1" t="s">
        <v>54</v>
      </c>
      <c r="AJ4214" s="1">
        <v>1</v>
      </c>
      <c r="AK4214" s="1" t="str">
        <f t="shared" si="66"/>
        <v xml:space="preserve"> =&lt;90</v>
      </c>
      <c r="AL4214" s="1" t="str">
        <f>VLOOKUP(C:C,[1]基础信息!B$1:D$65536,3,0)</f>
        <v xml:space="preserve">Cartridge </v>
      </c>
      <c r="AM4214" s="1" t="str">
        <f>VLOOKUP(C:C,[1]基础信息!B$1:E$65536,4,0)</f>
        <v>UNIV</v>
      </c>
      <c r="AN4214" s="1" t="str">
        <f>VLOOKUP(C:C,[1]基础信息!B$1:F$65536,5,0)</f>
        <v>P55</v>
      </c>
    </row>
    <row r="4215" spans="1:40">
      <c r="A4215" s="1" t="s">
        <v>41</v>
      </c>
      <c r="B4215" s="1" t="s">
        <v>42</v>
      </c>
      <c r="C4215" s="1" t="s">
        <v>4656</v>
      </c>
      <c r="D4215" s="1" t="s">
        <v>4657</v>
      </c>
      <c r="E4215" s="1" t="s">
        <v>45</v>
      </c>
      <c r="F4215" s="1" t="s">
        <v>9649</v>
      </c>
      <c r="G4215" s="1" t="s">
        <v>9650</v>
      </c>
      <c r="H4215" s="1" t="s">
        <v>45</v>
      </c>
      <c r="I4215" s="1" t="s">
        <v>45</v>
      </c>
      <c r="J4215" s="1" t="s">
        <v>48</v>
      </c>
      <c r="K4215" s="1">
        <v>4</v>
      </c>
      <c r="L4215" s="1">
        <v>0</v>
      </c>
      <c r="M4215" s="1">
        <v>0</v>
      </c>
      <c r="N4215" s="1">
        <v>4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 t="s">
        <v>49</v>
      </c>
      <c r="AA4215" s="1" t="s">
        <v>49</v>
      </c>
      <c r="AB4215" s="1" t="s">
        <v>49</v>
      </c>
      <c r="AC4215" s="1" t="s">
        <v>4660</v>
      </c>
      <c r="AD4215" s="1" t="s">
        <v>4661</v>
      </c>
      <c r="AE4215" s="1" t="s">
        <v>4660</v>
      </c>
      <c r="AF4215" s="1" t="s">
        <v>49</v>
      </c>
      <c r="AG4215" s="1" t="s">
        <v>4662</v>
      </c>
      <c r="AH4215" s="1" t="s">
        <v>9651</v>
      </c>
      <c r="AI4215" s="1" t="s">
        <v>54</v>
      </c>
      <c r="AJ4215" s="1">
        <v>0</v>
      </c>
      <c r="AK4215" s="1" t="str">
        <f t="shared" si="66"/>
        <v xml:space="preserve"> =&lt;90</v>
      </c>
      <c r="AL4215" s="1" t="str">
        <f>VLOOKUP(C:C,[1]基础信息!B$1:D$65536,3,0)</f>
        <v>Jug</v>
      </c>
      <c r="AM4215" s="1" t="str">
        <f>VLOOKUP(C:C,[1]基础信息!B$1:E$65536,4,0)</f>
        <v>Marella</v>
      </c>
      <c r="AN4215" s="1" t="str">
        <f>VLOOKUP(C:C,[1]基础信息!B$1:F$65536,5,0)</f>
        <v>Blue</v>
      </c>
    </row>
    <row r="4216" spans="1:40">
      <c r="A4216" s="1" t="s">
        <v>41</v>
      </c>
      <c r="B4216" s="1" t="s">
        <v>42</v>
      </c>
      <c r="C4216" s="1" t="s">
        <v>6725</v>
      </c>
      <c r="D4216" s="1" t="s">
        <v>6726</v>
      </c>
      <c r="E4216" s="1" t="s">
        <v>45</v>
      </c>
      <c r="F4216" s="1" t="s">
        <v>9652</v>
      </c>
      <c r="G4216" s="1" t="s">
        <v>9650</v>
      </c>
      <c r="H4216" s="1" t="s">
        <v>45</v>
      </c>
      <c r="I4216" s="1" t="s">
        <v>45</v>
      </c>
      <c r="J4216" s="1" t="s">
        <v>48</v>
      </c>
      <c r="K4216" s="1">
        <v>2</v>
      </c>
      <c r="L4216" s="1">
        <v>0</v>
      </c>
      <c r="M4216" s="1">
        <v>0</v>
      </c>
      <c r="N4216" s="1">
        <v>2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 t="s">
        <v>49</v>
      </c>
      <c r="AA4216" s="1" t="s">
        <v>49</v>
      </c>
      <c r="AB4216" s="1" t="s">
        <v>49</v>
      </c>
      <c r="AC4216" s="1" t="s">
        <v>4660</v>
      </c>
      <c r="AD4216" s="1" t="s">
        <v>4661</v>
      </c>
      <c r="AE4216" s="1" t="s">
        <v>4660</v>
      </c>
      <c r="AF4216" s="1" t="s">
        <v>49</v>
      </c>
      <c r="AG4216" s="1" t="s">
        <v>1952</v>
      </c>
      <c r="AH4216" s="1" t="s">
        <v>49</v>
      </c>
      <c r="AI4216" s="1" t="s">
        <v>54</v>
      </c>
      <c r="AJ4216" s="1">
        <v>0</v>
      </c>
      <c r="AK4216" s="1" t="str">
        <f t="shared" si="66"/>
        <v xml:space="preserve"> =&lt;90</v>
      </c>
      <c r="AL4216" s="1" t="str">
        <f>VLOOKUP(C:C,[1]基础信息!B$1:D$65536,3,0)</f>
        <v>Jug</v>
      </c>
      <c r="AM4216" s="1" t="str">
        <f>VLOOKUP(C:C,[1]基础信息!B$1:E$65536,4,0)</f>
        <v>Style</v>
      </c>
      <c r="AN4216" s="1" t="str">
        <f>VLOOKUP(C:C,[1]基础信息!B$1:F$65536,5,0)</f>
        <v>Grey</v>
      </c>
    </row>
    <row r="4217" spans="1:40">
      <c r="A4217" s="1" t="s">
        <v>41</v>
      </c>
      <c r="B4217" s="1" t="s">
        <v>42</v>
      </c>
      <c r="C4217" s="1" t="s">
        <v>645</v>
      </c>
      <c r="D4217" s="1" t="s">
        <v>646</v>
      </c>
      <c r="E4217" s="1" t="s">
        <v>645</v>
      </c>
      <c r="F4217" s="1" t="s">
        <v>9653</v>
      </c>
      <c r="G4217" s="1" t="s">
        <v>9650</v>
      </c>
      <c r="H4217" s="1" t="s">
        <v>45</v>
      </c>
      <c r="I4217" s="1" t="s">
        <v>45</v>
      </c>
      <c r="J4217" s="1" t="s">
        <v>48</v>
      </c>
      <c r="K4217" s="1">
        <v>2</v>
      </c>
      <c r="L4217" s="1">
        <v>0</v>
      </c>
      <c r="M4217" s="1">
        <v>0</v>
      </c>
      <c r="N4217" s="1">
        <v>2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 t="s">
        <v>49</v>
      </c>
      <c r="AA4217" s="1" t="s">
        <v>49</v>
      </c>
      <c r="AB4217" s="1" t="s">
        <v>49</v>
      </c>
      <c r="AC4217" s="1" t="s">
        <v>4660</v>
      </c>
      <c r="AD4217" s="1" t="s">
        <v>4661</v>
      </c>
      <c r="AE4217" s="1" t="s">
        <v>4660</v>
      </c>
      <c r="AF4217" s="1" t="s">
        <v>49</v>
      </c>
      <c r="AG4217" s="1" t="s">
        <v>1952</v>
      </c>
      <c r="AH4217" s="1" t="s">
        <v>49</v>
      </c>
      <c r="AI4217" s="1" t="s">
        <v>54</v>
      </c>
      <c r="AJ4217" s="1">
        <v>0</v>
      </c>
      <c r="AK4217" s="1" t="str">
        <f t="shared" si="66"/>
        <v xml:space="preserve"> =&lt;90</v>
      </c>
      <c r="AL4217" s="1" t="str">
        <f>VLOOKUP(C:C,[1]基础信息!B$1:D$65536,3,0)</f>
        <v>UTS</v>
      </c>
      <c r="AM4217" s="1" t="str">
        <f>VLOOKUP(C:C,[1]基础信息!B$1:E$65536,4,0)</f>
        <v>MyPure Pro</v>
      </c>
      <c r="AN4217" s="1" t="str">
        <f>VLOOKUP(C:C,[1]基础信息!B$1:F$65536,5,0)</f>
        <v>Refill</v>
      </c>
    </row>
    <row r="4218" spans="1:40">
      <c r="A4218" s="1" t="s">
        <v>41</v>
      </c>
      <c r="B4218" s="1" t="s">
        <v>42</v>
      </c>
      <c r="C4218" s="1" t="s">
        <v>5105</v>
      </c>
      <c r="D4218" s="1" t="s">
        <v>5106</v>
      </c>
      <c r="E4218" s="1" t="s">
        <v>5105</v>
      </c>
      <c r="F4218" s="1" t="s">
        <v>9654</v>
      </c>
      <c r="G4218" s="1" t="s">
        <v>9650</v>
      </c>
      <c r="H4218" s="1" t="s">
        <v>45</v>
      </c>
      <c r="I4218" s="1" t="s">
        <v>45</v>
      </c>
      <c r="J4218" s="1" t="s">
        <v>48</v>
      </c>
      <c r="K4218" s="1">
        <v>2</v>
      </c>
      <c r="L4218" s="1">
        <v>0</v>
      </c>
      <c r="M4218" s="1">
        <v>0</v>
      </c>
      <c r="N4218" s="1">
        <v>2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 t="s">
        <v>49</v>
      </c>
      <c r="AA4218" s="1" t="s">
        <v>49</v>
      </c>
      <c r="AB4218" s="1" t="s">
        <v>49</v>
      </c>
      <c r="AC4218" s="1" t="s">
        <v>4660</v>
      </c>
      <c r="AD4218" s="1" t="s">
        <v>4661</v>
      </c>
      <c r="AE4218" s="1" t="s">
        <v>4660</v>
      </c>
      <c r="AF4218" s="1" t="s">
        <v>49</v>
      </c>
      <c r="AG4218" s="1" t="s">
        <v>1952</v>
      </c>
      <c r="AH4218" s="1" t="s">
        <v>49</v>
      </c>
      <c r="AI4218" s="1" t="s">
        <v>54</v>
      </c>
      <c r="AJ4218" s="1">
        <v>1</v>
      </c>
      <c r="AK4218" s="1" t="str">
        <f t="shared" si="66"/>
        <v xml:space="preserve"> =&lt;90</v>
      </c>
      <c r="AL4218" s="1" t="str">
        <f>VLOOKUP(C:C,[1]基础信息!B$1:D$65536,3,0)</f>
        <v>UTS</v>
      </c>
      <c r="AM4218" s="1" t="str">
        <f>VLOOKUP(C:C,[1]基础信息!B$1:E$65536,4,0)</f>
        <v>MyPure Pro</v>
      </c>
      <c r="AN4218" s="1" t="str">
        <f>VLOOKUP(C:C,[1]基础信息!B$1:F$65536,5,0)</f>
        <v>X3</v>
      </c>
    </row>
    <row r="4219" spans="1:40">
      <c r="A4219" s="1" t="s">
        <v>41</v>
      </c>
      <c r="B4219" s="1" t="s">
        <v>42</v>
      </c>
      <c r="C4219" s="1" t="s">
        <v>8790</v>
      </c>
      <c r="D4219" s="1" t="s">
        <v>8791</v>
      </c>
      <c r="E4219" s="1" t="s">
        <v>45</v>
      </c>
      <c r="F4219" s="1" t="s">
        <v>9655</v>
      </c>
      <c r="G4219" s="1" t="s">
        <v>9656</v>
      </c>
      <c r="H4219" s="1" t="s">
        <v>45</v>
      </c>
      <c r="I4219" s="1" t="s">
        <v>45</v>
      </c>
      <c r="J4219" s="1" t="s">
        <v>48</v>
      </c>
      <c r="K4219" s="1">
        <v>755</v>
      </c>
      <c r="L4219" s="1">
        <v>0</v>
      </c>
      <c r="M4219" s="1">
        <v>0</v>
      </c>
      <c r="N4219" s="1">
        <v>755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 t="s">
        <v>49</v>
      </c>
      <c r="AA4219" s="1" t="s">
        <v>49</v>
      </c>
      <c r="AB4219" s="1" t="s">
        <v>49</v>
      </c>
      <c r="AC4219" s="1" t="s">
        <v>9646</v>
      </c>
      <c r="AD4219" s="1" t="s">
        <v>9647</v>
      </c>
      <c r="AE4219" s="1" t="s">
        <v>9646</v>
      </c>
      <c r="AF4219" s="1" t="s">
        <v>9657</v>
      </c>
      <c r="AG4219" s="1" t="s">
        <v>4662</v>
      </c>
      <c r="AH4219" s="1" t="s">
        <v>9648</v>
      </c>
      <c r="AI4219" s="1" t="s">
        <v>54</v>
      </c>
      <c r="AJ4219" s="1">
        <v>1</v>
      </c>
      <c r="AK4219" s="1" t="str">
        <f t="shared" si="66"/>
        <v xml:space="preserve"> =&lt;90</v>
      </c>
      <c r="AL4219" s="1" t="str">
        <f>VLOOKUP(C:C,[1]基础信息!B$1:D$65536,3,0)</f>
        <v xml:space="preserve">Cartridge </v>
      </c>
      <c r="AM4219" s="1" t="str">
        <f>VLOOKUP(C:C,[1]基础信息!B$1:E$65536,4,0)</f>
        <v>UNIV</v>
      </c>
      <c r="AN4219" s="1" t="str">
        <f>VLOOKUP(C:C,[1]基础信息!B$1:F$65536,5,0)</f>
        <v>P55</v>
      </c>
    </row>
    <row r="4220" spans="1:40">
      <c r="A4220" s="1" t="s">
        <v>41</v>
      </c>
      <c r="B4220" s="1" t="s">
        <v>42</v>
      </c>
      <c r="C4220" s="1" t="s">
        <v>9658</v>
      </c>
      <c r="D4220" s="1" t="s">
        <v>9659</v>
      </c>
      <c r="E4220" s="1" t="s">
        <v>9658</v>
      </c>
      <c r="F4220" s="1" t="s">
        <v>9660</v>
      </c>
      <c r="G4220" s="1" t="s">
        <v>9661</v>
      </c>
      <c r="H4220" s="1" t="s">
        <v>45</v>
      </c>
      <c r="I4220" s="1" t="s">
        <v>45</v>
      </c>
      <c r="J4220" s="1" t="s">
        <v>48</v>
      </c>
      <c r="K4220" s="1">
        <v>322</v>
      </c>
      <c r="L4220" s="1">
        <v>0</v>
      </c>
      <c r="M4220" s="1">
        <v>0</v>
      </c>
      <c r="N4220" s="1">
        <v>322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 t="s">
        <v>49</v>
      </c>
      <c r="AA4220" s="1" t="s">
        <v>49</v>
      </c>
      <c r="AB4220" s="1" t="s">
        <v>49</v>
      </c>
      <c r="AC4220" s="1" t="s">
        <v>8615</v>
      </c>
      <c r="AD4220" s="1" t="s">
        <v>8616</v>
      </c>
      <c r="AE4220" s="1" t="s">
        <v>8615</v>
      </c>
      <c r="AF4220" s="1" t="s">
        <v>8830</v>
      </c>
      <c r="AG4220" s="1" t="s">
        <v>4662</v>
      </c>
      <c r="AH4220" s="1" t="s">
        <v>49</v>
      </c>
      <c r="AI4220" s="1" t="s">
        <v>54</v>
      </c>
      <c r="AJ4220" s="1">
        <v>1</v>
      </c>
      <c r="AK4220" s="1" t="str">
        <f t="shared" si="66"/>
        <v xml:space="preserve"> =&lt;90</v>
      </c>
      <c r="AL4220" s="1" t="str">
        <f>VLOOKUP(C:C,[1]基础信息!B$1:D$65536,3,0)</f>
        <v xml:space="preserve">Cartridge </v>
      </c>
      <c r="AM4220" s="1" t="str">
        <f>VLOOKUP(C:C,[1]基础信息!B$1:E$65536,4,0)</f>
        <v>UNIV</v>
      </c>
      <c r="AN4220" s="1" t="str">
        <f>VLOOKUP(C:C,[1]基础信息!B$1:F$65536,5,0)</f>
        <v>P55</v>
      </c>
    </row>
    <row r="4221" spans="1:40">
      <c r="A4221" s="1" t="s">
        <v>41</v>
      </c>
      <c r="B4221" s="1" t="s">
        <v>42</v>
      </c>
      <c r="C4221" s="1" t="s">
        <v>8124</v>
      </c>
      <c r="D4221" s="1" t="s">
        <v>8125</v>
      </c>
      <c r="E4221" s="1" t="s">
        <v>45</v>
      </c>
      <c r="F4221" s="1" t="s">
        <v>9662</v>
      </c>
      <c r="G4221" s="1" t="s">
        <v>9663</v>
      </c>
      <c r="H4221" s="1" t="s">
        <v>45</v>
      </c>
      <c r="I4221" s="1" t="s">
        <v>45</v>
      </c>
      <c r="J4221" s="1" t="s">
        <v>48</v>
      </c>
      <c r="K4221" s="1">
        <v>45</v>
      </c>
      <c r="L4221" s="1">
        <v>0</v>
      </c>
      <c r="M4221" s="1">
        <v>0</v>
      </c>
      <c r="N4221" s="1">
        <v>45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 t="s">
        <v>49</v>
      </c>
      <c r="AA4221" s="1" t="s">
        <v>49</v>
      </c>
      <c r="AB4221" s="1" t="s">
        <v>49</v>
      </c>
      <c r="AC4221" s="1" t="s">
        <v>4458</v>
      </c>
      <c r="AD4221" s="1" t="s">
        <v>4459</v>
      </c>
      <c r="AE4221" s="1" t="s">
        <v>4458</v>
      </c>
      <c r="AF4221" s="1" t="s">
        <v>49</v>
      </c>
      <c r="AG4221" s="1" t="s">
        <v>1952</v>
      </c>
      <c r="AH4221" s="1" t="s">
        <v>49</v>
      </c>
      <c r="AI4221" s="1" t="s">
        <v>54</v>
      </c>
      <c r="AJ4221" s="1">
        <v>1</v>
      </c>
      <c r="AK4221" s="1" t="str">
        <f t="shared" si="66"/>
        <v xml:space="preserve"> =&lt;90</v>
      </c>
      <c r="AL4221" s="1" t="str">
        <f>VLOOKUP(C:C,[1]基础信息!B$1:D$65536,3,0)</f>
        <v>Jug</v>
      </c>
      <c r="AM4221" s="1" t="str">
        <f>VLOOKUP(C:C,[1]基础信息!B$1:E$65536,4,0)</f>
        <v>Mxplus</v>
      </c>
      <c r="AN4221" s="1" t="str">
        <f>VLOOKUP(C:C,[1]基础信息!B$1:F$65536,5,0)</f>
        <v>Blue</v>
      </c>
    </row>
    <row r="4222" spans="1:40">
      <c r="A4222" s="1" t="s">
        <v>41</v>
      </c>
      <c r="B4222" s="1" t="s">
        <v>42</v>
      </c>
      <c r="C4222" s="1" t="s">
        <v>8790</v>
      </c>
      <c r="D4222" s="1" t="s">
        <v>8791</v>
      </c>
      <c r="E4222" s="1" t="s">
        <v>45</v>
      </c>
      <c r="F4222" s="1" t="s">
        <v>9655</v>
      </c>
      <c r="G4222" s="1" t="s">
        <v>9664</v>
      </c>
      <c r="H4222" s="1" t="s">
        <v>45</v>
      </c>
      <c r="I4222" s="1" t="s">
        <v>45</v>
      </c>
      <c r="J4222" s="1" t="s">
        <v>48</v>
      </c>
      <c r="K4222" s="1">
        <v>2800</v>
      </c>
      <c r="L4222" s="1">
        <v>0</v>
      </c>
      <c r="M4222" s="1">
        <v>0</v>
      </c>
      <c r="N4222" s="1">
        <v>2800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 t="s">
        <v>49</v>
      </c>
      <c r="AA4222" s="1" t="s">
        <v>49</v>
      </c>
      <c r="AB4222" s="1" t="s">
        <v>49</v>
      </c>
      <c r="AC4222" s="1" t="s">
        <v>9646</v>
      </c>
      <c r="AD4222" s="1" t="s">
        <v>9647</v>
      </c>
      <c r="AE4222" s="1" t="s">
        <v>9646</v>
      </c>
      <c r="AF4222" s="1" t="s">
        <v>9657</v>
      </c>
      <c r="AG4222" s="1" t="s">
        <v>4662</v>
      </c>
      <c r="AH4222" s="1" t="s">
        <v>9648</v>
      </c>
      <c r="AI4222" s="1" t="s">
        <v>54</v>
      </c>
      <c r="AJ4222" s="1">
        <v>1</v>
      </c>
      <c r="AK4222" s="1" t="str">
        <f t="shared" si="66"/>
        <v xml:space="preserve"> =&lt;90</v>
      </c>
      <c r="AL4222" s="1" t="str">
        <f>VLOOKUP(C:C,[1]基础信息!B$1:D$65536,3,0)</f>
        <v xml:space="preserve">Cartridge </v>
      </c>
      <c r="AM4222" s="1" t="str">
        <f>VLOOKUP(C:C,[1]基础信息!B$1:E$65536,4,0)</f>
        <v>UNIV</v>
      </c>
      <c r="AN4222" s="1" t="str">
        <f>VLOOKUP(C:C,[1]基础信息!B$1:F$65536,5,0)</f>
        <v>P55</v>
      </c>
    </row>
    <row r="4223" spans="1:40">
      <c r="A4223" s="1" t="s">
        <v>41</v>
      </c>
      <c r="B4223" s="1" t="s">
        <v>42</v>
      </c>
      <c r="C4223" s="1" t="s">
        <v>68</v>
      </c>
      <c r="D4223" s="1" t="s">
        <v>69</v>
      </c>
      <c r="E4223" s="1" t="s">
        <v>45</v>
      </c>
      <c r="F4223" s="1" t="s">
        <v>9665</v>
      </c>
      <c r="G4223" s="1" t="s">
        <v>9666</v>
      </c>
      <c r="H4223" s="1" t="s">
        <v>45</v>
      </c>
      <c r="I4223" s="1" t="s">
        <v>45</v>
      </c>
      <c r="J4223" s="1" t="s">
        <v>48</v>
      </c>
      <c r="K4223" s="1">
        <v>2</v>
      </c>
      <c r="L4223" s="1">
        <v>0</v>
      </c>
      <c r="M4223" s="1">
        <v>0</v>
      </c>
      <c r="N4223" s="1">
        <v>2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 t="s">
        <v>49</v>
      </c>
      <c r="AA4223" s="1" t="s">
        <v>49</v>
      </c>
      <c r="AB4223" s="1" t="s">
        <v>49</v>
      </c>
      <c r="AC4223" s="1" t="s">
        <v>3719</v>
      </c>
      <c r="AD4223" s="1" t="s">
        <v>3720</v>
      </c>
      <c r="AE4223" s="1" t="s">
        <v>3719</v>
      </c>
      <c r="AF4223" s="1" t="s">
        <v>49</v>
      </c>
      <c r="AG4223" s="1" t="s">
        <v>7747</v>
      </c>
      <c r="AH4223" s="1" t="s">
        <v>49</v>
      </c>
      <c r="AI4223" s="1" t="s">
        <v>54</v>
      </c>
      <c r="AJ4223" s="1">
        <v>1</v>
      </c>
      <c r="AK4223" s="1" t="str">
        <f t="shared" si="66"/>
        <v xml:space="preserve"> =&lt;90</v>
      </c>
      <c r="AL4223" s="1" t="str">
        <f>VLOOKUP(C:C,[1]基础信息!B$1:D$65536,3,0)</f>
        <v>Hotcup</v>
      </c>
      <c r="AM4223" s="1" t="str">
        <f>VLOOKUP(C:C,[1]基础信息!B$1:E$65536,4,0)</f>
        <v>Hotcup</v>
      </c>
      <c r="AN4223" s="1" t="str">
        <f>VLOOKUP(C:C,[1]基础信息!B$1:F$65536,5,0)</f>
        <v xml:space="preserve"> Whi</v>
      </c>
    </row>
    <row r="4224" spans="1:40">
      <c r="A4224" s="1" t="s">
        <v>41</v>
      </c>
      <c r="B4224" s="1" t="s">
        <v>42</v>
      </c>
      <c r="C4224" s="1" t="s">
        <v>9667</v>
      </c>
      <c r="D4224" s="1" t="s">
        <v>9668</v>
      </c>
      <c r="E4224" s="1" t="s">
        <v>45</v>
      </c>
      <c r="F4224" s="1" t="s">
        <v>9669</v>
      </c>
      <c r="G4224" s="1" t="s">
        <v>9670</v>
      </c>
      <c r="H4224" s="1" t="s">
        <v>45</v>
      </c>
      <c r="I4224" s="1" t="s">
        <v>45</v>
      </c>
      <c r="J4224" s="1" t="s">
        <v>48</v>
      </c>
      <c r="K4224" s="1">
        <v>17</v>
      </c>
      <c r="L4224" s="1">
        <v>0</v>
      </c>
      <c r="M4224" s="1">
        <v>0</v>
      </c>
      <c r="N4224" s="1">
        <v>17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 t="s">
        <v>49</v>
      </c>
      <c r="AA4224" s="1" t="s">
        <v>49</v>
      </c>
      <c r="AB4224" s="1" t="s">
        <v>49</v>
      </c>
      <c r="AC4224" s="1" t="s">
        <v>9018</v>
      </c>
      <c r="AD4224" s="1" t="s">
        <v>9019</v>
      </c>
      <c r="AE4224" s="1" t="s">
        <v>9018</v>
      </c>
      <c r="AF4224" s="1" t="s">
        <v>49</v>
      </c>
      <c r="AG4224" s="1" t="s">
        <v>4662</v>
      </c>
      <c r="AH4224" s="1" t="s">
        <v>9671</v>
      </c>
      <c r="AI4224" s="1" t="s">
        <v>54</v>
      </c>
      <c r="AJ4224" s="1">
        <v>1</v>
      </c>
      <c r="AK4224" s="1" t="str">
        <f t="shared" si="66"/>
        <v xml:space="preserve"> =&lt;90</v>
      </c>
      <c r="AL4224" s="1" t="str">
        <f>VLOOKUP(C:C,[1]基础信息!B$1:D$65536,3,0)</f>
        <v>Jug</v>
      </c>
      <c r="AM4224" s="1" t="str">
        <f>VLOOKUP(C:C,[1]基础信息!B$1:E$65536,4,0)</f>
        <v>Marella XL</v>
      </c>
      <c r="AN4224" s="1" t="str">
        <f>VLOOKUP(C:C,[1]基础信息!B$1:F$65536,5,0)</f>
        <v xml:space="preserve"> Whi</v>
      </c>
    </row>
    <row r="4225" spans="1:40">
      <c r="A4225" s="1" t="s">
        <v>41</v>
      </c>
      <c r="B4225" s="1" t="s">
        <v>42</v>
      </c>
      <c r="C4225" s="1" t="s">
        <v>7755</v>
      </c>
      <c r="D4225" s="1" t="s">
        <v>7756</v>
      </c>
      <c r="E4225" s="1" t="s">
        <v>45</v>
      </c>
      <c r="F4225" s="1" t="s">
        <v>9672</v>
      </c>
      <c r="G4225" s="1" t="s">
        <v>9673</v>
      </c>
      <c r="H4225" s="1" t="s">
        <v>45</v>
      </c>
      <c r="I4225" s="1" t="s">
        <v>45</v>
      </c>
      <c r="J4225" s="1" t="s">
        <v>48</v>
      </c>
      <c r="K4225" s="1">
        <v>154</v>
      </c>
      <c r="L4225" s="1">
        <v>0</v>
      </c>
      <c r="M4225" s="1">
        <v>0</v>
      </c>
      <c r="N4225" s="1">
        <v>154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 t="s">
        <v>49</v>
      </c>
      <c r="AA4225" s="1" t="s">
        <v>49</v>
      </c>
      <c r="AB4225" s="1" t="s">
        <v>49</v>
      </c>
      <c r="AC4225" s="1" t="s">
        <v>1514</v>
      </c>
      <c r="AD4225" s="1" t="s">
        <v>9674</v>
      </c>
      <c r="AE4225" s="1" t="s">
        <v>1514</v>
      </c>
      <c r="AF4225" s="1" t="s">
        <v>49</v>
      </c>
      <c r="AG4225" s="1" t="s">
        <v>1952</v>
      </c>
      <c r="AH4225" s="1" t="s">
        <v>49</v>
      </c>
      <c r="AI4225" s="1" t="s">
        <v>54</v>
      </c>
      <c r="AJ4225" s="1">
        <v>1</v>
      </c>
      <c r="AK4225" s="1" t="str">
        <f t="shared" si="66"/>
        <v xml:space="preserve"> =&lt;90</v>
      </c>
      <c r="AL4225" s="1" t="str">
        <f>VLOOKUP(C:C,[1]基础信息!B$1:D$65536,3,0)</f>
        <v xml:space="preserve">Cartridge </v>
      </c>
      <c r="AM4225" s="1" t="str">
        <f>VLOOKUP(C:C,[1]基础信息!B$1:E$65536,4,0)</f>
        <v>LM</v>
      </c>
      <c r="AN4225" s="1" t="str">
        <f>VLOOKUP(C:C,[1]基础信息!B$1:F$65536,5,0)</f>
        <v>P55</v>
      </c>
    </row>
    <row r="4226" spans="1:40">
      <c r="A4226" s="1" t="s">
        <v>41</v>
      </c>
      <c r="B4226" s="1" t="s">
        <v>42</v>
      </c>
      <c r="C4226" s="1" t="s">
        <v>8610</v>
      </c>
      <c r="D4226" s="1" t="s">
        <v>8611</v>
      </c>
      <c r="E4226" s="1" t="s">
        <v>45</v>
      </c>
      <c r="F4226" s="1" t="s">
        <v>9675</v>
      </c>
      <c r="G4226" s="1" t="s">
        <v>9676</v>
      </c>
      <c r="H4226" s="1" t="s">
        <v>45</v>
      </c>
      <c r="I4226" s="1" t="s">
        <v>45</v>
      </c>
      <c r="J4226" s="1" t="s">
        <v>48</v>
      </c>
      <c r="K4226" s="1">
        <v>684</v>
      </c>
      <c r="L4226" s="1">
        <v>0</v>
      </c>
      <c r="M4226" s="1">
        <v>0</v>
      </c>
      <c r="N4226" s="1">
        <v>684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 t="s">
        <v>49</v>
      </c>
      <c r="AA4226" s="1" t="s">
        <v>49</v>
      </c>
      <c r="AB4226" s="1" t="s">
        <v>49</v>
      </c>
      <c r="AC4226" s="1" t="s">
        <v>9646</v>
      </c>
      <c r="AD4226" s="1" t="s">
        <v>9647</v>
      </c>
      <c r="AE4226" s="1" t="s">
        <v>9646</v>
      </c>
      <c r="AF4226" s="1" t="s">
        <v>9657</v>
      </c>
      <c r="AG4226" s="1" t="s">
        <v>4662</v>
      </c>
      <c r="AH4226" s="1" t="s">
        <v>49</v>
      </c>
      <c r="AI4226" s="1" t="s">
        <v>54</v>
      </c>
      <c r="AJ4226" s="1">
        <v>1</v>
      </c>
      <c r="AK4226" s="1" t="str">
        <f t="shared" si="66"/>
        <v xml:space="preserve"> =&lt;90</v>
      </c>
      <c r="AL4226" s="1" t="str">
        <f>VLOOKUP(C:C,[1]基础信息!B$1:D$65536,3,0)</f>
        <v xml:space="preserve">Cartridge </v>
      </c>
      <c r="AM4226" s="1" t="str">
        <f>VLOOKUP(C:C,[1]基础信息!B$1:E$65536,4,0)</f>
        <v>UNIV</v>
      </c>
      <c r="AN4226" s="1" t="str">
        <f>VLOOKUP(C:C,[1]基础信息!B$1:F$65536,5,0)</f>
        <v>P55</v>
      </c>
    </row>
    <row r="4227" spans="1:40">
      <c r="A4227" s="1" t="s">
        <v>41</v>
      </c>
      <c r="B4227" s="1" t="s">
        <v>42</v>
      </c>
      <c r="C4227" s="1" t="s">
        <v>5254</v>
      </c>
      <c r="D4227" s="1" t="s">
        <v>5255</v>
      </c>
      <c r="E4227" s="1" t="s">
        <v>45</v>
      </c>
      <c r="F4227" s="1" t="s">
        <v>9677</v>
      </c>
      <c r="G4227" s="1" t="s">
        <v>9678</v>
      </c>
      <c r="H4227" s="1" t="s">
        <v>9679</v>
      </c>
      <c r="I4227" s="1" t="s">
        <v>49</v>
      </c>
      <c r="J4227" s="1" t="s">
        <v>48</v>
      </c>
      <c r="K4227" s="1">
        <v>50</v>
      </c>
      <c r="L4227" s="1">
        <v>0</v>
      </c>
      <c r="M4227" s="1">
        <v>0</v>
      </c>
      <c r="N4227" s="1">
        <v>50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 t="s">
        <v>49</v>
      </c>
      <c r="AA4227" s="1" t="s">
        <v>49</v>
      </c>
      <c r="AB4227" s="1" t="s">
        <v>49</v>
      </c>
      <c r="AC4227" s="1" t="s">
        <v>1950</v>
      </c>
      <c r="AD4227" s="1" t="s">
        <v>1951</v>
      </c>
      <c r="AE4227" s="1" t="s">
        <v>1950</v>
      </c>
      <c r="AF4227" s="1" t="s">
        <v>9680</v>
      </c>
      <c r="AG4227" s="1" t="s">
        <v>53</v>
      </c>
      <c r="AH4227" s="1" t="s">
        <v>49</v>
      </c>
      <c r="AI4227" s="1" t="s">
        <v>54</v>
      </c>
      <c r="AJ4227" s="1">
        <v>1</v>
      </c>
      <c r="AK4227" s="1" t="str">
        <f t="shared" si="66"/>
        <v xml:space="preserve"> =&lt;90</v>
      </c>
      <c r="AL4227" s="1" t="str">
        <f>VLOOKUP(C:C,[1]基础信息!B$1:D$65536,3,0)</f>
        <v xml:space="preserve">Cartridge </v>
      </c>
      <c r="AM4227" s="1" t="str">
        <f>VLOOKUP(C:C,[1]基础信息!B$1:E$65536,4,0)</f>
        <v>UNIV</v>
      </c>
      <c r="AN4227" s="1" t="str">
        <f>VLOOKUP(C:C,[1]基础信息!B$1:F$65536,5,0)</f>
        <v>P55</v>
      </c>
    </row>
    <row r="4228" spans="1:40">
      <c r="A4228" s="1" t="s">
        <v>41</v>
      </c>
      <c r="B4228" s="1" t="s">
        <v>42</v>
      </c>
      <c r="C4228" s="1" t="s">
        <v>5254</v>
      </c>
      <c r="D4228" s="1" t="s">
        <v>5255</v>
      </c>
      <c r="E4228" s="1" t="s">
        <v>45</v>
      </c>
      <c r="F4228" s="1" t="s">
        <v>9677</v>
      </c>
      <c r="G4228" s="1" t="s">
        <v>9681</v>
      </c>
      <c r="H4228" s="1" t="s">
        <v>9682</v>
      </c>
      <c r="I4228" s="1" t="s">
        <v>49</v>
      </c>
      <c r="J4228" s="1" t="s">
        <v>48</v>
      </c>
      <c r="K4228" s="1">
        <v>2200</v>
      </c>
      <c r="L4228" s="1">
        <v>0</v>
      </c>
      <c r="M4228" s="1">
        <v>0</v>
      </c>
      <c r="N4228" s="1">
        <v>2200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 t="s">
        <v>49</v>
      </c>
      <c r="AA4228" s="1" t="s">
        <v>49</v>
      </c>
      <c r="AB4228" s="1" t="s">
        <v>49</v>
      </c>
      <c r="AC4228" s="1" t="s">
        <v>1950</v>
      </c>
      <c r="AD4228" s="1" t="s">
        <v>1951</v>
      </c>
      <c r="AE4228" s="1" t="s">
        <v>1950</v>
      </c>
      <c r="AF4228" s="1" t="s">
        <v>9680</v>
      </c>
      <c r="AG4228" s="1" t="s">
        <v>53</v>
      </c>
      <c r="AH4228" s="1" t="s">
        <v>49</v>
      </c>
      <c r="AI4228" s="1" t="s">
        <v>54</v>
      </c>
      <c r="AJ4228" s="1">
        <v>1</v>
      </c>
      <c r="AK4228" s="1" t="str">
        <f t="shared" si="66"/>
        <v xml:space="preserve"> =&lt;90</v>
      </c>
      <c r="AL4228" s="1" t="str">
        <f>VLOOKUP(C:C,[1]基础信息!B$1:D$65536,3,0)</f>
        <v xml:space="preserve">Cartridge </v>
      </c>
      <c r="AM4228" s="1" t="str">
        <f>VLOOKUP(C:C,[1]基础信息!B$1:E$65536,4,0)</f>
        <v>UNIV</v>
      </c>
      <c r="AN4228" s="1" t="str">
        <f>VLOOKUP(C:C,[1]基础信息!B$1:F$65536,5,0)</f>
        <v>P55</v>
      </c>
    </row>
    <row r="4229" spans="1:40">
      <c r="A4229" s="1" t="s">
        <v>41</v>
      </c>
      <c r="B4229" s="1" t="s">
        <v>42</v>
      </c>
      <c r="C4229" s="1" t="s">
        <v>5254</v>
      </c>
      <c r="D4229" s="1" t="s">
        <v>5255</v>
      </c>
      <c r="E4229" s="1" t="s">
        <v>45</v>
      </c>
      <c r="F4229" s="1" t="s">
        <v>9677</v>
      </c>
      <c r="G4229" s="1" t="s">
        <v>9683</v>
      </c>
      <c r="H4229" s="1" t="s">
        <v>9684</v>
      </c>
      <c r="I4229" s="1" t="s">
        <v>49</v>
      </c>
      <c r="J4229" s="1" t="s">
        <v>48</v>
      </c>
      <c r="K4229" s="1">
        <v>2200</v>
      </c>
      <c r="L4229" s="1">
        <v>0</v>
      </c>
      <c r="M4229" s="1">
        <v>0</v>
      </c>
      <c r="N4229" s="1">
        <v>2200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 t="s">
        <v>49</v>
      </c>
      <c r="AA4229" s="1" t="s">
        <v>49</v>
      </c>
      <c r="AB4229" s="1" t="s">
        <v>49</v>
      </c>
      <c r="AC4229" s="1" t="s">
        <v>1950</v>
      </c>
      <c r="AD4229" s="1" t="s">
        <v>1951</v>
      </c>
      <c r="AE4229" s="1" t="s">
        <v>1950</v>
      </c>
      <c r="AF4229" s="1" t="s">
        <v>9680</v>
      </c>
      <c r="AG4229" s="1" t="s">
        <v>53</v>
      </c>
      <c r="AH4229" s="1" t="s">
        <v>49</v>
      </c>
      <c r="AI4229" s="1" t="s">
        <v>54</v>
      </c>
      <c r="AJ4229" s="1">
        <v>1</v>
      </c>
      <c r="AK4229" s="1" t="str">
        <f t="shared" si="66"/>
        <v xml:space="preserve"> =&lt;90</v>
      </c>
      <c r="AL4229" s="1" t="str">
        <f>VLOOKUP(C:C,[1]基础信息!B$1:D$65536,3,0)</f>
        <v xml:space="preserve">Cartridge </v>
      </c>
      <c r="AM4229" s="1" t="str">
        <f>VLOOKUP(C:C,[1]基础信息!B$1:E$65536,4,0)</f>
        <v>UNIV</v>
      </c>
      <c r="AN4229" s="1" t="str">
        <f>VLOOKUP(C:C,[1]基础信息!B$1:F$65536,5,0)</f>
        <v>P55</v>
      </c>
    </row>
    <row r="4230" spans="1:40">
      <c r="A4230" s="1" t="s">
        <v>41</v>
      </c>
      <c r="B4230" s="1" t="s">
        <v>42</v>
      </c>
      <c r="C4230" s="1" t="s">
        <v>7755</v>
      </c>
      <c r="D4230" s="1" t="s">
        <v>7756</v>
      </c>
      <c r="E4230" s="1" t="s">
        <v>45</v>
      </c>
      <c r="F4230" s="1" t="s">
        <v>9685</v>
      </c>
      <c r="G4230" s="1" t="s">
        <v>9686</v>
      </c>
      <c r="H4230" s="1" t="s">
        <v>45</v>
      </c>
      <c r="I4230" s="1" t="s">
        <v>45</v>
      </c>
      <c r="J4230" s="1" t="s">
        <v>48</v>
      </c>
      <c r="K4230" s="1">
        <v>1475</v>
      </c>
      <c r="L4230" s="1">
        <v>0</v>
      </c>
      <c r="M4230" s="1">
        <v>0</v>
      </c>
      <c r="N4230" s="1">
        <v>1475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 t="s">
        <v>49</v>
      </c>
      <c r="AA4230" s="1" t="s">
        <v>49</v>
      </c>
      <c r="AB4230" s="1" t="s">
        <v>49</v>
      </c>
      <c r="AC4230" s="1" t="s">
        <v>9260</v>
      </c>
      <c r="AD4230" s="1" t="s">
        <v>9261</v>
      </c>
      <c r="AE4230" s="1" t="s">
        <v>3453</v>
      </c>
      <c r="AF4230" s="1" t="s">
        <v>9066</v>
      </c>
      <c r="AG4230" s="1" t="s">
        <v>1952</v>
      </c>
      <c r="AH4230" s="1" t="s">
        <v>49</v>
      </c>
      <c r="AI4230" s="1" t="s">
        <v>54</v>
      </c>
      <c r="AJ4230" s="1">
        <v>1</v>
      </c>
      <c r="AK4230" s="1" t="str">
        <f t="shared" si="66"/>
        <v xml:space="preserve"> =&lt;90</v>
      </c>
      <c r="AL4230" s="1" t="str">
        <f>VLOOKUP(C:C,[1]基础信息!B$1:D$65536,3,0)</f>
        <v xml:space="preserve">Cartridge </v>
      </c>
      <c r="AM4230" s="1" t="str">
        <f>VLOOKUP(C:C,[1]基础信息!B$1:E$65536,4,0)</f>
        <v>LM</v>
      </c>
      <c r="AN4230" s="1" t="str">
        <f>VLOOKUP(C:C,[1]基础信息!B$1:F$65536,5,0)</f>
        <v>P55</v>
      </c>
    </row>
    <row r="4231" spans="1:40">
      <c r="A4231" s="1" t="s">
        <v>41</v>
      </c>
      <c r="B4231" s="1" t="s">
        <v>42</v>
      </c>
      <c r="C4231" s="1" t="s">
        <v>7755</v>
      </c>
      <c r="D4231" s="1" t="s">
        <v>7756</v>
      </c>
      <c r="E4231" s="1" t="s">
        <v>45</v>
      </c>
      <c r="F4231" s="1" t="s">
        <v>9687</v>
      </c>
      <c r="G4231" s="1" t="s">
        <v>9688</v>
      </c>
      <c r="H4231" s="1" t="s">
        <v>45</v>
      </c>
      <c r="I4231" s="1" t="s">
        <v>45</v>
      </c>
      <c r="J4231" s="1" t="s">
        <v>48</v>
      </c>
      <c r="K4231" s="1">
        <v>1369</v>
      </c>
      <c r="L4231" s="1">
        <v>0</v>
      </c>
      <c r="M4231" s="1">
        <v>0</v>
      </c>
      <c r="N4231" s="1">
        <v>1369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 t="s">
        <v>49</v>
      </c>
      <c r="AA4231" s="1" t="s">
        <v>49</v>
      </c>
      <c r="AB4231" s="1" t="s">
        <v>49</v>
      </c>
      <c r="AC4231" s="1" t="s">
        <v>9260</v>
      </c>
      <c r="AD4231" s="1" t="s">
        <v>9261</v>
      </c>
      <c r="AE4231" s="1" t="s">
        <v>3453</v>
      </c>
      <c r="AF4231" s="1" t="s">
        <v>9032</v>
      </c>
      <c r="AG4231" s="1" t="s">
        <v>1952</v>
      </c>
      <c r="AH4231" s="1" t="s">
        <v>49</v>
      </c>
      <c r="AI4231" s="1" t="s">
        <v>54</v>
      </c>
      <c r="AJ4231" s="1">
        <v>1</v>
      </c>
      <c r="AK4231" s="1" t="str">
        <f t="shared" si="66"/>
        <v xml:space="preserve"> =&lt;90</v>
      </c>
      <c r="AL4231" s="1" t="str">
        <f>VLOOKUP(C:C,[1]基础信息!B$1:D$65536,3,0)</f>
        <v xml:space="preserve">Cartridge </v>
      </c>
      <c r="AM4231" s="1" t="str">
        <f>VLOOKUP(C:C,[1]基础信息!B$1:E$65536,4,0)</f>
        <v>LM</v>
      </c>
      <c r="AN4231" s="1" t="str">
        <f>VLOOKUP(C:C,[1]基础信息!B$1:F$65536,5,0)</f>
        <v>P55</v>
      </c>
    </row>
    <row r="4232" spans="1:40">
      <c r="A4232" s="1" t="s">
        <v>41</v>
      </c>
      <c r="B4232" s="1" t="s">
        <v>42</v>
      </c>
      <c r="C4232" s="1" t="s">
        <v>7755</v>
      </c>
      <c r="D4232" s="1" t="s">
        <v>7756</v>
      </c>
      <c r="E4232" s="1" t="s">
        <v>45</v>
      </c>
      <c r="F4232" s="1" t="s">
        <v>9687</v>
      </c>
      <c r="G4232" s="1" t="s">
        <v>9689</v>
      </c>
      <c r="H4232" s="1" t="s">
        <v>45</v>
      </c>
      <c r="I4232" s="1" t="s">
        <v>45</v>
      </c>
      <c r="J4232" s="1" t="s">
        <v>48</v>
      </c>
      <c r="K4232" s="1">
        <v>1920</v>
      </c>
      <c r="L4232" s="1">
        <v>0</v>
      </c>
      <c r="M4232" s="1">
        <v>0</v>
      </c>
      <c r="N4232" s="1">
        <v>1920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 t="s">
        <v>49</v>
      </c>
      <c r="AA4232" s="1" t="s">
        <v>49</v>
      </c>
      <c r="AB4232" s="1" t="s">
        <v>49</v>
      </c>
      <c r="AC4232" s="1" t="s">
        <v>9260</v>
      </c>
      <c r="AD4232" s="1" t="s">
        <v>9261</v>
      </c>
      <c r="AE4232" s="1" t="s">
        <v>3453</v>
      </c>
      <c r="AF4232" s="1" t="s">
        <v>9032</v>
      </c>
      <c r="AG4232" s="1" t="s">
        <v>1952</v>
      </c>
      <c r="AH4232" s="1" t="s">
        <v>49</v>
      </c>
      <c r="AI4232" s="1" t="s">
        <v>54</v>
      </c>
      <c r="AJ4232" s="1">
        <v>1</v>
      </c>
      <c r="AK4232" s="1" t="str">
        <f t="shared" si="66"/>
        <v xml:space="preserve"> =&lt;90</v>
      </c>
      <c r="AL4232" s="1" t="str">
        <f>VLOOKUP(C:C,[1]基础信息!B$1:D$65536,3,0)</f>
        <v xml:space="preserve">Cartridge </v>
      </c>
      <c r="AM4232" s="1" t="str">
        <f>VLOOKUP(C:C,[1]基础信息!B$1:E$65536,4,0)</f>
        <v>LM</v>
      </c>
      <c r="AN4232" s="1" t="str">
        <f>VLOOKUP(C:C,[1]基础信息!B$1:F$65536,5,0)</f>
        <v>P55</v>
      </c>
    </row>
    <row r="4233" spans="1:40">
      <c r="A4233" s="1" t="s">
        <v>41</v>
      </c>
      <c r="B4233" s="1" t="s">
        <v>42</v>
      </c>
      <c r="C4233" s="1" t="s">
        <v>7755</v>
      </c>
      <c r="D4233" s="1" t="s">
        <v>7756</v>
      </c>
      <c r="E4233" s="1" t="s">
        <v>45</v>
      </c>
      <c r="F4233" s="1" t="s">
        <v>9687</v>
      </c>
      <c r="G4233" s="1" t="s">
        <v>9690</v>
      </c>
      <c r="H4233" s="1" t="s">
        <v>45</v>
      </c>
      <c r="I4233" s="1" t="s">
        <v>45</v>
      </c>
      <c r="J4233" s="1" t="s">
        <v>48</v>
      </c>
      <c r="K4233" s="1">
        <v>1920</v>
      </c>
      <c r="L4233" s="1">
        <v>0</v>
      </c>
      <c r="M4233" s="1">
        <v>0</v>
      </c>
      <c r="N4233" s="1">
        <v>1920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 t="s">
        <v>49</v>
      </c>
      <c r="AA4233" s="1" t="s">
        <v>49</v>
      </c>
      <c r="AB4233" s="1" t="s">
        <v>49</v>
      </c>
      <c r="AC4233" s="1" t="s">
        <v>9260</v>
      </c>
      <c r="AD4233" s="1" t="s">
        <v>9261</v>
      </c>
      <c r="AE4233" s="1" t="s">
        <v>3453</v>
      </c>
      <c r="AF4233" s="1" t="s">
        <v>9032</v>
      </c>
      <c r="AG4233" s="1" t="s">
        <v>1952</v>
      </c>
      <c r="AH4233" s="1" t="s">
        <v>49</v>
      </c>
      <c r="AI4233" s="1" t="s">
        <v>54</v>
      </c>
      <c r="AJ4233" s="1">
        <v>1</v>
      </c>
      <c r="AK4233" s="1" t="str">
        <f t="shared" si="66"/>
        <v xml:space="preserve"> =&lt;90</v>
      </c>
      <c r="AL4233" s="1" t="str">
        <f>VLOOKUP(C:C,[1]基础信息!B$1:D$65536,3,0)</f>
        <v xml:space="preserve">Cartridge </v>
      </c>
      <c r="AM4233" s="1" t="str">
        <f>VLOOKUP(C:C,[1]基础信息!B$1:E$65536,4,0)</f>
        <v>LM</v>
      </c>
      <c r="AN4233" s="1" t="str">
        <f>VLOOKUP(C:C,[1]基础信息!B$1:F$65536,5,0)</f>
        <v>P55</v>
      </c>
    </row>
    <row r="4234" spans="1:40">
      <c r="A4234" s="1" t="s">
        <v>41</v>
      </c>
      <c r="B4234" s="1" t="s">
        <v>42</v>
      </c>
      <c r="C4234" s="1" t="s">
        <v>7755</v>
      </c>
      <c r="D4234" s="1" t="s">
        <v>7756</v>
      </c>
      <c r="E4234" s="1" t="s">
        <v>45</v>
      </c>
      <c r="F4234" s="1" t="s">
        <v>9685</v>
      </c>
      <c r="G4234" s="1" t="s">
        <v>9691</v>
      </c>
      <c r="H4234" s="1" t="s">
        <v>45</v>
      </c>
      <c r="I4234" s="1" t="s">
        <v>45</v>
      </c>
      <c r="J4234" s="1" t="s">
        <v>48</v>
      </c>
      <c r="K4234" s="1">
        <v>1920</v>
      </c>
      <c r="L4234" s="1">
        <v>0</v>
      </c>
      <c r="M4234" s="1">
        <v>0</v>
      </c>
      <c r="N4234" s="1">
        <v>1920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 t="s">
        <v>49</v>
      </c>
      <c r="AA4234" s="1" t="s">
        <v>49</v>
      </c>
      <c r="AB4234" s="1" t="s">
        <v>49</v>
      </c>
      <c r="AC4234" s="1" t="s">
        <v>9260</v>
      </c>
      <c r="AD4234" s="1" t="s">
        <v>9261</v>
      </c>
      <c r="AE4234" s="1" t="s">
        <v>3453</v>
      </c>
      <c r="AF4234" s="1" t="s">
        <v>9066</v>
      </c>
      <c r="AG4234" s="1" t="s">
        <v>1952</v>
      </c>
      <c r="AH4234" s="1" t="s">
        <v>49</v>
      </c>
      <c r="AI4234" s="1" t="s">
        <v>54</v>
      </c>
      <c r="AJ4234" s="1">
        <v>1</v>
      </c>
      <c r="AK4234" s="1" t="str">
        <f t="shared" si="66"/>
        <v xml:space="preserve"> =&lt;90</v>
      </c>
      <c r="AL4234" s="1" t="str">
        <f>VLOOKUP(C:C,[1]基础信息!B$1:D$65536,3,0)</f>
        <v xml:space="preserve">Cartridge </v>
      </c>
      <c r="AM4234" s="1" t="str">
        <f>VLOOKUP(C:C,[1]基础信息!B$1:E$65536,4,0)</f>
        <v>LM</v>
      </c>
      <c r="AN4234" s="1" t="str">
        <f>VLOOKUP(C:C,[1]基础信息!B$1:F$65536,5,0)</f>
        <v>P55</v>
      </c>
    </row>
    <row r="4235" spans="1:40">
      <c r="A4235" s="1" t="s">
        <v>41</v>
      </c>
      <c r="B4235" s="1" t="s">
        <v>42</v>
      </c>
      <c r="C4235" s="1" t="s">
        <v>7755</v>
      </c>
      <c r="D4235" s="1" t="s">
        <v>7756</v>
      </c>
      <c r="E4235" s="1" t="s">
        <v>45</v>
      </c>
      <c r="F4235" s="1" t="s">
        <v>9687</v>
      </c>
      <c r="G4235" s="1" t="s">
        <v>9692</v>
      </c>
      <c r="H4235" s="1" t="s">
        <v>45</v>
      </c>
      <c r="I4235" s="1" t="s">
        <v>45</v>
      </c>
      <c r="J4235" s="1" t="s">
        <v>48</v>
      </c>
      <c r="K4235" s="1">
        <v>1920</v>
      </c>
      <c r="L4235" s="1">
        <v>0</v>
      </c>
      <c r="M4235" s="1">
        <v>0</v>
      </c>
      <c r="N4235" s="1">
        <v>1920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 t="s">
        <v>49</v>
      </c>
      <c r="AA4235" s="1" t="s">
        <v>49</v>
      </c>
      <c r="AB4235" s="1" t="s">
        <v>49</v>
      </c>
      <c r="AC4235" s="1" t="s">
        <v>9260</v>
      </c>
      <c r="AD4235" s="1" t="s">
        <v>9261</v>
      </c>
      <c r="AE4235" s="1" t="s">
        <v>3453</v>
      </c>
      <c r="AF4235" s="1" t="s">
        <v>9032</v>
      </c>
      <c r="AG4235" s="1" t="s">
        <v>1952</v>
      </c>
      <c r="AH4235" s="1" t="s">
        <v>49</v>
      </c>
      <c r="AI4235" s="1" t="s">
        <v>54</v>
      </c>
      <c r="AJ4235" s="1">
        <v>1</v>
      </c>
      <c r="AK4235" s="1" t="str">
        <f t="shared" si="66"/>
        <v xml:space="preserve"> =&lt;90</v>
      </c>
      <c r="AL4235" s="1" t="str">
        <f>VLOOKUP(C:C,[1]基础信息!B$1:D$65536,3,0)</f>
        <v xml:space="preserve">Cartridge </v>
      </c>
      <c r="AM4235" s="1" t="str">
        <f>VLOOKUP(C:C,[1]基础信息!B$1:E$65536,4,0)</f>
        <v>LM</v>
      </c>
      <c r="AN4235" s="1" t="str">
        <f>VLOOKUP(C:C,[1]基础信息!B$1:F$65536,5,0)</f>
        <v>P55</v>
      </c>
    </row>
    <row r="4236" spans="1:40">
      <c r="A4236" s="1" t="s">
        <v>41</v>
      </c>
      <c r="B4236" s="1" t="s">
        <v>42</v>
      </c>
      <c r="C4236" s="1" t="s">
        <v>7755</v>
      </c>
      <c r="D4236" s="1" t="s">
        <v>7756</v>
      </c>
      <c r="E4236" s="1" t="s">
        <v>45</v>
      </c>
      <c r="F4236" s="1" t="s">
        <v>9685</v>
      </c>
      <c r="G4236" s="1" t="s">
        <v>9693</v>
      </c>
      <c r="H4236" s="1" t="s">
        <v>45</v>
      </c>
      <c r="I4236" s="1" t="s">
        <v>45</v>
      </c>
      <c r="J4236" s="1" t="s">
        <v>48</v>
      </c>
      <c r="K4236" s="1">
        <v>1920</v>
      </c>
      <c r="L4236" s="1">
        <v>0</v>
      </c>
      <c r="M4236" s="1">
        <v>0</v>
      </c>
      <c r="N4236" s="1">
        <v>1920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 t="s">
        <v>49</v>
      </c>
      <c r="AA4236" s="1" t="s">
        <v>49</v>
      </c>
      <c r="AB4236" s="1" t="s">
        <v>49</v>
      </c>
      <c r="AC4236" s="1" t="s">
        <v>9260</v>
      </c>
      <c r="AD4236" s="1" t="s">
        <v>9261</v>
      </c>
      <c r="AE4236" s="1" t="s">
        <v>3453</v>
      </c>
      <c r="AF4236" s="1" t="s">
        <v>9066</v>
      </c>
      <c r="AG4236" s="1" t="s">
        <v>1952</v>
      </c>
      <c r="AH4236" s="1" t="s">
        <v>49</v>
      </c>
      <c r="AI4236" s="1" t="s">
        <v>54</v>
      </c>
      <c r="AJ4236" s="1">
        <v>1</v>
      </c>
      <c r="AK4236" s="1" t="str">
        <f t="shared" si="66"/>
        <v xml:space="preserve"> =&lt;90</v>
      </c>
      <c r="AL4236" s="1" t="str">
        <f>VLOOKUP(C:C,[1]基础信息!B$1:D$65536,3,0)</f>
        <v xml:space="preserve">Cartridge </v>
      </c>
      <c r="AM4236" s="1" t="str">
        <f>VLOOKUP(C:C,[1]基础信息!B$1:E$65536,4,0)</f>
        <v>LM</v>
      </c>
      <c r="AN4236" s="1" t="str">
        <f>VLOOKUP(C:C,[1]基础信息!B$1:F$65536,5,0)</f>
        <v>P55</v>
      </c>
    </row>
    <row r="4237" spans="1:40">
      <c r="A4237" s="1" t="s">
        <v>41</v>
      </c>
      <c r="B4237" s="1" t="s">
        <v>42</v>
      </c>
      <c r="C4237" s="1" t="s">
        <v>7755</v>
      </c>
      <c r="D4237" s="1" t="s">
        <v>7756</v>
      </c>
      <c r="E4237" s="1" t="s">
        <v>45</v>
      </c>
      <c r="F4237" s="1" t="s">
        <v>9694</v>
      </c>
      <c r="G4237" s="1" t="s">
        <v>9695</v>
      </c>
      <c r="H4237" s="1" t="s">
        <v>45</v>
      </c>
      <c r="I4237" s="1" t="s">
        <v>45</v>
      </c>
      <c r="J4237" s="1" t="s">
        <v>48</v>
      </c>
      <c r="K4237" s="1">
        <v>1152</v>
      </c>
      <c r="L4237" s="1">
        <v>0</v>
      </c>
      <c r="M4237" s="1">
        <v>0</v>
      </c>
      <c r="N4237" s="1">
        <v>1152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 t="s">
        <v>49</v>
      </c>
      <c r="AA4237" s="1" t="s">
        <v>49</v>
      </c>
      <c r="AB4237" s="1" t="s">
        <v>49</v>
      </c>
      <c r="AC4237" s="1" t="s">
        <v>9260</v>
      </c>
      <c r="AD4237" s="1" t="s">
        <v>9261</v>
      </c>
      <c r="AE4237" s="1" t="s">
        <v>3453</v>
      </c>
      <c r="AF4237" s="1" t="s">
        <v>9064</v>
      </c>
      <c r="AG4237" s="1" t="s">
        <v>1952</v>
      </c>
      <c r="AH4237" s="1" t="s">
        <v>49</v>
      </c>
      <c r="AI4237" s="1" t="s">
        <v>54</v>
      </c>
      <c r="AJ4237" s="1">
        <v>1</v>
      </c>
      <c r="AK4237" s="1" t="str">
        <f t="shared" si="66"/>
        <v xml:space="preserve"> =&lt;90</v>
      </c>
      <c r="AL4237" s="1" t="str">
        <f>VLOOKUP(C:C,[1]基础信息!B$1:D$65536,3,0)</f>
        <v xml:space="preserve">Cartridge </v>
      </c>
      <c r="AM4237" s="1" t="str">
        <f>VLOOKUP(C:C,[1]基础信息!B$1:E$65536,4,0)</f>
        <v>LM</v>
      </c>
      <c r="AN4237" s="1" t="str">
        <f>VLOOKUP(C:C,[1]基础信息!B$1:F$65536,5,0)</f>
        <v>P55</v>
      </c>
    </row>
    <row r="4238" spans="1:40">
      <c r="A4238" s="1" t="s">
        <v>41</v>
      </c>
      <c r="B4238" s="1" t="s">
        <v>42</v>
      </c>
      <c r="C4238" s="1" t="s">
        <v>7755</v>
      </c>
      <c r="D4238" s="1" t="s">
        <v>7756</v>
      </c>
      <c r="E4238" s="1" t="s">
        <v>45</v>
      </c>
      <c r="F4238" s="1" t="s">
        <v>9687</v>
      </c>
      <c r="G4238" s="1" t="s">
        <v>9696</v>
      </c>
      <c r="H4238" s="1" t="s">
        <v>45</v>
      </c>
      <c r="I4238" s="1" t="s">
        <v>45</v>
      </c>
      <c r="J4238" s="1" t="s">
        <v>48</v>
      </c>
      <c r="K4238" s="1">
        <v>1152</v>
      </c>
      <c r="L4238" s="1">
        <v>0</v>
      </c>
      <c r="M4238" s="1">
        <v>0</v>
      </c>
      <c r="N4238" s="1">
        <v>1152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 t="s">
        <v>49</v>
      </c>
      <c r="AA4238" s="1" t="s">
        <v>49</v>
      </c>
      <c r="AB4238" s="1" t="s">
        <v>49</v>
      </c>
      <c r="AC4238" s="1" t="s">
        <v>9260</v>
      </c>
      <c r="AD4238" s="1" t="s">
        <v>9261</v>
      </c>
      <c r="AE4238" s="1" t="s">
        <v>3453</v>
      </c>
      <c r="AF4238" s="1" t="s">
        <v>9032</v>
      </c>
      <c r="AG4238" s="1" t="s">
        <v>1952</v>
      </c>
      <c r="AH4238" s="1" t="s">
        <v>49</v>
      </c>
      <c r="AI4238" s="1" t="s">
        <v>54</v>
      </c>
      <c r="AJ4238" s="1">
        <v>1</v>
      </c>
      <c r="AK4238" s="1" t="str">
        <f t="shared" si="66"/>
        <v xml:space="preserve"> =&lt;90</v>
      </c>
      <c r="AL4238" s="1" t="str">
        <f>VLOOKUP(C:C,[1]基础信息!B$1:D$65536,3,0)</f>
        <v xml:space="preserve">Cartridge </v>
      </c>
      <c r="AM4238" s="1" t="str">
        <f>VLOOKUP(C:C,[1]基础信息!B$1:E$65536,4,0)</f>
        <v>LM</v>
      </c>
      <c r="AN4238" s="1" t="str">
        <f>VLOOKUP(C:C,[1]基础信息!B$1:F$65536,5,0)</f>
        <v>P55</v>
      </c>
    </row>
    <row r="4239" spans="1:40">
      <c r="A4239" s="1" t="s">
        <v>41</v>
      </c>
      <c r="B4239" s="1" t="s">
        <v>42</v>
      </c>
      <c r="C4239" s="1" t="s">
        <v>4342</v>
      </c>
      <c r="D4239" s="1" t="s">
        <v>4343</v>
      </c>
      <c r="E4239" s="1" t="s">
        <v>45</v>
      </c>
      <c r="F4239" s="1" t="s">
        <v>9697</v>
      </c>
      <c r="G4239" s="1" t="s">
        <v>9698</v>
      </c>
      <c r="H4239" s="1" t="s">
        <v>45</v>
      </c>
      <c r="I4239" s="1" t="s">
        <v>45</v>
      </c>
      <c r="J4239" s="1" t="s">
        <v>48</v>
      </c>
      <c r="K4239" s="1">
        <v>6</v>
      </c>
      <c r="L4239" s="1">
        <v>0</v>
      </c>
      <c r="M4239" s="1">
        <v>0</v>
      </c>
      <c r="N4239" s="1">
        <v>6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 t="s">
        <v>49</v>
      </c>
      <c r="AA4239" s="1" t="s">
        <v>49</v>
      </c>
      <c r="AB4239" s="1" t="s">
        <v>49</v>
      </c>
      <c r="AC4239" s="1" t="s">
        <v>144</v>
      </c>
      <c r="AD4239" s="1" t="s">
        <v>145</v>
      </c>
      <c r="AE4239" s="1" t="s">
        <v>144</v>
      </c>
      <c r="AF4239" s="1" t="s">
        <v>49</v>
      </c>
      <c r="AG4239" s="1" t="s">
        <v>6921</v>
      </c>
      <c r="AH4239" s="1" t="s">
        <v>49</v>
      </c>
      <c r="AI4239" s="1" t="s">
        <v>54</v>
      </c>
      <c r="AJ4239" s="1">
        <v>0</v>
      </c>
      <c r="AK4239" s="1" t="str">
        <f t="shared" si="66"/>
        <v xml:space="preserve"> =&lt;90</v>
      </c>
      <c r="AL4239" s="1" t="e">
        <f>VLOOKUP(C:C,[1]基础信息!B$1:D$65536,3,0)</f>
        <v>#N/A</v>
      </c>
      <c r="AM4239" s="1" t="e">
        <f>VLOOKUP(C:C,[1]基础信息!B$1:E$65536,4,0)</f>
        <v>#N/A</v>
      </c>
      <c r="AN4239" s="1" t="e">
        <f>VLOOKUP(C:C,[1]基础信息!B$1:F$65536,5,0)</f>
        <v>#N/A</v>
      </c>
    </row>
    <row r="4240" spans="1:40">
      <c r="A4240" s="1" t="s">
        <v>41</v>
      </c>
      <c r="B4240" s="1" t="s">
        <v>42</v>
      </c>
      <c r="C4240" s="1" t="s">
        <v>1437</v>
      </c>
      <c r="D4240" s="1" t="s">
        <v>1438</v>
      </c>
      <c r="E4240" s="1" t="s">
        <v>45</v>
      </c>
      <c r="F4240" s="1" t="s">
        <v>9699</v>
      </c>
      <c r="G4240" s="1" t="s">
        <v>9698</v>
      </c>
      <c r="H4240" s="1" t="s">
        <v>45</v>
      </c>
      <c r="I4240" s="1" t="s">
        <v>45</v>
      </c>
      <c r="J4240" s="1" t="s">
        <v>48</v>
      </c>
      <c r="K4240" s="1">
        <v>115</v>
      </c>
      <c r="L4240" s="1">
        <v>0</v>
      </c>
      <c r="M4240" s="1">
        <v>0</v>
      </c>
      <c r="N4240" s="1">
        <v>115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 t="s">
        <v>49</v>
      </c>
      <c r="AA4240" s="1" t="s">
        <v>49</v>
      </c>
      <c r="AB4240" s="1" t="s">
        <v>49</v>
      </c>
      <c r="AC4240" s="1" t="s">
        <v>144</v>
      </c>
      <c r="AD4240" s="1" t="s">
        <v>145</v>
      </c>
      <c r="AE4240" s="1" t="s">
        <v>144</v>
      </c>
      <c r="AF4240" s="1" t="s">
        <v>49</v>
      </c>
      <c r="AG4240" s="1" t="s">
        <v>6921</v>
      </c>
      <c r="AH4240" s="1" t="s">
        <v>49</v>
      </c>
      <c r="AI4240" s="1" t="s">
        <v>54</v>
      </c>
      <c r="AJ4240" s="1">
        <v>0</v>
      </c>
      <c r="AK4240" s="1" t="str">
        <f t="shared" si="66"/>
        <v xml:space="preserve"> =&lt;90</v>
      </c>
      <c r="AL4240" s="1" t="str">
        <f>VLOOKUP(C:C,[1]基础信息!B$1:D$65536,3,0)</f>
        <v>On tap</v>
      </c>
      <c r="AM4240" s="1" t="str">
        <f>VLOOKUP(C:C,[1]基础信息!B$1:E$65536,4,0)</f>
        <v>On tap</v>
      </c>
      <c r="AN4240" s="1" t="str">
        <f>VLOOKUP(C:C,[1]基础信息!B$1:F$65536,5,0)</f>
        <v>On tap</v>
      </c>
    </row>
    <row r="4241" spans="1:40">
      <c r="A4241" s="1" t="s">
        <v>41</v>
      </c>
      <c r="B4241" s="1" t="s">
        <v>42</v>
      </c>
      <c r="C4241" s="1" t="s">
        <v>6106</v>
      </c>
      <c r="D4241" s="1" t="s">
        <v>6107</v>
      </c>
      <c r="E4241" s="1" t="s">
        <v>45</v>
      </c>
      <c r="F4241" s="1" t="s">
        <v>9700</v>
      </c>
      <c r="G4241" s="1" t="s">
        <v>9698</v>
      </c>
      <c r="H4241" s="1" t="s">
        <v>45</v>
      </c>
      <c r="I4241" s="1" t="s">
        <v>45</v>
      </c>
      <c r="J4241" s="1" t="s">
        <v>48</v>
      </c>
      <c r="K4241" s="1">
        <v>105</v>
      </c>
      <c r="L4241" s="1">
        <v>0</v>
      </c>
      <c r="M4241" s="1">
        <v>0</v>
      </c>
      <c r="N4241" s="1">
        <v>105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0</v>
      </c>
      <c r="Z4241" s="1" t="s">
        <v>49</v>
      </c>
      <c r="AA4241" s="1" t="s">
        <v>49</v>
      </c>
      <c r="AB4241" s="1" t="s">
        <v>49</v>
      </c>
      <c r="AC4241" s="1" t="s">
        <v>144</v>
      </c>
      <c r="AD4241" s="1" t="s">
        <v>145</v>
      </c>
      <c r="AE4241" s="1" t="s">
        <v>144</v>
      </c>
      <c r="AF4241" s="1" t="s">
        <v>49</v>
      </c>
      <c r="AG4241" s="1" t="s">
        <v>6921</v>
      </c>
      <c r="AH4241" s="1" t="s">
        <v>49</v>
      </c>
      <c r="AI4241" s="1" t="s">
        <v>54</v>
      </c>
      <c r="AJ4241" s="1">
        <v>1</v>
      </c>
      <c r="AK4241" s="1" t="str">
        <f t="shared" si="66"/>
        <v xml:space="preserve"> =&lt;90</v>
      </c>
      <c r="AL4241" s="1" t="str">
        <f>VLOOKUP(C:C,[1]基础信息!B$1:D$65536,3,0)</f>
        <v>On tap</v>
      </c>
      <c r="AM4241" s="1" t="str">
        <f>VLOOKUP(C:C,[1]基础信息!B$1:E$65536,4,0)</f>
        <v>On tap</v>
      </c>
      <c r="AN4241" s="1" t="str">
        <f>VLOOKUP(C:C,[1]基础信息!B$1:F$65536,5,0)</f>
        <v>Refill</v>
      </c>
    </row>
    <row r="4242" spans="1:40">
      <c r="A4242" s="1" t="s">
        <v>41</v>
      </c>
      <c r="B4242" s="1" t="s">
        <v>42</v>
      </c>
      <c r="C4242" s="1" t="s">
        <v>7755</v>
      </c>
      <c r="D4242" s="1" t="s">
        <v>7756</v>
      </c>
      <c r="E4242" s="1" t="s">
        <v>45</v>
      </c>
      <c r="F4242" s="1" t="s">
        <v>9687</v>
      </c>
      <c r="G4242" s="1" t="s">
        <v>9701</v>
      </c>
      <c r="H4242" s="1" t="s">
        <v>45</v>
      </c>
      <c r="I4242" s="1" t="s">
        <v>45</v>
      </c>
      <c r="J4242" s="1" t="s">
        <v>48</v>
      </c>
      <c r="K4242" s="1">
        <v>1992</v>
      </c>
      <c r="L4242" s="1">
        <v>0</v>
      </c>
      <c r="M4242" s="1">
        <v>0</v>
      </c>
      <c r="N4242" s="1">
        <v>1992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 t="s">
        <v>49</v>
      </c>
      <c r="AA4242" s="1" t="s">
        <v>49</v>
      </c>
      <c r="AB4242" s="1" t="s">
        <v>49</v>
      </c>
      <c r="AC4242" s="1" t="s">
        <v>9260</v>
      </c>
      <c r="AD4242" s="1" t="s">
        <v>9261</v>
      </c>
      <c r="AE4242" s="1" t="s">
        <v>3453</v>
      </c>
      <c r="AF4242" s="1" t="s">
        <v>9032</v>
      </c>
      <c r="AG4242" s="1" t="s">
        <v>1952</v>
      </c>
      <c r="AH4242" s="1" t="s">
        <v>49</v>
      </c>
      <c r="AI4242" s="1" t="s">
        <v>54</v>
      </c>
      <c r="AJ4242" s="1">
        <v>1</v>
      </c>
      <c r="AK4242" s="1" t="str">
        <f t="shared" si="66"/>
        <v xml:space="preserve"> =&lt;90</v>
      </c>
      <c r="AL4242" s="1" t="str">
        <f>VLOOKUP(C:C,[1]基础信息!B$1:D$65536,3,0)</f>
        <v xml:space="preserve">Cartridge </v>
      </c>
      <c r="AM4242" s="1" t="str">
        <f>VLOOKUP(C:C,[1]基础信息!B$1:E$65536,4,0)</f>
        <v>LM</v>
      </c>
      <c r="AN4242" s="1" t="str">
        <f>VLOOKUP(C:C,[1]基础信息!B$1:F$65536,5,0)</f>
        <v>P55</v>
      </c>
    </row>
    <row r="4243" spans="1:40">
      <c r="A4243" s="1" t="s">
        <v>41</v>
      </c>
      <c r="B4243" s="1" t="s">
        <v>42</v>
      </c>
      <c r="C4243" s="1" t="s">
        <v>7755</v>
      </c>
      <c r="D4243" s="1" t="s">
        <v>7756</v>
      </c>
      <c r="E4243" s="1" t="s">
        <v>45</v>
      </c>
      <c r="F4243" s="1" t="s">
        <v>9685</v>
      </c>
      <c r="G4243" s="1" t="s">
        <v>9702</v>
      </c>
      <c r="H4243" s="1" t="s">
        <v>45</v>
      </c>
      <c r="I4243" s="1" t="s">
        <v>45</v>
      </c>
      <c r="J4243" s="1" t="s">
        <v>48</v>
      </c>
      <c r="K4243" s="1">
        <v>602</v>
      </c>
      <c r="L4243" s="1">
        <v>0</v>
      </c>
      <c r="M4243" s="1">
        <v>0</v>
      </c>
      <c r="N4243" s="1">
        <v>602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 t="s">
        <v>49</v>
      </c>
      <c r="AA4243" s="1" t="s">
        <v>49</v>
      </c>
      <c r="AB4243" s="1" t="s">
        <v>49</v>
      </c>
      <c r="AC4243" s="1" t="s">
        <v>9260</v>
      </c>
      <c r="AD4243" s="1" t="s">
        <v>9261</v>
      </c>
      <c r="AE4243" s="1" t="s">
        <v>3453</v>
      </c>
      <c r="AF4243" s="1" t="s">
        <v>9066</v>
      </c>
      <c r="AG4243" s="1" t="s">
        <v>1952</v>
      </c>
      <c r="AH4243" s="1" t="s">
        <v>49</v>
      </c>
      <c r="AI4243" s="1" t="s">
        <v>54</v>
      </c>
      <c r="AJ4243" s="1">
        <v>1</v>
      </c>
      <c r="AK4243" s="1" t="str">
        <f t="shared" si="66"/>
        <v xml:space="preserve"> =&lt;90</v>
      </c>
      <c r="AL4243" s="1" t="str">
        <f>VLOOKUP(C:C,[1]基础信息!B$1:D$65536,3,0)</f>
        <v xml:space="preserve">Cartridge </v>
      </c>
      <c r="AM4243" s="1" t="str">
        <f>VLOOKUP(C:C,[1]基础信息!B$1:E$65536,4,0)</f>
        <v>LM</v>
      </c>
      <c r="AN4243" s="1" t="str">
        <f>VLOOKUP(C:C,[1]基础信息!B$1:F$65536,5,0)</f>
        <v>P55</v>
      </c>
    </row>
    <row r="4244" spans="1:40">
      <c r="A4244" s="1" t="s">
        <v>41</v>
      </c>
      <c r="B4244" s="1" t="s">
        <v>42</v>
      </c>
      <c r="C4244" s="1" t="s">
        <v>7755</v>
      </c>
      <c r="D4244" s="1" t="s">
        <v>7756</v>
      </c>
      <c r="E4244" s="1" t="s">
        <v>45</v>
      </c>
      <c r="F4244" s="1" t="s">
        <v>9694</v>
      </c>
      <c r="G4244" s="1" t="s">
        <v>9703</v>
      </c>
      <c r="H4244" s="1" t="s">
        <v>45</v>
      </c>
      <c r="I4244" s="1" t="s">
        <v>45</v>
      </c>
      <c r="J4244" s="1" t="s">
        <v>48</v>
      </c>
      <c r="K4244" s="1">
        <v>127</v>
      </c>
      <c r="L4244" s="1">
        <v>0</v>
      </c>
      <c r="M4244" s="1">
        <v>0</v>
      </c>
      <c r="N4244" s="1">
        <v>127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 t="s">
        <v>49</v>
      </c>
      <c r="AA4244" s="1" t="s">
        <v>49</v>
      </c>
      <c r="AB4244" s="1" t="s">
        <v>49</v>
      </c>
      <c r="AC4244" s="1" t="s">
        <v>9260</v>
      </c>
      <c r="AD4244" s="1" t="s">
        <v>9261</v>
      </c>
      <c r="AE4244" s="1" t="s">
        <v>3453</v>
      </c>
      <c r="AF4244" s="1" t="s">
        <v>9064</v>
      </c>
      <c r="AG4244" s="1" t="s">
        <v>1952</v>
      </c>
      <c r="AH4244" s="1" t="s">
        <v>49</v>
      </c>
      <c r="AI4244" s="1" t="s">
        <v>54</v>
      </c>
      <c r="AJ4244" s="1">
        <v>0</v>
      </c>
      <c r="AK4244" s="1" t="str">
        <f t="shared" si="66"/>
        <v xml:space="preserve"> =&lt;90</v>
      </c>
      <c r="AL4244" s="1" t="str">
        <f>VLOOKUP(C:C,[1]基础信息!B$1:D$65536,3,0)</f>
        <v xml:space="preserve">Cartridge </v>
      </c>
      <c r="AM4244" s="1" t="str">
        <f>VLOOKUP(C:C,[1]基础信息!B$1:E$65536,4,0)</f>
        <v>LM</v>
      </c>
      <c r="AN4244" s="1" t="str">
        <f>VLOOKUP(C:C,[1]基础信息!B$1:F$65536,5,0)</f>
        <v>P55</v>
      </c>
    </row>
    <row r="4245" spans="1:40">
      <c r="A4245" s="1" t="s">
        <v>41</v>
      </c>
      <c r="B4245" s="1" t="s">
        <v>42</v>
      </c>
      <c r="C4245" s="1" t="s">
        <v>7755</v>
      </c>
      <c r="D4245" s="1" t="s">
        <v>7756</v>
      </c>
      <c r="E4245" s="1" t="s">
        <v>45</v>
      </c>
      <c r="F4245" s="1" t="s">
        <v>9704</v>
      </c>
      <c r="G4245" s="1" t="s">
        <v>9703</v>
      </c>
      <c r="H4245" s="1" t="s">
        <v>45</v>
      </c>
      <c r="I4245" s="1" t="s">
        <v>45</v>
      </c>
      <c r="J4245" s="1" t="s">
        <v>48</v>
      </c>
      <c r="K4245" s="1">
        <v>15</v>
      </c>
      <c r="L4245" s="1">
        <v>0</v>
      </c>
      <c r="M4245" s="1">
        <v>0</v>
      </c>
      <c r="N4245" s="1">
        <v>15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 t="s">
        <v>49</v>
      </c>
      <c r="AA4245" s="1" t="s">
        <v>49</v>
      </c>
      <c r="AB4245" s="1" t="s">
        <v>49</v>
      </c>
      <c r="AC4245" s="1" t="s">
        <v>9260</v>
      </c>
      <c r="AD4245" s="1" t="s">
        <v>9261</v>
      </c>
      <c r="AE4245" s="1" t="s">
        <v>3453</v>
      </c>
      <c r="AF4245" s="1" t="s">
        <v>9657</v>
      </c>
      <c r="AG4245" s="1" t="s">
        <v>1952</v>
      </c>
      <c r="AH4245" s="1" t="s">
        <v>49</v>
      </c>
      <c r="AI4245" s="1" t="s">
        <v>54</v>
      </c>
      <c r="AJ4245" s="1">
        <v>1</v>
      </c>
      <c r="AK4245" s="1" t="str">
        <f t="shared" si="66"/>
        <v xml:space="preserve"> =&lt;90</v>
      </c>
      <c r="AL4245" s="1" t="str">
        <f>VLOOKUP(C:C,[1]基础信息!B$1:D$65536,3,0)</f>
        <v xml:space="preserve">Cartridge </v>
      </c>
      <c r="AM4245" s="1" t="str">
        <f>VLOOKUP(C:C,[1]基础信息!B$1:E$65536,4,0)</f>
        <v>LM</v>
      </c>
      <c r="AN4245" s="1" t="str">
        <f>VLOOKUP(C:C,[1]基础信息!B$1:F$65536,5,0)</f>
        <v>P55</v>
      </c>
    </row>
    <row r="4246" spans="1:40">
      <c r="A4246" s="1" t="s">
        <v>41</v>
      </c>
      <c r="B4246" s="1" t="s">
        <v>42</v>
      </c>
      <c r="C4246" s="1" t="s">
        <v>8574</v>
      </c>
      <c r="D4246" s="1" t="s">
        <v>8575</v>
      </c>
      <c r="E4246" s="1" t="s">
        <v>45</v>
      </c>
      <c r="F4246" s="1" t="s">
        <v>9705</v>
      </c>
      <c r="G4246" s="1" t="s">
        <v>9706</v>
      </c>
      <c r="H4246" s="1" t="s">
        <v>45</v>
      </c>
      <c r="I4246" s="1" t="s">
        <v>45</v>
      </c>
      <c r="J4246" s="1" t="s">
        <v>48</v>
      </c>
      <c r="K4246" s="1">
        <v>1</v>
      </c>
      <c r="L4246" s="1">
        <v>0</v>
      </c>
      <c r="M4246" s="1">
        <v>0</v>
      </c>
      <c r="N4246" s="1">
        <v>1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 t="s">
        <v>49</v>
      </c>
      <c r="AA4246" s="1" t="s">
        <v>49</v>
      </c>
      <c r="AB4246" s="1" t="s">
        <v>49</v>
      </c>
      <c r="AC4246" s="1" t="s">
        <v>7542</v>
      </c>
      <c r="AD4246" s="1" t="s">
        <v>7650</v>
      </c>
      <c r="AE4246" s="1" t="s">
        <v>7542</v>
      </c>
      <c r="AF4246" s="1" t="s">
        <v>49</v>
      </c>
      <c r="AG4246" s="1" t="s">
        <v>3464</v>
      </c>
      <c r="AH4246" s="1" t="s">
        <v>49</v>
      </c>
      <c r="AI4246" s="1" t="s">
        <v>54</v>
      </c>
      <c r="AJ4246" s="1">
        <v>0</v>
      </c>
      <c r="AK4246" s="1" t="str">
        <f t="shared" si="66"/>
        <v xml:space="preserve"> =&lt;90</v>
      </c>
      <c r="AL4246" s="1" t="str">
        <f>VLOOKUP(C:C,[1]基础信息!B$1:D$65536,3,0)</f>
        <v>Jug</v>
      </c>
      <c r="AM4246" s="1" t="str">
        <f>VLOOKUP(C:C,[1]基础信息!B$1:E$65536,4,0)</f>
        <v>Marella</v>
      </c>
      <c r="AN4246" s="1" t="str">
        <f>VLOOKUP(C:C,[1]基础信息!B$1:F$65536,5,0)</f>
        <v>Blue</v>
      </c>
    </row>
    <row r="4247" spans="1:40">
      <c r="A4247" s="1" t="s">
        <v>41</v>
      </c>
      <c r="B4247" s="1" t="s">
        <v>42</v>
      </c>
      <c r="C4247" s="1" t="s">
        <v>7899</v>
      </c>
      <c r="D4247" s="1" t="s">
        <v>7900</v>
      </c>
      <c r="E4247" s="1" t="s">
        <v>45</v>
      </c>
      <c r="F4247" s="1" t="s">
        <v>9707</v>
      </c>
      <c r="G4247" s="1" t="s">
        <v>9706</v>
      </c>
      <c r="H4247" s="1" t="s">
        <v>45</v>
      </c>
      <c r="I4247" s="1" t="s">
        <v>45</v>
      </c>
      <c r="J4247" s="1" t="s">
        <v>48</v>
      </c>
      <c r="K4247" s="1">
        <v>1</v>
      </c>
      <c r="L4247" s="1">
        <v>0</v>
      </c>
      <c r="M4247" s="1">
        <v>0</v>
      </c>
      <c r="N4247" s="1">
        <v>1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 t="s">
        <v>49</v>
      </c>
      <c r="AA4247" s="1" t="s">
        <v>49</v>
      </c>
      <c r="AB4247" s="1" t="s">
        <v>49</v>
      </c>
      <c r="AC4247" s="1" t="s">
        <v>7542</v>
      </c>
      <c r="AD4247" s="1" t="s">
        <v>7650</v>
      </c>
      <c r="AE4247" s="1" t="s">
        <v>7542</v>
      </c>
      <c r="AF4247" s="1" t="s">
        <v>49</v>
      </c>
      <c r="AG4247" s="1" t="s">
        <v>3464</v>
      </c>
      <c r="AH4247" s="1" t="s">
        <v>49</v>
      </c>
      <c r="AI4247" s="1" t="s">
        <v>54</v>
      </c>
      <c r="AJ4247" s="1">
        <v>0</v>
      </c>
      <c r="AK4247" s="1" t="str">
        <f t="shared" si="66"/>
        <v xml:space="preserve"> =&lt;90</v>
      </c>
      <c r="AL4247" s="1" t="str">
        <f>VLOOKUP(C:C,[1]基础信息!B$1:D$65536,3,0)</f>
        <v>Bundle</v>
      </c>
      <c r="AM4247" s="1" t="str">
        <f>VLOOKUP(C:C,[1]基础信息!B$1:E$65536,4,0)</f>
        <v>WaFiBo</v>
      </c>
      <c r="AN4247" s="1" t="str">
        <f>VLOOKUP(C:C,[1]基础信息!B$1:F$65536,5,0)</f>
        <v>Blue</v>
      </c>
    </row>
    <row r="4248" spans="1:40">
      <c r="A4248" s="1" t="s">
        <v>41</v>
      </c>
      <c r="B4248" s="1" t="s">
        <v>42</v>
      </c>
      <c r="C4248" s="1" t="s">
        <v>3999</v>
      </c>
      <c r="D4248" s="1" t="s">
        <v>4000</v>
      </c>
      <c r="E4248" s="1" t="s">
        <v>45</v>
      </c>
      <c r="F4248" s="1" t="s">
        <v>9708</v>
      </c>
      <c r="G4248" s="1" t="s">
        <v>9706</v>
      </c>
      <c r="H4248" s="1" t="s">
        <v>45</v>
      </c>
      <c r="I4248" s="1" t="s">
        <v>45</v>
      </c>
      <c r="J4248" s="1" t="s">
        <v>48</v>
      </c>
      <c r="K4248" s="1">
        <v>1</v>
      </c>
      <c r="L4248" s="1">
        <v>0</v>
      </c>
      <c r="M4248" s="1">
        <v>0</v>
      </c>
      <c r="N4248" s="1">
        <v>1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 t="s">
        <v>49</v>
      </c>
      <c r="AA4248" s="1" t="s">
        <v>49</v>
      </c>
      <c r="AB4248" s="1" t="s">
        <v>49</v>
      </c>
      <c r="AC4248" s="1" t="s">
        <v>7542</v>
      </c>
      <c r="AD4248" s="1" t="s">
        <v>7650</v>
      </c>
      <c r="AE4248" s="1" t="s">
        <v>7542</v>
      </c>
      <c r="AF4248" s="1" t="s">
        <v>49</v>
      </c>
      <c r="AG4248" s="1" t="s">
        <v>3464</v>
      </c>
      <c r="AH4248" s="1" t="s">
        <v>49</v>
      </c>
      <c r="AI4248" s="1" t="s">
        <v>54</v>
      </c>
      <c r="AJ4248" s="1">
        <v>1</v>
      </c>
      <c r="AK4248" s="1" t="str">
        <f t="shared" si="66"/>
        <v xml:space="preserve"> =&lt;90</v>
      </c>
      <c r="AL4248" s="1" t="str">
        <f>VLOOKUP(C:C,[1]基础信息!B$1:D$65536,3,0)</f>
        <v>Jug</v>
      </c>
      <c r="AM4248" s="1" t="str">
        <f>VLOOKUP(C:C,[1]基础信息!B$1:E$65536,4,0)</f>
        <v>Aluna</v>
      </c>
      <c r="AN4248" s="1" t="str">
        <f>VLOOKUP(C:C,[1]基础信息!B$1:F$65536,5,0)</f>
        <v>Blue</v>
      </c>
    </row>
    <row r="4249" spans="1:40">
      <c r="A4249" s="1" t="s">
        <v>41</v>
      </c>
      <c r="B4249" s="1" t="s">
        <v>42</v>
      </c>
      <c r="C4249" s="1" t="s">
        <v>330</v>
      </c>
      <c r="D4249" s="1" t="s">
        <v>331</v>
      </c>
      <c r="E4249" s="1" t="s">
        <v>330</v>
      </c>
      <c r="F4249" s="1" t="s">
        <v>9709</v>
      </c>
      <c r="G4249" s="1" t="s">
        <v>9710</v>
      </c>
      <c r="H4249" s="1" t="s">
        <v>9711</v>
      </c>
      <c r="I4249" s="1" t="s">
        <v>45</v>
      </c>
      <c r="J4249" s="1" t="s">
        <v>48</v>
      </c>
      <c r="K4249" s="1">
        <v>4</v>
      </c>
      <c r="L4249" s="1">
        <v>0</v>
      </c>
      <c r="M4249" s="1">
        <v>0</v>
      </c>
      <c r="N4249" s="1">
        <v>4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 t="s">
        <v>49</v>
      </c>
      <c r="AA4249" s="1" t="s">
        <v>49</v>
      </c>
      <c r="AB4249" s="1" t="s">
        <v>49</v>
      </c>
      <c r="AC4249" s="1" t="s">
        <v>9712</v>
      </c>
      <c r="AD4249" s="1" t="s">
        <v>9713</v>
      </c>
      <c r="AE4249" s="1" t="s">
        <v>9712</v>
      </c>
      <c r="AF4249" s="1" t="s">
        <v>9714</v>
      </c>
      <c r="AG4249" s="1" t="s">
        <v>338</v>
      </c>
      <c r="AH4249" s="1" t="s">
        <v>49</v>
      </c>
      <c r="AI4249" s="1" t="s">
        <v>54</v>
      </c>
      <c r="AJ4249" s="1">
        <v>1</v>
      </c>
      <c r="AK4249" s="1" t="str">
        <f t="shared" si="66"/>
        <v xml:space="preserve"> =&lt;90</v>
      </c>
      <c r="AL4249" s="1" t="str">
        <f>VLOOKUP(C:C,[1]基础信息!B$1:D$65536,3,0)</f>
        <v>Jug</v>
      </c>
      <c r="AM4249" s="1" t="str">
        <f>VLOOKUP(C:C,[1]基础信息!B$1:E$65536,4,0)</f>
        <v>Style</v>
      </c>
      <c r="AN4249" s="1" t="str">
        <f>VLOOKUP(C:C,[1]基础信息!B$1:F$65536,5,0)</f>
        <v>Lime</v>
      </c>
    </row>
    <row r="4250" spans="1:40">
      <c r="A4250" s="1" t="s">
        <v>41</v>
      </c>
      <c r="B4250" s="1" t="s">
        <v>42</v>
      </c>
      <c r="C4250" s="1" t="s">
        <v>330</v>
      </c>
      <c r="D4250" s="1" t="s">
        <v>331</v>
      </c>
      <c r="E4250" s="1" t="s">
        <v>330</v>
      </c>
      <c r="F4250" s="1" t="s">
        <v>332</v>
      </c>
      <c r="G4250" s="1" t="s">
        <v>9715</v>
      </c>
      <c r="H4250" s="1" t="s">
        <v>45</v>
      </c>
      <c r="I4250" s="1" t="s">
        <v>49</v>
      </c>
      <c r="J4250" s="1" t="s">
        <v>48</v>
      </c>
      <c r="K4250" s="1">
        <v>3</v>
      </c>
      <c r="L4250" s="1">
        <v>0</v>
      </c>
      <c r="M4250" s="1">
        <v>0</v>
      </c>
      <c r="N4250" s="1">
        <v>3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 t="s">
        <v>49</v>
      </c>
      <c r="AA4250" s="1" t="s">
        <v>49</v>
      </c>
      <c r="AB4250" s="1" t="s">
        <v>49</v>
      </c>
      <c r="AC4250" s="1" t="s">
        <v>335</v>
      </c>
      <c r="AD4250" s="1" t="s">
        <v>336</v>
      </c>
      <c r="AE4250" s="1" t="s">
        <v>335</v>
      </c>
      <c r="AF4250" s="1" t="s">
        <v>337</v>
      </c>
      <c r="AG4250" s="1" t="s">
        <v>338</v>
      </c>
      <c r="AH4250" s="1" t="s">
        <v>49</v>
      </c>
      <c r="AI4250" s="1" t="s">
        <v>54</v>
      </c>
      <c r="AJ4250" s="1">
        <v>1</v>
      </c>
      <c r="AK4250" s="1" t="str">
        <f t="shared" si="66"/>
        <v xml:space="preserve"> =&lt;90</v>
      </c>
      <c r="AL4250" s="1" t="str">
        <f>VLOOKUP(C:C,[1]基础信息!B$1:D$65536,3,0)</f>
        <v>Jug</v>
      </c>
      <c r="AM4250" s="1" t="str">
        <f>VLOOKUP(C:C,[1]基础信息!B$1:E$65536,4,0)</f>
        <v>Style</v>
      </c>
      <c r="AN4250" s="1" t="str">
        <f>VLOOKUP(C:C,[1]基础信息!B$1:F$65536,5,0)</f>
        <v>Lime</v>
      </c>
    </row>
    <row r="4251" spans="1:40">
      <c r="A4251" s="1" t="s">
        <v>41</v>
      </c>
      <c r="B4251" s="1" t="s">
        <v>42</v>
      </c>
      <c r="C4251" s="1" t="s">
        <v>7591</v>
      </c>
      <c r="D4251" s="1" t="s">
        <v>7592</v>
      </c>
      <c r="E4251" s="1" t="s">
        <v>45</v>
      </c>
      <c r="F4251" s="1" t="s">
        <v>9716</v>
      </c>
      <c r="G4251" s="1" t="s">
        <v>9717</v>
      </c>
      <c r="H4251" s="1" t="s">
        <v>45</v>
      </c>
      <c r="I4251" s="1" t="s">
        <v>45</v>
      </c>
      <c r="J4251" s="1" t="s">
        <v>48</v>
      </c>
      <c r="K4251" s="1">
        <v>2</v>
      </c>
      <c r="L4251" s="1">
        <v>0</v>
      </c>
      <c r="M4251" s="1">
        <v>0</v>
      </c>
      <c r="N4251" s="1">
        <v>2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 t="s">
        <v>49</v>
      </c>
      <c r="AA4251" s="1" t="s">
        <v>49</v>
      </c>
      <c r="AB4251" s="1" t="s">
        <v>49</v>
      </c>
      <c r="AC4251" s="1" t="s">
        <v>7542</v>
      </c>
      <c r="AD4251" s="1" t="s">
        <v>7650</v>
      </c>
      <c r="AE4251" s="1" t="s">
        <v>7542</v>
      </c>
      <c r="AF4251" s="1" t="s">
        <v>49</v>
      </c>
      <c r="AG4251" s="1" t="s">
        <v>338</v>
      </c>
      <c r="AH4251" s="1" t="s">
        <v>49</v>
      </c>
      <c r="AI4251" s="1" t="s">
        <v>54</v>
      </c>
      <c r="AJ4251" s="1">
        <v>1</v>
      </c>
      <c r="AK4251" s="1" t="str">
        <f t="shared" ref="AK4251:AK4314" si="67">IF(AJ4251&gt;$AP$2,$AQ$2,IF(AJ4251&gt;$AP$3,$AQ$3,IF(AJ4251&gt;$AP$4,$AQ$4,$AQ$5)))</f>
        <v xml:space="preserve"> =&lt;90</v>
      </c>
      <c r="AL4251" s="1" t="str">
        <f>VLOOKUP(C:C,[1]基础信息!B$1:D$65536,3,0)</f>
        <v>Jug</v>
      </c>
      <c r="AM4251" s="1" t="str">
        <f>VLOOKUP(C:C,[1]基础信息!B$1:E$65536,4,0)</f>
        <v>Marella</v>
      </c>
      <c r="AN4251" s="1" t="str">
        <f>VLOOKUP(C:C,[1]基础信息!B$1:F$65536,5,0)</f>
        <v>Glitter</v>
      </c>
    </row>
    <row r="4252" spans="1:40">
      <c r="A4252" s="1" t="s">
        <v>41</v>
      </c>
      <c r="B4252" s="1" t="s">
        <v>42</v>
      </c>
      <c r="C4252" s="1" t="s">
        <v>7591</v>
      </c>
      <c r="D4252" s="1" t="s">
        <v>7592</v>
      </c>
      <c r="E4252" s="1" t="s">
        <v>45</v>
      </c>
      <c r="F4252" s="1" t="s">
        <v>9716</v>
      </c>
      <c r="G4252" s="1" t="s">
        <v>9718</v>
      </c>
      <c r="H4252" s="1" t="s">
        <v>45</v>
      </c>
      <c r="I4252" s="1" t="s">
        <v>45</v>
      </c>
      <c r="J4252" s="1" t="s">
        <v>48</v>
      </c>
      <c r="K4252" s="1">
        <v>4</v>
      </c>
      <c r="L4252" s="1">
        <v>0</v>
      </c>
      <c r="M4252" s="1">
        <v>0</v>
      </c>
      <c r="N4252" s="1">
        <v>4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 t="s">
        <v>49</v>
      </c>
      <c r="AA4252" s="1" t="s">
        <v>49</v>
      </c>
      <c r="AB4252" s="1" t="s">
        <v>49</v>
      </c>
      <c r="AC4252" s="1" t="s">
        <v>7542</v>
      </c>
      <c r="AD4252" s="1" t="s">
        <v>7650</v>
      </c>
      <c r="AE4252" s="1" t="s">
        <v>7542</v>
      </c>
      <c r="AF4252" s="1" t="s">
        <v>49</v>
      </c>
      <c r="AG4252" s="1" t="s">
        <v>338</v>
      </c>
      <c r="AH4252" s="1" t="s">
        <v>49</v>
      </c>
      <c r="AI4252" s="1" t="s">
        <v>54</v>
      </c>
      <c r="AJ4252" s="1">
        <v>1</v>
      </c>
      <c r="AK4252" s="1" t="str">
        <f t="shared" si="67"/>
        <v xml:space="preserve"> =&lt;90</v>
      </c>
      <c r="AL4252" s="1" t="str">
        <f>VLOOKUP(C:C,[1]基础信息!B$1:D$65536,3,0)</f>
        <v>Jug</v>
      </c>
      <c r="AM4252" s="1" t="str">
        <f>VLOOKUP(C:C,[1]基础信息!B$1:E$65536,4,0)</f>
        <v>Marella</v>
      </c>
      <c r="AN4252" s="1" t="str">
        <f>VLOOKUP(C:C,[1]基础信息!B$1:F$65536,5,0)</f>
        <v>Glitter</v>
      </c>
    </row>
    <row r="4253" spans="1:40">
      <c r="A4253" s="1" t="s">
        <v>41</v>
      </c>
      <c r="B4253" s="1" t="s">
        <v>42</v>
      </c>
      <c r="C4253" s="1" t="s">
        <v>1437</v>
      </c>
      <c r="D4253" s="1" t="s">
        <v>1438</v>
      </c>
      <c r="E4253" s="1" t="s">
        <v>45</v>
      </c>
      <c r="F4253" s="1" t="s">
        <v>9719</v>
      </c>
      <c r="G4253" s="1" t="s">
        <v>9720</v>
      </c>
      <c r="H4253" s="1" t="s">
        <v>45</v>
      </c>
      <c r="I4253" s="1" t="s">
        <v>45</v>
      </c>
      <c r="J4253" s="1" t="s">
        <v>48</v>
      </c>
      <c r="K4253" s="1">
        <v>1</v>
      </c>
      <c r="L4253" s="1">
        <v>0</v>
      </c>
      <c r="M4253" s="1">
        <v>0</v>
      </c>
      <c r="N4253" s="1">
        <v>1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 t="s">
        <v>49</v>
      </c>
      <c r="AA4253" s="1" t="s">
        <v>49</v>
      </c>
      <c r="AB4253" s="1" t="s">
        <v>49</v>
      </c>
      <c r="AC4253" s="1" t="s">
        <v>7452</v>
      </c>
      <c r="AD4253" s="1" t="s">
        <v>7453</v>
      </c>
      <c r="AE4253" s="1" t="s">
        <v>7452</v>
      </c>
      <c r="AF4253" s="1" t="s">
        <v>49</v>
      </c>
      <c r="AG4253" s="1" t="s">
        <v>227</v>
      </c>
      <c r="AH4253" s="1" t="s">
        <v>49</v>
      </c>
      <c r="AI4253" s="1" t="s">
        <v>54</v>
      </c>
      <c r="AJ4253" s="1">
        <v>1</v>
      </c>
      <c r="AK4253" s="1" t="str">
        <f t="shared" si="67"/>
        <v xml:space="preserve"> =&lt;90</v>
      </c>
      <c r="AL4253" s="1" t="str">
        <f>VLOOKUP(C:C,[1]基础信息!B$1:D$65536,3,0)</f>
        <v>On tap</v>
      </c>
      <c r="AM4253" s="1" t="str">
        <f>VLOOKUP(C:C,[1]基础信息!B$1:E$65536,4,0)</f>
        <v>On tap</v>
      </c>
      <c r="AN4253" s="1" t="str">
        <f>VLOOKUP(C:C,[1]基础信息!B$1:F$65536,5,0)</f>
        <v>On tap</v>
      </c>
    </row>
    <row r="4254" spans="1:40">
      <c r="A4254" s="1" t="s">
        <v>41</v>
      </c>
      <c r="B4254" s="1" t="s">
        <v>42</v>
      </c>
      <c r="C4254" s="1" t="s">
        <v>4037</v>
      </c>
      <c r="D4254" s="1" t="s">
        <v>4038</v>
      </c>
      <c r="E4254" s="1" t="s">
        <v>45</v>
      </c>
      <c r="F4254" s="1" t="s">
        <v>9721</v>
      </c>
      <c r="G4254" s="1" t="s">
        <v>9722</v>
      </c>
      <c r="H4254" s="1" t="s">
        <v>45</v>
      </c>
      <c r="I4254" s="1" t="s">
        <v>49</v>
      </c>
      <c r="J4254" s="1" t="s">
        <v>48</v>
      </c>
      <c r="K4254" s="1">
        <v>1</v>
      </c>
      <c r="L4254" s="1">
        <v>0</v>
      </c>
      <c r="M4254" s="1">
        <v>0</v>
      </c>
      <c r="N4254" s="1">
        <v>1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 t="s">
        <v>49</v>
      </c>
      <c r="AA4254" s="1" t="s">
        <v>49</v>
      </c>
      <c r="AB4254" s="1" t="s">
        <v>49</v>
      </c>
      <c r="AC4254" s="1" t="s">
        <v>9723</v>
      </c>
      <c r="AD4254" s="1" t="s">
        <v>9724</v>
      </c>
      <c r="AE4254" s="1" t="s">
        <v>9723</v>
      </c>
      <c r="AF4254" s="1" t="s">
        <v>4044</v>
      </c>
      <c r="AG4254" s="1" t="s">
        <v>338</v>
      </c>
      <c r="AH4254" s="1" t="s">
        <v>49</v>
      </c>
      <c r="AI4254" s="1" t="s">
        <v>54</v>
      </c>
      <c r="AJ4254" s="1">
        <v>1</v>
      </c>
      <c r="AK4254" s="1" t="str">
        <f t="shared" si="67"/>
        <v xml:space="preserve"> =&lt;90</v>
      </c>
      <c r="AL4254" s="1" t="str">
        <f>VLOOKUP(C:C,[1]基础信息!B$1:D$65536,3,0)</f>
        <v>Jug</v>
      </c>
      <c r="AM4254" s="1" t="str">
        <f>VLOOKUP(C:C,[1]基础信息!B$1:E$65536,4,0)</f>
        <v>Marella</v>
      </c>
      <c r="AN4254" s="1" t="str">
        <f>VLOOKUP(C:C,[1]基础信息!B$1:F$65536,5,0)</f>
        <v>Glitter</v>
      </c>
    </row>
    <row r="4255" spans="1:40">
      <c r="A4255" s="1" t="s">
        <v>41</v>
      </c>
      <c r="B4255" s="1" t="s">
        <v>42</v>
      </c>
      <c r="C4255" s="1" t="s">
        <v>301</v>
      </c>
      <c r="D4255" s="1" t="s">
        <v>302</v>
      </c>
      <c r="E4255" s="1" t="s">
        <v>45</v>
      </c>
      <c r="F4255" s="1" t="s">
        <v>9725</v>
      </c>
      <c r="G4255" s="1" t="s">
        <v>9726</v>
      </c>
      <c r="H4255" s="1" t="s">
        <v>45</v>
      </c>
      <c r="I4255" s="1" t="s">
        <v>49</v>
      </c>
      <c r="J4255" s="1" t="s">
        <v>48</v>
      </c>
      <c r="K4255" s="1">
        <v>3</v>
      </c>
      <c r="L4255" s="1">
        <v>0</v>
      </c>
      <c r="M4255" s="1">
        <v>0</v>
      </c>
      <c r="N4255" s="1">
        <v>3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 t="s">
        <v>49</v>
      </c>
      <c r="AA4255" s="1" t="s">
        <v>49</v>
      </c>
      <c r="AB4255" s="1" t="s">
        <v>49</v>
      </c>
      <c r="AC4255" s="1" t="s">
        <v>1408</v>
      </c>
      <c r="AD4255" s="1" t="s">
        <v>1409</v>
      </c>
      <c r="AE4255" s="1" t="s">
        <v>1408</v>
      </c>
      <c r="AF4255" s="1" t="s">
        <v>1410</v>
      </c>
      <c r="AG4255" s="1" t="s">
        <v>227</v>
      </c>
      <c r="AH4255" s="1" t="s">
        <v>49</v>
      </c>
      <c r="AI4255" s="1" t="s">
        <v>54</v>
      </c>
      <c r="AJ4255" s="1">
        <v>1</v>
      </c>
      <c r="AK4255" s="1" t="str">
        <f t="shared" si="67"/>
        <v xml:space="preserve"> =&lt;90</v>
      </c>
      <c r="AL4255" s="1" t="str">
        <f>VLOOKUP(C:C,[1]基础信息!B$1:D$65536,3,0)</f>
        <v>Jug</v>
      </c>
      <c r="AM4255" s="1" t="str">
        <f>VLOOKUP(C:C,[1]基础信息!B$1:E$65536,4,0)</f>
        <v>Aluna</v>
      </c>
      <c r="AN4255" s="1" t="str">
        <f>VLOOKUP(C:C,[1]基础信息!B$1:F$65536,5,0)</f>
        <v>Blue</v>
      </c>
    </row>
    <row r="4256" spans="1:40">
      <c r="A4256" s="1" t="s">
        <v>41</v>
      </c>
      <c r="B4256" s="1" t="s">
        <v>42</v>
      </c>
      <c r="C4256" s="1" t="s">
        <v>162</v>
      </c>
      <c r="D4256" s="1" t="s">
        <v>163</v>
      </c>
      <c r="E4256" s="1" t="s">
        <v>45</v>
      </c>
      <c r="F4256" s="1" t="s">
        <v>9727</v>
      </c>
      <c r="G4256" s="1" t="s">
        <v>9728</v>
      </c>
      <c r="H4256" s="1" t="s">
        <v>45</v>
      </c>
      <c r="I4256" s="1" t="s">
        <v>49</v>
      </c>
      <c r="J4256" s="1" t="s">
        <v>48</v>
      </c>
      <c r="K4256" s="1">
        <v>1</v>
      </c>
      <c r="L4256" s="1">
        <v>0</v>
      </c>
      <c r="M4256" s="1">
        <v>0</v>
      </c>
      <c r="N4256" s="1">
        <v>1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 t="s">
        <v>49</v>
      </c>
      <c r="AA4256" s="1" t="s">
        <v>49</v>
      </c>
      <c r="AB4256" s="1" t="s">
        <v>49</v>
      </c>
      <c r="AC4256" s="1" t="s">
        <v>9729</v>
      </c>
      <c r="AD4256" s="1" t="s">
        <v>9730</v>
      </c>
      <c r="AE4256" s="1" t="s">
        <v>9729</v>
      </c>
      <c r="AF4256" s="1" t="s">
        <v>9731</v>
      </c>
      <c r="AG4256" s="1" t="s">
        <v>227</v>
      </c>
      <c r="AH4256" s="1" t="s">
        <v>49</v>
      </c>
      <c r="AI4256" s="1" t="s">
        <v>54</v>
      </c>
      <c r="AJ4256" s="1">
        <v>1</v>
      </c>
      <c r="AK4256" s="1" t="str">
        <f t="shared" si="67"/>
        <v xml:space="preserve"> =&lt;90</v>
      </c>
      <c r="AL4256" s="1" t="str">
        <f>VLOOKUP(C:C,[1]基础信息!B$1:D$65536,3,0)</f>
        <v>Jug</v>
      </c>
      <c r="AM4256" s="1" t="str">
        <f>VLOOKUP(C:C,[1]基础信息!B$1:E$65536,4,0)</f>
        <v>Style</v>
      </c>
      <c r="AN4256" s="1" t="str">
        <f>VLOOKUP(C:C,[1]基础信息!B$1:F$65536,5,0)</f>
        <v>Blue</v>
      </c>
    </row>
    <row r="4257" spans="1:40">
      <c r="A4257" s="1" t="s">
        <v>41</v>
      </c>
      <c r="B4257" s="1" t="s">
        <v>42</v>
      </c>
      <c r="C4257" s="1" t="s">
        <v>417</v>
      </c>
      <c r="D4257" s="1" t="s">
        <v>418</v>
      </c>
      <c r="E4257" s="1" t="s">
        <v>45</v>
      </c>
      <c r="F4257" s="1" t="s">
        <v>9732</v>
      </c>
      <c r="G4257" s="1" t="s">
        <v>9733</v>
      </c>
      <c r="H4257" s="1" t="s">
        <v>45</v>
      </c>
      <c r="I4257" s="1" t="s">
        <v>49</v>
      </c>
      <c r="J4257" s="1" t="s">
        <v>48</v>
      </c>
      <c r="K4257" s="1">
        <v>2</v>
      </c>
      <c r="L4257" s="1">
        <v>0</v>
      </c>
      <c r="M4257" s="1">
        <v>0</v>
      </c>
      <c r="N4257" s="1">
        <v>2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 t="s">
        <v>49</v>
      </c>
      <c r="AA4257" s="1" t="s">
        <v>49</v>
      </c>
      <c r="AB4257" s="1" t="s">
        <v>49</v>
      </c>
      <c r="AC4257" s="1" t="s">
        <v>61</v>
      </c>
      <c r="AD4257" s="1" t="s">
        <v>62</v>
      </c>
      <c r="AE4257" s="1" t="s">
        <v>61</v>
      </c>
      <c r="AF4257" s="1" t="s">
        <v>7668</v>
      </c>
      <c r="AG4257" s="1" t="s">
        <v>227</v>
      </c>
      <c r="AH4257" s="1" t="s">
        <v>49</v>
      </c>
      <c r="AI4257" s="1" t="s">
        <v>54</v>
      </c>
      <c r="AJ4257" s="1">
        <v>1</v>
      </c>
      <c r="AK4257" s="1" t="str">
        <f t="shared" si="67"/>
        <v xml:space="preserve"> =&lt;90</v>
      </c>
      <c r="AL4257" s="1" t="str">
        <f>VLOOKUP(C:C,[1]基础信息!B$1:D$65536,3,0)</f>
        <v>Jug</v>
      </c>
      <c r="AM4257" s="1" t="str">
        <f>VLOOKUP(C:C,[1]基础信息!B$1:E$65536,4,0)</f>
        <v>Marella XL</v>
      </c>
      <c r="AN4257" s="1" t="str">
        <f>VLOOKUP(C:C,[1]基础信息!B$1:F$65536,5,0)</f>
        <v>Silver</v>
      </c>
    </row>
    <row r="4258" spans="1:40">
      <c r="A4258" s="1" t="s">
        <v>41</v>
      </c>
      <c r="B4258" s="1" t="s">
        <v>42</v>
      </c>
      <c r="C4258" s="1" t="s">
        <v>104</v>
      </c>
      <c r="D4258" s="1" t="s">
        <v>105</v>
      </c>
      <c r="E4258" s="1" t="s">
        <v>104</v>
      </c>
      <c r="F4258" s="1" t="s">
        <v>125</v>
      </c>
      <c r="G4258" s="1" t="s">
        <v>9734</v>
      </c>
      <c r="H4258" s="1" t="s">
        <v>45</v>
      </c>
      <c r="I4258" s="1" t="s">
        <v>49</v>
      </c>
      <c r="J4258" s="1" t="s">
        <v>48</v>
      </c>
      <c r="K4258" s="1">
        <v>1</v>
      </c>
      <c r="L4258" s="1">
        <v>0</v>
      </c>
      <c r="M4258" s="1">
        <v>0</v>
      </c>
      <c r="N4258" s="1">
        <v>1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 t="s">
        <v>49</v>
      </c>
      <c r="AA4258" s="1" t="s">
        <v>49</v>
      </c>
      <c r="AB4258" s="1" t="s">
        <v>49</v>
      </c>
      <c r="AC4258" s="1" t="s">
        <v>128</v>
      </c>
      <c r="AD4258" s="1" t="s">
        <v>129</v>
      </c>
      <c r="AE4258" s="1" t="s">
        <v>128</v>
      </c>
      <c r="AF4258" s="1" t="s">
        <v>130</v>
      </c>
      <c r="AG4258" s="1" t="s">
        <v>53</v>
      </c>
      <c r="AH4258" s="1" t="s">
        <v>49</v>
      </c>
      <c r="AI4258" s="1" t="s">
        <v>54</v>
      </c>
      <c r="AJ4258" s="1">
        <v>1</v>
      </c>
      <c r="AK4258" s="1" t="str">
        <f t="shared" si="67"/>
        <v xml:space="preserve"> =&lt;90</v>
      </c>
      <c r="AL4258" s="1" t="str">
        <f>VLOOKUP(C:C,[1]基础信息!B$1:D$65536,3,0)</f>
        <v>Jug</v>
      </c>
      <c r="AM4258" s="1" t="str">
        <f>VLOOKUP(C:C,[1]基础信息!B$1:E$65536,4,0)</f>
        <v>Marella XL</v>
      </c>
      <c r="AN4258" s="1" t="str">
        <f>VLOOKUP(C:C,[1]基础信息!B$1:F$65536,5,0)</f>
        <v>Blue</v>
      </c>
    </row>
    <row r="4259" spans="1:40">
      <c r="A4259" s="1" t="s">
        <v>41</v>
      </c>
      <c r="B4259" s="1" t="s">
        <v>42</v>
      </c>
      <c r="C4259" s="1" t="s">
        <v>417</v>
      </c>
      <c r="D4259" s="1" t="s">
        <v>418</v>
      </c>
      <c r="E4259" s="1" t="s">
        <v>45</v>
      </c>
      <c r="F4259" s="1" t="s">
        <v>9735</v>
      </c>
      <c r="G4259" s="1" t="s">
        <v>9736</v>
      </c>
      <c r="H4259" s="1" t="s">
        <v>45</v>
      </c>
      <c r="I4259" s="1" t="s">
        <v>49</v>
      </c>
      <c r="J4259" s="1" t="s">
        <v>48</v>
      </c>
      <c r="K4259" s="1">
        <v>2</v>
      </c>
      <c r="L4259" s="1">
        <v>0</v>
      </c>
      <c r="M4259" s="1">
        <v>0</v>
      </c>
      <c r="N4259" s="1">
        <v>2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 t="s">
        <v>49</v>
      </c>
      <c r="AA4259" s="1" t="s">
        <v>49</v>
      </c>
      <c r="AB4259" s="1" t="s">
        <v>49</v>
      </c>
      <c r="AC4259" s="1" t="s">
        <v>938</v>
      </c>
      <c r="AD4259" s="1" t="s">
        <v>939</v>
      </c>
      <c r="AE4259" s="1" t="s">
        <v>938</v>
      </c>
      <c r="AF4259" s="1" t="s">
        <v>940</v>
      </c>
      <c r="AG4259" s="1" t="s">
        <v>227</v>
      </c>
      <c r="AH4259" s="1" t="s">
        <v>49</v>
      </c>
      <c r="AI4259" s="1" t="s">
        <v>54</v>
      </c>
      <c r="AJ4259" s="1">
        <v>1</v>
      </c>
      <c r="AK4259" s="1" t="str">
        <f t="shared" si="67"/>
        <v xml:space="preserve"> =&lt;90</v>
      </c>
      <c r="AL4259" s="1" t="str">
        <f>VLOOKUP(C:C,[1]基础信息!B$1:D$65536,3,0)</f>
        <v>Jug</v>
      </c>
      <c r="AM4259" s="1" t="str">
        <f>VLOOKUP(C:C,[1]基础信息!B$1:E$65536,4,0)</f>
        <v>Marella XL</v>
      </c>
      <c r="AN4259" s="1" t="str">
        <f>VLOOKUP(C:C,[1]基础信息!B$1:F$65536,5,0)</f>
        <v>Silver</v>
      </c>
    </row>
    <row r="4260" spans="1:40">
      <c r="A4260" s="1" t="s">
        <v>41</v>
      </c>
      <c r="B4260" s="1" t="s">
        <v>42</v>
      </c>
      <c r="C4260" s="1" t="s">
        <v>9737</v>
      </c>
      <c r="D4260" s="1" t="s">
        <v>9738</v>
      </c>
      <c r="E4260" s="1" t="s">
        <v>9737</v>
      </c>
      <c r="F4260" s="1" t="s">
        <v>9739</v>
      </c>
      <c r="G4260" s="1" t="s">
        <v>9740</v>
      </c>
      <c r="H4260" s="1" t="s">
        <v>45</v>
      </c>
      <c r="I4260" s="1" t="s">
        <v>49</v>
      </c>
      <c r="J4260" s="1" t="s">
        <v>48</v>
      </c>
      <c r="K4260" s="1">
        <v>7</v>
      </c>
      <c r="L4260" s="1">
        <v>0</v>
      </c>
      <c r="M4260" s="1">
        <v>0</v>
      </c>
      <c r="N4260" s="1">
        <v>7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 t="s">
        <v>49</v>
      </c>
      <c r="AA4260" s="1" t="s">
        <v>49</v>
      </c>
      <c r="AB4260" s="1" t="s">
        <v>49</v>
      </c>
      <c r="AC4260" s="1" t="s">
        <v>9741</v>
      </c>
      <c r="AD4260" s="1" t="s">
        <v>9742</v>
      </c>
      <c r="AE4260" s="1" t="s">
        <v>9743</v>
      </c>
      <c r="AF4260" s="1" t="s">
        <v>1639</v>
      </c>
      <c r="AG4260" s="1" t="s">
        <v>338</v>
      </c>
      <c r="AH4260" s="1" t="s">
        <v>49</v>
      </c>
      <c r="AI4260" s="1" t="s">
        <v>54</v>
      </c>
      <c r="AJ4260" s="1">
        <v>1</v>
      </c>
      <c r="AK4260" s="1" t="str">
        <f t="shared" si="67"/>
        <v xml:space="preserve"> =&lt;90</v>
      </c>
      <c r="AL4260" s="1" t="str">
        <f>VLOOKUP(C:C,[1]基础信息!B$1:D$65536,3,0)</f>
        <v>Jug</v>
      </c>
      <c r="AM4260" s="1" t="str">
        <f>VLOOKUP(C:C,[1]基础信息!B$1:E$65536,4,0)</f>
        <v>Style</v>
      </c>
      <c r="AN4260" s="1" t="str">
        <f>VLOOKUP(C:C,[1]基础信息!B$1:F$65536,5,0)</f>
        <v>Lime</v>
      </c>
    </row>
    <row r="4261" spans="1:40">
      <c r="A4261" s="1" t="s">
        <v>41</v>
      </c>
      <c r="B4261" s="1" t="s">
        <v>42</v>
      </c>
      <c r="C4261" s="1" t="s">
        <v>9248</v>
      </c>
      <c r="D4261" s="1" t="s">
        <v>9249</v>
      </c>
      <c r="E4261" s="1" t="s">
        <v>45</v>
      </c>
      <c r="F4261" s="1" t="s">
        <v>9744</v>
      </c>
      <c r="G4261" s="1" t="s">
        <v>9745</v>
      </c>
      <c r="H4261" s="1" t="s">
        <v>45</v>
      </c>
      <c r="I4261" s="1" t="s">
        <v>45</v>
      </c>
      <c r="J4261" s="1" t="s">
        <v>48</v>
      </c>
      <c r="K4261" s="1">
        <v>3</v>
      </c>
      <c r="L4261" s="1">
        <v>0</v>
      </c>
      <c r="M4261" s="1">
        <v>0</v>
      </c>
      <c r="N4261" s="1">
        <v>3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 t="s">
        <v>49</v>
      </c>
      <c r="AA4261" s="1" t="s">
        <v>49</v>
      </c>
      <c r="AB4261" s="1" t="s">
        <v>49</v>
      </c>
      <c r="AC4261" s="1" t="s">
        <v>6468</v>
      </c>
      <c r="AD4261" s="1" t="s">
        <v>6469</v>
      </c>
      <c r="AE4261" s="1" t="s">
        <v>6468</v>
      </c>
      <c r="AF4261" s="1" t="s">
        <v>49</v>
      </c>
      <c r="AG4261" s="1" t="s">
        <v>338</v>
      </c>
      <c r="AH4261" s="1" t="s">
        <v>49</v>
      </c>
      <c r="AI4261" s="1" t="s">
        <v>54</v>
      </c>
      <c r="AJ4261" s="1">
        <v>1</v>
      </c>
      <c r="AK4261" s="1" t="str">
        <f t="shared" si="67"/>
        <v xml:space="preserve"> =&lt;90</v>
      </c>
      <c r="AL4261" s="1" t="str">
        <f>VLOOKUP(C:C,[1]基础信息!B$1:D$65536,3,0)</f>
        <v>Jug</v>
      </c>
      <c r="AM4261" s="1" t="str">
        <f>VLOOKUP(C:C,[1]基础信息!B$1:E$65536,4,0)</f>
        <v>Style</v>
      </c>
      <c r="AN4261" s="1" t="str">
        <f>VLOOKUP(C:C,[1]基础信息!B$1:F$65536,5,0)</f>
        <v>Lime</v>
      </c>
    </row>
    <row r="4262" spans="1:40">
      <c r="A4262" s="1" t="s">
        <v>41</v>
      </c>
      <c r="B4262" s="1" t="s">
        <v>42</v>
      </c>
      <c r="C4262" s="1" t="s">
        <v>8124</v>
      </c>
      <c r="D4262" s="1" t="s">
        <v>8125</v>
      </c>
      <c r="E4262" s="1" t="s">
        <v>45</v>
      </c>
      <c r="F4262" s="1" t="s">
        <v>9746</v>
      </c>
      <c r="G4262" s="1" t="s">
        <v>9747</v>
      </c>
      <c r="H4262" s="1" t="s">
        <v>45</v>
      </c>
      <c r="I4262" s="1" t="s">
        <v>45</v>
      </c>
      <c r="J4262" s="1" t="s">
        <v>48</v>
      </c>
      <c r="K4262" s="1">
        <v>6</v>
      </c>
      <c r="L4262" s="1">
        <v>0</v>
      </c>
      <c r="M4262" s="1">
        <v>0</v>
      </c>
      <c r="N4262" s="1">
        <v>6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 t="s">
        <v>49</v>
      </c>
      <c r="AA4262" s="1" t="s">
        <v>49</v>
      </c>
      <c r="AB4262" s="1" t="s">
        <v>49</v>
      </c>
      <c r="AC4262" s="1" t="s">
        <v>100</v>
      </c>
      <c r="AD4262" s="1" t="s">
        <v>9748</v>
      </c>
      <c r="AE4262" s="1" t="s">
        <v>100</v>
      </c>
      <c r="AF4262" s="1" t="s">
        <v>49</v>
      </c>
      <c r="AG4262" s="1" t="s">
        <v>76</v>
      </c>
      <c r="AH4262" s="1" t="s">
        <v>49</v>
      </c>
      <c r="AI4262" s="1" t="s">
        <v>54</v>
      </c>
      <c r="AJ4262" s="1">
        <v>1</v>
      </c>
      <c r="AK4262" s="1" t="str">
        <f t="shared" si="67"/>
        <v xml:space="preserve"> =&lt;90</v>
      </c>
      <c r="AL4262" s="1" t="str">
        <f>VLOOKUP(C:C,[1]基础信息!B$1:D$65536,3,0)</f>
        <v>Jug</v>
      </c>
      <c r="AM4262" s="1" t="str">
        <f>VLOOKUP(C:C,[1]基础信息!B$1:E$65536,4,0)</f>
        <v>Mxplus</v>
      </c>
      <c r="AN4262" s="1" t="str">
        <f>VLOOKUP(C:C,[1]基础信息!B$1:F$65536,5,0)</f>
        <v>Blue</v>
      </c>
    </row>
    <row r="4263" spans="1:40">
      <c r="A4263" s="1" t="s">
        <v>41</v>
      </c>
      <c r="B4263" s="1" t="s">
        <v>42</v>
      </c>
      <c r="C4263" s="1" t="s">
        <v>8107</v>
      </c>
      <c r="D4263" s="1" t="s">
        <v>8108</v>
      </c>
      <c r="E4263" s="1" t="s">
        <v>45</v>
      </c>
      <c r="F4263" s="1" t="s">
        <v>9749</v>
      </c>
      <c r="G4263" s="1" t="s">
        <v>9750</v>
      </c>
      <c r="H4263" s="1" t="s">
        <v>45</v>
      </c>
      <c r="I4263" s="1" t="s">
        <v>45</v>
      </c>
      <c r="J4263" s="1" t="s">
        <v>48</v>
      </c>
      <c r="K4263" s="1">
        <v>3</v>
      </c>
      <c r="L4263" s="1">
        <v>0</v>
      </c>
      <c r="M4263" s="1">
        <v>0</v>
      </c>
      <c r="N4263" s="1">
        <v>3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 t="s">
        <v>49</v>
      </c>
      <c r="AA4263" s="1" t="s">
        <v>49</v>
      </c>
      <c r="AB4263" s="1" t="s">
        <v>49</v>
      </c>
      <c r="AC4263" s="1" t="s">
        <v>100</v>
      </c>
      <c r="AD4263" s="1" t="s">
        <v>9748</v>
      </c>
      <c r="AE4263" s="1" t="s">
        <v>100</v>
      </c>
      <c r="AF4263" s="1" t="s">
        <v>9751</v>
      </c>
      <c r="AG4263" s="1" t="s">
        <v>76</v>
      </c>
      <c r="AH4263" s="1" t="s">
        <v>49</v>
      </c>
      <c r="AI4263" s="1" t="s">
        <v>54</v>
      </c>
      <c r="AJ4263" s="1">
        <v>1</v>
      </c>
      <c r="AK4263" s="1" t="str">
        <f t="shared" si="67"/>
        <v xml:space="preserve"> =&lt;90</v>
      </c>
      <c r="AL4263" s="1" t="str">
        <f>VLOOKUP(C:C,[1]基础信息!B$1:D$65536,3,0)</f>
        <v>Jug</v>
      </c>
      <c r="AM4263" s="1" t="str">
        <f>VLOOKUP(C:C,[1]基础信息!B$1:E$65536,4,0)</f>
        <v>Style</v>
      </c>
      <c r="AN4263" s="1" t="str">
        <f>VLOOKUP(C:C,[1]基础信息!B$1:F$65536,5,0)</f>
        <v>Lime</v>
      </c>
    </row>
    <row r="4264" spans="1:40">
      <c r="A4264" s="1" t="s">
        <v>41</v>
      </c>
      <c r="B4264" s="1" t="s">
        <v>42</v>
      </c>
      <c r="C4264" s="1" t="s">
        <v>6409</v>
      </c>
      <c r="D4264" s="1" t="s">
        <v>6410</v>
      </c>
      <c r="E4264" s="1" t="s">
        <v>45</v>
      </c>
      <c r="F4264" s="1" t="s">
        <v>9752</v>
      </c>
      <c r="G4264" s="1" t="s">
        <v>9753</v>
      </c>
      <c r="H4264" s="1" t="s">
        <v>45</v>
      </c>
      <c r="I4264" s="1" t="s">
        <v>49</v>
      </c>
      <c r="J4264" s="1" t="s">
        <v>48</v>
      </c>
      <c r="K4264" s="1">
        <v>1</v>
      </c>
      <c r="L4264" s="1">
        <v>0</v>
      </c>
      <c r="M4264" s="1">
        <v>0</v>
      </c>
      <c r="N4264" s="1">
        <v>1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 t="s">
        <v>49</v>
      </c>
      <c r="AA4264" s="1" t="s">
        <v>49</v>
      </c>
      <c r="AB4264" s="1" t="s">
        <v>49</v>
      </c>
      <c r="AC4264" s="1" t="s">
        <v>4407</v>
      </c>
      <c r="AD4264" s="1" t="s">
        <v>4408</v>
      </c>
      <c r="AE4264" s="1" t="s">
        <v>4407</v>
      </c>
      <c r="AF4264" s="1" t="s">
        <v>9754</v>
      </c>
      <c r="AG4264" s="1" t="s">
        <v>338</v>
      </c>
      <c r="AH4264" s="1" t="s">
        <v>49</v>
      </c>
      <c r="AI4264" s="1" t="s">
        <v>54</v>
      </c>
      <c r="AJ4264" s="1">
        <v>1</v>
      </c>
      <c r="AK4264" s="1" t="str">
        <f t="shared" si="67"/>
        <v xml:space="preserve"> =&lt;90</v>
      </c>
      <c r="AL4264" s="1" t="str">
        <f>VLOOKUP(C:C,[1]基础信息!B$1:D$65536,3,0)</f>
        <v>Jug</v>
      </c>
      <c r="AM4264" s="1" t="str">
        <f>VLOOKUP(C:C,[1]基础信息!B$1:E$65536,4,0)</f>
        <v>Style</v>
      </c>
      <c r="AN4264" s="1" t="str">
        <f>VLOOKUP(C:C,[1]基础信息!B$1:F$65536,5,0)</f>
        <v>Lime</v>
      </c>
    </row>
    <row r="4265" spans="1:40">
      <c r="A4265" s="1" t="s">
        <v>41</v>
      </c>
      <c r="B4265" s="1" t="s">
        <v>42</v>
      </c>
      <c r="C4265" s="1" t="s">
        <v>208</v>
      </c>
      <c r="D4265" s="1" t="s">
        <v>209</v>
      </c>
      <c r="E4265" s="1" t="s">
        <v>208</v>
      </c>
      <c r="F4265" s="1" t="s">
        <v>9755</v>
      </c>
      <c r="G4265" s="1" t="s">
        <v>9756</v>
      </c>
      <c r="H4265" s="1" t="s">
        <v>45</v>
      </c>
      <c r="I4265" s="1" t="s">
        <v>49</v>
      </c>
      <c r="J4265" s="1" t="s">
        <v>48</v>
      </c>
      <c r="K4265" s="1">
        <v>2</v>
      </c>
      <c r="L4265" s="1">
        <v>0</v>
      </c>
      <c r="M4265" s="1">
        <v>0</v>
      </c>
      <c r="N4265" s="1">
        <v>2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 t="s">
        <v>49</v>
      </c>
      <c r="AA4265" s="1" t="s">
        <v>49</v>
      </c>
      <c r="AB4265" s="1" t="s">
        <v>49</v>
      </c>
      <c r="AC4265" s="1" t="s">
        <v>1715</v>
      </c>
      <c r="AD4265" s="1" t="s">
        <v>1716</v>
      </c>
      <c r="AE4265" s="1" t="s">
        <v>1715</v>
      </c>
      <c r="AF4265" s="1" t="s">
        <v>4912</v>
      </c>
      <c r="AG4265" s="1" t="s">
        <v>227</v>
      </c>
      <c r="AH4265" s="1" t="s">
        <v>49</v>
      </c>
      <c r="AI4265" s="1" t="s">
        <v>54</v>
      </c>
      <c r="AJ4265" s="1">
        <v>1</v>
      </c>
      <c r="AK4265" s="1" t="str">
        <f t="shared" si="67"/>
        <v xml:space="preserve"> =&lt;90</v>
      </c>
      <c r="AL4265" s="1" t="str">
        <f>VLOOKUP(C:C,[1]基础信息!B$1:D$65536,3,0)</f>
        <v>Jug</v>
      </c>
      <c r="AM4265" s="1" t="str">
        <f>VLOOKUP(C:C,[1]基础信息!B$1:E$65536,4,0)</f>
        <v>MXpl</v>
      </c>
      <c r="AN4265" s="1" t="str">
        <f>VLOOKUP(C:C,[1]基础信息!B$1:F$65536,5,0)</f>
        <v>grey</v>
      </c>
    </row>
    <row r="4266" spans="1:40">
      <c r="A4266" s="1" t="s">
        <v>41</v>
      </c>
      <c r="B4266" s="1" t="s">
        <v>42</v>
      </c>
      <c r="C4266" s="1" t="s">
        <v>1710</v>
      </c>
      <c r="D4266" s="1" t="s">
        <v>1711</v>
      </c>
      <c r="E4266" s="1" t="s">
        <v>45</v>
      </c>
      <c r="F4266" s="1" t="s">
        <v>9757</v>
      </c>
      <c r="G4266" s="1" t="s">
        <v>9758</v>
      </c>
      <c r="H4266" s="1" t="s">
        <v>45</v>
      </c>
      <c r="I4266" s="1" t="s">
        <v>49</v>
      </c>
      <c r="J4266" s="1" t="s">
        <v>48</v>
      </c>
      <c r="K4266" s="1">
        <v>3</v>
      </c>
      <c r="L4266" s="1">
        <v>0</v>
      </c>
      <c r="M4266" s="1">
        <v>0</v>
      </c>
      <c r="N4266" s="1">
        <v>3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 t="s">
        <v>49</v>
      </c>
      <c r="AA4266" s="1" t="s">
        <v>49</v>
      </c>
      <c r="AB4266" s="1" t="s">
        <v>49</v>
      </c>
      <c r="AC4266" s="1" t="s">
        <v>1715</v>
      </c>
      <c r="AD4266" s="1" t="s">
        <v>1716</v>
      </c>
      <c r="AE4266" s="1" t="s">
        <v>1715</v>
      </c>
      <c r="AF4266" s="1" t="s">
        <v>1717</v>
      </c>
      <c r="AG4266" s="1" t="s">
        <v>227</v>
      </c>
      <c r="AH4266" s="1" t="s">
        <v>49</v>
      </c>
      <c r="AI4266" s="1" t="s">
        <v>54</v>
      </c>
      <c r="AJ4266" s="1">
        <v>1</v>
      </c>
      <c r="AK4266" s="1" t="str">
        <f t="shared" si="67"/>
        <v xml:space="preserve"> =&lt;90</v>
      </c>
      <c r="AL4266" s="1" t="str">
        <f>VLOOKUP(C:C,[1]基础信息!B$1:D$65536,3,0)</f>
        <v>Jug</v>
      </c>
      <c r="AM4266" s="1" t="str">
        <f>VLOOKUP(C:C,[1]基础信息!B$1:E$65536,4,0)</f>
        <v>Kalea XL ME4W</v>
      </c>
      <c r="AN4266" s="1" t="str">
        <f>VLOOKUP(C:C,[1]基础信息!B$1:F$65536,5,0)</f>
        <v>grey</v>
      </c>
    </row>
    <row r="4267" spans="1:40">
      <c r="A4267" s="1" t="s">
        <v>41</v>
      </c>
      <c r="B4267" s="1" t="s">
        <v>42</v>
      </c>
      <c r="C4267" s="1" t="s">
        <v>969</v>
      </c>
      <c r="D4267" s="1" t="s">
        <v>970</v>
      </c>
      <c r="E4267" s="1" t="s">
        <v>45</v>
      </c>
      <c r="F4267" s="1" t="s">
        <v>9759</v>
      </c>
      <c r="G4267" s="1" t="s">
        <v>9760</v>
      </c>
      <c r="H4267" s="1" t="s">
        <v>45</v>
      </c>
      <c r="I4267" s="1" t="s">
        <v>49</v>
      </c>
      <c r="J4267" s="1" t="s">
        <v>48</v>
      </c>
      <c r="K4267" s="1">
        <v>2</v>
      </c>
      <c r="L4267" s="1">
        <v>0</v>
      </c>
      <c r="M4267" s="1">
        <v>0</v>
      </c>
      <c r="N4267" s="1">
        <v>2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 t="s">
        <v>49</v>
      </c>
      <c r="AA4267" s="1" t="s">
        <v>49</v>
      </c>
      <c r="AB4267" s="1" t="s">
        <v>49</v>
      </c>
      <c r="AC4267" s="1" t="s">
        <v>470</v>
      </c>
      <c r="AD4267" s="1" t="s">
        <v>471</v>
      </c>
      <c r="AE4267" s="1" t="s">
        <v>974</v>
      </c>
      <c r="AF4267" s="1" t="s">
        <v>7676</v>
      </c>
      <c r="AG4267" s="1" t="s">
        <v>53</v>
      </c>
      <c r="AH4267" s="1" t="s">
        <v>49</v>
      </c>
      <c r="AI4267" s="1" t="s">
        <v>54</v>
      </c>
      <c r="AJ4267" s="1">
        <v>0</v>
      </c>
      <c r="AK4267" s="1" t="str">
        <f t="shared" si="67"/>
        <v xml:space="preserve"> =&lt;90</v>
      </c>
      <c r="AL4267" s="1" t="str">
        <f>VLOOKUP(C:C,[1]基础信息!B$1:D$65536,3,0)</f>
        <v>Jug</v>
      </c>
      <c r="AM4267" s="1" t="str">
        <f>VLOOKUP(C:C,[1]基础信息!B$1:E$65536,4,0)</f>
        <v>Mxplus</v>
      </c>
      <c r="AN4267" s="1" t="str">
        <f>VLOOKUP(C:C,[1]基础信息!B$1:F$65536,5,0)</f>
        <v xml:space="preserve"> blue</v>
      </c>
    </row>
    <row r="4268" spans="1:40">
      <c r="A4268" s="1" t="s">
        <v>41</v>
      </c>
      <c r="B4268" s="1" t="s">
        <v>42</v>
      </c>
      <c r="C4268" s="1" t="s">
        <v>969</v>
      </c>
      <c r="D4268" s="1" t="s">
        <v>970</v>
      </c>
      <c r="E4268" s="1" t="s">
        <v>45</v>
      </c>
      <c r="F4268" s="1" t="s">
        <v>971</v>
      </c>
      <c r="G4268" s="1" t="s">
        <v>9760</v>
      </c>
      <c r="H4268" s="1" t="s">
        <v>45</v>
      </c>
      <c r="I4268" s="1" t="s">
        <v>49</v>
      </c>
      <c r="J4268" s="1" t="s">
        <v>48</v>
      </c>
      <c r="K4268" s="1">
        <v>2</v>
      </c>
      <c r="L4268" s="1">
        <v>0</v>
      </c>
      <c r="M4268" s="1">
        <v>0</v>
      </c>
      <c r="N4268" s="1">
        <v>2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 t="s">
        <v>49</v>
      </c>
      <c r="AA4268" s="1" t="s">
        <v>49</v>
      </c>
      <c r="AB4268" s="1" t="s">
        <v>49</v>
      </c>
      <c r="AC4268" s="1" t="s">
        <v>470</v>
      </c>
      <c r="AD4268" s="1" t="s">
        <v>471</v>
      </c>
      <c r="AE4268" s="1" t="s">
        <v>974</v>
      </c>
      <c r="AF4268" s="1" t="s">
        <v>975</v>
      </c>
      <c r="AG4268" s="1" t="s">
        <v>53</v>
      </c>
      <c r="AH4268" s="1" t="s">
        <v>49</v>
      </c>
      <c r="AI4268" s="1" t="s">
        <v>54</v>
      </c>
      <c r="AJ4268" s="1">
        <v>0</v>
      </c>
      <c r="AK4268" s="1" t="str">
        <f t="shared" si="67"/>
        <v xml:space="preserve"> =&lt;90</v>
      </c>
      <c r="AL4268" s="1" t="str">
        <f>VLOOKUP(C:C,[1]基础信息!B$1:D$65536,3,0)</f>
        <v>Jug</v>
      </c>
      <c r="AM4268" s="1" t="str">
        <f>VLOOKUP(C:C,[1]基础信息!B$1:E$65536,4,0)</f>
        <v>Mxplus</v>
      </c>
      <c r="AN4268" s="1" t="str">
        <f>VLOOKUP(C:C,[1]基础信息!B$1:F$65536,5,0)</f>
        <v xml:space="preserve"> blue</v>
      </c>
    </row>
    <row r="4269" spans="1:40">
      <c r="A4269" s="1" t="s">
        <v>41</v>
      </c>
      <c r="B4269" s="1" t="s">
        <v>42</v>
      </c>
      <c r="C4269" s="1" t="s">
        <v>969</v>
      </c>
      <c r="D4269" s="1" t="s">
        <v>970</v>
      </c>
      <c r="E4269" s="1" t="s">
        <v>45</v>
      </c>
      <c r="F4269" s="1" t="s">
        <v>1787</v>
      </c>
      <c r="G4269" s="1" t="s">
        <v>9760</v>
      </c>
      <c r="H4269" s="1" t="s">
        <v>45</v>
      </c>
      <c r="I4269" s="1" t="s">
        <v>49</v>
      </c>
      <c r="J4269" s="1" t="s">
        <v>48</v>
      </c>
      <c r="K4269" s="1">
        <v>2</v>
      </c>
      <c r="L4269" s="1">
        <v>0</v>
      </c>
      <c r="M4269" s="1">
        <v>0</v>
      </c>
      <c r="N4269" s="1">
        <v>2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 t="s">
        <v>49</v>
      </c>
      <c r="AA4269" s="1" t="s">
        <v>49</v>
      </c>
      <c r="AB4269" s="1" t="s">
        <v>49</v>
      </c>
      <c r="AC4269" s="1" t="s">
        <v>128</v>
      </c>
      <c r="AD4269" s="1" t="s">
        <v>129</v>
      </c>
      <c r="AE4269" s="1" t="s">
        <v>128</v>
      </c>
      <c r="AF4269" s="1" t="s">
        <v>1332</v>
      </c>
      <c r="AG4269" s="1" t="s">
        <v>53</v>
      </c>
      <c r="AH4269" s="1" t="s">
        <v>49</v>
      </c>
      <c r="AI4269" s="1" t="s">
        <v>54</v>
      </c>
      <c r="AJ4269" s="1">
        <v>1</v>
      </c>
      <c r="AK4269" s="1" t="str">
        <f t="shared" si="67"/>
        <v xml:space="preserve"> =&lt;90</v>
      </c>
      <c r="AL4269" s="1" t="str">
        <f>VLOOKUP(C:C,[1]基础信息!B$1:D$65536,3,0)</f>
        <v>Jug</v>
      </c>
      <c r="AM4269" s="1" t="str">
        <f>VLOOKUP(C:C,[1]基础信息!B$1:E$65536,4,0)</f>
        <v>Mxplus</v>
      </c>
      <c r="AN4269" s="1" t="str">
        <f>VLOOKUP(C:C,[1]基础信息!B$1:F$65536,5,0)</f>
        <v xml:space="preserve"> blue</v>
      </c>
    </row>
    <row r="4270" spans="1:40">
      <c r="A4270" s="1" t="s">
        <v>41</v>
      </c>
      <c r="B4270" s="1" t="s">
        <v>42</v>
      </c>
      <c r="C4270" s="1" t="s">
        <v>4685</v>
      </c>
      <c r="D4270" s="1" t="s">
        <v>4686</v>
      </c>
      <c r="E4270" s="1" t="s">
        <v>45</v>
      </c>
      <c r="F4270" s="1" t="s">
        <v>4687</v>
      </c>
      <c r="G4270" s="1" t="s">
        <v>9761</v>
      </c>
      <c r="H4270" s="1" t="s">
        <v>45</v>
      </c>
      <c r="I4270" s="1" t="s">
        <v>45</v>
      </c>
      <c r="J4270" s="1" t="s">
        <v>48</v>
      </c>
      <c r="K4270" s="1">
        <v>15</v>
      </c>
      <c r="L4270" s="1">
        <v>0</v>
      </c>
      <c r="M4270" s="1">
        <v>0</v>
      </c>
      <c r="N4270" s="1">
        <v>15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 t="s">
        <v>49</v>
      </c>
      <c r="AA4270" s="1" t="s">
        <v>49</v>
      </c>
      <c r="AB4270" s="1" t="s">
        <v>49</v>
      </c>
      <c r="AC4270" s="1" t="s">
        <v>4690</v>
      </c>
      <c r="AD4270" s="1" t="s">
        <v>4691</v>
      </c>
      <c r="AE4270" s="1" t="s">
        <v>4690</v>
      </c>
      <c r="AF4270" s="1" t="s">
        <v>49</v>
      </c>
      <c r="AG4270" s="1" t="s">
        <v>227</v>
      </c>
      <c r="AH4270" s="1" t="s">
        <v>49</v>
      </c>
      <c r="AI4270" s="1" t="s">
        <v>54</v>
      </c>
      <c r="AJ4270" s="1">
        <v>1</v>
      </c>
      <c r="AK4270" s="1" t="str">
        <f t="shared" si="67"/>
        <v xml:space="preserve"> =&lt;90</v>
      </c>
      <c r="AL4270" s="1" t="str">
        <f>VLOOKUP(C:C,[1]基础信息!B$1:D$65536,3,0)</f>
        <v>Spare Parts</v>
      </c>
      <c r="AM4270" s="1" t="str">
        <f>VLOOKUP(C:C,[1]基础信息!B$1:E$65536,4,0)</f>
        <v>Spare Parts</v>
      </c>
      <c r="AN4270" s="1" t="str">
        <f>VLOOKUP(C:C,[1]基础信息!B$1:F$65536,5,0)</f>
        <v>Spare Parts</v>
      </c>
    </row>
    <row r="4271" spans="1:40">
      <c r="A4271" s="1" t="s">
        <v>41</v>
      </c>
      <c r="B4271" s="1" t="s">
        <v>42</v>
      </c>
      <c r="C4271" s="1" t="s">
        <v>330</v>
      </c>
      <c r="D4271" s="1" t="s">
        <v>331</v>
      </c>
      <c r="E4271" s="1" t="s">
        <v>330</v>
      </c>
      <c r="F4271" s="1" t="s">
        <v>9762</v>
      </c>
      <c r="G4271" s="1" t="s">
        <v>9763</v>
      </c>
      <c r="H4271" s="1" t="s">
        <v>9764</v>
      </c>
      <c r="I4271" s="1" t="s">
        <v>45</v>
      </c>
      <c r="J4271" s="1" t="s">
        <v>48</v>
      </c>
      <c r="K4271" s="1">
        <v>2</v>
      </c>
      <c r="L4271" s="1">
        <v>0</v>
      </c>
      <c r="M4271" s="1">
        <v>0</v>
      </c>
      <c r="N4271" s="1">
        <v>2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 t="s">
        <v>49</v>
      </c>
      <c r="AA4271" s="1" t="s">
        <v>49</v>
      </c>
      <c r="AB4271" s="1" t="s">
        <v>49</v>
      </c>
      <c r="AC4271" s="1" t="s">
        <v>9765</v>
      </c>
      <c r="AD4271" s="1" t="s">
        <v>9766</v>
      </c>
      <c r="AE4271" s="1" t="s">
        <v>9767</v>
      </c>
      <c r="AF4271" s="1" t="s">
        <v>9768</v>
      </c>
      <c r="AG4271" s="1" t="s">
        <v>338</v>
      </c>
      <c r="AH4271" s="1" t="s">
        <v>49</v>
      </c>
      <c r="AI4271" s="1" t="s">
        <v>54</v>
      </c>
      <c r="AJ4271" s="1">
        <v>1</v>
      </c>
      <c r="AK4271" s="1" t="str">
        <f t="shared" si="67"/>
        <v xml:space="preserve"> =&lt;90</v>
      </c>
      <c r="AL4271" s="1" t="str">
        <f>VLOOKUP(C:C,[1]基础信息!B$1:D$65536,3,0)</f>
        <v>Jug</v>
      </c>
      <c r="AM4271" s="1" t="str">
        <f>VLOOKUP(C:C,[1]基础信息!B$1:E$65536,4,0)</f>
        <v>Style</v>
      </c>
      <c r="AN4271" s="1" t="str">
        <f>VLOOKUP(C:C,[1]基础信息!B$1:F$65536,5,0)</f>
        <v>Lime</v>
      </c>
    </row>
    <row r="4272" spans="1:40">
      <c r="A4272" s="1" t="s">
        <v>41</v>
      </c>
      <c r="B4272" s="1" t="s">
        <v>42</v>
      </c>
      <c r="C4272" s="1" t="s">
        <v>240</v>
      </c>
      <c r="D4272" s="1" t="s">
        <v>241</v>
      </c>
      <c r="E4272" s="1" t="s">
        <v>45</v>
      </c>
      <c r="F4272" s="1" t="s">
        <v>9769</v>
      </c>
      <c r="G4272" s="1" t="s">
        <v>9770</v>
      </c>
      <c r="H4272" s="1" t="s">
        <v>45</v>
      </c>
      <c r="I4272" s="1" t="s">
        <v>45</v>
      </c>
      <c r="J4272" s="1" t="s">
        <v>48</v>
      </c>
      <c r="K4272" s="1">
        <v>7</v>
      </c>
      <c r="L4272" s="1">
        <v>0</v>
      </c>
      <c r="M4272" s="1">
        <v>0</v>
      </c>
      <c r="N4272" s="1">
        <v>7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 t="s">
        <v>49</v>
      </c>
      <c r="AA4272" s="1" t="s">
        <v>49</v>
      </c>
      <c r="AB4272" s="1" t="s">
        <v>49</v>
      </c>
      <c r="AC4272" s="1" t="s">
        <v>1188</v>
      </c>
      <c r="AD4272" s="1" t="s">
        <v>3975</v>
      </c>
      <c r="AE4272" s="1" t="s">
        <v>1188</v>
      </c>
      <c r="AF4272" s="1" t="s">
        <v>49</v>
      </c>
      <c r="AG4272" s="1" t="s">
        <v>9771</v>
      </c>
      <c r="AH4272" s="1" t="s">
        <v>49</v>
      </c>
      <c r="AI4272" s="1" t="s">
        <v>54</v>
      </c>
      <c r="AJ4272" s="1">
        <v>1</v>
      </c>
      <c r="AK4272" s="1" t="str">
        <f t="shared" si="67"/>
        <v xml:space="preserve"> =&lt;90</v>
      </c>
      <c r="AL4272" s="1" t="str">
        <f>VLOOKUP(C:C,[1]基础信息!B$1:D$65536,3,0)</f>
        <v>UTS</v>
      </c>
      <c r="AM4272" s="1" t="str">
        <f>VLOOKUP(C:C,[1]基础信息!B$1:E$65536,4,0)</f>
        <v>MyPure Pro</v>
      </c>
      <c r="AN4272" s="1" t="str">
        <f>VLOOKUP(C:C,[1]基础信息!B$1:F$65536,5,0)</f>
        <v>X6</v>
      </c>
    </row>
    <row r="4273" spans="1:40">
      <c r="A4273" s="1" t="s">
        <v>41</v>
      </c>
      <c r="B4273" s="1" t="s">
        <v>42</v>
      </c>
      <c r="C4273" s="1" t="s">
        <v>1183</v>
      </c>
      <c r="D4273" s="1" t="s">
        <v>1184</v>
      </c>
      <c r="E4273" s="1" t="s">
        <v>45</v>
      </c>
      <c r="F4273" s="1" t="s">
        <v>9772</v>
      </c>
      <c r="G4273" s="1" t="s">
        <v>9773</v>
      </c>
      <c r="H4273" s="1" t="s">
        <v>45</v>
      </c>
      <c r="I4273" s="1" t="s">
        <v>45</v>
      </c>
      <c r="J4273" s="1" t="s">
        <v>48</v>
      </c>
      <c r="K4273" s="1">
        <v>2</v>
      </c>
      <c r="L4273" s="1">
        <v>0</v>
      </c>
      <c r="M4273" s="1">
        <v>0</v>
      </c>
      <c r="N4273" s="1">
        <v>2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 t="s">
        <v>49</v>
      </c>
      <c r="AA4273" s="1" t="s">
        <v>49</v>
      </c>
      <c r="AB4273" s="1" t="s">
        <v>49</v>
      </c>
      <c r="AC4273" s="1" t="s">
        <v>1188</v>
      </c>
      <c r="AD4273" s="1" t="s">
        <v>3975</v>
      </c>
      <c r="AE4273" s="1" t="s">
        <v>1188</v>
      </c>
      <c r="AF4273" s="1" t="s">
        <v>49</v>
      </c>
      <c r="AG4273" s="1" t="s">
        <v>9771</v>
      </c>
      <c r="AH4273" s="1" t="s">
        <v>49</v>
      </c>
      <c r="AI4273" s="1" t="s">
        <v>54</v>
      </c>
      <c r="AJ4273" s="1">
        <v>0</v>
      </c>
      <c r="AK4273" s="1" t="str">
        <f t="shared" si="67"/>
        <v xml:space="preserve"> =&lt;90</v>
      </c>
      <c r="AL4273" s="1" t="e">
        <f>VLOOKUP(C:C,[1]基础信息!B$1:D$65536,3,0)</f>
        <v>#N/A</v>
      </c>
      <c r="AM4273" s="1" t="e">
        <f>VLOOKUP(C:C,[1]基础信息!B$1:E$65536,4,0)</f>
        <v>#N/A</v>
      </c>
      <c r="AN4273" s="1" t="e">
        <f>VLOOKUP(C:C,[1]基础信息!B$1:F$65536,5,0)</f>
        <v>#N/A</v>
      </c>
    </row>
    <row r="4274" spans="1:40">
      <c r="A4274" s="1" t="s">
        <v>41</v>
      </c>
      <c r="B4274" s="1" t="s">
        <v>42</v>
      </c>
      <c r="C4274" s="1" t="s">
        <v>240</v>
      </c>
      <c r="D4274" s="1" t="s">
        <v>241</v>
      </c>
      <c r="E4274" s="1" t="s">
        <v>45</v>
      </c>
      <c r="F4274" s="1" t="s">
        <v>9769</v>
      </c>
      <c r="G4274" s="1" t="s">
        <v>9773</v>
      </c>
      <c r="H4274" s="1" t="s">
        <v>45</v>
      </c>
      <c r="I4274" s="1" t="s">
        <v>45</v>
      </c>
      <c r="J4274" s="1" t="s">
        <v>48</v>
      </c>
      <c r="K4274" s="1">
        <v>3</v>
      </c>
      <c r="L4274" s="1">
        <v>0</v>
      </c>
      <c r="M4274" s="1">
        <v>0</v>
      </c>
      <c r="N4274" s="1">
        <v>3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 t="s">
        <v>49</v>
      </c>
      <c r="AA4274" s="1" t="s">
        <v>49</v>
      </c>
      <c r="AB4274" s="1" t="s">
        <v>49</v>
      </c>
      <c r="AC4274" s="1" t="s">
        <v>1188</v>
      </c>
      <c r="AD4274" s="1" t="s">
        <v>3975</v>
      </c>
      <c r="AE4274" s="1" t="s">
        <v>1188</v>
      </c>
      <c r="AF4274" s="1" t="s">
        <v>49</v>
      </c>
      <c r="AG4274" s="1" t="s">
        <v>9771</v>
      </c>
      <c r="AH4274" s="1" t="s">
        <v>49</v>
      </c>
      <c r="AI4274" s="1" t="s">
        <v>54</v>
      </c>
      <c r="AJ4274" s="1">
        <v>1</v>
      </c>
      <c r="AK4274" s="1" t="str">
        <f t="shared" si="67"/>
        <v xml:space="preserve"> =&lt;90</v>
      </c>
      <c r="AL4274" s="1" t="str">
        <f>VLOOKUP(C:C,[1]基础信息!B$1:D$65536,3,0)</f>
        <v>UTS</v>
      </c>
      <c r="AM4274" s="1" t="str">
        <f>VLOOKUP(C:C,[1]基础信息!B$1:E$65536,4,0)</f>
        <v>MyPure Pro</v>
      </c>
      <c r="AN4274" s="1" t="str">
        <f>VLOOKUP(C:C,[1]基础信息!B$1:F$65536,5,0)</f>
        <v>X6</v>
      </c>
    </row>
    <row r="4275" spans="1:40">
      <c r="A4275" s="1" t="s">
        <v>41</v>
      </c>
      <c r="B4275" s="1" t="s">
        <v>42</v>
      </c>
      <c r="C4275" s="1" t="s">
        <v>9774</v>
      </c>
      <c r="D4275" s="1" t="s">
        <v>9775</v>
      </c>
      <c r="E4275" s="1" t="s">
        <v>45</v>
      </c>
      <c r="F4275" s="1" t="s">
        <v>9776</v>
      </c>
      <c r="G4275" s="1" t="s">
        <v>9777</v>
      </c>
      <c r="H4275" s="1" t="s">
        <v>45</v>
      </c>
      <c r="I4275" s="1" t="s">
        <v>45</v>
      </c>
      <c r="J4275" s="1" t="s">
        <v>48</v>
      </c>
      <c r="K4275" s="1">
        <v>4</v>
      </c>
      <c r="L4275" s="1">
        <v>0</v>
      </c>
      <c r="M4275" s="1">
        <v>0</v>
      </c>
      <c r="N4275" s="1">
        <v>4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 t="s">
        <v>49</v>
      </c>
      <c r="AA4275" s="1" t="s">
        <v>49</v>
      </c>
      <c r="AB4275" s="1" t="s">
        <v>49</v>
      </c>
      <c r="AC4275" s="1" t="s">
        <v>414</v>
      </c>
      <c r="AD4275" s="1" t="s">
        <v>4350</v>
      </c>
      <c r="AE4275" s="1" t="s">
        <v>414</v>
      </c>
      <c r="AF4275" s="1" t="s">
        <v>49</v>
      </c>
      <c r="AG4275" s="1" t="s">
        <v>9771</v>
      </c>
      <c r="AH4275" s="1" t="s">
        <v>49</v>
      </c>
      <c r="AI4275" s="1" t="s">
        <v>54</v>
      </c>
      <c r="AJ4275" s="1">
        <v>1</v>
      </c>
      <c r="AK4275" s="1" t="str">
        <f t="shared" si="67"/>
        <v xml:space="preserve"> =&lt;90</v>
      </c>
      <c r="AL4275" s="1" t="str">
        <f>VLOOKUP(C:C,[1]基础信息!B$1:D$65536,3,0)</f>
        <v>On tap</v>
      </c>
      <c r="AM4275" s="1" t="str">
        <f>VLOOKUP(C:C,[1]基础信息!B$1:E$65536,4,0)</f>
        <v>On tap</v>
      </c>
      <c r="AN4275" s="1" t="str">
        <f>VLOOKUP(C:C,[1]基础信息!B$1:F$65536,5,0)</f>
        <v>On tap</v>
      </c>
    </row>
    <row r="4276" spans="1:40">
      <c r="A4276" s="1" t="s">
        <v>41</v>
      </c>
      <c r="B4276" s="1" t="s">
        <v>42</v>
      </c>
      <c r="C4276" s="1" t="s">
        <v>9778</v>
      </c>
      <c r="D4276" s="1" t="s">
        <v>9779</v>
      </c>
      <c r="E4276" s="1" t="s">
        <v>45</v>
      </c>
      <c r="F4276" s="1" t="s">
        <v>9780</v>
      </c>
      <c r="G4276" s="1" t="s">
        <v>9781</v>
      </c>
      <c r="H4276" s="1" t="s">
        <v>45</v>
      </c>
      <c r="I4276" s="1" t="s">
        <v>45</v>
      </c>
      <c r="J4276" s="1" t="s">
        <v>48</v>
      </c>
      <c r="K4276" s="1">
        <v>4</v>
      </c>
      <c r="L4276" s="1">
        <v>0</v>
      </c>
      <c r="M4276" s="1">
        <v>0</v>
      </c>
      <c r="N4276" s="1">
        <v>4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 t="s">
        <v>49</v>
      </c>
      <c r="AA4276" s="1" t="s">
        <v>49</v>
      </c>
      <c r="AB4276" s="1" t="s">
        <v>49</v>
      </c>
      <c r="AC4276" s="1" t="s">
        <v>414</v>
      </c>
      <c r="AD4276" s="1" t="s">
        <v>4350</v>
      </c>
      <c r="AE4276" s="1" t="s">
        <v>414</v>
      </c>
      <c r="AF4276" s="1" t="s">
        <v>49</v>
      </c>
      <c r="AG4276" s="1" t="s">
        <v>9771</v>
      </c>
      <c r="AH4276" s="1" t="s">
        <v>49</v>
      </c>
      <c r="AI4276" s="1" t="s">
        <v>54</v>
      </c>
      <c r="AJ4276" s="1">
        <v>1</v>
      </c>
      <c r="AK4276" s="1" t="str">
        <f t="shared" si="67"/>
        <v xml:space="preserve"> =&lt;90</v>
      </c>
      <c r="AL4276" s="1" t="str">
        <f>VLOOKUP(C:C,[1]基础信息!B$1:D$65536,3,0)</f>
        <v xml:space="preserve">Cartridge </v>
      </c>
      <c r="AM4276" s="1" t="str">
        <f>VLOOKUP(C:C,[1]基础信息!B$1:E$65536,4,0)</f>
        <v>LE</v>
      </c>
      <c r="AN4276" s="1" t="str">
        <f>VLOOKUP(C:C,[1]基础信息!B$1:F$65536,5,0)</f>
        <v>P12</v>
      </c>
    </row>
    <row r="4277" spans="1:40">
      <c r="A4277" s="1" t="s">
        <v>41</v>
      </c>
      <c r="B4277" s="1" t="s">
        <v>42</v>
      </c>
      <c r="C4277" s="1" t="s">
        <v>8373</v>
      </c>
      <c r="D4277" s="1" t="s">
        <v>8374</v>
      </c>
      <c r="E4277" s="1" t="s">
        <v>45</v>
      </c>
      <c r="F4277" s="1" t="s">
        <v>9782</v>
      </c>
      <c r="G4277" s="1" t="s">
        <v>9783</v>
      </c>
      <c r="H4277" s="1" t="s">
        <v>45</v>
      </c>
      <c r="I4277" s="1" t="s">
        <v>45</v>
      </c>
      <c r="J4277" s="1" t="s">
        <v>48</v>
      </c>
      <c r="K4277" s="1">
        <v>3</v>
      </c>
      <c r="L4277" s="1">
        <v>0</v>
      </c>
      <c r="M4277" s="1">
        <v>0</v>
      </c>
      <c r="N4277" s="1">
        <v>3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 t="s">
        <v>49</v>
      </c>
      <c r="AA4277" s="1" t="s">
        <v>49</v>
      </c>
      <c r="AB4277" s="1" t="s">
        <v>49</v>
      </c>
      <c r="AC4277" s="1" t="s">
        <v>1188</v>
      </c>
      <c r="AD4277" s="1" t="s">
        <v>3975</v>
      </c>
      <c r="AE4277" s="1" t="s">
        <v>1188</v>
      </c>
      <c r="AF4277" s="1" t="s">
        <v>49</v>
      </c>
      <c r="AG4277" s="1" t="s">
        <v>9771</v>
      </c>
      <c r="AH4277" s="1" t="s">
        <v>49</v>
      </c>
      <c r="AI4277" s="1" t="s">
        <v>54</v>
      </c>
      <c r="AJ4277" s="1">
        <v>0</v>
      </c>
      <c r="AK4277" s="1" t="str">
        <f t="shared" si="67"/>
        <v xml:space="preserve"> =&lt;90</v>
      </c>
      <c r="AL4277" s="1" t="str">
        <f>VLOOKUP(C:C,[1]基础信息!B$1:D$65536,3,0)</f>
        <v>Hotcup</v>
      </c>
      <c r="AM4277" s="1" t="str">
        <f>VLOOKUP(C:C,[1]基础信息!B$1:E$65536,4,0)</f>
        <v>Hotcup</v>
      </c>
      <c r="AN4277" s="1" t="str">
        <f>VLOOKUP(C:C,[1]基础信息!B$1:F$65536,5,0)</f>
        <v>whi</v>
      </c>
    </row>
    <row r="4278" spans="1:40">
      <c r="A4278" s="1" t="s">
        <v>41</v>
      </c>
      <c r="B4278" s="1" t="s">
        <v>42</v>
      </c>
      <c r="C4278" s="1" t="s">
        <v>8373</v>
      </c>
      <c r="D4278" s="1" t="s">
        <v>8374</v>
      </c>
      <c r="E4278" s="1" t="s">
        <v>45</v>
      </c>
      <c r="F4278" s="1" t="s">
        <v>9784</v>
      </c>
      <c r="G4278" s="1" t="s">
        <v>9783</v>
      </c>
      <c r="H4278" s="1" t="s">
        <v>45</v>
      </c>
      <c r="I4278" s="1" t="s">
        <v>45</v>
      </c>
      <c r="J4278" s="1" t="s">
        <v>48</v>
      </c>
      <c r="K4278" s="1">
        <v>4</v>
      </c>
      <c r="L4278" s="1">
        <v>0</v>
      </c>
      <c r="M4278" s="1">
        <v>0</v>
      </c>
      <c r="N4278" s="1">
        <v>4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 t="s">
        <v>49</v>
      </c>
      <c r="AA4278" s="1" t="s">
        <v>49</v>
      </c>
      <c r="AB4278" s="1" t="s">
        <v>49</v>
      </c>
      <c r="AC4278" s="1" t="s">
        <v>414</v>
      </c>
      <c r="AD4278" s="1" t="s">
        <v>4350</v>
      </c>
      <c r="AE4278" s="1" t="s">
        <v>414</v>
      </c>
      <c r="AF4278" s="1" t="s">
        <v>49</v>
      </c>
      <c r="AG4278" s="1" t="s">
        <v>9771</v>
      </c>
      <c r="AH4278" s="1" t="s">
        <v>49</v>
      </c>
      <c r="AI4278" s="1" t="s">
        <v>54</v>
      </c>
      <c r="AJ4278" s="1">
        <v>1</v>
      </c>
      <c r="AK4278" s="1" t="str">
        <f t="shared" si="67"/>
        <v xml:space="preserve"> =&lt;90</v>
      </c>
      <c r="AL4278" s="1" t="str">
        <f>VLOOKUP(C:C,[1]基础信息!B$1:D$65536,3,0)</f>
        <v>Hotcup</v>
      </c>
      <c r="AM4278" s="1" t="str">
        <f>VLOOKUP(C:C,[1]基础信息!B$1:E$65536,4,0)</f>
        <v>Hotcup</v>
      </c>
      <c r="AN4278" s="1" t="str">
        <f>VLOOKUP(C:C,[1]基础信息!B$1:F$65536,5,0)</f>
        <v>whi</v>
      </c>
    </row>
    <row r="4279" spans="1:40">
      <c r="A4279" s="1" t="s">
        <v>41</v>
      </c>
      <c r="B4279" s="1" t="s">
        <v>42</v>
      </c>
      <c r="C4279" s="1" t="s">
        <v>8676</v>
      </c>
      <c r="D4279" s="1" t="s">
        <v>8677</v>
      </c>
      <c r="E4279" s="1" t="s">
        <v>45</v>
      </c>
      <c r="F4279" s="1" t="s">
        <v>9785</v>
      </c>
      <c r="G4279" s="1" t="s">
        <v>9786</v>
      </c>
      <c r="H4279" s="1" t="s">
        <v>45</v>
      </c>
      <c r="I4279" s="1" t="s">
        <v>45</v>
      </c>
      <c r="J4279" s="1" t="s">
        <v>48</v>
      </c>
      <c r="K4279" s="1">
        <v>27</v>
      </c>
      <c r="L4279" s="1">
        <v>0</v>
      </c>
      <c r="M4279" s="1">
        <v>0</v>
      </c>
      <c r="N4279" s="1">
        <v>27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 t="s">
        <v>49</v>
      </c>
      <c r="AA4279" s="1" t="s">
        <v>49</v>
      </c>
      <c r="AB4279" s="1" t="s">
        <v>49</v>
      </c>
      <c r="AC4279" s="1" t="s">
        <v>414</v>
      </c>
      <c r="AD4279" s="1" t="s">
        <v>4350</v>
      </c>
      <c r="AE4279" s="1" t="s">
        <v>414</v>
      </c>
      <c r="AF4279" s="1" t="s">
        <v>49</v>
      </c>
      <c r="AG4279" s="1" t="s">
        <v>9771</v>
      </c>
      <c r="AH4279" s="1" t="s">
        <v>49</v>
      </c>
      <c r="AI4279" s="1" t="s">
        <v>54</v>
      </c>
      <c r="AJ4279" s="1">
        <v>1</v>
      </c>
      <c r="AK4279" s="1" t="str">
        <f t="shared" si="67"/>
        <v xml:space="preserve"> =&lt;90</v>
      </c>
      <c r="AL4279" s="1" t="str">
        <f>VLOOKUP(C:C,[1]基础信息!B$1:D$65536,3,0)</f>
        <v>Jug</v>
      </c>
      <c r="AM4279" s="1" t="str">
        <f>VLOOKUP(C:C,[1]基础信息!B$1:E$65536,4,0)</f>
        <v>Marella XL</v>
      </c>
      <c r="AN4279" s="1" t="str">
        <f>VLOOKUP(C:C,[1]基础信息!B$1:F$65536,5,0)</f>
        <v xml:space="preserve"> silver</v>
      </c>
    </row>
    <row r="4280" spans="1:40">
      <c r="A4280" s="1" t="s">
        <v>41</v>
      </c>
      <c r="B4280" s="1" t="s">
        <v>42</v>
      </c>
      <c r="C4280" s="1" t="s">
        <v>451</v>
      </c>
      <c r="D4280" s="1" t="s">
        <v>452</v>
      </c>
      <c r="E4280" s="1" t="s">
        <v>45</v>
      </c>
      <c r="F4280" s="1" t="s">
        <v>9787</v>
      </c>
      <c r="G4280" s="1" t="s">
        <v>9788</v>
      </c>
      <c r="H4280" s="1" t="s">
        <v>45</v>
      </c>
      <c r="I4280" s="1" t="s">
        <v>45</v>
      </c>
      <c r="J4280" s="1" t="s">
        <v>48</v>
      </c>
      <c r="K4280" s="1">
        <v>4</v>
      </c>
      <c r="L4280" s="1">
        <v>0</v>
      </c>
      <c r="M4280" s="1">
        <v>0</v>
      </c>
      <c r="N4280" s="1">
        <v>4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 t="s">
        <v>49</v>
      </c>
      <c r="AA4280" s="1" t="s">
        <v>49</v>
      </c>
      <c r="AB4280" s="1" t="s">
        <v>49</v>
      </c>
      <c r="AC4280" s="1" t="s">
        <v>1441</v>
      </c>
      <c r="AD4280" s="1" t="s">
        <v>1442</v>
      </c>
      <c r="AE4280" s="1" t="s">
        <v>1441</v>
      </c>
      <c r="AF4280" s="1" t="s">
        <v>49</v>
      </c>
      <c r="AG4280" s="1" t="s">
        <v>53</v>
      </c>
      <c r="AH4280" s="1" t="s">
        <v>49</v>
      </c>
      <c r="AI4280" s="1" t="s">
        <v>54</v>
      </c>
      <c r="AJ4280" s="1">
        <v>1</v>
      </c>
      <c r="AK4280" s="1" t="str">
        <f t="shared" si="67"/>
        <v xml:space="preserve"> =&lt;90</v>
      </c>
      <c r="AL4280" s="1" t="str">
        <f>VLOOKUP(C:C,[1]基础信息!B$1:D$65536,3,0)</f>
        <v>UTS</v>
      </c>
      <c r="AM4280" s="1" t="str">
        <f>VLOOKUP(C:C,[1]基础信息!B$1:E$65536,4,0)</f>
        <v>MyPure</v>
      </c>
      <c r="AN4280" s="1" t="str">
        <f>VLOOKUP(C:C,[1]基础信息!B$1:F$65536,5,0)</f>
        <v>R8</v>
      </c>
    </row>
    <row r="4281" spans="1:40">
      <c r="A4281" s="1" t="s">
        <v>41</v>
      </c>
      <c r="B4281" s="1" t="s">
        <v>42</v>
      </c>
      <c r="C4281" s="1" t="s">
        <v>9778</v>
      </c>
      <c r="D4281" s="1" t="s">
        <v>9779</v>
      </c>
      <c r="E4281" s="1" t="s">
        <v>45</v>
      </c>
      <c r="F4281" s="1" t="s">
        <v>9789</v>
      </c>
      <c r="G4281" s="1" t="s">
        <v>9790</v>
      </c>
      <c r="H4281" s="1" t="s">
        <v>45</v>
      </c>
      <c r="I4281" s="1" t="s">
        <v>45</v>
      </c>
      <c r="J4281" s="1" t="s">
        <v>48</v>
      </c>
      <c r="K4281" s="1">
        <v>80</v>
      </c>
      <c r="L4281" s="1">
        <v>0</v>
      </c>
      <c r="M4281" s="1">
        <v>0</v>
      </c>
      <c r="N4281" s="1">
        <v>80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 t="s">
        <v>49</v>
      </c>
      <c r="AA4281" s="1" t="s">
        <v>49</v>
      </c>
      <c r="AB4281" s="1" t="s">
        <v>49</v>
      </c>
      <c r="AC4281" s="1" t="s">
        <v>3462</v>
      </c>
      <c r="AD4281" s="1" t="s">
        <v>3463</v>
      </c>
      <c r="AE4281" s="1" t="s">
        <v>3462</v>
      </c>
      <c r="AF4281" s="1" t="s">
        <v>49</v>
      </c>
      <c r="AG4281" s="1" t="s">
        <v>53</v>
      </c>
      <c r="AH4281" s="1" t="s">
        <v>49</v>
      </c>
      <c r="AI4281" s="1" t="s">
        <v>54</v>
      </c>
      <c r="AJ4281" s="1">
        <v>1</v>
      </c>
      <c r="AK4281" s="1" t="str">
        <f t="shared" si="67"/>
        <v xml:space="preserve"> =&lt;90</v>
      </c>
      <c r="AL4281" s="1" t="str">
        <f>VLOOKUP(C:C,[1]基础信息!B$1:D$65536,3,0)</f>
        <v xml:space="preserve">Cartridge </v>
      </c>
      <c r="AM4281" s="1" t="str">
        <f>VLOOKUP(C:C,[1]基础信息!B$1:E$65536,4,0)</f>
        <v>LE</v>
      </c>
      <c r="AN4281" s="1" t="str">
        <f>VLOOKUP(C:C,[1]基础信息!B$1:F$65536,5,0)</f>
        <v>P12</v>
      </c>
    </row>
    <row r="4282" spans="1:40">
      <c r="A4282" s="1" t="s">
        <v>41</v>
      </c>
      <c r="B4282" s="1" t="s">
        <v>42</v>
      </c>
      <c r="C4282" s="1" t="s">
        <v>8676</v>
      </c>
      <c r="D4282" s="1" t="s">
        <v>8677</v>
      </c>
      <c r="E4282" s="1" t="s">
        <v>45</v>
      </c>
      <c r="F4282" s="1" t="s">
        <v>9791</v>
      </c>
      <c r="G4282" s="1" t="s">
        <v>9792</v>
      </c>
      <c r="H4282" s="1" t="s">
        <v>45</v>
      </c>
      <c r="I4282" s="1" t="s">
        <v>45</v>
      </c>
      <c r="J4282" s="1" t="s">
        <v>48</v>
      </c>
      <c r="K4282" s="1">
        <v>80</v>
      </c>
      <c r="L4282" s="1">
        <v>0</v>
      </c>
      <c r="M4282" s="1">
        <v>0</v>
      </c>
      <c r="N4282" s="1">
        <v>80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 t="s">
        <v>49</v>
      </c>
      <c r="AA4282" s="1" t="s">
        <v>49</v>
      </c>
      <c r="AB4282" s="1" t="s">
        <v>49</v>
      </c>
      <c r="AC4282" s="1" t="s">
        <v>416</v>
      </c>
      <c r="AD4282" s="1" t="s">
        <v>8161</v>
      </c>
      <c r="AE4282" s="1" t="s">
        <v>416</v>
      </c>
      <c r="AF4282" s="1" t="s">
        <v>49</v>
      </c>
      <c r="AG4282" s="1" t="s">
        <v>53</v>
      </c>
      <c r="AH4282" s="1" t="s">
        <v>49</v>
      </c>
      <c r="AI4282" s="1" t="s">
        <v>54</v>
      </c>
      <c r="AJ4282" s="1">
        <v>1</v>
      </c>
      <c r="AK4282" s="1" t="str">
        <f t="shared" si="67"/>
        <v xml:space="preserve"> =&lt;90</v>
      </c>
      <c r="AL4282" s="1" t="str">
        <f>VLOOKUP(C:C,[1]基础信息!B$1:D$65536,3,0)</f>
        <v>Jug</v>
      </c>
      <c r="AM4282" s="1" t="str">
        <f>VLOOKUP(C:C,[1]基础信息!B$1:E$65536,4,0)</f>
        <v>Marella XL</v>
      </c>
      <c r="AN4282" s="1" t="str">
        <f>VLOOKUP(C:C,[1]基础信息!B$1:F$65536,5,0)</f>
        <v xml:space="preserve"> silver</v>
      </c>
    </row>
    <row r="4283" spans="1:40">
      <c r="A4283" s="1" t="s">
        <v>41</v>
      </c>
      <c r="B4283" s="1" t="s">
        <v>42</v>
      </c>
      <c r="C4283" s="1" t="s">
        <v>8676</v>
      </c>
      <c r="D4283" s="1" t="s">
        <v>8677</v>
      </c>
      <c r="E4283" s="1" t="s">
        <v>45</v>
      </c>
      <c r="F4283" s="1" t="s">
        <v>9793</v>
      </c>
      <c r="G4283" s="1" t="s">
        <v>9794</v>
      </c>
      <c r="H4283" s="1" t="s">
        <v>45</v>
      </c>
      <c r="I4283" s="1" t="s">
        <v>45</v>
      </c>
      <c r="J4283" s="1" t="s">
        <v>48</v>
      </c>
      <c r="K4283" s="1">
        <v>80</v>
      </c>
      <c r="L4283" s="1">
        <v>0</v>
      </c>
      <c r="M4283" s="1">
        <v>0</v>
      </c>
      <c r="N4283" s="1">
        <v>80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 t="s">
        <v>49</v>
      </c>
      <c r="AA4283" s="1" t="s">
        <v>49</v>
      </c>
      <c r="AB4283" s="1" t="s">
        <v>49</v>
      </c>
      <c r="AC4283" s="1" t="s">
        <v>3719</v>
      </c>
      <c r="AD4283" s="1" t="s">
        <v>3720</v>
      </c>
      <c r="AE4283" s="1" t="s">
        <v>3719</v>
      </c>
      <c r="AF4283" s="1" t="s">
        <v>49</v>
      </c>
      <c r="AG4283" s="1" t="s">
        <v>53</v>
      </c>
      <c r="AH4283" s="1" t="s">
        <v>49</v>
      </c>
      <c r="AI4283" s="1" t="s">
        <v>54</v>
      </c>
      <c r="AJ4283" s="1">
        <v>1</v>
      </c>
      <c r="AK4283" s="1" t="str">
        <f t="shared" si="67"/>
        <v xml:space="preserve"> =&lt;90</v>
      </c>
      <c r="AL4283" s="1" t="str">
        <f>VLOOKUP(C:C,[1]基础信息!B$1:D$65536,3,0)</f>
        <v>Jug</v>
      </c>
      <c r="AM4283" s="1" t="str">
        <f>VLOOKUP(C:C,[1]基础信息!B$1:E$65536,4,0)</f>
        <v>Marella XL</v>
      </c>
      <c r="AN4283" s="1" t="str">
        <f>VLOOKUP(C:C,[1]基础信息!B$1:F$65536,5,0)</f>
        <v xml:space="preserve"> silver</v>
      </c>
    </row>
    <row r="4284" spans="1:40">
      <c r="A4284" s="1" t="s">
        <v>41</v>
      </c>
      <c r="B4284" s="1" t="s">
        <v>42</v>
      </c>
      <c r="C4284" s="1" t="s">
        <v>8676</v>
      </c>
      <c r="D4284" s="1" t="s">
        <v>8677</v>
      </c>
      <c r="E4284" s="1" t="s">
        <v>45</v>
      </c>
      <c r="F4284" s="1" t="s">
        <v>9795</v>
      </c>
      <c r="G4284" s="1" t="s">
        <v>9796</v>
      </c>
      <c r="H4284" s="1" t="s">
        <v>45</v>
      </c>
      <c r="I4284" s="1" t="s">
        <v>45</v>
      </c>
      <c r="J4284" s="1" t="s">
        <v>48</v>
      </c>
      <c r="K4284" s="1">
        <v>80</v>
      </c>
      <c r="L4284" s="1">
        <v>0</v>
      </c>
      <c r="M4284" s="1">
        <v>0</v>
      </c>
      <c r="N4284" s="1">
        <v>80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 t="s">
        <v>49</v>
      </c>
      <c r="AA4284" s="1" t="s">
        <v>49</v>
      </c>
      <c r="AB4284" s="1" t="s">
        <v>49</v>
      </c>
      <c r="AC4284" s="1" t="s">
        <v>5288</v>
      </c>
      <c r="AD4284" s="1" t="s">
        <v>5289</v>
      </c>
      <c r="AE4284" s="1" t="s">
        <v>5288</v>
      </c>
      <c r="AF4284" s="1" t="s">
        <v>49</v>
      </c>
      <c r="AG4284" s="1" t="s">
        <v>53</v>
      </c>
      <c r="AH4284" s="1" t="s">
        <v>49</v>
      </c>
      <c r="AI4284" s="1" t="s">
        <v>54</v>
      </c>
      <c r="AJ4284" s="1">
        <v>1</v>
      </c>
      <c r="AK4284" s="1" t="str">
        <f t="shared" si="67"/>
        <v xml:space="preserve"> =&lt;90</v>
      </c>
      <c r="AL4284" s="1" t="str">
        <f>VLOOKUP(C:C,[1]基础信息!B$1:D$65536,3,0)</f>
        <v>Jug</v>
      </c>
      <c r="AM4284" s="1" t="str">
        <f>VLOOKUP(C:C,[1]基础信息!B$1:E$65536,4,0)</f>
        <v>Marella XL</v>
      </c>
      <c r="AN4284" s="1" t="str">
        <f>VLOOKUP(C:C,[1]基础信息!B$1:F$65536,5,0)</f>
        <v xml:space="preserve"> silver</v>
      </c>
    </row>
    <row r="4285" spans="1:40">
      <c r="A4285" s="1" t="s">
        <v>41</v>
      </c>
      <c r="B4285" s="1" t="s">
        <v>42</v>
      </c>
      <c r="C4285" s="1" t="s">
        <v>1004</v>
      </c>
      <c r="D4285" s="1" t="s">
        <v>1005</v>
      </c>
      <c r="E4285" s="1" t="s">
        <v>1004</v>
      </c>
      <c r="F4285" s="1" t="s">
        <v>9797</v>
      </c>
      <c r="G4285" s="1" t="s">
        <v>9798</v>
      </c>
      <c r="H4285" s="1" t="s">
        <v>45</v>
      </c>
      <c r="I4285" s="1" t="s">
        <v>49</v>
      </c>
      <c r="J4285" s="1" t="s">
        <v>48</v>
      </c>
      <c r="K4285" s="1">
        <v>5</v>
      </c>
      <c r="L4285" s="1">
        <v>0</v>
      </c>
      <c r="M4285" s="1">
        <v>0</v>
      </c>
      <c r="N4285" s="1">
        <v>5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 t="s">
        <v>49</v>
      </c>
      <c r="AA4285" s="1" t="s">
        <v>49</v>
      </c>
      <c r="AB4285" s="1" t="s">
        <v>49</v>
      </c>
      <c r="AC4285" s="1" t="s">
        <v>9799</v>
      </c>
      <c r="AD4285" s="1" t="s">
        <v>9800</v>
      </c>
      <c r="AE4285" s="1" t="s">
        <v>9799</v>
      </c>
      <c r="AF4285" s="1" t="s">
        <v>9801</v>
      </c>
      <c r="AG4285" s="1" t="s">
        <v>53</v>
      </c>
      <c r="AH4285" s="1" t="s">
        <v>49</v>
      </c>
      <c r="AI4285" s="1" t="s">
        <v>54</v>
      </c>
      <c r="AJ4285" s="1">
        <v>0</v>
      </c>
      <c r="AK4285" s="1" t="str">
        <f t="shared" si="67"/>
        <v xml:space="preserve"> =&lt;90</v>
      </c>
      <c r="AL4285" s="1" t="str">
        <f>VLOOKUP(C:C,[1]基础信息!B$1:D$65536,3,0)</f>
        <v>UTS</v>
      </c>
      <c r="AM4285" s="1" t="str">
        <f>VLOOKUP(C:C,[1]基础信息!B$1:E$65536,4,0)</f>
        <v>MyPure</v>
      </c>
      <c r="AN4285" s="1" t="str">
        <f>VLOOKUP(C:C,[1]基础信息!B$1:F$65536,5,0)</f>
        <v>U5</v>
      </c>
    </row>
    <row r="4286" spans="1:40">
      <c r="A4286" s="1" t="s">
        <v>41</v>
      </c>
      <c r="B4286" s="1" t="s">
        <v>42</v>
      </c>
      <c r="C4286" s="1" t="s">
        <v>1004</v>
      </c>
      <c r="D4286" s="1" t="s">
        <v>1005</v>
      </c>
      <c r="E4286" s="1" t="s">
        <v>1004</v>
      </c>
      <c r="F4286" s="1" t="s">
        <v>1006</v>
      </c>
      <c r="G4286" s="1" t="s">
        <v>9798</v>
      </c>
      <c r="H4286" s="1" t="s">
        <v>45</v>
      </c>
      <c r="I4286" s="1" t="s">
        <v>45</v>
      </c>
      <c r="J4286" s="1" t="s">
        <v>48</v>
      </c>
      <c r="K4286" s="1">
        <v>4</v>
      </c>
      <c r="L4286" s="1">
        <v>0</v>
      </c>
      <c r="M4286" s="1">
        <v>0</v>
      </c>
      <c r="N4286" s="1">
        <v>4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 t="s">
        <v>49</v>
      </c>
      <c r="AA4286" s="1" t="s">
        <v>49</v>
      </c>
      <c r="AB4286" s="1" t="s">
        <v>49</v>
      </c>
      <c r="AC4286" s="1" t="s">
        <v>1008</v>
      </c>
      <c r="AD4286" s="1" t="s">
        <v>1009</v>
      </c>
      <c r="AE4286" s="1" t="s">
        <v>1008</v>
      </c>
      <c r="AF4286" s="1" t="s">
        <v>49</v>
      </c>
      <c r="AG4286" s="1" t="s">
        <v>53</v>
      </c>
      <c r="AH4286" s="1" t="s">
        <v>49</v>
      </c>
      <c r="AI4286" s="1" t="s">
        <v>54</v>
      </c>
      <c r="AJ4286" s="1">
        <v>1</v>
      </c>
      <c r="AK4286" s="1" t="str">
        <f t="shared" si="67"/>
        <v xml:space="preserve"> =&lt;90</v>
      </c>
      <c r="AL4286" s="1" t="str">
        <f>VLOOKUP(C:C,[1]基础信息!B$1:D$65536,3,0)</f>
        <v>UTS</v>
      </c>
      <c r="AM4286" s="1" t="str">
        <f>VLOOKUP(C:C,[1]基础信息!B$1:E$65536,4,0)</f>
        <v>MyPure</v>
      </c>
      <c r="AN4286" s="1" t="str">
        <f>VLOOKUP(C:C,[1]基础信息!B$1:F$65536,5,0)</f>
        <v>U5</v>
      </c>
    </row>
    <row r="4287" spans="1:40">
      <c r="A4287" s="1" t="s">
        <v>41</v>
      </c>
      <c r="B4287" s="1" t="s">
        <v>42</v>
      </c>
      <c r="C4287" s="1" t="s">
        <v>9778</v>
      </c>
      <c r="D4287" s="1" t="s">
        <v>9779</v>
      </c>
      <c r="E4287" s="1" t="s">
        <v>45</v>
      </c>
      <c r="F4287" s="1" t="s">
        <v>9789</v>
      </c>
      <c r="G4287" s="1" t="s">
        <v>9802</v>
      </c>
      <c r="H4287" s="1" t="s">
        <v>45</v>
      </c>
      <c r="I4287" s="1" t="s">
        <v>45</v>
      </c>
      <c r="J4287" s="1" t="s">
        <v>48</v>
      </c>
      <c r="K4287" s="1">
        <v>80</v>
      </c>
      <c r="L4287" s="1">
        <v>0</v>
      </c>
      <c r="M4287" s="1">
        <v>0</v>
      </c>
      <c r="N4287" s="1">
        <v>80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 t="s">
        <v>49</v>
      </c>
      <c r="AA4287" s="1" t="s">
        <v>49</v>
      </c>
      <c r="AB4287" s="1" t="s">
        <v>49</v>
      </c>
      <c r="AC4287" s="1" t="s">
        <v>3462</v>
      </c>
      <c r="AD4287" s="1" t="s">
        <v>3463</v>
      </c>
      <c r="AE4287" s="1" t="s">
        <v>3462</v>
      </c>
      <c r="AF4287" s="1" t="s">
        <v>49</v>
      </c>
      <c r="AG4287" s="1" t="s">
        <v>53</v>
      </c>
      <c r="AH4287" s="1" t="s">
        <v>49</v>
      </c>
      <c r="AI4287" s="1" t="s">
        <v>54</v>
      </c>
      <c r="AJ4287" s="1">
        <v>1</v>
      </c>
      <c r="AK4287" s="1" t="str">
        <f t="shared" si="67"/>
        <v xml:space="preserve"> =&lt;90</v>
      </c>
      <c r="AL4287" s="1" t="str">
        <f>VLOOKUP(C:C,[1]基础信息!B$1:D$65536,3,0)</f>
        <v xml:space="preserve">Cartridge </v>
      </c>
      <c r="AM4287" s="1" t="str">
        <f>VLOOKUP(C:C,[1]基础信息!B$1:E$65536,4,0)</f>
        <v>LE</v>
      </c>
      <c r="AN4287" s="1" t="str">
        <f>VLOOKUP(C:C,[1]基础信息!B$1:F$65536,5,0)</f>
        <v>P12</v>
      </c>
    </row>
    <row r="4288" spans="1:40">
      <c r="A4288" s="1" t="s">
        <v>41</v>
      </c>
      <c r="B4288" s="1" t="s">
        <v>42</v>
      </c>
      <c r="C4288" s="1" t="s">
        <v>8676</v>
      </c>
      <c r="D4288" s="1" t="s">
        <v>8677</v>
      </c>
      <c r="E4288" s="1" t="s">
        <v>45</v>
      </c>
      <c r="F4288" s="1" t="s">
        <v>9793</v>
      </c>
      <c r="G4288" s="1" t="s">
        <v>9803</v>
      </c>
      <c r="H4288" s="1" t="s">
        <v>45</v>
      </c>
      <c r="I4288" s="1" t="s">
        <v>45</v>
      </c>
      <c r="J4288" s="1" t="s">
        <v>48</v>
      </c>
      <c r="K4288" s="1">
        <v>80</v>
      </c>
      <c r="L4288" s="1">
        <v>0</v>
      </c>
      <c r="M4288" s="1">
        <v>0</v>
      </c>
      <c r="N4288" s="1">
        <v>80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 t="s">
        <v>49</v>
      </c>
      <c r="AA4288" s="1" t="s">
        <v>49</v>
      </c>
      <c r="AB4288" s="1" t="s">
        <v>49</v>
      </c>
      <c r="AC4288" s="1" t="s">
        <v>3719</v>
      </c>
      <c r="AD4288" s="1" t="s">
        <v>3720</v>
      </c>
      <c r="AE4288" s="1" t="s">
        <v>3719</v>
      </c>
      <c r="AF4288" s="1" t="s">
        <v>49</v>
      </c>
      <c r="AG4288" s="1" t="s">
        <v>53</v>
      </c>
      <c r="AH4288" s="1" t="s">
        <v>49</v>
      </c>
      <c r="AI4288" s="1" t="s">
        <v>54</v>
      </c>
      <c r="AJ4288" s="1">
        <v>1</v>
      </c>
      <c r="AK4288" s="1" t="str">
        <f t="shared" si="67"/>
        <v xml:space="preserve"> =&lt;90</v>
      </c>
      <c r="AL4288" s="1" t="str">
        <f>VLOOKUP(C:C,[1]基础信息!B$1:D$65536,3,0)</f>
        <v>Jug</v>
      </c>
      <c r="AM4288" s="1" t="str">
        <f>VLOOKUP(C:C,[1]基础信息!B$1:E$65536,4,0)</f>
        <v>Marella XL</v>
      </c>
      <c r="AN4288" s="1" t="str">
        <f>VLOOKUP(C:C,[1]基础信息!B$1:F$65536,5,0)</f>
        <v xml:space="preserve"> silver</v>
      </c>
    </row>
    <row r="4289" spans="1:40">
      <c r="A4289" s="1" t="s">
        <v>41</v>
      </c>
      <c r="B4289" s="1" t="s">
        <v>42</v>
      </c>
      <c r="C4289" s="1" t="s">
        <v>8676</v>
      </c>
      <c r="D4289" s="1" t="s">
        <v>8677</v>
      </c>
      <c r="E4289" s="1" t="s">
        <v>45</v>
      </c>
      <c r="F4289" s="1" t="s">
        <v>9793</v>
      </c>
      <c r="G4289" s="1" t="s">
        <v>9804</v>
      </c>
      <c r="H4289" s="1" t="s">
        <v>45</v>
      </c>
      <c r="I4289" s="1" t="s">
        <v>45</v>
      </c>
      <c r="J4289" s="1" t="s">
        <v>48</v>
      </c>
      <c r="K4289" s="1">
        <v>80</v>
      </c>
      <c r="L4289" s="1">
        <v>0</v>
      </c>
      <c r="M4289" s="1">
        <v>0</v>
      </c>
      <c r="N4289" s="1">
        <v>80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 t="s">
        <v>49</v>
      </c>
      <c r="AA4289" s="1" t="s">
        <v>49</v>
      </c>
      <c r="AB4289" s="1" t="s">
        <v>49</v>
      </c>
      <c r="AC4289" s="1" t="s">
        <v>3719</v>
      </c>
      <c r="AD4289" s="1" t="s">
        <v>3720</v>
      </c>
      <c r="AE4289" s="1" t="s">
        <v>3719</v>
      </c>
      <c r="AF4289" s="1" t="s">
        <v>49</v>
      </c>
      <c r="AG4289" s="1" t="s">
        <v>53</v>
      </c>
      <c r="AH4289" s="1" t="s">
        <v>49</v>
      </c>
      <c r="AI4289" s="1" t="s">
        <v>54</v>
      </c>
      <c r="AJ4289" s="1">
        <v>1</v>
      </c>
      <c r="AK4289" s="1" t="str">
        <f t="shared" si="67"/>
        <v xml:space="preserve"> =&lt;90</v>
      </c>
      <c r="AL4289" s="1" t="str">
        <f>VLOOKUP(C:C,[1]基础信息!B$1:D$65536,3,0)</f>
        <v>Jug</v>
      </c>
      <c r="AM4289" s="1" t="str">
        <f>VLOOKUP(C:C,[1]基础信息!B$1:E$65536,4,0)</f>
        <v>Marella XL</v>
      </c>
      <c r="AN4289" s="1" t="str">
        <f>VLOOKUP(C:C,[1]基础信息!B$1:F$65536,5,0)</f>
        <v xml:space="preserve"> silver</v>
      </c>
    </row>
    <row r="4290" spans="1:40">
      <c r="A4290" s="1" t="s">
        <v>41</v>
      </c>
      <c r="B4290" s="1" t="s">
        <v>42</v>
      </c>
      <c r="C4290" s="1" t="s">
        <v>8676</v>
      </c>
      <c r="D4290" s="1" t="s">
        <v>8677</v>
      </c>
      <c r="E4290" s="1" t="s">
        <v>45</v>
      </c>
      <c r="F4290" s="1" t="s">
        <v>9795</v>
      </c>
      <c r="G4290" s="1" t="s">
        <v>9805</v>
      </c>
      <c r="H4290" s="1" t="s">
        <v>45</v>
      </c>
      <c r="I4290" s="1" t="s">
        <v>45</v>
      </c>
      <c r="J4290" s="1" t="s">
        <v>48</v>
      </c>
      <c r="K4290" s="1">
        <v>80</v>
      </c>
      <c r="L4290" s="1">
        <v>0</v>
      </c>
      <c r="M4290" s="1">
        <v>0</v>
      </c>
      <c r="N4290" s="1">
        <v>80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 t="s">
        <v>49</v>
      </c>
      <c r="AA4290" s="1" t="s">
        <v>49</v>
      </c>
      <c r="AB4290" s="1" t="s">
        <v>49</v>
      </c>
      <c r="AC4290" s="1" t="s">
        <v>5288</v>
      </c>
      <c r="AD4290" s="1" t="s">
        <v>5289</v>
      </c>
      <c r="AE4290" s="1" t="s">
        <v>5288</v>
      </c>
      <c r="AF4290" s="1" t="s">
        <v>49</v>
      </c>
      <c r="AG4290" s="1" t="s">
        <v>53</v>
      </c>
      <c r="AH4290" s="1" t="s">
        <v>49</v>
      </c>
      <c r="AI4290" s="1" t="s">
        <v>54</v>
      </c>
      <c r="AJ4290" s="1">
        <v>1</v>
      </c>
      <c r="AK4290" s="1" t="str">
        <f t="shared" si="67"/>
        <v xml:space="preserve"> =&lt;90</v>
      </c>
      <c r="AL4290" s="1" t="str">
        <f>VLOOKUP(C:C,[1]基础信息!B$1:D$65536,3,0)</f>
        <v>Jug</v>
      </c>
      <c r="AM4290" s="1" t="str">
        <f>VLOOKUP(C:C,[1]基础信息!B$1:E$65536,4,0)</f>
        <v>Marella XL</v>
      </c>
      <c r="AN4290" s="1" t="str">
        <f>VLOOKUP(C:C,[1]基础信息!B$1:F$65536,5,0)</f>
        <v xml:space="preserve"> silver</v>
      </c>
    </row>
    <row r="4291" spans="1:40">
      <c r="A4291" s="1" t="s">
        <v>41</v>
      </c>
      <c r="B4291" s="1" t="s">
        <v>42</v>
      </c>
      <c r="C4291" s="1" t="s">
        <v>1366</v>
      </c>
      <c r="D4291" s="1" t="s">
        <v>1367</v>
      </c>
      <c r="E4291" s="1" t="s">
        <v>45</v>
      </c>
      <c r="F4291" s="1" t="s">
        <v>9806</v>
      </c>
      <c r="G4291" s="1" t="s">
        <v>9807</v>
      </c>
      <c r="H4291" s="1" t="s">
        <v>45</v>
      </c>
      <c r="I4291" s="1" t="s">
        <v>49</v>
      </c>
      <c r="J4291" s="1" t="s">
        <v>48</v>
      </c>
      <c r="K4291" s="1">
        <v>7</v>
      </c>
      <c r="L4291" s="1">
        <v>0</v>
      </c>
      <c r="M4291" s="1">
        <v>0</v>
      </c>
      <c r="N4291" s="1">
        <v>7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 t="s">
        <v>49</v>
      </c>
      <c r="AA4291" s="1" t="s">
        <v>49</v>
      </c>
      <c r="AB4291" s="1" t="s">
        <v>49</v>
      </c>
      <c r="AC4291" s="1" t="s">
        <v>7542</v>
      </c>
      <c r="AD4291" s="1" t="s">
        <v>7650</v>
      </c>
      <c r="AE4291" s="1" t="s">
        <v>7542</v>
      </c>
      <c r="AF4291" s="1" t="s">
        <v>7672</v>
      </c>
      <c r="AG4291" s="1" t="s">
        <v>53</v>
      </c>
      <c r="AH4291" s="1" t="s">
        <v>49</v>
      </c>
      <c r="AI4291" s="1" t="s">
        <v>54</v>
      </c>
      <c r="AJ4291" s="1">
        <v>1</v>
      </c>
      <c r="AK4291" s="1" t="str">
        <f t="shared" si="67"/>
        <v xml:space="preserve"> =&lt;90</v>
      </c>
      <c r="AL4291" s="1" t="str">
        <f>VLOOKUP(C:C,[1]基础信息!B$1:D$65536,3,0)</f>
        <v>UTS</v>
      </c>
      <c r="AM4291" s="1" t="str">
        <f>VLOOKUP(C:C,[1]基础信息!B$1:E$65536,4,0)</f>
        <v>MyPure</v>
      </c>
      <c r="AN4291" s="1" t="str">
        <f>VLOOKUP(C:C,[1]基础信息!B$1:F$65536,5,0)</f>
        <v>Refill</v>
      </c>
    </row>
    <row r="4292" spans="1:40">
      <c r="A4292" s="1" t="s">
        <v>41</v>
      </c>
      <c r="B4292" s="1" t="s">
        <v>42</v>
      </c>
      <c r="C4292" s="1" t="s">
        <v>4253</v>
      </c>
      <c r="D4292" s="1" t="s">
        <v>4254</v>
      </c>
      <c r="E4292" s="1" t="s">
        <v>45</v>
      </c>
      <c r="F4292" s="1" t="s">
        <v>9808</v>
      </c>
      <c r="G4292" s="1" t="s">
        <v>9809</v>
      </c>
      <c r="H4292" s="1" t="s">
        <v>45</v>
      </c>
      <c r="I4292" s="1" t="s">
        <v>45</v>
      </c>
      <c r="J4292" s="1" t="s">
        <v>48</v>
      </c>
      <c r="K4292" s="1">
        <v>110</v>
      </c>
      <c r="L4292" s="1">
        <v>0</v>
      </c>
      <c r="M4292" s="1">
        <v>0</v>
      </c>
      <c r="N4292" s="1">
        <v>110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 t="s">
        <v>49</v>
      </c>
      <c r="AA4292" s="1" t="s">
        <v>49</v>
      </c>
      <c r="AB4292" s="1" t="s">
        <v>49</v>
      </c>
      <c r="AC4292" s="1" t="s">
        <v>3264</v>
      </c>
      <c r="AD4292" s="1" t="s">
        <v>3265</v>
      </c>
      <c r="AE4292" s="1" t="s">
        <v>3264</v>
      </c>
      <c r="AF4292" s="1" t="s">
        <v>49</v>
      </c>
      <c r="AG4292" s="1" t="s">
        <v>53</v>
      </c>
      <c r="AH4292" s="1" t="s">
        <v>49</v>
      </c>
      <c r="AI4292" s="1" t="s">
        <v>54</v>
      </c>
      <c r="AJ4292" s="1">
        <v>1</v>
      </c>
      <c r="AK4292" s="1" t="str">
        <f t="shared" si="67"/>
        <v xml:space="preserve"> =&lt;90</v>
      </c>
      <c r="AL4292" s="1" t="str">
        <f>VLOOKUP(C:C,[1]基础信息!B$1:D$65536,3,0)</f>
        <v xml:space="preserve">Cartridge </v>
      </c>
      <c r="AM4292" s="1" t="str">
        <f>VLOOKUP(C:C,[1]基础信息!B$1:E$65536,4,0)</f>
        <v>UNIV</v>
      </c>
      <c r="AN4292" s="1" t="str">
        <f>VLOOKUP(C:C,[1]基础信息!B$1:F$65536,5,0)</f>
        <v>P6</v>
      </c>
    </row>
    <row r="4293" spans="1:40">
      <c r="A4293" s="1" t="s">
        <v>41</v>
      </c>
      <c r="B4293" s="1" t="s">
        <v>42</v>
      </c>
      <c r="C4293" s="1" t="s">
        <v>9778</v>
      </c>
      <c r="D4293" s="1" t="s">
        <v>9779</v>
      </c>
      <c r="E4293" s="1" t="s">
        <v>45</v>
      </c>
      <c r="F4293" s="1" t="s">
        <v>9789</v>
      </c>
      <c r="G4293" s="1" t="s">
        <v>9810</v>
      </c>
      <c r="H4293" s="1" t="s">
        <v>45</v>
      </c>
      <c r="I4293" s="1" t="s">
        <v>45</v>
      </c>
      <c r="J4293" s="1" t="s">
        <v>48</v>
      </c>
      <c r="K4293" s="1">
        <v>80</v>
      </c>
      <c r="L4293" s="1">
        <v>0</v>
      </c>
      <c r="M4293" s="1">
        <v>0</v>
      </c>
      <c r="N4293" s="1">
        <v>80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 t="s">
        <v>49</v>
      </c>
      <c r="AA4293" s="1" t="s">
        <v>49</v>
      </c>
      <c r="AB4293" s="1" t="s">
        <v>49</v>
      </c>
      <c r="AC4293" s="1" t="s">
        <v>3462</v>
      </c>
      <c r="AD4293" s="1" t="s">
        <v>3463</v>
      </c>
      <c r="AE4293" s="1" t="s">
        <v>3462</v>
      </c>
      <c r="AF4293" s="1" t="s">
        <v>49</v>
      </c>
      <c r="AG4293" s="1" t="s">
        <v>53</v>
      </c>
      <c r="AH4293" s="1" t="s">
        <v>49</v>
      </c>
      <c r="AI4293" s="1" t="s">
        <v>54</v>
      </c>
      <c r="AJ4293" s="1">
        <v>1</v>
      </c>
      <c r="AK4293" s="1" t="str">
        <f t="shared" si="67"/>
        <v xml:space="preserve"> =&lt;90</v>
      </c>
      <c r="AL4293" s="1" t="str">
        <f>VLOOKUP(C:C,[1]基础信息!B$1:D$65536,3,0)</f>
        <v xml:space="preserve">Cartridge </v>
      </c>
      <c r="AM4293" s="1" t="str">
        <f>VLOOKUP(C:C,[1]基础信息!B$1:E$65536,4,0)</f>
        <v>LE</v>
      </c>
      <c r="AN4293" s="1" t="str">
        <f>VLOOKUP(C:C,[1]基础信息!B$1:F$65536,5,0)</f>
        <v>P12</v>
      </c>
    </row>
    <row r="4294" spans="1:40">
      <c r="A4294" s="1" t="s">
        <v>41</v>
      </c>
      <c r="B4294" s="1" t="s">
        <v>42</v>
      </c>
      <c r="C4294" s="1" t="s">
        <v>8676</v>
      </c>
      <c r="D4294" s="1" t="s">
        <v>8677</v>
      </c>
      <c r="E4294" s="1" t="s">
        <v>45</v>
      </c>
      <c r="F4294" s="1" t="s">
        <v>9793</v>
      </c>
      <c r="G4294" s="1" t="s">
        <v>9811</v>
      </c>
      <c r="H4294" s="1" t="s">
        <v>45</v>
      </c>
      <c r="I4294" s="1" t="s">
        <v>45</v>
      </c>
      <c r="J4294" s="1" t="s">
        <v>48</v>
      </c>
      <c r="K4294" s="1">
        <v>80</v>
      </c>
      <c r="L4294" s="1">
        <v>0</v>
      </c>
      <c r="M4294" s="1">
        <v>0</v>
      </c>
      <c r="N4294" s="1">
        <v>80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 t="s">
        <v>49</v>
      </c>
      <c r="AA4294" s="1" t="s">
        <v>49</v>
      </c>
      <c r="AB4294" s="1" t="s">
        <v>49</v>
      </c>
      <c r="AC4294" s="1" t="s">
        <v>3719</v>
      </c>
      <c r="AD4294" s="1" t="s">
        <v>3720</v>
      </c>
      <c r="AE4294" s="1" t="s">
        <v>3719</v>
      </c>
      <c r="AF4294" s="1" t="s">
        <v>49</v>
      </c>
      <c r="AG4294" s="1" t="s">
        <v>53</v>
      </c>
      <c r="AH4294" s="1" t="s">
        <v>49</v>
      </c>
      <c r="AI4294" s="1" t="s">
        <v>54</v>
      </c>
      <c r="AJ4294" s="1">
        <v>1</v>
      </c>
      <c r="AK4294" s="1" t="str">
        <f t="shared" si="67"/>
        <v xml:space="preserve"> =&lt;90</v>
      </c>
      <c r="AL4294" s="1" t="str">
        <f>VLOOKUP(C:C,[1]基础信息!B$1:D$65536,3,0)</f>
        <v>Jug</v>
      </c>
      <c r="AM4294" s="1" t="str">
        <f>VLOOKUP(C:C,[1]基础信息!B$1:E$65536,4,0)</f>
        <v>Marella XL</v>
      </c>
      <c r="AN4294" s="1" t="str">
        <f>VLOOKUP(C:C,[1]基础信息!B$1:F$65536,5,0)</f>
        <v xml:space="preserve"> silver</v>
      </c>
    </row>
    <row r="4295" spans="1:40">
      <c r="A4295" s="1" t="s">
        <v>41</v>
      </c>
      <c r="B4295" s="1" t="s">
        <v>42</v>
      </c>
      <c r="C4295" s="1" t="s">
        <v>8676</v>
      </c>
      <c r="D4295" s="1" t="s">
        <v>8677</v>
      </c>
      <c r="E4295" s="1" t="s">
        <v>45</v>
      </c>
      <c r="F4295" s="1" t="s">
        <v>9795</v>
      </c>
      <c r="G4295" s="1" t="s">
        <v>9812</v>
      </c>
      <c r="H4295" s="1" t="s">
        <v>45</v>
      </c>
      <c r="I4295" s="1" t="s">
        <v>45</v>
      </c>
      <c r="J4295" s="1" t="s">
        <v>48</v>
      </c>
      <c r="K4295" s="1">
        <v>80</v>
      </c>
      <c r="L4295" s="1">
        <v>0</v>
      </c>
      <c r="M4295" s="1">
        <v>0</v>
      </c>
      <c r="N4295" s="1">
        <v>80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 t="s">
        <v>49</v>
      </c>
      <c r="AA4295" s="1" t="s">
        <v>49</v>
      </c>
      <c r="AB4295" s="1" t="s">
        <v>49</v>
      </c>
      <c r="AC4295" s="1" t="s">
        <v>5288</v>
      </c>
      <c r="AD4295" s="1" t="s">
        <v>5289</v>
      </c>
      <c r="AE4295" s="1" t="s">
        <v>5288</v>
      </c>
      <c r="AF4295" s="1" t="s">
        <v>49</v>
      </c>
      <c r="AG4295" s="1" t="s">
        <v>53</v>
      </c>
      <c r="AH4295" s="1" t="s">
        <v>49</v>
      </c>
      <c r="AI4295" s="1" t="s">
        <v>54</v>
      </c>
      <c r="AJ4295" s="1">
        <v>1</v>
      </c>
      <c r="AK4295" s="1" t="str">
        <f t="shared" si="67"/>
        <v xml:space="preserve"> =&lt;90</v>
      </c>
      <c r="AL4295" s="1" t="str">
        <f>VLOOKUP(C:C,[1]基础信息!B$1:D$65536,3,0)</f>
        <v>Jug</v>
      </c>
      <c r="AM4295" s="1" t="str">
        <f>VLOOKUP(C:C,[1]基础信息!B$1:E$65536,4,0)</f>
        <v>Marella XL</v>
      </c>
      <c r="AN4295" s="1" t="str">
        <f>VLOOKUP(C:C,[1]基础信息!B$1:F$65536,5,0)</f>
        <v xml:space="preserve"> silver</v>
      </c>
    </row>
    <row r="4296" spans="1:40">
      <c r="A4296" s="1" t="s">
        <v>41</v>
      </c>
      <c r="B4296" s="1" t="s">
        <v>42</v>
      </c>
      <c r="C4296" s="1" t="s">
        <v>4438</v>
      </c>
      <c r="D4296" s="1" t="s">
        <v>4439</v>
      </c>
      <c r="E4296" s="1" t="s">
        <v>45</v>
      </c>
      <c r="F4296" s="1" t="s">
        <v>9813</v>
      </c>
      <c r="G4296" s="1" t="s">
        <v>9814</v>
      </c>
      <c r="H4296" s="1" t="s">
        <v>45</v>
      </c>
      <c r="I4296" s="1" t="s">
        <v>45</v>
      </c>
      <c r="J4296" s="1" t="s">
        <v>48</v>
      </c>
      <c r="K4296" s="1">
        <v>1</v>
      </c>
      <c r="L4296" s="1">
        <v>0</v>
      </c>
      <c r="M4296" s="1">
        <v>0</v>
      </c>
      <c r="N4296" s="1">
        <v>1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 t="s">
        <v>49</v>
      </c>
      <c r="AA4296" s="1" t="s">
        <v>49</v>
      </c>
      <c r="AB4296" s="1" t="s">
        <v>49</v>
      </c>
      <c r="AC4296" s="1" t="s">
        <v>2000</v>
      </c>
      <c r="AD4296" s="1" t="s">
        <v>2001</v>
      </c>
      <c r="AE4296" s="1" t="s">
        <v>2000</v>
      </c>
      <c r="AF4296" s="1" t="s">
        <v>8007</v>
      </c>
      <c r="AG4296" s="1" t="s">
        <v>53</v>
      </c>
      <c r="AH4296" s="1" t="s">
        <v>49</v>
      </c>
      <c r="AI4296" s="1" t="s">
        <v>54</v>
      </c>
      <c r="AJ4296" s="1">
        <v>1</v>
      </c>
      <c r="AK4296" s="1" t="str">
        <f t="shared" si="67"/>
        <v xml:space="preserve"> =&lt;90</v>
      </c>
      <c r="AL4296" s="1" t="str">
        <f>VLOOKUP(C:C,[1]基础信息!B$1:D$65536,3,0)</f>
        <v>Hotcup</v>
      </c>
      <c r="AM4296" s="1" t="str">
        <f>VLOOKUP(C:C,[1]基础信息!B$1:E$65536,4,0)</f>
        <v>Hotcup</v>
      </c>
      <c r="AN4296" s="1" t="str">
        <f>VLOOKUP(C:C,[1]基础信息!B$1:F$65536,5,0)</f>
        <v xml:space="preserve"> green</v>
      </c>
    </row>
    <row r="4297" spans="1:40">
      <c r="A4297" s="1" t="s">
        <v>41</v>
      </c>
      <c r="B4297" s="1" t="s">
        <v>42</v>
      </c>
      <c r="C4297" s="1" t="s">
        <v>9815</v>
      </c>
      <c r="D4297" s="1" t="s">
        <v>9816</v>
      </c>
      <c r="E4297" s="1" t="s">
        <v>45</v>
      </c>
      <c r="F4297" s="1" t="s">
        <v>9817</v>
      </c>
      <c r="G4297" s="1" t="s">
        <v>9818</v>
      </c>
      <c r="H4297" s="1" t="s">
        <v>45</v>
      </c>
      <c r="I4297" s="1" t="s">
        <v>45</v>
      </c>
      <c r="J4297" s="1" t="s">
        <v>48</v>
      </c>
      <c r="K4297" s="1">
        <v>40</v>
      </c>
      <c r="L4297" s="1">
        <v>0</v>
      </c>
      <c r="M4297" s="1">
        <v>0</v>
      </c>
      <c r="N4297" s="1">
        <v>40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 t="s">
        <v>49</v>
      </c>
      <c r="AA4297" s="1" t="s">
        <v>49</v>
      </c>
      <c r="AB4297" s="1" t="s">
        <v>49</v>
      </c>
      <c r="AC4297" s="1" t="s">
        <v>9819</v>
      </c>
      <c r="AD4297" s="1" t="s">
        <v>9820</v>
      </c>
      <c r="AE4297" s="1" t="s">
        <v>9819</v>
      </c>
      <c r="AF4297" s="1" t="s">
        <v>49</v>
      </c>
      <c r="AG4297" s="1" t="s">
        <v>53</v>
      </c>
      <c r="AH4297" s="1" t="s">
        <v>49</v>
      </c>
      <c r="AI4297" s="1" t="s">
        <v>54</v>
      </c>
      <c r="AJ4297" s="1">
        <v>1</v>
      </c>
      <c r="AK4297" s="1" t="str">
        <f t="shared" si="67"/>
        <v xml:space="preserve"> =&lt;90</v>
      </c>
      <c r="AL4297" s="1" t="e">
        <f>VLOOKUP(C:C,[1]基础信息!B$1:D$65536,3,0)</f>
        <v>#N/A</v>
      </c>
      <c r="AM4297" s="1" t="e">
        <f>VLOOKUP(C:C,[1]基础信息!B$1:E$65536,4,0)</f>
        <v>#N/A</v>
      </c>
      <c r="AN4297" s="1" t="e">
        <f>VLOOKUP(C:C,[1]基础信息!B$1:F$65536,5,0)</f>
        <v>#N/A</v>
      </c>
    </row>
    <row r="4298" spans="1:40">
      <c r="A4298" s="1" t="s">
        <v>41</v>
      </c>
      <c r="B4298" s="1" t="s">
        <v>42</v>
      </c>
      <c r="C4298" s="1" t="s">
        <v>8676</v>
      </c>
      <c r="D4298" s="1" t="s">
        <v>8677</v>
      </c>
      <c r="E4298" s="1" t="s">
        <v>45</v>
      </c>
      <c r="F4298" s="1" t="s">
        <v>9793</v>
      </c>
      <c r="G4298" s="1" t="s">
        <v>9821</v>
      </c>
      <c r="H4298" s="1" t="s">
        <v>45</v>
      </c>
      <c r="I4298" s="1" t="s">
        <v>45</v>
      </c>
      <c r="J4298" s="1" t="s">
        <v>48</v>
      </c>
      <c r="K4298" s="1">
        <v>80</v>
      </c>
      <c r="L4298" s="1">
        <v>0</v>
      </c>
      <c r="M4298" s="1">
        <v>0</v>
      </c>
      <c r="N4298" s="1">
        <v>80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 t="s">
        <v>49</v>
      </c>
      <c r="AA4298" s="1" t="s">
        <v>49</v>
      </c>
      <c r="AB4298" s="1" t="s">
        <v>49</v>
      </c>
      <c r="AC4298" s="1" t="s">
        <v>3719</v>
      </c>
      <c r="AD4298" s="1" t="s">
        <v>3720</v>
      </c>
      <c r="AE4298" s="1" t="s">
        <v>3719</v>
      </c>
      <c r="AF4298" s="1" t="s">
        <v>49</v>
      </c>
      <c r="AG4298" s="1" t="s">
        <v>53</v>
      </c>
      <c r="AH4298" s="1" t="s">
        <v>49</v>
      </c>
      <c r="AI4298" s="1" t="s">
        <v>54</v>
      </c>
      <c r="AJ4298" s="1">
        <v>1</v>
      </c>
      <c r="AK4298" s="1" t="str">
        <f t="shared" si="67"/>
        <v xml:space="preserve"> =&lt;90</v>
      </c>
      <c r="AL4298" s="1" t="str">
        <f>VLOOKUP(C:C,[1]基础信息!B$1:D$65536,3,0)</f>
        <v>Jug</v>
      </c>
      <c r="AM4298" s="1" t="str">
        <f>VLOOKUP(C:C,[1]基础信息!B$1:E$65536,4,0)</f>
        <v>Marella XL</v>
      </c>
      <c r="AN4298" s="1" t="str">
        <f>VLOOKUP(C:C,[1]基础信息!B$1:F$65536,5,0)</f>
        <v xml:space="preserve"> silver</v>
      </c>
    </row>
    <row r="4299" spans="1:40">
      <c r="A4299" s="1" t="s">
        <v>41</v>
      </c>
      <c r="B4299" s="1" t="s">
        <v>42</v>
      </c>
      <c r="C4299" s="1" t="s">
        <v>8676</v>
      </c>
      <c r="D4299" s="1" t="s">
        <v>8677</v>
      </c>
      <c r="E4299" s="1" t="s">
        <v>45</v>
      </c>
      <c r="F4299" s="1" t="s">
        <v>9795</v>
      </c>
      <c r="G4299" s="1" t="s">
        <v>9822</v>
      </c>
      <c r="H4299" s="1" t="s">
        <v>45</v>
      </c>
      <c r="I4299" s="1" t="s">
        <v>45</v>
      </c>
      <c r="J4299" s="1" t="s">
        <v>48</v>
      </c>
      <c r="K4299" s="1">
        <v>80</v>
      </c>
      <c r="L4299" s="1">
        <v>0</v>
      </c>
      <c r="M4299" s="1">
        <v>0</v>
      </c>
      <c r="N4299" s="1">
        <v>80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 t="s">
        <v>49</v>
      </c>
      <c r="AA4299" s="1" t="s">
        <v>49</v>
      </c>
      <c r="AB4299" s="1" t="s">
        <v>49</v>
      </c>
      <c r="AC4299" s="1" t="s">
        <v>5288</v>
      </c>
      <c r="AD4299" s="1" t="s">
        <v>5289</v>
      </c>
      <c r="AE4299" s="1" t="s">
        <v>5288</v>
      </c>
      <c r="AF4299" s="1" t="s">
        <v>49</v>
      </c>
      <c r="AG4299" s="1" t="s">
        <v>53</v>
      </c>
      <c r="AH4299" s="1" t="s">
        <v>49</v>
      </c>
      <c r="AI4299" s="1" t="s">
        <v>54</v>
      </c>
      <c r="AJ4299" s="1">
        <v>1</v>
      </c>
      <c r="AK4299" s="1" t="str">
        <f t="shared" si="67"/>
        <v xml:space="preserve"> =&lt;90</v>
      </c>
      <c r="AL4299" s="1" t="str">
        <f>VLOOKUP(C:C,[1]基础信息!B$1:D$65536,3,0)</f>
        <v>Jug</v>
      </c>
      <c r="AM4299" s="1" t="str">
        <f>VLOOKUP(C:C,[1]基础信息!B$1:E$65536,4,0)</f>
        <v>Marella XL</v>
      </c>
      <c r="AN4299" s="1" t="str">
        <f>VLOOKUP(C:C,[1]基础信息!B$1:F$65536,5,0)</f>
        <v xml:space="preserve"> silver</v>
      </c>
    </row>
    <row r="4300" spans="1:40">
      <c r="A4300" s="1" t="s">
        <v>41</v>
      </c>
      <c r="B4300" s="1" t="s">
        <v>42</v>
      </c>
      <c r="C4300" s="1" t="s">
        <v>4438</v>
      </c>
      <c r="D4300" s="1" t="s">
        <v>4439</v>
      </c>
      <c r="E4300" s="1" t="s">
        <v>45</v>
      </c>
      <c r="F4300" s="1" t="s">
        <v>9813</v>
      </c>
      <c r="G4300" s="1" t="s">
        <v>9823</v>
      </c>
      <c r="H4300" s="1" t="s">
        <v>45</v>
      </c>
      <c r="I4300" s="1" t="s">
        <v>45</v>
      </c>
      <c r="J4300" s="1" t="s">
        <v>48</v>
      </c>
      <c r="K4300" s="1">
        <v>36</v>
      </c>
      <c r="L4300" s="1">
        <v>0</v>
      </c>
      <c r="M4300" s="1">
        <v>0</v>
      </c>
      <c r="N4300" s="1">
        <v>36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 t="s">
        <v>49</v>
      </c>
      <c r="AA4300" s="1" t="s">
        <v>49</v>
      </c>
      <c r="AB4300" s="1" t="s">
        <v>49</v>
      </c>
      <c r="AC4300" s="1" t="s">
        <v>2000</v>
      </c>
      <c r="AD4300" s="1" t="s">
        <v>2001</v>
      </c>
      <c r="AE4300" s="1" t="s">
        <v>2000</v>
      </c>
      <c r="AF4300" s="1" t="s">
        <v>8007</v>
      </c>
      <c r="AG4300" s="1" t="s">
        <v>53</v>
      </c>
      <c r="AH4300" s="1" t="s">
        <v>49</v>
      </c>
      <c r="AI4300" s="1" t="s">
        <v>54</v>
      </c>
      <c r="AJ4300" s="1">
        <v>1</v>
      </c>
      <c r="AK4300" s="1" t="str">
        <f t="shared" si="67"/>
        <v xml:space="preserve"> =&lt;90</v>
      </c>
      <c r="AL4300" s="1" t="str">
        <f>VLOOKUP(C:C,[1]基础信息!B$1:D$65536,3,0)</f>
        <v>Hotcup</v>
      </c>
      <c r="AM4300" s="1" t="str">
        <f>VLOOKUP(C:C,[1]基础信息!B$1:E$65536,4,0)</f>
        <v>Hotcup</v>
      </c>
      <c r="AN4300" s="1" t="str">
        <f>VLOOKUP(C:C,[1]基础信息!B$1:F$65536,5,0)</f>
        <v xml:space="preserve"> green</v>
      </c>
    </row>
    <row r="4301" spans="1:40">
      <c r="A4301" s="1" t="s">
        <v>41</v>
      </c>
      <c r="B4301" s="1" t="s">
        <v>42</v>
      </c>
      <c r="C4301" s="1" t="s">
        <v>9824</v>
      </c>
      <c r="D4301" s="1" t="s">
        <v>9825</v>
      </c>
      <c r="E4301" s="1" t="s">
        <v>45</v>
      </c>
      <c r="F4301" s="1" t="s">
        <v>9826</v>
      </c>
      <c r="G4301" s="1" t="s">
        <v>9827</v>
      </c>
      <c r="H4301" s="1" t="s">
        <v>45</v>
      </c>
      <c r="I4301" s="1" t="s">
        <v>45</v>
      </c>
      <c r="J4301" s="1" t="s">
        <v>48</v>
      </c>
      <c r="K4301" s="1">
        <v>35</v>
      </c>
      <c r="L4301" s="1">
        <v>0</v>
      </c>
      <c r="M4301" s="1">
        <v>0</v>
      </c>
      <c r="N4301" s="1">
        <v>35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 t="s">
        <v>49</v>
      </c>
      <c r="AA4301" s="1" t="s">
        <v>49</v>
      </c>
      <c r="AB4301" s="1" t="s">
        <v>49</v>
      </c>
      <c r="AC4301" s="1" t="s">
        <v>7540</v>
      </c>
      <c r="AD4301" s="1" t="s">
        <v>7541</v>
      </c>
      <c r="AE4301" s="1" t="s">
        <v>7540</v>
      </c>
      <c r="AF4301" s="1" t="s">
        <v>49</v>
      </c>
      <c r="AG4301" s="1" t="s">
        <v>53</v>
      </c>
      <c r="AH4301" s="1" t="s">
        <v>49</v>
      </c>
      <c r="AI4301" s="1" t="s">
        <v>54</v>
      </c>
      <c r="AJ4301" s="1">
        <v>1</v>
      </c>
      <c r="AK4301" s="1" t="str">
        <f t="shared" si="67"/>
        <v xml:space="preserve"> =&lt;90</v>
      </c>
      <c r="AL4301" s="1" t="e">
        <f>VLOOKUP(C:C,[1]基础信息!B$1:D$65536,3,0)</f>
        <v>#N/A</v>
      </c>
      <c r="AM4301" s="1" t="e">
        <f>VLOOKUP(C:C,[1]基础信息!B$1:E$65536,4,0)</f>
        <v>#N/A</v>
      </c>
      <c r="AN4301" s="1" t="e">
        <f>VLOOKUP(C:C,[1]基础信息!B$1:F$65536,5,0)</f>
        <v>#N/A</v>
      </c>
    </row>
    <row r="4302" spans="1:40">
      <c r="A4302" s="1" t="s">
        <v>41</v>
      </c>
      <c r="B4302" s="1" t="s">
        <v>42</v>
      </c>
      <c r="C4302" s="1" t="s">
        <v>8676</v>
      </c>
      <c r="D4302" s="1" t="s">
        <v>8677</v>
      </c>
      <c r="E4302" s="1" t="s">
        <v>45</v>
      </c>
      <c r="F4302" s="1" t="s">
        <v>9793</v>
      </c>
      <c r="G4302" s="1" t="s">
        <v>9828</v>
      </c>
      <c r="H4302" s="1" t="s">
        <v>45</v>
      </c>
      <c r="I4302" s="1" t="s">
        <v>45</v>
      </c>
      <c r="J4302" s="1" t="s">
        <v>48</v>
      </c>
      <c r="K4302" s="1">
        <v>80</v>
      </c>
      <c r="L4302" s="1">
        <v>0</v>
      </c>
      <c r="M4302" s="1">
        <v>0</v>
      </c>
      <c r="N4302" s="1">
        <v>80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 t="s">
        <v>49</v>
      </c>
      <c r="AA4302" s="1" t="s">
        <v>49</v>
      </c>
      <c r="AB4302" s="1" t="s">
        <v>49</v>
      </c>
      <c r="AC4302" s="1" t="s">
        <v>3719</v>
      </c>
      <c r="AD4302" s="1" t="s">
        <v>3720</v>
      </c>
      <c r="AE4302" s="1" t="s">
        <v>3719</v>
      </c>
      <c r="AF4302" s="1" t="s">
        <v>49</v>
      </c>
      <c r="AG4302" s="1" t="s">
        <v>53</v>
      </c>
      <c r="AH4302" s="1" t="s">
        <v>49</v>
      </c>
      <c r="AI4302" s="1" t="s">
        <v>54</v>
      </c>
      <c r="AJ4302" s="1">
        <v>1</v>
      </c>
      <c r="AK4302" s="1" t="str">
        <f t="shared" si="67"/>
        <v xml:space="preserve"> =&lt;90</v>
      </c>
      <c r="AL4302" s="1" t="str">
        <f>VLOOKUP(C:C,[1]基础信息!B$1:D$65536,3,0)</f>
        <v>Jug</v>
      </c>
      <c r="AM4302" s="1" t="str">
        <f>VLOOKUP(C:C,[1]基础信息!B$1:E$65536,4,0)</f>
        <v>Marella XL</v>
      </c>
      <c r="AN4302" s="1" t="str">
        <f>VLOOKUP(C:C,[1]基础信息!B$1:F$65536,5,0)</f>
        <v xml:space="preserve"> silver</v>
      </c>
    </row>
    <row r="4303" spans="1:40">
      <c r="A4303" s="1" t="s">
        <v>41</v>
      </c>
      <c r="B4303" s="1" t="s">
        <v>42</v>
      </c>
      <c r="C4303" s="1" t="s">
        <v>8676</v>
      </c>
      <c r="D4303" s="1" t="s">
        <v>8677</v>
      </c>
      <c r="E4303" s="1" t="s">
        <v>45</v>
      </c>
      <c r="F4303" s="1" t="s">
        <v>9795</v>
      </c>
      <c r="G4303" s="1" t="s">
        <v>9829</v>
      </c>
      <c r="H4303" s="1" t="s">
        <v>45</v>
      </c>
      <c r="I4303" s="1" t="s">
        <v>45</v>
      </c>
      <c r="J4303" s="1" t="s">
        <v>48</v>
      </c>
      <c r="K4303" s="1">
        <v>80</v>
      </c>
      <c r="L4303" s="1">
        <v>0</v>
      </c>
      <c r="M4303" s="1">
        <v>0</v>
      </c>
      <c r="N4303" s="1">
        <v>80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 t="s">
        <v>49</v>
      </c>
      <c r="AA4303" s="1" t="s">
        <v>49</v>
      </c>
      <c r="AB4303" s="1" t="s">
        <v>49</v>
      </c>
      <c r="AC4303" s="1" t="s">
        <v>5288</v>
      </c>
      <c r="AD4303" s="1" t="s">
        <v>5289</v>
      </c>
      <c r="AE4303" s="1" t="s">
        <v>5288</v>
      </c>
      <c r="AF4303" s="1" t="s">
        <v>49</v>
      </c>
      <c r="AG4303" s="1" t="s">
        <v>53</v>
      </c>
      <c r="AH4303" s="1" t="s">
        <v>49</v>
      </c>
      <c r="AI4303" s="1" t="s">
        <v>54</v>
      </c>
      <c r="AJ4303" s="1">
        <v>1</v>
      </c>
      <c r="AK4303" s="1" t="str">
        <f t="shared" si="67"/>
        <v xml:space="preserve"> =&lt;90</v>
      </c>
      <c r="AL4303" s="1" t="str">
        <f>VLOOKUP(C:C,[1]基础信息!B$1:D$65536,3,0)</f>
        <v>Jug</v>
      </c>
      <c r="AM4303" s="1" t="str">
        <f>VLOOKUP(C:C,[1]基础信息!B$1:E$65536,4,0)</f>
        <v>Marella XL</v>
      </c>
      <c r="AN4303" s="1" t="str">
        <f>VLOOKUP(C:C,[1]基础信息!B$1:F$65536,5,0)</f>
        <v xml:space="preserve"> silver</v>
      </c>
    </row>
    <row r="4304" spans="1:40">
      <c r="A4304" s="1" t="s">
        <v>41</v>
      </c>
      <c r="B4304" s="1" t="s">
        <v>42</v>
      </c>
      <c r="C4304" s="1" t="s">
        <v>4438</v>
      </c>
      <c r="D4304" s="1" t="s">
        <v>4439</v>
      </c>
      <c r="E4304" s="1" t="s">
        <v>45</v>
      </c>
      <c r="F4304" s="1" t="s">
        <v>9813</v>
      </c>
      <c r="G4304" s="1" t="s">
        <v>9830</v>
      </c>
      <c r="H4304" s="1" t="s">
        <v>45</v>
      </c>
      <c r="I4304" s="1" t="s">
        <v>45</v>
      </c>
      <c r="J4304" s="1" t="s">
        <v>48</v>
      </c>
      <c r="K4304" s="1">
        <v>36</v>
      </c>
      <c r="L4304" s="1">
        <v>0</v>
      </c>
      <c r="M4304" s="1">
        <v>0</v>
      </c>
      <c r="N4304" s="1">
        <v>36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 t="s">
        <v>49</v>
      </c>
      <c r="AA4304" s="1" t="s">
        <v>49</v>
      </c>
      <c r="AB4304" s="1" t="s">
        <v>49</v>
      </c>
      <c r="AC4304" s="1" t="s">
        <v>2000</v>
      </c>
      <c r="AD4304" s="1" t="s">
        <v>2001</v>
      </c>
      <c r="AE4304" s="1" t="s">
        <v>2000</v>
      </c>
      <c r="AF4304" s="1" t="s">
        <v>8007</v>
      </c>
      <c r="AG4304" s="1" t="s">
        <v>53</v>
      </c>
      <c r="AH4304" s="1" t="s">
        <v>49</v>
      </c>
      <c r="AI4304" s="1" t="s">
        <v>54</v>
      </c>
      <c r="AJ4304" s="1">
        <v>1</v>
      </c>
      <c r="AK4304" s="1" t="str">
        <f t="shared" si="67"/>
        <v xml:space="preserve"> =&lt;90</v>
      </c>
      <c r="AL4304" s="1" t="str">
        <f>VLOOKUP(C:C,[1]基础信息!B$1:D$65536,3,0)</f>
        <v>Hotcup</v>
      </c>
      <c r="AM4304" s="1" t="str">
        <f>VLOOKUP(C:C,[1]基础信息!B$1:E$65536,4,0)</f>
        <v>Hotcup</v>
      </c>
      <c r="AN4304" s="1" t="str">
        <f>VLOOKUP(C:C,[1]基础信息!B$1:F$65536,5,0)</f>
        <v xml:space="preserve"> green</v>
      </c>
    </row>
    <row r="4305" spans="1:40">
      <c r="A4305" s="1" t="s">
        <v>41</v>
      </c>
      <c r="B4305" s="1" t="s">
        <v>42</v>
      </c>
      <c r="C4305" s="1" t="s">
        <v>4438</v>
      </c>
      <c r="D4305" s="1" t="s">
        <v>4439</v>
      </c>
      <c r="E4305" s="1" t="s">
        <v>45</v>
      </c>
      <c r="F4305" s="1" t="s">
        <v>9813</v>
      </c>
      <c r="G4305" s="1" t="s">
        <v>9831</v>
      </c>
      <c r="H4305" s="1" t="s">
        <v>45</v>
      </c>
      <c r="I4305" s="1" t="s">
        <v>45</v>
      </c>
      <c r="J4305" s="1" t="s">
        <v>48</v>
      </c>
      <c r="K4305" s="1">
        <v>36</v>
      </c>
      <c r="L4305" s="1">
        <v>0</v>
      </c>
      <c r="M4305" s="1">
        <v>0</v>
      </c>
      <c r="N4305" s="1">
        <v>36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 t="s">
        <v>49</v>
      </c>
      <c r="AA4305" s="1" t="s">
        <v>49</v>
      </c>
      <c r="AB4305" s="1" t="s">
        <v>49</v>
      </c>
      <c r="AC4305" s="1" t="s">
        <v>2000</v>
      </c>
      <c r="AD4305" s="1" t="s">
        <v>2001</v>
      </c>
      <c r="AE4305" s="1" t="s">
        <v>2000</v>
      </c>
      <c r="AF4305" s="1" t="s">
        <v>8007</v>
      </c>
      <c r="AG4305" s="1" t="s">
        <v>53</v>
      </c>
      <c r="AH4305" s="1" t="s">
        <v>49</v>
      </c>
      <c r="AI4305" s="1" t="s">
        <v>54</v>
      </c>
      <c r="AJ4305" s="1">
        <v>1</v>
      </c>
      <c r="AK4305" s="1" t="str">
        <f t="shared" si="67"/>
        <v xml:space="preserve"> =&lt;90</v>
      </c>
      <c r="AL4305" s="1" t="str">
        <f>VLOOKUP(C:C,[1]基础信息!B$1:D$65536,3,0)</f>
        <v>Hotcup</v>
      </c>
      <c r="AM4305" s="1" t="str">
        <f>VLOOKUP(C:C,[1]基础信息!B$1:E$65536,4,0)</f>
        <v>Hotcup</v>
      </c>
      <c r="AN4305" s="1" t="str">
        <f>VLOOKUP(C:C,[1]基础信息!B$1:F$65536,5,0)</f>
        <v xml:space="preserve"> green</v>
      </c>
    </row>
    <row r="4306" spans="1:40">
      <c r="A4306" s="1" t="s">
        <v>41</v>
      </c>
      <c r="B4306" s="1" t="s">
        <v>42</v>
      </c>
      <c r="C4306" s="1" t="s">
        <v>9824</v>
      </c>
      <c r="D4306" s="1" t="s">
        <v>9825</v>
      </c>
      <c r="E4306" s="1" t="s">
        <v>45</v>
      </c>
      <c r="F4306" s="1" t="s">
        <v>9826</v>
      </c>
      <c r="G4306" s="1" t="s">
        <v>9832</v>
      </c>
      <c r="H4306" s="1" t="s">
        <v>45</v>
      </c>
      <c r="I4306" s="1" t="s">
        <v>45</v>
      </c>
      <c r="J4306" s="1" t="s">
        <v>48</v>
      </c>
      <c r="K4306" s="1">
        <v>60</v>
      </c>
      <c r="L4306" s="1">
        <v>0</v>
      </c>
      <c r="M4306" s="1">
        <v>0</v>
      </c>
      <c r="N4306" s="1">
        <v>60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 t="s">
        <v>49</v>
      </c>
      <c r="AA4306" s="1" t="s">
        <v>49</v>
      </c>
      <c r="AB4306" s="1" t="s">
        <v>49</v>
      </c>
      <c r="AC4306" s="1" t="s">
        <v>7540</v>
      </c>
      <c r="AD4306" s="1" t="s">
        <v>7541</v>
      </c>
      <c r="AE4306" s="1" t="s">
        <v>7540</v>
      </c>
      <c r="AF4306" s="1" t="s">
        <v>49</v>
      </c>
      <c r="AG4306" s="1" t="s">
        <v>53</v>
      </c>
      <c r="AH4306" s="1" t="s">
        <v>49</v>
      </c>
      <c r="AI4306" s="1" t="s">
        <v>54</v>
      </c>
      <c r="AJ4306" s="1">
        <v>1</v>
      </c>
      <c r="AK4306" s="1" t="str">
        <f t="shared" si="67"/>
        <v xml:space="preserve"> =&lt;90</v>
      </c>
      <c r="AL4306" s="1" t="e">
        <f>VLOOKUP(C:C,[1]基础信息!B$1:D$65536,3,0)</f>
        <v>#N/A</v>
      </c>
      <c r="AM4306" s="1" t="e">
        <f>VLOOKUP(C:C,[1]基础信息!B$1:E$65536,4,0)</f>
        <v>#N/A</v>
      </c>
      <c r="AN4306" s="1" t="e">
        <f>VLOOKUP(C:C,[1]基础信息!B$1:F$65536,5,0)</f>
        <v>#N/A</v>
      </c>
    </row>
    <row r="4307" spans="1:40">
      <c r="A4307" s="1" t="s">
        <v>41</v>
      </c>
      <c r="B4307" s="1" t="s">
        <v>42</v>
      </c>
      <c r="C4307" s="1" t="s">
        <v>8676</v>
      </c>
      <c r="D4307" s="1" t="s">
        <v>8677</v>
      </c>
      <c r="E4307" s="1" t="s">
        <v>45</v>
      </c>
      <c r="F4307" s="1" t="s">
        <v>9793</v>
      </c>
      <c r="G4307" s="1" t="s">
        <v>9833</v>
      </c>
      <c r="H4307" s="1" t="s">
        <v>45</v>
      </c>
      <c r="I4307" s="1" t="s">
        <v>45</v>
      </c>
      <c r="J4307" s="1" t="s">
        <v>48</v>
      </c>
      <c r="K4307" s="1">
        <v>80</v>
      </c>
      <c r="L4307" s="1">
        <v>0</v>
      </c>
      <c r="M4307" s="1">
        <v>0</v>
      </c>
      <c r="N4307" s="1">
        <v>80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 t="s">
        <v>49</v>
      </c>
      <c r="AA4307" s="1" t="s">
        <v>49</v>
      </c>
      <c r="AB4307" s="1" t="s">
        <v>49</v>
      </c>
      <c r="AC4307" s="1" t="s">
        <v>3719</v>
      </c>
      <c r="AD4307" s="1" t="s">
        <v>3720</v>
      </c>
      <c r="AE4307" s="1" t="s">
        <v>3719</v>
      </c>
      <c r="AF4307" s="1" t="s">
        <v>49</v>
      </c>
      <c r="AG4307" s="1" t="s">
        <v>53</v>
      </c>
      <c r="AH4307" s="1" t="s">
        <v>49</v>
      </c>
      <c r="AI4307" s="1" t="s">
        <v>54</v>
      </c>
      <c r="AJ4307" s="1">
        <v>1</v>
      </c>
      <c r="AK4307" s="1" t="str">
        <f t="shared" si="67"/>
        <v xml:space="preserve"> =&lt;90</v>
      </c>
      <c r="AL4307" s="1" t="str">
        <f>VLOOKUP(C:C,[1]基础信息!B$1:D$65536,3,0)</f>
        <v>Jug</v>
      </c>
      <c r="AM4307" s="1" t="str">
        <f>VLOOKUP(C:C,[1]基础信息!B$1:E$65536,4,0)</f>
        <v>Marella XL</v>
      </c>
      <c r="AN4307" s="1" t="str">
        <f>VLOOKUP(C:C,[1]基础信息!B$1:F$65536,5,0)</f>
        <v xml:space="preserve"> silver</v>
      </c>
    </row>
    <row r="4308" spans="1:40">
      <c r="A4308" s="1" t="s">
        <v>41</v>
      </c>
      <c r="B4308" s="1" t="s">
        <v>42</v>
      </c>
      <c r="C4308" s="1" t="s">
        <v>8676</v>
      </c>
      <c r="D4308" s="1" t="s">
        <v>8677</v>
      </c>
      <c r="E4308" s="1" t="s">
        <v>45</v>
      </c>
      <c r="F4308" s="1" t="s">
        <v>9795</v>
      </c>
      <c r="G4308" s="1" t="s">
        <v>9834</v>
      </c>
      <c r="H4308" s="1" t="s">
        <v>45</v>
      </c>
      <c r="I4308" s="1" t="s">
        <v>45</v>
      </c>
      <c r="J4308" s="1" t="s">
        <v>48</v>
      </c>
      <c r="K4308" s="1">
        <v>80</v>
      </c>
      <c r="L4308" s="1">
        <v>0</v>
      </c>
      <c r="M4308" s="1">
        <v>0</v>
      </c>
      <c r="N4308" s="1">
        <v>80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 t="s">
        <v>49</v>
      </c>
      <c r="AA4308" s="1" t="s">
        <v>49</v>
      </c>
      <c r="AB4308" s="1" t="s">
        <v>49</v>
      </c>
      <c r="AC4308" s="1" t="s">
        <v>5288</v>
      </c>
      <c r="AD4308" s="1" t="s">
        <v>5289</v>
      </c>
      <c r="AE4308" s="1" t="s">
        <v>5288</v>
      </c>
      <c r="AF4308" s="1" t="s">
        <v>49</v>
      </c>
      <c r="AG4308" s="1" t="s">
        <v>53</v>
      </c>
      <c r="AH4308" s="1" t="s">
        <v>49</v>
      </c>
      <c r="AI4308" s="1" t="s">
        <v>54</v>
      </c>
      <c r="AJ4308" s="1">
        <v>1</v>
      </c>
      <c r="AK4308" s="1" t="str">
        <f t="shared" si="67"/>
        <v xml:space="preserve"> =&lt;90</v>
      </c>
      <c r="AL4308" s="1" t="str">
        <f>VLOOKUP(C:C,[1]基础信息!B$1:D$65536,3,0)</f>
        <v>Jug</v>
      </c>
      <c r="AM4308" s="1" t="str">
        <f>VLOOKUP(C:C,[1]基础信息!B$1:E$65536,4,0)</f>
        <v>Marella XL</v>
      </c>
      <c r="AN4308" s="1" t="str">
        <f>VLOOKUP(C:C,[1]基础信息!B$1:F$65536,5,0)</f>
        <v xml:space="preserve"> silver</v>
      </c>
    </row>
    <row r="4309" spans="1:40">
      <c r="A4309" s="1" t="s">
        <v>41</v>
      </c>
      <c r="B4309" s="1" t="s">
        <v>42</v>
      </c>
      <c r="C4309" s="1" t="s">
        <v>4438</v>
      </c>
      <c r="D4309" s="1" t="s">
        <v>4439</v>
      </c>
      <c r="E4309" s="1" t="s">
        <v>45</v>
      </c>
      <c r="F4309" s="1" t="s">
        <v>9813</v>
      </c>
      <c r="G4309" s="1" t="s">
        <v>9835</v>
      </c>
      <c r="H4309" s="1" t="s">
        <v>45</v>
      </c>
      <c r="I4309" s="1" t="s">
        <v>45</v>
      </c>
      <c r="J4309" s="1" t="s">
        <v>48</v>
      </c>
      <c r="K4309" s="1">
        <v>36</v>
      </c>
      <c r="L4309" s="1">
        <v>0</v>
      </c>
      <c r="M4309" s="1">
        <v>0</v>
      </c>
      <c r="N4309" s="1">
        <v>36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 t="s">
        <v>49</v>
      </c>
      <c r="AA4309" s="1" t="s">
        <v>49</v>
      </c>
      <c r="AB4309" s="1" t="s">
        <v>49</v>
      </c>
      <c r="AC4309" s="1" t="s">
        <v>2000</v>
      </c>
      <c r="AD4309" s="1" t="s">
        <v>2001</v>
      </c>
      <c r="AE4309" s="1" t="s">
        <v>2000</v>
      </c>
      <c r="AF4309" s="1" t="s">
        <v>8007</v>
      </c>
      <c r="AG4309" s="1" t="s">
        <v>53</v>
      </c>
      <c r="AH4309" s="1" t="s">
        <v>49</v>
      </c>
      <c r="AI4309" s="1" t="s">
        <v>54</v>
      </c>
      <c r="AJ4309" s="1">
        <v>1</v>
      </c>
      <c r="AK4309" s="1" t="str">
        <f t="shared" si="67"/>
        <v xml:space="preserve"> =&lt;90</v>
      </c>
      <c r="AL4309" s="1" t="str">
        <f>VLOOKUP(C:C,[1]基础信息!B$1:D$65536,3,0)</f>
        <v>Hotcup</v>
      </c>
      <c r="AM4309" s="1" t="str">
        <f>VLOOKUP(C:C,[1]基础信息!B$1:E$65536,4,0)</f>
        <v>Hotcup</v>
      </c>
      <c r="AN4309" s="1" t="str">
        <f>VLOOKUP(C:C,[1]基础信息!B$1:F$65536,5,0)</f>
        <v xml:space="preserve"> green</v>
      </c>
    </row>
    <row r="4310" spans="1:40">
      <c r="A4310" s="1" t="s">
        <v>41</v>
      </c>
      <c r="B4310" s="1" t="s">
        <v>42</v>
      </c>
      <c r="C4310" s="1" t="s">
        <v>9824</v>
      </c>
      <c r="D4310" s="1" t="s">
        <v>9825</v>
      </c>
      <c r="E4310" s="1" t="s">
        <v>45</v>
      </c>
      <c r="F4310" s="1" t="s">
        <v>9826</v>
      </c>
      <c r="G4310" s="1" t="s">
        <v>9836</v>
      </c>
      <c r="H4310" s="1" t="s">
        <v>45</v>
      </c>
      <c r="I4310" s="1" t="s">
        <v>45</v>
      </c>
      <c r="J4310" s="1" t="s">
        <v>48</v>
      </c>
      <c r="K4310" s="1">
        <v>60</v>
      </c>
      <c r="L4310" s="1">
        <v>0</v>
      </c>
      <c r="M4310" s="1">
        <v>0</v>
      </c>
      <c r="N4310" s="1">
        <v>60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 t="s">
        <v>49</v>
      </c>
      <c r="AA4310" s="1" t="s">
        <v>49</v>
      </c>
      <c r="AB4310" s="1" t="s">
        <v>49</v>
      </c>
      <c r="AC4310" s="1" t="s">
        <v>7540</v>
      </c>
      <c r="AD4310" s="1" t="s">
        <v>7541</v>
      </c>
      <c r="AE4310" s="1" t="s">
        <v>7540</v>
      </c>
      <c r="AF4310" s="1" t="s">
        <v>49</v>
      </c>
      <c r="AG4310" s="1" t="s">
        <v>53</v>
      </c>
      <c r="AH4310" s="1" t="s">
        <v>49</v>
      </c>
      <c r="AI4310" s="1" t="s">
        <v>54</v>
      </c>
      <c r="AJ4310" s="1">
        <v>1</v>
      </c>
      <c r="AK4310" s="1" t="str">
        <f t="shared" si="67"/>
        <v xml:space="preserve"> =&lt;90</v>
      </c>
      <c r="AL4310" s="1" t="e">
        <f>VLOOKUP(C:C,[1]基础信息!B$1:D$65536,3,0)</f>
        <v>#N/A</v>
      </c>
      <c r="AM4310" s="1" t="e">
        <f>VLOOKUP(C:C,[1]基础信息!B$1:E$65536,4,0)</f>
        <v>#N/A</v>
      </c>
      <c r="AN4310" s="1" t="e">
        <f>VLOOKUP(C:C,[1]基础信息!B$1:F$65536,5,0)</f>
        <v>#N/A</v>
      </c>
    </row>
    <row r="4311" spans="1:40">
      <c r="A4311" s="1" t="s">
        <v>41</v>
      </c>
      <c r="B4311" s="1" t="s">
        <v>42</v>
      </c>
      <c r="C4311" s="1" t="s">
        <v>8676</v>
      </c>
      <c r="D4311" s="1" t="s">
        <v>8677</v>
      </c>
      <c r="E4311" s="1" t="s">
        <v>45</v>
      </c>
      <c r="F4311" s="1" t="s">
        <v>9793</v>
      </c>
      <c r="G4311" s="1" t="s">
        <v>9837</v>
      </c>
      <c r="H4311" s="1" t="s">
        <v>45</v>
      </c>
      <c r="I4311" s="1" t="s">
        <v>45</v>
      </c>
      <c r="J4311" s="1" t="s">
        <v>48</v>
      </c>
      <c r="K4311" s="1">
        <v>80</v>
      </c>
      <c r="L4311" s="1">
        <v>0</v>
      </c>
      <c r="M4311" s="1">
        <v>0</v>
      </c>
      <c r="N4311" s="1">
        <v>80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 t="s">
        <v>49</v>
      </c>
      <c r="AA4311" s="1" t="s">
        <v>49</v>
      </c>
      <c r="AB4311" s="1" t="s">
        <v>49</v>
      </c>
      <c r="AC4311" s="1" t="s">
        <v>3719</v>
      </c>
      <c r="AD4311" s="1" t="s">
        <v>3720</v>
      </c>
      <c r="AE4311" s="1" t="s">
        <v>3719</v>
      </c>
      <c r="AF4311" s="1" t="s">
        <v>49</v>
      </c>
      <c r="AG4311" s="1" t="s">
        <v>53</v>
      </c>
      <c r="AH4311" s="1" t="s">
        <v>49</v>
      </c>
      <c r="AI4311" s="1" t="s">
        <v>54</v>
      </c>
      <c r="AJ4311" s="1">
        <v>1</v>
      </c>
      <c r="AK4311" s="1" t="str">
        <f t="shared" si="67"/>
        <v xml:space="preserve"> =&lt;90</v>
      </c>
      <c r="AL4311" s="1" t="str">
        <f>VLOOKUP(C:C,[1]基础信息!B$1:D$65536,3,0)</f>
        <v>Jug</v>
      </c>
      <c r="AM4311" s="1" t="str">
        <f>VLOOKUP(C:C,[1]基础信息!B$1:E$65536,4,0)</f>
        <v>Marella XL</v>
      </c>
      <c r="AN4311" s="1" t="str">
        <f>VLOOKUP(C:C,[1]基础信息!B$1:F$65536,5,0)</f>
        <v xml:space="preserve"> silver</v>
      </c>
    </row>
    <row r="4312" spans="1:40">
      <c r="A4312" s="1" t="s">
        <v>41</v>
      </c>
      <c r="B4312" s="1" t="s">
        <v>42</v>
      </c>
      <c r="C4312" s="1" t="s">
        <v>8676</v>
      </c>
      <c r="D4312" s="1" t="s">
        <v>8677</v>
      </c>
      <c r="E4312" s="1" t="s">
        <v>45</v>
      </c>
      <c r="F4312" s="1" t="s">
        <v>9795</v>
      </c>
      <c r="G4312" s="1" t="s">
        <v>9838</v>
      </c>
      <c r="H4312" s="1" t="s">
        <v>45</v>
      </c>
      <c r="I4312" s="1" t="s">
        <v>45</v>
      </c>
      <c r="J4312" s="1" t="s">
        <v>48</v>
      </c>
      <c r="K4312" s="1">
        <v>80</v>
      </c>
      <c r="L4312" s="1">
        <v>0</v>
      </c>
      <c r="M4312" s="1">
        <v>0</v>
      </c>
      <c r="N4312" s="1">
        <v>80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 t="s">
        <v>49</v>
      </c>
      <c r="AA4312" s="1" t="s">
        <v>49</v>
      </c>
      <c r="AB4312" s="1" t="s">
        <v>49</v>
      </c>
      <c r="AC4312" s="1" t="s">
        <v>5288</v>
      </c>
      <c r="AD4312" s="1" t="s">
        <v>5289</v>
      </c>
      <c r="AE4312" s="1" t="s">
        <v>5288</v>
      </c>
      <c r="AF4312" s="1" t="s">
        <v>49</v>
      </c>
      <c r="AG4312" s="1" t="s">
        <v>53</v>
      </c>
      <c r="AH4312" s="1" t="s">
        <v>49</v>
      </c>
      <c r="AI4312" s="1" t="s">
        <v>54</v>
      </c>
      <c r="AJ4312" s="1">
        <v>1</v>
      </c>
      <c r="AK4312" s="1" t="str">
        <f t="shared" si="67"/>
        <v xml:space="preserve"> =&lt;90</v>
      </c>
      <c r="AL4312" s="1" t="str">
        <f>VLOOKUP(C:C,[1]基础信息!B$1:D$65536,3,0)</f>
        <v>Jug</v>
      </c>
      <c r="AM4312" s="1" t="str">
        <f>VLOOKUP(C:C,[1]基础信息!B$1:E$65536,4,0)</f>
        <v>Marella XL</v>
      </c>
      <c r="AN4312" s="1" t="str">
        <f>VLOOKUP(C:C,[1]基础信息!B$1:F$65536,5,0)</f>
        <v xml:space="preserve"> silver</v>
      </c>
    </row>
    <row r="4313" spans="1:40">
      <c r="A4313" s="1" t="s">
        <v>41</v>
      </c>
      <c r="B4313" s="1" t="s">
        <v>42</v>
      </c>
      <c r="C4313" s="1" t="s">
        <v>4438</v>
      </c>
      <c r="D4313" s="1" t="s">
        <v>4439</v>
      </c>
      <c r="E4313" s="1" t="s">
        <v>45</v>
      </c>
      <c r="F4313" s="1" t="s">
        <v>9813</v>
      </c>
      <c r="G4313" s="1" t="s">
        <v>9839</v>
      </c>
      <c r="H4313" s="1" t="s">
        <v>45</v>
      </c>
      <c r="I4313" s="1" t="s">
        <v>45</v>
      </c>
      <c r="J4313" s="1" t="s">
        <v>48</v>
      </c>
      <c r="K4313" s="1">
        <v>36</v>
      </c>
      <c r="L4313" s="1">
        <v>0</v>
      </c>
      <c r="M4313" s="1">
        <v>0</v>
      </c>
      <c r="N4313" s="1">
        <v>36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 t="s">
        <v>49</v>
      </c>
      <c r="AA4313" s="1" t="s">
        <v>49</v>
      </c>
      <c r="AB4313" s="1" t="s">
        <v>49</v>
      </c>
      <c r="AC4313" s="1" t="s">
        <v>2000</v>
      </c>
      <c r="AD4313" s="1" t="s">
        <v>2001</v>
      </c>
      <c r="AE4313" s="1" t="s">
        <v>2000</v>
      </c>
      <c r="AF4313" s="1" t="s">
        <v>8007</v>
      </c>
      <c r="AG4313" s="1" t="s">
        <v>53</v>
      </c>
      <c r="AH4313" s="1" t="s">
        <v>49</v>
      </c>
      <c r="AI4313" s="1" t="s">
        <v>54</v>
      </c>
      <c r="AJ4313" s="1">
        <v>1</v>
      </c>
      <c r="AK4313" s="1" t="str">
        <f t="shared" si="67"/>
        <v xml:space="preserve"> =&lt;90</v>
      </c>
      <c r="AL4313" s="1" t="str">
        <f>VLOOKUP(C:C,[1]基础信息!B$1:D$65536,3,0)</f>
        <v>Hotcup</v>
      </c>
      <c r="AM4313" s="1" t="str">
        <f>VLOOKUP(C:C,[1]基础信息!B$1:E$65536,4,0)</f>
        <v>Hotcup</v>
      </c>
      <c r="AN4313" s="1" t="str">
        <f>VLOOKUP(C:C,[1]基础信息!B$1:F$65536,5,0)</f>
        <v xml:space="preserve"> green</v>
      </c>
    </row>
    <row r="4314" spans="1:40">
      <c r="A4314" s="1" t="s">
        <v>41</v>
      </c>
      <c r="B4314" s="1" t="s">
        <v>42</v>
      </c>
      <c r="C4314" s="1" t="s">
        <v>9824</v>
      </c>
      <c r="D4314" s="1" t="s">
        <v>9825</v>
      </c>
      <c r="E4314" s="1" t="s">
        <v>45</v>
      </c>
      <c r="F4314" s="1" t="s">
        <v>9826</v>
      </c>
      <c r="G4314" s="1" t="s">
        <v>9840</v>
      </c>
      <c r="H4314" s="1" t="s">
        <v>45</v>
      </c>
      <c r="I4314" s="1" t="s">
        <v>45</v>
      </c>
      <c r="J4314" s="1" t="s">
        <v>48</v>
      </c>
      <c r="K4314" s="1">
        <v>60</v>
      </c>
      <c r="L4314" s="1">
        <v>0</v>
      </c>
      <c r="M4314" s="1">
        <v>0</v>
      </c>
      <c r="N4314" s="1">
        <v>60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 t="s">
        <v>49</v>
      </c>
      <c r="AA4314" s="1" t="s">
        <v>49</v>
      </c>
      <c r="AB4314" s="1" t="s">
        <v>49</v>
      </c>
      <c r="AC4314" s="1" t="s">
        <v>7540</v>
      </c>
      <c r="AD4314" s="1" t="s">
        <v>7541</v>
      </c>
      <c r="AE4314" s="1" t="s">
        <v>7540</v>
      </c>
      <c r="AF4314" s="1" t="s">
        <v>49</v>
      </c>
      <c r="AG4314" s="1" t="s">
        <v>53</v>
      </c>
      <c r="AH4314" s="1" t="s">
        <v>49</v>
      </c>
      <c r="AI4314" s="1" t="s">
        <v>54</v>
      </c>
      <c r="AJ4314" s="1">
        <v>1</v>
      </c>
      <c r="AK4314" s="1" t="str">
        <f t="shared" si="67"/>
        <v xml:space="preserve"> =&lt;90</v>
      </c>
      <c r="AL4314" s="1" t="e">
        <f>VLOOKUP(C:C,[1]基础信息!B$1:D$65536,3,0)</f>
        <v>#N/A</v>
      </c>
      <c r="AM4314" s="1" t="e">
        <f>VLOOKUP(C:C,[1]基础信息!B$1:E$65536,4,0)</f>
        <v>#N/A</v>
      </c>
      <c r="AN4314" s="1" t="e">
        <f>VLOOKUP(C:C,[1]基础信息!B$1:F$65536,5,0)</f>
        <v>#N/A</v>
      </c>
    </row>
    <row r="4315" spans="1:40">
      <c r="A4315" s="1" t="s">
        <v>41</v>
      </c>
      <c r="B4315" s="1" t="s">
        <v>42</v>
      </c>
      <c r="C4315" s="1" t="s">
        <v>8676</v>
      </c>
      <c r="D4315" s="1" t="s">
        <v>8677</v>
      </c>
      <c r="E4315" s="1" t="s">
        <v>45</v>
      </c>
      <c r="F4315" s="1" t="s">
        <v>9793</v>
      </c>
      <c r="G4315" s="1" t="s">
        <v>9841</v>
      </c>
      <c r="H4315" s="1" t="s">
        <v>45</v>
      </c>
      <c r="I4315" s="1" t="s">
        <v>45</v>
      </c>
      <c r="J4315" s="1" t="s">
        <v>48</v>
      </c>
      <c r="K4315" s="1">
        <v>80</v>
      </c>
      <c r="L4315" s="1">
        <v>0</v>
      </c>
      <c r="M4315" s="1">
        <v>0</v>
      </c>
      <c r="N4315" s="1">
        <v>80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 t="s">
        <v>49</v>
      </c>
      <c r="AA4315" s="1" t="s">
        <v>49</v>
      </c>
      <c r="AB4315" s="1" t="s">
        <v>49</v>
      </c>
      <c r="AC4315" s="1" t="s">
        <v>3719</v>
      </c>
      <c r="AD4315" s="1" t="s">
        <v>3720</v>
      </c>
      <c r="AE4315" s="1" t="s">
        <v>3719</v>
      </c>
      <c r="AF4315" s="1" t="s">
        <v>49</v>
      </c>
      <c r="AG4315" s="1" t="s">
        <v>53</v>
      </c>
      <c r="AH4315" s="1" t="s">
        <v>49</v>
      </c>
      <c r="AI4315" s="1" t="s">
        <v>54</v>
      </c>
      <c r="AJ4315" s="1">
        <v>1</v>
      </c>
      <c r="AK4315" s="1" t="str">
        <f t="shared" ref="AK4315:AK4378" si="68">IF(AJ4315&gt;$AP$2,$AQ$2,IF(AJ4315&gt;$AP$3,$AQ$3,IF(AJ4315&gt;$AP$4,$AQ$4,$AQ$5)))</f>
        <v xml:space="preserve"> =&lt;90</v>
      </c>
      <c r="AL4315" s="1" t="str">
        <f>VLOOKUP(C:C,[1]基础信息!B$1:D$65536,3,0)</f>
        <v>Jug</v>
      </c>
      <c r="AM4315" s="1" t="str">
        <f>VLOOKUP(C:C,[1]基础信息!B$1:E$65536,4,0)</f>
        <v>Marella XL</v>
      </c>
      <c r="AN4315" s="1" t="str">
        <f>VLOOKUP(C:C,[1]基础信息!B$1:F$65536,5,0)</f>
        <v xml:space="preserve"> silver</v>
      </c>
    </row>
    <row r="4316" spans="1:40">
      <c r="A4316" s="1" t="s">
        <v>41</v>
      </c>
      <c r="B4316" s="1" t="s">
        <v>42</v>
      </c>
      <c r="C4316" s="1" t="s">
        <v>8676</v>
      </c>
      <c r="D4316" s="1" t="s">
        <v>8677</v>
      </c>
      <c r="E4316" s="1" t="s">
        <v>45</v>
      </c>
      <c r="F4316" s="1" t="s">
        <v>9795</v>
      </c>
      <c r="G4316" s="1" t="s">
        <v>9842</v>
      </c>
      <c r="H4316" s="1" t="s">
        <v>45</v>
      </c>
      <c r="I4316" s="1" t="s">
        <v>45</v>
      </c>
      <c r="J4316" s="1" t="s">
        <v>48</v>
      </c>
      <c r="K4316" s="1">
        <v>80</v>
      </c>
      <c r="L4316" s="1">
        <v>0</v>
      </c>
      <c r="M4316" s="1">
        <v>0</v>
      </c>
      <c r="N4316" s="1">
        <v>80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 t="s">
        <v>49</v>
      </c>
      <c r="AA4316" s="1" t="s">
        <v>49</v>
      </c>
      <c r="AB4316" s="1" t="s">
        <v>49</v>
      </c>
      <c r="AC4316" s="1" t="s">
        <v>5288</v>
      </c>
      <c r="AD4316" s="1" t="s">
        <v>5289</v>
      </c>
      <c r="AE4316" s="1" t="s">
        <v>5288</v>
      </c>
      <c r="AF4316" s="1" t="s">
        <v>49</v>
      </c>
      <c r="AG4316" s="1" t="s">
        <v>53</v>
      </c>
      <c r="AH4316" s="1" t="s">
        <v>49</v>
      </c>
      <c r="AI4316" s="1" t="s">
        <v>54</v>
      </c>
      <c r="AJ4316" s="1">
        <v>1</v>
      </c>
      <c r="AK4316" s="1" t="str">
        <f t="shared" si="68"/>
        <v xml:space="preserve"> =&lt;90</v>
      </c>
      <c r="AL4316" s="1" t="str">
        <f>VLOOKUP(C:C,[1]基础信息!B$1:D$65536,3,0)</f>
        <v>Jug</v>
      </c>
      <c r="AM4316" s="1" t="str">
        <f>VLOOKUP(C:C,[1]基础信息!B$1:E$65536,4,0)</f>
        <v>Marella XL</v>
      </c>
      <c r="AN4316" s="1" t="str">
        <f>VLOOKUP(C:C,[1]基础信息!B$1:F$65536,5,0)</f>
        <v xml:space="preserve"> silver</v>
      </c>
    </row>
    <row r="4317" spans="1:40">
      <c r="A4317" s="1" t="s">
        <v>41</v>
      </c>
      <c r="B4317" s="1" t="s">
        <v>42</v>
      </c>
      <c r="C4317" s="1" t="s">
        <v>4438</v>
      </c>
      <c r="D4317" s="1" t="s">
        <v>4439</v>
      </c>
      <c r="E4317" s="1" t="s">
        <v>45</v>
      </c>
      <c r="F4317" s="1" t="s">
        <v>9813</v>
      </c>
      <c r="G4317" s="1" t="s">
        <v>9843</v>
      </c>
      <c r="H4317" s="1" t="s">
        <v>45</v>
      </c>
      <c r="I4317" s="1" t="s">
        <v>45</v>
      </c>
      <c r="J4317" s="1" t="s">
        <v>48</v>
      </c>
      <c r="K4317" s="1">
        <v>36</v>
      </c>
      <c r="L4317" s="1">
        <v>0</v>
      </c>
      <c r="M4317" s="1">
        <v>0</v>
      </c>
      <c r="N4317" s="1">
        <v>36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 t="s">
        <v>49</v>
      </c>
      <c r="AA4317" s="1" t="s">
        <v>49</v>
      </c>
      <c r="AB4317" s="1" t="s">
        <v>49</v>
      </c>
      <c r="AC4317" s="1" t="s">
        <v>2000</v>
      </c>
      <c r="AD4317" s="1" t="s">
        <v>2001</v>
      </c>
      <c r="AE4317" s="1" t="s">
        <v>2000</v>
      </c>
      <c r="AF4317" s="1" t="s">
        <v>8007</v>
      </c>
      <c r="AG4317" s="1" t="s">
        <v>53</v>
      </c>
      <c r="AH4317" s="1" t="s">
        <v>49</v>
      </c>
      <c r="AI4317" s="1" t="s">
        <v>54</v>
      </c>
      <c r="AJ4317" s="1">
        <v>1</v>
      </c>
      <c r="AK4317" s="1" t="str">
        <f t="shared" si="68"/>
        <v xml:space="preserve"> =&lt;90</v>
      </c>
      <c r="AL4317" s="1" t="str">
        <f>VLOOKUP(C:C,[1]基础信息!B$1:D$65536,3,0)</f>
        <v>Hotcup</v>
      </c>
      <c r="AM4317" s="1" t="str">
        <f>VLOOKUP(C:C,[1]基础信息!B$1:E$65536,4,0)</f>
        <v>Hotcup</v>
      </c>
      <c r="AN4317" s="1" t="str">
        <f>VLOOKUP(C:C,[1]基础信息!B$1:F$65536,5,0)</f>
        <v xml:space="preserve"> green</v>
      </c>
    </row>
    <row r="4318" spans="1:40">
      <c r="A4318" s="1" t="s">
        <v>41</v>
      </c>
      <c r="B4318" s="1" t="s">
        <v>42</v>
      </c>
      <c r="C4318" s="1" t="s">
        <v>4438</v>
      </c>
      <c r="D4318" s="1" t="s">
        <v>4439</v>
      </c>
      <c r="E4318" s="1" t="s">
        <v>45</v>
      </c>
      <c r="F4318" s="1" t="s">
        <v>9813</v>
      </c>
      <c r="G4318" s="1" t="s">
        <v>9844</v>
      </c>
      <c r="H4318" s="1" t="s">
        <v>45</v>
      </c>
      <c r="I4318" s="1" t="s">
        <v>45</v>
      </c>
      <c r="J4318" s="1" t="s">
        <v>48</v>
      </c>
      <c r="K4318" s="1">
        <v>36</v>
      </c>
      <c r="L4318" s="1">
        <v>0</v>
      </c>
      <c r="M4318" s="1">
        <v>0</v>
      </c>
      <c r="N4318" s="1">
        <v>36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 t="s">
        <v>49</v>
      </c>
      <c r="AA4318" s="1" t="s">
        <v>49</v>
      </c>
      <c r="AB4318" s="1" t="s">
        <v>49</v>
      </c>
      <c r="AC4318" s="1" t="s">
        <v>2000</v>
      </c>
      <c r="AD4318" s="1" t="s">
        <v>2001</v>
      </c>
      <c r="AE4318" s="1" t="s">
        <v>2000</v>
      </c>
      <c r="AF4318" s="1" t="s">
        <v>8007</v>
      </c>
      <c r="AG4318" s="1" t="s">
        <v>53</v>
      </c>
      <c r="AH4318" s="1" t="s">
        <v>49</v>
      </c>
      <c r="AI4318" s="1" t="s">
        <v>54</v>
      </c>
      <c r="AJ4318" s="1">
        <v>1</v>
      </c>
      <c r="AK4318" s="1" t="str">
        <f t="shared" si="68"/>
        <v xml:space="preserve"> =&lt;90</v>
      </c>
      <c r="AL4318" s="1" t="str">
        <f>VLOOKUP(C:C,[1]基础信息!B$1:D$65536,3,0)</f>
        <v>Hotcup</v>
      </c>
      <c r="AM4318" s="1" t="str">
        <f>VLOOKUP(C:C,[1]基础信息!B$1:E$65536,4,0)</f>
        <v>Hotcup</v>
      </c>
      <c r="AN4318" s="1" t="str">
        <f>VLOOKUP(C:C,[1]基础信息!B$1:F$65536,5,0)</f>
        <v xml:space="preserve"> green</v>
      </c>
    </row>
    <row r="4319" spans="1:40">
      <c r="A4319" s="1" t="s">
        <v>41</v>
      </c>
      <c r="B4319" s="1" t="s">
        <v>42</v>
      </c>
      <c r="C4319" s="1" t="s">
        <v>9824</v>
      </c>
      <c r="D4319" s="1" t="s">
        <v>9825</v>
      </c>
      <c r="E4319" s="1" t="s">
        <v>45</v>
      </c>
      <c r="F4319" s="1" t="s">
        <v>9826</v>
      </c>
      <c r="G4319" s="1" t="s">
        <v>9845</v>
      </c>
      <c r="H4319" s="1" t="s">
        <v>45</v>
      </c>
      <c r="I4319" s="1" t="s">
        <v>45</v>
      </c>
      <c r="J4319" s="1" t="s">
        <v>48</v>
      </c>
      <c r="K4319" s="1">
        <v>60</v>
      </c>
      <c r="L4319" s="1">
        <v>0</v>
      </c>
      <c r="M4319" s="1">
        <v>0</v>
      </c>
      <c r="N4319" s="1">
        <v>60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 t="s">
        <v>49</v>
      </c>
      <c r="AA4319" s="1" t="s">
        <v>49</v>
      </c>
      <c r="AB4319" s="1" t="s">
        <v>49</v>
      </c>
      <c r="AC4319" s="1" t="s">
        <v>7540</v>
      </c>
      <c r="AD4319" s="1" t="s">
        <v>7541</v>
      </c>
      <c r="AE4319" s="1" t="s">
        <v>7540</v>
      </c>
      <c r="AF4319" s="1" t="s">
        <v>49</v>
      </c>
      <c r="AG4319" s="1" t="s">
        <v>53</v>
      </c>
      <c r="AH4319" s="1" t="s">
        <v>49</v>
      </c>
      <c r="AI4319" s="1" t="s">
        <v>54</v>
      </c>
      <c r="AJ4319" s="1">
        <v>1</v>
      </c>
      <c r="AK4319" s="1" t="str">
        <f t="shared" si="68"/>
        <v xml:space="preserve"> =&lt;90</v>
      </c>
      <c r="AL4319" s="1" t="e">
        <f>VLOOKUP(C:C,[1]基础信息!B$1:D$65536,3,0)</f>
        <v>#N/A</v>
      </c>
      <c r="AM4319" s="1" t="e">
        <f>VLOOKUP(C:C,[1]基础信息!B$1:E$65536,4,0)</f>
        <v>#N/A</v>
      </c>
      <c r="AN4319" s="1" t="e">
        <f>VLOOKUP(C:C,[1]基础信息!B$1:F$65536,5,0)</f>
        <v>#N/A</v>
      </c>
    </row>
    <row r="4320" spans="1:40">
      <c r="A4320" s="1" t="s">
        <v>41</v>
      </c>
      <c r="B4320" s="1" t="s">
        <v>42</v>
      </c>
      <c r="C4320" s="1" t="s">
        <v>8676</v>
      </c>
      <c r="D4320" s="1" t="s">
        <v>8677</v>
      </c>
      <c r="E4320" s="1" t="s">
        <v>45</v>
      </c>
      <c r="F4320" s="1" t="s">
        <v>9846</v>
      </c>
      <c r="G4320" s="1" t="s">
        <v>9847</v>
      </c>
      <c r="H4320" s="1" t="s">
        <v>45</v>
      </c>
      <c r="I4320" s="1" t="s">
        <v>45</v>
      </c>
      <c r="J4320" s="1" t="s">
        <v>48</v>
      </c>
      <c r="K4320" s="1">
        <v>16</v>
      </c>
      <c r="L4320" s="1">
        <v>0</v>
      </c>
      <c r="M4320" s="1">
        <v>0</v>
      </c>
      <c r="N4320" s="1">
        <v>16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 t="s">
        <v>49</v>
      </c>
      <c r="AA4320" s="1" t="s">
        <v>49</v>
      </c>
      <c r="AB4320" s="1" t="s">
        <v>49</v>
      </c>
      <c r="AC4320" s="1" t="s">
        <v>5230</v>
      </c>
      <c r="AD4320" s="1" t="s">
        <v>9848</v>
      </c>
      <c r="AE4320" s="1" t="s">
        <v>5230</v>
      </c>
      <c r="AF4320" s="1" t="s">
        <v>49</v>
      </c>
      <c r="AG4320" s="1" t="s">
        <v>53</v>
      </c>
      <c r="AH4320" s="1" t="s">
        <v>49</v>
      </c>
      <c r="AI4320" s="1" t="s">
        <v>54</v>
      </c>
      <c r="AJ4320" s="1">
        <v>1</v>
      </c>
      <c r="AK4320" s="1" t="str">
        <f t="shared" si="68"/>
        <v xml:space="preserve"> =&lt;90</v>
      </c>
      <c r="AL4320" s="1" t="str">
        <f>VLOOKUP(C:C,[1]基础信息!B$1:D$65536,3,0)</f>
        <v>Jug</v>
      </c>
      <c r="AM4320" s="1" t="str">
        <f>VLOOKUP(C:C,[1]基础信息!B$1:E$65536,4,0)</f>
        <v>Marella XL</v>
      </c>
      <c r="AN4320" s="1" t="str">
        <f>VLOOKUP(C:C,[1]基础信息!B$1:F$65536,5,0)</f>
        <v xml:space="preserve"> silver</v>
      </c>
    </row>
    <row r="4321" spans="1:40">
      <c r="A4321" s="1" t="s">
        <v>41</v>
      </c>
      <c r="B4321" s="1" t="s">
        <v>42</v>
      </c>
      <c r="C4321" s="1" t="s">
        <v>8676</v>
      </c>
      <c r="D4321" s="1" t="s">
        <v>8677</v>
      </c>
      <c r="E4321" s="1" t="s">
        <v>45</v>
      </c>
      <c r="F4321" s="1" t="s">
        <v>9793</v>
      </c>
      <c r="G4321" s="1" t="s">
        <v>9849</v>
      </c>
      <c r="H4321" s="1" t="s">
        <v>45</v>
      </c>
      <c r="I4321" s="1" t="s">
        <v>45</v>
      </c>
      <c r="J4321" s="1" t="s">
        <v>48</v>
      </c>
      <c r="K4321" s="1">
        <v>80</v>
      </c>
      <c r="L4321" s="1">
        <v>0</v>
      </c>
      <c r="M4321" s="1">
        <v>0</v>
      </c>
      <c r="N4321" s="1">
        <v>80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 t="s">
        <v>49</v>
      </c>
      <c r="AA4321" s="1" t="s">
        <v>49</v>
      </c>
      <c r="AB4321" s="1" t="s">
        <v>49</v>
      </c>
      <c r="AC4321" s="1" t="s">
        <v>3719</v>
      </c>
      <c r="AD4321" s="1" t="s">
        <v>3720</v>
      </c>
      <c r="AE4321" s="1" t="s">
        <v>3719</v>
      </c>
      <c r="AF4321" s="1" t="s">
        <v>49</v>
      </c>
      <c r="AG4321" s="1" t="s">
        <v>53</v>
      </c>
      <c r="AH4321" s="1" t="s">
        <v>49</v>
      </c>
      <c r="AI4321" s="1" t="s">
        <v>54</v>
      </c>
      <c r="AJ4321" s="1">
        <v>1</v>
      </c>
      <c r="AK4321" s="1" t="str">
        <f t="shared" si="68"/>
        <v xml:space="preserve"> =&lt;90</v>
      </c>
      <c r="AL4321" s="1" t="str">
        <f>VLOOKUP(C:C,[1]基础信息!B$1:D$65536,3,0)</f>
        <v>Jug</v>
      </c>
      <c r="AM4321" s="1" t="str">
        <f>VLOOKUP(C:C,[1]基础信息!B$1:E$65536,4,0)</f>
        <v>Marella XL</v>
      </c>
      <c r="AN4321" s="1" t="str">
        <f>VLOOKUP(C:C,[1]基础信息!B$1:F$65536,5,0)</f>
        <v xml:space="preserve"> silver</v>
      </c>
    </row>
    <row r="4322" spans="1:40">
      <c r="A4322" s="1" t="s">
        <v>41</v>
      </c>
      <c r="B4322" s="1" t="s">
        <v>42</v>
      </c>
      <c r="C4322" s="1" t="s">
        <v>8676</v>
      </c>
      <c r="D4322" s="1" t="s">
        <v>8677</v>
      </c>
      <c r="E4322" s="1" t="s">
        <v>45</v>
      </c>
      <c r="F4322" s="1" t="s">
        <v>9795</v>
      </c>
      <c r="G4322" s="1" t="s">
        <v>9850</v>
      </c>
      <c r="H4322" s="1" t="s">
        <v>45</v>
      </c>
      <c r="I4322" s="1" t="s">
        <v>45</v>
      </c>
      <c r="J4322" s="1" t="s">
        <v>48</v>
      </c>
      <c r="K4322" s="1">
        <v>80</v>
      </c>
      <c r="L4322" s="1">
        <v>0</v>
      </c>
      <c r="M4322" s="1">
        <v>0</v>
      </c>
      <c r="N4322" s="1">
        <v>80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 t="s">
        <v>49</v>
      </c>
      <c r="AA4322" s="1" t="s">
        <v>49</v>
      </c>
      <c r="AB4322" s="1" t="s">
        <v>49</v>
      </c>
      <c r="AC4322" s="1" t="s">
        <v>5288</v>
      </c>
      <c r="AD4322" s="1" t="s">
        <v>5289</v>
      </c>
      <c r="AE4322" s="1" t="s">
        <v>5288</v>
      </c>
      <c r="AF4322" s="1" t="s">
        <v>49</v>
      </c>
      <c r="AG4322" s="1" t="s">
        <v>53</v>
      </c>
      <c r="AH4322" s="1" t="s">
        <v>49</v>
      </c>
      <c r="AI4322" s="1" t="s">
        <v>54</v>
      </c>
      <c r="AJ4322" s="1">
        <v>1</v>
      </c>
      <c r="AK4322" s="1" t="str">
        <f t="shared" si="68"/>
        <v xml:space="preserve"> =&lt;90</v>
      </c>
      <c r="AL4322" s="1" t="str">
        <f>VLOOKUP(C:C,[1]基础信息!B$1:D$65536,3,0)</f>
        <v>Jug</v>
      </c>
      <c r="AM4322" s="1" t="str">
        <f>VLOOKUP(C:C,[1]基础信息!B$1:E$65536,4,0)</f>
        <v>Marella XL</v>
      </c>
      <c r="AN4322" s="1" t="str">
        <f>VLOOKUP(C:C,[1]基础信息!B$1:F$65536,5,0)</f>
        <v xml:space="preserve"> silver</v>
      </c>
    </row>
    <row r="4323" spans="1:40">
      <c r="A4323" s="1" t="s">
        <v>41</v>
      </c>
      <c r="B4323" s="1" t="s">
        <v>42</v>
      </c>
      <c r="C4323" s="1" t="s">
        <v>4438</v>
      </c>
      <c r="D4323" s="1" t="s">
        <v>4439</v>
      </c>
      <c r="E4323" s="1" t="s">
        <v>45</v>
      </c>
      <c r="F4323" s="1" t="s">
        <v>9813</v>
      </c>
      <c r="G4323" s="1" t="s">
        <v>9851</v>
      </c>
      <c r="H4323" s="1" t="s">
        <v>45</v>
      </c>
      <c r="I4323" s="1" t="s">
        <v>45</v>
      </c>
      <c r="J4323" s="1" t="s">
        <v>48</v>
      </c>
      <c r="K4323" s="1">
        <v>36</v>
      </c>
      <c r="L4323" s="1">
        <v>0</v>
      </c>
      <c r="M4323" s="1">
        <v>0</v>
      </c>
      <c r="N4323" s="1">
        <v>36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 t="s">
        <v>49</v>
      </c>
      <c r="AA4323" s="1" t="s">
        <v>49</v>
      </c>
      <c r="AB4323" s="1" t="s">
        <v>49</v>
      </c>
      <c r="AC4323" s="1" t="s">
        <v>2000</v>
      </c>
      <c r="AD4323" s="1" t="s">
        <v>2001</v>
      </c>
      <c r="AE4323" s="1" t="s">
        <v>2000</v>
      </c>
      <c r="AF4323" s="1" t="s">
        <v>8007</v>
      </c>
      <c r="AG4323" s="1" t="s">
        <v>53</v>
      </c>
      <c r="AH4323" s="1" t="s">
        <v>49</v>
      </c>
      <c r="AI4323" s="1" t="s">
        <v>54</v>
      </c>
      <c r="AJ4323" s="1">
        <v>1</v>
      </c>
      <c r="AK4323" s="1" t="str">
        <f t="shared" si="68"/>
        <v xml:space="preserve"> =&lt;90</v>
      </c>
      <c r="AL4323" s="1" t="str">
        <f>VLOOKUP(C:C,[1]基础信息!B$1:D$65536,3,0)</f>
        <v>Hotcup</v>
      </c>
      <c r="AM4323" s="1" t="str">
        <f>VLOOKUP(C:C,[1]基础信息!B$1:E$65536,4,0)</f>
        <v>Hotcup</v>
      </c>
      <c r="AN4323" s="1" t="str">
        <f>VLOOKUP(C:C,[1]基础信息!B$1:F$65536,5,0)</f>
        <v xml:space="preserve"> green</v>
      </c>
    </row>
    <row r="4324" spans="1:40">
      <c r="A4324" s="1" t="s">
        <v>41</v>
      </c>
      <c r="B4324" s="1" t="s">
        <v>42</v>
      </c>
      <c r="C4324" s="1" t="s">
        <v>9824</v>
      </c>
      <c r="D4324" s="1" t="s">
        <v>9825</v>
      </c>
      <c r="E4324" s="1" t="s">
        <v>45</v>
      </c>
      <c r="F4324" s="1" t="s">
        <v>9826</v>
      </c>
      <c r="G4324" s="1" t="s">
        <v>9852</v>
      </c>
      <c r="H4324" s="1" t="s">
        <v>45</v>
      </c>
      <c r="I4324" s="1" t="s">
        <v>45</v>
      </c>
      <c r="J4324" s="1" t="s">
        <v>48</v>
      </c>
      <c r="K4324" s="1">
        <v>60</v>
      </c>
      <c r="L4324" s="1">
        <v>0</v>
      </c>
      <c r="M4324" s="1">
        <v>0</v>
      </c>
      <c r="N4324" s="1">
        <v>60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 t="s">
        <v>49</v>
      </c>
      <c r="AA4324" s="1" t="s">
        <v>49</v>
      </c>
      <c r="AB4324" s="1" t="s">
        <v>49</v>
      </c>
      <c r="AC4324" s="1" t="s">
        <v>7540</v>
      </c>
      <c r="AD4324" s="1" t="s">
        <v>7541</v>
      </c>
      <c r="AE4324" s="1" t="s">
        <v>7540</v>
      </c>
      <c r="AF4324" s="1" t="s">
        <v>49</v>
      </c>
      <c r="AG4324" s="1" t="s">
        <v>53</v>
      </c>
      <c r="AH4324" s="1" t="s">
        <v>49</v>
      </c>
      <c r="AI4324" s="1" t="s">
        <v>54</v>
      </c>
      <c r="AJ4324" s="1">
        <v>1</v>
      </c>
      <c r="AK4324" s="1" t="str">
        <f t="shared" si="68"/>
        <v xml:space="preserve"> =&lt;90</v>
      </c>
      <c r="AL4324" s="1" t="e">
        <f>VLOOKUP(C:C,[1]基础信息!B$1:D$65536,3,0)</f>
        <v>#N/A</v>
      </c>
      <c r="AM4324" s="1" t="e">
        <f>VLOOKUP(C:C,[1]基础信息!B$1:E$65536,4,0)</f>
        <v>#N/A</v>
      </c>
      <c r="AN4324" s="1" t="e">
        <f>VLOOKUP(C:C,[1]基础信息!B$1:F$65536,5,0)</f>
        <v>#N/A</v>
      </c>
    </row>
    <row r="4325" spans="1:40">
      <c r="A4325" s="1" t="s">
        <v>41</v>
      </c>
      <c r="B4325" s="1" t="s">
        <v>42</v>
      </c>
      <c r="C4325" s="1" t="s">
        <v>8676</v>
      </c>
      <c r="D4325" s="1" t="s">
        <v>8677</v>
      </c>
      <c r="E4325" s="1" t="s">
        <v>45</v>
      </c>
      <c r="F4325" s="1" t="s">
        <v>9846</v>
      </c>
      <c r="G4325" s="1" t="s">
        <v>9853</v>
      </c>
      <c r="H4325" s="1" t="s">
        <v>45</v>
      </c>
      <c r="I4325" s="1" t="s">
        <v>45</v>
      </c>
      <c r="J4325" s="1" t="s">
        <v>48</v>
      </c>
      <c r="K4325" s="1">
        <v>80</v>
      </c>
      <c r="L4325" s="1">
        <v>0</v>
      </c>
      <c r="M4325" s="1">
        <v>0</v>
      </c>
      <c r="N4325" s="1">
        <v>80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 t="s">
        <v>49</v>
      </c>
      <c r="AA4325" s="1" t="s">
        <v>49</v>
      </c>
      <c r="AB4325" s="1" t="s">
        <v>49</v>
      </c>
      <c r="AC4325" s="1" t="s">
        <v>5230</v>
      </c>
      <c r="AD4325" s="1" t="s">
        <v>9848</v>
      </c>
      <c r="AE4325" s="1" t="s">
        <v>5230</v>
      </c>
      <c r="AF4325" s="1" t="s">
        <v>49</v>
      </c>
      <c r="AG4325" s="1" t="s">
        <v>53</v>
      </c>
      <c r="AH4325" s="1" t="s">
        <v>49</v>
      </c>
      <c r="AI4325" s="1" t="s">
        <v>54</v>
      </c>
      <c r="AJ4325" s="1">
        <v>1</v>
      </c>
      <c r="AK4325" s="1" t="str">
        <f t="shared" si="68"/>
        <v xml:space="preserve"> =&lt;90</v>
      </c>
      <c r="AL4325" s="1" t="str">
        <f>VLOOKUP(C:C,[1]基础信息!B$1:D$65536,3,0)</f>
        <v>Jug</v>
      </c>
      <c r="AM4325" s="1" t="str">
        <f>VLOOKUP(C:C,[1]基础信息!B$1:E$65536,4,0)</f>
        <v>Marella XL</v>
      </c>
      <c r="AN4325" s="1" t="str">
        <f>VLOOKUP(C:C,[1]基础信息!B$1:F$65536,5,0)</f>
        <v xml:space="preserve"> silver</v>
      </c>
    </row>
    <row r="4326" spans="1:40">
      <c r="A4326" s="1" t="s">
        <v>41</v>
      </c>
      <c r="B4326" s="1" t="s">
        <v>42</v>
      </c>
      <c r="C4326" s="1" t="s">
        <v>8676</v>
      </c>
      <c r="D4326" s="1" t="s">
        <v>8677</v>
      </c>
      <c r="E4326" s="1" t="s">
        <v>45</v>
      </c>
      <c r="F4326" s="1" t="s">
        <v>9793</v>
      </c>
      <c r="G4326" s="1" t="s">
        <v>9854</v>
      </c>
      <c r="H4326" s="1" t="s">
        <v>45</v>
      </c>
      <c r="I4326" s="1" t="s">
        <v>45</v>
      </c>
      <c r="J4326" s="1" t="s">
        <v>48</v>
      </c>
      <c r="K4326" s="1">
        <v>80</v>
      </c>
      <c r="L4326" s="1">
        <v>0</v>
      </c>
      <c r="M4326" s="1">
        <v>0</v>
      </c>
      <c r="N4326" s="1">
        <v>80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 t="s">
        <v>49</v>
      </c>
      <c r="AA4326" s="1" t="s">
        <v>49</v>
      </c>
      <c r="AB4326" s="1" t="s">
        <v>49</v>
      </c>
      <c r="AC4326" s="1" t="s">
        <v>3719</v>
      </c>
      <c r="AD4326" s="1" t="s">
        <v>3720</v>
      </c>
      <c r="AE4326" s="1" t="s">
        <v>3719</v>
      </c>
      <c r="AF4326" s="1" t="s">
        <v>49</v>
      </c>
      <c r="AG4326" s="1" t="s">
        <v>53</v>
      </c>
      <c r="AH4326" s="1" t="s">
        <v>49</v>
      </c>
      <c r="AI4326" s="1" t="s">
        <v>54</v>
      </c>
      <c r="AJ4326" s="1">
        <v>1</v>
      </c>
      <c r="AK4326" s="1" t="str">
        <f t="shared" si="68"/>
        <v xml:space="preserve"> =&lt;90</v>
      </c>
      <c r="AL4326" s="1" t="str">
        <f>VLOOKUP(C:C,[1]基础信息!B$1:D$65536,3,0)</f>
        <v>Jug</v>
      </c>
      <c r="AM4326" s="1" t="str">
        <f>VLOOKUP(C:C,[1]基础信息!B$1:E$65536,4,0)</f>
        <v>Marella XL</v>
      </c>
      <c r="AN4326" s="1" t="str">
        <f>VLOOKUP(C:C,[1]基础信息!B$1:F$65536,5,0)</f>
        <v xml:space="preserve"> silver</v>
      </c>
    </row>
    <row r="4327" spans="1:40">
      <c r="A4327" s="1" t="s">
        <v>41</v>
      </c>
      <c r="B4327" s="1" t="s">
        <v>42</v>
      </c>
      <c r="C4327" s="1" t="s">
        <v>8676</v>
      </c>
      <c r="D4327" s="1" t="s">
        <v>8677</v>
      </c>
      <c r="E4327" s="1" t="s">
        <v>45</v>
      </c>
      <c r="F4327" s="1" t="s">
        <v>9795</v>
      </c>
      <c r="G4327" s="1" t="s">
        <v>9855</v>
      </c>
      <c r="H4327" s="1" t="s">
        <v>45</v>
      </c>
      <c r="I4327" s="1" t="s">
        <v>45</v>
      </c>
      <c r="J4327" s="1" t="s">
        <v>48</v>
      </c>
      <c r="K4327" s="1">
        <v>80</v>
      </c>
      <c r="L4327" s="1">
        <v>0</v>
      </c>
      <c r="M4327" s="1">
        <v>0</v>
      </c>
      <c r="N4327" s="1">
        <v>80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 t="s">
        <v>49</v>
      </c>
      <c r="AA4327" s="1" t="s">
        <v>49</v>
      </c>
      <c r="AB4327" s="1" t="s">
        <v>49</v>
      </c>
      <c r="AC4327" s="1" t="s">
        <v>5288</v>
      </c>
      <c r="AD4327" s="1" t="s">
        <v>5289</v>
      </c>
      <c r="AE4327" s="1" t="s">
        <v>5288</v>
      </c>
      <c r="AF4327" s="1" t="s">
        <v>49</v>
      </c>
      <c r="AG4327" s="1" t="s">
        <v>53</v>
      </c>
      <c r="AH4327" s="1" t="s">
        <v>49</v>
      </c>
      <c r="AI4327" s="1" t="s">
        <v>54</v>
      </c>
      <c r="AJ4327" s="1">
        <v>1</v>
      </c>
      <c r="AK4327" s="1" t="str">
        <f t="shared" si="68"/>
        <v xml:space="preserve"> =&lt;90</v>
      </c>
      <c r="AL4327" s="1" t="str">
        <f>VLOOKUP(C:C,[1]基础信息!B$1:D$65536,3,0)</f>
        <v>Jug</v>
      </c>
      <c r="AM4327" s="1" t="str">
        <f>VLOOKUP(C:C,[1]基础信息!B$1:E$65536,4,0)</f>
        <v>Marella XL</v>
      </c>
      <c r="AN4327" s="1" t="str">
        <f>VLOOKUP(C:C,[1]基础信息!B$1:F$65536,5,0)</f>
        <v xml:space="preserve"> silver</v>
      </c>
    </row>
    <row r="4328" spans="1:40">
      <c r="A4328" s="1" t="s">
        <v>41</v>
      </c>
      <c r="B4328" s="1" t="s">
        <v>42</v>
      </c>
      <c r="C4328" s="1" t="s">
        <v>4438</v>
      </c>
      <c r="D4328" s="1" t="s">
        <v>4439</v>
      </c>
      <c r="E4328" s="1" t="s">
        <v>45</v>
      </c>
      <c r="F4328" s="1" t="s">
        <v>9813</v>
      </c>
      <c r="G4328" s="1" t="s">
        <v>9856</v>
      </c>
      <c r="H4328" s="1" t="s">
        <v>45</v>
      </c>
      <c r="I4328" s="1" t="s">
        <v>45</v>
      </c>
      <c r="J4328" s="1" t="s">
        <v>48</v>
      </c>
      <c r="K4328" s="1">
        <v>36</v>
      </c>
      <c r="L4328" s="1">
        <v>0</v>
      </c>
      <c r="M4328" s="1">
        <v>0</v>
      </c>
      <c r="N4328" s="1">
        <v>36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 t="s">
        <v>49</v>
      </c>
      <c r="AA4328" s="1" t="s">
        <v>49</v>
      </c>
      <c r="AB4328" s="1" t="s">
        <v>49</v>
      </c>
      <c r="AC4328" s="1" t="s">
        <v>2000</v>
      </c>
      <c r="AD4328" s="1" t="s">
        <v>2001</v>
      </c>
      <c r="AE4328" s="1" t="s">
        <v>2000</v>
      </c>
      <c r="AF4328" s="1" t="s">
        <v>8007</v>
      </c>
      <c r="AG4328" s="1" t="s">
        <v>53</v>
      </c>
      <c r="AH4328" s="1" t="s">
        <v>49</v>
      </c>
      <c r="AI4328" s="1" t="s">
        <v>54</v>
      </c>
      <c r="AJ4328" s="1">
        <v>1</v>
      </c>
      <c r="AK4328" s="1" t="str">
        <f t="shared" si="68"/>
        <v xml:space="preserve"> =&lt;90</v>
      </c>
      <c r="AL4328" s="1" t="str">
        <f>VLOOKUP(C:C,[1]基础信息!B$1:D$65536,3,0)</f>
        <v>Hotcup</v>
      </c>
      <c r="AM4328" s="1" t="str">
        <f>VLOOKUP(C:C,[1]基础信息!B$1:E$65536,4,0)</f>
        <v>Hotcup</v>
      </c>
      <c r="AN4328" s="1" t="str">
        <f>VLOOKUP(C:C,[1]基础信息!B$1:F$65536,5,0)</f>
        <v xml:space="preserve"> green</v>
      </c>
    </row>
    <row r="4329" spans="1:40">
      <c r="A4329" s="1" t="s">
        <v>41</v>
      </c>
      <c r="B4329" s="1" t="s">
        <v>42</v>
      </c>
      <c r="C4329" s="1" t="s">
        <v>9824</v>
      </c>
      <c r="D4329" s="1" t="s">
        <v>9825</v>
      </c>
      <c r="E4329" s="1" t="s">
        <v>45</v>
      </c>
      <c r="F4329" s="1" t="s">
        <v>9826</v>
      </c>
      <c r="G4329" s="1" t="s">
        <v>9857</v>
      </c>
      <c r="H4329" s="1" t="s">
        <v>45</v>
      </c>
      <c r="I4329" s="1" t="s">
        <v>45</v>
      </c>
      <c r="J4329" s="1" t="s">
        <v>48</v>
      </c>
      <c r="K4329" s="1">
        <v>60</v>
      </c>
      <c r="L4329" s="1">
        <v>0</v>
      </c>
      <c r="M4329" s="1">
        <v>0</v>
      </c>
      <c r="N4329" s="1">
        <v>60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 t="s">
        <v>49</v>
      </c>
      <c r="AA4329" s="1" t="s">
        <v>49</v>
      </c>
      <c r="AB4329" s="1" t="s">
        <v>49</v>
      </c>
      <c r="AC4329" s="1" t="s">
        <v>7540</v>
      </c>
      <c r="AD4329" s="1" t="s">
        <v>7541</v>
      </c>
      <c r="AE4329" s="1" t="s">
        <v>7540</v>
      </c>
      <c r="AF4329" s="1" t="s">
        <v>49</v>
      </c>
      <c r="AG4329" s="1" t="s">
        <v>53</v>
      </c>
      <c r="AH4329" s="1" t="s">
        <v>49</v>
      </c>
      <c r="AI4329" s="1" t="s">
        <v>54</v>
      </c>
      <c r="AJ4329" s="1">
        <v>1</v>
      </c>
      <c r="AK4329" s="1" t="str">
        <f t="shared" si="68"/>
        <v xml:space="preserve"> =&lt;90</v>
      </c>
      <c r="AL4329" s="1" t="e">
        <f>VLOOKUP(C:C,[1]基础信息!B$1:D$65536,3,0)</f>
        <v>#N/A</v>
      </c>
      <c r="AM4329" s="1" t="e">
        <f>VLOOKUP(C:C,[1]基础信息!B$1:E$65536,4,0)</f>
        <v>#N/A</v>
      </c>
      <c r="AN4329" s="1" t="e">
        <f>VLOOKUP(C:C,[1]基础信息!B$1:F$65536,5,0)</f>
        <v>#N/A</v>
      </c>
    </row>
    <row r="4330" spans="1:40">
      <c r="A4330" s="1" t="s">
        <v>41</v>
      </c>
      <c r="B4330" s="1" t="s">
        <v>42</v>
      </c>
      <c r="C4330" s="1" t="s">
        <v>8676</v>
      </c>
      <c r="D4330" s="1" t="s">
        <v>8677</v>
      </c>
      <c r="E4330" s="1" t="s">
        <v>45</v>
      </c>
      <c r="F4330" s="1" t="s">
        <v>9846</v>
      </c>
      <c r="G4330" s="1" t="s">
        <v>9858</v>
      </c>
      <c r="H4330" s="1" t="s">
        <v>45</v>
      </c>
      <c r="I4330" s="1" t="s">
        <v>45</v>
      </c>
      <c r="J4330" s="1" t="s">
        <v>48</v>
      </c>
      <c r="K4330" s="1">
        <v>80</v>
      </c>
      <c r="L4330" s="1">
        <v>0</v>
      </c>
      <c r="M4330" s="1">
        <v>0</v>
      </c>
      <c r="N4330" s="1">
        <v>80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 t="s">
        <v>49</v>
      </c>
      <c r="AA4330" s="1" t="s">
        <v>49</v>
      </c>
      <c r="AB4330" s="1" t="s">
        <v>49</v>
      </c>
      <c r="AC4330" s="1" t="s">
        <v>5230</v>
      </c>
      <c r="AD4330" s="1" t="s">
        <v>9848</v>
      </c>
      <c r="AE4330" s="1" t="s">
        <v>5230</v>
      </c>
      <c r="AF4330" s="1" t="s">
        <v>49</v>
      </c>
      <c r="AG4330" s="1" t="s">
        <v>53</v>
      </c>
      <c r="AH4330" s="1" t="s">
        <v>49</v>
      </c>
      <c r="AI4330" s="1" t="s">
        <v>54</v>
      </c>
      <c r="AJ4330" s="1">
        <v>1</v>
      </c>
      <c r="AK4330" s="1" t="str">
        <f t="shared" si="68"/>
        <v xml:space="preserve"> =&lt;90</v>
      </c>
      <c r="AL4330" s="1" t="str">
        <f>VLOOKUP(C:C,[1]基础信息!B$1:D$65536,3,0)</f>
        <v>Jug</v>
      </c>
      <c r="AM4330" s="1" t="str">
        <f>VLOOKUP(C:C,[1]基础信息!B$1:E$65536,4,0)</f>
        <v>Marella XL</v>
      </c>
      <c r="AN4330" s="1" t="str">
        <f>VLOOKUP(C:C,[1]基础信息!B$1:F$65536,5,0)</f>
        <v xml:space="preserve"> silver</v>
      </c>
    </row>
    <row r="4331" spans="1:40">
      <c r="A4331" s="1" t="s">
        <v>41</v>
      </c>
      <c r="B4331" s="1" t="s">
        <v>42</v>
      </c>
      <c r="C4331" s="1" t="s">
        <v>8676</v>
      </c>
      <c r="D4331" s="1" t="s">
        <v>8677</v>
      </c>
      <c r="E4331" s="1" t="s">
        <v>45</v>
      </c>
      <c r="F4331" s="1" t="s">
        <v>9793</v>
      </c>
      <c r="G4331" s="1" t="s">
        <v>9859</v>
      </c>
      <c r="H4331" s="1" t="s">
        <v>45</v>
      </c>
      <c r="I4331" s="1" t="s">
        <v>45</v>
      </c>
      <c r="J4331" s="1" t="s">
        <v>48</v>
      </c>
      <c r="K4331" s="1">
        <v>80</v>
      </c>
      <c r="L4331" s="1">
        <v>0</v>
      </c>
      <c r="M4331" s="1">
        <v>0</v>
      </c>
      <c r="N4331" s="1">
        <v>80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 t="s">
        <v>49</v>
      </c>
      <c r="AA4331" s="1" t="s">
        <v>49</v>
      </c>
      <c r="AB4331" s="1" t="s">
        <v>49</v>
      </c>
      <c r="AC4331" s="1" t="s">
        <v>3719</v>
      </c>
      <c r="AD4331" s="1" t="s">
        <v>3720</v>
      </c>
      <c r="AE4331" s="1" t="s">
        <v>3719</v>
      </c>
      <c r="AF4331" s="1" t="s">
        <v>49</v>
      </c>
      <c r="AG4331" s="1" t="s">
        <v>53</v>
      </c>
      <c r="AH4331" s="1" t="s">
        <v>49</v>
      </c>
      <c r="AI4331" s="1" t="s">
        <v>54</v>
      </c>
      <c r="AJ4331" s="1">
        <v>1</v>
      </c>
      <c r="AK4331" s="1" t="str">
        <f t="shared" si="68"/>
        <v xml:space="preserve"> =&lt;90</v>
      </c>
      <c r="AL4331" s="1" t="str">
        <f>VLOOKUP(C:C,[1]基础信息!B$1:D$65536,3,0)</f>
        <v>Jug</v>
      </c>
      <c r="AM4331" s="1" t="str">
        <f>VLOOKUP(C:C,[1]基础信息!B$1:E$65536,4,0)</f>
        <v>Marella XL</v>
      </c>
      <c r="AN4331" s="1" t="str">
        <f>VLOOKUP(C:C,[1]基础信息!B$1:F$65536,5,0)</f>
        <v xml:space="preserve"> silver</v>
      </c>
    </row>
    <row r="4332" spans="1:40">
      <c r="A4332" s="1" t="s">
        <v>41</v>
      </c>
      <c r="B4332" s="1" t="s">
        <v>42</v>
      </c>
      <c r="C4332" s="1" t="s">
        <v>8676</v>
      </c>
      <c r="D4332" s="1" t="s">
        <v>8677</v>
      </c>
      <c r="E4332" s="1" t="s">
        <v>45</v>
      </c>
      <c r="F4332" s="1" t="s">
        <v>9795</v>
      </c>
      <c r="G4332" s="1" t="s">
        <v>9860</v>
      </c>
      <c r="H4332" s="1" t="s">
        <v>45</v>
      </c>
      <c r="I4332" s="1" t="s">
        <v>45</v>
      </c>
      <c r="J4332" s="1" t="s">
        <v>48</v>
      </c>
      <c r="K4332" s="1">
        <v>80</v>
      </c>
      <c r="L4332" s="1">
        <v>0</v>
      </c>
      <c r="M4332" s="1">
        <v>0</v>
      </c>
      <c r="N4332" s="1">
        <v>80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 t="s">
        <v>49</v>
      </c>
      <c r="AA4332" s="1" t="s">
        <v>49</v>
      </c>
      <c r="AB4332" s="1" t="s">
        <v>49</v>
      </c>
      <c r="AC4332" s="1" t="s">
        <v>5288</v>
      </c>
      <c r="AD4332" s="1" t="s">
        <v>5289</v>
      </c>
      <c r="AE4332" s="1" t="s">
        <v>5288</v>
      </c>
      <c r="AF4332" s="1" t="s">
        <v>49</v>
      </c>
      <c r="AG4332" s="1" t="s">
        <v>53</v>
      </c>
      <c r="AH4332" s="1" t="s">
        <v>49</v>
      </c>
      <c r="AI4332" s="1" t="s">
        <v>54</v>
      </c>
      <c r="AJ4332" s="1">
        <v>1</v>
      </c>
      <c r="AK4332" s="1" t="str">
        <f t="shared" si="68"/>
        <v xml:space="preserve"> =&lt;90</v>
      </c>
      <c r="AL4332" s="1" t="str">
        <f>VLOOKUP(C:C,[1]基础信息!B$1:D$65536,3,0)</f>
        <v>Jug</v>
      </c>
      <c r="AM4332" s="1" t="str">
        <f>VLOOKUP(C:C,[1]基础信息!B$1:E$65536,4,0)</f>
        <v>Marella XL</v>
      </c>
      <c r="AN4332" s="1" t="str">
        <f>VLOOKUP(C:C,[1]基础信息!B$1:F$65536,5,0)</f>
        <v xml:space="preserve"> silver</v>
      </c>
    </row>
    <row r="4333" spans="1:40">
      <c r="A4333" s="1" t="s">
        <v>41</v>
      </c>
      <c r="B4333" s="1" t="s">
        <v>42</v>
      </c>
      <c r="C4333" s="1" t="s">
        <v>4438</v>
      </c>
      <c r="D4333" s="1" t="s">
        <v>4439</v>
      </c>
      <c r="E4333" s="1" t="s">
        <v>45</v>
      </c>
      <c r="F4333" s="1" t="s">
        <v>9813</v>
      </c>
      <c r="G4333" s="1" t="s">
        <v>9861</v>
      </c>
      <c r="H4333" s="1" t="s">
        <v>45</v>
      </c>
      <c r="I4333" s="1" t="s">
        <v>45</v>
      </c>
      <c r="J4333" s="1" t="s">
        <v>48</v>
      </c>
      <c r="K4333" s="1">
        <v>36</v>
      </c>
      <c r="L4333" s="1">
        <v>0</v>
      </c>
      <c r="M4333" s="1">
        <v>0</v>
      </c>
      <c r="N4333" s="1">
        <v>36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 t="s">
        <v>49</v>
      </c>
      <c r="AA4333" s="1" t="s">
        <v>49</v>
      </c>
      <c r="AB4333" s="1" t="s">
        <v>49</v>
      </c>
      <c r="AC4333" s="1" t="s">
        <v>2000</v>
      </c>
      <c r="AD4333" s="1" t="s">
        <v>2001</v>
      </c>
      <c r="AE4333" s="1" t="s">
        <v>2000</v>
      </c>
      <c r="AF4333" s="1" t="s">
        <v>8007</v>
      </c>
      <c r="AG4333" s="1" t="s">
        <v>53</v>
      </c>
      <c r="AH4333" s="1" t="s">
        <v>49</v>
      </c>
      <c r="AI4333" s="1" t="s">
        <v>54</v>
      </c>
      <c r="AJ4333" s="1">
        <v>1</v>
      </c>
      <c r="AK4333" s="1" t="str">
        <f t="shared" si="68"/>
        <v xml:space="preserve"> =&lt;90</v>
      </c>
      <c r="AL4333" s="1" t="str">
        <f>VLOOKUP(C:C,[1]基础信息!B$1:D$65536,3,0)</f>
        <v>Hotcup</v>
      </c>
      <c r="AM4333" s="1" t="str">
        <f>VLOOKUP(C:C,[1]基础信息!B$1:E$65536,4,0)</f>
        <v>Hotcup</v>
      </c>
      <c r="AN4333" s="1" t="str">
        <f>VLOOKUP(C:C,[1]基础信息!B$1:F$65536,5,0)</f>
        <v xml:space="preserve"> green</v>
      </c>
    </row>
    <row r="4334" spans="1:40">
      <c r="A4334" s="1" t="s">
        <v>41</v>
      </c>
      <c r="B4334" s="1" t="s">
        <v>42</v>
      </c>
      <c r="C4334" s="1" t="s">
        <v>4438</v>
      </c>
      <c r="D4334" s="1" t="s">
        <v>4439</v>
      </c>
      <c r="E4334" s="1" t="s">
        <v>45</v>
      </c>
      <c r="F4334" s="1" t="s">
        <v>9813</v>
      </c>
      <c r="G4334" s="1" t="s">
        <v>9862</v>
      </c>
      <c r="H4334" s="1" t="s">
        <v>45</v>
      </c>
      <c r="I4334" s="1" t="s">
        <v>45</v>
      </c>
      <c r="J4334" s="1" t="s">
        <v>48</v>
      </c>
      <c r="K4334" s="1">
        <v>36</v>
      </c>
      <c r="L4334" s="1">
        <v>0</v>
      </c>
      <c r="M4334" s="1">
        <v>0</v>
      </c>
      <c r="N4334" s="1">
        <v>36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 t="s">
        <v>49</v>
      </c>
      <c r="AA4334" s="1" t="s">
        <v>49</v>
      </c>
      <c r="AB4334" s="1" t="s">
        <v>49</v>
      </c>
      <c r="AC4334" s="1" t="s">
        <v>2000</v>
      </c>
      <c r="AD4334" s="1" t="s">
        <v>2001</v>
      </c>
      <c r="AE4334" s="1" t="s">
        <v>2000</v>
      </c>
      <c r="AF4334" s="1" t="s">
        <v>8007</v>
      </c>
      <c r="AG4334" s="1" t="s">
        <v>53</v>
      </c>
      <c r="AH4334" s="1" t="s">
        <v>49</v>
      </c>
      <c r="AI4334" s="1" t="s">
        <v>54</v>
      </c>
      <c r="AJ4334" s="1">
        <v>1</v>
      </c>
      <c r="AK4334" s="1" t="str">
        <f t="shared" si="68"/>
        <v xml:space="preserve"> =&lt;90</v>
      </c>
      <c r="AL4334" s="1" t="str">
        <f>VLOOKUP(C:C,[1]基础信息!B$1:D$65536,3,0)</f>
        <v>Hotcup</v>
      </c>
      <c r="AM4334" s="1" t="str">
        <f>VLOOKUP(C:C,[1]基础信息!B$1:E$65536,4,0)</f>
        <v>Hotcup</v>
      </c>
      <c r="AN4334" s="1" t="str">
        <f>VLOOKUP(C:C,[1]基础信息!B$1:F$65536,5,0)</f>
        <v xml:space="preserve"> green</v>
      </c>
    </row>
    <row r="4335" spans="1:40">
      <c r="A4335" s="1" t="s">
        <v>41</v>
      </c>
      <c r="B4335" s="1" t="s">
        <v>42</v>
      </c>
      <c r="C4335" s="1" t="s">
        <v>8676</v>
      </c>
      <c r="D4335" s="1" t="s">
        <v>8677</v>
      </c>
      <c r="E4335" s="1" t="s">
        <v>45</v>
      </c>
      <c r="F4335" s="1" t="s">
        <v>9863</v>
      </c>
      <c r="G4335" s="1" t="s">
        <v>9864</v>
      </c>
      <c r="H4335" s="1" t="s">
        <v>45</v>
      </c>
      <c r="I4335" s="1" t="s">
        <v>45</v>
      </c>
      <c r="J4335" s="1" t="s">
        <v>48</v>
      </c>
      <c r="K4335" s="1">
        <v>80</v>
      </c>
      <c r="L4335" s="1">
        <v>0</v>
      </c>
      <c r="M4335" s="1">
        <v>0</v>
      </c>
      <c r="N4335" s="1">
        <v>80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 t="s">
        <v>49</v>
      </c>
      <c r="AA4335" s="1" t="s">
        <v>49</v>
      </c>
      <c r="AB4335" s="1" t="s">
        <v>49</v>
      </c>
      <c r="AC4335" s="1" t="s">
        <v>5290</v>
      </c>
      <c r="AD4335" s="1" t="s">
        <v>9865</v>
      </c>
      <c r="AE4335" s="1" t="s">
        <v>5290</v>
      </c>
      <c r="AF4335" s="1" t="s">
        <v>49</v>
      </c>
      <c r="AG4335" s="1" t="s">
        <v>53</v>
      </c>
      <c r="AH4335" s="1" t="s">
        <v>49</v>
      </c>
      <c r="AI4335" s="1" t="s">
        <v>54</v>
      </c>
      <c r="AJ4335" s="1">
        <v>1</v>
      </c>
      <c r="AK4335" s="1" t="str">
        <f t="shared" si="68"/>
        <v xml:space="preserve"> =&lt;90</v>
      </c>
      <c r="AL4335" s="1" t="str">
        <f>VLOOKUP(C:C,[1]基础信息!B$1:D$65536,3,0)</f>
        <v>Jug</v>
      </c>
      <c r="AM4335" s="1" t="str">
        <f>VLOOKUP(C:C,[1]基础信息!B$1:E$65536,4,0)</f>
        <v>Marella XL</v>
      </c>
      <c r="AN4335" s="1" t="str">
        <f>VLOOKUP(C:C,[1]基础信息!B$1:F$65536,5,0)</f>
        <v xml:space="preserve"> silver</v>
      </c>
    </row>
    <row r="4336" spans="1:40">
      <c r="A4336" s="1" t="s">
        <v>41</v>
      </c>
      <c r="B4336" s="1" t="s">
        <v>42</v>
      </c>
      <c r="C4336" s="1" t="s">
        <v>8676</v>
      </c>
      <c r="D4336" s="1" t="s">
        <v>8677</v>
      </c>
      <c r="E4336" s="1" t="s">
        <v>45</v>
      </c>
      <c r="F4336" s="1" t="s">
        <v>9846</v>
      </c>
      <c r="G4336" s="1" t="s">
        <v>9866</v>
      </c>
      <c r="H4336" s="1" t="s">
        <v>45</v>
      </c>
      <c r="I4336" s="1" t="s">
        <v>45</v>
      </c>
      <c r="J4336" s="1" t="s">
        <v>48</v>
      </c>
      <c r="K4336" s="1">
        <v>80</v>
      </c>
      <c r="L4336" s="1">
        <v>0</v>
      </c>
      <c r="M4336" s="1">
        <v>0</v>
      </c>
      <c r="N4336" s="1">
        <v>80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 t="s">
        <v>49</v>
      </c>
      <c r="AA4336" s="1" t="s">
        <v>49</v>
      </c>
      <c r="AB4336" s="1" t="s">
        <v>49</v>
      </c>
      <c r="AC4336" s="1" t="s">
        <v>5230</v>
      </c>
      <c r="AD4336" s="1" t="s">
        <v>9848</v>
      </c>
      <c r="AE4336" s="1" t="s">
        <v>5230</v>
      </c>
      <c r="AF4336" s="1" t="s">
        <v>49</v>
      </c>
      <c r="AG4336" s="1" t="s">
        <v>53</v>
      </c>
      <c r="AH4336" s="1" t="s">
        <v>49</v>
      </c>
      <c r="AI4336" s="1" t="s">
        <v>54</v>
      </c>
      <c r="AJ4336" s="1">
        <v>1</v>
      </c>
      <c r="AK4336" s="1" t="str">
        <f t="shared" si="68"/>
        <v xml:space="preserve"> =&lt;90</v>
      </c>
      <c r="AL4336" s="1" t="str">
        <f>VLOOKUP(C:C,[1]基础信息!B$1:D$65536,3,0)</f>
        <v>Jug</v>
      </c>
      <c r="AM4336" s="1" t="str">
        <f>VLOOKUP(C:C,[1]基础信息!B$1:E$65536,4,0)</f>
        <v>Marella XL</v>
      </c>
      <c r="AN4336" s="1" t="str">
        <f>VLOOKUP(C:C,[1]基础信息!B$1:F$65536,5,0)</f>
        <v xml:space="preserve"> silver</v>
      </c>
    </row>
    <row r="4337" spans="1:40">
      <c r="A4337" s="1" t="s">
        <v>41</v>
      </c>
      <c r="B4337" s="1" t="s">
        <v>42</v>
      </c>
      <c r="C4337" s="1" t="s">
        <v>8676</v>
      </c>
      <c r="D4337" s="1" t="s">
        <v>8677</v>
      </c>
      <c r="E4337" s="1" t="s">
        <v>45</v>
      </c>
      <c r="F4337" s="1" t="s">
        <v>9793</v>
      </c>
      <c r="G4337" s="1" t="s">
        <v>9867</v>
      </c>
      <c r="H4337" s="1" t="s">
        <v>45</v>
      </c>
      <c r="I4337" s="1" t="s">
        <v>45</v>
      </c>
      <c r="J4337" s="1" t="s">
        <v>48</v>
      </c>
      <c r="K4337" s="1">
        <v>80</v>
      </c>
      <c r="L4337" s="1">
        <v>0</v>
      </c>
      <c r="M4337" s="1">
        <v>0</v>
      </c>
      <c r="N4337" s="1">
        <v>80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 t="s">
        <v>49</v>
      </c>
      <c r="AA4337" s="1" t="s">
        <v>49</v>
      </c>
      <c r="AB4337" s="1" t="s">
        <v>49</v>
      </c>
      <c r="AC4337" s="1" t="s">
        <v>3719</v>
      </c>
      <c r="AD4337" s="1" t="s">
        <v>3720</v>
      </c>
      <c r="AE4337" s="1" t="s">
        <v>3719</v>
      </c>
      <c r="AF4337" s="1" t="s">
        <v>49</v>
      </c>
      <c r="AG4337" s="1" t="s">
        <v>53</v>
      </c>
      <c r="AH4337" s="1" t="s">
        <v>49</v>
      </c>
      <c r="AI4337" s="1" t="s">
        <v>54</v>
      </c>
      <c r="AJ4337" s="1">
        <v>1</v>
      </c>
      <c r="AK4337" s="1" t="str">
        <f t="shared" si="68"/>
        <v xml:space="preserve"> =&lt;90</v>
      </c>
      <c r="AL4337" s="1" t="str">
        <f>VLOOKUP(C:C,[1]基础信息!B$1:D$65536,3,0)</f>
        <v>Jug</v>
      </c>
      <c r="AM4337" s="1" t="str">
        <f>VLOOKUP(C:C,[1]基础信息!B$1:E$65536,4,0)</f>
        <v>Marella XL</v>
      </c>
      <c r="AN4337" s="1" t="str">
        <f>VLOOKUP(C:C,[1]基础信息!B$1:F$65536,5,0)</f>
        <v xml:space="preserve"> silver</v>
      </c>
    </row>
    <row r="4338" spans="1:40">
      <c r="A4338" s="1" t="s">
        <v>41</v>
      </c>
      <c r="B4338" s="1" t="s">
        <v>42</v>
      </c>
      <c r="C4338" s="1" t="s">
        <v>8676</v>
      </c>
      <c r="D4338" s="1" t="s">
        <v>8677</v>
      </c>
      <c r="E4338" s="1" t="s">
        <v>45</v>
      </c>
      <c r="F4338" s="1" t="s">
        <v>9795</v>
      </c>
      <c r="G4338" s="1" t="s">
        <v>9868</v>
      </c>
      <c r="H4338" s="1" t="s">
        <v>45</v>
      </c>
      <c r="I4338" s="1" t="s">
        <v>45</v>
      </c>
      <c r="J4338" s="1" t="s">
        <v>48</v>
      </c>
      <c r="K4338" s="1">
        <v>80</v>
      </c>
      <c r="L4338" s="1">
        <v>0</v>
      </c>
      <c r="M4338" s="1">
        <v>0</v>
      </c>
      <c r="N4338" s="1">
        <v>80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 t="s">
        <v>49</v>
      </c>
      <c r="AA4338" s="1" t="s">
        <v>49</v>
      </c>
      <c r="AB4338" s="1" t="s">
        <v>49</v>
      </c>
      <c r="AC4338" s="1" t="s">
        <v>5288</v>
      </c>
      <c r="AD4338" s="1" t="s">
        <v>5289</v>
      </c>
      <c r="AE4338" s="1" t="s">
        <v>5288</v>
      </c>
      <c r="AF4338" s="1" t="s">
        <v>49</v>
      </c>
      <c r="AG4338" s="1" t="s">
        <v>53</v>
      </c>
      <c r="AH4338" s="1" t="s">
        <v>49</v>
      </c>
      <c r="AI4338" s="1" t="s">
        <v>54</v>
      </c>
      <c r="AJ4338" s="1">
        <v>1</v>
      </c>
      <c r="AK4338" s="1" t="str">
        <f t="shared" si="68"/>
        <v xml:space="preserve"> =&lt;90</v>
      </c>
      <c r="AL4338" s="1" t="str">
        <f>VLOOKUP(C:C,[1]基础信息!B$1:D$65536,3,0)</f>
        <v>Jug</v>
      </c>
      <c r="AM4338" s="1" t="str">
        <f>VLOOKUP(C:C,[1]基础信息!B$1:E$65536,4,0)</f>
        <v>Marella XL</v>
      </c>
      <c r="AN4338" s="1" t="str">
        <f>VLOOKUP(C:C,[1]基础信息!B$1:F$65536,5,0)</f>
        <v xml:space="preserve"> silver</v>
      </c>
    </row>
    <row r="4339" spans="1:40">
      <c r="A4339" s="1" t="s">
        <v>41</v>
      </c>
      <c r="B4339" s="1" t="s">
        <v>42</v>
      </c>
      <c r="C4339" s="1" t="s">
        <v>4438</v>
      </c>
      <c r="D4339" s="1" t="s">
        <v>4439</v>
      </c>
      <c r="E4339" s="1" t="s">
        <v>45</v>
      </c>
      <c r="F4339" s="1" t="s">
        <v>9813</v>
      </c>
      <c r="G4339" s="1" t="s">
        <v>9869</v>
      </c>
      <c r="H4339" s="1" t="s">
        <v>45</v>
      </c>
      <c r="I4339" s="1" t="s">
        <v>45</v>
      </c>
      <c r="J4339" s="1" t="s">
        <v>48</v>
      </c>
      <c r="K4339" s="1">
        <v>36</v>
      </c>
      <c r="L4339" s="1">
        <v>0</v>
      </c>
      <c r="M4339" s="1">
        <v>0</v>
      </c>
      <c r="N4339" s="1">
        <v>36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 t="s">
        <v>49</v>
      </c>
      <c r="AA4339" s="1" t="s">
        <v>49</v>
      </c>
      <c r="AB4339" s="1" t="s">
        <v>49</v>
      </c>
      <c r="AC4339" s="1" t="s">
        <v>2000</v>
      </c>
      <c r="AD4339" s="1" t="s">
        <v>2001</v>
      </c>
      <c r="AE4339" s="1" t="s">
        <v>2000</v>
      </c>
      <c r="AF4339" s="1" t="s">
        <v>8007</v>
      </c>
      <c r="AG4339" s="1" t="s">
        <v>53</v>
      </c>
      <c r="AH4339" s="1" t="s">
        <v>49</v>
      </c>
      <c r="AI4339" s="1" t="s">
        <v>54</v>
      </c>
      <c r="AJ4339" s="1">
        <v>1</v>
      </c>
      <c r="AK4339" s="1" t="str">
        <f t="shared" si="68"/>
        <v xml:space="preserve"> =&lt;90</v>
      </c>
      <c r="AL4339" s="1" t="str">
        <f>VLOOKUP(C:C,[1]基础信息!B$1:D$65536,3,0)</f>
        <v>Hotcup</v>
      </c>
      <c r="AM4339" s="1" t="str">
        <f>VLOOKUP(C:C,[1]基础信息!B$1:E$65536,4,0)</f>
        <v>Hotcup</v>
      </c>
      <c r="AN4339" s="1" t="str">
        <f>VLOOKUP(C:C,[1]基础信息!B$1:F$65536,5,0)</f>
        <v xml:space="preserve"> green</v>
      </c>
    </row>
    <row r="4340" spans="1:40">
      <c r="A4340" s="1" t="s">
        <v>41</v>
      </c>
      <c r="B4340" s="1" t="s">
        <v>42</v>
      </c>
      <c r="C4340" s="1" t="s">
        <v>9778</v>
      </c>
      <c r="D4340" s="1" t="s">
        <v>9779</v>
      </c>
      <c r="E4340" s="1" t="s">
        <v>45</v>
      </c>
      <c r="F4340" s="1" t="s">
        <v>9789</v>
      </c>
      <c r="G4340" s="1" t="s">
        <v>9870</v>
      </c>
      <c r="H4340" s="1" t="s">
        <v>45</v>
      </c>
      <c r="I4340" s="1" t="s">
        <v>45</v>
      </c>
      <c r="J4340" s="1" t="s">
        <v>48</v>
      </c>
      <c r="K4340" s="1">
        <v>80</v>
      </c>
      <c r="L4340" s="1">
        <v>0</v>
      </c>
      <c r="M4340" s="1">
        <v>0</v>
      </c>
      <c r="N4340" s="1">
        <v>80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 t="s">
        <v>49</v>
      </c>
      <c r="AA4340" s="1" t="s">
        <v>49</v>
      </c>
      <c r="AB4340" s="1" t="s">
        <v>49</v>
      </c>
      <c r="AC4340" s="1" t="s">
        <v>3462</v>
      </c>
      <c r="AD4340" s="1" t="s">
        <v>3463</v>
      </c>
      <c r="AE4340" s="1" t="s">
        <v>3462</v>
      </c>
      <c r="AF4340" s="1" t="s">
        <v>49</v>
      </c>
      <c r="AG4340" s="1" t="s">
        <v>53</v>
      </c>
      <c r="AH4340" s="1" t="s">
        <v>49</v>
      </c>
      <c r="AI4340" s="1" t="s">
        <v>54</v>
      </c>
      <c r="AJ4340" s="1">
        <v>1</v>
      </c>
      <c r="AK4340" s="1" t="str">
        <f t="shared" si="68"/>
        <v xml:space="preserve"> =&lt;90</v>
      </c>
      <c r="AL4340" s="1" t="str">
        <f>VLOOKUP(C:C,[1]基础信息!B$1:D$65536,3,0)</f>
        <v xml:space="preserve">Cartridge </v>
      </c>
      <c r="AM4340" s="1" t="str">
        <f>VLOOKUP(C:C,[1]基础信息!B$1:E$65536,4,0)</f>
        <v>LE</v>
      </c>
      <c r="AN4340" s="1" t="str">
        <f>VLOOKUP(C:C,[1]基础信息!B$1:F$65536,5,0)</f>
        <v>P12</v>
      </c>
    </row>
    <row r="4341" spans="1:40">
      <c r="A4341" s="1" t="s">
        <v>41</v>
      </c>
      <c r="B4341" s="1" t="s">
        <v>42</v>
      </c>
      <c r="C4341" s="1" t="s">
        <v>8676</v>
      </c>
      <c r="D4341" s="1" t="s">
        <v>8677</v>
      </c>
      <c r="E4341" s="1" t="s">
        <v>45</v>
      </c>
      <c r="F4341" s="1" t="s">
        <v>9791</v>
      </c>
      <c r="G4341" s="1" t="s">
        <v>9871</v>
      </c>
      <c r="H4341" s="1" t="s">
        <v>45</v>
      </c>
      <c r="I4341" s="1" t="s">
        <v>45</v>
      </c>
      <c r="J4341" s="1" t="s">
        <v>48</v>
      </c>
      <c r="K4341" s="1">
        <v>80</v>
      </c>
      <c r="L4341" s="1">
        <v>0</v>
      </c>
      <c r="M4341" s="1">
        <v>0</v>
      </c>
      <c r="N4341" s="1">
        <v>80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 t="s">
        <v>49</v>
      </c>
      <c r="AA4341" s="1" t="s">
        <v>49</v>
      </c>
      <c r="AB4341" s="1" t="s">
        <v>49</v>
      </c>
      <c r="AC4341" s="1" t="s">
        <v>416</v>
      </c>
      <c r="AD4341" s="1" t="s">
        <v>8161</v>
      </c>
      <c r="AE4341" s="1" t="s">
        <v>416</v>
      </c>
      <c r="AF4341" s="1" t="s">
        <v>49</v>
      </c>
      <c r="AG4341" s="1" t="s">
        <v>53</v>
      </c>
      <c r="AH4341" s="1" t="s">
        <v>49</v>
      </c>
      <c r="AI4341" s="1" t="s">
        <v>54</v>
      </c>
      <c r="AJ4341" s="1">
        <v>1</v>
      </c>
      <c r="AK4341" s="1" t="str">
        <f t="shared" si="68"/>
        <v xml:space="preserve"> =&lt;90</v>
      </c>
      <c r="AL4341" s="1" t="str">
        <f>VLOOKUP(C:C,[1]基础信息!B$1:D$65536,3,0)</f>
        <v>Jug</v>
      </c>
      <c r="AM4341" s="1" t="str">
        <f>VLOOKUP(C:C,[1]基础信息!B$1:E$65536,4,0)</f>
        <v>Marella XL</v>
      </c>
      <c r="AN4341" s="1" t="str">
        <f>VLOOKUP(C:C,[1]基础信息!B$1:F$65536,5,0)</f>
        <v xml:space="preserve"> silver</v>
      </c>
    </row>
    <row r="4342" spans="1:40">
      <c r="A4342" s="1" t="s">
        <v>41</v>
      </c>
      <c r="B4342" s="1" t="s">
        <v>42</v>
      </c>
      <c r="C4342" s="1" t="s">
        <v>8676</v>
      </c>
      <c r="D4342" s="1" t="s">
        <v>8677</v>
      </c>
      <c r="E4342" s="1" t="s">
        <v>45</v>
      </c>
      <c r="F4342" s="1" t="s">
        <v>9793</v>
      </c>
      <c r="G4342" s="1" t="s">
        <v>9872</v>
      </c>
      <c r="H4342" s="1" t="s">
        <v>45</v>
      </c>
      <c r="I4342" s="1" t="s">
        <v>45</v>
      </c>
      <c r="J4342" s="1" t="s">
        <v>48</v>
      </c>
      <c r="K4342" s="1">
        <v>80</v>
      </c>
      <c r="L4342" s="1">
        <v>0</v>
      </c>
      <c r="M4342" s="1">
        <v>0</v>
      </c>
      <c r="N4342" s="1">
        <v>80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 t="s">
        <v>49</v>
      </c>
      <c r="AA4342" s="1" t="s">
        <v>49</v>
      </c>
      <c r="AB4342" s="1" t="s">
        <v>49</v>
      </c>
      <c r="AC4342" s="1" t="s">
        <v>3719</v>
      </c>
      <c r="AD4342" s="1" t="s">
        <v>3720</v>
      </c>
      <c r="AE4342" s="1" t="s">
        <v>3719</v>
      </c>
      <c r="AF4342" s="1" t="s">
        <v>49</v>
      </c>
      <c r="AG4342" s="1" t="s">
        <v>53</v>
      </c>
      <c r="AH4342" s="1" t="s">
        <v>49</v>
      </c>
      <c r="AI4342" s="1" t="s">
        <v>54</v>
      </c>
      <c r="AJ4342" s="1">
        <v>1</v>
      </c>
      <c r="AK4342" s="1" t="str">
        <f t="shared" si="68"/>
        <v xml:space="preserve"> =&lt;90</v>
      </c>
      <c r="AL4342" s="1" t="str">
        <f>VLOOKUP(C:C,[1]基础信息!B$1:D$65536,3,0)</f>
        <v>Jug</v>
      </c>
      <c r="AM4342" s="1" t="str">
        <f>VLOOKUP(C:C,[1]基础信息!B$1:E$65536,4,0)</f>
        <v>Marella XL</v>
      </c>
      <c r="AN4342" s="1" t="str">
        <f>VLOOKUP(C:C,[1]基础信息!B$1:F$65536,5,0)</f>
        <v xml:space="preserve"> silver</v>
      </c>
    </row>
    <row r="4343" spans="1:40">
      <c r="A4343" s="1" t="s">
        <v>41</v>
      </c>
      <c r="B4343" s="1" t="s">
        <v>42</v>
      </c>
      <c r="C4343" s="1" t="s">
        <v>8676</v>
      </c>
      <c r="D4343" s="1" t="s">
        <v>8677</v>
      </c>
      <c r="E4343" s="1" t="s">
        <v>45</v>
      </c>
      <c r="F4343" s="1" t="s">
        <v>9795</v>
      </c>
      <c r="G4343" s="1" t="s">
        <v>9873</v>
      </c>
      <c r="H4343" s="1" t="s">
        <v>45</v>
      </c>
      <c r="I4343" s="1" t="s">
        <v>45</v>
      </c>
      <c r="J4343" s="1" t="s">
        <v>48</v>
      </c>
      <c r="K4343" s="1">
        <v>80</v>
      </c>
      <c r="L4343" s="1">
        <v>0</v>
      </c>
      <c r="M4343" s="1">
        <v>0</v>
      </c>
      <c r="N4343" s="1">
        <v>80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 t="s">
        <v>49</v>
      </c>
      <c r="AA4343" s="1" t="s">
        <v>49</v>
      </c>
      <c r="AB4343" s="1" t="s">
        <v>49</v>
      </c>
      <c r="AC4343" s="1" t="s">
        <v>5288</v>
      </c>
      <c r="AD4343" s="1" t="s">
        <v>5289</v>
      </c>
      <c r="AE4343" s="1" t="s">
        <v>5288</v>
      </c>
      <c r="AF4343" s="1" t="s">
        <v>49</v>
      </c>
      <c r="AG4343" s="1" t="s">
        <v>53</v>
      </c>
      <c r="AH4343" s="1" t="s">
        <v>49</v>
      </c>
      <c r="AI4343" s="1" t="s">
        <v>54</v>
      </c>
      <c r="AJ4343" s="1">
        <v>1</v>
      </c>
      <c r="AK4343" s="1" t="str">
        <f t="shared" si="68"/>
        <v xml:space="preserve"> =&lt;90</v>
      </c>
      <c r="AL4343" s="1" t="str">
        <f>VLOOKUP(C:C,[1]基础信息!B$1:D$65536,3,0)</f>
        <v>Jug</v>
      </c>
      <c r="AM4343" s="1" t="str">
        <f>VLOOKUP(C:C,[1]基础信息!B$1:E$65536,4,0)</f>
        <v>Marella XL</v>
      </c>
      <c r="AN4343" s="1" t="str">
        <f>VLOOKUP(C:C,[1]基础信息!B$1:F$65536,5,0)</f>
        <v xml:space="preserve"> silver</v>
      </c>
    </row>
    <row r="4344" spans="1:40">
      <c r="A4344" s="1" t="s">
        <v>41</v>
      </c>
      <c r="B4344" s="1" t="s">
        <v>42</v>
      </c>
      <c r="C4344" s="1" t="s">
        <v>4438</v>
      </c>
      <c r="D4344" s="1" t="s">
        <v>4439</v>
      </c>
      <c r="E4344" s="1" t="s">
        <v>45</v>
      </c>
      <c r="F4344" s="1" t="s">
        <v>9813</v>
      </c>
      <c r="G4344" s="1" t="s">
        <v>9874</v>
      </c>
      <c r="H4344" s="1" t="s">
        <v>45</v>
      </c>
      <c r="I4344" s="1" t="s">
        <v>45</v>
      </c>
      <c r="J4344" s="1" t="s">
        <v>48</v>
      </c>
      <c r="K4344" s="1">
        <v>36</v>
      </c>
      <c r="L4344" s="1">
        <v>0</v>
      </c>
      <c r="M4344" s="1">
        <v>0</v>
      </c>
      <c r="N4344" s="1">
        <v>36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 t="s">
        <v>49</v>
      </c>
      <c r="AA4344" s="1" t="s">
        <v>49</v>
      </c>
      <c r="AB4344" s="1" t="s">
        <v>49</v>
      </c>
      <c r="AC4344" s="1" t="s">
        <v>2000</v>
      </c>
      <c r="AD4344" s="1" t="s">
        <v>2001</v>
      </c>
      <c r="AE4344" s="1" t="s">
        <v>2000</v>
      </c>
      <c r="AF4344" s="1" t="s">
        <v>8007</v>
      </c>
      <c r="AG4344" s="1" t="s">
        <v>53</v>
      </c>
      <c r="AH4344" s="1" t="s">
        <v>49</v>
      </c>
      <c r="AI4344" s="1" t="s">
        <v>54</v>
      </c>
      <c r="AJ4344" s="1">
        <v>1</v>
      </c>
      <c r="AK4344" s="1" t="str">
        <f t="shared" si="68"/>
        <v xml:space="preserve"> =&lt;90</v>
      </c>
      <c r="AL4344" s="1" t="str">
        <f>VLOOKUP(C:C,[1]基础信息!B$1:D$65536,3,0)</f>
        <v>Hotcup</v>
      </c>
      <c r="AM4344" s="1" t="str">
        <f>VLOOKUP(C:C,[1]基础信息!B$1:E$65536,4,0)</f>
        <v>Hotcup</v>
      </c>
      <c r="AN4344" s="1" t="str">
        <f>VLOOKUP(C:C,[1]基础信息!B$1:F$65536,5,0)</f>
        <v xml:space="preserve"> green</v>
      </c>
    </row>
    <row r="4345" spans="1:40">
      <c r="A4345" s="1" t="s">
        <v>41</v>
      </c>
      <c r="B4345" s="1" t="s">
        <v>42</v>
      </c>
      <c r="C4345" s="1" t="s">
        <v>9778</v>
      </c>
      <c r="D4345" s="1" t="s">
        <v>9779</v>
      </c>
      <c r="E4345" s="1" t="s">
        <v>45</v>
      </c>
      <c r="F4345" s="1" t="s">
        <v>9789</v>
      </c>
      <c r="G4345" s="1" t="s">
        <v>9875</v>
      </c>
      <c r="H4345" s="1" t="s">
        <v>45</v>
      </c>
      <c r="I4345" s="1" t="s">
        <v>45</v>
      </c>
      <c r="J4345" s="1" t="s">
        <v>48</v>
      </c>
      <c r="K4345" s="1">
        <v>80</v>
      </c>
      <c r="L4345" s="1">
        <v>0</v>
      </c>
      <c r="M4345" s="1">
        <v>0</v>
      </c>
      <c r="N4345" s="1">
        <v>80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 t="s">
        <v>49</v>
      </c>
      <c r="AA4345" s="1" t="s">
        <v>49</v>
      </c>
      <c r="AB4345" s="1" t="s">
        <v>49</v>
      </c>
      <c r="AC4345" s="1" t="s">
        <v>3462</v>
      </c>
      <c r="AD4345" s="1" t="s">
        <v>3463</v>
      </c>
      <c r="AE4345" s="1" t="s">
        <v>3462</v>
      </c>
      <c r="AF4345" s="1" t="s">
        <v>49</v>
      </c>
      <c r="AG4345" s="1" t="s">
        <v>53</v>
      </c>
      <c r="AH4345" s="1" t="s">
        <v>49</v>
      </c>
      <c r="AI4345" s="1" t="s">
        <v>54</v>
      </c>
      <c r="AJ4345" s="1">
        <v>1</v>
      </c>
      <c r="AK4345" s="1" t="str">
        <f t="shared" si="68"/>
        <v xml:space="preserve"> =&lt;90</v>
      </c>
      <c r="AL4345" s="1" t="str">
        <f>VLOOKUP(C:C,[1]基础信息!B$1:D$65536,3,0)</f>
        <v xml:space="preserve">Cartridge </v>
      </c>
      <c r="AM4345" s="1" t="str">
        <f>VLOOKUP(C:C,[1]基础信息!B$1:E$65536,4,0)</f>
        <v>LE</v>
      </c>
      <c r="AN4345" s="1" t="str">
        <f>VLOOKUP(C:C,[1]基础信息!B$1:F$65536,5,0)</f>
        <v>P12</v>
      </c>
    </row>
    <row r="4346" spans="1:40">
      <c r="A4346" s="1" t="s">
        <v>41</v>
      </c>
      <c r="B4346" s="1" t="s">
        <v>42</v>
      </c>
      <c r="C4346" s="1" t="s">
        <v>8676</v>
      </c>
      <c r="D4346" s="1" t="s">
        <v>8677</v>
      </c>
      <c r="E4346" s="1" t="s">
        <v>45</v>
      </c>
      <c r="F4346" s="1" t="s">
        <v>9791</v>
      </c>
      <c r="G4346" s="1" t="s">
        <v>9876</v>
      </c>
      <c r="H4346" s="1" t="s">
        <v>45</v>
      </c>
      <c r="I4346" s="1" t="s">
        <v>45</v>
      </c>
      <c r="J4346" s="1" t="s">
        <v>48</v>
      </c>
      <c r="K4346" s="1">
        <v>80</v>
      </c>
      <c r="L4346" s="1">
        <v>0</v>
      </c>
      <c r="M4346" s="1">
        <v>0</v>
      </c>
      <c r="N4346" s="1">
        <v>80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 t="s">
        <v>49</v>
      </c>
      <c r="AA4346" s="1" t="s">
        <v>49</v>
      </c>
      <c r="AB4346" s="1" t="s">
        <v>49</v>
      </c>
      <c r="AC4346" s="1" t="s">
        <v>416</v>
      </c>
      <c r="AD4346" s="1" t="s">
        <v>8161</v>
      </c>
      <c r="AE4346" s="1" t="s">
        <v>416</v>
      </c>
      <c r="AF4346" s="1" t="s">
        <v>49</v>
      </c>
      <c r="AG4346" s="1" t="s">
        <v>53</v>
      </c>
      <c r="AH4346" s="1" t="s">
        <v>49</v>
      </c>
      <c r="AI4346" s="1" t="s">
        <v>54</v>
      </c>
      <c r="AJ4346" s="1">
        <v>1</v>
      </c>
      <c r="AK4346" s="1" t="str">
        <f t="shared" si="68"/>
        <v xml:space="preserve"> =&lt;90</v>
      </c>
      <c r="AL4346" s="1" t="str">
        <f>VLOOKUP(C:C,[1]基础信息!B$1:D$65536,3,0)</f>
        <v>Jug</v>
      </c>
      <c r="AM4346" s="1" t="str">
        <f>VLOOKUP(C:C,[1]基础信息!B$1:E$65536,4,0)</f>
        <v>Marella XL</v>
      </c>
      <c r="AN4346" s="1" t="str">
        <f>VLOOKUP(C:C,[1]基础信息!B$1:F$65536,5,0)</f>
        <v xml:space="preserve"> silver</v>
      </c>
    </row>
    <row r="4347" spans="1:40">
      <c r="A4347" s="1" t="s">
        <v>41</v>
      </c>
      <c r="B4347" s="1" t="s">
        <v>42</v>
      </c>
      <c r="C4347" s="1" t="s">
        <v>8676</v>
      </c>
      <c r="D4347" s="1" t="s">
        <v>8677</v>
      </c>
      <c r="E4347" s="1" t="s">
        <v>45</v>
      </c>
      <c r="F4347" s="1" t="s">
        <v>9793</v>
      </c>
      <c r="G4347" s="1" t="s">
        <v>9877</v>
      </c>
      <c r="H4347" s="1" t="s">
        <v>45</v>
      </c>
      <c r="I4347" s="1" t="s">
        <v>45</v>
      </c>
      <c r="J4347" s="1" t="s">
        <v>48</v>
      </c>
      <c r="K4347" s="1">
        <v>80</v>
      </c>
      <c r="L4347" s="1">
        <v>0</v>
      </c>
      <c r="M4347" s="1">
        <v>0</v>
      </c>
      <c r="N4347" s="1">
        <v>80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 t="s">
        <v>49</v>
      </c>
      <c r="AA4347" s="1" t="s">
        <v>49</v>
      </c>
      <c r="AB4347" s="1" t="s">
        <v>49</v>
      </c>
      <c r="AC4347" s="1" t="s">
        <v>3719</v>
      </c>
      <c r="AD4347" s="1" t="s">
        <v>3720</v>
      </c>
      <c r="AE4347" s="1" t="s">
        <v>3719</v>
      </c>
      <c r="AF4347" s="1" t="s">
        <v>49</v>
      </c>
      <c r="AG4347" s="1" t="s">
        <v>53</v>
      </c>
      <c r="AH4347" s="1" t="s">
        <v>49</v>
      </c>
      <c r="AI4347" s="1" t="s">
        <v>54</v>
      </c>
      <c r="AJ4347" s="1">
        <v>1</v>
      </c>
      <c r="AK4347" s="1" t="str">
        <f t="shared" si="68"/>
        <v xml:space="preserve"> =&lt;90</v>
      </c>
      <c r="AL4347" s="1" t="str">
        <f>VLOOKUP(C:C,[1]基础信息!B$1:D$65536,3,0)</f>
        <v>Jug</v>
      </c>
      <c r="AM4347" s="1" t="str">
        <f>VLOOKUP(C:C,[1]基础信息!B$1:E$65536,4,0)</f>
        <v>Marella XL</v>
      </c>
      <c r="AN4347" s="1" t="str">
        <f>VLOOKUP(C:C,[1]基础信息!B$1:F$65536,5,0)</f>
        <v xml:space="preserve"> silver</v>
      </c>
    </row>
    <row r="4348" spans="1:40">
      <c r="A4348" s="1" t="s">
        <v>41</v>
      </c>
      <c r="B4348" s="1" t="s">
        <v>42</v>
      </c>
      <c r="C4348" s="1" t="s">
        <v>8676</v>
      </c>
      <c r="D4348" s="1" t="s">
        <v>8677</v>
      </c>
      <c r="E4348" s="1" t="s">
        <v>45</v>
      </c>
      <c r="F4348" s="1" t="s">
        <v>9795</v>
      </c>
      <c r="G4348" s="1" t="s">
        <v>9878</v>
      </c>
      <c r="H4348" s="1" t="s">
        <v>45</v>
      </c>
      <c r="I4348" s="1" t="s">
        <v>45</v>
      </c>
      <c r="J4348" s="1" t="s">
        <v>48</v>
      </c>
      <c r="K4348" s="1">
        <v>80</v>
      </c>
      <c r="L4348" s="1">
        <v>0</v>
      </c>
      <c r="M4348" s="1">
        <v>0</v>
      </c>
      <c r="N4348" s="1">
        <v>80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 t="s">
        <v>49</v>
      </c>
      <c r="AA4348" s="1" t="s">
        <v>49</v>
      </c>
      <c r="AB4348" s="1" t="s">
        <v>49</v>
      </c>
      <c r="AC4348" s="1" t="s">
        <v>5288</v>
      </c>
      <c r="AD4348" s="1" t="s">
        <v>5289</v>
      </c>
      <c r="AE4348" s="1" t="s">
        <v>5288</v>
      </c>
      <c r="AF4348" s="1" t="s">
        <v>49</v>
      </c>
      <c r="AG4348" s="1" t="s">
        <v>53</v>
      </c>
      <c r="AH4348" s="1" t="s">
        <v>49</v>
      </c>
      <c r="AI4348" s="1" t="s">
        <v>54</v>
      </c>
      <c r="AJ4348" s="1">
        <v>1</v>
      </c>
      <c r="AK4348" s="1" t="str">
        <f t="shared" si="68"/>
        <v xml:space="preserve"> =&lt;90</v>
      </c>
      <c r="AL4348" s="1" t="str">
        <f>VLOOKUP(C:C,[1]基础信息!B$1:D$65536,3,0)</f>
        <v>Jug</v>
      </c>
      <c r="AM4348" s="1" t="str">
        <f>VLOOKUP(C:C,[1]基础信息!B$1:E$65536,4,0)</f>
        <v>Marella XL</v>
      </c>
      <c r="AN4348" s="1" t="str">
        <f>VLOOKUP(C:C,[1]基础信息!B$1:F$65536,5,0)</f>
        <v xml:space="preserve"> silver</v>
      </c>
    </row>
    <row r="4349" spans="1:40">
      <c r="A4349" s="1" t="s">
        <v>41</v>
      </c>
      <c r="B4349" s="1" t="s">
        <v>42</v>
      </c>
      <c r="C4349" s="1" t="s">
        <v>4438</v>
      </c>
      <c r="D4349" s="1" t="s">
        <v>4439</v>
      </c>
      <c r="E4349" s="1" t="s">
        <v>45</v>
      </c>
      <c r="F4349" s="1" t="s">
        <v>9813</v>
      </c>
      <c r="G4349" s="1" t="s">
        <v>9879</v>
      </c>
      <c r="H4349" s="1" t="s">
        <v>45</v>
      </c>
      <c r="I4349" s="1" t="s">
        <v>45</v>
      </c>
      <c r="J4349" s="1" t="s">
        <v>48</v>
      </c>
      <c r="K4349" s="1">
        <v>36</v>
      </c>
      <c r="L4349" s="1">
        <v>0</v>
      </c>
      <c r="M4349" s="1">
        <v>0</v>
      </c>
      <c r="N4349" s="1">
        <v>36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0</v>
      </c>
      <c r="Z4349" s="1" t="s">
        <v>49</v>
      </c>
      <c r="AA4349" s="1" t="s">
        <v>49</v>
      </c>
      <c r="AB4349" s="1" t="s">
        <v>49</v>
      </c>
      <c r="AC4349" s="1" t="s">
        <v>2000</v>
      </c>
      <c r="AD4349" s="1" t="s">
        <v>2001</v>
      </c>
      <c r="AE4349" s="1" t="s">
        <v>2000</v>
      </c>
      <c r="AF4349" s="1" t="s">
        <v>8007</v>
      </c>
      <c r="AG4349" s="1" t="s">
        <v>53</v>
      </c>
      <c r="AH4349" s="1" t="s">
        <v>49</v>
      </c>
      <c r="AI4349" s="1" t="s">
        <v>54</v>
      </c>
      <c r="AJ4349" s="1">
        <v>1</v>
      </c>
      <c r="AK4349" s="1" t="str">
        <f t="shared" si="68"/>
        <v xml:space="preserve"> =&lt;90</v>
      </c>
      <c r="AL4349" s="1" t="str">
        <f>VLOOKUP(C:C,[1]基础信息!B$1:D$65536,3,0)</f>
        <v>Hotcup</v>
      </c>
      <c r="AM4349" s="1" t="str">
        <f>VLOOKUP(C:C,[1]基础信息!B$1:E$65536,4,0)</f>
        <v>Hotcup</v>
      </c>
      <c r="AN4349" s="1" t="str">
        <f>VLOOKUP(C:C,[1]基础信息!B$1:F$65536,5,0)</f>
        <v xml:space="preserve"> green</v>
      </c>
    </row>
    <row r="4350" spans="1:40">
      <c r="A4350" s="1" t="s">
        <v>41</v>
      </c>
      <c r="B4350" s="1" t="s">
        <v>42</v>
      </c>
      <c r="C4350" s="1" t="s">
        <v>4438</v>
      </c>
      <c r="D4350" s="1" t="s">
        <v>4439</v>
      </c>
      <c r="E4350" s="1" t="s">
        <v>45</v>
      </c>
      <c r="F4350" s="1" t="s">
        <v>9813</v>
      </c>
      <c r="G4350" s="1" t="s">
        <v>9880</v>
      </c>
      <c r="H4350" s="1" t="s">
        <v>45</v>
      </c>
      <c r="I4350" s="1" t="s">
        <v>45</v>
      </c>
      <c r="J4350" s="1" t="s">
        <v>48</v>
      </c>
      <c r="K4350" s="1">
        <v>36</v>
      </c>
      <c r="L4350" s="1">
        <v>0</v>
      </c>
      <c r="M4350" s="1">
        <v>0</v>
      </c>
      <c r="N4350" s="1">
        <v>36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 t="s">
        <v>49</v>
      </c>
      <c r="AA4350" s="1" t="s">
        <v>49</v>
      </c>
      <c r="AB4350" s="1" t="s">
        <v>49</v>
      </c>
      <c r="AC4350" s="1" t="s">
        <v>2000</v>
      </c>
      <c r="AD4350" s="1" t="s">
        <v>2001</v>
      </c>
      <c r="AE4350" s="1" t="s">
        <v>2000</v>
      </c>
      <c r="AF4350" s="1" t="s">
        <v>8007</v>
      </c>
      <c r="AG4350" s="1" t="s">
        <v>53</v>
      </c>
      <c r="AH4350" s="1" t="s">
        <v>49</v>
      </c>
      <c r="AI4350" s="1" t="s">
        <v>54</v>
      </c>
      <c r="AJ4350" s="1">
        <v>1</v>
      </c>
      <c r="AK4350" s="1" t="str">
        <f t="shared" si="68"/>
        <v xml:space="preserve"> =&lt;90</v>
      </c>
      <c r="AL4350" s="1" t="str">
        <f>VLOOKUP(C:C,[1]基础信息!B$1:D$65536,3,0)</f>
        <v>Hotcup</v>
      </c>
      <c r="AM4350" s="1" t="str">
        <f>VLOOKUP(C:C,[1]基础信息!B$1:E$65536,4,0)</f>
        <v>Hotcup</v>
      </c>
      <c r="AN4350" s="1" t="str">
        <f>VLOOKUP(C:C,[1]基础信息!B$1:F$65536,5,0)</f>
        <v xml:space="preserve"> green</v>
      </c>
    </row>
    <row r="4351" spans="1:40">
      <c r="A4351" s="1" t="s">
        <v>41</v>
      </c>
      <c r="B4351" s="1" t="s">
        <v>42</v>
      </c>
      <c r="C4351" s="1" t="s">
        <v>9778</v>
      </c>
      <c r="D4351" s="1" t="s">
        <v>9779</v>
      </c>
      <c r="E4351" s="1" t="s">
        <v>45</v>
      </c>
      <c r="F4351" s="1" t="s">
        <v>9789</v>
      </c>
      <c r="G4351" s="1" t="s">
        <v>9881</v>
      </c>
      <c r="H4351" s="1" t="s">
        <v>45</v>
      </c>
      <c r="I4351" s="1" t="s">
        <v>45</v>
      </c>
      <c r="J4351" s="1" t="s">
        <v>48</v>
      </c>
      <c r="K4351" s="1">
        <v>80</v>
      </c>
      <c r="L4351" s="1">
        <v>0</v>
      </c>
      <c r="M4351" s="1">
        <v>0</v>
      </c>
      <c r="N4351" s="1">
        <v>80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 t="s">
        <v>49</v>
      </c>
      <c r="AA4351" s="1" t="s">
        <v>49</v>
      </c>
      <c r="AB4351" s="1" t="s">
        <v>49</v>
      </c>
      <c r="AC4351" s="1" t="s">
        <v>3462</v>
      </c>
      <c r="AD4351" s="1" t="s">
        <v>3463</v>
      </c>
      <c r="AE4351" s="1" t="s">
        <v>3462</v>
      </c>
      <c r="AF4351" s="1" t="s">
        <v>49</v>
      </c>
      <c r="AG4351" s="1" t="s">
        <v>53</v>
      </c>
      <c r="AH4351" s="1" t="s">
        <v>49</v>
      </c>
      <c r="AI4351" s="1" t="s">
        <v>54</v>
      </c>
      <c r="AJ4351" s="1">
        <v>1</v>
      </c>
      <c r="AK4351" s="1" t="str">
        <f t="shared" si="68"/>
        <v xml:space="preserve"> =&lt;90</v>
      </c>
      <c r="AL4351" s="1" t="str">
        <f>VLOOKUP(C:C,[1]基础信息!B$1:D$65536,3,0)</f>
        <v xml:space="preserve">Cartridge </v>
      </c>
      <c r="AM4351" s="1" t="str">
        <f>VLOOKUP(C:C,[1]基础信息!B$1:E$65536,4,0)</f>
        <v>LE</v>
      </c>
      <c r="AN4351" s="1" t="str">
        <f>VLOOKUP(C:C,[1]基础信息!B$1:F$65536,5,0)</f>
        <v>P12</v>
      </c>
    </row>
    <row r="4352" spans="1:40">
      <c r="A4352" s="1" t="s">
        <v>41</v>
      </c>
      <c r="B4352" s="1" t="s">
        <v>42</v>
      </c>
      <c r="C4352" s="1" t="s">
        <v>8676</v>
      </c>
      <c r="D4352" s="1" t="s">
        <v>8677</v>
      </c>
      <c r="E4352" s="1" t="s">
        <v>45</v>
      </c>
      <c r="F4352" s="1" t="s">
        <v>9791</v>
      </c>
      <c r="G4352" s="1" t="s">
        <v>9882</v>
      </c>
      <c r="H4352" s="1" t="s">
        <v>45</v>
      </c>
      <c r="I4352" s="1" t="s">
        <v>45</v>
      </c>
      <c r="J4352" s="1" t="s">
        <v>48</v>
      </c>
      <c r="K4352" s="1">
        <v>80</v>
      </c>
      <c r="L4352" s="1">
        <v>0</v>
      </c>
      <c r="M4352" s="1">
        <v>0</v>
      </c>
      <c r="N4352" s="1">
        <v>80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 t="s">
        <v>49</v>
      </c>
      <c r="AA4352" s="1" t="s">
        <v>49</v>
      </c>
      <c r="AB4352" s="1" t="s">
        <v>49</v>
      </c>
      <c r="AC4352" s="1" t="s">
        <v>416</v>
      </c>
      <c r="AD4352" s="1" t="s">
        <v>8161</v>
      </c>
      <c r="AE4352" s="1" t="s">
        <v>416</v>
      </c>
      <c r="AF4352" s="1" t="s">
        <v>49</v>
      </c>
      <c r="AG4352" s="1" t="s">
        <v>53</v>
      </c>
      <c r="AH4352" s="1" t="s">
        <v>49</v>
      </c>
      <c r="AI4352" s="1" t="s">
        <v>54</v>
      </c>
      <c r="AJ4352" s="1">
        <v>1</v>
      </c>
      <c r="AK4352" s="1" t="str">
        <f t="shared" si="68"/>
        <v xml:space="preserve"> =&lt;90</v>
      </c>
      <c r="AL4352" s="1" t="str">
        <f>VLOOKUP(C:C,[1]基础信息!B$1:D$65536,3,0)</f>
        <v>Jug</v>
      </c>
      <c r="AM4352" s="1" t="str">
        <f>VLOOKUP(C:C,[1]基础信息!B$1:E$65536,4,0)</f>
        <v>Marella XL</v>
      </c>
      <c r="AN4352" s="1" t="str">
        <f>VLOOKUP(C:C,[1]基础信息!B$1:F$65536,5,0)</f>
        <v xml:space="preserve"> silver</v>
      </c>
    </row>
    <row r="4353" spans="1:40">
      <c r="A4353" s="1" t="s">
        <v>41</v>
      </c>
      <c r="B4353" s="1" t="s">
        <v>42</v>
      </c>
      <c r="C4353" s="1" t="s">
        <v>8676</v>
      </c>
      <c r="D4353" s="1" t="s">
        <v>8677</v>
      </c>
      <c r="E4353" s="1" t="s">
        <v>45</v>
      </c>
      <c r="F4353" s="1" t="s">
        <v>9793</v>
      </c>
      <c r="G4353" s="1" t="s">
        <v>9883</v>
      </c>
      <c r="H4353" s="1" t="s">
        <v>45</v>
      </c>
      <c r="I4353" s="1" t="s">
        <v>45</v>
      </c>
      <c r="J4353" s="1" t="s">
        <v>48</v>
      </c>
      <c r="K4353" s="1">
        <v>80</v>
      </c>
      <c r="L4353" s="1">
        <v>0</v>
      </c>
      <c r="M4353" s="1">
        <v>0</v>
      </c>
      <c r="N4353" s="1">
        <v>80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 t="s">
        <v>49</v>
      </c>
      <c r="AA4353" s="1" t="s">
        <v>49</v>
      </c>
      <c r="AB4353" s="1" t="s">
        <v>49</v>
      </c>
      <c r="AC4353" s="1" t="s">
        <v>3719</v>
      </c>
      <c r="AD4353" s="1" t="s">
        <v>3720</v>
      </c>
      <c r="AE4353" s="1" t="s">
        <v>3719</v>
      </c>
      <c r="AF4353" s="1" t="s">
        <v>49</v>
      </c>
      <c r="AG4353" s="1" t="s">
        <v>53</v>
      </c>
      <c r="AH4353" s="1" t="s">
        <v>49</v>
      </c>
      <c r="AI4353" s="1" t="s">
        <v>54</v>
      </c>
      <c r="AJ4353" s="1">
        <v>1</v>
      </c>
      <c r="AK4353" s="1" t="str">
        <f t="shared" si="68"/>
        <v xml:space="preserve"> =&lt;90</v>
      </c>
      <c r="AL4353" s="1" t="str">
        <f>VLOOKUP(C:C,[1]基础信息!B$1:D$65536,3,0)</f>
        <v>Jug</v>
      </c>
      <c r="AM4353" s="1" t="str">
        <f>VLOOKUP(C:C,[1]基础信息!B$1:E$65536,4,0)</f>
        <v>Marella XL</v>
      </c>
      <c r="AN4353" s="1" t="str">
        <f>VLOOKUP(C:C,[1]基础信息!B$1:F$65536,5,0)</f>
        <v xml:space="preserve"> silver</v>
      </c>
    </row>
    <row r="4354" spans="1:40">
      <c r="A4354" s="1" t="s">
        <v>41</v>
      </c>
      <c r="B4354" s="1" t="s">
        <v>42</v>
      </c>
      <c r="C4354" s="1" t="s">
        <v>4438</v>
      </c>
      <c r="D4354" s="1" t="s">
        <v>4439</v>
      </c>
      <c r="E4354" s="1" t="s">
        <v>45</v>
      </c>
      <c r="F4354" s="1" t="s">
        <v>9813</v>
      </c>
      <c r="G4354" s="1" t="s">
        <v>9884</v>
      </c>
      <c r="H4354" s="1" t="s">
        <v>45</v>
      </c>
      <c r="I4354" s="1" t="s">
        <v>45</v>
      </c>
      <c r="J4354" s="1" t="s">
        <v>48</v>
      </c>
      <c r="K4354" s="1">
        <v>36</v>
      </c>
      <c r="L4354" s="1">
        <v>0</v>
      </c>
      <c r="M4354" s="1">
        <v>0</v>
      </c>
      <c r="N4354" s="1">
        <v>36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 t="s">
        <v>49</v>
      </c>
      <c r="AA4354" s="1" t="s">
        <v>49</v>
      </c>
      <c r="AB4354" s="1" t="s">
        <v>49</v>
      </c>
      <c r="AC4354" s="1" t="s">
        <v>2000</v>
      </c>
      <c r="AD4354" s="1" t="s">
        <v>2001</v>
      </c>
      <c r="AE4354" s="1" t="s">
        <v>2000</v>
      </c>
      <c r="AF4354" s="1" t="s">
        <v>8007</v>
      </c>
      <c r="AG4354" s="1" t="s">
        <v>53</v>
      </c>
      <c r="AH4354" s="1" t="s">
        <v>49</v>
      </c>
      <c r="AI4354" s="1" t="s">
        <v>54</v>
      </c>
      <c r="AJ4354" s="1">
        <v>1</v>
      </c>
      <c r="AK4354" s="1" t="str">
        <f t="shared" si="68"/>
        <v xml:space="preserve"> =&lt;90</v>
      </c>
      <c r="AL4354" s="1" t="str">
        <f>VLOOKUP(C:C,[1]基础信息!B$1:D$65536,3,0)</f>
        <v>Hotcup</v>
      </c>
      <c r="AM4354" s="1" t="str">
        <f>VLOOKUP(C:C,[1]基础信息!B$1:E$65536,4,0)</f>
        <v>Hotcup</v>
      </c>
      <c r="AN4354" s="1" t="str">
        <f>VLOOKUP(C:C,[1]基础信息!B$1:F$65536,5,0)</f>
        <v xml:space="preserve"> green</v>
      </c>
    </row>
    <row r="4355" spans="1:40">
      <c r="A4355" s="1" t="s">
        <v>41</v>
      </c>
      <c r="B4355" s="1" t="s">
        <v>42</v>
      </c>
      <c r="C4355" s="1" t="s">
        <v>9778</v>
      </c>
      <c r="D4355" s="1" t="s">
        <v>9779</v>
      </c>
      <c r="E4355" s="1" t="s">
        <v>45</v>
      </c>
      <c r="F4355" s="1" t="s">
        <v>9789</v>
      </c>
      <c r="G4355" s="1" t="s">
        <v>9885</v>
      </c>
      <c r="H4355" s="1" t="s">
        <v>45</v>
      </c>
      <c r="I4355" s="1" t="s">
        <v>45</v>
      </c>
      <c r="J4355" s="1" t="s">
        <v>48</v>
      </c>
      <c r="K4355" s="1">
        <v>80</v>
      </c>
      <c r="L4355" s="1">
        <v>0</v>
      </c>
      <c r="M4355" s="1">
        <v>0</v>
      </c>
      <c r="N4355" s="1">
        <v>80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 t="s">
        <v>49</v>
      </c>
      <c r="AA4355" s="1" t="s">
        <v>49</v>
      </c>
      <c r="AB4355" s="1" t="s">
        <v>49</v>
      </c>
      <c r="AC4355" s="1" t="s">
        <v>3462</v>
      </c>
      <c r="AD4355" s="1" t="s">
        <v>3463</v>
      </c>
      <c r="AE4355" s="1" t="s">
        <v>3462</v>
      </c>
      <c r="AF4355" s="1" t="s">
        <v>49</v>
      </c>
      <c r="AG4355" s="1" t="s">
        <v>53</v>
      </c>
      <c r="AH4355" s="1" t="s">
        <v>49</v>
      </c>
      <c r="AI4355" s="1" t="s">
        <v>54</v>
      </c>
      <c r="AJ4355" s="1">
        <v>1</v>
      </c>
      <c r="AK4355" s="1" t="str">
        <f t="shared" si="68"/>
        <v xml:space="preserve"> =&lt;90</v>
      </c>
      <c r="AL4355" s="1" t="str">
        <f>VLOOKUP(C:C,[1]基础信息!B$1:D$65536,3,0)</f>
        <v xml:space="preserve">Cartridge </v>
      </c>
      <c r="AM4355" s="1" t="str">
        <f>VLOOKUP(C:C,[1]基础信息!B$1:E$65536,4,0)</f>
        <v>LE</v>
      </c>
      <c r="AN4355" s="1" t="str">
        <f>VLOOKUP(C:C,[1]基础信息!B$1:F$65536,5,0)</f>
        <v>P12</v>
      </c>
    </row>
    <row r="4356" spans="1:40">
      <c r="A4356" s="1" t="s">
        <v>41</v>
      </c>
      <c r="B4356" s="1" t="s">
        <v>42</v>
      </c>
      <c r="C4356" s="1" t="s">
        <v>8676</v>
      </c>
      <c r="D4356" s="1" t="s">
        <v>8677</v>
      </c>
      <c r="E4356" s="1" t="s">
        <v>45</v>
      </c>
      <c r="F4356" s="1" t="s">
        <v>9793</v>
      </c>
      <c r="G4356" s="1" t="s">
        <v>9886</v>
      </c>
      <c r="H4356" s="1" t="s">
        <v>45</v>
      </c>
      <c r="I4356" s="1" t="s">
        <v>45</v>
      </c>
      <c r="J4356" s="1" t="s">
        <v>48</v>
      </c>
      <c r="K4356" s="1">
        <v>80</v>
      </c>
      <c r="L4356" s="1">
        <v>0</v>
      </c>
      <c r="M4356" s="1">
        <v>0</v>
      </c>
      <c r="N4356" s="1">
        <v>80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 t="s">
        <v>49</v>
      </c>
      <c r="AA4356" s="1" t="s">
        <v>49</v>
      </c>
      <c r="AB4356" s="1" t="s">
        <v>49</v>
      </c>
      <c r="AC4356" s="1" t="s">
        <v>3719</v>
      </c>
      <c r="AD4356" s="1" t="s">
        <v>3720</v>
      </c>
      <c r="AE4356" s="1" t="s">
        <v>3719</v>
      </c>
      <c r="AF4356" s="1" t="s">
        <v>49</v>
      </c>
      <c r="AG4356" s="1" t="s">
        <v>53</v>
      </c>
      <c r="AH4356" s="1" t="s">
        <v>49</v>
      </c>
      <c r="AI4356" s="1" t="s">
        <v>54</v>
      </c>
      <c r="AJ4356" s="1">
        <v>1</v>
      </c>
      <c r="AK4356" s="1" t="str">
        <f t="shared" si="68"/>
        <v xml:space="preserve"> =&lt;90</v>
      </c>
      <c r="AL4356" s="1" t="str">
        <f>VLOOKUP(C:C,[1]基础信息!B$1:D$65536,3,0)</f>
        <v>Jug</v>
      </c>
      <c r="AM4356" s="1" t="str">
        <f>VLOOKUP(C:C,[1]基础信息!B$1:E$65536,4,0)</f>
        <v>Marella XL</v>
      </c>
      <c r="AN4356" s="1" t="str">
        <f>VLOOKUP(C:C,[1]基础信息!B$1:F$65536,5,0)</f>
        <v xml:space="preserve"> silver</v>
      </c>
    </row>
    <row r="4357" spans="1:40">
      <c r="A4357" s="1" t="s">
        <v>41</v>
      </c>
      <c r="B4357" s="1" t="s">
        <v>42</v>
      </c>
      <c r="C4357" s="1" t="s">
        <v>4438</v>
      </c>
      <c r="D4357" s="1" t="s">
        <v>4439</v>
      </c>
      <c r="E4357" s="1" t="s">
        <v>45</v>
      </c>
      <c r="F4357" s="1" t="s">
        <v>9813</v>
      </c>
      <c r="G4357" s="1" t="s">
        <v>9887</v>
      </c>
      <c r="H4357" s="1" t="s">
        <v>45</v>
      </c>
      <c r="I4357" s="1" t="s">
        <v>45</v>
      </c>
      <c r="J4357" s="1" t="s">
        <v>48</v>
      </c>
      <c r="K4357" s="1">
        <v>36</v>
      </c>
      <c r="L4357" s="1">
        <v>0</v>
      </c>
      <c r="M4357" s="1">
        <v>0</v>
      </c>
      <c r="N4357" s="1">
        <v>36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 t="s">
        <v>49</v>
      </c>
      <c r="AA4357" s="1" t="s">
        <v>49</v>
      </c>
      <c r="AB4357" s="1" t="s">
        <v>49</v>
      </c>
      <c r="AC4357" s="1" t="s">
        <v>2000</v>
      </c>
      <c r="AD4357" s="1" t="s">
        <v>2001</v>
      </c>
      <c r="AE4357" s="1" t="s">
        <v>2000</v>
      </c>
      <c r="AF4357" s="1" t="s">
        <v>8007</v>
      </c>
      <c r="AG4357" s="1" t="s">
        <v>53</v>
      </c>
      <c r="AH4357" s="1" t="s">
        <v>49</v>
      </c>
      <c r="AI4357" s="1" t="s">
        <v>54</v>
      </c>
      <c r="AJ4357" s="1">
        <v>1</v>
      </c>
      <c r="AK4357" s="1" t="str">
        <f t="shared" si="68"/>
        <v xml:space="preserve"> =&lt;90</v>
      </c>
      <c r="AL4357" s="1" t="str">
        <f>VLOOKUP(C:C,[1]基础信息!B$1:D$65536,3,0)</f>
        <v>Hotcup</v>
      </c>
      <c r="AM4357" s="1" t="str">
        <f>VLOOKUP(C:C,[1]基础信息!B$1:E$65536,4,0)</f>
        <v>Hotcup</v>
      </c>
      <c r="AN4357" s="1" t="str">
        <f>VLOOKUP(C:C,[1]基础信息!B$1:F$65536,5,0)</f>
        <v xml:space="preserve"> green</v>
      </c>
    </row>
    <row r="4358" spans="1:40">
      <c r="A4358" s="1" t="s">
        <v>41</v>
      </c>
      <c r="B4358" s="1" t="s">
        <v>42</v>
      </c>
      <c r="C4358" s="1" t="s">
        <v>9778</v>
      </c>
      <c r="D4358" s="1" t="s">
        <v>9779</v>
      </c>
      <c r="E4358" s="1" t="s">
        <v>45</v>
      </c>
      <c r="F4358" s="1" t="s">
        <v>9789</v>
      </c>
      <c r="G4358" s="1" t="s">
        <v>9888</v>
      </c>
      <c r="H4358" s="1" t="s">
        <v>45</v>
      </c>
      <c r="I4358" s="1" t="s">
        <v>45</v>
      </c>
      <c r="J4358" s="1" t="s">
        <v>48</v>
      </c>
      <c r="K4358" s="1">
        <v>80</v>
      </c>
      <c r="L4358" s="1">
        <v>0</v>
      </c>
      <c r="M4358" s="1">
        <v>0</v>
      </c>
      <c r="N4358" s="1">
        <v>80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 t="s">
        <v>49</v>
      </c>
      <c r="AA4358" s="1" t="s">
        <v>49</v>
      </c>
      <c r="AB4358" s="1" t="s">
        <v>49</v>
      </c>
      <c r="AC4358" s="1" t="s">
        <v>3462</v>
      </c>
      <c r="AD4358" s="1" t="s">
        <v>3463</v>
      </c>
      <c r="AE4358" s="1" t="s">
        <v>3462</v>
      </c>
      <c r="AF4358" s="1" t="s">
        <v>49</v>
      </c>
      <c r="AG4358" s="1" t="s">
        <v>53</v>
      </c>
      <c r="AH4358" s="1" t="s">
        <v>49</v>
      </c>
      <c r="AI4358" s="1" t="s">
        <v>54</v>
      </c>
      <c r="AJ4358" s="1">
        <v>1</v>
      </c>
      <c r="AK4358" s="1" t="str">
        <f t="shared" si="68"/>
        <v xml:space="preserve"> =&lt;90</v>
      </c>
      <c r="AL4358" s="1" t="str">
        <f>VLOOKUP(C:C,[1]基础信息!B$1:D$65536,3,0)</f>
        <v xml:space="preserve">Cartridge </v>
      </c>
      <c r="AM4358" s="1" t="str">
        <f>VLOOKUP(C:C,[1]基础信息!B$1:E$65536,4,0)</f>
        <v>LE</v>
      </c>
      <c r="AN4358" s="1" t="str">
        <f>VLOOKUP(C:C,[1]基础信息!B$1:F$65536,5,0)</f>
        <v>P12</v>
      </c>
    </row>
    <row r="4359" spans="1:40">
      <c r="A4359" s="1" t="s">
        <v>41</v>
      </c>
      <c r="B4359" s="1" t="s">
        <v>42</v>
      </c>
      <c r="C4359" s="1" t="s">
        <v>9778</v>
      </c>
      <c r="D4359" s="1" t="s">
        <v>9779</v>
      </c>
      <c r="E4359" s="1" t="s">
        <v>45</v>
      </c>
      <c r="F4359" s="1" t="s">
        <v>9889</v>
      </c>
      <c r="G4359" s="1" t="s">
        <v>9890</v>
      </c>
      <c r="H4359" s="1" t="s">
        <v>45</v>
      </c>
      <c r="I4359" s="1" t="s">
        <v>45</v>
      </c>
      <c r="J4359" s="1" t="s">
        <v>48</v>
      </c>
      <c r="K4359" s="1">
        <v>24</v>
      </c>
      <c r="L4359" s="1">
        <v>0</v>
      </c>
      <c r="M4359" s="1">
        <v>0</v>
      </c>
      <c r="N4359" s="1">
        <v>24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 t="s">
        <v>49</v>
      </c>
      <c r="AA4359" s="1" t="s">
        <v>49</v>
      </c>
      <c r="AB4359" s="1" t="s">
        <v>49</v>
      </c>
      <c r="AC4359" s="1" t="s">
        <v>3264</v>
      </c>
      <c r="AD4359" s="1" t="s">
        <v>3265</v>
      </c>
      <c r="AE4359" s="1" t="s">
        <v>3264</v>
      </c>
      <c r="AF4359" s="1" t="s">
        <v>49</v>
      </c>
      <c r="AG4359" s="1" t="s">
        <v>53</v>
      </c>
      <c r="AH4359" s="1" t="s">
        <v>49</v>
      </c>
      <c r="AI4359" s="1" t="s">
        <v>54</v>
      </c>
      <c r="AJ4359" s="1">
        <v>1</v>
      </c>
      <c r="AK4359" s="1" t="str">
        <f t="shared" si="68"/>
        <v xml:space="preserve"> =&lt;90</v>
      </c>
      <c r="AL4359" s="1" t="str">
        <f>VLOOKUP(C:C,[1]基础信息!B$1:D$65536,3,0)</f>
        <v xml:space="preserve">Cartridge </v>
      </c>
      <c r="AM4359" s="1" t="str">
        <f>VLOOKUP(C:C,[1]基础信息!B$1:E$65536,4,0)</f>
        <v>LE</v>
      </c>
      <c r="AN4359" s="1" t="str">
        <f>VLOOKUP(C:C,[1]基础信息!B$1:F$65536,5,0)</f>
        <v>P12</v>
      </c>
    </row>
    <row r="4360" spans="1:40">
      <c r="A4360" s="1" t="s">
        <v>41</v>
      </c>
      <c r="B4360" s="1" t="s">
        <v>42</v>
      </c>
      <c r="C4360" s="1" t="s">
        <v>8676</v>
      </c>
      <c r="D4360" s="1" t="s">
        <v>8677</v>
      </c>
      <c r="E4360" s="1" t="s">
        <v>45</v>
      </c>
      <c r="F4360" s="1" t="s">
        <v>9793</v>
      </c>
      <c r="G4360" s="1" t="s">
        <v>9891</v>
      </c>
      <c r="H4360" s="1" t="s">
        <v>45</v>
      </c>
      <c r="I4360" s="1" t="s">
        <v>45</v>
      </c>
      <c r="J4360" s="1" t="s">
        <v>48</v>
      </c>
      <c r="K4360" s="1">
        <v>80</v>
      </c>
      <c r="L4360" s="1">
        <v>0</v>
      </c>
      <c r="M4360" s="1">
        <v>0</v>
      </c>
      <c r="N4360" s="1">
        <v>80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 t="s">
        <v>49</v>
      </c>
      <c r="AA4360" s="1" t="s">
        <v>49</v>
      </c>
      <c r="AB4360" s="1" t="s">
        <v>49</v>
      </c>
      <c r="AC4360" s="1" t="s">
        <v>3719</v>
      </c>
      <c r="AD4360" s="1" t="s">
        <v>3720</v>
      </c>
      <c r="AE4360" s="1" t="s">
        <v>3719</v>
      </c>
      <c r="AF4360" s="1" t="s">
        <v>49</v>
      </c>
      <c r="AG4360" s="1" t="s">
        <v>53</v>
      </c>
      <c r="AH4360" s="1" t="s">
        <v>49</v>
      </c>
      <c r="AI4360" s="1" t="s">
        <v>54</v>
      </c>
      <c r="AJ4360" s="1">
        <v>1</v>
      </c>
      <c r="AK4360" s="1" t="str">
        <f t="shared" si="68"/>
        <v xml:space="preserve"> =&lt;90</v>
      </c>
      <c r="AL4360" s="1" t="str">
        <f>VLOOKUP(C:C,[1]基础信息!B$1:D$65536,3,0)</f>
        <v>Jug</v>
      </c>
      <c r="AM4360" s="1" t="str">
        <f>VLOOKUP(C:C,[1]基础信息!B$1:E$65536,4,0)</f>
        <v>Marella XL</v>
      </c>
      <c r="AN4360" s="1" t="str">
        <f>VLOOKUP(C:C,[1]基础信息!B$1:F$65536,5,0)</f>
        <v xml:space="preserve"> silver</v>
      </c>
    </row>
    <row r="4361" spans="1:40">
      <c r="A4361" s="1" t="s">
        <v>41</v>
      </c>
      <c r="B4361" s="1" t="s">
        <v>42</v>
      </c>
      <c r="C4361" s="1" t="s">
        <v>9778</v>
      </c>
      <c r="D4361" s="1" t="s">
        <v>9779</v>
      </c>
      <c r="E4361" s="1" t="s">
        <v>45</v>
      </c>
      <c r="F4361" s="1" t="s">
        <v>9789</v>
      </c>
      <c r="G4361" s="1" t="s">
        <v>9892</v>
      </c>
      <c r="H4361" s="1" t="s">
        <v>45</v>
      </c>
      <c r="I4361" s="1" t="s">
        <v>45</v>
      </c>
      <c r="J4361" s="1" t="s">
        <v>48</v>
      </c>
      <c r="K4361" s="1">
        <v>80</v>
      </c>
      <c r="L4361" s="1">
        <v>0</v>
      </c>
      <c r="M4361" s="1">
        <v>0</v>
      </c>
      <c r="N4361" s="1">
        <v>80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 t="s">
        <v>49</v>
      </c>
      <c r="AA4361" s="1" t="s">
        <v>49</v>
      </c>
      <c r="AB4361" s="1" t="s">
        <v>49</v>
      </c>
      <c r="AC4361" s="1" t="s">
        <v>3462</v>
      </c>
      <c r="AD4361" s="1" t="s">
        <v>3463</v>
      </c>
      <c r="AE4361" s="1" t="s">
        <v>3462</v>
      </c>
      <c r="AF4361" s="1" t="s">
        <v>49</v>
      </c>
      <c r="AG4361" s="1" t="s">
        <v>53</v>
      </c>
      <c r="AH4361" s="1" t="s">
        <v>49</v>
      </c>
      <c r="AI4361" s="1" t="s">
        <v>54</v>
      </c>
      <c r="AJ4361" s="1">
        <v>1</v>
      </c>
      <c r="AK4361" s="1" t="str">
        <f t="shared" si="68"/>
        <v xml:space="preserve"> =&lt;90</v>
      </c>
      <c r="AL4361" s="1" t="str">
        <f>VLOOKUP(C:C,[1]基础信息!B$1:D$65536,3,0)</f>
        <v xml:space="preserve">Cartridge </v>
      </c>
      <c r="AM4361" s="1" t="str">
        <f>VLOOKUP(C:C,[1]基础信息!B$1:E$65536,4,0)</f>
        <v>LE</v>
      </c>
      <c r="AN4361" s="1" t="str">
        <f>VLOOKUP(C:C,[1]基础信息!B$1:F$65536,5,0)</f>
        <v>P12</v>
      </c>
    </row>
    <row r="4362" spans="1:40">
      <c r="A4362" s="1" t="s">
        <v>41</v>
      </c>
      <c r="B4362" s="1" t="s">
        <v>42</v>
      </c>
      <c r="C4362" s="1" t="s">
        <v>9778</v>
      </c>
      <c r="D4362" s="1" t="s">
        <v>9779</v>
      </c>
      <c r="E4362" s="1" t="s">
        <v>45</v>
      </c>
      <c r="F4362" s="1" t="s">
        <v>9889</v>
      </c>
      <c r="G4362" s="1" t="s">
        <v>9893</v>
      </c>
      <c r="H4362" s="1" t="s">
        <v>45</v>
      </c>
      <c r="I4362" s="1" t="s">
        <v>45</v>
      </c>
      <c r="J4362" s="1" t="s">
        <v>48</v>
      </c>
      <c r="K4362" s="1">
        <v>80</v>
      </c>
      <c r="L4362" s="1">
        <v>0</v>
      </c>
      <c r="M4362" s="1">
        <v>0</v>
      </c>
      <c r="N4362" s="1">
        <v>80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 t="s">
        <v>49</v>
      </c>
      <c r="AA4362" s="1" t="s">
        <v>49</v>
      </c>
      <c r="AB4362" s="1" t="s">
        <v>49</v>
      </c>
      <c r="AC4362" s="1" t="s">
        <v>3264</v>
      </c>
      <c r="AD4362" s="1" t="s">
        <v>3265</v>
      </c>
      <c r="AE4362" s="1" t="s">
        <v>3264</v>
      </c>
      <c r="AF4362" s="1" t="s">
        <v>49</v>
      </c>
      <c r="AG4362" s="1" t="s">
        <v>53</v>
      </c>
      <c r="AH4362" s="1" t="s">
        <v>49</v>
      </c>
      <c r="AI4362" s="1" t="s">
        <v>54</v>
      </c>
      <c r="AJ4362" s="1">
        <v>1</v>
      </c>
      <c r="AK4362" s="1" t="str">
        <f t="shared" si="68"/>
        <v xml:space="preserve"> =&lt;90</v>
      </c>
      <c r="AL4362" s="1" t="str">
        <f>VLOOKUP(C:C,[1]基础信息!B$1:D$65536,3,0)</f>
        <v xml:space="preserve">Cartridge </v>
      </c>
      <c r="AM4362" s="1" t="str">
        <f>VLOOKUP(C:C,[1]基础信息!B$1:E$65536,4,0)</f>
        <v>LE</v>
      </c>
      <c r="AN4362" s="1" t="str">
        <f>VLOOKUP(C:C,[1]基础信息!B$1:F$65536,5,0)</f>
        <v>P12</v>
      </c>
    </row>
    <row r="4363" spans="1:40">
      <c r="A4363" s="1" t="s">
        <v>41</v>
      </c>
      <c r="B4363" s="1" t="s">
        <v>42</v>
      </c>
      <c r="C4363" s="1" t="s">
        <v>8676</v>
      </c>
      <c r="D4363" s="1" t="s">
        <v>8677</v>
      </c>
      <c r="E4363" s="1" t="s">
        <v>45</v>
      </c>
      <c r="F4363" s="1" t="s">
        <v>9793</v>
      </c>
      <c r="G4363" s="1" t="s">
        <v>9894</v>
      </c>
      <c r="H4363" s="1" t="s">
        <v>45</v>
      </c>
      <c r="I4363" s="1" t="s">
        <v>45</v>
      </c>
      <c r="J4363" s="1" t="s">
        <v>48</v>
      </c>
      <c r="K4363" s="1">
        <v>80</v>
      </c>
      <c r="L4363" s="1">
        <v>0</v>
      </c>
      <c r="M4363" s="1">
        <v>0</v>
      </c>
      <c r="N4363" s="1">
        <v>80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 t="s">
        <v>49</v>
      </c>
      <c r="AA4363" s="1" t="s">
        <v>49</v>
      </c>
      <c r="AB4363" s="1" t="s">
        <v>49</v>
      </c>
      <c r="AC4363" s="1" t="s">
        <v>3719</v>
      </c>
      <c r="AD4363" s="1" t="s">
        <v>3720</v>
      </c>
      <c r="AE4363" s="1" t="s">
        <v>3719</v>
      </c>
      <c r="AF4363" s="1" t="s">
        <v>49</v>
      </c>
      <c r="AG4363" s="1" t="s">
        <v>53</v>
      </c>
      <c r="AH4363" s="1" t="s">
        <v>49</v>
      </c>
      <c r="AI4363" s="1" t="s">
        <v>54</v>
      </c>
      <c r="AJ4363" s="1">
        <v>1</v>
      </c>
      <c r="AK4363" s="1" t="str">
        <f t="shared" si="68"/>
        <v xml:space="preserve"> =&lt;90</v>
      </c>
      <c r="AL4363" s="1" t="str">
        <f>VLOOKUP(C:C,[1]基础信息!B$1:D$65536,3,0)</f>
        <v>Jug</v>
      </c>
      <c r="AM4363" s="1" t="str">
        <f>VLOOKUP(C:C,[1]基础信息!B$1:E$65536,4,0)</f>
        <v>Marella XL</v>
      </c>
      <c r="AN4363" s="1" t="str">
        <f>VLOOKUP(C:C,[1]基础信息!B$1:F$65536,5,0)</f>
        <v xml:space="preserve"> silver</v>
      </c>
    </row>
    <row r="4364" spans="1:40">
      <c r="A4364" s="1" t="s">
        <v>41</v>
      </c>
      <c r="B4364" s="1" t="s">
        <v>42</v>
      </c>
      <c r="C4364" s="1" t="s">
        <v>9778</v>
      </c>
      <c r="D4364" s="1" t="s">
        <v>9779</v>
      </c>
      <c r="E4364" s="1" t="s">
        <v>45</v>
      </c>
      <c r="F4364" s="1" t="s">
        <v>9789</v>
      </c>
      <c r="G4364" s="1" t="s">
        <v>9895</v>
      </c>
      <c r="H4364" s="1" t="s">
        <v>45</v>
      </c>
      <c r="I4364" s="1" t="s">
        <v>45</v>
      </c>
      <c r="J4364" s="1" t="s">
        <v>48</v>
      </c>
      <c r="K4364" s="1">
        <v>80</v>
      </c>
      <c r="L4364" s="1">
        <v>0</v>
      </c>
      <c r="M4364" s="1">
        <v>0</v>
      </c>
      <c r="N4364" s="1">
        <v>80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 t="s">
        <v>49</v>
      </c>
      <c r="AA4364" s="1" t="s">
        <v>49</v>
      </c>
      <c r="AB4364" s="1" t="s">
        <v>49</v>
      </c>
      <c r="AC4364" s="1" t="s">
        <v>3462</v>
      </c>
      <c r="AD4364" s="1" t="s">
        <v>3463</v>
      </c>
      <c r="AE4364" s="1" t="s">
        <v>3462</v>
      </c>
      <c r="AF4364" s="1" t="s">
        <v>49</v>
      </c>
      <c r="AG4364" s="1" t="s">
        <v>53</v>
      </c>
      <c r="AH4364" s="1" t="s">
        <v>49</v>
      </c>
      <c r="AI4364" s="1" t="s">
        <v>54</v>
      </c>
      <c r="AJ4364" s="1">
        <v>1</v>
      </c>
      <c r="AK4364" s="1" t="str">
        <f t="shared" si="68"/>
        <v xml:space="preserve"> =&lt;90</v>
      </c>
      <c r="AL4364" s="1" t="str">
        <f>VLOOKUP(C:C,[1]基础信息!B$1:D$65536,3,0)</f>
        <v xml:space="preserve">Cartridge </v>
      </c>
      <c r="AM4364" s="1" t="str">
        <f>VLOOKUP(C:C,[1]基础信息!B$1:E$65536,4,0)</f>
        <v>LE</v>
      </c>
      <c r="AN4364" s="1" t="str">
        <f>VLOOKUP(C:C,[1]基础信息!B$1:F$65536,5,0)</f>
        <v>P12</v>
      </c>
    </row>
    <row r="4365" spans="1:40">
      <c r="A4365" s="1" t="s">
        <v>41</v>
      </c>
      <c r="B4365" s="1" t="s">
        <v>42</v>
      </c>
      <c r="C4365" s="1" t="s">
        <v>8676</v>
      </c>
      <c r="D4365" s="1" t="s">
        <v>8677</v>
      </c>
      <c r="E4365" s="1" t="s">
        <v>45</v>
      </c>
      <c r="F4365" s="1" t="s">
        <v>9793</v>
      </c>
      <c r="G4365" s="1" t="s">
        <v>9896</v>
      </c>
      <c r="H4365" s="1" t="s">
        <v>45</v>
      </c>
      <c r="I4365" s="1" t="s">
        <v>45</v>
      </c>
      <c r="J4365" s="1" t="s">
        <v>48</v>
      </c>
      <c r="K4365" s="1">
        <v>80</v>
      </c>
      <c r="L4365" s="1">
        <v>0</v>
      </c>
      <c r="M4365" s="1">
        <v>0</v>
      </c>
      <c r="N4365" s="1">
        <v>80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 t="s">
        <v>49</v>
      </c>
      <c r="AA4365" s="1" t="s">
        <v>49</v>
      </c>
      <c r="AB4365" s="1" t="s">
        <v>49</v>
      </c>
      <c r="AC4365" s="1" t="s">
        <v>3719</v>
      </c>
      <c r="AD4365" s="1" t="s">
        <v>3720</v>
      </c>
      <c r="AE4365" s="1" t="s">
        <v>3719</v>
      </c>
      <c r="AF4365" s="1" t="s">
        <v>49</v>
      </c>
      <c r="AG4365" s="1" t="s">
        <v>53</v>
      </c>
      <c r="AH4365" s="1" t="s">
        <v>49</v>
      </c>
      <c r="AI4365" s="1" t="s">
        <v>54</v>
      </c>
      <c r="AJ4365" s="1">
        <v>1</v>
      </c>
      <c r="AK4365" s="1" t="str">
        <f t="shared" si="68"/>
        <v xml:space="preserve"> =&lt;90</v>
      </c>
      <c r="AL4365" s="1" t="str">
        <f>VLOOKUP(C:C,[1]基础信息!B$1:D$65536,3,0)</f>
        <v>Jug</v>
      </c>
      <c r="AM4365" s="1" t="str">
        <f>VLOOKUP(C:C,[1]基础信息!B$1:E$65536,4,0)</f>
        <v>Marella XL</v>
      </c>
      <c r="AN4365" s="1" t="str">
        <f>VLOOKUP(C:C,[1]基础信息!B$1:F$65536,5,0)</f>
        <v xml:space="preserve"> silver</v>
      </c>
    </row>
    <row r="4366" spans="1:40">
      <c r="A4366" s="1" t="s">
        <v>41</v>
      </c>
      <c r="B4366" s="1" t="s">
        <v>42</v>
      </c>
      <c r="C4366" s="1" t="s">
        <v>9778</v>
      </c>
      <c r="D4366" s="1" t="s">
        <v>9779</v>
      </c>
      <c r="E4366" s="1" t="s">
        <v>45</v>
      </c>
      <c r="F4366" s="1" t="s">
        <v>9789</v>
      </c>
      <c r="G4366" s="1" t="s">
        <v>9897</v>
      </c>
      <c r="H4366" s="1" t="s">
        <v>45</v>
      </c>
      <c r="I4366" s="1" t="s">
        <v>45</v>
      </c>
      <c r="J4366" s="1" t="s">
        <v>48</v>
      </c>
      <c r="K4366" s="1">
        <v>80</v>
      </c>
      <c r="L4366" s="1">
        <v>0</v>
      </c>
      <c r="M4366" s="1">
        <v>0</v>
      </c>
      <c r="N4366" s="1">
        <v>80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 t="s">
        <v>49</v>
      </c>
      <c r="AA4366" s="1" t="s">
        <v>49</v>
      </c>
      <c r="AB4366" s="1" t="s">
        <v>49</v>
      </c>
      <c r="AC4366" s="1" t="s">
        <v>3462</v>
      </c>
      <c r="AD4366" s="1" t="s">
        <v>3463</v>
      </c>
      <c r="AE4366" s="1" t="s">
        <v>3462</v>
      </c>
      <c r="AF4366" s="1" t="s">
        <v>49</v>
      </c>
      <c r="AG4366" s="1" t="s">
        <v>53</v>
      </c>
      <c r="AH4366" s="1" t="s">
        <v>49</v>
      </c>
      <c r="AI4366" s="1" t="s">
        <v>54</v>
      </c>
      <c r="AJ4366" s="1">
        <v>1</v>
      </c>
      <c r="AK4366" s="1" t="str">
        <f t="shared" si="68"/>
        <v xml:space="preserve"> =&lt;90</v>
      </c>
      <c r="AL4366" s="1" t="str">
        <f>VLOOKUP(C:C,[1]基础信息!B$1:D$65536,3,0)</f>
        <v xml:space="preserve">Cartridge </v>
      </c>
      <c r="AM4366" s="1" t="str">
        <f>VLOOKUP(C:C,[1]基础信息!B$1:E$65536,4,0)</f>
        <v>LE</v>
      </c>
      <c r="AN4366" s="1" t="str">
        <f>VLOOKUP(C:C,[1]基础信息!B$1:F$65536,5,0)</f>
        <v>P12</v>
      </c>
    </row>
    <row r="4367" spans="1:40">
      <c r="A4367" s="1" t="s">
        <v>41</v>
      </c>
      <c r="B4367" s="1" t="s">
        <v>42</v>
      </c>
      <c r="C4367" s="1" t="s">
        <v>8676</v>
      </c>
      <c r="D4367" s="1" t="s">
        <v>8677</v>
      </c>
      <c r="E4367" s="1" t="s">
        <v>45</v>
      </c>
      <c r="F4367" s="1" t="s">
        <v>9846</v>
      </c>
      <c r="G4367" s="1" t="s">
        <v>9898</v>
      </c>
      <c r="H4367" s="1" t="s">
        <v>45</v>
      </c>
      <c r="I4367" s="1" t="s">
        <v>45</v>
      </c>
      <c r="J4367" s="1" t="s">
        <v>48</v>
      </c>
      <c r="K4367" s="1">
        <v>80</v>
      </c>
      <c r="L4367" s="1">
        <v>0</v>
      </c>
      <c r="M4367" s="1">
        <v>0</v>
      </c>
      <c r="N4367" s="1">
        <v>80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 t="s">
        <v>49</v>
      </c>
      <c r="AA4367" s="1" t="s">
        <v>49</v>
      </c>
      <c r="AB4367" s="1" t="s">
        <v>49</v>
      </c>
      <c r="AC4367" s="1" t="s">
        <v>5230</v>
      </c>
      <c r="AD4367" s="1" t="s">
        <v>9848</v>
      </c>
      <c r="AE4367" s="1" t="s">
        <v>5230</v>
      </c>
      <c r="AF4367" s="1" t="s">
        <v>49</v>
      </c>
      <c r="AG4367" s="1" t="s">
        <v>53</v>
      </c>
      <c r="AH4367" s="1" t="s">
        <v>49</v>
      </c>
      <c r="AI4367" s="1" t="s">
        <v>54</v>
      </c>
      <c r="AJ4367" s="1">
        <v>1</v>
      </c>
      <c r="AK4367" s="1" t="str">
        <f t="shared" si="68"/>
        <v xml:space="preserve"> =&lt;90</v>
      </c>
      <c r="AL4367" s="1" t="str">
        <f>VLOOKUP(C:C,[1]基础信息!B$1:D$65536,3,0)</f>
        <v>Jug</v>
      </c>
      <c r="AM4367" s="1" t="str">
        <f>VLOOKUP(C:C,[1]基础信息!B$1:E$65536,4,0)</f>
        <v>Marella XL</v>
      </c>
      <c r="AN4367" s="1" t="str">
        <f>VLOOKUP(C:C,[1]基础信息!B$1:F$65536,5,0)</f>
        <v xml:space="preserve"> silver</v>
      </c>
    </row>
    <row r="4368" spans="1:40">
      <c r="A4368" s="1" t="s">
        <v>41</v>
      </c>
      <c r="B4368" s="1" t="s">
        <v>42</v>
      </c>
      <c r="C4368" s="1" t="s">
        <v>8676</v>
      </c>
      <c r="D4368" s="1" t="s">
        <v>8677</v>
      </c>
      <c r="E4368" s="1" t="s">
        <v>45</v>
      </c>
      <c r="F4368" s="1" t="s">
        <v>9793</v>
      </c>
      <c r="G4368" s="1" t="s">
        <v>9899</v>
      </c>
      <c r="H4368" s="1" t="s">
        <v>45</v>
      </c>
      <c r="I4368" s="1" t="s">
        <v>45</v>
      </c>
      <c r="J4368" s="1" t="s">
        <v>48</v>
      </c>
      <c r="K4368" s="1">
        <v>80</v>
      </c>
      <c r="L4368" s="1">
        <v>0</v>
      </c>
      <c r="M4368" s="1">
        <v>0</v>
      </c>
      <c r="N4368" s="1">
        <v>80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 t="s">
        <v>49</v>
      </c>
      <c r="AA4368" s="1" t="s">
        <v>49</v>
      </c>
      <c r="AB4368" s="1" t="s">
        <v>49</v>
      </c>
      <c r="AC4368" s="1" t="s">
        <v>3719</v>
      </c>
      <c r="AD4368" s="1" t="s">
        <v>3720</v>
      </c>
      <c r="AE4368" s="1" t="s">
        <v>3719</v>
      </c>
      <c r="AF4368" s="1" t="s">
        <v>49</v>
      </c>
      <c r="AG4368" s="1" t="s">
        <v>53</v>
      </c>
      <c r="AH4368" s="1" t="s">
        <v>49</v>
      </c>
      <c r="AI4368" s="1" t="s">
        <v>54</v>
      </c>
      <c r="AJ4368" s="1">
        <v>1</v>
      </c>
      <c r="AK4368" s="1" t="str">
        <f t="shared" si="68"/>
        <v xml:space="preserve"> =&lt;90</v>
      </c>
      <c r="AL4368" s="1" t="str">
        <f>VLOOKUP(C:C,[1]基础信息!B$1:D$65536,3,0)</f>
        <v>Jug</v>
      </c>
      <c r="AM4368" s="1" t="str">
        <f>VLOOKUP(C:C,[1]基础信息!B$1:E$65536,4,0)</f>
        <v>Marella XL</v>
      </c>
      <c r="AN4368" s="1" t="str">
        <f>VLOOKUP(C:C,[1]基础信息!B$1:F$65536,5,0)</f>
        <v xml:space="preserve"> silver</v>
      </c>
    </row>
    <row r="4369" spans="1:40">
      <c r="A4369" s="1" t="s">
        <v>41</v>
      </c>
      <c r="B4369" s="1" t="s">
        <v>42</v>
      </c>
      <c r="C4369" s="1" t="s">
        <v>9778</v>
      </c>
      <c r="D4369" s="1" t="s">
        <v>9779</v>
      </c>
      <c r="E4369" s="1" t="s">
        <v>45</v>
      </c>
      <c r="F4369" s="1" t="s">
        <v>9789</v>
      </c>
      <c r="G4369" s="1" t="s">
        <v>9900</v>
      </c>
      <c r="H4369" s="1" t="s">
        <v>45</v>
      </c>
      <c r="I4369" s="1" t="s">
        <v>45</v>
      </c>
      <c r="J4369" s="1" t="s">
        <v>48</v>
      </c>
      <c r="K4369" s="1">
        <v>80</v>
      </c>
      <c r="L4369" s="1">
        <v>0</v>
      </c>
      <c r="M4369" s="1">
        <v>0</v>
      </c>
      <c r="N4369" s="1">
        <v>80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 t="s">
        <v>49</v>
      </c>
      <c r="AA4369" s="1" t="s">
        <v>49</v>
      </c>
      <c r="AB4369" s="1" t="s">
        <v>49</v>
      </c>
      <c r="AC4369" s="1" t="s">
        <v>3462</v>
      </c>
      <c r="AD4369" s="1" t="s">
        <v>3463</v>
      </c>
      <c r="AE4369" s="1" t="s">
        <v>3462</v>
      </c>
      <c r="AF4369" s="1" t="s">
        <v>49</v>
      </c>
      <c r="AG4369" s="1" t="s">
        <v>53</v>
      </c>
      <c r="AH4369" s="1" t="s">
        <v>49</v>
      </c>
      <c r="AI4369" s="1" t="s">
        <v>54</v>
      </c>
      <c r="AJ4369" s="1">
        <v>1</v>
      </c>
      <c r="AK4369" s="1" t="str">
        <f t="shared" si="68"/>
        <v xml:space="preserve"> =&lt;90</v>
      </c>
      <c r="AL4369" s="1" t="str">
        <f>VLOOKUP(C:C,[1]基础信息!B$1:D$65536,3,0)</f>
        <v xml:space="preserve">Cartridge </v>
      </c>
      <c r="AM4369" s="1" t="str">
        <f>VLOOKUP(C:C,[1]基础信息!B$1:E$65536,4,0)</f>
        <v>LE</v>
      </c>
      <c r="AN4369" s="1" t="str">
        <f>VLOOKUP(C:C,[1]基础信息!B$1:F$65536,5,0)</f>
        <v>P12</v>
      </c>
    </row>
    <row r="4370" spans="1:40">
      <c r="A4370" s="1" t="s">
        <v>41</v>
      </c>
      <c r="B4370" s="1" t="s">
        <v>42</v>
      </c>
      <c r="C4370" s="1" t="s">
        <v>9778</v>
      </c>
      <c r="D4370" s="1" t="s">
        <v>9779</v>
      </c>
      <c r="E4370" s="1" t="s">
        <v>45</v>
      </c>
      <c r="F4370" s="1" t="s">
        <v>9889</v>
      </c>
      <c r="G4370" s="1" t="s">
        <v>9901</v>
      </c>
      <c r="H4370" s="1" t="s">
        <v>45</v>
      </c>
      <c r="I4370" s="1" t="s">
        <v>45</v>
      </c>
      <c r="J4370" s="1" t="s">
        <v>48</v>
      </c>
      <c r="K4370" s="1">
        <v>80</v>
      </c>
      <c r="L4370" s="1">
        <v>0</v>
      </c>
      <c r="M4370" s="1">
        <v>0</v>
      </c>
      <c r="N4370" s="1">
        <v>80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 t="s">
        <v>49</v>
      </c>
      <c r="AA4370" s="1" t="s">
        <v>49</v>
      </c>
      <c r="AB4370" s="1" t="s">
        <v>49</v>
      </c>
      <c r="AC4370" s="1" t="s">
        <v>3264</v>
      </c>
      <c r="AD4370" s="1" t="s">
        <v>3265</v>
      </c>
      <c r="AE4370" s="1" t="s">
        <v>3264</v>
      </c>
      <c r="AF4370" s="1" t="s">
        <v>49</v>
      </c>
      <c r="AG4370" s="1" t="s">
        <v>53</v>
      </c>
      <c r="AH4370" s="1" t="s">
        <v>49</v>
      </c>
      <c r="AI4370" s="1" t="s">
        <v>54</v>
      </c>
      <c r="AJ4370" s="1">
        <v>1</v>
      </c>
      <c r="AK4370" s="1" t="str">
        <f t="shared" si="68"/>
        <v xml:space="preserve"> =&lt;90</v>
      </c>
      <c r="AL4370" s="1" t="str">
        <f>VLOOKUP(C:C,[1]基础信息!B$1:D$65536,3,0)</f>
        <v xml:space="preserve">Cartridge </v>
      </c>
      <c r="AM4370" s="1" t="str">
        <f>VLOOKUP(C:C,[1]基础信息!B$1:E$65536,4,0)</f>
        <v>LE</v>
      </c>
      <c r="AN4370" s="1" t="str">
        <f>VLOOKUP(C:C,[1]基础信息!B$1:F$65536,5,0)</f>
        <v>P12</v>
      </c>
    </row>
    <row r="4371" spans="1:40">
      <c r="A4371" s="1" t="s">
        <v>41</v>
      </c>
      <c r="B4371" s="1" t="s">
        <v>42</v>
      </c>
      <c r="C4371" s="1" t="s">
        <v>8676</v>
      </c>
      <c r="D4371" s="1" t="s">
        <v>8677</v>
      </c>
      <c r="E4371" s="1" t="s">
        <v>45</v>
      </c>
      <c r="F4371" s="1" t="s">
        <v>9793</v>
      </c>
      <c r="G4371" s="1" t="s">
        <v>9902</v>
      </c>
      <c r="H4371" s="1" t="s">
        <v>45</v>
      </c>
      <c r="I4371" s="1" t="s">
        <v>45</v>
      </c>
      <c r="J4371" s="1" t="s">
        <v>48</v>
      </c>
      <c r="K4371" s="1">
        <v>80</v>
      </c>
      <c r="L4371" s="1">
        <v>0</v>
      </c>
      <c r="M4371" s="1">
        <v>0</v>
      </c>
      <c r="N4371" s="1">
        <v>80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 t="s">
        <v>49</v>
      </c>
      <c r="AA4371" s="1" t="s">
        <v>49</v>
      </c>
      <c r="AB4371" s="1" t="s">
        <v>49</v>
      </c>
      <c r="AC4371" s="1" t="s">
        <v>3719</v>
      </c>
      <c r="AD4371" s="1" t="s">
        <v>3720</v>
      </c>
      <c r="AE4371" s="1" t="s">
        <v>3719</v>
      </c>
      <c r="AF4371" s="1" t="s">
        <v>49</v>
      </c>
      <c r="AG4371" s="1" t="s">
        <v>53</v>
      </c>
      <c r="AH4371" s="1" t="s">
        <v>49</v>
      </c>
      <c r="AI4371" s="1" t="s">
        <v>54</v>
      </c>
      <c r="AJ4371" s="1">
        <v>1</v>
      </c>
      <c r="AK4371" s="1" t="str">
        <f t="shared" si="68"/>
        <v xml:space="preserve"> =&lt;90</v>
      </c>
      <c r="AL4371" s="1" t="str">
        <f>VLOOKUP(C:C,[1]基础信息!B$1:D$65536,3,0)</f>
        <v>Jug</v>
      </c>
      <c r="AM4371" s="1" t="str">
        <f>VLOOKUP(C:C,[1]基础信息!B$1:E$65536,4,0)</f>
        <v>Marella XL</v>
      </c>
      <c r="AN4371" s="1" t="str">
        <f>VLOOKUP(C:C,[1]基础信息!B$1:F$65536,5,0)</f>
        <v xml:space="preserve"> silver</v>
      </c>
    </row>
    <row r="4372" spans="1:40">
      <c r="A4372" s="1" t="s">
        <v>41</v>
      </c>
      <c r="B4372" s="1" t="s">
        <v>42</v>
      </c>
      <c r="C4372" s="1" t="s">
        <v>9778</v>
      </c>
      <c r="D4372" s="1" t="s">
        <v>9779</v>
      </c>
      <c r="E4372" s="1" t="s">
        <v>45</v>
      </c>
      <c r="F4372" s="1" t="s">
        <v>9789</v>
      </c>
      <c r="G4372" s="1" t="s">
        <v>9903</v>
      </c>
      <c r="H4372" s="1" t="s">
        <v>45</v>
      </c>
      <c r="I4372" s="1" t="s">
        <v>45</v>
      </c>
      <c r="J4372" s="1" t="s">
        <v>48</v>
      </c>
      <c r="K4372" s="1">
        <v>80</v>
      </c>
      <c r="L4372" s="1">
        <v>0</v>
      </c>
      <c r="M4372" s="1">
        <v>0</v>
      </c>
      <c r="N4372" s="1">
        <v>80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 t="s">
        <v>49</v>
      </c>
      <c r="AA4372" s="1" t="s">
        <v>49</v>
      </c>
      <c r="AB4372" s="1" t="s">
        <v>49</v>
      </c>
      <c r="AC4372" s="1" t="s">
        <v>3462</v>
      </c>
      <c r="AD4372" s="1" t="s">
        <v>3463</v>
      </c>
      <c r="AE4372" s="1" t="s">
        <v>3462</v>
      </c>
      <c r="AF4372" s="1" t="s">
        <v>49</v>
      </c>
      <c r="AG4372" s="1" t="s">
        <v>53</v>
      </c>
      <c r="AH4372" s="1" t="s">
        <v>49</v>
      </c>
      <c r="AI4372" s="1" t="s">
        <v>54</v>
      </c>
      <c r="AJ4372" s="1">
        <v>1</v>
      </c>
      <c r="AK4372" s="1" t="str">
        <f t="shared" si="68"/>
        <v xml:space="preserve"> =&lt;90</v>
      </c>
      <c r="AL4372" s="1" t="str">
        <f>VLOOKUP(C:C,[1]基础信息!B$1:D$65536,3,0)</f>
        <v xml:space="preserve">Cartridge </v>
      </c>
      <c r="AM4372" s="1" t="str">
        <f>VLOOKUP(C:C,[1]基础信息!B$1:E$65536,4,0)</f>
        <v>LE</v>
      </c>
      <c r="AN4372" s="1" t="str">
        <f>VLOOKUP(C:C,[1]基础信息!B$1:F$65536,5,0)</f>
        <v>P12</v>
      </c>
    </row>
    <row r="4373" spans="1:40">
      <c r="A4373" s="1" t="s">
        <v>41</v>
      </c>
      <c r="B4373" s="1" t="s">
        <v>42</v>
      </c>
      <c r="C4373" s="1" t="s">
        <v>9778</v>
      </c>
      <c r="D4373" s="1" t="s">
        <v>9779</v>
      </c>
      <c r="E4373" s="1" t="s">
        <v>45</v>
      </c>
      <c r="F4373" s="1" t="s">
        <v>9889</v>
      </c>
      <c r="G4373" s="1" t="s">
        <v>9904</v>
      </c>
      <c r="H4373" s="1" t="s">
        <v>45</v>
      </c>
      <c r="I4373" s="1" t="s">
        <v>45</v>
      </c>
      <c r="J4373" s="1" t="s">
        <v>48</v>
      </c>
      <c r="K4373" s="1">
        <v>80</v>
      </c>
      <c r="L4373" s="1">
        <v>0</v>
      </c>
      <c r="M4373" s="1">
        <v>0</v>
      </c>
      <c r="N4373" s="1">
        <v>80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 t="s">
        <v>49</v>
      </c>
      <c r="AA4373" s="1" t="s">
        <v>49</v>
      </c>
      <c r="AB4373" s="1" t="s">
        <v>49</v>
      </c>
      <c r="AC4373" s="1" t="s">
        <v>3264</v>
      </c>
      <c r="AD4373" s="1" t="s">
        <v>3265</v>
      </c>
      <c r="AE4373" s="1" t="s">
        <v>3264</v>
      </c>
      <c r="AF4373" s="1" t="s">
        <v>49</v>
      </c>
      <c r="AG4373" s="1" t="s">
        <v>53</v>
      </c>
      <c r="AH4373" s="1" t="s">
        <v>49</v>
      </c>
      <c r="AI4373" s="1" t="s">
        <v>54</v>
      </c>
      <c r="AJ4373" s="1">
        <v>1</v>
      </c>
      <c r="AK4373" s="1" t="str">
        <f t="shared" si="68"/>
        <v xml:space="preserve"> =&lt;90</v>
      </c>
      <c r="AL4373" s="1" t="str">
        <f>VLOOKUP(C:C,[1]基础信息!B$1:D$65536,3,0)</f>
        <v xml:space="preserve">Cartridge </v>
      </c>
      <c r="AM4373" s="1" t="str">
        <f>VLOOKUP(C:C,[1]基础信息!B$1:E$65536,4,0)</f>
        <v>LE</v>
      </c>
      <c r="AN4373" s="1" t="str">
        <f>VLOOKUP(C:C,[1]基础信息!B$1:F$65536,5,0)</f>
        <v>P12</v>
      </c>
    </row>
    <row r="4374" spans="1:40">
      <c r="A4374" s="1" t="s">
        <v>41</v>
      </c>
      <c r="B4374" s="1" t="s">
        <v>42</v>
      </c>
      <c r="C4374" s="1" t="s">
        <v>8676</v>
      </c>
      <c r="D4374" s="1" t="s">
        <v>8677</v>
      </c>
      <c r="E4374" s="1" t="s">
        <v>45</v>
      </c>
      <c r="F4374" s="1" t="s">
        <v>9793</v>
      </c>
      <c r="G4374" s="1" t="s">
        <v>9905</v>
      </c>
      <c r="H4374" s="1" t="s">
        <v>45</v>
      </c>
      <c r="I4374" s="1" t="s">
        <v>45</v>
      </c>
      <c r="J4374" s="1" t="s">
        <v>48</v>
      </c>
      <c r="K4374" s="1">
        <v>80</v>
      </c>
      <c r="L4374" s="1">
        <v>0</v>
      </c>
      <c r="M4374" s="1">
        <v>0</v>
      </c>
      <c r="N4374" s="1">
        <v>80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 t="s">
        <v>49</v>
      </c>
      <c r="AA4374" s="1" t="s">
        <v>49</v>
      </c>
      <c r="AB4374" s="1" t="s">
        <v>49</v>
      </c>
      <c r="AC4374" s="1" t="s">
        <v>3719</v>
      </c>
      <c r="AD4374" s="1" t="s">
        <v>3720</v>
      </c>
      <c r="AE4374" s="1" t="s">
        <v>3719</v>
      </c>
      <c r="AF4374" s="1" t="s">
        <v>49</v>
      </c>
      <c r="AG4374" s="1" t="s">
        <v>53</v>
      </c>
      <c r="AH4374" s="1" t="s">
        <v>49</v>
      </c>
      <c r="AI4374" s="1" t="s">
        <v>54</v>
      </c>
      <c r="AJ4374" s="1">
        <v>1</v>
      </c>
      <c r="AK4374" s="1" t="str">
        <f t="shared" si="68"/>
        <v xml:space="preserve"> =&lt;90</v>
      </c>
      <c r="AL4374" s="1" t="str">
        <f>VLOOKUP(C:C,[1]基础信息!B$1:D$65536,3,0)</f>
        <v>Jug</v>
      </c>
      <c r="AM4374" s="1" t="str">
        <f>VLOOKUP(C:C,[1]基础信息!B$1:E$65536,4,0)</f>
        <v>Marella XL</v>
      </c>
      <c r="AN4374" s="1" t="str">
        <f>VLOOKUP(C:C,[1]基础信息!B$1:F$65536,5,0)</f>
        <v xml:space="preserve"> silver</v>
      </c>
    </row>
    <row r="4375" spans="1:40">
      <c r="A4375" s="1" t="s">
        <v>41</v>
      </c>
      <c r="B4375" s="1" t="s">
        <v>42</v>
      </c>
      <c r="C4375" s="1" t="s">
        <v>9778</v>
      </c>
      <c r="D4375" s="1" t="s">
        <v>9779</v>
      </c>
      <c r="E4375" s="1" t="s">
        <v>45</v>
      </c>
      <c r="F4375" s="1" t="s">
        <v>9789</v>
      </c>
      <c r="G4375" s="1" t="s">
        <v>9906</v>
      </c>
      <c r="H4375" s="1" t="s">
        <v>45</v>
      </c>
      <c r="I4375" s="1" t="s">
        <v>45</v>
      </c>
      <c r="J4375" s="1" t="s">
        <v>48</v>
      </c>
      <c r="K4375" s="1">
        <v>80</v>
      </c>
      <c r="L4375" s="1">
        <v>0</v>
      </c>
      <c r="M4375" s="1">
        <v>0</v>
      </c>
      <c r="N4375" s="1">
        <v>80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 t="s">
        <v>49</v>
      </c>
      <c r="AA4375" s="1" t="s">
        <v>49</v>
      </c>
      <c r="AB4375" s="1" t="s">
        <v>49</v>
      </c>
      <c r="AC4375" s="1" t="s">
        <v>3462</v>
      </c>
      <c r="AD4375" s="1" t="s">
        <v>3463</v>
      </c>
      <c r="AE4375" s="1" t="s">
        <v>3462</v>
      </c>
      <c r="AF4375" s="1" t="s">
        <v>49</v>
      </c>
      <c r="AG4375" s="1" t="s">
        <v>53</v>
      </c>
      <c r="AH4375" s="1" t="s">
        <v>49</v>
      </c>
      <c r="AI4375" s="1" t="s">
        <v>54</v>
      </c>
      <c r="AJ4375" s="1">
        <v>1</v>
      </c>
      <c r="AK4375" s="1" t="str">
        <f t="shared" si="68"/>
        <v xml:space="preserve"> =&lt;90</v>
      </c>
      <c r="AL4375" s="1" t="str">
        <f>VLOOKUP(C:C,[1]基础信息!B$1:D$65536,3,0)</f>
        <v xml:space="preserve">Cartridge </v>
      </c>
      <c r="AM4375" s="1" t="str">
        <f>VLOOKUP(C:C,[1]基础信息!B$1:E$65536,4,0)</f>
        <v>LE</v>
      </c>
      <c r="AN4375" s="1" t="str">
        <f>VLOOKUP(C:C,[1]基础信息!B$1:F$65536,5,0)</f>
        <v>P12</v>
      </c>
    </row>
    <row r="4376" spans="1:40">
      <c r="A4376" s="1" t="s">
        <v>41</v>
      </c>
      <c r="B4376" s="1" t="s">
        <v>42</v>
      </c>
      <c r="C4376" s="1" t="s">
        <v>8676</v>
      </c>
      <c r="D4376" s="1" t="s">
        <v>8677</v>
      </c>
      <c r="E4376" s="1" t="s">
        <v>45</v>
      </c>
      <c r="F4376" s="1" t="s">
        <v>9791</v>
      </c>
      <c r="G4376" s="1" t="s">
        <v>9907</v>
      </c>
      <c r="H4376" s="1" t="s">
        <v>45</v>
      </c>
      <c r="I4376" s="1" t="s">
        <v>45</v>
      </c>
      <c r="J4376" s="1" t="s">
        <v>48</v>
      </c>
      <c r="K4376" s="1">
        <v>80</v>
      </c>
      <c r="L4376" s="1">
        <v>0</v>
      </c>
      <c r="M4376" s="1">
        <v>0</v>
      </c>
      <c r="N4376" s="1">
        <v>80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 t="s">
        <v>49</v>
      </c>
      <c r="AA4376" s="1" t="s">
        <v>49</v>
      </c>
      <c r="AB4376" s="1" t="s">
        <v>49</v>
      </c>
      <c r="AC4376" s="1" t="s">
        <v>416</v>
      </c>
      <c r="AD4376" s="1" t="s">
        <v>8161</v>
      </c>
      <c r="AE4376" s="1" t="s">
        <v>416</v>
      </c>
      <c r="AF4376" s="1" t="s">
        <v>49</v>
      </c>
      <c r="AG4376" s="1" t="s">
        <v>53</v>
      </c>
      <c r="AH4376" s="1" t="s">
        <v>49</v>
      </c>
      <c r="AI4376" s="1" t="s">
        <v>54</v>
      </c>
      <c r="AJ4376" s="1">
        <v>1</v>
      </c>
      <c r="AK4376" s="1" t="str">
        <f t="shared" si="68"/>
        <v xml:space="preserve"> =&lt;90</v>
      </c>
      <c r="AL4376" s="1" t="str">
        <f>VLOOKUP(C:C,[1]基础信息!B$1:D$65536,3,0)</f>
        <v>Jug</v>
      </c>
      <c r="AM4376" s="1" t="str">
        <f>VLOOKUP(C:C,[1]基础信息!B$1:E$65536,4,0)</f>
        <v>Marella XL</v>
      </c>
      <c r="AN4376" s="1" t="str">
        <f>VLOOKUP(C:C,[1]基础信息!B$1:F$65536,5,0)</f>
        <v xml:space="preserve"> silver</v>
      </c>
    </row>
    <row r="4377" spans="1:40">
      <c r="A4377" s="1" t="s">
        <v>41</v>
      </c>
      <c r="B4377" s="1" t="s">
        <v>42</v>
      </c>
      <c r="C4377" s="1" t="s">
        <v>8676</v>
      </c>
      <c r="D4377" s="1" t="s">
        <v>8677</v>
      </c>
      <c r="E4377" s="1" t="s">
        <v>45</v>
      </c>
      <c r="F4377" s="1" t="s">
        <v>9793</v>
      </c>
      <c r="G4377" s="1" t="s">
        <v>9908</v>
      </c>
      <c r="H4377" s="1" t="s">
        <v>45</v>
      </c>
      <c r="I4377" s="1" t="s">
        <v>45</v>
      </c>
      <c r="J4377" s="1" t="s">
        <v>48</v>
      </c>
      <c r="K4377" s="1">
        <v>80</v>
      </c>
      <c r="L4377" s="1">
        <v>0</v>
      </c>
      <c r="M4377" s="1">
        <v>0</v>
      </c>
      <c r="N4377" s="1">
        <v>80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 t="s">
        <v>49</v>
      </c>
      <c r="AA4377" s="1" t="s">
        <v>49</v>
      </c>
      <c r="AB4377" s="1" t="s">
        <v>49</v>
      </c>
      <c r="AC4377" s="1" t="s">
        <v>3719</v>
      </c>
      <c r="AD4377" s="1" t="s">
        <v>3720</v>
      </c>
      <c r="AE4377" s="1" t="s">
        <v>3719</v>
      </c>
      <c r="AF4377" s="1" t="s">
        <v>49</v>
      </c>
      <c r="AG4377" s="1" t="s">
        <v>53</v>
      </c>
      <c r="AH4377" s="1" t="s">
        <v>49</v>
      </c>
      <c r="AI4377" s="1" t="s">
        <v>54</v>
      </c>
      <c r="AJ4377" s="1">
        <v>1</v>
      </c>
      <c r="AK4377" s="1" t="str">
        <f t="shared" si="68"/>
        <v xml:space="preserve"> =&lt;90</v>
      </c>
      <c r="AL4377" s="1" t="str">
        <f>VLOOKUP(C:C,[1]基础信息!B$1:D$65536,3,0)</f>
        <v>Jug</v>
      </c>
      <c r="AM4377" s="1" t="str">
        <f>VLOOKUP(C:C,[1]基础信息!B$1:E$65536,4,0)</f>
        <v>Marella XL</v>
      </c>
      <c r="AN4377" s="1" t="str">
        <f>VLOOKUP(C:C,[1]基础信息!B$1:F$65536,5,0)</f>
        <v xml:space="preserve"> silver</v>
      </c>
    </row>
    <row r="4378" spans="1:40">
      <c r="A4378" s="1" t="s">
        <v>41</v>
      </c>
      <c r="B4378" s="1" t="s">
        <v>42</v>
      </c>
      <c r="C4378" s="1" t="s">
        <v>9815</v>
      </c>
      <c r="D4378" s="1" t="s">
        <v>9816</v>
      </c>
      <c r="E4378" s="1" t="s">
        <v>45</v>
      </c>
      <c r="F4378" s="1" t="s">
        <v>9817</v>
      </c>
      <c r="G4378" s="1" t="s">
        <v>9909</v>
      </c>
      <c r="H4378" s="1" t="s">
        <v>45</v>
      </c>
      <c r="I4378" s="1" t="s">
        <v>45</v>
      </c>
      <c r="J4378" s="1" t="s">
        <v>48</v>
      </c>
      <c r="K4378" s="1">
        <v>40</v>
      </c>
      <c r="L4378" s="1">
        <v>0</v>
      </c>
      <c r="M4378" s="1">
        <v>0</v>
      </c>
      <c r="N4378" s="1">
        <v>40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 t="s">
        <v>49</v>
      </c>
      <c r="AA4378" s="1" t="s">
        <v>49</v>
      </c>
      <c r="AB4378" s="1" t="s">
        <v>49</v>
      </c>
      <c r="AC4378" s="1" t="s">
        <v>9819</v>
      </c>
      <c r="AD4378" s="1" t="s">
        <v>9820</v>
      </c>
      <c r="AE4378" s="1" t="s">
        <v>9819</v>
      </c>
      <c r="AF4378" s="1" t="s">
        <v>49</v>
      </c>
      <c r="AG4378" s="1" t="s">
        <v>53</v>
      </c>
      <c r="AH4378" s="1" t="s">
        <v>49</v>
      </c>
      <c r="AI4378" s="1" t="s">
        <v>54</v>
      </c>
      <c r="AJ4378" s="1">
        <v>1</v>
      </c>
      <c r="AK4378" s="1" t="str">
        <f t="shared" si="68"/>
        <v xml:space="preserve"> =&lt;90</v>
      </c>
      <c r="AL4378" s="1" t="e">
        <f>VLOOKUP(C:C,[1]基础信息!B$1:D$65536,3,0)</f>
        <v>#N/A</v>
      </c>
      <c r="AM4378" s="1" t="e">
        <f>VLOOKUP(C:C,[1]基础信息!B$1:E$65536,4,0)</f>
        <v>#N/A</v>
      </c>
      <c r="AN4378" s="1" t="e">
        <f>VLOOKUP(C:C,[1]基础信息!B$1:F$65536,5,0)</f>
        <v>#N/A</v>
      </c>
    </row>
    <row r="4379" spans="1:40">
      <c r="A4379" s="1" t="s">
        <v>41</v>
      </c>
      <c r="B4379" s="1" t="s">
        <v>42</v>
      </c>
      <c r="C4379" s="1" t="s">
        <v>8676</v>
      </c>
      <c r="D4379" s="1" t="s">
        <v>8677</v>
      </c>
      <c r="E4379" s="1" t="s">
        <v>45</v>
      </c>
      <c r="F4379" s="1" t="s">
        <v>9791</v>
      </c>
      <c r="G4379" s="1" t="s">
        <v>9910</v>
      </c>
      <c r="H4379" s="1" t="s">
        <v>45</v>
      </c>
      <c r="I4379" s="1" t="s">
        <v>45</v>
      </c>
      <c r="J4379" s="1" t="s">
        <v>48</v>
      </c>
      <c r="K4379" s="1">
        <v>80</v>
      </c>
      <c r="L4379" s="1">
        <v>0</v>
      </c>
      <c r="M4379" s="1">
        <v>0</v>
      </c>
      <c r="N4379" s="1">
        <v>80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 t="s">
        <v>49</v>
      </c>
      <c r="AA4379" s="1" t="s">
        <v>49</v>
      </c>
      <c r="AB4379" s="1" t="s">
        <v>49</v>
      </c>
      <c r="AC4379" s="1" t="s">
        <v>416</v>
      </c>
      <c r="AD4379" s="1" t="s">
        <v>8161</v>
      </c>
      <c r="AE4379" s="1" t="s">
        <v>416</v>
      </c>
      <c r="AF4379" s="1" t="s">
        <v>49</v>
      </c>
      <c r="AG4379" s="1" t="s">
        <v>53</v>
      </c>
      <c r="AH4379" s="1" t="s">
        <v>49</v>
      </c>
      <c r="AI4379" s="1" t="s">
        <v>54</v>
      </c>
      <c r="AJ4379" s="1">
        <v>1</v>
      </c>
      <c r="AK4379" s="1" t="str">
        <f t="shared" ref="AK4379:AK4442" si="69">IF(AJ4379&gt;$AP$2,$AQ$2,IF(AJ4379&gt;$AP$3,$AQ$3,IF(AJ4379&gt;$AP$4,$AQ$4,$AQ$5)))</f>
        <v xml:space="preserve"> =&lt;90</v>
      </c>
      <c r="AL4379" s="1" t="str">
        <f>VLOOKUP(C:C,[1]基础信息!B$1:D$65536,3,0)</f>
        <v>Jug</v>
      </c>
      <c r="AM4379" s="1" t="str">
        <f>VLOOKUP(C:C,[1]基础信息!B$1:E$65536,4,0)</f>
        <v>Marella XL</v>
      </c>
      <c r="AN4379" s="1" t="str">
        <f>VLOOKUP(C:C,[1]基础信息!B$1:F$65536,5,0)</f>
        <v xml:space="preserve"> silver</v>
      </c>
    </row>
    <row r="4380" spans="1:40">
      <c r="A4380" s="1" t="s">
        <v>41</v>
      </c>
      <c r="B4380" s="1" t="s">
        <v>42</v>
      </c>
      <c r="C4380" s="1" t="s">
        <v>8676</v>
      </c>
      <c r="D4380" s="1" t="s">
        <v>8677</v>
      </c>
      <c r="E4380" s="1" t="s">
        <v>45</v>
      </c>
      <c r="F4380" s="1" t="s">
        <v>9793</v>
      </c>
      <c r="G4380" s="1" t="s">
        <v>9911</v>
      </c>
      <c r="H4380" s="1" t="s">
        <v>45</v>
      </c>
      <c r="I4380" s="1" t="s">
        <v>45</v>
      </c>
      <c r="J4380" s="1" t="s">
        <v>48</v>
      </c>
      <c r="K4380" s="1">
        <v>80</v>
      </c>
      <c r="L4380" s="1">
        <v>0</v>
      </c>
      <c r="M4380" s="1">
        <v>0</v>
      </c>
      <c r="N4380" s="1">
        <v>80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 t="s">
        <v>49</v>
      </c>
      <c r="AA4380" s="1" t="s">
        <v>49</v>
      </c>
      <c r="AB4380" s="1" t="s">
        <v>49</v>
      </c>
      <c r="AC4380" s="1" t="s">
        <v>3719</v>
      </c>
      <c r="AD4380" s="1" t="s">
        <v>3720</v>
      </c>
      <c r="AE4380" s="1" t="s">
        <v>3719</v>
      </c>
      <c r="AF4380" s="1" t="s">
        <v>49</v>
      </c>
      <c r="AG4380" s="1" t="s">
        <v>53</v>
      </c>
      <c r="AH4380" s="1" t="s">
        <v>49</v>
      </c>
      <c r="AI4380" s="1" t="s">
        <v>54</v>
      </c>
      <c r="AJ4380" s="1">
        <v>1</v>
      </c>
      <c r="AK4380" s="1" t="str">
        <f t="shared" si="69"/>
        <v xml:space="preserve"> =&lt;90</v>
      </c>
      <c r="AL4380" s="1" t="str">
        <f>VLOOKUP(C:C,[1]基础信息!B$1:D$65536,3,0)</f>
        <v>Jug</v>
      </c>
      <c r="AM4380" s="1" t="str">
        <f>VLOOKUP(C:C,[1]基础信息!B$1:E$65536,4,0)</f>
        <v>Marella XL</v>
      </c>
      <c r="AN4380" s="1" t="str">
        <f>VLOOKUP(C:C,[1]基础信息!B$1:F$65536,5,0)</f>
        <v xml:space="preserve"> silver</v>
      </c>
    </row>
    <row r="4381" spans="1:40">
      <c r="A4381" s="1" t="s">
        <v>41</v>
      </c>
      <c r="B4381" s="1" t="s">
        <v>42</v>
      </c>
      <c r="C4381" s="1" t="s">
        <v>8676</v>
      </c>
      <c r="D4381" s="1" t="s">
        <v>8677</v>
      </c>
      <c r="E4381" s="1" t="s">
        <v>45</v>
      </c>
      <c r="F4381" s="1" t="s">
        <v>9791</v>
      </c>
      <c r="G4381" s="1" t="s">
        <v>9912</v>
      </c>
      <c r="H4381" s="1" t="s">
        <v>45</v>
      </c>
      <c r="I4381" s="1" t="s">
        <v>45</v>
      </c>
      <c r="J4381" s="1" t="s">
        <v>48</v>
      </c>
      <c r="K4381" s="1">
        <v>80</v>
      </c>
      <c r="L4381" s="1">
        <v>0</v>
      </c>
      <c r="M4381" s="1">
        <v>0</v>
      </c>
      <c r="N4381" s="1">
        <v>80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 t="s">
        <v>49</v>
      </c>
      <c r="AA4381" s="1" t="s">
        <v>49</v>
      </c>
      <c r="AB4381" s="1" t="s">
        <v>49</v>
      </c>
      <c r="AC4381" s="1" t="s">
        <v>416</v>
      </c>
      <c r="AD4381" s="1" t="s">
        <v>8161</v>
      </c>
      <c r="AE4381" s="1" t="s">
        <v>416</v>
      </c>
      <c r="AF4381" s="1" t="s">
        <v>49</v>
      </c>
      <c r="AG4381" s="1" t="s">
        <v>53</v>
      </c>
      <c r="AH4381" s="1" t="s">
        <v>49</v>
      </c>
      <c r="AI4381" s="1" t="s">
        <v>54</v>
      </c>
      <c r="AJ4381" s="1">
        <v>1</v>
      </c>
      <c r="AK4381" s="1" t="str">
        <f t="shared" si="69"/>
        <v xml:space="preserve"> =&lt;90</v>
      </c>
      <c r="AL4381" s="1" t="str">
        <f>VLOOKUP(C:C,[1]基础信息!B$1:D$65536,3,0)</f>
        <v>Jug</v>
      </c>
      <c r="AM4381" s="1" t="str">
        <f>VLOOKUP(C:C,[1]基础信息!B$1:E$65536,4,0)</f>
        <v>Marella XL</v>
      </c>
      <c r="AN4381" s="1" t="str">
        <f>VLOOKUP(C:C,[1]基础信息!B$1:F$65536,5,0)</f>
        <v xml:space="preserve"> silver</v>
      </c>
    </row>
    <row r="4382" spans="1:40">
      <c r="A4382" s="1" t="s">
        <v>41</v>
      </c>
      <c r="B4382" s="1" t="s">
        <v>42</v>
      </c>
      <c r="C4382" s="1" t="s">
        <v>9815</v>
      </c>
      <c r="D4382" s="1" t="s">
        <v>9816</v>
      </c>
      <c r="E4382" s="1" t="s">
        <v>45</v>
      </c>
      <c r="F4382" s="1" t="s">
        <v>9913</v>
      </c>
      <c r="G4382" s="1" t="s">
        <v>9914</v>
      </c>
      <c r="H4382" s="1" t="s">
        <v>45</v>
      </c>
      <c r="I4382" s="1" t="s">
        <v>45</v>
      </c>
      <c r="J4382" s="1" t="s">
        <v>48</v>
      </c>
      <c r="K4382" s="1">
        <v>40</v>
      </c>
      <c r="L4382" s="1">
        <v>0</v>
      </c>
      <c r="M4382" s="1">
        <v>0</v>
      </c>
      <c r="N4382" s="1">
        <v>40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 t="s">
        <v>49</v>
      </c>
      <c r="AA4382" s="1" t="s">
        <v>49</v>
      </c>
      <c r="AB4382" s="1" t="s">
        <v>49</v>
      </c>
      <c r="AC4382" s="1" t="s">
        <v>7815</v>
      </c>
      <c r="AD4382" s="1" t="s">
        <v>7816</v>
      </c>
      <c r="AE4382" s="1" t="s">
        <v>7815</v>
      </c>
      <c r="AF4382" s="1" t="s">
        <v>49</v>
      </c>
      <c r="AG4382" s="1" t="s">
        <v>53</v>
      </c>
      <c r="AH4382" s="1" t="s">
        <v>49</v>
      </c>
      <c r="AI4382" s="1" t="s">
        <v>54</v>
      </c>
      <c r="AJ4382" s="1">
        <v>1</v>
      </c>
      <c r="AK4382" s="1" t="str">
        <f t="shared" si="69"/>
        <v xml:space="preserve"> =&lt;90</v>
      </c>
      <c r="AL4382" s="1" t="e">
        <f>VLOOKUP(C:C,[1]基础信息!B$1:D$65536,3,0)</f>
        <v>#N/A</v>
      </c>
      <c r="AM4382" s="1" t="e">
        <f>VLOOKUP(C:C,[1]基础信息!B$1:E$65536,4,0)</f>
        <v>#N/A</v>
      </c>
      <c r="AN4382" s="1" t="e">
        <f>VLOOKUP(C:C,[1]基础信息!B$1:F$65536,5,0)</f>
        <v>#N/A</v>
      </c>
    </row>
    <row r="4383" spans="1:40">
      <c r="A4383" s="1" t="s">
        <v>41</v>
      </c>
      <c r="B4383" s="1" t="s">
        <v>42</v>
      </c>
      <c r="C4383" s="1" t="s">
        <v>8676</v>
      </c>
      <c r="D4383" s="1" t="s">
        <v>8677</v>
      </c>
      <c r="E4383" s="1" t="s">
        <v>45</v>
      </c>
      <c r="F4383" s="1" t="s">
        <v>9791</v>
      </c>
      <c r="G4383" s="1" t="s">
        <v>9915</v>
      </c>
      <c r="H4383" s="1" t="s">
        <v>45</v>
      </c>
      <c r="I4383" s="1" t="s">
        <v>45</v>
      </c>
      <c r="J4383" s="1" t="s">
        <v>48</v>
      </c>
      <c r="K4383" s="1">
        <v>80</v>
      </c>
      <c r="L4383" s="1">
        <v>0</v>
      </c>
      <c r="M4383" s="1">
        <v>0</v>
      </c>
      <c r="N4383" s="1">
        <v>80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 t="s">
        <v>49</v>
      </c>
      <c r="AA4383" s="1" t="s">
        <v>49</v>
      </c>
      <c r="AB4383" s="1" t="s">
        <v>49</v>
      </c>
      <c r="AC4383" s="1" t="s">
        <v>416</v>
      </c>
      <c r="AD4383" s="1" t="s">
        <v>8161</v>
      </c>
      <c r="AE4383" s="1" t="s">
        <v>416</v>
      </c>
      <c r="AF4383" s="1" t="s">
        <v>49</v>
      </c>
      <c r="AG4383" s="1" t="s">
        <v>53</v>
      </c>
      <c r="AH4383" s="1" t="s">
        <v>49</v>
      </c>
      <c r="AI4383" s="1" t="s">
        <v>54</v>
      </c>
      <c r="AJ4383" s="1">
        <v>1</v>
      </c>
      <c r="AK4383" s="1" t="str">
        <f t="shared" si="69"/>
        <v xml:space="preserve"> =&lt;90</v>
      </c>
      <c r="AL4383" s="1" t="str">
        <f>VLOOKUP(C:C,[1]基础信息!B$1:D$65536,3,0)</f>
        <v>Jug</v>
      </c>
      <c r="AM4383" s="1" t="str">
        <f>VLOOKUP(C:C,[1]基础信息!B$1:E$65536,4,0)</f>
        <v>Marella XL</v>
      </c>
      <c r="AN4383" s="1" t="str">
        <f>VLOOKUP(C:C,[1]基础信息!B$1:F$65536,5,0)</f>
        <v xml:space="preserve"> silver</v>
      </c>
    </row>
    <row r="4384" spans="1:40">
      <c r="A4384" s="1" t="s">
        <v>41</v>
      </c>
      <c r="B4384" s="1" t="s">
        <v>42</v>
      </c>
      <c r="C4384" s="1" t="s">
        <v>8676</v>
      </c>
      <c r="D4384" s="1" t="s">
        <v>8677</v>
      </c>
      <c r="E4384" s="1" t="s">
        <v>45</v>
      </c>
      <c r="F4384" s="1" t="s">
        <v>9791</v>
      </c>
      <c r="G4384" s="1" t="s">
        <v>9916</v>
      </c>
      <c r="H4384" s="1" t="s">
        <v>45</v>
      </c>
      <c r="I4384" s="1" t="s">
        <v>45</v>
      </c>
      <c r="J4384" s="1" t="s">
        <v>48</v>
      </c>
      <c r="K4384" s="1">
        <v>80</v>
      </c>
      <c r="L4384" s="1">
        <v>0</v>
      </c>
      <c r="M4384" s="1">
        <v>0</v>
      </c>
      <c r="N4384" s="1">
        <v>80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 t="s">
        <v>49</v>
      </c>
      <c r="AA4384" s="1" t="s">
        <v>49</v>
      </c>
      <c r="AB4384" s="1" t="s">
        <v>49</v>
      </c>
      <c r="AC4384" s="1" t="s">
        <v>416</v>
      </c>
      <c r="AD4384" s="1" t="s">
        <v>8161</v>
      </c>
      <c r="AE4384" s="1" t="s">
        <v>416</v>
      </c>
      <c r="AF4384" s="1" t="s">
        <v>49</v>
      </c>
      <c r="AG4384" s="1" t="s">
        <v>53</v>
      </c>
      <c r="AH4384" s="1" t="s">
        <v>49</v>
      </c>
      <c r="AI4384" s="1" t="s">
        <v>54</v>
      </c>
      <c r="AJ4384" s="1">
        <v>1</v>
      </c>
      <c r="AK4384" s="1" t="str">
        <f t="shared" si="69"/>
        <v xml:space="preserve"> =&lt;90</v>
      </c>
      <c r="AL4384" s="1" t="str">
        <f>VLOOKUP(C:C,[1]基础信息!B$1:D$65536,3,0)</f>
        <v>Jug</v>
      </c>
      <c r="AM4384" s="1" t="str">
        <f>VLOOKUP(C:C,[1]基础信息!B$1:E$65536,4,0)</f>
        <v>Marella XL</v>
      </c>
      <c r="AN4384" s="1" t="str">
        <f>VLOOKUP(C:C,[1]基础信息!B$1:F$65536,5,0)</f>
        <v xml:space="preserve"> silver</v>
      </c>
    </row>
    <row r="4385" spans="1:40">
      <c r="A4385" s="1" t="s">
        <v>41</v>
      </c>
      <c r="B4385" s="1" t="s">
        <v>42</v>
      </c>
      <c r="C4385" s="1" t="s">
        <v>8676</v>
      </c>
      <c r="D4385" s="1" t="s">
        <v>8677</v>
      </c>
      <c r="E4385" s="1" t="s">
        <v>45</v>
      </c>
      <c r="F4385" s="1" t="s">
        <v>9917</v>
      </c>
      <c r="G4385" s="1" t="s">
        <v>9918</v>
      </c>
      <c r="H4385" s="1" t="s">
        <v>45</v>
      </c>
      <c r="I4385" s="1" t="s">
        <v>45</v>
      </c>
      <c r="J4385" s="1" t="s">
        <v>48</v>
      </c>
      <c r="K4385" s="1">
        <v>80</v>
      </c>
      <c r="L4385" s="1">
        <v>0</v>
      </c>
      <c r="M4385" s="1">
        <v>0</v>
      </c>
      <c r="N4385" s="1">
        <v>80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 t="s">
        <v>49</v>
      </c>
      <c r="AA4385" s="1" t="s">
        <v>49</v>
      </c>
      <c r="AB4385" s="1" t="s">
        <v>49</v>
      </c>
      <c r="AC4385" s="1" t="s">
        <v>1330</v>
      </c>
      <c r="AD4385" s="1" t="s">
        <v>1331</v>
      </c>
      <c r="AE4385" s="1" t="s">
        <v>1330</v>
      </c>
      <c r="AF4385" s="1" t="s">
        <v>49</v>
      </c>
      <c r="AG4385" s="1" t="s">
        <v>53</v>
      </c>
      <c r="AH4385" s="1" t="s">
        <v>49</v>
      </c>
      <c r="AI4385" s="1" t="s">
        <v>54</v>
      </c>
      <c r="AJ4385" s="1">
        <v>1</v>
      </c>
      <c r="AK4385" s="1" t="str">
        <f t="shared" si="69"/>
        <v xml:space="preserve"> =&lt;90</v>
      </c>
      <c r="AL4385" s="1" t="str">
        <f>VLOOKUP(C:C,[1]基础信息!B$1:D$65536,3,0)</f>
        <v>Jug</v>
      </c>
      <c r="AM4385" s="1" t="str">
        <f>VLOOKUP(C:C,[1]基础信息!B$1:E$65536,4,0)</f>
        <v>Marella XL</v>
      </c>
      <c r="AN4385" s="1" t="str">
        <f>VLOOKUP(C:C,[1]基础信息!B$1:F$65536,5,0)</f>
        <v xml:space="preserve"> silver</v>
      </c>
    </row>
    <row r="4386" spans="1:40">
      <c r="A4386" s="1" t="s">
        <v>41</v>
      </c>
      <c r="B4386" s="1" t="s">
        <v>42</v>
      </c>
      <c r="C4386" s="1" t="s">
        <v>68</v>
      </c>
      <c r="D4386" s="1" t="s">
        <v>69</v>
      </c>
      <c r="E4386" s="1" t="s">
        <v>45</v>
      </c>
      <c r="F4386" s="1" t="s">
        <v>9919</v>
      </c>
      <c r="G4386" s="1" t="s">
        <v>9920</v>
      </c>
      <c r="H4386" s="1" t="s">
        <v>45</v>
      </c>
      <c r="I4386" s="1" t="s">
        <v>45</v>
      </c>
      <c r="J4386" s="1" t="s">
        <v>48</v>
      </c>
      <c r="K4386" s="1">
        <v>35</v>
      </c>
      <c r="L4386" s="1">
        <v>0</v>
      </c>
      <c r="M4386" s="1">
        <v>0</v>
      </c>
      <c r="N4386" s="1">
        <v>35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 t="s">
        <v>49</v>
      </c>
      <c r="AA4386" s="1" t="s">
        <v>49</v>
      </c>
      <c r="AB4386" s="1" t="s">
        <v>49</v>
      </c>
      <c r="AC4386" s="1" t="s">
        <v>2000</v>
      </c>
      <c r="AD4386" s="1" t="s">
        <v>2001</v>
      </c>
      <c r="AE4386" s="1" t="s">
        <v>2000</v>
      </c>
      <c r="AF4386" s="1" t="s">
        <v>8007</v>
      </c>
      <c r="AG4386" s="1" t="s">
        <v>53</v>
      </c>
      <c r="AH4386" s="1" t="s">
        <v>49</v>
      </c>
      <c r="AI4386" s="1" t="s">
        <v>54</v>
      </c>
      <c r="AJ4386" s="1">
        <v>1</v>
      </c>
      <c r="AK4386" s="1" t="str">
        <f t="shared" si="69"/>
        <v xml:space="preserve"> =&lt;90</v>
      </c>
      <c r="AL4386" s="1" t="str">
        <f>VLOOKUP(C:C,[1]基础信息!B$1:D$65536,3,0)</f>
        <v>Hotcup</v>
      </c>
      <c r="AM4386" s="1" t="str">
        <f>VLOOKUP(C:C,[1]基础信息!B$1:E$65536,4,0)</f>
        <v>Hotcup</v>
      </c>
      <c r="AN4386" s="1" t="str">
        <f>VLOOKUP(C:C,[1]基础信息!B$1:F$65536,5,0)</f>
        <v xml:space="preserve"> Whi</v>
      </c>
    </row>
    <row r="4387" spans="1:40">
      <c r="A4387" s="1" t="s">
        <v>41</v>
      </c>
      <c r="B4387" s="1" t="s">
        <v>42</v>
      </c>
      <c r="C4387" s="1" t="s">
        <v>8676</v>
      </c>
      <c r="D4387" s="1" t="s">
        <v>8677</v>
      </c>
      <c r="E4387" s="1" t="s">
        <v>45</v>
      </c>
      <c r="F4387" s="1" t="s">
        <v>9863</v>
      </c>
      <c r="G4387" s="1" t="s">
        <v>9921</v>
      </c>
      <c r="H4387" s="1" t="s">
        <v>45</v>
      </c>
      <c r="I4387" s="1" t="s">
        <v>45</v>
      </c>
      <c r="J4387" s="1" t="s">
        <v>48</v>
      </c>
      <c r="K4387" s="1">
        <v>80</v>
      </c>
      <c r="L4387" s="1">
        <v>0</v>
      </c>
      <c r="M4387" s="1">
        <v>0</v>
      </c>
      <c r="N4387" s="1">
        <v>80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 t="s">
        <v>49</v>
      </c>
      <c r="AA4387" s="1" t="s">
        <v>49</v>
      </c>
      <c r="AB4387" s="1" t="s">
        <v>49</v>
      </c>
      <c r="AC4387" s="1" t="s">
        <v>5290</v>
      </c>
      <c r="AD4387" s="1" t="s">
        <v>9865</v>
      </c>
      <c r="AE4387" s="1" t="s">
        <v>5290</v>
      </c>
      <c r="AF4387" s="1" t="s">
        <v>49</v>
      </c>
      <c r="AG4387" s="1" t="s">
        <v>53</v>
      </c>
      <c r="AH4387" s="1" t="s">
        <v>49</v>
      </c>
      <c r="AI4387" s="1" t="s">
        <v>54</v>
      </c>
      <c r="AJ4387" s="1">
        <v>1</v>
      </c>
      <c r="AK4387" s="1" t="str">
        <f t="shared" si="69"/>
        <v xml:space="preserve"> =&lt;90</v>
      </c>
      <c r="AL4387" s="1" t="str">
        <f>VLOOKUP(C:C,[1]基础信息!B$1:D$65536,3,0)</f>
        <v>Jug</v>
      </c>
      <c r="AM4387" s="1" t="str">
        <f>VLOOKUP(C:C,[1]基础信息!B$1:E$65536,4,0)</f>
        <v>Marella XL</v>
      </c>
      <c r="AN4387" s="1" t="str">
        <f>VLOOKUP(C:C,[1]基础信息!B$1:F$65536,5,0)</f>
        <v xml:space="preserve"> silver</v>
      </c>
    </row>
    <row r="4388" spans="1:40">
      <c r="A4388" s="1" t="s">
        <v>41</v>
      </c>
      <c r="B4388" s="1" t="s">
        <v>42</v>
      </c>
      <c r="C4388" s="1" t="s">
        <v>8676</v>
      </c>
      <c r="D4388" s="1" t="s">
        <v>8677</v>
      </c>
      <c r="E4388" s="1" t="s">
        <v>45</v>
      </c>
      <c r="F4388" s="1" t="s">
        <v>9917</v>
      </c>
      <c r="G4388" s="1" t="s">
        <v>9922</v>
      </c>
      <c r="H4388" s="1" t="s">
        <v>45</v>
      </c>
      <c r="I4388" s="1" t="s">
        <v>45</v>
      </c>
      <c r="J4388" s="1" t="s">
        <v>48</v>
      </c>
      <c r="K4388" s="1">
        <v>80</v>
      </c>
      <c r="L4388" s="1">
        <v>0</v>
      </c>
      <c r="M4388" s="1">
        <v>0</v>
      </c>
      <c r="N4388" s="1">
        <v>80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 t="s">
        <v>49</v>
      </c>
      <c r="AA4388" s="1" t="s">
        <v>49</v>
      </c>
      <c r="AB4388" s="1" t="s">
        <v>49</v>
      </c>
      <c r="AC4388" s="1" t="s">
        <v>1330</v>
      </c>
      <c r="AD4388" s="1" t="s">
        <v>1331</v>
      </c>
      <c r="AE4388" s="1" t="s">
        <v>1330</v>
      </c>
      <c r="AF4388" s="1" t="s">
        <v>49</v>
      </c>
      <c r="AG4388" s="1" t="s">
        <v>53</v>
      </c>
      <c r="AH4388" s="1" t="s">
        <v>49</v>
      </c>
      <c r="AI4388" s="1" t="s">
        <v>54</v>
      </c>
      <c r="AJ4388" s="1">
        <v>1</v>
      </c>
      <c r="AK4388" s="1" t="str">
        <f t="shared" si="69"/>
        <v xml:space="preserve"> =&lt;90</v>
      </c>
      <c r="AL4388" s="1" t="str">
        <f>VLOOKUP(C:C,[1]基础信息!B$1:D$65536,3,0)</f>
        <v>Jug</v>
      </c>
      <c r="AM4388" s="1" t="str">
        <f>VLOOKUP(C:C,[1]基础信息!B$1:E$65536,4,0)</f>
        <v>Marella XL</v>
      </c>
      <c r="AN4388" s="1" t="str">
        <f>VLOOKUP(C:C,[1]基础信息!B$1:F$65536,5,0)</f>
        <v xml:space="preserve"> silver</v>
      </c>
    </row>
    <row r="4389" spans="1:40">
      <c r="A4389" s="1" t="s">
        <v>41</v>
      </c>
      <c r="B4389" s="1" t="s">
        <v>42</v>
      </c>
      <c r="C4389" s="1" t="s">
        <v>68</v>
      </c>
      <c r="D4389" s="1" t="s">
        <v>69</v>
      </c>
      <c r="E4389" s="1" t="s">
        <v>45</v>
      </c>
      <c r="F4389" s="1" t="s">
        <v>9919</v>
      </c>
      <c r="G4389" s="1" t="s">
        <v>9923</v>
      </c>
      <c r="H4389" s="1" t="s">
        <v>45</v>
      </c>
      <c r="I4389" s="1" t="s">
        <v>45</v>
      </c>
      <c r="J4389" s="1" t="s">
        <v>48</v>
      </c>
      <c r="K4389" s="1">
        <v>36</v>
      </c>
      <c r="L4389" s="1">
        <v>0</v>
      </c>
      <c r="M4389" s="1">
        <v>0</v>
      </c>
      <c r="N4389" s="1">
        <v>36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 t="s">
        <v>49</v>
      </c>
      <c r="AA4389" s="1" t="s">
        <v>49</v>
      </c>
      <c r="AB4389" s="1" t="s">
        <v>49</v>
      </c>
      <c r="AC4389" s="1" t="s">
        <v>2000</v>
      </c>
      <c r="AD4389" s="1" t="s">
        <v>2001</v>
      </c>
      <c r="AE4389" s="1" t="s">
        <v>2000</v>
      </c>
      <c r="AF4389" s="1" t="s">
        <v>8007</v>
      </c>
      <c r="AG4389" s="1" t="s">
        <v>53</v>
      </c>
      <c r="AH4389" s="1" t="s">
        <v>49</v>
      </c>
      <c r="AI4389" s="1" t="s">
        <v>54</v>
      </c>
      <c r="AJ4389" s="1">
        <v>1</v>
      </c>
      <c r="AK4389" s="1" t="str">
        <f t="shared" si="69"/>
        <v xml:space="preserve"> =&lt;90</v>
      </c>
      <c r="AL4389" s="1" t="str">
        <f>VLOOKUP(C:C,[1]基础信息!B$1:D$65536,3,0)</f>
        <v>Hotcup</v>
      </c>
      <c r="AM4389" s="1" t="str">
        <f>VLOOKUP(C:C,[1]基础信息!B$1:E$65536,4,0)</f>
        <v>Hotcup</v>
      </c>
      <c r="AN4389" s="1" t="str">
        <f>VLOOKUP(C:C,[1]基础信息!B$1:F$65536,5,0)</f>
        <v xml:space="preserve"> Whi</v>
      </c>
    </row>
    <row r="4390" spans="1:40">
      <c r="A4390" s="1" t="s">
        <v>41</v>
      </c>
      <c r="B4390" s="1" t="s">
        <v>42</v>
      </c>
      <c r="C4390" s="1" t="s">
        <v>8676</v>
      </c>
      <c r="D4390" s="1" t="s">
        <v>8677</v>
      </c>
      <c r="E4390" s="1" t="s">
        <v>45</v>
      </c>
      <c r="F4390" s="1" t="s">
        <v>9863</v>
      </c>
      <c r="G4390" s="1" t="s">
        <v>9924</v>
      </c>
      <c r="H4390" s="1" t="s">
        <v>45</v>
      </c>
      <c r="I4390" s="1" t="s">
        <v>45</v>
      </c>
      <c r="J4390" s="1" t="s">
        <v>48</v>
      </c>
      <c r="K4390" s="1">
        <v>80</v>
      </c>
      <c r="L4390" s="1">
        <v>0</v>
      </c>
      <c r="M4390" s="1">
        <v>0</v>
      </c>
      <c r="N4390" s="1">
        <v>80</v>
      </c>
      <c r="P4390" s="1">
        <v>0</v>
      </c>
      <c r="Q4390" s="1">
        <v>0</v>
      </c>
      <c r="R4390" s="1">
        <v>0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0</v>
      </c>
      <c r="Z4390" s="1" t="s">
        <v>49</v>
      </c>
      <c r="AA4390" s="1" t="s">
        <v>49</v>
      </c>
      <c r="AB4390" s="1" t="s">
        <v>49</v>
      </c>
      <c r="AC4390" s="1" t="s">
        <v>5290</v>
      </c>
      <c r="AD4390" s="1" t="s">
        <v>9865</v>
      </c>
      <c r="AE4390" s="1" t="s">
        <v>5290</v>
      </c>
      <c r="AF4390" s="1" t="s">
        <v>49</v>
      </c>
      <c r="AG4390" s="1" t="s">
        <v>53</v>
      </c>
      <c r="AH4390" s="1" t="s">
        <v>49</v>
      </c>
      <c r="AI4390" s="1" t="s">
        <v>54</v>
      </c>
      <c r="AJ4390" s="1">
        <v>1</v>
      </c>
      <c r="AK4390" s="1" t="str">
        <f t="shared" si="69"/>
        <v xml:space="preserve"> =&lt;90</v>
      </c>
      <c r="AL4390" s="1" t="str">
        <f>VLOOKUP(C:C,[1]基础信息!B$1:D$65536,3,0)</f>
        <v>Jug</v>
      </c>
      <c r="AM4390" s="1" t="str">
        <f>VLOOKUP(C:C,[1]基础信息!B$1:E$65536,4,0)</f>
        <v>Marella XL</v>
      </c>
      <c r="AN4390" s="1" t="str">
        <f>VLOOKUP(C:C,[1]基础信息!B$1:F$65536,5,0)</f>
        <v xml:space="preserve"> silver</v>
      </c>
    </row>
    <row r="4391" spans="1:40">
      <c r="A4391" s="1" t="s">
        <v>41</v>
      </c>
      <c r="B4391" s="1" t="s">
        <v>42</v>
      </c>
      <c r="C4391" s="1" t="s">
        <v>8676</v>
      </c>
      <c r="D4391" s="1" t="s">
        <v>8677</v>
      </c>
      <c r="E4391" s="1" t="s">
        <v>45</v>
      </c>
      <c r="F4391" s="1" t="s">
        <v>9917</v>
      </c>
      <c r="G4391" s="1" t="s">
        <v>9925</v>
      </c>
      <c r="H4391" s="1" t="s">
        <v>45</v>
      </c>
      <c r="I4391" s="1" t="s">
        <v>45</v>
      </c>
      <c r="J4391" s="1" t="s">
        <v>48</v>
      </c>
      <c r="K4391" s="1">
        <v>80</v>
      </c>
      <c r="L4391" s="1">
        <v>0</v>
      </c>
      <c r="M4391" s="1">
        <v>0</v>
      </c>
      <c r="N4391" s="1">
        <v>80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 t="s">
        <v>49</v>
      </c>
      <c r="AA4391" s="1" t="s">
        <v>49</v>
      </c>
      <c r="AB4391" s="1" t="s">
        <v>49</v>
      </c>
      <c r="AC4391" s="1" t="s">
        <v>1330</v>
      </c>
      <c r="AD4391" s="1" t="s">
        <v>1331</v>
      </c>
      <c r="AE4391" s="1" t="s">
        <v>1330</v>
      </c>
      <c r="AF4391" s="1" t="s">
        <v>49</v>
      </c>
      <c r="AG4391" s="1" t="s">
        <v>53</v>
      </c>
      <c r="AH4391" s="1" t="s">
        <v>49</v>
      </c>
      <c r="AI4391" s="1" t="s">
        <v>54</v>
      </c>
      <c r="AJ4391" s="1">
        <v>1</v>
      </c>
      <c r="AK4391" s="1" t="str">
        <f t="shared" si="69"/>
        <v xml:space="preserve"> =&lt;90</v>
      </c>
      <c r="AL4391" s="1" t="str">
        <f>VLOOKUP(C:C,[1]基础信息!B$1:D$65536,3,0)</f>
        <v>Jug</v>
      </c>
      <c r="AM4391" s="1" t="str">
        <f>VLOOKUP(C:C,[1]基础信息!B$1:E$65536,4,0)</f>
        <v>Marella XL</v>
      </c>
      <c r="AN4391" s="1" t="str">
        <f>VLOOKUP(C:C,[1]基础信息!B$1:F$65536,5,0)</f>
        <v xml:space="preserve"> silver</v>
      </c>
    </row>
    <row r="4392" spans="1:40">
      <c r="A4392" s="1" t="s">
        <v>41</v>
      </c>
      <c r="B4392" s="1" t="s">
        <v>42</v>
      </c>
      <c r="C4392" s="1" t="s">
        <v>68</v>
      </c>
      <c r="D4392" s="1" t="s">
        <v>69</v>
      </c>
      <c r="E4392" s="1" t="s">
        <v>45</v>
      </c>
      <c r="F4392" s="1" t="s">
        <v>9919</v>
      </c>
      <c r="G4392" s="1" t="s">
        <v>9926</v>
      </c>
      <c r="H4392" s="1" t="s">
        <v>45</v>
      </c>
      <c r="I4392" s="1" t="s">
        <v>45</v>
      </c>
      <c r="J4392" s="1" t="s">
        <v>48</v>
      </c>
      <c r="K4392" s="1">
        <v>36</v>
      </c>
      <c r="L4392" s="1">
        <v>0</v>
      </c>
      <c r="M4392" s="1">
        <v>0</v>
      </c>
      <c r="N4392" s="1">
        <v>36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 t="s">
        <v>49</v>
      </c>
      <c r="AA4392" s="1" t="s">
        <v>49</v>
      </c>
      <c r="AB4392" s="1" t="s">
        <v>49</v>
      </c>
      <c r="AC4392" s="1" t="s">
        <v>2000</v>
      </c>
      <c r="AD4392" s="1" t="s">
        <v>2001</v>
      </c>
      <c r="AE4392" s="1" t="s">
        <v>2000</v>
      </c>
      <c r="AF4392" s="1" t="s">
        <v>8007</v>
      </c>
      <c r="AG4392" s="1" t="s">
        <v>53</v>
      </c>
      <c r="AH4392" s="1" t="s">
        <v>49</v>
      </c>
      <c r="AI4392" s="1" t="s">
        <v>54</v>
      </c>
      <c r="AJ4392" s="1">
        <v>1</v>
      </c>
      <c r="AK4392" s="1" t="str">
        <f t="shared" si="69"/>
        <v xml:space="preserve"> =&lt;90</v>
      </c>
      <c r="AL4392" s="1" t="str">
        <f>VLOOKUP(C:C,[1]基础信息!B$1:D$65536,3,0)</f>
        <v>Hotcup</v>
      </c>
      <c r="AM4392" s="1" t="str">
        <f>VLOOKUP(C:C,[1]基础信息!B$1:E$65536,4,0)</f>
        <v>Hotcup</v>
      </c>
      <c r="AN4392" s="1" t="str">
        <f>VLOOKUP(C:C,[1]基础信息!B$1:F$65536,5,0)</f>
        <v xml:space="preserve"> Whi</v>
      </c>
    </row>
    <row r="4393" spans="1:40">
      <c r="A4393" s="1" t="s">
        <v>41</v>
      </c>
      <c r="B4393" s="1" t="s">
        <v>42</v>
      </c>
      <c r="C4393" s="1" t="s">
        <v>68</v>
      </c>
      <c r="D4393" s="1" t="s">
        <v>69</v>
      </c>
      <c r="E4393" s="1" t="s">
        <v>45</v>
      </c>
      <c r="F4393" s="1" t="s">
        <v>9919</v>
      </c>
      <c r="G4393" s="1" t="s">
        <v>9927</v>
      </c>
      <c r="H4393" s="1" t="s">
        <v>45</v>
      </c>
      <c r="I4393" s="1" t="s">
        <v>45</v>
      </c>
      <c r="J4393" s="1" t="s">
        <v>48</v>
      </c>
      <c r="K4393" s="1">
        <v>36</v>
      </c>
      <c r="L4393" s="1">
        <v>0</v>
      </c>
      <c r="M4393" s="1">
        <v>0</v>
      </c>
      <c r="N4393" s="1">
        <v>36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 t="s">
        <v>49</v>
      </c>
      <c r="AA4393" s="1" t="s">
        <v>49</v>
      </c>
      <c r="AB4393" s="1" t="s">
        <v>49</v>
      </c>
      <c r="AC4393" s="1" t="s">
        <v>2000</v>
      </c>
      <c r="AD4393" s="1" t="s">
        <v>2001</v>
      </c>
      <c r="AE4393" s="1" t="s">
        <v>2000</v>
      </c>
      <c r="AF4393" s="1" t="s">
        <v>8007</v>
      </c>
      <c r="AG4393" s="1" t="s">
        <v>53</v>
      </c>
      <c r="AH4393" s="1" t="s">
        <v>49</v>
      </c>
      <c r="AI4393" s="1" t="s">
        <v>54</v>
      </c>
      <c r="AJ4393" s="1">
        <v>1</v>
      </c>
      <c r="AK4393" s="1" t="str">
        <f t="shared" si="69"/>
        <v xml:space="preserve"> =&lt;90</v>
      </c>
      <c r="AL4393" s="1" t="str">
        <f>VLOOKUP(C:C,[1]基础信息!B$1:D$65536,3,0)</f>
        <v>Hotcup</v>
      </c>
      <c r="AM4393" s="1" t="str">
        <f>VLOOKUP(C:C,[1]基础信息!B$1:E$65536,4,0)</f>
        <v>Hotcup</v>
      </c>
      <c r="AN4393" s="1" t="str">
        <f>VLOOKUP(C:C,[1]基础信息!B$1:F$65536,5,0)</f>
        <v xml:space="preserve"> Whi</v>
      </c>
    </row>
    <row r="4394" spans="1:40">
      <c r="A4394" s="1" t="s">
        <v>41</v>
      </c>
      <c r="B4394" s="1" t="s">
        <v>42</v>
      </c>
      <c r="C4394" s="1" t="s">
        <v>8676</v>
      </c>
      <c r="D4394" s="1" t="s">
        <v>8677</v>
      </c>
      <c r="E4394" s="1" t="s">
        <v>45</v>
      </c>
      <c r="F4394" s="1" t="s">
        <v>9863</v>
      </c>
      <c r="G4394" s="1" t="s">
        <v>9928</v>
      </c>
      <c r="H4394" s="1" t="s">
        <v>45</v>
      </c>
      <c r="I4394" s="1" t="s">
        <v>45</v>
      </c>
      <c r="J4394" s="1" t="s">
        <v>48</v>
      </c>
      <c r="K4394" s="1">
        <v>80</v>
      </c>
      <c r="L4394" s="1">
        <v>0</v>
      </c>
      <c r="M4394" s="1">
        <v>0</v>
      </c>
      <c r="N4394" s="1">
        <v>80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 t="s">
        <v>49</v>
      </c>
      <c r="AA4394" s="1" t="s">
        <v>49</v>
      </c>
      <c r="AB4394" s="1" t="s">
        <v>49</v>
      </c>
      <c r="AC4394" s="1" t="s">
        <v>5290</v>
      </c>
      <c r="AD4394" s="1" t="s">
        <v>9865</v>
      </c>
      <c r="AE4394" s="1" t="s">
        <v>5290</v>
      </c>
      <c r="AF4394" s="1" t="s">
        <v>49</v>
      </c>
      <c r="AG4394" s="1" t="s">
        <v>53</v>
      </c>
      <c r="AH4394" s="1" t="s">
        <v>49</v>
      </c>
      <c r="AI4394" s="1" t="s">
        <v>54</v>
      </c>
      <c r="AJ4394" s="1">
        <v>1</v>
      </c>
      <c r="AK4394" s="1" t="str">
        <f t="shared" si="69"/>
        <v xml:space="preserve"> =&lt;90</v>
      </c>
      <c r="AL4394" s="1" t="str">
        <f>VLOOKUP(C:C,[1]基础信息!B$1:D$65536,3,0)</f>
        <v>Jug</v>
      </c>
      <c r="AM4394" s="1" t="str">
        <f>VLOOKUP(C:C,[1]基础信息!B$1:E$65536,4,0)</f>
        <v>Marella XL</v>
      </c>
      <c r="AN4394" s="1" t="str">
        <f>VLOOKUP(C:C,[1]基础信息!B$1:F$65536,5,0)</f>
        <v xml:space="preserve"> silver</v>
      </c>
    </row>
    <row r="4395" spans="1:40">
      <c r="A4395" s="1" t="s">
        <v>41</v>
      </c>
      <c r="B4395" s="1" t="s">
        <v>42</v>
      </c>
      <c r="C4395" s="1" t="s">
        <v>8676</v>
      </c>
      <c r="D4395" s="1" t="s">
        <v>8677</v>
      </c>
      <c r="E4395" s="1" t="s">
        <v>45</v>
      </c>
      <c r="F4395" s="1" t="s">
        <v>9917</v>
      </c>
      <c r="G4395" s="1" t="s">
        <v>9929</v>
      </c>
      <c r="H4395" s="1" t="s">
        <v>45</v>
      </c>
      <c r="I4395" s="1" t="s">
        <v>45</v>
      </c>
      <c r="J4395" s="1" t="s">
        <v>48</v>
      </c>
      <c r="K4395" s="1">
        <v>80</v>
      </c>
      <c r="L4395" s="1">
        <v>0</v>
      </c>
      <c r="M4395" s="1">
        <v>0</v>
      </c>
      <c r="N4395" s="1">
        <v>80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 t="s">
        <v>49</v>
      </c>
      <c r="AA4395" s="1" t="s">
        <v>49</v>
      </c>
      <c r="AB4395" s="1" t="s">
        <v>49</v>
      </c>
      <c r="AC4395" s="1" t="s">
        <v>1330</v>
      </c>
      <c r="AD4395" s="1" t="s">
        <v>1331</v>
      </c>
      <c r="AE4395" s="1" t="s">
        <v>1330</v>
      </c>
      <c r="AF4395" s="1" t="s">
        <v>49</v>
      </c>
      <c r="AG4395" s="1" t="s">
        <v>53</v>
      </c>
      <c r="AH4395" s="1" t="s">
        <v>49</v>
      </c>
      <c r="AI4395" s="1" t="s">
        <v>54</v>
      </c>
      <c r="AJ4395" s="1">
        <v>1</v>
      </c>
      <c r="AK4395" s="1" t="str">
        <f t="shared" si="69"/>
        <v xml:space="preserve"> =&lt;90</v>
      </c>
      <c r="AL4395" s="1" t="str">
        <f>VLOOKUP(C:C,[1]基础信息!B$1:D$65536,3,0)</f>
        <v>Jug</v>
      </c>
      <c r="AM4395" s="1" t="str">
        <f>VLOOKUP(C:C,[1]基础信息!B$1:E$65536,4,0)</f>
        <v>Marella XL</v>
      </c>
      <c r="AN4395" s="1" t="str">
        <f>VLOOKUP(C:C,[1]基础信息!B$1:F$65536,5,0)</f>
        <v xml:space="preserve"> silver</v>
      </c>
    </row>
    <row r="4396" spans="1:40">
      <c r="A4396" s="1" t="s">
        <v>41</v>
      </c>
      <c r="B4396" s="1" t="s">
        <v>42</v>
      </c>
      <c r="C4396" s="1" t="s">
        <v>68</v>
      </c>
      <c r="D4396" s="1" t="s">
        <v>69</v>
      </c>
      <c r="E4396" s="1" t="s">
        <v>45</v>
      </c>
      <c r="F4396" s="1" t="s">
        <v>9919</v>
      </c>
      <c r="G4396" s="1" t="s">
        <v>9930</v>
      </c>
      <c r="H4396" s="1" t="s">
        <v>45</v>
      </c>
      <c r="I4396" s="1" t="s">
        <v>45</v>
      </c>
      <c r="J4396" s="1" t="s">
        <v>48</v>
      </c>
      <c r="K4396" s="1">
        <v>36</v>
      </c>
      <c r="L4396" s="1">
        <v>0</v>
      </c>
      <c r="M4396" s="1">
        <v>0</v>
      </c>
      <c r="N4396" s="1">
        <v>36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 t="s">
        <v>49</v>
      </c>
      <c r="AA4396" s="1" t="s">
        <v>49</v>
      </c>
      <c r="AB4396" s="1" t="s">
        <v>49</v>
      </c>
      <c r="AC4396" s="1" t="s">
        <v>2000</v>
      </c>
      <c r="AD4396" s="1" t="s">
        <v>2001</v>
      </c>
      <c r="AE4396" s="1" t="s">
        <v>2000</v>
      </c>
      <c r="AF4396" s="1" t="s">
        <v>8007</v>
      </c>
      <c r="AG4396" s="1" t="s">
        <v>53</v>
      </c>
      <c r="AH4396" s="1" t="s">
        <v>49</v>
      </c>
      <c r="AI4396" s="1" t="s">
        <v>54</v>
      </c>
      <c r="AJ4396" s="1">
        <v>1</v>
      </c>
      <c r="AK4396" s="1" t="str">
        <f t="shared" si="69"/>
        <v xml:space="preserve"> =&lt;90</v>
      </c>
      <c r="AL4396" s="1" t="str">
        <f>VLOOKUP(C:C,[1]基础信息!B$1:D$65536,3,0)</f>
        <v>Hotcup</v>
      </c>
      <c r="AM4396" s="1" t="str">
        <f>VLOOKUP(C:C,[1]基础信息!B$1:E$65536,4,0)</f>
        <v>Hotcup</v>
      </c>
      <c r="AN4396" s="1" t="str">
        <f>VLOOKUP(C:C,[1]基础信息!B$1:F$65536,5,0)</f>
        <v xml:space="preserve"> Whi</v>
      </c>
    </row>
    <row r="4397" spans="1:40">
      <c r="A4397" s="1" t="s">
        <v>41</v>
      </c>
      <c r="B4397" s="1" t="s">
        <v>42</v>
      </c>
      <c r="C4397" s="1" t="s">
        <v>9824</v>
      </c>
      <c r="D4397" s="1" t="s">
        <v>9825</v>
      </c>
      <c r="E4397" s="1" t="s">
        <v>45</v>
      </c>
      <c r="F4397" s="1" t="s">
        <v>9826</v>
      </c>
      <c r="G4397" s="1" t="s">
        <v>9931</v>
      </c>
      <c r="H4397" s="1" t="s">
        <v>45</v>
      </c>
      <c r="I4397" s="1" t="s">
        <v>45</v>
      </c>
      <c r="J4397" s="1" t="s">
        <v>48</v>
      </c>
      <c r="K4397" s="1">
        <v>60</v>
      </c>
      <c r="L4397" s="1">
        <v>0</v>
      </c>
      <c r="M4397" s="1">
        <v>0</v>
      </c>
      <c r="N4397" s="1">
        <v>60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 t="s">
        <v>49</v>
      </c>
      <c r="AA4397" s="1" t="s">
        <v>49</v>
      </c>
      <c r="AB4397" s="1" t="s">
        <v>49</v>
      </c>
      <c r="AC4397" s="1" t="s">
        <v>7540</v>
      </c>
      <c r="AD4397" s="1" t="s">
        <v>7541</v>
      </c>
      <c r="AE4397" s="1" t="s">
        <v>7540</v>
      </c>
      <c r="AF4397" s="1" t="s">
        <v>49</v>
      </c>
      <c r="AG4397" s="1" t="s">
        <v>53</v>
      </c>
      <c r="AH4397" s="1" t="s">
        <v>49</v>
      </c>
      <c r="AI4397" s="1" t="s">
        <v>54</v>
      </c>
      <c r="AJ4397" s="1">
        <v>1</v>
      </c>
      <c r="AK4397" s="1" t="str">
        <f t="shared" si="69"/>
        <v xml:space="preserve"> =&lt;90</v>
      </c>
      <c r="AL4397" s="1" t="e">
        <f>VLOOKUP(C:C,[1]基础信息!B$1:D$65536,3,0)</f>
        <v>#N/A</v>
      </c>
      <c r="AM4397" s="1" t="e">
        <f>VLOOKUP(C:C,[1]基础信息!B$1:E$65536,4,0)</f>
        <v>#N/A</v>
      </c>
      <c r="AN4397" s="1" t="e">
        <f>VLOOKUP(C:C,[1]基础信息!B$1:F$65536,5,0)</f>
        <v>#N/A</v>
      </c>
    </row>
    <row r="4398" spans="1:40">
      <c r="A4398" s="1" t="s">
        <v>41</v>
      </c>
      <c r="B4398" s="1" t="s">
        <v>42</v>
      </c>
      <c r="C4398" s="1" t="s">
        <v>8676</v>
      </c>
      <c r="D4398" s="1" t="s">
        <v>8677</v>
      </c>
      <c r="E4398" s="1" t="s">
        <v>45</v>
      </c>
      <c r="F4398" s="1" t="s">
        <v>9917</v>
      </c>
      <c r="G4398" s="1" t="s">
        <v>9932</v>
      </c>
      <c r="H4398" s="1" t="s">
        <v>45</v>
      </c>
      <c r="I4398" s="1" t="s">
        <v>45</v>
      </c>
      <c r="J4398" s="1" t="s">
        <v>48</v>
      </c>
      <c r="K4398" s="1">
        <v>80</v>
      </c>
      <c r="L4398" s="1">
        <v>0</v>
      </c>
      <c r="M4398" s="1">
        <v>0</v>
      </c>
      <c r="N4398" s="1">
        <v>80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 t="s">
        <v>49</v>
      </c>
      <c r="AA4398" s="1" t="s">
        <v>49</v>
      </c>
      <c r="AB4398" s="1" t="s">
        <v>49</v>
      </c>
      <c r="AC4398" s="1" t="s">
        <v>1330</v>
      </c>
      <c r="AD4398" s="1" t="s">
        <v>1331</v>
      </c>
      <c r="AE4398" s="1" t="s">
        <v>1330</v>
      </c>
      <c r="AF4398" s="1" t="s">
        <v>49</v>
      </c>
      <c r="AG4398" s="1" t="s">
        <v>53</v>
      </c>
      <c r="AH4398" s="1" t="s">
        <v>49</v>
      </c>
      <c r="AI4398" s="1" t="s">
        <v>54</v>
      </c>
      <c r="AJ4398" s="1">
        <v>1</v>
      </c>
      <c r="AK4398" s="1" t="str">
        <f t="shared" si="69"/>
        <v xml:space="preserve"> =&lt;90</v>
      </c>
      <c r="AL4398" s="1" t="str">
        <f>VLOOKUP(C:C,[1]基础信息!B$1:D$65536,3,0)</f>
        <v>Jug</v>
      </c>
      <c r="AM4398" s="1" t="str">
        <f>VLOOKUP(C:C,[1]基础信息!B$1:E$65536,4,0)</f>
        <v>Marella XL</v>
      </c>
      <c r="AN4398" s="1" t="str">
        <f>VLOOKUP(C:C,[1]基础信息!B$1:F$65536,5,0)</f>
        <v xml:space="preserve"> silver</v>
      </c>
    </row>
    <row r="4399" spans="1:40">
      <c r="A4399" s="1" t="s">
        <v>41</v>
      </c>
      <c r="B4399" s="1" t="s">
        <v>42</v>
      </c>
      <c r="C4399" s="1" t="s">
        <v>68</v>
      </c>
      <c r="D4399" s="1" t="s">
        <v>69</v>
      </c>
      <c r="E4399" s="1" t="s">
        <v>45</v>
      </c>
      <c r="F4399" s="1" t="s">
        <v>9919</v>
      </c>
      <c r="G4399" s="1" t="s">
        <v>9933</v>
      </c>
      <c r="H4399" s="1" t="s">
        <v>45</v>
      </c>
      <c r="I4399" s="1" t="s">
        <v>45</v>
      </c>
      <c r="J4399" s="1" t="s">
        <v>48</v>
      </c>
      <c r="K4399" s="1">
        <v>36</v>
      </c>
      <c r="L4399" s="1">
        <v>0</v>
      </c>
      <c r="M4399" s="1">
        <v>0</v>
      </c>
      <c r="N4399" s="1">
        <v>36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 t="s">
        <v>49</v>
      </c>
      <c r="AA4399" s="1" t="s">
        <v>49</v>
      </c>
      <c r="AB4399" s="1" t="s">
        <v>49</v>
      </c>
      <c r="AC4399" s="1" t="s">
        <v>2000</v>
      </c>
      <c r="AD4399" s="1" t="s">
        <v>2001</v>
      </c>
      <c r="AE4399" s="1" t="s">
        <v>2000</v>
      </c>
      <c r="AF4399" s="1" t="s">
        <v>8007</v>
      </c>
      <c r="AG4399" s="1" t="s">
        <v>53</v>
      </c>
      <c r="AH4399" s="1" t="s">
        <v>49</v>
      </c>
      <c r="AI4399" s="1" t="s">
        <v>54</v>
      </c>
      <c r="AJ4399" s="1">
        <v>1</v>
      </c>
      <c r="AK4399" s="1" t="str">
        <f t="shared" si="69"/>
        <v xml:space="preserve"> =&lt;90</v>
      </c>
      <c r="AL4399" s="1" t="str">
        <f>VLOOKUP(C:C,[1]基础信息!B$1:D$65536,3,0)</f>
        <v>Hotcup</v>
      </c>
      <c r="AM4399" s="1" t="str">
        <f>VLOOKUP(C:C,[1]基础信息!B$1:E$65536,4,0)</f>
        <v>Hotcup</v>
      </c>
      <c r="AN4399" s="1" t="str">
        <f>VLOOKUP(C:C,[1]基础信息!B$1:F$65536,5,0)</f>
        <v xml:space="preserve"> Whi</v>
      </c>
    </row>
    <row r="4400" spans="1:40">
      <c r="A4400" s="1" t="s">
        <v>41</v>
      </c>
      <c r="B4400" s="1" t="s">
        <v>42</v>
      </c>
      <c r="C4400" s="1" t="s">
        <v>8676</v>
      </c>
      <c r="D4400" s="1" t="s">
        <v>8677</v>
      </c>
      <c r="E4400" s="1" t="s">
        <v>45</v>
      </c>
      <c r="F4400" s="1" t="s">
        <v>9863</v>
      </c>
      <c r="G4400" s="1" t="s">
        <v>9934</v>
      </c>
      <c r="H4400" s="1" t="s">
        <v>45</v>
      </c>
      <c r="I4400" s="1" t="s">
        <v>45</v>
      </c>
      <c r="J4400" s="1" t="s">
        <v>48</v>
      </c>
      <c r="K4400" s="1">
        <v>80</v>
      </c>
      <c r="L4400" s="1">
        <v>0</v>
      </c>
      <c r="M4400" s="1">
        <v>0</v>
      </c>
      <c r="N4400" s="1">
        <v>80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 t="s">
        <v>49</v>
      </c>
      <c r="AA4400" s="1" t="s">
        <v>49</v>
      </c>
      <c r="AB4400" s="1" t="s">
        <v>49</v>
      </c>
      <c r="AC4400" s="1" t="s">
        <v>5290</v>
      </c>
      <c r="AD4400" s="1" t="s">
        <v>9865</v>
      </c>
      <c r="AE4400" s="1" t="s">
        <v>5290</v>
      </c>
      <c r="AF4400" s="1" t="s">
        <v>49</v>
      </c>
      <c r="AG4400" s="1" t="s">
        <v>53</v>
      </c>
      <c r="AH4400" s="1" t="s">
        <v>49</v>
      </c>
      <c r="AI4400" s="1" t="s">
        <v>54</v>
      </c>
      <c r="AJ4400" s="1">
        <v>1</v>
      </c>
      <c r="AK4400" s="1" t="str">
        <f t="shared" si="69"/>
        <v xml:space="preserve"> =&lt;90</v>
      </c>
      <c r="AL4400" s="1" t="str">
        <f>VLOOKUP(C:C,[1]基础信息!B$1:D$65536,3,0)</f>
        <v>Jug</v>
      </c>
      <c r="AM4400" s="1" t="str">
        <f>VLOOKUP(C:C,[1]基础信息!B$1:E$65536,4,0)</f>
        <v>Marella XL</v>
      </c>
      <c r="AN4400" s="1" t="str">
        <f>VLOOKUP(C:C,[1]基础信息!B$1:F$65536,5,0)</f>
        <v xml:space="preserve"> silver</v>
      </c>
    </row>
    <row r="4401" spans="1:40">
      <c r="A4401" s="1" t="s">
        <v>41</v>
      </c>
      <c r="B4401" s="1" t="s">
        <v>42</v>
      </c>
      <c r="C4401" s="1" t="s">
        <v>8676</v>
      </c>
      <c r="D4401" s="1" t="s">
        <v>8677</v>
      </c>
      <c r="E4401" s="1" t="s">
        <v>45</v>
      </c>
      <c r="F4401" s="1" t="s">
        <v>9917</v>
      </c>
      <c r="G4401" s="1" t="s">
        <v>9935</v>
      </c>
      <c r="H4401" s="1" t="s">
        <v>45</v>
      </c>
      <c r="I4401" s="1" t="s">
        <v>45</v>
      </c>
      <c r="J4401" s="1" t="s">
        <v>48</v>
      </c>
      <c r="K4401" s="1">
        <v>80</v>
      </c>
      <c r="L4401" s="1">
        <v>0</v>
      </c>
      <c r="M4401" s="1">
        <v>0</v>
      </c>
      <c r="N4401" s="1">
        <v>80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 t="s">
        <v>49</v>
      </c>
      <c r="AA4401" s="1" t="s">
        <v>49</v>
      </c>
      <c r="AB4401" s="1" t="s">
        <v>49</v>
      </c>
      <c r="AC4401" s="1" t="s">
        <v>1330</v>
      </c>
      <c r="AD4401" s="1" t="s">
        <v>1331</v>
      </c>
      <c r="AE4401" s="1" t="s">
        <v>1330</v>
      </c>
      <c r="AF4401" s="1" t="s">
        <v>49</v>
      </c>
      <c r="AG4401" s="1" t="s">
        <v>53</v>
      </c>
      <c r="AH4401" s="1" t="s">
        <v>49</v>
      </c>
      <c r="AI4401" s="1" t="s">
        <v>54</v>
      </c>
      <c r="AJ4401" s="1">
        <v>1</v>
      </c>
      <c r="AK4401" s="1" t="str">
        <f t="shared" si="69"/>
        <v xml:space="preserve"> =&lt;90</v>
      </c>
      <c r="AL4401" s="1" t="str">
        <f>VLOOKUP(C:C,[1]基础信息!B$1:D$65536,3,0)</f>
        <v>Jug</v>
      </c>
      <c r="AM4401" s="1" t="str">
        <f>VLOOKUP(C:C,[1]基础信息!B$1:E$65536,4,0)</f>
        <v>Marella XL</v>
      </c>
      <c r="AN4401" s="1" t="str">
        <f>VLOOKUP(C:C,[1]基础信息!B$1:F$65536,5,0)</f>
        <v xml:space="preserve"> silver</v>
      </c>
    </row>
    <row r="4402" spans="1:40">
      <c r="A4402" s="1" t="s">
        <v>41</v>
      </c>
      <c r="B4402" s="1" t="s">
        <v>42</v>
      </c>
      <c r="C4402" s="1" t="s">
        <v>68</v>
      </c>
      <c r="D4402" s="1" t="s">
        <v>69</v>
      </c>
      <c r="E4402" s="1" t="s">
        <v>45</v>
      </c>
      <c r="F4402" s="1" t="s">
        <v>9919</v>
      </c>
      <c r="G4402" s="1" t="s">
        <v>9936</v>
      </c>
      <c r="H4402" s="1" t="s">
        <v>45</v>
      </c>
      <c r="I4402" s="1" t="s">
        <v>45</v>
      </c>
      <c r="J4402" s="1" t="s">
        <v>48</v>
      </c>
      <c r="K4402" s="1">
        <v>36</v>
      </c>
      <c r="L4402" s="1">
        <v>0</v>
      </c>
      <c r="M4402" s="1">
        <v>0</v>
      </c>
      <c r="N4402" s="1">
        <v>36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 t="s">
        <v>49</v>
      </c>
      <c r="AA4402" s="1" t="s">
        <v>49</v>
      </c>
      <c r="AB4402" s="1" t="s">
        <v>49</v>
      </c>
      <c r="AC4402" s="1" t="s">
        <v>2000</v>
      </c>
      <c r="AD4402" s="1" t="s">
        <v>2001</v>
      </c>
      <c r="AE4402" s="1" t="s">
        <v>2000</v>
      </c>
      <c r="AF4402" s="1" t="s">
        <v>8007</v>
      </c>
      <c r="AG4402" s="1" t="s">
        <v>53</v>
      </c>
      <c r="AH4402" s="1" t="s">
        <v>49</v>
      </c>
      <c r="AI4402" s="1" t="s">
        <v>54</v>
      </c>
      <c r="AJ4402" s="1">
        <v>1</v>
      </c>
      <c r="AK4402" s="1" t="str">
        <f t="shared" si="69"/>
        <v xml:space="preserve"> =&lt;90</v>
      </c>
      <c r="AL4402" s="1" t="str">
        <f>VLOOKUP(C:C,[1]基础信息!B$1:D$65536,3,0)</f>
        <v>Hotcup</v>
      </c>
      <c r="AM4402" s="1" t="str">
        <f>VLOOKUP(C:C,[1]基础信息!B$1:E$65536,4,0)</f>
        <v>Hotcup</v>
      </c>
      <c r="AN4402" s="1" t="str">
        <f>VLOOKUP(C:C,[1]基础信息!B$1:F$65536,5,0)</f>
        <v xml:space="preserve"> Whi</v>
      </c>
    </row>
    <row r="4403" spans="1:40">
      <c r="A4403" s="1" t="s">
        <v>41</v>
      </c>
      <c r="B4403" s="1" t="s">
        <v>42</v>
      </c>
      <c r="C4403" s="1" t="s">
        <v>68</v>
      </c>
      <c r="D4403" s="1" t="s">
        <v>69</v>
      </c>
      <c r="E4403" s="1" t="s">
        <v>45</v>
      </c>
      <c r="F4403" s="1" t="s">
        <v>9919</v>
      </c>
      <c r="G4403" s="1" t="s">
        <v>9937</v>
      </c>
      <c r="H4403" s="1" t="s">
        <v>45</v>
      </c>
      <c r="I4403" s="1" t="s">
        <v>45</v>
      </c>
      <c r="J4403" s="1" t="s">
        <v>48</v>
      </c>
      <c r="K4403" s="1">
        <v>36</v>
      </c>
      <c r="L4403" s="1">
        <v>0</v>
      </c>
      <c r="M4403" s="1">
        <v>0</v>
      </c>
      <c r="N4403" s="1">
        <v>36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 t="s">
        <v>49</v>
      </c>
      <c r="AA4403" s="1" t="s">
        <v>49</v>
      </c>
      <c r="AB4403" s="1" t="s">
        <v>49</v>
      </c>
      <c r="AC4403" s="1" t="s">
        <v>2000</v>
      </c>
      <c r="AD4403" s="1" t="s">
        <v>2001</v>
      </c>
      <c r="AE4403" s="1" t="s">
        <v>2000</v>
      </c>
      <c r="AF4403" s="1" t="s">
        <v>8007</v>
      </c>
      <c r="AG4403" s="1" t="s">
        <v>53</v>
      </c>
      <c r="AH4403" s="1" t="s">
        <v>49</v>
      </c>
      <c r="AI4403" s="1" t="s">
        <v>54</v>
      </c>
      <c r="AJ4403" s="1">
        <v>1</v>
      </c>
      <c r="AK4403" s="1" t="str">
        <f t="shared" si="69"/>
        <v xml:space="preserve"> =&lt;90</v>
      </c>
      <c r="AL4403" s="1" t="str">
        <f>VLOOKUP(C:C,[1]基础信息!B$1:D$65536,3,0)</f>
        <v>Hotcup</v>
      </c>
      <c r="AM4403" s="1" t="str">
        <f>VLOOKUP(C:C,[1]基础信息!B$1:E$65536,4,0)</f>
        <v>Hotcup</v>
      </c>
      <c r="AN4403" s="1" t="str">
        <f>VLOOKUP(C:C,[1]基础信息!B$1:F$65536,5,0)</f>
        <v xml:space="preserve"> Whi</v>
      </c>
    </row>
    <row r="4404" spans="1:40">
      <c r="A4404" s="1" t="s">
        <v>41</v>
      </c>
      <c r="B4404" s="1" t="s">
        <v>42</v>
      </c>
      <c r="C4404" s="1" t="s">
        <v>8676</v>
      </c>
      <c r="D4404" s="1" t="s">
        <v>8677</v>
      </c>
      <c r="E4404" s="1" t="s">
        <v>45</v>
      </c>
      <c r="F4404" s="1" t="s">
        <v>9863</v>
      </c>
      <c r="G4404" s="1" t="s">
        <v>9938</v>
      </c>
      <c r="H4404" s="1" t="s">
        <v>45</v>
      </c>
      <c r="I4404" s="1" t="s">
        <v>45</v>
      </c>
      <c r="J4404" s="1" t="s">
        <v>48</v>
      </c>
      <c r="K4404" s="1">
        <v>80</v>
      </c>
      <c r="L4404" s="1">
        <v>0</v>
      </c>
      <c r="M4404" s="1">
        <v>0</v>
      </c>
      <c r="N4404" s="1">
        <v>80</v>
      </c>
      <c r="P4404" s="1">
        <v>0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  <c r="Z4404" s="1" t="s">
        <v>49</v>
      </c>
      <c r="AA4404" s="1" t="s">
        <v>49</v>
      </c>
      <c r="AB4404" s="1" t="s">
        <v>49</v>
      </c>
      <c r="AC4404" s="1" t="s">
        <v>5290</v>
      </c>
      <c r="AD4404" s="1" t="s">
        <v>9865</v>
      </c>
      <c r="AE4404" s="1" t="s">
        <v>5290</v>
      </c>
      <c r="AF4404" s="1" t="s">
        <v>49</v>
      </c>
      <c r="AG4404" s="1" t="s">
        <v>53</v>
      </c>
      <c r="AH4404" s="1" t="s">
        <v>49</v>
      </c>
      <c r="AI4404" s="1" t="s">
        <v>54</v>
      </c>
      <c r="AJ4404" s="1">
        <v>1</v>
      </c>
      <c r="AK4404" s="1" t="str">
        <f t="shared" si="69"/>
        <v xml:space="preserve"> =&lt;90</v>
      </c>
      <c r="AL4404" s="1" t="str">
        <f>VLOOKUP(C:C,[1]基础信息!B$1:D$65536,3,0)</f>
        <v>Jug</v>
      </c>
      <c r="AM4404" s="1" t="str">
        <f>VLOOKUP(C:C,[1]基础信息!B$1:E$65536,4,0)</f>
        <v>Marella XL</v>
      </c>
      <c r="AN4404" s="1" t="str">
        <f>VLOOKUP(C:C,[1]基础信息!B$1:F$65536,5,0)</f>
        <v xml:space="preserve"> silver</v>
      </c>
    </row>
    <row r="4405" spans="1:40">
      <c r="A4405" s="1" t="s">
        <v>41</v>
      </c>
      <c r="B4405" s="1" t="s">
        <v>42</v>
      </c>
      <c r="C4405" s="1" t="s">
        <v>8676</v>
      </c>
      <c r="D4405" s="1" t="s">
        <v>8677</v>
      </c>
      <c r="E4405" s="1" t="s">
        <v>45</v>
      </c>
      <c r="F4405" s="1" t="s">
        <v>9917</v>
      </c>
      <c r="G4405" s="1" t="s">
        <v>9939</v>
      </c>
      <c r="H4405" s="1" t="s">
        <v>45</v>
      </c>
      <c r="I4405" s="1" t="s">
        <v>45</v>
      </c>
      <c r="J4405" s="1" t="s">
        <v>48</v>
      </c>
      <c r="K4405" s="1">
        <v>80</v>
      </c>
      <c r="L4405" s="1">
        <v>0</v>
      </c>
      <c r="M4405" s="1">
        <v>0</v>
      </c>
      <c r="N4405" s="1">
        <v>80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 t="s">
        <v>49</v>
      </c>
      <c r="AA4405" s="1" t="s">
        <v>49</v>
      </c>
      <c r="AB4405" s="1" t="s">
        <v>49</v>
      </c>
      <c r="AC4405" s="1" t="s">
        <v>1330</v>
      </c>
      <c r="AD4405" s="1" t="s">
        <v>1331</v>
      </c>
      <c r="AE4405" s="1" t="s">
        <v>1330</v>
      </c>
      <c r="AF4405" s="1" t="s">
        <v>49</v>
      </c>
      <c r="AG4405" s="1" t="s">
        <v>53</v>
      </c>
      <c r="AH4405" s="1" t="s">
        <v>49</v>
      </c>
      <c r="AI4405" s="1" t="s">
        <v>54</v>
      </c>
      <c r="AJ4405" s="1">
        <v>1</v>
      </c>
      <c r="AK4405" s="1" t="str">
        <f t="shared" si="69"/>
        <v xml:space="preserve"> =&lt;90</v>
      </c>
      <c r="AL4405" s="1" t="str">
        <f>VLOOKUP(C:C,[1]基础信息!B$1:D$65536,3,0)</f>
        <v>Jug</v>
      </c>
      <c r="AM4405" s="1" t="str">
        <f>VLOOKUP(C:C,[1]基础信息!B$1:E$65536,4,0)</f>
        <v>Marella XL</v>
      </c>
      <c r="AN4405" s="1" t="str">
        <f>VLOOKUP(C:C,[1]基础信息!B$1:F$65536,5,0)</f>
        <v xml:space="preserve"> silver</v>
      </c>
    </row>
    <row r="4406" spans="1:40">
      <c r="A4406" s="1" t="s">
        <v>41</v>
      </c>
      <c r="B4406" s="1" t="s">
        <v>42</v>
      </c>
      <c r="C4406" s="1" t="s">
        <v>68</v>
      </c>
      <c r="D4406" s="1" t="s">
        <v>69</v>
      </c>
      <c r="E4406" s="1" t="s">
        <v>45</v>
      </c>
      <c r="F4406" s="1" t="s">
        <v>9919</v>
      </c>
      <c r="G4406" s="1" t="s">
        <v>9940</v>
      </c>
      <c r="H4406" s="1" t="s">
        <v>45</v>
      </c>
      <c r="I4406" s="1" t="s">
        <v>45</v>
      </c>
      <c r="J4406" s="1" t="s">
        <v>48</v>
      </c>
      <c r="K4406" s="1">
        <v>36</v>
      </c>
      <c r="L4406" s="1">
        <v>0</v>
      </c>
      <c r="M4406" s="1">
        <v>0</v>
      </c>
      <c r="N4406" s="1">
        <v>36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 t="s">
        <v>49</v>
      </c>
      <c r="AA4406" s="1" t="s">
        <v>49</v>
      </c>
      <c r="AB4406" s="1" t="s">
        <v>49</v>
      </c>
      <c r="AC4406" s="1" t="s">
        <v>2000</v>
      </c>
      <c r="AD4406" s="1" t="s">
        <v>2001</v>
      </c>
      <c r="AE4406" s="1" t="s">
        <v>2000</v>
      </c>
      <c r="AF4406" s="1" t="s">
        <v>8007</v>
      </c>
      <c r="AG4406" s="1" t="s">
        <v>53</v>
      </c>
      <c r="AH4406" s="1" t="s">
        <v>49</v>
      </c>
      <c r="AI4406" s="1" t="s">
        <v>54</v>
      </c>
      <c r="AJ4406" s="1">
        <v>1</v>
      </c>
      <c r="AK4406" s="1" t="str">
        <f t="shared" si="69"/>
        <v xml:space="preserve"> =&lt;90</v>
      </c>
      <c r="AL4406" s="1" t="str">
        <f>VLOOKUP(C:C,[1]基础信息!B$1:D$65536,3,0)</f>
        <v>Hotcup</v>
      </c>
      <c r="AM4406" s="1" t="str">
        <f>VLOOKUP(C:C,[1]基础信息!B$1:E$65536,4,0)</f>
        <v>Hotcup</v>
      </c>
      <c r="AN4406" s="1" t="str">
        <f>VLOOKUP(C:C,[1]基础信息!B$1:F$65536,5,0)</f>
        <v xml:space="preserve"> Whi</v>
      </c>
    </row>
    <row r="4407" spans="1:40">
      <c r="A4407" s="1" t="s">
        <v>41</v>
      </c>
      <c r="B4407" s="1" t="s">
        <v>42</v>
      </c>
      <c r="C4407" s="1" t="s">
        <v>8676</v>
      </c>
      <c r="D4407" s="1" t="s">
        <v>8677</v>
      </c>
      <c r="E4407" s="1" t="s">
        <v>45</v>
      </c>
      <c r="F4407" s="1" t="s">
        <v>9863</v>
      </c>
      <c r="G4407" s="1" t="s">
        <v>9941</v>
      </c>
      <c r="H4407" s="1" t="s">
        <v>45</v>
      </c>
      <c r="I4407" s="1" t="s">
        <v>45</v>
      </c>
      <c r="J4407" s="1" t="s">
        <v>48</v>
      </c>
      <c r="K4407" s="1">
        <v>80</v>
      </c>
      <c r="L4407" s="1">
        <v>0</v>
      </c>
      <c r="M4407" s="1">
        <v>0</v>
      </c>
      <c r="N4407" s="1">
        <v>80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 t="s">
        <v>49</v>
      </c>
      <c r="AA4407" s="1" t="s">
        <v>49</v>
      </c>
      <c r="AB4407" s="1" t="s">
        <v>49</v>
      </c>
      <c r="AC4407" s="1" t="s">
        <v>5290</v>
      </c>
      <c r="AD4407" s="1" t="s">
        <v>9865</v>
      </c>
      <c r="AE4407" s="1" t="s">
        <v>5290</v>
      </c>
      <c r="AF4407" s="1" t="s">
        <v>49</v>
      </c>
      <c r="AG4407" s="1" t="s">
        <v>53</v>
      </c>
      <c r="AH4407" s="1" t="s">
        <v>49</v>
      </c>
      <c r="AI4407" s="1" t="s">
        <v>54</v>
      </c>
      <c r="AJ4407" s="1">
        <v>1</v>
      </c>
      <c r="AK4407" s="1" t="str">
        <f t="shared" si="69"/>
        <v xml:space="preserve"> =&lt;90</v>
      </c>
      <c r="AL4407" s="1" t="str">
        <f>VLOOKUP(C:C,[1]基础信息!B$1:D$65536,3,0)</f>
        <v>Jug</v>
      </c>
      <c r="AM4407" s="1" t="str">
        <f>VLOOKUP(C:C,[1]基础信息!B$1:E$65536,4,0)</f>
        <v>Marella XL</v>
      </c>
      <c r="AN4407" s="1" t="str">
        <f>VLOOKUP(C:C,[1]基础信息!B$1:F$65536,5,0)</f>
        <v xml:space="preserve"> silver</v>
      </c>
    </row>
    <row r="4408" spans="1:40">
      <c r="A4408" s="1" t="s">
        <v>41</v>
      </c>
      <c r="B4408" s="1" t="s">
        <v>42</v>
      </c>
      <c r="C4408" s="1" t="s">
        <v>8676</v>
      </c>
      <c r="D4408" s="1" t="s">
        <v>8677</v>
      </c>
      <c r="E4408" s="1" t="s">
        <v>45</v>
      </c>
      <c r="F4408" s="1" t="s">
        <v>9917</v>
      </c>
      <c r="G4408" s="1" t="s">
        <v>9942</v>
      </c>
      <c r="H4408" s="1" t="s">
        <v>45</v>
      </c>
      <c r="I4408" s="1" t="s">
        <v>45</v>
      </c>
      <c r="J4408" s="1" t="s">
        <v>48</v>
      </c>
      <c r="K4408" s="1">
        <v>80</v>
      </c>
      <c r="L4408" s="1">
        <v>0</v>
      </c>
      <c r="M4408" s="1">
        <v>0</v>
      </c>
      <c r="N4408" s="1">
        <v>80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 t="s">
        <v>49</v>
      </c>
      <c r="AA4408" s="1" t="s">
        <v>49</v>
      </c>
      <c r="AB4408" s="1" t="s">
        <v>49</v>
      </c>
      <c r="AC4408" s="1" t="s">
        <v>1330</v>
      </c>
      <c r="AD4408" s="1" t="s">
        <v>1331</v>
      </c>
      <c r="AE4408" s="1" t="s">
        <v>1330</v>
      </c>
      <c r="AF4408" s="1" t="s">
        <v>49</v>
      </c>
      <c r="AG4408" s="1" t="s">
        <v>53</v>
      </c>
      <c r="AH4408" s="1" t="s">
        <v>49</v>
      </c>
      <c r="AI4408" s="1" t="s">
        <v>54</v>
      </c>
      <c r="AJ4408" s="1">
        <v>1</v>
      </c>
      <c r="AK4408" s="1" t="str">
        <f t="shared" si="69"/>
        <v xml:space="preserve"> =&lt;90</v>
      </c>
      <c r="AL4408" s="1" t="str">
        <f>VLOOKUP(C:C,[1]基础信息!B$1:D$65536,3,0)</f>
        <v>Jug</v>
      </c>
      <c r="AM4408" s="1" t="str">
        <f>VLOOKUP(C:C,[1]基础信息!B$1:E$65536,4,0)</f>
        <v>Marella XL</v>
      </c>
      <c r="AN4408" s="1" t="str">
        <f>VLOOKUP(C:C,[1]基础信息!B$1:F$65536,5,0)</f>
        <v xml:space="preserve"> silver</v>
      </c>
    </row>
    <row r="4409" spans="1:40">
      <c r="A4409" s="1" t="s">
        <v>41</v>
      </c>
      <c r="B4409" s="1" t="s">
        <v>42</v>
      </c>
      <c r="C4409" s="1" t="s">
        <v>68</v>
      </c>
      <c r="D4409" s="1" t="s">
        <v>69</v>
      </c>
      <c r="E4409" s="1" t="s">
        <v>45</v>
      </c>
      <c r="F4409" s="1" t="s">
        <v>9919</v>
      </c>
      <c r="G4409" s="1" t="s">
        <v>9943</v>
      </c>
      <c r="H4409" s="1" t="s">
        <v>45</v>
      </c>
      <c r="I4409" s="1" t="s">
        <v>45</v>
      </c>
      <c r="J4409" s="1" t="s">
        <v>48</v>
      </c>
      <c r="K4409" s="1">
        <v>36</v>
      </c>
      <c r="L4409" s="1">
        <v>0</v>
      </c>
      <c r="M4409" s="1">
        <v>0</v>
      </c>
      <c r="N4409" s="1">
        <v>36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 t="s">
        <v>49</v>
      </c>
      <c r="AA4409" s="1" t="s">
        <v>49</v>
      </c>
      <c r="AB4409" s="1" t="s">
        <v>49</v>
      </c>
      <c r="AC4409" s="1" t="s">
        <v>2000</v>
      </c>
      <c r="AD4409" s="1" t="s">
        <v>2001</v>
      </c>
      <c r="AE4409" s="1" t="s">
        <v>2000</v>
      </c>
      <c r="AF4409" s="1" t="s">
        <v>8007</v>
      </c>
      <c r="AG4409" s="1" t="s">
        <v>53</v>
      </c>
      <c r="AH4409" s="1" t="s">
        <v>49</v>
      </c>
      <c r="AI4409" s="1" t="s">
        <v>54</v>
      </c>
      <c r="AJ4409" s="1">
        <v>1</v>
      </c>
      <c r="AK4409" s="1" t="str">
        <f t="shared" si="69"/>
        <v xml:space="preserve"> =&lt;90</v>
      </c>
      <c r="AL4409" s="1" t="str">
        <f>VLOOKUP(C:C,[1]基础信息!B$1:D$65536,3,0)</f>
        <v>Hotcup</v>
      </c>
      <c r="AM4409" s="1" t="str">
        <f>VLOOKUP(C:C,[1]基础信息!B$1:E$65536,4,0)</f>
        <v>Hotcup</v>
      </c>
      <c r="AN4409" s="1" t="str">
        <f>VLOOKUP(C:C,[1]基础信息!B$1:F$65536,5,0)</f>
        <v xml:space="preserve"> Whi</v>
      </c>
    </row>
    <row r="4410" spans="1:40">
      <c r="A4410" s="1" t="s">
        <v>41</v>
      </c>
      <c r="B4410" s="1" t="s">
        <v>42</v>
      </c>
      <c r="C4410" s="1" t="s">
        <v>8676</v>
      </c>
      <c r="D4410" s="1" t="s">
        <v>8677</v>
      </c>
      <c r="E4410" s="1" t="s">
        <v>45</v>
      </c>
      <c r="F4410" s="1" t="s">
        <v>9863</v>
      </c>
      <c r="G4410" s="1" t="s">
        <v>9944</v>
      </c>
      <c r="H4410" s="1" t="s">
        <v>45</v>
      </c>
      <c r="I4410" s="1" t="s">
        <v>45</v>
      </c>
      <c r="J4410" s="1" t="s">
        <v>48</v>
      </c>
      <c r="K4410" s="1">
        <v>80</v>
      </c>
      <c r="L4410" s="1">
        <v>0</v>
      </c>
      <c r="M4410" s="1">
        <v>0</v>
      </c>
      <c r="N4410" s="1">
        <v>80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 t="s">
        <v>49</v>
      </c>
      <c r="AA4410" s="1" t="s">
        <v>49</v>
      </c>
      <c r="AB4410" s="1" t="s">
        <v>49</v>
      </c>
      <c r="AC4410" s="1" t="s">
        <v>5290</v>
      </c>
      <c r="AD4410" s="1" t="s">
        <v>9865</v>
      </c>
      <c r="AE4410" s="1" t="s">
        <v>5290</v>
      </c>
      <c r="AF4410" s="1" t="s">
        <v>49</v>
      </c>
      <c r="AG4410" s="1" t="s">
        <v>53</v>
      </c>
      <c r="AH4410" s="1" t="s">
        <v>49</v>
      </c>
      <c r="AI4410" s="1" t="s">
        <v>54</v>
      </c>
      <c r="AJ4410" s="1">
        <v>1</v>
      </c>
      <c r="AK4410" s="1" t="str">
        <f t="shared" si="69"/>
        <v xml:space="preserve"> =&lt;90</v>
      </c>
      <c r="AL4410" s="1" t="str">
        <f>VLOOKUP(C:C,[1]基础信息!B$1:D$65536,3,0)</f>
        <v>Jug</v>
      </c>
      <c r="AM4410" s="1" t="str">
        <f>VLOOKUP(C:C,[1]基础信息!B$1:E$65536,4,0)</f>
        <v>Marella XL</v>
      </c>
      <c r="AN4410" s="1" t="str">
        <f>VLOOKUP(C:C,[1]基础信息!B$1:F$65536,5,0)</f>
        <v xml:space="preserve"> silver</v>
      </c>
    </row>
    <row r="4411" spans="1:40">
      <c r="A4411" s="1" t="s">
        <v>41</v>
      </c>
      <c r="B4411" s="1" t="s">
        <v>42</v>
      </c>
      <c r="C4411" s="1" t="s">
        <v>8676</v>
      </c>
      <c r="D4411" s="1" t="s">
        <v>8677</v>
      </c>
      <c r="E4411" s="1" t="s">
        <v>45</v>
      </c>
      <c r="F4411" s="1" t="s">
        <v>9917</v>
      </c>
      <c r="G4411" s="1" t="s">
        <v>9945</v>
      </c>
      <c r="H4411" s="1" t="s">
        <v>45</v>
      </c>
      <c r="I4411" s="1" t="s">
        <v>45</v>
      </c>
      <c r="J4411" s="1" t="s">
        <v>48</v>
      </c>
      <c r="K4411" s="1">
        <v>80</v>
      </c>
      <c r="L4411" s="1">
        <v>0</v>
      </c>
      <c r="M4411" s="1">
        <v>0</v>
      </c>
      <c r="N4411" s="1">
        <v>80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 t="s">
        <v>49</v>
      </c>
      <c r="AA4411" s="1" t="s">
        <v>49</v>
      </c>
      <c r="AB4411" s="1" t="s">
        <v>49</v>
      </c>
      <c r="AC4411" s="1" t="s">
        <v>1330</v>
      </c>
      <c r="AD4411" s="1" t="s">
        <v>1331</v>
      </c>
      <c r="AE4411" s="1" t="s">
        <v>1330</v>
      </c>
      <c r="AF4411" s="1" t="s">
        <v>49</v>
      </c>
      <c r="AG4411" s="1" t="s">
        <v>53</v>
      </c>
      <c r="AH4411" s="1" t="s">
        <v>49</v>
      </c>
      <c r="AI4411" s="1" t="s">
        <v>54</v>
      </c>
      <c r="AJ4411" s="1">
        <v>1</v>
      </c>
      <c r="AK4411" s="1" t="str">
        <f t="shared" si="69"/>
        <v xml:space="preserve"> =&lt;90</v>
      </c>
      <c r="AL4411" s="1" t="str">
        <f>VLOOKUP(C:C,[1]基础信息!B$1:D$65536,3,0)</f>
        <v>Jug</v>
      </c>
      <c r="AM4411" s="1" t="str">
        <f>VLOOKUP(C:C,[1]基础信息!B$1:E$65536,4,0)</f>
        <v>Marella XL</v>
      </c>
      <c r="AN4411" s="1" t="str">
        <f>VLOOKUP(C:C,[1]基础信息!B$1:F$65536,5,0)</f>
        <v xml:space="preserve"> silver</v>
      </c>
    </row>
    <row r="4412" spans="1:40">
      <c r="A4412" s="1" t="s">
        <v>41</v>
      </c>
      <c r="B4412" s="1" t="s">
        <v>42</v>
      </c>
      <c r="C4412" s="1" t="s">
        <v>68</v>
      </c>
      <c r="D4412" s="1" t="s">
        <v>69</v>
      </c>
      <c r="E4412" s="1" t="s">
        <v>45</v>
      </c>
      <c r="F4412" s="1" t="s">
        <v>9919</v>
      </c>
      <c r="G4412" s="1" t="s">
        <v>9946</v>
      </c>
      <c r="H4412" s="1" t="s">
        <v>45</v>
      </c>
      <c r="I4412" s="1" t="s">
        <v>45</v>
      </c>
      <c r="J4412" s="1" t="s">
        <v>48</v>
      </c>
      <c r="K4412" s="1">
        <v>36</v>
      </c>
      <c r="L4412" s="1">
        <v>0</v>
      </c>
      <c r="M4412" s="1">
        <v>0</v>
      </c>
      <c r="N4412" s="1">
        <v>36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 t="s">
        <v>49</v>
      </c>
      <c r="AA4412" s="1" t="s">
        <v>49</v>
      </c>
      <c r="AB4412" s="1" t="s">
        <v>49</v>
      </c>
      <c r="AC4412" s="1" t="s">
        <v>2000</v>
      </c>
      <c r="AD4412" s="1" t="s">
        <v>2001</v>
      </c>
      <c r="AE4412" s="1" t="s">
        <v>2000</v>
      </c>
      <c r="AF4412" s="1" t="s">
        <v>8007</v>
      </c>
      <c r="AG4412" s="1" t="s">
        <v>53</v>
      </c>
      <c r="AH4412" s="1" t="s">
        <v>49</v>
      </c>
      <c r="AI4412" s="1" t="s">
        <v>54</v>
      </c>
      <c r="AJ4412" s="1">
        <v>1</v>
      </c>
      <c r="AK4412" s="1" t="str">
        <f t="shared" si="69"/>
        <v xml:space="preserve"> =&lt;90</v>
      </c>
      <c r="AL4412" s="1" t="str">
        <f>VLOOKUP(C:C,[1]基础信息!B$1:D$65536,3,0)</f>
        <v>Hotcup</v>
      </c>
      <c r="AM4412" s="1" t="str">
        <f>VLOOKUP(C:C,[1]基础信息!B$1:E$65536,4,0)</f>
        <v>Hotcup</v>
      </c>
      <c r="AN4412" s="1" t="str">
        <f>VLOOKUP(C:C,[1]基础信息!B$1:F$65536,5,0)</f>
        <v xml:space="preserve"> Whi</v>
      </c>
    </row>
    <row r="4413" spans="1:40">
      <c r="A4413" s="1" t="s">
        <v>41</v>
      </c>
      <c r="B4413" s="1" t="s">
        <v>42</v>
      </c>
      <c r="C4413" s="1" t="s">
        <v>68</v>
      </c>
      <c r="D4413" s="1" t="s">
        <v>69</v>
      </c>
      <c r="E4413" s="1" t="s">
        <v>45</v>
      </c>
      <c r="F4413" s="1" t="s">
        <v>9919</v>
      </c>
      <c r="G4413" s="1" t="s">
        <v>9947</v>
      </c>
      <c r="H4413" s="1" t="s">
        <v>45</v>
      </c>
      <c r="I4413" s="1" t="s">
        <v>45</v>
      </c>
      <c r="J4413" s="1" t="s">
        <v>48</v>
      </c>
      <c r="K4413" s="1">
        <v>36</v>
      </c>
      <c r="L4413" s="1">
        <v>0</v>
      </c>
      <c r="M4413" s="1">
        <v>0</v>
      </c>
      <c r="N4413" s="1">
        <v>36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 t="s">
        <v>49</v>
      </c>
      <c r="AA4413" s="1" t="s">
        <v>49</v>
      </c>
      <c r="AB4413" s="1" t="s">
        <v>49</v>
      </c>
      <c r="AC4413" s="1" t="s">
        <v>2000</v>
      </c>
      <c r="AD4413" s="1" t="s">
        <v>2001</v>
      </c>
      <c r="AE4413" s="1" t="s">
        <v>2000</v>
      </c>
      <c r="AF4413" s="1" t="s">
        <v>8007</v>
      </c>
      <c r="AG4413" s="1" t="s">
        <v>53</v>
      </c>
      <c r="AH4413" s="1" t="s">
        <v>49</v>
      </c>
      <c r="AI4413" s="1" t="s">
        <v>54</v>
      </c>
      <c r="AJ4413" s="1">
        <v>1</v>
      </c>
      <c r="AK4413" s="1" t="str">
        <f t="shared" si="69"/>
        <v xml:space="preserve"> =&lt;90</v>
      </c>
      <c r="AL4413" s="1" t="str">
        <f>VLOOKUP(C:C,[1]基础信息!B$1:D$65536,3,0)</f>
        <v>Hotcup</v>
      </c>
      <c r="AM4413" s="1" t="str">
        <f>VLOOKUP(C:C,[1]基础信息!B$1:E$65536,4,0)</f>
        <v>Hotcup</v>
      </c>
      <c r="AN4413" s="1" t="str">
        <f>VLOOKUP(C:C,[1]基础信息!B$1:F$65536,5,0)</f>
        <v xml:space="preserve"> Whi</v>
      </c>
    </row>
    <row r="4414" spans="1:40">
      <c r="A4414" s="1" t="s">
        <v>41</v>
      </c>
      <c r="B4414" s="1" t="s">
        <v>42</v>
      </c>
      <c r="C4414" s="1" t="s">
        <v>8676</v>
      </c>
      <c r="D4414" s="1" t="s">
        <v>8677</v>
      </c>
      <c r="E4414" s="1" t="s">
        <v>45</v>
      </c>
      <c r="F4414" s="1" t="s">
        <v>9863</v>
      </c>
      <c r="G4414" s="1" t="s">
        <v>9948</v>
      </c>
      <c r="H4414" s="1" t="s">
        <v>45</v>
      </c>
      <c r="I4414" s="1" t="s">
        <v>45</v>
      </c>
      <c r="J4414" s="1" t="s">
        <v>48</v>
      </c>
      <c r="K4414" s="1">
        <v>80</v>
      </c>
      <c r="L4414" s="1">
        <v>0</v>
      </c>
      <c r="M4414" s="1">
        <v>0</v>
      </c>
      <c r="N4414" s="1">
        <v>80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 t="s">
        <v>49</v>
      </c>
      <c r="AA4414" s="1" t="s">
        <v>49</v>
      </c>
      <c r="AB4414" s="1" t="s">
        <v>49</v>
      </c>
      <c r="AC4414" s="1" t="s">
        <v>5290</v>
      </c>
      <c r="AD4414" s="1" t="s">
        <v>9865</v>
      </c>
      <c r="AE4414" s="1" t="s">
        <v>5290</v>
      </c>
      <c r="AF4414" s="1" t="s">
        <v>49</v>
      </c>
      <c r="AG4414" s="1" t="s">
        <v>53</v>
      </c>
      <c r="AH4414" s="1" t="s">
        <v>49</v>
      </c>
      <c r="AI4414" s="1" t="s">
        <v>54</v>
      </c>
      <c r="AJ4414" s="1">
        <v>1</v>
      </c>
      <c r="AK4414" s="1" t="str">
        <f t="shared" si="69"/>
        <v xml:space="preserve"> =&lt;90</v>
      </c>
      <c r="AL4414" s="1" t="str">
        <f>VLOOKUP(C:C,[1]基础信息!B$1:D$65536,3,0)</f>
        <v>Jug</v>
      </c>
      <c r="AM4414" s="1" t="str">
        <f>VLOOKUP(C:C,[1]基础信息!B$1:E$65536,4,0)</f>
        <v>Marella XL</v>
      </c>
      <c r="AN4414" s="1" t="str">
        <f>VLOOKUP(C:C,[1]基础信息!B$1:F$65536,5,0)</f>
        <v xml:space="preserve"> silver</v>
      </c>
    </row>
    <row r="4415" spans="1:40">
      <c r="A4415" s="1" t="s">
        <v>41</v>
      </c>
      <c r="B4415" s="1" t="s">
        <v>42</v>
      </c>
      <c r="C4415" s="1" t="s">
        <v>8676</v>
      </c>
      <c r="D4415" s="1" t="s">
        <v>8677</v>
      </c>
      <c r="E4415" s="1" t="s">
        <v>45</v>
      </c>
      <c r="F4415" s="1" t="s">
        <v>9917</v>
      </c>
      <c r="G4415" s="1" t="s">
        <v>9949</v>
      </c>
      <c r="H4415" s="1" t="s">
        <v>45</v>
      </c>
      <c r="I4415" s="1" t="s">
        <v>45</v>
      </c>
      <c r="J4415" s="1" t="s">
        <v>48</v>
      </c>
      <c r="K4415" s="1">
        <v>80</v>
      </c>
      <c r="L4415" s="1">
        <v>0</v>
      </c>
      <c r="M4415" s="1">
        <v>0</v>
      </c>
      <c r="N4415" s="1">
        <v>80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 t="s">
        <v>49</v>
      </c>
      <c r="AA4415" s="1" t="s">
        <v>49</v>
      </c>
      <c r="AB4415" s="1" t="s">
        <v>49</v>
      </c>
      <c r="AC4415" s="1" t="s">
        <v>1330</v>
      </c>
      <c r="AD4415" s="1" t="s">
        <v>1331</v>
      </c>
      <c r="AE4415" s="1" t="s">
        <v>1330</v>
      </c>
      <c r="AF4415" s="1" t="s">
        <v>49</v>
      </c>
      <c r="AG4415" s="1" t="s">
        <v>53</v>
      </c>
      <c r="AH4415" s="1" t="s">
        <v>49</v>
      </c>
      <c r="AI4415" s="1" t="s">
        <v>54</v>
      </c>
      <c r="AJ4415" s="1">
        <v>1</v>
      </c>
      <c r="AK4415" s="1" t="str">
        <f t="shared" si="69"/>
        <v xml:space="preserve"> =&lt;90</v>
      </c>
      <c r="AL4415" s="1" t="str">
        <f>VLOOKUP(C:C,[1]基础信息!B$1:D$65536,3,0)</f>
        <v>Jug</v>
      </c>
      <c r="AM4415" s="1" t="str">
        <f>VLOOKUP(C:C,[1]基础信息!B$1:E$65536,4,0)</f>
        <v>Marella XL</v>
      </c>
      <c r="AN4415" s="1" t="str">
        <f>VLOOKUP(C:C,[1]基础信息!B$1:F$65536,5,0)</f>
        <v xml:space="preserve"> silver</v>
      </c>
    </row>
    <row r="4416" spans="1:40">
      <c r="A4416" s="1" t="s">
        <v>41</v>
      </c>
      <c r="B4416" s="1" t="s">
        <v>42</v>
      </c>
      <c r="C4416" s="1" t="s">
        <v>68</v>
      </c>
      <c r="D4416" s="1" t="s">
        <v>69</v>
      </c>
      <c r="E4416" s="1" t="s">
        <v>45</v>
      </c>
      <c r="F4416" s="1" t="s">
        <v>9919</v>
      </c>
      <c r="G4416" s="1" t="s">
        <v>9950</v>
      </c>
      <c r="H4416" s="1" t="s">
        <v>45</v>
      </c>
      <c r="I4416" s="1" t="s">
        <v>45</v>
      </c>
      <c r="J4416" s="1" t="s">
        <v>48</v>
      </c>
      <c r="K4416" s="1">
        <v>36</v>
      </c>
      <c r="L4416" s="1">
        <v>0</v>
      </c>
      <c r="M4416" s="1">
        <v>0</v>
      </c>
      <c r="N4416" s="1">
        <v>36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 t="s">
        <v>49</v>
      </c>
      <c r="AA4416" s="1" t="s">
        <v>49</v>
      </c>
      <c r="AB4416" s="1" t="s">
        <v>49</v>
      </c>
      <c r="AC4416" s="1" t="s">
        <v>2000</v>
      </c>
      <c r="AD4416" s="1" t="s">
        <v>2001</v>
      </c>
      <c r="AE4416" s="1" t="s">
        <v>2000</v>
      </c>
      <c r="AF4416" s="1" t="s">
        <v>8007</v>
      </c>
      <c r="AG4416" s="1" t="s">
        <v>53</v>
      </c>
      <c r="AH4416" s="1" t="s">
        <v>49</v>
      </c>
      <c r="AI4416" s="1" t="s">
        <v>54</v>
      </c>
      <c r="AJ4416" s="1">
        <v>1</v>
      </c>
      <c r="AK4416" s="1" t="str">
        <f t="shared" si="69"/>
        <v xml:space="preserve"> =&lt;90</v>
      </c>
      <c r="AL4416" s="1" t="str">
        <f>VLOOKUP(C:C,[1]基础信息!B$1:D$65536,3,0)</f>
        <v>Hotcup</v>
      </c>
      <c r="AM4416" s="1" t="str">
        <f>VLOOKUP(C:C,[1]基础信息!B$1:E$65536,4,0)</f>
        <v>Hotcup</v>
      </c>
      <c r="AN4416" s="1" t="str">
        <f>VLOOKUP(C:C,[1]基础信息!B$1:F$65536,5,0)</f>
        <v xml:space="preserve"> Whi</v>
      </c>
    </row>
    <row r="4417" spans="1:40">
      <c r="A4417" s="1" t="s">
        <v>41</v>
      </c>
      <c r="B4417" s="1" t="s">
        <v>42</v>
      </c>
      <c r="C4417" s="1" t="s">
        <v>9824</v>
      </c>
      <c r="D4417" s="1" t="s">
        <v>9825</v>
      </c>
      <c r="E4417" s="1" t="s">
        <v>45</v>
      </c>
      <c r="F4417" s="1" t="s">
        <v>9826</v>
      </c>
      <c r="G4417" s="1" t="s">
        <v>9951</v>
      </c>
      <c r="H4417" s="1" t="s">
        <v>45</v>
      </c>
      <c r="I4417" s="1" t="s">
        <v>45</v>
      </c>
      <c r="J4417" s="1" t="s">
        <v>48</v>
      </c>
      <c r="K4417" s="1">
        <v>60</v>
      </c>
      <c r="L4417" s="1">
        <v>0</v>
      </c>
      <c r="M4417" s="1">
        <v>0</v>
      </c>
      <c r="N4417" s="1">
        <v>60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 t="s">
        <v>49</v>
      </c>
      <c r="AA4417" s="1" t="s">
        <v>49</v>
      </c>
      <c r="AB4417" s="1" t="s">
        <v>49</v>
      </c>
      <c r="AC4417" s="1" t="s">
        <v>7540</v>
      </c>
      <c r="AD4417" s="1" t="s">
        <v>7541</v>
      </c>
      <c r="AE4417" s="1" t="s">
        <v>7540</v>
      </c>
      <c r="AF4417" s="1" t="s">
        <v>49</v>
      </c>
      <c r="AG4417" s="1" t="s">
        <v>53</v>
      </c>
      <c r="AH4417" s="1" t="s">
        <v>49</v>
      </c>
      <c r="AI4417" s="1" t="s">
        <v>54</v>
      </c>
      <c r="AJ4417" s="1">
        <v>1</v>
      </c>
      <c r="AK4417" s="1" t="str">
        <f t="shared" si="69"/>
        <v xml:space="preserve"> =&lt;90</v>
      </c>
      <c r="AL4417" s="1" t="e">
        <f>VLOOKUP(C:C,[1]基础信息!B$1:D$65536,3,0)</f>
        <v>#N/A</v>
      </c>
      <c r="AM4417" s="1" t="e">
        <f>VLOOKUP(C:C,[1]基础信息!B$1:E$65536,4,0)</f>
        <v>#N/A</v>
      </c>
      <c r="AN4417" s="1" t="e">
        <f>VLOOKUP(C:C,[1]基础信息!B$1:F$65536,5,0)</f>
        <v>#N/A</v>
      </c>
    </row>
    <row r="4418" spans="1:40">
      <c r="A4418" s="1" t="s">
        <v>41</v>
      </c>
      <c r="B4418" s="1" t="s">
        <v>42</v>
      </c>
      <c r="C4418" s="1" t="s">
        <v>8676</v>
      </c>
      <c r="D4418" s="1" t="s">
        <v>8677</v>
      </c>
      <c r="E4418" s="1" t="s">
        <v>45</v>
      </c>
      <c r="F4418" s="1" t="s">
        <v>9917</v>
      </c>
      <c r="G4418" s="1" t="s">
        <v>9952</v>
      </c>
      <c r="H4418" s="1" t="s">
        <v>45</v>
      </c>
      <c r="I4418" s="1" t="s">
        <v>45</v>
      </c>
      <c r="J4418" s="1" t="s">
        <v>48</v>
      </c>
      <c r="K4418" s="1">
        <v>80</v>
      </c>
      <c r="L4418" s="1">
        <v>0</v>
      </c>
      <c r="M4418" s="1">
        <v>0</v>
      </c>
      <c r="N4418" s="1">
        <v>80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 t="s">
        <v>49</v>
      </c>
      <c r="AA4418" s="1" t="s">
        <v>49</v>
      </c>
      <c r="AB4418" s="1" t="s">
        <v>49</v>
      </c>
      <c r="AC4418" s="1" t="s">
        <v>1330</v>
      </c>
      <c r="AD4418" s="1" t="s">
        <v>1331</v>
      </c>
      <c r="AE4418" s="1" t="s">
        <v>1330</v>
      </c>
      <c r="AF4418" s="1" t="s">
        <v>49</v>
      </c>
      <c r="AG4418" s="1" t="s">
        <v>53</v>
      </c>
      <c r="AH4418" s="1" t="s">
        <v>49</v>
      </c>
      <c r="AI4418" s="1" t="s">
        <v>54</v>
      </c>
      <c r="AJ4418" s="1">
        <v>1</v>
      </c>
      <c r="AK4418" s="1" t="str">
        <f t="shared" si="69"/>
        <v xml:space="preserve"> =&lt;90</v>
      </c>
      <c r="AL4418" s="1" t="str">
        <f>VLOOKUP(C:C,[1]基础信息!B$1:D$65536,3,0)</f>
        <v>Jug</v>
      </c>
      <c r="AM4418" s="1" t="str">
        <f>VLOOKUP(C:C,[1]基础信息!B$1:E$65536,4,0)</f>
        <v>Marella XL</v>
      </c>
      <c r="AN4418" s="1" t="str">
        <f>VLOOKUP(C:C,[1]基础信息!B$1:F$65536,5,0)</f>
        <v xml:space="preserve"> silver</v>
      </c>
    </row>
    <row r="4419" spans="1:40">
      <c r="A4419" s="1" t="s">
        <v>41</v>
      </c>
      <c r="B4419" s="1" t="s">
        <v>42</v>
      </c>
      <c r="C4419" s="1" t="s">
        <v>68</v>
      </c>
      <c r="D4419" s="1" t="s">
        <v>69</v>
      </c>
      <c r="E4419" s="1" t="s">
        <v>45</v>
      </c>
      <c r="F4419" s="1" t="s">
        <v>9919</v>
      </c>
      <c r="G4419" s="1" t="s">
        <v>9953</v>
      </c>
      <c r="H4419" s="1" t="s">
        <v>45</v>
      </c>
      <c r="I4419" s="1" t="s">
        <v>45</v>
      </c>
      <c r="J4419" s="1" t="s">
        <v>48</v>
      </c>
      <c r="K4419" s="1">
        <v>36</v>
      </c>
      <c r="L4419" s="1">
        <v>0</v>
      </c>
      <c r="M4419" s="1">
        <v>0</v>
      </c>
      <c r="N4419" s="1">
        <v>36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 t="s">
        <v>49</v>
      </c>
      <c r="AA4419" s="1" t="s">
        <v>49</v>
      </c>
      <c r="AB4419" s="1" t="s">
        <v>49</v>
      </c>
      <c r="AC4419" s="1" t="s">
        <v>2000</v>
      </c>
      <c r="AD4419" s="1" t="s">
        <v>2001</v>
      </c>
      <c r="AE4419" s="1" t="s">
        <v>2000</v>
      </c>
      <c r="AF4419" s="1" t="s">
        <v>8007</v>
      </c>
      <c r="AG4419" s="1" t="s">
        <v>53</v>
      </c>
      <c r="AH4419" s="1" t="s">
        <v>49</v>
      </c>
      <c r="AI4419" s="1" t="s">
        <v>54</v>
      </c>
      <c r="AJ4419" s="1">
        <v>1</v>
      </c>
      <c r="AK4419" s="1" t="str">
        <f t="shared" si="69"/>
        <v xml:space="preserve"> =&lt;90</v>
      </c>
      <c r="AL4419" s="1" t="str">
        <f>VLOOKUP(C:C,[1]基础信息!B$1:D$65536,3,0)</f>
        <v>Hotcup</v>
      </c>
      <c r="AM4419" s="1" t="str">
        <f>VLOOKUP(C:C,[1]基础信息!B$1:E$65536,4,0)</f>
        <v>Hotcup</v>
      </c>
      <c r="AN4419" s="1" t="str">
        <f>VLOOKUP(C:C,[1]基础信息!B$1:F$65536,5,0)</f>
        <v xml:space="preserve"> Whi</v>
      </c>
    </row>
    <row r="4420" spans="1:40">
      <c r="A4420" s="1" t="s">
        <v>41</v>
      </c>
      <c r="B4420" s="1" t="s">
        <v>42</v>
      </c>
      <c r="C4420" s="1" t="s">
        <v>8676</v>
      </c>
      <c r="D4420" s="1" t="s">
        <v>8677</v>
      </c>
      <c r="E4420" s="1" t="s">
        <v>45</v>
      </c>
      <c r="F4420" s="1" t="s">
        <v>9863</v>
      </c>
      <c r="G4420" s="1" t="s">
        <v>9954</v>
      </c>
      <c r="H4420" s="1" t="s">
        <v>45</v>
      </c>
      <c r="I4420" s="1" t="s">
        <v>45</v>
      </c>
      <c r="J4420" s="1" t="s">
        <v>48</v>
      </c>
      <c r="K4420" s="1">
        <v>80</v>
      </c>
      <c r="L4420" s="1">
        <v>0</v>
      </c>
      <c r="M4420" s="1">
        <v>0</v>
      </c>
      <c r="N4420" s="1">
        <v>80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 t="s">
        <v>49</v>
      </c>
      <c r="AA4420" s="1" t="s">
        <v>49</v>
      </c>
      <c r="AB4420" s="1" t="s">
        <v>49</v>
      </c>
      <c r="AC4420" s="1" t="s">
        <v>5290</v>
      </c>
      <c r="AD4420" s="1" t="s">
        <v>9865</v>
      </c>
      <c r="AE4420" s="1" t="s">
        <v>5290</v>
      </c>
      <c r="AF4420" s="1" t="s">
        <v>49</v>
      </c>
      <c r="AG4420" s="1" t="s">
        <v>53</v>
      </c>
      <c r="AH4420" s="1" t="s">
        <v>49</v>
      </c>
      <c r="AI4420" s="1" t="s">
        <v>54</v>
      </c>
      <c r="AJ4420" s="1">
        <v>1</v>
      </c>
      <c r="AK4420" s="1" t="str">
        <f t="shared" si="69"/>
        <v xml:space="preserve"> =&lt;90</v>
      </c>
      <c r="AL4420" s="1" t="str">
        <f>VLOOKUP(C:C,[1]基础信息!B$1:D$65536,3,0)</f>
        <v>Jug</v>
      </c>
      <c r="AM4420" s="1" t="str">
        <f>VLOOKUP(C:C,[1]基础信息!B$1:E$65536,4,0)</f>
        <v>Marella XL</v>
      </c>
      <c r="AN4420" s="1" t="str">
        <f>VLOOKUP(C:C,[1]基础信息!B$1:F$65536,5,0)</f>
        <v xml:space="preserve"> silver</v>
      </c>
    </row>
    <row r="4421" spans="1:40">
      <c r="A4421" s="1" t="s">
        <v>41</v>
      </c>
      <c r="B4421" s="1" t="s">
        <v>42</v>
      </c>
      <c r="C4421" s="1" t="s">
        <v>8676</v>
      </c>
      <c r="D4421" s="1" t="s">
        <v>8677</v>
      </c>
      <c r="E4421" s="1" t="s">
        <v>45</v>
      </c>
      <c r="F4421" s="1" t="s">
        <v>9917</v>
      </c>
      <c r="G4421" s="1" t="s">
        <v>9955</v>
      </c>
      <c r="H4421" s="1" t="s">
        <v>45</v>
      </c>
      <c r="I4421" s="1" t="s">
        <v>45</v>
      </c>
      <c r="J4421" s="1" t="s">
        <v>48</v>
      </c>
      <c r="K4421" s="1">
        <v>80</v>
      </c>
      <c r="L4421" s="1">
        <v>0</v>
      </c>
      <c r="M4421" s="1">
        <v>0</v>
      </c>
      <c r="N4421" s="1">
        <v>80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 t="s">
        <v>49</v>
      </c>
      <c r="AA4421" s="1" t="s">
        <v>49</v>
      </c>
      <c r="AB4421" s="1" t="s">
        <v>49</v>
      </c>
      <c r="AC4421" s="1" t="s">
        <v>1330</v>
      </c>
      <c r="AD4421" s="1" t="s">
        <v>1331</v>
      </c>
      <c r="AE4421" s="1" t="s">
        <v>1330</v>
      </c>
      <c r="AF4421" s="1" t="s">
        <v>49</v>
      </c>
      <c r="AG4421" s="1" t="s">
        <v>53</v>
      </c>
      <c r="AH4421" s="1" t="s">
        <v>49</v>
      </c>
      <c r="AI4421" s="1" t="s">
        <v>54</v>
      </c>
      <c r="AJ4421" s="1">
        <v>1</v>
      </c>
      <c r="AK4421" s="1" t="str">
        <f t="shared" si="69"/>
        <v xml:space="preserve"> =&lt;90</v>
      </c>
      <c r="AL4421" s="1" t="str">
        <f>VLOOKUP(C:C,[1]基础信息!B$1:D$65536,3,0)</f>
        <v>Jug</v>
      </c>
      <c r="AM4421" s="1" t="str">
        <f>VLOOKUP(C:C,[1]基础信息!B$1:E$65536,4,0)</f>
        <v>Marella XL</v>
      </c>
      <c r="AN4421" s="1" t="str">
        <f>VLOOKUP(C:C,[1]基础信息!B$1:F$65536,5,0)</f>
        <v xml:space="preserve"> silver</v>
      </c>
    </row>
    <row r="4422" spans="1:40">
      <c r="A4422" s="1" t="s">
        <v>41</v>
      </c>
      <c r="B4422" s="1" t="s">
        <v>42</v>
      </c>
      <c r="C4422" s="1" t="s">
        <v>68</v>
      </c>
      <c r="D4422" s="1" t="s">
        <v>69</v>
      </c>
      <c r="E4422" s="1" t="s">
        <v>45</v>
      </c>
      <c r="F4422" s="1" t="s">
        <v>9919</v>
      </c>
      <c r="G4422" s="1" t="s">
        <v>9956</v>
      </c>
      <c r="H4422" s="1" t="s">
        <v>45</v>
      </c>
      <c r="I4422" s="1" t="s">
        <v>45</v>
      </c>
      <c r="J4422" s="1" t="s">
        <v>48</v>
      </c>
      <c r="K4422" s="1">
        <v>36</v>
      </c>
      <c r="L4422" s="1">
        <v>0</v>
      </c>
      <c r="M4422" s="1">
        <v>0</v>
      </c>
      <c r="N4422" s="1">
        <v>36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 t="s">
        <v>49</v>
      </c>
      <c r="AA4422" s="1" t="s">
        <v>49</v>
      </c>
      <c r="AB4422" s="1" t="s">
        <v>49</v>
      </c>
      <c r="AC4422" s="1" t="s">
        <v>2000</v>
      </c>
      <c r="AD4422" s="1" t="s">
        <v>2001</v>
      </c>
      <c r="AE4422" s="1" t="s">
        <v>2000</v>
      </c>
      <c r="AF4422" s="1" t="s">
        <v>8007</v>
      </c>
      <c r="AG4422" s="1" t="s">
        <v>53</v>
      </c>
      <c r="AH4422" s="1" t="s">
        <v>49</v>
      </c>
      <c r="AI4422" s="1" t="s">
        <v>54</v>
      </c>
      <c r="AJ4422" s="1">
        <v>1</v>
      </c>
      <c r="AK4422" s="1" t="str">
        <f t="shared" si="69"/>
        <v xml:space="preserve"> =&lt;90</v>
      </c>
      <c r="AL4422" s="1" t="str">
        <f>VLOOKUP(C:C,[1]基础信息!B$1:D$65536,3,0)</f>
        <v>Hotcup</v>
      </c>
      <c r="AM4422" s="1" t="str">
        <f>VLOOKUP(C:C,[1]基础信息!B$1:E$65536,4,0)</f>
        <v>Hotcup</v>
      </c>
      <c r="AN4422" s="1" t="str">
        <f>VLOOKUP(C:C,[1]基础信息!B$1:F$65536,5,0)</f>
        <v xml:space="preserve"> Whi</v>
      </c>
    </row>
    <row r="4423" spans="1:40">
      <c r="A4423" s="1" t="s">
        <v>41</v>
      </c>
      <c r="B4423" s="1" t="s">
        <v>42</v>
      </c>
      <c r="C4423" s="1" t="s">
        <v>68</v>
      </c>
      <c r="D4423" s="1" t="s">
        <v>69</v>
      </c>
      <c r="E4423" s="1" t="s">
        <v>45</v>
      </c>
      <c r="F4423" s="1" t="s">
        <v>9919</v>
      </c>
      <c r="G4423" s="1" t="s">
        <v>9957</v>
      </c>
      <c r="H4423" s="1" t="s">
        <v>45</v>
      </c>
      <c r="I4423" s="1" t="s">
        <v>45</v>
      </c>
      <c r="J4423" s="1" t="s">
        <v>48</v>
      </c>
      <c r="K4423" s="1">
        <v>36</v>
      </c>
      <c r="L4423" s="1">
        <v>0</v>
      </c>
      <c r="M4423" s="1">
        <v>0</v>
      </c>
      <c r="N4423" s="1">
        <v>36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 t="s">
        <v>49</v>
      </c>
      <c r="AA4423" s="1" t="s">
        <v>49</v>
      </c>
      <c r="AB4423" s="1" t="s">
        <v>49</v>
      </c>
      <c r="AC4423" s="1" t="s">
        <v>2000</v>
      </c>
      <c r="AD4423" s="1" t="s">
        <v>2001</v>
      </c>
      <c r="AE4423" s="1" t="s">
        <v>2000</v>
      </c>
      <c r="AF4423" s="1" t="s">
        <v>8007</v>
      </c>
      <c r="AG4423" s="1" t="s">
        <v>53</v>
      </c>
      <c r="AH4423" s="1" t="s">
        <v>49</v>
      </c>
      <c r="AI4423" s="1" t="s">
        <v>54</v>
      </c>
      <c r="AJ4423" s="1">
        <v>1</v>
      </c>
      <c r="AK4423" s="1" t="str">
        <f t="shared" si="69"/>
        <v xml:space="preserve"> =&lt;90</v>
      </c>
      <c r="AL4423" s="1" t="str">
        <f>VLOOKUP(C:C,[1]基础信息!B$1:D$65536,3,0)</f>
        <v>Hotcup</v>
      </c>
      <c r="AM4423" s="1" t="str">
        <f>VLOOKUP(C:C,[1]基础信息!B$1:E$65536,4,0)</f>
        <v>Hotcup</v>
      </c>
      <c r="AN4423" s="1" t="str">
        <f>VLOOKUP(C:C,[1]基础信息!B$1:F$65536,5,0)</f>
        <v xml:space="preserve"> Whi</v>
      </c>
    </row>
    <row r="4424" spans="1:40">
      <c r="A4424" s="1" t="s">
        <v>41</v>
      </c>
      <c r="B4424" s="1" t="s">
        <v>42</v>
      </c>
      <c r="C4424" s="1" t="s">
        <v>8676</v>
      </c>
      <c r="D4424" s="1" t="s">
        <v>8677</v>
      </c>
      <c r="E4424" s="1" t="s">
        <v>45</v>
      </c>
      <c r="F4424" s="1" t="s">
        <v>9863</v>
      </c>
      <c r="G4424" s="1" t="s">
        <v>9958</v>
      </c>
      <c r="H4424" s="1" t="s">
        <v>45</v>
      </c>
      <c r="I4424" s="1" t="s">
        <v>45</v>
      </c>
      <c r="J4424" s="1" t="s">
        <v>48</v>
      </c>
      <c r="K4424" s="1">
        <v>80</v>
      </c>
      <c r="L4424" s="1">
        <v>0</v>
      </c>
      <c r="M4424" s="1">
        <v>0</v>
      </c>
      <c r="N4424" s="1">
        <v>80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 t="s">
        <v>49</v>
      </c>
      <c r="AA4424" s="1" t="s">
        <v>49</v>
      </c>
      <c r="AB4424" s="1" t="s">
        <v>49</v>
      </c>
      <c r="AC4424" s="1" t="s">
        <v>5290</v>
      </c>
      <c r="AD4424" s="1" t="s">
        <v>9865</v>
      </c>
      <c r="AE4424" s="1" t="s">
        <v>5290</v>
      </c>
      <c r="AF4424" s="1" t="s">
        <v>49</v>
      </c>
      <c r="AG4424" s="1" t="s">
        <v>53</v>
      </c>
      <c r="AH4424" s="1" t="s">
        <v>49</v>
      </c>
      <c r="AI4424" s="1" t="s">
        <v>54</v>
      </c>
      <c r="AJ4424" s="1">
        <v>1</v>
      </c>
      <c r="AK4424" s="1" t="str">
        <f t="shared" si="69"/>
        <v xml:space="preserve"> =&lt;90</v>
      </c>
      <c r="AL4424" s="1" t="str">
        <f>VLOOKUP(C:C,[1]基础信息!B$1:D$65536,3,0)</f>
        <v>Jug</v>
      </c>
      <c r="AM4424" s="1" t="str">
        <f>VLOOKUP(C:C,[1]基础信息!B$1:E$65536,4,0)</f>
        <v>Marella XL</v>
      </c>
      <c r="AN4424" s="1" t="str">
        <f>VLOOKUP(C:C,[1]基础信息!B$1:F$65536,5,0)</f>
        <v xml:space="preserve"> silver</v>
      </c>
    </row>
    <row r="4425" spans="1:40">
      <c r="A4425" s="1" t="s">
        <v>41</v>
      </c>
      <c r="B4425" s="1" t="s">
        <v>42</v>
      </c>
      <c r="C4425" s="1" t="s">
        <v>8676</v>
      </c>
      <c r="D4425" s="1" t="s">
        <v>8677</v>
      </c>
      <c r="E4425" s="1" t="s">
        <v>45</v>
      </c>
      <c r="F4425" s="1" t="s">
        <v>9917</v>
      </c>
      <c r="G4425" s="1" t="s">
        <v>9959</v>
      </c>
      <c r="H4425" s="1" t="s">
        <v>45</v>
      </c>
      <c r="I4425" s="1" t="s">
        <v>45</v>
      </c>
      <c r="J4425" s="1" t="s">
        <v>48</v>
      </c>
      <c r="K4425" s="1">
        <v>80</v>
      </c>
      <c r="L4425" s="1">
        <v>0</v>
      </c>
      <c r="M4425" s="1">
        <v>0</v>
      </c>
      <c r="N4425" s="1">
        <v>80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 t="s">
        <v>49</v>
      </c>
      <c r="AA4425" s="1" t="s">
        <v>49</v>
      </c>
      <c r="AB4425" s="1" t="s">
        <v>49</v>
      </c>
      <c r="AC4425" s="1" t="s">
        <v>1330</v>
      </c>
      <c r="AD4425" s="1" t="s">
        <v>1331</v>
      </c>
      <c r="AE4425" s="1" t="s">
        <v>1330</v>
      </c>
      <c r="AF4425" s="1" t="s">
        <v>49</v>
      </c>
      <c r="AG4425" s="1" t="s">
        <v>53</v>
      </c>
      <c r="AH4425" s="1" t="s">
        <v>49</v>
      </c>
      <c r="AI4425" s="1" t="s">
        <v>54</v>
      </c>
      <c r="AJ4425" s="1">
        <v>1</v>
      </c>
      <c r="AK4425" s="1" t="str">
        <f t="shared" si="69"/>
        <v xml:space="preserve"> =&lt;90</v>
      </c>
      <c r="AL4425" s="1" t="str">
        <f>VLOOKUP(C:C,[1]基础信息!B$1:D$65536,3,0)</f>
        <v>Jug</v>
      </c>
      <c r="AM4425" s="1" t="str">
        <f>VLOOKUP(C:C,[1]基础信息!B$1:E$65536,4,0)</f>
        <v>Marella XL</v>
      </c>
      <c r="AN4425" s="1" t="str">
        <f>VLOOKUP(C:C,[1]基础信息!B$1:F$65536,5,0)</f>
        <v xml:space="preserve"> silver</v>
      </c>
    </row>
    <row r="4426" spans="1:40">
      <c r="A4426" s="1" t="s">
        <v>41</v>
      </c>
      <c r="B4426" s="1" t="s">
        <v>42</v>
      </c>
      <c r="C4426" s="1" t="s">
        <v>68</v>
      </c>
      <c r="D4426" s="1" t="s">
        <v>69</v>
      </c>
      <c r="E4426" s="1" t="s">
        <v>45</v>
      </c>
      <c r="F4426" s="1" t="s">
        <v>9919</v>
      </c>
      <c r="G4426" s="1" t="s">
        <v>9960</v>
      </c>
      <c r="H4426" s="1" t="s">
        <v>45</v>
      </c>
      <c r="I4426" s="1" t="s">
        <v>45</v>
      </c>
      <c r="J4426" s="1" t="s">
        <v>48</v>
      </c>
      <c r="K4426" s="1">
        <v>36</v>
      </c>
      <c r="L4426" s="1">
        <v>0</v>
      </c>
      <c r="M4426" s="1">
        <v>0</v>
      </c>
      <c r="N4426" s="1">
        <v>36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 t="s">
        <v>49</v>
      </c>
      <c r="AA4426" s="1" t="s">
        <v>49</v>
      </c>
      <c r="AB4426" s="1" t="s">
        <v>49</v>
      </c>
      <c r="AC4426" s="1" t="s">
        <v>2000</v>
      </c>
      <c r="AD4426" s="1" t="s">
        <v>2001</v>
      </c>
      <c r="AE4426" s="1" t="s">
        <v>2000</v>
      </c>
      <c r="AF4426" s="1" t="s">
        <v>8007</v>
      </c>
      <c r="AG4426" s="1" t="s">
        <v>53</v>
      </c>
      <c r="AH4426" s="1" t="s">
        <v>49</v>
      </c>
      <c r="AI4426" s="1" t="s">
        <v>54</v>
      </c>
      <c r="AJ4426" s="1">
        <v>1</v>
      </c>
      <c r="AK4426" s="1" t="str">
        <f t="shared" si="69"/>
        <v xml:space="preserve"> =&lt;90</v>
      </c>
      <c r="AL4426" s="1" t="str">
        <f>VLOOKUP(C:C,[1]基础信息!B$1:D$65536,3,0)</f>
        <v>Hotcup</v>
      </c>
      <c r="AM4426" s="1" t="str">
        <f>VLOOKUP(C:C,[1]基础信息!B$1:E$65536,4,0)</f>
        <v>Hotcup</v>
      </c>
      <c r="AN4426" s="1" t="str">
        <f>VLOOKUP(C:C,[1]基础信息!B$1:F$65536,5,0)</f>
        <v xml:space="preserve"> Whi</v>
      </c>
    </row>
    <row r="4427" spans="1:40">
      <c r="A4427" s="1" t="s">
        <v>41</v>
      </c>
      <c r="B4427" s="1" t="s">
        <v>42</v>
      </c>
      <c r="C4427" s="1" t="s">
        <v>8676</v>
      </c>
      <c r="D4427" s="1" t="s">
        <v>8677</v>
      </c>
      <c r="E4427" s="1" t="s">
        <v>45</v>
      </c>
      <c r="F4427" s="1" t="s">
        <v>9863</v>
      </c>
      <c r="G4427" s="1" t="s">
        <v>9961</v>
      </c>
      <c r="H4427" s="1" t="s">
        <v>45</v>
      </c>
      <c r="I4427" s="1" t="s">
        <v>45</v>
      </c>
      <c r="J4427" s="1" t="s">
        <v>48</v>
      </c>
      <c r="K4427" s="1">
        <v>80</v>
      </c>
      <c r="L4427" s="1">
        <v>0</v>
      </c>
      <c r="M4427" s="1">
        <v>0</v>
      </c>
      <c r="N4427" s="1">
        <v>80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 t="s">
        <v>49</v>
      </c>
      <c r="AA4427" s="1" t="s">
        <v>49</v>
      </c>
      <c r="AB4427" s="1" t="s">
        <v>49</v>
      </c>
      <c r="AC4427" s="1" t="s">
        <v>5290</v>
      </c>
      <c r="AD4427" s="1" t="s">
        <v>9865</v>
      </c>
      <c r="AE4427" s="1" t="s">
        <v>5290</v>
      </c>
      <c r="AF4427" s="1" t="s">
        <v>49</v>
      </c>
      <c r="AG4427" s="1" t="s">
        <v>53</v>
      </c>
      <c r="AH4427" s="1" t="s">
        <v>49</v>
      </c>
      <c r="AI4427" s="1" t="s">
        <v>54</v>
      </c>
      <c r="AJ4427" s="1">
        <v>1</v>
      </c>
      <c r="AK4427" s="1" t="str">
        <f t="shared" si="69"/>
        <v xml:space="preserve"> =&lt;90</v>
      </c>
      <c r="AL4427" s="1" t="str">
        <f>VLOOKUP(C:C,[1]基础信息!B$1:D$65536,3,0)</f>
        <v>Jug</v>
      </c>
      <c r="AM4427" s="1" t="str">
        <f>VLOOKUP(C:C,[1]基础信息!B$1:E$65536,4,0)</f>
        <v>Marella XL</v>
      </c>
      <c r="AN4427" s="1" t="str">
        <f>VLOOKUP(C:C,[1]基础信息!B$1:F$65536,5,0)</f>
        <v xml:space="preserve"> silver</v>
      </c>
    </row>
    <row r="4428" spans="1:40">
      <c r="A4428" s="1" t="s">
        <v>41</v>
      </c>
      <c r="B4428" s="1" t="s">
        <v>42</v>
      </c>
      <c r="C4428" s="1" t="s">
        <v>8676</v>
      </c>
      <c r="D4428" s="1" t="s">
        <v>8677</v>
      </c>
      <c r="E4428" s="1" t="s">
        <v>45</v>
      </c>
      <c r="F4428" s="1" t="s">
        <v>9917</v>
      </c>
      <c r="G4428" s="1" t="s">
        <v>9962</v>
      </c>
      <c r="H4428" s="1" t="s">
        <v>45</v>
      </c>
      <c r="I4428" s="1" t="s">
        <v>45</v>
      </c>
      <c r="J4428" s="1" t="s">
        <v>48</v>
      </c>
      <c r="K4428" s="1">
        <v>80</v>
      </c>
      <c r="L4428" s="1">
        <v>0</v>
      </c>
      <c r="M4428" s="1">
        <v>0</v>
      </c>
      <c r="N4428" s="1">
        <v>80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 t="s">
        <v>49</v>
      </c>
      <c r="AA4428" s="1" t="s">
        <v>49</v>
      </c>
      <c r="AB4428" s="1" t="s">
        <v>49</v>
      </c>
      <c r="AC4428" s="1" t="s">
        <v>1330</v>
      </c>
      <c r="AD4428" s="1" t="s">
        <v>1331</v>
      </c>
      <c r="AE4428" s="1" t="s">
        <v>1330</v>
      </c>
      <c r="AF4428" s="1" t="s">
        <v>49</v>
      </c>
      <c r="AG4428" s="1" t="s">
        <v>53</v>
      </c>
      <c r="AH4428" s="1" t="s">
        <v>49</v>
      </c>
      <c r="AI4428" s="1" t="s">
        <v>54</v>
      </c>
      <c r="AJ4428" s="1">
        <v>1</v>
      </c>
      <c r="AK4428" s="1" t="str">
        <f t="shared" si="69"/>
        <v xml:space="preserve"> =&lt;90</v>
      </c>
      <c r="AL4428" s="1" t="str">
        <f>VLOOKUP(C:C,[1]基础信息!B$1:D$65536,3,0)</f>
        <v>Jug</v>
      </c>
      <c r="AM4428" s="1" t="str">
        <f>VLOOKUP(C:C,[1]基础信息!B$1:E$65536,4,0)</f>
        <v>Marella XL</v>
      </c>
      <c r="AN4428" s="1" t="str">
        <f>VLOOKUP(C:C,[1]基础信息!B$1:F$65536,5,0)</f>
        <v xml:space="preserve"> silver</v>
      </c>
    </row>
    <row r="4429" spans="1:40">
      <c r="A4429" s="1" t="s">
        <v>41</v>
      </c>
      <c r="B4429" s="1" t="s">
        <v>42</v>
      </c>
      <c r="C4429" s="1" t="s">
        <v>68</v>
      </c>
      <c r="D4429" s="1" t="s">
        <v>69</v>
      </c>
      <c r="E4429" s="1" t="s">
        <v>45</v>
      </c>
      <c r="F4429" s="1" t="s">
        <v>9919</v>
      </c>
      <c r="G4429" s="1" t="s">
        <v>9963</v>
      </c>
      <c r="H4429" s="1" t="s">
        <v>45</v>
      </c>
      <c r="I4429" s="1" t="s">
        <v>45</v>
      </c>
      <c r="J4429" s="1" t="s">
        <v>48</v>
      </c>
      <c r="K4429" s="1">
        <v>36</v>
      </c>
      <c r="L4429" s="1">
        <v>0</v>
      </c>
      <c r="M4429" s="1">
        <v>0</v>
      </c>
      <c r="N4429" s="1">
        <v>36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 t="s">
        <v>49</v>
      </c>
      <c r="AA4429" s="1" t="s">
        <v>49</v>
      </c>
      <c r="AB4429" s="1" t="s">
        <v>49</v>
      </c>
      <c r="AC4429" s="1" t="s">
        <v>2000</v>
      </c>
      <c r="AD4429" s="1" t="s">
        <v>2001</v>
      </c>
      <c r="AE4429" s="1" t="s">
        <v>2000</v>
      </c>
      <c r="AF4429" s="1" t="s">
        <v>8007</v>
      </c>
      <c r="AG4429" s="1" t="s">
        <v>53</v>
      </c>
      <c r="AH4429" s="1" t="s">
        <v>49</v>
      </c>
      <c r="AI4429" s="1" t="s">
        <v>54</v>
      </c>
      <c r="AJ4429" s="1">
        <v>1</v>
      </c>
      <c r="AK4429" s="1" t="str">
        <f t="shared" si="69"/>
        <v xml:space="preserve"> =&lt;90</v>
      </c>
      <c r="AL4429" s="1" t="str">
        <f>VLOOKUP(C:C,[1]基础信息!B$1:D$65536,3,0)</f>
        <v>Hotcup</v>
      </c>
      <c r="AM4429" s="1" t="str">
        <f>VLOOKUP(C:C,[1]基础信息!B$1:E$65536,4,0)</f>
        <v>Hotcup</v>
      </c>
      <c r="AN4429" s="1" t="str">
        <f>VLOOKUP(C:C,[1]基础信息!B$1:F$65536,5,0)</f>
        <v xml:space="preserve"> Whi</v>
      </c>
    </row>
    <row r="4430" spans="1:40">
      <c r="A4430" s="1" t="s">
        <v>41</v>
      </c>
      <c r="B4430" s="1" t="s">
        <v>42</v>
      </c>
      <c r="C4430" s="1" t="s">
        <v>8676</v>
      </c>
      <c r="D4430" s="1" t="s">
        <v>8677</v>
      </c>
      <c r="E4430" s="1" t="s">
        <v>45</v>
      </c>
      <c r="F4430" s="1" t="s">
        <v>9863</v>
      </c>
      <c r="G4430" s="1" t="s">
        <v>9964</v>
      </c>
      <c r="H4430" s="1" t="s">
        <v>45</v>
      </c>
      <c r="I4430" s="1" t="s">
        <v>45</v>
      </c>
      <c r="J4430" s="1" t="s">
        <v>48</v>
      </c>
      <c r="K4430" s="1">
        <v>80</v>
      </c>
      <c r="L4430" s="1">
        <v>0</v>
      </c>
      <c r="M4430" s="1">
        <v>0</v>
      </c>
      <c r="N4430" s="1">
        <v>80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 t="s">
        <v>49</v>
      </c>
      <c r="AA4430" s="1" t="s">
        <v>49</v>
      </c>
      <c r="AB4430" s="1" t="s">
        <v>49</v>
      </c>
      <c r="AC4430" s="1" t="s">
        <v>5290</v>
      </c>
      <c r="AD4430" s="1" t="s">
        <v>9865</v>
      </c>
      <c r="AE4430" s="1" t="s">
        <v>5290</v>
      </c>
      <c r="AF4430" s="1" t="s">
        <v>49</v>
      </c>
      <c r="AG4430" s="1" t="s">
        <v>53</v>
      </c>
      <c r="AH4430" s="1" t="s">
        <v>49</v>
      </c>
      <c r="AI4430" s="1" t="s">
        <v>54</v>
      </c>
      <c r="AJ4430" s="1">
        <v>1</v>
      </c>
      <c r="AK4430" s="1" t="str">
        <f t="shared" si="69"/>
        <v xml:space="preserve"> =&lt;90</v>
      </c>
      <c r="AL4430" s="1" t="str">
        <f>VLOOKUP(C:C,[1]基础信息!B$1:D$65536,3,0)</f>
        <v>Jug</v>
      </c>
      <c r="AM4430" s="1" t="str">
        <f>VLOOKUP(C:C,[1]基础信息!B$1:E$65536,4,0)</f>
        <v>Marella XL</v>
      </c>
      <c r="AN4430" s="1" t="str">
        <f>VLOOKUP(C:C,[1]基础信息!B$1:F$65536,5,0)</f>
        <v xml:space="preserve"> silver</v>
      </c>
    </row>
    <row r="4431" spans="1:40">
      <c r="A4431" s="1" t="s">
        <v>41</v>
      </c>
      <c r="B4431" s="1" t="s">
        <v>42</v>
      </c>
      <c r="C4431" s="1" t="s">
        <v>8676</v>
      </c>
      <c r="D4431" s="1" t="s">
        <v>8677</v>
      </c>
      <c r="E4431" s="1" t="s">
        <v>45</v>
      </c>
      <c r="F4431" s="1" t="s">
        <v>9917</v>
      </c>
      <c r="G4431" s="1" t="s">
        <v>9965</v>
      </c>
      <c r="H4431" s="1" t="s">
        <v>45</v>
      </c>
      <c r="I4431" s="1" t="s">
        <v>45</v>
      </c>
      <c r="J4431" s="1" t="s">
        <v>48</v>
      </c>
      <c r="K4431" s="1">
        <v>80</v>
      </c>
      <c r="L4431" s="1">
        <v>0</v>
      </c>
      <c r="M4431" s="1">
        <v>0</v>
      </c>
      <c r="N4431" s="1">
        <v>80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 t="s">
        <v>49</v>
      </c>
      <c r="AA4431" s="1" t="s">
        <v>49</v>
      </c>
      <c r="AB4431" s="1" t="s">
        <v>49</v>
      </c>
      <c r="AC4431" s="1" t="s">
        <v>1330</v>
      </c>
      <c r="AD4431" s="1" t="s">
        <v>1331</v>
      </c>
      <c r="AE4431" s="1" t="s">
        <v>1330</v>
      </c>
      <c r="AF4431" s="1" t="s">
        <v>49</v>
      </c>
      <c r="AG4431" s="1" t="s">
        <v>53</v>
      </c>
      <c r="AH4431" s="1" t="s">
        <v>49</v>
      </c>
      <c r="AI4431" s="1" t="s">
        <v>54</v>
      </c>
      <c r="AJ4431" s="1">
        <v>1</v>
      </c>
      <c r="AK4431" s="1" t="str">
        <f t="shared" si="69"/>
        <v xml:space="preserve"> =&lt;90</v>
      </c>
      <c r="AL4431" s="1" t="str">
        <f>VLOOKUP(C:C,[1]基础信息!B$1:D$65536,3,0)</f>
        <v>Jug</v>
      </c>
      <c r="AM4431" s="1" t="str">
        <f>VLOOKUP(C:C,[1]基础信息!B$1:E$65536,4,0)</f>
        <v>Marella XL</v>
      </c>
      <c r="AN4431" s="1" t="str">
        <f>VLOOKUP(C:C,[1]基础信息!B$1:F$65536,5,0)</f>
        <v xml:space="preserve"> silver</v>
      </c>
    </row>
    <row r="4432" spans="1:40">
      <c r="A4432" s="1" t="s">
        <v>41</v>
      </c>
      <c r="B4432" s="1" t="s">
        <v>42</v>
      </c>
      <c r="C4432" s="1" t="s">
        <v>8676</v>
      </c>
      <c r="D4432" s="1" t="s">
        <v>8677</v>
      </c>
      <c r="E4432" s="1" t="s">
        <v>45</v>
      </c>
      <c r="F4432" s="1" t="s">
        <v>9863</v>
      </c>
      <c r="G4432" s="1" t="s">
        <v>9966</v>
      </c>
      <c r="H4432" s="1" t="s">
        <v>45</v>
      </c>
      <c r="I4432" s="1" t="s">
        <v>45</v>
      </c>
      <c r="J4432" s="1" t="s">
        <v>48</v>
      </c>
      <c r="K4432" s="1">
        <v>80</v>
      </c>
      <c r="L4432" s="1">
        <v>0</v>
      </c>
      <c r="M4432" s="1">
        <v>0</v>
      </c>
      <c r="N4432" s="1">
        <v>80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 t="s">
        <v>49</v>
      </c>
      <c r="AA4432" s="1" t="s">
        <v>49</v>
      </c>
      <c r="AB4432" s="1" t="s">
        <v>49</v>
      </c>
      <c r="AC4432" s="1" t="s">
        <v>5290</v>
      </c>
      <c r="AD4432" s="1" t="s">
        <v>9865</v>
      </c>
      <c r="AE4432" s="1" t="s">
        <v>5290</v>
      </c>
      <c r="AF4432" s="1" t="s">
        <v>49</v>
      </c>
      <c r="AG4432" s="1" t="s">
        <v>53</v>
      </c>
      <c r="AH4432" s="1" t="s">
        <v>49</v>
      </c>
      <c r="AI4432" s="1" t="s">
        <v>54</v>
      </c>
      <c r="AJ4432" s="1">
        <v>1</v>
      </c>
      <c r="AK4432" s="1" t="str">
        <f t="shared" si="69"/>
        <v xml:space="preserve"> =&lt;90</v>
      </c>
      <c r="AL4432" s="1" t="str">
        <f>VLOOKUP(C:C,[1]基础信息!B$1:D$65536,3,0)</f>
        <v>Jug</v>
      </c>
      <c r="AM4432" s="1" t="str">
        <f>VLOOKUP(C:C,[1]基础信息!B$1:E$65536,4,0)</f>
        <v>Marella XL</v>
      </c>
      <c r="AN4432" s="1" t="str">
        <f>VLOOKUP(C:C,[1]基础信息!B$1:F$65536,5,0)</f>
        <v xml:space="preserve"> silver</v>
      </c>
    </row>
    <row r="4433" spans="1:40">
      <c r="A4433" s="1" t="s">
        <v>41</v>
      </c>
      <c r="B4433" s="1" t="s">
        <v>42</v>
      </c>
      <c r="C4433" s="1" t="s">
        <v>8676</v>
      </c>
      <c r="D4433" s="1" t="s">
        <v>8677</v>
      </c>
      <c r="E4433" s="1" t="s">
        <v>45</v>
      </c>
      <c r="F4433" s="1" t="s">
        <v>9917</v>
      </c>
      <c r="G4433" s="1" t="s">
        <v>9967</v>
      </c>
      <c r="H4433" s="1" t="s">
        <v>45</v>
      </c>
      <c r="I4433" s="1" t="s">
        <v>45</v>
      </c>
      <c r="J4433" s="1" t="s">
        <v>48</v>
      </c>
      <c r="K4433" s="1">
        <v>80</v>
      </c>
      <c r="L4433" s="1">
        <v>0</v>
      </c>
      <c r="M4433" s="1">
        <v>0</v>
      </c>
      <c r="N4433" s="1">
        <v>80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 t="s">
        <v>49</v>
      </c>
      <c r="AA4433" s="1" t="s">
        <v>49</v>
      </c>
      <c r="AB4433" s="1" t="s">
        <v>49</v>
      </c>
      <c r="AC4433" s="1" t="s">
        <v>1330</v>
      </c>
      <c r="AD4433" s="1" t="s">
        <v>1331</v>
      </c>
      <c r="AE4433" s="1" t="s">
        <v>1330</v>
      </c>
      <c r="AF4433" s="1" t="s">
        <v>49</v>
      </c>
      <c r="AG4433" s="1" t="s">
        <v>53</v>
      </c>
      <c r="AH4433" s="1" t="s">
        <v>49</v>
      </c>
      <c r="AI4433" s="1" t="s">
        <v>54</v>
      </c>
      <c r="AJ4433" s="1">
        <v>1</v>
      </c>
      <c r="AK4433" s="1" t="str">
        <f t="shared" si="69"/>
        <v xml:space="preserve"> =&lt;90</v>
      </c>
      <c r="AL4433" s="1" t="str">
        <f>VLOOKUP(C:C,[1]基础信息!B$1:D$65536,3,0)</f>
        <v>Jug</v>
      </c>
      <c r="AM4433" s="1" t="str">
        <f>VLOOKUP(C:C,[1]基础信息!B$1:E$65536,4,0)</f>
        <v>Marella XL</v>
      </c>
      <c r="AN4433" s="1" t="str">
        <f>VLOOKUP(C:C,[1]基础信息!B$1:F$65536,5,0)</f>
        <v xml:space="preserve"> silver</v>
      </c>
    </row>
    <row r="4434" spans="1:40">
      <c r="A4434" s="1" t="s">
        <v>41</v>
      </c>
      <c r="B4434" s="1" t="s">
        <v>42</v>
      </c>
      <c r="C4434" s="1" t="s">
        <v>8676</v>
      </c>
      <c r="D4434" s="1" t="s">
        <v>8677</v>
      </c>
      <c r="E4434" s="1" t="s">
        <v>45</v>
      </c>
      <c r="F4434" s="1" t="s">
        <v>9863</v>
      </c>
      <c r="G4434" s="1" t="s">
        <v>9968</v>
      </c>
      <c r="H4434" s="1" t="s">
        <v>45</v>
      </c>
      <c r="I4434" s="1" t="s">
        <v>45</v>
      </c>
      <c r="J4434" s="1" t="s">
        <v>48</v>
      </c>
      <c r="K4434" s="1">
        <v>24</v>
      </c>
      <c r="L4434" s="1">
        <v>0</v>
      </c>
      <c r="M4434" s="1">
        <v>0</v>
      </c>
      <c r="N4434" s="1">
        <v>24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 t="s">
        <v>49</v>
      </c>
      <c r="AA4434" s="1" t="s">
        <v>49</v>
      </c>
      <c r="AB4434" s="1" t="s">
        <v>49</v>
      </c>
      <c r="AC4434" s="1" t="s">
        <v>5290</v>
      </c>
      <c r="AD4434" s="1" t="s">
        <v>9865</v>
      </c>
      <c r="AE4434" s="1" t="s">
        <v>5290</v>
      </c>
      <c r="AF4434" s="1" t="s">
        <v>49</v>
      </c>
      <c r="AG4434" s="1" t="s">
        <v>53</v>
      </c>
      <c r="AH4434" s="1" t="s">
        <v>49</v>
      </c>
      <c r="AI4434" s="1" t="s">
        <v>54</v>
      </c>
      <c r="AJ4434" s="1">
        <v>1</v>
      </c>
      <c r="AK4434" s="1" t="str">
        <f t="shared" si="69"/>
        <v xml:space="preserve"> =&lt;90</v>
      </c>
      <c r="AL4434" s="1" t="str">
        <f>VLOOKUP(C:C,[1]基础信息!B$1:D$65536,3,0)</f>
        <v>Jug</v>
      </c>
      <c r="AM4434" s="1" t="str">
        <f>VLOOKUP(C:C,[1]基础信息!B$1:E$65536,4,0)</f>
        <v>Marella XL</v>
      </c>
      <c r="AN4434" s="1" t="str">
        <f>VLOOKUP(C:C,[1]基础信息!B$1:F$65536,5,0)</f>
        <v xml:space="preserve"> silver</v>
      </c>
    </row>
    <row r="4435" spans="1:40">
      <c r="A4435" s="1" t="s">
        <v>41</v>
      </c>
      <c r="B4435" s="1" t="s">
        <v>42</v>
      </c>
      <c r="C4435" s="1" t="s">
        <v>9778</v>
      </c>
      <c r="D4435" s="1" t="s">
        <v>9779</v>
      </c>
      <c r="E4435" s="1" t="s">
        <v>45</v>
      </c>
      <c r="F4435" s="1" t="s">
        <v>9789</v>
      </c>
      <c r="G4435" s="1" t="s">
        <v>9969</v>
      </c>
      <c r="H4435" s="1" t="s">
        <v>45</v>
      </c>
      <c r="I4435" s="1" t="s">
        <v>45</v>
      </c>
      <c r="J4435" s="1" t="s">
        <v>48</v>
      </c>
      <c r="K4435" s="1">
        <v>80</v>
      </c>
      <c r="L4435" s="1">
        <v>0</v>
      </c>
      <c r="M4435" s="1">
        <v>0</v>
      </c>
      <c r="N4435" s="1">
        <v>80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 t="s">
        <v>49</v>
      </c>
      <c r="AA4435" s="1" t="s">
        <v>49</v>
      </c>
      <c r="AB4435" s="1" t="s">
        <v>49</v>
      </c>
      <c r="AC4435" s="1" t="s">
        <v>3462</v>
      </c>
      <c r="AD4435" s="1" t="s">
        <v>3463</v>
      </c>
      <c r="AE4435" s="1" t="s">
        <v>3462</v>
      </c>
      <c r="AF4435" s="1" t="s">
        <v>49</v>
      </c>
      <c r="AG4435" s="1" t="s">
        <v>53</v>
      </c>
      <c r="AH4435" s="1" t="s">
        <v>49</v>
      </c>
      <c r="AI4435" s="1" t="s">
        <v>54</v>
      </c>
      <c r="AJ4435" s="1">
        <v>1</v>
      </c>
      <c r="AK4435" s="1" t="str">
        <f t="shared" si="69"/>
        <v xml:space="preserve"> =&lt;90</v>
      </c>
      <c r="AL4435" s="1" t="str">
        <f>VLOOKUP(C:C,[1]基础信息!B$1:D$65536,3,0)</f>
        <v xml:space="preserve">Cartridge </v>
      </c>
      <c r="AM4435" s="1" t="str">
        <f>VLOOKUP(C:C,[1]基础信息!B$1:E$65536,4,0)</f>
        <v>LE</v>
      </c>
      <c r="AN4435" s="1" t="str">
        <f>VLOOKUP(C:C,[1]基础信息!B$1:F$65536,5,0)</f>
        <v>P12</v>
      </c>
    </row>
    <row r="4436" spans="1:40">
      <c r="A4436" s="1" t="s">
        <v>41</v>
      </c>
      <c r="B4436" s="1" t="s">
        <v>42</v>
      </c>
      <c r="C4436" s="1" t="s">
        <v>9778</v>
      </c>
      <c r="D4436" s="1" t="s">
        <v>9779</v>
      </c>
      <c r="E4436" s="1" t="s">
        <v>45</v>
      </c>
      <c r="F4436" s="1" t="s">
        <v>9789</v>
      </c>
      <c r="G4436" s="1" t="s">
        <v>9970</v>
      </c>
      <c r="H4436" s="1" t="s">
        <v>45</v>
      </c>
      <c r="I4436" s="1" t="s">
        <v>45</v>
      </c>
      <c r="J4436" s="1" t="s">
        <v>48</v>
      </c>
      <c r="K4436" s="1">
        <v>80</v>
      </c>
      <c r="L4436" s="1">
        <v>0</v>
      </c>
      <c r="M4436" s="1">
        <v>0</v>
      </c>
      <c r="N4436" s="1">
        <v>80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 t="s">
        <v>49</v>
      </c>
      <c r="AA4436" s="1" t="s">
        <v>49</v>
      </c>
      <c r="AB4436" s="1" t="s">
        <v>49</v>
      </c>
      <c r="AC4436" s="1" t="s">
        <v>3462</v>
      </c>
      <c r="AD4436" s="1" t="s">
        <v>3463</v>
      </c>
      <c r="AE4436" s="1" t="s">
        <v>3462</v>
      </c>
      <c r="AF4436" s="1" t="s">
        <v>49</v>
      </c>
      <c r="AG4436" s="1" t="s">
        <v>53</v>
      </c>
      <c r="AH4436" s="1" t="s">
        <v>49</v>
      </c>
      <c r="AI4436" s="1" t="s">
        <v>54</v>
      </c>
      <c r="AJ4436" s="1">
        <v>1</v>
      </c>
      <c r="AK4436" s="1" t="str">
        <f t="shared" si="69"/>
        <v xml:space="preserve"> =&lt;90</v>
      </c>
      <c r="AL4436" s="1" t="str">
        <f>VLOOKUP(C:C,[1]基础信息!B$1:D$65536,3,0)</f>
        <v xml:space="preserve">Cartridge </v>
      </c>
      <c r="AM4436" s="1" t="str">
        <f>VLOOKUP(C:C,[1]基础信息!B$1:E$65536,4,0)</f>
        <v>LE</v>
      </c>
      <c r="AN4436" s="1" t="str">
        <f>VLOOKUP(C:C,[1]基础信息!B$1:F$65536,5,0)</f>
        <v>P12</v>
      </c>
    </row>
    <row r="4437" spans="1:40">
      <c r="A4437" s="1" t="s">
        <v>41</v>
      </c>
      <c r="B4437" s="1" t="s">
        <v>42</v>
      </c>
      <c r="C4437" s="1" t="s">
        <v>9778</v>
      </c>
      <c r="D4437" s="1" t="s">
        <v>9779</v>
      </c>
      <c r="E4437" s="1" t="s">
        <v>45</v>
      </c>
      <c r="F4437" s="1" t="s">
        <v>9789</v>
      </c>
      <c r="G4437" s="1" t="s">
        <v>9971</v>
      </c>
      <c r="H4437" s="1" t="s">
        <v>45</v>
      </c>
      <c r="I4437" s="1" t="s">
        <v>45</v>
      </c>
      <c r="J4437" s="1" t="s">
        <v>48</v>
      </c>
      <c r="K4437" s="1">
        <v>80</v>
      </c>
      <c r="L4437" s="1">
        <v>0</v>
      </c>
      <c r="M4437" s="1">
        <v>0</v>
      </c>
      <c r="N4437" s="1">
        <v>80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 t="s">
        <v>49</v>
      </c>
      <c r="AA4437" s="1" t="s">
        <v>49</v>
      </c>
      <c r="AB4437" s="1" t="s">
        <v>49</v>
      </c>
      <c r="AC4437" s="1" t="s">
        <v>3462</v>
      </c>
      <c r="AD4437" s="1" t="s">
        <v>3463</v>
      </c>
      <c r="AE4437" s="1" t="s">
        <v>3462</v>
      </c>
      <c r="AF4437" s="1" t="s">
        <v>49</v>
      </c>
      <c r="AG4437" s="1" t="s">
        <v>53</v>
      </c>
      <c r="AH4437" s="1" t="s">
        <v>49</v>
      </c>
      <c r="AI4437" s="1" t="s">
        <v>54</v>
      </c>
      <c r="AJ4437" s="1">
        <v>1</v>
      </c>
      <c r="AK4437" s="1" t="str">
        <f t="shared" si="69"/>
        <v xml:space="preserve"> =&lt;90</v>
      </c>
      <c r="AL4437" s="1" t="str">
        <f>VLOOKUP(C:C,[1]基础信息!B$1:D$65536,3,0)</f>
        <v xml:space="preserve">Cartridge </v>
      </c>
      <c r="AM4437" s="1" t="str">
        <f>VLOOKUP(C:C,[1]基础信息!B$1:E$65536,4,0)</f>
        <v>LE</v>
      </c>
      <c r="AN4437" s="1" t="str">
        <f>VLOOKUP(C:C,[1]基础信息!B$1:F$65536,5,0)</f>
        <v>P12</v>
      </c>
    </row>
    <row r="4438" spans="1:40">
      <c r="A4438" s="1" t="s">
        <v>41</v>
      </c>
      <c r="B4438" s="1" t="s">
        <v>42</v>
      </c>
      <c r="C4438" s="1" t="s">
        <v>9972</v>
      </c>
      <c r="D4438" s="1" t="s">
        <v>9973</v>
      </c>
      <c r="E4438" s="1" t="s">
        <v>45</v>
      </c>
      <c r="F4438" s="1" t="s">
        <v>9974</v>
      </c>
      <c r="G4438" s="1" t="s">
        <v>9975</v>
      </c>
      <c r="H4438" s="1" t="s">
        <v>45</v>
      </c>
      <c r="I4438" s="1" t="s">
        <v>45</v>
      </c>
      <c r="J4438" s="1" t="s">
        <v>48</v>
      </c>
      <c r="K4438" s="1">
        <v>80</v>
      </c>
      <c r="L4438" s="1">
        <v>0</v>
      </c>
      <c r="M4438" s="1">
        <v>0</v>
      </c>
      <c r="N4438" s="1">
        <v>80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 t="s">
        <v>49</v>
      </c>
      <c r="AA4438" s="1" t="s">
        <v>49</v>
      </c>
      <c r="AB4438" s="1" t="s">
        <v>49</v>
      </c>
      <c r="AC4438" s="1" t="s">
        <v>1330</v>
      </c>
      <c r="AD4438" s="1" t="s">
        <v>1331</v>
      </c>
      <c r="AE4438" s="1" t="s">
        <v>1330</v>
      </c>
      <c r="AF4438" s="1" t="s">
        <v>49</v>
      </c>
      <c r="AG4438" s="1" t="s">
        <v>53</v>
      </c>
      <c r="AH4438" s="1" t="s">
        <v>49</v>
      </c>
      <c r="AI4438" s="1" t="s">
        <v>54</v>
      </c>
      <c r="AJ4438" s="1">
        <v>1</v>
      </c>
      <c r="AK4438" s="1" t="str">
        <f t="shared" si="69"/>
        <v xml:space="preserve"> =&lt;90</v>
      </c>
      <c r="AL4438" s="1" t="e">
        <f>VLOOKUP(C:C,[1]基础信息!B$1:D$65536,3,0)</f>
        <v>#N/A</v>
      </c>
      <c r="AM4438" s="1" t="e">
        <f>VLOOKUP(C:C,[1]基础信息!B$1:E$65536,4,0)</f>
        <v>#N/A</v>
      </c>
      <c r="AN4438" s="1" t="e">
        <f>VLOOKUP(C:C,[1]基础信息!B$1:F$65536,5,0)</f>
        <v>#N/A</v>
      </c>
    </row>
    <row r="4439" spans="1:40">
      <c r="A4439" s="1" t="s">
        <v>41</v>
      </c>
      <c r="B4439" s="1" t="s">
        <v>42</v>
      </c>
      <c r="C4439" s="1" t="s">
        <v>9976</v>
      </c>
      <c r="D4439" s="1" t="s">
        <v>9976</v>
      </c>
      <c r="E4439" s="1" t="s">
        <v>9976</v>
      </c>
      <c r="F4439" s="1" t="s">
        <v>9977</v>
      </c>
      <c r="G4439" s="1" t="s">
        <v>9978</v>
      </c>
      <c r="H4439" s="1" t="s">
        <v>9979</v>
      </c>
      <c r="I4439" s="1" t="s">
        <v>45</v>
      </c>
      <c r="J4439" s="1" t="s">
        <v>48</v>
      </c>
      <c r="K4439" s="1">
        <v>1</v>
      </c>
      <c r="L4439" s="1">
        <v>0</v>
      </c>
      <c r="M4439" s="1">
        <v>0</v>
      </c>
      <c r="N4439" s="1">
        <v>1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 t="s">
        <v>49</v>
      </c>
      <c r="AA4439" s="1" t="s">
        <v>49</v>
      </c>
      <c r="AB4439" s="1" t="s">
        <v>49</v>
      </c>
      <c r="AC4439" s="1" t="s">
        <v>9980</v>
      </c>
      <c r="AD4439" s="1" t="s">
        <v>9981</v>
      </c>
      <c r="AE4439" s="1" t="s">
        <v>9980</v>
      </c>
      <c r="AF4439" s="1" t="s">
        <v>49</v>
      </c>
      <c r="AG4439" s="1" t="s">
        <v>4662</v>
      </c>
      <c r="AH4439" s="1" t="s">
        <v>49</v>
      </c>
      <c r="AI4439" s="1" t="s">
        <v>54</v>
      </c>
      <c r="AJ4439" s="1">
        <v>1</v>
      </c>
      <c r="AK4439" s="1" t="str">
        <f t="shared" si="69"/>
        <v xml:space="preserve"> =&lt;90</v>
      </c>
      <c r="AL4439" s="1" t="str">
        <f>VLOOKUP(C:C,[1]基础信息!B$1:D$65536,3,0)</f>
        <v>mold</v>
      </c>
      <c r="AM4439" s="1" t="str">
        <f>VLOOKUP(C:C,[1]基础信息!B$1:E$65536,4,0)</f>
        <v>mold</v>
      </c>
      <c r="AN4439" s="1" t="str">
        <f>VLOOKUP(C:C,[1]基础信息!B$1:F$65536,5,0)</f>
        <v>mold</v>
      </c>
    </row>
    <row r="4440" spans="1:40">
      <c r="A4440" s="1" t="s">
        <v>41</v>
      </c>
      <c r="B4440" s="1" t="s">
        <v>42</v>
      </c>
      <c r="C4440" s="1" t="s">
        <v>9976</v>
      </c>
      <c r="D4440" s="1" t="s">
        <v>9976</v>
      </c>
      <c r="E4440" s="1" t="s">
        <v>9976</v>
      </c>
      <c r="F4440" s="1" t="s">
        <v>9977</v>
      </c>
      <c r="G4440" s="1" t="s">
        <v>9982</v>
      </c>
      <c r="H4440" s="1" t="s">
        <v>9983</v>
      </c>
      <c r="I4440" s="1" t="s">
        <v>45</v>
      </c>
      <c r="J4440" s="1" t="s">
        <v>48</v>
      </c>
      <c r="K4440" s="1">
        <v>1</v>
      </c>
      <c r="L4440" s="1">
        <v>0</v>
      </c>
      <c r="M4440" s="1">
        <v>0</v>
      </c>
      <c r="N4440" s="1">
        <v>1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 t="s">
        <v>49</v>
      </c>
      <c r="AA4440" s="1" t="s">
        <v>49</v>
      </c>
      <c r="AB4440" s="1" t="s">
        <v>49</v>
      </c>
      <c r="AC4440" s="1" t="s">
        <v>9980</v>
      </c>
      <c r="AD4440" s="1" t="s">
        <v>9981</v>
      </c>
      <c r="AE4440" s="1" t="s">
        <v>9980</v>
      </c>
      <c r="AF4440" s="1" t="s">
        <v>49</v>
      </c>
      <c r="AG4440" s="1" t="s">
        <v>4662</v>
      </c>
      <c r="AH4440" s="1" t="s">
        <v>49</v>
      </c>
      <c r="AI4440" s="1" t="s">
        <v>54</v>
      </c>
      <c r="AJ4440" s="1">
        <v>1</v>
      </c>
      <c r="AK4440" s="1" t="str">
        <f t="shared" si="69"/>
        <v xml:space="preserve"> =&lt;90</v>
      </c>
      <c r="AL4440" s="1" t="str">
        <f>VLOOKUP(C:C,[1]基础信息!B$1:D$65536,3,0)</f>
        <v>mold</v>
      </c>
      <c r="AM4440" s="1" t="str">
        <f>VLOOKUP(C:C,[1]基础信息!B$1:E$65536,4,0)</f>
        <v>mold</v>
      </c>
      <c r="AN4440" s="1" t="str">
        <f>VLOOKUP(C:C,[1]基础信息!B$1:F$65536,5,0)</f>
        <v>mold</v>
      </c>
    </row>
    <row r="4441" spans="1:40">
      <c r="A4441" s="1" t="s">
        <v>41</v>
      </c>
      <c r="B4441" s="1" t="s">
        <v>42</v>
      </c>
      <c r="C4441" s="1" t="s">
        <v>9976</v>
      </c>
      <c r="D4441" s="1" t="s">
        <v>9976</v>
      </c>
      <c r="E4441" s="1" t="s">
        <v>9976</v>
      </c>
      <c r="F4441" s="1" t="s">
        <v>9977</v>
      </c>
      <c r="G4441" s="1" t="s">
        <v>9984</v>
      </c>
      <c r="H4441" s="1" t="s">
        <v>9985</v>
      </c>
      <c r="I4441" s="1" t="s">
        <v>45</v>
      </c>
      <c r="J4441" s="1" t="s">
        <v>48</v>
      </c>
      <c r="K4441" s="1">
        <v>1</v>
      </c>
      <c r="L4441" s="1">
        <v>0</v>
      </c>
      <c r="M4441" s="1">
        <v>0</v>
      </c>
      <c r="N4441" s="1">
        <v>1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 t="s">
        <v>49</v>
      </c>
      <c r="AA4441" s="1" t="s">
        <v>49</v>
      </c>
      <c r="AB4441" s="1" t="s">
        <v>49</v>
      </c>
      <c r="AC4441" s="1" t="s">
        <v>9980</v>
      </c>
      <c r="AD4441" s="1" t="s">
        <v>9981</v>
      </c>
      <c r="AE4441" s="1" t="s">
        <v>9980</v>
      </c>
      <c r="AF4441" s="1" t="s">
        <v>49</v>
      </c>
      <c r="AG4441" s="1" t="s">
        <v>4662</v>
      </c>
      <c r="AH4441" s="1" t="s">
        <v>49</v>
      </c>
      <c r="AI4441" s="1" t="s">
        <v>54</v>
      </c>
      <c r="AJ4441" s="1">
        <v>0</v>
      </c>
      <c r="AK4441" s="1" t="str">
        <f t="shared" si="69"/>
        <v xml:space="preserve"> =&lt;90</v>
      </c>
      <c r="AL4441" s="1" t="str">
        <f>VLOOKUP(C:C,[1]基础信息!B$1:D$65536,3,0)</f>
        <v>mold</v>
      </c>
      <c r="AM4441" s="1" t="str">
        <f>VLOOKUP(C:C,[1]基础信息!B$1:E$65536,4,0)</f>
        <v>mold</v>
      </c>
      <c r="AN4441" s="1" t="str">
        <f>VLOOKUP(C:C,[1]基础信息!B$1:F$65536,5,0)</f>
        <v>mold</v>
      </c>
    </row>
    <row r="4442" spans="1:40">
      <c r="A4442" s="1" t="s">
        <v>41</v>
      </c>
      <c r="B4442" s="1" t="s">
        <v>42</v>
      </c>
      <c r="C4442" s="1" t="s">
        <v>9976</v>
      </c>
      <c r="D4442" s="1" t="s">
        <v>9976</v>
      </c>
      <c r="E4442" s="1" t="s">
        <v>9976</v>
      </c>
      <c r="F4442" s="1" t="s">
        <v>9977</v>
      </c>
      <c r="G4442" s="1" t="s">
        <v>9984</v>
      </c>
      <c r="H4442" s="1" t="s">
        <v>9986</v>
      </c>
      <c r="I4442" s="1" t="s">
        <v>45</v>
      </c>
      <c r="J4442" s="1" t="s">
        <v>48</v>
      </c>
      <c r="K4442" s="1">
        <v>1</v>
      </c>
      <c r="L4442" s="1">
        <v>0</v>
      </c>
      <c r="M4442" s="1">
        <v>0</v>
      </c>
      <c r="N4442" s="1">
        <v>1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 t="s">
        <v>49</v>
      </c>
      <c r="AA4442" s="1" t="s">
        <v>49</v>
      </c>
      <c r="AB4442" s="1" t="s">
        <v>49</v>
      </c>
      <c r="AC4442" s="1" t="s">
        <v>9980</v>
      </c>
      <c r="AD4442" s="1" t="s">
        <v>9981</v>
      </c>
      <c r="AE4442" s="1" t="s">
        <v>9980</v>
      </c>
      <c r="AF4442" s="1" t="s">
        <v>49</v>
      </c>
      <c r="AG4442" s="1" t="s">
        <v>4662</v>
      </c>
      <c r="AH4442" s="1" t="s">
        <v>49</v>
      </c>
      <c r="AI4442" s="1" t="s">
        <v>54</v>
      </c>
      <c r="AJ4442" s="1">
        <v>1</v>
      </c>
      <c r="AK4442" s="1" t="str">
        <f t="shared" si="69"/>
        <v xml:space="preserve"> =&lt;90</v>
      </c>
      <c r="AL4442" s="1" t="str">
        <f>VLOOKUP(C:C,[1]基础信息!B$1:D$65536,3,0)</f>
        <v>mold</v>
      </c>
      <c r="AM4442" s="1" t="str">
        <f>VLOOKUP(C:C,[1]基础信息!B$1:E$65536,4,0)</f>
        <v>mold</v>
      </c>
      <c r="AN4442" s="1" t="str">
        <f>VLOOKUP(C:C,[1]基础信息!B$1:F$65536,5,0)</f>
        <v>mold</v>
      </c>
    </row>
    <row r="4443" spans="1:40">
      <c r="A4443" s="1" t="s">
        <v>41</v>
      </c>
      <c r="B4443" s="1" t="s">
        <v>42</v>
      </c>
      <c r="C4443" s="1" t="s">
        <v>9976</v>
      </c>
      <c r="D4443" s="1" t="s">
        <v>9976</v>
      </c>
      <c r="E4443" s="1" t="s">
        <v>9976</v>
      </c>
      <c r="F4443" s="1" t="s">
        <v>9977</v>
      </c>
      <c r="G4443" s="1" t="s">
        <v>9987</v>
      </c>
      <c r="H4443" s="1" t="s">
        <v>9988</v>
      </c>
      <c r="I4443" s="1" t="s">
        <v>45</v>
      </c>
      <c r="J4443" s="1" t="s">
        <v>48</v>
      </c>
      <c r="K4443" s="1">
        <v>1</v>
      </c>
      <c r="L4443" s="1">
        <v>0</v>
      </c>
      <c r="M4443" s="1">
        <v>0</v>
      </c>
      <c r="N4443" s="1">
        <v>1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 t="s">
        <v>49</v>
      </c>
      <c r="AA4443" s="1" t="s">
        <v>49</v>
      </c>
      <c r="AB4443" s="1" t="s">
        <v>49</v>
      </c>
      <c r="AC4443" s="1" t="s">
        <v>9980</v>
      </c>
      <c r="AD4443" s="1" t="s">
        <v>9981</v>
      </c>
      <c r="AE4443" s="1" t="s">
        <v>9980</v>
      </c>
      <c r="AF4443" s="1" t="s">
        <v>49</v>
      </c>
      <c r="AG4443" s="1" t="s">
        <v>4662</v>
      </c>
      <c r="AH4443" s="1" t="s">
        <v>49</v>
      </c>
      <c r="AI4443" s="1" t="s">
        <v>54</v>
      </c>
      <c r="AJ4443" s="1">
        <v>1</v>
      </c>
      <c r="AK4443" s="1" t="str">
        <f t="shared" ref="AK4443:AK4487" si="70">IF(AJ4443&gt;$AP$2,$AQ$2,IF(AJ4443&gt;$AP$3,$AQ$3,IF(AJ4443&gt;$AP$4,$AQ$4,$AQ$5)))</f>
        <v xml:space="preserve"> =&lt;90</v>
      </c>
      <c r="AL4443" s="1" t="str">
        <f>VLOOKUP(C:C,[1]基础信息!B$1:D$65536,3,0)</f>
        <v>mold</v>
      </c>
      <c r="AM4443" s="1" t="str">
        <f>VLOOKUP(C:C,[1]基础信息!B$1:E$65536,4,0)</f>
        <v>mold</v>
      </c>
      <c r="AN4443" s="1" t="str">
        <f>VLOOKUP(C:C,[1]基础信息!B$1:F$65536,5,0)</f>
        <v>mold</v>
      </c>
    </row>
    <row r="4444" spans="1:40">
      <c r="A4444" s="1" t="s">
        <v>41</v>
      </c>
      <c r="B4444" s="1" t="s">
        <v>42</v>
      </c>
      <c r="C4444" s="1" t="s">
        <v>9976</v>
      </c>
      <c r="D4444" s="1" t="s">
        <v>9976</v>
      </c>
      <c r="E4444" s="1" t="s">
        <v>9976</v>
      </c>
      <c r="F4444" s="1" t="s">
        <v>9989</v>
      </c>
      <c r="G4444" s="1" t="s">
        <v>9990</v>
      </c>
      <c r="H4444" s="1" t="s">
        <v>9991</v>
      </c>
      <c r="I4444" s="1" t="s">
        <v>45</v>
      </c>
      <c r="J4444" s="1" t="s">
        <v>48</v>
      </c>
      <c r="K4444" s="1">
        <v>1</v>
      </c>
      <c r="L4444" s="1">
        <v>0</v>
      </c>
      <c r="M4444" s="1">
        <v>0</v>
      </c>
      <c r="N4444" s="1">
        <v>1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 t="s">
        <v>49</v>
      </c>
      <c r="AA4444" s="1" t="s">
        <v>49</v>
      </c>
      <c r="AB4444" s="1" t="s">
        <v>49</v>
      </c>
      <c r="AC4444" s="1" t="s">
        <v>9992</v>
      </c>
      <c r="AD4444" s="1" t="s">
        <v>9993</v>
      </c>
      <c r="AE4444" s="1" t="s">
        <v>9992</v>
      </c>
      <c r="AF4444" s="1" t="s">
        <v>49</v>
      </c>
      <c r="AG4444" s="1" t="s">
        <v>4662</v>
      </c>
      <c r="AH4444" s="1" t="s">
        <v>49</v>
      </c>
      <c r="AI4444" s="1" t="s">
        <v>54</v>
      </c>
      <c r="AJ4444" s="1">
        <v>1</v>
      </c>
      <c r="AK4444" s="1" t="str">
        <f t="shared" si="70"/>
        <v xml:space="preserve"> =&lt;90</v>
      </c>
      <c r="AL4444" s="1" t="str">
        <f>VLOOKUP(C:C,[1]基础信息!B$1:D$65536,3,0)</f>
        <v>mold</v>
      </c>
      <c r="AM4444" s="1" t="str">
        <f>VLOOKUP(C:C,[1]基础信息!B$1:E$65536,4,0)</f>
        <v>mold</v>
      </c>
      <c r="AN4444" s="1" t="str">
        <f>VLOOKUP(C:C,[1]基础信息!B$1:F$65536,5,0)</f>
        <v>mold</v>
      </c>
    </row>
    <row r="4445" spans="1:40">
      <c r="AD4445" s="1"/>
    </row>
    <row r="4446" spans="1:40">
      <c r="AD4446" s="1"/>
    </row>
    <row r="4447" spans="1:40">
      <c r="AD4447" s="1"/>
    </row>
    <row r="4448" spans="1:40">
      <c r="AD4448" s="1"/>
    </row>
    <row r="4449" spans="30:30">
      <c r="AD4449" s="1"/>
    </row>
    <row r="4450" spans="30:30">
      <c r="AD4450" s="1"/>
    </row>
    <row r="4451" spans="30:30">
      <c r="AD4451" s="1"/>
    </row>
    <row r="4452" spans="30:30">
      <c r="AD4452" s="1"/>
    </row>
    <row r="4453" spans="30:30">
      <c r="AD4453" s="1"/>
    </row>
    <row r="4454" spans="30:30">
      <c r="AD4454" s="1"/>
    </row>
    <row r="4455" spans="30:30">
      <c r="AD4455" s="1"/>
    </row>
    <row r="4456" spans="30:30">
      <c r="AD4456" s="1"/>
    </row>
    <row r="4457" spans="30:30">
      <c r="AD4457" s="1"/>
    </row>
    <row r="4458" spans="30:30">
      <c r="AD4458" s="1"/>
    </row>
    <row r="4459" spans="30:30">
      <c r="AD4459" s="1"/>
    </row>
    <row r="4460" spans="30:30">
      <c r="AD4460" s="1"/>
    </row>
    <row r="4461" spans="30:30">
      <c r="AD4461" s="1"/>
    </row>
    <row r="4462" spans="30:30">
      <c r="AD4462" s="1"/>
    </row>
    <row r="4463" spans="30:30">
      <c r="AD4463" s="1"/>
    </row>
    <row r="4464" spans="30:30">
      <c r="AD4464" s="1"/>
    </row>
    <row r="4465" spans="30:30">
      <c r="AD4465" s="1"/>
    </row>
    <row r="4466" spans="30:30">
      <c r="AD4466" s="1"/>
    </row>
    <row r="4467" spans="30:30">
      <c r="AD4467" s="1"/>
    </row>
    <row r="4468" spans="30:30">
      <c r="AD4468" s="1"/>
    </row>
    <row r="4469" spans="30:30">
      <c r="AD4469" s="1"/>
    </row>
    <row r="4470" spans="30:30">
      <c r="AD4470" s="1"/>
    </row>
    <row r="4471" spans="30:30">
      <c r="AD4471" s="1"/>
    </row>
    <row r="4472" spans="30:30">
      <c r="AD4472" s="1"/>
    </row>
    <row r="4473" spans="30:30">
      <c r="AD4473" s="1"/>
    </row>
    <row r="4474" spans="30:30">
      <c r="AD4474" s="1"/>
    </row>
    <row r="4475" spans="30:30">
      <c r="AD4475" s="1"/>
    </row>
    <row r="4476" spans="30:30">
      <c r="AD4476" s="1"/>
    </row>
    <row r="4477" spans="30:30">
      <c r="AD4477" s="1"/>
    </row>
    <row r="4478" spans="30:30">
      <c r="AD4478" s="1"/>
    </row>
    <row r="4479" spans="30:30">
      <c r="AD4479" s="1"/>
    </row>
    <row r="4480" spans="30:30">
      <c r="AD4480" s="1"/>
    </row>
    <row r="4481" spans="30:30">
      <c r="AD4481" s="1"/>
    </row>
    <row r="4482" spans="30:30">
      <c r="AD4482" s="1"/>
    </row>
    <row r="4483" spans="30:30">
      <c r="AD4483" s="1"/>
    </row>
    <row r="4484" spans="30:30">
      <c r="AD4484" s="1"/>
    </row>
    <row r="4485" spans="30:30">
      <c r="AD4485" s="1"/>
    </row>
    <row r="4486" spans="30:30">
      <c r="AD4486" s="1"/>
    </row>
    <row r="4487" spans="30:30">
      <c r="AD4487" s="1"/>
    </row>
    <row r="4488" spans="30:30">
      <c r="AD4488" s="1"/>
    </row>
    <row r="4489" spans="30:30">
      <c r="AD4489" s="1"/>
    </row>
    <row r="4490" spans="30:30">
      <c r="AD4490" s="1"/>
    </row>
    <row r="4491" spans="30:30">
      <c r="AD4491" s="1"/>
    </row>
    <row r="4492" spans="30:30">
      <c r="AD4492" s="1"/>
    </row>
    <row r="4493" spans="30:30">
      <c r="AD4493" s="1"/>
    </row>
    <row r="4494" spans="30:30">
      <c r="AD4494" s="1"/>
    </row>
    <row r="4495" spans="30:30">
      <c r="AD4495" s="1"/>
    </row>
    <row r="4496" spans="30:30">
      <c r="AD4496" s="1"/>
    </row>
    <row r="4497" spans="30:30">
      <c r="AD4497" s="1"/>
    </row>
    <row r="4498" spans="30:30">
      <c r="AD4498" s="1"/>
    </row>
    <row r="4499" spans="30:30">
      <c r="AD4499" s="1"/>
    </row>
    <row r="4500" spans="30:30">
      <c r="AD4500" s="1"/>
    </row>
    <row r="4501" spans="30:30">
      <c r="AD4501" s="1"/>
    </row>
    <row r="4502" spans="30:30">
      <c r="AD4502" s="1"/>
    </row>
    <row r="4503" spans="30:30">
      <c r="AD4503" s="1"/>
    </row>
    <row r="4504" spans="30:30">
      <c r="AD4504" s="1"/>
    </row>
    <row r="4505" spans="30:30">
      <c r="AD4505" s="1"/>
    </row>
    <row r="4506" spans="30:30">
      <c r="AD4506" s="1"/>
    </row>
    <row r="4507" spans="30:30">
      <c r="AD4507" s="1"/>
    </row>
    <row r="4508" spans="30:30">
      <c r="AD4508" s="1"/>
    </row>
    <row r="4509" spans="30:30">
      <c r="AD4509" s="1"/>
    </row>
    <row r="4510" spans="30:30">
      <c r="AD4510" s="1"/>
    </row>
    <row r="4511" spans="30:30">
      <c r="AD4511" s="1"/>
    </row>
    <row r="4512" spans="30:30">
      <c r="AD4512" s="1"/>
    </row>
    <row r="4513" spans="30:30">
      <c r="AD4513" s="1"/>
    </row>
    <row r="4514" spans="30:30">
      <c r="AD4514" s="1"/>
    </row>
    <row r="4515" spans="30:30">
      <c r="AD4515" s="1"/>
    </row>
    <row r="4516" spans="30:30">
      <c r="AD4516" s="1"/>
    </row>
    <row r="4517" spans="30:30">
      <c r="AD4517" s="1"/>
    </row>
    <row r="4518" spans="30:30">
      <c r="AD4518" s="1"/>
    </row>
    <row r="4519" spans="30:30">
      <c r="AD4519" s="1"/>
    </row>
    <row r="4520" spans="30:30">
      <c r="AD4520" s="1"/>
    </row>
    <row r="4521" spans="30:30">
      <c r="AD4521" s="1"/>
    </row>
    <row r="4522" spans="30:30">
      <c r="AD4522" s="1"/>
    </row>
    <row r="4523" spans="30:30">
      <c r="AD4523" s="1"/>
    </row>
    <row r="4524" spans="30:30">
      <c r="AD4524" s="1"/>
    </row>
    <row r="4525" spans="30:30">
      <c r="AD4525" s="1"/>
    </row>
    <row r="4526" spans="30:30">
      <c r="AD4526" s="1"/>
    </row>
    <row r="4527" spans="30:30">
      <c r="AD4527" s="1"/>
    </row>
    <row r="4528" spans="30:30">
      <c r="AD4528" s="1"/>
    </row>
    <row r="4529" spans="30:30">
      <c r="AD4529" s="1"/>
    </row>
    <row r="4530" spans="30:30">
      <c r="AD4530" s="1"/>
    </row>
    <row r="4531" spans="30:30">
      <c r="AD4531" s="1"/>
    </row>
    <row r="4532" spans="30:30">
      <c r="AD4532" s="1"/>
    </row>
    <row r="4533" spans="30:30">
      <c r="AD4533" s="1"/>
    </row>
    <row r="4534" spans="30:30">
      <c r="AD4534" s="1"/>
    </row>
    <row r="4535" spans="30:30">
      <c r="AD4535" s="1"/>
    </row>
    <row r="4536" spans="30:30">
      <c r="AD4536" s="1"/>
    </row>
    <row r="4537" spans="30:30">
      <c r="AD4537" s="1"/>
    </row>
    <row r="4538" spans="30:30">
      <c r="AD4538" s="1"/>
    </row>
    <row r="4539" spans="30:30">
      <c r="AD4539" s="1"/>
    </row>
    <row r="4540" spans="30:30">
      <c r="AD4540" s="1"/>
    </row>
    <row r="4541" spans="30:30">
      <c r="AD4541" s="1"/>
    </row>
    <row r="4542" spans="30:30">
      <c r="AD4542" s="1"/>
    </row>
    <row r="4543" spans="30:30">
      <c r="AD4543" s="1"/>
    </row>
    <row r="4544" spans="30:30">
      <c r="AD4544" s="1"/>
    </row>
    <row r="4545" spans="30:30">
      <c r="AD4545" s="1"/>
    </row>
    <row r="4546" spans="30:30">
      <c r="AD4546" s="1"/>
    </row>
    <row r="4547" spans="30:30">
      <c r="AD4547" s="1"/>
    </row>
    <row r="4548" spans="30:30">
      <c r="AD4548" s="1"/>
    </row>
    <row r="4549" spans="30:30">
      <c r="AD4549" s="1"/>
    </row>
    <row r="4550" spans="30:30">
      <c r="AD4550" s="1"/>
    </row>
    <row r="4551" spans="30:30">
      <c r="AD4551" s="1"/>
    </row>
    <row r="4552" spans="30:30">
      <c r="AD4552" s="1"/>
    </row>
    <row r="4553" spans="30:30">
      <c r="AD4553" s="1"/>
    </row>
    <row r="4554" spans="30:30">
      <c r="AD4554" s="1"/>
    </row>
    <row r="4555" spans="30:30">
      <c r="AD4555" s="1"/>
    </row>
    <row r="4556" spans="30:30">
      <c r="AD4556" s="1"/>
    </row>
    <row r="4557" spans="30:30">
      <c r="AD4557" s="1"/>
    </row>
    <row r="4558" spans="30:30">
      <c r="AD4558" s="1"/>
    </row>
    <row r="4559" spans="30:30">
      <c r="AD4559" s="1"/>
    </row>
    <row r="4560" spans="30:30">
      <c r="AD4560" s="1"/>
    </row>
    <row r="4561" spans="30:30">
      <c r="AD4561" s="1"/>
    </row>
    <row r="4562" spans="30:30">
      <c r="AD4562" s="1"/>
    </row>
    <row r="4563" spans="30:30">
      <c r="AD4563" s="1"/>
    </row>
    <row r="4564" spans="30:30">
      <c r="AD4564" s="1"/>
    </row>
    <row r="4565" spans="30:30">
      <c r="AD4565" s="1"/>
    </row>
    <row r="4566" spans="30:30">
      <c r="AD4566" s="1"/>
    </row>
    <row r="4567" spans="30:30">
      <c r="AD4567" s="1"/>
    </row>
    <row r="4568" spans="30:30">
      <c r="AD4568" s="1"/>
    </row>
    <row r="4569" spans="30:30">
      <c r="AD4569" s="1"/>
    </row>
    <row r="4570" spans="30:30">
      <c r="AD4570" s="1"/>
    </row>
    <row r="4571" spans="30:30">
      <c r="AD4571" s="1"/>
    </row>
    <row r="4572" spans="30:30">
      <c r="AD4572" s="1"/>
    </row>
    <row r="4573" spans="30:30">
      <c r="AD4573" s="1"/>
    </row>
    <row r="4574" spans="30:30">
      <c r="AD4574" s="1"/>
    </row>
    <row r="4575" spans="30:30">
      <c r="AD4575" s="1"/>
    </row>
    <row r="4576" spans="30:30">
      <c r="AD4576" s="1"/>
    </row>
    <row r="4577" spans="30:30">
      <c r="AD4577" s="1"/>
    </row>
    <row r="4578" spans="30:30">
      <c r="AD4578" s="1"/>
    </row>
    <row r="4579" spans="30:30">
      <c r="AD4579" s="1"/>
    </row>
    <row r="4580" spans="30:30">
      <c r="AD4580" s="1"/>
    </row>
    <row r="4581" spans="30:30">
      <c r="AD4581" s="1"/>
    </row>
    <row r="4582" spans="30:30">
      <c r="AD4582" s="1"/>
    </row>
    <row r="4583" spans="30:30">
      <c r="AD4583" s="1"/>
    </row>
    <row r="4584" spans="30:30">
      <c r="AD4584" s="1"/>
    </row>
    <row r="4585" spans="30:30">
      <c r="AD4585" s="1"/>
    </row>
    <row r="4586" spans="30:30">
      <c r="AD4586" s="1"/>
    </row>
    <row r="4587" spans="30:30">
      <c r="AD4587" s="1"/>
    </row>
    <row r="4588" spans="30:30">
      <c r="AD4588" s="1"/>
    </row>
    <row r="4589" spans="30:30">
      <c r="AD4589" s="1"/>
    </row>
    <row r="4590" spans="30:30">
      <c r="AD4590" s="1"/>
    </row>
    <row r="4591" spans="30:30">
      <c r="AD4591" s="1"/>
    </row>
    <row r="4592" spans="30:30">
      <c r="AD4592" s="1"/>
    </row>
    <row r="4593" spans="30:30">
      <c r="AD4593" s="1"/>
    </row>
    <row r="4594" spans="30:30">
      <c r="AD4594" s="1"/>
    </row>
    <row r="4595" spans="30:30">
      <c r="AD4595" s="1"/>
    </row>
    <row r="4596" spans="30:30">
      <c r="AD4596" s="1"/>
    </row>
    <row r="4597" spans="30:30">
      <c r="AD4597" s="1"/>
    </row>
    <row r="4598" spans="30:30">
      <c r="AD4598" s="1"/>
    </row>
    <row r="4599" spans="30:30">
      <c r="AD4599" s="1"/>
    </row>
    <row r="4600" spans="30:30">
      <c r="AD4600" s="1"/>
    </row>
    <row r="4601" spans="30:30">
      <c r="AD4601" s="1"/>
    </row>
    <row r="4602" spans="30:30">
      <c r="AD4602" s="1"/>
    </row>
    <row r="4603" spans="30:30">
      <c r="AD4603" s="1"/>
    </row>
    <row r="4604" spans="30:30">
      <c r="AD4604" s="1"/>
    </row>
    <row r="4605" spans="30:30">
      <c r="AD4605" s="1"/>
    </row>
    <row r="4606" spans="30:30">
      <c r="AD4606" s="1"/>
    </row>
    <row r="4607" spans="30:30">
      <c r="AD4607" s="1"/>
    </row>
    <row r="4608" spans="30:30">
      <c r="AD4608" s="1"/>
    </row>
    <row r="4609" spans="30:30">
      <c r="AD4609" s="1"/>
    </row>
    <row r="4610" spans="30:30">
      <c r="AD4610" s="1"/>
    </row>
    <row r="4611" spans="30:30">
      <c r="AD4611" s="1"/>
    </row>
    <row r="4612" spans="30:30">
      <c r="AD4612" s="1"/>
    </row>
    <row r="4613" spans="30:30">
      <c r="AD4613" s="1"/>
    </row>
    <row r="4614" spans="30:30">
      <c r="AD4614" s="1"/>
    </row>
    <row r="4615" spans="30:30">
      <c r="AD4615" s="1"/>
    </row>
    <row r="4616" spans="30:30">
      <c r="AD4616" s="1"/>
    </row>
    <row r="4617" spans="30:30">
      <c r="AD4617" s="1"/>
    </row>
    <row r="4618" spans="30:30">
      <c r="AD4618" s="1"/>
    </row>
    <row r="4619" spans="30:30">
      <c r="AD4619" s="1"/>
    </row>
    <row r="4620" spans="30:30">
      <c r="AD4620" s="1"/>
    </row>
    <row r="4621" spans="30:30">
      <c r="AD4621" s="1"/>
    </row>
    <row r="4622" spans="30:30">
      <c r="AD4622" s="1"/>
    </row>
    <row r="4623" spans="30:30">
      <c r="AD4623" s="1"/>
    </row>
    <row r="4624" spans="30:30">
      <c r="AD4624" s="1"/>
    </row>
    <row r="4625" spans="30:30">
      <c r="AD4625" s="1"/>
    </row>
    <row r="4626" spans="30:30">
      <c r="AD4626" s="1"/>
    </row>
    <row r="4627" spans="30:30">
      <c r="AD4627" s="1"/>
    </row>
    <row r="4628" spans="30:30">
      <c r="AD4628" s="1"/>
    </row>
    <row r="4629" spans="30:30">
      <c r="AD4629" s="1"/>
    </row>
    <row r="4630" spans="30:30">
      <c r="AD4630" s="1"/>
    </row>
    <row r="4631" spans="30:30">
      <c r="AD4631" s="1"/>
    </row>
    <row r="4632" spans="30:30">
      <c r="AD4632" s="1"/>
    </row>
    <row r="4633" spans="30:30">
      <c r="AD4633" s="1"/>
    </row>
    <row r="4634" spans="30:30">
      <c r="AD4634" s="1"/>
    </row>
    <row r="4635" spans="30:30">
      <c r="AD4635" s="1"/>
    </row>
    <row r="4636" spans="30:30">
      <c r="AD4636" s="1"/>
    </row>
    <row r="4637" spans="30:30">
      <c r="AD4637" s="1"/>
    </row>
    <row r="4638" spans="30:30">
      <c r="AD4638" s="1"/>
    </row>
    <row r="4639" spans="30:30">
      <c r="AD4639" s="1"/>
    </row>
    <row r="4640" spans="30:30">
      <c r="AD4640" s="1"/>
    </row>
    <row r="4641" spans="30:30">
      <c r="AD4641" s="1"/>
    </row>
    <row r="4642" spans="30:30">
      <c r="AD4642" s="1"/>
    </row>
    <row r="4643" spans="30:30">
      <c r="AD4643" s="1"/>
    </row>
    <row r="4644" spans="30:30">
      <c r="AD4644" s="1"/>
    </row>
    <row r="4645" spans="30:30">
      <c r="AD4645" s="1"/>
    </row>
    <row r="4646" spans="30:30">
      <c r="AD4646" s="1"/>
    </row>
    <row r="4647" spans="30:30">
      <c r="AD4647" s="1"/>
    </row>
    <row r="4648" spans="30:30">
      <c r="AD4648" s="1"/>
    </row>
    <row r="4649" spans="30:30">
      <c r="AD4649" s="1"/>
    </row>
    <row r="4650" spans="30:30">
      <c r="AD4650" s="1"/>
    </row>
    <row r="4651" spans="30:30">
      <c r="AD4651" s="1"/>
    </row>
    <row r="4652" spans="30:30">
      <c r="AD4652" s="1"/>
    </row>
    <row r="4653" spans="30:30">
      <c r="AD4653" s="1"/>
    </row>
    <row r="4654" spans="30:30">
      <c r="AD4654" s="1"/>
    </row>
    <row r="4655" spans="30:30">
      <c r="AD4655" s="1"/>
    </row>
    <row r="4656" spans="30:30">
      <c r="AD4656" s="1"/>
    </row>
    <row r="4657" spans="30:30">
      <c r="AD4657" s="1"/>
    </row>
    <row r="4658" spans="30:30">
      <c r="AD4658" s="1"/>
    </row>
    <row r="4659" spans="30:30">
      <c r="AD4659" s="1"/>
    </row>
    <row r="4660" spans="30:30">
      <c r="AD4660" s="1"/>
    </row>
    <row r="4661" spans="30:30">
      <c r="AD4661" s="1"/>
    </row>
    <row r="4662" spans="30:30">
      <c r="AD4662" s="1"/>
    </row>
    <row r="4663" spans="30:30">
      <c r="AD4663" s="1"/>
    </row>
    <row r="4664" spans="30:30">
      <c r="AD4664" s="1"/>
    </row>
    <row r="4665" spans="30:30">
      <c r="AD4665" s="1"/>
    </row>
    <row r="4666" spans="30:30">
      <c r="AD4666" s="1"/>
    </row>
    <row r="4667" spans="30:30">
      <c r="AD4667" s="1"/>
    </row>
    <row r="4668" spans="30:30">
      <c r="AD4668" s="1"/>
    </row>
    <row r="4669" spans="30:30">
      <c r="AD4669" s="1"/>
    </row>
    <row r="4670" spans="30:30">
      <c r="AD4670" s="1"/>
    </row>
    <row r="4671" spans="30:30">
      <c r="AD4671" s="1"/>
    </row>
    <row r="4672" spans="30:30">
      <c r="AD4672" s="1"/>
    </row>
    <row r="4673" spans="30:30">
      <c r="AD4673" s="1"/>
    </row>
    <row r="4674" spans="30:30">
      <c r="AD4674" s="1"/>
    </row>
    <row r="4675" spans="30:30">
      <c r="AD4675" s="1"/>
    </row>
    <row r="4676" spans="30:30">
      <c r="AD4676" s="1"/>
    </row>
    <row r="4677" spans="30:30">
      <c r="AD4677" s="1"/>
    </row>
    <row r="4678" spans="30:30">
      <c r="AD4678" s="1"/>
    </row>
    <row r="4679" spans="30:30">
      <c r="AD4679" s="1"/>
    </row>
    <row r="4680" spans="30:30">
      <c r="AD4680" s="1"/>
    </row>
    <row r="4681" spans="30:30">
      <c r="AD4681" s="1"/>
    </row>
    <row r="4682" spans="30:30">
      <c r="AD4682" s="1"/>
    </row>
    <row r="4683" spans="30:30">
      <c r="AD4683" s="1"/>
    </row>
    <row r="4684" spans="30:30">
      <c r="AD4684" s="1"/>
    </row>
    <row r="4685" spans="30:30">
      <c r="AD4685" s="1"/>
    </row>
    <row r="4686" spans="30:30">
      <c r="AD4686" s="1"/>
    </row>
    <row r="4687" spans="30:30">
      <c r="AD4687" s="1"/>
    </row>
    <row r="4688" spans="30:30">
      <c r="AD4688" s="1"/>
    </row>
    <row r="4689" spans="30:30">
      <c r="AD4689" s="1"/>
    </row>
    <row r="4690" spans="30:30">
      <c r="AD4690" s="1"/>
    </row>
    <row r="4691" spans="30:30">
      <c r="AD4691" s="1"/>
    </row>
    <row r="4692" spans="30:30">
      <c r="AD4692" s="1"/>
    </row>
    <row r="4693" spans="30:30">
      <c r="AD4693" s="1"/>
    </row>
    <row r="4694" spans="30:30">
      <c r="AD4694" s="1"/>
    </row>
    <row r="4695" spans="30:30">
      <c r="AD4695" s="1"/>
    </row>
    <row r="4696" spans="30:30">
      <c r="AD4696" s="1"/>
    </row>
    <row r="4697" spans="30:30">
      <c r="AD4697" s="1"/>
    </row>
    <row r="4698" spans="30:30">
      <c r="AD4698" s="1"/>
    </row>
    <row r="4699" spans="30:30">
      <c r="AD4699" s="1"/>
    </row>
    <row r="4700" spans="30:30">
      <c r="AD4700" s="1"/>
    </row>
    <row r="4701" spans="30:30">
      <c r="AD4701" s="1"/>
    </row>
    <row r="4702" spans="30:30">
      <c r="AD4702" s="1"/>
    </row>
    <row r="4703" spans="30:30">
      <c r="AD4703" s="1"/>
    </row>
    <row r="4704" spans="30:30">
      <c r="AD4704" s="1"/>
    </row>
    <row r="4705" spans="30:30">
      <c r="AD4705" s="1"/>
    </row>
    <row r="4706" spans="30:30">
      <c r="AD4706" s="1"/>
    </row>
    <row r="4707" spans="30:30">
      <c r="AD4707" s="1"/>
    </row>
    <row r="4708" spans="30:30">
      <c r="AD4708" s="1"/>
    </row>
    <row r="4709" spans="30:30">
      <c r="AD4709" s="1"/>
    </row>
    <row r="4710" spans="30:30">
      <c r="AD4710" s="1"/>
    </row>
    <row r="4711" spans="30:30">
      <c r="AD4711" s="1"/>
    </row>
    <row r="4712" spans="30:30">
      <c r="AD4712" s="1"/>
    </row>
    <row r="4713" spans="30:30">
      <c r="AD4713" s="1"/>
    </row>
    <row r="4714" spans="30:30">
      <c r="AD4714" s="1"/>
    </row>
    <row r="4715" spans="30:30">
      <c r="AD4715" s="1"/>
    </row>
    <row r="4716" spans="30:30">
      <c r="AD4716" s="1"/>
    </row>
    <row r="4717" spans="30:30">
      <c r="AD4717" s="1"/>
    </row>
    <row r="4718" spans="30:30">
      <c r="AD4718" s="1"/>
    </row>
    <row r="4719" spans="30:30">
      <c r="AD4719" s="1"/>
    </row>
    <row r="4720" spans="30:30">
      <c r="AD4720" s="1"/>
    </row>
    <row r="4721" spans="30:30">
      <c r="AD4721" s="1"/>
    </row>
    <row r="4722" spans="30:30">
      <c r="AD4722" s="1"/>
    </row>
    <row r="4723" spans="30:30">
      <c r="AD4723" s="1"/>
    </row>
    <row r="4724" spans="30:30">
      <c r="AD4724" s="1"/>
    </row>
    <row r="4725" spans="30:30">
      <c r="AD4725" s="1"/>
    </row>
    <row r="4726" spans="30:30">
      <c r="AD4726" s="1"/>
    </row>
    <row r="4727" spans="30:30">
      <c r="AD4727" s="1"/>
    </row>
    <row r="4728" spans="30:30">
      <c r="AD4728" s="1"/>
    </row>
    <row r="4729" spans="30:30">
      <c r="AD4729" s="1"/>
    </row>
    <row r="4730" spans="30:30">
      <c r="AD4730" s="1"/>
    </row>
    <row r="4731" spans="30:30">
      <c r="AD4731" s="1"/>
    </row>
    <row r="4732" spans="30:30">
      <c r="AD4732" s="1"/>
    </row>
    <row r="4733" spans="30:30">
      <c r="AD4733" s="1"/>
    </row>
    <row r="4734" spans="30:30">
      <c r="AD4734" s="1"/>
    </row>
    <row r="4735" spans="30:30">
      <c r="AD4735" s="1"/>
    </row>
    <row r="4736" spans="30:30">
      <c r="AD4736" s="1"/>
    </row>
    <row r="4737" spans="30:30">
      <c r="AD4737" s="1"/>
    </row>
    <row r="4738" spans="30:30">
      <c r="AD4738" s="1"/>
    </row>
    <row r="4739" spans="30:30">
      <c r="AD4739" s="1"/>
    </row>
    <row r="4740" spans="30:30">
      <c r="AD4740" s="1"/>
    </row>
    <row r="4741" spans="30:30">
      <c r="AD4741" s="1"/>
    </row>
    <row r="4742" spans="30:30">
      <c r="AD4742" s="1"/>
    </row>
    <row r="4743" spans="30:30">
      <c r="AD4743" s="1"/>
    </row>
    <row r="4744" spans="30:30">
      <c r="AD4744" s="1"/>
    </row>
    <row r="4745" spans="30:30">
      <c r="AD4745" s="1"/>
    </row>
    <row r="4746" spans="30:30">
      <c r="AD4746" s="1"/>
    </row>
    <row r="4747" spans="30:30">
      <c r="AD4747" s="1"/>
    </row>
    <row r="4748" spans="30:30">
      <c r="AD4748" s="1"/>
    </row>
    <row r="4749" spans="30:30">
      <c r="AD4749" s="1"/>
    </row>
    <row r="4750" spans="30:30">
      <c r="AD4750" s="1"/>
    </row>
    <row r="4751" spans="30:30">
      <c r="AD4751" s="1"/>
    </row>
    <row r="4752" spans="30:30">
      <c r="AD4752" s="1"/>
    </row>
    <row r="4753" spans="30:30">
      <c r="AD4753" s="1"/>
    </row>
    <row r="4754" spans="30:30">
      <c r="AD4754" s="1"/>
    </row>
    <row r="4755" spans="30:30">
      <c r="AD4755" s="1"/>
    </row>
    <row r="4756" spans="30:30">
      <c r="AD4756" s="1"/>
    </row>
    <row r="4757" spans="30:30">
      <c r="AD4757" s="1"/>
    </row>
    <row r="4758" spans="30:30">
      <c r="AD4758" s="1"/>
    </row>
    <row r="4759" spans="30:30">
      <c r="AD4759" s="1"/>
    </row>
    <row r="4760" spans="30:30">
      <c r="AD4760" s="1"/>
    </row>
    <row r="4761" spans="30:30">
      <c r="AD4761" s="1"/>
    </row>
    <row r="4762" spans="30:30">
      <c r="AD4762" s="1"/>
    </row>
    <row r="4763" spans="30:30">
      <c r="AD4763" s="1"/>
    </row>
    <row r="4764" spans="30:30">
      <c r="AD4764" s="1"/>
    </row>
    <row r="4765" spans="30:30">
      <c r="AD4765" s="1"/>
    </row>
    <row r="4766" spans="30:30">
      <c r="AD4766" s="1"/>
    </row>
    <row r="4767" spans="30:30">
      <c r="AD4767" s="1"/>
    </row>
    <row r="4768" spans="30:30">
      <c r="AD4768" s="1"/>
    </row>
    <row r="4769" spans="30:30">
      <c r="AD4769" s="1"/>
    </row>
    <row r="4770" spans="30:30">
      <c r="AD4770" s="1"/>
    </row>
    <row r="4771" spans="30:30">
      <c r="AD4771" s="1"/>
    </row>
    <row r="4772" spans="30:30">
      <c r="AD4772" s="1"/>
    </row>
    <row r="4773" spans="30:30">
      <c r="AD4773" s="1"/>
    </row>
    <row r="4774" spans="30:30">
      <c r="AD4774" s="1"/>
    </row>
    <row r="4775" spans="30:30">
      <c r="AD4775" s="1"/>
    </row>
    <row r="4776" spans="30:30">
      <c r="AD4776" s="1"/>
    </row>
    <row r="4777" spans="30:30">
      <c r="AD4777" s="1"/>
    </row>
    <row r="4778" spans="30:30">
      <c r="AD4778" s="1"/>
    </row>
    <row r="4779" spans="30:30">
      <c r="AD4779" s="1"/>
    </row>
    <row r="4780" spans="30:30">
      <c r="AD4780" s="1"/>
    </row>
    <row r="4781" spans="30:30">
      <c r="AD4781" s="1"/>
    </row>
    <row r="4782" spans="30:30">
      <c r="AD4782" s="1"/>
    </row>
    <row r="4783" spans="30:30">
      <c r="AD4783" s="1"/>
    </row>
    <row r="4784" spans="30:30">
      <c r="AD4784" s="1"/>
    </row>
    <row r="4785" spans="30:30">
      <c r="AD4785" s="1"/>
    </row>
    <row r="4786" spans="30:30">
      <c r="AD4786" s="1"/>
    </row>
    <row r="4787" spans="30:30">
      <c r="AD4787" s="1"/>
    </row>
    <row r="4788" spans="30:30">
      <c r="AD4788" s="1"/>
    </row>
    <row r="4789" spans="30:30">
      <c r="AD4789" s="1"/>
    </row>
    <row r="4790" spans="30:30">
      <c r="AD4790" s="1"/>
    </row>
    <row r="4791" spans="30:30">
      <c r="AD4791" s="1"/>
    </row>
    <row r="4792" spans="30:30">
      <c r="AD4792" s="1"/>
    </row>
    <row r="4793" spans="30:30">
      <c r="AD4793" s="1"/>
    </row>
    <row r="4794" spans="30:30">
      <c r="AD4794" s="1"/>
    </row>
    <row r="4795" spans="30:30">
      <c r="AD4795" s="1"/>
    </row>
    <row r="4796" spans="30:30">
      <c r="AD4796" s="1"/>
    </row>
    <row r="4797" spans="30:30">
      <c r="AD4797" s="1"/>
    </row>
    <row r="4798" spans="30:30">
      <c r="AD4798" s="1"/>
    </row>
    <row r="4799" spans="30:30">
      <c r="AD4799" s="1"/>
    </row>
    <row r="4800" spans="30:30">
      <c r="AD4800" s="1"/>
    </row>
    <row r="4801" spans="30:30">
      <c r="AD4801" s="1"/>
    </row>
    <row r="4802" spans="30:30">
      <c r="AD4802" s="1"/>
    </row>
    <row r="4803" spans="30:30">
      <c r="AD4803" s="1"/>
    </row>
    <row r="4804" spans="30:30">
      <c r="AD4804" s="1"/>
    </row>
    <row r="4805" spans="30:30">
      <c r="AD4805" s="1"/>
    </row>
    <row r="4806" spans="30:30">
      <c r="AD4806" s="1"/>
    </row>
    <row r="4807" spans="30:30">
      <c r="AD4807" s="1"/>
    </row>
    <row r="4808" spans="30:30">
      <c r="AD4808" s="1"/>
    </row>
    <row r="4809" spans="30:30">
      <c r="AD4809" s="1"/>
    </row>
    <row r="4810" spans="30:30">
      <c r="AD4810" s="1"/>
    </row>
    <row r="4811" spans="30:30">
      <c r="AD4811" s="1"/>
    </row>
    <row r="4812" spans="30:30">
      <c r="AD4812" s="1"/>
    </row>
    <row r="4813" spans="30:30">
      <c r="AD4813" s="1"/>
    </row>
    <row r="4814" spans="30:30">
      <c r="AD4814" s="1"/>
    </row>
    <row r="4815" spans="30:30">
      <c r="AD4815" s="1"/>
    </row>
    <row r="4816" spans="30:30">
      <c r="AD4816" s="1"/>
    </row>
    <row r="4817" spans="30:30">
      <c r="AD4817" s="1"/>
    </row>
    <row r="4818" spans="30:30">
      <c r="AD4818" s="1"/>
    </row>
    <row r="4819" spans="30:30">
      <c r="AD4819" s="1"/>
    </row>
    <row r="4820" spans="30:30">
      <c r="AD4820" s="1"/>
    </row>
    <row r="4821" spans="30:30">
      <c r="AD4821" s="1"/>
    </row>
    <row r="4822" spans="30:30">
      <c r="AD4822" s="1"/>
    </row>
    <row r="4823" spans="30:30">
      <c r="AD4823" s="1"/>
    </row>
    <row r="4824" spans="30:30">
      <c r="AD4824" s="1"/>
    </row>
    <row r="4825" spans="30:30">
      <c r="AD4825" s="1"/>
    </row>
    <row r="4826" spans="30:30">
      <c r="AD4826" s="1"/>
    </row>
    <row r="4827" spans="30:30">
      <c r="AD4827" s="1"/>
    </row>
    <row r="4828" spans="30:30">
      <c r="AD4828" s="1"/>
    </row>
    <row r="4829" spans="30:30">
      <c r="AD4829" s="1"/>
    </row>
    <row r="4830" spans="30:30">
      <c r="AD4830" s="1"/>
    </row>
    <row r="4831" spans="30:30">
      <c r="AD4831" s="1"/>
    </row>
    <row r="4832" spans="30:30">
      <c r="AD4832" s="1"/>
    </row>
    <row r="4833" spans="30:30">
      <c r="AD4833" s="1"/>
    </row>
    <row r="4834" spans="30:30">
      <c r="AD4834" s="1"/>
    </row>
    <row r="4835" spans="30:30">
      <c r="AD4835" s="1"/>
    </row>
    <row r="4836" spans="30:30">
      <c r="AD4836" s="1"/>
    </row>
    <row r="4837" spans="30:30">
      <c r="AD4837" s="1"/>
    </row>
    <row r="4838" spans="30:30">
      <c r="AD4838" s="1"/>
    </row>
    <row r="4839" spans="30:30">
      <c r="AD4839" s="1"/>
    </row>
    <row r="4840" spans="30:30">
      <c r="AD4840" s="1"/>
    </row>
    <row r="4841" spans="30:30">
      <c r="AD4841" s="1"/>
    </row>
    <row r="4842" spans="30:30">
      <c r="AD4842" s="1"/>
    </row>
    <row r="4843" spans="30:30">
      <c r="AD4843" s="1"/>
    </row>
    <row r="4844" spans="30:30">
      <c r="AD4844" s="1"/>
    </row>
    <row r="4845" spans="30:30">
      <c r="AD4845" s="1"/>
    </row>
    <row r="4846" spans="30:30">
      <c r="AD4846" s="1"/>
    </row>
    <row r="4847" spans="30:30">
      <c r="AD4847" s="1"/>
    </row>
    <row r="4848" spans="30:30">
      <c r="AD4848" s="1"/>
    </row>
    <row r="4849" spans="30:30">
      <c r="AD4849" s="1"/>
    </row>
    <row r="4850" spans="30:30">
      <c r="AD4850" s="1"/>
    </row>
    <row r="4851" spans="30:30">
      <c r="AD4851" s="1"/>
    </row>
    <row r="4852" spans="30:30">
      <c r="AD4852" s="1"/>
    </row>
    <row r="4853" spans="30:30">
      <c r="AD4853" s="1"/>
    </row>
    <row r="4854" spans="30:30">
      <c r="AD4854" s="1"/>
    </row>
    <row r="4855" spans="30:30">
      <c r="AD4855" s="1"/>
    </row>
    <row r="4856" spans="30:30">
      <c r="AD4856" s="1"/>
    </row>
    <row r="4857" spans="30:30">
      <c r="AD4857" s="1"/>
    </row>
    <row r="4858" spans="30:30">
      <c r="AD4858" s="1"/>
    </row>
    <row r="4859" spans="30:30">
      <c r="AD4859" s="1"/>
    </row>
    <row r="4860" spans="30:30">
      <c r="AD4860" s="1"/>
    </row>
    <row r="4861" spans="30:30">
      <c r="AD4861" s="1"/>
    </row>
    <row r="4862" spans="30:30">
      <c r="AD4862" s="1"/>
    </row>
    <row r="4863" spans="30:30">
      <c r="AD4863" s="1"/>
    </row>
    <row r="4864" spans="30:30">
      <c r="AD4864" s="1"/>
    </row>
    <row r="4865" spans="30:30">
      <c r="AD4865" s="1"/>
    </row>
    <row r="4866" spans="30:30">
      <c r="AD4866" s="1"/>
    </row>
    <row r="4867" spans="30:30">
      <c r="AD4867" s="1"/>
    </row>
    <row r="4868" spans="30:30">
      <c r="AD4868" s="1"/>
    </row>
    <row r="4869" spans="30:30">
      <c r="AD4869" s="1"/>
    </row>
    <row r="4870" spans="30:30">
      <c r="AD4870" s="1"/>
    </row>
    <row r="4871" spans="30:30">
      <c r="AD4871" s="1"/>
    </row>
    <row r="4872" spans="30:30">
      <c r="AD4872" s="1"/>
    </row>
    <row r="4873" spans="30:30">
      <c r="AD4873" s="1"/>
    </row>
    <row r="4874" spans="30:30">
      <c r="AD4874" s="1"/>
    </row>
    <row r="4875" spans="30:30">
      <c r="AD4875" s="1"/>
    </row>
    <row r="4876" spans="30:30">
      <c r="AD4876" s="1"/>
    </row>
    <row r="4877" spans="30:30">
      <c r="AD4877" s="1"/>
    </row>
    <row r="4878" spans="30:30">
      <c r="AD4878" s="1"/>
    </row>
    <row r="4879" spans="30:30">
      <c r="AD4879" s="1"/>
    </row>
    <row r="4880" spans="30:30">
      <c r="AD4880" s="1"/>
    </row>
    <row r="4881" spans="30:30">
      <c r="AD4881" s="1"/>
    </row>
    <row r="4882" spans="30:30">
      <c r="AD4882" s="1"/>
    </row>
    <row r="4883" spans="30:30">
      <c r="AD4883" s="1"/>
    </row>
    <row r="4884" spans="30:30">
      <c r="AD4884" s="1"/>
    </row>
    <row r="4885" spans="30:30">
      <c r="AD4885" s="1"/>
    </row>
    <row r="4886" spans="30:30">
      <c r="AD4886" s="1"/>
    </row>
    <row r="4887" spans="30:30">
      <c r="AD4887" s="1"/>
    </row>
    <row r="4888" spans="30:30">
      <c r="AD4888" s="1"/>
    </row>
    <row r="4889" spans="30:30">
      <c r="AD4889" s="1"/>
    </row>
    <row r="4890" spans="30:30">
      <c r="AD4890" s="1"/>
    </row>
    <row r="4891" spans="30:30">
      <c r="AD4891" s="1"/>
    </row>
    <row r="4892" spans="30:30">
      <c r="AD4892" s="1"/>
    </row>
    <row r="4893" spans="30:30">
      <c r="AD4893" s="1"/>
    </row>
    <row r="4894" spans="30:30">
      <c r="AD4894" s="1"/>
    </row>
    <row r="4895" spans="30:30">
      <c r="AD4895" s="1"/>
    </row>
    <row r="4896" spans="30:30">
      <c r="AD4896" s="1"/>
    </row>
    <row r="4897" spans="30:30">
      <c r="AD4897" s="1"/>
    </row>
    <row r="4898" spans="30:30">
      <c r="AD4898" s="1"/>
    </row>
    <row r="4899" spans="30:30">
      <c r="AD4899" s="1"/>
    </row>
    <row r="4900" spans="30:30">
      <c r="AD4900" s="1"/>
    </row>
    <row r="4901" spans="30:30">
      <c r="AD4901" s="1"/>
    </row>
    <row r="4902" spans="30:30">
      <c r="AD4902" s="1"/>
    </row>
    <row r="4903" spans="30:30">
      <c r="AD4903" s="1"/>
    </row>
    <row r="4904" spans="30:30">
      <c r="AD4904" s="1"/>
    </row>
    <row r="4905" spans="30:30">
      <c r="AD4905" s="1"/>
    </row>
    <row r="4906" spans="30:30">
      <c r="AD4906" s="1"/>
    </row>
    <row r="4907" spans="30:30">
      <c r="AD4907" s="1"/>
    </row>
    <row r="4908" spans="30:30">
      <c r="AD4908" s="1"/>
    </row>
    <row r="4909" spans="30:30">
      <c r="AD4909" s="1"/>
    </row>
    <row r="4910" spans="30:30">
      <c r="AD4910" s="1"/>
    </row>
    <row r="4911" spans="30:30">
      <c r="AD4911" s="1"/>
    </row>
    <row r="4912" spans="30:30">
      <c r="AD4912" s="1"/>
    </row>
    <row r="4913" spans="30:30">
      <c r="AD4913" s="1"/>
    </row>
    <row r="4914" spans="30:30">
      <c r="AD4914" s="1"/>
    </row>
    <row r="4915" spans="30:30">
      <c r="AD4915" s="1"/>
    </row>
    <row r="4916" spans="30:30">
      <c r="AD4916" s="1"/>
    </row>
    <row r="4917" spans="30:30">
      <c r="AD4917" s="1"/>
    </row>
    <row r="4918" spans="30:30">
      <c r="AD4918" s="1"/>
    </row>
    <row r="4919" spans="30:30">
      <c r="AD4919" s="1"/>
    </row>
    <row r="4920" spans="30:30">
      <c r="AD4920" s="1"/>
    </row>
    <row r="4921" spans="30:30">
      <c r="AD4921" s="1"/>
    </row>
    <row r="4922" spans="30:30">
      <c r="AD4922" s="1"/>
    </row>
    <row r="4923" spans="30:30">
      <c r="AD4923" s="1"/>
    </row>
    <row r="4924" spans="30:30">
      <c r="AD4924" s="1"/>
    </row>
    <row r="4925" spans="30:30">
      <c r="AD4925" s="1"/>
    </row>
    <row r="4926" spans="30:30">
      <c r="AD4926" s="1"/>
    </row>
    <row r="4927" spans="30:30">
      <c r="AD4927" s="1"/>
    </row>
    <row r="4928" spans="30:30">
      <c r="AD4928" s="1"/>
    </row>
    <row r="4929" spans="30:30">
      <c r="AD4929" s="1"/>
    </row>
    <row r="4930" spans="30:30">
      <c r="AD4930" s="1"/>
    </row>
    <row r="4931" spans="30:30">
      <c r="AD4931" s="1"/>
    </row>
    <row r="4932" spans="30:30">
      <c r="AD4932" s="1"/>
    </row>
    <row r="4933" spans="30:30">
      <c r="AD4933" s="1"/>
    </row>
    <row r="4934" spans="30:30">
      <c r="AD4934" s="1"/>
    </row>
    <row r="4935" spans="30:30">
      <c r="AD4935" s="1"/>
    </row>
    <row r="4936" spans="30:30">
      <c r="AD4936" s="1"/>
    </row>
    <row r="4937" spans="30:30">
      <c r="AD4937" s="1"/>
    </row>
    <row r="4938" spans="30:30">
      <c r="AD4938" s="1"/>
    </row>
    <row r="4939" spans="30:30">
      <c r="AD4939" s="1"/>
    </row>
    <row r="4940" spans="30:30">
      <c r="AD4940" s="1"/>
    </row>
    <row r="4941" spans="30:30">
      <c r="AD4941" s="1"/>
    </row>
    <row r="4942" spans="30:30">
      <c r="AD4942" s="1"/>
    </row>
    <row r="4943" spans="30:30">
      <c r="AD4943" s="1"/>
    </row>
    <row r="4944" spans="30:30">
      <c r="AD4944" s="1"/>
    </row>
    <row r="4945" spans="30:30">
      <c r="AD4945" s="1"/>
    </row>
    <row r="4946" spans="30:30">
      <c r="AD4946" s="1"/>
    </row>
    <row r="4947" spans="30:30">
      <c r="AD4947" s="1"/>
    </row>
    <row r="4948" spans="30:30">
      <c r="AD4948" s="1"/>
    </row>
    <row r="4949" spans="30:30">
      <c r="AD4949" s="1"/>
    </row>
    <row r="4950" spans="30:30">
      <c r="AD4950" s="1"/>
    </row>
    <row r="4951" spans="30:30">
      <c r="AD4951" s="1"/>
    </row>
    <row r="4952" spans="30:30">
      <c r="AD4952" s="1"/>
    </row>
    <row r="4953" spans="30:30">
      <c r="AD4953" s="1"/>
    </row>
    <row r="4954" spans="30:30">
      <c r="AD4954" s="1"/>
    </row>
    <row r="4955" spans="30:30">
      <c r="AD4955" s="1"/>
    </row>
    <row r="4956" spans="30:30">
      <c r="AD4956" s="1"/>
    </row>
    <row r="4957" spans="30:30">
      <c r="AD4957" s="1"/>
    </row>
    <row r="4958" spans="30:30">
      <c r="AD4958" s="1"/>
    </row>
    <row r="4959" spans="30:30">
      <c r="AD4959" s="1"/>
    </row>
    <row r="4960" spans="30:30">
      <c r="AD4960" s="1"/>
    </row>
    <row r="4961" spans="30:30">
      <c r="AD4961" s="1"/>
    </row>
    <row r="4962" spans="30:30">
      <c r="AD4962" s="1"/>
    </row>
    <row r="4963" spans="30:30">
      <c r="AD4963" s="1"/>
    </row>
    <row r="4964" spans="30:30">
      <c r="AD4964" s="1"/>
    </row>
    <row r="4965" spans="30:30">
      <c r="AD4965" s="1"/>
    </row>
    <row r="4966" spans="30:30">
      <c r="AD4966" s="1"/>
    </row>
    <row r="4967" spans="30:30">
      <c r="AD4967" s="1"/>
    </row>
    <row r="4968" spans="30:30">
      <c r="AD4968" s="1"/>
    </row>
    <row r="4969" spans="30:30">
      <c r="AD4969" s="1"/>
    </row>
    <row r="4970" spans="30:30">
      <c r="AD4970" s="1"/>
    </row>
    <row r="4971" spans="30:30">
      <c r="AD4971" s="1"/>
    </row>
    <row r="4972" spans="30:30">
      <c r="AD4972" s="1"/>
    </row>
    <row r="4973" spans="30:30">
      <c r="AD4973" s="1"/>
    </row>
    <row r="4974" spans="30:30">
      <c r="AD4974" s="1"/>
    </row>
    <row r="4975" spans="30:30">
      <c r="AD4975" s="1"/>
    </row>
    <row r="4976" spans="30:30">
      <c r="AD4976" s="1"/>
    </row>
    <row r="4977" spans="30:30">
      <c r="AD4977" s="1"/>
    </row>
    <row r="4978" spans="30:30">
      <c r="AD4978" s="1"/>
    </row>
    <row r="4979" spans="30:30">
      <c r="AD4979" s="1"/>
    </row>
    <row r="4980" spans="30:30">
      <c r="AD4980" s="1"/>
    </row>
    <row r="4981" spans="30:30">
      <c r="AD4981" s="1"/>
    </row>
    <row r="4982" spans="30:30">
      <c r="AD4982" s="1"/>
    </row>
    <row r="4983" spans="30:30">
      <c r="AD4983" s="1"/>
    </row>
    <row r="4984" spans="30:30">
      <c r="AD4984" s="1"/>
    </row>
    <row r="4985" spans="30:30">
      <c r="AD4985" s="1"/>
    </row>
    <row r="4986" spans="30:30">
      <c r="AD4986" s="1"/>
    </row>
    <row r="4987" spans="30:30">
      <c r="AD4987" s="1"/>
    </row>
    <row r="4988" spans="30:30">
      <c r="AD4988" s="1"/>
    </row>
    <row r="4989" spans="30:30">
      <c r="AD4989" s="1"/>
    </row>
    <row r="4990" spans="30:30">
      <c r="AD4990" s="1"/>
    </row>
    <row r="4991" spans="30:30">
      <c r="AD4991" s="1"/>
    </row>
    <row r="4992" spans="30:30">
      <c r="AD4992" s="1"/>
    </row>
    <row r="4993" spans="30:30">
      <c r="AD4993" s="1"/>
    </row>
    <row r="4994" spans="30:30">
      <c r="AD4994" s="1"/>
    </row>
    <row r="4995" spans="30:30">
      <c r="AD4995" s="1"/>
    </row>
    <row r="4996" spans="30:30">
      <c r="AD4996" s="1"/>
    </row>
    <row r="4997" spans="30:30">
      <c r="AD4997" s="1"/>
    </row>
    <row r="4998" spans="30:30">
      <c r="AD4998" s="1"/>
    </row>
    <row r="4999" spans="30:30">
      <c r="AD4999" s="1"/>
    </row>
    <row r="5000" spans="30:30">
      <c r="AD5000" s="1"/>
    </row>
    <row r="5001" spans="30:30">
      <c r="AD5001" s="1"/>
    </row>
    <row r="5002" spans="30:30">
      <c r="AD5002" s="1"/>
    </row>
    <row r="5003" spans="30:30">
      <c r="AD5003" s="1"/>
    </row>
    <row r="5004" spans="30:30">
      <c r="AD5004" s="1"/>
    </row>
    <row r="5005" spans="30:30">
      <c r="AD5005" s="1"/>
    </row>
    <row r="5006" spans="30:30">
      <c r="AD5006" s="1"/>
    </row>
    <row r="5007" spans="30:30">
      <c r="AD5007" s="1"/>
    </row>
    <row r="5008" spans="30:30">
      <c r="AD5008" s="1"/>
    </row>
    <row r="5009" spans="30:30">
      <c r="AD5009" s="1"/>
    </row>
    <row r="5010" spans="30:30">
      <c r="AD5010" s="1"/>
    </row>
    <row r="5011" spans="30:30">
      <c r="AD5011" s="1"/>
    </row>
    <row r="5012" spans="30:30">
      <c r="AD5012" s="1"/>
    </row>
    <row r="5013" spans="30:30">
      <c r="AD5013" s="1"/>
    </row>
    <row r="5014" spans="30:30">
      <c r="AD5014" s="1"/>
    </row>
    <row r="5015" spans="30:30">
      <c r="AD5015" s="1"/>
    </row>
    <row r="5016" spans="30:30">
      <c r="AD5016" s="1"/>
    </row>
    <row r="5017" spans="30:30">
      <c r="AD5017" s="1"/>
    </row>
    <row r="5018" spans="30:30">
      <c r="AD5018" s="1"/>
    </row>
    <row r="5019" spans="30:30">
      <c r="AD5019" s="1"/>
    </row>
    <row r="5020" spans="30:30">
      <c r="AD5020" s="1"/>
    </row>
    <row r="5021" spans="30:30">
      <c r="AD5021" s="1"/>
    </row>
    <row r="5022" spans="30:30">
      <c r="AD5022" s="1"/>
    </row>
    <row r="5023" spans="30:30">
      <c r="AD5023" s="1"/>
    </row>
    <row r="5024" spans="30:30">
      <c r="AD5024" s="1"/>
    </row>
    <row r="5025" spans="30:30">
      <c r="AD5025" s="1"/>
    </row>
    <row r="5026" spans="30:30">
      <c r="AD5026" s="1"/>
    </row>
    <row r="5027" spans="30:30">
      <c r="AD5027" s="1"/>
    </row>
    <row r="5028" spans="30:30">
      <c r="AD5028" s="1"/>
    </row>
    <row r="5029" spans="30:30">
      <c r="AD5029" s="1"/>
    </row>
    <row r="5030" spans="30:30">
      <c r="AD5030" s="1"/>
    </row>
    <row r="5031" spans="30:30">
      <c r="AD5031" s="1"/>
    </row>
    <row r="5032" spans="30:30">
      <c r="AD5032" s="1"/>
    </row>
    <row r="5033" spans="30:30">
      <c r="AD5033" s="1"/>
    </row>
    <row r="5034" spans="30:30">
      <c r="AD5034" s="1"/>
    </row>
    <row r="5035" spans="30:30">
      <c r="AD5035" s="1"/>
    </row>
    <row r="5036" spans="30:30">
      <c r="AD5036" s="1"/>
    </row>
    <row r="5037" spans="30:30">
      <c r="AD5037" s="1"/>
    </row>
    <row r="5038" spans="30:30">
      <c r="AD5038" s="1"/>
    </row>
    <row r="5039" spans="30:30">
      <c r="AD5039" s="1"/>
    </row>
    <row r="5040" spans="30:30">
      <c r="AD5040" s="1"/>
    </row>
    <row r="5041" spans="30:30">
      <c r="AD5041" s="1"/>
    </row>
    <row r="5042" spans="30:30">
      <c r="AD5042" s="1"/>
    </row>
    <row r="5043" spans="30:30">
      <c r="AD5043" s="1"/>
    </row>
    <row r="5044" spans="30:30">
      <c r="AD5044" s="1"/>
    </row>
    <row r="5045" spans="30:30">
      <c r="AD5045" s="1"/>
    </row>
    <row r="5046" spans="30:30">
      <c r="AD5046" s="1"/>
    </row>
    <row r="5047" spans="30:30">
      <c r="AD5047" s="1"/>
    </row>
    <row r="5048" spans="30:30">
      <c r="AD5048" s="1"/>
    </row>
    <row r="5049" spans="30:30">
      <c r="AD5049" s="1"/>
    </row>
    <row r="5050" spans="30:30">
      <c r="AD5050" s="1"/>
    </row>
    <row r="5051" spans="30:30">
      <c r="AD5051" s="1"/>
    </row>
    <row r="5052" spans="30:30">
      <c r="AD5052" s="1"/>
    </row>
    <row r="5053" spans="30:30">
      <c r="AD5053" s="1"/>
    </row>
    <row r="5054" spans="30:30">
      <c r="AD5054" s="1"/>
    </row>
    <row r="5055" spans="30:30">
      <c r="AD5055" s="1"/>
    </row>
    <row r="5056" spans="30:30">
      <c r="AD5056" s="1"/>
    </row>
    <row r="5057" spans="30:30">
      <c r="AD5057" s="1"/>
    </row>
    <row r="5058" spans="30:30">
      <c r="AD5058" s="1"/>
    </row>
    <row r="5059" spans="30:30">
      <c r="AD5059" s="1"/>
    </row>
    <row r="5060" spans="30:30">
      <c r="AD5060" s="1"/>
    </row>
    <row r="5061" spans="30:30">
      <c r="AD5061" s="1"/>
    </row>
    <row r="5062" spans="30:30">
      <c r="AD5062" s="1"/>
    </row>
    <row r="5063" spans="30:30">
      <c r="AD5063" s="1"/>
    </row>
    <row r="5064" spans="30:30">
      <c r="AD5064" s="1"/>
    </row>
    <row r="5065" spans="30:30">
      <c r="AD5065" s="1"/>
    </row>
    <row r="5066" spans="30:30">
      <c r="AD5066" s="1"/>
    </row>
    <row r="5067" spans="30:30">
      <c r="AD5067" s="1"/>
    </row>
    <row r="5068" spans="30:30">
      <c r="AD5068" s="1"/>
    </row>
    <row r="5069" spans="30:30">
      <c r="AD5069" s="1"/>
    </row>
    <row r="5070" spans="30:30">
      <c r="AD5070" s="1"/>
    </row>
    <row r="5071" spans="30:30">
      <c r="AD5071" s="1"/>
    </row>
    <row r="5072" spans="30:30">
      <c r="AD5072" s="1"/>
    </row>
    <row r="5073" spans="30:30">
      <c r="AD5073" s="1"/>
    </row>
    <row r="5074" spans="30:30">
      <c r="AD5074" s="1"/>
    </row>
    <row r="5075" spans="30:30">
      <c r="AD5075" s="1"/>
    </row>
    <row r="5076" spans="30:30">
      <c r="AD5076" s="1"/>
    </row>
    <row r="5077" spans="30:30">
      <c r="AD5077" s="1"/>
    </row>
    <row r="5078" spans="30:30">
      <c r="AD5078" s="1"/>
    </row>
    <row r="5079" spans="30:30">
      <c r="AD5079" s="1"/>
    </row>
    <row r="5080" spans="30:30">
      <c r="AD5080" s="1"/>
    </row>
    <row r="5081" spans="30:30">
      <c r="AD5081" s="1"/>
    </row>
    <row r="5082" spans="30:30">
      <c r="AD5082" s="1"/>
    </row>
    <row r="5083" spans="30:30">
      <c r="AD5083" s="1"/>
    </row>
    <row r="5084" spans="30:30">
      <c r="AD5084" s="1"/>
    </row>
    <row r="5085" spans="30:30">
      <c r="AD5085" s="1"/>
    </row>
    <row r="5086" spans="30:30">
      <c r="AD5086" s="1"/>
    </row>
    <row r="5087" spans="30:30">
      <c r="AD5087" s="1"/>
    </row>
    <row r="5088" spans="30:30">
      <c r="AD5088" s="1"/>
    </row>
    <row r="5089" spans="30:30">
      <c r="AD5089" s="1"/>
    </row>
    <row r="5090" spans="30:30">
      <c r="AD5090" s="1"/>
    </row>
    <row r="5091" spans="30:30">
      <c r="AD5091" s="1"/>
    </row>
    <row r="5092" spans="30:30">
      <c r="AD5092" s="1"/>
    </row>
    <row r="5093" spans="30:30">
      <c r="AD5093" s="1"/>
    </row>
    <row r="5094" spans="30:30">
      <c r="AD5094" s="1"/>
    </row>
    <row r="5095" spans="30:30">
      <c r="AD5095" s="1"/>
    </row>
    <row r="5096" spans="30:30">
      <c r="AD5096" s="1"/>
    </row>
    <row r="5097" spans="30:30">
      <c r="AD5097" s="1"/>
    </row>
    <row r="5098" spans="30:30">
      <c r="AD5098" s="1"/>
    </row>
    <row r="5099" spans="30:30">
      <c r="AD5099" s="1"/>
    </row>
    <row r="5100" spans="30:30">
      <c r="AD5100" s="1"/>
    </row>
    <row r="5101" spans="30:30">
      <c r="AD5101" s="1"/>
    </row>
    <row r="5102" spans="30:30">
      <c r="AD5102" s="1"/>
    </row>
    <row r="5103" spans="30:30">
      <c r="AD5103" s="1"/>
    </row>
    <row r="5104" spans="30:30">
      <c r="AD5104" s="1"/>
    </row>
    <row r="5105" spans="30:30">
      <c r="AD5105" s="1"/>
    </row>
    <row r="5106" spans="30:30">
      <c r="AD5106" s="1"/>
    </row>
    <row r="5107" spans="30:30">
      <c r="AD5107" s="1"/>
    </row>
    <row r="5108" spans="30:30">
      <c r="AD5108" s="1"/>
    </row>
    <row r="5109" spans="30:30">
      <c r="AD5109" s="1"/>
    </row>
    <row r="5110" spans="30:30">
      <c r="AD5110" s="1"/>
    </row>
    <row r="5111" spans="30:30">
      <c r="AD5111" s="1"/>
    </row>
    <row r="5112" spans="30:30">
      <c r="AD5112" s="1"/>
    </row>
    <row r="5113" spans="30:30">
      <c r="AD5113" s="1"/>
    </row>
    <row r="5114" spans="30:30">
      <c r="AD5114" s="1"/>
    </row>
    <row r="5115" spans="30:30">
      <c r="AD5115" s="1"/>
    </row>
    <row r="5116" spans="30:30">
      <c r="AD5116" s="1"/>
    </row>
    <row r="5117" spans="30:30">
      <c r="AD5117" s="1"/>
    </row>
    <row r="5118" spans="30:30">
      <c r="AD5118" s="1"/>
    </row>
    <row r="5119" spans="30:30">
      <c r="AD5119" s="1"/>
    </row>
    <row r="5120" spans="30:30">
      <c r="AD5120" s="1"/>
    </row>
    <row r="5121" spans="30:30">
      <c r="AD5121" s="1"/>
    </row>
    <row r="5122" spans="30:30">
      <c r="AD5122" s="1"/>
    </row>
    <row r="5123" spans="30:30">
      <c r="AD5123" s="1"/>
    </row>
    <row r="5124" spans="30:30">
      <c r="AD5124" s="1"/>
    </row>
    <row r="5125" spans="30:30">
      <c r="AD5125" s="1"/>
    </row>
    <row r="5126" spans="30:30">
      <c r="AD5126" s="1"/>
    </row>
    <row r="5127" spans="30:30">
      <c r="AD5127" s="1"/>
    </row>
    <row r="5128" spans="30:30">
      <c r="AD5128" s="1"/>
    </row>
    <row r="5129" spans="30:30">
      <c r="AD5129" s="1"/>
    </row>
    <row r="5130" spans="30:30">
      <c r="AD5130" s="1"/>
    </row>
    <row r="5131" spans="30:30">
      <c r="AD5131" s="1"/>
    </row>
    <row r="5132" spans="30:30">
      <c r="AD5132" s="1"/>
    </row>
    <row r="5133" spans="30:30">
      <c r="AD5133" s="1"/>
    </row>
    <row r="5134" spans="30:30">
      <c r="AD5134" s="1"/>
    </row>
    <row r="5135" spans="30:30">
      <c r="AD5135" s="1"/>
    </row>
    <row r="5136" spans="30:30">
      <c r="AD5136" s="1"/>
    </row>
    <row r="5137" spans="30:30">
      <c r="AD5137" s="1"/>
    </row>
    <row r="5138" spans="30:30">
      <c r="AD5138" s="1"/>
    </row>
    <row r="5139" spans="30:30">
      <c r="AD5139" s="1"/>
    </row>
    <row r="5140" spans="30:30">
      <c r="AD5140" s="1"/>
    </row>
    <row r="5141" spans="30:30">
      <c r="AD5141" s="1"/>
    </row>
    <row r="5142" spans="30:30">
      <c r="AD5142" s="1"/>
    </row>
    <row r="5143" spans="30:30">
      <c r="AD5143" s="1"/>
    </row>
    <row r="5144" spans="30:30">
      <c r="AD5144" s="1"/>
    </row>
    <row r="5145" spans="30:30">
      <c r="AD5145" s="1"/>
    </row>
    <row r="5146" spans="30:30">
      <c r="AD5146" s="1"/>
    </row>
    <row r="5147" spans="30:30">
      <c r="AD5147" s="1"/>
    </row>
    <row r="5148" spans="30:30">
      <c r="AD5148" s="1"/>
    </row>
    <row r="5149" spans="30:30">
      <c r="AD5149" s="1"/>
    </row>
    <row r="5150" spans="30:30">
      <c r="AD5150" s="1"/>
    </row>
    <row r="5151" spans="30:30">
      <c r="AD5151" s="1"/>
    </row>
    <row r="5152" spans="30:30">
      <c r="AD5152" s="1"/>
    </row>
    <row r="5153" spans="30:30">
      <c r="AD5153" s="1"/>
    </row>
    <row r="5154" spans="30:30">
      <c r="AD5154" s="1"/>
    </row>
    <row r="5155" spans="30:30">
      <c r="AD5155" s="1"/>
    </row>
    <row r="5156" spans="30:30">
      <c r="AD5156" s="1"/>
    </row>
    <row r="5157" spans="30:30">
      <c r="AD5157" s="1"/>
    </row>
    <row r="5158" spans="30:30">
      <c r="AD5158" s="1"/>
    </row>
    <row r="5159" spans="30:30">
      <c r="AD5159" s="1"/>
    </row>
    <row r="5160" spans="30:30">
      <c r="AD5160" s="1"/>
    </row>
    <row r="5161" spans="30:30">
      <c r="AD5161" s="1"/>
    </row>
    <row r="5162" spans="30:30">
      <c r="AD5162" s="1"/>
    </row>
    <row r="5163" spans="30:30">
      <c r="AD5163" s="1"/>
    </row>
    <row r="5164" spans="30:30">
      <c r="AD5164" s="1"/>
    </row>
    <row r="5165" spans="30:30">
      <c r="AD5165" s="1"/>
    </row>
    <row r="5166" spans="30:30">
      <c r="AD5166" s="1"/>
    </row>
    <row r="5167" spans="30:30">
      <c r="AD5167" s="1"/>
    </row>
    <row r="5168" spans="30:30">
      <c r="AD5168" s="1"/>
    </row>
    <row r="5169" spans="30:30">
      <c r="AD5169" s="1"/>
    </row>
    <row r="5170" spans="30:30">
      <c r="AD5170" s="1"/>
    </row>
    <row r="5171" spans="30:30">
      <c r="AD5171" s="1"/>
    </row>
    <row r="5172" spans="30:30">
      <c r="AD5172" s="1"/>
    </row>
    <row r="5173" spans="30:30">
      <c r="AD5173" s="1"/>
    </row>
    <row r="5174" spans="30:30">
      <c r="AD5174" s="1"/>
    </row>
    <row r="5175" spans="30:30">
      <c r="AD5175" s="1"/>
    </row>
    <row r="5176" spans="30:30">
      <c r="AD5176" s="1"/>
    </row>
    <row r="5177" spans="30:30">
      <c r="AD5177" s="1"/>
    </row>
    <row r="5178" spans="30:30">
      <c r="AD5178" s="1"/>
    </row>
    <row r="5179" spans="30:30">
      <c r="AD5179" s="1"/>
    </row>
    <row r="5180" spans="30:30">
      <c r="AD5180" s="1"/>
    </row>
    <row r="5181" spans="30:30">
      <c r="AD5181" s="1"/>
    </row>
    <row r="5182" spans="30:30">
      <c r="AD5182" s="1"/>
    </row>
    <row r="5183" spans="30:30">
      <c r="AD5183" s="1"/>
    </row>
    <row r="5184" spans="30:30">
      <c r="AD5184" s="1"/>
    </row>
    <row r="5185" spans="30:30">
      <c r="AD5185" s="1"/>
    </row>
    <row r="5186" spans="30:30">
      <c r="AD5186" s="1"/>
    </row>
    <row r="5187" spans="30:30">
      <c r="AD5187" s="1"/>
    </row>
    <row r="5188" spans="30:30">
      <c r="AD5188" s="1"/>
    </row>
    <row r="5189" spans="30:30">
      <c r="AD5189" s="1"/>
    </row>
    <row r="5190" spans="30:30">
      <c r="AD5190" s="1"/>
    </row>
    <row r="5191" spans="30:30">
      <c r="AD5191" s="1"/>
    </row>
    <row r="5192" spans="30:30">
      <c r="AD5192" s="1"/>
    </row>
    <row r="5193" spans="30:30">
      <c r="AD5193" s="1"/>
    </row>
    <row r="5194" spans="30:30">
      <c r="AD5194" s="1"/>
    </row>
    <row r="5195" spans="30:30">
      <c r="AD5195" s="1"/>
    </row>
    <row r="5196" spans="30:30">
      <c r="AD5196" s="1"/>
    </row>
    <row r="5197" spans="30:30">
      <c r="AD5197" s="1"/>
    </row>
    <row r="5198" spans="30:30">
      <c r="AD5198" s="1"/>
    </row>
    <row r="5199" spans="30:30">
      <c r="AD5199" s="1"/>
    </row>
    <row r="5200" spans="30:30">
      <c r="AD5200" s="1"/>
    </row>
    <row r="5201" spans="30:30">
      <c r="AD5201" s="1"/>
    </row>
    <row r="5202" spans="30:30">
      <c r="AD5202" s="1"/>
    </row>
    <row r="5203" spans="30:30">
      <c r="AD5203" s="1"/>
    </row>
    <row r="5204" spans="30:30">
      <c r="AD5204" s="1"/>
    </row>
    <row r="5205" spans="30:30">
      <c r="AD5205" s="1"/>
    </row>
    <row r="5206" spans="30:30">
      <c r="AD5206" s="1"/>
    </row>
    <row r="5207" spans="30:30">
      <c r="AD5207" s="1"/>
    </row>
    <row r="5208" spans="30:30">
      <c r="AD5208" s="1"/>
    </row>
    <row r="5209" spans="30:30">
      <c r="AD5209" s="1"/>
    </row>
    <row r="5210" spans="30:30">
      <c r="AD5210" s="1"/>
    </row>
    <row r="5211" spans="30:30">
      <c r="AD5211" s="1"/>
    </row>
    <row r="5212" spans="30:30">
      <c r="AD5212" s="1"/>
    </row>
    <row r="5213" spans="30:30">
      <c r="AD5213" s="1"/>
    </row>
    <row r="5214" spans="30:30">
      <c r="AD5214" s="1"/>
    </row>
    <row r="5215" spans="30:30">
      <c r="AD5215" s="1"/>
    </row>
    <row r="5216" spans="30:30">
      <c r="AD5216" s="1"/>
    </row>
    <row r="5217" spans="30:30">
      <c r="AD5217" s="1"/>
    </row>
    <row r="5218" spans="30:30">
      <c r="AD5218" s="1"/>
    </row>
    <row r="5219" spans="30:30">
      <c r="AD5219" s="1"/>
    </row>
    <row r="5220" spans="30:30">
      <c r="AD5220" s="1"/>
    </row>
    <row r="5221" spans="30:30">
      <c r="AD5221" s="1"/>
    </row>
    <row r="5222" spans="30:30">
      <c r="AD5222" s="1"/>
    </row>
    <row r="5223" spans="30:30">
      <c r="AD5223" s="1"/>
    </row>
    <row r="5224" spans="30:30">
      <c r="AD5224" s="1"/>
    </row>
    <row r="5225" spans="30:30">
      <c r="AD5225" s="1"/>
    </row>
    <row r="5226" spans="30:30">
      <c r="AD5226" s="1"/>
    </row>
    <row r="5227" spans="30:30">
      <c r="AD5227" s="1"/>
    </row>
    <row r="5228" spans="30:30">
      <c r="AD5228" s="1"/>
    </row>
    <row r="5229" spans="30:30">
      <c r="AD5229" s="1"/>
    </row>
    <row r="5230" spans="30:30">
      <c r="AD5230" s="1"/>
    </row>
    <row r="5231" spans="30:30">
      <c r="AD5231" s="1"/>
    </row>
    <row r="5232" spans="30:30">
      <c r="AD5232" s="1"/>
    </row>
    <row r="5233" spans="30:30">
      <c r="AD5233" s="1"/>
    </row>
    <row r="5234" spans="30:30">
      <c r="AD5234" s="1"/>
    </row>
    <row r="5235" spans="30:30">
      <c r="AD5235" s="1"/>
    </row>
    <row r="5236" spans="30:30">
      <c r="AD5236" s="1"/>
    </row>
    <row r="5237" spans="30:30">
      <c r="AD5237" s="1"/>
    </row>
    <row r="5238" spans="30:30">
      <c r="AD5238" s="1"/>
    </row>
    <row r="5239" spans="30:30">
      <c r="AD5239" s="1"/>
    </row>
    <row r="5240" spans="30:30">
      <c r="AD5240" s="1"/>
    </row>
    <row r="5241" spans="30:30">
      <c r="AD5241" s="1"/>
    </row>
    <row r="5242" spans="30:30">
      <c r="AD5242" s="1"/>
    </row>
    <row r="5243" spans="30:30">
      <c r="AD5243" s="1"/>
    </row>
    <row r="5244" spans="30:30">
      <c r="AD5244" s="1"/>
    </row>
    <row r="5245" spans="30:30">
      <c r="AD5245" s="1"/>
    </row>
    <row r="5246" spans="30:30">
      <c r="AD5246" s="1"/>
    </row>
    <row r="5247" spans="30:30">
      <c r="AD5247" s="1"/>
    </row>
    <row r="5248" spans="30:30">
      <c r="AD5248" s="1"/>
    </row>
    <row r="5249" spans="30:30">
      <c r="AD5249" s="1"/>
    </row>
    <row r="5250" spans="30:30">
      <c r="AD5250" s="1"/>
    </row>
    <row r="5251" spans="30:30">
      <c r="AD5251" s="1"/>
    </row>
    <row r="5252" spans="30:30">
      <c r="AD5252" s="1"/>
    </row>
    <row r="5253" spans="30:30">
      <c r="AD5253" s="1"/>
    </row>
    <row r="5254" spans="30:30">
      <c r="AD5254" s="1"/>
    </row>
    <row r="5255" spans="30:30">
      <c r="AD5255" s="1"/>
    </row>
    <row r="5256" spans="30:30">
      <c r="AD5256" s="1"/>
    </row>
    <row r="5257" spans="30:30">
      <c r="AD5257" s="1"/>
    </row>
    <row r="5258" spans="30:30">
      <c r="AD5258" s="1"/>
    </row>
    <row r="5259" spans="30:30">
      <c r="AD5259" s="1"/>
    </row>
    <row r="5260" spans="30:30">
      <c r="AD5260" s="1"/>
    </row>
    <row r="5261" spans="30:30">
      <c r="AD5261" s="1"/>
    </row>
    <row r="5262" spans="30:30">
      <c r="AD5262" s="1"/>
    </row>
    <row r="5263" spans="30:30">
      <c r="AD5263" s="1"/>
    </row>
    <row r="5264" spans="30:30">
      <c r="AD5264" s="1"/>
    </row>
    <row r="5265" spans="30:30">
      <c r="AD5265" s="1"/>
    </row>
    <row r="5266" spans="30:30">
      <c r="AD5266" s="1"/>
    </row>
    <row r="5267" spans="30:30">
      <c r="AD5267" s="1"/>
    </row>
    <row r="5268" spans="30:30">
      <c r="AD5268" s="1"/>
    </row>
    <row r="5269" spans="30:30">
      <c r="AD5269" s="1"/>
    </row>
    <row r="5270" spans="30:30">
      <c r="AD5270" s="1"/>
    </row>
    <row r="5271" spans="30:30">
      <c r="AD5271" s="1"/>
    </row>
    <row r="5272" spans="30:30">
      <c r="AD5272" s="1"/>
    </row>
    <row r="5273" spans="30:30">
      <c r="AD5273" s="1"/>
    </row>
    <row r="5274" spans="30:30">
      <c r="AD5274" s="1"/>
    </row>
    <row r="5275" spans="30:30">
      <c r="AD5275" s="1"/>
    </row>
    <row r="5276" spans="30:30">
      <c r="AD5276" s="1"/>
    </row>
    <row r="5277" spans="30:30">
      <c r="AD5277" s="1"/>
    </row>
    <row r="5278" spans="30:30">
      <c r="AD5278" s="1"/>
    </row>
    <row r="5279" spans="30:30">
      <c r="AD5279" s="1"/>
    </row>
    <row r="5280" spans="30:30">
      <c r="AD5280" s="1"/>
    </row>
    <row r="5281" spans="30:30">
      <c r="AD5281" s="1"/>
    </row>
    <row r="5282" spans="30:30">
      <c r="AD5282" s="1"/>
    </row>
    <row r="5283" spans="30:30">
      <c r="AD5283" s="1"/>
    </row>
    <row r="5284" spans="30:30">
      <c r="AD5284" s="1"/>
    </row>
    <row r="5285" spans="30:30">
      <c r="AD5285" s="1"/>
    </row>
    <row r="5286" spans="30:30">
      <c r="AD5286" s="1"/>
    </row>
    <row r="5287" spans="30:30">
      <c r="AD5287" s="1"/>
    </row>
    <row r="5288" spans="30:30">
      <c r="AD5288" s="1"/>
    </row>
    <row r="5289" spans="30:30">
      <c r="AD5289" s="1"/>
    </row>
    <row r="5290" spans="30:30">
      <c r="AD5290" s="1"/>
    </row>
    <row r="5291" spans="30:30">
      <c r="AD5291" s="1"/>
    </row>
    <row r="5292" spans="30:30">
      <c r="AD5292" s="1"/>
    </row>
    <row r="5293" spans="30:30">
      <c r="AD5293" s="1"/>
    </row>
    <row r="5294" spans="30:30">
      <c r="AD5294" s="1"/>
    </row>
    <row r="5295" spans="30:30">
      <c r="AD5295" s="1"/>
    </row>
    <row r="5296" spans="30:30">
      <c r="AD5296" s="1"/>
    </row>
    <row r="5297" spans="30:30">
      <c r="AD5297" s="1"/>
    </row>
    <row r="5298" spans="30:30">
      <c r="AD5298" s="1"/>
    </row>
    <row r="5299" spans="30:30">
      <c r="AD5299" s="1"/>
    </row>
    <row r="5300" spans="30:30">
      <c r="AD5300" s="1"/>
    </row>
    <row r="5301" spans="30:30">
      <c r="AD5301" s="1"/>
    </row>
    <row r="5302" spans="30:30">
      <c r="AD5302" s="1"/>
    </row>
    <row r="5303" spans="30:30">
      <c r="AD5303" s="1"/>
    </row>
    <row r="5304" spans="30:30">
      <c r="AD5304" s="1"/>
    </row>
    <row r="5305" spans="30:30">
      <c r="AD5305" s="1"/>
    </row>
    <row r="5306" spans="30:30">
      <c r="AD5306" s="1"/>
    </row>
    <row r="5307" spans="30:30">
      <c r="AD5307" s="1"/>
    </row>
    <row r="5308" spans="30:30">
      <c r="AD5308" s="1"/>
    </row>
    <row r="5309" spans="30:30">
      <c r="AD5309" s="1"/>
    </row>
    <row r="5310" spans="30:30">
      <c r="AD5310" s="1"/>
    </row>
    <row r="5311" spans="30:30">
      <c r="AD5311" s="1"/>
    </row>
    <row r="5312" spans="30:30">
      <c r="AD5312" s="1"/>
    </row>
    <row r="5313" spans="30:30">
      <c r="AD5313" s="1"/>
    </row>
    <row r="5314" spans="30:30">
      <c r="AD5314" s="1"/>
    </row>
    <row r="5315" spans="30:30">
      <c r="AD5315" s="1"/>
    </row>
    <row r="5316" spans="30:30">
      <c r="AD5316" s="1"/>
    </row>
    <row r="5317" spans="30:30">
      <c r="AD5317" s="1"/>
    </row>
    <row r="5318" spans="30:30">
      <c r="AD5318" s="1"/>
    </row>
    <row r="5319" spans="30:30">
      <c r="AD5319" s="1"/>
    </row>
    <row r="5320" spans="30:30">
      <c r="AD5320" s="1"/>
    </row>
    <row r="5321" spans="30:30">
      <c r="AD5321" s="1"/>
    </row>
    <row r="5322" spans="30:30">
      <c r="AD5322" s="1"/>
    </row>
    <row r="5323" spans="30:30">
      <c r="AD5323" s="1"/>
    </row>
    <row r="5324" spans="30:30">
      <c r="AD5324" s="1"/>
    </row>
    <row r="5325" spans="30:30">
      <c r="AD5325" s="1"/>
    </row>
    <row r="5326" spans="30:30">
      <c r="AD5326" s="1"/>
    </row>
    <row r="5327" spans="30:30">
      <c r="AD5327" s="1"/>
    </row>
    <row r="5328" spans="30:30">
      <c r="AD5328" s="1"/>
    </row>
    <row r="5329" spans="30:30">
      <c r="AD5329" s="1"/>
    </row>
    <row r="5330" spans="30:30">
      <c r="AD5330" s="1"/>
    </row>
    <row r="5331" spans="30:30">
      <c r="AD5331" s="1"/>
    </row>
    <row r="5332" spans="30:30">
      <c r="AD5332" s="1"/>
    </row>
    <row r="5333" spans="30:30">
      <c r="AD5333" s="1"/>
    </row>
    <row r="5334" spans="30:30">
      <c r="AD5334" s="1"/>
    </row>
    <row r="5335" spans="30:30">
      <c r="AD5335" s="1"/>
    </row>
    <row r="5336" spans="30:30">
      <c r="AD5336" s="1"/>
    </row>
    <row r="5337" spans="30:30">
      <c r="AD5337" s="1"/>
    </row>
    <row r="5338" spans="30:30">
      <c r="AD5338" s="1"/>
    </row>
    <row r="5339" spans="30:30">
      <c r="AD5339" s="1"/>
    </row>
    <row r="5340" spans="30:30">
      <c r="AD5340" s="1"/>
    </row>
    <row r="5341" spans="30:30">
      <c r="AD5341" s="1"/>
    </row>
    <row r="5342" spans="30:30">
      <c r="AD5342" s="1"/>
    </row>
    <row r="5343" spans="30:30">
      <c r="AD5343" s="1"/>
    </row>
    <row r="5344" spans="30:30">
      <c r="AD5344" s="1"/>
    </row>
    <row r="5345" spans="30:30">
      <c r="AD5345" s="1"/>
    </row>
    <row r="5346" spans="30:30">
      <c r="AD5346" s="1"/>
    </row>
    <row r="5347" spans="30:30">
      <c r="AD5347" s="1"/>
    </row>
    <row r="5348" spans="30:30">
      <c r="AD5348" s="1"/>
    </row>
    <row r="5349" spans="30:30">
      <c r="AD5349" s="1"/>
    </row>
    <row r="5350" spans="30:30">
      <c r="AD5350" s="1"/>
    </row>
    <row r="5351" spans="30:30">
      <c r="AD5351" s="1"/>
    </row>
    <row r="5352" spans="30:30">
      <c r="AD5352" s="1"/>
    </row>
    <row r="5353" spans="30:30">
      <c r="AD5353" s="1"/>
    </row>
    <row r="5354" spans="30:30">
      <c r="AD5354" s="1"/>
    </row>
    <row r="5355" spans="30:30">
      <c r="AD5355" s="1"/>
    </row>
    <row r="5356" spans="30:30">
      <c r="AD5356" s="1"/>
    </row>
    <row r="5357" spans="30:30">
      <c r="AD5357" s="1"/>
    </row>
    <row r="5358" spans="30:30">
      <c r="AD5358" s="1"/>
    </row>
    <row r="5359" spans="30:30">
      <c r="AD5359" s="1"/>
    </row>
    <row r="5360" spans="30:30">
      <c r="AD5360" s="1"/>
    </row>
    <row r="5361" spans="30:30">
      <c r="AD5361" s="1"/>
    </row>
    <row r="5362" spans="30:30">
      <c r="AD5362" s="1"/>
    </row>
    <row r="5363" spans="30:30">
      <c r="AD5363" s="1"/>
    </row>
    <row r="5364" spans="30:30">
      <c r="AD5364" s="1"/>
    </row>
    <row r="5365" spans="30:30">
      <c r="AD5365" s="1"/>
    </row>
    <row r="5366" spans="30:30">
      <c r="AD5366" s="1"/>
    </row>
    <row r="5367" spans="30:30">
      <c r="AD5367" s="1"/>
    </row>
    <row r="5368" spans="30:30">
      <c r="AD5368" s="1"/>
    </row>
    <row r="5369" spans="30:30">
      <c r="AD5369" s="1"/>
    </row>
    <row r="5370" spans="30:30">
      <c r="AD5370" s="1"/>
    </row>
    <row r="5371" spans="30:30">
      <c r="AD5371" s="1"/>
    </row>
    <row r="5372" spans="30:30">
      <c r="AD5372" s="1"/>
    </row>
    <row r="5373" spans="30:30">
      <c r="AD5373" s="1"/>
    </row>
    <row r="5374" spans="30:30">
      <c r="AD5374" s="1"/>
    </row>
    <row r="5375" spans="30:30">
      <c r="AD5375" s="1"/>
    </row>
    <row r="5376" spans="30:30">
      <c r="AD5376" s="1"/>
    </row>
    <row r="5377" spans="30:30">
      <c r="AD5377" s="1"/>
    </row>
    <row r="5378" spans="30:30">
      <c r="AD5378" s="1"/>
    </row>
    <row r="5379" spans="30:30">
      <c r="AD5379" s="1"/>
    </row>
    <row r="5380" spans="30:30">
      <c r="AD5380" s="1"/>
    </row>
    <row r="5381" spans="30:30">
      <c r="AD5381" s="1"/>
    </row>
    <row r="5382" spans="30:30">
      <c r="AD5382" s="1"/>
    </row>
    <row r="5383" spans="30:30">
      <c r="AD5383" s="1"/>
    </row>
    <row r="5384" spans="30:30">
      <c r="AD5384" s="1"/>
    </row>
    <row r="5385" spans="30:30">
      <c r="AD5385" s="1"/>
    </row>
    <row r="5386" spans="30:30">
      <c r="AD5386" s="1"/>
    </row>
    <row r="5387" spans="30:30">
      <c r="AD5387" s="1"/>
    </row>
    <row r="5388" spans="30:30">
      <c r="AD5388" s="1"/>
    </row>
    <row r="5389" spans="30:30">
      <c r="AD5389" s="1"/>
    </row>
    <row r="5390" spans="30:30">
      <c r="AD5390" s="1"/>
    </row>
    <row r="5391" spans="30:30">
      <c r="AD5391" s="1"/>
    </row>
    <row r="5392" spans="30:30">
      <c r="AD5392" s="1"/>
    </row>
    <row r="5393" spans="30:30">
      <c r="AD5393" s="1"/>
    </row>
    <row r="5394" spans="30:30">
      <c r="AD5394" s="1"/>
    </row>
    <row r="5395" spans="30:30">
      <c r="AD5395" s="1"/>
    </row>
    <row r="5396" spans="30:30">
      <c r="AD5396" s="1"/>
    </row>
    <row r="5397" spans="30:30">
      <c r="AD5397" s="1"/>
    </row>
    <row r="5398" spans="30:30">
      <c r="AD5398" s="1"/>
    </row>
    <row r="5399" spans="30:30">
      <c r="AD5399" s="1"/>
    </row>
    <row r="5400" spans="30:30">
      <c r="AD5400" s="1"/>
    </row>
    <row r="5401" spans="30:30">
      <c r="AD5401" s="1"/>
    </row>
    <row r="5402" spans="30:30">
      <c r="AD5402" s="1"/>
    </row>
    <row r="5403" spans="30:30">
      <c r="AD5403" s="1"/>
    </row>
    <row r="5404" spans="30:30">
      <c r="AD5404" s="1"/>
    </row>
    <row r="5405" spans="30:30">
      <c r="AD5405" s="1"/>
    </row>
    <row r="5406" spans="30:30">
      <c r="AD5406" s="1"/>
    </row>
    <row r="5407" spans="30:30">
      <c r="AD5407" s="1"/>
    </row>
    <row r="5408" spans="30:30">
      <c r="AD5408" s="1"/>
    </row>
    <row r="5409" spans="30:30">
      <c r="AD5409" s="1"/>
    </row>
    <row r="5410" spans="30:30">
      <c r="AD5410" s="1"/>
    </row>
    <row r="5411" spans="30:30">
      <c r="AD5411" s="1"/>
    </row>
    <row r="5412" spans="30:30">
      <c r="AD5412" s="1"/>
    </row>
    <row r="5413" spans="30:30">
      <c r="AD5413" s="1"/>
    </row>
    <row r="5414" spans="30:30">
      <c r="AD5414" s="1"/>
    </row>
    <row r="5415" spans="30:30">
      <c r="AD5415" s="1"/>
    </row>
    <row r="5416" spans="30:30">
      <c r="AD5416" s="1"/>
    </row>
    <row r="5417" spans="30:30">
      <c r="AD5417" s="1"/>
    </row>
    <row r="5418" spans="30:30">
      <c r="AD5418" s="1"/>
    </row>
    <row r="5419" spans="30:30">
      <c r="AD5419" s="1"/>
    </row>
    <row r="5420" spans="30:30">
      <c r="AD5420" s="1"/>
    </row>
    <row r="5421" spans="30:30">
      <c r="AD5421" s="1"/>
    </row>
    <row r="5422" spans="30:30">
      <c r="AD5422" s="1"/>
    </row>
    <row r="5423" spans="30:30">
      <c r="AD5423" s="1"/>
    </row>
    <row r="5424" spans="30:30">
      <c r="AD5424" s="1"/>
    </row>
    <row r="5425" spans="30:30">
      <c r="AD5425" s="1"/>
    </row>
    <row r="5426" spans="30:30">
      <c r="AD5426" s="1"/>
    </row>
    <row r="5427" spans="30:30">
      <c r="AD5427" s="1"/>
    </row>
    <row r="5428" spans="30:30">
      <c r="AD5428" s="1"/>
    </row>
    <row r="5429" spans="30:30">
      <c r="AD5429" s="1"/>
    </row>
    <row r="5430" spans="30:30">
      <c r="AD5430" s="1"/>
    </row>
    <row r="5431" spans="30:30">
      <c r="AD5431" s="1"/>
    </row>
    <row r="5432" spans="30:30">
      <c r="AD5432" s="1"/>
    </row>
    <row r="5433" spans="30:30">
      <c r="AD5433" s="1"/>
    </row>
    <row r="5434" spans="30:30">
      <c r="AD5434" s="1"/>
    </row>
    <row r="5435" spans="30:30">
      <c r="AD5435" s="1"/>
    </row>
    <row r="5436" spans="30:30">
      <c r="AD5436" s="1"/>
    </row>
    <row r="5437" spans="30:30">
      <c r="AD5437" s="1"/>
    </row>
    <row r="5438" spans="30:30">
      <c r="AD5438" s="1"/>
    </row>
    <row r="5439" spans="30:30">
      <c r="AD5439" s="1"/>
    </row>
    <row r="5440" spans="30:30">
      <c r="AD5440" s="1"/>
    </row>
    <row r="5441" spans="30:30">
      <c r="AD5441" s="1"/>
    </row>
    <row r="5442" spans="30:30">
      <c r="AD5442" s="1"/>
    </row>
    <row r="5443" spans="30:30">
      <c r="AD5443" s="1"/>
    </row>
    <row r="5444" spans="30:30">
      <c r="AD5444" s="1"/>
    </row>
    <row r="5445" spans="30:30">
      <c r="AD5445" s="1"/>
    </row>
    <row r="5446" spans="30:30">
      <c r="AD5446" s="1"/>
    </row>
    <row r="5447" spans="30:30">
      <c r="AD5447" s="1"/>
    </row>
    <row r="5448" spans="30:30">
      <c r="AD5448" s="1"/>
    </row>
    <row r="5449" spans="30:30">
      <c r="AD5449" s="1"/>
    </row>
    <row r="5450" spans="30:30">
      <c r="AD5450" s="1"/>
    </row>
    <row r="5451" spans="30:30">
      <c r="AD5451" s="1"/>
    </row>
    <row r="5452" spans="30:30">
      <c r="AD5452" s="1"/>
    </row>
    <row r="5453" spans="30:30">
      <c r="AD5453" s="1"/>
    </row>
    <row r="5454" spans="30:30">
      <c r="AD5454" s="1"/>
    </row>
    <row r="5455" spans="30:30">
      <c r="AD5455" s="1"/>
    </row>
    <row r="5456" spans="30:30">
      <c r="AD5456" s="1"/>
    </row>
    <row r="5457" spans="30:30">
      <c r="AD5457" s="1"/>
    </row>
    <row r="5458" spans="30:30">
      <c r="AD5458" s="1"/>
    </row>
    <row r="5459" spans="30:30">
      <c r="AD5459" s="1"/>
    </row>
    <row r="5460" spans="30:30">
      <c r="AD5460" s="1"/>
    </row>
    <row r="5461" spans="30:30">
      <c r="AD5461" s="1"/>
    </row>
    <row r="5462" spans="30:30">
      <c r="AD5462" s="1"/>
    </row>
    <row r="5463" spans="30:30">
      <c r="AD5463" s="1"/>
    </row>
    <row r="5464" spans="30:30">
      <c r="AD5464" s="1"/>
    </row>
    <row r="5465" spans="30:30">
      <c r="AD5465" s="1"/>
    </row>
    <row r="5466" spans="30:30">
      <c r="AD5466" s="1"/>
    </row>
    <row r="5467" spans="30:30">
      <c r="AD5467" s="1"/>
    </row>
    <row r="5468" spans="30:30">
      <c r="AD5468" s="1"/>
    </row>
    <row r="5469" spans="30:30">
      <c r="AD5469" s="1"/>
    </row>
    <row r="5470" spans="30:30">
      <c r="AD5470" s="1"/>
    </row>
    <row r="5471" spans="30:30">
      <c r="AD5471" s="1"/>
    </row>
    <row r="5472" spans="30:30">
      <c r="AD5472" s="1"/>
    </row>
    <row r="5473" spans="30:30">
      <c r="AD5473" s="1"/>
    </row>
    <row r="5474" spans="30:30">
      <c r="AD5474" s="1"/>
    </row>
    <row r="5475" spans="30:30">
      <c r="AD5475" s="1"/>
    </row>
    <row r="5476" spans="30:30">
      <c r="AD5476" s="1"/>
    </row>
    <row r="5477" spans="30:30">
      <c r="AD5477" s="1"/>
    </row>
    <row r="5478" spans="30:30">
      <c r="AD5478" s="1"/>
    </row>
    <row r="5479" spans="30:30">
      <c r="AD5479" s="1"/>
    </row>
    <row r="5480" spans="30:30">
      <c r="AD5480" s="1"/>
    </row>
    <row r="5481" spans="30:30">
      <c r="AD5481" s="1"/>
    </row>
    <row r="5482" spans="30:30">
      <c r="AD5482" s="1"/>
    </row>
    <row r="5483" spans="30:30">
      <c r="AD5483" s="1"/>
    </row>
    <row r="5484" spans="30:30">
      <c r="AD5484" s="1"/>
    </row>
    <row r="5485" spans="30:30">
      <c r="AD5485" s="1"/>
    </row>
    <row r="5486" spans="30:30">
      <c r="AD5486" s="1"/>
    </row>
    <row r="5487" spans="30:30">
      <c r="AD5487" s="1"/>
    </row>
    <row r="5488" spans="30:30">
      <c r="AD5488" s="1"/>
    </row>
    <row r="5489" spans="30:30">
      <c r="AD5489" s="1"/>
    </row>
    <row r="5490" spans="30:30">
      <c r="AD5490" s="1"/>
    </row>
    <row r="5491" spans="30:30">
      <c r="AD5491" s="1"/>
    </row>
    <row r="5492" spans="30:30">
      <c r="AD5492" s="1"/>
    </row>
    <row r="5493" spans="30:30">
      <c r="AD5493" s="1"/>
    </row>
    <row r="5494" spans="30:30">
      <c r="AD5494" s="1"/>
    </row>
    <row r="5495" spans="30:30">
      <c r="AD5495" s="1"/>
    </row>
    <row r="5496" spans="30:30">
      <c r="AD5496" s="1"/>
    </row>
    <row r="5497" spans="30:30">
      <c r="AD5497" s="1"/>
    </row>
    <row r="5498" spans="30:30">
      <c r="AD5498" s="1"/>
    </row>
    <row r="5499" spans="30:30">
      <c r="AD5499" s="1"/>
    </row>
    <row r="5500" spans="30:30">
      <c r="AD5500" s="1"/>
    </row>
    <row r="5501" spans="30:30">
      <c r="AD5501" s="1"/>
    </row>
    <row r="5502" spans="30:30">
      <c r="AD5502" s="1"/>
    </row>
    <row r="5503" spans="30:30">
      <c r="AD5503" s="1"/>
    </row>
    <row r="5504" spans="30:30">
      <c r="AD5504" s="1"/>
    </row>
    <row r="5505" spans="30:30">
      <c r="AD5505" s="1"/>
    </row>
    <row r="5506" spans="30:30">
      <c r="AD5506" s="1"/>
    </row>
    <row r="5507" spans="30:30">
      <c r="AD5507" s="1"/>
    </row>
    <row r="5508" spans="30:30">
      <c r="AD5508" s="1"/>
    </row>
    <row r="5509" spans="30:30">
      <c r="AD5509" s="1"/>
    </row>
    <row r="5510" spans="30:30">
      <c r="AD5510" s="1"/>
    </row>
    <row r="5511" spans="30:30">
      <c r="AD5511" s="1"/>
    </row>
    <row r="5512" spans="30:30">
      <c r="AD5512" s="1"/>
    </row>
    <row r="5513" spans="30:30">
      <c r="AD5513" s="1"/>
    </row>
    <row r="5514" spans="30:30">
      <c r="AD5514" s="1"/>
    </row>
    <row r="5515" spans="30:30">
      <c r="AD5515" s="1"/>
    </row>
    <row r="5516" spans="30:30">
      <c r="AD5516" s="1"/>
    </row>
    <row r="5517" spans="30:30">
      <c r="AD5517" s="1"/>
    </row>
    <row r="5518" spans="30:30">
      <c r="AD5518" s="1"/>
    </row>
    <row r="5519" spans="30:30">
      <c r="AD5519" s="1"/>
    </row>
    <row r="5520" spans="30:30">
      <c r="AD5520" s="1"/>
    </row>
    <row r="5521" spans="30:30">
      <c r="AD5521" s="1"/>
    </row>
    <row r="5522" spans="30:30">
      <c r="AD5522" s="1"/>
    </row>
    <row r="5523" spans="30:30">
      <c r="AD5523" s="1"/>
    </row>
    <row r="5524" spans="30:30">
      <c r="AD5524" s="1"/>
    </row>
    <row r="5525" spans="30:30">
      <c r="AD5525" s="1"/>
    </row>
    <row r="5526" spans="30:30">
      <c r="AD5526" s="1"/>
    </row>
    <row r="5527" spans="30:30">
      <c r="AD5527" s="1"/>
    </row>
    <row r="5528" spans="30:30">
      <c r="AD5528" s="1"/>
    </row>
    <row r="5529" spans="30:30">
      <c r="AD5529" s="1"/>
    </row>
    <row r="5530" spans="30:30">
      <c r="AD5530" s="1"/>
    </row>
    <row r="5531" spans="30:30">
      <c r="AD5531" s="1"/>
    </row>
    <row r="5532" spans="30:30">
      <c r="AD5532" s="1"/>
    </row>
    <row r="5533" spans="30:30">
      <c r="AD5533" s="1"/>
    </row>
    <row r="5534" spans="30:30">
      <c r="AD5534" s="1"/>
    </row>
    <row r="5535" spans="30:30">
      <c r="AD5535" s="1"/>
    </row>
    <row r="5536" spans="30:30">
      <c r="AD5536" s="1"/>
    </row>
    <row r="5537" spans="30:30">
      <c r="AD5537" s="1"/>
    </row>
    <row r="5538" spans="30:30">
      <c r="AD5538" s="1"/>
    </row>
    <row r="5539" spans="30:30">
      <c r="AD5539" s="1"/>
    </row>
    <row r="5540" spans="30:30">
      <c r="AD5540" s="1"/>
    </row>
    <row r="5541" spans="30:30">
      <c r="AD5541" s="1"/>
    </row>
    <row r="5542" spans="30:30">
      <c r="AD5542" s="1"/>
    </row>
    <row r="5543" spans="30:30">
      <c r="AD5543" s="1"/>
    </row>
    <row r="5544" spans="30:30">
      <c r="AD5544" s="1"/>
    </row>
    <row r="5545" spans="30:30">
      <c r="AD5545" s="1"/>
    </row>
    <row r="5546" spans="30:30">
      <c r="AD5546" s="1"/>
    </row>
    <row r="5547" spans="30:30">
      <c r="AD5547" s="1"/>
    </row>
    <row r="5548" spans="30:30">
      <c r="AD5548" s="1"/>
    </row>
    <row r="5549" spans="30:30">
      <c r="AD5549" s="1"/>
    </row>
    <row r="5550" spans="30:30">
      <c r="AD5550" s="1"/>
    </row>
    <row r="5551" spans="30:30">
      <c r="AD5551" s="1"/>
    </row>
    <row r="5552" spans="30:30">
      <c r="AD5552" s="1"/>
    </row>
    <row r="5553" spans="30:30">
      <c r="AD5553" s="1"/>
    </row>
    <row r="5554" spans="30:30">
      <c r="AD5554" s="1"/>
    </row>
    <row r="5555" spans="30:30">
      <c r="AD5555" s="1"/>
    </row>
    <row r="5556" spans="30:30">
      <c r="AD5556" s="1"/>
    </row>
    <row r="5557" spans="30:30">
      <c r="AD5557" s="1"/>
    </row>
    <row r="5558" spans="30:30">
      <c r="AD5558" s="1"/>
    </row>
    <row r="5559" spans="30:30">
      <c r="AD5559" s="1"/>
    </row>
    <row r="5560" spans="30:30">
      <c r="AD5560" s="1"/>
    </row>
    <row r="5561" spans="30:30">
      <c r="AD5561" s="1"/>
    </row>
    <row r="5562" spans="30:30">
      <c r="AD5562" s="1"/>
    </row>
    <row r="5563" spans="30:30">
      <c r="AD5563" s="1"/>
    </row>
    <row r="5564" spans="30:30">
      <c r="AD5564" s="1"/>
    </row>
    <row r="5565" spans="30:30">
      <c r="AD5565" s="1"/>
    </row>
    <row r="5566" spans="30:30">
      <c r="AD5566" s="1"/>
    </row>
    <row r="5567" spans="30:30">
      <c r="AD5567" s="1"/>
    </row>
    <row r="5568" spans="30:30">
      <c r="AD5568" s="1"/>
    </row>
    <row r="5569" spans="30:30">
      <c r="AD5569" s="1"/>
    </row>
    <row r="5570" spans="30:30">
      <c r="AD5570" s="1"/>
    </row>
    <row r="5571" spans="30:30">
      <c r="AD5571" s="1"/>
    </row>
    <row r="5572" spans="30:30">
      <c r="AD5572" s="1"/>
    </row>
    <row r="5573" spans="30:30">
      <c r="AD5573" s="1"/>
    </row>
    <row r="5574" spans="30:30">
      <c r="AD5574" s="1"/>
    </row>
    <row r="5575" spans="30:30">
      <c r="AD5575" s="1"/>
    </row>
    <row r="5576" spans="30:30">
      <c r="AD5576" s="1"/>
    </row>
    <row r="5577" spans="30:30">
      <c r="AD5577" s="1"/>
    </row>
    <row r="5578" spans="30:30">
      <c r="AD5578" s="1"/>
    </row>
    <row r="5579" spans="30:30">
      <c r="AD5579" s="1"/>
    </row>
    <row r="5580" spans="30:30">
      <c r="AD5580" s="1"/>
    </row>
    <row r="5581" spans="30:30">
      <c r="AD5581" s="1"/>
    </row>
    <row r="5582" spans="30:30">
      <c r="AD5582" s="1"/>
    </row>
    <row r="5583" spans="30:30">
      <c r="AD5583" s="1"/>
    </row>
    <row r="5584" spans="30:30">
      <c r="AD5584" s="1"/>
    </row>
    <row r="5585" spans="30:30">
      <c r="AD5585" s="1"/>
    </row>
    <row r="5586" spans="30:30">
      <c r="AD5586" s="1"/>
    </row>
    <row r="5587" spans="30:30">
      <c r="AD5587" s="1"/>
    </row>
    <row r="5588" spans="30:30">
      <c r="AD5588" s="1"/>
    </row>
    <row r="5589" spans="30:30">
      <c r="AD5589" s="1"/>
    </row>
    <row r="5590" spans="30:30">
      <c r="AD5590" s="1"/>
    </row>
    <row r="5591" spans="30:30">
      <c r="AD5591" s="1"/>
    </row>
    <row r="5592" spans="30:30">
      <c r="AD5592" s="1"/>
    </row>
    <row r="5593" spans="30:30">
      <c r="AD5593" s="1"/>
    </row>
    <row r="5594" spans="30:30">
      <c r="AD5594" s="1"/>
    </row>
    <row r="5595" spans="30:30">
      <c r="AD5595" s="1"/>
    </row>
    <row r="5596" spans="30:30">
      <c r="AD5596" s="1"/>
    </row>
    <row r="5597" spans="30:30">
      <c r="AD5597" s="1"/>
    </row>
    <row r="5598" spans="30:30">
      <c r="AD5598" s="1"/>
    </row>
    <row r="5599" spans="30:30">
      <c r="AD5599" s="1"/>
    </row>
    <row r="5600" spans="30:30">
      <c r="AD5600" s="1"/>
    </row>
    <row r="5601" spans="30:30">
      <c r="AD5601" s="1"/>
    </row>
    <row r="5602" spans="30:30">
      <c r="AD5602" s="1"/>
    </row>
    <row r="5603" spans="30:30">
      <c r="AD5603" s="1"/>
    </row>
    <row r="5604" spans="30:30">
      <c r="AD5604" s="1"/>
    </row>
    <row r="5605" spans="30:30">
      <c r="AD5605" s="1"/>
    </row>
    <row r="5606" spans="30:30">
      <c r="AD5606" s="1"/>
    </row>
    <row r="5607" spans="30:30">
      <c r="AD5607" s="1"/>
    </row>
    <row r="5608" spans="30:30">
      <c r="AD5608" s="1"/>
    </row>
    <row r="5609" spans="30:30">
      <c r="AD5609" s="1"/>
    </row>
    <row r="5610" spans="30:30">
      <c r="AD5610" s="1"/>
    </row>
    <row r="5611" spans="30:30">
      <c r="AD5611" s="1"/>
    </row>
    <row r="5612" spans="30:30">
      <c r="AD5612" s="1"/>
    </row>
    <row r="5613" spans="30:30">
      <c r="AD5613" s="1"/>
    </row>
    <row r="5614" spans="30:30">
      <c r="AD5614" s="1"/>
    </row>
    <row r="5615" spans="30:30">
      <c r="AD5615" s="1"/>
    </row>
    <row r="5616" spans="30:30">
      <c r="AD5616" s="1"/>
    </row>
    <row r="5617" spans="30:30">
      <c r="AD5617" s="1"/>
    </row>
    <row r="5618" spans="30:30">
      <c r="AD5618" s="1"/>
    </row>
    <row r="5619" spans="30:30">
      <c r="AD5619" s="1"/>
    </row>
    <row r="5620" spans="30:30">
      <c r="AD5620" s="1"/>
    </row>
    <row r="5621" spans="30:30">
      <c r="AD5621" s="1"/>
    </row>
    <row r="5622" spans="30:30">
      <c r="AD5622" s="1"/>
    </row>
    <row r="5623" spans="30:30">
      <c r="AD5623" s="1"/>
    </row>
    <row r="5624" spans="30:30">
      <c r="AD5624" s="1"/>
    </row>
    <row r="5625" spans="30:30">
      <c r="AD5625" s="1"/>
    </row>
    <row r="5626" spans="30:30">
      <c r="AD5626" s="1"/>
    </row>
    <row r="5627" spans="30:30">
      <c r="AD5627" s="1"/>
    </row>
    <row r="5628" spans="30:30">
      <c r="AD5628" s="1"/>
    </row>
    <row r="5629" spans="30:30">
      <c r="AD5629" s="1"/>
    </row>
    <row r="5630" spans="30:30">
      <c r="AD5630" s="1"/>
    </row>
    <row r="5631" spans="30:30">
      <c r="AD5631" s="1"/>
    </row>
    <row r="5632" spans="30:30">
      <c r="AD5632" s="1"/>
    </row>
    <row r="5633" spans="30:30">
      <c r="AD5633" s="1"/>
    </row>
    <row r="5634" spans="30:30">
      <c r="AD5634" s="1"/>
    </row>
    <row r="5635" spans="30:30">
      <c r="AD5635" s="1"/>
    </row>
    <row r="5636" spans="30:30">
      <c r="AD5636" s="1"/>
    </row>
    <row r="5637" spans="30:30">
      <c r="AD5637" s="1"/>
    </row>
    <row r="5638" spans="30:30">
      <c r="AD5638" s="1"/>
    </row>
    <row r="5639" spans="30:30">
      <c r="AD5639" s="1"/>
    </row>
    <row r="5640" spans="30:30">
      <c r="AD5640" s="1"/>
    </row>
    <row r="5641" spans="30:30">
      <c r="AD5641" s="1"/>
    </row>
    <row r="5642" spans="30:30">
      <c r="AD5642" s="1"/>
    </row>
    <row r="5643" spans="30:30">
      <c r="AD5643" s="1"/>
    </row>
    <row r="5644" spans="30:30">
      <c r="AD5644" s="1"/>
    </row>
    <row r="5645" spans="30:30">
      <c r="AD5645" s="1"/>
    </row>
    <row r="5646" spans="30:30">
      <c r="AD5646" s="1"/>
    </row>
    <row r="5647" spans="30:30">
      <c r="AD5647" s="1"/>
    </row>
    <row r="5648" spans="30:30">
      <c r="AD5648" s="1"/>
    </row>
    <row r="5649" spans="30:30">
      <c r="AD5649" s="1"/>
    </row>
    <row r="5650" spans="30:30">
      <c r="AD5650" s="1"/>
    </row>
    <row r="5651" spans="30:30">
      <c r="AD5651" s="1"/>
    </row>
    <row r="5652" spans="30:30">
      <c r="AD5652" s="1"/>
    </row>
    <row r="5653" spans="30:30">
      <c r="AD5653" s="1"/>
    </row>
    <row r="5654" spans="30:30">
      <c r="AD5654" s="1"/>
    </row>
    <row r="5655" spans="30:30">
      <c r="AD5655" s="1"/>
    </row>
    <row r="5656" spans="30:30">
      <c r="AD5656" s="1"/>
    </row>
    <row r="5657" spans="30:30">
      <c r="AD5657" s="1"/>
    </row>
    <row r="5658" spans="30:30">
      <c r="AD5658" s="1"/>
    </row>
    <row r="5659" spans="30:30">
      <c r="AD5659" s="1"/>
    </row>
    <row r="5660" spans="30:30">
      <c r="AD5660" s="1"/>
    </row>
    <row r="5661" spans="30:30">
      <c r="AD5661" s="1"/>
    </row>
    <row r="5662" spans="30:30">
      <c r="AD5662" s="1"/>
    </row>
    <row r="5663" spans="30:30">
      <c r="AD5663" s="1"/>
    </row>
    <row r="5664" spans="30:30">
      <c r="AD5664" s="1"/>
    </row>
    <row r="5665" spans="30:30">
      <c r="AD5665" s="1"/>
    </row>
    <row r="5666" spans="30:30">
      <c r="AD5666" s="1"/>
    </row>
    <row r="5667" spans="30:30">
      <c r="AD5667" s="1"/>
    </row>
    <row r="5668" spans="30:30">
      <c r="AD5668" s="1"/>
    </row>
    <row r="5669" spans="30:30">
      <c r="AD5669" s="1"/>
    </row>
    <row r="5670" spans="30:30">
      <c r="AD5670" s="1"/>
    </row>
    <row r="5671" spans="30:30">
      <c r="AD5671" s="1"/>
    </row>
    <row r="5672" spans="30:30">
      <c r="AD5672" s="1"/>
    </row>
    <row r="5673" spans="30:30">
      <c r="AD5673" s="1"/>
    </row>
    <row r="5674" spans="30:30">
      <c r="AD5674" s="1"/>
    </row>
    <row r="5675" spans="30:30">
      <c r="AD5675" s="1"/>
    </row>
    <row r="5676" spans="30:30">
      <c r="AD5676" s="1"/>
    </row>
    <row r="5677" spans="30:30">
      <c r="AD5677" s="1"/>
    </row>
    <row r="5678" spans="30:30">
      <c r="AD5678" s="1"/>
    </row>
    <row r="5679" spans="30:30">
      <c r="AD5679" s="1"/>
    </row>
    <row r="5680" spans="30:30">
      <c r="AD5680" s="1"/>
    </row>
    <row r="5681" spans="30:30">
      <c r="AD5681" s="1"/>
    </row>
    <row r="5682" spans="30:30">
      <c r="AD5682" s="1"/>
    </row>
    <row r="5683" spans="30:30">
      <c r="AD5683" s="1"/>
    </row>
    <row r="5684" spans="30:30">
      <c r="AD5684" s="1"/>
    </row>
    <row r="5685" spans="30:30">
      <c r="AD5685" s="1"/>
    </row>
    <row r="5686" spans="30:30">
      <c r="AD5686" s="1"/>
    </row>
    <row r="5687" spans="30:30">
      <c r="AD5687" s="1"/>
    </row>
    <row r="5688" spans="30:30">
      <c r="AD5688" s="1"/>
    </row>
    <row r="5689" spans="30:30">
      <c r="AD5689" s="1"/>
    </row>
    <row r="5690" spans="30:30">
      <c r="AD5690" s="1"/>
    </row>
    <row r="5691" spans="30:30">
      <c r="AD5691" s="1"/>
    </row>
    <row r="5692" spans="30:30">
      <c r="AD5692" s="1"/>
    </row>
    <row r="5693" spans="30:30">
      <c r="AD5693" s="1"/>
    </row>
    <row r="5694" spans="30:30">
      <c r="AD5694" s="1"/>
    </row>
    <row r="5695" spans="30:30">
      <c r="AD5695" s="1"/>
    </row>
    <row r="5696" spans="30:30">
      <c r="AD5696" s="1"/>
    </row>
    <row r="5697" spans="30:30">
      <c r="AD5697" s="1"/>
    </row>
    <row r="5698" spans="30:30">
      <c r="AD5698" s="1"/>
    </row>
    <row r="5699" spans="30:30">
      <c r="AD5699" s="1"/>
    </row>
    <row r="5700" spans="30:30">
      <c r="AD5700" s="1"/>
    </row>
    <row r="5701" spans="30:30">
      <c r="AD5701" s="1"/>
    </row>
    <row r="5702" spans="30:30">
      <c r="AD5702" s="1"/>
    </row>
    <row r="5703" spans="30:30">
      <c r="AD5703" s="1"/>
    </row>
    <row r="5704" spans="30:30">
      <c r="AD5704" s="1"/>
    </row>
    <row r="5705" spans="30:30">
      <c r="AD5705" s="1"/>
    </row>
    <row r="5706" spans="30:30">
      <c r="AD5706" s="1"/>
    </row>
    <row r="5707" spans="30:30">
      <c r="AD5707" s="1"/>
    </row>
    <row r="5708" spans="30:30">
      <c r="AD5708" s="1"/>
    </row>
    <row r="5709" spans="30:30">
      <c r="AD5709" s="1"/>
    </row>
    <row r="5710" spans="30:30">
      <c r="AD5710" s="1"/>
    </row>
    <row r="5711" spans="30:30">
      <c r="AD5711" s="1"/>
    </row>
    <row r="5712" spans="30:30">
      <c r="AD5712" s="1"/>
    </row>
    <row r="5713" spans="30:30">
      <c r="AD5713" s="1"/>
    </row>
    <row r="5714" spans="30:30">
      <c r="AD5714" s="1"/>
    </row>
    <row r="5715" spans="30:30">
      <c r="AD5715" s="1"/>
    </row>
    <row r="5716" spans="30:30">
      <c r="AD5716" s="1"/>
    </row>
    <row r="5717" spans="30:30">
      <c r="AD5717" s="1"/>
    </row>
    <row r="5718" spans="30:30">
      <c r="AD5718" s="1"/>
    </row>
    <row r="5719" spans="30:30">
      <c r="AD5719" s="1"/>
    </row>
    <row r="5720" spans="30:30">
      <c r="AD5720" s="1"/>
    </row>
    <row r="5721" spans="30:30">
      <c r="AD5721" s="1"/>
    </row>
    <row r="5722" spans="30:30">
      <c r="AD5722" s="1"/>
    </row>
    <row r="5723" spans="30:30">
      <c r="AD5723" s="1"/>
    </row>
    <row r="5724" spans="30:30">
      <c r="AD5724" s="1"/>
    </row>
    <row r="5725" spans="30:30">
      <c r="AD5725" s="1"/>
    </row>
    <row r="5726" spans="30:30">
      <c r="AD5726" s="1"/>
    </row>
    <row r="5727" spans="30:30">
      <c r="AD5727" s="1"/>
    </row>
    <row r="5728" spans="30:30">
      <c r="AD5728" s="1"/>
    </row>
    <row r="5729" spans="30:30">
      <c r="AD5729" s="1"/>
    </row>
    <row r="5730" spans="30:30">
      <c r="AD5730" s="1"/>
    </row>
    <row r="5731" spans="30:30">
      <c r="AD5731" s="1"/>
    </row>
    <row r="5732" spans="30:30">
      <c r="AD5732" s="1"/>
    </row>
    <row r="5733" spans="30:30">
      <c r="AD5733" s="1"/>
    </row>
    <row r="5734" spans="30:30">
      <c r="AD5734" s="1"/>
    </row>
    <row r="5735" spans="30:30">
      <c r="AD5735" s="1"/>
    </row>
    <row r="5736" spans="30:30">
      <c r="AD5736" s="1"/>
    </row>
    <row r="5737" spans="30:30">
      <c r="AD5737" s="1"/>
    </row>
    <row r="5738" spans="30:30">
      <c r="AD5738" s="1"/>
    </row>
    <row r="5739" spans="30:30">
      <c r="AD5739" s="1"/>
    </row>
    <row r="5740" spans="30:30">
      <c r="AD5740" s="1"/>
    </row>
    <row r="5741" spans="30:30">
      <c r="AD5741" s="1"/>
    </row>
    <row r="5742" spans="30:30">
      <c r="AD5742" s="1"/>
    </row>
    <row r="5743" spans="30:30">
      <c r="AD5743" s="1"/>
    </row>
    <row r="5744" spans="30:30">
      <c r="AD5744" s="1"/>
    </row>
    <row r="5745" spans="30:30">
      <c r="AD5745" s="1"/>
    </row>
    <row r="5746" spans="30:30">
      <c r="AD5746" s="1"/>
    </row>
    <row r="5747" spans="30:30">
      <c r="AD5747" s="1"/>
    </row>
    <row r="5748" spans="30:30">
      <c r="AD5748" s="1"/>
    </row>
    <row r="5749" spans="30:30">
      <c r="AD5749" s="1"/>
    </row>
    <row r="5750" spans="30:30">
      <c r="AD5750" s="1"/>
    </row>
    <row r="5751" spans="30:30">
      <c r="AD5751" s="1"/>
    </row>
    <row r="5752" spans="30:30">
      <c r="AD5752" s="1"/>
    </row>
    <row r="5753" spans="30:30">
      <c r="AD5753" s="1"/>
    </row>
    <row r="5754" spans="30:30">
      <c r="AD5754" s="1"/>
    </row>
    <row r="5755" spans="30:30">
      <c r="AD5755" s="1"/>
    </row>
    <row r="5756" spans="30:30">
      <c r="AD5756" s="1"/>
    </row>
    <row r="5757" spans="30:30">
      <c r="AD5757" s="1"/>
    </row>
    <row r="5758" spans="30:30">
      <c r="AD5758" s="1"/>
    </row>
    <row r="5759" spans="30:30">
      <c r="AD5759" s="1"/>
    </row>
    <row r="5760" spans="30:30">
      <c r="AD5760" s="1"/>
    </row>
    <row r="5761" spans="30:30">
      <c r="AD5761" s="1"/>
    </row>
    <row r="5762" spans="30:30">
      <c r="AD5762" s="1"/>
    </row>
    <row r="5763" spans="30:30">
      <c r="AD5763" s="1"/>
    </row>
    <row r="5764" spans="30:30">
      <c r="AD5764" s="1"/>
    </row>
    <row r="5765" spans="30:30">
      <c r="AD5765" s="1"/>
    </row>
    <row r="5766" spans="30:30">
      <c r="AD5766" s="1"/>
    </row>
    <row r="5767" spans="30:30">
      <c r="AD5767" s="1"/>
    </row>
    <row r="5768" spans="30:30">
      <c r="AD5768" s="1"/>
    </row>
    <row r="5769" spans="30:30">
      <c r="AD5769" s="1"/>
    </row>
    <row r="5770" spans="30:30">
      <c r="AD5770" s="1"/>
    </row>
    <row r="5771" spans="30:30">
      <c r="AD5771" s="1"/>
    </row>
    <row r="5772" spans="30:30">
      <c r="AD5772" s="1"/>
    </row>
    <row r="5773" spans="30:30">
      <c r="AD5773" s="1"/>
    </row>
    <row r="5774" spans="30:30">
      <c r="AD5774" s="1"/>
    </row>
    <row r="5775" spans="30:30">
      <c r="AD5775" s="1"/>
    </row>
    <row r="5776" spans="30:30">
      <c r="AD5776" s="1"/>
    </row>
    <row r="5777" spans="30:30">
      <c r="AD5777" s="1"/>
    </row>
    <row r="5778" spans="30:30">
      <c r="AD5778" s="1"/>
    </row>
    <row r="5779" spans="30:30">
      <c r="AD5779" s="1"/>
    </row>
    <row r="5780" spans="30:30">
      <c r="AD5780" s="1"/>
    </row>
    <row r="5781" spans="30:30">
      <c r="AD5781" s="1"/>
    </row>
    <row r="5782" spans="30:30">
      <c r="AD5782" s="1"/>
    </row>
    <row r="5783" spans="30:30">
      <c r="AD5783" s="1"/>
    </row>
    <row r="5784" spans="30:30">
      <c r="AD5784" s="1"/>
    </row>
    <row r="5785" spans="30:30">
      <c r="AD5785" s="1"/>
    </row>
    <row r="5786" spans="30:30">
      <c r="AD5786" s="1"/>
    </row>
    <row r="5787" spans="30:30">
      <c r="AD5787" s="1"/>
    </row>
    <row r="5788" spans="30:30">
      <c r="AD5788" s="1"/>
    </row>
    <row r="5789" spans="30:30">
      <c r="AD5789" s="1"/>
    </row>
    <row r="5790" spans="30:30">
      <c r="AD5790" s="1"/>
    </row>
    <row r="5791" spans="30:30">
      <c r="AD5791" s="1"/>
    </row>
    <row r="5792" spans="30:30">
      <c r="AD5792" s="1"/>
    </row>
    <row r="5793" spans="30:30">
      <c r="AD5793" s="1"/>
    </row>
    <row r="5794" spans="30:30">
      <c r="AD5794" s="1"/>
    </row>
    <row r="5795" spans="30:30">
      <c r="AD5795" s="1"/>
    </row>
    <row r="5796" spans="30:30">
      <c r="AD5796" s="1"/>
    </row>
    <row r="5797" spans="30:30">
      <c r="AD5797" s="1"/>
    </row>
    <row r="5798" spans="30:30">
      <c r="AD5798" s="1"/>
    </row>
    <row r="5799" spans="30:30">
      <c r="AD5799" s="1"/>
    </row>
    <row r="5800" spans="30:30">
      <c r="AD5800" s="1"/>
    </row>
    <row r="5801" spans="30:30">
      <c r="AD5801" s="1"/>
    </row>
    <row r="5802" spans="30:30">
      <c r="AD5802" s="1"/>
    </row>
    <row r="5803" spans="30:30">
      <c r="AD5803" s="1"/>
    </row>
    <row r="5804" spans="30:30">
      <c r="AD5804" s="1"/>
    </row>
    <row r="5805" spans="30:30">
      <c r="AD5805" s="1"/>
    </row>
    <row r="5806" spans="30:30">
      <c r="AD5806" s="1"/>
    </row>
    <row r="5807" spans="30:30">
      <c r="AD5807" s="1"/>
    </row>
    <row r="5808" spans="30:30">
      <c r="AD5808" s="1"/>
    </row>
    <row r="5809" spans="30:30">
      <c r="AD5809" s="1"/>
    </row>
    <row r="5810" spans="30:30">
      <c r="AD5810" s="1"/>
    </row>
    <row r="5811" spans="30:30">
      <c r="AD5811" s="1"/>
    </row>
    <row r="5812" spans="30:30">
      <c r="AD5812" s="1"/>
    </row>
    <row r="5813" spans="30:30">
      <c r="AD5813" s="1"/>
    </row>
    <row r="5814" spans="30:30">
      <c r="AD5814" s="1"/>
    </row>
    <row r="5815" spans="30:30">
      <c r="AD5815" s="1"/>
    </row>
    <row r="5816" spans="30:30">
      <c r="AD5816" s="1"/>
    </row>
    <row r="5817" spans="30:30">
      <c r="AD5817" s="1"/>
    </row>
    <row r="5818" spans="30:30">
      <c r="AD5818" s="1"/>
    </row>
    <row r="5819" spans="30:30">
      <c r="AD5819" s="1"/>
    </row>
    <row r="5820" spans="30:30">
      <c r="AD5820" s="1"/>
    </row>
    <row r="5821" spans="30:30">
      <c r="AD5821" s="1"/>
    </row>
    <row r="5822" spans="30:30">
      <c r="AD5822" s="1"/>
    </row>
    <row r="5823" spans="30:30">
      <c r="AD5823" s="1"/>
    </row>
    <row r="5824" spans="30:30">
      <c r="AD5824" s="1"/>
    </row>
    <row r="5825" spans="30:30">
      <c r="AD5825" s="1"/>
    </row>
    <row r="5826" spans="30:30">
      <c r="AD5826" s="1"/>
    </row>
    <row r="5827" spans="30:30">
      <c r="AD5827" s="1"/>
    </row>
    <row r="5828" spans="30:30">
      <c r="AD5828" s="1"/>
    </row>
    <row r="5829" spans="30:30">
      <c r="AD5829" s="1"/>
    </row>
    <row r="5830" spans="30:30">
      <c r="AD5830" s="1"/>
    </row>
    <row r="5831" spans="30:30">
      <c r="AD5831" s="1"/>
    </row>
    <row r="5832" spans="30:30">
      <c r="AD5832" s="1"/>
    </row>
    <row r="5833" spans="30:30">
      <c r="AD5833" s="1"/>
    </row>
    <row r="5834" spans="30:30">
      <c r="AD5834" s="1"/>
    </row>
    <row r="5835" spans="30:30">
      <c r="AD5835" s="1"/>
    </row>
    <row r="5836" spans="30:30">
      <c r="AD5836" s="1"/>
    </row>
    <row r="5837" spans="30:30">
      <c r="AD5837" s="1"/>
    </row>
    <row r="5838" spans="30:30">
      <c r="AD5838" s="1"/>
    </row>
    <row r="5839" spans="30:30">
      <c r="AD5839" s="1"/>
    </row>
    <row r="5840" spans="30:30">
      <c r="AD5840" s="1"/>
    </row>
    <row r="5841" spans="30:30">
      <c r="AD5841" s="1"/>
    </row>
    <row r="5842" spans="30:30">
      <c r="AD5842" s="1"/>
    </row>
    <row r="5843" spans="30:30">
      <c r="AD5843" s="1"/>
    </row>
    <row r="5844" spans="30:30">
      <c r="AD5844" s="1"/>
    </row>
    <row r="5845" spans="30:30">
      <c r="AD5845" s="1"/>
    </row>
    <row r="5846" spans="30:30">
      <c r="AD5846" s="1"/>
    </row>
    <row r="5847" spans="30:30">
      <c r="AD5847" s="1"/>
    </row>
    <row r="5848" spans="30:30">
      <c r="AD5848" s="1"/>
    </row>
    <row r="5849" spans="30:30">
      <c r="AD5849" s="1"/>
    </row>
    <row r="5850" spans="30:30">
      <c r="AD5850" s="1"/>
    </row>
    <row r="5851" spans="30:30">
      <c r="AD5851" s="1"/>
    </row>
    <row r="5852" spans="30:30">
      <c r="AD5852" s="1"/>
    </row>
    <row r="5853" spans="30:30">
      <c r="AD5853" s="1"/>
    </row>
    <row r="5854" spans="30:30">
      <c r="AD5854" s="1"/>
    </row>
    <row r="5855" spans="30:30">
      <c r="AD5855" s="1"/>
    </row>
    <row r="5856" spans="30:30">
      <c r="AD5856" s="1"/>
    </row>
    <row r="5857" spans="30:30">
      <c r="AD5857" s="1"/>
    </row>
    <row r="5858" spans="30:30">
      <c r="AD5858" s="1"/>
    </row>
    <row r="5859" spans="30:30">
      <c r="AD5859" s="1"/>
    </row>
    <row r="5860" spans="30:30">
      <c r="AD5860" s="1"/>
    </row>
    <row r="5861" spans="30:30">
      <c r="AD5861" s="1"/>
    </row>
    <row r="5862" spans="30:30">
      <c r="AD5862" s="1"/>
    </row>
    <row r="5863" spans="30:30">
      <c r="AD5863" s="1"/>
    </row>
    <row r="5864" spans="30:30">
      <c r="AD5864" s="1"/>
    </row>
    <row r="5865" spans="30:30">
      <c r="AD5865" s="1"/>
    </row>
    <row r="5866" spans="30:30">
      <c r="AD5866" s="1"/>
    </row>
    <row r="5867" spans="30:30">
      <c r="AD5867" s="1"/>
    </row>
    <row r="5868" spans="30:30">
      <c r="AD5868" s="1"/>
    </row>
    <row r="5869" spans="30:30">
      <c r="AD5869" s="1"/>
    </row>
    <row r="5870" spans="30:30">
      <c r="AD5870" s="1"/>
    </row>
    <row r="5871" spans="30:30">
      <c r="AD5871" s="1"/>
    </row>
    <row r="5872" spans="30:30">
      <c r="AD5872" s="1"/>
    </row>
    <row r="5873" spans="30:30">
      <c r="AD5873" s="1"/>
    </row>
    <row r="5874" spans="30:30">
      <c r="AD5874" s="1"/>
    </row>
    <row r="5875" spans="30:30">
      <c r="AD5875" s="1"/>
    </row>
    <row r="5876" spans="30:30">
      <c r="AD5876" s="1"/>
    </row>
    <row r="5877" spans="30:30">
      <c r="AD5877" s="1"/>
    </row>
    <row r="5878" spans="30:30">
      <c r="AD5878" s="1"/>
    </row>
    <row r="5879" spans="30:30">
      <c r="AD5879" s="1"/>
    </row>
    <row r="5880" spans="30:30">
      <c r="AD5880" s="1"/>
    </row>
    <row r="5881" spans="30:30">
      <c r="AD5881" s="1"/>
    </row>
    <row r="5882" spans="30:30">
      <c r="AD5882" s="1"/>
    </row>
    <row r="5883" spans="30:30">
      <c r="AD5883" s="1"/>
    </row>
    <row r="5884" spans="30:30">
      <c r="AD5884" s="1"/>
    </row>
    <row r="5885" spans="30:30">
      <c r="AD5885" s="1"/>
    </row>
    <row r="5886" spans="30:30">
      <c r="AD5886" s="1"/>
    </row>
    <row r="5887" spans="30:30">
      <c r="AD5887" s="1"/>
    </row>
    <row r="5888" spans="30:30">
      <c r="AD5888" s="1"/>
    </row>
    <row r="5889" spans="30:30">
      <c r="AD5889" s="1"/>
    </row>
    <row r="5890" spans="30:30">
      <c r="AD5890" s="1"/>
    </row>
    <row r="5891" spans="30:30">
      <c r="AD5891" s="1"/>
    </row>
    <row r="5892" spans="30:30">
      <c r="AD5892" s="1"/>
    </row>
    <row r="5893" spans="30:30">
      <c r="AD5893" s="1"/>
    </row>
    <row r="5894" spans="30:30">
      <c r="AD5894" s="1"/>
    </row>
    <row r="5895" spans="30:30">
      <c r="AD5895" s="1"/>
    </row>
    <row r="5896" spans="30:30">
      <c r="AD5896" s="1"/>
    </row>
    <row r="5897" spans="30:30">
      <c r="AD5897" s="1"/>
    </row>
    <row r="5898" spans="30:30">
      <c r="AD5898" s="1"/>
    </row>
    <row r="5899" spans="30:30">
      <c r="AD5899" s="1"/>
    </row>
    <row r="5900" spans="30:30">
      <c r="AD5900" s="1"/>
    </row>
    <row r="5901" spans="30:30">
      <c r="AD5901" s="1"/>
    </row>
    <row r="5902" spans="30:30">
      <c r="AD5902" s="1"/>
    </row>
    <row r="5903" spans="30:30">
      <c r="AD5903" s="1"/>
    </row>
    <row r="5904" spans="30:30">
      <c r="AD5904" s="1"/>
    </row>
    <row r="5905" spans="30:30">
      <c r="AD5905" s="1"/>
    </row>
    <row r="5906" spans="30:30">
      <c r="AD5906" s="1"/>
    </row>
    <row r="5907" spans="30:30">
      <c r="AD5907" s="1"/>
    </row>
    <row r="5908" spans="30:30">
      <c r="AD5908" s="1"/>
    </row>
    <row r="5909" spans="30:30">
      <c r="AD5909" s="1"/>
    </row>
    <row r="5910" spans="30:30">
      <c r="AD5910" s="1"/>
    </row>
    <row r="5911" spans="30:30">
      <c r="AD5911" s="1"/>
    </row>
    <row r="5912" spans="30:30">
      <c r="AD5912" s="1"/>
    </row>
    <row r="5913" spans="30:30">
      <c r="AD5913" s="1"/>
    </row>
    <row r="5914" spans="30:30">
      <c r="AD5914" s="1"/>
    </row>
    <row r="5915" spans="30:30">
      <c r="AD5915" s="1"/>
    </row>
    <row r="5916" spans="30:30">
      <c r="AD5916" s="1"/>
    </row>
    <row r="5917" spans="30:30">
      <c r="AD5917" s="1"/>
    </row>
    <row r="5918" spans="30:30">
      <c r="AD5918" s="1"/>
    </row>
    <row r="5919" spans="30:30">
      <c r="AD5919" s="1"/>
    </row>
    <row r="5920" spans="30:30">
      <c r="AD5920" s="1"/>
    </row>
    <row r="5921" spans="30:30">
      <c r="AD5921" s="1"/>
    </row>
    <row r="5922" spans="30:30">
      <c r="AD5922" s="1"/>
    </row>
    <row r="5923" spans="30:30">
      <c r="AD5923" s="1"/>
    </row>
    <row r="5924" spans="30:30">
      <c r="AD5924" s="1"/>
    </row>
    <row r="5925" spans="30:30">
      <c r="AD5925" s="1"/>
    </row>
    <row r="5926" spans="30:30">
      <c r="AD5926" s="1"/>
    </row>
    <row r="5927" spans="30:30">
      <c r="AD5927" s="1"/>
    </row>
    <row r="5928" spans="30:30">
      <c r="AD5928" s="1"/>
    </row>
    <row r="5929" spans="30:30">
      <c r="AD5929" s="1"/>
    </row>
    <row r="5930" spans="30:30">
      <c r="AD5930" s="1"/>
    </row>
    <row r="5931" spans="30:30">
      <c r="AD5931" s="1"/>
    </row>
    <row r="5932" spans="30:30">
      <c r="AD5932" s="1"/>
    </row>
    <row r="5933" spans="30:30">
      <c r="AD5933" s="1"/>
    </row>
    <row r="5934" spans="30:30">
      <c r="AD5934" s="1"/>
    </row>
    <row r="5935" spans="30:30">
      <c r="AD5935" s="1"/>
    </row>
    <row r="5936" spans="30:30">
      <c r="AD5936" s="1"/>
    </row>
    <row r="5937" spans="30:30">
      <c r="AD5937" s="1"/>
    </row>
    <row r="5938" spans="30:30">
      <c r="AD5938" s="1"/>
    </row>
    <row r="5939" spans="30:30">
      <c r="AD5939" s="1"/>
    </row>
    <row r="5940" spans="30:30">
      <c r="AD5940" s="1"/>
    </row>
    <row r="5941" spans="30:30">
      <c r="AD5941" s="1"/>
    </row>
    <row r="5942" spans="30:30">
      <c r="AD5942" s="1"/>
    </row>
    <row r="5943" spans="30:30">
      <c r="AD5943" s="1"/>
    </row>
    <row r="5944" spans="30:30">
      <c r="AD5944" s="1"/>
    </row>
    <row r="5945" spans="30:30">
      <c r="AD5945" s="1"/>
    </row>
    <row r="5946" spans="30:30">
      <c r="AD5946" s="1"/>
    </row>
    <row r="5947" spans="30:30">
      <c r="AD5947" s="1"/>
    </row>
    <row r="5948" spans="30:30">
      <c r="AD5948" s="1"/>
    </row>
    <row r="5949" spans="30:30">
      <c r="AD5949" s="1"/>
    </row>
    <row r="5950" spans="30:30">
      <c r="AD5950" s="1"/>
    </row>
    <row r="5951" spans="30:30">
      <c r="AD5951" s="1"/>
    </row>
    <row r="5952" spans="30:30">
      <c r="AD5952" s="1"/>
    </row>
    <row r="5953" spans="30:30">
      <c r="AD5953" s="1"/>
    </row>
    <row r="5954" spans="30:30">
      <c r="AD5954" s="1"/>
    </row>
    <row r="5955" spans="30:30">
      <c r="AD5955" s="1"/>
    </row>
    <row r="5956" spans="30:30">
      <c r="AD5956" s="1"/>
    </row>
    <row r="5957" spans="30:30">
      <c r="AD5957" s="1"/>
    </row>
    <row r="5958" spans="30:30">
      <c r="AD5958" s="1"/>
    </row>
    <row r="5959" spans="30:30">
      <c r="AD5959" s="1"/>
    </row>
    <row r="5960" spans="30:30">
      <c r="AD5960" s="1"/>
    </row>
    <row r="5961" spans="30:30">
      <c r="AD5961" s="1"/>
    </row>
    <row r="5962" spans="30:30">
      <c r="AD5962" s="1"/>
    </row>
    <row r="5963" spans="30:30">
      <c r="AD5963" s="1"/>
    </row>
    <row r="5964" spans="30:30">
      <c r="AD5964" s="1"/>
    </row>
    <row r="5965" spans="30:30">
      <c r="AD5965" s="1"/>
    </row>
    <row r="5966" spans="30:30">
      <c r="AD5966" s="1"/>
    </row>
    <row r="5967" spans="30:30">
      <c r="AD5967" s="1"/>
    </row>
    <row r="5968" spans="30:30">
      <c r="AD5968" s="1"/>
    </row>
    <row r="5969" spans="3:30">
      <c r="AD5969" s="1"/>
    </row>
    <row r="5970" spans="3:30">
      <c r="AD5970" s="1"/>
    </row>
    <row r="5971" spans="3:30">
      <c r="AD5971" s="1"/>
    </row>
    <row r="5972" spans="3:30">
      <c r="AD5972" s="1"/>
    </row>
    <row r="5973" spans="3:30">
      <c r="AD5973" s="1"/>
    </row>
    <row r="5974" spans="3:30">
      <c r="AD5974" s="1"/>
    </row>
    <row r="5975" spans="3:30">
      <c r="AD5975" s="1"/>
    </row>
    <row r="5976" spans="3:30">
      <c r="AD5976" s="1"/>
    </row>
    <row r="5977" spans="3:30">
      <c r="AD5977" s="1"/>
    </row>
    <row r="5978" spans="3:30">
      <c r="AD5978" s="1"/>
    </row>
    <row r="5979" spans="3:30">
      <c r="C5979" s="9"/>
      <c r="AD5979" s="1"/>
    </row>
    <row r="5980" spans="3:30">
      <c r="C5980" s="9"/>
      <c r="AD5980" s="1"/>
    </row>
    <row r="5981" spans="3:30">
      <c r="C5981" s="9"/>
      <c r="AD5981" s="1"/>
    </row>
    <row r="5982" spans="3:30">
      <c r="C5982" s="9"/>
      <c r="AD5982" s="1"/>
    </row>
    <row r="5983" spans="3:30">
      <c r="C5983" s="9"/>
      <c r="AD5983" s="1"/>
    </row>
    <row r="5984" spans="3:30">
      <c r="C5984" s="9"/>
      <c r="AD5984" s="1"/>
    </row>
    <row r="5985" spans="3:30">
      <c r="C5985" s="9"/>
      <c r="AD5985" s="1"/>
    </row>
    <row r="5986" spans="3:30">
      <c r="C5986" s="9"/>
      <c r="AD5986" s="1"/>
    </row>
    <row r="5987" spans="3:30">
      <c r="C5987" s="9"/>
      <c r="AD5987" s="1"/>
    </row>
    <row r="5988" spans="3:30">
      <c r="C5988" s="9"/>
      <c r="AD5988" s="1"/>
    </row>
    <row r="5989" spans="3:30">
      <c r="C5989" s="9"/>
      <c r="AD5989" s="1"/>
    </row>
    <row r="5990" spans="3:30">
      <c r="C5990" s="9"/>
      <c r="AD5990" s="1"/>
    </row>
    <row r="5991" spans="3:30">
      <c r="C5991" s="9"/>
      <c r="AD5991" s="1"/>
    </row>
    <row r="5992" spans="3:30">
      <c r="C5992" s="9"/>
      <c r="AD5992" s="1"/>
    </row>
    <row r="5993" spans="3:30">
      <c r="C5993" s="9"/>
      <c r="AD5993" s="1"/>
    </row>
    <row r="5994" spans="3:30">
      <c r="C5994" s="9"/>
      <c r="AD5994" s="1"/>
    </row>
    <row r="5995" spans="3:30">
      <c r="C5995" s="9"/>
      <c r="AD5995" s="1"/>
    </row>
    <row r="5996" spans="3:30">
      <c r="C5996" s="9"/>
      <c r="AD5996" s="1"/>
    </row>
    <row r="5997" spans="3:30">
      <c r="C5997" s="9"/>
      <c r="AD5997" s="1"/>
    </row>
    <row r="5998" spans="3:30">
      <c r="C5998" s="9"/>
      <c r="AD5998" s="1"/>
    </row>
    <row r="5999" spans="3:30">
      <c r="C5999" s="9"/>
      <c r="AD5999" s="1"/>
    </row>
    <row r="6000" spans="3:30">
      <c r="C6000" s="9"/>
      <c r="AD6000" s="1"/>
    </row>
    <row r="6001" spans="3:30">
      <c r="C6001" s="9"/>
      <c r="AD6001" s="1"/>
    </row>
    <row r="6002" spans="3:30">
      <c r="C6002" s="9"/>
      <c r="AD6002" s="1"/>
    </row>
    <row r="6003" spans="3:30">
      <c r="C6003" s="9"/>
      <c r="AD6003" s="1"/>
    </row>
    <row r="6004" spans="3:30">
      <c r="C6004" s="9"/>
      <c r="AD6004" s="1"/>
    </row>
    <row r="6005" spans="3:30">
      <c r="C6005" s="9"/>
      <c r="AD6005" s="1"/>
    </row>
    <row r="6006" spans="3:30">
      <c r="C6006" s="9"/>
      <c r="AD6006" s="1"/>
    </row>
    <row r="6007" spans="3:30">
      <c r="C6007" s="9"/>
      <c r="AD6007" s="1"/>
    </row>
    <row r="6008" spans="3:30">
      <c r="C6008" s="9"/>
      <c r="AD6008" s="1"/>
    </row>
    <row r="6009" spans="3:30">
      <c r="C6009" s="9"/>
      <c r="AD6009" s="1"/>
    </row>
    <row r="6010" spans="3:30">
      <c r="C6010" s="9"/>
      <c r="AD6010" s="1"/>
    </row>
    <row r="6011" spans="3:30">
      <c r="C6011" s="9"/>
      <c r="AD6011" s="1"/>
    </row>
    <row r="6012" spans="3:30">
      <c r="C6012" s="9"/>
      <c r="AD6012" s="1"/>
    </row>
    <row r="6013" spans="3:30">
      <c r="C6013" s="9"/>
      <c r="AD6013" s="1"/>
    </row>
    <row r="6014" spans="3:30">
      <c r="C6014" s="9"/>
      <c r="AD6014" s="1"/>
    </row>
    <row r="6015" spans="3:30">
      <c r="C6015" s="9"/>
      <c r="AD6015" s="1"/>
    </row>
    <row r="6016" spans="3:30">
      <c r="C6016" s="9"/>
      <c r="AD6016" s="1"/>
    </row>
    <row r="6017" spans="3:30">
      <c r="C6017" s="9"/>
      <c r="AD6017" s="1"/>
    </row>
    <row r="6018" spans="3:30">
      <c r="C6018" s="9"/>
      <c r="AD6018" s="1"/>
    </row>
    <row r="6019" spans="3:30">
      <c r="C6019" s="9"/>
      <c r="AD6019" s="1"/>
    </row>
    <row r="6020" spans="3:30">
      <c r="C6020" s="9"/>
      <c r="AD6020" s="1"/>
    </row>
    <row r="6021" spans="3:30">
      <c r="C6021" s="9"/>
      <c r="AD6021" s="1"/>
    </row>
    <row r="6022" spans="3:30">
      <c r="C6022" s="9"/>
      <c r="AD6022" s="1"/>
    </row>
    <row r="6023" spans="3:30">
      <c r="C6023" s="9"/>
      <c r="AD6023" s="1"/>
    </row>
    <row r="6024" spans="3:30">
      <c r="C6024" s="9"/>
      <c r="AD6024" s="1"/>
    </row>
    <row r="6025" spans="3:30">
      <c r="C6025" s="9"/>
      <c r="AD6025" s="1"/>
    </row>
    <row r="6026" spans="3:30">
      <c r="C6026" s="9"/>
      <c r="AD6026" s="1"/>
    </row>
    <row r="6027" spans="3:30">
      <c r="C6027" s="9"/>
      <c r="AD6027" s="1"/>
    </row>
    <row r="6028" spans="3:30">
      <c r="C6028" s="9"/>
      <c r="AD6028" s="1"/>
    </row>
    <row r="6029" spans="3:30">
      <c r="C6029" s="9"/>
      <c r="AD6029" s="1"/>
    </row>
    <row r="6030" spans="3:30">
      <c r="C6030" s="9"/>
      <c r="AD6030" s="1"/>
    </row>
    <row r="6031" spans="3:30">
      <c r="C6031" s="9"/>
      <c r="AD6031" s="1"/>
    </row>
    <row r="6032" spans="3:30">
      <c r="C6032" s="9"/>
      <c r="AD6032" s="1"/>
    </row>
    <row r="6033" spans="3:30">
      <c r="C6033" s="9"/>
      <c r="AD6033" s="1"/>
    </row>
    <row r="6034" spans="3:30">
      <c r="C6034" s="9"/>
      <c r="AD6034" s="1"/>
    </row>
    <row r="6035" spans="3:30">
      <c r="C6035" s="9"/>
      <c r="AD6035" s="1"/>
    </row>
    <row r="6036" spans="3:30">
      <c r="C6036" s="9"/>
      <c r="AD6036" s="1"/>
    </row>
    <row r="6037" spans="3:30">
      <c r="C6037" s="9"/>
      <c r="AD6037" s="1"/>
    </row>
    <row r="6038" spans="3:30">
      <c r="C6038" s="9"/>
      <c r="AD6038" s="1"/>
    </row>
    <row r="6039" spans="3:30">
      <c r="C6039" s="9"/>
      <c r="AD6039" s="1"/>
    </row>
    <row r="6040" spans="3:30">
      <c r="C6040" s="9"/>
      <c r="AD6040" s="1"/>
    </row>
    <row r="6041" spans="3:30">
      <c r="C6041" s="9"/>
      <c r="AD6041" s="1"/>
    </row>
    <row r="6042" spans="3:30">
      <c r="C6042" s="9"/>
      <c r="AD6042" s="1"/>
    </row>
    <row r="6043" spans="3:30">
      <c r="C6043" s="9"/>
      <c r="AD6043" s="1"/>
    </row>
    <row r="6044" spans="3:30">
      <c r="C6044" s="9"/>
      <c r="AD6044" s="1"/>
    </row>
    <row r="6045" spans="3:30">
      <c r="C6045" s="9"/>
      <c r="AD6045" s="1"/>
    </row>
    <row r="6046" spans="3:30">
      <c r="C6046" s="9"/>
      <c r="AD6046" s="1"/>
    </row>
    <row r="6047" spans="3:30">
      <c r="C6047" s="9"/>
      <c r="AD6047" s="1"/>
    </row>
    <row r="6048" spans="3:30">
      <c r="C6048" s="9"/>
      <c r="AD6048" s="1"/>
    </row>
    <row r="6049" spans="3:30">
      <c r="C6049" s="9"/>
      <c r="AD6049" s="1"/>
    </row>
    <row r="6050" spans="3:30">
      <c r="C6050" s="9"/>
      <c r="AD6050" s="1"/>
    </row>
    <row r="6051" spans="3:30">
      <c r="C6051" s="9"/>
      <c r="AD6051" s="1"/>
    </row>
    <row r="6052" spans="3:30">
      <c r="C6052" s="9"/>
      <c r="AD6052" s="1"/>
    </row>
    <row r="6053" spans="3:30">
      <c r="C6053" s="9"/>
      <c r="AD6053" s="1"/>
    </row>
    <row r="6054" spans="3:30">
      <c r="C6054" s="9"/>
      <c r="AD6054" s="1"/>
    </row>
    <row r="6055" spans="3:30">
      <c r="C6055" s="9"/>
      <c r="AD6055" s="1"/>
    </row>
    <row r="6056" spans="3:30">
      <c r="C6056" s="9"/>
      <c r="AD6056" s="1"/>
    </row>
    <row r="6057" spans="3:30">
      <c r="C6057" s="9"/>
      <c r="AD6057" s="1"/>
    </row>
    <row r="6058" spans="3:30">
      <c r="C6058" s="9"/>
      <c r="AD6058" s="1"/>
    </row>
    <row r="6059" spans="3:30">
      <c r="C6059" s="9"/>
      <c r="AD6059" s="1"/>
    </row>
    <row r="6060" spans="3:30">
      <c r="C6060" s="9"/>
      <c r="AD6060" s="1"/>
    </row>
    <row r="6061" spans="3:30">
      <c r="C6061" s="9"/>
      <c r="AD6061" s="1"/>
    </row>
    <row r="6062" spans="3:30">
      <c r="C6062" s="9"/>
      <c r="AD6062" s="1"/>
    </row>
    <row r="6063" spans="3:30">
      <c r="C6063" s="9"/>
      <c r="AD6063" s="1"/>
    </row>
    <row r="6064" spans="3:30">
      <c r="C6064" s="9"/>
      <c r="AD6064" s="1"/>
    </row>
    <row r="6065" spans="3:30">
      <c r="C6065" s="9"/>
      <c r="AD6065" s="1"/>
    </row>
    <row r="6066" spans="3:30">
      <c r="C6066" s="9"/>
      <c r="AD6066" s="1"/>
    </row>
    <row r="6067" spans="3:30">
      <c r="C6067" s="9"/>
      <c r="AD6067" s="1"/>
    </row>
    <row r="6068" spans="3:30">
      <c r="C6068" s="9"/>
      <c r="AD6068" s="1"/>
    </row>
    <row r="6069" spans="3:30">
      <c r="C6069" s="9"/>
      <c r="AD6069" s="1"/>
    </row>
    <row r="6070" spans="3:30">
      <c r="C6070" s="9"/>
      <c r="AD6070" s="1"/>
    </row>
    <row r="6071" spans="3:30">
      <c r="C6071" s="9"/>
      <c r="AD6071" s="1"/>
    </row>
    <row r="6072" spans="3:30">
      <c r="C6072" s="9"/>
      <c r="AD6072" s="1"/>
    </row>
    <row r="6073" spans="3:30">
      <c r="C6073" s="9"/>
      <c r="AD6073" s="1"/>
    </row>
    <row r="6074" spans="3:30">
      <c r="C6074" s="9"/>
      <c r="AD6074" s="1"/>
    </row>
    <row r="6075" spans="3:30">
      <c r="C6075" s="9"/>
      <c r="AD6075" s="1"/>
    </row>
    <row r="6076" spans="3:30">
      <c r="C6076" s="9"/>
      <c r="AD6076" s="1"/>
    </row>
    <row r="6077" spans="3:30">
      <c r="C6077" s="9"/>
      <c r="AD6077" s="1"/>
    </row>
    <row r="6078" spans="3:30">
      <c r="C6078" s="9"/>
      <c r="AD6078" s="1"/>
    </row>
    <row r="6079" spans="3:30">
      <c r="C6079" s="9"/>
      <c r="AD6079" s="1"/>
    </row>
    <row r="6080" spans="3:30">
      <c r="C6080" s="9"/>
      <c r="AD6080" s="1"/>
    </row>
    <row r="6081" spans="3:30">
      <c r="C6081" s="9"/>
      <c r="AD6081" s="1"/>
    </row>
    <row r="6082" spans="3:30">
      <c r="C6082" s="9"/>
      <c r="AD6082" s="1"/>
    </row>
    <row r="6083" spans="3:30">
      <c r="C6083" s="9"/>
      <c r="AD6083" s="1"/>
    </row>
    <row r="6084" spans="3:30">
      <c r="C6084" s="9"/>
      <c r="AD6084" s="1"/>
    </row>
    <row r="6085" spans="3:30">
      <c r="C6085" s="9"/>
      <c r="AD6085" s="1"/>
    </row>
    <row r="6086" spans="3:30">
      <c r="C6086" s="9"/>
      <c r="AD6086" s="1"/>
    </row>
    <row r="6087" spans="3:30">
      <c r="C6087" s="9"/>
      <c r="AD6087" s="1"/>
    </row>
    <row r="6088" spans="3:30">
      <c r="C6088" s="9"/>
      <c r="AD6088" s="1"/>
    </row>
    <row r="6089" spans="3:30">
      <c r="C6089" s="9"/>
      <c r="AD6089" s="1"/>
    </row>
    <row r="6090" spans="3:30">
      <c r="C6090" s="9"/>
      <c r="AD6090" s="1"/>
    </row>
    <row r="6091" spans="3:30">
      <c r="C6091" s="9"/>
      <c r="AD6091" s="1"/>
    </row>
    <row r="6092" spans="3:30">
      <c r="C6092" s="9"/>
      <c r="AD6092" s="1"/>
    </row>
    <row r="6093" spans="3:30">
      <c r="C6093" s="9"/>
      <c r="AD6093" s="1"/>
    </row>
    <row r="6094" spans="3:30">
      <c r="C6094" s="9"/>
      <c r="AD6094" s="1"/>
    </row>
    <row r="6095" spans="3:30">
      <c r="C6095" s="9"/>
      <c r="AD6095" s="1"/>
    </row>
    <row r="6096" spans="3:30">
      <c r="C6096" s="9"/>
      <c r="AD6096" s="1"/>
    </row>
    <row r="6097" spans="3:30">
      <c r="C6097" s="9"/>
      <c r="AD6097" s="1"/>
    </row>
    <row r="6098" spans="3:30">
      <c r="C6098" s="9"/>
      <c r="AD6098" s="1"/>
    </row>
    <row r="6099" spans="3:30">
      <c r="C6099" s="9"/>
      <c r="AD6099" s="1"/>
    </row>
    <row r="6100" spans="3:30">
      <c r="C6100" s="9"/>
      <c r="AD6100" s="1"/>
    </row>
    <row r="6101" spans="3:30">
      <c r="C6101" s="9"/>
      <c r="AD6101" s="1"/>
    </row>
    <row r="6102" spans="3:30">
      <c r="C6102" s="9"/>
      <c r="AD6102" s="1"/>
    </row>
    <row r="6103" spans="3:30">
      <c r="C6103" s="9"/>
      <c r="AD6103" s="1"/>
    </row>
    <row r="6104" spans="3:30">
      <c r="C6104" s="9"/>
      <c r="AD6104" s="1"/>
    </row>
    <row r="6105" spans="3:30">
      <c r="C6105" s="9"/>
      <c r="AD6105" s="1"/>
    </row>
    <row r="6106" spans="3:30">
      <c r="C6106" s="9"/>
      <c r="AD6106" s="1"/>
    </row>
    <row r="6107" spans="3:30">
      <c r="C6107" s="9"/>
      <c r="AD6107" s="1"/>
    </row>
    <row r="6108" spans="3:30">
      <c r="C6108" s="9"/>
      <c r="AD6108" s="1"/>
    </row>
    <row r="6109" spans="3:30">
      <c r="C6109" s="9"/>
      <c r="AD6109" s="1"/>
    </row>
    <row r="6110" spans="3:30">
      <c r="C6110" s="9"/>
      <c r="AD6110" s="1"/>
    </row>
    <row r="6111" spans="3:30">
      <c r="C6111" s="9"/>
      <c r="AD6111" s="1"/>
    </row>
    <row r="6112" spans="3:30">
      <c r="C6112" s="9"/>
      <c r="AD6112" s="1"/>
    </row>
    <row r="6113" spans="3:30">
      <c r="C6113" s="9"/>
      <c r="AD6113" s="1"/>
    </row>
    <row r="6114" spans="3:30">
      <c r="C6114" s="9"/>
      <c r="AD6114" s="1"/>
    </row>
    <row r="6115" spans="3:30">
      <c r="C6115" s="9"/>
      <c r="AD6115" s="1"/>
    </row>
    <row r="6116" spans="3:30">
      <c r="C6116" s="9"/>
      <c r="AD6116" s="1"/>
    </row>
    <row r="6117" spans="3:30">
      <c r="C6117" s="9"/>
      <c r="AD6117" s="1"/>
    </row>
    <row r="6118" spans="3:30">
      <c r="C6118" s="9"/>
      <c r="AD6118" s="1"/>
    </row>
    <row r="6119" spans="3:30">
      <c r="C6119" s="9"/>
      <c r="AD6119" s="1"/>
    </row>
    <row r="6120" spans="3:30">
      <c r="C6120" s="9"/>
      <c r="AD6120" s="1"/>
    </row>
    <row r="6121" spans="3:30">
      <c r="C6121" s="9"/>
      <c r="AD6121" s="1"/>
    </row>
    <row r="6122" spans="3:30">
      <c r="C6122" s="9"/>
      <c r="AD6122" s="1"/>
    </row>
    <row r="6123" spans="3:30">
      <c r="C6123" s="9"/>
      <c r="AD6123" s="1"/>
    </row>
    <row r="6124" spans="3:30">
      <c r="C6124" s="9"/>
      <c r="AD6124" s="1"/>
    </row>
    <row r="6125" spans="3:30">
      <c r="C6125" s="9"/>
      <c r="AD6125" s="1"/>
    </row>
    <row r="6126" spans="3:30">
      <c r="C6126" s="9"/>
      <c r="AD6126" s="1"/>
    </row>
    <row r="6127" spans="3:30">
      <c r="C6127" s="9"/>
      <c r="AD6127" s="1"/>
    </row>
    <row r="6128" spans="3:30">
      <c r="C6128" s="9"/>
      <c r="AD6128" s="1"/>
    </row>
    <row r="6129" spans="3:30">
      <c r="C6129" s="9"/>
      <c r="AD6129" s="1"/>
    </row>
    <row r="6130" spans="3:30">
      <c r="C6130" s="9"/>
      <c r="AD6130" s="1"/>
    </row>
    <row r="6131" spans="3:30">
      <c r="C6131" s="9"/>
      <c r="AD6131" s="1"/>
    </row>
    <row r="6132" spans="3:30">
      <c r="C6132" s="9"/>
      <c r="AD6132" s="1"/>
    </row>
    <row r="6133" spans="3:30">
      <c r="C6133" s="9"/>
      <c r="AD6133" s="1"/>
    </row>
    <row r="6134" spans="3:30">
      <c r="C6134" s="9"/>
      <c r="AD6134" s="1"/>
    </row>
    <row r="6135" spans="3:30">
      <c r="C6135" s="9"/>
      <c r="AD6135" s="1"/>
    </row>
    <row r="6136" spans="3:30">
      <c r="C6136" s="9"/>
      <c r="AD6136" s="1"/>
    </row>
    <row r="6137" spans="3:30">
      <c r="C6137" s="9"/>
      <c r="AD6137" s="1"/>
    </row>
    <row r="6138" spans="3:30">
      <c r="C6138" s="9"/>
      <c r="AD6138" s="1"/>
    </row>
    <row r="6139" spans="3:30">
      <c r="C6139" s="9"/>
      <c r="AD6139" s="1"/>
    </row>
    <row r="6140" spans="3:30">
      <c r="C6140" s="9"/>
      <c r="AD6140" s="1"/>
    </row>
    <row r="6141" spans="3:30">
      <c r="C6141" s="9"/>
      <c r="AD6141" s="1"/>
    </row>
    <row r="6142" spans="3:30">
      <c r="C6142" s="9"/>
      <c r="AD6142" s="1"/>
    </row>
    <row r="6143" spans="3:30">
      <c r="C6143" s="9"/>
      <c r="AD6143" s="1"/>
    </row>
    <row r="6144" spans="3:30">
      <c r="C6144" s="9"/>
      <c r="AD6144" s="1"/>
    </row>
    <row r="6145" spans="3:30">
      <c r="C6145" s="9"/>
      <c r="AD6145" s="1"/>
    </row>
    <row r="6146" spans="3:30">
      <c r="C6146" s="9"/>
      <c r="AD6146" s="1"/>
    </row>
    <row r="6147" spans="3:30">
      <c r="C6147" s="9"/>
      <c r="AD6147" s="1"/>
    </row>
    <row r="6148" spans="3:30">
      <c r="C6148" s="9"/>
      <c r="AD6148" s="1"/>
    </row>
    <row r="6149" spans="3:30">
      <c r="C6149" s="9"/>
      <c r="AD6149" s="1"/>
    </row>
    <row r="6150" spans="3:30">
      <c r="C6150" s="9"/>
      <c r="AD6150" s="1"/>
    </row>
    <row r="6151" spans="3:30">
      <c r="C6151" s="9"/>
      <c r="AD6151" s="1"/>
    </row>
    <row r="6152" spans="3:30">
      <c r="C6152" s="9"/>
      <c r="AD6152" s="1"/>
    </row>
    <row r="6153" spans="3:30">
      <c r="C6153" s="9"/>
      <c r="AD6153" s="1"/>
    </row>
    <row r="6154" spans="3:30">
      <c r="C6154" s="9"/>
      <c r="AD6154" s="1"/>
    </row>
    <row r="6155" spans="3:30">
      <c r="C6155" s="9"/>
      <c r="AD6155" s="1"/>
    </row>
    <row r="6156" spans="3:30">
      <c r="C6156" s="9"/>
      <c r="AD6156" s="1"/>
    </row>
    <row r="6157" spans="3:30">
      <c r="C6157" s="9"/>
      <c r="AD6157" s="1"/>
    </row>
    <row r="6158" spans="3:30">
      <c r="C6158" s="9"/>
      <c r="AD6158" s="1"/>
    </row>
    <row r="6159" spans="3:30">
      <c r="C6159" s="9"/>
      <c r="AD6159" s="1"/>
    </row>
    <row r="6160" spans="3:30">
      <c r="C6160" s="9"/>
      <c r="AD6160" s="1"/>
    </row>
    <row r="6161" spans="3:30">
      <c r="C6161" s="9"/>
      <c r="AD6161" s="1"/>
    </row>
    <row r="6162" spans="3:30">
      <c r="C6162" s="9"/>
      <c r="AD6162" s="1"/>
    </row>
    <row r="6163" spans="3:30">
      <c r="C6163" s="9"/>
      <c r="AD6163" s="1"/>
    </row>
    <row r="6164" spans="3:30">
      <c r="C6164" s="9"/>
      <c r="AD6164" s="1"/>
    </row>
    <row r="6165" spans="3:30">
      <c r="C6165" s="9"/>
      <c r="AD6165" s="1"/>
    </row>
    <row r="6166" spans="3:30">
      <c r="C6166" s="9"/>
      <c r="AD6166" s="1"/>
    </row>
    <row r="6167" spans="3:30">
      <c r="C6167" s="9"/>
      <c r="AD6167" s="1"/>
    </row>
    <row r="6168" spans="3:30">
      <c r="C6168" s="9"/>
      <c r="AD6168" s="1"/>
    </row>
    <row r="6169" spans="3:30">
      <c r="C6169" s="9"/>
      <c r="AD6169" s="1"/>
    </row>
    <row r="6170" spans="3:30">
      <c r="C6170" s="9"/>
      <c r="AD6170" s="1"/>
    </row>
    <row r="6171" spans="3:30">
      <c r="C6171" s="9"/>
      <c r="AD6171" s="1"/>
    </row>
    <row r="6172" spans="3:30">
      <c r="C6172" s="9"/>
      <c r="AD6172" s="1"/>
    </row>
    <row r="6173" spans="3:30">
      <c r="C6173" s="9"/>
      <c r="AD6173" s="1"/>
    </row>
    <row r="6174" spans="3:30">
      <c r="C6174" s="9"/>
      <c r="AD6174" s="1"/>
    </row>
    <row r="6175" spans="3:30">
      <c r="C6175" s="9"/>
      <c r="AD6175" s="1"/>
    </row>
    <row r="6176" spans="3:30">
      <c r="C6176" s="9"/>
      <c r="AD6176" s="1"/>
    </row>
    <row r="6177" spans="3:30">
      <c r="C6177" s="9"/>
      <c r="AD6177" s="1"/>
    </row>
    <row r="6178" spans="3:30">
      <c r="C6178" s="9"/>
      <c r="AD6178" s="1"/>
    </row>
    <row r="6179" spans="3:30">
      <c r="C6179" s="9"/>
      <c r="AD6179" s="1"/>
    </row>
    <row r="6180" spans="3:30">
      <c r="C6180" s="9"/>
      <c r="AD6180" s="1"/>
    </row>
    <row r="6181" spans="3:30">
      <c r="C6181" s="9"/>
      <c r="AD6181" s="1"/>
    </row>
    <row r="6182" spans="3:30">
      <c r="C6182" s="9"/>
      <c r="AD6182" s="1"/>
    </row>
    <row r="6183" spans="3:30">
      <c r="C6183" s="9"/>
      <c r="AD6183" s="1"/>
    </row>
    <row r="6184" spans="3:30">
      <c r="C6184" s="9"/>
      <c r="AD6184" s="1"/>
    </row>
    <row r="6185" spans="3:30">
      <c r="C6185" s="9"/>
      <c r="AD6185" s="1"/>
    </row>
    <row r="6186" spans="3:30">
      <c r="C6186" s="9"/>
      <c r="AD6186" s="1"/>
    </row>
    <row r="6187" spans="3:30">
      <c r="C6187" s="9"/>
      <c r="AD6187" s="1"/>
    </row>
    <row r="6188" spans="3:30">
      <c r="C6188" s="9"/>
      <c r="AD6188" s="1"/>
    </row>
    <row r="6189" spans="3:30">
      <c r="C6189" s="9"/>
      <c r="AD6189" s="1"/>
    </row>
    <row r="6190" spans="3:30">
      <c r="C6190" s="9"/>
      <c r="AD6190" s="1"/>
    </row>
    <row r="6191" spans="3:30">
      <c r="C6191" s="9"/>
      <c r="AD6191" s="1"/>
    </row>
    <row r="6192" spans="3:30">
      <c r="C6192" s="9"/>
      <c r="AD6192" s="1"/>
    </row>
    <row r="6193" spans="3:30">
      <c r="C6193" s="9"/>
      <c r="AD6193" s="1"/>
    </row>
    <row r="6194" spans="3:30">
      <c r="C6194" s="9"/>
      <c r="AD6194" s="1"/>
    </row>
    <row r="6195" spans="3:30">
      <c r="C6195" s="9"/>
      <c r="AD6195" s="1"/>
    </row>
    <row r="6196" spans="3:30">
      <c r="C6196" s="9"/>
      <c r="AD6196" s="1"/>
    </row>
    <row r="6197" spans="3:30">
      <c r="C6197" s="9"/>
      <c r="AD6197" s="1"/>
    </row>
    <row r="6198" spans="3:30">
      <c r="C6198" s="9"/>
      <c r="AD6198" s="1"/>
    </row>
    <row r="6199" spans="3:30">
      <c r="C6199" s="9"/>
      <c r="AD6199" s="1"/>
    </row>
    <row r="6200" spans="3:30">
      <c r="C6200" s="9"/>
      <c r="AD6200" s="1"/>
    </row>
    <row r="6201" spans="3:30">
      <c r="C6201" s="9"/>
      <c r="AD6201" s="1"/>
    </row>
    <row r="6202" spans="3:30">
      <c r="C6202" s="9"/>
      <c r="AD6202" s="1"/>
    </row>
    <row r="6203" spans="3:30">
      <c r="C6203" s="9"/>
      <c r="AD6203" s="1"/>
    </row>
    <row r="6204" spans="3:30">
      <c r="C6204" s="9"/>
      <c r="AD6204" s="1"/>
    </row>
    <row r="6205" spans="3:30">
      <c r="C6205" s="9"/>
      <c r="AD6205" s="1"/>
    </row>
    <row r="6206" spans="3:30">
      <c r="C6206" s="9"/>
      <c r="AD6206" s="1"/>
    </row>
    <row r="6207" spans="3:30">
      <c r="C6207" s="9"/>
      <c r="AD6207" s="1"/>
    </row>
    <row r="6208" spans="3:30">
      <c r="C6208" s="9"/>
      <c r="AD6208" s="1"/>
    </row>
    <row r="6209" spans="3:30">
      <c r="C6209" s="9"/>
      <c r="AD6209" s="1"/>
    </row>
    <row r="6210" spans="3:30">
      <c r="C6210" s="9"/>
      <c r="AD6210" s="1"/>
    </row>
    <row r="6211" spans="3:30">
      <c r="C6211" s="9"/>
      <c r="AD6211" s="1"/>
    </row>
    <row r="6212" spans="3:30">
      <c r="C6212" s="9"/>
      <c r="AD6212" s="1"/>
    </row>
    <row r="6213" spans="3:30">
      <c r="C6213" s="9"/>
      <c r="AD6213" s="1"/>
    </row>
    <row r="6214" spans="3:30">
      <c r="C6214" s="9"/>
      <c r="AD6214" s="1"/>
    </row>
    <row r="6215" spans="3:30">
      <c r="C6215" s="9"/>
      <c r="AD6215" s="1"/>
    </row>
    <row r="6216" spans="3:30">
      <c r="C6216" s="9"/>
      <c r="AD6216" s="1"/>
    </row>
    <row r="6217" spans="3:30">
      <c r="C6217" s="9"/>
      <c r="AD6217" s="1"/>
    </row>
    <row r="6218" spans="3:30">
      <c r="C6218" s="9"/>
      <c r="AD6218" s="1"/>
    </row>
    <row r="6219" spans="3:30">
      <c r="C6219" s="9"/>
      <c r="AD6219" s="1"/>
    </row>
    <row r="6220" spans="3:30">
      <c r="C6220" s="9"/>
      <c r="AD6220" s="1"/>
    </row>
    <row r="6221" spans="3:30">
      <c r="C6221" s="9"/>
      <c r="AD6221" s="1"/>
    </row>
    <row r="6222" spans="3:30">
      <c r="C6222" s="9"/>
      <c r="AD6222" s="1"/>
    </row>
    <row r="6223" spans="3:30">
      <c r="C6223" s="9"/>
      <c r="AD6223" s="1"/>
    </row>
    <row r="6224" spans="3:30">
      <c r="C6224" s="9"/>
      <c r="AD6224" s="1"/>
    </row>
    <row r="6225" spans="3:30">
      <c r="C6225" s="9"/>
      <c r="AD6225" s="1"/>
    </row>
    <row r="6226" spans="3:30">
      <c r="C6226" s="9"/>
      <c r="AD6226" s="1"/>
    </row>
    <row r="6227" spans="3:30">
      <c r="C6227" s="9"/>
      <c r="AD6227" s="1"/>
    </row>
    <row r="6228" spans="3:30">
      <c r="C6228" s="9"/>
      <c r="AD6228" s="1"/>
    </row>
    <row r="6229" spans="3:30">
      <c r="C6229" s="9"/>
      <c r="AD6229" s="1"/>
    </row>
    <row r="6230" spans="3:30">
      <c r="C6230" s="9"/>
      <c r="AD6230" s="1"/>
    </row>
    <row r="6231" spans="3:30">
      <c r="C6231" s="9"/>
      <c r="AD6231" s="1"/>
    </row>
    <row r="6232" spans="3:30">
      <c r="C6232" s="9"/>
      <c r="AD6232" s="1"/>
    </row>
    <row r="6233" spans="3:30">
      <c r="C6233" s="9"/>
      <c r="AD6233" s="1"/>
    </row>
    <row r="6234" spans="3:30">
      <c r="C6234" s="9"/>
      <c r="AD6234" s="1"/>
    </row>
    <row r="6235" spans="3:30">
      <c r="C6235" s="9"/>
      <c r="AD6235" s="1"/>
    </row>
    <row r="6236" spans="3:30">
      <c r="C6236" s="9"/>
      <c r="AD6236" s="1"/>
    </row>
    <row r="6237" spans="3:30">
      <c r="C6237" s="9"/>
      <c r="AD6237" s="1"/>
    </row>
    <row r="6238" spans="3:30">
      <c r="C6238" s="9"/>
      <c r="AD6238" s="1"/>
    </row>
    <row r="6239" spans="3:30">
      <c r="C6239" s="9"/>
      <c r="AD6239" s="1"/>
    </row>
    <row r="6240" spans="3:30">
      <c r="C6240" s="9"/>
      <c r="AD6240" s="1"/>
    </row>
    <row r="6241" spans="3:30">
      <c r="C6241" s="9"/>
      <c r="AD6241" s="1"/>
    </row>
    <row r="6242" spans="3:30">
      <c r="C6242" s="9"/>
      <c r="AD6242" s="1"/>
    </row>
    <row r="6243" spans="3:30">
      <c r="C6243" s="9"/>
      <c r="AD6243" s="1"/>
    </row>
    <row r="6244" spans="3:30">
      <c r="C6244" s="9"/>
      <c r="AD6244" s="1"/>
    </row>
    <row r="6245" spans="3:30">
      <c r="C6245" s="9"/>
      <c r="AD6245" s="1"/>
    </row>
    <row r="6246" spans="3:30">
      <c r="C6246" s="9"/>
      <c r="AD6246" s="1"/>
    </row>
    <row r="6247" spans="3:30">
      <c r="C6247" s="9"/>
      <c r="AD6247" s="1"/>
    </row>
    <row r="6248" spans="3:30">
      <c r="C6248" s="9"/>
      <c r="AD6248" s="1"/>
    </row>
    <row r="6249" spans="3:30">
      <c r="C6249" s="9"/>
      <c r="AD6249" s="1"/>
    </row>
    <row r="6250" spans="3:30">
      <c r="C6250" s="9"/>
      <c r="AD6250" s="1"/>
    </row>
    <row r="6251" spans="3:30">
      <c r="C6251" s="9"/>
      <c r="AD6251" s="1"/>
    </row>
    <row r="6252" spans="3:30">
      <c r="C6252" s="9"/>
      <c r="AD6252" s="1"/>
    </row>
    <row r="6253" spans="3:30">
      <c r="C6253" s="9"/>
      <c r="AD6253" s="1"/>
    </row>
    <row r="6254" spans="3:30">
      <c r="C6254" s="9"/>
      <c r="AD6254" s="1"/>
    </row>
    <row r="6255" spans="3:30">
      <c r="C6255" s="9"/>
      <c r="AD6255" s="1"/>
    </row>
    <row r="6256" spans="3:30">
      <c r="C6256" s="9"/>
      <c r="AD6256" s="1"/>
    </row>
    <row r="6257" spans="3:30">
      <c r="C6257" s="9"/>
      <c r="AD6257" s="1"/>
    </row>
    <row r="6258" spans="3:30">
      <c r="C6258" s="9"/>
      <c r="AD6258" s="1"/>
    </row>
    <row r="6259" spans="3:30">
      <c r="C6259" s="9"/>
      <c r="AD6259" s="1"/>
    </row>
    <row r="6260" spans="3:30">
      <c r="C6260" s="9"/>
      <c r="AD6260" s="1"/>
    </row>
    <row r="6261" spans="3:30">
      <c r="C6261" s="9"/>
      <c r="AD6261" s="1"/>
    </row>
    <row r="6262" spans="3:30">
      <c r="C6262" s="9"/>
      <c r="AD6262" s="1"/>
    </row>
    <row r="6263" spans="3:30">
      <c r="C6263" s="9"/>
      <c r="AD6263" s="1"/>
    </row>
    <row r="6264" spans="3:30">
      <c r="C6264" s="9"/>
      <c r="AD6264" s="1"/>
    </row>
    <row r="6265" spans="3:30">
      <c r="C6265" s="9"/>
      <c r="AD6265" s="1"/>
    </row>
    <row r="6266" spans="3:30">
      <c r="C6266" s="9"/>
      <c r="AD6266" s="1"/>
    </row>
    <row r="6267" spans="3:30">
      <c r="C6267" s="9"/>
      <c r="AD6267" s="1"/>
    </row>
    <row r="6268" spans="3:30">
      <c r="C6268" s="9"/>
      <c r="AD6268" s="1"/>
    </row>
    <row r="6269" spans="3:30">
      <c r="C6269" s="9"/>
      <c r="AD6269" s="1"/>
    </row>
    <row r="6270" spans="3:30">
      <c r="C6270" s="9"/>
      <c r="AD6270" s="1"/>
    </row>
    <row r="6271" spans="3:30">
      <c r="C6271" s="9"/>
      <c r="AD6271" s="1"/>
    </row>
    <row r="6272" spans="3:30">
      <c r="C6272" s="9"/>
      <c r="AD6272" s="1"/>
    </row>
    <row r="6273" spans="3:30">
      <c r="C6273" s="9"/>
      <c r="AD6273" s="1"/>
    </row>
    <row r="6274" spans="3:30">
      <c r="C6274" s="9"/>
      <c r="AD6274" s="1"/>
    </row>
    <row r="6275" spans="3:30">
      <c r="C6275" s="9"/>
      <c r="AD6275" s="1"/>
    </row>
    <row r="6276" spans="3:30">
      <c r="C6276" s="9"/>
      <c r="AD6276" s="1"/>
    </row>
    <row r="6277" spans="3:30">
      <c r="C6277" s="9"/>
      <c r="AD6277" s="1"/>
    </row>
    <row r="6278" spans="3:30">
      <c r="C6278" s="9"/>
      <c r="AD6278" s="1"/>
    </row>
    <row r="6279" spans="3:30">
      <c r="C6279" s="9"/>
      <c r="AD6279" s="1"/>
    </row>
    <row r="6280" spans="3:30">
      <c r="C6280" s="9"/>
      <c r="AD6280" s="1"/>
    </row>
    <row r="6281" spans="3:30">
      <c r="C6281" s="9"/>
      <c r="AD6281" s="1"/>
    </row>
    <row r="6282" spans="3:30">
      <c r="C6282" s="9"/>
      <c r="AD6282" s="1"/>
    </row>
    <row r="6283" spans="3:30">
      <c r="C6283" s="9"/>
      <c r="AD6283" s="1"/>
    </row>
    <row r="6284" spans="3:30">
      <c r="C6284" s="9"/>
      <c r="AD6284" s="1"/>
    </row>
    <row r="6285" spans="3:30">
      <c r="C6285" s="9"/>
      <c r="AD6285" s="1"/>
    </row>
    <row r="6286" spans="3:30">
      <c r="C6286" s="9"/>
      <c r="AD6286" s="1"/>
    </row>
    <row r="6287" spans="3:30">
      <c r="C6287" s="9"/>
      <c r="AD6287" s="1"/>
    </row>
    <row r="6288" spans="3:30">
      <c r="C6288" s="9"/>
      <c r="AD6288" s="1"/>
    </row>
    <row r="6289" spans="3:30">
      <c r="C6289" s="9"/>
      <c r="AD6289" s="1"/>
    </row>
    <row r="6290" spans="3:30">
      <c r="C6290" s="9"/>
      <c r="AD6290" s="1"/>
    </row>
    <row r="6291" spans="3:30">
      <c r="C6291" s="9"/>
      <c r="AD6291" s="1"/>
    </row>
    <row r="6292" spans="3:30">
      <c r="C6292" s="9"/>
      <c r="AD6292" s="1"/>
    </row>
    <row r="6293" spans="3:30">
      <c r="C6293" s="9"/>
      <c r="AD6293" s="1"/>
    </row>
    <row r="6294" spans="3:30">
      <c r="C6294" s="9"/>
      <c r="AD6294" s="1"/>
    </row>
    <row r="6295" spans="3:30">
      <c r="C6295" s="9"/>
      <c r="AD6295" s="1"/>
    </row>
    <row r="6296" spans="3:30">
      <c r="C6296" s="9"/>
      <c r="AD6296" s="1"/>
    </row>
    <row r="6297" spans="3:30">
      <c r="C6297" s="9"/>
      <c r="AD6297" s="1"/>
    </row>
    <row r="6298" spans="3:30">
      <c r="C6298" s="9"/>
      <c r="AD6298" s="1"/>
    </row>
    <row r="6299" spans="3:30">
      <c r="C6299" s="9"/>
      <c r="AD6299" s="1"/>
    </row>
    <row r="6300" spans="3:30">
      <c r="C6300" s="9"/>
      <c r="AD6300" s="1"/>
    </row>
    <row r="6301" spans="3:30">
      <c r="C6301" s="9"/>
      <c r="AD6301" s="1"/>
    </row>
    <row r="6302" spans="3:30">
      <c r="C6302" s="9"/>
      <c r="AD6302" s="1"/>
    </row>
    <row r="6303" spans="3:30">
      <c r="C6303" s="9"/>
      <c r="AD6303" s="1"/>
    </row>
    <row r="6304" spans="3:30">
      <c r="C6304" s="9"/>
      <c r="AD6304" s="1"/>
    </row>
    <row r="6305" spans="3:30">
      <c r="C6305" s="9"/>
      <c r="AD6305" s="1"/>
    </row>
    <row r="6306" spans="3:30">
      <c r="C6306" s="9"/>
      <c r="AD6306" s="1"/>
    </row>
    <row r="6307" spans="3:30">
      <c r="C6307" s="9"/>
      <c r="AD6307" s="1"/>
    </row>
    <row r="6308" spans="3:30">
      <c r="C6308" s="9"/>
      <c r="AD6308" s="1"/>
    </row>
    <row r="6309" spans="3:30">
      <c r="C6309" s="9"/>
      <c r="AD6309" s="1"/>
    </row>
    <row r="6310" spans="3:30">
      <c r="C6310" s="9"/>
      <c r="AD6310" s="1"/>
    </row>
    <row r="6311" spans="3:30">
      <c r="C6311" s="9"/>
      <c r="AD6311" s="1"/>
    </row>
    <row r="6312" spans="3:30">
      <c r="C6312" s="9"/>
      <c r="AD6312" s="1"/>
    </row>
    <row r="6313" spans="3:30">
      <c r="C6313" s="9"/>
      <c r="AD6313" s="1"/>
    </row>
    <row r="6314" spans="3:30">
      <c r="C6314" s="9"/>
      <c r="AD6314" s="1"/>
    </row>
    <row r="6315" spans="3:30">
      <c r="C6315" s="9"/>
      <c r="AD6315" s="1"/>
    </row>
    <row r="6316" spans="3:30">
      <c r="C6316" s="9"/>
      <c r="AD6316" s="1"/>
    </row>
    <row r="6317" spans="3:30">
      <c r="C6317" s="9"/>
      <c r="AD6317" s="1"/>
    </row>
    <row r="6318" spans="3:30">
      <c r="C6318" s="9"/>
      <c r="AD6318" s="1"/>
    </row>
    <row r="6319" spans="3:30">
      <c r="C6319" s="9"/>
      <c r="AD6319" s="1"/>
    </row>
    <row r="6320" spans="3:30">
      <c r="C6320" s="9"/>
      <c r="AD6320" s="1"/>
    </row>
    <row r="6321" spans="3:30">
      <c r="C6321" s="9"/>
      <c r="AD6321" s="1"/>
    </row>
    <row r="6322" spans="3:30">
      <c r="C6322" s="9"/>
      <c r="AD6322" s="1"/>
    </row>
    <row r="6323" spans="3:30">
      <c r="C6323" s="9"/>
      <c r="AD6323" s="1"/>
    </row>
    <row r="6324" spans="3:30">
      <c r="C6324" s="9"/>
      <c r="AD6324" s="1"/>
    </row>
    <row r="6325" spans="3:30">
      <c r="C6325" s="9"/>
      <c r="AD6325" s="1"/>
    </row>
    <row r="6326" spans="3:30">
      <c r="C6326" s="9"/>
      <c r="AD6326" s="1"/>
    </row>
    <row r="6327" spans="3:30">
      <c r="C6327" s="9"/>
      <c r="AD6327" s="1"/>
    </row>
    <row r="6328" spans="3:30">
      <c r="C6328" s="9"/>
      <c r="AD6328" s="1"/>
    </row>
    <row r="6329" spans="3:30">
      <c r="C6329" s="9"/>
      <c r="AD6329" s="1"/>
    </row>
    <row r="6330" spans="3:30">
      <c r="C6330" s="9"/>
      <c r="AD6330" s="1"/>
    </row>
    <row r="6331" spans="3:30">
      <c r="C6331" s="9"/>
      <c r="AD6331" s="1"/>
    </row>
    <row r="6332" spans="3:30">
      <c r="C6332" s="9"/>
      <c r="AD6332" s="1"/>
    </row>
    <row r="6333" spans="3:30">
      <c r="C6333" s="9"/>
      <c r="AD6333" s="1"/>
    </row>
    <row r="6334" spans="3:30">
      <c r="C6334" s="9"/>
      <c r="AD6334" s="1"/>
    </row>
    <row r="6335" spans="3:30">
      <c r="C6335" s="9"/>
      <c r="AD6335" s="1"/>
    </row>
    <row r="6336" spans="3:30">
      <c r="C6336" s="9"/>
      <c r="AD6336" s="1"/>
    </row>
    <row r="6337" spans="3:30">
      <c r="C6337" s="9"/>
      <c r="AD6337" s="1"/>
    </row>
    <row r="6338" spans="3:30">
      <c r="C6338" s="9"/>
      <c r="AD6338" s="1"/>
    </row>
    <row r="6339" spans="3:30">
      <c r="C6339" s="9"/>
      <c r="AD6339" s="1"/>
    </row>
    <row r="6340" spans="3:30">
      <c r="C6340" s="9"/>
      <c r="AD6340" s="1"/>
    </row>
    <row r="6341" spans="3:30">
      <c r="C6341" s="9"/>
      <c r="AD6341" s="1"/>
    </row>
    <row r="6342" spans="3:30">
      <c r="C6342" s="9"/>
      <c r="AD6342" s="1"/>
    </row>
    <row r="6343" spans="3:30">
      <c r="C6343" s="9"/>
      <c r="AD6343" s="1"/>
    </row>
    <row r="6344" spans="3:30">
      <c r="C6344" s="9"/>
      <c r="AD6344" s="1"/>
    </row>
    <row r="6345" spans="3:30">
      <c r="C6345" s="9"/>
      <c r="AD6345" s="1"/>
    </row>
    <row r="6346" spans="3:30">
      <c r="C6346" s="9"/>
      <c r="AD6346" s="1"/>
    </row>
    <row r="6347" spans="3:30">
      <c r="C6347" s="9"/>
      <c r="AD6347" s="1"/>
    </row>
    <row r="6348" spans="3:30">
      <c r="C6348" s="9"/>
      <c r="AD6348" s="1"/>
    </row>
    <row r="6349" spans="3:30">
      <c r="C6349" s="9"/>
      <c r="AD6349" s="1"/>
    </row>
    <row r="6350" spans="3:30">
      <c r="C6350" s="9"/>
      <c r="AD6350" s="1"/>
    </row>
    <row r="6351" spans="3:30">
      <c r="C6351" s="9"/>
      <c r="AD6351" s="1"/>
    </row>
    <row r="6352" spans="3:30">
      <c r="C6352" s="9"/>
      <c r="AD6352" s="1"/>
    </row>
    <row r="6353" spans="3:30">
      <c r="C6353" s="9"/>
      <c r="AD6353" s="1"/>
    </row>
    <row r="6354" spans="3:30">
      <c r="C6354" s="9"/>
      <c r="AD6354" s="1"/>
    </row>
    <row r="6355" spans="3:30">
      <c r="C6355" s="9"/>
      <c r="AD6355" s="1"/>
    </row>
    <row r="6356" spans="3:30">
      <c r="C6356" s="9"/>
      <c r="AD6356" s="1"/>
    </row>
    <row r="6357" spans="3:30">
      <c r="C6357" s="9"/>
      <c r="AD6357" s="1"/>
    </row>
    <row r="6358" spans="3:30">
      <c r="C6358" s="9"/>
      <c r="AD6358" s="1"/>
    </row>
    <row r="6359" spans="3:30">
      <c r="C6359" s="9"/>
      <c r="AD6359" s="1"/>
    </row>
    <row r="6360" spans="3:30">
      <c r="C6360" s="9"/>
      <c r="AD6360" s="1"/>
    </row>
    <row r="6361" spans="3:30">
      <c r="C6361" s="9"/>
      <c r="AD6361" s="1"/>
    </row>
    <row r="6362" spans="3:30">
      <c r="C6362" s="9"/>
      <c r="AD6362" s="1"/>
    </row>
    <row r="6363" spans="3:30">
      <c r="C6363" s="9"/>
      <c r="AD6363" s="1"/>
    </row>
    <row r="6364" spans="3:30">
      <c r="C6364" s="9"/>
      <c r="AD6364" s="1"/>
    </row>
    <row r="6365" spans="3:30">
      <c r="C6365" s="9"/>
      <c r="AD6365" s="1"/>
    </row>
    <row r="6366" spans="3:30">
      <c r="C6366" s="9"/>
      <c r="AD6366" s="1"/>
    </row>
    <row r="6367" spans="3:30">
      <c r="C6367" s="9"/>
      <c r="AD6367" s="1"/>
    </row>
    <row r="6368" spans="3:30">
      <c r="C6368" s="9"/>
      <c r="AD6368" s="1"/>
    </row>
    <row r="6369" spans="3:30">
      <c r="C6369" s="9"/>
      <c r="AD6369" s="1"/>
    </row>
    <row r="6370" spans="3:30">
      <c r="C6370" s="9"/>
      <c r="AD6370" s="1"/>
    </row>
    <row r="6371" spans="3:30">
      <c r="C6371" s="9"/>
      <c r="AD6371" s="1"/>
    </row>
    <row r="6372" spans="3:30">
      <c r="C6372" s="9"/>
      <c r="AD6372" s="1"/>
    </row>
    <row r="6373" spans="3:30">
      <c r="C6373" s="9"/>
      <c r="AD6373" s="1"/>
    </row>
    <row r="6374" spans="3:30">
      <c r="C6374" s="9"/>
      <c r="AD6374" s="1"/>
    </row>
    <row r="6375" spans="3:30">
      <c r="C6375" s="9"/>
      <c r="AD6375" s="1"/>
    </row>
    <row r="6376" spans="3:30">
      <c r="C6376" s="9"/>
      <c r="AD6376" s="1"/>
    </row>
    <row r="6377" spans="3:30">
      <c r="C6377" s="9"/>
      <c r="AD6377" s="1"/>
    </row>
    <row r="6378" spans="3:30">
      <c r="C6378" s="9"/>
      <c r="AD6378" s="1"/>
    </row>
    <row r="6379" spans="3:30">
      <c r="C6379" s="9"/>
      <c r="AD6379" s="1"/>
    </row>
    <row r="6380" spans="3:30">
      <c r="C6380" s="9"/>
      <c r="AD6380" s="1"/>
    </row>
    <row r="6381" spans="3:30">
      <c r="C6381" s="9"/>
      <c r="AD6381" s="1"/>
    </row>
    <row r="6382" spans="3:30">
      <c r="C6382" s="9"/>
      <c r="AD6382" s="1"/>
    </row>
    <row r="6383" spans="3:30">
      <c r="C6383" s="9"/>
      <c r="AD6383" s="1"/>
    </row>
    <row r="6384" spans="3:30">
      <c r="C6384" s="9"/>
      <c r="AD6384" s="1"/>
    </row>
    <row r="6385" spans="3:30">
      <c r="C6385" s="9"/>
      <c r="AD6385" s="1"/>
    </row>
    <row r="6386" spans="3:30">
      <c r="C6386" s="9"/>
      <c r="AD6386" s="1"/>
    </row>
    <row r="6387" spans="3:30">
      <c r="C6387" s="9"/>
      <c r="AD6387" s="1"/>
    </row>
    <row r="6388" spans="3:30">
      <c r="C6388" s="9"/>
      <c r="AD6388" s="1"/>
    </row>
    <row r="6389" spans="3:30">
      <c r="C6389" s="9"/>
      <c r="AD6389" s="1"/>
    </row>
    <row r="6390" spans="3:30">
      <c r="C6390" s="9"/>
      <c r="AD6390" s="1"/>
    </row>
    <row r="6391" spans="3:30">
      <c r="C6391" s="9"/>
      <c r="AD6391" s="1"/>
    </row>
    <row r="6392" spans="3:30">
      <c r="C6392" s="9"/>
      <c r="AD6392" s="1"/>
    </row>
    <row r="6393" spans="3:30">
      <c r="C6393" s="9"/>
      <c r="AD6393" s="1"/>
    </row>
    <row r="6394" spans="3:30">
      <c r="C6394" s="9"/>
      <c r="AD6394" s="1"/>
    </row>
    <row r="6395" spans="3:30">
      <c r="C6395" s="9"/>
      <c r="AD6395" s="1"/>
    </row>
    <row r="6396" spans="3:30">
      <c r="C6396" s="9"/>
      <c r="AD6396" s="1"/>
    </row>
    <row r="6397" spans="3:30">
      <c r="C6397" s="9"/>
      <c r="AD6397" s="1"/>
    </row>
    <row r="6398" spans="3:30">
      <c r="C6398" s="9"/>
      <c r="AD6398" s="1"/>
    </row>
    <row r="6399" spans="3:30">
      <c r="C6399" s="9"/>
      <c r="AD6399" s="1"/>
    </row>
    <row r="6400" spans="3:30">
      <c r="C6400" s="9"/>
      <c r="AD6400" s="1"/>
    </row>
    <row r="6401" spans="3:30">
      <c r="C6401" s="9"/>
      <c r="AD6401" s="1"/>
    </row>
    <row r="6402" spans="3:30">
      <c r="C6402" s="9"/>
      <c r="AD6402" s="1"/>
    </row>
    <row r="6403" spans="3:30">
      <c r="C6403" s="9"/>
      <c r="AD6403" s="1"/>
    </row>
    <row r="6404" spans="3:30">
      <c r="C6404" s="9"/>
      <c r="AD6404" s="1"/>
    </row>
    <row r="6405" spans="3:30">
      <c r="C6405" s="9"/>
      <c r="AD6405" s="1"/>
    </row>
    <row r="6406" spans="3:30">
      <c r="C6406" s="9"/>
      <c r="AD6406" s="1"/>
    </row>
    <row r="6407" spans="3:30">
      <c r="C6407" s="9"/>
      <c r="AD6407" s="1"/>
    </row>
    <row r="6408" spans="3:30">
      <c r="C6408" s="9"/>
      <c r="AD6408" s="1"/>
    </row>
    <row r="6409" spans="3:30">
      <c r="C6409" s="9"/>
      <c r="AD6409" s="1"/>
    </row>
    <row r="6410" spans="3:30">
      <c r="C6410" s="9"/>
      <c r="AD6410" s="1"/>
    </row>
    <row r="6411" spans="3:30">
      <c r="C6411" s="9"/>
      <c r="AD6411" s="1"/>
    </row>
    <row r="6412" spans="3:30">
      <c r="C6412" s="9"/>
      <c r="AD6412" s="1"/>
    </row>
    <row r="6413" spans="3:30">
      <c r="C6413" s="9"/>
      <c r="AD6413" s="1"/>
    </row>
    <row r="6414" spans="3:30">
      <c r="C6414" s="9"/>
      <c r="AD6414" s="1"/>
    </row>
    <row r="6415" spans="3:30">
      <c r="C6415" s="9"/>
      <c r="AD6415" s="1"/>
    </row>
    <row r="6416" spans="3:30">
      <c r="C6416" s="9"/>
      <c r="AD6416" s="1"/>
    </row>
    <row r="6417" spans="3:30">
      <c r="C6417" s="9"/>
      <c r="AD6417" s="1"/>
    </row>
    <row r="6418" spans="3:30">
      <c r="C6418" s="9"/>
      <c r="AD6418" s="1"/>
    </row>
    <row r="6419" spans="3:30">
      <c r="C6419" s="9"/>
      <c r="AD6419" s="1"/>
    </row>
    <row r="6420" spans="3:30">
      <c r="C6420" s="9"/>
      <c r="AD6420" s="1"/>
    </row>
    <row r="6421" spans="3:30">
      <c r="C6421" s="9"/>
      <c r="AD6421" s="1"/>
    </row>
    <row r="6422" spans="3:30">
      <c r="C6422" s="9"/>
      <c r="AD6422" s="1"/>
    </row>
    <row r="6423" spans="3:30">
      <c r="C6423" s="9"/>
      <c r="AD6423" s="1"/>
    </row>
    <row r="6424" spans="3:30">
      <c r="C6424" s="9"/>
      <c r="AD6424" s="1"/>
    </row>
    <row r="6425" spans="3:30">
      <c r="C6425" s="9"/>
      <c r="AD6425" s="1"/>
    </row>
    <row r="6426" spans="3:30">
      <c r="C6426" s="9"/>
      <c r="AD6426" s="1"/>
    </row>
    <row r="6427" spans="3:30">
      <c r="C6427" s="9"/>
      <c r="AD6427" s="1"/>
    </row>
    <row r="6428" spans="3:30">
      <c r="C6428" s="9"/>
      <c r="AD6428" s="1"/>
    </row>
    <row r="6429" spans="3:30">
      <c r="C6429" s="9"/>
      <c r="AD6429" s="1"/>
    </row>
    <row r="6430" spans="3:30">
      <c r="C6430" s="9"/>
      <c r="AD6430" s="1"/>
    </row>
    <row r="6431" spans="3:30">
      <c r="C6431" s="9"/>
      <c r="AD6431" s="1"/>
    </row>
    <row r="6432" spans="3:30">
      <c r="C6432" s="9"/>
      <c r="AD6432" s="1"/>
    </row>
    <row r="6433" spans="3:30">
      <c r="C6433" s="9"/>
      <c r="AD6433" s="1"/>
    </row>
    <row r="6434" spans="3:30">
      <c r="C6434" s="9"/>
      <c r="AD6434" s="1"/>
    </row>
    <row r="6435" spans="3:30">
      <c r="C6435" s="9"/>
      <c r="AD6435" s="1"/>
    </row>
    <row r="6436" spans="3:30">
      <c r="C6436" s="9"/>
      <c r="AD6436" s="1"/>
    </row>
    <row r="6437" spans="3:30">
      <c r="C6437" s="9"/>
      <c r="AD6437" s="1"/>
    </row>
    <row r="6438" spans="3:30">
      <c r="C6438" s="9"/>
      <c r="AD6438" s="1"/>
    </row>
    <row r="6439" spans="3:30">
      <c r="C6439" s="9"/>
      <c r="AD6439" s="1"/>
    </row>
    <row r="6440" spans="3:30">
      <c r="C6440" s="9"/>
      <c r="AD6440" s="1"/>
    </row>
    <row r="6441" spans="3:30">
      <c r="C6441" s="9"/>
      <c r="AD6441" s="1"/>
    </row>
    <row r="6442" spans="3:30">
      <c r="C6442" s="9"/>
      <c r="AD6442" s="1"/>
    </row>
    <row r="6443" spans="3:30">
      <c r="C6443" s="9"/>
      <c r="AD6443" s="1"/>
    </row>
    <row r="6444" spans="3:30">
      <c r="C6444" s="9"/>
      <c r="AD6444" s="1"/>
    </row>
    <row r="6445" spans="3:30">
      <c r="C6445" s="9"/>
      <c r="AD6445" s="1"/>
    </row>
    <row r="6446" spans="3:30">
      <c r="C6446" s="9"/>
      <c r="AD6446" s="1"/>
    </row>
    <row r="6447" spans="3:30">
      <c r="C6447" s="9"/>
      <c r="AD6447" s="1"/>
    </row>
    <row r="6448" spans="3:30">
      <c r="C6448" s="9"/>
      <c r="AD6448" s="1"/>
    </row>
    <row r="6449" spans="3:30">
      <c r="C6449" s="9"/>
      <c r="AD6449" s="1"/>
    </row>
    <row r="6450" spans="3:30">
      <c r="C6450" s="9"/>
      <c r="AD6450" s="1"/>
    </row>
    <row r="6451" spans="3:30">
      <c r="C6451" s="9"/>
      <c r="AD6451" s="1"/>
    </row>
    <row r="6452" spans="3:30">
      <c r="C6452" s="9"/>
      <c r="AD6452" s="1"/>
    </row>
    <row r="6453" spans="3:30">
      <c r="C6453" s="9"/>
      <c r="AD6453" s="1"/>
    </row>
    <row r="6454" spans="3:30">
      <c r="C6454" s="9"/>
      <c r="AD6454" s="1"/>
    </row>
    <row r="6455" spans="3:30">
      <c r="C6455" s="9"/>
      <c r="AD6455" s="1"/>
    </row>
    <row r="6456" spans="3:30">
      <c r="C6456" s="9"/>
      <c r="AD6456" s="1"/>
    </row>
    <row r="6457" spans="3:30">
      <c r="C6457" s="9"/>
      <c r="AD6457" s="1"/>
    </row>
    <row r="6458" spans="3:30">
      <c r="C6458" s="9"/>
      <c r="AD6458" s="1"/>
    </row>
    <row r="6459" spans="3:30">
      <c r="C6459" s="9"/>
      <c r="AD6459" s="1"/>
    </row>
    <row r="6460" spans="3:30">
      <c r="C6460" s="9"/>
      <c r="AD6460" s="1"/>
    </row>
    <row r="6461" spans="3:30">
      <c r="C6461" s="9"/>
      <c r="AD6461" s="1"/>
    </row>
    <row r="6462" spans="3:30">
      <c r="C6462" s="9"/>
      <c r="AD6462" s="1"/>
    </row>
    <row r="6463" spans="3:30">
      <c r="C6463" s="9"/>
      <c r="AD6463" s="1"/>
    </row>
    <row r="6464" spans="3:30">
      <c r="C6464" s="9"/>
      <c r="AD6464" s="1"/>
    </row>
    <row r="6465" spans="3:30">
      <c r="C6465" s="9"/>
      <c r="AD6465" s="1"/>
    </row>
    <row r="6466" spans="3:30">
      <c r="C6466" s="9"/>
      <c r="AD6466" s="1"/>
    </row>
    <row r="6467" spans="3:30">
      <c r="C6467" s="9"/>
      <c r="AD6467" s="1"/>
    </row>
    <row r="6468" spans="3:30">
      <c r="C6468" s="9"/>
      <c r="AD6468" s="1"/>
    </row>
    <row r="6469" spans="3:30">
      <c r="C6469" s="9"/>
      <c r="AD6469" s="1"/>
    </row>
    <row r="6470" spans="3:30">
      <c r="C6470" s="9"/>
      <c r="AD6470" s="1"/>
    </row>
    <row r="6471" spans="3:30">
      <c r="C6471" s="9"/>
      <c r="AD6471" s="1"/>
    </row>
    <row r="6472" spans="3:30">
      <c r="C6472" s="9"/>
      <c r="AD6472" s="1"/>
    </row>
    <row r="6473" spans="3:30">
      <c r="C6473" s="9"/>
      <c r="AD6473" s="1"/>
    </row>
    <row r="6474" spans="3:30">
      <c r="C6474" s="9"/>
      <c r="AD6474" s="1"/>
    </row>
    <row r="6475" spans="3:30">
      <c r="C6475" s="9"/>
      <c r="AD6475" s="1"/>
    </row>
    <row r="6476" spans="3:30">
      <c r="C6476" s="9"/>
      <c r="AD6476" s="1"/>
    </row>
    <row r="6477" spans="3:30">
      <c r="C6477" s="9"/>
      <c r="AD6477" s="1"/>
    </row>
    <row r="6478" spans="3:30">
      <c r="C6478" s="9"/>
      <c r="AD6478" s="1"/>
    </row>
    <row r="6479" spans="3:30">
      <c r="C6479" s="9"/>
      <c r="AD6479" s="1"/>
    </row>
    <row r="6480" spans="3:30">
      <c r="C6480" s="9"/>
      <c r="AD6480" s="1"/>
    </row>
    <row r="6481" spans="3:30">
      <c r="C6481" s="9"/>
      <c r="AD6481" s="1"/>
    </row>
    <row r="6482" spans="3:30">
      <c r="C6482" s="9"/>
      <c r="AD6482" s="1"/>
    </row>
    <row r="6483" spans="3:30">
      <c r="C6483" s="9"/>
      <c r="AD6483" s="1"/>
    </row>
    <row r="6484" spans="3:30">
      <c r="C6484" s="9"/>
      <c r="AD6484" s="1"/>
    </row>
    <row r="6485" spans="3:30">
      <c r="C6485" s="9"/>
      <c r="AD6485" s="1"/>
    </row>
    <row r="6486" spans="3:30">
      <c r="C6486" s="9"/>
      <c r="AD6486" s="1"/>
    </row>
    <row r="6487" spans="3:30">
      <c r="C6487" s="9"/>
      <c r="AD6487" s="1"/>
    </row>
    <row r="6488" spans="3:30">
      <c r="C6488" s="9"/>
      <c r="AD6488" s="1"/>
    </row>
    <row r="6489" spans="3:30">
      <c r="C6489" s="9"/>
      <c r="AD6489" s="1"/>
    </row>
    <row r="6490" spans="3:30">
      <c r="C6490" s="9"/>
      <c r="AD6490" s="1"/>
    </row>
    <row r="6491" spans="3:30">
      <c r="C6491" s="9"/>
      <c r="AD6491" s="1"/>
    </row>
    <row r="6492" spans="3:30">
      <c r="C6492" s="9"/>
      <c r="AD6492" s="1"/>
    </row>
    <row r="6493" spans="3:30">
      <c r="C6493" s="9"/>
      <c r="AD6493" s="1"/>
    </row>
    <row r="6494" spans="3:30">
      <c r="C6494" s="9"/>
      <c r="AD6494" s="1"/>
    </row>
    <row r="6495" spans="3:30">
      <c r="C6495" s="9"/>
      <c r="AD6495" s="1"/>
    </row>
    <row r="6496" spans="3:30">
      <c r="C6496" s="9"/>
      <c r="AD6496" s="1"/>
    </row>
    <row r="6497" spans="3:30">
      <c r="C6497" s="9"/>
      <c r="AD6497" s="1"/>
    </row>
    <row r="6498" spans="3:30">
      <c r="C6498" s="9"/>
      <c r="AD6498" s="1"/>
    </row>
    <row r="6499" spans="3:30">
      <c r="C6499" s="9"/>
      <c r="AD6499" s="1"/>
    </row>
    <row r="6500" spans="3:30">
      <c r="C6500" s="9"/>
      <c r="AD6500" s="1"/>
    </row>
    <row r="6501" spans="3:30">
      <c r="C6501" s="9"/>
      <c r="AD6501" s="1"/>
    </row>
    <row r="6502" spans="3:30">
      <c r="C6502" s="9"/>
      <c r="AD6502" s="1"/>
    </row>
    <row r="6503" spans="3:30">
      <c r="C6503" s="9"/>
      <c r="AD6503" s="1"/>
    </row>
    <row r="6504" spans="3:30">
      <c r="C6504" s="9"/>
      <c r="AD6504" s="1"/>
    </row>
    <row r="6505" spans="3:30">
      <c r="C6505" s="9"/>
      <c r="AD6505" s="1"/>
    </row>
    <row r="6506" spans="3:30">
      <c r="C6506" s="9"/>
      <c r="AD6506" s="1"/>
    </row>
    <row r="6507" spans="3:30">
      <c r="C6507" s="9"/>
      <c r="AD6507" s="1"/>
    </row>
    <row r="6508" spans="3:30">
      <c r="C6508" s="9"/>
      <c r="AD6508" s="1"/>
    </row>
    <row r="6509" spans="3:30">
      <c r="C6509" s="9"/>
      <c r="AD6509" s="1"/>
    </row>
    <row r="6510" spans="3:30">
      <c r="C6510" s="9"/>
      <c r="AD6510" s="1"/>
    </row>
    <row r="6511" spans="3:30">
      <c r="C6511" s="9"/>
      <c r="AD6511" s="1"/>
    </row>
    <row r="6512" spans="3:30">
      <c r="C6512" s="9"/>
      <c r="AD6512" s="1"/>
    </row>
    <row r="6513" spans="3:30">
      <c r="C6513" s="9"/>
      <c r="AD6513" s="1"/>
    </row>
    <row r="6514" spans="3:30">
      <c r="C6514" s="9"/>
      <c r="AD6514" s="1"/>
    </row>
    <row r="6515" spans="3:30">
      <c r="C6515" s="9"/>
      <c r="AD6515" s="1"/>
    </row>
    <row r="6516" spans="3:30">
      <c r="C6516" s="9"/>
      <c r="AD6516" s="1"/>
    </row>
    <row r="6517" spans="3:30">
      <c r="C6517" s="9"/>
      <c r="AD6517" s="1"/>
    </row>
    <row r="6518" spans="3:30">
      <c r="C6518" s="9"/>
      <c r="AD6518" s="1"/>
    </row>
    <row r="6519" spans="3:30">
      <c r="C6519" s="9"/>
      <c r="AD6519" s="1"/>
    </row>
    <row r="6520" spans="3:30">
      <c r="C6520" s="9"/>
      <c r="AD6520" s="1"/>
    </row>
    <row r="6521" spans="3:30">
      <c r="C6521" s="9"/>
      <c r="AD6521" s="1"/>
    </row>
    <row r="6522" spans="3:30">
      <c r="C6522" s="9"/>
      <c r="AD6522" s="1"/>
    </row>
    <row r="6523" spans="3:30">
      <c r="C6523" s="9"/>
      <c r="AD6523" s="1"/>
    </row>
    <row r="6524" spans="3:30">
      <c r="C6524" s="9"/>
      <c r="AD6524" s="1"/>
    </row>
    <row r="6525" spans="3:30">
      <c r="C6525" s="9"/>
      <c r="AD6525" s="1"/>
    </row>
    <row r="6526" spans="3:30">
      <c r="C6526" s="9"/>
      <c r="AD6526" s="1"/>
    </row>
    <row r="6527" spans="3:30">
      <c r="C6527" s="9"/>
      <c r="AD6527" s="1"/>
    </row>
    <row r="6528" spans="3:30">
      <c r="C6528" s="9"/>
      <c r="AD6528" s="1"/>
    </row>
    <row r="6529" spans="3:30">
      <c r="C6529" s="9"/>
      <c r="AD6529" s="1"/>
    </row>
    <row r="6530" spans="3:30">
      <c r="C6530" s="9"/>
      <c r="AD6530" s="1"/>
    </row>
    <row r="6531" spans="3:30">
      <c r="C6531" s="9"/>
      <c r="AD6531" s="1"/>
    </row>
    <row r="6532" spans="3:30">
      <c r="C6532" s="9"/>
      <c r="AD6532" s="1"/>
    </row>
    <row r="6533" spans="3:30">
      <c r="C6533" s="9"/>
      <c r="AD6533" s="1"/>
    </row>
    <row r="6534" spans="3:30">
      <c r="C6534" s="9"/>
      <c r="AD6534" s="1"/>
    </row>
    <row r="6535" spans="3:30">
      <c r="C6535" s="9"/>
      <c r="AD6535" s="1"/>
    </row>
    <row r="6536" spans="3:30">
      <c r="C6536" s="9"/>
      <c r="AD6536" s="1"/>
    </row>
    <row r="6537" spans="3:30">
      <c r="C6537" s="9"/>
      <c r="AD6537" s="1"/>
    </row>
    <row r="6538" spans="3:30">
      <c r="C6538" s="9"/>
      <c r="AD6538" s="1"/>
    </row>
    <row r="6539" spans="3:30">
      <c r="C6539" s="9"/>
      <c r="AD6539" s="1"/>
    </row>
    <row r="6540" spans="3:30">
      <c r="C6540" s="9"/>
      <c r="AD6540" s="1"/>
    </row>
    <row r="6541" spans="3:30">
      <c r="C6541" s="9"/>
      <c r="AD6541" s="1"/>
    </row>
    <row r="6542" spans="3:30">
      <c r="C6542" s="9"/>
      <c r="AD6542" s="1"/>
    </row>
    <row r="6543" spans="3:30">
      <c r="C6543" s="9"/>
      <c r="AD6543" s="1"/>
    </row>
    <row r="6544" spans="3:30">
      <c r="C6544" s="9"/>
      <c r="AD6544" s="1"/>
    </row>
    <row r="6545" spans="3:30">
      <c r="C6545" s="9"/>
      <c r="AD6545" s="1"/>
    </row>
    <row r="6546" spans="3:30">
      <c r="C6546" s="9"/>
      <c r="AD6546" s="1"/>
    </row>
    <row r="6547" spans="3:30">
      <c r="C6547" s="9"/>
      <c r="AD6547" s="1"/>
    </row>
    <row r="6548" spans="3:30">
      <c r="C6548" s="9"/>
      <c r="AD6548" s="1"/>
    </row>
    <row r="6549" spans="3:30">
      <c r="C6549" s="9"/>
      <c r="AD6549" s="1"/>
    </row>
    <row r="6550" spans="3:30">
      <c r="C6550" s="9"/>
      <c r="AD6550" s="1"/>
    </row>
    <row r="6551" spans="3:30">
      <c r="C6551" s="9"/>
      <c r="AD6551" s="1"/>
    </row>
    <row r="6552" spans="3:30">
      <c r="C6552" s="9"/>
      <c r="AD6552" s="1"/>
    </row>
    <row r="6553" spans="3:30">
      <c r="C6553" s="9"/>
      <c r="AD6553" s="1"/>
    </row>
    <row r="6554" spans="3:30">
      <c r="C6554" s="9"/>
      <c r="AD6554" s="1"/>
    </row>
    <row r="6555" spans="3:30">
      <c r="C6555" s="9"/>
      <c r="AD6555" s="1"/>
    </row>
    <row r="6556" spans="3:30">
      <c r="C6556" s="9"/>
      <c r="AD6556" s="1"/>
    </row>
    <row r="6557" spans="3:30">
      <c r="C6557" s="9"/>
      <c r="AD6557" s="1"/>
    </row>
    <row r="6558" spans="3:30">
      <c r="C6558" s="9"/>
      <c r="AD6558" s="1"/>
    </row>
    <row r="6559" spans="3:30">
      <c r="C6559" s="9"/>
      <c r="AD6559" s="1"/>
    </row>
    <row r="6560" spans="3:30">
      <c r="C6560" s="9"/>
      <c r="AD6560" s="1"/>
    </row>
    <row r="6561" spans="3:30">
      <c r="C6561" s="9"/>
      <c r="AD6561" s="1"/>
    </row>
    <row r="6562" spans="3:30">
      <c r="C6562" s="9"/>
      <c r="AD6562" s="1"/>
    </row>
    <row r="6563" spans="3:30">
      <c r="C6563" s="9"/>
      <c r="AD6563" s="1"/>
    </row>
    <row r="6564" spans="3:30">
      <c r="C6564" s="9"/>
      <c r="AD6564" s="1"/>
    </row>
    <row r="6565" spans="3:30">
      <c r="C6565" s="9"/>
      <c r="AD6565" s="1"/>
    </row>
    <row r="6566" spans="3:30">
      <c r="C6566" s="9"/>
      <c r="AD6566" s="1"/>
    </row>
    <row r="6567" spans="3:30">
      <c r="C6567" s="9"/>
      <c r="AD6567" s="1"/>
    </row>
    <row r="6568" spans="3:30">
      <c r="C6568" s="9"/>
      <c r="AD6568" s="1"/>
    </row>
    <row r="6569" spans="3:30">
      <c r="C6569" s="9"/>
      <c r="AD6569" s="1"/>
    </row>
    <row r="6570" spans="3:30">
      <c r="C6570" s="9"/>
      <c r="AD6570" s="1"/>
    </row>
    <row r="6571" spans="3:30">
      <c r="C6571" s="9"/>
      <c r="AD6571" s="1"/>
    </row>
    <row r="6572" spans="3:30">
      <c r="C6572" s="9"/>
      <c r="AD6572" s="1"/>
    </row>
    <row r="6573" spans="3:30">
      <c r="C6573" s="9"/>
      <c r="AD6573" s="1"/>
    </row>
    <row r="6574" spans="3:30">
      <c r="C6574" s="9"/>
      <c r="AD6574" s="1"/>
    </row>
    <row r="6575" spans="3:30">
      <c r="C6575" s="9"/>
      <c r="AD6575" s="1"/>
    </row>
    <row r="6576" spans="3:30">
      <c r="C6576" s="9"/>
      <c r="AD6576" s="1"/>
    </row>
    <row r="6577" spans="3:30">
      <c r="C6577" s="9"/>
      <c r="AD6577" s="1"/>
    </row>
    <row r="6578" spans="3:30">
      <c r="C6578" s="9"/>
      <c r="AD6578" s="1"/>
    </row>
    <row r="6579" spans="3:30">
      <c r="C6579" s="9"/>
      <c r="AD6579" s="1"/>
    </row>
    <row r="6580" spans="3:30">
      <c r="C6580" s="9"/>
      <c r="AD6580" s="1"/>
    </row>
    <row r="6581" spans="3:30">
      <c r="C6581" s="9"/>
      <c r="AD6581" s="1"/>
    </row>
    <row r="6582" spans="3:30">
      <c r="C6582" s="9"/>
      <c r="AD6582" s="1"/>
    </row>
    <row r="6583" spans="3:30">
      <c r="C6583" s="9"/>
      <c r="AD6583" s="1"/>
    </row>
    <row r="6584" spans="3:30">
      <c r="C6584" s="9"/>
      <c r="AD6584" s="1"/>
    </row>
    <row r="6585" spans="3:30">
      <c r="C6585" s="9"/>
      <c r="AD6585" s="1"/>
    </row>
    <row r="6586" spans="3:30">
      <c r="C6586" s="9"/>
      <c r="AD6586" s="1"/>
    </row>
    <row r="6587" spans="3:30">
      <c r="C6587" s="9"/>
      <c r="AD6587" s="1"/>
    </row>
    <row r="6588" spans="3:30">
      <c r="C6588" s="9"/>
      <c r="AD6588" s="1"/>
    </row>
    <row r="6589" spans="3:30">
      <c r="C6589" s="9"/>
      <c r="AD6589" s="1"/>
    </row>
    <row r="6590" spans="3:30">
      <c r="C6590" s="9"/>
      <c r="AD6590" s="1"/>
    </row>
    <row r="6591" spans="3:30">
      <c r="C6591" s="9"/>
      <c r="AD6591" s="1"/>
    </row>
    <row r="6592" spans="3:30">
      <c r="C6592" s="9"/>
      <c r="AD6592" s="1"/>
    </row>
    <row r="6593" spans="3:30">
      <c r="C6593" s="9"/>
      <c r="AD6593" s="1"/>
    </row>
    <row r="6594" spans="3:30">
      <c r="C6594" s="9"/>
      <c r="AD6594" s="1"/>
    </row>
    <row r="6595" spans="3:30">
      <c r="C6595" s="9"/>
      <c r="AD6595" s="1"/>
    </row>
    <row r="6596" spans="3:30">
      <c r="C6596" s="9"/>
      <c r="AD6596" s="1"/>
    </row>
    <row r="6597" spans="3:30">
      <c r="C6597" s="9"/>
      <c r="AD6597" s="1"/>
    </row>
    <row r="6598" spans="3:30">
      <c r="C6598" s="9"/>
      <c r="AD6598" s="1"/>
    </row>
    <row r="6599" spans="3:30">
      <c r="C6599" s="9"/>
      <c r="AD6599" s="1"/>
    </row>
    <row r="6600" spans="3:30">
      <c r="C6600" s="9"/>
      <c r="AD6600" s="1"/>
    </row>
    <row r="6601" spans="3:30">
      <c r="C6601" s="9"/>
      <c r="AD6601" s="1"/>
    </row>
    <row r="6602" spans="3:30">
      <c r="C6602" s="9"/>
      <c r="AD6602" s="1"/>
    </row>
    <row r="6603" spans="3:30">
      <c r="C6603" s="9"/>
      <c r="AD6603" s="1"/>
    </row>
    <row r="6604" spans="3:30">
      <c r="C6604" s="9"/>
      <c r="AD6604" s="1"/>
    </row>
    <row r="6605" spans="3:30">
      <c r="C6605" s="9"/>
      <c r="AD6605" s="1"/>
    </row>
    <row r="6606" spans="3:30">
      <c r="C6606" s="9"/>
      <c r="AD6606" s="1"/>
    </row>
    <row r="6607" spans="3:30">
      <c r="C6607" s="9"/>
      <c r="AD6607" s="1"/>
    </row>
    <row r="6608" spans="3:30">
      <c r="C6608" s="9"/>
      <c r="AD6608" s="1"/>
    </row>
    <row r="6609" spans="3:30">
      <c r="C6609" s="9"/>
      <c r="AD6609" s="1"/>
    </row>
    <row r="6610" spans="3:30">
      <c r="C6610" s="9"/>
      <c r="AD6610" s="1"/>
    </row>
    <row r="6611" spans="3:30">
      <c r="C6611" s="9"/>
      <c r="AD6611" s="1"/>
    </row>
    <row r="6612" spans="3:30">
      <c r="C6612" s="9"/>
      <c r="AD6612" s="1"/>
    </row>
    <row r="6613" spans="3:30">
      <c r="C6613" s="9"/>
      <c r="AD6613" s="1"/>
    </row>
    <row r="6614" spans="3:30">
      <c r="C6614" s="9"/>
      <c r="AD6614" s="1"/>
    </row>
    <row r="6615" spans="3:30">
      <c r="C6615" s="9"/>
      <c r="AD6615" s="1"/>
    </row>
    <row r="6616" spans="3:30">
      <c r="C6616" s="9"/>
      <c r="AD6616" s="1"/>
    </row>
    <row r="6617" spans="3:30">
      <c r="C6617" s="9"/>
      <c r="AD6617" s="1"/>
    </row>
    <row r="6618" spans="3:30">
      <c r="C6618" s="9"/>
      <c r="AD6618" s="1"/>
    </row>
    <row r="6619" spans="3:30">
      <c r="C6619" s="9"/>
      <c r="AD6619" s="1"/>
    </row>
    <row r="6620" spans="3:30">
      <c r="C6620" s="9"/>
      <c r="AD6620" s="1"/>
    </row>
    <row r="6621" spans="3:30">
      <c r="C6621" s="9"/>
      <c r="AD6621" s="1"/>
    </row>
    <row r="6622" spans="3:30">
      <c r="C6622" s="9"/>
      <c r="AD6622" s="1"/>
    </row>
    <row r="6623" spans="3:30">
      <c r="C6623" s="9"/>
      <c r="AD6623" s="1"/>
    </row>
    <row r="6624" spans="3:30">
      <c r="C6624" s="9"/>
      <c r="AD6624" s="1"/>
    </row>
    <row r="6625" spans="3:30">
      <c r="C6625" s="9"/>
      <c r="AD6625" s="1"/>
    </row>
    <row r="6626" spans="3:30">
      <c r="C6626" s="9"/>
      <c r="AD6626" s="1"/>
    </row>
    <row r="6627" spans="3:30">
      <c r="C6627" s="9"/>
      <c r="AD6627" s="1"/>
    </row>
    <row r="6628" spans="3:30">
      <c r="C6628" s="9"/>
      <c r="AD6628" s="1"/>
    </row>
    <row r="6629" spans="3:30">
      <c r="C6629" s="9"/>
      <c r="AD6629" s="1"/>
    </row>
    <row r="6630" spans="3:30">
      <c r="C6630" s="9"/>
      <c r="AD6630" s="1"/>
    </row>
    <row r="6631" spans="3:30">
      <c r="C6631" s="9"/>
      <c r="AD6631" s="1"/>
    </row>
    <row r="6632" spans="3:30">
      <c r="C6632" s="9"/>
      <c r="AD6632" s="1"/>
    </row>
    <row r="6633" spans="3:30">
      <c r="C6633" s="9"/>
      <c r="AD6633" s="1"/>
    </row>
    <row r="6634" spans="3:30">
      <c r="C6634" s="9"/>
      <c r="AD6634" s="1"/>
    </row>
    <row r="6635" spans="3:30">
      <c r="C6635" s="9"/>
      <c r="AD6635" s="1"/>
    </row>
    <row r="6636" spans="3:30">
      <c r="C6636" s="9"/>
      <c r="AD6636" s="1"/>
    </row>
    <row r="6637" spans="3:30">
      <c r="C6637" s="9"/>
      <c r="AD6637" s="1"/>
    </row>
    <row r="6638" spans="3:30">
      <c r="C6638" s="9"/>
      <c r="AD6638" s="1"/>
    </row>
    <row r="6639" spans="3:30">
      <c r="C6639" s="9"/>
      <c r="AD6639" s="1"/>
    </row>
    <row r="6640" spans="3:30">
      <c r="C6640" s="9"/>
      <c r="AD6640" s="1"/>
    </row>
    <row r="6641" spans="3:30">
      <c r="C6641" s="9"/>
      <c r="AD6641" s="1"/>
    </row>
    <row r="6642" spans="3:30">
      <c r="C6642" s="9"/>
      <c r="AD6642" s="1"/>
    </row>
    <row r="6643" spans="3:30">
      <c r="C6643" s="9"/>
      <c r="AD6643" s="1"/>
    </row>
    <row r="6644" spans="3:30">
      <c r="C6644" s="9"/>
      <c r="AD6644" s="1"/>
    </row>
    <row r="6645" spans="3:30">
      <c r="C6645" s="9"/>
      <c r="AD6645" s="1"/>
    </row>
    <row r="6646" spans="3:30">
      <c r="C6646" s="9"/>
      <c r="AD6646" s="1"/>
    </row>
    <row r="6647" spans="3:30">
      <c r="C6647" s="9"/>
      <c r="AD6647" s="1"/>
    </row>
    <row r="6648" spans="3:30">
      <c r="C6648" s="9"/>
      <c r="AD6648" s="1"/>
    </row>
    <row r="6649" spans="3:30">
      <c r="C6649" s="9"/>
      <c r="AD6649" s="1"/>
    </row>
    <row r="6650" spans="3:30">
      <c r="C6650" s="9"/>
      <c r="AD6650" s="1"/>
    </row>
    <row r="6651" spans="3:30">
      <c r="C6651" s="9"/>
      <c r="AD6651" s="1"/>
    </row>
    <row r="6652" spans="3:30">
      <c r="C6652" s="9"/>
      <c r="AD6652" s="1"/>
    </row>
    <row r="6653" spans="3:30">
      <c r="C6653" s="9"/>
      <c r="AD6653" s="1"/>
    </row>
    <row r="6654" spans="3:30">
      <c r="C6654" s="9"/>
      <c r="AD6654" s="1"/>
    </row>
    <row r="6655" spans="3:30">
      <c r="C6655" s="9"/>
      <c r="AD6655" s="1"/>
    </row>
    <row r="6656" spans="3:30">
      <c r="C6656" s="9"/>
      <c r="AD6656" s="1"/>
    </row>
    <row r="6657" spans="3:30">
      <c r="C6657" s="9"/>
      <c r="AD6657" s="1"/>
    </row>
    <row r="6658" spans="3:30">
      <c r="C6658" s="9"/>
      <c r="AD6658" s="1"/>
    </row>
    <row r="6659" spans="3:30">
      <c r="C6659" s="9"/>
      <c r="AD6659" s="1"/>
    </row>
    <row r="6660" spans="3:30">
      <c r="C6660" s="9"/>
      <c r="AD6660" s="1"/>
    </row>
    <row r="6661" spans="3:30">
      <c r="C6661" s="9"/>
      <c r="AD6661" s="1"/>
    </row>
    <row r="6662" spans="3:30">
      <c r="C6662" s="9"/>
      <c r="AD6662" s="1"/>
    </row>
    <row r="6663" spans="3:30">
      <c r="C6663" s="9"/>
      <c r="AD6663" s="1"/>
    </row>
    <row r="6664" spans="3:30">
      <c r="C6664" s="9"/>
      <c r="AD6664" s="1"/>
    </row>
    <row r="6665" spans="3:30">
      <c r="C6665" s="9"/>
      <c r="AD6665" s="1"/>
    </row>
    <row r="6666" spans="3:30">
      <c r="C6666" s="9"/>
      <c r="AD6666" s="1"/>
    </row>
    <row r="6667" spans="3:30">
      <c r="C6667" s="9"/>
      <c r="AD6667" s="1"/>
    </row>
    <row r="6668" spans="3:30">
      <c r="C6668" s="9"/>
      <c r="AD6668" s="1"/>
    </row>
    <row r="6669" spans="3:30">
      <c r="C6669" s="9"/>
      <c r="AD6669" s="1"/>
    </row>
    <row r="6670" spans="3:30">
      <c r="C6670" s="9"/>
      <c r="AD6670" s="1"/>
    </row>
    <row r="6671" spans="3:30">
      <c r="C6671" s="9"/>
      <c r="AD6671" s="1"/>
    </row>
    <row r="6672" spans="3:30">
      <c r="C6672" s="9"/>
      <c r="AD6672" s="1"/>
    </row>
    <row r="6673" spans="3:30">
      <c r="C6673" s="9"/>
      <c r="AD6673" s="1"/>
    </row>
    <row r="6674" spans="3:30">
      <c r="C6674" s="9"/>
      <c r="AD6674" s="1"/>
    </row>
    <row r="6675" spans="3:30">
      <c r="C6675" s="9"/>
      <c r="AD6675" s="1"/>
    </row>
    <row r="6676" spans="3:30">
      <c r="C6676" s="9"/>
      <c r="AD6676" s="1"/>
    </row>
    <row r="6677" spans="3:30">
      <c r="C6677" s="9"/>
      <c r="AD6677" s="1"/>
    </row>
    <row r="6678" spans="3:30">
      <c r="C6678" s="9"/>
      <c r="AD6678" s="1"/>
    </row>
    <row r="6679" spans="3:30">
      <c r="C6679" s="9"/>
      <c r="AD6679" s="1"/>
    </row>
    <row r="6680" spans="3:30">
      <c r="C6680" s="9"/>
      <c r="AD6680" s="1"/>
    </row>
    <row r="6681" spans="3:30">
      <c r="C6681" s="9"/>
      <c r="AD6681" s="1"/>
    </row>
    <row r="6682" spans="3:30">
      <c r="C6682" s="9"/>
      <c r="AD6682" s="1"/>
    </row>
    <row r="6683" spans="3:30">
      <c r="C6683" s="9"/>
      <c r="AD6683" s="1"/>
    </row>
    <row r="6684" spans="3:30">
      <c r="C6684" s="9"/>
      <c r="AD6684" s="1"/>
    </row>
    <row r="6685" spans="3:30">
      <c r="C6685" s="9"/>
      <c r="AD6685" s="1"/>
    </row>
    <row r="6686" spans="3:30">
      <c r="C6686" s="9"/>
      <c r="AD6686" s="1"/>
    </row>
    <row r="6687" spans="3:30">
      <c r="C6687" s="9"/>
      <c r="AD6687" s="1"/>
    </row>
    <row r="6688" spans="3:30">
      <c r="C6688" s="9"/>
      <c r="AD6688" s="1"/>
    </row>
    <row r="6689" spans="3:30">
      <c r="C6689" s="9"/>
      <c r="AD6689" s="1"/>
    </row>
    <row r="6690" spans="3:30">
      <c r="C6690" s="9"/>
      <c r="AD6690" s="1"/>
    </row>
    <row r="6691" spans="3:30">
      <c r="C6691" s="9"/>
      <c r="AD6691" s="1"/>
    </row>
    <row r="6692" spans="3:30">
      <c r="C6692" s="9"/>
      <c r="AD6692" s="1"/>
    </row>
    <row r="6693" spans="3:30">
      <c r="C6693" s="9"/>
      <c r="AD6693" s="1"/>
    </row>
    <row r="6694" spans="3:30">
      <c r="C6694" s="9"/>
      <c r="AD6694" s="1"/>
    </row>
    <row r="6695" spans="3:30">
      <c r="C6695" s="9"/>
      <c r="AD6695" s="1"/>
    </row>
    <row r="6696" spans="3:30">
      <c r="C6696" s="9"/>
      <c r="AD6696" s="1"/>
    </row>
    <row r="6697" spans="3:30">
      <c r="C6697" s="9"/>
      <c r="AD6697" s="1"/>
    </row>
    <row r="6698" spans="3:30">
      <c r="C6698" s="9"/>
      <c r="AD6698" s="1"/>
    </row>
    <row r="6699" spans="3:30">
      <c r="C6699" s="9"/>
      <c r="AD6699" s="1"/>
    </row>
    <row r="6700" spans="3:30">
      <c r="C6700" s="9"/>
      <c r="AD6700" s="1"/>
    </row>
    <row r="6701" spans="3:30">
      <c r="C6701" s="9"/>
      <c r="AD6701" s="1"/>
    </row>
    <row r="6702" spans="3:30">
      <c r="C6702" s="9"/>
      <c r="AD6702" s="1"/>
    </row>
    <row r="6703" spans="3:30">
      <c r="C6703" s="9"/>
      <c r="AD6703" s="1"/>
    </row>
    <row r="6704" spans="3:30">
      <c r="C6704" s="9"/>
      <c r="AD6704" s="1"/>
    </row>
    <row r="6705" spans="3:30">
      <c r="C6705" s="9"/>
      <c r="AD6705" s="1"/>
    </row>
    <row r="6706" spans="3:30">
      <c r="C6706" s="9"/>
      <c r="AD6706" s="1"/>
    </row>
    <row r="6707" spans="3:30">
      <c r="C6707" s="9"/>
      <c r="AD6707" s="1"/>
    </row>
    <row r="6708" spans="3:30">
      <c r="C6708" s="9"/>
      <c r="AD6708" s="1"/>
    </row>
    <row r="6709" spans="3:30">
      <c r="C6709" s="9"/>
      <c r="AD6709" s="1"/>
    </row>
    <row r="6710" spans="3:30">
      <c r="C6710" s="9"/>
      <c r="AD6710" s="1"/>
    </row>
    <row r="6711" spans="3:30">
      <c r="C6711" s="9"/>
      <c r="AD6711" s="1"/>
    </row>
    <row r="6712" spans="3:30">
      <c r="C6712" s="9"/>
      <c r="AD6712" s="1"/>
    </row>
    <row r="6713" spans="3:30">
      <c r="C6713" s="9"/>
      <c r="AD6713" s="1"/>
    </row>
    <row r="6714" spans="3:30">
      <c r="C6714" s="9"/>
      <c r="AD6714" s="1"/>
    </row>
    <row r="6715" spans="3:30">
      <c r="C6715" s="9"/>
      <c r="AD6715" s="1"/>
    </row>
    <row r="6716" spans="3:30">
      <c r="C6716" s="9"/>
      <c r="AD6716" s="1"/>
    </row>
    <row r="6717" spans="3:30">
      <c r="C6717" s="9"/>
      <c r="AD6717" s="1"/>
    </row>
    <row r="6718" spans="3:30">
      <c r="C6718" s="9"/>
      <c r="AD6718" s="1"/>
    </row>
    <row r="6719" spans="3:30">
      <c r="C6719" s="9"/>
      <c r="AD6719" s="1"/>
    </row>
    <row r="6720" spans="3:30">
      <c r="C6720" s="9"/>
      <c r="AD6720" s="1"/>
    </row>
    <row r="6721" spans="3:30">
      <c r="C6721" s="9"/>
      <c r="AD6721" s="1"/>
    </row>
    <row r="6722" spans="3:30">
      <c r="C6722" s="9"/>
      <c r="AD6722" s="1"/>
    </row>
    <row r="6723" spans="3:30">
      <c r="C6723" s="9"/>
      <c r="AD6723" s="1"/>
    </row>
    <row r="6724" spans="3:30">
      <c r="C6724" s="9"/>
      <c r="AD6724" s="1"/>
    </row>
    <row r="6725" spans="3:30">
      <c r="C6725" s="9"/>
      <c r="AD6725" s="1"/>
    </row>
    <row r="6726" spans="3:30">
      <c r="C6726" s="9"/>
      <c r="AD6726" s="1"/>
    </row>
    <row r="6727" spans="3:30">
      <c r="C6727" s="9"/>
      <c r="AD6727" s="1"/>
    </row>
    <row r="6728" spans="3:30">
      <c r="C6728" s="9"/>
      <c r="AD6728" s="1"/>
    </row>
    <row r="6729" spans="3:30">
      <c r="C6729" s="9"/>
      <c r="AD6729" s="1"/>
    </row>
    <row r="6730" spans="3:30">
      <c r="C6730" s="9"/>
      <c r="AD6730" s="1"/>
    </row>
    <row r="6731" spans="3:30">
      <c r="C6731" s="9"/>
      <c r="AD6731" s="1"/>
    </row>
    <row r="6732" spans="3:30">
      <c r="C6732" s="9"/>
      <c r="AD6732" s="1"/>
    </row>
    <row r="6733" spans="3:30">
      <c r="C6733" s="9"/>
      <c r="AD6733" s="1"/>
    </row>
    <row r="6734" spans="3:30">
      <c r="C6734" s="9"/>
      <c r="AD6734" s="1"/>
    </row>
    <row r="6735" spans="3:30">
      <c r="C6735" s="9"/>
      <c r="AD6735" s="1"/>
    </row>
    <row r="6736" spans="3:30">
      <c r="C6736" s="9"/>
      <c r="AD6736" s="1"/>
    </row>
    <row r="6737" spans="3:30">
      <c r="C6737" s="9"/>
      <c r="AD6737" s="1"/>
    </row>
    <row r="6738" spans="3:30">
      <c r="C6738" s="9"/>
      <c r="AD6738" s="1"/>
    </row>
    <row r="6739" spans="3:30">
      <c r="C6739" s="9"/>
      <c r="AD6739" s="1"/>
    </row>
    <row r="6740" spans="3:30">
      <c r="C6740" s="9"/>
      <c r="AD6740" s="1"/>
    </row>
    <row r="6741" spans="3:30">
      <c r="C6741" s="9"/>
      <c r="AD6741" s="1"/>
    </row>
    <row r="6742" spans="3:30">
      <c r="C6742" s="9"/>
      <c r="AD6742" s="1"/>
    </row>
    <row r="6743" spans="3:30">
      <c r="C6743" s="9"/>
      <c r="AD6743" s="1"/>
    </row>
    <row r="6744" spans="3:30">
      <c r="C6744" s="9"/>
      <c r="AD6744" s="1"/>
    </row>
    <row r="6745" spans="3:30">
      <c r="C6745" s="9"/>
      <c r="AD6745" s="1"/>
    </row>
    <row r="6746" spans="3:30">
      <c r="C6746" s="9"/>
      <c r="AD6746" s="1"/>
    </row>
    <row r="6747" spans="3:30">
      <c r="C6747" s="9"/>
      <c r="AD6747" s="1"/>
    </row>
    <row r="6748" spans="3:30">
      <c r="C6748" s="9"/>
      <c r="AD6748" s="1"/>
    </row>
    <row r="6749" spans="3:30">
      <c r="C6749" s="9"/>
      <c r="AD6749" s="1"/>
    </row>
    <row r="6750" spans="3:30">
      <c r="C6750" s="9"/>
      <c r="AD6750" s="1"/>
    </row>
    <row r="6751" spans="3:30">
      <c r="C6751" s="9"/>
      <c r="AD6751" s="1"/>
    </row>
    <row r="6752" spans="3:30">
      <c r="C6752" s="9"/>
      <c r="AD6752" s="1"/>
    </row>
    <row r="6753" spans="3:30">
      <c r="C6753" s="9"/>
      <c r="AD6753" s="1"/>
    </row>
    <row r="6754" spans="3:30">
      <c r="C6754" s="9"/>
      <c r="AD6754" s="1"/>
    </row>
    <row r="6755" spans="3:30">
      <c r="C6755" s="9"/>
      <c r="AD6755" s="1"/>
    </row>
    <row r="6756" spans="3:30">
      <c r="C6756" s="9"/>
      <c r="AD6756" s="1"/>
    </row>
    <row r="6757" spans="3:30">
      <c r="C6757" s="9"/>
      <c r="AD6757" s="1"/>
    </row>
    <row r="6758" spans="3:30">
      <c r="C6758" s="9"/>
      <c r="AD6758" s="1"/>
    </row>
    <row r="6759" spans="3:30">
      <c r="C6759" s="9"/>
      <c r="AD6759" s="1"/>
    </row>
    <row r="6760" spans="3:30">
      <c r="C6760" s="9"/>
      <c r="AD6760" s="1"/>
    </row>
    <row r="6761" spans="3:30">
      <c r="C6761" s="9"/>
      <c r="AD6761" s="1"/>
    </row>
    <row r="6762" spans="3:30">
      <c r="C6762" s="9"/>
      <c r="AD6762" s="1"/>
    </row>
    <row r="6763" spans="3:30">
      <c r="C6763" s="9"/>
      <c r="AD6763" s="1"/>
    </row>
    <row r="6764" spans="3:30">
      <c r="C6764" s="9"/>
      <c r="AD6764" s="1"/>
    </row>
    <row r="6765" spans="3:30">
      <c r="C6765" s="9"/>
      <c r="AD6765" s="1"/>
    </row>
    <row r="6766" spans="3:30">
      <c r="C6766" s="9"/>
      <c r="AD6766" s="1"/>
    </row>
    <row r="6767" spans="3:30">
      <c r="C6767" s="9"/>
      <c r="AD6767" s="1"/>
    </row>
    <row r="6768" spans="3:30">
      <c r="C6768" s="9"/>
      <c r="AD6768" s="1"/>
    </row>
    <row r="6769" spans="3:30">
      <c r="C6769" s="9"/>
      <c r="AD6769" s="1"/>
    </row>
    <row r="6770" spans="3:30">
      <c r="C6770" s="9"/>
      <c r="AD6770" s="1"/>
    </row>
    <row r="6771" spans="3:30">
      <c r="C6771" s="9"/>
      <c r="AD6771" s="1"/>
    </row>
    <row r="6772" spans="3:30">
      <c r="C6772" s="9"/>
      <c r="AD6772" s="1"/>
    </row>
    <row r="6773" spans="3:30">
      <c r="C6773" s="9"/>
      <c r="AD6773" s="1"/>
    </row>
    <row r="6774" spans="3:30">
      <c r="C6774" s="9"/>
      <c r="AD6774" s="1"/>
    </row>
    <row r="6775" spans="3:30">
      <c r="C6775" s="9"/>
      <c r="AD6775" s="1"/>
    </row>
    <row r="6776" spans="3:30">
      <c r="C6776" s="9"/>
      <c r="AD6776" s="1"/>
    </row>
    <row r="6777" spans="3:30">
      <c r="C6777" s="9"/>
      <c r="AD6777" s="1"/>
    </row>
    <row r="6778" spans="3:30">
      <c r="C6778" s="9"/>
      <c r="AD6778" s="1"/>
    </row>
    <row r="6779" spans="3:30">
      <c r="C6779" s="9"/>
      <c r="AD6779" s="1"/>
    </row>
    <row r="6780" spans="3:30">
      <c r="C6780" s="9"/>
      <c r="AD6780" s="1"/>
    </row>
    <row r="6781" spans="3:30">
      <c r="C6781" s="9"/>
      <c r="AD6781" s="1"/>
    </row>
    <row r="6782" spans="3:30">
      <c r="C6782" s="9"/>
      <c r="AD6782" s="1"/>
    </row>
    <row r="6783" spans="3:30">
      <c r="C6783" s="9"/>
      <c r="AD6783" s="1"/>
    </row>
    <row r="6784" spans="3:30">
      <c r="C6784" s="9"/>
      <c r="AD6784" s="1"/>
    </row>
    <row r="6785" spans="3:30">
      <c r="C6785" s="9"/>
      <c r="AD6785" s="1"/>
    </row>
    <row r="6786" spans="3:30">
      <c r="C6786" s="9"/>
      <c r="AD6786" s="1"/>
    </row>
    <row r="6787" spans="3:30">
      <c r="C6787" s="9"/>
      <c r="AD6787" s="1"/>
    </row>
    <row r="6788" spans="3:30">
      <c r="C6788" s="9"/>
      <c r="AD6788" s="1"/>
    </row>
    <row r="6789" spans="3:30">
      <c r="C6789" s="9"/>
      <c r="AD6789" s="1"/>
    </row>
    <row r="6790" spans="3:30">
      <c r="C6790" s="9"/>
      <c r="AD6790" s="1"/>
    </row>
    <row r="6791" spans="3:30">
      <c r="C6791" s="9"/>
      <c r="AD6791" s="1"/>
    </row>
    <row r="6792" spans="3:30">
      <c r="C6792" s="9"/>
      <c r="AD6792" s="1"/>
    </row>
    <row r="6793" spans="3:30">
      <c r="C6793" s="9"/>
      <c r="AD6793" s="1"/>
    </row>
    <row r="6794" spans="3:30">
      <c r="C6794" s="9"/>
      <c r="AD6794" s="1"/>
    </row>
    <row r="6795" spans="3:30">
      <c r="C6795" s="9"/>
      <c r="AD6795" s="1"/>
    </row>
    <row r="6796" spans="3:30">
      <c r="C6796" s="9"/>
      <c r="AD6796" s="1"/>
    </row>
    <row r="6797" spans="3:30">
      <c r="C6797" s="9"/>
      <c r="AD6797" s="1"/>
    </row>
    <row r="6798" spans="3:30">
      <c r="C6798" s="9"/>
      <c r="AD6798" s="1"/>
    </row>
    <row r="6799" spans="3:30">
      <c r="C6799" s="9"/>
      <c r="AD6799" s="1"/>
    </row>
    <row r="6800" spans="3:30">
      <c r="C6800" s="9"/>
      <c r="AD6800" s="1"/>
    </row>
    <row r="6801" spans="3:30">
      <c r="C6801" s="9"/>
      <c r="AD6801" s="1"/>
    </row>
    <row r="6802" spans="3:30">
      <c r="C6802" s="9"/>
      <c r="AD6802" s="1"/>
    </row>
    <row r="6803" spans="3:30">
      <c r="C6803" s="9"/>
      <c r="AD6803" s="1"/>
    </row>
    <row r="6804" spans="3:30">
      <c r="C6804" s="9"/>
      <c r="AD6804" s="1"/>
    </row>
    <row r="6805" spans="3:30">
      <c r="C6805" s="9"/>
      <c r="AD6805" s="1"/>
    </row>
    <row r="6806" spans="3:30">
      <c r="C6806" s="9"/>
      <c r="AD6806" s="1"/>
    </row>
    <row r="6807" spans="3:30">
      <c r="C6807" s="9"/>
      <c r="AD6807" s="1"/>
    </row>
    <row r="6808" spans="3:30">
      <c r="C6808" s="9"/>
      <c r="AD6808" s="1"/>
    </row>
    <row r="6809" spans="3:30">
      <c r="C6809" s="9"/>
      <c r="AD6809" s="1"/>
    </row>
    <row r="6810" spans="3:30">
      <c r="C6810" s="9"/>
      <c r="AD6810" s="1"/>
    </row>
    <row r="6811" spans="3:30">
      <c r="C6811" s="9"/>
      <c r="AD6811" s="1"/>
    </row>
    <row r="6812" spans="3:30">
      <c r="C6812" s="9"/>
      <c r="AD6812" s="1"/>
    </row>
    <row r="6813" spans="3:30">
      <c r="C6813" s="9"/>
      <c r="AD6813" s="1"/>
    </row>
    <row r="6814" spans="3:30">
      <c r="C6814" s="9"/>
      <c r="AD6814" s="1"/>
    </row>
    <row r="6815" spans="3:30">
      <c r="C6815" s="9"/>
      <c r="AD6815" s="1"/>
    </row>
    <row r="6816" spans="3:30">
      <c r="C6816" s="9"/>
      <c r="AD6816" s="1"/>
    </row>
    <row r="6817" spans="3:30">
      <c r="C6817" s="9"/>
      <c r="AD6817" s="1"/>
    </row>
    <row r="6818" spans="3:30">
      <c r="C6818" s="9"/>
      <c r="AD6818" s="1"/>
    </row>
    <row r="6819" spans="3:30">
      <c r="C6819" s="9"/>
      <c r="AD6819" s="1"/>
    </row>
    <row r="6820" spans="3:30">
      <c r="C6820" s="9"/>
      <c r="AD6820" s="1"/>
    </row>
    <row r="6821" spans="3:30">
      <c r="C6821" s="9"/>
      <c r="AD6821" s="1"/>
    </row>
    <row r="6822" spans="3:30">
      <c r="C6822" s="9"/>
      <c r="AD6822" s="1"/>
    </row>
    <row r="6823" spans="3:30">
      <c r="C6823" s="9"/>
      <c r="AD6823" s="1"/>
    </row>
    <row r="6824" spans="3:30">
      <c r="C6824" s="9"/>
      <c r="AD6824" s="1"/>
    </row>
    <row r="6825" spans="3:30">
      <c r="C6825" s="9"/>
      <c r="AD6825" s="1"/>
    </row>
    <row r="6826" spans="3:30">
      <c r="C6826" s="9"/>
      <c r="AD6826" s="1"/>
    </row>
    <row r="6827" spans="3:30">
      <c r="C6827" s="9"/>
      <c r="AD6827" s="1"/>
    </row>
    <row r="6828" spans="3:30">
      <c r="C6828" s="9"/>
      <c r="AD6828" s="1"/>
    </row>
    <row r="6829" spans="3:30">
      <c r="C6829" s="9"/>
      <c r="AD6829" s="1"/>
    </row>
    <row r="6830" spans="3:30">
      <c r="C6830" s="9"/>
      <c r="AD6830" s="1"/>
    </row>
    <row r="6831" spans="3:30">
      <c r="C6831" s="9"/>
      <c r="AD6831" s="1"/>
    </row>
    <row r="6832" spans="3:30">
      <c r="C6832" s="9"/>
      <c r="AD6832" s="1"/>
    </row>
    <row r="6833" spans="3:30">
      <c r="C6833" s="9"/>
      <c r="AD6833" s="1"/>
    </row>
    <row r="6834" spans="3:30">
      <c r="C6834" s="9"/>
      <c r="AD6834" s="1"/>
    </row>
    <row r="6835" spans="3:30">
      <c r="C6835" s="9"/>
      <c r="AD6835" s="1"/>
    </row>
    <row r="6836" spans="3:30">
      <c r="C6836" s="9"/>
      <c r="AD6836" s="1"/>
    </row>
    <row r="6837" spans="3:30">
      <c r="C6837" s="9"/>
      <c r="AD6837" s="1"/>
    </row>
    <row r="6838" spans="3:30">
      <c r="C6838" s="9"/>
      <c r="AD6838" s="1"/>
    </row>
    <row r="6839" spans="3:30">
      <c r="C6839" s="9"/>
      <c r="AD6839" s="1"/>
    </row>
    <row r="6840" spans="3:30">
      <c r="C6840" s="9"/>
      <c r="AD6840" s="1"/>
    </row>
    <row r="6841" spans="3:30">
      <c r="C6841" s="9"/>
      <c r="AD6841" s="1"/>
    </row>
    <row r="6842" spans="3:30">
      <c r="C6842" s="9"/>
      <c r="AD6842" s="1"/>
    </row>
    <row r="6843" spans="3:30">
      <c r="C6843" s="9"/>
      <c r="AD6843" s="1"/>
    </row>
    <row r="6844" spans="3:30">
      <c r="C6844" s="9"/>
      <c r="AD6844" s="1"/>
    </row>
    <row r="6845" spans="3:30">
      <c r="C6845" s="9"/>
      <c r="AD6845" s="1"/>
    </row>
    <row r="6846" spans="3:30">
      <c r="C6846" s="9"/>
      <c r="AD6846" s="1"/>
    </row>
    <row r="6847" spans="3:30">
      <c r="C6847" s="9"/>
      <c r="AD6847" s="1"/>
    </row>
    <row r="6848" spans="3:30">
      <c r="C6848" s="9"/>
      <c r="AD6848" s="1"/>
    </row>
    <row r="6849" spans="3:30">
      <c r="C6849" s="9"/>
      <c r="AD6849" s="1"/>
    </row>
    <row r="6850" spans="3:30">
      <c r="C6850" s="9"/>
      <c r="AD6850" s="1"/>
    </row>
    <row r="6851" spans="3:30">
      <c r="C6851" s="9"/>
      <c r="AD6851" s="1"/>
    </row>
    <row r="6852" spans="3:30">
      <c r="C6852" s="9"/>
      <c r="AD6852" s="1"/>
    </row>
    <row r="6853" spans="3:30">
      <c r="C6853" s="9"/>
      <c r="AD6853" s="1"/>
    </row>
    <row r="6854" spans="3:30">
      <c r="C6854" s="9"/>
      <c r="AD6854" s="1"/>
    </row>
    <row r="6855" spans="3:30">
      <c r="C6855" s="9"/>
      <c r="AD6855" s="1"/>
    </row>
    <row r="6856" spans="3:30">
      <c r="C6856" s="9"/>
      <c r="AD6856" s="1"/>
    </row>
    <row r="6857" spans="3:30">
      <c r="C6857" s="9"/>
      <c r="AD6857" s="1"/>
    </row>
    <row r="6858" spans="3:30">
      <c r="C6858" s="9"/>
      <c r="AD6858" s="1"/>
    </row>
    <row r="6859" spans="3:30">
      <c r="C6859" s="9"/>
      <c r="AD6859" s="1"/>
    </row>
    <row r="6860" spans="3:30">
      <c r="C6860" s="9"/>
      <c r="AD6860" s="1"/>
    </row>
    <row r="6861" spans="3:30">
      <c r="C6861" s="9"/>
      <c r="AD6861" s="1"/>
    </row>
    <row r="6862" spans="3:30">
      <c r="C6862" s="9"/>
      <c r="AD6862" s="1"/>
    </row>
    <row r="6863" spans="3:30">
      <c r="C6863" s="9"/>
      <c r="AD6863" s="1"/>
    </row>
    <row r="6864" spans="3:30">
      <c r="C6864" s="9"/>
      <c r="AD6864" s="1"/>
    </row>
    <row r="6865" spans="3:30">
      <c r="C6865" s="9"/>
      <c r="AD6865" s="1"/>
    </row>
    <row r="6866" spans="3:30">
      <c r="C6866" s="9"/>
      <c r="AD6866" s="1"/>
    </row>
    <row r="6867" spans="3:30">
      <c r="C6867" s="9"/>
      <c r="AD6867" s="1"/>
    </row>
    <row r="6868" spans="3:30">
      <c r="C6868" s="9"/>
      <c r="AD6868" s="1"/>
    </row>
    <row r="6869" spans="3:30">
      <c r="C6869" s="9"/>
      <c r="AD6869" s="1"/>
    </row>
    <row r="6870" spans="3:30">
      <c r="C6870" s="9"/>
      <c r="AD6870" s="1"/>
    </row>
    <row r="6871" spans="3:30">
      <c r="C6871" s="9"/>
      <c r="AD6871" s="1"/>
    </row>
    <row r="6872" spans="3:30">
      <c r="C6872" s="9"/>
      <c r="AD6872" s="1"/>
    </row>
    <row r="6873" spans="3:30">
      <c r="C6873" s="9"/>
      <c r="AD6873" s="1"/>
    </row>
    <row r="6874" spans="3:30">
      <c r="C6874" s="9"/>
      <c r="AD6874" s="1"/>
    </row>
    <row r="6875" spans="3:30">
      <c r="C6875" s="9"/>
      <c r="AD6875" s="1"/>
    </row>
    <row r="6876" spans="3:30">
      <c r="C6876" s="9"/>
      <c r="AD6876" s="1"/>
    </row>
    <row r="6877" spans="3:30">
      <c r="C6877" s="9"/>
      <c r="AD6877" s="1"/>
    </row>
    <row r="6878" spans="3:30">
      <c r="C6878" s="9"/>
      <c r="AD6878" s="1"/>
    </row>
    <row r="6879" spans="3:30">
      <c r="C6879" s="9"/>
      <c r="AD6879" s="1"/>
    </row>
    <row r="6880" spans="3:30">
      <c r="C6880" s="9"/>
      <c r="AD6880" s="1"/>
    </row>
    <row r="6881" spans="3:30">
      <c r="C6881" s="9"/>
      <c r="AD6881" s="1"/>
    </row>
    <row r="6882" spans="3:30">
      <c r="C6882" s="9"/>
      <c r="AD6882" s="1"/>
    </row>
    <row r="6883" spans="3:30">
      <c r="C6883" s="9"/>
      <c r="AD6883" s="1"/>
    </row>
    <row r="6884" spans="3:30">
      <c r="C6884" s="9"/>
      <c r="AD6884" s="1"/>
    </row>
    <row r="6885" spans="3:30">
      <c r="C6885" s="9"/>
      <c r="AD6885" s="1"/>
    </row>
    <row r="6886" spans="3:30">
      <c r="C6886" s="9"/>
      <c r="AD6886" s="1"/>
    </row>
    <row r="6887" spans="3:30">
      <c r="C6887" s="9"/>
      <c r="AD6887" s="1"/>
    </row>
    <row r="6888" spans="3:30">
      <c r="C6888" s="9"/>
      <c r="AD6888" s="1"/>
    </row>
    <row r="6889" spans="3:30">
      <c r="C6889" s="9"/>
      <c r="AD6889" s="1"/>
    </row>
    <row r="6890" spans="3:30">
      <c r="C6890" s="9"/>
      <c r="AD6890" s="1"/>
    </row>
    <row r="6891" spans="3:30">
      <c r="C6891" s="9"/>
      <c r="AD6891" s="1"/>
    </row>
    <row r="6892" spans="3:30">
      <c r="C6892" s="9"/>
      <c r="AD6892" s="1"/>
    </row>
    <row r="6893" spans="3:30">
      <c r="C6893" s="9"/>
      <c r="AD6893" s="1"/>
    </row>
    <row r="6894" spans="3:30">
      <c r="C6894" s="9"/>
      <c r="AD6894" s="1"/>
    </row>
    <row r="6895" spans="3:30">
      <c r="C6895" s="9"/>
      <c r="AD6895" s="1"/>
    </row>
    <row r="6896" spans="3:30">
      <c r="C6896" s="9"/>
      <c r="AD6896" s="1"/>
    </row>
    <row r="6897" spans="3:30">
      <c r="C6897" s="9"/>
      <c r="AD6897" s="1"/>
    </row>
    <row r="6898" spans="3:30">
      <c r="C6898" s="9"/>
      <c r="AD6898" s="1"/>
    </row>
    <row r="6899" spans="3:30">
      <c r="C6899" s="9"/>
      <c r="AD6899" s="1"/>
    </row>
    <row r="6900" spans="3:30">
      <c r="C6900" s="9"/>
      <c r="AD6900" s="1"/>
    </row>
    <row r="6901" spans="3:30">
      <c r="C6901" s="9"/>
      <c r="AD6901" s="1"/>
    </row>
    <row r="6902" spans="3:30">
      <c r="C6902" s="9"/>
      <c r="AD6902" s="1"/>
    </row>
    <row r="6903" spans="3:30">
      <c r="C6903" s="9"/>
      <c r="AD6903" s="1"/>
    </row>
    <row r="6904" spans="3:30">
      <c r="C6904" s="9"/>
      <c r="AD6904" s="1"/>
    </row>
    <row r="6905" spans="3:30">
      <c r="C6905" s="9"/>
      <c r="AD6905" s="1"/>
    </row>
    <row r="6906" spans="3:30">
      <c r="C6906" s="9"/>
      <c r="AD6906" s="1"/>
    </row>
    <row r="6907" spans="3:30">
      <c r="C6907" s="9"/>
      <c r="AD6907" s="1"/>
    </row>
    <row r="6908" spans="3:30">
      <c r="C6908" s="9"/>
      <c r="AD6908" s="1"/>
    </row>
    <row r="6909" spans="3:30">
      <c r="C6909" s="9"/>
      <c r="AD6909" s="1"/>
    </row>
    <row r="6910" spans="3:30">
      <c r="C6910" s="9"/>
      <c r="AD6910" s="1"/>
    </row>
    <row r="6911" spans="3:30">
      <c r="C6911" s="9"/>
      <c r="AD6911" s="1"/>
    </row>
    <row r="6912" spans="3:30">
      <c r="C6912" s="9"/>
      <c r="AD6912" s="1"/>
    </row>
    <row r="6913" spans="3:30">
      <c r="C6913" s="9"/>
      <c r="AD6913" s="1"/>
    </row>
    <row r="6914" spans="3:30">
      <c r="C6914" s="9"/>
      <c r="AD6914" s="1"/>
    </row>
    <row r="6915" spans="3:30">
      <c r="C6915" s="9"/>
      <c r="AD6915" s="1"/>
    </row>
    <row r="6916" spans="3:30">
      <c r="C6916" s="9"/>
      <c r="AD6916" s="1"/>
    </row>
    <row r="6917" spans="3:30">
      <c r="C6917" s="9"/>
      <c r="AD6917" s="1"/>
    </row>
    <row r="6918" spans="3:30">
      <c r="C6918" s="9"/>
      <c r="AD6918" s="1"/>
    </row>
    <row r="6919" spans="3:30">
      <c r="C6919" s="9"/>
      <c r="AD6919" s="1"/>
    </row>
    <row r="6920" spans="3:30">
      <c r="C6920" s="9"/>
      <c r="AD6920" s="1"/>
    </row>
    <row r="6921" spans="3:30">
      <c r="C6921" s="9"/>
      <c r="AD6921" s="1"/>
    </row>
    <row r="6922" spans="3:30">
      <c r="C6922" s="9"/>
      <c r="AD6922" s="1"/>
    </row>
    <row r="6923" spans="3:30">
      <c r="C6923" s="9"/>
      <c r="AD6923" s="1"/>
    </row>
    <row r="6924" spans="3:30">
      <c r="C6924" s="9"/>
      <c r="AD6924" s="1"/>
    </row>
    <row r="6925" spans="3:30">
      <c r="C6925" s="9"/>
      <c r="AD6925" s="1"/>
    </row>
    <row r="6926" spans="3:30">
      <c r="C6926" s="9"/>
      <c r="AD6926" s="1"/>
    </row>
    <row r="6927" spans="3:30">
      <c r="C6927" s="9"/>
      <c r="AD6927" s="1"/>
    </row>
    <row r="6928" spans="3:30">
      <c r="C6928" s="9"/>
      <c r="AD6928" s="1"/>
    </row>
    <row r="6929" spans="3:30">
      <c r="C6929" s="9"/>
      <c r="AD6929" s="1"/>
    </row>
    <row r="6930" spans="3:30">
      <c r="C6930" s="9"/>
      <c r="AD6930" s="1"/>
    </row>
    <row r="6931" spans="3:30">
      <c r="C6931" s="9"/>
      <c r="AD6931" s="1"/>
    </row>
    <row r="6932" spans="3:30">
      <c r="C6932" s="9"/>
      <c r="AD6932" s="1"/>
    </row>
    <row r="6933" spans="3:30">
      <c r="C6933" s="9"/>
      <c r="AD6933" s="1"/>
    </row>
    <row r="6934" spans="3:30">
      <c r="C6934" s="9"/>
      <c r="AD6934" s="1"/>
    </row>
    <row r="6935" spans="3:30">
      <c r="C6935" s="9"/>
      <c r="AD6935" s="1"/>
    </row>
    <row r="6936" spans="3:30">
      <c r="C6936" s="9"/>
      <c r="AD6936" s="1"/>
    </row>
    <row r="6937" spans="3:30">
      <c r="C6937" s="9"/>
      <c r="AD6937" s="1"/>
    </row>
    <row r="6938" spans="3:30">
      <c r="C6938" s="9"/>
      <c r="AD6938" s="1"/>
    </row>
    <row r="6939" spans="3:30">
      <c r="C6939" s="9"/>
      <c r="AD6939" s="1"/>
    </row>
    <row r="6940" spans="3:30">
      <c r="C6940" s="9"/>
      <c r="AD6940" s="1"/>
    </row>
    <row r="6941" spans="3:30">
      <c r="C6941" s="9"/>
      <c r="AD6941" s="1"/>
    </row>
    <row r="6942" spans="3:30">
      <c r="C6942" s="9"/>
      <c r="AD6942" s="1"/>
    </row>
    <row r="6943" spans="3:30">
      <c r="C6943" s="9"/>
      <c r="AD6943" s="1"/>
    </row>
    <row r="6944" spans="3:30">
      <c r="C6944" s="9"/>
      <c r="AD6944" s="1"/>
    </row>
    <row r="6945" spans="3:30">
      <c r="C6945" s="9"/>
      <c r="AD6945" s="1"/>
    </row>
    <row r="6946" spans="3:30">
      <c r="C6946" s="9"/>
      <c r="AD6946" s="1"/>
    </row>
    <row r="6947" spans="3:30">
      <c r="C6947" s="9"/>
      <c r="AD6947" s="1"/>
    </row>
    <row r="6948" spans="3:30">
      <c r="C6948" s="9"/>
      <c r="AD6948" s="1"/>
    </row>
    <row r="6949" spans="3:30">
      <c r="C6949" s="9"/>
      <c r="AD6949" s="1"/>
    </row>
    <row r="6950" spans="3:30">
      <c r="C6950" s="9"/>
      <c r="AD6950" s="1"/>
    </row>
    <row r="6951" spans="3:30">
      <c r="C6951" s="9"/>
      <c r="AD6951" s="1"/>
    </row>
    <row r="6952" spans="3:30">
      <c r="C6952" s="9"/>
      <c r="AD6952" s="1"/>
    </row>
    <row r="6953" spans="3:30">
      <c r="C6953" s="9"/>
      <c r="AD6953" s="1"/>
    </row>
    <row r="6954" spans="3:30">
      <c r="C6954" s="9"/>
      <c r="AD6954" s="1"/>
    </row>
    <row r="6955" spans="3:30">
      <c r="C6955" s="9"/>
      <c r="AD6955" s="1"/>
    </row>
    <row r="6956" spans="3:30">
      <c r="C6956" s="9"/>
      <c r="AD6956" s="1"/>
    </row>
    <row r="6957" spans="3:30">
      <c r="C6957" s="9"/>
      <c r="AD6957" s="1"/>
    </row>
    <row r="6958" spans="3:30">
      <c r="C6958" s="9"/>
      <c r="AD6958" s="1"/>
    </row>
    <row r="6959" spans="3:30">
      <c r="C6959" s="9"/>
      <c r="AD6959" s="1"/>
    </row>
    <row r="6960" spans="3:30">
      <c r="C6960" s="9"/>
      <c r="AD6960" s="1"/>
    </row>
    <row r="6961" spans="3:30">
      <c r="C6961" s="9"/>
      <c r="AD6961" s="1"/>
    </row>
    <row r="6962" spans="3:30">
      <c r="C6962" s="9"/>
      <c r="AD6962" s="1"/>
    </row>
    <row r="6963" spans="3:30">
      <c r="C6963" s="9"/>
      <c r="AD6963" s="1"/>
    </row>
    <row r="6964" spans="3:30">
      <c r="C6964" s="9"/>
      <c r="AD6964" s="1"/>
    </row>
    <row r="6965" spans="3:30">
      <c r="C6965" s="9"/>
      <c r="AD6965" s="1"/>
    </row>
    <row r="6966" spans="3:30">
      <c r="C6966" s="9"/>
      <c r="AD6966" s="1"/>
    </row>
    <row r="6967" spans="3:30">
      <c r="C6967" s="9"/>
      <c r="AD6967" s="1"/>
    </row>
    <row r="6968" spans="3:30">
      <c r="C6968" s="9"/>
      <c r="AD6968" s="1"/>
    </row>
    <row r="6969" spans="3:30">
      <c r="C6969" s="9"/>
      <c r="AD6969" s="1"/>
    </row>
    <row r="6970" spans="3:30">
      <c r="C6970" s="9"/>
      <c r="AD6970" s="1"/>
    </row>
    <row r="6971" spans="3:30">
      <c r="C6971" s="9"/>
      <c r="AD6971" s="1"/>
    </row>
    <row r="6972" spans="3:30">
      <c r="C6972" s="9"/>
      <c r="AD6972" s="1"/>
    </row>
    <row r="6973" spans="3:30">
      <c r="C6973" s="9"/>
      <c r="AD6973" s="1"/>
    </row>
    <row r="6974" spans="3:30">
      <c r="C6974" s="9"/>
      <c r="AD6974" s="1"/>
    </row>
    <row r="6975" spans="3:30">
      <c r="C6975" s="9"/>
      <c r="AD6975" s="1"/>
    </row>
    <row r="6976" spans="3:30">
      <c r="C6976" s="9"/>
      <c r="AD6976" s="1"/>
    </row>
    <row r="6977" spans="3:30">
      <c r="C6977" s="9"/>
      <c r="AD6977" s="1"/>
    </row>
    <row r="6978" spans="3:30">
      <c r="C6978" s="9"/>
      <c r="AD6978" s="1"/>
    </row>
    <row r="6979" spans="3:30">
      <c r="C6979" s="9"/>
      <c r="AD6979" s="1"/>
    </row>
    <row r="6980" spans="3:30">
      <c r="C6980" s="9"/>
      <c r="AD6980" s="1"/>
    </row>
    <row r="6981" spans="3:30">
      <c r="C6981" s="9"/>
      <c r="AD6981" s="1"/>
    </row>
    <row r="6982" spans="3:30">
      <c r="C6982" s="9"/>
      <c r="AD6982" s="1"/>
    </row>
    <row r="6983" spans="3:30">
      <c r="C6983" s="9"/>
      <c r="AD6983" s="1"/>
    </row>
    <row r="6984" spans="3:30">
      <c r="C6984" s="9"/>
      <c r="AD6984" s="1"/>
    </row>
    <row r="6985" spans="3:30">
      <c r="C6985" s="9"/>
      <c r="AD6985" s="1"/>
    </row>
    <row r="6986" spans="3:30">
      <c r="C6986" s="9"/>
      <c r="AD6986" s="1"/>
    </row>
    <row r="6987" spans="3:30">
      <c r="C6987" s="9"/>
      <c r="AD6987" s="1"/>
    </row>
    <row r="6988" spans="3:30">
      <c r="C6988" s="9"/>
      <c r="AD6988" s="1"/>
    </row>
    <row r="6989" spans="3:30">
      <c r="C6989" s="9"/>
      <c r="AD6989" s="1"/>
    </row>
    <row r="6990" spans="3:30">
      <c r="C6990" s="9"/>
      <c r="AD6990" s="1"/>
    </row>
    <row r="6991" spans="3:30">
      <c r="C6991" s="9"/>
      <c r="AD6991" s="1"/>
    </row>
    <row r="6992" spans="3:30">
      <c r="C6992" s="9"/>
      <c r="AD6992" s="1"/>
    </row>
    <row r="6993" spans="3:30">
      <c r="C6993" s="9"/>
      <c r="AD6993" s="1"/>
    </row>
    <row r="6994" spans="3:30">
      <c r="C6994" s="9"/>
      <c r="AD6994" s="1"/>
    </row>
    <row r="6995" spans="3:30">
      <c r="C6995" s="9"/>
      <c r="AD6995" s="1"/>
    </row>
    <row r="6996" spans="3:30">
      <c r="C6996" s="9"/>
      <c r="AD6996" s="1"/>
    </row>
    <row r="6997" spans="3:30">
      <c r="C6997" s="9"/>
      <c r="AD6997" s="1"/>
    </row>
    <row r="6998" spans="3:30">
      <c r="C6998" s="9"/>
      <c r="AD6998" s="1"/>
    </row>
    <row r="6999" spans="3:30">
      <c r="C6999" s="9"/>
      <c r="AD6999" s="1"/>
    </row>
    <row r="7000" spans="3:30">
      <c r="C7000" s="9"/>
      <c r="AD7000" s="1"/>
    </row>
    <row r="7001" spans="3:30">
      <c r="C7001" s="9"/>
      <c r="AD7001" s="1"/>
    </row>
    <row r="7002" spans="3:30">
      <c r="C7002" s="9"/>
      <c r="AD7002" s="1"/>
    </row>
    <row r="7003" spans="3:30">
      <c r="C7003" s="9"/>
      <c r="AD7003" s="1"/>
    </row>
    <row r="7004" spans="3:30">
      <c r="C7004" s="9"/>
      <c r="AD7004" s="1"/>
    </row>
    <row r="7005" spans="3:30">
      <c r="C7005" s="9"/>
      <c r="AD7005" s="1"/>
    </row>
    <row r="7006" spans="3:30">
      <c r="C7006" s="9"/>
      <c r="AD7006" s="1"/>
    </row>
    <row r="7007" spans="3:30">
      <c r="C7007" s="9"/>
      <c r="AD7007" s="1"/>
    </row>
    <row r="7008" spans="3:30">
      <c r="C7008" s="9"/>
      <c r="AD7008" s="1"/>
    </row>
    <row r="7009" spans="3:30">
      <c r="C7009" s="9"/>
      <c r="AD7009" s="1"/>
    </row>
    <row r="7010" spans="3:30">
      <c r="C7010" s="9"/>
      <c r="AD7010" s="1"/>
    </row>
    <row r="7011" spans="3:30">
      <c r="C7011" s="9"/>
      <c r="AD7011" s="1"/>
    </row>
    <row r="7012" spans="3:30">
      <c r="C7012" s="9"/>
      <c r="AD7012" s="1"/>
    </row>
    <row r="7013" spans="3:30">
      <c r="C7013" s="9"/>
      <c r="AD7013" s="1"/>
    </row>
    <row r="7014" spans="3:30">
      <c r="C7014" s="9"/>
      <c r="AD7014" s="1"/>
    </row>
    <row r="7015" spans="3:30">
      <c r="C7015" s="9"/>
      <c r="AD7015" s="1"/>
    </row>
    <row r="7016" spans="3:30">
      <c r="C7016" s="9"/>
      <c r="AD7016" s="1"/>
    </row>
    <row r="7017" spans="3:30">
      <c r="C7017" s="9"/>
      <c r="AD7017" s="1"/>
    </row>
    <row r="7018" spans="3:30">
      <c r="C7018" s="9"/>
      <c r="AD7018" s="1"/>
    </row>
    <row r="7019" spans="3:30">
      <c r="C7019" s="9"/>
      <c r="AD7019" s="1"/>
    </row>
    <row r="7020" spans="3:30">
      <c r="C7020" s="9"/>
      <c r="AD7020" s="1"/>
    </row>
    <row r="7021" spans="3:30">
      <c r="C7021" s="9"/>
      <c r="AD7021" s="1"/>
    </row>
    <row r="7022" spans="3:30">
      <c r="C7022" s="9"/>
      <c r="AD7022" s="1"/>
    </row>
    <row r="7023" spans="3:30">
      <c r="C7023" s="9"/>
      <c r="AD7023" s="1"/>
    </row>
    <row r="7024" spans="3:30">
      <c r="C7024" s="9"/>
      <c r="AD7024" s="1"/>
    </row>
    <row r="7025" spans="3:30">
      <c r="C7025" s="9"/>
      <c r="AD7025" s="1"/>
    </row>
    <row r="7026" spans="3:30">
      <c r="C7026" s="9"/>
      <c r="AD7026" s="1"/>
    </row>
    <row r="7027" spans="3:30">
      <c r="C7027" s="9"/>
      <c r="AD7027" s="1"/>
    </row>
    <row r="7028" spans="3:30">
      <c r="C7028" s="9"/>
      <c r="AD7028" s="1"/>
    </row>
    <row r="7029" spans="3:30">
      <c r="C7029" s="9"/>
      <c r="AD7029" s="1"/>
    </row>
    <row r="7030" spans="3:30">
      <c r="C7030" s="9"/>
      <c r="AD7030" s="1"/>
    </row>
    <row r="7031" spans="3:30">
      <c r="C7031" s="9"/>
      <c r="AD7031" s="1"/>
    </row>
    <row r="7032" spans="3:30">
      <c r="C7032" s="9"/>
      <c r="AD7032" s="1"/>
    </row>
    <row r="7033" spans="3:30">
      <c r="C7033" s="9"/>
      <c r="AD7033" s="1"/>
    </row>
    <row r="7034" spans="3:30">
      <c r="C7034" s="9"/>
      <c r="AD7034" s="1"/>
    </row>
    <row r="7035" spans="3:30">
      <c r="C7035" s="9"/>
      <c r="AD7035" s="1"/>
    </row>
    <row r="7036" spans="3:30">
      <c r="C7036" s="9"/>
      <c r="AD7036" s="1"/>
    </row>
    <row r="7037" spans="3:30">
      <c r="C7037" s="9"/>
      <c r="AD7037" s="1"/>
    </row>
    <row r="7038" spans="3:30">
      <c r="C7038" s="9"/>
      <c r="AD7038" s="1"/>
    </row>
    <row r="7039" spans="3:30">
      <c r="C7039" s="9"/>
      <c r="AD7039" s="1"/>
    </row>
    <row r="7040" spans="3:30">
      <c r="C7040" s="9"/>
      <c r="AD7040" s="1"/>
    </row>
    <row r="7041" spans="3:30">
      <c r="C7041" s="9"/>
      <c r="AD7041" s="1"/>
    </row>
    <row r="7042" spans="3:30">
      <c r="C7042" s="9"/>
      <c r="AD7042" s="1"/>
    </row>
    <row r="7043" spans="3:30">
      <c r="C7043" s="9"/>
      <c r="AD7043" s="1"/>
    </row>
    <row r="7044" spans="3:30">
      <c r="C7044" s="9"/>
      <c r="AD7044" s="1"/>
    </row>
    <row r="7045" spans="3:30">
      <c r="C7045" s="9"/>
      <c r="AD7045" s="1"/>
    </row>
    <row r="7046" spans="3:30">
      <c r="C7046" s="9"/>
      <c r="AD7046" s="1"/>
    </row>
    <row r="7047" spans="3:30">
      <c r="C7047" s="9"/>
      <c r="AD7047" s="1"/>
    </row>
    <row r="7048" spans="3:30">
      <c r="C7048" s="9"/>
      <c r="AD7048" s="1"/>
    </row>
    <row r="7049" spans="3:30">
      <c r="C7049" s="9"/>
      <c r="AD7049" s="1"/>
    </row>
    <row r="7050" spans="3:30">
      <c r="C7050" s="9"/>
      <c r="AD7050" s="1"/>
    </row>
    <row r="7051" spans="3:30">
      <c r="C7051" s="9"/>
      <c r="AD7051" s="1"/>
    </row>
    <row r="7052" spans="3:30">
      <c r="C7052" s="9"/>
      <c r="AD7052" s="1"/>
    </row>
    <row r="7053" spans="3:30">
      <c r="C7053" s="9"/>
      <c r="AD7053" s="1"/>
    </row>
    <row r="7054" spans="3:30">
      <c r="C7054" s="9"/>
      <c r="AD7054" s="1"/>
    </row>
    <row r="7055" spans="3:30">
      <c r="C7055" s="9"/>
      <c r="AD7055" s="1"/>
    </row>
    <row r="7056" spans="3:30">
      <c r="C7056" s="9"/>
      <c r="AD7056" s="1"/>
    </row>
    <row r="7057" spans="3:30">
      <c r="C7057" s="9"/>
      <c r="AD7057" s="1"/>
    </row>
    <row r="7058" spans="3:30">
      <c r="C7058" s="9"/>
      <c r="AD7058" s="1"/>
    </row>
    <row r="7059" spans="3:30">
      <c r="C7059" s="9"/>
      <c r="AD7059" s="1"/>
    </row>
    <row r="7060" spans="3:30">
      <c r="C7060" s="9"/>
      <c r="AD7060" s="1"/>
    </row>
    <row r="7061" spans="3:30">
      <c r="C7061" s="9"/>
      <c r="AD7061" s="1"/>
    </row>
    <row r="7062" spans="3:30">
      <c r="C7062" s="9"/>
      <c r="AD7062" s="1"/>
    </row>
    <row r="7063" spans="3:30">
      <c r="C7063" s="9"/>
      <c r="AD7063" s="1"/>
    </row>
    <row r="7064" spans="3:30">
      <c r="C7064" s="9"/>
      <c r="AD7064" s="1"/>
    </row>
    <row r="7065" spans="3:30">
      <c r="C7065" s="9"/>
      <c r="AD7065" s="1"/>
    </row>
    <row r="7066" spans="3:30">
      <c r="C7066" s="9"/>
      <c r="AD7066" s="1"/>
    </row>
    <row r="7067" spans="3:30">
      <c r="C7067" s="9"/>
      <c r="AD7067" s="1"/>
    </row>
    <row r="7068" spans="3:30">
      <c r="C7068" s="9"/>
      <c r="AD7068" s="1"/>
    </row>
    <row r="7069" spans="3:30">
      <c r="C7069" s="9"/>
      <c r="AD7069" s="1"/>
    </row>
    <row r="7070" spans="3:30">
      <c r="C7070" s="9"/>
      <c r="AD7070" s="1"/>
    </row>
    <row r="7071" spans="3:30">
      <c r="C7071" s="9"/>
      <c r="AD7071" s="1"/>
    </row>
    <row r="7072" spans="3:30">
      <c r="C7072" s="9"/>
      <c r="AD7072" s="1"/>
    </row>
    <row r="7073" spans="3:30">
      <c r="C7073" s="9"/>
      <c r="AD7073" s="1"/>
    </row>
    <row r="7074" spans="3:30">
      <c r="C7074" s="9"/>
      <c r="AD7074" s="1"/>
    </row>
    <row r="7075" spans="3:30">
      <c r="C7075" s="9"/>
      <c r="AD7075" s="1"/>
    </row>
    <row r="7076" spans="3:30">
      <c r="C7076" s="9"/>
      <c r="AD7076" s="1"/>
    </row>
    <row r="7077" spans="3:30">
      <c r="C7077" s="9"/>
      <c r="AD7077" s="1"/>
    </row>
    <row r="7078" spans="3:30">
      <c r="C7078" s="9"/>
      <c r="AD7078" s="1"/>
    </row>
    <row r="7079" spans="3:30">
      <c r="C7079" s="9"/>
      <c r="AD7079" s="1"/>
    </row>
    <row r="7080" spans="3:30">
      <c r="C7080" s="9"/>
      <c r="AD7080" s="1"/>
    </row>
    <row r="7081" spans="3:30">
      <c r="C7081" s="9"/>
      <c r="AD7081" s="1"/>
    </row>
    <row r="7082" spans="3:30">
      <c r="C7082" s="9"/>
      <c r="AD7082" s="1"/>
    </row>
    <row r="7083" spans="3:30">
      <c r="C7083" s="9"/>
      <c r="AD7083" s="1"/>
    </row>
    <row r="7084" spans="3:30">
      <c r="C7084" s="9"/>
      <c r="AD7084" s="1"/>
    </row>
    <row r="7085" spans="3:30">
      <c r="C7085" s="9"/>
      <c r="AD7085" s="1"/>
    </row>
    <row r="7086" spans="3:30">
      <c r="C7086" s="9"/>
      <c r="AD7086" s="1"/>
    </row>
    <row r="7087" spans="3:30">
      <c r="C7087" s="9"/>
      <c r="AD7087" s="1"/>
    </row>
    <row r="7088" spans="3:30">
      <c r="C7088" s="9"/>
      <c r="AD7088" s="1"/>
    </row>
    <row r="7089" spans="3:30">
      <c r="C7089" s="9"/>
      <c r="AD7089" s="1"/>
    </row>
    <row r="7090" spans="3:30">
      <c r="C7090" s="9"/>
      <c r="AD7090" s="1"/>
    </row>
    <row r="7091" spans="3:30">
      <c r="C7091" s="9"/>
      <c r="AD7091" s="1"/>
    </row>
    <row r="7092" spans="3:30">
      <c r="C7092" s="9"/>
      <c r="AD7092" s="1"/>
    </row>
    <row r="7093" spans="3:30">
      <c r="C7093" s="9"/>
      <c r="AD7093" s="1"/>
    </row>
    <row r="7094" spans="3:30">
      <c r="C7094" s="9"/>
      <c r="AD7094" s="1"/>
    </row>
    <row r="7095" spans="3:30">
      <c r="C7095" s="9"/>
      <c r="AD7095" s="1"/>
    </row>
    <row r="7096" spans="3:30">
      <c r="C7096" s="9"/>
      <c r="AD7096" s="1"/>
    </row>
    <row r="7097" spans="3:30">
      <c r="C7097" s="9"/>
      <c r="AD7097" s="1"/>
    </row>
    <row r="7098" spans="3:30">
      <c r="C7098" s="9"/>
      <c r="AD7098" s="1"/>
    </row>
    <row r="7099" spans="3:30">
      <c r="C7099" s="9"/>
      <c r="AD7099" s="1"/>
    </row>
    <row r="7100" spans="3:30">
      <c r="C7100" s="9"/>
      <c r="AD7100" s="1"/>
    </row>
    <row r="7101" spans="3:30">
      <c r="C7101" s="9"/>
      <c r="AD7101" s="1"/>
    </row>
    <row r="7102" spans="3:30">
      <c r="C7102" s="9"/>
      <c r="AD7102" s="1"/>
    </row>
    <row r="7103" spans="3:30">
      <c r="C7103" s="9"/>
      <c r="AD7103" s="1"/>
    </row>
    <row r="7104" spans="3:30">
      <c r="C7104" s="9"/>
      <c r="AD7104" s="1"/>
    </row>
    <row r="7105" spans="3:30">
      <c r="C7105" s="9"/>
      <c r="AD7105" s="1"/>
    </row>
    <row r="7106" spans="3:30">
      <c r="C7106" s="9"/>
      <c r="AD7106" s="1"/>
    </row>
    <row r="7107" spans="3:30">
      <c r="C7107" s="9"/>
      <c r="AD7107" s="1"/>
    </row>
    <row r="7108" spans="3:30">
      <c r="C7108" s="9"/>
      <c r="AD7108" s="1"/>
    </row>
    <row r="7109" spans="3:30">
      <c r="C7109" s="9"/>
      <c r="AD7109" s="1"/>
    </row>
    <row r="7110" spans="3:30">
      <c r="C7110" s="9"/>
      <c r="AD7110" s="1"/>
    </row>
    <row r="7111" spans="3:30">
      <c r="C7111" s="9"/>
      <c r="AD7111" s="1"/>
    </row>
    <row r="7112" spans="3:30">
      <c r="C7112" s="9"/>
      <c r="AD7112" s="1"/>
    </row>
    <row r="7113" spans="3:30">
      <c r="C7113" s="9"/>
      <c r="AD7113" s="1"/>
    </row>
    <row r="7114" spans="3:30">
      <c r="C7114" s="9"/>
      <c r="AD7114" s="1"/>
    </row>
    <row r="7115" spans="3:30">
      <c r="C7115" s="9"/>
      <c r="AD7115" s="1"/>
    </row>
    <row r="7116" spans="3:30">
      <c r="C7116" s="9"/>
      <c r="AD7116" s="1"/>
    </row>
    <row r="7117" spans="3:30">
      <c r="C7117" s="9"/>
      <c r="AD7117" s="1"/>
    </row>
    <row r="7118" spans="3:30">
      <c r="C7118" s="9"/>
      <c r="AD7118" s="1"/>
    </row>
    <row r="7119" spans="3:30">
      <c r="C7119" s="9"/>
      <c r="AD7119" s="1"/>
    </row>
    <row r="7120" spans="3:30">
      <c r="C7120" s="9"/>
      <c r="AD7120" s="1"/>
    </row>
    <row r="7121" spans="3:30">
      <c r="C7121" s="9"/>
      <c r="AD7121" s="1"/>
    </row>
    <row r="7122" spans="3:30">
      <c r="C7122" s="9"/>
      <c r="AD7122" s="1"/>
    </row>
    <row r="7123" spans="3:30">
      <c r="C7123" s="9"/>
      <c r="AD7123" s="1"/>
    </row>
    <row r="7124" spans="3:30">
      <c r="C7124" s="9"/>
      <c r="AD7124" s="1"/>
    </row>
    <row r="7125" spans="3:30">
      <c r="C7125" s="9"/>
      <c r="AD7125" s="1"/>
    </row>
    <row r="7126" spans="3:30">
      <c r="C7126" s="9"/>
      <c r="AD7126" s="1"/>
    </row>
    <row r="7127" spans="3:30">
      <c r="C7127" s="9"/>
      <c r="AD7127" s="1"/>
    </row>
    <row r="7128" spans="3:30">
      <c r="C7128" s="9"/>
      <c r="AD7128" s="1"/>
    </row>
    <row r="7129" spans="3:30">
      <c r="C7129" s="9"/>
      <c r="AD7129" s="1"/>
    </row>
    <row r="7130" spans="3:30">
      <c r="C7130" s="9"/>
      <c r="AD7130" s="1"/>
    </row>
    <row r="7131" spans="3:30">
      <c r="C7131" s="9"/>
      <c r="AD7131" s="1"/>
    </row>
    <row r="7132" spans="3:30">
      <c r="C7132" s="9"/>
      <c r="AD7132" s="1"/>
    </row>
    <row r="7133" spans="3:30">
      <c r="C7133" s="9"/>
      <c r="AD7133" s="1"/>
    </row>
    <row r="7134" spans="3:30">
      <c r="C7134" s="9"/>
      <c r="AD7134" s="1"/>
    </row>
    <row r="7135" spans="3:30">
      <c r="C7135" s="9"/>
      <c r="AD7135" s="1"/>
    </row>
    <row r="7136" spans="3:30">
      <c r="C7136" s="9"/>
      <c r="AD7136" s="1"/>
    </row>
    <row r="7137" spans="3:30">
      <c r="C7137" s="9"/>
      <c r="AD7137" s="1"/>
    </row>
    <row r="7138" spans="3:30">
      <c r="C7138" s="9"/>
      <c r="AD7138" s="1"/>
    </row>
    <row r="7139" spans="3:30">
      <c r="C7139" s="9"/>
      <c r="AD7139" s="1"/>
    </row>
    <row r="7140" spans="3:30">
      <c r="C7140" s="9"/>
      <c r="AD7140" s="1"/>
    </row>
    <row r="7141" spans="3:30">
      <c r="C7141" s="9"/>
      <c r="AD7141" s="1"/>
    </row>
    <row r="7142" spans="3:30">
      <c r="C7142" s="9"/>
      <c r="AD7142" s="1"/>
    </row>
    <row r="7143" spans="3:30">
      <c r="C7143" s="9"/>
      <c r="AD7143" s="1"/>
    </row>
    <row r="7144" spans="3:30">
      <c r="C7144" s="9"/>
      <c r="AD7144" s="1"/>
    </row>
    <row r="7145" spans="3:30">
      <c r="C7145" s="9"/>
      <c r="AD7145" s="1"/>
    </row>
    <row r="7146" spans="3:30">
      <c r="C7146" s="9"/>
      <c r="AD7146" s="1"/>
    </row>
    <row r="7147" spans="3:30">
      <c r="C7147" s="9"/>
      <c r="AD7147" s="1"/>
    </row>
    <row r="7148" spans="3:30">
      <c r="C7148" s="9"/>
      <c r="AD7148" s="1"/>
    </row>
    <row r="7149" spans="3:30">
      <c r="C7149" s="9"/>
      <c r="AD7149" s="1"/>
    </row>
    <row r="7150" spans="3:30">
      <c r="C7150" s="9"/>
      <c r="AD7150" s="1"/>
    </row>
    <row r="7151" spans="3:30">
      <c r="C7151" s="9"/>
      <c r="AD7151" s="1"/>
    </row>
    <row r="7152" spans="3:30">
      <c r="C7152" s="9"/>
      <c r="AD7152" s="1"/>
    </row>
    <row r="7153" spans="3:30">
      <c r="C7153" s="9"/>
      <c r="AD7153" s="1"/>
    </row>
    <row r="7154" spans="3:30">
      <c r="C7154" s="9"/>
      <c r="AD7154" s="1"/>
    </row>
    <row r="7155" spans="3:30">
      <c r="C7155" s="9"/>
      <c r="AD7155" s="1"/>
    </row>
    <row r="7156" spans="3:30">
      <c r="C7156" s="9"/>
      <c r="AD7156" s="1"/>
    </row>
    <row r="7157" spans="3:30">
      <c r="C7157" s="9"/>
      <c r="AD7157" s="1"/>
    </row>
    <row r="7158" spans="3:30">
      <c r="C7158" s="9"/>
      <c r="AD7158" s="1"/>
    </row>
    <row r="7159" spans="3:30">
      <c r="C7159" s="9"/>
      <c r="AD7159" s="1"/>
    </row>
    <row r="7160" spans="3:30">
      <c r="C7160" s="9"/>
      <c r="AD7160" s="1"/>
    </row>
    <row r="7161" spans="3:30">
      <c r="C7161" s="9"/>
      <c r="AD7161" s="1"/>
    </row>
    <row r="7162" spans="3:30">
      <c r="C7162" s="9"/>
      <c r="AD7162" s="1"/>
    </row>
    <row r="7163" spans="3:30">
      <c r="C7163" s="9"/>
      <c r="AD7163" s="1"/>
    </row>
    <row r="7164" spans="3:30">
      <c r="C7164" s="9"/>
      <c r="AD7164" s="1"/>
    </row>
    <row r="7165" spans="3:30">
      <c r="C7165" s="9"/>
      <c r="AD7165" s="1"/>
    </row>
    <row r="7166" spans="3:30">
      <c r="C7166" s="9"/>
      <c r="AD7166" s="1"/>
    </row>
    <row r="7167" spans="3:30">
      <c r="C7167" s="9"/>
      <c r="AD7167" s="1"/>
    </row>
    <row r="7168" spans="3:30">
      <c r="C7168" s="9"/>
      <c r="AD7168" s="1"/>
    </row>
    <row r="7169" spans="3:30">
      <c r="C7169" s="9"/>
      <c r="AD7169" s="1"/>
    </row>
    <row r="7170" spans="3:30">
      <c r="C7170" s="9"/>
      <c r="AD7170" s="1"/>
    </row>
    <row r="7171" spans="3:30">
      <c r="C7171" s="9"/>
      <c r="AD7171" s="1"/>
    </row>
    <row r="7172" spans="3:30">
      <c r="C7172" s="9"/>
      <c r="AD7172" s="1"/>
    </row>
    <row r="7173" spans="3:30">
      <c r="C7173" s="9"/>
      <c r="AD7173" s="1"/>
    </row>
    <row r="7174" spans="3:30">
      <c r="C7174" s="9"/>
      <c r="AD7174" s="1"/>
    </row>
    <row r="7175" spans="3:30">
      <c r="C7175" s="9"/>
      <c r="AD7175" s="1"/>
    </row>
    <row r="7176" spans="3:30">
      <c r="C7176" s="9"/>
      <c r="AD7176" s="1"/>
    </row>
    <row r="7177" spans="3:30">
      <c r="C7177" s="9"/>
      <c r="AD7177" s="1"/>
    </row>
    <row r="7178" spans="3:30">
      <c r="C7178" s="9"/>
      <c r="AD7178" s="1"/>
    </row>
    <row r="7179" spans="3:30">
      <c r="C7179" s="9"/>
      <c r="AD7179" s="1"/>
    </row>
    <row r="7180" spans="3:30">
      <c r="C7180" s="9"/>
      <c r="AD7180" s="1"/>
    </row>
    <row r="7181" spans="3:30">
      <c r="C7181" s="9"/>
      <c r="AD7181" s="1"/>
    </row>
    <row r="7182" spans="3:30">
      <c r="C7182" s="9"/>
      <c r="AD7182" s="1"/>
    </row>
    <row r="7183" spans="3:30">
      <c r="C7183" s="9"/>
      <c r="AD7183" s="1"/>
    </row>
    <row r="7184" spans="3:30">
      <c r="C7184" s="9"/>
      <c r="AD7184" s="1"/>
    </row>
    <row r="7185" spans="3:30">
      <c r="C7185" s="9"/>
      <c r="AD7185" s="1"/>
    </row>
    <row r="7186" spans="3:30">
      <c r="C7186" s="9"/>
      <c r="AD7186" s="1"/>
    </row>
    <row r="7187" spans="3:30">
      <c r="C7187" s="9"/>
      <c r="AD7187" s="1"/>
    </row>
    <row r="7188" spans="3:30">
      <c r="C7188" s="9"/>
      <c r="AD7188" s="1"/>
    </row>
    <row r="7189" spans="3:30">
      <c r="C7189" s="9"/>
      <c r="AD7189" s="1"/>
    </row>
    <row r="7190" spans="3:30">
      <c r="C7190" s="9"/>
      <c r="AD7190" s="1"/>
    </row>
    <row r="7191" spans="3:30">
      <c r="C7191" s="9"/>
      <c r="AD7191" s="1"/>
    </row>
    <row r="7192" spans="3:30">
      <c r="C7192" s="9"/>
      <c r="AD7192" s="1"/>
    </row>
    <row r="7193" spans="3:30">
      <c r="C7193" s="9"/>
      <c r="AD7193" s="1"/>
    </row>
    <row r="7194" spans="3:30">
      <c r="C7194" s="9"/>
      <c r="AD7194" s="1"/>
    </row>
    <row r="7195" spans="3:30">
      <c r="C7195" s="9"/>
      <c r="AD7195" s="1"/>
    </row>
    <row r="7196" spans="3:30">
      <c r="C7196" s="9"/>
      <c r="AD7196" s="1"/>
    </row>
    <row r="7197" spans="3:30">
      <c r="C7197" s="9"/>
      <c r="AD7197" s="1"/>
    </row>
    <row r="7198" spans="3:30">
      <c r="C7198" s="9"/>
      <c r="AD7198" s="1"/>
    </row>
    <row r="7199" spans="3:30">
      <c r="C7199" s="9"/>
      <c r="AD7199" s="1"/>
    </row>
    <row r="7200" spans="3:30">
      <c r="C7200" s="9"/>
      <c r="AD7200" s="1"/>
    </row>
    <row r="7201" spans="3:30">
      <c r="C7201" s="9"/>
      <c r="AD7201" s="1"/>
    </row>
    <row r="7202" spans="3:30">
      <c r="C7202" s="9"/>
      <c r="AD7202" s="1"/>
    </row>
    <row r="7203" spans="3:30">
      <c r="C7203" s="9"/>
      <c r="AD7203" s="1"/>
    </row>
    <row r="7204" spans="3:30">
      <c r="C7204" s="9"/>
      <c r="AD7204" s="1"/>
    </row>
    <row r="7205" spans="3:30">
      <c r="C7205" s="9"/>
      <c r="AD7205" s="1"/>
    </row>
    <row r="7206" spans="3:30">
      <c r="C7206" s="9"/>
      <c r="AD7206" s="1"/>
    </row>
    <row r="7207" spans="3:30">
      <c r="C7207" s="9"/>
      <c r="AD7207" s="1"/>
    </row>
    <row r="7208" spans="3:30">
      <c r="C7208" s="9"/>
      <c r="AD7208" s="1"/>
    </row>
    <row r="7209" spans="3:30">
      <c r="C7209" s="9"/>
      <c r="AD7209" s="1"/>
    </row>
    <row r="7210" spans="3:30">
      <c r="C7210" s="9"/>
      <c r="AD7210" s="1"/>
    </row>
    <row r="7211" spans="3:30">
      <c r="C7211" s="9"/>
      <c r="AD7211" s="1"/>
    </row>
    <row r="7212" spans="3:30">
      <c r="C7212" s="9"/>
      <c r="AD7212" s="1"/>
    </row>
    <row r="7213" spans="3:30">
      <c r="C7213" s="9"/>
      <c r="AD7213" s="1"/>
    </row>
    <row r="7214" spans="3:30">
      <c r="C7214" s="9"/>
      <c r="AD7214" s="1"/>
    </row>
    <row r="7215" spans="3:30">
      <c r="C7215" s="9"/>
      <c r="AD7215" s="1"/>
    </row>
    <row r="7216" spans="3:30">
      <c r="C7216" s="9"/>
      <c r="AD7216" s="1"/>
    </row>
    <row r="7217" spans="3:30">
      <c r="C7217" s="9"/>
      <c r="AD7217" s="1"/>
    </row>
    <row r="7218" spans="3:30">
      <c r="C7218" s="9"/>
      <c r="AD7218" s="1"/>
    </row>
    <row r="7219" spans="3:30">
      <c r="C7219" s="9"/>
      <c r="AD7219" s="1"/>
    </row>
    <row r="7220" spans="3:30">
      <c r="C7220" s="9"/>
      <c r="AD7220" s="1"/>
    </row>
    <row r="7221" spans="3:30">
      <c r="C7221" s="9"/>
      <c r="AD7221" s="1"/>
    </row>
    <row r="7222" spans="3:30">
      <c r="C7222" s="9"/>
      <c r="AD7222" s="1"/>
    </row>
    <row r="7223" spans="3:30">
      <c r="C7223" s="9"/>
      <c r="AD7223" s="1"/>
    </row>
    <row r="7224" spans="3:30">
      <c r="C7224" s="9"/>
      <c r="AD7224" s="1"/>
    </row>
    <row r="7225" spans="3:30">
      <c r="C7225" s="9"/>
      <c r="AD7225" s="1"/>
    </row>
    <row r="7226" spans="3:30">
      <c r="C7226" s="9"/>
      <c r="AD7226" s="1"/>
    </row>
    <row r="7227" spans="3:30">
      <c r="C7227" s="9"/>
      <c r="AD7227" s="1"/>
    </row>
    <row r="7228" spans="3:30">
      <c r="C7228" s="9"/>
      <c r="AD7228" s="1"/>
    </row>
    <row r="7229" spans="3:30">
      <c r="C7229" s="9"/>
      <c r="AD7229" s="1"/>
    </row>
    <row r="7230" spans="3:30">
      <c r="C7230" s="9"/>
      <c r="AD7230" s="1"/>
    </row>
    <row r="7231" spans="3:30">
      <c r="C7231" s="9"/>
      <c r="AD7231" s="1"/>
    </row>
    <row r="7232" spans="3:30">
      <c r="C7232" s="9"/>
      <c r="AD7232" s="1"/>
    </row>
    <row r="7233" spans="3:30">
      <c r="C7233" s="9"/>
      <c r="AD7233" s="1"/>
    </row>
    <row r="7234" spans="3:30">
      <c r="C7234" s="9"/>
      <c r="AD7234" s="1"/>
    </row>
    <row r="7235" spans="3:30">
      <c r="C7235" s="9"/>
      <c r="AD7235" s="1"/>
    </row>
    <row r="7236" spans="3:30">
      <c r="C7236" s="9"/>
      <c r="AD7236" s="1"/>
    </row>
    <row r="7237" spans="3:30">
      <c r="C7237" s="9"/>
      <c r="AD7237" s="1"/>
    </row>
    <row r="7238" spans="3:30">
      <c r="C7238" s="9"/>
      <c r="AD7238" s="1"/>
    </row>
    <row r="7239" spans="3:30">
      <c r="C7239" s="9"/>
      <c r="AD7239" s="1"/>
    </row>
    <row r="7240" spans="3:30">
      <c r="C7240" s="9"/>
      <c r="AD7240" s="1"/>
    </row>
    <row r="7241" spans="3:30">
      <c r="C7241" s="9"/>
      <c r="AD7241" s="1"/>
    </row>
    <row r="7242" spans="3:30">
      <c r="C7242" s="9"/>
      <c r="AD7242" s="1"/>
    </row>
    <row r="7243" spans="3:30">
      <c r="C7243" s="9"/>
      <c r="AD7243" s="1"/>
    </row>
    <row r="7244" spans="3:30">
      <c r="C7244" s="9"/>
      <c r="AD7244" s="1"/>
    </row>
    <row r="7245" spans="3:30">
      <c r="C7245" s="9"/>
      <c r="AD7245" s="1"/>
    </row>
    <row r="7246" spans="3:30">
      <c r="C7246" s="9"/>
      <c r="AD7246" s="1"/>
    </row>
    <row r="7247" spans="3:30">
      <c r="C7247" s="9"/>
      <c r="AD7247" s="1"/>
    </row>
    <row r="7248" spans="3:30">
      <c r="C7248" s="9"/>
      <c r="AD7248" s="1"/>
    </row>
    <row r="7249" spans="3:30">
      <c r="C7249" s="9"/>
      <c r="AD7249" s="1"/>
    </row>
    <row r="7250" spans="3:30">
      <c r="C7250" s="9"/>
      <c r="AD7250" s="1"/>
    </row>
    <row r="7251" spans="3:30">
      <c r="C7251" s="9"/>
      <c r="AD7251" s="1"/>
    </row>
    <row r="7252" spans="3:30">
      <c r="C7252" s="9"/>
      <c r="AD7252" s="1"/>
    </row>
    <row r="7253" spans="3:30">
      <c r="C7253" s="9"/>
      <c r="AD7253" s="1"/>
    </row>
    <row r="7254" spans="3:30">
      <c r="C7254" s="9"/>
      <c r="AD7254" s="1"/>
    </row>
    <row r="7255" spans="3:30">
      <c r="C7255" s="9"/>
      <c r="AD7255" s="1"/>
    </row>
    <row r="7256" spans="3:30">
      <c r="C7256" s="9"/>
      <c r="AD7256" s="1"/>
    </row>
    <row r="7257" spans="3:30">
      <c r="C7257" s="9"/>
      <c r="AD7257" s="1"/>
    </row>
    <row r="7258" spans="3:30">
      <c r="C7258" s="9"/>
      <c r="AD7258" s="1"/>
    </row>
    <row r="7259" spans="3:30">
      <c r="C7259" s="9"/>
      <c r="AD7259" s="1"/>
    </row>
    <row r="7260" spans="3:30">
      <c r="C7260" s="9"/>
      <c r="AD7260" s="1"/>
    </row>
    <row r="7261" spans="3:30">
      <c r="C7261" s="9"/>
      <c r="AD7261" s="1"/>
    </row>
    <row r="7262" spans="3:30">
      <c r="C7262" s="9"/>
      <c r="AD7262" s="1"/>
    </row>
    <row r="7263" spans="3:30">
      <c r="C7263" s="9"/>
      <c r="AD7263" s="1"/>
    </row>
    <row r="7264" spans="3:30">
      <c r="C7264" s="9"/>
      <c r="AD7264" s="1"/>
    </row>
    <row r="7265" spans="3:30">
      <c r="C7265" s="9"/>
      <c r="AD7265" s="1"/>
    </row>
    <row r="7266" spans="3:30">
      <c r="C7266" s="9"/>
      <c r="AD7266" s="1"/>
    </row>
    <row r="7267" spans="3:30">
      <c r="C7267" s="9"/>
      <c r="AD7267" s="1"/>
    </row>
    <row r="7268" spans="3:30">
      <c r="C7268" s="9"/>
      <c r="AD7268" s="1"/>
    </row>
    <row r="7269" spans="3:30">
      <c r="C7269" s="9"/>
      <c r="AD7269" s="1"/>
    </row>
    <row r="7270" spans="3:30">
      <c r="C7270" s="9"/>
      <c r="AD7270" s="1"/>
    </row>
    <row r="7271" spans="3:30">
      <c r="C7271" s="9"/>
      <c r="AD7271" s="1"/>
    </row>
    <row r="7272" spans="3:30">
      <c r="C7272" s="9"/>
      <c r="AD7272" s="1"/>
    </row>
    <row r="7273" spans="3:30">
      <c r="C7273" s="9"/>
      <c r="AD7273" s="1"/>
    </row>
    <row r="7274" spans="3:30">
      <c r="C7274" s="9"/>
      <c r="AD7274" s="1"/>
    </row>
    <row r="7275" spans="3:30">
      <c r="C7275" s="9"/>
      <c r="AD7275" s="1"/>
    </row>
    <row r="7276" spans="3:30">
      <c r="C7276" s="9"/>
      <c r="AD7276" s="1"/>
    </row>
    <row r="7277" spans="3:30">
      <c r="C7277" s="9"/>
      <c r="AD7277" s="1"/>
    </row>
    <row r="7278" spans="3:30">
      <c r="C7278" s="9"/>
      <c r="AD7278" s="1"/>
    </row>
    <row r="7279" spans="3:30">
      <c r="C7279" s="9"/>
      <c r="AD7279" s="1"/>
    </row>
    <row r="7280" spans="3:30">
      <c r="C7280" s="9"/>
      <c r="AD7280" s="1"/>
    </row>
    <row r="7281" spans="3:30">
      <c r="C7281" s="9"/>
      <c r="AD7281" s="1"/>
    </row>
    <row r="7282" spans="3:30">
      <c r="C7282" s="9"/>
      <c r="AD7282" s="1"/>
    </row>
    <row r="7283" spans="3:30">
      <c r="C7283" s="9"/>
      <c r="AD7283" s="1"/>
    </row>
    <row r="7284" spans="3:30">
      <c r="C7284" s="9"/>
      <c r="AD7284" s="1"/>
    </row>
    <row r="7285" spans="3:30">
      <c r="C7285" s="9"/>
      <c r="AD7285" s="1"/>
    </row>
    <row r="7286" spans="3:30">
      <c r="C7286" s="9"/>
      <c r="AD7286" s="1"/>
    </row>
    <row r="7287" spans="3:30">
      <c r="C7287" s="9"/>
      <c r="AD7287" s="1"/>
    </row>
    <row r="7288" spans="3:30">
      <c r="C7288" s="9"/>
      <c r="AD7288" s="1"/>
    </row>
    <row r="7289" spans="3:30">
      <c r="C7289" s="9"/>
      <c r="AD7289" s="1"/>
    </row>
    <row r="7290" spans="3:30">
      <c r="C7290" s="9"/>
      <c r="AD7290" s="1"/>
    </row>
    <row r="7291" spans="3:30">
      <c r="C7291" s="9"/>
      <c r="AD7291" s="1"/>
    </row>
    <row r="7292" spans="3:30">
      <c r="C7292" s="9"/>
      <c r="AD7292" s="1"/>
    </row>
    <row r="7293" spans="3:30">
      <c r="C7293" s="9"/>
      <c r="AD7293" s="1"/>
    </row>
    <row r="7294" spans="3:30">
      <c r="C7294" s="9"/>
      <c r="AD7294" s="1"/>
    </row>
    <row r="7295" spans="3:30">
      <c r="C7295" s="9"/>
      <c r="AD7295" s="1"/>
    </row>
    <row r="7296" spans="3:30">
      <c r="C7296" s="9"/>
      <c r="AD7296" s="1"/>
    </row>
    <row r="7297" spans="3:30">
      <c r="C7297" s="9"/>
      <c r="AD7297" s="1"/>
    </row>
    <row r="7298" spans="3:30">
      <c r="C7298" s="9"/>
      <c r="AD7298" s="1"/>
    </row>
    <row r="7299" spans="3:30">
      <c r="C7299" s="9"/>
      <c r="AD7299" s="1"/>
    </row>
    <row r="7300" spans="3:30">
      <c r="C7300" s="9"/>
      <c r="AD7300" s="1"/>
    </row>
    <row r="7301" spans="3:30">
      <c r="C7301" s="9"/>
      <c r="AD7301" s="1"/>
    </row>
    <row r="7302" spans="3:30">
      <c r="C7302" s="9"/>
      <c r="AD7302" s="1"/>
    </row>
    <row r="7303" spans="3:30">
      <c r="C7303" s="9"/>
      <c r="AD7303" s="1"/>
    </row>
    <row r="7304" spans="3:30">
      <c r="C7304" s="9"/>
      <c r="AD7304" s="1"/>
    </row>
    <row r="7305" spans="3:30">
      <c r="C7305" s="9"/>
      <c r="AD7305" s="1"/>
    </row>
    <row r="7306" spans="3:30">
      <c r="C7306" s="9"/>
      <c r="AD7306" s="1"/>
    </row>
    <row r="7307" spans="3:30">
      <c r="C7307" s="9"/>
      <c r="AD7307" s="1"/>
    </row>
    <row r="7308" spans="3:30">
      <c r="C7308" s="9"/>
      <c r="AD7308" s="1"/>
    </row>
    <row r="7309" spans="3:30">
      <c r="C7309" s="9"/>
      <c r="AD7309" s="1"/>
    </row>
    <row r="7310" spans="3:30">
      <c r="C7310" s="9"/>
      <c r="AD7310" s="1"/>
    </row>
    <row r="7311" spans="3:30">
      <c r="C7311" s="9"/>
      <c r="AD7311" s="1"/>
    </row>
    <row r="7312" spans="3:30">
      <c r="C7312" s="9"/>
      <c r="AD7312" s="1"/>
    </row>
    <row r="7313" spans="3:30">
      <c r="C7313" s="9"/>
      <c r="AD7313" s="1"/>
    </row>
    <row r="7314" spans="3:30">
      <c r="C7314" s="9"/>
      <c r="AD7314" s="1"/>
    </row>
    <row r="7315" spans="3:30">
      <c r="C7315" s="9"/>
      <c r="AD7315" s="1"/>
    </row>
    <row r="7316" spans="3:30">
      <c r="C7316" s="9"/>
      <c r="AD7316" s="1"/>
    </row>
    <row r="7317" spans="3:30">
      <c r="C7317" s="9"/>
      <c r="AD7317" s="1"/>
    </row>
    <row r="7318" spans="3:30">
      <c r="C7318" s="9"/>
      <c r="AD7318" s="1"/>
    </row>
    <row r="7319" spans="3:30">
      <c r="C7319" s="9"/>
      <c r="AD7319" s="1"/>
    </row>
    <row r="7320" spans="3:30">
      <c r="C7320" s="9"/>
      <c r="AD7320" s="1"/>
    </row>
    <row r="7321" spans="3:30">
      <c r="C7321" s="9"/>
      <c r="AD7321" s="1"/>
    </row>
    <row r="7322" spans="3:30">
      <c r="C7322" s="9"/>
      <c r="AD7322" s="1"/>
    </row>
    <row r="7323" spans="3:30">
      <c r="C7323" s="9"/>
      <c r="AD7323" s="1"/>
    </row>
    <row r="7324" spans="3:30">
      <c r="C7324" s="9"/>
      <c r="AD7324" s="1"/>
    </row>
    <row r="7325" spans="3:30">
      <c r="C7325" s="9"/>
      <c r="AD7325" s="1"/>
    </row>
    <row r="7326" spans="3:30">
      <c r="C7326" s="9"/>
      <c r="AD7326" s="1"/>
    </row>
    <row r="7327" spans="3:30">
      <c r="C7327" s="9"/>
      <c r="AD7327" s="1"/>
    </row>
    <row r="7328" spans="3:30">
      <c r="C7328" s="9"/>
      <c r="AD7328" s="1"/>
    </row>
    <row r="7329" spans="3:30">
      <c r="C7329" s="9"/>
      <c r="AD7329" s="1"/>
    </row>
    <row r="7330" spans="3:30">
      <c r="C7330" s="9"/>
      <c r="AD7330" s="1"/>
    </row>
    <row r="7331" spans="3:30">
      <c r="C7331" s="9"/>
      <c r="AD7331" s="1"/>
    </row>
    <row r="7332" spans="3:30">
      <c r="C7332" s="9"/>
      <c r="AD7332" s="1"/>
    </row>
    <row r="7333" spans="3:30">
      <c r="C7333" s="9"/>
      <c r="AD7333" s="1"/>
    </row>
    <row r="7334" spans="3:30">
      <c r="C7334" s="9"/>
      <c r="AD7334" s="1"/>
    </row>
    <row r="7335" spans="3:30">
      <c r="C7335" s="9"/>
      <c r="AD7335" s="1"/>
    </row>
    <row r="7336" spans="3:30">
      <c r="C7336" s="9"/>
      <c r="AD7336" s="1"/>
    </row>
    <row r="7337" spans="3:30">
      <c r="C7337" s="9"/>
      <c r="AD7337" s="1"/>
    </row>
    <row r="7338" spans="3:30">
      <c r="C7338" s="9"/>
      <c r="AD7338" s="1"/>
    </row>
    <row r="7339" spans="3:30">
      <c r="C7339" s="9"/>
      <c r="AD7339" s="1"/>
    </row>
    <row r="7340" spans="3:30">
      <c r="C7340" s="9"/>
      <c r="AD7340" s="1"/>
    </row>
    <row r="7341" spans="3:30">
      <c r="C7341" s="9"/>
      <c r="AD7341" s="1"/>
    </row>
    <row r="7342" spans="3:30">
      <c r="C7342" s="9"/>
      <c r="AD7342" s="1"/>
    </row>
    <row r="7343" spans="3:30">
      <c r="C7343" s="9"/>
      <c r="AD7343" s="1"/>
    </row>
    <row r="7344" spans="3:30">
      <c r="C7344" s="9"/>
      <c r="AD7344" s="1"/>
    </row>
    <row r="7345" spans="3:30">
      <c r="C7345" s="9"/>
      <c r="AD7345" s="1"/>
    </row>
    <row r="7346" spans="3:30">
      <c r="C7346" s="9"/>
      <c r="AD7346" s="1"/>
    </row>
    <row r="7347" spans="3:30">
      <c r="C7347" s="9"/>
      <c r="AD7347" s="1"/>
    </row>
    <row r="7348" spans="3:30">
      <c r="C7348" s="9"/>
      <c r="AD7348" s="1"/>
    </row>
    <row r="7349" spans="3:30">
      <c r="C7349" s="9"/>
      <c r="AD7349" s="1"/>
    </row>
    <row r="7350" spans="3:30">
      <c r="C7350" s="9"/>
      <c r="AD7350" s="1"/>
    </row>
    <row r="7351" spans="3:30">
      <c r="C7351" s="9"/>
      <c r="AD7351" s="1"/>
    </row>
    <row r="7352" spans="3:30">
      <c r="C7352" s="9"/>
      <c r="AD7352" s="1"/>
    </row>
    <row r="7353" spans="3:30">
      <c r="C7353" s="9"/>
      <c r="AD7353" s="1"/>
    </row>
    <row r="7354" spans="3:30">
      <c r="C7354" s="9"/>
      <c r="AD7354" s="1"/>
    </row>
    <row r="7355" spans="3:30">
      <c r="C7355" s="9"/>
      <c r="AD7355" s="1"/>
    </row>
    <row r="7356" spans="3:30">
      <c r="C7356" s="9"/>
      <c r="AD7356" s="1"/>
    </row>
    <row r="7357" spans="3:30">
      <c r="C7357" s="9"/>
      <c r="AD7357" s="1"/>
    </row>
    <row r="7358" spans="3:30">
      <c r="C7358" s="9"/>
      <c r="AD7358" s="1"/>
    </row>
    <row r="7359" spans="3:30">
      <c r="C7359" s="9"/>
      <c r="AD7359" s="1"/>
    </row>
    <row r="7360" spans="3:30">
      <c r="C7360" s="9"/>
      <c r="AD7360" s="1"/>
    </row>
    <row r="7361" spans="3:30">
      <c r="C7361" s="9"/>
      <c r="AD7361" s="1"/>
    </row>
    <row r="7362" spans="3:30">
      <c r="C7362" s="9"/>
      <c r="AD7362" s="1"/>
    </row>
    <row r="7363" spans="3:30">
      <c r="C7363" s="9"/>
      <c r="AD7363" s="1"/>
    </row>
    <row r="7364" spans="3:30">
      <c r="C7364" s="9"/>
      <c r="AD7364" s="1"/>
    </row>
    <row r="7365" spans="3:30">
      <c r="C7365" s="9"/>
      <c r="AD7365" s="1"/>
    </row>
    <row r="7366" spans="3:30">
      <c r="C7366" s="9"/>
      <c r="AD7366" s="1"/>
    </row>
    <row r="7367" spans="3:30">
      <c r="C7367" s="9"/>
      <c r="AD7367" s="1"/>
    </row>
    <row r="7368" spans="3:30">
      <c r="C7368" s="9"/>
      <c r="AD7368" s="1"/>
    </row>
    <row r="7369" spans="3:30">
      <c r="C7369" s="9"/>
      <c r="AD7369" s="1"/>
    </row>
    <row r="7370" spans="3:30">
      <c r="C7370" s="9"/>
      <c r="AD7370" s="1"/>
    </row>
    <row r="7371" spans="3:30">
      <c r="C7371" s="9"/>
      <c r="AD7371" s="1"/>
    </row>
    <row r="7372" spans="3:30">
      <c r="C7372" s="9"/>
      <c r="AD7372" s="1"/>
    </row>
    <row r="7373" spans="3:30">
      <c r="C7373" s="9"/>
      <c r="AD7373" s="1"/>
    </row>
    <row r="7374" spans="3:30">
      <c r="C7374" s="9"/>
      <c r="AD7374" s="1"/>
    </row>
    <row r="7375" spans="3:30">
      <c r="C7375" s="9"/>
      <c r="AD7375" s="1"/>
    </row>
    <row r="7376" spans="3:30">
      <c r="C7376" s="9"/>
      <c r="AD7376" s="1"/>
    </row>
    <row r="7377" spans="3:30">
      <c r="C7377" s="9"/>
      <c r="AD7377" s="1"/>
    </row>
    <row r="7378" spans="3:30">
      <c r="C7378" s="9"/>
      <c r="AD7378" s="1"/>
    </row>
    <row r="7379" spans="3:30">
      <c r="C7379" s="9"/>
      <c r="AD7379" s="1"/>
    </row>
    <row r="7380" spans="3:30">
      <c r="C7380" s="9"/>
      <c r="AD7380" s="1"/>
    </row>
    <row r="7381" spans="3:30">
      <c r="C7381" s="9"/>
      <c r="AD7381" s="1"/>
    </row>
    <row r="7382" spans="3:30">
      <c r="C7382" s="9"/>
      <c r="AD7382" s="1"/>
    </row>
    <row r="7383" spans="3:30">
      <c r="C7383" s="9"/>
      <c r="AD7383" s="1"/>
    </row>
    <row r="7384" spans="3:30">
      <c r="C7384" s="9"/>
      <c r="AD7384" s="1"/>
    </row>
    <row r="7385" spans="3:30">
      <c r="C7385" s="9"/>
      <c r="AD7385" s="1"/>
    </row>
    <row r="7386" spans="3:30">
      <c r="C7386" s="9"/>
      <c r="AD7386" s="1"/>
    </row>
    <row r="7387" spans="3:30">
      <c r="C7387" s="9"/>
      <c r="AD7387" s="1"/>
    </row>
    <row r="7388" spans="3:30">
      <c r="C7388" s="9"/>
      <c r="AD7388" s="1"/>
    </row>
    <row r="7389" spans="3:30">
      <c r="C7389" s="9"/>
      <c r="AD7389" s="1"/>
    </row>
    <row r="7390" spans="3:30">
      <c r="C7390" s="9"/>
      <c r="AD7390" s="1"/>
    </row>
    <row r="7391" spans="3:30">
      <c r="C7391" s="9"/>
      <c r="AD7391" s="1"/>
    </row>
    <row r="7392" spans="3:30">
      <c r="C7392" s="9"/>
      <c r="AD7392" s="1"/>
    </row>
    <row r="7393" spans="3:30">
      <c r="C7393" s="9"/>
      <c r="AD7393" s="1"/>
    </row>
    <row r="7394" spans="3:30">
      <c r="C7394" s="9"/>
      <c r="AD7394" s="1"/>
    </row>
    <row r="7395" spans="3:30">
      <c r="C7395" s="9"/>
      <c r="AD7395" s="1"/>
    </row>
    <row r="7396" spans="3:30">
      <c r="C7396" s="9"/>
      <c r="AD7396" s="1"/>
    </row>
    <row r="7397" spans="3:30">
      <c r="C7397" s="9"/>
      <c r="AD7397" s="1"/>
    </row>
    <row r="7398" spans="3:30">
      <c r="C7398" s="9"/>
      <c r="AD7398" s="1"/>
    </row>
    <row r="7399" spans="3:30">
      <c r="C7399" s="9"/>
      <c r="AD7399" s="1"/>
    </row>
    <row r="7400" spans="3:30">
      <c r="C7400" s="9"/>
      <c r="AD7400" s="1"/>
    </row>
    <row r="7401" spans="3:30">
      <c r="C7401" s="9"/>
      <c r="AD7401" s="1"/>
    </row>
    <row r="7402" spans="3:30">
      <c r="C7402" s="9"/>
      <c r="AD7402" s="1"/>
    </row>
    <row r="7403" spans="3:30">
      <c r="C7403" s="9"/>
      <c r="AD7403" s="1"/>
    </row>
    <row r="7404" spans="3:30">
      <c r="C7404" s="9"/>
      <c r="AD7404" s="1"/>
    </row>
    <row r="7405" spans="3:30">
      <c r="C7405" s="9"/>
      <c r="AD7405" s="1"/>
    </row>
    <row r="7406" spans="3:30">
      <c r="C7406" s="9"/>
      <c r="AD7406" s="1"/>
    </row>
    <row r="7407" spans="3:30">
      <c r="C7407" s="9"/>
      <c r="AD7407" s="1"/>
    </row>
    <row r="7408" spans="3:30">
      <c r="C7408" s="9"/>
      <c r="AD7408" s="1"/>
    </row>
    <row r="7409" spans="3:30">
      <c r="C7409" s="9"/>
      <c r="AD7409" s="1"/>
    </row>
    <row r="7410" spans="3:30">
      <c r="C7410" s="9"/>
      <c r="AD7410" s="1"/>
    </row>
    <row r="7411" spans="3:30">
      <c r="C7411" s="9"/>
      <c r="AD7411" s="1"/>
    </row>
    <row r="7412" spans="3:30">
      <c r="C7412" s="9"/>
      <c r="AD7412" s="1"/>
    </row>
    <row r="7413" spans="3:30">
      <c r="C7413" s="9"/>
      <c r="AD7413" s="1"/>
    </row>
    <row r="7414" spans="3:30">
      <c r="C7414" s="9"/>
      <c r="AD7414" s="1"/>
    </row>
    <row r="7415" spans="3:30">
      <c r="C7415" s="9"/>
      <c r="AD7415" s="1"/>
    </row>
    <row r="7416" spans="3:30">
      <c r="C7416" s="9"/>
      <c r="AD7416" s="1"/>
    </row>
    <row r="7417" spans="3:30">
      <c r="C7417" s="9"/>
      <c r="AD7417" s="1"/>
    </row>
    <row r="7418" spans="3:30">
      <c r="C7418" s="9"/>
      <c r="AD7418" s="1"/>
    </row>
    <row r="7419" spans="3:30">
      <c r="C7419" s="9"/>
      <c r="AD7419" s="1"/>
    </row>
    <row r="7420" spans="3:30">
      <c r="C7420" s="9"/>
      <c r="AD7420" s="1"/>
    </row>
    <row r="7421" spans="3:30">
      <c r="C7421" s="9"/>
      <c r="AD7421" s="1"/>
    </row>
    <row r="7422" spans="3:30">
      <c r="C7422" s="9"/>
      <c r="AD7422" s="1"/>
    </row>
    <row r="7423" spans="3:30">
      <c r="C7423" s="9"/>
      <c r="AD7423" s="1"/>
    </row>
    <row r="7424" spans="3:30">
      <c r="C7424" s="9"/>
      <c r="AD7424" s="1"/>
    </row>
    <row r="7425" spans="3:30">
      <c r="C7425" s="9"/>
      <c r="AD7425" s="1"/>
    </row>
    <row r="7426" spans="3:30">
      <c r="C7426" s="9"/>
      <c r="AD7426" s="1"/>
    </row>
    <row r="7427" spans="3:30">
      <c r="C7427" s="9"/>
      <c r="AD7427" s="1"/>
    </row>
    <row r="7428" spans="3:30">
      <c r="C7428" s="9"/>
      <c r="AD7428" s="1"/>
    </row>
    <row r="7429" spans="3:30">
      <c r="C7429" s="9"/>
      <c r="AD7429" s="1"/>
    </row>
    <row r="7430" spans="3:30">
      <c r="C7430" s="9"/>
      <c r="AD7430" s="1"/>
    </row>
    <row r="7431" spans="3:30">
      <c r="C7431" s="9"/>
      <c r="AD7431" s="1"/>
    </row>
    <row r="7432" spans="3:30">
      <c r="C7432" s="9"/>
      <c r="AD7432" s="1"/>
    </row>
    <row r="7433" spans="3:30">
      <c r="C7433" s="9"/>
      <c r="AD7433" s="1"/>
    </row>
    <row r="7434" spans="3:30">
      <c r="C7434" s="9"/>
      <c r="AD7434" s="1"/>
    </row>
    <row r="7435" spans="3:30">
      <c r="C7435" s="9"/>
      <c r="AD7435" s="1"/>
    </row>
    <row r="7436" spans="3:30">
      <c r="C7436" s="9"/>
      <c r="AD7436" s="1"/>
    </row>
    <row r="7437" spans="3:30">
      <c r="C7437" s="9"/>
      <c r="AD7437" s="1"/>
    </row>
    <row r="7438" spans="3:30">
      <c r="C7438" s="9"/>
      <c r="AD7438" s="1"/>
    </row>
    <row r="7439" spans="3:30">
      <c r="C7439" s="9"/>
      <c r="AD7439" s="1"/>
    </row>
    <row r="7440" spans="3:30">
      <c r="C7440" s="9"/>
      <c r="AD7440" s="1"/>
    </row>
    <row r="7441" spans="3:30">
      <c r="C7441" s="9"/>
      <c r="AD7441" s="1"/>
    </row>
    <row r="7442" spans="3:30">
      <c r="C7442" s="9"/>
      <c r="AD7442" s="1"/>
    </row>
    <row r="7443" spans="3:30">
      <c r="C7443" s="9"/>
      <c r="AD7443" s="1"/>
    </row>
    <row r="7444" spans="3:30">
      <c r="C7444" s="9"/>
      <c r="AD7444" s="1"/>
    </row>
    <row r="7445" spans="3:30">
      <c r="C7445" s="9"/>
      <c r="AD7445" s="1"/>
    </row>
    <row r="7446" spans="3:30">
      <c r="C7446" s="9"/>
      <c r="AD7446" s="1"/>
    </row>
    <row r="7447" spans="3:30">
      <c r="C7447" s="9"/>
      <c r="AD7447" s="1"/>
    </row>
    <row r="7448" spans="3:30">
      <c r="C7448" s="9"/>
      <c r="AD7448" s="1"/>
    </row>
    <row r="7449" spans="3:30">
      <c r="C7449" s="9"/>
      <c r="AD7449" s="1"/>
    </row>
    <row r="7450" spans="3:30">
      <c r="C7450" s="9"/>
      <c r="AD7450" s="1"/>
    </row>
    <row r="7451" spans="3:30">
      <c r="C7451" s="9"/>
      <c r="AD7451" s="1"/>
    </row>
    <row r="7452" spans="3:30">
      <c r="C7452" s="9"/>
      <c r="AD7452" s="1"/>
    </row>
    <row r="7453" spans="3:30">
      <c r="C7453" s="9"/>
      <c r="AD7453" s="1"/>
    </row>
    <row r="7454" spans="3:30">
      <c r="C7454" s="9"/>
      <c r="AD7454" s="1"/>
    </row>
    <row r="7455" spans="3:30">
      <c r="C7455" s="9"/>
      <c r="AD7455" s="1"/>
    </row>
    <row r="7456" spans="3:30">
      <c r="C7456" s="9"/>
      <c r="AD7456" s="1"/>
    </row>
    <row r="7457" spans="3:30">
      <c r="C7457" s="9"/>
      <c r="AD7457" s="1"/>
    </row>
    <row r="7458" spans="3:30">
      <c r="C7458" s="9"/>
      <c r="AD7458" s="1"/>
    </row>
    <row r="7459" spans="3:30">
      <c r="C7459" s="9"/>
      <c r="AD7459" s="1"/>
    </row>
    <row r="7460" spans="3:30">
      <c r="C7460" s="9"/>
      <c r="AD7460" s="1"/>
    </row>
    <row r="7461" spans="3:30">
      <c r="C7461" s="9"/>
      <c r="AD7461" s="1"/>
    </row>
    <row r="7462" spans="3:30">
      <c r="C7462" s="9"/>
      <c r="AD7462" s="1"/>
    </row>
    <row r="7463" spans="3:30">
      <c r="C7463" s="9"/>
      <c r="AD7463" s="1"/>
    </row>
    <row r="7464" spans="3:30">
      <c r="C7464" s="9"/>
      <c r="AD7464" s="1"/>
    </row>
    <row r="7465" spans="3:30">
      <c r="C7465" s="9"/>
      <c r="AD7465" s="1"/>
    </row>
    <row r="7466" spans="3:30">
      <c r="C7466" s="9"/>
      <c r="AD7466" s="1"/>
    </row>
    <row r="7467" spans="3:30">
      <c r="C7467" s="9"/>
      <c r="AD7467" s="1"/>
    </row>
    <row r="7468" spans="3:30">
      <c r="C7468" s="9"/>
      <c r="AD7468" s="1"/>
    </row>
    <row r="7469" spans="3:30">
      <c r="C7469" s="9"/>
      <c r="AD7469" s="1"/>
    </row>
    <row r="7470" spans="3:30">
      <c r="C7470" s="9"/>
      <c r="AD7470" s="1"/>
    </row>
    <row r="7471" spans="3:30">
      <c r="C7471" s="9"/>
      <c r="AD7471" s="1"/>
    </row>
    <row r="7472" spans="3:30">
      <c r="C7472" s="9"/>
      <c r="AD7472" s="1"/>
    </row>
    <row r="7473" spans="3:30">
      <c r="C7473" s="9"/>
      <c r="AD7473" s="1"/>
    </row>
    <row r="7474" spans="3:30">
      <c r="C7474" s="9"/>
      <c r="AD7474" s="1"/>
    </row>
    <row r="7475" spans="3:30">
      <c r="C7475" s="9"/>
      <c r="AD7475" s="1"/>
    </row>
    <row r="7476" spans="3:30">
      <c r="C7476" s="9"/>
      <c r="AD7476" s="1"/>
    </row>
    <row r="7477" spans="3:30">
      <c r="C7477" s="9"/>
      <c r="AD7477" s="1"/>
    </row>
    <row r="7478" spans="3:30">
      <c r="C7478" s="9"/>
      <c r="AD7478" s="1"/>
    </row>
    <row r="7479" spans="3:30">
      <c r="C7479" s="9"/>
      <c r="AD7479" s="1"/>
    </row>
    <row r="7480" spans="3:30">
      <c r="C7480" s="9"/>
      <c r="AD7480" s="1"/>
    </row>
    <row r="7481" spans="3:30">
      <c r="C7481" s="9"/>
      <c r="AD7481" s="1"/>
    </row>
    <row r="7482" spans="3:30">
      <c r="C7482" s="9"/>
      <c r="AD7482" s="1"/>
    </row>
    <row r="7483" spans="3:30">
      <c r="C7483" s="9"/>
      <c r="AD7483" s="1"/>
    </row>
    <row r="7484" spans="3:30">
      <c r="C7484" s="9"/>
      <c r="AD7484" s="1"/>
    </row>
    <row r="7485" spans="3:30">
      <c r="C7485" s="9"/>
      <c r="AD7485" s="1"/>
    </row>
    <row r="7486" spans="3:30">
      <c r="C7486" s="9"/>
      <c r="AD7486" s="1"/>
    </row>
    <row r="7487" spans="3:30">
      <c r="C7487" s="9"/>
      <c r="AD7487" s="1"/>
    </row>
    <row r="7488" spans="3:30">
      <c r="C7488" s="9"/>
      <c r="AD7488" s="1"/>
    </row>
    <row r="7489" spans="3:30">
      <c r="C7489" s="9"/>
      <c r="AD7489" s="1"/>
    </row>
    <row r="7490" spans="3:30">
      <c r="C7490" s="9"/>
      <c r="AD7490" s="1"/>
    </row>
    <row r="7491" spans="3:30">
      <c r="C7491" s="9"/>
      <c r="AD7491" s="1"/>
    </row>
    <row r="7492" spans="3:30">
      <c r="C7492" s="9"/>
      <c r="AD7492" s="1"/>
    </row>
    <row r="7493" spans="3:30">
      <c r="C7493" s="9"/>
      <c r="AD7493" s="1"/>
    </row>
    <row r="7494" spans="3:30">
      <c r="C7494" s="9"/>
      <c r="AD7494" s="1"/>
    </row>
    <row r="7495" spans="3:30">
      <c r="C7495" s="9"/>
      <c r="AD7495" s="1"/>
    </row>
    <row r="7496" spans="3:30">
      <c r="C7496" s="9"/>
      <c r="AD7496" s="1"/>
    </row>
    <row r="7497" spans="3:30">
      <c r="C7497" s="9"/>
      <c r="AD7497" s="1"/>
    </row>
    <row r="7498" spans="3:30">
      <c r="C7498" s="9"/>
      <c r="AD7498" s="1"/>
    </row>
    <row r="7499" spans="3:30">
      <c r="C7499" s="9"/>
      <c r="AD7499" s="1"/>
    </row>
    <row r="7500" spans="3:30">
      <c r="C7500" s="9"/>
      <c r="AD7500" s="1"/>
    </row>
    <row r="7501" spans="3:30">
      <c r="C7501" s="9"/>
      <c r="AD7501" s="1"/>
    </row>
    <row r="7502" spans="3:30">
      <c r="C7502" s="9"/>
      <c r="AD7502" s="1"/>
    </row>
    <row r="7503" spans="3:30">
      <c r="C7503" s="9"/>
      <c r="AD7503" s="1"/>
    </row>
    <row r="7504" spans="3:30">
      <c r="C7504" s="9"/>
      <c r="AD7504" s="1"/>
    </row>
    <row r="7505" spans="3:30">
      <c r="C7505" s="9"/>
      <c r="AD7505" s="1"/>
    </row>
    <row r="7506" spans="3:30">
      <c r="C7506" s="9"/>
      <c r="AD7506" s="1"/>
    </row>
    <row r="7507" spans="3:30">
      <c r="C7507" s="9"/>
      <c r="AD7507" s="1"/>
    </row>
    <row r="7508" spans="3:30">
      <c r="C7508" s="9"/>
      <c r="AD7508" s="1"/>
    </row>
    <row r="7509" spans="3:30">
      <c r="C7509" s="9"/>
      <c r="AD7509" s="1"/>
    </row>
    <row r="7510" spans="3:30">
      <c r="C7510" s="9"/>
      <c r="AD7510" s="1"/>
    </row>
    <row r="7511" spans="3:30">
      <c r="C7511" s="9"/>
      <c r="AD7511" s="1"/>
    </row>
    <row r="7512" spans="3:30">
      <c r="C7512" s="9"/>
      <c r="AD7512" s="1"/>
    </row>
    <row r="7513" spans="3:30">
      <c r="C7513" s="9"/>
      <c r="AD7513" s="1"/>
    </row>
    <row r="7514" spans="3:30">
      <c r="C7514" s="9"/>
      <c r="AD7514" s="1"/>
    </row>
    <row r="7515" spans="3:30">
      <c r="C7515" s="9"/>
      <c r="AD7515" s="1"/>
    </row>
    <row r="7516" spans="3:30">
      <c r="C7516" s="9"/>
      <c r="AD7516" s="1"/>
    </row>
    <row r="7517" spans="3:30">
      <c r="C7517" s="9"/>
      <c r="AD7517" s="1"/>
    </row>
    <row r="7518" spans="3:30">
      <c r="C7518" s="9"/>
      <c r="AD7518" s="1"/>
    </row>
    <row r="7519" spans="3:30">
      <c r="C7519" s="9"/>
      <c r="AD7519" s="1"/>
    </row>
    <row r="7520" spans="3:30">
      <c r="C7520" s="9"/>
      <c r="AD7520" s="1"/>
    </row>
    <row r="7521" spans="3:30">
      <c r="C7521" s="9"/>
      <c r="AD7521" s="1"/>
    </row>
    <row r="7522" spans="3:30">
      <c r="C7522" s="9"/>
      <c r="AD7522" s="1"/>
    </row>
    <row r="7523" spans="3:30">
      <c r="C7523" s="9"/>
      <c r="AD7523" s="1"/>
    </row>
    <row r="7524" spans="3:30">
      <c r="C7524" s="9"/>
      <c r="AD7524" s="1"/>
    </row>
    <row r="7525" spans="3:30">
      <c r="C7525" s="9"/>
      <c r="AD7525" s="1"/>
    </row>
    <row r="7526" spans="3:30">
      <c r="C7526" s="9"/>
      <c r="AD7526" s="1"/>
    </row>
    <row r="7527" spans="3:30">
      <c r="C7527" s="9"/>
      <c r="AD7527" s="1"/>
    </row>
    <row r="7528" spans="3:30">
      <c r="C7528" s="9"/>
      <c r="AD7528" s="1"/>
    </row>
    <row r="7529" spans="3:30">
      <c r="C7529" s="9"/>
      <c r="AD7529" s="1"/>
    </row>
    <row r="7530" spans="3:30">
      <c r="C7530" s="9"/>
      <c r="AD7530" s="1"/>
    </row>
    <row r="7531" spans="3:30">
      <c r="C7531" s="9"/>
      <c r="AD7531" s="1"/>
    </row>
    <row r="7532" spans="3:30">
      <c r="C7532" s="9"/>
      <c r="AD7532" s="1"/>
    </row>
    <row r="7533" spans="3:30">
      <c r="C7533" s="9"/>
      <c r="AD7533" s="1"/>
    </row>
    <row r="7534" spans="3:30">
      <c r="C7534" s="9"/>
      <c r="AD7534" s="1"/>
    </row>
    <row r="7535" spans="3:30">
      <c r="C7535" s="9"/>
      <c r="AD7535" s="1"/>
    </row>
    <row r="7536" spans="3:30">
      <c r="C7536" s="9"/>
      <c r="AD7536" s="1"/>
    </row>
    <row r="7537" spans="3:30">
      <c r="C7537" s="9"/>
      <c r="AD7537" s="1"/>
    </row>
    <row r="7538" spans="3:30">
      <c r="C7538" s="9"/>
      <c r="AD7538" s="1"/>
    </row>
    <row r="7539" spans="3:30">
      <c r="C7539" s="9"/>
      <c r="AD7539" s="1"/>
    </row>
    <row r="7540" spans="3:30">
      <c r="C7540" s="9"/>
      <c r="AD7540" s="1"/>
    </row>
    <row r="7541" spans="3:30">
      <c r="C7541" s="9"/>
      <c r="AD7541" s="1"/>
    </row>
    <row r="7542" spans="3:30">
      <c r="C7542" s="9"/>
      <c r="AD7542" s="1"/>
    </row>
    <row r="7543" spans="3:30">
      <c r="C7543" s="9"/>
      <c r="AD7543" s="1"/>
    </row>
    <row r="7544" spans="3:30">
      <c r="C7544" s="9"/>
      <c r="AD7544" s="1"/>
    </row>
    <row r="7545" spans="3:30">
      <c r="C7545" s="9"/>
      <c r="AD7545" s="1"/>
    </row>
    <row r="7546" spans="3:30">
      <c r="C7546" s="9"/>
      <c r="AD7546" s="1"/>
    </row>
    <row r="7547" spans="3:30">
      <c r="C7547" s="9"/>
      <c r="AD7547" s="1"/>
    </row>
    <row r="7548" spans="3:30">
      <c r="C7548" s="9"/>
      <c r="AD7548" s="1"/>
    </row>
    <row r="7549" spans="3:30">
      <c r="C7549" s="9"/>
      <c r="AD7549" s="1"/>
    </row>
    <row r="7550" spans="3:30">
      <c r="C7550" s="9"/>
      <c r="AD7550" s="1"/>
    </row>
    <row r="7551" spans="3:30">
      <c r="C7551" s="9"/>
      <c r="AD7551" s="1"/>
    </row>
    <row r="7552" spans="3:30">
      <c r="C7552" s="9"/>
      <c r="AD7552" s="1"/>
    </row>
    <row r="7553" spans="3:30">
      <c r="C7553" s="9"/>
      <c r="AD7553" s="1"/>
    </row>
    <row r="7554" spans="3:30">
      <c r="C7554" s="9"/>
      <c r="AD7554" s="1"/>
    </row>
    <row r="7555" spans="3:30">
      <c r="C7555" s="9"/>
      <c r="AD7555" s="1"/>
    </row>
    <row r="7556" spans="3:30">
      <c r="C7556" s="9"/>
      <c r="AD7556" s="1"/>
    </row>
    <row r="7557" spans="3:30">
      <c r="C7557" s="9"/>
      <c r="AD7557" s="1"/>
    </row>
    <row r="7558" spans="3:30">
      <c r="C7558" s="9"/>
      <c r="AD7558" s="1"/>
    </row>
    <row r="7559" spans="3:30">
      <c r="C7559" s="9"/>
      <c r="AD7559" s="1"/>
    </row>
    <row r="7560" spans="3:30">
      <c r="C7560" s="9"/>
      <c r="AD7560" s="1"/>
    </row>
    <row r="7561" spans="3:30">
      <c r="C7561" s="9"/>
      <c r="AD7561" s="1"/>
    </row>
    <row r="7562" spans="3:30">
      <c r="C7562" s="9"/>
      <c r="AD7562" s="1"/>
    </row>
    <row r="7563" spans="3:30">
      <c r="C7563" s="9"/>
      <c r="AD7563" s="1"/>
    </row>
    <row r="7564" spans="3:30">
      <c r="C7564" s="9"/>
      <c r="AD7564" s="1"/>
    </row>
    <row r="7565" spans="3:30">
      <c r="C7565" s="9"/>
      <c r="AD7565" s="1"/>
    </row>
    <row r="7566" spans="3:30">
      <c r="C7566" s="9"/>
      <c r="AD7566" s="1"/>
    </row>
    <row r="7567" spans="3:30">
      <c r="C7567" s="9"/>
      <c r="AD7567" s="1"/>
    </row>
    <row r="7568" spans="3:30">
      <c r="C7568" s="9"/>
      <c r="AD7568" s="1"/>
    </row>
    <row r="7569" spans="3:30">
      <c r="C7569" s="9"/>
      <c r="AD7569" s="1"/>
    </row>
    <row r="7570" spans="3:30">
      <c r="C7570" s="9"/>
      <c r="AD7570" s="1"/>
    </row>
    <row r="7571" spans="3:30">
      <c r="C7571" s="9"/>
      <c r="AD7571" s="1"/>
    </row>
    <row r="7572" spans="3:30">
      <c r="C7572" s="9"/>
      <c r="AD7572" s="1"/>
    </row>
    <row r="7573" spans="3:30">
      <c r="C7573" s="9"/>
      <c r="AD7573" s="1"/>
    </row>
    <row r="7574" spans="3:30">
      <c r="C7574" s="9"/>
      <c r="AD7574" s="1"/>
    </row>
    <row r="7575" spans="3:30">
      <c r="C7575" s="9"/>
      <c r="AD7575" s="1"/>
    </row>
    <row r="7576" spans="3:30">
      <c r="C7576" s="9"/>
      <c r="AD7576" s="1"/>
    </row>
    <row r="7577" spans="3:30">
      <c r="C7577" s="9"/>
      <c r="AD7577" s="1"/>
    </row>
    <row r="7578" spans="3:30">
      <c r="C7578" s="9"/>
      <c r="AD7578" s="1"/>
    </row>
    <row r="7579" spans="3:30">
      <c r="C7579" s="9"/>
      <c r="AD7579" s="1"/>
    </row>
    <row r="7580" spans="3:30">
      <c r="C7580" s="9"/>
      <c r="AD7580" s="1"/>
    </row>
    <row r="7581" spans="3:30">
      <c r="C7581" s="9"/>
      <c r="AD7581" s="1"/>
    </row>
    <row r="7582" spans="3:30">
      <c r="C7582" s="9"/>
      <c r="AD7582" s="1"/>
    </row>
    <row r="7583" spans="3:30">
      <c r="C7583" s="9"/>
      <c r="AD7583" s="1"/>
    </row>
    <row r="7584" spans="3:30">
      <c r="C7584" s="9"/>
      <c r="AD7584" s="1"/>
    </row>
    <row r="7585" spans="3:30">
      <c r="C7585" s="9"/>
      <c r="AD7585" s="1"/>
    </row>
    <row r="7586" spans="3:30">
      <c r="C7586" s="9"/>
      <c r="AD7586" s="1"/>
    </row>
    <row r="7587" spans="3:30">
      <c r="C7587" s="9"/>
      <c r="AD7587" s="1"/>
    </row>
    <row r="7588" spans="3:30">
      <c r="C7588" s="9"/>
      <c r="AD7588" s="1"/>
    </row>
    <row r="7589" spans="3:30">
      <c r="C7589" s="9"/>
      <c r="AD7589" s="1"/>
    </row>
    <row r="7590" spans="3:30">
      <c r="C7590" s="9"/>
      <c r="AD7590" s="1"/>
    </row>
    <row r="7591" spans="3:30">
      <c r="C7591" s="9"/>
      <c r="AD7591" s="1"/>
    </row>
    <row r="7592" spans="3:30">
      <c r="C7592" s="9"/>
      <c r="AD7592" s="1"/>
    </row>
    <row r="7593" spans="3:30">
      <c r="C7593" s="9"/>
      <c r="AD7593" s="1"/>
    </row>
    <row r="7594" spans="3:30">
      <c r="C7594" s="9"/>
      <c r="AD7594" s="1"/>
    </row>
    <row r="7595" spans="3:30">
      <c r="C7595" s="9"/>
      <c r="AD7595" s="1"/>
    </row>
    <row r="7596" spans="3:30">
      <c r="C7596" s="9"/>
      <c r="AD7596" s="1"/>
    </row>
    <row r="7597" spans="3:30">
      <c r="C7597" s="9"/>
      <c r="AD7597" s="1"/>
    </row>
    <row r="7598" spans="3:30">
      <c r="C7598" s="9"/>
      <c r="AD7598" s="1"/>
    </row>
    <row r="7599" spans="3:30">
      <c r="C7599" s="9"/>
      <c r="AD7599" s="1"/>
    </row>
    <row r="7600" spans="3:30">
      <c r="C7600" s="9"/>
      <c r="AD7600" s="1"/>
    </row>
    <row r="7601" spans="3:30">
      <c r="C7601" s="9"/>
      <c r="AD7601" s="1"/>
    </row>
    <row r="7602" spans="3:30">
      <c r="C7602" s="9"/>
      <c r="AD7602" s="1"/>
    </row>
    <row r="7603" spans="3:30">
      <c r="C7603" s="9"/>
      <c r="AD7603" s="1"/>
    </row>
    <row r="7604" spans="3:30">
      <c r="C7604" s="9"/>
      <c r="AD7604" s="1"/>
    </row>
    <row r="7605" spans="3:30">
      <c r="C7605" s="9"/>
      <c r="AD7605" s="1"/>
    </row>
    <row r="7606" spans="3:30">
      <c r="C7606" s="9"/>
      <c r="AD7606" s="1"/>
    </row>
    <row r="7607" spans="3:30">
      <c r="C7607" s="9"/>
      <c r="AD7607" s="1"/>
    </row>
    <row r="7608" spans="3:30">
      <c r="C7608" s="9"/>
      <c r="AD7608" s="1"/>
    </row>
    <row r="7609" spans="3:30">
      <c r="C7609" s="9"/>
      <c r="AD7609" s="1"/>
    </row>
    <row r="7610" spans="3:30">
      <c r="C7610" s="9"/>
      <c r="AD7610" s="1"/>
    </row>
    <row r="7611" spans="3:30">
      <c r="C7611" s="9"/>
      <c r="AD7611" s="1"/>
    </row>
    <row r="7612" spans="3:30">
      <c r="C7612" s="9"/>
      <c r="AD7612" s="1"/>
    </row>
    <row r="7613" spans="3:30">
      <c r="C7613" s="9"/>
      <c r="AD7613" s="1"/>
    </row>
    <row r="7614" spans="3:30">
      <c r="C7614" s="9"/>
      <c r="AD7614" s="1"/>
    </row>
    <row r="7615" spans="3:30">
      <c r="C7615" s="9"/>
      <c r="AD7615" s="1"/>
    </row>
    <row r="7616" spans="3:30">
      <c r="C7616" s="9"/>
      <c r="AD7616" s="1"/>
    </row>
    <row r="7617" spans="3:30">
      <c r="C7617" s="9"/>
      <c r="AD7617" s="1"/>
    </row>
    <row r="7618" spans="3:30">
      <c r="C7618" s="9"/>
      <c r="AD7618" s="1"/>
    </row>
    <row r="7619" spans="3:30">
      <c r="C7619" s="9"/>
      <c r="AD7619" s="1"/>
    </row>
    <row r="7620" spans="3:30">
      <c r="C7620" s="9"/>
      <c r="AD7620" s="1"/>
    </row>
    <row r="7621" spans="3:30">
      <c r="C7621" s="9"/>
      <c r="AD7621" s="1"/>
    </row>
    <row r="7622" spans="3:30">
      <c r="C7622" s="9"/>
      <c r="AD7622" s="1"/>
    </row>
    <row r="7623" spans="3:30">
      <c r="C7623" s="9"/>
      <c r="AD7623" s="1"/>
    </row>
    <row r="7624" spans="3:30">
      <c r="C7624" s="9"/>
      <c r="AD7624" s="1"/>
    </row>
    <row r="7625" spans="3:30">
      <c r="C7625" s="9"/>
      <c r="AD7625" s="1"/>
    </row>
    <row r="7626" spans="3:30">
      <c r="C7626" s="9"/>
      <c r="AD7626" s="1"/>
    </row>
    <row r="7627" spans="3:30">
      <c r="C7627" s="9"/>
      <c r="AD7627" s="1"/>
    </row>
    <row r="7628" spans="3:30">
      <c r="C7628" s="9"/>
      <c r="AD7628" s="1"/>
    </row>
    <row r="7629" spans="3:30">
      <c r="C7629" s="9"/>
      <c r="AD7629" s="1"/>
    </row>
    <row r="7630" spans="3:30">
      <c r="C7630" s="9"/>
      <c r="AD7630" s="1"/>
    </row>
    <row r="7631" spans="3:30">
      <c r="C7631" s="9"/>
      <c r="AD7631" s="1"/>
    </row>
    <row r="7632" spans="3:30">
      <c r="C7632" s="9"/>
      <c r="AD7632" s="1"/>
    </row>
    <row r="7633" spans="3:30">
      <c r="C7633" s="9"/>
      <c r="AD7633" s="1"/>
    </row>
    <row r="7634" spans="3:30">
      <c r="C7634" s="9"/>
      <c r="AD7634" s="1"/>
    </row>
    <row r="7635" spans="3:30">
      <c r="C7635" s="9"/>
      <c r="AD7635" s="1"/>
    </row>
    <row r="7636" spans="3:30">
      <c r="C7636" s="9"/>
      <c r="AD7636" s="1"/>
    </row>
    <row r="7637" spans="3:30">
      <c r="C7637" s="9"/>
      <c r="AD7637" s="1"/>
    </row>
    <row r="7638" spans="3:30">
      <c r="C7638" s="9"/>
      <c r="AD7638" s="1"/>
    </row>
    <row r="7639" spans="3:30">
      <c r="C7639" s="9"/>
      <c r="AD7639" s="1"/>
    </row>
    <row r="7640" spans="3:30">
      <c r="C7640" s="9"/>
      <c r="AD7640" s="1"/>
    </row>
    <row r="7641" spans="3:30">
      <c r="C7641" s="9"/>
      <c r="AD7641" s="1"/>
    </row>
    <row r="7642" spans="3:30">
      <c r="C7642" s="9"/>
      <c r="AD7642" s="1"/>
    </row>
    <row r="7643" spans="3:30">
      <c r="C7643" s="9"/>
      <c r="AD7643" s="1"/>
    </row>
    <row r="7644" spans="3:30">
      <c r="C7644" s="9"/>
      <c r="AD7644" s="1"/>
    </row>
    <row r="7645" spans="3:30">
      <c r="C7645" s="9"/>
      <c r="AD7645" s="1"/>
    </row>
    <row r="7646" spans="3:30">
      <c r="C7646" s="9"/>
      <c r="AD7646" s="1"/>
    </row>
    <row r="7647" spans="3:30">
      <c r="C7647" s="9"/>
      <c r="AD7647" s="1"/>
    </row>
    <row r="7648" spans="3:30">
      <c r="C7648" s="9"/>
      <c r="AD7648" s="1"/>
    </row>
    <row r="7649" spans="3:30">
      <c r="C7649" s="9"/>
      <c r="AD7649" s="1"/>
    </row>
    <row r="7650" spans="3:30">
      <c r="C7650" s="9"/>
      <c r="AD7650" s="1"/>
    </row>
    <row r="7651" spans="3:30">
      <c r="C7651" s="9"/>
      <c r="AD7651" s="1"/>
    </row>
    <row r="7652" spans="3:30">
      <c r="C7652" s="9"/>
      <c r="AD7652" s="1"/>
    </row>
    <row r="7653" spans="3:30">
      <c r="C7653" s="9"/>
      <c r="AD7653" s="1"/>
    </row>
    <row r="7654" spans="3:30">
      <c r="C7654" s="9"/>
      <c r="AD7654" s="1"/>
    </row>
    <row r="7655" spans="3:30">
      <c r="C7655" s="9"/>
      <c r="AD7655" s="1"/>
    </row>
    <row r="7656" spans="3:30">
      <c r="C7656" s="9"/>
      <c r="AD7656" s="1"/>
    </row>
    <row r="7657" spans="3:30">
      <c r="C7657" s="9"/>
      <c r="AD7657" s="1"/>
    </row>
    <row r="7658" spans="3:30">
      <c r="C7658" s="9"/>
      <c r="AD7658" s="1"/>
    </row>
    <row r="7659" spans="3:30">
      <c r="C7659" s="9"/>
      <c r="AD7659" s="1"/>
    </row>
    <row r="7660" spans="3:30">
      <c r="C7660" s="9"/>
      <c r="AD7660" s="1"/>
    </row>
    <row r="7661" spans="3:30">
      <c r="C7661" s="9"/>
      <c r="AD7661" s="1"/>
    </row>
    <row r="7662" spans="3:30">
      <c r="C7662" s="9"/>
      <c r="AD7662" s="1"/>
    </row>
    <row r="7663" spans="3:30">
      <c r="C7663" s="9"/>
      <c r="AD7663" s="1"/>
    </row>
    <row r="7664" spans="3:30">
      <c r="C7664" s="9"/>
      <c r="AD7664" s="1"/>
    </row>
    <row r="7665" spans="3:30">
      <c r="C7665" s="9"/>
      <c r="AD7665" s="1"/>
    </row>
    <row r="7666" spans="3:30">
      <c r="C7666" s="9"/>
      <c r="AD7666" s="1"/>
    </row>
    <row r="7667" spans="3:30">
      <c r="C7667" s="9"/>
      <c r="AD7667" s="1"/>
    </row>
    <row r="7668" spans="3:30">
      <c r="C7668" s="9"/>
      <c r="AD7668" s="1"/>
    </row>
    <row r="7669" spans="3:30">
      <c r="C7669" s="9"/>
      <c r="AD7669" s="1"/>
    </row>
    <row r="7670" spans="3:30">
      <c r="C7670" s="9"/>
      <c r="AD7670" s="1"/>
    </row>
    <row r="7671" spans="3:30">
      <c r="C7671" s="9"/>
      <c r="AD7671" s="1"/>
    </row>
    <row r="7672" spans="3:30">
      <c r="C7672" s="9"/>
      <c r="AD7672" s="1"/>
    </row>
    <row r="7673" spans="3:30">
      <c r="C7673" s="9"/>
      <c r="AD7673" s="1"/>
    </row>
    <row r="7674" spans="3:30">
      <c r="C7674" s="9"/>
      <c r="AD7674" s="1"/>
    </row>
    <row r="7675" spans="3:30">
      <c r="C7675" s="9"/>
      <c r="AD7675" s="1"/>
    </row>
    <row r="7676" spans="3:30">
      <c r="C7676" s="9"/>
      <c r="AD7676" s="1"/>
    </row>
    <row r="7677" spans="3:30">
      <c r="C7677" s="9"/>
      <c r="AD7677" s="1"/>
    </row>
    <row r="7678" spans="3:30">
      <c r="C7678" s="9"/>
      <c r="AD7678" s="1"/>
    </row>
    <row r="7679" spans="3:30">
      <c r="C7679" s="9"/>
      <c r="AD7679" s="1"/>
    </row>
    <row r="7680" spans="3:30">
      <c r="C7680" s="9"/>
      <c r="AD7680" s="1"/>
    </row>
    <row r="7681" spans="3:30">
      <c r="C7681" s="9"/>
      <c r="AD7681" s="1"/>
    </row>
    <row r="7682" spans="3:30">
      <c r="C7682" s="9"/>
      <c r="AD7682" s="1"/>
    </row>
    <row r="7683" spans="3:30">
      <c r="C7683" s="9"/>
      <c r="AD7683" s="1"/>
    </row>
    <row r="7684" spans="3:30">
      <c r="C7684" s="9"/>
      <c r="AD7684" s="1"/>
    </row>
    <row r="7685" spans="3:30">
      <c r="C7685" s="9"/>
      <c r="AD7685" s="1"/>
    </row>
    <row r="7686" spans="3:30">
      <c r="C7686" s="9"/>
      <c r="AD7686" s="1"/>
    </row>
    <row r="7687" spans="3:30">
      <c r="C7687" s="9"/>
      <c r="AD7687" s="1"/>
    </row>
    <row r="7688" spans="3:30">
      <c r="C7688" s="9"/>
      <c r="AD7688" s="1"/>
    </row>
    <row r="7689" spans="3:30">
      <c r="C7689" s="9"/>
      <c r="AD7689" s="1"/>
    </row>
    <row r="7690" spans="3:30">
      <c r="C7690" s="9"/>
      <c r="AD7690" s="1"/>
    </row>
    <row r="7691" spans="3:30">
      <c r="C7691" s="9"/>
      <c r="AD7691" s="1"/>
    </row>
    <row r="7692" spans="3:30">
      <c r="C7692" s="9"/>
      <c r="AD7692" s="1"/>
    </row>
    <row r="7693" spans="3:30">
      <c r="C7693" s="9"/>
      <c r="AD7693" s="1"/>
    </row>
    <row r="7694" spans="3:30">
      <c r="C7694" s="9"/>
      <c r="AD7694" s="1"/>
    </row>
    <row r="7695" spans="3:30">
      <c r="C7695" s="9"/>
      <c r="AD7695" s="1"/>
    </row>
    <row r="7696" spans="3:30">
      <c r="C7696" s="9"/>
      <c r="AD7696" s="1"/>
    </row>
    <row r="7697" spans="3:30">
      <c r="C7697" s="9"/>
      <c r="AD7697" s="1"/>
    </row>
    <row r="7698" spans="3:30">
      <c r="C7698" s="9"/>
      <c r="AD7698" s="1"/>
    </row>
    <row r="7699" spans="3:30">
      <c r="C7699" s="9"/>
      <c r="AD7699" s="1"/>
    </row>
    <row r="7700" spans="3:30">
      <c r="C7700" s="9"/>
      <c r="AD7700" s="1"/>
    </row>
    <row r="7701" spans="3:30">
      <c r="C7701" s="9"/>
      <c r="AD7701" s="1"/>
    </row>
    <row r="7702" spans="3:30">
      <c r="C7702" s="9"/>
      <c r="AD7702" s="1"/>
    </row>
    <row r="7703" spans="3:30">
      <c r="C7703" s="9"/>
      <c r="AD7703" s="1"/>
    </row>
    <row r="7704" spans="3:30">
      <c r="C7704" s="9"/>
      <c r="AD7704" s="1"/>
    </row>
    <row r="7705" spans="3:30">
      <c r="C7705" s="9"/>
      <c r="AD7705" s="1"/>
    </row>
    <row r="7706" spans="3:30">
      <c r="C7706" s="9"/>
      <c r="AD7706" s="1"/>
    </row>
    <row r="7707" spans="3:30">
      <c r="C7707" s="9"/>
      <c r="AD7707" s="1"/>
    </row>
    <row r="7708" spans="3:30">
      <c r="C7708" s="9"/>
      <c r="AD7708" s="1"/>
    </row>
    <row r="7709" spans="3:30">
      <c r="C7709" s="9"/>
      <c r="AD7709" s="1"/>
    </row>
    <row r="7710" spans="3:30">
      <c r="C7710" s="9"/>
      <c r="AD7710" s="1"/>
    </row>
    <row r="7711" spans="3:30">
      <c r="C7711" s="9"/>
      <c r="AD7711" s="1"/>
    </row>
    <row r="7712" spans="3:30">
      <c r="C7712" s="9"/>
      <c r="AD7712" s="1"/>
    </row>
    <row r="7713" spans="3:30">
      <c r="C7713" s="9"/>
      <c r="AD7713" s="1"/>
    </row>
    <row r="7714" spans="3:30">
      <c r="C7714" s="9"/>
      <c r="AD7714" s="1"/>
    </row>
    <row r="7715" spans="3:30">
      <c r="C7715" s="9"/>
      <c r="AD7715" s="1"/>
    </row>
    <row r="7716" spans="3:30">
      <c r="C7716" s="9"/>
      <c r="AD7716" s="1"/>
    </row>
    <row r="7717" spans="3:30">
      <c r="C7717" s="9"/>
      <c r="AD7717" s="1"/>
    </row>
    <row r="7718" spans="3:30">
      <c r="C7718" s="9"/>
      <c r="AD7718" s="1"/>
    </row>
    <row r="7719" spans="3:30">
      <c r="C7719" s="9"/>
      <c r="AD7719" s="1"/>
    </row>
    <row r="7720" spans="3:30">
      <c r="C7720" s="9"/>
      <c r="AD7720" s="1"/>
    </row>
    <row r="7721" spans="3:30">
      <c r="C7721" s="9"/>
      <c r="AD7721" s="1"/>
    </row>
    <row r="7722" spans="3:30">
      <c r="C7722" s="9"/>
      <c r="AD7722" s="1"/>
    </row>
    <row r="7723" spans="3:30">
      <c r="C7723" s="9"/>
      <c r="AD7723" s="1"/>
    </row>
    <row r="7724" spans="3:30">
      <c r="C7724" s="9"/>
      <c r="AD7724" s="1"/>
    </row>
    <row r="7725" spans="3:30">
      <c r="C7725" s="9"/>
      <c r="AD7725" s="1"/>
    </row>
    <row r="7726" spans="3:30">
      <c r="C7726" s="9"/>
      <c r="AD7726" s="1"/>
    </row>
    <row r="7727" spans="3:30">
      <c r="C7727" s="9"/>
      <c r="AD7727" s="1"/>
    </row>
    <row r="7728" spans="3:30">
      <c r="C7728" s="9"/>
      <c r="AD7728" s="1"/>
    </row>
    <row r="7729" spans="3:30">
      <c r="C7729" s="9"/>
      <c r="AD7729" s="1"/>
    </row>
    <row r="7730" spans="3:30">
      <c r="C7730" s="9"/>
      <c r="AD7730" s="1"/>
    </row>
    <row r="7731" spans="3:30">
      <c r="C7731" s="9"/>
      <c r="AD7731" s="1"/>
    </row>
    <row r="7732" spans="3:30">
      <c r="C7732" s="9"/>
      <c r="AD7732" s="1"/>
    </row>
    <row r="7733" spans="3:30">
      <c r="C7733" s="9"/>
      <c r="AD7733" s="1"/>
    </row>
    <row r="7734" spans="3:30">
      <c r="C7734" s="9"/>
      <c r="AD7734" s="1"/>
    </row>
    <row r="7735" spans="3:30">
      <c r="C7735" s="9"/>
      <c r="AD7735" s="1"/>
    </row>
    <row r="7736" spans="3:30">
      <c r="C7736" s="9"/>
      <c r="AD7736" s="1"/>
    </row>
    <row r="7737" spans="3:30">
      <c r="C7737" s="9"/>
      <c r="AD7737" s="1"/>
    </row>
    <row r="7738" spans="3:30">
      <c r="C7738" s="9"/>
      <c r="AD7738" s="1"/>
    </row>
    <row r="7739" spans="3:30">
      <c r="C7739" s="9"/>
      <c r="AD7739" s="1"/>
    </row>
    <row r="7740" spans="3:30">
      <c r="C7740" s="9"/>
      <c r="AD7740" s="1"/>
    </row>
    <row r="7741" spans="3:30">
      <c r="C7741" s="9"/>
      <c r="AD7741" s="1"/>
    </row>
    <row r="7742" spans="3:30">
      <c r="C7742" s="9"/>
      <c r="AD7742" s="1"/>
    </row>
    <row r="7743" spans="3:30">
      <c r="C7743" s="9"/>
      <c r="AD7743" s="1"/>
    </row>
    <row r="7744" spans="3:30">
      <c r="C7744" s="9"/>
      <c r="AD7744" s="1"/>
    </row>
    <row r="7745" spans="3:30">
      <c r="C7745" s="9"/>
      <c r="AD7745" s="1"/>
    </row>
    <row r="7746" spans="3:30">
      <c r="C7746" s="9"/>
      <c r="AD7746" s="1"/>
    </row>
    <row r="7747" spans="3:30">
      <c r="C7747" s="9"/>
      <c r="AD7747" s="1"/>
    </row>
    <row r="7748" spans="3:30">
      <c r="C7748" s="9"/>
      <c r="AD7748" s="1"/>
    </row>
    <row r="7749" spans="3:30">
      <c r="C7749" s="9"/>
      <c r="AD7749" s="1"/>
    </row>
    <row r="7750" spans="3:30">
      <c r="C7750" s="9"/>
      <c r="AD7750" s="1"/>
    </row>
    <row r="7751" spans="3:30">
      <c r="C7751" s="9"/>
      <c r="AD7751" s="1"/>
    </row>
    <row r="7752" spans="3:30">
      <c r="C7752" s="9"/>
      <c r="AD7752" s="1"/>
    </row>
    <row r="7753" spans="3:30">
      <c r="C7753" s="9"/>
      <c r="AD7753" s="1"/>
    </row>
    <row r="7754" spans="3:30">
      <c r="C7754" s="9"/>
      <c r="AD7754" s="1"/>
    </row>
    <row r="7755" spans="3:30">
      <c r="C7755" s="9"/>
      <c r="AD7755" s="1"/>
    </row>
    <row r="7756" spans="3:30">
      <c r="C7756" s="9"/>
      <c r="AD7756" s="1"/>
    </row>
    <row r="7757" spans="3:30">
      <c r="C7757" s="9"/>
      <c r="AD7757" s="1"/>
    </row>
    <row r="7758" spans="3:30">
      <c r="C7758" s="9"/>
      <c r="AD7758" s="1"/>
    </row>
    <row r="7759" spans="3:30">
      <c r="C7759" s="9"/>
      <c r="AD7759" s="1"/>
    </row>
    <row r="7760" spans="3:30">
      <c r="C7760" s="9"/>
      <c r="AD7760" s="1"/>
    </row>
    <row r="7761" spans="3:30">
      <c r="C7761" s="9"/>
      <c r="AD7761" s="1"/>
    </row>
    <row r="7762" spans="3:30">
      <c r="C7762" s="9"/>
      <c r="AD7762" s="1"/>
    </row>
    <row r="7763" spans="3:30">
      <c r="C7763" s="9"/>
      <c r="AD7763" s="1"/>
    </row>
    <row r="7764" spans="3:30">
      <c r="C7764" s="9"/>
      <c r="AD7764" s="1"/>
    </row>
    <row r="7765" spans="3:30">
      <c r="C7765" s="9"/>
      <c r="AD7765" s="1"/>
    </row>
    <row r="7766" spans="3:30">
      <c r="C7766" s="9"/>
      <c r="AD7766" s="1"/>
    </row>
    <row r="7767" spans="3:30">
      <c r="C7767" s="9"/>
      <c r="AD7767" s="1"/>
    </row>
    <row r="7768" spans="3:30">
      <c r="C7768" s="9"/>
      <c r="AD7768" s="1"/>
    </row>
    <row r="7769" spans="3:30">
      <c r="C7769" s="9"/>
      <c r="AD7769" s="1"/>
    </row>
    <row r="7770" spans="3:30">
      <c r="C7770" s="9"/>
      <c r="AD7770" s="1"/>
    </row>
    <row r="7771" spans="3:30">
      <c r="C7771" s="9"/>
      <c r="AD7771" s="1"/>
    </row>
    <row r="7772" spans="3:30">
      <c r="C7772" s="9"/>
      <c r="AD7772" s="1"/>
    </row>
    <row r="7773" spans="3:30">
      <c r="C7773" s="9"/>
      <c r="AD7773" s="1"/>
    </row>
    <row r="7774" spans="3:30">
      <c r="C7774" s="9"/>
      <c r="AD7774" s="1"/>
    </row>
    <row r="7775" spans="3:30">
      <c r="C7775" s="9"/>
      <c r="AD7775" s="1"/>
    </row>
    <row r="7776" spans="3:30">
      <c r="C7776" s="9"/>
      <c r="AD7776" s="1"/>
    </row>
    <row r="7777" spans="3:30">
      <c r="C7777" s="9"/>
      <c r="AD7777" s="1"/>
    </row>
    <row r="7778" spans="3:30">
      <c r="C7778" s="9"/>
      <c r="AD7778" s="1"/>
    </row>
    <row r="7779" spans="3:30">
      <c r="C7779" s="9"/>
      <c r="AD7779" s="1"/>
    </row>
    <row r="7780" spans="3:30">
      <c r="C7780" s="9"/>
      <c r="AD7780" s="1"/>
    </row>
    <row r="7781" spans="3:30">
      <c r="C7781" s="9"/>
      <c r="AD7781" s="1"/>
    </row>
    <row r="7782" spans="3:30">
      <c r="C7782" s="9"/>
      <c r="AD7782" s="1"/>
    </row>
    <row r="7783" spans="3:30">
      <c r="C7783" s="9"/>
      <c r="AD7783" s="1"/>
    </row>
    <row r="7784" spans="3:30">
      <c r="C7784" s="9"/>
      <c r="AD7784" s="1"/>
    </row>
    <row r="7785" spans="3:30">
      <c r="C7785" s="9"/>
      <c r="AD7785" s="1"/>
    </row>
    <row r="7786" spans="3:30">
      <c r="C7786" s="9"/>
      <c r="AD7786" s="1"/>
    </row>
    <row r="7787" spans="3:30">
      <c r="C7787" s="9"/>
      <c r="AD7787" s="1"/>
    </row>
    <row r="7788" spans="3:30">
      <c r="C7788" s="9"/>
      <c r="AD7788" s="1"/>
    </row>
    <row r="7789" spans="3:30">
      <c r="C7789" s="9"/>
      <c r="AD7789" s="1"/>
    </row>
    <row r="7790" spans="3:30">
      <c r="C7790" s="9"/>
      <c r="AD7790" s="1"/>
    </row>
    <row r="7791" spans="3:30">
      <c r="C7791" s="9"/>
      <c r="AD7791" s="1"/>
    </row>
    <row r="7792" spans="3:30">
      <c r="C7792" s="9"/>
      <c r="AD7792" s="1"/>
    </row>
    <row r="7793" spans="3:30">
      <c r="C7793" s="9"/>
      <c r="AD7793" s="1"/>
    </row>
    <row r="7794" spans="3:30">
      <c r="C7794" s="9"/>
      <c r="AD7794" s="1"/>
    </row>
    <row r="7795" spans="3:30">
      <c r="C7795" s="9"/>
      <c r="AD7795" s="1"/>
    </row>
    <row r="7796" spans="3:30">
      <c r="C7796" s="9"/>
      <c r="AD7796" s="1"/>
    </row>
    <row r="7797" spans="3:30">
      <c r="C7797" s="9"/>
      <c r="AD7797" s="1"/>
    </row>
    <row r="7798" spans="3:30">
      <c r="C7798" s="9"/>
      <c r="AD7798" s="1"/>
    </row>
    <row r="7799" spans="3:30">
      <c r="C7799" s="9"/>
      <c r="AD7799" s="1"/>
    </row>
    <row r="7800" spans="3:30">
      <c r="C7800" s="9"/>
      <c r="AD7800" s="1"/>
    </row>
    <row r="7801" spans="3:30">
      <c r="C7801" s="9"/>
      <c r="AD7801" s="1"/>
    </row>
    <row r="7802" spans="3:30">
      <c r="C7802" s="9"/>
      <c r="AD7802" s="1"/>
    </row>
    <row r="7803" spans="3:30">
      <c r="C7803" s="9"/>
      <c r="AD7803" s="1"/>
    </row>
    <row r="7804" spans="3:30">
      <c r="C7804" s="9"/>
      <c r="AD7804" s="1"/>
    </row>
    <row r="7805" spans="3:30">
      <c r="C7805" s="9"/>
      <c r="AD7805" s="1"/>
    </row>
    <row r="7806" spans="3:30">
      <c r="C7806" s="9"/>
      <c r="AD7806" s="1"/>
    </row>
    <row r="7807" spans="3:30">
      <c r="C7807" s="9"/>
      <c r="AD7807" s="1"/>
    </row>
    <row r="7808" spans="3:30">
      <c r="C7808" s="9"/>
      <c r="AD7808" s="1"/>
    </row>
    <row r="7809" spans="3:30">
      <c r="C7809" s="9"/>
      <c r="AD7809" s="1"/>
    </row>
    <row r="7810" spans="3:30">
      <c r="C7810" s="9"/>
      <c r="AD7810" s="1"/>
    </row>
    <row r="7811" spans="3:30">
      <c r="C7811" s="9"/>
      <c r="AD7811" s="1"/>
    </row>
    <row r="7812" spans="3:30">
      <c r="C7812" s="9"/>
      <c r="AD7812" s="1"/>
    </row>
    <row r="7813" spans="3:30">
      <c r="C7813" s="9"/>
      <c r="AD7813" s="1"/>
    </row>
    <row r="7814" spans="3:30">
      <c r="C7814" s="9"/>
      <c r="AD7814" s="1"/>
    </row>
    <row r="7815" spans="3:30">
      <c r="C7815" s="9"/>
      <c r="AD7815" s="1"/>
    </row>
    <row r="7816" spans="3:30">
      <c r="C7816" s="9"/>
      <c r="AD7816" s="1"/>
    </row>
    <row r="7817" spans="3:30">
      <c r="C7817" s="9"/>
      <c r="AD7817" s="1"/>
    </row>
    <row r="7818" spans="3:30">
      <c r="C7818" s="9"/>
      <c r="AD7818" s="1"/>
    </row>
    <row r="7819" spans="3:30">
      <c r="C7819" s="9"/>
      <c r="AD7819" s="1"/>
    </row>
    <row r="7820" spans="3:30">
      <c r="C7820" s="9"/>
      <c r="AD7820" s="1"/>
    </row>
    <row r="7821" spans="3:30">
      <c r="C7821" s="9"/>
      <c r="AD7821" s="1"/>
    </row>
    <row r="7822" spans="3:30">
      <c r="C7822" s="9"/>
      <c r="AD7822" s="1"/>
    </row>
    <row r="7823" spans="3:30">
      <c r="C7823" s="9"/>
      <c r="AD7823" s="1"/>
    </row>
    <row r="7824" spans="3:30">
      <c r="C7824" s="9"/>
      <c r="AD7824" s="1"/>
    </row>
    <row r="7825" spans="3:30">
      <c r="C7825" s="9"/>
      <c r="AD7825" s="1"/>
    </row>
    <row r="7826" spans="3:30">
      <c r="C7826" s="9"/>
      <c r="AD7826" s="1"/>
    </row>
    <row r="7827" spans="3:30">
      <c r="C7827" s="9"/>
      <c r="AD7827" s="1"/>
    </row>
    <row r="7828" spans="3:30">
      <c r="C7828" s="9"/>
      <c r="AD7828" s="1"/>
    </row>
    <row r="7829" spans="3:30">
      <c r="C7829" s="9"/>
      <c r="AD7829" s="1"/>
    </row>
    <row r="7830" spans="3:30">
      <c r="C7830" s="9"/>
      <c r="AD7830" s="1"/>
    </row>
    <row r="7831" spans="3:30">
      <c r="C7831" s="9"/>
      <c r="AD7831" s="1"/>
    </row>
    <row r="7832" spans="3:30">
      <c r="C7832" s="9"/>
      <c r="AD7832" s="1"/>
    </row>
    <row r="7833" spans="3:30">
      <c r="C7833" s="9"/>
      <c r="AD7833" s="1"/>
    </row>
    <row r="7834" spans="3:30">
      <c r="C7834" s="9"/>
      <c r="AD7834" s="1"/>
    </row>
    <row r="7835" spans="3:30">
      <c r="C7835" s="9"/>
      <c r="AD7835" s="1"/>
    </row>
    <row r="7836" spans="3:30">
      <c r="C7836" s="9"/>
      <c r="AD7836" s="1"/>
    </row>
    <row r="7837" spans="3:30">
      <c r="C7837" s="9"/>
      <c r="AD7837" s="1"/>
    </row>
    <row r="7838" spans="3:30">
      <c r="C7838" s="9"/>
      <c r="AD7838" s="1"/>
    </row>
    <row r="7839" spans="3:30">
      <c r="C7839" s="9"/>
      <c r="AD7839" s="1"/>
    </row>
    <row r="7840" spans="3:30">
      <c r="C7840" s="9"/>
      <c r="AD7840" s="1"/>
    </row>
    <row r="7841" spans="3:30">
      <c r="C7841" s="9"/>
      <c r="AD7841" s="1"/>
    </row>
    <row r="7842" spans="3:30">
      <c r="C7842" s="9"/>
      <c r="AD7842" s="1"/>
    </row>
    <row r="7843" spans="3:30">
      <c r="C7843" s="9"/>
      <c r="AD7843" s="1"/>
    </row>
    <row r="7844" spans="3:30">
      <c r="C7844" s="9"/>
      <c r="AD7844" s="1"/>
    </row>
    <row r="7845" spans="3:30">
      <c r="C7845" s="9"/>
      <c r="AD7845" s="1"/>
    </row>
    <row r="7846" spans="3:30">
      <c r="C7846" s="9"/>
      <c r="AD7846" s="1"/>
    </row>
    <row r="7847" spans="3:30">
      <c r="C7847" s="9"/>
      <c r="AD7847" s="1"/>
    </row>
    <row r="7848" spans="3:30">
      <c r="C7848" s="9"/>
      <c r="AD7848" s="1"/>
    </row>
    <row r="7849" spans="3:30">
      <c r="C7849" s="9"/>
      <c r="AD7849" s="1"/>
    </row>
    <row r="7850" spans="3:30">
      <c r="C7850" s="9"/>
      <c r="AD7850" s="1"/>
    </row>
    <row r="7851" spans="3:30">
      <c r="C7851" s="9"/>
      <c r="AD7851" s="1"/>
    </row>
    <row r="7852" spans="3:30">
      <c r="C7852" s="9"/>
      <c r="AD7852" s="1"/>
    </row>
    <row r="7853" spans="3:30">
      <c r="C7853" s="9"/>
      <c r="AD7853" s="1"/>
    </row>
    <row r="7854" spans="3:30">
      <c r="C7854" s="9"/>
      <c r="AD7854" s="1"/>
    </row>
    <row r="7855" spans="3:30">
      <c r="C7855" s="9"/>
      <c r="AD7855" s="1"/>
    </row>
    <row r="7856" spans="3:30">
      <c r="C7856" s="9"/>
      <c r="AD7856" s="1"/>
    </row>
    <row r="7857" spans="3:30">
      <c r="C7857" s="9"/>
      <c r="AD7857" s="1"/>
    </row>
    <row r="7858" spans="3:30">
      <c r="C7858" s="9"/>
      <c r="AD7858" s="1"/>
    </row>
    <row r="7859" spans="3:30">
      <c r="C7859" s="9"/>
      <c r="AD7859" s="1"/>
    </row>
    <row r="7860" spans="3:30">
      <c r="C7860" s="9"/>
      <c r="AD7860" s="1"/>
    </row>
    <row r="7861" spans="3:30">
      <c r="C7861" s="9"/>
      <c r="AD7861" s="1"/>
    </row>
    <row r="7862" spans="3:30">
      <c r="C7862" s="9"/>
      <c r="AD7862" s="1"/>
    </row>
    <row r="7863" spans="3:30">
      <c r="C7863" s="9"/>
      <c r="AD7863" s="1"/>
    </row>
    <row r="7864" spans="3:30">
      <c r="C7864" s="9"/>
      <c r="AD7864" s="1"/>
    </row>
    <row r="7865" spans="3:30">
      <c r="C7865" s="9"/>
      <c r="AD7865" s="1"/>
    </row>
    <row r="7866" spans="3:30">
      <c r="C7866" s="9"/>
      <c r="AD7866" s="1"/>
    </row>
    <row r="7867" spans="3:30">
      <c r="C7867" s="9"/>
      <c r="AD7867" s="1"/>
    </row>
    <row r="7868" spans="3:30">
      <c r="C7868" s="9"/>
      <c r="AD7868" s="1"/>
    </row>
    <row r="7869" spans="3:30">
      <c r="C7869" s="9"/>
      <c r="AD7869" s="1"/>
    </row>
    <row r="7870" spans="3:30">
      <c r="C7870" s="9"/>
      <c r="AD7870" s="1"/>
    </row>
    <row r="7871" spans="3:30">
      <c r="C7871" s="9"/>
      <c r="AD7871" s="1"/>
    </row>
    <row r="7872" spans="3:30">
      <c r="C7872" s="9"/>
      <c r="AD7872" s="1"/>
    </row>
    <row r="7873" spans="3:30">
      <c r="C7873" s="9"/>
      <c r="AD7873" s="1"/>
    </row>
    <row r="7874" spans="3:30">
      <c r="C7874" s="9"/>
      <c r="AD7874" s="1"/>
    </row>
    <row r="7875" spans="3:30">
      <c r="C7875" s="9"/>
      <c r="AD7875" s="1"/>
    </row>
    <row r="7876" spans="3:30">
      <c r="C7876" s="9"/>
      <c r="AD7876" s="1"/>
    </row>
    <row r="7877" spans="3:30">
      <c r="C7877" s="9"/>
      <c r="AD7877" s="1"/>
    </row>
    <row r="7878" spans="3:30">
      <c r="C7878" s="9"/>
      <c r="AD7878" s="1"/>
    </row>
    <row r="7879" spans="3:30">
      <c r="C7879" s="9"/>
      <c r="AD7879" s="1"/>
    </row>
    <row r="7880" spans="3:30">
      <c r="C7880" s="9"/>
      <c r="AD7880" s="1"/>
    </row>
    <row r="7881" spans="3:30">
      <c r="C7881" s="9"/>
      <c r="AD7881" s="1"/>
    </row>
    <row r="7882" spans="3:30">
      <c r="C7882" s="9"/>
      <c r="AD7882" s="1"/>
    </row>
    <row r="7883" spans="3:30">
      <c r="C7883" s="9"/>
      <c r="AD7883" s="1"/>
    </row>
    <row r="7884" spans="3:30">
      <c r="C7884" s="9"/>
      <c r="AD7884" s="1"/>
    </row>
    <row r="7885" spans="3:30">
      <c r="C7885" s="9"/>
      <c r="AD7885" s="1"/>
    </row>
    <row r="7886" spans="3:30">
      <c r="C7886" s="9"/>
      <c r="AD7886" s="1"/>
    </row>
    <row r="7887" spans="3:30">
      <c r="C7887" s="9"/>
      <c r="AD7887" s="1"/>
    </row>
    <row r="7888" spans="3:30">
      <c r="C7888" s="9"/>
      <c r="AD7888" s="1"/>
    </row>
    <row r="7889" spans="3:30">
      <c r="C7889" s="9"/>
      <c r="AD7889" s="1"/>
    </row>
    <row r="7890" spans="3:30">
      <c r="C7890" s="9"/>
      <c r="AD7890" s="1"/>
    </row>
    <row r="7891" spans="3:30">
      <c r="C7891" s="9"/>
      <c r="AD7891" s="1"/>
    </row>
    <row r="7892" spans="3:30">
      <c r="C7892" s="9"/>
      <c r="AD7892" s="1"/>
    </row>
    <row r="7893" spans="3:30">
      <c r="C7893" s="9"/>
      <c r="AD7893" s="1"/>
    </row>
    <row r="7894" spans="3:30">
      <c r="C7894" s="9"/>
      <c r="AD7894" s="1"/>
    </row>
    <row r="7895" spans="3:30">
      <c r="C7895" s="9"/>
      <c r="AD7895" s="1"/>
    </row>
    <row r="7896" spans="3:30">
      <c r="C7896" s="9"/>
      <c r="AD7896" s="1"/>
    </row>
    <row r="7897" spans="3:30">
      <c r="C7897" s="9"/>
      <c r="AD7897" s="1"/>
    </row>
    <row r="7898" spans="3:30">
      <c r="C7898" s="9"/>
      <c r="AD7898" s="1"/>
    </row>
    <row r="7899" spans="3:30">
      <c r="C7899" s="9"/>
      <c r="AD7899" s="1"/>
    </row>
    <row r="7900" spans="3:30">
      <c r="C7900" s="9"/>
      <c r="AD7900" s="1"/>
    </row>
    <row r="7901" spans="3:30">
      <c r="C7901" s="9"/>
      <c r="AD7901" s="1"/>
    </row>
    <row r="7902" spans="3:30">
      <c r="C7902" s="9"/>
      <c r="AD7902" s="1"/>
    </row>
    <row r="7903" spans="3:30">
      <c r="C7903" s="9"/>
      <c r="AD7903" s="1"/>
    </row>
    <row r="7904" spans="3:30">
      <c r="C7904" s="9"/>
      <c r="AD7904" s="1"/>
    </row>
    <row r="7905" spans="3:30">
      <c r="C7905" s="9"/>
      <c r="AD7905" s="1"/>
    </row>
    <row r="7906" spans="3:30">
      <c r="C7906" s="9"/>
      <c r="AD7906" s="1"/>
    </row>
    <row r="7907" spans="3:30">
      <c r="C7907" s="9"/>
      <c r="AD7907" s="1"/>
    </row>
    <row r="7908" spans="3:30">
      <c r="C7908" s="9"/>
      <c r="AD7908" s="1"/>
    </row>
    <row r="7909" spans="3:30">
      <c r="C7909" s="9"/>
      <c r="AD7909" s="1"/>
    </row>
    <row r="7910" spans="3:30">
      <c r="C7910" s="9"/>
      <c r="AD7910" s="1"/>
    </row>
    <row r="7911" spans="3:30">
      <c r="C7911" s="9"/>
      <c r="AD7911" s="1"/>
    </row>
    <row r="7912" spans="3:30">
      <c r="C7912" s="9"/>
      <c r="AD7912" s="1"/>
    </row>
    <row r="7913" spans="3:30">
      <c r="C7913" s="9"/>
      <c r="AD7913" s="1"/>
    </row>
    <row r="7914" spans="3:30">
      <c r="C7914" s="9"/>
      <c r="AD7914" s="1"/>
    </row>
    <row r="7915" spans="3:30">
      <c r="C7915" s="9"/>
      <c r="AD7915" s="1"/>
    </row>
    <row r="7916" spans="3:30">
      <c r="C7916" s="9"/>
      <c r="AD7916" s="1"/>
    </row>
    <row r="7917" spans="3:30">
      <c r="C7917" s="9"/>
      <c r="AD7917" s="1"/>
    </row>
    <row r="7918" spans="3:30">
      <c r="C7918" s="9"/>
      <c r="AD7918" s="1"/>
    </row>
    <row r="7919" spans="3:30">
      <c r="C7919" s="9"/>
      <c r="AD7919" s="1"/>
    </row>
    <row r="7920" spans="3:30">
      <c r="C7920" s="9"/>
      <c r="AD7920" s="1"/>
    </row>
    <row r="7921" spans="3:30">
      <c r="C7921" s="9"/>
      <c r="AD7921" s="1"/>
    </row>
    <row r="7922" spans="3:30">
      <c r="C7922" s="9"/>
      <c r="AD7922" s="1"/>
    </row>
    <row r="7923" spans="3:30">
      <c r="C7923" s="9"/>
      <c r="AD7923" s="1"/>
    </row>
    <row r="7924" spans="3:30">
      <c r="C7924" s="9"/>
      <c r="AD7924" s="1"/>
    </row>
    <row r="7925" spans="3:30">
      <c r="C7925" s="9"/>
      <c r="AD7925" s="1"/>
    </row>
    <row r="7926" spans="3:30">
      <c r="C7926" s="9"/>
      <c r="AD7926" s="1"/>
    </row>
    <row r="7927" spans="3:30">
      <c r="C7927" s="9"/>
      <c r="AD7927" s="1"/>
    </row>
    <row r="7928" spans="3:30">
      <c r="C7928" s="9"/>
      <c r="AD7928" s="1"/>
    </row>
    <row r="7929" spans="3:30">
      <c r="C7929" s="9"/>
      <c r="AD7929" s="1"/>
    </row>
    <row r="7930" spans="3:30">
      <c r="C7930" s="9"/>
      <c r="AD7930" s="1"/>
    </row>
    <row r="7931" spans="3:30">
      <c r="C7931" s="9"/>
      <c r="AD7931" s="1"/>
    </row>
    <row r="7932" spans="3:30">
      <c r="C7932" s="9"/>
      <c r="AD7932" s="1"/>
    </row>
    <row r="7933" spans="3:30">
      <c r="C7933" s="9"/>
      <c r="AD7933" s="1"/>
    </row>
    <row r="7934" spans="3:30">
      <c r="C7934" s="9"/>
      <c r="AD7934" s="1"/>
    </row>
    <row r="7935" spans="3:30">
      <c r="C7935" s="9"/>
      <c r="AD7935" s="1"/>
    </row>
    <row r="7936" spans="3:30">
      <c r="C7936" s="9"/>
      <c r="AD7936" s="1"/>
    </row>
    <row r="7937" spans="3:30">
      <c r="C7937" s="9"/>
      <c r="AD7937" s="1"/>
    </row>
    <row r="7938" spans="3:30">
      <c r="C7938" s="9"/>
      <c r="AD7938" s="1"/>
    </row>
    <row r="7939" spans="3:30">
      <c r="C7939" s="9"/>
      <c r="AD7939" s="1"/>
    </row>
    <row r="7940" spans="3:30">
      <c r="C7940" s="9"/>
      <c r="AD7940" s="1"/>
    </row>
    <row r="7941" spans="3:30">
      <c r="C7941" s="9"/>
      <c r="AD7941" s="1"/>
    </row>
    <row r="7942" spans="3:30">
      <c r="C7942" s="9"/>
      <c r="AD7942" s="1"/>
    </row>
    <row r="7943" spans="3:30">
      <c r="C7943" s="9"/>
      <c r="AD7943" s="1"/>
    </row>
    <row r="7944" spans="3:30">
      <c r="C7944" s="9"/>
      <c r="AD7944" s="1"/>
    </row>
    <row r="7945" spans="3:30">
      <c r="C7945" s="9"/>
      <c r="AD7945" s="1"/>
    </row>
    <row r="7946" spans="3:30">
      <c r="C7946" s="9"/>
      <c r="AD7946" s="1"/>
    </row>
    <row r="7947" spans="3:30">
      <c r="C7947" s="9"/>
      <c r="AD7947" s="1"/>
    </row>
    <row r="7948" spans="3:30">
      <c r="C7948" s="9"/>
      <c r="AD7948" s="1"/>
    </row>
    <row r="7949" spans="3:30">
      <c r="C7949" s="9"/>
      <c r="AD7949" s="1"/>
    </row>
    <row r="7950" spans="3:30">
      <c r="C7950" s="9"/>
      <c r="AD7950" s="1"/>
    </row>
    <row r="7951" spans="3:30">
      <c r="C7951" s="9"/>
      <c r="AD7951" s="1"/>
    </row>
    <row r="7952" spans="3:30">
      <c r="C7952" s="9"/>
      <c r="AD7952" s="1"/>
    </row>
    <row r="7953" spans="3:30">
      <c r="C7953" s="9"/>
      <c r="AD7953" s="1"/>
    </row>
    <row r="7954" spans="3:30">
      <c r="C7954" s="9"/>
      <c r="AD7954" s="1"/>
    </row>
    <row r="7955" spans="3:30">
      <c r="C7955" s="9"/>
      <c r="AD7955" s="1"/>
    </row>
    <row r="7956" spans="3:30">
      <c r="C7956" s="9"/>
      <c r="AD7956" s="1"/>
    </row>
    <row r="7957" spans="3:30">
      <c r="C7957" s="9"/>
      <c r="AD7957" s="1"/>
    </row>
    <row r="7958" spans="3:30">
      <c r="C7958" s="9"/>
      <c r="AD7958" s="1"/>
    </row>
    <row r="7959" spans="3:30">
      <c r="C7959" s="9"/>
      <c r="AD7959" s="1"/>
    </row>
    <row r="7960" spans="3:30">
      <c r="C7960" s="9"/>
      <c r="AD7960" s="1"/>
    </row>
    <row r="7961" spans="3:30">
      <c r="C7961" s="9"/>
      <c r="AD7961" s="1"/>
    </row>
    <row r="7962" spans="3:30">
      <c r="C7962" s="9"/>
      <c r="AD7962" s="1"/>
    </row>
    <row r="7963" spans="3:30">
      <c r="C7963" s="9"/>
      <c r="AD7963" s="1"/>
    </row>
    <row r="7964" spans="3:30">
      <c r="C7964" s="9"/>
      <c r="AD7964" s="1"/>
    </row>
    <row r="7965" spans="3:30">
      <c r="C7965" s="9"/>
      <c r="AD7965" s="1"/>
    </row>
    <row r="7966" spans="3:30">
      <c r="C7966" s="9"/>
      <c r="AD7966" s="1"/>
    </row>
    <row r="7967" spans="3:30">
      <c r="C7967" s="9"/>
      <c r="AD7967" s="1"/>
    </row>
    <row r="7968" spans="3:30">
      <c r="C7968" s="9"/>
      <c r="AD7968" s="1"/>
    </row>
    <row r="7969" spans="3:30">
      <c r="C7969" s="9"/>
      <c r="AD7969" s="1"/>
    </row>
    <row r="7970" spans="3:30">
      <c r="C7970" s="9"/>
      <c r="AD7970" s="1"/>
    </row>
    <row r="7971" spans="3:30">
      <c r="C7971" s="9"/>
      <c r="AD7971" s="1"/>
    </row>
    <row r="7972" spans="3:30">
      <c r="C7972" s="9"/>
      <c r="AD7972" s="1"/>
    </row>
    <row r="7973" spans="3:30">
      <c r="C7973" s="9"/>
      <c r="AD7973" s="1"/>
    </row>
    <row r="7974" spans="3:30">
      <c r="C7974" s="9"/>
      <c r="AD7974" s="1"/>
    </row>
    <row r="7975" spans="3:30">
      <c r="C7975" s="9"/>
      <c r="AD7975" s="1"/>
    </row>
    <row r="7976" spans="3:30">
      <c r="C7976" s="9"/>
      <c r="AD7976" s="1"/>
    </row>
    <row r="7977" spans="3:30">
      <c r="C7977" s="9"/>
      <c r="AD7977" s="1"/>
    </row>
    <row r="7978" spans="3:30">
      <c r="C7978" s="9"/>
      <c r="AD7978" s="1"/>
    </row>
    <row r="7979" spans="3:30">
      <c r="C7979" s="9"/>
      <c r="AD7979" s="1"/>
    </row>
    <row r="7980" spans="3:30">
      <c r="C7980" s="9"/>
      <c r="AD7980" s="1"/>
    </row>
    <row r="7981" spans="3:30">
      <c r="C7981" s="9"/>
      <c r="AD7981" s="1"/>
    </row>
    <row r="7982" spans="3:30">
      <c r="C7982" s="9"/>
      <c r="AD7982" s="1"/>
    </row>
    <row r="7983" spans="3:30">
      <c r="C7983" s="9"/>
      <c r="AD7983" s="1"/>
    </row>
    <row r="7984" spans="3:30">
      <c r="C7984" s="9"/>
      <c r="AD7984" s="1"/>
    </row>
    <row r="7985" spans="3:30">
      <c r="C7985" s="9"/>
      <c r="AD7985" s="1"/>
    </row>
    <row r="7986" spans="3:30">
      <c r="C7986" s="9"/>
      <c r="AD7986" s="1"/>
    </row>
    <row r="7987" spans="3:30">
      <c r="C7987" s="9"/>
      <c r="AD7987" s="1"/>
    </row>
    <row r="7988" spans="3:30">
      <c r="C7988" s="9"/>
      <c r="AD7988" s="1"/>
    </row>
    <row r="7989" spans="3:30">
      <c r="C7989" s="9"/>
      <c r="AD7989" s="1"/>
    </row>
    <row r="7990" spans="3:30">
      <c r="C7990" s="9"/>
      <c r="AD7990" s="1"/>
    </row>
    <row r="7991" spans="3:30">
      <c r="C7991" s="9"/>
      <c r="AD7991" s="1"/>
    </row>
    <row r="7992" spans="3:30">
      <c r="C7992" s="9"/>
      <c r="AD7992" s="1"/>
    </row>
    <row r="7993" spans="3:30">
      <c r="C7993" s="9"/>
      <c r="AD7993" s="1"/>
    </row>
    <row r="7994" spans="3:30">
      <c r="C7994" s="9"/>
      <c r="AD7994" s="1"/>
    </row>
    <row r="7995" spans="3:30">
      <c r="C7995" s="9"/>
      <c r="AD7995" s="1"/>
    </row>
    <row r="7996" spans="3:30">
      <c r="C7996" s="9"/>
      <c r="AD7996" s="1"/>
    </row>
    <row r="7997" spans="3:30">
      <c r="C7997" s="9"/>
      <c r="AD7997" s="1"/>
    </row>
    <row r="7998" spans="3:30">
      <c r="C7998" s="9"/>
      <c r="AD7998" s="1"/>
    </row>
    <row r="7999" spans="3:30">
      <c r="C7999" s="9"/>
      <c r="AD7999" s="1"/>
    </row>
    <row r="8000" spans="3:30">
      <c r="C8000" s="9"/>
      <c r="AD8000" s="1"/>
    </row>
    <row r="8001" spans="3:30">
      <c r="C8001" s="9"/>
      <c r="AD8001" s="1"/>
    </row>
    <row r="8002" spans="3:30">
      <c r="C8002" s="9"/>
      <c r="AD8002" s="1"/>
    </row>
    <row r="8003" spans="3:30">
      <c r="C8003" s="9"/>
      <c r="AD8003" s="1"/>
    </row>
    <row r="8004" spans="3:30">
      <c r="C8004" s="9"/>
      <c r="AD8004" s="1"/>
    </row>
    <row r="8005" spans="3:30">
      <c r="C8005" s="9"/>
      <c r="AD8005" s="1"/>
    </row>
    <row r="8006" spans="3:30">
      <c r="C8006" s="9"/>
      <c r="AD8006" s="1"/>
    </row>
    <row r="8007" spans="3:30">
      <c r="C8007" s="9"/>
      <c r="AD8007" s="1"/>
    </row>
    <row r="8008" spans="3:30">
      <c r="C8008" s="9"/>
      <c r="AD8008" s="1"/>
    </row>
    <row r="8009" spans="3:30">
      <c r="C8009" s="9"/>
      <c r="AD8009" s="1"/>
    </row>
    <row r="8010" spans="3:30">
      <c r="C8010" s="9"/>
      <c r="AD8010" s="1"/>
    </row>
    <row r="8011" spans="3:30">
      <c r="C8011" s="9"/>
      <c r="AD8011" s="1"/>
    </row>
    <row r="8012" spans="3:30">
      <c r="C8012" s="9"/>
      <c r="AD8012" s="1"/>
    </row>
    <row r="8013" spans="3:30">
      <c r="C8013" s="9"/>
      <c r="AD8013" s="1"/>
    </row>
    <row r="8014" spans="3:30">
      <c r="C8014" s="9"/>
      <c r="AD8014" s="1"/>
    </row>
    <row r="8015" spans="3:30">
      <c r="C8015" s="9"/>
      <c r="AD8015" s="1"/>
    </row>
    <row r="8016" spans="3:30">
      <c r="C8016" s="9"/>
      <c r="AD8016" s="1"/>
    </row>
    <row r="8017" spans="3:30">
      <c r="C8017" s="9"/>
      <c r="AD8017" s="1"/>
    </row>
    <row r="8018" spans="3:30">
      <c r="C8018" s="9"/>
      <c r="AD8018" s="1"/>
    </row>
    <row r="8019" spans="3:30">
      <c r="C8019" s="9"/>
      <c r="AD8019" s="1"/>
    </row>
    <row r="8020" spans="3:30">
      <c r="C8020" s="9"/>
      <c r="AD8020" s="1"/>
    </row>
    <row r="8021" spans="3:30">
      <c r="C8021" s="9"/>
      <c r="AD8021" s="1"/>
    </row>
    <row r="8022" spans="3:30">
      <c r="C8022" s="9"/>
      <c r="AD8022" s="1"/>
    </row>
    <row r="8023" spans="3:30">
      <c r="C8023" s="9"/>
      <c r="AD8023" s="1"/>
    </row>
    <row r="8024" spans="3:30">
      <c r="C8024" s="9"/>
      <c r="AD8024" s="1"/>
    </row>
    <row r="8025" spans="3:30">
      <c r="C8025" s="9"/>
      <c r="AD8025" s="1"/>
    </row>
    <row r="8026" spans="3:30">
      <c r="C8026" s="9"/>
      <c r="AD8026" s="1"/>
    </row>
    <row r="8027" spans="3:30">
      <c r="C8027" s="9"/>
      <c r="AD8027" s="1"/>
    </row>
    <row r="8028" spans="3:30">
      <c r="C8028" s="9"/>
      <c r="AD8028" s="1"/>
    </row>
    <row r="8029" spans="3:30">
      <c r="C8029" s="9"/>
      <c r="AD8029" s="1"/>
    </row>
    <row r="8030" spans="3:30">
      <c r="C8030" s="9"/>
      <c r="AD8030" s="1"/>
    </row>
    <row r="8031" spans="3:30">
      <c r="C8031" s="9"/>
      <c r="AD8031" s="1"/>
    </row>
    <row r="8032" spans="3:30">
      <c r="C8032" s="9"/>
      <c r="AD8032" s="1"/>
    </row>
    <row r="8033" spans="3:30">
      <c r="C8033" s="9"/>
      <c r="AD8033" s="1"/>
    </row>
    <row r="8034" spans="3:30">
      <c r="C8034" s="9"/>
      <c r="AD8034" s="1"/>
    </row>
    <row r="8035" spans="3:30">
      <c r="C8035" s="9"/>
      <c r="AD8035" s="1"/>
    </row>
    <row r="8036" spans="3:30">
      <c r="C8036" s="9"/>
      <c r="AD8036" s="1"/>
    </row>
    <row r="8037" spans="3:30">
      <c r="C8037" s="9"/>
      <c r="AD8037" s="1"/>
    </row>
    <row r="8038" spans="3:30">
      <c r="C8038" s="9"/>
      <c r="AD8038" s="1"/>
    </row>
    <row r="8039" spans="3:30">
      <c r="C8039" s="9"/>
      <c r="AD8039" s="1"/>
    </row>
    <row r="8040" spans="3:30">
      <c r="C8040" s="9"/>
      <c r="AD8040" s="1"/>
    </row>
    <row r="8041" spans="3:30">
      <c r="C8041" s="9"/>
      <c r="AD8041" s="1"/>
    </row>
    <row r="8042" spans="3:30">
      <c r="C8042" s="9"/>
      <c r="AD8042" s="1"/>
    </row>
    <row r="8043" spans="3:30">
      <c r="C8043" s="9"/>
      <c r="AD8043" s="1"/>
    </row>
    <row r="8044" spans="3:30">
      <c r="C8044" s="9"/>
      <c r="AD8044" s="1"/>
    </row>
    <row r="8045" spans="3:30">
      <c r="C8045" s="9"/>
      <c r="AD8045" s="1"/>
    </row>
    <row r="8046" spans="3:30">
      <c r="C8046" s="9"/>
      <c r="AD8046" s="1"/>
    </row>
    <row r="8047" spans="3:30">
      <c r="C8047" s="9"/>
      <c r="AD8047" s="1"/>
    </row>
    <row r="8048" spans="3:30">
      <c r="C8048" s="9"/>
      <c r="AD8048" s="1"/>
    </row>
    <row r="8049" spans="3:30">
      <c r="C8049" s="9"/>
      <c r="AD8049" s="1"/>
    </row>
    <row r="8050" spans="3:30">
      <c r="C8050" s="9"/>
      <c r="AD8050" s="1"/>
    </row>
    <row r="8051" spans="3:30">
      <c r="C8051" s="9"/>
      <c r="AD8051" s="1"/>
    </row>
    <row r="8052" spans="3:30">
      <c r="C8052" s="9"/>
      <c r="AD8052" s="1"/>
    </row>
    <row r="8053" spans="3:30">
      <c r="C8053" s="9"/>
      <c r="AD8053" s="1"/>
    </row>
    <row r="8054" spans="3:30">
      <c r="C8054" s="9"/>
      <c r="AD8054" s="1"/>
    </row>
    <row r="8055" spans="3:30">
      <c r="C8055" s="9"/>
      <c r="AD8055" s="1"/>
    </row>
    <row r="8056" spans="3:30">
      <c r="C8056" s="9"/>
      <c r="AD8056" s="1"/>
    </row>
    <row r="8057" spans="3:30">
      <c r="C8057" s="9"/>
      <c r="AD8057" s="1"/>
    </row>
    <row r="8058" spans="3:30">
      <c r="C8058" s="9"/>
      <c r="AD8058" s="1"/>
    </row>
    <row r="8059" spans="3:30">
      <c r="C8059" s="9"/>
      <c r="AD8059" s="1"/>
    </row>
    <row r="8060" spans="3:30">
      <c r="C8060" s="9"/>
      <c r="AD8060" s="1"/>
    </row>
    <row r="8061" spans="3:30">
      <c r="C8061" s="9"/>
      <c r="AD8061" s="1"/>
    </row>
    <row r="8062" spans="3:30">
      <c r="C8062" s="9"/>
      <c r="AD8062" s="1"/>
    </row>
    <row r="8063" spans="3:30">
      <c r="C8063" s="9"/>
      <c r="AD8063" s="1"/>
    </row>
    <row r="8064" spans="3:30">
      <c r="C8064" s="9"/>
      <c r="AD8064" s="1"/>
    </row>
    <row r="8065" spans="3:30">
      <c r="C8065" s="9"/>
      <c r="AD8065" s="1"/>
    </row>
    <row r="8066" spans="3:30">
      <c r="C8066" s="9"/>
      <c r="AD8066" s="1"/>
    </row>
    <row r="8067" spans="3:30">
      <c r="C8067" s="9"/>
      <c r="AD8067" s="1"/>
    </row>
    <row r="8068" spans="3:30">
      <c r="C8068" s="9"/>
      <c r="AD8068" s="1"/>
    </row>
    <row r="8069" spans="3:30">
      <c r="C8069" s="9"/>
      <c r="AD8069" s="1"/>
    </row>
    <row r="8070" spans="3:30">
      <c r="C8070" s="9"/>
      <c r="AD8070" s="1"/>
    </row>
    <row r="8071" spans="3:30">
      <c r="C8071" s="9"/>
      <c r="AD8071" s="1"/>
    </row>
    <row r="8072" spans="3:30">
      <c r="C8072" s="9"/>
      <c r="AD8072" s="1"/>
    </row>
    <row r="8073" spans="3:30">
      <c r="C8073" s="9"/>
      <c r="AD8073" s="1"/>
    </row>
    <row r="8074" spans="3:30">
      <c r="C8074" s="9"/>
      <c r="AD8074" s="1"/>
    </row>
    <row r="8075" spans="3:30">
      <c r="C8075" s="9"/>
      <c r="AD8075" s="1"/>
    </row>
    <row r="8076" spans="3:30">
      <c r="C8076" s="9"/>
      <c r="AD8076" s="1"/>
    </row>
    <row r="8077" spans="3:30">
      <c r="C8077" s="9"/>
      <c r="AD8077" s="1"/>
    </row>
    <row r="8078" spans="3:30">
      <c r="C8078" s="9"/>
      <c r="AD8078" s="1"/>
    </row>
    <row r="8079" spans="3:30">
      <c r="C8079" s="9"/>
      <c r="AD8079" s="1"/>
    </row>
    <row r="8080" spans="3:30">
      <c r="C8080" s="9"/>
      <c r="AD8080" s="1"/>
    </row>
    <row r="8081" spans="3:30">
      <c r="C8081" s="9"/>
      <c r="AD8081" s="1"/>
    </row>
    <row r="8082" spans="3:30">
      <c r="C8082" s="9"/>
      <c r="AD8082" s="1"/>
    </row>
    <row r="8083" spans="3:30">
      <c r="C8083" s="9"/>
      <c r="AD8083" s="1"/>
    </row>
    <row r="8084" spans="3:30">
      <c r="C8084" s="9"/>
      <c r="AD8084" s="1"/>
    </row>
    <row r="8085" spans="3:30">
      <c r="C8085" s="9"/>
      <c r="AD8085" s="1"/>
    </row>
    <row r="8086" spans="3:30">
      <c r="C8086" s="9"/>
      <c r="AD8086" s="1"/>
    </row>
    <row r="8087" spans="3:30">
      <c r="C8087" s="9"/>
      <c r="AD8087" s="1"/>
    </row>
    <row r="8088" spans="3:30">
      <c r="C8088" s="9"/>
      <c r="AD8088" s="1"/>
    </row>
    <row r="8089" spans="3:30">
      <c r="C8089" s="9"/>
      <c r="AD8089" s="1"/>
    </row>
    <row r="8090" spans="3:30">
      <c r="C8090" s="9"/>
      <c r="AD8090" s="1"/>
    </row>
    <row r="8091" spans="3:30">
      <c r="C8091" s="9"/>
      <c r="AD8091" s="1"/>
    </row>
    <row r="8092" spans="3:30">
      <c r="C8092" s="9"/>
      <c r="AD8092" s="1"/>
    </row>
    <row r="8093" spans="3:30">
      <c r="C8093" s="9"/>
      <c r="AD8093" s="1"/>
    </row>
    <row r="8094" spans="3:30">
      <c r="C8094" s="9"/>
      <c r="AD8094" s="1"/>
    </row>
    <row r="8095" spans="3:30">
      <c r="C8095" s="9"/>
      <c r="AD8095" s="1"/>
    </row>
    <row r="8096" spans="3:30">
      <c r="C8096" s="9"/>
      <c r="AD8096" s="1"/>
    </row>
    <row r="8097" spans="3:30">
      <c r="C8097" s="9"/>
      <c r="AD8097" s="1"/>
    </row>
    <row r="8098" spans="3:30">
      <c r="C8098" s="9"/>
      <c r="AD8098" s="1"/>
    </row>
    <row r="8099" spans="3:30">
      <c r="C8099" s="9"/>
      <c r="AD8099" s="1"/>
    </row>
    <row r="8100" spans="3:30">
      <c r="C8100" s="9"/>
      <c r="AD8100" s="1"/>
    </row>
    <row r="8101" spans="3:30">
      <c r="C8101" s="9"/>
      <c r="AD8101" s="1"/>
    </row>
    <row r="8102" spans="3:30">
      <c r="C8102" s="9"/>
      <c r="AD8102" s="1"/>
    </row>
    <row r="8103" spans="3:30">
      <c r="C8103" s="9"/>
      <c r="AD8103" s="1"/>
    </row>
    <row r="8104" spans="3:30">
      <c r="C8104" s="9"/>
      <c r="AD8104" s="1"/>
    </row>
    <row r="8105" spans="3:30">
      <c r="C8105" s="9"/>
      <c r="AD8105" s="1"/>
    </row>
    <row r="8106" spans="3:30">
      <c r="C8106" s="9"/>
      <c r="AD8106" s="1"/>
    </row>
    <row r="8107" spans="3:30">
      <c r="C8107" s="9"/>
      <c r="AD8107" s="1"/>
    </row>
    <row r="8108" spans="3:30">
      <c r="C8108" s="9"/>
      <c r="AD8108" s="1"/>
    </row>
    <row r="8109" spans="3:30">
      <c r="C8109" s="9"/>
      <c r="AD8109" s="1"/>
    </row>
    <row r="8110" spans="3:30">
      <c r="C8110" s="9"/>
      <c r="AD8110" s="1"/>
    </row>
    <row r="8111" spans="3:30">
      <c r="C8111" s="9"/>
      <c r="AD8111" s="1"/>
    </row>
    <row r="8112" spans="3:30">
      <c r="C8112" s="9"/>
      <c r="AD8112" s="1"/>
    </row>
    <row r="8113" spans="3:30">
      <c r="C8113" s="9"/>
      <c r="AD8113" s="1"/>
    </row>
    <row r="8114" spans="3:30">
      <c r="C8114" s="9"/>
      <c r="AD8114" s="1"/>
    </row>
    <row r="8115" spans="3:30">
      <c r="C8115" s="9"/>
      <c r="AD8115" s="1"/>
    </row>
    <row r="8116" spans="3:30">
      <c r="C8116" s="9"/>
      <c r="AD8116" s="1"/>
    </row>
    <row r="8117" spans="3:30">
      <c r="C8117" s="9"/>
      <c r="AD8117" s="1"/>
    </row>
    <row r="8118" spans="3:30">
      <c r="C8118" s="9"/>
      <c r="AD8118" s="1"/>
    </row>
    <row r="8119" spans="3:30">
      <c r="C8119" s="9"/>
      <c r="AD8119" s="1"/>
    </row>
    <row r="8120" spans="3:30">
      <c r="C8120" s="9"/>
      <c r="AD8120" s="1"/>
    </row>
    <row r="8121" spans="3:30">
      <c r="C8121" s="9"/>
      <c r="AD8121" s="1"/>
    </row>
    <row r="8122" spans="3:30">
      <c r="C8122" s="9"/>
      <c r="AD8122" s="1"/>
    </row>
    <row r="8123" spans="3:30">
      <c r="C8123" s="9"/>
      <c r="AD8123" s="1"/>
    </row>
    <row r="8124" spans="3:30">
      <c r="C8124" s="9"/>
      <c r="AD8124" s="1"/>
    </row>
    <row r="8125" spans="3:30">
      <c r="C8125" s="9"/>
      <c r="AD8125" s="1"/>
    </row>
    <row r="8126" spans="3:30">
      <c r="C8126" s="9"/>
      <c r="AD8126" s="1"/>
    </row>
    <row r="8127" spans="3:30">
      <c r="C8127" s="9"/>
      <c r="AD8127" s="1"/>
    </row>
    <row r="8128" spans="3:30">
      <c r="C8128" s="9"/>
      <c r="AD8128" s="1"/>
    </row>
    <row r="8129" spans="3:30">
      <c r="C8129" s="9"/>
      <c r="AD8129" s="1"/>
    </row>
    <row r="8130" spans="3:30">
      <c r="C8130" s="9"/>
      <c r="AD8130" s="1"/>
    </row>
    <row r="8131" spans="3:30">
      <c r="C8131" s="9"/>
      <c r="AD8131" s="1"/>
    </row>
    <row r="8132" spans="3:30">
      <c r="C8132" s="9"/>
      <c r="AD8132" s="1"/>
    </row>
    <row r="8133" spans="3:30">
      <c r="C8133" s="9"/>
      <c r="AD8133" s="1"/>
    </row>
    <row r="8134" spans="3:30">
      <c r="C8134" s="9"/>
      <c r="AD8134" s="1"/>
    </row>
    <row r="8135" spans="3:30">
      <c r="C8135" s="9"/>
      <c r="AD8135" s="1"/>
    </row>
    <row r="8136" spans="3:30">
      <c r="C8136" s="9"/>
      <c r="AD8136" s="1"/>
    </row>
    <row r="8137" spans="3:30">
      <c r="C8137" s="9"/>
      <c r="AD8137" s="1"/>
    </row>
    <row r="8138" spans="3:30">
      <c r="C8138" s="9"/>
      <c r="AD8138" s="1"/>
    </row>
    <row r="8139" spans="3:30">
      <c r="C8139" s="9"/>
      <c r="AD8139" s="1"/>
    </row>
    <row r="8140" spans="3:30">
      <c r="C8140" s="9"/>
      <c r="AD8140" s="1"/>
    </row>
    <row r="8141" spans="3:30">
      <c r="C8141" s="9"/>
      <c r="AD8141" s="1"/>
    </row>
    <row r="8142" spans="3:30">
      <c r="C8142" s="9"/>
      <c r="AD8142" s="1"/>
    </row>
    <row r="8143" spans="3:30">
      <c r="C8143" s="9"/>
      <c r="AD8143" s="1"/>
    </row>
    <row r="8144" spans="3:30">
      <c r="C8144" s="9"/>
      <c r="AD8144" s="1"/>
    </row>
    <row r="8145" spans="3:30">
      <c r="C8145" s="9"/>
      <c r="AD8145" s="1"/>
    </row>
    <row r="8146" spans="3:30">
      <c r="C8146" s="9"/>
      <c r="AD8146" s="1"/>
    </row>
    <row r="8147" spans="3:30">
      <c r="C8147" s="9"/>
      <c r="AD8147" s="1"/>
    </row>
    <row r="8148" spans="3:30">
      <c r="C8148" s="9"/>
      <c r="AD8148" s="1"/>
    </row>
    <row r="8149" spans="3:30">
      <c r="C8149" s="9"/>
      <c r="AD8149" s="1"/>
    </row>
    <row r="8150" spans="3:30">
      <c r="C8150" s="9"/>
      <c r="AD8150" s="1"/>
    </row>
    <row r="8151" spans="3:30">
      <c r="C8151" s="9"/>
      <c r="AD8151" s="1"/>
    </row>
    <row r="8152" spans="3:30">
      <c r="C8152" s="9"/>
      <c r="AD8152" s="1"/>
    </row>
    <row r="8153" spans="3:30">
      <c r="C8153" s="9"/>
      <c r="AD8153" s="1"/>
    </row>
    <row r="8154" spans="3:30">
      <c r="C8154" s="9"/>
      <c r="AD8154" s="1"/>
    </row>
    <row r="8155" spans="3:30">
      <c r="C8155" s="9"/>
      <c r="AD8155" s="1"/>
    </row>
    <row r="8156" spans="3:30">
      <c r="C8156" s="9"/>
      <c r="AD8156" s="1"/>
    </row>
    <row r="8157" spans="3:30">
      <c r="C8157" s="9"/>
      <c r="AD8157" s="1"/>
    </row>
    <row r="8158" spans="3:30">
      <c r="C8158" s="9"/>
      <c r="AD8158" s="1"/>
    </row>
    <row r="8159" spans="3:30">
      <c r="C8159" s="9"/>
      <c r="AD8159" s="1"/>
    </row>
    <row r="8160" spans="3:30">
      <c r="C8160" s="9"/>
      <c r="AD8160" s="1"/>
    </row>
    <row r="8161" spans="3:30">
      <c r="C8161" s="9"/>
      <c r="AD8161" s="1"/>
    </row>
    <row r="8162" spans="3:30">
      <c r="C8162" s="9"/>
      <c r="AD8162" s="1"/>
    </row>
    <row r="8163" spans="3:30">
      <c r="C8163" s="9"/>
      <c r="AD8163" s="1"/>
    </row>
    <row r="8164" spans="3:30">
      <c r="C8164" s="9"/>
      <c r="AD8164" s="1"/>
    </row>
    <row r="8165" spans="3:30">
      <c r="C8165" s="9"/>
      <c r="AD8165" s="1"/>
    </row>
    <row r="8166" spans="3:30">
      <c r="C8166" s="9"/>
      <c r="AD8166" s="1"/>
    </row>
    <row r="8167" spans="3:30">
      <c r="C8167" s="9"/>
      <c r="AD8167" s="1"/>
    </row>
    <row r="8168" spans="3:30">
      <c r="C8168" s="9"/>
      <c r="AD8168" s="1"/>
    </row>
    <row r="8169" spans="3:30">
      <c r="C8169" s="9"/>
      <c r="AD8169" s="1"/>
    </row>
    <row r="8170" spans="3:30">
      <c r="C8170" s="9"/>
      <c r="AD8170" s="1"/>
    </row>
    <row r="8171" spans="3:30">
      <c r="C8171" s="9"/>
      <c r="AD8171" s="1"/>
    </row>
    <row r="8172" spans="3:30">
      <c r="C8172" s="9"/>
      <c r="AD8172" s="1"/>
    </row>
    <row r="8173" spans="3:30">
      <c r="C8173" s="9"/>
      <c r="AD8173" s="1"/>
    </row>
    <row r="8174" spans="3:30">
      <c r="C8174" s="9"/>
      <c r="AD8174" s="1"/>
    </row>
    <row r="8175" spans="3:30">
      <c r="C8175" s="9"/>
      <c r="AD8175" s="1"/>
    </row>
    <row r="8176" spans="3:30">
      <c r="C8176" s="9"/>
      <c r="AD8176" s="1"/>
    </row>
    <row r="8177" spans="3:30">
      <c r="C8177" s="9"/>
      <c r="AD8177" s="1"/>
    </row>
    <row r="8178" spans="3:30">
      <c r="C8178" s="9"/>
      <c r="AD8178" s="1"/>
    </row>
    <row r="8179" spans="3:30">
      <c r="C8179" s="9"/>
      <c r="AD8179" s="1"/>
    </row>
    <row r="8180" spans="3:30">
      <c r="C8180" s="9"/>
      <c r="AD8180" s="1"/>
    </row>
    <row r="8181" spans="3:30">
      <c r="C8181" s="9"/>
      <c r="AD8181" s="1"/>
    </row>
    <row r="8182" spans="3:30">
      <c r="C8182" s="9"/>
      <c r="AD8182" s="1"/>
    </row>
    <row r="8183" spans="3:30">
      <c r="C8183" s="9"/>
      <c r="AD8183" s="1"/>
    </row>
    <row r="8184" spans="3:30">
      <c r="C8184" s="9"/>
      <c r="AD8184" s="1"/>
    </row>
    <row r="8185" spans="3:30">
      <c r="C8185" s="9"/>
      <c r="AD8185" s="1"/>
    </row>
    <row r="8186" spans="3:30">
      <c r="C8186" s="9"/>
      <c r="AD8186" s="1"/>
    </row>
    <row r="8187" spans="3:30">
      <c r="C8187" s="9"/>
      <c r="AD8187" s="1"/>
    </row>
    <row r="8188" spans="3:30">
      <c r="C8188" s="9"/>
      <c r="AD8188" s="1"/>
    </row>
    <row r="8189" spans="3:30">
      <c r="C8189" s="9"/>
      <c r="AD8189" s="1"/>
    </row>
    <row r="8190" spans="3:30">
      <c r="C8190" s="9"/>
      <c r="AD8190" s="1"/>
    </row>
    <row r="8191" spans="3:30">
      <c r="C8191" s="9"/>
      <c r="AD8191" s="1"/>
    </row>
    <row r="8192" spans="3:30">
      <c r="C8192" s="9"/>
      <c r="AD8192" s="1"/>
    </row>
    <row r="8193" spans="3:30">
      <c r="C8193" s="9"/>
      <c r="AD8193" s="1"/>
    </row>
    <row r="8194" spans="3:30">
      <c r="C8194" s="9"/>
      <c r="AD8194" s="1"/>
    </row>
    <row r="8195" spans="3:30">
      <c r="C8195" s="9"/>
      <c r="AD8195" s="1"/>
    </row>
    <row r="8196" spans="3:30">
      <c r="C8196" s="9"/>
      <c r="AD8196" s="1"/>
    </row>
    <row r="8197" spans="3:30">
      <c r="C8197" s="9"/>
      <c r="AD8197" s="1"/>
    </row>
    <row r="8198" spans="3:30">
      <c r="C8198" s="9"/>
      <c r="AD8198" s="1"/>
    </row>
    <row r="8199" spans="3:30">
      <c r="C8199" s="9"/>
      <c r="AD8199" s="1"/>
    </row>
    <row r="8200" spans="3:30">
      <c r="C8200" s="9"/>
      <c r="AD8200" s="1"/>
    </row>
    <row r="8201" spans="3:30">
      <c r="C8201" s="9"/>
      <c r="AD8201" s="1"/>
    </row>
    <row r="8202" spans="3:30">
      <c r="C8202" s="9"/>
      <c r="AD8202" s="1"/>
    </row>
    <row r="8203" spans="3:30">
      <c r="C8203" s="9"/>
      <c r="AD8203" s="1"/>
    </row>
    <row r="8204" spans="3:30">
      <c r="C8204" s="9"/>
      <c r="AD8204" s="1"/>
    </row>
    <row r="8205" spans="3:30">
      <c r="C8205" s="9"/>
      <c r="AD8205" s="1"/>
    </row>
    <row r="8206" spans="3:30">
      <c r="C8206" s="9"/>
      <c r="AD8206" s="1"/>
    </row>
    <row r="8207" spans="3:30">
      <c r="C8207" s="9"/>
      <c r="AD8207" s="1"/>
    </row>
    <row r="8208" spans="3:30">
      <c r="C8208" s="9"/>
      <c r="AD8208" s="1"/>
    </row>
    <row r="8209" spans="3:30">
      <c r="C8209" s="9"/>
      <c r="AD8209" s="1"/>
    </row>
    <row r="8210" spans="3:30">
      <c r="C8210" s="9"/>
      <c r="AD8210" s="1"/>
    </row>
    <row r="8211" spans="3:30">
      <c r="C8211" s="9"/>
      <c r="AD8211" s="1"/>
    </row>
    <row r="8212" spans="3:30">
      <c r="C8212" s="9"/>
      <c r="AD8212" s="1"/>
    </row>
    <row r="8213" spans="3:30">
      <c r="C8213" s="9"/>
      <c r="AD8213" s="1"/>
    </row>
    <row r="8214" spans="3:30">
      <c r="C8214" s="9"/>
      <c r="AD8214" s="1"/>
    </row>
    <row r="8215" spans="3:30">
      <c r="C8215" s="9"/>
      <c r="AD8215" s="1"/>
    </row>
    <row r="8216" spans="3:30">
      <c r="C8216" s="9"/>
      <c r="AD8216" s="1"/>
    </row>
    <row r="8217" spans="3:30">
      <c r="C8217" s="9"/>
      <c r="AD8217" s="1"/>
    </row>
    <row r="8218" spans="3:30">
      <c r="C8218" s="9"/>
      <c r="AD8218" s="1"/>
    </row>
    <row r="8219" spans="3:30">
      <c r="C8219" s="9"/>
      <c r="AD8219" s="1"/>
    </row>
    <row r="8220" spans="3:30">
      <c r="C8220" s="9"/>
      <c r="AD8220" s="1"/>
    </row>
    <row r="8221" spans="3:30">
      <c r="C8221" s="9"/>
      <c r="AD8221" s="1"/>
    </row>
    <row r="8222" spans="3:30">
      <c r="C8222" s="9"/>
      <c r="AD8222" s="1"/>
    </row>
    <row r="8223" spans="3:30">
      <c r="C8223" s="9"/>
      <c r="AD8223" s="1"/>
    </row>
    <row r="8224" spans="3:30">
      <c r="C8224" s="9"/>
      <c r="AD8224" s="1"/>
    </row>
    <row r="8225" spans="3:30">
      <c r="C8225" s="9"/>
      <c r="AD8225" s="1"/>
    </row>
    <row r="8226" spans="3:30">
      <c r="C8226" s="9"/>
      <c r="AD8226" s="1"/>
    </row>
    <row r="8227" spans="3:30">
      <c r="C8227" s="9"/>
      <c r="AD8227" s="1"/>
    </row>
    <row r="8228" spans="3:30">
      <c r="C8228" s="9"/>
      <c r="AD8228" s="1"/>
    </row>
    <row r="8229" spans="3:30">
      <c r="C8229" s="9"/>
      <c r="AD8229" s="1"/>
    </row>
    <row r="8230" spans="3:30">
      <c r="C8230" s="9"/>
      <c r="AD8230" s="1"/>
    </row>
    <row r="8231" spans="3:30">
      <c r="C8231" s="9"/>
      <c r="AD8231" s="1"/>
    </row>
    <row r="8232" spans="3:30">
      <c r="C8232" s="9"/>
      <c r="AD8232" s="1"/>
    </row>
    <row r="8233" spans="3:30">
      <c r="C8233" s="9"/>
      <c r="AD8233" s="1"/>
    </row>
    <row r="8234" spans="3:30">
      <c r="C8234" s="9"/>
      <c r="AD8234" s="1"/>
    </row>
    <row r="8235" spans="3:30">
      <c r="C8235" s="9"/>
      <c r="AD8235" s="1"/>
    </row>
    <row r="8236" spans="3:30">
      <c r="C8236" s="9"/>
      <c r="AD8236" s="1"/>
    </row>
    <row r="8237" spans="3:30">
      <c r="C8237" s="9"/>
      <c r="AD8237" s="1"/>
    </row>
    <row r="8238" spans="3:30">
      <c r="C8238" s="9"/>
      <c r="AD8238" s="1"/>
    </row>
    <row r="8239" spans="3:30">
      <c r="C8239" s="9"/>
      <c r="AD8239" s="1"/>
    </row>
    <row r="8240" spans="3:30">
      <c r="C8240" s="9"/>
      <c r="AD8240" s="1"/>
    </row>
    <row r="8241" spans="3:30">
      <c r="C8241" s="9"/>
      <c r="AD8241" s="1"/>
    </row>
    <row r="8242" spans="3:30">
      <c r="C8242" s="9"/>
      <c r="AD8242" s="1"/>
    </row>
    <row r="8243" spans="3:30">
      <c r="C8243" s="9"/>
      <c r="AD8243" s="1"/>
    </row>
    <row r="8244" spans="3:30">
      <c r="C8244" s="9"/>
      <c r="AD8244" s="1"/>
    </row>
    <row r="8245" spans="3:30">
      <c r="C8245" s="9"/>
      <c r="AD8245" s="1"/>
    </row>
    <row r="8246" spans="3:30">
      <c r="C8246" s="9"/>
      <c r="AD8246" s="1"/>
    </row>
    <row r="8247" spans="3:30">
      <c r="C8247" s="9"/>
      <c r="AD8247" s="1"/>
    </row>
    <row r="8248" spans="3:30">
      <c r="C8248" s="9"/>
      <c r="AD8248" s="1"/>
    </row>
    <row r="8249" spans="3:30">
      <c r="C8249" s="9"/>
      <c r="AD8249" s="1"/>
    </row>
    <row r="8250" spans="3:30">
      <c r="C8250" s="9"/>
      <c r="AD8250" s="1"/>
    </row>
    <row r="8251" spans="3:30">
      <c r="C8251" s="9"/>
      <c r="AD8251" s="1"/>
    </row>
    <row r="8252" spans="3:30">
      <c r="C8252" s="9"/>
      <c r="AD8252" s="1"/>
    </row>
    <row r="8253" spans="3:30">
      <c r="C8253" s="9"/>
      <c r="AD8253" s="1"/>
    </row>
    <row r="8254" spans="3:30">
      <c r="C8254" s="9"/>
      <c r="AD8254" s="1"/>
    </row>
    <row r="8255" spans="3:30">
      <c r="C8255" s="9"/>
      <c r="AD8255" s="1"/>
    </row>
    <row r="8256" spans="3:30">
      <c r="C8256" s="9"/>
      <c r="AD8256" s="1"/>
    </row>
    <row r="8257" spans="3:30">
      <c r="C8257" s="9"/>
      <c r="AD8257" s="1"/>
    </row>
    <row r="8258" spans="3:30">
      <c r="C8258" s="9"/>
      <c r="AD8258" s="1"/>
    </row>
    <row r="8259" spans="3:30">
      <c r="C8259" s="9"/>
      <c r="AD8259" s="1"/>
    </row>
    <row r="8260" spans="3:30">
      <c r="C8260" s="9"/>
      <c r="AD8260" s="1"/>
    </row>
    <row r="8261" spans="3:30">
      <c r="C8261" s="9"/>
      <c r="AD8261" s="1"/>
    </row>
    <row r="8262" spans="3:30">
      <c r="C8262" s="9"/>
      <c r="AD8262" s="1"/>
    </row>
    <row r="8263" spans="3:30">
      <c r="C8263" s="9"/>
      <c r="AD8263" s="1"/>
    </row>
    <row r="8264" spans="3:30">
      <c r="C8264" s="9"/>
      <c r="AD8264" s="1"/>
    </row>
    <row r="8265" spans="3:30">
      <c r="C8265" s="9"/>
      <c r="AD8265" s="1"/>
    </row>
    <row r="8266" spans="3:30">
      <c r="C8266" s="9"/>
      <c r="AD8266" s="1"/>
    </row>
    <row r="8267" spans="3:30">
      <c r="C8267" s="9"/>
      <c r="AD8267" s="1"/>
    </row>
    <row r="8268" spans="3:30">
      <c r="C8268" s="9"/>
      <c r="AD8268" s="1"/>
    </row>
    <row r="8269" spans="3:30">
      <c r="C8269" s="9"/>
      <c r="AD8269" s="1"/>
    </row>
    <row r="8270" spans="3:30">
      <c r="C8270" s="9"/>
      <c r="AD8270" s="1"/>
    </row>
    <row r="8271" spans="3:30">
      <c r="C8271" s="9"/>
      <c r="AD8271" s="1"/>
    </row>
    <row r="8272" spans="3:30">
      <c r="C8272" s="9"/>
      <c r="AD8272" s="1"/>
    </row>
    <row r="8273" spans="3:30">
      <c r="C8273" s="9"/>
      <c r="AD8273" s="1"/>
    </row>
    <row r="8274" spans="3:30">
      <c r="C8274" s="9"/>
      <c r="AD8274" s="1"/>
    </row>
    <row r="8275" spans="3:30">
      <c r="C8275" s="9"/>
      <c r="AD8275" s="1"/>
    </row>
    <row r="8276" spans="3:30">
      <c r="C8276" s="9"/>
      <c r="AD8276" s="1"/>
    </row>
    <row r="8277" spans="3:30">
      <c r="C8277" s="9"/>
      <c r="AD8277" s="1"/>
    </row>
    <row r="8278" spans="3:30">
      <c r="C8278" s="9"/>
      <c r="AD8278" s="1"/>
    </row>
    <row r="8279" spans="3:30">
      <c r="C8279" s="9"/>
      <c r="AD8279" s="1"/>
    </row>
    <row r="8280" spans="3:30">
      <c r="C8280" s="9"/>
      <c r="AD8280" s="1"/>
    </row>
    <row r="8281" spans="3:30">
      <c r="C8281" s="9"/>
      <c r="AD8281" s="1"/>
    </row>
    <row r="8282" spans="3:30">
      <c r="C8282" s="9"/>
      <c r="AD8282" s="1"/>
    </row>
    <row r="8283" spans="3:30">
      <c r="C8283" s="9"/>
      <c r="AD8283" s="1"/>
    </row>
    <row r="8284" spans="3:30">
      <c r="C8284" s="9"/>
      <c r="AD8284" s="1"/>
    </row>
    <row r="8285" spans="3:30">
      <c r="C8285" s="9"/>
      <c r="AD8285" s="1"/>
    </row>
    <row r="8286" spans="3:30">
      <c r="C8286" s="9"/>
      <c r="AD8286" s="1"/>
    </row>
    <row r="8287" spans="3:30">
      <c r="C8287" s="9"/>
      <c r="AD8287" s="1"/>
    </row>
    <row r="8288" spans="3:30">
      <c r="C8288" s="9"/>
      <c r="AD8288" s="1"/>
    </row>
    <row r="8289" spans="3:30">
      <c r="C8289" s="9"/>
      <c r="AD8289" s="1"/>
    </row>
    <row r="8290" spans="3:30">
      <c r="C8290" s="9"/>
      <c r="AD8290" s="1"/>
    </row>
    <row r="8291" spans="3:30">
      <c r="C8291" s="9"/>
      <c r="AD8291" s="1"/>
    </row>
    <row r="8292" spans="3:30">
      <c r="C8292" s="9"/>
      <c r="AD8292" s="1"/>
    </row>
    <row r="8293" spans="3:30">
      <c r="C8293" s="9"/>
      <c r="AD8293" s="1"/>
    </row>
    <row r="8294" spans="3:30">
      <c r="C8294" s="9"/>
      <c r="AD8294" s="1"/>
    </row>
    <row r="8295" spans="3:30">
      <c r="C8295" s="9"/>
      <c r="AD8295" s="1"/>
    </row>
    <row r="8296" spans="3:30">
      <c r="C8296" s="9"/>
      <c r="AD8296" s="1"/>
    </row>
    <row r="8297" spans="3:30">
      <c r="C8297" s="9"/>
      <c r="AD8297" s="1"/>
    </row>
    <row r="8298" spans="3:30">
      <c r="C8298" s="9"/>
      <c r="AD8298" s="1"/>
    </row>
    <row r="8299" spans="3:30">
      <c r="C8299" s="9"/>
      <c r="AD8299" s="1"/>
    </row>
    <row r="8300" spans="3:30">
      <c r="C8300" s="9"/>
      <c r="AD8300" s="1"/>
    </row>
    <row r="8301" spans="3:30">
      <c r="C8301" s="9"/>
      <c r="AD8301" s="1"/>
    </row>
    <row r="8302" spans="3:30">
      <c r="C8302" s="9"/>
      <c r="AD8302" s="1"/>
    </row>
    <row r="8303" spans="3:30">
      <c r="C8303" s="9"/>
      <c r="AD8303" s="1"/>
    </row>
    <row r="8304" spans="3:30">
      <c r="C8304" s="9"/>
      <c r="AD8304" s="1"/>
    </row>
    <row r="8305" spans="3:30">
      <c r="C8305" s="9"/>
      <c r="AD8305" s="1"/>
    </row>
    <row r="8306" spans="3:30">
      <c r="C8306" s="9"/>
      <c r="AD8306" s="1"/>
    </row>
    <row r="8307" spans="3:30">
      <c r="C8307" s="9"/>
      <c r="AD8307" s="1"/>
    </row>
    <row r="8308" spans="3:30">
      <c r="C8308" s="9"/>
      <c r="AD8308" s="1"/>
    </row>
    <row r="8309" spans="3:30">
      <c r="C8309" s="9"/>
      <c r="AD8309" s="1"/>
    </row>
    <row r="8310" spans="3:30">
      <c r="C8310" s="9"/>
      <c r="AD8310" s="1"/>
    </row>
    <row r="8311" spans="3:30">
      <c r="C8311" s="9"/>
      <c r="AD8311" s="1"/>
    </row>
    <row r="8312" spans="3:30">
      <c r="C8312" s="9"/>
      <c r="AD8312" s="1"/>
    </row>
    <row r="8313" spans="3:30">
      <c r="C8313" s="9"/>
      <c r="AD8313" s="1"/>
    </row>
    <row r="8314" spans="3:30">
      <c r="C8314" s="9"/>
      <c r="AD8314" s="1"/>
    </row>
    <row r="8315" spans="3:30">
      <c r="C8315" s="9"/>
      <c r="AD8315" s="1"/>
    </row>
    <row r="8316" spans="3:30">
      <c r="C8316" s="9"/>
      <c r="AD8316" s="1"/>
    </row>
    <row r="8317" spans="3:30">
      <c r="C8317" s="9"/>
      <c r="AD8317" s="1"/>
    </row>
    <row r="8318" spans="3:30">
      <c r="C8318" s="9"/>
      <c r="AD8318" s="1"/>
    </row>
    <row r="8319" spans="3:30">
      <c r="C8319" s="9"/>
      <c r="AD8319" s="1"/>
    </row>
    <row r="8320" spans="3:30">
      <c r="C8320" s="9"/>
      <c r="AD8320" s="1"/>
    </row>
    <row r="8321" spans="3:30">
      <c r="C8321" s="9"/>
      <c r="AD8321" s="1"/>
    </row>
    <row r="8322" spans="3:30">
      <c r="C8322" s="9"/>
      <c r="AD8322" s="1"/>
    </row>
    <row r="8323" spans="3:30">
      <c r="C8323" s="9"/>
      <c r="AD8323" s="1"/>
    </row>
    <row r="8324" spans="3:30">
      <c r="C8324" s="9"/>
      <c r="AD8324" s="1"/>
    </row>
    <row r="8325" spans="3:30">
      <c r="C8325" s="9"/>
      <c r="AD8325" s="1"/>
    </row>
    <row r="8326" spans="3:30">
      <c r="C8326" s="9"/>
      <c r="AD8326" s="1"/>
    </row>
    <row r="8327" spans="3:30">
      <c r="C8327" s="9"/>
      <c r="AD8327" s="1"/>
    </row>
    <row r="8328" spans="3:30">
      <c r="C8328" s="9"/>
      <c r="AD8328" s="1"/>
    </row>
    <row r="8329" spans="3:30">
      <c r="C8329" s="9"/>
      <c r="AD8329" s="1"/>
    </row>
    <row r="8330" spans="3:30">
      <c r="C8330" s="9"/>
      <c r="AD8330" s="1"/>
    </row>
    <row r="8331" spans="3:30">
      <c r="C8331" s="9"/>
      <c r="AD8331" s="1"/>
    </row>
    <row r="8332" spans="3:30">
      <c r="C8332" s="9"/>
      <c r="AD8332" s="1"/>
    </row>
    <row r="8333" spans="3:30">
      <c r="C8333" s="9"/>
      <c r="AD8333" s="1"/>
    </row>
    <row r="8334" spans="3:30">
      <c r="C8334" s="9"/>
      <c r="AD8334" s="1"/>
    </row>
    <row r="8335" spans="3:30">
      <c r="C8335" s="9"/>
      <c r="AD8335" s="1"/>
    </row>
    <row r="8336" spans="3:30">
      <c r="C8336" s="9"/>
      <c r="AD8336" s="1"/>
    </row>
    <row r="8337" spans="3:30">
      <c r="C8337" s="9"/>
      <c r="AD8337" s="1"/>
    </row>
    <row r="8338" spans="3:30">
      <c r="C8338" s="9"/>
      <c r="AD8338" s="1"/>
    </row>
    <row r="8339" spans="3:30">
      <c r="C8339" s="9"/>
      <c r="AD8339" s="1"/>
    </row>
    <row r="8340" spans="3:30">
      <c r="C8340" s="9"/>
      <c r="AD8340" s="1"/>
    </row>
    <row r="8341" spans="3:30">
      <c r="C8341" s="9"/>
      <c r="AD8341" s="1"/>
    </row>
    <row r="8342" spans="3:30">
      <c r="C8342" s="9"/>
      <c r="AD8342" s="1"/>
    </row>
    <row r="8343" spans="3:30">
      <c r="C8343" s="9"/>
      <c r="AD8343" s="1"/>
    </row>
    <row r="8344" spans="3:30">
      <c r="C8344" s="9"/>
      <c r="AD8344" s="1"/>
    </row>
    <row r="8345" spans="3:30">
      <c r="C8345" s="9"/>
      <c r="AD8345" s="1"/>
    </row>
    <row r="8346" spans="3:30">
      <c r="C8346" s="9"/>
      <c r="AD8346" s="1"/>
    </row>
    <row r="8347" spans="3:30">
      <c r="C8347" s="9"/>
      <c r="AD8347" s="1"/>
    </row>
    <row r="8348" spans="3:30">
      <c r="C8348" s="9"/>
      <c r="AD8348" s="1"/>
    </row>
    <row r="8349" spans="3:30">
      <c r="C8349" s="9"/>
      <c r="AD8349" s="1"/>
    </row>
    <row r="8350" spans="3:30">
      <c r="C8350" s="9"/>
      <c r="AD8350" s="1"/>
    </row>
    <row r="8351" spans="3:30">
      <c r="C8351" s="9"/>
      <c r="AD8351" s="1"/>
    </row>
    <row r="8352" spans="3:30">
      <c r="C8352" s="9"/>
      <c r="AD8352" s="1"/>
    </row>
    <row r="8353" spans="3:30">
      <c r="C8353" s="9"/>
      <c r="AD8353" s="1"/>
    </row>
    <row r="8354" spans="3:30">
      <c r="C8354" s="9"/>
      <c r="AD8354" s="1"/>
    </row>
    <row r="8355" spans="3:30">
      <c r="C8355" s="9"/>
      <c r="AD8355" s="1"/>
    </row>
    <row r="8356" spans="3:30">
      <c r="C8356" s="9"/>
      <c r="AD8356" s="1"/>
    </row>
    <row r="8357" spans="3:30">
      <c r="C8357" s="9"/>
      <c r="AD8357" s="1"/>
    </row>
    <row r="8358" spans="3:30">
      <c r="C8358" s="9"/>
      <c r="AD8358" s="1"/>
    </row>
    <row r="8359" spans="3:30">
      <c r="C8359" s="9"/>
      <c r="AD8359" s="1"/>
    </row>
    <row r="8360" spans="3:30">
      <c r="C8360" s="9"/>
      <c r="AD8360" s="1"/>
    </row>
    <row r="8361" spans="3:30">
      <c r="C8361" s="9"/>
      <c r="AD8361" s="1"/>
    </row>
    <row r="8362" spans="3:30">
      <c r="C8362" s="9"/>
      <c r="AD8362" s="1"/>
    </row>
    <row r="8363" spans="3:30">
      <c r="C8363" s="9"/>
      <c r="AD8363" s="1"/>
    </row>
    <row r="8364" spans="3:30">
      <c r="C8364" s="9"/>
      <c r="AD8364" s="1"/>
    </row>
    <row r="8365" spans="3:30">
      <c r="C8365" s="9"/>
      <c r="AD8365" s="1"/>
    </row>
    <row r="8366" spans="3:30">
      <c r="C8366" s="9"/>
      <c r="AD8366" s="1"/>
    </row>
    <row r="8367" spans="3:30">
      <c r="C8367" s="9"/>
      <c r="AD8367" s="1"/>
    </row>
    <row r="8368" spans="3:30">
      <c r="C8368" s="9"/>
      <c r="AD8368" s="1"/>
    </row>
    <row r="8369" spans="3:30">
      <c r="C8369" s="9"/>
      <c r="AD8369" s="1"/>
    </row>
    <row r="8370" spans="3:30">
      <c r="C8370" s="9"/>
      <c r="AD8370" s="1"/>
    </row>
    <row r="8371" spans="3:30">
      <c r="C8371" s="9"/>
      <c r="AD8371" s="1"/>
    </row>
    <row r="8372" spans="3:30">
      <c r="C8372" s="9"/>
      <c r="AD8372" s="1"/>
    </row>
    <row r="8373" spans="3:30">
      <c r="C8373" s="9"/>
      <c r="AD8373" s="1"/>
    </row>
    <row r="8374" spans="3:30">
      <c r="C8374" s="9"/>
      <c r="AD8374" s="1"/>
    </row>
    <row r="8375" spans="3:30">
      <c r="C8375" s="9"/>
      <c r="AD8375" s="1"/>
    </row>
    <row r="8376" spans="3:30">
      <c r="C8376" s="9"/>
      <c r="AD8376" s="1"/>
    </row>
    <row r="8377" spans="3:30">
      <c r="C8377" s="9"/>
      <c r="AD8377" s="1"/>
    </row>
    <row r="8378" spans="3:30">
      <c r="C8378" s="9"/>
      <c r="AD8378" s="1"/>
    </row>
    <row r="8379" spans="3:30">
      <c r="C8379" s="9"/>
      <c r="AD8379" s="1"/>
    </row>
    <row r="8380" spans="3:30">
      <c r="C8380" s="9"/>
      <c r="AD8380" s="1"/>
    </row>
    <row r="8381" spans="3:30">
      <c r="C8381" s="9"/>
      <c r="AD8381" s="1"/>
    </row>
    <row r="8382" spans="3:30">
      <c r="C8382" s="9"/>
      <c r="AD8382" s="1"/>
    </row>
    <row r="8383" spans="3:30">
      <c r="C8383" s="9"/>
      <c r="AD8383" s="1"/>
    </row>
    <row r="8384" spans="3:30">
      <c r="C8384" s="9"/>
      <c r="AD8384" s="1"/>
    </row>
    <row r="8385" spans="3:30">
      <c r="C8385" s="9"/>
      <c r="AD8385" s="1"/>
    </row>
    <row r="8386" spans="3:30">
      <c r="C8386" s="9"/>
      <c r="AD8386" s="1"/>
    </row>
    <row r="8387" spans="3:30">
      <c r="C8387" s="9"/>
      <c r="AD8387" s="1"/>
    </row>
    <row r="8388" spans="3:30">
      <c r="C8388" s="9"/>
      <c r="AD8388" s="1"/>
    </row>
    <row r="8389" spans="3:30">
      <c r="C8389" s="9"/>
      <c r="AD8389" s="1"/>
    </row>
    <row r="8390" spans="3:30">
      <c r="C8390" s="9"/>
      <c r="AD8390" s="1"/>
    </row>
    <row r="8391" spans="3:30">
      <c r="C8391" s="9"/>
      <c r="AD8391" s="1"/>
    </row>
    <row r="8392" spans="3:30">
      <c r="C8392" s="9"/>
      <c r="AD8392" s="1"/>
    </row>
    <row r="8393" spans="3:30">
      <c r="C8393" s="9"/>
      <c r="AD8393" s="1"/>
    </row>
    <row r="8394" spans="3:30">
      <c r="C8394" s="9"/>
      <c r="AD8394" s="1"/>
    </row>
    <row r="8395" spans="3:30">
      <c r="C8395" s="9"/>
      <c r="AD8395" s="1"/>
    </row>
    <row r="8396" spans="3:30">
      <c r="C8396" s="9"/>
      <c r="AD8396" s="1"/>
    </row>
    <row r="8397" spans="3:30">
      <c r="C8397" s="9"/>
      <c r="AD8397" s="1"/>
    </row>
    <row r="8398" spans="3:30">
      <c r="C8398" s="9"/>
      <c r="AD8398" s="1"/>
    </row>
    <row r="8399" spans="3:30">
      <c r="C8399" s="9"/>
      <c r="AD8399" s="1"/>
    </row>
    <row r="8400" spans="3:30">
      <c r="C8400" s="9"/>
      <c r="AD8400" s="1"/>
    </row>
    <row r="8401" spans="3:30">
      <c r="C8401" s="9"/>
      <c r="AD8401" s="1"/>
    </row>
    <row r="8402" spans="3:30">
      <c r="C8402" s="9"/>
      <c r="AD8402" s="1"/>
    </row>
    <row r="8403" spans="3:30">
      <c r="C8403" s="9"/>
      <c r="AD8403" s="1"/>
    </row>
    <row r="8404" spans="3:30">
      <c r="C8404" s="9"/>
      <c r="AD8404" s="1"/>
    </row>
    <row r="8405" spans="3:30">
      <c r="C8405" s="9"/>
      <c r="AD8405" s="1"/>
    </row>
    <row r="8406" spans="3:30">
      <c r="C8406" s="9"/>
      <c r="AD8406" s="1"/>
    </row>
    <row r="8407" spans="3:30">
      <c r="C8407" s="9"/>
      <c r="AD8407" s="1"/>
    </row>
    <row r="8408" spans="3:30">
      <c r="C8408" s="9"/>
      <c r="AD8408" s="1"/>
    </row>
    <row r="8409" spans="3:30">
      <c r="C8409" s="9"/>
      <c r="AD8409" s="1"/>
    </row>
    <row r="8410" spans="3:30">
      <c r="C8410" s="9"/>
      <c r="AD8410" s="1"/>
    </row>
    <row r="8411" spans="3:30">
      <c r="C8411" s="9"/>
      <c r="AD8411" s="1"/>
    </row>
    <row r="8412" spans="3:30">
      <c r="C8412" s="9"/>
      <c r="AD8412" s="1"/>
    </row>
    <row r="8413" spans="3:30">
      <c r="C8413" s="9"/>
      <c r="AD8413" s="1"/>
    </row>
    <row r="8414" spans="3:30">
      <c r="C8414" s="9"/>
      <c r="AD8414" s="1"/>
    </row>
    <row r="8415" spans="3:30">
      <c r="C8415" s="9"/>
      <c r="AD8415" s="1"/>
    </row>
    <row r="8416" spans="3:30">
      <c r="C8416" s="9"/>
      <c r="AD8416" s="1"/>
    </row>
    <row r="8417" spans="3:30">
      <c r="C8417" s="9"/>
      <c r="AD8417" s="1"/>
    </row>
    <row r="8418" spans="3:30">
      <c r="C8418" s="9"/>
      <c r="AD8418" s="1"/>
    </row>
    <row r="8419" spans="3:30">
      <c r="C8419" s="9"/>
      <c r="AD8419" s="1"/>
    </row>
    <row r="8420" spans="3:30">
      <c r="C8420" s="9"/>
      <c r="AD8420" s="1"/>
    </row>
    <row r="8421" spans="3:30">
      <c r="C8421" s="9"/>
      <c r="AD8421" s="1"/>
    </row>
    <row r="8422" spans="3:30">
      <c r="C8422" s="9"/>
      <c r="AD8422" s="1"/>
    </row>
    <row r="8423" spans="3:30">
      <c r="C8423" s="9"/>
      <c r="AD8423" s="1"/>
    </row>
    <row r="8424" spans="3:30">
      <c r="C8424" s="9"/>
      <c r="AD8424" s="1"/>
    </row>
    <row r="8425" spans="3:30">
      <c r="C8425" s="9"/>
      <c r="AD8425" s="1"/>
    </row>
    <row r="8426" spans="3:30">
      <c r="C8426" s="9"/>
      <c r="AD8426" s="1"/>
    </row>
    <row r="8427" spans="3:30">
      <c r="C8427" s="9"/>
      <c r="AD8427" s="1"/>
    </row>
    <row r="8428" spans="3:30">
      <c r="C8428" s="9"/>
      <c r="AD8428" s="1"/>
    </row>
    <row r="8429" spans="3:30">
      <c r="C8429" s="9"/>
      <c r="AD8429" s="1"/>
    </row>
    <row r="8430" spans="3:30">
      <c r="C8430" s="9"/>
      <c r="AD8430" s="1"/>
    </row>
    <row r="8431" spans="3:30">
      <c r="C8431" s="9"/>
      <c r="AD8431" s="1"/>
    </row>
    <row r="8432" spans="3:30">
      <c r="C8432" s="9"/>
      <c r="AD8432" s="1"/>
    </row>
    <row r="8433" spans="3:30">
      <c r="C8433" s="9"/>
      <c r="AD8433" s="1"/>
    </row>
    <row r="8434" spans="3:30">
      <c r="C8434" s="9"/>
      <c r="AD8434" s="1"/>
    </row>
    <row r="8435" spans="3:30">
      <c r="C8435" s="9"/>
      <c r="AD8435" s="1"/>
    </row>
    <row r="8436" spans="3:30">
      <c r="C8436" s="9"/>
      <c r="AD8436" s="1"/>
    </row>
    <row r="8437" spans="3:30">
      <c r="C8437" s="9"/>
      <c r="AD8437" s="1"/>
    </row>
    <row r="8438" spans="3:30">
      <c r="C8438" s="9"/>
      <c r="AD8438" s="1"/>
    </row>
    <row r="8439" spans="3:30">
      <c r="C8439" s="9"/>
      <c r="AD8439" s="1"/>
    </row>
    <row r="8440" spans="3:30">
      <c r="C8440" s="9"/>
      <c r="AD8440" s="1"/>
    </row>
    <row r="8441" spans="3:30">
      <c r="C8441" s="9"/>
      <c r="AD8441" s="1"/>
    </row>
    <row r="8442" spans="3:30">
      <c r="C8442" s="9"/>
      <c r="AD8442" s="1"/>
    </row>
    <row r="8443" spans="3:30">
      <c r="C8443" s="9"/>
      <c r="AD8443" s="1"/>
    </row>
    <row r="8444" spans="3:30">
      <c r="C8444" s="9"/>
      <c r="AD8444" s="1"/>
    </row>
    <row r="8445" spans="3:30">
      <c r="C8445" s="9"/>
      <c r="AD8445" s="1"/>
    </row>
    <row r="8446" spans="3:30">
      <c r="C8446" s="9"/>
      <c r="AD8446" s="1"/>
    </row>
    <row r="8447" spans="3:30">
      <c r="C8447" s="9"/>
      <c r="AD8447" s="1"/>
    </row>
    <row r="8448" spans="3:30">
      <c r="C8448" s="9"/>
      <c r="AD8448" s="1"/>
    </row>
    <row r="8449" spans="3:30">
      <c r="C8449" s="9"/>
      <c r="AD8449" s="1"/>
    </row>
    <row r="8450" spans="3:30">
      <c r="C8450" s="9"/>
      <c r="AD8450" s="1"/>
    </row>
    <row r="8451" spans="3:30">
      <c r="C8451" s="9"/>
      <c r="AD8451" s="1"/>
    </row>
    <row r="8452" spans="3:30">
      <c r="C8452" s="9"/>
      <c r="AD8452" s="1"/>
    </row>
    <row r="8453" spans="3:30">
      <c r="C8453" s="9"/>
      <c r="AD8453" s="1"/>
    </row>
    <row r="8454" spans="3:30">
      <c r="C8454" s="9"/>
      <c r="AD8454" s="1"/>
    </row>
    <row r="8455" spans="3:30">
      <c r="C8455" s="9"/>
      <c r="AD8455" s="1"/>
    </row>
    <row r="8456" spans="3:30">
      <c r="C8456" s="9"/>
      <c r="AD8456" s="1"/>
    </row>
    <row r="8457" spans="3:30">
      <c r="C8457" s="9"/>
      <c r="AD8457" s="1"/>
    </row>
    <row r="8458" spans="3:30">
      <c r="C8458" s="9"/>
      <c r="AD8458" s="1"/>
    </row>
    <row r="8459" spans="3:30">
      <c r="C8459" s="9"/>
      <c r="AD8459" s="1"/>
    </row>
    <row r="8460" spans="3:30">
      <c r="C8460" s="9"/>
      <c r="AD8460" s="1"/>
    </row>
    <row r="8461" spans="3:30">
      <c r="C8461" s="9"/>
      <c r="AD8461" s="1"/>
    </row>
    <row r="8462" spans="3:30">
      <c r="C8462" s="9"/>
      <c r="AD8462" s="1"/>
    </row>
    <row r="8463" spans="3:30">
      <c r="C8463" s="9"/>
      <c r="AD8463" s="1"/>
    </row>
    <row r="8464" spans="3:30">
      <c r="C8464" s="9"/>
      <c r="AD8464" s="1"/>
    </row>
    <row r="8465" spans="3:30">
      <c r="C8465" s="9"/>
      <c r="AD8465" s="1"/>
    </row>
    <row r="8466" spans="3:30">
      <c r="C8466" s="9"/>
      <c r="AD8466" s="1"/>
    </row>
    <row r="8467" spans="3:30">
      <c r="C8467" s="9"/>
      <c r="AD8467" s="1"/>
    </row>
    <row r="8468" spans="3:30">
      <c r="C8468" s="9"/>
      <c r="AD8468" s="1"/>
    </row>
    <row r="8469" spans="3:30">
      <c r="C8469" s="9"/>
      <c r="AD8469" s="1"/>
    </row>
    <row r="8470" spans="3:30">
      <c r="C8470" s="9"/>
      <c r="AD8470" s="1"/>
    </row>
    <row r="8471" spans="3:30">
      <c r="C8471" s="9"/>
      <c r="AD8471" s="1"/>
    </row>
    <row r="8472" spans="3:30">
      <c r="C8472" s="9"/>
      <c r="AD8472" s="1"/>
    </row>
    <row r="8473" spans="3:30">
      <c r="C8473" s="9"/>
      <c r="AD8473" s="1"/>
    </row>
    <row r="8474" spans="3:30">
      <c r="C8474" s="9"/>
      <c r="AD8474" s="1"/>
    </row>
    <row r="8475" spans="3:30">
      <c r="C8475" s="9"/>
      <c r="AD8475" s="1"/>
    </row>
    <row r="8476" spans="3:30">
      <c r="C8476" s="9"/>
      <c r="AD8476" s="1"/>
    </row>
    <row r="8477" spans="3:30">
      <c r="C8477" s="9"/>
      <c r="AD8477" s="1"/>
    </row>
    <row r="8478" spans="3:30">
      <c r="C8478" s="9"/>
      <c r="AD8478" s="1"/>
    </row>
    <row r="8479" spans="3:30">
      <c r="C8479" s="9"/>
      <c r="AD8479" s="1"/>
    </row>
    <row r="8480" spans="3:30">
      <c r="C8480" s="9"/>
      <c r="AD8480" s="1"/>
    </row>
    <row r="8481" spans="3:30">
      <c r="C8481" s="9"/>
      <c r="AD8481" s="1"/>
    </row>
    <row r="8482" spans="3:30">
      <c r="C8482" s="9"/>
      <c r="AD8482" s="1"/>
    </row>
    <row r="8483" spans="3:30">
      <c r="C8483" s="9"/>
      <c r="AD8483" s="1"/>
    </row>
    <row r="8484" spans="3:30">
      <c r="C8484" s="9"/>
      <c r="AD8484" s="1"/>
    </row>
    <row r="8485" spans="3:30">
      <c r="C8485" s="9"/>
      <c r="AD8485" s="1"/>
    </row>
    <row r="8486" spans="3:30">
      <c r="C8486" s="9"/>
      <c r="AD8486" s="1"/>
    </row>
    <row r="8487" spans="3:30">
      <c r="C8487" s="9"/>
      <c r="AD8487" s="1"/>
    </row>
    <row r="8488" spans="3:30">
      <c r="C8488" s="9"/>
      <c r="AD8488" s="1"/>
    </row>
    <row r="8489" spans="3:30">
      <c r="C8489" s="9"/>
      <c r="AD8489" s="1"/>
    </row>
    <row r="8490" spans="3:30">
      <c r="C8490" s="9"/>
      <c r="AD8490" s="1"/>
    </row>
    <row r="8491" spans="3:30">
      <c r="C8491" s="9"/>
      <c r="AD8491" s="1"/>
    </row>
    <row r="8492" spans="3:30">
      <c r="C8492" s="9"/>
      <c r="AD8492" s="1"/>
    </row>
    <row r="8493" spans="3:30">
      <c r="C8493" s="9"/>
      <c r="AD8493" s="1"/>
    </row>
    <row r="8494" spans="3:30">
      <c r="C8494" s="9"/>
      <c r="AD8494" s="1"/>
    </row>
    <row r="8495" spans="3:30">
      <c r="C8495" s="9"/>
      <c r="AD8495" s="1"/>
    </row>
    <row r="8496" spans="3:30">
      <c r="C8496" s="9"/>
      <c r="AD8496" s="1"/>
    </row>
    <row r="8497" spans="3:30">
      <c r="C8497" s="9"/>
      <c r="AD8497" s="1"/>
    </row>
    <row r="8498" spans="3:30">
      <c r="C8498" s="9"/>
      <c r="AD8498" s="1"/>
    </row>
    <row r="8499" spans="3:30">
      <c r="C8499" s="9"/>
      <c r="AD8499" s="1"/>
    </row>
    <row r="8500" spans="3:30">
      <c r="C8500" s="9"/>
      <c r="AD8500" s="1"/>
    </row>
    <row r="8501" spans="3:30">
      <c r="C8501" s="9"/>
      <c r="AD8501" s="1"/>
    </row>
    <row r="8502" spans="3:30">
      <c r="C8502" s="9"/>
      <c r="AD8502" s="1"/>
    </row>
    <row r="8503" spans="3:30">
      <c r="C8503" s="9"/>
      <c r="AD8503" s="1"/>
    </row>
    <row r="8504" spans="3:30">
      <c r="C8504" s="9"/>
      <c r="AD8504" s="1"/>
    </row>
    <row r="8505" spans="3:30">
      <c r="C8505" s="9"/>
      <c r="AD8505" s="1"/>
    </row>
    <row r="8506" spans="3:30">
      <c r="C8506" s="9"/>
      <c r="AD8506" s="1"/>
    </row>
    <row r="8507" spans="3:30">
      <c r="C8507" s="9"/>
      <c r="AD8507" s="1"/>
    </row>
    <row r="8508" spans="3:30">
      <c r="C8508" s="9"/>
      <c r="AD8508" s="1"/>
    </row>
    <row r="8509" spans="3:30">
      <c r="C8509" s="9"/>
      <c r="AD8509" s="1"/>
    </row>
    <row r="8510" spans="3:30">
      <c r="C8510" s="9"/>
      <c r="AD8510" s="1"/>
    </row>
    <row r="8511" spans="3:30">
      <c r="C8511" s="9"/>
      <c r="AD8511" s="1"/>
    </row>
    <row r="8512" spans="3:30">
      <c r="C8512" s="9"/>
      <c r="AD8512" s="1"/>
    </row>
    <row r="8513" spans="3:30">
      <c r="C8513" s="9"/>
      <c r="AD8513" s="1"/>
    </row>
    <row r="8514" spans="3:30">
      <c r="C8514" s="9"/>
      <c r="AD8514" s="1"/>
    </row>
    <row r="8515" spans="3:30">
      <c r="C8515" s="9"/>
      <c r="AD8515" s="1"/>
    </row>
    <row r="8516" spans="3:30">
      <c r="C8516" s="9"/>
      <c r="AD8516" s="1"/>
    </row>
    <row r="8517" spans="3:30">
      <c r="C8517" s="9"/>
      <c r="AD8517" s="1"/>
    </row>
    <row r="8518" spans="3:30">
      <c r="C8518" s="9"/>
      <c r="AD8518" s="1"/>
    </row>
    <row r="8519" spans="3:30">
      <c r="C8519" s="9"/>
      <c r="AD8519" s="1"/>
    </row>
    <row r="8520" spans="3:30">
      <c r="C8520" s="9"/>
      <c r="AD8520" s="1"/>
    </row>
    <row r="8521" spans="3:30">
      <c r="C8521" s="9"/>
      <c r="AD8521" s="1"/>
    </row>
    <row r="8522" spans="3:30">
      <c r="C8522" s="9"/>
      <c r="AD8522" s="1"/>
    </row>
    <row r="8523" spans="3:30">
      <c r="C8523" s="9"/>
      <c r="AD8523" s="1"/>
    </row>
    <row r="8524" spans="3:30">
      <c r="C8524" s="9"/>
      <c r="AD8524" s="1"/>
    </row>
    <row r="8525" spans="3:30">
      <c r="C8525" s="9"/>
      <c r="AD8525" s="1"/>
    </row>
    <row r="8526" spans="3:30">
      <c r="C8526" s="9"/>
      <c r="AD8526" s="1"/>
    </row>
    <row r="8527" spans="3:30">
      <c r="C8527" s="9"/>
      <c r="AD8527" s="1"/>
    </row>
    <row r="8528" spans="3:30">
      <c r="C8528" s="9"/>
      <c r="AD8528" s="1"/>
    </row>
    <row r="8529" spans="3:30">
      <c r="C8529" s="9"/>
      <c r="AD8529" s="1"/>
    </row>
    <row r="8530" spans="3:30">
      <c r="C8530" s="9"/>
      <c r="AD8530" s="1"/>
    </row>
    <row r="8531" spans="3:30">
      <c r="C8531" s="9"/>
      <c r="AD8531" s="1"/>
    </row>
    <row r="8532" spans="3:30">
      <c r="C8532" s="9"/>
      <c r="AD8532" s="1"/>
    </row>
    <row r="8533" spans="3:30">
      <c r="C8533" s="9"/>
      <c r="AD8533" s="1"/>
    </row>
    <row r="8534" spans="3:30">
      <c r="C8534" s="9"/>
      <c r="AD8534" s="1"/>
    </row>
    <row r="8535" spans="3:30">
      <c r="C8535" s="9"/>
      <c r="AD8535" s="1"/>
    </row>
    <row r="8536" spans="3:30">
      <c r="C8536" s="9"/>
      <c r="AD8536" s="1"/>
    </row>
    <row r="8537" spans="3:30">
      <c r="C8537" s="9"/>
      <c r="AD8537" s="1"/>
    </row>
    <row r="8538" spans="3:30">
      <c r="C8538" s="9"/>
      <c r="AD8538" s="1"/>
    </row>
    <row r="8539" spans="3:30">
      <c r="C8539" s="9"/>
      <c r="AD8539" s="1"/>
    </row>
    <row r="8540" spans="3:30">
      <c r="C8540" s="9"/>
      <c r="AD8540" s="1"/>
    </row>
    <row r="8541" spans="3:30">
      <c r="C8541" s="9"/>
      <c r="AD8541" s="1"/>
    </row>
    <row r="8542" spans="3:30">
      <c r="C8542" s="9"/>
      <c r="AD8542" s="1"/>
    </row>
    <row r="8543" spans="3:30">
      <c r="C8543" s="9"/>
      <c r="AD8543" s="1"/>
    </row>
    <row r="8544" spans="3:30">
      <c r="C8544" s="9"/>
      <c r="AD8544" s="1"/>
    </row>
    <row r="8545" spans="3:30">
      <c r="C8545" s="9"/>
      <c r="AD8545" s="1"/>
    </row>
    <row r="8546" spans="3:30">
      <c r="C8546" s="9"/>
      <c r="AD8546" s="1"/>
    </row>
    <row r="8547" spans="3:30">
      <c r="C8547" s="9"/>
      <c r="AD8547" s="1"/>
    </row>
    <row r="8548" spans="3:30">
      <c r="C8548" s="9"/>
      <c r="AD8548" s="1"/>
    </row>
    <row r="8549" spans="3:30">
      <c r="C8549" s="9"/>
      <c r="AD8549" s="1"/>
    </row>
    <row r="8550" spans="3:30">
      <c r="C8550" s="9"/>
      <c r="AD8550" s="1"/>
    </row>
    <row r="8551" spans="3:30">
      <c r="C8551" s="9"/>
      <c r="AD8551" s="1"/>
    </row>
    <row r="8552" spans="3:30">
      <c r="C8552" s="9"/>
      <c r="AD8552" s="1"/>
    </row>
    <row r="8553" spans="3:30">
      <c r="C8553" s="9"/>
      <c r="AD8553" s="1"/>
    </row>
    <row r="8554" spans="3:30">
      <c r="C8554" s="9"/>
      <c r="AD8554" s="1"/>
    </row>
    <row r="8555" spans="3:30">
      <c r="C8555" s="9"/>
      <c r="AD8555" s="1"/>
    </row>
    <row r="8556" spans="3:30">
      <c r="C8556" s="9"/>
      <c r="AD8556" s="1"/>
    </row>
    <row r="8557" spans="3:30">
      <c r="C8557" s="9"/>
      <c r="AD8557" s="1"/>
    </row>
    <row r="8558" spans="3:30">
      <c r="C8558" s="9"/>
      <c r="AD8558" s="1"/>
    </row>
    <row r="8559" spans="3:30">
      <c r="C8559" s="9"/>
      <c r="AD8559" s="1"/>
    </row>
    <row r="8560" spans="3:30">
      <c r="C8560" s="9"/>
      <c r="AD8560" s="1"/>
    </row>
    <row r="8561" spans="3:30">
      <c r="C8561" s="9"/>
      <c r="AD8561" s="1"/>
    </row>
    <row r="8562" spans="3:30">
      <c r="C8562" s="9"/>
      <c r="AD8562" s="1"/>
    </row>
    <row r="8563" spans="3:30">
      <c r="C8563" s="9"/>
      <c r="AD8563" s="1"/>
    </row>
    <row r="8564" spans="3:30">
      <c r="C8564" s="9"/>
      <c r="AD8564" s="1"/>
    </row>
    <row r="8565" spans="3:30">
      <c r="C8565" s="9"/>
      <c r="AD8565" s="1"/>
    </row>
    <row r="8566" spans="3:30">
      <c r="C8566" s="9"/>
      <c r="AD8566" s="1"/>
    </row>
    <row r="8567" spans="3:30">
      <c r="C8567" s="9"/>
      <c r="AD8567" s="1"/>
    </row>
    <row r="8568" spans="3:30">
      <c r="C8568" s="9"/>
      <c r="AD8568" s="1"/>
    </row>
    <row r="8569" spans="3:30">
      <c r="C8569" s="9"/>
      <c r="AD8569" s="1"/>
    </row>
    <row r="8570" spans="3:30">
      <c r="C8570" s="9"/>
      <c r="AD8570" s="1"/>
    </row>
    <row r="8571" spans="3:30">
      <c r="C8571" s="9"/>
      <c r="AD8571" s="1"/>
    </row>
    <row r="8572" spans="3:30">
      <c r="C8572" s="9"/>
      <c r="AD8572" s="1"/>
    </row>
    <row r="8573" spans="3:30">
      <c r="C8573" s="9"/>
      <c r="AD8573" s="1"/>
    </row>
    <row r="8574" spans="3:30">
      <c r="C8574" s="9"/>
      <c r="AD8574" s="1"/>
    </row>
    <row r="8575" spans="3:30">
      <c r="C8575" s="9"/>
      <c r="AD8575" s="1"/>
    </row>
    <row r="8576" spans="3:30">
      <c r="C8576" s="9"/>
      <c r="AD8576" s="1"/>
    </row>
    <row r="8577" spans="3:30">
      <c r="C8577" s="9"/>
      <c r="AD8577" s="1"/>
    </row>
    <row r="8578" spans="3:30">
      <c r="C8578" s="9"/>
      <c r="AD8578" s="1"/>
    </row>
    <row r="8579" spans="3:30">
      <c r="C8579" s="9"/>
      <c r="AD8579" s="1"/>
    </row>
    <row r="8580" spans="3:30">
      <c r="C8580" s="9"/>
      <c r="AD8580" s="1"/>
    </row>
    <row r="8581" spans="3:30">
      <c r="C8581" s="9"/>
      <c r="AD8581" s="1"/>
    </row>
    <row r="8582" spans="3:30">
      <c r="C8582" s="9"/>
      <c r="AD8582" s="1"/>
    </row>
    <row r="8583" spans="3:30">
      <c r="C8583" s="9"/>
      <c r="AD8583" s="1"/>
    </row>
    <row r="8584" spans="3:30">
      <c r="C8584" s="9"/>
      <c r="AD8584" s="1"/>
    </row>
    <row r="8585" spans="3:30">
      <c r="C8585" s="9"/>
      <c r="AD8585" s="1"/>
    </row>
    <row r="8586" spans="3:30">
      <c r="C8586" s="9"/>
      <c r="AD8586" s="1"/>
    </row>
    <row r="8587" spans="3:30">
      <c r="C8587" s="9"/>
      <c r="AD8587" s="1"/>
    </row>
    <row r="8588" spans="3:30">
      <c r="C8588" s="9"/>
      <c r="AD8588" s="1"/>
    </row>
    <row r="8589" spans="3:30">
      <c r="C8589" s="9"/>
      <c r="AD8589" s="1"/>
    </row>
    <row r="8590" spans="3:30">
      <c r="C8590" s="9"/>
      <c r="AD8590" s="1"/>
    </row>
    <row r="8591" spans="3:30">
      <c r="C8591" s="9"/>
      <c r="AD8591" s="1"/>
    </row>
    <row r="8592" spans="3:30">
      <c r="C8592" s="9"/>
      <c r="AD8592" s="1"/>
    </row>
    <row r="8593" spans="3:30">
      <c r="C8593" s="9"/>
      <c r="AD8593" s="1"/>
    </row>
    <row r="8594" spans="3:30">
      <c r="C8594" s="9"/>
      <c r="AD8594" s="1"/>
    </row>
    <row r="8595" spans="3:30">
      <c r="C8595" s="9"/>
      <c r="AD8595" s="1"/>
    </row>
    <row r="8596" spans="3:30">
      <c r="C8596" s="9"/>
      <c r="AD8596" s="1"/>
    </row>
    <row r="8597" spans="3:30">
      <c r="C8597" s="9"/>
      <c r="AD8597" s="1"/>
    </row>
    <row r="8598" spans="3:30">
      <c r="C8598" s="9"/>
      <c r="AD8598" s="1"/>
    </row>
    <row r="8599" spans="3:30">
      <c r="C8599" s="9"/>
      <c r="AD8599" s="1"/>
    </row>
    <row r="8600" spans="3:30">
      <c r="C8600" s="9"/>
      <c r="AD8600" s="1"/>
    </row>
    <row r="8601" spans="3:30">
      <c r="C8601" s="9"/>
      <c r="AD8601" s="1"/>
    </row>
    <row r="8602" spans="3:30">
      <c r="C8602" s="9"/>
      <c r="AD8602" s="1"/>
    </row>
    <row r="8603" spans="3:30">
      <c r="C8603" s="9"/>
      <c r="AD8603" s="1"/>
    </row>
    <row r="8604" spans="3:30">
      <c r="C8604" s="9"/>
      <c r="AD8604" s="1"/>
    </row>
    <row r="8605" spans="3:30">
      <c r="C8605" s="9"/>
      <c r="AD8605" s="1"/>
    </row>
    <row r="8606" spans="3:30">
      <c r="C8606" s="9"/>
      <c r="AD8606" s="1"/>
    </row>
    <row r="8607" spans="3:30">
      <c r="C8607" s="9"/>
      <c r="AD8607" s="1"/>
    </row>
    <row r="8608" spans="3:30">
      <c r="C8608" s="9"/>
      <c r="AD8608" s="1"/>
    </row>
    <row r="8609" spans="3:30">
      <c r="C8609" s="9"/>
      <c r="AD8609" s="1"/>
    </row>
    <row r="8610" spans="3:30">
      <c r="C8610" s="9"/>
      <c r="AD8610" s="1"/>
    </row>
    <row r="8611" spans="3:30">
      <c r="C8611" s="9"/>
      <c r="AD8611" s="1"/>
    </row>
    <row r="8612" spans="3:30">
      <c r="C8612" s="9"/>
      <c r="AD8612" s="1"/>
    </row>
    <row r="8613" spans="3:30">
      <c r="C8613" s="9"/>
      <c r="AD8613" s="1"/>
    </row>
    <row r="8614" spans="3:30">
      <c r="C8614" s="9"/>
      <c r="AD8614" s="1"/>
    </row>
    <row r="8615" spans="3:30">
      <c r="C8615" s="9"/>
      <c r="AD8615" s="1"/>
    </row>
    <row r="8616" spans="3:30">
      <c r="C8616" s="9"/>
      <c r="AD8616" s="1"/>
    </row>
    <row r="8617" spans="3:30">
      <c r="C8617" s="9"/>
      <c r="AD8617" s="1"/>
    </row>
    <row r="8618" spans="3:30">
      <c r="C8618" s="9"/>
      <c r="AD8618" s="1"/>
    </row>
    <row r="8619" spans="3:30">
      <c r="C8619" s="9"/>
      <c r="AD8619" s="1"/>
    </row>
    <row r="8620" spans="3:30">
      <c r="C8620" s="9"/>
      <c r="AD8620" s="1"/>
    </row>
    <row r="8621" spans="3:30">
      <c r="C8621" s="9"/>
      <c r="AD8621" s="1"/>
    </row>
    <row r="8622" spans="3:30">
      <c r="C8622" s="9"/>
      <c r="AD8622" s="1"/>
    </row>
    <row r="8623" spans="3:30">
      <c r="C8623" s="9"/>
      <c r="AD8623" s="1"/>
    </row>
    <row r="8624" spans="3:30">
      <c r="C8624" s="9"/>
      <c r="AD8624" s="1"/>
    </row>
    <row r="8625" spans="3:30">
      <c r="C8625" s="9"/>
      <c r="AD8625" s="1"/>
    </row>
    <row r="8626" spans="3:30">
      <c r="C8626" s="9"/>
      <c r="AD8626" s="1"/>
    </row>
    <row r="8627" spans="3:30">
      <c r="C8627" s="9"/>
      <c r="AD8627" s="1"/>
    </row>
    <row r="8628" spans="3:30">
      <c r="C8628" s="9"/>
      <c r="AD8628" s="1"/>
    </row>
    <row r="8629" spans="3:30">
      <c r="C8629" s="9"/>
      <c r="AD8629" s="1"/>
    </row>
    <row r="8630" spans="3:30">
      <c r="C8630" s="9"/>
      <c r="AD8630" s="1"/>
    </row>
    <row r="8631" spans="3:30">
      <c r="C8631" s="9"/>
      <c r="AD8631" s="1"/>
    </row>
    <row r="8632" spans="3:30">
      <c r="C8632" s="9"/>
      <c r="AD8632" s="1"/>
    </row>
    <row r="8633" spans="3:30">
      <c r="C8633" s="9"/>
      <c r="AD8633" s="1"/>
    </row>
    <row r="8634" spans="3:30">
      <c r="C8634" s="9"/>
      <c r="AD8634" s="1"/>
    </row>
    <row r="8635" spans="3:30">
      <c r="C8635" s="9"/>
      <c r="AD8635" s="1"/>
    </row>
    <row r="8636" spans="3:30">
      <c r="C8636" s="9"/>
      <c r="AD8636" s="1"/>
    </row>
    <row r="8637" spans="3:30">
      <c r="C8637" s="9"/>
      <c r="AD8637" s="1"/>
    </row>
    <row r="8638" spans="3:30">
      <c r="C8638" s="9"/>
      <c r="AD8638" s="1"/>
    </row>
    <row r="8639" spans="3:30">
      <c r="C8639" s="9"/>
      <c r="AD8639" s="1"/>
    </row>
    <row r="8640" spans="3:30">
      <c r="C8640" s="9"/>
      <c r="AD8640" s="1"/>
    </row>
    <row r="8641" spans="3:30">
      <c r="C8641" s="9"/>
      <c r="AD8641" s="1"/>
    </row>
    <row r="8642" spans="3:30">
      <c r="C8642" s="9"/>
      <c r="AD8642" s="1"/>
    </row>
    <row r="8643" spans="3:30">
      <c r="C8643" s="9"/>
      <c r="AD8643" s="1"/>
    </row>
    <row r="8644" spans="3:30">
      <c r="C8644" s="9"/>
      <c r="AD8644" s="1"/>
    </row>
    <row r="8645" spans="3:30">
      <c r="C8645" s="9"/>
      <c r="AD8645" s="1"/>
    </row>
    <row r="8646" spans="3:30">
      <c r="C8646" s="9"/>
      <c r="AD8646" s="1"/>
    </row>
    <row r="8647" spans="3:30">
      <c r="C8647" s="9"/>
      <c r="AD8647" s="1"/>
    </row>
    <row r="8648" spans="3:30">
      <c r="C8648" s="9"/>
      <c r="AD8648" s="1"/>
    </row>
    <row r="8649" spans="3:30">
      <c r="C8649" s="9"/>
      <c r="AD8649" s="1"/>
    </row>
    <row r="8650" spans="3:30">
      <c r="C8650" s="9"/>
      <c r="AD8650" s="1"/>
    </row>
    <row r="8651" spans="3:30">
      <c r="C8651" s="9"/>
      <c r="AD8651" s="1"/>
    </row>
    <row r="8652" spans="3:30">
      <c r="C8652" s="9"/>
      <c r="AD8652" s="1"/>
    </row>
    <row r="8653" spans="3:30">
      <c r="C8653" s="9"/>
      <c r="AD8653" s="1"/>
    </row>
    <row r="8654" spans="3:30">
      <c r="C8654" s="9"/>
      <c r="AD8654" s="1"/>
    </row>
    <row r="8655" spans="3:30">
      <c r="C8655" s="9"/>
      <c r="AD8655" s="1"/>
    </row>
    <row r="8656" spans="3:30">
      <c r="C8656" s="9"/>
      <c r="AD8656" s="1"/>
    </row>
    <row r="8657" spans="3:30">
      <c r="C8657" s="9"/>
      <c r="AD8657" s="1"/>
    </row>
    <row r="8658" spans="3:30">
      <c r="C8658" s="9"/>
      <c r="AD8658" s="1"/>
    </row>
    <row r="8659" spans="3:30">
      <c r="C8659" s="9"/>
      <c r="AD8659" s="1"/>
    </row>
    <row r="8660" spans="3:30">
      <c r="C8660" s="9"/>
      <c r="AD8660" s="1"/>
    </row>
    <row r="8661" spans="3:30">
      <c r="C8661" s="9"/>
      <c r="AD8661" s="1"/>
    </row>
    <row r="8662" spans="3:30">
      <c r="C8662" s="9"/>
      <c r="AD8662" s="1"/>
    </row>
    <row r="8663" spans="3:30">
      <c r="C8663" s="9"/>
      <c r="AD8663" s="1"/>
    </row>
    <row r="8664" spans="3:30">
      <c r="C8664" s="9"/>
      <c r="AD8664" s="1"/>
    </row>
    <row r="8665" spans="3:30">
      <c r="C8665" s="9"/>
      <c r="AD8665" s="1"/>
    </row>
    <row r="8666" spans="3:30">
      <c r="C8666" s="9"/>
      <c r="AD8666" s="1"/>
    </row>
    <row r="8667" spans="3:30">
      <c r="C8667" s="9"/>
      <c r="AD8667" s="1"/>
    </row>
    <row r="8668" spans="3:30">
      <c r="C8668" s="9"/>
      <c r="AD8668" s="1"/>
    </row>
    <row r="8669" spans="3:30">
      <c r="C8669" s="9"/>
      <c r="AD8669" s="1"/>
    </row>
    <row r="8670" spans="3:30">
      <c r="C8670" s="9"/>
      <c r="AD8670" s="1"/>
    </row>
    <row r="8671" spans="3:30">
      <c r="C8671" s="9"/>
      <c r="AD8671" s="1"/>
    </row>
    <row r="8672" spans="3:30">
      <c r="C8672" s="9"/>
      <c r="AD8672" s="1"/>
    </row>
    <row r="8673" spans="3:30">
      <c r="C8673" s="9"/>
      <c r="AD8673" s="1"/>
    </row>
    <row r="8674" spans="3:30">
      <c r="C8674" s="9"/>
      <c r="AD8674" s="1"/>
    </row>
    <row r="8675" spans="3:30">
      <c r="C8675" s="9"/>
      <c r="AD8675" s="1"/>
    </row>
    <row r="8676" spans="3:30">
      <c r="C8676" s="9"/>
      <c r="AD8676" s="1"/>
    </row>
    <row r="8677" spans="3:30">
      <c r="C8677" s="9"/>
      <c r="AD8677" s="1"/>
    </row>
    <row r="8678" spans="3:30">
      <c r="C8678" s="9"/>
      <c r="AD8678" s="1"/>
    </row>
    <row r="8679" spans="3:30">
      <c r="C8679" s="9"/>
      <c r="AD8679" s="1"/>
    </row>
    <row r="8680" spans="3:30">
      <c r="C8680" s="9"/>
      <c r="AD8680" s="1"/>
    </row>
    <row r="8681" spans="3:30">
      <c r="C8681" s="9"/>
      <c r="AD8681" s="1"/>
    </row>
    <row r="8682" spans="3:30">
      <c r="C8682" s="9"/>
      <c r="AD8682" s="1"/>
    </row>
    <row r="8683" spans="3:30">
      <c r="C8683" s="9"/>
      <c r="AD8683" s="1"/>
    </row>
    <row r="8684" spans="3:30">
      <c r="C8684" s="9"/>
      <c r="AD8684" s="1"/>
    </row>
    <row r="8685" spans="3:30">
      <c r="C8685" s="9"/>
      <c r="AD8685" s="1"/>
    </row>
    <row r="8686" spans="3:30">
      <c r="C8686" s="9"/>
      <c r="AD8686" s="1"/>
    </row>
    <row r="8687" spans="3:30">
      <c r="C8687" s="9"/>
      <c r="AD8687" s="1"/>
    </row>
    <row r="8688" spans="3:30">
      <c r="C8688" s="9"/>
      <c r="AD8688" s="1"/>
    </row>
    <row r="8689" spans="3:30">
      <c r="C8689" s="9"/>
      <c r="AD8689" s="1"/>
    </row>
    <row r="8690" spans="3:30">
      <c r="C8690" s="9"/>
      <c r="AD8690" s="1"/>
    </row>
    <row r="8691" spans="3:30">
      <c r="C8691" s="9"/>
      <c r="AD8691" s="1"/>
    </row>
    <row r="8692" spans="3:30">
      <c r="C8692" s="9"/>
      <c r="AD8692" s="1"/>
    </row>
    <row r="8693" spans="3:30">
      <c r="C8693" s="9"/>
      <c r="AD8693" s="1"/>
    </row>
    <row r="8694" spans="3:30">
      <c r="C8694" s="9"/>
      <c r="AD8694" s="1"/>
    </row>
    <row r="8695" spans="3:30">
      <c r="C8695" s="9"/>
      <c r="AD8695" s="1"/>
    </row>
    <row r="8696" spans="3:30">
      <c r="C8696" s="9"/>
      <c r="AD8696" s="1"/>
    </row>
    <row r="8697" spans="3:30">
      <c r="C8697" s="9"/>
      <c r="AD8697" s="1"/>
    </row>
    <row r="8698" spans="3:30">
      <c r="C8698" s="9"/>
      <c r="AD8698" s="1"/>
    </row>
    <row r="8699" spans="3:30">
      <c r="C8699" s="9"/>
      <c r="AD8699" s="1"/>
    </row>
    <row r="8700" spans="3:30">
      <c r="C8700" s="9"/>
      <c r="AD8700" s="1"/>
    </row>
    <row r="8701" spans="3:30">
      <c r="C8701" s="9"/>
      <c r="AD8701" s="1"/>
    </row>
    <row r="8702" spans="3:30">
      <c r="C8702" s="9"/>
      <c r="AD8702" s="1"/>
    </row>
    <row r="8703" spans="3:30">
      <c r="C8703" s="9"/>
      <c r="AD8703" s="1"/>
    </row>
    <row r="8704" spans="3:30">
      <c r="C8704" s="9"/>
      <c r="AD8704" s="1"/>
    </row>
    <row r="8705" spans="3:30">
      <c r="C8705" s="9"/>
      <c r="AD8705" s="1"/>
    </row>
    <row r="8706" spans="3:30">
      <c r="C8706" s="9"/>
      <c r="AD8706" s="1"/>
    </row>
    <row r="8707" spans="3:30">
      <c r="C8707" s="9"/>
      <c r="AD8707" s="1"/>
    </row>
    <row r="8708" spans="3:30">
      <c r="C8708" s="9"/>
      <c r="AD8708" s="1"/>
    </row>
    <row r="8709" spans="3:30">
      <c r="C8709" s="9"/>
      <c r="AD8709" s="1"/>
    </row>
    <row r="8710" spans="3:30">
      <c r="C8710" s="9"/>
      <c r="AD8710" s="1"/>
    </row>
    <row r="8711" spans="3:30">
      <c r="C8711" s="9"/>
      <c r="AD8711" s="1"/>
    </row>
    <row r="8712" spans="3:30">
      <c r="C8712" s="9"/>
      <c r="AD8712" s="1"/>
    </row>
    <row r="8713" spans="3:30">
      <c r="C8713" s="9"/>
      <c r="AD8713" s="1"/>
    </row>
    <row r="8714" spans="3:30">
      <c r="C8714" s="9"/>
      <c r="AD8714" s="1"/>
    </row>
    <row r="8715" spans="3:30">
      <c r="C8715" s="9"/>
      <c r="AD8715" s="1"/>
    </row>
    <row r="8716" spans="3:30">
      <c r="C8716" s="9"/>
      <c r="AD8716" s="1"/>
    </row>
    <row r="8717" spans="3:30">
      <c r="C8717" s="9"/>
      <c r="AD8717" s="1"/>
    </row>
    <row r="8718" spans="3:30">
      <c r="C8718" s="9"/>
      <c r="AD8718" s="1"/>
    </row>
    <row r="8719" spans="3:30">
      <c r="C8719" s="9"/>
      <c r="AD8719" s="1"/>
    </row>
    <row r="8720" spans="3:30">
      <c r="C8720" s="9"/>
      <c r="AD8720" s="1"/>
    </row>
    <row r="8721" spans="3:30">
      <c r="C8721" s="9"/>
      <c r="AD8721" s="1"/>
    </row>
    <row r="8722" spans="3:30">
      <c r="C8722" s="9"/>
      <c r="AD8722" s="1"/>
    </row>
    <row r="8723" spans="3:30">
      <c r="C8723" s="9"/>
      <c r="AD8723" s="1"/>
    </row>
    <row r="8724" spans="3:30">
      <c r="C8724" s="9"/>
      <c r="AD8724" s="1"/>
    </row>
    <row r="8725" spans="3:30">
      <c r="C8725" s="9"/>
      <c r="AD8725" s="1"/>
    </row>
    <row r="8726" spans="3:30">
      <c r="C8726" s="9"/>
      <c r="AD8726" s="1"/>
    </row>
    <row r="8727" spans="3:30">
      <c r="C8727" s="9"/>
      <c r="AD8727" s="1"/>
    </row>
    <row r="8728" spans="3:30">
      <c r="C8728" s="9"/>
      <c r="AD8728" s="1"/>
    </row>
    <row r="8729" spans="3:30">
      <c r="C8729" s="9"/>
      <c r="AD8729" s="1"/>
    </row>
    <row r="8730" spans="3:30">
      <c r="C8730" s="9"/>
      <c r="AD8730" s="1"/>
    </row>
    <row r="8731" spans="3:30">
      <c r="C8731" s="9"/>
      <c r="AD8731" s="1"/>
    </row>
    <row r="8732" spans="3:30">
      <c r="C8732" s="9"/>
      <c r="AD8732" s="1"/>
    </row>
    <row r="8733" spans="3:30">
      <c r="C8733" s="9"/>
      <c r="AD8733" s="1"/>
    </row>
    <row r="8734" spans="3:30">
      <c r="C8734" s="9"/>
      <c r="AD8734" s="1"/>
    </row>
    <row r="8735" spans="3:30">
      <c r="C8735" s="9"/>
      <c r="AD8735" s="1"/>
    </row>
    <row r="8736" spans="3:30">
      <c r="C8736" s="9"/>
      <c r="AD8736" s="1"/>
    </row>
    <row r="8737" spans="3:30">
      <c r="C8737" s="9"/>
      <c r="AD8737" s="1"/>
    </row>
    <row r="8738" spans="3:30">
      <c r="C8738" s="9"/>
      <c r="AD8738" s="1"/>
    </row>
    <row r="8739" spans="3:30">
      <c r="C8739" s="9"/>
      <c r="AD8739" s="1"/>
    </row>
    <row r="8740" spans="3:30">
      <c r="C8740" s="9"/>
      <c r="AD8740" s="1"/>
    </row>
    <row r="8741" spans="3:30">
      <c r="C8741" s="9"/>
      <c r="AD8741" s="1"/>
    </row>
    <row r="8742" spans="3:30">
      <c r="C8742" s="9"/>
      <c r="AD8742" s="1"/>
    </row>
    <row r="8743" spans="3:30">
      <c r="C8743" s="9"/>
      <c r="AD8743" s="1"/>
    </row>
    <row r="8744" spans="3:30">
      <c r="C8744" s="9"/>
      <c r="AD8744" s="1"/>
    </row>
    <row r="8745" spans="3:30">
      <c r="C8745" s="9"/>
      <c r="AD8745" s="1"/>
    </row>
    <row r="8746" spans="3:30">
      <c r="C8746" s="9"/>
      <c r="AD8746" s="1"/>
    </row>
    <row r="8747" spans="3:30">
      <c r="C8747" s="9"/>
      <c r="AD8747" s="1"/>
    </row>
    <row r="8748" spans="3:30">
      <c r="C8748" s="9"/>
      <c r="AD8748" s="1"/>
    </row>
    <row r="8749" spans="3:30">
      <c r="C8749" s="9"/>
      <c r="AD8749" s="1"/>
    </row>
    <row r="8750" spans="3:30">
      <c r="C8750" s="9"/>
      <c r="AD8750" s="1"/>
    </row>
    <row r="8751" spans="3:30">
      <c r="C8751" s="9"/>
      <c r="AD8751" s="1"/>
    </row>
    <row r="8752" spans="3:30">
      <c r="C8752" s="9"/>
      <c r="AD8752" s="1"/>
    </row>
    <row r="8753" spans="3:30">
      <c r="C8753" s="9"/>
      <c r="AD8753" s="1"/>
    </row>
    <row r="8754" spans="3:30">
      <c r="C8754" s="9"/>
      <c r="AD8754" s="1"/>
    </row>
    <row r="8755" spans="3:30">
      <c r="C8755" s="9"/>
      <c r="AD8755" s="1"/>
    </row>
    <row r="8756" spans="3:30">
      <c r="C8756" s="9"/>
      <c r="AD8756" s="1"/>
    </row>
    <row r="8757" spans="3:30">
      <c r="C8757" s="9"/>
      <c r="AD8757" s="1"/>
    </row>
    <row r="8758" spans="3:30">
      <c r="C8758" s="9"/>
      <c r="AD8758" s="1"/>
    </row>
    <row r="8759" spans="3:30">
      <c r="C8759" s="9"/>
      <c r="AD8759" s="1"/>
    </row>
    <row r="8760" spans="3:30">
      <c r="C8760" s="9"/>
      <c r="AD8760" s="1"/>
    </row>
    <row r="8761" spans="3:30">
      <c r="C8761" s="9"/>
      <c r="AD8761" s="1"/>
    </row>
    <row r="8762" spans="3:30">
      <c r="C8762" s="9"/>
      <c r="AD8762" s="1"/>
    </row>
    <row r="8763" spans="3:30">
      <c r="C8763" s="9"/>
      <c r="AD8763" s="1"/>
    </row>
    <row r="8764" spans="3:30">
      <c r="C8764" s="9"/>
      <c r="AD8764" s="1"/>
    </row>
    <row r="8765" spans="3:30">
      <c r="C8765" s="9"/>
      <c r="AD8765" s="1"/>
    </row>
    <row r="8766" spans="3:30">
      <c r="C8766" s="9"/>
      <c r="AD8766" s="1"/>
    </row>
    <row r="8767" spans="3:30">
      <c r="C8767" s="9"/>
      <c r="AD8767" s="1"/>
    </row>
    <row r="8768" spans="3:30">
      <c r="C8768" s="9"/>
      <c r="AD8768" s="1"/>
    </row>
    <row r="8769" spans="3:30">
      <c r="C8769" s="9"/>
      <c r="AD8769" s="1"/>
    </row>
    <row r="8770" spans="3:30">
      <c r="C8770" s="9"/>
      <c r="AD8770" s="1"/>
    </row>
    <row r="8771" spans="3:30">
      <c r="C8771" s="9"/>
      <c r="AD8771" s="1"/>
    </row>
    <row r="8772" spans="3:30">
      <c r="C8772" s="9"/>
      <c r="AD8772" s="1"/>
    </row>
    <row r="8773" spans="3:30">
      <c r="C8773" s="9"/>
      <c r="AD8773" s="1"/>
    </row>
    <row r="8774" spans="3:30">
      <c r="C8774" s="9"/>
      <c r="AD8774" s="1"/>
    </row>
    <row r="8775" spans="3:30">
      <c r="C8775" s="9"/>
      <c r="AD8775" s="1"/>
    </row>
    <row r="8776" spans="3:30">
      <c r="C8776" s="9"/>
      <c r="AD8776" s="1"/>
    </row>
    <row r="8777" spans="3:30">
      <c r="C8777" s="9"/>
      <c r="AD8777" s="1"/>
    </row>
    <row r="8778" spans="3:30">
      <c r="C8778" s="9"/>
      <c r="AD8778" s="1"/>
    </row>
    <row r="8779" spans="3:30">
      <c r="C8779" s="9"/>
      <c r="AD8779" s="1"/>
    </row>
    <row r="8780" spans="3:30">
      <c r="C8780" s="9"/>
      <c r="AD8780" s="1"/>
    </row>
    <row r="8781" spans="3:30">
      <c r="C8781" s="9"/>
      <c r="AD8781" s="1"/>
    </row>
    <row r="8782" spans="3:30">
      <c r="C8782" s="9"/>
      <c r="AD8782" s="1"/>
    </row>
    <row r="8783" spans="3:30">
      <c r="C8783" s="9"/>
      <c r="AD8783" s="1"/>
    </row>
    <row r="8784" spans="3:30">
      <c r="C8784" s="9"/>
      <c r="AD8784" s="1"/>
    </row>
    <row r="8785" spans="3:30">
      <c r="C8785" s="9"/>
      <c r="AD8785" s="1"/>
    </row>
    <row r="8786" spans="3:30">
      <c r="C8786" s="9"/>
      <c r="AD8786" s="1"/>
    </row>
    <row r="8787" spans="3:30">
      <c r="C8787" s="9"/>
      <c r="AD8787" s="1"/>
    </row>
    <row r="8788" spans="3:30">
      <c r="C8788" s="9"/>
      <c r="AD8788" s="1"/>
    </row>
    <row r="8789" spans="3:30">
      <c r="C8789" s="9"/>
      <c r="AD8789" s="1"/>
    </row>
    <row r="8790" spans="3:30">
      <c r="C8790" s="9"/>
      <c r="AD8790" s="1"/>
    </row>
    <row r="8791" spans="3:30">
      <c r="C8791" s="9"/>
      <c r="AD8791" s="1"/>
    </row>
    <row r="8792" spans="3:30">
      <c r="C8792" s="9"/>
      <c r="AD8792" s="1"/>
    </row>
    <row r="8793" spans="3:30">
      <c r="C8793" s="9"/>
      <c r="AD8793" s="1"/>
    </row>
    <row r="8794" spans="3:30">
      <c r="C8794" s="9"/>
      <c r="AD8794" s="1"/>
    </row>
    <row r="8795" spans="3:30">
      <c r="C8795" s="9"/>
      <c r="AD8795" s="1"/>
    </row>
    <row r="8796" spans="3:30">
      <c r="C8796" s="9"/>
      <c r="AD8796" s="1"/>
    </row>
    <row r="8797" spans="3:30">
      <c r="C8797" s="9"/>
      <c r="AD8797" s="1"/>
    </row>
    <row r="8798" spans="3:30">
      <c r="C8798" s="9"/>
      <c r="AD8798" s="1"/>
    </row>
    <row r="8799" spans="3:30">
      <c r="C8799" s="9"/>
      <c r="AD8799" s="1"/>
    </row>
    <row r="8800" spans="3:30">
      <c r="C8800" s="9"/>
      <c r="AD8800" s="1"/>
    </row>
    <row r="8801" spans="3:30">
      <c r="C8801" s="9"/>
      <c r="AD8801" s="1"/>
    </row>
    <row r="8802" spans="3:30">
      <c r="C8802" s="9"/>
      <c r="AD8802" s="1"/>
    </row>
    <row r="8803" spans="3:30">
      <c r="C8803" s="9"/>
      <c r="AD8803" s="1"/>
    </row>
    <row r="8804" spans="3:30">
      <c r="C8804" s="9"/>
      <c r="AD8804" s="1"/>
    </row>
    <row r="8805" spans="3:30">
      <c r="C8805" s="9"/>
      <c r="AD8805" s="1"/>
    </row>
    <row r="8806" spans="3:30">
      <c r="C8806" s="9"/>
      <c r="AD8806" s="1"/>
    </row>
    <row r="8807" spans="3:30">
      <c r="C8807" s="9"/>
      <c r="AD8807" s="1"/>
    </row>
    <row r="8808" spans="3:30">
      <c r="C8808" s="9"/>
      <c r="AD8808" s="1"/>
    </row>
    <row r="8809" spans="3:30">
      <c r="C8809" s="9"/>
      <c r="AD8809" s="1"/>
    </row>
    <row r="8810" spans="3:30">
      <c r="C8810" s="9"/>
      <c r="AD8810" s="1"/>
    </row>
    <row r="8811" spans="3:30">
      <c r="C8811" s="9"/>
      <c r="AD8811" s="1"/>
    </row>
    <row r="8812" spans="3:30">
      <c r="C8812" s="9"/>
      <c r="AD8812" s="1"/>
    </row>
    <row r="8813" spans="3:30">
      <c r="C8813" s="9"/>
      <c r="AD8813" s="1"/>
    </row>
    <row r="8814" spans="3:30">
      <c r="C8814" s="9"/>
      <c r="AD8814" s="1"/>
    </row>
    <row r="8815" spans="3:30">
      <c r="C8815" s="9"/>
      <c r="AD8815" s="1"/>
    </row>
    <row r="8816" spans="3:30">
      <c r="C8816" s="9"/>
      <c r="AD8816" s="1"/>
    </row>
    <row r="8817" spans="3:30">
      <c r="C8817" s="9"/>
      <c r="AD8817" s="1"/>
    </row>
    <row r="8818" spans="3:30">
      <c r="C8818" s="9"/>
      <c r="AD8818" s="1"/>
    </row>
    <row r="8819" spans="3:30">
      <c r="C8819" s="9"/>
      <c r="AD8819" s="1"/>
    </row>
    <row r="8820" spans="3:30">
      <c r="C8820" s="9"/>
      <c r="AD8820" s="1"/>
    </row>
    <row r="8821" spans="3:30">
      <c r="C8821" s="9"/>
      <c r="AD8821" s="1"/>
    </row>
    <row r="8822" spans="3:30">
      <c r="C8822" s="9"/>
      <c r="AD8822" s="1"/>
    </row>
    <row r="8823" spans="3:30">
      <c r="C8823" s="9"/>
      <c r="AD8823" s="1"/>
    </row>
    <row r="8824" spans="3:30">
      <c r="C8824" s="9"/>
      <c r="AD8824" s="1"/>
    </row>
    <row r="8825" spans="3:30">
      <c r="C8825" s="9"/>
      <c r="AD8825" s="1"/>
    </row>
    <row r="8826" spans="3:30">
      <c r="C8826" s="9"/>
      <c r="AD8826" s="1"/>
    </row>
    <row r="8827" spans="3:30">
      <c r="C8827" s="9"/>
      <c r="AD8827" s="1"/>
    </row>
    <row r="8828" spans="3:30">
      <c r="C8828" s="9"/>
      <c r="AD8828" s="1"/>
    </row>
    <row r="8829" spans="3:30">
      <c r="C8829" s="9"/>
      <c r="AD8829" s="1"/>
    </row>
    <row r="8830" spans="3:30">
      <c r="C8830" s="9"/>
      <c r="AD8830" s="1"/>
    </row>
    <row r="8831" spans="3:30">
      <c r="C8831" s="9"/>
      <c r="AD8831" s="1"/>
    </row>
    <row r="8832" spans="3:30">
      <c r="C8832" s="9"/>
      <c r="AD8832" s="1"/>
    </row>
    <row r="8833" spans="3:30">
      <c r="C8833" s="9"/>
      <c r="AD8833" s="1"/>
    </row>
    <row r="8834" spans="3:30">
      <c r="C8834" s="9"/>
      <c r="AD8834" s="1"/>
    </row>
    <row r="8835" spans="3:30">
      <c r="C8835" s="9"/>
      <c r="AD8835" s="1"/>
    </row>
    <row r="8836" spans="3:30">
      <c r="C8836" s="9"/>
      <c r="AD8836" s="1"/>
    </row>
    <row r="8837" spans="3:30">
      <c r="C8837" s="9"/>
      <c r="AD8837" s="1"/>
    </row>
    <row r="8838" spans="3:30">
      <c r="C8838" s="9"/>
      <c r="AD8838" s="1"/>
    </row>
    <row r="8839" spans="3:30">
      <c r="C8839" s="9"/>
      <c r="AD8839" s="1"/>
    </row>
    <row r="8840" spans="3:30">
      <c r="C8840" s="9"/>
      <c r="AD8840" s="1"/>
    </row>
    <row r="8841" spans="3:30">
      <c r="C8841" s="9"/>
      <c r="AD8841" s="1"/>
    </row>
    <row r="8842" spans="3:30">
      <c r="C8842" s="9"/>
      <c r="AD8842" s="1"/>
    </row>
    <row r="8843" spans="3:30">
      <c r="C8843" s="9"/>
      <c r="AD8843" s="1"/>
    </row>
    <row r="8844" spans="3:30">
      <c r="C8844" s="9"/>
      <c r="AD8844" s="1"/>
    </row>
    <row r="8845" spans="3:30">
      <c r="C8845" s="9"/>
      <c r="AD8845" s="1"/>
    </row>
    <row r="8846" spans="3:30">
      <c r="C8846" s="9"/>
      <c r="AD8846" s="1"/>
    </row>
    <row r="8847" spans="3:30">
      <c r="C8847" s="9"/>
      <c r="AD8847" s="1"/>
    </row>
    <row r="8848" spans="3:30">
      <c r="C8848" s="9"/>
      <c r="AD8848" s="1"/>
    </row>
    <row r="8849" spans="3:30">
      <c r="C8849" s="9"/>
      <c r="AD8849" s="1"/>
    </row>
    <row r="8850" spans="3:30">
      <c r="C8850" s="9"/>
      <c r="AD8850" s="1"/>
    </row>
    <row r="8851" spans="3:30">
      <c r="C8851" s="9"/>
      <c r="AD8851" s="1"/>
    </row>
    <row r="8852" spans="3:30">
      <c r="C8852" s="9"/>
      <c r="AD8852" s="1"/>
    </row>
    <row r="8853" spans="3:30">
      <c r="C8853" s="9"/>
      <c r="AD8853" s="1"/>
    </row>
    <row r="8854" spans="3:30">
      <c r="C8854" s="9"/>
      <c r="AD8854" s="1"/>
    </row>
    <row r="8855" spans="3:30">
      <c r="C8855" s="9"/>
      <c r="AD8855" s="1"/>
    </row>
    <row r="8856" spans="3:30">
      <c r="C8856" s="9"/>
      <c r="AD8856" s="1"/>
    </row>
    <row r="8857" spans="3:30">
      <c r="C8857" s="9"/>
      <c r="AD8857" s="1"/>
    </row>
    <row r="8858" spans="3:30">
      <c r="C8858" s="9"/>
      <c r="AD8858" s="1"/>
    </row>
    <row r="8859" spans="3:30">
      <c r="C8859" s="9"/>
      <c r="AD8859" s="1"/>
    </row>
    <row r="8860" spans="3:30">
      <c r="C8860" s="9"/>
      <c r="AD8860" s="1"/>
    </row>
    <row r="8861" spans="3:30">
      <c r="C8861" s="9"/>
      <c r="AD8861" s="1"/>
    </row>
    <row r="8862" spans="3:30">
      <c r="C8862" s="9"/>
      <c r="AD8862" s="1"/>
    </row>
    <row r="8863" spans="3:30">
      <c r="C8863" s="9"/>
      <c r="AD8863" s="1"/>
    </row>
    <row r="8864" spans="3:30">
      <c r="C8864" s="9"/>
      <c r="AD8864" s="1"/>
    </row>
    <row r="8865" spans="3:30">
      <c r="C8865" s="9"/>
      <c r="AD8865" s="1"/>
    </row>
    <row r="8866" spans="3:30">
      <c r="C8866" s="9"/>
      <c r="AD8866" s="1"/>
    </row>
    <row r="8867" spans="3:30">
      <c r="C8867" s="9"/>
      <c r="AD8867" s="1"/>
    </row>
    <row r="8868" spans="3:30">
      <c r="C8868" s="9"/>
      <c r="AD8868" s="1"/>
    </row>
    <row r="8869" spans="3:30">
      <c r="C8869" s="9"/>
      <c r="AD8869" s="1"/>
    </row>
    <row r="8870" spans="3:30">
      <c r="C8870" s="9"/>
      <c r="AD8870" s="1"/>
    </row>
    <row r="8871" spans="3:30">
      <c r="C8871" s="9"/>
      <c r="AD8871" s="1"/>
    </row>
    <row r="8872" spans="3:30">
      <c r="C8872" s="9"/>
      <c r="AD8872" s="1"/>
    </row>
    <row r="8873" spans="3:30">
      <c r="C8873" s="9"/>
      <c r="AD8873" s="1"/>
    </row>
    <row r="8874" spans="3:30">
      <c r="C8874" s="9"/>
      <c r="AD8874" s="1"/>
    </row>
    <row r="8875" spans="3:30">
      <c r="C8875" s="9"/>
      <c r="AD8875" s="1"/>
    </row>
    <row r="8876" spans="3:30">
      <c r="C8876" s="9"/>
      <c r="AD8876" s="1"/>
    </row>
    <row r="8877" spans="3:30">
      <c r="C8877" s="9"/>
      <c r="AD8877" s="1"/>
    </row>
    <row r="8878" spans="3:30">
      <c r="C8878" s="9"/>
      <c r="AD8878" s="1"/>
    </row>
    <row r="8879" spans="3:30">
      <c r="C8879" s="9"/>
      <c r="AD8879" s="1"/>
    </row>
    <row r="8880" spans="3:30">
      <c r="C8880" s="9"/>
      <c r="AD8880" s="1"/>
    </row>
    <row r="8881" spans="3:30">
      <c r="C8881" s="9"/>
      <c r="AD8881" s="1"/>
    </row>
    <row r="8882" spans="3:30">
      <c r="C8882" s="9"/>
      <c r="AD8882" s="1"/>
    </row>
    <row r="8883" spans="3:30">
      <c r="C8883" s="9"/>
      <c r="AD8883" s="1"/>
    </row>
    <row r="8884" spans="3:30">
      <c r="C8884" s="9"/>
      <c r="AD8884" s="1"/>
    </row>
    <row r="8885" spans="3:30">
      <c r="C8885" s="9"/>
      <c r="AD8885" s="1"/>
    </row>
    <row r="8886" spans="3:30">
      <c r="C8886" s="9"/>
      <c r="AD8886" s="1"/>
    </row>
    <row r="8887" spans="3:30">
      <c r="C8887" s="9"/>
      <c r="AD8887" s="1"/>
    </row>
    <row r="8888" spans="3:30">
      <c r="C8888" s="9"/>
      <c r="AD8888" s="1"/>
    </row>
    <row r="8889" spans="3:30">
      <c r="C8889" s="9"/>
      <c r="AD8889" s="1"/>
    </row>
    <row r="8890" spans="3:30">
      <c r="C8890" s="9"/>
      <c r="AD8890" s="1"/>
    </row>
    <row r="8891" spans="3:30">
      <c r="C8891" s="9"/>
      <c r="AD8891" s="1"/>
    </row>
    <row r="8892" spans="3:30">
      <c r="C8892" s="9"/>
      <c r="AD8892" s="1"/>
    </row>
    <row r="8893" spans="3:30">
      <c r="C8893" s="9"/>
      <c r="AD8893" s="1"/>
    </row>
    <row r="8894" spans="3:30">
      <c r="C8894" s="9"/>
      <c r="AD8894" s="1"/>
    </row>
    <row r="8895" spans="3:30">
      <c r="C8895" s="9"/>
      <c r="AD8895" s="1"/>
    </row>
    <row r="8896" spans="3:30">
      <c r="C8896" s="9"/>
      <c r="AD8896" s="1"/>
    </row>
    <row r="8897" spans="3:30">
      <c r="C8897" s="9"/>
      <c r="AD8897" s="1"/>
    </row>
    <row r="8898" spans="3:30">
      <c r="C8898" s="9"/>
      <c r="AD8898" s="1"/>
    </row>
    <row r="8899" spans="3:30">
      <c r="C8899" s="9"/>
      <c r="AD8899" s="1"/>
    </row>
    <row r="8900" spans="3:30">
      <c r="C8900" s="9"/>
      <c r="AD8900" s="1"/>
    </row>
    <row r="8901" spans="3:30">
      <c r="C8901" s="9"/>
      <c r="AD8901" s="1"/>
    </row>
    <row r="8902" spans="3:30">
      <c r="C8902" s="9"/>
      <c r="AD8902" s="1"/>
    </row>
    <row r="8903" spans="3:30">
      <c r="C8903" s="9"/>
      <c r="AD8903" s="1"/>
    </row>
    <row r="8904" spans="3:30">
      <c r="C8904" s="9"/>
      <c r="AD8904" s="1"/>
    </row>
    <row r="8905" spans="3:30">
      <c r="C8905" s="9"/>
      <c r="AD8905" s="1"/>
    </row>
    <row r="8906" spans="3:30">
      <c r="C8906" s="9"/>
      <c r="AD8906" s="1"/>
    </row>
    <row r="8907" spans="3:30">
      <c r="C8907" s="9"/>
      <c r="AD8907" s="1"/>
    </row>
    <row r="8908" spans="3:30">
      <c r="C8908" s="9"/>
      <c r="AD8908" s="1"/>
    </row>
    <row r="8909" spans="3:30">
      <c r="C8909" s="9"/>
      <c r="AD8909" s="1"/>
    </row>
    <row r="8910" spans="3:30">
      <c r="C8910" s="9"/>
      <c r="AD8910" s="1"/>
    </row>
    <row r="8911" spans="3:30">
      <c r="C8911" s="9"/>
      <c r="AD8911" s="1"/>
    </row>
    <row r="8912" spans="3:30">
      <c r="C8912" s="9"/>
      <c r="AD8912" s="1"/>
    </row>
    <row r="8913" spans="3:30">
      <c r="C8913" s="9"/>
      <c r="AD8913" s="1"/>
    </row>
    <row r="8914" spans="3:30">
      <c r="C8914" s="9"/>
      <c r="AD8914" s="1"/>
    </row>
    <row r="8915" spans="3:30">
      <c r="C8915" s="9"/>
      <c r="AD8915" s="1"/>
    </row>
    <row r="8916" spans="3:30">
      <c r="C8916" s="9"/>
      <c r="AD8916" s="1"/>
    </row>
    <row r="8917" spans="3:30">
      <c r="C8917" s="9"/>
      <c r="AD8917" s="1"/>
    </row>
    <row r="8918" spans="3:30">
      <c r="C8918" s="9"/>
      <c r="AD8918" s="1"/>
    </row>
    <row r="8919" spans="3:30">
      <c r="C8919" s="9"/>
      <c r="AD8919" s="1"/>
    </row>
    <row r="8920" spans="3:30">
      <c r="C8920" s="9"/>
      <c r="AD8920" s="1"/>
    </row>
    <row r="8921" spans="3:30">
      <c r="C8921" s="9"/>
      <c r="AD8921" s="1"/>
    </row>
    <row r="8922" spans="3:30">
      <c r="C8922" s="9"/>
      <c r="AD8922" s="1"/>
    </row>
    <row r="8923" spans="3:30">
      <c r="C8923" s="9"/>
      <c r="AD8923" s="1"/>
    </row>
    <row r="8924" spans="3:30">
      <c r="C8924" s="9"/>
      <c r="AD8924" s="1"/>
    </row>
    <row r="8925" spans="3:30">
      <c r="C8925" s="9"/>
      <c r="AD8925" s="1"/>
    </row>
    <row r="8926" spans="3:30">
      <c r="C8926" s="9"/>
      <c r="AD8926" s="1"/>
    </row>
    <row r="8927" spans="3:30">
      <c r="C8927" s="9"/>
      <c r="AD8927" s="1"/>
    </row>
    <row r="8928" spans="3:30">
      <c r="C8928" s="9"/>
      <c r="AD8928" s="1"/>
    </row>
    <row r="8929" spans="3:30">
      <c r="C8929" s="9"/>
      <c r="AD8929" s="1"/>
    </row>
    <row r="8930" spans="3:30">
      <c r="C8930" s="9"/>
      <c r="AD8930" s="1"/>
    </row>
    <row r="8931" spans="3:30">
      <c r="C8931" s="9"/>
      <c r="AD8931" s="1"/>
    </row>
    <row r="8932" spans="3:30">
      <c r="C8932" s="9"/>
      <c r="AD8932" s="1"/>
    </row>
    <row r="8933" spans="3:30">
      <c r="C8933" s="9"/>
      <c r="AD8933" s="1"/>
    </row>
    <row r="8934" spans="3:30">
      <c r="C8934" s="9"/>
      <c r="AD8934" s="1"/>
    </row>
    <row r="8935" spans="3:30">
      <c r="C8935" s="9"/>
      <c r="AD8935" s="1"/>
    </row>
    <row r="8936" spans="3:30">
      <c r="C8936" s="9"/>
      <c r="AD8936" s="1"/>
    </row>
    <row r="8937" spans="3:30">
      <c r="C8937" s="9"/>
      <c r="AD8937" s="1"/>
    </row>
    <row r="8938" spans="3:30">
      <c r="C8938" s="9"/>
      <c r="AD8938" s="1"/>
    </row>
    <row r="8939" spans="3:30">
      <c r="C8939" s="9"/>
      <c r="AD8939" s="1"/>
    </row>
    <row r="8940" spans="3:30">
      <c r="C8940" s="9"/>
      <c r="AD8940" s="1"/>
    </row>
    <row r="8941" spans="3:30">
      <c r="C8941" s="9"/>
      <c r="AD8941" s="1"/>
    </row>
    <row r="8942" spans="3:30">
      <c r="C8942" s="9"/>
      <c r="AD8942" s="1"/>
    </row>
    <row r="8943" spans="3:30">
      <c r="C8943" s="9"/>
      <c r="AD8943" s="1"/>
    </row>
    <row r="8944" spans="3:30">
      <c r="C8944" s="9"/>
      <c r="AD8944" s="1"/>
    </row>
    <row r="8945" spans="3:30">
      <c r="C8945" s="9"/>
      <c r="AD8945" s="1"/>
    </row>
    <row r="8946" spans="3:30">
      <c r="C8946" s="9"/>
      <c r="AD8946" s="1"/>
    </row>
    <row r="8947" spans="3:30">
      <c r="C8947" s="9"/>
      <c r="AD8947" s="1"/>
    </row>
    <row r="8948" spans="3:30">
      <c r="C8948" s="9"/>
      <c r="AD8948" s="1"/>
    </row>
    <row r="8949" spans="3:30">
      <c r="C8949" s="9"/>
      <c r="AD8949" s="1"/>
    </row>
    <row r="8950" spans="3:30">
      <c r="C8950" s="9"/>
      <c r="AD8950" s="1"/>
    </row>
    <row r="8951" spans="3:30">
      <c r="C8951" s="9"/>
      <c r="AD8951" s="1"/>
    </row>
    <row r="8952" spans="3:30">
      <c r="C8952" s="9"/>
      <c r="AD8952" s="1"/>
    </row>
    <row r="8953" spans="3:30">
      <c r="C8953" s="9"/>
      <c r="AD8953" s="1"/>
    </row>
    <row r="8954" spans="3:30">
      <c r="C8954" s="9"/>
      <c r="AD8954" s="1"/>
    </row>
    <row r="8955" spans="3:30">
      <c r="C8955" s="9"/>
      <c r="AD8955" s="1"/>
    </row>
    <row r="8956" spans="3:30">
      <c r="C8956" s="9"/>
      <c r="AD8956" s="1"/>
    </row>
    <row r="8957" spans="3:30">
      <c r="C8957" s="9"/>
      <c r="AD8957" s="1"/>
    </row>
    <row r="8958" spans="3:30">
      <c r="C8958" s="9"/>
      <c r="AD8958" s="1"/>
    </row>
    <row r="8959" spans="3:30">
      <c r="C8959" s="9"/>
      <c r="AD8959" s="1"/>
    </row>
    <row r="8960" spans="3:30">
      <c r="C8960" s="9"/>
      <c r="AD8960" s="1"/>
    </row>
    <row r="8961" spans="3:30">
      <c r="C8961" s="9"/>
      <c r="AD8961" s="1"/>
    </row>
    <row r="8962" spans="3:30">
      <c r="C8962" s="9"/>
      <c r="AD8962" s="1"/>
    </row>
    <row r="8963" spans="3:30">
      <c r="C8963" s="9"/>
      <c r="AD8963" s="1"/>
    </row>
    <row r="8964" spans="3:30">
      <c r="C8964" s="9"/>
      <c r="AD8964" s="1"/>
    </row>
    <row r="8965" spans="3:30">
      <c r="C8965" s="9"/>
      <c r="AD8965" s="1"/>
    </row>
    <row r="8966" spans="3:30">
      <c r="C8966" s="9"/>
      <c r="AD8966" s="1"/>
    </row>
    <row r="8967" spans="3:30">
      <c r="C8967" s="9"/>
      <c r="AD8967" s="1"/>
    </row>
    <row r="8968" spans="3:30">
      <c r="C8968" s="9"/>
      <c r="AD8968" s="1"/>
    </row>
    <row r="8969" spans="3:30">
      <c r="C8969" s="9"/>
      <c r="AD8969" s="1"/>
    </row>
    <row r="8970" spans="3:30">
      <c r="C8970" s="9"/>
      <c r="AD8970" s="1"/>
    </row>
    <row r="8971" spans="3:30">
      <c r="C8971" s="9"/>
      <c r="AD8971" s="1"/>
    </row>
    <row r="8972" spans="3:30">
      <c r="C8972" s="9"/>
      <c r="AD8972" s="1"/>
    </row>
    <row r="8973" spans="3:30">
      <c r="C8973" s="9"/>
      <c r="AD8973" s="1"/>
    </row>
    <row r="8974" spans="3:30">
      <c r="C8974" s="9"/>
      <c r="AD8974" s="1"/>
    </row>
    <row r="8975" spans="3:30">
      <c r="C8975" s="9"/>
      <c r="AD8975" s="1"/>
    </row>
    <row r="8976" spans="3:30">
      <c r="C8976" s="9"/>
      <c r="AD8976" s="1"/>
    </row>
    <row r="8977" spans="3:30">
      <c r="C8977" s="9"/>
      <c r="AD8977" s="1"/>
    </row>
    <row r="8978" spans="3:30">
      <c r="C8978" s="9"/>
      <c r="AD8978" s="1"/>
    </row>
    <row r="8979" spans="3:30">
      <c r="C8979" s="9"/>
      <c r="AD8979" s="1"/>
    </row>
    <row r="8980" spans="3:30">
      <c r="C8980" s="9"/>
      <c r="AD8980" s="1"/>
    </row>
    <row r="8981" spans="3:30">
      <c r="C8981" s="9"/>
      <c r="AD8981" s="1"/>
    </row>
    <row r="8982" spans="3:30">
      <c r="C8982" s="9"/>
      <c r="AD8982" s="1"/>
    </row>
    <row r="8983" spans="3:30">
      <c r="C8983" s="9"/>
      <c r="AD8983" s="1"/>
    </row>
    <row r="8984" spans="3:30">
      <c r="C8984" s="9"/>
      <c r="AD8984" s="1"/>
    </row>
    <row r="8985" spans="3:30">
      <c r="C8985" s="9"/>
      <c r="AD8985" s="1"/>
    </row>
    <row r="8986" spans="3:30">
      <c r="C8986" s="9"/>
      <c r="AD8986" s="1"/>
    </row>
    <row r="8987" spans="3:30">
      <c r="C8987" s="9"/>
      <c r="AD8987" s="1"/>
    </row>
    <row r="8988" spans="3:30">
      <c r="C8988" s="9"/>
      <c r="AD8988" s="1"/>
    </row>
    <row r="8989" spans="3:30">
      <c r="C8989" s="9"/>
      <c r="AD8989" s="1"/>
    </row>
    <row r="8990" spans="3:30">
      <c r="C8990" s="9"/>
      <c r="AD8990" s="1"/>
    </row>
    <row r="8991" spans="3:30">
      <c r="C8991" s="9"/>
      <c r="AD8991" s="1"/>
    </row>
    <row r="8992" spans="3:30">
      <c r="C8992" s="9"/>
      <c r="AD8992" s="1"/>
    </row>
    <row r="8993" spans="3:30">
      <c r="C8993" s="9"/>
      <c r="AD8993" s="1"/>
    </row>
    <row r="8994" spans="3:30">
      <c r="C8994" s="9"/>
      <c r="AD8994" s="1"/>
    </row>
    <row r="8995" spans="3:30">
      <c r="C8995" s="9"/>
      <c r="AD8995" s="1"/>
    </row>
    <row r="8996" spans="3:30">
      <c r="C8996" s="9"/>
      <c r="AD8996" s="1"/>
    </row>
    <row r="8997" spans="3:30">
      <c r="C8997" s="9"/>
      <c r="AD8997" s="1"/>
    </row>
    <row r="8998" spans="3:30">
      <c r="C8998" s="9"/>
      <c r="AD8998" s="1"/>
    </row>
    <row r="8999" spans="3:30">
      <c r="C8999" s="9"/>
      <c r="AD8999" s="1"/>
    </row>
    <row r="9000" spans="3:30">
      <c r="C9000" s="9"/>
      <c r="AD9000" s="1"/>
    </row>
    <row r="9001" spans="3:30">
      <c r="C9001" s="9"/>
      <c r="AD9001" s="1"/>
    </row>
    <row r="9002" spans="3:30">
      <c r="C9002" s="9"/>
      <c r="AD9002" s="1"/>
    </row>
    <row r="9003" spans="3:30">
      <c r="C9003" s="9"/>
      <c r="AD9003" s="1"/>
    </row>
    <row r="9004" spans="3:30">
      <c r="C9004" s="9"/>
      <c r="AD9004" s="1"/>
    </row>
    <row r="9005" spans="3:30">
      <c r="C9005" s="9"/>
      <c r="AD9005" s="1"/>
    </row>
    <row r="9006" spans="3:30">
      <c r="C9006" s="9"/>
      <c r="AD9006" s="1"/>
    </row>
    <row r="9007" spans="3:30">
      <c r="C9007" s="9"/>
      <c r="AD9007" s="1"/>
    </row>
    <row r="9008" spans="3:30">
      <c r="C9008" s="9"/>
      <c r="AD9008" s="1"/>
    </row>
    <row r="9009" spans="3:30">
      <c r="C9009" s="9"/>
      <c r="AD9009" s="1"/>
    </row>
    <row r="9010" spans="3:30">
      <c r="C9010" s="9"/>
      <c r="AD9010" s="1"/>
    </row>
    <row r="9011" spans="3:30">
      <c r="C9011" s="9"/>
      <c r="AD9011" s="1"/>
    </row>
    <row r="9012" spans="3:30">
      <c r="C9012" s="9"/>
      <c r="AD9012" s="1"/>
    </row>
    <row r="9013" spans="3:30">
      <c r="C9013" s="9"/>
      <c r="AD9013" s="1"/>
    </row>
    <row r="9014" spans="3:30">
      <c r="C9014" s="9"/>
      <c r="AD9014" s="1"/>
    </row>
    <row r="9015" spans="3:30">
      <c r="C9015" s="9"/>
      <c r="AD9015" s="1"/>
    </row>
    <row r="9016" spans="3:30">
      <c r="C9016" s="9"/>
      <c r="AD9016" s="1"/>
    </row>
    <row r="9017" spans="3:30">
      <c r="C9017" s="9"/>
      <c r="AD9017" s="1"/>
    </row>
    <row r="9018" spans="3:30">
      <c r="C9018" s="9"/>
      <c r="AD9018" s="1"/>
    </row>
    <row r="9019" spans="3:30">
      <c r="C9019" s="9"/>
      <c r="AD9019" s="1"/>
    </row>
    <row r="9020" spans="3:30">
      <c r="C9020" s="9"/>
      <c r="AD9020" s="1"/>
    </row>
    <row r="9021" spans="3:30">
      <c r="C9021" s="9"/>
      <c r="AD9021" s="1"/>
    </row>
    <row r="9022" spans="3:30">
      <c r="C9022" s="9"/>
      <c r="AD9022" s="1"/>
    </row>
    <row r="9023" spans="3:30">
      <c r="C9023" s="9"/>
      <c r="AD9023" s="1"/>
    </row>
    <row r="9024" spans="3:30">
      <c r="C9024" s="9"/>
      <c r="AD9024" s="1"/>
    </row>
    <row r="9025" spans="3:30">
      <c r="C9025" s="9"/>
      <c r="AD9025" s="1"/>
    </row>
    <row r="9026" spans="3:30">
      <c r="C9026" s="9"/>
      <c r="AD9026" s="1"/>
    </row>
    <row r="9027" spans="3:30">
      <c r="C9027" s="9"/>
      <c r="AD9027" s="1"/>
    </row>
    <row r="9028" spans="3:30">
      <c r="C9028" s="9"/>
      <c r="AD9028" s="1"/>
    </row>
    <row r="9029" spans="3:30">
      <c r="C9029" s="9"/>
      <c r="AD9029" s="1"/>
    </row>
    <row r="9030" spans="3:30">
      <c r="C9030" s="9"/>
      <c r="AD9030" s="1"/>
    </row>
    <row r="9031" spans="3:30">
      <c r="C9031" s="9"/>
      <c r="AD9031" s="1"/>
    </row>
    <row r="9032" spans="3:30">
      <c r="C9032" s="9"/>
      <c r="AD9032" s="1"/>
    </row>
    <row r="9033" spans="3:30">
      <c r="C9033" s="9"/>
      <c r="AD9033" s="1"/>
    </row>
    <row r="9034" spans="3:30">
      <c r="C9034" s="9"/>
      <c r="AD9034" s="1"/>
    </row>
    <row r="9035" spans="3:30">
      <c r="C9035" s="9"/>
      <c r="AD9035" s="1"/>
    </row>
    <row r="9036" spans="3:30">
      <c r="C9036" s="9"/>
      <c r="AD9036" s="1"/>
    </row>
    <row r="9037" spans="3:30">
      <c r="C9037" s="9"/>
      <c r="AD9037" s="1"/>
    </row>
    <row r="9038" spans="3:30">
      <c r="C9038" s="9"/>
      <c r="AD9038" s="1"/>
    </row>
    <row r="9039" spans="3:30">
      <c r="C9039" s="9"/>
      <c r="AD9039" s="1"/>
    </row>
    <row r="9040" spans="3:30">
      <c r="C9040" s="9"/>
      <c r="AD9040" s="1"/>
    </row>
    <row r="9041" spans="3:30">
      <c r="C9041" s="9"/>
      <c r="AD9041" s="1"/>
    </row>
    <row r="9042" spans="3:30">
      <c r="C9042" s="9"/>
      <c r="AD9042" s="1"/>
    </row>
    <row r="9043" spans="3:30">
      <c r="C9043" s="9"/>
      <c r="AD9043" s="1"/>
    </row>
    <row r="9044" spans="3:30">
      <c r="C9044" s="9"/>
      <c r="AD9044" s="1"/>
    </row>
    <row r="9045" spans="3:30">
      <c r="C9045" s="9"/>
      <c r="AD9045" s="1"/>
    </row>
    <row r="9046" spans="3:30">
      <c r="C9046" s="9"/>
      <c r="AD9046" s="1"/>
    </row>
    <row r="9047" spans="3:30">
      <c r="C9047" s="9"/>
      <c r="AD9047" s="1"/>
    </row>
    <row r="9048" spans="3:30">
      <c r="C9048" s="9"/>
      <c r="AD9048" s="1"/>
    </row>
    <row r="9049" spans="3:30">
      <c r="C9049" s="9"/>
      <c r="AD9049" s="1"/>
    </row>
    <row r="9050" spans="3:30">
      <c r="C9050" s="9"/>
      <c r="AD9050" s="1"/>
    </row>
    <row r="9051" spans="3:30">
      <c r="C9051" s="9"/>
      <c r="AD9051" s="1"/>
    </row>
    <row r="9052" spans="3:30">
      <c r="C9052" s="9"/>
      <c r="AD9052" s="1"/>
    </row>
    <row r="9053" spans="3:30">
      <c r="C9053" s="9"/>
      <c r="AD9053" s="1"/>
    </row>
    <row r="9054" spans="3:30">
      <c r="C9054" s="9"/>
      <c r="AD9054" s="1"/>
    </row>
    <row r="9055" spans="3:30">
      <c r="C9055" s="9"/>
      <c r="AD9055" s="1"/>
    </row>
    <row r="9056" spans="3:30">
      <c r="C9056" s="9"/>
      <c r="AD9056" s="1"/>
    </row>
    <row r="9057" spans="3:30">
      <c r="C9057" s="9"/>
      <c r="AD9057" s="1"/>
    </row>
    <row r="9058" spans="3:30">
      <c r="C9058" s="9"/>
      <c r="AD9058" s="1"/>
    </row>
    <row r="9059" spans="3:30">
      <c r="C9059" s="9"/>
      <c r="AD9059" s="1"/>
    </row>
    <row r="9060" spans="3:30">
      <c r="C9060" s="9"/>
      <c r="AD9060" s="1"/>
    </row>
    <row r="9061" spans="3:30">
      <c r="C9061" s="9"/>
      <c r="AD9061" s="1"/>
    </row>
    <row r="9062" spans="3:30">
      <c r="C9062" s="9"/>
      <c r="AD9062" s="1"/>
    </row>
    <row r="9063" spans="3:30">
      <c r="C9063" s="9"/>
      <c r="AD9063" s="1"/>
    </row>
    <row r="9064" spans="3:30">
      <c r="C9064" s="9"/>
      <c r="AD9064" s="1"/>
    </row>
    <row r="9065" spans="3:30">
      <c r="C9065" s="9"/>
      <c r="AD9065" s="1"/>
    </row>
    <row r="9066" spans="3:30">
      <c r="C9066" s="9"/>
      <c r="AD9066" s="1"/>
    </row>
    <row r="9067" spans="3:30">
      <c r="C9067" s="9"/>
      <c r="AD9067" s="1"/>
    </row>
    <row r="9068" spans="3:30">
      <c r="C9068" s="9"/>
      <c r="AD9068" s="1"/>
    </row>
    <row r="9069" spans="3:30">
      <c r="C9069" s="9"/>
      <c r="AD9069" s="1"/>
    </row>
    <row r="9070" spans="3:30">
      <c r="C9070" s="9"/>
      <c r="AD9070" s="1"/>
    </row>
    <row r="9071" spans="3:30">
      <c r="C9071" s="9"/>
      <c r="AD9071" s="1"/>
    </row>
    <row r="9072" spans="3:30">
      <c r="C9072" s="9"/>
      <c r="AD9072" s="1"/>
    </row>
    <row r="9073" spans="3:30">
      <c r="C9073" s="9"/>
      <c r="AD9073" s="1"/>
    </row>
    <row r="9074" spans="3:30">
      <c r="C9074" s="9"/>
      <c r="AD9074" s="1"/>
    </row>
    <row r="9075" spans="3:30">
      <c r="C9075" s="9"/>
      <c r="AD9075" s="1"/>
    </row>
    <row r="9076" spans="3:30">
      <c r="C9076" s="9"/>
      <c r="AD9076" s="1"/>
    </row>
    <row r="9077" spans="3:30">
      <c r="C9077" s="9"/>
      <c r="AD9077" s="1"/>
    </row>
    <row r="9078" spans="3:30">
      <c r="C9078" s="9"/>
      <c r="AD9078" s="1"/>
    </row>
    <row r="9079" spans="3:30">
      <c r="C9079" s="9"/>
      <c r="AD9079" s="1"/>
    </row>
    <row r="9080" spans="3:30">
      <c r="C9080" s="9"/>
      <c r="AD9080" s="1"/>
    </row>
    <row r="9081" spans="3:30">
      <c r="C9081" s="9"/>
      <c r="AD9081" s="1"/>
    </row>
    <row r="9082" spans="3:30">
      <c r="C9082" s="9"/>
      <c r="AD9082" s="1"/>
    </row>
    <row r="9083" spans="3:30">
      <c r="C9083" s="9"/>
      <c r="AD9083" s="1"/>
    </row>
    <row r="9084" spans="3:30">
      <c r="C9084" s="9"/>
      <c r="AD9084" s="1"/>
    </row>
    <row r="9085" spans="3:30">
      <c r="C9085" s="9"/>
      <c r="AD9085" s="1"/>
    </row>
    <row r="9086" spans="3:30">
      <c r="C9086" s="9"/>
      <c r="AD9086" s="1"/>
    </row>
    <row r="9087" spans="3:30">
      <c r="C9087" s="9"/>
      <c r="AD9087" s="1"/>
    </row>
    <row r="9088" spans="3:30">
      <c r="C9088" s="9"/>
      <c r="AD9088" s="1"/>
    </row>
    <row r="9089" spans="3:30">
      <c r="C9089" s="9"/>
      <c r="AD9089" s="1"/>
    </row>
    <row r="9090" spans="3:30">
      <c r="C9090" s="9"/>
      <c r="AD9090" s="1"/>
    </row>
    <row r="9091" spans="3:30">
      <c r="C9091" s="9"/>
      <c r="AD9091" s="1"/>
    </row>
    <row r="9092" spans="3:30">
      <c r="C9092" s="9"/>
      <c r="AD9092" s="1"/>
    </row>
    <row r="9093" spans="3:30">
      <c r="C9093" s="9"/>
      <c r="AD9093" s="1"/>
    </row>
    <row r="9094" spans="3:30">
      <c r="C9094" s="9"/>
      <c r="AD9094" s="1"/>
    </row>
    <row r="9095" spans="3:30">
      <c r="C9095" s="9"/>
      <c r="AD9095" s="1"/>
    </row>
    <row r="9096" spans="3:30">
      <c r="C9096" s="9"/>
      <c r="AD9096" s="1"/>
    </row>
    <row r="9097" spans="3:30">
      <c r="C9097" s="9"/>
      <c r="AD9097" s="1"/>
    </row>
    <row r="9098" spans="3:30">
      <c r="C9098" s="9"/>
      <c r="AD9098" s="1"/>
    </row>
    <row r="9099" spans="3:30">
      <c r="C9099" s="9"/>
      <c r="AD9099" s="1"/>
    </row>
    <row r="9100" spans="3:30">
      <c r="C9100" s="9"/>
      <c r="AD9100" s="1"/>
    </row>
    <row r="9101" spans="3:30">
      <c r="C9101" s="9"/>
      <c r="AD9101" s="1"/>
    </row>
    <row r="9102" spans="3:30">
      <c r="C9102" s="9"/>
      <c r="AD9102" s="1"/>
    </row>
    <row r="9103" spans="3:30">
      <c r="C9103" s="9"/>
      <c r="AD9103" s="1"/>
    </row>
    <row r="9104" spans="3:30">
      <c r="C9104" s="9"/>
      <c r="AD9104" s="1"/>
    </row>
    <row r="9105" spans="3:30">
      <c r="C9105" s="9"/>
      <c r="AD9105" s="1"/>
    </row>
    <row r="9106" spans="3:30">
      <c r="C9106" s="9"/>
      <c r="AD9106" s="1"/>
    </row>
    <row r="9107" spans="3:30">
      <c r="C9107" s="9"/>
      <c r="AD9107" s="1"/>
    </row>
    <row r="9108" spans="3:30">
      <c r="C9108" s="9"/>
      <c r="AD9108" s="1"/>
    </row>
    <row r="9109" spans="3:30">
      <c r="C9109" s="9"/>
      <c r="AD9109" s="1"/>
    </row>
    <row r="9110" spans="3:30">
      <c r="C9110" s="9"/>
      <c r="AD9110" s="1"/>
    </row>
    <row r="9111" spans="3:30">
      <c r="C9111" s="9"/>
      <c r="AD9111" s="1"/>
    </row>
    <row r="9112" spans="3:30">
      <c r="C9112" s="9"/>
      <c r="AD9112" s="1"/>
    </row>
    <row r="9113" spans="3:30">
      <c r="C9113" s="9"/>
      <c r="AD9113" s="1"/>
    </row>
    <row r="9114" spans="3:30">
      <c r="C9114" s="9"/>
      <c r="AD9114" s="1"/>
    </row>
    <row r="9115" spans="3:30">
      <c r="C9115" s="9"/>
      <c r="AD9115" s="1"/>
    </row>
    <row r="9116" spans="3:30">
      <c r="C9116" s="9"/>
      <c r="AD9116" s="1"/>
    </row>
    <row r="9117" spans="3:30">
      <c r="C9117" s="9"/>
      <c r="AD9117" s="1"/>
    </row>
    <row r="9118" spans="3:30">
      <c r="C9118" s="9"/>
      <c r="AD9118" s="1"/>
    </row>
    <row r="9119" spans="3:30">
      <c r="C9119" s="9"/>
      <c r="AD9119" s="1"/>
    </row>
    <row r="9120" spans="3:30">
      <c r="C9120" s="9"/>
      <c r="AD9120" s="1"/>
    </row>
    <row r="9121" spans="3:30">
      <c r="C9121" s="9"/>
      <c r="AD9121" s="1"/>
    </row>
    <row r="9122" spans="3:30">
      <c r="C9122" s="9"/>
      <c r="AD9122" s="1"/>
    </row>
    <row r="9123" spans="3:30">
      <c r="C9123" s="9"/>
      <c r="AD9123" s="1"/>
    </row>
    <row r="9124" spans="3:30">
      <c r="C9124" s="9"/>
      <c r="AD9124" s="1"/>
    </row>
    <row r="9125" spans="3:30">
      <c r="C9125" s="9"/>
      <c r="AD9125" s="1"/>
    </row>
    <row r="9126" spans="3:30">
      <c r="C9126" s="9"/>
      <c r="AD9126" s="1"/>
    </row>
    <row r="9127" spans="3:30">
      <c r="C9127" s="9"/>
      <c r="AD9127" s="1"/>
    </row>
    <row r="9128" spans="3:30">
      <c r="C9128" s="9"/>
      <c r="AD9128" s="1"/>
    </row>
    <row r="9129" spans="3:30">
      <c r="C9129" s="9"/>
      <c r="AD9129" s="1"/>
    </row>
    <row r="9130" spans="3:30">
      <c r="C9130" s="9"/>
      <c r="AD9130" s="1"/>
    </row>
    <row r="9131" spans="3:30">
      <c r="C9131" s="9"/>
      <c r="AD9131" s="1"/>
    </row>
    <row r="9132" spans="3:30">
      <c r="C9132" s="9"/>
      <c r="AD9132" s="1"/>
    </row>
    <row r="9133" spans="3:30">
      <c r="C9133" s="9"/>
      <c r="AD9133" s="1"/>
    </row>
    <row r="9134" spans="3:30">
      <c r="C9134" s="9"/>
      <c r="AD9134" s="1"/>
    </row>
    <row r="9135" spans="3:30">
      <c r="C9135" s="9"/>
      <c r="AD9135" s="1"/>
    </row>
    <row r="9136" spans="3:30">
      <c r="C9136" s="9"/>
      <c r="AD9136" s="1"/>
    </row>
    <row r="9137" spans="3:30">
      <c r="C9137" s="9"/>
      <c r="AD9137" s="1"/>
    </row>
    <row r="9138" spans="3:30">
      <c r="C9138" s="9"/>
      <c r="AD9138" s="1"/>
    </row>
    <row r="9139" spans="3:30">
      <c r="C9139" s="9"/>
      <c r="AD9139" s="1"/>
    </row>
    <row r="9140" spans="3:30">
      <c r="C9140" s="9"/>
      <c r="AD9140" s="1"/>
    </row>
    <row r="9141" spans="3:30">
      <c r="C9141" s="9"/>
      <c r="AD9141" s="1"/>
    </row>
    <row r="9142" spans="3:30">
      <c r="C9142" s="9"/>
      <c r="AD9142" s="1"/>
    </row>
    <row r="9143" spans="3:30">
      <c r="C9143" s="9"/>
      <c r="AD9143" s="1"/>
    </row>
    <row r="9144" spans="3:30">
      <c r="C9144" s="9"/>
      <c r="AD9144" s="1"/>
    </row>
    <row r="9145" spans="3:30">
      <c r="C9145" s="9"/>
      <c r="AD9145" s="1"/>
    </row>
    <row r="9146" spans="3:30">
      <c r="C9146" s="9"/>
      <c r="AD9146" s="1"/>
    </row>
    <row r="9147" spans="3:30">
      <c r="C9147" s="9"/>
      <c r="AD9147" s="1"/>
    </row>
    <row r="9148" spans="3:30">
      <c r="C9148" s="9"/>
      <c r="AD9148" s="1"/>
    </row>
    <row r="9149" spans="3:30">
      <c r="C9149" s="9"/>
      <c r="AD9149" s="1"/>
    </row>
    <row r="9150" spans="3:30">
      <c r="C9150" s="9"/>
      <c r="AD9150" s="1"/>
    </row>
    <row r="9151" spans="3:30">
      <c r="C9151" s="9"/>
      <c r="AD9151" s="1"/>
    </row>
    <row r="9152" spans="3:30">
      <c r="C9152" s="9"/>
      <c r="AD9152" s="1"/>
    </row>
    <row r="9153" spans="3:30">
      <c r="C9153" s="9"/>
      <c r="AD9153" s="1"/>
    </row>
    <row r="9154" spans="3:30">
      <c r="C9154" s="9"/>
      <c r="AD9154" s="1"/>
    </row>
    <row r="9155" spans="3:30">
      <c r="C9155" s="9"/>
      <c r="AD9155" s="1"/>
    </row>
    <row r="9156" spans="3:30">
      <c r="C9156" s="9"/>
      <c r="AD9156" s="1"/>
    </row>
    <row r="9157" spans="3:30">
      <c r="C9157" s="9"/>
      <c r="AD9157" s="1"/>
    </row>
    <row r="9158" spans="3:30">
      <c r="C9158" s="9"/>
      <c r="AD9158" s="1"/>
    </row>
    <row r="9159" spans="3:30">
      <c r="C9159" s="9"/>
      <c r="AD9159" s="1"/>
    </row>
    <row r="9160" spans="3:30">
      <c r="C9160" s="9"/>
      <c r="AD9160" s="1"/>
    </row>
    <row r="9161" spans="3:30">
      <c r="C9161" s="9"/>
      <c r="AD9161" s="1"/>
    </row>
    <row r="9162" spans="3:30">
      <c r="C9162" s="9"/>
      <c r="AD9162" s="1"/>
    </row>
    <row r="9163" spans="3:30">
      <c r="C9163" s="9"/>
      <c r="AD9163" s="1"/>
    </row>
    <row r="9164" spans="3:30">
      <c r="C9164" s="9"/>
      <c r="AD9164" s="1"/>
    </row>
    <row r="9165" spans="3:30">
      <c r="C9165" s="9"/>
      <c r="AD9165" s="1"/>
    </row>
    <row r="9166" spans="3:30">
      <c r="C9166" s="9"/>
      <c r="AD9166" s="1"/>
    </row>
    <row r="9167" spans="3:30">
      <c r="C9167" s="9"/>
      <c r="AD9167" s="1"/>
    </row>
    <row r="9168" spans="3:30">
      <c r="C9168" s="9"/>
      <c r="AD9168" s="1"/>
    </row>
    <row r="9169" spans="3:30">
      <c r="C9169" s="9"/>
      <c r="AD9169" s="1"/>
    </row>
    <row r="9170" spans="3:30">
      <c r="C9170" s="9"/>
      <c r="AD9170" s="1"/>
    </row>
    <row r="9171" spans="3:30">
      <c r="C9171" s="9"/>
      <c r="AD9171" s="1"/>
    </row>
    <row r="9172" spans="3:30">
      <c r="C9172" s="9"/>
      <c r="AD9172" s="1"/>
    </row>
    <row r="9173" spans="3:30">
      <c r="C9173" s="9"/>
      <c r="AD9173" s="1"/>
    </row>
    <row r="9174" spans="3:30">
      <c r="C9174" s="9"/>
      <c r="AD9174" s="1"/>
    </row>
    <row r="9175" spans="3:30">
      <c r="C9175" s="9"/>
      <c r="AD9175" s="1"/>
    </row>
    <row r="9176" spans="3:30">
      <c r="C9176" s="9"/>
      <c r="AD9176" s="1"/>
    </row>
    <row r="9177" spans="3:30">
      <c r="C9177" s="9"/>
      <c r="AD9177" s="1"/>
    </row>
    <row r="9178" spans="3:30">
      <c r="C9178" s="9"/>
      <c r="AD9178" s="1"/>
    </row>
    <row r="9179" spans="3:30">
      <c r="C9179" s="9"/>
      <c r="AD9179" s="1"/>
    </row>
    <row r="9180" spans="3:30">
      <c r="C9180" s="9"/>
      <c r="AD9180" s="1"/>
    </row>
    <row r="9181" spans="3:30">
      <c r="C9181" s="9"/>
      <c r="AD9181" s="1"/>
    </row>
    <row r="9182" spans="3:30">
      <c r="C9182" s="9"/>
      <c r="AD9182" s="1"/>
    </row>
    <row r="9183" spans="3:30">
      <c r="C9183" s="9"/>
      <c r="AD9183" s="1"/>
    </row>
    <row r="9184" spans="3:30">
      <c r="C9184" s="9"/>
      <c r="AD9184" s="1"/>
    </row>
    <row r="9185" spans="3:30">
      <c r="C9185" s="9"/>
      <c r="AD9185" s="1"/>
    </row>
    <row r="9186" spans="3:30">
      <c r="C9186" s="9"/>
      <c r="AD9186" s="1"/>
    </row>
    <row r="9187" spans="3:30">
      <c r="C9187" s="9"/>
      <c r="AD9187" s="1"/>
    </row>
    <row r="9188" spans="3:30">
      <c r="C9188" s="9"/>
      <c r="AD9188" s="1"/>
    </row>
    <row r="9189" spans="3:30">
      <c r="C9189" s="9"/>
      <c r="AD9189" s="1"/>
    </row>
    <row r="9190" spans="3:30">
      <c r="C9190" s="9"/>
      <c r="AD9190" s="1"/>
    </row>
    <row r="9191" spans="3:30">
      <c r="C9191" s="9"/>
      <c r="AD9191" s="1"/>
    </row>
    <row r="9192" spans="3:30">
      <c r="C9192" s="9"/>
      <c r="AD9192" s="1"/>
    </row>
    <row r="9193" spans="3:30">
      <c r="C9193" s="9"/>
      <c r="AD9193" s="1"/>
    </row>
    <row r="9194" spans="3:30">
      <c r="C9194" s="9"/>
      <c r="AD9194" s="1"/>
    </row>
    <row r="9195" spans="3:30">
      <c r="C9195" s="9"/>
      <c r="AD9195" s="1"/>
    </row>
    <row r="9196" spans="3:30">
      <c r="C9196" s="9"/>
      <c r="AD9196" s="1"/>
    </row>
    <row r="9197" spans="3:30">
      <c r="C9197" s="9"/>
      <c r="AD9197" s="1"/>
    </row>
    <row r="9198" spans="3:30">
      <c r="C9198" s="9"/>
      <c r="AD9198" s="1"/>
    </row>
    <row r="9199" spans="3:30">
      <c r="C9199" s="9"/>
      <c r="AD9199" s="1"/>
    </row>
    <row r="9200" spans="3:30">
      <c r="C9200" s="9"/>
      <c r="AD9200" s="1"/>
    </row>
    <row r="9201" spans="3:30">
      <c r="C9201" s="9"/>
      <c r="AD9201" s="1"/>
    </row>
    <row r="9202" spans="3:30">
      <c r="C9202" s="9"/>
      <c r="AD9202" s="1"/>
    </row>
    <row r="9203" spans="3:30">
      <c r="C9203" s="9"/>
      <c r="AD9203" s="1"/>
    </row>
    <row r="9204" spans="3:30">
      <c r="C9204" s="9"/>
      <c r="AD9204" s="1"/>
    </row>
    <row r="9205" spans="3:30">
      <c r="C9205" s="9"/>
      <c r="AD9205" s="1"/>
    </row>
    <row r="9206" spans="3:30">
      <c r="C9206" s="9"/>
      <c r="AD9206" s="1"/>
    </row>
    <row r="9207" spans="3:30">
      <c r="C9207" s="9"/>
      <c r="AD9207" s="1"/>
    </row>
    <row r="9208" spans="3:30">
      <c r="C9208" s="9"/>
      <c r="AD9208" s="1"/>
    </row>
    <row r="9209" spans="3:30">
      <c r="C9209" s="9"/>
      <c r="AD9209" s="1"/>
    </row>
    <row r="9210" spans="3:30">
      <c r="C9210" s="9"/>
      <c r="AD9210" s="1"/>
    </row>
    <row r="9211" spans="3:30">
      <c r="C9211" s="9"/>
      <c r="AD9211" s="1"/>
    </row>
    <row r="9212" spans="3:30">
      <c r="C9212" s="9"/>
      <c r="AD9212" s="1"/>
    </row>
    <row r="9213" spans="3:30">
      <c r="C9213" s="9"/>
      <c r="AD9213" s="1"/>
    </row>
    <row r="9214" spans="3:30">
      <c r="C9214" s="9"/>
      <c r="AD9214" s="1"/>
    </row>
    <row r="9215" spans="3:30">
      <c r="C9215" s="9"/>
      <c r="AD9215" s="1"/>
    </row>
    <row r="9216" spans="3:30">
      <c r="C9216" s="9"/>
      <c r="AD9216" s="1"/>
    </row>
    <row r="9217" spans="3:30">
      <c r="C9217" s="9"/>
      <c r="AD9217" s="1"/>
    </row>
    <row r="9218" spans="3:30">
      <c r="C9218" s="9"/>
      <c r="AD9218" s="1"/>
    </row>
    <row r="9219" spans="3:30">
      <c r="C9219" s="9"/>
      <c r="AD9219" s="1"/>
    </row>
    <row r="9220" spans="3:30">
      <c r="C9220" s="9"/>
      <c r="AD9220" s="1"/>
    </row>
    <row r="9221" spans="3:30">
      <c r="C9221" s="9"/>
      <c r="AD9221" s="1"/>
    </row>
    <row r="9222" spans="3:30">
      <c r="C9222" s="9"/>
      <c r="AD9222" s="1"/>
    </row>
    <row r="9223" spans="3:30">
      <c r="C9223" s="9"/>
      <c r="AD9223" s="1"/>
    </row>
    <row r="9224" spans="3:30">
      <c r="C9224" s="9"/>
      <c r="AD9224" s="1"/>
    </row>
    <row r="9225" spans="3:30">
      <c r="C9225" s="9"/>
      <c r="AD9225" s="1"/>
    </row>
    <row r="9226" spans="3:30">
      <c r="C9226" s="9"/>
      <c r="AD9226" s="1"/>
    </row>
    <row r="9227" spans="3:30">
      <c r="C9227" s="9"/>
      <c r="AD9227" s="1"/>
    </row>
    <row r="9228" spans="3:30">
      <c r="C9228" s="9"/>
      <c r="AD9228" s="1"/>
    </row>
    <row r="9229" spans="3:30">
      <c r="C9229" s="9"/>
      <c r="AD9229" s="1"/>
    </row>
    <row r="9230" spans="3:30">
      <c r="C9230" s="9"/>
      <c r="AD9230" s="1"/>
    </row>
    <row r="9231" spans="3:30">
      <c r="C9231" s="9"/>
      <c r="AD9231" s="1"/>
    </row>
    <row r="9232" spans="3:30">
      <c r="C9232" s="9"/>
      <c r="AD9232" s="1"/>
    </row>
    <row r="9233" spans="3:30">
      <c r="C9233" s="9"/>
      <c r="AD9233" s="1"/>
    </row>
    <row r="9234" spans="3:30">
      <c r="C9234" s="9"/>
      <c r="AD9234" s="1"/>
    </row>
    <row r="9235" spans="3:30">
      <c r="C9235" s="9"/>
      <c r="AD9235" s="1"/>
    </row>
    <row r="9236" spans="3:30">
      <c r="C9236" s="9"/>
      <c r="AD9236" s="1"/>
    </row>
    <row r="9237" spans="3:30">
      <c r="C9237" s="9"/>
      <c r="AD9237" s="1"/>
    </row>
    <row r="9238" spans="3:30">
      <c r="C9238" s="9"/>
      <c r="AD9238" s="1"/>
    </row>
    <row r="9239" spans="3:30">
      <c r="C9239" s="9"/>
      <c r="AD9239" s="1"/>
    </row>
    <row r="9240" spans="3:30">
      <c r="C9240" s="9"/>
      <c r="AD9240" s="1"/>
    </row>
    <row r="9241" spans="3:30">
      <c r="C9241" s="9"/>
      <c r="AD9241" s="1"/>
    </row>
    <row r="9242" spans="3:30">
      <c r="C9242" s="9"/>
      <c r="AD9242" s="1"/>
    </row>
    <row r="9243" spans="3:30">
      <c r="C9243" s="9"/>
      <c r="AD9243" s="1"/>
    </row>
    <row r="9244" spans="3:30">
      <c r="C9244" s="9"/>
      <c r="AD9244" s="1"/>
    </row>
    <row r="9245" spans="3:30">
      <c r="C9245" s="9"/>
      <c r="AD9245" s="1"/>
    </row>
    <row r="9246" spans="3:30">
      <c r="C9246" s="9"/>
      <c r="AD9246" s="1"/>
    </row>
    <row r="9247" spans="3:30">
      <c r="C9247" s="9"/>
      <c r="AD9247" s="1"/>
    </row>
    <row r="9248" spans="3:30">
      <c r="C9248" s="9"/>
      <c r="AD9248" s="1"/>
    </row>
    <row r="9249" spans="3:30">
      <c r="C9249" s="9"/>
      <c r="AD9249" s="1"/>
    </row>
    <row r="9250" spans="3:30">
      <c r="C9250" s="9"/>
      <c r="AD9250" s="1"/>
    </row>
    <row r="9251" spans="3:30">
      <c r="C9251" s="9"/>
      <c r="AD9251" s="1"/>
    </row>
    <row r="9252" spans="3:30">
      <c r="C9252" s="9"/>
      <c r="AD9252" s="1"/>
    </row>
    <row r="9253" spans="3:30">
      <c r="C9253" s="9"/>
      <c r="AD9253" s="1"/>
    </row>
    <row r="9254" spans="3:30">
      <c r="C9254" s="9"/>
      <c r="AD9254" s="1"/>
    </row>
    <row r="9255" spans="3:30">
      <c r="C9255" s="9"/>
      <c r="AD9255" s="1"/>
    </row>
    <row r="9256" spans="3:30">
      <c r="C9256" s="9"/>
      <c r="AD9256" s="1"/>
    </row>
    <row r="9257" spans="3:30">
      <c r="C9257" s="9"/>
      <c r="AD9257" s="1"/>
    </row>
    <row r="9258" spans="3:30">
      <c r="C9258" s="9"/>
      <c r="AD9258" s="1"/>
    </row>
    <row r="9259" spans="3:30">
      <c r="C9259" s="9"/>
      <c r="AD9259" s="1"/>
    </row>
    <row r="9260" spans="3:30">
      <c r="C9260" s="9"/>
      <c r="AD9260" s="1"/>
    </row>
    <row r="9261" spans="3:30">
      <c r="C9261" s="9"/>
      <c r="AD9261" s="1"/>
    </row>
    <row r="9262" spans="3:30">
      <c r="C9262" s="9"/>
      <c r="AD9262" s="1"/>
    </row>
    <row r="9263" spans="3:30">
      <c r="C9263" s="9"/>
      <c r="AD9263" s="1"/>
    </row>
    <row r="9264" spans="3:30">
      <c r="C9264" s="9"/>
      <c r="AD9264" s="1"/>
    </row>
    <row r="9265" spans="3:30">
      <c r="C9265" s="9"/>
      <c r="AD9265" s="1"/>
    </row>
    <row r="9266" spans="3:30">
      <c r="C9266" s="9"/>
      <c r="AD9266" s="1"/>
    </row>
    <row r="9267" spans="3:30">
      <c r="C9267" s="9"/>
      <c r="AD9267" s="1"/>
    </row>
    <row r="9268" spans="3:30">
      <c r="C9268" s="9"/>
      <c r="AD9268" s="1"/>
    </row>
    <row r="9269" spans="3:30">
      <c r="C9269" s="9"/>
      <c r="AD9269" s="1"/>
    </row>
    <row r="9270" spans="3:30">
      <c r="C9270" s="9"/>
      <c r="AD9270" s="1"/>
    </row>
    <row r="9271" spans="3:30">
      <c r="C9271" s="9"/>
      <c r="AD9271" s="1"/>
    </row>
    <row r="9272" spans="3:30">
      <c r="C9272" s="9"/>
      <c r="AD9272" s="1"/>
    </row>
    <row r="9273" spans="3:30">
      <c r="C9273" s="9"/>
      <c r="AD9273" s="1"/>
    </row>
    <row r="9274" spans="3:30">
      <c r="C9274" s="9"/>
      <c r="AD9274" s="1"/>
    </row>
    <row r="9275" spans="3:30">
      <c r="C9275" s="9"/>
      <c r="AD9275" s="1"/>
    </row>
    <row r="9276" spans="3:30">
      <c r="C9276" s="9"/>
      <c r="AD9276" s="1"/>
    </row>
    <row r="9277" spans="3:30">
      <c r="C9277" s="9"/>
      <c r="AD9277" s="1"/>
    </row>
    <row r="9278" spans="3:30">
      <c r="C9278" s="9"/>
      <c r="AD9278" s="1"/>
    </row>
    <row r="9279" spans="3:30">
      <c r="C9279" s="9"/>
      <c r="AD9279" s="1"/>
    </row>
    <row r="9280" spans="3:30">
      <c r="C9280" s="9"/>
      <c r="AD9280" s="1"/>
    </row>
    <row r="9281" spans="3:30">
      <c r="C9281" s="9"/>
      <c r="AD9281" s="1"/>
    </row>
    <row r="9282" spans="3:30">
      <c r="C9282" s="9"/>
      <c r="AD9282" s="1"/>
    </row>
    <row r="9283" spans="3:30">
      <c r="C9283" s="9"/>
      <c r="AD9283" s="1"/>
    </row>
    <row r="9284" spans="3:30">
      <c r="C9284" s="9"/>
      <c r="AD9284" s="1"/>
    </row>
    <row r="9285" spans="3:30">
      <c r="C9285" s="9"/>
      <c r="AD9285" s="1"/>
    </row>
    <row r="9286" spans="3:30">
      <c r="C9286" s="9"/>
      <c r="AD9286" s="1"/>
    </row>
    <row r="9287" spans="3:30">
      <c r="C9287" s="9"/>
      <c r="AD9287" s="1"/>
    </row>
    <row r="9288" spans="3:30">
      <c r="C9288" s="9"/>
      <c r="AD9288" s="1"/>
    </row>
    <row r="9289" spans="3:30">
      <c r="C9289" s="9"/>
      <c r="AD9289" s="1"/>
    </row>
    <row r="9290" spans="3:30">
      <c r="C9290" s="9"/>
      <c r="AD9290" s="1"/>
    </row>
    <row r="9291" spans="3:30">
      <c r="C9291" s="9"/>
      <c r="AD9291" s="1"/>
    </row>
    <row r="9292" spans="3:30">
      <c r="C9292" s="9"/>
      <c r="AD9292" s="1"/>
    </row>
    <row r="9293" spans="3:30">
      <c r="C9293" s="9"/>
      <c r="AD9293" s="1"/>
    </row>
    <row r="9294" spans="3:30">
      <c r="C9294" s="9"/>
      <c r="AD9294" s="1"/>
    </row>
    <row r="9295" spans="3:30">
      <c r="C9295" s="9"/>
      <c r="AD9295" s="1"/>
    </row>
    <row r="9296" spans="3:30">
      <c r="C9296" s="9"/>
      <c r="AD9296" s="1"/>
    </row>
    <row r="9297" spans="3:30">
      <c r="C9297" s="9"/>
      <c r="AD9297" s="1"/>
    </row>
    <row r="9298" spans="3:30">
      <c r="C9298" s="9"/>
      <c r="AD9298" s="1"/>
    </row>
    <row r="9299" spans="3:30">
      <c r="C9299" s="9"/>
      <c r="AD9299" s="1"/>
    </row>
    <row r="9300" spans="3:30">
      <c r="C9300" s="9"/>
      <c r="AD9300" s="1"/>
    </row>
    <row r="9301" spans="3:30">
      <c r="C9301" s="9"/>
      <c r="AD9301" s="1"/>
    </row>
    <row r="9302" spans="3:30">
      <c r="C9302" s="9"/>
      <c r="AD9302" s="1"/>
    </row>
    <row r="9303" spans="3:30">
      <c r="C9303" s="9"/>
      <c r="AD9303" s="1"/>
    </row>
    <row r="9304" spans="3:30">
      <c r="C9304" s="9"/>
      <c r="AD9304" s="1"/>
    </row>
    <row r="9305" spans="3:30">
      <c r="C9305" s="9"/>
      <c r="AD9305" s="1"/>
    </row>
    <row r="9306" spans="3:30">
      <c r="C9306" s="9"/>
      <c r="AD9306" s="1"/>
    </row>
    <row r="9307" spans="3:30">
      <c r="C9307" s="9"/>
      <c r="AD9307" s="1"/>
    </row>
    <row r="9308" spans="3:30">
      <c r="C9308" s="9"/>
      <c r="AD9308" s="1"/>
    </row>
    <row r="9309" spans="3:30">
      <c r="C9309" s="9"/>
      <c r="AD9309" s="1"/>
    </row>
    <row r="9310" spans="3:30">
      <c r="C9310" s="9"/>
      <c r="AD9310" s="1"/>
    </row>
    <row r="9311" spans="3:30">
      <c r="C9311" s="9"/>
      <c r="AD9311" s="1"/>
    </row>
    <row r="9312" spans="3:30">
      <c r="C9312" s="9"/>
      <c r="AD9312" s="1"/>
    </row>
    <row r="9313" spans="3:30">
      <c r="C9313" s="9"/>
      <c r="AD9313" s="1"/>
    </row>
    <row r="9314" spans="3:30">
      <c r="C9314" s="9"/>
      <c r="AD9314" s="1"/>
    </row>
    <row r="9315" spans="3:30">
      <c r="C9315" s="9"/>
      <c r="AD9315" s="1"/>
    </row>
    <row r="9316" spans="3:30">
      <c r="C9316" s="9"/>
      <c r="AD9316" s="1"/>
    </row>
    <row r="9317" spans="3:30">
      <c r="C9317" s="9"/>
      <c r="AD9317" s="1"/>
    </row>
    <row r="9318" spans="3:30">
      <c r="C9318" s="9"/>
      <c r="AD9318" s="1"/>
    </row>
    <row r="9319" spans="3:30">
      <c r="C9319" s="9"/>
      <c r="AD9319" s="1"/>
    </row>
    <row r="9320" spans="3:30">
      <c r="C9320" s="9"/>
      <c r="AD9320" s="1"/>
    </row>
    <row r="9321" spans="3:30">
      <c r="C9321" s="9"/>
      <c r="AD9321" s="1"/>
    </row>
    <row r="9322" spans="3:30">
      <c r="C9322" s="9"/>
      <c r="AD9322" s="1"/>
    </row>
    <row r="9323" spans="3:30">
      <c r="C9323" s="9"/>
      <c r="AD9323" s="1"/>
    </row>
    <row r="9324" spans="3:30">
      <c r="C9324" s="9"/>
      <c r="AD9324" s="1"/>
    </row>
    <row r="9325" spans="3:30">
      <c r="C9325" s="9"/>
      <c r="AD9325" s="1"/>
    </row>
    <row r="9326" spans="3:30">
      <c r="C9326" s="9"/>
      <c r="AD9326" s="1"/>
    </row>
    <row r="9327" spans="3:30">
      <c r="C9327" s="9"/>
      <c r="AD9327" s="1"/>
    </row>
    <row r="9328" spans="3:30">
      <c r="C9328" s="9"/>
      <c r="AD9328" s="1"/>
    </row>
    <row r="9329" spans="3:30">
      <c r="C9329" s="9"/>
      <c r="AD9329" s="1"/>
    </row>
    <row r="9330" spans="3:30">
      <c r="C9330" s="9"/>
      <c r="AD9330" s="1"/>
    </row>
    <row r="9331" spans="3:30">
      <c r="C9331" s="9"/>
      <c r="AD9331" s="1"/>
    </row>
    <row r="9332" spans="3:30">
      <c r="C9332" s="9"/>
      <c r="AD9332" s="1"/>
    </row>
    <row r="9333" spans="3:30">
      <c r="C9333" s="9"/>
      <c r="AD9333" s="1"/>
    </row>
    <row r="9334" spans="3:30">
      <c r="C9334" s="9"/>
      <c r="AD9334" s="1"/>
    </row>
    <row r="9335" spans="3:30">
      <c r="C9335" s="9"/>
      <c r="AD9335" s="1"/>
    </row>
    <row r="9336" spans="3:30">
      <c r="C9336" s="9"/>
      <c r="AD9336" s="1"/>
    </row>
    <row r="9337" spans="3:30">
      <c r="C9337" s="9"/>
      <c r="AD9337" s="1"/>
    </row>
    <row r="9338" spans="3:30">
      <c r="C9338" s="9"/>
      <c r="AD9338" s="1"/>
    </row>
    <row r="9339" spans="3:30">
      <c r="C9339" s="9"/>
      <c r="AD9339" s="1"/>
    </row>
    <row r="9340" spans="3:30">
      <c r="C9340" s="9"/>
      <c r="AD9340" s="1"/>
    </row>
    <row r="9341" spans="3:30">
      <c r="C9341" s="9"/>
      <c r="AD9341" s="1"/>
    </row>
    <row r="9342" spans="3:30">
      <c r="C9342" s="9"/>
      <c r="AD9342" s="1"/>
    </row>
    <row r="9343" spans="3:30">
      <c r="C9343" s="9"/>
      <c r="AD9343" s="1"/>
    </row>
    <row r="9344" spans="3:30">
      <c r="C9344" s="9"/>
      <c r="AD9344" s="1"/>
    </row>
    <row r="9345" spans="3:30">
      <c r="C9345" s="9"/>
      <c r="AD9345" s="1"/>
    </row>
    <row r="9346" spans="3:30">
      <c r="C9346" s="9"/>
      <c r="AD9346" s="1"/>
    </row>
    <row r="9347" spans="3:30">
      <c r="C9347" s="9"/>
      <c r="AD9347" s="1"/>
    </row>
    <row r="9348" spans="3:30">
      <c r="C9348" s="9"/>
      <c r="AD9348" s="1"/>
    </row>
    <row r="9349" spans="3:30">
      <c r="C9349" s="9"/>
      <c r="AD9349" s="1"/>
    </row>
    <row r="9350" spans="3:30">
      <c r="C9350" s="9"/>
      <c r="AD9350" s="1"/>
    </row>
    <row r="9351" spans="3:30">
      <c r="C9351" s="9"/>
      <c r="AD9351" s="1"/>
    </row>
    <row r="9352" spans="3:30">
      <c r="C9352" s="9"/>
      <c r="AD9352" s="1"/>
    </row>
    <row r="9353" spans="3:30">
      <c r="C9353" s="9"/>
      <c r="AD9353" s="1"/>
    </row>
    <row r="9354" spans="3:30">
      <c r="C9354" s="9"/>
      <c r="AD9354" s="1"/>
    </row>
    <row r="9355" spans="3:30">
      <c r="C9355" s="9"/>
      <c r="AD9355" s="1"/>
    </row>
    <row r="9356" spans="3:30">
      <c r="C9356" s="9"/>
      <c r="AD9356" s="1"/>
    </row>
    <row r="9357" spans="3:30">
      <c r="C9357" s="9"/>
      <c r="AD9357" s="1"/>
    </row>
    <row r="9358" spans="3:30">
      <c r="C9358" s="9"/>
      <c r="AD9358" s="1"/>
    </row>
    <row r="9359" spans="3:30">
      <c r="C9359" s="9"/>
      <c r="AD9359" s="1"/>
    </row>
    <row r="9360" spans="3:30">
      <c r="C9360" s="9"/>
      <c r="AD9360" s="1"/>
    </row>
    <row r="9361" spans="3:30">
      <c r="C9361" s="9"/>
      <c r="AD9361" s="1"/>
    </row>
    <row r="9362" spans="3:30">
      <c r="C9362" s="9"/>
      <c r="AD9362" s="1"/>
    </row>
    <row r="9363" spans="3:30">
      <c r="C9363" s="9"/>
      <c r="AD9363" s="1"/>
    </row>
    <row r="9364" spans="3:30">
      <c r="C9364" s="9"/>
      <c r="AD9364" s="1"/>
    </row>
    <row r="9365" spans="3:30">
      <c r="C9365" s="9"/>
      <c r="AD9365" s="1"/>
    </row>
    <row r="9366" spans="3:30">
      <c r="C9366" s="9"/>
      <c r="AD9366" s="1"/>
    </row>
    <row r="9367" spans="3:30">
      <c r="C9367" s="9"/>
      <c r="AD9367" s="1"/>
    </row>
    <row r="9368" spans="3:30">
      <c r="C9368" s="9"/>
      <c r="AD9368" s="1"/>
    </row>
    <row r="9369" spans="3:30">
      <c r="C9369" s="9"/>
      <c r="AD9369" s="1"/>
    </row>
    <row r="9370" spans="3:30">
      <c r="C9370" s="9"/>
      <c r="AD9370" s="1"/>
    </row>
    <row r="9371" spans="3:30">
      <c r="C9371" s="9"/>
      <c r="AD9371" s="1"/>
    </row>
    <row r="9372" spans="3:30">
      <c r="C9372" s="9"/>
      <c r="AD9372" s="1"/>
    </row>
    <row r="9373" spans="3:30">
      <c r="C9373" s="9"/>
      <c r="AD9373" s="1"/>
    </row>
    <row r="9374" spans="3:30">
      <c r="C9374" s="9"/>
      <c r="AD9374" s="1"/>
    </row>
    <row r="9375" spans="3:30">
      <c r="C9375" s="9"/>
      <c r="AD9375" s="1"/>
    </row>
    <row r="9376" spans="3:30">
      <c r="C9376" s="9"/>
      <c r="AD9376" s="1"/>
    </row>
    <row r="9377" spans="3:30">
      <c r="C9377" s="9"/>
      <c r="AD9377" s="1"/>
    </row>
    <row r="9378" spans="3:30">
      <c r="C9378" s="9"/>
      <c r="AD9378" s="1"/>
    </row>
    <row r="9379" spans="3:30">
      <c r="C9379" s="9"/>
      <c r="AD9379" s="1"/>
    </row>
    <row r="9380" spans="3:30">
      <c r="C9380" s="9"/>
      <c r="AD9380" s="1"/>
    </row>
    <row r="9381" spans="3:30">
      <c r="C9381" s="9"/>
      <c r="AD9381" s="1"/>
    </row>
    <row r="9382" spans="3:30">
      <c r="C9382" s="9"/>
      <c r="AD9382" s="1"/>
    </row>
    <row r="9383" spans="3:30">
      <c r="C9383" s="9"/>
      <c r="AD9383" s="1"/>
    </row>
    <row r="9384" spans="3:30">
      <c r="C9384" s="9"/>
      <c r="AD9384" s="1"/>
    </row>
    <row r="9385" spans="3:30">
      <c r="C9385" s="9"/>
      <c r="AD9385" s="1"/>
    </row>
    <row r="9386" spans="3:30">
      <c r="C9386" s="9"/>
      <c r="AD9386" s="1"/>
    </row>
    <row r="9387" spans="3:30">
      <c r="C9387" s="9"/>
      <c r="AD9387" s="1"/>
    </row>
    <row r="9388" spans="3:30">
      <c r="C9388" s="9"/>
      <c r="AD9388" s="1"/>
    </row>
    <row r="9389" spans="3:30">
      <c r="C9389" s="9"/>
      <c r="AD9389" s="1"/>
    </row>
    <row r="9390" spans="3:30">
      <c r="C9390" s="9"/>
      <c r="AD9390" s="1"/>
    </row>
    <row r="9391" spans="3:30">
      <c r="C9391" s="9"/>
      <c r="AD9391" s="1"/>
    </row>
    <row r="9392" spans="3:30">
      <c r="C9392" s="9"/>
      <c r="AD9392" s="1"/>
    </row>
    <row r="9393" spans="3:30">
      <c r="C9393" s="9"/>
      <c r="AD9393" s="1"/>
    </row>
    <row r="9394" spans="3:30">
      <c r="C9394" s="9"/>
      <c r="AD9394" s="1"/>
    </row>
    <row r="9395" spans="3:30">
      <c r="C9395" s="9"/>
      <c r="AD9395" s="1"/>
    </row>
    <row r="9396" spans="3:30">
      <c r="C9396" s="9"/>
      <c r="AD9396" s="1"/>
    </row>
    <row r="9397" spans="3:30">
      <c r="C9397" s="9"/>
      <c r="AD9397" s="1"/>
    </row>
    <row r="9398" spans="3:30">
      <c r="C9398" s="9"/>
      <c r="AD9398" s="1"/>
    </row>
    <row r="9399" spans="3:30">
      <c r="C9399" s="9"/>
      <c r="AD9399" s="1"/>
    </row>
    <row r="9400" spans="3:30">
      <c r="C9400" s="9"/>
      <c r="AD9400" s="1"/>
    </row>
    <row r="9401" spans="3:30">
      <c r="C9401" s="9"/>
      <c r="AD9401" s="1"/>
    </row>
    <row r="9402" spans="3:30">
      <c r="C9402" s="9"/>
      <c r="AD9402" s="1"/>
    </row>
    <row r="9403" spans="3:30">
      <c r="C9403" s="9"/>
      <c r="AD9403" s="1"/>
    </row>
    <row r="9404" spans="3:30">
      <c r="C9404" s="9"/>
      <c r="AD9404" s="1"/>
    </row>
    <row r="9405" spans="3:30">
      <c r="C9405" s="9"/>
      <c r="AD9405" s="1"/>
    </row>
    <row r="9406" spans="3:30">
      <c r="C9406" s="9"/>
      <c r="AD9406" s="1"/>
    </row>
    <row r="9407" spans="3:30">
      <c r="C9407" s="9"/>
      <c r="AD9407" s="1"/>
    </row>
    <row r="9408" spans="3:30">
      <c r="C9408" s="9"/>
      <c r="AD9408" s="1"/>
    </row>
    <row r="9409" spans="3:30">
      <c r="C9409" s="9"/>
      <c r="AD9409" s="1"/>
    </row>
    <row r="9410" spans="3:30">
      <c r="C9410" s="9"/>
      <c r="AD9410" s="1"/>
    </row>
    <row r="9411" spans="3:30">
      <c r="C9411" s="9"/>
      <c r="AD9411" s="1"/>
    </row>
    <row r="9412" spans="3:30">
      <c r="C9412" s="9"/>
      <c r="AD9412" s="1"/>
    </row>
    <row r="9413" spans="3:30">
      <c r="C9413" s="9"/>
      <c r="AD9413" s="1"/>
    </row>
    <row r="9414" spans="3:30">
      <c r="C9414" s="9"/>
      <c r="AD9414" s="1"/>
    </row>
    <row r="9415" spans="3:30">
      <c r="C9415" s="9"/>
      <c r="AD9415" s="1"/>
    </row>
    <row r="9416" spans="3:30">
      <c r="C9416" s="9"/>
      <c r="AD9416" s="1"/>
    </row>
    <row r="9417" spans="3:30">
      <c r="C9417" s="9"/>
      <c r="AD9417" s="1"/>
    </row>
    <row r="9418" spans="3:30">
      <c r="C9418" s="9"/>
      <c r="AD9418" s="1"/>
    </row>
    <row r="9419" spans="3:30">
      <c r="C9419" s="9"/>
      <c r="AD9419" s="1"/>
    </row>
    <row r="9420" spans="3:30">
      <c r="C9420" s="9"/>
      <c r="AD9420" s="1"/>
    </row>
    <row r="9421" spans="3:30">
      <c r="C9421" s="9"/>
      <c r="AD9421" s="1"/>
    </row>
    <row r="9422" spans="3:30">
      <c r="C9422" s="9"/>
      <c r="AD9422" s="1"/>
    </row>
    <row r="9423" spans="3:30">
      <c r="C9423" s="9"/>
      <c r="AD9423" s="1"/>
    </row>
    <row r="9424" spans="3:30">
      <c r="C9424" s="9"/>
      <c r="AD9424" s="1"/>
    </row>
    <row r="9425" spans="3:30">
      <c r="C9425" s="9"/>
      <c r="AD9425" s="1"/>
    </row>
    <row r="9426" spans="3:30">
      <c r="C9426" s="9"/>
      <c r="AD9426" s="1"/>
    </row>
    <row r="9427" spans="3:30">
      <c r="C9427" s="9"/>
      <c r="AD9427" s="1"/>
    </row>
    <row r="9428" spans="3:30">
      <c r="C9428" s="9"/>
      <c r="AD9428" s="1"/>
    </row>
    <row r="9429" spans="3:30">
      <c r="C9429" s="9"/>
      <c r="AD9429" s="1"/>
    </row>
    <row r="9430" spans="3:30">
      <c r="C9430" s="9"/>
      <c r="AD9430" s="1"/>
    </row>
    <row r="9431" spans="3:30">
      <c r="C9431" s="9"/>
      <c r="AD9431" s="1"/>
    </row>
    <row r="9432" spans="3:30">
      <c r="C9432" s="9"/>
      <c r="AD9432" s="1"/>
    </row>
    <row r="9433" spans="3:30">
      <c r="C9433" s="9"/>
      <c r="AD9433" s="1"/>
    </row>
    <row r="9434" spans="3:30">
      <c r="C9434" s="9"/>
      <c r="AD9434" s="1"/>
    </row>
    <row r="9435" spans="3:30">
      <c r="C9435" s="9"/>
      <c r="AD9435" s="1"/>
    </row>
    <row r="9436" spans="3:30">
      <c r="C9436" s="9"/>
      <c r="AD9436" s="1"/>
    </row>
    <row r="9437" spans="3:30">
      <c r="C9437" s="9"/>
      <c r="AD9437" s="1"/>
    </row>
    <row r="9438" spans="3:30">
      <c r="C9438" s="9"/>
      <c r="AD9438" s="1"/>
    </row>
    <row r="9439" spans="3:30">
      <c r="C9439" s="9"/>
      <c r="AD9439" s="1"/>
    </row>
    <row r="9440" spans="3:30">
      <c r="C9440" s="9"/>
      <c r="AD9440" s="1"/>
    </row>
    <row r="9441" spans="3:30">
      <c r="C9441" s="9"/>
      <c r="AD9441" s="1"/>
    </row>
    <row r="9442" spans="3:30">
      <c r="C9442" s="9"/>
      <c r="AD9442" s="1"/>
    </row>
    <row r="9443" spans="3:30">
      <c r="C9443" s="9"/>
      <c r="AD9443" s="1"/>
    </row>
    <row r="9444" spans="3:30">
      <c r="C9444" s="9"/>
      <c r="AD9444" s="1"/>
    </row>
    <row r="9445" spans="3:30">
      <c r="C9445" s="9"/>
      <c r="AD9445" s="1"/>
    </row>
    <row r="9446" spans="3:30">
      <c r="C9446" s="9"/>
      <c r="AD9446" s="1"/>
    </row>
    <row r="9447" spans="3:30">
      <c r="C9447" s="9"/>
      <c r="AD9447" s="1"/>
    </row>
    <row r="9448" spans="3:30">
      <c r="C9448" s="9"/>
      <c r="AD9448" s="1"/>
    </row>
    <row r="9449" spans="3:30">
      <c r="C9449" s="9"/>
      <c r="AD9449" s="1"/>
    </row>
    <row r="9450" spans="3:30">
      <c r="C9450" s="9"/>
      <c r="AD9450" s="1"/>
    </row>
    <row r="9451" spans="3:30">
      <c r="C9451" s="9"/>
      <c r="AD9451" s="1"/>
    </row>
    <row r="9452" spans="3:30">
      <c r="C9452" s="9"/>
      <c r="AD9452" s="1"/>
    </row>
    <row r="9453" spans="3:30">
      <c r="C9453" s="9"/>
      <c r="AD9453" s="1"/>
    </row>
    <row r="9454" spans="3:30">
      <c r="C9454" s="9"/>
      <c r="AD9454" s="1"/>
    </row>
    <row r="9455" spans="3:30">
      <c r="C9455" s="9"/>
      <c r="AD9455" s="1"/>
    </row>
    <row r="9456" spans="3:30">
      <c r="C9456" s="9"/>
      <c r="AD9456" s="1"/>
    </row>
    <row r="9457" spans="3:30">
      <c r="C9457" s="9"/>
      <c r="AD9457" s="1"/>
    </row>
    <row r="9458" spans="3:30">
      <c r="C9458" s="9"/>
      <c r="AD9458" s="1"/>
    </row>
    <row r="9459" spans="3:30">
      <c r="C9459" s="9"/>
      <c r="AD9459" s="1"/>
    </row>
    <row r="9460" spans="3:30">
      <c r="C9460" s="9"/>
      <c r="AD9460" s="1"/>
    </row>
    <row r="9461" spans="3:30">
      <c r="C9461" s="9"/>
      <c r="AD9461" s="1"/>
    </row>
    <row r="9462" spans="3:30">
      <c r="C9462" s="9"/>
      <c r="AD9462" s="1"/>
    </row>
    <row r="9463" spans="3:30">
      <c r="C9463" s="9"/>
      <c r="AD9463" s="1"/>
    </row>
    <row r="9464" spans="3:30">
      <c r="C9464" s="9"/>
      <c r="AD9464" s="1"/>
    </row>
    <row r="9465" spans="3:30">
      <c r="C9465" s="9"/>
      <c r="AD9465" s="1"/>
    </row>
    <row r="9466" spans="3:30">
      <c r="C9466" s="9"/>
      <c r="AD9466" s="1"/>
    </row>
    <row r="9467" spans="3:30">
      <c r="C9467" s="9"/>
      <c r="AD9467" s="1"/>
    </row>
    <row r="9468" spans="3:30">
      <c r="C9468" s="9"/>
      <c r="AD9468" s="1"/>
    </row>
    <row r="9469" spans="3:30">
      <c r="C9469" s="9"/>
      <c r="AD9469" s="1"/>
    </row>
    <row r="9470" spans="3:30">
      <c r="C9470" s="9"/>
      <c r="AD9470" s="1"/>
    </row>
    <row r="9471" spans="3:30">
      <c r="C9471" s="9"/>
      <c r="AD9471" s="1"/>
    </row>
    <row r="9472" spans="3:30">
      <c r="C9472" s="9"/>
      <c r="AD9472" s="1"/>
    </row>
    <row r="9473" spans="3:30">
      <c r="C9473" s="9"/>
      <c r="AD9473" s="1"/>
    </row>
    <row r="9474" spans="3:30">
      <c r="C9474" s="9"/>
      <c r="AD9474" s="1"/>
    </row>
    <row r="9475" spans="3:30">
      <c r="C9475" s="9"/>
      <c r="AD9475" s="1"/>
    </row>
    <row r="9476" spans="3:30">
      <c r="C9476" s="9"/>
      <c r="AD9476" s="1"/>
    </row>
    <row r="9477" spans="3:30">
      <c r="C9477" s="9"/>
      <c r="AD9477" s="1"/>
    </row>
    <row r="9478" spans="3:30">
      <c r="C9478" s="9"/>
      <c r="AD9478" s="1"/>
    </row>
    <row r="9479" spans="3:30">
      <c r="C9479" s="9"/>
      <c r="AD9479" s="1"/>
    </row>
    <row r="9480" spans="3:30">
      <c r="C9480" s="9"/>
      <c r="AD9480" s="1"/>
    </row>
    <row r="9481" spans="3:30">
      <c r="C9481" s="9"/>
      <c r="AD9481" s="1"/>
    </row>
    <row r="9482" spans="3:30">
      <c r="C9482" s="9"/>
      <c r="AD9482" s="1"/>
    </row>
    <row r="9483" spans="3:30">
      <c r="C9483" s="9"/>
      <c r="AD9483" s="1"/>
    </row>
    <row r="9484" spans="3:30">
      <c r="C9484" s="9"/>
      <c r="AD9484" s="1"/>
    </row>
    <row r="9485" spans="3:30">
      <c r="C9485" s="9"/>
      <c r="AD9485" s="1"/>
    </row>
    <row r="9486" spans="3:30">
      <c r="C9486" s="9"/>
      <c r="AD9486" s="1"/>
    </row>
    <row r="9487" spans="3:30">
      <c r="C9487" s="9"/>
      <c r="AD9487" s="1"/>
    </row>
    <row r="9488" spans="3:30">
      <c r="C9488" s="9"/>
      <c r="AD9488" s="1"/>
    </row>
    <row r="9489" spans="3:30">
      <c r="C9489" s="9"/>
      <c r="AD9489" s="1"/>
    </row>
    <row r="9490" spans="3:30">
      <c r="C9490" s="9"/>
      <c r="AD9490" s="1"/>
    </row>
    <row r="9491" spans="3:30">
      <c r="C9491" s="9"/>
      <c r="AD9491" s="1"/>
    </row>
    <row r="9492" spans="3:30">
      <c r="C9492" s="9"/>
      <c r="AD9492" s="1"/>
    </row>
    <row r="9493" spans="3:30">
      <c r="C9493" s="9"/>
      <c r="AD9493" s="1"/>
    </row>
    <row r="9494" spans="3:30">
      <c r="C9494" s="9"/>
      <c r="AD9494" s="1"/>
    </row>
    <row r="9495" spans="3:30">
      <c r="C9495" s="9"/>
      <c r="AD9495" s="1"/>
    </row>
    <row r="9496" spans="3:30">
      <c r="C9496" s="9"/>
      <c r="AD9496" s="1"/>
    </row>
    <row r="9497" spans="3:30">
      <c r="C9497" s="9"/>
      <c r="AD9497" s="1"/>
    </row>
    <row r="9498" spans="3:30">
      <c r="C9498" s="9"/>
      <c r="AD9498" s="1"/>
    </row>
    <row r="9499" spans="3:30">
      <c r="C9499" s="9"/>
      <c r="AD9499" s="1"/>
    </row>
    <row r="9500" spans="3:30">
      <c r="C9500" s="9"/>
      <c r="AD9500" s="1"/>
    </row>
    <row r="9501" spans="3:30">
      <c r="C9501" s="9"/>
      <c r="AD9501" s="1"/>
    </row>
    <row r="9502" spans="3:30">
      <c r="C9502" s="9"/>
      <c r="AD9502" s="1"/>
    </row>
    <row r="9503" spans="3:30">
      <c r="C9503" s="9"/>
      <c r="AD9503" s="1"/>
    </row>
    <row r="9504" spans="3:30">
      <c r="C9504" s="9"/>
      <c r="AD9504" s="1"/>
    </row>
    <row r="9505" spans="3:30">
      <c r="C9505" s="9"/>
      <c r="AD9505" s="1"/>
    </row>
    <row r="9506" spans="3:30">
      <c r="C9506" s="9"/>
      <c r="AD9506" s="1"/>
    </row>
    <row r="9507" spans="3:30">
      <c r="C9507" s="9"/>
      <c r="AD9507" s="1"/>
    </row>
    <row r="9508" spans="3:30">
      <c r="C9508" s="9"/>
      <c r="AD9508" s="1"/>
    </row>
    <row r="9509" spans="3:30">
      <c r="C9509" s="9"/>
      <c r="AD9509" s="1"/>
    </row>
    <row r="9510" spans="3:30">
      <c r="C9510" s="9"/>
      <c r="AD9510" s="1"/>
    </row>
    <row r="9511" spans="3:30">
      <c r="C9511" s="9"/>
      <c r="AD9511" s="1"/>
    </row>
    <row r="9512" spans="3:30">
      <c r="C9512" s="9"/>
      <c r="AD9512" s="1"/>
    </row>
    <row r="9513" spans="3:30">
      <c r="C9513" s="9"/>
      <c r="AD9513" s="1"/>
    </row>
    <row r="9514" spans="3:30">
      <c r="C9514" s="9"/>
      <c r="AD9514" s="1"/>
    </row>
    <row r="9515" spans="3:30">
      <c r="C9515" s="9"/>
      <c r="AD9515" s="1"/>
    </row>
    <row r="9516" spans="3:30">
      <c r="C9516" s="9"/>
      <c r="AD9516" s="1"/>
    </row>
    <row r="9517" spans="3:30">
      <c r="C9517" s="9"/>
      <c r="AD9517" s="1"/>
    </row>
    <row r="9518" spans="3:30">
      <c r="C9518" s="9"/>
      <c r="AD9518" s="1"/>
    </row>
    <row r="9519" spans="3:30">
      <c r="C9519" s="9"/>
      <c r="AD9519" s="1"/>
    </row>
    <row r="9520" spans="3:30">
      <c r="C9520" s="9"/>
      <c r="AD9520" s="1"/>
    </row>
    <row r="9521" spans="3:30">
      <c r="C9521" s="9"/>
      <c r="AD9521" s="1"/>
    </row>
    <row r="9522" spans="3:30">
      <c r="C9522" s="9"/>
      <c r="AD9522" s="1"/>
    </row>
    <row r="9523" spans="3:30">
      <c r="C9523" s="9"/>
      <c r="AD9523" s="1"/>
    </row>
    <row r="9524" spans="3:30">
      <c r="C9524" s="9"/>
      <c r="AD9524" s="1"/>
    </row>
    <row r="9525" spans="3:30">
      <c r="C9525" s="9"/>
      <c r="AD9525" s="1"/>
    </row>
    <row r="9526" spans="3:30">
      <c r="C9526" s="9"/>
      <c r="AD9526" s="1"/>
    </row>
    <row r="9527" spans="3:30">
      <c r="C9527" s="9"/>
      <c r="AD9527" s="1"/>
    </row>
    <row r="9528" spans="3:30">
      <c r="C9528" s="9"/>
      <c r="AD9528" s="1"/>
    </row>
    <row r="9529" spans="3:30">
      <c r="C9529" s="9"/>
      <c r="AD9529" s="1"/>
    </row>
    <row r="9530" spans="3:30">
      <c r="C9530" s="9"/>
      <c r="AD9530" s="1"/>
    </row>
    <row r="9531" spans="3:30">
      <c r="C9531" s="9"/>
      <c r="AD9531" s="1"/>
    </row>
    <row r="9532" spans="3:30">
      <c r="C9532" s="9"/>
      <c r="AD9532" s="1"/>
    </row>
    <row r="9533" spans="3:30">
      <c r="C9533" s="9"/>
      <c r="AD9533" s="1"/>
    </row>
    <row r="9534" spans="3:30">
      <c r="C9534" s="9"/>
      <c r="AD9534" s="1"/>
    </row>
    <row r="9535" spans="3:30">
      <c r="C9535" s="9"/>
      <c r="AD9535" s="1"/>
    </row>
    <row r="9536" spans="3:30">
      <c r="C9536" s="9"/>
      <c r="AD9536" s="1"/>
    </row>
    <row r="9537" spans="3:30">
      <c r="C9537" s="9"/>
      <c r="AD9537" s="1"/>
    </row>
    <row r="9538" spans="3:30">
      <c r="C9538" s="9"/>
      <c r="AD9538" s="1"/>
    </row>
    <row r="9539" spans="3:30">
      <c r="C9539" s="9"/>
      <c r="AD9539" s="1"/>
    </row>
    <row r="9540" spans="3:30">
      <c r="C9540" s="9"/>
      <c r="AD9540" s="1"/>
    </row>
    <row r="9541" spans="3:30">
      <c r="C9541" s="9"/>
      <c r="AD9541" s="1"/>
    </row>
    <row r="9542" spans="3:30">
      <c r="C9542" s="9"/>
      <c r="AD9542" s="1"/>
    </row>
    <row r="9543" spans="3:30">
      <c r="C9543" s="9"/>
      <c r="AD9543" s="1"/>
    </row>
    <row r="9544" spans="3:30">
      <c r="C9544" s="9"/>
      <c r="AD9544" s="1"/>
    </row>
    <row r="9545" spans="3:30">
      <c r="C9545" s="9"/>
      <c r="AD9545" s="1"/>
    </row>
    <row r="9546" spans="3:30">
      <c r="C9546" s="9"/>
      <c r="AD9546" s="1"/>
    </row>
    <row r="9547" spans="3:30">
      <c r="C9547" s="9"/>
      <c r="AD9547" s="1"/>
    </row>
    <row r="9548" spans="3:30">
      <c r="C9548" s="9"/>
      <c r="AD9548" s="1"/>
    </row>
    <row r="9549" spans="3:30">
      <c r="C9549" s="9"/>
      <c r="AD9549" s="1"/>
    </row>
    <row r="9550" spans="3:30">
      <c r="C9550" s="9"/>
      <c r="AD9550" s="1"/>
    </row>
    <row r="9551" spans="3:30">
      <c r="C9551" s="9"/>
      <c r="AD9551" s="1"/>
    </row>
    <row r="9552" spans="3:30">
      <c r="C9552" s="9"/>
      <c r="AD9552" s="1"/>
    </row>
    <row r="9553" spans="3:30">
      <c r="C9553" s="9"/>
      <c r="AD9553" s="1"/>
    </row>
    <row r="9554" spans="3:30">
      <c r="C9554" s="9"/>
      <c r="AD9554" s="1"/>
    </row>
    <row r="9555" spans="3:30">
      <c r="C9555" s="9"/>
      <c r="AD9555" s="1"/>
    </row>
    <row r="9556" spans="3:30">
      <c r="C9556" s="9"/>
      <c r="AD9556" s="1"/>
    </row>
    <row r="9557" spans="3:30">
      <c r="C9557" s="9"/>
      <c r="AD9557" s="1"/>
    </row>
    <row r="9558" spans="3:30">
      <c r="C9558" s="9"/>
      <c r="AD9558" s="1"/>
    </row>
    <row r="9559" spans="3:30">
      <c r="C9559" s="9"/>
      <c r="AD9559" s="1"/>
    </row>
    <row r="9560" spans="3:30">
      <c r="C9560" s="9"/>
      <c r="AD9560" s="1"/>
    </row>
    <row r="9561" spans="3:30">
      <c r="C9561" s="9"/>
      <c r="AD9561" s="1"/>
    </row>
    <row r="9562" spans="3:30">
      <c r="C9562" s="9"/>
      <c r="AD9562" s="1"/>
    </row>
    <row r="9563" spans="3:30">
      <c r="C9563" s="9"/>
      <c r="AD9563" s="1"/>
    </row>
    <row r="9564" spans="3:30">
      <c r="C9564" s="9"/>
      <c r="AD9564" s="1"/>
    </row>
    <row r="9565" spans="3:30">
      <c r="C9565" s="9"/>
      <c r="AD9565" s="1"/>
    </row>
    <row r="9566" spans="3:30">
      <c r="C9566" s="9"/>
      <c r="AD9566" s="1"/>
    </row>
    <row r="9567" spans="3:30">
      <c r="C9567" s="9"/>
      <c r="AD9567" s="1"/>
    </row>
    <row r="9568" spans="3:30">
      <c r="C9568" s="9"/>
      <c r="AD9568" s="1"/>
    </row>
    <row r="9569" spans="3:30">
      <c r="C9569" s="9"/>
      <c r="AD9569" s="1"/>
    </row>
    <row r="9570" spans="3:30">
      <c r="C9570" s="9"/>
      <c r="AD9570" s="1"/>
    </row>
    <row r="9571" spans="3:30">
      <c r="C9571" s="9"/>
      <c r="AD9571" s="1"/>
    </row>
    <row r="9572" spans="3:30">
      <c r="C9572" s="9"/>
      <c r="AD9572" s="1"/>
    </row>
    <row r="9573" spans="3:30">
      <c r="C9573" s="9"/>
      <c r="AD9573" s="1"/>
    </row>
    <row r="9574" spans="3:30">
      <c r="C9574" s="9"/>
      <c r="AD9574" s="1"/>
    </row>
    <row r="9575" spans="3:30">
      <c r="C9575" s="9"/>
      <c r="AD9575" s="1"/>
    </row>
    <row r="9576" spans="3:30">
      <c r="C9576" s="9"/>
      <c r="AD9576" s="1"/>
    </row>
    <row r="9577" spans="3:30">
      <c r="C9577" s="9"/>
      <c r="AD9577" s="1"/>
    </row>
    <row r="9578" spans="3:30">
      <c r="C9578" s="9"/>
      <c r="AD9578" s="1"/>
    </row>
    <row r="9579" spans="3:30">
      <c r="C9579" s="9"/>
      <c r="AD9579" s="1"/>
    </row>
    <row r="9580" spans="3:30">
      <c r="C9580" s="9"/>
      <c r="AD9580" s="1"/>
    </row>
    <row r="9581" spans="3:30">
      <c r="C9581" s="9"/>
      <c r="AD9581" s="1"/>
    </row>
    <row r="9582" spans="3:30">
      <c r="C9582" s="9"/>
      <c r="AD9582" s="1"/>
    </row>
    <row r="9583" spans="3:30">
      <c r="C9583" s="9"/>
      <c r="AD9583" s="1"/>
    </row>
    <row r="9584" spans="3:30">
      <c r="C9584" s="9"/>
      <c r="AD9584" s="1"/>
    </row>
    <row r="9585" spans="3:30">
      <c r="C9585" s="9"/>
      <c r="AD9585" s="1"/>
    </row>
    <row r="9586" spans="3:30">
      <c r="C9586" s="9"/>
      <c r="AD9586" s="1"/>
    </row>
    <row r="9587" spans="3:30">
      <c r="C9587" s="9"/>
      <c r="AD9587" s="1"/>
    </row>
    <row r="9588" spans="3:30">
      <c r="C9588" s="9"/>
      <c r="AD9588" s="1"/>
    </row>
    <row r="9589" spans="3:30">
      <c r="C9589" s="9"/>
      <c r="AD9589" s="1"/>
    </row>
    <row r="9590" spans="3:30">
      <c r="C9590" s="9"/>
      <c r="AD9590" s="1"/>
    </row>
    <row r="9591" spans="3:30">
      <c r="C9591" s="9"/>
      <c r="AD9591" s="1"/>
    </row>
    <row r="9592" spans="3:30">
      <c r="C9592" s="9"/>
      <c r="AD9592" s="1"/>
    </row>
    <row r="9593" spans="3:30">
      <c r="C9593" s="9"/>
      <c r="AD9593" s="1"/>
    </row>
    <row r="9594" spans="3:30">
      <c r="C9594" s="9"/>
      <c r="AD9594" s="1"/>
    </row>
    <row r="9595" spans="3:30">
      <c r="C9595" s="9"/>
      <c r="AD9595" s="1"/>
    </row>
    <row r="9596" spans="3:30">
      <c r="C9596" s="9"/>
      <c r="AD9596" s="1"/>
    </row>
    <row r="9597" spans="3:30">
      <c r="C9597" s="9"/>
      <c r="AD9597" s="1"/>
    </row>
    <row r="9598" spans="3:30">
      <c r="C9598" s="9"/>
      <c r="AD9598" s="1"/>
    </row>
    <row r="9599" spans="3:30">
      <c r="C9599" s="9"/>
      <c r="AD9599" s="1"/>
    </row>
    <row r="9600" spans="3:30">
      <c r="C9600" s="9"/>
      <c r="AD9600" s="1"/>
    </row>
    <row r="9601" spans="3:30">
      <c r="C9601" s="9"/>
      <c r="AD9601" s="1"/>
    </row>
    <row r="9602" spans="3:30">
      <c r="C9602" s="9"/>
      <c r="AD9602" s="1"/>
    </row>
    <row r="9603" spans="3:30">
      <c r="C9603" s="9"/>
      <c r="AD9603" s="1"/>
    </row>
    <row r="9604" spans="3:30">
      <c r="C9604" s="9"/>
      <c r="AD9604" s="1"/>
    </row>
    <row r="9605" spans="3:30">
      <c r="C9605" s="9"/>
      <c r="AD9605" s="1"/>
    </row>
    <row r="9606" spans="3:30">
      <c r="C9606" s="9"/>
      <c r="AD9606" s="1"/>
    </row>
    <row r="9607" spans="3:30">
      <c r="C9607" s="9"/>
      <c r="AD9607" s="1"/>
    </row>
    <row r="9608" spans="3:30">
      <c r="C9608" s="9"/>
      <c r="AD9608" s="1"/>
    </row>
    <row r="9609" spans="3:30">
      <c r="C9609" s="9"/>
      <c r="AD9609" s="1"/>
    </row>
    <row r="9610" spans="3:30">
      <c r="C9610" s="9"/>
      <c r="AD9610" s="1"/>
    </row>
    <row r="9611" spans="3:30">
      <c r="C9611" s="9"/>
      <c r="AD9611" s="1"/>
    </row>
    <row r="9612" spans="3:30">
      <c r="C9612" s="9"/>
      <c r="AD9612" s="1"/>
    </row>
    <row r="9613" spans="3:30">
      <c r="C9613" s="9"/>
      <c r="AD9613" s="1"/>
    </row>
    <row r="9614" spans="3:30">
      <c r="C9614" s="9"/>
      <c r="AD9614" s="1"/>
    </row>
    <row r="9615" spans="3:30">
      <c r="C9615" s="9"/>
      <c r="AD9615" s="1"/>
    </row>
    <row r="9616" spans="3:30">
      <c r="C9616" s="9"/>
      <c r="AD9616" s="1"/>
    </row>
    <row r="9617" spans="3:30">
      <c r="C9617" s="9"/>
      <c r="AD9617" s="1"/>
    </row>
    <row r="9618" spans="3:30">
      <c r="C9618" s="9"/>
      <c r="AD9618" s="1"/>
    </row>
    <row r="9619" spans="3:30">
      <c r="C9619" s="9"/>
      <c r="AD9619" s="1"/>
    </row>
    <row r="9620" spans="3:30">
      <c r="C9620" s="9"/>
      <c r="AD9620" s="1"/>
    </row>
    <row r="9621" spans="3:30">
      <c r="C9621" s="9"/>
      <c r="AD9621" s="1"/>
    </row>
    <row r="9622" spans="3:30">
      <c r="C9622" s="9"/>
      <c r="AD9622" s="1"/>
    </row>
    <row r="9623" spans="3:30">
      <c r="C9623" s="9"/>
      <c r="AD9623" s="1"/>
    </row>
    <row r="9624" spans="3:30">
      <c r="C9624" s="9"/>
      <c r="AD9624" s="1"/>
    </row>
    <row r="9625" spans="3:30">
      <c r="C9625" s="9"/>
      <c r="AD9625" s="1"/>
    </row>
    <row r="9626" spans="3:30">
      <c r="C9626" s="9"/>
      <c r="AD9626" s="1"/>
    </row>
    <row r="9627" spans="3:30">
      <c r="C9627" s="9"/>
      <c r="AD9627" s="1"/>
    </row>
    <row r="9628" spans="3:30">
      <c r="C9628" s="9"/>
      <c r="AD9628" s="1"/>
    </row>
    <row r="9629" spans="3:30">
      <c r="C9629" s="9"/>
      <c r="AD9629" s="1"/>
    </row>
    <row r="9630" spans="3:30">
      <c r="C9630" s="9"/>
      <c r="AD9630" s="1"/>
    </row>
    <row r="9631" spans="3:30">
      <c r="C9631" s="9"/>
      <c r="AD9631" s="1"/>
    </row>
    <row r="9632" spans="3:30">
      <c r="C9632" s="9"/>
      <c r="AD9632" s="1"/>
    </row>
    <row r="9633" spans="3:30">
      <c r="C9633" s="9"/>
      <c r="AD9633" s="1"/>
    </row>
    <row r="9634" spans="3:30">
      <c r="C9634" s="9"/>
      <c r="AD9634" s="1"/>
    </row>
    <row r="9635" spans="3:30">
      <c r="C9635" s="9"/>
      <c r="AD9635" s="1"/>
    </row>
    <row r="9636" spans="3:30">
      <c r="C9636" s="9"/>
      <c r="AD9636" s="1"/>
    </row>
    <row r="9637" spans="3:30">
      <c r="C9637" s="9"/>
      <c r="AD9637" s="1"/>
    </row>
    <row r="9638" spans="3:30">
      <c r="C9638" s="9"/>
      <c r="AD9638" s="1"/>
    </row>
    <row r="9639" spans="3:30">
      <c r="C9639" s="9"/>
      <c r="AD9639" s="1"/>
    </row>
    <row r="9640" spans="3:30">
      <c r="C9640" s="9"/>
      <c r="AD9640" s="1"/>
    </row>
    <row r="9641" spans="3:30">
      <c r="C9641" s="9"/>
      <c r="AD9641" s="1"/>
    </row>
    <row r="9642" spans="3:30">
      <c r="C9642" s="9"/>
      <c r="AD9642" s="1"/>
    </row>
    <row r="9643" spans="3:30">
      <c r="C9643" s="9"/>
      <c r="AD9643" s="1"/>
    </row>
    <row r="9644" spans="3:30">
      <c r="C9644" s="9"/>
      <c r="AD9644" s="1"/>
    </row>
    <row r="9645" spans="3:30">
      <c r="C9645" s="9"/>
      <c r="AD9645" s="1"/>
    </row>
    <row r="9646" spans="3:30">
      <c r="C9646" s="9"/>
      <c r="AD9646" s="1"/>
    </row>
    <row r="9647" spans="3:30">
      <c r="C9647" s="9"/>
      <c r="AD9647" s="1"/>
    </row>
    <row r="9648" spans="3:30">
      <c r="C9648" s="9"/>
      <c r="AD9648" s="1"/>
    </row>
    <row r="9649" spans="3:30">
      <c r="C9649" s="9"/>
      <c r="AD9649" s="1"/>
    </row>
    <row r="9650" spans="3:30">
      <c r="C9650" s="9"/>
      <c r="AD9650" s="1"/>
    </row>
    <row r="9651" spans="3:30">
      <c r="C9651" s="9"/>
      <c r="AD9651" s="1"/>
    </row>
    <row r="9652" spans="3:30">
      <c r="C9652" s="9"/>
      <c r="AD9652" s="1"/>
    </row>
    <row r="9653" spans="3:30">
      <c r="C9653" s="9"/>
      <c r="AD9653" s="1"/>
    </row>
    <row r="9654" spans="3:30">
      <c r="C9654" s="9"/>
      <c r="AD9654" s="1"/>
    </row>
    <row r="9655" spans="3:30">
      <c r="C9655" s="9"/>
      <c r="AD9655" s="1"/>
    </row>
    <row r="9656" spans="3:30">
      <c r="C9656" s="9"/>
      <c r="AD9656" s="1"/>
    </row>
    <row r="9657" spans="3:30">
      <c r="C9657" s="9"/>
      <c r="AD9657" s="1"/>
    </row>
    <row r="9658" spans="3:30">
      <c r="C9658" s="9"/>
      <c r="AD9658" s="1"/>
    </row>
    <row r="9659" spans="3:30">
      <c r="C9659" s="9"/>
      <c r="AD9659" s="1"/>
    </row>
    <row r="9660" spans="3:30">
      <c r="C9660" s="9"/>
      <c r="AD9660" s="1"/>
    </row>
    <row r="9661" spans="3:30">
      <c r="C9661" s="9"/>
      <c r="AD9661" s="1"/>
    </row>
    <row r="9662" spans="3:30">
      <c r="C9662" s="9"/>
      <c r="AD9662" s="1"/>
    </row>
    <row r="9663" spans="3:30">
      <c r="C9663" s="9"/>
      <c r="AD9663" s="1"/>
    </row>
    <row r="9664" spans="3:30">
      <c r="C9664" s="9"/>
      <c r="AD9664" s="1"/>
    </row>
    <row r="9665" spans="3:30">
      <c r="C9665" s="9"/>
      <c r="AD9665" s="1"/>
    </row>
    <row r="9666" spans="3:30">
      <c r="C9666" s="9"/>
      <c r="AD9666" s="1"/>
    </row>
    <row r="9667" spans="3:30">
      <c r="C9667" s="9"/>
      <c r="AD9667" s="1"/>
    </row>
    <row r="9668" spans="3:30">
      <c r="C9668" s="9"/>
      <c r="AD9668" s="1"/>
    </row>
    <row r="9669" spans="3:30">
      <c r="C9669" s="9"/>
      <c r="AD9669" s="1"/>
    </row>
    <row r="9670" spans="3:30">
      <c r="C9670" s="9"/>
      <c r="AD9670" s="1"/>
    </row>
    <row r="9671" spans="3:30">
      <c r="C9671" s="9"/>
      <c r="AD9671" s="1"/>
    </row>
    <row r="9672" spans="3:30">
      <c r="C9672" s="9"/>
      <c r="AD9672" s="1"/>
    </row>
    <row r="9673" spans="3:30">
      <c r="C9673" s="9"/>
      <c r="AD9673" s="1"/>
    </row>
    <row r="9674" spans="3:30">
      <c r="C9674" s="9"/>
      <c r="AD9674" s="1"/>
    </row>
    <row r="9675" spans="3:30">
      <c r="C9675" s="9"/>
      <c r="AD9675" s="1"/>
    </row>
    <row r="9676" spans="3:30">
      <c r="C9676" s="9"/>
      <c r="AD9676" s="1"/>
    </row>
    <row r="9677" spans="3:30">
      <c r="C9677" s="9"/>
      <c r="AD9677" s="1"/>
    </row>
    <row r="9678" spans="3:30">
      <c r="C9678" s="9"/>
      <c r="AD9678" s="1"/>
    </row>
    <row r="9679" spans="3:30">
      <c r="C9679" s="9"/>
      <c r="AD9679" s="1"/>
    </row>
    <row r="9680" spans="3:30">
      <c r="C9680" s="9"/>
      <c r="AD9680" s="1"/>
    </row>
    <row r="9681" spans="3:30">
      <c r="C9681" s="9"/>
      <c r="AD9681" s="1"/>
    </row>
    <row r="9682" spans="3:30">
      <c r="C9682" s="9"/>
      <c r="AD9682" s="1"/>
    </row>
    <row r="9683" spans="3:30">
      <c r="C9683" s="9"/>
      <c r="AD9683" s="1"/>
    </row>
    <row r="9684" spans="3:30">
      <c r="C9684" s="9"/>
      <c r="AD9684" s="1"/>
    </row>
    <row r="9685" spans="3:30">
      <c r="C9685" s="9"/>
      <c r="AD9685" s="1"/>
    </row>
    <row r="9686" spans="3:30">
      <c r="C9686" s="9"/>
      <c r="AD9686" s="1"/>
    </row>
    <row r="9687" spans="3:30">
      <c r="C9687" s="9"/>
      <c r="AD9687" s="1"/>
    </row>
    <row r="9688" spans="3:30">
      <c r="C9688" s="9"/>
      <c r="AD9688" s="1"/>
    </row>
    <row r="9689" spans="3:30">
      <c r="C9689" s="9"/>
      <c r="AD9689" s="1"/>
    </row>
    <row r="9690" spans="3:30">
      <c r="C9690" s="9"/>
      <c r="AD9690" s="1"/>
    </row>
    <row r="9691" spans="3:30">
      <c r="C9691" s="9"/>
      <c r="AD9691" s="1"/>
    </row>
    <row r="9692" spans="3:30">
      <c r="C9692" s="9"/>
      <c r="AD9692" s="1"/>
    </row>
    <row r="9693" spans="3:30">
      <c r="C9693" s="9"/>
      <c r="AD9693" s="1"/>
    </row>
    <row r="9694" spans="3:30">
      <c r="C9694" s="9"/>
      <c r="AD9694" s="1"/>
    </row>
    <row r="9695" spans="3:30">
      <c r="C9695" s="9"/>
      <c r="AD9695" s="1"/>
    </row>
    <row r="9696" spans="3:30">
      <c r="C9696" s="9"/>
      <c r="AD9696" s="1"/>
    </row>
    <row r="9697" spans="3:30">
      <c r="C9697" s="9"/>
      <c r="AD9697" s="1"/>
    </row>
    <row r="9698" spans="3:30">
      <c r="C9698" s="9"/>
      <c r="AD9698" s="1"/>
    </row>
    <row r="9699" spans="3:30">
      <c r="C9699" s="9"/>
      <c r="AD9699" s="1"/>
    </row>
    <row r="9700" spans="3:30">
      <c r="C9700" s="9"/>
      <c r="AD9700" s="1"/>
    </row>
    <row r="9701" spans="3:30">
      <c r="C9701" s="9"/>
      <c r="AD9701" s="1"/>
    </row>
    <row r="9702" spans="3:30">
      <c r="C9702" s="9"/>
      <c r="AD9702" s="1"/>
    </row>
    <row r="9703" spans="3:30">
      <c r="C9703" s="9"/>
      <c r="AD9703" s="1"/>
    </row>
    <row r="9704" spans="3:30">
      <c r="C9704" s="9"/>
      <c r="AD9704" s="1"/>
    </row>
    <row r="9705" spans="3:30">
      <c r="C9705" s="9"/>
      <c r="AD9705" s="1"/>
    </row>
    <row r="9706" spans="3:30">
      <c r="C9706" s="9"/>
      <c r="AD9706" s="1"/>
    </row>
    <row r="9707" spans="3:30">
      <c r="C9707" s="9"/>
      <c r="AD9707" s="1"/>
    </row>
    <row r="9708" spans="3:30">
      <c r="C9708" s="9"/>
      <c r="AD9708" s="1"/>
    </row>
    <row r="9709" spans="3:30">
      <c r="C9709" s="9"/>
      <c r="AD9709" s="1"/>
    </row>
    <row r="9710" spans="3:30">
      <c r="C9710" s="9"/>
      <c r="AD9710" s="1"/>
    </row>
    <row r="9711" spans="3:30">
      <c r="C9711" s="9"/>
      <c r="AD9711" s="1"/>
    </row>
    <row r="9712" spans="3:30">
      <c r="C9712" s="9"/>
      <c r="AD9712" s="1"/>
    </row>
    <row r="9713" spans="3:30">
      <c r="C9713" s="9"/>
      <c r="AD9713" s="1"/>
    </row>
    <row r="9714" spans="3:30">
      <c r="C9714" s="9"/>
      <c r="AD9714" s="1"/>
    </row>
    <row r="9715" spans="3:30">
      <c r="C9715" s="9"/>
      <c r="AD9715" s="1"/>
    </row>
    <row r="9716" spans="3:30">
      <c r="C9716" s="9"/>
      <c r="AD9716" s="1"/>
    </row>
    <row r="9717" spans="3:30">
      <c r="C9717" s="9"/>
      <c r="AD9717" s="1"/>
    </row>
    <row r="9718" spans="3:30">
      <c r="C9718" s="9"/>
      <c r="AD9718" s="1"/>
    </row>
    <row r="9719" spans="3:30">
      <c r="C9719" s="9"/>
      <c r="AD9719" s="1"/>
    </row>
    <row r="9720" spans="3:30">
      <c r="C9720" s="9"/>
      <c r="AD9720" s="1"/>
    </row>
    <row r="9721" spans="3:30">
      <c r="C9721" s="9"/>
      <c r="AD9721" s="1"/>
    </row>
    <row r="9722" spans="3:30">
      <c r="C9722" s="9"/>
      <c r="AD9722" s="1"/>
    </row>
    <row r="9723" spans="3:30">
      <c r="C9723" s="9"/>
      <c r="AD9723" s="1"/>
    </row>
    <row r="9724" spans="3:30">
      <c r="C9724" s="9"/>
      <c r="AD9724" s="1"/>
    </row>
    <row r="9725" spans="3:30">
      <c r="C9725" s="9"/>
      <c r="AD9725" s="1"/>
    </row>
    <row r="9726" spans="3:30">
      <c r="C9726" s="9"/>
      <c r="AD9726" s="1"/>
    </row>
    <row r="9727" spans="3:30">
      <c r="C9727" s="9"/>
      <c r="AD9727" s="1"/>
    </row>
    <row r="9728" spans="3:30">
      <c r="C9728" s="9"/>
      <c r="AD9728" s="1"/>
    </row>
    <row r="9729" spans="3:30">
      <c r="C9729" s="9"/>
      <c r="AD9729" s="1"/>
    </row>
    <row r="9730" spans="3:30">
      <c r="C9730" s="9"/>
      <c r="AD9730" s="1"/>
    </row>
    <row r="9731" spans="3:30">
      <c r="C9731" s="9"/>
      <c r="AD9731" s="1"/>
    </row>
    <row r="9732" spans="3:30">
      <c r="C9732" s="9"/>
      <c r="AD9732" s="1"/>
    </row>
    <row r="9733" spans="3:30">
      <c r="C9733" s="9"/>
      <c r="AD9733" s="1"/>
    </row>
    <row r="9734" spans="3:30">
      <c r="C9734" s="9"/>
      <c r="AD9734" s="1"/>
    </row>
    <row r="9735" spans="3:30">
      <c r="C9735" s="9"/>
      <c r="AD9735" s="1"/>
    </row>
    <row r="9736" spans="3:30">
      <c r="C9736" s="9"/>
      <c r="AD9736" s="1"/>
    </row>
    <row r="9737" spans="3:30">
      <c r="C9737" s="9"/>
      <c r="AD9737" s="1"/>
    </row>
    <row r="9738" spans="3:30">
      <c r="C9738" s="9"/>
      <c r="AD9738" s="1"/>
    </row>
    <row r="9739" spans="3:30">
      <c r="C9739" s="9"/>
      <c r="AD9739" s="1"/>
    </row>
    <row r="9740" spans="3:30">
      <c r="C9740" s="9"/>
      <c r="AD9740" s="1"/>
    </row>
    <row r="9741" spans="3:30">
      <c r="C9741" s="9"/>
      <c r="AD9741" s="1"/>
    </row>
    <row r="9742" spans="3:30">
      <c r="C9742" s="9"/>
      <c r="AD9742" s="1"/>
    </row>
    <row r="9743" spans="3:30">
      <c r="C9743" s="9"/>
      <c r="AD9743" s="1"/>
    </row>
    <row r="9744" spans="3:30">
      <c r="C9744" s="9"/>
      <c r="AD9744" s="1"/>
    </row>
    <row r="9745" spans="3:30">
      <c r="C9745" s="9"/>
      <c r="AD9745" s="1"/>
    </row>
    <row r="9746" spans="3:30">
      <c r="C9746" s="9"/>
      <c r="AD9746" s="1"/>
    </row>
    <row r="9747" spans="3:30">
      <c r="C9747" s="9"/>
      <c r="AD9747" s="1"/>
    </row>
    <row r="9748" spans="3:30">
      <c r="C9748" s="9"/>
      <c r="AD9748" s="1"/>
    </row>
    <row r="9749" spans="3:30">
      <c r="C9749" s="9"/>
      <c r="AD9749" s="1"/>
    </row>
    <row r="9750" spans="3:30">
      <c r="C9750" s="9"/>
      <c r="AD9750" s="1"/>
    </row>
    <row r="9751" spans="3:30">
      <c r="C9751" s="9"/>
      <c r="AD9751" s="1"/>
    </row>
    <row r="9752" spans="3:30">
      <c r="C9752" s="9"/>
      <c r="AD9752" s="1"/>
    </row>
    <row r="9753" spans="3:30">
      <c r="C9753" s="9"/>
      <c r="AD9753" s="1"/>
    </row>
    <row r="9754" spans="3:30">
      <c r="C9754" s="9"/>
      <c r="AD9754" s="1"/>
    </row>
    <row r="9755" spans="3:30">
      <c r="C9755" s="9"/>
      <c r="AD9755" s="1"/>
    </row>
    <row r="9756" spans="3:30">
      <c r="C9756" s="9"/>
      <c r="AD9756" s="1"/>
    </row>
    <row r="9757" spans="3:30">
      <c r="C9757" s="9"/>
      <c r="AD9757" s="1"/>
    </row>
    <row r="9758" spans="3:30">
      <c r="C9758" s="9"/>
      <c r="AD9758" s="1"/>
    </row>
    <row r="9759" spans="3:30">
      <c r="C9759" s="9"/>
      <c r="AD9759" s="1"/>
    </row>
    <row r="9760" spans="3:30">
      <c r="C9760" s="9"/>
      <c r="AD9760" s="1"/>
    </row>
    <row r="9761" spans="3:30">
      <c r="C9761" s="9"/>
      <c r="AD9761" s="1"/>
    </row>
    <row r="9762" spans="3:30">
      <c r="C9762" s="9"/>
      <c r="AD9762" s="1"/>
    </row>
    <row r="9763" spans="3:30">
      <c r="C9763" s="9"/>
      <c r="AD9763" s="1"/>
    </row>
    <row r="9764" spans="3:30">
      <c r="C9764" s="9"/>
      <c r="AD9764" s="1"/>
    </row>
    <row r="9765" spans="3:30">
      <c r="C9765" s="9"/>
      <c r="AD9765" s="1"/>
    </row>
    <row r="9766" spans="3:30">
      <c r="C9766" s="9"/>
      <c r="AD9766" s="1"/>
    </row>
    <row r="9767" spans="3:30">
      <c r="C9767" s="9"/>
      <c r="AD9767" s="1"/>
    </row>
    <row r="9768" spans="3:30">
      <c r="C9768" s="9"/>
      <c r="AD9768" s="1"/>
    </row>
    <row r="9769" spans="3:30">
      <c r="C9769" s="9"/>
      <c r="AD9769" s="1"/>
    </row>
    <row r="9770" spans="3:30">
      <c r="C9770" s="9"/>
      <c r="AD9770" s="1"/>
    </row>
    <row r="9771" spans="3:30">
      <c r="C9771" s="9"/>
      <c r="AD9771" s="1"/>
    </row>
    <row r="9772" spans="3:30">
      <c r="C9772" s="9"/>
      <c r="AD9772" s="1"/>
    </row>
    <row r="9773" spans="3:30">
      <c r="C9773" s="9"/>
      <c r="AD9773" s="1"/>
    </row>
    <row r="9774" spans="3:30">
      <c r="C9774" s="9"/>
      <c r="AD9774" s="1"/>
    </row>
    <row r="9775" spans="3:30">
      <c r="C9775" s="9"/>
      <c r="AD9775" s="1"/>
    </row>
    <row r="9776" spans="3:30">
      <c r="C9776" s="9"/>
      <c r="AD9776" s="1"/>
    </row>
    <row r="9777" spans="3:30">
      <c r="C9777" s="9"/>
      <c r="AD9777" s="1"/>
    </row>
    <row r="9778" spans="3:30">
      <c r="C9778" s="9"/>
      <c r="AD9778" s="1"/>
    </row>
    <row r="9779" spans="3:30">
      <c r="C9779" s="9"/>
      <c r="AD9779" s="1"/>
    </row>
    <row r="9780" spans="3:30">
      <c r="C9780" s="9"/>
      <c r="AD9780" s="1"/>
    </row>
    <row r="9781" spans="3:30">
      <c r="C9781" s="9"/>
      <c r="AD9781" s="1"/>
    </row>
    <row r="9782" spans="3:30">
      <c r="C9782" s="9"/>
      <c r="AD9782" s="1"/>
    </row>
    <row r="9783" spans="3:30">
      <c r="C9783" s="9"/>
      <c r="AD9783" s="1"/>
    </row>
    <row r="9784" spans="3:30">
      <c r="C9784" s="9"/>
      <c r="AD9784" s="1"/>
    </row>
    <row r="9785" spans="3:30">
      <c r="C9785" s="9"/>
      <c r="AD9785" s="1"/>
    </row>
    <row r="9786" spans="3:30">
      <c r="C9786" s="9"/>
      <c r="AD9786" s="1"/>
    </row>
    <row r="9787" spans="3:30">
      <c r="C9787" s="9"/>
      <c r="AD9787" s="1"/>
    </row>
    <row r="9788" spans="3:30">
      <c r="C9788" s="9"/>
      <c r="AD9788" s="1"/>
    </row>
    <row r="9789" spans="3:30">
      <c r="C9789" s="9"/>
      <c r="AD9789" s="1"/>
    </row>
    <row r="9790" spans="3:30">
      <c r="C9790" s="9"/>
      <c r="AD9790" s="1"/>
    </row>
    <row r="9791" spans="3:30">
      <c r="C9791" s="9"/>
      <c r="AD9791" s="1"/>
    </row>
    <row r="9792" spans="3:30">
      <c r="C9792" s="9"/>
      <c r="AD9792" s="1"/>
    </row>
    <row r="9793" spans="3:30">
      <c r="C9793" s="9"/>
      <c r="AD9793" s="1"/>
    </row>
    <row r="9794" spans="3:30">
      <c r="C9794" s="9"/>
      <c r="AD9794" s="1"/>
    </row>
    <row r="9795" spans="3:30">
      <c r="C9795" s="9"/>
      <c r="AD9795" s="1"/>
    </row>
    <row r="9796" spans="3:30">
      <c r="C9796" s="9"/>
      <c r="AD9796" s="1"/>
    </row>
    <row r="9797" spans="3:30">
      <c r="C9797" s="9"/>
      <c r="AD9797" s="1"/>
    </row>
    <row r="9798" spans="3:30">
      <c r="C9798" s="9"/>
      <c r="AD9798" s="1"/>
    </row>
    <row r="9799" spans="3:30">
      <c r="C9799" s="9"/>
      <c r="AD9799" s="1"/>
    </row>
    <row r="9800" spans="3:30">
      <c r="C9800" s="9"/>
      <c r="AD9800" s="1"/>
    </row>
    <row r="9801" spans="3:30">
      <c r="C9801" s="9"/>
      <c r="AD9801" s="1"/>
    </row>
    <row r="9802" spans="3:30">
      <c r="C9802" s="9"/>
      <c r="AD9802" s="1"/>
    </row>
    <row r="9803" spans="3:30">
      <c r="C9803" s="9"/>
      <c r="AD9803" s="1"/>
    </row>
    <row r="9804" spans="3:30">
      <c r="C9804" s="9"/>
      <c r="AD9804" s="1"/>
    </row>
    <row r="9805" spans="3:30">
      <c r="C9805" s="9"/>
      <c r="AD9805" s="1"/>
    </row>
    <row r="9806" spans="3:30">
      <c r="C9806" s="9"/>
      <c r="AD9806" s="1"/>
    </row>
    <row r="9807" spans="3:30">
      <c r="C9807" s="9"/>
      <c r="AD9807" s="1"/>
    </row>
    <row r="9808" spans="3:30">
      <c r="C9808" s="9"/>
      <c r="AD9808" s="1"/>
    </row>
    <row r="9809" spans="3:30">
      <c r="C9809" s="9"/>
      <c r="AD9809" s="1"/>
    </row>
    <row r="9810" spans="3:30">
      <c r="C9810" s="9"/>
      <c r="AD9810" s="1"/>
    </row>
    <row r="9811" spans="3:30">
      <c r="C9811" s="9"/>
      <c r="AD9811" s="1"/>
    </row>
    <row r="9812" spans="3:30">
      <c r="C9812" s="9"/>
      <c r="AD9812" s="1"/>
    </row>
    <row r="9813" spans="3:30">
      <c r="C9813" s="9"/>
      <c r="AD9813" s="1"/>
    </row>
    <row r="9814" spans="3:30">
      <c r="C9814" s="9"/>
      <c r="AD9814" s="1"/>
    </row>
    <row r="9815" spans="3:30">
      <c r="C9815" s="9"/>
      <c r="AD9815" s="1"/>
    </row>
    <row r="9816" spans="3:30">
      <c r="C9816" s="9"/>
      <c r="AD9816" s="1"/>
    </row>
    <row r="9817" spans="3:30">
      <c r="C9817" s="9"/>
      <c r="AD9817" s="1"/>
    </row>
    <row r="9818" spans="3:30">
      <c r="C9818" s="9"/>
      <c r="AD9818" s="1"/>
    </row>
    <row r="9819" spans="3:30">
      <c r="C9819" s="9"/>
      <c r="AD9819" s="1"/>
    </row>
    <row r="9820" spans="3:30">
      <c r="C9820" s="9"/>
      <c r="AD9820" s="1"/>
    </row>
    <row r="9821" spans="3:30">
      <c r="C9821" s="9"/>
      <c r="AD9821" s="1"/>
    </row>
    <row r="9822" spans="3:30">
      <c r="C9822" s="9"/>
      <c r="AD9822" s="1"/>
    </row>
    <row r="9823" spans="3:30">
      <c r="C9823" s="9"/>
      <c r="AD9823" s="1"/>
    </row>
    <row r="9824" spans="3:30">
      <c r="C9824" s="9"/>
      <c r="AD9824" s="1"/>
    </row>
    <row r="9825" spans="3:30">
      <c r="C9825" s="9"/>
      <c r="AD9825" s="1"/>
    </row>
    <row r="9826" spans="3:30">
      <c r="C9826" s="9"/>
      <c r="AD9826" s="1"/>
    </row>
    <row r="9827" spans="3:30">
      <c r="C9827" s="9"/>
      <c r="AD9827" s="1"/>
    </row>
    <row r="9828" spans="3:30">
      <c r="C9828" s="9"/>
      <c r="AD9828" s="1"/>
    </row>
    <row r="9829" spans="3:30">
      <c r="C9829" s="9"/>
      <c r="AD9829" s="1"/>
    </row>
    <row r="9830" spans="3:30">
      <c r="C9830" s="9"/>
      <c r="AD9830" s="1"/>
    </row>
    <row r="9831" spans="3:30">
      <c r="C9831" s="9"/>
      <c r="AD9831" s="1"/>
    </row>
    <row r="9832" spans="3:30">
      <c r="C9832" s="9"/>
      <c r="AD9832" s="1"/>
    </row>
    <row r="9833" spans="3:30">
      <c r="C9833" s="9"/>
      <c r="AD9833" s="1"/>
    </row>
    <row r="9834" spans="3:30">
      <c r="C9834" s="9"/>
      <c r="AD9834" s="1"/>
    </row>
    <row r="9835" spans="3:30">
      <c r="C9835" s="9"/>
      <c r="AD9835" s="1"/>
    </row>
    <row r="9836" spans="3:30">
      <c r="C9836" s="9"/>
      <c r="AD9836" s="1"/>
    </row>
    <row r="9837" spans="3:30">
      <c r="C9837" s="9"/>
      <c r="AD9837" s="1"/>
    </row>
    <row r="9838" spans="3:30">
      <c r="C9838" s="9"/>
      <c r="AD9838" s="1"/>
    </row>
    <row r="9839" spans="3:30">
      <c r="C9839" s="9"/>
      <c r="AD9839" s="1"/>
    </row>
    <row r="9840" spans="3:30">
      <c r="C9840" s="9"/>
      <c r="AD9840" s="1"/>
    </row>
    <row r="9841" spans="3:30">
      <c r="C9841" s="9"/>
      <c r="AD9841" s="1"/>
    </row>
    <row r="9842" spans="3:30">
      <c r="C9842" s="9"/>
      <c r="AD9842" s="1"/>
    </row>
    <row r="9843" spans="3:30">
      <c r="C9843" s="9"/>
      <c r="AD9843" s="1"/>
    </row>
    <row r="9844" spans="3:30">
      <c r="C9844" s="9"/>
      <c r="AD9844" s="1"/>
    </row>
    <row r="9845" spans="3:30">
      <c r="C9845" s="9"/>
      <c r="AD9845" s="1"/>
    </row>
    <row r="9846" spans="3:30">
      <c r="C9846" s="9"/>
      <c r="AD9846" s="1"/>
    </row>
    <row r="9847" spans="3:30">
      <c r="C9847" s="9"/>
      <c r="AD9847" s="1"/>
    </row>
    <row r="9848" spans="3:30">
      <c r="C9848" s="9"/>
      <c r="AD9848" s="1"/>
    </row>
    <row r="9849" spans="3:30">
      <c r="C9849" s="9"/>
      <c r="AD9849" s="1"/>
    </row>
    <row r="9850" spans="3:30">
      <c r="C9850" s="9"/>
      <c r="AD9850" s="1"/>
    </row>
    <row r="9851" spans="3:30">
      <c r="C9851" s="9"/>
      <c r="AD9851" s="1"/>
    </row>
    <row r="9852" spans="3:30">
      <c r="C9852" s="9"/>
      <c r="AD9852" s="1"/>
    </row>
    <row r="9853" spans="3:30">
      <c r="C9853" s="9"/>
      <c r="AD9853" s="1"/>
    </row>
    <row r="9854" spans="3:30">
      <c r="C9854" s="9"/>
      <c r="AD9854" s="1"/>
    </row>
    <row r="9855" spans="3:30">
      <c r="C9855" s="9"/>
      <c r="AD9855" s="1"/>
    </row>
    <row r="9856" spans="3:30">
      <c r="C9856" s="9"/>
      <c r="AD9856" s="1"/>
    </row>
    <row r="9857" spans="3:30">
      <c r="C9857" s="9"/>
      <c r="AD9857" s="1"/>
    </row>
    <row r="9858" spans="3:30">
      <c r="C9858" s="9"/>
      <c r="AD9858" s="1"/>
    </row>
    <row r="9859" spans="3:30">
      <c r="C9859" s="9"/>
      <c r="AD9859" s="1"/>
    </row>
    <row r="9860" spans="3:30">
      <c r="C9860" s="9"/>
      <c r="AD9860" s="1"/>
    </row>
    <row r="9861" spans="3:30">
      <c r="C9861" s="9"/>
      <c r="AD9861" s="1"/>
    </row>
    <row r="9862" spans="3:30">
      <c r="C9862" s="9"/>
      <c r="AD9862" s="1"/>
    </row>
    <row r="9863" spans="3:30">
      <c r="C9863" s="9"/>
      <c r="AD9863" s="1"/>
    </row>
    <row r="9864" spans="3:30">
      <c r="C9864" s="9"/>
      <c r="AD9864" s="1"/>
    </row>
    <row r="9865" spans="3:30">
      <c r="C9865" s="9"/>
      <c r="AD9865" s="1"/>
    </row>
    <row r="9866" spans="3:30">
      <c r="C9866" s="9"/>
      <c r="AD9866" s="1"/>
    </row>
    <row r="9867" spans="3:30">
      <c r="C9867" s="9"/>
      <c r="AD9867" s="1"/>
    </row>
    <row r="9868" spans="3:30">
      <c r="C9868" s="9"/>
      <c r="AD9868" s="1"/>
    </row>
    <row r="9869" spans="3:30">
      <c r="C9869" s="9"/>
      <c r="AD9869" s="1"/>
    </row>
    <row r="9870" spans="3:30">
      <c r="C9870" s="9"/>
      <c r="AD9870" s="1"/>
    </row>
    <row r="9871" spans="3:30">
      <c r="C9871" s="9"/>
      <c r="AD9871" s="1"/>
    </row>
    <row r="9872" spans="3:30">
      <c r="C9872" s="9"/>
      <c r="AD9872" s="1"/>
    </row>
    <row r="9873" spans="3:30">
      <c r="C9873" s="9"/>
      <c r="AD9873" s="1"/>
    </row>
    <row r="9874" spans="3:30">
      <c r="C9874" s="9"/>
      <c r="AD9874" s="1"/>
    </row>
    <row r="9875" spans="3:30">
      <c r="C9875" s="9"/>
      <c r="AD9875" s="1"/>
    </row>
    <row r="9876" spans="3:30">
      <c r="C9876" s="9"/>
      <c r="AD9876" s="1"/>
    </row>
    <row r="9877" spans="3:30">
      <c r="C9877" s="9"/>
      <c r="AD9877" s="1"/>
    </row>
    <row r="9878" spans="3:30">
      <c r="C9878" s="9"/>
      <c r="AD9878" s="1"/>
    </row>
    <row r="9879" spans="3:30">
      <c r="C9879" s="9"/>
      <c r="AD9879" s="1"/>
    </row>
    <row r="9880" spans="3:30">
      <c r="C9880" s="9"/>
      <c r="AD9880" s="1"/>
    </row>
    <row r="9881" spans="3:30">
      <c r="C9881" s="9"/>
      <c r="AD9881" s="1"/>
    </row>
    <row r="9882" spans="3:30">
      <c r="C9882" s="9"/>
      <c r="AD9882" s="1"/>
    </row>
    <row r="9883" spans="3:30">
      <c r="C9883" s="9"/>
      <c r="AD9883" s="1"/>
    </row>
    <row r="9884" spans="3:30">
      <c r="C9884" s="9"/>
      <c r="AD9884" s="1"/>
    </row>
    <row r="9885" spans="3:30">
      <c r="C9885" s="9"/>
      <c r="AD9885" s="1"/>
    </row>
    <row r="9886" spans="3:30">
      <c r="C9886" s="9"/>
      <c r="AD9886" s="1"/>
    </row>
    <row r="9887" spans="3:30">
      <c r="C9887" s="9"/>
      <c r="AD9887" s="1"/>
    </row>
    <row r="9888" spans="3:30">
      <c r="C9888" s="9"/>
      <c r="AD9888" s="1"/>
    </row>
    <row r="9889" spans="3:30">
      <c r="C9889" s="9"/>
      <c r="AD9889" s="1"/>
    </row>
    <row r="9890" spans="3:30">
      <c r="C9890" s="9"/>
      <c r="AD9890" s="1"/>
    </row>
    <row r="9891" spans="3:30">
      <c r="C9891" s="9"/>
      <c r="AD9891" s="1"/>
    </row>
    <row r="9892" spans="3:30">
      <c r="C9892" s="9"/>
      <c r="AD9892" s="1"/>
    </row>
    <row r="9893" spans="3:30">
      <c r="C9893" s="9"/>
      <c r="AD9893" s="1"/>
    </row>
    <row r="9894" spans="3:30">
      <c r="C9894" s="9"/>
      <c r="AD9894" s="1"/>
    </row>
    <row r="9895" spans="3:30">
      <c r="C9895" s="9"/>
      <c r="AD9895" s="1"/>
    </row>
    <row r="9896" spans="3:30">
      <c r="C9896" s="9"/>
      <c r="AD9896" s="1"/>
    </row>
    <row r="9897" spans="3:30">
      <c r="C9897" s="9"/>
      <c r="AD9897" s="1"/>
    </row>
    <row r="9898" spans="3:30">
      <c r="C9898" s="9"/>
      <c r="AD9898" s="1"/>
    </row>
    <row r="9899" spans="3:30">
      <c r="C9899" s="9"/>
      <c r="AD9899" s="1"/>
    </row>
    <row r="9900" spans="3:30">
      <c r="C9900" s="9"/>
      <c r="AD9900" s="1"/>
    </row>
    <row r="9901" spans="3:30">
      <c r="C9901" s="9"/>
      <c r="AD9901" s="1"/>
    </row>
    <row r="9902" spans="3:30">
      <c r="C9902" s="9"/>
      <c r="AD9902" s="1"/>
    </row>
    <row r="9903" spans="3:30">
      <c r="C9903" s="9"/>
      <c r="AD9903" s="1"/>
    </row>
    <row r="9904" spans="3:30">
      <c r="C9904" s="9"/>
      <c r="AD9904" s="1"/>
    </row>
    <row r="9905" spans="3:30">
      <c r="C9905" s="9"/>
      <c r="AD9905" s="1"/>
    </row>
    <row r="9906" spans="3:30">
      <c r="C9906" s="9"/>
      <c r="AD9906" s="1"/>
    </row>
    <row r="9907" spans="3:30">
      <c r="C9907" s="9"/>
      <c r="AD9907" s="1"/>
    </row>
    <row r="9908" spans="3:30">
      <c r="C9908" s="9"/>
      <c r="AD9908" s="1"/>
    </row>
    <row r="9909" spans="3:30">
      <c r="C9909" s="9"/>
      <c r="AD9909" s="1"/>
    </row>
    <row r="9910" spans="3:30">
      <c r="C9910" s="9"/>
      <c r="AD9910" s="1"/>
    </row>
    <row r="9911" spans="3:30">
      <c r="C9911" s="9"/>
      <c r="AD9911" s="1"/>
    </row>
    <row r="9912" spans="3:30">
      <c r="C9912" s="9"/>
      <c r="AD9912" s="1"/>
    </row>
    <row r="9913" spans="3:30">
      <c r="C9913" s="9"/>
      <c r="AD9913" s="1"/>
    </row>
    <row r="9914" spans="3:30">
      <c r="C9914" s="9"/>
      <c r="AD9914" s="1"/>
    </row>
    <row r="9915" spans="3:30">
      <c r="C9915" s="9"/>
      <c r="AD9915" s="1"/>
    </row>
    <row r="9916" spans="3:30">
      <c r="C9916" s="9"/>
      <c r="AD9916" s="1"/>
    </row>
    <row r="9917" spans="3:30">
      <c r="C9917" s="9"/>
      <c r="AD9917" s="1"/>
    </row>
    <row r="9918" spans="3:30">
      <c r="C9918" s="9"/>
      <c r="AD9918" s="1"/>
    </row>
    <row r="9919" spans="3:30">
      <c r="C9919" s="9"/>
      <c r="AD9919" s="1"/>
    </row>
    <row r="9920" spans="3:30">
      <c r="C9920" s="9"/>
      <c r="AD9920" s="1"/>
    </row>
    <row r="9921" spans="3:30">
      <c r="C9921" s="9"/>
      <c r="AD9921" s="1"/>
    </row>
    <row r="9922" spans="3:30">
      <c r="C9922" s="9"/>
      <c r="AD9922" s="1"/>
    </row>
    <row r="9923" spans="3:30">
      <c r="C9923" s="9"/>
      <c r="AD9923" s="1"/>
    </row>
    <row r="9924" spans="3:30">
      <c r="C9924" s="9"/>
      <c r="AD9924" s="1"/>
    </row>
    <row r="9925" spans="3:30">
      <c r="C9925" s="9"/>
      <c r="AD9925" s="1"/>
    </row>
    <row r="9926" spans="3:30">
      <c r="C9926" s="9"/>
      <c r="AD9926" s="1"/>
    </row>
    <row r="9927" spans="3:30">
      <c r="C9927" s="9"/>
      <c r="AD9927" s="1"/>
    </row>
    <row r="9928" spans="3:30">
      <c r="C9928" s="9"/>
      <c r="AD9928" s="1"/>
    </row>
    <row r="9929" spans="3:30">
      <c r="C9929" s="9"/>
      <c r="AD9929" s="1"/>
    </row>
    <row r="9930" spans="3:30">
      <c r="C9930" s="9"/>
      <c r="AD9930" s="1"/>
    </row>
    <row r="9931" spans="3:30">
      <c r="C9931" s="9"/>
      <c r="AD9931" s="1"/>
    </row>
    <row r="9932" spans="3:30">
      <c r="C9932" s="9"/>
      <c r="AD9932" s="1"/>
    </row>
    <row r="9933" spans="3:30">
      <c r="C9933" s="9"/>
      <c r="AD9933" s="1"/>
    </row>
    <row r="9934" spans="3:30">
      <c r="C9934" s="9"/>
      <c r="AD9934" s="1"/>
    </row>
    <row r="9935" spans="3:30">
      <c r="C9935" s="9"/>
      <c r="AD9935" s="1"/>
    </row>
    <row r="9936" spans="3:30">
      <c r="C9936" s="9"/>
      <c r="AD9936" s="1"/>
    </row>
    <row r="9937" spans="3:30">
      <c r="C9937" s="9"/>
      <c r="AD9937" s="1"/>
    </row>
    <row r="9938" spans="3:30">
      <c r="C9938" s="9"/>
      <c r="AD9938" s="1"/>
    </row>
    <row r="9939" spans="3:30">
      <c r="C9939" s="9"/>
      <c r="AD9939" s="1"/>
    </row>
    <row r="9940" spans="3:30">
      <c r="C9940" s="9"/>
      <c r="AD9940" s="1"/>
    </row>
    <row r="9941" spans="3:30">
      <c r="C9941" s="9"/>
      <c r="AD9941" s="1"/>
    </row>
    <row r="9942" spans="3:30">
      <c r="C9942" s="9"/>
      <c r="AD9942" s="1"/>
    </row>
    <row r="9943" spans="3:30">
      <c r="C9943" s="9"/>
      <c r="AD9943" s="1"/>
    </row>
    <row r="9944" spans="3:30">
      <c r="C9944" s="9"/>
      <c r="AD9944" s="1"/>
    </row>
    <row r="9945" spans="3:30">
      <c r="C9945" s="9"/>
      <c r="AD9945" s="1"/>
    </row>
    <row r="9946" spans="3:30">
      <c r="C9946" s="9"/>
      <c r="AD9946" s="1"/>
    </row>
    <row r="9947" spans="3:30">
      <c r="C9947" s="9"/>
      <c r="AD9947" s="1"/>
    </row>
    <row r="9948" spans="3:30">
      <c r="C9948" s="9"/>
      <c r="AD9948" s="1"/>
    </row>
    <row r="9949" spans="3:30">
      <c r="C9949" s="9"/>
      <c r="AD9949" s="1"/>
    </row>
    <row r="9950" spans="3:30">
      <c r="C9950" s="9"/>
      <c r="AD9950" s="1"/>
    </row>
    <row r="9951" spans="3:30">
      <c r="C9951" s="9"/>
      <c r="AD9951" s="1"/>
    </row>
    <row r="9952" spans="3:30">
      <c r="C9952" s="9"/>
      <c r="AD9952" s="1"/>
    </row>
    <row r="9953" spans="3:30">
      <c r="C9953" s="9"/>
      <c r="AD9953" s="1"/>
    </row>
    <row r="9954" spans="3:30">
      <c r="C9954" s="9"/>
      <c r="AD9954" s="1"/>
    </row>
    <row r="9955" spans="3:30">
      <c r="C9955" s="9"/>
      <c r="AD9955" s="1"/>
    </row>
    <row r="9956" spans="3:30">
      <c r="C9956" s="9"/>
      <c r="AD9956" s="1"/>
    </row>
    <row r="9957" spans="3:30">
      <c r="C9957" s="9"/>
      <c r="AD9957" s="1"/>
    </row>
    <row r="9958" spans="3:30">
      <c r="C9958" s="9"/>
      <c r="AD9958" s="1"/>
    </row>
    <row r="9959" spans="3:30">
      <c r="C9959" s="9"/>
      <c r="AD9959" s="1"/>
    </row>
    <row r="9960" spans="3:30">
      <c r="C9960" s="9"/>
      <c r="AD9960" s="1"/>
    </row>
    <row r="9961" spans="3:30">
      <c r="C9961" s="9"/>
      <c r="AD9961" s="1"/>
    </row>
    <row r="9962" spans="3:30">
      <c r="C9962" s="9"/>
      <c r="AD9962" s="1"/>
    </row>
    <row r="9963" spans="3:30">
      <c r="C9963" s="9"/>
      <c r="AD9963" s="1"/>
    </row>
    <row r="9964" spans="3:30">
      <c r="C9964" s="9"/>
      <c r="AD9964" s="1"/>
    </row>
    <row r="9965" spans="3:30">
      <c r="C9965" s="9"/>
      <c r="AD9965" s="1"/>
    </row>
    <row r="9966" spans="3:30">
      <c r="C9966" s="9"/>
      <c r="AD9966" s="1"/>
    </row>
    <row r="9967" spans="3:30">
      <c r="C9967" s="9"/>
      <c r="AD9967" s="1"/>
    </row>
    <row r="9968" spans="3:30">
      <c r="C9968" s="9"/>
      <c r="AD9968" s="1"/>
    </row>
    <row r="9969" spans="3:30">
      <c r="C9969" s="9"/>
      <c r="AD9969" s="1"/>
    </row>
    <row r="9970" spans="3:30">
      <c r="C9970" s="9"/>
      <c r="AD9970" s="1"/>
    </row>
    <row r="9971" spans="3:30">
      <c r="C9971" s="9"/>
      <c r="AD9971" s="1"/>
    </row>
    <row r="9972" spans="3:30">
      <c r="C9972" s="9"/>
      <c r="AD9972" s="1"/>
    </row>
    <row r="9973" spans="3:30">
      <c r="C9973" s="9"/>
      <c r="AD9973" s="1"/>
    </row>
    <row r="9974" spans="3:30">
      <c r="C9974" s="9"/>
      <c r="AD9974" s="1"/>
    </row>
    <row r="9975" spans="3:30">
      <c r="C9975" s="9"/>
      <c r="AD9975" s="1"/>
    </row>
    <row r="9976" spans="3:30">
      <c r="C9976" s="9"/>
      <c r="AD9976" s="1"/>
    </row>
    <row r="9977" spans="3:30">
      <c r="C9977" s="9"/>
      <c r="AD9977" s="1"/>
    </row>
    <row r="9978" spans="3:30">
      <c r="C9978" s="9"/>
      <c r="AD9978" s="1"/>
    </row>
    <row r="9979" spans="3:30">
      <c r="C9979" s="9"/>
      <c r="AD9979" s="1"/>
    </row>
    <row r="9980" spans="3:30">
      <c r="C9980" s="9"/>
      <c r="AD9980" s="1"/>
    </row>
    <row r="9981" spans="3:30">
      <c r="C9981" s="9"/>
      <c r="AD9981" s="1"/>
    </row>
    <row r="9982" spans="3:30">
      <c r="C9982" s="9"/>
      <c r="AD9982" s="1"/>
    </row>
    <row r="9983" spans="3:30">
      <c r="C9983" s="9"/>
      <c r="AD9983" s="1"/>
    </row>
    <row r="9984" spans="3:30">
      <c r="C9984" s="9"/>
      <c r="AD9984" s="1"/>
    </row>
    <row r="9985" spans="3:30">
      <c r="C9985" s="9"/>
      <c r="AD9985" s="1"/>
    </row>
    <row r="9986" spans="3:30">
      <c r="C9986" s="9"/>
      <c r="AD9986" s="1"/>
    </row>
    <row r="9987" spans="3:30">
      <c r="C9987" s="9"/>
      <c r="AD9987" s="1"/>
    </row>
    <row r="9988" spans="3:30">
      <c r="C9988" s="9"/>
      <c r="AD9988" s="1"/>
    </row>
    <row r="9989" spans="3:30">
      <c r="C9989" s="9"/>
      <c r="AD9989" s="1"/>
    </row>
    <row r="9990" spans="3:30">
      <c r="C9990" s="9"/>
      <c r="AD9990" s="1"/>
    </row>
    <row r="9991" spans="3:30">
      <c r="C9991" s="9"/>
      <c r="AD9991" s="1"/>
    </row>
    <row r="9992" spans="3:30">
      <c r="C9992" s="9"/>
      <c r="AD9992" s="1"/>
    </row>
    <row r="9993" spans="3:30">
      <c r="C9993" s="9"/>
      <c r="AD9993" s="1"/>
    </row>
    <row r="9994" spans="3:30">
      <c r="C9994" s="9"/>
      <c r="AD9994" s="1"/>
    </row>
    <row r="9995" spans="3:30">
      <c r="C9995" s="9"/>
      <c r="AD9995" s="1"/>
    </row>
    <row r="9996" spans="3:30">
      <c r="C9996" s="9"/>
      <c r="AD9996" s="1"/>
    </row>
    <row r="9997" spans="3:30">
      <c r="C9997" s="9"/>
      <c r="AD9997" s="1"/>
    </row>
    <row r="9998" spans="3:30">
      <c r="C9998" s="9"/>
      <c r="AD9998" s="1"/>
    </row>
    <row r="9999" spans="3:30">
      <c r="C9999" s="9"/>
      <c r="AD9999" s="1"/>
    </row>
    <row r="10000" spans="3:30">
      <c r="C10000" s="9"/>
      <c r="AD10000" s="1"/>
    </row>
    <row r="10001" spans="3:30">
      <c r="C10001" s="9"/>
      <c r="AD10001" s="1"/>
    </row>
    <row r="10002" spans="3:30">
      <c r="C10002" s="9"/>
      <c r="AD10002" s="1"/>
    </row>
    <row r="10003" spans="3:30">
      <c r="C10003" s="9"/>
      <c r="AD10003" s="1"/>
    </row>
    <row r="10004" spans="3:30">
      <c r="C10004" s="9"/>
      <c r="AD10004" s="1"/>
    </row>
    <row r="10005" spans="3:30">
      <c r="C10005" s="9"/>
      <c r="AD10005" s="1"/>
    </row>
    <row r="10006" spans="3:30">
      <c r="C10006" s="9"/>
      <c r="AD10006" s="1"/>
    </row>
    <row r="10007" spans="3:30">
      <c r="C10007" s="9"/>
      <c r="AD10007" s="1"/>
    </row>
    <row r="10008" spans="3:30">
      <c r="C10008" s="9"/>
      <c r="AD10008" s="1"/>
    </row>
    <row r="10009" spans="3:30">
      <c r="C10009" s="9"/>
      <c r="AD10009" s="1"/>
    </row>
    <row r="10010" spans="3:30">
      <c r="C10010" s="9"/>
      <c r="AD10010" s="1"/>
    </row>
    <row r="10011" spans="3:30">
      <c r="C10011" s="9"/>
      <c r="AD10011" s="1"/>
    </row>
    <row r="10012" spans="3:30">
      <c r="C10012" s="9"/>
      <c r="AD10012" s="1"/>
    </row>
    <row r="10013" spans="3:30">
      <c r="C10013" s="9"/>
      <c r="AD10013" s="1"/>
    </row>
    <row r="10014" spans="3:30">
      <c r="C10014" s="9"/>
      <c r="AD10014" s="1"/>
    </row>
    <row r="10015" spans="3:30">
      <c r="C10015" s="9"/>
      <c r="AD10015" s="1"/>
    </row>
    <row r="10016" spans="3:30">
      <c r="C10016" s="9"/>
      <c r="AD10016" s="1"/>
    </row>
    <row r="10017" spans="3:30">
      <c r="C10017" s="9"/>
      <c r="AD10017" s="1"/>
    </row>
    <row r="10018" spans="3:30">
      <c r="C10018" s="9"/>
      <c r="AD10018" s="1"/>
    </row>
    <row r="10019" spans="3:30">
      <c r="C10019" s="9"/>
      <c r="AD10019" s="1"/>
    </row>
    <row r="10020" spans="3:30">
      <c r="C10020" s="9"/>
      <c r="AD10020" s="1"/>
    </row>
    <row r="10021" spans="3:30">
      <c r="C10021" s="9"/>
      <c r="AD10021" s="1"/>
    </row>
    <row r="10022" spans="3:30">
      <c r="C10022" s="9"/>
      <c r="AD10022" s="1"/>
    </row>
    <row r="10023" spans="3:30">
      <c r="C10023" s="9"/>
      <c r="AD10023" s="1"/>
    </row>
    <row r="10024" spans="3:30">
      <c r="C10024" s="9"/>
      <c r="AD10024" s="1"/>
    </row>
    <row r="10025" spans="3:30">
      <c r="C10025" s="9"/>
      <c r="AD10025" s="1"/>
    </row>
    <row r="10026" spans="3:30">
      <c r="C10026" s="9"/>
      <c r="AD10026" s="1"/>
    </row>
    <row r="10027" spans="3:30">
      <c r="C10027" s="9"/>
      <c r="AD10027" s="1"/>
    </row>
    <row r="10028" spans="3:30">
      <c r="C10028" s="9"/>
      <c r="AD10028" s="1"/>
    </row>
    <row r="10029" spans="3:30">
      <c r="C10029" s="9"/>
      <c r="AD10029" s="1"/>
    </row>
    <row r="10030" spans="3:30">
      <c r="C10030" s="9"/>
      <c r="AD10030" s="1"/>
    </row>
    <row r="10031" spans="3:30">
      <c r="C10031" s="9"/>
      <c r="AD10031" s="1"/>
    </row>
    <row r="10032" spans="3:30">
      <c r="C10032" s="9"/>
      <c r="AD10032" s="1"/>
    </row>
    <row r="10033" spans="3:30">
      <c r="C10033" s="9"/>
      <c r="AD10033" s="1"/>
    </row>
    <row r="10034" spans="3:30">
      <c r="C10034" s="9"/>
      <c r="AD10034" s="1"/>
    </row>
    <row r="10035" spans="3:30">
      <c r="C10035" s="9"/>
      <c r="AD10035" s="1"/>
    </row>
    <row r="10036" spans="3:30">
      <c r="C10036" s="9"/>
      <c r="AD10036" s="1"/>
    </row>
    <row r="10037" spans="3:30">
      <c r="C10037" s="9"/>
      <c r="AD10037" s="1"/>
    </row>
    <row r="10038" spans="3:30">
      <c r="C10038" s="9"/>
      <c r="AD10038" s="1"/>
    </row>
    <row r="10039" spans="3:30">
      <c r="C10039" s="9"/>
      <c r="AD10039" s="1"/>
    </row>
    <row r="10040" spans="3:30">
      <c r="C10040" s="9"/>
      <c r="AD10040" s="1"/>
    </row>
    <row r="10041" spans="3:30">
      <c r="C10041" s="9"/>
      <c r="AD10041" s="1"/>
    </row>
    <row r="10042" spans="3:30">
      <c r="C10042" s="9"/>
      <c r="AD10042" s="1"/>
    </row>
    <row r="10043" spans="3:30">
      <c r="C10043" s="9"/>
      <c r="AD10043" s="1"/>
    </row>
    <row r="10044" spans="3:30">
      <c r="C10044" s="9"/>
      <c r="AD10044" s="1"/>
    </row>
    <row r="10045" spans="3:30">
      <c r="C10045" s="9"/>
      <c r="AD10045" s="1"/>
    </row>
    <row r="10046" spans="3:30">
      <c r="C10046" s="9"/>
      <c r="AD10046" s="1"/>
    </row>
    <row r="10047" spans="3:30">
      <c r="C10047" s="9"/>
      <c r="AD10047" s="1"/>
    </row>
    <row r="10048" spans="3:30">
      <c r="C10048" s="9"/>
      <c r="AD10048" s="1"/>
    </row>
    <row r="10049" spans="3:30">
      <c r="C10049" s="9"/>
      <c r="AD10049" s="1"/>
    </row>
    <row r="10050" spans="3:30">
      <c r="C10050" s="9"/>
      <c r="AD10050" s="1"/>
    </row>
    <row r="10051" spans="3:30">
      <c r="C10051" s="9"/>
      <c r="AD10051" s="1"/>
    </row>
    <row r="10052" spans="3:30">
      <c r="C10052" s="9"/>
      <c r="AD10052" s="1"/>
    </row>
    <row r="10053" spans="3:30">
      <c r="C10053" s="9"/>
      <c r="AD10053" s="1"/>
    </row>
    <row r="10054" spans="3:30">
      <c r="C10054" s="9"/>
      <c r="AD10054" s="1"/>
    </row>
    <row r="10055" spans="3:30">
      <c r="C10055" s="9"/>
      <c r="AD10055" s="1"/>
    </row>
    <row r="10056" spans="3:30">
      <c r="C10056" s="9"/>
      <c r="AD10056" s="1"/>
    </row>
    <row r="10057" spans="3:30">
      <c r="C10057" s="9"/>
      <c r="AD10057" s="1"/>
    </row>
    <row r="10058" spans="3:30">
      <c r="C10058" s="9"/>
      <c r="AD10058" s="1"/>
    </row>
    <row r="10059" spans="3:30">
      <c r="C10059" s="9"/>
      <c r="AD10059" s="1"/>
    </row>
    <row r="10060" spans="3:30">
      <c r="C10060" s="9"/>
      <c r="AD10060" s="1"/>
    </row>
    <row r="10061" spans="3:30">
      <c r="C10061" s="9"/>
      <c r="AD10061" s="1"/>
    </row>
    <row r="10062" spans="3:30">
      <c r="C10062" s="9"/>
      <c r="AD10062" s="1"/>
    </row>
    <row r="10063" spans="3:30">
      <c r="C10063" s="9"/>
      <c r="AD10063" s="1"/>
    </row>
    <row r="10064" spans="3:30">
      <c r="C10064" s="9"/>
      <c r="AD10064" s="1"/>
    </row>
    <row r="10065" spans="3:30">
      <c r="C10065" s="9"/>
      <c r="AD10065" s="1"/>
    </row>
    <row r="10066" spans="3:30">
      <c r="C10066" s="9"/>
      <c r="AD10066" s="1"/>
    </row>
    <row r="10067" spans="3:30">
      <c r="C10067" s="9"/>
      <c r="AD10067" s="1"/>
    </row>
    <row r="10068" spans="3:30">
      <c r="C10068" s="9"/>
      <c r="AD10068" s="1"/>
    </row>
    <row r="10069" spans="3:30">
      <c r="C10069" s="9"/>
      <c r="AD10069" s="1"/>
    </row>
    <row r="10070" spans="3:30">
      <c r="C10070" s="9"/>
      <c r="AD10070" s="1"/>
    </row>
    <row r="10071" spans="3:30">
      <c r="C10071" s="9"/>
      <c r="AD10071" s="1"/>
    </row>
    <row r="10072" spans="3:30">
      <c r="C10072" s="9"/>
      <c r="AD10072" s="1"/>
    </row>
    <row r="10073" spans="3:30">
      <c r="C10073" s="9"/>
      <c r="AD10073" s="1"/>
    </row>
    <row r="10074" spans="3:30">
      <c r="C10074" s="9"/>
      <c r="AD10074" s="1"/>
    </row>
    <row r="10075" spans="3:30">
      <c r="C10075" s="9"/>
      <c r="AD10075" s="1"/>
    </row>
    <row r="10076" spans="3:30">
      <c r="C10076" s="9"/>
      <c r="AD10076" s="1"/>
    </row>
    <row r="10077" spans="3:30">
      <c r="C10077" s="9"/>
      <c r="AD10077" s="1"/>
    </row>
    <row r="10078" spans="3:30">
      <c r="C10078" s="9"/>
      <c r="AD10078" s="1"/>
    </row>
    <row r="10079" spans="3:30">
      <c r="C10079" s="9"/>
      <c r="AD10079" s="1"/>
    </row>
    <row r="10080" spans="3:30">
      <c r="C10080" s="9"/>
      <c r="AD10080" s="1"/>
    </row>
    <row r="10081" spans="3:30">
      <c r="C10081" s="9"/>
      <c r="AD10081" s="1"/>
    </row>
    <row r="10082" spans="3:30">
      <c r="C10082" s="9"/>
      <c r="AD10082" s="1"/>
    </row>
    <row r="10083" spans="3:30">
      <c r="C10083" s="9"/>
      <c r="AD10083" s="1"/>
    </row>
    <row r="10084" spans="3:30">
      <c r="C10084" s="9"/>
      <c r="AD10084" s="1"/>
    </row>
    <row r="10085" spans="3:30">
      <c r="C10085" s="9"/>
      <c r="AD10085" s="1"/>
    </row>
    <row r="10086" spans="3:30">
      <c r="C10086" s="9"/>
      <c r="AD10086" s="1"/>
    </row>
    <row r="10087" spans="3:30">
      <c r="C10087" s="9"/>
      <c r="AD10087" s="1"/>
    </row>
    <row r="10088" spans="3:30">
      <c r="C10088" s="9"/>
      <c r="AD10088" s="1"/>
    </row>
    <row r="10089" spans="3:30">
      <c r="C10089" s="9"/>
      <c r="AD10089" s="1"/>
    </row>
    <row r="10090" spans="3:30">
      <c r="C10090" s="9"/>
      <c r="AD10090" s="1"/>
    </row>
    <row r="10091" spans="3:30">
      <c r="C10091" s="9"/>
      <c r="AD10091" s="1"/>
    </row>
    <row r="10092" spans="3:30">
      <c r="C10092" s="9"/>
      <c r="AD10092" s="1"/>
    </row>
    <row r="10093" spans="3:30">
      <c r="C10093" s="9"/>
      <c r="AD10093" s="1"/>
    </row>
    <row r="10094" spans="3:30">
      <c r="C10094" s="9"/>
      <c r="AD10094" s="1"/>
    </row>
    <row r="10095" spans="3:30">
      <c r="C10095" s="9"/>
      <c r="AD10095" s="1"/>
    </row>
    <row r="10096" spans="3:30">
      <c r="C10096" s="9"/>
      <c r="AD10096" s="1"/>
    </row>
    <row r="10097" spans="3:30">
      <c r="C10097" s="9"/>
      <c r="AD10097" s="1"/>
    </row>
    <row r="10098" spans="3:30">
      <c r="C10098" s="9"/>
      <c r="AD10098" s="1"/>
    </row>
    <row r="10099" spans="3:30">
      <c r="C10099" s="9"/>
      <c r="AD10099" s="1"/>
    </row>
    <row r="10100" spans="3:30">
      <c r="C10100" s="9"/>
      <c r="AD10100" s="1"/>
    </row>
    <row r="10101" spans="3:30">
      <c r="C10101" s="9"/>
      <c r="AD10101" s="1"/>
    </row>
    <row r="10102" spans="3:30">
      <c r="C10102" s="9"/>
      <c r="AD10102" s="1"/>
    </row>
    <row r="10103" spans="3:30">
      <c r="C10103" s="9"/>
      <c r="AD10103" s="1"/>
    </row>
    <row r="10104" spans="3:30">
      <c r="C10104" s="9"/>
      <c r="AD10104" s="1"/>
    </row>
    <row r="10105" spans="3:30">
      <c r="C10105" s="9"/>
      <c r="AD10105" s="1"/>
    </row>
    <row r="10106" spans="3:30">
      <c r="C10106" s="9"/>
      <c r="AD10106" s="1"/>
    </row>
    <row r="10107" spans="3:30">
      <c r="C10107" s="9"/>
      <c r="AD10107" s="1"/>
    </row>
    <row r="10108" spans="3:30">
      <c r="C10108" s="9"/>
      <c r="AD10108" s="1"/>
    </row>
    <row r="10109" spans="3:30">
      <c r="C10109" s="9"/>
      <c r="AD10109" s="1"/>
    </row>
    <row r="10110" spans="3:30">
      <c r="C10110" s="9"/>
      <c r="AD10110" s="1"/>
    </row>
    <row r="10111" spans="3:30">
      <c r="C10111" s="9"/>
      <c r="AD10111" s="1"/>
    </row>
    <row r="10112" spans="3:30">
      <c r="C10112" s="9"/>
      <c r="AD10112" s="1"/>
    </row>
    <row r="10113" spans="3:30">
      <c r="C10113" s="9"/>
      <c r="AD10113" s="1"/>
    </row>
    <row r="10114" spans="3:30">
      <c r="C10114" s="9"/>
      <c r="AD10114" s="1"/>
    </row>
    <row r="10115" spans="3:30">
      <c r="C10115" s="9"/>
      <c r="AD10115" s="1"/>
    </row>
    <row r="10116" spans="3:30">
      <c r="C10116" s="9"/>
      <c r="AD10116" s="1"/>
    </row>
    <row r="10117" spans="3:30">
      <c r="C10117" s="9"/>
      <c r="AD10117" s="1"/>
    </row>
    <row r="10118" spans="3:30">
      <c r="C10118" s="9"/>
      <c r="AD10118" s="1"/>
    </row>
    <row r="10119" spans="3:30">
      <c r="C10119" s="9"/>
      <c r="AD10119" s="1"/>
    </row>
    <row r="10120" spans="3:30">
      <c r="C10120" s="9"/>
      <c r="AD10120" s="1"/>
    </row>
    <row r="10121" spans="3:30">
      <c r="C10121" s="9"/>
      <c r="AD10121" s="1"/>
    </row>
    <row r="10122" spans="3:30">
      <c r="C10122" s="9"/>
      <c r="AD10122" s="1"/>
    </row>
    <row r="10123" spans="3:30">
      <c r="C10123" s="9"/>
      <c r="AD10123" s="1"/>
    </row>
    <row r="10124" spans="3:30">
      <c r="C10124" s="9"/>
      <c r="AD10124" s="1"/>
    </row>
    <row r="10125" spans="3:30">
      <c r="C10125" s="9"/>
      <c r="AD10125" s="1"/>
    </row>
    <row r="10126" spans="3:30">
      <c r="C10126" s="9"/>
      <c r="AD10126" s="1"/>
    </row>
    <row r="10127" spans="3:30">
      <c r="C10127" s="9"/>
      <c r="AD10127" s="1"/>
    </row>
    <row r="10128" spans="3:30">
      <c r="C10128" s="9"/>
      <c r="AD10128" s="1"/>
    </row>
    <row r="10129" spans="3:30">
      <c r="C10129" s="9"/>
      <c r="AD10129" s="1"/>
    </row>
    <row r="10130" spans="3:30">
      <c r="C10130" s="9"/>
      <c r="AD10130" s="1"/>
    </row>
    <row r="10131" spans="3:30">
      <c r="C10131" s="9"/>
      <c r="AD10131" s="1"/>
    </row>
    <row r="10132" spans="3:30">
      <c r="C10132" s="9"/>
      <c r="AD10132" s="1"/>
    </row>
    <row r="10133" spans="3:30">
      <c r="C10133" s="9"/>
      <c r="AD10133" s="1"/>
    </row>
    <row r="10134" spans="3:30">
      <c r="C10134" s="9"/>
      <c r="AD10134" s="1"/>
    </row>
    <row r="10135" spans="3:30">
      <c r="C10135" s="9"/>
      <c r="AD10135" s="1"/>
    </row>
    <row r="10136" spans="3:30">
      <c r="C10136" s="9"/>
      <c r="AD10136" s="1"/>
    </row>
    <row r="10137" spans="3:30">
      <c r="C10137" s="9"/>
      <c r="AD10137" s="1"/>
    </row>
    <row r="10138" spans="3:30">
      <c r="C10138" s="9"/>
      <c r="AD10138" s="1"/>
    </row>
    <row r="10139" spans="3:30">
      <c r="C10139" s="9"/>
      <c r="AD10139" s="1"/>
    </row>
    <row r="10140" spans="3:30">
      <c r="C10140" s="9"/>
      <c r="AD10140" s="1"/>
    </row>
    <row r="10141" spans="3:30">
      <c r="C10141" s="9"/>
      <c r="AD10141" s="1"/>
    </row>
    <row r="10142" spans="3:30">
      <c r="C10142" s="9"/>
      <c r="AD10142" s="1"/>
    </row>
    <row r="10143" spans="3:30">
      <c r="C10143" s="9"/>
      <c r="AD10143" s="1"/>
    </row>
    <row r="10144" spans="3:30">
      <c r="C10144" s="9"/>
      <c r="AD10144" s="1"/>
    </row>
    <row r="10145" spans="3:30">
      <c r="C10145" s="9"/>
      <c r="AD10145" s="1"/>
    </row>
    <row r="10146" spans="3:30">
      <c r="C10146" s="9"/>
      <c r="AD10146" s="1"/>
    </row>
    <row r="10147" spans="3:30">
      <c r="C10147" s="9"/>
      <c r="AD10147" s="1"/>
    </row>
    <row r="10148" spans="3:30">
      <c r="C10148" s="9"/>
      <c r="AD10148" s="1"/>
    </row>
    <row r="10149" spans="3:30">
      <c r="C10149" s="9"/>
      <c r="AD10149" s="1"/>
    </row>
    <row r="10150" spans="3:30">
      <c r="C10150" s="9"/>
      <c r="AD10150" s="1"/>
    </row>
    <row r="10151" spans="3:30">
      <c r="C10151" s="9"/>
      <c r="AD10151" s="1"/>
    </row>
    <row r="10152" spans="3:30">
      <c r="C10152" s="9"/>
      <c r="AD10152" s="1"/>
    </row>
    <row r="10153" spans="3:30">
      <c r="C10153" s="9"/>
      <c r="AD10153" s="1"/>
    </row>
    <row r="10154" spans="3:30">
      <c r="C10154" s="9"/>
      <c r="AD10154" s="1"/>
    </row>
    <row r="10155" spans="3:30">
      <c r="C10155" s="9"/>
      <c r="AD10155" s="1"/>
    </row>
    <row r="10156" spans="3:30">
      <c r="C10156" s="9"/>
      <c r="AD10156" s="1"/>
    </row>
    <row r="10157" spans="3:30">
      <c r="C10157" s="9"/>
      <c r="AD10157" s="1"/>
    </row>
    <row r="10158" spans="3:30">
      <c r="C10158" s="9"/>
      <c r="AD10158" s="1"/>
    </row>
    <row r="10159" spans="3:30">
      <c r="C10159" s="9"/>
      <c r="AD10159" s="1"/>
    </row>
    <row r="10160" spans="3:30">
      <c r="C10160" s="9"/>
      <c r="AD10160" s="1"/>
    </row>
    <row r="10161" spans="3:30">
      <c r="C10161" s="9"/>
      <c r="AD10161" s="1"/>
    </row>
    <row r="10162" spans="3:30">
      <c r="C10162" s="9"/>
      <c r="AD10162" s="1"/>
    </row>
    <row r="10163" spans="3:30">
      <c r="C10163" s="9"/>
      <c r="AD10163" s="1"/>
    </row>
    <row r="10164" spans="3:30">
      <c r="C10164" s="9"/>
      <c r="AD10164" s="1"/>
    </row>
    <row r="10165" spans="3:30">
      <c r="C10165" s="9"/>
      <c r="AD10165" s="1"/>
    </row>
    <row r="10166" spans="3:30">
      <c r="C10166" s="9"/>
      <c r="AD10166" s="1"/>
    </row>
    <row r="10167" spans="3:30">
      <c r="C10167" s="9"/>
      <c r="AD10167" s="1"/>
    </row>
    <row r="10168" spans="3:30">
      <c r="C10168" s="9"/>
      <c r="AD10168" s="1"/>
    </row>
    <row r="10169" spans="3:30">
      <c r="C10169" s="9"/>
      <c r="AD10169" s="1"/>
    </row>
    <row r="10170" spans="3:30">
      <c r="C10170" s="9"/>
      <c r="AD10170" s="1"/>
    </row>
    <row r="10171" spans="3:30">
      <c r="C10171" s="9"/>
      <c r="AD10171" s="1"/>
    </row>
    <row r="10172" spans="3:30">
      <c r="C10172" s="9"/>
      <c r="AD10172" s="1"/>
    </row>
    <row r="10173" spans="3:30">
      <c r="C10173" s="9"/>
      <c r="AD10173" s="1"/>
    </row>
    <row r="10174" spans="3:30">
      <c r="C10174" s="9"/>
      <c r="AD10174" s="1"/>
    </row>
    <row r="10175" spans="3:30">
      <c r="C10175" s="9"/>
      <c r="AD10175" s="1"/>
    </row>
    <row r="10176" spans="3:30">
      <c r="C10176" s="9"/>
      <c r="AD10176" s="1"/>
    </row>
    <row r="10177" spans="3:30">
      <c r="C10177" s="9"/>
      <c r="AD10177" s="1"/>
    </row>
    <row r="10178" spans="3:30">
      <c r="C10178" s="9"/>
      <c r="AD10178" s="1"/>
    </row>
    <row r="10179" spans="3:30">
      <c r="C10179" s="9"/>
      <c r="AD10179" s="1"/>
    </row>
    <row r="10180" spans="3:30">
      <c r="C10180" s="9"/>
      <c r="AD10180" s="1"/>
    </row>
    <row r="10181" spans="3:30">
      <c r="C10181" s="9"/>
      <c r="AD10181" s="1"/>
    </row>
    <row r="10182" spans="3:30">
      <c r="C10182" s="9"/>
      <c r="AD10182" s="1"/>
    </row>
    <row r="10183" spans="3:30">
      <c r="C10183" s="9"/>
      <c r="AD10183" s="1"/>
    </row>
    <row r="10184" spans="3:30">
      <c r="C10184" s="9"/>
      <c r="AD10184" s="1"/>
    </row>
    <row r="10185" spans="3:30">
      <c r="C10185" s="9"/>
      <c r="AD10185" s="1"/>
    </row>
    <row r="10186" spans="3:30">
      <c r="C10186" s="9"/>
      <c r="AD10186" s="1"/>
    </row>
    <row r="10187" spans="3:30">
      <c r="C10187" s="9"/>
      <c r="AD10187" s="1"/>
    </row>
    <row r="10188" spans="3:30">
      <c r="C10188" s="9"/>
      <c r="AD10188" s="1"/>
    </row>
    <row r="10189" spans="3:30">
      <c r="C10189" s="9"/>
      <c r="AD10189" s="1"/>
    </row>
    <row r="10190" spans="3:30">
      <c r="C10190" s="9"/>
      <c r="AD10190" s="1"/>
    </row>
    <row r="10191" spans="3:30">
      <c r="C10191" s="9"/>
      <c r="AD10191" s="1"/>
    </row>
    <row r="10192" spans="3:30">
      <c r="C10192" s="9"/>
      <c r="AD10192" s="1"/>
    </row>
    <row r="10193" spans="3:30">
      <c r="C10193" s="9"/>
      <c r="AD10193" s="1"/>
    </row>
    <row r="10194" spans="3:30">
      <c r="C10194" s="9"/>
      <c r="AD10194" s="1"/>
    </row>
    <row r="10195" spans="3:30">
      <c r="C10195" s="9"/>
      <c r="AD10195" s="1"/>
    </row>
    <row r="10196" spans="3:30">
      <c r="C10196" s="9"/>
      <c r="AD10196" s="1"/>
    </row>
    <row r="10197" spans="3:30">
      <c r="C10197" s="9"/>
      <c r="AD10197" s="1"/>
    </row>
    <row r="10198" spans="3:30">
      <c r="C10198" s="9"/>
      <c r="AD10198" s="1"/>
    </row>
    <row r="10199" spans="3:30">
      <c r="C10199" s="9"/>
      <c r="AD10199" s="1"/>
    </row>
    <row r="10200" spans="3:30">
      <c r="C10200" s="9"/>
      <c r="AD10200" s="1"/>
    </row>
    <row r="10201" spans="3:30">
      <c r="C10201" s="9"/>
      <c r="AD10201" s="1"/>
    </row>
    <row r="10202" spans="3:30">
      <c r="C10202" s="9"/>
      <c r="AD10202" s="1"/>
    </row>
    <row r="10203" spans="3:30">
      <c r="C10203" s="9"/>
      <c r="AD10203" s="1"/>
    </row>
    <row r="10204" spans="3:30">
      <c r="C10204" s="9"/>
      <c r="AD10204" s="1"/>
    </row>
    <row r="10205" spans="3:30">
      <c r="C10205" s="9"/>
      <c r="AD10205" s="1"/>
    </row>
    <row r="10206" spans="3:30">
      <c r="C10206" s="9"/>
      <c r="AD10206" s="1"/>
    </row>
    <row r="10207" spans="3:30">
      <c r="C10207" s="9"/>
      <c r="AD10207" s="1"/>
    </row>
    <row r="10208" spans="3:30">
      <c r="C10208" s="9"/>
      <c r="AD10208" s="1"/>
    </row>
    <row r="10209" spans="3:30">
      <c r="C10209" s="9"/>
      <c r="AD10209" s="1"/>
    </row>
    <row r="10210" spans="3:30">
      <c r="C10210" s="9"/>
      <c r="AD10210" s="1"/>
    </row>
    <row r="10211" spans="3:30">
      <c r="C10211" s="9"/>
      <c r="AD10211" s="1"/>
    </row>
    <row r="10212" spans="3:30">
      <c r="C10212" s="9"/>
      <c r="AD10212" s="1"/>
    </row>
    <row r="10213" spans="3:30">
      <c r="C10213" s="9"/>
      <c r="AD10213" s="1"/>
    </row>
    <row r="10214" spans="3:30">
      <c r="C10214" s="9"/>
      <c r="AD10214" s="1"/>
    </row>
    <row r="10215" spans="3:30">
      <c r="C10215" s="9"/>
      <c r="AD10215" s="1"/>
    </row>
    <row r="10216" spans="3:30">
      <c r="C10216" s="9"/>
      <c r="AD10216" s="1"/>
    </row>
    <row r="10217" spans="3:30">
      <c r="C10217" s="9"/>
      <c r="AD10217" s="1"/>
    </row>
    <row r="10218" spans="3:30">
      <c r="C10218" s="9"/>
      <c r="AD10218" s="1"/>
    </row>
    <row r="10219" spans="3:30">
      <c r="C10219" s="9"/>
      <c r="AD10219" s="1"/>
    </row>
    <row r="10220" spans="3:30">
      <c r="C10220" s="9"/>
      <c r="AD10220" s="1"/>
    </row>
    <row r="10221" spans="3:30">
      <c r="C10221" s="9"/>
      <c r="AD10221" s="1"/>
    </row>
    <row r="10222" spans="3:30">
      <c r="C10222" s="9"/>
      <c r="AD10222" s="1"/>
    </row>
    <row r="10223" spans="3:30">
      <c r="C10223" s="9"/>
      <c r="AD10223" s="1"/>
    </row>
    <row r="10224" spans="3:30">
      <c r="C10224" s="9"/>
      <c r="AD10224" s="1"/>
    </row>
    <row r="10225" spans="3:30">
      <c r="C10225" s="9"/>
      <c r="AD10225" s="1"/>
    </row>
    <row r="10226" spans="3:30">
      <c r="C10226" s="9"/>
      <c r="AD10226" s="1"/>
    </row>
    <row r="10227" spans="3:30">
      <c r="C10227" s="9"/>
      <c r="AD10227" s="1"/>
    </row>
    <row r="10228" spans="3:30">
      <c r="C10228" s="9"/>
      <c r="AD10228" s="1"/>
    </row>
    <row r="10229" spans="3:30">
      <c r="C10229" s="9"/>
      <c r="AD10229" s="1"/>
    </row>
    <row r="10230" spans="3:30">
      <c r="C10230" s="9"/>
      <c r="AD10230" s="1"/>
    </row>
    <row r="10231" spans="3:30">
      <c r="C10231" s="9"/>
      <c r="AD10231" s="1"/>
    </row>
    <row r="10232" spans="3:30">
      <c r="C10232" s="9"/>
      <c r="AD10232" s="1"/>
    </row>
    <row r="10233" spans="3:30">
      <c r="C10233" s="9"/>
      <c r="AD10233" s="1"/>
    </row>
    <row r="10234" spans="3:30">
      <c r="C10234" s="9"/>
      <c r="AD10234" s="1"/>
    </row>
    <row r="10235" spans="3:30">
      <c r="C10235" s="9"/>
      <c r="AD10235" s="1"/>
    </row>
    <row r="10236" spans="3:30">
      <c r="C10236" s="9"/>
      <c r="AD10236" s="1"/>
    </row>
    <row r="10237" spans="3:30">
      <c r="C10237" s="9"/>
      <c r="AD10237" s="1"/>
    </row>
    <row r="10238" spans="3:30">
      <c r="C10238" s="9"/>
      <c r="AD10238" s="1"/>
    </row>
    <row r="10239" spans="3:30">
      <c r="C10239" s="9"/>
      <c r="AD10239" s="1"/>
    </row>
    <row r="10240" spans="3:30">
      <c r="C10240" s="9"/>
      <c r="AD10240" s="1"/>
    </row>
    <row r="10241" spans="3:30">
      <c r="C10241" s="9"/>
      <c r="AD10241" s="1"/>
    </row>
    <row r="10242" spans="3:30">
      <c r="C10242" s="9"/>
      <c r="AD10242" s="1"/>
    </row>
    <row r="10243" spans="3:30">
      <c r="C10243" s="9"/>
      <c r="AD10243" s="1"/>
    </row>
    <row r="10244" spans="3:30">
      <c r="C10244" s="9"/>
      <c r="AD10244" s="1"/>
    </row>
    <row r="10245" spans="3:30">
      <c r="C10245" s="9"/>
      <c r="AD10245" s="1"/>
    </row>
    <row r="10246" spans="3:30">
      <c r="C10246" s="9"/>
      <c r="AD10246" s="1"/>
    </row>
    <row r="10247" spans="3:30">
      <c r="C10247" s="9"/>
      <c r="AD10247" s="1"/>
    </row>
    <row r="10248" spans="3:30">
      <c r="C10248" s="9"/>
      <c r="AD10248" s="1"/>
    </row>
    <row r="10249" spans="3:30">
      <c r="C10249" s="9"/>
      <c r="AD10249" s="1"/>
    </row>
    <row r="10250" spans="3:30">
      <c r="C10250" s="9"/>
      <c r="AD10250" s="1"/>
    </row>
    <row r="10251" spans="3:30">
      <c r="C10251" s="9"/>
      <c r="AD10251" s="1"/>
    </row>
    <row r="10252" spans="3:30">
      <c r="C10252" s="9"/>
      <c r="AD10252" s="1"/>
    </row>
    <row r="10253" spans="3:30">
      <c r="C10253" s="9"/>
      <c r="AD10253" s="1"/>
    </row>
    <row r="10254" spans="3:30">
      <c r="C10254" s="9"/>
      <c r="AD10254" s="1"/>
    </row>
    <row r="10255" spans="3:30">
      <c r="C10255" s="9"/>
      <c r="AD10255" s="1"/>
    </row>
    <row r="10256" spans="3:30">
      <c r="C10256" s="9"/>
      <c r="AD10256" s="1"/>
    </row>
    <row r="10257" spans="3:30">
      <c r="C10257" s="9"/>
      <c r="AD10257" s="1"/>
    </row>
    <row r="10258" spans="3:30">
      <c r="C10258" s="9"/>
      <c r="AD10258" s="1"/>
    </row>
    <row r="10259" spans="3:30">
      <c r="C10259" s="9"/>
      <c r="AD10259" s="1"/>
    </row>
    <row r="10260" spans="3:30">
      <c r="C10260" s="9"/>
      <c r="AD10260" s="1"/>
    </row>
    <row r="10261" spans="3:30">
      <c r="C10261" s="9"/>
      <c r="AD10261" s="1"/>
    </row>
    <row r="10262" spans="3:30">
      <c r="C10262" s="9"/>
      <c r="AD10262" s="1"/>
    </row>
    <row r="10263" spans="3:30">
      <c r="C10263" s="9"/>
      <c r="AD10263" s="1"/>
    </row>
    <row r="10264" spans="3:30">
      <c r="C10264" s="9"/>
      <c r="AD10264" s="1"/>
    </row>
    <row r="10265" spans="3:30">
      <c r="C10265" s="9"/>
      <c r="AD10265" s="1"/>
    </row>
    <row r="10266" spans="3:30">
      <c r="C10266" s="9"/>
      <c r="AD10266" s="1"/>
    </row>
    <row r="10267" spans="3:30">
      <c r="C10267" s="9"/>
      <c r="AD10267" s="1"/>
    </row>
    <row r="10268" spans="3:30">
      <c r="C10268" s="9"/>
      <c r="AD10268" s="1"/>
    </row>
    <row r="10269" spans="3:30">
      <c r="C10269" s="9"/>
      <c r="AD10269" s="1"/>
    </row>
    <row r="10270" spans="3:30">
      <c r="C10270" s="9"/>
      <c r="AD10270" s="1"/>
    </row>
    <row r="10271" spans="3:30">
      <c r="C10271" s="9"/>
      <c r="AD10271" s="1"/>
    </row>
    <row r="10272" spans="3:30">
      <c r="C10272" s="9"/>
      <c r="AD10272" s="1"/>
    </row>
    <row r="10273" spans="3:30">
      <c r="C10273" s="9"/>
      <c r="AD10273" s="1"/>
    </row>
    <row r="10274" spans="3:30">
      <c r="C10274" s="9"/>
      <c r="AD10274" s="1"/>
    </row>
    <row r="10275" spans="3:30">
      <c r="C10275" s="9"/>
      <c r="AD10275" s="1"/>
    </row>
    <row r="10276" spans="3:30">
      <c r="C10276" s="9"/>
      <c r="AD10276" s="1"/>
    </row>
    <row r="10277" spans="3:30">
      <c r="C10277" s="9"/>
      <c r="AD10277" s="1"/>
    </row>
    <row r="10278" spans="3:30">
      <c r="C10278" s="9"/>
      <c r="AD10278" s="1"/>
    </row>
    <row r="10279" spans="3:30">
      <c r="C10279" s="9"/>
      <c r="AD10279" s="1"/>
    </row>
    <row r="10280" spans="3:30">
      <c r="C10280" s="9"/>
      <c r="AD10280" s="1"/>
    </row>
    <row r="10281" spans="3:30">
      <c r="C10281" s="9"/>
      <c r="AD10281" s="1"/>
    </row>
    <row r="10282" spans="3:30">
      <c r="C10282" s="9"/>
      <c r="AD10282" s="1"/>
    </row>
    <row r="10283" spans="3:30">
      <c r="C10283" s="9"/>
      <c r="AD10283" s="1"/>
    </row>
    <row r="10284" spans="3:30">
      <c r="C10284" s="9"/>
      <c r="AD10284" s="1"/>
    </row>
    <row r="10285" spans="3:30">
      <c r="C10285" s="9"/>
      <c r="AD10285" s="1"/>
    </row>
    <row r="10286" spans="3:30">
      <c r="C10286" s="9"/>
      <c r="AD10286" s="1"/>
    </row>
    <row r="10287" spans="3:30">
      <c r="C10287" s="9"/>
      <c r="AD10287" s="1"/>
    </row>
    <row r="10288" spans="3:30">
      <c r="C10288" s="9"/>
      <c r="AD10288" s="1"/>
    </row>
    <row r="10289" spans="3:30">
      <c r="C10289" s="9"/>
      <c r="AD10289" s="1"/>
    </row>
    <row r="10290" spans="3:30">
      <c r="C10290" s="9"/>
      <c r="AD10290" s="1"/>
    </row>
    <row r="10291" spans="3:30">
      <c r="C10291" s="9"/>
      <c r="AD10291" s="1"/>
    </row>
    <row r="10292" spans="3:30">
      <c r="C10292" s="9"/>
      <c r="AD10292" s="1"/>
    </row>
    <row r="10293" spans="3:30">
      <c r="C10293" s="9"/>
      <c r="AD10293" s="1"/>
    </row>
    <row r="10294" spans="3:30">
      <c r="C10294" s="9"/>
      <c r="AD10294" s="1"/>
    </row>
    <row r="10295" spans="3:30">
      <c r="C10295" s="9"/>
      <c r="AD10295" s="1"/>
    </row>
    <row r="10296" spans="3:30">
      <c r="C10296" s="9"/>
      <c r="AD10296" s="1"/>
    </row>
    <row r="10297" spans="3:30">
      <c r="C10297" s="9"/>
      <c r="AD10297" s="1"/>
    </row>
    <row r="10298" spans="3:30">
      <c r="C10298" s="9"/>
      <c r="AD10298" s="1"/>
    </row>
    <row r="10299" spans="3:30">
      <c r="C10299" s="9"/>
      <c r="AD10299" s="1"/>
    </row>
    <row r="10300" spans="3:30">
      <c r="C10300" s="9"/>
      <c r="AD10300" s="1"/>
    </row>
    <row r="10301" spans="3:30">
      <c r="C10301" s="9"/>
      <c r="AD10301" s="1"/>
    </row>
    <row r="10302" spans="3:30">
      <c r="C10302" s="9"/>
      <c r="AD10302" s="1"/>
    </row>
    <row r="10303" spans="3:30">
      <c r="C10303" s="9"/>
      <c r="AD10303" s="1"/>
    </row>
    <row r="10304" spans="3:30">
      <c r="C10304" s="9"/>
      <c r="AD10304" s="1"/>
    </row>
    <row r="10305" spans="3:30">
      <c r="C10305" s="9"/>
      <c r="AD10305" s="1"/>
    </row>
    <row r="10306" spans="3:30">
      <c r="C10306" s="9"/>
      <c r="AD10306" s="1"/>
    </row>
    <row r="10307" spans="3:30">
      <c r="C10307" s="9"/>
      <c r="AD10307" s="1"/>
    </row>
    <row r="10308" spans="3:30">
      <c r="C10308" s="9"/>
      <c r="AD10308" s="1"/>
    </row>
    <row r="10309" spans="3:30">
      <c r="C10309" s="9"/>
      <c r="AD10309" s="1"/>
    </row>
    <row r="10310" spans="3:30">
      <c r="C10310" s="9"/>
      <c r="AD10310" s="1"/>
    </row>
    <row r="10311" spans="3:30">
      <c r="C10311" s="9"/>
      <c r="AD10311" s="1"/>
    </row>
    <row r="10312" spans="3:30">
      <c r="C10312" s="9"/>
      <c r="AD10312" s="1"/>
    </row>
    <row r="10313" spans="3:30">
      <c r="C10313" s="9"/>
      <c r="AD10313" s="1"/>
    </row>
    <row r="10314" spans="3:30">
      <c r="C10314" s="9"/>
      <c r="AD10314" s="1"/>
    </row>
    <row r="10315" spans="3:30">
      <c r="C10315" s="9"/>
      <c r="AD10315" s="1"/>
    </row>
    <row r="10316" spans="3:30">
      <c r="C10316" s="9"/>
      <c r="AD10316" s="1"/>
    </row>
    <row r="10317" spans="3:30">
      <c r="C10317" s="9"/>
      <c r="AD10317" s="1"/>
    </row>
    <row r="10318" spans="3:30">
      <c r="C10318" s="9"/>
      <c r="AD10318" s="1"/>
    </row>
    <row r="10319" spans="3:30">
      <c r="C10319" s="9"/>
      <c r="AD10319" s="1"/>
    </row>
    <row r="10320" spans="3:30">
      <c r="C10320" s="9"/>
      <c r="AD10320" s="1"/>
    </row>
    <row r="10321" spans="3:30">
      <c r="C10321" s="9"/>
      <c r="AD10321" s="1"/>
    </row>
    <row r="10322" spans="3:30">
      <c r="C10322" s="9"/>
      <c r="AD10322" s="1"/>
    </row>
    <row r="10323" spans="3:30">
      <c r="C10323" s="9"/>
      <c r="AD10323" s="1"/>
    </row>
    <row r="10324" spans="3:30">
      <c r="C10324" s="9"/>
      <c r="AD10324" s="1"/>
    </row>
    <row r="10325" spans="3:30">
      <c r="C10325" s="9"/>
      <c r="AD10325" s="1"/>
    </row>
    <row r="10326" spans="3:30">
      <c r="C10326" s="9"/>
      <c r="AD10326" s="1"/>
    </row>
    <row r="10327" spans="3:30">
      <c r="C10327" s="9"/>
      <c r="AD10327" s="1"/>
    </row>
    <row r="10328" spans="3:30">
      <c r="C10328" s="9"/>
      <c r="AD10328" s="1"/>
    </row>
    <row r="10329" spans="3:30">
      <c r="C10329" s="9"/>
      <c r="AD10329" s="1"/>
    </row>
    <row r="10330" spans="3:30">
      <c r="C10330" s="9"/>
      <c r="AD10330" s="1"/>
    </row>
    <row r="10331" spans="3:30">
      <c r="C10331" s="9"/>
      <c r="AD10331" s="1"/>
    </row>
    <row r="10332" spans="3:30">
      <c r="C10332" s="9"/>
      <c r="AD10332" s="1"/>
    </row>
    <row r="10333" spans="3:30">
      <c r="C10333" s="9"/>
      <c r="AD10333" s="1"/>
    </row>
    <row r="10334" spans="3:30">
      <c r="C10334" s="9"/>
      <c r="AD10334" s="1"/>
    </row>
    <row r="10335" spans="3:30">
      <c r="C10335" s="9"/>
      <c r="AD10335" s="1"/>
    </row>
    <row r="10336" spans="3:30">
      <c r="C10336" s="9"/>
      <c r="AD10336" s="1"/>
    </row>
    <row r="10337" spans="3:30">
      <c r="C10337" s="9"/>
      <c r="AD10337" s="1"/>
    </row>
    <row r="10338" spans="3:30">
      <c r="C10338" s="9"/>
      <c r="AD10338" s="1"/>
    </row>
    <row r="10339" spans="3:30">
      <c r="C10339" s="9"/>
      <c r="AD10339" s="1"/>
    </row>
    <row r="10340" spans="3:30">
      <c r="C10340" s="9"/>
      <c r="AD10340" s="1"/>
    </row>
    <row r="10341" spans="3:30">
      <c r="C10341" s="9"/>
      <c r="AD10341" s="1"/>
    </row>
    <row r="10342" spans="3:30">
      <c r="C10342" s="9"/>
      <c r="AD10342" s="1"/>
    </row>
    <row r="10343" spans="3:30">
      <c r="C10343" s="9"/>
      <c r="AD10343" s="1"/>
    </row>
    <row r="10344" spans="3:30">
      <c r="C10344" s="9"/>
      <c r="AD10344" s="1"/>
    </row>
    <row r="10345" spans="3:30">
      <c r="C10345" s="9"/>
      <c r="AD10345" s="1"/>
    </row>
    <row r="10346" spans="3:30">
      <c r="C10346" s="9"/>
      <c r="AD10346" s="1"/>
    </row>
    <row r="10347" spans="3:30">
      <c r="C10347" s="9"/>
      <c r="AD10347" s="1"/>
    </row>
    <row r="10348" spans="3:30">
      <c r="C10348" s="9"/>
      <c r="AD10348" s="1"/>
    </row>
    <row r="10349" spans="3:30">
      <c r="C10349" s="9"/>
      <c r="AD10349" s="1"/>
    </row>
    <row r="10350" spans="3:30">
      <c r="C10350" s="9"/>
      <c r="AD10350" s="1"/>
    </row>
    <row r="10351" spans="3:30">
      <c r="C10351" s="9"/>
      <c r="AD10351" s="1"/>
    </row>
    <row r="10352" spans="3:30">
      <c r="C10352" s="9"/>
      <c r="AD10352" s="1"/>
    </row>
    <row r="10353" spans="3:30">
      <c r="C10353" s="9"/>
      <c r="AD10353" s="1"/>
    </row>
    <row r="10354" spans="3:30">
      <c r="C10354" s="9"/>
      <c r="AD10354" s="1"/>
    </row>
    <row r="10355" spans="3:30">
      <c r="C10355" s="9"/>
      <c r="AD10355" s="1"/>
    </row>
    <row r="10356" spans="3:30">
      <c r="C10356" s="9"/>
      <c r="AD10356" s="1"/>
    </row>
    <row r="10357" spans="3:30">
      <c r="C10357" s="9"/>
      <c r="AD10357" s="1"/>
    </row>
    <row r="10358" spans="3:30">
      <c r="C10358" s="9"/>
      <c r="AD10358" s="1"/>
    </row>
    <row r="10359" spans="3:30">
      <c r="C10359" s="9"/>
      <c r="AD10359" s="1"/>
    </row>
    <row r="10360" spans="3:30">
      <c r="C10360" s="9"/>
      <c r="AD10360" s="1"/>
    </row>
    <row r="10361" spans="3:30">
      <c r="C10361" s="9"/>
      <c r="AD10361" s="1"/>
    </row>
    <row r="10362" spans="3:30">
      <c r="C10362" s="9"/>
      <c r="AD10362" s="1"/>
    </row>
    <row r="10363" spans="3:30">
      <c r="C10363" s="9"/>
      <c r="AD10363" s="1"/>
    </row>
    <row r="10364" spans="3:30">
      <c r="C10364" s="9"/>
      <c r="AD10364" s="1"/>
    </row>
    <row r="10365" spans="3:30">
      <c r="C10365" s="9"/>
      <c r="AD10365" s="1"/>
    </row>
    <row r="10366" spans="3:30">
      <c r="C10366" s="9"/>
      <c r="AD10366" s="1"/>
    </row>
    <row r="10367" spans="3:30">
      <c r="C10367" s="9"/>
      <c r="AD10367" s="1"/>
    </row>
    <row r="10368" spans="3:30">
      <c r="C10368" s="9"/>
      <c r="AD10368" s="1"/>
    </row>
    <row r="10369" spans="3:30">
      <c r="C10369" s="9"/>
      <c r="AD10369" s="1"/>
    </row>
    <row r="10370" spans="3:30">
      <c r="C10370" s="9"/>
      <c r="AD10370" s="1"/>
    </row>
    <row r="10371" spans="3:30">
      <c r="C10371" s="9"/>
      <c r="AD10371" s="1"/>
    </row>
    <row r="10372" spans="3:30">
      <c r="C10372" s="9"/>
      <c r="AD10372" s="1"/>
    </row>
    <row r="10373" spans="3:30">
      <c r="C10373" s="9"/>
      <c r="AD10373" s="1"/>
    </row>
    <row r="10374" spans="3:30">
      <c r="C10374" s="9"/>
      <c r="AD10374" s="1"/>
    </row>
    <row r="10375" spans="3:30">
      <c r="C10375" s="9"/>
      <c r="AD10375" s="1"/>
    </row>
    <row r="10376" spans="3:30">
      <c r="C10376" s="9"/>
      <c r="AD10376" s="1"/>
    </row>
    <row r="10377" spans="3:30">
      <c r="C10377" s="9"/>
      <c r="AD10377" s="1"/>
    </row>
    <row r="10378" spans="3:30">
      <c r="C10378" s="9"/>
      <c r="AD10378" s="1"/>
    </row>
    <row r="10379" spans="3:30">
      <c r="C10379" s="9"/>
      <c r="AD10379" s="1"/>
    </row>
    <row r="10380" spans="3:30">
      <c r="C10380" s="9"/>
      <c r="AD10380" s="1"/>
    </row>
    <row r="10381" spans="3:30">
      <c r="C10381" s="9"/>
      <c r="AD10381" s="1"/>
    </row>
    <row r="10382" spans="3:30">
      <c r="C10382" s="9"/>
      <c r="AD10382" s="1"/>
    </row>
    <row r="10383" spans="3:30">
      <c r="C10383" s="9"/>
      <c r="AD10383" s="1"/>
    </row>
    <row r="10384" spans="3:30">
      <c r="C10384" s="9"/>
      <c r="AD10384" s="1"/>
    </row>
    <row r="10385" spans="3:30">
      <c r="C10385" s="9"/>
      <c r="AD10385" s="1"/>
    </row>
    <row r="10386" spans="3:30">
      <c r="C10386" s="9"/>
      <c r="AD10386" s="1"/>
    </row>
    <row r="10387" spans="3:30">
      <c r="C10387" s="9"/>
      <c r="AD10387" s="1"/>
    </row>
    <row r="10388" spans="3:30">
      <c r="C10388" s="9"/>
      <c r="AD10388" s="1"/>
    </row>
    <row r="10389" spans="3:30">
      <c r="C10389" s="9"/>
      <c r="AD10389" s="1"/>
    </row>
    <row r="10390" spans="3:30">
      <c r="C10390" s="9"/>
      <c r="AD10390" s="1"/>
    </row>
    <row r="10391" spans="3:30">
      <c r="C10391" s="9"/>
      <c r="AD10391" s="1"/>
    </row>
    <row r="10392" spans="3:30">
      <c r="C10392" s="9"/>
      <c r="AD10392" s="1"/>
    </row>
    <row r="10393" spans="3:30">
      <c r="C10393" s="9"/>
      <c r="AD10393" s="1"/>
    </row>
    <row r="10394" spans="3:30">
      <c r="C10394" s="9"/>
      <c r="AD10394" s="1"/>
    </row>
    <row r="10395" spans="3:30">
      <c r="C10395" s="9"/>
      <c r="AD10395" s="1"/>
    </row>
    <row r="10396" spans="3:30">
      <c r="C10396" s="9"/>
      <c r="AD10396" s="1"/>
    </row>
    <row r="10397" spans="3:30">
      <c r="C10397" s="9"/>
      <c r="AD10397" s="1"/>
    </row>
    <row r="10398" spans="3:30">
      <c r="C10398" s="9"/>
      <c r="AD10398" s="1"/>
    </row>
    <row r="10399" spans="3:30">
      <c r="C10399" s="9"/>
      <c r="AD10399" s="1"/>
    </row>
    <row r="10400" spans="3:30">
      <c r="C10400" s="9"/>
      <c r="AD10400" s="1"/>
    </row>
    <row r="10401" spans="3:30">
      <c r="C10401" s="9"/>
      <c r="AD10401" s="1"/>
    </row>
    <row r="10402" spans="3:30">
      <c r="C10402" s="9"/>
      <c r="AD10402" s="1"/>
    </row>
    <row r="10403" spans="3:30">
      <c r="C10403" s="9"/>
      <c r="AD10403" s="1"/>
    </row>
    <row r="10404" spans="3:30">
      <c r="C10404" s="9"/>
      <c r="AD10404" s="1"/>
    </row>
    <row r="10405" spans="3:30">
      <c r="C10405" s="9"/>
      <c r="AD10405" s="1"/>
    </row>
    <row r="10406" spans="3:30">
      <c r="C10406" s="9"/>
      <c r="AD10406" s="1"/>
    </row>
    <row r="10407" spans="3:30">
      <c r="C10407" s="9"/>
      <c r="AD10407" s="1"/>
    </row>
    <row r="10408" spans="3:30">
      <c r="C10408" s="9"/>
      <c r="AD10408" s="1"/>
    </row>
    <row r="10409" spans="3:30">
      <c r="C10409" s="9"/>
      <c r="AD10409" s="1"/>
    </row>
    <row r="10410" spans="3:30">
      <c r="C10410" s="9"/>
      <c r="AD10410" s="1"/>
    </row>
    <row r="10411" spans="3:30">
      <c r="C10411" s="9"/>
      <c r="AD10411" s="1"/>
    </row>
    <row r="10412" spans="3:30">
      <c r="C10412" s="9"/>
      <c r="AD10412" s="1"/>
    </row>
    <row r="10413" spans="3:30">
      <c r="C10413" s="9"/>
      <c r="AD10413" s="1"/>
    </row>
    <row r="10414" spans="3:30">
      <c r="C10414" s="9"/>
      <c r="AD10414" s="1"/>
    </row>
    <row r="10415" spans="3:30">
      <c r="C10415" s="9"/>
      <c r="AD10415" s="1"/>
    </row>
    <row r="10416" spans="3:30">
      <c r="C10416" s="9"/>
      <c r="AD10416" s="1"/>
    </row>
    <row r="10417" spans="3:30">
      <c r="C10417" s="9"/>
      <c r="AD10417" s="1"/>
    </row>
    <row r="10418" spans="3:30">
      <c r="C10418" s="9"/>
      <c r="AD10418" s="1"/>
    </row>
    <row r="10419" spans="3:30">
      <c r="C10419" s="9"/>
      <c r="AD10419" s="1"/>
    </row>
    <row r="10420" spans="3:30">
      <c r="C10420" s="9"/>
      <c r="AD10420" s="1"/>
    </row>
    <row r="10421" spans="3:30">
      <c r="C10421" s="9"/>
      <c r="AD10421" s="1"/>
    </row>
    <row r="10422" spans="3:30">
      <c r="C10422" s="9"/>
      <c r="AD10422" s="1"/>
    </row>
    <row r="10423" spans="3:30">
      <c r="C10423" s="9"/>
      <c r="AD10423" s="1"/>
    </row>
    <row r="10424" spans="3:30">
      <c r="C10424" s="9"/>
      <c r="AD10424" s="1"/>
    </row>
    <row r="10425" spans="3:30">
      <c r="C10425" s="9"/>
      <c r="AD10425" s="1"/>
    </row>
    <row r="10426" spans="3:30">
      <c r="C10426" s="9"/>
      <c r="AD10426" s="1"/>
    </row>
    <row r="10427" spans="3:30">
      <c r="C10427" s="9"/>
      <c r="AD10427" s="1"/>
    </row>
    <row r="10428" spans="3:30">
      <c r="C10428" s="9"/>
      <c r="AD10428" s="1"/>
    </row>
    <row r="10429" spans="3:30">
      <c r="C10429" s="9"/>
      <c r="AD10429" s="1"/>
    </row>
    <row r="10430" spans="3:30">
      <c r="C10430" s="9"/>
      <c r="AD10430" s="1"/>
    </row>
    <row r="10431" spans="3:30">
      <c r="C10431" s="9"/>
      <c r="AD10431" s="1"/>
    </row>
    <row r="10432" spans="3:30">
      <c r="C10432" s="9"/>
      <c r="AD10432" s="1"/>
    </row>
    <row r="10433" spans="3:30">
      <c r="C10433" s="9"/>
      <c r="AD10433" s="1"/>
    </row>
    <row r="10434" spans="3:30">
      <c r="C10434" s="9"/>
      <c r="AD10434" s="1"/>
    </row>
    <row r="10435" spans="3:30">
      <c r="C10435" s="9"/>
      <c r="AD10435" s="1"/>
    </row>
    <row r="10436" spans="3:30">
      <c r="C10436" s="9"/>
      <c r="AD10436" s="1"/>
    </row>
    <row r="10437" spans="3:30">
      <c r="C10437" s="9"/>
      <c r="AD10437" s="1"/>
    </row>
    <row r="10438" spans="3:30">
      <c r="C10438" s="9"/>
      <c r="AD10438" s="1"/>
    </row>
    <row r="10439" spans="3:30">
      <c r="C10439" s="9"/>
      <c r="AD10439" s="1"/>
    </row>
    <row r="10440" spans="3:30">
      <c r="C10440" s="9"/>
      <c r="AD10440" s="1"/>
    </row>
    <row r="10441" spans="3:30">
      <c r="C10441" s="9"/>
      <c r="AD10441" s="1"/>
    </row>
    <row r="10442" spans="3:30">
      <c r="C10442" s="9"/>
      <c r="AD10442" s="1"/>
    </row>
    <row r="10443" spans="3:30">
      <c r="C10443" s="9"/>
      <c r="AD10443" s="1"/>
    </row>
    <row r="10444" spans="3:30">
      <c r="C10444" s="9"/>
      <c r="AD10444" s="1"/>
    </row>
    <row r="10445" spans="3:30">
      <c r="C10445" s="9"/>
      <c r="AD10445" s="1"/>
    </row>
    <row r="10446" spans="3:30">
      <c r="C10446" s="9"/>
      <c r="AD10446" s="1"/>
    </row>
    <row r="10447" spans="3:30">
      <c r="C10447" s="9"/>
      <c r="AD10447" s="1"/>
    </row>
    <row r="10448" spans="3:30">
      <c r="C10448" s="9"/>
      <c r="AD10448" s="1"/>
    </row>
    <row r="10449" spans="3:30">
      <c r="C10449" s="9"/>
      <c r="AD10449" s="1"/>
    </row>
    <row r="10450" spans="3:30">
      <c r="C10450" s="9"/>
      <c r="AD10450" s="1"/>
    </row>
    <row r="10451" spans="3:30">
      <c r="C10451" s="9"/>
      <c r="AD10451" s="1"/>
    </row>
    <row r="10452" spans="3:30">
      <c r="C10452" s="9"/>
      <c r="AD10452" s="1"/>
    </row>
    <row r="10453" spans="3:30">
      <c r="C10453" s="9"/>
      <c r="AD10453" s="1"/>
    </row>
    <row r="10454" spans="3:30">
      <c r="C10454" s="9"/>
      <c r="AD10454" s="1"/>
    </row>
    <row r="10455" spans="3:30">
      <c r="C10455" s="9"/>
      <c r="AD10455" s="1"/>
    </row>
    <row r="10456" spans="3:30">
      <c r="C10456" s="9"/>
      <c r="AD10456" s="1"/>
    </row>
    <row r="10457" spans="3:30">
      <c r="C10457" s="9"/>
      <c r="AD10457" s="1"/>
    </row>
    <row r="10458" spans="3:30">
      <c r="C10458" s="9"/>
      <c r="AD10458" s="1"/>
    </row>
    <row r="10459" spans="3:30">
      <c r="C10459" s="9"/>
      <c r="AD10459" s="1"/>
    </row>
    <row r="10460" spans="3:30">
      <c r="C10460" s="9"/>
      <c r="AD10460" s="1"/>
    </row>
    <row r="10461" spans="3:30">
      <c r="C10461" s="9"/>
      <c r="AD10461" s="1"/>
    </row>
    <row r="10462" spans="3:30">
      <c r="C10462" s="9"/>
      <c r="AD10462" s="1"/>
    </row>
    <row r="10463" spans="3:30">
      <c r="C10463" s="9"/>
      <c r="AD10463" s="1"/>
    </row>
    <row r="10464" spans="3:30">
      <c r="C10464" s="9"/>
      <c r="AD10464" s="1"/>
    </row>
    <row r="10465" spans="3:30">
      <c r="C10465" s="9"/>
      <c r="AD10465" s="1"/>
    </row>
    <row r="10466" spans="3:30">
      <c r="C10466" s="9"/>
      <c r="AD10466" s="1"/>
    </row>
    <row r="10467" spans="3:30">
      <c r="C10467" s="9"/>
      <c r="AD10467" s="1"/>
    </row>
    <row r="10468" spans="3:30">
      <c r="C10468" s="9"/>
      <c r="AD10468" s="1"/>
    </row>
    <row r="10469" spans="3:30">
      <c r="C10469" s="9"/>
      <c r="AD10469" s="1"/>
    </row>
    <row r="10470" spans="3:30">
      <c r="C10470" s="9"/>
      <c r="AD10470" s="1"/>
    </row>
    <row r="10471" spans="3:30">
      <c r="C10471" s="9"/>
      <c r="AD10471" s="1"/>
    </row>
    <row r="10472" spans="3:30">
      <c r="C10472" s="9"/>
      <c r="AD10472" s="1"/>
    </row>
    <row r="10473" spans="3:30">
      <c r="C10473" s="9"/>
      <c r="AD10473" s="1"/>
    </row>
    <row r="10474" spans="3:30">
      <c r="C10474" s="9"/>
      <c r="AD10474" s="1"/>
    </row>
    <row r="10475" spans="3:30">
      <c r="C10475" s="9"/>
      <c r="AD10475" s="1"/>
    </row>
    <row r="10476" spans="3:30">
      <c r="C10476" s="9"/>
      <c r="AD10476" s="1"/>
    </row>
    <row r="10477" spans="3:30">
      <c r="C10477" s="9"/>
      <c r="AD10477" s="1"/>
    </row>
    <row r="10478" spans="3:30">
      <c r="C10478" s="9"/>
      <c r="AD10478" s="1"/>
    </row>
    <row r="10479" spans="3:30">
      <c r="C10479" s="9"/>
      <c r="AD10479" s="1"/>
    </row>
    <row r="10480" spans="3:30">
      <c r="C10480" s="9"/>
      <c r="AD10480" s="1"/>
    </row>
    <row r="10481" spans="3:30">
      <c r="C10481" s="9"/>
      <c r="AD10481" s="1"/>
    </row>
    <row r="10482" spans="3:30">
      <c r="C10482" s="9"/>
      <c r="AD10482" s="1"/>
    </row>
    <row r="10483" spans="3:30">
      <c r="C10483" s="9"/>
      <c r="AD10483" s="1"/>
    </row>
    <row r="10484" spans="3:30">
      <c r="C10484" s="9"/>
      <c r="AD10484" s="1"/>
    </row>
    <row r="10485" spans="3:30">
      <c r="C10485" s="9"/>
      <c r="AD10485" s="1"/>
    </row>
    <row r="10486" spans="3:30">
      <c r="C10486" s="9"/>
      <c r="AD10486" s="1"/>
    </row>
    <row r="10487" spans="3:30">
      <c r="C10487" s="9"/>
      <c r="AD10487" s="1"/>
    </row>
    <row r="10488" spans="3:30">
      <c r="C10488" s="9"/>
      <c r="AD10488" s="1"/>
    </row>
    <row r="10489" spans="3:30">
      <c r="C10489" s="9"/>
      <c r="AD10489" s="1"/>
    </row>
    <row r="10490" spans="3:30">
      <c r="C10490" s="9"/>
      <c r="AD10490" s="1"/>
    </row>
    <row r="10491" spans="3:30">
      <c r="C10491" s="9"/>
      <c r="AD10491" s="1"/>
    </row>
    <row r="10492" spans="3:30">
      <c r="C10492" s="9"/>
      <c r="AD10492" s="1"/>
    </row>
    <row r="10493" spans="3:30">
      <c r="C10493" s="9"/>
      <c r="AD10493" s="1"/>
    </row>
    <row r="10494" spans="3:30">
      <c r="C10494" s="9"/>
      <c r="AD10494" s="1"/>
    </row>
    <row r="10495" spans="3:30">
      <c r="C10495" s="9"/>
      <c r="AD10495" s="1"/>
    </row>
    <row r="10496" spans="3:30">
      <c r="C10496" s="9"/>
      <c r="AD10496" s="1"/>
    </row>
    <row r="10497" spans="3:30">
      <c r="C10497" s="9"/>
      <c r="AD10497" s="1"/>
    </row>
    <row r="10498" spans="3:30">
      <c r="C10498" s="9"/>
      <c r="AD10498" s="1"/>
    </row>
    <row r="10499" spans="3:30">
      <c r="C10499" s="9"/>
      <c r="AD10499" s="1"/>
    </row>
    <row r="10500" spans="3:30">
      <c r="C10500" s="9"/>
      <c r="AD10500" s="1"/>
    </row>
    <row r="10501" spans="3:30">
      <c r="C10501" s="9"/>
      <c r="AD10501" s="1"/>
    </row>
    <row r="10502" spans="3:30">
      <c r="C10502" s="9"/>
      <c r="AD10502" s="1"/>
    </row>
    <row r="10503" spans="3:30">
      <c r="C10503" s="9"/>
      <c r="AD10503" s="1"/>
    </row>
    <row r="10504" spans="3:30">
      <c r="C10504" s="9"/>
      <c r="AD10504" s="1"/>
    </row>
    <row r="10505" spans="3:30">
      <c r="C10505" s="9"/>
      <c r="AD10505" s="1"/>
    </row>
    <row r="10506" spans="3:30">
      <c r="C10506" s="9"/>
      <c r="AD10506" s="1"/>
    </row>
    <row r="10507" spans="3:30">
      <c r="C10507" s="9"/>
      <c r="AD10507" s="1"/>
    </row>
    <row r="10508" spans="3:30">
      <c r="C10508" s="9"/>
      <c r="AD10508" s="1"/>
    </row>
    <row r="10509" spans="3:30">
      <c r="C10509" s="9"/>
      <c r="AD10509" s="1"/>
    </row>
    <row r="10510" spans="3:30">
      <c r="C10510" s="9"/>
      <c r="AD10510" s="1"/>
    </row>
    <row r="10511" spans="3:30">
      <c r="C10511" s="9"/>
      <c r="AD10511" s="1"/>
    </row>
    <row r="10512" spans="3:30">
      <c r="C10512" s="9"/>
      <c r="AD10512" s="1"/>
    </row>
    <row r="10513" spans="3:30">
      <c r="C10513" s="9"/>
      <c r="AD10513" s="1"/>
    </row>
    <row r="10514" spans="3:30">
      <c r="C10514" s="9"/>
      <c r="AD10514" s="1"/>
    </row>
    <row r="10515" spans="3:30">
      <c r="C10515" s="9"/>
      <c r="AD10515" s="1"/>
    </row>
    <row r="10516" spans="3:30">
      <c r="C10516" s="9"/>
      <c r="AD10516" s="1"/>
    </row>
    <row r="10517" spans="3:30">
      <c r="C10517" s="9"/>
      <c r="AD10517" s="1"/>
    </row>
    <row r="10518" spans="3:30">
      <c r="C10518" s="9"/>
      <c r="AD10518" s="1"/>
    </row>
    <row r="10519" spans="3:30">
      <c r="C10519" s="9"/>
      <c r="AD10519" s="1"/>
    </row>
    <row r="10520" spans="3:30">
      <c r="C10520" s="9"/>
      <c r="AD10520" s="1"/>
    </row>
    <row r="10521" spans="3:30">
      <c r="C10521" s="9"/>
      <c r="AD10521" s="1"/>
    </row>
    <row r="10522" spans="3:30">
      <c r="C10522" s="9"/>
      <c r="AD10522" s="1"/>
    </row>
    <row r="10523" spans="3:30">
      <c r="C10523" s="9"/>
      <c r="AD10523" s="1"/>
    </row>
    <row r="10524" spans="3:30">
      <c r="C10524" s="9"/>
      <c r="AD10524" s="1"/>
    </row>
    <row r="10525" spans="3:30">
      <c r="C10525" s="9"/>
      <c r="AD10525" s="1"/>
    </row>
    <row r="10526" spans="3:30">
      <c r="C10526" s="9"/>
      <c r="AD10526" s="1"/>
    </row>
    <row r="10527" spans="3:30">
      <c r="C10527" s="9"/>
      <c r="AD10527" s="1"/>
    </row>
    <row r="10528" spans="3:30">
      <c r="C10528" s="9"/>
      <c r="AD10528" s="1"/>
    </row>
    <row r="10529" spans="3:30">
      <c r="C10529" s="9"/>
      <c r="AD10529" s="1"/>
    </row>
    <row r="10530" spans="3:30">
      <c r="C10530" s="9"/>
      <c r="AD10530" s="1"/>
    </row>
    <row r="10531" spans="3:30">
      <c r="C10531" s="9"/>
      <c r="AD10531" s="1"/>
    </row>
    <row r="10532" spans="3:30">
      <c r="C10532" s="9"/>
      <c r="AD10532" s="1"/>
    </row>
    <row r="10533" spans="3:30">
      <c r="C10533" s="9"/>
      <c r="AD10533" s="1"/>
    </row>
    <row r="10534" spans="3:30">
      <c r="C10534" s="9"/>
      <c r="AD10534" s="1"/>
    </row>
    <row r="10535" spans="3:30">
      <c r="C10535" s="9"/>
      <c r="AD10535" s="1"/>
    </row>
    <row r="10536" spans="3:30">
      <c r="C10536" s="9"/>
      <c r="AD10536" s="1"/>
    </row>
    <row r="10537" spans="3:30">
      <c r="C10537" s="9"/>
      <c r="AD10537" s="1"/>
    </row>
    <row r="10538" spans="3:30">
      <c r="C10538" s="9"/>
      <c r="AD10538" s="1"/>
    </row>
    <row r="10539" spans="3:30">
      <c r="C10539" s="9"/>
      <c r="AD10539" s="1"/>
    </row>
    <row r="10540" spans="3:30">
      <c r="C10540" s="9"/>
      <c r="AD10540" s="1"/>
    </row>
    <row r="10541" spans="3:30">
      <c r="C10541" s="9"/>
      <c r="AD10541" s="1"/>
    </row>
    <row r="10542" spans="3:30">
      <c r="C10542" s="9"/>
      <c r="AD10542" s="1"/>
    </row>
    <row r="10543" spans="3:30">
      <c r="C10543" s="9"/>
      <c r="AD10543" s="1"/>
    </row>
    <row r="10544" spans="3:30">
      <c r="C10544" s="9"/>
      <c r="AD10544" s="1"/>
    </row>
    <row r="10545" spans="3:30">
      <c r="C10545" s="9"/>
      <c r="AD10545" s="1"/>
    </row>
    <row r="10546" spans="3:30">
      <c r="C10546" s="9"/>
      <c r="AD10546" s="1"/>
    </row>
    <row r="10547" spans="3:30">
      <c r="C10547" s="9"/>
      <c r="AD10547" s="1"/>
    </row>
    <row r="10548" spans="3:30">
      <c r="C10548" s="9"/>
      <c r="AD10548" s="1"/>
    </row>
    <row r="10549" spans="3:30">
      <c r="C10549" s="9"/>
      <c r="AD10549" s="1"/>
    </row>
    <row r="10550" spans="3:30">
      <c r="C10550" s="9"/>
      <c r="AD10550" s="1"/>
    </row>
    <row r="10551" spans="3:30">
      <c r="C10551" s="9"/>
      <c r="AD10551" s="1"/>
    </row>
    <row r="10552" spans="3:30">
      <c r="C10552" s="9"/>
      <c r="AD10552" s="1"/>
    </row>
    <row r="10553" spans="3:30">
      <c r="C10553" s="9"/>
      <c r="AD10553" s="1"/>
    </row>
    <row r="10554" spans="3:30">
      <c r="C10554" s="9"/>
      <c r="AD10554" s="1"/>
    </row>
    <row r="10555" spans="3:30">
      <c r="C10555" s="9"/>
      <c r="AD10555" s="1"/>
    </row>
    <row r="10556" spans="3:30">
      <c r="C10556" s="9"/>
      <c r="AD10556" s="1"/>
    </row>
    <row r="10557" spans="3:30">
      <c r="C10557" s="9"/>
      <c r="AD10557" s="1"/>
    </row>
    <row r="10558" spans="3:30">
      <c r="C10558" s="9"/>
      <c r="AD10558" s="1"/>
    </row>
    <row r="10559" spans="3:30">
      <c r="C10559" s="9"/>
      <c r="AD10559" s="1"/>
    </row>
    <row r="10560" spans="3:30">
      <c r="C10560" s="9"/>
      <c r="AD10560" s="1"/>
    </row>
    <row r="10561" spans="3:30">
      <c r="C10561" s="9"/>
      <c r="AD10561" s="1"/>
    </row>
    <row r="10562" spans="3:30">
      <c r="C10562" s="9"/>
      <c r="AD10562" s="1"/>
    </row>
    <row r="10563" spans="3:30">
      <c r="C10563" s="9"/>
      <c r="AD10563" s="1"/>
    </row>
    <row r="10564" spans="3:30">
      <c r="C10564" s="9"/>
      <c r="AD10564" s="1"/>
    </row>
    <row r="10565" spans="3:30">
      <c r="C10565" s="9"/>
      <c r="AD10565" s="1"/>
    </row>
    <row r="10566" spans="3:30">
      <c r="C10566" s="9"/>
      <c r="AD10566" s="1"/>
    </row>
    <row r="10567" spans="3:30">
      <c r="C10567" s="9"/>
      <c r="AD10567" s="1"/>
    </row>
    <row r="10568" spans="3:30">
      <c r="C10568" s="9"/>
      <c r="AD10568" s="1"/>
    </row>
    <row r="10569" spans="3:30">
      <c r="C10569" s="9"/>
      <c r="AD10569" s="1"/>
    </row>
    <row r="10570" spans="3:30">
      <c r="C10570" s="9"/>
      <c r="AD10570" s="1"/>
    </row>
    <row r="10571" spans="3:30">
      <c r="C10571" s="9"/>
      <c r="AD10571" s="1"/>
    </row>
    <row r="10572" spans="3:30">
      <c r="C10572" s="9"/>
      <c r="AD10572" s="1"/>
    </row>
    <row r="10573" spans="3:30">
      <c r="C10573" s="9"/>
      <c r="AD10573" s="1"/>
    </row>
    <row r="10574" spans="3:30">
      <c r="C10574" s="9"/>
      <c r="AD10574" s="1"/>
    </row>
    <row r="10575" spans="3:30">
      <c r="C10575" s="9"/>
      <c r="AD10575" s="1"/>
    </row>
    <row r="10576" spans="3:30">
      <c r="C10576" s="9"/>
      <c r="AD10576" s="1"/>
    </row>
    <row r="10577" spans="3:30">
      <c r="C10577" s="9"/>
      <c r="AD10577" s="1"/>
    </row>
    <row r="10578" spans="3:30">
      <c r="C10578" s="9"/>
      <c r="AD10578" s="1"/>
    </row>
    <row r="10579" spans="3:30">
      <c r="C10579" s="9"/>
      <c r="AD10579" s="1"/>
    </row>
    <row r="10580" spans="3:30">
      <c r="C10580" s="9"/>
      <c r="AD10580" s="1"/>
    </row>
    <row r="10581" spans="3:30">
      <c r="C10581" s="9"/>
      <c r="AD10581" s="1"/>
    </row>
    <row r="10582" spans="3:30">
      <c r="C10582" s="9"/>
      <c r="AD10582" s="1"/>
    </row>
    <row r="10583" spans="3:30">
      <c r="C10583" s="9"/>
      <c r="AD10583" s="1"/>
    </row>
    <row r="10584" spans="3:30">
      <c r="C10584" s="9"/>
      <c r="AD10584" s="1"/>
    </row>
    <row r="10585" spans="3:30">
      <c r="C10585" s="9"/>
      <c r="AD10585" s="1"/>
    </row>
    <row r="10586" spans="3:30">
      <c r="C10586" s="9"/>
      <c r="AD10586" s="1"/>
    </row>
    <row r="10587" spans="3:30">
      <c r="C10587" s="9"/>
      <c r="AD10587" s="1"/>
    </row>
    <row r="10588" spans="3:30">
      <c r="C10588" s="9"/>
      <c r="AD10588" s="1"/>
    </row>
    <row r="10589" spans="3:30">
      <c r="C10589" s="9"/>
      <c r="AD10589" s="1"/>
    </row>
    <row r="10590" spans="3:30">
      <c r="C10590" s="9"/>
      <c r="AD10590" s="1"/>
    </row>
    <row r="10591" spans="3:30">
      <c r="C10591" s="9"/>
      <c r="AD10591" s="1"/>
    </row>
    <row r="10592" spans="3:30">
      <c r="C10592" s="9"/>
      <c r="AD10592" s="1"/>
    </row>
    <row r="10593" spans="3:30">
      <c r="C10593" s="9"/>
      <c r="AD10593" s="1"/>
    </row>
    <row r="10594" spans="3:30">
      <c r="C10594" s="9"/>
      <c r="AD10594" s="1"/>
    </row>
    <row r="10595" spans="3:30">
      <c r="C10595" s="9"/>
      <c r="AD10595" s="1"/>
    </row>
    <row r="10596" spans="3:30">
      <c r="C10596" s="9"/>
      <c r="AD10596" s="1"/>
    </row>
    <row r="10597" spans="3:30">
      <c r="C10597" s="9"/>
      <c r="AD10597" s="1"/>
    </row>
    <row r="10598" spans="3:30">
      <c r="C10598" s="9"/>
      <c r="AD10598" s="1"/>
    </row>
    <row r="10599" spans="3:30">
      <c r="C10599" s="9"/>
      <c r="AD10599" s="1"/>
    </row>
    <row r="10600" spans="3:30">
      <c r="C10600" s="9"/>
      <c r="AD10600" s="1"/>
    </row>
    <row r="10601" spans="3:30">
      <c r="C10601" s="9"/>
      <c r="AD10601" s="1"/>
    </row>
    <row r="10602" spans="3:30">
      <c r="C10602" s="9"/>
      <c r="AD10602" s="1"/>
    </row>
    <row r="10603" spans="3:30">
      <c r="C10603" s="9"/>
      <c r="AD10603" s="1"/>
    </row>
    <row r="10604" spans="3:30">
      <c r="C10604" s="9"/>
      <c r="AD10604" s="1"/>
    </row>
    <row r="10605" spans="3:30">
      <c r="C10605" s="9"/>
      <c r="AD10605" s="1"/>
    </row>
    <row r="10606" spans="3:30">
      <c r="C10606" s="9"/>
      <c r="AD10606" s="1"/>
    </row>
    <row r="10607" spans="3:30">
      <c r="C10607" s="9"/>
      <c r="AD10607" s="1"/>
    </row>
    <row r="10608" spans="3:30">
      <c r="C10608" s="9"/>
      <c r="AD10608" s="1"/>
    </row>
    <row r="10609" spans="3:30">
      <c r="C10609" s="9"/>
      <c r="AD10609" s="1"/>
    </row>
    <row r="10610" spans="3:30">
      <c r="C10610" s="9"/>
      <c r="AD10610" s="1"/>
    </row>
    <row r="10611" spans="3:30">
      <c r="C10611" s="9"/>
      <c r="AD10611" s="1"/>
    </row>
    <row r="10612" spans="3:30">
      <c r="C10612" s="9"/>
      <c r="AD10612" s="1"/>
    </row>
    <row r="10613" spans="3:30">
      <c r="C10613" s="9"/>
      <c r="AD10613" s="1"/>
    </row>
    <row r="10614" spans="3:30">
      <c r="C10614" s="9"/>
      <c r="AD10614" s="1"/>
    </row>
    <row r="10615" spans="3:30">
      <c r="C10615" s="9"/>
      <c r="AD10615" s="1"/>
    </row>
    <row r="10616" spans="3:30">
      <c r="C10616" s="9"/>
      <c r="AD10616" s="1"/>
    </row>
    <row r="10617" spans="3:30">
      <c r="C10617" s="9"/>
      <c r="AD10617" s="1"/>
    </row>
    <row r="10618" spans="3:30">
      <c r="C10618" s="9"/>
      <c r="AD10618" s="1"/>
    </row>
    <row r="10619" spans="3:30">
      <c r="C10619" s="9"/>
      <c r="AD10619" s="1"/>
    </row>
    <row r="10620" spans="3:30">
      <c r="C10620" s="9"/>
      <c r="AD10620" s="1"/>
    </row>
    <row r="10621" spans="3:30">
      <c r="C10621" s="9"/>
      <c r="AD10621" s="1"/>
    </row>
    <row r="10622" spans="3:30">
      <c r="C10622" s="9"/>
      <c r="AD10622" s="1"/>
    </row>
    <row r="10623" spans="3:30">
      <c r="C10623" s="9"/>
      <c r="AD10623" s="1"/>
    </row>
    <row r="10624" spans="3:30">
      <c r="C10624" s="9"/>
      <c r="AD10624" s="1"/>
    </row>
    <row r="10625" spans="3:30">
      <c r="C10625" s="9"/>
      <c r="AD10625" s="1"/>
    </row>
    <row r="10626" spans="3:30">
      <c r="C10626" s="9"/>
      <c r="AD10626" s="1"/>
    </row>
    <row r="10627" spans="3:30">
      <c r="C10627" s="9"/>
      <c r="AD10627" s="1"/>
    </row>
    <row r="10628" spans="3:30">
      <c r="C10628" s="9"/>
      <c r="AD10628" s="1"/>
    </row>
    <row r="10629" spans="3:30">
      <c r="C10629" s="9"/>
      <c r="AD10629" s="1"/>
    </row>
    <row r="10630" spans="3:30">
      <c r="C10630" s="9"/>
      <c r="AD10630" s="1"/>
    </row>
    <row r="10631" spans="3:30">
      <c r="C10631" s="9"/>
      <c r="AD10631" s="1"/>
    </row>
    <row r="10632" spans="3:30">
      <c r="C10632" s="9"/>
      <c r="AD10632" s="1"/>
    </row>
    <row r="10633" spans="3:30">
      <c r="C10633" s="9"/>
      <c r="AD10633" s="1"/>
    </row>
    <row r="10634" spans="3:30">
      <c r="C10634" s="9"/>
      <c r="AD10634" s="1"/>
    </row>
    <row r="10635" spans="3:30">
      <c r="C10635" s="9"/>
      <c r="AD10635" s="1"/>
    </row>
    <row r="10636" spans="3:30">
      <c r="C10636" s="9"/>
      <c r="AD10636" s="1"/>
    </row>
    <row r="10637" spans="3:30">
      <c r="C10637" s="9"/>
      <c r="AD10637" s="1"/>
    </row>
    <row r="10638" spans="3:30">
      <c r="C10638" s="9"/>
      <c r="AD10638" s="1"/>
    </row>
    <row r="10639" spans="3:30">
      <c r="C10639" s="9"/>
      <c r="AD10639" s="1"/>
    </row>
    <row r="10640" spans="3:30">
      <c r="C10640" s="9"/>
      <c r="AD10640" s="1"/>
    </row>
    <row r="10641" spans="3:30">
      <c r="C10641" s="9"/>
      <c r="AD10641" s="1"/>
    </row>
    <row r="10642" spans="3:30">
      <c r="C10642" s="9"/>
      <c r="AD10642" s="1"/>
    </row>
    <row r="10643" spans="3:30">
      <c r="C10643" s="9"/>
      <c r="AD10643" s="1"/>
    </row>
    <row r="10644" spans="3:30">
      <c r="C10644" s="9"/>
      <c r="AD10644" s="1"/>
    </row>
    <row r="10645" spans="3:30">
      <c r="C10645" s="9"/>
      <c r="AD10645" s="1"/>
    </row>
    <row r="10646" spans="3:30">
      <c r="C10646" s="9"/>
      <c r="AD10646" s="1"/>
    </row>
    <row r="10647" spans="3:30">
      <c r="C10647" s="9"/>
      <c r="AD10647" s="1"/>
    </row>
    <row r="10648" spans="3:30">
      <c r="C10648" s="9"/>
      <c r="AD10648" s="1"/>
    </row>
    <row r="10649" spans="3:30">
      <c r="C10649" s="9"/>
      <c r="AD10649" s="1"/>
    </row>
    <row r="10650" spans="3:30">
      <c r="C10650" s="9"/>
      <c r="AD10650" s="1"/>
    </row>
    <row r="10651" spans="3:30">
      <c r="C10651" s="9"/>
      <c r="AD10651" s="1"/>
    </row>
    <row r="10652" spans="3:30">
      <c r="C10652" s="9"/>
      <c r="AD10652" s="1"/>
    </row>
    <row r="10653" spans="3:30">
      <c r="C10653" s="9"/>
      <c r="AD10653" s="1"/>
    </row>
    <row r="10654" spans="3:30">
      <c r="C10654" s="9"/>
      <c r="AD10654" s="1"/>
    </row>
    <row r="10655" spans="3:30">
      <c r="C10655" s="9"/>
      <c r="AD10655" s="1"/>
    </row>
    <row r="10656" spans="3:30">
      <c r="C10656" s="9"/>
      <c r="AD10656" s="1"/>
    </row>
    <row r="10657" spans="3:30">
      <c r="C10657" s="9"/>
      <c r="AD10657" s="1"/>
    </row>
    <row r="10658" spans="3:30">
      <c r="C10658" s="9"/>
      <c r="AD10658" s="1"/>
    </row>
    <row r="10659" spans="3:30">
      <c r="C10659" s="9"/>
      <c r="AD10659" s="1"/>
    </row>
    <row r="10660" spans="3:30">
      <c r="C10660" s="9"/>
      <c r="AD10660" s="1"/>
    </row>
    <row r="10661" spans="3:30">
      <c r="C10661" s="9"/>
      <c r="AD10661" s="1"/>
    </row>
    <row r="10662" spans="3:30">
      <c r="C10662" s="9"/>
      <c r="AD10662" s="1"/>
    </row>
    <row r="10663" spans="3:30">
      <c r="C10663" s="9"/>
      <c r="AD10663" s="1"/>
    </row>
    <row r="10664" spans="3:30">
      <c r="C10664" s="9"/>
      <c r="AD10664" s="1"/>
    </row>
    <row r="10665" spans="3:30">
      <c r="C10665" s="9"/>
      <c r="AD10665" s="1"/>
    </row>
    <row r="10666" spans="3:30">
      <c r="C10666" s="9"/>
      <c r="AD10666" s="1"/>
    </row>
    <row r="10667" spans="3:30">
      <c r="C10667" s="9"/>
      <c r="AD10667" s="1"/>
    </row>
    <row r="10668" spans="3:30">
      <c r="C10668" s="9"/>
      <c r="AD10668" s="1"/>
    </row>
    <row r="10669" spans="3:30">
      <c r="C10669" s="9"/>
      <c r="AD10669" s="1"/>
    </row>
    <row r="10670" spans="3:30">
      <c r="C10670" s="9"/>
      <c r="AD10670" s="1"/>
    </row>
    <row r="10671" spans="3:30">
      <c r="C10671" s="9"/>
      <c r="AD10671" s="1"/>
    </row>
    <row r="10672" spans="3:30">
      <c r="C10672" s="9"/>
      <c r="AD10672" s="1"/>
    </row>
    <row r="10673" spans="3:30">
      <c r="C10673" s="9"/>
      <c r="AD10673" s="1"/>
    </row>
    <row r="10674" spans="3:30">
      <c r="C10674" s="9"/>
      <c r="AD10674" s="1"/>
    </row>
    <row r="10675" spans="3:30">
      <c r="C10675" s="9"/>
      <c r="AD10675" s="1"/>
    </row>
    <row r="10676" spans="3:30">
      <c r="C10676" s="9"/>
      <c r="AD10676" s="1"/>
    </row>
    <row r="10677" spans="3:30">
      <c r="C10677" s="9"/>
      <c r="AD10677" s="1"/>
    </row>
    <row r="10678" spans="3:30">
      <c r="C10678" s="9"/>
      <c r="AD10678" s="1"/>
    </row>
    <row r="10679" spans="3:30">
      <c r="C10679" s="9"/>
      <c r="AD10679" s="1"/>
    </row>
    <row r="10680" spans="3:30">
      <c r="C10680" s="9"/>
      <c r="AD10680" s="1"/>
    </row>
    <row r="10681" spans="3:30">
      <c r="C10681" s="9"/>
      <c r="AD10681" s="1"/>
    </row>
    <row r="10682" spans="3:30">
      <c r="C10682" s="9"/>
      <c r="AD10682" s="1"/>
    </row>
    <row r="10683" spans="3:30">
      <c r="C10683" s="9"/>
      <c r="AD10683" s="1"/>
    </row>
    <row r="10684" spans="3:30">
      <c r="C10684" s="9"/>
      <c r="AD10684" s="1"/>
    </row>
    <row r="10685" spans="3:30">
      <c r="C10685" s="9"/>
      <c r="AD10685" s="1"/>
    </row>
    <row r="10686" spans="3:30">
      <c r="C10686" s="9"/>
      <c r="AD10686" s="1"/>
    </row>
    <row r="10687" spans="3:30">
      <c r="C10687" s="9"/>
      <c r="AD10687" s="1"/>
    </row>
    <row r="10688" spans="3:30">
      <c r="C10688" s="9"/>
      <c r="AD10688" s="1"/>
    </row>
    <row r="10689" spans="3:30">
      <c r="C10689" s="9"/>
      <c r="AD10689" s="1"/>
    </row>
    <row r="10690" spans="3:30">
      <c r="C10690" s="9"/>
      <c r="AD10690" s="1"/>
    </row>
    <row r="10691" spans="3:30">
      <c r="C10691" s="9"/>
      <c r="AD10691" s="1"/>
    </row>
    <row r="10692" spans="3:30">
      <c r="C10692" s="9"/>
      <c r="AD10692" s="1"/>
    </row>
    <row r="10693" spans="3:30">
      <c r="C10693" s="9"/>
      <c r="AD10693" s="1"/>
    </row>
    <row r="10694" spans="3:30">
      <c r="C10694" s="9"/>
      <c r="AD10694" s="1"/>
    </row>
    <row r="10695" spans="3:30">
      <c r="C10695" s="9"/>
      <c r="AD10695" s="1"/>
    </row>
    <row r="10696" spans="3:30">
      <c r="C10696" s="9"/>
      <c r="AD10696" s="1"/>
    </row>
    <row r="10697" spans="3:30">
      <c r="C10697" s="9"/>
      <c r="AD10697" s="1"/>
    </row>
    <row r="10698" spans="3:30">
      <c r="C10698" s="9"/>
      <c r="AD10698" s="1"/>
    </row>
    <row r="10699" spans="3:30">
      <c r="C10699" s="9"/>
      <c r="AD10699" s="1"/>
    </row>
    <row r="10700" spans="3:30">
      <c r="C10700" s="9"/>
      <c r="AD10700" s="1"/>
    </row>
    <row r="10701" spans="3:30">
      <c r="C10701" s="9"/>
      <c r="AD10701" s="1"/>
    </row>
    <row r="10702" spans="3:30">
      <c r="C10702" s="9"/>
      <c r="AD10702" s="1"/>
    </row>
    <row r="10703" spans="3:30">
      <c r="C10703" s="9"/>
      <c r="AD10703" s="1"/>
    </row>
    <row r="10704" spans="3:30">
      <c r="C10704" s="9"/>
      <c r="AD10704" s="1"/>
    </row>
    <row r="10705" spans="3:30">
      <c r="C10705" s="9"/>
      <c r="AD10705" s="1"/>
    </row>
    <row r="10706" spans="3:30">
      <c r="C10706" s="9"/>
      <c r="AD10706" s="1"/>
    </row>
    <row r="10707" spans="3:30">
      <c r="C10707" s="9"/>
      <c r="AD10707" s="1"/>
    </row>
    <row r="10708" spans="3:30">
      <c r="C10708" s="9"/>
      <c r="AD10708" s="1"/>
    </row>
    <row r="10709" spans="3:30">
      <c r="C10709" s="9"/>
      <c r="AD10709" s="1"/>
    </row>
    <row r="10710" spans="3:30">
      <c r="C10710" s="9"/>
      <c r="AD10710" s="1"/>
    </row>
    <row r="10711" spans="3:30">
      <c r="C10711" s="9"/>
      <c r="AD10711" s="1"/>
    </row>
    <row r="10712" spans="3:30">
      <c r="C10712" s="9"/>
      <c r="AD10712" s="1"/>
    </row>
    <row r="10713" spans="3:30">
      <c r="C10713" s="9"/>
      <c r="AD10713" s="1"/>
    </row>
    <row r="10714" spans="3:30">
      <c r="C10714" s="9"/>
      <c r="AD10714" s="1"/>
    </row>
    <row r="10715" spans="3:30">
      <c r="C10715" s="9"/>
      <c r="AD10715" s="1"/>
    </row>
    <row r="10716" spans="3:30">
      <c r="C10716" s="9"/>
      <c r="AD10716" s="1"/>
    </row>
    <row r="10717" spans="3:30">
      <c r="C10717" s="9"/>
      <c r="AD10717" s="1"/>
    </row>
    <row r="10718" spans="3:30">
      <c r="C10718" s="9"/>
      <c r="AD10718" s="1"/>
    </row>
    <row r="10719" spans="3:30">
      <c r="C10719" s="9"/>
      <c r="AD10719" s="1"/>
    </row>
    <row r="10720" spans="3:30">
      <c r="C10720" s="9"/>
      <c r="AD10720" s="1"/>
    </row>
    <row r="10721" spans="3:30">
      <c r="C10721" s="9"/>
      <c r="AD10721" s="1"/>
    </row>
    <row r="10722" spans="3:30">
      <c r="C10722" s="9"/>
      <c r="AD10722" s="1"/>
    </row>
    <row r="10723" spans="3:30">
      <c r="C10723" s="9"/>
      <c r="AD10723" s="1"/>
    </row>
    <row r="10724" spans="3:30">
      <c r="C10724" s="9"/>
      <c r="AD10724" s="1"/>
    </row>
    <row r="10725" spans="3:30">
      <c r="C10725" s="9"/>
      <c r="AD10725" s="1"/>
    </row>
    <row r="10726" spans="3:30">
      <c r="C10726" s="9"/>
      <c r="AD10726" s="1"/>
    </row>
    <row r="10727" spans="3:30">
      <c r="C10727" s="9"/>
      <c r="AD10727" s="1"/>
    </row>
    <row r="10728" spans="3:30">
      <c r="C10728" s="9"/>
      <c r="AD10728" s="1"/>
    </row>
    <row r="10729" spans="3:30">
      <c r="C10729" s="9"/>
      <c r="AD10729" s="1"/>
    </row>
    <row r="10730" spans="3:30">
      <c r="C10730" s="9"/>
      <c r="AD10730" s="1"/>
    </row>
    <row r="10731" spans="3:30">
      <c r="C10731" s="9"/>
      <c r="AD10731" s="1"/>
    </row>
    <row r="10732" spans="3:30">
      <c r="C10732" s="9"/>
      <c r="AD10732" s="1"/>
    </row>
    <row r="10733" spans="3:30">
      <c r="C10733" s="9"/>
      <c r="AD10733" s="1"/>
    </row>
    <row r="10734" spans="3:30">
      <c r="C10734" s="9"/>
      <c r="AD10734" s="1"/>
    </row>
    <row r="10735" spans="3:30">
      <c r="C10735" s="9"/>
      <c r="AD10735" s="1"/>
    </row>
    <row r="10736" spans="3:30">
      <c r="C10736" s="9"/>
      <c r="AD10736" s="1"/>
    </row>
    <row r="10737" spans="3:30">
      <c r="C10737" s="9"/>
      <c r="AD10737" s="1"/>
    </row>
    <row r="10738" spans="3:30">
      <c r="C10738" s="9"/>
      <c r="AD10738" s="1"/>
    </row>
    <row r="10739" spans="3:30">
      <c r="C10739" s="9"/>
      <c r="AD10739" s="1"/>
    </row>
    <row r="10740" spans="3:30">
      <c r="C10740" s="9"/>
      <c r="AD10740" s="1"/>
    </row>
    <row r="10741" spans="3:30">
      <c r="C10741" s="9"/>
      <c r="AD10741" s="1"/>
    </row>
    <row r="10742" spans="3:30">
      <c r="C10742" s="9"/>
      <c r="AD10742" s="1"/>
    </row>
    <row r="10743" spans="3:30">
      <c r="C10743" s="9"/>
      <c r="AD10743" s="1"/>
    </row>
    <row r="10744" spans="3:30">
      <c r="C10744" s="9"/>
      <c r="AD10744" s="1"/>
    </row>
    <row r="10745" spans="3:30">
      <c r="C10745" s="9"/>
      <c r="AD10745" s="1"/>
    </row>
    <row r="10746" spans="3:30">
      <c r="C10746" s="9"/>
      <c r="AD10746" s="1"/>
    </row>
    <row r="10747" spans="3:30">
      <c r="C10747" s="9"/>
      <c r="AD10747" s="1"/>
    </row>
    <row r="10748" spans="3:30">
      <c r="C10748" s="9"/>
      <c r="AD10748" s="1"/>
    </row>
    <row r="10749" spans="3:30">
      <c r="C10749" s="9"/>
      <c r="AD10749" s="1"/>
    </row>
    <row r="10750" spans="3:30">
      <c r="C10750" s="9"/>
      <c r="AD10750" s="1"/>
    </row>
    <row r="10751" spans="3:30">
      <c r="C10751" s="9"/>
      <c r="AD10751" s="1"/>
    </row>
    <row r="10752" spans="3:30">
      <c r="C10752" s="9"/>
      <c r="AD10752" s="1"/>
    </row>
    <row r="10753" spans="3:30">
      <c r="C10753" s="9"/>
      <c r="AD10753" s="1"/>
    </row>
    <row r="10754" spans="3:30">
      <c r="C10754" s="9"/>
      <c r="AD10754" s="1"/>
    </row>
    <row r="10755" spans="3:30">
      <c r="C10755" s="9"/>
      <c r="AD10755" s="1"/>
    </row>
    <row r="10756" spans="3:30">
      <c r="C10756" s="9"/>
      <c r="AD10756" s="1"/>
    </row>
    <row r="10757" spans="3:30">
      <c r="C10757" s="9"/>
      <c r="AD10757" s="1"/>
    </row>
    <row r="10758" spans="3:30">
      <c r="C10758" s="9"/>
      <c r="AD10758" s="1"/>
    </row>
    <row r="10759" spans="3:30">
      <c r="C10759" s="9"/>
      <c r="AD10759" s="1"/>
    </row>
    <row r="10760" spans="3:30">
      <c r="C10760" s="9"/>
      <c r="AD10760" s="1"/>
    </row>
    <row r="10761" spans="3:30">
      <c r="C10761" s="9"/>
      <c r="AD10761" s="1"/>
    </row>
    <row r="10762" spans="3:30">
      <c r="C10762" s="9"/>
      <c r="AD10762" s="1"/>
    </row>
    <row r="10763" spans="3:30">
      <c r="C10763" s="9"/>
      <c r="AD10763" s="1"/>
    </row>
    <row r="10764" spans="3:30">
      <c r="C10764" s="9"/>
      <c r="AD10764" s="1"/>
    </row>
    <row r="10765" spans="3:30">
      <c r="C10765" s="9"/>
      <c r="AD10765" s="1"/>
    </row>
    <row r="10766" spans="3:30">
      <c r="C10766" s="9"/>
      <c r="AD10766" s="1"/>
    </row>
    <row r="10767" spans="3:30">
      <c r="C10767" s="9"/>
      <c r="AD10767" s="1"/>
    </row>
    <row r="10768" spans="3:30">
      <c r="C10768" s="9"/>
      <c r="AD10768" s="1"/>
    </row>
    <row r="10769" spans="3:30">
      <c r="C10769" s="9"/>
      <c r="AD10769" s="1"/>
    </row>
    <row r="10770" spans="3:30">
      <c r="C10770" s="9"/>
      <c r="AD10770" s="1"/>
    </row>
    <row r="10771" spans="3:30">
      <c r="C10771" s="9"/>
      <c r="AD10771" s="1"/>
    </row>
    <row r="10772" spans="3:30">
      <c r="C10772" s="9"/>
      <c r="AD10772" s="1"/>
    </row>
    <row r="10773" spans="3:30">
      <c r="C10773" s="9"/>
      <c r="AD10773" s="1"/>
    </row>
    <row r="10774" spans="3:30">
      <c r="C10774" s="9"/>
      <c r="AD10774" s="1"/>
    </row>
    <row r="10775" spans="3:30">
      <c r="C10775" s="9"/>
      <c r="AD10775" s="1"/>
    </row>
    <row r="10776" spans="3:30">
      <c r="C10776" s="9"/>
      <c r="AD10776" s="1"/>
    </row>
    <row r="10777" spans="3:30">
      <c r="C10777" s="9"/>
      <c r="AD10777" s="1"/>
    </row>
    <row r="10778" spans="3:30">
      <c r="C10778" s="9"/>
      <c r="AD10778" s="1"/>
    </row>
    <row r="10779" spans="3:30">
      <c r="C10779" s="9"/>
      <c r="AD10779" s="1"/>
    </row>
    <row r="10780" spans="3:30">
      <c r="C10780" s="9"/>
      <c r="AD10780" s="1"/>
    </row>
    <row r="10781" spans="3:30">
      <c r="C10781" s="9"/>
      <c r="AD10781" s="1"/>
    </row>
    <row r="10782" spans="3:30">
      <c r="C10782" s="9"/>
      <c r="AD10782" s="1"/>
    </row>
    <row r="10783" spans="3:30">
      <c r="C10783" s="9"/>
      <c r="AD10783" s="1"/>
    </row>
    <row r="10784" spans="3:30">
      <c r="C10784" s="9"/>
      <c r="AD10784" s="1"/>
    </row>
    <row r="10785" spans="3:30">
      <c r="C10785" s="9"/>
      <c r="AD10785" s="1"/>
    </row>
    <row r="10786" spans="3:30">
      <c r="C10786" s="9"/>
      <c r="AD10786" s="1"/>
    </row>
    <row r="10787" spans="3:30">
      <c r="C10787" s="9"/>
      <c r="AD10787" s="1"/>
    </row>
    <row r="10788" spans="3:30">
      <c r="C10788" s="9"/>
      <c r="AD10788" s="1"/>
    </row>
    <row r="10789" spans="3:30">
      <c r="C10789" s="9"/>
      <c r="AD10789" s="1"/>
    </row>
    <row r="10790" spans="3:30">
      <c r="C10790" s="9"/>
      <c r="AD10790" s="1"/>
    </row>
    <row r="10791" spans="3:30">
      <c r="C10791" s="9"/>
      <c r="AD10791" s="1"/>
    </row>
    <row r="10792" spans="3:30">
      <c r="C10792" s="9"/>
      <c r="AD10792" s="1"/>
    </row>
    <row r="10793" spans="3:30">
      <c r="C10793" s="9"/>
      <c r="AD10793" s="1"/>
    </row>
    <row r="10794" spans="3:30">
      <c r="C10794" s="9"/>
      <c r="AD10794" s="1"/>
    </row>
    <row r="10795" spans="3:30">
      <c r="C10795" s="9"/>
      <c r="AD10795" s="1"/>
    </row>
    <row r="10796" spans="3:30">
      <c r="C10796" s="9"/>
      <c r="AD10796" s="1"/>
    </row>
    <row r="10797" spans="3:30">
      <c r="C10797" s="9"/>
      <c r="AD10797" s="1"/>
    </row>
    <row r="10798" spans="3:30">
      <c r="C10798" s="9"/>
      <c r="AD10798" s="1"/>
    </row>
    <row r="10799" spans="3:30">
      <c r="C10799" s="9"/>
      <c r="AD10799" s="1"/>
    </row>
    <row r="10800" spans="3:30">
      <c r="C10800" s="9"/>
      <c r="AD10800" s="1"/>
    </row>
    <row r="10801" spans="3:30">
      <c r="C10801" s="9"/>
      <c r="AD10801" s="1"/>
    </row>
    <row r="10802" spans="3:30">
      <c r="C10802" s="9"/>
      <c r="AD10802" s="1"/>
    </row>
    <row r="10803" spans="3:30">
      <c r="C10803" s="9"/>
      <c r="AD10803" s="1"/>
    </row>
    <row r="10804" spans="3:30">
      <c r="C10804" s="9"/>
      <c r="AD10804" s="1"/>
    </row>
    <row r="10805" spans="3:30">
      <c r="C10805" s="9"/>
      <c r="AD10805" s="1"/>
    </row>
    <row r="10806" spans="3:30">
      <c r="C10806" s="9"/>
      <c r="AD10806" s="1"/>
    </row>
    <row r="10807" spans="3:30">
      <c r="C10807" s="9"/>
      <c r="AD10807" s="1"/>
    </row>
    <row r="10808" spans="3:30">
      <c r="C10808" s="9"/>
      <c r="AD10808" s="1"/>
    </row>
    <row r="10809" spans="3:30">
      <c r="C10809" s="9"/>
      <c r="AD10809" s="1"/>
    </row>
    <row r="10810" spans="3:30">
      <c r="C10810" s="9"/>
      <c r="AD10810" s="1"/>
    </row>
    <row r="10811" spans="3:30">
      <c r="C10811" s="9"/>
      <c r="AD10811" s="1"/>
    </row>
    <row r="10812" spans="3:30">
      <c r="C10812" s="9"/>
      <c r="AD10812" s="1"/>
    </row>
    <row r="10813" spans="3:30">
      <c r="C10813" s="9"/>
      <c r="AD10813" s="1"/>
    </row>
    <row r="10814" spans="3:30">
      <c r="C10814" s="9"/>
      <c r="AD10814" s="1"/>
    </row>
    <row r="10815" spans="3:30">
      <c r="C10815" s="9"/>
      <c r="AD10815" s="1"/>
    </row>
    <row r="10816" spans="3:30">
      <c r="C10816" s="9"/>
      <c r="AD10816" s="1"/>
    </row>
    <row r="10817" spans="3:30">
      <c r="C10817" s="9"/>
      <c r="AD10817" s="1"/>
    </row>
    <row r="10818" spans="3:30">
      <c r="C10818" s="9"/>
      <c r="AD10818" s="1"/>
    </row>
    <row r="10819" spans="3:30">
      <c r="C10819" s="9"/>
      <c r="AD10819" s="1"/>
    </row>
    <row r="10820" spans="3:30">
      <c r="C10820" s="9"/>
      <c r="AD10820" s="1"/>
    </row>
    <row r="10821" spans="3:30">
      <c r="C10821" s="9"/>
      <c r="AD10821" s="1"/>
    </row>
    <row r="10822" spans="3:30">
      <c r="C10822" s="9"/>
      <c r="AD10822" s="1"/>
    </row>
    <row r="10823" spans="3:30">
      <c r="C10823" s="9"/>
      <c r="AD10823" s="1"/>
    </row>
    <row r="10824" spans="3:30">
      <c r="C10824" s="9"/>
      <c r="AD10824" s="1"/>
    </row>
    <row r="10825" spans="3:30">
      <c r="C10825" s="9"/>
      <c r="AD10825" s="1"/>
    </row>
    <row r="10826" spans="3:30">
      <c r="C10826" s="9"/>
      <c r="AD10826" s="1"/>
    </row>
    <row r="10827" spans="3:30">
      <c r="C10827" s="9"/>
      <c r="AD10827" s="1"/>
    </row>
    <row r="10828" spans="3:30">
      <c r="C10828" s="9"/>
      <c r="AD10828" s="1"/>
    </row>
    <row r="10829" spans="3:30">
      <c r="C10829" s="9"/>
      <c r="AD10829" s="1"/>
    </row>
    <row r="10830" spans="3:30">
      <c r="C10830" s="9"/>
      <c r="AD10830" s="1"/>
    </row>
    <row r="10831" spans="3:30">
      <c r="C10831" s="9"/>
      <c r="AD10831" s="1"/>
    </row>
    <row r="10832" spans="3:30">
      <c r="C10832" s="9"/>
      <c r="AD10832" s="1"/>
    </row>
    <row r="10833" spans="3:30">
      <c r="C10833" s="9"/>
      <c r="AD10833" s="1"/>
    </row>
    <row r="10834" spans="3:30">
      <c r="C10834" s="9"/>
      <c r="AD10834" s="1"/>
    </row>
    <row r="10835" spans="3:30">
      <c r="C10835" s="9"/>
      <c r="AD10835" s="1"/>
    </row>
    <row r="10836" spans="3:30">
      <c r="C10836" s="9"/>
      <c r="AD10836" s="1"/>
    </row>
    <row r="10837" spans="3:30">
      <c r="C10837" s="9"/>
      <c r="AD10837" s="1"/>
    </row>
    <row r="10838" spans="3:30">
      <c r="C10838" s="9"/>
      <c r="AD10838" s="1"/>
    </row>
    <row r="10839" spans="3:30">
      <c r="C10839" s="9"/>
      <c r="AD10839" s="1"/>
    </row>
    <row r="10840" spans="3:30">
      <c r="C10840" s="9"/>
      <c r="AD10840" s="1"/>
    </row>
    <row r="10841" spans="3:30">
      <c r="C10841" s="9"/>
      <c r="AD10841" s="1"/>
    </row>
    <row r="10842" spans="3:30">
      <c r="C10842" s="9"/>
      <c r="AD10842" s="1"/>
    </row>
    <row r="10843" spans="3:30">
      <c r="C10843" s="9"/>
      <c r="AD10843" s="1"/>
    </row>
    <row r="10844" spans="3:30">
      <c r="C10844" s="9"/>
      <c r="AD10844" s="1"/>
    </row>
    <row r="10845" spans="3:30">
      <c r="C10845" s="9"/>
      <c r="AD10845" s="1"/>
    </row>
    <row r="10846" spans="3:30">
      <c r="C10846" s="9"/>
      <c r="AD10846" s="1"/>
    </row>
    <row r="10847" spans="3:30">
      <c r="C10847" s="9"/>
      <c r="AD10847" s="1"/>
    </row>
    <row r="10848" spans="3:30">
      <c r="C10848" s="9"/>
      <c r="AD10848" s="1"/>
    </row>
    <row r="10849" spans="3:30">
      <c r="C10849" s="9"/>
      <c r="AD10849" s="1"/>
    </row>
    <row r="10850" spans="3:30">
      <c r="C10850" s="9"/>
      <c r="AD10850" s="1"/>
    </row>
    <row r="10851" spans="3:30">
      <c r="C10851" s="9"/>
      <c r="AD10851" s="1"/>
    </row>
    <row r="10852" spans="3:30">
      <c r="C10852" s="9"/>
      <c r="AD10852" s="1"/>
    </row>
    <row r="10853" spans="3:30">
      <c r="C10853" s="9"/>
      <c r="AD10853" s="1"/>
    </row>
    <row r="10854" spans="3:30">
      <c r="C10854" s="9"/>
      <c r="AD10854" s="1"/>
    </row>
    <row r="10855" spans="3:30">
      <c r="C10855" s="9"/>
      <c r="AD10855" s="1"/>
    </row>
    <row r="10856" spans="3:30">
      <c r="C10856" s="9"/>
      <c r="AD10856" s="1"/>
    </row>
    <row r="10857" spans="3:30">
      <c r="C10857" s="9"/>
      <c r="AD10857" s="1"/>
    </row>
    <row r="10858" spans="3:30">
      <c r="C10858" s="9"/>
      <c r="AD10858" s="1"/>
    </row>
    <row r="10859" spans="3:30">
      <c r="C10859" s="9"/>
      <c r="AD10859" s="1"/>
    </row>
    <row r="10860" spans="3:30">
      <c r="C10860" s="9"/>
      <c r="AD10860" s="1"/>
    </row>
    <row r="10861" spans="3:30">
      <c r="C10861" s="9"/>
      <c r="AD10861" s="1"/>
    </row>
    <row r="10862" spans="3:30">
      <c r="C10862" s="9"/>
      <c r="AD10862" s="1"/>
    </row>
    <row r="10863" spans="3:30">
      <c r="C10863" s="9"/>
      <c r="AD10863" s="1"/>
    </row>
    <row r="10864" spans="3:30">
      <c r="C10864" s="9"/>
      <c r="AD10864" s="1"/>
    </row>
    <row r="10865" spans="3:30">
      <c r="C10865" s="9"/>
      <c r="AD10865" s="1"/>
    </row>
    <row r="10866" spans="3:30">
      <c r="C10866" s="9"/>
      <c r="AD10866" s="1"/>
    </row>
    <row r="10867" spans="3:30">
      <c r="C10867" s="9"/>
      <c r="AD10867" s="1"/>
    </row>
    <row r="10868" spans="3:30">
      <c r="C10868" s="9"/>
      <c r="AD10868" s="1"/>
    </row>
    <row r="10869" spans="3:30">
      <c r="C10869" s="9"/>
      <c r="AD10869" s="1"/>
    </row>
    <row r="10870" spans="3:30">
      <c r="C10870" s="9"/>
      <c r="AD10870" s="1"/>
    </row>
    <row r="10871" spans="3:30">
      <c r="C10871" s="9"/>
      <c r="AD10871" s="1"/>
    </row>
    <row r="10872" spans="3:30">
      <c r="C10872" s="9"/>
      <c r="AD10872" s="1"/>
    </row>
    <row r="10873" spans="3:30">
      <c r="C10873" s="9"/>
      <c r="AD10873" s="1"/>
    </row>
    <row r="10874" spans="3:30">
      <c r="C10874" s="9"/>
      <c r="AD10874" s="1"/>
    </row>
    <row r="10875" spans="3:30">
      <c r="C10875" s="9"/>
      <c r="AD10875" s="1"/>
    </row>
    <row r="10876" spans="3:30">
      <c r="C10876" s="9"/>
      <c r="AD10876" s="1"/>
    </row>
    <row r="10877" spans="3:30">
      <c r="C10877" s="9"/>
      <c r="AD10877" s="1"/>
    </row>
    <row r="10878" spans="3:30">
      <c r="C10878" s="9"/>
      <c r="AD10878" s="1"/>
    </row>
    <row r="10879" spans="3:30">
      <c r="C10879" s="9"/>
      <c r="AD10879" s="1"/>
    </row>
    <row r="10880" spans="3:30">
      <c r="C10880" s="9"/>
      <c r="AD10880" s="1"/>
    </row>
    <row r="10881" spans="3:30">
      <c r="C10881" s="9"/>
      <c r="AD10881" s="1"/>
    </row>
    <row r="10882" spans="3:30">
      <c r="C10882" s="9"/>
      <c r="AD10882" s="1"/>
    </row>
    <row r="10883" spans="3:30">
      <c r="C10883" s="9"/>
      <c r="AD10883" s="1"/>
    </row>
    <row r="10884" spans="3:30">
      <c r="C10884" s="9"/>
      <c r="AD10884" s="1"/>
    </row>
    <row r="10885" spans="3:30">
      <c r="C10885" s="9"/>
      <c r="AD10885" s="1"/>
    </row>
    <row r="10886" spans="3:30">
      <c r="C10886" s="9"/>
      <c r="AD10886" s="1"/>
    </row>
    <row r="10887" spans="3:30">
      <c r="C10887" s="9"/>
      <c r="AD10887" s="1"/>
    </row>
    <row r="10888" spans="3:30">
      <c r="C10888" s="9"/>
      <c r="AD10888" s="1"/>
    </row>
    <row r="10889" spans="3:30">
      <c r="C10889" s="9"/>
      <c r="AD10889" s="1"/>
    </row>
    <row r="10890" spans="3:30">
      <c r="C10890" s="9"/>
      <c r="AD10890" s="1"/>
    </row>
    <row r="10891" spans="3:30">
      <c r="C10891" s="9"/>
      <c r="AD10891" s="1"/>
    </row>
    <row r="10892" spans="3:30">
      <c r="C10892" s="9"/>
      <c r="AD10892" s="1"/>
    </row>
    <row r="10893" spans="3:30">
      <c r="C10893" s="9"/>
      <c r="AD10893" s="1"/>
    </row>
    <row r="10894" spans="3:30">
      <c r="C10894" s="9"/>
      <c r="AD10894" s="1"/>
    </row>
    <row r="10895" spans="3:30">
      <c r="C10895" s="9"/>
      <c r="AD10895" s="1"/>
    </row>
    <row r="10896" spans="3:30">
      <c r="C10896" s="9"/>
      <c r="AD10896" s="1"/>
    </row>
    <row r="10897" spans="3:30">
      <c r="C10897" s="9"/>
      <c r="AD10897" s="1"/>
    </row>
    <row r="10898" spans="3:30">
      <c r="C10898" s="9"/>
      <c r="AD10898" s="1"/>
    </row>
    <row r="10899" spans="3:30">
      <c r="C10899" s="9"/>
      <c r="AD10899" s="1"/>
    </row>
    <row r="10900" spans="3:30">
      <c r="C10900" s="9"/>
      <c r="AD10900" s="1"/>
    </row>
    <row r="10901" spans="3:30">
      <c r="C10901" s="9"/>
      <c r="AD10901" s="1"/>
    </row>
    <row r="10902" spans="3:30">
      <c r="C10902" s="9"/>
      <c r="AD10902" s="1"/>
    </row>
    <row r="10903" spans="3:30">
      <c r="C10903" s="9"/>
      <c r="AD10903" s="1"/>
    </row>
    <row r="10904" spans="3:30">
      <c r="C10904" s="9"/>
      <c r="AD10904" s="1"/>
    </row>
    <row r="10905" spans="3:30">
      <c r="C10905" s="9"/>
      <c r="AD10905" s="1"/>
    </row>
    <row r="10906" spans="3:30">
      <c r="C10906" s="9"/>
      <c r="AD10906" s="1"/>
    </row>
    <row r="10907" spans="3:30">
      <c r="C10907" s="9"/>
      <c r="AD10907" s="1"/>
    </row>
    <row r="10908" spans="3:30">
      <c r="C10908" s="9"/>
      <c r="AD10908" s="1"/>
    </row>
    <row r="10909" spans="3:30">
      <c r="C10909" s="9"/>
      <c r="AD10909" s="1"/>
    </row>
    <row r="10910" spans="3:30">
      <c r="C10910" s="9"/>
      <c r="AD10910" s="1"/>
    </row>
    <row r="10911" spans="3:30">
      <c r="C10911" s="9"/>
      <c r="AD10911" s="1"/>
    </row>
    <row r="10912" spans="3:30">
      <c r="C10912" s="9"/>
      <c r="AD10912" s="1"/>
    </row>
    <row r="10913" spans="3:30">
      <c r="C10913" s="9"/>
      <c r="AD10913" s="1"/>
    </row>
    <row r="10914" spans="3:30">
      <c r="C10914" s="9"/>
      <c r="AD10914" s="1"/>
    </row>
    <row r="10915" spans="3:30">
      <c r="C10915" s="9"/>
      <c r="AD10915" s="1"/>
    </row>
    <row r="10916" spans="3:30">
      <c r="C10916" s="9"/>
      <c r="AD10916" s="1"/>
    </row>
    <row r="10917" spans="3:30">
      <c r="C10917" s="9"/>
      <c r="AD10917" s="1"/>
    </row>
    <row r="10918" spans="3:30">
      <c r="C10918" s="9"/>
      <c r="AD10918" s="1"/>
    </row>
    <row r="10919" spans="3:30">
      <c r="C10919" s="9"/>
      <c r="AD10919" s="1"/>
    </row>
    <row r="10920" spans="3:30">
      <c r="C10920" s="9"/>
      <c r="AD10920" s="1"/>
    </row>
    <row r="10921" spans="3:30">
      <c r="C10921" s="9"/>
      <c r="AD10921" s="1"/>
    </row>
    <row r="10922" spans="3:30">
      <c r="C10922" s="9"/>
      <c r="AD10922" s="1"/>
    </row>
    <row r="10923" spans="3:30">
      <c r="C10923" s="9"/>
      <c r="AD10923" s="1"/>
    </row>
    <row r="10924" spans="3:30">
      <c r="C10924" s="9"/>
      <c r="AD10924" s="1"/>
    </row>
    <row r="10925" spans="3:30">
      <c r="C10925" s="9"/>
      <c r="AD10925" s="1"/>
    </row>
    <row r="10926" spans="3:30">
      <c r="C10926" s="9"/>
      <c r="AD10926" s="1"/>
    </row>
    <row r="10927" spans="3:30">
      <c r="C10927" s="9"/>
      <c r="AD10927" s="1"/>
    </row>
    <row r="10928" spans="3:30">
      <c r="C10928" s="9"/>
      <c r="AD10928" s="1"/>
    </row>
    <row r="10929" spans="3:30">
      <c r="C10929" s="9"/>
      <c r="AD10929" s="1"/>
    </row>
    <row r="10930" spans="3:30">
      <c r="C10930" s="9"/>
      <c r="AD10930" s="1"/>
    </row>
    <row r="10931" spans="3:30">
      <c r="C10931" s="9"/>
      <c r="AD10931" s="1"/>
    </row>
    <row r="10932" spans="3:30">
      <c r="C10932" s="9"/>
      <c r="AD10932" s="1"/>
    </row>
    <row r="10933" spans="3:30">
      <c r="C10933" s="9"/>
      <c r="AD10933" s="1"/>
    </row>
    <row r="10934" spans="3:30">
      <c r="C10934" s="9"/>
      <c r="AD10934" s="1"/>
    </row>
    <row r="10935" spans="3:30">
      <c r="C10935" s="9"/>
      <c r="AD10935" s="1"/>
    </row>
    <row r="10936" spans="3:30">
      <c r="C10936" s="9"/>
      <c r="AD10936" s="1"/>
    </row>
    <row r="10937" spans="3:30">
      <c r="C10937" s="9"/>
      <c r="AD10937" s="1"/>
    </row>
    <row r="10938" spans="3:30">
      <c r="C10938" s="9"/>
      <c r="AD10938" s="1"/>
    </row>
    <row r="10939" spans="3:30">
      <c r="C10939" s="9"/>
      <c r="AD10939" s="1"/>
    </row>
    <row r="10940" spans="3:30">
      <c r="C10940" s="9"/>
      <c r="AD10940" s="1"/>
    </row>
    <row r="10941" spans="3:30">
      <c r="C10941" s="9"/>
      <c r="AD10941" s="1"/>
    </row>
    <row r="10942" spans="3:30">
      <c r="C10942" s="9"/>
      <c r="AD10942" s="1"/>
    </row>
    <row r="10943" spans="3:30">
      <c r="C10943" s="9"/>
      <c r="AD10943" s="1"/>
    </row>
    <row r="10944" spans="3:30">
      <c r="C10944" s="9"/>
      <c r="AD10944" s="1"/>
    </row>
    <row r="10945" spans="3:30">
      <c r="C10945" s="9"/>
      <c r="AD10945" s="1"/>
    </row>
    <row r="10946" spans="3:30">
      <c r="C10946" s="9"/>
      <c r="AD10946" s="1"/>
    </row>
    <row r="10947" spans="3:30">
      <c r="C10947" s="9"/>
      <c r="AD10947" s="1"/>
    </row>
    <row r="10948" spans="3:30">
      <c r="C10948" s="9"/>
      <c r="AD10948" s="1"/>
    </row>
    <row r="10949" spans="3:30">
      <c r="C10949" s="9"/>
      <c r="AD10949" s="1"/>
    </row>
    <row r="10950" spans="3:30">
      <c r="C10950" s="9"/>
      <c r="AD10950" s="1"/>
    </row>
    <row r="10951" spans="3:30">
      <c r="C10951" s="9"/>
      <c r="AD10951" s="1"/>
    </row>
    <row r="10952" spans="3:30">
      <c r="C10952" s="9"/>
      <c r="AD10952" s="1"/>
    </row>
    <row r="10953" spans="3:30">
      <c r="C10953" s="9"/>
      <c r="AD10953" s="1"/>
    </row>
    <row r="10954" spans="3:30">
      <c r="C10954" s="9"/>
      <c r="AD10954" s="1"/>
    </row>
    <row r="10955" spans="3:30">
      <c r="C10955" s="9"/>
      <c r="AD10955" s="1"/>
    </row>
    <row r="10956" spans="3:30">
      <c r="C10956" s="9"/>
      <c r="AD10956" s="1"/>
    </row>
    <row r="10957" spans="3:30">
      <c r="C10957" s="9"/>
      <c r="AD10957" s="1"/>
    </row>
    <row r="10958" spans="3:30">
      <c r="C10958" s="9"/>
      <c r="AD10958" s="1"/>
    </row>
    <row r="10959" spans="3:30">
      <c r="C10959" s="9"/>
      <c r="AD10959" s="1"/>
    </row>
    <row r="10960" spans="3:30">
      <c r="C10960" s="9"/>
      <c r="AD10960" s="1"/>
    </row>
    <row r="10961" spans="3:30">
      <c r="C10961" s="9"/>
      <c r="AD10961" s="1"/>
    </row>
    <row r="10962" spans="3:30">
      <c r="C10962" s="9"/>
      <c r="AD10962" s="1"/>
    </row>
    <row r="10963" spans="3:30">
      <c r="C10963" s="9"/>
      <c r="AD10963" s="1"/>
    </row>
    <row r="10964" spans="3:30">
      <c r="C10964" s="9"/>
      <c r="AD10964" s="1"/>
    </row>
    <row r="10965" spans="3:30">
      <c r="C10965" s="9"/>
      <c r="AD10965" s="1"/>
    </row>
    <row r="10966" spans="3:30">
      <c r="C10966" s="9"/>
      <c r="AD10966" s="1"/>
    </row>
    <row r="10967" spans="3:30">
      <c r="C10967" s="9"/>
      <c r="AD10967" s="1"/>
    </row>
    <row r="10968" spans="3:30">
      <c r="C10968" s="9"/>
      <c r="AD10968" s="1"/>
    </row>
    <row r="10969" spans="3:30">
      <c r="C10969" s="9"/>
      <c r="AD10969" s="1"/>
    </row>
    <row r="10970" spans="3:30">
      <c r="C10970" s="9"/>
      <c r="AD10970" s="1"/>
    </row>
    <row r="10971" spans="3:30">
      <c r="C10971" s="9"/>
      <c r="AD10971" s="1"/>
    </row>
    <row r="10972" spans="3:30">
      <c r="C10972" s="9"/>
      <c r="AD10972" s="1"/>
    </row>
    <row r="10973" spans="3:30">
      <c r="C10973" s="9"/>
      <c r="AD10973" s="1"/>
    </row>
    <row r="10974" spans="3:30">
      <c r="C10974" s="9"/>
      <c r="AD10974" s="1"/>
    </row>
    <row r="10975" spans="3:30">
      <c r="C10975" s="9"/>
      <c r="AD10975" s="1"/>
    </row>
    <row r="10976" spans="3:30">
      <c r="C10976" s="9"/>
      <c r="AD10976" s="1"/>
    </row>
    <row r="10977" spans="3:30">
      <c r="C10977" s="9"/>
      <c r="AD10977" s="1"/>
    </row>
    <row r="10978" spans="3:30">
      <c r="C10978" s="9"/>
      <c r="AD10978" s="1"/>
    </row>
    <row r="10979" spans="3:30">
      <c r="C10979" s="9"/>
      <c r="AD10979" s="1"/>
    </row>
    <row r="10980" spans="3:30">
      <c r="C10980" s="9"/>
      <c r="AD10980" s="1"/>
    </row>
    <row r="10981" spans="3:30">
      <c r="C10981" s="9"/>
      <c r="AD10981" s="1"/>
    </row>
    <row r="10982" spans="3:30">
      <c r="C10982" s="9"/>
      <c r="AD10982" s="1"/>
    </row>
    <row r="10983" spans="3:30">
      <c r="C10983" s="9"/>
      <c r="AD10983" s="1"/>
    </row>
    <row r="10984" spans="3:30">
      <c r="C10984" s="9"/>
      <c r="AD10984" s="1"/>
    </row>
    <row r="10985" spans="3:30">
      <c r="C10985" s="9"/>
      <c r="AD10985" s="1"/>
    </row>
    <row r="10986" spans="3:30">
      <c r="C10986" s="9"/>
      <c r="AD10986" s="1"/>
    </row>
    <row r="10987" spans="3:30">
      <c r="C10987" s="9"/>
      <c r="AD10987" s="1"/>
    </row>
    <row r="10988" spans="3:30">
      <c r="C10988" s="9"/>
      <c r="AD10988" s="1"/>
    </row>
    <row r="10989" spans="3:30">
      <c r="C10989" s="9"/>
      <c r="AD10989" s="1"/>
    </row>
    <row r="10990" spans="3:30">
      <c r="C10990" s="9"/>
      <c r="AD10990" s="1"/>
    </row>
    <row r="10991" spans="3:30">
      <c r="C10991" s="9"/>
      <c r="AD10991" s="1"/>
    </row>
    <row r="10992" spans="3:30">
      <c r="C10992" s="9"/>
      <c r="AD10992" s="1"/>
    </row>
    <row r="10993" spans="3:30">
      <c r="C10993" s="9"/>
      <c r="AD10993" s="1"/>
    </row>
    <row r="10994" spans="3:30">
      <c r="C10994" s="9"/>
      <c r="AD10994" s="1"/>
    </row>
    <row r="10995" spans="3:30">
      <c r="C10995" s="9"/>
      <c r="AD10995" s="1"/>
    </row>
    <row r="10996" spans="3:30">
      <c r="C10996" s="9"/>
      <c r="AD10996" s="1"/>
    </row>
    <row r="10997" spans="3:30">
      <c r="C10997" s="9"/>
      <c r="AD10997" s="1"/>
    </row>
    <row r="10998" spans="3:30">
      <c r="C10998" s="9"/>
      <c r="AD10998" s="1"/>
    </row>
    <row r="10999" spans="3:30">
      <c r="C10999" s="9"/>
      <c r="AD10999" s="1"/>
    </row>
    <row r="11000" spans="3:30">
      <c r="C11000" s="9"/>
      <c r="AD11000" s="1"/>
    </row>
    <row r="11001" spans="3:30">
      <c r="C11001" s="9"/>
      <c r="AD11001" s="1"/>
    </row>
    <row r="11002" spans="3:30">
      <c r="C11002" s="9"/>
      <c r="AD11002" s="1"/>
    </row>
    <row r="11003" spans="3:30">
      <c r="C11003" s="9"/>
      <c r="AD11003" s="1"/>
    </row>
    <row r="11004" spans="3:30">
      <c r="C11004" s="9"/>
      <c r="AD11004" s="1"/>
    </row>
    <row r="11005" spans="3:30">
      <c r="C11005" s="9"/>
      <c r="AD11005" s="1"/>
    </row>
    <row r="11006" spans="3:30">
      <c r="C11006" s="9"/>
      <c r="AD11006" s="1"/>
    </row>
    <row r="11007" spans="3:30">
      <c r="C11007" s="9"/>
      <c r="AD11007" s="1"/>
    </row>
    <row r="11008" spans="3:30">
      <c r="C11008" s="9"/>
      <c r="AD11008" s="1"/>
    </row>
    <row r="11009" spans="3:30">
      <c r="C11009" s="9"/>
      <c r="AD11009" s="1"/>
    </row>
    <row r="11010" spans="3:30">
      <c r="C11010" s="9"/>
      <c r="AD11010" s="1"/>
    </row>
    <row r="11011" spans="3:30">
      <c r="C11011" s="9"/>
      <c r="AD11011" s="1"/>
    </row>
    <row r="11012" spans="3:30">
      <c r="C11012" s="9"/>
      <c r="AD11012" s="1"/>
    </row>
    <row r="11013" spans="3:30">
      <c r="C11013" s="9"/>
      <c r="AD11013" s="1"/>
    </row>
    <row r="11014" spans="3:30">
      <c r="C11014" s="9"/>
      <c r="AD11014" s="1"/>
    </row>
    <row r="11015" spans="3:30">
      <c r="C11015" s="9"/>
      <c r="AD11015" s="1"/>
    </row>
    <row r="11016" spans="3:30">
      <c r="C11016" s="9"/>
      <c r="AD11016" s="1"/>
    </row>
    <row r="11017" spans="3:30">
      <c r="C11017" s="9"/>
      <c r="AD11017" s="1"/>
    </row>
    <row r="11018" spans="3:30">
      <c r="C11018" s="9"/>
      <c r="AD11018" s="1"/>
    </row>
    <row r="11019" spans="3:30">
      <c r="C11019" s="9"/>
      <c r="AD11019" s="1"/>
    </row>
    <row r="11020" spans="3:30">
      <c r="C11020" s="9"/>
      <c r="AD11020" s="1"/>
    </row>
    <row r="11021" spans="3:30">
      <c r="C11021" s="9"/>
      <c r="AD11021" s="1"/>
    </row>
    <row r="11022" spans="3:30">
      <c r="C11022" s="9"/>
      <c r="AD11022" s="1"/>
    </row>
    <row r="11023" spans="3:30">
      <c r="C11023" s="9"/>
      <c r="AD11023" s="1"/>
    </row>
    <row r="11024" spans="3:30">
      <c r="C11024" s="9"/>
      <c r="AD11024" s="1"/>
    </row>
    <row r="11025" spans="3:30">
      <c r="C11025" s="9"/>
      <c r="AD11025" s="1"/>
    </row>
    <row r="11026" spans="3:30">
      <c r="C11026" s="9"/>
      <c r="AD11026" s="1"/>
    </row>
    <row r="11027" spans="3:30">
      <c r="C11027" s="9"/>
      <c r="AD11027" s="1"/>
    </row>
    <row r="11028" spans="3:30">
      <c r="C11028" s="9"/>
      <c r="AD11028" s="1"/>
    </row>
    <row r="11029" spans="3:30">
      <c r="C11029" s="9"/>
      <c r="AD11029" s="1"/>
    </row>
    <row r="11030" spans="3:30">
      <c r="C11030" s="9"/>
      <c r="AD11030" s="1"/>
    </row>
    <row r="11031" spans="3:30">
      <c r="C11031" s="9"/>
      <c r="AD11031" s="1"/>
    </row>
    <row r="11032" spans="3:30">
      <c r="C11032" s="9"/>
      <c r="AD11032" s="1"/>
    </row>
    <row r="11033" spans="3:30">
      <c r="C11033" s="9"/>
      <c r="AD11033" s="1"/>
    </row>
    <row r="11034" spans="3:30">
      <c r="C11034" s="9"/>
      <c r="AD11034" s="1"/>
    </row>
    <row r="11035" spans="3:30">
      <c r="C11035" s="9"/>
      <c r="AD11035" s="1"/>
    </row>
    <row r="11036" spans="3:30">
      <c r="C11036" s="9"/>
      <c r="AD11036" s="1"/>
    </row>
    <row r="11037" spans="3:30">
      <c r="C11037" s="9"/>
      <c r="AD11037" s="1"/>
    </row>
    <row r="11038" spans="3:30">
      <c r="C11038" s="9"/>
      <c r="AD11038" s="1"/>
    </row>
    <row r="11039" spans="3:30">
      <c r="C11039" s="9"/>
      <c r="AD11039" s="1"/>
    </row>
    <row r="11040" spans="3:30">
      <c r="C11040" s="9"/>
      <c r="AD11040" s="1"/>
    </row>
    <row r="11041" spans="3:30">
      <c r="C11041" s="9"/>
      <c r="AD11041" s="1"/>
    </row>
    <row r="11042" spans="3:30">
      <c r="C11042" s="9"/>
      <c r="AD11042" s="1"/>
    </row>
    <row r="11043" spans="3:30">
      <c r="C11043" s="9"/>
      <c r="AD11043" s="1"/>
    </row>
    <row r="11044" spans="3:30">
      <c r="C11044" s="9"/>
      <c r="AD11044" s="1"/>
    </row>
    <row r="11045" spans="3:30">
      <c r="C11045" s="9"/>
      <c r="AD11045" s="1"/>
    </row>
    <row r="11046" spans="3:30">
      <c r="C11046" s="9"/>
      <c r="AD11046" s="1"/>
    </row>
    <row r="11047" spans="3:30">
      <c r="C11047" s="9"/>
      <c r="AD11047" s="1"/>
    </row>
    <row r="11048" spans="3:30">
      <c r="C11048" s="9"/>
      <c r="AD11048" s="1"/>
    </row>
    <row r="11049" spans="3:30">
      <c r="C11049" s="9"/>
      <c r="AD11049" s="1"/>
    </row>
    <row r="11050" spans="3:30">
      <c r="C11050" s="9"/>
      <c r="AD11050" s="1"/>
    </row>
    <row r="11051" spans="3:30">
      <c r="C11051" s="9"/>
      <c r="AD11051" s="1"/>
    </row>
    <row r="11052" spans="3:30">
      <c r="C11052" s="9"/>
      <c r="AD11052" s="1"/>
    </row>
    <row r="11053" spans="3:30">
      <c r="C11053" s="9"/>
      <c r="AD11053" s="1"/>
    </row>
    <row r="11054" spans="3:30">
      <c r="C11054" s="9"/>
      <c r="AD11054" s="1"/>
    </row>
    <row r="11055" spans="3:30">
      <c r="C11055" s="9"/>
      <c r="AD11055" s="1"/>
    </row>
    <row r="11056" spans="3:30">
      <c r="C11056" s="9"/>
      <c r="AD11056" s="1"/>
    </row>
    <row r="11057" spans="3:30">
      <c r="C11057" s="9"/>
      <c r="AD11057" s="1"/>
    </row>
    <row r="11058" spans="3:30">
      <c r="C11058" s="9"/>
      <c r="AD11058" s="1"/>
    </row>
    <row r="11059" spans="3:30">
      <c r="C11059" s="9"/>
      <c r="AD11059" s="1"/>
    </row>
    <row r="11060" spans="3:30">
      <c r="C11060" s="9"/>
      <c r="AD11060" s="1"/>
    </row>
    <row r="11061" spans="3:30">
      <c r="C11061" s="9"/>
      <c r="AD11061" s="1"/>
    </row>
    <row r="11062" spans="3:30">
      <c r="C11062" s="9"/>
      <c r="AD11062" s="1"/>
    </row>
    <row r="11063" spans="3:30">
      <c r="C11063" s="9"/>
      <c r="AD11063" s="1"/>
    </row>
    <row r="11064" spans="3:30">
      <c r="C11064" s="9"/>
      <c r="AD11064" s="1"/>
    </row>
    <row r="11065" spans="3:30">
      <c r="C11065" s="9"/>
      <c r="AD11065" s="1"/>
    </row>
    <row r="11066" spans="3:30">
      <c r="C11066" s="9"/>
      <c r="AD11066" s="1"/>
    </row>
    <row r="11067" spans="3:30">
      <c r="C11067" s="9"/>
      <c r="AD11067" s="1"/>
    </row>
    <row r="11068" spans="3:30">
      <c r="C11068" s="9"/>
      <c r="AD11068" s="1"/>
    </row>
    <row r="11069" spans="3:30">
      <c r="C11069" s="9"/>
      <c r="AD11069" s="1"/>
    </row>
    <row r="11070" spans="3:30">
      <c r="C11070" s="9"/>
      <c r="AD11070" s="1"/>
    </row>
    <row r="11071" spans="3:30">
      <c r="C11071" s="9"/>
      <c r="AD11071" s="1"/>
    </row>
    <row r="11072" spans="3:30">
      <c r="C11072" s="9"/>
      <c r="AD11072" s="1"/>
    </row>
    <row r="11073" spans="3:30">
      <c r="C11073" s="9"/>
      <c r="AD11073" s="1"/>
    </row>
    <row r="11074" spans="3:30">
      <c r="C11074" s="9"/>
      <c r="AD11074" s="1"/>
    </row>
    <row r="11075" spans="3:30">
      <c r="C11075" s="9"/>
      <c r="AD11075" s="1"/>
    </row>
    <row r="11076" spans="3:30">
      <c r="C11076" s="9"/>
      <c r="AD11076" s="1"/>
    </row>
    <row r="11077" spans="3:30">
      <c r="C11077" s="9"/>
      <c r="AD11077" s="1"/>
    </row>
  </sheetData>
  <autoFilter ref="A1:AQ5108" xr:uid="{0144B596-CAB1-4BC8-94DD-28FB2154C5CF}">
    <filterColumn colId="41" showButton="0"/>
    <sortState xmlns:xlrd2="http://schemas.microsoft.com/office/spreadsheetml/2017/richdata2" ref="A3803:AQ3892">
      <sortCondition ref="G1:G4483"/>
    </sortState>
  </autoFilter>
  <mergeCells count="1">
    <mergeCell ref="AP1:AQ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2903-91B0-41C4-A970-B39FB494E9D0}">
  <dimension ref="A1"/>
  <sheetViews>
    <sheetView workbookViewId="0"/>
  </sheetViews>
  <sheetFormatPr defaultRowHeight="14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BRITA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Lexie Pan</dc:creator>
  <cp:lastModifiedBy>Lexie Pan</cp:lastModifiedBy>
  <dcterms:created xsi:type="dcterms:W3CDTF">2025-11-21T03:44:45Z</dcterms:created>
  <dcterms:modified xsi:type="dcterms:W3CDTF">2025-11-21T03:46:03Z</dcterms:modified>
</cp:coreProperties>
</file>